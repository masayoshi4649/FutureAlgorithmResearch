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101b97805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b79a0923aac7422d"/>
    <x:sheet xmlns:r="http://schemas.openxmlformats.org/officeDocument/2006/relationships" name="昼夜比較" sheetId="2" r:id="R84fc21cdfba74d6c"/>
    <x:sheet xmlns:r="http://schemas.openxmlformats.org/officeDocument/2006/relationships" name="具体損失時間" sheetId="3" r:id="R5c056fe69c49475b"/>
    <x:sheet xmlns:r="http://schemas.openxmlformats.org/officeDocument/2006/relationships" name="日経_B5" sheetId="4" r:id="R987f45a94d9a40e2"/>
    <x:sheet xmlns:r="http://schemas.openxmlformats.org/officeDocument/2006/relationships" name="日経_M1" sheetId="5" r:id="Rc70d82f94cf54b7b"/>
    <x:sheet xmlns:r="http://schemas.openxmlformats.org/officeDocument/2006/relationships" name="日経_F1" sheetId="6" r:id="R8551e6441410422c"/>
    <x:sheet xmlns:r="http://schemas.openxmlformats.org/officeDocument/2006/relationships" name="日経_V04" sheetId="7" r:id="R28b0541483804d9b"/>
    <x:sheet xmlns:r="http://schemas.openxmlformats.org/officeDocument/2006/relationships" name="TOPIX_B5" sheetId="8" r:id="R899d9797bdb6461c"/>
    <x:sheet xmlns:r="http://schemas.openxmlformats.org/officeDocument/2006/relationships" name="TOPIX_M1" sheetId="9" r:id="Re54cf1bc457d437c"/>
    <x:sheet xmlns:r="http://schemas.openxmlformats.org/officeDocument/2006/relationships" name="TOPIX_F1" sheetId="10" r:id="R0a6923eb52c34e98"/>
    <x:sheet xmlns:r="http://schemas.openxmlformats.org/officeDocument/2006/relationships" name="TOPIX_V04" sheetId="11" r:id="Rc28e8fdeec9e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;&quot;-&quot;"/>
    <x:numFmt numFmtId="201" formatCode="yyyy/mm/dd hh:mm:ss"/>
    <x:numFmt numFmtId="202" formatCode="#,##0"/>
    <x:numFmt numFmtId="203" formatCode="yyyy/mm/dd hh:mm"/>
    <x:numFmt numFmtId="204" formatCode="0.0"/>
    <x:numFmt numFmtId="205" formatCode="0.0%"/>
    <x:numFmt numFmtId="206" formatCode="0.00"/>
  </x:numFmts>
  <x:fonts count="6">
    <x:font>
      <x:sz val="11"/>
      <x:name val="Carlito"/>
    </x:font>
    <x:font>
      <x:sz val="10"/>
      <x:color rgb="FF172B44"/>
      <x:name val="Yu Gothic"/>
    </x:font>
    <x:font>
      <x:b/>
      <x:sz val="14"/>
      <x:color rgb="FF172B44"/>
      <x:name val="Yu Gothic"/>
    </x:font>
    <x:font>
      <x:sz val="10"/>
      <x:color rgb="FF52667C"/>
      <x:name val="Yu Gothic"/>
    </x:font>
    <x:font>
      <x:b/>
      <x:sz val="10"/>
      <x:color rgb="FFFFFFFF"/>
      <x:name val="Yu Gothic"/>
    </x:font>
    <x:font>
      <x:b/>
      <x:sz val="12"/>
      <x:color rgb="FF172B44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56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7B91A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/>
    <x:xf numFmtId="202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  <x:dxfs count="18"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805000"/>
      </x:font>
      <x:fill>
        <x:patternFill patternType="solid">
          <x:bgColor rgb="FFFFF0C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73b0d77564046" /><Relationship Type="http://schemas.openxmlformats.org/officeDocument/2006/relationships/theme" Target="/xl/theme/theme1.xml" Id="Re83703ee5dca4cf9" /><Relationship Type="http://schemas.openxmlformats.org/officeDocument/2006/relationships/sharedStrings" Target="/xl/sharedStrings.xml" Id="R58955f7cc6df431a" /><Relationship Type="http://schemas.openxmlformats.org/officeDocument/2006/relationships/worksheet" Target="/xl/worksheets/sheet1.xml" Id="Rb79a0923aac7422d" /><Relationship Type="http://schemas.openxmlformats.org/officeDocument/2006/relationships/worksheet" Target="/xl/worksheets/sheet2.xml" Id="R84fc21cdfba74d6c" /><Relationship Type="http://schemas.openxmlformats.org/officeDocument/2006/relationships/worksheet" Target="/xl/worksheets/sheet3.xml" Id="R5c056fe69c49475b" /><Relationship Type="http://schemas.openxmlformats.org/officeDocument/2006/relationships/worksheet" Target="/xl/worksheets/sheet4.xml" Id="R987f45a94d9a40e2" /><Relationship Type="http://schemas.openxmlformats.org/officeDocument/2006/relationships/worksheet" Target="/xl/worksheets/sheet5.xml" Id="Rc70d82f94cf54b7b" /><Relationship Type="http://schemas.openxmlformats.org/officeDocument/2006/relationships/worksheet" Target="/xl/worksheets/sheet6.xml" Id="R8551e6441410422c" /><Relationship Type="http://schemas.openxmlformats.org/officeDocument/2006/relationships/worksheet" Target="/xl/worksheets/sheet7.xml" Id="R28b0541483804d9b" /><Relationship Type="http://schemas.openxmlformats.org/officeDocument/2006/relationships/worksheet" Target="/xl/worksheets/sheet8.xml" Id="R899d9797bdb6461c" /><Relationship Type="http://schemas.openxmlformats.org/officeDocument/2006/relationships/worksheet" Target="/xl/worksheets/sheet9.xml" Id="Re54cf1bc457d437c" /><Relationship Type="http://schemas.openxmlformats.org/officeDocument/2006/relationships/worksheet" Target="/xl/worksheets/sheet10.xml" Id="R0a6923eb52c34e98" /><Relationship Type="http://schemas.openxmlformats.org/officeDocument/2006/relationships/worksheet" Target="/xl/worksheets/sheet11.xml" Id="Rc28e8fdeec9e4bb6" /></Relationships>
</file>

<file path=xl/tables/table1.xml><?xml version="1.0" encoding="utf-8"?>
<x:table xmlns:x="http://schemas.openxmlformats.org/spreadsheetml/2006/main" id="10" name="手法の比較" displayName="手法の比較" ref="A6:S30" headerRowCount="1" totalsRowCount="0" totalsRowShown="0">
  <x:autoFilter ref="A6:S30"/>
  <x:tableColumns count="19">
    <x:tableColumn id="1" name="商品"/>
    <x:tableColumn id="2" name="手法ID"/>
    <x:tableColumn id="3" name="対象"/>
    <x:tableColumn id="4" name="総利益（円）"/>
    <x:tableColumn id="5" name="総損失（円）"/>
    <x:tableColumn id="6" name="収支（円）"/>
    <x:tableColumn id="7" name="黒字場数"/>
    <x:tableColumn id="8" name="赤字場数"/>
    <x:tableColumn id="9" name="上位3黒字除外（円）"/>
    <x:tableColumn id="10" name="新規回数"/>
    <x:tableColumn id="11" name="最悪収支（円）"/>
    <x:tableColumn id="12" name="平均赤字（円）"/>
    <x:tableColumn id="13" name="初回まで（分）"/>
    <x:tableColumn id="14" name="保有（分）"/>
    <x:tableColumn id="15" name="最大片方向保有"/>
    <x:tableColumn id="16" name="手法名"/>
    <x:tableColumn id="17" name="無取引場数"/>
    <x:tableColumn id="18" name="各場平均保有率"/>
    <x:tableColumn id="19" name="時間加重保有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全条件と区分の比較" displayName="全条件と区分の比較" ref="A35:U2060" headerRowCount="1" totalsRowCount="0" totalsRowShown="0">
  <x:autoFilter ref="A35:U2060"/>
  <x:tableColumns count="21">
    <x:tableColumn id="1" name="商品"/>
    <x:tableColumn id="2" name="手法ID"/>
    <x:tableColumn id="3" name="対象"/>
    <x:tableColumn id="4" name="総利益（円）"/>
    <x:tableColumn id="5" name="総損失（円）"/>
    <x:tableColumn id="6" name="収支（円）"/>
    <x:tableColumn id="7" name="黒字場数"/>
    <x:tableColumn id="8" name="赤字場数"/>
    <x:tableColumn id="9" name="上位3黒字除外（円）"/>
    <x:tableColumn id="10" name="新規回数"/>
    <x:tableColumn id="11" name="最悪収支（円）"/>
    <x:tableColumn id="12" name="平均赤字（円）"/>
    <x:tableColumn id="13" name="初回まで（分）"/>
    <x:tableColumn id="14" name="保有（分）"/>
    <x:tableColumn id="15" name="最大片方向保有"/>
    <x:tableColumn id="16" name="手法名"/>
    <x:tableColumn id="17" name="無取引場数"/>
    <x:tableColumn id="18" name="各場平均保有率"/>
    <x:tableColumn id="19" name="時間加重保有率"/>
    <x:tableColumn id="20" name="区分"/>
    <x:tableColumn id="21" name="対象場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昼夜別比較" displayName="昼夜別比較" ref="A6:R54" headerRowCount="1" totalsRowCount="0" totalsRowShown="0">
  <x:autoFilter ref="A6:R54"/>
  <x:tableColumns count="18">
    <x:tableColumn id="1" name="商品"/>
    <x:tableColumn id="2" name="運用ID"/>
    <x:tableColumn id="3" name="昼夜"/>
    <x:tableColumn id="4" name="対象"/>
    <x:tableColumn id="5" name="実行手法"/>
    <x:tableColumn id="6" name="運用説明"/>
    <x:tableColumn id="7" name="対象場数"/>
    <x:tableColumn id="8" name="利益（円）"/>
    <x:tableColumn id="9" name="損失（円）"/>
    <x:tableColumn id="10" name="収支（円）"/>
    <x:tableColumn id="11" name="新規数"/>
    <x:tableColumn id="12" name="黒字場数"/>
    <x:tableColumn id="13" name="赤字場数"/>
    <x:tableColumn id="14" name="無取引場数"/>
    <x:tableColumn id="15" name="平均赤字（円）"/>
    <x:tableColumn id="16" name="最大赤字（円）"/>
    <x:tableColumn id="17" name="上位3黒字除外（円）"/>
    <x:tableColumn id="18" name="保有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具体損失時間の比較" displayName="具体損失時間の比較" ref="A6:H12" headerRowCount="1" totalsRowCount="0" totalsRowShown="0">
  <x:autoFilter ref="A6:H12"/>
  <x:tableColumns count="8">
    <x:tableColumn id="1" name="セッション"/>
    <x:tableColumn id="2" name="商品"/>
    <x:tableColumn id="3" name="原価格時計"/>
    <x:tableColumn id="4" name="原seq（0始まり）"/>
    <x:tableColumn id="5" name="前回M1収支（円）"/>
    <x:tableColumn id="6" name="今回F1収支（円）"/>
    <x:tableColumn id="7" name="差額（円）"/>
    <x:tableColumn id="8" name="観測した問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日経_B5_セッション会計" displayName="日経_B5_セッション会計" ref="A6:Q56" headerRowCount="1" totalsRowCount="0" totalsRowShown="0">
  <x:autoFilter ref="A6:Q56"/>
  <x:tableColumns count="17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  <x:tableColumn id="16" name="保有率"/>
    <x:tableColumn id="17" name="平均保有枚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日経_M1_セッション会計" displayName="日経_M1_セッション会計" ref="A6:Q56" headerRowCount="1" totalsRowCount="0" totalsRowShown="0">
  <x:autoFilter ref="A6:Q56"/>
  <x:tableColumns count="17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  <x:tableColumn id="16" name="保有率"/>
    <x:tableColumn id="17" name="平均保有枚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日経_F1_セッション会計" displayName="日経_F1_セッション会計" ref="A6:Q56" headerRowCount="1" totalsRowCount="0" totalsRowShown="0">
  <x:autoFilter ref="A6:Q56"/>
  <x:tableColumns count="17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  <x:tableColumn id="16" name="保有率"/>
    <x:tableColumn id="17" name="平均保有枚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日経_V04_セッション会計" displayName="日経_V04_セッション会計" ref="A6:Q56" headerRowCount="1" totalsRowCount="0" totalsRowShown="0">
  <x:autoFilter ref="A6:Q56"/>
  <x:tableColumns count="17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  <x:tableColumn id="16" name="保有率"/>
    <x:tableColumn id="17" name="平均保有枚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TOPIX_B5_セッション会計" displayName="TOPIX_B5_セッション会計" ref="A6:Q56" headerRowCount="1" totalsRowCount="0" totalsRowShown="0">
  <x:autoFilter ref="A6:Q56"/>
  <x:tableColumns count="17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  <x:tableColumn id="16" name="保有率"/>
    <x:tableColumn id="17" name="平均保有枚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TOPIX_M1_セッション会計" displayName="TOPIX_M1_セッション会計" ref="A6:Q56" headerRowCount="1" totalsRowCount="0" totalsRowShown="0">
  <x:autoFilter ref="A6:Q56"/>
  <x:tableColumns count="17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  <x:tableColumn id="16" name="保有率"/>
    <x:tableColumn id="17" name="平均保有枚数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TOPIX_F1_セッション会計" displayName="TOPIX_F1_セッション会計" ref="A6:Q56" headerRowCount="1" totalsRowCount="0" totalsRowShown="0">
  <x:autoFilter ref="A6:Q56"/>
  <x:tableColumns count="17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  <x:tableColumn id="16" name="保有率"/>
    <x:tableColumn id="17" name="平均保有枚数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TOPIX_V04_セッション会計" displayName="TOPIX_V04_セッション会計" ref="A6:Q56" headerRowCount="1" totalsRowCount="0" totalsRowShown="0">
  <x:autoFilter ref="A6:Q56"/>
  <x:tableColumns count="17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  <x:tableColumn id="16" name="保有率"/>
    <x:tableColumn id="17" name="平均保有枚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3d1c5288da4747" /><Relationship Type="http://schemas.openxmlformats.org/officeDocument/2006/relationships/table" Target="/xl/tables/table2.xml" Id="R84dd5a3c0d214d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594fdae957240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65738404a8e40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58100fd27df4c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f79a78fa5da45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6ac5746107d47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e0126f0f83874e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19e88dfc71e348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28b87282cc264c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d61c744b958749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e493f7bf7f2940f5" /></Relationships>
</file>

<file path=xl/worksheets/sheet1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12" hidden="0" customWidth="1"/>
    <x:col min="8" max="8" width="12" hidden="0" customWidth="1"/>
    <x:col min="9" max="9" width="24" hidden="0" customWidth="1"/>
    <x:col min="10" max="10" width="12" hidden="0" customWidth="1"/>
    <x:col min="11" max="11" width="20" hidden="0" customWidth="1"/>
    <x:col min="12" max="12" width="20" hidden="0" customWidth="1"/>
    <x:col min="13" max="13" width="17" hidden="0" customWidth="1"/>
    <x:col min="14" max="14" width="17" hidden="0" customWidth="1"/>
    <x:col min="15" max="15" width="17" hidden="0" customWidth="1"/>
    <x:col min="16" max="16" width="62" hidden="0" customWidth="1"/>
    <x:col min="17" max="17" width="14" hidden="0" customWidth="1"/>
    <x:col min="18" max="18" width="21" hidden="0" customWidth="1"/>
    <x:col min="19" max="19" width="21" hidden="0" customWidth="1"/>
    <x:col min="20" max="20" width="14" hidden="0" customWidth="1"/>
    <x:col min="21" max="21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4" t="str">
        <x:v>状況判断と売買担当別の比較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7" t="str">
        <x:v>片方向上限10枚・手数料後の円。B5＝元の基準、M1＝前回案、F1＝今回の安定性比較案、V04＝活動拡大の対照（採用非推奨）。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54" customHeight="1">
      <x:c r="A4" s="32" t="str">
        <x:v>全50場は既知開発。F1の昼夜構成は全結果を見た比較案。日経mini/TOPIXmini・片方向最大10枚・標準手数料後・ラージ次正常BBO代理。独立受信時計はなく、秒数は保存価格時計基準。保有率はDay420分/Night780分を各場の分母にした単純平均。約50%は目安で無動意の強制保有はしない。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7" t="str">
        <x:v>保有率は昼420分・夜780分が分母。全場平均50%程度を目安とし、各場の50%保有は強制しません。深夜の無動意区間も今回の分母に含みます。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16" t="str">
        <x:v>商品</x:v>
      </x:c>
      <x:c r="B6" s="17" t="str">
        <x:v>手法ID</x:v>
      </x:c>
      <x:c r="C6" s="17" t="str">
        <x:v>対象</x:v>
      </x:c>
      <x:c r="D6" s="17" t="str">
        <x:v>総利益（円）</x:v>
      </x:c>
      <x:c r="E6" s="17" t="str">
        <x:v>総損失（円）</x:v>
      </x:c>
      <x:c r="F6" s="17" t="str">
        <x:v>収支（円）</x:v>
      </x:c>
      <x:c r="G6" s="17" t="str">
        <x:v>黒字場数</x:v>
      </x:c>
      <x:c r="H6" s="17" t="str">
        <x:v>赤字場数</x:v>
      </x:c>
      <x:c r="I6" s="17" t="str">
        <x:v>上位3黒字除外（円）</x:v>
      </x:c>
      <x:c r="J6" s="17" t="str">
        <x:v>新規回数</x:v>
      </x:c>
      <x:c r="K6" s="17" t="str">
        <x:v>最悪収支（円）</x:v>
      </x:c>
      <x:c r="L6" s="17" t="str">
        <x:v>平均赤字（円）</x:v>
      </x:c>
      <x:c r="M6" s="17" t="str">
        <x:v>初回まで（分）</x:v>
      </x:c>
      <x:c r="N6" s="17" t="str">
        <x:v>保有（分）</x:v>
      </x:c>
      <x:c r="O6" s="17" t="str">
        <x:v>最大片方向保有</x:v>
      </x:c>
      <x:c r="P6" s="17" t="str">
        <x:v>手法名</x:v>
      </x:c>
      <x:c r="Q6" s="17" t="str">
        <x:v>無取引場数</x:v>
      </x:c>
      <x:c r="R6" s="17" t="str">
        <x:v>各場平均保有率</x:v>
      </x:c>
      <x:c r="S6" s="18" t="str">
        <x:v>時間加重保有率</x:v>
      </x:c>
    </x:row>
    <x:row r="7" ht="22" customHeight="1">
      <x:c r="A7" s="2" t="str">
        <x:v>日経mini</x:v>
      </x:c>
      <x:c r="B7" s="2" t="str">
        <x:v>B5</x:v>
      </x:c>
      <x:c r="C7" s="2" t="str">
        <x:v>全50場</x:v>
      </x:c>
      <x:c r="D7" s="20" t="n">
        <x:f>SUM('日経_B5'!D7:D56)</x:f>
        <x:v>4215188</x:v>
      </x:c>
      <x:c r="E7" s="20" t="n">
        <x:f>SUM('日経_B5'!E7:E56)</x:f>
        <x:v>2149740</x:v>
      </x:c>
      <x:c r="F7" s="20" t="n">
        <x:f>D7-E7</x:f>
        <x:v>2065448</x:v>
      </x:c>
      <x:c r="G7" s="29" t="n">
        <x:f>COUNTIFS('日経_B5'!F7:F56,"&gt;0")</x:f>
        <x:v>32</x:v>
      </x:c>
      <x:c r="H7" s="29" t="n">
        <x:f>COUNTIFS('日経_B5'!F7:F56,"&lt;0")</x:f>
        <x:v>18</x:v>
      </x:c>
      <x:c r="I7" s="20" t="n">
        <x:f>F7-MAX(0,LARGE('日経_B5'!F7:F56,1))-MAX(0,LARGE('日経_B5'!F7:F56,2))-MAX(0,LARGE('日経_B5'!F7:F56,3))</x:f>
        <x:v>1066368</x:v>
      </x:c>
      <x:c r="J7" s="29" t="n">
        <x:f>SUM('日経_B5'!J7:J56)</x:f>
        <x:v>108</x:v>
      </x:c>
      <x:c r="K7" s="20" t="n">
        <x:f>MIN('日経_B5'!F7:F56)</x:f>
        <x:v>-153304</x:v>
      </x:c>
      <x:c r="L7" s="20" t="n">
        <x:f>IF(H7=0,0,-SUMIFS('日経_B5'!F7:F56,'日経_B5'!F7:F56,"&lt;0")/H7)</x:f>
        <x:v>60566.88888888889</x:v>
      </x:c>
      <x:c r="M7" s="30" t="n">
        <x:f>IF(COUNTIFS('日経_B5'!J7:J56,"&gt;0")=0,"",AVERAGEIFS('日経_B5'!N7:N56,'日経_B5'!J7:J56,"&gt;0"))</x:f>
        <x:v>239.14166666666665</x:v>
      </x:c>
      <x:c r="N7" s="30" t="n">
        <x:f>IF(COUNTIFS('日経_B5'!J7:J56,"&gt;0")=0,"",AVERAGEIFS('日経_B5'!O7:O56,'日経_B5'!J7:J56,"&gt;0"))</x:f>
        <x:v>88.34033333333335</x:v>
      </x:c>
      <x:c r="O7" s="29" t="n">
        <x:f>MAX('日経_B5'!L7:L56)</x:f>
        <x:v>5</x:v>
      </x:c>
      <x:c r="P7" s="2" t="str">
        <x:v>従来基準</x:v>
      </x:c>
      <x:c r="Q7" s="22" t="n">
        <x:f>COUNTIFS('日経_B5'!J7:J56,"=0")</x:f>
        <x:v>0</x:v>
      </x:c>
      <x:c r="R7" s="26" t="n">
        <x:f>AVERAGE('日経_B5'!P7:P56)</x:f>
        <x:v>0.1974425518925519</x:v>
      </x:c>
      <x:c r="S7" s="26" t="n">
        <x:f>SUM('日経_B5'!O7:O56)/(COUNTIF('日経_B5'!C7:C56,"デイ")*420+COUNTIF('日経_B5'!C7:C56,"ナイト")*780)</x:f>
        <x:v>0.14723388888888891</x:v>
      </x:c>
    </x:row>
    <x:row r="8" ht="22" customHeight="1">
      <x:c r="A8" s="2" t="str">
        <x:v>日経mini</x:v>
      </x:c>
      <x:c r="B8" s="2" t="str">
        <x:v>B5</x:v>
      </x:c>
      <x:c r="C8" s="2" t="str">
        <x:v>対照47場</x:v>
      </x:c>
      <x:c r="D8" s="20" t="n">
        <x:f>SUM('日経_B5'!D7:D53)</x:f>
        <x:v>4110572</x:v>
      </x:c>
      <x:c r="E8" s="20" t="n">
        <x:f>SUM('日経_B5'!E7:E53)</x:f>
        <x:v>1993588</x:v>
      </x:c>
      <x:c r="F8" s="20" t="n">
        <x:f>D8-E8</x:f>
        <x:v>2116984</x:v>
      </x:c>
      <x:c r="G8" s="29" t="n">
        <x:f>COUNTIFS('日経_B5'!F7:F53,"&gt;0")</x:f>
        <x:v>31</x:v>
      </x:c>
      <x:c r="H8" s="29" t="n">
        <x:f>COUNTIFS('日経_B5'!F7:F53,"&lt;0")</x:f>
        <x:v>16</x:v>
      </x:c>
      <x:c r="I8" s="20" t="n">
        <x:f>F8-MAX(0,LARGE('日経_B5'!F7:F53,1))-MAX(0,LARGE('日経_B5'!F7:F53,2))-MAX(0,LARGE('日経_B5'!F7:F53,3))</x:f>
        <x:v>1117904</x:v>
      </x:c>
      <x:c r="J8" s="29" t="n">
        <x:f>SUM('日経_B5'!J7:J53)</x:f>
        <x:v>104</x:v>
      </x:c>
      <x:c r="K8" s="20" t="n">
        <x:f>MIN('日経_B5'!F7:F53)</x:f>
        <x:v>-153304</x:v>
      </x:c>
      <x:c r="L8" s="20" t="n">
        <x:f>IF(H8=0,0,-SUMIFS('日経_B5'!F7:F53,'日経_B5'!F7:F53,"&lt;0")/H8)</x:f>
        <x:v>61839.75</x:v>
      </x:c>
      <x:c r="M8" s="30" t="n">
        <x:f>IF(COUNTIFS('日経_B5'!J7:J53,"&gt;0")=0,"",AVERAGEIFS('日経_B5'!N7:N53,'日経_B5'!J7:J53,"&gt;0"))</x:f>
        <x:v>236.14078014184395</x:v>
      </x:c>
      <x:c r="N8" s="30" t="n">
        <x:f>IF(COUNTIFS('日経_B5'!J7:J53,"&gt;0")=0,"",AVERAGEIFS('日経_B5'!O7:O53,'日経_B5'!J7:J53,"&gt;0"))</x:f>
        <x:v>93.3858156028369</x:v>
      </x:c>
      <x:c r="O8" s="29" t="n">
        <x:f>MAX('日経_B5'!L7:L53)</x:f>
        <x:v>5</x:v>
      </x:c>
      <x:c r="P8" s="2" t="str">
        <x:v>従来基準</x:v>
      </x:c>
      <x:c r="Q8" s="22" t="n">
        <x:f>COUNTIFS('日経_B5'!J7:J53,"=0")</x:f>
        <x:v>0</x:v>
      </x:c>
      <x:c r="R8" s="26" t="n">
        <x:f>AVERAGE('日経_B5'!P7:P53)</x:f>
        <x:v>0.2091856961005897</x:v>
      </x:c>
      <x:c r="S8" s="26" t="n">
        <x:f>SUM('日経_B5'!O7:O53)/(COUNTIF('日経_B5'!C7:C53,"デイ")*420+COUNTIF('日経_B5'!C7:C53,"ナイト")*780)</x:f>
        <x:v>0.15664287413752084</x:v>
      </x:c>
    </x:row>
    <x:row r="9" ht="22" customHeight="1">
      <x:c r="A9" s="2" t="str">
        <x:v>日経mini</x:v>
      </x:c>
      <x:c r="B9" s="2" t="str">
        <x:v>B5</x:v>
      </x:c>
      <x:c r="C9" s="2" t="str">
        <x:v>診断3場</x:v>
      </x:c>
      <x:c r="D9" s="20" t="n">
        <x:f>SUM('日経_B5'!D54:D56)</x:f>
        <x:v>104616</x:v>
      </x:c>
      <x:c r="E9" s="20" t="n">
        <x:f>SUM('日経_B5'!E54:E56)</x:f>
        <x:v>156152</x:v>
      </x:c>
      <x:c r="F9" s="20" t="n">
        <x:f>D9-E9</x:f>
        <x:v>-51536</x:v>
      </x:c>
      <x:c r="G9" s="29" t="n">
        <x:f>COUNTIFS('日経_B5'!F54:F56,"&gt;0")</x:f>
        <x:v>1</x:v>
      </x:c>
      <x:c r="H9" s="29" t="n">
        <x:f>COUNTIFS('日経_B5'!F54:F56,"&lt;0")</x:f>
        <x:v>2</x:v>
      </x:c>
      <x:c r="I9" s="20" t="n">
        <x:f>F9-MAX(0,LARGE('日経_B5'!F54:F56,1))-MAX(0,LARGE('日経_B5'!F54:F56,2))-MAX(0,LARGE('日経_B5'!F54:F56,3))</x:f>
        <x:v>-100768</x:v>
      </x:c>
      <x:c r="J9" s="29" t="n">
        <x:f>SUM('日経_B5'!J54:J56)</x:f>
        <x:v>4</x:v>
      </x:c>
      <x:c r="K9" s="20" t="n">
        <x:f>MIN('日経_B5'!F54:F56)</x:f>
        <x:v>-55384</x:v>
      </x:c>
      <x:c r="L9" s="20" t="n">
        <x:f>IF(H9=0,0,-SUMIFS('日経_B5'!F54:F56,'日経_B5'!F54:F56,"&lt;0")/H9)</x:f>
        <x:v>50384</x:v>
      </x:c>
      <x:c r="M9" s="30" t="n">
        <x:f>IF(COUNTIFS('日経_B5'!J54:J56,"&gt;0")=0,"",AVERAGEIFS('日経_B5'!N54:N56,'日経_B5'!J54:J56,"&gt;0"))</x:f>
        <x:v>286.15555555555557</x:v>
      </x:c>
      <x:c r="N9" s="30" t="n">
        <x:f>IF(COUNTIFS('日経_B5'!J54:J56,"&gt;0")=0,"",AVERAGEIFS('日経_B5'!O54:O56,'日経_B5'!J54:J56,"&gt;0"))</x:f>
        <x:v>9.294444444444444</x:v>
      </x:c>
      <x:c r="O9" s="29" t="n">
        <x:f>MAX('日経_B5'!L54:L56)</x:f>
        <x:v>5</x:v>
      </x:c>
      <x:c r="P9" s="2" t="str">
        <x:v>従来基準</x:v>
      </x:c>
      <x:c r="Q9" s="22" t="n">
        <x:f>COUNTIFS('日経_B5'!J54:J56,"=0")</x:f>
        <x:v>0</x:v>
      </x:c>
      <x:c r="R9" s="26" t="n">
        <x:f>AVERAGE('日経_B5'!P54:P56)</x:f>
        <x:v>0.013466625966625968</x:v>
      </x:c>
      <x:c r="S9" s="26" t="n">
        <x:f>SUM('日経_B5'!O54:O56)/(COUNTIF('日経_B5'!C54:C56,"デイ")*420+COUNTIF('日経_B5'!C54:C56,"ナイト")*780)</x:f>
        <x:v>0.014082491582491582</x:v>
      </x:c>
    </x:row>
    <x:row r="10" ht="22" customHeight="1">
      <x:c r="A10" s="2" t="str">
        <x:v>日経mini</x:v>
      </x:c>
      <x:c r="B10" s="2" t="str">
        <x:v>M1</x:v>
      </x:c>
      <x:c r="C10" s="2" t="str">
        <x:v>全50場</x:v>
      </x:c>
      <x:c r="D10" s="20" t="n">
        <x:f>SUM('日経_M1'!D7:D56)</x:f>
        <x:v>5892638</x:v>
      </x:c>
      <x:c r="E10" s="20" t="n">
        <x:f>SUM('日経_M1'!E7:E56)</x:f>
        <x:v>3207120</x:v>
      </x:c>
      <x:c r="F10" s="20" t="n">
        <x:f>D10-E10</x:f>
        <x:v>2685518</x:v>
      </x:c>
      <x:c r="G10" s="29" t="n">
        <x:f>COUNTIFS('日経_M1'!F7:F56,"&gt;0")</x:f>
        <x:v>34</x:v>
      </x:c>
      <x:c r="H10" s="29" t="n">
        <x:f>COUNTIFS('日経_M1'!F7:F56,"&lt;0")</x:f>
        <x:v>16</x:v>
      </x:c>
      <x:c r="I10" s="20" t="n">
        <x:f>F10-MAX(0,LARGE('日経_M1'!F7:F56,1))-MAX(0,LARGE('日経_M1'!F7:F56,2))-MAX(0,LARGE('日経_M1'!F7:F56,3))</x:f>
        <x:v>1530276</x:v>
      </x:c>
      <x:c r="J10" s="29" t="n">
        <x:f>SUM('日経_M1'!J7:J56)</x:f>
        <x:v>269</x:v>
      </x:c>
      <x:c r="K10" s="20" t="n">
        <x:f>MIN('日経_M1'!F7:F56)</x:f>
        <x:v>-116462</x:v>
      </x:c>
      <x:c r="L10" s="20" t="n">
        <x:f>IF(H10=0,0,-SUMIFS('日経_M1'!F7:F56,'日経_M1'!F7:F56,"&lt;0")/H10)</x:f>
        <x:v>59247.375</x:v>
      </x:c>
      <x:c r="M10" s="30" t="n">
        <x:f>IF(COUNTIFS('日経_M1'!J7:J56,"&gt;0")=0,"",AVERAGEIFS('日経_M1'!N7:N56,'日経_M1'!J7:J56,"&gt;0"))</x:f>
        <x:v>212.28466666666668</x:v>
      </x:c>
      <x:c r="N10" s="30" t="n">
        <x:f>IF(COUNTIFS('日経_M1'!J7:J56,"&gt;0")=0,"",AVERAGEIFS('日経_M1'!O7:O56,'日経_M1'!J7:J56,"&gt;0"))</x:f>
        <x:v>129.19866666666664</x:v>
      </x:c>
      <x:c r="O10" s="29" t="n">
        <x:f>MAX('日経_M1'!L7:L56)</x:f>
        <x:v>10</x:v>
      </x:c>
      <x:c r="P10" s="2" t="str">
        <x:v>00141の昼夜別固定案</x:v>
      </x:c>
      <x:c r="Q10" s="22" t="n">
        <x:f>COUNTIFS('日経_M1'!J7:J56,"=0")</x:f>
        <x:v>0</x:v>
      </x:c>
      <x:c r="R10" s="26" t="n">
        <x:f>AVERAGE('日経_M1'!P7:P56)</x:f>
        <x:v>0.28843455433455434</x:v>
      </x:c>
      <x:c r="S10" s="26" t="n">
        <x:f>SUM('日経_M1'!O7:O56)/(COUNTIF('日経_M1'!C7:C56,"デイ")*420+COUNTIF('日経_M1'!C7:C56,"ナイト")*780)</x:f>
        <x:v>0.21533111111111106</x:v>
      </x:c>
    </x:row>
    <x:row r="11" ht="22" customHeight="1">
      <x:c r="A11" s="2" t="str">
        <x:v>日経mini</x:v>
      </x:c>
      <x:c r="B11" s="2" t="str">
        <x:v>M1</x:v>
      </x:c>
      <x:c r="C11" s="2" t="str">
        <x:v>対照47場</x:v>
      </x:c>
      <x:c r="D11" s="20" t="n">
        <x:f>SUM('日経_M1'!D7:D53)</x:f>
        <x:v>5709558</x:v>
      </x:c>
      <x:c r="E11" s="20" t="n">
        <x:f>SUM('日経_M1'!E7:E53)</x:f>
        <x:v>2990506</x:v>
      </x:c>
      <x:c r="F11" s="20" t="n">
        <x:f>D11-E11</x:f>
        <x:v>2719052</x:v>
      </x:c>
      <x:c r="G11" s="29" t="n">
        <x:f>COUNTIFS('日経_M1'!F7:F53,"&gt;0")</x:f>
        <x:v>33</x:v>
      </x:c>
      <x:c r="H11" s="29" t="n">
        <x:f>COUNTIFS('日経_M1'!F7:F53,"&lt;0")</x:f>
        <x:v>14</x:v>
      </x:c>
      <x:c r="I11" s="20" t="n">
        <x:f>F11-MAX(0,LARGE('日経_M1'!F7:F53,1))-MAX(0,LARGE('日経_M1'!F7:F53,2))-MAX(0,LARGE('日経_M1'!F7:F53,3))</x:f>
        <x:v>1563810</x:v>
      </x:c>
      <x:c r="J11" s="29" t="n">
        <x:f>SUM('日経_M1'!J7:J53)</x:f>
        <x:v>257</x:v>
      </x:c>
      <x:c r="K11" s="20" t="n">
        <x:f>MIN('日経_M1'!F7:F53)</x:f>
        <x:v>-116462</x:v>
      </x:c>
      <x:c r="L11" s="20" t="n">
        <x:f>IF(H11=0,0,-SUMIFS('日経_M1'!F7:F53,'日経_M1'!F7:F53,"&lt;0")/H11)</x:f>
        <x:v>61667.57142857143</x:v>
      </x:c>
      <x:c r="M11" s="30" t="n">
        <x:f>IF(COUNTIFS('日経_M1'!J7:J53,"&gt;0")=0,"",AVERAGEIFS('日経_M1'!N7:N53,'日経_M1'!J7:J53,"&gt;0"))</x:f>
        <x:v>208.49007092198582</x:v>
      </x:c>
      <x:c r="N11" s="30" t="n">
        <x:f>IF(COUNTIFS('日経_M1'!J7:J53,"&gt;0")=0,"",AVERAGEIFS('日経_M1'!O7:O53,'日経_M1'!J7:J53,"&gt;0"))</x:f>
        <x:v>132.00177304964535</x:v>
      </x:c>
      <x:c r="O11" s="29" t="n">
        <x:f>MAX('日経_M1'!L7:L53)</x:f>
        <x:v>10</x:v>
      </x:c>
      <x:c r="P11" s="2" t="str">
        <x:v>00141の昼夜別固定案</x:v>
      </x:c>
      <x:c r="Q11" s="22" t="n">
        <x:f>COUNTIFS('日経_M1'!J7:J53,"=0")</x:f>
        <x:v>0</x:v>
      </x:c>
      <x:c r="R11" s="26" t="n">
        <x:f>AVERAGE('日経_M1'!P7:P53)</x:f>
        <x:v>0.2947735302522536</x:v>
      </x:c>
      <x:c r="S11" s="26" t="n">
        <x:f>SUM('日経_M1'!O7:O53)/(COUNTIF('日経_M1'!C7:C53,"デイ")*420+COUNTIF('日経_M1'!C7:C53,"ナイト")*780)</x:f>
        <x:v>0.22141625029740652</x:v>
      </x:c>
    </x:row>
    <x:row r="12" ht="22" customHeight="1">
      <x:c r="A12" s="2" t="str">
        <x:v>日経mini</x:v>
      </x:c>
      <x:c r="B12" s="2" t="str">
        <x:v>M1</x:v>
      </x:c>
      <x:c r="C12" s="2" t="str">
        <x:v>診断3場</x:v>
      </x:c>
      <x:c r="D12" s="20" t="n">
        <x:f>SUM('日経_M1'!D54:D56)</x:f>
        <x:v>183080</x:v>
      </x:c>
      <x:c r="E12" s="20" t="n">
        <x:f>SUM('日経_M1'!E54:E56)</x:f>
        <x:v>216614</x:v>
      </x:c>
      <x:c r="F12" s="20" t="n">
        <x:f>D12-E12</x:f>
        <x:v>-33534</x:v>
      </x:c>
      <x:c r="G12" s="29" t="n">
        <x:f>COUNTIFS('日経_M1'!F54:F56,"&gt;0")</x:f>
        <x:v>1</x:v>
      </x:c>
      <x:c r="H12" s="29" t="n">
        <x:f>COUNTIFS('日経_M1'!F54:F56,"&lt;0")</x:f>
        <x:v>2</x:v>
      </x:c>
      <x:c r="I12" s="20" t="n">
        <x:f>F12-MAX(0,LARGE('日経_M1'!F54:F56,1))-MAX(0,LARGE('日経_M1'!F54:F56,2))-MAX(0,LARGE('日経_M1'!F54:F56,3))</x:f>
        <x:v>-84612</x:v>
      </x:c>
      <x:c r="J12" s="29" t="n">
        <x:f>SUM('日経_M1'!J54:J56)</x:f>
        <x:v>12</x:v>
      </x:c>
      <x:c r="K12" s="20" t="n">
        <x:f>MIN('日経_M1'!F54:F56)</x:f>
        <x:v>-61538</x:v>
      </x:c>
      <x:c r="L12" s="20" t="n">
        <x:f>IF(H12=0,0,-SUMIFS('日経_M1'!F54:F56,'日経_M1'!F54:F56,"&lt;0")/H12)</x:f>
        <x:v>42306</x:v>
      </x:c>
      <x:c r="M12" s="30" t="n">
        <x:f>IF(COUNTIFS('日経_M1'!J54:J56,"&gt;0")=0,"",AVERAGEIFS('日経_M1'!N54:N56,'日経_M1'!J54:J56,"&gt;0"))</x:f>
        <x:v>271.73333333333335</x:v>
      </x:c>
      <x:c r="N12" s="30" t="n">
        <x:f>IF(COUNTIFS('日経_M1'!J54:J56,"&gt;0")=0,"",AVERAGEIFS('日経_M1'!O54:O56,'日経_M1'!J54:J56,"&gt;0"))</x:f>
        <x:v>85.28333333333333</x:v>
      </x:c>
      <x:c r="O12" s="29" t="n">
        <x:f>MAX('日経_M1'!L54:L56)</x:f>
        <x:v>5</x:v>
      </x:c>
      <x:c r="P12" s="2" t="str">
        <x:v>00141の昼夜別固定案</x:v>
      </x:c>
      <x:c r="Q12" s="22" t="n">
        <x:f>COUNTIFS('日経_M1'!J54:J56,"=0")</x:f>
        <x:v>0</x:v>
      </x:c>
      <x:c r="R12" s="26" t="n">
        <x:f>AVERAGE('日経_M1'!P54:P56)</x:f>
        <x:v>0.18912393162393162</x:v>
      </x:c>
      <x:c r="S12" s="26" t="n">
        <x:f>SUM('日経_M1'!O54:O56)/(COUNTIF('日経_M1'!C54:C56,"デイ")*420+COUNTIF('日経_M1'!C54:C56,"ナイト")*780)</x:f>
        <x:v>0.1292171717171717</x:v>
      </x:c>
    </x:row>
    <x:row r="13" ht="22" customHeight="1">
      <x:c r="A13" s="2" t="str">
        <x:v>日経mini</x:v>
      </x:c>
      <x:c r="B13" s="2" t="str">
        <x:v>F1</x:v>
      </x:c>
      <x:c r="C13" s="2" t="str">
        <x:v>全50場</x:v>
      </x:c>
      <x:c r="D13" s="20" t="n">
        <x:f>SUM('日経_F1'!D7:D56)</x:f>
        <x:v>5902255</x:v>
      </x:c>
      <x:c r="E13" s="20" t="n">
        <x:f>SUM('日経_F1'!E7:E56)</x:f>
        <x:v>3165732</x:v>
      </x:c>
      <x:c r="F13" s="20" t="n">
        <x:f>D13-E13</x:f>
        <x:v>2736523</x:v>
      </x:c>
      <x:c r="G13" s="29" t="n">
        <x:f>COUNTIFS('日経_F1'!F7:F56,"&gt;0")</x:f>
        <x:v>35</x:v>
      </x:c>
      <x:c r="H13" s="29" t="n">
        <x:f>COUNTIFS('日経_F1'!F7:F56,"&lt;0")</x:f>
        <x:v>15</x:v>
      </x:c>
      <x:c r="I13" s="20" t="n">
        <x:f>F13-MAX(0,LARGE('日経_F1'!F7:F56,1))-MAX(0,LARGE('日経_F1'!F7:F56,2))-MAX(0,LARGE('日経_F1'!F7:F56,3))</x:f>
        <x:v>1581281</x:v>
      </x:c>
      <x:c r="J13" s="29" t="n">
        <x:f>SUM('日経_F1'!J7:J56)</x:f>
        <x:v>269</x:v>
      </x:c>
      <x:c r="K13" s="20" t="n">
        <x:f>MIN('日経_F1'!F7:F56)</x:f>
        <x:v>-121461</x:v>
      </x:c>
      <x:c r="L13" s="20" t="n">
        <x:f>IF(H13=0,0,-SUMIFS('日経_F1'!F7:F56,'日経_F1'!F7:F56,"&lt;0")/H13)</x:f>
        <x:v>59427.933333333334</x:v>
      </x:c>
      <x:c r="M13" s="30" t="n">
        <x:f>IF(COUNTIFS('日経_F1'!J7:J56,"&gt;0")=0,"",AVERAGEIFS('日経_F1'!N7:N56,'日経_F1'!J7:J56,"&gt;0"))</x:f>
        <x:v>212.28466666666668</x:v>
      </x:c>
      <x:c r="N13" s="30" t="n">
        <x:f>IF(COUNTIFS('日経_F1'!J7:J56,"&gt;0")=0,"",AVERAGEIFS('日経_F1'!O7:O56,'日経_F1'!J7:J56,"&gt;0"))</x:f>
        <x:v>129.79299999999995</x:v>
      </x:c>
      <x:c r="O13" s="29" t="n">
        <x:f>MAX('日経_F1'!L7:L56)</x:f>
        <x:v>10</x:v>
      </x:c>
      <x:c r="P13" s="2" t="str">
        <x:v>赤字場数を重視した条件切替案</x:v>
      </x:c>
      <x:c r="Q13" s="22" t="n">
        <x:f>COUNTIFS('日経_F1'!J7:J56,"=0")</x:f>
        <x:v>0</x:v>
      </x:c>
      <x:c r="R13" s="26" t="n">
        <x:f>AVERAGE('日経_F1'!P7:P56)</x:f>
        <x:v>0.28919652014652014</x:v>
      </x:c>
      <x:c r="S13" s="26" t="n">
        <x:f>SUM('日経_F1'!O7:O56)/(COUNTIF('日経_F1'!C7:C56,"デイ")*420+COUNTIF('日経_F1'!C7:C56,"ナイト")*780)</x:f>
        <x:v>0.21632166666666655</x:v>
      </x:c>
    </x:row>
    <x:row r="14" ht="22" customHeight="1">
      <x:c r="A14" s="2" t="str">
        <x:v>日経mini</x:v>
      </x:c>
      <x:c r="B14" s="2" t="str">
        <x:v>F1</x:v>
      </x:c>
      <x:c r="C14" s="2" t="str">
        <x:v>対照47場</x:v>
      </x:c>
      <x:c r="D14" s="20" t="n">
        <x:f>SUM('日経_F1'!D7:D53)</x:f>
        <x:v>5686405</x:v>
      </x:c>
      <x:c r="E14" s="20" t="n">
        <x:f>SUM('日経_F1'!E7:E53)</x:f>
        <x:v>2985350</x:v>
      </x:c>
      <x:c r="F14" s="20" t="n">
        <x:f>D14-E14</x:f>
        <x:v>2701055</x:v>
      </x:c>
      <x:c r="G14" s="29" t="n">
        <x:f>COUNTIFS('日経_F1'!F7:F53,"&gt;0")</x:f>
        <x:v>33</x:v>
      </x:c>
      <x:c r="H14" s="29" t="n">
        <x:f>COUNTIFS('日経_F1'!F7:F53,"&lt;0")</x:f>
        <x:v>14</x:v>
      </x:c>
      <x:c r="I14" s="20" t="n">
        <x:f>F14-MAX(0,LARGE('日経_F1'!F7:F53,1))-MAX(0,LARGE('日経_F1'!F7:F53,2))-MAX(0,LARGE('日経_F1'!F7:F53,3))</x:f>
        <x:v>1545813</x:v>
      </x:c>
      <x:c r="J14" s="29" t="n">
        <x:f>SUM('日経_F1'!J7:J53)</x:f>
        <x:v>257</x:v>
      </x:c>
      <x:c r="K14" s="20" t="n">
        <x:f>MIN('日経_F1'!F7:F53)</x:f>
        <x:v>-121461</x:v>
      </x:c>
      <x:c r="L14" s="20" t="n">
        <x:f>IF(H14=0,0,-SUMIFS('日経_F1'!F7:F53,'日経_F1'!F7:F53,"&lt;0")/H14)</x:f>
        <x:v>62024.642857142855</x:v>
      </x:c>
      <x:c r="M14" s="30" t="n">
        <x:f>IF(COUNTIFS('日経_F1'!J7:J53,"&gt;0")=0,"",AVERAGEIFS('日経_F1'!N7:N53,'日経_F1'!J7:J53,"&gt;0"))</x:f>
        <x:v>208.49007092198582</x:v>
      </x:c>
      <x:c r="N14" s="30" t="n">
        <x:f>IF(COUNTIFS('日経_F1'!J7:J53,"&gt;0")=0,"",AVERAGEIFS('日経_F1'!O7:O53,'日経_F1'!J7:J53,"&gt;0"))</x:f>
        <x:v>132.24007092198576</x:v>
      </x:c>
      <x:c r="O14" s="29" t="n">
        <x:f>MAX('日経_F1'!L7:L53)</x:f>
        <x:v>10</x:v>
      </x:c>
      <x:c r="P14" s="2" t="str">
        <x:v>赤字場数を重視した条件切替案</x:v>
      </x:c>
      <x:c r="Q14" s="22" t="n">
        <x:f>COUNTIFS('日経_F1'!J7:J53,"=0")</x:f>
        <x:v>0</x:v>
      </x:c>
      <x:c r="R14" s="26" t="n">
        <x:f>AVERAGE('日経_F1'!P7:P53)</x:f>
        <x:v>0.2950790403449978</x:v>
      </x:c>
      <x:c r="S14" s="26" t="n">
        <x:f>SUM('日経_F1'!O7:O53)/(COUNTIF('日経_F1'!C7:C53,"デイ")*420+COUNTIF('日経_F1'!C7:C53,"ナイト")*780)</x:f>
        <x:v>0.22181596478705679</x:v>
      </x:c>
    </x:row>
    <x:row r="15" ht="22" customHeight="1">
      <x:c r="A15" s="2" t="str">
        <x:v>日経mini</x:v>
      </x:c>
      <x:c r="B15" s="2" t="str">
        <x:v>F1</x:v>
      </x:c>
      <x:c r="C15" s="2" t="str">
        <x:v>診断3場</x:v>
      </x:c>
      <x:c r="D15" s="20" t="n">
        <x:f>SUM('日経_F1'!D54:D56)</x:f>
        <x:v>215850</x:v>
      </x:c>
      <x:c r="E15" s="20" t="n">
        <x:f>SUM('日経_F1'!E54:E56)</x:f>
        <x:v>180382</x:v>
      </x:c>
      <x:c r="F15" s="20" t="n">
        <x:f>D15-E15</x:f>
        <x:v>35468</x:v>
      </x:c>
      <x:c r="G15" s="29" t="n">
        <x:f>COUNTIFS('日経_F1'!F54:F56,"&gt;0")</x:f>
        <x:v>2</x:v>
      </x:c>
      <x:c r="H15" s="29" t="n">
        <x:f>COUNTIFS('日経_F1'!F54:F56,"&lt;0")</x:f>
        <x:v>1</x:v>
      </x:c>
      <x:c r="I15" s="20" t="n">
        <x:f>F15-MAX(0,LARGE('日経_F1'!F54:F56,1))-MAX(0,LARGE('日経_F1'!F54:F56,2))-MAX(0,LARGE('日経_F1'!F54:F56,3))</x:f>
        <x:v>-23074</x:v>
      </x:c>
      <x:c r="J15" s="29" t="n">
        <x:f>SUM('日経_F1'!J54:J56)</x:f>
        <x:v>12</x:v>
      </x:c>
      <x:c r="K15" s="20" t="n">
        <x:f>MIN('日経_F1'!F54:F56)</x:f>
        <x:v>-23074</x:v>
      </x:c>
      <x:c r="L15" s="20" t="n">
        <x:f>IF(H15=0,0,-SUMIFS('日経_F1'!F54:F56,'日経_F1'!F54:F56,"&lt;0")/H15)</x:f>
        <x:v>23074</x:v>
      </x:c>
      <x:c r="M15" s="30" t="n">
        <x:f>IF(COUNTIFS('日経_F1'!J54:J56,"&gt;0")=0,"",AVERAGEIFS('日経_F1'!N54:N56,'日経_F1'!J54:J56,"&gt;0"))</x:f>
        <x:v>271.73333333333335</x:v>
      </x:c>
      <x:c r="N15" s="30" t="n">
        <x:f>IF(COUNTIFS('日経_F1'!J54:J56,"&gt;0")=0,"",AVERAGEIFS('日経_F1'!O54:O56,'日経_F1'!J54:J56,"&gt;0"))</x:f>
        <x:v>91.45555555555556</x:v>
      </x:c>
      <x:c r="O15" s="29" t="n">
        <x:f>MAX('日経_F1'!L54:L56)</x:f>
        <x:v>5</x:v>
      </x:c>
      <x:c r="P15" s="2" t="str">
        <x:v>赤字場数を重視した条件切替案</x:v>
      </x:c>
      <x:c r="Q15" s="22" t="n">
        <x:f>COUNTIFS('日経_F1'!J54:J56,"=0")</x:f>
        <x:v>0</x:v>
      </x:c>
      <x:c r="R15" s="26" t="n">
        <x:f>AVERAGE('日経_F1'!P54:P56)</x:f>
        <x:v>0.19703703703703704</x:v>
      </x:c>
      <x:c r="S15" s="26" t="n">
        <x:f>SUM('日経_F1'!O54:O56)/(COUNTIF('日経_F1'!C54:C56,"デイ")*420+COUNTIF('日経_F1'!C54:C56,"ナイト")*780)</x:f>
        <x:v>0.13856902356902356</x:v>
      </x:c>
    </x:row>
    <x:row r="16" ht="22" customHeight="1">
      <x:c r="A16" s="2" t="str">
        <x:v>日経mini</x:v>
      </x:c>
      <x:c r="B16" s="2" t="str">
        <x:v>V04</x:v>
      </x:c>
      <x:c r="C16" s="2" t="str">
        <x:v>全50場</x:v>
      </x:c>
      <x:c r="D16" s="20" t="n">
        <x:f>SUM('日経_V04'!D7:D56)</x:f>
        <x:v>7405480</x:v>
      </x:c>
      <x:c r="E16" s="20" t="n">
        <x:f>SUM('日経_V04'!E7:E56)</x:f>
        <x:v>6424390</x:v>
      </x:c>
      <x:c r="F16" s="20" t="n">
        <x:f>D16-E16</x:f>
        <x:v>981090</x:v>
      </x:c>
      <x:c r="G16" s="29" t="n">
        <x:f>COUNTIFS('日経_V04'!F7:F56,"&gt;0")</x:f>
        <x:v>31</x:v>
      </x:c>
      <x:c r="H16" s="29" t="n">
        <x:f>COUNTIFS('日経_V04'!F7:F56,"&lt;0")</x:f>
        <x:v>19</x:v>
      </x:c>
      <x:c r="I16" s="20" t="n">
        <x:f>F16-MAX(0,LARGE('日経_V04'!F7:F56,1))-MAX(0,LARGE('日経_V04'!F7:F56,2))-MAX(0,LARGE('日経_V04'!F7:F56,3))</x:f>
        <x:v>-92140</x:v>
      </x:c>
      <x:c r="J16" s="29" t="n">
        <x:f>SUM('日経_V04'!J7:J56)</x:f>
        <x:v>435</x:v>
      </x:c>
      <x:c r="K16" s="20" t="n">
        <x:f>MIN('日経_V04'!F7:F56)</x:f>
        <x:v>-245078</x:v>
      </x:c>
      <x:c r="L16" s="20" t="n">
        <x:f>IF(H16=0,0,-SUMIFS('日経_V04'!F7:F56,'日経_V04'!F7:F56,"&lt;0")/H16)</x:f>
        <x:v>106218.1052631579</x:v>
      </x:c>
      <x:c r="M16" s="30" t="n">
        <x:f>IF(COUNTIFS('日経_V04'!J7:J56,"&gt;0")=0,"",AVERAGEIFS('日経_V04'!N7:N56,'日経_V04'!J7:J56,"&gt;0"))</x:f>
        <x:v>115.97966666666667</x:v>
      </x:c>
      <x:c r="N16" s="30" t="n">
        <x:f>IF(COUNTIFS('日経_V04'!J7:J56,"&gt;0")=0,"",AVERAGEIFS('日経_V04'!O7:O56,'日経_V04'!J7:J56,"&gt;0"))</x:f>
        <x:v>217.2586666666666</x:v>
      </x:c>
      <x:c r="O16" s="29" t="n">
        <x:f>MAX('日経_V04'!L7:L56)</x:f>
        <x:v>7</x:v>
      </x:c>
      <x:c r="P16" s="2" t="str">
        <x:v>参加拡大の比較対照・安定性は悪化</x:v>
      </x:c>
      <x:c r="Q16" s="22" t="n">
        <x:f>COUNTIFS('日経_V04'!J7:J56,"=0")</x:f>
        <x:v>0</x:v>
      </x:c>
      <x:c r="R16" s="26" t="n">
        <x:f>AVERAGE('日経_V04'!P7:P56)</x:f>
        <x:v>0.4117700854700855</x:v>
      </x:c>
      <x:c r="S16" s="26" t="n">
        <x:f>SUM('日経_V04'!O7:O56)/(COUNTIF('日経_V04'!C7:C56,"デイ")*420+COUNTIF('日経_V04'!C7:C56,"ナイト")*780)</x:f>
        <x:v>0.3620977777777777</x:v>
      </x:c>
    </x:row>
    <x:row r="17" ht="22" customHeight="1">
      <x:c r="A17" s="2" t="str">
        <x:v>日経mini</x:v>
      </x:c>
      <x:c r="B17" s="2" t="str">
        <x:v>V04</x:v>
      </x:c>
      <x:c r="C17" s="2" t="str">
        <x:v>対照47場</x:v>
      </x:c>
      <x:c r="D17" s="20" t="n">
        <x:f>SUM('日経_V04'!D7:D53)</x:f>
        <x:v>7111172</x:v>
      </x:c>
      <x:c r="E17" s="20" t="n">
        <x:f>SUM('日経_V04'!E7:E53)</x:f>
        <x:v>5691310</x:v>
      </x:c>
      <x:c r="F17" s="20" t="n">
        <x:f>D17-E17</x:f>
        <x:v>1419862</x:v>
      </x:c>
      <x:c r="G17" s="29" t="n">
        <x:f>COUNTIFS('日経_V04'!F7:F53,"&gt;0")</x:f>
        <x:v>31</x:v>
      </x:c>
      <x:c r="H17" s="29" t="n">
        <x:f>COUNTIFS('日経_V04'!F7:F53,"&lt;0")</x:f>
        <x:v>16</x:v>
      </x:c>
      <x:c r="I17" s="20" t="n">
        <x:f>F17-MAX(0,LARGE('日経_V04'!F7:F53,1))-MAX(0,LARGE('日経_V04'!F7:F53,2))-MAX(0,LARGE('日経_V04'!F7:F53,3))</x:f>
        <x:v>346632</x:v>
      </x:c>
      <x:c r="J17" s="29" t="n">
        <x:f>SUM('日経_V04'!J7:J53)</x:f>
        <x:v>397</x:v>
      </x:c>
      <x:c r="K17" s="20" t="n">
        <x:f>MIN('日経_V04'!F7:F53)</x:f>
        <x:v>-226770</x:v>
      </x:c>
      <x:c r="L17" s="20" t="n">
        <x:f>IF(H17=0,0,-SUMIFS('日経_V04'!F7:F53,'日経_V04'!F7:F53,"&lt;0")/H17)</x:f>
        <x:v>98710.75</x:v>
      </x:c>
      <x:c r="M17" s="30" t="n">
        <x:f>IF(COUNTIFS('日経_V04'!J7:J53,"&gt;0")=0,"",AVERAGEIFS('日経_V04'!N7:N53,'日経_V04'!J7:J53,"&gt;0"))</x:f>
        <x:v>117.12446808510639</x:v>
      </x:c>
      <x:c r="N17" s="30" t="n">
        <x:f>IF(COUNTIFS('日経_V04'!J7:J53,"&gt;0")=0,"",AVERAGEIFS('日経_V04'!O7:O53,'日経_V04'!J7:J53,"&gt;0"))</x:f>
        <x:v>215.1234042553191</x:v>
      </x:c>
      <x:c r="O17" s="29" t="n">
        <x:f>MAX('日経_V04'!L7:L53)</x:f>
        <x:v>7</x:v>
      </x:c>
      <x:c r="P17" s="2" t="str">
        <x:v>参加拡大の比較対照・安定性は悪化</x:v>
      </x:c>
      <x:c r="Q17" s="22" t="n">
        <x:f>COUNTIFS('日経_V04'!J7:J53,"=0")</x:f>
        <x:v>0</x:v>
      </x:c>
      <x:c r="R17" s="26" t="n">
        <x:f>AVERAGE('日経_V04'!P7:P53)</x:f>
        <x:v>0.4120863533629491</x:v>
      </x:c>
      <x:c r="S17" s="26" t="n">
        <x:f>SUM('日経_V04'!O7:O53)/(COUNTIF('日経_V04'!C7:C53,"デイ")*420+COUNTIF('日経_V04'!C7:C53,"ナイト")*780)</x:f>
        <x:v>0.3608422555317629</x:v>
      </x:c>
    </x:row>
    <x:row r="18" ht="22" customHeight="1">
      <x:c r="A18" s="2" t="str">
        <x:v>日経mini</x:v>
      </x:c>
      <x:c r="B18" s="2" t="str">
        <x:v>V04</x:v>
      </x:c>
      <x:c r="C18" s="2" t="str">
        <x:v>診断3場</x:v>
      </x:c>
      <x:c r="D18" s="20" t="n">
        <x:f>SUM('日経_V04'!D54:D56)</x:f>
        <x:v>294308</x:v>
      </x:c>
      <x:c r="E18" s="20" t="n">
        <x:f>SUM('日経_V04'!E54:E56)</x:f>
        <x:v>733080</x:v>
      </x:c>
      <x:c r="F18" s="20" t="n">
        <x:f>D18-E18</x:f>
        <x:v>-438772</x:v>
      </x:c>
      <x:c r="G18" s="29" t="n">
        <x:f>COUNTIFS('日経_V04'!F54:F56,"&gt;0")</x:f>
        <x:v>0</x:v>
      </x:c>
      <x:c r="H18" s="29" t="n">
        <x:f>COUNTIFS('日経_V04'!F54:F56,"&lt;0")</x:f>
        <x:v>3</x:v>
      </x:c>
      <x:c r="I18" s="20" t="n">
        <x:f>F18-MAX(0,LARGE('日経_V04'!F54:F56,1))-MAX(0,LARGE('日経_V04'!F54:F56,2))-MAX(0,LARGE('日経_V04'!F54:F56,3))</x:f>
        <x:v>-438772</x:v>
      </x:c>
      <x:c r="J18" s="29" t="n">
        <x:f>SUM('日経_V04'!J54:J56)</x:f>
        <x:v>38</x:v>
      </x:c>
      <x:c r="K18" s="20" t="n">
        <x:f>MIN('日経_V04'!F54:F56)</x:f>
        <x:v>-245078</x:v>
      </x:c>
      <x:c r="L18" s="20" t="n">
        <x:f>IF(H18=0,0,-SUMIFS('日経_V04'!F54:F56,'日経_V04'!F54:F56,"&lt;0")/H18)</x:f>
        <x:v>146257.33333333334</x:v>
      </x:c>
      <x:c r="M18" s="30" t="n">
        <x:f>IF(COUNTIFS('日経_V04'!J54:J56,"&gt;0")=0,"",AVERAGEIFS('日経_V04'!N54:N56,'日経_V04'!J54:J56,"&gt;0"))</x:f>
        <x:v>98.04444444444444</x:v>
      </x:c>
      <x:c r="N18" s="30" t="n">
        <x:f>IF(COUNTIFS('日経_V04'!J54:J56,"&gt;0")=0,"",AVERAGEIFS('日経_V04'!O54:O56,'日経_V04'!J54:J56,"&gt;0"))</x:f>
        <x:v>250.7111111111111</x:v>
      </x:c>
      <x:c r="O18" s="29" t="n">
        <x:f>MAX('日経_V04'!L54:L56)</x:f>
        <x:v>7</x:v>
      </x:c>
      <x:c r="P18" s="2" t="str">
        <x:v>参加拡大の比較対照・安定性は悪化</x:v>
      </x:c>
      <x:c r="Q18" s="22" t="n">
        <x:f>COUNTIFS('日経_V04'!J54:J56,"=0")</x:f>
        <x:v>0</x:v>
      </x:c>
      <x:c r="R18" s="26" t="n">
        <x:f>AVERAGE('日経_V04'!P54:P56)</x:f>
        <x:v>0.40681522181522184</x:v>
      </x:c>
      <x:c r="S18" s="26" t="n">
        <x:f>SUM('日経_V04'!O54:O56)/(COUNTIF('日経_V04'!C54:C56,"デイ")*420+COUNTIF('日経_V04'!C54:C56,"ナイト")*780)</x:f>
        <x:v>0.37986531986531985</x:v>
      </x:c>
    </x:row>
    <x:row r="19" ht="22" customHeight="1">
      <x:c r="A19" s="2" t="str">
        <x:v>TOPIXmini</x:v>
      </x:c>
      <x:c r="B19" s="2" t="str">
        <x:v>B5</x:v>
      </x:c>
      <x:c r="C19" s="2" t="str">
        <x:v>全50場</x:v>
      </x:c>
      <x:c r="D19" s="20" t="n">
        <x:f>SUM('TOPIX_B5'!D7:D56)</x:f>
        <x:v>2221536</x:v>
      </x:c>
      <x:c r="E19" s="20" t="n">
        <x:f>SUM('TOPIX_B5'!E7:E56)</x:f>
        <x:v>1466251</x:v>
      </x:c>
      <x:c r="F19" s="20" t="n">
        <x:f>D19-E19</x:f>
        <x:v>755285</x:v>
      </x:c>
      <x:c r="G19" s="29" t="n">
        <x:f>COUNTIFS('TOPIX_B5'!F7:F56,"&gt;0")</x:f>
        <x:v>38</x:v>
      </x:c>
      <x:c r="H19" s="29" t="n">
        <x:f>COUNTIFS('TOPIX_B5'!F7:F56,"&lt;0")</x:f>
        <x:v>12</x:v>
      </x:c>
      <x:c r="I19" s="20" t="n">
        <x:f>F19-MAX(0,LARGE('TOPIX_B5'!F7:F56,1))-MAX(0,LARGE('TOPIX_B5'!F7:F56,2))-MAX(0,LARGE('TOPIX_B5'!F7:F56,3))</x:f>
        <x:v>454208</x:v>
      </x:c>
      <x:c r="J19" s="29" t="n">
        <x:f>SUM('TOPIX_B5'!J7:J56)</x:f>
        <x:v>119</x:v>
      </x:c>
      <x:c r="K19" s="20" t="n">
        <x:f>MIN('TOPIX_B5'!F7:F56)</x:f>
        <x:v>-131254</x:v>
      </x:c>
      <x:c r="L19" s="20" t="n">
        <x:f>IF(H19=0,0,-SUMIFS('TOPIX_B5'!F7:F56,'TOPIX_B5'!F7:F56,"&lt;0")/H19)</x:f>
        <x:v>48392.25</x:v>
      </x:c>
      <x:c r="M19" s="30" t="n">
        <x:f>IF(COUNTIFS('TOPIX_B5'!J7:J56,"&gt;0")=0,"",AVERAGEIFS('TOPIX_B5'!N7:N56,'TOPIX_B5'!J7:J56,"&gt;0"))</x:f>
        <x:v>248.86666666666662</x:v>
      </x:c>
      <x:c r="N19" s="30" t="n">
        <x:f>IF(COUNTIFS('TOPIX_B5'!J7:J56,"&gt;0")=0,"",AVERAGEIFS('TOPIX_B5'!O7:O56,'TOPIX_B5'!J7:J56,"&gt;0"))</x:f>
        <x:v>113.57999999999998</x:v>
      </x:c>
      <x:c r="O19" s="29" t="n">
        <x:f>MAX('TOPIX_B5'!L7:L56)</x:f>
        <x:v>5</x:v>
      </x:c>
      <x:c r="P19" s="2" t="str">
        <x:v>従来基準</x:v>
      </x:c>
      <x:c r="Q19" s="22" t="n">
        <x:f>COUNTIFS('TOPIX_B5'!J7:J56,"=0")</x:f>
        <x:v>0</x:v>
      </x:c>
      <x:c r="R19" s="26" t="n">
        <x:f>AVERAGE('TOPIX_B5'!P7:P56)</x:f>
        <x:v>0.23933369963369963</x:v>
      </x:c>
      <x:c r="S19" s="26" t="n">
        <x:f>SUM('TOPIX_B5'!O7:O56)/(COUNTIF('TOPIX_B5'!C7:C56,"デイ")*420+COUNTIF('TOPIX_B5'!C7:C56,"ナイト")*780)</x:f>
        <x:v>0.18929999999999997</x:v>
      </x:c>
    </x:row>
    <x:row r="20" ht="22" customHeight="1">
      <x:c r="A20" s="2" t="str">
        <x:v>TOPIXmini</x:v>
      </x:c>
      <x:c r="B20" s="2" t="str">
        <x:v>B5</x:v>
      </x:c>
      <x:c r="C20" s="2" t="str">
        <x:v>対照47場</x:v>
      </x:c>
      <x:c r="D20" s="20" t="n">
        <x:f>SUM('TOPIX_B5'!D7:D53)</x:f>
        <x:v>2123208</x:v>
      </x:c>
      <x:c r="E20" s="20" t="n">
        <x:f>SUM('TOPIX_B5'!E7:E53)</x:f>
        <x:v>1299161</x:v>
      </x:c>
      <x:c r="F20" s="20" t="n">
        <x:f>D20-E20</x:f>
        <x:v>824047</x:v>
      </x:c>
      <x:c r="G20" s="29" t="n">
        <x:f>COUNTIFS('TOPIX_B5'!F7:F53,"&gt;0")</x:f>
        <x:v>36</x:v>
      </x:c>
      <x:c r="H20" s="29" t="n">
        <x:f>COUNTIFS('TOPIX_B5'!F7:F53,"&lt;0")</x:f>
        <x:v>11</x:v>
      </x:c>
      <x:c r="I20" s="20" t="n">
        <x:f>F20-MAX(0,LARGE('TOPIX_B5'!F7:F53,1))-MAX(0,LARGE('TOPIX_B5'!F7:F53,2))-MAX(0,LARGE('TOPIX_B5'!F7:F53,3))</x:f>
        <x:v>522970</x:v>
      </x:c>
      <x:c r="J20" s="29" t="n">
        <x:f>SUM('TOPIX_B5'!J7:J53)</x:f>
        <x:v>110</x:v>
      </x:c>
      <x:c r="K20" s="20" t="n">
        <x:f>MIN('TOPIX_B5'!F7:F53)</x:f>
        <x:v>-79172</x:v>
      </x:c>
      <x:c r="L20" s="20" t="n">
        <x:f>IF(H20=0,0,-SUMIFS('TOPIX_B5'!F7:F53,'TOPIX_B5'!F7:F53,"&lt;0")/H20)</x:f>
        <x:v>40859.36363636364</x:v>
      </x:c>
      <x:c r="M20" s="30" t="n">
        <x:f>IF(COUNTIFS('TOPIX_B5'!J7:J53,"&gt;0")=0,"",AVERAGEIFS('TOPIX_B5'!N7:N53,'TOPIX_B5'!J7:J53,"&gt;0"))</x:f>
        <x:v>246.12127659574463</x:v>
      </x:c>
      <x:c r="N20" s="30" t="n">
        <x:f>IF(COUNTIFS('TOPIX_B5'!J7:J53,"&gt;0")=0,"",AVERAGEIFS('TOPIX_B5'!O7:O53,'TOPIX_B5'!J7:J53,"&gt;0"))</x:f>
        <x:v>117.50496453900708</x:v>
      </x:c>
      <x:c r="O20" s="29" t="n">
        <x:f>MAX('TOPIX_B5'!L7:L53)</x:f>
        <x:v>5</x:v>
      </x:c>
      <x:c r="P20" s="2" t="str">
        <x:v>従来基準</x:v>
      </x:c>
      <x:c r="Q20" s="22" t="n">
        <x:f>COUNTIFS('TOPIX_B5'!J7:J53,"=0")</x:f>
        <x:v>0</x:v>
      </x:c>
      <x:c r="R20" s="26" t="n">
        <x:f>AVERAGE('TOPIX_B5'!P7:P53)</x:f>
        <x:v>0.2490851583404775</x:v>
      </x:c>
      <x:c r="S20" s="26" t="n">
        <x:f>SUM('TOPIX_B5'!O7:O53)/(COUNTIF('TOPIX_B5'!C7:C53,"デイ")*420+COUNTIF('TOPIX_B5'!C7:C53,"ナイト")*780)</x:f>
        <x:v>0.19709969069712108</x:v>
      </x:c>
    </x:row>
    <x:row r="21" ht="22" customHeight="1">
      <x:c r="A21" s="2" t="str">
        <x:v>TOPIXmini</x:v>
      </x:c>
      <x:c r="B21" s="2" t="str">
        <x:v>B5</x:v>
      </x:c>
      <x:c r="C21" s="2" t="str">
        <x:v>診断3場</x:v>
      </x:c>
      <x:c r="D21" s="20" t="n">
        <x:f>SUM('TOPIX_B5'!D54:D56)</x:f>
        <x:v>98328</x:v>
      </x:c>
      <x:c r="E21" s="20" t="n">
        <x:f>SUM('TOPIX_B5'!E54:E56)</x:f>
        <x:v>167090</x:v>
      </x:c>
      <x:c r="F21" s="20" t="n">
        <x:f>D21-E21</x:f>
        <x:v>-68762</x:v>
      </x:c>
      <x:c r="G21" s="29" t="n">
        <x:f>COUNTIFS('TOPIX_B5'!F54:F56,"&gt;0")</x:f>
        <x:v>2</x:v>
      </x:c>
      <x:c r="H21" s="29" t="n">
        <x:f>COUNTIFS('TOPIX_B5'!F54:F56,"&lt;0")</x:f>
        <x:v>1</x:v>
      </x:c>
      <x:c r="I21" s="20" t="n">
        <x:f>F21-MAX(0,LARGE('TOPIX_B5'!F54:F56,1))-MAX(0,LARGE('TOPIX_B5'!F54:F56,2))-MAX(0,LARGE('TOPIX_B5'!F54:F56,3))</x:f>
        <x:v>-131254</x:v>
      </x:c>
      <x:c r="J21" s="29" t="n">
        <x:f>SUM('TOPIX_B5'!J54:J56)</x:f>
        <x:v>9</x:v>
      </x:c>
      <x:c r="K21" s="20" t="n">
        <x:f>MIN('TOPIX_B5'!F54:F56)</x:f>
        <x:v>-131254</x:v>
      </x:c>
      <x:c r="L21" s="20" t="n">
        <x:f>IF(H21=0,0,-SUMIFS('TOPIX_B5'!F54:F56,'TOPIX_B5'!F54:F56,"&lt;0")/H21)</x:f>
        <x:v>131254</x:v>
      </x:c>
      <x:c r="M21" s="30" t="n">
        <x:f>IF(COUNTIFS('TOPIX_B5'!J54:J56,"&gt;0")=0,"",AVERAGEIFS('TOPIX_B5'!N54:N56,'TOPIX_B5'!J54:J56,"&gt;0"))</x:f>
        <x:v>291.8777777777778</x:v>
      </x:c>
      <x:c r="N21" s="30" t="n">
        <x:f>IF(COUNTIFS('TOPIX_B5'!J54:J56,"&gt;0")=0,"",AVERAGEIFS('TOPIX_B5'!O54:O56,'TOPIX_B5'!J54:J56,"&gt;0"))</x:f>
        <x:v>52.088888888888896</x:v>
      </x:c>
      <x:c r="O21" s="29" t="n">
        <x:f>MAX('TOPIX_B5'!L54:L56)</x:f>
        <x:v>5</x:v>
      </x:c>
      <x:c r="P21" s="2" t="str">
        <x:v>従来基準</x:v>
      </x:c>
      <x:c r="Q21" s="22" t="n">
        <x:f>COUNTIFS('TOPIX_B5'!J54:J56,"=0")</x:f>
        <x:v>0</x:v>
      </x:c>
      <x:c r="R21" s="26" t="n">
        <x:f>AVERAGE('TOPIX_B5'!P54:P56)</x:f>
        <x:v>0.08656084656084655</x:v>
      </x:c>
      <x:c r="S21" s="26" t="n">
        <x:f>SUM('TOPIX_B5'!O54:O56)/(COUNTIF('TOPIX_B5'!C54:C56,"デイ")*420+COUNTIF('TOPIX_B5'!C54:C56,"ナイト")*780)</x:f>
        <x:v>0.07892255892255894</x:v>
      </x:c>
    </x:row>
    <x:row r="22" ht="22" customHeight="1">
      <x:c r="A22" s="2" t="str">
        <x:v>TOPIXmini</x:v>
      </x:c>
      <x:c r="B22" s="2" t="str">
        <x:v>M1</x:v>
      </x:c>
      <x:c r="C22" s="2" t="str">
        <x:v>全50場</x:v>
      </x:c>
      <x:c r="D22" s="20" t="n">
        <x:f>SUM('TOPIX_M1'!D7:D56)</x:f>
        <x:v>2540904</x:v>
      </x:c>
      <x:c r="E22" s="20" t="n">
        <x:f>SUM('TOPIX_M1'!E7:E56)</x:f>
        <x:v>1551188</x:v>
      </x:c>
      <x:c r="F22" s="20" t="n">
        <x:f>D22-E22</x:f>
        <x:v>989716</x:v>
      </x:c>
      <x:c r="G22" s="29" t="n">
        <x:f>COUNTIFS('TOPIX_M1'!F7:F56,"&gt;0")</x:f>
        <x:v>38</x:v>
      </x:c>
      <x:c r="H22" s="29" t="n">
        <x:f>COUNTIFS('TOPIX_M1'!F7:F56,"&lt;0")</x:f>
        <x:v>12</x:v>
      </x:c>
      <x:c r="I22" s="20" t="n">
        <x:f>F22-MAX(0,LARGE('TOPIX_M1'!F7:F56,1))-MAX(0,LARGE('TOPIX_M1'!F7:F56,2))-MAX(0,LARGE('TOPIX_M1'!F7:F56,3))</x:f>
        <x:v>654299</x:v>
      </x:c>
      <x:c r="J22" s="29" t="n">
        <x:f>SUM('TOPIX_M1'!J7:J56)</x:f>
        <x:v>217</x:v>
      </x:c>
      <x:c r="K22" s="20" t="n">
        <x:f>MIN('TOPIX_M1'!F7:F56)</x:f>
        <x:v>-53919</x:v>
      </x:c>
      <x:c r="L22" s="20" t="n">
        <x:f>IF(H22=0,0,-SUMIFS('TOPIX_M1'!F7:F56,'TOPIX_M1'!F7:F56,"&lt;0")/H22)</x:f>
        <x:v>31353.333333333332</x:v>
      </x:c>
      <x:c r="M22" s="30" t="n">
        <x:f>IF(COUNTIFS('TOPIX_M1'!J7:J56,"&gt;0")=0,"",AVERAGEIFS('TOPIX_M1'!N7:N56,'TOPIX_M1'!J7:J56,"&gt;0"))</x:f>
        <x:v>199.18833333333333</x:v>
      </x:c>
      <x:c r="N22" s="30" t="n">
        <x:f>IF(COUNTIFS('TOPIX_M1'!J7:J56,"&gt;0")=0,"",AVERAGEIFS('TOPIX_M1'!O7:O56,'TOPIX_M1'!J7:J56,"&gt;0"))</x:f>
        <x:v>127.311</x:v>
      </x:c>
      <x:c r="O22" s="29" t="n">
        <x:f>MAX('TOPIX_M1'!L7:L56)</x:f>
        <x:v>5</x:v>
      </x:c>
      <x:c r="P22" s="2" t="str">
        <x:v>00141の昼夜別固定案</x:v>
      </x:c>
      <x:c r="Q22" s="22" t="n">
        <x:f>COUNTIFS('TOPIX_M1'!J7:J56,"=0")</x:f>
        <x:v>0</x:v>
      </x:c>
      <x:c r="R22" s="26" t="n">
        <x:f>AVERAGE('TOPIX_M1'!P7:P56)</x:f>
        <x:v>0.2647038461538461</x:v>
      </x:c>
      <x:c r="S22" s="26" t="n">
        <x:f>SUM('TOPIX_M1'!O7:O56)/(COUNTIF('TOPIX_M1'!C7:C56,"デイ")*420+COUNTIF('TOPIX_M1'!C7:C56,"ナイト")*780)</x:f>
        <x:v>0.212185</x:v>
      </x:c>
    </x:row>
    <x:row r="23" ht="22" customHeight="1">
      <x:c r="A23" s="2" t="str">
        <x:v>TOPIXmini</x:v>
      </x:c>
      <x:c r="B23" s="2" t="str">
        <x:v>M1</x:v>
      </x:c>
      <x:c r="C23" s="2" t="str">
        <x:v>対照47場</x:v>
      </x:c>
      <x:c r="D23" s="20" t="n">
        <x:f>SUM('TOPIX_M1'!D7:D53)</x:f>
        <x:v>2340817</x:v>
      </x:c>
      <x:c r="E23" s="20" t="n">
        <x:f>SUM('TOPIX_M1'!E7:E53)</x:f>
        <x:v>1385526</x:v>
      </x:c>
      <x:c r="F23" s="20" t="n">
        <x:f>D23-E23</x:f>
        <x:v>955291</x:v>
      </x:c>
      <x:c r="G23" s="29" t="n">
        <x:f>COUNTIFS('TOPIX_M1'!F7:F53,"&gt;0")</x:f>
        <x:v>36</x:v>
      </x:c>
      <x:c r="H23" s="29" t="n">
        <x:f>COUNTIFS('TOPIX_M1'!F7:F53,"&lt;0")</x:f>
        <x:v>11</x:v>
      </x:c>
      <x:c r="I23" s="20" t="n">
        <x:f>F23-MAX(0,LARGE('TOPIX_M1'!F7:F53,1))-MAX(0,LARGE('TOPIX_M1'!F7:F53,2))-MAX(0,LARGE('TOPIX_M1'!F7:F53,3))</x:f>
        <x:v>619874</x:v>
      </x:c>
      <x:c r="J23" s="29" t="n">
        <x:f>SUM('TOPIX_M1'!J7:J53)</x:f>
        <x:v>190</x:v>
      </x:c>
      <x:c r="K23" s="20" t="n">
        <x:f>MIN('TOPIX_M1'!F7:F53)</x:f>
        <x:v>-53919</x:v>
      </x:c>
      <x:c r="L23" s="20" t="n">
        <x:f>IF(H23=0,0,-SUMIFS('TOPIX_M1'!F7:F53,'TOPIX_M1'!F7:F53,"&lt;0")/H23)</x:f>
        <x:v>31696.909090909092</x:v>
      </x:c>
      <x:c r="M23" s="30" t="n">
        <x:f>IF(COUNTIFS('TOPIX_M1'!J7:J53,"&gt;0")=0,"",AVERAGEIFS('TOPIX_M1'!N7:N53,'TOPIX_M1'!J7:J53,"&gt;0"))</x:f>
        <x:v>206.76950354609923</x:v>
      </x:c>
      <x:c r="N23" s="30" t="n">
        <x:f>IF(COUNTIFS('TOPIX_M1'!J7:J53,"&gt;0")=0,"",AVERAGEIFS('TOPIX_M1'!O7:O53,'TOPIX_M1'!J7:J53,"&gt;0"))</x:f>
        <x:v>129.46808510638297</x:v>
      </x:c>
      <x:c r="O23" s="29" t="n">
        <x:f>MAX('TOPIX_M1'!L7:L53)</x:f>
        <x:v>5</x:v>
      </x:c>
      <x:c r="P23" s="2" t="str">
        <x:v>00141の昼夜別固定案</x:v>
      </x:c>
      <x:c r="Q23" s="22" t="n">
        <x:f>COUNTIFS('TOPIX_M1'!J7:J53,"=0")</x:f>
        <x:v>0</x:v>
      </x:c>
      <x:c r="R23" s="26" t="n">
        <x:f>AVERAGE('TOPIX_M1'!P7:P53)</x:f>
        <x:v>0.27108993843036394</x:v>
      </x:c>
      <x:c r="S23" s="26" t="n">
        <x:f>SUM('TOPIX_M1'!O7:O53)/(COUNTIF('TOPIX_M1'!C7:C53,"デイ")*420+COUNTIF('TOPIX_M1'!C7:C53,"ナイト")*780)</x:f>
        <x:v>0.21716630977872947</x:v>
      </x:c>
    </x:row>
    <x:row r="24" ht="22" customHeight="1">
      <x:c r="A24" s="2" t="str">
        <x:v>TOPIXmini</x:v>
      </x:c>
      <x:c r="B24" s="2" t="str">
        <x:v>M1</x:v>
      </x:c>
      <x:c r="C24" s="2" t="str">
        <x:v>診断3場</x:v>
      </x:c>
      <x:c r="D24" s="20" t="n">
        <x:f>SUM('TOPIX_M1'!D54:D56)</x:f>
        <x:v>200087</x:v>
      </x:c>
      <x:c r="E24" s="20" t="n">
        <x:f>SUM('TOPIX_M1'!E54:E56)</x:f>
        <x:v>165662</x:v>
      </x:c>
      <x:c r="F24" s="20" t="n">
        <x:f>D24-E24</x:f>
        <x:v>34425</x:v>
      </x:c>
      <x:c r="G24" s="29" t="n">
        <x:f>COUNTIFS('TOPIX_M1'!F54:F56,"&gt;0")</x:f>
        <x:v>2</x:v>
      </x:c>
      <x:c r="H24" s="29" t="n">
        <x:f>COUNTIFS('TOPIX_M1'!F54:F56,"&lt;0")</x:f>
        <x:v>1</x:v>
      </x:c>
      <x:c r="I24" s="20" t="n">
        <x:f>F24-MAX(0,LARGE('TOPIX_M1'!F54:F56,1))-MAX(0,LARGE('TOPIX_M1'!F54:F56,2))-MAX(0,LARGE('TOPIX_M1'!F54:F56,3))</x:f>
        <x:v>-27574</x:v>
      </x:c>
      <x:c r="J24" s="29" t="n">
        <x:f>SUM('TOPIX_M1'!J54:J56)</x:f>
        <x:v>27</x:v>
      </x:c>
      <x:c r="K24" s="20" t="n">
        <x:f>MIN('TOPIX_M1'!F54:F56)</x:f>
        <x:v>-27574</x:v>
      </x:c>
      <x:c r="L24" s="20" t="n">
        <x:f>IF(H24=0,0,-SUMIFS('TOPIX_M1'!F54:F56,'TOPIX_M1'!F54:F56,"&lt;0")/H24)</x:f>
        <x:v>27574</x:v>
      </x:c>
      <x:c r="M24" s="30" t="n">
        <x:f>IF(COUNTIFS('TOPIX_M1'!J54:J56,"&gt;0")=0,"",AVERAGEIFS('TOPIX_M1'!N54:N56,'TOPIX_M1'!J54:J56,"&gt;0"))</x:f>
        <x:v>80.41666666666667</x:v>
      </x:c>
      <x:c r="N24" s="30" t="n">
        <x:f>IF(COUNTIFS('TOPIX_M1'!J54:J56,"&gt;0")=0,"",AVERAGEIFS('TOPIX_M1'!O54:O56,'TOPIX_M1'!J54:J56,"&gt;0"))</x:f>
        <x:v>93.51666666666667</x:v>
      </x:c>
      <x:c r="O24" s="29" t="n">
        <x:f>MAX('TOPIX_M1'!L54:L56)</x:f>
        <x:v>5</x:v>
      </x:c>
      <x:c r="P24" s="2" t="str">
        <x:v>00141の昼夜別固定案</x:v>
      </x:c>
      <x:c r="Q24" s="22" t="n">
        <x:f>COUNTIFS('TOPIX_M1'!J54:J56,"=0")</x:f>
        <x:v>0</x:v>
      </x:c>
      <x:c r="R24" s="26" t="n">
        <x:f>AVERAGE('TOPIX_M1'!P54:P56)</x:f>
        <x:v>0.16465506715506714</x:v>
      </x:c>
      <x:c r="S24" s="26" t="n">
        <x:f>SUM('TOPIX_M1'!O54:O56)/(COUNTIF('TOPIX_M1'!C54:C56,"デイ")*420+COUNTIF('TOPIX_M1'!C54:C56,"ナイト")*780)</x:f>
        <x:v>0.1416919191919192</x:v>
      </x:c>
    </x:row>
    <x:row r="25" ht="22" customHeight="1">
      <x:c r="A25" s="2" t="str">
        <x:v>TOPIXmini</x:v>
      </x:c>
      <x:c r="B25" s="2" t="str">
        <x:v>F1</x:v>
      </x:c>
      <x:c r="C25" s="2" t="str">
        <x:v>全50場</x:v>
      </x:c>
      <x:c r="D25" s="20" t="n">
        <x:f>SUM('TOPIX_F1'!D7:D56)</x:f>
        <x:v>2426572</x:v>
      </x:c>
      <x:c r="E25" s="20" t="n">
        <x:f>SUM('TOPIX_F1'!E7:E56)</x:f>
        <x:v>1497108</x:v>
      </x:c>
      <x:c r="F25" s="20" t="n">
        <x:f>D25-E25</x:f>
        <x:v>929464</x:v>
      </x:c>
      <x:c r="G25" s="29" t="n">
        <x:f>COUNTIFS('TOPIX_F1'!F7:F56,"&gt;0")</x:f>
        <x:v>39</x:v>
      </x:c>
      <x:c r="H25" s="29" t="n">
        <x:f>COUNTIFS('TOPIX_F1'!F7:F56,"&lt;0")</x:f>
        <x:v>11</x:v>
      </x:c>
      <x:c r="I25" s="20" t="n">
        <x:f>F25-MAX(0,LARGE('TOPIX_F1'!F7:F56,1))-MAX(0,LARGE('TOPIX_F1'!F7:F56,2))-MAX(0,LARGE('TOPIX_F1'!F7:F56,3))</x:f>
        <x:v>603379</x:v>
      </x:c>
      <x:c r="J25" s="29" t="n">
        <x:f>SUM('TOPIX_F1'!J7:J56)</x:f>
        <x:v>188</x:v>
      </x:c>
      <x:c r="K25" s="20" t="n">
        <x:f>MIN('TOPIX_F1'!F7:F56)</x:f>
        <x:v>-68574</x:v>
      </x:c>
      <x:c r="L25" s="20" t="n">
        <x:f>IF(H25=0,0,-SUMIFS('TOPIX_F1'!F7:F56,'TOPIX_F1'!F7:F56,"&lt;0")/H25)</x:f>
        <x:v>33287.09090909091</x:v>
      </x:c>
      <x:c r="M25" s="30" t="n">
        <x:f>IF(COUNTIFS('TOPIX_F1'!J7:J56,"&gt;0")=0,"",AVERAGEIFS('TOPIX_F1'!N7:N56,'TOPIX_F1'!J7:J56,"&gt;0"))</x:f>
        <x:v>199.18833333333333</x:v>
      </x:c>
      <x:c r="N25" s="30" t="n">
        <x:f>IF(COUNTIFS('TOPIX_F1'!J7:J56,"&gt;0")=0,"",AVERAGEIFS('TOPIX_F1'!O7:O56,'TOPIX_F1'!J7:J56,"&gt;0"))</x:f>
        <x:v>138.34166666666667</x:v>
      </x:c>
      <x:c r="O25" s="29" t="n">
        <x:f>MAX('TOPIX_F1'!L7:L56)</x:f>
        <x:v>5</x:v>
      </x:c>
      <x:c r="P25" s="2" t="str">
        <x:v>赤字場数を重視した条件切替案</x:v>
      </x:c>
      <x:c r="Q25" s="22" t="n">
        <x:f>COUNTIFS('TOPIX_F1'!J7:J56,"=0")</x:f>
        <x:v>0</x:v>
      </x:c>
      <x:c r="R25" s="26" t="n">
        <x:f>AVERAGE('TOPIX_F1'!P7:P56)</x:f>
        <x:v>0.29148345543345544</x:v>
      </x:c>
      <x:c r="S25" s="26" t="n">
        <x:f>SUM('TOPIX_F1'!O7:O56)/(COUNTIF('TOPIX_F1'!C7:C56,"デイ")*420+COUNTIF('TOPIX_F1'!C7:C56,"ナイト")*780)</x:f>
        <x:v>0.23056944444444447</x:v>
      </x:c>
    </x:row>
    <x:row r="26" ht="22" customHeight="1">
      <x:c r="A26" s="2" t="str">
        <x:v>TOPIXmini</x:v>
      </x:c>
      <x:c r="B26" s="2" t="str">
        <x:v>F1</x:v>
      </x:c>
      <x:c r="C26" s="2" t="str">
        <x:v>対照47場</x:v>
      </x:c>
      <x:c r="D26" s="20" t="n">
        <x:f>SUM('TOPIX_F1'!D7:D53)</x:f>
        <x:v>2263901</x:v>
      </x:c>
      <x:c r="E26" s="20" t="n">
        <x:f>SUM('TOPIX_F1'!E7:E53)</x:f>
        <x:v>1330362</x:v>
      </x:c>
      <x:c r="F26" s="20" t="n">
        <x:f>D26-E26</x:f>
        <x:v>933539</x:v>
      </x:c>
      <x:c r="G26" s="29" t="n">
        <x:f>COUNTIFS('TOPIX_F1'!F7:F53,"&gt;0")</x:f>
        <x:v>37</x:v>
      </x:c>
      <x:c r="H26" s="29" t="n">
        <x:f>COUNTIFS('TOPIX_F1'!F7:F53,"&lt;0")</x:f>
        <x:v>10</x:v>
      </x:c>
      <x:c r="I26" s="20" t="n">
        <x:f>F26-MAX(0,LARGE('TOPIX_F1'!F7:F53,1))-MAX(0,LARGE('TOPIX_F1'!F7:F53,2))-MAX(0,LARGE('TOPIX_F1'!F7:F53,3))</x:f>
        <x:v>607454</x:v>
      </x:c>
      <x:c r="J26" s="29" t="n">
        <x:f>SUM('TOPIX_F1'!J7:J53)</x:f>
        <x:v>163</x:v>
      </x:c>
      <x:c r="K26" s="20" t="n">
        <x:f>MIN('TOPIX_F1'!F7:F53)</x:f>
        <x:v>-54832</x:v>
      </x:c>
      <x:c r="L26" s="20" t="n">
        <x:f>IF(H26=0,0,-SUMIFS('TOPIX_F1'!F7:F53,'TOPIX_F1'!F7:F53,"&lt;0")/H26)</x:f>
        <x:v>29758.4</x:v>
      </x:c>
      <x:c r="M26" s="30" t="n">
        <x:f>IF(COUNTIFS('TOPIX_F1'!J7:J53,"&gt;0")=0,"",AVERAGEIFS('TOPIX_F1'!N7:N53,'TOPIX_F1'!J7:J53,"&gt;0"))</x:f>
        <x:v>206.76950354609923</x:v>
      </x:c>
      <x:c r="N26" s="30" t="n">
        <x:f>IF(COUNTIFS('TOPIX_F1'!J7:J53,"&gt;0")=0,"",AVERAGEIFS('TOPIX_F1'!O7:O53,'TOPIX_F1'!J7:J53,"&gt;0"))</x:f>
        <x:v>138.9709219858156</x:v>
      </x:c>
      <x:c r="O26" s="29" t="n">
        <x:f>MAX('TOPIX_F1'!L7:L53)</x:f>
        <x:v>5</x:v>
      </x:c>
      <x:c r="P26" s="2" t="str">
        <x:v>赤字場数を重視した条件切替案</x:v>
      </x:c>
      <x:c r="Q26" s="22" t="n">
        <x:f>COUNTIFS('TOPIX_F1'!J7:J53,"=0")</x:f>
        <x:v>0</x:v>
      </x:c>
      <x:c r="R26" s="26" t="n">
        <x:f>AVERAGE('TOPIX_F1'!P7:P53)</x:f>
        <x:v>0.29423674434312735</x:v>
      </x:c>
      <x:c r="S26" s="26" t="n">
        <x:f>SUM('TOPIX_F1'!O7:O53)/(COUNTIF('TOPIX_F1'!C7:C53,"デイ")*420+COUNTIF('TOPIX_F1'!C7:C53,"ナイト")*780)</x:f>
        <x:v>0.23310611467999048</x:v>
      </x:c>
    </x:row>
    <x:row r="27" ht="22" customHeight="1">
      <x:c r="A27" s="2" t="str">
        <x:v>TOPIXmini</x:v>
      </x:c>
      <x:c r="B27" s="2" t="str">
        <x:v>F1</x:v>
      </x:c>
      <x:c r="C27" s="2" t="str">
        <x:v>診断3場</x:v>
      </x:c>
      <x:c r="D27" s="20" t="n">
        <x:f>SUM('TOPIX_F1'!D54:D56)</x:f>
        <x:v>162671</x:v>
      </x:c>
      <x:c r="E27" s="20" t="n">
        <x:f>SUM('TOPIX_F1'!E54:E56)</x:f>
        <x:v>166746</x:v>
      </x:c>
      <x:c r="F27" s="20" t="n">
        <x:f>D27-E27</x:f>
        <x:v>-4075</x:v>
      </x:c>
      <x:c r="G27" s="29" t="n">
        <x:f>COUNTIFS('TOPIX_F1'!F54:F56,"&gt;0")</x:f>
        <x:v>2</x:v>
      </x:c>
      <x:c r="H27" s="29" t="n">
        <x:f>COUNTIFS('TOPIX_F1'!F54:F56,"&lt;0")</x:f>
        <x:v>1</x:v>
      </x:c>
      <x:c r="I27" s="20" t="n">
        <x:f>F27-MAX(0,LARGE('TOPIX_F1'!F54:F56,1))-MAX(0,LARGE('TOPIX_F1'!F54:F56,2))-MAX(0,LARGE('TOPIX_F1'!F54:F56,3))</x:f>
        <x:v>-68574</x:v>
      </x:c>
      <x:c r="J27" s="29" t="n">
        <x:f>SUM('TOPIX_F1'!J54:J56)</x:f>
        <x:v>25</x:v>
      </x:c>
      <x:c r="K27" s="20" t="n">
        <x:f>MIN('TOPIX_F1'!F54:F56)</x:f>
        <x:v>-68574</x:v>
      </x:c>
      <x:c r="L27" s="20" t="n">
        <x:f>IF(H27=0,0,-SUMIFS('TOPIX_F1'!F54:F56,'TOPIX_F1'!F54:F56,"&lt;0")/H27)</x:f>
        <x:v>68574</x:v>
      </x:c>
      <x:c r="M27" s="30" t="n">
        <x:f>IF(COUNTIFS('TOPIX_F1'!J54:J56,"&gt;0")=0,"",AVERAGEIFS('TOPIX_F1'!N54:N56,'TOPIX_F1'!J54:J56,"&gt;0"))</x:f>
        <x:v>80.41666666666667</x:v>
      </x:c>
      <x:c r="N27" s="30" t="n">
        <x:f>IF(COUNTIFS('TOPIX_F1'!J54:J56,"&gt;0")=0,"",AVERAGEIFS('TOPIX_F1'!O54:O56,'TOPIX_F1'!J54:J56,"&gt;0"))</x:f>
        <x:v>128.48333333333335</x:v>
      </x:c>
      <x:c r="O27" s="29" t="n">
        <x:f>MAX('TOPIX_F1'!L54:L56)</x:f>
        <x:v>5</x:v>
      </x:c>
      <x:c r="P27" s="2" t="str">
        <x:v>赤字場数を重視した条件切替案</x:v>
      </x:c>
      <x:c r="Q27" s="22" t="n">
        <x:f>COUNTIFS('TOPIX_F1'!J54:J56,"=0")</x:f>
        <x:v>0</x:v>
      </x:c>
      <x:c r="R27" s="26" t="n">
        <x:f>AVERAGE('TOPIX_F1'!P54:P56)</x:f>
        <x:v>0.24834859584859584</x:v>
      </x:c>
      <x:c r="S27" s="26" t="n">
        <x:f>SUM('TOPIX_F1'!O54:O56)/(COUNTIF('TOPIX_F1'!C54:C56,"デイ")*420+COUNTIF('TOPIX_F1'!C54:C56,"ナイト")*780)</x:f>
        <x:v>0.1946717171717172</x:v>
      </x:c>
    </x:row>
    <x:row r="28" ht="22" customHeight="1">
      <x:c r="A28" s="2" t="str">
        <x:v>TOPIXmini</x:v>
      </x:c>
      <x:c r="B28" s="2" t="str">
        <x:v>V04</x:v>
      </x:c>
      <x:c r="C28" s="2" t="str">
        <x:v>全50場</x:v>
      </x:c>
      <x:c r="D28" s="20" t="n">
        <x:f>SUM('TOPIX_V04'!D7:D56)</x:f>
        <x:v>3829308</x:v>
      </x:c>
      <x:c r="E28" s="20" t="n">
        <x:f>SUM('TOPIX_V04'!E7:E56)</x:f>
        <x:v>3469712</x:v>
      </x:c>
      <x:c r="F28" s="20" t="n">
        <x:f>D28-E28</x:f>
        <x:v>359596</x:v>
      </x:c>
      <x:c r="G28" s="29" t="n">
        <x:f>COUNTIFS('TOPIX_V04'!F7:F56,"&gt;0")</x:f>
        <x:v>26</x:v>
      </x:c>
      <x:c r="H28" s="29" t="n">
        <x:f>COUNTIFS('TOPIX_V04'!F7:F56,"&lt;0")</x:f>
        <x:v>23</x:v>
      </x:c>
      <x:c r="I28" s="20" t="n">
        <x:f>F28-MAX(0,LARGE('TOPIX_V04'!F7:F56,1))-MAX(0,LARGE('TOPIX_V04'!F7:F56,2))-MAX(0,LARGE('TOPIX_V04'!F7:F56,3))</x:f>
        <x:v>-55335</x:v>
      </x:c>
      <x:c r="J28" s="29" t="n">
        <x:f>SUM('TOPIX_V04'!J7:J56)</x:f>
        <x:v>537</x:v>
      </x:c>
      <x:c r="K28" s="20" t="n">
        <x:f>MIN('TOPIX_V04'!F7:F56)</x:f>
        <x:v>-120748</x:v>
      </x:c>
      <x:c r="L28" s="20" t="n">
        <x:f>IF(H28=0,0,-SUMIFS('TOPIX_V04'!F7:F56,'TOPIX_V04'!F7:F56,"&lt;0")/H28)</x:f>
        <x:v>39607.95652173913</x:v>
      </x:c>
      <x:c r="M28" s="30" t="n">
        <x:f>IF(COUNTIFS('TOPIX_V04'!J7:J56,"&gt;0")=0,"",AVERAGEIFS('TOPIX_V04'!N7:N56,'TOPIX_V04'!J7:J56,"&gt;0"))</x:f>
        <x:v>116.26</x:v>
      </x:c>
      <x:c r="N28" s="30" t="n">
        <x:f>IF(COUNTIFS('TOPIX_V04'!J7:J56,"&gt;0")=0,"",AVERAGEIFS('TOPIX_V04'!O7:O56,'TOPIX_V04'!J7:J56,"&gt;0"))</x:f>
        <x:v>241.7276666666667</x:v>
      </x:c>
      <x:c r="O28" s="29" t="n">
        <x:f>MAX('TOPIX_V04'!L7:L56)</x:f>
        <x:v>7</x:v>
      </x:c>
      <x:c r="P28" s="2" t="str">
        <x:v>参加拡大の比較対照・安定性は悪化</x:v>
      </x:c>
      <x:c r="Q28" s="22" t="n">
        <x:f>COUNTIFS('TOPIX_V04'!J7:J56,"=0")</x:f>
        <x:v>0</x:v>
      </x:c>
      <x:c r="R28" s="26" t="n">
        <x:f>AVERAGE('TOPIX_V04'!P7:P56)</x:f>
        <x:v>0.4489981074481074</x:v>
      </x:c>
      <x:c r="S28" s="26" t="n">
        <x:f>SUM('TOPIX_V04'!O7:O56)/(COUNTIF('TOPIX_V04'!C7:C56,"デイ")*420+COUNTIF('TOPIX_V04'!C7:C56,"ナイト")*780)</x:f>
        <x:v>0.4028794444444445</x:v>
      </x:c>
    </x:row>
    <x:row r="29" ht="22" customHeight="1">
      <x:c r="A29" s="2" t="str">
        <x:v>TOPIXmini</x:v>
      </x:c>
      <x:c r="B29" s="2" t="str">
        <x:v>V04</x:v>
      </x:c>
      <x:c r="C29" s="2" t="str">
        <x:v>対照47場</x:v>
      </x:c>
      <x:c r="D29" s="20" t="n">
        <x:f>SUM('TOPIX_V04'!D7:D53)</x:f>
        <x:v>3525881</x:v>
      </x:c>
      <x:c r="E29" s="20" t="n">
        <x:f>SUM('TOPIX_V04'!E7:E53)</x:f>
        <x:v>3075398</x:v>
      </x:c>
      <x:c r="F29" s="20" t="n">
        <x:f>D29-E29</x:f>
        <x:v>450483</x:v>
      </x:c>
      <x:c r="G29" s="29" t="n">
        <x:f>COUNTIFS('TOPIX_V04'!F7:F53,"&gt;0")</x:f>
        <x:v>25</x:v>
      </x:c>
      <x:c r="H29" s="29" t="n">
        <x:f>COUNTIFS('TOPIX_V04'!F7:F53,"&lt;0")</x:f>
        <x:v>21</x:v>
      </x:c>
      <x:c r="I29" s="20" t="n">
        <x:f>F29-MAX(0,LARGE('TOPIX_V04'!F7:F53,1))-MAX(0,LARGE('TOPIX_V04'!F7:F53,2))-MAX(0,LARGE('TOPIX_V04'!F7:F53,3))</x:f>
        <x:v>35552</x:v>
      </x:c>
      <x:c r="J29" s="29" t="n">
        <x:f>SUM('TOPIX_V04'!J7:J53)</x:f>
        <x:v>478</x:v>
      </x:c>
      <x:c r="K29" s="20" t="n">
        <x:f>MIN('TOPIX_V04'!F7:F53)</x:f>
        <x:v>-120748</x:v>
      </x:c>
      <x:c r="L29" s="20" t="n">
        <x:f>IF(H29=0,0,-SUMIFS('TOPIX_V04'!F7:F53,'TOPIX_V04'!F7:F53,"&lt;0")/H29)</x:f>
        <x:v>38008.142857142855</x:v>
      </x:c>
      <x:c r="M29" s="30" t="n">
        <x:f>IF(COUNTIFS('TOPIX_V04'!J7:J53,"&gt;0")=0,"",AVERAGEIFS('TOPIX_V04'!N7:N53,'TOPIX_V04'!J7:J53,"&gt;0"))</x:f>
        <x:v>119.77978723404256</x:v>
      </x:c>
      <x:c r="N29" s="30" t="n">
        <x:f>IF(COUNTIFS('TOPIX_V04'!J7:J53,"&gt;0")=0,"",AVERAGEIFS('TOPIX_V04'!O7:O53,'TOPIX_V04'!J7:J53,"&gt;0"))</x:f>
        <x:v>239.10638297872345</x:v>
      </x:c>
      <x:c r="O29" s="29" t="n">
        <x:f>MAX('TOPIX_V04'!L7:L53)</x:f>
        <x:v>7</x:v>
      </x:c>
      <x:c r="P29" s="2" t="str">
        <x:v>参加拡大の比較対照・安定性は悪化</x:v>
      </x:c>
      <x:c r="Q29" s="22" t="n">
        <x:f>COUNTIFS('TOPIX_V04'!J7:J53,"=0")</x:f>
        <x:v>0</x:v>
      </x:c>
      <x:c r="R29" s="26" t="n">
        <x:f>AVERAGE('TOPIX_V04'!P7:P53)</x:f>
        <x:v>0.44780297716467926</x:v>
      </x:c>
      <x:c r="S29" s="26" t="n">
        <x:f>SUM('TOPIX_V04'!O7:O53)/(COUNTIF('TOPIX_V04'!C7:C53,"デイ")*420+COUNTIF('TOPIX_V04'!C7:C53,"ナイト")*780)</x:f>
        <x:v>0.40107066381156325</x:v>
      </x:c>
    </x:row>
    <x:row r="30" ht="22" customHeight="1">
      <x:c r="A30" s="2" t="str">
        <x:v>TOPIXmini</x:v>
      </x:c>
      <x:c r="B30" s="2" t="str">
        <x:v>V04</x:v>
      </x:c>
      <x:c r="C30" s="2" t="str">
        <x:v>診断3場</x:v>
      </x:c>
      <x:c r="D30" s="20" t="n">
        <x:f>SUM('TOPIX_V04'!D54:D56)</x:f>
        <x:v>303427</x:v>
      </x:c>
      <x:c r="E30" s="20" t="n">
        <x:f>SUM('TOPIX_V04'!E54:E56)</x:f>
        <x:v>394314</x:v>
      </x:c>
      <x:c r="F30" s="20" t="n">
        <x:f>D30-E30</x:f>
        <x:v>-90887</x:v>
      </x:c>
      <x:c r="G30" s="29" t="n">
        <x:f>COUNTIFS('TOPIX_V04'!F54:F56,"&gt;0")</x:f>
        <x:v>1</x:v>
      </x:c>
      <x:c r="H30" s="29" t="n">
        <x:f>COUNTIFS('TOPIX_V04'!F54:F56,"&lt;0")</x:f>
        <x:v>2</x:v>
      </x:c>
      <x:c r="I30" s="20" t="n">
        <x:f>F30-MAX(0,LARGE('TOPIX_V04'!F54:F56,1))-MAX(0,LARGE('TOPIX_V04'!F54:F56,2))-MAX(0,LARGE('TOPIX_V04'!F54:F56,3))</x:f>
        <x:v>-112812</x:v>
      </x:c>
      <x:c r="J30" s="29" t="n">
        <x:f>SUM('TOPIX_V04'!J54:J56)</x:f>
        <x:v>59</x:v>
      </x:c>
      <x:c r="K30" s="20" t="n">
        <x:f>MIN('TOPIX_V04'!F54:F56)</x:f>
        <x:v>-77400</x:v>
      </x:c>
      <x:c r="L30" s="20" t="n">
        <x:f>IF(H30=0,0,-SUMIFS('TOPIX_V04'!F54:F56,'TOPIX_V04'!F54:F56,"&lt;0")/H30)</x:f>
        <x:v>56406</x:v>
      </x:c>
      <x:c r="M30" s="30" t="n">
        <x:f>IF(COUNTIFS('TOPIX_V04'!J54:J56,"&gt;0")=0,"",AVERAGEIFS('TOPIX_V04'!N54:N56,'TOPIX_V04'!J54:J56,"&gt;0"))</x:f>
        <x:v>61.116666666666674</x:v>
      </x:c>
      <x:c r="N30" s="30" t="n">
        <x:f>IF(COUNTIFS('TOPIX_V04'!J54:J56,"&gt;0")=0,"",AVERAGEIFS('TOPIX_V04'!O54:O56,'TOPIX_V04'!J54:J56,"&gt;0"))</x:f>
        <x:v>282.7944444444445</x:v>
      </x:c>
      <x:c r="O30" s="29" t="n">
        <x:f>MAX('TOPIX_V04'!L54:L56)</x:f>
        <x:v>7</x:v>
      </x:c>
      <x:c r="P30" s="2" t="str">
        <x:v>参加拡大の比較対照・安定性は悪化</x:v>
      </x:c>
      <x:c r="Q30" s="22" t="n">
        <x:f>COUNTIFS('TOPIX_V04'!J54:J56,"=0")</x:f>
        <x:v>0</x:v>
      </x:c>
      <x:c r="R30" s="26" t="n">
        <x:f>AVERAGE('TOPIX_V04'!P54:P56)</x:f>
        <x:v>0.4677218152218153</x:v>
      </x:c>
      <x:c r="S30" s="26" t="n">
        <x:f>SUM('TOPIX_V04'!O54:O56)/(COUNTIF('TOPIX_V04'!C54:C56,"デイ")*420+COUNTIF('TOPIX_V04'!C54:C56,"ナイト")*780)</x:f>
        <x:v>0.428476430976431</x:v>
      </x:c>
    </x:row>
    <x:row r="33">
      <x:c r="A33" s="33" t="str">
        <x:v>全条件の保存集計（選定案以外も含む）</x:v>
      </x:c>
    </x:row>
    <x:row r="34">
      <x:c r="A34" s="34" t="str">
        <x:v>T列の区分（全場・デイ・ナイト・上昇・下落）とU列の対象場数を確認してください。</x:v>
      </x:c>
    </x:row>
    <x:row r="35" ht="34" customHeight="1">
      <x:c r="A35" s="16" t="str">
        <x:v>商品</x:v>
      </x:c>
      <x:c r="B35" s="17" t="str">
        <x:v>手法ID</x:v>
      </x:c>
      <x:c r="C35" s="17" t="str">
        <x:v>対象</x:v>
      </x:c>
      <x:c r="D35" s="17" t="str">
        <x:v>総利益（円）</x:v>
      </x:c>
      <x:c r="E35" s="17" t="str">
        <x:v>総損失（円）</x:v>
      </x:c>
      <x:c r="F35" s="17" t="str">
        <x:v>収支（円）</x:v>
      </x:c>
      <x:c r="G35" s="17" t="str">
        <x:v>黒字場数</x:v>
      </x:c>
      <x:c r="H35" s="17" t="str">
        <x:v>赤字場数</x:v>
      </x:c>
      <x:c r="I35" s="17" t="str">
        <x:v>上位3黒字除外（円）</x:v>
      </x:c>
      <x:c r="J35" s="17" t="str">
        <x:v>新規回数</x:v>
      </x:c>
      <x:c r="K35" s="17" t="str">
        <x:v>最悪収支（円）</x:v>
      </x:c>
      <x:c r="L35" s="17" t="str">
        <x:v>平均赤字（円）</x:v>
      </x:c>
      <x:c r="M35" s="17" t="str">
        <x:v>初回まで（分）</x:v>
      </x:c>
      <x:c r="N35" s="17" t="str">
        <x:v>保有（分）</x:v>
      </x:c>
      <x:c r="O35" s="17" t="str">
        <x:v>最大片方向保有</x:v>
      </x:c>
      <x:c r="P35" s="17" t="str">
        <x:v>手法名</x:v>
      </x:c>
      <x:c r="Q35" s="17" t="str">
        <x:v>無取引場数</x:v>
      </x:c>
      <x:c r="R35" s="17" t="str">
        <x:v>各場平均保有率</x:v>
      </x:c>
      <x:c r="S35" s="17" t="str">
        <x:v>時間加重保有率</x:v>
      </x:c>
      <x:c r="T35" s="17" t="str">
        <x:v>区分</x:v>
      </x:c>
      <x:c r="U35" s="18" t="str">
        <x:v>対象場数</x:v>
      </x:c>
    </x:row>
    <x:row r="36" ht="22" customHeight="1">
      <x:c r="A36" s="1" t="str">
        <x:v>日経mini</x:v>
      </x:c>
      <x:c r="B36" s="1" t="str">
        <x:v>B5</x:v>
      </x:c>
      <x:c r="C36" s="1" t="str">
        <x:v>全50場</x:v>
      </x:c>
      <x:c r="D36" s="47" t="n">
        <x:v>4215188</x:v>
      </x:c>
      <x:c r="E36" s="47" t="n">
        <x:v>2149740</x:v>
      </x:c>
      <x:c r="F36" s="47" t="n">
        <x:f>D36-E36</x:f>
        <x:v>2065448</x:v>
      </x:c>
      <x:c r="G36" s="49" t="n">
        <x:v>32</x:v>
      </x:c>
      <x:c r="H36" s="49" t="n">
        <x:v>18</x:v>
      </x:c>
      <x:c r="I36" s="47" t="n">
        <x:v>1066368</x:v>
      </x:c>
      <x:c r="J36" s="49" t="n">
        <x:v>108</x:v>
      </x:c>
      <x:c r="K36" s="47" t="n">
        <x:v>-153304</x:v>
      </x:c>
      <x:c r="L36" s="47" t="n">
        <x:v>60566.88888888889</x:v>
      </x:c>
      <x:c r="M36" s="48" t="n">
        <x:v>239.14166666666668</x:v>
      </x:c>
      <x:c r="N36" s="48" t="n">
        <x:v>88.34033333333333</x:v>
      </x:c>
      <x:c r="O36" s="49" t="n">
        <x:v>5</x:v>
      </x:c>
      <x:c r="P36" s="1" t="str">
        <x:v>従来基準</x:v>
      </x:c>
      <x:c r="Q36" s="49" t="n">
        <x:v>0</x:v>
      </x:c>
      <x:c r="R36" s="50" t="n">
        <x:v>0.1974425518925519</x:v>
      </x:c>
      <x:c r="S36" s="50" t="n">
        <x:v>0.1472338888888889</x:v>
      </x:c>
      <x:c r="T36" s="1" t="str">
        <x:v>全場</x:v>
      </x:c>
      <x:c r="U36" s="49" t="n">
        <x:v>50</x:v>
      </x:c>
    </x:row>
    <x:row r="37" ht="22" customHeight="1">
      <x:c r="A37" s="1" t="str">
        <x:v>日経mini</x:v>
      </x:c>
      <x:c r="B37" s="1" t="str">
        <x:v>B5</x:v>
      </x:c>
      <x:c r="C37" s="1" t="str">
        <x:v>全50場</x:v>
      </x:c>
      <x:c r="D37" s="47" t="n">
        <x:v>2930864</x:v>
      </x:c>
      <x:c r="E37" s="47" t="n">
        <x:v>1361672</x:v>
      </x:c>
      <x:c r="F37" s="47" t="n">
        <x:f>D37-E37</x:f>
        <x:v>1569192</x:v>
      </x:c>
      <x:c r="G37" s="49" t="n">
        <x:v>16</x:v>
      </x:c>
      <x:c r="H37" s="49" t="n">
        <x:v>9</x:v>
      </x:c>
      <x:c r="I37" s="47" t="n">
        <x:v>570112</x:v>
      </x:c>
      <x:c r="J37" s="49" t="n">
        <x:v>62</x:v>
      </x:c>
      <x:c r="K37" s="47" t="n">
        <x:v>-153304</x:v>
      </x:c>
      <x:c r="L37" s="47" t="n">
        <x:v>75989.33333333333</x:v>
      </x:c>
      <x:c r="M37" s="48" t="n">
        <x:v>118.31466666666667</x:v>
      </x:c>
      <x:c r="N37" s="48" t="n">
        <x:v>153.21800000000002</x:v>
      </x:c>
      <x:c r="O37" s="49" t="n">
        <x:v>5</x:v>
      </x:c>
      <x:c r="P37" s="1" t="str">
        <x:v>従来基準</x:v>
      </x:c>
      <x:c r="Q37" s="49" t="n">
        <x:v>0</x:v>
      </x:c>
      <x:c r="R37" s="50" t="n">
        <x:v>0.36480476190476196</x:v>
      </x:c>
      <x:c r="S37" s="50" t="n">
        <x:v>0.3648047619047619</x:v>
      </x:c>
      <x:c r="T37" s="1" t="str">
        <x:v>デイ</x:v>
      </x:c>
      <x:c r="U37" s="49" t="n">
        <x:v>25</x:v>
      </x:c>
    </x:row>
    <x:row r="38" ht="22" customHeight="1">
      <x:c r="A38" s="1" t="str">
        <x:v>日経mini</x:v>
      </x:c>
      <x:c r="B38" s="1" t="str">
        <x:v>B5</x:v>
      </x:c>
      <x:c r="C38" s="1" t="str">
        <x:v>全50場</x:v>
      </x:c>
      <x:c r="D38" s="47" t="n">
        <x:v>1284324</x:v>
      </x:c>
      <x:c r="E38" s="47" t="n">
        <x:v>788068</x:v>
      </x:c>
      <x:c r="F38" s="47" t="n">
        <x:f>D38-E38</x:f>
        <x:v>496256</x:v>
      </x:c>
      <x:c r="G38" s="49" t="n">
        <x:v>16</x:v>
      </x:c>
      <x:c r="H38" s="49" t="n">
        <x:v>9</x:v>
      </x:c>
      <x:c r="I38" s="47" t="n">
        <x:v>115098</x:v>
      </x:c>
      <x:c r="J38" s="49" t="n">
        <x:v>46</x:v>
      </x:c>
      <x:c r="K38" s="47" t="n">
        <x:v>-80768</x:v>
      </x:c>
      <x:c r="L38" s="47" t="n">
        <x:v>45144.444444444445</x:v>
      </x:c>
      <x:c r="M38" s="48" t="n">
        <x:v>359.9686666666666</x:v>
      </x:c>
      <x:c r="N38" s="48" t="n">
        <x:v>23.462666666666667</x:v>
      </x:c>
      <x:c r="O38" s="49" t="n">
        <x:v>5</x:v>
      </x:c>
      <x:c r="P38" s="1" t="str">
        <x:v>従来基準</x:v>
      </x:c>
      <x:c r="Q38" s="49" t="n">
        <x:v>0</x:v>
      </x:c>
      <x:c r="R38" s="50" t="n">
        <x:v>0.03008034188034188</x:v>
      </x:c>
      <x:c r="S38" s="50" t="n">
        <x:v>0.030080341880341883</x:v>
      </x:c>
      <x:c r="T38" s="1" t="str">
        <x:v>ナイト</x:v>
      </x:c>
      <x:c r="U38" s="49" t="n">
        <x:v>25</x:v>
      </x:c>
    </x:row>
    <x:row r="39" ht="22" customHeight="1">
      <x:c r="A39" s="1" t="str">
        <x:v>日経mini</x:v>
      </x:c>
      <x:c r="B39" s="1" t="str">
        <x:v>B5</x:v>
      </x:c>
      <x:c r="C39" s="1" t="str">
        <x:v>全50場</x:v>
      </x:c>
      <x:c r="D39" s="47" t="n">
        <x:v>1503858</x:v>
      </x:c>
      <x:c r="E39" s="47" t="n">
        <x:v>1165370</x:v>
      </x:c>
      <x:c r="F39" s="47" t="n">
        <x:f>D39-E39</x:f>
        <x:v>338488</x:v>
      </x:c>
      <x:c r="G39" s="49" t="n">
        <x:v>13</x:v>
      </x:c>
      <x:c r="H39" s="49" t="n">
        <x:v>11</x:v>
      </x:c>
      <x:c r="I39" s="47" t="n">
        <x:v>-112976</x:v>
      </x:c>
      <x:c r="J39" s="49" t="n">
        <x:v>47</x:v>
      </x:c>
      <x:c r="K39" s="47" t="n">
        <x:v>-121920</x:v>
      </x:c>
      <x:c r="L39" s="47" t="n">
        <x:v>63012.72727272727</x:v>
      </x:c>
      <x:c r="M39" s="48" t="n">
        <x:v>250.48055555555553</x:v>
      </x:c>
      <x:c r="N39" s="48" t="n">
        <x:v>66.81319444444445</x:v>
      </x:c>
      <x:c r="O39" s="49" t="n">
        <x:v>5</x:v>
      </x:c>
      <x:c r="P39" s="1" t="str">
        <x:v>従来基準</x:v>
      </x:c>
      <x:c r="Q39" s="49" t="n">
        <x:v>0</x:v>
      </x:c>
      <x:c r="R39" s="50" t="n">
        <x:v>0.1471628256003256</x:v>
      </x:c>
      <x:c r="S39" s="50" t="n">
        <x:v>0.10863934056007227</x:v>
      </x:c>
      <x:c r="T39" s="1" t="str">
        <x:v>上昇</x:v>
      </x:c>
      <x:c r="U39" s="49" t="n">
        <x:v>24</x:v>
      </x:c>
    </x:row>
    <x:row r="40" ht="22" customHeight="1">
      <x:c r="A40" s="1" t="str">
        <x:v>日経mini</x:v>
      </x:c>
      <x:c r="B40" s="1" t="str">
        <x:v>B5</x:v>
      </x:c>
      <x:c r="C40" s="1" t="str">
        <x:v>全50場</x:v>
      </x:c>
      <x:c r="D40" s="47" t="n">
        <x:v>2711330</x:v>
      </x:c>
      <x:c r="E40" s="47" t="n">
        <x:v>984370</x:v>
      </x:c>
      <x:c r="F40" s="47" t="n">
        <x:f>D40-E40</x:f>
        <x:v>1726960</x:v>
      </x:c>
      <x:c r="G40" s="49" t="n">
        <x:v>19</x:v>
      </x:c>
      <x:c r="H40" s="49" t="n">
        <x:v>7</x:v>
      </x:c>
      <x:c r="I40" s="47" t="n">
        <x:v>727880</x:v>
      </x:c>
      <x:c r="J40" s="49" t="n">
        <x:v>61</x:v>
      </x:c>
      <x:c r="K40" s="47" t="n">
        <x:v>-153304</x:v>
      </x:c>
      <x:c r="L40" s="47" t="n">
        <x:v>56723.42857142857</x:v>
      </x:c>
      <x:c r="M40" s="48" t="n">
        <x:v>228.67500000000004</x:v>
      </x:c>
      <x:c r="N40" s="48" t="n">
        <x:v>108.21153846153848</x:v>
      </x:c>
      <x:c r="O40" s="49" t="n">
        <x:v>5</x:v>
      </x:c>
      <x:c r="P40" s="1" t="str">
        <x:v>従来基準</x:v>
      </x:c>
      <x:c r="Q40" s="49" t="n">
        <x:v>0</x:v>
      </x:c>
      <x:c r="R40" s="50" t="n">
        <x:v>0.24385460693153002</x:v>
      </x:c>
      <x:c r="S40" s="50" t="n">
        <x:v>0.18461286089238846</x:v>
      </x:c>
      <x:c r="T40" s="1" t="str">
        <x:v>下落</x:v>
      </x:c>
      <x:c r="U40" s="49" t="n">
        <x:v>26</x:v>
      </x:c>
    </x:row>
    <x:row r="41" ht="22" customHeight="1">
      <x:c r="A41" s="1" t="str">
        <x:v>日経mini</x:v>
      </x:c>
      <x:c r="B41" s="1" t="str">
        <x:v>B5</x:v>
      </x:c>
      <x:c r="C41" s="1" t="str">
        <x:v>対照47場</x:v>
      </x:c>
      <x:c r="D41" s="47" t="n">
        <x:v>4110572</x:v>
      </x:c>
      <x:c r="E41" s="47" t="n">
        <x:v>1993588</x:v>
      </x:c>
      <x:c r="F41" s="47" t="n">
        <x:f>D41-E41</x:f>
        <x:v>2116984</x:v>
      </x:c>
      <x:c r="G41" s="49" t="n">
        <x:v>31</x:v>
      </x:c>
      <x:c r="H41" s="49" t="n">
        <x:v>16</x:v>
      </x:c>
      <x:c r="I41" s="47" t="n">
        <x:v>1117904</x:v>
      </x:c>
      <x:c r="J41" s="49" t="n">
        <x:v>104</x:v>
      </x:c>
      <x:c r="K41" s="47" t="n">
        <x:v>-153304</x:v>
      </x:c>
      <x:c r="L41" s="47" t="n">
        <x:v>61839.75</x:v>
      </x:c>
      <x:c r="M41" s="48" t="n">
        <x:v>236.14078014184398</x:v>
      </x:c>
      <x:c r="N41" s="48" t="n">
        <x:v>93.38581560283687</x:v>
      </x:c>
      <x:c r="O41" s="49" t="n">
        <x:v>5</x:v>
      </x:c>
      <x:c r="P41" s="1" t="str">
        <x:v>従来基準</x:v>
      </x:c>
      <x:c r="Q41" s="49" t="n">
        <x:v>0</x:v>
      </x:c>
      <x:c r="R41" s="50" t="n">
        <x:v>0.2091856961005897</x:v>
      </x:c>
      <x:c r="S41" s="50" t="n">
        <x:v>0.15664287413752082</x:v>
      </x:c>
      <x:c r="T41" s="1" t="str">
        <x:v>全場</x:v>
      </x:c>
      <x:c r="U41" s="49" t="n">
        <x:v>47</x:v>
      </x:c>
    </x:row>
    <x:row r="42" ht="22" customHeight="1">
      <x:c r="A42" s="1" t="str">
        <x:v>日経mini</x:v>
      </x:c>
      <x:c r="B42" s="1" t="str">
        <x:v>B5</x:v>
      </x:c>
      <x:c r="C42" s="1" t="str">
        <x:v>対照47場</x:v>
      </x:c>
      <x:c r="D42" s="47" t="n">
        <x:v>2930864</x:v>
      </x:c>
      <x:c r="E42" s="47" t="n">
        <x:v>1316288</x:v>
      </x:c>
      <x:c r="F42" s="47" t="n">
        <x:f>D42-E42</x:f>
        <x:v>1614576</x:v>
      </x:c>
      <x:c r="G42" s="49" t="n">
        <x:v>16</x:v>
      </x:c>
      <x:c r="H42" s="49" t="n">
        <x:v>8</x:v>
      </x:c>
      <x:c r="I42" s="47" t="n">
        <x:v>615496</x:v>
      </x:c>
      <x:c r="J42" s="49" t="n">
        <x:v>61</x:v>
      </x:c>
      <x:c r="K42" s="47" t="n">
        <x:v>-153304</x:v>
      </x:c>
      <x:c r="L42" s="47" t="n">
        <x:v>79815</x:v>
      </x:c>
      <x:c r="M42" s="48" t="n">
        <x:v>117.47916666666667</x:v>
      </x:c>
      <x:c r="N42" s="48" t="n">
        <x:v>159.42569444444447</x:v>
      </x:c>
      <x:c r="O42" s="49" t="n">
        <x:v>5</x:v>
      </x:c>
      <x:c r="P42" s="1" t="str">
        <x:v>従来基準</x:v>
      </x:c>
      <x:c r="Q42" s="49" t="n">
        <x:v>0</x:v>
      </x:c>
      <x:c r="R42" s="50" t="n">
        <x:v>0.3795849867724868</x:v>
      </x:c>
      <x:c r="S42" s="50" t="n">
        <x:v>0.37958498677248675</x:v>
      </x:c>
      <x:c r="T42" s="1" t="str">
        <x:v>デイ</x:v>
      </x:c>
      <x:c r="U42" s="49" t="n">
        <x:v>24</x:v>
      </x:c>
    </x:row>
    <x:row r="43" ht="22" customHeight="1">
      <x:c r="A43" s="1" t="str">
        <x:v>日経mini</x:v>
      </x:c>
      <x:c r="B43" s="1" t="str">
        <x:v>B5</x:v>
      </x:c>
      <x:c r="C43" s="1" t="str">
        <x:v>対照47場</x:v>
      </x:c>
      <x:c r="D43" s="47" t="n">
        <x:v>1179708</x:v>
      </x:c>
      <x:c r="E43" s="47" t="n">
        <x:v>677300</x:v>
      </x:c>
      <x:c r="F43" s="47" t="n">
        <x:f>D43-E43</x:f>
        <x:v>502408</x:v>
      </x:c>
      <x:c r="G43" s="49" t="n">
        <x:v>15</x:v>
      </x:c>
      <x:c r="H43" s="49" t="n">
        <x:v>8</x:v>
      </x:c>
      <x:c r="I43" s="47" t="n">
        <x:v>121250</x:v>
      </x:c>
      <x:c r="J43" s="49" t="n">
        <x:v>43</x:v>
      </x:c>
      <x:c r="K43" s="47" t="n">
        <x:v>-80768</x:v>
      </x:c>
      <x:c r="L43" s="47" t="n">
        <x:v>43864.5</x:v>
      </x:c>
      <x:c r="M43" s="48" t="n">
        <x:v>359.96159420289854</x:v>
      </x:c>
      <x:c r="N43" s="48" t="n">
        <x:v>24.474637681159418</x:v>
      </x:c>
      <x:c r="O43" s="49" t="n">
        <x:v>5</x:v>
      </x:c>
      <x:c r="P43" s="1" t="str">
        <x:v>従来基準</x:v>
      </x:c>
      <x:c r="Q43" s="49" t="n">
        <x:v>0</x:v>
      </x:c>
      <x:c r="R43" s="50" t="n">
        <x:v>0.031377740616871055</x:v>
      </x:c>
      <x:c r="S43" s="50" t="n">
        <x:v>0.03137774061687105</x:v>
      </x:c>
      <x:c r="T43" s="1" t="str">
        <x:v>ナイト</x:v>
      </x:c>
      <x:c r="U43" s="49" t="n">
        <x:v>23</x:v>
      </x:c>
    </x:row>
    <x:row r="44" ht="22" customHeight="1">
      <x:c r="A44" s="1" t="str">
        <x:v>日経mini</x:v>
      </x:c>
      <x:c r="B44" s="1" t="str">
        <x:v>B5</x:v>
      </x:c>
      <x:c r="C44" s="1" t="str">
        <x:v>対照47場</x:v>
      </x:c>
      <x:c r="D44" s="47" t="n">
        <x:v>1503858</x:v>
      </x:c>
      <x:c r="E44" s="47" t="n">
        <x:v>1064602</x:v>
      </x:c>
      <x:c r="F44" s="47" t="n">
        <x:f>D44-E44</x:f>
        <x:v>439256</x:v>
      </x:c>
      <x:c r="G44" s="49" t="n">
        <x:v>13</x:v>
      </x:c>
      <x:c r="H44" s="49" t="n">
        <x:v>9</x:v>
      </x:c>
      <x:c r="I44" s="47" t="n">
        <x:v>-12208</x:v>
      </x:c>
      <x:c r="J44" s="49" t="n">
        <x:v>45</x:v>
      </x:c>
      <x:c r="K44" s="47" t="n">
        <x:v>-121920</x:v>
      </x:c>
      <x:c r="L44" s="47" t="n">
        <x:v>65819.11111111111</x:v>
      </x:c>
      <x:c r="M44" s="48" t="n">
        <x:v>250.5969696969697</x:v>
      </x:c>
      <x:c r="N44" s="48" t="n">
        <x:v>72.62348484848485</x:v>
      </x:c>
      <x:c r="O44" s="49" t="n">
        <x:v>5</x:v>
      </x:c>
      <x:c r="P44" s="1" t="str">
        <x:v>従来基準</x:v>
      </x:c>
      <x:c r="Q44" s="49" t="n">
        <x:v>0</x:v>
      </x:c>
      <x:c r="R44" s="50" t="n">
        <x:v>0.1599918137418137</x:v>
      </x:c>
      <x:c r="S44" s="50" t="n">
        <x:v>0.11782571288102262</x:v>
      </x:c>
      <x:c r="T44" s="1" t="str">
        <x:v>上昇</x:v>
      </x:c>
      <x:c r="U44" s="49" t="n">
        <x:v>22</x:v>
      </x:c>
    </x:row>
    <x:row r="45" ht="22" customHeight="1">
      <x:c r="A45" s="1" t="str">
        <x:v>日経mini</x:v>
      </x:c>
      <x:c r="B45" s="1" t="str">
        <x:v>B5</x:v>
      </x:c>
      <x:c r="C45" s="1" t="str">
        <x:v>対照47場</x:v>
      </x:c>
      <x:c r="D45" s="47" t="n">
        <x:v>2606714</x:v>
      </x:c>
      <x:c r="E45" s="47" t="n">
        <x:v>928986</x:v>
      </x:c>
      <x:c r="F45" s="47" t="n">
        <x:f>D45-E45</x:f>
        <x:v>1677728</x:v>
      </x:c>
      <x:c r="G45" s="49" t="n">
        <x:v>18</x:v>
      </x:c>
      <x:c r="H45" s="49" t="n">
        <x:v>7</x:v>
      </x:c>
      <x:c r="I45" s="47" t="n">
        <x:v>678648</x:v>
      </x:c>
      <x:c r="J45" s="49" t="n">
        <x:v>59</x:v>
      </x:c>
      <x:c r="K45" s="47" t="n">
        <x:v>-153304</x:v>
      </x:c>
      <x:c r="L45" s="47" t="n">
        <x:v>56723.42857142857</x:v>
      </x:c>
      <x:c r="M45" s="48" t="n">
        <x:v>223.41933333333338</x:v>
      </x:c>
      <x:c r="N45" s="48" t="n">
        <x:v>111.65666666666668</x:v>
      </x:c>
      <x:c r="O45" s="49" t="n">
        <x:v>5</x:v>
      </x:c>
      <x:c r="P45" s="1" t="str">
        <x:v>従来基準</x:v>
      </x:c>
      <x:c r="Q45" s="49" t="n">
        <x:v>0</x:v>
      </x:c>
      <x:c r="R45" s="50" t="n">
        <x:v>0.2524763125763126</x:v>
      </x:c>
      <x:c r="S45" s="50" t="n">
        <x:v>0.1930440295066851</x:v>
      </x:c>
      <x:c r="T45" s="1" t="str">
        <x:v>下落</x:v>
      </x:c>
      <x:c r="U45" s="49" t="n">
        <x:v>25</x:v>
      </x:c>
    </x:row>
    <x:row r="46" ht="22" customHeight="1">
      <x:c r="A46" s="1" t="str">
        <x:v>日経mini</x:v>
      </x:c>
      <x:c r="B46" s="1" t="str">
        <x:v>B5</x:v>
      </x:c>
      <x:c r="C46" s="1" t="str">
        <x:v>診断3場</x:v>
      </x:c>
      <x:c r="D46" s="47" t="n">
        <x:v>104616</x:v>
      </x:c>
      <x:c r="E46" s="47" t="n">
        <x:v>156152</x:v>
      </x:c>
      <x:c r="F46" s="47" t="n">
        <x:f>D46-E46</x:f>
        <x:v>-51536</x:v>
      </x:c>
      <x:c r="G46" s="49" t="n">
        <x:v>1</x:v>
      </x:c>
      <x:c r="H46" s="49" t="n">
        <x:v>2</x:v>
      </x:c>
      <x:c r="I46" s="47" t="n">
        <x:v>-100768</x:v>
      </x:c>
      <x:c r="J46" s="49" t="n">
        <x:v>4</x:v>
      </x:c>
      <x:c r="K46" s="47" t="n">
        <x:v>-55384</x:v>
      </x:c>
      <x:c r="L46" s="47" t="n">
        <x:v>50384</x:v>
      </x:c>
      <x:c r="M46" s="48" t="n">
        <x:v>286.15555555555557</x:v>
      </x:c>
      <x:c r="N46" s="48" t="n">
        <x:v>9.294444444444444</x:v>
      </x:c>
      <x:c r="O46" s="49" t="n">
        <x:v>5</x:v>
      </x:c>
      <x:c r="P46" s="1" t="str">
        <x:v>従来基準</x:v>
      </x:c>
      <x:c r="Q46" s="49" t="n">
        <x:v>0</x:v>
      </x:c>
      <x:c r="R46" s="50" t="n">
        <x:v>0.013466625966625968</x:v>
      </x:c>
      <x:c r="S46" s="50" t="n">
        <x:v>0.014082491582491582</x:v>
      </x:c>
      <x:c r="T46" s="1" t="str">
        <x:v>全場</x:v>
      </x:c>
      <x:c r="U46" s="49" t="n">
        <x:v>3</x:v>
      </x:c>
    </x:row>
    <x:row r="47" ht="22" customHeight="1">
      <x:c r="A47" s="1" t="str">
        <x:v>日経mini</x:v>
      </x:c>
      <x:c r="B47" s="1" t="str">
        <x:v>B5</x:v>
      </x:c>
      <x:c r="C47" s="1" t="str">
        <x:v>診断3場</x:v>
      </x:c>
      <x:c r="D47" s="47" t="n">
        <x:v>0</x:v>
      </x:c>
      <x:c r="E47" s="47" t="n">
        <x:v>45384</x:v>
      </x:c>
      <x:c r="F47" s="47" t="n">
        <x:f>D47-E47</x:f>
        <x:v>-45384</x:v>
      </x:c>
      <x:c r="G47" s="49" t="n">
        <x:v>0</x:v>
      </x:c>
      <x:c r="H47" s="49" t="n">
        <x:v>1</x:v>
      </x:c>
      <x:c r="I47" s="47" t="n">
        <x:v>-45384</x:v>
      </x:c>
      <x:c r="J47" s="49" t="n">
        <x:v>1</x:v>
      </x:c>
      <x:c r="K47" s="47" t="n">
        <x:v>-45384</x:v>
      </x:c>
      <x:c r="L47" s="47" t="n">
        <x:v>45384</x:v>
      </x:c>
      <x:c r="M47" s="48" t="n">
        <x:v>138.36666666666667</x:v>
      </x:c>
      <x:c r="N47" s="48" t="n">
        <x:v>4.233333333333333</x:v>
      </x:c>
      <x:c r="O47" s="49" t="n">
        <x:v>5</x:v>
      </x:c>
      <x:c r="P47" s="1" t="str">
        <x:v>従来基準</x:v>
      </x:c>
      <x:c r="Q47" s="49" t="n">
        <x:v>0</x:v>
      </x:c>
      <x:c r="R47" s="50" t="n">
        <x:v>0.010079365079365079</x:v>
      </x:c>
      <x:c r="S47" s="50" t="n">
        <x:v>0.01007936507936508</x:v>
      </x:c>
      <x:c r="T47" s="1" t="str">
        <x:v>デイ</x:v>
      </x:c>
      <x:c r="U47" s="49" t="n">
        <x:v>1</x:v>
      </x:c>
    </x:row>
    <x:row r="48" ht="22" customHeight="1">
      <x:c r="A48" s="1" t="str">
        <x:v>日経mini</x:v>
      </x:c>
      <x:c r="B48" s="1" t="str">
        <x:v>B5</x:v>
      </x:c>
      <x:c r="C48" s="1" t="str">
        <x:v>診断3場</x:v>
      </x:c>
      <x:c r="D48" s="47" t="n">
        <x:v>104616</x:v>
      </x:c>
      <x:c r="E48" s="47" t="n">
        <x:v>110768</x:v>
      </x:c>
      <x:c r="F48" s="47" t="n">
        <x:f>D48-E48</x:f>
        <x:v>-6152</x:v>
      </x:c>
      <x:c r="G48" s="49" t="n">
        <x:v>1</x:v>
      </x:c>
      <x:c r="H48" s="49" t="n">
        <x:v>1</x:v>
      </x:c>
      <x:c r="I48" s="47" t="n">
        <x:v>-55384</x:v>
      </x:c>
      <x:c r="J48" s="49" t="n">
        <x:v>3</x:v>
      </x:c>
      <x:c r="K48" s="47" t="n">
        <x:v>-55384</x:v>
      </x:c>
      <x:c r="L48" s="47" t="n">
        <x:v>55384</x:v>
      </x:c>
      <x:c r="M48" s="48" t="n">
        <x:v>360.05</x:v>
      </x:c>
      <x:c r="N48" s="48" t="n">
        <x:v>11.825</x:v>
      </x:c>
      <x:c r="O48" s="49" t="n">
        <x:v>5</x:v>
      </x:c>
      <x:c r="P48" s="1" t="str">
        <x:v>従来基準</x:v>
      </x:c>
      <x:c r="Q48" s="49" t="n">
        <x:v>0</x:v>
      </x:c>
      <x:c r="R48" s="50" t="n">
        <x:v>0.01516025641025641</x:v>
      </x:c>
      <x:c r="S48" s="50" t="n">
        <x:v>0.015160256410256409</x:v>
      </x:c>
      <x:c r="T48" s="1" t="str">
        <x:v>ナイト</x:v>
      </x:c>
      <x:c r="U48" s="49" t="n">
        <x:v>2</x:v>
      </x:c>
    </x:row>
    <x:row r="49" ht="22" customHeight="1">
      <x:c r="A49" s="1" t="str">
        <x:v>日経mini</x:v>
      </x:c>
      <x:c r="B49" s="1" t="str">
        <x:v>B5</x:v>
      </x:c>
      <x:c r="C49" s="1" t="str">
        <x:v>診断3場</x:v>
      </x:c>
      <x:c r="D49" s="47" t="n">
        <x:v>0</x:v>
      </x:c>
      <x:c r="E49" s="47" t="n">
        <x:v>100768</x:v>
      </x:c>
      <x:c r="F49" s="47" t="n">
        <x:f>D49-E49</x:f>
        <x:v>-100768</x:v>
      </x:c>
      <x:c r="G49" s="49" t="n">
        <x:v>0</x:v>
      </x:c>
      <x:c r="H49" s="49" t="n">
        <x:v>2</x:v>
      </x:c>
      <x:c r="I49" s="47" t="n">
        <x:v>-100768</x:v>
      </x:c>
      <x:c r="J49" s="49" t="n">
        <x:v>2</x:v>
      </x:c>
      <x:c r="K49" s="47" t="n">
        <x:v>-55384</x:v>
      </x:c>
      <x:c r="L49" s="47" t="n">
        <x:v>50384</x:v>
      </x:c>
      <x:c r="M49" s="48" t="n">
        <x:v>249.20000000000002</x:v>
      </x:c>
      <x:c r="N49" s="48" t="n">
        <x:v>2.9</x:v>
      </x:c>
      <x:c r="O49" s="49" t="n">
        <x:v>5</x:v>
      </x:c>
      <x:c r="P49" s="1" t="str">
        <x:v>従来基準</x:v>
      </x:c>
      <x:c r="Q49" s="49" t="n">
        <x:v>0</x:v>
      </x:c>
      <x:c r="R49" s="50" t="n">
        <x:v>0.006043956043956043</x:v>
      </x:c>
      <x:c r="S49" s="50" t="n">
        <x:v>0.004833333333333334</x:v>
      </x:c>
      <x:c r="T49" s="1" t="str">
        <x:v>上昇</x:v>
      </x:c>
      <x:c r="U49" s="49" t="n">
        <x:v>2</x:v>
      </x:c>
    </x:row>
    <x:row r="50" ht="22" customHeight="1">
      <x:c r="A50" s="1" t="str">
        <x:v>日経mini</x:v>
      </x:c>
      <x:c r="B50" s="1" t="str">
        <x:v>B5</x:v>
      </x:c>
      <x:c r="C50" s="1" t="str">
        <x:v>診断3場</x:v>
      </x:c>
      <x:c r="D50" s="47" t="n">
        <x:v>104616</x:v>
      </x:c>
      <x:c r="E50" s="47" t="n">
        <x:v>55384</x:v>
      </x:c>
      <x:c r="F50" s="47" t="n">
        <x:f>D50-E50</x:f>
        <x:v>49232</x:v>
      </x:c>
      <x:c r="G50" s="49" t="n">
        <x:v>1</x:v>
      </x:c>
      <x:c r="H50" s="49" t="n">
        <x:v>0</x:v>
      </x:c>
      <x:c r="I50" s="47" t="n">
        <x:v>0</x:v>
      </x:c>
      <x:c r="J50" s="49" t="n">
        <x:v>2</x:v>
      </x:c>
      <x:c r="K50" s="47" t="n">
        <x:v>49232</x:v>
      </x:c>
      <x:c r="L50" s="47" t="n">
        <x:v>0</x:v>
      </x:c>
      <x:c r="M50" s="48" t="n">
        <x:v>360.06666666666666</x:v>
      </x:c>
      <x:c r="N50" s="48" t="n">
        <x:v>22.083333333333332</x:v>
      </x:c>
      <x:c r="O50" s="49" t="n">
        <x:v>5</x:v>
      </x:c>
      <x:c r="P50" s="1" t="str">
        <x:v>従来基準</x:v>
      </x:c>
      <x:c r="Q50" s="49" t="n">
        <x:v>0</x:v>
      </x:c>
      <x:c r="R50" s="50" t="n">
        <x:v>0.028311965811965812</x:v>
      </x:c>
      <x:c r="S50" s="50" t="n">
        <x:v>0.028311965811965812</x:v>
      </x:c>
      <x:c r="T50" s="1" t="str">
        <x:v>下落</x:v>
      </x:c>
      <x:c r="U50" s="49" t="n">
        <x:v>1</x:v>
      </x:c>
    </x:row>
    <x:row r="51" ht="22" customHeight="1">
      <x:c r="A51" s="1" t="str">
        <x:v>日経mini</x:v>
      </x:c>
      <x:c r="B51" s="1" t="str">
        <x:v>C01</x:v>
      </x:c>
      <x:c r="C51" s="1" t="str">
        <x:v>全50場</x:v>
      </x:c>
      <x:c r="D51" s="47" t="n">
        <x:v>6151342</x:v>
      </x:c>
      <x:c r="E51" s="47" t="n">
        <x:v>3704346</x:v>
      </x:c>
      <x:c r="F51" s="47" t="n">
        <x:f>D51-E51</x:f>
        <x:v>2446996</x:v>
      </x:c>
      <x:c r="G51" s="49" t="n">
        <x:v>34</x:v>
      </x:c>
      <x:c r="H51" s="49" t="n">
        <x:v>16</x:v>
      </x:c>
      <x:c r="I51" s="47" t="n">
        <x:v>1280060</x:v>
      </x:c>
      <x:c r="J51" s="49" t="n">
        <x:v>302</x:v>
      </x:c>
      <x:c r="K51" s="47" t="n">
        <x:v>-185148</x:v>
      </x:c>
      <x:c r="L51" s="47" t="n">
        <x:v>73501.875</x:v>
      </x:c>
      <x:c r="M51" s="48" t="n">
        <x:v>211.14033333333336</x:v>
      </x:c>
      <x:c r="N51" s="48" t="n">
        <x:v>135.07933333333335</x:v>
      </x:c>
      <x:c r="O51" s="49" t="n">
        <x:v>10</x:v>
      </x:c>
      <x:c r="P51" s="1" t="str">
        <x:v>中期逆向きだけ再進行確認</x:v>
      </x:c>
      <x:c r="Q51" s="49" t="n">
        <x:v>0</x:v>
      </x:c>
      <x:c r="R51" s="50" t="n">
        <x:v>0.29933724053724053</x:v>
      </x:c>
      <x:c r="S51" s="50" t="n">
        <x:v>0.2251322222222222</x:v>
      </x:c>
      <x:c r="T51" s="1" t="str">
        <x:v>全場</x:v>
      </x:c>
      <x:c r="U51" s="49" t="n">
        <x:v>50</x:v>
      </x:c>
    </x:row>
    <x:row r="52" ht="22" customHeight="1">
      <x:c r="A52" s="1" t="str">
        <x:v>日経mini</x:v>
      </x:c>
      <x:c r="B52" s="1" t="str">
        <x:v>C01</x:v>
      </x:c>
      <x:c r="C52" s="1" t="str">
        <x:v>全50場</x:v>
      </x:c>
      <x:c r="D52" s="47" t="n">
        <x:v>4126686</x:v>
      </x:c>
      <x:c r="E52" s="47" t="n">
        <x:v>2575280</x:v>
      </x:c>
      <x:c r="F52" s="47" t="n">
        <x:f>D52-E52</x:f>
        <x:v>1551406</x:v>
      </x:c>
      <x:c r="G52" s="49" t="n">
        <x:v>17</x:v>
      </x:c>
      <x:c r="H52" s="49" t="n">
        <x:v>8</x:v>
      </x:c>
      <x:c r="I52" s="47" t="n">
        <x:v>414318</x:v>
      </x:c>
      <x:c r="J52" s="49" t="n">
        <x:v>203</x:v>
      </x:c>
      <x:c r="K52" s="47" t="n">
        <x:v>-185148</x:v>
      </x:c>
      <x:c r="L52" s="47" t="n">
        <x:v>89495.5</x:v>
      </x:c>
      <x:c r="M52" s="48" t="n">
        <x:v>85.61666666666667</x:v>
      </x:c>
      <x:c r="N52" s="48" t="n">
        <x:v>229.60866666666664</x:v>
      </x:c>
      <x:c r="O52" s="49" t="n">
        <x:v>10</x:v>
      </x:c>
      <x:c r="P52" s="1" t="str">
        <x:v>中期逆向きだけ再進行確認</x:v>
      </x:c>
      <x:c r="Q52" s="49" t="n">
        <x:v>0</x:v>
      </x:c>
      <x:c r="R52" s="50" t="n">
        <x:v>0.5466873015873016</x:v>
      </x:c>
      <x:c r="S52" s="50" t="n">
        <x:v>0.5466873015873015</x:v>
      </x:c>
      <x:c r="T52" s="1" t="str">
        <x:v>デイ</x:v>
      </x:c>
      <x:c r="U52" s="49" t="n">
        <x:v>25</x:v>
      </x:c>
    </x:row>
    <x:row r="53" ht="22" customHeight="1">
      <x:c r="A53" s="1" t="str">
        <x:v>日経mini</x:v>
      </x:c>
      <x:c r="B53" s="1" t="str">
        <x:v>C01</x:v>
      </x:c>
      <x:c r="C53" s="1" t="str">
        <x:v>全50場</x:v>
      </x:c>
      <x:c r="D53" s="47" t="n">
        <x:v>2024656</x:v>
      </x:c>
      <x:c r="E53" s="47" t="n">
        <x:v>1129066</x:v>
      </x:c>
      <x:c r="F53" s="47" t="n">
        <x:f>D53-E53</x:f>
        <x:v>895590</x:v>
      </x:c>
      <x:c r="G53" s="49" t="n">
        <x:v>17</x:v>
      </x:c>
      <x:c r="H53" s="49" t="n">
        <x:v>8</x:v>
      </x:c>
      <x:c r="I53" s="47" t="n">
        <x:v>238888</x:v>
      </x:c>
      <x:c r="J53" s="49" t="n">
        <x:v>99</x:v>
      </x:c>
      <x:c r="K53" s="47" t="n">
        <x:v>-148462</x:v>
      </x:c>
      <x:c r="L53" s="47" t="n">
        <x:v>57508.25</x:v>
      </x:c>
      <x:c r="M53" s="48" t="n">
        <x:v>336.664</x:v>
      </x:c>
      <x:c r="N53" s="48" t="n">
        <x:v>40.55</x:v>
      </x:c>
      <x:c r="O53" s="49" t="n">
        <x:v>7</x:v>
      </x:c>
      <x:c r="P53" s="1" t="str">
        <x:v>中期逆向きだけ再進行確認</x:v>
      </x:c>
      <x:c r="Q53" s="49" t="n">
        <x:v>0</x:v>
      </x:c>
      <x:c r="R53" s="50" t="n">
        <x:v>0.051987179487179486</x:v>
      </x:c>
      <x:c r="S53" s="50" t="n">
        <x:v>0.051987179487179486</x:v>
      </x:c>
      <x:c r="T53" s="1" t="str">
        <x:v>ナイト</x:v>
      </x:c>
      <x:c r="U53" s="49" t="n">
        <x:v>25</x:v>
      </x:c>
    </x:row>
    <x:row r="54" ht="22" customHeight="1">
      <x:c r="A54" s="1" t="str">
        <x:v>日経mini</x:v>
      </x:c>
      <x:c r="B54" s="1" t="str">
        <x:v>C01</x:v>
      </x:c>
      <x:c r="C54" s="1" t="str">
        <x:v>全50場</x:v>
      </x:c>
      <x:c r="D54" s="47" t="n">
        <x:v>2721056</x:v>
      </x:c>
      <x:c r="E54" s="47" t="n">
        <x:v>1834132</x:v>
      </x:c>
      <x:c r="F54" s="47" t="n">
        <x:f>D54-E54</x:f>
        <x:v>886924</x:v>
      </x:c>
      <x:c r="G54" s="49" t="n">
        <x:v>15</x:v>
      </x:c>
      <x:c r="H54" s="49" t="n">
        <x:v>9</x:v>
      </x:c>
      <x:c r="I54" s="47" t="n">
        <x:v>-192710</x:v>
      </x:c>
      <x:c r="J54" s="49" t="n">
        <x:v>154</x:v>
      </x:c>
      <x:c r="K54" s="47" t="n">
        <x:v>-185148</x:v>
      </x:c>
      <x:c r="L54" s="47" t="n">
        <x:v>91902.66666666667</x:v>
      </x:c>
      <x:c r="M54" s="48" t="n">
        <x:v>213.59375</x:v>
      </x:c>
      <x:c r="N54" s="48" t="n">
        <x:v>133.76874999999998</x:v>
      </x:c>
      <x:c r="O54" s="49" t="n">
        <x:v>10</x:v>
      </x:c>
      <x:c r="P54" s="1" t="str">
        <x:v>中期逆向きだけ再進行確認</x:v>
      </x:c>
      <x:c r="Q54" s="49" t="n">
        <x:v>0</x:v>
      </x:c>
      <x:c r="R54" s="50" t="n">
        <x:v>0.2939121642246642</x:v>
      </x:c>
      <x:c r="S54" s="50" t="n">
        <x:v>0.217510162601626</x:v>
      </x:c>
      <x:c r="T54" s="1" t="str">
        <x:v>上昇</x:v>
      </x:c>
      <x:c r="U54" s="49" t="n">
        <x:v>24</x:v>
      </x:c>
    </x:row>
    <x:row r="55" ht="22" customHeight="1">
      <x:c r="A55" s="1" t="str">
        <x:v>日経mini</x:v>
      </x:c>
      <x:c r="B55" s="1" t="str">
        <x:v>C01</x:v>
      </x:c>
      <x:c r="C55" s="1" t="str">
        <x:v>全50場</x:v>
      </x:c>
      <x:c r="D55" s="47" t="n">
        <x:v>3430286</x:v>
      </x:c>
      <x:c r="E55" s="47" t="n">
        <x:v>1870214</x:v>
      </x:c>
      <x:c r="F55" s="47" t="n">
        <x:f>D55-E55</x:f>
        <x:v>1560072</x:v>
      </x:c>
      <x:c r="G55" s="49" t="n">
        <x:v>19</x:v>
      </x:c>
      <x:c r="H55" s="49" t="n">
        <x:v>7</x:v>
      </x:c>
      <x:c r="I55" s="47" t="n">
        <x:v>659368</x:v>
      </x:c>
      <x:c r="J55" s="49" t="n">
        <x:v>148</x:v>
      </x:c>
      <x:c r="K55" s="47" t="n">
        <x:v>-113844</x:v>
      </x:c>
      <x:c r="L55" s="47" t="n">
        <x:v>49843.71428571428</x:v>
      </x:c>
      <x:c r="M55" s="48" t="n">
        <x:v>208.87564102564102</x:v>
      </x:c>
      <x:c r="N55" s="48" t="n">
        <x:v>136.28910256410256</x:v>
      </x:c>
      <x:c r="O55" s="49" t="n">
        <x:v>10</x:v>
      </x:c>
      <x:c r="P55" s="1" t="str">
        <x:v>中期逆向きだけ再進行確認</x:v>
      </x:c>
      <x:c r="Q55" s="49" t="n">
        <x:v>0</x:v>
      </x:c>
      <x:c r="R55" s="50" t="n">
        <x:v>0.30434500328731096</x:v>
      </x:c>
      <x:c r="S55" s="50" t="n">
        <x:v>0.2325142169728784</x:v>
      </x:c>
      <x:c r="T55" s="1" t="str">
        <x:v>下落</x:v>
      </x:c>
      <x:c r="U55" s="49" t="n">
        <x:v>26</x:v>
      </x:c>
    </x:row>
    <x:row r="56" ht="22" customHeight="1">
      <x:c r="A56" s="1" t="str">
        <x:v>日経mini</x:v>
      </x:c>
      <x:c r="B56" s="1" t="str">
        <x:v>C01</x:v>
      </x:c>
      <x:c r="C56" s="1" t="str">
        <x:v>対照47場</x:v>
      </x:c>
      <x:c r="D56" s="47" t="n">
        <x:v>5953490</x:v>
      </x:c>
      <x:c r="E56" s="47" t="n">
        <x:v>3406426</x:v>
      </x:c>
      <x:c r="F56" s="47" t="n">
        <x:f>D56-E56</x:f>
        <x:v>2547064</x:v>
      </x:c>
      <x:c r="G56" s="49" t="n">
        <x:v>34</x:v>
      </x:c>
      <x:c r="H56" s="49" t="n">
        <x:v>13</x:v>
      </x:c>
      <x:c r="I56" s="47" t="n">
        <x:v>1380128</x:v>
      </x:c>
      <x:c r="J56" s="49" t="n">
        <x:v>284</x:v>
      </x:c>
      <x:c r="K56" s="47" t="n">
        <x:v>-185148</x:v>
      </x:c>
      <x:c r="L56" s="47" t="n">
        <x:v>82766.30769230769</x:v>
      </x:c>
      <x:c r="M56" s="48" t="n">
        <x:v>207.27269503546097</x:v>
      </x:c>
      <x:c r="N56" s="48" t="n">
        <x:v>135.96170212765955</x:v>
      </x:c>
      <x:c r="O56" s="49" t="n">
        <x:v>10</x:v>
      </x:c>
      <x:c r="P56" s="1" t="str">
        <x:v>中期逆向きだけ再進行確認</x:v>
      </x:c>
      <x:c r="Q56" s="49" t="n">
        <x:v>0</x:v>
      </x:c>
      <x:c r="R56" s="50" t="n">
        <x:v>0.3034284155560751</x:v>
      </x:c>
      <x:c r="S56" s="50" t="n">
        <x:v>0.22805852962169879</x:v>
      </x:c>
      <x:c r="T56" s="1" t="str">
        <x:v>全場</x:v>
      </x:c>
      <x:c r="U56" s="49" t="n">
        <x:v>47</x:v>
      </x:c>
    </x:row>
    <x:row r="57" ht="22" customHeight="1">
      <x:c r="A57" s="1" t="str">
        <x:v>日経mini</x:v>
      </x:c>
      <x:c r="B57" s="1" t="str">
        <x:v>C01</x:v>
      </x:c>
      <x:c r="C57" s="1" t="str">
        <x:v>対照47場</x:v>
      </x:c>
      <x:c r="D57" s="47" t="n">
        <x:v>4050068</x:v>
      </x:c>
      <x:c r="E57" s="47" t="n">
        <x:v>2475588</x:v>
      </x:c>
      <x:c r="F57" s="47" t="n">
        <x:f>D57-E57</x:f>
        <x:v>1574480</x:v>
      </x:c>
      <x:c r="G57" s="49" t="n">
        <x:v>17</x:v>
      </x:c>
      <x:c r="H57" s="49" t="n">
        <x:v>7</x:v>
      </x:c>
      <x:c r="I57" s="47" t="n">
        <x:v>437392</x:v>
      </x:c>
      <x:c r="J57" s="49" t="n">
        <x:v>196</x:v>
      </x:c>
      <x:c r="K57" s="47" t="n">
        <x:v>-185148</x:v>
      </x:c>
      <x:c r="L57" s="47" t="n">
        <x:v>98984.28571428571</x:v>
      </x:c>
      <x:c r="M57" s="48" t="n">
        <x:v>85.22152777777778</x:v>
      </x:c>
      <x:c r="N57" s="48" t="n">
        <x:v>230.1</x:v>
      </x:c>
      <x:c r="O57" s="49" t="n">
        <x:v>10</x:v>
      </x:c>
      <x:c r="P57" s="1" t="str">
        <x:v>中期逆向きだけ再進行確認</x:v>
      </x:c>
      <x:c r="Q57" s="49" t="n">
        <x:v>0</x:v>
      </x:c>
      <x:c r="R57" s="50" t="n">
        <x:v>0.5478571428571429</x:v>
      </x:c>
      <x:c r="S57" s="50" t="n">
        <x:v>0.5478571428571428</x:v>
      </x:c>
      <x:c r="T57" s="1" t="str">
        <x:v>デイ</x:v>
      </x:c>
      <x:c r="U57" s="49" t="n">
        <x:v>24</x:v>
      </x:c>
    </x:row>
    <x:row r="58" ht="22" customHeight="1">
      <x:c r="A58" s="1" t="str">
        <x:v>日経mini</x:v>
      </x:c>
      <x:c r="B58" s="1" t="str">
        <x:v>C01</x:v>
      </x:c>
      <x:c r="C58" s="1" t="str">
        <x:v>対照47場</x:v>
      </x:c>
      <x:c r="D58" s="47" t="n">
        <x:v>1903422</x:v>
      </x:c>
      <x:c r="E58" s="47" t="n">
        <x:v>930838</x:v>
      </x:c>
      <x:c r="F58" s="47" t="n">
        <x:f>D58-E58</x:f>
        <x:v>972584</x:v>
      </x:c>
      <x:c r="G58" s="49" t="n">
        <x:v>17</x:v>
      </x:c>
      <x:c r="H58" s="49" t="n">
        <x:v>6</x:v>
      </x:c>
      <x:c r="I58" s="47" t="n">
        <x:v>315882</x:v>
      </x:c>
      <x:c r="J58" s="49" t="n">
        <x:v>88</x:v>
      </x:c>
      <x:c r="K58" s="47" t="n">
        <x:v>-148462</x:v>
      </x:c>
      <x:c r="L58" s="47" t="n">
        <x:v>63845.333333333336</x:v>
      </x:c>
      <x:c r="M58" s="48" t="n">
        <x:v>334.63043478260875</x:v>
      </x:c>
      <x:c r="N58" s="48" t="n">
        <x:v>37.7304347826087</x:v>
      </x:c>
      <x:c r="O58" s="49" t="n">
        <x:v>7</x:v>
      </x:c>
      <x:c r="P58" s="1" t="str">
        <x:v>中期逆向きだけ再進行確認</x:v>
      </x:c>
      <x:c r="Q58" s="49" t="n">
        <x:v>0</x:v>
      </x:c>
      <x:c r="R58" s="50" t="n">
        <x:v>0.048372352285395756</x:v>
      </x:c>
      <x:c r="S58" s="50" t="n">
        <x:v>0.04837235228539576</x:v>
      </x:c>
      <x:c r="T58" s="1" t="str">
        <x:v>ナイト</x:v>
      </x:c>
      <x:c r="U58" s="49" t="n">
        <x:v>23</x:v>
      </x:c>
    </x:row>
    <x:row r="59" ht="22" customHeight="1">
      <x:c r="A59" s="1" t="str">
        <x:v>日経mini</x:v>
      </x:c>
      <x:c r="B59" s="1" t="str">
        <x:v>C01</x:v>
      </x:c>
      <x:c r="C59" s="1" t="str">
        <x:v>対照47場</x:v>
      </x:c>
      <x:c r="D59" s="47" t="n">
        <x:v>2627820</x:v>
      </x:c>
      <x:c r="E59" s="47" t="n">
        <x:v>1679056</x:v>
      </x:c>
      <x:c r="F59" s="47" t="n">
        <x:f>D59-E59</x:f>
        <x:v>948764</x:v>
      </x:c>
      <x:c r="G59" s="49" t="n">
        <x:v>15</x:v>
      </x:c>
      <x:c r="H59" s="49" t="n">
        <x:v>7</x:v>
      </x:c>
      <x:c r="I59" s="47" t="n">
        <x:v>-130870</x:v>
      </x:c>
      <x:c r="J59" s="49" t="n">
        <x:v>142</x:v>
      </x:c>
      <x:c r="K59" s="47" t="n">
        <x:v>-185148</x:v>
      </x:c>
      <x:c r="L59" s="47" t="n">
        <x:v>109326.28571428571</x:v>
      </x:c>
      <x:c r="M59" s="48" t="n">
        <x:v>212.32348484848487</x:v>
      </x:c>
      <x:c r="N59" s="48" t="n">
        <x:v>131.23636363636362</x:v>
      </x:c>
      <x:c r="O59" s="49" t="n">
        <x:v>10</x:v>
      </x:c>
      <x:c r="P59" s="1" t="str">
        <x:v>中期逆向きだけ再進行確認</x:v>
      </x:c>
      <x:c r="Q59" s="49" t="n">
        <x:v>0</x:v>
      </x:c>
      <x:c r="R59" s="50" t="n">
        <x:v>0.2909140859140859</x:v>
      </x:c>
      <x:c r="S59" s="50" t="n">
        <x:v>0.21292035398230086</x:v>
      </x:c>
      <x:c r="T59" s="1" t="str">
        <x:v>上昇</x:v>
      </x:c>
      <x:c r="U59" s="49" t="n">
        <x:v>22</x:v>
      </x:c>
    </x:row>
    <x:row r="60" ht="22" customHeight="1">
      <x:c r="A60" s="1" t="str">
        <x:v>日経mini</x:v>
      </x:c>
      <x:c r="B60" s="1" t="str">
        <x:v>C01</x:v>
      </x:c>
      <x:c r="C60" s="1" t="str">
        <x:v>対照47場</x:v>
      </x:c>
      <x:c r="D60" s="47" t="n">
        <x:v>3325670</x:v>
      </x:c>
      <x:c r="E60" s="47" t="n">
        <x:v>1727370</x:v>
      </x:c>
      <x:c r="F60" s="47" t="n">
        <x:f>D60-E60</x:f>
        <x:v>1598300</x:v>
      </x:c>
      <x:c r="G60" s="49" t="n">
        <x:v>19</x:v>
      </x:c>
      <x:c r="H60" s="49" t="n">
        <x:v>6</x:v>
      </x:c>
      <x:c r="I60" s="47" t="n">
        <x:v>697596</x:v>
      </x:c>
      <x:c r="J60" s="49" t="n">
        <x:v>142</x:v>
      </x:c>
      <x:c r="K60" s="47" t="n">
        <x:v>-113844</x:v>
      </x:c>
      <x:c r="L60" s="47" t="n">
        <x:v>51779.666666666664</x:v>
      </x:c>
      <x:c r="M60" s="48" t="n">
        <x:v>202.828</x:v>
      </x:c>
      <x:c r="N60" s="48" t="n">
        <x:v>140.12</x:v>
      </x:c>
      <x:c r="O60" s="49" t="n">
        <x:v>10</x:v>
      </x:c>
      <x:c r="P60" s="1" t="str">
        <x:v>中期逆向きだけ再進行確認</x:v>
      </x:c>
      <x:c r="Q60" s="49" t="n">
        <x:v>0</x:v>
      </x:c>
      <x:c r="R60" s="50" t="n">
        <x:v>0.3144410256410256</x:v>
      </x:c>
      <x:c r="S60" s="50" t="n">
        <x:v>0.24225449515905947</x:v>
      </x:c>
      <x:c r="T60" s="1" t="str">
        <x:v>下落</x:v>
      </x:c>
      <x:c r="U60" s="49" t="n">
        <x:v>25</x:v>
      </x:c>
    </x:row>
    <x:row r="61" ht="22" customHeight="1">
      <x:c r="A61" s="1" t="str">
        <x:v>日経mini</x:v>
      </x:c>
      <x:c r="B61" s="1" t="str">
        <x:v>C01</x:v>
      </x:c>
      <x:c r="C61" s="1" t="str">
        <x:v>診断3場</x:v>
      </x:c>
      <x:c r="D61" s="47" t="n">
        <x:v>197852</x:v>
      </x:c>
      <x:c r="E61" s="47" t="n">
        <x:v>297920</x:v>
      </x:c>
      <x:c r="F61" s="47" t="n">
        <x:f>D61-E61</x:f>
        <x:v>-100068</x:v>
      </x:c>
      <x:c r="G61" s="49" t="n">
        <x:v>0</x:v>
      </x:c>
      <x:c r="H61" s="49" t="n">
        <x:v>3</x:v>
      </x:c>
      <x:c r="I61" s="47" t="n">
        <x:v>-100068</x:v>
      </x:c>
      <x:c r="J61" s="49" t="n">
        <x:v>18</x:v>
      </x:c>
      <x:c r="K61" s="47" t="n">
        <x:v>-38766</x:v>
      </x:c>
      <x:c r="L61" s="47" t="n">
        <x:v>33356</x:v>
      </x:c>
      <x:c r="M61" s="48" t="n">
        <x:v>271.73333333333335</x:v>
      </x:c>
      <x:c r="N61" s="48" t="n">
        <x:v>121.25555555555555</x:v>
      </x:c>
      <x:c r="O61" s="49" t="n">
        <x:v>5</x:v>
      </x:c>
      <x:c r="P61" s="1" t="str">
        <x:v>中期逆向きだけ再進行確認</x:v>
      </x:c>
      <x:c r="Q61" s="49" t="n">
        <x:v>0</x:v>
      </x:c>
      <x:c r="R61" s="50" t="n">
        <x:v>0.23524216524216524</x:v>
      </x:c>
      <x:c r="S61" s="50" t="n">
        <x:v>0.1837205387205387</x:v>
      </x:c>
      <x:c r="T61" s="1" t="str">
        <x:v>全場</x:v>
      </x:c>
      <x:c r="U61" s="49" t="n">
        <x:v>3</x:v>
      </x:c>
    </x:row>
    <x:row r="62" ht="22" customHeight="1">
      <x:c r="A62" s="1" t="str">
        <x:v>日経mini</x:v>
      </x:c>
      <x:c r="B62" s="1" t="str">
        <x:v>C01</x:v>
      </x:c>
      <x:c r="C62" s="1" t="str">
        <x:v>診断3場</x:v>
      </x:c>
      <x:c r="D62" s="47" t="n">
        <x:v>76618</x:v>
      </x:c>
      <x:c r="E62" s="47" t="n">
        <x:v>99692</x:v>
      </x:c>
      <x:c r="F62" s="47" t="n">
        <x:f>D62-E62</x:f>
        <x:v>-23074</x:v>
      </x:c>
      <x:c r="G62" s="49" t="n">
        <x:v>0</x:v>
      </x:c>
      <x:c r="H62" s="49" t="n">
        <x:v>1</x:v>
      </x:c>
      <x:c r="I62" s="47" t="n">
        <x:v>-23074</x:v>
      </x:c>
      <x:c r="J62" s="49" t="n">
        <x:v>7</x:v>
      </x:c>
      <x:c r="K62" s="47" t="n">
        <x:v>-23074</x:v>
      </x:c>
      <x:c r="L62" s="47" t="n">
        <x:v>23074</x:v>
      </x:c>
      <x:c r="M62" s="48" t="n">
        <x:v>95.1</x:v>
      </x:c>
      <x:c r="N62" s="48" t="n">
        <x:v>217.81666666666666</x:v>
      </x:c>
      <x:c r="O62" s="49" t="n">
        <x:v>5</x:v>
      </x:c>
      <x:c r="P62" s="1" t="str">
        <x:v>中期逆向きだけ再進行確認</x:v>
      </x:c>
      <x:c r="Q62" s="49" t="n">
        <x:v>0</x:v>
      </x:c>
      <x:c r="R62" s="50" t="n">
        <x:v>0.5186111111111111</x:v>
      </x:c>
      <x:c r="S62" s="50" t="n">
        <x:v>0.5186111111111111</x:v>
      </x:c>
      <x:c r="T62" s="1" t="str">
        <x:v>デイ</x:v>
      </x:c>
      <x:c r="U62" s="49" t="n">
        <x:v>1</x:v>
      </x:c>
    </x:row>
    <x:row r="63" ht="22" customHeight="1">
      <x:c r="A63" s="1" t="str">
        <x:v>日経mini</x:v>
      </x:c>
      <x:c r="B63" s="1" t="str">
        <x:v>C01</x:v>
      </x:c>
      <x:c r="C63" s="1" t="str">
        <x:v>診断3場</x:v>
      </x:c>
      <x:c r="D63" s="47" t="n">
        <x:v>121234</x:v>
      </x:c>
      <x:c r="E63" s="47" t="n">
        <x:v>198228</x:v>
      </x:c>
      <x:c r="F63" s="47" t="n">
        <x:f>D63-E63</x:f>
        <x:v>-76994</x:v>
      </x:c>
      <x:c r="G63" s="49" t="n">
        <x:v>0</x:v>
      </x:c>
      <x:c r="H63" s="49" t="n">
        <x:v>2</x:v>
      </x:c>
      <x:c r="I63" s="47" t="n">
        <x:v>-76994</x:v>
      </x:c>
      <x:c r="J63" s="49" t="n">
        <x:v>11</x:v>
      </x:c>
      <x:c r="K63" s="47" t="n">
        <x:v>-38766</x:v>
      </x:c>
      <x:c r="L63" s="47" t="n">
        <x:v>38497</x:v>
      </x:c>
      <x:c r="M63" s="48" t="n">
        <x:v>360.05</x:v>
      </x:c>
      <x:c r="N63" s="48" t="n">
        <x:v>72.975</x:v>
      </x:c>
      <x:c r="O63" s="49" t="n">
        <x:v>5</x:v>
      </x:c>
      <x:c r="P63" s="1" t="str">
        <x:v>中期逆向きだけ再進行確認</x:v>
      </x:c>
      <x:c r="Q63" s="49" t="n">
        <x:v>0</x:v>
      </x:c>
      <x:c r="R63" s="50" t="n">
        <x:v>0.09355769230769231</x:v>
      </x:c>
      <x:c r="S63" s="50" t="n">
        <x:v>0.0935576923076923</x:v>
      </x:c>
      <x:c r="T63" s="1" t="str">
        <x:v>ナイト</x:v>
      </x:c>
      <x:c r="U63" s="49" t="n">
        <x:v>2</x:v>
      </x:c>
    </x:row>
    <x:row r="64" ht="22" customHeight="1">
      <x:c r="A64" s="1" t="str">
        <x:v>日経mini</x:v>
      </x:c>
      <x:c r="B64" s="1" t="str">
        <x:v>C01</x:v>
      </x:c>
      <x:c r="C64" s="1" t="str">
        <x:v>診断3場</x:v>
      </x:c>
      <x:c r="D64" s="47" t="n">
        <x:v>93236</x:v>
      </x:c>
      <x:c r="E64" s="47" t="n">
        <x:v>155076</x:v>
      </x:c>
      <x:c r="F64" s="47" t="n">
        <x:f>D64-E64</x:f>
        <x:v>-61840</x:v>
      </x:c>
      <x:c r="G64" s="49" t="n">
        <x:v>0</x:v>
      </x:c>
      <x:c r="H64" s="49" t="n">
        <x:v>2</x:v>
      </x:c>
      <x:c r="I64" s="47" t="n">
        <x:v>-61840</x:v>
      </x:c>
      <x:c r="J64" s="49" t="n">
        <x:v>12</x:v>
      </x:c>
      <x:c r="K64" s="47" t="n">
        <x:v>-38766</x:v>
      </x:c>
      <x:c r="L64" s="47" t="n">
        <x:v>30920</x:v>
      </x:c>
      <x:c r="M64" s="48" t="n">
        <x:v>227.56666666666666</x:v>
      </x:c>
      <x:c r="N64" s="48" t="n">
        <x:v>161.625</x:v>
      </x:c>
      <x:c r="O64" s="49" t="n">
        <x:v>5</x:v>
      </x:c>
      <x:c r="P64" s="1" t="str">
        <x:v>中期逆向きだけ再進行確認</x:v>
      </x:c>
      <x:c r="Q64" s="49" t="n">
        <x:v>0</x:v>
      </x:c>
      <x:c r="R64" s="50" t="n">
        <x:v>0.3268910256410257</x:v>
      </x:c>
      <x:c r="S64" s="50" t="n">
        <x:v>0.269375</x:v>
      </x:c>
      <x:c r="T64" s="1" t="str">
        <x:v>上昇</x:v>
      </x:c>
      <x:c r="U64" s="49" t="n">
        <x:v>2</x:v>
      </x:c>
    </x:row>
    <x:row r="65" ht="22" customHeight="1">
      <x:c r="A65" s="1" t="str">
        <x:v>日経mini</x:v>
      </x:c>
      <x:c r="B65" s="1" t="str">
        <x:v>C01</x:v>
      </x:c>
      <x:c r="C65" s="1" t="str">
        <x:v>診断3場</x:v>
      </x:c>
      <x:c r="D65" s="47" t="n">
        <x:v>104616</x:v>
      </x:c>
      <x:c r="E65" s="47" t="n">
        <x:v>142844</x:v>
      </x:c>
      <x:c r="F65" s="47" t="n">
        <x:f>D65-E65</x:f>
        <x:v>-38228</x:v>
      </x:c>
      <x:c r="G65" s="49" t="n">
        <x:v>0</x:v>
      </x:c>
      <x:c r="H65" s="49" t="n">
        <x:v>1</x:v>
      </x:c>
      <x:c r="I65" s="47" t="n">
        <x:v>-38228</x:v>
      </x:c>
      <x:c r="J65" s="49" t="n">
        <x:v>6</x:v>
      </x:c>
      <x:c r="K65" s="47" t="n">
        <x:v>-38228</x:v>
      </x:c>
      <x:c r="L65" s="47" t="n">
        <x:v>38228</x:v>
      </x:c>
      <x:c r="M65" s="48" t="n">
        <x:v>360.06666666666666</x:v>
      </x:c>
      <x:c r="N65" s="48" t="n">
        <x:v>40.516666666666666</x:v>
      </x:c>
      <x:c r="O65" s="49" t="n">
        <x:v>5</x:v>
      </x:c>
      <x:c r="P65" s="1" t="str">
        <x:v>中期逆向きだけ再進行確認</x:v>
      </x:c>
      <x:c r="Q65" s="49" t="n">
        <x:v>0</x:v>
      </x:c>
      <x:c r="R65" s="50" t="n">
        <x:v>0.051944444444444446</x:v>
      </x:c>
      <x:c r="S65" s="50" t="n">
        <x:v>0.051944444444444446</x:v>
      </x:c>
      <x:c r="T65" s="1" t="str">
        <x:v>下落</x:v>
      </x:c>
      <x:c r="U65" s="49" t="n">
        <x:v>1</x:v>
      </x:c>
    </x:row>
    <x:row r="66" ht="22" customHeight="1">
      <x:c r="A66" s="1" t="str">
        <x:v>日経mini</x:v>
      </x:c>
      <x:c r="B66" s="1" t="str">
        <x:v>C02</x:v>
      </x:c>
      <x:c r="C66" s="1" t="str">
        <x:v>全50場</x:v>
      </x:c>
      <x:c r="D66" s="47" t="n">
        <x:v>6014028</x:v>
      </x:c>
      <x:c r="E66" s="47" t="n">
        <x:v>3595194</x:v>
      </x:c>
      <x:c r="F66" s="47" t="n">
        <x:f>D66-E66</x:f>
        <x:v>2418834</x:v>
      </x:c>
      <x:c r="G66" s="49" t="n">
        <x:v>33</x:v>
      </x:c>
      <x:c r="H66" s="49" t="n">
        <x:v>17</x:v>
      </x:c>
      <x:c r="I66" s="47" t="n">
        <x:v>1227744</x:v>
      </x:c>
      <x:c r="J66" s="49" t="n">
        <x:v>285</x:v>
      </x:c>
      <x:c r="K66" s="47" t="n">
        <x:v>-185148</x:v>
      </x:c>
      <x:c r="L66" s="47" t="n">
        <x:v>70875.05882352941</x:v>
      </x:c>
      <x:c r="M66" s="48" t="n">
        <x:v>211.73266666666666</x:v>
      </x:c>
      <x:c r="N66" s="48" t="n">
        <x:v>131.73733333333337</x:v>
      </x:c>
      <x:c r="O66" s="49" t="n">
        <x:v>10</x:v>
      </x:c>
      <x:c r="P66" s="1" t="str">
        <x:v>二市場の時間軸合意で入口確認を選ぶ</x:v>
      </x:c>
      <x:c r="Q66" s="49" t="n">
        <x:v>0</x:v>
      </x:c>
      <x:c r="R66" s="50" t="n">
        <x:v>0.29324676434676433</x:v>
      </x:c>
      <x:c r="S66" s="50" t="n">
        <x:v>0.21956222222222221</x:v>
      </x:c>
      <x:c r="T66" s="1" t="str">
        <x:v>全場</x:v>
      </x:c>
      <x:c r="U66" s="49" t="n">
        <x:v>50</x:v>
      </x:c>
    </x:row>
    <x:row r="67" ht="22" customHeight="1">
      <x:c r="A67" s="1" t="str">
        <x:v>日経mini</x:v>
      </x:c>
      <x:c r="B67" s="1" t="str">
        <x:v>C02</x:v>
      </x:c>
      <x:c r="C67" s="1" t="str">
        <x:v>全50場</x:v>
      </x:c>
      <x:c r="D67" s="47" t="n">
        <x:v>3996914</x:v>
      </x:c>
      <x:c r="E67" s="47" t="n">
        <x:v>2452206</x:v>
      </x:c>
      <x:c r="F67" s="47" t="n">
        <x:f>D67-E67</x:f>
        <x:v>1544708</x:v>
      </x:c>
      <x:c r="G67" s="49" t="n">
        <x:v>16</x:v>
      </x:c>
      <x:c r="H67" s="49" t="n">
        <x:v>9</x:v>
      </x:c>
      <x:c r="I67" s="47" t="n">
        <x:v>386466</x:v>
      </x:c>
      <x:c r="J67" s="49" t="n">
        <x:v>191</x:v>
      </x:c>
      <x:c r="K67" s="47" t="n">
        <x:v>-185148</x:v>
      </x:c>
      <x:c r="L67" s="47" t="n">
        <x:v>77568.44444444444</x:v>
      </x:c>
      <x:c r="M67" s="48" t="n">
        <x:v>86.55333333333334</x:v>
      </x:c>
      <x:c r="N67" s="48" t="n">
        <x:v>226.322</x:v>
      </x:c>
      <x:c r="O67" s="49" t="n">
        <x:v>10</x:v>
      </x:c>
      <x:c r="P67" s="1" t="str">
        <x:v>二市場の時間軸合意で入口確認を選ぶ</x:v>
      </x:c>
      <x:c r="Q67" s="49" t="n">
        <x:v>0</x:v>
      </x:c>
      <x:c r="R67" s="50" t="n">
        <x:v>0.5388619047619048</x:v>
      </x:c>
      <x:c r="S67" s="50" t="n">
        <x:v>0.5388619047619048</x:v>
      </x:c>
      <x:c r="T67" s="1" t="str">
        <x:v>デイ</x:v>
      </x:c>
      <x:c r="U67" s="49" t="n">
        <x:v>25</x:v>
      </x:c>
    </x:row>
    <x:row r="68" ht="22" customHeight="1">
      <x:c r="A68" s="1" t="str">
        <x:v>日経mini</x:v>
      </x:c>
      <x:c r="B68" s="1" t="str">
        <x:v>C02</x:v>
      </x:c>
      <x:c r="C68" s="1" t="str">
        <x:v>全50場</x:v>
      </x:c>
      <x:c r="D68" s="47" t="n">
        <x:v>2017114</x:v>
      </x:c>
      <x:c r="E68" s="47" t="n">
        <x:v>1142988</x:v>
      </x:c>
      <x:c r="F68" s="47" t="n">
        <x:f>D68-E68</x:f>
        <x:v>874126</x:v>
      </x:c>
      <x:c r="G68" s="49" t="n">
        <x:v>17</x:v>
      </x:c>
      <x:c r="H68" s="49" t="n">
        <x:v>8</x:v>
      </x:c>
      <x:c r="I68" s="47" t="n">
        <x:v>219424</x:v>
      </x:c>
      <x:c r="J68" s="49" t="n">
        <x:v>94</x:v>
      </x:c>
      <x:c r="K68" s="47" t="n">
        <x:v>-150462</x:v>
      </x:c>
      <x:c r="L68" s="47" t="n">
        <x:v>63345</x:v>
      </x:c>
      <x:c r="M68" s="48" t="n">
        <x:v>336.91200000000003</x:v>
      </x:c>
      <x:c r="N68" s="48" t="n">
        <x:v>37.15266666666667</x:v>
      </x:c>
      <x:c r="O68" s="49" t="n">
        <x:v>7</x:v>
      </x:c>
      <x:c r="P68" s="1" t="str">
        <x:v>二市場の時間軸合意で入口確認を選ぶ</x:v>
      </x:c>
      <x:c r="Q68" s="49" t="n">
        <x:v>0</x:v>
      </x:c>
      <x:c r="R68" s="50" t="n">
        <x:v>0.047631623931623936</x:v>
      </x:c>
      <x:c r="S68" s="50" t="n">
        <x:v>0.047631623931623936</x:v>
      </x:c>
      <x:c r="T68" s="1" t="str">
        <x:v>ナイト</x:v>
      </x:c>
      <x:c r="U68" s="49" t="n">
        <x:v>25</x:v>
      </x:c>
    </x:row>
    <x:row r="69" ht="22" customHeight="1">
      <x:c r="A69" s="1" t="str">
        <x:v>日経mini</x:v>
      </x:c>
      <x:c r="B69" s="1" t="str">
        <x:v>C02</x:v>
      </x:c>
      <x:c r="C69" s="1" t="str">
        <x:v>全50場</x:v>
      </x:c>
      <x:c r="D69" s="47" t="n">
        <x:v>2690590</x:v>
      </x:c>
      <x:c r="E69" s="47" t="n">
        <x:v>1800518</x:v>
      </x:c>
      <x:c r="F69" s="47" t="n">
        <x:f>D69-E69</x:f>
        <x:v>890072</x:v>
      </x:c>
      <x:c r="G69" s="49" t="n">
        <x:v>15</x:v>
      </x:c>
      <x:c r="H69" s="49" t="n">
        <x:v>9</x:v>
      </x:c>
      <x:c r="I69" s="47" t="n">
        <x:v>-182638</x:v>
      </x:c>
      <x:c r="J69" s="49" t="n">
        <x:v>143</x:v>
      </x:c>
      <x:c r="K69" s="47" t="n">
        <x:v>-185148</x:v>
      </x:c>
      <x:c r="L69" s="47" t="n">
        <x:v>98501.55555555556</x:v>
      </x:c>
      <x:c r="M69" s="48" t="n">
        <x:v>213.42083333333335</x:v>
      </x:c>
      <x:c r="N69" s="48" t="n">
        <x:v>128.02291666666665</x:v>
      </x:c>
      <x:c r="O69" s="49" t="n">
        <x:v>10</x:v>
      </x:c>
      <x:c r="P69" s="1" t="str">
        <x:v>二市場の時間軸合意で入口確認を選ぶ</x:v>
      </x:c>
      <x:c r="Q69" s="49" t="n">
        <x:v>0</x:v>
      </x:c>
      <x:c r="R69" s="50" t="n">
        <x:v>0.28385035103785106</x:v>
      </x:c>
      <x:c r="S69" s="50" t="n">
        <x:v>0.20816734417344174</x:v>
      </x:c>
      <x:c r="T69" s="1" t="str">
        <x:v>上昇</x:v>
      </x:c>
      <x:c r="U69" s="49" t="n">
        <x:v>24</x:v>
      </x:c>
    </x:row>
    <x:row r="70" ht="22" customHeight="1">
      <x:c r="A70" s="1" t="str">
        <x:v>日経mini</x:v>
      </x:c>
      <x:c r="B70" s="1" t="str">
        <x:v>C02</x:v>
      </x:c>
      <x:c r="C70" s="1" t="str">
        <x:v>全50場</x:v>
      </x:c>
      <x:c r="D70" s="47" t="n">
        <x:v>3323438</x:v>
      </x:c>
      <x:c r="E70" s="47" t="n">
        <x:v>1794676</x:v>
      </x:c>
      <x:c r="F70" s="47" t="n">
        <x:f>D70-E70</x:f>
        <x:v>1528762</x:v>
      </x:c>
      <x:c r="G70" s="49" t="n">
        <x:v>18</x:v>
      </x:c>
      <x:c r="H70" s="49" t="n">
        <x:v>8</x:v>
      </x:c>
      <x:c r="I70" s="47" t="n">
        <x:v>649292</x:v>
      </x:c>
      <x:c r="J70" s="49" t="n">
        <x:v>142</x:v>
      </x:c>
      <x:c r="K70" s="47" t="n">
        <x:v>-106152</x:v>
      </x:c>
      <x:c r="L70" s="47" t="n">
        <x:v>39795.25</x:v>
      </x:c>
      <x:c r="M70" s="48" t="n">
        <x:v>210.17435897435897</x:v>
      </x:c>
      <x:c r="N70" s="48" t="n">
        <x:v>135.16602564102567</x:v>
      </x:c>
      <x:c r="O70" s="49" t="n">
        <x:v>10</x:v>
      </x:c>
      <x:c r="P70" s="1" t="str">
        <x:v>二市場の時間軸合意で入口確認を選ぶ</x:v>
      </x:c>
      <x:c r="Q70" s="49" t="n">
        <x:v>0</x:v>
      </x:c>
      <x:c r="R70" s="50" t="n">
        <x:v>0.30192037663191507</x:v>
      </x:c>
      <x:c r="S70" s="50" t="n">
        <x:v>0.23059820647419071</x:v>
      </x:c>
      <x:c r="T70" s="1" t="str">
        <x:v>下落</x:v>
      </x:c>
      <x:c r="U70" s="49" t="n">
        <x:v>26</x:v>
      </x:c>
    </x:row>
    <x:row r="71" ht="22" customHeight="1">
      <x:c r="A71" s="1" t="str">
        <x:v>日経mini</x:v>
      </x:c>
      <x:c r="B71" s="1" t="str">
        <x:v>C02</x:v>
      </x:c>
      <x:c r="C71" s="1" t="str">
        <x:v>対照47場</x:v>
      </x:c>
      <x:c r="D71" s="47" t="n">
        <x:v>5832794</x:v>
      </x:c>
      <x:c r="E71" s="47" t="n">
        <x:v>3253044</x:v>
      </x:c>
      <x:c r="F71" s="47" t="n">
        <x:f>D71-E71</x:f>
        <x:v>2579750</x:v>
      </x:c>
      <x:c r="G71" s="49" t="n">
        <x:v>33</x:v>
      </x:c>
      <x:c r="H71" s="49" t="n">
        <x:v>14</x:v>
      </x:c>
      <x:c r="I71" s="47" t="n">
        <x:v>1388660</x:v>
      </x:c>
      <x:c r="J71" s="49" t="n">
        <x:v>269</x:v>
      </x:c>
      <x:c r="K71" s="47" t="n">
        <x:v>-185148</x:v>
      </x:c>
      <x:c r="L71" s="47" t="n">
        <x:v>74568.57142857143</x:v>
      </x:c>
      <x:c r="M71" s="48" t="n">
        <x:v>207.9028368794326</x:v>
      </x:c>
      <x:c r="N71" s="48" t="n">
        <x:v>134.20070921985814</x:v>
      </x:c>
      <x:c r="O71" s="49" t="n">
        <x:v>10</x:v>
      </x:c>
      <x:c r="P71" s="1" t="str">
        <x:v>二市場の時間軸合意で入口確認を選ぶ</x:v>
      </x:c>
      <x:c r="Q71" s="49" t="n">
        <x:v>0</x:v>
      </x:c>
      <x:c r="R71" s="50" t="n">
        <x:v>0.29924960382407195</x:v>
      </x:c>
      <x:c r="S71" s="50" t="n">
        <x:v>0.22510468712824172</x:v>
      </x:c>
      <x:c r="T71" s="1" t="str">
        <x:v>全場</x:v>
      </x:c>
      <x:c r="U71" s="49" t="n">
        <x:v>47</x:v>
      </x:c>
    </x:row>
    <x:row r="72" ht="22" customHeight="1">
      <x:c r="A72" s="1" t="str">
        <x:v>日経mini</x:v>
      </x:c>
      <x:c r="B72" s="1" t="str">
        <x:v>C02</x:v>
      </x:c>
      <x:c r="C72" s="1" t="str">
        <x:v>対照47場</x:v>
      </x:c>
      <x:c r="D72" s="47" t="n">
        <x:v>3920296</x:v>
      </x:c>
      <x:c r="E72" s="47" t="n">
        <x:v>2352514</x:v>
      </x:c>
      <x:c r="F72" s="47" t="n">
        <x:f>D72-E72</x:f>
        <x:v>1567782</x:v>
      </x:c>
      <x:c r="G72" s="49" t="n">
        <x:v>16</x:v>
      </x:c>
      <x:c r="H72" s="49" t="n">
        <x:v>8</x:v>
      </x:c>
      <x:c r="I72" s="47" t="n">
        <x:v>409540</x:v>
      </x:c>
      <x:c r="J72" s="49" t="n">
        <x:v>184</x:v>
      </x:c>
      <x:c r="K72" s="47" t="n">
        <x:v>-185148</x:v>
      </x:c>
      <x:c r="L72" s="47" t="n">
        <x:v>84380.25</x:v>
      </x:c>
      <x:c r="M72" s="48" t="n">
        <x:v>86.19722222222224</x:v>
      </x:c>
      <x:c r="N72" s="48" t="n">
        <x:v>226.6763888888889</x:v>
      </x:c>
      <x:c r="O72" s="49" t="n">
        <x:v>10</x:v>
      </x:c>
      <x:c r="P72" s="1" t="str">
        <x:v>二市場の時間軸合意で入口確認を選ぶ</x:v>
      </x:c>
      <x:c r="Q72" s="49" t="n">
        <x:v>0</x:v>
      </x:c>
      <x:c r="R72" s="50" t="n">
        <x:v>0.5397056878306878</x:v>
      </x:c>
      <x:c r="S72" s="50" t="n">
        <x:v>0.5397056878306878</x:v>
      </x:c>
      <x:c r="T72" s="1" t="str">
        <x:v>デイ</x:v>
      </x:c>
      <x:c r="U72" s="49" t="n">
        <x:v>24</x:v>
      </x:c>
    </x:row>
    <x:row r="73" ht="22" customHeight="1">
      <x:c r="A73" s="1" t="str">
        <x:v>日経mini</x:v>
      </x:c>
      <x:c r="B73" s="1" t="str">
        <x:v>C02</x:v>
      </x:c>
      <x:c r="C73" s="1" t="str">
        <x:v>対照47場</x:v>
      </x:c>
      <x:c r="D73" s="47" t="n">
        <x:v>1912498</x:v>
      </x:c>
      <x:c r="E73" s="47" t="n">
        <x:v>900530</x:v>
      </x:c>
      <x:c r="F73" s="47" t="n">
        <x:f>D73-E73</x:f>
        <x:v>1011968</x:v>
      </x:c>
      <x:c r="G73" s="49" t="n">
        <x:v>17</x:v>
      </x:c>
      <x:c r="H73" s="49" t="n">
        <x:v>6</x:v>
      </x:c>
      <x:c r="I73" s="47" t="n">
        <x:v>357266</x:v>
      </x:c>
      <x:c r="J73" s="49" t="n">
        <x:v>85</x:v>
      </x:c>
      <x:c r="K73" s="47" t="n">
        <x:v>-150462</x:v>
      </x:c>
      <x:c r="L73" s="47" t="n">
        <x:v>61486.333333333336</x:v>
      </x:c>
      <x:c r="M73" s="48" t="n">
        <x:v>334.9</x:v>
      </x:c>
      <x:c r="N73" s="48" t="n">
        <x:v>37.70434782608696</x:v>
      </x:c>
      <x:c r="O73" s="49" t="n">
        <x:v>7</x:v>
      </x:c>
      <x:c r="P73" s="1" t="str">
        <x:v>二市場の時間軸合意で入口確認を選ぶ</x:v>
      </x:c>
      <x:c r="Q73" s="49" t="n">
        <x:v>0</x:v>
      </x:c>
      <x:c r="R73" s="50" t="n">
        <x:v>0.04833890746934225</x:v>
      </x:c>
      <x:c r="S73" s="50" t="n">
        <x:v>0.04833890746934225</x:v>
      </x:c>
      <x:c r="T73" s="1" t="str">
        <x:v>ナイト</x:v>
      </x:c>
      <x:c r="U73" s="49" t="n">
        <x:v>23</x:v>
      </x:c>
    </x:row>
    <x:row r="74" ht="22" customHeight="1">
      <x:c r="A74" s="1" t="str">
        <x:v>日経mini</x:v>
      </x:c>
      <x:c r="B74" s="1" t="str">
        <x:v>C02</x:v>
      </x:c>
      <x:c r="C74" s="1" t="str">
        <x:v>対照47場</x:v>
      </x:c>
      <x:c r="D74" s="47" t="n">
        <x:v>2613972</x:v>
      </x:c>
      <x:c r="E74" s="47" t="n">
        <x:v>1601212</x:v>
      </x:c>
      <x:c r="F74" s="47" t="n">
        <x:f>D74-E74</x:f>
        <x:v>1012760</x:v>
      </x:c>
      <x:c r="G74" s="49" t="n">
        <x:v>15</x:v>
      </x:c>
      <x:c r="H74" s="49" t="n">
        <x:v>7</x:v>
      </x:c>
      <x:c r="I74" s="47" t="n">
        <x:v>-59950</x:v>
      </x:c>
      <x:c r="J74" s="49" t="n">
        <x:v>133</x:v>
      </x:c>
      <x:c r="K74" s="47" t="n">
        <x:v>-185148</x:v>
      </x:c>
      <x:c r="L74" s="47" t="n">
        <x:v>109118</x:v>
      </x:c>
      <x:c r="M74" s="48" t="n">
        <x:v>212.13484848484848</x:v>
      </x:c>
      <x:c r="N74" s="48" t="n">
        <x:v>128.80151515151513</x:v>
      </x:c>
      <x:c r="O74" s="49" t="n">
        <x:v>10</x:v>
      </x:c>
      <x:c r="P74" s="1" t="str">
        <x:v>二市場の時間軸合意で入口確認を選ぶ</x:v>
      </x:c>
      <x:c r="Q74" s="49" t="n">
        <x:v>0</x:v>
      </x:c>
      <x:c r="R74" s="50" t="n">
        <x:v>0.28485209235209236</x:v>
      </x:c>
      <x:c r="S74" s="50" t="n">
        <x:v>0.20897000983284167</x:v>
      </x:c>
      <x:c r="T74" s="1" t="str">
        <x:v>上昇</x:v>
      </x:c>
      <x:c r="U74" s="49" t="n">
        <x:v>22</x:v>
      </x:c>
    </x:row>
    <x:row r="75" ht="22" customHeight="1">
      <x:c r="A75" s="1" t="str">
        <x:v>日経mini</x:v>
      </x:c>
      <x:c r="B75" s="1" t="str">
        <x:v>C02</x:v>
      </x:c>
      <x:c r="C75" s="1" t="str">
        <x:v>対照47場</x:v>
      </x:c>
      <x:c r="D75" s="47" t="n">
        <x:v>3218822</x:v>
      </x:c>
      <x:c r="E75" s="47" t="n">
        <x:v>1651832</x:v>
      </x:c>
      <x:c r="F75" s="47" t="n">
        <x:f>D75-E75</x:f>
        <x:v>1566990</x:v>
      </x:c>
      <x:c r="G75" s="49" t="n">
        <x:v>18</x:v>
      </x:c>
      <x:c r="H75" s="49" t="n">
        <x:v>7</x:v>
      </x:c>
      <x:c r="I75" s="47" t="n">
        <x:v>687520</x:v>
      </x:c>
      <x:c r="J75" s="49" t="n">
        <x:v>136</x:v>
      </x:c>
      <x:c r="K75" s="47" t="n">
        <x:v>-106152</x:v>
      </x:c>
      <x:c r="L75" s="47" t="n">
        <x:v>40019.142857142855</x:v>
      </x:c>
      <x:c r="M75" s="48" t="n">
        <x:v>204.17866666666666</x:v>
      </x:c>
      <x:c r="N75" s="48" t="n">
        <x:v>138.952</x:v>
      </x:c>
      <x:c r="O75" s="49" t="n">
        <x:v>10</x:v>
      </x:c>
      <x:c r="P75" s="1" t="str">
        <x:v>二市場の時間軸合意で入口確認を選ぶ</x:v>
      </x:c>
      <x:c r="Q75" s="49" t="n">
        <x:v>0</x:v>
      </x:c>
      <x:c r="R75" s="50" t="n">
        <x:v>0.3119194139194139</x:v>
      </x:c>
      <x:c r="S75" s="50" t="n">
        <x:v>0.2402351313969571</x:v>
      </x:c>
      <x:c r="T75" s="1" t="str">
        <x:v>下落</x:v>
      </x:c>
      <x:c r="U75" s="49" t="n">
        <x:v>25</x:v>
      </x:c>
    </x:row>
    <x:row r="76" ht="22" customHeight="1">
      <x:c r="A76" s="1" t="str">
        <x:v>日経mini</x:v>
      </x:c>
      <x:c r="B76" s="1" t="str">
        <x:v>C02</x:v>
      </x:c>
      <x:c r="C76" s="1" t="str">
        <x:v>診断3場</x:v>
      </x:c>
      <x:c r="D76" s="47" t="n">
        <x:v>181234</x:v>
      </x:c>
      <x:c r="E76" s="47" t="n">
        <x:v>342150</x:v>
      </x:c>
      <x:c r="F76" s="47" t="n">
        <x:f>D76-E76</x:f>
        <x:v>-160916</x:v>
      </x:c>
      <x:c r="G76" s="49" t="n">
        <x:v>0</x:v>
      </x:c>
      <x:c r="H76" s="49" t="n">
        <x:v>3</x:v>
      </x:c>
      <x:c r="I76" s="47" t="n">
        <x:v>-160916</x:v>
      </x:c>
      <x:c r="J76" s="49" t="n">
        <x:v>16</x:v>
      </x:c>
      <x:c r="K76" s="47" t="n">
        <x:v>-99614</x:v>
      </x:c>
      <x:c r="L76" s="47" t="n">
        <x:v>53638.666666666664</x:v>
      </x:c>
      <x:c r="M76" s="48" t="n">
        <x:v>271.73333333333335</x:v>
      </x:c>
      <x:c r="N76" s="48" t="n">
        <x:v>93.14444444444445</x:v>
      </x:c>
      <x:c r="O76" s="49" t="n">
        <x:v>5</x:v>
      </x:c>
      <x:c r="P76" s="1" t="str">
        <x:v>二市場の時間軸合意で入口確認を選ぶ</x:v>
      </x:c>
      <x:c r="Q76" s="49" t="n">
        <x:v>0</x:v>
      </x:c>
      <x:c r="R76" s="50" t="n">
        <x:v>0.1992022792022792</x:v>
      </x:c>
      <x:c r="S76" s="50" t="n">
        <x:v>0.14112794612794613</x:v>
      </x:c>
      <x:c r="T76" s="1" t="str">
        <x:v>全場</x:v>
      </x:c>
      <x:c r="U76" s="49" t="n">
        <x:v>3</x:v>
      </x:c>
    </x:row>
    <x:row r="77" ht="22" customHeight="1">
      <x:c r="A77" s="1" t="str">
        <x:v>日経mini</x:v>
      </x:c>
      <x:c r="B77" s="1" t="str">
        <x:v>C02</x:v>
      </x:c>
      <x:c r="C77" s="1" t="str">
        <x:v>診断3場</x:v>
      </x:c>
      <x:c r="D77" s="47" t="n">
        <x:v>76618</x:v>
      </x:c>
      <x:c r="E77" s="47" t="n">
        <x:v>99692</x:v>
      </x:c>
      <x:c r="F77" s="47" t="n">
        <x:f>D77-E77</x:f>
        <x:v>-23074</x:v>
      </x:c>
      <x:c r="G77" s="49" t="n">
        <x:v>0</x:v>
      </x:c>
      <x:c r="H77" s="49" t="n">
        <x:v>1</x:v>
      </x:c>
      <x:c r="I77" s="47" t="n">
        <x:v>-23074</x:v>
      </x:c>
      <x:c r="J77" s="49" t="n">
        <x:v>7</x:v>
      </x:c>
      <x:c r="K77" s="47" t="n">
        <x:v>-23074</x:v>
      </x:c>
      <x:c r="L77" s="47" t="n">
        <x:v>23074</x:v>
      </x:c>
      <x:c r="M77" s="48" t="n">
        <x:v>95.1</x:v>
      </x:c>
      <x:c r="N77" s="48" t="n">
        <x:v>217.81666666666666</x:v>
      </x:c>
      <x:c r="O77" s="49" t="n">
        <x:v>5</x:v>
      </x:c>
      <x:c r="P77" s="1" t="str">
        <x:v>二市場の時間軸合意で入口確認を選ぶ</x:v>
      </x:c>
      <x:c r="Q77" s="49" t="n">
        <x:v>0</x:v>
      </x:c>
      <x:c r="R77" s="50" t="n">
        <x:v>0.5186111111111111</x:v>
      </x:c>
      <x:c r="S77" s="50" t="n">
        <x:v>0.5186111111111111</x:v>
      </x:c>
      <x:c r="T77" s="1" t="str">
        <x:v>デイ</x:v>
      </x:c>
      <x:c r="U77" s="49" t="n">
        <x:v>1</x:v>
      </x:c>
    </x:row>
    <x:row r="78" ht="22" customHeight="1">
      <x:c r="A78" s="1" t="str">
        <x:v>日経mini</x:v>
      </x:c>
      <x:c r="B78" s="1" t="str">
        <x:v>C02</x:v>
      </x:c>
      <x:c r="C78" s="1" t="str">
        <x:v>診断3場</x:v>
      </x:c>
      <x:c r="D78" s="47" t="n">
        <x:v>104616</x:v>
      </x:c>
      <x:c r="E78" s="47" t="n">
        <x:v>242458</x:v>
      </x:c>
      <x:c r="F78" s="47" t="n">
        <x:f>D78-E78</x:f>
        <x:v>-137842</x:v>
      </x:c>
      <x:c r="G78" s="49" t="n">
        <x:v>0</x:v>
      </x:c>
      <x:c r="H78" s="49" t="n">
        <x:v>2</x:v>
      </x:c>
      <x:c r="I78" s="47" t="n">
        <x:v>-137842</x:v>
      </x:c>
      <x:c r="J78" s="49" t="n">
        <x:v>9</x:v>
      </x:c>
      <x:c r="K78" s="47" t="n">
        <x:v>-99614</x:v>
      </x:c>
      <x:c r="L78" s="47" t="n">
        <x:v>68921</x:v>
      </x:c>
      <x:c r="M78" s="48" t="n">
        <x:v>360.05</x:v>
      </x:c>
      <x:c r="N78" s="48" t="n">
        <x:v>30.808333333333334</x:v>
      </x:c>
      <x:c r="O78" s="49" t="n">
        <x:v>5</x:v>
      </x:c>
      <x:c r="P78" s="1" t="str">
        <x:v>二市場の時間軸合意で入口確認を選ぶ</x:v>
      </x:c>
      <x:c r="Q78" s="49" t="n">
        <x:v>0</x:v>
      </x:c>
      <x:c r="R78" s="50" t="n">
        <x:v>0.03949786324786325</x:v>
      </x:c>
      <x:c r="S78" s="50" t="n">
        <x:v>0.039497863247863245</x:v>
      </x:c>
      <x:c r="T78" s="1" t="str">
        <x:v>ナイト</x:v>
      </x:c>
      <x:c r="U78" s="49" t="n">
        <x:v>2</x:v>
      </x:c>
    </x:row>
    <x:row r="79" ht="22" customHeight="1">
      <x:c r="A79" s="1" t="str">
        <x:v>日経mini</x:v>
      </x:c>
      <x:c r="B79" s="1" t="str">
        <x:v>C02</x:v>
      </x:c>
      <x:c r="C79" s="1" t="str">
        <x:v>診断3場</x:v>
      </x:c>
      <x:c r="D79" s="47" t="n">
        <x:v>76618</x:v>
      </x:c>
      <x:c r="E79" s="47" t="n">
        <x:v>199306</x:v>
      </x:c>
      <x:c r="F79" s="47" t="n">
        <x:f>D79-E79</x:f>
        <x:v>-122688</x:v>
      </x:c>
      <x:c r="G79" s="49" t="n">
        <x:v>0</x:v>
      </x:c>
      <x:c r="H79" s="49" t="n">
        <x:v>2</x:v>
      </x:c>
      <x:c r="I79" s="47" t="n">
        <x:v>-122688</x:v>
      </x:c>
      <x:c r="J79" s="49" t="n">
        <x:v>10</x:v>
      </x:c>
      <x:c r="K79" s="47" t="n">
        <x:v>-99614</x:v>
      </x:c>
      <x:c r="L79" s="47" t="n">
        <x:v>61344</x:v>
      </x:c>
      <x:c r="M79" s="48" t="n">
        <x:v>227.56666666666666</x:v>
      </x:c>
      <x:c r="N79" s="48" t="n">
        <x:v>119.45833333333333</x:v>
      </x:c>
      <x:c r="O79" s="49" t="n">
        <x:v>5</x:v>
      </x:c>
      <x:c r="P79" s="1" t="str">
        <x:v>二市場の時間軸合意で入口確認を選ぶ</x:v>
      </x:c>
      <x:c r="Q79" s="49" t="n">
        <x:v>0</x:v>
      </x:c>
      <x:c r="R79" s="50" t="n">
        <x:v>0.2728311965811966</x:v>
      </x:c>
      <x:c r="S79" s="50" t="n">
        <x:v>0.1990972222222222</x:v>
      </x:c>
      <x:c r="T79" s="1" t="str">
        <x:v>上昇</x:v>
      </x:c>
      <x:c r="U79" s="49" t="n">
        <x:v>2</x:v>
      </x:c>
    </x:row>
    <x:row r="80" ht="22" customHeight="1">
      <x:c r="A80" s="1" t="str">
        <x:v>日経mini</x:v>
      </x:c>
      <x:c r="B80" s="1" t="str">
        <x:v>C02</x:v>
      </x:c>
      <x:c r="C80" s="1" t="str">
        <x:v>診断3場</x:v>
      </x:c>
      <x:c r="D80" s="47" t="n">
        <x:v>104616</x:v>
      </x:c>
      <x:c r="E80" s="47" t="n">
        <x:v>142844</x:v>
      </x:c>
      <x:c r="F80" s="47" t="n">
        <x:f>D80-E80</x:f>
        <x:v>-38228</x:v>
      </x:c>
      <x:c r="G80" s="49" t="n">
        <x:v>0</x:v>
      </x:c>
      <x:c r="H80" s="49" t="n">
        <x:v>1</x:v>
      </x:c>
      <x:c r="I80" s="47" t="n">
        <x:v>-38228</x:v>
      </x:c>
      <x:c r="J80" s="49" t="n">
        <x:v>6</x:v>
      </x:c>
      <x:c r="K80" s="47" t="n">
        <x:v>-38228</x:v>
      </x:c>
      <x:c r="L80" s="47" t="n">
        <x:v>38228</x:v>
      </x:c>
      <x:c r="M80" s="48" t="n">
        <x:v>360.06666666666666</x:v>
      </x:c>
      <x:c r="N80" s="48" t="n">
        <x:v>40.516666666666666</x:v>
      </x:c>
      <x:c r="O80" s="49" t="n">
        <x:v>5</x:v>
      </x:c>
      <x:c r="P80" s="1" t="str">
        <x:v>二市場の時間軸合意で入口確認を選ぶ</x:v>
      </x:c>
      <x:c r="Q80" s="49" t="n">
        <x:v>0</x:v>
      </x:c>
      <x:c r="R80" s="50" t="n">
        <x:v>0.051944444444444446</x:v>
      </x:c>
      <x:c r="S80" s="50" t="n">
        <x:v>0.051944444444444446</x:v>
      </x:c>
      <x:c r="T80" s="1" t="str">
        <x:v>下落</x:v>
      </x:c>
      <x:c r="U80" s="49" t="n">
        <x:v>1</x:v>
      </x:c>
    </x:row>
    <x:row r="81" ht="22" customHeight="1">
      <x:c r="A81" s="1" t="str">
        <x:v>日経mini</x:v>
      </x:c>
      <x:c r="B81" s="1" t="str">
        <x:v>C03</x:v>
      </x:c>
      <x:c r="C81" s="1" t="str">
        <x:v>全50場</x:v>
      </x:c>
      <x:c r="D81" s="47" t="n">
        <x:v>5974028</x:v>
      </x:c>
      <x:c r="E81" s="47" t="n">
        <x:v>3466502</x:v>
      </x:c>
      <x:c r="F81" s="47" t="n">
        <x:f>D81-E81</x:f>
        <x:v>2507526</x:v>
      </x:c>
      <x:c r="G81" s="49" t="n">
        <x:v>33</x:v>
      </x:c>
      <x:c r="H81" s="49" t="n">
        <x:v>17</x:v>
      </x:c>
      <x:c r="I81" s="47" t="n">
        <x:v>1316436</x:v>
      </x:c>
      <x:c r="J81" s="49" t="n">
        <x:v>280</x:v>
      </x:c>
      <x:c r="K81" s="47" t="n">
        <x:v>-157686</x:v>
      </x:c>
      <x:c r="L81" s="47" t="n">
        <x:v>65676</x:v>
      </x:c>
      <x:c r="M81" s="48" t="n">
        <x:v>211.827</x:v>
      </x:c>
      <x:c r="N81" s="48" t="n">
        <x:v>131.58833333333334</x:v>
      </x:c>
      <x:c r="O81" s="49" t="n">
        <x:v>10</x:v>
      </x:c>
      <x:c r="P81" s="1" t="str">
        <x:v>再失敗と原板支持まで入口確認に含める</x:v>
      </x:c>
      <x:c r="Q81" s="49" t="n">
        <x:v>0</x:v>
      </x:c>
      <x:c r="R81" s="50" t="n">
        <x:v>0.29311764346764346</x:v>
      </x:c>
      <x:c r="S81" s="50" t="n">
        <x:v>0.2193138888888889</x:v>
      </x:c>
      <x:c r="T81" s="1" t="str">
        <x:v>全場</x:v>
      </x:c>
      <x:c r="U81" s="49" t="n">
        <x:v>50</x:v>
      </x:c>
    </x:row>
    <x:row r="82" ht="22" customHeight="1">
      <x:c r="A82" s="1" t="str">
        <x:v>日経mini</x:v>
      </x:c>
      <x:c r="B82" s="1" t="str">
        <x:v>C03</x:v>
      </x:c>
      <x:c r="C82" s="1" t="str">
        <x:v>全50場</x:v>
      </x:c>
      <x:c r="D82" s="47" t="n">
        <x:v>3986914</x:v>
      </x:c>
      <x:c r="E82" s="47" t="n">
        <x:v>2347668</x:v>
      </x:c>
      <x:c r="F82" s="47" t="n">
        <x:f>D82-E82</x:f>
        <x:v>1639246</x:v>
      </x:c>
      <x:c r="G82" s="49" t="n">
        <x:v>16</x:v>
      </x:c>
      <x:c r="H82" s="49" t="n">
        <x:v>9</x:v>
      </x:c>
      <x:c r="I82" s="47" t="n">
        <x:v>481004</x:v>
      </x:c>
      <x:c r="J82" s="49" t="n">
        <x:v>187</x:v>
      </x:c>
      <x:c r="K82" s="47" t="n">
        <x:v>-157686</x:v>
      </x:c>
      <x:c r="L82" s="47" t="n">
        <x:v>70431.77777777778</x:v>
      </x:c>
      <x:c r="M82" s="48" t="n">
        <x:v>86.55333333333334</x:v>
      </x:c>
      <x:c r="N82" s="48" t="n">
        <x:v>226.43466666666663</x:v>
      </x:c>
      <x:c r="O82" s="49" t="n">
        <x:v>10</x:v>
      </x:c>
      <x:c r="P82" s="1" t="str">
        <x:v>再失敗と原板支持まで入口確認に含める</x:v>
      </x:c>
      <x:c r="Q82" s="49" t="n">
        <x:v>0</x:v>
      </x:c>
      <x:c r="R82" s="50" t="n">
        <x:v>0.5391301587301587</x:v>
      </x:c>
      <x:c r="S82" s="50" t="n">
        <x:v>0.5391301587301588</x:v>
      </x:c>
      <x:c r="T82" s="1" t="str">
        <x:v>デイ</x:v>
      </x:c>
      <x:c r="U82" s="49" t="n">
        <x:v>25</x:v>
      </x:c>
    </x:row>
    <x:row r="83" ht="22" customHeight="1">
      <x:c r="A83" s="1" t="str">
        <x:v>日経mini</x:v>
      </x:c>
      <x:c r="B83" s="1" t="str">
        <x:v>C03</x:v>
      </x:c>
      <x:c r="C83" s="1" t="str">
        <x:v>全50場</x:v>
      </x:c>
      <x:c r="D83" s="47" t="n">
        <x:v>1987114</x:v>
      </x:c>
      <x:c r="E83" s="47" t="n">
        <x:v>1118834</x:v>
      </x:c>
      <x:c r="F83" s="47" t="n">
        <x:f>D83-E83</x:f>
        <x:v>868280</x:v>
      </x:c>
      <x:c r="G83" s="49" t="n">
        <x:v>17</x:v>
      </x:c>
      <x:c r="H83" s="49" t="n">
        <x:v>8</x:v>
      </x:c>
      <x:c r="I83" s="47" t="n">
        <x:v>213578</x:v>
      </x:c>
      <x:c r="J83" s="49" t="n">
        <x:v>93</x:v>
      </x:c>
      <x:c r="K83" s="47" t="n">
        <x:v>-150462</x:v>
      </x:c>
      <x:c r="L83" s="47" t="n">
        <x:v>60325.75</x:v>
      </x:c>
      <x:c r="M83" s="48" t="n">
        <x:v>337.10066666666665</x:v>
      </x:c>
      <x:c r="N83" s="48" t="n">
        <x:v>36.742000000000004</x:v>
      </x:c>
      <x:c r="O83" s="49" t="n">
        <x:v>7</x:v>
      </x:c>
      <x:c r="P83" s="1" t="str">
        <x:v>再失敗と原板支持まで入口確認に含める</x:v>
      </x:c>
      <x:c r="Q83" s="49" t="n">
        <x:v>0</x:v>
      </x:c>
      <x:c r="R83" s="50" t="n">
        <x:v>0.04710512820512821</x:v>
      </x:c>
      <x:c r="S83" s="50" t="n">
        <x:v>0.0471051282051282</x:v>
      </x:c>
      <x:c r="T83" s="1" t="str">
        <x:v>ナイト</x:v>
      </x:c>
      <x:c r="U83" s="49" t="n">
        <x:v>25</x:v>
      </x:c>
    </x:row>
    <x:row r="84" ht="22" customHeight="1">
      <x:c r="A84" s="1" t="str">
        <x:v>日経mini</x:v>
      </x:c>
      <x:c r="B84" s="1" t="str">
        <x:v>C03</x:v>
      </x:c>
      <x:c r="C84" s="1" t="str">
        <x:v>全50場</x:v>
      </x:c>
      <x:c r="D84" s="47" t="n">
        <x:v>2650590</x:v>
      </x:c>
      <x:c r="E84" s="47" t="n">
        <x:v>1736288</x:v>
      </x:c>
      <x:c r="F84" s="47" t="n">
        <x:f>D84-E84</x:f>
        <x:v>914302</x:v>
      </x:c>
      <x:c r="G84" s="49" t="n">
        <x:v>15</x:v>
      </x:c>
      <x:c r="H84" s="49" t="n">
        <x:v>9</x:v>
      </x:c>
      <x:c r="I84" s="47" t="n">
        <x:v>-148408</x:v>
      </x:c>
      <x:c r="J84" s="49" t="n">
        <x:v>141</x:v>
      </x:c>
      <x:c r="K84" s="47" t="n">
        <x:v>-157686</x:v>
      </x:c>
      <x:c r="L84" s="47" t="n">
        <x:v>91364.88888888889</x:v>
      </x:c>
      <x:c r="M84" s="48" t="n">
        <x:v>213.6173611111111</x:v>
      </x:c>
      <x:c r="N84" s="48" t="n">
        <x:v>129.0326388888889</x:v>
      </x:c>
      <x:c r="O84" s="49" t="n">
        <x:v>10</x:v>
      </x:c>
      <x:c r="P84" s="1" t="str">
        <x:v>再失敗と原板支持まで入口確認に含める</x:v>
      </x:c>
      <x:c r="Q84" s="49" t="n">
        <x:v>0</x:v>
      </x:c>
      <x:c r="R84" s="50" t="n">
        <x:v>0.2864704161579162</x:v>
      </x:c>
      <x:c r="S84" s="50" t="n">
        <x:v>0.20980916892502258</x:v>
      </x:c>
      <x:c r="T84" s="1" t="str">
        <x:v>上昇</x:v>
      </x:c>
      <x:c r="U84" s="49" t="n">
        <x:v>24</x:v>
      </x:c>
    </x:row>
    <x:row r="85" ht="22" customHeight="1">
      <x:c r="A85" s="1" t="str">
        <x:v>日経mini</x:v>
      </x:c>
      <x:c r="B85" s="1" t="str">
        <x:v>C03</x:v>
      </x:c>
      <x:c r="C85" s="1" t="str">
        <x:v>全50場</x:v>
      </x:c>
      <x:c r="D85" s="47" t="n">
        <x:v>3323438</x:v>
      </x:c>
      <x:c r="E85" s="47" t="n">
        <x:v>1730214</x:v>
      </x:c>
      <x:c r="F85" s="47" t="n">
        <x:f>D85-E85</x:f>
        <x:v>1593224</x:v>
      </x:c>
      <x:c r="G85" s="49" t="n">
        <x:v>18</x:v>
      </x:c>
      <x:c r="H85" s="49" t="n">
        <x:v>8</x:v>
      </x:c>
      <x:c r="I85" s="47" t="n">
        <x:v>713754</x:v>
      </x:c>
      <x:c r="J85" s="49" t="n">
        <x:v>139</x:v>
      </x:c>
      <x:c r="K85" s="47" t="n">
        <x:v>-106152</x:v>
      </x:c>
      <x:c r="L85" s="47" t="n">
        <x:v>36776</x:v>
      </x:c>
      <x:c r="M85" s="48" t="n">
        <x:v>210.17435897435897</x:v>
      </x:c>
      <x:c r="N85" s="48" t="n">
        <x:v>133.94743589743592</x:v>
      </x:c>
      <x:c r="O85" s="49" t="n">
        <x:v>10</x:v>
      </x:c>
      <x:c r="P85" s="1" t="str">
        <x:v>再失敗と原板支持まで入口確認に含める</x:v>
      </x:c>
      <x:c r="Q85" s="49" t="n">
        <x:v>0</x:v>
      </x:c>
      <x:c r="R85" s="50" t="n">
        <x:v>0.29925354559969947</x:v>
      </x:c>
      <x:c r="S85" s="50" t="n">
        <x:v>0.22851924759405073</x:v>
      </x:c>
      <x:c r="T85" s="1" t="str">
        <x:v>下落</x:v>
      </x:c>
      <x:c r="U85" s="49" t="n">
        <x:v>26</x:v>
      </x:c>
    </x:row>
    <x:row r="86" ht="22" customHeight="1">
      <x:c r="A86" s="1" t="str">
        <x:v>日経mini</x:v>
      </x:c>
      <x:c r="B86" s="1" t="str">
        <x:v>C03</x:v>
      </x:c>
      <x:c r="C86" s="1" t="str">
        <x:v>対照47場</x:v>
      </x:c>
      <x:c r="D86" s="47" t="n">
        <x:v>5792794</x:v>
      </x:c>
      <x:c r="E86" s="47" t="n">
        <x:v>3148506</x:v>
      </x:c>
      <x:c r="F86" s="47" t="n">
        <x:f>D86-E86</x:f>
        <x:v>2644288</x:v>
      </x:c>
      <x:c r="G86" s="49" t="n">
        <x:v>33</x:v>
      </x:c>
      <x:c r="H86" s="49" t="n">
        <x:v>14</x:v>
      </x:c>
      <x:c r="I86" s="47" t="n">
        <x:v>1453198</x:v>
      </x:c>
      <x:c r="J86" s="49" t="n">
        <x:v>265</x:v>
      </x:c>
      <x:c r="K86" s="47" t="n">
        <x:v>-157686</x:v>
      </x:c>
      <x:c r="L86" s="47" t="n">
        <x:v>69980.71428571429</x:v>
      </x:c>
      <x:c r="M86" s="48" t="n">
        <x:v>208.00319148936165</x:v>
      </x:c>
      <x:c r="N86" s="48" t="n">
        <x:v>134.16028368794326</x:v>
      </x:c>
      <x:c r="O86" s="49" t="n">
        <x:v>10</x:v>
      </x:c>
      <x:c r="P86" s="1" t="str">
        <x:v>再失敗と原板支持まで入口確認に含める</x:v>
      </x:c>
      <x:c r="Q86" s="49" t="n">
        <x:v>0</x:v>
      </x:c>
      <x:c r="R86" s="50" t="n">
        <x:v>0.2992636323487388</x:v>
      </x:c>
      <x:c r="S86" s="50" t="n">
        <x:v>0.22503687842017606</x:v>
      </x:c>
      <x:c r="T86" s="1" t="str">
        <x:v>全場</x:v>
      </x:c>
      <x:c r="U86" s="49" t="n">
        <x:v>47</x:v>
      </x:c>
    </x:row>
    <x:row r="87" ht="22" customHeight="1">
      <x:c r="A87" s="1" t="str">
        <x:v>日経mini</x:v>
      </x:c>
      <x:c r="B87" s="1" t="str">
        <x:v>C03</x:v>
      </x:c>
      <x:c r="C87" s="1" t="str">
        <x:v>対照47場</x:v>
      </x:c>
      <x:c r="D87" s="47" t="n">
        <x:v>3910296</x:v>
      </x:c>
      <x:c r="E87" s="47" t="n">
        <x:v>2247976</x:v>
      </x:c>
      <x:c r="F87" s="47" t="n">
        <x:f>D87-E87</x:f>
        <x:v>1662320</x:v>
      </x:c>
      <x:c r="G87" s="49" t="n">
        <x:v>16</x:v>
      </x:c>
      <x:c r="H87" s="49" t="n">
        <x:v>8</x:v>
      </x:c>
      <x:c r="I87" s="47" t="n">
        <x:v>504078</x:v>
      </x:c>
      <x:c r="J87" s="49" t="n">
        <x:v>180</x:v>
      </x:c>
      <x:c r="K87" s="47" t="n">
        <x:v>-157686</x:v>
      </x:c>
      <x:c r="L87" s="47" t="n">
        <x:v>76351.5</x:v>
      </x:c>
      <x:c r="M87" s="48" t="n">
        <x:v>86.19722222222224</x:v>
      </x:c>
      <x:c r="N87" s="48" t="n">
        <x:v>226.79374999999996</x:v>
      </x:c>
      <x:c r="O87" s="49" t="n">
        <x:v>10</x:v>
      </x:c>
      <x:c r="P87" s="1" t="str">
        <x:v>再失敗と原板支持まで入口確認に含める</x:v>
      </x:c>
      <x:c r="Q87" s="49" t="n">
        <x:v>0</x:v>
      </x:c>
      <x:c r="R87" s="50" t="n">
        <x:v>0.539985119047619</x:v>
      </x:c>
      <x:c r="S87" s="50" t="n">
        <x:v>0.539985119047619</x:v>
      </x:c>
      <x:c r="T87" s="1" t="str">
        <x:v>デイ</x:v>
      </x:c>
      <x:c r="U87" s="49" t="n">
        <x:v>24</x:v>
      </x:c>
    </x:row>
    <x:row r="88" ht="22" customHeight="1">
      <x:c r="A88" s="1" t="str">
        <x:v>日経mini</x:v>
      </x:c>
      <x:c r="B88" s="1" t="str">
        <x:v>C03</x:v>
      </x:c>
      <x:c r="C88" s="1" t="str">
        <x:v>対照47場</x:v>
      </x:c>
      <x:c r="D88" s="47" t="n">
        <x:v>1882498</x:v>
      </x:c>
      <x:c r="E88" s="47" t="n">
        <x:v>900530</x:v>
      </x:c>
      <x:c r="F88" s="47" t="n">
        <x:f>D88-E88</x:f>
        <x:v>981968</x:v>
      </x:c>
      <x:c r="G88" s="49" t="n">
        <x:v>17</x:v>
      </x:c>
      <x:c r="H88" s="49" t="n">
        <x:v>6</x:v>
      </x:c>
      <x:c r="I88" s="47" t="n">
        <x:v>327266</x:v>
      </x:c>
      <x:c r="J88" s="49" t="n">
        <x:v>85</x:v>
      </x:c>
      <x:c r="K88" s="47" t="n">
        <x:v>-150462</x:v>
      </x:c>
      <x:c r="L88" s="47" t="n">
        <x:v>61486.333333333336</x:v>
      </x:c>
      <x:c r="M88" s="48" t="n">
        <x:v>335.10507246376807</x:v>
      </x:c>
      <x:c r="N88" s="48" t="n">
        <x:v>37.49927536231884</x:v>
      </x:c>
      <x:c r="O88" s="49" t="n">
        <x:v>7</x:v>
      </x:c>
      <x:c r="P88" s="1" t="str">
        <x:v>再失敗と原板支持まで入口確認に含める</x:v>
      </x:c>
      <x:c r="Q88" s="49" t="n">
        <x:v>0</x:v>
      </x:c>
      <x:c r="R88" s="50" t="n">
        <x:v>0.048075994054254924</x:v>
      </x:c>
      <x:c r="S88" s="50" t="n">
        <x:v>0.048075994054254924</x:v>
      </x:c>
      <x:c r="T88" s="1" t="str">
        <x:v>ナイト</x:v>
      </x:c>
      <x:c r="U88" s="49" t="n">
        <x:v>23</x:v>
      </x:c>
    </x:row>
    <x:row r="89" ht="22" customHeight="1">
      <x:c r="A89" s="1" t="str">
        <x:v>日経mini</x:v>
      </x:c>
      <x:c r="B89" s="1" t="str">
        <x:v>C03</x:v>
      </x:c>
      <x:c r="C89" s="1" t="str">
        <x:v>対照47場</x:v>
      </x:c>
      <x:c r="D89" s="47" t="n">
        <x:v>2573972</x:v>
      </x:c>
      <x:c r="E89" s="47" t="n">
        <x:v>1536982</x:v>
      </x:c>
      <x:c r="F89" s="47" t="n">
        <x:f>D89-E89</x:f>
        <x:v>1036990</x:v>
      </x:c>
      <x:c r="G89" s="49" t="n">
        <x:v>15</x:v>
      </x:c>
      <x:c r="H89" s="49" t="n">
        <x:v>7</x:v>
      </x:c>
      <x:c r="I89" s="47" t="n">
        <x:v>-25720</x:v>
      </x:c>
      <x:c r="J89" s="49" t="n">
        <x:v>131</x:v>
      </x:c>
      <x:c r="K89" s="47" t="n">
        <x:v>-157686</x:v>
      </x:c>
      <x:c r="L89" s="47" t="n">
        <x:v>99942.28571428571</x:v>
      </x:c>
      <x:c r="M89" s="48" t="n">
        <x:v>212.34924242424242</x:v>
      </x:c>
      <x:c r="N89" s="48" t="n">
        <x:v>129.90303030303028</x:v>
      </x:c>
      <x:c r="O89" s="49" t="n">
        <x:v>10</x:v>
      </x:c>
      <x:c r="P89" s="1" t="str">
        <x:v>再失敗と原板支持まで入口確認に含める</x:v>
      </x:c>
      <x:c r="Q89" s="49" t="n">
        <x:v>0</x:v>
      </x:c>
      <x:c r="R89" s="50" t="n">
        <x:v>0.2877103452103452</x:v>
      </x:c>
      <x:c r="S89" s="50" t="n">
        <x:v>0.21075712881022615</x:v>
      </x:c>
      <x:c r="T89" s="1" t="str">
        <x:v>上昇</x:v>
      </x:c>
      <x:c r="U89" s="49" t="n">
        <x:v>22</x:v>
      </x:c>
    </x:row>
    <x:row r="90" ht="22" customHeight="1">
      <x:c r="A90" s="1" t="str">
        <x:v>日経mini</x:v>
      </x:c>
      <x:c r="B90" s="1" t="str">
        <x:v>C03</x:v>
      </x:c>
      <x:c r="C90" s="1" t="str">
        <x:v>対照47場</x:v>
      </x:c>
      <x:c r="D90" s="47" t="n">
        <x:v>3218822</x:v>
      </x:c>
      <x:c r="E90" s="47" t="n">
        <x:v>1611524</x:v>
      </x:c>
      <x:c r="F90" s="47" t="n">
        <x:f>D90-E90</x:f>
        <x:v>1607298</x:v>
      </x:c>
      <x:c r="G90" s="49" t="n">
        <x:v>18</x:v>
      </x:c>
      <x:c r="H90" s="49" t="n">
        <x:v>7</x:v>
      </x:c>
      <x:c r="I90" s="47" t="n">
        <x:v>727828</x:v>
      </x:c>
      <x:c r="J90" s="49" t="n">
        <x:v>134</x:v>
      </x:c>
      <x:c r="K90" s="47" t="n">
        <x:v>-106152</x:v>
      </x:c>
      <x:c r="L90" s="47" t="n">
        <x:v>40019.142857142855</x:v>
      </x:c>
      <x:c r="M90" s="48" t="n">
        <x:v>204.17866666666666</x:v>
      </x:c>
      <x:c r="N90" s="48" t="n">
        <x:v>137.90666666666667</x:v>
      </x:c>
      <x:c r="O90" s="49" t="n">
        <x:v>10</x:v>
      </x:c>
      <x:c r="P90" s="1" t="str">
        <x:v>再失敗と原板支持まで入口確認に含める</x:v>
      </x:c>
      <x:c r="Q90" s="49" t="n">
        <x:v>0</x:v>
      </x:c>
      <x:c r="R90" s="50" t="n">
        <x:v>0.30943052503052504</x:v>
      </x:c>
      <x:c r="S90" s="50" t="n">
        <x:v>0.23842784693407099</x:v>
      </x:c>
      <x:c r="T90" s="1" t="str">
        <x:v>下落</x:v>
      </x:c>
      <x:c r="U90" s="49" t="n">
        <x:v>25</x:v>
      </x:c>
    </x:row>
    <x:row r="91" ht="22" customHeight="1">
      <x:c r="A91" s="1" t="str">
        <x:v>日経mini</x:v>
      </x:c>
      <x:c r="B91" s="1" t="str">
        <x:v>C03</x:v>
      </x:c>
      <x:c r="C91" s="1" t="str">
        <x:v>診断3場</x:v>
      </x:c>
      <x:c r="D91" s="47" t="n">
        <x:v>181234</x:v>
      </x:c>
      <x:c r="E91" s="47" t="n">
        <x:v>317996</x:v>
      </x:c>
      <x:c r="F91" s="47" t="n">
        <x:f>D91-E91</x:f>
        <x:v>-136762</x:v>
      </x:c>
      <x:c r="G91" s="49" t="n">
        <x:v>0</x:v>
      </x:c>
      <x:c r="H91" s="49" t="n">
        <x:v>3</x:v>
      </x:c>
      <x:c r="I91" s="47" t="n">
        <x:v>-136762</x:v>
      </x:c>
      <x:c r="J91" s="49" t="n">
        <x:v>15</x:v>
      </x:c>
      <x:c r="K91" s="47" t="n">
        <x:v>-99614</x:v>
      </x:c>
      <x:c r="L91" s="47" t="n">
        <x:v>45587.333333333336</x:v>
      </x:c>
      <x:c r="M91" s="48" t="n">
        <x:v>271.73333333333335</x:v>
      </x:c>
      <x:c r="N91" s="48" t="n">
        <x:v>91.29444444444444</x:v>
      </x:c>
      <x:c r="O91" s="49" t="n">
        <x:v>5</x:v>
      </x:c>
      <x:c r="P91" s="1" t="str">
        <x:v>再失敗と原板支持まで入口確認に含める</x:v>
      </x:c>
      <x:c r="Q91" s="49" t="n">
        <x:v>0</x:v>
      </x:c>
      <x:c r="R91" s="50" t="n">
        <x:v>0.19683048433048433</x:v>
      </x:c>
      <x:c r="S91" s="50" t="n">
        <x:v>0.13832491582491582</x:v>
      </x:c>
      <x:c r="T91" s="1" t="str">
        <x:v>全場</x:v>
      </x:c>
      <x:c r="U91" s="49" t="n">
        <x:v>3</x:v>
      </x:c>
    </x:row>
    <x:row r="92" ht="22" customHeight="1">
      <x:c r="A92" s="1" t="str">
        <x:v>日経mini</x:v>
      </x:c>
      <x:c r="B92" s="1" t="str">
        <x:v>C03</x:v>
      </x:c>
      <x:c r="C92" s="1" t="str">
        <x:v>診断3場</x:v>
      </x:c>
      <x:c r="D92" s="47" t="n">
        <x:v>76618</x:v>
      </x:c>
      <x:c r="E92" s="47" t="n">
        <x:v>99692</x:v>
      </x:c>
      <x:c r="F92" s="47" t="n">
        <x:f>D92-E92</x:f>
        <x:v>-23074</x:v>
      </x:c>
      <x:c r="G92" s="49" t="n">
        <x:v>0</x:v>
      </x:c>
      <x:c r="H92" s="49" t="n">
        <x:v>1</x:v>
      </x:c>
      <x:c r="I92" s="47" t="n">
        <x:v>-23074</x:v>
      </x:c>
      <x:c r="J92" s="49" t="n">
        <x:v>7</x:v>
      </x:c>
      <x:c r="K92" s="47" t="n">
        <x:v>-23074</x:v>
      </x:c>
      <x:c r="L92" s="47" t="n">
        <x:v>23074</x:v>
      </x:c>
      <x:c r="M92" s="48" t="n">
        <x:v>95.1</x:v>
      </x:c>
      <x:c r="N92" s="48" t="n">
        <x:v>217.81666666666666</x:v>
      </x:c>
      <x:c r="O92" s="49" t="n">
        <x:v>5</x:v>
      </x:c>
      <x:c r="P92" s="1" t="str">
        <x:v>再失敗と原板支持まで入口確認に含める</x:v>
      </x:c>
      <x:c r="Q92" s="49" t="n">
        <x:v>0</x:v>
      </x:c>
      <x:c r="R92" s="50" t="n">
        <x:v>0.5186111111111111</x:v>
      </x:c>
      <x:c r="S92" s="50" t="n">
        <x:v>0.5186111111111111</x:v>
      </x:c>
      <x:c r="T92" s="1" t="str">
        <x:v>デイ</x:v>
      </x:c>
      <x:c r="U92" s="49" t="n">
        <x:v>1</x:v>
      </x:c>
    </x:row>
    <x:row r="93" ht="22" customHeight="1">
      <x:c r="A93" s="1" t="str">
        <x:v>日経mini</x:v>
      </x:c>
      <x:c r="B93" s="1" t="str">
        <x:v>C03</x:v>
      </x:c>
      <x:c r="C93" s="1" t="str">
        <x:v>診断3場</x:v>
      </x:c>
      <x:c r="D93" s="47" t="n">
        <x:v>104616</x:v>
      </x:c>
      <x:c r="E93" s="47" t="n">
        <x:v>218304</x:v>
      </x:c>
      <x:c r="F93" s="47" t="n">
        <x:f>D93-E93</x:f>
        <x:v>-113688</x:v>
      </x:c>
      <x:c r="G93" s="49" t="n">
        <x:v>0</x:v>
      </x:c>
      <x:c r="H93" s="49" t="n">
        <x:v>2</x:v>
      </x:c>
      <x:c r="I93" s="47" t="n">
        <x:v>-113688</x:v>
      </x:c>
      <x:c r="J93" s="49" t="n">
        <x:v>8</x:v>
      </x:c>
      <x:c r="K93" s="47" t="n">
        <x:v>-99614</x:v>
      </x:c>
      <x:c r="L93" s="47" t="n">
        <x:v>56844</x:v>
      </x:c>
      <x:c r="M93" s="48" t="n">
        <x:v>360.05</x:v>
      </x:c>
      <x:c r="N93" s="48" t="n">
        <x:v>28.033333333333335</x:v>
      </x:c>
      <x:c r="O93" s="49" t="n">
        <x:v>5</x:v>
      </x:c>
      <x:c r="P93" s="1" t="str">
        <x:v>再失敗と原板支持まで入口確認に含める</x:v>
      </x:c>
      <x:c r="Q93" s="49" t="n">
        <x:v>0</x:v>
      </x:c>
      <x:c r="R93" s="50" t="n">
        <x:v>0.03594017094017094</x:v>
      </x:c>
      <x:c r="S93" s="50" t="n">
        <x:v>0.03594017094017094</x:v>
      </x:c>
      <x:c r="T93" s="1" t="str">
        <x:v>ナイト</x:v>
      </x:c>
      <x:c r="U93" s="49" t="n">
        <x:v>2</x:v>
      </x:c>
    </x:row>
    <x:row r="94" ht="22" customHeight="1">
      <x:c r="A94" s="1" t="str">
        <x:v>日経mini</x:v>
      </x:c>
      <x:c r="B94" s="1" t="str">
        <x:v>C03</x:v>
      </x:c>
      <x:c r="C94" s="1" t="str">
        <x:v>診断3場</x:v>
      </x:c>
      <x:c r="D94" s="47" t="n">
        <x:v>76618</x:v>
      </x:c>
      <x:c r="E94" s="47" t="n">
        <x:v>199306</x:v>
      </x:c>
      <x:c r="F94" s="47" t="n">
        <x:f>D94-E94</x:f>
        <x:v>-122688</x:v>
      </x:c>
      <x:c r="G94" s="49" t="n">
        <x:v>0</x:v>
      </x:c>
      <x:c r="H94" s="49" t="n">
        <x:v>2</x:v>
      </x:c>
      <x:c r="I94" s="47" t="n">
        <x:v>-122688</x:v>
      </x:c>
      <x:c r="J94" s="49" t="n">
        <x:v>10</x:v>
      </x:c>
      <x:c r="K94" s="47" t="n">
        <x:v>-99614</x:v>
      </x:c>
      <x:c r="L94" s="47" t="n">
        <x:v>61344</x:v>
      </x:c>
      <x:c r="M94" s="48" t="n">
        <x:v>227.56666666666666</x:v>
      </x:c>
      <x:c r="N94" s="48" t="n">
        <x:v>119.45833333333333</x:v>
      </x:c>
      <x:c r="O94" s="49" t="n">
        <x:v>5</x:v>
      </x:c>
      <x:c r="P94" s="1" t="str">
        <x:v>再失敗と原板支持まで入口確認に含める</x:v>
      </x:c>
      <x:c r="Q94" s="49" t="n">
        <x:v>0</x:v>
      </x:c>
      <x:c r="R94" s="50" t="n">
        <x:v>0.2728311965811966</x:v>
      </x:c>
      <x:c r="S94" s="50" t="n">
        <x:v>0.1990972222222222</x:v>
      </x:c>
      <x:c r="T94" s="1" t="str">
        <x:v>上昇</x:v>
      </x:c>
      <x:c r="U94" s="49" t="n">
        <x:v>2</x:v>
      </x:c>
    </x:row>
    <x:row r="95" ht="22" customHeight="1">
      <x:c r="A95" s="1" t="str">
        <x:v>日経mini</x:v>
      </x:c>
      <x:c r="B95" s="1" t="str">
        <x:v>C03</x:v>
      </x:c>
      <x:c r="C95" s="1" t="str">
        <x:v>診断3場</x:v>
      </x:c>
      <x:c r="D95" s="47" t="n">
        <x:v>104616</x:v>
      </x:c>
      <x:c r="E95" s="47" t="n">
        <x:v>118690</x:v>
      </x:c>
      <x:c r="F95" s="47" t="n">
        <x:f>D95-E95</x:f>
        <x:v>-14074</x:v>
      </x:c>
      <x:c r="G95" s="49" t="n">
        <x:v>0</x:v>
      </x:c>
      <x:c r="H95" s="49" t="n">
        <x:v>1</x:v>
      </x:c>
      <x:c r="I95" s="47" t="n">
        <x:v>-14074</x:v>
      </x:c>
      <x:c r="J95" s="49" t="n">
        <x:v>5</x:v>
      </x:c>
      <x:c r="K95" s="47" t="n">
        <x:v>-14074</x:v>
      </x:c>
      <x:c r="L95" s="47" t="n">
        <x:v>14074</x:v>
      </x:c>
      <x:c r="M95" s="48" t="n">
        <x:v>360.06666666666666</x:v>
      </x:c>
      <x:c r="N95" s="48" t="n">
        <x:v>34.96666666666667</x:v>
      </x:c>
      <x:c r="O95" s="49" t="n">
        <x:v>5</x:v>
      </x:c>
      <x:c r="P95" s="1" t="str">
        <x:v>再失敗と原板支持まで入口確認に含める</x:v>
      </x:c>
      <x:c r="Q95" s="49" t="n">
        <x:v>0</x:v>
      </x:c>
      <x:c r="R95" s="50" t="n">
        <x:v>0.04482905982905983</x:v>
      </x:c>
      <x:c r="S95" s="50" t="n">
        <x:v>0.04482905982905983</x:v>
      </x:c>
      <x:c r="T95" s="1" t="str">
        <x:v>下落</x:v>
      </x:c>
      <x:c r="U95" s="49" t="n">
        <x:v>1</x:v>
      </x:c>
    </x:row>
    <x:row r="96" ht="22" customHeight="1">
      <x:c r="A96" s="1" t="str">
        <x:v>日経mini</x:v>
      </x:c>
      <x:c r="B96" s="1" t="str">
        <x:v>C04</x:v>
      </x:c>
      <x:c r="C96" s="1" t="str">
        <x:v>全50場</x:v>
      </x:c>
      <x:c r="D96" s="47" t="n">
        <x:v>6005660</x:v>
      </x:c>
      <x:c r="E96" s="47" t="n">
        <x:v>3719936</x:v>
      </x:c>
      <x:c r="F96" s="47" t="n">
        <x:f>D96-E96</x:f>
        <x:v>2285724</x:v>
      </x:c>
      <x:c r="G96" s="49" t="n">
        <x:v>30</x:v>
      </x:c>
      <x:c r="H96" s="49" t="n">
        <x:v>20</x:v>
      </x:c>
      <x:c r="I96" s="47" t="n">
        <x:v>1253319</x:v>
      </x:c>
      <x:c r="J96" s="49" t="n">
        <x:v>337</x:v>
      </x:c>
      <x:c r="K96" s="47" t="n">
        <x:v>-180994</x:v>
      </x:c>
      <x:c r="L96" s="47" t="n">
        <x:v>63539.1</x:v>
      </x:c>
      <x:c r="M96" s="48" t="n">
        <x:v>188.68966666666668</x:v>
      </x:c>
      <x:c r="N96" s="48" t="n">
        <x:v>143.238</x:v>
      </x:c>
      <x:c r="O96" s="49" t="n">
        <x:v>10</x:v>
      </x:c>
      <x:c r="P96" s="1" t="str">
        <x:v>長短方向で維持半減全返済</x:v>
      </x:c>
      <x:c r="Q96" s="49" t="n">
        <x:v>0</x:v>
      </x:c>
      <x:c r="R96" s="50" t="n">
        <x:v>0.30593113553113555</x:v>
      </x:c>
      <x:c r="S96" s="50" t="n">
        <x:v>0.23873</x:v>
      </x:c>
      <x:c r="T96" s="1" t="str">
        <x:v>全場</x:v>
      </x:c>
      <x:c r="U96" s="49" t="n">
        <x:v>50</x:v>
      </x:c>
    </x:row>
    <x:row r="97" ht="22" customHeight="1">
      <x:c r="A97" s="1" t="str">
        <x:v>日経mini</x:v>
      </x:c>
      <x:c r="B97" s="1" t="str">
        <x:v>C04</x:v>
      </x:c>
      <x:c r="C97" s="1" t="str">
        <x:v>全50場</x:v>
      </x:c>
      <x:c r="D97" s="47" t="n">
        <x:v>3771681</x:v>
      </x:c>
      <x:c r="E97" s="47" t="n">
        <x:v>2539180</x:v>
      </x:c>
      <x:c r="F97" s="47" t="n">
        <x:f>D97-E97</x:f>
        <x:v>1232501</x:v>
      </x:c>
      <x:c r="G97" s="49" t="n">
        <x:v>14</x:v>
      </x:c>
      <x:c r="H97" s="49" t="n">
        <x:v>11</x:v>
      </x:c>
      <x:c r="I97" s="47" t="n">
        <x:v>285175</x:v>
      </x:c>
      <x:c r="J97" s="49" t="n">
        <x:v>208</x:v>
      </x:c>
      <x:c r="K97" s="47" t="n">
        <x:v>-180994</x:v>
      </x:c>
      <x:c r="L97" s="47" t="n">
        <x:v>76562</x:v>
      </x:c>
      <x:c r="M97" s="48" t="n">
        <x:v>80.29533333333333</x:v>
      </x:c>
      <x:c r="N97" s="48" t="n">
        <x:v>222.57266666666666</x:v>
      </x:c>
      <x:c r="O97" s="49" t="n">
        <x:v>10</x:v>
      </x:c>
      <x:c r="P97" s="1" t="str">
        <x:v>長短方向で維持半減全返済</x:v>
      </x:c>
      <x:c r="Q97" s="49" t="n">
        <x:v>0</x:v>
      </x:c>
      <x:c r="R97" s="50" t="n">
        <x:v>0.5299349206349206</x:v>
      </x:c>
      <x:c r="S97" s="50" t="n">
        <x:v>0.5299349206349206</x:v>
      </x:c>
      <x:c r="T97" s="1" t="str">
        <x:v>デイ</x:v>
      </x:c>
      <x:c r="U97" s="49" t="n">
        <x:v>25</x:v>
      </x:c>
    </x:row>
    <x:row r="98" ht="22" customHeight="1">
      <x:c r="A98" s="1" t="str">
        <x:v>日経mini</x:v>
      </x:c>
      <x:c r="B98" s="1" t="str">
        <x:v>C04</x:v>
      </x:c>
      <x:c r="C98" s="1" t="str">
        <x:v>全50場</x:v>
      </x:c>
      <x:c r="D98" s="47" t="n">
        <x:v>2233979</x:v>
      </x:c>
      <x:c r="E98" s="47" t="n">
        <x:v>1180756</x:v>
      </x:c>
      <x:c r="F98" s="47" t="n">
        <x:f>D98-E98</x:f>
        <x:v>1053223</x:v>
      </x:c>
      <x:c r="G98" s="49" t="n">
        <x:v>16</x:v>
      </x:c>
      <x:c r="H98" s="49" t="n">
        <x:v>9</x:v>
      </x:c>
      <x:c r="I98" s="47" t="n">
        <x:v>322667</x:v>
      </x:c>
      <x:c r="J98" s="49" t="n">
        <x:v>129</x:v>
      </x:c>
      <x:c r="K98" s="47" t="n">
        <x:v>-121461</x:v>
      </x:c>
      <x:c r="L98" s="47" t="n">
        <x:v>47622.22222222222</x:v>
      </x:c>
      <x:c r="M98" s="48" t="n">
        <x:v>297.084</x:v>
      </x:c>
      <x:c r="N98" s="48" t="n">
        <x:v>63.90333333333333</x:v>
      </x:c>
      <x:c r="O98" s="49" t="n">
        <x:v>7</x:v>
      </x:c>
      <x:c r="P98" s="1" t="str">
        <x:v>長短方向で維持半減全返済</x:v>
      </x:c>
      <x:c r="Q98" s="49" t="n">
        <x:v>0</x:v>
      </x:c>
      <x:c r="R98" s="50" t="n">
        <x:v>0.08192735042735043</x:v>
      </x:c>
      <x:c r="S98" s="50" t="n">
        <x:v>0.08192735042735043</x:v>
      </x:c>
      <x:c r="T98" s="1" t="str">
        <x:v>ナイト</x:v>
      </x:c>
      <x:c r="U98" s="49" t="n">
        <x:v>25</x:v>
      </x:c>
    </x:row>
    <x:row r="99" ht="22" customHeight="1">
      <x:c r="A99" s="1" t="str">
        <x:v>日経mini</x:v>
      </x:c>
      <x:c r="B99" s="1" t="str">
        <x:v>C04</x:v>
      </x:c>
      <x:c r="C99" s="1" t="str">
        <x:v>全50場</x:v>
      </x:c>
      <x:c r="D99" s="47" t="n">
        <x:v>2535365</x:v>
      </x:c>
      <x:c r="E99" s="47" t="n">
        <x:v>1836123</x:v>
      </x:c>
      <x:c r="F99" s="47" t="n">
        <x:f>D99-E99</x:f>
        <x:v>699242</x:v>
      </x:c>
      <x:c r="G99" s="49" t="n">
        <x:v>13</x:v>
      </x:c>
      <x:c r="H99" s="49" t="n">
        <x:v>11</x:v>
      </x:c>
      <x:c r="I99" s="47" t="n">
        <x:v>-122163</x:v>
      </x:c>
      <x:c r="J99" s="49" t="n">
        <x:v>163</x:v>
      </x:c>
      <x:c r="K99" s="47" t="n">
        <x:v>-180994</x:v>
      </x:c>
      <x:c r="L99" s="47" t="n">
        <x:v>78129.72727272728</x:v>
      </x:c>
      <x:c r="M99" s="48" t="n">
        <x:v>204.98611111111111</x:v>
      </x:c>
      <x:c r="N99" s="48" t="n">
        <x:v>139.13750000000002</x:v>
      </x:c>
      <x:c r="O99" s="49" t="n">
        <x:v>10</x:v>
      </x:c>
      <x:c r="P99" s="1" t="str">
        <x:v>長短方向で維持半減全返済</x:v>
      </x:c>
      <x:c r="Q99" s="49" t="n">
        <x:v>0</x:v>
      </x:c>
      <x:c r="R99" s="50" t="n">
        <x:v>0.2867399267399267</x:v>
      </x:c>
      <x:c r="S99" s="50" t="n">
        <x:v>0.226239837398374</x:v>
      </x:c>
      <x:c r="T99" s="1" t="str">
        <x:v>上昇</x:v>
      </x:c>
      <x:c r="U99" s="49" t="n">
        <x:v>24</x:v>
      </x:c>
    </x:row>
    <x:row r="100" ht="22" customHeight="1">
      <x:c r="A100" s="1" t="str">
        <x:v>日経mini</x:v>
      </x:c>
      <x:c r="B100" s="1" t="str">
        <x:v>C04</x:v>
      </x:c>
      <x:c r="C100" s="1" t="str">
        <x:v>全50場</x:v>
      </x:c>
      <x:c r="D100" s="47" t="n">
        <x:v>3470295</x:v>
      </x:c>
      <x:c r="E100" s="47" t="n">
        <x:v>1883813</x:v>
      </x:c>
      <x:c r="F100" s="47" t="n">
        <x:f>D100-E100</x:f>
        <x:v>1586482</x:v>
      </x:c>
      <x:c r="G100" s="49" t="n">
        <x:v>17</x:v>
      </x:c>
      <x:c r="H100" s="49" t="n">
        <x:v>9</x:v>
      </x:c>
      <x:c r="I100" s="47" t="n">
        <x:v>639156</x:v>
      </x:c>
      <x:c r="J100" s="49" t="n">
        <x:v>174</x:v>
      </x:c>
      <x:c r="K100" s="47" t="n">
        <x:v>-171148</x:v>
      </x:c>
      <x:c r="L100" s="47" t="n">
        <x:v>45706.11111111111</x:v>
      </x:c>
      <x:c r="M100" s="48" t="n">
        <x:v>173.64679487179487</x:v>
      </x:c>
      <x:c r="N100" s="48" t="n">
        <x:v>147.02307692307693</x:v>
      </x:c>
      <x:c r="O100" s="49" t="n">
        <x:v>10</x:v>
      </x:c>
      <x:c r="P100" s="1" t="str">
        <x:v>長短方向で維持半減全返済</x:v>
      </x:c>
      <x:c r="Q100" s="49" t="n">
        <x:v>0</x:v>
      </x:c>
      <x:c r="R100" s="50" t="n">
        <x:v>0.3236460974922514</x:v>
      </x:c>
      <x:c r="S100" s="50" t="n">
        <x:v>0.2508267716535433</x:v>
      </x:c>
      <x:c r="T100" s="1" t="str">
        <x:v>下落</x:v>
      </x:c>
      <x:c r="U100" s="49" t="n">
        <x:v>26</x:v>
      </x:c>
    </x:row>
    <x:row r="101" ht="22" customHeight="1">
      <x:c r="A101" s="1" t="str">
        <x:v>日経mini</x:v>
      </x:c>
      <x:c r="B101" s="1" t="str">
        <x:v>C04</x:v>
      </x:c>
      <x:c r="C101" s="1" t="str">
        <x:v>対照47場</x:v>
      </x:c>
      <x:c r="D101" s="47" t="n">
        <x:v>5854350</x:v>
      </x:c>
      <x:c r="E101" s="47" t="n">
        <x:v>3473094</x:v>
      </x:c>
      <x:c r="F101" s="47" t="n">
        <x:f>D101-E101</x:f>
        <x:v>2381256</x:v>
      </x:c>
      <x:c r="G101" s="49" t="n">
        <x:v>29</x:v>
      </x:c>
      <x:c r="H101" s="49" t="n">
        <x:v>18</x:v>
      </x:c>
      <x:c r="I101" s="47" t="n">
        <x:v>1348851</x:v>
      </x:c>
      <x:c r="J101" s="49" t="n">
        <x:v>326</x:v>
      </x:c>
      <x:c r="K101" s="47" t="n">
        <x:v>-180994</x:v>
      </x:c>
      <x:c r="L101" s="47" t="n">
        <x:v>64462.5</x:v>
      </x:c>
      <x:c r="M101" s="48" t="n">
        <x:v>183.38900709219854</x:v>
      </x:c>
      <x:c r="N101" s="48" t="n">
        <x:v>138.85390070921983</x:v>
      </x:c>
      <x:c r="O101" s="49" t="n">
        <x:v>10</x:v>
      </x:c>
      <x:c r="P101" s="1" t="str">
        <x:v>長短方向で維持半減全返済</x:v>
      </x:c>
      <x:c r="Q101" s="49" t="n">
        <x:v>0</x:v>
      </x:c>
      <x:c r="R101" s="50" t="n">
        <x:v>0.3027633595718703</x:v>
      </x:c>
      <x:c r="S101" s="50" t="n">
        <x:v>0.23290982631453724</x:v>
      </x:c>
      <x:c r="T101" s="1" t="str">
        <x:v>全場</x:v>
      </x:c>
      <x:c r="U101" s="49" t="n">
        <x:v>47</x:v>
      </x:c>
    </x:row>
    <x:row r="102" ht="22" customHeight="1">
      <x:c r="A102" s="1" t="str">
        <x:v>日経mini</x:v>
      </x:c>
      <x:c r="B102" s="1" t="str">
        <x:v>C04</x:v>
      </x:c>
      <x:c r="C102" s="1" t="str">
        <x:v>対照47場</x:v>
      </x:c>
      <x:c r="D102" s="47" t="n">
        <x:v>3738834</x:v>
      </x:c>
      <x:c r="E102" s="47" t="n">
        <x:v>2437413</x:v>
      </x:c>
      <x:c r="F102" s="47" t="n">
        <x:f>D102-E102</x:f>
        <x:v>1301421</x:v>
      </x:c>
      <x:c r="G102" s="49" t="n">
        <x:v>14</x:v>
      </x:c>
      <x:c r="H102" s="49" t="n">
        <x:v>10</x:v>
      </x:c>
      <x:c r="I102" s="47" t="n">
        <x:v>354095</x:v>
      </x:c>
      <x:c r="J102" s="49" t="n">
        <x:v>203</x:v>
      </x:c>
      <x:c r="K102" s="47" t="n">
        <x:v>-180994</x:v>
      </x:c>
      <x:c r="L102" s="47" t="n">
        <x:v>77326.2</x:v>
      </x:c>
      <x:c r="M102" s="48" t="n">
        <x:v>79.67847222222223</x:v>
      </x:c>
      <x:c r="N102" s="48" t="n">
        <x:v>222.30694444444444</x:v>
      </x:c>
      <x:c r="O102" s="49" t="n">
        <x:v>10</x:v>
      </x:c>
      <x:c r="P102" s="1" t="str">
        <x:v>長短方向で維持半減全返済</x:v>
      </x:c>
      <x:c r="Q102" s="49" t="n">
        <x:v>0</x:v>
      </x:c>
      <x:c r="R102" s="50" t="n">
        <x:v>0.5293022486772486</x:v>
      </x:c>
      <x:c r="S102" s="50" t="n">
        <x:v>0.5293022486772487</x:v>
      </x:c>
      <x:c r="T102" s="1" t="str">
        <x:v>デイ</x:v>
      </x:c>
      <x:c r="U102" s="49" t="n">
        <x:v>24</x:v>
      </x:c>
    </x:row>
    <x:row r="103" ht="22" customHeight="1">
      <x:c r="A103" s="1" t="str">
        <x:v>日経mini</x:v>
      </x:c>
      <x:c r="B103" s="1" t="str">
        <x:v>C04</x:v>
      </x:c>
      <x:c r="C103" s="1" t="str">
        <x:v>対照47場</x:v>
      </x:c>
      <x:c r="D103" s="47" t="n">
        <x:v>2115516</x:v>
      </x:c>
      <x:c r="E103" s="47" t="n">
        <x:v>1035681</x:v>
      </x:c>
      <x:c r="F103" s="47" t="n">
        <x:f>D103-E103</x:f>
        <x:v>1079835</x:v>
      </x:c>
      <x:c r="G103" s="49" t="n">
        <x:v>15</x:v>
      </x:c>
      <x:c r="H103" s="49" t="n">
        <x:v>8</x:v>
      </x:c>
      <x:c r="I103" s="47" t="n">
        <x:v>349279</x:v>
      </x:c>
      <x:c r="J103" s="49" t="n">
        <x:v>123</x:v>
      </x:c>
      <x:c r="K103" s="47" t="n">
        <x:v>-121461</x:v>
      </x:c>
      <x:c r="L103" s="47" t="n">
        <x:v>48382.875</x:v>
      </x:c>
      <x:c r="M103" s="48" t="n">
        <x:v>291.6086956521739</x:v>
      </x:c>
      <x:c r="N103" s="48" t="n">
        <x:v>51.77246376811594</x:v>
      </x:c>
      <x:c r="O103" s="49" t="n">
        <x:v>7</x:v>
      </x:c>
      <x:c r="P103" s="1" t="str">
        <x:v>長短方向で維持半減全返済</x:v>
      </x:c>
      <x:c r="Q103" s="49" t="n">
        <x:v>0</x:v>
      </x:c>
      <x:c r="R103" s="50" t="n">
        <x:v>0.06637495354886659</x:v>
      </x:c>
      <x:c r="S103" s="50" t="n">
        <x:v>0.06637495354886659</x:v>
      </x:c>
      <x:c r="T103" s="1" t="str">
        <x:v>ナイト</x:v>
      </x:c>
      <x:c r="U103" s="49" t="n">
        <x:v>23</x:v>
      </x:c>
    </x:row>
    <x:row r="104" ht="22" customHeight="1">
      <x:c r="A104" s="1" t="str">
        <x:v>日経mini</x:v>
      </x:c>
      <x:c r="B104" s="1" t="str">
        <x:v>C04</x:v>
      </x:c>
      <x:c r="C104" s="1" t="str">
        <x:v>対照47場</x:v>
      </x:c>
      <x:c r="D104" s="47" t="n">
        <x:v>2488671</x:v>
      </x:c>
      <x:c r="E104" s="47" t="n">
        <x:v>1678972</x:v>
      </x:c>
      <x:c r="F104" s="47" t="n">
        <x:f>D104-E104</x:f>
        <x:v>809699</x:v>
      </x:c>
      <x:c r="G104" s="49" t="n">
        <x:v>13</x:v>
      </x:c>
      <x:c r="H104" s="49" t="n">
        <x:v>9</x:v>
      </x:c>
      <x:c r="I104" s="47" t="n">
        <x:v>-11706</x:v>
      </x:c>
      <x:c r="J104" s="49" t="n">
        <x:v>156</x:v>
      </x:c>
      <x:c r="K104" s="47" t="n">
        <x:v>-180994</x:v>
      </x:c>
      <x:c r="L104" s="47" t="n">
        <x:v>83218.88888888889</x:v>
      </x:c>
      <x:c r="M104" s="48" t="n">
        <x:v>202.93333333333337</x:v>
      </x:c>
      <x:c r="N104" s="48" t="n">
        <x:v>124.72954545454544</x:v>
      </x:c>
      <x:c r="O104" s="49" t="n">
        <x:v>10</x:v>
      </x:c>
      <x:c r="P104" s="1" t="str">
        <x:v>長短方向で維持半減全返済</x:v>
      </x:c>
      <x:c r="Q104" s="49" t="n">
        <x:v>0</x:v>
      </x:c>
      <x:c r="R104" s="50" t="n">
        <x:v>0.2666829004329004</x:v>
      </x:c>
      <x:c r="S104" s="50" t="n">
        <x:v>0.20236356932153393</x:v>
      </x:c>
      <x:c r="T104" s="1" t="str">
        <x:v>上昇</x:v>
      </x:c>
      <x:c r="U104" s="49" t="n">
        <x:v>22</x:v>
      </x:c>
    </x:row>
    <x:row r="105" ht="22" customHeight="1">
      <x:c r="A105" s="1" t="str">
        <x:v>日経mini</x:v>
      </x:c>
      <x:c r="B105" s="1" t="str">
        <x:v>C04</x:v>
      </x:c>
      <x:c r="C105" s="1" t="str">
        <x:v>対照47場</x:v>
      </x:c>
      <x:c r="D105" s="47" t="n">
        <x:v>3365679</x:v>
      </x:c>
      <x:c r="E105" s="47" t="n">
        <x:v>1794122</x:v>
      </x:c>
      <x:c r="F105" s="47" t="n">
        <x:f>D105-E105</x:f>
        <x:v>1571557</x:v>
      </x:c>
      <x:c r="G105" s="49" t="n">
        <x:v>16</x:v>
      </x:c>
      <x:c r="H105" s="49" t="n">
        <x:v>9</x:v>
      </x:c>
      <x:c r="I105" s="47" t="n">
        <x:v>624231</x:v>
      </x:c>
      <x:c r="J105" s="49" t="n">
        <x:v>170</x:v>
      </x:c>
      <x:c r="K105" s="47" t="n">
        <x:v>-171148</x:v>
      </x:c>
      <x:c r="L105" s="47" t="n">
        <x:v>45706.11111111111</x:v>
      </x:c>
      <x:c r="M105" s="48" t="n">
        <x:v>166.19</x:v>
      </x:c>
      <x:c r="N105" s="48" t="n">
        <x:v>151.28333333333333</x:v>
      </x:c>
      <x:c r="O105" s="49" t="n">
        <x:v>10</x:v>
      </x:c>
      <x:c r="P105" s="1" t="str">
        <x:v>長短方向で維持半減全返済</x:v>
      </x:c>
      <x:c r="Q105" s="49" t="n">
        <x:v>0</x:v>
      </x:c>
      <x:c r="R105" s="50" t="n">
        <x:v>0.33451416361416364</x:v>
      </x:c>
      <x:c r="S105" s="50" t="n">
        <x:v>0.26155486399262334</x:v>
      </x:c>
      <x:c r="T105" s="1" t="str">
        <x:v>下落</x:v>
      </x:c>
      <x:c r="U105" s="49" t="n">
        <x:v>25</x:v>
      </x:c>
    </x:row>
    <x:row r="106" ht="22" customHeight="1">
      <x:c r="A106" s="1" t="str">
        <x:v>日経mini</x:v>
      </x:c>
      <x:c r="B106" s="1" t="str">
        <x:v>C04</x:v>
      </x:c>
      <x:c r="C106" s="1" t="str">
        <x:v>診断3場</x:v>
      </x:c>
      <x:c r="D106" s="47" t="n">
        <x:v>151310</x:v>
      </x:c>
      <x:c r="E106" s="47" t="n">
        <x:v>246842</x:v>
      </x:c>
      <x:c r="F106" s="47" t="n">
        <x:f>D106-E106</x:f>
        <x:v>-95532</x:v>
      </x:c>
      <x:c r="G106" s="49" t="n">
        <x:v>1</x:v>
      </x:c>
      <x:c r="H106" s="49" t="n">
        <x:v>2</x:v>
      </x:c>
      <x:c r="I106" s="47" t="n">
        <x:v>-110457</x:v>
      </x:c>
      <x:c r="J106" s="49" t="n">
        <x:v>11</x:v>
      </x:c>
      <x:c r="K106" s="47" t="n">
        <x:v>-68920</x:v>
      </x:c>
      <x:c r="L106" s="47" t="n">
        <x:v>55228.5</x:v>
      </x:c>
      <x:c r="M106" s="48" t="n">
        <x:v>271.73333333333335</x:v>
      </x:c>
      <x:c r="N106" s="48" t="n">
        <x:v>211.92222222222222</x:v>
      </x:c>
      <x:c r="O106" s="49" t="n">
        <x:v>5</x:v>
      </x:c>
      <x:c r="P106" s="1" t="str">
        <x:v>長短方向で維持半減全返済</x:v>
      </x:c>
      <x:c r="Q106" s="49" t="n">
        <x:v>0</x:v>
      </x:c>
      <x:c r="R106" s="50" t="n">
        <x:v>0.35555962555962556</x:v>
      </x:c>
      <x:c r="S106" s="50" t="n">
        <x:v>0.3210942760942761</x:v>
      </x:c>
      <x:c r="T106" s="1" t="str">
        <x:v>全場</x:v>
      </x:c>
      <x:c r="U106" s="49" t="n">
        <x:v>3</x:v>
      </x:c>
    </x:row>
    <x:row r="107" ht="22" customHeight="1">
      <x:c r="A107" s="1" t="str">
        <x:v>日経mini</x:v>
      </x:c>
      <x:c r="B107" s="1" t="str">
        <x:v>C04</x:v>
      </x:c>
      <x:c r="C107" s="1" t="str">
        <x:v>診断3場</x:v>
      </x:c>
      <x:c r="D107" s="47" t="n">
        <x:v>32847</x:v>
      </x:c>
      <x:c r="E107" s="47" t="n">
        <x:v>101767</x:v>
      </x:c>
      <x:c r="F107" s="47" t="n">
        <x:f>D107-E107</x:f>
        <x:v>-68920</x:v>
      </x:c>
      <x:c r="G107" s="49" t="n">
        <x:v>0</x:v>
      </x:c>
      <x:c r="H107" s="49" t="n">
        <x:v>1</x:v>
      </x:c>
      <x:c r="I107" s="47" t="n">
        <x:v>-68920</x:v>
      </x:c>
      <x:c r="J107" s="49" t="n">
        <x:v>5</x:v>
      </x:c>
      <x:c r="K107" s="47" t="n">
        <x:v>-68920</x:v>
      </x:c>
      <x:c r="L107" s="47" t="n">
        <x:v>68920</x:v>
      </x:c>
      <x:c r="M107" s="48" t="n">
        <x:v>95.1</x:v>
      </x:c>
      <x:c r="N107" s="48" t="n">
        <x:v>228.95</x:v>
      </x:c>
      <x:c r="O107" s="49" t="n">
        <x:v>5</x:v>
      </x:c>
      <x:c r="P107" s="1" t="str">
        <x:v>長短方向で維持半減全返済</x:v>
      </x:c>
      <x:c r="Q107" s="49" t="n">
        <x:v>0</x:v>
      </x:c>
      <x:c r="R107" s="50" t="n">
        <x:v>0.5451190476190476</x:v>
      </x:c>
      <x:c r="S107" s="50" t="n">
        <x:v>0.5451190476190476</x:v>
      </x:c>
      <x:c r="T107" s="1" t="str">
        <x:v>デイ</x:v>
      </x:c>
      <x:c r="U107" s="49" t="n">
        <x:v>1</x:v>
      </x:c>
    </x:row>
    <x:row r="108" ht="22" customHeight="1">
      <x:c r="A108" s="1" t="str">
        <x:v>日経mini</x:v>
      </x:c>
      <x:c r="B108" s="1" t="str">
        <x:v>C04</x:v>
      </x:c>
      <x:c r="C108" s="1" t="str">
        <x:v>診断3場</x:v>
      </x:c>
      <x:c r="D108" s="47" t="n">
        <x:v>118463</x:v>
      </x:c>
      <x:c r="E108" s="47" t="n">
        <x:v>145075</x:v>
      </x:c>
      <x:c r="F108" s="47" t="n">
        <x:f>D108-E108</x:f>
        <x:v>-26612</x:v>
      </x:c>
      <x:c r="G108" s="49" t="n">
        <x:v>1</x:v>
      </x:c>
      <x:c r="H108" s="49" t="n">
        <x:v>1</x:v>
      </x:c>
      <x:c r="I108" s="47" t="n">
        <x:v>-41537</x:v>
      </x:c>
      <x:c r="J108" s="49" t="n">
        <x:v>6</x:v>
      </x:c>
      <x:c r="K108" s="47" t="n">
        <x:v>-41537</x:v>
      </x:c>
      <x:c r="L108" s="47" t="n">
        <x:v>41537</x:v>
      </x:c>
      <x:c r="M108" s="48" t="n">
        <x:v>360.05</x:v>
      </x:c>
      <x:c r="N108" s="48" t="n">
        <x:v>203.40833333333333</x:v>
      </x:c>
      <x:c r="O108" s="49" t="n">
        <x:v>5</x:v>
      </x:c>
      <x:c r="P108" s="1" t="str">
        <x:v>長短方向で維持半減全返済</x:v>
      </x:c>
      <x:c r="Q108" s="49" t="n">
        <x:v>0</x:v>
      </x:c>
      <x:c r="R108" s="50" t="n">
        <x:v>0.2607799145299145</x:v>
      </x:c>
      <x:c r="S108" s="50" t="n">
        <x:v>0.2607799145299145</x:v>
      </x:c>
      <x:c r="T108" s="1" t="str">
        <x:v>ナイト</x:v>
      </x:c>
      <x:c r="U108" s="49" t="n">
        <x:v>2</x:v>
      </x:c>
    </x:row>
    <x:row r="109" ht="22" customHeight="1">
      <x:c r="A109" s="1" t="str">
        <x:v>日経mini</x:v>
      </x:c>
      <x:c r="B109" s="1" t="str">
        <x:v>C04</x:v>
      </x:c>
      <x:c r="C109" s="1" t="str">
        <x:v>診断3場</x:v>
      </x:c>
      <x:c r="D109" s="47" t="n">
        <x:v>46694</x:v>
      </x:c>
      <x:c r="E109" s="47" t="n">
        <x:v>157151</x:v>
      </x:c>
      <x:c r="F109" s="47" t="n">
        <x:f>D109-E109</x:f>
        <x:v>-110457</x:v>
      </x:c>
      <x:c r="G109" s="49" t="n">
        <x:v>0</x:v>
      </x:c>
      <x:c r="H109" s="49" t="n">
        <x:v>2</x:v>
      </x:c>
      <x:c r="I109" s="47" t="n">
        <x:v>-110457</x:v>
      </x:c>
      <x:c r="J109" s="49" t="n">
        <x:v>7</x:v>
      </x:c>
      <x:c r="K109" s="47" t="n">
        <x:v>-68920</x:v>
      </x:c>
      <x:c r="L109" s="47" t="n">
        <x:v>55228.5</x:v>
      </x:c>
      <x:c r="M109" s="48" t="n">
        <x:v>227.56666666666666</x:v>
      </x:c>
      <x:c r="N109" s="48" t="n">
        <x:v>297.625</x:v>
      </x:c>
      <x:c r="O109" s="49" t="n">
        <x:v>5</x:v>
      </x:c>
      <x:c r="P109" s="1" t="str">
        <x:v>長短方向で維持半減全返済</x:v>
      </x:c>
      <x:c r="Q109" s="49" t="n">
        <x:v>0</x:v>
      </x:c>
      <x:c r="R109" s="50" t="n">
        <x:v>0.5073672161172161</x:v>
      </x:c>
      <x:c r="S109" s="50" t="n">
        <x:v>0.49604166666666666</x:v>
      </x:c>
      <x:c r="T109" s="1" t="str">
        <x:v>上昇</x:v>
      </x:c>
      <x:c r="U109" s="49" t="n">
        <x:v>2</x:v>
      </x:c>
    </x:row>
    <x:row r="110" ht="22" customHeight="1">
      <x:c r="A110" s="1" t="str">
        <x:v>日経mini</x:v>
      </x:c>
      <x:c r="B110" s="1" t="str">
        <x:v>C04</x:v>
      </x:c>
      <x:c r="C110" s="1" t="str">
        <x:v>診断3場</x:v>
      </x:c>
      <x:c r="D110" s="47" t="n">
        <x:v>104616</x:v>
      </x:c>
      <x:c r="E110" s="47" t="n">
        <x:v>89691</x:v>
      </x:c>
      <x:c r="F110" s="47" t="n">
        <x:f>D110-E110</x:f>
        <x:v>14925</x:v>
      </x:c>
      <x:c r="G110" s="49" t="n">
        <x:v>1</x:v>
      </x:c>
      <x:c r="H110" s="49" t="n">
        <x:v>0</x:v>
      </x:c>
      <x:c r="I110" s="47" t="n">
        <x:v>0</x:v>
      </x:c>
      <x:c r="J110" s="49" t="n">
        <x:v>4</x:v>
      </x:c>
      <x:c r="K110" s="47" t="n">
        <x:v>14925</x:v>
      </x:c>
      <x:c r="L110" s="47" t="n">
        <x:v>0</x:v>
      </x:c>
      <x:c r="M110" s="48" t="n">
        <x:v>360.06666666666666</x:v>
      </x:c>
      <x:c r="N110" s="48" t="n">
        <x:v>40.516666666666666</x:v>
      </x:c>
      <x:c r="O110" s="49" t="n">
        <x:v>5</x:v>
      </x:c>
      <x:c r="P110" s="1" t="str">
        <x:v>長短方向で維持半減全返済</x:v>
      </x:c>
      <x:c r="Q110" s="49" t="n">
        <x:v>0</x:v>
      </x:c>
      <x:c r="R110" s="50" t="n">
        <x:v>0.051944444444444446</x:v>
      </x:c>
      <x:c r="S110" s="50" t="n">
        <x:v>0.051944444444444446</x:v>
      </x:c>
      <x:c r="T110" s="1" t="str">
        <x:v>下落</x:v>
      </x:c>
      <x:c r="U110" s="49" t="n">
        <x:v>1</x:v>
      </x:c>
    </x:row>
    <x:row r="111" ht="22" customHeight="1">
      <x:c r="A111" s="1" t="str">
        <x:v>日経mini</x:v>
      </x:c>
      <x:c r="B111" s="1" t="str">
        <x:v>C05</x:v>
      </x:c>
      <x:c r="C111" s="1" t="str">
        <x:v>全50場</x:v>
      </x:c>
      <x:c r="D111" s="47" t="n">
        <x:v>6027658</x:v>
      </x:c>
      <x:c r="E111" s="47" t="n">
        <x:v>3768934</x:v>
      </x:c>
      <x:c r="F111" s="47" t="n">
        <x:f>D111-E111</x:f>
        <x:v>2258724</x:v>
      </x:c>
      <x:c r="G111" s="49" t="n">
        <x:v>30</x:v>
      </x:c>
      <x:c r="H111" s="49" t="n">
        <x:v>20</x:v>
      </x:c>
      <x:c r="I111" s="47" t="n">
        <x:v>1245244</x:v>
      </x:c>
      <x:c r="J111" s="49" t="n">
        <x:v>343</x:v>
      </x:c>
      <x:c r="K111" s="47" t="n">
        <x:v>-170995</x:v>
      </x:c>
      <x:c r="L111" s="47" t="n">
        <x:v>65131.35</x:v>
      </x:c>
      <x:c r="M111" s="48" t="n">
        <x:v>188.68966666666668</x:v>
      </x:c>
      <x:c r="N111" s="48" t="n">
        <x:v>135.46366666666665</x:v>
      </x:c>
      <x:c r="O111" s="49" t="n">
        <x:v>10</x:v>
      </x:c>
      <x:c r="P111" s="1" t="str">
        <x:v>価格と原板の合意で維持半減全返済</x:v>
      </x:c>
      <x:c r="Q111" s="49" t="n">
        <x:v>0</x:v>
      </x:c>
      <x:c r="R111" s="50" t="n">
        <x:v>0.292251221001221</x:v>
      </x:c>
      <x:c r="S111" s="50" t="n">
        <x:v>0.22577277777777777</x:v>
      </x:c>
      <x:c r="T111" s="1" t="str">
        <x:v>全場</x:v>
      </x:c>
      <x:c r="U111" s="49" t="n">
        <x:v>50</x:v>
      </x:c>
    </x:row>
    <x:row r="112" ht="22" customHeight="1">
      <x:c r="A112" s="1" t="str">
        <x:v>日経mini</x:v>
      </x:c>
      <x:c r="B112" s="1" t="str">
        <x:v>C05</x:v>
      </x:c>
      <x:c r="C112" s="1" t="str">
        <x:v>全50場</x:v>
      </x:c>
      <x:c r="D112" s="47" t="n">
        <x:v>3768985</x:v>
      </x:c>
      <x:c r="E112" s="47" t="n">
        <x:v>2595179</x:v>
      </x:c>
      <x:c r="F112" s="47" t="n">
        <x:f>D112-E112</x:f>
        <x:v>1173806</x:v>
      </x:c>
      <x:c r="G112" s="49" t="n">
        <x:v>14</x:v>
      </x:c>
      <x:c r="H112" s="49" t="n">
        <x:v>11</x:v>
      </x:c>
      <x:c r="I112" s="47" t="n">
        <x:v>245481</x:v>
      </x:c>
      <x:c r="J112" s="49" t="n">
        <x:v>211</x:v>
      </x:c>
      <x:c r="K112" s="47" t="n">
        <x:v>-170995</x:v>
      </x:c>
      <x:c r="L112" s="47" t="n">
        <x:v>80429.18181818182</x:v>
      </x:c>
      <x:c r="M112" s="48" t="n">
        <x:v>80.29533333333333</x:v>
      </x:c>
      <x:c r="N112" s="48" t="n">
        <x:v>215.81533333333334</x:v>
      </x:c>
      <x:c r="O112" s="49" t="n">
        <x:v>10</x:v>
      </x:c>
      <x:c r="P112" s="1" t="str">
        <x:v>価格と原板の合意で維持半減全返済</x:v>
      </x:c>
      <x:c r="Q112" s="49" t="n">
        <x:v>0</x:v>
      </x:c>
      <x:c r="R112" s="50" t="n">
        <x:v>0.5138460317460318</x:v>
      </x:c>
      <x:c r="S112" s="50" t="n">
        <x:v>0.5138460317460317</x:v>
      </x:c>
      <x:c r="T112" s="1" t="str">
        <x:v>デイ</x:v>
      </x:c>
      <x:c r="U112" s="49" t="n">
        <x:v>25</x:v>
      </x:c>
    </x:row>
    <x:row r="113" ht="22" customHeight="1">
      <x:c r="A113" s="1" t="str">
        <x:v>日経mini</x:v>
      </x:c>
      <x:c r="B113" s="1" t="str">
        <x:v>C05</x:v>
      </x:c>
      <x:c r="C113" s="1" t="str">
        <x:v>全50場</x:v>
      </x:c>
      <x:c r="D113" s="47" t="n">
        <x:v>2258673</x:v>
      </x:c>
      <x:c r="E113" s="47" t="n">
        <x:v>1173755</x:v>
      </x:c>
      <x:c r="F113" s="47" t="n">
        <x:f>D113-E113</x:f>
        <x:v>1084918</x:v>
      </x:c>
      <x:c r="G113" s="49" t="n">
        <x:v>16</x:v>
      </x:c>
      <x:c r="H113" s="49" t="n">
        <x:v>9</x:v>
      </x:c>
      <x:c r="I113" s="47" t="n">
        <x:v>350362</x:v>
      </x:c>
      <x:c r="J113" s="49" t="n">
        <x:v>132</x:v>
      </x:c>
      <x:c r="K113" s="47" t="n">
        <x:v>-121461</x:v>
      </x:c>
      <x:c r="L113" s="47" t="n">
        <x:v>46434</x:v>
      </x:c>
      <x:c r="M113" s="48" t="n">
        <x:v>297.084</x:v>
      </x:c>
      <x:c r="N113" s="48" t="n">
        <x:v>55.111999999999995</x:v>
      </x:c>
      <x:c r="O113" s="49" t="n">
        <x:v>7</x:v>
      </x:c>
      <x:c r="P113" s="1" t="str">
        <x:v>価格と原板の合意で維持半減全返済</x:v>
      </x:c>
      <x:c r="Q113" s="49" t="n">
        <x:v>0</x:v>
      </x:c>
      <x:c r="R113" s="50" t="n">
        <x:v>0.07065641025641027</x:v>
      </x:c>
      <x:c r="S113" s="50" t="n">
        <x:v>0.07065641025641026</x:v>
      </x:c>
      <x:c r="T113" s="1" t="str">
        <x:v>ナイト</x:v>
      </x:c>
      <x:c r="U113" s="49" t="n">
        <x:v>25</x:v>
      </x:c>
    </x:row>
    <x:row r="114" ht="22" customHeight="1">
      <x:c r="A114" s="1" t="str">
        <x:v>日経mini</x:v>
      </x:c>
      <x:c r="B114" s="1" t="str">
        <x:v>C05</x:v>
      </x:c>
      <x:c r="C114" s="1" t="str">
        <x:v>全50場</x:v>
      </x:c>
      <x:c r="D114" s="47" t="n">
        <x:v>2566057</x:v>
      </x:c>
      <x:c r="E114" s="47" t="n">
        <x:v>1816431</x:v>
      </x:c>
      <x:c r="F114" s="47" t="n">
        <x:f>D114-E114</x:f>
        <x:v>749626</x:v>
      </x:c>
      <x:c r="G114" s="49" t="n">
        <x:v>13</x:v>
      </x:c>
      <x:c r="H114" s="49" t="n">
        <x:v>11</x:v>
      </x:c>
      <x:c r="I114" s="47" t="n">
        <x:v>-61237</x:v>
      </x:c>
      <x:c r="J114" s="49" t="n">
        <x:v>166</x:v>
      </x:c>
      <x:c r="K114" s="47" t="n">
        <x:v>-170995</x:v>
      </x:c>
      <x:c r="L114" s="47" t="n">
        <x:v>74717.09090909091</x:v>
      </x:c>
      <x:c r="M114" s="48" t="n">
        <x:v>204.98611111111111</x:v>
      </x:c>
      <x:c r="N114" s="48" t="n">
        <x:v>127.22847222222221</x:v>
      </x:c>
      <x:c r="O114" s="49" t="n">
        <x:v>8</x:v>
      </x:c>
      <x:c r="P114" s="1" t="str">
        <x:v>価格と原板の合意で維持半減全返済</x:v>
      </x:c>
      <x:c r="Q114" s="49" t="n">
        <x:v>0</x:v>
      </x:c>
      <x:c r="R114" s="50" t="n">
        <x:v>0.26844843813593816</x:v>
      </x:c>
      <x:c r="S114" s="50" t="n">
        <x:v>0.2068755645889792</x:v>
      </x:c>
      <x:c r="T114" s="1" t="str">
        <x:v>上昇</x:v>
      </x:c>
      <x:c r="U114" s="49" t="n">
        <x:v>24</x:v>
      </x:c>
    </x:row>
    <x:row r="115" ht="22" customHeight="1">
      <x:c r="A115" s="1" t="str">
        <x:v>日経mini</x:v>
      </x:c>
      <x:c r="B115" s="1" t="str">
        <x:v>C05</x:v>
      </x:c>
      <x:c r="C115" s="1" t="str">
        <x:v>全50場</x:v>
      </x:c>
      <x:c r="D115" s="47" t="n">
        <x:v>3461601</x:v>
      </x:c>
      <x:c r="E115" s="47" t="n">
        <x:v>1952503</x:v>
      </x:c>
      <x:c r="F115" s="47" t="n">
        <x:f>D115-E115</x:f>
        <x:v>1509098</x:v>
      </x:c>
      <x:c r="G115" s="49" t="n">
        <x:v>17</x:v>
      </x:c>
      <x:c r="H115" s="49" t="n">
        <x:v>9</x:v>
      </x:c>
      <x:c r="I115" s="47" t="n">
        <x:v>580773</x:v>
      </x:c>
      <x:c r="J115" s="49" t="n">
        <x:v>177</x:v>
      </x:c>
      <x:c r="K115" s="47" t="n">
        <x:v>-159148</x:v>
      </x:c>
      <x:c r="L115" s="47" t="n">
        <x:v>53415.444444444445</x:v>
      </x:c>
      <x:c r="M115" s="48" t="n">
        <x:v>173.64679487179487</x:v>
      </x:c>
      <x:c r="N115" s="48" t="n">
        <x:v>143.0653846153846</x:v>
      </x:c>
      <x:c r="O115" s="49" t="n">
        <x:v>10</x:v>
      </x:c>
      <x:c r="P115" s="1" t="str">
        <x:v>価格と原板の合意で維持半減全返済</x:v>
      </x:c>
      <x:c r="Q115" s="49" t="n">
        <x:v>0</x:v>
      </x:c>
      <x:c r="R115" s="50" t="n">
        <x:v>0.3142230205691744</x:v>
      </x:c>
      <x:c r="S115" s="50" t="n">
        <x:v>0.24407480314960628</x:v>
      </x:c>
      <x:c r="T115" s="1" t="str">
        <x:v>下落</x:v>
      </x:c>
      <x:c r="U115" s="49" t="n">
        <x:v>26</x:v>
      </x:c>
    </x:row>
    <x:row r="116" ht="22" customHeight="1">
      <x:c r="A116" s="1" t="str">
        <x:v>日経mini</x:v>
      </x:c>
      <x:c r="B116" s="1" t="str">
        <x:v>C05</x:v>
      </x:c>
      <x:c r="C116" s="1" t="str">
        <x:v>対照47場</x:v>
      </x:c>
      <x:c r="D116" s="47" t="n">
        <x:v>5877654</x:v>
      </x:c>
      <x:c r="E116" s="47" t="n">
        <x:v>3522092</x:v>
      </x:c>
      <x:c r="F116" s="47" t="n">
        <x:f>D116-E116</x:f>
        <x:v>2355562</x:v>
      </x:c>
      <x:c r="G116" s="49" t="n">
        <x:v>29</x:v>
      </x:c>
      <x:c r="H116" s="49" t="n">
        <x:v>18</x:v>
      </x:c>
      <x:c r="I116" s="47" t="n">
        <x:v>1342082</x:v>
      </x:c>
      <x:c r="J116" s="49" t="n">
        <x:v>329</x:v>
      </x:c>
      <x:c r="K116" s="47" t="n">
        <x:v>-170995</x:v>
      </x:c>
      <x:c r="L116" s="47" t="n">
        <x:v>66159.11111111111</x:v>
      </x:c>
      <x:c r="M116" s="48" t="n">
        <x:v>183.38900709219854</x:v>
      </x:c>
      <x:c r="N116" s="48" t="n">
        <x:v>135.25957446808508</x:v>
      </x:c>
      <x:c r="O116" s="49" t="n">
        <x:v>10</x:v>
      </x:c>
      <x:c r="P116" s="1" t="str">
        <x:v>価格と原板の合意で維持半減全返済</x:v>
      </x:c>
      <x:c r="Q116" s="49" t="n">
        <x:v>0</x:v>
      </x:c>
      <x:c r="R116" s="50" t="n">
        <x:v>0.29420543995012083</x:v>
      </x:c>
      <x:c r="S116" s="50" t="n">
        <x:v>0.2268807994289793</x:v>
      </x:c>
      <x:c r="T116" s="1" t="str">
        <x:v>全場</x:v>
      </x:c>
      <x:c r="U116" s="49" t="n">
        <x:v>47</x:v>
      </x:c>
    </x:row>
    <x:row r="117" ht="22" customHeight="1">
      <x:c r="A117" s="1" t="str">
        <x:v>日経mini</x:v>
      </x:c>
      <x:c r="B117" s="1" t="str">
        <x:v>C05</x:v>
      </x:c>
      <x:c r="C117" s="1" t="str">
        <x:v>対照47場</x:v>
      </x:c>
      <x:c r="D117" s="47" t="n">
        <x:v>3736138</x:v>
      </x:c>
      <x:c r="E117" s="47" t="n">
        <x:v>2493412</x:v>
      </x:c>
      <x:c r="F117" s="47" t="n">
        <x:f>D117-E117</x:f>
        <x:v>1242726</x:v>
      </x:c>
      <x:c r="G117" s="49" t="n">
        <x:v>14</x:v>
      </x:c>
      <x:c r="H117" s="49" t="n">
        <x:v>10</x:v>
      </x:c>
      <x:c r="I117" s="47" t="n">
        <x:v>314401</x:v>
      </x:c>
      <x:c r="J117" s="49" t="n">
        <x:v>206</x:v>
      </x:c>
      <x:c r="K117" s="47" t="n">
        <x:v>-170995</x:v>
      </x:c>
      <x:c r="L117" s="47" t="n">
        <x:v>81580.1</x:v>
      </x:c>
      <x:c r="M117" s="48" t="n">
        <x:v>79.67847222222223</x:v>
      </x:c>
      <x:c r="N117" s="48" t="n">
        <x:v>215.26805555555555</x:v>
      </x:c>
      <x:c r="O117" s="49" t="n">
        <x:v>10</x:v>
      </x:c>
      <x:c r="P117" s="1" t="str">
        <x:v>価格と原板の合意で維持半減全返済</x:v>
      </x:c>
      <x:c r="Q117" s="49" t="n">
        <x:v>0</x:v>
      </x:c>
      <x:c r="R117" s="50" t="n">
        <x:v>0.5125429894179895</x:v>
      </x:c>
      <x:c r="S117" s="50" t="n">
        <x:v>0.5125429894179894</x:v>
      </x:c>
      <x:c r="T117" s="1" t="str">
        <x:v>デイ</x:v>
      </x:c>
      <x:c r="U117" s="49" t="n">
        <x:v>24</x:v>
      </x:c>
    </x:row>
    <x:row r="118" ht="22" customHeight="1">
      <x:c r="A118" s="1" t="str">
        <x:v>日経mini</x:v>
      </x:c>
      <x:c r="B118" s="1" t="str">
        <x:v>C05</x:v>
      </x:c>
      <x:c r="C118" s="1" t="str">
        <x:v>対照47場</x:v>
      </x:c>
      <x:c r="D118" s="47" t="n">
        <x:v>2141516</x:v>
      </x:c>
      <x:c r="E118" s="47" t="n">
        <x:v>1028680</x:v>
      </x:c>
      <x:c r="F118" s="47" t="n">
        <x:f>D118-E118</x:f>
        <x:v>1112836</x:v>
      </x:c>
      <x:c r="G118" s="49" t="n">
        <x:v>15</x:v>
      </x:c>
      <x:c r="H118" s="49" t="n">
        <x:v>8</x:v>
      </x:c>
      <x:c r="I118" s="47" t="n">
        <x:v>378280</x:v>
      </x:c>
      <x:c r="J118" s="49" t="n">
        <x:v>123</x:v>
      </x:c>
      <x:c r="K118" s="47" t="n">
        <x:v>-121461</x:v>
      </x:c>
      <x:c r="L118" s="47" t="n">
        <x:v>46882.875</x:v>
      </x:c>
      <x:c r="M118" s="48" t="n">
        <x:v>291.6086956521739</x:v>
      </x:c>
      <x:c r="N118" s="48" t="n">
        <x:v>51.77246376811594</x:v>
      </x:c>
      <x:c r="O118" s="49" t="n">
        <x:v>7</x:v>
      </x:c>
      <x:c r="P118" s="1" t="str">
        <x:v>価格と原板の合意で維持半減全返済</x:v>
      </x:c>
      <x:c r="Q118" s="49" t="n">
        <x:v>0</x:v>
      </x:c>
      <x:c r="R118" s="50" t="n">
        <x:v>0.06637495354886659</x:v>
      </x:c>
      <x:c r="S118" s="50" t="n">
        <x:v>0.06637495354886659</x:v>
      </x:c>
      <x:c r="T118" s="1" t="str">
        <x:v>ナイト</x:v>
      </x:c>
      <x:c r="U118" s="49" t="n">
        <x:v>23</x:v>
      </x:c>
    </x:row>
    <x:row r="119" ht="22" customHeight="1">
      <x:c r="A119" s="1" t="str">
        <x:v>日経mini</x:v>
      </x:c>
      <x:c r="B119" s="1" t="str">
        <x:v>C05</x:v>
      </x:c>
      <x:c r="C119" s="1" t="str">
        <x:v>対照47場</x:v>
      </x:c>
      <x:c r="D119" s="47" t="n">
        <x:v>2520669</x:v>
      </x:c>
      <x:c r="E119" s="47" t="n">
        <x:v>1659280</x:v>
      </x:c>
      <x:c r="F119" s="47" t="n">
        <x:f>D119-E119</x:f>
        <x:v>861389</x:v>
      </x:c>
      <x:c r="G119" s="49" t="n">
        <x:v>13</x:v>
      </x:c>
      <x:c r="H119" s="49" t="n">
        <x:v>9</x:v>
      </x:c>
      <x:c r="I119" s="47" t="n">
        <x:v>50526</x:v>
      </x:c>
      <x:c r="J119" s="49" t="n">
        <x:v>156</x:v>
      </x:c>
      <x:c r="K119" s="47" t="n">
        <x:v>-170995</x:v>
      </x:c>
      <x:c r="L119" s="47" t="n">
        <x:v>78902.77777777778</x:v>
      </x:c>
      <x:c r="M119" s="48" t="n">
        <x:v>202.93333333333337</x:v>
      </x:c>
      <x:c r="N119" s="48" t="n">
        <x:v>121.72803030303031</x:v>
      </x:c>
      <x:c r="O119" s="49" t="n">
        <x:v>8</x:v>
      </x:c>
      <x:c r="P119" s="1" t="str">
        <x:v>価格と原板の合意で維持半減全返済</x:v>
      </x:c>
      <x:c r="Q119" s="49" t="n">
        <x:v>0</x:v>
      </x:c>
      <x:c r="R119" s="50" t="n">
        <x:v>0.2595364357864358</x:v>
      </x:c>
      <x:c r="S119" s="50" t="n">
        <x:v>0.19749385447394296</x:v>
      </x:c>
      <x:c r="T119" s="1" t="str">
        <x:v>上昇</x:v>
      </x:c>
      <x:c r="U119" s="49" t="n">
        <x:v>22</x:v>
      </x:c>
    </x:row>
    <x:row r="120" ht="22" customHeight="1">
      <x:c r="A120" s="1" t="str">
        <x:v>日経mini</x:v>
      </x:c>
      <x:c r="B120" s="1" t="str">
        <x:v>C05</x:v>
      </x:c>
      <x:c r="C120" s="1" t="str">
        <x:v>対照47場</x:v>
      </x:c>
      <x:c r="D120" s="47" t="n">
        <x:v>3356985</x:v>
      </x:c>
      <x:c r="E120" s="47" t="n">
        <x:v>1862812</x:v>
      </x:c>
      <x:c r="F120" s="47" t="n">
        <x:f>D120-E120</x:f>
        <x:v>1494173</x:v>
      </x:c>
      <x:c r="G120" s="49" t="n">
        <x:v>16</x:v>
      </x:c>
      <x:c r="H120" s="49" t="n">
        <x:v>9</x:v>
      </x:c>
      <x:c r="I120" s="47" t="n">
        <x:v>565848</x:v>
      </x:c>
      <x:c r="J120" s="49" t="n">
        <x:v>173</x:v>
      </x:c>
      <x:c r="K120" s="47" t="n">
        <x:v>-159148</x:v>
      </x:c>
      <x:c r="L120" s="47" t="n">
        <x:v>53415.444444444445</x:v>
      </x:c>
      <x:c r="M120" s="48" t="n">
        <x:v>166.19</x:v>
      </x:c>
      <x:c r="N120" s="48" t="n">
        <x:v>147.16733333333332</x:v>
      </x:c>
      <x:c r="O120" s="49" t="n">
        <x:v>10</x:v>
      </x:c>
      <x:c r="P120" s="1" t="str">
        <x:v>価格と原板の合意で維持半減全返済</x:v>
      </x:c>
      <x:c r="Q120" s="49" t="n">
        <x:v>0</x:v>
      </x:c>
      <x:c r="R120" s="50" t="n">
        <x:v>0.3247141636141636</x:v>
      </x:c>
      <x:c r="S120" s="50" t="n">
        <x:v>0.25443868142000925</x:v>
      </x:c>
      <x:c r="T120" s="1" t="str">
        <x:v>下落</x:v>
      </x:c>
      <x:c r="U120" s="49" t="n">
        <x:v>25</x:v>
      </x:c>
    </x:row>
    <x:row r="121" ht="22" customHeight="1">
      <x:c r="A121" s="1" t="str">
        <x:v>日経mini</x:v>
      </x:c>
      <x:c r="B121" s="1" t="str">
        <x:v>C05</x:v>
      </x:c>
      <x:c r="C121" s="1" t="str">
        <x:v>診断3場</x:v>
      </x:c>
      <x:c r="D121" s="47" t="n">
        <x:v>150004</x:v>
      </x:c>
      <x:c r="E121" s="47" t="n">
        <x:v>246842</x:v>
      </x:c>
      <x:c r="F121" s="47" t="n">
        <x:f>D121-E121</x:f>
        <x:v>-96838</x:v>
      </x:c>
      <x:c r="G121" s="49" t="n">
        <x:v>1</x:v>
      </x:c>
      <x:c r="H121" s="49" t="n">
        <x:v>2</x:v>
      </x:c>
      <x:c r="I121" s="47" t="n">
        <x:v>-111763</x:v>
      </x:c>
      <x:c r="J121" s="49" t="n">
        <x:v>14</x:v>
      </x:c>
      <x:c r="K121" s="47" t="n">
        <x:v>-68920</x:v>
      </x:c>
      <x:c r="L121" s="47" t="n">
        <x:v>55881.5</x:v>
      </x:c>
      <x:c r="M121" s="48" t="n">
        <x:v>271.73333333333335</x:v>
      </x:c>
      <x:c r="N121" s="48" t="n">
        <x:v>138.66111111111113</x:v>
      </x:c>
      <x:c r="O121" s="49" t="n">
        <x:v>5</x:v>
      </x:c>
      <x:c r="P121" s="1" t="str">
        <x:v>価格と原板の合意で維持半減全返済</x:v>
      </x:c>
      <x:c r="Q121" s="49" t="n">
        <x:v>0</x:v>
      </x:c>
      <x:c r="R121" s="50" t="n">
        <x:v>0.26163512413512413</x:v>
      </x:c>
      <x:c r="S121" s="50" t="n">
        <x:v>0.2100925925925926</x:v>
      </x:c>
      <x:c r="T121" s="1" t="str">
        <x:v>全場</x:v>
      </x:c>
      <x:c r="U121" s="49" t="n">
        <x:v>3</x:v>
      </x:c>
    </x:row>
    <x:row r="122" ht="22" customHeight="1">
      <x:c r="A122" s="1" t="str">
        <x:v>日経mini</x:v>
      </x:c>
      <x:c r="B122" s="1" t="str">
        <x:v>C05</x:v>
      </x:c>
      <x:c r="C122" s="1" t="str">
        <x:v>診断3場</x:v>
      </x:c>
      <x:c r="D122" s="47" t="n">
        <x:v>32847</x:v>
      </x:c>
      <x:c r="E122" s="47" t="n">
        <x:v>101767</x:v>
      </x:c>
      <x:c r="F122" s="47" t="n">
        <x:f>D122-E122</x:f>
        <x:v>-68920</x:v>
      </x:c>
      <x:c r="G122" s="49" t="n">
        <x:v>0</x:v>
      </x:c>
      <x:c r="H122" s="49" t="n">
        <x:v>1</x:v>
      </x:c>
      <x:c r="I122" s="47" t="n">
        <x:v>-68920</x:v>
      </x:c>
      <x:c r="J122" s="49" t="n">
        <x:v>5</x:v>
      </x:c>
      <x:c r="K122" s="47" t="n">
        <x:v>-68920</x:v>
      </x:c>
      <x:c r="L122" s="47" t="n">
        <x:v>68920</x:v>
      </x:c>
      <x:c r="M122" s="48" t="n">
        <x:v>95.1</x:v>
      </x:c>
      <x:c r="N122" s="48" t="n">
        <x:v>228.95</x:v>
      </x:c>
      <x:c r="O122" s="49" t="n">
        <x:v>5</x:v>
      </x:c>
      <x:c r="P122" s="1" t="str">
        <x:v>価格と原板の合意で維持半減全返済</x:v>
      </x:c>
      <x:c r="Q122" s="49" t="n">
        <x:v>0</x:v>
      </x:c>
      <x:c r="R122" s="50" t="n">
        <x:v>0.5451190476190476</x:v>
      </x:c>
      <x:c r="S122" s="50" t="n">
        <x:v>0.5451190476190476</x:v>
      </x:c>
      <x:c r="T122" s="1" t="str">
        <x:v>デイ</x:v>
      </x:c>
      <x:c r="U122" s="49" t="n">
        <x:v>1</x:v>
      </x:c>
    </x:row>
    <x:row r="123" ht="22" customHeight="1">
      <x:c r="A123" s="1" t="str">
        <x:v>日経mini</x:v>
      </x:c>
      <x:c r="B123" s="1" t="str">
        <x:v>C05</x:v>
      </x:c>
      <x:c r="C123" s="1" t="str">
        <x:v>診断3場</x:v>
      </x:c>
      <x:c r="D123" s="47" t="n">
        <x:v>117157</x:v>
      </x:c>
      <x:c r="E123" s="47" t="n">
        <x:v>145075</x:v>
      </x:c>
      <x:c r="F123" s="47" t="n">
        <x:f>D123-E123</x:f>
        <x:v>-27918</x:v>
      </x:c>
      <x:c r="G123" s="49" t="n">
        <x:v>1</x:v>
      </x:c>
      <x:c r="H123" s="49" t="n">
        <x:v>1</x:v>
      </x:c>
      <x:c r="I123" s="47" t="n">
        <x:v>-42843</x:v>
      </x:c>
      <x:c r="J123" s="49" t="n">
        <x:v>9</x:v>
      </x:c>
      <x:c r="K123" s="47" t="n">
        <x:v>-42843</x:v>
      </x:c>
      <x:c r="L123" s="47" t="n">
        <x:v>42843</x:v>
      </x:c>
      <x:c r="M123" s="48" t="n">
        <x:v>360.05</x:v>
      </x:c>
      <x:c r="N123" s="48" t="n">
        <x:v>93.51666666666668</x:v>
      </x:c>
      <x:c r="O123" s="49" t="n">
        <x:v>5</x:v>
      </x:c>
      <x:c r="P123" s="1" t="str">
        <x:v>価格と原板の合意で維持半減全返済</x:v>
      </x:c>
      <x:c r="Q123" s="49" t="n">
        <x:v>0</x:v>
      </x:c>
      <x:c r="R123" s="50" t="n">
        <x:v>0.11989316239316239</x:v>
      </x:c>
      <x:c r="S123" s="50" t="n">
        <x:v>0.11989316239316242</x:v>
      </x:c>
      <x:c r="T123" s="1" t="str">
        <x:v>ナイト</x:v>
      </x:c>
      <x:c r="U123" s="49" t="n">
        <x:v>2</x:v>
      </x:c>
    </x:row>
    <x:row r="124" ht="22" customHeight="1">
      <x:c r="A124" s="1" t="str">
        <x:v>日経mini</x:v>
      </x:c>
      <x:c r="B124" s="1" t="str">
        <x:v>C05</x:v>
      </x:c>
      <x:c r="C124" s="1" t="str">
        <x:v>診断3場</x:v>
      </x:c>
      <x:c r="D124" s="47" t="n">
        <x:v>45388</x:v>
      </x:c>
      <x:c r="E124" s="47" t="n">
        <x:v>157151</x:v>
      </x:c>
      <x:c r="F124" s="47" t="n">
        <x:f>D124-E124</x:f>
        <x:v>-111763</x:v>
      </x:c>
      <x:c r="G124" s="49" t="n">
        <x:v>0</x:v>
      </x:c>
      <x:c r="H124" s="49" t="n">
        <x:v>2</x:v>
      </x:c>
      <x:c r="I124" s="47" t="n">
        <x:v>-111763</x:v>
      </x:c>
      <x:c r="J124" s="49" t="n">
        <x:v>10</x:v>
      </x:c>
      <x:c r="K124" s="47" t="n">
        <x:v>-68920</x:v>
      </x:c>
      <x:c r="L124" s="47" t="n">
        <x:v>55881.5</x:v>
      </x:c>
      <x:c r="M124" s="48" t="n">
        <x:v>227.56666666666666</x:v>
      </x:c>
      <x:c r="N124" s="48" t="n">
        <x:v>187.73333333333335</x:v>
      </x:c>
      <x:c r="O124" s="49" t="n">
        <x:v>5</x:v>
      </x:c>
      <x:c r="P124" s="1" t="str">
        <x:v>価格と原板の合意で維持半減全返済</x:v>
      </x:c>
      <x:c r="Q124" s="49" t="n">
        <x:v>0</x:v>
      </x:c>
      <x:c r="R124" s="50" t="n">
        <x:v>0.36648046398046397</x:v>
      </x:c>
      <x:c r="S124" s="50" t="n">
        <x:v>0.31288888888888894</x:v>
      </x:c>
      <x:c r="T124" s="1" t="str">
        <x:v>上昇</x:v>
      </x:c>
      <x:c r="U124" s="49" t="n">
        <x:v>2</x:v>
      </x:c>
    </x:row>
    <x:row r="125" ht="22" customHeight="1">
      <x:c r="A125" s="1" t="str">
        <x:v>日経mini</x:v>
      </x:c>
      <x:c r="B125" s="1" t="str">
        <x:v>C05</x:v>
      </x:c>
      <x:c r="C125" s="1" t="str">
        <x:v>診断3場</x:v>
      </x:c>
      <x:c r="D125" s="47" t="n">
        <x:v>104616</x:v>
      </x:c>
      <x:c r="E125" s="47" t="n">
        <x:v>89691</x:v>
      </x:c>
      <x:c r="F125" s="47" t="n">
        <x:f>D125-E125</x:f>
        <x:v>14925</x:v>
      </x:c>
      <x:c r="G125" s="49" t="n">
        <x:v>1</x:v>
      </x:c>
      <x:c r="H125" s="49" t="n">
        <x:v>0</x:v>
      </x:c>
      <x:c r="I125" s="47" t="n">
        <x:v>0</x:v>
      </x:c>
      <x:c r="J125" s="49" t="n">
        <x:v>4</x:v>
      </x:c>
      <x:c r="K125" s="47" t="n">
        <x:v>14925</x:v>
      </x:c>
      <x:c r="L125" s="47" t="n">
        <x:v>0</x:v>
      </x:c>
      <x:c r="M125" s="48" t="n">
        <x:v>360.06666666666666</x:v>
      </x:c>
      <x:c r="N125" s="48" t="n">
        <x:v>40.516666666666666</x:v>
      </x:c>
      <x:c r="O125" s="49" t="n">
        <x:v>5</x:v>
      </x:c>
      <x:c r="P125" s="1" t="str">
        <x:v>価格と原板の合意で維持半減全返済</x:v>
      </x:c>
      <x:c r="Q125" s="49" t="n">
        <x:v>0</x:v>
      </x:c>
      <x:c r="R125" s="50" t="n">
        <x:v>0.051944444444444446</x:v>
      </x:c>
      <x:c r="S125" s="50" t="n">
        <x:v>0.051944444444444446</x:v>
      </x:c>
      <x:c r="T125" s="1" t="str">
        <x:v>下落</x:v>
      </x:c>
      <x:c r="U125" s="49" t="n">
        <x:v>1</x:v>
      </x:c>
    </x:row>
    <x:row r="126" ht="22" customHeight="1">
      <x:c r="A126" s="1" t="str">
        <x:v>日経mini</x:v>
      </x:c>
      <x:c r="B126" s="1" t="str">
        <x:v>C06</x:v>
      </x:c>
      <x:c r="C126" s="1" t="str">
        <x:v>全50場</x:v>
      </x:c>
      <x:c r="D126" s="47" t="n">
        <x:v>6329209</x:v>
      </x:c>
      <x:c r="E126" s="47" t="n">
        <x:v>3866110</x:v>
      </x:c>
      <x:c r="F126" s="47" t="n">
        <x:f>D126-E126</x:f>
        <x:v>2463099</x:v>
      </x:c>
      <x:c r="G126" s="49" t="n">
        <x:v>30</x:v>
      </x:c>
      <x:c r="H126" s="49" t="n">
        <x:v>20</x:v>
      </x:c>
      <x:c r="I126" s="47" t="n">
        <x:v>1464699</x:v>
      </x:c>
      <x:c r="J126" s="49" t="n">
        <x:v>358</x:v>
      </x:c>
      <x:c r="K126" s="47" t="n">
        <x:v>-171225</x:v>
      </x:c>
      <x:c r="L126" s="47" t="n">
        <x:v>60081.55</x:v>
      </x:c>
      <x:c r="M126" s="48" t="n">
        <x:v>188.68966666666668</x:v>
      </x:c>
      <x:c r="N126" s="48" t="n">
        <x:v>143.66733333333332</x:v>
      </x:c>
      <x:c r="O126" s="49" t="n">
        <x:v>10</x:v>
      </x:c>
      <x:c r="P126" s="1" t="str">
        <x:v>利益進捗で維持半減全返済</x:v>
      </x:c>
      <x:c r="Q126" s="49" t="n">
        <x:v>0</x:v>
      </x:c>
      <x:c r="R126" s="50" t="n">
        <x:v>0.3117837606837607</x:v>
      </x:c>
      <x:c r="S126" s="50" t="n">
        <x:v>0.23944555555555555</x:v>
      </x:c>
      <x:c r="T126" s="1" t="str">
        <x:v>全場</x:v>
      </x:c>
      <x:c r="U126" s="49" t="n">
        <x:v>50</x:v>
      </x:c>
    </x:row>
    <x:row r="127" ht="22" customHeight="1">
      <x:c r="A127" s="1" t="str">
        <x:v>日経mini</x:v>
      </x:c>
      <x:c r="B127" s="1" t="str">
        <x:v>C06</x:v>
      </x:c>
      <x:c r="C127" s="1" t="str">
        <x:v>全50場</x:v>
      </x:c>
      <x:c r="D127" s="47" t="n">
        <x:v>4070536</x:v>
      </x:c>
      <x:c r="E127" s="47" t="n">
        <x:v>2621198</x:v>
      </x:c>
      <x:c r="F127" s="47" t="n">
        <x:f>D127-E127</x:f>
        <x:v>1449338</x:v>
      </x:c>
      <x:c r="G127" s="49" t="n">
        <x:v>16</x:v>
      </x:c>
      <x:c r="H127" s="49" t="n">
        <x:v>9</x:v>
      </x:c>
      <x:c r="I127" s="47" t="n">
        <x:v>542170</x:v>
      </x:c>
      <x:c r="J127" s="49" t="n">
        <x:v>224</x:v>
      </x:c>
      <x:c r="K127" s="47" t="n">
        <x:v>-171225</x:v>
      </x:c>
      <x:c r="L127" s="47" t="n">
        <x:v>83807.55555555556</x:v>
      </x:c>
      <x:c r="M127" s="48" t="n">
        <x:v>80.29533333333333</x:v>
      </x:c>
      <x:c r="N127" s="48" t="n">
        <x:v>232.22266666666667</x:v>
      </x:c>
      <x:c r="O127" s="49" t="n">
        <x:v>10</x:v>
      </x:c>
      <x:c r="P127" s="1" t="str">
        <x:v>利益進捗で維持半減全返済</x:v>
      </x:c>
      <x:c r="Q127" s="49" t="n">
        <x:v>0</x:v>
      </x:c>
      <x:c r="R127" s="50" t="n">
        <x:v>0.5529111111111111</x:v>
      </x:c>
      <x:c r="S127" s="50" t="n">
        <x:v>0.5529111111111111</x:v>
      </x:c>
      <x:c r="T127" s="1" t="str">
        <x:v>デイ</x:v>
      </x:c>
      <x:c r="U127" s="49" t="n">
        <x:v>25</x:v>
      </x:c>
    </x:row>
    <x:row r="128" ht="22" customHeight="1">
      <x:c r="A128" s="1" t="str">
        <x:v>日経mini</x:v>
      </x:c>
      <x:c r="B128" s="1" t="str">
        <x:v>C06</x:v>
      </x:c>
      <x:c r="C128" s="1" t="str">
        <x:v>全50場</x:v>
      </x:c>
      <x:c r="D128" s="47" t="n">
        <x:v>2258673</x:v>
      </x:c>
      <x:c r="E128" s="47" t="n">
        <x:v>1244912</x:v>
      </x:c>
      <x:c r="F128" s="47" t="n">
        <x:f>D128-E128</x:f>
        <x:v>1013761</x:v>
      </x:c>
      <x:c r="G128" s="49" t="n">
        <x:v>14</x:v>
      </x:c>
      <x:c r="H128" s="49" t="n">
        <x:v>11</x:v>
      </x:c>
      <x:c r="I128" s="47" t="n">
        <x:v>279205</x:v>
      </x:c>
      <x:c r="J128" s="49" t="n">
        <x:v>134</x:v>
      </x:c>
      <x:c r="K128" s="47" t="n">
        <x:v>-124462</x:v>
      </x:c>
      <x:c r="L128" s="47" t="n">
        <x:v>40669.36363636364</x:v>
      </x:c>
      <x:c r="M128" s="48" t="n">
        <x:v>297.084</x:v>
      </x:c>
      <x:c r="N128" s="48" t="n">
        <x:v>55.111999999999995</x:v>
      </x:c>
      <x:c r="O128" s="49" t="n">
        <x:v>7</x:v>
      </x:c>
      <x:c r="P128" s="1" t="str">
        <x:v>利益進捗で維持半減全返済</x:v>
      </x:c>
      <x:c r="Q128" s="49" t="n">
        <x:v>0</x:v>
      </x:c>
      <x:c r="R128" s="50" t="n">
        <x:v>0.07065641025641027</x:v>
      </x:c>
      <x:c r="S128" s="50" t="n">
        <x:v>0.07065641025641026</x:v>
      </x:c>
      <x:c r="T128" s="1" t="str">
        <x:v>ナイト</x:v>
      </x:c>
      <x:c r="U128" s="49" t="n">
        <x:v>25</x:v>
      </x:c>
    </x:row>
    <x:row r="129" ht="22" customHeight="1">
      <x:c r="A129" s="1" t="str">
        <x:v>日経mini</x:v>
      </x:c>
      <x:c r="B129" s="1" t="str">
        <x:v>C06</x:v>
      </x:c>
      <x:c r="C129" s="1" t="str">
        <x:v>全50場</x:v>
      </x:c>
      <x:c r="D129" s="47" t="n">
        <x:v>2760448</x:v>
      </x:c>
      <x:c r="E129" s="47" t="n">
        <x:v>1831823</x:v>
      </x:c>
      <x:c r="F129" s="47" t="n">
        <x:f>D129-E129</x:f>
        <x:v>928625</x:v>
      </x:c>
      <x:c r="G129" s="49" t="n">
        <x:v>13</x:v>
      </x:c>
      <x:c r="H129" s="49" t="n">
        <x:v>11</x:v>
      </x:c>
      <x:c r="I129" s="47" t="n">
        <x:v>21838</x:v>
      </x:c>
      <x:c r="J129" s="49" t="n">
        <x:v>171</x:v>
      </x:c>
      <x:c r="K129" s="47" t="n">
        <x:v>-152148</x:v>
      </x:c>
      <x:c r="L129" s="47" t="n">
        <x:v>69758.81818181818</x:v>
      </x:c>
      <x:c r="M129" s="48" t="n">
        <x:v>204.98611111111111</x:v>
      </x:c>
      <x:c r="N129" s="48" t="n">
        <x:v>140.03194444444443</x:v>
      </x:c>
      <x:c r="O129" s="49" t="n">
        <x:v>10</x:v>
      </x:c>
      <x:c r="P129" s="1" t="str">
        <x:v>利益進捗で維持半減全返済</x:v>
      </x:c>
      <x:c r="Q129" s="49" t="n">
        <x:v>0</x:v>
      </x:c>
      <x:c r="R129" s="50" t="n">
        <x:v>0.29893289580789584</x:v>
      </x:c>
      <x:c r="S129" s="50" t="n">
        <x:v>0.22769421860885278</x:v>
      </x:c>
      <x:c r="T129" s="1" t="str">
        <x:v>上昇</x:v>
      </x:c>
      <x:c r="U129" s="49" t="n">
        <x:v>24</x:v>
      </x:c>
    </x:row>
    <x:row r="130" ht="22" customHeight="1">
      <x:c r="A130" s="1" t="str">
        <x:v>日経mini</x:v>
      </x:c>
      <x:c r="B130" s="1" t="str">
        <x:v>C06</x:v>
      </x:c>
      <x:c r="C130" s="1" t="str">
        <x:v>全50場</x:v>
      </x:c>
      <x:c r="D130" s="47" t="n">
        <x:v>3568761</x:v>
      </x:c>
      <x:c r="E130" s="47" t="n">
        <x:v>2034287</x:v>
      </x:c>
      <x:c r="F130" s="47" t="n">
        <x:f>D130-E130</x:f>
        <x:v>1534474</x:v>
      </x:c>
      <x:c r="G130" s="49" t="n">
        <x:v>17</x:v>
      </x:c>
      <x:c r="H130" s="49" t="n">
        <x:v>9</x:v>
      </x:c>
      <x:c r="I130" s="47" t="n">
        <x:v>627306</x:v>
      </x:c>
      <x:c r="J130" s="49" t="n">
        <x:v>187</x:v>
      </x:c>
      <x:c r="K130" s="47" t="n">
        <x:v>-171225</x:v>
      </x:c>
      <x:c r="L130" s="47" t="n">
        <x:v>48253.77777777778</x:v>
      </x:c>
      <x:c r="M130" s="48" t="n">
        <x:v>173.64679487179487</x:v>
      </x:c>
      <x:c r="N130" s="48" t="n">
        <x:v>147.02307692307693</x:v>
      </x:c>
      <x:c r="O130" s="49" t="n">
        <x:v>10</x:v>
      </x:c>
      <x:c r="P130" s="1" t="str">
        <x:v>利益進捗で維持半減全返済</x:v>
      </x:c>
      <x:c r="Q130" s="49" t="n">
        <x:v>0</x:v>
      </x:c>
      <x:c r="R130" s="50" t="n">
        <x:v>0.3236460974922514</x:v>
      </x:c>
      <x:c r="S130" s="50" t="n">
        <x:v>0.2508267716535433</x:v>
      </x:c>
      <x:c r="T130" s="1" t="str">
        <x:v>下落</x:v>
      </x:c>
      <x:c r="U130" s="49" t="n">
        <x:v>26</x:v>
      </x:c>
    </x:row>
    <x:row r="131" ht="22" customHeight="1">
      <x:c r="A131" s="1" t="str">
        <x:v>日経mini</x:v>
      </x:c>
      <x:c r="B131" s="1" t="str">
        <x:v>C06</x:v>
      </x:c>
      <x:c r="C131" s="1" t="str">
        <x:v>対照47場</x:v>
      </x:c>
      <x:c r="D131" s="47" t="n">
        <x:v>6151205</x:v>
      </x:c>
      <x:c r="E131" s="47" t="n">
        <x:v>3580115</x:v>
      </x:c>
      <x:c r="F131" s="47" t="n">
        <x:f>D131-E131</x:f>
        <x:v>2571090</x:v>
      </x:c>
      <x:c r="G131" s="49" t="n">
        <x:v>30</x:v>
      </x:c>
      <x:c r="H131" s="49" t="n">
        <x:v>17</x:v>
      </x:c>
      <x:c r="I131" s="47" t="n">
        <x:v>1572690</x:v>
      </x:c>
      <x:c r="J131" s="49" t="n">
        <x:v>342</x:v>
      </x:c>
      <x:c r="K131" s="47" t="n">
        <x:v>-171225</x:v>
      </x:c>
      <x:c r="L131" s="47" t="n">
        <x:v>64331.76470588235</x:v>
      </x:c>
      <x:c r="M131" s="48" t="n">
        <x:v>183.38900709219854</x:v>
      </x:c>
      <x:c r="N131" s="48" t="n">
        <x:v>143.9868794326241</x:v>
      </x:c>
      <x:c r="O131" s="49" t="n">
        <x:v>10</x:v>
      </x:c>
      <x:c r="P131" s="1" t="str">
        <x:v>利益進捗で維持半減全返済</x:v>
      </x:c>
      <x:c r="Q131" s="49" t="n">
        <x:v>0</x:v>
      </x:c>
      <x:c r="R131" s="50" t="n">
        <x:v>0.3149847374847375</x:v>
      </x:c>
      <x:c r="S131" s="50" t="n">
        <x:v>0.24151974779919105</x:v>
      </x:c>
      <x:c r="T131" s="1" t="str">
        <x:v>全場</x:v>
      </x:c>
      <x:c r="U131" s="49" t="n">
        <x:v>47</x:v>
      </x:c>
    </x:row>
    <x:row r="132" ht="22" customHeight="1">
      <x:c r="A132" s="1" t="str">
        <x:v>日経mini</x:v>
      </x:c>
      <x:c r="B132" s="1" t="str">
        <x:v>C06</x:v>
      </x:c>
      <x:c r="C132" s="1" t="str">
        <x:v>対照47場</x:v>
      </x:c>
      <x:c r="D132" s="47" t="n">
        <x:v>4009689</x:v>
      </x:c>
      <x:c r="E132" s="47" t="n">
        <x:v>2519431</x:v>
      </x:c>
      <x:c r="F132" s="47" t="n">
        <x:f>D132-E132</x:f>
        <x:v>1490258</x:v>
      </x:c>
      <x:c r="G132" s="49" t="n">
        <x:v>16</x:v>
      </x:c>
      <x:c r="H132" s="49" t="n">
        <x:v>8</x:v>
      </x:c>
      <x:c r="I132" s="47" t="n">
        <x:v>583090</x:v>
      </x:c>
      <x:c r="J132" s="49" t="n">
        <x:v>219</x:v>
      </x:c>
      <x:c r="K132" s="47" t="n">
        <x:v>-171225</x:v>
      </x:c>
      <x:c r="L132" s="47" t="n">
        <x:v>89168.5</x:v>
      </x:c>
      <x:c r="M132" s="48" t="n">
        <x:v>79.67847222222223</x:v>
      </x:c>
      <x:c r="N132" s="48" t="n">
        <x:v>232.35902777777778</x:v>
      </x:c>
      <x:c r="O132" s="49" t="n">
        <x:v>10</x:v>
      </x:c>
      <x:c r="P132" s="1" t="str">
        <x:v>利益進捗で維持半減全返済</x:v>
      </x:c>
      <x:c r="Q132" s="49" t="n">
        <x:v>0</x:v>
      </x:c>
      <x:c r="R132" s="50" t="n">
        <x:v>0.5532357804232805</x:v>
      </x:c>
      <x:c r="S132" s="50" t="n">
        <x:v>0.5532357804232805</x:v>
      </x:c>
      <x:c r="T132" s="1" t="str">
        <x:v>デイ</x:v>
      </x:c>
      <x:c r="U132" s="49" t="n">
        <x:v>24</x:v>
      </x:c>
    </x:row>
    <x:row r="133" ht="22" customHeight="1">
      <x:c r="A133" s="1" t="str">
        <x:v>日経mini</x:v>
      </x:c>
      <x:c r="B133" s="1" t="str">
        <x:v>C06</x:v>
      </x:c>
      <x:c r="C133" s="1" t="str">
        <x:v>対照47場</x:v>
      </x:c>
      <x:c r="D133" s="47" t="n">
        <x:v>2141516</x:v>
      </x:c>
      <x:c r="E133" s="47" t="n">
        <x:v>1060684</x:v>
      </x:c>
      <x:c r="F133" s="47" t="n">
        <x:f>D133-E133</x:f>
        <x:v>1080832</x:v>
      </x:c>
      <x:c r="G133" s="49" t="n">
        <x:v>14</x:v>
      </x:c>
      <x:c r="H133" s="49" t="n">
        <x:v>9</x:v>
      </x:c>
      <x:c r="I133" s="47" t="n">
        <x:v>346276</x:v>
      </x:c>
      <x:c r="J133" s="49" t="n">
        <x:v>123</x:v>
      </x:c>
      <x:c r="K133" s="47" t="n">
        <x:v>-124462</x:v>
      </x:c>
      <x:c r="L133" s="47" t="n">
        <x:v>42254.666666666664</x:v>
      </x:c>
      <x:c r="M133" s="48" t="n">
        <x:v>291.6086956521739</x:v>
      </x:c>
      <x:c r="N133" s="48" t="n">
        <x:v>51.77246376811594</x:v>
      </x:c>
      <x:c r="O133" s="49" t="n">
        <x:v>7</x:v>
      </x:c>
      <x:c r="P133" s="1" t="str">
        <x:v>利益進捗で維持半減全返済</x:v>
      </x:c>
      <x:c r="Q133" s="49" t="n">
        <x:v>0</x:v>
      </x:c>
      <x:c r="R133" s="50" t="n">
        <x:v>0.06637495354886659</x:v>
      </x:c>
      <x:c r="S133" s="50" t="n">
        <x:v>0.06637495354886659</x:v>
      </x:c>
      <x:c r="T133" s="1" t="str">
        <x:v>ナイト</x:v>
      </x:c>
      <x:c r="U133" s="49" t="n">
        <x:v>23</x:v>
      </x:c>
    </x:row>
    <x:row r="134" ht="22" customHeight="1">
      <x:c r="A134" s="1" t="str">
        <x:v>日経mini</x:v>
      </x:c>
      <x:c r="B134" s="1" t="str">
        <x:v>C06</x:v>
      </x:c>
      <x:c r="C134" s="1" t="str">
        <x:v>対照47場</x:v>
      </x:c>
      <x:c r="D134" s="47" t="n">
        <x:v>2687060</x:v>
      </x:c>
      <x:c r="E134" s="47" t="n">
        <x:v>1674672</x:v>
      </x:c>
      <x:c r="F134" s="47" t="n">
        <x:f>D134-E134</x:f>
        <x:v>1012388</x:v>
      </x:c>
      <x:c r="G134" s="49" t="n">
        <x:v>13</x:v>
      </x:c>
      <x:c r="H134" s="49" t="n">
        <x:v>9</x:v>
      </x:c>
      <x:c r="I134" s="47" t="n">
        <x:v>105601</x:v>
      </x:c>
      <x:c r="J134" s="49" t="n">
        <x:v>161</x:v>
      </x:c>
      <x:c r="K134" s="47" t="n">
        <x:v>-152148</x:v>
      </x:c>
      <x:c r="L134" s="47" t="n">
        <x:v>75953.77777777778</x:v>
      </x:c>
      <x:c r="M134" s="48" t="n">
        <x:v>202.93333333333337</x:v>
      </x:c>
      <x:c r="N134" s="48" t="n">
        <x:v>135.69545454545454</x:v>
      </x:c>
      <x:c r="O134" s="49" t="n">
        <x:v>10</x:v>
      </x:c>
      <x:c r="P134" s="1" t="str">
        <x:v>利益進捗で維持半減全返済</x:v>
      </x:c>
      <x:c r="Q134" s="49" t="n">
        <x:v>0</x:v>
      </x:c>
      <x:c r="R134" s="50" t="n">
        <x:v>0.29279220779220777</x:v>
      </x:c>
      <x:c r="S134" s="50" t="n">
        <x:v>0.2201548672566372</x:v>
      </x:c>
      <x:c r="T134" s="1" t="str">
        <x:v>上昇</x:v>
      </x:c>
      <x:c r="U134" s="49" t="n">
        <x:v>22</x:v>
      </x:c>
    </x:row>
    <x:row r="135" ht="22" customHeight="1">
      <x:c r="A135" s="1" t="str">
        <x:v>日経mini</x:v>
      </x:c>
      <x:c r="B135" s="1" t="str">
        <x:v>C06</x:v>
      </x:c>
      <x:c r="C135" s="1" t="str">
        <x:v>対照47場</x:v>
      </x:c>
      <x:c r="D135" s="47" t="n">
        <x:v>3464145</x:v>
      </x:c>
      <x:c r="E135" s="47" t="n">
        <x:v>1905443</x:v>
      </x:c>
      <x:c r="F135" s="47" t="n">
        <x:f>D135-E135</x:f>
        <x:v>1558702</x:v>
      </x:c>
      <x:c r="G135" s="49" t="n">
        <x:v>17</x:v>
      </x:c>
      <x:c r="H135" s="49" t="n">
        <x:v>8</x:v>
      </x:c>
      <x:c r="I135" s="47" t="n">
        <x:v>651534</x:v>
      </x:c>
      <x:c r="J135" s="49" t="n">
        <x:v>181</x:v>
      </x:c>
      <x:c r="K135" s="47" t="n">
        <x:v>-171225</x:v>
      </x:c>
      <x:c r="L135" s="47" t="n">
        <x:v>51257</x:v>
      </x:c>
      <x:c r="M135" s="48" t="n">
        <x:v>166.19</x:v>
      </x:c>
      <x:c r="N135" s="48" t="n">
        <x:v>151.28333333333333</x:v>
      </x:c>
      <x:c r="O135" s="49" t="n">
        <x:v>10</x:v>
      </x:c>
      <x:c r="P135" s="1" t="str">
        <x:v>利益進捗で維持半減全返済</x:v>
      </x:c>
      <x:c r="Q135" s="49" t="n">
        <x:v>0</x:v>
      </x:c>
      <x:c r="R135" s="50" t="n">
        <x:v>0.33451416361416364</x:v>
      </x:c>
      <x:c r="S135" s="50" t="n">
        <x:v>0.26155486399262334</x:v>
      </x:c>
      <x:c r="T135" s="1" t="str">
        <x:v>下落</x:v>
      </x:c>
      <x:c r="U135" s="49" t="n">
        <x:v>25</x:v>
      </x:c>
    </x:row>
    <x:row r="136" ht="22" customHeight="1">
      <x:c r="A136" s="1" t="str">
        <x:v>日経mini</x:v>
      </x:c>
      <x:c r="B136" s="1" t="str">
        <x:v>C06</x:v>
      </x:c>
      <x:c r="C136" s="1" t="str">
        <x:v>診断3場</x:v>
      </x:c>
      <x:c r="D136" s="47" t="n">
        <x:v>178004</x:v>
      </x:c>
      <x:c r="E136" s="47" t="n">
        <x:v>285995</x:v>
      </x:c>
      <x:c r="F136" s="47" t="n">
        <x:f>D136-E136</x:f>
        <x:v>-107991</x:v>
      </x:c>
      <x:c r="G136" s="49" t="n">
        <x:v>0</x:v>
      </x:c>
      <x:c r="H136" s="49" t="n">
        <x:v>3</x:v>
      </x:c>
      <x:c r="I136" s="47" t="n">
        <x:v>-107991</x:v>
      </x:c>
      <x:c r="J136" s="49" t="n">
        <x:v>16</x:v>
      </x:c>
      <x:c r="K136" s="47" t="n">
        <x:v>-42843</x:v>
      </x:c>
      <x:c r="L136" s="47" t="n">
        <x:v>35997</x:v>
      </x:c>
      <x:c r="M136" s="48" t="n">
        <x:v>271.73333333333335</x:v>
      </x:c>
      <x:c r="N136" s="48" t="n">
        <x:v>138.66111111111113</x:v>
      </x:c>
      <x:c r="O136" s="49" t="n">
        <x:v>5</x:v>
      </x:c>
      <x:c r="P136" s="1" t="str">
        <x:v>利益進捗で維持半減全返済</x:v>
      </x:c>
      <x:c r="Q136" s="49" t="n">
        <x:v>0</x:v>
      </x:c>
      <x:c r="R136" s="50" t="n">
        <x:v>0.26163512413512413</x:v>
      </x:c>
      <x:c r="S136" s="50" t="n">
        <x:v>0.2100925925925926</x:v>
      </x:c>
      <x:c r="T136" s="1" t="str">
        <x:v>全場</x:v>
      </x:c>
      <x:c r="U136" s="49" t="n">
        <x:v>3</x:v>
      </x:c>
    </x:row>
    <x:row r="137" ht="22" customHeight="1">
      <x:c r="A137" s="1" t="str">
        <x:v>日経mini</x:v>
      </x:c>
      <x:c r="B137" s="1" t="str">
        <x:v>C06</x:v>
      </x:c>
      <x:c r="C137" s="1" t="str">
        <x:v>診断3場</x:v>
      </x:c>
      <x:c r="D137" s="47" t="n">
        <x:v>60847</x:v>
      </x:c>
      <x:c r="E137" s="47" t="n">
        <x:v>101767</x:v>
      </x:c>
      <x:c r="F137" s="47" t="n">
        <x:f>D137-E137</x:f>
        <x:v>-40920</x:v>
      </x:c>
      <x:c r="G137" s="49" t="n">
        <x:v>0</x:v>
      </x:c>
      <x:c r="H137" s="49" t="n">
        <x:v>1</x:v>
      </x:c>
      <x:c r="I137" s="47" t="n">
        <x:v>-40920</x:v>
      </x:c>
      <x:c r="J137" s="49" t="n">
        <x:v>5</x:v>
      </x:c>
      <x:c r="K137" s="47" t="n">
        <x:v>-40920</x:v>
      </x:c>
      <x:c r="L137" s="47" t="n">
        <x:v>40920</x:v>
      </x:c>
      <x:c r="M137" s="48" t="n">
        <x:v>95.1</x:v>
      </x:c>
      <x:c r="N137" s="48" t="n">
        <x:v>228.95</x:v>
      </x:c>
      <x:c r="O137" s="49" t="n">
        <x:v>5</x:v>
      </x:c>
      <x:c r="P137" s="1" t="str">
        <x:v>利益進捗で維持半減全返済</x:v>
      </x:c>
      <x:c r="Q137" s="49" t="n">
        <x:v>0</x:v>
      </x:c>
      <x:c r="R137" s="50" t="n">
        <x:v>0.5451190476190476</x:v>
      </x:c>
      <x:c r="S137" s="50" t="n">
        <x:v>0.5451190476190476</x:v>
      </x:c>
      <x:c r="T137" s="1" t="str">
        <x:v>デイ</x:v>
      </x:c>
      <x:c r="U137" s="49" t="n">
        <x:v>1</x:v>
      </x:c>
    </x:row>
    <x:row r="138" ht="22" customHeight="1">
      <x:c r="A138" s="1" t="str">
        <x:v>日経mini</x:v>
      </x:c>
      <x:c r="B138" s="1" t="str">
        <x:v>C06</x:v>
      </x:c>
      <x:c r="C138" s="1" t="str">
        <x:v>診断3場</x:v>
      </x:c>
      <x:c r="D138" s="47" t="n">
        <x:v>117157</x:v>
      </x:c>
      <x:c r="E138" s="47" t="n">
        <x:v>184228</x:v>
      </x:c>
      <x:c r="F138" s="47" t="n">
        <x:f>D138-E138</x:f>
        <x:v>-67071</x:v>
      </x:c>
      <x:c r="G138" s="49" t="n">
        <x:v>0</x:v>
      </x:c>
      <x:c r="H138" s="49" t="n">
        <x:v>2</x:v>
      </x:c>
      <x:c r="I138" s="47" t="n">
        <x:v>-67071</x:v>
      </x:c>
      <x:c r="J138" s="49" t="n">
        <x:v>11</x:v>
      </x:c>
      <x:c r="K138" s="47" t="n">
        <x:v>-42843</x:v>
      </x:c>
      <x:c r="L138" s="47" t="n">
        <x:v>33535.5</x:v>
      </x:c>
      <x:c r="M138" s="48" t="n">
        <x:v>360.05</x:v>
      </x:c>
      <x:c r="N138" s="48" t="n">
        <x:v>93.51666666666668</x:v>
      </x:c>
      <x:c r="O138" s="49" t="n">
        <x:v>5</x:v>
      </x:c>
      <x:c r="P138" s="1" t="str">
        <x:v>利益進捗で維持半減全返済</x:v>
      </x:c>
      <x:c r="Q138" s="49" t="n">
        <x:v>0</x:v>
      </x:c>
      <x:c r="R138" s="50" t="n">
        <x:v>0.11989316239316239</x:v>
      </x:c>
      <x:c r="S138" s="50" t="n">
        <x:v>0.11989316239316242</x:v>
      </x:c>
      <x:c r="T138" s="1" t="str">
        <x:v>ナイト</x:v>
      </x:c>
      <x:c r="U138" s="49" t="n">
        <x:v>2</x:v>
      </x:c>
    </x:row>
    <x:row r="139" ht="22" customHeight="1">
      <x:c r="A139" s="1" t="str">
        <x:v>日経mini</x:v>
      </x:c>
      <x:c r="B139" s="1" t="str">
        <x:v>C06</x:v>
      </x:c>
      <x:c r="C139" s="1" t="str">
        <x:v>診断3場</x:v>
      </x:c>
      <x:c r="D139" s="47" t="n">
        <x:v>73388</x:v>
      </x:c>
      <x:c r="E139" s="47" t="n">
        <x:v>157151</x:v>
      </x:c>
      <x:c r="F139" s="47" t="n">
        <x:f>D139-E139</x:f>
        <x:v>-83763</x:v>
      </x:c>
      <x:c r="G139" s="49" t="n">
        <x:v>0</x:v>
      </x:c>
      <x:c r="H139" s="49" t="n">
        <x:v>2</x:v>
      </x:c>
      <x:c r="I139" s="47" t="n">
        <x:v>-83763</x:v>
      </x:c>
      <x:c r="J139" s="49" t="n">
        <x:v>10</x:v>
      </x:c>
      <x:c r="K139" s="47" t="n">
        <x:v>-42843</x:v>
      </x:c>
      <x:c r="L139" s="47" t="n">
        <x:v>41881.5</x:v>
      </x:c>
      <x:c r="M139" s="48" t="n">
        <x:v>227.56666666666666</x:v>
      </x:c>
      <x:c r="N139" s="48" t="n">
        <x:v>187.73333333333335</x:v>
      </x:c>
      <x:c r="O139" s="49" t="n">
        <x:v>5</x:v>
      </x:c>
      <x:c r="P139" s="1" t="str">
        <x:v>利益進捗で維持半減全返済</x:v>
      </x:c>
      <x:c r="Q139" s="49" t="n">
        <x:v>0</x:v>
      </x:c>
      <x:c r="R139" s="50" t="n">
        <x:v>0.36648046398046397</x:v>
      </x:c>
      <x:c r="S139" s="50" t="n">
        <x:v>0.31288888888888894</x:v>
      </x:c>
      <x:c r="T139" s="1" t="str">
        <x:v>上昇</x:v>
      </x:c>
      <x:c r="U139" s="49" t="n">
        <x:v>2</x:v>
      </x:c>
    </x:row>
    <x:row r="140" ht="22" customHeight="1">
      <x:c r="A140" s="1" t="str">
        <x:v>日経mini</x:v>
      </x:c>
      <x:c r="B140" s="1" t="str">
        <x:v>C06</x:v>
      </x:c>
      <x:c r="C140" s="1" t="str">
        <x:v>診断3場</x:v>
      </x:c>
      <x:c r="D140" s="47" t="n">
        <x:v>104616</x:v>
      </x:c>
      <x:c r="E140" s="47" t="n">
        <x:v>128844</x:v>
      </x:c>
      <x:c r="F140" s="47" t="n">
        <x:f>D140-E140</x:f>
        <x:v>-24228</x:v>
      </x:c>
      <x:c r="G140" s="49" t="n">
        <x:v>0</x:v>
      </x:c>
      <x:c r="H140" s="49" t="n">
        <x:v>1</x:v>
      </x:c>
      <x:c r="I140" s="47" t="n">
        <x:v>-24228</x:v>
      </x:c>
      <x:c r="J140" s="49" t="n">
        <x:v>6</x:v>
      </x:c>
      <x:c r="K140" s="47" t="n">
        <x:v>-24228</x:v>
      </x:c>
      <x:c r="L140" s="47" t="n">
        <x:v>24228</x:v>
      </x:c>
      <x:c r="M140" s="48" t="n">
        <x:v>360.06666666666666</x:v>
      </x:c>
      <x:c r="N140" s="48" t="n">
        <x:v>40.516666666666666</x:v>
      </x:c>
      <x:c r="O140" s="49" t="n">
        <x:v>5</x:v>
      </x:c>
      <x:c r="P140" s="1" t="str">
        <x:v>利益進捗で維持半減全返済</x:v>
      </x:c>
      <x:c r="Q140" s="49" t="n">
        <x:v>0</x:v>
      </x:c>
      <x:c r="R140" s="50" t="n">
        <x:v>0.051944444444444446</x:v>
      </x:c>
      <x:c r="S140" s="50" t="n">
        <x:v>0.051944444444444446</x:v>
      </x:c>
      <x:c r="T140" s="1" t="str">
        <x:v>下落</x:v>
      </x:c>
      <x:c r="U140" s="49" t="n">
        <x:v>1</x:v>
      </x:c>
    </x:row>
    <x:row r="141" ht="22" customHeight="1">
      <x:c r="A141" s="1" t="str">
        <x:v>日経mini</x:v>
      </x:c>
      <x:c r="B141" s="1" t="str">
        <x:v>C07</x:v>
      </x:c>
      <x:c r="C141" s="1" t="str">
        <x:v>全50場</x:v>
      </x:c>
      <x:c r="D141" s="47" t="n">
        <x:v>6064040</x:v>
      </x:c>
      <x:c r="E141" s="47" t="n">
        <x:v>3768934</x:v>
      </x:c>
      <x:c r="F141" s="47" t="n">
        <x:f>D141-E141</x:f>
        <x:v>2295106</x:v>
      </x:c>
      <x:c r="G141" s="49" t="n">
        <x:v>30</x:v>
      </x:c>
      <x:c r="H141" s="49" t="n">
        <x:v>20</x:v>
      </x:c>
      <x:c r="I141" s="47" t="n">
        <x:v>1281626</x:v>
      </x:c>
      <x:c r="J141" s="49" t="n">
        <x:v>339</x:v>
      </x:c>
      <x:c r="K141" s="47" t="n">
        <x:v>-170995</x:v>
      </x:c>
      <x:c r="L141" s="47" t="n">
        <x:v>65131.35</x:v>
      </x:c>
      <x:c r="M141" s="48" t="n">
        <x:v>188.68966666666668</x:v>
      </x:c>
      <x:c r="N141" s="48" t="n">
        <x:v>138.85666666666665</x:v>
      </x:c>
      <x:c r="O141" s="49" t="n">
        <x:v>10</x:v>
      </x:c>
      <x:c r="P141" s="1" t="str">
        <x:v>長短原板と失敗履歴で維持半減全返済</x:v>
      </x:c>
      <x:c r="Q141" s="49" t="n">
        <x:v>0</x:v>
      </x:c>
      <x:c r="R141" s="50" t="n">
        <x:v>0.3003297924297924</x:v>
      </x:c>
      <x:c r="S141" s="50" t="n">
        <x:v>0.23142777777777776</x:v>
      </x:c>
      <x:c r="T141" s="1" t="str">
        <x:v>全場</x:v>
      </x:c>
      <x:c r="U141" s="49" t="n">
        <x:v>50</x:v>
      </x:c>
    </x:row>
    <x:row r="142" ht="22" customHeight="1">
      <x:c r="A142" s="1" t="str">
        <x:v>日経mini</x:v>
      </x:c>
      <x:c r="B142" s="1" t="str">
        <x:v>C07</x:v>
      </x:c>
      <x:c r="C142" s="1" t="str">
        <x:v>全50場</x:v>
      </x:c>
      <x:c r="D142" s="47" t="n">
        <x:v>3805367</x:v>
      </x:c>
      <x:c r="E142" s="47" t="n">
        <x:v>2595179</x:v>
      </x:c>
      <x:c r="F142" s="47" t="n">
        <x:f>D142-E142</x:f>
        <x:v>1210188</x:v>
      </x:c>
      <x:c r="G142" s="49" t="n">
        <x:v>14</x:v>
      </x:c>
      <x:c r="H142" s="49" t="n">
        <x:v>11</x:v>
      </x:c>
      <x:c r="I142" s="47" t="n">
        <x:v>281863</x:v>
      </x:c>
      <x:c r="J142" s="49" t="n">
        <x:v>207</x:v>
      </x:c>
      <x:c r="K142" s="47" t="n">
        <x:v>-170995</x:v>
      </x:c>
      <x:c r="L142" s="47" t="n">
        <x:v>80429.18181818182</x:v>
      </x:c>
      <x:c r="M142" s="48" t="n">
        <x:v>80.29533333333333</x:v>
      </x:c>
      <x:c r="N142" s="48" t="n">
        <x:v>222.60133333333334</x:v>
      </x:c>
      <x:c r="O142" s="49" t="n">
        <x:v>10</x:v>
      </x:c>
      <x:c r="P142" s="1" t="str">
        <x:v>長短原板と失敗履歴で維持半減全返済</x:v>
      </x:c>
      <x:c r="Q142" s="49" t="n">
        <x:v>0</x:v>
      </x:c>
      <x:c r="R142" s="50" t="n">
        <x:v>0.5300031746031746</x:v>
      </x:c>
      <x:c r="S142" s="50" t="n">
        <x:v>0.5300031746031746</x:v>
      </x:c>
      <x:c r="T142" s="1" t="str">
        <x:v>デイ</x:v>
      </x:c>
      <x:c r="U142" s="49" t="n">
        <x:v>25</x:v>
      </x:c>
    </x:row>
    <x:row r="143" ht="22" customHeight="1">
      <x:c r="A143" s="1" t="str">
        <x:v>日経mini</x:v>
      </x:c>
      <x:c r="B143" s="1" t="str">
        <x:v>C07</x:v>
      </x:c>
      <x:c r="C143" s="1" t="str">
        <x:v>全50場</x:v>
      </x:c>
      <x:c r="D143" s="47" t="n">
        <x:v>2258673</x:v>
      </x:c>
      <x:c r="E143" s="47" t="n">
        <x:v>1173755</x:v>
      </x:c>
      <x:c r="F143" s="47" t="n">
        <x:f>D143-E143</x:f>
        <x:v>1084918</x:v>
      </x:c>
      <x:c r="G143" s="49" t="n">
        <x:v>16</x:v>
      </x:c>
      <x:c r="H143" s="49" t="n">
        <x:v>9</x:v>
      </x:c>
      <x:c r="I143" s="47" t="n">
        <x:v>350362</x:v>
      </x:c>
      <x:c r="J143" s="49" t="n">
        <x:v>132</x:v>
      </x:c>
      <x:c r="K143" s="47" t="n">
        <x:v>-121461</x:v>
      </x:c>
      <x:c r="L143" s="47" t="n">
        <x:v>46434</x:v>
      </x:c>
      <x:c r="M143" s="48" t="n">
        <x:v>297.084</x:v>
      </x:c>
      <x:c r="N143" s="48" t="n">
        <x:v>55.111999999999995</x:v>
      </x:c>
      <x:c r="O143" s="49" t="n">
        <x:v>7</x:v>
      </x:c>
      <x:c r="P143" s="1" t="str">
        <x:v>長短原板と失敗履歴で維持半減全返済</x:v>
      </x:c>
      <x:c r="Q143" s="49" t="n">
        <x:v>0</x:v>
      </x:c>
      <x:c r="R143" s="50" t="n">
        <x:v>0.07065641025641027</x:v>
      </x:c>
      <x:c r="S143" s="50" t="n">
        <x:v>0.07065641025641026</x:v>
      </x:c>
      <x:c r="T143" s="1" t="str">
        <x:v>ナイト</x:v>
      </x:c>
      <x:c r="U143" s="49" t="n">
        <x:v>25</x:v>
      </x:c>
    </x:row>
    <x:row r="144" ht="22" customHeight="1">
      <x:c r="A144" s="1" t="str">
        <x:v>日経mini</x:v>
      </x:c>
      <x:c r="B144" s="1" t="str">
        <x:v>C07</x:v>
      </x:c>
      <x:c r="C144" s="1" t="str">
        <x:v>全50場</x:v>
      </x:c>
      <x:c r="D144" s="47" t="n">
        <x:v>2602439</x:v>
      </x:c>
      <x:c r="E144" s="47" t="n">
        <x:v>1816431</x:v>
      </x:c>
      <x:c r="F144" s="47" t="n">
        <x:f>D144-E144</x:f>
        <x:v>786008</x:v>
      </x:c>
      <x:c r="G144" s="49" t="n">
        <x:v>13</x:v>
      </x:c>
      <x:c r="H144" s="49" t="n">
        <x:v>11</x:v>
      </x:c>
      <x:c r="I144" s="47" t="n">
        <x:v>-61237</x:v>
      </x:c>
      <x:c r="J144" s="49" t="n">
        <x:v>162</x:v>
      </x:c>
      <x:c r="K144" s="47" t="n">
        <x:v>-170995</x:v>
      </x:c>
      <x:c r="L144" s="47" t="n">
        <x:v>74717.09090909091</x:v>
      </x:c>
      <x:c r="M144" s="48" t="n">
        <x:v>204.98611111111111</x:v>
      </x:c>
      <x:c r="N144" s="48" t="n">
        <x:v>134.29722222222222</x:v>
      </x:c>
      <x:c r="O144" s="49" t="n">
        <x:v>8</x:v>
      </x:c>
      <x:c r="P144" s="1" t="str">
        <x:v>長短原板と失敗履歴で維持半減全返済</x:v>
      </x:c>
      <x:c r="Q144" s="49" t="n">
        <x:v>0</x:v>
      </x:c>
      <x:c r="R144" s="50" t="n">
        <x:v>0.2852787952787953</x:v>
      </x:c>
      <x:c r="S144" s="50" t="n">
        <x:v>0.2183694670280036</x:v>
      </x:c>
      <x:c r="T144" s="1" t="str">
        <x:v>上昇</x:v>
      </x:c>
      <x:c r="U144" s="49" t="n">
        <x:v>24</x:v>
      </x:c>
    </x:row>
    <x:row r="145" ht="22" customHeight="1">
      <x:c r="A145" s="1" t="str">
        <x:v>日経mini</x:v>
      </x:c>
      <x:c r="B145" s="1" t="str">
        <x:v>C07</x:v>
      </x:c>
      <x:c r="C145" s="1" t="str">
        <x:v>全50場</x:v>
      </x:c>
      <x:c r="D145" s="47" t="n">
        <x:v>3461601</x:v>
      </x:c>
      <x:c r="E145" s="47" t="n">
        <x:v>1952503</x:v>
      </x:c>
      <x:c r="F145" s="47" t="n">
        <x:f>D145-E145</x:f>
        <x:v>1509098</x:v>
      </x:c>
      <x:c r="G145" s="49" t="n">
        <x:v>17</x:v>
      </x:c>
      <x:c r="H145" s="49" t="n">
        <x:v>9</x:v>
      </x:c>
      <x:c r="I145" s="47" t="n">
        <x:v>580773</x:v>
      </x:c>
      <x:c r="J145" s="49" t="n">
        <x:v>177</x:v>
      </x:c>
      <x:c r="K145" s="47" t="n">
        <x:v>-159148</x:v>
      </x:c>
      <x:c r="L145" s="47" t="n">
        <x:v>53415.444444444445</x:v>
      </x:c>
      <x:c r="M145" s="48" t="n">
        <x:v>173.64679487179487</x:v>
      </x:c>
      <x:c r="N145" s="48" t="n">
        <x:v>143.0653846153846</x:v>
      </x:c>
      <x:c r="O145" s="49" t="n">
        <x:v>10</x:v>
      </x:c>
      <x:c r="P145" s="1" t="str">
        <x:v>長短原板と失敗履歴で維持半減全返済</x:v>
      </x:c>
      <x:c r="Q145" s="49" t="n">
        <x:v>0</x:v>
      </x:c>
      <x:c r="R145" s="50" t="n">
        <x:v>0.3142230205691744</x:v>
      </x:c>
      <x:c r="S145" s="50" t="n">
        <x:v>0.24407480314960628</x:v>
      </x:c>
      <x:c r="T145" s="1" t="str">
        <x:v>下落</x:v>
      </x:c>
      <x:c r="U145" s="49" t="n">
        <x:v>26</x:v>
      </x:c>
    </x:row>
    <x:row r="146" ht="22" customHeight="1">
      <x:c r="A146" s="1" t="str">
        <x:v>日経mini</x:v>
      </x:c>
      <x:c r="B146" s="1" t="str">
        <x:v>C07</x:v>
      </x:c>
      <x:c r="C146" s="1" t="str">
        <x:v>対照47場</x:v>
      </x:c>
      <x:c r="D146" s="47" t="n">
        <x:v>5914036</x:v>
      </x:c>
      <x:c r="E146" s="47" t="n">
        <x:v>3522092</x:v>
      </x:c>
      <x:c r="F146" s="47" t="n">
        <x:f>D146-E146</x:f>
        <x:v>2391944</x:v>
      </x:c>
      <x:c r="G146" s="49" t="n">
        <x:v>29</x:v>
      </x:c>
      <x:c r="H146" s="49" t="n">
        <x:v>18</x:v>
      </x:c>
      <x:c r="I146" s="47" t="n">
        <x:v>1378464</x:v>
      </x:c>
      <x:c r="J146" s="49" t="n">
        <x:v>325</x:v>
      </x:c>
      <x:c r="K146" s="47" t="n">
        <x:v>-170995</x:v>
      </x:c>
      <x:c r="L146" s="47" t="n">
        <x:v>66159.11111111111</x:v>
      </x:c>
      <x:c r="M146" s="48" t="n">
        <x:v>183.38900709219854</x:v>
      </x:c>
      <x:c r="N146" s="48" t="n">
        <x:v>138.8691489361702</x:v>
      </x:c>
      <x:c r="O146" s="49" t="n">
        <x:v>10</x:v>
      </x:c>
      <x:c r="P146" s="1" t="str">
        <x:v>長短原板と失敗履歴で維持半減全返済</x:v>
      </x:c>
      <x:c r="Q146" s="49" t="n">
        <x:v>0</x:v>
      </x:c>
      <x:c r="R146" s="50" t="n">
        <x:v>0.30279966487413296</x:v>
      </x:c>
      <x:c r="S146" s="50" t="n">
        <x:v>0.23293540328336904</x:v>
      </x:c>
      <x:c r="T146" s="1" t="str">
        <x:v>全場</x:v>
      </x:c>
      <x:c r="U146" s="49" t="n">
        <x:v>47</x:v>
      </x:c>
    </x:row>
    <x:row r="147" ht="22" customHeight="1">
      <x:c r="A147" s="1" t="str">
        <x:v>日経mini</x:v>
      </x:c>
      <x:c r="B147" s="1" t="str">
        <x:v>C07</x:v>
      </x:c>
      <x:c r="C147" s="1" t="str">
        <x:v>対照47場</x:v>
      </x:c>
      <x:c r="D147" s="47" t="n">
        <x:v>3772520</x:v>
      </x:c>
      <x:c r="E147" s="47" t="n">
        <x:v>2493412</x:v>
      </x:c>
      <x:c r="F147" s="47" t="n">
        <x:f>D147-E147</x:f>
        <x:v>1279108</x:v>
      </x:c>
      <x:c r="G147" s="49" t="n">
        <x:v>14</x:v>
      </x:c>
      <x:c r="H147" s="49" t="n">
        <x:v>10</x:v>
      </x:c>
      <x:c r="I147" s="47" t="n">
        <x:v>350783</x:v>
      </x:c>
      <x:c r="J147" s="49" t="n">
        <x:v>202</x:v>
      </x:c>
      <x:c r="K147" s="47" t="n">
        <x:v>-170995</x:v>
      </x:c>
      <x:c r="L147" s="47" t="n">
        <x:v>81580.1</x:v>
      </x:c>
      <x:c r="M147" s="48" t="n">
        <x:v>79.67847222222223</x:v>
      </x:c>
      <x:c r="N147" s="48" t="n">
        <x:v>222.33680555555557</x:v>
      </x:c>
      <x:c r="O147" s="49" t="n">
        <x:v>10</x:v>
      </x:c>
      <x:c r="P147" s="1" t="str">
        <x:v>長短原板と失敗履歴で維持半減全返済</x:v>
      </x:c>
      <x:c r="Q147" s="49" t="n">
        <x:v>0</x:v>
      </x:c>
      <x:c r="R147" s="50" t="n">
        <x:v>0.5293733465608466</x:v>
      </x:c>
      <x:c r="S147" s="50" t="n">
        <x:v>0.5293733465608466</x:v>
      </x:c>
      <x:c r="T147" s="1" t="str">
        <x:v>デイ</x:v>
      </x:c>
      <x:c r="U147" s="49" t="n">
        <x:v>24</x:v>
      </x:c>
    </x:row>
    <x:row r="148" ht="22" customHeight="1">
      <x:c r="A148" s="1" t="str">
        <x:v>日経mini</x:v>
      </x:c>
      <x:c r="B148" s="1" t="str">
        <x:v>C07</x:v>
      </x:c>
      <x:c r="C148" s="1" t="str">
        <x:v>対照47場</x:v>
      </x:c>
      <x:c r="D148" s="47" t="n">
        <x:v>2141516</x:v>
      </x:c>
      <x:c r="E148" s="47" t="n">
        <x:v>1028680</x:v>
      </x:c>
      <x:c r="F148" s="47" t="n">
        <x:f>D148-E148</x:f>
        <x:v>1112836</x:v>
      </x:c>
      <x:c r="G148" s="49" t="n">
        <x:v>15</x:v>
      </x:c>
      <x:c r="H148" s="49" t="n">
        <x:v>8</x:v>
      </x:c>
      <x:c r="I148" s="47" t="n">
        <x:v>378280</x:v>
      </x:c>
      <x:c r="J148" s="49" t="n">
        <x:v>123</x:v>
      </x:c>
      <x:c r="K148" s="47" t="n">
        <x:v>-121461</x:v>
      </x:c>
      <x:c r="L148" s="47" t="n">
        <x:v>46882.875</x:v>
      </x:c>
      <x:c r="M148" s="48" t="n">
        <x:v>291.6086956521739</x:v>
      </x:c>
      <x:c r="N148" s="48" t="n">
        <x:v>51.77246376811594</x:v>
      </x:c>
      <x:c r="O148" s="49" t="n">
        <x:v>7</x:v>
      </x:c>
      <x:c r="P148" s="1" t="str">
        <x:v>長短原板と失敗履歴で維持半減全返済</x:v>
      </x:c>
      <x:c r="Q148" s="49" t="n">
        <x:v>0</x:v>
      </x:c>
      <x:c r="R148" s="50" t="n">
        <x:v>0.06637495354886659</x:v>
      </x:c>
      <x:c r="S148" s="50" t="n">
        <x:v>0.06637495354886659</x:v>
      </x:c>
      <x:c r="T148" s="1" t="str">
        <x:v>ナイト</x:v>
      </x:c>
      <x:c r="U148" s="49" t="n">
        <x:v>23</x:v>
      </x:c>
    </x:row>
    <x:row r="149" ht="22" customHeight="1">
      <x:c r="A149" s="1" t="str">
        <x:v>日経mini</x:v>
      </x:c>
      <x:c r="B149" s="1" t="str">
        <x:v>C07</x:v>
      </x:c>
      <x:c r="C149" s="1" t="str">
        <x:v>対照47場</x:v>
      </x:c>
      <x:c r="D149" s="47" t="n">
        <x:v>2557051</x:v>
      </x:c>
      <x:c r="E149" s="47" t="n">
        <x:v>1659280</x:v>
      </x:c>
      <x:c r="F149" s="47" t="n">
        <x:f>D149-E149</x:f>
        <x:v>897771</x:v>
      </x:c>
      <x:c r="G149" s="49" t="n">
        <x:v>13</x:v>
      </x:c>
      <x:c r="H149" s="49" t="n">
        <x:v>9</x:v>
      </x:c>
      <x:c r="I149" s="47" t="n">
        <x:v>50526</x:v>
      </x:c>
      <x:c r="J149" s="49" t="n">
        <x:v>152</x:v>
      </x:c>
      <x:c r="K149" s="47" t="n">
        <x:v>-170995</x:v>
      </x:c>
      <x:c r="L149" s="47" t="n">
        <x:v>78902.77777777778</x:v>
      </x:c>
      <x:c r="M149" s="48" t="n">
        <x:v>202.93333333333337</x:v>
      </x:c>
      <x:c r="N149" s="48" t="n">
        <x:v>129.43939393939394</x:v>
      </x:c>
      <x:c r="O149" s="49" t="n">
        <x:v>8</x:v>
      </x:c>
      <x:c r="P149" s="1" t="str">
        <x:v>長短原板と失敗履歴で維持半減全返済</x:v>
      </x:c>
      <x:c r="Q149" s="49" t="n">
        <x:v>0</x:v>
      </x:c>
      <x:c r="R149" s="50" t="n">
        <x:v>0.27789682539682536</x:v>
      </x:c>
      <x:c r="S149" s="50" t="n">
        <x:v>0.21000491642084562</x:v>
      </x:c>
      <x:c r="T149" s="1" t="str">
        <x:v>上昇</x:v>
      </x:c>
      <x:c r="U149" s="49" t="n">
        <x:v>22</x:v>
      </x:c>
    </x:row>
    <x:row r="150" ht="22" customHeight="1">
      <x:c r="A150" s="1" t="str">
        <x:v>日経mini</x:v>
      </x:c>
      <x:c r="B150" s="1" t="str">
        <x:v>C07</x:v>
      </x:c>
      <x:c r="C150" s="1" t="str">
        <x:v>対照47場</x:v>
      </x:c>
      <x:c r="D150" s="47" t="n">
        <x:v>3356985</x:v>
      </x:c>
      <x:c r="E150" s="47" t="n">
        <x:v>1862812</x:v>
      </x:c>
      <x:c r="F150" s="47" t="n">
        <x:f>D150-E150</x:f>
        <x:v>1494173</x:v>
      </x:c>
      <x:c r="G150" s="49" t="n">
        <x:v>16</x:v>
      </x:c>
      <x:c r="H150" s="49" t="n">
        <x:v>9</x:v>
      </x:c>
      <x:c r="I150" s="47" t="n">
        <x:v>565848</x:v>
      </x:c>
      <x:c r="J150" s="49" t="n">
        <x:v>173</x:v>
      </x:c>
      <x:c r="K150" s="47" t="n">
        <x:v>-159148</x:v>
      </x:c>
      <x:c r="L150" s="47" t="n">
        <x:v>53415.444444444445</x:v>
      </x:c>
      <x:c r="M150" s="48" t="n">
        <x:v>166.19</x:v>
      </x:c>
      <x:c r="N150" s="48" t="n">
        <x:v>147.16733333333332</x:v>
      </x:c>
      <x:c r="O150" s="49" t="n">
        <x:v>10</x:v>
      </x:c>
      <x:c r="P150" s="1" t="str">
        <x:v>長短原板と失敗履歴で維持半減全返済</x:v>
      </x:c>
      <x:c r="Q150" s="49" t="n">
        <x:v>0</x:v>
      </x:c>
      <x:c r="R150" s="50" t="n">
        <x:v>0.3247141636141636</x:v>
      </x:c>
      <x:c r="S150" s="50" t="n">
        <x:v>0.25443868142000925</x:v>
      </x:c>
      <x:c r="T150" s="1" t="str">
        <x:v>下落</x:v>
      </x:c>
      <x:c r="U150" s="49" t="n">
        <x:v>25</x:v>
      </x:c>
    </x:row>
    <x:row r="151" ht="22" customHeight="1">
      <x:c r="A151" s="1" t="str">
        <x:v>日経mini</x:v>
      </x:c>
      <x:c r="B151" s="1" t="str">
        <x:v>C07</x:v>
      </x:c>
      <x:c r="C151" s="1" t="str">
        <x:v>診断3場</x:v>
      </x:c>
      <x:c r="D151" s="47" t="n">
        <x:v>150004</x:v>
      </x:c>
      <x:c r="E151" s="47" t="n">
        <x:v>246842</x:v>
      </x:c>
      <x:c r="F151" s="47" t="n">
        <x:f>D151-E151</x:f>
        <x:v>-96838</x:v>
      </x:c>
      <x:c r="G151" s="49" t="n">
        <x:v>1</x:v>
      </x:c>
      <x:c r="H151" s="49" t="n">
        <x:v>2</x:v>
      </x:c>
      <x:c r="I151" s="47" t="n">
        <x:v>-111763</x:v>
      </x:c>
      <x:c r="J151" s="49" t="n">
        <x:v>14</x:v>
      </x:c>
      <x:c r="K151" s="47" t="n">
        <x:v>-68920</x:v>
      </x:c>
      <x:c r="L151" s="47" t="n">
        <x:v>55881.5</x:v>
      </x:c>
      <x:c r="M151" s="48" t="n">
        <x:v>271.73333333333335</x:v>
      </x:c>
      <x:c r="N151" s="48" t="n">
        <x:v>138.66111111111113</x:v>
      </x:c>
      <x:c r="O151" s="49" t="n">
        <x:v>5</x:v>
      </x:c>
      <x:c r="P151" s="1" t="str">
        <x:v>長短原板と失敗履歴で維持半減全返済</x:v>
      </x:c>
      <x:c r="Q151" s="49" t="n">
        <x:v>0</x:v>
      </x:c>
      <x:c r="R151" s="50" t="n">
        <x:v>0.26163512413512413</x:v>
      </x:c>
      <x:c r="S151" s="50" t="n">
        <x:v>0.2100925925925926</x:v>
      </x:c>
      <x:c r="T151" s="1" t="str">
        <x:v>全場</x:v>
      </x:c>
      <x:c r="U151" s="49" t="n">
        <x:v>3</x:v>
      </x:c>
    </x:row>
    <x:row r="152" ht="22" customHeight="1">
      <x:c r="A152" s="1" t="str">
        <x:v>日経mini</x:v>
      </x:c>
      <x:c r="B152" s="1" t="str">
        <x:v>C07</x:v>
      </x:c>
      <x:c r="C152" s="1" t="str">
        <x:v>診断3場</x:v>
      </x:c>
      <x:c r="D152" s="47" t="n">
        <x:v>32847</x:v>
      </x:c>
      <x:c r="E152" s="47" t="n">
        <x:v>101767</x:v>
      </x:c>
      <x:c r="F152" s="47" t="n">
        <x:f>D152-E152</x:f>
        <x:v>-68920</x:v>
      </x:c>
      <x:c r="G152" s="49" t="n">
        <x:v>0</x:v>
      </x:c>
      <x:c r="H152" s="49" t="n">
        <x:v>1</x:v>
      </x:c>
      <x:c r="I152" s="47" t="n">
        <x:v>-68920</x:v>
      </x:c>
      <x:c r="J152" s="49" t="n">
        <x:v>5</x:v>
      </x:c>
      <x:c r="K152" s="47" t="n">
        <x:v>-68920</x:v>
      </x:c>
      <x:c r="L152" s="47" t="n">
        <x:v>68920</x:v>
      </x:c>
      <x:c r="M152" s="48" t="n">
        <x:v>95.1</x:v>
      </x:c>
      <x:c r="N152" s="48" t="n">
        <x:v>228.95</x:v>
      </x:c>
      <x:c r="O152" s="49" t="n">
        <x:v>5</x:v>
      </x:c>
      <x:c r="P152" s="1" t="str">
        <x:v>長短原板と失敗履歴で維持半減全返済</x:v>
      </x:c>
      <x:c r="Q152" s="49" t="n">
        <x:v>0</x:v>
      </x:c>
      <x:c r="R152" s="50" t="n">
        <x:v>0.5451190476190476</x:v>
      </x:c>
      <x:c r="S152" s="50" t="n">
        <x:v>0.5451190476190476</x:v>
      </x:c>
      <x:c r="T152" s="1" t="str">
        <x:v>デイ</x:v>
      </x:c>
      <x:c r="U152" s="49" t="n">
        <x:v>1</x:v>
      </x:c>
    </x:row>
    <x:row r="153" ht="22" customHeight="1">
      <x:c r="A153" s="1" t="str">
        <x:v>日経mini</x:v>
      </x:c>
      <x:c r="B153" s="1" t="str">
        <x:v>C07</x:v>
      </x:c>
      <x:c r="C153" s="1" t="str">
        <x:v>診断3場</x:v>
      </x:c>
      <x:c r="D153" s="47" t="n">
        <x:v>117157</x:v>
      </x:c>
      <x:c r="E153" s="47" t="n">
        <x:v>145075</x:v>
      </x:c>
      <x:c r="F153" s="47" t="n">
        <x:f>D153-E153</x:f>
        <x:v>-27918</x:v>
      </x:c>
      <x:c r="G153" s="49" t="n">
        <x:v>1</x:v>
      </x:c>
      <x:c r="H153" s="49" t="n">
        <x:v>1</x:v>
      </x:c>
      <x:c r="I153" s="47" t="n">
        <x:v>-42843</x:v>
      </x:c>
      <x:c r="J153" s="49" t="n">
        <x:v>9</x:v>
      </x:c>
      <x:c r="K153" s="47" t="n">
        <x:v>-42843</x:v>
      </x:c>
      <x:c r="L153" s="47" t="n">
        <x:v>42843</x:v>
      </x:c>
      <x:c r="M153" s="48" t="n">
        <x:v>360.05</x:v>
      </x:c>
      <x:c r="N153" s="48" t="n">
        <x:v>93.51666666666668</x:v>
      </x:c>
      <x:c r="O153" s="49" t="n">
        <x:v>5</x:v>
      </x:c>
      <x:c r="P153" s="1" t="str">
        <x:v>長短原板と失敗履歴で維持半減全返済</x:v>
      </x:c>
      <x:c r="Q153" s="49" t="n">
        <x:v>0</x:v>
      </x:c>
      <x:c r="R153" s="50" t="n">
        <x:v>0.11989316239316239</x:v>
      </x:c>
      <x:c r="S153" s="50" t="n">
        <x:v>0.11989316239316242</x:v>
      </x:c>
      <x:c r="T153" s="1" t="str">
        <x:v>ナイト</x:v>
      </x:c>
      <x:c r="U153" s="49" t="n">
        <x:v>2</x:v>
      </x:c>
    </x:row>
    <x:row r="154" ht="22" customHeight="1">
      <x:c r="A154" s="1" t="str">
        <x:v>日経mini</x:v>
      </x:c>
      <x:c r="B154" s="1" t="str">
        <x:v>C07</x:v>
      </x:c>
      <x:c r="C154" s="1" t="str">
        <x:v>診断3場</x:v>
      </x:c>
      <x:c r="D154" s="47" t="n">
        <x:v>45388</x:v>
      </x:c>
      <x:c r="E154" s="47" t="n">
        <x:v>157151</x:v>
      </x:c>
      <x:c r="F154" s="47" t="n">
        <x:f>D154-E154</x:f>
        <x:v>-111763</x:v>
      </x:c>
      <x:c r="G154" s="49" t="n">
        <x:v>0</x:v>
      </x:c>
      <x:c r="H154" s="49" t="n">
        <x:v>2</x:v>
      </x:c>
      <x:c r="I154" s="47" t="n">
        <x:v>-111763</x:v>
      </x:c>
      <x:c r="J154" s="49" t="n">
        <x:v>10</x:v>
      </x:c>
      <x:c r="K154" s="47" t="n">
        <x:v>-68920</x:v>
      </x:c>
      <x:c r="L154" s="47" t="n">
        <x:v>55881.5</x:v>
      </x:c>
      <x:c r="M154" s="48" t="n">
        <x:v>227.56666666666666</x:v>
      </x:c>
      <x:c r="N154" s="48" t="n">
        <x:v>187.73333333333335</x:v>
      </x:c>
      <x:c r="O154" s="49" t="n">
        <x:v>5</x:v>
      </x:c>
      <x:c r="P154" s="1" t="str">
        <x:v>長短原板と失敗履歴で維持半減全返済</x:v>
      </x:c>
      <x:c r="Q154" s="49" t="n">
        <x:v>0</x:v>
      </x:c>
      <x:c r="R154" s="50" t="n">
        <x:v>0.36648046398046397</x:v>
      </x:c>
      <x:c r="S154" s="50" t="n">
        <x:v>0.31288888888888894</x:v>
      </x:c>
      <x:c r="T154" s="1" t="str">
        <x:v>上昇</x:v>
      </x:c>
      <x:c r="U154" s="49" t="n">
        <x:v>2</x:v>
      </x:c>
    </x:row>
    <x:row r="155" ht="22" customHeight="1">
      <x:c r="A155" s="1" t="str">
        <x:v>日経mini</x:v>
      </x:c>
      <x:c r="B155" s="1" t="str">
        <x:v>C07</x:v>
      </x:c>
      <x:c r="C155" s="1" t="str">
        <x:v>診断3場</x:v>
      </x:c>
      <x:c r="D155" s="47" t="n">
        <x:v>104616</x:v>
      </x:c>
      <x:c r="E155" s="47" t="n">
        <x:v>89691</x:v>
      </x:c>
      <x:c r="F155" s="47" t="n">
        <x:f>D155-E155</x:f>
        <x:v>14925</x:v>
      </x:c>
      <x:c r="G155" s="49" t="n">
        <x:v>1</x:v>
      </x:c>
      <x:c r="H155" s="49" t="n">
        <x:v>0</x:v>
      </x:c>
      <x:c r="I155" s="47" t="n">
        <x:v>0</x:v>
      </x:c>
      <x:c r="J155" s="49" t="n">
        <x:v>4</x:v>
      </x:c>
      <x:c r="K155" s="47" t="n">
        <x:v>14925</x:v>
      </x:c>
      <x:c r="L155" s="47" t="n">
        <x:v>0</x:v>
      </x:c>
      <x:c r="M155" s="48" t="n">
        <x:v>360.06666666666666</x:v>
      </x:c>
      <x:c r="N155" s="48" t="n">
        <x:v>40.516666666666666</x:v>
      </x:c>
      <x:c r="O155" s="49" t="n">
        <x:v>5</x:v>
      </x:c>
      <x:c r="P155" s="1" t="str">
        <x:v>長短原板と失敗履歴で維持半減全返済</x:v>
      </x:c>
      <x:c r="Q155" s="49" t="n">
        <x:v>0</x:v>
      </x:c>
      <x:c r="R155" s="50" t="n">
        <x:v>0.051944444444444446</x:v>
      </x:c>
      <x:c r="S155" s="50" t="n">
        <x:v>0.051944444444444446</x:v>
      </x:c>
      <x:c r="T155" s="1" t="str">
        <x:v>下落</x:v>
      </x:c>
      <x:c r="U155" s="49" t="n">
        <x:v>1</x:v>
      </x:c>
    </x:row>
    <x:row r="156" ht="22" customHeight="1">
      <x:c r="A156" s="1" t="str">
        <x:v>日経mini</x:v>
      </x:c>
      <x:c r="B156" s="1" t="str">
        <x:v>C08</x:v>
      </x:c>
      <x:c r="C156" s="1" t="str">
        <x:v>全50場</x:v>
      </x:c>
      <x:c r="D156" s="47" t="n">
        <x:v>5339703</x:v>
      </x:c>
      <x:c r="E156" s="47" t="n">
        <x:v>3247711</x:v>
      </x:c>
      <x:c r="F156" s="47" t="n">
        <x:f>D156-E156</x:f>
        <x:v>2091992</x:v>
      </x:c>
      <x:c r="G156" s="49" t="n">
        <x:v>33</x:v>
      </x:c>
      <x:c r="H156" s="49" t="n">
        <x:v>17</x:v>
      </x:c>
      <x:c r="I156" s="47" t="n">
        <x:v>1093823</x:v>
      </x:c>
      <x:c r="J156" s="49" t="n">
        <x:v>248</x:v>
      </x:c>
      <x:c r="K156" s="47" t="n">
        <x:v>-166917</x:v>
      </x:c>
      <x:c r="L156" s="47" t="n">
        <x:v>67725.88235294117</x:v>
      </x:c>
      <x:c r="M156" s="48" t="n">
        <x:v>211.14033333333336</x:v>
      </x:c>
      <x:c r="N156" s="48" t="n">
        <x:v>129.484</x:v>
      </x:c>
      <x:c r="O156" s="49" t="n">
        <x:v>10</x:v>
      </x:c>
      <x:c r="P156" s="1" t="str">
        <x:v>中期入口と長短管理の統合</x:v>
      </x:c>
      <x:c r="Q156" s="49" t="n">
        <x:v>0</x:v>
      </x:c>
      <x:c r="R156" s="50" t="n">
        <x:v>0.28603626373626373</x:v>
      </x:c>
      <x:c r="S156" s="50" t="n">
        <x:v>0.21580666666666667</x:v>
      </x:c>
      <x:c r="T156" s="1" t="str">
        <x:v>全場</x:v>
      </x:c>
      <x:c r="U156" s="49" t="n">
        <x:v>50</x:v>
      </x:c>
    </x:row>
    <x:row r="157" ht="22" customHeight="1">
      <x:c r="A157" s="1" t="str">
        <x:v>日経mini</x:v>
      </x:c>
      <x:c r="B157" s="1" t="str">
        <x:v>C08</x:v>
      </x:c>
      <x:c r="C157" s="1" t="str">
        <x:v>全50場</x:v>
      </x:c>
      <x:c r="D157" s="47" t="n">
        <x:v>3402589</x:v>
      </x:c>
      <x:c r="E157" s="47" t="n">
        <x:v>2198800</x:v>
      </x:c>
      <x:c r="F157" s="47" t="n">
        <x:f>D157-E157</x:f>
        <x:v>1203789</x:v>
      </x:c>
      <x:c r="G157" s="49" t="n">
        <x:v>15</x:v>
      </x:c>
      <x:c r="H157" s="49" t="n">
        <x:v>10</x:v>
      </x:c>
      <x:c r="I157" s="47" t="n">
        <x:v>312698</x:v>
      </x:c>
      <x:c r="J157" s="49" t="n">
        <x:v>157</x:v>
      </x:c>
      <x:c r="K157" s="47" t="n">
        <x:v>-166917</x:v>
      </x:c>
      <x:c r="L157" s="47" t="n">
        <x:v>75373.2</x:v>
      </x:c>
      <x:c r="M157" s="48" t="n">
        <x:v>85.61666666666667</x:v>
      </x:c>
      <x:c r="N157" s="48" t="n">
        <x:v>218.45666666666668</x:v>
      </x:c>
      <x:c r="O157" s="49" t="n">
        <x:v>10</x:v>
      </x:c>
      <x:c r="P157" s="1" t="str">
        <x:v>中期入口と長短管理の統合</x:v>
      </x:c>
      <x:c r="Q157" s="49" t="n">
        <x:v>0</x:v>
      </x:c>
      <x:c r="R157" s="50" t="n">
        <x:v>0.5201349206349206</x:v>
      </x:c>
      <x:c r="S157" s="50" t="n">
        <x:v>0.5201349206349206</x:v>
      </x:c>
      <x:c r="T157" s="1" t="str">
        <x:v>デイ</x:v>
      </x:c>
      <x:c r="U157" s="49" t="n">
        <x:v>25</x:v>
      </x:c>
    </x:row>
    <x:row r="158" ht="22" customHeight="1">
      <x:c r="A158" s="1" t="str">
        <x:v>日経mini</x:v>
      </x:c>
      <x:c r="B158" s="1" t="str">
        <x:v>C08</x:v>
      </x:c>
      <x:c r="C158" s="1" t="str">
        <x:v>全50場</x:v>
      </x:c>
      <x:c r="D158" s="47" t="n">
        <x:v>1937114</x:v>
      </x:c>
      <x:c r="E158" s="47" t="n">
        <x:v>1048911</x:v>
      </x:c>
      <x:c r="F158" s="47" t="n">
        <x:f>D158-E158</x:f>
        <x:v>888203</x:v>
      </x:c>
      <x:c r="G158" s="49" t="n">
        <x:v>18</x:v>
      </x:c>
      <x:c r="H158" s="49" t="n">
        <x:v>7</x:v>
      </x:c>
      <x:c r="I158" s="47" t="n">
        <x:v>253425</x:v>
      </x:c>
      <x:c r="J158" s="49" t="n">
        <x:v>91</x:v>
      </x:c>
      <x:c r="K158" s="47" t="n">
        <x:v>-121461</x:v>
      </x:c>
      <x:c r="L158" s="47" t="n">
        <x:v>56801.142857142855</x:v>
      </x:c>
      <x:c r="M158" s="48" t="n">
        <x:v>336.664</x:v>
      </x:c>
      <x:c r="N158" s="48" t="n">
        <x:v>40.51133333333333</x:v>
      </x:c>
      <x:c r="O158" s="49" t="n">
        <x:v>7</x:v>
      </x:c>
      <x:c r="P158" s="1" t="str">
        <x:v>中期入口と長短管理の統合</x:v>
      </x:c>
      <x:c r="Q158" s="49" t="n">
        <x:v>0</x:v>
      </x:c>
      <x:c r="R158" s="50" t="n">
        <x:v>0.05193760683760685</x:v>
      </x:c>
      <x:c r="S158" s="50" t="n">
        <x:v>0.051937606837606835</x:v>
      </x:c>
      <x:c r="T158" s="1" t="str">
        <x:v>ナイト</x:v>
      </x:c>
      <x:c r="U158" s="49" t="n">
        <x:v>25</x:v>
      </x:c>
    </x:row>
    <x:row r="159" ht="22" customHeight="1">
      <x:c r="A159" s="1" t="str">
        <x:v>日経mini</x:v>
      </x:c>
      <x:c r="B159" s="1" t="str">
        <x:v>C08</x:v>
      </x:c>
      <x:c r="C159" s="1" t="str">
        <x:v>全50場</x:v>
      </x:c>
      <x:c r="D159" s="47" t="n">
        <x:v>2208118</x:v>
      </x:c>
      <x:c r="E159" s="47" t="n">
        <x:v>1603892</x:v>
      </x:c>
      <x:c r="F159" s="47" t="n">
        <x:f>D159-E159</x:f>
        <x:v>604226</x:v>
      </x:c>
      <x:c r="G159" s="49" t="n">
        <x:v>15</x:v>
      </x:c>
      <x:c r="H159" s="49" t="n">
        <x:v>9</x:v>
      </x:c>
      <x:c r="I159" s="47" t="n">
        <x:v>-100407</x:v>
      </x:c>
      <x:c r="J159" s="49" t="n">
        <x:v>123</x:v>
      </x:c>
      <x:c r="K159" s="47" t="n">
        <x:v>-166917</x:v>
      </x:c>
      <x:c r="L159" s="47" t="n">
        <x:v>82270.88888888889</x:v>
      </x:c>
      <x:c r="M159" s="48" t="n">
        <x:v>213.59375</x:v>
      </x:c>
      <x:c r="N159" s="48" t="n">
        <x:v>122.65000000000002</x:v>
      </x:c>
      <x:c r="O159" s="49" t="n">
        <x:v>10</x:v>
      </x:c>
      <x:c r="P159" s="1" t="str">
        <x:v>中期入口と長短管理の統合</x:v>
      </x:c>
      <x:c r="Q159" s="49" t="n">
        <x:v>0</x:v>
      </x:c>
      <x:c r="R159" s="50" t="n">
        <x:v>0.2674832112332112</x:v>
      </x:c>
      <x:c r="S159" s="50" t="n">
        <x:v>0.1994308943089431</x:v>
      </x:c>
      <x:c r="T159" s="1" t="str">
        <x:v>上昇</x:v>
      </x:c>
      <x:c r="U159" s="49" t="n">
        <x:v>24</x:v>
      </x:c>
    </x:row>
    <x:row r="160" ht="22" customHeight="1">
      <x:c r="A160" s="1" t="str">
        <x:v>日経mini</x:v>
      </x:c>
      <x:c r="B160" s="1" t="str">
        <x:v>C08</x:v>
      </x:c>
      <x:c r="C160" s="1" t="str">
        <x:v>全50場</x:v>
      </x:c>
      <x:c r="D160" s="47" t="n">
        <x:v>3131585</x:v>
      </x:c>
      <x:c r="E160" s="47" t="n">
        <x:v>1643819</x:v>
      </x:c>
      <x:c r="F160" s="47" t="n">
        <x:f>D160-E160</x:f>
        <x:v>1487766</x:v>
      </x:c>
      <x:c r="G160" s="49" t="n">
        <x:v>18</x:v>
      </x:c>
      <x:c r="H160" s="49" t="n">
        <x:v>8</x:v>
      </x:c>
      <x:c r="I160" s="47" t="n">
        <x:v>596675</x:v>
      </x:c>
      <x:c r="J160" s="49" t="n">
        <x:v>125</x:v>
      </x:c>
      <x:c r="K160" s="47" t="n">
        <x:v>-114764</x:v>
      </x:c>
      <x:c r="L160" s="47" t="n">
        <x:v>51362.75</x:v>
      </x:c>
      <x:c r="M160" s="48" t="n">
        <x:v>208.87564102564102</x:v>
      </x:c>
      <x:c r="N160" s="48" t="n">
        <x:v>135.7923076923077</x:v>
      </x:c>
      <x:c r="O160" s="49" t="n">
        <x:v>10</x:v>
      </x:c>
      <x:c r="P160" s="1" t="str">
        <x:v>中期入口と長短管理の統合</x:v>
      </x:c>
      <x:c r="Q160" s="49" t="n">
        <x:v>0</x:v>
      </x:c>
      <x:c r="R160" s="50" t="n">
        <x:v>0.303162158354466</x:v>
      </x:c>
      <x:c r="S160" s="50" t="n">
        <x:v>0.23166666666666666</x:v>
      </x:c>
      <x:c r="T160" s="1" t="str">
        <x:v>下落</x:v>
      </x:c>
      <x:c r="U160" s="49" t="n">
        <x:v>26</x:v>
      </x:c>
    </x:row>
    <x:row r="161" ht="22" customHeight="1">
      <x:c r="A161" s="1" t="str">
        <x:v>日経mini</x:v>
      </x:c>
      <x:c r="B161" s="1" t="str">
        <x:v>C08</x:v>
      </x:c>
      <x:c r="C161" s="1" t="str">
        <x:v>対照47場</x:v>
      </x:c>
      <x:c r="D161" s="47" t="n">
        <x:v>5188393</x:v>
      </x:c>
      <x:c r="E161" s="47" t="n">
        <x:v>3013946</x:v>
      </x:c>
      <x:c r="F161" s="47" t="n">
        <x:f>D161-E161</x:f>
        <x:v>2174447</x:v>
      </x:c>
      <x:c r="G161" s="49" t="n">
        <x:v>32</x:v>
      </x:c>
      <x:c r="H161" s="49" t="n">
        <x:v>15</x:v>
      </x:c>
      <x:c r="I161" s="47" t="n">
        <x:v>1176278</x:v>
      </x:c>
      <x:c r="J161" s="49" t="n">
        <x:v>238</x:v>
      </x:c>
      <x:c r="K161" s="47" t="n">
        <x:v>-166917</x:v>
      </x:c>
      <x:c r="L161" s="47" t="n">
        <x:v>70264</x:v>
      </x:c>
      <x:c r="M161" s="48" t="n">
        <x:v>207.27269503546097</x:v>
      </x:c>
      <x:c r="N161" s="48" t="n">
        <x:v>130.00921985815603</x:v>
      </x:c>
      <x:c r="O161" s="49" t="n">
        <x:v>10</x:v>
      </x:c>
      <x:c r="P161" s="1" t="str">
        <x:v>中期入口と長短管理の統合</x:v>
      </x:c>
      <x:c r="Q161" s="49" t="n">
        <x:v>0</x:v>
      </x:c>
      <x:c r="R161" s="50" t="n">
        <x:v>0.289278440235887</x:v>
      </x:c>
      <x:c r="S161" s="50" t="n">
        <x:v>0.2180739947656436</x:v>
      </x:c>
      <x:c r="T161" s="1" t="str">
        <x:v>全場</x:v>
      </x:c>
      <x:c r="U161" s="49" t="n">
        <x:v>47</x:v>
      </x:c>
    </x:row>
    <x:row r="162" ht="22" customHeight="1">
      <x:c r="A162" s="1" t="str">
        <x:v>日経mini</x:v>
      </x:c>
      <x:c r="B162" s="1" t="str">
        <x:v>C08</x:v>
      </x:c>
      <x:c r="C162" s="1" t="str">
        <x:v>対照47場</x:v>
      </x:c>
      <x:c r="D162" s="47" t="n">
        <x:v>3369742</x:v>
      </x:c>
      <x:c r="E162" s="47" t="n">
        <x:v>2110110</x:v>
      </x:c>
      <x:c r="F162" s="47" t="n">
        <x:f>D162-E162</x:f>
        <x:v>1259632</x:v>
      </x:c>
      <x:c r="G162" s="49" t="n">
        <x:v>15</x:v>
      </x:c>
      <x:c r="H162" s="49" t="n">
        <x:v>9</x:v>
      </x:c>
      <x:c r="I162" s="47" t="n">
        <x:v>368541</x:v>
      </x:c>
      <x:c r="J162" s="49" t="n">
        <x:v>153</x:v>
      </x:c>
      <x:c r="K162" s="47" t="n">
        <x:v>-166917</x:v>
      </x:c>
      <x:c r="L162" s="47" t="n">
        <x:v>77543.22222222222</x:v>
      </x:c>
      <x:c r="M162" s="48" t="n">
        <x:v>85.22152777777778</x:v>
      </x:c>
      <x:c r="N162" s="48" t="n">
        <x:v>218.48333333333335</x:v>
      </x:c>
      <x:c r="O162" s="49" t="n">
        <x:v>10</x:v>
      </x:c>
      <x:c r="P162" s="1" t="str">
        <x:v>中期入口と長短管理の統合</x:v>
      </x:c>
      <x:c r="Q162" s="49" t="n">
        <x:v>0</x:v>
      </x:c>
      <x:c r="R162" s="50" t="n">
        <x:v>0.5201984126984126</x:v>
      </x:c>
      <x:c r="S162" s="50" t="n">
        <x:v>0.5201984126984127</x:v>
      </x:c>
      <x:c r="T162" s="1" t="str">
        <x:v>デイ</x:v>
      </x:c>
      <x:c r="U162" s="49" t="n">
        <x:v>24</x:v>
      </x:c>
    </x:row>
    <x:row r="163" ht="22" customHeight="1">
      <x:c r="A163" s="1" t="str">
        <x:v>日経mini</x:v>
      </x:c>
      <x:c r="B163" s="1" t="str">
        <x:v>C08</x:v>
      </x:c>
      <x:c r="C163" s="1" t="str">
        <x:v>対照47場</x:v>
      </x:c>
      <x:c r="D163" s="47" t="n">
        <x:v>1818651</x:v>
      </x:c>
      <x:c r="E163" s="47" t="n">
        <x:v>903836</x:v>
      </x:c>
      <x:c r="F163" s="47" t="n">
        <x:f>D163-E163</x:f>
        <x:v>914815</x:v>
      </x:c>
      <x:c r="G163" s="49" t="n">
        <x:v>17</x:v>
      </x:c>
      <x:c r="H163" s="49" t="n">
        <x:v>6</x:v>
      </x:c>
      <x:c r="I163" s="47" t="n">
        <x:v>280037</x:v>
      </x:c>
      <x:c r="J163" s="49" t="n">
        <x:v>85</x:v>
      </x:c>
      <x:c r="K163" s="47" t="n">
        <x:v>-121461</x:v>
      </x:c>
      <x:c r="L163" s="47" t="n">
        <x:v>59345.166666666664</x:v>
      </x:c>
      <x:c r="M163" s="48" t="n">
        <x:v>334.63043478260875</x:v>
      </x:c>
      <x:c r="N163" s="48" t="n">
        <x:v>37.688405797101446</x:v>
      </x:c>
      <x:c r="O163" s="49" t="n">
        <x:v>7</x:v>
      </x:c>
      <x:c r="P163" s="1" t="str">
        <x:v>中期入口と長短管理の統合</x:v>
      </x:c>
      <x:c r="Q163" s="49" t="n">
        <x:v>0</x:v>
      </x:c>
      <x:c r="R163" s="50" t="n">
        <x:v>0.048318468970642875</x:v>
      </x:c>
      <x:c r="S163" s="50" t="n">
        <x:v>0.04831846897064289</x:v>
      </x:c>
      <x:c r="T163" s="1" t="str">
        <x:v>ナイト</x:v>
      </x:c>
      <x:c r="U163" s="49" t="n">
        <x:v>23</x:v>
      </x:c>
    </x:row>
    <x:row r="164" ht="22" customHeight="1">
      <x:c r="A164" s="1" t="str">
        <x:v>日経mini</x:v>
      </x:c>
      <x:c r="B164" s="1" t="str">
        <x:v>C08</x:v>
      </x:c>
      <x:c r="C164" s="1" t="str">
        <x:v>対照47場</x:v>
      </x:c>
      <x:c r="D164" s="47" t="n">
        <x:v>2161424</x:v>
      </x:c>
      <x:c r="E164" s="47" t="n">
        <x:v>1459818</x:v>
      </x:c>
      <x:c r="F164" s="47" t="n">
        <x:f>D164-E164</x:f>
        <x:v>701606</x:v>
      </x:c>
      <x:c r="G164" s="49" t="n">
        <x:v>15</x:v>
      </x:c>
      <x:c r="H164" s="49" t="n">
        <x:v>7</x:v>
      </x:c>
      <x:c r="I164" s="47" t="n">
        <x:v>-3027</x:v>
      </x:c>
      <x:c r="J164" s="49" t="n">
        <x:v>117</x:v>
      </x:c>
      <x:c r="K164" s="47" t="n">
        <x:v>-166917</x:v>
      </x:c>
      <x:c r="L164" s="47" t="n">
        <x:v>91865.42857142857</x:v>
      </x:c>
      <x:c r="M164" s="48" t="n">
        <x:v>212.32348484848487</x:v>
      </x:c>
      <x:c r="N164" s="48" t="n">
        <x:v>119.10681818181818</x:v>
      </x:c>
      <x:c r="O164" s="49" t="n">
        <x:v>10</x:v>
      </x:c>
      <x:c r="P164" s="1" t="str">
        <x:v>中期入口と長短管理の統合</x:v>
      </x:c>
      <x:c r="Q164" s="49" t="n">
        <x:v>0</x:v>
      </x:c>
      <x:c r="R164" s="50" t="n">
        <x:v>0.26208250083250084</x:v>
      </x:c>
      <x:c r="S164" s="50" t="n">
        <x:v>0.19324115044247786</x:v>
      </x:c>
      <x:c r="T164" s="1" t="str">
        <x:v>上昇</x:v>
      </x:c>
      <x:c r="U164" s="49" t="n">
        <x:v>22</x:v>
      </x:c>
    </x:row>
    <x:row r="165" ht="22" customHeight="1">
      <x:c r="A165" s="1" t="str">
        <x:v>日経mini</x:v>
      </x:c>
      <x:c r="B165" s="1" t="str">
        <x:v>C08</x:v>
      </x:c>
      <x:c r="C165" s="1" t="str">
        <x:v>対照47場</x:v>
      </x:c>
      <x:c r="D165" s="47" t="n">
        <x:v>3026969</x:v>
      </x:c>
      <x:c r="E165" s="47" t="n">
        <x:v>1554128</x:v>
      </x:c>
      <x:c r="F165" s="47" t="n">
        <x:f>D165-E165</x:f>
        <x:v>1472841</x:v>
      </x:c>
      <x:c r="G165" s="49" t="n">
        <x:v>17</x:v>
      </x:c>
      <x:c r="H165" s="49" t="n">
        <x:v>8</x:v>
      </x:c>
      <x:c r="I165" s="47" t="n">
        <x:v>581750</x:v>
      </x:c>
      <x:c r="J165" s="49" t="n">
        <x:v>121</x:v>
      </x:c>
      <x:c r="K165" s="47" t="n">
        <x:v>-114764</x:v>
      </x:c>
      <x:c r="L165" s="47" t="n">
        <x:v>51362.75</x:v>
      </x:c>
      <x:c r="M165" s="48" t="n">
        <x:v>202.828</x:v>
      </x:c>
      <x:c r="N165" s="48" t="n">
        <x:v>139.60333333333332</x:v>
      </x:c>
      <x:c r="O165" s="49" t="n">
        <x:v>10</x:v>
      </x:c>
      <x:c r="P165" s="1" t="str">
        <x:v>中期入口と長短管理の統合</x:v>
      </x:c>
      <x:c r="Q165" s="49" t="n">
        <x:v>0</x:v>
      </x:c>
      <x:c r="R165" s="50" t="n">
        <x:v>0.31321086691086686</x:v>
      </x:c>
      <x:c r="S165" s="50" t="n">
        <x:v>0.24136122637159982</x:v>
      </x:c>
      <x:c r="T165" s="1" t="str">
        <x:v>下落</x:v>
      </x:c>
      <x:c r="U165" s="49" t="n">
        <x:v>25</x:v>
      </x:c>
    </x:row>
    <x:row r="166" ht="22" customHeight="1">
      <x:c r="A166" s="1" t="str">
        <x:v>日経mini</x:v>
      </x:c>
      <x:c r="B166" s="1" t="str">
        <x:v>C08</x:v>
      </x:c>
      <x:c r="C166" s="1" t="str">
        <x:v>診断3場</x:v>
      </x:c>
      <x:c r="D166" s="47" t="n">
        <x:v>151310</x:v>
      </x:c>
      <x:c r="E166" s="47" t="n">
        <x:v>233765</x:v>
      </x:c>
      <x:c r="F166" s="47" t="n">
        <x:f>D166-E166</x:f>
        <x:v>-82455</x:v>
      </x:c>
      <x:c r="G166" s="49" t="n">
        <x:v>1</x:v>
      </x:c>
      <x:c r="H166" s="49" t="n">
        <x:v>2</x:v>
      </x:c>
      <x:c r="I166" s="47" t="n">
        <x:v>-97380</x:v>
      </x:c>
      <x:c r="J166" s="49" t="n">
        <x:v>10</x:v>
      </x:c>
      <x:c r="K166" s="47" t="n">
        <x:v>-55843</x:v>
      </x:c>
      <x:c r="L166" s="47" t="n">
        <x:v>48690</x:v>
      </x:c>
      <x:c r="M166" s="48" t="n">
        <x:v>271.73333333333335</x:v>
      </x:c>
      <x:c r="N166" s="48" t="n">
        <x:v>121.25555555555555</x:v>
      </x:c>
      <x:c r="O166" s="49" t="n">
        <x:v>5</x:v>
      </x:c>
      <x:c r="P166" s="1" t="str">
        <x:v>中期入口と長短管理の統合</x:v>
      </x:c>
      <x:c r="Q166" s="49" t="n">
        <x:v>0</x:v>
      </x:c>
      <x:c r="R166" s="50" t="n">
        <x:v>0.23524216524216524</x:v>
      </x:c>
      <x:c r="S166" s="50" t="n">
        <x:v>0.1837205387205387</x:v>
      </x:c>
      <x:c r="T166" s="1" t="str">
        <x:v>全場</x:v>
      </x:c>
      <x:c r="U166" s="49" t="n">
        <x:v>3</x:v>
      </x:c>
    </x:row>
    <x:row r="167" ht="22" customHeight="1">
      <x:c r="A167" s="1" t="str">
        <x:v>日経mini</x:v>
      </x:c>
      <x:c r="B167" s="1" t="str">
        <x:v>C08</x:v>
      </x:c>
      <x:c r="C167" s="1" t="str">
        <x:v>診断3場</x:v>
      </x:c>
      <x:c r="D167" s="47" t="n">
        <x:v>32847</x:v>
      </x:c>
      <x:c r="E167" s="47" t="n">
        <x:v>88690</x:v>
      </x:c>
      <x:c r="F167" s="47" t="n">
        <x:f>D167-E167</x:f>
        <x:v>-55843</x:v>
      </x:c>
      <x:c r="G167" s="49" t="n">
        <x:v>0</x:v>
      </x:c>
      <x:c r="H167" s="49" t="n">
        <x:v>1</x:v>
      </x:c>
      <x:c r="I167" s="47" t="n">
        <x:v>-55843</x:v>
      </x:c>
      <x:c r="J167" s="49" t="n">
        <x:v>4</x:v>
      </x:c>
      <x:c r="K167" s="47" t="n">
        <x:v>-55843</x:v>
      </x:c>
      <x:c r="L167" s="47" t="n">
        <x:v>55843</x:v>
      </x:c>
      <x:c r="M167" s="48" t="n">
        <x:v>95.1</x:v>
      </x:c>
      <x:c r="N167" s="48" t="n">
        <x:v>217.81666666666666</x:v>
      </x:c>
      <x:c r="O167" s="49" t="n">
        <x:v>5</x:v>
      </x:c>
      <x:c r="P167" s="1" t="str">
        <x:v>中期入口と長短管理の統合</x:v>
      </x:c>
      <x:c r="Q167" s="49" t="n">
        <x:v>0</x:v>
      </x:c>
      <x:c r="R167" s="50" t="n">
        <x:v>0.5186111111111111</x:v>
      </x:c>
      <x:c r="S167" s="50" t="n">
        <x:v>0.5186111111111111</x:v>
      </x:c>
      <x:c r="T167" s="1" t="str">
        <x:v>デイ</x:v>
      </x:c>
      <x:c r="U167" s="49" t="n">
        <x:v>1</x:v>
      </x:c>
    </x:row>
    <x:row r="168" ht="22" customHeight="1">
      <x:c r="A168" s="1" t="str">
        <x:v>日経mini</x:v>
      </x:c>
      <x:c r="B168" s="1" t="str">
        <x:v>C08</x:v>
      </x:c>
      <x:c r="C168" s="1" t="str">
        <x:v>診断3場</x:v>
      </x:c>
      <x:c r="D168" s="47" t="n">
        <x:v>118463</x:v>
      </x:c>
      <x:c r="E168" s="47" t="n">
        <x:v>145075</x:v>
      </x:c>
      <x:c r="F168" s="47" t="n">
        <x:f>D168-E168</x:f>
        <x:v>-26612</x:v>
      </x:c>
      <x:c r="G168" s="49" t="n">
        <x:v>1</x:v>
      </x:c>
      <x:c r="H168" s="49" t="n">
        <x:v>1</x:v>
      </x:c>
      <x:c r="I168" s="47" t="n">
        <x:v>-41537</x:v>
      </x:c>
      <x:c r="J168" s="49" t="n">
        <x:v>6</x:v>
      </x:c>
      <x:c r="K168" s="47" t="n">
        <x:v>-41537</x:v>
      </x:c>
      <x:c r="L168" s="47" t="n">
        <x:v>41537</x:v>
      </x:c>
      <x:c r="M168" s="48" t="n">
        <x:v>360.05</x:v>
      </x:c>
      <x:c r="N168" s="48" t="n">
        <x:v>72.975</x:v>
      </x:c>
      <x:c r="O168" s="49" t="n">
        <x:v>5</x:v>
      </x:c>
      <x:c r="P168" s="1" t="str">
        <x:v>中期入口と長短管理の統合</x:v>
      </x:c>
      <x:c r="Q168" s="49" t="n">
        <x:v>0</x:v>
      </x:c>
      <x:c r="R168" s="50" t="n">
        <x:v>0.09355769230769231</x:v>
      </x:c>
      <x:c r="S168" s="50" t="n">
        <x:v>0.0935576923076923</x:v>
      </x:c>
      <x:c r="T168" s="1" t="str">
        <x:v>ナイト</x:v>
      </x:c>
      <x:c r="U168" s="49" t="n">
        <x:v>2</x:v>
      </x:c>
    </x:row>
    <x:row r="169" ht="22" customHeight="1">
      <x:c r="A169" s="1" t="str">
        <x:v>日経mini</x:v>
      </x:c>
      <x:c r="B169" s="1" t="str">
        <x:v>C08</x:v>
      </x:c>
      <x:c r="C169" s="1" t="str">
        <x:v>診断3場</x:v>
      </x:c>
      <x:c r="D169" s="47" t="n">
        <x:v>46694</x:v>
      </x:c>
      <x:c r="E169" s="47" t="n">
        <x:v>144074</x:v>
      </x:c>
      <x:c r="F169" s="47" t="n">
        <x:f>D169-E169</x:f>
        <x:v>-97380</x:v>
      </x:c>
      <x:c r="G169" s="49" t="n">
        <x:v>0</x:v>
      </x:c>
      <x:c r="H169" s="49" t="n">
        <x:v>2</x:v>
      </x:c>
      <x:c r="I169" s="47" t="n">
        <x:v>-97380</x:v>
      </x:c>
      <x:c r="J169" s="49" t="n">
        <x:v>6</x:v>
      </x:c>
      <x:c r="K169" s="47" t="n">
        <x:v>-55843</x:v>
      </x:c>
      <x:c r="L169" s="47" t="n">
        <x:v>48690</x:v>
      </x:c>
      <x:c r="M169" s="48" t="n">
        <x:v>227.56666666666666</x:v>
      </x:c>
      <x:c r="N169" s="48" t="n">
        <x:v>161.625</x:v>
      </x:c>
      <x:c r="O169" s="49" t="n">
        <x:v>5</x:v>
      </x:c>
      <x:c r="P169" s="1" t="str">
        <x:v>中期入口と長短管理の統合</x:v>
      </x:c>
      <x:c r="Q169" s="49" t="n">
        <x:v>0</x:v>
      </x:c>
      <x:c r="R169" s="50" t="n">
        <x:v>0.3268910256410257</x:v>
      </x:c>
      <x:c r="S169" s="50" t="n">
        <x:v>0.269375</x:v>
      </x:c>
      <x:c r="T169" s="1" t="str">
        <x:v>上昇</x:v>
      </x:c>
      <x:c r="U169" s="49" t="n">
        <x:v>2</x:v>
      </x:c>
    </x:row>
    <x:row r="170" ht="22" customHeight="1">
      <x:c r="A170" s="1" t="str">
        <x:v>日経mini</x:v>
      </x:c>
      <x:c r="B170" s="1" t="str">
        <x:v>C08</x:v>
      </x:c>
      <x:c r="C170" s="1" t="str">
        <x:v>診断3場</x:v>
      </x:c>
      <x:c r="D170" s="47" t="n">
        <x:v>104616</x:v>
      </x:c>
      <x:c r="E170" s="47" t="n">
        <x:v>89691</x:v>
      </x:c>
      <x:c r="F170" s="47" t="n">
        <x:f>D170-E170</x:f>
        <x:v>14925</x:v>
      </x:c>
      <x:c r="G170" s="49" t="n">
        <x:v>1</x:v>
      </x:c>
      <x:c r="H170" s="49" t="n">
        <x:v>0</x:v>
      </x:c>
      <x:c r="I170" s="47" t="n">
        <x:v>0</x:v>
      </x:c>
      <x:c r="J170" s="49" t="n">
        <x:v>4</x:v>
      </x:c>
      <x:c r="K170" s="47" t="n">
        <x:v>14925</x:v>
      </x:c>
      <x:c r="L170" s="47" t="n">
        <x:v>0</x:v>
      </x:c>
      <x:c r="M170" s="48" t="n">
        <x:v>360.06666666666666</x:v>
      </x:c>
      <x:c r="N170" s="48" t="n">
        <x:v>40.516666666666666</x:v>
      </x:c>
      <x:c r="O170" s="49" t="n">
        <x:v>5</x:v>
      </x:c>
      <x:c r="P170" s="1" t="str">
        <x:v>中期入口と長短管理の統合</x:v>
      </x:c>
      <x:c r="Q170" s="49" t="n">
        <x:v>0</x:v>
      </x:c>
      <x:c r="R170" s="50" t="n">
        <x:v>0.051944444444444446</x:v>
      </x:c>
      <x:c r="S170" s="50" t="n">
        <x:v>0.051944444444444446</x:v>
      </x:c>
      <x:c r="T170" s="1" t="str">
        <x:v>下落</x:v>
      </x:c>
      <x:c r="U170" s="49" t="n">
        <x:v>1</x:v>
      </x:c>
    </x:row>
    <x:row r="171" ht="22" customHeight="1">
      <x:c r="A171" s="1" t="str">
        <x:v>日経mini</x:v>
      </x:c>
      <x:c r="B171" s="1" t="str">
        <x:v>C09</x:v>
      </x:c>
      <x:c r="C171" s="1" t="str">
        <x:v>全50場</x:v>
      </x:c>
      <x:c r="D171" s="47" t="n">
        <x:v>5235307</x:v>
      </x:c>
      <x:c r="E171" s="47" t="n">
        <x:v>3205090</x:v>
      </x:c>
      <x:c r="F171" s="47" t="n">
        <x:f>D171-E171</x:f>
        <x:v>2030217</x:v>
      </x:c>
      <x:c r="G171" s="49" t="n">
        <x:v>32</x:v>
      </x:c>
      <x:c r="H171" s="49" t="n">
        <x:v>18</x:v>
      </x:c>
      <x:c r="I171" s="47" t="n">
        <x:v>1032896</x:v>
      </x:c>
      <x:c r="J171" s="49" t="n">
        <x:v>235</x:v>
      </x:c>
      <x:c r="K171" s="47" t="n">
        <x:v>-156918</x:v>
      </x:c>
      <x:c r="L171" s="47" t="n">
        <x:v>67492.94444444444</x:v>
      </x:c>
      <x:c r="M171" s="48" t="n">
        <x:v>211.73266666666666</x:v>
      </x:c>
      <x:c r="N171" s="48" t="n">
        <x:v>122.29566666666668</x:v>
      </x:c>
      <x:c r="O171" s="49" t="n">
        <x:v>10</x:v>
      </x:c>
      <x:c r="P171" s="1" t="str">
        <x:v>合意入口と原板管理の統合</x:v>
      </x:c>
      <x:c r="Q171" s="49" t="n">
        <x:v>0</x:v>
      </x:c>
      <x:c r="R171" s="50" t="n">
        <x:v>0.270787851037851</x:v>
      </x:c>
      <x:c r="S171" s="50" t="n">
        <x:v>0.2038261111111111</x:v>
      </x:c>
      <x:c r="T171" s="1" t="str">
        <x:v>全場</x:v>
      </x:c>
      <x:c r="U171" s="49" t="n">
        <x:v>50</x:v>
      </x:c>
    </x:row>
    <x:row r="172" ht="22" customHeight="1">
      <x:c r="A172" s="1" t="str">
        <x:v>日経mini</x:v>
      </x:c>
      <x:c r="B172" s="1" t="str">
        <x:v>C09</x:v>
      </x:c>
      <x:c r="C172" s="1" t="str">
        <x:v>全50場</x:v>
      </x:c>
      <x:c r="D172" s="47" t="n">
        <x:v>3284658</x:v>
      </x:c>
      <x:c r="E172" s="47" t="n">
        <x:v>2179029</x:v>
      </x:c>
      <x:c r="F172" s="47" t="n">
        <x:f>D172-E172</x:f>
        <x:v>1105629</x:v>
      </x:c>
      <x:c r="G172" s="49" t="n">
        <x:v>14</x:v>
      </x:c>
      <x:c r="H172" s="49" t="n">
        <x:v>11</x:v>
      </x:c>
      <x:c r="I172" s="47" t="n">
        <x:v>248386</x:v>
      </x:c>
      <x:c r="J172" s="49" t="n">
        <x:v>147</x:v>
      </x:c>
      <x:c r="K172" s="47" t="n">
        <x:v>-156918</x:v>
      </x:c>
      <x:c r="L172" s="47" t="n">
        <x:v>73129</x:v>
      </x:c>
      <x:c r="M172" s="48" t="n">
        <x:v>86.55333333333334</x:v>
      </x:c>
      <x:c r="N172" s="48" t="n">
        <x:v>207.47733333333335</x:v>
      </x:c>
      <x:c r="O172" s="49" t="n">
        <x:v>10</x:v>
      </x:c>
      <x:c r="P172" s="1" t="str">
        <x:v>合意入口と原板管理の統合</x:v>
      </x:c>
      <x:c r="Q172" s="49" t="n">
        <x:v>0</x:v>
      </x:c>
      <x:c r="R172" s="50" t="n">
        <x:v>0.4939936507936508</x:v>
      </x:c>
      <x:c r="S172" s="50" t="n">
        <x:v>0.4939936507936508</x:v>
      </x:c>
      <x:c r="T172" s="1" t="str">
        <x:v>デイ</x:v>
      </x:c>
      <x:c r="U172" s="49" t="n">
        <x:v>25</x:v>
      </x:c>
    </x:row>
    <x:row r="173" ht="22" customHeight="1">
      <x:c r="A173" s="1" t="str">
        <x:v>日経mini</x:v>
      </x:c>
      <x:c r="B173" s="1" t="str">
        <x:v>C09</x:v>
      </x:c>
      <x:c r="C173" s="1" t="str">
        <x:v>全50場</x:v>
      </x:c>
      <x:c r="D173" s="47" t="n">
        <x:v>1950649</x:v>
      </x:c>
      <x:c r="E173" s="47" t="n">
        <x:v>1026061</x:v>
      </x:c>
      <x:c r="F173" s="47" t="n">
        <x:f>D173-E173</x:f>
        <x:v>924588</x:v>
      </x:c>
      <x:c r="G173" s="49" t="n">
        <x:v>18</x:v>
      </x:c>
      <x:c r="H173" s="49" t="n">
        <x:v>7</x:v>
      </x:c>
      <x:c r="I173" s="47" t="n">
        <x:v>290810</x:v>
      </x:c>
      <x:c r="J173" s="49" t="n">
        <x:v>88</x:v>
      </x:c>
      <x:c r="K173" s="47" t="n">
        <x:v>-121461</x:v>
      </x:c>
      <x:c r="L173" s="47" t="n">
        <x:v>58636.28571428572</x:v>
      </x:c>
      <x:c r="M173" s="48" t="n">
        <x:v>336.91200000000003</x:v>
      </x:c>
      <x:c r="N173" s="48" t="n">
        <x:v>37.114000000000004</x:v>
      </x:c>
      <x:c r="O173" s="49" t="n">
        <x:v>7</x:v>
      </x:c>
      <x:c r="P173" s="1" t="str">
        <x:v>合意入口と原板管理の統合</x:v>
      </x:c>
      <x:c r="Q173" s="49" t="n">
        <x:v>0</x:v>
      </x:c>
      <x:c r="R173" s="50" t="n">
        <x:v>0.047582051282051285</x:v>
      </x:c>
      <x:c r="S173" s="50" t="n">
        <x:v>0.047582051282051285</x:v>
      </x:c>
      <x:c r="T173" s="1" t="str">
        <x:v>ナイト</x:v>
      </x:c>
      <x:c r="U173" s="49" t="n">
        <x:v>25</x:v>
      </x:c>
    </x:row>
    <x:row r="174" ht="22" customHeight="1">
      <x:c r="A174" s="1" t="str">
        <x:v>日経mini</x:v>
      </x:c>
      <x:c r="B174" s="1" t="str">
        <x:v>C09</x:v>
      </x:c>
      <x:c r="C174" s="1" t="str">
        <x:v>全50場</x:v>
      </x:c>
      <x:c r="D174" s="47" t="n">
        <x:v>2168034</x:v>
      </x:c>
      <x:c r="E174" s="47" t="n">
        <x:v>1539966</x:v>
      </x:c>
      <x:c r="F174" s="47" t="n">
        <x:f>D174-E174</x:f>
        <x:v>628068</x:v>
      </x:c>
      <x:c r="G174" s="49" t="n">
        <x:v>14</x:v>
      </x:c>
      <x:c r="H174" s="49" t="n">
        <x:v>10</x:v>
      </x:c>
      <x:c r="I174" s="47" t="n">
        <x:v>-72176</x:v>
      </x:c>
      <x:c r="J174" s="49" t="n">
        <x:v>113</x:v>
      </x:c>
      <x:c r="K174" s="47" t="n">
        <x:v>-156918</x:v>
      </x:c>
      <x:c r="L174" s="47" t="n">
        <x:v>76597.2</x:v>
      </x:c>
      <x:c r="M174" s="48" t="n">
        <x:v>213.42083333333335</x:v>
      </x:c>
      <x:c r="N174" s="48" t="n">
        <x:v>113.1986111111111</x:v>
      </x:c>
      <x:c r="O174" s="49" t="n">
        <x:v>9</x:v>
      </x:c>
      <x:c r="P174" s="1" t="str">
        <x:v>合意入口と原板管理の統合</x:v>
      </x:c>
      <x:c r="Q174" s="49" t="n">
        <x:v>0</x:v>
      </x:c>
      <x:c r="R174" s="50" t="n">
        <x:v>0.24859864672364673</x:v>
      </x:c>
      <x:c r="S174" s="50" t="n">
        <x:v>0.1840627822944896</x:v>
      </x:c>
      <x:c r="T174" s="1" t="str">
        <x:v>上昇</x:v>
      </x:c>
      <x:c r="U174" s="49" t="n">
        <x:v>24</x:v>
      </x:c>
    </x:row>
    <x:row r="175" ht="22" customHeight="1">
      <x:c r="A175" s="1" t="str">
        <x:v>日経mini</x:v>
      </x:c>
      <x:c r="B175" s="1" t="str">
        <x:v>C09</x:v>
      </x:c>
      <x:c r="C175" s="1" t="str">
        <x:v>全50場</x:v>
      </x:c>
      <x:c r="D175" s="47" t="n">
        <x:v>3067273</x:v>
      </x:c>
      <x:c r="E175" s="47" t="n">
        <x:v>1665124</x:v>
      </x:c>
      <x:c r="F175" s="47" t="n">
        <x:f>D175-E175</x:f>
        <x:v>1402149</x:v>
      </x:c>
      <x:c r="G175" s="49" t="n">
        <x:v>18</x:v>
      </x:c>
      <x:c r="H175" s="49" t="n">
        <x:v>8</x:v>
      </x:c>
      <x:c r="I175" s="47" t="n">
        <x:v>544906</x:v>
      </x:c>
      <x:c r="J175" s="49" t="n">
        <x:v>122</x:v>
      </x:c>
      <x:c r="K175" s="47" t="n">
        <x:v>-136764</x:v>
      </x:c>
      <x:c r="L175" s="47" t="n">
        <x:v>56112.625</x:v>
      </x:c>
      <x:c r="M175" s="48" t="n">
        <x:v>210.17435897435897</x:v>
      </x:c>
      <x:c r="N175" s="48" t="n">
        <x:v>130.69294871794872</x:v>
      </x:c>
      <x:c r="O175" s="49" t="n">
        <x:v>10</x:v>
      </x:c>
      <x:c r="P175" s="1" t="str">
        <x:v>合意入口と原板管理の統合</x:v>
      </x:c>
      <x:c r="Q175" s="49" t="n">
        <x:v>0</x:v>
      </x:c>
      <x:c r="R175" s="50" t="n">
        <x:v>0.29127019348173194</x:v>
      </x:c>
      <x:c r="S175" s="50" t="n">
        <x:v>0.22296697287839018</x:v>
      </x:c>
      <x:c r="T175" s="1" t="str">
        <x:v>下落</x:v>
      </x:c>
      <x:c r="U175" s="49" t="n">
        <x:v>26</x:v>
      </x:c>
    </x:row>
    <x:row r="176" ht="22" customHeight="1">
      <x:c r="A176" s="1" t="str">
        <x:v>日経mini</x:v>
      </x:c>
      <x:c r="B176" s="1" t="str">
        <x:v>C09</x:v>
      </x:c>
      <x:c r="C176" s="1" t="str">
        <x:v>対照47場</x:v>
      </x:c>
      <x:c r="D176" s="47" t="n">
        <x:v>5097844</x:v>
      </x:c>
      <x:c r="E176" s="47" t="n">
        <x:v>2956172</x:v>
      </x:c>
      <x:c r="F176" s="47" t="n">
        <x:f>D176-E176</x:f>
        <x:v>2141672</x:v>
      </x:c>
      <x:c r="G176" s="49" t="n">
        <x:v>31</x:v>
      </x:c>
      <x:c r="H176" s="49" t="n">
        <x:v>16</x:v>
      </x:c>
      <x:c r="I176" s="47" t="n">
        <x:v>1144351</x:v>
      </x:c>
      <x:c r="J176" s="49" t="n">
        <x:v>225</x:v>
      </x:c>
      <x:c r="K176" s="47" t="n">
        <x:v>-156918</x:v>
      </x:c>
      <x:c r="L176" s="47" t="n">
        <x:v>68030.8125</x:v>
      </x:c>
      <x:c r="M176" s="48" t="n">
        <x:v>207.9028368794326</x:v>
      </x:c>
      <x:c r="N176" s="48" t="n">
        <x:v>124.15638297872337</x:v>
      </x:c>
      <x:c r="O176" s="49" t="n">
        <x:v>10</x:v>
      </x:c>
      <x:c r="P176" s="1" t="str">
        <x:v>合意入口と原板管理の統合</x:v>
      </x:c>
      <x:c r="Q176" s="49" t="n">
        <x:v>0</x:v>
      </x:c>
      <x:c r="R176" s="50" t="n">
        <x:v>0.27535714285714286</x:v>
      </x:c>
      <x:c r="S176" s="50" t="n">
        <x:v>0.208256602426838</x:v>
      </x:c>
      <x:c r="T176" s="1" t="str">
        <x:v>全場</x:v>
      </x:c>
      <x:c r="U176" s="49" t="n">
        <x:v>47</x:v>
      </x:c>
    </x:row>
    <x:row r="177" ht="22" customHeight="1">
      <x:c r="A177" s="1" t="str">
        <x:v>日経mini</x:v>
      </x:c>
      <x:c r="B177" s="1" t="str">
        <x:v>C09</x:v>
      </x:c>
      <x:c r="C177" s="1" t="str">
        <x:v>対照47場</x:v>
      </x:c>
      <x:c r="D177" s="47" t="n">
        <x:v>3251811</x:v>
      </x:c>
      <x:c r="E177" s="47" t="n">
        <x:v>2090339</x:v>
      </x:c>
      <x:c r="F177" s="47" t="n">
        <x:f>D177-E177</x:f>
        <x:v>1161472</x:v>
      </x:c>
      <x:c r="G177" s="49" t="n">
        <x:v>14</x:v>
      </x:c>
      <x:c r="H177" s="49" t="n">
        <x:v>10</x:v>
      </x:c>
      <x:c r="I177" s="47" t="n">
        <x:v>304229</x:v>
      </x:c>
      <x:c r="J177" s="49" t="n">
        <x:v>143</x:v>
      </x:c>
      <x:c r="K177" s="47" t="n">
        <x:v>-156918</x:v>
      </x:c>
      <x:c r="L177" s="47" t="n">
        <x:v>74857.6</x:v>
      </x:c>
      <x:c r="M177" s="48" t="n">
        <x:v>86.19722222222224</x:v>
      </x:c>
      <x:c r="N177" s="48" t="n">
        <x:v>207.04652777777778</x:v>
      </x:c>
      <x:c r="O177" s="49" t="n">
        <x:v>10</x:v>
      </x:c>
      <x:c r="P177" s="1" t="str">
        <x:v>合意入口と原板管理の統合</x:v>
      </x:c>
      <x:c r="Q177" s="49" t="n">
        <x:v>0</x:v>
      </x:c>
      <x:c r="R177" s="50" t="n">
        <x:v>0.4929679232804233</x:v>
      </x:c>
      <x:c r="S177" s="50" t="n">
        <x:v>0.49296792328042327</x:v>
      </x:c>
      <x:c r="T177" s="1" t="str">
        <x:v>デイ</x:v>
      </x:c>
      <x:c r="U177" s="49" t="n">
        <x:v>24</x:v>
      </x:c>
    </x:row>
    <x:row r="178" ht="22" customHeight="1">
      <x:c r="A178" s="1" t="str">
        <x:v>日経mini</x:v>
      </x:c>
      <x:c r="B178" s="1" t="str">
        <x:v>C09</x:v>
      </x:c>
      <x:c r="C178" s="1" t="str">
        <x:v>対照47場</x:v>
      </x:c>
      <x:c r="D178" s="47" t="n">
        <x:v>1846033</x:v>
      </x:c>
      <x:c r="E178" s="47" t="n">
        <x:v>865833</x:v>
      </x:c>
      <x:c r="F178" s="47" t="n">
        <x:f>D178-E178</x:f>
        <x:v>980200</x:v>
      </x:c>
      <x:c r="G178" s="49" t="n">
        <x:v>17</x:v>
      </x:c>
      <x:c r="H178" s="49" t="n">
        <x:v>6</x:v>
      </x:c>
      <x:c r="I178" s="47" t="n">
        <x:v>346422</x:v>
      </x:c>
      <x:c r="J178" s="49" t="n">
        <x:v>82</x:v>
      </x:c>
      <x:c r="K178" s="47" t="n">
        <x:v>-121461</x:v>
      </x:c>
      <x:c r="L178" s="47" t="n">
        <x:v>56652.833333333336</x:v>
      </x:c>
      <x:c r="M178" s="48" t="n">
        <x:v>334.9</x:v>
      </x:c>
      <x:c r="N178" s="48" t="n">
        <x:v>37.66231884057971</x:v>
      </x:c>
      <x:c r="O178" s="49" t="n">
        <x:v>7</x:v>
      </x:c>
      <x:c r="P178" s="1" t="str">
        <x:v>合意入口と原板管理の統合</x:v>
      </x:c>
      <x:c r="Q178" s="49" t="n">
        <x:v>0</x:v>
      </x:c>
      <x:c r="R178" s="50" t="n">
        <x:v>0.04828502415458937</x:v>
      </x:c>
      <x:c r="S178" s="50" t="n">
        <x:v>0.04828502415458937</x:v>
      </x:c>
      <x:c r="T178" s="1" t="str">
        <x:v>ナイト</x:v>
      </x:c>
      <x:c r="U178" s="49" t="n">
        <x:v>23</x:v>
      </x:c>
    </x:row>
    <x:row r="179" ht="22" customHeight="1">
      <x:c r="A179" s="1" t="str">
        <x:v>日経mini</x:v>
      </x:c>
      <x:c r="B179" s="1" t="str">
        <x:v>C09</x:v>
      </x:c>
      <x:c r="C179" s="1" t="str">
        <x:v>対照47場</x:v>
      </x:c>
      <x:c r="D179" s="47" t="n">
        <x:v>2135187</x:v>
      </x:c>
      <x:c r="E179" s="47" t="n">
        <x:v>1380739</x:v>
      </x:c>
      <x:c r="F179" s="47" t="n">
        <x:f>D179-E179</x:f>
        <x:v>754448</x:v>
      </x:c>
      <x:c r="G179" s="49" t="n">
        <x:v>14</x:v>
      </x:c>
      <x:c r="H179" s="49" t="n">
        <x:v>8</x:v>
      </x:c>
      <x:c r="I179" s="47" t="n">
        <x:v>54204</x:v>
      </x:c>
      <x:c r="J179" s="49" t="n">
        <x:v>107</x:v>
      </x:c>
      <x:c r="K179" s="47" t="n">
        <x:v>-156918</x:v>
      </x:c>
      <x:c r="L179" s="47" t="n">
        <x:v>79949</x:v>
      </x:c>
      <x:c r="M179" s="48" t="n">
        <x:v>212.13484848484848</x:v>
      </x:c>
      <x:c r="N179" s="48" t="n">
        <x:v>112.62954545454545</x:v>
      </x:c>
      <x:c r="O179" s="49" t="n">
        <x:v>9</x:v>
      </x:c>
      <x:c r="P179" s="1" t="str">
        <x:v>合意入口と原板管理の統合</x:v>
      </x:c>
      <x:c r="Q179" s="49" t="n">
        <x:v>0</x:v>
      </x:c>
      <x:c r="R179" s="50" t="n">
        <x:v>0.24639568764568762</x:v>
      </x:c>
      <x:c r="S179" s="50" t="n">
        <x:v>0.18273230088495573</x:v>
      </x:c>
      <x:c r="T179" s="1" t="str">
        <x:v>上昇</x:v>
      </x:c>
      <x:c r="U179" s="49" t="n">
        <x:v>22</x:v>
      </x:c>
    </x:row>
    <x:row r="180" ht="22" customHeight="1">
      <x:c r="A180" s="1" t="str">
        <x:v>日経mini</x:v>
      </x:c>
      <x:c r="B180" s="1" t="str">
        <x:v>C09</x:v>
      </x:c>
      <x:c r="C180" s="1" t="str">
        <x:v>対照47場</x:v>
      </x:c>
      <x:c r="D180" s="47" t="n">
        <x:v>2962657</x:v>
      </x:c>
      <x:c r="E180" s="47" t="n">
        <x:v>1575433</x:v>
      </x:c>
      <x:c r="F180" s="47" t="n">
        <x:f>D180-E180</x:f>
        <x:v>1387224</x:v>
      </x:c>
      <x:c r="G180" s="49" t="n">
        <x:v>17</x:v>
      </x:c>
      <x:c r="H180" s="49" t="n">
        <x:v>8</x:v>
      </x:c>
      <x:c r="I180" s="47" t="n">
        <x:v>529981</x:v>
      </x:c>
      <x:c r="J180" s="49" t="n">
        <x:v>118</x:v>
      </x:c>
      <x:c r="K180" s="47" t="n">
        <x:v>-136764</x:v>
      </x:c>
      <x:c r="L180" s="47" t="n">
        <x:v>56112.625</x:v>
      </x:c>
      <x:c r="M180" s="48" t="n">
        <x:v>204.17866666666666</x:v>
      </x:c>
      <x:c r="N180" s="48" t="n">
        <x:v>134.3</x:v>
      </x:c>
      <x:c r="O180" s="49" t="n">
        <x:v>10</x:v>
      </x:c>
      <x:c r="P180" s="1" t="str">
        <x:v>合意入口と原板管理の統合</x:v>
      </x:c>
      <x:c r="Q180" s="49" t="n">
        <x:v>0</x:v>
      </x:c>
      <x:c r="R180" s="50" t="n">
        <x:v>0.30084322344322345</x:v>
      </x:c>
      <x:c r="S180" s="50" t="n">
        <x:v>0.23219225449515907</x:v>
      </x:c>
      <x:c r="T180" s="1" t="str">
        <x:v>下落</x:v>
      </x:c>
      <x:c r="U180" s="49" t="n">
        <x:v>25</x:v>
      </x:c>
    </x:row>
    <x:row r="181" ht="22" customHeight="1">
      <x:c r="A181" s="1" t="str">
        <x:v>日経mini</x:v>
      </x:c>
      <x:c r="B181" s="1" t="str">
        <x:v>C09</x:v>
      </x:c>
      <x:c r="C181" s="1" t="str">
        <x:v>診断3場</x:v>
      </x:c>
      <x:c r="D181" s="47" t="n">
        <x:v>137463</x:v>
      </x:c>
      <x:c r="E181" s="47" t="n">
        <x:v>248918</x:v>
      </x:c>
      <x:c r="F181" s="47" t="n">
        <x:f>D181-E181</x:f>
        <x:v>-111455</x:v>
      </x:c>
      <x:c r="G181" s="49" t="n">
        <x:v>1</x:v>
      </x:c>
      <x:c r="H181" s="49" t="n">
        <x:v>2</x:v>
      </x:c>
      <x:c r="I181" s="47" t="n">
        <x:v>-126380</x:v>
      </x:c>
      <x:c r="J181" s="49" t="n">
        <x:v>10</x:v>
      </x:c>
      <x:c r="K181" s="47" t="n">
        <x:v>-70537</x:v>
      </x:c>
      <x:c r="L181" s="47" t="n">
        <x:v>63190</x:v>
      </x:c>
      <x:c r="M181" s="48" t="n">
        <x:v>271.73333333333335</x:v>
      </x:c>
      <x:c r="N181" s="48" t="n">
        <x:v>93.14444444444445</x:v>
      </x:c>
      <x:c r="O181" s="49" t="n">
        <x:v>5</x:v>
      </x:c>
      <x:c r="P181" s="1" t="str">
        <x:v>合意入口と原板管理の統合</x:v>
      </x:c>
      <x:c r="Q181" s="49" t="n">
        <x:v>0</x:v>
      </x:c>
      <x:c r="R181" s="50" t="n">
        <x:v>0.1992022792022792</x:v>
      </x:c>
      <x:c r="S181" s="50" t="n">
        <x:v>0.14112794612794613</x:v>
      </x:c>
      <x:c r="T181" s="1" t="str">
        <x:v>全場</x:v>
      </x:c>
      <x:c r="U181" s="49" t="n">
        <x:v>3</x:v>
      </x:c>
    </x:row>
    <x:row r="182" ht="22" customHeight="1">
      <x:c r="A182" s="1" t="str">
        <x:v>日経mini</x:v>
      </x:c>
      <x:c r="B182" s="1" t="str">
        <x:v>C09</x:v>
      </x:c>
      <x:c r="C182" s="1" t="str">
        <x:v>診断3場</x:v>
      </x:c>
      <x:c r="D182" s="47" t="n">
        <x:v>32847</x:v>
      </x:c>
      <x:c r="E182" s="47" t="n">
        <x:v>88690</x:v>
      </x:c>
      <x:c r="F182" s="47" t="n">
        <x:f>D182-E182</x:f>
        <x:v>-55843</x:v>
      </x:c>
      <x:c r="G182" s="49" t="n">
        <x:v>0</x:v>
      </x:c>
      <x:c r="H182" s="49" t="n">
        <x:v>1</x:v>
      </x:c>
      <x:c r="I182" s="47" t="n">
        <x:v>-55843</x:v>
      </x:c>
      <x:c r="J182" s="49" t="n">
        <x:v>4</x:v>
      </x:c>
      <x:c r="K182" s="47" t="n">
        <x:v>-55843</x:v>
      </x:c>
      <x:c r="L182" s="47" t="n">
        <x:v>55843</x:v>
      </x:c>
      <x:c r="M182" s="48" t="n">
        <x:v>95.1</x:v>
      </x:c>
      <x:c r="N182" s="48" t="n">
        <x:v>217.81666666666666</x:v>
      </x:c>
      <x:c r="O182" s="49" t="n">
        <x:v>5</x:v>
      </x:c>
      <x:c r="P182" s="1" t="str">
        <x:v>合意入口と原板管理の統合</x:v>
      </x:c>
      <x:c r="Q182" s="49" t="n">
        <x:v>0</x:v>
      </x:c>
      <x:c r="R182" s="50" t="n">
        <x:v>0.5186111111111111</x:v>
      </x:c>
      <x:c r="S182" s="50" t="n">
        <x:v>0.5186111111111111</x:v>
      </x:c>
      <x:c r="T182" s="1" t="str">
        <x:v>デイ</x:v>
      </x:c>
      <x:c r="U182" s="49" t="n">
        <x:v>1</x:v>
      </x:c>
    </x:row>
    <x:row r="183" ht="22" customHeight="1">
      <x:c r="A183" s="1" t="str">
        <x:v>日経mini</x:v>
      </x:c>
      <x:c r="B183" s="1" t="str">
        <x:v>C09</x:v>
      </x:c>
      <x:c r="C183" s="1" t="str">
        <x:v>診断3場</x:v>
      </x:c>
      <x:c r="D183" s="47" t="n">
        <x:v>104616</x:v>
      </x:c>
      <x:c r="E183" s="47" t="n">
        <x:v>160228</x:v>
      </x:c>
      <x:c r="F183" s="47" t="n">
        <x:f>D183-E183</x:f>
        <x:v>-55612</x:v>
      </x:c>
      <x:c r="G183" s="49" t="n">
        <x:v>1</x:v>
      </x:c>
      <x:c r="H183" s="49" t="n">
        <x:v>1</x:v>
      </x:c>
      <x:c r="I183" s="47" t="n">
        <x:v>-70537</x:v>
      </x:c>
      <x:c r="J183" s="49" t="n">
        <x:v>6</x:v>
      </x:c>
      <x:c r="K183" s="47" t="n">
        <x:v>-70537</x:v>
      </x:c>
      <x:c r="L183" s="47" t="n">
        <x:v>70537</x:v>
      </x:c>
      <x:c r="M183" s="48" t="n">
        <x:v>360.05</x:v>
      </x:c>
      <x:c r="N183" s="48" t="n">
        <x:v>30.808333333333334</x:v>
      </x:c>
      <x:c r="O183" s="49" t="n">
        <x:v>5</x:v>
      </x:c>
      <x:c r="P183" s="1" t="str">
        <x:v>合意入口と原板管理の統合</x:v>
      </x:c>
      <x:c r="Q183" s="49" t="n">
        <x:v>0</x:v>
      </x:c>
      <x:c r="R183" s="50" t="n">
        <x:v>0.03949786324786325</x:v>
      </x:c>
      <x:c r="S183" s="50" t="n">
        <x:v>0.039497863247863245</x:v>
      </x:c>
      <x:c r="T183" s="1" t="str">
        <x:v>ナイト</x:v>
      </x:c>
      <x:c r="U183" s="49" t="n">
        <x:v>2</x:v>
      </x:c>
    </x:row>
    <x:row r="184" ht="22" customHeight="1">
      <x:c r="A184" s="1" t="str">
        <x:v>日経mini</x:v>
      </x:c>
      <x:c r="B184" s="1" t="str">
        <x:v>C09</x:v>
      </x:c>
      <x:c r="C184" s="1" t="str">
        <x:v>診断3場</x:v>
      </x:c>
      <x:c r="D184" s="47" t="n">
        <x:v>32847</x:v>
      </x:c>
      <x:c r="E184" s="47" t="n">
        <x:v>159227</x:v>
      </x:c>
      <x:c r="F184" s="47" t="n">
        <x:f>D184-E184</x:f>
        <x:v>-126380</x:v>
      </x:c>
      <x:c r="G184" s="49" t="n">
        <x:v>0</x:v>
      </x:c>
      <x:c r="H184" s="49" t="n">
        <x:v>2</x:v>
      </x:c>
      <x:c r="I184" s="47" t="n">
        <x:v>-126380</x:v>
      </x:c>
      <x:c r="J184" s="49" t="n">
        <x:v>6</x:v>
      </x:c>
      <x:c r="K184" s="47" t="n">
        <x:v>-70537</x:v>
      </x:c>
      <x:c r="L184" s="47" t="n">
        <x:v>63190</x:v>
      </x:c>
      <x:c r="M184" s="48" t="n">
        <x:v>227.56666666666666</x:v>
      </x:c>
      <x:c r="N184" s="48" t="n">
        <x:v>119.45833333333333</x:v>
      </x:c>
      <x:c r="O184" s="49" t="n">
        <x:v>5</x:v>
      </x:c>
      <x:c r="P184" s="1" t="str">
        <x:v>合意入口と原板管理の統合</x:v>
      </x:c>
      <x:c r="Q184" s="49" t="n">
        <x:v>0</x:v>
      </x:c>
      <x:c r="R184" s="50" t="n">
        <x:v>0.2728311965811966</x:v>
      </x:c>
      <x:c r="S184" s="50" t="n">
        <x:v>0.1990972222222222</x:v>
      </x:c>
      <x:c r="T184" s="1" t="str">
        <x:v>上昇</x:v>
      </x:c>
      <x:c r="U184" s="49" t="n">
        <x:v>2</x:v>
      </x:c>
    </x:row>
    <x:row r="185" ht="22" customHeight="1">
      <x:c r="A185" s="1" t="str">
        <x:v>日経mini</x:v>
      </x:c>
      <x:c r="B185" s="1" t="str">
        <x:v>C09</x:v>
      </x:c>
      <x:c r="C185" s="1" t="str">
        <x:v>診断3場</x:v>
      </x:c>
      <x:c r="D185" s="47" t="n">
        <x:v>104616</x:v>
      </x:c>
      <x:c r="E185" s="47" t="n">
        <x:v>89691</x:v>
      </x:c>
      <x:c r="F185" s="47" t="n">
        <x:f>D185-E185</x:f>
        <x:v>14925</x:v>
      </x:c>
      <x:c r="G185" s="49" t="n">
        <x:v>1</x:v>
      </x:c>
      <x:c r="H185" s="49" t="n">
        <x:v>0</x:v>
      </x:c>
      <x:c r="I185" s="47" t="n">
        <x:v>0</x:v>
      </x:c>
      <x:c r="J185" s="49" t="n">
        <x:v>4</x:v>
      </x:c>
      <x:c r="K185" s="47" t="n">
        <x:v>14925</x:v>
      </x:c>
      <x:c r="L185" s="47" t="n">
        <x:v>0</x:v>
      </x:c>
      <x:c r="M185" s="48" t="n">
        <x:v>360.06666666666666</x:v>
      </x:c>
      <x:c r="N185" s="48" t="n">
        <x:v>40.516666666666666</x:v>
      </x:c>
      <x:c r="O185" s="49" t="n">
        <x:v>5</x:v>
      </x:c>
      <x:c r="P185" s="1" t="str">
        <x:v>合意入口と原板管理の統合</x:v>
      </x:c>
      <x:c r="Q185" s="49" t="n">
        <x:v>0</x:v>
      </x:c>
      <x:c r="R185" s="50" t="n">
        <x:v>0.051944444444444446</x:v>
      </x:c>
      <x:c r="S185" s="50" t="n">
        <x:v>0.051944444444444446</x:v>
      </x:c>
      <x:c r="T185" s="1" t="str">
        <x:v>下落</x:v>
      </x:c>
      <x:c r="U185" s="49" t="n">
        <x:v>1</x:v>
      </x:c>
    </x:row>
    <x:row r="186" ht="22" customHeight="1">
      <x:c r="A186" s="1" t="str">
        <x:v>日経mini</x:v>
      </x:c>
      <x:c r="B186" s="1" t="str">
        <x:v>C10</x:v>
      </x:c>
      <x:c r="C186" s="1" t="str">
        <x:v>全50場</x:v>
      </x:c>
      <x:c r="D186" s="47" t="n">
        <x:v>5456467</x:v>
      </x:c>
      <x:c r="E186" s="47" t="n">
        <x:v>3279799</x:v>
      </x:c>
      <x:c r="F186" s="47" t="n">
        <x:f>D186-E186</x:f>
        <x:v>2176668</x:v>
      </x:c>
      <x:c r="G186" s="49" t="n">
        <x:v>34</x:v>
      </x:c>
      <x:c r="H186" s="49" t="n">
        <x:v>16</x:v>
      </x:c>
      <x:c r="I186" s="47" t="n">
        <x:v>1197349</x:v>
      </x:c>
      <x:c r="J186" s="49" t="n">
        <x:v>246</x:v>
      </x:c>
      <x:c r="K186" s="47" t="n">
        <x:v>-152994</x:v>
      </x:c>
      <x:c r="L186" s="47" t="n">
        <x:v>68781.3125</x:v>
      </x:c>
      <x:c r="M186" s="48" t="n">
        <x:v>211.827</x:v>
      </x:c>
      <x:c r="N186" s="48" t="n">
        <x:v>126.37700000000001</x:v>
      </x:c>
      <x:c r="O186" s="49" t="n">
        <x:v>10</x:v>
      </x:c>
      <x:c r="P186" s="1" t="str">
        <x:v>再失敗入口と進捗管理の統合</x:v>
      </x:c>
      <x:c r="Q186" s="49" t="n">
        <x:v>0</x:v>
      </x:c>
      <x:c r="R186" s="50" t="n">
        <x:v>0.28073095238095236</x:v>
      </x:c>
      <x:c r="S186" s="50" t="n">
        <x:v>0.21062833333333333</x:v>
      </x:c>
      <x:c r="T186" s="1" t="str">
        <x:v>全場</x:v>
      </x:c>
      <x:c r="U186" s="49" t="n">
        <x:v>50</x:v>
      </x:c>
    </x:row>
    <x:row r="187" ht="22" customHeight="1">
      <x:c r="A187" s="1" t="str">
        <x:v>日経mini</x:v>
      </x:c>
      <x:c r="B187" s="1" t="str">
        <x:v>C10</x:v>
      </x:c>
      <x:c r="C187" s="1" t="str">
        <x:v>全50場</x:v>
      </x:c>
      <x:c r="D187" s="47" t="n">
        <x:v>3539818</x:v>
      </x:c>
      <x:c r="E187" s="47" t="n">
        <x:v>2243888</x:v>
      </x:c>
      <x:c r="F187" s="47" t="n">
        <x:f>D187-E187</x:f>
        <x:v>1295930</x:v>
      </x:c>
      <x:c r="G187" s="49" t="n">
        <x:v>16</x:v>
      </x:c>
      <x:c r="H187" s="49" t="n">
        <x:v>9</x:v>
      </x:c>
      <x:c r="I187" s="47" t="n">
        <x:v>420382</x:v>
      </x:c>
      <x:c r="J187" s="49" t="n">
        <x:v>159</x:v>
      </x:c>
      <x:c r="K187" s="47" t="n">
        <x:v>-152994</x:v>
      </x:c>
      <x:c r="L187" s="47" t="n">
        <x:v>75116.11111111111</x:v>
      </x:c>
      <x:c r="M187" s="48" t="n">
        <x:v>86.55333333333334</x:v>
      </x:c>
      <x:c r="N187" s="48" t="n">
        <x:v>216.0506666666667</x:v>
      </x:c>
      <x:c r="O187" s="49" t="n">
        <x:v>10</x:v>
      </x:c>
      <x:c r="P187" s="1" t="str">
        <x:v>再失敗入口と進捗管理の統合</x:v>
      </x:c>
      <x:c r="Q187" s="49" t="n">
        <x:v>0</x:v>
      </x:c>
      <x:c r="R187" s="50" t="n">
        <x:v>0.5144063492063492</x:v>
      </x:c>
      <x:c r="S187" s="50" t="n">
        <x:v>0.5144063492063492</x:v>
      </x:c>
      <x:c r="T187" s="1" t="str">
        <x:v>デイ</x:v>
      </x:c>
      <x:c r="U187" s="49" t="n">
        <x:v>25</x:v>
      </x:c>
    </x:row>
    <x:row r="188" ht="22" customHeight="1">
      <x:c r="A188" s="1" t="str">
        <x:v>日経mini</x:v>
      </x:c>
      <x:c r="B188" s="1" t="str">
        <x:v>C10</x:v>
      </x:c>
      <x:c r="C188" s="1" t="str">
        <x:v>全50場</x:v>
      </x:c>
      <x:c r="D188" s="47" t="n">
        <x:v>1916649</x:v>
      </x:c>
      <x:c r="E188" s="47" t="n">
        <x:v>1035911</x:v>
      </x:c>
      <x:c r="F188" s="47" t="n">
        <x:f>D188-E188</x:f>
        <x:v>880738</x:v>
      </x:c>
      <x:c r="G188" s="49" t="n">
        <x:v>18</x:v>
      </x:c>
      <x:c r="H188" s="49" t="n">
        <x:v>7</x:v>
      </x:c>
      <x:c r="I188" s="47" t="n">
        <x:v>246960</x:v>
      </x:c>
      <x:c r="J188" s="49" t="n">
        <x:v>87</x:v>
      </x:c>
      <x:c r="K188" s="47" t="n">
        <x:v>-126462</x:v>
      </x:c>
      <x:c r="L188" s="47" t="n">
        <x:v>60636.57142857143</x:v>
      </x:c>
      <x:c r="M188" s="48" t="n">
        <x:v>337.10066666666665</x:v>
      </x:c>
      <x:c r="N188" s="48" t="n">
        <x:v>36.70333333333333</x:v>
      </x:c>
      <x:c r="O188" s="49" t="n">
        <x:v>7</x:v>
      </x:c>
      <x:c r="P188" s="1" t="str">
        <x:v>再失敗入口と進捗管理の統合</x:v>
      </x:c>
      <x:c r="Q188" s="49" t="n">
        <x:v>0</x:v>
      </x:c>
      <x:c r="R188" s="50" t="n">
        <x:v>0.04705555555555556</x:v>
      </x:c>
      <x:c r="S188" s="50" t="n">
        <x:v>0.04705555555555556</x:v>
      </x:c>
      <x:c r="T188" s="1" t="str">
        <x:v>ナイト</x:v>
      </x:c>
      <x:c r="U188" s="49" t="n">
        <x:v>25</x:v>
      </x:c>
    </x:row>
    <x:row r="189" ht="22" customHeight="1">
      <x:c r="A189" s="1" t="str">
        <x:v>日経mini</x:v>
      </x:c>
      <x:c r="B189" s="1" t="str">
        <x:v>C10</x:v>
      </x:c>
      <x:c r="C189" s="1" t="str">
        <x:v>全50場</x:v>
      </x:c>
      <x:c r="D189" s="47" t="n">
        <x:v>2287652</x:v>
      </x:c>
      <x:c r="E189" s="47" t="n">
        <x:v>1617126</x:v>
      </x:c>
      <x:c r="F189" s="47" t="n">
        <x:f>D189-E189</x:f>
        <x:v>670526</x:v>
      </x:c>
      <x:c r="G189" s="49" t="n">
        <x:v>15</x:v>
      </x:c>
      <x:c r="H189" s="49" t="n">
        <x:v>9</x:v>
      </x:c>
      <x:c r="I189" s="47" t="n">
        <x:v>-79870</x:v>
      </x:c>
      <x:c r="J189" s="49" t="n">
        <x:v>121</x:v>
      </x:c>
      <x:c r="K189" s="47" t="n">
        <x:v>-152994</x:v>
      </x:c>
      <x:c r="L189" s="47" t="n">
        <x:v>80732.66666666667</x:v>
      </x:c>
      <x:c r="M189" s="48" t="n">
        <x:v>213.6173611111111</x:v>
      </x:c>
      <x:c r="N189" s="48" t="n">
        <x:v>123.02152777777776</x:v>
      </x:c>
      <x:c r="O189" s="49" t="n">
        <x:v>10</x:v>
      </x:c>
      <x:c r="P189" s="1" t="str">
        <x:v>再失敗入口と進捗管理の統合</x:v>
      </x:c>
      <x:c r="Q189" s="49" t="n">
        <x:v>0</x:v>
      </x:c>
      <x:c r="R189" s="50" t="n">
        <x:v>0.2722025081400082</x:v>
      </x:c>
      <x:c r="S189" s="50" t="n">
        <x:v>0.20003500451671186</x:v>
      </x:c>
      <x:c r="T189" s="1" t="str">
        <x:v>上昇</x:v>
      </x:c>
      <x:c r="U189" s="49" t="n">
        <x:v>24</x:v>
      </x:c>
    </x:row>
    <x:row r="190" ht="22" customHeight="1">
      <x:c r="A190" s="1" t="str">
        <x:v>日経mini</x:v>
      </x:c>
      <x:c r="B190" s="1" t="str">
        <x:v>C10</x:v>
      </x:c>
      <x:c r="C190" s="1" t="str">
        <x:v>全50場</x:v>
      </x:c>
      <x:c r="D190" s="47" t="n">
        <x:v>3168815</x:v>
      </x:c>
      <x:c r="E190" s="47" t="n">
        <x:v>1662673</x:v>
      </x:c>
      <x:c r="F190" s="47" t="n">
        <x:f>D190-E190</x:f>
        <x:v>1506142</x:v>
      </x:c>
      <x:c r="G190" s="49" t="n">
        <x:v>19</x:v>
      </x:c>
      <x:c r="H190" s="49" t="n">
        <x:v>7</x:v>
      </x:c>
      <x:c r="I190" s="47" t="n">
        <x:v>658901</x:v>
      </x:c>
      <x:c r="J190" s="49" t="n">
        <x:v>125</x:v>
      </x:c>
      <x:c r="K190" s="47" t="n">
        <x:v>-106152</x:v>
      </x:c>
      <x:c r="L190" s="47" t="n">
        <x:v>53415.28571428572</x:v>
      </x:c>
      <x:c r="M190" s="48" t="n">
        <x:v>210.17435897435897</x:v>
      </x:c>
      <x:c r="N190" s="48" t="n">
        <x:v>129.47435897435898</x:v>
      </x:c>
      <x:c r="O190" s="49" t="n">
        <x:v>10</x:v>
      </x:c>
      <x:c r="P190" s="1" t="str">
        <x:v>再失敗入口と進捗管理の統合</x:v>
      </x:c>
      <x:c r="Q190" s="49" t="n">
        <x:v>0</x:v>
      </x:c>
      <x:c r="R190" s="50" t="n">
        <x:v>0.2886033624495163</x:v>
      </x:c>
      <x:c r="S190" s="50" t="n">
        <x:v>0.22088801399825023</x:v>
      </x:c>
      <x:c r="T190" s="1" t="str">
        <x:v>下落</x:v>
      </x:c>
      <x:c r="U190" s="49" t="n">
        <x:v>26</x:v>
      </x:c>
    </x:row>
    <x:row r="191" ht="22" customHeight="1">
      <x:c r="A191" s="1" t="str">
        <x:v>日経mini</x:v>
      </x:c>
      <x:c r="B191" s="1" t="str">
        <x:v>C10</x:v>
      </x:c>
      <x:c r="C191" s="1" t="str">
        <x:v>対照47場</x:v>
      </x:c>
      <x:c r="D191" s="47" t="n">
        <x:v>5291004</x:v>
      </x:c>
      <x:c r="E191" s="47" t="n">
        <x:v>3038033</x:v>
      </x:c>
      <x:c r="F191" s="47" t="n">
        <x:f>D191-E191</x:f>
        <x:v>2252971</x:v>
      </x:c>
      <x:c r="G191" s="49" t="n">
        <x:v>33</x:v>
      </x:c>
      <x:c r="H191" s="49" t="n">
        <x:v>14</x:v>
      </x:c>
      <x:c r="I191" s="47" t="n">
        <x:v>1273652</x:v>
      </x:c>
      <x:c r="J191" s="49" t="n">
        <x:v>237</x:v>
      </x:c>
      <x:c r="K191" s="47" t="n">
        <x:v>-152994</x:v>
      </x:c>
      <x:c r="L191" s="47" t="n">
        <x:v>70722.78571428571</x:v>
      </x:c>
      <x:c r="M191" s="48" t="n">
        <x:v>208.00319148936165</x:v>
      </x:c>
      <x:c r="N191" s="48" t="n">
        <x:v>128.61631205673757</x:v>
      </x:c>
      <x:c r="O191" s="49" t="n">
        <x:v>10</x:v>
      </x:c>
      <x:c r="P191" s="1" t="str">
        <x:v>再失敗入口と進捗管理の統合</x:v>
      </x:c>
      <x:c r="Q191" s="49" t="n">
        <x:v>0</x:v>
      </x:c>
      <x:c r="R191" s="50" t="n">
        <x:v>0.2860863014054503</x:v>
      </x:c>
      <x:c r="S191" s="50" t="n">
        <x:v>0.2157375684035213</x:v>
      </x:c>
      <x:c r="T191" s="1" t="str">
        <x:v>全場</x:v>
      </x:c>
      <x:c r="U191" s="49" t="n">
        <x:v>47</x:v>
      </x:c>
    </x:row>
    <x:row r="192" ht="22" customHeight="1">
      <x:c r="A192" s="1" t="str">
        <x:v>日経mini</x:v>
      </x:c>
      <x:c r="B192" s="1" t="str">
        <x:v>C10</x:v>
      </x:c>
      <x:c r="C192" s="1" t="str">
        <x:v>対照47場</x:v>
      </x:c>
      <x:c r="D192" s="47" t="n">
        <x:v>3478971</x:v>
      </x:c>
      <x:c r="E192" s="47" t="n">
        <x:v>2152197</x:v>
      </x:c>
      <x:c r="F192" s="47" t="n">
        <x:f>D192-E192</x:f>
        <x:v>1326774</x:v>
      </x:c>
      <x:c r="G192" s="49" t="n">
        <x:v>16</x:v>
      </x:c>
      <x:c r="H192" s="49" t="n">
        <x:v>8</x:v>
      </x:c>
      <x:c r="I192" s="47" t="n">
        <x:v>451226</x:v>
      </x:c>
      <x:c r="J192" s="49" t="n">
        <x:v>155</x:v>
      </x:c>
      <x:c r="K192" s="47" t="n">
        <x:v>-152994</x:v>
      </x:c>
      <x:c r="L192" s="47" t="n">
        <x:v>80650.125</x:v>
      </x:c>
      <x:c r="M192" s="48" t="n">
        <x:v>86.19722222222224</x:v>
      </x:c>
      <x:c r="N192" s="48" t="n">
        <x:v>215.97708333333335</x:v>
      </x:c>
      <x:c r="O192" s="49" t="n">
        <x:v>10</x:v>
      </x:c>
      <x:c r="P192" s="1" t="str">
        <x:v>再失敗入口と進捗管理の統合</x:v>
      </x:c>
      <x:c r="Q192" s="49" t="n">
        <x:v>0</x:v>
      </x:c>
      <x:c r="R192" s="50" t="n">
        <x:v>0.5142311507936508</x:v>
      </x:c>
      <x:c r="S192" s="50" t="n">
        <x:v>0.5142311507936508</x:v>
      </x:c>
      <x:c r="T192" s="1" t="str">
        <x:v>デイ</x:v>
      </x:c>
      <x:c r="U192" s="49" t="n">
        <x:v>24</x:v>
      </x:c>
    </x:row>
    <x:row r="193" ht="22" customHeight="1">
      <x:c r="A193" s="1" t="str">
        <x:v>日経mini</x:v>
      </x:c>
      <x:c r="B193" s="1" t="str">
        <x:v>C10</x:v>
      </x:c>
      <x:c r="C193" s="1" t="str">
        <x:v>対照47場</x:v>
      </x:c>
      <x:c r="D193" s="47" t="n">
        <x:v>1812033</x:v>
      </x:c>
      <x:c r="E193" s="47" t="n">
        <x:v>885836</x:v>
      </x:c>
      <x:c r="F193" s="47" t="n">
        <x:f>D193-E193</x:f>
        <x:v>926197</x:v>
      </x:c>
      <x:c r="G193" s="49" t="n">
        <x:v>17</x:v>
      </x:c>
      <x:c r="H193" s="49" t="n">
        <x:v>6</x:v>
      </x:c>
      <x:c r="I193" s="47" t="n">
        <x:v>292419</x:v>
      </x:c>
      <x:c r="J193" s="49" t="n">
        <x:v>82</x:v>
      </x:c>
      <x:c r="K193" s="47" t="n">
        <x:v>-126462</x:v>
      </x:c>
      <x:c r="L193" s="47" t="n">
        <x:v>57486.333333333336</x:v>
      </x:c>
      <x:c r="M193" s="48" t="n">
        <x:v>335.10507246376807</x:v>
      </x:c>
      <x:c r="N193" s="48" t="n">
        <x:v>37.4572463768116</x:v>
      </x:c>
      <x:c r="O193" s="49" t="n">
        <x:v>7</x:v>
      </x:c>
      <x:c r="P193" s="1" t="str">
        <x:v>再失敗入口と進捗管理の統合</x:v>
      </x:c>
      <x:c r="Q193" s="49" t="n">
        <x:v>0</x:v>
      </x:c>
      <x:c r="R193" s="50" t="n">
        <x:v>0.04802211073950204</x:v>
      </x:c>
      <x:c r="S193" s="50" t="n">
        <x:v>0.04802211073950204</x:v>
      </x:c>
      <x:c r="T193" s="1" t="str">
        <x:v>ナイト</x:v>
      </x:c>
      <x:c r="U193" s="49" t="n">
        <x:v>23</x:v>
      </x:c>
    </x:row>
    <x:row r="194" ht="22" customHeight="1">
      <x:c r="A194" s="1" t="str">
        <x:v>日経mini</x:v>
      </x:c>
      <x:c r="B194" s="1" t="str">
        <x:v>C10</x:v>
      </x:c>
      <x:c r="C194" s="1" t="str">
        <x:v>対照47場</x:v>
      </x:c>
      <x:c r="D194" s="47" t="n">
        <x:v>2226805</x:v>
      </x:c>
      <x:c r="E194" s="47" t="n">
        <x:v>1445897</x:v>
      </x:c>
      <x:c r="F194" s="47" t="n">
        <x:f>D194-E194</x:f>
        <x:v>780908</x:v>
      </x:c>
      <x:c r="G194" s="49" t="n">
        <x:v>15</x:v>
      </x:c>
      <x:c r="H194" s="49" t="n">
        <x:v>7</x:v>
      </x:c>
      <x:c r="I194" s="47" t="n">
        <x:v>30512</x:v>
      </x:c>
      <x:c r="J194" s="49" t="n">
        <x:v>115</x:v>
      </x:c>
      <x:c r="K194" s="47" t="n">
        <x:v>-152994</x:v>
      </x:c>
      <x:c r="L194" s="47" t="n">
        <x:v>88030.28571428571</x:v>
      </x:c>
      <x:c r="M194" s="48" t="n">
        <x:v>212.34924242424242</x:v>
      </x:c>
      <x:c r="N194" s="48" t="n">
        <x:v>123.34545454545454</x:v>
      </x:c>
      <x:c r="O194" s="49" t="n">
        <x:v>10</x:v>
      </x:c>
      <x:c r="P194" s="1" t="str">
        <x:v>再失敗入口と進捗管理の統合</x:v>
      </x:c>
      <x:c r="Q194" s="49" t="n">
        <x:v>0</x:v>
      </x:c>
      <x:c r="R194" s="50" t="n">
        <x:v>0.27214535464535466</x:v>
      </x:c>
      <x:c r="S194" s="50" t="n">
        <x:v>0.200117994100295</x:v>
      </x:c>
      <x:c r="T194" s="1" t="str">
        <x:v>上昇</x:v>
      </x:c>
      <x:c r="U194" s="49" t="n">
        <x:v>22</x:v>
      </x:c>
    </x:row>
    <x:row r="195" ht="22" customHeight="1">
      <x:c r="A195" s="1" t="str">
        <x:v>日経mini</x:v>
      </x:c>
      <x:c r="B195" s="1" t="str">
        <x:v>C10</x:v>
      </x:c>
      <x:c r="C195" s="1" t="str">
        <x:v>対照47場</x:v>
      </x:c>
      <x:c r="D195" s="47" t="n">
        <x:v>3064199</x:v>
      </x:c>
      <x:c r="E195" s="47" t="n">
        <x:v>1592136</x:v>
      </x:c>
      <x:c r="F195" s="47" t="n">
        <x:f>D195-E195</x:f>
        <x:v>1472063</x:v>
      </x:c>
      <x:c r="G195" s="49" t="n">
        <x:v>18</x:v>
      </x:c>
      <x:c r="H195" s="49" t="n">
        <x:v>7</x:v>
      </x:c>
      <x:c r="I195" s="47" t="n">
        <x:v>624822</x:v>
      </x:c>
      <x:c r="J195" s="49" t="n">
        <x:v>122</x:v>
      </x:c>
      <x:c r="K195" s="47" t="n">
        <x:v>-106152</x:v>
      </x:c>
      <x:c r="L195" s="47" t="n">
        <x:v>53415.28571428572</x:v>
      </x:c>
      <x:c r="M195" s="48" t="n">
        <x:v>204.17866666666666</x:v>
      </x:c>
      <x:c r="N195" s="48" t="n">
        <x:v>133.25466666666668</x:v>
      </x:c>
      <x:c r="O195" s="49" t="n">
        <x:v>10</x:v>
      </x:c>
      <x:c r="P195" s="1" t="str">
        <x:v>再失敗入口と進捗管理の統合</x:v>
      </x:c>
      <x:c r="Q195" s="49" t="n">
        <x:v>0</x:v>
      </x:c>
      <x:c r="R195" s="50" t="n">
        <x:v>0.2983543345543346</x:v>
      </x:c>
      <x:c r="S195" s="50" t="n">
        <x:v>0.23038497003227296</x:v>
      </x:c>
      <x:c r="T195" s="1" t="str">
        <x:v>下落</x:v>
      </x:c>
      <x:c r="U195" s="49" t="n">
        <x:v>25</x:v>
      </x:c>
    </x:row>
    <x:row r="196" ht="22" customHeight="1">
      <x:c r="A196" s="1" t="str">
        <x:v>日経mini</x:v>
      </x:c>
      <x:c r="B196" s="1" t="str">
        <x:v>C10</x:v>
      </x:c>
      <x:c r="C196" s="1" t="str">
        <x:v>診断3場</x:v>
      </x:c>
      <x:c r="D196" s="47" t="n">
        <x:v>165463</x:v>
      </x:c>
      <x:c r="E196" s="47" t="n">
        <x:v>241766</x:v>
      </x:c>
      <x:c r="F196" s="47" t="n">
        <x:f>D196-E196</x:f>
        <x:v>-76303</x:v>
      </x:c>
      <x:c r="G196" s="49" t="n">
        <x:v>1</x:v>
      </x:c>
      <x:c r="H196" s="49" t="n">
        <x:v>2</x:v>
      </x:c>
      <x:c r="I196" s="47" t="n">
        <x:v>-110382</x:v>
      </x:c>
      <x:c r="J196" s="49" t="n">
        <x:v>9</x:v>
      </x:c>
      <x:c r="K196" s="47" t="n">
        <x:v>-79538</x:v>
      </x:c>
      <x:c r="L196" s="47" t="n">
        <x:v>55191</x:v>
      </x:c>
      <x:c r="M196" s="48" t="n">
        <x:v>271.73333333333335</x:v>
      </x:c>
      <x:c r="N196" s="48" t="n">
        <x:v>91.29444444444444</x:v>
      </x:c>
      <x:c r="O196" s="49" t="n">
        <x:v>5</x:v>
      </x:c>
      <x:c r="P196" s="1" t="str">
        <x:v>再失敗入口と進捗管理の統合</x:v>
      </x:c>
      <x:c r="Q196" s="49" t="n">
        <x:v>0</x:v>
      </x:c>
      <x:c r="R196" s="50" t="n">
        <x:v>0.19683048433048433</x:v>
      </x:c>
      <x:c r="S196" s="50" t="n">
        <x:v>0.13832491582491582</x:v>
      </x:c>
      <x:c r="T196" s="1" t="str">
        <x:v>全場</x:v>
      </x:c>
      <x:c r="U196" s="49" t="n">
        <x:v>3</x:v>
      </x:c>
    </x:row>
    <x:row r="197" ht="22" customHeight="1">
      <x:c r="A197" s="1" t="str">
        <x:v>日経mini</x:v>
      </x:c>
      <x:c r="B197" s="1" t="str">
        <x:v>C10</x:v>
      </x:c>
      <x:c r="C197" s="1" t="str">
        <x:v>診断3場</x:v>
      </x:c>
      <x:c r="D197" s="47" t="n">
        <x:v>60847</x:v>
      </x:c>
      <x:c r="E197" s="47" t="n">
        <x:v>91691</x:v>
      </x:c>
      <x:c r="F197" s="47" t="n">
        <x:f>D197-E197</x:f>
        <x:v>-30844</x:v>
      </x:c>
      <x:c r="G197" s="49" t="n">
        <x:v>0</x:v>
      </x:c>
      <x:c r="H197" s="49" t="n">
        <x:v>1</x:v>
      </x:c>
      <x:c r="I197" s="47" t="n">
        <x:v>-30844</x:v>
      </x:c>
      <x:c r="J197" s="49" t="n">
        <x:v>4</x:v>
      </x:c>
      <x:c r="K197" s="47" t="n">
        <x:v>-30844</x:v>
      </x:c>
      <x:c r="L197" s="47" t="n">
        <x:v>30844</x:v>
      </x:c>
      <x:c r="M197" s="48" t="n">
        <x:v>95.1</x:v>
      </x:c>
      <x:c r="N197" s="48" t="n">
        <x:v>217.81666666666666</x:v>
      </x:c>
      <x:c r="O197" s="49" t="n">
        <x:v>5</x:v>
      </x:c>
      <x:c r="P197" s="1" t="str">
        <x:v>再失敗入口と進捗管理の統合</x:v>
      </x:c>
      <x:c r="Q197" s="49" t="n">
        <x:v>0</x:v>
      </x:c>
      <x:c r="R197" s="50" t="n">
        <x:v>0.5186111111111111</x:v>
      </x:c>
      <x:c r="S197" s="50" t="n">
        <x:v>0.5186111111111111</x:v>
      </x:c>
      <x:c r="T197" s="1" t="str">
        <x:v>デイ</x:v>
      </x:c>
      <x:c r="U197" s="49" t="n">
        <x:v>1</x:v>
      </x:c>
    </x:row>
    <x:row r="198" ht="22" customHeight="1">
      <x:c r="A198" s="1" t="str">
        <x:v>日経mini</x:v>
      </x:c>
      <x:c r="B198" s="1" t="str">
        <x:v>C10</x:v>
      </x:c>
      <x:c r="C198" s="1" t="str">
        <x:v>診断3場</x:v>
      </x:c>
      <x:c r="D198" s="47" t="n">
        <x:v>104616</x:v>
      </x:c>
      <x:c r="E198" s="47" t="n">
        <x:v>150075</x:v>
      </x:c>
      <x:c r="F198" s="47" t="n">
        <x:f>D198-E198</x:f>
        <x:v>-45459</x:v>
      </x:c>
      <x:c r="G198" s="49" t="n">
        <x:v>1</x:v>
      </x:c>
      <x:c r="H198" s="49" t="n">
        <x:v>1</x:v>
      </x:c>
      <x:c r="I198" s="47" t="n">
        <x:v>-79538</x:v>
      </x:c>
      <x:c r="J198" s="49" t="n">
        <x:v>5</x:v>
      </x:c>
      <x:c r="K198" s="47" t="n">
        <x:v>-79538</x:v>
      </x:c>
      <x:c r="L198" s="47" t="n">
        <x:v>79538</x:v>
      </x:c>
      <x:c r="M198" s="48" t="n">
        <x:v>360.05</x:v>
      </x:c>
      <x:c r="N198" s="48" t="n">
        <x:v>28.033333333333335</x:v>
      </x:c>
      <x:c r="O198" s="49" t="n">
        <x:v>5</x:v>
      </x:c>
      <x:c r="P198" s="1" t="str">
        <x:v>再失敗入口と進捗管理の統合</x:v>
      </x:c>
      <x:c r="Q198" s="49" t="n">
        <x:v>0</x:v>
      </x:c>
      <x:c r="R198" s="50" t="n">
        <x:v>0.03594017094017094</x:v>
      </x:c>
      <x:c r="S198" s="50" t="n">
        <x:v>0.03594017094017094</x:v>
      </x:c>
      <x:c r="T198" s="1" t="str">
        <x:v>ナイト</x:v>
      </x:c>
      <x:c r="U198" s="49" t="n">
        <x:v>2</x:v>
      </x:c>
    </x:row>
    <x:row r="199" ht="22" customHeight="1">
      <x:c r="A199" s="1" t="str">
        <x:v>日経mini</x:v>
      </x:c>
      <x:c r="B199" s="1" t="str">
        <x:v>C10</x:v>
      </x:c>
      <x:c r="C199" s="1" t="str">
        <x:v>診断3場</x:v>
      </x:c>
      <x:c r="D199" s="47" t="n">
        <x:v>60847</x:v>
      </x:c>
      <x:c r="E199" s="47" t="n">
        <x:v>171229</x:v>
      </x:c>
      <x:c r="F199" s="47" t="n">
        <x:f>D199-E199</x:f>
        <x:v>-110382</x:v>
      </x:c>
      <x:c r="G199" s="49" t="n">
        <x:v>0</x:v>
      </x:c>
      <x:c r="H199" s="49" t="n">
        <x:v>2</x:v>
      </x:c>
      <x:c r="I199" s="47" t="n">
        <x:v>-110382</x:v>
      </x:c>
      <x:c r="J199" s="49" t="n">
        <x:v>6</x:v>
      </x:c>
      <x:c r="K199" s="47" t="n">
        <x:v>-79538</x:v>
      </x:c>
      <x:c r="L199" s="47" t="n">
        <x:v>55191</x:v>
      </x:c>
      <x:c r="M199" s="48" t="n">
        <x:v>227.56666666666666</x:v>
      </x:c>
      <x:c r="N199" s="48" t="n">
        <x:v>119.45833333333333</x:v>
      </x:c>
      <x:c r="O199" s="49" t="n">
        <x:v>5</x:v>
      </x:c>
      <x:c r="P199" s="1" t="str">
        <x:v>再失敗入口と進捗管理の統合</x:v>
      </x:c>
      <x:c r="Q199" s="49" t="n">
        <x:v>0</x:v>
      </x:c>
      <x:c r="R199" s="50" t="n">
        <x:v>0.2728311965811966</x:v>
      </x:c>
      <x:c r="S199" s="50" t="n">
        <x:v>0.1990972222222222</x:v>
      </x:c>
      <x:c r="T199" s="1" t="str">
        <x:v>上昇</x:v>
      </x:c>
      <x:c r="U199" s="49" t="n">
        <x:v>2</x:v>
      </x:c>
    </x:row>
    <x:row r="200" ht="22" customHeight="1">
      <x:c r="A200" s="1" t="str">
        <x:v>日経mini</x:v>
      </x:c>
      <x:c r="B200" s="1" t="str">
        <x:v>C10</x:v>
      </x:c>
      <x:c r="C200" s="1" t="str">
        <x:v>診断3場</x:v>
      </x:c>
      <x:c r="D200" s="47" t="n">
        <x:v>104616</x:v>
      </x:c>
      <x:c r="E200" s="47" t="n">
        <x:v>70537</x:v>
      </x:c>
      <x:c r="F200" s="47" t="n">
        <x:f>D200-E200</x:f>
        <x:v>34079</x:v>
      </x:c>
      <x:c r="G200" s="49" t="n">
        <x:v>1</x:v>
      </x:c>
      <x:c r="H200" s="49" t="n">
        <x:v>0</x:v>
      </x:c>
      <x:c r="I200" s="47" t="n">
        <x:v>0</x:v>
      </x:c>
      <x:c r="J200" s="49" t="n">
        <x:v>3</x:v>
      </x:c>
      <x:c r="K200" s="47" t="n">
        <x:v>34079</x:v>
      </x:c>
      <x:c r="L200" s="47" t="n">
        <x:v>0</x:v>
      </x:c>
      <x:c r="M200" s="48" t="n">
        <x:v>360.06666666666666</x:v>
      </x:c>
      <x:c r="N200" s="48" t="n">
        <x:v>34.96666666666667</x:v>
      </x:c>
      <x:c r="O200" s="49" t="n">
        <x:v>5</x:v>
      </x:c>
      <x:c r="P200" s="1" t="str">
        <x:v>再失敗入口と進捗管理の統合</x:v>
      </x:c>
      <x:c r="Q200" s="49" t="n">
        <x:v>0</x:v>
      </x:c>
      <x:c r="R200" s="50" t="n">
        <x:v>0.04482905982905983</x:v>
      </x:c>
      <x:c r="S200" s="50" t="n">
        <x:v>0.04482905982905983</x:v>
      </x:c>
      <x:c r="T200" s="1" t="str">
        <x:v>下落</x:v>
      </x:c>
      <x:c r="U200" s="49" t="n">
        <x:v>1</x:v>
      </x:c>
    </x:row>
    <x:row r="201" ht="22" customHeight="1">
      <x:c r="A201" s="1" t="str">
        <x:v>日経mini</x:v>
      </x:c>
      <x:c r="B201" s="1" t="str">
        <x:v>C11</x:v>
      </x:c>
      <x:c r="C201" s="1" t="str">
        <x:v>全50場</x:v>
      </x:c>
      <x:c r="D201" s="47" t="n">
        <x:v>5253689</x:v>
      </x:c>
      <x:c r="E201" s="47" t="n">
        <x:v>3132473</x:v>
      </x:c>
      <x:c r="F201" s="47" t="n">
        <x:f>D201-E201</x:f>
        <x:v>2121216</x:v>
      </x:c>
      <x:c r="G201" s="49" t="n">
        <x:v>32</x:v>
      </x:c>
      <x:c r="H201" s="49" t="n">
        <x:v>18</x:v>
      </x:c>
      <x:c r="I201" s="47" t="n">
        <x:v>1123895</x:v>
      </x:c>
      <x:c r="J201" s="49" t="n">
        <x:v>227</x:v>
      </x:c>
      <x:c r="K201" s="47" t="n">
        <x:v>-144763</x:v>
      </x:c>
      <x:c r="L201" s="47" t="n">
        <x:v>65364.666666666664</x:v>
      </x:c>
      <x:c r="M201" s="48" t="n">
        <x:v>211.827</x:v>
      </x:c>
      <x:c r="N201" s="48" t="n">
        <x:v>125.781</x:v>
      </x:c>
      <x:c r="O201" s="49" t="n">
        <x:v>10</x:v>
      </x:c>
      <x:c r="P201" s="1" t="str">
        <x:v>再失敗入口と複合管理の統合</x:v>
      </x:c>
      <x:c r="Q201" s="49" t="n">
        <x:v>0</x:v>
      </x:c>
      <x:c r="R201" s="50" t="n">
        <x:v>0.27931190476190476</x:v>
      </x:c>
      <x:c r="S201" s="50" t="n">
        <x:v>0.20963500000000002</x:v>
      </x:c>
      <x:c r="T201" s="1" t="str">
        <x:v>全場</x:v>
      </x:c>
      <x:c r="U201" s="49" t="n">
        <x:v>50</x:v>
      </x:c>
    </x:row>
    <x:row r="202" ht="22" customHeight="1">
      <x:c r="A202" s="1" t="str">
        <x:v>日経mini</x:v>
      </x:c>
      <x:c r="B202" s="1" t="str">
        <x:v>C11</x:v>
      </x:c>
      <x:c r="C202" s="1" t="str">
        <x:v>全50場</x:v>
      </x:c>
      <x:c r="D202" s="47" t="n">
        <x:v>3337040</x:v>
      </x:c>
      <x:c r="E202" s="47" t="n">
        <x:v>2130566</x:v>
      </x:c>
      <x:c r="F202" s="47" t="n">
        <x:f>D202-E202</x:f>
        <x:v>1206474</x:v>
      </x:c>
      <x:c r="G202" s="49" t="n">
        <x:v>14</x:v>
      </x:c>
      <x:c r="H202" s="49" t="n">
        <x:v>11</x:v>
      </x:c>
      <x:c r="I202" s="47" t="n">
        <x:v>337924</x:v>
      </x:c>
      <x:c r="J202" s="49" t="n">
        <x:v>140</x:v>
      </x:c>
      <x:c r="K202" s="47" t="n">
        <x:v>-144763</x:v>
      </x:c>
      <x:c r="L202" s="47" t="n">
        <x:v>69646.36363636363</x:v>
      </x:c>
      <x:c r="M202" s="48" t="n">
        <x:v>86.55333333333334</x:v>
      </x:c>
      <x:c r="N202" s="48" t="n">
        <x:v>214.85866666666664</x:v>
      </x:c>
      <x:c r="O202" s="49" t="n">
        <x:v>10</x:v>
      </x:c>
      <x:c r="P202" s="1" t="str">
        <x:v>再失敗入口と複合管理の統合</x:v>
      </x:c>
      <x:c r="Q202" s="49" t="n">
        <x:v>0</x:v>
      </x:c>
      <x:c r="R202" s="50" t="n">
        <x:v>0.511568253968254</x:v>
      </x:c>
      <x:c r="S202" s="50" t="n">
        <x:v>0.5115682539682539</x:v>
      </x:c>
      <x:c r="T202" s="1" t="str">
        <x:v>デイ</x:v>
      </x:c>
      <x:c r="U202" s="49" t="n">
        <x:v>25</x:v>
      </x:c>
    </x:row>
    <x:row r="203" ht="22" customHeight="1">
      <x:c r="A203" s="1" t="str">
        <x:v>日経mini</x:v>
      </x:c>
      <x:c r="B203" s="1" t="str">
        <x:v>C11</x:v>
      </x:c>
      <x:c r="C203" s="1" t="str">
        <x:v>全50場</x:v>
      </x:c>
      <x:c r="D203" s="47" t="n">
        <x:v>1916649</x:v>
      </x:c>
      <x:c r="E203" s="47" t="n">
        <x:v>1001907</x:v>
      </x:c>
      <x:c r="F203" s="47" t="n">
        <x:f>D203-E203</x:f>
        <x:v>914742</x:v>
      </x:c>
      <x:c r="G203" s="49" t="n">
        <x:v>18</x:v>
      </x:c>
      <x:c r="H203" s="49" t="n">
        <x:v>7</x:v>
      </x:c>
      <x:c r="I203" s="47" t="n">
        <x:v>280964</x:v>
      </x:c>
      <x:c r="J203" s="49" t="n">
        <x:v>87</x:v>
      </x:c>
      <x:c r="K203" s="47" t="n">
        <x:v>-121461</x:v>
      </x:c>
      <x:c r="L203" s="47" t="n">
        <x:v>58636.28571428572</x:v>
      </x:c>
      <x:c r="M203" s="48" t="n">
        <x:v>337.10066666666665</x:v>
      </x:c>
      <x:c r="N203" s="48" t="n">
        <x:v>36.70333333333333</x:v>
      </x:c>
      <x:c r="O203" s="49" t="n">
        <x:v>7</x:v>
      </x:c>
      <x:c r="P203" s="1" t="str">
        <x:v>再失敗入口と複合管理の統合</x:v>
      </x:c>
      <x:c r="Q203" s="49" t="n">
        <x:v>0</x:v>
      </x:c>
      <x:c r="R203" s="50" t="n">
        <x:v>0.04705555555555556</x:v>
      </x:c>
      <x:c r="S203" s="50" t="n">
        <x:v>0.04705555555555556</x:v>
      </x:c>
      <x:c r="T203" s="1" t="str">
        <x:v>ナイト</x:v>
      </x:c>
      <x:c r="U203" s="49" t="n">
        <x:v>25</x:v>
      </x:c>
    </x:row>
    <x:row r="204" ht="22" customHeight="1">
      <x:c r="A204" s="1" t="str">
        <x:v>日経mini</x:v>
      </x:c>
      <x:c r="B204" s="1" t="str">
        <x:v>C11</x:v>
      </x:c>
      <x:c r="C204" s="1" t="str">
        <x:v>全50場</x:v>
      </x:c>
      <x:c r="D204" s="47" t="n">
        <x:v>2186416</x:v>
      </x:c>
      <x:c r="E204" s="47" t="n">
        <x:v>1531811</x:v>
      </x:c>
      <x:c r="F204" s="47" t="n">
        <x:f>D204-E204</x:f>
        <x:v>654605</x:v>
      </x:c>
      <x:c r="G204" s="49" t="n">
        <x:v>14</x:v>
      </x:c>
      <x:c r="H204" s="49" t="n">
        <x:v>10</x:v>
      </x:c>
      <x:c r="I204" s="47" t="n">
        <x:v>-96021</x:v>
      </x:c>
      <x:c r="J204" s="49" t="n">
        <x:v>108</x:v>
      </x:c>
      <x:c r="K204" s="47" t="n">
        <x:v>-144763</x:v>
      </x:c>
      <x:c r="L204" s="47" t="n">
        <x:v>75381.7</x:v>
      </x:c>
      <x:c r="M204" s="48" t="n">
        <x:v>213.6173611111111</x:v>
      </x:c>
      <x:c r="N204" s="48" t="n">
        <x:v>121.77986111111112</x:v>
      </x:c>
      <x:c r="O204" s="49" t="n">
        <x:v>9</x:v>
      </x:c>
      <x:c r="P204" s="1" t="str">
        <x:v>再失敗入口と複合管理の統合</x:v>
      </x:c>
      <x:c r="Q204" s="49" t="n">
        <x:v>0</x:v>
      </x:c>
      <x:c r="R204" s="50" t="n">
        <x:v>0.26924615893365894</x:v>
      </x:c>
      <x:c r="S204" s="50" t="n">
        <x:v>0.19801603432700993</x:v>
      </x:c>
      <x:c r="T204" s="1" t="str">
        <x:v>上昇</x:v>
      </x:c>
      <x:c r="U204" s="49" t="n">
        <x:v>24</x:v>
      </x:c>
    </x:row>
    <x:row r="205" ht="22" customHeight="1">
      <x:c r="A205" s="1" t="str">
        <x:v>日経mini</x:v>
      </x:c>
      <x:c r="B205" s="1" t="str">
        <x:v>C11</x:v>
      </x:c>
      <x:c r="C205" s="1" t="str">
        <x:v>全50場</x:v>
      </x:c>
      <x:c r="D205" s="47" t="n">
        <x:v>3067273</x:v>
      </x:c>
      <x:c r="E205" s="47" t="n">
        <x:v>1600662</x:v>
      </x:c>
      <x:c r="F205" s="47" t="n">
        <x:f>D205-E205</x:f>
        <x:v>1466611</x:v>
      </x:c>
      <x:c r="G205" s="49" t="n">
        <x:v>18</x:v>
      </x:c>
      <x:c r="H205" s="49" t="n">
        <x:v>8</x:v>
      </x:c>
      <x:c r="I205" s="47" t="n">
        <x:v>609368</x:v>
      </x:c>
      <x:c r="J205" s="49" t="n">
        <x:v>119</x:v>
      </x:c>
      <x:c r="K205" s="47" t="n">
        <x:v>-136764</x:v>
      </x:c>
      <x:c r="L205" s="47" t="n">
        <x:v>52843.375</x:v>
      </x:c>
      <x:c r="M205" s="48" t="n">
        <x:v>210.17435897435897</x:v>
      </x:c>
      <x:c r="N205" s="48" t="n">
        <x:v>129.47435897435898</x:v>
      </x:c>
      <x:c r="O205" s="49" t="n">
        <x:v>10</x:v>
      </x:c>
      <x:c r="P205" s="1" t="str">
        <x:v>再失敗入口と複合管理の統合</x:v>
      </x:c>
      <x:c r="Q205" s="49" t="n">
        <x:v>0</x:v>
      </x:c>
      <x:c r="R205" s="50" t="n">
        <x:v>0.2886033624495163</x:v>
      </x:c>
      <x:c r="S205" s="50" t="n">
        <x:v>0.22088801399825023</x:v>
      </x:c>
      <x:c r="T205" s="1" t="str">
        <x:v>下落</x:v>
      </x:c>
      <x:c r="U205" s="49" t="n">
        <x:v>26</x:v>
      </x:c>
    </x:row>
    <x:row r="206" ht="22" customHeight="1">
      <x:c r="A206" s="1" t="str">
        <x:v>日経mini</x:v>
      </x:c>
      <x:c r="B206" s="1" t="str">
        <x:v>C11</x:v>
      </x:c>
      <x:c r="C206" s="1" t="str">
        <x:v>対照47場</x:v>
      </x:c>
      <x:c r="D206" s="47" t="n">
        <x:v>5116226</x:v>
      </x:c>
      <x:c r="E206" s="47" t="n">
        <x:v>2907709</x:v>
      </x:c>
      <x:c r="F206" s="47" t="n">
        <x:f>D206-E206</x:f>
        <x:v>2208517</x:v>
      </x:c>
      <x:c r="G206" s="49" t="n">
        <x:v>31</x:v>
      </x:c>
      <x:c r="H206" s="49" t="n">
        <x:v>16</x:v>
      </x:c>
      <x:c r="I206" s="47" t="n">
        <x:v>1211196</x:v>
      </x:c>
      <x:c r="J206" s="49" t="n">
        <x:v>218</x:v>
      </x:c>
      <x:c r="K206" s="47" t="n">
        <x:v>-144763</x:v>
      </x:c>
      <x:c r="L206" s="47" t="n">
        <x:v>65636.5</x:v>
      </x:c>
      <x:c r="M206" s="48" t="n">
        <x:v>208.00319148936165</x:v>
      </x:c>
      <x:c r="N206" s="48" t="n">
        <x:v>127.98226950354606</x:v>
      </x:c>
      <x:c r="O206" s="49" t="n">
        <x:v>10</x:v>
      </x:c>
      <x:c r="P206" s="1" t="str">
        <x:v>再失敗入口と複合管理の統合</x:v>
      </x:c>
      <x:c r="Q206" s="49" t="n">
        <x:v>0</x:v>
      </x:c>
      <x:c r="R206" s="50" t="n">
        <x:v>0.28457667627880395</x:v>
      </x:c>
      <x:c r="S206" s="50" t="n">
        <x:v>0.2146740423507019</x:v>
      </x:c>
      <x:c r="T206" s="1" t="str">
        <x:v>全場</x:v>
      </x:c>
      <x:c r="U206" s="49" t="n">
        <x:v>47</x:v>
      </x:c>
    </x:row>
    <x:row r="207" ht="22" customHeight="1">
      <x:c r="A207" s="1" t="str">
        <x:v>日経mini</x:v>
      </x:c>
      <x:c r="B207" s="1" t="str">
        <x:v>C11</x:v>
      </x:c>
      <x:c r="C207" s="1" t="str">
        <x:v>対照47場</x:v>
      </x:c>
      <x:c r="D207" s="47" t="n">
        <x:v>3304193</x:v>
      </x:c>
      <x:c r="E207" s="47" t="n">
        <x:v>2041876</x:v>
      </x:c>
      <x:c r="F207" s="47" t="n">
        <x:f>D207-E207</x:f>
        <x:v>1262317</x:v>
      </x:c>
      <x:c r="G207" s="49" t="n">
        <x:v>14</x:v>
      </x:c>
      <x:c r="H207" s="49" t="n">
        <x:v>10</x:v>
      </x:c>
      <x:c r="I207" s="47" t="n">
        <x:v>393767</x:v>
      </x:c>
      <x:c r="J207" s="49" t="n">
        <x:v>136</x:v>
      </x:c>
      <x:c r="K207" s="47" t="n">
        <x:v>-144763</x:v>
      </x:c>
      <x:c r="L207" s="47" t="n">
        <x:v>71026.7</x:v>
      </x:c>
      <x:c r="M207" s="48" t="n">
        <x:v>86.19722222222224</x:v>
      </x:c>
      <x:c r="N207" s="48" t="n">
        <x:v>214.73541666666665</x:v>
      </x:c>
      <x:c r="O207" s="49" t="n">
        <x:v>10</x:v>
      </x:c>
      <x:c r="P207" s="1" t="str">
        <x:v>再失敗入口と複合管理の統合</x:v>
      </x:c>
      <x:c r="Q207" s="49" t="n">
        <x:v>0</x:v>
      </x:c>
      <x:c r="R207" s="50" t="n">
        <x:v>0.5112748015873015</x:v>
      </x:c>
      <x:c r="S207" s="50" t="n">
        <x:v>0.5112748015873015</x:v>
      </x:c>
      <x:c r="T207" s="1" t="str">
        <x:v>デイ</x:v>
      </x:c>
      <x:c r="U207" s="49" t="n">
        <x:v>24</x:v>
      </x:c>
    </x:row>
    <x:row r="208" ht="22" customHeight="1">
      <x:c r="A208" s="1" t="str">
        <x:v>日経mini</x:v>
      </x:c>
      <x:c r="B208" s="1" t="str">
        <x:v>C11</x:v>
      </x:c>
      <x:c r="C208" s="1" t="str">
        <x:v>対照47場</x:v>
      </x:c>
      <x:c r="D208" s="47" t="n">
        <x:v>1812033</x:v>
      </x:c>
      <x:c r="E208" s="47" t="n">
        <x:v>865833</x:v>
      </x:c>
      <x:c r="F208" s="47" t="n">
        <x:f>D208-E208</x:f>
        <x:v>946200</x:v>
      </x:c>
      <x:c r="G208" s="49" t="n">
        <x:v>17</x:v>
      </x:c>
      <x:c r="H208" s="49" t="n">
        <x:v>6</x:v>
      </x:c>
      <x:c r="I208" s="47" t="n">
        <x:v>312422</x:v>
      </x:c>
      <x:c r="J208" s="49" t="n">
        <x:v>82</x:v>
      </x:c>
      <x:c r="K208" s="47" t="n">
        <x:v>-121461</x:v>
      </x:c>
      <x:c r="L208" s="47" t="n">
        <x:v>56652.833333333336</x:v>
      </x:c>
      <x:c r="M208" s="48" t="n">
        <x:v>335.10507246376807</x:v>
      </x:c>
      <x:c r="N208" s="48" t="n">
        <x:v>37.4572463768116</x:v>
      </x:c>
      <x:c r="O208" s="49" t="n">
        <x:v>7</x:v>
      </x:c>
      <x:c r="P208" s="1" t="str">
        <x:v>再失敗入口と複合管理の統合</x:v>
      </x:c>
      <x:c r="Q208" s="49" t="n">
        <x:v>0</x:v>
      </x:c>
      <x:c r="R208" s="50" t="n">
        <x:v>0.04802211073950204</x:v>
      </x:c>
      <x:c r="S208" s="50" t="n">
        <x:v>0.04802211073950204</x:v>
      </x:c>
      <x:c r="T208" s="1" t="str">
        <x:v>ナイト</x:v>
      </x:c>
      <x:c r="U208" s="49" t="n">
        <x:v>23</x:v>
      </x:c>
    </x:row>
    <x:row r="209" ht="22" customHeight="1">
      <x:c r="A209" s="1" t="str">
        <x:v>日経mini</x:v>
      </x:c>
      <x:c r="B209" s="1" t="str">
        <x:v>C11</x:v>
      </x:c>
      <x:c r="C209" s="1" t="str">
        <x:v>対照47場</x:v>
      </x:c>
      <x:c r="D209" s="47" t="n">
        <x:v>2153569</x:v>
      </x:c>
      <x:c r="E209" s="47" t="n">
        <x:v>1372584</x:v>
      </x:c>
      <x:c r="F209" s="47" t="n">
        <x:f>D209-E209</x:f>
        <x:v>780985</x:v>
      </x:c>
      <x:c r="G209" s="49" t="n">
        <x:v>14</x:v>
      </x:c>
      <x:c r="H209" s="49" t="n">
        <x:v>8</x:v>
      </x:c>
      <x:c r="I209" s="47" t="n">
        <x:v>30359</x:v>
      </x:c>
      <x:c r="J209" s="49" t="n">
        <x:v>102</x:v>
      </x:c>
      <x:c r="K209" s="47" t="n">
        <x:v>-144763</x:v>
      </x:c>
      <x:c r="L209" s="47" t="n">
        <x:v>78429.625</x:v>
      </x:c>
      <x:c r="M209" s="48" t="n">
        <x:v>212.34924242424242</x:v>
      </x:c>
      <x:c r="N209" s="48" t="n">
        <x:v>121.99090909090908</x:v>
      </x:c>
      <x:c r="O209" s="49" t="n">
        <x:v>9</x:v>
      </x:c>
      <x:c r="P209" s="1" t="str">
        <x:v>再失敗入口と複合管理の統合</x:v>
      </x:c>
      <x:c r="Q209" s="49" t="n">
        <x:v>0</x:v>
      </x:c>
      <x:c r="R209" s="50" t="n">
        <x:v>0.2689202464202464</x:v>
      </x:c>
      <x:c r="S209" s="50" t="n">
        <x:v>0.1979203539823009</x:v>
      </x:c>
      <x:c r="T209" s="1" t="str">
        <x:v>上昇</x:v>
      </x:c>
      <x:c r="U209" s="49" t="n">
        <x:v>22</x:v>
      </x:c>
    </x:row>
    <x:row r="210" ht="22" customHeight="1">
      <x:c r="A210" s="1" t="str">
        <x:v>日経mini</x:v>
      </x:c>
      <x:c r="B210" s="1" t="str">
        <x:v>C11</x:v>
      </x:c>
      <x:c r="C210" s="1" t="str">
        <x:v>対照47場</x:v>
      </x:c>
      <x:c r="D210" s="47" t="n">
        <x:v>2962657</x:v>
      </x:c>
      <x:c r="E210" s="47" t="n">
        <x:v>1535125</x:v>
      </x:c>
      <x:c r="F210" s="47" t="n">
        <x:f>D210-E210</x:f>
        <x:v>1427532</x:v>
      </x:c>
      <x:c r="G210" s="49" t="n">
        <x:v>17</x:v>
      </x:c>
      <x:c r="H210" s="49" t="n">
        <x:v>8</x:v>
      </x:c>
      <x:c r="I210" s="47" t="n">
        <x:v>570289</x:v>
      </x:c>
      <x:c r="J210" s="49" t="n">
        <x:v>116</x:v>
      </x:c>
      <x:c r="K210" s="47" t="n">
        <x:v>-136764</x:v>
      </x:c>
      <x:c r="L210" s="47" t="n">
        <x:v>52843.375</x:v>
      </x:c>
      <x:c r="M210" s="48" t="n">
        <x:v>204.17866666666666</x:v>
      </x:c>
      <x:c r="N210" s="48" t="n">
        <x:v>133.25466666666668</x:v>
      </x:c>
      <x:c r="O210" s="49" t="n">
        <x:v>10</x:v>
      </x:c>
      <x:c r="P210" s="1" t="str">
        <x:v>再失敗入口と複合管理の統合</x:v>
      </x:c>
      <x:c r="Q210" s="49" t="n">
        <x:v>0</x:v>
      </x:c>
      <x:c r="R210" s="50" t="n">
        <x:v>0.2983543345543346</x:v>
      </x:c>
      <x:c r="S210" s="50" t="n">
        <x:v>0.23038497003227296</x:v>
      </x:c>
      <x:c r="T210" s="1" t="str">
        <x:v>下落</x:v>
      </x:c>
      <x:c r="U210" s="49" t="n">
        <x:v>25</x:v>
      </x:c>
    </x:row>
    <x:row r="211" ht="22" customHeight="1">
      <x:c r="A211" s="1" t="str">
        <x:v>日経mini</x:v>
      </x:c>
      <x:c r="B211" s="1" t="str">
        <x:v>C11</x:v>
      </x:c>
      <x:c r="C211" s="1" t="str">
        <x:v>診断3場</x:v>
      </x:c>
      <x:c r="D211" s="47" t="n">
        <x:v>137463</x:v>
      </x:c>
      <x:c r="E211" s="47" t="n">
        <x:v>224764</x:v>
      </x:c>
      <x:c r="F211" s="47" t="n">
        <x:f>D211-E211</x:f>
        <x:v>-87301</x:v>
      </x:c>
      <x:c r="G211" s="49" t="n">
        <x:v>1</x:v>
      </x:c>
      <x:c r="H211" s="49" t="n">
        <x:v>2</x:v>
      </x:c>
      <x:c r="I211" s="47" t="n">
        <x:v>-126380</x:v>
      </x:c>
      <x:c r="J211" s="49" t="n">
        <x:v>9</x:v>
      </x:c>
      <x:c r="K211" s="47" t="n">
        <x:v>-70537</x:v>
      </x:c>
      <x:c r="L211" s="47" t="n">
        <x:v>63190</x:v>
      </x:c>
      <x:c r="M211" s="48" t="n">
        <x:v>271.73333333333335</x:v>
      </x:c>
      <x:c r="N211" s="48" t="n">
        <x:v>91.29444444444444</x:v>
      </x:c>
      <x:c r="O211" s="49" t="n">
        <x:v>5</x:v>
      </x:c>
      <x:c r="P211" s="1" t="str">
        <x:v>再失敗入口と複合管理の統合</x:v>
      </x:c>
      <x:c r="Q211" s="49" t="n">
        <x:v>0</x:v>
      </x:c>
      <x:c r="R211" s="50" t="n">
        <x:v>0.19683048433048433</x:v>
      </x:c>
      <x:c r="S211" s="50" t="n">
        <x:v>0.13832491582491582</x:v>
      </x:c>
      <x:c r="T211" s="1" t="str">
        <x:v>全場</x:v>
      </x:c>
      <x:c r="U211" s="49" t="n">
        <x:v>3</x:v>
      </x:c>
    </x:row>
    <x:row r="212" ht="22" customHeight="1">
      <x:c r="A212" s="1" t="str">
        <x:v>日経mini</x:v>
      </x:c>
      <x:c r="B212" s="1" t="str">
        <x:v>C11</x:v>
      </x:c>
      <x:c r="C212" s="1" t="str">
        <x:v>診断3場</x:v>
      </x:c>
      <x:c r="D212" s="47" t="n">
        <x:v>32847</x:v>
      </x:c>
      <x:c r="E212" s="47" t="n">
        <x:v>88690</x:v>
      </x:c>
      <x:c r="F212" s="47" t="n">
        <x:f>D212-E212</x:f>
        <x:v>-55843</x:v>
      </x:c>
      <x:c r="G212" s="49" t="n">
        <x:v>0</x:v>
      </x:c>
      <x:c r="H212" s="49" t="n">
        <x:v>1</x:v>
      </x:c>
      <x:c r="I212" s="47" t="n">
        <x:v>-55843</x:v>
      </x:c>
      <x:c r="J212" s="49" t="n">
        <x:v>4</x:v>
      </x:c>
      <x:c r="K212" s="47" t="n">
        <x:v>-55843</x:v>
      </x:c>
      <x:c r="L212" s="47" t="n">
        <x:v>55843</x:v>
      </x:c>
      <x:c r="M212" s="48" t="n">
        <x:v>95.1</x:v>
      </x:c>
      <x:c r="N212" s="48" t="n">
        <x:v>217.81666666666666</x:v>
      </x:c>
      <x:c r="O212" s="49" t="n">
        <x:v>5</x:v>
      </x:c>
      <x:c r="P212" s="1" t="str">
        <x:v>再失敗入口と複合管理の統合</x:v>
      </x:c>
      <x:c r="Q212" s="49" t="n">
        <x:v>0</x:v>
      </x:c>
      <x:c r="R212" s="50" t="n">
        <x:v>0.5186111111111111</x:v>
      </x:c>
      <x:c r="S212" s="50" t="n">
        <x:v>0.5186111111111111</x:v>
      </x:c>
      <x:c r="T212" s="1" t="str">
        <x:v>デイ</x:v>
      </x:c>
      <x:c r="U212" s="49" t="n">
        <x:v>1</x:v>
      </x:c>
    </x:row>
    <x:row r="213" ht="22" customHeight="1">
      <x:c r="A213" s="1" t="str">
        <x:v>日経mini</x:v>
      </x:c>
      <x:c r="B213" s="1" t="str">
        <x:v>C11</x:v>
      </x:c>
      <x:c r="C213" s="1" t="str">
        <x:v>診断3場</x:v>
      </x:c>
      <x:c r="D213" s="47" t="n">
        <x:v>104616</x:v>
      </x:c>
      <x:c r="E213" s="47" t="n">
        <x:v>136074</x:v>
      </x:c>
      <x:c r="F213" s="47" t="n">
        <x:f>D213-E213</x:f>
        <x:v>-31458</x:v>
      </x:c>
      <x:c r="G213" s="49" t="n">
        <x:v>1</x:v>
      </x:c>
      <x:c r="H213" s="49" t="n">
        <x:v>1</x:v>
      </x:c>
      <x:c r="I213" s="47" t="n">
        <x:v>-70537</x:v>
      </x:c>
      <x:c r="J213" s="49" t="n">
        <x:v>5</x:v>
      </x:c>
      <x:c r="K213" s="47" t="n">
        <x:v>-70537</x:v>
      </x:c>
      <x:c r="L213" s="47" t="n">
        <x:v>70537</x:v>
      </x:c>
      <x:c r="M213" s="48" t="n">
        <x:v>360.05</x:v>
      </x:c>
      <x:c r="N213" s="48" t="n">
        <x:v>28.033333333333335</x:v>
      </x:c>
      <x:c r="O213" s="49" t="n">
        <x:v>5</x:v>
      </x:c>
      <x:c r="P213" s="1" t="str">
        <x:v>再失敗入口と複合管理の統合</x:v>
      </x:c>
      <x:c r="Q213" s="49" t="n">
        <x:v>0</x:v>
      </x:c>
      <x:c r="R213" s="50" t="n">
        <x:v>0.03594017094017094</x:v>
      </x:c>
      <x:c r="S213" s="50" t="n">
        <x:v>0.03594017094017094</x:v>
      </x:c>
      <x:c r="T213" s="1" t="str">
        <x:v>ナイト</x:v>
      </x:c>
      <x:c r="U213" s="49" t="n">
        <x:v>2</x:v>
      </x:c>
    </x:row>
    <x:row r="214" ht="22" customHeight="1">
      <x:c r="A214" s="1" t="str">
        <x:v>日経mini</x:v>
      </x:c>
      <x:c r="B214" s="1" t="str">
        <x:v>C11</x:v>
      </x:c>
      <x:c r="C214" s="1" t="str">
        <x:v>診断3場</x:v>
      </x:c>
      <x:c r="D214" s="47" t="n">
        <x:v>32847</x:v>
      </x:c>
      <x:c r="E214" s="47" t="n">
        <x:v>159227</x:v>
      </x:c>
      <x:c r="F214" s="47" t="n">
        <x:f>D214-E214</x:f>
        <x:v>-126380</x:v>
      </x:c>
      <x:c r="G214" s="49" t="n">
        <x:v>0</x:v>
      </x:c>
      <x:c r="H214" s="49" t="n">
        <x:v>2</x:v>
      </x:c>
      <x:c r="I214" s="47" t="n">
        <x:v>-126380</x:v>
      </x:c>
      <x:c r="J214" s="49" t="n">
        <x:v>6</x:v>
      </x:c>
      <x:c r="K214" s="47" t="n">
        <x:v>-70537</x:v>
      </x:c>
      <x:c r="L214" s="47" t="n">
        <x:v>63190</x:v>
      </x:c>
      <x:c r="M214" s="48" t="n">
        <x:v>227.56666666666666</x:v>
      </x:c>
      <x:c r="N214" s="48" t="n">
        <x:v>119.45833333333333</x:v>
      </x:c>
      <x:c r="O214" s="49" t="n">
        <x:v>5</x:v>
      </x:c>
      <x:c r="P214" s="1" t="str">
        <x:v>再失敗入口と複合管理の統合</x:v>
      </x:c>
      <x:c r="Q214" s="49" t="n">
        <x:v>0</x:v>
      </x:c>
      <x:c r="R214" s="50" t="n">
        <x:v>0.2728311965811966</x:v>
      </x:c>
      <x:c r="S214" s="50" t="n">
        <x:v>0.1990972222222222</x:v>
      </x:c>
      <x:c r="T214" s="1" t="str">
        <x:v>上昇</x:v>
      </x:c>
      <x:c r="U214" s="49" t="n">
        <x:v>2</x:v>
      </x:c>
    </x:row>
    <x:row r="215" ht="22" customHeight="1">
      <x:c r="A215" s="1" t="str">
        <x:v>日経mini</x:v>
      </x:c>
      <x:c r="B215" s="1" t="str">
        <x:v>C11</x:v>
      </x:c>
      <x:c r="C215" s="1" t="str">
        <x:v>診断3場</x:v>
      </x:c>
      <x:c r="D215" s="47" t="n">
        <x:v>104616</x:v>
      </x:c>
      <x:c r="E215" s="47" t="n">
        <x:v>65537</x:v>
      </x:c>
      <x:c r="F215" s="47" t="n">
        <x:f>D215-E215</x:f>
        <x:v>39079</x:v>
      </x:c>
      <x:c r="G215" s="49" t="n">
        <x:v>1</x:v>
      </x:c>
      <x:c r="H215" s="49" t="n">
        <x:v>0</x:v>
      </x:c>
      <x:c r="I215" s="47" t="n">
        <x:v>0</x:v>
      </x:c>
      <x:c r="J215" s="49" t="n">
        <x:v>3</x:v>
      </x:c>
      <x:c r="K215" s="47" t="n">
        <x:v>39079</x:v>
      </x:c>
      <x:c r="L215" s="47" t="n">
        <x:v>0</x:v>
      </x:c>
      <x:c r="M215" s="48" t="n">
        <x:v>360.06666666666666</x:v>
      </x:c>
      <x:c r="N215" s="48" t="n">
        <x:v>34.96666666666667</x:v>
      </x:c>
      <x:c r="O215" s="49" t="n">
        <x:v>5</x:v>
      </x:c>
      <x:c r="P215" s="1" t="str">
        <x:v>再失敗入口と複合管理の統合</x:v>
      </x:c>
      <x:c r="Q215" s="49" t="n">
        <x:v>0</x:v>
      </x:c>
      <x:c r="R215" s="50" t="n">
        <x:v>0.04482905982905983</x:v>
      </x:c>
      <x:c r="S215" s="50" t="n">
        <x:v>0.04482905982905983</x:v>
      </x:c>
      <x:c r="T215" s="1" t="str">
        <x:v>下落</x:v>
      </x:c>
      <x:c r="U215" s="49" t="n">
        <x:v>1</x:v>
      </x:c>
    </x:row>
    <x:row r="216" ht="22" customHeight="1">
      <x:c r="A216" s="1" t="str">
        <x:v>日経mini</x:v>
      </x:c>
      <x:c r="B216" s="1" t="str">
        <x:v>C12</x:v>
      </x:c>
      <x:c r="C216" s="1" t="str">
        <x:v>全50場</x:v>
      </x:c>
      <x:c r="D216" s="47" t="n">
        <x:v>5287689</x:v>
      </x:c>
      <x:c r="E216" s="47" t="n">
        <x:v>3207090</x:v>
      </x:c>
      <x:c r="F216" s="47" t="n">
        <x:f>D216-E216</x:f>
        <x:v>2080599</x:v>
      </x:c>
      <x:c r="G216" s="49" t="n">
        <x:v>32</x:v>
      </x:c>
      <x:c r="H216" s="49" t="n">
        <x:v>18</x:v>
      </x:c>
      <x:c r="I216" s="47" t="n">
        <x:v>1083278</x:v>
      </x:c>
      <x:c r="J216" s="49" t="n">
        <x:v>231</x:v>
      </x:c>
      <x:c r="K216" s="47" t="n">
        <x:v>-156918</x:v>
      </x:c>
      <x:c r="L216" s="47" t="n">
        <x:v>67492.94444444444</x:v>
      </x:c>
      <x:c r="M216" s="48" t="n">
        <x:v>211.73266666666666</x:v>
      </x:c>
      <x:c r="N216" s="48" t="n">
        <x:v>126.60733333333333</x:v>
      </x:c>
      <x:c r="O216" s="49" t="n">
        <x:v>10</x:v>
      </x:c>
      <x:c r="P216" s="1" t="str">
        <x:v>合意入口と複合管理の統合</x:v>
      </x:c>
      <x:c r="Q216" s="49" t="n">
        <x:v>0</x:v>
      </x:c>
      <x:c r="R216" s="50" t="n">
        <x:v>0.2810537240537241</x:v>
      </x:c>
      <x:c r="S216" s="50" t="n">
        <x:v>0.21101222222222224</x:v>
      </x:c>
      <x:c r="T216" s="1" t="str">
        <x:v>全場</x:v>
      </x:c>
      <x:c r="U216" s="49" t="n">
        <x:v>50</x:v>
      </x:c>
    </x:row>
    <x:row r="217" ht="22" customHeight="1">
      <x:c r="A217" s="1" t="str">
        <x:v>日経mini</x:v>
      </x:c>
      <x:c r="B217" s="1" t="str">
        <x:v>C12</x:v>
      </x:c>
      <x:c r="C217" s="1" t="str">
        <x:v>全50場</x:v>
      </x:c>
      <x:c r="D217" s="47" t="n">
        <x:v>3337040</x:v>
      </x:c>
      <x:c r="E217" s="47" t="n">
        <x:v>2181029</x:v>
      </x:c>
      <x:c r="F217" s="47" t="n">
        <x:f>D217-E217</x:f>
        <x:v>1156011</x:v>
      </x:c>
      <x:c r="G217" s="49" t="n">
        <x:v>14</x:v>
      </x:c>
      <x:c r="H217" s="49" t="n">
        <x:v>11</x:v>
      </x:c>
      <x:c r="I217" s="47" t="n">
        <x:v>287461</x:v>
      </x:c>
      <x:c r="J217" s="49" t="n">
        <x:v>143</x:v>
      </x:c>
      <x:c r="K217" s="47" t="n">
        <x:v>-156918</x:v>
      </x:c>
      <x:c r="L217" s="47" t="n">
        <x:v>73129</x:v>
      </x:c>
      <x:c r="M217" s="48" t="n">
        <x:v>86.55333333333334</x:v>
      </x:c>
      <x:c r="N217" s="48" t="n">
        <x:v>216.10066666666668</x:v>
      </x:c>
      <x:c r="O217" s="49" t="n">
        <x:v>10</x:v>
      </x:c>
      <x:c r="P217" s="1" t="str">
        <x:v>合意入口と複合管理の統合</x:v>
      </x:c>
      <x:c r="Q217" s="49" t="n">
        <x:v>0</x:v>
      </x:c>
      <x:c r="R217" s="50" t="n">
        <x:v>0.5145253968253969</x:v>
      </x:c>
      <x:c r="S217" s="50" t="n">
        <x:v>0.5145253968253968</x:v>
      </x:c>
      <x:c r="T217" s="1" t="str">
        <x:v>デイ</x:v>
      </x:c>
      <x:c r="U217" s="49" t="n">
        <x:v>25</x:v>
      </x:c>
    </x:row>
    <x:row r="218" ht="22" customHeight="1">
      <x:c r="A218" s="1" t="str">
        <x:v>日経mini</x:v>
      </x:c>
      <x:c r="B218" s="1" t="str">
        <x:v>C12</x:v>
      </x:c>
      <x:c r="C218" s="1" t="str">
        <x:v>全50場</x:v>
      </x:c>
      <x:c r="D218" s="47" t="n">
        <x:v>1950649</x:v>
      </x:c>
      <x:c r="E218" s="47" t="n">
        <x:v>1026061</x:v>
      </x:c>
      <x:c r="F218" s="47" t="n">
        <x:f>D218-E218</x:f>
        <x:v>924588</x:v>
      </x:c>
      <x:c r="G218" s="49" t="n">
        <x:v>18</x:v>
      </x:c>
      <x:c r="H218" s="49" t="n">
        <x:v>7</x:v>
      </x:c>
      <x:c r="I218" s="47" t="n">
        <x:v>290810</x:v>
      </x:c>
      <x:c r="J218" s="49" t="n">
        <x:v>88</x:v>
      </x:c>
      <x:c r="K218" s="47" t="n">
        <x:v>-121461</x:v>
      </x:c>
      <x:c r="L218" s="47" t="n">
        <x:v>58636.28571428572</x:v>
      </x:c>
      <x:c r="M218" s="48" t="n">
        <x:v>336.91200000000003</x:v>
      </x:c>
      <x:c r="N218" s="48" t="n">
        <x:v>37.114000000000004</x:v>
      </x:c>
      <x:c r="O218" s="49" t="n">
        <x:v>7</x:v>
      </x:c>
      <x:c r="P218" s="1" t="str">
        <x:v>合意入口と複合管理の統合</x:v>
      </x:c>
      <x:c r="Q218" s="49" t="n">
        <x:v>0</x:v>
      </x:c>
      <x:c r="R218" s="50" t="n">
        <x:v>0.047582051282051285</x:v>
      </x:c>
      <x:c r="S218" s="50" t="n">
        <x:v>0.047582051282051285</x:v>
      </x:c>
      <x:c r="T218" s="1" t="str">
        <x:v>ナイト</x:v>
      </x:c>
      <x:c r="U218" s="49" t="n">
        <x:v>25</x:v>
      </x:c>
    </x:row>
    <x:row r="219" ht="22" customHeight="1">
      <x:c r="A219" s="1" t="str">
        <x:v>日経mini</x:v>
      </x:c>
      <x:c r="B219" s="1" t="str">
        <x:v>C12</x:v>
      </x:c>
      <x:c r="C219" s="1" t="str">
        <x:v>全50場</x:v>
      </x:c>
      <x:c r="D219" s="47" t="n">
        <x:v>2220416</x:v>
      </x:c>
      <x:c r="E219" s="47" t="n">
        <x:v>1541966</x:v>
      </x:c>
      <x:c r="F219" s="47" t="n">
        <x:f>D219-E219</x:f>
        <x:v>678450</x:v>
      </x:c>
      <x:c r="G219" s="49" t="n">
        <x:v>14</x:v>
      </x:c>
      <x:c r="H219" s="49" t="n">
        <x:v>10</x:v>
      </x:c>
      <x:c r="I219" s="47" t="n">
        <x:v>-72176</x:v>
      </x:c>
      <x:c r="J219" s="49" t="n">
        <x:v>109</x:v>
      </x:c>
      <x:c r="K219" s="47" t="n">
        <x:v>-156918</x:v>
      </x:c>
      <x:c r="L219" s="47" t="n">
        <x:v>76597.2</x:v>
      </x:c>
      <x:c r="M219" s="48" t="n">
        <x:v>213.42083333333335</x:v>
      </x:c>
      <x:c r="N219" s="48" t="n">
        <x:v>122.18124999999999</x:v>
      </x:c>
      <x:c r="O219" s="49" t="n">
        <x:v>9</x:v>
      </x:c>
      <x:c r="P219" s="1" t="str">
        <x:v>合意入口と複合管理の統合</x:v>
      </x:c>
      <x:c r="Q219" s="49" t="n">
        <x:v>0</x:v>
      </x:c>
      <x:c r="R219" s="50" t="n">
        <x:v>0.2699858821733822</x:v>
      </x:c>
      <x:c r="S219" s="50" t="n">
        <x:v>0.19866869918699187</x:v>
      </x:c>
      <x:c r="T219" s="1" t="str">
        <x:v>上昇</x:v>
      </x:c>
      <x:c r="U219" s="49" t="n">
        <x:v>24</x:v>
      </x:c>
    </x:row>
    <x:row r="220" ht="22" customHeight="1">
      <x:c r="A220" s="1" t="str">
        <x:v>日経mini</x:v>
      </x:c>
      <x:c r="B220" s="1" t="str">
        <x:v>C12</x:v>
      </x:c>
      <x:c r="C220" s="1" t="str">
        <x:v>全50場</x:v>
      </x:c>
      <x:c r="D220" s="47" t="n">
        <x:v>3067273</x:v>
      </x:c>
      <x:c r="E220" s="47" t="n">
        <x:v>1665124</x:v>
      </x:c>
      <x:c r="F220" s="47" t="n">
        <x:f>D220-E220</x:f>
        <x:v>1402149</x:v>
      </x:c>
      <x:c r="G220" s="49" t="n">
        <x:v>18</x:v>
      </x:c>
      <x:c r="H220" s="49" t="n">
        <x:v>8</x:v>
      </x:c>
      <x:c r="I220" s="47" t="n">
        <x:v>544906</x:v>
      </x:c>
      <x:c r="J220" s="49" t="n">
        <x:v>122</x:v>
      </x:c>
      <x:c r="K220" s="47" t="n">
        <x:v>-136764</x:v>
      </x:c>
      <x:c r="L220" s="47" t="n">
        <x:v>56112.625</x:v>
      </x:c>
      <x:c r="M220" s="48" t="n">
        <x:v>210.17435897435897</x:v>
      </x:c>
      <x:c r="N220" s="48" t="n">
        <x:v>130.69294871794872</x:v>
      </x:c>
      <x:c r="O220" s="49" t="n">
        <x:v>10</x:v>
      </x:c>
      <x:c r="P220" s="1" t="str">
        <x:v>合意入口と複合管理の統合</x:v>
      </x:c>
      <x:c r="Q220" s="49" t="n">
        <x:v>0</x:v>
      </x:c>
      <x:c r="R220" s="50" t="n">
        <x:v>0.29127019348173194</x:v>
      </x:c>
      <x:c r="S220" s="50" t="n">
        <x:v>0.22296697287839018</x:v>
      </x:c>
      <x:c r="T220" s="1" t="str">
        <x:v>下落</x:v>
      </x:c>
      <x:c r="U220" s="49" t="n">
        <x:v>26</x:v>
      </x:c>
    </x:row>
    <x:row r="221" ht="22" customHeight="1">
      <x:c r="A221" s="1" t="str">
        <x:v>日経mini</x:v>
      </x:c>
      <x:c r="B221" s="1" t="str">
        <x:v>C12</x:v>
      </x:c>
      <x:c r="C221" s="1" t="str">
        <x:v>対照47場</x:v>
      </x:c>
      <x:c r="D221" s="47" t="n">
        <x:v>5150226</x:v>
      </x:c>
      <x:c r="E221" s="47" t="n">
        <x:v>2958172</x:v>
      </x:c>
      <x:c r="F221" s="47" t="n">
        <x:f>D221-E221</x:f>
        <x:v>2192054</x:v>
      </x:c>
      <x:c r="G221" s="49" t="n">
        <x:v>31</x:v>
      </x:c>
      <x:c r="H221" s="49" t="n">
        <x:v>16</x:v>
      </x:c>
      <x:c r="I221" s="47" t="n">
        <x:v>1194733</x:v>
      </x:c>
      <x:c r="J221" s="49" t="n">
        <x:v>221</x:v>
      </x:c>
      <x:c r="K221" s="47" t="n">
        <x:v>-156918</x:v>
      </x:c>
      <x:c r="L221" s="47" t="n">
        <x:v>68030.8125</x:v>
      </x:c>
      <x:c r="M221" s="48" t="n">
        <x:v>207.9028368794326</x:v>
      </x:c>
      <x:c r="N221" s="48" t="n">
        <x:v>128.74326241134747</x:v>
      </x:c>
      <x:c r="O221" s="49" t="n">
        <x:v>10</x:v>
      </x:c>
      <x:c r="P221" s="1" t="str">
        <x:v>合意入口と複合管理の統合</x:v>
      </x:c>
      <x:c r="Q221" s="49" t="n">
        <x:v>0</x:v>
      </x:c>
      <x:c r="R221" s="50" t="n">
        <x:v>0.2862782843633908</x:v>
      </x:c>
      <x:c r="S221" s="50" t="n">
        <x:v>0.21595051153937664</x:v>
      </x:c>
      <x:c r="T221" s="1" t="str">
        <x:v>全場</x:v>
      </x:c>
      <x:c r="U221" s="49" t="n">
        <x:v>47</x:v>
      </x:c>
    </x:row>
    <x:row r="222" ht="22" customHeight="1">
      <x:c r="A222" s="1" t="str">
        <x:v>日経mini</x:v>
      </x:c>
      <x:c r="B222" s="1" t="str">
        <x:v>C12</x:v>
      </x:c>
      <x:c r="C222" s="1" t="str">
        <x:v>対照47場</x:v>
      </x:c>
      <x:c r="D222" s="47" t="n">
        <x:v>3304193</x:v>
      </x:c>
      <x:c r="E222" s="47" t="n">
        <x:v>2092339</x:v>
      </x:c>
      <x:c r="F222" s="47" t="n">
        <x:f>D222-E222</x:f>
        <x:v>1211854</x:v>
      </x:c>
      <x:c r="G222" s="49" t="n">
        <x:v>14</x:v>
      </x:c>
      <x:c r="H222" s="49" t="n">
        <x:v>10</x:v>
      </x:c>
      <x:c r="I222" s="47" t="n">
        <x:v>343304</x:v>
      </x:c>
      <x:c r="J222" s="49" t="n">
        <x:v>139</x:v>
      </x:c>
      <x:c r="K222" s="47" t="n">
        <x:v>-156918</x:v>
      </x:c>
      <x:c r="L222" s="47" t="n">
        <x:v>74857.6</x:v>
      </x:c>
      <x:c r="M222" s="48" t="n">
        <x:v>86.19722222222224</x:v>
      </x:c>
      <x:c r="N222" s="48" t="n">
        <x:v>216.0291666666667</x:v>
      </x:c>
      <x:c r="O222" s="49" t="n">
        <x:v>10</x:v>
      </x:c>
      <x:c r="P222" s="1" t="str">
        <x:v>合意入口と複合管理の統合</x:v>
      </x:c>
      <x:c r="Q222" s="49" t="n">
        <x:v>0</x:v>
      </x:c>
      <x:c r="R222" s="50" t="n">
        <x:v>0.5143551587301588</x:v>
      </x:c>
      <x:c r="S222" s="50" t="n">
        <x:v>0.5143551587301587</x:v>
      </x:c>
      <x:c r="T222" s="1" t="str">
        <x:v>デイ</x:v>
      </x:c>
      <x:c r="U222" s="49" t="n">
        <x:v>24</x:v>
      </x:c>
    </x:row>
    <x:row r="223" ht="22" customHeight="1">
      <x:c r="A223" s="1" t="str">
        <x:v>日経mini</x:v>
      </x:c>
      <x:c r="B223" s="1" t="str">
        <x:v>C12</x:v>
      </x:c>
      <x:c r="C223" s="1" t="str">
        <x:v>対照47場</x:v>
      </x:c>
      <x:c r="D223" s="47" t="n">
        <x:v>1846033</x:v>
      </x:c>
      <x:c r="E223" s="47" t="n">
        <x:v>865833</x:v>
      </x:c>
      <x:c r="F223" s="47" t="n">
        <x:f>D223-E223</x:f>
        <x:v>980200</x:v>
      </x:c>
      <x:c r="G223" s="49" t="n">
        <x:v>17</x:v>
      </x:c>
      <x:c r="H223" s="49" t="n">
        <x:v>6</x:v>
      </x:c>
      <x:c r="I223" s="47" t="n">
        <x:v>346422</x:v>
      </x:c>
      <x:c r="J223" s="49" t="n">
        <x:v>82</x:v>
      </x:c>
      <x:c r="K223" s="47" t="n">
        <x:v>-121461</x:v>
      </x:c>
      <x:c r="L223" s="47" t="n">
        <x:v>56652.833333333336</x:v>
      </x:c>
      <x:c r="M223" s="48" t="n">
        <x:v>334.9</x:v>
      </x:c>
      <x:c r="N223" s="48" t="n">
        <x:v>37.66231884057971</x:v>
      </x:c>
      <x:c r="O223" s="49" t="n">
        <x:v>7</x:v>
      </x:c>
      <x:c r="P223" s="1" t="str">
        <x:v>合意入口と複合管理の統合</x:v>
      </x:c>
      <x:c r="Q223" s="49" t="n">
        <x:v>0</x:v>
      </x:c>
      <x:c r="R223" s="50" t="n">
        <x:v>0.04828502415458937</x:v>
      </x:c>
      <x:c r="S223" s="50" t="n">
        <x:v>0.04828502415458937</x:v>
      </x:c>
      <x:c r="T223" s="1" t="str">
        <x:v>ナイト</x:v>
      </x:c>
      <x:c r="U223" s="49" t="n">
        <x:v>23</x:v>
      </x:c>
    </x:row>
    <x:row r="224" ht="22" customHeight="1">
      <x:c r="A224" s="1" t="str">
        <x:v>日経mini</x:v>
      </x:c>
      <x:c r="B224" s="1" t="str">
        <x:v>C12</x:v>
      </x:c>
      <x:c r="C224" s="1" t="str">
        <x:v>対照47場</x:v>
      </x:c>
      <x:c r="D224" s="47" t="n">
        <x:v>2187569</x:v>
      </x:c>
      <x:c r="E224" s="47" t="n">
        <x:v>1382739</x:v>
      </x:c>
      <x:c r="F224" s="47" t="n">
        <x:f>D224-E224</x:f>
        <x:v>804830</x:v>
      </x:c>
      <x:c r="G224" s="49" t="n">
        <x:v>14</x:v>
      </x:c>
      <x:c r="H224" s="49" t="n">
        <x:v>8</x:v>
      </x:c>
      <x:c r="I224" s="47" t="n">
        <x:v>54204</x:v>
      </x:c>
      <x:c r="J224" s="49" t="n">
        <x:v>103</x:v>
      </x:c>
      <x:c r="K224" s="47" t="n">
        <x:v>-156918</x:v>
      </x:c>
      <x:c r="L224" s="47" t="n">
        <x:v>79949</x:v>
      </x:c>
      <x:c r="M224" s="48" t="n">
        <x:v>212.13484848484848</x:v>
      </x:c>
      <x:c r="N224" s="48" t="n">
        <x:v>122.42878787878789</x:v>
      </x:c>
      <x:c r="O224" s="49" t="n">
        <x:v>9</x:v>
      </x:c>
      <x:c r="P224" s="1" t="str">
        <x:v>合意入口と複合管理の統合</x:v>
      </x:c>
      <x:c r="Q224" s="49" t="n">
        <x:v>0</x:v>
      </x:c>
      <x:c r="R224" s="50" t="n">
        <x:v>0.26972721722721726</x:v>
      </x:c>
      <x:c r="S224" s="50" t="n">
        <x:v>0.19863077679449362</x:v>
      </x:c>
      <x:c r="T224" s="1" t="str">
        <x:v>上昇</x:v>
      </x:c>
      <x:c r="U224" s="49" t="n">
        <x:v>22</x:v>
      </x:c>
    </x:row>
    <x:row r="225" ht="22" customHeight="1">
      <x:c r="A225" s="1" t="str">
        <x:v>日経mini</x:v>
      </x:c>
      <x:c r="B225" s="1" t="str">
        <x:v>C12</x:v>
      </x:c>
      <x:c r="C225" s="1" t="str">
        <x:v>対照47場</x:v>
      </x:c>
      <x:c r="D225" s="47" t="n">
        <x:v>2962657</x:v>
      </x:c>
      <x:c r="E225" s="47" t="n">
        <x:v>1575433</x:v>
      </x:c>
      <x:c r="F225" s="47" t="n">
        <x:f>D225-E225</x:f>
        <x:v>1387224</x:v>
      </x:c>
      <x:c r="G225" s="49" t="n">
        <x:v>17</x:v>
      </x:c>
      <x:c r="H225" s="49" t="n">
        <x:v>8</x:v>
      </x:c>
      <x:c r="I225" s="47" t="n">
        <x:v>529981</x:v>
      </x:c>
      <x:c r="J225" s="49" t="n">
        <x:v>118</x:v>
      </x:c>
      <x:c r="K225" s="47" t="n">
        <x:v>-136764</x:v>
      </x:c>
      <x:c r="L225" s="47" t="n">
        <x:v>56112.625</x:v>
      </x:c>
      <x:c r="M225" s="48" t="n">
        <x:v>204.17866666666666</x:v>
      </x:c>
      <x:c r="N225" s="48" t="n">
        <x:v>134.3</x:v>
      </x:c>
      <x:c r="O225" s="49" t="n">
        <x:v>10</x:v>
      </x:c>
      <x:c r="P225" s="1" t="str">
        <x:v>合意入口と複合管理の統合</x:v>
      </x:c>
      <x:c r="Q225" s="49" t="n">
        <x:v>0</x:v>
      </x:c>
      <x:c r="R225" s="50" t="n">
        <x:v>0.30084322344322345</x:v>
      </x:c>
      <x:c r="S225" s="50" t="n">
        <x:v>0.23219225449515907</x:v>
      </x:c>
      <x:c r="T225" s="1" t="str">
        <x:v>下落</x:v>
      </x:c>
      <x:c r="U225" s="49" t="n">
        <x:v>25</x:v>
      </x:c>
    </x:row>
    <x:row r="226" ht="22" customHeight="1">
      <x:c r="A226" s="1" t="str">
        <x:v>日経mini</x:v>
      </x:c>
      <x:c r="B226" s="1" t="str">
        <x:v>C12</x:v>
      </x:c>
      <x:c r="C226" s="1" t="str">
        <x:v>診断3場</x:v>
      </x:c>
      <x:c r="D226" s="47" t="n">
        <x:v>137463</x:v>
      </x:c>
      <x:c r="E226" s="47" t="n">
        <x:v>248918</x:v>
      </x:c>
      <x:c r="F226" s="47" t="n">
        <x:f>D226-E226</x:f>
        <x:v>-111455</x:v>
      </x:c>
      <x:c r="G226" s="49" t="n">
        <x:v>1</x:v>
      </x:c>
      <x:c r="H226" s="49" t="n">
        <x:v>2</x:v>
      </x:c>
      <x:c r="I226" s="47" t="n">
        <x:v>-126380</x:v>
      </x:c>
      <x:c r="J226" s="49" t="n">
        <x:v>10</x:v>
      </x:c>
      <x:c r="K226" s="47" t="n">
        <x:v>-70537</x:v>
      </x:c>
      <x:c r="L226" s="47" t="n">
        <x:v>63190</x:v>
      </x:c>
      <x:c r="M226" s="48" t="n">
        <x:v>271.73333333333335</x:v>
      </x:c>
      <x:c r="N226" s="48" t="n">
        <x:v>93.14444444444445</x:v>
      </x:c>
      <x:c r="O226" s="49" t="n">
        <x:v>5</x:v>
      </x:c>
      <x:c r="P226" s="1" t="str">
        <x:v>合意入口と複合管理の統合</x:v>
      </x:c>
      <x:c r="Q226" s="49" t="n">
        <x:v>0</x:v>
      </x:c>
      <x:c r="R226" s="50" t="n">
        <x:v>0.1992022792022792</x:v>
      </x:c>
      <x:c r="S226" s="50" t="n">
        <x:v>0.14112794612794613</x:v>
      </x:c>
      <x:c r="T226" s="1" t="str">
        <x:v>全場</x:v>
      </x:c>
      <x:c r="U226" s="49" t="n">
        <x:v>3</x:v>
      </x:c>
    </x:row>
    <x:row r="227" ht="22" customHeight="1">
      <x:c r="A227" s="1" t="str">
        <x:v>日経mini</x:v>
      </x:c>
      <x:c r="B227" s="1" t="str">
        <x:v>C12</x:v>
      </x:c>
      <x:c r="C227" s="1" t="str">
        <x:v>診断3場</x:v>
      </x:c>
      <x:c r="D227" s="47" t="n">
        <x:v>32847</x:v>
      </x:c>
      <x:c r="E227" s="47" t="n">
        <x:v>88690</x:v>
      </x:c>
      <x:c r="F227" s="47" t="n">
        <x:f>D227-E227</x:f>
        <x:v>-55843</x:v>
      </x:c>
      <x:c r="G227" s="49" t="n">
        <x:v>0</x:v>
      </x:c>
      <x:c r="H227" s="49" t="n">
        <x:v>1</x:v>
      </x:c>
      <x:c r="I227" s="47" t="n">
        <x:v>-55843</x:v>
      </x:c>
      <x:c r="J227" s="49" t="n">
        <x:v>4</x:v>
      </x:c>
      <x:c r="K227" s="47" t="n">
        <x:v>-55843</x:v>
      </x:c>
      <x:c r="L227" s="47" t="n">
        <x:v>55843</x:v>
      </x:c>
      <x:c r="M227" s="48" t="n">
        <x:v>95.1</x:v>
      </x:c>
      <x:c r="N227" s="48" t="n">
        <x:v>217.81666666666666</x:v>
      </x:c>
      <x:c r="O227" s="49" t="n">
        <x:v>5</x:v>
      </x:c>
      <x:c r="P227" s="1" t="str">
        <x:v>合意入口と複合管理の統合</x:v>
      </x:c>
      <x:c r="Q227" s="49" t="n">
        <x:v>0</x:v>
      </x:c>
      <x:c r="R227" s="50" t="n">
        <x:v>0.5186111111111111</x:v>
      </x:c>
      <x:c r="S227" s="50" t="n">
        <x:v>0.5186111111111111</x:v>
      </x:c>
      <x:c r="T227" s="1" t="str">
        <x:v>デイ</x:v>
      </x:c>
      <x:c r="U227" s="49" t="n">
        <x:v>1</x:v>
      </x:c>
    </x:row>
    <x:row r="228" ht="22" customHeight="1">
      <x:c r="A228" s="1" t="str">
        <x:v>日経mini</x:v>
      </x:c>
      <x:c r="B228" s="1" t="str">
        <x:v>C12</x:v>
      </x:c>
      <x:c r="C228" s="1" t="str">
        <x:v>診断3場</x:v>
      </x:c>
      <x:c r="D228" s="47" t="n">
        <x:v>104616</x:v>
      </x:c>
      <x:c r="E228" s="47" t="n">
        <x:v>160228</x:v>
      </x:c>
      <x:c r="F228" s="47" t="n">
        <x:f>D228-E228</x:f>
        <x:v>-55612</x:v>
      </x:c>
      <x:c r="G228" s="49" t="n">
        <x:v>1</x:v>
      </x:c>
      <x:c r="H228" s="49" t="n">
        <x:v>1</x:v>
      </x:c>
      <x:c r="I228" s="47" t="n">
        <x:v>-70537</x:v>
      </x:c>
      <x:c r="J228" s="49" t="n">
        <x:v>6</x:v>
      </x:c>
      <x:c r="K228" s="47" t="n">
        <x:v>-70537</x:v>
      </x:c>
      <x:c r="L228" s="47" t="n">
        <x:v>70537</x:v>
      </x:c>
      <x:c r="M228" s="48" t="n">
        <x:v>360.05</x:v>
      </x:c>
      <x:c r="N228" s="48" t="n">
        <x:v>30.808333333333334</x:v>
      </x:c>
      <x:c r="O228" s="49" t="n">
        <x:v>5</x:v>
      </x:c>
      <x:c r="P228" s="1" t="str">
        <x:v>合意入口と複合管理の統合</x:v>
      </x:c>
      <x:c r="Q228" s="49" t="n">
        <x:v>0</x:v>
      </x:c>
      <x:c r="R228" s="50" t="n">
        <x:v>0.03949786324786325</x:v>
      </x:c>
      <x:c r="S228" s="50" t="n">
        <x:v>0.039497863247863245</x:v>
      </x:c>
      <x:c r="T228" s="1" t="str">
        <x:v>ナイト</x:v>
      </x:c>
      <x:c r="U228" s="49" t="n">
        <x:v>2</x:v>
      </x:c>
    </x:row>
    <x:row r="229" ht="22" customHeight="1">
      <x:c r="A229" s="1" t="str">
        <x:v>日経mini</x:v>
      </x:c>
      <x:c r="B229" s="1" t="str">
        <x:v>C12</x:v>
      </x:c>
      <x:c r="C229" s="1" t="str">
        <x:v>診断3場</x:v>
      </x:c>
      <x:c r="D229" s="47" t="n">
        <x:v>32847</x:v>
      </x:c>
      <x:c r="E229" s="47" t="n">
        <x:v>159227</x:v>
      </x:c>
      <x:c r="F229" s="47" t="n">
        <x:f>D229-E229</x:f>
        <x:v>-126380</x:v>
      </x:c>
      <x:c r="G229" s="49" t="n">
        <x:v>0</x:v>
      </x:c>
      <x:c r="H229" s="49" t="n">
        <x:v>2</x:v>
      </x:c>
      <x:c r="I229" s="47" t="n">
        <x:v>-126380</x:v>
      </x:c>
      <x:c r="J229" s="49" t="n">
        <x:v>6</x:v>
      </x:c>
      <x:c r="K229" s="47" t="n">
        <x:v>-70537</x:v>
      </x:c>
      <x:c r="L229" s="47" t="n">
        <x:v>63190</x:v>
      </x:c>
      <x:c r="M229" s="48" t="n">
        <x:v>227.56666666666666</x:v>
      </x:c>
      <x:c r="N229" s="48" t="n">
        <x:v>119.45833333333333</x:v>
      </x:c>
      <x:c r="O229" s="49" t="n">
        <x:v>5</x:v>
      </x:c>
      <x:c r="P229" s="1" t="str">
        <x:v>合意入口と複合管理の統合</x:v>
      </x:c>
      <x:c r="Q229" s="49" t="n">
        <x:v>0</x:v>
      </x:c>
      <x:c r="R229" s="50" t="n">
        <x:v>0.2728311965811966</x:v>
      </x:c>
      <x:c r="S229" s="50" t="n">
        <x:v>0.1990972222222222</x:v>
      </x:c>
      <x:c r="T229" s="1" t="str">
        <x:v>上昇</x:v>
      </x:c>
      <x:c r="U229" s="49" t="n">
        <x:v>2</x:v>
      </x:c>
    </x:row>
    <x:row r="230" ht="22" customHeight="1">
      <x:c r="A230" s="1" t="str">
        <x:v>日経mini</x:v>
      </x:c>
      <x:c r="B230" s="1" t="str">
        <x:v>C12</x:v>
      </x:c>
      <x:c r="C230" s="1" t="str">
        <x:v>診断3場</x:v>
      </x:c>
      <x:c r="D230" s="47" t="n">
        <x:v>104616</x:v>
      </x:c>
      <x:c r="E230" s="47" t="n">
        <x:v>89691</x:v>
      </x:c>
      <x:c r="F230" s="47" t="n">
        <x:f>D230-E230</x:f>
        <x:v>14925</x:v>
      </x:c>
      <x:c r="G230" s="49" t="n">
        <x:v>1</x:v>
      </x:c>
      <x:c r="H230" s="49" t="n">
        <x:v>0</x:v>
      </x:c>
      <x:c r="I230" s="47" t="n">
        <x:v>0</x:v>
      </x:c>
      <x:c r="J230" s="49" t="n">
        <x:v>4</x:v>
      </x:c>
      <x:c r="K230" s="47" t="n">
        <x:v>14925</x:v>
      </x:c>
      <x:c r="L230" s="47" t="n">
        <x:v>0</x:v>
      </x:c>
      <x:c r="M230" s="48" t="n">
        <x:v>360.06666666666666</x:v>
      </x:c>
      <x:c r="N230" s="48" t="n">
        <x:v>40.516666666666666</x:v>
      </x:c>
      <x:c r="O230" s="49" t="n">
        <x:v>5</x:v>
      </x:c>
      <x:c r="P230" s="1" t="str">
        <x:v>合意入口と複合管理の統合</x:v>
      </x:c>
      <x:c r="Q230" s="49" t="n">
        <x:v>0</x:v>
      </x:c>
      <x:c r="R230" s="50" t="n">
        <x:v>0.051944444444444446</x:v>
      </x:c>
      <x:c r="S230" s="50" t="n">
        <x:v>0.051944444444444446</x:v>
      </x:c>
      <x:c r="T230" s="1" t="str">
        <x:v>下落</x:v>
      </x:c>
      <x:c r="U230" s="49" t="n">
        <x:v>1</x:v>
      </x:c>
    </x:row>
    <x:row r="231" ht="22" customHeight="1">
      <x:c r="A231" s="1" t="str">
        <x:v>日経mini</x:v>
      </x:c>
      <x:c r="B231" s="1" t="str">
        <x:v>C13</x:v>
      </x:c>
      <x:c r="C231" s="1" t="str">
        <x:v>全50場</x:v>
      </x:c>
      <x:c r="D231" s="47" t="n">
        <x:v>5212848</x:v>
      </x:c>
      <x:c r="E231" s="47" t="n">
        <x:v>3099092</x:v>
      </x:c>
      <x:c r="F231" s="47" t="n">
        <x:f>D231-E231</x:f>
        <x:v>2113756</x:v>
      </x:c>
      <x:c r="G231" s="49" t="n">
        <x:v>33</x:v>
      </x:c>
      <x:c r="H231" s="49" t="n">
        <x:v>17</x:v>
      </x:c>
      <x:c r="I231" s="47" t="n">
        <x:v>1119358</x:v>
      </x:c>
      <x:c r="J231" s="49" t="n">
        <x:v>236</x:v>
      </x:c>
      <x:c r="K231" s="47" t="n">
        <x:v>-146763</x:v>
      </x:c>
      <x:c r="L231" s="47" t="n">
        <x:v>66866.17647058824</x:v>
      </x:c>
      <x:c r="M231" s="48" t="n">
        <x:v>212.28466666666668</x:v>
      </x:c>
      <x:c r="N231" s="48" t="n">
        <x:v>124.71033333333332</x:v>
      </x:c>
      <x:c r="O231" s="49" t="n">
        <x:v>10</x:v>
      </x:c>
      <x:c r="P231" s="1" t="str">
        <x:v>旧再進行入口と長短管理</x:v>
      </x:c>
      <x:c r="Q231" s="49" t="n">
        <x:v>0</x:v>
      </x:c>
      <x:c r="R231" s="50" t="n">
        <x:v>0.2767626984126984</x:v>
      </x:c>
      <x:c r="S231" s="50" t="n">
        <x:v>0.20785055555555554</x:v>
      </x:c>
      <x:c r="T231" s="1" t="str">
        <x:v>全場</x:v>
      </x:c>
      <x:c r="U231" s="49" t="n">
        <x:v>50</x:v>
      </x:c>
    </x:row>
    <x:row r="232" ht="22" customHeight="1">
      <x:c r="A232" s="1" t="str">
        <x:v>日経mini</x:v>
      </x:c>
      <x:c r="B232" s="1" t="str">
        <x:v>C13</x:v>
      </x:c>
      <x:c r="C232" s="1" t="str">
        <x:v>全50場</x:v>
      </x:c>
      <x:c r="D232" s="47" t="n">
        <x:v>3306199</x:v>
      </x:c>
      <x:c r="E232" s="47" t="n">
        <x:v>2090184</x:v>
      </x:c>
      <x:c r="F232" s="47" t="n">
        <x:f>D232-E232</x:f>
        <x:v>1216015</x:v>
      </x:c>
      <x:c r="G232" s="49" t="n">
        <x:v>15</x:v>
      </x:c>
      <x:c r="H232" s="49" t="n">
        <x:v>10</x:v>
      </x:c>
      <x:c r="I232" s="47" t="n">
        <x:v>361695</x:v>
      </x:c>
      <x:c r="J232" s="49" t="n">
        <x:v>149</x:v>
      </x:c>
      <x:c r="K232" s="47" t="n">
        <x:v>-146763</x:v>
      </x:c>
      <x:c r="L232" s="47" t="n">
        <x:v>72627.1</x:v>
      </x:c>
      <x:c r="M232" s="48" t="n">
        <x:v>87.46866666666666</x:v>
      </x:c>
      <x:c r="N232" s="48" t="n">
        <x:v>212.71733333333333</x:v>
      </x:c>
      <x:c r="O232" s="49" t="n">
        <x:v>10</x:v>
      </x:c>
      <x:c r="P232" s="1" t="str">
        <x:v>旧再進行入口と長短管理</x:v>
      </x:c>
      <x:c r="Q232" s="49" t="n">
        <x:v>0</x:v>
      </x:c>
      <x:c r="R232" s="50" t="n">
        <x:v>0.5064698412698413</x:v>
      </x:c>
      <x:c r="S232" s="50" t="n">
        <x:v>0.5064698412698413</x:v>
      </x:c>
      <x:c r="T232" s="1" t="str">
        <x:v>デイ</x:v>
      </x:c>
      <x:c r="U232" s="49" t="n">
        <x:v>25</x:v>
      </x:c>
    </x:row>
    <x:row r="233" ht="22" customHeight="1">
      <x:c r="A233" s="1" t="str">
        <x:v>日経mini</x:v>
      </x:c>
      <x:c r="B233" s="1" t="str">
        <x:v>C13</x:v>
      </x:c>
      <x:c r="C233" s="1" t="str">
        <x:v>全50場</x:v>
      </x:c>
      <x:c r="D233" s="47" t="n">
        <x:v>1906649</x:v>
      </x:c>
      <x:c r="E233" s="47" t="n">
        <x:v>1008908</x:v>
      </x:c>
      <x:c r="F233" s="47" t="n">
        <x:f>D233-E233</x:f>
        <x:v>897741</x:v>
      </x:c>
      <x:c r="G233" s="49" t="n">
        <x:v>18</x:v>
      </x:c>
      <x:c r="H233" s="49" t="n">
        <x:v>7</x:v>
      </x:c>
      <x:c r="I233" s="47" t="n">
        <x:v>263963</x:v>
      </x:c>
      <x:c r="J233" s="49" t="n">
        <x:v>87</x:v>
      </x:c>
      <x:c r="K233" s="47" t="n">
        <x:v>-121461</x:v>
      </x:c>
      <x:c r="L233" s="47" t="n">
        <x:v>58636.28571428572</x:v>
      </x:c>
      <x:c r="M233" s="48" t="n">
        <x:v>337.10066666666665</x:v>
      </x:c>
      <x:c r="N233" s="48" t="n">
        <x:v>36.70333333333333</x:v>
      </x:c>
      <x:c r="O233" s="49" t="n">
        <x:v>7</x:v>
      </x:c>
      <x:c r="P233" s="1" t="str">
        <x:v>旧再進行入口と長短管理</x:v>
      </x:c>
      <x:c r="Q233" s="49" t="n">
        <x:v>0</x:v>
      </x:c>
      <x:c r="R233" s="50" t="n">
        <x:v>0.04705555555555556</x:v>
      </x:c>
      <x:c r="S233" s="50" t="n">
        <x:v>0.04705555555555556</x:v>
      </x:c>
      <x:c r="T233" s="1" t="str">
        <x:v>ナイト</x:v>
      </x:c>
      <x:c r="U233" s="49" t="n">
        <x:v>25</x:v>
      </x:c>
    </x:row>
    <x:row r="234" ht="22" customHeight="1">
      <x:c r="A234" s="1" t="str">
        <x:v>日経mini</x:v>
      </x:c>
      <x:c r="B234" s="1" t="str">
        <x:v>C13</x:v>
      </x:c>
      <x:c r="C234" s="1" t="str">
        <x:v>全50場</x:v>
      </x:c>
      <x:c r="D234" s="47" t="n">
        <x:v>2163652</x:v>
      </x:c>
      <x:c r="E234" s="47" t="n">
        <x:v>1548582</x:v>
      </x:c>
      <x:c r="F234" s="47" t="n">
        <x:f>D234-E234</x:f>
        <x:v>615070</x:v>
      </x:c>
      <x:c r="G234" s="49" t="n">
        <x:v>15</x:v>
      </x:c>
      <x:c r="H234" s="49" t="n">
        <x:v>9</x:v>
      </x:c>
      <x:c r="I234" s="47" t="n">
        <x:v>-75639</x:v>
      </x:c>
      <x:c r="J234" s="49" t="n">
        <x:v>117</x:v>
      </x:c>
      <x:c r="K234" s="47" t="n">
        <x:v>-146763</x:v>
      </x:c>
      <x:c r="L234" s="47" t="n">
        <x:v>84664.22222222222</x:v>
      </x:c>
      <x:c r="M234" s="48" t="n">
        <x:v>214.55416666666667</x:v>
      </x:c>
      <x:c r="N234" s="48" t="n">
        <x:v>115.56319444444445</x:v>
      </x:c>
      <x:c r="O234" s="49" t="n">
        <x:v>10</x:v>
      </x:c>
      <x:c r="P234" s="1" t="str">
        <x:v>旧再進行入口と長短管理</x:v>
      </x:c>
      <x:c r="Q234" s="49" t="n">
        <x:v>0</x:v>
      </x:c>
      <x:c r="R234" s="50" t="n">
        <x:v>0.2544445716320716</x:v>
      </x:c>
      <x:c r="S234" s="50" t="n">
        <x:v>0.1879076332429991</x:v>
      </x:c>
      <x:c r="T234" s="1" t="str">
        <x:v>上昇</x:v>
      </x:c>
      <x:c r="U234" s="49" t="n">
        <x:v>24</x:v>
      </x:c>
    </x:row>
    <x:row r="235" ht="22" customHeight="1">
      <x:c r="A235" s="1" t="str">
        <x:v>日経mini</x:v>
      </x:c>
      <x:c r="B235" s="1" t="str">
        <x:v>C13</x:v>
      </x:c>
      <x:c r="C235" s="1" t="str">
        <x:v>全50場</x:v>
      </x:c>
      <x:c r="D235" s="47" t="n">
        <x:v>3049196</x:v>
      </x:c>
      <x:c r="E235" s="47" t="n">
        <x:v>1550510</x:v>
      </x:c>
      <x:c r="F235" s="47" t="n">
        <x:f>D235-E235</x:f>
        <x:v>1498686</x:v>
      </x:c>
      <x:c r="G235" s="49" t="n">
        <x:v>18</x:v>
      </x:c>
      <x:c r="H235" s="49" t="n">
        <x:v>8</x:v>
      </x:c>
      <x:c r="I235" s="47" t="n">
        <x:v>644366</x:v>
      </x:c>
      <x:c r="J235" s="49" t="n">
        <x:v>119</x:v>
      </x:c>
      <x:c r="K235" s="47" t="n">
        <x:v>-138764</x:v>
      </x:c>
      <x:c r="L235" s="47" t="n">
        <x:v>46843.375</x:v>
      </x:c>
      <x:c r="M235" s="48" t="n">
        <x:v>210.1897435897436</x:v>
      </x:c>
      <x:c r="N235" s="48" t="n">
        <x:v>133.15384615384616</x:v>
      </x:c>
      <x:c r="O235" s="49" t="n">
        <x:v>10</x:v>
      </x:c>
      <x:c r="P235" s="1" t="str">
        <x:v>旧再進行入口と長短管理</x:v>
      </x:c>
      <x:c r="Q235" s="49" t="n">
        <x:v>0</x:v>
      </x:c>
      <x:c r="R235" s="50" t="n">
        <x:v>0.2973640462102001</x:v>
      </x:c>
      <x:c r="S235" s="50" t="n">
        <x:v>0.22716535433070867</x:v>
      </x:c>
      <x:c r="T235" s="1" t="str">
        <x:v>下落</x:v>
      </x:c>
      <x:c r="U235" s="49" t="n">
        <x:v>26</x:v>
      </x:c>
    </x:row>
    <x:row r="236" ht="22" customHeight="1">
      <x:c r="A236" s="1" t="str">
        <x:v>日経mini</x:v>
      </x:c>
      <x:c r="B236" s="1" t="str">
        <x:v>C13</x:v>
      </x:c>
      <x:c r="C236" s="1" t="str">
        <x:v>対照47場</x:v>
      </x:c>
      <x:c r="D236" s="47" t="n">
        <x:v>5075385</x:v>
      </x:c>
      <x:c r="E236" s="47" t="n">
        <x:v>2874328</x:v>
      </x:c>
      <x:c r="F236" s="47" t="n">
        <x:f>D236-E236</x:f>
        <x:v>2201057</x:v>
      </x:c>
      <x:c r="G236" s="49" t="n">
        <x:v>32</x:v>
      </x:c>
      <x:c r="H236" s="49" t="n">
        <x:v>15</x:v>
      </x:c>
      <x:c r="I236" s="47" t="n">
        <x:v>1206659</x:v>
      </x:c>
      <x:c r="J236" s="49" t="n">
        <x:v>227</x:v>
      </x:c>
      <x:c r="K236" s="47" t="n">
        <x:v>-146763</x:v>
      </x:c>
      <x:c r="L236" s="47" t="n">
        <x:v>67356.33333333333</x:v>
      </x:c>
      <x:c r="M236" s="48" t="n">
        <x:v>208.49007092198582</x:v>
      </x:c>
      <x:c r="N236" s="48" t="n">
        <x:v>126.8432624113475</x:v>
      </x:c>
      <x:c r="O236" s="49" t="n">
        <x:v>10</x:v>
      </x:c>
      <x:c r="P236" s="1" t="str">
        <x:v>旧再進行入口と長短管理</x:v>
      </x:c>
      <x:c r="Q236" s="49" t="n">
        <x:v>0</x:v>
      </x:c>
      <x:c r="R236" s="50" t="n">
        <x:v>0.2818647546307121</x:v>
      </x:c>
      <x:c r="S236" s="50" t="n">
        <x:v>0.21276350226029025</x:v>
      </x:c>
      <x:c r="T236" s="1" t="str">
        <x:v>全場</x:v>
      </x:c>
      <x:c r="U236" s="49" t="n">
        <x:v>47</x:v>
      </x:c>
    </x:row>
    <x:row r="237" ht="22" customHeight="1">
      <x:c r="A237" s="1" t="str">
        <x:v>日経mini</x:v>
      </x:c>
      <x:c r="B237" s="1" t="str">
        <x:v>C13</x:v>
      </x:c>
      <x:c r="C237" s="1" t="str">
        <x:v>対照47場</x:v>
      </x:c>
      <x:c r="D237" s="47" t="n">
        <x:v>3273352</x:v>
      </x:c>
      <x:c r="E237" s="47" t="n">
        <x:v>2001494</x:v>
      </x:c>
      <x:c r="F237" s="47" t="n">
        <x:f>D237-E237</x:f>
        <x:v>1271858</x:v>
      </x:c>
      <x:c r="G237" s="49" t="n">
        <x:v>15</x:v>
      </x:c>
      <x:c r="H237" s="49" t="n">
        <x:v>9</x:v>
      </x:c>
      <x:c r="I237" s="47" t="n">
        <x:v>417538</x:v>
      </x:c>
      <x:c r="J237" s="49" t="n">
        <x:v>145</x:v>
      </x:c>
      <x:c r="K237" s="47" t="n">
        <x:v>-146763</x:v>
      </x:c>
      <x:c r="L237" s="47" t="n">
        <x:v>74492</x:v>
      </x:c>
      <x:c r="M237" s="48" t="n">
        <x:v>87.15069444444445</x:v>
      </x:c>
      <x:c r="N237" s="48" t="n">
        <x:v>212.50486111111113</x:v>
      </x:c>
      <x:c r="O237" s="49" t="n">
        <x:v>10</x:v>
      </x:c>
      <x:c r="P237" s="1" t="str">
        <x:v>旧再進行入口と長短管理</x:v>
      </x:c>
      <x:c r="Q237" s="49" t="n">
        <x:v>0</x:v>
      </x:c>
      <x:c r="R237" s="50" t="n">
        <x:v>0.5059639550264551</x:v>
      </x:c>
      <x:c r="S237" s="50" t="n">
        <x:v>0.5059639550264551</x:v>
      </x:c>
      <x:c r="T237" s="1" t="str">
        <x:v>デイ</x:v>
      </x:c>
      <x:c r="U237" s="49" t="n">
        <x:v>24</x:v>
      </x:c>
    </x:row>
    <x:row r="238" ht="22" customHeight="1">
      <x:c r="A238" s="1" t="str">
        <x:v>日経mini</x:v>
      </x:c>
      <x:c r="B238" s="1" t="str">
        <x:v>C13</x:v>
      </x:c>
      <x:c r="C238" s="1" t="str">
        <x:v>対照47場</x:v>
      </x:c>
      <x:c r="D238" s="47" t="n">
        <x:v>1802033</x:v>
      </x:c>
      <x:c r="E238" s="47" t="n">
        <x:v>872834</x:v>
      </x:c>
      <x:c r="F238" s="47" t="n">
        <x:f>D238-E238</x:f>
        <x:v>929199</x:v>
      </x:c>
      <x:c r="G238" s="49" t="n">
        <x:v>17</x:v>
      </x:c>
      <x:c r="H238" s="49" t="n">
        <x:v>6</x:v>
      </x:c>
      <x:c r="I238" s="47" t="n">
        <x:v>295421</x:v>
      </x:c>
      <x:c r="J238" s="49" t="n">
        <x:v>82</x:v>
      </x:c>
      <x:c r="K238" s="47" t="n">
        <x:v>-121461</x:v>
      </x:c>
      <x:c r="L238" s="47" t="n">
        <x:v>56652.833333333336</x:v>
      </x:c>
      <x:c r="M238" s="48" t="n">
        <x:v>335.10507246376807</x:v>
      </x:c>
      <x:c r="N238" s="48" t="n">
        <x:v>37.4572463768116</x:v>
      </x:c>
      <x:c r="O238" s="49" t="n">
        <x:v>7</x:v>
      </x:c>
      <x:c r="P238" s="1" t="str">
        <x:v>旧再進行入口と長短管理</x:v>
      </x:c>
      <x:c r="Q238" s="49" t="n">
        <x:v>0</x:v>
      </x:c>
      <x:c r="R238" s="50" t="n">
        <x:v>0.04802211073950204</x:v>
      </x:c>
      <x:c r="S238" s="50" t="n">
        <x:v>0.04802211073950204</x:v>
      </x:c>
      <x:c r="T238" s="1" t="str">
        <x:v>ナイト</x:v>
      </x:c>
      <x:c r="U238" s="49" t="n">
        <x:v>23</x:v>
      </x:c>
    </x:row>
    <x:row r="239" ht="22" customHeight="1">
      <x:c r="A239" s="1" t="str">
        <x:v>日経mini</x:v>
      </x:c>
      <x:c r="B239" s="1" t="str">
        <x:v>C13</x:v>
      </x:c>
      <x:c r="C239" s="1" t="str">
        <x:v>対照47場</x:v>
      </x:c>
      <x:c r="D239" s="47" t="n">
        <x:v>2130805</x:v>
      </x:c>
      <x:c r="E239" s="47" t="n">
        <x:v>1389355</x:v>
      </x:c>
      <x:c r="F239" s="47" t="n">
        <x:f>D239-E239</x:f>
        <x:v>741450</x:v>
      </x:c>
      <x:c r="G239" s="49" t="n">
        <x:v>15</x:v>
      </x:c>
      <x:c r="H239" s="49" t="n">
        <x:v>7</x:v>
      </x:c>
      <x:c r="I239" s="47" t="n">
        <x:v>50741</x:v>
      </x:c>
      <x:c r="J239" s="49" t="n">
        <x:v>111</x:v>
      </x:c>
      <x:c r="K239" s="47" t="n">
        <x:v>-146763</x:v>
      </x:c>
      <x:c r="L239" s="47" t="n">
        <x:v>90799.71428571429</x:v>
      </x:c>
      <x:c r="M239" s="48" t="n">
        <x:v>213.3712121212121</x:v>
      </x:c>
      <x:c r="N239" s="48" t="n">
        <x:v>115.20909090909093</x:v>
      </x:c>
      <x:c r="O239" s="49" t="n">
        <x:v>10</x:v>
      </x:c>
      <x:c r="P239" s="1" t="str">
        <x:v>旧再進行入口と長短管理</x:v>
      </x:c>
      <x:c r="Q239" s="49" t="n">
        <x:v>0</x:v>
      </x:c>
      <x:c r="R239" s="50" t="n">
        <x:v>0.25277306027306023</x:v>
      </x:c>
      <x:c r="S239" s="50" t="n">
        <x:v>0.1869174041297935</x:v>
      </x:c>
      <x:c r="T239" s="1" t="str">
        <x:v>上昇</x:v>
      </x:c>
      <x:c r="U239" s="49" t="n">
        <x:v>22</x:v>
      </x:c>
    </x:row>
    <x:row r="240" ht="22" customHeight="1">
      <x:c r="A240" s="1" t="str">
        <x:v>日経mini</x:v>
      </x:c>
      <x:c r="B240" s="1" t="str">
        <x:v>C13</x:v>
      </x:c>
      <x:c r="C240" s="1" t="str">
        <x:v>対照47場</x:v>
      </x:c>
      <x:c r="D240" s="47" t="n">
        <x:v>2944580</x:v>
      </x:c>
      <x:c r="E240" s="47" t="n">
        <x:v>1484973</x:v>
      </x:c>
      <x:c r="F240" s="47" t="n">
        <x:f>D240-E240</x:f>
        <x:v>1459607</x:v>
      </x:c>
      <x:c r="G240" s="49" t="n">
        <x:v>17</x:v>
      </x:c>
      <x:c r="H240" s="49" t="n">
        <x:v>8</x:v>
      </x:c>
      <x:c r="I240" s="47" t="n">
        <x:v>605287</x:v>
      </x:c>
      <x:c r="J240" s="49" t="n">
        <x:v>116</x:v>
      </x:c>
      <x:c r="K240" s="47" t="n">
        <x:v>-138764</x:v>
      </x:c>
      <x:c r="L240" s="47" t="n">
        <x:v>46843.375</x:v>
      </x:c>
      <x:c r="M240" s="48" t="n">
        <x:v>204.1946666666667</x:v>
      </x:c>
      <x:c r="N240" s="48" t="n">
        <x:v>137.08133333333333</x:v>
      </x:c>
      <x:c r="O240" s="49" t="n">
        <x:v>10</x:v>
      </x:c>
      <x:c r="P240" s="1" t="str">
        <x:v>旧再進行入口と長短管理</x:v>
      </x:c>
      <x:c r="Q240" s="49" t="n">
        <x:v>0</x:v>
      </x:c>
      <x:c r="R240" s="50" t="n">
        <x:v>0.3074654456654457</x:v>
      </x:c>
      <x:c r="S240" s="50" t="n">
        <x:v>0.23700092208390963</x:v>
      </x:c>
      <x:c r="T240" s="1" t="str">
        <x:v>下落</x:v>
      </x:c>
      <x:c r="U240" s="49" t="n">
        <x:v>25</x:v>
      </x:c>
    </x:row>
    <x:row r="241" ht="22" customHeight="1">
      <x:c r="A241" s="1" t="str">
        <x:v>日経mini</x:v>
      </x:c>
      <x:c r="B241" s="1" t="str">
        <x:v>C13</x:v>
      </x:c>
      <x:c r="C241" s="1" t="str">
        <x:v>診断3場</x:v>
      </x:c>
      <x:c r="D241" s="47" t="n">
        <x:v>137463</x:v>
      </x:c>
      <x:c r="E241" s="47" t="n">
        <x:v>224764</x:v>
      </x:c>
      <x:c r="F241" s="47" t="n">
        <x:f>D241-E241</x:f>
        <x:v>-87301</x:v>
      </x:c>
      <x:c r="G241" s="49" t="n">
        <x:v>1</x:v>
      </x:c>
      <x:c r="H241" s="49" t="n">
        <x:v>2</x:v>
      </x:c>
      <x:c r="I241" s="47" t="n">
        <x:v>-126380</x:v>
      </x:c>
      <x:c r="J241" s="49" t="n">
        <x:v>9</x:v>
      </x:c>
      <x:c r="K241" s="47" t="n">
        <x:v>-70537</x:v>
      </x:c>
      <x:c r="L241" s="47" t="n">
        <x:v>63190</x:v>
      </x:c>
      <x:c r="M241" s="48" t="n">
        <x:v>271.73333333333335</x:v>
      </x:c>
      <x:c r="N241" s="48" t="n">
        <x:v>91.29444444444444</x:v>
      </x:c>
      <x:c r="O241" s="49" t="n">
        <x:v>5</x:v>
      </x:c>
      <x:c r="P241" s="1" t="str">
        <x:v>旧再進行入口と長短管理</x:v>
      </x:c>
      <x:c r="Q241" s="49" t="n">
        <x:v>0</x:v>
      </x:c>
      <x:c r="R241" s="50" t="n">
        <x:v>0.19683048433048433</x:v>
      </x:c>
      <x:c r="S241" s="50" t="n">
        <x:v>0.13832491582491582</x:v>
      </x:c>
      <x:c r="T241" s="1" t="str">
        <x:v>全場</x:v>
      </x:c>
      <x:c r="U241" s="49" t="n">
        <x:v>3</x:v>
      </x:c>
    </x:row>
    <x:row r="242" ht="22" customHeight="1">
      <x:c r="A242" s="1" t="str">
        <x:v>日経mini</x:v>
      </x:c>
      <x:c r="B242" s="1" t="str">
        <x:v>C13</x:v>
      </x:c>
      <x:c r="C242" s="1" t="str">
        <x:v>診断3場</x:v>
      </x:c>
      <x:c r="D242" s="47" t="n">
        <x:v>32847</x:v>
      </x:c>
      <x:c r="E242" s="47" t="n">
        <x:v>88690</x:v>
      </x:c>
      <x:c r="F242" s="47" t="n">
        <x:f>D242-E242</x:f>
        <x:v>-55843</x:v>
      </x:c>
      <x:c r="G242" s="49" t="n">
        <x:v>0</x:v>
      </x:c>
      <x:c r="H242" s="49" t="n">
        <x:v>1</x:v>
      </x:c>
      <x:c r="I242" s="47" t="n">
        <x:v>-55843</x:v>
      </x:c>
      <x:c r="J242" s="49" t="n">
        <x:v>4</x:v>
      </x:c>
      <x:c r="K242" s="47" t="n">
        <x:v>-55843</x:v>
      </x:c>
      <x:c r="L242" s="47" t="n">
        <x:v>55843</x:v>
      </x:c>
      <x:c r="M242" s="48" t="n">
        <x:v>95.1</x:v>
      </x:c>
      <x:c r="N242" s="48" t="n">
        <x:v>217.81666666666666</x:v>
      </x:c>
      <x:c r="O242" s="49" t="n">
        <x:v>5</x:v>
      </x:c>
      <x:c r="P242" s="1" t="str">
        <x:v>旧再進行入口と長短管理</x:v>
      </x:c>
      <x:c r="Q242" s="49" t="n">
        <x:v>0</x:v>
      </x:c>
      <x:c r="R242" s="50" t="n">
        <x:v>0.5186111111111111</x:v>
      </x:c>
      <x:c r="S242" s="50" t="n">
        <x:v>0.5186111111111111</x:v>
      </x:c>
      <x:c r="T242" s="1" t="str">
        <x:v>デイ</x:v>
      </x:c>
      <x:c r="U242" s="49" t="n">
        <x:v>1</x:v>
      </x:c>
    </x:row>
    <x:row r="243" ht="22" customHeight="1">
      <x:c r="A243" s="1" t="str">
        <x:v>日経mini</x:v>
      </x:c>
      <x:c r="B243" s="1" t="str">
        <x:v>C13</x:v>
      </x:c>
      <x:c r="C243" s="1" t="str">
        <x:v>診断3場</x:v>
      </x:c>
      <x:c r="D243" s="47" t="n">
        <x:v>104616</x:v>
      </x:c>
      <x:c r="E243" s="47" t="n">
        <x:v>136074</x:v>
      </x:c>
      <x:c r="F243" s="47" t="n">
        <x:f>D243-E243</x:f>
        <x:v>-31458</x:v>
      </x:c>
      <x:c r="G243" s="49" t="n">
        <x:v>1</x:v>
      </x:c>
      <x:c r="H243" s="49" t="n">
        <x:v>1</x:v>
      </x:c>
      <x:c r="I243" s="47" t="n">
        <x:v>-70537</x:v>
      </x:c>
      <x:c r="J243" s="49" t="n">
        <x:v>5</x:v>
      </x:c>
      <x:c r="K243" s="47" t="n">
        <x:v>-70537</x:v>
      </x:c>
      <x:c r="L243" s="47" t="n">
        <x:v>70537</x:v>
      </x:c>
      <x:c r="M243" s="48" t="n">
        <x:v>360.05</x:v>
      </x:c>
      <x:c r="N243" s="48" t="n">
        <x:v>28.033333333333335</x:v>
      </x:c>
      <x:c r="O243" s="49" t="n">
        <x:v>5</x:v>
      </x:c>
      <x:c r="P243" s="1" t="str">
        <x:v>旧再進行入口と長短管理</x:v>
      </x:c>
      <x:c r="Q243" s="49" t="n">
        <x:v>0</x:v>
      </x:c>
      <x:c r="R243" s="50" t="n">
        <x:v>0.03594017094017094</x:v>
      </x:c>
      <x:c r="S243" s="50" t="n">
        <x:v>0.03594017094017094</x:v>
      </x:c>
      <x:c r="T243" s="1" t="str">
        <x:v>ナイト</x:v>
      </x:c>
      <x:c r="U243" s="49" t="n">
        <x:v>2</x:v>
      </x:c>
    </x:row>
    <x:row r="244" ht="22" customHeight="1">
      <x:c r="A244" s="1" t="str">
        <x:v>日経mini</x:v>
      </x:c>
      <x:c r="B244" s="1" t="str">
        <x:v>C13</x:v>
      </x:c>
      <x:c r="C244" s="1" t="str">
        <x:v>診断3場</x:v>
      </x:c>
      <x:c r="D244" s="47" t="n">
        <x:v>32847</x:v>
      </x:c>
      <x:c r="E244" s="47" t="n">
        <x:v>159227</x:v>
      </x:c>
      <x:c r="F244" s="47" t="n">
        <x:f>D244-E244</x:f>
        <x:v>-126380</x:v>
      </x:c>
      <x:c r="G244" s="49" t="n">
        <x:v>0</x:v>
      </x:c>
      <x:c r="H244" s="49" t="n">
        <x:v>2</x:v>
      </x:c>
      <x:c r="I244" s="47" t="n">
        <x:v>-126380</x:v>
      </x:c>
      <x:c r="J244" s="49" t="n">
        <x:v>6</x:v>
      </x:c>
      <x:c r="K244" s="47" t="n">
        <x:v>-70537</x:v>
      </x:c>
      <x:c r="L244" s="47" t="n">
        <x:v>63190</x:v>
      </x:c>
      <x:c r="M244" s="48" t="n">
        <x:v>227.56666666666666</x:v>
      </x:c>
      <x:c r="N244" s="48" t="n">
        <x:v>119.45833333333333</x:v>
      </x:c>
      <x:c r="O244" s="49" t="n">
        <x:v>5</x:v>
      </x:c>
      <x:c r="P244" s="1" t="str">
        <x:v>旧再進行入口と長短管理</x:v>
      </x:c>
      <x:c r="Q244" s="49" t="n">
        <x:v>0</x:v>
      </x:c>
      <x:c r="R244" s="50" t="n">
        <x:v>0.2728311965811966</x:v>
      </x:c>
      <x:c r="S244" s="50" t="n">
        <x:v>0.1990972222222222</x:v>
      </x:c>
      <x:c r="T244" s="1" t="str">
        <x:v>上昇</x:v>
      </x:c>
      <x:c r="U244" s="49" t="n">
        <x:v>2</x:v>
      </x:c>
    </x:row>
    <x:row r="245" ht="22" customHeight="1">
      <x:c r="A245" s="1" t="str">
        <x:v>日経mini</x:v>
      </x:c>
      <x:c r="B245" s="1" t="str">
        <x:v>C13</x:v>
      </x:c>
      <x:c r="C245" s="1" t="str">
        <x:v>診断3場</x:v>
      </x:c>
      <x:c r="D245" s="47" t="n">
        <x:v>104616</x:v>
      </x:c>
      <x:c r="E245" s="47" t="n">
        <x:v>65537</x:v>
      </x:c>
      <x:c r="F245" s="47" t="n">
        <x:f>D245-E245</x:f>
        <x:v>39079</x:v>
      </x:c>
      <x:c r="G245" s="49" t="n">
        <x:v>1</x:v>
      </x:c>
      <x:c r="H245" s="49" t="n">
        <x:v>0</x:v>
      </x:c>
      <x:c r="I245" s="47" t="n">
        <x:v>0</x:v>
      </x:c>
      <x:c r="J245" s="49" t="n">
        <x:v>3</x:v>
      </x:c>
      <x:c r="K245" s="47" t="n">
        <x:v>39079</x:v>
      </x:c>
      <x:c r="L245" s="47" t="n">
        <x:v>0</x:v>
      </x:c>
      <x:c r="M245" s="48" t="n">
        <x:v>360.06666666666666</x:v>
      </x:c>
      <x:c r="N245" s="48" t="n">
        <x:v>34.96666666666667</x:v>
      </x:c>
      <x:c r="O245" s="49" t="n">
        <x:v>5</x:v>
      </x:c>
      <x:c r="P245" s="1" t="str">
        <x:v>旧再進行入口と長短管理</x:v>
      </x:c>
      <x:c r="Q245" s="49" t="n">
        <x:v>0</x:v>
      </x:c>
      <x:c r="R245" s="50" t="n">
        <x:v>0.04482905982905983</x:v>
      </x:c>
      <x:c r="S245" s="50" t="n">
        <x:v>0.04482905982905983</x:v>
      </x:c>
      <x:c r="T245" s="1" t="str">
        <x:v>下落</x:v>
      </x:c>
      <x:c r="U245" s="49" t="n">
        <x:v>1</x:v>
      </x:c>
    </x:row>
    <x:row r="246" ht="22" customHeight="1">
      <x:c r="A246" s="1" t="str">
        <x:v>日経mini</x:v>
      </x:c>
      <x:c r="B246" s="1" t="str">
        <x:v>C14</x:v>
      </x:c>
      <x:c r="C246" s="1" t="str">
        <x:v>全50場</x:v>
      </x:c>
      <x:c r="D246" s="47" t="n">
        <x:v>5233071</x:v>
      </x:c>
      <x:c r="E246" s="47" t="n">
        <x:v>3146627</x:v>
      </x:c>
      <x:c r="F246" s="47" t="n">
        <x:f>D246-E246</x:f>
        <x:v>2086444</x:v>
      </x:c>
      <x:c r="G246" s="49" t="n">
        <x:v>32</x:v>
      </x:c>
      <x:c r="H246" s="49" t="n">
        <x:v>18</x:v>
      </x:c>
      <x:c r="I246" s="47" t="n">
        <x:v>1115047</x:v>
      </x:c>
      <x:c r="J246" s="49" t="n">
        <x:v>225</x:v>
      </x:c>
      <x:c r="K246" s="47" t="n">
        <x:v>-144763</x:v>
      </x:c>
      <x:c r="L246" s="47" t="n">
        <x:v>65522.833333333336</x:v>
      </x:c>
      <x:c r="M246" s="48" t="n">
        <x:v>212.28466666666668</x:v>
      </x:c>
      <x:c r="N246" s="48" t="n">
        <x:v>125.32933333333334</x:v>
      </x:c>
      <x:c r="O246" s="49" t="n">
        <x:v>10</x:v>
      </x:c>
      <x:c r="P246" s="1" t="str">
        <x:v>旧再進行入口と複合管理</x:v>
      </x:c>
      <x:c r="Q246" s="49" t="n">
        <x:v>0</x:v>
      </x:c>
      <x:c r="R246" s="50" t="n">
        <x:v>0.27823650793650795</x:v>
      </x:c>
      <x:c r="S246" s="50" t="n">
        <x:v>0.20888222222222222</x:v>
      </x:c>
      <x:c r="T246" s="1" t="str">
        <x:v>全場</x:v>
      </x:c>
      <x:c r="U246" s="49" t="n">
        <x:v>50</x:v>
      </x:c>
    </x:row>
    <x:row r="247" ht="22" customHeight="1">
      <x:c r="A247" s="1" t="str">
        <x:v>日経mini</x:v>
      </x:c>
      <x:c r="B247" s="1" t="str">
        <x:v>C14</x:v>
      </x:c>
      <x:c r="C247" s="1" t="str">
        <x:v>全50場</x:v>
      </x:c>
      <x:c r="D247" s="47" t="n">
        <x:v>3316422</x:v>
      </x:c>
      <x:c r="E247" s="47" t="n">
        <x:v>2144720</x:v>
      </x:c>
      <x:c r="F247" s="47" t="n">
        <x:f>D247-E247</x:f>
        <x:v>1171702</x:v>
      </x:c>
      <x:c r="G247" s="49" t="n">
        <x:v>14</x:v>
      </x:c>
      <x:c r="H247" s="49" t="n">
        <x:v>11</x:v>
      </x:c>
      <x:c r="I247" s="47" t="n">
        <x:v>329076</x:v>
      </x:c>
      <x:c r="J247" s="49" t="n">
        <x:v>138</x:v>
      </x:c>
      <x:c r="K247" s="47" t="n">
        <x:v>-144763</x:v>
      </x:c>
      <x:c r="L247" s="47" t="n">
        <x:v>69905.18181818182</x:v>
      </x:c>
      <x:c r="M247" s="48" t="n">
        <x:v>87.46866666666666</x:v>
      </x:c>
      <x:c r="N247" s="48" t="n">
        <x:v>213.95533333333336</x:v>
      </x:c>
      <x:c r="O247" s="49" t="n">
        <x:v>10</x:v>
      </x:c>
      <x:c r="P247" s="1" t="str">
        <x:v>旧再進行入口と複合管理</x:v>
      </x:c>
      <x:c r="Q247" s="49" t="n">
        <x:v>0</x:v>
      </x:c>
      <x:c r="R247" s="50" t="n">
        <x:v>0.5094174603174603</x:v>
      </x:c>
      <x:c r="S247" s="50" t="n">
        <x:v>0.5094174603174603</x:v>
      </x:c>
      <x:c r="T247" s="1" t="str">
        <x:v>デイ</x:v>
      </x:c>
      <x:c r="U247" s="49" t="n">
        <x:v>25</x:v>
      </x:c>
    </x:row>
    <x:row r="248" ht="22" customHeight="1">
      <x:c r="A248" s="1" t="str">
        <x:v>日経mini</x:v>
      </x:c>
      <x:c r="B248" s="1" t="str">
        <x:v>C14</x:v>
      </x:c>
      <x:c r="C248" s="1" t="str">
        <x:v>全50場</x:v>
      </x:c>
      <x:c r="D248" s="47" t="n">
        <x:v>1916649</x:v>
      </x:c>
      <x:c r="E248" s="47" t="n">
        <x:v>1001907</x:v>
      </x:c>
      <x:c r="F248" s="47" t="n">
        <x:f>D248-E248</x:f>
        <x:v>914742</x:v>
      </x:c>
      <x:c r="G248" s="49" t="n">
        <x:v>18</x:v>
      </x:c>
      <x:c r="H248" s="49" t="n">
        <x:v>7</x:v>
      </x:c>
      <x:c r="I248" s="47" t="n">
        <x:v>280964</x:v>
      </x:c>
      <x:c r="J248" s="49" t="n">
        <x:v>87</x:v>
      </x:c>
      <x:c r="K248" s="47" t="n">
        <x:v>-121461</x:v>
      </x:c>
      <x:c r="L248" s="47" t="n">
        <x:v>58636.28571428572</x:v>
      </x:c>
      <x:c r="M248" s="48" t="n">
        <x:v>337.10066666666665</x:v>
      </x:c>
      <x:c r="N248" s="48" t="n">
        <x:v>36.70333333333333</x:v>
      </x:c>
      <x:c r="O248" s="49" t="n">
        <x:v>7</x:v>
      </x:c>
      <x:c r="P248" s="1" t="str">
        <x:v>旧再進行入口と複合管理</x:v>
      </x:c>
      <x:c r="Q248" s="49" t="n">
        <x:v>0</x:v>
      </x:c>
      <x:c r="R248" s="50" t="n">
        <x:v>0.04705555555555556</x:v>
      </x:c>
      <x:c r="S248" s="50" t="n">
        <x:v>0.04705555555555556</x:v>
      </x:c>
      <x:c r="T248" s="1" t="str">
        <x:v>ナイト</x:v>
      </x:c>
      <x:c r="U248" s="49" t="n">
        <x:v>25</x:v>
      </x:c>
    </x:row>
    <x:row r="249" ht="22" customHeight="1">
      <x:c r="A249" s="1" t="str">
        <x:v>日経mini</x:v>
      </x:c>
      <x:c r="B249" s="1" t="str">
        <x:v>C14</x:v>
      </x:c>
      <x:c r="C249" s="1" t="str">
        <x:v>全50場</x:v>
      </x:c>
      <x:c r="D249" s="47" t="n">
        <x:v>2186416</x:v>
      </x:c>
      <x:c r="E249" s="47" t="n">
        <x:v>1534658</x:v>
      </x:c>
      <x:c r="F249" s="47" t="n">
        <x:f>D249-E249</x:f>
        <x:v>651758</x:v>
      </x:c>
      <x:c r="G249" s="49" t="n">
        <x:v>14</x:v>
      </x:c>
      <x:c r="H249" s="49" t="n">
        <x:v>10</x:v>
      </x:c>
      <x:c r="I249" s="47" t="n">
        <x:v>-98868</x:v>
      </x:c>
      <x:c r="J249" s="49" t="n">
        <x:v>107</x:v>
      </x:c>
      <x:c r="K249" s="47" t="n">
        <x:v>-144763</x:v>
      </x:c>
      <x:c r="L249" s="47" t="n">
        <x:v>75666.4</x:v>
      </x:c>
      <x:c r="M249" s="48" t="n">
        <x:v>214.55416666666667</x:v>
      </x:c>
      <x:c r="N249" s="48" t="n">
        <x:v>121.16041666666668</x:v>
      </x:c>
      <x:c r="O249" s="49" t="n">
        <x:v>9</x:v>
      </x:c>
      <x:c r="P249" s="1" t="str">
        <x:v>旧再進行入口と複合管理</x:v>
      </x:c>
      <x:c r="Q249" s="49" t="n">
        <x:v>0</x:v>
      </x:c>
      <x:c r="R249" s="50" t="n">
        <x:v>0.26777129120879123</x:v>
      </x:c>
      <x:c r="S249" s="50" t="n">
        <x:v>0.19700880758807587</x:v>
      </x:c>
      <x:c r="T249" s="1" t="str">
        <x:v>上昇</x:v>
      </x:c>
      <x:c r="U249" s="49" t="n">
        <x:v>24</x:v>
      </x:c>
    </x:row>
    <x:row r="250" ht="22" customHeight="1">
      <x:c r="A250" s="1" t="str">
        <x:v>日経mini</x:v>
      </x:c>
      <x:c r="B250" s="1" t="str">
        <x:v>C14</x:v>
      </x:c>
      <x:c r="C250" s="1" t="str">
        <x:v>全50場</x:v>
      </x:c>
      <x:c r="D250" s="47" t="n">
        <x:v>3046655</x:v>
      </x:c>
      <x:c r="E250" s="47" t="n">
        <x:v>1611969</x:v>
      </x:c>
      <x:c r="F250" s="47" t="n">
        <x:f>D250-E250</x:f>
        <x:v>1434686</x:v>
      </x:c>
      <x:c r="G250" s="49" t="n">
        <x:v>18</x:v>
      </x:c>
      <x:c r="H250" s="49" t="n">
        <x:v>8</x:v>
      </x:c>
      <x:c r="I250" s="47" t="n">
        <x:v>603367</x:v>
      </x:c>
      <x:c r="J250" s="49" t="n">
        <x:v>118</x:v>
      </x:c>
      <x:c r="K250" s="47" t="n">
        <x:v>-136764</x:v>
      </x:c>
      <x:c r="L250" s="47" t="n">
        <x:v>52843.375</x:v>
      </x:c>
      <x:c r="M250" s="48" t="n">
        <x:v>210.1897435897436</x:v>
      </x:c>
      <x:c r="N250" s="48" t="n">
        <x:v>129.1775641025641</x:v>
      </x:c>
      <x:c r="O250" s="49" t="n">
        <x:v>10</x:v>
      </x:c>
      <x:c r="P250" s="1" t="str">
        <x:v>旧再進行入口と複合管理</x:v>
      </x:c>
      <x:c r="Q250" s="49" t="n">
        <x:v>0</x:v>
      </x:c>
      <x:c r="R250" s="50" t="n">
        <x:v>0.2878967079928618</x:v>
      </x:c>
      <x:c r="S250" s="50" t="n">
        <x:v>0.22038167104111986</x:v>
      </x:c>
      <x:c r="T250" s="1" t="str">
        <x:v>下落</x:v>
      </x:c>
      <x:c r="U250" s="49" t="n">
        <x:v>26</x:v>
      </x:c>
    </x:row>
    <x:row r="251" ht="22" customHeight="1">
      <x:c r="A251" s="1" t="str">
        <x:v>日経mini</x:v>
      </x:c>
      <x:c r="B251" s="1" t="str">
        <x:v>C14</x:v>
      </x:c>
      <x:c r="C251" s="1" t="str">
        <x:v>対照47場</x:v>
      </x:c>
      <x:c r="D251" s="47" t="n">
        <x:v>5095608</x:v>
      </x:c>
      <x:c r="E251" s="47" t="n">
        <x:v>2921863</x:v>
      </x:c>
      <x:c r="F251" s="47" t="n">
        <x:f>D251-E251</x:f>
        <x:v>2173745</x:v>
      </x:c>
      <x:c r="G251" s="49" t="n">
        <x:v>31</x:v>
      </x:c>
      <x:c r="H251" s="49" t="n">
        <x:v>16</x:v>
      </x:c>
      <x:c r="I251" s="47" t="n">
        <x:v>1202348</x:v>
      </x:c>
      <x:c r="J251" s="49" t="n">
        <x:v>216</x:v>
      </x:c>
      <x:c r="K251" s="47" t="n">
        <x:v>-144763</x:v>
      </x:c>
      <x:c r="L251" s="47" t="n">
        <x:v>65814.4375</x:v>
      </x:c>
      <x:c r="M251" s="48" t="n">
        <x:v>208.49007092198582</x:v>
      </x:c>
      <x:c r="N251" s="48" t="n">
        <x:v>127.50177304964537</x:v>
      </x:c>
      <x:c r="O251" s="49" t="n">
        <x:v>10</x:v>
      </x:c>
      <x:c r="P251" s="1" t="str">
        <x:v>旧再進行入口と複合管理</x:v>
      </x:c>
      <x:c r="Q251" s="49" t="n">
        <x:v>0</x:v>
      </x:c>
      <x:c r="R251" s="50" t="n">
        <x:v>0.2834326371028499</x:v>
      </x:c>
      <x:c r="S251" s="50" t="n">
        <x:v>0.21386807042588626</x:v>
      </x:c>
      <x:c r="T251" s="1" t="str">
        <x:v>全場</x:v>
      </x:c>
      <x:c r="U251" s="49" t="n">
        <x:v>47</x:v>
      </x:c>
    </x:row>
    <x:row r="252" ht="22" customHeight="1">
      <x:c r="A252" s="1" t="str">
        <x:v>日経mini</x:v>
      </x:c>
      <x:c r="B252" s="1" t="str">
        <x:v>C14</x:v>
      </x:c>
      <x:c r="C252" s="1" t="str">
        <x:v>対照47場</x:v>
      </x:c>
      <x:c r="D252" s="47" t="n">
        <x:v>3283575</x:v>
      </x:c>
      <x:c r="E252" s="47" t="n">
        <x:v>2056030</x:v>
      </x:c>
      <x:c r="F252" s="47" t="n">
        <x:f>D252-E252</x:f>
        <x:v>1227545</x:v>
      </x:c>
      <x:c r="G252" s="49" t="n">
        <x:v>14</x:v>
      </x:c>
      <x:c r="H252" s="49" t="n">
        <x:v>10</x:v>
      </x:c>
      <x:c r="I252" s="47" t="n">
        <x:v>384919</x:v>
      </x:c>
      <x:c r="J252" s="49" t="n">
        <x:v>134</x:v>
      </x:c>
      <x:c r="K252" s="47" t="n">
        <x:v>-144763</x:v>
      </x:c>
      <x:c r="L252" s="47" t="n">
        <x:v>71311.4</x:v>
      </x:c>
      <x:c r="M252" s="48" t="n">
        <x:v>87.15069444444445</x:v>
      </x:c>
      <x:c r="N252" s="48" t="n">
        <x:v>213.79444444444448</x:v>
      </x:c>
      <x:c r="O252" s="49" t="n">
        <x:v>10</x:v>
      </x:c>
      <x:c r="P252" s="1" t="str">
        <x:v>旧再進行入口と複合管理</x:v>
      </x:c>
      <x:c r="Q252" s="49" t="n">
        <x:v>0</x:v>
      </x:c>
      <x:c r="R252" s="50" t="n">
        <x:v>0.5090343915343915</x:v>
      </x:c>
      <x:c r="S252" s="50" t="n">
        <x:v>0.5090343915343916</x:v>
      </x:c>
      <x:c r="T252" s="1" t="str">
        <x:v>デイ</x:v>
      </x:c>
      <x:c r="U252" s="49" t="n">
        <x:v>24</x:v>
      </x:c>
    </x:row>
    <x:row r="253" ht="22" customHeight="1">
      <x:c r="A253" s="1" t="str">
        <x:v>日経mini</x:v>
      </x:c>
      <x:c r="B253" s="1" t="str">
        <x:v>C14</x:v>
      </x:c>
      <x:c r="C253" s="1" t="str">
        <x:v>対照47場</x:v>
      </x:c>
      <x:c r="D253" s="47" t="n">
        <x:v>1812033</x:v>
      </x:c>
      <x:c r="E253" s="47" t="n">
        <x:v>865833</x:v>
      </x:c>
      <x:c r="F253" s="47" t="n">
        <x:f>D253-E253</x:f>
        <x:v>946200</x:v>
      </x:c>
      <x:c r="G253" s="49" t="n">
        <x:v>17</x:v>
      </x:c>
      <x:c r="H253" s="49" t="n">
        <x:v>6</x:v>
      </x:c>
      <x:c r="I253" s="47" t="n">
        <x:v>312422</x:v>
      </x:c>
      <x:c r="J253" s="49" t="n">
        <x:v>82</x:v>
      </x:c>
      <x:c r="K253" s="47" t="n">
        <x:v>-121461</x:v>
      </x:c>
      <x:c r="L253" s="47" t="n">
        <x:v>56652.833333333336</x:v>
      </x:c>
      <x:c r="M253" s="48" t="n">
        <x:v>335.10507246376807</x:v>
      </x:c>
      <x:c r="N253" s="48" t="n">
        <x:v>37.4572463768116</x:v>
      </x:c>
      <x:c r="O253" s="49" t="n">
        <x:v>7</x:v>
      </x:c>
      <x:c r="P253" s="1" t="str">
        <x:v>旧再進行入口と複合管理</x:v>
      </x:c>
      <x:c r="Q253" s="49" t="n">
        <x:v>0</x:v>
      </x:c>
      <x:c r="R253" s="50" t="n">
        <x:v>0.04802211073950204</x:v>
      </x:c>
      <x:c r="S253" s="50" t="n">
        <x:v>0.04802211073950204</x:v>
      </x:c>
      <x:c r="T253" s="1" t="str">
        <x:v>ナイト</x:v>
      </x:c>
      <x:c r="U253" s="49" t="n">
        <x:v>23</x:v>
      </x:c>
    </x:row>
    <x:row r="254" ht="22" customHeight="1">
      <x:c r="A254" s="1" t="str">
        <x:v>日経mini</x:v>
      </x:c>
      <x:c r="B254" s="1" t="str">
        <x:v>C14</x:v>
      </x:c>
      <x:c r="C254" s="1" t="str">
        <x:v>対照47場</x:v>
      </x:c>
      <x:c r="D254" s="47" t="n">
        <x:v>2153569</x:v>
      </x:c>
      <x:c r="E254" s="47" t="n">
        <x:v>1375431</x:v>
      </x:c>
      <x:c r="F254" s="47" t="n">
        <x:f>D254-E254</x:f>
        <x:v>778138</x:v>
      </x:c>
      <x:c r="G254" s="49" t="n">
        <x:v>14</x:v>
      </x:c>
      <x:c r="H254" s="49" t="n">
        <x:v>8</x:v>
      </x:c>
      <x:c r="I254" s="47" t="n">
        <x:v>27512</x:v>
      </x:c>
      <x:c r="J254" s="49" t="n">
        <x:v>101</x:v>
      </x:c>
      <x:c r="K254" s="47" t="n">
        <x:v>-144763</x:v>
      </x:c>
      <x:c r="L254" s="47" t="n">
        <x:v>78785.5</x:v>
      </x:c>
      <x:c r="M254" s="48" t="n">
        <x:v>213.3712121212121</x:v>
      </x:c>
      <x:c r="N254" s="48" t="n">
        <x:v>121.31515151515154</x:v>
      </x:c>
      <x:c r="O254" s="49" t="n">
        <x:v>9</x:v>
      </x:c>
      <x:c r="P254" s="1" t="str">
        <x:v>旧再進行入口と複合管理</x:v>
      </x:c>
      <x:c r="Q254" s="49" t="n">
        <x:v>0</x:v>
      </x:c>
      <x:c r="R254" s="50" t="n">
        <x:v>0.26731129981129986</x:v>
      </x:c>
      <x:c r="S254" s="50" t="n">
        <x:v>0.19682399213372664</x:v>
      </x:c>
      <x:c r="T254" s="1" t="str">
        <x:v>上昇</x:v>
      </x:c>
      <x:c r="U254" s="49" t="n">
        <x:v>22</x:v>
      </x:c>
    </x:row>
    <x:row r="255" ht="22" customHeight="1">
      <x:c r="A255" s="1" t="str">
        <x:v>日経mini</x:v>
      </x:c>
      <x:c r="B255" s="1" t="str">
        <x:v>C14</x:v>
      </x:c>
      <x:c r="C255" s="1" t="str">
        <x:v>対照47場</x:v>
      </x:c>
      <x:c r="D255" s="47" t="n">
        <x:v>2942039</x:v>
      </x:c>
      <x:c r="E255" s="47" t="n">
        <x:v>1546432</x:v>
      </x:c>
      <x:c r="F255" s="47" t="n">
        <x:f>D255-E255</x:f>
        <x:v>1395607</x:v>
      </x:c>
      <x:c r="G255" s="49" t="n">
        <x:v>17</x:v>
      </x:c>
      <x:c r="H255" s="49" t="n">
        <x:v>8</x:v>
      </x:c>
      <x:c r="I255" s="47" t="n">
        <x:v>564288</x:v>
      </x:c>
      <x:c r="J255" s="49" t="n">
        <x:v>115</x:v>
      </x:c>
      <x:c r="K255" s="47" t="n">
        <x:v>-136764</x:v>
      </x:c>
      <x:c r="L255" s="47" t="n">
        <x:v>52843.375</x:v>
      </x:c>
      <x:c r="M255" s="48" t="n">
        <x:v>204.1946666666667</x:v>
      </x:c>
      <x:c r="N255" s="48" t="n">
        <x:v>132.946</x:v>
      </x:c>
      <x:c r="O255" s="49" t="n">
        <x:v>10</x:v>
      </x:c>
      <x:c r="P255" s="1" t="str">
        <x:v>旧再進行入口と複合管理</x:v>
      </x:c>
      <x:c r="Q255" s="49" t="n">
        <x:v>0</x:v>
      </x:c>
      <x:c r="R255" s="50" t="n">
        <x:v>0.29761941391941393</x:v>
      </x:c>
      <x:c r="S255" s="50" t="n">
        <x:v>0.22985131396957123</x:v>
      </x:c>
      <x:c r="T255" s="1" t="str">
        <x:v>下落</x:v>
      </x:c>
      <x:c r="U255" s="49" t="n">
        <x:v>25</x:v>
      </x:c>
    </x:row>
    <x:row r="256" ht="22" customHeight="1">
      <x:c r="A256" s="1" t="str">
        <x:v>日経mini</x:v>
      </x:c>
      <x:c r="B256" s="1" t="str">
        <x:v>C14</x:v>
      </x:c>
      <x:c r="C256" s="1" t="str">
        <x:v>診断3場</x:v>
      </x:c>
      <x:c r="D256" s="47" t="n">
        <x:v>137463</x:v>
      </x:c>
      <x:c r="E256" s="47" t="n">
        <x:v>224764</x:v>
      </x:c>
      <x:c r="F256" s="47" t="n">
        <x:f>D256-E256</x:f>
        <x:v>-87301</x:v>
      </x:c>
      <x:c r="G256" s="49" t="n">
        <x:v>1</x:v>
      </x:c>
      <x:c r="H256" s="49" t="n">
        <x:v>2</x:v>
      </x:c>
      <x:c r="I256" s="47" t="n">
        <x:v>-126380</x:v>
      </x:c>
      <x:c r="J256" s="49" t="n">
        <x:v>9</x:v>
      </x:c>
      <x:c r="K256" s="47" t="n">
        <x:v>-70537</x:v>
      </x:c>
      <x:c r="L256" s="47" t="n">
        <x:v>63190</x:v>
      </x:c>
      <x:c r="M256" s="48" t="n">
        <x:v>271.73333333333335</x:v>
      </x:c>
      <x:c r="N256" s="48" t="n">
        <x:v>91.29444444444444</x:v>
      </x:c>
      <x:c r="O256" s="49" t="n">
        <x:v>5</x:v>
      </x:c>
      <x:c r="P256" s="1" t="str">
        <x:v>旧再進行入口と複合管理</x:v>
      </x:c>
      <x:c r="Q256" s="49" t="n">
        <x:v>0</x:v>
      </x:c>
      <x:c r="R256" s="50" t="n">
        <x:v>0.19683048433048433</x:v>
      </x:c>
      <x:c r="S256" s="50" t="n">
        <x:v>0.13832491582491582</x:v>
      </x:c>
      <x:c r="T256" s="1" t="str">
        <x:v>全場</x:v>
      </x:c>
      <x:c r="U256" s="49" t="n">
        <x:v>3</x:v>
      </x:c>
    </x:row>
    <x:row r="257" ht="22" customHeight="1">
      <x:c r="A257" s="1" t="str">
        <x:v>日経mini</x:v>
      </x:c>
      <x:c r="B257" s="1" t="str">
        <x:v>C14</x:v>
      </x:c>
      <x:c r="C257" s="1" t="str">
        <x:v>診断3場</x:v>
      </x:c>
      <x:c r="D257" s="47" t="n">
        <x:v>32847</x:v>
      </x:c>
      <x:c r="E257" s="47" t="n">
        <x:v>88690</x:v>
      </x:c>
      <x:c r="F257" s="47" t="n">
        <x:f>D257-E257</x:f>
        <x:v>-55843</x:v>
      </x:c>
      <x:c r="G257" s="49" t="n">
        <x:v>0</x:v>
      </x:c>
      <x:c r="H257" s="49" t="n">
        <x:v>1</x:v>
      </x:c>
      <x:c r="I257" s="47" t="n">
        <x:v>-55843</x:v>
      </x:c>
      <x:c r="J257" s="49" t="n">
        <x:v>4</x:v>
      </x:c>
      <x:c r="K257" s="47" t="n">
        <x:v>-55843</x:v>
      </x:c>
      <x:c r="L257" s="47" t="n">
        <x:v>55843</x:v>
      </x:c>
      <x:c r="M257" s="48" t="n">
        <x:v>95.1</x:v>
      </x:c>
      <x:c r="N257" s="48" t="n">
        <x:v>217.81666666666666</x:v>
      </x:c>
      <x:c r="O257" s="49" t="n">
        <x:v>5</x:v>
      </x:c>
      <x:c r="P257" s="1" t="str">
        <x:v>旧再進行入口と複合管理</x:v>
      </x:c>
      <x:c r="Q257" s="49" t="n">
        <x:v>0</x:v>
      </x:c>
      <x:c r="R257" s="50" t="n">
        <x:v>0.5186111111111111</x:v>
      </x:c>
      <x:c r="S257" s="50" t="n">
        <x:v>0.5186111111111111</x:v>
      </x:c>
      <x:c r="T257" s="1" t="str">
        <x:v>デイ</x:v>
      </x:c>
      <x:c r="U257" s="49" t="n">
        <x:v>1</x:v>
      </x:c>
    </x:row>
    <x:row r="258" ht="22" customHeight="1">
      <x:c r="A258" s="1" t="str">
        <x:v>日経mini</x:v>
      </x:c>
      <x:c r="B258" s="1" t="str">
        <x:v>C14</x:v>
      </x:c>
      <x:c r="C258" s="1" t="str">
        <x:v>診断3場</x:v>
      </x:c>
      <x:c r="D258" s="47" t="n">
        <x:v>104616</x:v>
      </x:c>
      <x:c r="E258" s="47" t="n">
        <x:v>136074</x:v>
      </x:c>
      <x:c r="F258" s="47" t="n">
        <x:f>D258-E258</x:f>
        <x:v>-31458</x:v>
      </x:c>
      <x:c r="G258" s="49" t="n">
        <x:v>1</x:v>
      </x:c>
      <x:c r="H258" s="49" t="n">
        <x:v>1</x:v>
      </x:c>
      <x:c r="I258" s="47" t="n">
        <x:v>-70537</x:v>
      </x:c>
      <x:c r="J258" s="49" t="n">
        <x:v>5</x:v>
      </x:c>
      <x:c r="K258" s="47" t="n">
        <x:v>-70537</x:v>
      </x:c>
      <x:c r="L258" s="47" t="n">
        <x:v>70537</x:v>
      </x:c>
      <x:c r="M258" s="48" t="n">
        <x:v>360.05</x:v>
      </x:c>
      <x:c r="N258" s="48" t="n">
        <x:v>28.033333333333335</x:v>
      </x:c>
      <x:c r="O258" s="49" t="n">
        <x:v>5</x:v>
      </x:c>
      <x:c r="P258" s="1" t="str">
        <x:v>旧再進行入口と複合管理</x:v>
      </x:c>
      <x:c r="Q258" s="49" t="n">
        <x:v>0</x:v>
      </x:c>
      <x:c r="R258" s="50" t="n">
        <x:v>0.03594017094017094</x:v>
      </x:c>
      <x:c r="S258" s="50" t="n">
        <x:v>0.03594017094017094</x:v>
      </x:c>
      <x:c r="T258" s="1" t="str">
        <x:v>ナイト</x:v>
      </x:c>
      <x:c r="U258" s="49" t="n">
        <x:v>2</x:v>
      </x:c>
    </x:row>
    <x:row r="259" ht="22" customHeight="1">
      <x:c r="A259" s="1" t="str">
        <x:v>日経mini</x:v>
      </x:c>
      <x:c r="B259" s="1" t="str">
        <x:v>C14</x:v>
      </x:c>
      <x:c r="C259" s="1" t="str">
        <x:v>診断3場</x:v>
      </x:c>
      <x:c r="D259" s="47" t="n">
        <x:v>32847</x:v>
      </x:c>
      <x:c r="E259" s="47" t="n">
        <x:v>159227</x:v>
      </x:c>
      <x:c r="F259" s="47" t="n">
        <x:f>D259-E259</x:f>
        <x:v>-126380</x:v>
      </x:c>
      <x:c r="G259" s="49" t="n">
        <x:v>0</x:v>
      </x:c>
      <x:c r="H259" s="49" t="n">
        <x:v>2</x:v>
      </x:c>
      <x:c r="I259" s="47" t="n">
        <x:v>-126380</x:v>
      </x:c>
      <x:c r="J259" s="49" t="n">
        <x:v>6</x:v>
      </x:c>
      <x:c r="K259" s="47" t="n">
        <x:v>-70537</x:v>
      </x:c>
      <x:c r="L259" s="47" t="n">
        <x:v>63190</x:v>
      </x:c>
      <x:c r="M259" s="48" t="n">
        <x:v>227.56666666666666</x:v>
      </x:c>
      <x:c r="N259" s="48" t="n">
        <x:v>119.45833333333333</x:v>
      </x:c>
      <x:c r="O259" s="49" t="n">
        <x:v>5</x:v>
      </x:c>
      <x:c r="P259" s="1" t="str">
        <x:v>旧再進行入口と複合管理</x:v>
      </x:c>
      <x:c r="Q259" s="49" t="n">
        <x:v>0</x:v>
      </x:c>
      <x:c r="R259" s="50" t="n">
        <x:v>0.2728311965811966</x:v>
      </x:c>
      <x:c r="S259" s="50" t="n">
        <x:v>0.1990972222222222</x:v>
      </x:c>
      <x:c r="T259" s="1" t="str">
        <x:v>上昇</x:v>
      </x:c>
      <x:c r="U259" s="49" t="n">
        <x:v>2</x:v>
      </x:c>
    </x:row>
    <x:row r="260" ht="22" customHeight="1">
      <x:c r="A260" s="1" t="str">
        <x:v>日経mini</x:v>
      </x:c>
      <x:c r="B260" s="1" t="str">
        <x:v>C14</x:v>
      </x:c>
      <x:c r="C260" s="1" t="str">
        <x:v>診断3場</x:v>
      </x:c>
      <x:c r="D260" s="47" t="n">
        <x:v>104616</x:v>
      </x:c>
      <x:c r="E260" s="47" t="n">
        <x:v>65537</x:v>
      </x:c>
      <x:c r="F260" s="47" t="n">
        <x:f>D260-E260</x:f>
        <x:v>39079</x:v>
      </x:c>
      <x:c r="G260" s="49" t="n">
        <x:v>1</x:v>
      </x:c>
      <x:c r="H260" s="49" t="n">
        <x:v>0</x:v>
      </x:c>
      <x:c r="I260" s="47" t="n">
        <x:v>0</x:v>
      </x:c>
      <x:c r="J260" s="49" t="n">
        <x:v>3</x:v>
      </x:c>
      <x:c r="K260" s="47" t="n">
        <x:v>39079</x:v>
      </x:c>
      <x:c r="L260" s="47" t="n">
        <x:v>0</x:v>
      </x:c>
      <x:c r="M260" s="48" t="n">
        <x:v>360.06666666666666</x:v>
      </x:c>
      <x:c r="N260" s="48" t="n">
        <x:v>34.96666666666667</x:v>
      </x:c>
      <x:c r="O260" s="49" t="n">
        <x:v>5</x:v>
      </x:c>
      <x:c r="P260" s="1" t="str">
        <x:v>旧再進行入口と複合管理</x:v>
      </x:c>
      <x:c r="Q260" s="49" t="n">
        <x:v>0</x:v>
      </x:c>
      <x:c r="R260" s="50" t="n">
        <x:v>0.04482905982905983</x:v>
      </x:c>
      <x:c r="S260" s="50" t="n">
        <x:v>0.04482905982905983</x:v>
      </x:c>
      <x:c r="T260" s="1" t="str">
        <x:v>下落</x:v>
      </x:c>
      <x:c r="U260" s="49" t="n">
        <x:v>1</x:v>
      </x:c>
    </x:row>
    <x:row r="261" ht="22" customHeight="1">
      <x:c r="A261" s="1" t="str">
        <x:v>日経mini</x:v>
      </x:c>
      <x:c r="B261" s="1" t="str">
        <x:v>J01</x:v>
      </x:c>
      <x:c r="C261" s="1" t="str">
        <x:v>全50場</x:v>
      </x:c>
      <x:c r="D261" s="47" t="n">
        <x:v>5439703</x:v>
      </x:c>
      <x:c r="E261" s="47" t="n">
        <x:v>3209711</x:v>
      </x:c>
      <x:c r="F261" s="47" t="n">
        <x:f>D261-E261</x:f>
        <x:v>2229992</x:v>
      </x:c>
      <x:c r="G261" s="49" t="n">
        <x:v>33</x:v>
      </x:c>
      <x:c r="H261" s="49" t="n">
        <x:v>17</x:v>
      </x:c>
      <x:c r="I261" s="47" t="n">
        <x:v>1231823</x:v>
      </x:c>
      <x:c r="J261" s="49" t="n">
        <x:v>248</x:v>
      </x:c>
      <x:c r="K261" s="47" t="n">
        <x:v>-166917</x:v>
      </x:c>
      <x:c r="L261" s="47" t="n">
        <x:v>67386.5294117647</x:v>
      </x:c>
      <x:c r="M261" s="48" t="n">
        <x:v>211.30433333333335</x:v>
      </x:c>
      <x:c r="N261" s="48" t="n">
        <x:v>130.39933333333335</x:v>
      </x:c>
      <x:c r="O261" s="49" t="n">
        <x:v>10</x:v>
      </x:c>
      <x:c r="P261" s="1" t="str">
        <x:v>時間軸合意の統合</x:v>
      </x:c>
      <x:c r="Q261" s="49" t="n">
        <x:v>0</x:v>
      </x:c>
      <x:c r="R261" s="50" t="n">
        <x:v>0.287209768009768</x:v>
      </x:c>
      <x:c r="S261" s="50" t="n">
        <x:v>0.2173322222222222</x:v>
      </x:c>
      <x:c r="T261" s="1" t="str">
        <x:v>全場</x:v>
      </x:c>
      <x:c r="U261" s="49" t="n">
        <x:v>50</x:v>
      </x:c>
    </x:row>
    <x:row r="262" ht="22" customHeight="1">
      <x:c r="A262" s="1" t="str">
        <x:v>日経mini</x:v>
      </x:c>
      <x:c r="B262" s="1" t="str">
        <x:v>J01</x:v>
      </x:c>
      <x:c r="C262" s="1" t="str">
        <x:v>全50場</x:v>
      </x:c>
      <x:c r="D262" s="47" t="n">
        <x:v>3402589</x:v>
      </x:c>
      <x:c r="E262" s="47" t="n">
        <x:v>2198800</x:v>
      </x:c>
      <x:c r="F262" s="47" t="n">
        <x:f>D262-E262</x:f>
        <x:v>1203789</x:v>
      </x:c>
      <x:c r="G262" s="49" t="n">
        <x:v>15</x:v>
      </x:c>
      <x:c r="H262" s="49" t="n">
        <x:v>10</x:v>
      </x:c>
      <x:c r="I262" s="47" t="n">
        <x:v>312698</x:v>
      </x:c>
      <x:c r="J262" s="49" t="n">
        <x:v>157</x:v>
      </x:c>
      <x:c r="K262" s="47" t="n">
        <x:v>-166917</x:v>
      </x:c>
      <x:c r="L262" s="47" t="n">
        <x:v>75373.2</x:v>
      </x:c>
      <x:c r="M262" s="48" t="n">
        <x:v>85.61666666666667</x:v>
      </x:c>
      <x:c r="N262" s="48" t="n">
        <x:v>218.45666666666668</x:v>
      </x:c>
      <x:c r="O262" s="49" t="n">
        <x:v>10</x:v>
      </x:c>
      <x:c r="P262" s="1" t="str">
        <x:v>時間軸合意の統合</x:v>
      </x:c>
      <x:c r="Q262" s="49" t="n">
        <x:v>0</x:v>
      </x:c>
      <x:c r="R262" s="50" t="n">
        <x:v>0.5201349206349206</x:v>
      </x:c>
      <x:c r="S262" s="50" t="n">
        <x:v>0.5201349206349206</x:v>
      </x:c>
      <x:c r="T262" s="1" t="str">
        <x:v>デイ</x:v>
      </x:c>
      <x:c r="U262" s="49" t="n">
        <x:v>25</x:v>
      </x:c>
    </x:row>
    <x:row r="263" ht="22" customHeight="1">
      <x:c r="A263" s="1" t="str">
        <x:v>日経mini</x:v>
      </x:c>
      <x:c r="B263" s="1" t="str">
        <x:v>J01</x:v>
      </x:c>
      <x:c r="C263" s="1" t="str">
        <x:v>全50場</x:v>
      </x:c>
      <x:c r="D263" s="47" t="n">
        <x:v>2037114</x:v>
      </x:c>
      <x:c r="E263" s="47" t="n">
        <x:v>1010911</x:v>
      </x:c>
      <x:c r="F263" s="47" t="n">
        <x:f>D263-E263</x:f>
        <x:v>1026203</x:v>
      </x:c>
      <x:c r="G263" s="49" t="n">
        <x:v>18</x:v>
      </x:c>
      <x:c r="H263" s="49" t="n">
        <x:v>7</x:v>
      </x:c>
      <x:c r="I263" s="47" t="n">
        <x:v>334425</x:v>
      </x:c>
      <x:c r="J263" s="49" t="n">
        <x:v>91</x:v>
      </x:c>
      <x:c r="K263" s="47" t="n">
        <x:v>-121461</x:v>
      </x:c>
      <x:c r="L263" s="47" t="n">
        <x:v>55977</x:v>
      </x:c>
      <x:c r="M263" s="48" t="n">
        <x:v>336.99199999999996</x:v>
      </x:c>
      <x:c r="N263" s="48" t="n">
        <x:v>42.342</x:v>
      </x:c>
      <x:c r="O263" s="49" t="n">
        <x:v>7</x:v>
      </x:c>
      <x:c r="P263" s="1" t="str">
        <x:v>時間軸合意の統合</x:v>
      </x:c>
      <x:c r="Q263" s="49" t="n">
        <x:v>0</x:v>
      </x:c>
      <x:c r="R263" s="50" t="n">
        <x:v>0.05428461538461539</x:v>
      </x:c>
      <x:c r="S263" s="50" t="n">
        <x:v>0.05428461538461538</x:v>
      </x:c>
      <x:c r="T263" s="1" t="str">
        <x:v>ナイト</x:v>
      </x:c>
      <x:c r="U263" s="49" t="n">
        <x:v>25</x:v>
      </x:c>
    </x:row>
    <x:row r="264" ht="22" customHeight="1">
      <x:c r="A264" s="1" t="str">
        <x:v>日経mini</x:v>
      </x:c>
      <x:c r="B264" s="1" t="str">
        <x:v>J01</x:v>
      </x:c>
      <x:c r="C264" s="1" t="str">
        <x:v>全50場</x:v>
      </x:c>
      <x:c r="D264" s="47" t="n">
        <x:v>2257734</x:v>
      </x:c>
      <x:c r="E264" s="47" t="n">
        <x:v>1548508</x:v>
      </x:c>
      <x:c r="F264" s="47" t="n">
        <x:f>D264-E264</x:f>
        <x:v>709226</x:v>
      </x:c>
      <x:c r="G264" s="49" t="n">
        <x:v>16</x:v>
      </x:c>
      <x:c r="H264" s="49" t="n">
        <x:v>8</x:v>
      </x:c>
      <x:c r="I264" s="47" t="n">
        <x:v>4593</x:v>
      </x:c>
      <x:c r="J264" s="49" t="n">
        <x:v>123</x:v>
      </x:c>
      <x:c r="K264" s="47" t="n">
        <x:v>-166917</x:v>
      </x:c>
      <x:c r="L264" s="47" t="n">
        <x:v>87362.625</x:v>
      </x:c>
      <x:c r="M264" s="48" t="n">
        <x:v>213.59375</x:v>
      </x:c>
      <x:c r="N264" s="48" t="n">
        <x:v>122.74374999999999</x:v>
      </x:c>
      <x:c r="O264" s="49" t="n">
        <x:v>10</x:v>
      </x:c>
      <x:c r="P264" s="1" t="str">
        <x:v>時間軸合意の統合</x:v>
      </x:c>
      <x:c r="Q264" s="49" t="n">
        <x:v>0</x:v>
      </x:c>
      <x:c r="R264" s="50" t="n">
        <x:v>0.26760340354090356</x:v>
      </x:c>
      <x:c r="S264" s="50" t="n">
        <x:v>0.19958333333333333</x:v>
      </x:c>
      <x:c r="T264" s="1" t="str">
        <x:v>上昇</x:v>
      </x:c>
      <x:c r="U264" s="49" t="n">
        <x:v>24</x:v>
      </x:c>
    </x:row>
    <x:row r="265" ht="22" customHeight="1">
      <x:c r="A265" s="1" t="str">
        <x:v>日経mini</x:v>
      </x:c>
      <x:c r="B265" s="1" t="str">
        <x:v>J01</x:v>
      </x:c>
      <x:c r="C265" s="1" t="str">
        <x:v>全50場</x:v>
      </x:c>
      <x:c r="D265" s="47" t="n">
        <x:v>3181969</x:v>
      </x:c>
      <x:c r="E265" s="47" t="n">
        <x:v>1661203</x:v>
      </x:c>
      <x:c r="F265" s="47" t="n">
        <x:f>D265-E265</x:f>
        <x:v>1520766</x:v>
      </x:c>
      <x:c r="G265" s="49" t="n">
        <x:v>17</x:v>
      </x:c>
      <x:c r="H265" s="49" t="n">
        <x:v>9</x:v>
      </x:c>
      <x:c r="I265" s="47" t="n">
        <x:v>629675</x:v>
      </x:c>
      <x:c r="J265" s="49" t="n">
        <x:v>125</x:v>
      </x:c>
      <x:c r="K265" s="47" t="n">
        <x:v>-114764</x:v>
      </x:c>
      <x:c r="L265" s="47" t="n">
        <x:v>49630</x:v>
      </x:c>
      <x:c r="M265" s="48" t="n">
        <x:v>209.19102564102565</x:v>
      </x:c>
      <x:c r="N265" s="48" t="n">
        <x:v>137.46602564102565</x:v>
      </x:c>
      <x:c r="O265" s="49" t="n">
        <x:v>10</x:v>
      </x:c>
      <x:c r="P265" s="1" t="str">
        <x:v>時間軸合意の統合</x:v>
      </x:c>
      <x:c r="Q265" s="49" t="n">
        <x:v>0</x:v>
      </x:c>
      <x:c r="R265" s="50" t="n">
        <x:v>0.30530795059641214</x:v>
      </x:c>
      <x:c r="S265" s="50" t="n">
        <x:v>0.23452209098862642</x:v>
      </x:c>
      <x:c r="T265" s="1" t="str">
        <x:v>下落</x:v>
      </x:c>
      <x:c r="U265" s="49" t="n">
        <x:v>26</x:v>
      </x:c>
    </x:row>
    <x:row r="266" ht="22" customHeight="1">
      <x:c r="A266" s="1" t="str">
        <x:v>日経mini</x:v>
      </x:c>
      <x:c r="B266" s="1" t="str">
        <x:v>J01</x:v>
      </x:c>
      <x:c r="C266" s="1" t="str">
        <x:v>対照47場</x:v>
      </x:c>
      <x:c r="D266" s="47" t="n">
        <x:v>5253777</x:v>
      </x:c>
      <x:c r="E266" s="47" t="n">
        <x:v>3031330</x:v>
      </x:c>
      <x:c r="F266" s="47" t="n">
        <x:f>D266-E266</x:f>
        <x:v>2222447</x:v>
      </x:c>
      <x:c r="G266" s="49" t="n">
        <x:v>31</x:v>
      </x:c>
      <x:c r="H266" s="49" t="n">
        <x:v>16</x:v>
      </x:c>
      <x:c r="I266" s="47" t="n">
        <x:v>1224278</x:v>
      </x:c>
      <x:c r="J266" s="49" t="n">
        <x:v>238</x:v>
      </x:c>
      <x:c r="K266" s="47" t="n">
        <x:v>-166917</x:v>
      </x:c>
      <x:c r="L266" s="47" t="n">
        <x:v>68108</x:v>
      </x:c>
      <x:c r="M266" s="48" t="n">
        <x:v>207.44716312056738</x:v>
      </x:c>
      <x:c r="N266" s="48" t="n">
        <x:v>130.97269503546102</x:v>
      </x:c>
      <x:c r="O266" s="49" t="n">
        <x:v>10</x:v>
      </x:c>
      <x:c r="P266" s="1" t="str">
        <x:v>時間軸合意の統合</x:v>
      </x:c>
      <x:c r="Q266" s="49" t="n">
        <x:v>0</x:v>
      </x:c>
      <x:c r="R266" s="50" t="n">
        <x:v>0.2905136648221755</x:v>
      </x:c>
      <x:c r="S266" s="50" t="n">
        <x:v>0.2196901023078753</x:v>
      </x:c>
      <x:c r="T266" s="1" t="str">
        <x:v>全場</x:v>
      </x:c>
      <x:c r="U266" s="49" t="n">
        <x:v>47</x:v>
      </x:c>
    </x:row>
    <x:row r="267" ht="22" customHeight="1">
      <x:c r="A267" s="1" t="str">
        <x:v>日経mini</x:v>
      </x:c>
      <x:c r="B267" s="1" t="str">
        <x:v>J01</x:v>
      </x:c>
      <x:c r="C267" s="1" t="str">
        <x:v>対照47場</x:v>
      </x:c>
      <x:c r="D267" s="47" t="n">
        <x:v>3369742</x:v>
      </x:c>
      <x:c r="E267" s="47" t="n">
        <x:v>2110110</x:v>
      </x:c>
      <x:c r="F267" s="47" t="n">
        <x:f>D267-E267</x:f>
        <x:v>1259632</x:v>
      </x:c>
      <x:c r="G267" s="49" t="n">
        <x:v>15</x:v>
      </x:c>
      <x:c r="H267" s="49" t="n">
        <x:v>9</x:v>
      </x:c>
      <x:c r="I267" s="47" t="n">
        <x:v>368541</x:v>
      </x:c>
      <x:c r="J267" s="49" t="n">
        <x:v>153</x:v>
      </x:c>
      <x:c r="K267" s="47" t="n">
        <x:v>-166917</x:v>
      </x:c>
      <x:c r="L267" s="47" t="n">
        <x:v>77543.22222222222</x:v>
      </x:c>
      <x:c r="M267" s="48" t="n">
        <x:v>85.22152777777778</x:v>
      </x:c>
      <x:c r="N267" s="48" t="n">
        <x:v>218.48333333333335</x:v>
      </x:c>
      <x:c r="O267" s="49" t="n">
        <x:v>10</x:v>
      </x:c>
      <x:c r="P267" s="1" t="str">
        <x:v>時間軸合意の統合</x:v>
      </x:c>
      <x:c r="Q267" s="49" t="n">
        <x:v>0</x:v>
      </x:c>
      <x:c r="R267" s="50" t="n">
        <x:v>0.5201984126984126</x:v>
      </x:c>
      <x:c r="S267" s="50" t="n">
        <x:v>0.5201984126984127</x:v>
      </x:c>
      <x:c r="T267" s="1" t="str">
        <x:v>デイ</x:v>
      </x:c>
      <x:c r="U267" s="49" t="n">
        <x:v>24</x:v>
      </x:c>
    </x:row>
    <x:row r="268" ht="22" customHeight="1">
      <x:c r="A268" s="1" t="str">
        <x:v>日経mini</x:v>
      </x:c>
      <x:c r="B268" s="1" t="str">
        <x:v>J01</x:v>
      </x:c>
      <x:c r="C268" s="1" t="str">
        <x:v>対照47場</x:v>
      </x:c>
      <x:c r="D268" s="47" t="n">
        <x:v>1884035</x:v>
      </x:c>
      <x:c r="E268" s="47" t="n">
        <x:v>921220</x:v>
      </x:c>
      <x:c r="F268" s="47" t="n">
        <x:f>D268-E268</x:f>
        <x:v>962815</x:v>
      </x:c>
      <x:c r="G268" s="49" t="n">
        <x:v>16</x:v>
      </x:c>
      <x:c r="H268" s="49" t="n">
        <x:v>7</x:v>
      </x:c>
      <x:c r="I268" s="47" t="n">
        <x:v>271037</x:v>
      </x:c>
      <x:c r="J268" s="49" t="n">
        <x:v>85</x:v>
      </x:c>
      <x:c r="K268" s="47" t="n">
        <x:v>-121461</x:v>
      </x:c>
      <x:c r="L268" s="47" t="n">
        <x:v>55977</x:v>
      </x:c>
      <x:c r="M268" s="48" t="n">
        <x:v>334.98695652173916</x:v>
      </x:c>
      <x:c r="N268" s="48" t="n">
        <x:v>39.65724637681159</x:v>
      </x:c>
      <x:c r="O268" s="49" t="n">
        <x:v>7</x:v>
      </x:c>
      <x:c r="P268" s="1" t="str">
        <x:v>時間軸合意の統合</x:v>
      </x:c>
      <x:c r="Q268" s="49" t="n">
        <x:v>0</x:v>
      </x:c>
      <x:c r="R268" s="50" t="n">
        <x:v>0.05084262356001486</x:v>
      </x:c>
      <x:c r="S268" s="50" t="n">
        <x:v>0.050842623560014864</x:v>
      </x:c>
      <x:c r="T268" s="1" t="str">
        <x:v>ナイト</x:v>
      </x:c>
      <x:c r="U268" s="49" t="n">
        <x:v>23</x:v>
      </x:c>
    </x:row>
    <x:row r="269" ht="22" customHeight="1">
      <x:c r="A269" s="1" t="str">
        <x:v>日経mini</x:v>
      </x:c>
      <x:c r="B269" s="1" t="str">
        <x:v>J01</x:v>
      </x:c>
      <x:c r="C269" s="1" t="str">
        <x:v>対照47場</x:v>
      </x:c>
      <x:c r="D269" s="47" t="n">
        <x:v>2176424</x:v>
      </x:c>
      <x:c r="E269" s="47" t="n">
        <x:v>1459818</x:v>
      </x:c>
      <x:c r="F269" s="47" t="n">
        <x:f>D269-E269</x:f>
        <x:v>716606</x:v>
      </x:c>
      <x:c r="G269" s="49" t="n">
        <x:v>15</x:v>
      </x:c>
      <x:c r="H269" s="49" t="n">
        <x:v>7</x:v>
      </x:c>
      <x:c r="I269" s="47" t="n">
        <x:v>11973</x:v>
      </x:c>
      <x:c r="J269" s="49" t="n">
        <x:v>117</x:v>
      </x:c>
      <x:c r="K269" s="47" t="n">
        <x:v>-166917</x:v>
      </x:c>
      <x:c r="L269" s="47" t="n">
        <x:v>91865.42857142857</x:v>
      </x:c>
      <x:c r="M269" s="48" t="n">
        <x:v>212.32348484848487</x:v>
      </x:c>
      <x:c r="N269" s="48" t="n">
        <x:v>119.1871212121212</x:v>
      </x:c>
      <x:c r="O269" s="49" t="n">
        <x:v>10</x:v>
      </x:c>
      <x:c r="P269" s="1" t="str">
        <x:v>時間軸合意の統合</x:v>
      </x:c>
      <x:c r="Q269" s="49" t="n">
        <x:v>0</x:v>
      </x:c>
      <x:c r="R269" s="50" t="n">
        <x:v>0.26218545343545346</x:v>
      </x:c>
      <x:c r="S269" s="50" t="n">
        <x:v>0.19337143559488693</x:v>
      </x:c>
      <x:c r="T269" s="1" t="str">
        <x:v>上昇</x:v>
      </x:c>
      <x:c r="U269" s="49" t="n">
        <x:v>22</x:v>
      </x:c>
    </x:row>
    <x:row r="270" ht="22" customHeight="1">
      <x:c r="A270" s="1" t="str">
        <x:v>日経mini</x:v>
      </x:c>
      <x:c r="B270" s="1" t="str">
        <x:v>J01</x:v>
      </x:c>
      <x:c r="C270" s="1" t="str">
        <x:v>対照47場</x:v>
      </x:c>
      <x:c r="D270" s="47" t="n">
        <x:v>3077353</x:v>
      </x:c>
      <x:c r="E270" s="47" t="n">
        <x:v>1571512</x:v>
      </x:c>
      <x:c r="F270" s="47" t="n">
        <x:f>D270-E270</x:f>
        <x:v>1505841</x:v>
      </x:c>
      <x:c r="G270" s="49" t="n">
        <x:v>16</x:v>
      </x:c>
      <x:c r="H270" s="49" t="n">
        <x:v>9</x:v>
      </x:c>
      <x:c r="I270" s="47" t="n">
        <x:v>614750</x:v>
      </x:c>
      <x:c r="J270" s="49" t="n">
        <x:v>121</x:v>
      </x:c>
      <x:c r="K270" s="47" t="n">
        <x:v>-114764</x:v>
      </x:c>
      <x:c r="L270" s="47" t="n">
        <x:v>49630</x:v>
      </x:c>
      <x:c r="M270" s="48" t="n">
        <x:v>203.15600000000003</x:v>
      </x:c>
      <x:c r="N270" s="48" t="n">
        <x:v>141.34400000000002</x:v>
      </x:c>
      <x:c r="O270" s="49" t="n">
        <x:v>10</x:v>
      </x:c>
      <x:c r="P270" s="1" t="str">
        <x:v>時間軸合意の統合</x:v>
      </x:c>
      <x:c r="Q270" s="49" t="n">
        <x:v>0</x:v>
      </x:c>
      <x:c r="R270" s="50" t="n">
        <x:v>0.3154424908424908</x:v>
      </x:c>
      <x:c r="S270" s="50" t="n">
        <x:v>0.24437067773167356</x:v>
      </x:c>
      <x:c r="T270" s="1" t="str">
        <x:v>下落</x:v>
      </x:c>
      <x:c r="U270" s="49" t="n">
        <x:v>25</x:v>
      </x:c>
    </x:row>
    <x:row r="271" ht="22" customHeight="1">
      <x:c r="A271" s="1" t="str">
        <x:v>日経mini</x:v>
      </x:c>
      <x:c r="B271" s="1" t="str">
        <x:v>J01</x:v>
      </x:c>
      <x:c r="C271" s="1" t="str">
        <x:v>診断3場</x:v>
      </x:c>
      <x:c r="D271" s="47" t="n">
        <x:v>185926</x:v>
      </x:c>
      <x:c r="E271" s="47" t="n">
        <x:v>178381</x:v>
      </x:c>
      <x:c r="F271" s="47" t="n">
        <x:f>D271-E271</x:f>
        <x:v>7545</x:v>
      </x:c>
      <x:c r="G271" s="49" t="n">
        <x:v>2</x:v>
      </x:c>
      <x:c r="H271" s="49" t="n">
        <x:v>1</x:v>
      </x:c>
      <x:c r="I271" s="47" t="n">
        <x:v>-55843</x:v>
      </x:c>
      <x:c r="J271" s="49" t="n">
        <x:v>10</x:v>
      </x:c>
      <x:c r="K271" s="47" t="n">
        <x:v>-55843</x:v>
      </x:c>
      <x:c r="L271" s="47" t="n">
        <x:v>55843</x:v>
      </x:c>
      <x:c r="M271" s="48" t="n">
        <x:v>271.73333333333335</x:v>
      </x:c>
      <x:c r="N271" s="48" t="n">
        <x:v>121.41666666666667</x:v>
      </x:c>
      <x:c r="O271" s="49" t="n">
        <x:v>5</x:v>
      </x:c>
      <x:c r="P271" s="1" t="str">
        <x:v>時間軸合意の統合</x:v>
      </x:c>
      <x:c r="Q271" s="49" t="n">
        <x:v>0</x:v>
      </x:c>
      <x:c r="R271" s="50" t="n">
        <x:v>0.23544871794871794</x:v>
      </x:c>
      <x:c r="S271" s="50" t="n">
        <x:v>0.18396464646464647</x:v>
      </x:c>
      <x:c r="T271" s="1" t="str">
        <x:v>全場</x:v>
      </x:c>
      <x:c r="U271" s="49" t="n">
        <x:v>3</x:v>
      </x:c>
    </x:row>
    <x:row r="272" ht="22" customHeight="1">
      <x:c r="A272" s="1" t="str">
        <x:v>日経mini</x:v>
      </x:c>
      <x:c r="B272" s="1" t="str">
        <x:v>J01</x:v>
      </x:c>
      <x:c r="C272" s="1" t="str">
        <x:v>診断3場</x:v>
      </x:c>
      <x:c r="D272" s="47" t="n">
        <x:v>32847</x:v>
      </x:c>
      <x:c r="E272" s="47" t="n">
        <x:v>88690</x:v>
      </x:c>
      <x:c r="F272" s="47" t="n">
        <x:f>D272-E272</x:f>
        <x:v>-55843</x:v>
      </x:c>
      <x:c r="G272" s="49" t="n">
        <x:v>0</x:v>
      </x:c>
      <x:c r="H272" s="49" t="n">
        <x:v>1</x:v>
      </x:c>
      <x:c r="I272" s="47" t="n">
        <x:v>-55843</x:v>
      </x:c>
      <x:c r="J272" s="49" t="n">
        <x:v>4</x:v>
      </x:c>
      <x:c r="K272" s="47" t="n">
        <x:v>-55843</x:v>
      </x:c>
      <x:c r="L272" s="47" t="n">
        <x:v>55843</x:v>
      </x:c>
      <x:c r="M272" s="48" t="n">
        <x:v>95.1</x:v>
      </x:c>
      <x:c r="N272" s="48" t="n">
        <x:v>217.81666666666666</x:v>
      </x:c>
      <x:c r="O272" s="49" t="n">
        <x:v>5</x:v>
      </x:c>
      <x:c r="P272" s="1" t="str">
        <x:v>時間軸合意の統合</x:v>
      </x:c>
      <x:c r="Q272" s="49" t="n">
        <x:v>0</x:v>
      </x:c>
      <x:c r="R272" s="50" t="n">
        <x:v>0.5186111111111111</x:v>
      </x:c>
      <x:c r="S272" s="50" t="n">
        <x:v>0.5186111111111111</x:v>
      </x:c>
      <x:c r="T272" s="1" t="str">
        <x:v>デイ</x:v>
      </x:c>
      <x:c r="U272" s="49" t="n">
        <x:v>1</x:v>
      </x:c>
    </x:row>
    <x:row r="273" ht="22" customHeight="1">
      <x:c r="A273" s="1" t="str">
        <x:v>日経mini</x:v>
      </x:c>
      <x:c r="B273" s="1" t="str">
        <x:v>J01</x:v>
      </x:c>
      <x:c r="C273" s="1" t="str">
        <x:v>診断3場</x:v>
      </x:c>
      <x:c r="D273" s="47" t="n">
        <x:v>153079</x:v>
      </x:c>
      <x:c r="E273" s="47" t="n">
        <x:v>89691</x:v>
      </x:c>
      <x:c r="F273" s="47" t="n">
        <x:f>D273-E273</x:f>
        <x:v>63388</x:v>
      </x:c>
      <x:c r="G273" s="49" t="n">
        <x:v>2</x:v>
      </x:c>
      <x:c r="H273" s="49" t="n">
        <x:v>0</x:v>
      </x:c>
      <x:c r="I273" s="47" t="n">
        <x:v>0</x:v>
      </x:c>
      <x:c r="J273" s="49" t="n">
        <x:v>6</x:v>
      </x:c>
      <x:c r="K273" s="47" t="n">
        <x:v>14925</x:v>
      </x:c>
      <x:c r="L273" s="47" t="n">
        <x:v>0</x:v>
      </x:c>
      <x:c r="M273" s="48" t="n">
        <x:v>360.05</x:v>
      </x:c>
      <x:c r="N273" s="48" t="n">
        <x:v>73.21666666666667</x:v>
      </x:c>
      <x:c r="O273" s="49" t="n">
        <x:v>5</x:v>
      </x:c>
      <x:c r="P273" s="1" t="str">
        <x:v>時間軸合意の統合</x:v>
      </x:c>
      <x:c r="Q273" s="49" t="n">
        <x:v>0</x:v>
      </x:c>
      <x:c r="R273" s="50" t="n">
        <x:v>0.09386752136752136</x:v>
      </x:c>
      <x:c r="S273" s="50" t="n">
        <x:v>0.09386752136752137</x:v>
      </x:c>
      <x:c r="T273" s="1" t="str">
        <x:v>ナイト</x:v>
      </x:c>
      <x:c r="U273" s="49" t="n">
        <x:v>2</x:v>
      </x:c>
    </x:row>
    <x:row r="274" ht="22" customHeight="1">
      <x:c r="A274" s="1" t="str">
        <x:v>日経mini</x:v>
      </x:c>
      <x:c r="B274" s="1" t="str">
        <x:v>J01</x:v>
      </x:c>
      <x:c r="C274" s="1" t="str">
        <x:v>診断3場</x:v>
      </x:c>
      <x:c r="D274" s="47" t="n">
        <x:v>81310</x:v>
      </x:c>
      <x:c r="E274" s="47" t="n">
        <x:v>88690</x:v>
      </x:c>
      <x:c r="F274" s="47" t="n">
        <x:f>D274-E274</x:f>
        <x:v>-7380</x:v>
      </x:c>
      <x:c r="G274" s="49" t="n">
        <x:v>1</x:v>
      </x:c>
      <x:c r="H274" s="49" t="n">
        <x:v>1</x:v>
      </x:c>
      <x:c r="I274" s="47" t="n">
        <x:v>-55843</x:v>
      </x:c>
      <x:c r="J274" s="49" t="n">
        <x:v>6</x:v>
      </x:c>
      <x:c r="K274" s="47" t="n">
        <x:v>-55843</x:v>
      </x:c>
      <x:c r="L274" s="47" t="n">
        <x:v>55843</x:v>
      </x:c>
      <x:c r="M274" s="48" t="n">
        <x:v>227.56666666666666</x:v>
      </x:c>
      <x:c r="N274" s="48" t="n">
        <x:v>161.86666666666667</x:v>
      </x:c>
      <x:c r="O274" s="49" t="n">
        <x:v>5</x:v>
      </x:c>
      <x:c r="P274" s="1" t="str">
        <x:v>時間軸合意の統合</x:v>
      </x:c>
      <x:c r="Q274" s="49" t="n">
        <x:v>0</x:v>
      </x:c>
      <x:c r="R274" s="50" t="n">
        <x:v>0.3272008547008547</x:v>
      </x:c>
      <x:c r="S274" s="50" t="n">
        <x:v>0.2697777777777778</x:v>
      </x:c>
      <x:c r="T274" s="1" t="str">
        <x:v>上昇</x:v>
      </x:c>
      <x:c r="U274" s="49" t="n">
        <x:v>2</x:v>
      </x:c>
    </x:row>
    <x:row r="275" ht="22" customHeight="1">
      <x:c r="A275" s="1" t="str">
        <x:v>日経mini</x:v>
      </x:c>
      <x:c r="B275" s="1" t="str">
        <x:v>J01</x:v>
      </x:c>
      <x:c r="C275" s="1" t="str">
        <x:v>診断3場</x:v>
      </x:c>
      <x:c r="D275" s="47" t="n">
        <x:v>104616</x:v>
      </x:c>
      <x:c r="E275" s="47" t="n">
        <x:v>89691</x:v>
      </x:c>
      <x:c r="F275" s="47" t="n">
        <x:f>D275-E275</x:f>
        <x:v>14925</x:v>
      </x:c>
      <x:c r="G275" s="49" t="n">
        <x:v>1</x:v>
      </x:c>
      <x:c r="H275" s="49" t="n">
        <x:v>0</x:v>
      </x:c>
      <x:c r="I275" s="47" t="n">
        <x:v>0</x:v>
      </x:c>
      <x:c r="J275" s="49" t="n">
        <x:v>4</x:v>
      </x:c>
      <x:c r="K275" s="47" t="n">
        <x:v>14925</x:v>
      </x:c>
      <x:c r="L275" s="47" t="n">
        <x:v>0</x:v>
      </x:c>
      <x:c r="M275" s="48" t="n">
        <x:v>360.06666666666666</x:v>
      </x:c>
      <x:c r="N275" s="48" t="n">
        <x:v>40.516666666666666</x:v>
      </x:c>
      <x:c r="O275" s="49" t="n">
        <x:v>5</x:v>
      </x:c>
      <x:c r="P275" s="1" t="str">
        <x:v>時間軸合意の統合</x:v>
      </x:c>
      <x:c r="Q275" s="49" t="n">
        <x:v>0</x:v>
      </x:c>
      <x:c r="R275" s="50" t="n">
        <x:v>0.051944444444444446</x:v>
      </x:c>
      <x:c r="S275" s="50" t="n">
        <x:v>0.051944444444444446</x:v>
      </x:c>
      <x:c r="T275" s="1" t="str">
        <x:v>下落</x:v>
      </x:c>
      <x:c r="U275" s="49" t="n">
        <x:v>1</x:v>
      </x:c>
    </x:row>
    <x:row r="276" ht="22" customHeight="1">
      <x:c r="A276" s="1" t="str">
        <x:v>日経mini</x:v>
      </x:c>
      <x:c r="B276" s="1" t="str">
        <x:v>J02</x:v>
      </x:c>
      <x:c r="C276" s="1" t="str">
        <x:v>全50場</x:v>
      </x:c>
      <x:c r="D276" s="47" t="n">
        <x:v>5314615</x:v>
      </x:c>
      <x:c r="E276" s="47" t="n">
        <x:v>3180398</x:v>
      </x:c>
      <x:c r="F276" s="47" t="n">
        <x:f>D276-E276</x:f>
        <x:v>2134217</x:v>
      </x:c>
      <x:c r="G276" s="49" t="n">
        <x:v>30</x:v>
      </x:c>
      <x:c r="H276" s="49" t="n">
        <x:v>20</x:v>
      </x:c>
      <x:c r="I276" s="47" t="n">
        <x:v>1136896</x:v>
      </x:c>
      <x:c r="J276" s="49" t="n">
        <x:v>235</x:v>
      </x:c>
      <x:c r="K276" s="47" t="n">
        <x:v>-156918</x:v>
      </x:c>
      <x:c r="L276" s="47" t="n">
        <x:v>63316.55</x:v>
      </x:c>
      <x:c r="M276" s="48" t="n">
        <x:v>212.45466666666664</x:v>
      </x:c>
      <x:c r="N276" s="48" t="n">
        <x:v>123.17166666666664</x:v>
      </x:c>
      <x:c r="O276" s="49" t="n">
        <x:v>10</x:v>
      </x:c>
      <x:c r="P276" s="1" t="str">
        <x:v>価格位置と原板管理の統合</x:v>
      </x:c>
      <x:c r="Q276" s="49" t="n">
        <x:v>0</x:v>
      </x:c>
      <x:c r="R276" s="50" t="n">
        <x:v>0.271910927960928</x:v>
      </x:c>
      <x:c r="S276" s="50" t="n">
        <x:v>0.2052861111111111</x:v>
      </x:c>
      <x:c r="T276" s="1" t="str">
        <x:v>全場</x:v>
      </x:c>
      <x:c r="U276" s="49" t="n">
        <x:v>50</x:v>
      </x:c>
    </x:row>
    <x:row r="277" ht="22" customHeight="1">
      <x:c r="A277" s="1" t="str">
        <x:v>日経mini</x:v>
      </x:c>
      <x:c r="B277" s="1" t="str">
        <x:v>J02</x:v>
      </x:c>
      <x:c r="C277" s="1" t="str">
        <x:v>全50場</x:v>
      </x:c>
      <x:c r="D277" s="47" t="n">
        <x:v>3284658</x:v>
      </x:c>
      <x:c r="E277" s="47" t="n">
        <x:v>2179029</x:v>
      </x:c>
      <x:c r="F277" s="47" t="n">
        <x:f>D277-E277</x:f>
        <x:v>1105629</x:v>
      </x:c>
      <x:c r="G277" s="49" t="n">
        <x:v>14</x:v>
      </x:c>
      <x:c r="H277" s="49" t="n">
        <x:v>11</x:v>
      </x:c>
      <x:c r="I277" s="47" t="n">
        <x:v>248386</x:v>
      </x:c>
      <x:c r="J277" s="49" t="n">
        <x:v>147</x:v>
      </x:c>
      <x:c r="K277" s="47" t="n">
        <x:v>-156918</x:v>
      </x:c>
      <x:c r="L277" s="47" t="n">
        <x:v>73129</x:v>
      </x:c>
      <x:c r="M277" s="48" t="n">
        <x:v>86.55333333333334</x:v>
      </x:c>
      <x:c r="N277" s="48" t="n">
        <x:v>207.47733333333335</x:v>
      </x:c>
      <x:c r="O277" s="49" t="n">
        <x:v>10</x:v>
      </x:c>
      <x:c r="P277" s="1" t="str">
        <x:v>価格位置と原板管理の統合</x:v>
      </x:c>
      <x:c r="Q277" s="49" t="n">
        <x:v>0</x:v>
      </x:c>
      <x:c r="R277" s="50" t="n">
        <x:v>0.4939936507936508</x:v>
      </x:c>
      <x:c r="S277" s="50" t="n">
        <x:v>0.4939936507936508</x:v>
      </x:c>
      <x:c r="T277" s="1" t="str">
        <x:v>デイ</x:v>
      </x:c>
      <x:c r="U277" s="49" t="n">
        <x:v>25</x:v>
      </x:c>
    </x:row>
    <x:row r="278" ht="22" customHeight="1">
      <x:c r="A278" s="1" t="str">
        <x:v>日経mini</x:v>
      </x:c>
      <x:c r="B278" s="1" t="str">
        <x:v>J02</x:v>
      </x:c>
      <x:c r="C278" s="1" t="str">
        <x:v>全50場</x:v>
      </x:c>
      <x:c r="D278" s="47" t="n">
        <x:v>2029957</x:v>
      </x:c>
      <x:c r="E278" s="47" t="n">
        <x:v>1001369</x:v>
      </x:c>
      <x:c r="F278" s="47" t="n">
        <x:f>D278-E278</x:f>
        <x:v>1028588</x:v>
      </x:c>
      <x:c r="G278" s="49" t="n">
        <x:v>16</x:v>
      </x:c>
      <x:c r="H278" s="49" t="n">
        <x:v>9</x:v>
      </x:c>
      <x:c r="I278" s="47" t="n">
        <x:v>333810</x:v>
      </x:c>
      <x:c r="J278" s="49" t="n">
        <x:v>88</x:v>
      </x:c>
      <x:c r="K278" s="47" t="n">
        <x:v>-107461</x:v>
      </x:c>
      <x:c r="L278" s="47" t="n">
        <x:v>51323.555555555555</x:v>
      </x:c>
      <x:c r="M278" s="48" t="n">
        <x:v>338.356</x:v>
      </x:c>
      <x:c r="N278" s="48" t="n">
        <x:v>38.866</x:v>
      </x:c>
      <x:c r="O278" s="49" t="n">
        <x:v>10</x:v>
      </x:c>
      <x:c r="P278" s="1" t="str">
        <x:v>価格位置と原板管理の統合</x:v>
      </x:c>
      <x:c r="Q278" s="49" t="n">
        <x:v>0</x:v>
      </x:c>
      <x:c r="R278" s="50" t="n">
        <x:v>0.04982820512820513</x:v>
      </x:c>
      <x:c r="S278" s="50" t="n">
        <x:v>0.04982820512820513</x:v>
      </x:c>
      <x:c r="T278" s="1" t="str">
        <x:v>ナイト</x:v>
      </x:c>
      <x:c r="U278" s="49" t="n">
        <x:v>25</x:v>
      </x:c>
    </x:row>
    <x:row r="279" ht="22" customHeight="1">
      <x:c r="A279" s="1" t="str">
        <x:v>日経mini</x:v>
      </x:c>
      <x:c r="B279" s="1" t="str">
        <x:v>J02</x:v>
      </x:c>
      <x:c r="C279" s="1" t="str">
        <x:v>全50場</x:v>
      </x:c>
      <x:c r="D279" s="47" t="n">
        <x:v>2226574</x:v>
      </x:c>
      <x:c r="E279" s="47" t="n">
        <x:v>1472506</x:v>
      </x:c>
      <x:c r="F279" s="47" t="n">
        <x:f>D279-E279</x:f>
        <x:v>754068</x:v>
      </x:c>
      <x:c r="G279" s="49" t="n">
        <x:v>14</x:v>
      </x:c>
      <x:c r="H279" s="49" t="n">
        <x:v>10</x:v>
      </x:c>
      <x:c r="I279" s="47" t="n">
        <x:v>53824</x:v>
      </x:c>
      <x:c r="J279" s="49" t="n">
        <x:v>113</x:v>
      </x:c>
      <x:c r="K279" s="47" t="n">
        <x:v>-156918</x:v>
      </x:c>
      <x:c r="L279" s="47" t="n">
        <x:v>74127.8</x:v>
      </x:c>
      <x:c r="M279" s="48" t="n">
        <x:v>213.83819444444444</x:v>
      </x:c>
      <x:c r="N279" s="48" t="n">
        <x:v>113.14791666666667</x:v>
      </x:c>
      <x:c r="O279" s="49" t="n">
        <x:v>10</x:v>
      </x:c>
      <x:c r="P279" s="1" t="str">
        <x:v>価格位置と原板管理の統合</x:v>
      </x:c>
      <x:c r="Q279" s="49" t="n">
        <x:v>0</x:v>
      </x:c>
      <x:c r="R279" s="50" t="n">
        <x:v>0.24853365384615386</x:v>
      </x:c>
      <x:c r="S279" s="50" t="n">
        <x:v>0.18398035230352305</x:v>
      </x:c>
      <x:c r="T279" s="1" t="str">
        <x:v>上昇</x:v>
      </x:c>
      <x:c r="U279" s="49" t="n">
        <x:v>24</x:v>
      </x:c>
    </x:row>
    <x:row r="280" ht="22" customHeight="1">
      <x:c r="A280" s="1" t="str">
        <x:v>日経mini</x:v>
      </x:c>
      <x:c r="B280" s="1" t="str">
        <x:v>J02</x:v>
      </x:c>
      <x:c r="C280" s="1" t="str">
        <x:v>全50場</x:v>
      </x:c>
      <x:c r="D280" s="47" t="n">
        <x:v>3088041</x:v>
      </x:c>
      <x:c r="E280" s="47" t="n">
        <x:v>1707892</x:v>
      </x:c>
      <x:c r="F280" s="47" t="n">
        <x:f>D280-E280</x:f>
        <x:v>1380149</x:v>
      </x:c>
      <x:c r="G280" s="49" t="n">
        <x:v>16</x:v>
      </x:c>
      <x:c r="H280" s="49" t="n">
        <x:v>10</x:v>
      </x:c>
      <x:c r="I280" s="47" t="n">
        <x:v>522906</x:v>
      </x:c>
      <x:c r="J280" s="49" t="n">
        <x:v>122</x:v>
      </x:c>
      <x:c r="K280" s="47" t="n">
        <x:v>-136764</x:v>
      </x:c>
      <x:c r="L280" s="47" t="n">
        <x:v>52505.3</x:v>
      </x:c>
      <x:c r="M280" s="48" t="n">
        <x:v>211.1775641025641</x:v>
      </x:c>
      <x:c r="N280" s="48" t="n">
        <x:v>132.42435897435897</x:v>
      </x:c>
      <x:c r="O280" s="49" t="n">
        <x:v>10</x:v>
      </x:c>
      <x:c r="P280" s="1" t="str">
        <x:v>価格位置と原板管理の統合</x:v>
      </x:c>
      <x:c r="Q280" s="49" t="n">
        <x:v>0</x:v>
      </x:c>
      <x:c r="R280" s="50" t="n">
        <x:v>0.29348995022071944</x:v>
      </x:c>
      <x:c r="S280" s="50" t="n">
        <x:v>0.22592082239720035</x:v>
      </x:c>
      <x:c r="T280" s="1" t="str">
        <x:v>下落</x:v>
      </x:c>
      <x:c r="U280" s="49" t="n">
        <x:v>26</x:v>
      </x:c>
    </x:row>
    <x:row r="281" ht="22" customHeight="1">
      <x:c r="A281" s="1" t="str">
        <x:v>日経mini</x:v>
      </x:c>
      <x:c r="B281" s="1" t="str">
        <x:v>J02</x:v>
      </x:c>
      <x:c r="C281" s="1" t="str">
        <x:v>対照47場</x:v>
      </x:c>
      <x:c r="D281" s="47" t="n">
        <x:v>5142536</x:v>
      </x:c>
      <x:c r="E281" s="47" t="n">
        <x:v>3001864</x:v>
      </x:c>
      <x:c r="F281" s="47" t="n">
        <x:f>D281-E281</x:f>
        <x:v>2140672</x:v>
      </x:c>
      <x:c r="G281" s="49" t="n">
        <x:v>28</x:v>
      </x:c>
      <x:c r="H281" s="49" t="n">
        <x:v>19</x:v>
      </x:c>
      <x:c r="I281" s="47" t="n">
        <x:v>1143351</x:v>
      </x:c>
      <x:c r="J281" s="49" t="n">
        <x:v>225</x:v>
      </x:c>
      <x:c r="K281" s="47" t="n">
        <x:v>-156918</x:v>
      </x:c>
      <x:c r="L281" s="47" t="n">
        <x:v>63709.89473684211</x:v>
      </x:c>
      <x:c r="M281" s="48" t="n">
        <x:v>208.6709219858156</x:v>
      </x:c>
      <x:c r="N281" s="48" t="n">
        <x:v>125.08085106382977</x:v>
      </x:c>
      <x:c r="O281" s="49" t="n">
        <x:v>10</x:v>
      </x:c>
      <x:c r="P281" s="1" t="str">
        <x:v>価格位置と原板管理の統合</x:v>
      </x:c>
      <x:c r="Q281" s="49" t="n">
        <x:v>0</x:v>
      </x:c>
      <x:c r="R281" s="50" t="n">
        <x:v>0.27654235835086904</x:v>
      </x:c>
      <x:c r="S281" s="50" t="n">
        <x:v>0.20980728051391864</x:v>
      </x:c>
      <x:c r="T281" s="1" t="str">
        <x:v>全場</x:v>
      </x:c>
      <x:c r="U281" s="49" t="n">
        <x:v>47</x:v>
      </x:c>
    </x:row>
    <x:row r="282" ht="22" customHeight="1">
      <x:c r="A282" s="1" t="str">
        <x:v>日経mini</x:v>
      </x:c>
      <x:c r="B282" s="1" t="str">
        <x:v>J02</x:v>
      </x:c>
      <x:c r="C282" s="1" t="str">
        <x:v>対照47場</x:v>
      </x:c>
      <x:c r="D282" s="47" t="n">
        <x:v>3251811</x:v>
      </x:c>
      <x:c r="E282" s="47" t="n">
        <x:v>2090339</x:v>
      </x:c>
      <x:c r="F282" s="47" t="n">
        <x:f>D282-E282</x:f>
        <x:v>1161472</x:v>
      </x:c>
      <x:c r="G282" s="49" t="n">
        <x:v>14</x:v>
      </x:c>
      <x:c r="H282" s="49" t="n">
        <x:v>10</x:v>
      </x:c>
      <x:c r="I282" s="47" t="n">
        <x:v>304229</x:v>
      </x:c>
      <x:c r="J282" s="49" t="n">
        <x:v>143</x:v>
      </x:c>
      <x:c r="K282" s="47" t="n">
        <x:v>-156918</x:v>
      </x:c>
      <x:c r="L282" s="47" t="n">
        <x:v>74857.6</x:v>
      </x:c>
      <x:c r="M282" s="48" t="n">
        <x:v>86.19722222222224</x:v>
      </x:c>
      <x:c r="N282" s="48" t="n">
        <x:v>207.04652777777778</x:v>
      </x:c>
      <x:c r="O282" s="49" t="n">
        <x:v>10</x:v>
      </x:c>
      <x:c r="P282" s="1" t="str">
        <x:v>価格位置と原板管理の統合</x:v>
      </x:c>
      <x:c r="Q282" s="49" t="n">
        <x:v>0</x:v>
      </x:c>
      <x:c r="R282" s="50" t="n">
        <x:v>0.4929679232804233</x:v>
      </x:c>
      <x:c r="S282" s="50" t="n">
        <x:v>0.49296792328042327</x:v>
      </x:c>
      <x:c r="T282" s="1" t="str">
        <x:v>デイ</x:v>
      </x:c>
      <x:c r="U282" s="49" t="n">
        <x:v>24</x:v>
      </x:c>
    </x:row>
    <x:row r="283" ht="22" customHeight="1">
      <x:c r="A283" s="1" t="str">
        <x:v>日経mini</x:v>
      </x:c>
      <x:c r="B283" s="1" t="str">
        <x:v>J02</x:v>
      </x:c>
      <x:c r="C283" s="1" t="str">
        <x:v>対照47場</x:v>
      </x:c>
      <x:c r="D283" s="47" t="n">
        <x:v>1890725</x:v>
      </x:c>
      <x:c r="E283" s="47" t="n">
        <x:v>911525</x:v>
      </x:c>
      <x:c r="F283" s="47" t="n">
        <x:f>D283-E283</x:f>
        <x:v>979200</x:v>
      </x:c>
      <x:c r="G283" s="49" t="n">
        <x:v>14</x:v>
      </x:c>
      <x:c r="H283" s="49" t="n">
        <x:v>9</x:v>
      </x:c>
      <x:c r="I283" s="47" t="n">
        <x:v>284422</x:v>
      </x:c>
      <x:c r="J283" s="49" t="n">
        <x:v>82</x:v>
      </x:c>
      <x:c r="K283" s="47" t="n">
        <x:v>-107461</x:v>
      </x:c>
      <x:c r="L283" s="47" t="n">
        <x:v>51323.555555555555</x:v>
      </x:c>
      <x:c r="M283" s="48" t="n">
        <x:v>336.4695652173913</x:v>
      </x:c>
      <x:c r="N283" s="48" t="n">
        <x:v>39.551449275362316</x:v>
      </x:c>
      <x:c r="O283" s="49" t="n">
        <x:v>10</x:v>
      </x:c>
      <x:c r="P283" s="1" t="str">
        <x:v>価格位置と原板管理の統合</x:v>
      </x:c>
      <x:c r="Q283" s="49" t="n">
        <x:v>0</x:v>
      </x:c>
      <x:c r="R283" s="50" t="n">
        <x:v>0.050706986250464506</x:v>
      </x:c>
      <x:c r="S283" s="50" t="n">
        <x:v>0.05070698625046451</x:v>
      </x:c>
      <x:c r="T283" s="1" t="str">
        <x:v>ナイト</x:v>
      </x:c>
      <x:c r="U283" s="49" t="n">
        <x:v>23</x:v>
      </x:c>
    </x:row>
    <x:row r="284" ht="22" customHeight="1">
      <x:c r="A284" s="1" t="str">
        <x:v>日経mini</x:v>
      </x:c>
      <x:c r="B284" s="1" t="str">
        <x:v>J02</x:v>
      </x:c>
      <x:c r="C284" s="1" t="str">
        <x:v>対照47場</x:v>
      </x:c>
      <x:c r="D284" s="47" t="n">
        <x:v>2159111</x:v>
      </x:c>
      <x:c r="E284" s="47" t="n">
        <x:v>1368663</x:v>
      </x:c>
      <x:c r="F284" s="47" t="n">
        <x:f>D284-E284</x:f>
        <x:v>790448</x:v>
      </x:c>
      <x:c r="G284" s="49" t="n">
        <x:v>13</x:v>
      </x:c>
      <x:c r="H284" s="49" t="n">
        <x:v>9</x:v>
      </x:c>
      <x:c r="I284" s="47" t="n">
        <x:v>90204</x:v>
      </x:c>
      <x:c r="J284" s="49" t="n">
        <x:v>107</x:v>
      </x:c>
      <x:c r="K284" s="47" t="n">
        <x:v>-156918</x:v>
      </x:c>
      <x:c r="L284" s="47" t="n">
        <x:v>76159.44444444444</x:v>
      </x:c>
      <x:c r="M284" s="48" t="n">
        <x:v>212.5901515151515</x:v>
      </x:c>
      <x:c r="N284" s="48" t="n">
        <x:v>112.55227272727275</x:v>
      </x:c>
      <x:c r="O284" s="49" t="n">
        <x:v>10</x:v>
      </x:c>
      <x:c r="P284" s="1" t="str">
        <x:v>価格位置と原板管理の統合</x:v>
      </x:c>
      <x:c r="Q284" s="49" t="n">
        <x:v>0</x:v>
      </x:c>
      <x:c r="R284" s="50" t="n">
        <x:v>0.24629662004662006</x:v>
      </x:c>
      <x:c r="S284" s="50" t="n">
        <x:v>0.18260693215339233</x:v>
      </x:c>
      <x:c r="T284" s="1" t="str">
        <x:v>上昇</x:v>
      </x:c>
      <x:c r="U284" s="49" t="n">
        <x:v>22</x:v>
      </x:c>
    </x:row>
    <x:row r="285" ht="22" customHeight="1">
      <x:c r="A285" s="1" t="str">
        <x:v>日経mini</x:v>
      </x:c>
      <x:c r="B285" s="1" t="str">
        <x:v>J02</x:v>
      </x:c>
      <x:c r="C285" s="1" t="str">
        <x:v>対照47場</x:v>
      </x:c>
      <x:c r="D285" s="47" t="n">
        <x:v>2983425</x:v>
      </x:c>
      <x:c r="E285" s="47" t="n">
        <x:v>1633201</x:v>
      </x:c>
      <x:c r="F285" s="47" t="n">
        <x:f>D285-E285</x:f>
        <x:v>1350224</x:v>
      </x:c>
      <x:c r="G285" s="49" t="n">
        <x:v>15</x:v>
      </x:c>
      <x:c r="H285" s="49" t="n">
        <x:v>10</x:v>
      </x:c>
      <x:c r="I285" s="47" t="n">
        <x:v>492981</x:v>
      </x:c>
      <x:c r="J285" s="49" t="n">
        <x:v>118</x:v>
      </x:c>
      <x:c r="K285" s="47" t="n">
        <x:v>-136764</x:v>
      </x:c>
      <x:c r="L285" s="47" t="n">
        <x:v>52505.3</x:v>
      </x:c>
      <x:c r="M285" s="48" t="n">
        <x:v>205.222</x:v>
      </x:c>
      <x:c r="N285" s="48" t="n">
        <x:v>136.106</x:v>
      </x:c>
      <x:c r="O285" s="49" t="n">
        <x:v>10</x:v>
      </x:c>
      <x:c r="P285" s="1" t="str">
        <x:v>価格位置と原板管理の統合</x:v>
      </x:c>
      <x:c r="Q285" s="49" t="n">
        <x:v>0</x:v>
      </x:c>
      <x:c r="R285" s="50" t="n">
        <x:v>0.30315860805860806</x:v>
      </x:c>
      <x:c r="S285" s="50" t="n">
        <x:v>0.23531466113416322</x:v>
      </x:c>
      <x:c r="T285" s="1" t="str">
        <x:v>下落</x:v>
      </x:c>
      <x:c r="U285" s="49" t="n">
        <x:v>25</x:v>
      </x:c>
    </x:row>
    <x:row r="286" ht="22" customHeight="1">
      <x:c r="A286" s="1" t="str">
        <x:v>日経mini</x:v>
      </x:c>
      <x:c r="B286" s="1" t="str">
        <x:v>J02</x:v>
      </x:c>
      <x:c r="C286" s="1" t="str">
        <x:v>診断3場</x:v>
      </x:c>
      <x:c r="D286" s="47" t="n">
        <x:v>172079</x:v>
      </x:c>
      <x:c r="E286" s="47" t="n">
        <x:v>178534</x:v>
      </x:c>
      <x:c r="F286" s="47" t="n">
        <x:f>D286-E286</x:f>
        <x:v>-6455</x:v>
      </x:c>
      <x:c r="G286" s="49" t="n">
        <x:v>2</x:v>
      </x:c>
      <x:c r="H286" s="49" t="n">
        <x:v>1</x:v>
      </x:c>
      <x:c r="I286" s="47" t="n">
        <x:v>-55843</x:v>
      </x:c>
      <x:c r="J286" s="49" t="n">
        <x:v>10</x:v>
      </x:c>
      <x:c r="K286" s="47" t="n">
        <x:v>-55843</x:v>
      </x:c>
      <x:c r="L286" s="47" t="n">
        <x:v>55843</x:v>
      </x:c>
      <x:c r="M286" s="48" t="n">
        <x:v>271.73333333333335</x:v>
      </x:c>
      <x:c r="N286" s="48" t="n">
        <x:v>93.2611111111111</x:v>
      </x:c>
      <x:c r="O286" s="49" t="n">
        <x:v>5</x:v>
      </x:c>
      <x:c r="P286" s="1" t="str">
        <x:v>価格位置と原板管理の統合</x:v>
      </x:c>
      <x:c r="Q286" s="49" t="n">
        <x:v>0</x:v>
      </x:c>
      <x:c r="R286" s="50" t="n">
        <x:v>0.19935185185185186</x:v>
      </x:c>
      <x:c r="S286" s="50" t="n">
        <x:v>0.1413047138047138</x:v>
      </x:c>
      <x:c r="T286" s="1" t="str">
        <x:v>全場</x:v>
      </x:c>
      <x:c r="U286" s="49" t="n">
        <x:v>3</x:v>
      </x:c>
    </x:row>
    <x:row r="287" ht="22" customHeight="1">
      <x:c r="A287" s="1" t="str">
        <x:v>日経mini</x:v>
      </x:c>
      <x:c r="B287" s="1" t="str">
        <x:v>J02</x:v>
      </x:c>
      <x:c r="C287" s="1" t="str">
        <x:v>診断3場</x:v>
      </x:c>
      <x:c r="D287" s="47" t="n">
        <x:v>32847</x:v>
      </x:c>
      <x:c r="E287" s="47" t="n">
        <x:v>88690</x:v>
      </x:c>
      <x:c r="F287" s="47" t="n">
        <x:f>D287-E287</x:f>
        <x:v>-55843</x:v>
      </x:c>
      <x:c r="G287" s="49" t="n">
        <x:v>0</x:v>
      </x:c>
      <x:c r="H287" s="49" t="n">
        <x:v>1</x:v>
      </x:c>
      <x:c r="I287" s="47" t="n">
        <x:v>-55843</x:v>
      </x:c>
      <x:c r="J287" s="49" t="n">
        <x:v>4</x:v>
      </x:c>
      <x:c r="K287" s="47" t="n">
        <x:v>-55843</x:v>
      </x:c>
      <x:c r="L287" s="47" t="n">
        <x:v>55843</x:v>
      </x:c>
      <x:c r="M287" s="48" t="n">
        <x:v>95.1</x:v>
      </x:c>
      <x:c r="N287" s="48" t="n">
        <x:v>217.81666666666666</x:v>
      </x:c>
      <x:c r="O287" s="49" t="n">
        <x:v>5</x:v>
      </x:c>
      <x:c r="P287" s="1" t="str">
        <x:v>価格位置と原板管理の統合</x:v>
      </x:c>
      <x:c r="Q287" s="49" t="n">
        <x:v>0</x:v>
      </x:c>
      <x:c r="R287" s="50" t="n">
        <x:v>0.5186111111111111</x:v>
      </x:c>
      <x:c r="S287" s="50" t="n">
        <x:v>0.5186111111111111</x:v>
      </x:c>
      <x:c r="T287" s="1" t="str">
        <x:v>デイ</x:v>
      </x:c>
      <x:c r="U287" s="49" t="n">
        <x:v>1</x:v>
      </x:c>
    </x:row>
    <x:row r="288" ht="22" customHeight="1">
      <x:c r="A288" s="1" t="str">
        <x:v>日経mini</x:v>
      </x:c>
      <x:c r="B288" s="1" t="str">
        <x:v>J02</x:v>
      </x:c>
      <x:c r="C288" s="1" t="str">
        <x:v>診断3場</x:v>
      </x:c>
      <x:c r="D288" s="47" t="n">
        <x:v>139232</x:v>
      </x:c>
      <x:c r="E288" s="47" t="n">
        <x:v>89844</x:v>
      </x:c>
      <x:c r="F288" s="47" t="n">
        <x:f>D288-E288</x:f>
        <x:v>49388</x:v>
      </x:c>
      <x:c r="G288" s="49" t="n">
        <x:v>2</x:v>
      </x:c>
      <x:c r="H288" s="49" t="n">
        <x:v>0</x:v>
      </x:c>
      <x:c r="I288" s="47" t="n">
        <x:v>0</x:v>
      </x:c>
      <x:c r="J288" s="49" t="n">
        <x:v>6</x:v>
      </x:c>
      <x:c r="K288" s="47" t="n">
        <x:v>19463</x:v>
      </x:c>
      <x:c r="L288" s="47" t="n">
        <x:v>0</x:v>
      </x:c>
      <x:c r="M288" s="48" t="n">
        <x:v>360.05</x:v>
      </x:c>
      <x:c r="N288" s="48" t="n">
        <x:v>30.983333333333334</x:v>
      </x:c>
      <x:c r="O288" s="49" t="n">
        <x:v>5</x:v>
      </x:c>
      <x:c r="P288" s="1" t="str">
        <x:v>価格位置と原板管理の統合</x:v>
      </x:c>
      <x:c r="Q288" s="49" t="n">
        <x:v>0</x:v>
      </x:c>
      <x:c r="R288" s="50" t="n">
        <x:v>0.03972222222222222</x:v>
      </x:c>
      <x:c r="S288" s="50" t="n">
        <x:v>0.03972222222222222</x:v>
      </x:c>
      <x:c r="T288" s="1" t="str">
        <x:v>ナイト</x:v>
      </x:c>
      <x:c r="U288" s="49" t="n">
        <x:v>2</x:v>
      </x:c>
    </x:row>
    <x:row r="289" ht="22" customHeight="1">
      <x:c r="A289" s="1" t="str">
        <x:v>日経mini</x:v>
      </x:c>
      <x:c r="B289" s="1" t="str">
        <x:v>J02</x:v>
      </x:c>
      <x:c r="C289" s="1" t="str">
        <x:v>診断3場</x:v>
      </x:c>
      <x:c r="D289" s="47" t="n">
        <x:v>67463</x:v>
      </x:c>
      <x:c r="E289" s="47" t="n">
        <x:v>103843</x:v>
      </x:c>
      <x:c r="F289" s="47" t="n">
        <x:f>D289-E289</x:f>
        <x:v>-36380</x:v>
      </x:c>
      <x:c r="G289" s="49" t="n">
        <x:v>1</x:v>
      </x:c>
      <x:c r="H289" s="49" t="n">
        <x:v>1</x:v>
      </x:c>
      <x:c r="I289" s="47" t="n">
        <x:v>-55843</x:v>
      </x:c>
      <x:c r="J289" s="49" t="n">
        <x:v>6</x:v>
      </x:c>
      <x:c r="K289" s="47" t="n">
        <x:v>-55843</x:v>
      </x:c>
      <x:c r="L289" s="47" t="n">
        <x:v>55843</x:v>
      </x:c>
      <x:c r="M289" s="48" t="n">
        <x:v>227.56666666666666</x:v>
      </x:c>
      <x:c r="N289" s="48" t="n">
        <x:v>119.7</x:v>
      </x:c>
      <x:c r="O289" s="49" t="n">
        <x:v>5</x:v>
      </x:c>
      <x:c r="P289" s="1" t="str">
        <x:v>価格位置と原板管理の統合</x:v>
      </x:c>
      <x:c r="Q289" s="49" t="n">
        <x:v>0</x:v>
      </x:c>
      <x:c r="R289" s="50" t="n">
        <x:v>0.27314102564102566</x:v>
      </x:c>
      <x:c r="S289" s="50" t="n">
        <x:v>0.1995</x:v>
      </x:c>
      <x:c r="T289" s="1" t="str">
        <x:v>上昇</x:v>
      </x:c>
      <x:c r="U289" s="49" t="n">
        <x:v>2</x:v>
      </x:c>
    </x:row>
    <x:row r="290" ht="22" customHeight="1">
      <x:c r="A290" s="1" t="str">
        <x:v>日経mini</x:v>
      </x:c>
      <x:c r="B290" s="1" t="str">
        <x:v>J02</x:v>
      </x:c>
      <x:c r="C290" s="1" t="str">
        <x:v>診断3場</x:v>
      </x:c>
      <x:c r="D290" s="47" t="n">
        <x:v>104616</x:v>
      </x:c>
      <x:c r="E290" s="47" t="n">
        <x:v>74691</x:v>
      </x:c>
      <x:c r="F290" s="47" t="n">
        <x:f>D290-E290</x:f>
        <x:v>29925</x:v>
      </x:c>
      <x:c r="G290" s="49" t="n">
        <x:v>1</x:v>
      </x:c>
      <x:c r="H290" s="49" t="n">
        <x:v>0</x:v>
      </x:c>
      <x:c r="I290" s="47" t="n">
        <x:v>0</x:v>
      </x:c>
      <x:c r="J290" s="49" t="n">
        <x:v>4</x:v>
      </x:c>
      <x:c r="K290" s="47" t="n">
        <x:v>29925</x:v>
      </x:c>
      <x:c r="L290" s="47" t="n">
        <x:v>0</x:v>
      </x:c>
      <x:c r="M290" s="48" t="n">
        <x:v>360.06666666666666</x:v>
      </x:c>
      <x:c r="N290" s="48" t="n">
        <x:v>40.38333333333333</x:v>
      </x:c>
      <x:c r="O290" s="49" t="n">
        <x:v>5</x:v>
      </x:c>
      <x:c r="P290" s="1" t="str">
        <x:v>価格位置と原板管理の統合</x:v>
      </x:c>
      <x:c r="Q290" s="49" t="n">
        <x:v>0</x:v>
      </x:c>
      <x:c r="R290" s="50" t="n">
        <x:v>0.05177350427350427</x:v>
      </x:c>
      <x:c r="S290" s="50" t="n">
        <x:v>0.05177350427350427</x:v>
      </x:c>
      <x:c r="T290" s="1" t="str">
        <x:v>下落</x:v>
      </x:c>
      <x:c r="U290" s="49" t="n">
        <x:v>1</x:v>
      </x:c>
    </x:row>
    <x:row r="291" ht="22" customHeight="1">
      <x:c r="A291" s="1" t="str">
        <x:v>日経mini</x:v>
      </x:c>
      <x:c r="B291" s="1" t="str">
        <x:v>J03</x:v>
      </x:c>
      <x:c r="C291" s="1" t="str">
        <x:v>全50場</x:v>
      </x:c>
      <x:c r="D291" s="47" t="n">
        <x:v>5238765</x:v>
      </x:c>
      <x:c r="E291" s="47" t="n">
        <x:v>3233549</x:v>
      </x:c>
      <x:c r="F291" s="47" t="n">
        <x:f>D291-E291</x:f>
        <x:v>2005216</x:v>
      </x:c>
      <x:c r="G291" s="49" t="n">
        <x:v>29</x:v>
      </x:c>
      <x:c r="H291" s="49" t="n">
        <x:v>21</x:v>
      </x:c>
      <x:c r="I291" s="47" t="n">
        <x:v>1007895</x:v>
      </x:c>
      <x:c r="J291" s="49" t="n">
        <x:v>227</x:v>
      </x:c>
      <x:c r="K291" s="47" t="n">
        <x:v>-144763</x:v>
      </x:c>
      <x:c r="L291" s="47" t="n">
        <x:v>67740.95238095238</x:v>
      </x:c>
      <x:c r="M291" s="48" t="n">
        <x:v>212.77566666666667</x:v>
      </x:c>
      <x:c r="N291" s="48" t="n">
        <x:v>126.74599999999998</x:v>
      </x:c>
      <x:c r="O291" s="49" t="n">
        <x:v>10</x:v>
      </x:c>
      <x:c r="P291" s="1" t="str">
        <x:v>再失敗と原板合意の統合</x:v>
      </x:c>
      <x:c r="Q291" s="49" t="n">
        <x:v>0</x:v>
      </x:c>
      <x:c r="R291" s="50" t="n">
        <x:v>0.28054908424908426</x:v>
      </x:c>
      <x:c r="S291" s="50" t="n">
        <x:v>0.21124333333333334</x:v>
      </x:c>
      <x:c r="T291" s="1" t="str">
        <x:v>全場</x:v>
      </x:c>
      <x:c r="U291" s="49" t="n">
        <x:v>50</x:v>
      </x:c>
    </x:row>
    <x:row r="292" ht="22" customHeight="1">
      <x:c r="A292" s="1" t="str">
        <x:v>日経mini</x:v>
      </x:c>
      <x:c r="B292" s="1" t="str">
        <x:v>J03</x:v>
      </x:c>
      <x:c r="C292" s="1" t="str">
        <x:v>全50場</x:v>
      </x:c>
      <x:c r="D292" s="47" t="n">
        <x:v>3337040</x:v>
      </x:c>
      <x:c r="E292" s="47" t="n">
        <x:v>2130566</x:v>
      </x:c>
      <x:c r="F292" s="47" t="n">
        <x:f>D292-E292</x:f>
        <x:v>1206474</x:v>
      </x:c>
      <x:c r="G292" s="49" t="n">
        <x:v>14</x:v>
      </x:c>
      <x:c r="H292" s="49" t="n">
        <x:v>11</x:v>
      </x:c>
      <x:c r="I292" s="47" t="n">
        <x:v>337924</x:v>
      </x:c>
      <x:c r="J292" s="49" t="n">
        <x:v>140</x:v>
      </x:c>
      <x:c r="K292" s="47" t="n">
        <x:v>-144763</x:v>
      </x:c>
      <x:c r="L292" s="47" t="n">
        <x:v>69646.36363636363</x:v>
      </x:c>
      <x:c r="M292" s="48" t="n">
        <x:v>86.55333333333334</x:v>
      </x:c>
      <x:c r="N292" s="48" t="n">
        <x:v>214.85866666666664</x:v>
      </x:c>
      <x:c r="O292" s="49" t="n">
        <x:v>10</x:v>
      </x:c>
      <x:c r="P292" s="1" t="str">
        <x:v>再失敗と原板合意の統合</x:v>
      </x:c>
      <x:c r="Q292" s="49" t="n">
        <x:v>0</x:v>
      </x:c>
      <x:c r="R292" s="50" t="n">
        <x:v>0.511568253968254</x:v>
      </x:c>
      <x:c r="S292" s="50" t="n">
        <x:v>0.5115682539682539</x:v>
      </x:c>
      <x:c r="T292" s="1" t="str">
        <x:v>デイ</x:v>
      </x:c>
      <x:c r="U292" s="49" t="n">
        <x:v>25</x:v>
      </x:c>
    </x:row>
    <x:row r="293" ht="22" customHeight="1">
      <x:c r="A293" s="1" t="str">
        <x:v>日経mini</x:v>
      </x:c>
      <x:c r="B293" s="1" t="str">
        <x:v>J03</x:v>
      </x:c>
      <x:c r="C293" s="1" t="str">
        <x:v>全50場</x:v>
      </x:c>
      <x:c r="D293" s="47" t="n">
        <x:v>1901725</x:v>
      </x:c>
      <x:c r="E293" s="47" t="n">
        <x:v>1102983</x:v>
      </x:c>
      <x:c r="F293" s="47" t="n">
        <x:f>D293-E293</x:f>
        <x:v>798742</x:v>
      </x:c>
      <x:c r="G293" s="49" t="n">
        <x:v>15</x:v>
      </x:c>
      <x:c r="H293" s="49" t="n">
        <x:v>10</x:v>
      </x:c>
      <x:c r="I293" s="47" t="n">
        <x:v>103964</x:v>
      </x:c>
      <x:c r="J293" s="49" t="n">
        <x:v>87</x:v>
      </x:c>
      <x:c r="K293" s="47" t="n">
        <x:v>-141152</x:v>
      </x:c>
      <x:c r="L293" s="47" t="n">
        <x:v>65645</x:v>
      </x:c>
      <x:c r="M293" s="48" t="n">
        <x:v>338.99799999999993</x:v>
      </x:c>
      <x:c r="N293" s="48" t="n">
        <x:v>38.63333333333333</x:v>
      </x:c>
      <x:c r="O293" s="49" t="n">
        <x:v>10</x:v>
      </x:c>
      <x:c r="P293" s="1" t="str">
        <x:v>再失敗と原板合意の統合</x:v>
      </x:c>
      <x:c r="Q293" s="49" t="n">
        <x:v>0</x:v>
      </x:c>
      <x:c r="R293" s="50" t="n">
        <x:v>0.04952991452991452</x:v>
      </x:c>
      <x:c r="S293" s="50" t="n">
        <x:v>0.04952991452991453</x:v>
      </x:c>
      <x:c r="T293" s="1" t="str">
        <x:v>ナイト</x:v>
      </x:c>
      <x:c r="U293" s="49" t="n">
        <x:v>25</x:v>
      </x:c>
    </x:row>
    <x:row r="294" ht="22" customHeight="1">
      <x:c r="A294" s="1" t="str">
        <x:v>日経mini</x:v>
      </x:c>
      <x:c r="B294" s="1" t="str">
        <x:v>J03</x:v>
      </x:c>
      <x:c r="C294" s="1" t="str">
        <x:v>全50場</x:v>
      </x:c>
      <x:c r="D294" s="47" t="n">
        <x:v>2220340</x:v>
      </x:c>
      <x:c r="E294" s="47" t="n">
        <x:v>1519735</x:v>
      </x:c>
      <x:c r="F294" s="47" t="n">
        <x:f>D294-E294</x:f>
        <x:v>700605</x:v>
      </x:c>
      <x:c r="G294" s="49" t="n">
        <x:v>14</x:v>
      </x:c>
      <x:c r="H294" s="49" t="n">
        <x:v>10</x:v>
      </x:c>
      <x:c r="I294" s="47" t="n">
        <x:v>-50021</x:v>
      </x:c>
      <x:c r="J294" s="49" t="n">
        <x:v>108</x:v>
      </x:c>
      <x:c r="K294" s="47" t="n">
        <x:v>-144763</x:v>
      </x:c>
      <x:c r="L294" s="47" t="n">
        <x:v>84312.3</x:v>
      </x:c>
      <x:c r="M294" s="48" t="n">
        <x:v>214.05208333333334</x:v>
      </x:c>
      <x:c r="N294" s="48" t="n">
        <x:v>122.21805555555555</x:v>
      </x:c>
      <x:c r="O294" s="49" t="n">
        <x:v>10</x:v>
      </x:c>
      <x:c r="P294" s="1" t="str">
        <x:v>再失敗と原板合意の統合</x:v>
      </x:c>
      <x:c r="Q294" s="49" t="n">
        <x:v>0</x:v>
      </x:c>
      <x:c r="R294" s="50" t="n">
        <x:v>0.26980794668294666</x:v>
      </x:c>
      <x:c r="S294" s="50" t="n">
        <x:v>0.1987285456187895</x:v>
      </x:c>
      <x:c r="T294" s="1" t="str">
        <x:v>上昇</x:v>
      </x:c>
      <x:c r="U294" s="49" t="n">
        <x:v>24</x:v>
      </x:c>
    </x:row>
    <x:row r="295" ht="22" customHeight="1">
      <x:c r="A295" s="1" t="str">
        <x:v>日経mini</x:v>
      </x:c>
      <x:c r="B295" s="1" t="str">
        <x:v>J03</x:v>
      </x:c>
      <x:c r="C295" s="1" t="str">
        <x:v>全50場</x:v>
      </x:c>
      <x:c r="D295" s="47" t="n">
        <x:v>3018425</x:v>
      </x:c>
      <x:c r="E295" s="47" t="n">
        <x:v>1713814</x:v>
      </x:c>
      <x:c r="F295" s="47" t="n">
        <x:f>D295-E295</x:f>
        <x:v>1304611</x:v>
      </x:c>
      <x:c r="G295" s="49" t="n">
        <x:v>15</x:v>
      </x:c>
      <x:c r="H295" s="49" t="n">
        <x:v>11</x:v>
      </x:c>
      <x:c r="I295" s="47" t="n">
        <x:v>447368</x:v>
      </x:c>
      <x:c r="J295" s="49" t="n">
        <x:v>119</x:v>
      </x:c>
      <x:c r="K295" s="47" t="n">
        <x:v>-136764</x:v>
      </x:c>
      <x:c r="L295" s="47" t="n">
        <x:v>52676.09090909091</x:v>
      </x:c>
      <x:c r="M295" s="48" t="n">
        <x:v>211.5974358974359</x:v>
      </x:c>
      <x:c r="N295" s="48" t="n">
        <x:v>130.92564102564103</x:v>
      </x:c>
      <x:c r="O295" s="49" t="n">
        <x:v>10</x:v>
      </x:c>
      <x:c r="P295" s="1" t="str">
        <x:v>再失敗と原板合意の統合</x:v>
      </x:c>
      <x:c r="Q295" s="49" t="n">
        <x:v>0</x:v>
      </x:c>
      <x:c r="R295" s="50" t="n">
        <x:v>0.2904639804639805</x:v>
      </x:c>
      <x:c r="S295" s="50" t="n">
        <x:v>0.22336395450568677</x:v>
      </x:c>
      <x:c r="T295" s="1" t="str">
        <x:v>下落</x:v>
      </x:c>
      <x:c r="U295" s="49" t="n">
        <x:v>26</x:v>
      </x:c>
    </x:row>
    <x:row r="296" ht="22" customHeight="1">
      <x:c r="A296" s="1" t="str">
        <x:v>日経mini</x:v>
      </x:c>
      <x:c r="B296" s="1" t="str">
        <x:v>J03</x:v>
      </x:c>
      <x:c r="C296" s="1" t="str">
        <x:v>対照47場</x:v>
      </x:c>
      <x:c r="D296" s="47" t="n">
        <x:v>5066686</x:v>
      </x:c>
      <x:c r="E296" s="47" t="n">
        <x:v>3064169</x:v>
      </x:c>
      <x:c r="F296" s="47" t="n">
        <x:f>D296-E296</x:f>
        <x:v>2002517</x:v>
      </x:c>
      <x:c r="G296" s="49" t="n">
        <x:v>27</x:v>
      </x:c>
      <x:c r="H296" s="49" t="n">
        <x:v>20</x:v>
      </x:c>
      <x:c r="I296" s="47" t="n">
        <x:v>1005196</x:v>
      </x:c>
      <x:c r="J296" s="49" t="n">
        <x:v>218</x:v>
      </x:c>
      <x:c r="K296" s="47" t="n">
        <x:v>-144763</x:v>
      </x:c>
      <x:c r="L296" s="47" t="n">
        <x:v>68335.85</x:v>
      </x:c>
      <x:c r="M296" s="48" t="n">
        <x:v>208.99503546099285</x:v>
      </x:c>
      <x:c r="N296" s="48" t="n">
        <x:v>129.04609929078012</x:v>
      </x:c>
      <x:c r="O296" s="49" t="n">
        <x:v>10</x:v>
      </x:c>
      <x:c r="P296" s="1" t="str">
        <x:v>再失敗と原板合意の統合</x:v>
      </x:c>
      <x:c r="Q296" s="49" t="n">
        <x:v>0</x:v>
      </x:c>
      <x:c r="R296" s="50" t="n">
        <x:v>0.2859405606214117</x:v>
      </x:c>
      <x:c r="S296" s="50" t="n">
        <x:v>0.2164584820366405</x:v>
      </x:c>
      <x:c r="T296" s="1" t="str">
        <x:v>全場</x:v>
      </x:c>
      <x:c r="U296" s="49" t="n">
        <x:v>47</x:v>
      </x:c>
    </x:row>
    <x:row r="297" ht="22" customHeight="1">
      <x:c r="A297" s="1" t="str">
        <x:v>日経mini</x:v>
      </x:c>
      <x:c r="B297" s="1" t="str">
        <x:v>J03</x:v>
      </x:c>
      <x:c r="C297" s="1" t="str">
        <x:v>対照47場</x:v>
      </x:c>
      <x:c r="D297" s="47" t="n">
        <x:v>3304193</x:v>
      </x:c>
      <x:c r="E297" s="47" t="n">
        <x:v>2041876</x:v>
      </x:c>
      <x:c r="F297" s="47" t="n">
        <x:f>D297-E297</x:f>
        <x:v>1262317</x:v>
      </x:c>
      <x:c r="G297" s="49" t="n">
        <x:v>14</x:v>
      </x:c>
      <x:c r="H297" s="49" t="n">
        <x:v>10</x:v>
      </x:c>
      <x:c r="I297" s="47" t="n">
        <x:v>393767</x:v>
      </x:c>
      <x:c r="J297" s="49" t="n">
        <x:v>136</x:v>
      </x:c>
      <x:c r="K297" s="47" t="n">
        <x:v>-144763</x:v>
      </x:c>
      <x:c r="L297" s="47" t="n">
        <x:v>71026.7</x:v>
      </x:c>
      <x:c r="M297" s="48" t="n">
        <x:v>86.19722222222224</x:v>
      </x:c>
      <x:c r="N297" s="48" t="n">
        <x:v>214.73541666666665</x:v>
      </x:c>
      <x:c r="O297" s="49" t="n">
        <x:v>10</x:v>
      </x:c>
      <x:c r="P297" s="1" t="str">
        <x:v>再失敗と原板合意の統合</x:v>
      </x:c>
      <x:c r="Q297" s="49" t="n">
        <x:v>0</x:v>
      </x:c>
      <x:c r="R297" s="50" t="n">
        <x:v>0.5112748015873015</x:v>
      </x:c>
      <x:c r="S297" s="50" t="n">
        <x:v>0.5112748015873015</x:v>
      </x:c>
      <x:c r="T297" s="1" t="str">
        <x:v>デイ</x:v>
      </x:c>
      <x:c r="U297" s="49" t="n">
        <x:v>24</x:v>
      </x:c>
    </x:row>
    <x:row r="298" ht="22" customHeight="1">
      <x:c r="A298" s="1" t="str">
        <x:v>日経mini</x:v>
      </x:c>
      <x:c r="B298" s="1" t="str">
        <x:v>J03</x:v>
      </x:c>
      <x:c r="C298" s="1" t="str">
        <x:v>対照47場</x:v>
      </x:c>
      <x:c r="D298" s="47" t="n">
        <x:v>1762493</x:v>
      </x:c>
      <x:c r="E298" s="47" t="n">
        <x:v>1022293</x:v>
      </x:c>
      <x:c r="F298" s="47" t="n">
        <x:f>D298-E298</x:f>
        <x:v>740200</x:v>
      </x:c>
      <x:c r="G298" s="49" t="n">
        <x:v>13</x:v>
      </x:c>
      <x:c r="H298" s="49" t="n">
        <x:v>10</x:v>
      </x:c>
      <x:c r="I298" s="47" t="n">
        <x:v>45422</x:v>
      </x:c>
      <x:c r="J298" s="49" t="n">
        <x:v>82</x:v>
      </x:c>
      <x:c r="K298" s="47" t="n">
        <x:v>-141152</x:v>
      </x:c>
      <x:c r="L298" s="47" t="n">
        <x:v>65645</x:v>
      </x:c>
      <x:c r="M298" s="48" t="n">
        <x:v>337.13188405797104</x:v>
      </x:c>
      <x:c r="N298" s="48" t="n">
        <x:v>39.631159420289855</x:v>
      </x:c>
      <x:c r="O298" s="49" t="n">
        <x:v>10</x:v>
      </x:c>
      <x:c r="P298" s="1" t="str">
        <x:v>再失敗と原板合意の統合</x:v>
      </x:c>
      <x:c r="Q298" s="49" t="n">
        <x:v>0</x:v>
      </x:c>
      <x:c r="R298" s="50" t="n">
        <x:v>0.05080917874396135</x:v>
      </x:c>
      <x:c r="S298" s="50" t="n">
        <x:v>0.050809178743961354</x:v>
      </x:c>
      <x:c r="T298" s="1" t="str">
        <x:v>ナイト</x:v>
      </x:c>
      <x:c r="U298" s="49" t="n">
        <x:v>23</x:v>
      </x:c>
    </x:row>
    <x:row r="299" ht="22" customHeight="1">
      <x:c r="A299" s="1" t="str">
        <x:v>日経mini</x:v>
      </x:c>
      <x:c r="B299" s="1" t="str">
        <x:v>J03</x:v>
      </x:c>
      <x:c r="C299" s="1" t="str">
        <x:v>対照47場</x:v>
      </x:c>
      <x:c r="D299" s="47" t="n">
        <x:v>2152877</x:v>
      </x:c>
      <x:c r="E299" s="47" t="n">
        <x:v>1415892</x:v>
      </x:c>
      <x:c r="F299" s="47" t="n">
        <x:f>D299-E299</x:f>
        <x:v>736985</x:v>
      </x:c>
      <x:c r="G299" s="49" t="n">
        <x:v>13</x:v>
      </x:c>
      <x:c r="H299" s="49" t="n">
        <x:v>9</x:v>
      </x:c>
      <x:c r="I299" s="47" t="n">
        <x:v>-13641</x:v>
      </x:c>
      <x:c r="J299" s="49" t="n">
        <x:v>102</x:v>
      </x:c>
      <x:c r="K299" s="47" t="n">
        <x:v>-144763</x:v>
      </x:c>
      <x:c r="L299" s="47" t="n">
        <x:v>87475.55555555556</x:v>
      </x:c>
      <x:c r="M299" s="48" t="n">
        <x:v>212.82348484848487</x:v>
      </x:c>
      <x:c r="N299" s="48" t="n">
        <x:v>122.4469696969697</x:v>
      </x:c>
      <x:c r="O299" s="49" t="n">
        <x:v>10</x:v>
      </x:c>
      <x:c r="P299" s="1" t="str">
        <x:v>再失敗と原板合意の統合</x:v>
      </x:c>
      <x:c r="Q299" s="49" t="n">
        <x:v>0</x:v>
      </x:c>
      <x:c r="R299" s="50" t="n">
        <x:v>0.2695049395049395</x:v>
      </x:c>
      <x:c r="S299" s="50" t="n">
        <x:v>0.19866027531956737</x:v>
      </x:c>
      <x:c r="T299" s="1" t="str">
        <x:v>上昇</x:v>
      </x:c>
      <x:c r="U299" s="49" t="n">
        <x:v>22</x:v>
      </x:c>
    </x:row>
    <x:row r="300" ht="22" customHeight="1">
      <x:c r="A300" s="1" t="str">
        <x:v>日経mini</x:v>
      </x:c>
      <x:c r="B300" s="1" t="str">
        <x:v>J03</x:v>
      </x:c>
      <x:c r="C300" s="1" t="str">
        <x:v>対照47場</x:v>
      </x:c>
      <x:c r="D300" s="47" t="n">
        <x:v>2913809</x:v>
      </x:c>
      <x:c r="E300" s="47" t="n">
        <x:v>1648277</x:v>
      </x:c>
      <x:c r="F300" s="47" t="n">
        <x:f>D300-E300</x:f>
        <x:v>1265532</x:v>
      </x:c>
      <x:c r="G300" s="49" t="n">
        <x:v>14</x:v>
      </x:c>
      <x:c r="H300" s="49" t="n">
        <x:v>11</x:v>
      </x:c>
      <x:c r="I300" s="47" t="n">
        <x:v>408289</x:v>
      </x:c>
      <x:c r="J300" s="49" t="n">
        <x:v>116</x:v>
      </x:c>
      <x:c r="K300" s="47" t="n">
        <x:v>-136764</x:v>
      </x:c>
      <x:c r="L300" s="47" t="n">
        <x:v>52676.09090909091</x:v>
      </x:c>
      <x:c r="M300" s="48" t="n">
        <x:v>205.62600000000003</x:v>
      </x:c>
      <x:c r="N300" s="48" t="n">
        <x:v>134.85333333333335</x:v>
      </x:c>
      <x:c r="O300" s="49" t="n">
        <x:v>10</x:v>
      </x:c>
      <x:c r="P300" s="1" t="str">
        <x:v>再失敗と原板合意の統合</x:v>
      </x:c>
      <x:c r="Q300" s="49" t="n">
        <x:v>0</x:v>
      </x:c>
      <x:c r="R300" s="50" t="n">
        <x:v>0.3004039072039072</x:v>
      </x:c>
      <x:c r="S300" s="50" t="n">
        <x:v>0.23314891655140618</x:v>
      </x:c>
      <x:c r="T300" s="1" t="str">
        <x:v>下落</x:v>
      </x:c>
      <x:c r="U300" s="49" t="n">
        <x:v>25</x:v>
      </x:c>
    </x:row>
    <x:row r="301" ht="22" customHeight="1">
      <x:c r="A301" s="1" t="str">
        <x:v>日経mini</x:v>
      </x:c>
      <x:c r="B301" s="1" t="str">
        <x:v>J03</x:v>
      </x:c>
      <x:c r="C301" s="1" t="str">
        <x:v>診断3場</x:v>
      </x:c>
      <x:c r="D301" s="47" t="n">
        <x:v>172079</x:v>
      </x:c>
      <x:c r="E301" s="47" t="n">
        <x:v>169380</x:v>
      </x:c>
      <x:c r="F301" s="47" t="n">
        <x:f>D301-E301</x:f>
        <x:v>2699</x:v>
      </x:c>
      <x:c r="G301" s="49" t="n">
        <x:v>2</x:v>
      </x:c>
      <x:c r="H301" s="49" t="n">
        <x:v>1</x:v>
      </x:c>
      <x:c r="I301" s="47" t="n">
        <x:v>-55843</x:v>
      </x:c>
      <x:c r="J301" s="49" t="n">
        <x:v>9</x:v>
      </x:c>
      <x:c r="K301" s="47" t="n">
        <x:v>-55843</x:v>
      </x:c>
      <x:c r="L301" s="47" t="n">
        <x:v>55843</x:v>
      </x:c>
      <x:c r="M301" s="48" t="n">
        <x:v>272.00555555555553</x:v>
      </x:c>
      <x:c r="N301" s="48" t="n">
        <x:v>90.71111111111111</x:v>
      </x:c>
      <x:c r="O301" s="49" t="n">
        <x:v>5</x:v>
      </x:c>
      <x:c r="P301" s="1" t="str">
        <x:v>再失敗と原板合意の統合</x:v>
      </x:c>
      <x:c r="Q301" s="49" t="n">
        <x:v>0</x:v>
      </x:c>
      <x:c r="R301" s="50" t="n">
        <x:v>0.1960826210826211</x:v>
      </x:c>
      <x:c r="S301" s="50" t="n">
        <x:v>0.13744107744107745</x:v>
      </x:c>
      <x:c r="T301" s="1" t="str">
        <x:v>全場</x:v>
      </x:c>
      <x:c r="U301" s="49" t="n">
        <x:v>3</x:v>
      </x:c>
    </x:row>
    <x:row r="302" ht="22" customHeight="1">
      <x:c r="A302" s="1" t="str">
        <x:v>日経mini</x:v>
      </x:c>
      <x:c r="B302" s="1" t="str">
        <x:v>J03</x:v>
      </x:c>
      <x:c r="C302" s="1" t="str">
        <x:v>診断3場</x:v>
      </x:c>
      <x:c r="D302" s="47" t="n">
        <x:v>32847</x:v>
      </x:c>
      <x:c r="E302" s="47" t="n">
        <x:v>88690</x:v>
      </x:c>
      <x:c r="F302" s="47" t="n">
        <x:f>D302-E302</x:f>
        <x:v>-55843</x:v>
      </x:c>
      <x:c r="G302" s="49" t="n">
        <x:v>0</x:v>
      </x:c>
      <x:c r="H302" s="49" t="n">
        <x:v>1</x:v>
      </x:c>
      <x:c r="I302" s="47" t="n">
        <x:v>-55843</x:v>
      </x:c>
      <x:c r="J302" s="49" t="n">
        <x:v>4</x:v>
      </x:c>
      <x:c r="K302" s="47" t="n">
        <x:v>-55843</x:v>
      </x:c>
      <x:c r="L302" s="47" t="n">
        <x:v>55843</x:v>
      </x:c>
      <x:c r="M302" s="48" t="n">
        <x:v>95.1</x:v>
      </x:c>
      <x:c r="N302" s="48" t="n">
        <x:v>217.81666666666666</x:v>
      </x:c>
      <x:c r="O302" s="49" t="n">
        <x:v>5</x:v>
      </x:c>
      <x:c r="P302" s="1" t="str">
        <x:v>再失敗と原板合意の統合</x:v>
      </x:c>
      <x:c r="Q302" s="49" t="n">
        <x:v>0</x:v>
      </x:c>
      <x:c r="R302" s="50" t="n">
        <x:v>0.5186111111111111</x:v>
      </x:c>
      <x:c r="S302" s="50" t="n">
        <x:v>0.5186111111111111</x:v>
      </x:c>
      <x:c r="T302" s="1" t="str">
        <x:v>デイ</x:v>
      </x:c>
      <x:c r="U302" s="49" t="n">
        <x:v>1</x:v>
      </x:c>
    </x:row>
    <x:row r="303" ht="22" customHeight="1">
      <x:c r="A303" s="1" t="str">
        <x:v>日経mini</x:v>
      </x:c>
      <x:c r="B303" s="1" t="str">
        <x:v>J03</x:v>
      </x:c>
      <x:c r="C303" s="1" t="str">
        <x:v>診断3場</x:v>
      </x:c>
      <x:c r="D303" s="47" t="n">
        <x:v>139232</x:v>
      </x:c>
      <x:c r="E303" s="47" t="n">
        <x:v>80690</x:v>
      </x:c>
      <x:c r="F303" s="47" t="n">
        <x:f>D303-E303</x:f>
        <x:v>58542</x:v>
      </x:c>
      <x:c r="G303" s="49" t="n">
        <x:v>2</x:v>
      </x:c>
      <x:c r="H303" s="49" t="n">
        <x:v>0</x:v>
      </x:c>
      <x:c r="I303" s="47" t="n">
        <x:v>0</x:v>
      </x:c>
      <x:c r="J303" s="49" t="n">
        <x:v>5</x:v>
      </x:c>
      <x:c r="K303" s="47" t="n">
        <x:v>19463</x:v>
      </x:c>
      <x:c r="L303" s="47" t="n">
        <x:v>0</x:v>
      </x:c>
      <x:c r="M303" s="48" t="n">
        <x:v>360.45833333333337</x:v>
      </x:c>
      <x:c r="N303" s="48" t="n">
        <x:v>27.15833333333333</x:v>
      </x:c>
      <x:c r="O303" s="49" t="n">
        <x:v>5</x:v>
      </x:c>
      <x:c r="P303" s="1" t="str">
        <x:v>再失敗と原板合意の統合</x:v>
      </x:c>
      <x:c r="Q303" s="49" t="n">
        <x:v>0</x:v>
      </x:c>
      <x:c r="R303" s="50" t="n">
        <x:v>0.03481837606837607</x:v>
      </x:c>
      <x:c r="S303" s="50" t="n">
        <x:v>0.03481837606837607</x:v>
      </x:c>
      <x:c r="T303" s="1" t="str">
        <x:v>ナイト</x:v>
      </x:c>
      <x:c r="U303" s="49" t="n">
        <x:v>2</x:v>
      </x:c>
    </x:row>
    <x:row r="304" ht="22" customHeight="1">
      <x:c r="A304" s="1" t="str">
        <x:v>日経mini</x:v>
      </x:c>
      <x:c r="B304" s="1" t="str">
        <x:v>J03</x:v>
      </x:c>
      <x:c r="C304" s="1" t="str">
        <x:v>診断3場</x:v>
      </x:c>
      <x:c r="D304" s="47" t="n">
        <x:v>67463</x:v>
      </x:c>
      <x:c r="E304" s="47" t="n">
        <x:v>103843</x:v>
      </x:c>
      <x:c r="F304" s="47" t="n">
        <x:f>D304-E304</x:f>
        <x:v>-36380</x:v>
      </x:c>
      <x:c r="G304" s="49" t="n">
        <x:v>1</x:v>
      </x:c>
      <x:c r="H304" s="49" t="n">
        <x:v>1</x:v>
      </x:c>
      <x:c r="I304" s="47" t="n">
        <x:v>-55843</x:v>
      </x:c>
      <x:c r="J304" s="49" t="n">
        <x:v>6</x:v>
      </x:c>
      <x:c r="K304" s="47" t="n">
        <x:v>-55843</x:v>
      </x:c>
      <x:c r="L304" s="47" t="n">
        <x:v>55843</x:v>
      </x:c>
      <x:c r="M304" s="48" t="n">
        <x:v>227.56666666666666</x:v>
      </x:c>
      <x:c r="N304" s="48" t="n">
        <x:v>119.7</x:v>
      </x:c>
      <x:c r="O304" s="49" t="n">
        <x:v>5</x:v>
      </x:c>
      <x:c r="P304" s="1" t="str">
        <x:v>再失敗と原板合意の統合</x:v>
      </x:c>
      <x:c r="Q304" s="49" t="n">
        <x:v>0</x:v>
      </x:c>
      <x:c r="R304" s="50" t="n">
        <x:v>0.27314102564102566</x:v>
      </x:c>
      <x:c r="S304" s="50" t="n">
        <x:v>0.1995</x:v>
      </x:c>
      <x:c r="T304" s="1" t="str">
        <x:v>上昇</x:v>
      </x:c>
      <x:c r="U304" s="49" t="n">
        <x:v>2</x:v>
      </x:c>
    </x:row>
    <x:row r="305" ht="22" customHeight="1">
      <x:c r="A305" s="1" t="str">
        <x:v>日経mini</x:v>
      </x:c>
      <x:c r="B305" s="1" t="str">
        <x:v>J03</x:v>
      </x:c>
      <x:c r="C305" s="1" t="str">
        <x:v>診断3場</x:v>
      </x:c>
      <x:c r="D305" s="47" t="n">
        <x:v>104616</x:v>
      </x:c>
      <x:c r="E305" s="47" t="n">
        <x:v>65537</x:v>
      </x:c>
      <x:c r="F305" s="47" t="n">
        <x:f>D305-E305</x:f>
        <x:v>39079</x:v>
      </x:c>
      <x:c r="G305" s="49" t="n">
        <x:v>1</x:v>
      </x:c>
      <x:c r="H305" s="49" t="n">
        <x:v>0</x:v>
      </x:c>
      <x:c r="I305" s="47" t="n">
        <x:v>0</x:v>
      </x:c>
      <x:c r="J305" s="49" t="n">
        <x:v>3</x:v>
      </x:c>
      <x:c r="K305" s="47" t="n">
        <x:v>39079</x:v>
      </x:c>
      <x:c r="L305" s="47" t="n">
        <x:v>0</x:v>
      </x:c>
      <x:c r="M305" s="48" t="n">
        <x:v>360.8833333333333</x:v>
      </x:c>
      <x:c r="N305" s="48" t="n">
        <x:v>32.733333333333334</x:v>
      </x:c>
      <x:c r="O305" s="49" t="n">
        <x:v>5</x:v>
      </x:c>
      <x:c r="P305" s="1" t="str">
        <x:v>再失敗と原板合意の統合</x:v>
      </x:c>
      <x:c r="Q305" s="49" t="n">
        <x:v>0</x:v>
      </x:c>
      <x:c r="R305" s="50" t="n">
        <x:v>0.041965811965811964</x:v>
      </x:c>
      <x:c r="S305" s="50" t="n">
        <x:v>0.041965811965811964</x:v>
      </x:c>
      <x:c r="T305" s="1" t="str">
        <x:v>下落</x:v>
      </x:c>
      <x:c r="U305" s="49" t="n">
        <x:v>1</x:v>
      </x:c>
    </x:row>
    <x:row r="306" ht="22" customHeight="1">
      <x:c r="A306" s="1" t="str">
        <x:v>日経mini</x:v>
      </x:c>
      <x:c r="B306" s="1" t="str">
        <x:v>J04</x:v>
      </x:c>
      <x:c r="C306" s="1" t="str">
        <x:v>全50場</x:v>
      </x:c>
      <x:c r="D306" s="47" t="n">
        <x:v>5343854</x:v>
      </x:c>
      <x:c r="E306" s="47" t="n">
        <x:v>3124324</x:v>
      </x:c>
      <x:c r="F306" s="47" t="n">
        <x:f>D306-E306</x:f>
        <x:v>2219530</x:v>
      </x:c>
      <x:c r="G306" s="49" t="n">
        <x:v>34</x:v>
      </x:c>
      <x:c r="H306" s="49" t="n">
        <x:v>16</x:v>
      </x:c>
      <x:c r="I306" s="47" t="n">
        <x:v>1218361</x:v>
      </x:c>
      <x:c r="J306" s="49" t="n">
        <x:v>244</x:v>
      </x:c>
      <x:c r="K306" s="47" t="n">
        <x:v>-166917</x:v>
      </x:c>
      <x:c r="L306" s="47" t="n">
        <x:v>68353.0625</x:v>
      </x:c>
      <x:c r="M306" s="48" t="n">
        <x:v>211.35866666666664</x:v>
      </x:c>
      <x:c r="N306" s="48" t="n">
        <x:v>127.27766666666665</x:v>
      </x:c>
      <x:c r="O306" s="49" t="n">
        <x:v>10</x:v>
      </x:c>
      <x:c r="P306" s="1" t="str">
        <x:v>強い反証時だけ方向変更と長短管理</x:v>
      </x:c>
      <x:c r="Q306" s="49" t="n">
        <x:v>0</x:v>
      </x:c>
      <x:c r="R306" s="50" t="n">
        <x:v>0.28320763125763126</x:v>
      </x:c>
      <x:c r="S306" s="50" t="n">
        <x:v>0.21212944444444445</x:v>
      </x:c>
      <x:c r="T306" s="1" t="str">
        <x:v>全場</x:v>
      </x:c>
      <x:c r="U306" s="49" t="n">
        <x:v>50</x:v>
      </x:c>
    </x:row>
    <x:row r="307" ht="22" customHeight="1">
      <x:c r="A307" s="1" t="str">
        <x:v>日経mini</x:v>
      </x:c>
      <x:c r="B307" s="1" t="str">
        <x:v>J04</x:v>
      </x:c>
      <x:c r="C307" s="1" t="str">
        <x:v>全50場</x:v>
      </x:c>
      <x:c r="D307" s="47" t="n">
        <x:v>3402589</x:v>
      </x:c>
      <x:c r="E307" s="47" t="n">
        <x:v>2198800</x:v>
      </x:c>
      <x:c r="F307" s="47" t="n">
        <x:f>D307-E307</x:f>
        <x:v>1203789</x:v>
      </x:c>
      <x:c r="G307" s="49" t="n">
        <x:v>15</x:v>
      </x:c>
      <x:c r="H307" s="49" t="n">
        <x:v>10</x:v>
      </x:c>
      <x:c r="I307" s="47" t="n">
        <x:v>312698</x:v>
      </x:c>
      <x:c r="J307" s="49" t="n">
        <x:v>157</x:v>
      </x:c>
      <x:c r="K307" s="47" t="n">
        <x:v>-166917</x:v>
      </x:c>
      <x:c r="L307" s="47" t="n">
        <x:v>75373.2</x:v>
      </x:c>
      <x:c r="M307" s="48" t="n">
        <x:v>85.61666666666667</x:v>
      </x:c>
      <x:c r="N307" s="48" t="n">
        <x:v>218.45666666666668</x:v>
      </x:c>
      <x:c r="O307" s="49" t="n">
        <x:v>10</x:v>
      </x:c>
      <x:c r="P307" s="1" t="str">
        <x:v>強い反証時だけ方向変更と長短管理</x:v>
      </x:c>
      <x:c r="Q307" s="49" t="n">
        <x:v>0</x:v>
      </x:c>
      <x:c r="R307" s="50" t="n">
        <x:v>0.5201349206349206</x:v>
      </x:c>
      <x:c r="S307" s="50" t="n">
        <x:v>0.5201349206349206</x:v>
      </x:c>
      <x:c r="T307" s="1" t="str">
        <x:v>デイ</x:v>
      </x:c>
      <x:c r="U307" s="49" t="n">
        <x:v>25</x:v>
      </x:c>
    </x:row>
    <x:row r="308" ht="22" customHeight="1">
      <x:c r="A308" s="1" t="str">
        <x:v>日経mini</x:v>
      </x:c>
      <x:c r="B308" s="1" t="str">
        <x:v>J04</x:v>
      </x:c>
      <x:c r="C308" s="1" t="str">
        <x:v>全50場</x:v>
      </x:c>
      <x:c r="D308" s="47" t="n">
        <x:v>1941265</x:v>
      </x:c>
      <x:c r="E308" s="47" t="n">
        <x:v>925524</x:v>
      </x:c>
      <x:c r="F308" s="47" t="n">
        <x:f>D308-E308</x:f>
        <x:v>1015741</x:v>
      </x:c>
      <x:c r="G308" s="49" t="n">
        <x:v>19</x:v>
      </x:c>
      <x:c r="H308" s="49" t="n">
        <x:v>6</x:v>
      </x:c>
      <x:c r="I308" s="47" t="n">
        <x:v>353963</x:v>
      </x:c>
      <x:c r="J308" s="49" t="n">
        <x:v>87</x:v>
      </x:c>
      <x:c r="K308" s="47" t="n">
        <x:v>-121461</x:v>
      </x:c>
      <x:c r="L308" s="47" t="n">
        <x:v>56652.833333333336</x:v>
      </x:c>
      <x:c r="M308" s="48" t="n">
        <x:v>337.10066666666665</x:v>
      </x:c>
      <x:c r="N308" s="48" t="n">
        <x:v>36.098666666666674</x:v>
      </x:c>
      <x:c r="O308" s="49" t="n">
        <x:v>7</x:v>
      </x:c>
      <x:c r="P308" s="1" t="str">
        <x:v>強い反証時だけ方向変更と長短管理</x:v>
      </x:c>
      <x:c r="Q308" s="49" t="n">
        <x:v>0</x:v>
      </x:c>
      <x:c r="R308" s="50" t="n">
        <x:v>0.04628034188034188</x:v>
      </x:c>
      <x:c r="S308" s="50" t="n">
        <x:v>0.046280341880341885</x:v>
      </x:c>
      <x:c r="T308" s="1" t="str">
        <x:v>ナイト</x:v>
      </x:c>
      <x:c r="U308" s="49" t="n">
        <x:v>25</x:v>
      </x:c>
    </x:row>
    <x:row r="309" ht="22" customHeight="1">
      <x:c r="A309" s="1" t="str">
        <x:v>日経mini</x:v>
      </x:c>
      <x:c r="B309" s="1" t="str">
        <x:v>J04</x:v>
      </x:c>
      <x:c r="C309" s="1" t="str">
        <x:v>全50場</x:v>
      </x:c>
      <x:c r="D309" s="47" t="n">
        <x:v>2231887</x:v>
      </x:c>
      <x:c r="E309" s="47" t="n">
        <x:v>1547507</x:v>
      </x:c>
      <x:c r="F309" s="47" t="n">
        <x:f>D309-E309</x:f>
        <x:v>684380</x:v>
      </x:c>
      <x:c r="G309" s="49" t="n">
        <x:v>16</x:v>
      </x:c>
      <x:c r="H309" s="49" t="n">
        <x:v>8</x:v>
      </x:c>
      <x:c r="I309" s="47" t="n">
        <x:v>-23253</x:v>
      </x:c>
      <x:c r="J309" s="49" t="n">
        <x:v>122</x:v>
      </x:c>
      <x:c r="K309" s="47" t="n">
        <x:v>-166917</x:v>
      </x:c>
      <x:c r="L309" s="47" t="n">
        <x:v>87362.625</x:v>
      </x:c>
      <x:c r="M309" s="48" t="n">
        <x:v>213.61527777777778</x:v>
      </x:c>
      <x:c r="N309" s="48" t="n">
        <x:v>119.18055555555554</x:v>
      </x:c>
      <x:c r="O309" s="49" t="n">
        <x:v>10</x:v>
      </x:c>
      <x:c r="P309" s="1" t="str">
        <x:v>強い反証時だけ方向変更と長短管理</x:v>
      </x:c>
      <x:c r="Q309" s="49" t="n">
        <x:v>0</x:v>
      </x:c>
      <x:c r="R309" s="50" t="n">
        <x:v>0.2630352055352055</x:v>
      </x:c>
      <x:c r="S309" s="50" t="n">
        <x:v>0.19378952122854562</x:v>
      </x:c>
      <x:c r="T309" s="1" t="str">
        <x:v>上昇</x:v>
      </x:c>
      <x:c r="U309" s="49" t="n">
        <x:v>24</x:v>
      </x:c>
    </x:row>
    <x:row r="310" ht="22" customHeight="1">
      <x:c r="A310" s="1" t="str">
        <x:v>日経mini</x:v>
      </x:c>
      <x:c r="B310" s="1" t="str">
        <x:v>J04</x:v>
      </x:c>
      <x:c r="C310" s="1" t="str">
        <x:v>全50場</x:v>
      </x:c>
      <x:c r="D310" s="47" t="n">
        <x:v>3111967</x:v>
      </x:c>
      <x:c r="E310" s="47" t="n">
        <x:v>1576817</x:v>
      </x:c>
      <x:c r="F310" s="47" t="n">
        <x:f>D310-E310</x:f>
        <x:v>1535150</x:v>
      </x:c>
      <x:c r="G310" s="49" t="n">
        <x:v>18</x:v>
      </x:c>
      <x:c r="H310" s="49" t="n">
        <x:v>8</x:v>
      </x:c>
      <x:c r="I310" s="47" t="n">
        <x:v>644059</x:v>
      </x:c>
      <x:c r="J310" s="49" t="n">
        <x:v>122</x:v>
      </x:c>
      <x:c r="K310" s="47" t="n">
        <x:v>-114764</x:v>
      </x:c>
      <x:c r="L310" s="47" t="n">
        <x:v>49343.5</x:v>
      </x:c>
      <x:c r="M310" s="48" t="n">
        <x:v>209.27564102564105</x:v>
      </x:c>
      <x:c r="N310" s="48" t="n">
        <x:v>134.75192307692308</x:v>
      </x:c>
      <x:c r="O310" s="49" t="n">
        <x:v>10</x:v>
      </x:c>
      <x:c r="P310" s="1" t="str">
        <x:v>強い反証時だけ方向変更と長短管理</x:v>
      </x:c>
      <x:c r="Q310" s="49" t="n">
        <x:v>0</x:v>
      </x:c>
      <x:c r="R310" s="50" t="n">
        <x:v>0.30182833192448577</x:v>
      </x:c>
      <x:c r="S310" s="50" t="n">
        <x:v>0.22989173228346457</x:v>
      </x:c>
      <x:c r="T310" s="1" t="str">
        <x:v>下落</x:v>
      </x:c>
      <x:c r="U310" s="49" t="n">
        <x:v>26</x:v>
      </x:c>
    </x:row>
    <x:row r="311" ht="22" customHeight="1">
      <x:c r="A311" s="1" t="str">
        <x:v>日経mini</x:v>
      </x:c>
      <x:c r="B311" s="1" t="str">
        <x:v>J04</x:v>
      </x:c>
      <x:c r="C311" s="1" t="str">
        <x:v>対照47場</x:v>
      </x:c>
      <x:c r="D311" s="47" t="n">
        <x:v>5171775</x:v>
      </x:c>
      <x:c r="E311" s="47" t="n">
        <x:v>2954944</x:v>
      </x:c>
      <x:c r="F311" s="47" t="n">
        <x:f>D311-E311</x:f>
        <x:v>2216831</x:v>
      </x:c>
      <x:c r="G311" s="49" t="n">
        <x:v>32</x:v>
      </x:c>
      <x:c r="H311" s="49" t="n">
        <x:v>15</x:v>
      </x:c>
      <x:c r="I311" s="47" t="n">
        <x:v>1215662</x:v>
      </x:c>
      <x:c r="J311" s="49" t="n">
        <x:v>235</x:v>
      </x:c>
      <x:c r="K311" s="47" t="n">
        <x:v>-166917</x:v>
      </x:c>
      <x:c r="L311" s="47" t="n">
        <x:v>69187.06666666667</x:v>
      </x:c>
      <x:c r="M311" s="48" t="n">
        <x:v>207.50496453900706</x:v>
      </x:c>
      <x:c r="N311" s="48" t="n">
        <x:v>129.5641843971631</x:v>
      </x:c>
      <x:c r="O311" s="49" t="n">
        <x:v>10</x:v>
      </x:c>
      <x:c r="P311" s="1" t="str">
        <x:v>強い反証時だけ方向変更と長短管理</x:v>
      </x:c>
      <x:c r="Q311" s="49" t="n">
        <x:v>0</x:v>
      </x:c>
      <x:c r="R311" s="50" t="n">
        <x:v>0.28870788195256275</x:v>
      </x:c>
      <x:c r="S311" s="50" t="n">
        <x:v>0.2173275041636926</x:v>
      </x:c>
      <x:c r="T311" s="1" t="str">
        <x:v>全場</x:v>
      </x:c>
      <x:c r="U311" s="49" t="n">
        <x:v>47</x:v>
      </x:c>
    </x:row>
    <x:row r="312" ht="22" customHeight="1">
      <x:c r="A312" s="1" t="str">
        <x:v>日経mini</x:v>
      </x:c>
      <x:c r="B312" s="1" t="str">
        <x:v>J04</x:v>
      </x:c>
      <x:c r="C312" s="1" t="str">
        <x:v>対照47場</x:v>
      </x:c>
      <x:c r="D312" s="47" t="n">
        <x:v>3369742</x:v>
      </x:c>
      <x:c r="E312" s="47" t="n">
        <x:v>2110110</x:v>
      </x:c>
      <x:c r="F312" s="47" t="n">
        <x:f>D312-E312</x:f>
        <x:v>1259632</x:v>
      </x:c>
      <x:c r="G312" s="49" t="n">
        <x:v>15</x:v>
      </x:c>
      <x:c r="H312" s="49" t="n">
        <x:v>9</x:v>
      </x:c>
      <x:c r="I312" s="47" t="n">
        <x:v>368541</x:v>
      </x:c>
      <x:c r="J312" s="49" t="n">
        <x:v>153</x:v>
      </x:c>
      <x:c r="K312" s="47" t="n">
        <x:v>-166917</x:v>
      </x:c>
      <x:c r="L312" s="47" t="n">
        <x:v>77543.22222222222</x:v>
      </x:c>
      <x:c r="M312" s="48" t="n">
        <x:v>85.22152777777778</x:v>
      </x:c>
      <x:c r="N312" s="48" t="n">
        <x:v>218.48333333333335</x:v>
      </x:c>
      <x:c r="O312" s="49" t="n">
        <x:v>10</x:v>
      </x:c>
      <x:c r="P312" s="1" t="str">
        <x:v>強い反証時だけ方向変更と長短管理</x:v>
      </x:c>
      <x:c r="Q312" s="49" t="n">
        <x:v>0</x:v>
      </x:c>
      <x:c r="R312" s="50" t="n">
        <x:v>0.5201984126984126</x:v>
      </x:c>
      <x:c r="S312" s="50" t="n">
        <x:v>0.5201984126984127</x:v>
      </x:c>
      <x:c r="T312" s="1" t="str">
        <x:v>デイ</x:v>
      </x:c>
      <x:c r="U312" s="49" t="n">
        <x:v>24</x:v>
      </x:c>
    </x:row>
    <x:row r="313" ht="22" customHeight="1">
      <x:c r="A313" s="1" t="str">
        <x:v>日経mini</x:v>
      </x:c>
      <x:c r="B313" s="1" t="str">
        <x:v>J04</x:v>
      </x:c>
      <x:c r="C313" s="1" t="str">
        <x:v>対照47場</x:v>
      </x:c>
      <x:c r="D313" s="47" t="n">
        <x:v>1802033</x:v>
      </x:c>
      <x:c r="E313" s="47" t="n">
        <x:v>844834</x:v>
      </x:c>
      <x:c r="F313" s="47" t="n">
        <x:f>D313-E313</x:f>
        <x:v>957199</x:v>
      </x:c>
      <x:c r="G313" s="49" t="n">
        <x:v>17</x:v>
      </x:c>
      <x:c r="H313" s="49" t="n">
        <x:v>6</x:v>
      </x:c>
      <x:c r="I313" s="47" t="n">
        <x:v>295421</x:v>
      </x:c>
      <x:c r="J313" s="49" t="n">
        <x:v>82</x:v>
      </x:c>
      <x:c r="K313" s="47" t="n">
        <x:v>-121461</x:v>
      </x:c>
      <x:c r="L313" s="47" t="n">
        <x:v>56652.833333333336</x:v>
      </x:c>
      <x:c r="M313" s="48" t="n">
        <x:v>335.10507246376807</x:v>
      </x:c>
      <x:c r="N313" s="48" t="n">
        <x:v>36.77898550724638</x:v>
      </x:c>
      <x:c r="O313" s="49" t="n">
        <x:v>7</x:v>
      </x:c>
      <x:c r="P313" s="1" t="str">
        <x:v>強い反証時だけ方向変更と長短管理</x:v>
      </x:c>
      <x:c r="Q313" s="49" t="n">
        <x:v>0</x:v>
      </x:c>
      <x:c r="R313" s="50" t="n">
        <x:v>0.047152545522110734</x:v>
      </x:c>
      <x:c r="S313" s="50" t="n">
        <x:v>0.04715254552211074</x:v>
      </x:c>
      <x:c r="T313" s="1" t="str">
        <x:v>ナイト</x:v>
      </x:c>
      <x:c r="U313" s="49" t="n">
        <x:v>23</x:v>
      </x:c>
    </x:row>
    <x:row r="314" ht="22" customHeight="1">
      <x:c r="A314" s="1" t="str">
        <x:v>日経mini</x:v>
      </x:c>
      <x:c r="B314" s="1" t="str">
        <x:v>J04</x:v>
      </x:c>
      <x:c r="C314" s="1" t="str">
        <x:v>対照47場</x:v>
      </x:c>
      <x:c r="D314" s="47" t="n">
        <x:v>2164424</x:v>
      </x:c>
      <x:c r="E314" s="47" t="n">
        <x:v>1443664</x:v>
      </x:c>
      <x:c r="F314" s="47" t="n">
        <x:f>D314-E314</x:f>
        <x:v>720760</x:v>
      </x:c>
      <x:c r="G314" s="49" t="n">
        <x:v>15</x:v>
      </x:c>
      <x:c r="H314" s="49" t="n">
        <x:v>7</x:v>
      </x:c>
      <x:c r="I314" s="47" t="n">
        <x:v>13127</x:v>
      </x:c>
      <x:c r="J314" s="49" t="n">
        <x:v>116</x:v>
      </x:c>
      <x:c r="K314" s="47" t="n">
        <x:v>-166917</x:v>
      </x:c>
      <x:c r="L314" s="47" t="n">
        <x:v>91865.42857142857</x:v>
      </x:c>
      <x:c r="M314" s="48" t="n">
        <x:v>212.3469696969697</x:v>
      </x:c>
      <x:c r="N314" s="48" t="n">
        <x:v>119.13333333333334</x:v>
      </x:c>
      <x:c r="O314" s="49" t="n">
        <x:v>10</x:v>
      </x:c>
      <x:c r="P314" s="1" t="str">
        <x:v>強い反証時だけ方向変更と長短管理</x:v>
      </x:c>
      <x:c r="Q314" s="49" t="n">
        <x:v>0</x:v>
      </x:c>
      <x:c r="R314" s="50" t="n">
        <x:v>0.2621164946164946</x:v>
      </x:c>
      <x:c r="S314" s="50" t="n">
        <x:v>0.1932841691248771</x:v>
      </x:c>
      <x:c r="T314" s="1" t="str">
        <x:v>上昇</x:v>
      </x:c>
      <x:c r="U314" s="49" t="n">
        <x:v>22</x:v>
      </x:c>
    </x:row>
    <x:row r="315" ht="22" customHeight="1">
      <x:c r="A315" s="1" t="str">
        <x:v>日経mini</x:v>
      </x:c>
      <x:c r="B315" s="1" t="str">
        <x:v>J04</x:v>
      </x:c>
      <x:c r="C315" s="1" t="str">
        <x:v>対照47場</x:v>
      </x:c>
      <x:c r="D315" s="47" t="n">
        <x:v>3007351</x:v>
      </x:c>
      <x:c r="E315" s="47" t="n">
        <x:v>1511280</x:v>
      </x:c>
      <x:c r="F315" s="47" t="n">
        <x:f>D315-E315</x:f>
        <x:v>1496071</x:v>
      </x:c>
      <x:c r="G315" s="49" t="n">
        <x:v>17</x:v>
      </x:c>
      <x:c r="H315" s="49" t="n">
        <x:v>8</x:v>
      </x:c>
      <x:c r="I315" s="47" t="n">
        <x:v>604980</x:v>
      </x:c>
      <x:c r="J315" s="49" t="n">
        <x:v>119</x:v>
      </x:c>
      <x:c r="K315" s="47" t="n">
        <x:v>-114764</x:v>
      </x:c>
      <x:c r="L315" s="47" t="n">
        <x:v>49343.5</x:v>
      </x:c>
      <x:c r="M315" s="48" t="n">
        <x:v>203.24400000000003</x:v>
      </x:c>
      <x:c r="N315" s="48" t="n">
        <x:v>138.74333333333334</x:v>
      </x:c>
      <x:c r="O315" s="49" t="n">
        <x:v>10</x:v>
      </x:c>
      <x:c r="P315" s="1" t="str">
        <x:v>強い反証時だけ方向変更と長短管理</x:v>
      </x:c>
      <x:c r="Q315" s="49" t="n">
        <x:v>0</x:v>
      </x:c>
      <x:c r="R315" s="50" t="n">
        <x:v>0.3121083028083028</x:v>
      </x:c>
      <x:c r="S315" s="50" t="n">
        <x:v>0.23987436606731213</x:v>
      </x:c>
      <x:c r="T315" s="1" t="str">
        <x:v>下落</x:v>
      </x:c>
      <x:c r="U315" s="49" t="n">
        <x:v>25</x:v>
      </x:c>
    </x:row>
    <x:row r="316" ht="22" customHeight="1">
      <x:c r="A316" s="1" t="str">
        <x:v>日経mini</x:v>
      </x:c>
      <x:c r="B316" s="1" t="str">
        <x:v>J04</x:v>
      </x:c>
      <x:c r="C316" s="1" t="str">
        <x:v>診断3場</x:v>
      </x:c>
      <x:c r="D316" s="47" t="n">
        <x:v>172079</x:v>
      </x:c>
      <x:c r="E316" s="47" t="n">
        <x:v>169380</x:v>
      </x:c>
      <x:c r="F316" s="47" t="n">
        <x:f>D316-E316</x:f>
        <x:v>2699</x:v>
      </x:c>
      <x:c r="G316" s="49" t="n">
        <x:v>2</x:v>
      </x:c>
      <x:c r="H316" s="49" t="n">
        <x:v>1</x:v>
      </x:c>
      <x:c r="I316" s="47" t="n">
        <x:v>-55843</x:v>
      </x:c>
      <x:c r="J316" s="49" t="n">
        <x:v>9</x:v>
      </x:c>
      <x:c r="K316" s="47" t="n">
        <x:v>-55843</x:v>
      </x:c>
      <x:c r="L316" s="47" t="n">
        <x:v>55843</x:v>
      </x:c>
      <x:c r="M316" s="48" t="n">
        <x:v>271.73333333333335</x:v>
      </x:c>
      <x:c r="N316" s="48" t="n">
        <x:v>91.45555555555556</x:v>
      </x:c>
      <x:c r="O316" s="49" t="n">
        <x:v>5</x:v>
      </x:c>
      <x:c r="P316" s="1" t="str">
        <x:v>強い反証時だけ方向変更と長短管理</x:v>
      </x:c>
      <x:c r="Q316" s="49" t="n">
        <x:v>0</x:v>
      </x:c>
      <x:c r="R316" s="50" t="n">
        <x:v>0.19703703703703704</x:v>
      </x:c>
      <x:c r="S316" s="50" t="n">
        <x:v>0.13856902356902356</x:v>
      </x:c>
      <x:c r="T316" s="1" t="str">
        <x:v>全場</x:v>
      </x:c>
      <x:c r="U316" s="49" t="n">
        <x:v>3</x:v>
      </x:c>
    </x:row>
    <x:row r="317" ht="22" customHeight="1">
      <x:c r="A317" s="1" t="str">
        <x:v>日経mini</x:v>
      </x:c>
      <x:c r="B317" s="1" t="str">
        <x:v>J04</x:v>
      </x:c>
      <x:c r="C317" s="1" t="str">
        <x:v>診断3場</x:v>
      </x:c>
      <x:c r="D317" s="47" t="n">
        <x:v>32847</x:v>
      </x:c>
      <x:c r="E317" s="47" t="n">
        <x:v>88690</x:v>
      </x:c>
      <x:c r="F317" s="47" t="n">
        <x:f>D317-E317</x:f>
        <x:v>-55843</x:v>
      </x:c>
      <x:c r="G317" s="49" t="n">
        <x:v>0</x:v>
      </x:c>
      <x:c r="H317" s="49" t="n">
        <x:v>1</x:v>
      </x:c>
      <x:c r="I317" s="47" t="n">
        <x:v>-55843</x:v>
      </x:c>
      <x:c r="J317" s="49" t="n">
        <x:v>4</x:v>
      </x:c>
      <x:c r="K317" s="47" t="n">
        <x:v>-55843</x:v>
      </x:c>
      <x:c r="L317" s="47" t="n">
        <x:v>55843</x:v>
      </x:c>
      <x:c r="M317" s="48" t="n">
        <x:v>95.1</x:v>
      </x:c>
      <x:c r="N317" s="48" t="n">
        <x:v>217.81666666666666</x:v>
      </x:c>
      <x:c r="O317" s="49" t="n">
        <x:v>5</x:v>
      </x:c>
      <x:c r="P317" s="1" t="str">
        <x:v>強い反証時だけ方向変更と長短管理</x:v>
      </x:c>
      <x:c r="Q317" s="49" t="n">
        <x:v>0</x:v>
      </x:c>
      <x:c r="R317" s="50" t="n">
        <x:v>0.5186111111111111</x:v>
      </x:c>
      <x:c r="S317" s="50" t="n">
        <x:v>0.5186111111111111</x:v>
      </x:c>
      <x:c r="T317" s="1" t="str">
        <x:v>デイ</x:v>
      </x:c>
      <x:c r="U317" s="49" t="n">
        <x:v>1</x:v>
      </x:c>
    </x:row>
    <x:row r="318" ht="22" customHeight="1">
      <x:c r="A318" s="1" t="str">
        <x:v>日経mini</x:v>
      </x:c>
      <x:c r="B318" s="1" t="str">
        <x:v>J04</x:v>
      </x:c>
      <x:c r="C318" s="1" t="str">
        <x:v>診断3場</x:v>
      </x:c>
      <x:c r="D318" s="47" t="n">
        <x:v>139232</x:v>
      </x:c>
      <x:c r="E318" s="47" t="n">
        <x:v>80690</x:v>
      </x:c>
      <x:c r="F318" s="47" t="n">
        <x:f>D318-E318</x:f>
        <x:v>58542</x:v>
      </x:c>
      <x:c r="G318" s="49" t="n">
        <x:v>2</x:v>
      </x:c>
      <x:c r="H318" s="49" t="n">
        <x:v>0</x:v>
      </x:c>
      <x:c r="I318" s="47" t="n">
        <x:v>0</x:v>
      </x:c>
      <x:c r="J318" s="49" t="n">
        <x:v>5</x:v>
      </x:c>
      <x:c r="K318" s="47" t="n">
        <x:v>19463</x:v>
      </x:c>
      <x:c r="L318" s="47" t="n">
        <x:v>0</x:v>
      </x:c>
      <x:c r="M318" s="48" t="n">
        <x:v>360.05</x:v>
      </x:c>
      <x:c r="N318" s="48" t="n">
        <x:v>28.275</x:v>
      </x:c>
      <x:c r="O318" s="49" t="n">
        <x:v>5</x:v>
      </x:c>
      <x:c r="P318" s="1" t="str">
        <x:v>強い反証時だけ方向変更と長短管理</x:v>
      </x:c>
      <x:c r="Q318" s="49" t="n">
        <x:v>0</x:v>
      </x:c>
      <x:c r="R318" s="50" t="n">
        <x:v>0.036250000000000004</x:v>
      </x:c>
      <x:c r="S318" s="50" t="n">
        <x:v>0.03625</x:v>
      </x:c>
      <x:c r="T318" s="1" t="str">
        <x:v>ナイト</x:v>
      </x:c>
      <x:c r="U318" s="49" t="n">
        <x:v>2</x:v>
      </x:c>
    </x:row>
    <x:row r="319" ht="22" customHeight="1">
      <x:c r="A319" s="1" t="str">
        <x:v>日経mini</x:v>
      </x:c>
      <x:c r="B319" s="1" t="str">
        <x:v>J04</x:v>
      </x:c>
      <x:c r="C319" s="1" t="str">
        <x:v>診断3場</x:v>
      </x:c>
      <x:c r="D319" s="47" t="n">
        <x:v>67463</x:v>
      </x:c>
      <x:c r="E319" s="47" t="n">
        <x:v>103843</x:v>
      </x:c>
      <x:c r="F319" s="47" t="n">
        <x:f>D319-E319</x:f>
        <x:v>-36380</x:v>
      </x:c>
      <x:c r="G319" s="49" t="n">
        <x:v>1</x:v>
      </x:c>
      <x:c r="H319" s="49" t="n">
        <x:v>1</x:v>
      </x:c>
      <x:c r="I319" s="47" t="n">
        <x:v>-55843</x:v>
      </x:c>
      <x:c r="J319" s="49" t="n">
        <x:v>6</x:v>
      </x:c>
      <x:c r="K319" s="47" t="n">
        <x:v>-55843</x:v>
      </x:c>
      <x:c r="L319" s="47" t="n">
        <x:v>55843</x:v>
      </x:c>
      <x:c r="M319" s="48" t="n">
        <x:v>227.56666666666666</x:v>
      </x:c>
      <x:c r="N319" s="48" t="n">
        <x:v>119.7</x:v>
      </x:c>
      <x:c r="O319" s="49" t="n">
        <x:v>5</x:v>
      </x:c>
      <x:c r="P319" s="1" t="str">
        <x:v>強い反証時だけ方向変更と長短管理</x:v>
      </x:c>
      <x:c r="Q319" s="49" t="n">
        <x:v>0</x:v>
      </x:c>
      <x:c r="R319" s="50" t="n">
        <x:v>0.27314102564102566</x:v>
      </x:c>
      <x:c r="S319" s="50" t="n">
        <x:v>0.1995</x:v>
      </x:c>
      <x:c r="T319" s="1" t="str">
        <x:v>上昇</x:v>
      </x:c>
      <x:c r="U319" s="49" t="n">
        <x:v>2</x:v>
      </x:c>
    </x:row>
    <x:row r="320" ht="22" customHeight="1">
      <x:c r="A320" s="1" t="str">
        <x:v>日経mini</x:v>
      </x:c>
      <x:c r="B320" s="1" t="str">
        <x:v>J04</x:v>
      </x:c>
      <x:c r="C320" s="1" t="str">
        <x:v>診断3場</x:v>
      </x:c>
      <x:c r="D320" s="47" t="n">
        <x:v>104616</x:v>
      </x:c>
      <x:c r="E320" s="47" t="n">
        <x:v>65537</x:v>
      </x:c>
      <x:c r="F320" s="47" t="n">
        <x:f>D320-E320</x:f>
        <x:v>39079</x:v>
      </x:c>
      <x:c r="G320" s="49" t="n">
        <x:v>1</x:v>
      </x:c>
      <x:c r="H320" s="49" t="n">
        <x:v>0</x:v>
      </x:c>
      <x:c r="I320" s="47" t="n">
        <x:v>0</x:v>
      </x:c>
      <x:c r="J320" s="49" t="n">
        <x:v>3</x:v>
      </x:c>
      <x:c r="K320" s="47" t="n">
        <x:v>39079</x:v>
      </x:c>
      <x:c r="L320" s="47" t="n">
        <x:v>0</x:v>
      </x:c>
      <x:c r="M320" s="48" t="n">
        <x:v>360.06666666666666</x:v>
      </x:c>
      <x:c r="N320" s="48" t="n">
        <x:v>34.96666666666667</x:v>
      </x:c>
      <x:c r="O320" s="49" t="n">
        <x:v>5</x:v>
      </x:c>
      <x:c r="P320" s="1" t="str">
        <x:v>強い反証時だけ方向変更と長短管理</x:v>
      </x:c>
      <x:c r="Q320" s="49" t="n">
        <x:v>0</x:v>
      </x:c>
      <x:c r="R320" s="50" t="n">
        <x:v>0.04482905982905983</x:v>
      </x:c>
      <x:c r="S320" s="50" t="n">
        <x:v>0.04482905982905983</x:v>
      </x:c>
      <x:c r="T320" s="1" t="str">
        <x:v>下落</x:v>
      </x:c>
      <x:c r="U320" s="49" t="n">
        <x:v>1</x:v>
      </x:c>
    </x:row>
    <x:row r="321" ht="22" customHeight="1">
      <x:c r="A321" s="1" t="str">
        <x:v>日経mini</x:v>
      </x:c>
      <x:c r="B321" s="1" t="str">
        <x:v>J05</x:v>
      </x:c>
      <x:c r="C321" s="1" t="str">
        <x:v>全50場</x:v>
      </x:c>
      <x:c r="D321" s="47" t="n">
        <x:v>5343854</x:v>
      </x:c>
      <x:c r="E321" s="47" t="n">
        <x:v>3152324</x:v>
      </x:c>
      <x:c r="F321" s="47" t="n">
        <x:f>D321-E321</x:f>
        <x:v>2191530</x:v>
      </x:c>
      <x:c r="G321" s="49" t="n">
        <x:v>34</x:v>
      </x:c>
      <x:c r="H321" s="49" t="n">
        <x:v>16</x:v>
      </x:c>
      <x:c r="I321" s="47" t="n">
        <x:v>1190361</x:v>
      </x:c>
      <x:c r="J321" s="49" t="n">
        <x:v>244</x:v>
      </x:c>
      <x:c r="K321" s="47" t="n">
        <x:v>-166917</x:v>
      </x:c>
      <x:c r="L321" s="47" t="n">
        <x:v>68353.0625</x:v>
      </x:c>
      <x:c r="M321" s="48" t="n">
        <x:v>211.35866666666664</x:v>
      </x:c>
      <x:c r="N321" s="48" t="n">
        <x:v>127.58966666666666</x:v>
      </x:c>
      <x:c r="O321" s="49" t="n">
        <x:v>10</x:v>
      </x:c>
      <x:c r="P321" s="1" t="str">
        <x:v>強い反証時だけ方向変更と元の追尾</x:v>
      </x:c>
      <x:c r="Q321" s="49" t="n">
        <x:v>0</x:v>
      </x:c>
      <x:c r="R321" s="50" t="n">
        <x:v>0.2836076312576313</x:v>
      </x:c>
      <x:c r="S321" s="50" t="n">
        <x:v>0.21264944444444445</x:v>
      </x:c>
      <x:c r="T321" s="1" t="str">
        <x:v>全場</x:v>
      </x:c>
      <x:c r="U321" s="49" t="n">
        <x:v>50</x:v>
      </x:c>
    </x:row>
    <x:row r="322" ht="22" customHeight="1">
      <x:c r="A322" s="1" t="str">
        <x:v>日経mini</x:v>
      </x:c>
      <x:c r="B322" s="1" t="str">
        <x:v>J05</x:v>
      </x:c>
      <x:c r="C322" s="1" t="str">
        <x:v>全50場</x:v>
      </x:c>
      <x:c r="D322" s="47" t="n">
        <x:v>3402589</x:v>
      </x:c>
      <x:c r="E322" s="47" t="n">
        <x:v>2198800</x:v>
      </x:c>
      <x:c r="F322" s="47" t="n">
        <x:f>D322-E322</x:f>
        <x:v>1203789</x:v>
      </x:c>
      <x:c r="G322" s="49" t="n">
        <x:v>15</x:v>
      </x:c>
      <x:c r="H322" s="49" t="n">
        <x:v>10</x:v>
      </x:c>
      <x:c r="I322" s="47" t="n">
        <x:v>312698</x:v>
      </x:c>
      <x:c r="J322" s="49" t="n">
        <x:v>157</x:v>
      </x:c>
      <x:c r="K322" s="47" t="n">
        <x:v>-166917</x:v>
      </x:c>
      <x:c r="L322" s="47" t="n">
        <x:v>75373.2</x:v>
      </x:c>
      <x:c r="M322" s="48" t="n">
        <x:v>85.61666666666667</x:v>
      </x:c>
      <x:c r="N322" s="48" t="n">
        <x:v>218.45666666666668</x:v>
      </x:c>
      <x:c r="O322" s="49" t="n">
        <x:v>10</x:v>
      </x:c>
      <x:c r="P322" s="1" t="str">
        <x:v>強い反証時だけ方向変更と元の追尾</x:v>
      </x:c>
      <x:c r="Q322" s="49" t="n">
        <x:v>0</x:v>
      </x:c>
      <x:c r="R322" s="50" t="n">
        <x:v>0.5201349206349206</x:v>
      </x:c>
      <x:c r="S322" s="50" t="n">
        <x:v>0.5201349206349206</x:v>
      </x:c>
      <x:c r="T322" s="1" t="str">
        <x:v>デイ</x:v>
      </x:c>
      <x:c r="U322" s="49" t="n">
        <x:v>25</x:v>
      </x:c>
    </x:row>
    <x:row r="323" ht="22" customHeight="1">
      <x:c r="A323" s="1" t="str">
        <x:v>日経mini</x:v>
      </x:c>
      <x:c r="B323" s="1" t="str">
        <x:v>J05</x:v>
      </x:c>
      <x:c r="C323" s="1" t="str">
        <x:v>全50場</x:v>
      </x:c>
      <x:c r="D323" s="47" t="n">
        <x:v>1941265</x:v>
      </x:c>
      <x:c r="E323" s="47" t="n">
        <x:v>953524</x:v>
      </x:c>
      <x:c r="F323" s="47" t="n">
        <x:f>D323-E323</x:f>
        <x:v>987741</x:v>
      </x:c>
      <x:c r="G323" s="49" t="n">
        <x:v>19</x:v>
      </x:c>
      <x:c r="H323" s="49" t="n">
        <x:v>6</x:v>
      </x:c>
      <x:c r="I323" s="47" t="n">
        <x:v>353963</x:v>
      </x:c>
      <x:c r="J323" s="49" t="n">
        <x:v>87</x:v>
      </x:c>
      <x:c r="K323" s="47" t="n">
        <x:v>-121461</x:v>
      </x:c>
      <x:c r="L323" s="47" t="n">
        <x:v>56652.833333333336</x:v>
      </x:c>
      <x:c r="M323" s="48" t="n">
        <x:v>337.10066666666665</x:v>
      </x:c>
      <x:c r="N323" s="48" t="n">
        <x:v>36.72266666666667</x:v>
      </x:c>
      <x:c r="O323" s="49" t="n">
        <x:v>7</x:v>
      </x:c>
      <x:c r="P323" s="1" t="str">
        <x:v>強い反証時だけ方向変更と元の追尾</x:v>
      </x:c>
      <x:c r="Q323" s="49" t="n">
        <x:v>0</x:v>
      </x:c>
      <x:c r="R323" s="50" t="n">
        <x:v>0.04708034188034188</x:v>
      </x:c>
      <x:c r="S323" s="50" t="n">
        <x:v>0.04708034188034188</x:v>
      </x:c>
      <x:c r="T323" s="1" t="str">
        <x:v>ナイト</x:v>
      </x:c>
      <x:c r="U323" s="49" t="n">
        <x:v>25</x:v>
      </x:c>
    </x:row>
    <x:row r="324" ht="22" customHeight="1">
      <x:c r="A324" s="1" t="str">
        <x:v>日経mini</x:v>
      </x:c>
      <x:c r="B324" s="1" t="str">
        <x:v>J05</x:v>
      </x:c>
      <x:c r="C324" s="1" t="str">
        <x:v>全50場</x:v>
      </x:c>
      <x:c r="D324" s="47" t="n">
        <x:v>2231887</x:v>
      </x:c>
      <x:c r="E324" s="47" t="n">
        <x:v>1547507</x:v>
      </x:c>
      <x:c r="F324" s="47" t="n">
        <x:f>D324-E324</x:f>
        <x:v>684380</x:v>
      </x:c>
      <x:c r="G324" s="49" t="n">
        <x:v>16</x:v>
      </x:c>
      <x:c r="H324" s="49" t="n">
        <x:v>8</x:v>
      </x:c>
      <x:c r="I324" s="47" t="n">
        <x:v>-23253</x:v>
      </x:c>
      <x:c r="J324" s="49" t="n">
        <x:v>122</x:v>
      </x:c>
      <x:c r="K324" s="47" t="n">
        <x:v>-166917</x:v>
      </x:c>
      <x:c r="L324" s="47" t="n">
        <x:v>87362.625</x:v>
      </x:c>
      <x:c r="M324" s="48" t="n">
        <x:v>213.61527777777778</x:v>
      </x:c>
      <x:c r="N324" s="48" t="n">
        <x:v>119.18055555555554</x:v>
      </x:c>
      <x:c r="O324" s="49" t="n">
        <x:v>10</x:v>
      </x:c>
      <x:c r="P324" s="1" t="str">
        <x:v>強い反証時だけ方向変更と元の追尾</x:v>
      </x:c>
      <x:c r="Q324" s="49" t="n">
        <x:v>0</x:v>
      </x:c>
      <x:c r="R324" s="50" t="n">
        <x:v>0.2630352055352055</x:v>
      </x:c>
      <x:c r="S324" s="50" t="n">
        <x:v>0.19378952122854562</x:v>
      </x:c>
      <x:c r="T324" s="1" t="str">
        <x:v>上昇</x:v>
      </x:c>
      <x:c r="U324" s="49" t="n">
        <x:v>24</x:v>
      </x:c>
    </x:row>
    <x:row r="325" ht="22" customHeight="1">
      <x:c r="A325" s="1" t="str">
        <x:v>日経mini</x:v>
      </x:c>
      <x:c r="B325" s="1" t="str">
        <x:v>J05</x:v>
      </x:c>
      <x:c r="C325" s="1" t="str">
        <x:v>全50場</x:v>
      </x:c>
      <x:c r="D325" s="47" t="n">
        <x:v>3111967</x:v>
      </x:c>
      <x:c r="E325" s="47" t="n">
        <x:v>1604817</x:v>
      </x:c>
      <x:c r="F325" s="47" t="n">
        <x:f>D325-E325</x:f>
        <x:v>1507150</x:v>
      </x:c>
      <x:c r="G325" s="49" t="n">
        <x:v>18</x:v>
      </x:c>
      <x:c r="H325" s="49" t="n">
        <x:v>8</x:v>
      </x:c>
      <x:c r="I325" s="47" t="n">
        <x:v>616059</x:v>
      </x:c>
      <x:c r="J325" s="49" t="n">
        <x:v>122</x:v>
      </x:c>
      <x:c r="K325" s="47" t="n">
        <x:v>-114764</x:v>
      </x:c>
      <x:c r="L325" s="47" t="n">
        <x:v>49343.5</x:v>
      </x:c>
      <x:c r="M325" s="48" t="n">
        <x:v>209.27564102564105</x:v>
      </x:c>
      <x:c r="N325" s="48" t="n">
        <x:v>135.35192307692307</x:v>
      </x:c>
      <x:c r="O325" s="49" t="n">
        <x:v>10</x:v>
      </x:c>
      <x:c r="P325" s="1" t="str">
        <x:v>強い反証時だけ方向変更と元の追尾</x:v>
      </x:c>
      <x:c r="Q325" s="49" t="n">
        <x:v>0</x:v>
      </x:c>
      <x:c r="R325" s="50" t="n">
        <x:v>0.30259756269371657</x:v>
      </x:c>
      <x:c r="S325" s="50" t="n">
        <x:v>0.23091535433070867</x:v>
      </x:c>
      <x:c r="T325" s="1" t="str">
        <x:v>下落</x:v>
      </x:c>
      <x:c r="U325" s="49" t="n">
        <x:v>26</x:v>
      </x:c>
    </x:row>
    <x:row r="326" ht="22" customHeight="1">
      <x:c r="A326" s="1" t="str">
        <x:v>日経mini</x:v>
      </x:c>
      <x:c r="B326" s="1" t="str">
        <x:v>J05</x:v>
      </x:c>
      <x:c r="C326" s="1" t="str">
        <x:v>対照47場</x:v>
      </x:c>
      <x:c r="D326" s="47" t="n">
        <x:v>5171775</x:v>
      </x:c>
      <x:c r="E326" s="47" t="n">
        <x:v>2982944</x:v>
      </x:c>
      <x:c r="F326" s="47" t="n">
        <x:f>D326-E326</x:f>
        <x:v>2188831</x:v>
      </x:c>
      <x:c r="G326" s="49" t="n">
        <x:v>32</x:v>
      </x:c>
      <x:c r="H326" s="49" t="n">
        <x:v>15</x:v>
      </x:c>
      <x:c r="I326" s="47" t="n">
        <x:v>1187662</x:v>
      </x:c>
      <x:c r="J326" s="49" t="n">
        <x:v>235</x:v>
      </x:c>
      <x:c r="K326" s="47" t="n">
        <x:v>-166917</x:v>
      </x:c>
      <x:c r="L326" s="47" t="n">
        <x:v>69187.06666666667</x:v>
      </x:c>
      <x:c r="M326" s="48" t="n">
        <x:v>207.50496453900706</x:v>
      </x:c>
      <x:c r="N326" s="48" t="n">
        <x:v>129.8960992907801</x:v>
      </x:c>
      <x:c r="O326" s="49" t="n">
        <x:v>10</x:v>
      </x:c>
      <x:c r="P326" s="1" t="str">
        <x:v>強い反証時だけ方向変更と元の追尾</x:v>
      </x:c>
      <x:c r="Q326" s="49" t="n">
        <x:v>0</x:v>
      </x:c>
      <x:c r="R326" s="50" t="n">
        <x:v>0.28913341386745645</x:v>
      </x:c>
      <x:c r="S326" s="50" t="n">
        <x:v>0.21788424934570547</x:v>
      </x:c>
      <x:c r="T326" s="1" t="str">
        <x:v>全場</x:v>
      </x:c>
      <x:c r="U326" s="49" t="n">
        <x:v>47</x:v>
      </x:c>
    </x:row>
    <x:row r="327" ht="22" customHeight="1">
      <x:c r="A327" s="1" t="str">
        <x:v>日経mini</x:v>
      </x:c>
      <x:c r="B327" s="1" t="str">
        <x:v>J05</x:v>
      </x:c>
      <x:c r="C327" s="1" t="str">
        <x:v>対照47場</x:v>
      </x:c>
      <x:c r="D327" s="47" t="n">
        <x:v>3369742</x:v>
      </x:c>
      <x:c r="E327" s="47" t="n">
        <x:v>2110110</x:v>
      </x:c>
      <x:c r="F327" s="47" t="n">
        <x:f>D327-E327</x:f>
        <x:v>1259632</x:v>
      </x:c>
      <x:c r="G327" s="49" t="n">
        <x:v>15</x:v>
      </x:c>
      <x:c r="H327" s="49" t="n">
        <x:v>9</x:v>
      </x:c>
      <x:c r="I327" s="47" t="n">
        <x:v>368541</x:v>
      </x:c>
      <x:c r="J327" s="49" t="n">
        <x:v>153</x:v>
      </x:c>
      <x:c r="K327" s="47" t="n">
        <x:v>-166917</x:v>
      </x:c>
      <x:c r="L327" s="47" t="n">
        <x:v>77543.22222222222</x:v>
      </x:c>
      <x:c r="M327" s="48" t="n">
        <x:v>85.22152777777778</x:v>
      </x:c>
      <x:c r="N327" s="48" t="n">
        <x:v>218.48333333333335</x:v>
      </x:c>
      <x:c r="O327" s="49" t="n">
        <x:v>10</x:v>
      </x:c>
      <x:c r="P327" s="1" t="str">
        <x:v>強い反証時だけ方向変更と元の追尾</x:v>
      </x:c>
      <x:c r="Q327" s="49" t="n">
        <x:v>0</x:v>
      </x:c>
      <x:c r="R327" s="50" t="n">
        <x:v>0.5201984126984126</x:v>
      </x:c>
      <x:c r="S327" s="50" t="n">
        <x:v>0.5201984126984127</x:v>
      </x:c>
      <x:c r="T327" s="1" t="str">
        <x:v>デイ</x:v>
      </x:c>
      <x:c r="U327" s="49" t="n">
        <x:v>24</x:v>
      </x:c>
    </x:row>
    <x:row r="328" ht="22" customHeight="1">
      <x:c r="A328" s="1" t="str">
        <x:v>日経mini</x:v>
      </x:c>
      <x:c r="B328" s="1" t="str">
        <x:v>J05</x:v>
      </x:c>
      <x:c r="C328" s="1" t="str">
        <x:v>対照47場</x:v>
      </x:c>
      <x:c r="D328" s="47" t="n">
        <x:v>1802033</x:v>
      </x:c>
      <x:c r="E328" s="47" t="n">
        <x:v>872834</x:v>
      </x:c>
      <x:c r="F328" s="47" t="n">
        <x:f>D328-E328</x:f>
        <x:v>929199</x:v>
      </x:c>
      <x:c r="G328" s="49" t="n">
        <x:v>17</x:v>
      </x:c>
      <x:c r="H328" s="49" t="n">
        <x:v>6</x:v>
      </x:c>
      <x:c r="I328" s="47" t="n">
        <x:v>295421</x:v>
      </x:c>
      <x:c r="J328" s="49" t="n">
        <x:v>82</x:v>
      </x:c>
      <x:c r="K328" s="47" t="n">
        <x:v>-121461</x:v>
      </x:c>
      <x:c r="L328" s="47" t="n">
        <x:v>56652.833333333336</x:v>
      </x:c>
      <x:c r="M328" s="48" t="n">
        <x:v>335.10507246376807</x:v>
      </x:c>
      <x:c r="N328" s="48" t="n">
        <x:v>37.4572463768116</x:v>
      </x:c>
      <x:c r="O328" s="49" t="n">
        <x:v>7</x:v>
      </x:c>
      <x:c r="P328" s="1" t="str">
        <x:v>強い反証時だけ方向変更と元の追尾</x:v>
      </x:c>
      <x:c r="Q328" s="49" t="n">
        <x:v>0</x:v>
      </x:c>
      <x:c r="R328" s="50" t="n">
        <x:v>0.04802211073950204</x:v>
      </x:c>
      <x:c r="S328" s="50" t="n">
        <x:v>0.04802211073950204</x:v>
      </x:c>
      <x:c r="T328" s="1" t="str">
        <x:v>ナイト</x:v>
      </x:c>
      <x:c r="U328" s="49" t="n">
        <x:v>23</x:v>
      </x:c>
    </x:row>
    <x:row r="329" ht="22" customHeight="1">
      <x:c r="A329" s="1" t="str">
        <x:v>日経mini</x:v>
      </x:c>
      <x:c r="B329" s="1" t="str">
        <x:v>J05</x:v>
      </x:c>
      <x:c r="C329" s="1" t="str">
        <x:v>対照47場</x:v>
      </x:c>
      <x:c r="D329" s="47" t="n">
        <x:v>2164424</x:v>
      </x:c>
      <x:c r="E329" s="47" t="n">
        <x:v>1443664</x:v>
      </x:c>
      <x:c r="F329" s="47" t="n">
        <x:f>D329-E329</x:f>
        <x:v>720760</x:v>
      </x:c>
      <x:c r="G329" s="49" t="n">
        <x:v>15</x:v>
      </x:c>
      <x:c r="H329" s="49" t="n">
        <x:v>7</x:v>
      </x:c>
      <x:c r="I329" s="47" t="n">
        <x:v>13127</x:v>
      </x:c>
      <x:c r="J329" s="49" t="n">
        <x:v>116</x:v>
      </x:c>
      <x:c r="K329" s="47" t="n">
        <x:v>-166917</x:v>
      </x:c>
      <x:c r="L329" s="47" t="n">
        <x:v>91865.42857142857</x:v>
      </x:c>
      <x:c r="M329" s="48" t="n">
        <x:v>212.3469696969697</x:v>
      </x:c>
      <x:c r="N329" s="48" t="n">
        <x:v>119.13333333333334</x:v>
      </x:c>
      <x:c r="O329" s="49" t="n">
        <x:v>10</x:v>
      </x:c>
      <x:c r="P329" s="1" t="str">
        <x:v>強い反証時だけ方向変更と元の追尾</x:v>
      </x:c>
      <x:c r="Q329" s="49" t="n">
        <x:v>0</x:v>
      </x:c>
      <x:c r="R329" s="50" t="n">
        <x:v>0.2621164946164946</x:v>
      </x:c>
      <x:c r="S329" s="50" t="n">
        <x:v>0.1932841691248771</x:v>
      </x:c>
      <x:c r="T329" s="1" t="str">
        <x:v>上昇</x:v>
      </x:c>
      <x:c r="U329" s="49" t="n">
        <x:v>22</x:v>
      </x:c>
    </x:row>
    <x:row r="330" ht="22" customHeight="1">
      <x:c r="A330" s="1" t="str">
        <x:v>日経mini</x:v>
      </x:c>
      <x:c r="B330" s="1" t="str">
        <x:v>J05</x:v>
      </x:c>
      <x:c r="C330" s="1" t="str">
        <x:v>対照47場</x:v>
      </x:c>
      <x:c r="D330" s="47" t="n">
        <x:v>3007351</x:v>
      </x:c>
      <x:c r="E330" s="47" t="n">
        <x:v>1539280</x:v>
      </x:c>
      <x:c r="F330" s="47" t="n">
        <x:f>D330-E330</x:f>
        <x:v>1468071</x:v>
      </x:c>
      <x:c r="G330" s="49" t="n">
        <x:v>17</x:v>
      </x:c>
      <x:c r="H330" s="49" t="n">
        <x:v>8</x:v>
      </x:c>
      <x:c r="I330" s="47" t="n">
        <x:v>576980</x:v>
      </x:c>
      <x:c r="J330" s="49" t="n">
        <x:v>119</x:v>
      </x:c>
      <x:c r="K330" s="47" t="n">
        <x:v>-114764</x:v>
      </x:c>
      <x:c r="L330" s="47" t="n">
        <x:v>49343.5</x:v>
      </x:c>
      <x:c r="M330" s="48" t="n">
        <x:v>203.24400000000003</x:v>
      </x:c>
      <x:c r="N330" s="48" t="n">
        <x:v>139.36733333333333</x:v>
      </x:c>
      <x:c r="O330" s="49" t="n">
        <x:v>10</x:v>
      </x:c>
      <x:c r="P330" s="1" t="str">
        <x:v>強い反証時だけ方向変更と元の追尾</x:v>
      </x:c>
      <x:c r="Q330" s="49" t="n">
        <x:v>0</x:v>
      </x:c>
      <x:c r="R330" s="50" t="n">
        <x:v>0.31290830280830284</x:v>
      </x:c>
      <x:c r="S330" s="50" t="n">
        <x:v>0.24095320424158598</x:v>
      </x:c>
      <x:c r="T330" s="1" t="str">
        <x:v>下落</x:v>
      </x:c>
      <x:c r="U330" s="49" t="n">
        <x:v>25</x:v>
      </x:c>
    </x:row>
    <x:row r="331" ht="22" customHeight="1">
      <x:c r="A331" s="1" t="str">
        <x:v>日経mini</x:v>
      </x:c>
      <x:c r="B331" s="1" t="str">
        <x:v>J05</x:v>
      </x:c>
      <x:c r="C331" s="1" t="str">
        <x:v>診断3場</x:v>
      </x:c>
      <x:c r="D331" s="47" t="n">
        <x:v>172079</x:v>
      </x:c>
      <x:c r="E331" s="47" t="n">
        <x:v>169380</x:v>
      </x:c>
      <x:c r="F331" s="47" t="n">
        <x:f>D331-E331</x:f>
        <x:v>2699</x:v>
      </x:c>
      <x:c r="G331" s="49" t="n">
        <x:v>2</x:v>
      </x:c>
      <x:c r="H331" s="49" t="n">
        <x:v>1</x:v>
      </x:c>
      <x:c r="I331" s="47" t="n">
        <x:v>-55843</x:v>
      </x:c>
      <x:c r="J331" s="49" t="n">
        <x:v>9</x:v>
      </x:c>
      <x:c r="K331" s="47" t="n">
        <x:v>-55843</x:v>
      </x:c>
      <x:c r="L331" s="47" t="n">
        <x:v>55843</x:v>
      </x:c>
      <x:c r="M331" s="48" t="n">
        <x:v>271.73333333333335</x:v>
      </x:c>
      <x:c r="N331" s="48" t="n">
        <x:v>91.45555555555556</x:v>
      </x:c>
      <x:c r="O331" s="49" t="n">
        <x:v>5</x:v>
      </x:c>
      <x:c r="P331" s="1" t="str">
        <x:v>強い反証時だけ方向変更と元の追尾</x:v>
      </x:c>
      <x:c r="Q331" s="49" t="n">
        <x:v>0</x:v>
      </x:c>
      <x:c r="R331" s="50" t="n">
        <x:v>0.19703703703703704</x:v>
      </x:c>
      <x:c r="S331" s="50" t="n">
        <x:v>0.13856902356902356</x:v>
      </x:c>
      <x:c r="T331" s="1" t="str">
        <x:v>全場</x:v>
      </x:c>
      <x:c r="U331" s="49" t="n">
        <x:v>3</x:v>
      </x:c>
    </x:row>
    <x:row r="332" ht="22" customHeight="1">
      <x:c r="A332" s="1" t="str">
        <x:v>日経mini</x:v>
      </x:c>
      <x:c r="B332" s="1" t="str">
        <x:v>J05</x:v>
      </x:c>
      <x:c r="C332" s="1" t="str">
        <x:v>診断3場</x:v>
      </x:c>
      <x:c r="D332" s="47" t="n">
        <x:v>32847</x:v>
      </x:c>
      <x:c r="E332" s="47" t="n">
        <x:v>88690</x:v>
      </x:c>
      <x:c r="F332" s="47" t="n">
        <x:f>D332-E332</x:f>
        <x:v>-55843</x:v>
      </x:c>
      <x:c r="G332" s="49" t="n">
        <x:v>0</x:v>
      </x:c>
      <x:c r="H332" s="49" t="n">
        <x:v>1</x:v>
      </x:c>
      <x:c r="I332" s="47" t="n">
        <x:v>-55843</x:v>
      </x:c>
      <x:c r="J332" s="49" t="n">
        <x:v>4</x:v>
      </x:c>
      <x:c r="K332" s="47" t="n">
        <x:v>-55843</x:v>
      </x:c>
      <x:c r="L332" s="47" t="n">
        <x:v>55843</x:v>
      </x:c>
      <x:c r="M332" s="48" t="n">
        <x:v>95.1</x:v>
      </x:c>
      <x:c r="N332" s="48" t="n">
        <x:v>217.81666666666666</x:v>
      </x:c>
      <x:c r="O332" s="49" t="n">
        <x:v>5</x:v>
      </x:c>
      <x:c r="P332" s="1" t="str">
        <x:v>強い反証時だけ方向変更と元の追尾</x:v>
      </x:c>
      <x:c r="Q332" s="49" t="n">
        <x:v>0</x:v>
      </x:c>
      <x:c r="R332" s="50" t="n">
        <x:v>0.5186111111111111</x:v>
      </x:c>
      <x:c r="S332" s="50" t="n">
        <x:v>0.5186111111111111</x:v>
      </x:c>
      <x:c r="T332" s="1" t="str">
        <x:v>デイ</x:v>
      </x:c>
      <x:c r="U332" s="49" t="n">
        <x:v>1</x:v>
      </x:c>
    </x:row>
    <x:row r="333" ht="22" customHeight="1">
      <x:c r="A333" s="1" t="str">
        <x:v>日経mini</x:v>
      </x:c>
      <x:c r="B333" s="1" t="str">
        <x:v>J05</x:v>
      </x:c>
      <x:c r="C333" s="1" t="str">
        <x:v>診断3場</x:v>
      </x:c>
      <x:c r="D333" s="47" t="n">
        <x:v>139232</x:v>
      </x:c>
      <x:c r="E333" s="47" t="n">
        <x:v>80690</x:v>
      </x:c>
      <x:c r="F333" s="47" t="n">
        <x:f>D333-E333</x:f>
        <x:v>58542</x:v>
      </x:c>
      <x:c r="G333" s="49" t="n">
        <x:v>2</x:v>
      </x:c>
      <x:c r="H333" s="49" t="n">
        <x:v>0</x:v>
      </x:c>
      <x:c r="I333" s="47" t="n">
        <x:v>0</x:v>
      </x:c>
      <x:c r="J333" s="49" t="n">
        <x:v>5</x:v>
      </x:c>
      <x:c r="K333" s="47" t="n">
        <x:v>19463</x:v>
      </x:c>
      <x:c r="L333" s="47" t="n">
        <x:v>0</x:v>
      </x:c>
      <x:c r="M333" s="48" t="n">
        <x:v>360.05</x:v>
      </x:c>
      <x:c r="N333" s="48" t="n">
        <x:v>28.275</x:v>
      </x:c>
      <x:c r="O333" s="49" t="n">
        <x:v>5</x:v>
      </x:c>
      <x:c r="P333" s="1" t="str">
        <x:v>強い反証時だけ方向変更と元の追尾</x:v>
      </x:c>
      <x:c r="Q333" s="49" t="n">
        <x:v>0</x:v>
      </x:c>
      <x:c r="R333" s="50" t="n">
        <x:v>0.036250000000000004</x:v>
      </x:c>
      <x:c r="S333" s="50" t="n">
        <x:v>0.03625</x:v>
      </x:c>
      <x:c r="T333" s="1" t="str">
        <x:v>ナイト</x:v>
      </x:c>
      <x:c r="U333" s="49" t="n">
        <x:v>2</x:v>
      </x:c>
    </x:row>
    <x:row r="334" ht="22" customHeight="1">
      <x:c r="A334" s="1" t="str">
        <x:v>日経mini</x:v>
      </x:c>
      <x:c r="B334" s="1" t="str">
        <x:v>J05</x:v>
      </x:c>
      <x:c r="C334" s="1" t="str">
        <x:v>診断3場</x:v>
      </x:c>
      <x:c r="D334" s="47" t="n">
        <x:v>67463</x:v>
      </x:c>
      <x:c r="E334" s="47" t="n">
        <x:v>103843</x:v>
      </x:c>
      <x:c r="F334" s="47" t="n">
        <x:f>D334-E334</x:f>
        <x:v>-36380</x:v>
      </x:c>
      <x:c r="G334" s="49" t="n">
        <x:v>1</x:v>
      </x:c>
      <x:c r="H334" s="49" t="n">
        <x:v>1</x:v>
      </x:c>
      <x:c r="I334" s="47" t="n">
        <x:v>-55843</x:v>
      </x:c>
      <x:c r="J334" s="49" t="n">
        <x:v>6</x:v>
      </x:c>
      <x:c r="K334" s="47" t="n">
        <x:v>-55843</x:v>
      </x:c>
      <x:c r="L334" s="47" t="n">
        <x:v>55843</x:v>
      </x:c>
      <x:c r="M334" s="48" t="n">
        <x:v>227.56666666666666</x:v>
      </x:c>
      <x:c r="N334" s="48" t="n">
        <x:v>119.7</x:v>
      </x:c>
      <x:c r="O334" s="49" t="n">
        <x:v>5</x:v>
      </x:c>
      <x:c r="P334" s="1" t="str">
        <x:v>強い反証時だけ方向変更と元の追尾</x:v>
      </x:c>
      <x:c r="Q334" s="49" t="n">
        <x:v>0</x:v>
      </x:c>
      <x:c r="R334" s="50" t="n">
        <x:v>0.27314102564102566</x:v>
      </x:c>
      <x:c r="S334" s="50" t="n">
        <x:v>0.1995</x:v>
      </x:c>
      <x:c r="T334" s="1" t="str">
        <x:v>上昇</x:v>
      </x:c>
      <x:c r="U334" s="49" t="n">
        <x:v>2</x:v>
      </x:c>
    </x:row>
    <x:row r="335" ht="22" customHeight="1">
      <x:c r="A335" s="1" t="str">
        <x:v>日経mini</x:v>
      </x:c>
      <x:c r="B335" s="1" t="str">
        <x:v>J05</x:v>
      </x:c>
      <x:c r="C335" s="1" t="str">
        <x:v>診断3場</x:v>
      </x:c>
      <x:c r="D335" s="47" t="n">
        <x:v>104616</x:v>
      </x:c>
      <x:c r="E335" s="47" t="n">
        <x:v>65537</x:v>
      </x:c>
      <x:c r="F335" s="47" t="n">
        <x:f>D335-E335</x:f>
        <x:v>39079</x:v>
      </x:c>
      <x:c r="G335" s="49" t="n">
        <x:v>1</x:v>
      </x:c>
      <x:c r="H335" s="49" t="n">
        <x:v>0</x:v>
      </x:c>
      <x:c r="I335" s="47" t="n">
        <x:v>0</x:v>
      </x:c>
      <x:c r="J335" s="49" t="n">
        <x:v>3</x:v>
      </x:c>
      <x:c r="K335" s="47" t="n">
        <x:v>39079</x:v>
      </x:c>
      <x:c r="L335" s="47" t="n">
        <x:v>0</x:v>
      </x:c>
      <x:c r="M335" s="48" t="n">
        <x:v>360.06666666666666</x:v>
      </x:c>
      <x:c r="N335" s="48" t="n">
        <x:v>34.96666666666667</x:v>
      </x:c>
      <x:c r="O335" s="49" t="n">
        <x:v>5</x:v>
      </x:c>
      <x:c r="P335" s="1" t="str">
        <x:v>強い反証時だけ方向変更と元の追尾</x:v>
      </x:c>
      <x:c r="Q335" s="49" t="n">
        <x:v>0</x:v>
      </x:c>
      <x:c r="R335" s="50" t="n">
        <x:v>0.04482905982905983</x:v>
      </x:c>
      <x:c r="S335" s="50" t="n">
        <x:v>0.04482905982905983</x:v>
      </x:c>
      <x:c r="T335" s="1" t="str">
        <x:v>下落</x:v>
      </x:c>
      <x:c r="U335" s="49" t="n">
        <x:v>1</x:v>
      </x:c>
    </x:row>
    <x:row r="336" ht="22" customHeight="1">
      <x:c r="A336" s="1" t="str">
        <x:v>日経mini</x:v>
      </x:c>
      <x:c r="B336" s="1" t="str">
        <x:v>K01</x:v>
      </x:c>
      <x:c r="C336" s="1" t="str">
        <x:v>全50場</x:v>
      </x:c>
      <x:c r="D336" s="47" t="n">
        <x:v>15455082</x:v>
      </x:c>
      <x:c r="E336" s="47" t="n">
        <x:v>22166340</x:v>
      </x:c>
      <x:c r="F336" s="47" t="n">
        <x:f>D336-E336</x:f>
        <x:v>-6711258</x:v>
      </x:c>
      <x:c r="G336" s="49" t="n">
        <x:v>6</x:v>
      </x:c>
      <x:c r="H336" s="49" t="n">
        <x:v>44</x:v>
      </x:c>
      <x:c r="I336" s="47" t="n">
        <x:v>-7075310</x:v>
      </x:c>
      <x:c r="J336" s="49" t="n">
        <x:v>2697</x:v>
      </x:c>
      <x:c r="K336" s="47" t="n">
        <x:v>-557162</x:v>
      </x:c>
      <x:c r="L336" s="47" t="n">
        <x:v>161900.18181818182</x:v>
      </x:c>
      <x:c r="M336" s="48" t="n">
        <x:v>3.4256666666666673</x:v>
      </x:c>
      <x:c r="N336" s="48" t="n">
        <x:v>401.4246666666667</x:v>
      </x:c>
      <x:c r="O336" s="49" t="n">
        <x:v>7</x:v>
      </x:c>
      <x:c r="P336" s="1" t="str">
        <x:v>基準併用：短期二市場の合議・標準</x:v>
      </x:c>
      <x:c r="Q336" s="49" t="n">
        <x:v>0</x:v>
      </x:c>
      <x:c r="R336" s="50" t="n">
        <x:v>0.700756166056166</x:v>
      </x:c>
      <x:c r="S336" s="50" t="n">
        <x:v>0.6690411111111111</x:v>
      </x:c>
      <x:c r="T336" s="1" t="str">
        <x:v>全場</x:v>
      </x:c>
      <x:c r="U336" s="49" t="n">
        <x:v>50</x:v>
      </x:c>
    </x:row>
    <x:row r="337" ht="22" customHeight="1">
      <x:c r="A337" s="1" t="str">
        <x:v>日経mini</x:v>
      </x:c>
      <x:c r="B337" s="1" t="str">
        <x:v>K01</x:v>
      </x:c>
      <x:c r="C337" s="1" t="str">
        <x:v>全50場</x:v>
      </x:c>
      <x:c r="D337" s="47" t="n">
        <x:v>8323274</x:v>
      </x:c>
      <x:c r="E337" s="47" t="n">
        <x:v>11969834</x:v>
      </x:c>
      <x:c r="F337" s="47" t="n">
        <x:f>D337-E337</x:f>
        <x:v>-3646560</x:v>
      </x:c>
      <x:c r="G337" s="49" t="n">
        <x:v>3</x:v>
      </x:c>
      <x:c r="H337" s="49" t="n">
        <x:v>22</x:v>
      </x:c>
      <x:c r="I337" s="47" t="n">
        <x:v>-3747774</x:v>
      </x:c>
      <x:c r="J337" s="49" t="n">
        <x:v>1450</x:v>
      </x:c>
      <x:c r="K337" s="47" t="n">
        <x:v>-557162</x:v>
      </x:c>
      <x:c r="L337" s="47" t="n">
        <x:v>170353.36363636365</x:v>
      </x:c>
      <x:c r="M337" s="48" t="n">
        <x:v>3.4600000000000004</x:v>
      </x:c>
      <x:c r="N337" s="48" t="n">
        <x:v>338.7186666666667</x:v>
      </x:c>
      <x:c r="O337" s="49" t="n">
        <x:v>7</x:v>
      </x:c>
      <x:c r="P337" s="1" t="str">
        <x:v>基準併用：短期二市場の合議・標準</x:v>
      </x:c>
      <x:c r="Q337" s="49" t="n">
        <x:v>0</x:v>
      </x:c>
      <x:c r="R337" s="50" t="n">
        <x:v>0.8064730158730158</x:v>
      </x:c>
      <x:c r="S337" s="50" t="n">
        <x:v>0.8064730158730159</x:v>
      </x:c>
      <x:c r="T337" s="1" t="str">
        <x:v>デイ</x:v>
      </x:c>
      <x:c r="U337" s="49" t="n">
        <x:v>25</x:v>
      </x:c>
    </x:row>
    <x:row r="338" ht="22" customHeight="1">
      <x:c r="A338" s="1" t="str">
        <x:v>日経mini</x:v>
      </x:c>
      <x:c r="B338" s="1" t="str">
        <x:v>K01</x:v>
      </x:c>
      <x:c r="C338" s="1" t="str">
        <x:v>全50場</x:v>
      </x:c>
      <x:c r="D338" s="47" t="n">
        <x:v>7131808</x:v>
      </x:c>
      <x:c r="E338" s="47" t="n">
        <x:v>10196506</x:v>
      </x:c>
      <x:c r="F338" s="47" t="n">
        <x:f>D338-E338</x:f>
        <x:v>-3064698</x:v>
      </x:c>
      <x:c r="G338" s="49" t="n">
        <x:v>3</x:v>
      </x:c>
      <x:c r="H338" s="49" t="n">
        <x:v>22</x:v>
      </x:c>
      <x:c r="I338" s="47" t="n">
        <x:v>-3375834</x:v>
      </x:c>
      <x:c r="J338" s="49" t="n">
        <x:v>1247</x:v>
      </x:c>
      <x:c r="K338" s="47" t="n">
        <x:v>-398780</x:v>
      </x:c>
      <x:c r="L338" s="47" t="n">
        <x:v>153447</x:v>
      </x:c>
      <x:c r="M338" s="48" t="n">
        <x:v>3.3913333333333333</x:v>
      </x:c>
      <x:c r="N338" s="48" t="n">
        <x:v>464.13066666666657</x:v>
      </x:c>
      <x:c r="O338" s="49" t="n">
        <x:v>7</x:v>
      </x:c>
      <x:c r="P338" s="1" t="str">
        <x:v>基準併用：短期二市場の合議・標準</x:v>
      </x:c>
      <x:c r="Q338" s="49" t="n">
        <x:v>0</x:v>
      </x:c>
      <x:c r="R338" s="50" t="n">
        <x:v>0.5950393162393162</x:v>
      </x:c>
      <x:c r="S338" s="50" t="n">
        <x:v>0.5950393162393163</x:v>
      </x:c>
      <x:c r="T338" s="1" t="str">
        <x:v>ナイト</x:v>
      </x:c>
      <x:c r="U338" s="49" t="n">
        <x:v>25</x:v>
      </x:c>
    </x:row>
    <x:row r="339" ht="22" customHeight="1">
      <x:c r="A339" s="1" t="str">
        <x:v>日経mini</x:v>
      </x:c>
      <x:c r="B339" s="1" t="str">
        <x:v>K01</x:v>
      </x:c>
      <x:c r="C339" s="1" t="str">
        <x:v>全50場</x:v>
      </x:c>
      <x:c r="D339" s="47" t="n">
        <x:v>7334726</x:v>
      </x:c>
      <x:c r="E339" s="47" t="n">
        <x:v>10525048</x:v>
      </x:c>
      <x:c r="F339" s="47" t="n">
        <x:f>D339-E339</x:f>
        <x:v>-3190322</x:v>
      </x:c>
      <x:c r="G339" s="49" t="n">
        <x:v>3</x:v>
      </x:c>
      <x:c r="H339" s="49" t="n">
        <x:v>21</x:v>
      </x:c>
      <x:c r="I339" s="47" t="n">
        <x:v>-3291536</x:v>
      </x:c>
      <x:c r="J339" s="49" t="n">
        <x:v>1312</x:v>
      </x:c>
      <x:c r="K339" s="47" t="n">
        <x:v>-417314</x:v>
      </x:c>
      <x:c r="L339" s="47" t="n">
        <x:v>156739.80952380953</x:v>
      </x:c>
      <x:c r="M339" s="48" t="n">
        <x:v>3.3486111111111114</x:v>
      </x:c>
      <x:c r="N339" s="48" t="n">
        <x:v>409.70416666666665</x:v>
      </x:c>
      <x:c r="O339" s="49" t="n">
        <x:v>7</x:v>
      </x:c>
      <x:c r="P339" s="1" t="str">
        <x:v>基準併用：短期二市場の合議・標準</x:v>
      </x:c>
      <x:c r="Q339" s="49" t="n">
        <x:v>0</x:v>
      </x:c>
      <x:c r="R339" s="50" t="n">
        <x:v>0.6934210927960928</x:v>
      </x:c>
      <x:c r="S339" s="50" t="n">
        <x:v>0.6661856368563686</x:v>
      </x:c>
      <x:c r="T339" s="1" t="str">
        <x:v>上昇</x:v>
      </x:c>
      <x:c r="U339" s="49" t="n">
        <x:v>24</x:v>
      </x:c>
    </x:row>
    <x:row r="340" ht="22" customHeight="1">
      <x:c r="A340" s="1" t="str">
        <x:v>日経mini</x:v>
      </x:c>
      <x:c r="B340" s="1" t="str">
        <x:v>K01</x:v>
      </x:c>
      <x:c r="C340" s="1" t="str">
        <x:v>全50場</x:v>
      </x:c>
      <x:c r="D340" s="47" t="n">
        <x:v>8120356</x:v>
      </x:c>
      <x:c r="E340" s="47" t="n">
        <x:v>11641292</x:v>
      </x:c>
      <x:c r="F340" s="47" t="n">
        <x:f>D340-E340</x:f>
        <x:v>-3520936</x:v>
      </x:c>
      <x:c r="G340" s="49" t="n">
        <x:v>3</x:v>
      </x:c>
      <x:c r="H340" s="49" t="n">
        <x:v>23</x:v>
      </x:c>
      <x:c r="I340" s="47" t="n">
        <x:v>-3832072</x:v>
      </x:c>
      <x:c r="J340" s="49" t="n">
        <x:v>1385</x:v>
      </x:c>
      <x:c r="K340" s="47" t="n">
        <x:v>-557162</x:v>
      </x:c>
      <x:c r="L340" s="47" t="n">
        <x:v>166611.8260869565</x:v>
      </x:c>
      <x:c r="M340" s="48" t="n">
        <x:v>3.496794871794872</x:v>
      </x:c>
      <x:c r="N340" s="48" t="n">
        <x:v>393.7820512820512</x:v>
      </x:c>
      <x:c r="O340" s="49" t="n">
        <x:v>7</x:v>
      </x:c>
      <x:c r="P340" s="1" t="str">
        <x:v>基準併用：短期二市場の合議・標準</x:v>
      </x:c>
      <x:c r="Q340" s="49" t="n">
        <x:v>0</x:v>
      </x:c>
      <x:c r="R340" s="50" t="n">
        <x:v>0.7075270029116183</x:v>
      </x:c>
      <x:c r="S340" s="50" t="n">
        <x:v>0.6718066491688539</x:v>
      </x:c>
      <x:c r="T340" s="1" t="str">
        <x:v>下落</x:v>
      </x:c>
      <x:c r="U340" s="49" t="n">
        <x:v>26</x:v>
      </x:c>
    </x:row>
    <x:row r="341" ht="22" customHeight="1">
      <x:c r="A341" s="1" t="str">
        <x:v>日経mini</x:v>
      </x:c>
      <x:c r="B341" s="1" t="str">
        <x:v>K01</x:v>
      </x:c>
      <x:c r="C341" s="1" t="str">
        <x:v>対照47場</x:v>
      </x:c>
      <x:c r="D341" s="47" t="n">
        <x:v>14165860</x:v>
      </x:c>
      <x:c r="E341" s="47" t="n">
        <x:v>20788322</x:v>
      </x:c>
      <x:c r="F341" s="47" t="n">
        <x:f>D341-E341</x:f>
        <x:v>-6622462</x:v>
      </x:c>
      <x:c r="G341" s="49" t="n">
        <x:v>5</x:v>
      </x:c>
      <x:c r="H341" s="49" t="n">
        <x:v>42</x:v>
      </x:c>
      <x:c r="I341" s="47" t="n">
        <x:v>-6858828</x:v>
      </x:c>
      <x:c r="J341" s="49" t="n">
        <x:v>2503</x:v>
      </x:c>
      <x:c r="K341" s="47" t="n">
        <x:v>-557162</x:v>
      </x:c>
      <x:c r="L341" s="47" t="n">
        <x:v>163448.09523809524</x:v>
      </x:c>
      <x:c r="M341" s="48" t="n">
        <x:v>3.4471631205673763</x:v>
      </x:c>
      <x:c r="N341" s="48" t="n">
        <x:v>396.5102836879433</x:v>
      </x:c>
      <x:c r="O341" s="49" t="n">
        <x:v>7</x:v>
      </x:c>
      <x:c r="P341" s="1" t="str">
        <x:v>基準併用：短期二市場の合議・標準</x:v>
      </x:c>
      <x:c r="Q341" s="49" t="n">
        <x:v>0</x:v>
      </x:c>
      <x:c r="R341" s="50" t="n">
        <x:v>0.698423284753072</x:v>
      </x:c>
      <x:c r="S341" s="50" t="n">
        <x:v>0.665095764929812</x:v>
      </x:c>
      <x:c r="T341" s="1" t="str">
        <x:v>全場</x:v>
      </x:c>
      <x:c r="U341" s="49" t="n">
        <x:v>47</x:v>
      </x:c>
    </x:row>
    <x:row r="342" ht="22" customHeight="1">
      <x:c r="A342" s="1" t="str">
        <x:v>日経mini</x:v>
      </x:c>
      <x:c r="B342" s="1" t="str">
        <x:v>K01</x:v>
      </x:c>
      <x:c r="C342" s="1" t="str">
        <x:v>対照47場</x:v>
      </x:c>
      <x:c r="D342" s="47" t="n">
        <x:v>7886662</x:v>
      </x:c>
      <x:c r="E342" s="47" t="n">
        <x:v>11447366</x:v>
      </x:c>
      <x:c r="F342" s="47" t="n">
        <x:f>D342-E342</x:f>
        <x:v>-3560704</x:v>
      </x:c>
      <x:c r="G342" s="49" t="n">
        <x:v>3</x:v>
      </x:c>
      <x:c r="H342" s="49" t="n">
        <x:v>21</x:v>
      </x:c>
      <x:c r="I342" s="47" t="n">
        <x:v>-3661918</x:v>
      </x:c>
      <x:c r="J342" s="49" t="n">
        <x:v>1381</x:v>
      </x:c>
      <x:c r="K342" s="47" t="n">
        <x:v>-557162</x:v>
      </x:c>
      <x:c r="L342" s="47" t="n">
        <x:v>174377.04761904763</x:v>
      </x:c>
      <x:c r="M342" s="48" t="n">
        <x:v>3.4909722222222226</x:v>
      </x:c>
      <x:c r="N342" s="48" t="n">
        <x:v>338.73263888888886</x:v>
      </x:c>
      <x:c r="O342" s="49" t="n">
        <x:v>7</x:v>
      </x:c>
      <x:c r="P342" s="1" t="str">
        <x:v>基準併用：短期二市場の合議・標準</x:v>
      </x:c>
      <x:c r="Q342" s="49" t="n">
        <x:v>0</x:v>
      </x:c>
      <x:c r="R342" s="50" t="n">
        <x:v>0.8065062830687831</x:v>
      </x:c>
      <x:c r="S342" s="50" t="n">
        <x:v>0.806506283068783</x:v>
      </x:c>
      <x:c r="T342" s="1" t="str">
        <x:v>デイ</x:v>
      </x:c>
      <x:c r="U342" s="49" t="n">
        <x:v>24</x:v>
      </x:c>
    </x:row>
    <x:row r="343" ht="22" customHeight="1">
      <x:c r="A343" s="1" t="str">
        <x:v>日経mini</x:v>
      </x:c>
      <x:c r="B343" s="1" t="str">
        <x:v>K01</x:v>
      </x:c>
      <x:c r="C343" s="1" t="str">
        <x:v>対照47場</x:v>
      </x:c>
      <x:c r="D343" s="47" t="n">
        <x:v>6279198</x:v>
      </x:c>
      <x:c r="E343" s="47" t="n">
        <x:v>9340956</x:v>
      </x:c>
      <x:c r="F343" s="47" t="n">
        <x:f>D343-E343</x:f>
        <x:v>-3061758</x:v>
      </x:c>
      <x:c r="G343" s="49" t="n">
        <x:v>2</x:v>
      </x:c>
      <x:c r="H343" s="49" t="n">
        <x:v>21</x:v>
      </x:c>
      <x:c r="I343" s="47" t="n">
        <x:v>-3202902</x:v>
      </x:c>
      <x:c r="J343" s="49" t="n">
        <x:v>1122</x:v>
      </x:c>
      <x:c r="K343" s="47" t="n">
        <x:v>-398780</x:v>
      </x:c>
      <x:c r="L343" s="47" t="n">
        <x:v>152519.14285714287</x:v>
      </x:c>
      <x:c r="M343" s="48" t="n">
        <x:v>3.4014492753623187</x:v>
      </x:c>
      <x:c r="N343" s="48" t="n">
        <x:v>456.80000000000007</x:v>
      </x:c>
      <x:c r="O343" s="49" t="n">
        <x:v>7</x:v>
      </x:c>
      <x:c r="P343" s="1" t="str">
        <x:v>基準併用：短期二市場の合議・標準</x:v>
      </x:c>
      <x:c r="Q343" s="49" t="n">
        <x:v>0</x:v>
      </x:c>
      <x:c r="R343" s="50" t="n">
        <x:v>0.5856410256410256</x:v>
      </x:c>
      <x:c r="S343" s="50" t="n">
        <x:v>0.5856410256410256</x:v>
      </x:c>
      <x:c r="T343" s="1" t="str">
        <x:v>ナイト</x:v>
      </x:c>
      <x:c r="U343" s="49" t="n">
        <x:v>23</x:v>
      </x:c>
    </x:row>
    <x:row r="344" ht="22" customHeight="1">
      <x:c r="A344" s="1" t="str">
        <x:v>日経mini</x:v>
      </x:c>
      <x:c r="B344" s="1" t="str">
        <x:v>K01</x:v>
      </x:c>
      <x:c r="C344" s="1" t="str">
        <x:v>対照47場</x:v>
      </x:c>
      <x:c r="D344" s="47" t="n">
        <x:v>6597962</x:v>
      </x:c>
      <x:c r="E344" s="47" t="n">
        <x:v>9529496</x:v>
      </x:c>
      <x:c r="F344" s="47" t="n">
        <x:f>D344-E344</x:f>
        <x:v>-2931534</x:v>
      </x:c>
      <x:c r="G344" s="49" t="n">
        <x:v>3</x:v>
      </x:c>
      <x:c r="H344" s="49" t="n">
        <x:v>19</x:v>
      </x:c>
      <x:c r="I344" s="47" t="n">
        <x:v>-3032748</x:v>
      </x:c>
      <x:c r="J344" s="49" t="n">
        <x:v>1180</x:v>
      </x:c>
      <x:c r="K344" s="47" t="n">
        <x:v>-417314</x:v>
      </x:c>
      <x:c r="L344" s="47" t="n">
        <x:v>159618.31578947368</x:v>
      </x:c>
      <x:c r="M344" s="48" t="n">
        <x:v>3.4257575757575767</x:v>
      </x:c>
      <x:c r="N344" s="48" t="n">
        <x:v>406.140909090909</x:v>
      </x:c>
      <x:c r="O344" s="49" t="n">
        <x:v>7</x:v>
      </x:c>
      <x:c r="P344" s="1" t="str">
        <x:v>基準併用：短期二市場の合議・標準</x:v>
      </x:c>
      <x:c r="Q344" s="49" t="n">
        <x:v>0</x:v>
      </x:c>
      <x:c r="R344" s="50" t="n">
        <x:v>0.6872377622377622</x:v>
      </x:c>
      <x:c r="S344" s="50" t="n">
        <x:v>0.6589306784660767</x:v>
      </x:c>
      <x:c r="T344" s="1" t="str">
        <x:v>上昇</x:v>
      </x:c>
      <x:c r="U344" s="49" t="n">
        <x:v>22</x:v>
      </x:c>
    </x:row>
    <x:row r="345" ht="22" customHeight="1">
      <x:c r="A345" s="1" t="str">
        <x:v>日経mini</x:v>
      </x:c>
      <x:c r="B345" s="1" t="str">
        <x:v>K01</x:v>
      </x:c>
      <x:c r="C345" s="1" t="str">
        <x:v>対照47場</x:v>
      </x:c>
      <x:c r="D345" s="47" t="n">
        <x:v>7567898</x:v>
      </x:c>
      <x:c r="E345" s="47" t="n">
        <x:v>11258826</x:v>
      </x:c>
      <x:c r="F345" s="47" t="n">
        <x:f>D345-E345</x:f>
        <x:v>-3690928</x:v>
      </x:c>
      <x:c r="G345" s="49" t="n">
        <x:v>2</x:v>
      </x:c>
      <x:c r="H345" s="49" t="n">
        <x:v>23</x:v>
      </x:c>
      <x:c r="I345" s="47" t="n">
        <x:v>-3832072</x:v>
      </x:c>
      <x:c r="J345" s="49" t="n">
        <x:v>1323</x:v>
      </x:c>
      <x:c r="K345" s="47" t="n">
        <x:v>-557162</x:v>
      </x:c>
      <x:c r="L345" s="47" t="n">
        <x:v>166611.8260869565</x:v>
      </x:c>
      <x:c r="M345" s="48" t="n">
        <x:v>3.466</x:v>
      </x:c>
      <x:c r="N345" s="48" t="n">
        <x:v>388.03533333333326</x:v>
      </x:c>
      <x:c r="O345" s="49" t="n">
        <x:v>7</x:v>
      </x:c>
      <x:c r="P345" s="1" t="str">
        <x:v>基準併用：短期二市場の合議・標準</x:v>
      </x:c>
      <x:c r="Q345" s="49" t="n">
        <x:v>0</x:v>
      </x:c>
      <x:c r="R345" s="50" t="n">
        <x:v>0.7082665445665445</x:v>
      </x:c>
      <x:c r="S345" s="50" t="n">
        <x:v>0.670877132319041</x:v>
      </x:c>
      <x:c r="T345" s="1" t="str">
        <x:v>下落</x:v>
      </x:c>
      <x:c r="U345" s="49" t="n">
        <x:v>25</x:v>
      </x:c>
    </x:row>
    <x:row r="346" ht="22" customHeight="1">
      <x:c r="A346" s="1" t="str">
        <x:v>日経mini</x:v>
      </x:c>
      <x:c r="B346" s="1" t="str">
        <x:v>K01</x:v>
      </x:c>
      <x:c r="C346" s="1" t="str">
        <x:v>診断3場</x:v>
      </x:c>
      <x:c r="D346" s="47" t="n">
        <x:v>1289222</x:v>
      </x:c>
      <x:c r="E346" s="47" t="n">
        <x:v>1378018</x:v>
      </x:c>
      <x:c r="F346" s="47" t="n">
        <x:f>D346-E346</x:f>
        <x:v>-88796</x:v>
      </x:c>
      <x:c r="G346" s="49" t="n">
        <x:v>1</x:v>
      </x:c>
      <x:c r="H346" s="49" t="n">
        <x:v>2</x:v>
      </x:c>
      <x:c r="I346" s="47" t="n">
        <x:v>-258788</x:v>
      </x:c>
      <x:c r="J346" s="49" t="n">
        <x:v>194</x:v>
      </x:c>
      <x:c r="K346" s="47" t="n">
        <x:v>-172932</x:v>
      </x:c>
      <x:c r="L346" s="47" t="n">
        <x:v>129394</x:v>
      </x:c>
      <x:c r="M346" s="48" t="n">
        <x:v>3.0888888888888886</x:v>
      </x:c>
      <x:c r="N346" s="48" t="n">
        <x:v>478.4166666666667</x:v>
      </x:c>
      <x:c r="O346" s="49" t="n">
        <x:v>7</x:v>
      </x:c>
      <x:c r="P346" s="1" t="str">
        <x:v>基準併用：短期二市場の合議・標準</x:v>
      </x:c>
      <x:c r="Q346" s="49" t="n">
        <x:v>0</x:v>
      </x:c>
      <x:c r="R346" s="50" t="n">
        <x:v>0.7373046398046398</x:v>
      </x:c>
      <x:c r="S346" s="50" t="n">
        <x:v>0.7248737373737374</x:v>
      </x:c>
      <x:c r="T346" s="1" t="str">
        <x:v>全場</x:v>
      </x:c>
      <x:c r="U346" s="49" t="n">
        <x:v>3</x:v>
      </x:c>
    </x:row>
    <x:row r="347" ht="22" customHeight="1">
      <x:c r="A347" s="1" t="str">
        <x:v>日経mini</x:v>
      </x:c>
      <x:c r="B347" s="1" t="str">
        <x:v>K01</x:v>
      </x:c>
      <x:c r="C347" s="1" t="str">
        <x:v>診断3場</x:v>
      </x:c>
      <x:c r="D347" s="47" t="n">
        <x:v>436612</x:v>
      </x:c>
      <x:c r="E347" s="47" t="n">
        <x:v>522468</x:v>
      </x:c>
      <x:c r="F347" s="47" t="n">
        <x:f>D347-E347</x:f>
        <x:v>-85856</x:v>
      </x:c>
      <x:c r="G347" s="49" t="n">
        <x:v>0</x:v>
      </x:c>
      <x:c r="H347" s="49" t="n">
        <x:v>1</x:v>
      </x:c>
      <x:c r="I347" s="47" t="n">
        <x:v>-85856</x:v>
      </x:c>
      <x:c r="J347" s="49" t="n">
        <x:v>69</x:v>
      </x:c>
      <x:c r="K347" s="47" t="n">
        <x:v>-85856</x:v>
      </x:c>
      <x:c r="L347" s="47" t="n">
        <x:v>85856</x:v>
      </x:c>
      <x:c r="M347" s="48" t="n">
        <x:v>2.716666666666667</x:v>
      </x:c>
      <x:c r="N347" s="48" t="n">
        <x:v>338.3833333333333</x:v>
      </x:c>
      <x:c r="O347" s="49" t="n">
        <x:v>7</x:v>
      </x:c>
      <x:c r="P347" s="1" t="str">
        <x:v>基準併用：短期二市場の合議・標準</x:v>
      </x:c>
      <x:c r="Q347" s="49" t="n">
        <x:v>0</x:v>
      </x:c>
      <x:c r="R347" s="50" t="n">
        <x:v>0.8056746031746032</x:v>
      </x:c>
      <x:c r="S347" s="50" t="n">
        <x:v>0.8056746031746032</x:v>
      </x:c>
      <x:c r="T347" s="1" t="str">
        <x:v>デイ</x:v>
      </x:c>
      <x:c r="U347" s="49" t="n">
        <x:v>1</x:v>
      </x:c>
    </x:row>
    <x:row r="348" ht="22" customHeight="1">
      <x:c r="A348" s="1" t="str">
        <x:v>日経mini</x:v>
      </x:c>
      <x:c r="B348" s="1" t="str">
        <x:v>K01</x:v>
      </x:c>
      <x:c r="C348" s="1" t="str">
        <x:v>診断3場</x:v>
      </x:c>
      <x:c r="D348" s="47" t="n">
        <x:v>852610</x:v>
      </x:c>
      <x:c r="E348" s="47" t="n">
        <x:v>855550</x:v>
      </x:c>
      <x:c r="F348" s="47" t="n">
        <x:f>D348-E348</x:f>
        <x:v>-2940</x:v>
      </x:c>
      <x:c r="G348" s="49" t="n">
        <x:v>1</x:v>
      </x:c>
      <x:c r="H348" s="49" t="n">
        <x:v>1</x:v>
      </x:c>
      <x:c r="I348" s="47" t="n">
        <x:v>-172932</x:v>
      </x:c>
      <x:c r="J348" s="49" t="n">
        <x:v>125</x:v>
      </x:c>
      <x:c r="K348" s="47" t="n">
        <x:v>-172932</x:v>
      </x:c>
      <x:c r="L348" s="47" t="n">
        <x:v>172932</x:v>
      </x:c>
      <x:c r="M348" s="48" t="n">
        <x:v>3.275</x:v>
      </x:c>
      <x:c r="N348" s="48" t="n">
        <x:v>548.4333333333334</x:v>
      </x:c>
      <x:c r="O348" s="49" t="n">
        <x:v>7</x:v>
      </x:c>
      <x:c r="P348" s="1" t="str">
        <x:v>基準併用：短期二市場の合議・標準</x:v>
      </x:c>
      <x:c r="Q348" s="49" t="n">
        <x:v>0</x:v>
      </x:c>
      <x:c r="R348" s="50" t="n">
        <x:v>0.7031196581196582</x:v>
      </x:c>
      <x:c r="S348" s="50" t="n">
        <x:v>0.7031196581196582</x:v>
      </x:c>
      <x:c r="T348" s="1" t="str">
        <x:v>ナイト</x:v>
      </x:c>
      <x:c r="U348" s="49" t="n">
        <x:v>2</x:v>
      </x:c>
    </x:row>
    <x:row r="349" ht="22" customHeight="1">
      <x:c r="A349" s="1" t="str">
        <x:v>日経mini</x:v>
      </x:c>
      <x:c r="B349" s="1" t="str">
        <x:v>K01</x:v>
      </x:c>
      <x:c r="C349" s="1" t="str">
        <x:v>診断3場</x:v>
      </x:c>
      <x:c r="D349" s="47" t="n">
        <x:v>736764</x:v>
      </x:c>
      <x:c r="E349" s="47" t="n">
        <x:v>995552</x:v>
      </x:c>
      <x:c r="F349" s="47" t="n">
        <x:f>D349-E349</x:f>
        <x:v>-258788</x:v>
      </x:c>
      <x:c r="G349" s="49" t="n">
        <x:v>0</x:v>
      </x:c>
      <x:c r="H349" s="49" t="n">
        <x:v>2</x:v>
      </x:c>
      <x:c r="I349" s="47" t="n">
        <x:v>-258788</x:v>
      </x:c>
      <x:c r="J349" s="49" t="n">
        <x:v>132</x:v>
      </x:c>
      <x:c r="K349" s="47" t="n">
        <x:v>-172932</x:v>
      </x:c>
      <x:c r="L349" s="47" t="n">
        <x:v>129394</x:v>
      </x:c>
      <x:c r="M349" s="48" t="n">
        <x:v>2.5</x:v>
      </x:c>
      <x:c r="N349" s="48" t="n">
        <x:v>448.9</x:v>
      </x:c>
      <x:c r="O349" s="49" t="n">
        <x:v>7</x:v>
      </x:c>
      <x:c r="P349" s="1" t="str">
        <x:v>基準併用：短期二市場の合議・標準</x:v>
      </x:c>
      <x:c r="Q349" s="49" t="n">
        <x:v>0</x:v>
      </x:c>
      <x:c r="R349" s="50" t="n">
        <x:v>0.761437728937729</x:v>
      </x:c>
      <x:c r="S349" s="50" t="n">
        <x:v>0.7481666666666666</x:v>
      </x:c>
      <x:c r="T349" s="1" t="str">
        <x:v>上昇</x:v>
      </x:c>
      <x:c r="U349" s="49" t="n">
        <x:v>2</x:v>
      </x:c>
    </x:row>
    <x:row r="350" ht="22" customHeight="1">
      <x:c r="A350" s="1" t="str">
        <x:v>日経mini</x:v>
      </x:c>
      <x:c r="B350" s="1" t="str">
        <x:v>K01</x:v>
      </x:c>
      <x:c r="C350" s="1" t="str">
        <x:v>診断3場</x:v>
      </x:c>
      <x:c r="D350" s="47" t="n">
        <x:v>552458</x:v>
      </x:c>
      <x:c r="E350" s="47" t="n">
        <x:v>382466</x:v>
      </x:c>
      <x:c r="F350" s="47" t="n">
        <x:f>D350-E350</x:f>
        <x:v>169992</x:v>
      </x:c>
      <x:c r="G350" s="49" t="n">
        <x:v>1</x:v>
      </x:c>
      <x:c r="H350" s="49" t="n">
        <x:v>0</x:v>
      </x:c>
      <x:c r="I350" s="47" t="n">
        <x:v>0</x:v>
      </x:c>
      <x:c r="J350" s="49" t="n">
        <x:v>62</x:v>
      </x:c>
      <x:c r="K350" s="47" t="n">
        <x:v>169992</x:v>
      </x:c>
      <x:c r="L350" s="47" t="n">
        <x:v>0</x:v>
      </x:c>
      <x:c r="M350" s="48" t="n">
        <x:v>4.266666666666667</x:v>
      </x:c>
      <x:c r="N350" s="48" t="n">
        <x:v>537.45</x:v>
      </x:c>
      <x:c r="O350" s="49" t="n">
        <x:v>7</x:v>
      </x:c>
      <x:c r="P350" s="1" t="str">
        <x:v>基準併用：短期二市場の合議・標準</x:v>
      </x:c>
      <x:c r="Q350" s="49" t="n">
        <x:v>0</x:v>
      </x:c>
      <x:c r="R350" s="50" t="n">
        <x:v>0.6890384615384615</x:v>
      </x:c>
      <x:c r="S350" s="50" t="n">
        <x:v>0.6890384615384616</x:v>
      </x:c>
      <x:c r="T350" s="1" t="str">
        <x:v>下落</x:v>
      </x:c>
      <x:c r="U350" s="49" t="n">
        <x:v>1</x:v>
      </x:c>
    </x:row>
    <x:row r="351" ht="22" customHeight="1">
      <x:c r="A351" s="1" t="str">
        <x:v>日経mini</x:v>
      </x:c>
      <x:c r="B351" s="1" t="str">
        <x:v>K02</x:v>
      </x:c>
      <x:c r="C351" s="1" t="str">
        <x:v>全50場</x:v>
      </x:c>
      <x:c r="D351" s="47" t="n">
        <x:v>15255704</x:v>
      </x:c>
      <x:c r="E351" s="47" t="n">
        <x:v>21260016</x:v>
      </x:c>
      <x:c r="F351" s="47" t="n">
        <x:f>D351-E351</x:f>
        <x:v>-6004312</x:v>
      </x:c>
      <x:c r="G351" s="49" t="n">
        <x:v>8</x:v>
      </x:c>
      <x:c r="H351" s="49" t="n">
        <x:v>42</x:v>
      </x:c>
      <x:c r="I351" s="47" t="n">
        <x:v>-6335904</x:v>
      </x:c>
      <x:c r="J351" s="49" t="n">
        <x:v>2548</x:v>
      </x:c>
      <x:c r="K351" s="47" t="n">
        <x:v>-529008</x:v>
      </x:c>
      <x:c r="L351" s="47" t="n">
        <x:v>153407.38095238095</x:v>
      </x:c>
      <x:c r="M351" s="48" t="n">
        <x:v>3.4256666666666673</x:v>
      </x:c>
      <x:c r="N351" s="48" t="n">
        <x:v>438.6633333333333</x:v>
      </x:c>
      <x:c r="O351" s="49" t="n">
        <x:v>7</x:v>
      </x:c>
      <x:c r="P351" s="1" t="str">
        <x:v>基準併用：短期二市場の合議・広め</x:v>
      </x:c>
      <x:c r="Q351" s="49" t="n">
        <x:v>0</x:v>
      </x:c>
      <x:c r="R351" s="50" t="n">
        <x:v>0.7531702075702076</x:v>
      </x:c>
      <x:c r="S351" s="50" t="n">
        <x:v>0.7311055555555556</x:v>
      </x:c>
      <x:c r="T351" s="1" t="str">
        <x:v>全場</x:v>
      </x:c>
      <x:c r="U351" s="49" t="n">
        <x:v>50</x:v>
      </x:c>
    </x:row>
    <x:row r="352" ht="22" customHeight="1">
      <x:c r="A352" s="1" t="str">
        <x:v>日経mini</x:v>
      </x:c>
      <x:c r="B352" s="1" t="str">
        <x:v>K02</x:v>
      </x:c>
      <x:c r="C352" s="1" t="str">
        <x:v>全50場</x:v>
      </x:c>
      <x:c r="D352" s="47" t="n">
        <x:v>8232506</x:v>
      </x:c>
      <x:c r="E352" s="47" t="n">
        <x:v>11768754</x:v>
      </x:c>
      <x:c r="F352" s="47" t="n">
        <x:f>D352-E352</x:f>
        <x:v>-3536248</x:v>
      </x:c>
      <x:c r="G352" s="49" t="n">
        <x:v>3</x:v>
      </x:c>
      <x:c r="H352" s="49" t="n">
        <x:v>22</x:v>
      </x:c>
      <x:c r="I352" s="47" t="n">
        <x:v>-3640692</x:v>
      </x:c>
      <x:c r="J352" s="49" t="n">
        <x:v>1422</x:v>
      </x:c>
      <x:c r="K352" s="47" t="n">
        <x:v>-529008</x:v>
      </x:c>
      <x:c r="L352" s="47" t="n">
        <x:v>165486</x:v>
      </x:c>
      <x:c r="M352" s="48" t="n">
        <x:v>3.4600000000000004</x:v>
      </x:c>
      <x:c r="N352" s="48" t="n">
        <x:v>347.222</x:v>
      </x:c>
      <x:c r="O352" s="49" t="n">
        <x:v>7</x:v>
      </x:c>
      <x:c r="P352" s="1" t="str">
        <x:v>基準併用：短期二市場の合議・広め</x:v>
      </x:c>
      <x:c r="Q352" s="49" t="n">
        <x:v>0</x:v>
      </x:c>
      <x:c r="R352" s="50" t="n">
        <x:v>0.8267190476190477</x:v>
      </x:c>
      <x:c r="S352" s="50" t="n">
        <x:v>0.8267190476190476</x:v>
      </x:c>
      <x:c r="T352" s="1" t="str">
        <x:v>デイ</x:v>
      </x:c>
      <x:c r="U352" s="49" t="n">
        <x:v>25</x:v>
      </x:c>
    </x:row>
    <x:row r="353" ht="22" customHeight="1">
      <x:c r="A353" s="1" t="str">
        <x:v>日経mini</x:v>
      </x:c>
      <x:c r="B353" s="1" t="str">
        <x:v>K02</x:v>
      </x:c>
      <x:c r="C353" s="1" t="str">
        <x:v>全50場</x:v>
      </x:c>
      <x:c r="D353" s="47" t="n">
        <x:v>7023198</x:v>
      </x:c>
      <x:c r="E353" s="47" t="n">
        <x:v>9491262</x:v>
      </x:c>
      <x:c r="F353" s="47" t="n">
        <x:f>D353-E353</x:f>
        <x:v>-2468064</x:v>
      </x:c>
      <x:c r="G353" s="49" t="n">
        <x:v>5</x:v>
      </x:c>
      <x:c r="H353" s="49" t="n">
        <x:v>20</x:v>
      </x:c>
      <x:c r="I353" s="47" t="n">
        <x:v>-2776354</x:v>
      </x:c>
      <x:c r="J353" s="49" t="n">
        <x:v>1126</x:v>
      </x:c>
      <x:c r="K353" s="47" t="n">
        <x:v>-366010</x:v>
      </x:c>
      <x:c r="L353" s="47" t="n">
        <x:v>140120.9</x:v>
      </x:c>
      <x:c r="M353" s="48" t="n">
        <x:v>3.3913333333333333</x:v>
      </x:c>
      <x:c r="N353" s="48" t="n">
        <x:v>530.1046666666666</x:v>
      </x:c>
      <x:c r="O353" s="49" t="n">
        <x:v>7</x:v>
      </x:c>
      <x:c r="P353" s="1" t="str">
        <x:v>基準併用：短期二市場の合議・広め</x:v>
      </x:c>
      <x:c r="Q353" s="49" t="n">
        <x:v>0</x:v>
      </x:c>
      <x:c r="R353" s="50" t="n">
        <x:v>0.6796213675213676</x:v>
      </x:c>
      <x:c r="S353" s="50" t="n">
        <x:v>0.6796213675213675</x:v>
      </x:c>
      <x:c r="T353" s="1" t="str">
        <x:v>ナイト</x:v>
      </x:c>
      <x:c r="U353" s="49" t="n">
        <x:v>25</x:v>
      </x:c>
    </x:row>
    <x:row r="354" ht="22" customHeight="1">
      <x:c r="A354" s="1" t="str">
        <x:v>日経mini</x:v>
      </x:c>
      <x:c r="B354" s="1" t="str">
        <x:v>K02</x:v>
      </x:c>
      <x:c r="C354" s="1" t="str">
        <x:v>全50場</x:v>
      </x:c>
      <x:c r="D354" s="47" t="n">
        <x:v>7157346</x:v>
      </x:c>
      <x:c r="E354" s="47" t="n">
        <x:v>10129502</x:v>
      </x:c>
      <x:c r="F354" s="47" t="n">
        <x:f>D354-E354</x:f>
        <x:v>-2972156</x:v>
      </x:c>
      <x:c r="G354" s="49" t="n">
        <x:v>5</x:v>
      </x:c>
      <x:c r="H354" s="49" t="n">
        <x:v>19</x:v>
      </x:c>
      <x:c r="I354" s="47" t="n">
        <x:v>-3118298</x:v>
      </x:c>
      <x:c r="J354" s="49" t="n">
        <x:v>1233</x:v>
      </x:c>
      <x:c r="K354" s="47" t="n">
        <x:v>-451314</x:v>
      </x:c>
      <x:c r="L354" s="47" t="n">
        <x:v>165492.73684210525</x:v>
      </x:c>
      <x:c r="M354" s="48" t="n">
        <x:v>3.3486111111111114</x:v>
      </x:c>
      <x:c r="N354" s="48" t="n">
        <x:v>443.0562499999999</x:v>
      </x:c>
      <x:c r="O354" s="49" t="n">
        <x:v>7</x:v>
      </x:c>
      <x:c r="P354" s="1" t="str">
        <x:v>基準併用：短期二市場の合議・広め</x:v>
      </x:c>
      <x:c r="Q354" s="49" t="n">
        <x:v>0</x:v>
      </x:c>
      <x:c r="R354" s="50" t="n">
        <x:v>0.7398744658119658</x:v>
      </x:c>
      <x:c r="S354" s="50" t="n">
        <x:v>0.7204166666666667</x:v>
      </x:c>
      <x:c r="T354" s="1" t="str">
        <x:v>上昇</x:v>
      </x:c>
      <x:c r="U354" s="49" t="n">
        <x:v>24</x:v>
      </x:c>
    </x:row>
    <x:row r="355" ht="22" customHeight="1">
      <x:c r="A355" s="1" t="str">
        <x:v>日経mini</x:v>
      </x:c>
      <x:c r="B355" s="1" t="str">
        <x:v>K02</x:v>
      </x:c>
      <x:c r="C355" s="1" t="str">
        <x:v>全50場</x:v>
      </x:c>
      <x:c r="D355" s="47" t="n">
        <x:v>8098358</x:v>
      </x:c>
      <x:c r="E355" s="47" t="n">
        <x:v>11130514</x:v>
      </x:c>
      <x:c r="F355" s="47" t="n">
        <x:f>D355-E355</x:f>
        <x:v>-3032156</x:v>
      </x:c>
      <x:c r="G355" s="49" t="n">
        <x:v>3</x:v>
      </x:c>
      <x:c r="H355" s="49" t="n">
        <x:v>23</x:v>
      </x:c>
      <x:c r="I355" s="47" t="n">
        <x:v>-3298748</x:v>
      </x:c>
      <x:c r="J355" s="49" t="n">
        <x:v>1315</x:v>
      </x:c>
      <x:c r="K355" s="47" t="n">
        <x:v>-529008</x:v>
      </x:c>
      <x:c r="L355" s="47" t="n">
        <x:v>143423.8260869565</x:v>
      </x:c>
      <x:c r="M355" s="48" t="n">
        <x:v>3.496794871794872</x:v>
      </x:c>
      <x:c r="N355" s="48" t="n">
        <x:v>434.60833333333335</x:v>
      </x:c>
      <x:c r="O355" s="49" t="n">
        <x:v>7</x:v>
      </x:c>
      <x:c r="P355" s="1" t="str">
        <x:v>基準併用：短期二市場の合議・広め</x:v>
      </x:c>
      <x:c r="Q355" s="49" t="n">
        <x:v>0</x:v>
      </x:c>
      <x:c r="R355" s="50" t="n">
        <x:v>0.7654431999624307</x:v>
      </x:c>
      <x:c r="S355" s="50" t="n">
        <x:v>0.7414577865266843</x:v>
      </x:c>
      <x:c r="T355" s="1" t="str">
        <x:v>下落</x:v>
      </x:c>
      <x:c r="U355" s="49" t="n">
        <x:v>26</x:v>
      </x:c>
    </x:row>
    <x:row r="356" ht="22" customHeight="1">
      <x:c r="A356" s="1" t="str">
        <x:v>日経mini</x:v>
      </x:c>
      <x:c r="B356" s="1" t="str">
        <x:v>K02</x:v>
      </x:c>
      <x:c r="C356" s="1" t="str">
        <x:v>対照47場</x:v>
      </x:c>
      <x:c r="D356" s="47" t="n">
        <x:v>14012020</x:v>
      </x:c>
      <x:c r="E356" s="47" t="n">
        <x:v>19898922</x:v>
      </x:c>
      <x:c r="F356" s="47" t="n">
        <x:f>D356-E356</x:f>
        <x:v>-5886902</x:v>
      </x:c>
      <x:c r="G356" s="49" t="n">
        <x:v>7</x:v>
      </x:c>
      <x:c r="H356" s="49" t="n">
        <x:v>40</x:v>
      </x:c>
      <x:c r="I356" s="47" t="n">
        <x:v>-6163960</x:v>
      </x:c>
      <x:c r="J356" s="49" t="n">
        <x:v>2363</x:v>
      </x:c>
      <x:c r="K356" s="47" t="n">
        <x:v>-529008</x:v>
      </x:c>
      <x:c r="L356" s="47" t="n">
        <x:v>155727.3</x:v>
      </x:c>
      <x:c r="M356" s="48" t="n">
        <x:v>3.4471631205673763</x:v>
      </x:c>
      <x:c r="N356" s="48" t="n">
        <x:v>434.7620567375887</x:v>
      </x:c>
      <x:c r="O356" s="49" t="n">
        <x:v>7</x:v>
      </x:c>
      <x:c r="P356" s="1" t="str">
        <x:v>基準併用：短期二市場の合議・広め</x:v>
      </x:c>
      <x:c r="Q356" s="49" t="n">
        <x:v>0</x:v>
      </x:c>
      <x:c r="R356" s="50" t="n">
        <x:v>0.7523860831839555</x:v>
      </x:c>
      <x:c r="S356" s="50" t="n">
        <x:v>0.7292582679038782</x:v>
      </x:c>
      <x:c r="T356" s="1" t="str">
        <x:v>全場</x:v>
      </x:c>
      <x:c r="U356" s="49" t="n">
        <x:v>47</x:v>
      </x:c>
    </x:row>
    <x:row r="357" ht="22" customHeight="1">
      <x:c r="A357" s="1" t="str">
        <x:v>日経mini</x:v>
      </x:c>
      <x:c r="B357" s="1" t="str">
        <x:v>K02</x:v>
      </x:c>
      <x:c r="C357" s="1" t="str">
        <x:v>対照47場</x:v>
      </x:c>
      <x:c r="D357" s="47" t="n">
        <x:v>7793894</x:v>
      </x:c>
      <x:c r="E357" s="47" t="n">
        <x:v>11256286</x:v>
      </x:c>
      <x:c r="F357" s="47" t="n">
        <x:f>D357-E357</x:f>
        <x:v>-3462392</x:v>
      </x:c>
      <x:c r="G357" s="49" t="n">
        <x:v>3</x:v>
      </x:c>
      <x:c r="H357" s="49" t="n">
        <x:v>21</x:v>
      </x:c>
      <x:c r="I357" s="47" t="n">
        <x:v>-3566836</x:v>
      </x:c>
      <x:c r="J357" s="49" t="n">
        <x:v>1353</x:v>
      </x:c>
      <x:c r="K357" s="47" t="n">
        <x:v>-529008</x:v>
      </x:c>
      <x:c r="L357" s="47" t="n">
        <x:v>169849.33333333334</x:v>
      </x:c>
      <x:c r="M357" s="48" t="n">
        <x:v>3.4909722222222226</x:v>
      </x:c>
      <x:c r="N357" s="48" t="n">
        <x:v>347.5041666666666</x:v>
      </x:c>
      <x:c r="O357" s="49" t="n">
        <x:v>7</x:v>
      </x:c>
      <x:c r="P357" s="1" t="str">
        <x:v>基準併用：短期二市場の合議・広め</x:v>
      </x:c>
      <x:c r="Q357" s="49" t="n">
        <x:v>0</x:v>
      </x:c>
      <x:c r="R357" s="50" t="n">
        <x:v>0.8273908730158731</x:v>
      </x:c>
      <x:c r="S357" s="50" t="n">
        <x:v>0.8273908730158731</x:v>
      </x:c>
      <x:c r="T357" s="1" t="str">
        <x:v>デイ</x:v>
      </x:c>
      <x:c r="U357" s="49" t="n">
        <x:v>24</x:v>
      </x:c>
    </x:row>
    <x:row r="358" ht="22" customHeight="1">
      <x:c r="A358" s="1" t="str">
        <x:v>日経mini</x:v>
      </x:c>
      <x:c r="B358" s="1" t="str">
        <x:v>K02</x:v>
      </x:c>
      <x:c r="C358" s="1" t="str">
        <x:v>対照47場</x:v>
      </x:c>
      <x:c r="D358" s="47" t="n">
        <x:v>6218126</x:v>
      </x:c>
      <x:c r="E358" s="47" t="n">
        <x:v>8642636</x:v>
      </x:c>
      <x:c r="F358" s="47" t="n">
        <x:f>D358-E358</x:f>
        <x:v>-2424510</x:v>
      </x:c>
      <x:c r="G358" s="49" t="n">
        <x:v>4</x:v>
      </x:c>
      <x:c r="H358" s="49" t="n">
        <x:v>19</x:v>
      </x:c>
      <x:c r="I358" s="47" t="n">
        <x:v>-2655880</x:v>
      </x:c>
      <x:c r="J358" s="49" t="n">
        <x:v>1010</x:v>
      </x:c>
      <x:c r="K358" s="47" t="n">
        <x:v>-366010</x:v>
      </x:c>
      <x:c r="L358" s="47" t="n">
        <x:v>140118.73684210525</x:v>
      </x:c>
      <x:c r="M358" s="48" t="n">
        <x:v>3.4014492753623187</x:v>
      </x:c>
      <x:c r="N358" s="48" t="n">
        <x:v>525.813768115942</x:v>
      </x:c>
      <x:c r="O358" s="49" t="n">
        <x:v>7</x:v>
      </x:c>
      <x:c r="P358" s="1" t="str">
        <x:v>基準併用：短期二市場の合議・広め</x:v>
      </x:c>
      <x:c r="Q358" s="49" t="n">
        <x:v>0</x:v>
      </x:c>
      <x:c r="R358" s="50" t="n">
        <x:v>0.674120215533259</x:v>
      </x:c>
      <x:c r="S358" s="50" t="n">
        <x:v>0.6741202155332591</x:v>
      </x:c>
      <x:c r="T358" s="1" t="str">
        <x:v>ナイト</x:v>
      </x:c>
      <x:c r="U358" s="49" t="n">
        <x:v>23</x:v>
      </x:c>
    </x:row>
    <x:row r="359" ht="22" customHeight="1">
      <x:c r="A359" s="1" t="str">
        <x:v>日経mini</x:v>
      </x:c>
      <x:c r="B359" s="1" t="str">
        <x:v>K02</x:v>
      </x:c>
      <x:c r="C359" s="1" t="str">
        <x:v>対照47場</x:v>
      </x:c>
      <x:c r="D359" s="47" t="n">
        <x:v>6418736</x:v>
      </x:c>
      <x:c r="E359" s="47" t="n">
        <x:v>9176874</x:v>
      </x:c>
      <x:c r="F359" s="47" t="n">
        <x:f>D359-E359</x:f>
        <x:v>-2758138</x:v>
      </x:c>
      <x:c r="G359" s="49" t="n">
        <x:v>5</x:v>
      </x:c>
      <x:c r="H359" s="49" t="n">
        <x:v>17</x:v>
      </x:c>
      <x:c r="I359" s="47" t="n">
        <x:v>-2904280</x:v>
      </x:c>
      <x:c r="J359" s="49" t="n">
        <x:v>1106</x:v>
      </x:c>
      <x:c r="K359" s="47" t="n">
        <x:v>-451314</x:v>
      </x:c>
      <x:c r="L359" s="47" t="n">
        <x:v>172373.17647058822</x:v>
      </x:c>
      <x:c r="M359" s="48" t="n">
        <x:v>3.4257575757575767</x:v>
      </x:c>
      <x:c r="N359" s="48" t="n">
        <x:v>442.00454545454545</x:v>
      </x:c>
      <x:c r="O359" s="49" t="n">
        <x:v>7</x:v>
      </x:c>
      <x:c r="P359" s="1" t="str">
        <x:v>基準併用：短期二市場の合議・広め</x:v>
      </x:c>
      <x:c r="Q359" s="49" t="n">
        <x:v>0</x:v>
      </x:c>
      <x:c r="R359" s="50" t="n">
        <x:v>0.7371436896436897</x:v>
      </x:c>
      <x:c r="S359" s="50" t="n">
        <x:v>0.7171165191740413</x:v>
      </x:c>
      <x:c r="T359" s="1" t="str">
        <x:v>上昇</x:v>
      </x:c>
      <x:c r="U359" s="49" t="n">
        <x:v>22</x:v>
      </x:c>
    </x:row>
    <x:row r="360" ht="22" customHeight="1">
      <x:c r="A360" s="1" t="str">
        <x:v>日経mini</x:v>
      </x:c>
      <x:c r="B360" s="1" t="str">
        <x:v>K02</x:v>
      </x:c>
      <x:c r="C360" s="1" t="str">
        <x:v>対照47場</x:v>
      </x:c>
      <x:c r="D360" s="47" t="n">
        <x:v>7593284</x:v>
      </x:c>
      <x:c r="E360" s="47" t="n">
        <x:v>10722048</x:v>
      </x:c>
      <x:c r="F360" s="47" t="n">
        <x:f>D360-E360</x:f>
        <x:v>-3128764</x:v>
      </x:c>
      <x:c r="G360" s="49" t="n">
        <x:v>2</x:v>
      </x:c>
      <x:c r="H360" s="49" t="n">
        <x:v>23</x:v>
      </x:c>
      <x:c r="I360" s="47" t="n">
        <x:v>-3298748</x:v>
      </x:c>
      <x:c r="J360" s="49" t="n">
        <x:v>1257</x:v>
      </x:c>
      <x:c r="K360" s="47" t="n">
        <x:v>-529008</x:v>
      </x:c>
      <x:c r="L360" s="47" t="n">
        <x:v>143423.8260869565</x:v>
      </x:c>
      <x:c r="M360" s="48" t="n">
        <x:v>3.466</x:v>
      </x:c>
      <x:c r="N360" s="48" t="n">
        <x:v>428.38866666666667</x:v>
      </x:c>
      <x:c r="O360" s="49" t="n">
        <x:v>7</x:v>
      </x:c>
      <x:c r="P360" s="1" t="str">
        <x:v>基準併用：短期二市場の合議・広め</x:v>
      </x:c>
      <x:c r="Q360" s="49" t="n">
        <x:v>0</x:v>
      </x:c>
      <x:c r="R360" s="50" t="n">
        <x:v>0.7657993894993895</x:v>
      </x:c>
      <x:c r="S360" s="50" t="n">
        <x:v>0.740644306131858</x:v>
      </x:c>
      <x:c r="T360" s="1" t="str">
        <x:v>下落</x:v>
      </x:c>
      <x:c r="U360" s="49" t="n">
        <x:v>25</x:v>
      </x:c>
    </x:row>
    <x:row r="361" ht="22" customHeight="1">
      <x:c r="A361" s="1" t="str">
        <x:v>日経mini</x:v>
      </x:c>
      <x:c r="B361" s="1" t="str">
        <x:v>K02</x:v>
      </x:c>
      <x:c r="C361" s="1" t="str">
        <x:v>診断3場</x:v>
      </x:c>
      <x:c r="D361" s="47" t="n">
        <x:v>1243684</x:v>
      </x:c>
      <x:c r="E361" s="47" t="n">
        <x:v>1361094</x:v>
      </x:c>
      <x:c r="F361" s="47" t="n">
        <x:f>D361-E361</x:f>
        <x:v>-117410</x:v>
      </x:c>
      <x:c r="G361" s="49" t="n">
        <x:v>1</x:v>
      </x:c>
      <x:c r="H361" s="49" t="n">
        <x:v>2</x:v>
      </x:c>
      <x:c r="I361" s="47" t="n">
        <x:v>-214018</x:v>
      </x:c>
      <x:c r="J361" s="49" t="n">
        <x:v>185</x:v>
      </x:c>
      <x:c r="K361" s="47" t="n">
        <x:v>-140162</x:v>
      </x:c>
      <x:c r="L361" s="47" t="n">
        <x:v>107009</x:v>
      </x:c>
      <x:c r="M361" s="48" t="n">
        <x:v>3.0888888888888886</x:v>
      </x:c>
      <x:c r="N361" s="48" t="n">
        <x:v>499.7833333333333</x:v>
      </x:c>
      <x:c r="O361" s="49" t="n">
        <x:v>7</x:v>
      </x:c>
      <x:c r="P361" s="1" t="str">
        <x:v>基準併用：短期二市場の合議・広め</x:v>
      </x:c>
      <x:c r="Q361" s="49" t="n">
        <x:v>0</x:v>
      </x:c>
      <x:c r="R361" s="50" t="n">
        <x:v>0.7654548229548229</x:v>
      </x:c>
      <x:c r="S361" s="50" t="n">
        <x:v>0.7572474747474747</x:v>
      </x:c>
      <x:c r="T361" s="1" t="str">
        <x:v>全場</x:v>
      </x:c>
      <x:c r="U361" s="49" t="n">
        <x:v>3</x:v>
      </x:c>
    </x:row>
    <x:row r="362" ht="22" customHeight="1">
      <x:c r="A362" s="1" t="str">
        <x:v>日経mini</x:v>
      </x:c>
      <x:c r="B362" s="1" t="str">
        <x:v>K02</x:v>
      </x:c>
      <x:c r="C362" s="1" t="str">
        <x:v>診断3場</x:v>
      </x:c>
      <x:c r="D362" s="47" t="n">
        <x:v>438612</x:v>
      </x:c>
      <x:c r="E362" s="47" t="n">
        <x:v>512468</x:v>
      </x:c>
      <x:c r="F362" s="47" t="n">
        <x:f>D362-E362</x:f>
        <x:v>-73856</x:v>
      </x:c>
      <x:c r="G362" s="49" t="n">
        <x:v>0</x:v>
      </x:c>
      <x:c r="H362" s="49" t="n">
        <x:v>1</x:v>
      </x:c>
      <x:c r="I362" s="47" t="n">
        <x:v>-73856</x:v>
      </x:c>
      <x:c r="J362" s="49" t="n">
        <x:v>69</x:v>
      </x:c>
      <x:c r="K362" s="47" t="n">
        <x:v>-73856</x:v>
      </x:c>
      <x:c r="L362" s="47" t="n">
        <x:v>73856</x:v>
      </x:c>
      <x:c r="M362" s="48" t="n">
        <x:v>2.716666666666667</x:v>
      </x:c>
      <x:c r="N362" s="48" t="n">
        <x:v>340.45</x:v>
      </x:c>
      <x:c r="O362" s="49" t="n">
        <x:v>7</x:v>
      </x:c>
      <x:c r="P362" s="1" t="str">
        <x:v>基準併用：短期二市場の合議・広め</x:v>
      </x:c>
      <x:c r="Q362" s="49" t="n">
        <x:v>0</x:v>
      </x:c>
      <x:c r="R362" s="50" t="n">
        <x:v>0.8105952380952381</x:v>
      </x:c>
      <x:c r="S362" s="50" t="n">
        <x:v>0.810595238095238</x:v>
      </x:c>
      <x:c r="T362" s="1" t="str">
        <x:v>デイ</x:v>
      </x:c>
      <x:c r="U362" s="49" t="n">
        <x:v>1</x:v>
      </x:c>
    </x:row>
    <x:row r="363" ht="22" customHeight="1">
      <x:c r="A363" s="1" t="str">
        <x:v>日経mini</x:v>
      </x:c>
      <x:c r="B363" s="1" t="str">
        <x:v>K02</x:v>
      </x:c>
      <x:c r="C363" s="1" t="str">
        <x:v>診断3場</x:v>
      </x:c>
      <x:c r="D363" s="47" t="n">
        <x:v>805072</x:v>
      </x:c>
      <x:c r="E363" s="47" t="n">
        <x:v>848626</x:v>
      </x:c>
      <x:c r="F363" s="47" t="n">
        <x:f>D363-E363</x:f>
        <x:v>-43554</x:v>
      </x:c>
      <x:c r="G363" s="49" t="n">
        <x:v>1</x:v>
      </x:c>
      <x:c r="H363" s="49" t="n">
        <x:v>1</x:v>
      </x:c>
      <x:c r="I363" s="47" t="n">
        <x:v>-140162</x:v>
      </x:c>
      <x:c r="J363" s="49" t="n">
        <x:v>116</x:v>
      </x:c>
      <x:c r="K363" s="47" t="n">
        <x:v>-140162</x:v>
      </x:c>
      <x:c r="L363" s="47" t="n">
        <x:v>140162</x:v>
      </x:c>
      <x:c r="M363" s="48" t="n">
        <x:v>3.275</x:v>
      </x:c>
      <x:c r="N363" s="48" t="n">
        <x:v>579.45</x:v>
      </x:c>
      <x:c r="O363" s="49" t="n">
        <x:v>7</x:v>
      </x:c>
      <x:c r="P363" s="1" t="str">
        <x:v>基準併用：短期二市場の合議・広め</x:v>
      </x:c>
      <x:c r="Q363" s="49" t="n">
        <x:v>0</x:v>
      </x:c>
      <x:c r="R363" s="50" t="n">
        <x:v>0.7428846153846154</x:v>
      </x:c>
      <x:c r="S363" s="50" t="n">
        <x:v>0.7428846153846155</x:v>
      </x:c>
      <x:c r="T363" s="1" t="str">
        <x:v>ナイト</x:v>
      </x:c>
      <x:c r="U363" s="49" t="n">
        <x:v>2</x:v>
      </x:c>
    </x:row>
    <x:row r="364" ht="22" customHeight="1">
      <x:c r="A364" s="1" t="str">
        <x:v>日経mini</x:v>
      </x:c>
      <x:c r="B364" s="1" t="str">
        <x:v>K02</x:v>
      </x:c>
      <x:c r="C364" s="1" t="str">
        <x:v>診断3場</x:v>
      </x:c>
      <x:c r="D364" s="47" t="n">
        <x:v>738610</x:v>
      </x:c>
      <x:c r="E364" s="47" t="n">
        <x:v>952628</x:v>
      </x:c>
      <x:c r="F364" s="47" t="n">
        <x:f>D364-E364</x:f>
        <x:v>-214018</x:v>
      </x:c>
      <x:c r="G364" s="49" t="n">
        <x:v>0</x:v>
      </x:c>
      <x:c r="H364" s="49" t="n">
        <x:v>2</x:v>
      </x:c>
      <x:c r="I364" s="47" t="n">
        <x:v>-214018</x:v>
      </x:c>
      <x:c r="J364" s="49" t="n">
        <x:v>127</x:v>
      </x:c>
      <x:c r="K364" s="47" t="n">
        <x:v>-140162</x:v>
      </x:c>
      <x:c r="L364" s="47" t="n">
        <x:v>107009</x:v>
      </x:c>
      <x:c r="M364" s="48" t="n">
        <x:v>2.5</x:v>
      </x:c>
      <x:c r="N364" s="48" t="n">
        <x:v>454.625</x:v>
      </x:c>
      <x:c r="O364" s="49" t="n">
        <x:v>7</x:v>
      </x:c>
      <x:c r="P364" s="1" t="str">
        <x:v>基準併用：短期二市場の合議・広め</x:v>
      </x:c>
      <x:c r="Q364" s="49" t="n">
        <x:v>0</x:v>
      </x:c>
      <x:c r="R364" s="50" t="n">
        <x:v>0.7699130036630037</x:v>
      </x:c>
      <x:c r="S364" s="50" t="n">
        <x:v>0.7577083333333333</x:v>
      </x:c>
      <x:c r="T364" s="1" t="str">
        <x:v>上昇</x:v>
      </x:c>
      <x:c r="U364" s="49" t="n">
        <x:v>2</x:v>
      </x:c>
    </x:row>
    <x:row r="365" ht="22" customHeight="1">
      <x:c r="A365" s="1" t="str">
        <x:v>日経mini</x:v>
      </x:c>
      <x:c r="B365" s="1" t="str">
        <x:v>K02</x:v>
      </x:c>
      <x:c r="C365" s="1" t="str">
        <x:v>診断3場</x:v>
      </x:c>
      <x:c r="D365" s="47" t="n">
        <x:v>505074</x:v>
      </x:c>
      <x:c r="E365" s="47" t="n">
        <x:v>408466</x:v>
      </x:c>
      <x:c r="F365" s="47" t="n">
        <x:f>D365-E365</x:f>
        <x:v>96608</x:v>
      </x:c>
      <x:c r="G365" s="49" t="n">
        <x:v>1</x:v>
      </x:c>
      <x:c r="H365" s="49" t="n">
        <x:v>0</x:v>
      </x:c>
      <x:c r="I365" s="47" t="n">
        <x:v>0</x:v>
      </x:c>
      <x:c r="J365" s="49" t="n">
        <x:v>58</x:v>
      </x:c>
      <x:c r="K365" s="47" t="n">
        <x:v>96608</x:v>
      </x:c>
      <x:c r="L365" s="47" t="n">
        <x:v>0</x:v>
      </x:c>
      <x:c r="M365" s="48" t="n">
        <x:v>4.266666666666667</x:v>
      </x:c>
      <x:c r="N365" s="48" t="n">
        <x:v>590.1</x:v>
      </x:c>
      <x:c r="O365" s="49" t="n">
        <x:v>7</x:v>
      </x:c>
      <x:c r="P365" s="1" t="str">
        <x:v>基準併用：短期二市場の合議・広め</x:v>
      </x:c>
      <x:c r="Q365" s="49" t="n">
        <x:v>0</x:v>
      </x:c>
      <x:c r="R365" s="50" t="n">
        <x:v>0.7565384615384615</x:v>
      </x:c>
      <x:c r="S365" s="50" t="n">
        <x:v>0.7565384615384616</x:v>
      </x:c>
      <x:c r="T365" s="1" t="str">
        <x:v>下落</x:v>
      </x:c>
      <x:c r="U365" s="49" t="n">
        <x:v>1</x:v>
      </x:c>
    </x:row>
    <x:row r="366" ht="22" customHeight="1">
      <x:c r="A366" s="1" t="str">
        <x:v>日経mini</x:v>
      </x:c>
      <x:c r="B366" s="1" t="str">
        <x:v>K03</x:v>
      </x:c>
      <x:c r="C366" s="1" t="str">
        <x:v>全50場</x:v>
      </x:c>
      <x:c r="D366" s="47" t="n">
        <x:v>14952948</x:v>
      </x:c>
      <x:c r="E366" s="47" t="n">
        <x:v>19537354</x:v>
      </x:c>
      <x:c r="F366" s="47" t="n">
        <x:f>D366-E366</x:f>
        <x:v>-4584406</x:v>
      </x:c>
      <x:c r="G366" s="49" t="n">
        <x:v>11</x:v>
      </x:c>
      <x:c r="H366" s="49" t="n">
        <x:v>39</x:v>
      </x:c>
      <x:c r="I366" s="47" t="n">
        <x:v>-5195234</x:v>
      </x:c>
      <x:c r="J366" s="49" t="n">
        <x:v>2159</x:v>
      </x:c>
      <x:c r="K366" s="47" t="n">
        <x:v>-518698</x:v>
      </x:c>
      <x:c r="L366" s="47" t="n">
        <x:v>144099.6923076923</x:v>
      </x:c>
      <x:c r="M366" s="48" t="n">
        <x:v>3.4256666666666673</x:v>
      </x:c>
      <x:c r="N366" s="48" t="n">
        <x:v>424.8336666666666</x:v>
      </x:c>
      <x:c r="O366" s="49" t="n">
        <x:v>7</x:v>
      </x:c>
      <x:c r="P366" s="1" t="str">
        <x:v>基準併用：中期支持中は短期逆行を保持・標準</x:v>
      </x:c>
      <x:c r="Q366" s="49" t="n">
        <x:v>0</x:v>
      </x:c>
      <x:c r="R366" s="50" t="n">
        <x:v>0.7374431623931623</x:v>
      </x:c>
      <x:c r="S366" s="50" t="n">
        <x:v>0.7080561111111111</x:v>
      </x:c>
      <x:c r="T366" s="1" t="str">
        <x:v>全場</x:v>
      </x:c>
      <x:c r="U366" s="49" t="n">
        <x:v>50</x:v>
      </x:c>
    </x:row>
    <x:row r="367" ht="22" customHeight="1">
      <x:c r="A367" s="1" t="str">
        <x:v>日経mini</x:v>
      </x:c>
      <x:c r="B367" s="1" t="str">
        <x:v>K03</x:v>
      </x:c>
      <x:c r="C367" s="1" t="str">
        <x:v>全50場</x:v>
      </x:c>
      <x:c r="D367" s="47" t="n">
        <x:v>7873284</x:v>
      </x:c>
      <x:c r="E367" s="47" t="n">
        <x:v>10231178</x:v>
      </x:c>
      <x:c r="F367" s="47" t="n">
        <x:f>D367-E367</x:f>
        <x:v>-2357894</x:v>
      </x:c>
      <x:c r="G367" s="49" t="n">
        <x:v>5</x:v>
      </x:c>
      <x:c r="H367" s="49" t="n">
        <x:v>20</x:v>
      </x:c>
      <x:c r="I367" s="47" t="n">
        <x:v>-2940258</x:v>
      </x:c>
      <x:c r="J367" s="49" t="n">
        <x:v>1121</x:v>
      </x:c>
      <x:c r="K367" s="47" t="n">
        <x:v>-518698</x:v>
      </x:c>
      <x:c r="L367" s="47" t="n">
        <x:v>148201</x:v>
      </x:c>
      <x:c r="M367" s="48" t="n">
        <x:v>3.4600000000000004</x:v>
      </x:c>
      <x:c r="N367" s="48" t="n">
        <x:v>350.86800000000005</x:v>
      </x:c>
      <x:c r="O367" s="49" t="n">
        <x:v>7</x:v>
      </x:c>
      <x:c r="P367" s="1" t="str">
        <x:v>基準併用：中期支持中は短期逆行を保持・標準</x:v>
      </x:c>
      <x:c r="Q367" s="49" t="n">
        <x:v>0</x:v>
      </x:c>
      <x:c r="R367" s="50" t="n">
        <x:v>0.8353999999999999</x:v>
      </x:c>
      <x:c r="S367" s="50" t="n">
        <x:v>0.8354</x:v>
      </x:c>
      <x:c r="T367" s="1" t="str">
        <x:v>デイ</x:v>
      </x:c>
      <x:c r="U367" s="49" t="n">
        <x:v>25</x:v>
      </x:c>
    </x:row>
    <x:row r="368" ht="22" customHeight="1">
      <x:c r="A368" s="1" t="str">
        <x:v>日経mini</x:v>
      </x:c>
      <x:c r="B368" s="1" t="str">
        <x:v>K03</x:v>
      </x:c>
      <x:c r="C368" s="1" t="str">
        <x:v>全50場</x:v>
      </x:c>
      <x:c r="D368" s="47" t="n">
        <x:v>7079664</x:v>
      </x:c>
      <x:c r="E368" s="47" t="n">
        <x:v>9306176</x:v>
      </x:c>
      <x:c r="F368" s="47" t="n">
        <x:f>D368-E368</x:f>
        <x:v>-2226512</x:v>
      </x:c>
      <x:c r="G368" s="49" t="n">
        <x:v>6</x:v>
      </x:c>
      <x:c r="H368" s="49" t="n">
        <x:v>19</x:v>
      </x:c>
      <x:c r="I368" s="47" t="n">
        <x:v>-2551186</x:v>
      </x:c>
      <x:c r="J368" s="49" t="n">
        <x:v>1038</x:v>
      </x:c>
      <x:c r="K368" s="47" t="n">
        <x:v>-300238</x:v>
      </x:c>
      <x:c r="L368" s="47" t="n">
        <x:v>139782.52631578947</x:v>
      </x:c>
      <x:c r="M368" s="48" t="n">
        <x:v>3.3913333333333333</x:v>
      </x:c>
      <x:c r="N368" s="48" t="n">
        <x:v>498.7993333333333</x:v>
      </x:c>
      <x:c r="O368" s="49" t="n">
        <x:v>7</x:v>
      </x:c>
      <x:c r="P368" s="1" t="str">
        <x:v>基準併用：中期支持中は短期逆行を保持・標準</x:v>
      </x:c>
      <x:c r="Q368" s="49" t="n">
        <x:v>0</x:v>
      </x:c>
      <x:c r="R368" s="50" t="n">
        <x:v>0.6394863247863248</x:v>
      </x:c>
      <x:c r="S368" s="50" t="n">
        <x:v>0.6394863247863248</x:v>
      </x:c>
      <x:c r="T368" s="1" t="str">
        <x:v>ナイト</x:v>
      </x:c>
      <x:c r="U368" s="49" t="n">
        <x:v>25</x:v>
      </x:c>
    </x:row>
    <x:row r="369" ht="22" customHeight="1">
      <x:c r="A369" s="1" t="str">
        <x:v>日経mini</x:v>
      </x:c>
      <x:c r="B369" s="1" t="str">
        <x:v>K03</x:v>
      </x:c>
      <x:c r="C369" s="1" t="str">
        <x:v>全50場</x:v>
      </x:c>
      <x:c r="D369" s="47" t="n">
        <x:v>7180890</x:v>
      </x:c>
      <x:c r="E369" s="47" t="n">
        <x:v>9257170</x:v>
      </x:c>
      <x:c r="F369" s="47" t="n">
        <x:f>D369-E369</x:f>
        <x:v>-2076280</x:v>
      </x:c>
      <x:c r="G369" s="49" t="n">
        <x:v>5</x:v>
      </x:c>
      <x:c r="H369" s="49" t="n">
        <x:v>19</x:v>
      </x:c>
      <x:c r="I369" s="47" t="n">
        <x:v>-2423338</x:v>
      </x:c>
      <x:c r="J369" s="49" t="n">
        <x:v>1039</x:v>
      </x:c>
      <x:c r="K369" s="47" t="n">
        <x:v>-308160</x:v>
      </x:c>
      <x:c r="L369" s="47" t="n">
        <x:v>128794.73684210527</x:v>
      </x:c>
      <x:c r="M369" s="48" t="n">
        <x:v>3.3486111111111114</x:v>
      </x:c>
      <x:c r="N369" s="48" t="n">
        <x:v>426.0868055555556</x:v>
      </x:c>
      <x:c r="O369" s="49" t="n">
        <x:v>7</x:v>
      </x:c>
      <x:c r="P369" s="1" t="str">
        <x:v>基準併用：中期支持中は短期逆行を保持・標準</x:v>
      </x:c>
      <x:c r="Q369" s="49" t="n">
        <x:v>0</x:v>
      </x:c>
      <x:c r="R369" s="50" t="n">
        <x:v>0.7224632427757428</x:v>
      </x:c>
      <x:c r="S369" s="50" t="n">
        <x:v>0.6928240740740741</x:v>
      </x:c>
      <x:c r="T369" s="1" t="str">
        <x:v>上昇</x:v>
      </x:c>
      <x:c r="U369" s="49" t="n">
        <x:v>24</x:v>
      </x:c>
    </x:row>
    <x:row r="370" ht="22" customHeight="1">
      <x:c r="A370" s="1" t="str">
        <x:v>日経mini</x:v>
      </x:c>
      <x:c r="B370" s="1" t="str">
        <x:v>K03</x:v>
      </x:c>
      <x:c r="C370" s="1" t="str">
        <x:v>全50場</x:v>
      </x:c>
      <x:c r="D370" s="47" t="n">
        <x:v>7772058</x:v>
      </x:c>
      <x:c r="E370" s="47" t="n">
        <x:v>10280184</x:v>
      </x:c>
      <x:c r="F370" s="47" t="n">
        <x:f>D370-E370</x:f>
        <x:v>-2508126</x:v>
      </x:c>
      <x:c r="G370" s="49" t="n">
        <x:v>6</x:v>
      </x:c>
      <x:c r="H370" s="49" t="n">
        <x:v>20</x:v>
      </x:c>
      <x:c r="I370" s="47" t="n">
        <x:v>-3068106</x:v>
      </x:c>
      <x:c r="J370" s="49" t="n">
        <x:v>1120</x:v>
      </x:c>
      <x:c r="K370" s="47" t="n">
        <x:v>-518698</x:v>
      </x:c>
      <x:c r="L370" s="47" t="n">
        <x:v>158639.4</x:v>
      </x:c>
      <x:c r="M370" s="48" t="n">
        <x:v>3.496794871794872</x:v>
      </x:c>
      <x:c r="N370" s="48" t="n">
        <x:v>423.6769230769231</x:v>
      </x:c>
      <x:c r="O370" s="49" t="n">
        <x:v>7</x:v>
      </x:c>
      <x:c r="P370" s="1" t="str">
        <x:v>基準併用：中期支持中は短期逆行を保持・標準</x:v>
      </x:c>
      <x:c r="Q370" s="49" t="n">
        <x:v>0</x:v>
      </x:c>
      <x:c r="R370" s="50" t="n">
        <x:v>0.7512707805015496</x:v>
      </x:c>
      <x:c r="S370" s="50" t="n">
        <x:v>0.7228083989501313</x:v>
      </x:c>
      <x:c r="T370" s="1" t="str">
        <x:v>下落</x:v>
      </x:c>
      <x:c r="U370" s="49" t="n">
        <x:v>26</x:v>
      </x:c>
    </x:row>
    <x:row r="371" ht="22" customHeight="1">
      <x:c r="A371" s="1" t="str">
        <x:v>日経mini</x:v>
      </x:c>
      <x:c r="B371" s="1" t="str">
        <x:v>K03</x:v>
      </x:c>
      <x:c r="C371" s="1" t="str">
        <x:v>対照47場</x:v>
      </x:c>
      <x:c r="D371" s="47" t="n">
        <x:v>13954492</x:v>
      </x:c>
      <x:c r="E371" s="47" t="n">
        <x:v>18093492</x:v>
      </x:c>
      <x:c r="F371" s="47" t="n">
        <x:f>D371-E371</x:f>
        <x:v>-4139000</x:v>
      </x:c>
      <x:c r="G371" s="49" t="n">
        <x:v>11</x:v>
      </x:c>
      <x:c r="H371" s="49" t="n">
        <x:v>36</x:v>
      </x:c>
      <x:c r="I371" s="47" t="n">
        <x:v>-4749828</x:v>
      </x:c>
      <x:c r="J371" s="49" t="n">
        <x:v>2000</x:v>
      </x:c>
      <x:c r="K371" s="47" t="n">
        <x:v>-518698</x:v>
      </x:c>
      <x:c r="L371" s="47" t="n">
        <x:v>143735.61111111112</x:v>
      </x:c>
      <x:c r="M371" s="48" t="n">
        <x:v>3.4471631205673763</x:v>
      </x:c>
      <x:c r="N371" s="48" t="n">
        <x:v>420.32730496453905</x:v>
      </x:c>
      <x:c r="O371" s="49" t="n">
        <x:v>7</x:v>
      </x:c>
      <x:c r="P371" s="1" t="str">
        <x:v>基準併用：中期支持中は短期逆行を保持・標準</x:v>
      </x:c>
      <x:c r="Q371" s="49" t="n">
        <x:v>0</x:v>
      </x:c>
      <x:c r="R371" s="50" t="n">
        <x:v>0.7356335567505781</x:v>
      </x:c>
      <x:c r="S371" s="50" t="n">
        <x:v>0.7050458006186058</x:v>
      </x:c>
      <x:c r="T371" s="1" t="str">
        <x:v>全場</x:v>
      </x:c>
      <x:c r="U371" s="49" t="n">
        <x:v>47</x:v>
      </x:c>
    </x:row>
    <x:row r="372" ht="22" customHeight="1">
      <x:c r="A372" s="1" t="str">
        <x:v>日経mini</x:v>
      </x:c>
      <x:c r="B372" s="1" t="str">
        <x:v>K03</x:v>
      </x:c>
      <x:c r="C372" s="1" t="str">
        <x:v>対照47場</x:v>
      </x:c>
      <x:c r="D372" s="47" t="n">
        <x:v>7583748</x:v>
      </x:c>
      <x:c r="E372" s="47" t="n">
        <x:v>9711942</x:v>
      </x:c>
      <x:c r="F372" s="47" t="n">
        <x:f>D372-E372</x:f>
        <x:v>-2128194</x:v>
      </x:c>
      <x:c r="G372" s="49" t="n">
        <x:v>5</x:v>
      </x:c>
      <x:c r="H372" s="49" t="n">
        <x:v>19</x:v>
      </x:c>
      <x:c r="I372" s="47" t="n">
        <x:v>-2710558</x:v>
      </x:c>
      <x:c r="J372" s="49" t="n">
        <x:v>1066</x:v>
      </x:c>
      <x:c r="K372" s="47" t="n">
        <x:v>-518698</x:v>
      </x:c>
      <x:c r="L372" s="47" t="n">
        <x:v>143911.57894736843</x:v>
      </x:c>
      <x:c r="M372" s="48" t="n">
        <x:v>3.4909722222222226</x:v>
      </x:c>
      <x:c r="N372" s="48" t="n">
        <x:v>350.62916666666666</x:v>
      </x:c>
      <x:c r="O372" s="49" t="n">
        <x:v>7</x:v>
      </x:c>
      <x:c r="P372" s="1" t="str">
        <x:v>基準併用：中期支持中は短期逆行を保持・標準</x:v>
      </x:c>
      <x:c r="Q372" s="49" t="n">
        <x:v>0</x:v>
      </x:c>
      <x:c r="R372" s="50" t="n">
        <x:v>0.8348313492063492</x:v>
      </x:c>
      <x:c r="S372" s="50" t="n">
        <x:v>0.8348313492063493</x:v>
      </x:c>
      <x:c r="T372" s="1" t="str">
        <x:v>デイ</x:v>
      </x:c>
      <x:c r="U372" s="49" t="n">
        <x:v>24</x:v>
      </x:c>
    </x:row>
    <x:row r="373" ht="22" customHeight="1">
      <x:c r="A373" s="1" t="str">
        <x:v>日経mini</x:v>
      </x:c>
      <x:c r="B373" s="1" t="str">
        <x:v>K03</x:v>
      </x:c>
      <x:c r="C373" s="1" t="str">
        <x:v>対照47場</x:v>
      </x:c>
      <x:c r="D373" s="47" t="n">
        <x:v>6370744</x:v>
      </x:c>
      <x:c r="E373" s="47" t="n">
        <x:v>8381550</x:v>
      </x:c>
      <x:c r="F373" s="47" t="n">
        <x:f>D373-E373</x:f>
        <x:v>-2010806</x:v>
      </x:c>
      <x:c r="G373" s="49" t="n">
        <x:v>6</x:v>
      </x:c>
      <x:c r="H373" s="49" t="n">
        <x:v>17</x:v>
      </x:c>
      <x:c r="I373" s="47" t="n">
        <x:v>-2335480</x:v>
      </x:c>
      <x:c r="J373" s="49" t="n">
        <x:v>934</x:v>
      </x:c>
      <x:c r="K373" s="47" t="n">
        <x:v>-300238</x:v>
      </x:c>
      <x:c r="L373" s="47" t="n">
        <x:v>143538.9411764706</x:v>
      </x:c>
      <x:c r="M373" s="48" t="n">
        <x:v>3.4014492753623187</x:v>
      </x:c>
      <x:c r="N373" s="48" t="n">
        <x:v>493.05579710144934</x:v>
      </x:c>
      <x:c r="O373" s="49" t="n">
        <x:v>7</x:v>
      </x:c>
      <x:c r="P373" s="1" t="str">
        <x:v>基準併用：中期支持中は短期逆行を保持・標準</x:v>
      </x:c>
      <x:c r="Q373" s="49" t="n">
        <x:v>0</x:v>
      </x:c>
      <x:c r="R373" s="50" t="n">
        <x:v>0.6321228167967299</x:v>
      </x:c>
      <x:c r="S373" s="50" t="n">
        <x:v>0.6321228167967298</x:v>
      </x:c>
      <x:c r="T373" s="1" t="str">
        <x:v>ナイト</x:v>
      </x:c>
      <x:c r="U373" s="49" t="n">
        <x:v>23</x:v>
      </x:c>
    </x:row>
    <x:row r="374" ht="22" customHeight="1">
      <x:c r="A374" s="1" t="str">
        <x:v>日経mini</x:v>
      </x:c>
      <x:c r="B374" s="1" t="str">
        <x:v>K03</x:v>
      </x:c>
      <x:c r="C374" s="1" t="str">
        <x:v>対照47場</x:v>
      </x:c>
      <x:c r="D374" s="47" t="n">
        <x:v>6600432</x:v>
      </x:c>
      <x:c r="E374" s="47" t="n">
        <x:v>8256236</x:v>
      </x:c>
      <x:c r="F374" s="47" t="n">
        <x:f>D374-E374</x:f>
        <x:v>-1655804</x:v>
      </x:c>
      <x:c r="G374" s="49" t="n">
        <x:v>5</x:v>
      </x:c>
      <x:c r="H374" s="49" t="n">
        <x:v>17</x:v>
      </x:c>
      <x:c r="I374" s="47" t="n">
        <x:v>-2002862</x:v>
      </x:c>
      <x:c r="J374" s="49" t="n">
        <x:v>935</x:v>
      </x:c>
      <x:c r="K374" s="47" t="n">
        <x:v>-308160</x:v>
      </x:c>
      <x:c r="L374" s="47" t="n">
        <x:v>119213.17647058824</x:v>
      </x:c>
      <x:c r="M374" s="48" t="n">
        <x:v>3.4257575757575767</x:v>
      </x:c>
      <x:c r="N374" s="48" t="n">
        <x:v>423.57803030303035</x:v>
      </x:c>
      <x:c r="O374" s="49" t="n">
        <x:v>7</x:v>
      </x:c>
      <x:c r="P374" s="1" t="str">
        <x:v>基準併用：中期支持中は短期逆行を保持・標準</x:v>
      </x:c>
      <x:c r="Q374" s="49" t="n">
        <x:v>0</x:v>
      </x:c>
      <x:c r="R374" s="50" t="n">
        <x:v>0.7174526862026863</x:v>
      </x:c>
      <x:c r="S374" s="50" t="n">
        <x:v>0.6872209931170109</x:v>
      </x:c>
      <x:c r="T374" s="1" t="str">
        <x:v>上昇</x:v>
      </x:c>
      <x:c r="U374" s="49" t="n">
        <x:v>22</x:v>
      </x:c>
    </x:row>
    <x:row r="375" ht="22" customHeight="1">
      <x:c r="A375" s="1" t="str">
        <x:v>日経mini</x:v>
      </x:c>
      <x:c r="B375" s="1" t="str">
        <x:v>K03</x:v>
      </x:c>
      <x:c r="C375" s="1" t="str">
        <x:v>対照47場</x:v>
      </x:c>
      <x:c r="D375" s="47" t="n">
        <x:v>7354060</x:v>
      </x:c>
      <x:c r="E375" s="47" t="n">
        <x:v>9837256</x:v>
      </x:c>
      <x:c r="F375" s="47" t="n">
        <x:f>D375-E375</x:f>
        <x:v>-2483196</x:v>
      </x:c>
      <x:c r="G375" s="49" t="n">
        <x:v>6</x:v>
      </x:c>
      <x:c r="H375" s="49" t="n">
        <x:v>19</x:v>
      </x:c>
      <x:c r="I375" s="47" t="n">
        <x:v>-3043176</x:v>
      </x:c>
      <x:c r="J375" s="49" t="n">
        <x:v>1065</x:v>
      </x:c>
      <x:c r="K375" s="47" t="n">
        <x:v>-518698</x:v>
      </x:c>
      <x:c r="L375" s="47" t="n">
        <x:v>165676.73684210525</x:v>
      </x:c>
      <x:c r="M375" s="48" t="n">
        <x:v>3.466</x:v>
      </x:c>
      <x:c r="N375" s="48" t="n">
        <x:v>417.4666666666667</x:v>
      </x:c>
      <x:c r="O375" s="49" t="n">
        <x:v>7</x:v>
      </x:c>
      <x:c r="P375" s="1" t="str">
        <x:v>基準併用：中期支持中は短期逆行を保持・標準</x:v>
      </x:c>
      <x:c r="Q375" s="49" t="n">
        <x:v>0</x:v>
      </x:c>
      <x:c r="R375" s="50" t="n">
        <x:v>0.7516327228327228</x:v>
      </x:c>
      <x:c r="S375" s="50" t="n">
        <x:v>0.7217611802674043</x:v>
      </x:c>
      <x:c r="T375" s="1" t="str">
        <x:v>下落</x:v>
      </x:c>
      <x:c r="U375" s="49" t="n">
        <x:v>25</x:v>
      </x:c>
    </x:row>
    <x:row r="376" ht="22" customHeight="1">
      <x:c r="A376" s="1" t="str">
        <x:v>日経mini</x:v>
      </x:c>
      <x:c r="B376" s="1" t="str">
        <x:v>K03</x:v>
      </x:c>
      <x:c r="C376" s="1" t="str">
        <x:v>診断3場</x:v>
      </x:c>
      <x:c r="D376" s="47" t="n">
        <x:v>998456</x:v>
      </x:c>
      <x:c r="E376" s="47" t="n">
        <x:v>1443862</x:v>
      </x:c>
      <x:c r="F376" s="47" t="n">
        <x:f>D376-E376</x:f>
        <x:v>-445406</x:v>
      </x:c>
      <x:c r="G376" s="49" t="n">
        <x:v>0</x:v>
      </x:c>
      <x:c r="H376" s="49" t="n">
        <x:v>3</x:v>
      </x:c>
      <x:c r="I376" s="47" t="n">
        <x:v>-445406</x:v>
      </x:c>
      <x:c r="J376" s="49" t="n">
        <x:v>159</x:v>
      </x:c>
      <x:c r="K376" s="47" t="n">
        <x:v>-229700</x:v>
      </x:c>
      <x:c r="L376" s="47" t="n">
        <x:v>148468.66666666666</x:v>
      </x:c>
      <x:c r="M376" s="48" t="n">
        <x:v>3.0888888888888886</x:v>
      </x:c>
      <x:c r="N376" s="48" t="n">
        <x:v>495.43333333333334</x:v>
      </x:c>
      <x:c r="O376" s="49" t="n">
        <x:v>7</x:v>
      </x:c>
      <x:c r="P376" s="1" t="str">
        <x:v>基準併用：中期支持中は短期逆行を保持・標準</x:v>
      </x:c>
      <x:c r="Q376" s="49" t="n">
        <x:v>0</x:v>
      </x:c>
      <x:c r="R376" s="50" t="n">
        <x:v>0.7657936507936508</x:v>
      </x:c>
      <x:c r="S376" s="50" t="n">
        <x:v>0.7506565656565657</x:v>
      </x:c>
      <x:c r="T376" s="1" t="str">
        <x:v>全場</x:v>
      </x:c>
      <x:c r="U376" s="49" t="n">
        <x:v>3</x:v>
      </x:c>
    </x:row>
    <x:row r="377" ht="22" customHeight="1">
      <x:c r="A377" s="1" t="str">
        <x:v>日経mini</x:v>
      </x:c>
      <x:c r="B377" s="1" t="str">
        <x:v>K03</x:v>
      </x:c>
      <x:c r="C377" s="1" t="str">
        <x:v>診断3場</x:v>
      </x:c>
      <x:c r="D377" s="47" t="n">
        <x:v>289536</x:v>
      </x:c>
      <x:c r="E377" s="47" t="n">
        <x:v>519236</x:v>
      </x:c>
      <x:c r="F377" s="47" t="n">
        <x:f>D377-E377</x:f>
        <x:v>-229700</x:v>
      </x:c>
      <x:c r="G377" s="49" t="n">
        <x:v>0</x:v>
      </x:c>
      <x:c r="H377" s="49" t="n">
        <x:v>1</x:v>
      </x:c>
      <x:c r="I377" s="47" t="n">
        <x:v>-229700</x:v>
      </x:c>
      <x:c r="J377" s="49" t="n">
        <x:v>55</x:v>
      </x:c>
      <x:c r="K377" s="47" t="n">
        <x:v>-229700</x:v>
      </x:c>
      <x:c r="L377" s="47" t="n">
        <x:v>229700</x:v>
      </x:c>
      <x:c r="M377" s="48" t="n">
        <x:v>2.716666666666667</x:v>
      </x:c>
      <x:c r="N377" s="48" t="n">
        <x:v>356.6</x:v>
      </x:c>
      <x:c r="O377" s="49" t="n">
        <x:v>7</x:v>
      </x:c>
      <x:c r="P377" s="1" t="str">
        <x:v>基準併用：中期支持中は短期逆行を保持・標準</x:v>
      </x:c>
      <x:c r="Q377" s="49" t="n">
        <x:v>0</x:v>
      </x:c>
      <x:c r="R377" s="50" t="n">
        <x:v>0.849047619047619</x:v>
      </x:c>
      <x:c r="S377" s="50" t="n">
        <x:v>0.849047619047619</x:v>
      </x:c>
      <x:c r="T377" s="1" t="str">
        <x:v>デイ</x:v>
      </x:c>
      <x:c r="U377" s="49" t="n">
        <x:v>1</x:v>
      </x:c>
    </x:row>
    <x:row r="378" ht="22" customHeight="1">
      <x:c r="A378" s="1" t="str">
        <x:v>日経mini</x:v>
      </x:c>
      <x:c r="B378" s="1" t="str">
        <x:v>K03</x:v>
      </x:c>
      <x:c r="C378" s="1" t="str">
        <x:v>診断3場</x:v>
      </x:c>
      <x:c r="D378" s="47" t="n">
        <x:v>708920</x:v>
      </x:c>
      <x:c r="E378" s="47" t="n">
        <x:v>924626</x:v>
      </x:c>
      <x:c r="F378" s="47" t="n">
        <x:f>D378-E378</x:f>
        <x:v>-215706</x:v>
      </x:c>
      <x:c r="G378" s="49" t="n">
        <x:v>0</x:v>
      </x:c>
      <x:c r="H378" s="49" t="n">
        <x:v>2</x:v>
      </x:c>
      <x:c r="I378" s="47" t="n">
        <x:v>-215706</x:v>
      </x:c>
      <x:c r="J378" s="49" t="n">
        <x:v>104</x:v>
      </x:c>
      <x:c r="K378" s="47" t="n">
        <x:v>-190776</x:v>
      </x:c>
      <x:c r="L378" s="47" t="n">
        <x:v>107853</x:v>
      </x:c>
      <x:c r="M378" s="48" t="n">
        <x:v>3.275</x:v>
      </x:c>
      <x:c r="N378" s="48" t="n">
        <x:v>564.8499999999999</x:v>
      </x:c>
      <x:c r="O378" s="49" t="n">
        <x:v>7</x:v>
      </x:c>
      <x:c r="P378" s="1" t="str">
        <x:v>基準併用：中期支持中は短期逆行を保持・標準</x:v>
      </x:c>
      <x:c r="Q378" s="49" t="n">
        <x:v>0</x:v>
      </x:c>
      <x:c r="R378" s="50" t="n">
        <x:v>0.7241666666666666</x:v>
      </x:c>
      <x:c r="S378" s="50" t="n">
        <x:v>0.7241666666666665</x:v>
      </x:c>
      <x:c r="T378" s="1" t="str">
        <x:v>ナイト</x:v>
      </x:c>
      <x:c r="U378" s="49" t="n">
        <x:v>2</x:v>
      </x:c>
    </x:row>
    <x:row r="379" ht="22" customHeight="1">
      <x:c r="A379" s="1" t="str">
        <x:v>日経mini</x:v>
      </x:c>
      <x:c r="B379" s="1" t="str">
        <x:v>K03</x:v>
      </x:c>
      <x:c r="C379" s="1" t="str">
        <x:v>診断3場</x:v>
      </x:c>
      <x:c r="D379" s="47" t="n">
        <x:v>580458</x:v>
      </x:c>
      <x:c r="E379" s="47" t="n">
        <x:v>1000934</x:v>
      </x:c>
      <x:c r="F379" s="47" t="n">
        <x:f>D379-E379</x:f>
        <x:v>-420476</x:v>
      </x:c>
      <x:c r="G379" s="49" t="n">
        <x:v>0</x:v>
      </x:c>
      <x:c r="H379" s="49" t="n">
        <x:v>2</x:v>
      </x:c>
      <x:c r="I379" s="47" t="n">
        <x:v>-420476</x:v>
      </x:c>
      <x:c r="J379" s="49" t="n">
        <x:v>104</x:v>
      </x:c>
      <x:c r="K379" s="47" t="n">
        <x:v>-229700</x:v>
      </x:c>
      <x:c r="L379" s="47" t="n">
        <x:v>210238</x:v>
      </x:c>
      <x:c r="M379" s="48" t="n">
        <x:v>2.5</x:v>
      </x:c>
      <x:c r="N379" s="48" t="n">
        <x:v>453.68333333333334</x:v>
      </x:c>
      <x:c r="O379" s="49" t="n">
        <x:v>7</x:v>
      </x:c>
      <x:c r="P379" s="1" t="str">
        <x:v>基準併用：中期支持中は短期逆行を保持・標準</x:v>
      </x:c>
      <x:c r="Q379" s="49" t="n">
        <x:v>0</x:v>
      </x:c>
      <x:c r="R379" s="50" t="n">
        <x:v>0.7775793650793651</x:v>
      </x:c>
      <x:c r="S379" s="50" t="n">
        <x:v>0.7561388888888889</x:v>
      </x:c>
      <x:c r="T379" s="1" t="str">
        <x:v>上昇</x:v>
      </x:c>
      <x:c r="U379" s="49" t="n">
        <x:v>2</x:v>
      </x:c>
    </x:row>
    <x:row r="380" ht="22" customHeight="1">
      <x:c r="A380" s="1" t="str">
        <x:v>日経mini</x:v>
      </x:c>
      <x:c r="B380" s="1" t="str">
        <x:v>K03</x:v>
      </x:c>
      <x:c r="C380" s="1" t="str">
        <x:v>診断3場</x:v>
      </x:c>
      <x:c r="D380" s="47" t="n">
        <x:v>417998</x:v>
      </x:c>
      <x:c r="E380" s="47" t="n">
        <x:v>442928</x:v>
      </x:c>
      <x:c r="F380" s="47" t="n">
        <x:f>D380-E380</x:f>
        <x:v>-24930</x:v>
      </x:c>
      <x:c r="G380" s="49" t="n">
        <x:v>0</x:v>
      </x:c>
      <x:c r="H380" s="49" t="n">
        <x:v>1</x:v>
      </x:c>
      <x:c r="I380" s="47" t="n">
        <x:v>-24930</x:v>
      </x:c>
      <x:c r="J380" s="49" t="n">
        <x:v>55</x:v>
      </x:c>
      <x:c r="K380" s="47" t="n">
        <x:v>-24930</x:v>
      </x:c>
      <x:c r="L380" s="47" t="n">
        <x:v>24930</x:v>
      </x:c>
      <x:c r="M380" s="48" t="n">
        <x:v>4.266666666666667</x:v>
      </x:c>
      <x:c r="N380" s="48" t="n">
        <x:v>578.9333333333333</x:v>
      </x:c>
      <x:c r="O380" s="49" t="n">
        <x:v>7</x:v>
      </x:c>
      <x:c r="P380" s="1" t="str">
        <x:v>基準併用：中期支持中は短期逆行を保持・標準</x:v>
      </x:c>
      <x:c r="Q380" s="49" t="n">
        <x:v>0</x:v>
      </x:c>
      <x:c r="R380" s="50" t="n">
        <x:v>0.7422222222222222</x:v>
      </x:c>
      <x:c r="S380" s="50" t="n">
        <x:v>0.7422222222222221</x:v>
      </x:c>
      <x:c r="T380" s="1" t="str">
        <x:v>下落</x:v>
      </x:c>
      <x:c r="U380" s="49" t="n">
        <x:v>1</x:v>
      </x:c>
    </x:row>
    <x:row r="381" ht="22" customHeight="1">
      <x:c r="A381" s="1" t="str">
        <x:v>日経mini</x:v>
      </x:c>
      <x:c r="B381" s="1" t="str">
        <x:v>K04</x:v>
      </x:c>
      <x:c r="C381" s="1" t="str">
        <x:v>全50場</x:v>
      </x:c>
      <x:c r="D381" s="47" t="n">
        <x:v>14200806</x:v>
      </x:c>
      <x:c r="E381" s="47" t="n">
        <x:v>17908408</x:v>
      </x:c>
      <x:c r="F381" s="47" t="n">
        <x:f>D381-E381</x:f>
        <x:v>-3707602</x:v>
      </x:c>
      <x:c r="G381" s="49" t="n">
        <x:v>10</x:v>
      </x:c>
      <x:c r="H381" s="49" t="n">
        <x:v>40</x:v>
      </x:c>
      <x:c r="I381" s="47" t="n">
        <x:v>-4443892</x:v>
      </x:c>
      <x:c r="J381" s="49" t="n">
        <x:v>1933</x:v>
      </x:c>
      <x:c r="K381" s="47" t="n">
        <x:v>-420236</x:v>
      </x:c>
      <x:c r="L381" s="47" t="n">
        <x:v>124181.25</x:v>
      </x:c>
      <x:c r="M381" s="48" t="n">
        <x:v>3.4256666666666673</x:v>
      </x:c>
      <x:c r="N381" s="48" t="n">
        <x:v>466.5036666666667</x:v>
      </x:c>
      <x:c r="O381" s="49" t="n">
        <x:v>7</x:v>
      </x:c>
      <x:c r="P381" s="1" t="str">
        <x:v>基準併用：中期支持中は短期逆行を保持・広め</x:v>
      </x:c>
      <x:c r="Q381" s="49" t="n">
        <x:v>0</x:v>
      </x:c>
      <x:c r="R381" s="50" t="n">
        <x:v>0.7965127594627595</x:v>
      </x:c>
      <x:c r="S381" s="50" t="n">
        <x:v>0.7775061111111111</x:v>
      </x:c>
      <x:c r="T381" s="1" t="str">
        <x:v>全場</x:v>
      </x:c>
      <x:c r="U381" s="49" t="n">
        <x:v>50</x:v>
      </x:c>
    </x:row>
    <x:row r="382" ht="22" customHeight="1">
      <x:c r="A382" s="1" t="str">
        <x:v>日経mini</x:v>
      </x:c>
      <x:c r="B382" s="1" t="str">
        <x:v>K04</x:v>
      </x:c>
      <x:c r="C382" s="1" t="str">
        <x:v>全50場</x:v>
      </x:c>
      <x:c r="D382" s="47" t="n">
        <x:v>7686518</x:v>
      </x:c>
      <x:c r="E382" s="47" t="n">
        <x:v>9762864</x:v>
      </x:c>
      <x:c r="F382" s="47" t="n">
        <x:f>D382-E382</x:f>
        <x:v>-2076346</x:v>
      </x:c>
      <x:c r="G382" s="49" t="n">
        <x:v>4</x:v>
      </x:c>
      <x:c r="H382" s="49" t="n">
        <x:v>21</x:v>
      </x:c>
      <x:c r="I382" s="47" t="n">
        <x:v>-2778404</x:v>
      </x:c>
      <x:c r="J382" s="49" t="n">
        <x:v>1059</x:v>
      </x:c>
      <x:c r="K382" s="47" t="n">
        <x:v>-420236</x:v>
      </x:c>
      <x:c r="L382" s="47" t="n">
        <x:v>134147.42857142858</x:v>
      </x:c>
      <x:c r="M382" s="48" t="n">
        <x:v>3.4600000000000004</x:v>
      </x:c>
      <x:c r="N382" s="48" t="n">
        <x:v>361.1446666666667</x:v>
      </x:c>
      <x:c r="O382" s="49" t="n">
        <x:v>7</x:v>
      </x:c>
      <x:c r="P382" s="1" t="str">
        <x:v>基準併用：中期支持中は短期逆行を保持・広め</x:v>
      </x:c>
      <x:c r="Q382" s="49" t="n">
        <x:v>0</x:v>
      </x:c>
      <x:c r="R382" s="50" t="n">
        <x:v>0.859868253968254</x:v>
      </x:c>
      <x:c r="S382" s="50" t="n">
        <x:v>0.859868253968254</x:v>
      </x:c>
      <x:c r="T382" s="1" t="str">
        <x:v>デイ</x:v>
      </x:c>
      <x:c r="U382" s="49" t="n">
        <x:v>25</x:v>
      </x:c>
    </x:row>
    <x:row r="383" ht="22" customHeight="1">
      <x:c r="A383" s="1" t="str">
        <x:v>日経mini</x:v>
      </x:c>
      <x:c r="B383" s="1" t="str">
        <x:v>K04</x:v>
      </x:c>
      <x:c r="C383" s="1" t="str">
        <x:v>全50場</x:v>
      </x:c>
      <x:c r="D383" s="47" t="n">
        <x:v>6514288</x:v>
      </x:c>
      <x:c r="E383" s="47" t="n">
        <x:v>8145544</x:v>
      </x:c>
      <x:c r="F383" s="47" t="n">
        <x:f>D383-E383</x:f>
        <x:v>-1631256</x:v>
      </x:c>
      <x:c r="G383" s="49" t="n">
        <x:v>6</x:v>
      </x:c>
      <x:c r="H383" s="49" t="n">
        <x:v>19</x:v>
      </x:c>
      <x:c r="I383" s="47" t="n">
        <x:v>-2039706</x:v>
      </x:c>
      <x:c r="J383" s="49" t="n">
        <x:v>874</x:v>
      </x:c>
      <x:c r="K383" s="47" t="n">
        <x:v>-262698</x:v>
      </x:c>
      <x:c r="L383" s="47" t="n">
        <x:v>113166</x:v>
      </x:c>
      <x:c r="M383" s="48" t="n">
        <x:v>3.3913333333333333</x:v>
      </x:c>
      <x:c r="N383" s="48" t="n">
        <x:v>571.8626666666667</x:v>
      </x:c>
      <x:c r="O383" s="49" t="n">
        <x:v>7</x:v>
      </x:c>
      <x:c r="P383" s="1" t="str">
        <x:v>基準併用：中期支持中は短期逆行を保持・広め</x:v>
      </x:c>
      <x:c r="Q383" s="49" t="n">
        <x:v>0</x:v>
      </x:c>
      <x:c r="R383" s="50" t="n">
        <x:v>0.733157264957265</x:v>
      </x:c>
      <x:c r="S383" s="50" t="n">
        <x:v>0.733157264957265</x:v>
      </x:c>
      <x:c r="T383" s="1" t="str">
        <x:v>ナイト</x:v>
      </x:c>
      <x:c r="U383" s="49" t="n">
        <x:v>25</x:v>
      </x:c>
    </x:row>
    <x:row r="384" ht="22" customHeight="1">
      <x:c r="A384" s="1" t="str">
        <x:v>日経mini</x:v>
      </x:c>
      <x:c r="B384" s="1" t="str">
        <x:v>K04</x:v>
      </x:c>
      <x:c r="C384" s="1" t="str">
        <x:v>全50場</x:v>
      </x:c>
      <x:c r="D384" s="47" t="n">
        <x:v>6755974</x:v>
      </x:c>
      <x:c r="E384" s="47" t="n">
        <x:v>8635314</x:v>
      </x:c>
      <x:c r="F384" s="47" t="n">
        <x:f>D384-E384</x:f>
        <x:v>-1879340</x:v>
      </x:c>
      <x:c r="G384" s="49" t="n">
        <x:v>6</x:v>
      </x:c>
      <x:c r="H384" s="49" t="n">
        <x:v>18</x:v>
      </x:c>
      <x:c r="I384" s="47" t="n">
        <x:v>-2253558</x:v>
      </x:c>
      <x:c r="J384" s="49" t="n">
        <x:v>929</x:v>
      </x:c>
      <x:c r="K384" s="47" t="n">
        <x:v>-332006</x:v>
      </x:c>
      <x:c r="L384" s="47" t="n">
        <x:v>129957.66666666667</x:v>
      </x:c>
      <x:c r="M384" s="48" t="n">
        <x:v>3.3486111111111114</x:v>
      </x:c>
      <x:c r="N384" s="48" t="n">
        <x:v>461.4583333333333</x:v>
      </x:c>
      <x:c r="O384" s="49" t="n">
        <x:v>7</x:v>
      </x:c>
      <x:c r="P384" s="1" t="str">
        <x:v>基準併用：中期支持中は短期逆行を保持・広め</x:v>
      </x:c>
      <x:c r="Q384" s="49" t="n">
        <x:v>0</x:v>
      </x:c>
      <x:c r="R384" s="50" t="n">
        <x:v>0.7722107753357753</x:v>
      </x:c>
      <x:c r="S384" s="50" t="n">
        <x:v>0.7503387533875339</x:v>
      </x:c>
      <x:c r="T384" s="1" t="str">
        <x:v>上昇</x:v>
      </x:c>
      <x:c r="U384" s="49" t="n">
        <x:v>24</x:v>
      </x:c>
    </x:row>
    <x:row r="385" ht="22" customHeight="1">
      <x:c r="A385" s="1" t="str">
        <x:v>日経mini</x:v>
      </x:c>
      <x:c r="B385" s="1" t="str">
        <x:v>K04</x:v>
      </x:c>
      <x:c r="C385" s="1" t="str">
        <x:v>全50場</x:v>
      </x:c>
      <x:c r="D385" s="47" t="n">
        <x:v>7444832</x:v>
      </x:c>
      <x:c r="E385" s="47" t="n">
        <x:v>9273094</x:v>
      </x:c>
      <x:c r="F385" s="47" t="n">
        <x:f>D385-E385</x:f>
        <x:v>-1828262</x:v>
      </x:c>
      <x:c r="G385" s="49" t="n">
        <x:v>4</x:v>
      </x:c>
      <x:c r="H385" s="49" t="n">
        <x:v>22</x:v>
      </x:c>
      <x:c r="I385" s="47" t="n">
        <x:v>-2564552</x:v>
      </x:c>
      <x:c r="J385" s="49" t="n">
        <x:v>1004</x:v>
      </x:c>
      <x:c r="K385" s="47" t="n">
        <x:v>-420236</x:v>
      </x:c>
      <x:c r="L385" s="47" t="n">
        <x:v>119455.09090909091</x:v>
      </x:c>
      <x:c r="M385" s="48" t="n">
        <x:v>3.496794871794872</x:v>
      </x:c>
      <x:c r="N385" s="48" t="n">
        <x:v>471.1608974358973</x:v>
      </x:c>
      <x:c r="O385" s="49" t="n">
        <x:v>7</x:v>
      </x:c>
      <x:c r="P385" s="1" t="str">
        <x:v>基準併用：中期支持中は短期逆行を保持・広め</x:v>
      </x:c>
      <x:c r="Q385" s="49" t="n">
        <x:v>0</x:v>
      </x:c>
      <x:c r="R385" s="50" t="n">
        <x:v>0.8189453601953602</x:v>
      </x:c>
      <x:c r="S385" s="50" t="n">
        <x:v>0.8038178040244969</x:v>
      </x:c>
      <x:c r="T385" s="1" t="str">
        <x:v>下落</x:v>
      </x:c>
      <x:c r="U385" s="49" t="n">
        <x:v>26</x:v>
      </x:c>
    </x:row>
    <x:row r="386" ht="22" customHeight="1">
      <x:c r="A386" s="1" t="str">
        <x:v>日経mini</x:v>
      </x:c>
      <x:c r="B386" s="1" t="str">
        <x:v>K04</x:v>
      </x:c>
      <x:c r="C386" s="1" t="str">
        <x:v>対照47場</x:v>
      </x:c>
      <x:c r="D386" s="47" t="n">
        <x:v>13311734</x:v>
      </x:c>
      <x:c r="E386" s="47" t="n">
        <x:v>16612086</x:v>
      </x:c>
      <x:c r="F386" s="47" t="n">
        <x:f>D386-E386</x:f>
        <x:v>-3300352</x:v>
      </x:c>
      <x:c r="G386" s="49" t="n">
        <x:v>10</x:v>
      </x:c>
      <x:c r="H386" s="49" t="n">
        <x:v>37</x:v>
      </x:c>
      <x:c r="I386" s="47" t="n">
        <x:v>-4036642</x:v>
      </x:c>
      <x:c r="J386" s="49" t="n">
        <x:v>1788</x:v>
      </x:c>
      <x:c r="K386" s="47" t="n">
        <x:v>-420236</x:v>
      </x:c>
      <x:c r="L386" s="47" t="n">
        <x:v>123243.24324324324</x:v>
      </x:c>
      <x:c r="M386" s="48" t="n">
        <x:v>3.4471631205673763</x:v>
      </x:c>
      <x:c r="N386" s="48" t="n">
        <x:v>461.9755319148937</x:v>
      </x:c>
      <x:c r="O386" s="49" t="n">
        <x:v>7</x:v>
      </x:c>
      <x:c r="P386" s="1" t="str">
        <x:v>基準併用：中期支持中は短期逆行を保持・広め</x:v>
      </x:c>
      <x:c r="Q386" s="49" t="n">
        <x:v>0</x:v>
      </x:c>
      <x:c r="R386" s="50" t="n">
        <x:v>0.7949507053230457</x:v>
      </x:c>
      <x:c r="S386" s="50" t="n">
        <x:v>0.7749054246966453</x:v>
      </x:c>
      <x:c r="T386" s="1" t="str">
        <x:v>全場</x:v>
      </x:c>
      <x:c r="U386" s="49" t="n">
        <x:v>47</x:v>
      </x:c>
    </x:row>
    <x:row r="387" ht="22" customHeight="1">
      <x:c r="A387" s="1" t="str">
        <x:v>日経mini</x:v>
      </x:c>
      <x:c r="B387" s="1" t="str">
        <x:v>K04</x:v>
      </x:c>
      <x:c r="C387" s="1" t="str">
        <x:v>対照47場</x:v>
      </x:c>
      <x:c r="D387" s="47" t="n">
        <x:v>7404828</x:v>
      </x:c>
      <x:c r="E387" s="47" t="n">
        <x:v>9257628</x:v>
      </x:c>
      <x:c r="F387" s="47" t="n">
        <x:f>D387-E387</x:f>
        <x:v>-1852800</x:v>
      </x:c>
      <x:c r="G387" s="49" t="n">
        <x:v>4</x:v>
      </x:c>
      <x:c r="H387" s="49" t="n">
        <x:v>20</x:v>
      </x:c>
      <x:c r="I387" s="47" t="n">
        <x:v>-2554858</x:v>
      </x:c>
      <x:c r="J387" s="49" t="n">
        <x:v>1005</x:v>
      </x:c>
      <x:c r="K387" s="47" t="n">
        <x:v>-420236</x:v>
      </x:c>
      <x:c r="L387" s="47" t="n">
        <x:v>129677.5</x:v>
      </x:c>
      <x:c r="M387" s="48" t="n">
        <x:v>3.4909722222222226</x:v>
      </x:c>
      <x:c r="N387" s="48" t="n">
        <x:v>361.1826388888889</x:v>
      </x:c>
      <x:c r="O387" s="49" t="n">
        <x:v>7</x:v>
      </x:c>
      <x:c r="P387" s="1" t="str">
        <x:v>基準併用：中期支持中は短期逆行を保持・広め</x:v>
      </x:c>
      <x:c r="Q387" s="49" t="n">
        <x:v>0</x:v>
      </x:c>
      <x:c r="R387" s="50" t="n">
        <x:v>0.859958664021164</x:v>
      </x:c>
      <x:c r="S387" s="50" t="n">
        <x:v>0.859958664021164</x:v>
      </x:c>
      <x:c r="T387" s="1" t="str">
        <x:v>デイ</x:v>
      </x:c>
      <x:c r="U387" s="49" t="n">
        <x:v>24</x:v>
      </x:c>
    </x:row>
    <x:row r="388" ht="22" customHeight="1">
      <x:c r="A388" s="1" t="str">
        <x:v>日経mini</x:v>
      </x:c>
      <x:c r="B388" s="1" t="str">
        <x:v>K04</x:v>
      </x:c>
      <x:c r="C388" s="1" t="str">
        <x:v>対照47場</x:v>
      </x:c>
      <x:c r="D388" s="47" t="n">
        <x:v>5906906</x:v>
      </x:c>
      <x:c r="E388" s="47" t="n">
        <x:v>7354458</x:v>
      </x:c>
      <x:c r="F388" s="47" t="n">
        <x:f>D388-E388</x:f>
        <x:v>-1447552</x:v>
      </x:c>
      <x:c r="G388" s="49" t="n">
        <x:v>6</x:v>
      </x:c>
      <x:c r="H388" s="49" t="n">
        <x:v>17</x:v>
      </x:c>
      <x:c r="I388" s="47" t="n">
        <x:v>-1856002</x:v>
      </x:c>
      <x:c r="J388" s="49" t="n">
        <x:v>783</x:v>
      </x:c>
      <x:c r="K388" s="47" t="n">
        <x:v>-262698</x:v>
      </x:c>
      <x:c r="L388" s="47" t="n">
        <x:v>115673.5294117647</x:v>
      </x:c>
      <x:c r="M388" s="48" t="n">
        <x:v>3.4014492753623187</x:v>
      </x:c>
      <x:c r="N388" s="48" t="n">
        <x:v>567.1507246376813</x:v>
      </x:c>
      <x:c r="O388" s="49" t="n">
        <x:v>7</x:v>
      </x:c>
      <x:c r="P388" s="1" t="str">
        <x:v>基準併用：中期支持中は短期逆行を保持・広め</x:v>
      </x:c>
      <x:c r="Q388" s="49" t="n">
        <x:v>0</x:v>
      </x:c>
      <x:c r="R388" s="50" t="n">
        <x:v>0.7271163136380528</x:v>
      </x:c>
      <x:c r="S388" s="50" t="n">
        <x:v>0.7271163136380528</x:v>
      </x:c>
      <x:c r="T388" s="1" t="str">
        <x:v>ナイト</x:v>
      </x:c>
      <x:c r="U388" s="49" t="n">
        <x:v>23</x:v>
      </x:c>
    </x:row>
    <x:row r="389" ht="22" customHeight="1">
      <x:c r="A389" s="1" t="str">
        <x:v>日経mini</x:v>
      </x:c>
      <x:c r="B389" s="1" t="str">
        <x:v>K04</x:v>
      </x:c>
      <x:c r="C389" s="1" t="str">
        <x:v>対照47場</x:v>
      </x:c>
      <x:c r="D389" s="47" t="n">
        <x:v>6195362</x:v>
      </x:c>
      <x:c r="E389" s="47" t="n">
        <x:v>7769612</x:v>
      </x:c>
      <x:c r="F389" s="47" t="n">
        <x:f>D389-E389</x:f>
        <x:v>-1574250</x:v>
      </x:c>
      <x:c r="G389" s="49" t="n">
        <x:v>6</x:v>
      </x:c>
      <x:c r="H389" s="49" t="n">
        <x:v>16</x:v>
      </x:c>
      <x:c r="I389" s="47" t="n">
        <x:v>-1948468</x:v>
      </x:c>
      <x:c r="J389" s="49" t="n">
        <x:v>834</x:v>
      </x:c>
      <x:c r="K389" s="47" t="n">
        <x:v>-332006</x:v>
      </x:c>
      <x:c r="L389" s="47" t="n">
        <x:v>127134.25</x:v>
      </x:c>
      <x:c r="M389" s="48" t="n">
        <x:v>3.4257575757575767</x:v>
      </x:c>
      <x:c r="N389" s="48" t="n">
        <x:v>458.3439393939394</x:v>
      </x:c>
      <x:c r="O389" s="49" t="n">
        <x:v>7</x:v>
      </x:c>
      <x:c r="P389" s="1" t="str">
        <x:v>基準併用：中期支持中は短期逆行を保持・広め</x:v>
      </x:c>
      <x:c r="Q389" s="49" t="n">
        <x:v>0</x:v>
      </x:c>
      <x:c r="R389" s="50" t="n">
        <x:v>0.7666422466422467</x:v>
      </x:c>
      <x:c r="S389" s="50" t="n">
        <x:v>0.7436258603736481</x:v>
      </x:c>
      <x:c r="T389" s="1" t="str">
        <x:v>上昇</x:v>
      </x:c>
      <x:c r="U389" s="49" t="n">
        <x:v>22</x:v>
      </x:c>
    </x:row>
    <x:row r="390" ht="22" customHeight="1">
      <x:c r="A390" s="1" t="str">
        <x:v>日経mini</x:v>
      </x:c>
      <x:c r="B390" s="1" t="str">
        <x:v>K04</x:v>
      </x:c>
      <x:c r="C390" s="1" t="str">
        <x:v>対照47場</x:v>
      </x:c>
      <x:c r="D390" s="47" t="n">
        <x:v>7116372</x:v>
      </x:c>
      <x:c r="E390" s="47" t="n">
        <x:v>8842474</x:v>
      </x:c>
      <x:c r="F390" s="47" t="n">
        <x:f>D390-E390</x:f>
        <x:v>-1726102</x:v>
      </x:c>
      <x:c r="G390" s="49" t="n">
        <x:v>4</x:v>
      </x:c>
      <x:c r="H390" s="49" t="n">
        <x:v>21</x:v>
      </x:c>
      <x:c r="I390" s="47" t="n">
        <x:v>-2462392</x:v>
      </x:c>
      <x:c r="J390" s="49" t="n">
        <x:v>954</x:v>
      </x:c>
      <x:c r="K390" s="47" t="n">
        <x:v>-420236</x:v>
      </x:c>
      <x:c r="L390" s="47" t="n">
        <x:v>120278.66666666667</x:v>
      </x:c>
      <x:c r="M390" s="48" t="n">
        <x:v>3.466</x:v>
      </x:c>
      <x:c r="N390" s="48" t="n">
        <x:v>465.1713333333332</x:v>
      </x:c>
      <x:c r="O390" s="49" t="n">
        <x:v>7</x:v>
      </x:c>
      <x:c r="P390" s="1" t="str">
        <x:v>基準併用：中期支持中は短期逆行を保持・広め</x:v>
      </x:c>
      <x:c r="Q390" s="49" t="n">
        <x:v>0</x:v>
      </x:c>
      <x:c r="R390" s="50" t="n">
        <x:v>0.819862148962149</x:v>
      </x:c>
      <x:c r="S390" s="50" t="n">
        <x:v>0.8042381281696634</x:v>
      </x:c>
      <x:c r="T390" s="1" t="str">
        <x:v>下落</x:v>
      </x:c>
      <x:c r="U390" s="49" t="n">
        <x:v>25</x:v>
      </x:c>
    </x:row>
    <x:row r="391" ht="22" customHeight="1">
      <x:c r="A391" s="1" t="str">
        <x:v>日経mini</x:v>
      </x:c>
      <x:c r="B391" s="1" t="str">
        <x:v>K04</x:v>
      </x:c>
      <x:c r="C391" s="1" t="str">
        <x:v>診断3場</x:v>
      </x:c>
      <x:c r="D391" s="47" t="n">
        <x:v>889072</x:v>
      </x:c>
      <x:c r="E391" s="47" t="n">
        <x:v>1296322</x:v>
      </x:c>
      <x:c r="F391" s="47" t="n">
        <x:f>D391-E391</x:f>
        <x:v>-407250</x:v>
      </x:c>
      <x:c r="G391" s="49" t="n">
        <x:v>0</x:v>
      </x:c>
      <x:c r="H391" s="49" t="n">
        <x:v>3</x:v>
      </x:c>
      <x:c r="I391" s="47" t="n">
        <x:v>-407250</x:v>
      </x:c>
      <x:c r="J391" s="49" t="n">
        <x:v>145</x:v>
      </x:c>
      <x:c r="K391" s="47" t="n">
        <x:v>-223546</x:v>
      </x:c>
      <x:c r="L391" s="47" t="n">
        <x:v>135750</x:v>
      </x:c>
      <x:c r="M391" s="48" t="n">
        <x:v>3.0888888888888886</x:v>
      </x:c>
      <x:c r="N391" s="48" t="n">
        <x:v>537.4444444444445</x:v>
      </x:c>
      <x:c r="O391" s="49" t="n">
        <x:v>7</x:v>
      </x:c>
      <x:c r="P391" s="1" t="str">
        <x:v>基準併用：中期支持中は短期逆行を保持・広め</x:v>
      </x:c>
      <x:c r="Q391" s="49" t="n">
        <x:v>0</x:v>
      </x:c>
      <x:c r="R391" s="50" t="n">
        <x:v>0.8209849409849409</x:v>
      </x:c>
      <x:c r="S391" s="50" t="n">
        <x:v>0.8143097643097644</x:v>
      </x:c>
      <x:c r="T391" s="1" t="str">
        <x:v>全場</x:v>
      </x:c>
      <x:c r="U391" s="49" t="n">
        <x:v>3</x:v>
      </x:c>
    </x:row>
    <x:row r="392" ht="22" customHeight="1">
      <x:c r="A392" s="1" t="str">
        <x:v>日経mini</x:v>
      </x:c>
      <x:c r="B392" s="1" t="str">
        <x:v>K04</x:v>
      </x:c>
      <x:c r="C392" s="1" t="str">
        <x:v>診断3場</x:v>
      </x:c>
      <x:c r="D392" s="47" t="n">
        <x:v>281690</x:v>
      </x:c>
      <x:c r="E392" s="47" t="n">
        <x:v>505236</x:v>
      </x:c>
      <x:c r="F392" s="47" t="n">
        <x:f>D392-E392</x:f>
        <x:v>-223546</x:v>
      </x:c>
      <x:c r="G392" s="49" t="n">
        <x:v>0</x:v>
      </x:c>
      <x:c r="H392" s="49" t="n">
        <x:v>1</x:v>
      </x:c>
      <x:c r="I392" s="47" t="n">
        <x:v>-223546</x:v>
      </x:c>
      <x:c r="J392" s="49" t="n">
        <x:v>54</x:v>
      </x:c>
      <x:c r="K392" s="47" t="n">
        <x:v>-223546</x:v>
      </x:c>
      <x:c r="L392" s="47" t="n">
        <x:v>223546</x:v>
      </x:c>
      <x:c r="M392" s="48" t="n">
        <x:v>2.716666666666667</x:v>
      </x:c>
      <x:c r="N392" s="48" t="n">
        <x:v>360.23333333333335</x:v>
      </x:c>
      <x:c r="O392" s="49" t="n">
        <x:v>7</x:v>
      </x:c>
      <x:c r="P392" s="1" t="str">
        <x:v>基準併用：中期支持中は短期逆行を保持・広め</x:v>
      </x:c>
      <x:c r="Q392" s="49" t="n">
        <x:v>0</x:v>
      </x:c>
      <x:c r="R392" s="50" t="n">
        <x:v>0.8576984126984127</x:v>
      </x:c>
      <x:c r="S392" s="50" t="n">
        <x:v>0.8576984126984127</x:v>
      </x:c>
      <x:c r="T392" s="1" t="str">
        <x:v>デイ</x:v>
      </x:c>
      <x:c r="U392" s="49" t="n">
        <x:v>1</x:v>
      </x:c>
    </x:row>
    <x:row r="393" ht="22" customHeight="1">
      <x:c r="A393" s="1" t="str">
        <x:v>日経mini</x:v>
      </x:c>
      <x:c r="B393" s="1" t="str">
        <x:v>K04</x:v>
      </x:c>
      <x:c r="C393" s="1" t="str">
        <x:v>診断3場</x:v>
      </x:c>
      <x:c r="D393" s="47" t="n">
        <x:v>607382</x:v>
      </x:c>
      <x:c r="E393" s="47" t="n">
        <x:v>791086</x:v>
      </x:c>
      <x:c r="F393" s="47" t="n">
        <x:f>D393-E393</x:f>
        <x:v>-183704</x:v>
      </x:c>
      <x:c r="G393" s="49" t="n">
        <x:v>0</x:v>
      </x:c>
      <x:c r="H393" s="49" t="n">
        <x:v>2</x:v>
      </x:c>
      <x:c r="I393" s="47" t="n">
        <x:v>-183704</x:v>
      </x:c>
      <x:c r="J393" s="49" t="n">
        <x:v>91</x:v>
      </x:c>
      <x:c r="K393" s="47" t="n">
        <x:v>-102160</x:v>
      </x:c>
      <x:c r="L393" s="47" t="n">
        <x:v>91852</x:v>
      </x:c>
      <x:c r="M393" s="48" t="n">
        <x:v>3.275</x:v>
      </x:c>
      <x:c r="N393" s="48" t="n">
        <x:v>626.05</x:v>
      </x:c>
      <x:c r="O393" s="49" t="n">
        <x:v>7</x:v>
      </x:c>
      <x:c r="P393" s="1" t="str">
        <x:v>基準併用：中期支持中は短期逆行を保持・広め</x:v>
      </x:c>
      <x:c r="Q393" s="49" t="n">
        <x:v>0</x:v>
      </x:c>
      <x:c r="R393" s="50" t="n">
        <x:v>0.8026282051282051</x:v>
      </x:c>
      <x:c r="S393" s="50" t="n">
        <x:v>0.8026282051282051</x:v>
      </x:c>
      <x:c r="T393" s="1" t="str">
        <x:v>ナイト</x:v>
      </x:c>
      <x:c r="U393" s="49" t="n">
        <x:v>2</x:v>
      </x:c>
    </x:row>
    <x:row r="394" ht="22" customHeight="1">
      <x:c r="A394" s="1" t="str">
        <x:v>日経mini</x:v>
      </x:c>
      <x:c r="B394" s="1" t="str">
        <x:v>K04</x:v>
      </x:c>
      <x:c r="C394" s="1" t="str">
        <x:v>診断3場</x:v>
      </x:c>
      <x:c r="D394" s="47" t="n">
        <x:v>560612</x:v>
      </x:c>
      <x:c r="E394" s="47" t="n">
        <x:v>865702</x:v>
      </x:c>
      <x:c r="F394" s="47" t="n">
        <x:f>D394-E394</x:f>
        <x:v>-305090</x:v>
      </x:c>
      <x:c r="G394" s="49" t="n">
        <x:v>0</x:v>
      </x:c>
      <x:c r="H394" s="49" t="n">
        <x:v>2</x:v>
      </x:c>
      <x:c r="I394" s="47" t="n">
        <x:v>-305090</x:v>
      </x:c>
      <x:c r="J394" s="49" t="n">
        <x:v>95</x:v>
      </x:c>
      <x:c r="K394" s="47" t="n">
        <x:v>-223546</x:v>
      </x:c>
      <x:c r="L394" s="47" t="n">
        <x:v>152545</x:v>
      </x:c>
      <x:c r="M394" s="48" t="n">
        <x:v>2.5</x:v>
      </x:c>
      <x:c r="N394" s="48" t="n">
        <x:v>495.7166666666667</x:v>
      </x:c>
      <x:c r="O394" s="49" t="n">
        <x:v>7</x:v>
      </x:c>
      <x:c r="P394" s="1" t="str">
        <x:v>基準併用：中期支持中は短期逆行を保持・広め</x:v>
      </x:c>
      <x:c r="Q394" s="49" t="n">
        <x:v>0</x:v>
      </x:c>
      <x:c r="R394" s="50" t="n">
        <x:v>0.833464590964591</x:v>
      </x:c>
      <x:c r="S394" s="50" t="n">
        <x:v>0.8261944444444445</x:v>
      </x:c>
      <x:c r="T394" s="1" t="str">
        <x:v>上昇</x:v>
      </x:c>
      <x:c r="U394" s="49" t="n">
        <x:v>2</x:v>
      </x:c>
    </x:row>
    <x:row r="395" ht="22" customHeight="1">
      <x:c r="A395" s="1" t="str">
        <x:v>日経mini</x:v>
      </x:c>
      <x:c r="B395" s="1" t="str">
        <x:v>K04</x:v>
      </x:c>
      <x:c r="C395" s="1" t="str">
        <x:v>診断3場</x:v>
      </x:c>
      <x:c r="D395" s="47" t="n">
        <x:v>328460</x:v>
      </x:c>
      <x:c r="E395" s="47" t="n">
        <x:v>430620</x:v>
      </x:c>
      <x:c r="F395" s="47" t="n">
        <x:f>D395-E395</x:f>
        <x:v>-102160</x:v>
      </x:c>
      <x:c r="G395" s="49" t="n">
        <x:v>0</x:v>
      </x:c>
      <x:c r="H395" s="49" t="n">
        <x:v>1</x:v>
      </x:c>
      <x:c r="I395" s="47" t="n">
        <x:v>-102160</x:v>
      </x:c>
      <x:c r="J395" s="49" t="n">
        <x:v>50</x:v>
      </x:c>
      <x:c r="K395" s="47" t="n">
        <x:v>-102160</x:v>
      </x:c>
      <x:c r="L395" s="47" t="n">
        <x:v>102160</x:v>
      </x:c>
      <x:c r="M395" s="48" t="n">
        <x:v>4.266666666666667</x:v>
      </x:c>
      <x:c r="N395" s="48" t="n">
        <x:v>620.9</x:v>
      </x:c>
      <x:c r="O395" s="49" t="n">
        <x:v>7</x:v>
      </x:c>
      <x:c r="P395" s="1" t="str">
        <x:v>基準併用：中期支持中は短期逆行を保持・広め</x:v>
      </x:c>
      <x:c r="Q395" s="49" t="n">
        <x:v>0</x:v>
      </x:c>
      <x:c r="R395" s="50" t="n">
        <x:v>0.796025641025641</x:v>
      </x:c>
      <x:c r="S395" s="50" t="n">
        <x:v>0.796025641025641</x:v>
      </x:c>
      <x:c r="T395" s="1" t="str">
        <x:v>下落</x:v>
      </x:c>
      <x:c r="U395" s="49" t="n">
        <x:v>1</x:v>
      </x:c>
    </x:row>
    <x:row r="396" ht="22" customHeight="1">
      <x:c r="A396" s="1" t="str">
        <x:v>日経mini</x:v>
      </x:c>
      <x:c r="B396" s="1" t="str">
        <x:v>K05</x:v>
      </x:c>
      <x:c r="C396" s="1" t="str">
        <x:v>全50場</x:v>
      </x:c>
      <x:c r="D396" s="47" t="n">
        <x:v>17321678</x:v>
      </x:c>
      <x:c r="E396" s="47" t="n">
        <x:v>25543462</x:v>
      </x:c>
      <x:c r="F396" s="47" t="n">
        <x:f>D396-E396</x:f>
        <x:v>-8221784</x:v>
      </x:c>
      <x:c r="G396" s="49" t="n">
        <x:v>5</x:v>
      </x:c>
      <x:c r="H396" s="49" t="n">
        <x:v>45</x:v>
      </x:c>
      <x:c r="I396" s="47" t="n">
        <x:v>-8454684</x:v>
      </x:c>
      <x:c r="J396" s="49" t="n">
        <x:v>3116</x:v>
      </x:c>
      <x:c r="K396" s="47" t="n">
        <x:v>-596398</x:v>
      </x:c>
      <x:c r="L396" s="47" t="n">
        <x:v>189315.6</x:v>
      </x:c>
      <x:c r="M396" s="48" t="n">
        <x:v>3.4256666666666673</x:v>
      </x:c>
      <x:c r="N396" s="48" t="n">
        <x:v>454.2833333333333</x:v>
      </x:c>
      <x:c r="O396" s="49" t="n">
        <x:v>7</x:v>
      </x:c>
      <x:c r="P396" s="1" t="str">
        <x:v>基準併用：反対合議で返済後に反転・標準</x:v>
      </x:c>
      <x:c r="Q396" s="49" t="n">
        <x:v>0</x:v>
      </x:c>
      <x:c r="R396" s="50" t="n">
        <x:v>0.7863643467643469</x:v>
      </x:c>
      <x:c r="S396" s="50" t="n">
        <x:v>0.7571388888888889</x:v>
      </x:c>
      <x:c r="T396" s="1" t="str">
        <x:v>全場</x:v>
      </x:c>
      <x:c r="U396" s="49" t="n">
        <x:v>50</x:v>
      </x:c>
    </x:row>
    <x:row r="397" ht="22" customHeight="1">
      <x:c r="A397" s="1" t="str">
        <x:v>日経mini</x:v>
      </x:c>
      <x:c r="B397" s="1" t="str">
        <x:v>K05</x:v>
      </x:c>
      <x:c r="C397" s="1" t="str">
        <x:v>全50場</x:v>
      </x:c>
      <x:c r="D397" s="47" t="n">
        <x:v>9356802</x:v>
      </x:c>
      <x:c r="E397" s="47" t="n">
        <x:v>13948170</x:v>
      </x:c>
      <x:c r="F397" s="47" t="n">
        <x:f>D397-E397</x:f>
        <x:v>-4591368</x:v>
      </x:c>
      <x:c r="G397" s="49" t="n">
        <x:v>2</x:v>
      </x:c>
      <x:c r="H397" s="49" t="n">
        <x:v>23</x:v>
      </x:c>
      <x:c r="I397" s="47" t="n">
        <x:v>-4706734</x:v>
      </x:c>
      <x:c r="J397" s="49" t="n">
        <x:v>1702</x:v>
      </x:c>
      <x:c r="K397" s="47" t="n">
        <x:v>-596398</x:v>
      </x:c>
      <x:c r="L397" s="47" t="n">
        <x:v>204640.60869565216</x:v>
      </x:c>
      <x:c r="M397" s="48" t="n">
        <x:v>3.4600000000000004</x:v>
      </x:c>
      <x:c r="N397" s="48" t="n">
        <x:v>371.1886666666667</x:v>
      </x:c>
      <x:c r="O397" s="49" t="n">
        <x:v>7</x:v>
      </x:c>
      <x:c r="P397" s="1" t="str">
        <x:v>基準併用：反対合議で返済後に反転・標準</x:v>
      </x:c>
      <x:c r="Q397" s="49" t="n">
        <x:v>0</x:v>
      </x:c>
      <x:c r="R397" s="50" t="n">
        <x:v>0.8837825396825396</x:v>
      </x:c>
      <x:c r="S397" s="50" t="n">
        <x:v>0.8837825396825397</x:v>
      </x:c>
      <x:c r="T397" s="1" t="str">
        <x:v>デイ</x:v>
      </x:c>
      <x:c r="U397" s="49" t="n">
        <x:v>25</x:v>
      </x:c>
    </x:row>
    <x:row r="398" ht="22" customHeight="1">
      <x:c r="A398" s="1" t="str">
        <x:v>日経mini</x:v>
      </x:c>
      <x:c r="B398" s="1" t="str">
        <x:v>K05</x:v>
      </x:c>
      <x:c r="C398" s="1" t="str">
        <x:v>全50場</x:v>
      </x:c>
      <x:c r="D398" s="47" t="n">
        <x:v>7964876</x:v>
      </x:c>
      <x:c r="E398" s="47" t="n">
        <x:v>11595292</x:v>
      </x:c>
      <x:c r="F398" s="47" t="n">
        <x:f>D398-E398</x:f>
        <x:v>-3630416</x:v>
      </x:c>
      <x:c r="G398" s="49" t="n">
        <x:v>3</x:v>
      </x:c>
      <x:c r="H398" s="49" t="n">
        <x:v>22</x:v>
      </x:c>
      <x:c r="I398" s="47" t="n">
        <x:v>-3812468</x:v>
      </x:c>
      <x:c r="J398" s="49" t="n">
        <x:v>1414</x:v>
      </x:c>
      <x:c r="K398" s="47" t="n">
        <x:v>-450474</x:v>
      </x:c>
      <x:c r="L398" s="47" t="n">
        <x:v>173294</x:v>
      </x:c>
      <x:c r="M398" s="48" t="n">
        <x:v>3.3913333333333333</x:v>
      </x:c>
      <x:c r="N398" s="48" t="n">
        <x:v>537.3779999999999</x:v>
      </x:c>
      <x:c r="O398" s="49" t="n">
        <x:v>7</x:v>
      </x:c>
      <x:c r="P398" s="1" t="str">
        <x:v>基準併用：反対合議で返済後に反転・標準</x:v>
      </x:c>
      <x:c r="Q398" s="49" t="n">
        <x:v>0</x:v>
      </x:c>
      <x:c r="R398" s="50" t="n">
        <x:v>0.6889461538461538</x:v>
      </x:c>
      <x:c r="S398" s="50" t="n">
        <x:v>0.6889461538461539</x:v>
      </x:c>
      <x:c r="T398" s="1" t="str">
        <x:v>ナイト</x:v>
      </x:c>
      <x:c r="U398" s="49" t="n">
        <x:v>25</x:v>
      </x:c>
    </x:row>
    <x:row r="399" ht="22" customHeight="1">
      <x:c r="A399" s="1" t="str">
        <x:v>日経mini</x:v>
      </x:c>
      <x:c r="B399" s="1" t="str">
        <x:v>K05</x:v>
      </x:c>
      <x:c r="C399" s="1" t="str">
        <x:v>全50場</x:v>
      </x:c>
      <x:c r="D399" s="47" t="n">
        <x:v>8192100</x:v>
      </x:c>
      <x:c r="E399" s="47" t="n">
        <x:v>12087222</x:v>
      </x:c>
      <x:c r="F399" s="47" t="n">
        <x:f>D399-E399</x:f>
        <x:v>-3895122</x:v>
      </x:c>
      <x:c r="G399" s="49" t="n">
        <x:v>2</x:v>
      </x:c>
      <x:c r="H399" s="49" t="n">
        <x:v>22</x:v>
      </x:c>
      <x:c r="I399" s="47" t="n">
        <x:v>-4018262</x:v>
      </x:c>
      <x:c r="J399" s="49" t="n">
        <x:v>1512</x:v>
      </x:c>
      <x:c r="K399" s="47" t="n">
        <x:v>-492010</x:v>
      </x:c>
      <x:c r="L399" s="47" t="n">
        <x:v>182648.27272727274</x:v>
      </x:c>
      <x:c r="M399" s="48" t="n">
        <x:v>3.3486111111111114</x:v>
      </x:c>
      <x:c r="N399" s="48" t="n">
        <x:v>462.1104166666666</x:v>
      </x:c>
      <x:c r="O399" s="49" t="n">
        <x:v>7</x:v>
      </x:c>
      <x:c r="P399" s="1" t="str">
        <x:v>基準併用：反対合議で返済後に反転・標準</x:v>
      </x:c>
      <x:c r="Q399" s="49" t="n">
        <x:v>0</x:v>
      </x:c>
      <x:c r="R399" s="50" t="n">
        <x:v>0.7792342032967033</x:v>
      </x:c>
      <x:c r="S399" s="50" t="n">
        <x:v>0.7513990514905149</x:v>
      </x:c>
      <x:c r="T399" s="1" t="str">
        <x:v>上昇</x:v>
      </x:c>
      <x:c r="U399" s="49" t="n">
        <x:v>24</x:v>
      </x:c>
    </x:row>
    <x:row r="400" ht="22" customHeight="1">
      <x:c r="A400" s="1" t="str">
        <x:v>日経mini</x:v>
      </x:c>
      <x:c r="B400" s="1" t="str">
        <x:v>K05</x:v>
      </x:c>
      <x:c r="C400" s="1" t="str">
        <x:v>全50場</x:v>
      </x:c>
      <x:c r="D400" s="47" t="n">
        <x:v>9129578</x:v>
      </x:c>
      <x:c r="E400" s="47" t="n">
        <x:v>13456240</x:v>
      </x:c>
      <x:c r="F400" s="47" t="n">
        <x:f>D400-E400</x:f>
        <x:v>-4326662</x:v>
      </x:c>
      <x:c r="G400" s="49" t="n">
        <x:v>3</x:v>
      </x:c>
      <x:c r="H400" s="49" t="n">
        <x:v>23</x:v>
      </x:c>
      <x:c r="I400" s="47" t="n">
        <x:v>-4500940</x:v>
      </x:c>
      <x:c r="J400" s="49" t="n">
        <x:v>1604</x:v>
      </x:c>
      <x:c r="K400" s="47" t="n">
        <x:v>-596398</x:v>
      </x:c>
      <x:c r="L400" s="47" t="n">
        <x:v>195693.04347826086</x:v>
      </x:c>
      <x:c r="M400" s="48" t="n">
        <x:v>3.496794871794872</x:v>
      </x:c>
      <x:c r="N400" s="48" t="n">
        <x:v>447.05833333333334</x:v>
      </x:c>
      <x:c r="O400" s="49" t="n">
        <x:v>7</x:v>
      </x:c>
      <x:c r="P400" s="1" t="str">
        <x:v>基準併用：反対合議で返済後に反転・標準</x:v>
      </x:c>
      <x:c r="Q400" s="49" t="n">
        <x:v>0</x:v>
      </x:c>
      <x:c r="R400" s="50" t="n">
        <x:v>0.792946017657556</x:v>
      </x:c>
      <x:c r="S400" s="50" t="n">
        <x:v>0.7626979440069991</x:v>
      </x:c>
      <x:c r="T400" s="1" t="str">
        <x:v>下落</x:v>
      </x:c>
      <x:c r="U400" s="49" t="n">
        <x:v>26</x:v>
      </x:c>
    </x:row>
    <x:row r="401" ht="22" customHeight="1">
      <x:c r="A401" s="1" t="str">
        <x:v>日経mini</x:v>
      </x:c>
      <x:c r="B401" s="1" t="str">
        <x:v>K05</x:v>
      </x:c>
      <x:c r="C401" s="1" t="str">
        <x:v>対照47場</x:v>
      </x:c>
      <x:c r="D401" s="47" t="n">
        <x:v>15821380</x:v>
      </x:c>
      <x:c r="E401" s="47" t="n">
        <x:v>23872518</x:v>
      </x:c>
      <x:c r="F401" s="47" t="n">
        <x:f>D401-E401</x:f>
        <x:v>-8051138</x:v>
      </x:c>
      <x:c r="G401" s="49" t="n">
        <x:v>4</x:v>
      </x:c>
      <x:c r="H401" s="49" t="n">
        <x:v>43</x:v>
      </x:c>
      <x:c r="I401" s="47" t="n">
        <x:v>-8284038</x:v>
      </x:c>
      <x:c r="J401" s="49" t="n">
        <x:v>2897</x:v>
      </x:c>
      <x:c r="K401" s="47" t="n">
        <x:v>-596398</x:v>
      </x:c>
      <x:c r="L401" s="47" t="n">
        <x:v>193827.11627906977</x:v>
      </x:c>
      <x:c r="M401" s="48" t="n">
        <x:v>3.4471631205673763</x:v>
      </x:c>
      <x:c r="N401" s="48" t="n">
        <x:v>448.9464539007092</x:v>
      </x:c>
      <x:c r="O401" s="49" t="n">
        <x:v>7</x:v>
      </x:c>
      <x:c r="P401" s="1" t="str">
        <x:v>基準併用：反対合議で返済後に反転・標準</x:v>
      </x:c>
      <x:c r="Q401" s="49" t="n">
        <x:v>0</x:v>
      </x:c>
      <x:c r="R401" s="50" t="n">
        <x:v>0.783545644662666</x:v>
      </x:c>
      <x:c r="S401" s="50" t="n">
        <x:v>0.7530507970497264</x:v>
      </x:c>
      <x:c r="T401" s="1" t="str">
        <x:v>全場</x:v>
      </x:c>
      <x:c r="U401" s="49" t="n">
        <x:v>47</x:v>
      </x:c>
    </x:row>
    <x:row r="402" ht="22" customHeight="1">
      <x:c r="A402" s="1" t="str">
        <x:v>日経mini</x:v>
      </x:c>
      <x:c r="B402" s="1" t="str">
        <x:v>K05</x:v>
      </x:c>
      <x:c r="C402" s="1" t="str">
        <x:v>対照47場</x:v>
      </x:c>
      <x:c r="D402" s="47" t="n">
        <x:v>8792960</x:v>
      </x:c>
      <x:c r="E402" s="47" t="n">
        <x:v>13361240</x:v>
      </x:c>
      <x:c r="F402" s="47" t="n">
        <x:f>D402-E402</x:f>
        <x:v>-4568280</x:v>
      </x:c>
      <x:c r="G402" s="49" t="n">
        <x:v>2</x:v>
      </x:c>
      <x:c r="H402" s="49" t="n">
        <x:v>22</x:v>
      </x:c>
      <x:c r="I402" s="47" t="n">
        <x:v>-4683646</x:v>
      </x:c>
      <x:c r="J402" s="49" t="n">
        <x:v>1625</x:v>
      </x:c>
      <x:c r="K402" s="47" t="n">
        <x:v>-596398</x:v>
      </x:c>
      <x:c r="L402" s="47" t="n">
        <x:v>212893</x:v>
      </x:c>
      <x:c r="M402" s="48" t="n">
        <x:v>3.4909722222222226</x:v>
      </x:c>
      <x:c r="N402" s="48" t="n">
        <x:v>370.62569444444443</x:v>
      </x:c>
      <x:c r="O402" s="49" t="n">
        <x:v>7</x:v>
      </x:c>
      <x:c r="P402" s="1" t="str">
        <x:v>基準併用：反対合議で返済後に反転・標準</x:v>
      </x:c>
      <x:c r="Q402" s="49" t="n">
        <x:v>0</x:v>
      </x:c>
      <x:c r="R402" s="50" t="n">
        <x:v>0.8824421296296295</x:v>
      </x:c>
      <x:c r="S402" s="50" t="n">
        <x:v>0.8824421296296296</x:v>
      </x:c>
      <x:c r="T402" s="1" t="str">
        <x:v>デイ</x:v>
      </x:c>
      <x:c r="U402" s="49" t="n">
        <x:v>24</x:v>
      </x:c>
    </x:row>
    <x:row r="403" ht="22" customHeight="1">
      <x:c r="A403" s="1" t="str">
        <x:v>日経mini</x:v>
      </x:c>
      <x:c r="B403" s="1" t="str">
        <x:v>K05</x:v>
      </x:c>
      <x:c r="C403" s="1" t="str">
        <x:v>対照47場</x:v>
      </x:c>
      <x:c r="D403" s="47" t="n">
        <x:v>7028420</x:v>
      </x:c>
      <x:c r="E403" s="47" t="n">
        <x:v>10511278</x:v>
      </x:c>
      <x:c r="F403" s="47" t="n">
        <x:f>D403-E403</x:f>
        <x:v>-3482858</x:v>
      </x:c>
      <x:c r="G403" s="49" t="n">
        <x:v>2</x:v>
      </x:c>
      <x:c r="H403" s="49" t="n">
        <x:v>21</x:v>
      </x:c>
      <x:c r="I403" s="47" t="n">
        <x:v>-3650920</x:v>
      </x:c>
      <x:c r="J403" s="49" t="n">
        <x:v>1272</x:v>
      </x:c>
      <x:c r="K403" s="47" t="n">
        <x:v>-450474</x:v>
      </x:c>
      <x:c r="L403" s="47" t="n">
        <x:v>173853.33333333334</x:v>
      </x:c>
      <x:c r="M403" s="48" t="n">
        <x:v>3.4014492753623187</x:v>
      </x:c>
      <x:c r="N403" s="48" t="n">
        <x:v>530.6724637681159</x:v>
      </x:c>
      <x:c r="O403" s="49" t="n">
        <x:v>7</x:v>
      </x:c>
      <x:c r="P403" s="1" t="str">
        <x:v>基準併用：反対合議で返済後に反転・標準</x:v>
      </x:c>
      <x:c r="Q403" s="49" t="n">
        <x:v>0</x:v>
      </x:c>
      <x:c r="R403" s="50" t="n">
        <x:v>0.6803493125232256</x:v>
      </x:c>
      <x:c r="S403" s="50" t="n">
        <x:v>0.6803493125232256</x:v>
      </x:c>
      <x:c r="T403" s="1" t="str">
        <x:v>ナイト</x:v>
      </x:c>
      <x:c r="U403" s="49" t="n">
        <x:v>23</x:v>
      </x:c>
    </x:row>
    <x:row r="404" ht="22" customHeight="1">
      <x:c r="A404" s="1" t="str">
        <x:v>日経mini</x:v>
      </x:c>
      <x:c r="B404" s="1" t="str">
        <x:v>K05</x:v>
      </x:c>
      <x:c r="C404" s="1" t="str">
        <x:v>対照47場</x:v>
      </x:c>
      <x:c r="D404" s="47" t="n">
        <x:v>7284414</x:v>
      </x:c>
      <x:c r="E404" s="47" t="n">
        <x:v>10994900</x:v>
      </x:c>
      <x:c r="F404" s="47" t="n">
        <x:f>D404-E404</x:f>
        <x:v>-3710486</x:v>
      </x:c>
      <x:c r="G404" s="49" t="n">
        <x:v>2</x:v>
      </x:c>
      <x:c r="H404" s="49" t="n">
        <x:v>20</x:v>
      </x:c>
      <x:c r="I404" s="47" t="n">
        <x:v>-3833626</x:v>
      </x:c>
      <x:c r="J404" s="49" t="n">
        <x:v>1368</x:v>
      </x:c>
      <x:c r="K404" s="47" t="n">
        <x:v>-492010</x:v>
      </x:c>
      <x:c r="L404" s="47" t="n">
        <x:v>191681.3</x:v>
      </x:c>
      <x:c r="M404" s="48" t="n">
        <x:v>3.4257575757575767</x:v>
      </x:c>
      <x:c r="N404" s="48" t="n">
        <x:v>458.3507575757576</x:v>
      </x:c>
      <x:c r="O404" s="49" t="n">
        <x:v>7</x:v>
      </x:c>
      <x:c r="P404" s="1" t="str">
        <x:v>基準併用：反対合議で返済後に反転・標準</x:v>
      </x:c>
      <x:c r="Q404" s="49" t="n">
        <x:v>0</x:v>
      </x:c>
      <x:c r="R404" s="50" t="n">
        <x:v>0.7721787934287935</x:v>
      </x:c>
      <x:c r="S404" s="50" t="n">
        <x:v>0.7436369223205507</x:v>
      </x:c>
      <x:c r="T404" s="1" t="str">
        <x:v>上昇</x:v>
      </x:c>
      <x:c r="U404" s="49" t="n">
        <x:v>22</x:v>
      </x:c>
    </x:row>
    <x:row r="405" ht="22" customHeight="1">
      <x:c r="A405" s="1" t="str">
        <x:v>日経mini</x:v>
      </x:c>
      <x:c r="B405" s="1" t="str">
        <x:v>K05</x:v>
      </x:c>
      <x:c r="C405" s="1" t="str">
        <x:v>対照47場</x:v>
      </x:c>
      <x:c r="D405" s="47" t="n">
        <x:v>8536966</x:v>
      </x:c>
      <x:c r="E405" s="47" t="n">
        <x:v>12877618</x:v>
      </x:c>
      <x:c r="F405" s="47" t="n">
        <x:f>D405-E405</x:f>
        <x:v>-4340652</x:v>
      </x:c>
      <x:c r="G405" s="49" t="n">
        <x:v>2</x:v>
      </x:c>
      <x:c r="H405" s="49" t="n">
        <x:v>23</x:v>
      </x:c>
      <x:c r="I405" s="47" t="n">
        <x:v>-4500940</x:v>
      </x:c>
      <x:c r="J405" s="49" t="n">
        <x:v>1529</x:v>
      </x:c>
      <x:c r="K405" s="47" t="n">
        <x:v>-596398</x:v>
      </x:c>
      <x:c r="L405" s="47" t="n">
        <x:v>195693.04347826086</x:v>
      </x:c>
      <x:c r="M405" s="48" t="n">
        <x:v>3.466</x:v>
      </x:c>
      <x:c r="N405" s="48" t="n">
        <x:v>440.67066666666665</x:v>
      </x:c>
      <x:c r="O405" s="49" t="n">
        <x:v>7</x:v>
      </x:c>
      <x:c r="P405" s="1" t="str">
        <x:v>基準併用：反対合議で返済後に反転・標準</x:v>
      </x:c>
      <x:c r="Q405" s="49" t="n">
        <x:v>0</x:v>
      </x:c>
      <x:c r="R405" s="50" t="n">
        <x:v>0.7935484737484737</x:v>
      </x:c>
      <x:c r="S405" s="50" t="n">
        <x:v>0.7618787459658829</x:v>
      </x:c>
      <x:c r="T405" s="1" t="str">
        <x:v>下落</x:v>
      </x:c>
      <x:c r="U405" s="49" t="n">
        <x:v>25</x:v>
      </x:c>
    </x:row>
    <x:row r="406" ht="22" customHeight="1">
      <x:c r="A406" s="1" t="str">
        <x:v>日経mini</x:v>
      </x:c>
      <x:c r="B406" s="1" t="str">
        <x:v>K05</x:v>
      </x:c>
      <x:c r="C406" s="1" t="str">
        <x:v>診断3場</x:v>
      </x:c>
      <x:c r="D406" s="47" t="n">
        <x:v>1500298</x:v>
      </x:c>
      <x:c r="E406" s="47" t="n">
        <x:v>1670944</x:v>
      </x:c>
      <x:c r="F406" s="47" t="n">
        <x:f>D406-E406</x:f>
        <x:v>-170646</x:v>
      </x:c>
      <x:c r="G406" s="49" t="n">
        <x:v>1</x:v>
      </x:c>
      <x:c r="H406" s="49" t="n">
        <x:v>2</x:v>
      </x:c>
      <x:c r="I406" s="47" t="n">
        <x:v>-184636</x:v>
      </x:c>
      <x:c r="J406" s="49" t="n">
        <x:v>219</x:v>
      </x:c>
      <x:c r="K406" s="47" t="n">
        <x:v>-161548</x:v>
      </x:c>
      <x:c r="L406" s="47" t="n">
        <x:v>92318</x:v>
      </x:c>
      <x:c r="M406" s="48" t="n">
        <x:v>3.0888888888888886</x:v>
      </x:c>
      <x:c r="N406" s="48" t="n">
        <x:v>537.8944444444445</x:v>
      </x:c>
      <x:c r="O406" s="49" t="n">
        <x:v>7</x:v>
      </x:c>
      <x:c r="P406" s="1" t="str">
        <x:v>基準併用：反対合議で返済後に反転・標準</x:v>
      </x:c>
      <x:c r="Q406" s="49" t="n">
        <x:v>0</x:v>
      </x:c>
      <x:c r="R406" s="50" t="n">
        <x:v>0.830524013024013</x:v>
      </x:c>
      <x:c r="S406" s="50" t="n">
        <x:v>0.8149915824915825</x:v>
      </x:c>
      <x:c r="T406" s="1" t="str">
        <x:v>全場</x:v>
      </x:c>
      <x:c r="U406" s="49" t="n">
        <x:v>3</x:v>
      </x:c>
    </x:row>
    <x:row r="407" ht="22" customHeight="1">
      <x:c r="A407" s="1" t="str">
        <x:v>日経mini</x:v>
      </x:c>
      <x:c r="B407" s="1" t="str">
        <x:v>K05</x:v>
      </x:c>
      <x:c r="C407" s="1" t="str">
        <x:v>診断3場</x:v>
      </x:c>
      <x:c r="D407" s="47" t="n">
        <x:v>563842</x:v>
      </x:c>
      <x:c r="E407" s="47" t="n">
        <x:v>586930</x:v>
      </x:c>
      <x:c r="F407" s="47" t="n">
        <x:f>D407-E407</x:f>
        <x:v>-23088</x:v>
      </x:c>
      <x:c r="G407" s="49" t="n">
        <x:v>0</x:v>
      </x:c>
      <x:c r="H407" s="49" t="n">
        <x:v>1</x:v>
      </x:c>
      <x:c r="I407" s="47" t="n">
        <x:v>-23088</x:v>
      </x:c>
      <x:c r="J407" s="49" t="n">
        <x:v>77</x:v>
      </x:c>
      <x:c r="K407" s="47" t="n">
        <x:v>-23088</x:v>
      </x:c>
      <x:c r="L407" s="47" t="n">
        <x:v>23088</x:v>
      </x:c>
      <x:c r="M407" s="48" t="n">
        <x:v>2.716666666666667</x:v>
      </x:c>
      <x:c r="N407" s="48" t="n">
        <x:v>384.7</x:v>
      </x:c>
      <x:c r="O407" s="49" t="n">
        <x:v>7</x:v>
      </x:c>
      <x:c r="P407" s="1" t="str">
        <x:v>基準併用：反対合議で返済後に反転・標準</x:v>
      </x:c>
      <x:c r="Q407" s="49" t="n">
        <x:v>0</x:v>
      </x:c>
      <x:c r="R407" s="50" t="n">
        <x:v>0.915952380952381</x:v>
      </x:c>
      <x:c r="S407" s="50" t="n">
        <x:v>0.915952380952381</x:v>
      </x:c>
      <x:c r="T407" s="1" t="str">
        <x:v>デイ</x:v>
      </x:c>
      <x:c r="U407" s="49" t="n">
        <x:v>1</x:v>
      </x:c>
    </x:row>
    <x:row r="408" ht="22" customHeight="1">
      <x:c r="A408" s="1" t="str">
        <x:v>日経mini</x:v>
      </x:c>
      <x:c r="B408" s="1" t="str">
        <x:v>K05</x:v>
      </x:c>
      <x:c r="C408" s="1" t="str">
        <x:v>診断3場</x:v>
      </x:c>
      <x:c r="D408" s="47" t="n">
        <x:v>936456</x:v>
      </x:c>
      <x:c r="E408" s="47" t="n">
        <x:v>1084014</x:v>
      </x:c>
      <x:c r="F408" s="47" t="n">
        <x:f>D408-E408</x:f>
        <x:v>-147558</x:v>
      </x:c>
      <x:c r="G408" s="49" t="n">
        <x:v>1</x:v>
      </x:c>
      <x:c r="H408" s="49" t="n">
        <x:v>1</x:v>
      </x:c>
      <x:c r="I408" s="47" t="n">
        <x:v>-161548</x:v>
      </x:c>
      <x:c r="J408" s="49" t="n">
        <x:v>142</x:v>
      </x:c>
      <x:c r="K408" s="47" t="n">
        <x:v>-161548</x:v>
      </x:c>
      <x:c r="L408" s="47" t="n">
        <x:v>161548</x:v>
      </x:c>
      <x:c r="M408" s="48" t="n">
        <x:v>3.275</x:v>
      </x:c>
      <x:c r="N408" s="48" t="n">
        <x:v>614.4916666666667</x:v>
      </x:c>
      <x:c r="O408" s="49" t="n">
        <x:v>7</x:v>
      </x:c>
      <x:c r="P408" s="1" t="str">
        <x:v>基準併用：反対合議で返済後に反転・標準</x:v>
      </x:c>
      <x:c r="Q408" s="49" t="n">
        <x:v>0</x:v>
      </x:c>
      <x:c r="R408" s="50" t="n">
        <x:v>0.787809829059829</x:v>
      </x:c>
      <x:c r="S408" s="50" t="n">
        <x:v>0.7878098290598291</x:v>
      </x:c>
      <x:c r="T408" s="1" t="str">
        <x:v>ナイト</x:v>
      </x:c>
      <x:c r="U408" s="49" t="n">
        <x:v>2</x:v>
      </x:c>
    </x:row>
    <x:row r="409" ht="22" customHeight="1">
      <x:c r="A409" s="1" t="str">
        <x:v>日経mini</x:v>
      </x:c>
      <x:c r="B409" s="1" t="str">
        <x:v>K05</x:v>
      </x:c>
      <x:c r="C409" s="1" t="str">
        <x:v>診断3場</x:v>
      </x:c>
      <x:c r="D409" s="47" t="n">
        <x:v>907686</x:v>
      </x:c>
      <x:c r="E409" s="47" t="n">
        <x:v>1092322</x:v>
      </x:c>
      <x:c r="F409" s="47" t="n">
        <x:f>D409-E409</x:f>
        <x:v>-184636</x:v>
      </x:c>
      <x:c r="G409" s="49" t="n">
        <x:v>0</x:v>
      </x:c>
      <x:c r="H409" s="49" t="n">
        <x:v>2</x:v>
      </x:c>
      <x:c r="I409" s="47" t="n">
        <x:v>-184636</x:v>
      </x:c>
      <x:c r="J409" s="49" t="n">
        <x:v>144</x:v>
      </x:c>
      <x:c r="K409" s="47" t="n">
        <x:v>-161548</x:v>
      </x:c>
      <x:c r="L409" s="47" t="n">
        <x:v>92318</x:v>
      </x:c>
      <x:c r="M409" s="48" t="n">
        <x:v>2.5</x:v>
      </x:c>
      <x:c r="N409" s="48" t="n">
        <x:v>503.4666666666667</x:v>
      </x:c>
      <x:c r="O409" s="49" t="n">
        <x:v>7</x:v>
      </x:c>
      <x:c r="P409" s="1" t="str">
        <x:v>基準併用：反対合議で返済後に反転・標準</x:v>
      </x:c>
      <x:c r="Q409" s="49" t="n">
        <x:v>0</x:v>
      </x:c>
      <x:c r="R409" s="50" t="n">
        <x:v>0.8568437118437118</x:v>
      </x:c>
      <x:c r="S409" s="50" t="n">
        <x:v>0.8391111111111111</x:v>
      </x:c>
      <x:c r="T409" s="1" t="str">
        <x:v>上昇</x:v>
      </x:c>
      <x:c r="U409" s="49" t="n">
        <x:v>2</x:v>
      </x:c>
    </x:row>
    <x:row r="410" ht="22" customHeight="1">
      <x:c r="A410" s="1" t="str">
        <x:v>日経mini</x:v>
      </x:c>
      <x:c r="B410" s="1" t="str">
        <x:v>K05</x:v>
      </x:c>
      <x:c r="C410" s="1" t="str">
        <x:v>診断3場</x:v>
      </x:c>
      <x:c r="D410" s="47" t="n">
        <x:v>592612</x:v>
      </x:c>
      <x:c r="E410" s="47" t="n">
        <x:v>578622</x:v>
      </x:c>
      <x:c r="F410" s="47" t="n">
        <x:f>D410-E410</x:f>
        <x:v>13990</x:v>
      </x:c>
      <x:c r="G410" s="49" t="n">
        <x:v>1</x:v>
      </x:c>
      <x:c r="H410" s="49" t="n">
        <x:v>0</x:v>
      </x:c>
      <x:c r="I410" s="47" t="n">
        <x:v>0</x:v>
      </x:c>
      <x:c r="J410" s="49" t="n">
        <x:v>75</x:v>
      </x:c>
      <x:c r="K410" s="47" t="n">
        <x:v>13990</x:v>
      </x:c>
      <x:c r="L410" s="47" t="n">
        <x:v>0</x:v>
      </x:c>
      <x:c r="M410" s="48" t="n">
        <x:v>4.266666666666667</x:v>
      </x:c>
      <x:c r="N410" s="48" t="n">
        <x:v>606.75</x:v>
      </x:c>
      <x:c r="O410" s="49" t="n">
        <x:v>7</x:v>
      </x:c>
      <x:c r="P410" s="1" t="str">
        <x:v>基準併用：反対合議で返済後に反転・標準</x:v>
      </x:c>
      <x:c r="Q410" s="49" t="n">
        <x:v>0</x:v>
      </x:c>
      <x:c r="R410" s="50" t="n">
        <x:v>0.7778846153846154</x:v>
      </x:c>
      <x:c r="S410" s="50" t="n">
        <x:v>0.7778846153846154</x:v>
      </x:c>
      <x:c r="T410" s="1" t="str">
        <x:v>下落</x:v>
      </x:c>
      <x:c r="U410" s="49" t="n">
        <x:v>1</x:v>
      </x:c>
    </x:row>
    <x:row r="411" ht="22" customHeight="1">
      <x:c r="A411" s="1" t="str">
        <x:v>日経mini</x:v>
      </x:c>
      <x:c r="B411" s="1" t="str">
        <x:v>K06</x:v>
      </x:c>
      <x:c r="C411" s="1" t="str">
        <x:v>全50場</x:v>
      </x:c>
      <x:c r="D411" s="47" t="n">
        <x:v>17335684</x:v>
      </x:c>
      <x:c r="E411" s="47" t="n">
        <x:v>25132066</x:v>
      </x:c>
      <x:c r="F411" s="47" t="n">
        <x:f>D411-E411</x:f>
        <x:v>-7796382</x:v>
      </x:c>
      <x:c r="G411" s="49" t="n">
        <x:v>8</x:v>
      </x:c>
      <x:c r="H411" s="49" t="n">
        <x:v>42</x:v>
      </x:c>
      <x:c r="I411" s="47" t="n">
        <x:v>-8142512</x:v>
      </x:c>
      <x:c r="J411" s="49" t="n">
        <x:v>3003</x:v>
      </x:c>
      <x:c r="K411" s="47" t="n">
        <x:v>-582398</x:v>
      </x:c>
      <x:c r="L411" s="47" t="n">
        <x:v>196601.33333333334</x:v>
      </x:c>
      <x:c r="M411" s="48" t="n">
        <x:v>3.4256666666666673</x:v>
      </x:c>
      <x:c r="N411" s="48" t="n">
        <x:v>504.37933333333336</x:v>
      </x:c>
      <x:c r="O411" s="49" t="n">
        <x:v>7</x:v>
      </x:c>
      <x:c r="P411" s="1" t="str">
        <x:v>基準併用：反対合議で返済後に反転・広め</x:v>
      </x:c>
      <x:c r="Q411" s="49" t="n">
        <x:v>0</x:v>
      </x:c>
      <x:c r="R411" s="50" t="n">
        <x:v>0.8573691086691086</x:v>
      </x:c>
      <x:c r="S411" s="50" t="n">
        <x:v>0.8406322222222222</x:v>
      </x:c>
      <x:c r="T411" s="1" t="str">
        <x:v>全場</x:v>
      </x:c>
      <x:c r="U411" s="49" t="n">
        <x:v>50</x:v>
      </x:c>
    </x:row>
    <x:row r="412" ht="22" customHeight="1">
      <x:c r="A412" s="1" t="str">
        <x:v>日経mini</x:v>
      </x:c>
      <x:c r="B412" s="1" t="str">
        <x:v>K06</x:v>
      </x:c>
      <x:c r="C412" s="1" t="str">
        <x:v>全50場</x:v>
      </x:c>
      <x:c r="D412" s="47" t="n">
        <x:v>9306188</x:v>
      </x:c>
      <x:c r="E412" s="47" t="n">
        <x:v>13832014</x:v>
      </x:c>
      <x:c r="F412" s="47" t="n">
        <x:f>D412-E412</x:f>
        <x:v>-4525826</x:v>
      </x:c>
      <x:c r="G412" s="49" t="n">
        <x:v>3</x:v>
      </x:c>
      <x:c r="H412" s="49" t="n">
        <x:v>22</x:v>
      </x:c>
      <x:c r="I412" s="47" t="n">
        <x:v>-4649884</x:v>
      </x:c>
      <x:c r="J412" s="49" t="n">
        <x:v>1679</x:v>
      </x:c>
      <x:c r="K412" s="47" t="n">
        <x:v>-582398</x:v>
      </x:c>
      <x:c r="L412" s="47" t="n">
        <x:v>211358.36363636365</x:v>
      </x:c>
      <x:c r="M412" s="48" t="n">
        <x:v>3.4600000000000004</x:v>
      </x:c>
      <x:c r="N412" s="48" t="n">
        <x:v>383.5266666666667</x:v>
      </x:c>
      <x:c r="O412" s="49" t="n">
        <x:v>7</x:v>
      </x:c>
      <x:c r="P412" s="1" t="str">
        <x:v>基準併用：反対合議で返済後に反転・広め</x:v>
      </x:c>
      <x:c r="Q412" s="49" t="n">
        <x:v>0</x:v>
      </x:c>
      <x:c r="R412" s="50" t="n">
        <x:v>0.9131587301587303</x:v>
      </x:c>
      <x:c r="S412" s="50" t="n">
        <x:v>0.9131587301587301</x:v>
      </x:c>
      <x:c r="T412" s="1" t="str">
        <x:v>デイ</x:v>
      </x:c>
      <x:c r="U412" s="49" t="n">
        <x:v>25</x:v>
      </x:c>
    </x:row>
    <x:row r="413" ht="22" customHeight="1">
      <x:c r="A413" s="1" t="str">
        <x:v>日経mini</x:v>
      </x:c>
      <x:c r="B413" s="1" t="str">
        <x:v>K06</x:v>
      </x:c>
      <x:c r="C413" s="1" t="str">
        <x:v>全50場</x:v>
      </x:c>
      <x:c r="D413" s="47" t="n">
        <x:v>8029496</x:v>
      </x:c>
      <x:c r="E413" s="47" t="n">
        <x:v>11300052</x:v>
      </x:c>
      <x:c r="F413" s="47" t="n">
        <x:f>D413-E413</x:f>
        <x:v>-3270556</x:v>
      </x:c>
      <x:c r="G413" s="49" t="n">
        <x:v>5</x:v>
      </x:c>
      <x:c r="H413" s="49" t="n">
        <x:v>20</x:v>
      </x:c>
      <x:c r="I413" s="47" t="n">
        <x:v>-3589154</x:v>
      </x:c>
      <x:c r="J413" s="49" t="n">
        <x:v>1324</x:v>
      </x:c>
      <x:c r="K413" s="47" t="n">
        <x:v>-429858</x:v>
      </x:c>
      <x:c r="L413" s="47" t="n">
        <x:v>180368.6</x:v>
      </x:c>
      <x:c r="M413" s="48" t="n">
        <x:v>3.3913333333333333</x:v>
      </x:c>
      <x:c r="N413" s="48" t="n">
        <x:v>625.232</x:v>
      </x:c>
      <x:c r="O413" s="49" t="n">
        <x:v>7</x:v>
      </x:c>
      <x:c r="P413" s="1" t="str">
        <x:v>基準併用：反対合議で返済後に反転・広め</x:v>
      </x:c>
      <x:c r="Q413" s="49" t="n">
        <x:v>0</x:v>
      </x:c>
      <x:c r="R413" s="50" t="n">
        <x:v>0.8015794871794872</x:v>
      </x:c>
      <x:c r="S413" s="50" t="n">
        <x:v>0.8015794871794871</x:v>
      </x:c>
      <x:c r="T413" s="1" t="str">
        <x:v>ナイト</x:v>
      </x:c>
      <x:c r="U413" s="49" t="n">
        <x:v>25</x:v>
      </x:c>
    </x:row>
    <x:row r="414" ht="22" customHeight="1">
      <x:c r="A414" s="1" t="str">
        <x:v>日経mini</x:v>
      </x:c>
      <x:c r="B414" s="1" t="str">
        <x:v>K06</x:v>
      </x:c>
      <x:c r="C414" s="1" t="str">
        <x:v>全50場</x:v>
      </x:c>
      <x:c r="D414" s="47" t="n">
        <x:v>8217950</x:v>
      </x:c>
      <x:c r="E414" s="47" t="n">
        <x:v>12106140</x:v>
      </x:c>
      <x:c r="F414" s="47" t="n">
        <x:f>D414-E414</x:f>
        <x:v>-3888190</x:v>
      </x:c>
      <x:c r="G414" s="49" t="n">
        <x:v>4</x:v>
      </x:c>
      <x:c r="H414" s="49" t="n">
        <x:v>20</x:v>
      </x:c>
      <x:c r="I414" s="47" t="n">
        <x:v>-4046176</x:v>
      </x:c>
      <x:c r="J414" s="49" t="n">
        <x:v>1454</x:v>
      </x:c>
      <x:c r="K414" s="47" t="n">
        <x:v>-562010</x:v>
      </x:c>
      <x:c r="L414" s="47" t="n">
        <x:v>203474</x:v>
      </x:c>
      <x:c r="M414" s="48" t="n">
        <x:v>3.3486111111111114</x:v>
      </x:c>
      <x:c r="N414" s="48" t="n">
        <x:v>516.0819444444445</x:v>
      </x:c>
      <x:c r="O414" s="49" t="n">
        <x:v>7</x:v>
      </x:c>
      <x:c r="P414" s="1" t="str">
        <x:v>基準併用：反対合議で返済後に反転・広め</x:v>
      </x:c>
      <x:c r="Q414" s="49" t="n">
        <x:v>0</x:v>
      </x:c>
      <x:c r="R414" s="50" t="n">
        <x:v>0.853290343915344</x:v>
      </x:c>
      <x:c r="S414" s="50" t="n">
        <x:v>0.8391576332429991</x:v>
      </x:c>
      <x:c r="T414" s="1" t="str">
        <x:v>上昇</x:v>
      </x:c>
      <x:c r="U414" s="49" t="n">
        <x:v>24</x:v>
      </x:c>
    </x:row>
    <x:row r="415" ht="22" customHeight="1">
      <x:c r="A415" s="1" t="str">
        <x:v>日経mini</x:v>
      </x:c>
      <x:c r="B415" s="1" t="str">
        <x:v>K06</x:v>
      </x:c>
      <x:c r="C415" s="1" t="str">
        <x:v>全50場</x:v>
      </x:c>
      <x:c r="D415" s="47" t="n">
        <x:v>9117734</x:v>
      </x:c>
      <x:c r="E415" s="47" t="n">
        <x:v>13025926</x:v>
      </x:c>
      <x:c r="F415" s="47" t="n">
        <x:f>D415-E415</x:f>
        <x:v>-3908192</x:v>
      </x:c>
      <x:c r="G415" s="49" t="n">
        <x:v>4</x:v>
      </x:c>
      <x:c r="H415" s="49" t="n">
        <x:v>22</x:v>
      </x:c>
      <x:c r="I415" s="47" t="n">
        <x:v>-4187324</x:v>
      </x:c>
      <x:c r="J415" s="49" t="n">
        <x:v>1549</x:v>
      </x:c>
      <x:c r="K415" s="47" t="n">
        <x:v>-582398</x:v>
      </x:c>
      <x:c r="L415" s="47" t="n">
        <x:v>190353.45454545456</x:v>
      </x:c>
      <x:c r="M415" s="48" t="n">
        <x:v>3.496794871794872</x:v>
      </x:c>
      <x:c r="N415" s="48" t="n">
        <x:v>493.5769230769231</x:v>
      </x:c>
      <x:c r="O415" s="49" t="n">
        <x:v>7</x:v>
      </x:c>
      <x:c r="P415" s="1" t="str">
        <x:v>基準併用：反対合議で返済後に反転・広め</x:v>
      </x:c>
      <x:c r="Q415" s="49" t="n">
        <x:v>0</x:v>
      </x:c>
      <x:c r="R415" s="50" t="n">
        <x:v>0.8611341222879686</x:v>
      </x:c>
      <x:c r="S415" s="50" t="n">
        <x:v>0.8420603674540682</x:v>
      </x:c>
      <x:c r="T415" s="1" t="str">
        <x:v>下落</x:v>
      </x:c>
      <x:c r="U415" s="49" t="n">
        <x:v>26</x:v>
      </x:c>
    </x:row>
    <x:row r="416" ht="22" customHeight="1">
      <x:c r="A416" s="1" t="str">
        <x:v>日経mini</x:v>
      </x:c>
      <x:c r="B416" s="1" t="str">
        <x:v>K06</x:v>
      </x:c>
      <x:c r="C416" s="1" t="str">
        <x:v>対照47場</x:v>
      </x:c>
      <x:c r="D416" s="47" t="n">
        <x:v>15885386</x:v>
      </x:c>
      <x:c r="E416" s="47" t="n">
        <x:v>23493738</x:v>
      </x:c>
      <x:c r="F416" s="47" t="n">
        <x:f>D416-E416</x:f>
        <x:v>-7608352</x:v>
      </x:c>
      <x:c r="G416" s="49" t="n">
        <x:v>7</x:v>
      </x:c>
      <x:c r="H416" s="49" t="n">
        <x:v>40</x:v>
      </x:c>
      <x:c r="I416" s="47" t="n">
        <x:v>-7954482</x:v>
      </x:c>
      <x:c r="J416" s="49" t="n">
        <x:v>2788</x:v>
      </x:c>
      <x:c r="K416" s="47" t="n">
        <x:v>-582398</x:v>
      </x:c>
      <x:c r="L416" s="47" t="n">
        <x:v>201719.35</x:v>
      </x:c>
      <x:c r="M416" s="48" t="n">
        <x:v>3.4471631205673763</x:v>
      </x:c>
      <x:c r="N416" s="48" t="n">
        <x:v>498.99042553191487</x:v>
      </x:c>
      <x:c r="O416" s="49" t="n">
        <x:v>7</x:v>
      </x:c>
      <x:c r="P416" s="1" t="str">
        <x:v>基準併用：反対合議で返済後に反転・広め</x:v>
      </x:c>
      <x:c r="Q416" s="49" t="n">
        <x:v>0</x:v>
      </x:c>
      <x:c r="R416" s="50" t="n">
        <x:v>0.854892253136934</x:v>
      </x:c>
      <x:c r="S416" s="50" t="n">
        <x:v>0.8369932191291934</x:v>
      </x:c>
      <x:c r="T416" s="1" t="str">
        <x:v>全場</x:v>
      </x:c>
      <x:c r="U416" s="49" t="n">
        <x:v>47</x:v>
      </x:c>
    </x:row>
    <x:row r="417" ht="22" customHeight="1">
      <x:c r="A417" s="1" t="str">
        <x:v>日経mini</x:v>
      </x:c>
      <x:c r="B417" s="1" t="str">
        <x:v>K06</x:v>
      </x:c>
      <x:c r="C417" s="1" t="str">
        <x:v>対照47場</x:v>
      </x:c>
      <x:c r="D417" s="47" t="n">
        <x:v>8748346</x:v>
      </x:c>
      <x:c r="E417" s="47" t="n">
        <x:v>13220930</x:v>
      </x:c>
      <x:c r="F417" s="47" t="n">
        <x:f>D417-E417</x:f>
        <x:v>-4472584</x:v>
      </x:c>
      <x:c r="G417" s="49" t="n">
        <x:v>3</x:v>
      </x:c>
      <x:c r="H417" s="49" t="n">
        <x:v>21</x:v>
      </x:c>
      <x:c r="I417" s="47" t="n">
        <x:v>-4596642</x:v>
      </x:c>
      <x:c r="J417" s="49" t="n">
        <x:v>1601</x:v>
      </x:c>
      <x:c r="K417" s="47" t="n">
        <x:v>-582398</x:v>
      </x:c>
      <x:c r="L417" s="47" t="n">
        <x:v>218887.7142857143</x:v>
      </x:c>
      <x:c r="M417" s="48" t="n">
        <x:v>3.4909722222222226</x:v>
      </x:c>
      <x:c r="N417" s="48" t="n">
        <x:v>383.43472222222226</x:v>
      </x:c>
      <x:c r="O417" s="49" t="n">
        <x:v>7</x:v>
      </x:c>
      <x:c r="P417" s="1" t="str">
        <x:v>基準併用：反対合議で返済後に反転・広め</x:v>
      </x:c>
      <x:c r="Q417" s="49" t="n">
        <x:v>0</x:v>
      </x:c>
      <x:c r="R417" s="50" t="n">
        <x:v>0.9129398148148149</x:v>
      </x:c>
      <x:c r="S417" s="50" t="n">
        <x:v>0.9129398148148147</x:v>
      </x:c>
      <x:c r="T417" s="1" t="str">
        <x:v>デイ</x:v>
      </x:c>
      <x:c r="U417" s="49" t="n">
        <x:v>24</x:v>
      </x:c>
    </x:row>
    <x:row r="418" ht="22" customHeight="1">
      <x:c r="A418" s="1" t="str">
        <x:v>日経mini</x:v>
      </x:c>
      <x:c r="B418" s="1" t="str">
        <x:v>K06</x:v>
      </x:c>
      <x:c r="C418" s="1" t="str">
        <x:v>対照47場</x:v>
      </x:c>
      <x:c r="D418" s="47" t="n">
        <x:v>7137040</x:v>
      </x:c>
      <x:c r="E418" s="47" t="n">
        <x:v>10272808</x:v>
      </x:c>
      <x:c r="F418" s="47" t="n">
        <x:f>D418-E418</x:f>
        <x:v>-3135768</x:v>
      </x:c>
      <x:c r="G418" s="49" t="n">
        <x:v>4</x:v>
      </x:c>
      <x:c r="H418" s="49" t="n">
        <x:v>19</x:v>
      </x:c>
      <x:c r="I418" s="47" t="n">
        <x:v>-3454366</x:v>
      </x:c>
      <x:c r="J418" s="49" t="n">
        <x:v>1187</x:v>
      </x:c>
      <x:c r="K418" s="47" t="n">
        <x:v>-429858</x:v>
      </x:c>
      <x:c r="L418" s="47" t="n">
        <x:v>182743.7894736842</x:v>
      </x:c>
      <x:c r="M418" s="48" t="n">
        <x:v>3.4014492753623187</x:v>
      </x:c>
      <x:c r="N418" s="48" t="n">
        <x:v>619.5702898550726</x:v>
      </x:c>
      <x:c r="O418" s="49" t="n">
        <x:v>7</x:v>
      </x:c>
      <x:c r="P418" s="1" t="str">
        <x:v>基準併用：反対合議で返済後に反転・広め</x:v>
      </x:c>
      <x:c r="Q418" s="49" t="n">
        <x:v>0</x:v>
      </x:c>
      <x:c r="R418" s="50" t="n">
        <x:v>0.7943208844295802</x:v>
      </x:c>
      <x:c r="S418" s="50" t="n">
        <x:v>0.79432088442958</x:v>
      </x:c>
      <x:c r="T418" s="1" t="str">
        <x:v>ナイト</x:v>
      </x:c>
      <x:c r="U418" s="49" t="n">
        <x:v>23</x:v>
      </x:c>
    </x:row>
    <x:row r="419" ht="22" customHeight="1">
      <x:c r="A419" s="1" t="str">
        <x:v>日経mini</x:v>
      </x:c>
      <x:c r="B419" s="1" t="str">
        <x:v>K06</x:v>
      </x:c>
      <x:c r="C419" s="1" t="str">
        <x:v>対照47場</x:v>
      </x:c>
      <x:c r="D419" s="47" t="n">
        <x:v>7320418</x:v>
      </x:c>
      <x:c r="E419" s="47" t="n">
        <x:v>11020126</x:v>
      </x:c>
      <x:c r="F419" s="47" t="n">
        <x:f>D419-E419</x:f>
        <x:v>-3699708</x:v>
      </x:c>
      <x:c r="G419" s="49" t="n">
        <x:v>4</x:v>
      </x:c>
      <x:c r="H419" s="49" t="n">
        <x:v>18</x:v>
      </x:c>
      <x:c r="I419" s="47" t="n">
        <x:v>-3857694</x:v>
      </x:c>
      <x:c r="J419" s="49" t="n">
        <x:v>1311</x:v>
      </x:c>
      <x:c r="K419" s="47" t="n">
        <x:v>-562010</x:v>
      </x:c>
      <x:c r="L419" s="47" t="n">
        <x:v>215611</x:v>
      </x:c>
      <x:c r="M419" s="48" t="n">
        <x:v>3.4257575757575767</x:v>
      </x:c>
      <x:c r="N419" s="48" t="n">
        <x:v>514.0553030303031</x:v>
      </x:c>
      <x:c r="O419" s="49" t="n">
        <x:v>7</x:v>
      </x:c>
      <x:c r="P419" s="1" t="str">
        <x:v>基準併用：反対合議で返済後に反転・広め</x:v>
      </x:c>
      <x:c r="Q419" s="49" t="n">
        <x:v>0</x:v>
      </x:c>
      <x:c r="R419" s="50" t="n">
        <x:v>0.8488471250971251</x:v>
      </x:c>
      <x:c r="S419" s="50" t="n">
        <x:v>0.834013028515241</x:v>
      </x:c>
      <x:c r="T419" s="1" t="str">
        <x:v>上昇</x:v>
      </x:c>
      <x:c r="U419" s="49" t="n">
        <x:v>22</x:v>
      </x:c>
    </x:row>
    <x:row r="420" ht="22" customHeight="1">
      <x:c r="A420" s="1" t="str">
        <x:v>日経mini</x:v>
      </x:c>
      <x:c r="B420" s="1" t="str">
        <x:v>K06</x:v>
      </x:c>
      <x:c r="C420" s="1" t="str">
        <x:v>対照47場</x:v>
      </x:c>
      <x:c r="D420" s="47" t="n">
        <x:v>8564968</x:v>
      </x:c>
      <x:c r="E420" s="47" t="n">
        <x:v>12473612</x:v>
      </x:c>
      <x:c r="F420" s="47" t="n">
        <x:f>D420-E420</x:f>
        <x:v>-3908644</x:v>
      </x:c>
      <x:c r="G420" s="49" t="n">
        <x:v>3</x:v>
      </x:c>
      <x:c r="H420" s="49" t="n">
        <x:v>22</x:v>
      </x:c>
      <x:c r="I420" s="47" t="n">
        <x:v>-4187776</x:v>
      </x:c>
      <x:c r="J420" s="49" t="n">
        <x:v>1477</x:v>
      </x:c>
      <x:c r="K420" s="47" t="n">
        <x:v>-582398</x:v>
      </x:c>
      <x:c r="L420" s="47" t="n">
        <x:v>190353.45454545456</x:v>
      </x:c>
      <x:c r="M420" s="48" t="n">
        <x:v>3.466</x:v>
      </x:c>
      <x:c r="N420" s="48" t="n">
        <x:v>485.73333333333335</x:v>
      </x:c>
      <x:c r="O420" s="49" t="n">
        <x:v>7</x:v>
      </x:c>
      <x:c r="P420" s="1" t="str">
        <x:v>基準併用：反対合議で返済後に反転・広め</x:v>
      </x:c>
      <x:c r="Q420" s="49" t="n">
        <x:v>0</x:v>
      </x:c>
      <x:c r="R420" s="50" t="n">
        <x:v>0.8602119658119659</x:v>
      </x:c>
      <x:c r="S420" s="50" t="n">
        <x:v>0.8397879207007838</x:v>
      </x:c>
      <x:c r="T420" s="1" t="str">
        <x:v>下落</x:v>
      </x:c>
      <x:c r="U420" s="49" t="n">
        <x:v>25</x:v>
      </x:c>
    </x:row>
    <x:row r="421" ht="22" customHeight="1">
      <x:c r="A421" s="1" t="str">
        <x:v>日経mini</x:v>
      </x:c>
      <x:c r="B421" s="1" t="str">
        <x:v>K06</x:v>
      </x:c>
      <x:c r="C421" s="1" t="str">
        <x:v>診断3場</x:v>
      </x:c>
      <x:c r="D421" s="47" t="n">
        <x:v>1450298</x:v>
      </x:c>
      <x:c r="E421" s="47" t="n">
        <x:v>1638328</x:v>
      </x:c>
      <x:c r="F421" s="47" t="n">
        <x:f>D421-E421</x:f>
        <x:v>-188030</x:v>
      </x:c>
      <x:c r="G421" s="49" t="n">
        <x:v>1</x:v>
      </x:c>
      <x:c r="H421" s="49" t="n">
        <x:v>2</x:v>
      </x:c>
      <x:c r="I421" s="47" t="n">
        <x:v>-188482</x:v>
      </x:c>
      <x:c r="J421" s="49" t="n">
        <x:v>215</x:v>
      </x:c>
      <x:c r="K421" s="47" t="n">
        <x:v>-135240</x:v>
      </x:c>
      <x:c r="L421" s="47" t="n">
        <x:v>94241</x:v>
      </x:c>
      <x:c r="M421" s="48" t="n">
        <x:v>3.0888888888888886</x:v>
      </x:c>
      <x:c r="N421" s="48" t="n">
        <x:v>588.8055555555555</x:v>
      </x:c>
      <x:c r="O421" s="49" t="n">
        <x:v>7</x:v>
      </x:c>
      <x:c r="P421" s="1" t="str">
        <x:v>基準併用：反対合議で返済後に反転・広め</x:v>
      </x:c>
      <x:c r="Q421" s="49" t="n">
        <x:v>0</x:v>
      </x:c>
      <x:c r="R421" s="50" t="n">
        <x:v>0.8961731786731786</x:v>
      </x:c>
      <x:c r="S421" s="50" t="n">
        <x:v>0.8921296296296296</x:v>
      </x:c>
      <x:c r="T421" s="1" t="str">
        <x:v>全場</x:v>
      </x:c>
      <x:c r="U421" s="49" t="n">
        <x:v>3</x:v>
      </x:c>
    </x:row>
    <x:row r="422" ht="22" customHeight="1">
      <x:c r="A422" s="1" t="str">
        <x:v>日経mini</x:v>
      </x:c>
      <x:c r="B422" s="1" t="str">
        <x:v>K06</x:v>
      </x:c>
      <x:c r="C422" s="1" t="str">
        <x:v>診断3場</x:v>
      </x:c>
      <x:c r="D422" s="47" t="n">
        <x:v>557842</x:v>
      </x:c>
      <x:c r="E422" s="47" t="n">
        <x:v>611084</x:v>
      </x:c>
      <x:c r="F422" s="47" t="n">
        <x:f>D422-E422</x:f>
        <x:v>-53242</x:v>
      </x:c>
      <x:c r="G422" s="49" t="n">
        <x:v>0</x:v>
      </x:c>
      <x:c r="H422" s="49" t="n">
        <x:v>1</x:v>
      </x:c>
      <x:c r="I422" s="47" t="n">
        <x:v>-53242</x:v>
      </x:c>
      <x:c r="J422" s="49" t="n">
        <x:v>78</x:v>
      </x:c>
      <x:c r="K422" s="47" t="n">
        <x:v>-53242</x:v>
      </x:c>
      <x:c r="L422" s="47" t="n">
        <x:v>53242</x:v>
      </x:c>
      <x:c r="M422" s="48" t="n">
        <x:v>2.716666666666667</x:v>
      </x:c>
      <x:c r="N422" s="48" t="n">
        <x:v>385.73333333333335</x:v>
      </x:c>
      <x:c r="O422" s="49" t="n">
        <x:v>7</x:v>
      </x:c>
      <x:c r="P422" s="1" t="str">
        <x:v>基準併用：反対合議で返済後に反転・広め</x:v>
      </x:c>
      <x:c r="Q422" s="49" t="n">
        <x:v>0</x:v>
      </x:c>
      <x:c r="R422" s="50" t="n">
        <x:v>0.9184126984126985</x:v>
      </x:c>
      <x:c r="S422" s="50" t="n">
        <x:v>0.9184126984126985</x:v>
      </x:c>
      <x:c r="T422" s="1" t="str">
        <x:v>デイ</x:v>
      </x:c>
      <x:c r="U422" s="49" t="n">
        <x:v>1</x:v>
      </x:c>
    </x:row>
    <x:row r="423" ht="22" customHeight="1">
      <x:c r="A423" s="1" t="str">
        <x:v>日経mini</x:v>
      </x:c>
      <x:c r="B423" s="1" t="str">
        <x:v>K06</x:v>
      </x:c>
      <x:c r="C423" s="1" t="str">
        <x:v>診断3場</x:v>
      </x:c>
      <x:c r="D423" s="47" t="n">
        <x:v>892456</x:v>
      </x:c>
      <x:c r="E423" s="47" t="n">
        <x:v>1027244</x:v>
      </x:c>
      <x:c r="F423" s="47" t="n">
        <x:f>D423-E423</x:f>
        <x:v>-134788</x:v>
      </x:c>
      <x:c r="G423" s="49" t="n">
        <x:v>1</x:v>
      </x:c>
      <x:c r="H423" s="49" t="n">
        <x:v>1</x:v>
      </x:c>
      <x:c r="I423" s="47" t="n">
        <x:v>-135240</x:v>
      </x:c>
      <x:c r="J423" s="49" t="n">
        <x:v>137</x:v>
      </x:c>
      <x:c r="K423" s="47" t="n">
        <x:v>-135240</x:v>
      </x:c>
      <x:c r="L423" s="47" t="n">
        <x:v>135240</x:v>
      </x:c>
      <x:c r="M423" s="48" t="n">
        <x:v>3.275</x:v>
      </x:c>
      <x:c r="N423" s="48" t="n">
        <x:v>690.3416666666667</x:v>
      </x:c>
      <x:c r="O423" s="49" t="n">
        <x:v>7</x:v>
      </x:c>
      <x:c r="P423" s="1" t="str">
        <x:v>基準併用：反対合議で返済後に反転・広め</x:v>
      </x:c>
      <x:c r="Q423" s="49" t="n">
        <x:v>0</x:v>
      </x:c>
      <x:c r="R423" s="50" t="n">
        <x:v>0.8850534188034188</x:v>
      </x:c>
      <x:c r="S423" s="50" t="n">
        <x:v>0.8850534188034188</x:v>
      </x:c>
      <x:c r="T423" s="1" t="str">
        <x:v>ナイト</x:v>
      </x:c>
      <x:c r="U423" s="49" t="n">
        <x:v>2</x:v>
      </x:c>
    </x:row>
    <x:row r="424" ht="22" customHeight="1">
      <x:c r="A424" s="1" t="str">
        <x:v>日経mini</x:v>
      </x:c>
      <x:c r="B424" s="1" t="str">
        <x:v>K06</x:v>
      </x:c>
      <x:c r="C424" s="1" t="str">
        <x:v>診断3場</x:v>
      </x:c>
      <x:c r="D424" s="47" t="n">
        <x:v>897532</x:v>
      </x:c>
      <x:c r="E424" s="47" t="n">
        <x:v>1086014</x:v>
      </x:c>
      <x:c r="F424" s="47" t="n">
        <x:f>D424-E424</x:f>
        <x:v>-188482</x:v>
      </x:c>
      <x:c r="G424" s="49" t="n">
        <x:v>0</x:v>
      </x:c>
      <x:c r="H424" s="49" t="n">
        <x:v>2</x:v>
      </x:c>
      <x:c r="I424" s="47" t="n">
        <x:v>-188482</x:v>
      </x:c>
      <x:c r="J424" s="49" t="n">
        <x:v>143</x:v>
      </x:c>
      <x:c r="K424" s="47" t="n">
        <x:v>-135240</x:v>
      </x:c>
      <x:c r="L424" s="47" t="n">
        <x:v>94241</x:v>
      </x:c>
      <x:c r="M424" s="48" t="n">
        <x:v>2.5</x:v>
      </x:c>
      <x:c r="N424" s="48" t="n">
        <x:v>538.375</x:v>
      </x:c>
      <x:c r="O424" s="49" t="n">
        <x:v>7</x:v>
      </x:c>
      <x:c r="P424" s="1" t="str">
        <x:v>基準併用：反対合議で返済後に反転・広め</x:v>
      </x:c>
      <x:c r="Q424" s="49" t="n">
        <x:v>0</x:v>
      </x:c>
      <x:c r="R424" s="50" t="n">
        <x:v>0.902165750915751</x:v>
      </x:c>
      <x:c r="S424" s="50" t="n">
        <x:v>0.8972916666666667</x:v>
      </x:c>
      <x:c r="T424" s="1" t="str">
        <x:v>上昇</x:v>
      </x:c>
      <x:c r="U424" s="49" t="n">
        <x:v>2</x:v>
      </x:c>
    </x:row>
    <x:row r="425" ht="22" customHeight="1">
      <x:c r="A425" s="1" t="str">
        <x:v>日経mini</x:v>
      </x:c>
      <x:c r="B425" s="1" t="str">
        <x:v>K06</x:v>
      </x:c>
      <x:c r="C425" s="1" t="str">
        <x:v>診断3場</x:v>
      </x:c>
      <x:c r="D425" s="47" t="n">
        <x:v>552766</x:v>
      </x:c>
      <x:c r="E425" s="47" t="n">
        <x:v>552314</x:v>
      </x:c>
      <x:c r="F425" s="47" t="n">
        <x:f>D425-E425</x:f>
        <x:v>452</x:v>
      </x:c>
      <x:c r="G425" s="49" t="n">
        <x:v>1</x:v>
      </x:c>
      <x:c r="H425" s="49" t="n">
        <x:v>0</x:v>
      </x:c>
      <x:c r="I425" s="47" t="n">
        <x:v>0</x:v>
      </x:c>
      <x:c r="J425" s="49" t="n">
        <x:v>72</x:v>
      </x:c>
      <x:c r="K425" s="47" t="n">
        <x:v>452</x:v>
      </x:c>
      <x:c r="L425" s="47" t="n">
        <x:v>0</x:v>
      </x:c>
      <x:c r="M425" s="48" t="n">
        <x:v>4.266666666666667</x:v>
      </x:c>
      <x:c r="N425" s="48" t="n">
        <x:v>689.6666666666666</x:v>
      </x:c>
      <x:c r="O425" s="49" t="n">
        <x:v>7</x:v>
      </x:c>
      <x:c r="P425" s="1" t="str">
        <x:v>基準併用：反対合議で返済後に反転・広め</x:v>
      </x:c>
      <x:c r="Q425" s="49" t="n">
        <x:v>0</x:v>
      </x:c>
      <x:c r="R425" s="50" t="n">
        <x:v>0.8841880341880342</x:v>
      </x:c>
      <x:c r="S425" s="50" t="n">
        <x:v>0.8841880341880342</x:v>
      </x:c>
      <x:c r="T425" s="1" t="str">
        <x:v>下落</x:v>
      </x:c>
      <x:c r="U425" s="49" t="n">
        <x:v>1</x:v>
      </x:c>
    </x:row>
    <x:row r="426" ht="22" customHeight="1">
      <x:c r="A426" s="1" t="str">
        <x:v>日経mini</x:v>
      </x:c>
      <x:c r="B426" s="1" t="str">
        <x:v>K07</x:v>
      </x:c>
      <x:c r="C426" s="1" t="str">
        <x:v>全50場</x:v>
      </x:c>
      <x:c r="D426" s="47" t="n">
        <x:v>17059848</x:v>
      </x:c>
      <x:c r="E426" s="47" t="n">
        <x:v>22959552</x:v>
      </x:c>
      <x:c r="F426" s="47" t="n">
        <x:f>D426-E426</x:f>
        <x:v>-5899704</x:v>
      </x:c>
      <x:c r="G426" s="49" t="n">
        <x:v>13</x:v>
      </x:c>
      <x:c r="H426" s="49" t="n">
        <x:v>37</x:v>
      </x:c>
      <x:c r="I426" s="47" t="n">
        <x:v>-6170074</x:v>
      </x:c>
      <x:c r="J426" s="49" t="n">
        <x:v>2596</x:v>
      </x:c>
      <x:c r="K426" s="47" t="n">
        <x:v>-582242</x:v>
      </x:c>
      <x:c r="L426" s="47" t="n">
        <x:v>175393.24324324325</x:v>
      </x:c>
      <x:c r="M426" s="48" t="n">
        <x:v>3.9373333333333336</x:v>
      </x:c>
      <x:c r="N426" s="48" t="n">
        <x:v>458.4129999999999</x:v>
      </x:c>
      <x:c r="O426" s="49" t="n">
        <x:v>7</x:v>
      </x:c>
      <x:c r="P426" s="1" t="str">
        <x:v>基準併用：価格と原板の合議・標準</x:v>
      </x:c>
      <x:c r="Q426" s="49" t="n">
        <x:v>0</x:v>
      </x:c>
      <x:c r="R426" s="50" t="n">
        <x:v>0.7955705128205129</x:v>
      </x:c>
      <x:c r="S426" s="50" t="n">
        <x:v>0.7640216666666667</x:v>
      </x:c>
      <x:c r="T426" s="1" t="str">
        <x:v>全場</x:v>
      </x:c>
      <x:c r="U426" s="49" t="n">
        <x:v>50</x:v>
      </x:c>
    </x:row>
    <x:row r="427" ht="22" customHeight="1">
      <x:c r="A427" s="1" t="str">
        <x:v>日経mini</x:v>
      </x:c>
      <x:c r="B427" s="1" t="str">
        <x:v>K07</x:v>
      </x:c>
      <x:c r="C427" s="1" t="str">
        <x:v>全50場</x:v>
      </x:c>
      <x:c r="D427" s="47" t="n">
        <x:v>9189732</x:v>
      </x:c>
      <x:c r="E427" s="47" t="n">
        <x:v>12317056</x:v>
      </x:c>
      <x:c r="F427" s="47" t="n">
        <x:f>D427-E427</x:f>
        <x:v>-3127324</x:v>
      </x:c>
      <x:c r="G427" s="49" t="n">
        <x:v>8</x:v>
      </x:c>
      <x:c r="H427" s="49" t="n">
        <x:v>17</x:v>
      </x:c>
      <x:c r="I427" s="47" t="n">
        <x:v>-3334460</x:v>
      </x:c>
      <x:c r="J427" s="49" t="n">
        <x:v>1416</x:v>
      </x:c>
      <x:c r="K427" s="47" t="n">
        <x:v>-582242</x:v>
      </x:c>
      <x:c r="L427" s="47" t="n">
        <x:v>205305.64705882352</x:v>
      </x:c>
      <x:c r="M427" s="48" t="n">
        <x:v>4.296666666666667</x:v>
      </x:c>
      <x:c r="N427" s="48" t="n">
        <x:v>378.30800000000005</x:v>
      </x:c>
      <x:c r="O427" s="49" t="n">
        <x:v>7</x:v>
      </x:c>
      <x:c r="P427" s="1" t="str">
        <x:v>基準併用：価格と原板の合議・標準</x:v>
      </x:c>
      <x:c r="Q427" s="49" t="n">
        <x:v>0</x:v>
      </x:c>
      <x:c r="R427" s="50" t="n">
        <x:v>0.9007333333333333</x:v>
      </x:c>
      <x:c r="S427" s="50" t="n">
        <x:v>0.9007333333333334</x:v>
      </x:c>
      <x:c r="T427" s="1" t="str">
        <x:v>デイ</x:v>
      </x:c>
      <x:c r="U427" s="49" t="n">
        <x:v>25</x:v>
      </x:c>
    </x:row>
    <x:row r="428" ht="22" customHeight="1">
      <x:c r="A428" s="1" t="str">
        <x:v>日経mini</x:v>
      </x:c>
      <x:c r="B428" s="1" t="str">
        <x:v>K07</x:v>
      </x:c>
      <x:c r="C428" s="1" t="str">
        <x:v>全50場</x:v>
      </x:c>
      <x:c r="D428" s="47" t="n">
        <x:v>7870116</x:v>
      </x:c>
      <x:c r="E428" s="47" t="n">
        <x:v>10642496</x:v>
      </x:c>
      <x:c r="F428" s="47" t="n">
        <x:f>D428-E428</x:f>
        <x:v>-2772380</x:v>
      </x:c>
      <x:c r="G428" s="49" t="n">
        <x:v>5</x:v>
      </x:c>
      <x:c r="H428" s="49" t="n">
        <x:v>20</x:v>
      </x:c>
      <x:c r="I428" s="47" t="n">
        <x:v>-2983212</x:v>
      </x:c>
      <x:c r="J428" s="49" t="n">
        <x:v>1180</x:v>
      </x:c>
      <x:c r="K428" s="47" t="n">
        <x:v>-393088</x:v>
      </x:c>
      <x:c r="L428" s="47" t="n">
        <x:v>149967.7</x:v>
      </x:c>
      <x:c r="M428" s="48" t="n">
        <x:v>3.5779999999999994</x:v>
      </x:c>
      <x:c r="N428" s="48" t="n">
        <x:v>538.518</x:v>
      </x:c>
      <x:c r="O428" s="49" t="n">
        <x:v>7</x:v>
      </x:c>
      <x:c r="P428" s="1" t="str">
        <x:v>基準併用：価格と原板の合議・標準</x:v>
      </x:c>
      <x:c r="Q428" s="49" t="n">
        <x:v>0</x:v>
      </x:c>
      <x:c r="R428" s="50" t="n">
        <x:v>0.6904076923076923</x:v>
      </x:c>
      <x:c r="S428" s="50" t="n">
        <x:v>0.6904076923076924</x:v>
      </x:c>
      <x:c r="T428" s="1" t="str">
        <x:v>ナイト</x:v>
      </x:c>
      <x:c r="U428" s="49" t="n">
        <x:v>25</x:v>
      </x:c>
    </x:row>
    <x:row r="429" ht="22" customHeight="1">
      <x:c r="A429" s="1" t="str">
        <x:v>日経mini</x:v>
      </x:c>
      <x:c r="B429" s="1" t="str">
        <x:v>K07</x:v>
      </x:c>
      <x:c r="C429" s="1" t="str">
        <x:v>全50場</x:v>
      </x:c>
      <x:c r="D429" s="47" t="n">
        <x:v>8011186</x:v>
      </x:c>
      <x:c r="E429" s="47" t="n">
        <x:v>10699036</x:v>
      </x:c>
      <x:c r="F429" s="47" t="n">
        <x:f>D429-E429</x:f>
        <x:v>-2687850</x:v>
      </x:c>
      <x:c r="G429" s="49" t="n">
        <x:v>8</x:v>
      </x:c>
      <x:c r="H429" s="49" t="n">
        <x:v>16</x:v>
      </x:c>
      <x:c r="I429" s="47" t="n">
        <x:v>-2949144</x:v>
      </x:c>
      <x:c r="J429" s="49" t="n">
        <x:v>1244</x:v>
      </x:c>
      <x:c r="K429" s="47" t="n">
        <x:v>-409468</x:v>
      </x:c>
      <x:c r="L429" s="47" t="n">
        <x:v>192304.875</x:v>
      </x:c>
      <x:c r="M429" s="48" t="n">
        <x:v>4.100694444444444</x:v>
      </x:c>
      <x:c r="N429" s="48" t="n">
        <x:v>468.82430555555555</x:v>
      </x:c>
      <x:c r="O429" s="49" t="n">
        <x:v>7</x:v>
      </x:c>
      <x:c r="P429" s="1" t="str">
        <x:v>基準併用：価格と原板の合議・標準</x:v>
      </x:c>
      <x:c r="Q429" s="49" t="n">
        <x:v>0</x:v>
      </x:c>
      <x:c r="R429" s="50" t="n">
        <x:v>0.7934575956450957</x:v>
      </x:c>
      <x:c r="S429" s="50" t="n">
        <x:v>0.7623159439927732</x:v>
      </x:c>
      <x:c r="T429" s="1" t="str">
        <x:v>上昇</x:v>
      </x:c>
      <x:c r="U429" s="49" t="n">
        <x:v>24</x:v>
      </x:c>
    </x:row>
    <x:row r="430" ht="22" customHeight="1">
      <x:c r="A430" s="1" t="str">
        <x:v>日経mini</x:v>
      </x:c>
      <x:c r="B430" s="1" t="str">
        <x:v>K07</x:v>
      </x:c>
      <x:c r="C430" s="1" t="str">
        <x:v>全50場</x:v>
      </x:c>
      <x:c r="D430" s="47" t="n">
        <x:v>9048662</x:v>
      </x:c>
      <x:c r="E430" s="47" t="n">
        <x:v>12260516</x:v>
      </x:c>
      <x:c r="F430" s="47" t="n">
        <x:f>D430-E430</x:f>
        <x:v>-3211854</x:v>
      </x:c>
      <x:c r="G430" s="49" t="n">
        <x:v>5</x:v>
      </x:c>
      <x:c r="H430" s="49" t="n">
        <x:v>21</x:v>
      </x:c>
      <x:c r="I430" s="47" t="n">
        <x:v>-3380228</x:v>
      </x:c>
      <x:c r="J430" s="49" t="n">
        <x:v>1352</x:v>
      </x:c>
      <x:c r="K430" s="47" t="n">
        <x:v>-582242</x:v>
      </x:c>
      <x:c r="L430" s="47" t="n">
        <x:v>162508.19047619047</x:v>
      </x:c>
      <x:c r="M430" s="48" t="n">
        <x:v>3.786538461538462</x:v>
      </x:c>
      <x:c r="N430" s="48" t="n">
        <x:v>448.8025641025642</x:v>
      </x:c>
      <x:c r="O430" s="49" t="n">
        <x:v>7</x:v>
      </x:c>
      <x:c r="P430" s="1" t="str">
        <x:v>基準併用：価格と原板の合議・標準</x:v>
      </x:c>
      <x:c r="Q430" s="49" t="n">
        <x:v>0</x:v>
      </x:c>
      <x:c r="R430" s="50" t="n">
        <x:v>0.7975208979055133</x:v>
      </x:c>
      <x:c r="S430" s="50" t="n">
        <x:v>0.765673665791776</x:v>
      </x:c>
      <x:c r="T430" s="1" t="str">
        <x:v>下落</x:v>
      </x:c>
      <x:c r="U430" s="49" t="n">
        <x:v>26</x:v>
      </x:c>
    </x:row>
    <x:row r="431" ht="22" customHeight="1">
      <x:c r="A431" s="1" t="str">
        <x:v>日経mini</x:v>
      </x:c>
      <x:c r="B431" s="1" t="str">
        <x:v>K07</x:v>
      </x:c>
      <x:c r="C431" s="1" t="str">
        <x:v>対照47場</x:v>
      </x:c>
      <x:c r="D431" s="47" t="n">
        <x:v>15739856</x:v>
      </x:c>
      <x:c r="E431" s="47" t="n">
        <x:v>21476766</x:v>
      </x:c>
      <x:c r="F431" s="47" t="n">
        <x:f>D431-E431</x:f>
        <x:v>-5736910</x:v>
      </x:c>
      <x:c r="G431" s="49" t="n">
        <x:v>13</x:v>
      </x:c>
      <x:c r="H431" s="49" t="n">
        <x:v>34</x:v>
      </x:c>
      <x:c r="I431" s="47" t="n">
        <x:v>-6007280</x:v>
      </x:c>
      <x:c r="J431" s="49" t="n">
        <x:v>2415</x:v>
      </x:c>
      <x:c r="K431" s="47" t="n">
        <x:v>-582242</x:v>
      </x:c>
      <x:c r="L431" s="47" t="n">
        <x:v>186081.0588235294</x:v>
      </x:c>
      <x:c r="M431" s="48" t="n">
        <x:v>3.9914893617021283</x:v>
      </x:c>
      <x:c r="N431" s="48" t="n">
        <x:v>451.93900709219855</x:v>
      </x:c>
      <x:c r="O431" s="49" t="n">
        <x:v>7</x:v>
      </x:c>
      <x:c r="P431" s="1" t="str">
        <x:v>基準併用：価格と原板の合議・標準</x:v>
      </x:c>
      <x:c r="Q431" s="49" t="n">
        <x:v>0</x:v>
      </x:c>
      <x:c r="R431" s="50" t="n">
        <x:v>0.7911555347725562</x:v>
      </x:c>
      <x:c r="S431" s="50" t="n">
        <x:v>0.7580704258862718</x:v>
      </x:c>
      <x:c r="T431" s="1" t="str">
        <x:v>全場</x:v>
      </x:c>
      <x:c r="U431" s="49" t="n">
        <x:v>47</x:v>
      </x:c>
    </x:row>
    <x:row r="432" ht="22" customHeight="1">
      <x:c r="A432" s="1" t="str">
        <x:v>日経mini</x:v>
      </x:c>
      <x:c r="B432" s="1" t="str">
        <x:v>K07</x:v>
      </x:c>
      <x:c r="C432" s="1" t="str">
        <x:v>対照47場</x:v>
      </x:c>
      <x:c r="D432" s="47" t="n">
        <x:v>8693582</x:v>
      </x:c>
      <x:c r="E432" s="47" t="n">
        <x:v>11817974</x:v>
      </x:c>
      <x:c r="F432" s="47" t="n">
        <x:f>D432-E432</x:f>
        <x:v>-3124392</x:v>
      </x:c>
      <x:c r="G432" s="49" t="n">
        <x:v>8</x:v>
      </x:c>
      <x:c r="H432" s="49" t="n">
        <x:v>16</x:v>
      </x:c>
      <x:c r="I432" s="47" t="n">
        <x:v>-3331528</x:v>
      </x:c>
      <x:c r="J432" s="49" t="n">
        <x:v>1353</x:v>
      </x:c>
      <x:c r="K432" s="47" t="n">
        <x:v>-582242</x:v>
      </x:c>
      <x:c r="L432" s="47" t="n">
        <x:v>217954</x:v>
      </x:c>
      <x:c r="M432" s="48" t="n">
        <x:v>4.3625</x:v>
      </x:c>
      <x:c r="N432" s="48" t="n">
        <x:v>377.3500000000001</x:v>
      </x:c>
      <x:c r="O432" s="49" t="n">
        <x:v>7</x:v>
      </x:c>
      <x:c r="P432" s="1" t="str">
        <x:v>基準併用：価格と原板の合議・標準</x:v>
      </x:c>
      <x:c r="Q432" s="49" t="n">
        <x:v>0</x:v>
      </x:c>
      <x:c r="R432" s="50" t="n">
        <x:v>0.8984523809523809</x:v>
      </x:c>
      <x:c r="S432" s="50" t="n">
        <x:v>0.8984523809523809</x:v>
      </x:c>
      <x:c r="T432" s="1" t="str">
        <x:v>デイ</x:v>
      </x:c>
      <x:c r="U432" s="49" t="n">
        <x:v>24</x:v>
      </x:c>
    </x:row>
    <x:row r="433" ht="22" customHeight="1">
      <x:c r="A433" s="1" t="str">
        <x:v>日経mini</x:v>
      </x:c>
      <x:c r="B433" s="1" t="str">
        <x:v>K07</x:v>
      </x:c>
      <x:c r="C433" s="1" t="str">
        <x:v>対照47場</x:v>
      </x:c>
      <x:c r="D433" s="47" t="n">
        <x:v>7046274</x:v>
      </x:c>
      <x:c r="E433" s="47" t="n">
        <x:v>9658792</x:v>
      </x:c>
      <x:c r="F433" s="47" t="n">
        <x:f>D433-E433</x:f>
        <x:v>-2612518</x:v>
      </x:c>
      <x:c r="G433" s="49" t="n">
        <x:v>5</x:v>
      </x:c>
      <x:c r="H433" s="49" t="n">
        <x:v>18</x:v>
      </x:c>
      <x:c r="I433" s="47" t="n">
        <x:v>-2823350</x:v>
      </x:c>
      <x:c r="J433" s="49" t="n">
        <x:v>1062</x:v>
      </x:c>
      <x:c r="K433" s="47" t="n">
        <x:v>-393088</x:v>
      </x:c>
      <x:c r="L433" s="47" t="n">
        <x:v>157749.55555555556</x:v>
      </x:c>
      <x:c r="M433" s="48" t="n">
        <x:v>3.604347826086957</x:v>
      </x:c>
      <x:c r="N433" s="48" t="n">
        <x:v>529.7710144927536</x:v>
      </x:c>
      <x:c r="O433" s="49" t="n">
        <x:v>7</x:v>
      </x:c>
      <x:c r="P433" s="1" t="str">
        <x:v>基準併用：価格と原板の合議・標準</x:v>
      </x:c>
      <x:c r="Q433" s="49" t="n">
        <x:v>0</x:v>
      </x:c>
      <x:c r="R433" s="50" t="n">
        <x:v>0.6791936083240431</x:v>
      </x:c>
      <x:c r="S433" s="50" t="n">
        <x:v>0.6791936083240431</x:v>
      </x:c>
      <x:c r="T433" s="1" t="str">
        <x:v>ナイト</x:v>
      </x:c>
      <x:c r="U433" s="49" t="n">
        <x:v>23</x:v>
      </x:c>
    </x:row>
    <x:row r="434" ht="22" customHeight="1">
      <x:c r="A434" s="1" t="str">
        <x:v>日経mini</x:v>
      </x:c>
      <x:c r="B434" s="1" t="str">
        <x:v>K07</x:v>
      </x:c>
      <x:c r="C434" s="1" t="str">
        <x:v>対照47場</x:v>
      </x:c>
      <x:c r="D434" s="47" t="n">
        <x:v>7198884</x:v>
      </x:c>
      <x:c r="E434" s="47" t="n">
        <x:v>9745794</x:v>
      </x:c>
      <x:c r="F434" s="47" t="n">
        <x:f>D434-E434</x:f>
        <x:v>-2546910</x:v>
      </x:c>
      <x:c r="G434" s="49" t="n">
        <x:v>8</x:v>
      </x:c>
      <x:c r="H434" s="49" t="n">
        <x:v>14</x:v>
      </x:c>
      <x:c r="I434" s="47" t="n">
        <x:v>-2808204</x:v>
      </x:c>
      <x:c r="J434" s="49" t="n">
        <x:v>1124</x:v>
      </x:c>
      <x:c r="K434" s="47" t="n">
        <x:v>-409468</x:v>
      </x:c>
      <x:c r="L434" s="47" t="n">
        <x:v>209709.85714285713</x:v>
      </x:c>
      <x:c r="M434" s="48" t="n">
        <x:v>4.246212121212122</x:v>
      </x:c>
      <x:c r="N434" s="48" t="n">
        <x:v>464.45</x:v>
      </x:c>
      <x:c r="O434" s="49" t="n">
        <x:v>7</x:v>
      </x:c>
      <x:c r="P434" s="1" t="str">
        <x:v>基準併用：価格と原板の合議・標準</x:v>
      </x:c>
      <x:c r="Q434" s="49" t="n">
        <x:v>0</x:v>
      </x:c>
      <x:c r="R434" s="50" t="n">
        <x:v>0.7852955377955376</x:v>
      </x:c>
      <x:c r="S434" s="50" t="n">
        <x:v>0.753532448377581</x:v>
      </x:c>
      <x:c r="T434" s="1" t="str">
        <x:v>上昇</x:v>
      </x:c>
      <x:c r="U434" s="49" t="n">
        <x:v>22</x:v>
      </x:c>
    </x:row>
    <x:row r="435" ht="22" customHeight="1">
      <x:c r="A435" s="1" t="str">
        <x:v>日経mini</x:v>
      </x:c>
      <x:c r="B435" s="1" t="str">
        <x:v>K07</x:v>
      </x:c>
      <x:c r="C435" s="1" t="str">
        <x:v>対照47場</x:v>
      </x:c>
      <x:c r="D435" s="47" t="n">
        <x:v>8540972</x:v>
      </x:c>
      <x:c r="E435" s="47" t="n">
        <x:v>11730972</x:v>
      </x:c>
      <x:c r="F435" s="47" t="n">
        <x:f>D435-E435</x:f>
        <x:v>-3190000</x:v>
      </x:c>
      <x:c r="G435" s="49" t="n">
        <x:v>5</x:v>
      </x:c>
      <x:c r="H435" s="49" t="n">
        <x:v>20</x:v>
      </x:c>
      <x:c r="I435" s="47" t="n">
        <x:v>-3358374</x:v>
      </x:c>
      <x:c r="J435" s="49" t="n">
        <x:v>1291</x:v>
      </x:c>
      <x:c r="K435" s="47" t="n">
        <x:v>-582242</x:v>
      </x:c>
      <x:c r="L435" s="47" t="n">
        <x:v>169540.9</x:v>
      </x:c>
      <x:c r="M435" s="48" t="n">
        <x:v>3.7673333333333336</x:v>
      </x:c>
      <x:c r="N435" s="48" t="n">
        <x:v>440.92933333333343</x:v>
      </x:c>
      <x:c r="O435" s="49" t="n">
        <x:v>7</x:v>
      </x:c>
      <x:c r="P435" s="1" t="str">
        <x:v>基準併用：価格と原板の合議・標準</x:v>
      </x:c>
      <x:c r="Q435" s="49" t="n">
        <x:v>0</x:v>
      </x:c>
      <x:c r="R435" s="50" t="n">
        <x:v>0.7963123321123321</x:v>
      </x:c>
      <x:c r="S435" s="50" t="n">
        <x:v>0.7623259566620563</x:v>
      </x:c>
      <x:c r="T435" s="1" t="str">
        <x:v>下落</x:v>
      </x:c>
      <x:c r="U435" s="49" t="n">
        <x:v>25</x:v>
      </x:c>
    </x:row>
    <x:row r="436" ht="22" customHeight="1">
      <x:c r="A436" s="1" t="str">
        <x:v>日経mini</x:v>
      </x:c>
      <x:c r="B436" s="1" t="str">
        <x:v>K07</x:v>
      </x:c>
      <x:c r="C436" s="1" t="str">
        <x:v>診断3場</x:v>
      </x:c>
      <x:c r="D436" s="47" t="n">
        <x:v>1319992</x:v>
      </x:c>
      <x:c r="E436" s="47" t="n">
        <x:v>1482786</x:v>
      </x:c>
      <x:c r="F436" s="47" t="n">
        <x:f>D436-E436</x:f>
        <x:v>-162794</x:v>
      </x:c>
      <x:c r="G436" s="49" t="n">
        <x:v>0</x:v>
      </x:c>
      <x:c r="H436" s="49" t="n">
        <x:v>3</x:v>
      </x:c>
      <x:c r="I436" s="47" t="n">
        <x:v>-162794</x:v>
      </x:c>
      <x:c r="J436" s="49" t="n">
        <x:v>181</x:v>
      </x:c>
      <x:c r="K436" s="47" t="n">
        <x:v>-138008</x:v>
      </x:c>
      <x:c r="L436" s="47" t="n">
        <x:v>54264.666666666664</x:v>
      </x:c>
      <x:c r="M436" s="48" t="n">
        <x:v>3.0888888888888886</x:v>
      </x:c>
      <x:c r="N436" s="48" t="n">
        <x:v>559.838888888889</x:v>
      </x:c>
      <x:c r="O436" s="49" t="n">
        <x:v>7</x:v>
      </x:c>
      <x:c r="P436" s="1" t="str">
        <x:v>基準併用：価格と原板の合議・標準</x:v>
      </x:c>
      <x:c r="Q436" s="49" t="n">
        <x:v>0</x:v>
      </x:c>
      <x:c r="R436" s="50" t="n">
        <x:v>0.8647385022385022</x:v>
      </x:c>
      <x:c r="S436" s="50" t="n">
        <x:v>0.8482407407407407</x:v>
      </x:c>
      <x:c r="T436" s="1" t="str">
        <x:v>全場</x:v>
      </x:c>
      <x:c r="U436" s="49" t="n">
        <x:v>3</x:v>
      </x:c>
    </x:row>
    <x:row r="437" ht="22" customHeight="1">
      <x:c r="A437" s="1" t="str">
        <x:v>日経mini</x:v>
      </x:c>
      <x:c r="B437" s="1" t="str">
        <x:v>K07</x:v>
      </x:c>
      <x:c r="C437" s="1" t="str">
        <x:v>診断3場</x:v>
      </x:c>
      <x:c r="D437" s="47" t="n">
        <x:v>496150</x:v>
      </x:c>
      <x:c r="E437" s="47" t="n">
        <x:v>499082</x:v>
      </x:c>
      <x:c r="F437" s="47" t="n">
        <x:f>D437-E437</x:f>
        <x:v>-2932</x:v>
      </x:c>
      <x:c r="G437" s="49" t="n">
        <x:v>0</x:v>
      </x:c>
      <x:c r="H437" s="49" t="n">
        <x:v>1</x:v>
      </x:c>
      <x:c r="I437" s="47" t="n">
        <x:v>-2932</x:v>
      </x:c>
      <x:c r="J437" s="49" t="n">
        <x:v>63</x:v>
      </x:c>
      <x:c r="K437" s="47" t="n">
        <x:v>-2932</x:v>
      </x:c>
      <x:c r="L437" s="47" t="n">
        <x:v>2932</x:v>
      </x:c>
      <x:c r="M437" s="48" t="n">
        <x:v>2.716666666666667</x:v>
      </x:c>
      <x:c r="N437" s="48" t="n">
        <x:v>401.3</x:v>
      </x:c>
      <x:c r="O437" s="49" t="n">
        <x:v>7</x:v>
      </x:c>
      <x:c r="P437" s="1" t="str">
        <x:v>基準併用：価格と原板の合議・標準</x:v>
      </x:c>
      <x:c r="Q437" s="49" t="n">
        <x:v>0</x:v>
      </x:c>
      <x:c r="R437" s="50" t="n">
        <x:v>0.9554761904761905</x:v>
      </x:c>
      <x:c r="S437" s="50" t="n">
        <x:v>0.9554761904761905</x:v>
      </x:c>
      <x:c r="T437" s="1" t="str">
        <x:v>デイ</x:v>
      </x:c>
      <x:c r="U437" s="49" t="n">
        <x:v>1</x:v>
      </x:c>
    </x:row>
    <x:row r="438" ht="22" customHeight="1">
      <x:c r="A438" s="1" t="str">
        <x:v>日経mini</x:v>
      </x:c>
      <x:c r="B438" s="1" t="str">
        <x:v>K07</x:v>
      </x:c>
      <x:c r="C438" s="1" t="str">
        <x:v>診断3場</x:v>
      </x:c>
      <x:c r="D438" s="47" t="n">
        <x:v>823842</x:v>
      </x:c>
      <x:c r="E438" s="47" t="n">
        <x:v>983704</x:v>
      </x:c>
      <x:c r="F438" s="47" t="n">
        <x:f>D438-E438</x:f>
        <x:v>-159862</x:v>
      </x:c>
      <x:c r="G438" s="49" t="n">
        <x:v>0</x:v>
      </x:c>
      <x:c r="H438" s="49" t="n">
        <x:v>2</x:v>
      </x:c>
      <x:c r="I438" s="47" t="n">
        <x:v>-159862</x:v>
      </x:c>
      <x:c r="J438" s="49" t="n">
        <x:v>118</x:v>
      </x:c>
      <x:c r="K438" s="47" t="n">
        <x:v>-138008</x:v>
      </x:c>
      <x:c r="L438" s="47" t="n">
        <x:v>79931</x:v>
      </x:c>
      <x:c r="M438" s="48" t="n">
        <x:v>3.275</x:v>
      </x:c>
      <x:c r="N438" s="48" t="n">
        <x:v>639.1083333333333</x:v>
      </x:c>
      <x:c r="O438" s="49" t="n">
        <x:v>7</x:v>
      </x:c>
      <x:c r="P438" s="1" t="str">
        <x:v>基準併用：価格と原板の合議・標準</x:v>
      </x:c>
      <x:c r="Q438" s="49" t="n">
        <x:v>0</x:v>
      </x:c>
      <x:c r="R438" s="50" t="n">
        <x:v>0.8193696581196581</x:v>
      </x:c>
      <x:c r="S438" s="50" t="n">
        <x:v>0.8193696581196581</x:v>
      </x:c>
      <x:c r="T438" s="1" t="str">
        <x:v>ナイト</x:v>
      </x:c>
      <x:c r="U438" s="49" t="n">
        <x:v>2</x:v>
      </x:c>
    </x:row>
    <x:row r="439" ht="22" customHeight="1">
      <x:c r="A439" s="1" t="str">
        <x:v>日経mini</x:v>
      </x:c>
      <x:c r="B439" s="1" t="str">
        <x:v>K07</x:v>
      </x:c>
      <x:c r="C439" s="1" t="str">
        <x:v>診断3場</x:v>
      </x:c>
      <x:c r="D439" s="47" t="n">
        <x:v>812302</x:v>
      </x:c>
      <x:c r="E439" s="47" t="n">
        <x:v>953242</x:v>
      </x:c>
      <x:c r="F439" s="47" t="n">
        <x:f>D439-E439</x:f>
        <x:v>-140940</x:v>
      </x:c>
      <x:c r="G439" s="49" t="n">
        <x:v>0</x:v>
      </x:c>
      <x:c r="H439" s="49" t="n">
        <x:v>2</x:v>
      </x:c>
      <x:c r="I439" s="47" t="n">
        <x:v>-140940</x:v>
      </x:c>
      <x:c r="J439" s="49" t="n">
        <x:v>120</x:v>
      </x:c>
      <x:c r="K439" s="47" t="n">
        <x:v>-138008</x:v>
      </x:c>
      <x:c r="L439" s="47" t="n">
        <x:v>70470</x:v>
      </x:c>
      <x:c r="M439" s="48" t="n">
        <x:v>2.5</x:v>
      </x:c>
      <x:c r="N439" s="48" t="n">
        <x:v>516.9416666666667</x:v>
      </x:c>
      <x:c r="O439" s="49" t="n">
        <x:v>7</x:v>
      </x:c>
      <x:c r="P439" s="1" t="str">
        <x:v>基準併用：価格と原板の合議・標準</x:v>
      </x:c>
      <x:c r="Q439" s="49" t="n">
        <x:v>0</x:v>
      </x:c>
      <x:c r="R439" s="50" t="n">
        <x:v>0.8832402319902319</x:v>
      </x:c>
      <x:c r="S439" s="50" t="n">
        <x:v>0.8615694444444445</x:v>
      </x:c>
      <x:c r="T439" s="1" t="str">
        <x:v>上昇</x:v>
      </x:c>
      <x:c r="U439" s="49" t="n">
        <x:v>2</x:v>
      </x:c>
    </x:row>
    <x:row r="440" ht="22" customHeight="1">
      <x:c r="A440" s="1" t="str">
        <x:v>日経mini</x:v>
      </x:c>
      <x:c r="B440" s="1" t="str">
        <x:v>K07</x:v>
      </x:c>
      <x:c r="C440" s="1" t="str">
        <x:v>診断3場</x:v>
      </x:c>
      <x:c r="D440" s="47" t="n">
        <x:v>507690</x:v>
      </x:c>
      <x:c r="E440" s="47" t="n">
        <x:v>529544</x:v>
      </x:c>
      <x:c r="F440" s="47" t="n">
        <x:f>D440-E440</x:f>
        <x:v>-21854</x:v>
      </x:c>
      <x:c r="G440" s="49" t="n">
        <x:v>0</x:v>
      </x:c>
      <x:c r="H440" s="49" t="n">
        <x:v>1</x:v>
      </x:c>
      <x:c r="I440" s="47" t="n">
        <x:v>-21854</x:v>
      </x:c>
      <x:c r="J440" s="49" t="n">
        <x:v>61</x:v>
      </x:c>
      <x:c r="K440" s="47" t="n">
        <x:v>-21854</x:v>
      </x:c>
      <x:c r="L440" s="47" t="n">
        <x:v>21854</x:v>
      </x:c>
      <x:c r="M440" s="48" t="n">
        <x:v>4.266666666666667</x:v>
      </x:c>
      <x:c r="N440" s="48" t="n">
        <x:v>645.6333333333333</x:v>
      </x:c>
      <x:c r="O440" s="49" t="n">
        <x:v>7</x:v>
      </x:c>
      <x:c r="P440" s="1" t="str">
        <x:v>基準併用：価格と原板の合議・標準</x:v>
      </x:c>
      <x:c r="Q440" s="49" t="n">
        <x:v>0</x:v>
      </x:c>
      <x:c r="R440" s="50" t="n">
        <x:v>0.8277350427350427</x:v>
      </x:c>
      <x:c r="S440" s="50" t="n">
        <x:v>0.8277350427350427</x:v>
      </x:c>
      <x:c r="T440" s="1" t="str">
        <x:v>下落</x:v>
      </x:c>
      <x:c r="U440" s="49" t="n">
        <x:v>1</x:v>
      </x:c>
    </x:row>
    <x:row r="441" ht="22" customHeight="1">
      <x:c r="A441" s="1" t="str">
        <x:v>日経mini</x:v>
      </x:c>
      <x:c r="B441" s="1" t="str">
        <x:v>K08</x:v>
      </x:c>
      <x:c r="C441" s="1" t="str">
        <x:v>全50場</x:v>
      </x:c>
      <x:c r="D441" s="47" t="n">
        <x:v>17048624</x:v>
      </x:c>
      <x:c r="E441" s="47" t="n">
        <x:v>22158766</x:v>
      </x:c>
      <x:c r="F441" s="47" t="n">
        <x:f>D441-E441</x:f>
        <x:v>-5110142</x:v>
      </x:c>
      <x:c r="G441" s="49" t="n">
        <x:v>17</x:v>
      </x:c>
      <x:c r="H441" s="49" t="n">
        <x:v>33</x:v>
      </x:c>
      <x:c r="I441" s="47" t="n">
        <x:v>-5418818</x:v>
      </x:c>
      <x:c r="J441" s="49" t="n">
        <x:v>2443</x:v>
      </x:c>
      <x:c r="K441" s="47" t="n">
        <x:v>-536242</x:v>
      </x:c>
      <x:c r="L441" s="47" t="n">
        <x:v>180605.15151515152</x:v>
      </x:c>
      <x:c r="M441" s="48" t="n">
        <x:v>3.9373333333333336</x:v>
      </x:c>
      <x:c r="N441" s="48" t="n">
        <x:v>524.719</x:v>
      </x:c>
      <x:c r="O441" s="49" t="n">
        <x:v>7</x:v>
      </x:c>
      <x:c r="P441" s="1" t="str">
        <x:v>基準併用：価格と原板の合議・広め</x:v>
      </x:c>
      <x:c r="Q441" s="49" t="n">
        <x:v>0</x:v>
      </x:c>
      <x:c r="R441" s="50" t="n">
        <x:v>0.8887397435897436</x:v>
      </x:c>
      <x:c r="S441" s="50" t="n">
        <x:v>0.8745316666666667</x:v>
      </x:c>
      <x:c r="T441" s="1" t="str">
        <x:v>全場</x:v>
      </x:c>
      <x:c r="U441" s="49" t="n">
        <x:v>50</x:v>
      </x:c>
    </x:row>
    <x:row r="442" ht="22" customHeight="1">
      <x:c r="A442" s="1" t="str">
        <x:v>日経mini</x:v>
      </x:c>
      <x:c r="B442" s="1" t="str">
        <x:v>K08</x:v>
      </x:c>
      <x:c r="C442" s="1" t="str">
        <x:v>全50場</x:v>
      </x:c>
      <x:c r="D442" s="47" t="n">
        <x:v>9224810</x:v>
      </x:c>
      <x:c r="E442" s="47" t="n">
        <x:v>12156590</x:v>
      </x:c>
      <x:c r="F442" s="47" t="n">
        <x:f>D442-E442</x:f>
        <x:v>-2931780</x:v>
      </x:c>
      <x:c r="G442" s="49" t="n">
        <x:v>11</x:v>
      </x:c>
      <x:c r="H442" s="49" t="n">
        <x:v>14</x:v>
      </x:c>
      <x:c r="I442" s="47" t="n">
        <x:v>-3187378</x:v>
      </x:c>
      <x:c r="J442" s="49" t="n">
        <x:v>1380</x:v>
      </x:c>
      <x:c r="K442" s="47" t="n">
        <x:v>-536242</x:v>
      </x:c>
      <x:c r="L442" s="47" t="n">
        <x:v>241006.7142857143</x:v>
      </x:c>
      <x:c r="M442" s="48" t="n">
        <x:v>4.296666666666667</x:v>
      </x:c>
      <x:c r="N442" s="48" t="n">
        <x:v>393.162</x:v>
      </x:c>
      <x:c r="O442" s="49" t="n">
        <x:v>7</x:v>
      </x:c>
      <x:c r="P442" s="1" t="str">
        <x:v>基準併用：価格と原板の合議・広め</x:v>
      </x:c>
      <x:c r="Q442" s="49" t="n">
        <x:v>0</x:v>
      </x:c>
      <x:c r="R442" s="50" t="n">
        <x:v>0.9361</x:v>
      </x:c>
      <x:c r="S442" s="50" t="n">
        <x:v>0.9360999999999999</x:v>
      </x:c>
      <x:c r="T442" s="1" t="str">
        <x:v>デイ</x:v>
      </x:c>
      <x:c r="U442" s="49" t="n">
        <x:v>25</x:v>
      </x:c>
    </x:row>
    <x:row r="443" ht="22" customHeight="1">
      <x:c r="A443" s="1" t="str">
        <x:v>日経mini</x:v>
      </x:c>
      <x:c r="B443" s="1" t="str">
        <x:v>K08</x:v>
      </x:c>
      <x:c r="C443" s="1" t="str">
        <x:v>全50場</x:v>
      </x:c>
      <x:c r="D443" s="47" t="n">
        <x:v>7823814</x:v>
      </x:c>
      <x:c r="E443" s="47" t="n">
        <x:v>10002176</x:v>
      </x:c>
      <x:c r="F443" s="47" t="n">
        <x:f>D443-E443</x:f>
        <x:v>-2178362</x:v>
      </x:c>
      <x:c r="G443" s="49" t="n">
        <x:v>6</x:v>
      </x:c>
      <x:c r="H443" s="49" t="n">
        <x:v>19</x:v>
      </x:c>
      <x:c r="I443" s="47" t="n">
        <x:v>-2475508</x:v>
      </x:c>
      <x:c r="J443" s="49" t="n">
        <x:v>1063</x:v>
      </x:c>
      <x:c r="K443" s="47" t="n">
        <x:v>-408780</x:v>
      </x:c>
      <x:c r="L443" s="47" t="n">
        <x:v>136098.73684210525</x:v>
      </x:c>
      <x:c r="M443" s="48" t="n">
        <x:v>3.5779999999999994</x:v>
      </x:c>
      <x:c r="N443" s="48" t="n">
        <x:v>656.2760000000001</x:v>
      </x:c>
      <x:c r="O443" s="49" t="n">
        <x:v>7</x:v>
      </x:c>
      <x:c r="P443" s="1" t="str">
        <x:v>基準併用：価格と原板の合議・広め</x:v>
      </x:c>
      <x:c r="Q443" s="49" t="n">
        <x:v>0</x:v>
      </x:c>
      <x:c r="R443" s="50" t="n">
        <x:v>0.8413794871794872</x:v>
      </x:c>
      <x:c r="S443" s="50" t="n">
        <x:v>0.8413794871794873</x:v>
      </x:c>
      <x:c r="T443" s="1" t="str">
        <x:v>ナイト</x:v>
      </x:c>
      <x:c r="U443" s="49" t="n">
        <x:v>25</x:v>
      </x:c>
    </x:row>
    <x:row r="444" ht="22" customHeight="1">
      <x:c r="A444" s="1" t="str">
        <x:v>日経mini</x:v>
      </x:c>
      <x:c r="B444" s="1" t="str">
        <x:v>K08</x:v>
      </x:c>
      <x:c r="C444" s="1" t="str">
        <x:v>全50場</x:v>
      </x:c>
      <x:c r="D444" s="47" t="n">
        <x:v>7991806</x:v>
      </x:c>
      <x:c r="E444" s="47" t="n">
        <x:v>10445182</x:v>
      </x:c>
      <x:c r="F444" s="47" t="n">
        <x:f>D444-E444</x:f>
        <x:v>-2453376</x:v>
      </x:c>
      <x:c r="G444" s="49" t="n">
        <x:v>8</x:v>
      </x:c>
      <x:c r="H444" s="49" t="n">
        <x:v>16</x:v>
      </x:c>
      <x:c r="I444" s="47" t="n">
        <x:v>-2750138</x:v>
      </x:c>
      <x:c r="J444" s="49" t="n">
        <x:v>1163</x:v>
      </x:c>
      <x:c r="K444" s="47" t="n">
        <x:v>-496624</x:v>
      </x:c>
      <x:c r="L444" s="47" t="n">
        <x:v>180837.875</x:v>
      </x:c>
      <x:c r="M444" s="48" t="n">
        <x:v>4.100694444444444</x:v>
      </x:c>
      <x:c r="N444" s="48" t="n">
        <x:v>538.5006944444444</x:v>
      </x:c>
      <x:c r="O444" s="49" t="n">
        <x:v>7</x:v>
      </x:c>
      <x:c r="P444" s="1" t="str">
        <x:v>基準併用：価格と原板の合議・広め</x:v>
      </x:c>
      <x:c r="Q444" s="49" t="n">
        <x:v>0</x:v>
      </x:c>
      <x:c r="R444" s="50" t="n">
        <x:v>0.8879656339031339</x:v>
      </x:c>
      <x:c r="S444" s="50" t="n">
        <x:v>0.8756108852755194</x:v>
      </x:c>
      <x:c r="T444" s="1" t="str">
        <x:v>上昇</x:v>
      </x:c>
      <x:c r="U444" s="49" t="n">
        <x:v>24</x:v>
      </x:c>
    </x:row>
    <x:row r="445" ht="22" customHeight="1">
      <x:c r="A445" s="1" t="str">
        <x:v>日経mini</x:v>
      </x:c>
      <x:c r="B445" s="1" t="str">
        <x:v>K08</x:v>
      </x:c>
      <x:c r="C445" s="1" t="str">
        <x:v>全50場</x:v>
      </x:c>
      <x:c r="D445" s="47" t="n">
        <x:v>9056818</x:v>
      </x:c>
      <x:c r="E445" s="47" t="n">
        <x:v>11713584</x:v>
      </x:c>
      <x:c r="F445" s="47" t="n">
        <x:f>D445-E445</x:f>
        <x:v>-2656766</x:v>
      </x:c>
      <x:c r="G445" s="49" t="n">
        <x:v>9</x:v>
      </x:c>
      <x:c r="H445" s="49" t="n">
        <x:v>17</x:v>
      </x:c>
      <x:c r="I445" s="47" t="n">
        <x:v>-2908518</x:v>
      </x:c>
      <x:c r="J445" s="49" t="n">
        <x:v>1280</x:v>
      </x:c>
      <x:c r="K445" s="47" t="n">
        <x:v>-536242</x:v>
      </x:c>
      <x:c r="L445" s="47" t="n">
        <x:v>180386.11764705883</x:v>
      </x:c>
      <x:c r="M445" s="48" t="n">
        <x:v>3.786538461538462</x:v>
      </x:c>
      <x:c r="N445" s="48" t="n">
        <x:v>511.9974358974359</x:v>
      </x:c>
      <x:c r="O445" s="49" t="n">
        <x:v>7</x:v>
      </x:c>
      <x:c r="P445" s="1" t="str">
        <x:v>基準併用：価格と原板の合議・広め</x:v>
      </x:c>
      <x:c r="Q445" s="49" t="n">
        <x:v>0</x:v>
      </x:c>
      <x:c r="R445" s="50" t="n">
        <x:v>0.8894543063773833</x:v>
      </x:c>
      <x:c r="S445" s="50" t="n">
        <x:v>0.8734864391951006</x:v>
      </x:c>
      <x:c r="T445" s="1" t="str">
        <x:v>下落</x:v>
      </x:c>
      <x:c r="U445" s="49" t="n">
        <x:v>26</x:v>
      </x:c>
    </x:row>
    <x:row r="446" ht="22" customHeight="1">
      <x:c r="A446" s="1" t="str">
        <x:v>日経mini</x:v>
      </x:c>
      <x:c r="B446" s="1" t="str">
        <x:v>K08</x:v>
      </x:c>
      <x:c r="C446" s="1" t="str">
        <x:v>対照47場</x:v>
      </x:c>
      <x:c r="D446" s="47" t="n">
        <x:v>15738324</x:v>
      </x:c>
      <x:c r="E446" s="47" t="n">
        <x:v>20771058</x:v>
      </x:c>
      <x:c r="F446" s="47" t="n">
        <x:f>D446-E446</x:f>
        <x:v>-5032734</x:v>
      </x:c>
      <x:c r="G446" s="49" t="n">
        <x:v>16</x:v>
      </x:c>
      <x:c r="H446" s="49" t="n">
        <x:v>31</x:v>
      </x:c>
      <x:c r="I446" s="47" t="n">
        <x:v>-5341410</x:v>
      </x:c>
      <x:c r="J446" s="49" t="n">
        <x:v>2271</x:v>
      </x:c>
      <x:c r="K446" s="47" t="n">
        <x:v>-536242</x:v>
      </x:c>
      <x:c r="L446" s="47" t="n">
        <x:v>189532.06451612903</x:v>
      </x:c>
      <x:c r="M446" s="48" t="n">
        <x:v>3.9914893617021283</x:v>
      </x:c>
      <x:c r="N446" s="48" t="n">
        <x:v>518.7333333333333</x:v>
      </x:c>
      <x:c r="O446" s="49" t="n">
        <x:v>7</x:v>
      </x:c>
      <x:c r="P446" s="1" t="str">
        <x:v>基準併用：価格と原板の合議・広め</x:v>
      </x:c>
      <x:c r="Q446" s="49" t="n">
        <x:v>0</x:v>
      </x:c>
      <x:c r="R446" s="50" t="n">
        <x:v>0.8853587665289793</x:v>
      </x:c>
      <x:c r="S446" s="50" t="n">
        <x:v>0.8701094456340709</x:v>
      </x:c>
      <x:c r="T446" s="1" t="str">
        <x:v>全場</x:v>
      </x:c>
      <x:c r="U446" s="49" t="n">
        <x:v>47</x:v>
      </x:c>
    </x:row>
    <x:row r="447" ht="22" customHeight="1">
      <x:c r="A447" s="1" t="str">
        <x:v>日経mini</x:v>
      </x:c>
      <x:c r="B447" s="1" t="str">
        <x:v>K08</x:v>
      </x:c>
      <x:c r="C447" s="1" t="str">
        <x:v>対照47場</x:v>
      </x:c>
      <x:c r="D447" s="47" t="n">
        <x:v>8712660</x:v>
      </x:c>
      <x:c r="E447" s="47" t="n">
        <x:v>11651508</x:v>
      </x:c>
      <x:c r="F447" s="47" t="n">
        <x:f>D447-E447</x:f>
        <x:v>-2938848</x:v>
      </x:c>
      <x:c r="G447" s="49" t="n">
        <x:v>10</x:v>
      </x:c>
      <x:c r="H447" s="49" t="n">
        <x:v>14</x:v>
      </x:c>
      <x:c r="I447" s="47" t="n">
        <x:v>-3194446</x:v>
      </x:c>
      <x:c r="J447" s="49" t="n">
        <x:v>1317</x:v>
      </x:c>
      <x:c r="K447" s="47" t="n">
        <x:v>-536242</x:v>
      </x:c>
      <x:c r="L447" s="47" t="n">
        <x:v>241006.7142857143</x:v>
      </x:c>
      <x:c r="M447" s="48" t="n">
        <x:v>4.3625</x:v>
      </x:c>
      <x:c r="N447" s="48" t="n">
        <x:v>392.62152777777777</x:v>
      </x:c>
      <x:c r="O447" s="49" t="n">
        <x:v>7</x:v>
      </x:c>
      <x:c r="P447" s="1" t="str">
        <x:v>基準併用：価格と原板の合議・広め</x:v>
      </x:c>
      <x:c r="Q447" s="49" t="n">
        <x:v>0</x:v>
      </x:c>
      <x:c r="R447" s="50" t="n">
        <x:v>0.9348131613756614</x:v>
      </x:c>
      <x:c r="S447" s="50" t="n">
        <x:v>0.9348131613756613</x:v>
      </x:c>
      <x:c r="T447" s="1" t="str">
        <x:v>デイ</x:v>
      </x:c>
      <x:c r="U447" s="49" t="n">
        <x:v>24</x:v>
      </x:c>
    </x:row>
    <x:row r="448" ht="22" customHeight="1">
      <x:c r="A448" s="1" t="str">
        <x:v>日経mini</x:v>
      </x:c>
      <x:c r="B448" s="1" t="str">
        <x:v>K08</x:v>
      </x:c>
      <x:c r="C448" s="1" t="str">
        <x:v>対照47場</x:v>
      </x:c>
      <x:c r="D448" s="47" t="n">
        <x:v>7025664</x:v>
      </x:c>
      <x:c r="E448" s="47" t="n">
        <x:v>9119550</x:v>
      </x:c>
      <x:c r="F448" s="47" t="n">
        <x:f>D448-E448</x:f>
        <x:v>-2093886</x:v>
      </x:c>
      <x:c r="G448" s="49" t="n">
        <x:v>6</x:v>
      </x:c>
      <x:c r="H448" s="49" t="n">
        <x:v>17</x:v>
      </x:c>
      <x:c r="I448" s="47" t="n">
        <x:v>-2391032</x:v>
      </x:c>
      <x:c r="J448" s="49" t="n">
        <x:v>954</x:v>
      </x:c>
      <x:c r="K448" s="47" t="n">
        <x:v>-408780</x:v>
      </x:c>
      <x:c r="L448" s="47" t="n">
        <x:v>147141.17647058822</x:v>
      </x:c>
      <x:c r="M448" s="48" t="n">
        <x:v>3.604347826086957</x:v>
      </x:c>
      <x:c r="N448" s="48" t="n">
        <x:v>650.3282608695652</x:v>
      </x:c>
      <x:c r="O448" s="49" t="n">
        <x:v>7</x:v>
      </x:c>
      <x:c r="P448" s="1" t="str">
        <x:v>基準併用：価格と原板の合議・広め</x:v>
      </x:c>
      <x:c r="Q448" s="49" t="n">
        <x:v>0</x:v>
      </x:c>
      <x:c r="R448" s="50" t="n">
        <x:v>0.8337541806020066</x:v>
      </x:c>
      <x:c r="S448" s="50" t="n">
        <x:v>0.8337541806020067</x:v>
      </x:c>
      <x:c r="T448" s="1" t="str">
        <x:v>ナイト</x:v>
      </x:c>
      <x:c r="U448" s="49" t="n">
        <x:v>23</x:v>
      </x:c>
    </x:row>
    <x:row r="449" ht="22" customHeight="1">
      <x:c r="A449" s="1" t="str">
        <x:v>日経mini</x:v>
      </x:c>
      <x:c r="B449" s="1" t="str">
        <x:v>K08</x:v>
      </x:c>
      <x:c r="C449" s="1" t="str">
        <x:v>対照47場</x:v>
      </x:c>
      <x:c r="D449" s="47" t="n">
        <x:v>7155504</x:v>
      </x:c>
      <x:c r="E449" s="47" t="n">
        <x:v>9574864</x:v>
      </x:c>
      <x:c r="F449" s="47" t="n">
        <x:f>D449-E449</x:f>
        <x:v>-2419360</x:v>
      </x:c>
      <x:c r="G449" s="49" t="n">
        <x:v>7</x:v>
      </x:c>
      <x:c r="H449" s="49" t="n">
        <x:v>15</x:v>
      </x:c>
      <x:c r="I449" s="47" t="n">
        <x:v>-2716122</x:v>
      </x:c>
      <x:c r="J449" s="49" t="n">
        <x:v>1049</x:v>
      </x:c>
      <x:c r="K449" s="47" t="n">
        <x:v>-496624</x:v>
      </x:c>
      <x:c r="L449" s="47" t="n">
        <x:v>190154.8</x:v>
      </x:c>
      <x:c r="M449" s="48" t="n">
        <x:v>4.246212121212122</x:v>
      </x:c>
      <x:c r="N449" s="48" t="n">
        <x:v>536.2878787878789</x:v>
      </x:c>
      <x:c r="O449" s="49" t="n">
        <x:v>7</x:v>
      </x:c>
      <x:c r="P449" s="1" t="str">
        <x:v>基準併用：価格と原板の合議・広め</x:v>
      </x:c>
      <x:c r="Q449" s="49" t="n">
        <x:v>0</x:v>
      </x:c>
      <x:c r="R449" s="50" t="n">
        <x:v>0.8828041403041403</x:v>
      </x:c>
      <x:c r="S449" s="50" t="n">
        <x:v>0.8700835791543756</x:v>
      </x:c>
      <x:c r="T449" s="1" t="str">
        <x:v>上昇</x:v>
      </x:c>
      <x:c r="U449" s="49" t="n">
        <x:v>22</x:v>
      </x:c>
    </x:row>
    <x:row r="450" ht="22" customHeight="1">
      <x:c r="A450" s="1" t="str">
        <x:v>日経mini</x:v>
      </x:c>
      <x:c r="B450" s="1" t="str">
        <x:v>K08</x:v>
      </x:c>
      <x:c r="C450" s="1" t="str">
        <x:v>対照47場</x:v>
      </x:c>
      <x:c r="D450" s="47" t="n">
        <x:v>8582820</x:v>
      </x:c>
      <x:c r="E450" s="47" t="n">
        <x:v>11196194</x:v>
      </x:c>
      <x:c r="F450" s="47" t="n">
        <x:f>D450-E450</x:f>
        <x:v>-2613374</x:v>
      </x:c>
      <x:c r="G450" s="49" t="n">
        <x:v>9</x:v>
      </x:c>
      <x:c r="H450" s="49" t="n">
        <x:v>16</x:v>
      </x:c>
      <x:c r="I450" s="47" t="n">
        <x:v>-2865126</x:v>
      </x:c>
      <x:c r="J450" s="49" t="n">
        <x:v>1222</x:v>
      </x:c>
      <x:c r="K450" s="47" t="n">
        <x:v>-536242</x:v>
      </x:c>
      <x:c r="L450" s="47" t="n">
        <x:v>188948.25</x:v>
      </x:c>
      <x:c r="M450" s="48" t="n">
        <x:v>3.7673333333333336</x:v>
      </x:c>
      <x:c r="N450" s="48" t="n">
        <x:v>503.2853333333333</x:v>
      </x:c>
      <x:c r="O450" s="49" t="n">
        <x:v>7</x:v>
      </x:c>
      <x:c r="P450" s="1" t="str">
        <x:v>基準併用：価格と原板の合議・広め</x:v>
      </x:c>
      <x:c r="Q450" s="49" t="n">
        <x:v>0</x:v>
      </x:c>
      <x:c r="R450" s="50" t="n">
        <x:v>0.8876068376068376</x:v>
      </x:c>
      <x:c r="S450" s="50" t="n">
        <x:v>0.8701337021668972</x:v>
      </x:c>
      <x:c r="T450" s="1" t="str">
        <x:v>下落</x:v>
      </x:c>
      <x:c r="U450" s="49" t="n">
        <x:v>25</x:v>
      </x:c>
    </x:row>
    <x:row r="451" ht="22" customHeight="1">
      <x:c r="A451" s="1" t="str">
        <x:v>日経mini</x:v>
      </x:c>
      <x:c r="B451" s="1" t="str">
        <x:v>K08</x:v>
      </x:c>
      <x:c r="C451" s="1" t="str">
        <x:v>診断3場</x:v>
      </x:c>
      <x:c r="D451" s="47" t="n">
        <x:v>1310300</x:v>
      </x:c>
      <x:c r="E451" s="47" t="n">
        <x:v>1387708</x:v>
      </x:c>
      <x:c r="F451" s="47" t="n">
        <x:f>D451-E451</x:f>
        <x:v>-77408</x:v>
      </x:c>
      <x:c r="G451" s="49" t="n">
        <x:v>1</x:v>
      </x:c>
      <x:c r="H451" s="49" t="n">
        <x:v>2</x:v>
      </x:c>
      <x:c r="I451" s="47" t="n">
        <x:v>-84476</x:v>
      </x:c>
      <x:c r="J451" s="49" t="n">
        <x:v>172</x:v>
      </x:c>
      <x:c r="K451" s="47" t="n">
        <x:v>-43392</x:v>
      </x:c>
      <x:c r="L451" s="47" t="n">
        <x:v>42238</x:v>
      </x:c>
      <x:c r="M451" s="48" t="n">
        <x:v>3.0888888888888886</x:v>
      </x:c>
      <x:c r="N451" s="48" t="n">
        <x:v>618.4944444444444</x:v>
      </x:c>
      <x:c r="O451" s="49" t="n">
        <x:v>7</x:v>
      </x:c>
      <x:c r="P451" s="1" t="str">
        <x:v>基準併用：価格と原板の合議・広め</x:v>
      </x:c>
      <x:c r="Q451" s="49" t="n">
        <x:v>0</x:v>
      </x:c>
      <x:c r="R451" s="50" t="n">
        <x:v>0.9417083842083841</x:v>
      </x:c>
      <x:c r="S451" s="50" t="n">
        <x:v>0.9371127946127945</x:v>
      </x:c>
      <x:c r="T451" s="1" t="str">
        <x:v>全場</x:v>
      </x:c>
      <x:c r="U451" s="49" t="n">
        <x:v>3</x:v>
      </x:c>
    </x:row>
    <x:row r="452" ht="22" customHeight="1">
      <x:c r="A452" s="1" t="str">
        <x:v>日経mini</x:v>
      </x:c>
      <x:c r="B452" s="1" t="str">
        <x:v>K08</x:v>
      </x:c>
      <x:c r="C452" s="1" t="str">
        <x:v>診断3場</x:v>
      </x:c>
      <x:c r="D452" s="47" t="n">
        <x:v>512150</x:v>
      </x:c>
      <x:c r="E452" s="47" t="n">
        <x:v>505082</x:v>
      </x:c>
      <x:c r="F452" s="47" t="n">
        <x:f>D452-E452</x:f>
        <x:v>7068</x:v>
      </x:c>
      <x:c r="G452" s="49" t="n">
        <x:v>1</x:v>
      </x:c>
      <x:c r="H452" s="49" t="n">
        <x:v>0</x:v>
      </x:c>
      <x:c r="I452" s="47" t="n">
        <x:v>0</x:v>
      </x:c>
      <x:c r="J452" s="49" t="n">
        <x:v>63</x:v>
      </x:c>
      <x:c r="K452" s="47" t="n">
        <x:v>7068</x:v>
      </x:c>
      <x:c r="L452" s="47" t="n">
        <x:v>0</x:v>
      </x:c>
      <x:c r="M452" s="48" t="n">
        <x:v>2.716666666666667</x:v>
      </x:c>
      <x:c r="N452" s="48" t="n">
        <x:v>406.1333333333333</x:v>
      </x:c>
      <x:c r="O452" s="49" t="n">
        <x:v>7</x:v>
      </x:c>
      <x:c r="P452" s="1" t="str">
        <x:v>基準併用：価格と原板の合議・広め</x:v>
      </x:c>
      <x:c r="Q452" s="49" t="n">
        <x:v>0</x:v>
      </x:c>
      <x:c r="R452" s="50" t="n">
        <x:v>0.966984126984127</x:v>
      </x:c>
      <x:c r="S452" s="50" t="n">
        <x:v>0.966984126984127</x:v>
      </x:c>
      <x:c r="T452" s="1" t="str">
        <x:v>デイ</x:v>
      </x:c>
      <x:c r="U452" s="49" t="n">
        <x:v>1</x:v>
      </x:c>
    </x:row>
    <x:row r="453" ht="22" customHeight="1">
      <x:c r="A453" s="1" t="str">
        <x:v>日経mini</x:v>
      </x:c>
      <x:c r="B453" s="1" t="str">
        <x:v>K08</x:v>
      </x:c>
      <x:c r="C453" s="1" t="str">
        <x:v>診断3場</x:v>
      </x:c>
      <x:c r="D453" s="47" t="n">
        <x:v>798150</x:v>
      </x:c>
      <x:c r="E453" s="47" t="n">
        <x:v>882626</x:v>
      </x:c>
      <x:c r="F453" s="47" t="n">
        <x:f>D453-E453</x:f>
        <x:v>-84476</x:v>
      </x:c>
      <x:c r="G453" s="49" t="n">
        <x:v>0</x:v>
      </x:c>
      <x:c r="H453" s="49" t="n">
        <x:v>2</x:v>
      </x:c>
      <x:c r="I453" s="47" t="n">
        <x:v>-84476</x:v>
      </x:c>
      <x:c r="J453" s="49" t="n">
        <x:v>109</x:v>
      </x:c>
      <x:c r="K453" s="47" t="n">
        <x:v>-43392</x:v>
      </x:c>
      <x:c r="L453" s="47" t="n">
        <x:v>42238</x:v>
      </x:c>
      <x:c r="M453" s="48" t="n">
        <x:v>3.275</x:v>
      </x:c>
      <x:c r="N453" s="48" t="n">
        <x:v>724.675</x:v>
      </x:c>
      <x:c r="O453" s="49" t="n">
        <x:v>7</x:v>
      </x:c>
      <x:c r="P453" s="1" t="str">
        <x:v>基準併用：価格と原板の合議・広め</x:v>
      </x:c>
      <x:c r="Q453" s="49" t="n">
        <x:v>0</x:v>
      </x:c>
      <x:c r="R453" s="50" t="n">
        <x:v>0.9290705128205128</x:v>
      </x:c>
      <x:c r="S453" s="50" t="n">
        <x:v>0.9290705128205128</x:v>
      </x:c>
      <x:c r="T453" s="1" t="str">
        <x:v>ナイト</x:v>
      </x:c>
      <x:c r="U453" s="49" t="n">
        <x:v>2</x:v>
      </x:c>
    </x:row>
    <x:row r="454" ht="22" customHeight="1">
      <x:c r="A454" s="1" t="str">
        <x:v>日経mini</x:v>
      </x:c>
      <x:c r="B454" s="1" t="str">
        <x:v>K08</x:v>
      </x:c>
      <x:c r="C454" s="1" t="str">
        <x:v>診断3場</x:v>
      </x:c>
      <x:c r="D454" s="47" t="n">
        <x:v>836302</x:v>
      </x:c>
      <x:c r="E454" s="47" t="n">
        <x:v>870318</x:v>
      </x:c>
      <x:c r="F454" s="47" t="n">
        <x:f>D454-E454</x:f>
        <x:v>-34016</x:v>
      </x:c>
      <x:c r="G454" s="49" t="n">
        <x:v>1</x:v>
      </x:c>
      <x:c r="H454" s="49" t="n">
        <x:v>1</x:v>
      </x:c>
      <x:c r="I454" s="47" t="n">
        <x:v>-41084</x:v>
      </x:c>
      <x:c r="J454" s="49" t="n">
        <x:v>114</x:v>
      </x:c>
      <x:c r="K454" s="47" t="n">
        <x:v>-41084</x:v>
      </x:c>
      <x:c r="L454" s="47" t="n">
        <x:v>41084</x:v>
      </x:c>
      <x:c r="M454" s="48" t="n">
        <x:v>2.5</x:v>
      </x:c>
      <x:c r="N454" s="48" t="n">
        <x:v>562.8416666666667</x:v>
      </x:c>
      <x:c r="O454" s="49" t="n">
        <x:v>7</x:v>
      </x:c>
      <x:c r="P454" s="1" t="str">
        <x:v>基準併用：価格と原板の合議・広め</x:v>
      </x:c>
      <x:c r="Q454" s="49" t="n">
        <x:v>0</x:v>
      </x:c>
      <x:c r="R454" s="50" t="n">
        <x:v>0.9447420634920635</x:v>
      </x:c>
      <x:c r="S454" s="50" t="n">
        <x:v>0.9380694444444445</x:v>
      </x:c>
      <x:c r="T454" s="1" t="str">
        <x:v>上昇</x:v>
      </x:c>
      <x:c r="U454" s="49" t="n">
        <x:v>2</x:v>
      </x:c>
    </x:row>
    <x:row r="455" ht="22" customHeight="1">
      <x:c r="A455" s="1" t="str">
        <x:v>日経mini</x:v>
      </x:c>
      <x:c r="B455" s="1" t="str">
        <x:v>K08</x:v>
      </x:c>
      <x:c r="C455" s="1" t="str">
        <x:v>診断3場</x:v>
      </x:c>
      <x:c r="D455" s="47" t="n">
        <x:v>473998</x:v>
      </x:c>
      <x:c r="E455" s="47" t="n">
        <x:v>517390</x:v>
      </x:c>
      <x:c r="F455" s="47" t="n">
        <x:f>D455-E455</x:f>
        <x:v>-43392</x:v>
      </x:c>
      <x:c r="G455" s="49" t="n">
        <x:v>0</x:v>
      </x:c>
      <x:c r="H455" s="49" t="n">
        <x:v>1</x:v>
      </x:c>
      <x:c r="I455" s="47" t="n">
        <x:v>-43392</x:v>
      </x:c>
      <x:c r="J455" s="49" t="n">
        <x:v>58</x:v>
      </x:c>
      <x:c r="K455" s="47" t="n">
        <x:v>-43392</x:v>
      </x:c>
      <x:c r="L455" s="47" t="n">
        <x:v>43392</x:v>
      </x:c>
      <x:c r="M455" s="48" t="n">
        <x:v>4.266666666666667</x:v>
      </x:c>
      <x:c r="N455" s="48" t="n">
        <x:v>729.8</x:v>
      </x:c>
      <x:c r="O455" s="49" t="n">
        <x:v>7</x:v>
      </x:c>
      <x:c r="P455" s="1" t="str">
        <x:v>基準併用：価格と原板の合議・広め</x:v>
      </x:c>
      <x:c r="Q455" s="49" t="n">
        <x:v>0</x:v>
      </x:c>
      <x:c r="R455" s="50" t="n">
        <x:v>0.9356410256410257</x:v>
      </x:c>
      <x:c r="S455" s="50" t="n">
        <x:v>0.9356410256410256</x:v>
      </x:c>
      <x:c r="T455" s="1" t="str">
        <x:v>下落</x:v>
      </x:c>
      <x:c r="U455" s="49" t="n">
        <x:v>1</x:v>
      </x:c>
    </x:row>
    <x:row r="456" ht="22" customHeight="1">
      <x:c r="A456" s="1" t="str">
        <x:v>日経mini</x:v>
      </x:c>
      <x:c r="B456" s="1" t="str">
        <x:v>K09</x:v>
      </x:c>
      <x:c r="C456" s="1" t="str">
        <x:v>全50場</x:v>
      </x:c>
      <x:c r="D456" s="47" t="n">
        <x:v>16128242</x:v>
      </x:c>
      <x:c r="E456" s="47" t="n">
        <x:v>24978414</x:v>
      </x:c>
      <x:c r="F456" s="47" t="n">
        <x:f>D456-E456</x:f>
        <x:v>-8850172</x:v>
      </x:c>
      <x:c r="G456" s="49" t="n">
        <x:v>8</x:v>
      </x:c>
      <x:c r="H456" s="49" t="n">
        <x:v>42</x:v>
      </x:c>
      <x:c r="I456" s="47" t="n">
        <x:v>-9038946</x:v>
      </x:c>
      <x:c r="J456" s="49" t="n">
        <x:v>3200</x:v>
      </x:c>
      <x:c r="K456" s="47" t="n">
        <x:v>-709598</x:v>
      </x:c>
      <x:c r="L456" s="47" t="n">
        <x:v>218141.7142857143</x:v>
      </x:c>
      <x:c r="M456" s="48" t="n">
        <x:v>3.4256666666666673</x:v>
      </x:c>
      <x:c r="N456" s="48" t="n">
        <x:v>461.4556666666667</x:v>
      </x:c>
      <x:c r="O456" s="49" t="n">
        <x:v>10</x:v>
      </x:c>
      <x:c r="P456" s="1" t="str">
        <x:v>基準併用：中期支持の3枚参加と保護後追撃・標準</x:v>
      </x:c>
      <x:c r="Q456" s="49" t="n">
        <x:v>0</x:v>
      </x:c>
      <x:c r="R456" s="50" t="n">
        <x:v>0.7969695360195359</x:v>
      </x:c>
      <x:c r="S456" s="50" t="n">
        <x:v>0.7690927777777777</x:v>
      </x:c>
      <x:c r="T456" s="1" t="str">
        <x:v>全場</x:v>
      </x:c>
      <x:c r="U456" s="49" t="n">
        <x:v>50</x:v>
      </x:c>
    </x:row>
    <x:row r="457" ht="22" customHeight="1">
      <x:c r="A457" s="1" t="str">
        <x:v>日経mini</x:v>
      </x:c>
      <x:c r="B457" s="1" t="str">
        <x:v>K09</x:v>
      </x:c>
      <x:c r="C457" s="1" t="str">
        <x:v>全50場</x:v>
      </x:c>
      <x:c r="D457" s="47" t="n">
        <x:v>8407604</x:v>
      </x:c>
      <x:c r="E457" s="47" t="n">
        <x:v>13182828</x:v>
      </x:c>
      <x:c r="F457" s="47" t="n">
        <x:f>D457-E457</x:f>
        <x:v>-4775224</x:v>
      </x:c>
      <x:c r="G457" s="49" t="n">
        <x:v>4</x:v>
      </x:c>
      <x:c r="H457" s="49" t="n">
        <x:v>21</x:v>
      </x:c>
      <x:c r="I457" s="47" t="n">
        <x:v>-4914324</x:v>
      </x:c>
      <x:c r="J457" s="49" t="n">
        <x:v>1600</x:v>
      </x:c>
      <x:c r="K457" s="47" t="n">
        <x:v>-709598</x:v>
      </x:c>
      <x:c r="L457" s="47" t="n">
        <x:v>234899.2380952381</x:v>
      </x:c>
      <x:c r="M457" s="48" t="n">
        <x:v>3.4600000000000004</x:v>
      </x:c>
      <x:c r="N457" s="48" t="n">
        <x:v>373.75466666666676</x:v>
      </x:c>
      <x:c r="O457" s="49" t="n">
        <x:v>10</x:v>
      </x:c>
      <x:c r="P457" s="1" t="str">
        <x:v>基準併用：中期支持の3枚参加と保護後追撃・標準</x:v>
      </x:c>
      <x:c r="Q457" s="49" t="n">
        <x:v>0</x:v>
      </x:c>
      <x:c r="R457" s="50" t="n">
        <x:v>0.8898920634920635</x:v>
      </x:c>
      <x:c r="S457" s="50" t="n">
        <x:v>0.8898920634920635</x:v>
      </x:c>
      <x:c r="T457" s="1" t="str">
        <x:v>デイ</x:v>
      </x:c>
      <x:c r="U457" s="49" t="n">
        <x:v>25</x:v>
      </x:c>
    </x:row>
    <x:row r="458" ht="22" customHeight="1">
      <x:c r="A458" s="1" t="str">
        <x:v>日経mini</x:v>
      </x:c>
      <x:c r="B458" s="1" t="str">
        <x:v>K09</x:v>
      </x:c>
      <x:c r="C458" s="1" t="str">
        <x:v>全50場</x:v>
      </x:c>
      <x:c r="D458" s="47" t="n">
        <x:v>7720638</x:v>
      </x:c>
      <x:c r="E458" s="47" t="n">
        <x:v>11795586</x:v>
      </x:c>
      <x:c r="F458" s="47" t="n">
        <x:f>D458-E458</x:f>
        <x:v>-4074948</x:v>
      </x:c>
      <x:c r="G458" s="49" t="n">
        <x:v>4</x:v>
      </x:c>
      <x:c r="H458" s="49" t="n">
        <x:v>21</x:v>
      </x:c>
      <x:c r="I458" s="47" t="n">
        <x:v>-4218352</x:v>
      </x:c>
      <x:c r="J458" s="49" t="n">
        <x:v>1600</x:v>
      </x:c>
      <x:c r="K458" s="47" t="n">
        <x:v>-397134</x:v>
      </x:c>
      <x:c r="L458" s="47" t="n">
        <x:v>201384.19047619047</x:v>
      </x:c>
      <x:c r="M458" s="48" t="n">
        <x:v>3.3913333333333333</x:v>
      </x:c>
      <x:c r="N458" s="48" t="n">
        <x:v>549.1566666666666</x:v>
      </x:c>
      <x:c r="O458" s="49" t="n">
        <x:v>10</x:v>
      </x:c>
      <x:c r="P458" s="1" t="str">
        <x:v>基準併用：中期支持の3枚参加と保護後追撃・標準</x:v>
      </x:c>
      <x:c r="Q458" s="49" t="n">
        <x:v>0</x:v>
      </x:c>
      <x:c r="R458" s="50" t="n">
        <x:v>0.7040470085470085</x:v>
      </x:c>
      <x:c r="S458" s="50" t="n">
        <x:v>0.7040470085470085</x:v>
      </x:c>
      <x:c r="T458" s="1" t="str">
        <x:v>ナイト</x:v>
      </x:c>
      <x:c r="U458" s="49" t="n">
        <x:v>25</x:v>
      </x:c>
    </x:row>
    <x:row r="459" ht="22" customHeight="1">
      <x:c r="A459" s="1" t="str">
        <x:v>日経mini</x:v>
      </x:c>
      <x:c r="B459" s="1" t="str">
        <x:v>K09</x:v>
      </x:c>
      <x:c r="C459" s="1" t="str">
        <x:v>全50場</x:v>
      </x:c>
      <x:c r="D459" s="47" t="n">
        <x:v>7619582</x:v>
      </x:c>
      <x:c r="E459" s="47" t="n">
        <x:v>11448606</x:v>
      </x:c>
      <x:c r="F459" s="47" t="n">
        <x:f>D459-E459</x:f>
        <x:v>-3829024</x:v>
      </x:c>
      <x:c r="G459" s="49" t="n">
        <x:v>5</x:v>
      </x:c>
      <x:c r="H459" s="49" t="n">
        <x:v>19</x:v>
      </x:c>
      <x:c r="I459" s="47" t="n">
        <x:v>-4017798</x:v>
      </x:c>
      <x:c r="J459" s="49" t="n">
        <x:v>1549</x:v>
      </x:c>
      <x:c r="K459" s="47" t="n">
        <x:v>-584528</x:v>
      </x:c>
      <x:c r="L459" s="47" t="n">
        <x:v>213096.2105263158</x:v>
      </x:c>
      <x:c r="M459" s="48" t="n">
        <x:v>3.3486111111111114</x:v>
      </x:c>
      <x:c r="N459" s="48" t="n">
        <x:v>467.1006944444445</x:v>
      </x:c>
      <x:c r="O459" s="49" t="n">
        <x:v>10</x:v>
      </x:c>
      <x:c r="P459" s="1" t="str">
        <x:v>基準併用：中期支持の3枚参加と保護後追撃・標準</x:v>
      </x:c>
      <x:c r="Q459" s="49" t="n">
        <x:v>0</x:v>
      </x:c>
      <x:c r="R459" s="50" t="n">
        <x:v>0.7882105972730974</x:v>
      </x:c>
      <x:c r="S459" s="50" t="n">
        <x:v>0.7595133242999096</x:v>
      </x:c>
      <x:c r="T459" s="1" t="str">
        <x:v>上昇</x:v>
      </x:c>
      <x:c r="U459" s="49" t="n">
        <x:v>24</x:v>
      </x:c>
    </x:row>
    <x:row r="460" ht="22" customHeight="1">
      <x:c r="A460" s="1" t="str">
        <x:v>日経mini</x:v>
      </x:c>
      <x:c r="B460" s="1" t="str">
        <x:v>K09</x:v>
      </x:c>
      <x:c r="C460" s="1" t="str">
        <x:v>全50場</x:v>
      </x:c>
      <x:c r="D460" s="47" t="n">
        <x:v>8508660</x:v>
      </x:c>
      <x:c r="E460" s="47" t="n">
        <x:v>13529808</x:v>
      </x:c>
      <x:c r="F460" s="47" t="n">
        <x:f>D460-E460</x:f>
        <x:v>-5021148</x:v>
      </x:c>
      <x:c r="G460" s="49" t="n">
        <x:v>3</x:v>
      </x:c>
      <x:c r="H460" s="49" t="n">
        <x:v>23</x:v>
      </x:c>
      <x:c r="I460" s="47" t="n">
        <x:v>-5113124</x:v>
      </x:c>
      <x:c r="J460" s="49" t="n">
        <x:v>1651</x:v>
      </x:c>
      <x:c r="K460" s="47" t="n">
        <x:v>-709598</x:v>
      </x:c>
      <x:c r="L460" s="47" t="n">
        <x:v>222309.73913043478</x:v>
      </x:c>
      <x:c r="M460" s="48" t="n">
        <x:v>3.496794871794872</x:v>
      </x:c>
      <x:c r="N460" s="48" t="n">
        <x:v>456.2448717948718</x:v>
      </x:c>
      <x:c r="O460" s="49" t="n">
        <x:v>10</x:v>
      </x:c>
      <x:c r="P460" s="1" t="str">
        <x:v>基準併用：中期支持の3枚参加と保護後追撃・標準</x:v>
      </x:c>
      <x:c r="Q460" s="49" t="n">
        <x:v>0</x:v>
      </x:c>
      <x:c r="R460" s="50" t="n">
        <x:v>0.8050547102470179</x:v>
      </x:c>
      <x:c r="S460" s="50" t="n">
        <x:v>0.7783705161854768</x:v>
      </x:c>
      <x:c r="T460" s="1" t="str">
        <x:v>下落</x:v>
      </x:c>
      <x:c r="U460" s="49" t="n">
        <x:v>26</x:v>
      </x:c>
    </x:row>
    <x:row r="461" ht="22" customHeight="1">
      <x:c r="A461" s="1" t="str">
        <x:v>日経mini</x:v>
      </x:c>
      <x:c r="B461" s="1" t="str">
        <x:v>K09</x:v>
      </x:c>
      <x:c r="C461" s="1" t="str">
        <x:v>対照47場</x:v>
      </x:c>
      <x:c r="D461" s="47" t="n">
        <x:v>15056570</x:v>
      </x:c>
      <x:c r="E461" s="47" t="n">
        <x:v>23093514</x:v>
      </x:c>
      <x:c r="F461" s="47" t="n">
        <x:f>D461-E461</x:f>
        <x:v>-8036944</x:v>
      </x:c>
      <x:c r="G461" s="49" t="n">
        <x:v>8</x:v>
      </x:c>
      <x:c r="H461" s="49" t="n">
        <x:v>39</x:v>
      </x:c>
      <x:c r="I461" s="47" t="n">
        <x:v>-8225718</x:v>
      </x:c>
      <x:c r="J461" s="49" t="n">
        <x:v>2957</x:v>
      </x:c>
      <x:c r="K461" s="47" t="n">
        <x:v>-709598</x:v>
      </x:c>
      <x:c r="L461" s="47" t="n">
        <x:v>214069.84615384616</x:v>
      </x:c>
      <x:c r="M461" s="48" t="n">
        <x:v>3.4471631205673763</x:v>
      </x:c>
      <x:c r="N461" s="48" t="n">
        <x:v>456.0425531914894</x:v>
      </x:c>
      <x:c r="O461" s="49" t="n">
        <x:v>10</x:v>
      </x:c>
      <x:c r="P461" s="1" t="str">
        <x:v>基準併用：中期支持の3枚参加と保護後追撃・標準</x:v>
      </x:c>
      <x:c r="Q461" s="49" t="n">
        <x:v>0</x:v>
      </x:c>
      <x:c r="R461" s="50" t="n">
        <x:v>0.7939385083002105</x:v>
      </x:c>
      <x:c r="S461" s="50" t="n">
        <x:v>0.7649536045681656</x:v>
      </x:c>
      <x:c r="T461" s="1" t="str">
        <x:v>全場</x:v>
      </x:c>
      <x:c r="U461" s="49" t="n">
        <x:v>47</x:v>
      </x:c>
    </x:row>
    <x:row r="462" ht="22" customHeight="1">
      <x:c r="A462" s="1" t="str">
        <x:v>日経mini</x:v>
      </x:c>
      <x:c r="B462" s="1" t="str">
        <x:v>K09</x:v>
      </x:c>
      <x:c r="C462" s="1" t="str">
        <x:v>対照47場</x:v>
      </x:c>
      <x:c r="D462" s="47" t="n">
        <x:v>8108820</x:v>
      </x:c>
      <x:c r="E462" s="47" t="n">
        <x:v>12539988</x:v>
      </x:c>
      <x:c r="F462" s="47" t="n">
        <x:f>D462-E462</x:f>
        <x:v>-4431168</x:v>
      </x:c>
      <x:c r="G462" s="49" t="n">
        <x:v>4</x:v>
      </x:c>
      <x:c r="H462" s="49" t="n">
        <x:v>20</x:v>
      </x:c>
      <x:c r="I462" s="47" t="n">
        <x:v>-4570268</x:v>
      </x:c>
      <x:c r="J462" s="49" t="n">
        <x:v>1524</x:v>
      </x:c>
      <x:c r="K462" s="47" t="n">
        <x:v>-709598</x:v>
      </x:c>
      <x:c r="L462" s="47" t="n">
        <x:v>229441.4</x:v>
      </x:c>
      <x:c r="M462" s="48" t="n">
        <x:v>3.4909722222222226</x:v>
      </x:c>
      <x:c r="N462" s="48" t="n">
        <x:v>372.9340277777778</x:v>
      </x:c>
      <x:c r="O462" s="49" t="n">
        <x:v>10</x:v>
      </x:c>
      <x:c r="P462" s="1" t="str">
        <x:v>基準併用：中期支持の3枚参加と保護後追撃・標準</x:v>
      </x:c>
      <x:c r="Q462" s="49" t="n">
        <x:v>0</x:v>
      </x:c>
      <x:c r="R462" s="50" t="n">
        <x:v>0.8879381613756614</x:v>
      </x:c>
      <x:c r="S462" s="50" t="n">
        <x:v>0.8879381613756613</x:v>
      </x:c>
      <x:c r="T462" s="1" t="str">
        <x:v>デイ</x:v>
      </x:c>
      <x:c r="U462" s="49" t="n">
        <x:v>24</x:v>
      </x:c>
    </x:row>
    <x:row r="463" ht="22" customHeight="1">
      <x:c r="A463" s="1" t="str">
        <x:v>日経mini</x:v>
      </x:c>
      <x:c r="B463" s="1" t="str">
        <x:v>K09</x:v>
      </x:c>
      <x:c r="C463" s="1" t="str">
        <x:v>対照47場</x:v>
      </x:c>
      <x:c r="D463" s="47" t="n">
        <x:v>6947750</x:v>
      </x:c>
      <x:c r="E463" s="47" t="n">
        <x:v>10553526</x:v>
      </x:c>
      <x:c r="F463" s="47" t="n">
        <x:f>D463-E463</x:f>
        <x:v>-3605776</x:v>
      </x:c>
      <x:c r="G463" s="49" t="n">
        <x:v>4</x:v>
      </x:c>
      <x:c r="H463" s="49" t="n">
        <x:v>19</x:v>
      </x:c>
      <x:c r="I463" s="47" t="n">
        <x:v>-3749180</x:v>
      </x:c>
      <x:c r="J463" s="49" t="n">
        <x:v>1433</x:v>
      </x:c>
      <x:c r="K463" s="47" t="n">
        <x:v>-397134</x:v>
      </x:c>
      <x:c r="L463" s="47" t="n">
        <x:v>197889.26315789475</x:v>
      </x:c>
      <x:c r="M463" s="48" t="n">
        <x:v>3.4014492753623187</x:v>
      </x:c>
      <x:c r="N463" s="48" t="n">
        <x:v>542.7644927536232</x:v>
      </x:c>
      <x:c r="O463" s="49" t="n">
        <x:v>10</x:v>
      </x:c>
      <x:c r="P463" s="1" t="str">
        <x:v>基準併用：中期支持の3枚参加と保護後追撃・標準</x:v>
      </x:c>
      <x:c r="Q463" s="49" t="n">
        <x:v>0</x:v>
      </x:c>
      <x:c r="R463" s="50" t="n">
        <x:v>0.6958519137866964</x:v>
      </x:c>
      <x:c r="S463" s="50" t="n">
        <x:v>0.6958519137866964</x:v>
      </x:c>
      <x:c r="T463" s="1" t="str">
        <x:v>ナイト</x:v>
      </x:c>
      <x:c r="U463" s="49" t="n">
        <x:v>23</x:v>
      </x:c>
    </x:row>
    <x:row r="464" ht="22" customHeight="1">
      <x:c r="A464" s="1" t="str">
        <x:v>日経mini</x:v>
      </x:c>
      <x:c r="B464" s="1" t="str">
        <x:v>K09</x:v>
      </x:c>
      <x:c r="C464" s="1" t="str">
        <x:v>対照47場</x:v>
      </x:c>
      <x:c r="D464" s="47" t="n">
        <x:v>7002856</x:v>
      </x:c>
      <x:c r="E464" s="47" t="n">
        <x:v>10241924</x:v>
      </x:c>
      <x:c r="F464" s="47" t="n">
        <x:f>D464-E464</x:f>
        <x:v>-3239068</x:v>
      </x:c>
      <x:c r="G464" s="49" t="n">
        <x:v>5</x:v>
      </x:c>
      <x:c r="H464" s="49" t="n">
        <x:v>17</x:v>
      </x:c>
      <x:c r="I464" s="47" t="n">
        <x:v>-3427842</x:v>
      </x:c>
      <x:c r="J464" s="49" t="n">
        <x:v>1401</x:v>
      </x:c>
      <x:c r="K464" s="47" t="n">
        <x:v>-584528</x:v>
      </x:c>
      <x:c r="L464" s="47" t="n">
        <x:v>203463.0588235294</x:v>
      </x:c>
      <x:c r="M464" s="48" t="n">
        <x:v>3.4257575757575767</x:v>
      </x:c>
      <x:c r="N464" s="48" t="n">
        <x:v>462.814393939394</x:v>
      </x:c>
      <x:c r="O464" s="49" t="n">
        <x:v>10</x:v>
      </x:c>
      <x:c r="P464" s="1" t="str">
        <x:v>基準併用：中期支持の3枚参加と保護後追撃・標準</x:v>
      </x:c>
      <x:c r="Q464" s="49" t="n">
        <x:v>0</x:v>
      </x:c>
      <x:c r="R464" s="50" t="n">
        <x:v>0.7802773615273616</x:v>
      </x:c>
      <x:c r="S464" s="50" t="n">
        <x:v>0.7508788102261553</x:v>
      </x:c>
      <x:c r="T464" s="1" t="str">
        <x:v>上昇</x:v>
      </x:c>
      <x:c r="U464" s="49" t="n">
        <x:v>22</x:v>
      </x:c>
    </x:row>
    <x:row r="465" ht="22" customHeight="1">
      <x:c r="A465" s="1" t="str">
        <x:v>日経mini</x:v>
      </x:c>
      <x:c r="B465" s="1" t="str">
        <x:v>K09</x:v>
      </x:c>
      <x:c r="C465" s="1" t="str">
        <x:v>対照47場</x:v>
      </x:c>
      <x:c r="D465" s="47" t="n">
        <x:v>8053714</x:v>
      </x:c>
      <x:c r="E465" s="47" t="n">
        <x:v>12851590</x:v>
      </x:c>
      <x:c r="F465" s="47" t="n">
        <x:f>D465-E465</x:f>
        <x:v>-4797876</x:v>
      </x:c>
      <x:c r="G465" s="49" t="n">
        <x:v>3</x:v>
      </x:c>
      <x:c r="H465" s="49" t="n">
        <x:v>22</x:v>
      </x:c>
      <x:c r="I465" s="47" t="n">
        <x:v>-4889852</x:v>
      </x:c>
      <x:c r="J465" s="49" t="n">
        <x:v>1556</x:v>
      </x:c>
      <x:c r="K465" s="47" t="n">
        <x:v>-709598</x:v>
      </x:c>
      <x:c r="L465" s="47" t="n">
        <x:v>222266</x:v>
      </x:c>
      <x:c r="M465" s="48" t="n">
        <x:v>3.466</x:v>
      </x:c>
      <x:c r="N465" s="48" t="n">
        <x:v>450.08333333333337</x:v>
      </x:c>
      <x:c r="O465" s="49" t="n">
        <x:v>10</x:v>
      </x:c>
      <x:c r="P465" s="1" t="str">
        <x:v>基準併用：中期支持の3枚参加と保護後追撃・標準</x:v>
      </x:c>
      <x:c r="Q465" s="49" t="n">
        <x:v>0</x:v>
      </x:c>
      <x:c r="R465" s="50" t="n">
        <x:v>0.8059603174603174</x:v>
      </x:c>
      <x:c r="S465" s="50" t="n">
        <x:v>0.7781523743660673</x:v>
      </x:c>
      <x:c r="T465" s="1" t="str">
        <x:v>下落</x:v>
      </x:c>
      <x:c r="U465" s="49" t="n">
        <x:v>25</x:v>
      </x:c>
    </x:row>
    <x:row r="466" ht="22" customHeight="1">
      <x:c r="A466" s="1" t="str">
        <x:v>日経mini</x:v>
      </x:c>
      <x:c r="B466" s="1" t="str">
        <x:v>K09</x:v>
      </x:c>
      <x:c r="C466" s="1" t="str">
        <x:v>診断3場</x:v>
      </x:c>
      <x:c r="D466" s="47" t="n">
        <x:v>1071672</x:v>
      </x:c>
      <x:c r="E466" s="47" t="n">
        <x:v>1884900</x:v>
      </x:c>
      <x:c r="F466" s="47" t="n">
        <x:f>D466-E466</x:f>
        <x:v>-813228</x:v>
      </x:c>
      <x:c r="G466" s="49" t="n">
        <x:v>0</x:v>
      </x:c>
      <x:c r="H466" s="49" t="n">
        <x:v>3</x:v>
      </x:c>
      <x:c r="I466" s="47" t="n">
        <x:v>-813228</x:v>
      </x:c>
      <x:c r="J466" s="49" t="n">
        <x:v>243</x:v>
      </x:c>
      <x:c r="K466" s="47" t="n">
        <x:v>-344056</x:v>
      </x:c>
      <x:c r="L466" s="47" t="n">
        <x:v>271076</x:v>
      </x:c>
      <x:c r="M466" s="48" t="n">
        <x:v>3.0888888888888886</x:v>
      </x:c>
      <x:c r="N466" s="48" t="n">
        <x:v>546.2611111111111</x:v>
      </x:c>
      <x:c r="O466" s="49" t="n">
        <x:v>10</x:v>
      </x:c>
      <x:c r="P466" s="1" t="str">
        <x:v>基準併用：中期支持の3枚参加と保護後追撃・標準</x:v>
      </x:c>
      <x:c r="Q466" s="49" t="n">
        <x:v>0</x:v>
      </x:c>
      <x:c r="R466" s="50" t="n">
        <x:v>0.844455636955637</x:v>
      </x:c>
      <x:c r="S466" s="50" t="n">
        <x:v>0.8276683501683502</x:v>
      </x:c>
      <x:c r="T466" s="1" t="str">
        <x:v>全場</x:v>
      </x:c>
      <x:c r="U466" s="49" t="n">
        <x:v>3</x:v>
      </x:c>
    </x:row>
    <x:row r="467" ht="22" customHeight="1">
      <x:c r="A467" s="1" t="str">
        <x:v>日経mini</x:v>
      </x:c>
      <x:c r="B467" s="1" t="str">
        <x:v>K09</x:v>
      </x:c>
      <x:c r="C467" s="1" t="str">
        <x:v>診断3場</x:v>
      </x:c>
      <x:c r="D467" s="47" t="n">
        <x:v>298784</x:v>
      </x:c>
      <x:c r="E467" s="47" t="n">
        <x:v>642840</x:v>
      </x:c>
      <x:c r="F467" s="47" t="n">
        <x:f>D467-E467</x:f>
        <x:v>-344056</x:v>
      </x:c>
      <x:c r="G467" s="49" t="n">
        <x:v>0</x:v>
      </x:c>
      <x:c r="H467" s="49" t="n">
        <x:v>1</x:v>
      </x:c>
      <x:c r="I467" s="47" t="n">
        <x:v>-344056</x:v>
      </x:c>
      <x:c r="J467" s="49" t="n">
        <x:v>76</x:v>
      </x:c>
      <x:c r="K467" s="47" t="n">
        <x:v>-344056</x:v>
      </x:c>
      <x:c r="L467" s="47" t="n">
        <x:v>344056</x:v>
      </x:c>
      <x:c r="M467" s="48" t="n">
        <x:v>2.716666666666667</x:v>
      </x:c>
      <x:c r="N467" s="48" t="n">
        <x:v>393.45</x:v>
      </x:c>
      <x:c r="O467" s="49" t="n">
        <x:v>7</x:v>
      </x:c>
      <x:c r="P467" s="1" t="str">
        <x:v>基準併用：中期支持の3枚参加と保護後追撃・標準</x:v>
      </x:c>
      <x:c r="Q467" s="49" t="n">
        <x:v>0</x:v>
      </x:c>
      <x:c r="R467" s="50" t="n">
        <x:v>0.9367857142857143</x:v>
      </x:c>
      <x:c r="S467" s="50" t="n">
        <x:v>0.9367857142857142</x:v>
      </x:c>
      <x:c r="T467" s="1" t="str">
        <x:v>デイ</x:v>
      </x:c>
      <x:c r="U467" s="49" t="n">
        <x:v>1</x:v>
      </x:c>
    </x:row>
    <x:row r="468" ht="22" customHeight="1">
      <x:c r="A468" s="1" t="str">
        <x:v>日経mini</x:v>
      </x:c>
      <x:c r="B468" s="1" t="str">
        <x:v>K09</x:v>
      </x:c>
      <x:c r="C468" s="1" t="str">
        <x:v>診断3場</x:v>
      </x:c>
      <x:c r="D468" s="47" t="n">
        <x:v>772888</x:v>
      </x:c>
      <x:c r="E468" s="47" t="n">
        <x:v>1242060</x:v>
      </x:c>
      <x:c r="F468" s="47" t="n">
        <x:f>D468-E468</x:f>
        <x:v>-469172</x:v>
      </x:c>
      <x:c r="G468" s="49" t="n">
        <x:v>0</x:v>
      </x:c>
      <x:c r="H468" s="49" t="n">
        <x:v>2</x:v>
      </x:c>
      <x:c r="I468" s="47" t="n">
        <x:v>-469172</x:v>
      </x:c>
      <x:c r="J468" s="49" t="n">
        <x:v>167</x:v>
      </x:c>
      <x:c r="K468" s="47" t="n">
        <x:v>-245900</x:v>
      </x:c>
      <x:c r="L468" s="47" t="n">
        <x:v>234586</x:v>
      </x:c>
      <x:c r="M468" s="48" t="n">
        <x:v>3.275</x:v>
      </x:c>
      <x:c r="N468" s="48" t="n">
        <x:v>622.6666666666666</x:v>
      </x:c>
      <x:c r="O468" s="49" t="n">
        <x:v>10</x:v>
      </x:c>
      <x:c r="P468" s="1" t="str">
        <x:v>基準併用：中期支持の3枚参加と保護後追撃・標準</x:v>
      </x:c>
      <x:c r="Q468" s="49" t="n">
        <x:v>0</x:v>
      </x:c>
      <x:c r="R468" s="50" t="n">
        <x:v>0.7982905982905983</x:v>
      </x:c>
      <x:c r="S468" s="50" t="n">
        <x:v>0.7982905982905982</x:v>
      </x:c>
      <x:c r="T468" s="1" t="str">
        <x:v>ナイト</x:v>
      </x:c>
      <x:c r="U468" s="49" t="n">
        <x:v>2</x:v>
      </x:c>
    </x:row>
    <x:row r="469" ht="22" customHeight="1">
      <x:c r="A469" s="1" t="str">
        <x:v>日経mini</x:v>
      </x:c>
      <x:c r="B469" s="1" t="str">
        <x:v>K09</x:v>
      </x:c>
      <x:c r="C469" s="1" t="str">
        <x:v>診断3場</x:v>
      </x:c>
      <x:c r="D469" s="47" t="n">
        <x:v>616726</x:v>
      </x:c>
      <x:c r="E469" s="47" t="n">
        <x:v>1206682</x:v>
      </x:c>
      <x:c r="F469" s="47" t="n">
        <x:f>D469-E469</x:f>
        <x:v>-589956</x:v>
      </x:c>
      <x:c r="G469" s="49" t="n">
        <x:v>0</x:v>
      </x:c>
      <x:c r="H469" s="49" t="n">
        <x:v>2</x:v>
      </x:c>
      <x:c r="I469" s="47" t="n">
        <x:v>-589956</x:v>
      </x:c>
      <x:c r="J469" s="49" t="n">
        <x:v>148</x:v>
      </x:c>
      <x:c r="K469" s="47" t="n">
        <x:v>-344056</x:v>
      </x:c>
      <x:c r="L469" s="47" t="n">
        <x:v>294978</x:v>
      </x:c>
      <x:c r="M469" s="48" t="n">
        <x:v>2.5</x:v>
      </x:c>
      <x:c r="N469" s="48" t="n">
        <x:v>514.25</x:v>
      </x:c>
      <x:c r="O469" s="49" t="n">
        <x:v>10</x:v>
      </x:c>
      <x:c r="P469" s="1" t="str">
        <x:v>基準併用：中期支持の3枚参加と保護後追撃・標準</x:v>
      </x:c>
      <x:c r="Q469" s="49" t="n">
        <x:v>0</x:v>
      </x:c>
      <x:c r="R469" s="50" t="n">
        <x:v>0.8754761904761905</x:v>
      </x:c>
      <x:c r="S469" s="50" t="n">
        <x:v>0.8570833333333333</x:v>
      </x:c>
      <x:c r="T469" s="1" t="str">
        <x:v>上昇</x:v>
      </x:c>
      <x:c r="U469" s="49" t="n">
        <x:v>2</x:v>
      </x:c>
    </x:row>
    <x:row r="470" ht="22" customHeight="1">
      <x:c r="A470" s="1" t="str">
        <x:v>日経mini</x:v>
      </x:c>
      <x:c r="B470" s="1" t="str">
        <x:v>K09</x:v>
      </x:c>
      <x:c r="C470" s="1" t="str">
        <x:v>診断3場</x:v>
      </x:c>
      <x:c r="D470" s="47" t="n">
        <x:v>454946</x:v>
      </x:c>
      <x:c r="E470" s="47" t="n">
        <x:v>678218</x:v>
      </x:c>
      <x:c r="F470" s="47" t="n">
        <x:f>D470-E470</x:f>
        <x:v>-223272</x:v>
      </x:c>
      <x:c r="G470" s="49" t="n">
        <x:v>0</x:v>
      </x:c>
      <x:c r="H470" s="49" t="n">
        <x:v>1</x:v>
      </x:c>
      <x:c r="I470" s="47" t="n">
        <x:v>-223272</x:v>
      </x:c>
      <x:c r="J470" s="49" t="n">
        <x:v>95</x:v>
      </x:c>
      <x:c r="K470" s="47" t="n">
        <x:v>-223272</x:v>
      </x:c>
      <x:c r="L470" s="47" t="n">
        <x:v>223272</x:v>
      </x:c>
      <x:c r="M470" s="48" t="n">
        <x:v>4.266666666666667</x:v>
      </x:c>
      <x:c r="N470" s="48" t="n">
        <x:v>610.2833333333333</x:v>
      </x:c>
      <x:c r="O470" s="49" t="n">
        <x:v>10</x:v>
      </x:c>
      <x:c r="P470" s="1" t="str">
        <x:v>基準併用：中期支持の3枚参加と保護後追撃・標準</x:v>
      </x:c>
      <x:c r="Q470" s="49" t="n">
        <x:v>0</x:v>
      </x:c>
      <x:c r="R470" s="50" t="n">
        <x:v>0.7824145299145299</x:v>
      </x:c>
      <x:c r="S470" s="50" t="n">
        <x:v>0.7824145299145299</x:v>
      </x:c>
      <x:c r="T470" s="1" t="str">
        <x:v>下落</x:v>
      </x:c>
      <x:c r="U470" s="49" t="n">
        <x:v>1</x:v>
      </x:c>
    </x:row>
    <x:row r="471" ht="22" customHeight="1">
      <x:c r="A471" s="1" t="str">
        <x:v>日経mini</x:v>
      </x:c>
      <x:c r="B471" s="1" t="str">
        <x:v>K10</x:v>
      </x:c>
      <x:c r="C471" s="1" t="str">
        <x:v>全50場</x:v>
      </x:c>
      <x:c r="D471" s="47" t="n">
        <x:v>15933740</x:v>
      </x:c>
      <x:c r="E471" s="47" t="n">
        <x:v>23039336</x:v>
      </x:c>
      <x:c r="F471" s="47" t="n">
        <x:f>D471-E471</x:f>
        <x:v>-7105596</x:v>
      </x:c>
      <x:c r="G471" s="49" t="n">
        <x:v>9</x:v>
      </x:c>
      <x:c r="H471" s="49" t="n">
        <x:v>41</x:v>
      </x:c>
      <x:c r="I471" s="47" t="n">
        <x:v>-7460862</x:v>
      </x:c>
      <x:c r="J471" s="49" t="n">
        <x:v>2582</x:v>
      </x:c>
      <x:c r="K471" s="47" t="n">
        <x:v>-611072</x:v>
      </x:c>
      <x:c r="L471" s="47" t="n">
        <x:v>187915.31707317074</x:v>
      </x:c>
      <x:c r="M471" s="48" t="n">
        <x:v>3.4256666666666673</x:v>
      </x:c>
      <x:c r="N471" s="48" t="n">
        <x:v>517.566</x:v>
      </x:c>
      <x:c r="O471" s="49" t="n">
        <x:v>10</x:v>
      </x:c>
      <x:c r="P471" s="1" t="str">
        <x:v>基準併用：中期支持の3枚参加と保護後追撃・広め</x:v>
      </x:c>
      <x:c r="Q471" s="49" t="n">
        <x:v>0</x:v>
      </x:c>
      <x:c r="R471" s="50" t="n">
        <x:v>0.8777538461538462</x:v>
      </x:c>
      <x:c r="S471" s="50" t="n">
        <x:v>0.86261</x:v>
      </x:c>
      <x:c r="T471" s="1" t="str">
        <x:v>全場</x:v>
      </x:c>
      <x:c r="U471" s="49" t="n">
        <x:v>50</x:v>
      </x:c>
    </x:row>
    <x:row r="472" ht="22" customHeight="1">
      <x:c r="A472" s="1" t="str">
        <x:v>日経mini</x:v>
      </x:c>
      <x:c r="B472" s="1" t="str">
        <x:v>K10</x:v>
      </x:c>
      <x:c r="C472" s="1" t="str">
        <x:v>全50場</x:v>
      </x:c>
      <x:c r="D472" s="47" t="n">
        <x:v>8598532</x:v>
      </x:c>
      <x:c r="E472" s="47" t="n">
        <x:v>12303326</x:v>
      </x:c>
      <x:c r="F472" s="47" t="n">
        <x:f>D472-E472</x:f>
        <x:v>-3704794</x:v>
      </x:c>
      <x:c r="G472" s="49" t="n">
        <x:v>5</x:v>
      </x:c>
      <x:c r="H472" s="49" t="n">
        <x:v>20</x:v>
      </x:c>
      <x:c r="I472" s="47" t="n">
        <x:v>-3949514</x:v>
      </x:c>
      <x:c r="J472" s="49" t="n">
        <x:v>1347</x:v>
      </x:c>
      <x:c r="K472" s="47" t="n">
        <x:v>-611072</x:v>
      </x:c>
      <x:c r="L472" s="47" t="n">
        <x:v>199045.4</x:v>
      </x:c>
      <x:c r="M472" s="48" t="n">
        <x:v>3.4600000000000004</x:v>
      </x:c>
      <x:c r="N472" s="48" t="n">
        <x:v>389.858</x:v>
      </x:c>
      <x:c r="O472" s="49" t="n">
        <x:v>10</x:v>
      </x:c>
      <x:c r="P472" s="1" t="str">
        <x:v>基準併用：中期支持の3枚参加と保護後追撃・広め</x:v>
      </x:c>
      <x:c r="Q472" s="49" t="n">
        <x:v>0</x:v>
      </x:c>
      <x:c r="R472" s="50" t="n">
        <x:v>0.9282333333333334</x:v>
      </x:c>
      <x:c r="S472" s="50" t="n">
        <x:v>0.9282333333333334</x:v>
      </x:c>
      <x:c r="T472" s="1" t="str">
        <x:v>デイ</x:v>
      </x:c>
      <x:c r="U472" s="49" t="n">
        <x:v>25</x:v>
      </x:c>
    </x:row>
    <x:row r="473" ht="22" customHeight="1">
      <x:c r="A473" s="1" t="str">
        <x:v>日経mini</x:v>
      </x:c>
      <x:c r="B473" s="1" t="str">
        <x:v>K10</x:v>
      </x:c>
      <x:c r="C473" s="1" t="str">
        <x:v>全50場</x:v>
      </x:c>
      <x:c r="D473" s="47" t="n">
        <x:v>7335208</x:v>
      </x:c>
      <x:c r="E473" s="47" t="n">
        <x:v>10736010</x:v>
      </x:c>
      <x:c r="F473" s="47" t="n">
        <x:f>D473-E473</x:f>
        <x:v>-3400802</x:v>
      </x:c>
      <x:c r="G473" s="49" t="n">
        <x:v>4</x:v>
      </x:c>
      <x:c r="H473" s="49" t="n">
        <x:v>21</x:v>
      </x:c>
      <x:c r="I473" s="47" t="n">
        <x:v>-3699072</x:v>
      </x:c>
      <x:c r="J473" s="49" t="n">
        <x:v>1235</x:v>
      </x:c>
      <x:c r="K473" s="47" t="n">
        <x:v>-397684</x:v>
      </x:c>
      <x:c r="L473" s="47" t="n">
        <x:v>177315.2380952381</x:v>
      </x:c>
      <x:c r="M473" s="48" t="n">
        <x:v>3.3913333333333333</x:v>
      </x:c>
      <x:c r="N473" s="48" t="n">
        <x:v>645.274</x:v>
      </x:c>
      <x:c r="O473" s="49" t="n">
        <x:v>10</x:v>
      </x:c>
      <x:c r="P473" s="1" t="str">
        <x:v>基準併用：中期支持の3枚参加と保護後追撃・広め</x:v>
      </x:c>
      <x:c r="Q473" s="49" t="n">
        <x:v>0</x:v>
      </x:c>
      <x:c r="R473" s="50" t="n">
        <x:v>0.827274358974359</x:v>
      </x:c>
      <x:c r="S473" s="50" t="n">
        <x:v>0.827274358974359</x:v>
      </x:c>
      <x:c r="T473" s="1" t="str">
        <x:v>ナイト</x:v>
      </x:c>
      <x:c r="U473" s="49" t="n">
        <x:v>25</x:v>
      </x:c>
    </x:row>
    <x:row r="474" ht="22" customHeight="1">
      <x:c r="A474" s="1" t="str">
        <x:v>日経mini</x:v>
      </x:c>
      <x:c r="B474" s="1" t="str">
        <x:v>K10</x:v>
      </x:c>
      <x:c r="C474" s="1" t="str">
        <x:v>全50場</x:v>
      </x:c>
      <x:c r="D474" s="47" t="n">
        <x:v>7513336</x:v>
      </x:c>
      <x:c r="E474" s="47" t="n">
        <x:v>10996254</x:v>
      </x:c>
      <x:c r="F474" s="47" t="n">
        <x:f>D474-E474</x:f>
        <x:v>-3482918</x:v>
      </x:c>
      <x:c r="G474" s="49" t="n">
        <x:v>5</x:v>
      </x:c>
      <x:c r="H474" s="49" t="n">
        <x:v>19</x:v>
      </x:c>
      <x:c r="I474" s="47" t="n">
        <x:v>-3814414</x:v>
      </x:c>
      <x:c r="J474" s="49" t="n">
        <x:v>1261</x:v>
      </x:c>
      <x:c r="K474" s="47" t="n">
        <x:v>-611072</x:v>
      </x:c>
      <x:c r="L474" s="47" t="n">
        <x:v>202410.94736842104</x:v>
      </x:c>
      <x:c r="M474" s="48" t="n">
        <x:v>3.3486111111111114</x:v>
      </x:c>
      <x:c r="N474" s="48" t="n">
        <x:v>524.9284722222222</x:v>
      </x:c>
      <x:c r="O474" s="49" t="n">
        <x:v>10</x:v>
      </x:c>
      <x:c r="P474" s="1" t="str">
        <x:v>基準併用：中期支持の3枚参加と保護後追撃・広め</x:v>
      </x:c>
      <x:c r="Q474" s="49" t="n">
        <x:v>0</x:v>
      </x:c>
      <x:c r="R474" s="50" t="n">
        <x:v>0.868465226902727</x:v>
      </x:c>
      <x:c r="S474" s="50" t="n">
        <x:v>0.8535422312556459</x:v>
      </x:c>
      <x:c r="T474" s="1" t="str">
        <x:v>上昇</x:v>
      </x:c>
      <x:c r="U474" s="49" t="n">
        <x:v>24</x:v>
      </x:c>
    </x:row>
    <x:row r="475" ht="22" customHeight="1">
      <x:c r="A475" s="1" t="str">
        <x:v>日経mini</x:v>
      </x:c>
      <x:c r="B475" s="1" t="str">
        <x:v>K10</x:v>
      </x:c>
      <x:c r="C475" s="1" t="str">
        <x:v>全50場</x:v>
      </x:c>
      <x:c r="D475" s="47" t="n">
        <x:v>8420404</x:v>
      </x:c>
      <x:c r="E475" s="47" t="n">
        <x:v>12043082</x:v>
      </x:c>
      <x:c r="F475" s="47" t="n">
        <x:f>D475-E475</x:f>
        <x:v>-3622678</x:v>
      </x:c>
      <x:c r="G475" s="49" t="n">
        <x:v>4</x:v>
      </x:c>
      <x:c r="H475" s="49" t="n">
        <x:v>22</x:v>
      </x:c>
      <x:c r="I475" s="47" t="n">
        <x:v>-3834172</x:v>
      </x:c>
      <x:c r="J475" s="49" t="n">
        <x:v>1321</x:v>
      </x:c>
      <x:c r="K475" s="47" t="n">
        <x:v>-571226</x:v>
      </x:c>
      <x:c r="L475" s="47" t="n">
        <x:v>175396.36363636365</x:v>
      </x:c>
      <x:c r="M475" s="48" t="n">
        <x:v>3.496794871794872</x:v>
      </x:c>
      <x:c r="N475" s="48" t="n">
        <x:v>510.76987179487173</x:v>
      </x:c>
      <x:c r="O475" s="49" t="n">
        <x:v>10</x:v>
      </x:c>
      <x:c r="P475" s="1" t="str">
        <x:v>基準併用：中期支持の3枚参加と保護後追撃・広め</x:v>
      </x:c>
      <x:c r="Q475" s="49" t="n">
        <x:v>0</x:v>
      </x:c>
      <x:c r="R475" s="50" t="n">
        <x:v>0.8863279562318023</x:v>
      </x:c>
      <x:c r="S475" s="50" t="n">
        <x:v>0.8713921697287839</x:v>
      </x:c>
      <x:c r="T475" s="1" t="str">
        <x:v>下落</x:v>
      </x:c>
      <x:c r="U475" s="49" t="n">
        <x:v>26</x:v>
      </x:c>
    </x:row>
    <x:row r="476" ht="22" customHeight="1">
      <x:c r="A476" s="1" t="str">
        <x:v>日経mini</x:v>
      </x:c>
      <x:c r="B476" s="1" t="str">
        <x:v>K10</x:v>
      </x:c>
      <x:c r="C476" s="1" t="str">
        <x:v>対照47場</x:v>
      </x:c>
      <x:c r="D476" s="47" t="n">
        <x:v>14820254</x:v>
      </x:c>
      <x:c r="E476" s="47" t="n">
        <x:v>21257346</x:v>
      </x:c>
      <x:c r="F476" s="47" t="n">
        <x:f>D476-E476</x:f>
        <x:v>-6437092</x:v>
      </x:c>
      <x:c r="G476" s="49" t="n">
        <x:v>9</x:v>
      </x:c>
      <x:c r="H476" s="49" t="n">
        <x:v>38</x:v>
      </x:c>
      <x:c r="I476" s="47" t="n">
        <x:v>-6792358</x:v>
      </x:c>
      <x:c r="J476" s="49" t="n">
        <x:v>2394</x:v>
      </x:c>
      <x:c r="K476" s="47" t="n">
        <x:v>-611072</x:v>
      </x:c>
      <x:c r="L476" s="47" t="n">
        <x:v>185158.52631578947</x:v>
      </x:c>
      <x:c r="M476" s="48" t="n">
        <x:v>3.4471631205673763</x:v>
      </x:c>
      <x:c r="N476" s="48" t="n">
        <x:v>512.7914893617022</x:v>
      </x:c>
      <x:c r="O476" s="49" t="n">
        <x:v>10</x:v>
      </x:c>
      <x:c r="P476" s="1" t="str">
        <x:v>基準併用：中期支持の3枚参加と保護後追撃・広め</x:v>
      </x:c>
      <x:c r="Q476" s="49" t="n">
        <x:v>0</x:v>
      </x:c>
      <x:c r="R476" s="50" t="n">
        <x:v>0.8760186267633076</x:v>
      </x:c>
      <x:c r="S476" s="50" t="n">
        <x:v>0.8601427551748752</x:v>
      </x:c>
      <x:c r="T476" s="1" t="str">
        <x:v>全場</x:v>
      </x:c>
      <x:c r="U476" s="49" t="n">
        <x:v>47</x:v>
      </x:c>
    </x:row>
    <x:row r="477" ht="22" customHeight="1">
      <x:c r="A477" s="1" t="str">
        <x:v>日経mini</x:v>
      </x:c>
      <x:c r="B477" s="1" t="str">
        <x:v>K10</x:v>
      </x:c>
      <x:c r="C477" s="1" t="str">
        <x:v>対照47場</x:v>
      </x:c>
      <x:c r="D477" s="47" t="n">
        <x:v>8204988</x:v>
      </x:c>
      <x:c r="E477" s="47" t="n">
        <x:v>11653790</x:v>
      </x:c>
      <x:c r="F477" s="47" t="n">
        <x:f>D477-E477</x:f>
        <x:v>-3448802</x:v>
      </x:c>
      <x:c r="G477" s="49" t="n">
        <x:v>5</x:v>
      </x:c>
      <x:c r="H477" s="49" t="n">
        <x:v>19</x:v>
      </x:c>
      <x:c r="I477" s="47" t="n">
        <x:v>-3693522</x:v>
      </x:c>
      <x:c r="J477" s="49" t="n">
        <x:v>1284</x:v>
      </x:c>
      <x:c r="K477" s="47" t="n">
        <x:v>-611072</x:v>
      </x:c>
      <x:c r="L477" s="47" t="n">
        <x:v>196048.2105263158</x:v>
      </x:c>
      <x:c r="M477" s="48" t="n">
        <x:v>3.4909722222222226</x:v>
      </x:c>
      <x:c r="N477" s="48" t="n">
        <x:v>389.5520833333333</x:v>
      </x:c>
      <x:c r="O477" s="49" t="n">
        <x:v>10</x:v>
      </x:c>
      <x:c r="P477" s="1" t="str">
        <x:v>基準併用：中期支持の3枚参加と保護後追撃・広め</x:v>
      </x:c>
      <x:c r="Q477" s="49" t="n">
        <x:v>0</x:v>
      </x:c>
      <x:c r="R477" s="50" t="n">
        <x:v>0.9275049603174604</x:v>
      </x:c>
      <x:c r="S477" s="50" t="n">
        <x:v>0.9275049603174603</x:v>
      </x:c>
      <x:c r="T477" s="1" t="str">
        <x:v>デイ</x:v>
      </x:c>
      <x:c r="U477" s="49" t="n">
        <x:v>24</x:v>
      </x:c>
    </x:row>
    <x:row r="478" ht="22" customHeight="1">
      <x:c r="A478" s="1" t="str">
        <x:v>日経mini</x:v>
      </x:c>
      <x:c r="B478" s="1" t="str">
        <x:v>K10</x:v>
      </x:c>
      <x:c r="C478" s="1" t="str">
        <x:v>対照47場</x:v>
      </x:c>
      <x:c r="D478" s="47" t="n">
        <x:v>6615266</x:v>
      </x:c>
      <x:c r="E478" s="47" t="n">
        <x:v>9603556</x:v>
      </x:c>
      <x:c r="F478" s="47" t="n">
        <x:f>D478-E478</x:f>
        <x:v>-2988290</x:v>
      </x:c>
      <x:c r="G478" s="49" t="n">
        <x:v>4</x:v>
      </x:c>
      <x:c r="H478" s="49" t="n">
        <x:v>19</x:v>
      </x:c>
      <x:c r="I478" s="47" t="n">
        <x:v>-3286560</x:v>
      </x:c>
      <x:c r="J478" s="49" t="n">
        <x:v>1110</x:v>
      </x:c>
      <x:c r="K478" s="47" t="n">
        <x:v>-397684</x:v>
      </x:c>
      <x:c r="L478" s="47" t="n">
        <x:v>174268.84210526315</x:v>
      </x:c>
      <x:c r="M478" s="48" t="n">
        <x:v>3.4014492753623187</x:v>
      </x:c>
      <x:c r="N478" s="48" t="n">
        <x:v>641.3891304347826</x:v>
      </x:c>
      <x:c r="O478" s="49" t="n">
        <x:v>10</x:v>
      </x:c>
      <x:c r="P478" s="1" t="str">
        <x:v>基準併用：中期支持の3枚参加と保護後追撃・広め</x:v>
      </x:c>
      <x:c r="Q478" s="49" t="n">
        <x:v>0</x:v>
      </x:c>
      <x:c r="R478" s="50" t="n">
        <x:v>0.8222937569676702</x:v>
      </x:c>
      <x:c r="S478" s="50" t="n">
        <x:v>0.82229375696767</x:v>
      </x:c>
      <x:c r="T478" s="1" t="str">
        <x:v>ナイト</x:v>
      </x:c>
      <x:c r="U478" s="49" t="n">
        <x:v>23</x:v>
      </x:c>
    </x:row>
    <x:row r="479" ht="22" customHeight="1">
      <x:c r="A479" s="1" t="str">
        <x:v>日経mini</x:v>
      </x:c>
      <x:c r="B479" s="1" t="str">
        <x:v>K10</x:v>
      </x:c>
      <x:c r="C479" s="1" t="str">
        <x:v>対照47場</x:v>
      </x:c>
      <x:c r="D479" s="47" t="n">
        <x:v>6841012</x:v>
      </x:c>
      <x:c r="E479" s="47" t="n">
        <x:v>9878950</x:v>
      </x:c>
      <x:c r="F479" s="47" t="n">
        <x:f>D479-E479</x:f>
        <x:v>-3037938</x:v>
      </x:c>
      <x:c r="G479" s="49" t="n">
        <x:v>5</x:v>
      </x:c>
      <x:c r="H479" s="49" t="n">
        <x:v>17</x:v>
      </x:c>
      <x:c r="I479" s="47" t="n">
        <x:v>-3369434</x:v>
      </x:c>
      <x:c r="J479" s="49" t="n">
        <x:v>1141</x:v>
      </x:c>
      <x:c r="K479" s="47" t="n">
        <x:v>-611072</x:v>
      </x:c>
      <x:c r="L479" s="47" t="n">
        <x:v>200048.70588235295</x:v>
      </x:c>
      <x:c r="M479" s="48" t="n">
        <x:v>3.4257575757575767</x:v>
      </x:c>
      <x:c r="N479" s="48" t="n">
        <x:v>523.3265151515152</x:v>
      </x:c>
      <x:c r="O479" s="49" t="n">
        <x:v>10</x:v>
      </x:c>
      <x:c r="P479" s="1" t="str">
        <x:v>基準併用：中期支持の3枚参加と保護後追撃・広め</x:v>
      </x:c>
      <x:c r="Q479" s="49" t="n">
        <x:v>0</x:v>
      </x:c>
      <x:c r="R479" s="50" t="n">
        <x:v>0.8643421855921858</x:v>
      </x:c>
      <x:c r="S479" s="50" t="n">
        <x:v>0.8490548180924288</x:v>
      </x:c>
      <x:c r="T479" s="1" t="str">
        <x:v>上昇</x:v>
      </x:c>
      <x:c r="U479" s="49" t="n">
        <x:v>22</x:v>
      </x:c>
    </x:row>
    <x:row r="480" ht="22" customHeight="1">
      <x:c r="A480" s="1" t="str">
        <x:v>日経mini</x:v>
      </x:c>
      <x:c r="B480" s="1" t="str">
        <x:v>K10</x:v>
      </x:c>
      <x:c r="C480" s="1" t="str">
        <x:v>対照47場</x:v>
      </x:c>
      <x:c r="D480" s="47" t="n">
        <x:v>7979242</x:v>
      </x:c>
      <x:c r="E480" s="47" t="n">
        <x:v>11378396</x:v>
      </x:c>
      <x:c r="F480" s="47" t="n">
        <x:f>D480-E480</x:f>
        <x:v>-3399154</x:v>
      </x:c>
      <x:c r="G480" s="49" t="n">
        <x:v>4</x:v>
      </x:c>
      <x:c r="H480" s="49" t="n">
        <x:v>21</x:v>
      </x:c>
      <x:c r="I480" s="47" t="n">
        <x:v>-3610648</x:v>
      </x:c>
      <x:c r="J480" s="49" t="n">
        <x:v>1253</x:v>
      </x:c>
      <x:c r="K480" s="47" t="n">
        <x:v>-571226</x:v>
      </x:c>
      <x:c r="L480" s="47" t="n">
        <x:v>173104.57142857142</x:v>
      </x:c>
      <x:c r="M480" s="48" t="n">
        <x:v>3.466</x:v>
      </x:c>
      <x:c r="N480" s="48" t="n">
        <x:v>503.52066666666656</x:v>
      </x:c>
      <x:c r="O480" s="49" t="n">
        <x:v>10</x:v>
      </x:c>
      <x:c r="P480" s="1" t="str">
        <x:v>基準併用：中期支持の3枚参加と保護後追撃・広め</x:v>
      </x:c>
      <x:c r="Q480" s="49" t="n">
        <x:v>0</x:v>
      </x:c>
      <x:c r="R480" s="50" t="n">
        <x:v>0.8862938949938949</x:v>
      </x:c>
      <x:c r="S480" s="50" t="n">
        <x:v>0.8705405716920239</x:v>
      </x:c>
      <x:c r="T480" s="1" t="str">
        <x:v>下落</x:v>
      </x:c>
      <x:c r="U480" s="49" t="n">
        <x:v>25</x:v>
      </x:c>
    </x:row>
    <x:row r="481" ht="22" customHeight="1">
      <x:c r="A481" s="1" t="str">
        <x:v>日経mini</x:v>
      </x:c>
      <x:c r="B481" s="1" t="str">
        <x:v>K10</x:v>
      </x:c>
      <x:c r="C481" s="1" t="str">
        <x:v>診断3場</x:v>
      </x:c>
      <x:c r="D481" s="47" t="n">
        <x:v>1113486</x:v>
      </x:c>
      <x:c r="E481" s="47" t="n">
        <x:v>1781990</x:v>
      </x:c>
      <x:c r="F481" s="47" t="n">
        <x:f>D481-E481</x:f>
        <x:v>-668504</x:v>
      </x:c>
      <x:c r="G481" s="49" t="n">
        <x:v>0</x:v>
      </x:c>
      <x:c r="H481" s="49" t="n">
        <x:v>3</x:v>
      </x:c>
      <x:c r="I481" s="47" t="n">
        <x:v>-668504</x:v>
      </x:c>
      <x:c r="J481" s="49" t="n">
        <x:v>188</x:v>
      </x:c>
      <x:c r="K481" s="47" t="n">
        <x:v>-255992</x:v>
      </x:c>
      <x:c r="L481" s="47" t="n">
        <x:v>222834.66666666666</x:v>
      </x:c>
      <x:c r="M481" s="48" t="n">
        <x:v>3.0888888888888886</x:v>
      </x:c>
      <x:c r="N481" s="48" t="n">
        <x:v>592.3666666666667</x:v>
      </x:c>
      <x:c r="O481" s="49" t="n">
        <x:v>10</x:v>
      </x:c>
      <x:c r="P481" s="1" t="str">
        <x:v>基準併用：中期支持の3枚参加と保護後追撃・広め</x:v>
      </x:c>
      <x:c r="Q481" s="49" t="n">
        <x:v>0</x:v>
      </x:c>
      <x:c r="R481" s="50" t="n">
        <x:v>0.9049389499389499</x:v>
      </x:c>
      <x:c r="S481" s="50" t="n">
        <x:v>0.8975252525252525</x:v>
      </x:c>
      <x:c r="T481" s="1" t="str">
        <x:v>全場</x:v>
      </x:c>
      <x:c r="U481" s="49" t="n">
        <x:v>3</x:v>
      </x:c>
    </x:row>
    <x:row r="482" ht="22" customHeight="1">
      <x:c r="A482" s="1" t="str">
        <x:v>日経mini</x:v>
      </x:c>
      <x:c r="B482" s="1" t="str">
        <x:v>K10</x:v>
      </x:c>
      <x:c r="C482" s="1" t="str">
        <x:v>診断3場</x:v>
      </x:c>
      <x:c r="D482" s="47" t="n">
        <x:v>393544</x:v>
      </x:c>
      <x:c r="E482" s="47" t="n">
        <x:v>649536</x:v>
      </x:c>
      <x:c r="F482" s="47" t="n">
        <x:f>D482-E482</x:f>
        <x:v>-255992</x:v>
      </x:c>
      <x:c r="G482" s="49" t="n">
        <x:v>0</x:v>
      </x:c>
      <x:c r="H482" s="49" t="n">
        <x:v>1</x:v>
      </x:c>
      <x:c r="I482" s="47" t="n">
        <x:v>-255992</x:v>
      </x:c>
      <x:c r="J482" s="49" t="n">
        <x:v>63</x:v>
      </x:c>
      <x:c r="K482" s="47" t="n">
        <x:v>-255992</x:v>
      </x:c>
      <x:c r="L482" s="47" t="n">
        <x:v>255992</x:v>
      </x:c>
      <x:c r="M482" s="48" t="n">
        <x:v>2.716666666666667</x:v>
      </x:c>
      <x:c r="N482" s="48" t="n">
        <x:v>397.2</x:v>
      </x:c>
      <x:c r="O482" s="49" t="n">
        <x:v>7</x:v>
      </x:c>
      <x:c r="P482" s="1" t="str">
        <x:v>基準併用：中期支持の3枚参加と保護後追撃・広め</x:v>
      </x:c>
      <x:c r="Q482" s="49" t="n">
        <x:v>0</x:v>
      </x:c>
      <x:c r="R482" s="50" t="n">
        <x:v>0.9457142857142857</x:v>
      </x:c>
      <x:c r="S482" s="50" t="n">
        <x:v>0.9457142857142857</x:v>
      </x:c>
      <x:c r="T482" s="1" t="str">
        <x:v>デイ</x:v>
      </x:c>
      <x:c r="U482" s="49" t="n">
        <x:v>1</x:v>
      </x:c>
    </x:row>
    <x:row r="483" ht="22" customHeight="1">
      <x:c r="A483" s="1" t="str">
        <x:v>日経mini</x:v>
      </x:c>
      <x:c r="B483" s="1" t="str">
        <x:v>K10</x:v>
      </x:c>
      <x:c r="C483" s="1" t="str">
        <x:v>診断3場</x:v>
      </x:c>
      <x:c r="D483" s="47" t="n">
        <x:v>719942</x:v>
      </x:c>
      <x:c r="E483" s="47" t="n">
        <x:v>1132454</x:v>
      </x:c>
      <x:c r="F483" s="47" t="n">
        <x:f>D483-E483</x:f>
        <x:v>-412512</x:v>
      </x:c>
      <x:c r="G483" s="49" t="n">
        <x:v>0</x:v>
      </x:c>
      <x:c r="H483" s="49" t="n">
        <x:v>2</x:v>
      </x:c>
      <x:c r="I483" s="47" t="n">
        <x:v>-412512</x:v>
      </x:c>
      <x:c r="J483" s="49" t="n">
        <x:v>125</x:v>
      </x:c>
      <x:c r="K483" s="47" t="n">
        <x:v>-223524</x:v>
      </x:c>
      <x:c r="L483" s="47" t="n">
        <x:v>206256</x:v>
      </x:c>
      <x:c r="M483" s="48" t="n">
        <x:v>3.275</x:v>
      </x:c>
      <x:c r="N483" s="48" t="n">
        <x:v>689.95</x:v>
      </x:c>
      <x:c r="O483" s="49" t="n">
        <x:v>10</x:v>
      </x:c>
      <x:c r="P483" s="1" t="str">
        <x:v>基準併用：中期支持の3枚参加と保護後追撃・広め</x:v>
      </x:c>
      <x:c r="Q483" s="49" t="n">
        <x:v>0</x:v>
      </x:c>
      <x:c r="R483" s="50" t="n">
        <x:v>0.884551282051282</x:v>
      </x:c>
      <x:c r="S483" s="50" t="n">
        <x:v>0.8845512820512821</x:v>
      </x:c>
      <x:c r="T483" s="1" t="str">
        <x:v>ナイト</x:v>
      </x:c>
      <x:c r="U483" s="49" t="n">
        <x:v>2</x:v>
      </x:c>
    </x:row>
    <x:row r="484" ht="22" customHeight="1">
      <x:c r="A484" s="1" t="str">
        <x:v>日経mini</x:v>
      </x:c>
      <x:c r="B484" s="1" t="str">
        <x:v>K10</x:v>
      </x:c>
      <x:c r="C484" s="1" t="str">
        <x:v>診断3場</x:v>
      </x:c>
      <x:c r="D484" s="47" t="n">
        <x:v>672324</x:v>
      </x:c>
      <x:c r="E484" s="47" t="n">
        <x:v>1117304</x:v>
      </x:c>
      <x:c r="F484" s="47" t="n">
        <x:f>D484-E484</x:f>
        <x:v>-444980</x:v>
      </x:c>
      <x:c r="G484" s="49" t="n">
        <x:v>0</x:v>
      </x:c>
      <x:c r="H484" s="49" t="n">
        <x:v>2</x:v>
      </x:c>
      <x:c r="I484" s="47" t="n">
        <x:v>-444980</x:v>
      </x:c>
      <x:c r="J484" s="49" t="n">
        <x:v>120</x:v>
      </x:c>
      <x:c r="K484" s="47" t="n">
        <x:v>-255992</x:v>
      </x:c>
      <x:c r="L484" s="47" t="n">
        <x:v>222490</x:v>
      </x:c>
      <x:c r="M484" s="48" t="n">
        <x:v>2.5</x:v>
      </x:c>
      <x:c r="N484" s="48" t="n">
        <x:v>542.55</x:v>
      </x:c>
      <x:c r="O484" s="49" t="n">
        <x:v>9</x:v>
      </x:c>
      <x:c r="P484" s="1" t="str">
        <x:v>基準併用：中期支持の3枚参加と保護後追撃・広め</x:v>
      </x:c>
      <x:c r="Q484" s="49" t="n">
        <x:v>0</x:v>
      </x:c>
      <x:c r="R484" s="50" t="n">
        <x:v>0.9138186813186813</x:v>
      </x:c>
      <x:c r="S484" s="50" t="n">
        <x:v>0.9042499999999999</x:v>
      </x:c>
      <x:c r="T484" s="1" t="str">
        <x:v>上昇</x:v>
      </x:c>
      <x:c r="U484" s="49" t="n">
        <x:v>2</x:v>
      </x:c>
    </x:row>
    <x:row r="485" ht="22" customHeight="1">
      <x:c r="A485" s="1" t="str">
        <x:v>日経mini</x:v>
      </x:c>
      <x:c r="B485" s="1" t="str">
        <x:v>K10</x:v>
      </x:c>
      <x:c r="C485" s="1" t="str">
        <x:v>診断3場</x:v>
      </x:c>
      <x:c r="D485" s="47" t="n">
        <x:v>441162</x:v>
      </x:c>
      <x:c r="E485" s="47" t="n">
        <x:v>664686</x:v>
      </x:c>
      <x:c r="F485" s="47" t="n">
        <x:f>D485-E485</x:f>
        <x:v>-223524</x:v>
      </x:c>
      <x:c r="G485" s="49" t="n">
        <x:v>0</x:v>
      </x:c>
      <x:c r="H485" s="49" t="n">
        <x:v>1</x:v>
      </x:c>
      <x:c r="I485" s="47" t="n">
        <x:v>-223524</x:v>
      </x:c>
      <x:c r="J485" s="49" t="n">
        <x:v>68</x:v>
      </x:c>
      <x:c r="K485" s="47" t="n">
        <x:v>-223524</x:v>
      </x:c>
      <x:c r="L485" s="47" t="n">
        <x:v>223524</x:v>
      </x:c>
      <x:c r="M485" s="48" t="n">
        <x:v>4.266666666666667</x:v>
      </x:c>
      <x:c r="N485" s="48" t="n">
        <x:v>692</x:v>
      </x:c>
      <x:c r="O485" s="49" t="n">
        <x:v>10</x:v>
      </x:c>
      <x:c r="P485" s="1" t="str">
        <x:v>基準併用：中期支持の3枚参加と保護後追撃・広め</x:v>
      </x:c>
      <x:c r="Q485" s="49" t="n">
        <x:v>0</x:v>
      </x:c>
      <x:c r="R485" s="50" t="n">
        <x:v>0.8871794871794871</x:v>
      </x:c>
      <x:c r="S485" s="50" t="n">
        <x:v>0.8871794871794871</x:v>
      </x:c>
      <x:c r="T485" s="1" t="str">
        <x:v>下落</x:v>
      </x:c>
      <x:c r="U485" s="49" t="n">
        <x:v>1</x:v>
      </x:c>
    </x:row>
    <x:row r="486" ht="22" customHeight="1">
      <x:c r="A486" s="1" t="str">
        <x:v>日経mini</x:v>
      </x:c>
      <x:c r="B486" s="1" t="str">
        <x:v>K11</x:v>
      </x:c>
      <x:c r="C486" s="1" t="str">
        <x:v>全50場</x:v>
      </x:c>
      <x:c r="D486" s="47" t="n">
        <x:v>13914538</x:v>
      </x:c>
      <x:c r="E486" s="47" t="n">
        <x:v>20954476</x:v>
      </x:c>
      <x:c r="F486" s="47" t="n">
        <x:f>D486-E486</x:f>
        <x:v>-7039938</x:v>
      </x:c>
      <x:c r="G486" s="49" t="n">
        <x:v>10</x:v>
      </x:c>
      <x:c r="H486" s="49" t="n">
        <x:v>40</x:v>
      </x:c>
      <x:c r="I486" s="47" t="n">
        <x:v>-7418140</x:v>
      </x:c>
      <x:c r="J486" s="49" t="n">
        <x:v>2820</x:v>
      </x:c>
      <x:c r="K486" s="47" t="n">
        <x:v>-493844</x:v>
      </x:c>
      <x:c r="L486" s="47" t="n">
        <x:v>190494.7</x:v>
      </x:c>
      <x:c r="M486" s="48" t="n">
        <x:v>3.4256666666666673</x:v>
      </x:c>
      <x:c r="N486" s="48" t="n">
        <x:v>417.84333333333336</x:v>
      </x:c>
      <x:c r="O486" s="49" t="n">
        <x:v>10</x:v>
      </x:c>
      <x:c r="P486" s="1" t="str">
        <x:v>基準併用：追従と反発を状態で選択・標準</x:v>
      </x:c>
      <x:c r="Q486" s="49" t="n">
        <x:v>0</x:v>
      </x:c>
      <x:c r="R486" s="50" t="n">
        <x:v>0.7261299145299147</x:v>
      </x:c>
      <x:c r="S486" s="50" t="n">
        <x:v>0.6964055555555556</x:v>
      </x:c>
      <x:c r="T486" s="1" t="str">
        <x:v>全場</x:v>
      </x:c>
      <x:c r="U486" s="49" t="n">
        <x:v>50</x:v>
      </x:c>
    </x:row>
    <x:row r="487" ht="22" customHeight="1">
      <x:c r="A487" s="1" t="str">
        <x:v>日経mini</x:v>
      </x:c>
      <x:c r="B487" s="1" t="str">
        <x:v>K11</x:v>
      </x:c>
      <x:c r="C487" s="1" t="str">
        <x:v>全50場</x:v>
      </x:c>
      <x:c r="D487" s="47" t="n">
        <x:v>7421146</x:v>
      </x:c>
      <x:c r="E487" s="47" t="n">
        <x:v>11220466</x:v>
      </x:c>
      <x:c r="F487" s="47" t="n">
        <x:f>D487-E487</x:f>
        <x:v>-3799320</x:v>
      </x:c>
      <x:c r="G487" s="49" t="n">
        <x:v>5</x:v>
      </x:c>
      <x:c r="H487" s="49" t="n">
        <x:v>20</x:v>
      </x:c>
      <x:c r="I487" s="47" t="n">
        <x:v>-3965720</x:v>
      </x:c>
      <x:c r="J487" s="49" t="n">
        <x:v>1444</x:v>
      </x:c>
      <x:c r="K487" s="47" t="n">
        <x:v>-493844</x:v>
      </x:c>
      <x:c r="L487" s="47" t="n">
        <x:v>199870.8</x:v>
      </x:c>
      <x:c r="M487" s="48" t="n">
        <x:v>3.4600000000000004</x:v>
      </x:c>
      <x:c r="N487" s="48" t="n">
        <x:v>346.5886666666667</x:v>
      </x:c>
      <x:c r="O487" s="49" t="n">
        <x:v>10</x:v>
      </x:c>
      <x:c r="P487" s="1" t="str">
        <x:v>基準併用：追従と反発を状態で選択・標準</x:v>
      </x:c>
      <x:c r="Q487" s="49" t="n">
        <x:v>0</x:v>
      </x:c>
      <x:c r="R487" s="50" t="n">
        <x:v>0.8252111111111111</x:v>
      </x:c>
      <x:c r="S487" s="50" t="n">
        <x:v>0.8252111111111111</x:v>
      </x:c>
      <x:c r="T487" s="1" t="str">
        <x:v>デイ</x:v>
      </x:c>
      <x:c r="U487" s="49" t="n">
        <x:v>25</x:v>
      </x:c>
    </x:row>
    <x:row r="488" ht="22" customHeight="1">
      <x:c r="A488" s="1" t="str">
        <x:v>日経mini</x:v>
      </x:c>
      <x:c r="B488" s="1" t="str">
        <x:v>K11</x:v>
      </x:c>
      <x:c r="C488" s="1" t="str">
        <x:v>全50場</x:v>
      </x:c>
      <x:c r="D488" s="47" t="n">
        <x:v>6493392</x:v>
      </x:c>
      <x:c r="E488" s="47" t="n">
        <x:v>9734010</x:v>
      </x:c>
      <x:c r="F488" s="47" t="n">
        <x:f>D488-E488</x:f>
        <x:v>-3240618</x:v>
      </x:c>
      <x:c r="G488" s="49" t="n">
        <x:v>5</x:v>
      </x:c>
      <x:c r="H488" s="49" t="n">
        <x:v>20</x:v>
      </x:c>
      <x:c r="I488" s="47" t="n">
        <x:v>-3618820</x:v>
      </x:c>
      <x:c r="J488" s="49" t="n">
        <x:v>1376</x:v>
      </x:c>
      <x:c r="K488" s="47" t="n">
        <x:v>-366070</x:v>
      </x:c>
      <x:c r="L488" s="47" t="n">
        <x:v>181118.6</x:v>
      </x:c>
      <x:c r="M488" s="48" t="n">
        <x:v>3.3913333333333333</x:v>
      </x:c>
      <x:c r="N488" s="48" t="n">
        <x:v>489.098</x:v>
      </x:c>
      <x:c r="O488" s="49" t="n">
        <x:v>10</x:v>
      </x:c>
      <x:c r="P488" s="1" t="str">
        <x:v>基準併用：追従と反発を状態で選択・標準</x:v>
      </x:c>
      <x:c r="Q488" s="49" t="n">
        <x:v>0</x:v>
      </x:c>
      <x:c r="R488" s="50" t="n">
        <x:v>0.627048717948718</x:v>
      </x:c>
      <x:c r="S488" s="50" t="n">
        <x:v>0.627048717948718</x:v>
      </x:c>
      <x:c r="T488" s="1" t="str">
        <x:v>ナイト</x:v>
      </x:c>
      <x:c r="U488" s="49" t="n">
        <x:v>25</x:v>
      </x:c>
    </x:row>
    <x:row r="489" ht="22" customHeight="1">
      <x:c r="A489" s="1" t="str">
        <x:v>日経mini</x:v>
      </x:c>
      <x:c r="B489" s="1" t="str">
        <x:v>K11</x:v>
      </x:c>
      <x:c r="C489" s="1" t="str">
        <x:v>全50場</x:v>
      </x:c>
      <x:c r="D489" s="47" t="n">
        <x:v>6534570</x:v>
      </x:c>
      <x:c r="E489" s="47" t="n">
        <x:v>9843924</x:v>
      </x:c>
      <x:c r="F489" s="47" t="n">
        <x:f>D489-E489</x:f>
        <x:v>-3309354</x:v>
      </x:c>
      <x:c r="G489" s="49" t="n">
        <x:v>5</x:v>
      </x:c>
      <x:c r="H489" s="49" t="n">
        <x:v>19</x:v>
      </x:c>
      <x:c r="I489" s="47" t="n">
        <x:v>-3613620</x:v>
      </x:c>
      <x:c r="J489" s="49" t="n">
        <x:v>1354</x:v>
      </x:c>
      <x:c r="K489" s="47" t="n">
        <x:v>-430918</x:v>
      </x:c>
      <x:c r="L489" s="47" t="n">
        <x:v>190996.42105263157</x:v>
      </x:c>
      <x:c r="M489" s="48" t="n">
        <x:v>3.3486111111111114</x:v>
      </x:c>
      <x:c r="N489" s="48" t="n">
        <x:v>423.54097222222225</x:v>
      </x:c>
      <x:c r="O489" s="49" t="n">
        <x:v>10</x:v>
      </x:c>
      <x:c r="P489" s="1" t="str">
        <x:v>基準併用：追従と反発を状態で選択・標準</x:v>
      </x:c>
      <x:c r="Q489" s="49" t="n">
        <x:v>0</x:v>
      </x:c>
      <x:c r="R489" s="50" t="n">
        <x:v>0.7147923026048026</x:v>
      </x:c>
      <x:c r="S489" s="50" t="n">
        <x:v>0.6886845076784102</x:v>
      </x:c>
      <x:c r="T489" s="1" t="str">
        <x:v>上昇</x:v>
      </x:c>
      <x:c r="U489" s="49" t="n">
        <x:v>24</x:v>
      </x:c>
    </x:row>
    <x:row r="490" ht="22" customHeight="1">
      <x:c r="A490" s="1" t="str">
        <x:v>日経mini</x:v>
      </x:c>
      <x:c r="B490" s="1" t="str">
        <x:v>K11</x:v>
      </x:c>
      <x:c r="C490" s="1" t="str">
        <x:v>全50場</x:v>
      </x:c>
      <x:c r="D490" s="47" t="n">
        <x:v>7379968</x:v>
      </x:c>
      <x:c r="E490" s="47" t="n">
        <x:v>11110552</x:v>
      </x:c>
      <x:c r="F490" s="47" t="n">
        <x:f>D490-E490</x:f>
        <x:v>-3730584</x:v>
      </x:c>
      <x:c r="G490" s="49" t="n">
        <x:v>5</x:v>
      </x:c>
      <x:c r="H490" s="49" t="n">
        <x:v>21</x:v>
      </x:c>
      <x:c r="I490" s="47" t="n">
        <x:v>-3970920</x:v>
      </x:c>
      <x:c r="J490" s="49" t="n">
        <x:v>1466</x:v>
      </x:c>
      <x:c r="K490" s="47" t="n">
        <x:v>-493844</x:v>
      </x:c>
      <x:c r="L490" s="47" t="n">
        <x:v>190040.7619047619</x:v>
      </x:c>
      <x:c r="M490" s="48" t="n">
        <x:v>3.496794871794872</x:v>
      </x:c>
      <x:c r="N490" s="48" t="n">
        <x:v>412.5839743589744</x:v>
      </x:c>
      <x:c r="O490" s="49" t="n">
        <x:v>10</x:v>
      </x:c>
      <x:c r="P490" s="1" t="str">
        <x:v>基準併用：追従と反発を状態で選択・標準</x:v>
      </x:c>
      <x:c r="Q490" s="49" t="n">
        <x:v>0</x:v>
      </x:c>
      <x:c r="R490" s="50" t="n">
        <x:v>0.736595402460787</x:v>
      </x:c>
      <x:c r="S490" s="50" t="n">
        <x:v>0.7038834208223972</x:v>
      </x:c>
      <x:c r="T490" s="1" t="str">
        <x:v>下落</x:v>
      </x:c>
      <x:c r="U490" s="49" t="n">
        <x:v>26</x:v>
      </x:c>
    </x:row>
    <x:row r="491" ht="22" customHeight="1">
      <x:c r="A491" s="1" t="str">
        <x:v>日経mini</x:v>
      </x:c>
      <x:c r="B491" s="1" t="str">
        <x:v>K11</x:v>
      </x:c>
      <x:c r="C491" s="1" t="str">
        <x:v>対照47場</x:v>
      </x:c>
      <x:c r="D491" s="47" t="n">
        <x:v>13174580</x:v>
      </x:c>
      <x:c r="E491" s="47" t="n">
        <x:v>19348618</x:v>
      </x:c>
      <x:c r="F491" s="47" t="n">
        <x:f>D491-E491</x:f>
        <x:v>-6174038</x:v>
      </x:c>
      <x:c r="G491" s="49" t="n">
        <x:v>10</x:v>
      </x:c>
      <x:c r="H491" s="49" t="n">
        <x:v>37</x:v>
      </x:c>
      <x:c r="I491" s="47" t="n">
        <x:v>-6552240</x:v>
      </x:c>
      <x:c r="J491" s="49" t="n">
        <x:v>2600</x:v>
      </x:c>
      <x:c r="K491" s="47" t="n">
        <x:v>-493844</x:v>
      </x:c>
      <x:c r="L491" s="47" t="n">
        <x:v>182537.51351351352</x:v>
      </x:c>
      <x:c r="M491" s="48" t="n">
        <x:v>3.4471631205673763</x:v>
      </x:c>
      <x:c r="N491" s="48" t="n">
        <x:v>415.5336879432624</x:v>
      </x:c>
      <x:c r="O491" s="49" t="n">
        <x:v>10</x:v>
      </x:c>
      <x:c r="P491" s="1" t="str">
        <x:v>基準併用：追従と反発を状態で選択・標準</x:v>
      </x:c>
      <x:c r="Q491" s="49" t="n">
        <x:v>0</x:v>
      </x:c>
      <x:c r="R491" s="50" t="n">
        <x:v>0.7273925778713013</x:v>
      </x:c>
      <x:c r="S491" s="50" t="n">
        <x:v>0.6970051153937663</x:v>
      </x:c>
      <x:c r="T491" s="1" t="str">
        <x:v>全場</x:v>
      </x:c>
      <x:c r="U491" s="49" t="n">
        <x:v>47</x:v>
      </x:c>
    </x:row>
    <x:row r="492" ht="22" customHeight="1">
      <x:c r="A492" s="1" t="str">
        <x:v>日経mini</x:v>
      </x:c>
      <x:c r="B492" s="1" t="str">
        <x:v>K11</x:v>
      </x:c>
      <x:c r="C492" s="1" t="str">
        <x:v>対照47場</x:v>
      </x:c>
      <x:c r="D492" s="47" t="n">
        <x:v>7271216</x:v>
      </x:c>
      <x:c r="E492" s="47" t="n">
        <x:v>10639618</x:v>
      </x:c>
      <x:c r="F492" s="47" t="n">
        <x:f>D492-E492</x:f>
        <x:v>-3368402</x:v>
      </x:c>
      <x:c r="G492" s="49" t="n">
        <x:v>5</x:v>
      </x:c>
      <x:c r="H492" s="49" t="n">
        <x:v>19</x:v>
      </x:c>
      <x:c r="I492" s="47" t="n">
        <x:v>-3534802</x:v>
      </x:c>
      <x:c r="J492" s="49" t="n">
        <x:v>1367</x:v>
      </x:c>
      <x:c r="K492" s="47" t="n">
        <x:v>-493844</x:v>
      </x:c>
      <x:c r="L492" s="47" t="n">
        <x:v>187710.42105263157</x:v>
      </x:c>
      <x:c r="M492" s="48" t="n">
        <x:v>3.4909722222222226</x:v>
      </x:c>
      <x:c r="N492" s="48" t="n">
        <x:v>346.8951388888889</x:v>
      </x:c>
      <x:c r="O492" s="49" t="n">
        <x:v>10</x:v>
      </x:c>
      <x:c r="P492" s="1" t="str">
        <x:v>基準併用：追従と反発を状態で選択・標準</x:v>
      </x:c>
      <x:c r="Q492" s="49" t="n">
        <x:v>0</x:v>
      </x:c>
      <x:c r="R492" s="50" t="n">
        <x:v>0.8259408068783068</x:v>
      </x:c>
      <x:c r="S492" s="50" t="n">
        <x:v>0.825940806878307</x:v>
      </x:c>
      <x:c r="T492" s="1" t="str">
        <x:v>デイ</x:v>
      </x:c>
      <x:c r="U492" s="49" t="n">
        <x:v>24</x:v>
      </x:c>
    </x:row>
    <x:row r="493" ht="22" customHeight="1">
      <x:c r="A493" s="1" t="str">
        <x:v>日経mini</x:v>
      </x:c>
      <x:c r="B493" s="1" t="str">
        <x:v>K11</x:v>
      </x:c>
      <x:c r="C493" s="1" t="str">
        <x:v>対照47場</x:v>
      </x:c>
      <x:c r="D493" s="47" t="n">
        <x:v>5903364</x:v>
      </x:c>
      <x:c r="E493" s="47" t="n">
        <x:v>8709000</x:v>
      </x:c>
      <x:c r="F493" s="47" t="n">
        <x:f>D493-E493</x:f>
        <x:v>-2805636</x:v>
      </x:c>
      <x:c r="G493" s="49" t="n">
        <x:v>5</x:v>
      </x:c>
      <x:c r="H493" s="49" t="n">
        <x:v>18</x:v>
      </x:c>
      <x:c r="I493" s="47" t="n">
        <x:v>-3183838</x:v>
      </x:c>
      <x:c r="J493" s="49" t="n">
        <x:v>1233</x:v>
      </x:c>
      <x:c r="K493" s="47" t="n">
        <x:v>-366070</x:v>
      </x:c>
      <x:c r="L493" s="47" t="n">
        <x:v>177077.22222222222</x:v>
      </x:c>
      <x:c r="M493" s="48" t="n">
        <x:v>3.4014492753623187</x:v>
      </x:c>
      <x:c r="N493" s="48" t="n">
        <x:v>487.1565217391304</x:v>
      </x:c>
      <x:c r="O493" s="49" t="n">
        <x:v>10</x:v>
      </x:c>
      <x:c r="P493" s="1" t="str">
        <x:v>基準併用：追従と反発を状態で選択・標準</x:v>
      </x:c>
      <x:c r="Q493" s="49" t="n">
        <x:v>0</x:v>
      </x:c>
      <x:c r="R493" s="50" t="n">
        <x:v>0.6245596432552954</x:v>
      </x:c>
      <x:c r="S493" s="50" t="n">
        <x:v>0.6245596432552954</x:v>
      </x:c>
      <x:c r="T493" s="1" t="str">
        <x:v>ナイト</x:v>
      </x:c>
      <x:c r="U493" s="49" t="n">
        <x:v>23</x:v>
      </x:c>
    </x:row>
    <x:row r="494" ht="22" customHeight="1">
      <x:c r="A494" s="1" t="str">
        <x:v>日経mini</x:v>
      </x:c>
      <x:c r="B494" s="1" t="str">
        <x:v>K11</x:v>
      </x:c>
      <x:c r="C494" s="1" t="str">
        <x:v>対照47場</x:v>
      </x:c>
      <x:c r="D494" s="47" t="n">
        <x:v>6171088</x:v>
      </x:c>
      <x:c r="E494" s="47" t="n">
        <x:v>8825686</x:v>
      </x:c>
      <x:c r="F494" s="47" t="n">
        <x:f>D494-E494</x:f>
        <x:v>-2654598</x:v>
      </x:c>
      <x:c r="G494" s="49" t="n">
        <x:v>5</x:v>
      </x:c>
      <x:c r="H494" s="49" t="n">
        <x:v>17</x:v>
      </x:c>
      <x:c r="I494" s="47" t="n">
        <x:v>-2958864</x:v>
      </x:c>
      <x:c r="J494" s="49" t="n">
        <x:v>1213</x:v>
      </x:c>
      <x:c r="K494" s="47" t="n">
        <x:v>-422160</x:v>
      </x:c>
      <x:c r="L494" s="47" t="n">
        <x:v>174951.5294117647</x:v>
      </x:c>
      <x:c r="M494" s="48" t="n">
        <x:v>3.4257575757575767</x:v>
      </x:c>
      <x:c r="N494" s="48" t="n">
        <x:v>423.7613636363636</x:v>
      </x:c>
      <x:c r="O494" s="49" t="n">
        <x:v>10</x:v>
      </x:c>
      <x:c r="P494" s="1" t="str">
        <x:v>基準併用：追従と反発を状態で選択・標準</x:v>
      </x:c>
      <x:c r="Q494" s="49" t="n">
        <x:v>0</x:v>
      </x:c>
      <x:c r="R494" s="50" t="n">
        <x:v>0.7137475024975026</x:v>
      </x:c>
      <x:c r="S494" s="50" t="n">
        <x:v>0.6875184365781711</x:v>
      </x:c>
      <x:c r="T494" s="1" t="str">
        <x:v>上昇</x:v>
      </x:c>
      <x:c r="U494" s="49" t="n">
        <x:v>22</x:v>
      </x:c>
    </x:row>
    <x:row r="495" ht="22" customHeight="1">
      <x:c r="A495" s="1" t="str">
        <x:v>日経mini</x:v>
      </x:c>
      <x:c r="B495" s="1" t="str">
        <x:v>K11</x:v>
      </x:c>
      <x:c r="C495" s="1" t="str">
        <x:v>対照47場</x:v>
      </x:c>
      <x:c r="D495" s="47" t="n">
        <x:v>7003492</x:v>
      </x:c>
      <x:c r="E495" s="47" t="n">
        <x:v>10522932</x:v>
      </x:c>
      <x:c r="F495" s="47" t="n">
        <x:f>D495-E495</x:f>
        <x:v>-3519440</x:v>
      </x:c>
      <x:c r="G495" s="49" t="n">
        <x:v>5</x:v>
      </x:c>
      <x:c r="H495" s="49" t="n">
        <x:v>20</x:v>
      </x:c>
      <x:c r="I495" s="47" t="n">
        <x:v>-3759776</x:v>
      </x:c>
      <x:c r="J495" s="49" t="n">
        <x:v>1387</x:v>
      </x:c>
      <x:c r="K495" s="47" t="n">
        <x:v>-493844</x:v>
      </x:c>
      <x:c r="L495" s="47" t="n">
        <x:v>188985.6</x:v>
      </x:c>
      <x:c r="M495" s="48" t="n">
        <x:v>3.466</x:v>
      </x:c>
      <x:c r="N495" s="48" t="n">
        <x:v>408.29333333333335</x:v>
      </x:c>
      <x:c r="O495" s="49" t="n">
        <x:v>10</x:v>
      </x:c>
      <x:c r="P495" s="1" t="str">
        <x:v>基準併用：追従と反発を状態で選択・標準</x:v>
      </x:c>
      <x:c r="Q495" s="49" t="n">
        <x:v>0</x:v>
      </x:c>
      <x:c r="R495" s="50" t="n">
        <x:v>0.7394002442002442</x:v>
      </x:c>
      <x:c r="S495" s="50" t="n">
        <x:v>0.705901337021669</x:v>
      </x:c>
      <x:c r="T495" s="1" t="str">
        <x:v>下落</x:v>
      </x:c>
      <x:c r="U495" s="49" t="n">
        <x:v>25</x:v>
      </x:c>
    </x:row>
    <x:row r="496" ht="22" customHeight="1">
      <x:c r="A496" s="1" t="str">
        <x:v>日経mini</x:v>
      </x:c>
      <x:c r="B496" s="1" t="str">
        <x:v>K11</x:v>
      </x:c>
      <x:c r="C496" s="1" t="str">
        <x:v>診断3場</x:v>
      </x:c>
      <x:c r="D496" s="47" t="n">
        <x:v>739958</x:v>
      </x:c>
      <x:c r="E496" s="47" t="n">
        <x:v>1605858</x:v>
      </x:c>
      <x:c r="F496" s="47" t="n">
        <x:f>D496-E496</x:f>
        <x:v>-865900</x:v>
      </x:c>
      <x:c r="G496" s="49" t="n">
        <x:v>0</x:v>
      </x:c>
      <x:c r="H496" s="49" t="n">
        <x:v>3</x:v>
      </x:c>
      <x:c r="I496" s="47" t="n">
        <x:v>-865900</x:v>
      </x:c>
      <x:c r="J496" s="49" t="n">
        <x:v>220</x:v>
      </x:c>
      <x:c r="K496" s="47" t="n">
        <x:v>-430918</x:v>
      </x:c>
      <x:c r="L496" s="47" t="n">
        <x:v>288633.3333333333</x:v>
      </x:c>
      <x:c r="M496" s="48" t="n">
        <x:v>3.0888888888888886</x:v>
      </x:c>
      <x:c r="N496" s="48" t="n">
        <x:v>454.0277777777778</x:v>
      </x:c>
      <x:c r="O496" s="49" t="n">
        <x:v>10</x:v>
      </x:c>
      <x:c r="P496" s="1" t="str">
        <x:v>基準併用：追従と反発を状態で選択・標準</x:v>
      </x:c>
      <x:c r="Q496" s="49" t="n">
        <x:v>0</x:v>
      </x:c>
      <x:c r="R496" s="50" t="n">
        <x:v>0.7063481888481888</x:v>
      </x:c>
      <x:c r="S496" s="50" t="n">
        <x:v>0.6879208754208755</x:v>
      </x:c>
      <x:c r="T496" s="1" t="str">
        <x:v>全場</x:v>
      </x:c>
      <x:c r="U496" s="49" t="n">
        <x:v>3</x:v>
      </x:c>
    </x:row>
    <x:row r="497" ht="22" customHeight="1">
      <x:c r="A497" s="1" t="str">
        <x:v>日経mini</x:v>
      </x:c>
      <x:c r="B497" s="1" t="str">
        <x:v>K11</x:v>
      </x:c>
      <x:c r="C497" s="1" t="str">
        <x:v>診断3場</x:v>
      </x:c>
      <x:c r="D497" s="47" t="n">
        <x:v>149930</x:v>
      </x:c>
      <x:c r="E497" s="47" t="n">
        <x:v>580848</x:v>
      </x:c>
      <x:c r="F497" s="47" t="n">
        <x:f>D497-E497</x:f>
        <x:v>-430918</x:v>
      </x:c>
      <x:c r="G497" s="49" t="n">
        <x:v>0</x:v>
      </x:c>
      <x:c r="H497" s="49" t="n">
        <x:v>1</x:v>
      </x:c>
      <x:c r="I497" s="47" t="n">
        <x:v>-430918</x:v>
      </x:c>
      <x:c r="J497" s="49" t="n">
        <x:v>77</x:v>
      </x:c>
      <x:c r="K497" s="47" t="n">
        <x:v>-430918</x:v>
      </x:c>
      <x:c r="L497" s="47" t="n">
        <x:v>430918</x:v>
      </x:c>
      <x:c r="M497" s="48" t="n">
        <x:v>2.716666666666667</x:v>
      </x:c>
      <x:c r="N497" s="48" t="n">
        <x:v>339.23333333333335</x:v>
      </x:c>
      <x:c r="O497" s="49" t="n">
        <x:v>7</x:v>
      </x:c>
      <x:c r="P497" s="1" t="str">
        <x:v>基準併用：追従と反発を状態で選択・標準</x:v>
      </x:c>
      <x:c r="Q497" s="49" t="n">
        <x:v>0</x:v>
      </x:c>
      <x:c r="R497" s="50" t="n">
        <x:v>0.8076984126984127</x:v>
      </x:c>
      <x:c r="S497" s="50" t="n">
        <x:v>0.8076984126984127</x:v>
      </x:c>
      <x:c r="T497" s="1" t="str">
        <x:v>デイ</x:v>
      </x:c>
      <x:c r="U497" s="49" t="n">
        <x:v>1</x:v>
      </x:c>
    </x:row>
    <x:row r="498" ht="22" customHeight="1">
      <x:c r="A498" s="1" t="str">
        <x:v>日経mini</x:v>
      </x:c>
      <x:c r="B498" s="1" t="str">
        <x:v>K11</x:v>
      </x:c>
      <x:c r="C498" s="1" t="str">
        <x:v>診断3場</x:v>
      </x:c>
      <x:c r="D498" s="47" t="n">
        <x:v>590028</x:v>
      </x:c>
      <x:c r="E498" s="47" t="n">
        <x:v>1025010</x:v>
      </x:c>
      <x:c r="F498" s="47" t="n">
        <x:f>D498-E498</x:f>
        <x:v>-434982</x:v>
      </x:c>
      <x:c r="G498" s="49" t="n">
        <x:v>0</x:v>
      </x:c>
      <x:c r="H498" s="49" t="n">
        <x:v>2</x:v>
      </x:c>
      <x:c r="I498" s="47" t="n">
        <x:v>-434982</x:v>
      </x:c>
      <x:c r="J498" s="49" t="n">
        <x:v>143</x:v>
      </x:c>
      <x:c r="K498" s="47" t="n">
        <x:v>-223838</x:v>
      </x:c>
      <x:c r="L498" s="47" t="n">
        <x:v>217491</x:v>
      </x:c>
      <x:c r="M498" s="48" t="n">
        <x:v>3.275</x:v>
      </x:c>
      <x:c r="N498" s="48" t="n">
        <x:v>511.425</x:v>
      </x:c>
      <x:c r="O498" s="49" t="n">
        <x:v>10</x:v>
      </x:c>
      <x:c r="P498" s="1" t="str">
        <x:v>基準併用：追従と反発を状態で選択・標準</x:v>
      </x:c>
      <x:c r="Q498" s="49" t="n">
        <x:v>0</x:v>
      </x:c>
      <x:c r="R498" s="50" t="n">
        <x:v>0.655673076923077</x:v>
      </x:c>
      <x:c r="S498" s="50" t="n">
        <x:v>0.655673076923077</x:v>
      </x:c>
      <x:c r="T498" s="1" t="str">
        <x:v>ナイト</x:v>
      </x:c>
      <x:c r="U498" s="49" t="n">
        <x:v>2</x:v>
      </x:c>
    </x:row>
    <x:row r="499" ht="22" customHeight="1">
      <x:c r="A499" s="1" t="str">
        <x:v>日経mini</x:v>
      </x:c>
      <x:c r="B499" s="1" t="str">
        <x:v>K11</x:v>
      </x:c>
      <x:c r="C499" s="1" t="str">
        <x:v>診断3場</x:v>
      </x:c>
      <x:c r="D499" s="47" t="n">
        <x:v>363482</x:v>
      </x:c>
      <x:c r="E499" s="47" t="n">
        <x:v>1018238</x:v>
      </x:c>
      <x:c r="F499" s="47" t="n">
        <x:f>D499-E499</x:f>
        <x:v>-654756</x:v>
      </x:c>
      <x:c r="G499" s="49" t="n">
        <x:v>0</x:v>
      </x:c>
      <x:c r="H499" s="49" t="n">
        <x:v>2</x:v>
      </x:c>
      <x:c r="I499" s="47" t="n">
        <x:v>-654756</x:v>
      </x:c>
      <x:c r="J499" s="49" t="n">
        <x:v>141</x:v>
      </x:c>
      <x:c r="K499" s="47" t="n">
        <x:v>-430918</x:v>
      </x:c>
      <x:c r="L499" s="47" t="n">
        <x:v>327378</x:v>
      </x:c>
      <x:c r="M499" s="48" t="n">
        <x:v>2.5</x:v>
      </x:c>
      <x:c r="N499" s="48" t="n">
        <x:v>421.1166666666667</x:v>
      </x:c>
      <x:c r="O499" s="49" t="n">
        <x:v>9</x:v>
      </x:c>
      <x:c r="P499" s="1" t="str">
        <x:v>基準併用：追従と反発を状態で選択・標準</x:v>
      </x:c>
      <x:c r="Q499" s="49" t="n">
        <x:v>0</x:v>
      </x:c>
      <x:c r="R499" s="50" t="n">
        <x:v>0.7262851037851038</x:v>
      </x:c>
      <x:c r="S499" s="50" t="n">
        <x:v>0.7018611111111112</x:v>
      </x:c>
      <x:c r="T499" s="1" t="str">
        <x:v>上昇</x:v>
      </x:c>
      <x:c r="U499" s="49" t="n">
        <x:v>2</x:v>
      </x:c>
    </x:row>
    <x:row r="500" ht="22" customHeight="1">
      <x:c r="A500" s="1" t="str">
        <x:v>日経mini</x:v>
      </x:c>
      <x:c r="B500" s="1" t="str">
        <x:v>K11</x:v>
      </x:c>
      <x:c r="C500" s="1" t="str">
        <x:v>診断3場</x:v>
      </x:c>
      <x:c r="D500" s="47" t="n">
        <x:v>376476</x:v>
      </x:c>
      <x:c r="E500" s="47" t="n">
        <x:v>587620</x:v>
      </x:c>
      <x:c r="F500" s="47" t="n">
        <x:f>D500-E500</x:f>
        <x:v>-211144</x:v>
      </x:c>
      <x:c r="G500" s="49" t="n">
        <x:v>0</x:v>
      </x:c>
      <x:c r="H500" s="49" t="n">
        <x:v>1</x:v>
      </x:c>
      <x:c r="I500" s="47" t="n">
        <x:v>-211144</x:v>
      </x:c>
      <x:c r="J500" s="49" t="n">
        <x:v>79</x:v>
      </x:c>
      <x:c r="K500" s="47" t="n">
        <x:v>-211144</x:v>
      </x:c>
      <x:c r="L500" s="47" t="n">
        <x:v>211144</x:v>
      </x:c>
      <x:c r="M500" s="48" t="n">
        <x:v>4.266666666666667</x:v>
      </x:c>
      <x:c r="N500" s="48" t="n">
        <x:v>519.85</x:v>
      </x:c>
      <x:c r="O500" s="49" t="n">
        <x:v>10</x:v>
      </x:c>
      <x:c r="P500" s="1" t="str">
        <x:v>基準併用：追従と反発を状態で選択・標準</x:v>
      </x:c>
      <x:c r="Q500" s="49" t="n">
        <x:v>0</x:v>
      </x:c>
      <x:c r="R500" s="50" t="n">
        <x:v>0.666474358974359</x:v>
      </x:c>
      <x:c r="S500" s="50" t="n">
        <x:v>0.666474358974359</x:v>
      </x:c>
      <x:c r="T500" s="1" t="str">
        <x:v>下落</x:v>
      </x:c>
      <x:c r="U500" s="49" t="n">
        <x:v>1</x:v>
      </x:c>
    </x:row>
    <x:row r="501" ht="22" customHeight="1">
      <x:c r="A501" s="1" t="str">
        <x:v>日経mini</x:v>
      </x:c>
      <x:c r="B501" s="1" t="str">
        <x:v>K12</x:v>
      </x:c>
      <x:c r="C501" s="1" t="str">
        <x:v>全50場</x:v>
      </x:c>
      <x:c r="D501" s="47" t="n">
        <x:v>13830162</x:v>
      </x:c>
      <x:c r="E501" s="47" t="n">
        <x:v>19779024</x:v>
      </x:c>
      <x:c r="F501" s="47" t="n">
        <x:f>D501-E501</x:f>
        <x:v>-5948862</x:v>
      </x:c>
      <x:c r="G501" s="49" t="n">
        <x:v>10</x:v>
      </x:c>
      <x:c r="H501" s="49" t="n">
        <x:v>40</x:v>
      </x:c>
      <x:c r="I501" s="47" t="n">
        <x:v>-6494638</x:v>
      </x:c>
      <x:c r="J501" s="49" t="n">
        <x:v>2380</x:v>
      </x:c>
      <x:c r="K501" s="47" t="n">
        <x:v>-489238</x:v>
      </x:c>
      <x:c r="L501" s="47" t="n">
        <x:v>170512.2</x:v>
      </x:c>
      <x:c r="M501" s="48" t="n">
        <x:v>3.4256666666666673</x:v>
      </x:c>
      <x:c r="N501" s="48" t="n">
        <x:v>472.53666666666663</x:v>
      </x:c>
      <x:c r="O501" s="49" t="n">
        <x:v>10</x:v>
      </x:c>
      <x:c r="P501" s="1" t="str">
        <x:v>基準併用：追従と反発を状態で選択・広め</x:v>
      </x:c>
      <x:c r="Q501" s="49" t="n">
        <x:v>0</x:v>
      </x:c>
      <x:c r="R501" s="50" t="n">
        <x:v>0.8042056166056166</x:v>
      </x:c>
      <x:c r="S501" s="50" t="n">
        <x:v>0.787561111111111</x:v>
      </x:c>
      <x:c r="T501" s="1" t="str">
        <x:v>全場</x:v>
      </x:c>
      <x:c r="U501" s="49" t="n">
        <x:v>50</x:v>
      </x:c>
    </x:row>
    <x:row r="502" ht="22" customHeight="1">
      <x:c r="A502" s="1" t="str">
        <x:v>日経mini</x:v>
      </x:c>
      <x:c r="B502" s="1" t="str">
        <x:v>K12</x:v>
      </x:c>
      <x:c r="C502" s="1" t="str">
        <x:v>全50場</x:v>
      </x:c>
      <x:c r="D502" s="47" t="n">
        <x:v>7259138</x:v>
      </x:c>
      <x:c r="E502" s="47" t="n">
        <x:v>10712260</x:v>
      </x:c>
      <x:c r="F502" s="47" t="n">
        <x:f>D502-E502</x:f>
        <x:v>-3453122</x:v>
      </x:c>
      <x:c r="G502" s="49" t="n">
        <x:v>4</x:v>
      </x:c>
      <x:c r="H502" s="49" t="n">
        <x:v>21</x:v>
      </x:c>
      <x:c r="I502" s="47" t="n">
        <x:v>-3727576</x:v>
      </x:c>
      <x:c r="J502" s="49" t="n">
        <x:v>1268</x:v>
      </x:c>
      <x:c r="K502" s="47" t="n">
        <x:v>-489238</x:v>
      </x:c>
      <x:c r="L502" s="47" t="n">
        <x:v>180115.2380952381</x:v>
      </x:c>
      <x:c r="M502" s="48" t="n">
        <x:v>3.4600000000000004</x:v>
      </x:c>
      <x:c r="N502" s="48" t="n">
        <x:v>361.0686666666667</x:v>
      </x:c>
      <x:c r="O502" s="49" t="n">
        <x:v>10</x:v>
      </x:c>
      <x:c r="P502" s="1" t="str">
        <x:v>基準併用：追従と反発を状態で選択・広め</x:v>
      </x:c>
      <x:c r="Q502" s="49" t="n">
        <x:v>0</x:v>
      </x:c>
      <x:c r="R502" s="50" t="n">
        <x:v>0.8596873015873016</x:v>
      </x:c>
      <x:c r="S502" s="50" t="n">
        <x:v>0.8596873015873017</x:v>
      </x:c>
      <x:c r="T502" s="1" t="str">
        <x:v>デイ</x:v>
      </x:c>
      <x:c r="U502" s="49" t="n">
        <x:v>25</x:v>
      </x:c>
    </x:row>
    <x:row r="503" ht="22" customHeight="1">
      <x:c r="A503" s="1" t="str">
        <x:v>日経mini</x:v>
      </x:c>
      <x:c r="B503" s="1" t="str">
        <x:v>K12</x:v>
      </x:c>
      <x:c r="C503" s="1" t="str">
        <x:v>全50場</x:v>
      </x:c>
      <x:c r="D503" s="47" t="n">
        <x:v>6571024</x:v>
      </x:c>
      <x:c r="E503" s="47" t="n">
        <x:v>9066764</x:v>
      </x:c>
      <x:c r="F503" s="47" t="n">
        <x:f>D503-E503</x:f>
        <x:v>-2495740</x:v>
      </x:c>
      <x:c r="G503" s="49" t="n">
        <x:v>6</x:v>
      </x:c>
      <x:c r="H503" s="49" t="n">
        <x:v>19</x:v>
      </x:c>
      <x:c r="I503" s="47" t="n">
        <x:v>-3004060</x:v>
      </x:c>
      <x:c r="J503" s="49" t="n">
        <x:v>1112</x:v>
      </x:c>
      <x:c r="K503" s="47" t="n">
        <x:v>-351150</x:v>
      </x:c>
      <x:c r="L503" s="47" t="n">
        <x:v>159898.31578947368</x:v>
      </x:c>
      <x:c r="M503" s="48" t="n">
        <x:v>3.3913333333333333</x:v>
      </x:c>
      <x:c r="N503" s="48" t="n">
        <x:v>584.0046666666666</x:v>
      </x:c>
      <x:c r="O503" s="49" t="n">
        <x:v>10</x:v>
      </x:c>
      <x:c r="P503" s="1" t="str">
        <x:v>基準併用：追従と反発を状態で選択・広め</x:v>
      </x:c>
      <x:c r="Q503" s="49" t="n">
        <x:v>0</x:v>
      </x:c>
      <x:c r="R503" s="50" t="n">
        <x:v>0.7487239316239317</x:v>
      </x:c>
      <x:c r="S503" s="50" t="n">
        <x:v>0.7487239316239316</x:v>
      </x:c>
      <x:c r="T503" s="1" t="str">
        <x:v>ナイト</x:v>
      </x:c>
      <x:c r="U503" s="49" t="n">
        <x:v>25</x:v>
      </x:c>
    </x:row>
    <x:row r="504" ht="22" customHeight="1">
      <x:c r="A504" s="1" t="str">
        <x:v>日経mini</x:v>
      </x:c>
      <x:c r="B504" s="1" t="str">
        <x:v>K12</x:v>
      </x:c>
      <x:c r="C504" s="1" t="str">
        <x:v>全50場</x:v>
      </x:c>
      <x:c r="D504" s="47" t="n">
        <x:v>6617842</x:v>
      </x:c>
      <x:c r="E504" s="47" t="n">
        <x:v>9564316</x:v>
      </x:c>
      <x:c r="F504" s="47" t="n">
        <x:f>D504-E504</x:f>
        <x:v>-2946474</x:v>
      </x:c>
      <x:c r="G504" s="49" t="n">
        <x:v>6</x:v>
      </x:c>
      <x:c r="H504" s="49" t="n">
        <x:v>18</x:v>
      </x:c>
      <x:c r="I504" s="47" t="n">
        <x:v>-3288938</x:v>
      </x:c>
      <x:c r="J504" s="49" t="n">
        <x:v>1140</x:v>
      </x:c>
      <x:c r="K504" s="47" t="n">
        <x:v>-489238</x:v>
      </x:c>
      <x:c r="L504" s="47" t="n">
        <x:v>187608</x:v>
      </x:c>
      <x:c r="M504" s="48" t="n">
        <x:v>3.3486111111111114</x:v>
      </x:c>
      <x:c r="N504" s="48" t="n">
        <x:v>480.31111111111113</x:v>
      </x:c>
      <x:c r="O504" s="49" t="n">
        <x:v>10</x:v>
      </x:c>
      <x:c r="P504" s="1" t="str">
        <x:v>基準併用：追従と反発を状態で選択・広め</x:v>
      </x:c>
      <x:c r="Q504" s="49" t="n">
        <x:v>0</x:v>
      </x:c>
      <x:c r="R504" s="50" t="n">
        <x:v>0.7922212047212046</x:v>
      </x:c>
      <x:c r="S504" s="50" t="n">
        <x:v>0.7809936766034328</x:v>
      </x:c>
      <x:c r="T504" s="1" t="str">
        <x:v>上昇</x:v>
      </x:c>
      <x:c r="U504" s="49" t="n">
        <x:v>24</x:v>
      </x:c>
    </x:row>
    <x:row r="505" ht="22" customHeight="1">
      <x:c r="A505" s="1" t="str">
        <x:v>日経mini</x:v>
      </x:c>
      <x:c r="B505" s="1" t="str">
        <x:v>K12</x:v>
      </x:c>
      <x:c r="C505" s="1" t="str">
        <x:v>全50場</x:v>
      </x:c>
      <x:c r="D505" s="47" t="n">
        <x:v>7212320</x:v>
      </x:c>
      <x:c r="E505" s="47" t="n">
        <x:v>10214708</x:v>
      </x:c>
      <x:c r="F505" s="47" t="n">
        <x:f>D505-E505</x:f>
        <x:v>-3002388</x:v>
      </x:c>
      <x:c r="G505" s="49" t="n">
        <x:v>4</x:v>
      </x:c>
      <x:c r="H505" s="49" t="n">
        <x:v>22</x:v>
      </x:c>
      <x:c r="I505" s="47" t="n">
        <x:v>-3436850</x:v>
      </x:c>
      <x:c r="J505" s="49" t="n">
        <x:v>1240</x:v>
      </x:c>
      <x:c r="K505" s="47" t="n">
        <x:v>-443008</x:v>
      </x:c>
      <x:c r="L505" s="47" t="n">
        <x:v>156524.72727272726</x:v>
      </x:c>
      <x:c r="M505" s="48" t="n">
        <x:v>3.496794871794872</x:v>
      </x:c>
      <x:c r="N505" s="48" t="n">
        <x:v>465.3602564102564</x:v>
      </x:c>
      <x:c r="O505" s="49" t="n">
        <x:v>10</x:v>
      </x:c>
      <x:c r="P505" s="1" t="str">
        <x:v>基準併用：追従と反発を状態で選択・広め</x:v>
      </x:c>
      <x:c r="Q505" s="49" t="n">
        <x:v>0</x:v>
      </x:c>
      <x:c r="R505" s="50" t="n">
        <x:v>0.8152681506527661</x:v>
      </x:c>
      <x:c r="S505" s="50" t="n">
        <x:v>0.793921697287839</x:v>
      </x:c>
      <x:c r="T505" s="1" t="str">
        <x:v>下落</x:v>
      </x:c>
      <x:c r="U505" s="49" t="n">
        <x:v>26</x:v>
      </x:c>
    </x:row>
    <x:row r="506" ht="22" customHeight="1">
      <x:c r="A506" s="1" t="str">
        <x:v>日経mini</x:v>
      </x:c>
      <x:c r="B506" s="1" t="str">
        <x:v>K12</x:v>
      </x:c>
      <x:c r="C506" s="1" t="str">
        <x:v>対照47場</x:v>
      </x:c>
      <x:c r="D506" s="47" t="n">
        <x:v>12999462</x:v>
      </x:c>
      <x:c r="E506" s="47" t="n">
        <x:v>18165930</x:v>
      </x:c>
      <x:c r="F506" s="47" t="n">
        <x:f>D506-E506</x:f>
        <x:v>-5166468</x:v>
      </x:c>
      <x:c r="G506" s="49" t="n">
        <x:v>10</x:v>
      </x:c>
      <x:c r="H506" s="49" t="n">
        <x:v>37</x:v>
      </x:c>
      <x:c r="I506" s="47" t="n">
        <x:v>-5712244</x:v>
      </x:c>
      <x:c r="J506" s="49" t="n">
        <x:v>2201</x:v>
      </x:c>
      <x:c r="K506" s="47" t="n">
        <x:v>-489238</x:v>
      </x:c>
      <x:c r="L506" s="47" t="n">
        <x:v>163191.72972972973</x:v>
      </x:c>
      <x:c r="M506" s="48" t="n">
        <x:v>3.4471631205673763</x:v>
      </x:c>
      <x:c r="N506" s="48" t="n">
        <x:v>471.03262411347526</x:v>
      </x:c>
      <x:c r="O506" s="49" t="n">
        <x:v>10</x:v>
      </x:c>
      <x:c r="P506" s="1" t="str">
        <x:v>基準併用：追従と反発を状態で選択・広め</x:v>
      </x:c>
      <x:c r="Q506" s="49" t="n">
        <x:v>0</x:v>
      </x:c>
      <x:c r="R506" s="50" t="n">
        <x:v>0.8069878939027877</x:v>
      </x:c>
      <x:c r="S506" s="50" t="n">
        <x:v>0.7900975493694979</x:v>
      </x:c>
      <x:c r="T506" s="1" t="str">
        <x:v>全場</x:v>
      </x:c>
      <x:c r="U506" s="49" t="n">
        <x:v>47</x:v>
      </x:c>
    </x:row>
    <x:row r="507" ht="22" customHeight="1">
      <x:c r="A507" s="1" t="str">
        <x:v>日経mini</x:v>
      </x:c>
      <x:c r="B507" s="1" t="str">
        <x:v>K12</x:v>
      </x:c>
      <x:c r="C507" s="1" t="str">
        <x:v>対照47場</x:v>
      </x:c>
      <x:c r="D507" s="47" t="n">
        <x:v>6969756</x:v>
      </x:c>
      <x:c r="E507" s="47" t="n">
        <x:v>10100100</x:v>
      </x:c>
      <x:c r="F507" s="47" t="n">
        <x:f>D507-E507</x:f>
        <x:v>-3130344</x:v>
      </x:c>
      <x:c r="G507" s="49" t="n">
        <x:v>4</x:v>
      </x:c>
      <x:c r="H507" s="49" t="n">
        <x:v>20</x:v>
      </x:c>
      <x:c r="I507" s="47" t="n">
        <x:v>-3404798</x:v>
      </x:c>
      <x:c r="J507" s="49" t="n">
        <x:v>1206</x:v>
      </x:c>
      <x:c r="K507" s="47" t="n">
        <x:v>-489238</x:v>
      </x:c>
      <x:c r="L507" s="47" t="n">
        <x:v>172982.1</x:v>
      </x:c>
      <x:c r="M507" s="48" t="n">
        <x:v>3.4909722222222226</x:v>
      </x:c>
      <x:c r="N507" s="48" t="n">
        <x:v>361.94097222222223</x:v>
      </x:c>
      <x:c r="O507" s="49" t="n">
        <x:v>10</x:v>
      </x:c>
      <x:c r="P507" s="1" t="str">
        <x:v>基準併用：追従と反発を状態で選択・広め</x:v>
      </x:c>
      <x:c r="Q507" s="49" t="n">
        <x:v>0</x:v>
      </x:c>
      <x:c r="R507" s="50" t="n">
        <x:v>0.8617642195767196</x:v>
      </x:c>
      <x:c r="S507" s="50" t="n">
        <x:v>0.8617642195767197</x:v>
      </x:c>
      <x:c r="T507" s="1" t="str">
        <x:v>デイ</x:v>
      </x:c>
      <x:c r="U507" s="49" t="n">
        <x:v>24</x:v>
      </x:c>
    </x:row>
    <x:row r="508" ht="22" customHeight="1">
      <x:c r="A508" s="1" t="str">
        <x:v>日経mini</x:v>
      </x:c>
      <x:c r="B508" s="1" t="str">
        <x:v>K12</x:v>
      </x:c>
      <x:c r="C508" s="1" t="str">
        <x:v>対照47場</x:v>
      </x:c>
      <x:c r="D508" s="47" t="n">
        <x:v>6029706</x:v>
      </x:c>
      <x:c r="E508" s="47" t="n">
        <x:v>8065830</x:v>
      </x:c>
      <x:c r="F508" s="47" t="n">
        <x:f>D508-E508</x:f>
        <x:v>-2036124</x:v>
      </x:c>
      <x:c r="G508" s="49" t="n">
        <x:v>6</x:v>
      </x:c>
      <x:c r="H508" s="49" t="n">
        <x:v>17</x:v>
      </x:c>
      <x:c r="I508" s="47" t="n">
        <x:v>-2544444</x:v>
      </x:c>
      <x:c r="J508" s="49" t="n">
        <x:v>995</x:v>
      </x:c>
      <x:c r="K508" s="47" t="n">
        <x:v>-351150</x:v>
      </x:c>
      <x:c r="L508" s="47" t="n">
        <x:v>151673.64705882352</x:v>
      </x:c>
      <x:c r="M508" s="48" t="n">
        <x:v>3.4014492753623187</x:v>
      </x:c>
      <x:c r="N508" s="48" t="n">
        <x:v>584.8673913043478</x:v>
      </x:c>
      <x:c r="O508" s="49" t="n">
        <x:v>10</x:v>
      </x:c>
      <x:c r="P508" s="1" t="str">
        <x:v>基準併用：追従と反発を状態で選択・広め</x:v>
      </x:c>
      <x:c r="Q508" s="49" t="n">
        <x:v>0</x:v>
      </x:c>
      <x:c r="R508" s="50" t="n">
        <x:v>0.7498299888517279</x:v>
      </x:c>
      <x:c r="S508" s="50" t="n">
        <x:v>0.749829988851728</x:v>
      </x:c>
      <x:c r="T508" s="1" t="str">
        <x:v>ナイト</x:v>
      </x:c>
      <x:c r="U508" s="49" t="n">
        <x:v>23</x:v>
      </x:c>
    </x:row>
    <x:row r="509" ht="22" customHeight="1">
      <x:c r="A509" s="1" t="str">
        <x:v>日経mini</x:v>
      </x:c>
      <x:c r="B509" s="1" t="str">
        <x:v>K12</x:v>
      </x:c>
      <x:c r="C509" s="1" t="str">
        <x:v>対照47場</x:v>
      </x:c>
      <x:c r="D509" s="47" t="n">
        <x:v>6092072</x:v>
      </x:c>
      <x:c r="E509" s="47" t="n">
        <x:v>8541074</x:v>
      </x:c>
      <x:c r="F509" s="47" t="n">
        <x:f>D509-E509</x:f>
        <x:v>-2449002</x:v>
      </x:c>
      <x:c r="G509" s="49" t="n">
        <x:v>6</x:v>
      </x:c>
      <x:c r="H509" s="49" t="n">
        <x:v>16</x:v>
      </x:c>
      <x:c r="I509" s="47" t="n">
        <x:v>-2791466</x:v>
      </x:c>
      <x:c r="J509" s="49" t="n">
        <x:v>1027</x:v>
      </x:c>
      <x:c r="K509" s="47" t="n">
        <x:v>-489238</x:v>
      </x:c>
      <x:c r="L509" s="47" t="n">
        <x:v>179967</x:v>
      </x:c>
      <x:c r="M509" s="48" t="n">
        <x:v>3.4257575757575767</x:v>
      </x:c>
      <x:c r="N509" s="48" t="n">
        <x:v>483.66212121212124</x:v>
      </x:c>
      <x:c r="O509" s="49" t="n">
        <x:v>10</x:v>
      </x:c>
      <x:c r="P509" s="1" t="str">
        <x:v>基準併用：追従と反発を状態で選択・広め</x:v>
      </x:c>
      <x:c r="Q509" s="49" t="n">
        <x:v>0</x:v>
      </x:c>
      <x:c r="R509" s="50" t="n">
        <x:v>0.795567488067488</x:v>
      </x:c>
      <x:c r="S509" s="50" t="n">
        <x:v>0.7847025565388397</x:v>
      </x:c>
      <x:c r="T509" s="1" t="str">
        <x:v>上昇</x:v>
      </x:c>
      <x:c r="U509" s="49" t="n">
        <x:v>22</x:v>
      </x:c>
    </x:row>
    <x:row r="510" ht="22" customHeight="1">
      <x:c r="A510" s="1" t="str">
        <x:v>日経mini</x:v>
      </x:c>
      <x:c r="B510" s="1" t="str">
        <x:v>K12</x:v>
      </x:c>
      <x:c r="C510" s="1" t="str">
        <x:v>対照47場</x:v>
      </x:c>
      <x:c r="D510" s="47" t="n">
        <x:v>6907390</x:v>
      </x:c>
      <x:c r="E510" s="47" t="n">
        <x:v>9624856</x:v>
      </x:c>
      <x:c r="F510" s="47" t="n">
        <x:f>D510-E510</x:f>
        <x:v>-2717466</x:v>
      </x:c>
      <x:c r="G510" s="49" t="n">
        <x:v>4</x:v>
      </x:c>
      <x:c r="H510" s="49" t="n">
        <x:v>21</x:v>
      </x:c>
      <x:c r="I510" s="47" t="n">
        <x:v>-3151928</x:v>
      </x:c>
      <x:c r="J510" s="49" t="n">
        <x:v>1174</x:v>
      </x:c>
      <x:c r="K510" s="47" t="n">
        <x:v>-443008</x:v>
      </x:c>
      <x:c r="L510" s="47" t="n">
        <x:v>150410.57142857142</x:v>
      </x:c>
      <x:c r="M510" s="48" t="n">
        <x:v>3.466</x:v>
      </x:c>
      <x:c r="N510" s="48" t="n">
        <x:v>459.9186666666667</x:v>
      </x:c>
      <x:c r="O510" s="49" t="n">
        <x:v>10</x:v>
      </x:c>
      <x:c r="P510" s="1" t="str">
        <x:v>基準併用：追従と反発を状態で選択・広め</x:v>
      </x:c>
      <x:c r="Q510" s="49" t="n">
        <x:v>0</x:v>
      </x:c>
      <x:c r="R510" s="50" t="n">
        <x:v>0.8170378510378511</x:v>
      </x:c>
      <x:c r="S510" s="50" t="n">
        <x:v>0.7951567542646382</x:v>
      </x:c>
      <x:c r="T510" s="1" t="str">
        <x:v>下落</x:v>
      </x:c>
      <x:c r="U510" s="49" t="n">
        <x:v>25</x:v>
      </x:c>
    </x:row>
    <x:row r="511" ht="22" customHeight="1">
      <x:c r="A511" s="1" t="str">
        <x:v>日経mini</x:v>
      </x:c>
      <x:c r="B511" s="1" t="str">
        <x:v>K12</x:v>
      </x:c>
      <x:c r="C511" s="1" t="str">
        <x:v>診断3場</x:v>
      </x:c>
      <x:c r="D511" s="47" t="n">
        <x:v>830700</x:v>
      </x:c>
      <x:c r="E511" s="47" t="n">
        <x:v>1613094</x:v>
      </x:c>
      <x:c r="F511" s="47" t="n">
        <x:f>D511-E511</x:f>
        <x:v>-782394</x:v>
      </x:c>
      <x:c r="G511" s="49" t="n">
        <x:v>0</x:v>
      </x:c>
      <x:c r="H511" s="49" t="n">
        <x:v>3</x:v>
      </x:c>
      <x:c r="I511" s="47" t="n">
        <x:v>-782394</x:v>
      </x:c>
      <x:c r="J511" s="49" t="n">
        <x:v>179</x:v>
      </x:c>
      <x:c r="K511" s="47" t="n">
        <x:v>-322778</x:v>
      </x:c>
      <x:c r="L511" s="47" t="n">
        <x:v>260798</x:v>
      </x:c>
      <x:c r="M511" s="48" t="n">
        <x:v>3.0888888888888886</x:v>
      </x:c>
      <x:c r="N511" s="48" t="n">
        <x:v>496.09999999999997</x:v>
      </x:c>
      <x:c r="O511" s="49" t="n">
        <x:v>10</x:v>
      </x:c>
      <x:c r="P511" s="1" t="str">
        <x:v>基準併用：追従と反発を状態で選択・広め</x:v>
      </x:c>
      <x:c r="Q511" s="49" t="n">
        <x:v>0</x:v>
      </x:c>
      <x:c r="R511" s="50" t="n">
        <x:v>0.7606166056166055</x:v>
      </x:c>
      <x:c r="S511" s="50" t="n">
        <x:v>0.7516666666666666</x:v>
      </x:c>
      <x:c r="T511" s="1" t="str">
        <x:v>全場</x:v>
      </x:c>
      <x:c r="U511" s="49" t="n">
        <x:v>3</x:v>
      </x:c>
    </x:row>
    <x:row r="512" ht="22" customHeight="1">
      <x:c r="A512" s="1" t="str">
        <x:v>日経mini</x:v>
      </x:c>
      <x:c r="B512" s="1" t="str">
        <x:v>K12</x:v>
      </x:c>
      <x:c r="C512" s="1" t="str">
        <x:v>診断3場</x:v>
      </x:c>
      <x:c r="D512" s="47" t="n">
        <x:v>289382</x:v>
      </x:c>
      <x:c r="E512" s="47" t="n">
        <x:v>612160</x:v>
      </x:c>
      <x:c r="F512" s="47" t="n">
        <x:f>D512-E512</x:f>
        <x:v>-322778</x:v>
      </x:c>
      <x:c r="G512" s="49" t="n">
        <x:v>0</x:v>
      </x:c>
      <x:c r="H512" s="49" t="n">
        <x:v>1</x:v>
      </x:c>
      <x:c r="I512" s="47" t="n">
        <x:v>-322778</x:v>
      </x:c>
      <x:c r="J512" s="49" t="n">
        <x:v>62</x:v>
      </x:c>
      <x:c r="K512" s="47" t="n">
        <x:v>-322778</x:v>
      </x:c>
      <x:c r="L512" s="47" t="n">
        <x:v>322778</x:v>
      </x:c>
      <x:c r="M512" s="48" t="n">
        <x:v>2.716666666666667</x:v>
      </x:c>
      <x:c r="N512" s="48" t="n">
        <x:v>340.1333333333333</x:v>
      </x:c>
      <x:c r="O512" s="49" t="n">
        <x:v>7</x:v>
      </x:c>
      <x:c r="P512" s="1" t="str">
        <x:v>基準併用：追従と反発を状態で選択・広め</x:v>
      </x:c>
      <x:c r="Q512" s="49" t="n">
        <x:v>0</x:v>
      </x:c>
      <x:c r="R512" s="50" t="n">
        <x:v>0.8098412698412698</x:v>
      </x:c>
      <x:c r="S512" s="50" t="n">
        <x:v>0.8098412698412698</x:v>
      </x:c>
      <x:c r="T512" s="1" t="str">
        <x:v>デイ</x:v>
      </x:c>
      <x:c r="U512" s="49" t="n">
        <x:v>1</x:v>
      </x:c>
    </x:row>
    <x:row r="513" ht="22" customHeight="1">
      <x:c r="A513" s="1" t="str">
        <x:v>日経mini</x:v>
      </x:c>
      <x:c r="B513" s="1" t="str">
        <x:v>K12</x:v>
      </x:c>
      <x:c r="C513" s="1" t="str">
        <x:v>診断3場</x:v>
      </x:c>
      <x:c r="D513" s="47" t="n">
        <x:v>541318</x:v>
      </x:c>
      <x:c r="E513" s="47" t="n">
        <x:v>1000934</x:v>
      </x:c>
      <x:c r="F513" s="47" t="n">
        <x:f>D513-E513</x:f>
        <x:v>-459616</x:v>
      </x:c>
      <x:c r="G513" s="49" t="n">
        <x:v>0</x:v>
      </x:c>
      <x:c r="H513" s="49" t="n">
        <x:v>2</x:v>
      </x:c>
      <x:c r="I513" s="47" t="n">
        <x:v>-459616</x:v>
      </x:c>
      <x:c r="J513" s="49" t="n">
        <x:v>117</x:v>
      </x:c>
      <x:c r="K513" s="47" t="n">
        <x:v>-284922</x:v>
      </x:c>
      <x:c r="L513" s="47" t="n">
        <x:v>229808</x:v>
      </x:c>
      <x:c r="M513" s="48" t="n">
        <x:v>3.275</x:v>
      </x:c>
      <x:c r="N513" s="48" t="n">
        <x:v>574.0833333333333</x:v>
      </x:c>
      <x:c r="O513" s="49" t="n">
        <x:v>10</x:v>
      </x:c>
      <x:c r="P513" s="1" t="str">
        <x:v>基準併用：追従と反発を状態で選択・広め</x:v>
      </x:c>
      <x:c r="Q513" s="49" t="n">
        <x:v>0</x:v>
      </x:c>
      <x:c r="R513" s="50" t="n">
        <x:v>0.7360042735042736</x:v>
      </x:c>
      <x:c r="S513" s="50" t="n">
        <x:v>0.7360042735042734</x:v>
      </x:c>
      <x:c r="T513" s="1" t="str">
        <x:v>ナイト</x:v>
      </x:c>
      <x:c r="U513" s="49" t="n">
        <x:v>2</x:v>
      </x:c>
    </x:row>
    <x:row r="514" ht="22" customHeight="1">
      <x:c r="A514" s="1" t="str">
        <x:v>日経mini</x:v>
      </x:c>
      <x:c r="B514" s="1" t="str">
        <x:v>K12</x:v>
      </x:c>
      <x:c r="C514" s="1" t="str">
        <x:v>診断3場</x:v>
      </x:c>
      <x:c r="D514" s="47" t="n">
        <x:v>525770</x:v>
      </x:c>
      <x:c r="E514" s="47" t="n">
        <x:v>1023242</x:v>
      </x:c>
      <x:c r="F514" s="47" t="n">
        <x:f>D514-E514</x:f>
        <x:v>-497472</x:v>
      </x:c>
      <x:c r="G514" s="49" t="n">
        <x:v>0</x:v>
      </x:c>
      <x:c r="H514" s="49" t="n">
        <x:v>2</x:v>
      </x:c>
      <x:c r="I514" s="47" t="n">
        <x:v>-497472</x:v>
      </x:c>
      <x:c r="J514" s="49" t="n">
        <x:v>113</x:v>
      </x:c>
      <x:c r="K514" s="47" t="n">
        <x:v>-322778</x:v>
      </x:c>
      <x:c r="L514" s="47" t="n">
        <x:v>248736</x:v>
      </x:c>
      <x:c r="M514" s="48" t="n">
        <x:v>2.5</x:v>
      </x:c>
      <x:c r="N514" s="48" t="n">
        <x:v>443.45</x:v>
      </x:c>
      <x:c r="O514" s="49" t="n">
        <x:v>7</x:v>
      </x:c>
      <x:c r="P514" s="1" t="str">
        <x:v>基準併用：追従と反発を状態で選択・広め</x:v>
      </x:c>
      <x:c r="Q514" s="49" t="n">
        <x:v>0</x:v>
      </x:c>
      <x:c r="R514" s="50" t="n">
        <x:v>0.7554120879120879</x:v>
      </x:c>
      <x:c r="S514" s="50" t="n">
        <x:v>0.7390833333333333</x:v>
      </x:c>
      <x:c r="T514" s="1" t="str">
        <x:v>上昇</x:v>
      </x:c>
      <x:c r="U514" s="49" t="n">
        <x:v>2</x:v>
      </x:c>
    </x:row>
    <x:row r="515" ht="22" customHeight="1">
      <x:c r="A515" s="1" t="str">
        <x:v>日経mini</x:v>
      </x:c>
      <x:c r="B515" s="1" t="str">
        <x:v>K12</x:v>
      </x:c>
      <x:c r="C515" s="1" t="str">
        <x:v>診断3場</x:v>
      </x:c>
      <x:c r="D515" s="47" t="n">
        <x:v>304930</x:v>
      </x:c>
      <x:c r="E515" s="47" t="n">
        <x:v>589852</x:v>
      </x:c>
      <x:c r="F515" s="47" t="n">
        <x:f>D515-E515</x:f>
        <x:v>-284922</x:v>
      </x:c>
      <x:c r="G515" s="49" t="n">
        <x:v>0</x:v>
      </x:c>
      <x:c r="H515" s="49" t="n">
        <x:v>1</x:v>
      </x:c>
      <x:c r="I515" s="47" t="n">
        <x:v>-284922</x:v>
      </x:c>
      <x:c r="J515" s="49" t="n">
        <x:v>66</x:v>
      </x:c>
      <x:c r="K515" s="47" t="n">
        <x:v>-284922</x:v>
      </x:c>
      <x:c r="L515" s="47" t="n">
        <x:v>284922</x:v>
      </x:c>
      <x:c r="M515" s="48" t="n">
        <x:v>4.266666666666667</x:v>
      </x:c>
      <x:c r="N515" s="48" t="n">
        <x:v>601.4</x:v>
      </x:c>
      <x:c r="O515" s="49" t="n">
        <x:v>10</x:v>
      </x:c>
      <x:c r="P515" s="1" t="str">
        <x:v>基準併用：追従と反発を状態で選択・広め</x:v>
      </x:c>
      <x:c r="Q515" s="49" t="n">
        <x:v>0</x:v>
      </x:c>
      <x:c r="R515" s="50" t="n">
        <x:v>0.771025641025641</x:v>
      </x:c>
      <x:c r="S515" s="50" t="n">
        <x:v>0.771025641025641</x:v>
      </x:c>
      <x:c r="T515" s="1" t="str">
        <x:v>下落</x:v>
      </x:c>
      <x:c r="U515" s="49" t="n">
        <x:v>1</x:v>
      </x:c>
    </x:row>
    <x:row r="516" ht="22" customHeight="1">
      <x:c r="A516" s="1" t="str">
        <x:v>日経mini</x:v>
      </x:c>
      <x:c r="B516" s="1" t="str">
        <x:v>L01</x:v>
      </x:c>
      <x:c r="C516" s="1" t="str">
        <x:v>全50場</x:v>
      </x:c>
      <x:c r="D516" s="47" t="n">
        <x:v>15395772</x:v>
      </x:c>
      <x:c r="E516" s="47" t="n">
        <x:v>22133110</x:v>
      </x:c>
      <x:c r="F516" s="47" t="n">
        <x:f>D516-E516</x:f>
        <x:v>-6737338</x:v>
      </x:c>
      <x:c r="G516" s="49" t="n">
        <x:v>6</x:v>
      </x:c>
      <x:c r="H516" s="49" t="n">
        <x:v>44</x:v>
      </x:c>
      <x:c r="I516" s="47" t="n">
        <x:v>-7134620</x:v>
      </x:c>
      <x:c r="J516" s="49" t="n">
        <x:v>2697</x:v>
      </x:c>
      <x:c r="K516" s="47" t="n">
        <x:v>-557162</x:v>
      </x:c>
      <x:c r="L516" s="47" t="n">
        <x:v>163248.13636363635</x:v>
      </x:c>
      <x:c r="M516" s="48" t="n">
        <x:v>3.4256666666666673</x:v>
      </x:c>
      <x:c r="N516" s="48" t="n">
        <x:v>401.4246666666667</x:v>
      </x:c>
      <x:c r="O516" s="49" t="n">
        <x:v>7</x:v>
      </x:c>
      <x:c r="P516" s="1" t="str">
        <x:v>夜小玉基準併用：短期二市場の合議・標準</x:v>
      </x:c>
      <x:c r="Q516" s="49" t="n">
        <x:v>0</x:v>
      </x:c>
      <x:c r="R516" s="50" t="n">
        <x:v>0.700756166056166</x:v>
      </x:c>
      <x:c r="S516" s="50" t="n">
        <x:v>0.6690411111111111</x:v>
      </x:c>
      <x:c r="T516" s="1" t="str">
        <x:v>全場</x:v>
      </x:c>
      <x:c r="U516" s="49" t="n">
        <x:v>50</x:v>
      </x:c>
    </x:row>
    <x:row r="517" ht="22" customHeight="1">
      <x:c r="A517" s="1" t="str">
        <x:v>日経mini</x:v>
      </x:c>
      <x:c r="B517" s="1" t="str">
        <x:v>L01</x:v>
      </x:c>
      <x:c r="C517" s="1" t="str">
        <x:v>全50場</x:v>
      </x:c>
      <x:c r="D517" s="47" t="n">
        <x:v>8323274</x:v>
      </x:c>
      <x:c r="E517" s="47" t="n">
        <x:v>11969834</x:v>
      </x:c>
      <x:c r="F517" s="47" t="n">
        <x:f>D517-E517</x:f>
        <x:v>-3646560</x:v>
      </x:c>
      <x:c r="G517" s="49" t="n">
        <x:v>3</x:v>
      </x:c>
      <x:c r="H517" s="49" t="n">
        <x:v>22</x:v>
      </x:c>
      <x:c r="I517" s="47" t="n">
        <x:v>-3747774</x:v>
      </x:c>
      <x:c r="J517" s="49" t="n">
        <x:v>1450</x:v>
      </x:c>
      <x:c r="K517" s="47" t="n">
        <x:v>-557162</x:v>
      </x:c>
      <x:c r="L517" s="47" t="n">
        <x:v>170353.36363636365</x:v>
      </x:c>
      <x:c r="M517" s="48" t="n">
        <x:v>3.4600000000000004</x:v>
      </x:c>
      <x:c r="N517" s="48" t="n">
        <x:v>338.7186666666667</x:v>
      </x:c>
      <x:c r="O517" s="49" t="n">
        <x:v>7</x:v>
      </x:c>
      <x:c r="P517" s="1" t="str">
        <x:v>夜小玉基準併用：短期二市場の合議・標準</x:v>
      </x:c>
      <x:c r="Q517" s="49" t="n">
        <x:v>0</x:v>
      </x:c>
      <x:c r="R517" s="50" t="n">
        <x:v>0.8064730158730158</x:v>
      </x:c>
      <x:c r="S517" s="50" t="n">
        <x:v>0.8064730158730159</x:v>
      </x:c>
      <x:c r="T517" s="1" t="str">
        <x:v>デイ</x:v>
      </x:c>
      <x:c r="U517" s="49" t="n">
        <x:v>25</x:v>
      </x:c>
    </x:row>
    <x:row r="518" ht="22" customHeight="1">
      <x:c r="A518" s="1" t="str">
        <x:v>日経mini</x:v>
      </x:c>
      <x:c r="B518" s="1" t="str">
        <x:v>L01</x:v>
      </x:c>
      <x:c r="C518" s="1" t="str">
        <x:v>全50場</x:v>
      </x:c>
      <x:c r="D518" s="47" t="n">
        <x:v>7072498</x:v>
      </x:c>
      <x:c r="E518" s="47" t="n">
        <x:v>10163276</x:v>
      </x:c>
      <x:c r="F518" s="47" t="n">
        <x:f>D518-E518</x:f>
        <x:v>-3090778</x:v>
      </x:c>
      <x:c r="G518" s="49" t="n">
        <x:v>3</x:v>
      </x:c>
      <x:c r="H518" s="49" t="n">
        <x:v>22</x:v>
      </x:c>
      <x:c r="I518" s="47" t="n">
        <x:v>-3435144</x:v>
      </x:c>
      <x:c r="J518" s="49" t="n">
        <x:v>1247</x:v>
      </x:c>
      <x:c r="K518" s="47" t="n">
        <x:v>-398780</x:v>
      </x:c>
      <x:c r="L518" s="47" t="n">
        <x:v>156142.9090909091</x:v>
      </x:c>
      <x:c r="M518" s="48" t="n">
        <x:v>3.3913333333333333</x:v>
      </x:c>
      <x:c r="N518" s="48" t="n">
        <x:v>464.13066666666657</x:v>
      </x:c>
      <x:c r="O518" s="49" t="n">
        <x:v>7</x:v>
      </x:c>
      <x:c r="P518" s="1" t="str">
        <x:v>夜小玉基準併用：短期二市場の合議・標準</x:v>
      </x:c>
      <x:c r="Q518" s="49" t="n">
        <x:v>0</x:v>
      </x:c>
      <x:c r="R518" s="50" t="n">
        <x:v>0.5950393162393162</x:v>
      </x:c>
      <x:c r="S518" s="50" t="n">
        <x:v>0.5950393162393163</x:v>
      </x:c>
      <x:c r="T518" s="1" t="str">
        <x:v>ナイト</x:v>
      </x:c>
      <x:c r="U518" s="49" t="n">
        <x:v>25</x:v>
      </x:c>
    </x:row>
    <x:row r="519" ht="22" customHeight="1">
      <x:c r="A519" s="1" t="str">
        <x:v>日経mini</x:v>
      </x:c>
      <x:c r="B519" s="1" t="str">
        <x:v>L01</x:v>
      </x:c>
      <x:c r="C519" s="1" t="str">
        <x:v>全50場</x:v>
      </x:c>
      <x:c r="D519" s="47" t="n">
        <x:v>7334726</x:v>
      </x:c>
      <x:c r="E519" s="47" t="n">
        <x:v>10525048</x:v>
      </x:c>
      <x:c r="F519" s="47" t="n">
        <x:f>D519-E519</x:f>
        <x:v>-3190322</x:v>
      </x:c>
      <x:c r="G519" s="49" t="n">
        <x:v>3</x:v>
      </x:c>
      <x:c r="H519" s="49" t="n">
        <x:v>21</x:v>
      </x:c>
      <x:c r="I519" s="47" t="n">
        <x:v>-3291536</x:v>
      </x:c>
      <x:c r="J519" s="49" t="n">
        <x:v>1312</x:v>
      </x:c>
      <x:c r="K519" s="47" t="n">
        <x:v>-417314</x:v>
      </x:c>
      <x:c r="L519" s="47" t="n">
        <x:v>156739.80952380953</x:v>
      </x:c>
      <x:c r="M519" s="48" t="n">
        <x:v>3.3486111111111114</x:v>
      </x:c>
      <x:c r="N519" s="48" t="n">
        <x:v>409.70416666666665</x:v>
      </x:c>
      <x:c r="O519" s="49" t="n">
        <x:v>7</x:v>
      </x:c>
      <x:c r="P519" s="1" t="str">
        <x:v>夜小玉基準併用：短期二市場の合議・標準</x:v>
      </x:c>
      <x:c r="Q519" s="49" t="n">
        <x:v>0</x:v>
      </x:c>
      <x:c r="R519" s="50" t="n">
        <x:v>0.6934210927960928</x:v>
      </x:c>
      <x:c r="S519" s="50" t="n">
        <x:v>0.6661856368563686</x:v>
      </x:c>
      <x:c r="T519" s="1" t="str">
        <x:v>上昇</x:v>
      </x:c>
      <x:c r="U519" s="49" t="n">
        <x:v>24</x:v>
      </x:c>
    </x:row>
    <x:row r="520" ht="22" customHeight="1">
      <x:c r="A520" s="1" t="str">
        <x:v>日経mini</x:v>
      </x:c>
      <x:c r="B520" s="1" t="str">
        <x:v>L01</x:v>
      </x:c>
      <x:c r="C520" s="1" t="str">
        <x:v>全50場</x:v>
      </x:c>
      <x:c r="D520" s="47" t="n">
        <x:v>8061046</x:v>
      </x:c>
      <x:c r="E520" s="47" t="n">
        <x:v>11608062</x:v>
      </x:c>
      <x:c r="F520" s="47" t="n">
        <x:f>D520-E520</x:f>
        <x:v>-3547016</x:v>
      </x:c>
      <x:c r="G520" s="49" t="n">
        <x:v>3</x:v>
      </x:c>
      <x:c r="H520" s="49" t="n">
        <x:v>23</x:v>
      </x:c>
      <x:c r="I520" s="47" t="n">
        <x:v>-3891382</x:v>
      </x:c>
      <x:c r="J520" s="49" t="n">
        <x:v>1385</x:v>
      </x:c>
      <x:c r="K520" s="47" t="n">
        <x:v>-557162</x:v>
      </x:c>
      <x:c r="L520" s="47" t="n">
        <x:v>169190.52173913043</x:v>
      </x:c>
      <x:c r="M520" s="48" t="n">
        <x:v>3.496794871794872</x:v>
      </x:c>
      <x:c r="N520" s="48" t="n">
        <x:v>393.7820512820512</x:v>
      </x:c>
      <x:c r="O520" s="49" t="n">
        <x:v>7</x:v>
      </x:c>
      <x:c r="P520" s="1" t="str">
        <x:v>夜小玉基準併用：短期二市場の合議・標準</x:v>
      </x:c>
      <x:c r="Q520" s="49" t="n">
        <x:v>0</x:v>
      </x:c>
      <x:c r="R520" s="50" t="n">
        <x:v>0.7075270029116183</x:v>
      </x:c>
      <x:c r="S520" s="50" t="n">
        <x:v>0.6718066491688539</x:v>
      </x:c>
      <x:c r="T520" s="1" t="str">
        <x:v>下落</x:v>
      </x:c>
      <x:c r="U520" s="49" t="n">
        <x:v>26</x:v>
      </x:c>
    </x:row>
    <x:row r="521" ht="22" customHeight="1">
      <x:c r="A521" s="1" t="str">
        <x:v>日経mini</x:v>
      </x:c>
      <x:c r="B521" s="1" t="str">
        <x:v>L01</x:v>
      </x:c>
      <x:c r="C521" s="1" t="str">
        <x:v>対照47場</x:v>
      </x:c>
      <x:c r="D521" s="47" t="n">
        <x:v>14106550</x:v>
      </x:c>
      <x:c r="E521" s="47" t="n">
        <x:v>20788322</x:v>
      </x:c>
      <x:c r="F521" s="47" t="n">
        <x:f>D521-E521</x:f>
        <x:v>-6681772</x:v>
      </x:c>
      <x:c r="G521" s="49" t="n">
        <x:v>5</x:v>
      </x:c>
      <x:c r="H521" s="49" t="n">
        <x:v>42</x:v>
      </x:c>
      <x:c r="I521" s="47" t="n">
        <x:v>-6918138</x:v>
      </x:c>
      <x:c r="J521" s="49" t="n">
        <x:v>2503</x:v>
      </x:c>
      <x:c r="K521" s="47" t="n">
        <x:v>-557162</x:v>
      </x:c>
      <x:c r="L521" s="47" t="n">
        <x:v>164860.2380952381</x:v>
      </x:c>
      <x:c r="M521" s="48" t="n">
        <x:v>3.4471631205673763</x:v>
      </x:c>
      <x:c r="N521" s="48" t="n">
        <x:v>396.5102836879433</x:v>
      </x:c>
      <x:c r="O521" s="49" t="n">
        <x:v>7</x:v>
      </x:c>
      <x:c r="P521" s="1" t="str">
        <x:v>夜小玉基準併用：短期二市場の合議・標準</x:v>
      </x:c>
      <x:c r="Q521" s="49" t="n">
        <x:v>0</x:v>
      </x:c>
      <x:c r="R521" s="50" t="n">
        <x:v>0.698423284753072</x:v>
      </x:c>
      <x:c r="S521" s="50" t="n">
        <x:v>0.665095764929812</x:v>
      </x:c>
      <x:c r="T521" s="1" t="str">
        <x:v>全場</x:v>
      </x:c>
      <x:c r="U521" s="49" t="n">
        <x:v>47</x:v>
      </x:c>
    </x:row>
    <x:row r="522" ht="22" customHeight="1">
      <x:c r="A522" s="1" t="str">
        <x:v>日経mini</x:v>
      </x:c>
      <x:c r="B522" s="1" t="str">
        <x:v>L01</x:v>
      </x:c>
      <x:c r="C522" s="1" t="str">
        <x:v>対照47場</x:v>
      </x:c>
      <x:c r="D522" s="47" t="n">
        <x:v>7886662</x:v>
      </x:c>
      <x:c r="E522" s="47" t="n">
        <x:v>11447366</x:v>
      </x:c>
      <x:c r="F522" s="47" t="n">
        <x:f>D522-E522</x:f>
        <x:v>-3560704</x:v>
      </x:c>
      <x:c r="G522" s="49" t="n">
        <x:v>3</x:v>
      </x:c>
      <x:c r="H522" s="49" t="n">
        <x:v>21</x:v>
      </x:c>
      <x:c r="I522" s="47" t="n">
        <x:v>-3661918</x:v>
      </x:c>
      <x:c r="J522" s="49" t="n">
        <x:v>1381</x:v>
      </x:c>
      <x:c r="K522" s="47" t="n">
        <x:v>-557162</x:v>
      </x:c>
      <x:c r="L522" s="47" t="n">
        <x:v>174377.04761904763</x:v>
      </x:c>
      <x:c r="M522" s="48" t="n">
        <x:v>3.4909722222222226</x:v>
      </x:c>
      <x:c r="N522" s="48" t="n">
        <x:v>338.73263888888886</x:v>
      </x:c>
      <x:c r="O522" s="49" t="n">
        <x:v>7</x:v>
      </x:c>
      <x:c r="P522" s="1" t="str">
        <x:v>夜小玉基準併用：短期二市場の合議・標準</x:v>
      </x:c>
      <x:c r="Q522" s="49" t="n">
        <x:v>0</x:v>
      </x:c>
      <x:c r="R522" s="50" t="n">
        <x:v>0.8065062830687831</x:v>
      </x:c>
      <x:c r="S522" s="50" t="n">
        <x:v>0.806506283068783</x:v>
      </x:c>
      <x:c r="T522" s="1" t="str">
        <x:v>デイ</x:v>
      </x:c>
      <x:c r="U522" s="49" t="n">
        <x:v>24</x:v>
      </x:c>
    </x:row>
    <x:row r="523" ht="22" customHeight="1">
      <x:c r="A523" s="1" t="str">
        <x:v>日経mini</x:v>
      </x:c>
      <x:c r="B523" s="1" t="str">
        <x:v>L01</x:v>
      </x:c>
      <x:c r="C523" s="1" t="str">
        <x:v>対照47場</x:v>
      </x:c>
      <x:c r="D523" s="47" t="n">
        <x:v>6219888</x:v>
      </x:c>
      <x:c r="E523" s="47" t="n">
        <x:v>9340956</x:v>
      </x:c>
      <x:c r="F523" s="47" t="n">
        <x:f>D523-E523</x:f>
        <x:v>-3121068</x:v>
      </x:c>
      <x:c r="G523" s="49" t="n">
        <x:v>2</x:v>
      </x:c>
      <x:c r="H523" s="49" t="n">
        <x:v>21</x:v>
      </x:c>
      <x:c r="I523" s="47" t="n">
        <x:v>-3262212</x:v>
      </x:c>
      <x:c r="J523" s="49" t="n">
        <x:v>1122</x:v>
      </x:c>
      <x:c r="K523" s="47" t="n">
        <x:v>-398780</x:v>
      </x:c>
      <x:c r="L523" s="47" t="n">
        <x:v>155343.42857142858</x:v>
      </x:c>
      <x:c r="M523" s="48" t="n">
        <x:v>3.4014492753623187</x:v>
      </x:c>
      <x:c r="N523" s="48" t="n">
        <x:v>456.80000000000007</x:v>
      </x:c>
      <x:c r="O523" s="49" t="n">
        <x:v>7</x:v>
      </x:c>
      <x:c r="P523" s="1" t="str">
        <x:v>夜小玉基準併用：短期二市場の合議・標準</x:v>
      </x:c>
      <x:c r="Q523" s="49" t="n">
        <x:v>0</x:v>
      </x:c>
      <x:c r="R523" s="50" t="n">
        <x:v>0.5856410256410256</x:v>
      </x:c>
      <x:c r="S523" s="50" t="n">
        <x:v>0.5856410256410256</x:v>
      </x:c>
      <x:c r="T523" s="1" t="str">
        <x:v>ナイト</x:v>
      </x:c>
      <x:c r="U523" s="49" t="n">
        <x:v>23</x:v>
      </x:c>
    </x:row>
    <x:row r="524" ht="22" customHeight="1">
      <x:c r="A524" s="1" t="str">
        <x:v>日経mini</x:v>
      </x:c>
      <x:c r="B524" s="1" t="str">
        <x:v>L01</x:v>
      </x:c>
      <x:c r="C524" s="1" t="str">
        <x:v>対照47場</x:v>
      </x:c>
      <x:c r="D524" s="47" t="n">
        <x:v>6597962</x:v>
      </x:c>
      <x:c r="E524" s="47" t="n">
        <x:v>9529496</x:v>
      </x:c>
      <x:c r="F524" s="47" t="n">
        <x:f>D524-E524</x:f>
        <x:v>-2931534</x:v>
      </x:c>
      <x:c r="G524" s="49" t="n">
        <x:v>3</x:v>
      </x:c>
      <x:c r="H524" s="49" t="n">
        <x:v>19</x:v>
      </x:c>
      <x:c r="I524" s="47" t="n">
        <x:v>-3032748</x:v>
      </x:c>
      <x:c r="J524" s="49" t="n">
        <x:v>1180</x:v>
      </x:c>
      <x:c r="K524" s="47" t="n">
        <x:v>-417314</x:v>
      </x:c>
      <x:c r="L524" s="47" t="n">
        <x:v>159618.31578947368</x:v>
      </x:c>
      <x:c r="M524" s="48" t="n">
        <x:v>3.4257575757575767</x:v>
      </x:c>
      <x:c r="N524" s="48" t="n">
        <x:v>406.140909090909</x:v>
      </x:c>
      <x:c r="O524" s="49" t="n">
        <x:v>7</x:v>
      </x:c>
      <x:c r="P524" s="1" t="str">
        <x:v>夜小玉基準併用：短期二市場の合議・標準</x:v>
      </x:c>
      <x:c r="Q524" s="49" t="n">
        <x:v>0</x:v>
      </x:c>
      <x:c r="R524" s="50" t="n">
        <x:v>0.6872377622377622</x:v>
      </x:c>
      <x:c r="S524" s="50" t="n">
        <x:v>0.6589306784660767</x:v>
      </x:c>
      <x:c r="T524" s="1" t="str">
        <x:v>上昇</x:v>
      </x:c>
      <x:c r="U524" s="49" t="n">
        <x:v>22</x:v>
      </x:c>
    </x:row>
    <x:row r="525" ht="22" customHeight="1">
      <x:c r="A525" s="1" t="str">
        <x:v>日経mini</x:v>
      </x:c>
      <x:c r="B525" s="1" t="str">
        <x:v>L01</x:v>
      </x:c>
      <x:c r="C525" s="1" t="str">
        <x:v>対照47場</x:v>
      </x:c>
      <x:c r="D525" s="47" t="n">
        <x:v>7508588</x:v>
      </x:c>
      <x:c r="E525" s="47" t="n">
        <x:v>11258826</x:v>
      </x:c>
      <x:c r="F525" s="47" t="n">
        <x:f>D525-E525</x:f>
        <x:v>-3750238</x:v>
      </x:c>
      <x:c r="G525" s="49" t="n">
        <x:v>2</x:v>
      </x:c>
      <x:c r="H525" s="49" t="n">
        <x:v>23</x:v>
      </x:c>
      <x:c r="I525" s="47" t="n">
        <x:v>-3891382</x:v>
      </x:c>
      <x:c r="J525" s="49" t="n">
        <x:v>1323</x:v>
      </x:c>
      <x:c r="K525" s="47" t="n">
        <x:v>-557162</x:v>
      </x:c>
      <x:c r="L525" s="47" t="n">
        <x:v>169190.52173913043</x:v>
      </x:c>
      <x:c r="M525" s="48" t="n">
        <x:v>3.466</x:v>
      </x:c>
      <x:c r="N525" s="48" t="n">
        <x:v>388.03533333333326</x:v>
      </x:c>
      <x:c r="O525" s="49" t="n">
        <x:v>7</x:v>
      </x:c>
      <x:c r="P525" s="1" t="str">
        <x:v>夜小玉基準併用：短期二市場の合議・標準</x:v>
      </x:c>
      <x:c r="Q525" s="49" t="n">
        <x:v>0</x:v>
      </x:c>
      <x:c r="R525" s="50" t="n">
        <x:v>0.7082665445665445</x:v>
      </x:c>
      <x:c r="S525" s="50" t="n">
        <x:v>0.670877132319041</x:v>
      </x:c>
      <x:c r="T525" s="1" t="str">
        <x:v>下落</x:v>
      </x:c>
      <x:c r="U525" s="49" t="n">
        <x:v>25</x:v>
      </x:c>
    </x:row>
    <x:row r="526" ht="22" customHeight="1">
      <x:c r="A526" s="1" t="str">
        <x:v>日経mini</x:v>
      </x:c>
      <x:c r="B526" s="1" t="str">
        <x:v>L01</x:v>
      </x:c>
      <x:c r="C526" s="1" t="str">
        <x:v>診断3場</x:v>
      </x:c>
      <x:c r="D526" s="47" t="n">
        <x:v>1289222</x:v>
      </x:c>
      <x:c r="E526" s="47" t="n">
        <x:v>1344788</x:v>
      </x:c>
      <x:c r="F526" s="47" t="n">
        <x:f>D526-E526</x:f>
        <x:v>-55566</x:v>
      </x:c>
      <x:c r="G526" s="49" t="n">
        <x:v>1</x:v>
      </x:c>
      <x:c r="H526" s="49" t="n">
        <x:v>2</x:v>
      </x:c>
      <x:c r="I526" s="47" t="n">
        <x:v>-258788</x:v>
      </x:c>
      <x:c r="J526" s="49" t="n">
        <x:v>194</x:v>
      </x:c>
      <x:c r="K526" s="47" t="n">
        <x:v>-172932</x:v>
      </x:c>
      <x:c r="L526" s="47" t="n">
        <x:v>129394</x:v>
      </x:c>
      <x:c r="M526" s="48" t="n">
        <x:v>3.0888888888888886</x:v>
      </x:c>
      <x:c r="N526" s="48" t="n">
        <x:v>478.4166666666667</x:v>
      </x:c>
      <x:c r="O526" s="49" t="n">
        <x:v>7</x:v>
      </x:c>
      <x:c r="P526" s="1" t="str">
        <x:v>夜小玉基準併用：短期二市場の合議・標準</x:v>
      </x:c>
      <x:c r="Q526" s="49" t="n">
        <x:v>0</x:v>
      </x:c>
      <x:c r="R526" s="50" t="n">
        <x:v>0.7373046398046398</x:v>
      </x:c>
      <x:c r="S526" s="50" t="n">
        <x:v>0.7248737373737374</x:v>
      </x:c>
      <x:c r="T526" s="1" t="str">
        <x:v>全場</x:v>
      </x:c>
      <x:c r="U526" s="49" t="n">
        <x:v>3</x:v>
      </x:c>
    </x:row>
    <x:row r="527" ht="22" customHeight="1">
      <x:c r="A527" s="1" t="str">
        <x:v>日経mini</x:v>
      </x:c>
      <x:c r="B527" s="1" t="str">
        <x:v>L01</x:v>
      </x:c>
      <x:c r="C527" s="1" t="str">
        <x:v>診断3場</x:v>
      </x:c>
      <x:c r="D527" s="47" t="n">
        <x:v>436612</x:v>
      </x:c>
      <x:c r="E527" s="47" t="n">
        <x:v>522468</x:v>
      </x:c>
      <x:c r="F527" s="47" t="n">
        <x:f>D527-E527</x:f>
        <x:v>-85856</x:v>
      </x:c>
      <x:c r="G527" s="49" t="n">
        <x:v>0</x:v>
      </x:c>
      <x:c r="H527" s="49" t="n">
        <x:v>1</x:v>
      </x:c>
      <x:c r="I527" s="47" t="n">
        <x:v>-85856</x:v>
      </x:c>
      <x:c r="J527" s="49" t="n">
        <x:v>69</x:v>
      </x:c>
      <x:c r="K527" s="47" t="n">
        <x:v>-85856</x:v>
      </x:c>
      <x:c r="L527" s="47" t="n">
        <x:v>85856</x:v>
      </x:c>
      <x:c r="M527" s="48" t="n">
        <x:v>2.716666666666667</x:v>
      </x:c>
      <x:c r="N527" s="48" t="n">
        <x:v>338.3833333333333</x:v>
      </x:c>
      <x:c r="O527" s="49" t="n">
        <x:v>7</x:v>
      </x:c>
      <x:c r="P527" s="1" t="str">
        <x:v>夜小玉基準併用：短期二市場の合議・標準</x:v>
      </x:c>
      <x:c r="Q527" s="49" t="n">
        <x:v>0</x:v>
      </x:c>
      <x:c r="R527" s="50" t="n">
        <x:v>0.8056746031746032</x:v>
      </x:c>
      <x:c r="S527" s="50" t="n">
        <x:v>0.8056746031746032</x:v>
      </x:c>
      <x:c r="T527" s="1" t="str">
        <x:v>デイ</x:v>
      </x:c>
      <x:c r="U527" s="49" t="n">
        <x:v>1</x:v>
      </x:c>
    </x:row>
    <x:row r="528" ht="22" customHeight="1">
      <x:c r="A528" s="1" t="str">
        <x:v>日経mini</x:v>
      </x:c>
      <x:c r="B528" s="1" t="str">
        <x:v>L01</x:v>
      </x:c>
      <x:c r="C528" s="1" t="str">
        <x:v>診断3場</x:v>
      </x:c>
      <x:c r="D528" s="47" t="n">
        <x:v>852610</x:v>
      </x:c>
      <x:c r="E528" s="47" t="n">
        <x:v>822320</x:v>
      </x:c>
      <x:c r="F528" s="47" t="n">
        <x:f>D528-E528</x:f>
        <x:v>30290</x:v>
      </x:c>
      <x:c r="G528" s="49" t="n">
        <x:v>1</x:v>
      </x:c>
      <x:c r="H528" s="49" t="n">
        <x:v>1</x:v>
      </x:c>
      <x:c r="I528" s="47" t="n">
        <x:v>-172932</x:v>
      </x:c>
      <x:c r="J528" s="49" t="n">
        <x:v>125</x:v>
      </x:c>
      <x:c r="K528" s="47" t="n">
        <x:v>-172932</x:v>
      </x:c>
      <x:c r="L528" s="47" t="n">
        <x:v>172932</x:v>
      </x:c>
      <x:c r="M528" s="48" t="n">
        <x:v>3.275</x:v>
      </x:c>
      <x:c r="N528" s="48" t="n">
        <x:v>548.4333333333334</x:v>
      </x:c>
      <x:c r="O528" s="49" t="n">
        <x:v>7</x:v>
      </x:c>
      <x:c r="P528" s="1" t="str">
        <x:v>夜小玉基準併用：短期二市場の合議・標準</x:v>
      </x:c>
      <x:c r="Q528" s="49" t="n">
        <x:v>0</x:v>
      </x:c>
      <x:c r="R528" s="50" t="n">
        <x:v>0.7031196581196582</x:v>
      </x:c>
      <x:c r="S528" s="50" t="n">
        <x:v>0.7031196581196582</x:v>
      </x:c>
      <x:c r="T528" s="1" t="str">
        <x:v>ナイト</x:v>
      </x:c>
      <x:c r="U528" s="49" t="n">
        <x:v>2</x:v>
      </x:c>
    </x:row>
    <x:row r="529" ht="22" customHeight="1">
      <x:c r="A529" s="1" t="str">
        <x:v>日経mini</x:v>
      </x:c>
      <x:c r="B529" s="1" t="str">
        <x:v>L01</x:v>
      </x:c>
      <x:c r="C529" s="1" t="str">
        <x:v>診断3場</x:v>
      </x:c>
      <x:c r="D529" s="47" t="n">
        <x:v>736764</x:v>
      </x:c>
      <x:c r="E529" s="47" t="n">
        <x:v>995552</x:v>
      </x:c>
      <x:c r="F529" s="47" t="n">
        <x:f>D529-E529</x:f>
        <x:v>-258788</x:v>
      </x:c>
      <x:c r="G529" s="49" t="n">
        <x:v>0</x:v>
      </x:c>
      <x:c r="H529" s="49" t="n">
        <x:v>2</x:v>
      </x:c>
      <x:c r="I529" s="47" t="n">
        <x:v>-258788</x:v>
      </x:c>
      <x:c r="J529" s="49" t="n">
        <x:v>132</x:v>
      </x:c>
      <x:c r="K529" s="47" t="n">
        <x:v>-172932</x:v>
      </x:c>
      <x:c r="L529" s="47" t="n">
        <x:v>129394</x:v>
      </x:c>
      <x:c r="M529" s="48" t="n">
        <x:v>2.5</x:v>
      </x:c>
      <x:c r="N529" s="48" t="n">
        <x:v>448.9</x:v>
      </x:c>
      <x:c r="O529" s="49" t="n">
        <x:v>7</x:v>
      </x:c>
      <x:c r="P529" s="1" t="str">
        <x:v>夜小玉基準併用：短期二市場の合議・標準</x:v>
      </x:c>
      <x:c r="Q529" s="49" t="n">
        <x:v>0</x:v>
      </x:c>
      <x:c r="R529" s="50" t="n">
        <x:v>0.761437728937729</x:v>
      </x:c>
      <x:c r="S529" s="50" t="n">
        <x:v>0.7481666666666666</x:v>
      </x:c>
      <x:c r="T529" s="1" t="str">
        <x:v>上昇</x:v>
      </x:c>
      <x:c r="U529" s="49" t="n">
        <x:v>2</x:v>
      </x:c>
    </x:row>
    <x:row r="530" ht="22" customHeight="1">
      <x:c r="A530" s="1" t="str">
        <x:v>日経mini</x:v>
      </x:c>
      <x:c r="B530" s="1" t="str">
        <x:v>L01</x:v>
      </x:c>
      <x:c r="C530" s="1" t="str">
        <x:v>診断3場</x:v>
      </x:c>
      <x:c r="D530" s="47" t="n">
        <x:v>552458</x:v>
      </x:c>
      <x:c r="E530" s="47" t="n">
        <x:v>349236</x:v>
      </x:c>
      <x:c r="F530" s="47" t="n">
        <x:f>D530-E530</x:f>
        <x:v>203222</x:v>
      </x:c>
      <x:c r="G530" s="49" t="n">
        <x:v>1</x:v>
      </x:c>
      <x:c r="H530" s="49" t="n">
        <x:v>0</x:v>
      </x:c>
      <x:c r="I530" s="47" t="n">
        <x:v>0</x:v>
      </x:c>
      <x:c r="J530" s="49" t="n">
        <x:v>62</x:v>
      </x:c>
      <x:c r="K530" s="47" t="n">
        <x:v>203222</x:v>
      </x:c>
      <x:c r="L530" s="47" t="n">
        <x:v>0</x:v>
      </x:c>
      <x:c r="M530" s="48" t="n">
        <x:v>4.266666666666667</x:v>
      </x:c>
      <x:c r="N530" s="48" t="n">
        <x:v>537.45</x:v>
      </x:c>
      <x:c r="O530" s="49" t="n">
        <x:v>7</x:v>
      </x:c>
      <x:c r="P530" s="1" t="str">
        <x:v>夜小玉基準併用：短期二市場の合議・標準</x:v>
      </x:c>
      <x:c r="Q530" s="49" t="n">
        <x:v>0</x:v>
      </x:c>
      <x:c r="R530" s="50" t="n">
        <x:v>0.6890384615384615</x:v>
      </x:c>
      <x:c r="S530" s="50" t="n">
        <x:v>0.6890384615384616</x:v>
      </x:c>
      <x:c r="T530" s="1" t="str">
        <x:v>下落</x:v>
      </x:c>
      <x:c r="U530" s="49" t="n">
        <x:v>1</x:v>
      </x:c>
    </x:row>
    <x:row r="531" ht="22" customHeight="1">
      <x:c r="A531" s="1" t="str">
        <x:v>日経mini</x:v>
      </x:c>
      <x:c r="B531" s="1" t="str">
        <x:v>L02</x:v>
      </x:c>
      <x:c r="C531" s="1" t="str">
        <x:v>全50場</x:v>
      </x:c>
      <x:c r="D531" s="47" t="n">
        <x:v>15196394</x:v>
      </x:c>
      <x:c r="E531" s="47" t="n">
        <x:v>21226786</x:v>
      </x:c>
      <x:c r="F531" s="47" t="n">
        <x:f>D531-E531</x:f>
        <x:v>-6030392</x:v>
      </x:c>
      <x:c r="G531" s="49" t="n">
        <x:v>8</x:v>
      </x:c>
      <x:c r="H531" s="49" t="n">
        <x:v>42</x:v>
      </x:c>
      <x:c r="I531" s="47" t="n">
        <x:v>-6395214</x:v>
      </x:c>
      <x:c r="J531" s="49" t="n">
        <x:v>2548</x:v>
      </x:c>
      <x:c r="K531" s="47" t="n">
        <x:v>-529008</x:v>
      </x:c>
      <x:c r="L531" s="47" t="n">
        <x:v>154819.52380952382</x:v>
      </x:c>
      <x:c r="M531" s="48" t="n">
        <x:v>3.4256666666666673</x:v>
      </x:c>
      <x:c r="N531" s="48" t="n">
        <x:v>438.6633333333333</x:v>
      </x:c>
      <x:c r="O531" s="49" t="n">
        <x:v>7</x:v>
      </x:c>
      <x:c r="P531" s="1" t="str">
        <x:v>夜小玉基準併用：短期二市場の合議・広め</x:v>
      </x:c>
      <x:c r="Q531" s="49" t="n">
        <x:v>0</x:v>
      </x:c>
      <x:c r="R531" s="50" t="n">
        <x:v>0.7531702075702076</x:v>
      </x:c>
      <x:c r="S531" s="50" t="n">
        <x:v>0.7311055555555556</x:v>
      </x:c>
      <x:c r="T531" s="1" t="str">
        <x:v>全場</x:v>
      </x:c>
      <x:c r="U531" s="49" t="n">
        <x:v>50</x:v>
      </x:c>
    </x:row>
    <x:row r="532" ht="22" customHeight="1">
      <x:c r="A532" s="1" t="str">
        <x:v>日経mini</x:v>
      </x:c>
      <x:c r="B532" s="1" t="str">
        <x:v>L02</x:v>
      </x:c>
      <x:c r="C532" s="1" t="str">
        <x:v>全50場</x:v>
      </x:c>
      <x:c r="D532" s="47" t="n">
        <x:v>8232506</x:v>
      </x:c>
      <x:c r="E532" s="47" t="n">
        <x:v>11768754</x:v>
      </x:c>
      <x:c r="F532" s="47" t="n">
        <x:f>D532-E532</x:f>
        <x:v>-3536248</x:v>
      </x:c>
      <x:c r="G532" s="49" t="n">
        <x:v>3</x:v>
      </x:c>
      <x:c r="H532" s="49" t="n">
        <x:v>22</x:v>
      </x:c>
      <x:c r="I532" s="47" t="n">
        <x:v>-3640692</x:v>
      </x:c>
      <x:c r="J532" s="49" t="n">
        <x:v>1422</x:v>
      </x:c>
      <x:c r="K532" s="47" t="n">
        <x:v>-529008</x:v>
      </x:c>
      <x:c r="L532" s="47" t="n">
        <x:v>165486</x:v>
      </x:c>
      <x:c r="M532" s="48" t="n">
        <x:v>3.4600000000000004</x:v>
      </x:c>
      <x:c r="N532" s="48" t="n">
        <x:v>347.222</x:v>
      </x:c>
      <x:c r="O532" s="49" t="n">
        <x:v>7</x:v>
      </x:c>
      <x:c r="P532" s="1" t="str">
        <x:v>夜小玉基準併用：短期二市場の合議・広め</x:v>
      </x:c>
      <x:c r="Q532" s="49" t="n">
        <x:v>0</x:v>
      </x:c>
      <x:c r="R532" s="50" t="n">
        <x:v>0.8267190476190477</x:v>
      </x:c>
      <x:c r="S532" s="50" t="n">
        <x:v>0.8267190476190476</x:v>
      </x:c>
      <x:c r="T532" s="1" t="str">
        <x:v>デイ</x:v>
      </x:c>
      <x:c r="U532" s="49" t="n">
        <x:v>25</x:v>
      </x:c>
    </x:row>
    <x:row r="533" ht="22" customHeight="1">
      <x:c r="A533" s="1" t="str">
        <x:v>日経mini</x:v>
      </x:c>
      <x:c r="B533" s="1" t="str">
        <x:v>L02</x:v>
      </x:c>
      <x:c r="C533" s="1" t="str">
        <x:v>全50場</x:v>
      </x:c>
      <x:c r="D533" s="47" t="n">
        <x:v>6963888</x:v>
      </x:c>
      <x:c r="E533" s="47" t="n">
        <x:v>9458032</x:v>
      </x:c>
      <x:c r="F533" s="47" t="n">
        <x:f>D533-E533</x:f>
        <x:v>-2494144</x:v>
      </x:c>
      <x:c r="G533" s="49" t="n">
        <x:v>5</x:v>
      </x:c>
      <x:c r="H533" s="49" t="n">
        <x:v>20</x:v>
      </x:c>
      <x:c r="I533" s="47" t="n">
        <x:v>-2835664</x:v>
      </x:c>
      <x:c r="J533" s="49" t="n">
        <x:v>1126</x:v>
      </x:c>
      <x:c r="K533" s="47" t="n">
        <x:v>-366010</x:v>
      </x:c>
      <x:c r="L533" s="47" t="n">
        <x:v>143086.4</x:v>
      </x:c>
      <x:c r="M533" s="48" t="n">
        <x:v>3.3913333333333333</x:v>
      </x:c>
      <x:c r="N533" s="48" t="n">
        <x:v>530.1046666666666</x:v>
      </x:c>
      <x:c r="O533" s="49" t="n">
        <x:v>7</x:v>
      </x:c>
      <x:c r="P533" s="1" t="str">
        <x:v>夜小玉基準併用：短期二市場の合議・広め</x:v>
      </x:c>
      <x:c r="Q533" s="49" t="n">
        <x:v>0</x:v>
      </x:c>
      <x:c r="R533" s="50" t="n">
        <x:v>0.6796213675213676</x:v>
      </x:c>
      <x:c r="S533" s="50" t="n">
        <x:v>0.6796213675213675</x:v>
      </x:c>
      <x:c r="T533" s="1" t="str">
        <x:v>ナイト</x:v>
      </x:c>
      <x:c r="U533" s="49" t="n">
        <x:v>25</x:v>
      </x:c>
    </x:row>
    <x:row r="534" ht="22" customHeight="1">
      <x:c r="A534" s="1" t="str">
        <x:v>日経mini</x:v>
      </x:c>
      <x:c r="B534" s="1" t="str">
        <x:v>L02</x:v>
      </x:c>
      <x:c r="C534" s="1" t="str">
        <x:v>全50場</x:v>
      </x:c>
      <x:c r="D534" s="47" t="n">
        <x:v>7157346</x:v>
      </x:c>
      <x:c r="E534" s="47" t="n">
        <x:v>10129502</x:v>
      </x:c>
      <x:c r="F534" s="47" t="n">
        <x:f>D534-E534</x:f>
        <x:v>-2972156</x:v>
      </x:c>
      <x:c r="G534" s="49" t="n">
        <x:v>5</x:v>
      </x:c>
      <x:c r="H534" s="49" t="n">
        <x:v>19</x:v>
      </x:c>
      <x:c r="I534" s="47" t="n">
        <x:v>-3118298</x:v>
      </x:c>
      <x:c r="J534" s="49" t="n">
        <x:v>1233</x:v>
      </x:c>
      <x:c r="K534" s="47" t="n">
        <x:v>-451314</x:v>
      </x:c>
      <x:c r="L534" s="47" t="n">
        <x:v>165492.73684210525</x:v>
      </x:c>
      <x:c r="M534" s="48" t="n">
        <x:v>3.3486111111111114</x:v>
      </x:c>
      <x:c r="N534" s="48" t="n">
        <x:v>443.0562499999999</x:v>
      </x:c>
      <x:c r="O534" s="49" t="n">
        <x:v>7</x:v>
      </x:c>
      <x:c r="P534" s="1" t="str">
        <x:v>夜小玉基準併用：短期二市場の合議・広め</x:v>
      </x:c>
      <x:c r="Q534" s="49" t="n">
        <x:v>0</x:v>
      </x:c>
      <x:c r="R534" s="50" t="n">
        <x:v>0.7398744658119658</x:v>
      </x:c>
      <x:c r="S534" s="50" t="n">
        <x:v>0.7204166666666667</x:v>
      </x:c>
      <x:c r="T534" s="1" t="str">
        <x:v>上昇</x:v>
      </x:c>
      <x:c r="U534" s="49" t="n">
        <x:v>24</x:v>
      </x:c>
    </x:row>
    <x:row r="535" ht="22" customHeight="1">
      <x:c r="A535" s="1" t="str">
        <x:v>日経mini</x:v>
      </x:c>
      <x:c r="B535" s="1" t="str">
        <x:v>L02</x:v>
      </x:c>
      <x:c r="C535" s="1" t="str">
        <x:v>全50場</x:v>
      </x:c>
      <x:c r="D535" s="47" t="n">
        <x:v>8039048</x:v>
      </x:c>
      <x:c r="E535" s="47" t="n">
        <x:v>11097284</x:v>
      </x:c>
      <x:c r="F535" s="47" t="n">
        <x:f>D535-E535</x:f>
        <x:v>-3058236</x:v>
      </x:c>
      <x:c r="G535" s="49" t="n">
        <x:v>3</x:v>
      </x:c>
      <x:c r="H535" s="49" t="n">
        <x:v>23</x:v>
      </x:c>
      <x:c r="I535" s="47" t="n">
        <x:v>-3358058</x:v>
      </x:c>
      <x:c r="J535" s="49" t="n">
        <x:v>1315</x:v>
      </x:c>
      <x:c r="K535" s="47" t="n">
        <x:v>-529008</x:v>
      </x:c>
      <x:c r="L535" s="47" t="n">
        <x:v>146002.52173913043</x:v>
      </x:c>
      <x:c r="M535" s="48" t="n">
        <x:v>3.496794871794872</x:v>
      </x:c>
      <x:c r="N535" s="48" t="n">
        <x:v>434.60833333333335</x:v>
      </x:c>
      <x:c r="O535" s="49" t="n">
        <x:v>7</x:v>
      </x:c>
      <x:c r="P535" s="1" t="str">
        <x:v>夜小玉基準併用：短期二市場の合議・広め</x:v>
      </x:c>
      <x:c r="Q535" s="49" t="n">
        <x:v>0</x:v>
      </x:c>
      <x:c r="R535" s="50" t="n">
        <x:v>0.7654431999624307</x:v>
      </x:c>
      <x:c r="S535" s="50" t="n">
        <x:v>0.7414577865266843</x:v>
      </x:c>
      <x:c r="T535" s="1" t="str">
        <x:v>下落</x:v>
      </x:c>
      <x:c r="U535" s="49" t="n">
        <x:v>26</x:v>
      </x:c>
    </x:row>
    <x:row r="536" ht="22" customHeight="1">
      <x:c r="A536" s="1" t="str">
        <x:v>日経mini</x:v>
      </x:c>
      <x:c r="B536" s="1" t="str">
        <x:v>L02</x:v>
      </x:c>
      <x:c r="C536" s="1" t="str">
        <x:v>対照47場</x:v>
      </x:c>
      <x:c r="D536" s="47" t="n">
        <x:v>13952710</x:v>
      </x:c>
      <x:c r="E536" s="47" t="n">
        <x:v>19898922</x:v>
      </x:c>
      <x:c r="F536" s="47" t="n">
        <x:f>D536-E536</x:f>
        <x:v>-5946212</x:v>
      </x:c>
      <x:c r="G536" s="49" t="n">
        <x:v>7</x:v>
      </x:c>
      <x:c r="H536" s="49" t="n">
        <x:v>40</x:v>
      </x:c>
      <x:c r="I536" s="47" t="n">
        <x:v>-6223270</x:v>
      </x:c>
      <x:c r="J536" s="49" t="n">
        <x:v>2363</x:v>
      </x:c>
      <x:c r="K536" s="47" t="n">
        <x:v>-529008</x:v>
      </x:c>
      <x:c r="L536" s="47" t="n">
        <x:v>157210.05</x:v>
      </x:c>
      <x:c r="M536" s="48" t="n">
        <x:v>3.4471631205673763</x:v>
      </x:c>
      <x:c r="N536" s="48" t="n">
        <x:v>434.7620567375887</x:v>
      </x:c>
      <x:c r="O536" s="49" t="n">
        <x:v>7</x:v>
      </x:c>
      <x:c r="P536" s="1" t="str">
        <x:v>夜小玉基準併用：短期二市場の合議・広め</x:v>
      </x:c>
      <x:c r="Q536" s="49" t="n">
        <x:v>0</x:v>
      </x:c>
      <x:c r="R536" s="50" t="n">
        <x:v>0.7523860831839555</x:v>
      </x:c>
      <x:c r="S536" s="50" t="n">
        <x:v>0.7292582679038782</x:v>
      </x:c>
      <x:c r="T536" s="1" t="str">
        <x:v>全場</x:v>
      </x:c>
      <x:c r="U536" s="49" t="n">
        <x:v>47</x:v>
      </x:c>
    </x:row>
    <x:row r="537" ht="22" customHeight="1">
      <x:c r="A537" s="1" t="str">
        <x:v>日経mini</x:v>
      </x:c>
      <x:c r="B537" s="1" t="str">
        <x:v>L02</x:v>
      </x:c>
      <x:c r="C537" s="1" t="str">
        <x:v>対照47場</x:v>
      </x:c>
      <x:c r="D537" s="47" t="n">
        <x:v>7793894</x:v>
      </x:c>
      <x:c r="E537" s="47" t="n">
        <x:v>11256286</x:v>
      </x:c>
      <x:c r="F537" s="47" t="n">
        <x:f>D537-E537</x:f>
        <x:v>-3462392</x:v>
      </x:c>
      <x:c r="G537" s="49" t="n">
        <x:v>3</x:v>
      </x:c>
      <x:c r="H537" s="49" t="n">
        <x:v>21</x:v>
      </x:c>
      <x:c r="I537" s="47" t="n">
        <x:v>-3566836</x:v>
      </x:c>
      <x:c r="J537" s="49" t="n">
        <x:v>1353</x:v>
      </x:c>
      <x:c r="K537" s="47" t="n">
        <x:v>-529008</x:v>
      </x:c>
      <x:c r="L537" s="47" t="n">
        <x:v>169849.33333333334</x:v>
      </x:c>
      <x:c r="M537" s="48" t="n">
        <x:v>3.4909722222222226</x:v>
      </x:c>
      <x:c r="N537" s="48" t="n">
        <x:v>347.5041666666666</x:v>
      </x:c>
      <x:c r="O537" s="49" t="n">
        <x:v>7</x:v>
      </x:c>
      <x:c r="P537" s="1" t="str">
        <x:v>夜小玉基準併用：短期二市場の合議・広め</x:v>
      </x:c>
      <x:c r="Q537" s="49" t="n">
        <x:v>0</x:v>
      </x:c>
      <x:c r="R537" s="50" t="n">
        <x:v>0.8273908730158731</x:v>
      </x:c>
      <x:c r="S537" s="50" t="n">
        <x:v>0.8273908730158731</x:v>
      </x:c>
      <x:c r="T537" s="1" t="str">
        <x:v>デイ</x:v>
      </x:c>
      <x:c r="U537" s="49" t="n">
        <x:v>24</x:v>
      </x:c>
    </x:row>
    <x:row r="538" ht="22" customHeight="1">
      <x:c r="A538" s="1" t="str">
        <x:v>日経mini</x:v>
      </x:c>
      <x:c r="B538" s="1" t="str">
        <x:v>L02</x:v>
      </x:c>
      <x:c r="C538" s="1" t="str">
        <x:v>対照47場</x:v>
      </x:c>
      <x:c r="D538" s="47" t="n">
        <x:v>6158816</x:v>
      </x:c>
      <x:c r="E538" s="47" t="n">
        <x:v>8642636</x:v>
      </x:c>
      <x:c r="F538" s="47" t="n">
        <x:f>D538-E538</x:f>
        <x:v>-2483820</x:v>
      </x:c>
      <x:c r="G538" s="49" t="n">
        <x:v>4</x:v>
      </x:c>
      <x:c r="H538" s="49" t="n">
        <x:v>19</x:v>
      </x:c>
      <x:c r="I538" s="47" t="n">
        <x:v>-2715190</x:v>
      </x:c>
      <x:c r="J538" s="49" t="n">
        <x:v>1010</x:v>
      </x:c>
      <x:c r="K538" s="47" t="n">
        <x:v>-366010</x:v>
      </x:c>
      <x:c r="L538" s="47" t="n">
        <x:v>143240.31578947368</x:v>
      </x:c>
      <x:c r="M538" s="48" t="n">
        <x:v>3.4014492753623187</x:v>
      </x:c>
      <x:c r="N538" s="48" t="n">
        <x:v>525.813768115942</x:v>
      </x:c>
      <x:c r="O538" s="49" t="n">
        <x:v>7</x:v>
      </x:c>
      <x:c r="P538" s="1" t="str">
        <x:v>夜小玉基準併用：短期二市場の合議・広め</x:v>
      </x:c>
      <x:c r="Q538" s="49" t="n">
        <x:v>0</x:v>
      </x:c>
      <x:c r="R538" s="50" t="n">
        <x:v>0.674120215533259</x:v>
      </x:c>
      <x:c r="S538" s="50" t="n">
        <x:v>0.6741202155332591</x:v>
      </x:c>
      <x:c r="T538" s="1" t="str">
        <x:v>ナイト</x:v>
      </x:c>
      <x:c r="U538" s="49" t="n">
        <x:v>23</x:v>
      </x:c>
    </x:row>
    <x:row r="539" ht="22" customHeight="1">
      <x:c r="A539" s="1" t="str">
        <x:v>日経mini</x:v>
      </x:c>
      <x:c r="B539" s="1" t="str">
        <x:v>L02</x:v>
      </x:c>
      <x:c r="C539" s="1" t="str">
        <x:v>対照47場</x:v>
      </x:c>
      <x:c r="D539" s="47" t="n">
        <x:v>6418736</x:v>
      </x:c>
      <x:c r="E539" s="47" t="n">
        <x:v>9176874</x:v>
      </x:c>
      <x:c r="F539" s="47" t="n">
        <x:f>D539-E539</x:f>
        <x:v>-2758138</x:v>
      </x:c>
      <x:c r="G539" s="49" t="n">
        <x:v>5</x:v>
      </x:c>
      <x:c r="H539" s="49" t="n">
        <x:v>17</x:v>
      </x:c>
      <x:c r="I539" s="47" t="n">
        <x:v>-2904280</x:v>
      </x:c>
      <x:c r="J539" s="49" t="n">
        <x:v>1106</x:v>
      </x:c>
      <x:c r="K539" s="47" t="n">
        <x:v>-451314</x:v>
      </x:c>
      <x:c r="L539" s="47" t="n">
        <x:v>172373.17647058822</x:v>
      </x:c>
      <x:c r="M539" s="48" t="n">
        <x:v>3.4257575757575767</x:v>
      </x:c>
      <x:c r="N539" s="48" t="n">
        <x:v>442.00454545454545</x:v>
      </x:c>
      <x:c r="O539" s="49" t="n">
        <x:v>7</x:v>
      </x:c>
      <x:c r="P539" s="1" t="str">
        <x:v>夜小玉基準併用：短期二市場の合議・広め</x:v>
      </x:c>
      <x:c r="Q539" s="49" t="n">
        <x:v>0</x:v>
      </x:c>
      <x:c r="R539" s="50" t="n">
        <x:v>0.7371436896436897</x:v>
      </x:c>
      <x:c r="S539" s="50" t="n">
        <x:v>0.7171165191740413</x:v>
      </x:c>
      <x:c r="T539" s="1" t="str">
        <x:v>上昇</x:v>
      </x:c>
      <x:c r="U539" s="49" t="n">
        <x:v>22</x:v>
      </x:c>
    </x:row>
    <x:row r="540" ht="22" customHeight="1">
      <x:c r="A540" s="1" t="str">
        <x:v>日経mini</x:v>
      </x:c>
      <x:c r="B540" s="1" t="str">
        <x:v>L02</x:v>
      </x:c>
      <x:c r="C540" s="1" t="str">
        <x:v>対照47場</x:v>
      </x:c>
      <x:c r="D540" s="47" t="n">
        <x:v>7533974</x:v>
      </x:c>
      <x:c r="E540" s="47" t="n">
        <x:v>10722048</x:v>
      </x:c>
      <x:c r="F540" s="47" t="n">
        <x:f>D540-E540</x:f>
        <x:v>-3188074</x:v>
      </x:c>
      <x:c r="G540" s="49" t="n">
        <x:v>2</x:v>
      </x:c>
      <x:c r="H540" s="49" t="n">
        <x:v>23</x:v>
      </x:c>
      <x:c r="I540" s="47" t="n">
        <x:v>-3358058</x:v>
      </x:c>
      <x:c r="J540" s="49" t="n">
        <x:v>1257</x:v>
      </x:c>
      <x:c r="K540" s="47" t="n">
        <x:v>-529008</x:v>
      </x:c>
      <x:c r="L540" s="47" t="n">
        <x:v>146002.52173913043</x:v>
      </x:c>
      <x:c r="M540" s="48" t="n">
        <x:v>3.466</x:v>
      </x:c>
      <x:c r="N540" s="48" t="n">
        <x:v>428.38866666666667</x:v>
      </x:c>
      <x:c r="O540" s="49" t="n">
        <x:v>7</x:v>
      </x:c>
      <x:c r="P540" s="1" t="str">
        <x:v>夜小玉基準併用：短期二市場の合議・広め</x:v>
      </x:c>
      <x:c r="Q540" s="49" t="n">
        <x:v>0</x:v>
      </x:c>
      <x:c r="R540" s="50" t="n">
        <x:v>0.7657993894993895</x:v>
      </x:c>
      <x:c r="S540" s="50" t="n">
        <x:v>0.740644306131858</x:v>
      </x:c>
      <x:c r="T540" s="1" t="str">
        <x:v>下落</x:v>
      </x:c>
      <x:c r="U540" s="49" t="n">
        <x:v>25</x:v>
      </x:c>
    </x:row>
    <x:row r="541" ht="22" customHeight="1">
      <x:c r="A541" s="1" t="str">
        <x:v>日経mini</x:v>
      </x:c>
      <x:c r="B541" s="1" t="str">
        <x:v>L02</x:v>
      </x:c>
      <x:c r="C541" s="1" t="str">
        <x:v>診断3場</x:v>
      </x:c>
      <x:c r="D541" s="47" t="n">
        <x:v>1243684</x:v>
      </x:c>
      <x:c r="E541" s="47" t="n">
        <x:v>1327864</x:v>
      </x:c>
      <x:c r="F541" s="47" t="n">
        <x:f>D541-E541</x:f>
        <x:v>-84180</x:v>
      </x:c>
      <x:c r="G541" s="49" t="n">
        <x:v>1</x:v>
      </x:c>
      <x:c r="H541" s="49" t="n">
        <x:v>2</x:v>
      </x:c>
      <x:c r="I541" s="47" t="n">
        <x:v>-214018</x:v>
      </x:c>
      <x:c r="J541" s="49" t="n">
        <x:v>185</x:v>
      </x:c>
      <x:c r="K541" s="47" t="n">
        <x:v>-140162</x:v>
      </x:c>
      <x:c r="L541" s="47" t="n">
        <x:v>107009</x:v>
      </x:c>
      <x:c r="M541" s="48" t="n">
        <x:v>3.0888888888888886</x:v>
      </x:c>
      <x:c r="N541" s="48" t="n">
        <x:v>499.7833333333333</x:v>
      </x:c>
      <x:c r="O541" s="49" t="n">
        <x:v>7</x:v>
      </x:c>
      <x:c r="P541" s="1" t="str">
        <x:v>夜小玉基準併用：短期二市場の合議・広め</x:v>
      </x:c>
      <x:c r="Q541" s="49" t="n">
        <x:v>0</x:v>
      </x:c>
      <x:c r="R541" s="50" t="n">
        <x:v>0.7654548229548229</x:v>
      </x:c>
      <x:c r="S541" s="50" t="n">
        <x:v>0.7572474747474747</x:v>
      </x:c>
      <x:c r="T541" s="1" t="str">
        <x:v>全場</x:v>
      </x:c>
      <x:c r="U541" s="49" t="n">
        <x:v>3</x:v>
      </x:c>
    </x:row>
    <x:row r="542" ht="22" customHeight="1">
      <x:c r="A542" s="1" t="str">
        <x:v>日経mini</x:v>
      </x:c>
      <x:c r="B542" s="1" t="str">
        <x:v>L02</x:v>
      </x:c>
      <x:c r="C542" s="1" t="str">
        <x:v>診断3場</x:v>
      </x:c>
      <x:c r="D542" s="47" t="n">
        <x:v>438612</x:v>
      </x:c>
      <x:c r="E542" s="47" t="n">
        <x:v>512468</x:v>
      </x:c>
      <x:c r="F542" s="47" t="n">
        <x:f>D542-E542</x:f>
        <x:v>-73856</x:v>
      </x:c>
      <x:c r="G542" s="49" t="n">
        <x:v>0</x:v>
      </x:c>
      <x:c r="H542" s="49" t="n">
        <x:v>1</x:v>
      </x:c>
      <x:c r="I542" s="47" t="n">
        <x:v>-73856</x:v>
      </x:c>
      <x:c r="J542" s="49" t="n">
        <x:v>69</x:v>
      </x:c>
      <x:c r="K542" s="47" t="n">
        <x:v>-73856</x:v>
      </x:c>
      <x:c r="L542" s="47" t="n">
        <x:v>73856</x:v>
      </x:c>
      <x:c r="M542" s="48" t="n">
        <x:v>2.716666666666667</x:v>
      </x:c>
      <x:c r="N542" s="48" t="n">
        <x:v>340.45</x:v>
      </x:c>
      <x:c r="O542" s="49" t="n">
        <x:v>7</x:v>
      </x:c>
      <x:c r="P542" s="1" t="str">
        <x:v>夜小玉基準併用：短期二市場の合議・広め</x:v>
      </x:c>
      <x:c r="Q542" s="49" t="n">
        <x:v>0</x:v>
      </x:c>
      <x:c r="R542" s="50" t="n">
        <x:v>0.8105952380952381</x:v>
      </x:c>
      <x:c r="S542" s="50" t="n">
        <x:v>0.810595238095238</x:v>
      </x:c>
      <x:c r="T542" s="1" t="str">
        <x:v>デイ</x:v>
      </x:c>
      <x:c r="U542" s="49" t="n">
        <x:v>1</x:v>
      </x:c>
    </x:row>
    <x:row r="543" ht="22" customHeight="1">
      <x:c r="A543" s="1" t="str">
        <x:v>日経mini</x:v>
      </x:c>
      <x:c r="B543" s="1" t="str">
        <x:v>L02</x:v>
      </x:c>
      <x:c r="C543" s="1" t="str">
        <x:v>診断3場</x:v>
      </x:c>
      <x:c r="D543" s="47" t="n">
        <x:v>805072</x:v>
      </x:c>
      <x:c r="E543" s="47" t="n">
        <x:v>815396</x:v>
      </x:c>
      <x:c r="F543" s="47" t="n">
        <x:f>D543-E543</x:f>
        <x:v>-10324</x:v>
      </x:c>
      <x:c r="G543" s="49" t="n">
        <x:v>1</x:v>
      </x:c>
      <x:c r="H543" s="49" t="n">
        <x:v>1</x:v>
      </x:c>
      <x:c r="I543" s="47" t="n">
        <x:v>-140162</x:v>
      </x:c>
      <x:c r="J543" s="49" t="n">
        <x:v>116</x:v>
      </x:c>
      <x:c r="K543" s="47" t="n">
        <x:v>-140162</x:v>
      </x:c>
      <x:c r="L543" s="47" t="n">
        <x:v>140162</x:v>
      </x:c>
      <x:c r="M543" s="48" t="n">
        <x:v>3.275</x:v>
      </x:c>
      <x:c r="N543" s="48" t="n">
        <x:v>579.45</x:v>
      </x:c>
      <x:c r="O543" s="49" t="n">
        <x:v>7</x:v>
      </x:c>
      <x:c r="P543" s="1" t="str">
        <x:v>夜小玉基準併用：短期二市場の合議・広め</x:v>
      </x:c>
      <x:c r="Q543" s="49" t="n">
        <x:v>0</x:v>
      </x:c>
      <x:c r="R543" s="50" t="n">
        <x:v>0.7428846153846154</x:v>
      </x:c>
      <x:c r="S543" s="50" t="n">
        <x:v>0.7428846153846155</x:v>
      </x:c>
      <x:c r="T543" s="1" t="str">
        <x:v>ナイト</x:v>
      </x:c>
      <x:c r="U543" s="49" t="n">
        <x:v>2</x:v>
      </x:c>
    </x:row>
    <x:row r="544" ht="22" customHeight="1">
      <x:c r="A544" s="1" t="str">
        <x:v>日経mini</x:v>
      </x:c>
      <x:c r="B544" s="1" t="str">
        <x:v>L02</x:v>
      </x:c>
      <x:c r="C544" s="1" t="str">
        <x:v>診断3場</x:v>
      </x:c>
      <x:c r="D544" s="47" t="n">
        <x:v>738610</x:v>
      </x:c>
      <x:c r="E544" s="47" t="n">
        <x:v>952628</x:v>
      </x:c>
      <x:c r="F544" s="47" t="n">
        <x:f>D544-E544</x:f>
        <x:v>-214018</x:v>
      </x:c>
      <x:c r="G544" s="49" t="n">
        <x:v>0</x:v>
      </x:c>
      <x:c r="H544" s="49" t="n">
        <x:v>2</x:v>
      </x:c>
      <x:c r="I544" s="47" t="n">
        <x:v>-214018</x:v>
      </x:c>
      <x:c r="J544" s="49" t="n">
        <x:v>127</x:v>
      </x:c>
      <x:c r="K544" s="47" t="n">
        <x:v>-140162</x:v>
      </x:c>
      <x:c r="L544" s="47" t="n">
        <x:v>107009</x:v>
      </x:c>
      <x:c r="M544" s="48" t="n">
        <x:v>2.5</x:v>
      </x:c>
      <x:c r="N544" s="48" t="n">
        <x:v>454.625</x:v>
      </x:c>
      <x:c r="O544" s="49" t="n">
        <x:v>7</x:v>
      </x:c>
      <x:c r="P544" s="1" t="str">
        <x:v>夜小玉基準併用：短期二市場の合議・広め</x:v>
      </x:c>
      <x:c r="Q544" s="49" t="n">
        <x:v>0</x:v>
      </x:c>
      <x:c r="R544" s="50" t="n">
        <x:v>0.7699130036630037</x:v>
      </x:c>
      <x:c r="S544" s="50" t="n">
        <x:v>0.7577083333333333</x:v>
      </x:c>
      <x:c r="T544" s="1" t="str">
        <x:v>上昇</x:v>
      </x:c>
      <x:c r="U544" s="49" t="n">
        <x:v>2</x:v>
      </x:c>
    </x:row>
    <x:row r="545" ht="22" customHeight="1">
      <x:c r="A545" s="1" t="str">
        <x:v>日経mini</x:v>
      </x:c>
      <x:c r="B545" s="1" t="str">
        <x:v>L02</x:v>
      </x:c>
      <x:c r="C545" s="1" t="str">
        <x:v>診断3場</x:v>
      </x:c>
      <x:c r="D545" s="47" t="n">
        <x:v>505074</x:v>
      </x:c>
      <x:c r="E545" s="47" t="n">
        <x:v>375236</x:v>
      </x:c>
      <x:c r="F545" s="47" t="n">
        <x:f>D545-E545</x:f>
        <x:v>129838</x:v>
      </x:c>
      <x:c r="G545" s="49" t="n">
        <x:v>1</x:v>
      </x:c>
      <x:c r="H545" s="49" t="n">
        <x:v>0</x:v>
      </x:c>
      <x:c r="I545" s="47" t="n">
        <x:v>0</x:v>
      </x:c>
      <x:c r="J545" s="49" t="n">
        <x:v>58</x:v>
      </x:c>
      <x:c r="K545" s="47" t="n">
        <x:v>129838</x:v>
      </x:c>
      <x:c r="L545" s="47" t="n">
        <x:v>0</x:v>
      </x:c>
      <x:c r="M545" s="48" t="n">
        <x:v>4.266666666666667</x:v>
      </x:c>
      <x:c r="N545" s="48" t="n">
        <x:v>590.1</x:v>
      </x:c>
      <x:c r="O545" s="49" t="n">
        <x:v>7</x:v>
      </x:c>
      <x:c r="P545" s="1" t="str">
        <x:v>夜小玉基準併用：短期二市場の合議・広め</x:v>
      </x:c>
      <x:c r="Q545" s="49" t="n">
        <x:v>0</x:v>
      </x:c>
      <x:c r="R545" s="50" t="n">
        <x:v>0.7565384615384615</x:v>
      </x:c>
      <x:c r="S545" s="50" t="n">
        <x:v>0.7565384615384616</x:v>
      </x:c>
      <x:c r="T545" s="1" t="str">
        <x:v>下落</x:v>
      </x:c>
      <x:c r="U545" s="49" t="n">
        <x:v>1</x:v>
      </x:c>
    </x:row>
    <x:row r="546" ht="22" customHeight="1">
      <x:c r="A546" s="1" t="str">
        <x:v>日経mini</x:v>
      </x:c>
      <x:c r="B546" s="1" t="str">
        <x:v>L03</x:v>
      </x:c>
      <x:c r="C546" s="1" t="str">
        <x:v>全50場</x:v>
      </x:c>
      <x:c r="D546" s="47" t="n">
        <x:v>14893638</x:v>
      </x:c>
      <x:c r="E546" s="47" t="n">
        <x:v>19504124</x:v>
      </x:c>
      <x:c r="F546" s="47" t="n">
        <x:f>D546-E546</x:f>
        <x:v>-4610486</x:v>
      </x:c>
      <x:c r="G546" s="49" t="n">
        <x:v>12</x:v>
      </x:c>
      <x:c r="H546" s="49" t="n">
        <x:v>38</x:v>
      </x:c>
      <x:c r="I546" s="47" t="n">
        <x:v>-5221314</x:v>
      </x:c>
      <x:c r="J546" s="49" t="n">
        <x:v>2159</x:v>
      </x:c>
      <x:c r="K546" s="47" t="n">
        <x:v>-518698</x:v>
      </x:c>
      <x:c r="L546" s="47" t="n">
        <x:v>148796.52631578947</x:v>
      </x:c>
      <x:c r="M546" s="48" t="n">
        <x:v>3.4256666666666673</x:v>
      </x:c>
      <x:c r="N546" s="48" t="n">
        <x:v>424.8336666666666</x:v>
      </x:c>
      <x:c r="O546" s="49" t="n">
        <x:v>7</x:v>
      </x:c>
      <x:c r="P546" s="1" t="str">
        <x:v>夜小玉基準併用：中期支持中は短期逆行を保持・標準</x:v>
      </x:c>
      <x:c r="Q546" s="49" t="n">
        <x:v>0</x:v>
      </x:c>
      <x:c r="R546" s="50" t="n">
        <x:v>0.7374431623931623</x:v>
      </x:c>
      <x:c r="S546" s="50" t="n">
        <x:v>0.7080561111111111</x:v>
      </x:c>
      <x:c r="T546" s="1" t="str">
        <x:v>全場</x:v>
      </x:c>
      <x:c r="U546" s="49" t="n">
        <x:v>50</x:v>
      </x:c>
    </x:row>
    <x:row r="547" ht="22" customHeight="1">
      <x:c r="A547" s="1" t="str">
        <x:v>日経mini</x:v>
      </x:c>
      <x:c r="B547" s="1" t="str">
        <x:v>L03</x:v>
      </x:c>
      <x:c r="C547" s="1" t="str">
        <x:v>全50場</x:v>
      </x:c>
      <x:c r="D547" s="47" t="n">
        <x:v>7873284</x:v>
      </x:c>
      <x:c r="E547" s="47" t="n">
        <x:v>10231178</x:v>
      </x:c>
      <x:c r="F547" s="47" t="n">
        <x:f>D547-E547</x:f>
        <x:v>-2357894</x:v>
      </x:c>
      <x:c r="G547" s="49" t="n">
        <x:v>5</x:v>
      </x:c>
      <x:c r="H547" s="49" t="n">
        <x:v>20</x:v>
      </x:c>
      <x:c r="I547" s="47" t="n">
        <x:v>-2940258</x:v>
      </x:c>
      <x:c r="J547" s="49" t="n">
        <x:v>1121</x:v>
      </x:c>
      <x:c r="K547" s="47" t="n">
        <x:v>-518698</x:v>
      </x:c>
      <x:c r="L547" s="47" t="n">
        <x:v>148201</x:v>
      </x:c>
      <x:c r="M547" s="48" t="n">
        <x:v>3.4600000000000004</x:v>
      </x:c>
      <x:c r="N547" s="48" t="n">
        <x:v>350.86800000000005</x:v>
      </x:c>
      <x:c r="O547" s="49" t="n">
        <x:v>7</x:v>
      </x:c>
      <x:c r="P547" s="1" t="str">
        <x:v>夜小玉基準併用：中期支持中は短期逆行を保持・標準</x:v>
      </x:c>
      <x:c r="Q547" s="49" t="n">
        <x:v>0</x:v>
      </x:c>
      <x:c r="R547" s="50" t="n">
        <x:v>0.8353999999999999</x:v>
      </x:c>
      <x:c r="S547" s="50" t="n">
        <x:v>0.8354</x:v>
      </x:c>
      <x:c r="T547" s="1" t="str">
        <x:v>デイ</x:v>
      </x:c>
      <x:c r="U547" s="49" t="n">
        <x:v>25</x:v>
      </x:c>
    </x:row>
    <x:row r="548" ht="22" customHeight="1">
      <x:c r="A548" s="1" t="str">
        <x:v>日経mini</x:v>
      </x:c>
      <x:c r="B548" s="1" t="str">
        <x:v>L03</x:v>
      </x:c>
      <x:c r="C548" s="1" t="str">
        <x:v>全50場</x:v>
      </x:c>
      <x:c r="D548" s="47" t="n">
        <x:v>7020354</x:v>
      </x:c>
      <x:c r="E548" s="47" t="n">
        <x:v>9272946</x:v>
      </x:c>
      <x:c r="F548" s="47" t="n">
        <x:f>D548-E548</x:f>
        <x:v>-2252592</x:v>
      </x:c>
      <x:c r="G548" s="49" t="n">
        <x:v>7</x:v>
      </x:c>
      <x:c r="H548" s="49" t="n">
        <x:v>18</x:v>
      </x:c>
      <x:c r="I548" s="47" t="n">
        <x:v>-2577266</x:v>
      </x:c>
      <x:c r="J548" s="49" t="n">
        <x:v>1038</x:v>
      </x:c>
      <x:c r="K548" s="47" t="n">
        <x:v>-309008</x:v>
      </x:c>
      <x:c r="L548" s="47" t="n">
        <x:v>149458.22222222222</x:v>
      </x:c>
      <x:c r="M548" s="48" t="n">
        <x:v>3.3913333333333333</x:v>
      </x:c>
      <x:c r="N548" s="48" t="n">
        <x:v>498.7993333333333</x:v>
      </x:c>
      <x:c r="O548" s="49" t="n">
        <x:v>7</x:v>
      </x:c>
      <x:c r="P548" s="1" t="str">
        <x:v>夜小玉基準併用：中期支持中は短期逆行を保持・標準</x:v>
      </x:c>
      <x:c r="Q548" s="49" t="n">
        <x:v>0</x:v>
      </x:c>
      <x:c r="R548" s="50" t="n">
        <x:v>0.6394863247863248</x:v>
      </x:c>
      <x:c r="S548" s="50" t="n">
        <x:v>0.6394863247863248</x:v>
      </x:c>
      <x:c r="T548" s="1" t="str">
        <x:v>ナイト</x:v>
      </x:c>
      <x:c r="U548" s="49" t="n">
        <x:v>25</x:v>
      </x:c>
    </x:row>
    <x:row r="549" ht="22" customHeight="1">
      <x:c r="A549" s="1" t="str">
        <x:v>日経mini</x:v>
      </x:c>
      <x:c r="B549" s="1" t="str">
        <x:v>L03</x:v>
      </x:c>
      <x:c r="C549" s="1" t="str">
        <x:v>全50場</x:v>
      </x:c>
      <x:c r="D549" s="47" t="n">
        <x:v>7180890</x:v>
      </x:c>
      <x:c r="E549" s="47" t="n">
        <x:v>9257170</x:v>
      </x:c>
      <x:c r="F549" s="47" t="n">
        <x:f>D549-E549</x:f>
        <x:v>-2076280</x:v>
      </x:c>
      <x:c r="G549" s="49" t="n">
        <x:v>5</x:v>
      </x:c>
      <x:c r="H549" s="49" t="n">
        <x:v>19</x:v>
      </x:c>
      <x:c r="I549" s="47" t="n">
        <x:v>-2423338</x:v>
      </x:c>
      <x:c r="J549" s="49" t="n">
        <x:v>1039</x:v>
      </x:c>
      <x:c r="K549" s="47" t="n">
        <x:v>-308160</x:v>
      </x:c>
      <x:c r="L549" s="47" t="n">
        <x:v>128794.73684210527</x:v>
      </x:c>
      <x:c r="M549" s="48" t="n">
        <x:v>3.3486111111111114</x:v>
      </x:c>
      <x:c r="N549" s="48" t="n">
        <x:v>426.0868055555556</x:v>
      </x:c>
      <x:c r="O549" s="49" t="n">
        <x:v>7</x:v>
      </x:c>
      <x:c r="P549" s="1" t="str">
        <x:v>夜小玉基準併用：中期支持中は短期逆行を保持・標準</x:v>
      </x:c>
      <x:c r="Q549" s="49" t="n">
        <x:v>0</x:v>
      </x:c>
      <x:c r="R549" s="50" t="n">
        <x:v>0.7224632427757428</x:v>
      </x:c>
      <x:c r="S549" s="50" t="n">
        <x:v>0.6928240740740741</x:v>
      </x:c>
      <x:c r="T549" s="1" t="str">
        <x:v>上昇</x:v>
      </x:c>
      <x:c r="U549" s="49" t="n">
        <x:v>24</x:v>
      </x:c>
    </x:row>
    <x:row r="550" ht="22" customHeight="1">
      <x:c r="A550" s="1" t="str">
        <x:v>日経mini</x:v>
      </x:c>
      <x:c r="B550" s="1" t="str">
        <x:v>L03</x:v>
      </x:c>
      <x:c r="C550" s="1" t="str">
        <x:v>全50場</x:v>
      </x:c>
      <x:c r="D550" s="47" t="n">
        <x:v>7712748</x:v>
      </x:c>
      <x:c r="E550" s="47" t="n">
        <x:v>10246954</x:v>
      </x:c>
      <x:c r="F550" s="47" t="n">
        <x:f>D550-E550</x:f>
        <x:v>-2534206</x:v>
      </x:c>
      <x:c r="G550" s="49" t="n">
        <x:v>7</x:v>
      </x:c>
      <x:c r="H550" s="49" t="n">
        <x:v>19</x:v>
      </x:c>
      <x:c r="I550" s="47" t="n">
        <x:v>-3094186</x:v>
      </x:c>
      <x:c r="J550" s="49" t="n">
        <x:v>1120</x:v>
      </x:c>
      <x:c r="K550" s="47" t="n">
        <x:v>-518698</x:v>
      </x:c>
      <x:c r="L550" s="47" t="n">
        <x:v>168798.31578947368</x:v>
      </x:c>
      <x:c r="M550" s="48" t="n">
        <x:v>3.496794871794872</x:v>
      </x:c>
      <x:c r="N550" s="48" t="n">
        <x:v>423.6769230769231</x:v>
      </x:c>
      <x:c r="O550" s="49" t="n">
        <x:v>7</x:v>
      </x:c>
      <x:c r="P550" s="1" t="str">
        <x:v>夜小玉基準併用：中期支持中は短期逆行を保持・標準</x:v>
      </x:c>
      <x:c r="Q550" s="49" t="n">
        <x:v>0</x:v>
      </x:c>
      <x:c r="R550" s="50" t="n">
        <x:v>0.7512707805015496</x:v>
      </x:c>
      <x:c r="S550" s="50" t="n">
        <x:v>0.7228083989501313</x:v>
      </x:c>
      <x:c r="T550" s="1" t="str">
        <x:v>下落</x:v>
      </x:c>
      <x:c r="U550" s="49" t="n">
        <x:v>26</x:v>
      </x:c>
    </x:row>
    <x:row r="551" ht="22" customHeight="1">
      <x:c r="A551" s="1" t="str">
        <x:v>日経mini</x:v>
      </x:c>
      <x:c r="B551" s="1" t="str">
        <x:v>L03</x:v>
      </x:c>
      <x:c r="C551" s="1" t="str">
        <x:v>対照47場</x:v>
      </x:c>
      <x:c r="D551" s="47" t="n">
        <x:v>13895182</x:v>
      </x:c>
      <x:c r="E551" s="47" t="n">
        <x:v>18093492</x:v>
      </x:c>
      <x:c r="F551" s="47" t="n">
        <x:f>D551-E551</x:f>
        <x:v>-4198310</x:v>
      </x:c>
      <x:c r="G551" s="49" t="n">
        <x:v>11</x:v>
      </x:c>
      <x:c r="H551" s="49" t="n">
        <x:v>36</x:v>
      </x:c>
      <x:c r="I551" s="47" t="n">
        <x:v>-4809138</x:v>
      </x:c>
      <x:c r="J551" s="49" t="n">
        <x:v>2000</x:v>
      </x:c>
      <x:c r="K551" s="47" t="n">
        <x:v>-518698</x:v>
      </x:c>
      <x:c r="L551" s="47" t="n">
        <x:v>145383.11111111112</x:v>
      </x:c>
      <x:c r="M551" s="48" t="n">
        <x:v>3.4471631205673763</x:v>
      </x:c>
      <x:c r="N551" s="48" t="n">
        <x:v>420.32730496453905</x:v>
      </x:c>
      <x:c r="O551" s="49" t="n">
        <x:v>7</x:v>
      </x:c>
      <x:c r="P551" s="1" t="str">
        <x:v>夜小玉基準併用：中期支持中は短期逆行を保持・標準</x:v>
      </x:c>
      <x:c r="Q551" s="49" t="n">
        <x:v>0</x:v>
      </x:c>
      <x:c r="R551" s="50" t="n">
        <x:v>0.7356335567505781</x:v>
      </x:c>
      <x:c r="S551" s="50" t="n">
        <x:v>0.7050458006186058</x:v>
      </x:c>
      <x:c r="T551" s="1" t="str">
        <x:v>全場</x:v>
      </x:c>
      <x:c r="U551" s="49" t="n">
        <x:v>47</x:v>
      </x:c>
    </x:row>
    <x:row r="552" ht="22" customHeight="1">
      <x:c r="A552" s="1" t="str">
        <x:v>日経mini</x:v>
      </x:c>
      <x:c r="B552" s="1" t="str">
        <x:v>L03</x:v>
      </x:c>
      <x:c r="C552" s="1" t="str">
        <x:v>対照47場</x:v>
      </x:c>
      <x:c r="D552" s="47" t="n">
        <x:v>7583748</x:v>
      </x:c>
      <x:c r="E552" s="47" t="n">
        <x:v>9711942</x:v>
      </x:c>
      <x:c r="F552" s="47" t="n">
        <x:f>D552-E552</x:f>
        <x:v>-2128194</x:v>
      </x:c>
      <x:c r="G552" s="49" t="n">
        <x:v>5</x:v>
      </x:c>
      <x:c r="H552" s="49" t="n">
        <x:v>19</x:v>
      </x:c>
      <x:c r="I552" s="47" t="n">
        <x:v>-2710558</x:v>
      </x:c>
      <x:c r="J552" s="49" t="n">
        <x:v>1066</x:v>
      </x:c>
      <x:c r="K552" s="47" t="n">
        <x:v>-518698</x:v>
      </x:c>
      <x:c r="L552" s="47" t="n">
        <x:v>143911.57894736843</x:v>
      </x:c>
      <x:c r="M552" s="48" t="n">
        <x:v>3.4909722222222226</x:v>
      </x:c>
      <x:c r="N552" s="48" t="n">
        <x:v>350.62916666666666</x:v>
      </x:c>
      <x:c r="O552" s="49" t="n">
        <x:v>7</x:v>
      </x:c>
      <x:c r="P552" s="1" t="str">
        <x:v>夜小玉基準併用：中期支持中は短期逆行を保持・標準</x:v>
      </x:c>
      <x:c r="Q552" s="49" t="n">
        <x:v>0</x:v>
      </x:c>
      <x:c r="R552" s="50" t="n">
        <x:v>0.8348313492063492</x:v>
      </x:c>
      <x:c r="S552" s="50" t="n">
        <x:v>0.8348313492063493</x:v>
      </x:c>
      <x:c r="T552" s="1" t="str">
        <x:v>デイ</x:v>
      </x:c>
      <x:c r="U552" s="49" t="n">
        <x:v>24</x:v>
      </x:c>
    </x:row>
    <x:row r="553" ht="22" customHeight="1">
      <x:c r="A553" s="1" t="str">
        <x:v>日経mini</x:v>
      </x:c>
      <x:c r="B553" s="1" t="str">
        <x:v>L03</x:v>
      </x:c>
      <x:c r="C553" s="1" t="str">
        <x:v>対照47場</x:v>
      </x:c>
      <x:c r="D553" s="47" t="n">
        <x:v>6311434</x:v>
      </x:c>
      <x:c r="E553" s="47" t="n">
        <x:v>8381550</x:v>
      </x:c>
      <x:c r="F553" s="47" t="n">
        <x:f>D553-E553</x:f>
        <x:v>-2070116</x:v>
      </x:c>
      <x:c r="G553" s="49" t="n">
        <x:v>6</x:v>
      </x:c>
      <x:c r="H553" s="49" t="n">
        <x:v>17</x:v>
      </x:c>
      <x:c r="I553" s="47" t="n">
        <x:v>-2394790</x:v>
      </x:c>
      <x:c r="J553" s="49" t="n">
        <x:v>934</x:v>
      </x:c>
      <x:c r="K553" s="47" t="n">
        <x:v>-309008</x:v>
      </x:c>
      <x:c r="L553" s="47" t="n">
        <x:v>147027.76470588235</x:v>
      </x:c>
      <x:c r="M553" s="48" t="n">
        <x:v>3.4014492753623187</x:v>
      </x:c>
      <x:c r="N553" s="48" t="n">
        <x:v>493.05579710144934</x:v>
      </x:c>
      <x:c r="O553" s="49" t="n">
        <x:v>7</x:v>
      </x:c>
      <x:c r="P553" s="1" t="str">
        <x:v>夜小玉基準併用：中期支持中は短期逆行を保持・標準</x:v>
      </x:c>
      <x:c r="Q553" s="49" t="n">
        <x:v>0</x:v>
      </x:c>
      <x:c r="R553" s="50" t="n">
        <x:v>0.6321228167967299</x:v>
      </x:c>
      <x:c r="S553" s="50" t="n">
        <x:v>0.6321228167967298</x:v>
      </x:c>
      <x:c r="T553" s="1" t="str">
        <x:v>ナイト</x:v>
      </x:c>
      <x:c r="U553" s="49" t="n">
        <x:v>23</x:v>
      </x:c>
    </x:row>
    <x:row r="554" ht="22" customHeight="1">
      <x:c r="A554" s="1" t="str">
        <x:v>日経mini</x:v>
      </x:c>
      <x:c r="B554" s="1" t="str">
        <x:v>L03</x:v>
      </x:c>
      <x:c r="C554" s="1" t="str">
        <x:v>対照47場</x:v>
      </x:c>
      <x:c r="D554" s="47" t="n">
        <x:v>6600432</x:v>
      </x:c>
      <x:c r="E554" s="47" t="n">
        <x:v>8256236</x:v>
      </x:c>
      <x:c r="F554" s="47" t="n">
        <x:f>D554-E554</x:f>
        <x:v>-1655804</x:v>
      </x:c>
      <x:c r="G554" s="49" t="n">
        <x:v>5</x:v>
      </x:c>
      <x:c r="H554" s="49" t="n">
        <x:v>17</x:v>
      </x:c>
      <x:c r="I554" s="47" t="n">
        <x:v>-2002862</x:v>
      </x:c>
      <x:c r="J554" s="49" t="n">
        <x:v>935</x:v>
      </x:c>
      <x:c r="K554" s="47" t="n">
        <x:v>-308160</x:v>
      </x:c>
      <x:c r="L554" s="47" t="n">
        <x:v>119213.17647058824</x:v>
      </x:c>
      <x:c r="M554" s="48" t="n">
        <x:v>3.4257575757575767</x:v>
      </x:c>
      <x:c r="N554" s="48" t="n">
        <x:v>423.57803030303035</x:v>
      </x:c>
      <x:c r="O554" s="49" t="n">
        <x:v>7</x:v>
      </x:c>
      <x:c r="P554" s="1" t="str">
        <x:v>夜小玉基準併用：中期支持中は短期逆行を保持・標準</x:v>
      </x:c>
      <x:c r="Q554" s="49" t="n">
        <x:v>0</x:v>
      </x:c>
      <x:c r="R554" s="50" t="n">
        <x:v>0.7174526862026863</x:v>
      </x:c>
      <x:c r="S554" s="50" t="n">
        <x:v>0.6872209931170109</x:v>
      </x:c>
      <x:c r="T554" s="1" t="str">
        <x:v>上昇</x:v>
      </x:c>
      <x:c r="U554" s="49" t="n">
        <x:v>22</x:v>
      </x:c>
    </x:row>
    <x:row r="555" ht="22" customHeight="1">
      <x:c r="A555" s="1" t="str">
        <x:v>日経mini</x:v>
      </x:c>
      <x:c r="B555" s="1" t="str">
        <x:v>L03</x:v>
      </x:c>
      <x:c r="C555" s="1" t="str">
        <x:v>対照47場</x:v>
      </x:c>
      <x:c r="D555" s="47" t="n">
        <x:v>7294750</x:v>
      </x:c>
      <x:c r="E555" s="47" t="n">
        <x:v>9837256</x:v>
      </x:c>
      <x:c r="F555" s="47" t="n">
        <x:f>D555-E555</x:f>
        <x:v>-2542506</x:v>
      </x:c>
      <x:c r="G555" s="49" t="n">
        <x:v>6</x:v>
      </x:c>
      <x:c r="H555" s="49" t="n">
        <x:v>19</x:v>
      </x:c>
      <x:c r="I555" s="47" t="n">
        <x:v>-3102486</x:v>
      </x:c>
      <x:c r="J555" s="49" t="n">
        <x:v>1065</x:v>
      </x:c>
      <x:c r="K555" s="47" t="n">
        <x:v>-518698</x:v>
      </x:c>
      <x:c r="L555" s="47" t="n">
        <x:v>168798.31578947368</x:v>
      </x:c>
      <x:c r="M555" s="48" t="n">
        <x:v>3.466</x:v>
      </x:c>
      <x:c r="N555" s="48" t="n">
        <x:v>417.4666666666667</x:v>
      </x:c>
      <x:c r="O555" s="49" t="n">
        <x:v>7</x:v>
      </x:c>
      <x:c r="P555" s="1" t="str">
        <x:v>夜小玉基準併用：中期支持中は短期逆行を保持・標準</x:v>
      </x:c>
      <x:c r="Q555" s="49" t="n">
        <x:v>0</x:v>
      </x:c>
      <x:c r="R555" s="50" t="n">
        <x:v>0.7516327228327228</x:v>
      </x:c>
      <x:c r="S555" s="50" t="n">
        <x:v>0.7217611802674043</x:v>
      </x:c>
      <x:c r="T555" s="1" t="str">
        <x:v>下落</x:v>
      </x:c>
      <x:c r="U555" s="49" t="n">
        <x:v>25</x:v>
      </x:c>
    </x:row>
    <x:row r="556" ht="22" customHeight="1">
      <x:c r="A556" s="1" t="str">
        <x:v>日経mini</x:v>
      </x:c>
      <x:c r="B556" s="1" t="str">
        <x:v>L03</x:v>
      </x:c>
      <x:c r="C556" s="1" t="str">
        <x:v>診断3場</x:v>
      </x:c>
      <x:c r="D556" s="47" t="n">
        <x:v>998456</x:v>
      </x:c>
      <x:c r="E556" s="47" t="n">
        <x:v>1410632</x:v>
      </x:c>
      <x:c r="F556" s="47" t="n">
        <x:f>D556-E556</x:f>
        <x:v>-412176</x:v>
      </x:c>
      <x:c r="G556" s="49" t="n">
        <x:v>1</x:v>
      </x:c>
      <x:c r="H556" s="49" t="n">
        <x:v>2</x:v>
      </x:c>
      <x:c r="I556" s="47" t="n">
        <x:v>-420476</x:v>
      </x:c>
      <x:c r="J556" s="49" t="n">
        <x:v>159</x:v>
      </x:c>
      <x:c r="K556" s="47" t="n">
        <x:v>-229700</x:v>
      </x:c>
      <x:c r="L556" s="47" t="n">
        <x:v>210238</x:v>
      </x:c>
      <x:c r="M556" s="48" t="n">
        <x:v>3.0888888888888886</x:v>
      </x:c>
      <x:c r="N556" s="48" t="n">
        <x:v>495.43333333333334</x:v>
      </x:c>
      <x:c r="O556" s="49" t="n">
        <x:v>7</x:v>
      </x:c>
      <x:c r="P556" s="1" t="str">
        <x:v>夜小玉基準併用：中期支持中は短期逆行を保持・標準</x:v>
      </x:c>
      <x:c r="Q556" s="49" t="n">
        <x:v>0</x:v>
      </x:c>
      <x:c r="R556" s="50" t="n">
        <x:v>0.7657936507936508</x:v>
      </x:c>
      <x:c r="S556" s="50" t="n">
        <x:v>0.7506565656565657</x:v>
      </x:c>
      <x:c r="T556" s="1" t="str">
        <x:v>全場</x:v>
      </x:c>
      <x:c r="U556" s="49" t="n">
        <x:v>3</x:v>
      </x:c>
    </x:row>
    <x:row r="557" ht="22" customHeight="1">
      <x:c r="A557" s="1" t="str">
        <x:v>日経mini</x:v>
      </x:c>
      <x:c r="B557" s="1" t="str">
        <x:v>L03</x:v>
      </x:c>
      <x:c r="C557" s="1" t="str">
        <x:v>診断3場</x:v>
      </x:c>
      <x:c r="D557" s="47" t="n">
        <x:v>289536</x:v>
      </x:c>
      <x:c r="E557" s="47" t="n">
        <x:v>519236</x:v>
      </x:c>
      <x:c r="F557" s="47" t="n">
        <x:f>D557-E557</x:f>
        <x:v>-229700</x:v>
      </x:c>
      <x:c r="G557" s="49" t="n">
        <x:v>0</x:v>
      </x:c>
      <x:c r="H557" s="49" t="n">
        <x:v>1</x:v>
      </x:c>
      <x:c r="I557" s="47" t="n">
        <x:v>-229700</x:v>
      </x:c>
      <x:c r="J557" s="49" t="n">
        <x:v>55</x:v>
      </x:c>
      <x:c r="K557" s="47" t="n">
        <x:v>-229700</x:v>
      </x:c>
      <x:c r="L557" s="47" t="n">
        <x:v>229700</x:v>
      </x:c>
      <x:c r="M557" s="48" t="n">
        <x:v>2.716666666666667</x:v>
      </x:c>
      <x:c r="N557" s="48" t="n">
        <x:v>356.6</x:v>
      </x:c>
      <x:c r="O557" s="49" t="n">
        <x:v>7</x:v>
      </x:c>
      <x:c r="P557" s="1" t="str">
        <x:v>夜小玉基準併用：中期支持中は短期逆行を保持・標準</x:v>
      </x:c>
      <x:c r="Q557" s="49" t="n">
        <x:v>0</x:v>
      </x:c>
      <x:c r="R557" s="50" t="n">
        <x:v>0.849047619047619</x:v>
      </x:c>
      <x:c r="S557" s="50" t="n">
        <x:v>0.849047619047619</x:v>
      </x:c>
      <x:c r="T557" s="1" t="str">
        <x:v>デイ</x:v>
      </x:c>
      <x:c r="U557" s="49" t="n">
        <x:v>1</x:v>
      </x:c>
    </x:row>
    <x:row r="558" ht="22" customHeight="1">
      <x:c r="A558" s="1" t="str">
        <x:v>日経mini</x:v>
      </x:c>
      <x:c r="B558" s="1" t="str">
        <x:v>L03</x:v>
      </x:c>
      <x:c r="C558" s="1" t="str">
        <x:v>診断3場</x:v>
      </x:c>
      <x:c r="D558" s="47" t="n">
        <x:v>708920</x:v>
      </x:c>
      <x:c r="E558" s="47" t="n">
        <x:v>891396</x:v>
      </x:c>
      <x:c r="F558" s="47" t="n">
        <x:f>D558-E558</x:f>
        <x:v>-182476</x:v>
      </x:c>
      <x:c r="G558" s="49" t="n">
        <x:v>1</x:v>
      </x:c>
      <x:c r="H558" s="49" t="n">
        <x:v>1</x:v>
      </x:c>
      <x:c r="I558" s="47" t="n">
        <x:v>-190776</x:v>
      </x:c>
      <x:c r="J558" s="49" t="n">
        <x:v>104</x:v>
      </x:c>
      <x:c r="K558" s="47" t="n">
        <x:v>-190776</x:v>
      </x:c>
      <x:c r="L558" s="47" t="n">
        <x:v>190776</x:v>
      </x:c>
      <x:c r="M558" s="48" t="n">
        <x:v>3.275</x:v>
      </x:c>
      <x:c r="N558" s="48" t="n">
        <x:v>564.8499999999999</x:v>
      </x:c>
      <x:c r="O558" s="49" t="n">
        <x:v>7</x:v>
      </x:c>
      <x:c r="P558" s="1" t="str">
        <x:v>夜小玉基準併用：中期支持中は短期逆行を保持・標準</x:v>
      </x:c>
      <x:c r="Q558" s="49" t="n">
        <x:v>0</x:v>
      </x:c>
      <x:c r="R558" s="50" t="n">
        <x:v>0.7241666666666666</x:v>
      </x:c>
      <x:c r="S558" s="50" t="n">
        <x:v>0.7241666666666665</x:v>
      </x:c>
      <x:c r="T558" s="1" t="str">
        <x:v>ナイト</x:v>
      </x:c>
      <x:c r="U558" s="49" t="n">
        <x:v>2</x:v>
      </x:c>
    </x:row>
    <x:row r="559" ht="22" customHeight="1">
      <x:c r="A559" s="1" t="str">
        <x:v>日経mini</x:v>
      </x:c>
      <x:c r="B559" s="1" t="str">
        <x:v>L03</x:v>
      </x:c>
      <x:c r="C559" s="1" t="str">
        <x:v>診断3場</x:v>
      </x:c>
      <x:c r="D559" s="47" t="n">
        <x:v>580458</x:v>
      </x:c>
      <x:c r="E559" s="47" t="n">
        <x:v>1000934</x:v>
      </x:c>
      <x:c r="F559" s="47" t="n">
        <x:f>D559-E559</x:f>
        <x:v>-420476</x:v>
      </x:c>
      <x:c r="G559" s="49" t="n">
        <x:v>0</x:v>
      </x:c>
      <x:c r="H559" s="49" t="n">
        <x:v>2</x:v>
      </x:c>
      <x:c r="I559" s="47" t="n">
        <x:v>-420476</x:v>
      </x:c>
      <x:c r="J559" s="49" t="n">
        <x:v>104</x:v>
      </x:c>
      <x:c r="K559" s="47" t="n">
        <x:v>-229700</x:v>
      </x:c>
      <x:c r="L559" s="47" t="n">
        <x:v>210238</x:v>
      </x:c>
      <x:c r="M559" s="48" t="n">
        <x:v>2.5</x:v>
      </x:c>
      <x:c r="N559" s="48" t="n">
        <x:v>453.68333333333334</x:v>
      </x:c>
      <x:c r="O559" s="49" t="n">
        <x:v>7</x:v>
      </x:c>
      <x:c r="P559" s="1" t="str">
        <x:v>夜小玉基準併用：中期支持中は短期逆行を保持・標準</x:v>
      </x:c>
      <x:c r="Q559" s="49" t="n">
        <x:v>0</x:v>
      </x:c>
      <x:c r="R559" s="50" t="n">
        <x:v>0.7775793650793651</x:v>
      </x:c>
      <x:c r="S559" s="50" t="n">
        <x:v>0.7561388888888889</x:v>
      </x:c>
      <x:c r="T559" s="1" t="str">
        <x:v>上昇</x:v>
      </x:c>
      <x:c r="U559" s="49" t="n">
        <x:v>2</x:v>
      </x:c>
    </x:row>
    <x:row r="560" ht="22" customHeight="1">
      <x:c r="A560" s="1" t="str">
        <x:v>日経mini</x:v>
      </x:c>
      <x:c r="B560" s="1" t="str">
        <x:v>L03</x:v>
      </x:c>
      <x:c r="C560" s="1" t="str">
        <x:v>診断3場</x:v>
      </x:c>
      <x:c r="D560" s="47" t="n">
        <x:v>417998</x:v>
      </x:c>
      <x:c r="E560" s="47" t="n">
        <x:v>409698</x:v>
      </x:c>
      <x:c r="F560" s="47" t="n">
        <x:f>D560-E560</x:f>
        <x:v>8300</x:v>
      </x:c>
      <x:c r="G560" s="49" t="n">
        <x:v>1</x:v>
      </x:c>
      <x:c r="H560" s="49" t="n">
        <x:v>0</x:v>
      </x:c>
      <x:c r="I560" s="47" t="n">
        <x:v>0</x:v>
      </x:c>
      <x:c r="J560" s="49" t="n">
        <x:v>55</x:v>
      </x:c>
      <x:c r="K560" s="47" t="n">
        <x:v>8300</x:v>
      </x:c>
      <x:c r="L560" s="47" t="n">
        <x:v>0</x:v>
      </x:c>
      <x:c r="M560" s="48" t="n">
        <x:v>4.266666666666667</x:v>
      </x:c>
      <x:c r="N560" s="48" t="n">
        <x:v>578.9333333333333</x:v>
      </x:c>
      <x:c r="O560" s="49" t="n">
        <x:v>7</x:v>
      </x:c>
      <x:c r="P560" s="1" t="str">
        <x:v>夜小玉基準併用：中期支持中は短期逆行を保持・標準</x:v>
      </x:c>
      <x:c r="Q560" s="49" t="n">
        <x:v>0</x:v>
      </x:c>
      <x:c r="R560" s="50" t="n">
        <x:v>0.7422222222222222</x:v>
      </x:c>
      <x:c r="S560" s="50" t="n">
        <x:v>0.7422222222222221</x:v>
      </x:c>
      <x:c r="T560" s="1" t="str">
        <x:v>下落</x:v>
      </x:c>
      <x:c r="U560" s="49" t="n">
        <x:v>1</x:v>
      </x:c>
    </x:row>
    <x:row r="561" ht="22" customHeight="1">
      <x:c r="A561" s="1" t="str">
        <x:v>日経mini</x:v>
      </x:c>
      <x:c r="B561" s="1" t="str">
        <x:v>L04</x:v>
      </x:c>
      <x:c r="C561" s="1" t="str">
        <x:v>全50場</x:v>
      </x:c>
      <x:c r="D561" s="47" t="n">
        <x:v>14141496</x:v>
      </x:c>
      <x:c r="E561" s="47" t="n">
        <x:v>17875178</x:v>
      </x:c>
      <x:c r="F561" s="47" t="n">
        <x:f>D561-E561</x:f>
        <x:v>-3733682</x:v>
      </x:c>
      <x:c r="G561" s="49" t="n">
        <x:v>10</x:v>
      </x:c>
      <x:c r="H561" s="49" t="n">
        <x:v>40</x:v>
      </x:c>
      <x:c r="I561" s="47" t="n">
        <x:v>-4469972</x:v>
      </x:c>
      <x:c r="J561" s="49" t="n">
        <x:v>1933</x:v>
      </x:c>
      <x:c r="K561" s="47" t="n">
        <x:v>-420236</x:v>
      </x:c>
      <x:c r="L561" s="47" t="n">
        <x:v>124833.25</x:v>
      </x:c>
      <x:c r="M561" s="48" t="n">
        <x:v>3.4256666666666673</x:v>
      </x:c>
      <x:c r="N561" s="48" t="n">
        <x:v>466.5036666666667</x:v>
      </x:c>
      <x:c r="O561" s="49" t="n">
        <x:v>7</x:v>
      </x:c>
      <x:c r="P561" s="1" t="str">
        <x:v>夜小玉基準併用：中期支持中は短期逆行を保持・広め</x:v>
      </x:c>
      <x:c r="Q561" s="49" t="n">
        <x:v>0</x:v>
      </x:c>
      <x:c r="R561" s="50" t="n">
        <x:v>0.7965127594627595</x:v>
      </x:c>
      <x:c r="S561" s="50" t="n">
        <x:v>0.7775061111111111</x:v>
      </x:c>
      <x:c r="T561" s="1" t="str">
        <x:v>全場</x:v>
      </x:c>
      <x:c r="U561" s="49" t="n">
        <x:v>50</x:v>
      </x:c>
    </x:row>
    <x:row r="562" ht="22" customHeight="1">
      <x:c r="A562" s="1" t="str">
        <x:v>日経mini</x:v>
      </x:c>
      <x:c r="B562" s="1" t="str">
        <x:v>L04</x:v>
      </x:c>
      <x:c r="C562" s="1" t="str">
        <x:v>全50場</x:v>
      </x:c>
      <x:c r="D562" s="47" t="n">
        <x:v>7686518</x:v>
      </x:c>
      <x:c r="E562" s="47" t="n">
        <x:v>9762864</x:v>
      </x:c>
      <x:c r="F562" s="47" t="n">
        <x:f>D562-E562</x:f>
        <x:v>-2076346</x:v>
      </x:c>
      <x:c r="G562" s="49" t="n">
        <x:v>4</x:v>
      </x:c>
      <x:c r="H562" s="49" t="n">
        <x:v>21</x:v>
      </x:c>
      <x:c r="I562" s="47" t="n">
        <x:v>-2778404</x:v>
      </x:c>
      <x:c r="J562" s="49" t="n">
        <x:v>1059</x:v>
      </x:c>
      <x:c r="K562" s="47" t="n">
        <x:v>-420236</x:v>
      </x:c>
      <x:c r="L562" s="47" t="n">
        <x:v>134147.42857142858</x:v>
      </x:c>
      <x:c r="M562" s="48" t="n">
        <x:v>3.4600000000000004</x:v>
      </x:c>
      <x:c r="N562" s="48" t="n">
        <x:v>361.1446666666667</x:v>
      </x:c>
      <x:c r="O562" s="49" t="n">
        <x:v>7</x:v>
      </x:c>
      <x:c r="P562" s="1" t="str">
        <x:v>夜小玉基準併用：中期支持中は短期逆行を保持・広め</x:v>
      </x:c>
      <x:c r="Q562" s="49" t="n">
        <x:v>0</x:v>
      </x:c>
      <x:c r="R562" s="50" t="n">
        <x:v>0.859868253968254</x:v>
      </x:c>
      <x:c r="S562" s="50" t="n">
        <x:v>0.859868253968254</x:v>
      </x:c>
      <x:c r="T562" s="1" t="str">
        <x:v>デイ</x:v>
      </x:c>
      <x:c r="U562" s="49" t="n">
        <x:v>25</x:v>
      </x:c>
    </x:row>
    <x:row r="563" ht="22" customHeight="1">
      <x:c r="A563" s="1" t="str">
        <x:v>日経mini</x:v>
      </x:c>
      <x:c r="B563" s="1" t="str">
        <x:v>L04</x:v>
      </x:c>
      <x:c r="C563" s="1" t="str">
        <x:v>全50場</x:v>
      </x:c>
      <x:c r="D563" s="47" t="n">
        <x:v>6454978</x:v>
      </x:c>
      <x:c r="E563" s="47" t="n">
        <x:v>8112314</x:v>
      </x:c>
      <x:c r="F563" s="47" t="n">
        <x:f>D563-E563</x:f>
        <x:v>-1657336</x:v>
      </x:c>
      <x:c r="G563" s="49" t="n">
        <x:v>6</x:v>
      </x:c>
      <x:c r="H563" s="49" t="n">
        <x:v>19</x:v>
      </x:c>
      <x:c r="I563" s="47" t="n">
        <x:v>-2065786</x:v>
      </x:c>
      <x:c r="J563" s="49" t="n">
        <x:v>874</x:v>
      </x:c>
      <x:c r="K563" s="47" t="n">
        <x:v>-298468</x:v>
      </x:c>
      <x:c r="L563" s="47" t="n">
        <x:v>114538.63157894737</x:v>
      </x:c>
      <x:c r="M563" s="48" t="n">
        <x:v>3.3913333333333333</x:v>
      </x:c>
      <x:c r="N563" s="48" t="n">
        <x:v>571.8626666666667</x:v>
      </x:c>
      <x:c r="O563" s="49" t="n">
        <x:v>7</x:v>
      </x:c>
      <x:c r="P563" s="1" t="str">
        <x:v>夜小玉基準併用：中期支持中は短期逆行を保持・広め</x:v>
      </x:c>
      <x:c r="Q563" s="49" t="n">
        <x:v>0</x:v>
      </x:c>
      <x:c r="R563" s="50" t="n">
        <x:v>0.733157264957265</x:v>
      </x:c>
      <x:c r="S563" s="50" t="n">
        <x:v>0.733157264957265</x:v>
      </x:c>
      <x:c r="T563" s="1" t="str">
        <x:v>ナイト</x:v>
      </x:c>
      <x:c r="U563" s="49" t="n">
        <x:v>25</x:v>
      </x:c>
    </x:row>
    <x:row r="564" ht="22" customHeight="1">
      <x:c r="A564" s="1" t="str">
        <x:v>日経mini</x:v>
      </x:c>
      <x:c r="B564" s="1" t="str">
        <x:v>L04</x:v>
      </x:c>
      <x:c r="C564" s="1" t="str">
        <x:v>全50場</x:v>
      </x:c>
      <x:c r="D564" s="47" t="n">
        <x:v>6755974</x:v>
      </x:c>
      <x:c r="E564" s="47" t="n">
        <x:v>8635314</x:v>
      </x:c>
      <x:c r="F564" s="47" t="n">
        <x:f>D564-E564</x:f>
        <x:v>-1879340</x:v>
      </x:c>
      <x:c r="G564" s="49" t="n">
        <x:v>6</x:v>
      </x:c>
      <x:c r="H564" s="49" t="n">
        <x:v>18</x:v>
      </x:c>
      <x:c r="I564" s="47" t="n">
        <x:v>-2253558</x:v>
      </x:c>
      <x:c r="J564" s="49" t="n">
        <x:v>929</x:v>
      </x:c>
      <x:c r="K564" s="47" t="n">
        <x:v>-332006</x:v>
      </x:c>
      <x:c r="L564" s="47" t="n">
        <x:v>129957.66666666667</x:v>
      </x:c>
      <x:c r="M564" s="48" t="n">
        <x:v>3.3486111111111114</x:v>
      </x:c>
      <x:c r="N564" s="48" t="n">
        <x:v>461.4583333333333</x:v>
      </x:c>
      <x:c r="O564" s="49" t="n">
        <x:v>7</x:v>
      </x:c>
      <x:c r="P564" s="1" t="str">
        <x:v>夜小玉基準併用：中期支持中は短期逆行を保持・広め</x:v>
      </x:c>
      <x:c r="Q564" s="49" t="n">
        <x:v>0</x:v>
      </x:c>
      <x:c r="R564" s="50" t="n">
        <x:v>0.7722107753357753</x:v>
      </x:c>
      <x:c r="S564" s="50" t="n">
        <x:v>0.7503387533875339</x:v>
      </x:c>
      <x:c r="T564" s="1" t="str">
        <x:v>上昇</x:v>
      </x:c>
      <x:c r="U564" s="49" t="n">
        <x:v>24</x:v>
      </x:c>
    </x:row>
    <x:row r="565" ht="22" customHeight="1">
      <x:c r="A565" s="1" t="str">
        <x:v>日経mini</x:v>
      </x:c>
      <x:c r="B565" s="1" t="str">
        <x:v>L04</x:v>
      </x:c>
      <x:c r="C565" s="1" t="str">
        <x:v>全50場</x:v>
      </x:c>
      <x:c r="D565" s="47" t="n">
        <x:v>7385522</x:v>
      </x:c>
      <x:c r="E565" s="47" t="n">
        <x:v>9239864</x:v>
      </x:c>
      <x:c r="F565" s="47" t="n">
        <x:f>D565-E565</x:f>
        <x:v>-1854342</x:v>
      </x:c>
      <x:c r="G565" s="49" t="n">
        <x:v>4</x:v>
      </x:c>
      <x:c r="H565" s="49" t="n">
        <x:v>22</x:v>
      </x:c>
      <x:c r="I565" s="47" t="n">
        <x:v>-2590632</x:v>
      </x:c>
      <x:c r="J565" s="49" t="n">
        <x:v>1004</x:v>
      </x:c>
      <x:c r="K565" s="47" t="n">
        <x:v>-420236</x:v>
      </x:c>
      <x:c r="L565" s="47" t="n">
        <x:v>120640.54545454546</x:v>
      </x:c>
      <x:c r="M565" s="48" t="n">
        <x:v>3.496794871794872</x:v>
      </x:c>
      <x:c r="N565" s="48" t="n">
        <x:v>471.1608974358973</x:v>
      </x:c>
      <x:c r="O565" s="49" t="n">
        <x:v>7</x:v>
      </x:c>
      <x:c r="P565" s="1" t="str">
        <x:v>夜小玉基準併用：中期支持中は短期逆行を保持・広め</x:v>
      </x:c>
      <x:c r="Q565" s="49" t="n">
        <x:v>0</x:v>
      </x:c>
      <x:c r="R565" s="50" t="n">
        <x:v>0.8189453601953602</x:v>
      </x:c>
      <x:c r="S565" s="50" t="n">
        <x:v>0.8038178040244969</x:v>
      </x:c>
      <x:c r="T565" s="1" t="str">
        <x:v>下落</x:v>
      </x:c>
      <x:c r="U565" s="49" t="n">
        <x:v>26</x:v>
      </x:c>
    </x:row>
    <x:row r="566" ht="22" customHeight="1">
      <x:c r="A566" s="1" t="str">
        <x:v>日経mini</x:v>
      </x:c>
      <x:c r="B566" s="1" t="str">
        <x:v>L04</x:v>
      </x:c>
      <x:c r="C566" s="1" t="str">
        <x:v>対照47場</x:v>
      </x:c>
      <x:c r="D566" s="47" t="n">
        <x:v>13252424</x:v>
      </x:c>
      <x:c r="E566" s="47" t="n">
        <x:v>16612086</x:v>
      </x:c>
      <x:c r="F566" s="47" t="n">
        <x:f>D566-E566</x:f>
        <x:v>-3359662</x:v>
      </x:c>
      <x:c r="G566" s="49" t="n">
        <x:v>10</x:v>
      </x:c>
      <x:c r="H566" s="49" t="n">
        <x:v>37</x:v>
      </x:c>
      <x:c r="I566" s="47" t="n">
        <x:v>-4095952</x:v>
      </x:c>
      <x:c r="J566" s="49" t="n">
        <x:v>1788</x:v>
      </x:c>
      <x:c r="K566" s="47" t="n">
        <x:v>-420236</x:v>
      </x:c>
      <x:c r="L566" s="47" t="n">
        <x:v>124846.21621621621</x:v>
      </x:c>
      <x:c r="M566" s="48" t="n">
        <x:v>3.4471631205673763</x:v>
      </x:c>
      <x:c r="N566" s="48" t="n">
        <x:v>461.9755319148937</x:v>
      </x:c>
      <x:c r="O566" s="49" t="n">
        <x:v>7</x:v>
      </x:c>
      <x:c r="P566" s="1" t="str">
        <x:v>夜小玉基準併用：中期支持中は短期逆行を保持・広め</x:v>
      </x:c>
      <x:c r="Q566" s="49" t="n">
        <x:v>0</x:v>
      </x:c>
      <x:c r="R566" s="50" t="n">
        <x:v>0.7949507053230457</x:v>
      </x:c>
      <x:c r="S566" s="50" t="n">
        <x:v>0.7749054246966453</x:v>
      </x:c>
      <x:c r="T566" s="1" t="str">
        <x:v>全場</x:v>
      </x:c>
      <x:c r="U566" s="49" t="n">
        <x:v>47</x:v>
      </x:c>
    </x:row>
    <x:row r="567" ht="22" customHeight="1">
      <x:c r="A567" s="1" t="str">
        <x:v>日経mini</x:v>
      </x:c>
      <x:c r="B567" s="1" t="str">
        <x:v>L04</x:v>
      </x:c>
      <x:c r="C567" s="1" t="str">
        <x:v>対照47場</x:v>
      </x:c>
      <x:c r="D567" s="47" t="n">
        <x:v>7404828</x:v>
      </x:c>
      <x:c r="E567" s="47" t="n">
        <x:v>9257628</x:v>
      </x:c>
      <x:c r="F567" s="47" t="n">
        <x:f>D567-E567</x:f>
        <x:v>-1852800</x:v>
      </x:c>
      <x:c r="G567" s="49" t="n">
        <x:v>4</x:v>
      </x:c>
      <x:c r="H567" s="49" t="n">
        <x:v>20</x:v>
      </x:c>
      <x:c r="I567" s="47" t="n">
        <x:v>-2554858</x:v>
      </x:c>
      <x:c r="J567" s="49" t="n">
        <x:v>1005</x:v>
      </x:c>
      <x:c r="K567" s="47" t="n">
        <x:v>-420236</x:v>
      </x:c>
      <x:c r="L567" s="47" t="n">
        <x:v>129677.5</x:v>
      </x:c>
      <x:c r="M567" s="48" t="n">
        <x:v>3.4909722222222226</x:v>
      </x:c>
      <x:c r="N567" s="48" t="n">
        <x:v>361.1826388888889</x:v>
      </x:c>
      <x:c r="O567" s="49" t="n">
        <x:v>7</x:v>
      </x:c>
      <x:c r="P567" s="1" t="str">
        <x:v>夜小玉基準併用：中期支持中は短期逆行を保持・広め</x:v>
      </x:c>
      <x:c r="Q567" s="49" t="n">
        <x:v>0</x:v>
      </x:c>
      <x:c r="R567" s="50" t="n">
        <x:v>0.859958664021164</x:v>
      </x:c>
      <x:c r="S567" s="50" t="n">
        <x:v>0.859958664021164</x:v>
      </x:c>
      <x:c r="T567" s="1" t="str">
        <x:v>デイ</x:v>
      </x:c>
      <x:c r="U567" s="49" t="n">
        <x:v>24</x:v>
      </x:c>
    </x:row>
    <x:row r="568" ht="22" customHeight="1">
      <x:c r="A568" s="1" t="str">
        <x:v>日経mini</x:v>
      </x:c>
      <x:c r="B568" s="1" t="str">
        <x:v>L04</x:v>
      </x:c>
      <x:c r="C568" s="1" t="str">
        <x:v>対照47場</x:v>
      </x:c>
      <x:c r="D568" s="47" t="n">
        <x:v>5847596</x:v>
      </x:c>
      <x:c r="E568" s="47" t="n">
        <x:v>7354458</x:v>
      </x:c>
      <x:c r="F568" s="47" t="n">
        <x:f>D568-E568</x:f>
        <x:v>-1506862</x:v>
      </x:c>
      <x:c r="G568" s="49" t="n">
        <x:v>6</x:v>
      </x:c>
      <x:c r="H568" s="49" t="n">
        <x:v>17</x:v>
      </x:c>
      <x:c r="I568" s="47" t="n">
        <x:v>-1915312</x:v>
      </x:c>
      <x:c r="J568" s="49" t="n">
        <x:v>783</x:v>
      </x:c>
      <x:c r="K568" s="47" t="n">
        <x:v>-298468</x:v>
      </x:c>
      <x:c r="L568" s="47" t="n">
        <x:v>119162.35294117648</x:v>
      </x:c>
      <x:c r="M568" s="48" t="n">
        <x:v>3.4014492753623187</x:v>
      </x:c>
      <x:c r="N568" s="48" t="n">
        <x:v>567.1507246376813</x:v>
      </x:c>
      <x:c r="O568" s="49" t="n">
        <x:v>7</x:v>
      </x:c>
      <x:c r="P568" s="1" t="str">
        <x:v>夜小玉基準併用：中期支持中は短期逆行を保持・広め</x:v>
      </x:c>
      <x:c r="Q568" s="49" t="n">
        <x:v>0</x:v>
      </x:c>
      <x:c r="R568" s="50" t="n">
        <x:v>0.7271163136380528</x:v>
      </x:c>
      <x:c r="S568" s="50" t="n">
        <x:v>0.7271163136380528</x:v>
      </x:c>
      <x:c r="T568" s="1" t="str">
        <x:v>ナイト</x:v>
      </x:c>
      <x:c r="U568" s="49" t="n">
        <x:v>23</x:v>
      </x:c>
    </x:row>
    <x:row r="569" ht="22" customHeight="1">
      <x:c r="A569" s="1" t="str">
        <x:v>日経mini</x:v>
      </x:c>
      <x:c r="B569" s="1" t="str">
        <x:v>L04</x:v>
      </x:c>
      <x:c r="C569" s="1" t="str">
        <x:v>対照47場</x:v>
      </x:c>
      <x:c r="D569" s="47" t="n">
        <x:v>6195362</x:v>
      </x:c>
      <x:c r="E569" s="47" t="n">
        <x:v>7769612</x:v>
      </x:c>
      <x:c r="F569" s="47" t="n">
        <x:f>D569-E569</x:f>
        <x:v>-1574250</x:v>
      </x:c>
      <x:c r="G569" s="49" t="n">
        <x:v>6</x:v>
      </x:c>
      <x:c r="H569" s="49" t="n">
        <x:v>16</x:v>
      </x:c>
      <x:c r="I569" s="47" t="n">
        <x:v>-1948468</x:v>
      </x:c>
      <x:c r="J569" s="49" t="n">
        <x:v>834</x:v>
      </x:c>
      <x:c r="K569" s="47" t="n">
        <x:v>-332006</x:v>
      </x:c>
      <x:c r="L569" s="47" t="n">
        <x:v>127134.25</x:v>
      </x:c>
      <x:c r="M569" s="48" t="n">
        <x:v>3.4257575757575767</x:v>
      </x:c>
      <x:c r="N569" s="48" t="n">
        <x:v>458.3439393939394</x:v>
      </x:c>
      <x:c r="O569" s="49" t="n">
        <x:v>7</x:v>
      </x:c>
      <x:c r="P569" s="1" t="str">
        <x:v>夜小玉基準併用：中期支持中は短期逆行を保持・広め</x:v>
      </x:c>
      <x:c r="Q569" s="49" t="n">
        <x:v>0</x:v>
      </x:c>
      <x:c r="R569" s="50" t="n">
        <x:v>0.7666422466422467</x:v>
      </x:c>
      <x:c r="S569" s="50" t="n">
        <x:v>0.7436258603736481</x:v>
      </x:c>
      <x:c r="T569" s="1" t="str">
        <x:v>上昇</x:v>
      </x:c>
      <x:c r="U569" s="49" t="n">
        <x:v>22</x:v>
      </x:c>
    </x:row>
    <x:row r="570" ht="22" customHeight="1">
      <x:c r="A570" s="1" t="str">
        <x:v>日経mini</x:v>
      </x:c>
      <x:c r="B570" s="1" t="str">
        <x:v>L04</x:v>
      </x:c>
      <x:c r="C570" s="1" t="str">
        <x:v>対照47場</x:v>
      </x:c>
      <x:c r="D570" s="47" t="n">
        <x:v>7057062</x:v>
      </x:c>
      <x:c r="E570" s="47" t="n">
        <x:v>8842474</x:v>
      </x:c>
      <x:c r="F570" s="47" t="n">
        <x:f>D570-E570</x:f>
        <x:v>-1785412</x:v>
      </x:c>
      <x:c r="G570" s="49" t="n">
        <x:v>4</x:v>
      </x:c>
      <x:c r="H570" s="49" t="n">
        <x:v>21</x:v>
      </x:c>
      <x:c r="I570" s="47" t="n">
        <x:v>-2521702</x:v>
      </x:c>
      <x:c r="J570" s="49" t="n">
        <x:v>954</x:v>
      </x:c>
      <x:c r="K570" s="47" t="n">
        <x:v>-420236</x:v>
      </x:c>
      <x:c r="L570" s="47" t="n">
        <x:v>123102.95238095238</x:v>
      </x:c>
      <x:c r="M570" s="48" t="n">
        <x:v>3.466</x:v>
      </x:c>
      <x:c r="N570" s="48" t="n">
        <x:v>465.1713333333332</x:v>
      </x:c>
      <x:c r="O570" s="49" t="n">
        <x:v>7</x:v>
      </x:c>
      <x:c r="P570" s="1" t="str">
        <x:v>夜小玉基準併用：中期支持中は短期逆行を保持・広め</x:v>
      </x:c>
      <x:c r="Q570" s="49" t="n">
        <x:v>0</x:v>
      </x:c>
      <x:c r="R570" s="50" t="n">
        <x:v>0.819862148962149</x:v>
      </x:c>
      <x:c r="S570" s="50" t="n">
        <x:v>0.8042381281696634</x:v>
      </x:c>
      <x:c r="T570" s="1" t="str">
        <x:v>下落</x:v>
      </x:c>
      <x:c r="U570" s="49" t="n">
        <x:v>25</x:v>
      </x:c>
    </x:row>
    <x:row r="571" ht="22" customHeight="1">
      <x:c r="A571" s="1" t="str">
        <x:v>日経mini</x:v>
      </x:c>
      <x:c r="B571" s="1" t="str">
        <x:v>L04</x:v>
      </x:c>
      <x:c r="C571" s="1" t="str">
        <x:v>診断3場</x:v>
      </x:c>
      <x:c r="D571" s="47" t="n">
        <x:v>889072</x:v>
      </x:c>
      <x:c r="E571" s="47" t="n">
        <x:v>1263092</x:v>
      </x:c>
      <x:c r="F571" s="47" t="n">
        <x:f>D571-E571</x:f>
        <x:v>-374020</x:v>
      </x:c>
      <x:c r="G571" s="49" t="n">
        <x:v>0</x:v>
      </x:c>
      <x:c r="H571" s="49" t="n">
        <x:v>3</x:v>
      </x:c>
      <x:c r="I571" s="47" t="n">
        <x:v>-374020</x:v>
      </x:c>
      <x:c r="J571" s="49" t="n">
        <x:v>145</x:v>
      </x:c>
      <x:c r="K571" s="47" t="n">
        <x:v>-223546</x:v>
      </x:c>
      <x:c r="L571" s="47" t="n">
        <x:v>124673.33333333333</x:v>
      </x:c>
      <x:c r="M571" s="48" t="n">
        <x:v>3.0888888888888886</x:v>
      </x:c>
      <x:c r="N571" s="48" t="n">
        <x:v>537.4444444444445</x:v>
      </x:c>
      <x:c r="O571" s="49" t="n">
        <x:v>7</x:v>
      </x:c>
      <x:c r="P571" s="1" t="str">
        <x:v>夜小玉基準併用：中期支持中は短期逆行を保持・広め</x:v>
      </x:c>
      <x:c r="Q571" s="49" t="n">
        <x:v>0</x:v>
      </x:c>
      <x:c r="R571" s="50" t="n">
        <x:v>0.8209849409849409</x:v>
      </x:c>
      <x:c r="S571" s="50" t="n">
        <x:v>0.8143097643097644</x:v>
      </x:c>
      <x:c r="T571" s="1" t="str">
        <x:v>全場</x:v>
      </x:c>
      <x:c r="U571" s="49" t="n">
        <x:v>3</x:v>
      </x:c>
    </x:row>
    <x:row r="572" ht="22" customHeight="1">
      <x:c r="A572" s="1" t="str">
        <x:v>日経mini</x:v>
      </x:c>
      <x:c r="B572" s="1" t="str">
        <x:v>L04</x:v>
      </x:c>
      <x:c r="C572" s="1" t="str">
        <x:v>診断3場</x:v>
      </x:c>
      <x:c r="D572" s="47" t="n">
        <x:v>281690</x:v>
      </x:c>
      <x:c r="E572" s="47" t="n">
        <x:v>505236</x:v>
      </x:c>
      <x:c r="F572" s="47" t="n">
        <x:f>D572-E572</x:f>
        <x:v>-223546</x:v>
      </x:c>
      <x:c r="G572" s="49" t="n">
        <x:v>0</x:v>
      </x:c>
      <x:c r="H572" s="49" t="n">
        <x:v>1</x:v>
      </x:c>
      <x:c r="I572" s="47" t="n">
        <x:v>-223546</x:v>
      </x:c>
      <x:c r="J572" s="49" t="n">
        <x:v>54</x:v>
      </x:c>
      <x:c r="K572" s="47" t="n">
        <x:v>-223546</x:v>
      </x:c>
      <x:c r="L572" s="47" t="n">
        <x:v>223546</x:v>
      </x:c>
      <x:c r="M572" s="48" t="n">
        <x:v>2.716666666666667</x:v>
      </x:c>
      <x:c r="N572" s="48" t="n">
        <x:v>360.23333333333335</x:v>
      </x:c>
      <x:c r="O572" s="49" t="n">
        <x:v>7</x:v>
      </x:c>
      <x:c r="P572" s="1" t="str">
        <x:v>夜小玉基準併用：中期支持中は短期逆行を保持・広め</x:v>
      </x:c>
      <x:c r="Q572" s="49" t="n">
        <x:v>0</x:v>
      </x:c>
      <x:c r="R572" s="50" t="n">
        <x:v>0.8576984126984127</x:v>
      </x:c>
      <x:c r="S572" s="50" t="n">
        <x:v>0.8576984126984127</x:v>
      </x:c>
      <x:c r="T572" s="1" t="str">
        <x:v>デイ</x:v>
      </x:c>
      <x:c r="U572" s="49" t="n">
        <x:v>1</x:v>
      </x:c>
    </x:row>
    <x:row r="573" ht="22" customHeight="1">
      <x:c r="A573" s="1" t="str">
        <x:v>日経mini</x:v>
      </x:c>
      <x:c r="B573" s="1" t="str">
        <x:v>L04</x:v>
      </x:c>
      <x:c r="C573" s="1" t="str">
        <x:v>診断3場</x:v>
      </x:c>
      <x:c r="D573" s="47" t="n">
        <x:v>607382</x:v>
      </x:c>
      <x:c r="E573" s="47" t="n">
        <x:v>757856</x:v>
      </x:c>
      <x:c r="F573" s="47" t="n">
        <x:f>D573-E573</x:f>
        <x:v>-150474</x:v>
      </x:c>
      <x:c r="G573" s="49" t="n">
        <x:v>0</x:v>
      </x:c>
      <x:c r="H573" s="49" t="n">
        <x:v>2</x:v>
      </x:c>
      <x:c r="I573" s="47" t="n">
        <x:v>-150474</x:v>
      </x:c>
      <x:c r="J573" s="49" t="n">
        <x:v>91</x:v>
      </x:c>
      <x:c r="K573" s="47" t="n">
        <x:v>-81544</x:v>
      </x:c>
      <x:c r="L573" s="47" t="n">
        <x:v>75237</x:v>
      </x:c>
      <x:c r="M573" s="48" t="n">
        <x:v>3.275</x:v>
      </x:c>
      <x:c r="N573" s="48" t="n">
        <x:v>626.05</x:v>
      </x:c>
      <x:c r="O573" s="49" t="n">
        <x:v>7</x:v>
      </x:c>
      <x:c r="P573" s="1" t="str">
        <x:v>夜小玉基準併用：中期支持中は短期逆行を保持・広め</x:v>
      </x:c>
      <x:c r="Q573" s="49" t="n">
        <x:v>0</x:v>
      </x:c>
      <x:c r="R573" s="50" t="n">
        <x:v>0.8026282051282051</x:v>
      </x:c>
      <x:c r="S573" s="50" t="n">
        <x:v>0.8026282051282051</x:v>
      </x:c>
      <x:c r="T573" s="1" t="str">
        <x:v>ナイト</x:v>
      </x:c>
      <x:c r="U573" s="49" t="n">
        <x:v>2</x:v>
      </x:c>
    </x:row>
    <x:row r="574" ht="22" customHeight="1">
      <x:c r="A574" s="1" t="str">
        <x:v>日経mini</x:v>
      </x:c>
      <x:c r="B574" s="1" t="str">
        <x:v>L04</x:v>
      </x:c>
      <x:c r="C574" s="1" t="str">
        <x:v>診断3場</x:v>
      </x:c>
      <x:c r="D574" s="47" t="n">
        <x:v>560612</x:v>
      </x:c>
      <x:c r="E574" s="47" t="n">
        <x:v>865702</x:v>
      </x:c>
      <x:c r="F574" s="47" t="n">
        <x:f>D574-E574</x:f>
        <x:v>-305090</x:v>
      </x:c>
      <x:c r="G574" s="49" t="n">
        <x:v>0</x:v>
      </x:c>
      <x:c r="H574" s="49" t="n">
        <x:v>2</x:v>
      </x:c>
      <x:c r="I574" s="47" t="n">
        <x:v>-305090</x:v>
      </x:c>
      <x:c r="J574" s="49" t="n">
        <x:v>95</x:v>
      </x:c>
      <x:c r="K574" s="47" t="n">
        <x:v>-223546</x:v>
      </x:c>
      <x:c r="L574" s="47" t="n">
        <x:v>152545</x:v>
      </x:c>
      <x:c r="M574" s="48" t="n">
        <x:v>2.5</x:v>
      </x:c>
      <x:c r="N574" s="48" t="n">
        <x:v>495.7166666666667</x:v>
      </x:c>
      <x:c r="O574" s="49" t="n">
        <x:v>7</x:v>
      </x:c>
      <x:c r="P574" s="1" t="str">
        <x:v>夜小玉基準併用：中期支持中は短期逆行を保持・広め</x:v>
      </x:c>
      <x:c r="Q574" s="49" t="n">
        <x:v>0</x:v>
      </x:c>
      <x:c r="R574" s="50" t="n">
        <x:v>0.833464590964591</x:v>
      </x:c>
      <x:c r="S574" s="50" t="n">
        <x:v>0.8261944444444445</x:v>
      </x:c>
      <x:c r="T574" s="1" t="str">
        <x:v>上昇</x:v>
      </x:c>
      <x:c r="U574" s="49" t="n">
        <x:v>2</x:v>
      </x:c>
    </x:row>
    <x:row r="575" ht="22" customHeight="1">
      <x:c r="A575" s="1" t="str">
        <x:v>日経mini</x:v>
      </x:c>
      <x:c r="B575" s="1" t="str">
        <x:v>L04</x:v>
      </x:c>
      <x:c r="C575" s="1" t="str">
        <x:v>診断3場</x:v>
      </x:c>
      <x:c r="D575" s="47" t="n">
        <x:v>328460</x:v>
      </x:c>
      <x:c r="E575" s="47" t="n">
        <x:v>397390</x:v>
      </x:c>
      <x:c r="F575" s="47" t="n">
        <x:f>D575-E575</x:f>
        <x:v>-68930</x:v>
      </x:c>
      <x:c r="G575" s="49" t="n">
        <x:v>0</x:v>
      </x:c>
      <x:c r="H575" s="49" t="n">
        <x:v>1</x:v>
      </x:c>
      <x:c r="I575" s="47" t="n">
        <x:v>-68930</x:v>
      </x:c>
      <x:c r="J575" s="49" t="n">
        <x:v>50</x:v>
      </x:c>
      <x:c r="K575" s="47" t="n">
        <x:v>-68930</x:v>
      </x:c>
      <x:c r="L575" s="47" t="n">
        <x:v>68930</x:v>
      </x:c>
      <x:c r="M575" s="48" t="n">
        <x:v>4.266666666666667</x:v>
      </x:c>
      <x:c r="N575" s="48" t="n">
        <x:v>620.9</x:v>
      </x:c>
      <x:c r="O575" s="49" t="n">
        <x:v>7</x:v>
      </x:c>
      <x:c r="P575" s="1" t="str">
        <x:v>夜小玉基準併用：中期支持中は短期逆行を保持・広め</x:v>
      </x:c>
      <x:c r="Q575" s="49" t="n">
        <x:v>0</x:v>
      </x:c>
      <x:c r="R575" s="50" t="n">
        <x:v>0.796025641025641</x:v>
      </x:c>
      <x:c r="S575" s="50" t="n">
        <x:v>0.796025641025641</x:v>
      </x:c>
      <x:c r="T575" s="1" t="str">
        <x:v>下落</x:v>
      </x:c>
      <x:c r="U575" s="49" t="n">
        <x:v>1</x:v>
      </x:c>
    </x:row>
    <x:row r="576" ht="22" customHeight="1">
      <x:c r="A576" s="1" t="str">
        <x:v>日経mini</x:v>
      </x:c>
      <x:c r="B576" s="1" t="str">
        <x:v>L05</x:v>
      </x:c>
      <x:c r="C576" s="1" t="str">
        <x:v>全50場</x:v>
      </x:c>
      <x:c r="D576" s="47" t="n">
        <x:v>17262368</x:v>
      </x:c>
      <x:c r="E576" s="47" t="n">
        <x:v>25510232</x:v>
      </x:c>
      <x:c r="F576" s="47" t="n">
        <x:f>D576-E576</x:f>
        <x:v>-8247864</x:v>
      </x:c>
      <x:c r="G576" s="49" t="n">
        <x:v>5</x:v>
      </x:c>
      <x:c r="H576" s="49" t="n">
        <x:v>45</x:v>
      </x:c>
      <x:c r="I576" s="47" t="n">
        <x:v>-8480764</x:v>
      </x:c>
      <x:c r="J576" s="49" t="n">
        <x:v>3116</x:v>
      </x:c>
      <x:c r="K576" s="47" t="n">
        <x:v>-596398</x:v>
      </x:c>
      <x:c r="L576" s="47" t="n">
        <x:v>190633.6</x:v>
      </x:c>
      <x:c r="M576" s="48" t="n">
        <x:v>3.4256666666666673</x:v>
      </x:c>
      <x:c r="N576" s="48" t="n">
        <x:v>454.2833333333333</x:v>
      </x:c>
      <x:c r="O576" s="49" t="n">
        <x:v>7</x:v>
      </x:c>
      <x:c r="P576" s="1" t="str">
        <x:v>夜小玉基準併用：反対合議で返済後に反転・標準</x:v>
      </x:c>
      <x:c r="Q576" s="49" t="n">
        <x:v>0</x:v>
      </x:c>
      <x:c r="R576" s="50" t="n">
        <x:v>0.7863643467643469</x:v>
      </x:c>
      <x:c r="S576" s="50" t="n">
        <x:v>0.7571388888888889</x:v>
      </x:c>
      <x:c r="T576" s="1" t="str">
        <x:v>全場</x:v>
      </x:c>
      <x:c r="U576" s="49" t="n">
        <x:v>50</x:v>
      </x:c>
    </x:row>
    <x:row r="577" ht="22" customHeight="1">
      <x:c r="A577" s="1" t="str">
        <x:v>日経mini</x:v>
      </x:c>
      <x:c r="B577" s="1" t="str">
        <x:v>L05</x:v>
      </x:c>
      <x:c r="C577" s="1" t="str">
        <x:v>全50場</x:v>
      </x:c>
      <x:c r="D577" s="47" t="n">
        <x:v>9356802</x:v>
      </x:c>
      <x:c r="E577" s="47" t="n">
        <x:v>13948170</x:v>
      </x:c>
      <x:c r="F577" s="47" t="n">
        <x:f>D577-E577</x:f>
        <x:v>-4591368</x:v>
      </x:c>
      <x:c r="G577" s="49" t="n">
        <x:v>2</x:v>
      </x:c>
      <x:c r="H577" s="49" t="n">
        <x:v>23</x:v>
      </x:c>
      <x:c r="I577" s="47" t="n">
        <x:v>-4706734</x:v>
      </x:c>
      <x:c r="J577" s="49" t="n">
        <x:v>1702</x:v>
      </x:c>
      <x:c r="K577" s="47" t="n">
        <x:v>-596398</x:v>
      </x:c>
      <x:c r="L577" s="47" t="n">
        <x:v>204640.60869565216</x:v>
      </x:c>
      <x:c r="M577" s="48" t="n">
        <x:v>3.4600000000000004</x:v>
      </x:c>
      <x:c r="N577" s="48" t="n">
        <x:v>371.1886666666667</x:v>
      </x:c>
      <x:c r="O577" s="49" t="n">
        <x:v>7</x:v>
      </x:c>
      <x:c r="P577" s="1" t="str">
        <x:v>夜小玉基準併用：反対合議で返済後に反転・標準</x:v>
      </x:c>
      <x:c r="Q577" s="49" t="n">
        <x:v>0</x:v>
      </x:c>
      <x:c r="R577" s="50" t="n">
        <x:v>0.8837825396825396</x:v>
      </x:c>
      <x:c r="S577" s="50" t="n">
        <x:v>0.8837825396825397</x:v>
      </x:c>
      <x:c r="T577" s="1" t="str">
        <x:v>デイ</x:v>
      </x:c>
      <x:c r="U577" s="49" t="n">
        <x:v>25</x:v>
      </x:c>
    </x:row>
    <x:row r="578" ht="22" customHeight="1">
      <x:c r="A578" s="1" t="str">
        <x:v>日経mini</x:v>
      </x:c>
      <x:c r="B578" s="1" t="str">
        <x:v>L05</x:v>
      </x:c>
      <x:c r="C578" s="1" t="str">
        <x:v>全50場</x:v>
      </x:c>
      <x:c r="D578" s="47" t="n">
        <x:v>7905566</x:v>
      </x:c>
      <x:c r="E578" s="47" t="n">
        <x:v>11562062</x:v>
      </x:c>
      <x:c r="F578" s="47" t="n">
        <x:f>D578-E578</x:f>
        <x:v>-3656496</x:v>
      </x:c>
      <x:c r="G578" s="49" t="n">
        <x:v>3</x:v>
      </x:c>
      <x:c r="H578" s="49" t="n">
        <x:v>22</x:v>
      </x:c>
      <x:c r="I578" s="47" t="n">
        <x:v>-3871778</x:v>
      </x:c>
      <x:c r="J578" s="49" t="n">
        <x:v>1414</x:v>
      </x:c>
      <x:c r="K578" s="47" t="n">
        <x:v>-450474</x:v>
      </x:c>
      <x:c r="L578" s="47" t="n">
        <x:v>175989.9090909091</x:v>
      </x:c>
      <x:c r="M578" s="48" t="n">
        <x:v>3.3913333333333333</x:v>
      </x:c>
      <x:c r="N578" s="48" t="n">
        <x:v>537.3779999999999</x:v>
      </x:c>
      <x:c r="O578" s="49" t="n">
        <x:v>7</x:v>
      </x:c>
      <x:c r="P578" s="1" t="str">
        <x:v>夜小玉基準併用：反対合議で返済後に反転・標準</x:v>
      </x:c>
      <x:c r="Q578" s="49" t="n">
        <x:v>0</x:v>
      </x:c>
      <x:c r="R578" s="50" t="n">
        <x:v>0.6889461538461538</x:v>
      </x:c>
      <x:c r="S578" s="50" t="n">
        <x:v>0.6889461538461539</x:v>
      </x:c>
      <x:c r="T578" s="1" t="str">
        <x:v>ナイト</x:v>
      </x:c>
      <x:c r="U578" s="49" t="n">
        <x:v>25</x:v>
      </x:c>
    </x:row>
    <x:row r="579" ht="22" customHeight="1">
      <x:c r="A579" s="1" t="str">
        <x:v>日経mini</x:v>
      </x:c>
      <x:c r="B579" s="1" t="str">
        <x:v>L05</x:v>
      </x:c>
      <x:c r="C579" s="1" t="str">
        <x:v>全50場</x:v>
      </x:c>
      <x:c r="D579" s="47" t="n">
        <x:v>8192100</x:v>
      </x:c>
      <x:c r="E579" s="47" t="n">
        <x:v>12087222</x:v>
      </x:c>
      <x:c r="F579" s="47" t="n">
        <x:f>D579-E579</x:f>
        <x:v>-3895122</x:v>
      </x:c>
      <x:c r="G579" s="49" t="n">
        <x:v>2</x:v>
      </x:c>
      <x:c r="H579" s="49" t="n">
        <x:v>22</x:v>
      </x:c>
      <x:c r="I579" s="47" t="n">
        <x:v>-4018262</x:v>
      </x:c>
      <x:c r="J579" s="49" t="n">
        <x:v>1512</x:v>
      </x:c>
      <x:c r="K579" s="47" t="n">
        <x:v>-492010</x:v>
      </x:c>
      <x:c r="L579" s="47" t="n">
        <x:v>182648.27272727274</x:v>
      </x:c>
      <x:c r="M579" s="48" t="n">
        <x:v>3.3486111111111114</x:v>
      </x:c>
      <x:c r="N579" s="48" t="n">
        <x:v>462.1104166666666</x:v>
      </x:c>
      <x:c r="O579" s="49" t="n">
        <x:v>7</x:v>
      </x:c>
      <x:c r="P579" s="1" t="str">
        <x:v>夜小玉基準併用：反対合議で返済後に反転・標準</x:v>
      </x:c>
      <x:c r="Q579" s="49" t="n">
        <x:v>0</x:v>
      </x:c>
      <x:c r="R579" s="50" t="n">
        <x:v>0.7792342032967033</x:v>
      </x:c>
      <x:c r="S579" s="50" t="n">
        <x:v>0.7513990514905149</x:v>
      </x:c>
      <x:c r="T579" s="1" t="str">
        <x:v>上昇</x:v>
      </x:c>
      <x:c r="U579" s="49" t="n">
        <x:v>24</x:v>
      </x:c>
    </x:row>
    <x:row r="580" ht="22" customHeight="1">
      <x:c r="A580" s="1" t="str">
        <x:v>日経mini</x:v>
      </x:c>
      <x:c r="B580" s="1" t="str">
        <x:v>L05</x:v>
      </x:c>
      <x:c r="C580" s="1" t="str">
        <x:v>全50場</x:v>
      </x:c>
      <x:c r="D580" s="47" t="n">
        <x:v>9070268</x:v>
      </x:c>
      <x:c r="E580" s="47" t="n">
        <x:v>13423010</x:v>
      </x:c>
      <x:c r="F580" s="47" t="n">
        <x:f>D580-E580</x:f>
        <x:v>-4352742</x:v>
      </x:c>
      <x:c r="G580" s="49" t="n">
        <x:v>3</x:v>
      </x:c>
      <x:c r="H580" s="49" t="n">
        <x:v>23</x:v>
      </x:c>
      <x:c r="I580" s="47" t="n">
        <x:v>-4560250</x:v>
      </x:c>
      <x:c r="J580" s="49" t="n">
        <x:v>1604</x:v>
      </x:c>
      <x:c r="K580" s="47" t="n">
        <x:v>-596398</x:v>
      </x:c>
      <x:c r="L580" s="47" t="n">
        <x:v>198271.73913043478</x:v>
      </x:c>
      <x:c r="M580" s="48" t="n">
        <x:v>3.496794871794872</x:v>
      </x:c>
      <x:c r="N580" s="48" t="n">
        <x:v>447.05833333333334</x:v>
      </x:c>
      <x:c r="O580" s="49" t="n">
        <x:v>7</x:v>
      </x:c>
      <x:c r="P580" s="1" t="str">
        <x:v>夜小玉基準併用：反対合議で返済後に反転・標準</x:v>
      </x:c>
      <x:c r="Q580" s="49" t="n">
        <x:v>0</x:v>
      </x:c>
      <x:c r="R580" s="50" t="n">
        <x:v>0.792946017657556</x:v>
      </x:c>
      <x:c r="S580" s="50" t="n">
        <x:v>0.7626979440069991</x:v>
      </x:c>
      <x:c r="T580" s="1" t="str">
        <x:v>下落</x:v>
      </x:c>
      <x:c r="U580" s="49" t="n">
        <x:v>26</x:v>
      </x:c>
    </x:row>
    <x:row r="581" ht="22" customHeight="1">
      <x:c r="A581" s="1" t="str">
        <x:v>日経mini</x:v>
      </x:c>
      <x:c r="B581" s="1" t="str">
        <x:v>L05</x:v>
      </x:c>
      <x:c r="C581" s="1" t="str">
        <x:v>対照47場</x:v>
      </x:c>
      <x:c r="D581" s="47" t="n">
        <x:v>15762070</x:v>
      </x:c>
      <x:c r="E581" s="47" t="n">
        <x:v>23872518</x:v>
      </x:c>
      <x:c r="F581" s="47" t="n">
        <x:f>D581-E581</x:f>
        <x:v>-8110448</x:v>
      </x:c>
      <x:c r="G581" s="49" t="n">
        <x:v>4</x:v>
      </x:c>
      <x:c r="H581" s="49" t="n">
        <x:v>43</x:v>
      </x:c>
      <x:c r="I581" s="47" t="n">
        <x:v>-8343348</x:v>
      </x:c>
      <x:c r="J581" s="49" t="n">
        <x:v>2897</x:v>
      </x:c>
      <x:c r="K581" s="47" t="n">
        <x:v>-596398</x:v>
      </x:c>
      <x:c r="L581" s="47" t="n">
        <x:v>195206.41860465117</x:v>
      </x:c>
      <x:c r="M581" s="48" t="n">
        <x:v>3.4471631205673763</x:v>
      </x:c>
      <x:c r="N581" s="48" t="n">
        <x:v>448.9464539007092</x:v>
      </x:c>
      <x:c r="O581" s="49" t="n">
        <x:v>7</x:v>
      </x:c>
      <x:c r="P581" s="1" t="str">
        <x:v>夜小玉基準併用：反対合議で返済後に反転・標準</x:v>
      </x:c>
      <x:c r="Q581" s="49" t="n">
        <x:v>0</x:v>
      </x:c>
      <x:c r="R581" s="50" t="n">
        <x:v>0.783545644662666</x:v>
      </x:c>
      <x:c r="S581" s="50" t="n">
        <x:v>0.7530507970497264</x:v>
      </x:c>
      <x:c r="T581" s="1" t="str">
        <x:v>全場</x:v>
      </x:c>
      <x:c r="U581" s="49" t="n">
        <x:v>47</x:v>
      </x:c>
    </x:row>
    <x:row r="582" ht="22" customHeight="1">
      <x:c r="A582" s="1" t="str">
        <x:v>日経mini</x:v>
      </x:c>
      <x:c r="B582" s="1" t="str">
        <x:v>L05</x:v>
      </x:c>
      <x:c r="C582" s="1" t="str">
        <x:v>対照47場</x:v>
      </x:c>
      <x:c r="D582" s="47" t="n">
        <x:v>8792960</x:v>
      </x:c>
      <x:c r="E582" s="47" t="n">
        <x:v>13361240</x:v>
      </x:c>
      <x:c r="F582" s="47" t="n">
        <x:f>D582-E582</x:f>
        <x:v>-4568280</x:v>
      </x:c>
      <x:c r="G582" s="49" t="n">
        <x:v>2</x:v>
      </x:c>
      <x:c r="H582" s="49" t="n">
        <x:v>22</x:v>
      </x:c>
      <x:c r="I582" s="47" t="n">
        <x:v>-4683646</x:v>
      </x:c>
      <x:c r="J582" s="49" t="n">
        <x:v>1625</x:v>
      </x:c>
      <x:c r="K582" s="47" t="n">
        <x:v>-596398</x:v>
      </x:c>
      <x:c r="L582" s="47" t="n">
        <x:v>212893</x:v>
      </x:c>
      <x:c r="M582" s="48" t="n">
        <x:v>3.4909722222222226</x:v>
      </x:c>
      <x:c r="N582" s="48" t="n">
        <x:v>370.62569444444443</x:v>
      </x:c>
      <x:c r="O582" s="49" t="n">
        <x:v>7</x:v>
      </x:c>
      <x:c r="P582" s="1" t="str">
        <x:v>夜小玉基準併用：反対合議で返済後に反転・標準</x:v>
      </x:c>
      <x:c r="Q582" s="49" t="n">
        <x:v>0</x:v>
      </x:c>
      <x:c r="R582" s="50" t="n">
        <x:v>0.8824421296296295</x:v>
      </x:c>
      <x:c r="S582" s="50" t="n">
        <x:v>0.8824421296296296</x:v>
      </x:c>
      <x:c r="T582" s="1" t="str">
        <x:v>デイ</x:v>
      </x:c>
      <x:c r="U582" s="49" t="n">
        <x:v>24</x:v>
      </x:c>
    </x:row>
    <x:row r="583" ht="22" customHeight="1">
      <x:c r="A583" s="1" t="str">
        <x:v>日経mini</x:v>
      </x:c>
      <x:c r="B583" s="1" t="str">
        <x:v>L05</x:v>
      </x:c>
      <x:c r="C583" s="1" t="str">
        <x:v>対照47場</x:v>
      </x:c>
      <x:c r="D583" s="47" t="n">
        <x:v>6969110</x:v>
      </x:c>
      <x:c r="E583" s="47" t="n">
        <x:v>10511278</x:v>
      </x:c>
      <x:c r="F583" s="47" t="n">
        <x:f>D583-E583</x:f>
        <x:v>-3542168</x:v>
      </x:c>
      <x:c r="G583" s="49" t="n">
        <x:v>2</x:v>
      </x:c>
      <x:c r="H583" s="49" t="n">
        <x:v>21</x:v>
      </x:c>
      <x:c r="I583" s="47" t="n">
        <x:v>-3710230</x:v>
      </x:c>
      <x:c r="J583" s="49" t="n">
        <x:v>1272</x:v>
      </x:c>
      <x:c r="K583" s="47" t="n">
        <x:v>-450474</x:v>
      </x:c>
      <x:c r="L583" s="47" t="n">
        <x:v>176677.61904761905</x:v>
      </x:c>
      <x:c r="M583" s="48" t="n">
        <x:v>3.4014492753623187</x:v>
      </x:c>
      <x:c r="N583" s="48" t="n">
        <x:v>530.6724637681159</x:v>
      </x:c>
      <x:c r="O583" s="49" t="n">
        <x:v>7</x:v>
      </x:c>
      <x:c r="P583" s="1" t="str">
        <x:v>夜小玉基準併用：反対合議で返済後に反転・標準</x:v>
      </x:c>
      <x:c r="Q583" s="49" t="n">
        <x:v>0</x:v>
      </x:c>
      <x:c r="R583" s="50" t="n">
        <x:v>0.6803493125232256</x:v>
      </x:c>
      <x:c r="S583" s="50" t="n">
        <x:v>0.6803493125232256</x:v>
      </x:c>
      <x:c r="T583" s="1" t="str">
        <x:v>ナイト</x:v>
      </x:c>
      <x:c r="U583" s="49" t="n">
        <x:v>23</x:v>
      </x:c>
    </x:row>
    <x:row r="584" ht="22" customHeight="1">
      <x:c r="A584" s="1" t="str">
        <x:v>日経mini</x:v>
      </x:c>
      <x:c r="B584" s="1" t="str">
        <x:v>L05</x:v>
      </x:c>
      <x:c r="C584" s="1" t="str">
        <x:v>対照47場</x:v>
      </x:c>
      <x:c r="D584" s="47" t="n">
        <x:v>7284414</x:v>
      </x:c>
      <x:c r="E584" s="47" t="n">
        <x:v>10994900</x:v>
      </x:c>
      <x:c r="F584" s="47" t="n">
        <x:f>D584-E584</x:f>
        <x:v>-3710486</x:v>
      </x:c>
      <x:c r="G584" s="49" t="n">
        <x:v>2</x:v>
      </x:c>
      <x:c r="H584" s="49" t="n">
        <x:v>20</x:v>
      </x:c>
      <x:c r="I584" s="47" t="n">
        <x:v>-3833626</x:v>
      </x:c>
      <x:c r="J584" s="49" t="n">
        <x:v>1368</x:v>
      </x:c>
      <x:c r="K584" s="47" t="n">
        <x:v>-492010</x:v>
      </x:c>
      <x:c r="L584" s="47" t="n">
        <x:v>191681.3</x:v>
      </x:c>
      <x:c r="M584" s="48" t="n">
        <x:v>3.4257575757575767</x:v>
      </x:c>
      <x:c r="N584" s="48" t="n">
        <x:v>458.3507575757576</x:v>
      </x:c>
      <x:c r="O584" s="49" t="n">
        <x:v>7</x:v>
      </x:c>
      <x:c r="P584" s="1" t="str">
        <x:v>夜小玉基準併用：反対合議で返済後に反転・標準</x:v>
      </x:c>
      <x:c r="Q584" s="49" t="n">
        <x:v>0</x:v>
      </x:c>
      <x:c r="R584" s="50" t="n">
        <x:v>0.7721787934287935</x:v>
      </x:c>
      <x:c r="S584" s="50" t="n">
        <x:v>0.7436369223205507</x:v>
      </x:c>
      <x:c r="T584" s="1" t="str">
        <x:v>上昇</x:v>
      </x:c>
      <x:c r="U584" s="49" t="n">
        <x:v>22</x:v>
      </x:c>
    </x:row>
    <x:row r="585" ht="22" customHeight="1">
      <x:c r="A585" s="1" t="str">
        <x:v>日経mini</x:v>
      </x:c>
      <x:c r="B585" s="1" t="str">
        <x:v>L05</x:v>
      </x:c>
      <x:c r="C585" s="1" t="str">
        <x:v>対照47場</x:v>
      </x:c>
      <x:c r="D585" s="47" t="n">
        <x:v>8477656</x:v>
      </x:c>
      <x:c r="E585" s="47" t="n">
        <x:v>12877618</x:v>
      </x:c>
      <x:c r="F585" s="47" t="n">
        <x:f>D585-E585</x:f>
        <x:v>-4399962</x:v>
      </x:c>
      <x:c r="G585" s="49" t="n">
        <x:v>2</x:v>
      </x:c>
      <x:c r="H585" s="49" t="n">
        <x:v>23</x:v>
      </x:c>
      <x:c r="I585" s="47" t="n">
        <x:v>-4560250</x:v>
      </x:c>
      <x:c r="J585" s="49" t="n">
        <x:v>1529</x:v>
      </x:c>
      <x:c r="K585" s="47" t="n">
        <x:v>-596398</x:v>
      </x:c>
      <x:c r="L585" s="47" t="n">
        <x:v>198271.73913043478</x:v>
      </x:c>
      <x:c r="M585" s="48" t="n">
        <x:v>3.466</x:v>
      </x:c>
      <x:c r="N585" s="48" t="n">
        <x:v>440.67066666666665</x:v>
      </x:c>
      <x:c r="O585" s="49" t="n">
        <x:v>7</x:v>
      </x:c>
      <x:c r="P585" s="1" t="str">
        <x:v>夜小玉基準併用：反対合議で返済後に反転・標準</x:v>
      </x:c>
      <x:c r="Q585" s="49" t="n">
        <x:v>0</x:v>
      </x:c>
      <x:c r="R585" s="50" t="n">
        <x:v>0.7935484737484737</x:v>
      </x:c>
      <x:c r="S585" s="50" t="n">
        <x:v>0.7618787459658829</x:v>
      </x:c>
      <x:c r="T585" s="1" t="str">
        <x:v>下落</x:v>
      </x:c>
      <x:c r="U585" s="49" t="n">
        <x:v>25</x:v>
      </x:c>
    </x:row>
    <x:row r="586" ht="22" customHeight="1">
      <x:c r="A586" s="1" t="str">
        <x:v>日経mini</x:v>
      </x:c>
      <x:c r="B586" s="1" t="str">
        <x:v>L05</x:v>
      </x:c>
      <x:c r="C586" s="1" t="str">
        <x:v>診断3場</x:v>
      </x:c>
      <x:c r="D586" s="47" t="n">
        <x:v>1500298</x:v>
      </x:c>
      <x:c r="E586" s="47" t="n">
        <x:v>1637714</x:v>
      </x:c>
      <x:c r="F586" s="47" t="n">
        <x:f>D586-E586</x:f>
        <x:v>-137416</x:v>
      </x:c>
      <x:c r="G586" s="49" t="n">
        <x:v>1</x:v>
      </x:c>
      <x:c r="H586" s="49" t="n">
        <x:v>2</x:v>
      </x:c>
      <x:c r="I586" s="47" t="n">
        <x:v>-184636</x:v>
      </x:c>
      <x:c r="J586" s="49" t="n">
        <x:v>219</x:v>
      </x:c>
      <x:c r="K586" s="47" t="n">
        <x:v>-161548</x:v>
      </x:c>
      <x:c r="L586" s="47" t="n">
        <x:v>92318</x:v>
      </x:c>
      <x:c r="M586" s="48" t="n">
        <x:v>3.0888888888888886</x:v>
      </x:c>
      <x:c r="N586" s="48" t="n">
        <x:v>537.8944444444445</x:v>
      </x:c>
      <x:c r="O586" s="49" t="n">
        <x:v>7</x:v>
      </x:c>
      <x:c r="P586" s="1" t="str">
        <x:v>夜小玉基準併用：反対合議で返済後に反転・標準</x:v>
      </x:c>
      <x:c r="Q586" s="49" t="n">
        <x:v>0</x:v>
      </x:c>
      <x:c r="R586" s="50" t="n">
        <x:v>0.830524013024013</x:v>
      </x:c>
      <x:c r="S586" s="50" t="n">
        <x:v>0.8149915824915825</x:v>
      </x:c>
      <x:c r="T586" s="1" t="str">
        <x:v>全場</x:v>
      </x:c>
      <x:c r="U586" s="49" t="n">
        <x:v>3</x:v>
      </x:c>
    </x:row>
    <x:row r="587" ht="22" customHeight="1">
      <x:c r="A587" s="1" t="str">
        <x:v>日経mini</x:v>
      </x:c>
      <x:c r="B587" s="1" t="str">
        <x:v>L05</x:v>
      </x:c>
      <x:c r="C587" s="1" t="str">
        <x:v>診断3場</x:v>
      </x:c>
      <x:c r="D587" s="47" t="n">
        <x:v>563842</x:v>
      </x:c>
      <x:c r="E587" s="47" t="n">
        <x:v>586930</x:v>
      </x:c>
      <x:c r="F587" s="47" t="n">
        <x:f>D587-E587</x:f>
        <x:v>-23088</x:v>
      </x:c>
      <x:c r="G587" s="49" t="n">
        <x:v>0</x:v>
      </x:c>
      <x:c r="H587" s="49" t="n">
        <x:v>1</x:v>
      </x:c>
      <x:c r="I587" s="47" t="n">
        <x:v>-23088</x:v>
      </x:c>
      <x:c r="J587" s="49" t="n">
        <x:v>77</x:v>
      </x:c>
      <x:c r="K587" s="47" t="n">
        <x:v>-23088</x:v>
      </x:c>
      <x:c r="L587" s="47" t="n">
        <x:v>23088</x:v>
      </x:c>
      <x:c r="M587" s="48" t="n">
        <x:v>2.716666666666667</x:v>
      </x:c>
      <x:c r="N587" s="48" t="n">
        <x:v>384.7</x:v>
      </x:c>
      <x:c r="O587" s="49" t="n">
        <x:v>7</x:v>
      </x:c>
      <x:c r="P587" s="1" t="str">
        <x:v>夜小玉基準併用：反対合議で返済後に反転・標準</x:v>
      </x:c>
      <x:c r="Q587" s="49" t="n">
        <x:v>0</x:v>
      </x:c>
      <x:c r="R587" s="50" t="n">
        <x:v>0.915952380952381</x:v>
      </x:c>
      <x:c r="S587" s="50" t="n">
        <x:v>0.915952380952381</x:v>
      </x:c>
      <x:c r="T587" s="1" t="str">
        <x:v>デイ</x:v>
      </x:c>
      <x:c r="U587" s="49" t="n">
        <x:v>1</x:v>
      </x:c>
    </x:row>
    <x:row r="588" ht="22" customHeight="1">
      <x:c r="A588" s="1" t="str">
        <x:v>日経mini</x:v>
      </x:c>
      <x:c r="B588" s="1" t="str">
        <x:v>L05</x:v>
      </x:c>
      <x:c r="C588" s="1" t="str">
        <x:v>診断3場</x:v>
      </x:c>
      <x:c r="D588" s="47" t="n">
        <x:v>936456</x:v>
      </x:c>
      <x:c r="E588" s="47" t="n">
        <x:v>1050784</x:v>
      </x:c>
      <x:c r="F588" s="47" t="n">
        <x:f>D588-E588</x:f>
        <x:v>-114328</x:v>
      </x:c>
      <x:c r="G588" s="49" t="n">
        <x:v>1</x:v>
      </x:c>
      <x:c r="H588" s="49" t="n">
        <x:v>1</x:v>
      </x:c>
      <x:c r="I588" s="47" t="n">
        <x:v>-161548</x:v>
      </x:c>
      <x:c r="J588" s="49" t="n">
        <x:v>142</x:v>
      </x:c>
      <x:c r="K588" s="47" t="n">
        <x:v>-161548</x:v>
      </x:c>
      <x:c r="L588" s="47" t="n">
        <x:v>161548</x:v>
      </x:c>
      <x:c r="M588" s="48" t="n">
        <x:v>3.275</x:v>
      </x:c>
      <x:c r="N588" s="48" t="n">
        <x:v>614.4916666666667</x:v>
      </x:c>
      <x:c r="O588" s="49" t="n">
        <x:v>7</x:v>
      </x:c>
      <x:c r="P588" s="1" t="str">
        <x:v>夜小玉基準併用：反対合議で返済後に反転・標準</x:v>
      </x:c>
      <x:c r="Q588" s="49" t="n">
        <x:v>0</x:v>
      </x:c>
      <x:c r="R588" s="50" t="n">
        <x:v>0.787809829059829</x:v>
      </x:c>
      <x:c r="S588" s="50" t="n">
        <x:v>0.7878098290598291</x:v>
      </x:c>
      <x:c r="T588" s="1" t="str">
        <x:v>ナイト</x:v>
      </x:c>
      <x:c r="U588" s="49" t="n">
        <x:v>2</x:v>
      </x:c>
    </x:row>
    <x:row r="589" ht="22" customHeight="1">
      <x:c r="A589" s="1" t="str">
        <x:v>日経mini</x:v>
      </x:c>
      <x:c r="B589" s="1" t="str">
        <x:v>L05</x:v>
      </x:c>
      <x:c r="C589" s="1" t="str">
        <x:v>診断3場</x:v>
      </x:c>
      <x:c r="D589" s="47" t="n">
        <x:v>907686</x:v>
      </x:c>
      <x:c r="E589" s="47" t="n">
        <x:v>1092322</x:v>
      </x:c>
      <x:c r="F589" s="47" t="n">
        <x:f>D589-E589</x:f>
        <x:v>-184636</x:v>
      </x:c>
      <x:c r="G589" s="49" t="n">
        <x:v>0</x:v>
      </x:c>
      <x:c r="H589" s="49" t="n">
        <x:v>2</x:v>
      </x:c>
      <x:c r="I589" s="47" t="n">
        <x:v>-184636</x:v>
      </x:c>
      <x:c r="J589" s="49" t="n">
        <x:v>144</x:v>
      </x:c>
      <x:c r="K589" s="47" t="n">
        <x:v>-161548</x:v>
      </x:c>
      <x:c r="L589" s="47" t="n">
        <x:v>92318</x:v>
      </x:c>
      <x:c r="M589" s="48" t="n">
        <x:v>2.5</x:v>
      </x:c>
      <x:c r="N589" s="48" t="n">
        <x:v>503.4666666666667</x:v>
      </x:c>
      <x:c r="O589" s="49" t="n">
        <x:v>7</x:v>
      </x:c>
      <x:c r="P589" s="1" t="str">
        <x:v>夜小玉基準併用：反対合議で返済後に反転・標準</x:v>
      </x:c>
      <x:c r="Q589" s="49" t="n">
        <x:v>0</x:v>
      </x:c>
      <x:c r="R589" s="50" t="n">
        <x:v>0.8568437118437118</x:v>
      </x:c>
      <x:c r="S589" s="50" t="n">
        <x:v>0.8391111111111111</x:v>
      </x:c>
      <x:c r="T589" s="1" t="str">
        <x:v>上昇</x:v>
      </x:c>
      <x:c r="U589" s="49" t="n">
        <x:v>2</x:v>
      </x:c>
    </x:row>
    <x:row r="590" ht="22" customHeight="1">
      <x:c r="A590" s="1" t="str">
        <x:v>日経mini</x:v>
      </x:c>
      <x:c r="B590" s="1" t="str">
        <x:v>L05</x:v>
      </x:c>
      <x:c r="C590" s="1" t="str">
        <x:v>診断3場</x:v>
      </x:c>
      <x:c r="D590" s="47" t="n">
        <x:v>592612</x:v>
      </x:c>
      <x:c r="E590" s="47" t="n">
        <x:v>545392</x:v>
      </x:c>
      <x:c r="F590" s="47" t="n">
        <x:f>D590-E590</x:f>
        <x:v>47220</x:v>
      </x:c>
      <x:c r="G590" s="49" t="n">
        <x:v>1</x:v>
      </x:c>
      <x:c r="H590" s="49" t="n">
        <x:v>0</x:v>
      </x:c>
      <x:c r="I590" s="47" t="n">
        <x:v>0</x:v>
      </x:c>
      <x:c r="J590" s="49" t="n">
        <x:v>75</x:v>
      </x:c>
      <x:c r="K590" s="47" t="n">
        <x:v>47220</x:v>
      </x:c>
      <x:c r="L590" s="47" t="n">
        <x:v>0</x:v>
      </x:c>
      <x:c r="M590" s="48" t="n">
        <x:v>4.266666666666667</x:v>
      </x:c>
      <x:c r="N590" s="48" t="n">
        <x:v>606.75</x:v>
      </x:c>
      <x:c r="O590" s="49" t="n">
        <x:v>7</x:v>
      </x:c>
      <x:c r="P590" s="1" t="str">
        <x:v>夜小玉基準併用：反対合議で返済後に反転・標準</x:v>
      </x:c>
      <x:c r="Q590" s="49" t="n">
        <x:v>0</x:v>
      </x:c>
      <x:c r="R590" s="50" t="n">
        <x:v>0.7778846153846154</x:v>
      </x:c>
      <x:c r="S590" s="50" t="n">
        <x:v>0.7778846153846154</x:v>
      </x:c>
      <x:c r="T590" s="1" t="str">
        <x:v>下落</x:v>
      </x:c>
      <x:c r="U590" s="49" t="n">
        <x:v>1</x:v>
      </x:c>
    </x:row>
    <x:row r="591" ht="22" customHeight="1">
      <x:c r="A591" s="1" t="str">
        <x:v>日経mini</x:v>
      </x:c>
      <x:c r="B591" s="1" t="str">
        <x:v>L06</x:v>
      </x:c>
      <x:c r="C591" s="1" t="str">
        <x:v>全50場</x:v>
      </x:c>
      <x:c r="D591" s="47" t="n">
        <x:v>17276374</x:v>
      </x:c>
      <x:c r="E591" s="47" t="n">
        <x:v>25098836</x:v>
      </x:c>
      <x:c r="F591" s="47" t="n">
        <x:f>D591-E591</x:f>
        <x:v>-7822462</x:v>
      </x:c>
      <x:c r="G591" s="49" t="n">
        <x:v>8</x:v>
      </x:c>
      <x:c r="H591" s="49" t="n">
        <x:v>42</x:v>
      </x:c>
      <x:c r="I591" s="47" t="n">
        <x:v>-8168592</x:v>
      </x:c>
      <x:c r="J591" s="49" t="n">
        <x:v>3003</x:v>
      </x:c>
      <x:c r="K591" s="47" t="n">
        <x:v>-582398</x:v>
      </x:c>
      <x:c r="L591" s="47" t="n">
        <x:v>198013.47619047618</x:v>
      </x:c>
      <x:c r="M591" s="48" t="n">
        <x:v>3.4256666666666673</x:v>
      </x:c>
      <x:c r="N591" s="48" t="n">
        <x:v>504.37933333333336</x:v>
      </x:c>
      <x:c r="O591" s="49" t="n">
        <x:v>7</x:v>
      </x:c>
      <x:c r="P591" s="1" t="str">
        <x:v>夜小玉基準併用：反対合議で返済後に反転・広め</x:v>
      </x:c>
      <x:c r="Q591" s="49" t="n">
        <x:v>0</x:v>
      </x:c>
      <x:c r="R591" s="50" t="n">
        <x:v>0.8573691086691086</x:v>
      </x:c>
      <x:c r="S591" s="50" t="n">
        <x:v>0.8406322222222222</x:v>
      </x:c>
      <x:c r="T591" s="1" t="str">
        <x:v>全場</x:v>
      </x:c>
      <x:c r="U591" s="49" t="n">
        <x:v>50</x:v>
      </x:c>
    </x:row>
    <x:row r="592" ht="22" customHeight="1">
      <x:c r="A592" s="1" t="str">
        <x:v>日経mini</x:v>
      </x:c>
      <x:c r="B592" s="1" t="str">
        <x:v>L06</x:v>
      </x:c>
      <x:c r="C592" s="1" t="str">
        <x:v>全50場</x:v>
      </x:c>
      <x:c r="D592" s="47" t="n">
        <x:v>9306188</x:v>
      </x:c>
      <x:c r="E592" s="47" t="n">
        <x:v>13832014</x:v>
      </x:c>
      <x:c r="F592" s="47" t="n">
        <x:f>D592-E592</x:f>
        <x:v>-4525826</x:v>
      </x:c>
      <x:c r="G592" s="49" t="n">
        <x:v>3</x:v>
      </x:c>
      <x:c r="H592" s="49" t="n">
        <x:v>22</x:v>
      </x:c>
      <x:c r="I592" s="47" t="n">
        <x:v>-4649884</x:v>
      </x:c>
      <x:c r="J592" s="49" t="n">
        <x:v>1679</x:v>
      </x:c>
      <x:c r="K592" s="47" t="n">
        <x:v>-582398</x:v>
      </x:c>
      <x:c r="L592" s="47" t="n">
        <x:v>211358.36363636365</x:v>
      </x:c>
      <x:c r="M592" s="48" t="n">
        <x:v>3.4600000000000004</x:v>
      </x:c>
      <x:c r="N592" s="48" t="n">
        <x:v>383.5266666666667</x:v>
      </x:c>
      <x:c r="O592" s="49" t="n">
        <x:v>7</x:v>
      </x:c>
      <x:c r="P592" s="1" t="str">
        <x:v>夜小玉基準併用：反対合議で返済後に反転・広め</x:v>
      </x:c>
      <x:c r="Q592" s="49" t="n">
        <x:v>0</x:v>
      </x:c>
      <x:c r="R592" s="50" t="n">
        <x:v>0.9131587301587303</x:v>
      </x:c>
      <x:c r="S592" s="50" t="n">
        <x:v>0.9131587301587301</x:v>
      </x:c>
      <x:c r="T592" s="1" t="str">
        <x:v>デイ</x:v>
      </x:c>
      <x:c r="U592" s="49" t="n">
        <x:v>25</x:v>
      </x:c>
    </x:row>
    <x:row r="593" ht="22" customHeight="1">
      <x:c r="A593" s="1" t="str">
        <x:v>日経mini</x:v>
      </x:c>
      <x:c r="B593" s="1" t="str">
        <x:v>L06</x:v>
      </x:c>
      <x:c r="C593" s="1" t="str">
        <x:v>全50場</x:v>
      </x:c>
      <x:c r="D593" s="47" t="n">
        <x:v>7970186</x:v>
      </x:c>
      <x:c r="E593" s="47" t="n">
        <x:v>11266822</x:v>
      </x:c>
      <x:c r="F593" s="47" t="n">
        <x:f>D593-E593</x:f>
        <x:v>-3296636</x:v>
      </x:c>
      <x:c r="G593" s="49" t="n">
        <x:v>5</x:v>
      </x:c>
      <x:c r="H593" s="49" t="n">
        <x:v>20</x:v>
      </x:c>
      <x:c r="I593" s="47" t="n">
        <x:v>-3625612</x:v>
      </x:c>
      <x:c r="J593" s="49" t="n">
        <x:v>1324</x:v>
      </x:c>
      <x:c r="K593" s="47" t="n">
        <x:v>-429858</x:v>
      </x:c>
      <x:c r="L593" s="47" t="n">
        <x:v>183334.1</x:v>
      </x:c>
      <x:c r="M593" s="48" t="n">
        <x:v>3.3913333333333333</x:v>
      </x:c>
      <x:c r="N593" s="48" t="n">
        <x:v>625.232</x:v>
      </x:c>
      <x:c r="O593" s="49" t="n">
        <x:v>7</x:v>
      </x:c>
      <x:c r="P593" s="1" t="str">
        <x:v>夜小玉基準併用：反対合議で返済後に反転・広め</x:v>
      </x:c>
      <x:c r="Q593" s="49" t="n">
        <x:v>0</x:v>
      </x:c>
      <x:c r="R593" s="50" t="n">
        <x:v>0.8015794871794872</x:v>
      </x:c>
      <x:c r="S593" s="50" t="n">
        <x:v>0.8015794871794871</x:v>
      </x:c>
      <x:c r="T593" s="1" t="str">
        <x:v>ナイト</x:v>
      </x:c>
      <x:c r="U593" s="49" t="n">
        <x:v>25</x:v>
      </x:c>
    </x:row>
    <x:row r="594" ht="22" customHeight="1">
      <x:c r="A594" s="1" t="str">
        <x:v>日経mini</x:v>
      </x:c>
      <x:c r="B594" s="1" t="str">
        <x:v>L06</x:v>
      </x:c>
      <x:c r="C594" s="1" t="str">
        <x:v>全50場</x:v>
      </x:c>
      <x:c r="D594" s="47" t="n">
        <x:v>8217950</x:v>
      </x:c>
      <x:c r="E594" s="47" t="n">
        <x:v>12106140</x:v>
      </x:c>
      <x:c r="F594" s="47" t="n">
        <x:f>D594-E594</x:f>
        <x:v>-3888190</x:v>
      </x:c>
      <x:c r="G594" s="49" t="n">
        <x:v>4</x:v>
      </x:c>
      <x:c r="H594" s="49" t="n">
        <x:v>20</x:v>
      </x:c>
      <x:c r="I594" s="47" t="n">
        <x:v>-4046176</x:v>
      </x:c>
      <x:c r="J594" s="49" t="n">
        <x:v>1454</x:v>
      </x:c>
      <x:c r="K594" s="47" t="n">
        <x:v>-562010</x:v>
      </x:c>
      <x:c r="L594" s="47" t="n">
        <x:v>203474</x:v>
      </x:c>
      <x:c r="M594" s="48" t="n">
        <x:v>3.3486111111111114</x:v>
      </x:c>
      <x:c r="N594" s="48" t="n">
        <x:v>516.0819444444445</x:v>
      </x:c>
      <x:c r="O594" s="49" t="n">
        <x:v>7</x:v>
      </x:c>
      <x:c r="P594" s="1" t="str">
        <x:v>夜小玉基準併用：反対合議で返済後に反転・広め</x:v>
      </x:c>
      <x:c r="Q594" s="49" t="n">
        <x:v>0</x:v>
      </x:c>
      <x:c r="R594" s="50" t="n">
        <x:v>0.853290343915344</x:v>
      </x:c>
      <x:c r="S594" s="50" t="n">
        <x:v>0.8391576332429991</x:v>
      </x:c>
      <x:c r="T594" s="1" t="str">
        <x:v>上昇</x:v>
      </x:c>
      <x:c r="U594" s="49" t="n">
        <x:v>24</x:v>
      </x:c>
    </x:row>
    <x:row r="595" ht="22" customHeight="1">
      <x:c r="A595" s="1" t="str">
        <x:v>日経mini</x:v>
      </x:c>
      <x:c r="B595" s="1" t="str">
        <x:v>L06</x:v>
      </x:c>
      <x:c r="C595" s="1" t="str">
        <x:v>全50場</x:v>
      </x:c>
      <x:c r="D595" s="47" t="n">
        <x:v>9058424</x:v>
      </x:c>
      <x:c r="E595" s="47" t="n">
        <x:v>12992696</x:v>
      </x:c>
      <x:c r="F595" s="47" t="n">
        <x:f>D595-E595</x:f>
        <x:v>-3934272</x:v>
      </x:c>
      <x:c r="G595" s="49" t="n">
        <x:v>4</x:v>
      </x:c>
      <x:c r="H595" s="49" t="n">
        <x:v>22</x:v>
      </x:c>
      <x:c r="I595" s="47" t="n">
        <x:v>-4229320</x:v>
      </x:c>
      <x:c r="J595" s="49" t="n">
        <x:v>1549</x:v>
      </x:c>
      <x:c r="K595" s="47" t="n">
        <x:v>-582398</x:v>
      </x:c>
      <x:c r="L595" s="47" t="n">
        <x:v>193049.36363636365</x:v>
      </x:c>
      <x:c r="M595" s="48" t="n">
        <x:v>3.496794871794872</x:v>
      </x:c>
      <x:c r="N595" s="48" t="n">
        <x:v>493.5769230769231</x:v>
      </x:c>
      <x:c r="O595" s="49" t="n">
        <x:v>7</x:v>
      </x:c>
      <x:c r="P595" s="1" t="str">
        <x:v>夜小玉基準併用：反対合議で返済後に反転・広め</x:v>
      </x:c>
      <x:c r="Q595" s="49" t="n">
        <x:v>0</x:v>
      </x:c>
      <x:c r="R595" s="50" t="n">
        <x:v>0.8611341222879686</x:v>
      </x:c>
      <x:c r="S595" s="50" t="n">
        <x:v>0.8420603674540682</x:v>
      </x:c>
      <x:c r="T595" s="1" t="str">
        <x:v>下落</x:v>
      </x:c>
      <x:c r="U595" s="49" t="n">
        <x:v>26</x:v>
      </x:c>
    </x:row>
    <x:row r="596" ht="22" customHeight="1">
      <x:c r="A596" s="1" t="str">
        <x:v>日経mini</x:v>
      </x:c>
      <x:c r="B596" s="1" t="str">
        <x:v>L06</x:v>
      </x:c>
      <x:c r="C596" s="1" t="str">
        <x:v>対照47場</x:v>
      </x:c>
      <x:c r="D596" s="47" t="n">
        <x:v>15826076</x:v>
      </x:c>
      <x:c r="E596" s="47" t="n">
        <x:v>23493738</x:v>
      </x:c>
      <x:c r="F596" s="47" t="n">
        <x:f>D596-E596</x:f>
        <x:v>-7667662</x:v>
      </x:c>
      <x:c r="G596" s="49" t="n">
        <x:v>7</x:v>
      </x:c>
      <x:c r="H596" s="49" t="n">
        <x:v>40</x:v>
      </x:c>
      <x:c r="I596" s="47" t="n">
        <x:v>-8013792</x:v>
      </x:c>
      <x:c r="J596" s="49" t="n">
        <x:v>2788</x:v>
      </x:c>
      <x:c r="K596" s="47" t="n">
        <x:v>-582398</x:v>
      </x:c>
      <x:c r="L596" s="47" t="n">
        <x:v>203202.1</x:v>
      </x:c>
      <x:c r="M596" s="48" t="n">
        <x:v>3.4471631205673763</x:v>
      </x:c>
      <x:c r="N596" s="48" t="n">
        <x:v>498.99042553191487</x:v>
      </x:c>
      <x:c r="O596" s="49" t="n">
        <x:v>7</x:v>
      </x:c>
      <x:c r="P596" s="1" t="str">
        <x:v>夜小玉基準併用：反対合議で返済後に反転・広め</x:v>
      </x:c>
      <x:c r="Q596" s="49" t="n">
        <x:v>0</x:v>
      </x:c>
      <x:c r="R596" s="50" t="n">
        <x:v>0.854892253136934</x:v>
      </x:c>
      <x:c r="S596" s="50" t="n">
        <x:v>0.8369932191291934</x:v>
      </x:c>
      <x:c r="T596" s="1" t="str">
        <x:v>全場</x:v>
      </x:c>
      <x:c r="U596" s="49" t="n">
        <x:v>47</x:v>
      </x:c>
    </x:row>
    <x:row r="597" ht="22" customHeight="1">
      <x:c r="A597" s="1" t="str">
        <x:v>日経mini</x:v>
      </x:c>
      <x:c r="B597" s="1" t="str">
        <x:v>L06</x:v>
      </x:c>
      <x:c r="C597" s="1" t="str">
        <x:v>対照47場</x:v>
      </x:c>
      <x:c r="D597" s="47" t="n">
        <x:v>8748346</x:v>
      </x:c>
      <x:c r="E597" s="47" t="n">
        <x:v>13220930</x:v>
      </x:c>
      <x:c r="F597" s="47" t="n">
        <x:f>D597-E597</x:f>
        <x:v>-4472584</x:v>
      </x:c>
      <x:c r="G597" s="49" t="n">
        <x:v>3</x:v>
      </x:c>
      <x:c r="H597" s="49" t="n">
        <x:v>21</x:v>
      </x:c>
      <x:c r="I597" s="47" t="n">
        <x:v>-4596642</x:v>
      </x:c>
      <x:c r="J597" s="49" t="n">
        <x:v>1601</x:v>
      </x:c>
      <x:c r="K597" s="47" t="n">
        <x:v>-582398</x:v>
      </x:c>
      <x:c r="L597" s="47" t="n">
        <x:v>218887.7142857143</x:v>
      </x:c>
      <x:c r="M597" s="48" t="n">
        <x:v>3.4909722222222226</x:v>
      </x:c>
      <x:c r="N597" s="48" t="n">
        <x:v>383.43472222222226</x:v>
      </x:c>
      <x:c r="O597" s="49" t="n">
        <x:v>7</x:v>
      </x:c>
      <x:c r="P597" s="1" t="str">
        <x:v>夜小玉基準併用：反対合議で返済後に反転・広め</x:v>
      </x:c>
      <x:c r="Q597" s="49" t="n">
        <x:v>0</x:v>
      </x:c>
      <x:c r="R597" s="50" t="n">
        <x:v>0.9129398148148149</x:v>
      </x:c>
      <x:c r="S597" s="50" t="n">
        <x:v>0.9129398148148147</x:v>
      </x:c>
      <x:c r="T597" s="1" t="str">
        <x:v>デイ</x:v>
      </x:c>
      <x:c r="U597" s="49" t="n">
        <x:v>24</x:v>
      </x:c>
    </x:row>
    <x:row r="598" ht="22" customHeight="1">
      <x:c r="A598" s="1" t="str">
        <x:v>日経mini</x:v>
      </x:c>
      <x:c r="B598" s="1" t="str">
        <x:v>L06</x:v>
      </x:c>
      <x:c r="C598" s="1" t="str">
        <x:v>対照47場</x:v>
      </x:c>
      <x:c r="D598" s="47" t="n">
        <x:v>7077730</x:v>
      </x:c>
      <x:c r="E598" s="47" t="n">
        <x:v>10272808</x:v>
      </x:c>
      <x:c r="F598" s="47" t="n">
        <x:f>D598-E598</x:f>
        <x:v>-3195078</x:v>
      </x:c>
      <x:c r="G598" s="49" t="n">
        <x:v>4</x:v>
      </x:c>
      <x:c r="H598" s="49" t="n">
        <x:v>19</x:v>
      </x:c>
      <x:c r="I598" s="47" t="n">
        <x:v>-3513676</x:v>
      </x:c>
      <x:c r="J598" s="49" t="n">
        <x:v>1187</x:v>
      </x:c>
      <x:c r="K598" s="47" t="n">
        <x:v>-429858</x:v>
      </x:c>
      <x:c r="L598" s="47" t="n">
        <x:v>185865.36842105264</x:v>
      </x:c>
      <x:c r="M598" s="48" t="n">
        <x:v>3.4014492753623187</x:v>
      </x:c>
      <x:c r="N598" s="48" t="n">
        <x:v>619.5702898550726</x:v>
      </x:c>
      <x:c r="O598" s="49" t="n">
        <x:v>7</x:v>
      </x:c>
      <x:c r="P598" s="1" t="str">
        <x:v>夜小玉基準併用：反対合議で返済後に反転・広め</x:v>
      </x:c>
      <x:c r="Q598" s="49" t="n">
        <x:v>0</x:v>
      </x:c>
      <x:c r="R598" s="50" t="n">
        <x:v>0.7943208844295802</x:v>
      </x:c>
      <x:c r="S598" s="50" t="n">
        <x:v>0.79432088442958</x:v>
      </x:c>
      <x:c r="T598" s="1" t="str">
        <x:v>ナイト</x:v>
      </x:c>
      <x:c r="U598" s="49" t="n">
        <x:v>23</x:v>
      </x:c>
    </x:row>
    <x:row r="599" ht="22" customHeight="1">
      <x:c r="A599" s="1" t="str">
        <x:v>日経mini</x:v>
      </x:c>
      <x:c r="B599" s="1" t="str">
        <x:v>L06</x:v>
      </x:c>
      <x:c r="C599" s="1" t="str">
        <x:v>対照47場</x:v>
      </x:c>
      <x:c r="D599" s="47" t="n">
        <x:v>7320418</x:v>
      </x:c>
      <x:c r="E599" s="47" t="n">
        <x:v>11020126</x:v>
      </x:c>
      <x:c r="F599" s="47" t="n">
        <x:f>D599-E599</x:f>
        <x:v>-3699708</x:v>
      </x:c>
      <x:c r="G599" s="49" t="n">
        <x:v>4</x:v>
      </x:c>
      <x:c r="H599" s="49" t="n">
        <x:v>18</x:v>
      </x:c>
      <x:c r="I599" s="47" t="n">
        <x:v>-3857694</x:v>
      </x:c>
      <x:c r="J599" s="49" t="n">
        <x:v>1311</x:v>
      </x:c>
      <x:c r="K599" s="47" t="n">
        <x:v>-562010</x:v>
      </x:c>
      <x:c r="L599" s="47" t="n">
        <x:v>215611</x:v>
      </x:c>
      <x:c r="M599" s="48" t="n">
        <x:v>3.4257575757575767</x:v>
      </x:c>
      <x:c r="N599" s="48" t="n">
        <x:v>514.0553030303031</x:v>
      </x:c>
      <x:c r="O599" s="49" t="n">
        <x:v>7</x:v>
      </x:c>
      <x:c r="P599" s="1" t="str">
        <x:v>夜小玉基準併用：反対合議で返済後に反転・広め</x:v>
      </x:c>
      <x:c r="Q599" s="49" t="n">
        <x:v>0</x:v>
      </x:c>
      <x:c r="R599" s="50" t="n">
        <x:v>0.8488471250971251</x:v>
      </x:c>
      <x:c r="S599" s="50" t="n">
        <x:v>0.834013028515241</x:v>
      </x:c>
      <x:c r="T599" s="1" t="str">
        <x:v>上昇</x:v>
      </x:c>
      <x:c r="U599" s="49" t="n">
        <x:v>22</x:v>
      </x:c>
    </x:row>
    <x:row r="600" ht="22" customHeight="1">
      <x:c r="A600" s="1" t="str">
        <x:v>日経mini</x:v>
      </x:c>
      <x:c r="B600" s="1" t="str">
        <x:v>L06</x:v>
      </x:c>
      <x:c r="C600" s="1" t="str">
        <x:v>対照47場</x:v>
      </x:c>
      <x:c r="D600" s="47" t="n">
        <x:v>8505658</x:v>
      </x:c>
      <x:c r="E600" s="47" t="n">
        <x:v>12473612</x:v>
      </x:c>
      <x:c r="F600" s="47" t="n">
        <x:f>D600-E600</x:f>
        <x:v>-3967954</x:v>
      </x:c>
      <x:c r="G600" s="49" t="n">
        <x:v>3</x:v>
      </x:c>
      <x:c r="H600" s="49" t="n">
        <x:v>22</x:v>
      </x:c>
      <x:c r="I600" s="47" t="n">
        <x:v>-4247086</x:v>
      </x:c>
      <x:c r="J600" s="49" t="n">
        <x:v>1477</x:v>
      </x:c>
      <x:c r="K600" s="47" t="n">
        <x:v>-582398</x:v>
      </x:c>
      <x:c r="L600" s="47" t="n">
        <x:v>193049.36363636365</x:v>
      </x:c>
      <x:c r="M600" s="48" t="n">
        <x:v>3.466</x:v>
      </x:c>
      <x:c r="N600" s="48" t="n">
        <x:v>485.73333333333335</x:v>
      </x:c>
      <x:c r="O600" s="49" t="n">
        <x:v>7</x:v>
      </x:c>
      <x:c r="P600" s="1" t="str">
        <x:v>夜小玉基準併用：反対合議で返済後に反転・広め</x:v>
      </x:c>
      <x:c r="Q600" s="49" t="n">
        <x:v>0</x:v>
      </x:c>
      <x:c r="R600" s="50" t="n">
        <x:v>0.8602119658119659</x:v>
      </x:c>
      <x:c r="S600" s="50" t="n">
        <x:v>0.8397879207007838</x:v>
      </x:c>
      <x:c r="T600" s="1" t="str">
        <x:v>下落</x:v>
      </x:c>
      <x:c r="U600" s="49" t="n">
        <x:v>25</x:v>
      </x:c>
    </x:row>
    <x:row r="601" ht="22" customHeight="1">
      <x:c r="A601" s="1" t="str">
        <x:v>日経mini</x:v>
      </x:c>
      <x:c r="B601" s="1" t="str">
        <x:v>L06</x:v>
      </x:c>
      <x:c r="C601" s="1" t="str">
        <x:v>診断3場</x:v>
      </x:c>
      <x:c r="D601" s="47" t="n">
        <x:v>1450298</x:v>
      </x:c>
      <x:c r="E601" s="47" t="n">
        <x:v>1605098</x:v>
      </x:c>
      <x:c r="F601" s="47" t="n">
        <x:f>D601-E601</x:f>
        <x:v>-154800</x:v>
      </x:c>
      <x:c r="G601" s="49" t="n">
        <x:v>1</x:v>
      </x:c>
      <x:c r="H601" s="49" t="n">
        <x:v>2</x:v>
      </x:c>
      <x:c r="I601" s="47" t="n">
        <x:v>-188482</x:v>
      </x:c>
      <x:c r="J601" s="49" t="n">
        <x:v>215</x:v>
      </x:c>
      <x:c r="K601" s="47" t="n">
        <x:v>-135240</x:v>
      </x:c>
      <x:c r="L601" s="47" t="n">
        <x:v>94241</x:v>
      </x:c>
      <x:c r="M601" s="48" t="n">
        <x:v>3.0888888888888886</x:v>
      </x:c>
      <x:c r="N601" s="48" t="n">
        <x:v>588.8055555555555</x:v>
      </x:c>
      <x:c r="O601" s="49" t="n">
        <x:v>7</x:v>
      </x:c>
      <x:c r="P601" s="1" t="str">
        <x:v>夜小玉基準併用：反対合議で返済後に反転・広め</x:v>
      </x:c>
      <x:c r="Q601" s="49" t="n">
        <x:v>0</x:v>
      </x:c>
      <x:c r="R601" s="50" t="n">
        <x:v>0.8961731786731786</x:v>
      </x:c>
      <x:c r="S601" s="50" t="n">
        <x:v>0.8921296296296296</x:v>
      </x:c>
      <x:c r="T601" s="1" t="str">
        <x:v>全場</x:v>
      </x:c>
      <x:c r="U601" s="49" t="n">
        <x:v>3</x:v>
      </x:c>
    </x:row>
    <x:row r="602" ht="22" customHeight="1">
      <x:c r="A602" s="1" t="str">
        <x:v>日経mini</x:v>
      </x:c>
      <x:c r="B602" s="1" t="str">
        <x:v>L06</x:v>
      </x:c>
      <x:c r="C602" s="1" t="str">
        <x:v>診断3場</x:v>
      </x:c>
      <x:c r="D602" s="47" t="n">
        <x:v>557842</x:v>
      </x:c>
      <x:c r="E602" s="47" t="n">
        <x:v>611084</x:v>
      </x:c>
      <x:c r="F602" s="47" t="n">
        <x:f>D602-E602</x:f>
        <x:v>-53242</x:v>
      </x:c>
      <x:c r="G602" s="49" t="n">
        <x:v>0</x:v>
      </x:c>
      <x:c r="H602" s="49" t="n">
        <x:v>1</x:v>
      </x:c>
      <x:c r="I602" s="47" t="n">
        <x:v>-53242</x:v>
      </x:c>
      <x:c r="J602" s="49" t="n">
        <x:v>78</x:v>
      </x:c>
      <x:c r="K602" s="47" t="n">
        <x:v>-53242</x:v>
      </x:c>
      <x:c r="L602" s="47" t="n">
        <x:v>53242</x:v>
      </x:c>
      <x:c r="M602" s="48" t="n">
        <x:v>2.716666666666667</x:v>
      </x:c>
      <x:c r="N602" s="48" t="n">
        <x:v>385.73333333333335</x:v>
      </x:c>
      <x:c r="O602" s="49" t="n">
        <x:v>7</x:v>
      </x:c>
      <x:c r="P602" s="1" t="str">
        <x:v>夜小玉基準併用：反対合議で返済後に反転・広め</x:v>
      </x:c>
      <x:c r="Q602" s="49" t="n">
        <x:v>0</x:v>
      </x:c>
      <x:c r="R602" s="50" t="n">
        <x:v>0.9184126984126985</x:v>
      </x:c>
      <x:c r="S602" s="50" t="n">
        <x:v>0.9184126984126985</x:v>
      </x:c>
      <x:c r="T602" s="1" t="str">
        <x:v>デイ</x:v>
      </x:c>
      <x:c r="U602" s="49" t="n">
        <x:v>1</x:v>
      </x:c>
    </x:row>
    <x:row r="603" ht="22" customHeight="1">
      <x:c r="A603" s="1" t="str">
        <x:v>日経mini</x:v>
      </x:c>
      <x:c r="B603" s="1" t="str">
        <x:v>L06</x:v>
      </x:c>
      <x:c r="C603" s="1" t="str">
        <x:v>診断3場</x:v>
      </x:c>
      <x:c r="D603" s="47" t="n">
        <x:v>892456</x:v>
      </x:c>
      <x:c r="E603" s="47" t="n">
        <x:v>994014</x:v>
      </x:c>
      <x:c r="F603" s="47" t="n">
        <x:f>D603-E603</x:f>
        <x:v>-101558</x:v>
      </x:c>
      <x:c r="G603" s="49" t="n">
        <x:v>1</x:v>
      </x:c>
      <x:c r="H603" s="49" t="n">
        <x:v>1</x:v>
      </x:c>
      <x:c r="I603" s="47" t="n">
        <x:v>-135240</x:v>
      </x:c>
      <x:c r="J603" s="49" t="n">
        <x:v>137</x:v>
      </x:c>
      <x:c r="K603" s="47" t="n">
        <x:v>-135240</x:v>
      </x:c>
      <x:c r="L603" s="47" t="n">
        <x:v>135240</x:v>
      </x:c>
      <x:c r="M603" s="48" t="n">
        <x:v>3.275</x:v>
      </x:c>
      <x:c r="N603" s="48" t="n">
        <x:v>690.3416666666667</x:v>
      </x:c>
      <x:c r="O603" s="49" t="n">
        <x:v>7</x:v>
      </x:c>
      <x:c r="P603" s="1" t="str">
        <x:v>夜小玉基準併用：反対合議で返済後に反転・広め</x:v>
      </x:c>
      <x:c r="Q603" s="49" t="n">
        <x:v>0</x:v>
      </x:c>
      <x:c r="R603" s="50" t="n">
        <x:v>0.8850534188034188</x:v>
      </x:c>
      <x:c r="S603" s="50" t="n">
        <x:v>0.8850534188034188</x:v>
      </x:c>
      <x:c r="T603" s="1" t="str">
        <x:v>ナイト</x:v>
      </x:c>
      <x:c r="U603" s="49" t="n">
        <x:v>2</x:v>
      </x:c>
    </x:row>
    <x:row r="604" ht="22" customHeight="1">
      <x:c r="A604" s="1" t="str">
        <x:v>日経mini</x:v>
      </x:c>
      <x:c r="B604" s="1" t="str">
        <x:v>L06</x:v>
      </x:c>
      <x:c r="C604" s="1" t="str">
        <x:v>診断3場</x:v>
      </x:c>
      <x:c r="D604" s="47" t="n">
        <x:v>897532</x:v>
      </x:c>
      <x:c r="E604" s="47" t="n">
        <x:v>1086014</x:v>
      </x:c>
      <x:c r="F604" s="47" t="n">
        <x:f>D604-E604</x:f>
        <x:v>-188482</x:v>
      </x:c>
      <x:c r="G604" s="49" t="n">
        <x:v>0</x:v>
      </x:c>
      <x:c r="H604" s="49" t="n">
        <x:v>2</x:v>
      </x:c>
      <x:c r="I604" s="47" t="n">
        <x:v>-188482</x:v>
      </x:c>
      <x:c r="J604" s="49" t="n">
        <x:v>143</x:v>
      </x:c>
      <x:c r="K604" s="47" t="n">
        <x:v>-135240</x:v>
      </x:c>
      <x:c r="L604" s="47" t="n">
        <x:v>94241</x:v>
      </x:c>
      <x:c r="M604" s="48" t="n">
        <x:v>2.5</x:v>
      </x:c>
      <x:c r="N604" s="48" t="n">
        <x:v>538.375</x:v>
      </x:c>
      <x:c r="O604" s="49" t="n">
        <x:v>7</x:v>
      </x:c>
      <x:c r="P604" s="1" t="str">
        <x:v>夜小玉基準併用：反対合議で返済後に反転・広め</x:v>
      </x:c>
      <x:c r="Q604" s="49" t="n">
        <x:v>0</x:v>
      </x:c>
      <x:c r="R604" s="50" t="n">
        <x:v>0.902165750915751</x:v>
      </x:c>
      <x:c r="S604" s="50" t="n">
        <x:v>0.8972916666666667</x:v>
      </x:c>
      <x:c r="T604" s="1" t="str">
        <x:v>上昇</x:v>
      </x:c>
      <x:c r="U604" s="49" t="n">
        <x:v>2</x:v>
      </x:c>
    </x:row>
    <x:row r="605" ht="22" customHeight="1">
      <x:c r="A605" s="1" t="str">
        <x:v>日経mini</x:v>
      </x:c>
      <x:c r="B605" s="1" t="str">
        <x:v>L06</x:v>
      </x:c>
      <x:c r="C605" s="1" t="str">
        <x:v>診断3場</x:v>
      </x:c>
      <x:c r="D605" s="47" t="n">
        <x:v>552766</x:v>
      </x:c>
      <x:c r="E605" s="47" t="n">
        <x:v>519084</x:v>
      </x:c>
      <x:c r="F605" s="47" t="n">
        <x:f>D605-E605</x:f>
        <x:v>33682</x:v>
      </x:c>
      <x:c r="G605" s="49" t="n">
        <x:v>1</x:v>
      </x:c>
      <x:c r="H605" s="49" t="n">
        <x:v>0</x:v>
      </x:c>
      <x:c r="I605" s="47" t="n">
        <x:v>0</x:v>
      </x:c>
      <x:c r="J605" s="49" t="n">
        <x:v>72</x:v>
      </x:c>
      <x:c r="K605" s="47" t="n">
        <x:v>33682</x:v>
      </x:c>
      <x:c r="L605" s="47" t="n">
        <x:v>0</x:v>
      </x:c>
      <x:c r="M605" s="48" t="n">
        <x:v>4.266666666666667</x:v>
      </x:c>
      <x:c r="N605" s="48" t="n">
        <x:v>689.6666666666666</x:v>
      </x:c>
      <x:c r="O605" s="49" t="n">
        <x:v>7</x:v>
      </x:c>
      <x:c r="P605" s="1" t="str">
        <x:v>夜小玉基準併用：反対合議で返済後に反転・広め</x:v>
      </x:c>
      <x:c r="Q605" s="49" t="n">
        <x:v>0</x:v>
      </x:c>
      <x:c r="R605" s="50" t="n">
        <x:v>0.8841880341880342</x:v>
      </x:c>
      <x:c r="S605" s="50" t="n">
        <x:v>0.8841880341880342</x:v>
      </x:c>
      <x:c r="T605" s="1" t="str">
        <x:v>下落</x:v>
      </x:c>
      <x:c r="U605" s="49" t="n">
        <x:v>1</x:v>
      </x:c>
    </x:row>
    <x:row r="606" ht="22" customHeight="1">
      <x:c r="A606" s="1" t="str">
        <x:v>日経mini</x:v>
      </x:c>
      <x:c r="B606" s="1" t="str">
        <x:v>L07</x:v>
      </x:c>
      <x:c r="C606" s="1" t="str">
        <x:v>全50場</x:v>
      </x:c>
      <x:c r="D606" s="47" t="n">
        <x:v>17000538</x:v>
      </x:c>
      <x:c r="E606" s="47" t="n">
        <x:v>22926322</x:v>
      </x:c>
      <x:c r="F606" s="47" t="n">
        <x:f>D606-E606</x:f>
        <x:v>-5925784</x:v>
      </x:c>
      <x:c r="G606" s="49" t="n">
        <x:v>14</x:v>
      </x:c>
      <x:c r="H606" s="49" t="n">
        <x:v>36</x:v>
      </x:c>
      <x:c r="I606" s="47" t="n">
        <x:v>-6196154</x:v>
      </x:c>
      <x:c r="J606" s="49" t="n">
        <x:v>2596</x:v>
      </x:c>
      <x:c r="K606" s="47" t="n">
        <x:v>-582242</x:v>
      </x:c>
      <x:c r="L606" s="47" t="n">
        <x:v>181305.72222222222</x:v>
      </x:c>
      <x:c r="M606" s="48" t="n">
        <x:v>3.9373333333333336</x:v>
      </x:c>
      <x:c r="N606" s="48" t="n">
        <x:v>458.4129999999999</x:v>
      </x:c>
      <x:c r="O606" s="49" t="n">
        <x:v>7</x:v>
      </x:c>
      <x:c r="P606" s="1" t="str">
        <x:v>夜小玉基準併用：価格と原板の合議・標準</x:v>
      </x:c>
      <x:c r="Q606" s="49" t="n">
        <x:v>0</x:v>
      </x:c>
      <x:c r="R606" s="50" t="n">
        <x:v>0.7955705128205129</x:v>
      </x:c>
      <x:c r="S606" s="50" t="n">
        <x:v>0.7640216666666667</x:v>
      </x:c>
      <x:c r="T606" s="1" t="str">
        <x:v>全場</x:v>
      </x:c>
      <x:c r="U606" s="49" t="n">
        <x:v>50</x:v>
      </x:c>
    </x:row>
    <x:row r="607" ht="22" customHeight="1">
      <x:c r="A607" s="1" t="str">
        <x:v>日経mini</x:v>
      </x:c>
      <x:c r="B607" s="1" t="str">
        <x:v>L07</x:v>
      </x:c>
      <x:c r="C607" s="1" t="str">
        <x:v>全50場</x:v>
      </x:c>
      <x:c r="D607" s="47" t="n">
        <x:v>9189732</x:v>
      </x:c>
      <x:c r="E607" s="47" t="n">
        <x:v>12317056</x:v>
      </x:c>
      <x:c r="F607" s="47" t="n">
        <x:f>D607-E607</x:f>
        <x:v>-3127324</x:v>
      </x:c>
      <x:c r="G607" s="49" t="n">
        <x:v>8</x:v>
      </x:c>
      <x:c r="H607" s="49" t="n">
        <x:v>17</x:v>
      </x:c>
      <x:c r="I607" s="47" t="n">
        <x:v>-3334460</x:v>
      </x:c>
      <x:c r="J607" s="49" t="n">
        <x:v>1416</x:v>
      </x:c>
      <x:c r="K607" s="47" t="n">
        <x:v>-582242</x:v>
      </x:c>
      <x:c r="L607" s="47" t="n">
        <x:v>205305.64705882352</x:v>
      </x:c>
      <x:c r="M607" s="48" t="n">
        <x:v>4.296666666666667</x:v>
      </x:c>
      <x:c r="N607" s="48" t="n">
        <x:v>378.30800000000005</x:v>
      </x:c>
      <x:c r="O607" s="49" t="n">
        <x:v>7</x:v>
      </x:c>
      <x:c r="P607" s="1" t="str">
        <x:v>夜小玉基準併用：価格と原板の合議・標準</x:v>
      </x:c>
      <x:c r="Q607" s="49" t="n">
        <x:v>0</x:v>
      </x:c>
      <x:c r="R607" s="50" t="n">
        <x:v>0.9007333333333333</x:v>
      </x:c>
      <x:c r="S607" s="50" t="n">
        <x:v>0.9007333333333334</x:v>
      </x:c>
      <x:c r="T607" s="1" t="str">
        <x:v>デイ</x:v>
      </x:c>
      <x:c r="U607" s="49" t="n">
        <x:v>25</x:v>
      </x:c>
    </x:row>
    <x:row r="608" ht="22" customHeight="1">
      <x:c r="A608" s="1" t="str">
        <x:v>日経mini</x:v>
      </x:c>
      <x:c r="B608" s="1" t="str">
        <x:v>L07</x:v>
      </x:c>
      <x:c r="C608" s="1" t="str">
        <x:v>全50場</x:v>
      </x:c>
      <x:c r="D608" s="47" t="n">
        <x:v>7810806</x:v>
      </x:c>
      <x:c r="E608" s="47" t="n">
        <x:v>10609266</x:v>
      </x:c>
      <x:c r="F608" s="47" t="n">
        <x:f>D608-E608</x:f>
        <x:v>-2798460</x:v>
      </x:c>
      <x:c r="G608" s="49" t="n">
        <x:v>6</x:v>
      </x:c>
      <x:c r="H608" s="49" t="n">
        <x:v>19</x:v>
      </x:c>
      <x:c r="I608" s="47" t="n">
        <x:v>-3009292</x:v>
      </x:c>
      <x:c r="J608" s="49" t="n">
        <x:v>1180</x:v>
      </x:c>
      <x:c r="K608" s="47" t="n">
        <x:v>-393088</x:v>
      </x:c>
      <x:c r="L608" s="47" t="n">
        <x:v>159832.1052631579</x:v>
      </x:c>
      <x:c r="M608" s="48" t="n">
        <x:v>3.5779999999999994</x:v>
      </x:c>
      <x:c r="N608" s="48" t="n">
        <x:v>538.518</x:v>
      </x:c>
      <x:c r="O608" s="49" t="n">
        <x:v>7</x:v>
      </x:c>
      <x:c r="P608" s="1" t="str">
        <x:v>夜小玉基準併用：価格と原板の合議・標準</x:v>
      </x:c>
      <x:c r="Q608" s="49" t="n">
        <x:v>0</x:v>
      </x:c>
      <x:c r="R608" s="50" t="n">
        <x:v>0.6904076923076923</x:v>
      </x:c>
      <x:c r="S608" s="50" t="n">
        <x:v>0.6904076923076924</x:v>
      </x:c>
      <x:c r="T608" s="1" t="str">
        <x:v>ナイト</x:v>
      </x:c>
      <x:c r="U608" s="49" t="n">
        <x:v>25</x:v>
      </x:c>
    </x:row>
    <x:row r="609" ht="22" customHeight="1">
      <x:c r="A609" s="1" t="str">
        <x:v>日経mini</x:v>
      </x:c>
      <x:c r="B609" s="1" t="str">
        <x:v>L07</x:v>
      </x:c>
      <x:c r="C609" s="1" t="str">
        <x:v>全50場</x:v>
      </x:c>
      <x:c r="D609" s="47" t="n">
        <x:v>8011186</x:v>
      </x:c>
      <x:c r="E609" s="47" t="n">
        <x:v>10699036</x:v>
      </x:c>
      <x:c r="F609" s="47" t="n">
        <x:f>D609-E609</x:f>
        <x:v>-2687850</x:v>
      </x:c>
      <x:c r="G609" s="49" t="n">
        <x:v>8</x:v>
      </x:c>
      <x:c r="H609" s="49" t="n">
        <x:v>16</x:v>
      </x:c>
      <x:c r="I609" s="47" t="n">
        <x:v>-2949144</x:v>
      </x:c>
      <x:c r="J609" s="49" t="n">
        <x:v>1244</x:v>
      </x:c>
      <x:c r="K609" s="47" t="n">
        <x:v>-409468</x:v>
      </x:c>
      <x:c r="L609" s="47" t="n">
        <x:v>192304.875</x:v>
      </x:c>
      <x:c r="M609" s="48" t="n">
        <x:v>4.100694444444444</x:v>
      </x:c>
      <x:c r="N609" s="48" t="n">
        <x:v>468.82430555555555</x:v>
      </x:c>
      <x:c r="O609" s="49" t="n">
        <x:v>7</x:v>
      </x:c>
      <x:c r="P609" s="1" t="str">
        <x:v>夜小玉基準併用：価格と原板の合議・標準</x:v>
      </x:c>
      <x:c r="Q609" s="49" t="n">
        <x:v>0</x:v>
      </x:c>
      <x:c r="R609" s="50" t="n">
        <x:v>0.7934575956450957</x:v>
      </x:c>
      <x:c r="S609" s="50" t="n">
        <x:v>0.7623159439927732</x:v>
      </x:c>
      <x:c r="T609" s="1" t="str">
        <x:v>上昇</x:v>
      </x:c>
      <x:c r="U609" s="49" t="n">
        <x:v>24</x:v>
      </x:c>
    </x:row>
    <x:row r="610" ht="22" customHeight="1">
      <x:c r="A610" s="1" t="str">
        <x:v>日経mini</x:v>
      </x:c>
      <x:c r="B610" s="1" t="str">
        <x:v>L07</x:v>
      </x:c>
      <x:c r="C610" s="1" t="str">
        <x:v>全50場</x:v>
      </x:c>
      <x:c r="D610" s="47" t="n">
        <x:v>8989352</x:v>
      </x:c>
      <x:c r="E610" s="47" t="n">
        <x:v>12227286</x:v>
      </x:c>
      <x:c r="F610" s="47" t="n">
        <x:f>D610-E610</x:f>
        <x:v>-3237934</x:v>
      </x:c>
      <x:c r="G610" s="49" t="n">
        <x:v>6</x:v>
      </x:c>
      <x:c r="H610" s="49" t="n">
        <x:v>20</x:v>
      </x:c>
      <x:c r="I610" s="47" t="n">
        <x:v>-3406308</x:v>
      </x:c>
      <x:c r="J610" s="49" t="n">
        <x:v>1352</x:v>
      </x:c>
      <x:c r="K610" s="47" t="n">
        <x:v>-582242</x:v>
      </x:c>
      <x:c r="L610" s="47" t="n">
        <x:v>172506.4</x:v>
      </x:c>
      <x:c r="M610" s="48" t="n">
        <x:v>3.786538461538462</x:v>
      </x:c>
      <x:c r="N610" s="48" t="n">
        <x:v>448.8025641025642</x:v>
      </x:c>
      <x:c r="O610" s="49" t="n">
        <x:v>7</x:v>
      </x:c>
      <x:c r="P610" s="1" t="str">
        <x:v>夜小玉基準併用：価格と原板の合議・標準</x:v>
      </x:c>
      <x:c r="Q610" s="49" t="n">
        <x:v>0</x:v>
      </x:c>
      <x:c r="R610" s="50" t="n">
        <x:v>0.7975208979055133</x:v>
      </x:c>
      <x:c r="S610" s="50" t="n">
        <x:v>0.765673665791776</x:v>
      </x:c>
      <x:c r="T610" s="1" t="str">
        <x:v>下落</x:v>
      </x:c>
      <x:c r="U610" s="49" t="n">
        <x:v>26</x:v>
      </x:c>
    </x:row>
    <x:row r="611" ht="22" customHeight="1">
      <x:c r="A611" s="1" t="str">
        <x:v>日経mini</x:v>
      </x:c>
      <x:c r="B611" s="1" t="str">
        <x:v>L07</x:v>
      </x:c>
      <x:c r="C611" s="1" t="str">
        <x:v>対照47場</x:v>
      </x:c>
      <x:c r="D611" s="47" t="n">
        <x:v>15680546</x:v>
      </x:c>
      <x:c r="E611" s="47" t="n">
        <x:v>21476766</x:v>
      </x:c>
      <x:c r="F611" s="47" t="n">
        <x:f>D611-E611</x:f>
        <x:v>-5796220</x:v>
      </x:c>
      <x:c r="G611" s="49" t="n">
        <x:v>13</x:v>
      </x:c>
      <x:c r="H611" s="49" t="n">
        <x:v>34</x:v>
      </x:c>
      <x:c r="I611" s="47" t="n">
        <x:v>-6066590</x:v>
      </x:c>
      <x:c r="J611" s="49" t="n">
        <x:v>2415</x:v>
      </x:c>
      <x:c r="K611" s="47" t="n">
        <x:v>-582242</x:v>
      </x:c>
      <x:c r="L611" s="47" t="n">
        <x:v>187825.4705882353</x:v>
      </x:c>
      <x:c r="M611" s="48" t="n">
        <x:v>3.9914893617021283</x:v>
      </x:c>
      <x:c r="N611" s="48" t="n">
        <x:v>451.93900709219855</x:v>
      </x:c>
      <x:c r="O611" s="49" t="n">
        <x:v>7</x:v>
      </x:c>
      <x:c r="P611" s="1" t="str">
        <x:v>夜小玉基準併用：価格と原板の合議・標準</x:v>
      </x:c>
      <x:c r="Q611" s="49" t="n">
        <x:v>0</x:v>
      </x:c>
      <x:c r="R611" s="50" t="n">
        <x:v>0.7911555347725562</x:v>
      </x:c>
      <x:c r="S611" s="50" t="n">
        <x:v>0.7580704258862718</x:v>
      </x:c>
      <x:c r="T611" s="1" t="str">
        <x:v>全場</x:v>
      </x:c>
      <x:c r="U611" s="49" t="n">
        <x:v>47</x:v>
      </x:c>
    </x:row>
    <x:row r="612" ht="22" customHeight="1">
      <x:c r="A612" s="1" t="str">
        <x:v>日経mini</x:v>
      </x:c>
      <x:c r="B612" s="1" t="str">
        <x:v>L07</x:v>
      </x:c>
      <x:c r="C612" s="1" t="str">
        <x:v>対照47場</x:v>
      </x:c>
      <x:c r="D612" s="47" t="n">
        <x:v>8693582</x:v>
      </x:c>
      <x:c r="E612" s="47" t="n">
        <x:v>11817974</x:v>
      </x:c>
      <x:c r="F612" s="47" t="n">
        <x:f>D612-E612</x:f>
        <x:v>-3124392</x:v>
      </x:c>
      <x:c r="G612" s="49" t="n">
        <x:v>8</x:v>
      </x:c>
      <x:c r="H612" s="49" t="n">
        <x:v>16</x:v>
      </x:c>
      <x:c r="I612" s="47" t="n">
        <x:v>-3331528</x:v>
      </x:c>
      <x:c r="J612" s="49" t="n">
        <x:v>1353</x:v>
      </x:c>
      <x:c r="K612" s="47" t="n">
        <x:v>-582242</x:v>
      </x:c>
      <x:c r="L612" s="47" t="n">
        <x:v>217954</x:v>
      </x:c>
      <x:c r="M612" s="48" t="n">
        <x:v>4.3625</x:v>
      </x:c>
      <x:c r="N612" s="48" t="n">
        <x:v>377.3500000000001</x:v>
      </x:c>
      <x:c r="O612" s="49" t="n">
        <x:v>7</x:v>
      </x:c>
      <x:c r="P612" s="1" t="str">
        <x:v>夜小玉基準併用：価格と原板の合議・標準</x:v>
      </x:c>
      <x:c r="Q612" s="49" t="n">
        <x:v>0</x:v>
      </x:c>
      <x:c r="R612" s="50" t="n">
        <x:v>0.8984523809523809</x:v>
      </x:c>
      <x:c r="S612" s="50" t="n">
        <x:v>0.8984523809523809</x:v>
      </x:c>
      <x:c r="T612" s="1" t="str">
        <x:v>デイ</x:v>
      </x:c>
      <x:c r="U612" s="49" t="n">
        <x:v>24</x:v>
      </x:c>
    </x:row>
    <x:row r="613" ht="22" customHeight="1">
      <x:c r="A613" s="1" t="str">
        <x:v>日経mini</x:v>
      </x:c>
      <x:c r="B613" s="1" t="str">
        <x:v>L07</x:v>
      </x:c>
      <x:c r="C613" s="1" t="str">
        <x:v>対照47場</x:v>
      </x:c>
      <x:c r="D613" s="47" t="n">
        <x:v>6986964</x:v>
      </x:c>
      <x:c r="E613" s="47" t="n">
        <x:v>9658792</x:v>
      </x:c>
      <x:c r="F613" s="47" t="n">
        <x:f>D613-E613</x:f>
        <x:v>-2671828</x:v>
      </x:c>
      <x:c r="G613" s="49" t="n">
        <x:v>5</x:v>
      </x:c>
      <x:c r="H613" s="49" t="n">
        <x:v>18</x:v>
      </x:c>
      <x:c r="I613" s="47" t="n">
        <x:v>-2882660</x:v>
      </x:c>
      <x:c r="J613" s="49" t="n">
        <x:v>1062</x:v>
      </x:c>
      <x:c r="K613" s="47" t="n">
        <x:v>-393088</x:v>
      </x:c>
      <x:c r="L613" s="47" t="n">
        <x:v>161044.55555555556</x:v>
      </x:c>
      <x:c r="M613" s="48" t="n">
        <x:v>3.604347826086957</x:v>
      </x:c>
      <x:c r="N613" s="48" t="n">
        <x:v>529.7710144927536</x:v>
      </x:c>
      <x:c r="O613" s="49" t="n">
        <x:v>7</x:v>
      </x:c>
      <x:c r="P613" s="1" t="str">
        <x:v>夜小玉基準併用：価格と原板の合議・標準</x:v>
      </x:c>
      <x:c r="Q613" s="49" t="n">
        <x:v>0</x:v>
      </x:c>
      <x:c r="R613" s="50" t="n">
        <x:v>0.6791936083240431</x:v>
      </x:c>
      <x:c r="S613" s="50" t="n">
        <x:v>0.6791936083240431</x:v>
      </x:c>
      <x:c r="T613" s="1" t="str">
        <x:v>ナイト</x:v>
      </x:c>
      <x:c r="U613" s="49" t="n">
        <x:v>23</x:v>
      </x:c>
    </x:row>
    <x:row r="614" ht="22" customHeight="1">
      <x:c r="A614" s="1" t="str">
        <x:v>日経mini</x:v>
      </x:c>
      <x:c r="B614" s="1" t="str">
        <x:v>L07</x:v>
      </x:c>
      <x:c r="C614" s="1" t="str">
        <x:v>対照47場</x:v>
      </x:c>
      <x:c r="D614" s="47" t="n">
        <x:v>7198884</x:v>
      </x:c>
      <x:c r="E614" s="47" t="n">
        <x:v>9745794</x:v>
      </x:c>
      <x:c r="F614" s="47" t="n">
        <x:f>D614-E614</x:f>
        <x:v>-2546910</x:v>
      </x:c>
      <x:c r="G614" s="49" t="n">
        <x:v>8</x:v>
      </x:c>
      <x:c r="H614" s="49" t="n">
        <x:v>14</x:v>
      </x:c>
      <x:c r="I614" s="47" t="n">
        <x:v>-2808204</x:v>
      </x:c>
      <x:c r="J614" s="49" t="n">
        <x:v>1124</x:v>
      </x:c>
      <x:c r="K614" s="47" t="n">
        <x:v>-409468</x:v>
      </x:c>
      <x:c r="L614" s="47" t="n">
        <x:v>209709.85714285713</x:v>
      </x:c>
      <x:c r="M614" s="48" t="n">
        <x:v>4.246212121212122</x:v>
      </x:c>
      <x:c r="N614" s="48" t="n">
        <x:v>464.45</x:v>
      </x:c>
      <x:c r="O614" s="49" t="n">
        <x:v>7</x:v>
      </x:c>
      <x:c r="P614" s="1" t="str">
        <x:v>夜小玉基準併用：価格と原板の合議・標準</x:v>
      </x:c>
      <x:c r="Q614" s="49" t="n">
        <x:v>0</x:v>
      </x:c>
      <x:c r="R614" s="50" t="n">
        <x:v>0.7852955377955376</x:v>
      </x:c>
      <x:c r="S614" s="50" t="n">
        <x:v>0.753532448377581</x:v>
      </x:c>
      <x:c r="T614" s="1" t="str">
        <x:v>上昇</x:v>
      </x:c>
      <x:c r="U614" s="49" t="n">
        <x:v>22</x:v>
      </x:c>
    </x:row>
    <x:row r="615" ht="22" customHeight="1">
      <x:c r="A615" s="1" t="str">
        <x:v>日経mini</x:v>
      </x:c>
      <x:c r="B615" s="1" t="str">
        <x:v>L07</x:v>
      </x:c>
      <x:c r="C615" s="1" t="str">
        <x:v>対照47場</x:v>
      </x:c>
      <x:c r="D615" s="47" t="n">
        <x:v>8481662</x:v>
      </x:c>
      <x:c r="E615" s="47" t="n">
        <x:v>11730972</x:v>
      </x:c>
      <x:c r="F615" s="47" t="n">
        <x:f>D615-E615</x:f>
        <x:v>-3249310</x:v>
      </x:c>
      <x:c r="G615" s="49" t="n">
        <x:v>5</x:v>
      </x:c>
      <x:c r="H615" s="49" t="n">
        <x:v>20</x:v>
      </x:c>
      <x:c r="I615" s="47" t="n">
        <x:v>-3417684</x:v>
      </x:c>
      <x:c r="J615" s="49" t="n">
        <x:v>1291</x:v>
      </x:c>
      <x:c r="K615" s="47" t="n">
        <x:v>-582242</x:v>
      </x:c>
      <x:c r="L615" s="47" t="n">
        <x:v>172506.4</x:v>
      </x:c>
      <x:c r="M615" s="48" t="n">
        <x:v>3.7673333333333336</x:v>
      </x:c>
      <x:c r="N615" s="48" t="n">
        <x:v>440.92933333333343</x:v>
      </x:c>
      <x:c r="O615" s="49" t="n">
        <x:v>7</x:v>
      </x:c>
      <x:c r="P615" s="1" t="str">
        <x:v>夜小玉基準併用：価格と原板の合議・標準</x:v>
      </x:c>
      <x:c r="Q615" s="49" t="n">
        <x:v>0</x:v>
      </x:c>
      <x:c r="R615" s="50" t="n">
        <x:v>0.7963123321123321</x:v>
      </x:c>
      <x:c r="S615" s="50" t="n">
        <x:v>0.7623259566620563</x:v>
      </x:c>
      <x:c r="T615" s="1" t="str">
        <x:v>下落</x:v>
      </x:c>
      <x:c r="U615" s="49" t="n">
        <x:v>25</x:v>
      </x:c>
    </x:row>
    <x:row r="616" ht="22" customHeight="1">
      <x:c r="A616" s="1" t="str">
        <x:v>日経mini</x:v>
      </x:c>
      <x:c r="B616" s="1" t="str">
        <x:v>L07</x:v>
      </x:c>
      <x:c r="C616" s="1" t="str">
        <x:v>診断3場</x:v>
      </x:c>
      <x:c r="D616" s="47" t="n">
        <x:v>1319992</x:v>
      </x:c>
      <x:c r="E616" s="47" t="n">
        <x:v>1449556</x:v>
      </x:c>
      <x:c r="F616" s="47" t="n">
        <x:f>D616-E616</x:f>
        <x:v>-129564</x:v>
      </x:c>
      <x:c r="G616" s="49" t="n">
        <x:v>1</x:v>
      </x:c>
      <x:c r="H616" s="49" t="n">
        <x:v>2</x:v>
      </x:c>
      <x:c r="I616" s="47" t="n">
        <x:v>-140940</x:v>
      </x:c>
      <x:c r="J616" s="49" t="n">
        <x:v>181</x:v>
      </x:c>
      <x:c r="K616" s="47" t="n">
        <x:v>-138008</x:v>
      </x:c>
      <x:c r="L616" s="47" t="n">
        <x:v>70470</x:v>
      </x:c>
      <x:c r="M616" s="48" t="n">
        <x:v>3.0888888888888886</x:v>
      </x:c>
      <x:c r="N616" s="48" t="n">
        <x:v>559.838888888889</x:v>
      </x:c>
      <x:c r="O616" s="49" t="n">
        <x:v>7</x:v>
      </x:c>
      <x:c r="P616" s="1" t="str">
        <x:v>夜小玉基準併用：価格と原板の合議・標準</x:v>
      </x:c>
      <x:c r="Q616" s="49" t="n">
        <x:v>0</x:v>
      </x:c>
      <x:c r="R616" s="50" t="n">
        <x:v>0.8647385022385022</x:v>
      </x:c>
      <x:c r="S616" s="50" t="n">
        <x:v>0.8482407407407407</x:v>
      </x:c>
      <x:c r="T616" s="1" t="str">
        <x:v>全場</x:v>
      </x:c>
      <x:c r="U616" s="49" t="n">
        <x:v>3</x:v>
      </x:c>
    </x:row>
    <x:row r="617" ht="22" customHeight="1">
      <x:c r="A617" s="1" t="str">
        <x:v>日経mini</x:v>
      </x:c>
      <x:c r="B617" s="1" t="str">
        <x:v>L07</x:v>
      </x:c>
      <x:c r="C617" s="1" t="str">
        <x:v>診断3場</x:v>
      </x:c>
      <x:c r="D617" s="47" t="n">
        <x:v>496150</x:v>
      </x:c>
      <x:c r="E617" s="47" t="n">
        <x:v>499082</x:v>
      </x:c>
      <x:c r="F617" s="47" t="n">
        <x:f>D617-E617</x:f>
        <x:v>-2932</x:v>
      </x:c>
      <x:c r="G617" s="49" t="n">
        <x:v>0</x:v>
      </x:c>
      <x:c r="H617" s="49" t="n">
        <x:v>1</x:v>
      </x:c>
      <x:c r="I617" s="47" t="n">
        <x:v>-2932</x:v>
      </x:c>
      <x:c r="J617" s="49" t="n">
        <x:v>63</x:v>
      </x:c>
      <x:c r="K617" s="47" t="n">
        <x:v>-2932</x:v>
      </x:c>
      <x:c r="L617" s="47" t="n">
        <x:v>2932</x:v>
      </x:c>
      <x:c r="M617" s="48" t="n">
        <x:v>2.716666666666667</x:v>
      </x:c>
      <x:c r="N617" s="48" t="n">
        <x:v>401.3</x:v>
      </x:c>
      <x:c r="O617" s="49" t="n">
        <x:v>7</x:v>
      </x:c>
      <x:c r="P617" s="1" t="str">
        <x:v>夜小玉基準併用：価格と原板の合議・標準</x:v>
      </x:c>
      <x:c r="Q617" s="49" t="n">
        <x:v>0</x:v>
      </x:c>
      <x:c r="R617" s="50" t="n">
        <x:v>0.9554761904761905</x:v>
      </x:c>
      <x:c r="S617" s="50" t="n">
        <x:v>0.9554761904761905</x:v>
      </x:c>
      <x:c r="T617" s="1" t="str">
        <x:v>デイ</x:v>
      </x:c>
      <x:c r="U617" s="49" t="n">
        <x:v>1</x:v>
      </x:c>
    </x:row>
    <x:row r="618" ht="22" customHeight="1">
      <x:c r="A618" s="1" t="str">
        <x:v>日経mini</x:v>
      </x:c>
      <x:c r="B618" s="1" t="str">
        <x:v>L07</x:v>
      </x:c>
      <x:c r="C618" s="1" t="str">
        <x:v>診断3場</x:v>
      </x:c>
      <x:c r="D618" s="47" t="n">
        <x:v>823842</x:v>
      </x:c>
      <x:c r="E618" s="47" t="n">
        <x:v>950474</x:v>
      </x:c>
      <x:c r="F618" s="47" t="n">
        <x:f>D618-E618</x:f>
        <x:v>-126632</x:v>
      </x:c>
      <x:c r="G618" s="49" t="n">
        <x:v>1</x:v>
      </x:c>
      <x:c r="H618" s="49" t="n">
        <x:v>1</x:v>
      </x:c>
      <x:c r="I618" s="47" t="n">
        <x:v>-138008</x:v>
      </x:c>
      <x:c r="J618" s="49" t="n">
        <x:v>118</x:v>
      </x:c>
      <x:c r="K618" s="47" t="n">
        <x:v>-138008</x:v>
      </x:c>
      <x:c r="L618" s="47" t="n">
        <x:v>138008</x:v>
      </x:c>
      <x:c r="M618" s="48" t="n">
        <x:v>3.275</x:v>
      </x:c>
      <x:c r="N618" s="48" t="n">
        <x:v>639.1083333333333</x:v>
      </x:c>
      <x:c r="O618" s="49" t="n">
        <x:v>7</x:v>
      </x:c>
      <x:c r="P618" s="1" t="str">
        <x:v>夜小玉基準併用：価格と原板の合議・標準</x:v>
      </x:c>
      <x:c r="Q618" s="49" t="n">
        <x:v>0</x:v>
      </x:c>
      <x:c r="R618" s="50" t="n">
        <x:v>0.8193696581196581</x:v>
      </x:c>
      <x:c r="S618" s="50" t="n">
        <x:v>0.8193696581196581</x:v>
      </x:c>
      <x:c r="T618" s="1" t="str">
        <x:v>ナイト</x:v>
      </x:c>
      <x:c r="U618" s="49" t="n">
        <x:v>2</x:v>
      </x:c>
    </x:row>
    <x:row r="619" ht="22" customHeight="1">
      <x:c r="A619" s="1" t="str">
        <x:v>日経mini</x:v>
      </x:c>
      <x:c r="B619" s="1" t="str">
        <x:v>L07</x:v>
      </x:c>
      <x:c r="C619" s="1" t="str">
        <x:v>診断3場</x:v>
      </x:c>
      <x:c r="D619" s="47" t="n">
        <x:v>812302</x:v>
      </x:c>
      <x:c r="E619" s="47" t="n">
        <x:v>953242</x:v>
      </x:c>
      <x:c r="F619" s="47" t="n">
        <x:f>D619-E619</x:f>
        <x:v>-140940</x:v>
      </x:c>
      <x:c r="G619" s="49" t="n">
        <x:v>0</x:v>
      </x:c>
      <x:c r="H619" s="49" t="n">
        <x:v>2</x:v>
      </x:c>
      <x:c r="I619" s="47" t="n">
        <x:v>-140940</x:v>
      </x:c>
      <x:c r="J619" s="49" t="n">
        <x:v>120</x:v>
      </x:c>
      <x:c r="K619" s="47" t="n">
        <x:v>-138008</x:v>
      </x:c>
      <x:c r="L619" s="47" t="n">
        <x:v>70470</x:v>
      </x:c>
      <x:c r="M619" s="48" t="n">
        <x:v>2.5</x:v>
      </x:c>
      <x:c r="N619" s="48" t="n">
        <x:v>516.9416666666667</x:v>
      </x:c>
      <x:c r="O619" s="49" t="n">
        <x:v>7</x:v>
      </x:c>
      <x:c r="P619" s="1" t="str">
        <x:v>夜小玉基準併用：価格と原板の合議・標準</x:v>
      </x:c>
      <x:c r="Q619" s="49" t="n">
        <x:v>0</x:v>
      </x:c>
      <x:c r="R619" s="50" t="n">
        <x:v>0.8832402319902319</x:v>
      </x:c>
      <x:c r="S619" s="50" t="n">
        <x:v>0.8615694444444445</x:v>
      </x:c>
      <x:c r="T619" s="1" t="str">
        <x:v>上昇</x:v>
      </x:c>
      <x:c r="U619" s="49" t="n">
        <x:v>2</x:v>
      </x:c>
    </x:row>
    <x:row r="620" ht="22" customHeight="1">
      <x:c r="A620" s="1" t="str">
        <x:v>日経mini</x:v>
      </x:c>
      <x:c r="B620" s="1" t="str">
        <x:v>L07</x:v>
      </x:c>
      <x:c r="C620" s="1" t="str">
        <x:v>診断3場</x:v>
      </x:c>
      <x:c r="D620" s="47" t="n">
        <x:v>507690</x:v>
      </x:c>
      <x:c r="E620" s="47" t="n">
        <x:v>496314</x:v>
      </x:c>
      <x:c r="F620" s="47" t="n">
        <x:f>D620-E620</x:f>
        <x:v>11376</x:v>
      </x:c>
      <x:c r="G620" s="49" t="n">
        <x:v>1</x:v>
      </x:c>
      <x:c r="H620" s="49" t="n">
        <x:v>0</x:v>
      </x:c>
      <x:c r="I620" s="47" t="n">
        <x:v>0</x:v>
      </x:c>
      <x:c r="J620" s="49" t="n">
        <x:v>61</x:v>
      </x:c>
      <x:c r="K620" s="47" t="n">
        <x:v>11376</x:v>
      </x:c>
      <x:c r="L620" s="47" t="n">
        <x:v>0</x:v>
      </x:c>
      <x:c r="M620" s="48" t="n">
        <x:v>4.266666666666667</x:v>
      </x:c>
      <x:c r="N620" s="48" t="n">
        <x:v>645.6333333333333</x:v>
      </x:c>
      <x:c r="O620" s="49" t="n">
        <x:v>7</x:v>
      </x:c>
      <x:c r="P620" s="1" t="str">
        <x:v>夜小玉基準併用：価格と原板の合議・標準</x:v>
      </x:c>
      <x:c r="Q620" s="49" t="n">
        <x:v>0</x:v>
      </x:c>
      <x:c r="R620" s="50" t="n">
        <x:v>0.8277350427350427</x:v>
      </x:c>
      <x:c r="S620" s="50" t="n">
        <x:v>0.8277350427350427</x:v>
      </x:c>
      <x:c r="T620" s="1" t="str">
        <x:v>下落</x:v>
      </x:c>
      <x:c r="U620" s="49" t="n">
        <x:v>1</x:v>
      </x:c>
    </x:row>
    <x:row r="621" ht="22" customHeight="1">
      <x:c r="A621" s="1" t="str">
        <x:v>日経mini</x:v>
      </x:c>
      <x:c r="B621" s="1" t="str">
        <x:v>L08</x:v>
      </x:c>
      <x:c r="C621" s="1" t="str">
        <x:v>全50場</x:v>
      </x:c>
      <x:c r="D621" s="47" t="n">
        <x:v>16989314</x:v>
      </x:c>
      <x:c r="E621" s="47" t="n">
        <x:v>22125536</x:v>
      </x:c>
      <x:c r="F621" s="47" t="n">
        <x:f>D621-E621</x:f>
        <x:v>-5136222</x:v>
      </x:c>
      <x:c r="G621" s="49" t="n">
        <x:v>16</x:v>
      </x:c>
      <x:c r="H621" s="49" t="n">
        <x:v>34</x:v>
      </x:c>
      <x:c r="I621" s="47" t="n">
        <x:v>-5444898</x:v>
      </x:c>
      <x:c r="J621" s="49" t="n">
        <x:v>2443</x:v>
      </x:c>
      <x:c r="K621" s="47" t="n">
        <x:v>-536242</x:v>
      </x:c>
      <x:c r="L621" s="47" t="n">
        <x:v>175662.17647058822</x:v>
      </x:c>
      <x:c r="M621" s="48" t="n">
        <x:v>3.9373333333333336</x:v>
      </x:c>
      <x:c r="N621" s="48" t="n">
        <x:v>524.719</x:v>
      </x:c>
      <x:c r="O621" s="49" t="n">
        <x:v>7</x:v>
      </x:c>
      <x:c r="P621" s="1" t="str">
        <x:v>夜小玉基準併用：価格と原板の合議・広め</x:v>
      </x:c>
      <x:c r="Q621" s="49" t="n">
        <x:v>0</x:v>
      </x:c>
      <x:c r="R621" s="50" t="n">
        <x:v>0.8887397435897436</x:v>
      </x:c>
      <x:c r="S621" s="50" t="n">
        <x:v>0.8745316666666667</x:v>
      </x:c>
      <x:c r="T621" s="1" t="str">
        <x:v>全場</x:v>
      </x:c>
      <x:c r="U621" s="49" t="n">
        <x:v>50</x:v>
      </x:c>
    </x:row>
    <x:row r="622" ht="22" customHeight="1">
      <x:c r="A622" s="1" t="str">
        <x:v>日経mini</x:v>
      </x:c>
      <x:c r="B622" s="1" t="str">
        <x:v>L08</x:v>
      </x:c>
      <x:c r="C622" s="1" t="str">
        <x:v>全50場</x:v>
      </x:c>
      <x:c r="D622" s="47" t="n">
        <x:v>9224810</x:v>
      </x:c>
      <x:c r="E622" s="47" t="n">
        <x:v>12156590</x:v>
      </x:c>
      <x:c r="F622" s="47" t="n">
        <x:f>D622-E622</x:f>
        <x:v>-2931780</x:v>
      </x:c>
      <x:c r="G622" s="49" t="n">
        <x:v>11</x:v>
      </x:c>
      <x:c r="H622" s="49" t="n">
        <x:v>14</x:v>
      </x:c>
      <x:c r="I622" s="47" t="n">
        <x:v>-3187378</x:v>
      </x:c>
      <x:c r="J622" s="49" t="n">
        <x:v>1380</x:v>
      </x:c>
      <x:c r="K622" s="47" t="n">
        <x:v>-536242</x:v>
      </x:c>
      <x:c r="L622" s="47" t="n">
        <x:v>241006.7142857143</x:v>
      </x:c>
      <x:c r="M622" s="48" t="n">
        <x:v>4.296666666666667</x:v>
      </x:c>
      <x:c r="N622" s="48" t="n">
        <x:v>393.162</x:v>
      </x:c>
      <x:c r="O622" s="49" t="n">
        <x:v>7</x:v>
      </x:c>
      <x:c r="P622" s="1" t="str">
        <x:v>夜小玉基準併用：価格と原板の合議・広め</x:v>
      </x:c>
      <x:c r="Q622" s="49" t="n">
        <x:v>0</x:v>
      </x:c>
      <x:c r="R622" s="50" t="n">
        <x:v>0.9361</x:v>
      </x:c>
      <x:c r="S622" s="50" t="n">
        <x:v>0.9360999999999999</x:v>
      </x:c>
      <x:c r="T622" s="1" t="str">
        <x:v>デイ</x:v>
      </x:c>
      <x:c r="U622" s="49" t="n">
        <x:v>25</x:v>
      </x:c>
    </x:row>
    <x:row r="623" ht="22" customHeight="1">
      <x:c r="A623" s="1" t="str">
        <x:v>日経mini</x:v>
      </x:c>
      <x:c r="B623" s="1" t="str">
        <x:v>L08</x:v>
      </x:c>
      <x:c r="C623" s="1" t="str">
        <x:v>全50場</x:v>
      </x:c>
      <x:c r="D623" s="47" t="n">
        <x:v>7764504</x:v>
      </x:c>
      <x:c r="E623" s="47" t="n">
        <x:v>9968946</x:v>
      </x:c>
      <x:c r="F623" s="47" t="n">
        <x:f>D623-E623</x:f>
        <x:v>-2204442</x:v>
      </x:c>
      <x:c r="G623" s="49" t="n">
        <x:v>5</x:v>
      </x:c>
      <x:c r="H623" s="49" t="n">
        <x:v>20</x:v>
      </x:c>
      <x:c r="I623" s="47" t="n">
        <x:v>-2501588</x:v>
      </x:c>
      <x:c r="J623" s="49" t="n">
        <x:v>1063</x:v>
      </x:c>
      <x:c r="K623" s="47" t="n">
        <x:v>-408780</x:v>
      </x:c>
      <x:c r="L623" s="47" t="n">
        <x:v>129921</x:v>
      </x:c>
      <x:c r="M623" s="48" t="n">
        <x:v>3.5779999999999994</x:v>
      </x:c>
      <x:c r="N623" s="48" t="n">
        <x:v>656.2760000000001</x:v>
      </x:c>
      <x:c r="O623" s="49" t="n">
        <x:v>7</x:v>
      </x:c>
      <x:c r="P623" s="1" t="str">
        <x:v>夜小玉基準併用：価格と原板の合議・広め</x:v>
      </x:c>
      <x:c r="Q623" s="49" t="n">
        <x:v>0</x:v>
      </x:c>
      <x:c r="R623" s="50" t="n">
        <x:v>0.8413794871794872</x:v>
      </x:c>
      <x:c r="S623" s="50" t="n">
        <x:v>0.8413794871794873</x:v>
      </x:c>
      <x:c r="T623" s="1" t="str">
        <x:v>ナイト</x:v>
      </x:c>
      <x:c r="U623" s="49" t="n">
        <x:v>25</x:v>
      </x:c>
    </x:row>
    <x:row r="624" ht="22" customHeight="1">
      <x:c r="A624" s="1" t="str">
        <x:v>日経mini</x:v>
      </x:c>
      <x:c r="B624" s="1" t="str">
        <x:v>L08</x:v>
      </x:c>
      <x:c r="C624" s="1" t="str">
        <x:v>全50場</x:v>
      </x:c>
      <x:c r="D624" s="47" t="n">
        <x:v>7991806</x:v>
      </x:c>
      <x:c r="E624" s="47" t="n">
        <x:v>10445182</x:v>
      </x:c>
      <x:c r="F624" s="47" t="n">
        <x:f>D624-E624</x:f>
        <x:v>-2453376</x:v>
      </x:c>
      <x:c r="G624" s="49" t="n">
        <x:v>8</x:v>
      </x:c>
      <x:c r="H624" s="49" t="n">
        <x:v>16</x:v>
      </x:c>
      <x:c r="I624" s="47" t="n">
        <x:v>-2750138</x:v>
      </x:c>
      <x:c r="J624" s="49" t="n">
        <x:v>1163</x:v>
      </x:c>
      <x:c r="K624" s="47" t="n">
        <x:v>-496624</x:v>
      </x:c>
      <x:c r="L624" s="47" t="n">
        <x:v>180837.875</x:v>
      </x:c>
      <x:c r="M624" s="48" t="n">
        <x:v>4.100694444444444</x:v>
      </x:c>
      <x:c r="N624" s="48" t="n">
        <x:v>538.5006944444444</x:v>
      </x:c>
      <x:c r="O624" s="49" t="n">
        <x:v>7</x:v>
      </x:c>
      <x:c r="P624" s="1" t="str">
        <x:v>夜小玉基準併用：価格と原板の合議・広め</x:v>
      </x:c>
      <x:c r="Q624" s="49" t="n">
        <x:v>0</x:v>
      </x:c>
      <x:c r="R624" s="50" t="n">
        <x:v>0.8879656339031339</x:v>
      </x:c>
      <x:c r="S624" s="50" t="n">
        <x:v>0.8756108852755194</x:v>
      </x:c>
      <x:c r="T624" s="1" t="str">
        <x:v>上昇</x:v>
      </x:c>
      <x:c r="U624" s="49" t="n">
        <x:v>24</x:v>
      </x:c>
    </x:row>
    <x:row r="625" ht="22" customHeight="1">
      <x:c r="A625" s="1" t="str">
        <x:v>日経mini</x:v>
      </x:c>
      <x:c r="B625" s="1" t="str">
        <x:v>L08</x:v>
      </x:c>
      <x:c r="C625" s="1" t="str">
        <x:v>全50場</x:v>
      </x:c>
      <x:c r="D625" s="47" t="n">
        <x:v>8997508</x:v>
      </x:c>
      <x:c r="E625" s="47" t="n">
        <x:v>11680354</x:v>
      </x:c>
      <x:c r="F625" s="47" t="n">
        <x:f>D625-E625</x:f>
        <x:v>-2682846</x:v>
      </x:c>
      <x:c r="G625" s="49" t="n">
        <x:v>8</x:v>
      </x:c>
      <x:c r="H625" s="49" t="n">
        <x:v>18</x:v>
      </x:c>
      <x:c r="I625" s="47" t="n">
        <x:v>-2934598</x:v>
      </x:c>
      <x:c r="J625" s="49" t="n">
        <x:v>1280</x:v>
      </x:c>
      <x:c r="K625" s="47" t="n">
        <x:v>-536242</x:v>
      </x:c>
      <x:c r="L625" s="47" t="n">
        <x:v>171061.55555555556</x:v>
      </x:c>
      <x:c r="M625" s="48" t="n">
        <x:v>3.786538461538462</x:v>
      </x:c>
      <x:c r="N625" s="48" t="n">
        <x:v>511.9974358974359</x:v>
      </x:c>
      <x:c r="O625" s="49" t="n">
        <x:v>7</x:v>
      </x:c>
      <x:c r="P625" s="1" t="str">
        <x:v>夜小玉基準併用：価格と原板の合議・広め</x:v>
      </x:c>
      <x:c r="Q625" s="49" t="n">
        <x:v>0</x:v>
      </x:c>
      <x:c r="R625" s="50" t="n">
        <x:v>0.8894543063773833</x:v>
      </x:c>
      <x:c r="S625" s="50" t="n">
        <x:v>0.8734864391951006</x:v>
      </x:c>
      <x:c r="T625" s="1" t="str">
        <x:v>下落</x:v>
      </x:c>
      <x:c r="U625" s="49" t="n">
        <x:v>26</x:v>
      </x:c>
    </x:row>
    <x:row r="626" ht="22" customHeight="1">
      <x:c r="A626" s="1" t="str">
        <x:v>日経mini</x:v>
      </x:c>
      <x:c r="B626" s="1" t="str">
        <x:v>L08</x:v>
      </x:c>
      <x:c r="C626" s="1" t="str">
        <x:v>対照47場</x:v>
      </x:c>
      <x:c r="D626" s="47" t="n">
        <x:v>15679014</x:v>
      </x:c>
      <x:c r="E626" s="47" t="n">
        <x:v>20771058</x:v>
      </x:c>
      <x:c r="F626" s="47" t="n">
        <x:f>D626-E626</x:f>
        <x:v>-5092044</x:v>
      </x:c>
      <x:c r="G626" s="49" t="n">
        <x:v>15</x:v>
      </x:c>
      <x:c r="H626" s="49" t="n">
        <x:v>32</x:v>
      </x:c>
      <x:c r="I626" s="47" t="n">
        <x:v>-5400720</x:v>
      </x:c>
      <x:c r="J626" s="49" t="n">
        <x:v>2271</x:v>
      </x:c>
      <x:c r="K626" s="47" t="n">
        <x:v>-536242</x:v>
      </x:c>
      <x:c r="L626" s="47" t="n">
        <x:v>185039.625</x:v>
      </x:c>
      <x:c r="M626" s="48" t="n">
        <x:v>3.9914893617021283</x:v>
      </x:c>
      <x:c r="N626" s="48" t="n">
        <x:v>518.7333333333333</x:v>
      </x:c>
      <x:c r="O626" s="49" t="n">
        <x:v>7</x:v>
      </x:c>
      <x:c r="P626" s="1" t="str">
        <x:v>夜小玉基準併用：価格と原板の合議・広め</x:v>
      </x:c>
      <x:c r="Q626" s="49" t="n">
        <x:v>0</x:v>
      </x:c>
      <x:c r="R626" s="50" t="n">
        <x:v>0.8853587665289793</x:v>
      </x:c>
      <x:c r="S626" s="50" t="n">
        <x:v>0.8701094456340709</x:v>
      </x:c>
      <x:c r="T626" s="1" t="str">
        <x:v>全場</x:v>
      </x:c>
      <x:c r="U626" s="49" t="n">
        <x:v>47</x:v>
      </x:c>
    </x:row>
    <x:row r="627" ht="22" customHeight="1">
      <x:c r="A627" s="1" t="str">
        <x:v>日経mini</x:v>
      </x:c>
      <x:c r="B627" s="1" t="str">
        <x:v>L08</x:v>
      </x:c>
      <x:c r="C627" s="1" t="str">
        <x:v>対照47場</x:v>
      </x:c>
      <x:c r="D627" s="47" t="n">
        <x:v>8712660</x:v>
      </x:c>
      <x:c r="E627" s="47" t="n">
        <x:v>11651508</x:v>
      </x:c>
      <x:c r="F627" s="47" t="n">
        <x:f>D627-E627</x:f>
        <x:v>-2938848</x:v>
      </x:c>
      <x:c r="G627" s="49" t="n">
        <x:v>10</x:v>
      </x:c>
      <x:c r="H627" s="49" t="n">
        <x:v>14</x:v>
      </x:c>
      <x:c r="I627" s="47" t="n">
        <x:v>-3194446</x:v>
      </x:c>
      <x:c r="J627" s="49" t="n">
        <x:v>1317</x:v>
      </x:c>
      <x:c r="K627" s="47" t="n">
        <x:v>-536242</x:v>
      </x:c>
      <x:c r="L627" s="47" t="n">
        <x:v>241006.7142857143</x:v>
      </x:c>
      <x:c r="M627" s="48" t="n">
        <x:v>4.3625</x:v>
      </x:c>
      <x:c r="N627" s="48" t="n">
        <x:v>392.62152777777777</x:v>
      </x:c>
      <x:c r="O627" s="49" t="n">
        <x:v>7</x:v>
      </x:c>
      <x:c r="P627" s="1" t="str">
        <x:v>夜小玉基準併用：価格と原板の合議・広め</x:v>
      </x:c>
      <x:c r="Q627" s="49" t="n">
        <x:v>0</x:v>
      </x:c>
      <x:c r="R627" s="50" t="n">
        <x:v>0.9348131613756614</x:v>
      </x:c>
      <x:c r="S627" s="50" t="n">
        <x:v>0.9348131613756613</x:v>
      </x:c>
      <x:c r="T627" s="1" t="str">
        <x:v>デイ</x:v>
      </x:c>
      <x:c r="U627" s="49" t="n">
        <x:v>24</x:v>
      </x:c>
    </x:row>
    <x:row r="628" ht="22" customHeight="1">
      <x:c r="A628" s="1" t="str">
        <x:v>日経mini</x:v>
      </x:c>
      <x:c r="B628" s="1" t="str">
        <x:v>L08</x:v>
      </x:c>
      <x:c r="C628" s="1" t="str">
        <x:v>対照47場</x:v>
      </x:c>
      <x:c r="D628" s="47" t="n">
        <x:v>6966354</x:v>
      </x:c>
      <x:c r="E628" s="47" t="n">
        <x:v>9119550</x:v>
      </x:c>
      <x:c r="F628" s="47" t="n">
        <x:f>D628-E628</x:f>
        <x:v>-2153196</x:v>
      </x:c>
      <x:c r="G628" s="49" t="n">
        <x:v>5</x:v>
      </x:c>
      <x:c r="H628" s="49" t="n">
        <x:v>18</x:v>
      </x:c>
      <x:c r="I628" s="47" t="n">
        <x:v>-2450342</x:v>
      </x:c>
      <x:c r="J628" s="49" t="n">
        <x:v>954</x:v>
      </x:c>
      <x:c r="K628" s="47" t="n">
        <x:v>-408780</x:v>
      </x:c>
      <x:c r="L628" s="47" t="n">
        <x:v>141509.66666666666</x:v>
      </x:c>
      <x:c r="M628" s="48" t="n">
        <x:v>3.604347826086957</x:v>
      </x:c>
      <x:c r="N628" s="48" t="n">
        <x:v>650.3282608695652</x:v>
      </x:c>
      <x:c r="O628" s="49" t="n">
        <x:v>7</x:v>
      </x:c>
      <x:c r="P628" s="1" t="str">
        <x:v>夜小玉基準併用：価格と原板の合議・広め</x:v>
      </x:c>
      <x:c r="Q628" s="49" t="n">
        <x:v>0</x:v>
      </x:c>
      <x:c r="R628" s="50" t="n">
        <x:v>0.8337541806020066</x:v>
      </x:c>
      <x:c r="S628" s="50" t="n">
        <x:v>0.8337541806020067</x:v>
      </x:c>
      <x:c r="T628" s="1" t="str">
        <x:v>ナイト</x:v>
      </x:c>
      <x:c r="U628" s="49" t="n">
        <x:v>23</x:v>
      </x:c>
    </x:row>
    <x:row r="629" ht="22" customHeight="1">
      <x:c r="A629" s="1" t="str">
        <x:v>日経mini</x:v>
      </x:c>
      <x:c r="B629" s="1" t="str">
        <x:v>L08</x:v>
      </x:c>
      <x:c r="C629" s="1" t="str">
        <x:v>対照47場</x:v>
      </x:c>
      <x:c r="D629" s="47" t="n">
        <x:v>7155504</x:v>
      </x:c>
      <x:c r="E629" s="47" t="n">
        <x:v>9574864</x:v>
      </x:c>
      <x:c r="F629" s="47" t="n">
        <x:f>D629-E629</x:f>
        <x:v>-2419360</x:v>
      </x:c>
      <x:c r="G629" s="49" t="n">
        <x:v>7</x:v>
      </x:c>
      <x:c r="H629" s="49" t="n">
        <x:v>15</x:v>
      </x:c>
      <x:c r="I629" s="47" t="n">
        <x:v>-2716122</x:v>
      </x:c>
      <x:c r="J629" s="49" t="n">
        <x:v>1049</x:v>
      </x:c>
      <x:c r="K629" s="47" t="n">
        <x:v>-496624</x:v>
      </x:c>
      <x:c r="L629" s="47" t="n">
        <x:v>190154.8</x:v>
      </x:c>
      <x:c r="M629" s="48" t="n">
        <x:v>4.246212121212122</x:v>
      </x:c>
      <x:c r="N629" s="48" t="n">
        <x:v>536.2878787878789</x:v>
      </x:c>
      <x:c r="O629" s="49" t="n">
        <x:v>7</x:v>
      </x:c>
      <x:c r="P629" s="1" t="str">
        <x:v>夜小玉基準併用：価格と原板の合議・広め</x:v>
      </x:c>
      <x:c r="Q629" s="49" t="n">
        <x:v>0</x:v>
      </x:c>
      <x:c r="R629" s="50" t="n">
        <x:v>0.8828041403041403</x:v>
      </x:c>
      <x:c r="S629" s="50" t="n">
        <x:v>0.8700835791543756</x:v>
      </x:c>
      <x:c r="T629" s="1" t="str">
        <x:v>上昇</x:v>
      </x:c>
      <x:c r="U629" s="49" t="n">
        <x:v>22</x:v>
      </x:c>
    </x:row>
    <x:row r="630" ht="22" customHeight="1">
      <x:c r="A630" s="1" t="str">
        <x:v>日経mini</x:v>
      </x:c>
      <x:c r="B630" s="1" t="str">
        <x:v>L08</x:v>
      </x:c>
      <x:c r="C630" s="1" t="str">
        <x:v>対照47場</x:v>
      </x:c>
      <x:c r="D630" s="47" t="n">
        <x:v>8523510</x:v>
      </x:c>
      <x:c r="E630" s="47" t="n">
        <x:v>11196194</x:v>
      </x:c>
      <x:c r="F630" s="47" t="n">
        <x:f>D630-E630</x:f>
        <x:v>-2672684</x:v>
      </x:c>
      <x:c r="G630" s="49" t="n">
        <x:v>8</x:v>
      </x:c>
      <x:c r="H630" s="49" t="n">
        <x:v>17</x:v>
      </x:c>
      <x:c r="I630" s="47" t="n">
        <x:v>-2924436</x:v>
      </x:c>
      <x:c r="J630" s="49" t="n">
        <x:v>1222</x:v>
      </x:c>
      <x:c r="K630" s="47" t="n">
        <x:v>-536242</x:v>
      </x:c>
      <x:c r="L630" s="47" t="n">
        <x:v>180526.23529411765</x:v>
      </x:c>
      <x:c r="M630" s="48" t="n">
        <x:v>3.7673333333333336</x:v>
      </x:c>
      <x:c r="N630" s="48" t="n">
        <x:v>503.2853333333333</x:v>
      </x:c>
      <x:c r="O630" s="49" t="n">
        <x:v>7</x:v>
      </x:c>
      <x:c r="P630" s="1" t="str">
        <x:v>夜小玉基準併用：価格と原板の合議・広め</x:v>
      </x:c>
      <x:c r="Q630" s="49" t="n">
        <x:v>0</x:v>
      </x:c>
      <x:c r="R630" s="50" t="n">
        <x:v>0.8876068376068376</x:v>
      </x:c>
      <x:c r="S630" s="50" t="n">
        <x:v>0.8701337021668972</x:v>
      </x:c>
      <x:c r="T630" s="1" t="str">
        <x:v>下落</x:v>
      </x:c>
      <x:c r="U630" s="49" t="n">
        <x:v>25</x:v>
      </x:c>
    </x:row>
    <x:row r="631" ht="22" customHeight="1">
      <x:c r="A631" s="1" t="str">
        <x:v>日経mini</x:v>
      </x:c>
      <x:c r="B631" s="1" t="str">
        <x:v>L08</x:v>
      </x:c>
      <x:c r="C631" s="1" t="str">
        <x:v>診断3場</x:v>
      </x:c>
      <x:c r="D631" s="47" t="n">
        <x:v>1310300</x:v>
      </x:c>
      <x:c r="E631" s="47" t="n">
        <x:v>1354478</x:v>
      </x:c>
      <x:c r="F631" s="47" t="n">
        <x:f>D631-E631</x:f>
        <x:v>-44178</x:v>
      </x:c>
      <x:c r="G631" s="49" t="n">
        <x:v>1</x:v>
      </x:c>
      <x:c r="H631" s="49" t="n">
        <x:v>2</x:v>
      </x:c>
      <x:c r="I631" s="47" t="n">
        <x:v>-51246</x:v>
      </x:c>
      <x:c r="J631" s="49" t="n">
        <x:v>172</x:v>
      </x:c>
      <x:c r="K631" s="47" t="n">
        <x:v>-41084</x:v>
      </x:c>
      <x:c r="L631" s="47" t="n">
        <x:v>25623</x:v>
      </x:c>
      <x:c r="M631" s="48" t="n">
        <x:v>3.0888888888888886</x:v>
      </x:c>
      <x:c r="N631" s="48" t="n">
        <x:v>618.4944444444444</x:v>
      </x:c>
      <x:c r="O631" s="49" t="n">
        <x:v>7</x:v>
      </x:c>
      <x:c r="P631" s="1" t="str">
        <x:v>夜小玉基準併用：価格と原板の合議・広め</x:v>
      </x:c>
      <x:c r="Q631" s="49" t="n">
        <x:v>0</x:v>
      </x:c>
      <x:c r="R631" s="50" t="n">
        <x:v>0.9417083842083841</x:v>
      </x:c>
      <x:c r="S631" s="50" t="n">
        <x:v>0.9371127946127945</x:v>
      </x:c>
      <x:c r="T631" s="1" t="str">
        <x:v>全場</x:v>
      </x:c>
      <x:c r="U631" s="49" t="n">
        <x:v>3</x:v>
      </x:c>
    </x:row>
    <x:row r="632" ht="22" customHeight="1">
      <x:c r="A632" s="1" t="str">
        <x:v>日経mini</x:v>
      </x:c>
      <x:c r="B632" s="1" t="str">
        <x:v>L08</x:v>
      </x:c>
      <x:c r="C632" s="1" t="str">
        <x:v>診断3場</x:v>
      </x:c>
      <x:c r="D632" s="47" t="n">
        <x:v>512150</x:v>
      </x:c>
      <x:c r="E632" s="47" t="n">
        <x:v>505082</x:v>
      </x:c>
      <x:c r="F632" s="47" t="n">
        <x:f>D632-E632</x:f>
        <x:v>7068</x:v>
      </x:c>
      <x:c r="G632" s="49" t="n">
        <x:v>1</x:v>
      </x:c>
      <x:c r="H632" s="49" t="n">
        <x:v>0</x:v>
      </x:c>
      <x:c r="I632" s="47" t="n">
        <x:v>0</x:v>
      </x:c>
      <x:c r="J632" s="49" t="n">
        <x:v>63</x:v>
      </x:c>
      <x:c r="K632" s="47" t="n">
        <x:v>7068</x:v>
      </x:c>
      <x:c r="L632" s="47" t="n">
        <x:v>0</x:v>
      </x:c>
      <x:c r="M632" s="48" t="n">
        <x:v>2.716666666666667</x:v>
      </x:c>
      <x:c r="N632" s="48" t="n">
        <x:v>406.1333333333333</x:v>
      </x:c>
      <x:c r="O632" s="49" t="n">
        <x:v>7</x:v>
      </x:c>
      <x:c r="P632" s="1" t="str">
        <x:v>夜小玉基準併用：価格と原板の合議・広め</x:v>
      </x:c>
      <x:c r="Q632" s="49" t="n">
        <x:v>0</x:v>
      </x:c>
      <x:c r="R632" s="50" t="n">
        <x:v>0.966984126984127</x:v>
      </x:c>
      <x:c r="S632" s="50" t="n">
        <x:v>0.966984126984127</x:v>
      </x:c>
      <x:c r="T632" s="1" t="str">
        <x:v>デイ</x:v>
      </x:c>
      <x:c r="U632" s="49" t="n">
        <x:v>1</x:v>
      </x:c>
    </x:row>
    <x:row r="633" ht="22" customHeight="1">
      <x:c r="A633" s="1" t="str">
        <x:v>日経mini</x:v>
      </x:c>
      <x:c r="B633" s="1" t="str">
        <x:v>L08</x:v>
      </x:c>
      <x:c r="C633" s="1" t="str">
        <x:v>診断3場</x:v>
      </x:c>
      <x:c r="D633" s="47" t="n">
        <x:v>798150</x:v>
      </x:c>
      <x:c r="E633" s="47" t="n">
        <x:v>849396</x:v>
      </x:c>
      <x:c r="F633" s="47" t="n">
        <x:f>D633-E633</x:f>
        <x:v>-51246</x:v>
      </x:c>
      <x:c r="G633" s="49" t="n">
        <x:v>0</x:v>
      </x:c>
      <x:c r="H633" s="49" t="n">
        <x:v>2</x:v>
      </x:c>
      <x:c r="I633" s="47" t="n">
        <x:v>-51246</x:v>
      </x:c>
      <x:c r="J633" s="49" t="n">
        <x:v>109</x:v>
      </x:c>
      <x:c r="K633" s="47" t="n">
        <x:v>-41084</x:v>
      </x:c>
      <x:c r="L633" s="47" t="n">
        <x:v>25623</x:v>
      </x:c>
      <x:c r="M633" s="48" t="n">
        <x:v>3.275</x:v>
      </x:c>
      <x:c r="N633" s="48" t="n">
        <x:v>724.675</x:v>
      </x:c>
      <x:c r="O633" s="49" t="n">
        <x:v>7</x:v>
      </x:c>
      <x:c r="P633" s="1" t="str">
        <x:v>夜小玉基準併用：価格と原板の合議・広め</x:v>
      </x:c>
      <x:c r="Q633" s="49" t="n">
        <x:v>0</x:v>
      </x:c>
      <x:c r="R633" s="50" t="n">
        <x:v>0.9290705128205128</x:v>
      </x:c>
      <x:c r="S633" s="50" t="n">
        <x:v>0.9290705128205128</x:v>
      </x:c>
      <x:c r="T633" s="1" t="str">
        <x:v>ナイト</x:v>
      </x:c>
      <x:c r="U633" s="49" t="n">
        <x:v>2</x:v>
      </x:c>
    </x:row>
    <x:row r="634" ht="22" customHeight="1">
      <x:c r="A634" s="1" t="str">
        <x:v>日経mini</x:v>
      </x:c>
      <x:c r="B634" s="1" t="str">
        <x:v>L08</x:v>
      </x:c>
      <x:c r="C634" s="1" t="str">
        <x:v>診断3場</x:v>
      </x:c>
      <x:c r="D634" s="47" t="n">
        <x:v>836302</x:v>
      </x:c>
      <x:c r="E634" s="47" t="n">
        <x:v>870318</x:v>
      </x:c>
      <x:c r="F634" s="47" t="n">
        <x:f>D634-E634</x:f>
        <x:v>-34016</x:v>
      </x:c>
      <x:c r="G634" s="49" t="n">
        <x:v>1</x:v>
      </x:c>
      <x:c r="H634" s="49" t="n">
        <x:v>1</x:v>
      </x:c>
      <x:c r="I634" s="47" t="n">
        <x:v>-41084</x:v>
      </x:c>
      <x:c r="J634" s="49" t="n">
        <x:v>114</x:v>
      </x:c>
      <x:c r="K634" s="47" t="n">
        <x:v>-41084</x:v>
      </x:c>
      <x:c r="L634" s="47" t="n">
        <x:v>41084</x:v>
      </x:c>
      <x:c r="M634" s="48" t="n">
        <x:v>2.5</x:v>
      </x:c>
      <x:c r="N634" s="48" t="n">
        <x:v>562.8416666666667</x:v>
      </x:c>
      <x:c r="O634" s="49" t="n">
        <x:v>7</x:v>
      </x:c>
      <x:c r="P634" s="1" t="str">
        <x:v>夜小玉基準併用：価格と原板の合議・広め</x:v>
      </x:c>
      <x:c r="Q634" s="49" t="n">
        <x:v>0</x:v>
      </x:c>
      <x:c r="R634" s="50" t="n">
        <x:v>0.9447420634920635</x:v>
      </x:c>
      <x:c r="S634" s="50" t="n">
        <x:v>0.9380694444444445</x:v>
      </x:c>
      <x:c r="T634" s="1" t="str">
        <x:v>上昇</x:v>
      </x:c>
      <x:c r="U634" s="49" t="n">
        <x:v>2</x:v>
      </x:c>
    </x:row>
    <x:row r="635" ht="22" customHeight="1">
      <x:c r="A635" s="1" t="str">
        <x:v>日経mini</x:v>
      </x:c>
      <x:c r="B635" s="1" t="str">
        <x:v>L08</x:v>
      </x:c>
      <x:c r="C635" s="1" t="str">
        <x:v>診断3場</x:v>
      </x:c>
      <x:c r="D635" s="47" t="n">
        <x:v>473998</x:v>
      </x:c>
      <x:c r="E635" s="47" t="n">
        <x:v>484160</x:v>
      </x:c>
      <x:c r="F635" s="47" t="n">
        <x:f>D635-E635</x:f>
        <x:v>-10162</x:v>
      </x:c>
      <x:c r="G635" s="49" t="n">
        <x:v>0</x:v>
      </x:c>
      <x:c r="H635" s="49" t="n">
        <x:v>1</x:v>
      </x:c>
      <x:c r="I635" s="47" t="n">
        <x:v>-10162</x:v>
      </x:c>
      <x:c r="J635" s="49" t="n">
        <x:v>58</x:v>
      </x:c>
      <x:c r="K635" s="47" t="n">
        <x:v>-10162</x:v>
      </x:c>
      <x:c r="L635" s="47" t="n">
        <x:v>10162</x:v>
      </x:c>
      <x:c r="M635" s="48" t="n">
        <x:v>4.266666666666667</x:v>
      </x:c>
      <x:c r="N635" s="48" t="n">
        <x:v>729.8</x:v>
      </x:c>
      <x:c r="O635" s="49" t="n">
        <x:v>7</x:v>
      </x:c>
      <x:c r="P635" s="1" t="str">
        <x:v>夜小玉基準併用：価格と原板の合議・広め</x:v>
      </x:c>
      <x:c r="Q635" s="49" t="n">
        <x:v>0</x:v>
      </x:c>
      <x:c r="R635" s="50" t="n">
        <x:v>0.9356410256410257</x:v>
      </x:c>
      <x:c r="S635" s="50" t="n">
        <x:v>0.9356410256410256</x:v>
      </x:c>
      <x:c r="T635" s="1" t="str">
        <x:v>下落</x:v>
      </x:c>
      <x:c r="U635" s="49" t="n">
        <x:v>1</x:v>
      </x:c>
    </x:row>
    <x:row r="636" ht="22" customHeight="1">
      <x:c r="A636" s="1" t="str">
        <x:v>日経mini</x:v>
      </x:c>
      <x:c r="B636" s="1" t="str">
        <x:v>L09</x:v>
      </x:c>
      <x:c r="C636" s="1" t="str">
        <x:v>全50場</x:v>
      </x:c>
      <x:c r="D636" s="47" t="n">
        <x:v>16068932</x:v>
      </x:c>
      <x:c r="E636" s="47" t="n">
        <x:v>24945184</x:v>
      </x:c>
      <x:c r="F636" s="47" t="n">
        <x:f>D636-E636</x:f>
        <x:v>-8876252</x:v>
      </x:c>
      <x:c r="G636" s="49" t="n">
        <x:v>8</x:v>
      </x:c>
      <x:c r="H636" s="49" t="n">
        <x:v>42</x:v>
      </x:c>
      <x:c r="I636" s="47" t="n">
        <x:v>-9065026</x:v>
      </x:c>
      <x:c r="J636" s="49" t="n">
        <x:v>3200</x:v>
      </x:c>
      <x:c r="K636" s="47" t="n">
        <x:v>-709598</x:v>
      </x:c>
      <x:c r="L636" s="47" t="n">
        <x:v>218762.66666666666</x:v>
      </x:c>
      <x:c r="M636" s="48" t="n">
        <x:v>3.4256666666666673</x:v>
      </x:c>
      <x:c r="N636" s="48" t="n">
        <x:v>461.4556666666667</x:v>
      </x:c>
      <x:c r="O636" s="49" t="n">
        <x:v>10</x:v>
      </x:c>
      <x:c r="P636" s="1" t="str">
        <x:v>夜小玉基準併用：中期支持の3枚参加と保護後追撃・標準</x:v>
      </x:c>
      <x:c r="Q636" s="49" t="n">
        <x:v>0</x:v>
      </x:c>
      <x:c r="R636" s="50" t="n">
        <x:v>0.7969695360195359</x:v>
      </x:c>
      <x:c r="S636" s="50" t="n">
        <x:v>0.7690927777777777</x:v>
      </x:c>
      <x:c r="T636" s="1" t="str">
        <x:v>全場</x:v>
      </x:c>
      <x:c r="U636" s="49" t="n">
        <x:v>50</x:v>
      </x:c>
    </x:row>
    <x:row r="637" ht="22" customHeight="1">
      <x:c r="A637" s="1" t="str">
        <x:v>日経mini</x:v>
      </x:c>
      <x:c r="B637" s="1" t="str">
        <x:v>L09</x:v>
      </x:c>
      <x:c r="C637" s="1" t="str">
        <x:v>全50場</x:v>
      </x:c>
      <x:c r="D637" s="47" t="n">
        <x:v>8407604</x:v>
      </x:c>
      <x:c r="E637" s="47" t="n">
        <x:v>13182828</x:v>
      </x:c>
      <x:c r="F637" s="47" t="n">
        <x:f>D637-E637</x:f>
        <x:v>-4775224</x:v>
      </x:c>
      <x:c r="G637" s="49" t="n">
        <x:v>4</x:v>
      </x:c>
      <x:c r="H637" s="49" t="n">
        <x:v>21</x:v>
      </x:c>
      <x:c r="I637" s="47" t="n">
        <x:v>-4914324</x:v>
      </x:c>
      <x:c r="J637" s="49" t="n">
        <x:v>1600</x:v>
      </x:c>
      <x:c r="K637" s="47" t="n">
        <x:v>-709598</x:v>
      </x:c>
      <x:c r="L637" s="47" t="n">
        <x:v>234899.2380952381</x:v>
      </x:c>
      <x:c r="M637" s="48" t="n">
        <x:v>3.4600000000000004</x:v>
      </x:c>
      <x:c r="N637" s="48" t="n">
        <x:v>373.75466666666676</x:v>
      </x:c>
      <x:c r="O637" s="49" t="n">
        <x:v>10</x:v>
      </x:c>
      <x:c r="P637" s="1" t="str">
        <x:v>夜小玉基準併用：中期支持の3枚参加と保護後追撃・標準</x:v>
      </x:c>
      <x:c r="Q637" s="49" t="n">
        <x:v>0</x:v>
      </x:c>
      <x:c r="R637" s="50" t="n">
        <x:v>0.8898920634920635</x:v>
      </x:c>
      <x:c r="S637" s="50" t="n">
        <x:v>0.8898920634920635</x:v>
      </x:c>
      <x:c r="T637" s="1" t="str">
        <x:v>デイ</x:v>
      </x:c>
      <x:c r="U637" s="49" t="n">
        <x:v>25</x:v>
      </x:c>
    </x:row>
    <x:row r="638" ht="22" customHeight="1">
      <x:c r="A638" s="1" t="str">
        <x:v>日経mini</x:v>
      </x:c>
      <x:c r="B638" s="1" t="str">
        <x:v>L09</x:v>
      </x:c>
      <x:c r="C638" s="1" t="str">
        <x:v>全50場</x:v>
      </x:c>
      <x:c r="D638" s="47" t="n">
        <x:v>7661328</x:v>
      </x:c>
      <x:c r="E638" s="47" t="n">
        <x:v>11762356</x:v>
      </x:c>
      <x:c r="F638" s="47" t="n">
        <x:f>D638-E638</x:f>
        <x:v>-4101028</x:v>
      </x:c>
      <x:c r="G638" s="49" t="n">
        <x:v>4</x:v>
      </x:c>
      <x:c r="H638" s="49" t="n">
        <x:v>21</x:v>
      </x:c>
      <x:c r="I638" s="47" t="n">
        <x:v>-4244432</x:v>
      </x:c>
      <x:c r="J638" s="49" t="n">
        <x:v>1600</x:v>
      </x:c>
      <x:c r="K638" s="47" t="n">
        <x:v>-397134</x:v>
      </x:c>
      <x:c r="L638" s="47" t="n">
        <x:v>202626.09523809524</x:v>
      </x:c>
      <x:c r="M638" s="48" t="n">
        <x:v>3.3913333333333333</x:v>
      </x:c>
      <x:c r="N638" s="48" t="n">
        <x:v>549.1566666666666</x:v>
      </x:c>
      <x:c r="O638" s="49" t="n">
        <x:v>10</x:v>
      </x:c>
      <x:c r="P638" s="1" t="str">
        <x:v>夜小玉基準併用：中期支持の3枚参加と保護後追撃・標準</x:v>
      </x:c>
      <x:c r="Q638" s="49" t="n">
        <x:v>0</x:v>
      </x:c>
      <x:c r="R638" s="50" t="n">
        <x:v>0.7040470085470085</x:v>
      </x:c>
      <x:c r="S638" s="50" t="n">
        <x:v>0.7040470085470085</x:v>
      </x:c>
      <x:c r="T638" s="1" t="str">
        <x:v>ナイト</x:v>
      </x:c>
      <x:c r="U638" s="49" t="n">
        <x:v>25</x:v>
      </x:c>
    </x:row>
    <x:row r="639" ht="22" customHeight="1">
      <x:c r="A639" s="1" t="str">
        <x:v>日経mini</x:v>
      </x:c>
      <x:c r="B639" s="1" t="str">
        <x:v>L09</x:v>
      </x:c>
      <x:c r="C639" s="1" t="str">
        <x:v>全50場</x:v>
      </x:c>
      <x:c r="D639" s="47" t="n">
        <x:v>7619582</x:v>
      </x:c>
      <x:c r="E639" s="47" t="n">
        <x:v>11448606</x:v>
      </x:c>
      <x:c r="F639" s="47" t="n">
        <x:f>D639-E639</x:f>
        <x:v>-3829024</x:v>
      </x:c>
      <x:c r="G639" s="49" t="n">
        <x:v>5</x:v>
      </x:c>
      <x:c r="H639" s="49" t="n">
        <x:v>19</x:v>
      </x:c>
      <x:c r="I639" s="47" t="n">
        <x:v>-4017798</x:v>
      </x:c>
      <x:c r="J639" s="49" t="n">
        <x:v>1549</x:v>
      </x:c>
      <x:c r="K639" s="47" t="n">
        <x:v>-584528</x:v>
      </x:c>
      <x:c r="L639" s="47" t="n">
        <x:v>213096.2105263158</x:v>
      </x:c>
      <x:c r="M639" s="48" t="n">
        <x:v>3.3486111111111114</x:v>
      </x:c>
      <x:c r="N639" s="48" t="n">
        <x:v>467.1006944444445</x:v>
      </x:c>
      <x:c r="O639" s="49" t="n">
        <x:v>10</x:v>
      </x:c>
      <x:c r="P639" s="1" t="str">
        <x:v>夜小玉基準併用：中期支持の3枚参加と保護後追撃・標準</x:v>
      </x:c>
      <x:c r="Q639" s="49" t="n">
        <x:v>0</x:v>
      </x:c>
      <x:c r="R639" s="50" t="n">
        <x:v>0.7882105972730974</x:v>
      </x:c>
      <x:c r="S639" s="50" t="n">
        <x:v>0.7595133242999096</x:v>
      </x:c>
      <x:c r="T639" s="1" t="str">
        <x:v>上昇</x:v>
      </x:c>
      <x:c r="U639" s="49" t="n">
        <x:v>24</x:v>
      </x:c>
    </x:row>
    <x:row r="640" ht="22" customHeight="1">
      <x:c r="A640" s="1" t="str">
        <x:v>日経mini</x:v>
      </x:c>
      <x:c r="B640" s="1" t="str">
        <x:v>L09</x:v>
      </x:c>
      <x:c r="C640" s="1" t="str">
        <x:v>全50場</x:v>
      </x:c>
      <x:c r="D640" s="47" t="n">
        <x:v>8449350</x:v>
      </x:c>
      <x:c r="E640" s="47" t="n">
        <x:v>13496578</x:v>
      </x:c>
      <x:c r="F640" s="47" t="n">
        <x:f>D640-E640</x:f>
        <x:v>-5047228</x:v>
      </x:c>
      <x:c r="G640" s="49" t="n">
        <x:v>3</x:v>
      </x:c>
      <x:c r="H640" s="49" t="n">
        <x:v>23</x:v>
      </x:c>
      <x:c r="I640" s="47" t="n">
        <x:v>-5139204</x:v>
      </x:c>
      <x:c r="J640" s="49" t="n">
        <x:v>1651</x:v>
      </x:c>
      <x:c r="K640" s="47" t="n">
        <x:v>-709598</x:v>
      </x:c>
      <x:c r="L640" s="47" t="n">
        <x:v>223443.65217391305</x:v>
      </x:c>
      <x:c r="M640" s="48" t="n">
        <x:v>3.496794871794872</x:v>
      </x:c>
      <x:c r="N640" s="48" t="n">
        <x:v>456.2448717948718</x:v>
      </x:c>
      <x:c r="O640" s="49" t="n">
        <x:v>10</x:v>
      </x:c>
      <x:c r="P640" s="1" t="str">
        <x:v>夜小玉基準併用：中期支持の3枚参加と保護後追撃・標準</x:v>
      </x:c>
      <x:c r="Q640" s="49" t="n">
        <x:v>0</x:v>
      </x:c>
      <x:c r="R640" s="50" t="n">
        <x:v>0.8050547102470179</x:v>
      </x:c>
      <x:c r="S640" s="50" t="n">
        <x:v>0.7783705161854768</x:v>
      </x:c>
      <x:c r="T640" s="1" t="str">
        <x:v>下落</x:v>
      </x:c>
      <x:c r="U640" s="49" t="n">
        <x:v>26</x:v>
      </x:c>
    </x:row>
    <x:row r="641" ht="22" customHeight="1">
      <x:c r="A641" s="1" t="str">
        <x:v>日経mini</x:v>
      </x:c>
      <x:c r="B641" s="1" t="str">
        <x:v>L09</x:v>
      </x:c>
      <x:c r="C641" s="1" t="str">
        <x:v>対照47場</x:v>
      </x:c>
      <x:c r="D641" s="47" t="n">
        <x:v>14997260</x:v>
      </x:c>
      <x:c r="E641" s="47" t="n">
        <x:v>23093514</x:v>
      </x:c>
      <x:c r="F641" s="47" t="n">
        <x:f>D641-E641</x:f>
        <x:v>-8096254</x:v>
      </x:c>
      <x:c r="G641" s="49" t="n">
        <x:v>8</x:v>
      </x:c>
      <x:c r="H641" s="49" t="n">
        <x:v>39</x:v>
      </x:c>
      <x:c r="I641" s="47" t="n">
        <x:v>-8285028</x:v>
      </x:c>
      <x:c r="J641" s="49" t="n">
        <x:v>2957</x:v>
      </x:c>
      <x:c r="K641" s="47" t="n">
        <x:v>-709598</x:v>
      </x:c>
      <x:c r="L641" s="47" t="n">
        <x:v>215590.61538461538</x:v>
      </x:c>
      <x:c r="M641" s="48" t="n">
        <x:v>3.4471631205673763</x:v>
      </x:c>
      <x:c r="N641" s="48" t="n">
        <x:v>456.0425531914894</x:v>
      </x:c>
      <x:c r="O641" s="49" t="n">
        <x:v>10</x:v>
      </x:c>
      <x:c r="P641" s="1" t="str">
        <x:v>夜小玉基準併用：中期支持の3枚参加と保護後追撃・標準</x:v>
      </x:c>
      <x:c r="Q641" s="49" t="n">
        <x:v>0</x:v>
      </x:c>
      <x:c r="R641" s="50" t="n">
        <x:v>0.7939385083002105</x:v>
      </x:c>
      <x:c r="S641" s="50" t="n">
        <x:v>0.7649536045681656</x:v>
      </x:c>
      <x:c r="T641" s="1" t="str">
        <x:v>全場</x:v>
      </x:c>
      <x:c r="U641" s="49" t="n">
        <x:v>47</x:v>
      </x:c>
    </x:row>
    <x:row r="642" ht="22" customHeight="1">
      <x:c r="A642" s="1" t="str">
        <x:v>日経mini</x:v>
      </x:c>
      <x:c r="B642" s="1" t="str">
        <x:v>L09</x:v>
      </x:c>
      <x:c r="C642" s="1" t="str">
        <x:v>対照47場</x:v>
      </x:c>
      <x:c r="D642" s="47" t="n">
        <x:v>8108820</x:v>
      </x:c>
      <x:c r="E642" s="47" t="n">
        <x:v>12539988</x:v>
      </x:c>
      <x:c r="F642" s="47" t="n">
        <x:f>D642-E642</x:f>
        <x:v>-4431168</x:v>
      </x:c>
      <x:c r="G642" s="49" t="n">
        <x:v>4</x:v>
      </x:c>
      <x:c r="H642" s="49" t="n">
        <x:v>20</x:v>
      </x:c>
      <x:c r="I642" s="47" t="n">
        <x:v>-4570268</x:v>
      </x:c>
      <x:c r="J642" s="49" t="n">
        <x:v>1524</x:v>
      </x:c>
      <x:c r="K642" s="47" t="n">
        <x:v>-709598</x:v>
      </x:c>
      <x:c r="L642" s="47" t="n">
        <x:v>229441.4</x:v>
      </x:c>
      <x:c r="M642" s="48" t="n">
        <x:v>3.4909722222222226</x:v>
      </x:c>
      <x:c r="N642" s="48" t="n">
        <x:v>372.9340277777778</x:v>
      </x:c>
      <x:c r="O642" s="49" t="n">
        <x:v>10</x:v>
      </x:c>
      <x:c r="P642" s="1" t="str">
        <x:v>夜小玉基準併用：中期支持の3枚参加と保護後追撃・標準</x:v>
      </x:c>
      <x:c r="Q642" s="49" t="n">
        <x:v>0</x:v>
      </x:c>
      <x:c r="R642" s="50" t="n">
        <x:v>0.8879381613756614</x:v>
      </x:c>
      <x:c r="S642" s="50" t="n">
        <x:v>0.8879381613756613</x:v>
      </x:c>
      <x:c r="T642" s="1" t="str">
        <x:v>デイ</x:v>
      </x:c>
      <x:c r="U642" s="49" t="n">
        <x:v>24</x:v>
      </x:c>
    </x:row>
    <x:row r="643" ht="22" customHeight="1">
      <x:c r="A643" s="1" t="str">
        <x:v>日経mini</x:v>
      </x:c>
      <x:c r="B643" s="1" t="str">
        <x:v>L09</x:v>
      </x:c>
      <x:c r="C643" s="1" t="str">
        <x:v>対照47場</x:v>
      </x:c>
      <x:c r="D643" s="47" t="n">
        <x:v>6888440</x:v>
      </x:c>
      <x:c r="E643" s="47" t="n">
        <x:v>10553526</x:v>
      </x:c>
      <x:c r="F643" s="47" t="n">
        <x:f>D643-E643</x:f>
        <x:v>-3665086</x:v>
      </x:c>
      <x:c r="G643" s="49" t="n">
        <x:v>4</x:v>
      </x:c>
      <x:c r="H643" s="49" t="n">
        <x:v>19</x:v>
      </x:c>
      <x:c r="I643" s="47" t="n">
        <x:v>-3808490</x:v>
      </x:c>
      <x:c r="J643" s="49" t="n">
        <x:v>1433</x:v>
      </x:c>
      <x:c r="K643" s="47" t="n">
        <x:v>-397134</x:v>
      </x:c>
      <x:c r="L643" s="47" t="n">
        <x:v>201010.84210526315</x:v>
      </x:c>
      <x:c r="M643" s="48" t="n">
        <x:v>3.4014492753623187</x:v>
      </x:c>
      <x:c r="N643" s="48" t="n">
        <x:v>542.7644927536232</x:v>
      </x:c>
      <x:c r="O643" s="49" t="n">
        <x:v>10</x:v>
      </x:c>
      <x:c r="P643" s="1" t="str">
        <x:v>夜小玉基準併用：中期支持の3枚参加と保護後追撃・標準</x:v>
      </x:c>
      <x:c r="Q643" s="49" t="n">
        <x:v>0</x:v>
      </x:c>
      <x:c r="R643" s="50" t="n">
        <x:v>0.6958519137866964</x:v>
      </x:c>
      <x:c r="S643" s="50" t="n">
        <x:v>0.6958519137866964</x:v>
      </x:c>
      <x:c r="T643" s="1" t="str">
        <x:v>ナイト</x:v>
      </x:c>
      <x:c r="U643" s="49" t="n">
        <x:v>23</x:v>
      </x:c>
    </x:row>
    <x:row r="644" ht="22" customHeight="1">
      <x:c r="A644" s="1" t="str">
        <x:v>日経mini</x:v>
      </x:c>
      <x:c r="B644" s="1" t="str">
        <x:v>L09</x:v>
      </x:c>
      <x:c r="C644" s="1" t="str">
        <x:v>対照47場</x:v>
      </x:c>
      <x:c r="D644" s="47" t="n">
        <x:v>7002856</x:v>
      </x:c>
      <x:c r="E644" s="47" t="n">
        <x:v>10241924</x:v>
      </x:c>
      <x:c r="F644" s="47" t="n">
        <x:f>D644-E644</x:f>
        <x:v>-3239068</x:v>
      </x:c>
      <x:c r="G644" s="49" t="n">
        <x:v>5</x:v>
      </x:c>
      <x:c r="H644" s="49" t="n">
        <x:v>17</x:v>
      </x:c>
      <x:c r="I644" s="47" t="n">
        <x:v>-3427842</x:v>
      </x:c>
      <x:c r="J644" s="49" t="n">
        <x:v>1401</x:v>
      </x:c>
      <x:c r="K644" s="47" t="n">
        <x:v>-584528</x:v>
      </x:c>
      <x:c r="L644" s="47" t="n">
        <x:v>203463.0588235294</x:v>
      </x:c>
      <x:c r="M644" s="48" t="n">
        <x:v>3.4257575757575767</x:v>
      </x:c>
      <x:c r="N644" s="48" t="n">
        <x:v>462.814393939394</x:v>
      </x:c>
      <x:c r="O644" s="49" t="n">
        <x:v>10</x:v>
      </x:c>
      <x:c r="P644" s="1" t="str">
        <x:v>夜小玉基準併用：中期支持の3枚参加と保護後追撃・標準</x:v>
      </x:c>
      <x:c r="Q644" s="49" t="n">
        <x:v>0</x:v>
      </x:c>
      <x:c r="R644" s="50" t="n">
        <x:v>0.7802773615273616</x:v>
      </x:c>
      <x:c r="S644" s="50" t="n">
        <x:v>0.7508788102261553</x:v>
      </x:c>
      <x:c r="T644" s="1" t="str">
        <x:v>上昇</x:v>
      </x:c>
      <x:c r="U644" s="49" t="n">
        <x:v>22</x:v>
      </x:c>
    </x:row>
    <x:row r="645" ht="22" customHeight="1">
      <x:c r="A645" s="1" t="str">
        <x:v>日経mini</x:v>
      </x:c>
      <x:c r="B645" s="1" t="str">
        <x:v>L09</x:v>
      </x:c>
      <x:c r="C645" s="1" t="str">
        <x:v>対照47場</x:v>
      </x:c>
      <x:c r="D645" s="47" t="n">
        <x:v>7994404</x:v>
      </x:c>
      <x:c r="E645" s="47" t="n">
        <x:v>12851590</x:v>
      </x:c>
      <x:c r="F645" s="47" t="n">
        <x:f>D645-E645</x:f>
        <x:v>-4857186</x:v>
      </x:c>
      <x:c r="G645" s="49" t="n">
        <x:v>3</x:v>
      </x:c>
      <x:c r="H645" s="49" t="n">
        <x:v>22</x:v>
      </x:c>
      <x:c r="I645" s="47" t="n">
        <x:v>-4949162</x:v>
      </x:c>
      <x:c r="J645" s="49" t="n">
        <x:v>1556</x:v>
      </x:c>
      <x:c r="K645" s="47" t="n">
        <x:v>-709598</x:v>
      </x:c>
      <x:c r="L645" s="47" t="n">
        <x:v>224961.9090909091</x:v>
      </x:c>
      <x:c r="M645" s="48" t="n">
        <x:v>3.466</x:v>
      </x:c>
      <x:c r="N645" s="48" t="n">
        <x:v>450.08333333333337</x:v>
      </x:c>
      <x:c r="O645" s="49" t="n">
        <x:v>10</x:v>
      </x:c>
      <x:c r="P645" s="1" t="str">
        <x:v>夜小玉基準併用：中期支持の3枚参加と保護後追撃・標準</x:v>
      </x:c>
      <x:c r="Q645" s="49" t="n">
        <x:v>0</x:v>
      </x:c>
      <x:c r="R645" s="50" t="n">
        <x:v>0.8059603174603174</x:v>
      </x:c>
      <x:c r="S645" s="50" t="n">
        <x:v>0.7781523743660673</x:v>
      </x:c>
      <x:c r="T645" s="1" t="str">
        <x:v>下落</x:v>
      </x:c>
      <x:c r="U645" s="49" t="n">
        <x:v>25</x:v>
      </x:c>
    </x:row>
    <x:row r="646" ht="22" customHeight="1">
      <x:c r="A646" s="1" t="str">
        <x:v>日経mini</x:v>
      </x:c>
      <x:c r="B646" s="1" t="str">
        <x:v>L09</x:v>
      </x:c>
      <x:c r="C646" s="1" t="str">
        <x:v>診断3場</x:v>
      </x:c>
      <x:c r="D646" s="47" t="n">
        <x:v>1071672</x:v>
      </x:c>
      <x:c r="E646" s="47" t="n">
        <x:v>1851670</x:v>
      </x:c>
      <x:c r="F646" s="47" t="n">
        <x:f>D646-E646</x:f>
        <x:v>-779998</x:v>
      </x:c>
      <x:c r="G646" s="49" t="n">
        <x:v>0</x:v>
      </x:c>
      <x:c r="H646" s="49" t="n">
        <x:v>3</x:v>
      </x:c>
      <x:c r="I646" s="47" t="n">
        <x:v>-779998</x:v>
      </x:c>
      <x:c r="J646" s="49" t="n">
        <x:v>243</x:v>
      </x:c>
      <x:c r="K646" s="47" t="n">
        <x:v>-344056</x:v>
      </x:c>
      <x:c r="L646" s="47" t="n">
        <x:v>259999.33333333334</x:v>
      </x:c>
      <x:c r="M646" s="48" t="n">
        <x:v>3.0888888888888886</x:v>
      </x:c>
      <x:c r="N646" s="48" t="n">
        <x:v>546.2611111111111</x:v>
      </x:c>
      <x:c r="O646" s="49" t="n">
        <x:v>10</x:v>
      </x:c>
      <x:c r="P646" s="1" t="str">
        <x:v>夜小玉基準併用：中期支持の3枚参加と保護後追撃・標準</x:v>
      </x:c>
      <x:c r="Q646" s="49" t="n">
        <x:v>0</x:v>
      </x:c>
      <x:c r="R646" s="50" t="n">
        <x:v>0.844455636955637</x:v>
      </x:c>
      <x:c r="S646" s="50" t="n">
        <x:v>0.8276683501683502</x:v>
      </x:c>
      <x:c r="T646" s="1" t="str">
        <x:v>全場</x:v>
      </x:c>
      <x:c r="U646" s="49" t="n">
        <x:v>3</x:v>
      </x:c>
    </x:row>
    <x:row r="647" ht="22" customHeight="1">
      <x:c r="A647" s="1" t="str">
        <x:v>日経mini</x:v>
      </x:c>
      <x:c r="B647" s="1" t="str">
        <x:v>L09</x:v>
      </x:c>
      <x:c r="C647" s="1" t="str">
        <x:v>診断3場</x:v>
      </x:c>
      <x:c r="D647" s="47" t="n">
        <x:v>298784</x:v>
      </x:c>
      <x:c r="E647" s="47" t="n">
        <x:v>642840</x:v>
      </x:c>
      <x:c r="F647" s="47" t="n">
        <x:f>D647-E647</x:f>
        <x:v>-344056</x:v>
      </x:c>
      <x:c r="G647" s="49" t="n">
        <x:v>0</x:v>
      </x:c>
      <x:c r="H647" s="49" t="n">
        <x:v>1</x:v>
      </x:c>
      <x:c r="I647" s="47" t="n">
        <x:v>-344056</x:v>
      </x:c>
      <x:c r="J647" s="49" t="n">
        <x:v>76</x:v>
      </x:c>
      <x:c r="K647" s="47" t="n">
        <x:v>-344056</x:v>
      </x:c>
      <x:c r="L647" s="47" t="n">
        <x:v>344056</x:v>
      </x:c>
      <x:c r="M647" s="48" t="n">
        <x:v>2.716666666666667</x:v>
      </x:c>
      <x:c r="N647" s="48" t="n">
        <x:v>393.45</x:v>
      </x:c>
      <x:c r="O647" s="49" t="n">
        <x:v>7</x:v>
      </x:c>
      <x:c r="P647" s="1" t="str">
        <x:v>夜小玉基準併用：中期支持の3枚参加と保護後追撃・標準</x:v>
      </x:c>
      <x:c r="Q647" s="49" t="n">
        <x:v>0</x:v>
      </x:c>
      <x:c r="R647" s="50" t="n">
        <x:v>0.9367857142857143</x:v>
      </x:c>
      <x:c r="S647" s="50" t="n">
        <x:v>0.9367857142857142</x:v>
      </x:c>
      <x:c r="T647" s="1" t="str">
        <x:v>デイ</x:v>
      </x:c>
      <x:c r="U647" s="49" t="n">
        <x:v>1</x:v>
      </x:c>
    </x:row>
    <x:row r="648" ht="22" customHeight="1">
      <x:c r="A648" s="1" t="str">
        <x:v>日経mini</x:v>
      </x:c>
      <x:c r="B648" s="1" t="str">
        <x:v>L09</x:v>
      </x:c>
      <x:c r="C648" s="1" t="str">
        <x:v>診断3場</x:v>
      </x:c>
      <x:c r="D648" s="47" t="n">
        <x:v>772888</x:v>
      </x:c>
      <x:c r="E648" s="47" t="n">
        <x:v>1208830</x:v>
      </x:c>
      <x:c r="F648" s="47" t="n">
        <x:f>D648-E648</x:f>
        <x:v>-435942</x:v>
      </x:c>
      <x:c r="G648" s="49" t="n">
        <x:v>0</x:v>
      </x:c>
      <x:c r="H648" s="49" t="n">
        <x:v>2</x:v>
      </x:c>
      <x:c r="I648" s="47" t="n">
        <x:v>-435942</x:v>
      </x:c>
      <x:c r="J648" s="49" t="n">
        <x:v>167</x:v>
      </x:c>
      <x:c r="K648" s="47" t="n">
        <x:v>-245900</x:v>
      </x:c>
      <x:c r="L648" s="47" t="n">
        <x:v>217971</x:v>
      </x:c>
      <x:c r="M648" s="48" t="n">
        <x:v>3.275</x:v>
      </x:c>
      <x:c r="N648" s="48" t="n">
        <x:v>622.6666666666666</x:v>
      </x:c>
      <x:c r="O648" s="49" t="n">
        <x:v>10</x:v>
      </x:c>
      <x:c r="P648" s="1" t="str">
        <x:v>夜小玉基準併用：中期支持の3枚参加と保護後追撃・標準</x:v>
      </x:c>
      <x:c r="Q648" s="49" t="n">
        <x:v>0</x:v>
      </x:c>
      <x:c r="R648" s="50" t="n">
        <x:v>0.7982905982905983</x:v>
      </x:c>
      <x:c r="S648" s="50" t="n">
        <x:v>0.7982905982905982</x:v>
      </x:c>
      <x:c r="T648" s="1" t="str">
        <x:v>ナイト</x:v>
      </x:c>
      <x:c r="U648" s="49" t="n">
        <x:v>2</x:v>
      </x:c>
    </x:row>
    <x:row r="649" ht="22" customHeight="1">
      <x:c r="A649" s="1" t="str">
        <x:v>日経mini</x:v>
      </x:c>
      <x:c r="B649" s="1" t="str">
        <x:v>L09</x:v>
      </x:c>
      <x:c r="C649" s="1" t="str">
        <x:v>診断3場</x:v>
      </x:c>
      <x:c r="D649" s="47" t="n">
        <x:v>616726</x:v>
      </x:c>
      <x:c r="E649" s="47" t="n">
        <x:v>1206682</x:v>
      </x:c>
      <x:c r="F649" s="47" t="n">
        <x:f>D649-E649</x:f>
        <x:v>-589956</x:v>
      </x:c>
      <x:c r="G649" s="49" t="n">
        <x:v>0</x:v>
      </x:c>
      <x:c r="H649" s="49" t="n">
        <x:v>2</x:v>
      </x:c>
      <x:c r="I649" s="47" t="n">
        <x:v>-589956</x:v>
      </x:c>
      <x:c r="J649" s="49" t="n">
        <x:v>148</x:v>
      </x:c>
      <x:c r="K649" s="47" t="n">
        <x:v>-344056</x:v>
      </x:c>
      <x:c r="L649" s="47" t="n">
        <x:v>294978</x:v>
      </x:c>
      <x:c r="M649" s="48" t="n">
        <x:v>2.5</x:v>
      </x:c>
      <x:c r="N649" s="48" t="n">
        <x:v>514.25</x:v>
      </x:c>
      <x:c r="O649" s="49" t="n">
        <x:v>10</x:v>
      </x:c>
      <x:c r="P649" s="1" t="str">
        <x:v>夜小玉基準併用：中期支持の3枚参加と保護後追撃・標準</x:v>
      </x:c>
      <x:c r="Q649" s="49" t="n">
        <x:v>0</x:v>
      </x:c>
      <x:c r="R649" s="50" t="n">
        <x:v>0.8754761904761905</x:v>
      </x:c>
      <x:c r="S649" s="50" t="n">
        <x:v>0.8570833333333333</x:v>
      </x:c>
      <x:c r="T649" s="1" t="str">
        <x:v>上昇</x:v>
      </x:c>
      <x:c r="U649" s="49" t="n">
        <x:v>2</x:v>
      </x:c>
    </x:row>
    <x:row r="650" ht="22" customHeight="1">
      <x:c r="A650" s="1" t="str">
        <x:v>日経mini</x:v>
      </x:c>
      <x:c r="B650" s="1" t="str">
        <x:v>L09</x:v>
      </x:c>
      <x:c r="C650" s="1" t="str">
        <x:v>診断3場</x:v>
      </x:c>
      <x:c r="D650" s="47" t="n">
        <x:v>454946</x:v>
      </x:c>
      <x:c r="E650" s="47" t="n">
        <x:v>644988</x:v>
      </x:c>
      <x:c r="F650" s="47" t="n">
        <x:f>D650-E650</x:f>
        <x:v>-190042</x:v>
      </x:c>
      <x:c r="G650" s="49" t="n">
        <x:v>0</x:v>
      </x:c>
      <x:c r="H650" s="49" t="n">
        <x:v>1</x:v>
      </x:c>
      <x:c r="I650" s="47" t="n">
        <x:v>-190042</x:v>
      </x:c>
      <x:c r="J650" s="49" t="n">
        <x:v>95</x:v>
      </x:c>
      <x:c r="K650" s="47" t="n">
        <x:v>-190042</x:v>
      </x:c>
      <x:c r="L650" s="47" t="n">
        <x:v>190042</x:v>
      </x:c>
      <x:c r="M650" s="48" t="n">
        <x:v>4.266666666666667</x:v>
      </x:c>
      <x:c r="N650" s="48" t="n">
        <x:v>610.2833333333333</x:v>
      </x:c>
      <x:c r="O650" s="49" t="n">
        <x:v>10</x:v>
      </x:c>
      <x:c r="P650" s="1" t="str">
        <x:v>夜小玉基準併用：中期支持の3枚参加と保護後追撃・標準</x:v>
      </x:c>
      <x:c r="Q650" s="49" t="n">
        <x:v>0</x:v>
      </x:c>
      <x:c r="R650" s="50" t="n">
        <x:v>0.7824145299145299</x:v>
      </x:c>
      <x:c r="S650" s="50" t="n">
        <x:v>0.7824145299145299</x:v>
      </x:c>
      <x:c r="T650" s="1" t="str">
        <x:v>下落</x:v>
      </x:c>
      <x:c r="U650" s="49" t="n">
        <x:v>1</x:v>
      </x:c>
    </x:row>
    <x:row r="651" ht="22" customHeight="1">
      <x:c r="A651" s="1" t="str">
        <x:v>日経mini</x:v>
      </x:c>
      <x:c r="B651" s="1" t="str">
        <x:v>L10</x:v>
      </x:c>
      <x:c r="C651" s="1" t="str">
        <x:v>全50場</x:v>
      </x:c>
      <x:c r="D651" s="47" t="n">
        <x:v>15874430</x:v>
      </x:c>
      <x:c r="E651" s="47" t="n">
        <x:v>23006106</x:v>
      </x:c>
      <x:c r="F651" s="47" t="n">
        <x:f>D651-E651</x:f>
        <x:v>-7131676</x:v>
      </x:c>
      <x:c r="G651" s="49" t="n">
        <x:v>9</x:v>
      </x:c>
      <x:c r="H651" s="49" t="n">
        <x:v>41</x:v>
      </x:c>
      <x:c r="I651" s="47" t="n">
        <x:v>-7486942</x:v>
      </x:c>
      <x:c r="J651" s="49" t="n">
        <x:v>2582</x:v>
      </x:c>
      <x:c r="K651" s="47" t="n">
        <x:v>-611072</x:v>
      </x:c>
      <x:c r="L651" s="47" t="n">
        <x:v>188551.41463414635</x:v>
      </x:c>
      <x:c r="M651" s="48" t="n">
        <x:v>3.4256666666666673</x:v>
      </x:c>
      <x:c r="N651" s="48" t="n">
        <x:v>517.566</x:v>
      </x:c>
      <x:c r="O651" s="49" t="n">
        <x:v>10</x:v>
      </x:c>
      <x:c r="P651" s="1" t="str">
        <x:v>夜小玉基準併用：中期支持の3枚参加と保護後追撃・広め</x:v>
      </x:c>
      <x:c r="Q651" s="49" t="n">
        <x:v>0</x:v>
      </x:c>
      <x:c r="R651" s="50" t="n">
        <x:v>0.8777538461538462</x:v>
      </x:c>
      <x:c r="S651" s="50" t="n">
        <x:v>0.86261</x:v>
      </x:c>
      <x:c r="T651" s="1" t="str">
        <x:v>全場</x:v>
      </x:c>
      <x:c r="U651" s="49" t="n">
        <x:v>50</x:v>
      </x:c>
    </x:row>
    <x:row r="652" ht="22" customHeight="1">
      <x:c r="A652" s="1" t="str">
        <x:v>日経mini</x:v>
      </x:c>
      <x:c r="B652" s="1" t="str">
        <x:v>L10</x:v>
      </x:c>
      <x:c r="C652" s="1" t="str">
        <x:v>全50場</x:v>
      </x:c>
      <x:c r="D652" s="47" t="n">
        <x:v>8598532</x:v>
      </x:c>
      <x:c r="E652" s="47" t="n">
        <x:v>12303326</x:v>
      </x:c>
      <x:c r="F652" s="47" t="n">
        <x:f>D652-E652</x:f>
        <x:v>-3704794</x:v>
      </x:c>
      <x:c r="G652" s="49" t="n">
        <x:v>5</x:v>
      </x:c>
      <x:c r="H652" s="49" t="n">
        <x:v>20</x:v>
      </x:c>
      <x:c r="I652" s="47" t="n">
        <x:v>-3949514</x:v>
      </x:c>
      <x:c r="J652" s="49" t="n">
        <x:v>1347</x:v>
      </x:c>
      <x:c r="K652" s="47" t="n">
        <x:v>-611072</x:v>
      </x:c>
      <x:c r="L652" s="47" t="n">
        <x:v>199045.4</x:v>
      </x:c>
      <x:c r="M652" s="48" t="n">
        <x:v>3.4600000000000004</x:v>
      </x:c>
      <x:c r="N652" s="48" t="n">
        <x:v>389.858</x:v>
      </x:c>
      <x:c r="O652" s="49" t="n">
        <x:v>10</x:v>
      </x:c>
      <x:c r="P652" s="1" t="str">
        <x:v>夜小玉基準併用：中期支持の3枚参加と保護後追撃・広め</x:v>
      </x:c>
      <x:c r="Q652" s="49" t="n">
        <x:v>0</x:v>
      </x:c>
      <x:c r="R652" s="50" t="n">
        <x:v>0.9282333333333334</x:v>
      </x:c>
      <x:c r="S652" s="50" t="n">
        <x:v>0.9282333333333334</x:v>
      </x:c>
      <x:c r="T652" s="1" t="str">
        <x:v>デイ</x:v>
      </x:c>
      <x:c r="U652" s="49" t="n">
        <x:v>25</x:v>
      </x:c>
    </x:row>
    <x:row r="653" ht="22" customHeight="1">
      <x:c r="A653" s="1" t="str">
        <x:v>日経mini</x:v>
      </x:c>
      <x:c r="B653" s="1" t="str">
        <x:v>L10</x:v>
      </x:c>
      <x:c r="C653" s="1" t="str">
        <x:v>全50場</x:v>
      </x:c>
      <x:c r="D653" s="47" t="n">
        <x:v>7275898</x:v>
      </x:c>
      <x:c r="E653" s="47" t="n">
        <x:v>10702780</x:v>
      </x:c>
      <x:c r="F653" s="47" t="n">
        <x:f>D653-E653</x:f>
        <x:v>-3426882</x:v>
      </x:c>
      <x:c r="G653" s="49" t="n">
        <x:v>4</x:v>
      </x:c>
      <x:c r="H653" s="49" t="n">
        <x:v>21</x:v>
      </x:c>
      <x:c r="I653" s="47" t="n">
        <x:v>-3725152</x:v>
      </x:c>
      <x:c r="J653" s="49" t="n">
        <x:v>1235</x:v>
      </x:c>
      <x:c r="K653" s="47" t="n">
        <x:v>-397684</x:v>
      </x:c>
      <x:c r="L653" s="47" t="n">
        <x:v>178557.14285714287</x:v>
      </x:c>
      <x:c r="M653" s="48" t="n">
        <x:v>3.3913333333333333</x:v>
      </x:c>
      <x:c r="N653" s="48" t="n">
        <x:v>645.274</x:v>
      </x:c>
      <x:c r="O653" s="49" t="n">
        <x:v>10</x:v>
      </x:c>
      <x:c r="P653" s="1" t="str">
        <x:v>夜小玉基準併用：中期支持の3枚参加と保護後追撃・広め</x:v>
      </x:c>
      <x:c r="Q653" s="49" t="n">
        <x:v>0</x:v>
      </x:c>
      <x:c r="R653" s="50" t="n">
        <x:v>0.827274358974359</x:v>
      </x:c>
      <x:c r="S653" s="50" t="n">
        <x:v>0.827274358974359</x:v>
      </x:c>
      <x:c r="T653" s="1" t="str">
        <x:v>ナイト</x:v>
      </x:c>
      <x:c r="U653" s="49" t="n">
        <x:v>25</x:v>
      </x:c>
    </x:row>
    <x:row r="654" ht="22" customHeight="1">
      <x:c r="A654" s="1" t="str">
        <x:v>日経mini</x:v>
      </x:c>
      <x:c r="B654" s="1" t="str">
        <x:v>L10</x:v>
      </x:c>
      <x:c r="C654" s="1" t="str">
        <x:v>全50場</x:v>
      </x:c>
      <x:c r="D654" s="47" t="n">
        <x:v>7513336</x:v>
      </x:c>
      <x:c r="E654" s="47" t="n">
        <x:v>10996254</x:v>
      </x:c>
      <x:c r="F654" s="47" t="n">
        <x:f>D654-E654</x:f>
        <x:v>-3482918</x:v>
      </x:c>
      <x:c r="G654" s="49" t="n">
        <x:v>5</x:v>
      </x:c>
      <x:c r="H654" s="49" t="n">
        <x:v>19</x:v>
      </x:c>
      <x:c r="I654" s="47" t="n">
        <x:v>-3814414</x:v>
      </x:c>
      <x:c r="J654" s="49" t="n">
        <x:v>1261</x:v>
      </x:c>
      <x:c r="K654" s="47" t="n">
        <x:v>-611072</x:v>
      </x:c>
      <x:c r="L654" s="47" t="n">
        <x:v>202410.94736842104</x:v>
      </x:c>
      <x:c r="M654" s="48" t="n">
        <x:v>3.3486111111111114</x:v>
      </x:c>
      <x:c r="N654" s="48" t="n">
        <x:v>524.9284722222222</x:v>
      </x:c>
      <x:c r="O654" s="49" t="n">
        <x:v>10</x:v>
      </x:c>
      <x:c r="P654" s="1" t="str">
        <x:v>夜小玉基準併用：中期支持の3枚参加と保護後追撃・広め</x:v>
      </x:c>
      <x:c r="Q654" s="49" t="n">
        <x:v>0</x:v>
      </x:c>
      <x:c r="R654" s="50" t="n">
        <x:v>0.868465226902727</x:v>
      </x:c>
      <x:c r="S654" s="50" t="n">
        <x:v>0.8535422312556459</x:v>
      </x:c>
      <x:c r="T654" s="1" t="str">
        <x:v>上昇</x:v>
      </x:c>
      <x:c r="U654" s="49" t="n">
        <x:v>24</x:v>
      </x:c>
    </x:row>
    <x:row r="655" ht="22" customHeight="1">
      <x:c r="A655" s="1" t="str">
        <x:v>日経mini</x:v>
      </x:c>
      <x:c r="B655" s="1" t="str">
        <x:v>L10</x:v>
      </x:c>
      <x:c r="C655" s="1" t="str">
        <x:v>全50場</x:v>
      </x:c>
      <x:c r="D655" s="47" t="n">
        <x:v>8361094</x:v>
      </x:c>
      <x:c r="E655" s="47" t="n">
        <x:v>12009852</x:v>
      </x:c>
      <x:c r="F655" s="47" t="n">
        <x:f>D655-E655</x:f>
        <x:v>-3648758</x:v>
      </x:c>
      <x:c r="G655" s="49" t="n">
        <x:v>4</x:v>
      </x:c>
      <x:c r="H655" s="49" t="n">
        <x:v>22</x:v>
      </x:c>
      <x:c r="I655" s="47" t="n">
        <x:v>-3860252</x:v>
      </x:c>
      <x:c r="J655" s="49" t="n">
        <x:v>1321</x:v>
      </x:c>
      <x:c r="K655" s="47" t="n">
        <x:v>-571226</x:v>
      </x:c>
      <x:c r="L655" s="47" t="n">
        <x:v>176581.81818181818</x:v>
      </x:c>
      <x:c r="M655" s="48" t="n">
        <x:v>3.496794871794872</x:v>
      </x:c>
      <x:c r="N655" s="48" t="n">
        <x:v>510.76987179487173</x:v>
      </x:c>
      <x:c r="O655" s="49" t="n">
        <x:v>10</x:v>
      </x:c>
      <x:c r="P655" s="1" t="str">
        <x:v>夜小玉基準併用：中期支持の3枚参加と保護後追撃・広め</x:v>
      </x:c>
      <x:c r="Q655" s="49" t="n">
        <x:v>0</x:v>
      </x:c>
      <x:c r="R655" s="50" t="n">
        <x:v>0.8863279562318023</x:v>
      </x:c>
      <x:c r="S655" s="50" t="n">
        <x:v>0.8713921697287839</x:v>
      </x:c>
      <x:c r="T655" s="1" t="str">
        <x:v>下落</x:v>
      </x:c>
      <x:c r="U655" s="49" t="n">
        <x:v>26</x:v>
      </x:c>
    </x:row>
    <x:row r="656" ht="22" customHeight="1">
      <x:c r="A656" s="1" t="str">
        <x:v>日経mini</x:v>
      </x:c>
      <x:c r="B656" s="1" t="str">
        <x:v>L10</x:v>
      </x:c>
      <x:c r="C656" s="1" t="str">
        <x:v>対照47場</x:v>
      </x:c>
      <x:c r="D656" s="47" t="n">
        <x:v>14760944</x:v>
      </x:c>
      <x:c r="E656" s="47" t="n">
        <x:v>21257346</x:v>
      </x:c>
      <x:c r="F656" s="47" t="n">
        <x:f>D656-E656</x:f>
        <x:v>-6496402</x:v>
      </x:c>
      <x:c r="G656" s="49" t="n">
        <x:v>9</x:v>
      </x:c>
      <x:c r="H656" s="49" t="n">
        <x:v>38</x:v>
      </x:c>
      <x:c r="I656" s="47" t="n">
        <x:v>-6851668</x:v>
      </x:c>
      <x:c r="J656" s="49" t="n">
        <x:v>2394</x:v>
      </x:c>
      <x:c r="K656" s="47" t="n">
        <x:v>-611072</x:v>
      </x:c>
      <x:c r="L656" s="47" t="n">
        <x:v>186719.31578947368</x:v>
      </x:c>
      <x:c r="M656" s="48" t="n">
        <x:v>3.4471631205673763</x:v>
      </x:c>
      <x:c r="N656" s="48" t="n">
        <x:v>512.7914893617022</x:v>
      </x:c>
      <x:c r="O656" s="49" t="n">
        <x:v>10</x:v>
      </x:c>
      <x:c r="P656" s="1" t="str">
        <x:v>夜小玉基準併用：中期支持の3枚参加と保護後追撃・広め</x:v>
      </x:c>
      <x:c r="Q656" s="49" t="n">
        <x:v>0</x:v>
      </x:c>
      <x:c r="R656" s="50" t="n">
        <x:v>0.8760186267633076</x:v>
      </x:c>
      <x:c r="S656" s="50" t="n">
        <x:v>0.8601427551748752</x:v>
      </x:c>
      <x:c r="T656" s="1" t="str">
        <x:v>全場</x:v>
      </x:c>
      <x:c r="U656" s="49" t="n">
        <x:v>47</x:v>
      </x:c>
    </x:row>
    <x:row r="657" ht="22" customHeight="1">
      <x:c r="A657" s="1" t="str">
        <x:v>日経mini</x:v>
      </x:c>
      <x:c r="B657" s="1" t="str">
        <x:v>L10</x:v>
      </x:c>
      <x:c r="C657" s="1" t="str">
        <x:v>対照47場</x:v>
      </x:c>
      <x:c r="D657" s="47" t="n">
        <x:v>8204988</x:v>
      </x:c>
      <x:c r="E657" s="47" t="n">
        <x:v>11653790</x:v>
      </x:c>
      <x:c r="F657" s="47" t="n">
        <x:f>D657-E657</x:f>
        <x:v>-3448802</x:v>
      </x:c>
      <x:c r="G657" s="49" t="n">
        <x:v>5</x:v>
      </x:c>
      <x:c r="H657" s="49" t="n">
        <x:v>19</x:v>
      </x:c>
      <x:c r="I657" s="47" t="n">
        <x:v>-3693522</x:v>
      </x:c>
      <x:c r="J657" s="49" t="n">
        <x:v>1284</x:v>
      </x:c>
      <x:c r="K657" s="47" t="n">
        <x:v>-611072</x:v>
      </x:c>
      <x:c r="L657" s="47" t="n">
        <x:v>196048.2105263158</x:v>
      </x:c>
      <x:c r="M657" s="48" t="n">
        <x:v>3.4909722222222226</x:v>
      </x:c>
      <x:c r="N657" s="48" t="n">
        <x:v>389.5520833333333</x:v>
      </x:c>
      <x:c r="O657" s="49" t="n">
        <x:v>10</x:v>
      </x:c>
      <x:c r="P657" s="1" t="str">
        <x:v>夜小玉基準併用：中期支持の3枚参加と保護後追撃・広め</x:v>
      </x:c>
      <x:c r="Q657" s="49" t="n">
        <x:v>0</x:v>
      </x:c>
      <x:c r="R657" s="50" t="n">
        <x:v>0.9275049603174604</x:v>
      </x:c>
      <x:c r="S657" s="50" t="n">
        <x:v>0.9275049603174603</x:v>
      </x:c>
      <x:c r="T657" s="1" t="str">
        <x:v>デイ</x:v>
      </x:c>
      <x:c r="U657" s="49" t="n">
        <x:v>24</x:v>
      </x:c>
    </x:row>
    <x:row r="658" ht="22" customHeight="1">
      <x:c r="A658" s="1" t="str">
        <x:v>日経mini</x:v>
      </x:c>
      <x:c r="B658" s="1" t="str">
        <x:v>L10</x:v>
      </x:c>
      <x:c r="C658" s="1" t="str">
        <x:v>対照47場</x:v>
      </x:c>
      <x:c r="D658" s="47" t="n">
        <x:v>6555956</x:v>
      </x:c>
      <x:c r="E658" s="47" t="n">
        <x:v>9603556</x:v>
      </x:c>
      <x:c r="F658" s="47" t="n">
        <x:f>D658-E658</x:f>
        <x:v>-3047600</x:v>
      </x:c>
      <x:c r="G658" s="49" t="n">
        <x:v>4</x:v>
      </x:c>
      <x:c r="H658" s="49" t="n">
        <x:v>19</x:v>
      </x:c>
      <x:c r="I658" s="47" t="n">
        <x:v>-3345870</x:v>
      </x:c>
      <x:c r="J658" s="49" t="n">
        <x:v>1110</x:v>
      </x:c>
      <x:c r="K658" s="47" t="n">
        <x:v>-397684</x:v>
      </x:c>
      <x:c r="L658" s="47" t="n">
        <x:v>177390.42105263157</x:v>
      </x:c>
      <x:c r="M658" s="48" t="n">
        <x:v>3.4014492753623187</x:v>
      </x:c>
      <x:c r="N658" s="48" t="n">
        <x:v>641.3891304347826</x:v>
      </x:c>
      <x:c r="O658" s="49" t="n">
        <x:v>10</x:v>
      </x:c>
      <x:c r="P658" s="1" t="str">
        <x:v>夜小玉基準併用：中期支持の3枚参加と保護後追撃・広め</x:v>
      </x:c>
      <x:c r="Q658" s="49" t="n">
        <x:v>0</x:v>
      </x:c>
      <x:c r="R658" s="50" t="n">
        <x:v>0.8222937569676702</x:v>
      </x:c>
      <x:c r="S658" s="50" t="n">
        <x:v>0.82229375696767</x:v>
      </x:c>
      <x:c r="T658" s="1" t="str">
        <x:v>ナイト</x:v>
      </x:c>
      <x:c r="U658" s="49" t="n">
        <x:v>23</x:v>
      </x:c>
    </x:row>
    <x:row r="659" ht="22" customHeight="1">
      <x:c r="A659" s="1" t="str">
        <x:v>日経mini</x:v>
      </x:c>
      <x:c r="B659" s="1" t="str">
        <x:v>L10</x:v>
      </x:c>
      <x:c r="C659" s="1" t="str">
        <x:v>対照47場</x:v>
      </x:c>
      <x:c r="D659" s="47" t="n">
        <x:v>6841012</x:v>
      </x:c>
      <x:c r="E659" s="47" t="n">
        <x:v>9878950</x:v>
      </x:c>
      <x:c r="F659" s="47" t="n">
        <x:f>D659-E659</x:f>
        <x:v>-3037938</x:v>
      </x:c>
      <x:c r="G659" s="49" t="n">
        <x:v>5</x:v>
      </x:c>
      <x:c r="H659" s="49" t="n">
        <x:v>17</x:v>
      </x:c>
      <x:c r="I659" s="47" t="n">
        <x:v>-3369434</x:v>
      </x:c>
      <x:c r="J659" s="49" t="n">
        <x:v>1141</x:v>
      </x:c>
      <x:c r="K659" s="47" t="n">
        <x:v>-611072</x:v>
      </x:c>
      <x:c r="L659" s="47" t="n">
        <x:v>200048.70588235295</x:v>
      </x:c>
      <x:c r="M659" s="48" t="n">
        <x:v>3.4257575757575767</x:v>
      </x:c>
      <x:c r="N659" s="48" t="n">
        <x:v>523.3265151515152</x:v>
      </x:c>
      <x:c r="O659" s="49" t="n">
        <x:v>10</x:v>
      </x:c>
      <x:c r="P659" s="1" t="str">
        <x:v>夜小玉基準併用：中期支持の3枚参加と保護後追撃・広め</x:v>
      </x:c>
      <x:c r="Q659" s="49" t="n">
        <x:v>0</x:v>
      </x:c>
      <x:c r="R659" s="50" t="n">
        <x:v>0.8643421855921858</x:v>
      </x:c>
      <x:c r="S659" s="50" t="n">
        <x:v>0.8490548180924288</x:v>
      </x:c>
      <x:c r="T659" s="1" t="str">
        <x:v>上昇</x:v>
      </x:c>
      <x:c r="U659" s="49" t="n">
        <x:v>22</x:v>
      </x:c>
    </x:row>
    <x:row r="660" ht="22" customHeight="1">
      <x:c r="A660" s="1" t="str">
        <x:v>日経mini</x:v>
      </x:c>
      <x:c r="B660" s="1" t="str">
        <x:v>L10</x:v>
      </x:c>
      <x:c r="C660" s="1" t="str">
        <x:v>対照47場</x:v>
      </x:c>
      <x:c r="D660" s="47" t="n">
        <x:v>7919932</x:v>
      </x:c>
      <x:c r="E660" s="47" t="n">
        <x:v>11378396</x:v>
      </x:c>
      <x:c r="F660" s="47" t="n">
        <x:f>D660-E660</x:f>
        <x:v>-3458464</x:v>
      </x:c>
      <x:c r="G660" s="49" t="n">
        <x:v>4</x:v>
      </x:c>
      <x:c r="H660" s="49" t="n">
        <x:v>21</x:v>
      </x:c>
      <x:c r="I660" s="47" t="n">
        <x:v>-3669958</x:v>
      </x:c>
      <x:c r="J660" s="49" t="n">
        <x:v>1253</x:v>
      </x:c>
      <x:c r="K660" s="47" t="n">
        <x:v>-571226</x:v>
      </x:c>
      <x:c r="L660" s="47" t="n">
        <x:v>175928.85714285713</x:v>
      </x:c>
      <x:c r="M660" s="48" t="n">
        <x:v>3.466</x:v>
      </x:c>
      <x:c r="N660" s="48" t="n">
        <x:v>503.52066666666656</x:v>
      </x:c>
      <x:c r="O660" s="49" t="n">
        <x:v>10</x:v>
      </x:c>
      <x:c r="P660" s="1" t="str">
        <x:v>夜小玉基準併用：中期支持の3枚参加と保護後追撃・広め</x:v>
      </x:c>
      <x:c r="Q660" s="49" t="n">
        <x:v>0</x:v>
      </x:c>
      <x:c r="R660" s="50" t="n">
        <x:v>0.8862938949938949</x:v>
      </x:c>
      <x:c r="S660" s="50" t="n">
        <x:v>0.8705405716920239</x:v>
      </x:c>
      <x:c r="T660" s="1" t="str">
        <x:v>下落</x:v>
      </x:c>
      <x:c r="U660" s="49" t="n">
        <x:v>25</x:v>
      </x:c>
    </x:row>
    <x:row r="661" ht="22" customHeight="1">
      <x:c r="A661" s="1" t="str">
        <x:v>日経mini</x:v>
      </x:c>
      <x:c r="B661" s="1" t="str">
        <x:v>L10</x:v>
      </x:c>
      <x:c r="C661" s="1" t="str">
        <x:v>診断3場</x:v>
      </x:c>
      <x:c r="D661" s="47" t="n">
        <x:v>1113486</x:v>
      </x:c>
      <x:c r="E661" s="47" t="n">
        <x:v>1748760</x:v>
      </x:c>
      <x:c r="F661" s="47" t="n">
        <x:f>D661-E661</x:f>
        <x:v>-635274</x:v>
      </x:c>
      <x:c r="G661" s="49" t="n">
        <x:v>0</x:v>
      </x:c>
      <x:c r="H661" s="49" t="n">
        <x:v>3</x:v>
      </x:c>
      <x:c r="I661" s="47" t="n">
        <x:v>-635274</x:v>
      </x:c>
      <x:c r="J661" s="49" t="n">
        <x:v>188</x:v>
      </x:c>
      <x:c r="K661" s="47" t="n">
        <x:v>-255992</x:v>
      </x:c>
      <x:c r="L661" s="47" t="n">
        <x:v>211758</x:v>
      </x:c>
      <x:c r="M661" s="48" t="n">
        <x:v>3.0888888888888886</x:v>
      </x:c>
      <x:c r="N661" s="48" t="n">
        <x:v>592.3666666666667</x:v>
      </x:c>
      <x:c r="O661" s="49" t="n">
        <x:v>10</x:v>
      </x:c>
      <x:c r="P661" s="1" t="str">
        <x:v>夜小玉基準併用：中期支持の3枚参加と保護後追撃・広め</x:v>
      </x:c>
      <x:c r="Q661" s="49" t="n">
        <x:v>0</x:v>
      </x:c>
      <x:c r="R661" s="50" t="n">
        <x:v>0.9049389499389499</x:v>
      </x:c>
      <x:c r="S661" s="50" t="n">
        <x:v>0.8975252525252525</x:v>
      </x:c>
      <x:c r="T661" s="1" t="str">
        <x:v>全場</x:v>
      </x:c>
      <x:c r="U661" s="49" t="n">
        <x:v>3</x:v>
      </x:c>
    </x:row>
    <x:row r="662" ht="22" customHeight="1">
      <x:c r="A662" s="1" t="str">
        <x:v>日経mini</x:v>
      </x:c>
      <x:c r="B662" s="1" t="str">
        <x:v>L10</x:v>
      </x:c>
      <x:c r="C662" s="1" t="str">
        <x:v>診断3場</x:v>
      </x:c>
      <x:c r="D662" s="47" t="n">
        <x:v>393544</x:v>
      </x:c>
      <x:c r="E662" s="47" t="n">
        <x:v>649536</x:v>
      </x:c>
      <x:c r="F662" s="47" t="n">
        <x:f>D662-E662</x:f>
        <x:v>-255992</x:v>
      </x:c>
      <x:c r="G662" s="49" t="n">
        <x:v>0</x:v>
      </x:c>
      <x:c r="H662" s="49" t="n">
        <x:v>1</x:v>
      </x:c>
      <x:c r="I662" s="47" t="n">
        <x:v>-255992</x:v>
      </x:c>
      <x:c r="J662" s="49" t="n">
        <x:v>63</x:v>
      </x:c>
      <x:c r="K662" s="47" t="n">
        <x:v>-255992</x:v>
      </x:c>
      <x:c r="L662" s="47" t="n">
        <x:v>255992</x:v>
      </x:c>
      <x:c r="M662" s="48" t="n">
        <x:v>2.716666666666667</x:v>
      </x:c>
      <x:c r="N662" s="48" t="n">
        <x:v>397.2</x:v>
      </x:c>
      <x:c r="O662" s="49" t="n">
        <x:v>7</x:v>
      </x:c>
      <x:c r="P662" s="1" t="str">
        <x:v>夜小玉基準併用：中期支持の3枚参加と保護後追撃・広め</x:v>
      </x:c>
      <x:c r="Q662" s="49" t="n">
        <x:v>0</x:v>
      </x:c>
      <x:c r="R662" s="50" t="n">
        <x:v>0.9457142857142857</x:v>
      </x:c>
      <x:c r="S662" s="50" t="n">
        <x:v>0.9457142857142857</x:v>
      </x:c>
      <x:c r="T662" s="1" t="str">
        <x:v>デイ</x:v>
      </x:c>
      <x:c r="U662" s="49" t="n">
        <x:v>1</x:v>
      </x:c>
    </x:row>
    <x:row r="663" ht="22" customHeight="1">
      <x:c r="A663" s="1" t="str">
        <x:v>日経mini</x:v>
      </x:c>
      <x:c r="B663" s="1" t="str">
        <x:v>L10</x:v>
      </x:c>
      <x:c r="C663" s="1" t="str">
        <x:v>診断3場</x:v>
      </x:c>
      <x:c r="D663" s="47" t="n">
        <x:v>719942</x:v>
      </x:c>
      <x:c r="E663" s="47" t="n">
        <x:v>1099224</x:v>
      </x:c>
      <x:c r="F663" s="47" t="n">
        <x:f>D663-E663</x:f>
        <x:v>-379282</x:v>
      </x:c>
      <x:c r="G663" s="49" t="n">
        <x:v>0</x:v>
      </x:c>
      <x:c r="H663" s="49" t="n">
        <x:v>2</x:v>
      </x:c>
      <x:c r="I663" s="47" t="n">
        <x:v>-379282</x:v>
      </x:c>
      <x:c r="J663" s="49" t="n">
        <x:v>125</x:v>
      </x:c>
      <x:c r="K663" s="47" t="n">
        <x:v>-190294</x:v>
      </x:c>
      <x:c r="L663" s="47" t="n">
        <x:v>189641</x:v>
      </x:c>
      <x:c r="M663" s="48" t="n">
        <x:v>3.275</x:v>
      </x:c>
      <x:c r="N663" s="48" t="n">
        <x:v>689.95</x:v>
      </x:c>
      <x:c r="O663" s="49" t="n">
        <x:v>10</x:v>
      </x:c>
      <x:c r="P663" s="1" t="str">
        <x:v>夜小玉基準併用：中期支持の3枚参加と保護後追撃・広め</x:v>
      </x:c>
      <x:c r="Q663" s="49" t="n">
        <x:v>0</x:v>
      </x:c>
      <x:c r="R663" s="50" t="n">
        <x:v>0.884551282051282</x:v>
      </x:c>
      <x:c r="S663" s="50" t="n">
        <x:v>0.8845512820512821</x:v>
      </x:c>
      <x:c r="T663" s="1" t="str">
        <x:v>ナイト</x:v>
      </x:c>
      <x:c r="U663" s="49" t="n">
        <x:v>2</x:v>
      </x:c>
    </x:row>
    <x:row r="664" ht="22" customHeight="1">
      <x:c r="A664" s="1" t="str">
        <x:v>日経mini</x:v>
      </x:c>
      <x:c r="B664" s="1" t="str">
        <x:v>L10</x:v>
      </x:c>
      <x:c r="C664" s="1" t="str">
        <x:v>診断3場</x:v>
      </x:c>
      <x:c r="D664" s="47" t="n">
        <x:v>672324</x:v>
      </x:c>
      <x:c r="E664" s="47" t="n">
        <x:v>1117304</x:v>
      </x:c>
      <x:c r="F664" s="47" t="n">
        <x:f>D664-E664</x:f>
        <x:v>-444980</x:v>
      </x:c>
      <x:c r="G664" s="49" t="n">
        <x:v>0</x:v>
      </x:c>
      <x:c r="H664" s="49" t="n">
        <x:v>2</x:v>
      </x:c>
      <x:c r="I664" s="47" t="n">
        <x:v>-444980</x:v>
      </x:c>
      <x:c r="J664" s="49" t="n">
        <x:v>120</x:v>
      </x:c>
      <x:c r="K664" s="47" t="n">
        <x:v>-255992</x:v>
      </x:c>
      <x:c r="L664" s="47" t="n">
        <x:v>222490</x:v>
      </x:c>
      <x:c r="M664" s="48" t="n">
        <x:v>2.5</x:v>
      </x:c>
      <x:c r="N664" s="48" t="n">
        <x:v>542.55</x:v>
      </x:c>
      <x:c r="O664" s="49" t="n">
        <x:v>9</x:v>
      </x:c>
      <x:c r="P664" s="1" t="str">
        <x:v>夜小玉基準併用：中期支持の3枚参加と保護後追撃・広め</x:v>
      </x:c>
      <x:c r="Q664" s="49" t="n">
        <x:v>0</x:v>
      </x:c>
      <x:c r="R664" s="50" t="n">
        <x:v>0.9138186813186813</x:v>
      </x:c>
      <x:c r="S664" s="50" t="n">
        <x:v>0.9042499999999999</x:v>
      </x:c>
      <x:c r="T664" s="1" t="str">
        <x:v>上昇</x:v>
      </x:c>
      <x:c r="U664" s="49" t="n">
        <x:v>2</x:v>
      </x:c>
    </x:row>
    <x:row r="665" ht="22" customHeight="1">
      <x:c r="A665" s="1" t="str">
        <x:v>日経mini</x:v>
      </x:c>
      <x:c r="B665" s="1" t="str">
        <x:v>L10</x:v>
      </x:c>
      <x:c r="C665" s="1" t="str">
        <x:v>診断3場</x:v>
      </x:c>
      <x:c r="D665" s="47" t="n">
        <x:v>441162</x:v>
      </x:c>
      <x:c r="E665" s="47" t="n">
        <x:v>631456</x:v>
      </x:c>
      <x:c r="F665" s="47" t="n">
        <x:f>D665-E665</x:f>
        <x:v>-190294</x:v>
      </x:c>
      <x:c r="G665" s="49" t="n">
        <x:v>0</x:v>
      </x:c>
      <x:c r="H665" s="49" t="n">
        <x:v>1</x:v>
      </x:c>
      <x:c r="I665" s="47" t="n">
        <x:v>-190294</x:v>
      </x:c>
      <x:c r="J665" s="49" t="n">
        <x:v>68</x:v>
      </x:c>
      <x:c r="K665" s="47" t="n">
        <x:v>-190294</x:v>
      </x:c>
      <x:c r="L665" s="47" t="n">
        <x:v>190294</x:v>
      </x:c>
      <x:c r="M665" s="48" t="n">
        <x:v>4.266666666666667</x:v>
      </x:c>
      <x:c r="N665" s="48" t="n">
        <x:v>692</x:v>
      </x:c>
      <x:c r="O665" s="49" t="n">
        <x:v>10</x:v>
      </x:c>
      <x:c r="P665" s="1" t="str">
        <x:v>夜小玉基準併用：中期支持の3枚参加と保護後追撃・広め</x:v>
      </x:c>
      <x:c r="Q665" s="49" t="n">
        <x:v>0</x:v>
      </x:c>
      <x:c r="R665" s="50" t="n">
        <x:v>0.8871794871794871</x:v>
      </x:c>
      <x:c r="S665" s="50" t="n">
        <x:v>0.8871794871794871</x:v>
      </x:c>
      <x:c r="T665" s="1" t="str">
        <x:v>下落</x:v>
      </x:c>
      <x:c r="U665" s="49" t="n">
        <x:v>1</x:v>
      </x:c>
    </x:row>
    <x:row r="666" ht="22" customHeight="1">
      <x:c r="A666" s="1" t="str">
        <x:v>日経mini</x:v>
      </x:c>
      <x:c r="B666" s="1" t="str">
        <x:v>L11</x:v>
      </x:c>
      <x:c r="C666" s="1" t="str">
        <x:v>全50場</x:v>
      </x:c>
      <x:c r="D666" s="47" t="n">
        <x:v>13855228</x:v>
      </x:c>
      <x:c r="E666" s="47" t="n">
        <x:v>20921246</x:v>
      </x:c>
      <x:c r="F666" s="47" t="n">
        <x:f>D666-E666</x:f>
        <x:v>-7066018</x:v>
      </x:c>
      <x:c r="G666" s="49" t="n">
        <x:v>10</x:v>
      </x:c>
      <x:c r="H666" s="49" t="n">
        <x:v>40</x:v>
      </x:c>
      <x:c r="I666" s="47" t="n">
        <x:v>-7444220</x:v>
      </x:c>
      <x:c r="J666" s="49" t="n">
        <x:v>2820</x:v>
      </x:c>
      <x:c r="K666" s="47" t="n">
        <x:v>-493844</x:v>
      </x:c>
      <x:c r="L666" s="47" t="n">
        <x:v>191146.7</x:v>
      </x:c>
      <x:c r="M666" s="48" t="n">
        <x:v>3.4256666666666673</x:v>
      </x:c>
      <x:c r="N666" s="48" t="n">
        <x:v>417.84333333333336</x:v>
      </x:c>
      <x:c r="O666" s="49" t="n">
        <x:v>10</x:v>
      </x:c>
      <x:c r="P666" s="1" t="str">
        <x:v>夜小玉基準併用：追従と反発を状態で選択・標準</x:v>
      </x:c>
      <x:c r="Q666" s="49" t="n">
        <x:v>0</x:v>
      </x:c>
      <x:c r="R666" s="50" t="n">
        <x:v>0.7261299145299147</x:v>
      </x:c>
      <x:c r="S666" s="50" t="n">
        <x:v>0.6964055555555556</x:v>
      </x:c>
      <x:c r="T666" s="1" t="str">
        <x:v>全場</x:v>
      </x:c>
      <x:c r="U666" s="49" t="n">
        <x:v>50</x:v>
      </x:c>
    </x:row>
    <x:row r="667" ht="22" customHeight="1">
      <x:c r="A667" s="1" t="str">
        <x:v>日経mini</x:v>
      </x:c>
      <x:c r="B667" s="1" t="str">
        <x:v>L11</x:v>
      </x:c>
      <x:c r="C667" s="1" t="str">
        <x:v>全50場</x:v>
      </x:c>
      <x:c r="D667" s="47" t="n">
        <x:v>7421146</x:v>
      </x:c>
      <x:c r="E667" s="47" t="n">
        <x:v>11220466</x:v>
      </x:c>
      <x:c r="F667" s="47" t="n">
        <x:f>D667-E667</x:f>
        <x:v>-3799320</x:v>
      </x:c>
      <x:c r="G667" s="49" t="n">
        <x:v>5</x:v>
      </x:c>
      <x:c r="H667" s="49" t="n">
        <x:v>20</x:v>
      </x:c>
      <x:c r="I667" s="47" t="n">
        <x:v>-3965720</x:v>
      </x:c>
      <x:c r="J667" s="49" t="n">
        <x:v>1444</x:v>
      </x:c>
      <x:c r="K667" s="47" t="n">
        <x:v>-493844</x:v>
      </x:c>
      <x:c r="L667" s="47" t="n">
        <x:v>199870.8</x:v>
      </x:c>
      <x:c r="M667" s="48" t="n">
        <x:v>3.4600000000000004</x:v>
      </x:c>
      <x:c r="N667" s="48" t="n">
        <x:v>346.5886666666667</x:v>
      </x:c>
      <x:c r="O667" s="49" t="n">
        <x:v>10</x:v>
      </x:c>
      <x:c r="P667" s="1" t="str">
        <x:v>夜小玉基準併用：追従と反発を状態で選択・標準</x:v>
      </x:c>
      <x:c r="Q667" s="49" t="n">
        <x:v>0</x:v>
      </x:c>
      <x:c r="R667" s="50" t="n">
        <x:v>0.8252111111111111</x:v>
      </x:c>
      <x:c r="S667" s="50" t="n">
        <x:v>0.8252111111111111</x:v>
      </x:c>
      <x:c r="T667" s="1" t="str">
        <x:v>デイ</x:v>
      </x:c>
      <x:c r="U667" s="49" t="n">
        <x:v>25</x:v>
      </x:c>
    </x:row>
    <x:row r="668" ht="22" customHeight="1">
      <x:c r="A668" s="1" t="str">
        <x:v>日経mini</x:v>
      </x:c>
      <x:c r="B668" s="1" t="str">
        <x:v>L11</x:v>
      </x:c>
      <x:c r="C668" s="1" t="str">
        <x:v>全50場</x:v>
      </x:c>
      <x:c r="D668" s="47" t="n">
        <x:v>6434082</x:v>
      </x:c>
      <x:c r="E668" s="47" t="n">
        <x:v>9700780</x:v>
      </x:c>
      <x:c r="F668" s="47" t="n">
        <x:f>D668-E668</x:f>
        <x:v>-3266698</x:v>
      </x:c>
      <x:c r="G668" s="49" t="n">
        <x:v>5</x:v>
      </x:c>
      <x:c r="H668" s="49" t="n">
        <x:v>20</x:v>
      </x:c>
      <x:c r="I668" s="47" t="n">
        <x:v>-3644900</x:v>
      </x:c>
      <x:c r="J668" s="49" t="n">
        <x:v>1376</x:v>
      </x:c>
      <x:c r="K668" s="47" t="n">
        <x:v>-366070</x:v>
      </x:c>
      <x:c r="L668" s="47" t="n">
        <x:v>182422.6</x:v>
      </x:c>
      <x:c r="M668" s="48" t="n">
        <x:v>3.3913333333333333</x:v>
      </x:c>
      <x:c r="N668" s="48" t="n">
        <x:v>489.098</x:v>
      </x:c>
      <x:c r="O668" s="49" t="n">
        <x:v>10</x:v>
      </x:c>
      <x:c r="P668" s="1" t="str">
        <x:v>夜小玉基準併用：追従と反発を状態で選択・標準</x:v>
      </x:c>
      <x:c r="Q668" s="49" t="n">
        <x:v>0</x:v>
      </x:c>
      <x:c r="R668" s="50" t="n">
        <x:v>0.627048717948718</x:v>
      </x:c>
      <x:c r="S668" s="50" t="n">
        <x:v>0.627048717948718</x:v>
      </x:c>
      <x:c r="T668" s="1" t="str">
        <x:v>ナイト</x:v>
      </x:c>
      <x:c r="U668" s="49" t="n">
        <x:v>25</x:v>
      </x:c>
    </x:row>
    <x:row r="669" ht="22" customHeight="1">
      <x:c r="A669" s="1" t="str">
        <x:v>日経mini</x:v>
      </x:c>
      <x:c r="B669" s="1" t="str">
        <x:v>L11</x:v>
      </x:c>
      <x:c r="C669" s="1" t="str">
        <x:v>全50場</x:v>
      </x:c>
      <x:c r="D669" s="47" t="n">
        <x:v>6534570</x:v>
      </x:c>
      <x:c r="E669" s="47" t="n">
        <x:v>9843924</x:v>
      </x:c>
      <x:c r="F669" s="47" t="n">
        <x:f>D669-E669</x:f>
        <x:v>-3309354</x:v>
      </x:c>
      <x:c r="G669" s="49" t="n">
        <x:v>5</x:v>
      </x:c>
      <x:c r="H669" s="49" t="n">
        <x:v>19</x:v>
      </x:c>
      <x:c r="I669" s="47" t="n">
        <x:v>-3613620</x:v>
      </x:c>
      <x:c r="J669" s="49" t="n">
        <x:v>1354</x:v>
      </x:c>
      <x:c r="K669" s="47" t="n">
        <x:v>-430918</x:v>
      </x:c>
      <x:c r="L669" s="47" t="n">
        <x:v>190996.42105263157</x:v>
      </x:c>
      <x:c r="M669" s="48" t="n">
        <x:v>3.3486111111111114</x:v>
      </x:c>
      <x:c r="N669" s="48" t="n">
        <x:v>423.54097222222225</x:v>
      </x:c>
      <x:c r="O669" s="49" t="n">
        <x:v>10</x:v>
      </x:c>
      <x:c r="P669" s="1" t="str">
        <x:v>夜小玉基準併用：追従と反発を状態で選択・標準</x:v>
      </x:c>
      <x:c r="Q669" s="49" t="n">
        <x:v>0</x:v>
      </x:c>
      <x:c r="R669" s="50" t="n">
        <x:v>0.7147923026048026</x:v>
      </x:c>
      <x:c r="S669" s="50" t="n">
        <x:v>0.6886845076784102</x:v>
      </x:c>
      <x:c r="T669" s="1" t="str">
        <x:v>上昇</x:v>
      </x:c>
      <x:c r="U669" s="49" t="n">
        <x:v>24</x:v>
      </x:c>
    </x:row>
    <x:row r="670" ht="22" customHeight="1">
      <x:c r="A670" s="1" t="str">
        <x:v>日経mini</x:v>
      </x:c>
      <x:c r="B670" s="1" t="str">
        <x:v>L11</x:v>
      </x:c>
      <x:c r="C670" s="1" t="str">
        <x:v>全50場</x:v>
      </x:c>
      <x:c r="D670" s="47" t="n">
        <x:v>7320658</x:v>
      </x:c>
      <x:c r="E670" s="47" t="n">
        <x:v>11077322</x:v>
      </x:c>
      <x:c r="F670" s="47" t="n">
        <x:f>D670-E670</x:f>
        <x:v>-3756664</x:v>
      </x:c>
      <x:c r="G670" s="49" t="n">
        <x:v>5</x:v>
      </x:c>
      <x:c r="H670" s="49" t="n">
        <x:v>21</x:v>
      </x:c>
      <x:c r="I670" s="47" t="n">
        <x:v>-3997000</x:v>
      </x:c>
      <x:c r="J670" s="49" t="n">
        <x:v>1466</x:v>
      </x:c>
      <x:c r="K670" s="47" t="n">
        <x:v>-493844</x:v>
      </x:c>
      <x:c r="L670" s="47" t="n">
        <x:v>191282.66666666666</x:v>
      </x:c>
      <x:c r="M670" s="48" t="n">
        <x:v>3.496794871794872</x:v>
      </x:c>
      <x:c r="N670" s="48" t="n">
        <x:v>412.5839743589744</x:v>
      </x:c>
      <x:c r="O670" s="49" t="n">
        <x:v>10</x:v>
      </x:c>
      <x:c r="P670" s="1" t="str">
        <x:v>夜小玉基準併用：追従と反発を状態で選択・標準</x:v>
      </x:c>
      <x:c r="Q670" s="49" t="n">
        <x:v>0</x:v>
      </x:c>
      <x:c r="R670" s="50" t="n">
        <x:v>0.736595402460787</x:v>
      </x:c>
      <x:c r="S670" s="50" t="n">
        <x:v>0.7038834208223972</x:v>
      </x:c>
      <x:c r="T670" s="1" t="str">
        <x:v>下落</x:v>
      </x:c>
      <x:c r="U670" s="49" t="n">
        <x:v>26</x:v>
      </x:c>
    </x:row>
    <x:row r="671" ht="22" customHeight="1">
      <x:c r="A671" s="1" t="str">
        <x:v>日経mini</x:v>
      </x:c>
      <x:c r="B671" s="1" t="str">
        <x:v>L11</x:v>
      </x:c>
      <x:c r="C671" s="1" t="str">
        <x:v>対照47場</x:v>
      </x:c>
      <x:c r="D671" s="47" t="n">
        <x:v>13115270</x:v>
      </x:c>
      <x:c r="E671" s="47" t="n">
        <x:v>19348618</x:v>
      </x:c>
      <x:c r="F671" s="47" t="n">
        <x:f>D671-E671</x:f>
        <x:v>-6233348</x:v>
      </x:c>
      <x:c r="G671" s="49" t="n">
        <x:v>10</x:v>
      </x:c>
      <x:c r="H671" s="49" t="n">
        <x:v>37</x:v>
      </x:c>
      <x:c r="I671" s="47" t="n">
        <x:v>-6611550</x:v>
      </x:c>
      <x:c r="J671" s="49" t="n">
        <x:v>2600</x:v>
      </x:c>
      <x:c r="K671" s="47" t="n">
        <x:v>-493844</x:v>
      </x:c>
      <x:c r="L671" s="47" t="n">
        <x:v>184140.48648648648</x:v>
      </x:c>
      <x:c r="M671" s="48" t="n">
        <x:v>3.4471631205673763</x:v>
      </x:c>
      <x:c r="N671" s="48" t="n">
        <x:v>415.5336879432624</x:v>
      </x:c>
      <x:c r="O671" s="49" t="n">
        <x:v>10</x:v>
      </x:c>
      <x:c r="P671" s="1" t="str">
        <x:v>夜小玉基準併用：追従と反発を状態で選択・標準</x:v>
      </x:c>
      <x:c r="Q671" s="49" t="n">
        <x:v>0</x:v>
      </x:c>
      <x:c r="R671" s="50" t="n">
        <x:v>0.7273925778713013</x:v>
      </x:c>
      <x:c r="S671" s="50" t="n">
        <x:v>0.6970051153937663</x:v>
      </x:c>
      <x:c r="T671" s="1" t="str">
        <x:v>全場</x:v>
      </x:c>
      <x:c r="U671" s="49" t="n">
        <x:v>47</x:v>
      </x:c>
    </x:row>
    <x:row r="672" ht="22" customHeight="1">
      <x:c r="A672" s="1" t="str">
        <x:v>日経mini</x:v>
      </x:c>
      <x:c r="B672" s="1" t="str">
        <x:v>L11</x:v>
      </x:c>
      <x:c r="C672" s="1" t="str">
        <x:v>対照47場</x:v>
      </x:c>
      <x:c r="D672" s="47" t="n">
        <x:v>7271216</x:v>
      </x:c>
      <x:c r="E672" s="47" t="n">
        <x:v>10639618</x:v>
      </x:c>
      <x:c r="F672" s="47" t="n">
        <x:f>D672-E672</x:f>
        <x:v>-3368402</x:v>
      </x:c>
      <x:c r="G672" s="49" t="n">
        <x:v>5</x:v>
      </x:c>
      <x:c r="H672" s="49" t="n">
        <x:v>19</x:v>
      </x:c>
      <x:c r="I672" s="47" t="n">
        <x:v>-3534802</x:v>
      </x:c>
      <x:c r="J672" s="49" t="n">
        <x:v>1367</x:v>
      </x:c>
      <x:c r="K672" s="47" t="n">
        <x:v>-493844</x:v>
      </x:c>
      <x:c r="L672" s="47" t="n">
        <x:v>187710.42105263157</x:v>
      </x:c>
      <x:c r="M672" s="48" t="n">
        <x:v>3.4909722222222226</x:v>
      </x:c>
      <x:c r="N672" s="48" t="n">
        <x:v>346.8951388888889</x:v>
      </x:c>
      <x:c r="O672" s="49" t="n">
        <x:v>10</x:v>
      </x:c>
      <x:c r="P672" s="1" t="str">
        <x:v>夜小玉基準併用：追従と反発を状態で選択・標準</x:v>
      </x:c>
      <x:c r="Q672" s="49" t="n">
        <x:v>0</x:v>
      </x:c>
      <x:c r="R672" s="50" t="n">
        <x:v>0.8259408068783068</x:v>
      </x:c>
      <x:c r="S672" s="50" t="n">
        <x:v>0.825940806878307</x:v>
      </x:c>
      <x:c r="T672" s="1" t="str">
        <x:v>デイ</x:v>
      </x:c>
      <x:c r="U672" s="49" t="n">
        <x:v>24</x:v>
      </x:c>
    </x:row>
    <x:row r="673" ht="22" customHeight="1">
      <x:c r="A673" s="1" t="str">
        <x:v>日経mini</x:v>
      </x:c>
      <x:c r="B673" s="1" t="str">
        <x:v>L11</x:v>
      </x:c>
      <x:c r="C673" s="1" t="str">
        <x:v>対照47場</x:v>
      </x:c>
      <x:c r="D673" s="47" t="n">
        <x:v>5844054</x:v>
      </x:c>
      <x:c r="E673" s="47" t="n">
        <x:v>8709000</x:v>
      </x:c>
      <x:c r="F673" s="47" t="n">
        <x:f>D673-E673</x:f>
        <x:v>-2864946</x:v>
      </x:c>
      <x:c r="G673" s="49" t="n">
        <x:v>5</x:v>
      </x:c>
      <x:c r="H673" s="49" t="n">
        <x:v>18</x:v>
      </x:c>
      <x:c r="I673" s="47" t="n">
        <x:v>-3243148</x:v>
      </x:c>
      <x:c r="J673" s="49" t="n">
        <x:v>1233</x:v>
      </x:c>
      <x:c r="K673" s="47" t="n">
        <x:v>-366070</x:v>
      </x:c>
      <x:c r="L673" s="47" t="n">
        <x:v>180372.22222222222</x:v>
      </x:c>
      <x:c r="M673" s="48" t="n">
        <x:v>3.4014492753623187</x:v>
      </x:c>
      <x:c r="N673" s="48" t="n">
        <x:v>487.1565217391304</x:v>
      </x:c>
      <x:c r="O673" s="49" t="n">
        <x:v>10</x:v>
      </x:c>
      <x:c r="P673" s="1" t="str">
        <x:v>夜小玉基準併用：追従と反発を状態で選択・標準</x:v>
      </x:c>
      <x:c r="Q673" s="49" t="n">
        <x:v>0</x:v>
      </x:c>
      <x:c r="R673" s="50" t="n">
        <x:v>0.6245596432552954</x:v>
      </x:c>
      <x:c r="S673" s="50" t="n">
        <x:v>0.6245596432552954</x:v>
      </x:c>
      <x:c r="T673" s="1" t="str">
        <x:v>ナイト</x:v>
      </x:c>
      <x:c r="U673" s="49" t="n">
        <x:v>23</x:v>
      </x:c>
    </x:row>
    <x:row r="674" ht="22" customHeight="1">
      <x:c r="A674" s="1" t="str">
        <x:v>日経mini</x:v>
      </x:c>
      <x:c r="B674" s="1" t="str">
        <x:v>L11</x:v>
      </x:c>
      <x:c r="C674" s="1" t="str">
        <x:v>対照47場</x:v>
      </x:c>
      <x:c r="D674" s="47" t="n">
        <x:v>6171088</x:v>
      </x:c>
      <x:c r="E674" s="47" t="n">
        <x:v>8825686</x:v>
      </x:c>
      <x:c r="F674" s="47" t="n">
        <x:f>D674-E674</x:f>
        <x:v>-2654598</x:v>
      </x:c>
      <x:c r="G674" s="49" t="n">
        <x:v>5</x:v>
      </x:c>
      <x:c r="H674" s="49" t="n">
        <x:v>17</x:v>
      </x:c>
      <x:c r="I674" s="47" t="n">
        <x:v>-2958864</x:v>
      </x:c>
      <x:c r="J674" s="49" t="n">
        <x:v>1213</x:v>
      </x:c>
      <x:c r="K674" s="47" t="n">
        <x:v>-422160</x:v>
      </x:c>
      <x:c r="L674" s="47" t="n">
        <x:v>174951.5294117647</x:v>
      </x:c>
      <x:c r="M674" s="48" t="n">
        <x:v>3.4257575757575767</x:v>
      </x:c>
      <x:c r="N674" s="48" t="n">
        <x:v>423.7613636363636</x:v>
      </x:c>
      <x:c r="O674" s="49" t="n">
        <x:v>10</x:v>
      </x:c>
      <x:c r="P674" s="1" t="str">
        <x:v>夜小玉基準併用：追従と反発を状態で選択・標準</x:v>
      </x:c>
      <x:c r="Q674" s="49" t="n">
        <x:v>0</x:v>
      </x:c>
      <x:c r="R674" s="50" t="n">
        <x:v>0.7137475024975026</x:v>
      </x:c>
      <x:c r="S674" s="50" t="n">
        <x:v>0.6875184365781711</x:v>
      </x:c>
      <x:c r="T674" s="1" t="str">
        <x:v>上昇</x:v>
      </x:c>
      <x:c r="U674" s="49" t="n">
        <x:v>22</x:v>
      </x:c>
    </x:row>
    <x:row r="675" ht="22" customHeight="1">
      <x:c r="A675" s="1" t="str">
        <x:v>日経mini</x:v>
      </x:c>
      <x:c r="B675" s="1" t="str">
        <x:v>L11</x:v>
      </x:c>
      <x:c r="C675" s="1" t="str">
        <x:v>対照47場</x:v>
      </x:c>
      <x:c r="D675" s="47" t="n">
        <x:v>6944182</x:v>
      </x:c>
      <x:c r="E675" s="47" t="n">
        <x:v>10522932</x:v>
      </x:c>
      <x:c r="F675" s="47" t="n">
        <x:f>D675-E675</x:f>
        <x:v>-3578750</x:v>
      </x:c>
      <x:c r="G675" s="49" t="n">
        <x:v>5</x:v>
      </x:c>
      <x:c r="H675" s="49" t="n">
        <x:v>20</x:v>
      </x:c>
      <x:c r="I675" s="47" t="n">
        <x:v>-3819086</x:v>
      </x:c>
      <x:c r="J675" s="49" t="n">
        <x:v>1387</x:v>
      </x:c>
      <x:c r="K675" s="47" t="n">
        <x:v>-493844</x:v>
      </x:c>
      <x:c r="L675" s="47" t="n">
        <x:v>191951.1</x:v>
      </x:c>
      <x:c r="M675" s="48" t="n">
        <x:v>3.466</x:v>
      </x:c>
      <x:c r="N675" s="48" t="n">
        <x:v>408.29333333333335</x:v>
      </x:c>
      <x:c r="O675" s="49" t="n">
        <x:v>10</x:v>
      </x:c>
      <x:c r="P675" s="1" t="str">
        <x:v>夜小玉基準併用：追従と反発を状態で選択・標準</x:v>
      </x:c>
      <x:c r="Q675" s="49" t="n">
        <x:v>0</x:v>
      </x:c>
      <x:c r="R675" s="50" t="n">
        <x:v>0.7394002442002442</x:v>
      </x:c>
      <x:c r="S675" s="50" t="n">
        <x:v>0.705901337021669</x:v>
      </x:c>
      <x:c r="T675" s="1" t="str">
        <x:v>下落</x:v>
      </x:c>
      <x:c r="U675" s="49" t="n">
        <x:v>25</x:v>
      </x:c>
    </x:row>
    <x:row r="676" ht="22" customHeight="1">
      <x:c r="A676" s="1" t="str">
        <x:v>日経mini</x:v>
      </x:c>
      <x:c r="B676" s="1" t="str">
        <x:v>L11</x:v>
      </x:c>
      <x:c r="C676" s="1" t="str">
        <x:v>診断3場</x:v>
      </x:c>
      <x:c r="D676" s="47" t="n">
        <x:v>739958</x:v>
      </x:c>
      <x:c r="E676" s="47" t="n">
        <x:v>1572628</x:v>
      </x:c>
      <x:c r="F676" s="47" t="n">
        <x:f>D676-E676</x:f>
        <x:v>-832670</x:v>
      </x:c>
      <x:c r="G676" s="49" t="n">
        <x:v>0</x:v>
      </x:c>
      <x:c r="H676" s="49" t="n">
        <x:v>3</x:v>
      </x:c>
      <x:c r="I676" s="47" t="n">
        <x:v>-832670</x:v>
      </x:c>
      <x:c r="J676" s="49" t="n">
        <x:v>220</x:v>
      </x:c>
      <x:c r="K676" s="47" t="n">
        <x:v>-430918</x:v>
      </x:c>
      <x:c r="L676" s="47" t="n">
        <x:v>277556.6666666667</x:v>
      </x:c>
      <x:c r="M676" s="48" t="n">
        <x:v>3.0888888888888886</x:v>
      </x:c>
      <x:c r="N676" s="48" t="n">
        <x:v>454.0277777777778</x:v>
      </x:c>
      <x:c r="O676" s="49" t="n">
        <x:v>10</x:v>
      </x:c>
      <x:c r="P676" s="1" t="str">
        <x:v>夜小玉基準併用：追従と反発を状態で選択・標準</x:v>
      </x:c>
      <x:c r="Q676" s="49" t="n">
        <x:v>0</x:v>
      </x:c>
      <x:c r="R676" s="50" t="n">
        <x:v>0.7063481888481888</x:v>
      </x:c>
      <x:c r="S676" s="50" t="n">
        <x:v>0.6879208754208755</x:v>
      </x:c>
      <x:c r="T676" s="1" t="str">
        <x:v>全場</x:v>
      </x:c>
      <x:c r="U676" s="49" t="n">
        <x:v>3</x:v>
      </x:c>
    </x:row>
    <x:row r="677" ht="22" customHeight="1">
      <x:c r="A677" s="1" t="str">
        <x:v>日経mini</x:v>
      </x:c>
      <x:c r="B677" s="1" t="str">
        <x:v>L11</x:v>
      </x:c>
      <x:c r="C677" s="1" t="str">
        <x:v>診断3場</x:v>
      </x:c>
      <x:c r="D677" s="47" t="n">
        <x:v>149930</x:v>
      </x:c>
      <x:c r="E677" s="47" t="n">
        <x:v>580848</x:v>
      </x:c>
      <x:c r="F677" s="47" t="n">
        <x:f>D677-E677</x:f>
        <x:v>-430918</x:v>
      </x:c>
      <x:c r="G677" s="49" t="n">
        <x:v>0</x:v>
      </x:c>
      <x:c r="H677" s="49" t="n">
        <x:v>1</x:v>
      </x:c>
      <x:c r="I677" s="47" t="n">
        <x:v>-430918</x:v>
      </x:c>
      <x:c r="J677" s="49" t="n">
        <x:v>77</x:v>
      </x:c>
      <x:c r="K677" s="47" t="n">
        <x:v>-430918</x:v>
      </x:c>
      <x:c r="L677" s="47" t="n">
        <x:v>430918</x:v>
      </x:c>
      <x:c r="M677" s="48" t="n">
        <x:v>2.716666666666667</x:v>
      </x:c>
      <x:c r="N677" s="48" t="n">
        <x:v>339.23333333333335</x:v>
      </x:c>
      <x:c r="O677" s="49" t="n">
        <x:v>7</x:v>
      </x:c>
      <x:c r="P677" s="1" t="str">
        <x:v>夜小玉基準併用：追従と反発を状態で選択・標準</x:v>
      </x:c>
      <x:c r="Q677" s="49" t="n">
        <x:v>0</x:v>
      </x:c>
      <x:c r="R677" s="50" t="n">
        <x:v>0.8076984126984127</x:v>
      </x:c>
      <x:c r="S677" s="50" t="n">
        <x:v>0.8076984126984127</x:v>
      </x:c>
      <x:c r="T677" s="1" t="str">
        <x:v>デイ</x:v>
      </x:c>
      <x:c r="U677" s="49" t="n">
        <x:v>1</x:v>
      </x:c>
    </x:row>
    <x:row r="678" ht="22" customHeight="1">
      <x:c r="A678" s="1" t="str">
        <x:v>日経mini</x:v>
      </x:c>
      <x:c r="B678" s="1" t="str">
        <x:v>L11</x:v>
      </x:c>
      <x:c r="C678" s="1" t="str">
        <x:v>診断3場</x:v>
      </x:c>
      <x:c r="D678" s="47" t="n">
        <x:v>590028</x:v>
      </x:c>
      <x:c r="E678" s="47" t="n">
        <x:v>991780</x:v>
      </x:c>
      <x:c r="F678" s="47" t="n">
        <x:f>D678-E678</x:f>
        <x:v>-401752</x:v>
      </x:c>
      <x:c r="G678" s="49" t="n">
        <x:v>0</x:v>
      </x:c>
      <x:c r="H678" s="49" t="n">
        <x:v>2</x:v>
      </x:c>
      <x:c r="I678" s="47" t="n">
        <x:v>-401752</x:v>
      </x:c>
      <x:c r="J678" s="49" t="n">
        <x:v>143</x:v>
      </x:c>
      <x:c r="K678" s="47" t="n">
        <x:v>-223838</x:v>
      </x:c>
      <x:c r="L678" s="47" t="n">
        <x:v>200876</x:v>
      </x:c>
      <x:c r="M678" s="48" t="n">
        <x:v>3.275</x:v>
      </x:c>
      <x:c r="N678" s="48" t="n">
        <x:v>511.425</x:v>
      </x:c>
      <x:c r="O678" s="49" t="n">
        <x:v>10</x:v>
      </x:c>
      <x:c r="P678" s="1" t="str">
        <x:v>夜小玉基準併用：追従と反発を状態で選択・標準</x:v>
      </x:c>
      <x:c r="Q678" s="49" t="n">
        <x:v>0</x:v>
      </x:c>
      <x:c r="R678" s="50" t="n">
        <x:v>0.655673076923077</x:v>
      </x:c>
      <x:c r="S678" s="50" t="n">
        <x:v>0.655673076923077</x:v>
      </x:c>
      <x:c r="T678" s="1" t="str">
        <x:v>ナイト</x:v>
      </x:c>
      <x:c r="U678" s="49" t="n">
        <x:v>2</x:v>
      </x:c>
    </x:row>
    <x:row r="679" ht="22" customHeight="1">
      <x:c r="A679" s="1" t="str">
        <x:v>日経mini</x:v>
      </x:c>
      <x:c r="B679" s="1" t="str">
        <x:v>L11</x:v>
      </x:c>
      <x:c r="C679" s="1" t="str">
        <x:v>診断3場</x:v>
      </x:c>
      <x:c r="D679" s="47" t="n">
        <x:v>363482</x:v>
      </x:c>
      <x:c r="E679" s="47" t="n">
        <x:v>1018238</x:v>
      </x:c>
      <x:c r="F679" s="47" t="n">
        <x:f>D679-E679</x:f>
        <x:v>-654756</x:v>
      </x:c>
      <x:c r="G679" s="49" t="n">
        <x:v>0</x:v>
      </x:c>
      <x:c r="H679" s="49" t="n">
        <x:v>2</x:v>
      </x:c>
      <x:c r="I679" s="47" t="n">
        <x:v>-654756</x:v>
      </x:c>
      <x:c r="J679" s="49" t="n">
        <x:v>141</x:v>
      </x:c>
      <x:c r="K679" s="47" t="n">
        <x:v>-430918</x:v>
      </x:c>
      <x:c r="L679" s="47" t="n">
        <x:v>327378</x:v>
      </x:c>
      <x:c r="M679" s="48" t="n">
        <x:v>2.5</x:v>
      </x:c>
      <x:c r="N679" s="48" t="n">
        <x:v>421.1166666666667</x:v>
      </x:c>
      <x:c r="O679" s="49" t="n">
        <x:v>9</x:v>
      </x:c>
      <x:c r="P679" s="1" t="str">
        <x:v>夜小玉基準併用：追従と反発を状態で選択・標準</x:v>
      </x:c>
      <x:c r="Q679" s="49" t="n">
        <x:v>0</x:v>
      </x:c>
      <x:c r="R679" s="50" t="n">
        <x:v>0.7262851037851038</x:v>
      </x:c>
      <x:c r="S679" s="50" t="n">
        <x:v>0.7018611111111112</x:v>
      </x:c>
      <x:c r="T679" s="1" t="str">
        <x:v>上昇</x:v>
      </x:c>
      <x:c r="U679" s="49" t="n">
        <x:v>2</x:v>
      </x:c>
    </x:row>
    <x:row r="680" ht="22" customHeight="1">
      <x:c r="A680" s="1" t="str">
        <x:v>日経mini</x:v>
      </x:c>
      <x:c r="B680" s="1" t="str">
        <x:v>L11</x:v>
      </x:c>
      <x:c r="C680" s="1" t="str">
        <x:v>診断3場</x:v>
      </x:c>
      <x:c r="D680" s="47" t="n">
        <x:v>376476</x:v>
      </x:c>
      <x:c r="E680" s="47" t="n">
        <x:v>554390</x:v>
      </x:c>
      <x:c r="F680" s="47" t="n">
        <x:f>D680-E680</x:f>
        <x:v>-177914</x:v>
      </x:c>
      <x:c r="G680" s="49" t="n">
        <x:v>0</x:v>
      </x:c>
      <x:c r="H680" s="49" t="n">
        <x:v>1</x:v>
      </x:c>
      <x:c r="I680" s="47" t="n">
        <x:v>-177914</x:v>
      </x:c>
      <x:c r="J680" s="49" t="n">
        <x:v>79</x:v>
      </x:c>
      <x:c r="K680" s="47" t="n">
        <x:v>-177914</x:v>
      </x:c>
      <x:c r="L680" s="47" t="n">
        <x:v>177914</x:v>
      </x:c>
      <x:c r="M680" s="48" t="n">
        <x:v>4.266666666666667</x:v>
      </x:c>
      <x:c r="N680" s="48" t="n">
        <x:v>519.85</x:v>
      </x:c>
      <x:c r="O680" s="49" t="n">
        <x:v>10</x:v>
      </x:c>
      <x:c r="P680" s="1" t="str">
        <x:v>夜小玉基準併用：追従と反発を状態で選択・標準</x:v>
      </x:c>
      <x:c r="Q680" s="49" t="n">
        <x:v>0</x:v>
      </x:c>
      <x:c r="R680" s="50" t="n">
        <x:v>0.666474358974359</x:v>
      </x:c>
      <x:c r="S680" s="50" t="n">
        <x:v>0.666474358974359</x:v>
      </x:c>
      <x:c r="T680" s="1" t="str">
        <x:v>下落</x:v>
      </x:c>
      <x:c r="U680" s="49" t="n">
        <x:v>1</x:v>
      </x:c>
    </x:row>
    <x:row r="681" ht="22" customHeight="1">
      <x:c r="A681" s="1" t="str">
        <x:v>日経mini</x:v>
      </x:c>
      <x:c r="B681" s="1" t="str">
        <x:v>L12</x:v>
      </x:c>
      <x:c r="C681" s="1" t="str">
        <x:v>全50場</x:v>
      </x:c>
      <x:c r="D681" s="47" t="n">
        <x:v>13770852</x:v>
      </x:c>
      <x:c r="E681" s="47" t="n">
        <x:v>19745794</x:v>
      </x:c>
      <x:c r="F681" s="47" t="n">
        <x:f>D681-E681</x:f>
        <x:v>-5974942</x:v>
      </x:c>
      <x:c r="G681" s="49" t="n">
        <x:v>10</x:v>
      </x:c>
      <x:c r="H681" s="49" t="n">
        <x:v>40</x:v>
      </x:c>
      <x:c r="I681" s="47" t="n">
        <x:v>-6520718</x:v>
      </x:c>
      <x:c r="J681" s="49" t="n">
        <x:v>2380</x:v>
      </x:c>
      <x:c r="K681" s="47" t="n">
        <x:v>-489238</x:v>
      </x:c>
      <x:c r="L681" s="47" t="n">
        <x:v>171164.2</x:v>
      </x:c>
      <x:c r="M681" s="48" t="n">
        <x:v>3.4256666666666673</x:v>
      </x:c>
      <x:c r="N681" s="48" t="n">
        <x:v>472.53666666666663</x:v>
      </x:c>
      <x:c r="O681" s="49" t="n">
        <x:v>10</x:v>
      </x:c>
      <x:c r="P681" s="1" t="str">
        <x:v>夜小玉基準併用：追従と反発を状態で選択・広め</x:v>
      </x:c>
      <x:c r="Q681" s="49" t="n">
        <x:v>0</x:v>
      </x:c>
      <x:c r="R681" s="50" t="n">
        <x:v>0.8042056166056166</x:v>
      </x:c>
      <x:c r="S681" s="50" t="n">
        <x:v>0.787561111111111</x:v>
      </x:c>
      <x:c r="T681" s="1" t="str">
        <x:v>全場</x:v>
      </x:c>
      <x:c r="U681" s="49" t="n">
        <x:v>50</x:v>
      </x:c>
    </x:row>
    <x:row r="682" ht="22" customHeight="1">
      <x:c r="A682" s="1" t="str">
        <x:v>日経mini</x:v>
      </x:c>
      <x:c r="B682" s="1" t="str">
        <x:v>L12</x:v>
      </x:c>
      <x:c r="C682" s="1" t="str">
        <x:v>全50場</x:v>
      </x:c>
      <x:c r="D682" s="47" t="n">
        <x:v>7259138</x:v>
      </x:c>
      <x:c r="E682" s="47" t="n">
        <x:v>10712260</x:v>
      </x:c>
      <x:c r="F682" s="47" t="n">
        <x:f>D682-E682</x:f>
        <x:v>-3453122</x:v>
      </x:c>
      <x:c r="G682" s="49" t="n">
        <x:v>4</x:v>
      </x:c>
      <x:c r="H682" s="49" t="n">
        <x:v>21</x:v>
      </x:c>
      <x:c r="I682" s="47" t="n">
        <x:v>-3727576</x:v>
      </x:c>
      <x:c r="J682" s="49" t="n">
        <x:v>1268</x:v>
      </x:c>
      <x:c r="K682" s="47" t="n">
        <x:v>-489238</x:v>
      </x:c>
      <x:c r="L682" s="47" t="n">
        <x:v>180115.2380952381</x:v>
      </x:c>
      <x:c r="M682" s="48" t="n">
        <x:v>3.4600000000000004</x:v>
      </x:c>
      <x:c r="N682" s="48" t="n">
        <x:v>361.0686666666667</x:v>
      </x:c>
      <x:c r="O682" s="49" t="n">
        <x:v>10</x:v>
      </x:c>
      <x:c r="P682" s="1" t="str">
        <x:v>夜小玉基準併用：追従と反発を状態で選択・広め</x:v>
      </x:c>
      <x:c r="Q682" s="49" t="n">
        <x:v>0</x:v>
      </x:c>
      <x:c r="R682" s="50" t="n">
        <x:v>0.8596873015873016</x:v>
      </x:c>
      <x:c r="S682" s="50" t="n">
        <x:v>0.8596873015873017</x:v>
      </x:c>
      <x:c r="T682" s="1" t="str">
        <x:v>デイ</x:v>
      </x:c>
      <x:c r="U682" s="49" t="n">
        <x:v>25</x:v>
      </x:c>
    </x:row>
    <x:row r="683" ht="22" customHeight="1">
      <x:c r="A683" s="1" t="str">
        <x:v>日経mini</x:v>
      </x:c>
      <x:c r="B683" s="1" t="str">
        <x:v>L12</x:v>
      </x:c>
      <x:c r="C683" s="1" t="str">
        <x:v>全50場</x:v>
      </x:c>
      <x:c r="D683" s="47" t="n">
        <x:v>6511714</x:v>
      </x:c>
      <x:c r="E683" s="47" t="n">
        <x:v>9033534</x:v>
      </x:c>
      <x:c r="F683" s="47" t="n">
        <x:f>D683-E683</x:f>
        <x:v>-2521820</x:v>
      </x:c>
      <x:c r="G683" s="49" t="n">
        <x:v>6</x:v>
      </x:c>
      <x:c r="H683" s="49" t="n">
        <x:v>19</x:v>
      </x:c>
      <x:c r="I683" s="47" t="n">
        <x:v>-3030140</x:v>
      </x:c>
      <x:c r="J683" s="49" t="n">
        <x:v>1112</x:v>
      </x:c>
      <x:c r="K683" s="47" t="n">
        <x:v>-351150</x:v>
      </x:c>
      <x:c r="L683" s="47" t="n">
        <x:v>161270.94736842104</x:v>
      </x:c>
      <x:c r="M683" s="48" t="n">
        <x:v>3.3913333333333333</x:v>
      </x:c>
      <x:c r="N683" s="48" t="n">
        <x:v>584.0046666666666</x:v>
      </x:c>
      <x:c r="O683" s="49" t="n">
        <x:v>10</x:v>
      </x:c>
      <x:c r="P683" s="1" t="str">
        <x:v>夜小玉基準併用：追従と反発を状態で選択・広め</x:v>
      </x:c>
      <x:c r="Q683" s="49" t="n">
        <x:v>0</x:v>
      </x:c>
      <x:c r="R683" s="50" t="n">
        <x:v>0.7487239316239317</x:v>
      </x:c>
      <x:c r="S683" s="50" t="n">
        <x:v>0.7487239316239316</x:v>
      </x:c>
      <x:c r="T683" s="1" t="str">
        <x:v>ナイト</x:v>
      </x:c>
      <x:c r="U683" s="49" t="n">
        <x:v>25</x:v>
      </x:c>
    </x:row>
    <x:row r="684" ht="22" customHeight="1">
      <x:c r="A684" s="1" t="str">
        <x:v>日経mini</x:v>
      </x:c>
      <x:c r="B684" s="1" t="str">
        <x:v>L12</x:v>
      </x:c>
      <x:c r="C684" s="1" t="str">
        <x:v>全50場</x:v>
      </x:c>
      <x:c r="D684" s="47" t="n">
        <x:v>6617842</x:v>
      </x:c>
      <x:c r="E684" s="47" t="n">
        <x:v>9564316</x:v>
      </x:c>
      <x:c r="F684" s="47" t="n">
        <x:f>D684-E684</x:f>
        <x:v>-2946474</x:v>
      </x:c>
      <x:c r="G684" s="49" t="n">
        <x:v>6</x:v>
      </x:c>
      <x:c r="H684" s="49" t="n">
        <x:v>18</x:v>
      </x:c>
      <x:c r="I684" s="47" t="n">
        <x:v>-3288938</x:v>
      </x:c>
      <x:c r="J684" s="49" t="n">
        <x:v>1140</x:v>
      </x:c>
      <x:c r="K684" s="47" t="n">
        <x:v>-489238</x:v>
      </x:c>
      <x:c r="L684" s="47" t="n">
        <x:v>187608</x:v>
      </x:c>
      <x:c r="M684" s="48" t="n">
        <x:v>3.3486111111111114</x:v>
      </x:c>
      <x:c r="N684" s="48" t="n">
        <x:v>480.31111111111113</x:v>
      </x:c>
      <x:c r="O684" s="49" t="n">
        <x:v>10</x:v>
      </x:c>
      <x:c r="P684" s="1" t="str">
        <x:v>夜小玉基準併用：追従と反発を状態で選択・広め</x:v>
      </x:c>
      <x:c r="Q684" s="49" t="n">
        <x:v>0</x:v>
      </x:c>
      <x:c r="R684" s="50" t="n">
        <x:v>0.7922212047212046</x:v>
      </x:c>
      <x:c r="S684" s="50" t="n">
        <x:v>0.7809936766034328</x:v>
      </x:c>
      <x:c r="T684" s="1" t="str">
        <x:v>上昇</x:v>
      </x:c>
      <x:c r="U684" s="49" t="n">
        <x:v>24</x:v>
      </x:c>
    </x:row>
    <x:row r="685" ht="22" customHeight="1">
      <x:c r="A685" s="1" t="str">
        <x:v>日経mini</x:v>
      </x:c>
      <x:c r="B685" s="1" t="str">
        <x:v>L12</x:v>
      </x:c>
      <x:c r="C685" s="1" t="str">
        <x:v>全50場</x:v>
      </x:c>
      <x:c r="D685" s="47" t="n">
        <x:v>7153010</x:v>
      </x:c>
      <x:c r="E685" s="47" t="n">
        <x:v>10181478</x:v>
      </x:c>
      <x:c r="F685" s="47" t="n">
        <x:f>D685-E685</x:f>
        <x:v>-3028468</x:v>
      </x:c>
      <x:c r="G685" s="49" t="n">
        <x:v>4</x:v>
      </x:c>
      <x:c r="H685" s="49" t="n">
        <x:v>22</x:v>
      </x:c>
      <x:c r="I685" s="47" t="n">
        <x:v>-3462930</x:v>
      </x:c>
      <x:c r="J685" s="49" t="n">
        <x:v>1240</x:v>
      </x:c>
      <x:c r="K685" s="47" t="n">
        <x:v>-443008</x:v>
      </x:c>
      <x:c r="L685" s="47" t="n">
        <x:v>157710.18181818182</x:v>
      </x:c>
      <x:c r="M685" s="48" t="n">
        <x:v>3.496794871794872</x:v>
      </x:c>
      <x:c r="N685" s="48" t="n">
        <x:v>465.3602564102564</x:v>
      </x:c>
      <x:c r="O685" s="49" t="n">
        <x:v>10</x:v>
      </x:c>
      <x:c r="P685" s="1" t="str">
        <x:v>夜小玉基準併用：追従と反発を状態で選択・広め</x:v>
      </x:c>
      <x:c r="Q685" s="49" t="n">
        <x:v>0</x:v>
      </x:c>
      <x:c r="R685" s="50" t="n">
        <x:v>0.8152681506527661</x:v>
      </x:c>
      <x:c r="S685" s="50" t="n">
        <x:v>0.793921697287839</x:v>
      </x:c>
      <x:c r="T685" s="1" t="str">
        <x:v>下落</x:v>
      </x:c>
      <x:c r="U685" s="49" t="n">
        <x:v>26</x:v>
      </x:c>
    </x:row>
    <x:row r="686" ht="22" customHeight="1">
      <x:c r="A686" s="1" t="str">
        <x:v>日経mini</x:v>
      </x:c>
      <x:c r="B686" s="1" t="str">
        <x:v>L12</x:v>
      </x:c>
      <x:c r="C686" s="1" t="str">
        <x:v>対照47場</x:v>
      </x:c>
      <x:c r="D686" s="47" t="n">
        <x:v>12940152</x:v>
      </x:c>
      <x:c r="E686" s="47" t="n">
        <x:v>18165930</x:v>
      </x:c>
      <x:c r="F686" s="47" t="n">
        <x:f>D686-E686</x:f>
        <x:v>-5225778</x:v>
      </x:c>
      <x:c r="G686" s="49" t="n">
        <x:v>10</x:v>
      </x:c>
      <x:c r="H686" s="49" t="n">
        <x:v>37</x:v>
      </x:c>
      <x:c r="I686" s="47" t="n">
        <x:v>-5771554</x:v>
      </x:c>
      <x:c r="J686" s="49" t="n">
        <x:v>2201</x:v>
      </x:c>
      <x:c r="K686" s="47" t="n">
        <x:v>-489238</x:v>
      </x:c>
      <x:c r="L686" s="47" t="n">
        <x:v>164794.7027027027</x:v>
      </x:c>
      <x:c r="M686" s="48" t="n">
        <x:v>3.4471631205673763</x:v>
      </x:c>
      <x:c r="N686" s="48" t="n">
        <x:v>471.03262411347526</x:v>
      </x:c>
      <x:c r="O686" s="49" t="n">
        <x:v>10</x:v>
      </x:c>
      <x:c r="P686" s="1" t="str">
        <x:v>夜小玉基準併用：追従と反発を状態で選択・広め</x:v>
      </x:c>
      <x:c r="Q686" s="49" t="n">
        <x:v>0</x:v>
      </x:c>
      <x:c r="R686" s="50" t="n">
        <x:v>0.8069878939027877</x:v>
      </x:c>
      <x:c r="S686" s="50" t="n">
        <x:v>0.7900975493694979</x:v>
      </x:c>
      <x:c r="T686" s="1" t="str">
        <x:v>全場</x:v>
      </x:c>
      <x:c r="U686" s="49" t="n">
        <x:v>47</x:v>
      </x:c>
    </x:row>
    <x:row r="687" ht="22" customHeight="1">
      <x:c r="A687" s="1" t="str">
        <x:v>日経mini</x:v>
      </x:c>
      <x:c r="B687" s="1" t="str">
        <x:v>L12</x:v>
      </x:c>
      <x:c r="C687" s="1" t="str">
        <x:v>対照47場</x:v>
      </x:c>
      <x:c r="D687" s="47" t="n">
        <x:v>6969756</x:v>
      </x:c>
      <x:c r="E687" s="47" t="n">
        <x:v>10100100</x:v>
      </x:c>
      <x:c r="F687" s="47" t="n">
        <x:f>D687-E687</x:f>
        <x:v>-3130344</x:v>
      </x:c>
      <x:c r="G687" s="49" t="n">
        <x:v>4</x:v>
      </x:c>
      <x:c r="H687" s="49" t="n">
        <x:v>20</x:v>
      </x:c>
      <x:c r="I687" s="47" t="n">
        <x:v>-3404798</x:v>
      </x:c>
      <x:c r="J687" s="49" t="n">
        <x:v>1206</x:v>
      </x:c>
      <x:c r="K687" s="47" t="n">
        <x:v>-489238</x:v>
      </x:c>
      <x:c r="L687" s="47" t="n">
        <x:v>172982.1</x:v>
      </x:c>
      <x:c r="M687" s="48" t="n">
        <x:v>3.4909722222222226</x:v>
      </x:c>
      <x:c r="N687" s="48" t="n">
        <x:v>361.94097222222223</x:v>
      </x:c>
      <x:c r="O687" s="49" t="n">
        <x:v>10</x:v>
      </x:c>
      <x:c r="P687" s="1" t="str">
        <x:v>夜小玉基準併用：追従と反発を状態で選択・広め</x:v>
      </x:c>
      <x:c r="Q687" s="49" t="n">
        <x:v>0</x:v>
      </x:c>
      <x:c r="R687" s="50" t="n">
        <x:v>0.8617642195767196</x:v>
      </x:c>
      <x:c r="S687" s="50" t="n">
        <x:v>0.8617642195767197</x:v>
      </x:c>
      <x:c r="T687" s="1" t="str">
        <x:v>デイ</x:v>
      </x:c>
      <x:c r="U687" s="49" t="n">
        <x:v>24</x:v>
      </x:c>
    </x:row>
    <x:row r="688" ht="22" customHeight="1">
      <x:c r="A688" s="1" t="str">
        <x:v>日経mini</x:v>
      </x:c>
      <x:c r="B688" s="1" t="str">
        <x:v>L12</x:v>
      </x:c>
      <x:c r="C688" s="1" t="str">
        <x:v>対照47場</x:v>
      </x:c>
      <x:c r="D688" s="47" t="n">
        <x:v>5970396</x:v>
      </x:c>
      <x:c r="E688" s="47" t="n">
        <x:v>8065830</x:v>
      </x:c>
      <x:c r="F688" s="47" t="n">
        <x:f>D688-E688</x:f>
        <x:v>-2095434</x:v>
      </x:c>
      <x:c r="G688" s="49" t="n">
        <x:v>6</x:v>
      </x:c>
      <x:c r="H688" s="49" t="n">
        <x:v>17</x:v>
      </x:c>
      <x:c r="I688" s="47" t="n">
        <x:v>-2603754</x:v>
      </x:c>
      <x:c r="J688" s="49" t="n">
        <x:v>995</x:v>
      </x:c>
      <x:c r="K688" s="47" t="n">
        <x:v>-351150</x:v>
      </x:c>
      <x:c r="L688" s="47" t="n">
        <x:v>155162.4705882353</x:v>
      </x:c>
      <x:c r="M688" s="48" t="n">
        <x:v>3.4014492753623187</x:v>
      </x:c>
      <x:c r="N688" s="48" t="n">
        <x:v>584.8673913043478</x:v>
      </x:c>
      <x:c r="O688" s="49" t="n">
        <x:v>10</x:v>
      </x:c>
      <x:c r="P688" s="1" t="str">
        <x:v>夜小玉基準併用：追従と反発を状態で選択・広め</x:v>
      </x:c>
      <x:c r="Q688" s="49" t="n">
        <x:v>0</x:v>
      </x:c>
      <x:c r="R688" s="50" t="n">
        <x:v>0.7498299888517279</x:v>
      </x:c>
      <x:c r="S688" s="50" t="n">
        <x:v>0.749829988851728</x:v>
      </x:c>
      <x:c r="T688" s="1" t="str">
        <x:v>ナイト</x:v>
      </x:c>
      <x:c r="U688" s="49" t="n">
        <x:v>23</x:v>
      </x:c>
    </x:row>
    <x:row r="689" ht="22" customHeight="1">
      <x:c r="A689" s="1" t="str">
        <x:v>日経mini</x:v>
      </x:c>
      <x:c r="B689" s="1" t="str">
        <x:v>L12</x:v>
      </x:c>
      <x:c r="C689" s="1" t="str">
        <x:v>対照47場</x:v>
      </x:c>
      <x:c r="D689" s="47" t="n">
        <x:v>6092072</x:v>
      </x:c>
      <x:c r="E689" s="47" t="n">
        <x:v>8541074</x:v>
      </x:c>
      <x:c r="F689" s="47" t="n">
        <x:f>D689-E689</x:f>
        <x:v>-2449002</x:v>
      </x:c>
      <x:c r="G689" s="49" t="n">
        <x:v>6</x:v>
      </x:c>
      <x:c r="H689" s="49" t="n">
        <x:v>16</x:v>
      </x:c>
      <x:c r="I689" s="47" t="n">
        <x:v>-2791466</x:v>
      </x:c>
      <x:c r="J689" s="49" t="n">
        <x:v>1027</x:v>
      </x:c>
      <x:c r="K689" s="47" t="n">
        <x:v>-489238</x:v>
      </x:c>
      <x:c r="L689" s="47" t="n">
        <x:v>179967</x:v>
      </x:c>
      <x:c r="M689" s="48" t="n">
        <x:v>3.4257575757575767</x:v>
      </x:c>
      <x:c r="N689" s="48" t="n">
        <x:v>483.66212121212124</x:v>
      </x:c>
      <x:c r="O689" s="49" t="n">
        <x:v>10</x:v>
      </x:c>
      <x:c r="P689" s="1" t="str">
        <x:v>夜小玉基準併用：追従と反発を状態で選択・広め</x:v>
      </x:c>
      <x:c r="Q689" s="49" t="n">
        <x:v>0</x:v>
      </x:c>
      <x:c r="R689" s="50" t="n">
        <x:v>0.795567488067488</x:v>
      </x:c>
      <x:c r="S689" s="50" t="n">
        <x:v>0.7847025565388397</x:v>
      </x:c>
      <x:c r="T689" s="1" t="str">
        <x:v>上昇</x:v>
      </x:c>
      <x:c r="U689" s="49" t="n">
        <x:v>22</x:v>
      </x:c>
    </x:row>
    <x:row r="690" ht="22" customHeight="1">
      <x:c r="A690" s="1" t="str">
        <x:v>日経mini</x:v>
      </x:c>
      <x:c r="B690" s="1" t="str">
        <x:v>L12</x:v>
      </x:c>
      <x:c r="C690" s="1" t="str">
        <x:v>対照47場</x:v>
      </x:c>
      <x:c r="D690" s="47" t="n">
        <x:v>6848080</x:v>
      </x:c>
      <x:c r="E690" s="47" t="n">
        <x:v>9624856</x:v>
      </x:c>
      <x:c r="F690" s="47" t="n">
        <x:f>D690-E690</x:f>
        <x:v>-2776776</x:v>
      </x:c>
      <x:c r="G690" s="49" t="n">
        <x:v>4</x:v>
      </x:c>
      <x:c r="H690" s="49" t="n">
        <x:v>21</x:v>
      </x:c>
      <x:c r="I690" s="47" t="n">
        <x:v>-3211238</x:v>
      </x:c>
      <x:c r="J690" s="49" t="n">
        <x:v>1174</x:v>
      </x:c>
      <x:c r="K690" s="47" t="n">
        <x:v>-443008</x:v>
      </x:c>
      <x:c r="L690" s="47" t="n">
        <x:v>153234.85714285713</x:v>
      </x:c>
      <x:c r="M690" s="48" t="n">
        <x:v>3.466</x:v>
      </x:c>
      <x:c r="N690" s="48" t="n">
        <x:v>459.9186666666667</x:v>
      </x:c>
      <x:c r="O690" s="49" t="n">
        <x:v>10</x:v>
      </x:c>
      <x:c r="P690" s="1" t="str">
        <x:v>夜小玉基準併用：追従と反発を状態で選択・広め</x:v>
      </x:c>
      <x:c r="Q690" s="49" t="n">
        <x:v>0</x:v>
      </x:c>
      <x:c r="R690" s="50" t="n">
        <x:v>0.8170378510378511</x:v>
      </x:c>
      <x:c r="S690" s="50" t="n">
        <x:v>0.7951567542646382</x:v>
      </x:c>
      <x:c r="T690" s="1" t="str">
        <x:v>下落</x:v>
      </x:c>
      <x:c r="U690" s="49" t="n">
        <x:v>25</x:v>
      </x:c>
    </x:row>
    <x:row r="691" ht="22" customHeight="1">
      <x:c r="A691" s="1" t="str">
        <x:v>日経mini</x:v>
      </x:c>
      <x:c r="B691" s="1" t="str">
        <x:v>L12</x:v>
      </x:c>
      <x:c r="C691" s="1" t="str">
        <x:v>診断3場</x:v>
      </x:c>
      <x:c r="D691" s="47" t="n">
        <x:v>830700</x:v>
      </x:c>
      <x:c r="E691" s="47" t="n">
        <x:v>1579864</x:v>
      </x:c>
      <x:c r="F691" s="47" t="n">
        <x:f>D691-E691</x:f>
        <x:v>-749164</x:v>
      </x:c>
      <x:c r="G691" s="49" t="n">
        <x:v>0</x:v>
      </x:c>
      <x:c r="H691" s="49" t="n">
        <x:v>3</x:v>
      </x:c>
      <x:c r="I691" s="47" t="n">
        <x:v>-749164</x:v>
      </x:c>
      <x:c r="J691" s="49" t="n">
        <x:v>179</x:v>
      </x:c>
      <x:c r="K691" s="47" t="n">
        <x:v>-322778</x:v>
      </x:c>
      <x:c r="L691" s="47" t="n">
        <x:v>249721.33333333334</x:v>
      </x:c>
      <x:c r="M691" s="48" t="n">
        <x:v>3.0888888888888886</x:v>
      </x:c>
      <x:c r="N691" s="48" t="n">
        <x:v>496.09999999999997</x:v>
      </x:c>
      <x:c r="O691" s="49" t="n">
        <x:v>10</x:v>
      </x:c>
      <x:c r="P691" s="1" t="str">
        <x:v>夜小玉基準併用：追従と反発を状態で選択・広め</x:v>
      </x:c>
      <x:c r="Q691" s="49" t="n">
        <x:v>0</x:v>
      </x:c>
      <x:c r="R691" s="50" t="n">
        <x:v>0.7606166056166055</x:v>
      </x:c>
      <x:c r="S691" s="50" t="n">
        <x:v>0.7516666666666666</x:v>
      </x:c>
      <x:c r="T691" s="1" t="str">
        <x:v>全場</x:v>
      </x:c>
      <x:c r="U691" s="49" t="n">
        <x:v>3</x:v>
      </x:c>
    </x:row>
    <x:row r="692" ht="22" customHeight="1">
      <x:c r="A692" s="1" t="str">
        <x:v>日経mini</x:v>
      </x:c>
      <x:c r="B692" s="1" t="str">
        <x:v>L12</x:v>
      </x:c>
      <x:c r="C692" s="1" t="str">
        <x:v>診断3場</x:v>
      </x:c>
      <x:c r="D692" s="47" t="n">
        <x:v>289382</x:v>
      </x:c>
      <x:c r="E692" s="47" t="n">
        <x:v>612160</x:v>
      </x:c>
      <x:c r="F692" s="47" t="n">
        <x:f>D692-E692</x:f>
        <x:v>-322778</x:v>
      </x:c>
      <x:c r="G692" s="49" t="n">
        <x:v>0</x:v>
      </x:c>
      <x:c r="H692" s="49" t="n">
        <x:v>1</x:v>
      </x:c>
      <x:c r="I692" s="47" t="n">
        <x:v>-322778</x:v>
      </x:c>
      <x:c r="J692" s="49" t="n">
        <x:v>62</x:v>
      </x:c>
      <x:c r="K692" s="47" t="n">
        <x:v>-322778</x:v>
      </x:c>
      <x:c r="L692" s="47" t="n">
        <x:v>322778</x:v>
      </x:c>
      <x:c r="M692" s="48" t="n">
        <x:v>2.716666666666667</x:v>
      </x:c>
      <x:c r="N692" s="48" t="n">
        <x:v>340.1333333333333</x:v>
      </x:c>
      <x:c r="O692" s="49" t="n">
        <x:v>7</x:v>
      </x:c>
      <x:c r="P692" s="1" t="str">
        <x:v>夜小玉基準併用：追従と反発を状態で選択・広め</x:v>
      </x:c>
      <x:c r="Q692" s="49" t="n">
        <x:v>0</x:v>
      </x:c>
      <x:c r="R692" s="50" t="n">
        <x:v>0.8098412698412698</x:v>
      </x:c>
      <x:c r="S692" s="50" t="n">
        <x:v>0.8098412698412698</x:v>
      </x:c>
      <x:c r="T692" s="1" t="str">
        <x:v>デイ</x:v>
      </x:c>
      <x:c r="U692" s="49" t="n">
        <x:v>1</x:v>
      </x:c>
    </x:row>
    <x:row r="693" ht="22" customHeight="1">
      <x:c r="A693" s="1" t="str">
        <x:v>日経mini</x:v>
      </x:c>
      <x:c r="B693" s="1" t="str">
        <x:v>L12</x:v>
      </x:c>
      <x:c r="C693" s="1" t="str">
        <x:v>診断3場</x:v>
      </x:c>
      <x:c r="D693" s="47" t="n">
        <x:v>541318</x:v>
      </x:c>
      <x:c r="E693" s="47" t="n">
        <x:v>967704</x:v>
      </x:c>
      <x:c r="F693" s="47" t="n">
        <x:f>D693-E693</x:f>
        <x:v>-426386</x:v>
      </x:c>
      <x:c r="G693" s="49" t="n">
        <x:v>0</x:v>
      </x:c>
      <x:c r="H693" s="49" t="n">
        <x:v>2</x:v>
      </x:c>
      <x:c r="I693" s="47" t="n">
        <x:v>-426386</x:v>
      </x:c>
      <x:c r="J693" s="49" t="n">
        <x:v>117</x:v>
      </x:c>
      <x:c r="K693" s="47" t="n">
        <x:v>-251692</x:v>
      </x:c>
      <x:c r="L693" s="47" t="n">
        <x:v>213193</x:v>
      </x:c>
      <x:c r="M693" s="48" t="n">
        <x:v>3.275</x:v>
      </x:c>
      <x:c r="N693" s="48" t="n">
        <x:v>574.0833333333333</x:v>
      </x:c>
      <x:c r="O693" s="49" t="n">
        <x:v>10</x:v>
      </x:c>
      <x:c r="P693" s="1" t="str">
        <x:v>夜小玉基準併用：追従と反発を状態で選択・広め</x:v>
      </x:c>
      <x:c r="Q693" s="49" t="n">
        <x:v>0</x:v>
      </x:c>
      <x:c r="R693" s="50" t="n">
        <x:v>0.7360042735042736</x:v>
      </x:c>
      <x:c r="S693" s="50" t="n">
        <x:v>0.7360042735042734</x:v>
      </x:c>
      <x:c r="T693" s="1" t="str">
        <x:v>ナイト</x:v>
      </x:c>
      <x:c r="U693" s="49" t="n">
        <x:v>2</x:v>
      </x:c>
    </x:row>
    <x:row r="694" ht="22" customHeight="1">
      <x:c r="A694" s="1" t="str">
        <x:v>日経mini</x:v>
      </x:c>
      <x:c r="B694" s="1" t="str">
        <x:v>L12</x:v>
      </x:c>
      <x:c r="C694" s="1" t="str">
        <x:v>診断3場</x:v>
      </x:c>
      <x:c r="D694" s="47" t="n">
        <x:v>525770</x:v>
      </x:c>
      <x:c r="E694" s="47" t="n">
        <x:v>1023242</x:v>
      </x:c>
      <x:c r="F694" s="47" t="n">
        <x:f>D694-E694</x:f>
        <x:v>-497472</x:v>
      </x:c>
      <x:c r="G694" s="49" t="n">
        <x:v>0</x:v>
      </x:c>
      <x:c r="H694" s="49" t="n">
        <x:v>2</x:v>
      </x:c>
      <x:c r="I694" s="47" t="n">
        <x:v>-497472</x:v>
      </x:c>
      <x:c r="J694" s="49" t="n">
        <x:v>113</x:v>
      </x:c>
      <x:c r="K694" s="47" t="n">
        <x:v>-322778</x:v>
      </x:c>
      <x:c r="L694" s="47" t="n">
        <x:v>248736</x:v>
      </x:c>
      <x:c r="M694" s="48" t="n">
        <x:v>2.5</x:v>
      </x:c>
      <x:c r="N694" s="48" t="n">
        <x:v>443.45</x:v>
      </x:c>
      <x:c r="O694" s="49" t="n">
        <x:v>7</x:v>
      </x:c>
      <x:c r="P694" s="1" t="str">
        <x:v>夜小玉基準併用：追従と反発を状態で選択・広め</x:v>
      </x:c>
      <x:c r="Q694" s="49" t="n">
        <x:v>0</x:v>
      </x:c>
      <x:c r="R694" s="50" t="n">
        <x:v>0.7554120879120879</x:v>
      </x:c>
      <x:c r="S694" s="50" t="n">
        <x:v>0.7390833333333333</x:v>
      </x:c>
      <x:c r="T694" s="1" t="str">
        <x:v>上昇</x:v>
      </x:c>
      <x:c r="U694" s="49" t="n">
        <x:v>2</x:v>
      </x:c>
    </x:row>
    <x:row r="695" ht="22" customHeight="1">
      <x:c r="A695" s="1" t="str">
        <x:v>日経mini</x:v>
      </x:c>
      <x:c r="B695" s="1" t="str">
        <x:v>L12</x:v>
      </x:c>
      <x:c r="C695" s="1" t="str">
        <x:v>診断3場</x:v>
      </x:c>
      <x:c r="D695" s="47" t="n">
        <x:v>304930</x:v>
      </x:c>
      <x:c r="E695" s="47" t="n">
        <x:v>556622</x:v>
      </x:c>
      <x:c r="F695" s="47" t="n">
        <x:f>D695-E695</x:f>
        <x:v>-251692</x:v>
      </x:c>
      <x:c r="G695" s="49" t="n">
        <x:v>0</x:v>
      </x:c>
      <x:c r="H695" s="49" t="n">
        <x:v>1</x:v>
      </x:c>
      <x:c r="I695" s="47" t="n">
        <x:v>-251692</x:v>
      </x:c>
      <x:c r="J695" s="49" t="n">
        <x:v>66</x:v>
      </x:c>
      <x:c r="K695" s="47" t="n">
        <x:v>-251692</x:v>
      </x:c>
      <x:c r="L695" s="47" t="n">
        <x:v>251692</x:v>
      </x:c>
      <x:c r="M695" s="48" t="n">
        <x:v>4.266666666666667</x:v>
      </x:c>
      <x:c r="N695" s="48" t="n">
        <x:v>601.4</x:v>
      </x:c>
      <x:c r="O695" s="49" t="n">
        <x:v>10</x:v>
      </x:c>
      <x:c r="P695" s="1" t="str">
        <x:v>夜小玉基準併用：追従と反発を状態で選択・広め</x:v>
      </x:c>
      <x:c r="Q695" s="49" t="n">
        <x:v>0</x:v>
      </x:c>
      <x:c r="R695" s="50" t="n">
        <x:v>0.771025641025641</x:v>
      </x:c>
      <x:c r="S695" s="50" t="n">
        <x:v>0.771025641025641</x:v>
      </x:c>
      <x:c r="T695" s="1" t="str">
        <x:v>下落</x:v>
      </x:c>
      <x:c r="U695" s="49" t="n">
        <x:v>1</x:v>
      </x:c>
    </x:row>
    <x:row r="696" ht="22" customHeight="1">
      <x:c r="A696" s="1" t="str">
        <x:v>日経mini</x:v>
      </x:c>
      <x:c r="B696" s="1" t="str">
        <x:v>M1</x:v>
      </x:c>
      <x:c r="C696" s="1" t="str">
        <x:v>全50場</x:v>
      </x:c>
      <x:c r="D696" s="47" t="n">
        <x:v>5892638</x:v>
      </x:c>
      <x:c r="E696" s="47" t="n">
        <x:v>3207120</x:v>
      </x:c>
      <x:c r="F696" s="47" t="n">
        <x:f>D696-E696</x:f>
        <x:v>2685518</x:v>
      </x:c>
      <x:c r="G696" s="49" t="n">
        <x:v>34</x:v>
      </x:c>
      <x:c r="H696" s="49" t="n">
        <x:v>16</x:v>
      </x:c>
      <x:c r="I696" s="47" t="n">
        <x:v>1530276</x:v>
      </x:c>
      <x:c r="J696" s="49" t="n">
        <x:v>269</x:v>
      </x:c>
      <x:c r="K696" s="47" t="n">
        <x:v>-116462</x:v>
      </x:c>
      <x:c r="L696" s="47" t="n">
        <x:v>59247.375</x:v>
      </x:c>
      <x:c r="M696" s="48" t="n">
        <x:v>212.28466666666668</x:v>
      </x:c>
      <x:c r="N696" s="48" t="n">
        <x:v>129.1986666666667</x:v>
      </x:c>
      <x:c r="O696" s="49" t="n">
        <x:v>10</x:v>
      </x:c>
      <x:c r="P696" s="1" t="str">
        <x:v>00141の昼夜別固定案</x:v>
      </x:c>
      <x:c r="Q696" s="49" t="n">
        <x:v>0</x:v>
      </x:c>
      <x:c r="R696" s="50" t="n">
        <x:v>0.2884345543345544</x:v>
      </x:c>
      <x:c r="S696" s="50" t="n">
        <x:v>0.2153311111111111</x:v>
      </x:c>
      <x:c r="T696" s="1" t="str">
        <x:v>全場</x:v>
      </x:c>
      <x:c r="U696" s="49" t="n">
        <x:v>50</x:v>
      </x:c>
    </x:row>
    <x:row r="697" ht="22" customHeight="1">
      <x:c r="A697" s="1" t="str">
        <x:v>日経mini</x:v>
      </x:c>
      <x:c r="B697" s="1" t="str">
        <x:v>M1</x:v>
      </x:c>
      <x:c r="C697" s="1" t="str">
        <x:v>全50場</x:v>
      </x:c>
      <x:c r="D697" s="47" t="n">
        <x:v>3960990</x:v>
      </x:c>
      <x:c r="E697" s="47" t="n">
        <x:v>2240208</x:v>
      </x:c>
      <x:c r="F697" s="47" t="n">
        <x:f>D697-E697</x:f>
        <x:v>1720782</x:v>
      </x:c>
      <x:c r="G697" s="49" t="n">
        <x:v>16</x:v>
      </x:c>
      <x:c r="H697" s="49" t="n">
        <x:v>9</x:v>
      </x:c>
      <x:c r="I697" s="47" t="n">
        <x:v>588464</x:v>
      </x:c>
      <x:c r="J697" s="49" t="n">
        <x:v>182</x:v>
      </x:c>
      <x:c r="K697" s="47" t="n">
        <x:v>-106152</x:v>
      </x:c>
      <x:c r="L697" s="47" t="n">
        <x:v>61278</x:v>
      </x:c>
      <x:c r="M697" s="48" t="n">
        <x:v>87.46866666666666</x:v>
      </x:c>
      <x:c r="N697" s="48" t="n">
        <x:v>223.48733333333334</x:v>
      </x:c>
      <x:c r="O697" s="49" t="n">
        <x:v>10</x:v>
      </x:c>
      <x:c r="P697" s="1" t="str">
        <x:v>00141の昼夜別固定案</x:v>
      </x:c>
      <x:c r="Q697" s="49" t="n">
        <x:v>0</x:v>
      </x:c>
      <x:c r="R697" s="50" t="n">
        <x:v>0.5321126984126985</x:v>
      </x:c>
      <x:c r="S697" s="50" t="n">
        <x:v>0.5321126984126984</x:v>
      </x:c>
      <x:c r="T697" s="1" t="str">
        <x:v>デイ</x:v>
      </x:c>
      <x:c r="U697" s="49" t="n">
        <x:v>25</x:v>
      </x:c>
    </x:row>
    <x:row r="698" ht="22" customHeight="1">
      <x:c r="A698" s="1" t="str">
        <x:v>日経mini</x:v>
      </x:c>
      <x:c r="B698" s="1" t="str">
        <x:v>M1</x:v>
      </x:c>
      <x:c r="C698" s="1" t="str">
        <x:v>全50場</x:v>
      </x:c>
      <x:c r="D698" s="47" t="n">
        <x:v>1931648</x:v>
      </x:c>
      <x:c r="E698" s="47" t="n">
        <x:v>966912</x:v>
      </x:c>
      <x:c r="F698" s="47" t="n">
        <x:f>D698-E698</x:f>
        <x:v>964736</x:v>
      </x:c>
      <x:c r="G698" s="49" t="n">
        <x:v>18</x:v>
      </x:c>
      <x:c r="H698" s="49" t="n">
        <x:v>7</x:v>
      </x:c>
      <x:c r="I698" s="47" t="n">
        <x:v>330958</x:v>
      </x:c>
      <x:c r="J698" s="49" t="n">
        <x:v>87</x:v>
      </x:c>
      <x:c r="K698" s="47" t="n">
        <x:v>-116462</x:v>
      </x:c>
      <x:c r="L698" s="47" t="n">
        <x:v>56636.57142857143</x:v>
      </x:c>
      <x:c r="M698" s="48" t="n">
        <x:v>337.10066666666665</x:v>
      </x:c>
      <x:c r="N698" s="48" t="n">
        <x:v>34.91</x:v>
      </x:c>
      <x:c r="O698" s="49" t="n">
        <x:v>7</x:v>
      </x:c>
      <x:c r="P698" s="1" t="str">
        <x:v>00141の昼夜別固定案</x:v>
      </x:c>
      <x:c r="Q698" s="49" t="n">
        <x:v>0</x:v>
      </x:c>
      <x:c r="R698" s="50" t="n">
        <x:v>0.04475641025641026</x:v>
      </x:c>
      <x:c r="S698" s="50" t="n">
        <x:v>0.04475641025641026</x:v>
      </x:c>
      <x:c r="T698" s="1" t="str">
        <x:v>ナイト</x:v>
      </x:c>
      <x:c r="U698" s="49" t="n">
        <x:v>25</x:v>
      </x:c>
    </x:row>
    <x:row r="699" ht="22" customHeight="1">
      <x:c r="A699" s="1" t="str">
        <x:v>日経mini</x:v>
      </x:c>
      <x:c r="B699" s="1" t="str">
        <x:v>M1</x:v>
      </x:c>
      <x:c r="C699" s="1" t="str">
        <x:v>全50場</x:v>
      </x:c>
      <x:c r="D699" s="47" t="n">
        <x:v>2624972</x:v>
      </x:c>
      <x:c r="E699" s="47" t="n">
        <x:v>1577982</x:v>
      </x:c>
      <x:c r="F699" s="47" t="n">
        <x:f>D699-E699</x:f>
        <x:v>1046990</x:v>
      </x:c>
      <x:c r="G699" s="49" t="n">
        <x:v>15</x:v>
      </x:c>
      <x:c r="H699" s="49" t="n">
        <x:v>9</x:v>
      </x:c>
      <x:c r="I699" s="47" t="n">
        <x:v>-5796</x:v>
      </x:c>
      <x:c r="J699" s="49" t="n">
        <x:v>134</x:v>
      </x:c>
      <x:c r="K699" s="47" t="n">
        <x:v>-116462</x:v>
      </x:c>
      <x:c r="L699" s="47" t="n">
        <x:v>74202.66666666667</x:v>
      </x:c>
      <x:c r="M699" s="48" t="n">
        <x:v>214.55416666666667</x:v>
      </x:c>
      <x:c r="N699" s="48" t="n">
        <x:v>125.00555555555555</x:v>
      </x:c>
      <x:c r="O699" s="49" t="n">
        <x:v>10</x:v>
      </x:c>
      <x:c r="P699" s="1" t="str">
        <x:v>00141の昼夜別固定案</x:v>
      </x:c>
      <x:c r="Q699" s="49" t="n">
        <x:v>0</x:v>
      </x:c>
      <x:c r="R699" s="50" t="n">
        <x:v>0.27828703703703705</x:v>
      </x:c>
      <x:c r="S699" s="50" t="n">
        <x:v>0.20326106594399276</x:v>
      </x:c>
      <x:c r="T699" s="1" t="str">
        <x:v>上昇</x:v>
      </x:c>
      <x:c r="U699" s="49" t="n">
        <x:v>24</x:v>
      </x:c>
    </x:row>
    <x:row r="700" ht="22" customHeight="1">
      <x:c r="A700" s="1" t="str">
        <x:v>日経mini</x:v>
      </x:c>
      <x:c r="B700" s="1" t="str">
        <x:v>M1</x:v>
      </x:c>
      <x:c r="C700" s="1" t="str">
        <x:v>全50場</x:v>
      </x:c>
      <x:c r="D700" s="47" t="n">
        <x:v>3267666</x:v>
      </x:c>
      <x:c r="E700" s="47" t="n">
        <x:v>1629138</x:v>
      </x:c>
      <x:c r="F700" s="47" t="n">
        <x:f>D700-E700</x:f>
        <x:v>1638528</x:v>
      </x:c>
      <x:c r="G700" s="49" t="n">
        <x:v>19</x:v>
      </x:c>
      <x:c r="H700" s="49" t="n">
        <x:v>7</x:v>
      </x:c>
      <x:c r="I700" s="47" t="n">
        <x:v>784982</x:v>
      </x:c>
      <x:c r="J700" s="49" t="n">
        <x:v>135</x:v>
      </x:c>
      <x:c r="K700" s="47" t="n">
        <x:v>-106152</x:v>
      </x:c>
      <x:c r="L700" s="47" t="n">
        <x:v>40019.142857142855</x:v>
      </x:c>
      <x:c r="M700" s="48" t="n">
        <x:v>210.1897435897436</x:v>
      </x:c>
      <x:c r="N700" s="48" t="n">
        <x:v>133.06923076923078</x:v>
      </x:c>
      <x:c r="O700" s="49" t="n">
        <x:v>10</x:v>
      </x:c>
      <x:c r="P700" s="1" t="str">
        <x:v>00141の昼夜別固定案</x:v>
      </x:c>
      <x:c r="Q700" s="49" t="n">
        <x:v>0</x:v>
      </x:c>
      <x:c r="R700" s="50" t="n">
        <x:v>0.29780149337841644</x:v>
      </x:c>
      <x:c r="S700" s="50" t="n">
        <x:v>0.22702099737532808</x:v>
      </x:c>
      <x:c r="T700" s="1" t="str">
        <x:v>下落</x:v>
      </x:c>
      <x:c r="U700" s="49" t="n">
        <x:v>26</x:v>
      </x:c>
    </x:row>
    <x:row r="701" ht="22" customHeight="1">
      <x:c r="A701" s="1" t="str">
        <x:v>日経mini</x:v>
      </x:c>
      <x:c r="B701" s="1" t="str">
        <x:v>M1</x:v>
      </x:c>
      <x:c r="C701" s="1" t="str">
        <x:v>対照47場</x:v>
      </x:c>
      <x:c r="D701" s="47" t="n">
        <x:v>5709558</x:v>
      </x:c>
      <x:c r="E701" s="47" t="n">
        <x:v>2990506</x:v>
      </x:c>
      <x:c r="F701" s="47" t="n">
        <x:f>D701-E701</x:f>
        <x:v>2719052</x:v>
      </x:c>
      <x:c r="G701" s="49" t="n">
        <x:v>33</x:v>
      </x:c>
      <x:c r="H701" s="49" t="n">
        <x:v>14</x:v>
      </x:c>
      <x:c r="I701" s="47" t="n">
        <x:v>1563810</x:v>
      </x:c>
      <x:c r="J701" s="49" t="n">
        <x:v>257</x:v>
      </x:c>
      <x:c r="K701" s="47" t="n">
        <x:v>-116462</x:v>
      </x:c>
      <x:c r="L701" s="47" t="n">
        <x:v>61667.57142857143</x:v>
      </x:c>
      <x:c r="M701" s="48" t="n">
        <x:v>208.49007092198582</x:v>
      </x:c>
      <x:c r="N701" s="48" t="n">
        <x:v>132.00177304964535</x:v>
      </x:c>
      <x:c r="O701" s="49" t="n">
        <x:v>10</x:v>
      </x:c>
      <x:c r="P701" s="1" t="str">
        <x:v>00141の昼夜別固定案</x:v>
      </x:c>
      <x:c r="Q701" s="49" t="n">
        <x:v>0</x:v>
      </x:c>
      <x:c r="R701" s="50" t="n">
        <x:v>0.29477353025225367</x:v>
      </x:c>
      <x:c r="S701" s="50" t="n">
        <x:v>0.2214162502974066</x:v>
      </x:c>
      <x:c r="T701" s="1" t="str">
        <x:v>全場</x:v>
      </x:c>
      <x:c r="U701" s="49" t="n">
        <x:v>47</x:v>
      </x:c>
    </x:row>
    <x:row r="702" ht="22" customHeight="1">
      <x:c r="A702" s="1" t="str">
        <x:v>日経mini</x:v>
      </x:c>
      <x:c r="B702" s="1" t="str">
        <x:v>M1</x:v>
      </x:c>
      <x:c r="C702" s="1" t="str">
        <x:v>対照47場</x:v>
      </x:c>
      <x:c r="D702" s="47" t="n">
        <x:v>3884372</x:v>
      </x:c>
      <x:c r="E702" s="47" t="n">
        <x:v>2140516</x:v>
      </x:c>
      <x:c r="F702" s="47" t="n">
        <x:f>D702-E702</x:f>
        <x:v>1743856</x:v>
      </x:c>
      <x:c r="G702" s="49" t="n">
        <x:v>16</x:v>
      </x:c>
      <x:c r="H702" s="49" t="n">
        <x:v>8</x:v>
      </x:c>
      <x:c r="I702" s="47" t="n">
        <x:v>611538</x:v>
      </x:c>
      <x:c r="J702" s="49" t="n">
        <x:v>175</x:v>
      </x:c>
      <x:c r="K702" s="47" t="n">
        <x:v>-106152</x:v>
      </x:c>
      <x:c r="L702" s="47" t="n">
        <x:v>66053.5</x:v>
      </x:c>
      <x:c r="M702" s="48" t="n">
        <x:v>87.15069444444445</x:v>
      </x:c>
      <x:c r="N702" s="48" t="n">
        <x:v>223.72361111111113</x:v>
      </x:c>
      <x:c r="O702" s="49" t="n">
        <x:v>10</x:v>
      </x:c>
      <x:c r="P702" s="1" t="str">
        <x:v>00141の昼夜別固定案</x:v>
      </x:c>
      <x:c r="Q702" s="49" t="n">
        <x:v>0</x:v>
      </x:c>
      <x:c r="R702" s="50" t="n">
        <x:v>0.5326752645502646</x:v>
      </x:c>
      <x:c r="S702" s="50" t="n">
        <x:v>0.5326752645502646</x:v>
      </x:c>
      <x:c r="T702" s="1" t="str">
        <x:v>デイ</x:v>
      </x:c>
      <x:c r="U702" s="49" t="n">
        <x:v>24</x:v>
      </x:c>
    </x:row>
    <x:row r="703" ht="22" customHeight="1">
      <x:c r="A703" s="1" t="str">
        <x:v>日経mini</x:v>
      </x:c>
      <x:c r="B703" s="1" t="str">
        <x:v>M1</x:v>
      </x:c>
      <x:c r="C703" s="1" t="str">
        <x:v>対照47場</x:v>
      </x:c>
      <x:c r="D703" s="47" t="n">
        <x:v>1825186</x:v>
      </x:c>
      <x:c r="E703" s="47" t="n">
        <x:v>849990</x:v>
      </x:c>
      <x:c r="F703" s="47" t="n">
        <x:f>D703-E703</x:f>
        <x:v>975196</x:v>
      </x:c>
      <x:c r="G703" s="49" t="n">
        <x:v>17</x:v>
      </x:c>
      <x:c r="H703" s="49" t="n">
        <x:v>6</x:v>
      </x:c>
      <x:c r="I703" s="47" t="n">
        <x:v>341418</x:v>
      </x:c>
      <x:c r="J703" s="49" t="n">
        <x:v>82</x:v>
      </x:c>
      <x:c r="K703" s="47" t="n">
        <x:v>-116462</x:v>
      </x:c>
      <x:c r="L703" s="47" t="n">
        <x:v>55819.666666666664</x:v>
      </x:c>
      <x:c r="M703" s="48" t="n">
        <x:v>335.10507246376807</x:v>
      </x:c>
      <x:c r="N703" s="48" t="n">
        <x:v>36.29202898550725</x:v>
      </x:c>
      <x:c r="O703" s="49" t="n">
        <x:v>7</x:v>
      </x:c>
      <x:c r="P703" s="1" t="str">
        <x:v>00141の昼夜別固定案</x:v>
      </x:c>
      <x:c r="Q703" s="49" t="n">
        <x:v>0</x:v>
      </x:c>
      <x:c r="R703" s="50" t="n">
        <x:v>0.04652824228911186</x:v>
      </x:c>
      <x:c r="S703" s="50" t="n">
        <x:v>0.04652824228911186</x:v>
      </x:c>
      <x:c r="T703" s="1" t="str">
        <x:v>ナイト</x:v>
      </x:c>
      <x:c r="U703" s="49" t="n">
        <x:v>23</x:v>
      </x:c>
    </x:row>
    <x:row r="704" ht="22" customHeight="1">
      <x:c r="A704" s="1" t="str">
        <x:v>日経mini</x:v>
      </x:c>
      <x:c r="B704" s="1" t="str">
        <x:v>M1</x:v>
      </x:c>
      <x:c r="C704" s="1" t="str">
        <x:v>対照47場</x:v>
      </x:c>
      <x:c r="D704" s="47" t="n">
        <x:v>2548354</x:v>
      </x:c>
      <x:c r="E704" s="47" t="n">
        <x:v>1416752</x:v>
      </x:c>
      <x:c r="F704" s="47" t="n">
        <x:f>D704-E704</x:f>
        <x:v>1131602</x:v>
      </x:c>
      <x:c r="G704" s="49" t="n">
        <x:v>15</x:v>
      </x:c>
      <x:c r="H704" s="49" t="n">
        <x:v>7</x:v>
      </x:c>
      <x:c r="I704" s="47" t="n">
        <x:v>78816</x:v>
      </x:c>
      <x:c r="J704" s="49" t="n">
        <x:v>125</x:v>
      </x:c>
      <x:c r="K704" s="47" t="n">
        <x:v>-116462</x:v>
      </x:c>
      <x:c r="L704" s="47" t="n">
        <x:v>83316</x:v>
      </x:c>
      <x:c r="M704" s="48" t="n">
        <x:v>213.3712121212121</x:v>
      </x:c>
      <x:c r="N704" s="48" t="n">
        <x:v>125.93863636363639</x:v>
      </x:c>
      <x:c r="O704" s="49" t="n">
        <x:v>10</x:v>
      </x:c>
      <x:c r="P704" s="1" t="str">
        <x:v>00141の昼夜別固定案</x:v>
      </x:c>
      <x:c r="Q704" s="49" t="n">
        <x:v>0</x:v>
      </x:c>
      <x:c r="R704" s="50" t="n">
        <x:v>0.2793327505827506</x:v>
      </x:c>
      <x:c r="S704" s="50" t="n">
        <x:v>0.20432522123893807</x:v>
      </x:c>
      <x:c r="T704" s="1" t="str">
        <x:v>上昇</x:v>
      </x:c>
      <x:c r="U704" s="49" t="n">
        <x:v>22</x:v>
      </x:c>
    </x:row>
    <x:row r="705" ht="22" customHeight="1">
      <x:c r="A705" s="1" t="str">
        <x:v>日経mini</x:v>
      </x:c>
      <x:c r="B705" s="1" t="str">
        <x:v>M1</x:v>
      </x:c>
      <x:c r="C705" s="1" t="str">
        <x:v>対照47場</x:v>
      </x:c>
      <x:c r="D705" s="47" t="n">
        <x:v>3161204</x:v>
      </x:c>
      <x:c r="E705" s="47" t="n">
        <x:v>1573754</x:v>
      </x:c>
      <x:c r="F705" s="47" t="n">
        <x:f>D705-E705</x:f>
        <x:v>1587450</x:v>
      </x:c>
      <x:c r="G705" s="49" t="n">
        <x:v>18</x:v>
      </x:c>
      <x:c r="H705" s="49" t="n">
        <x:v>7</x:v>
      </x:c>
      <x:c r="I705" s="47" t="n">
        <x:v>733904</x:v>
      </x:c>
      <x:c r="J705" s="49" t="n">
        <x:v>132</x:v>
      </x:c>
      <x:c r="K705" s="47" t="n">
        <x:v>-106152</x:v>
      </x:c>
      <x:c r="L705" s="47" t="n">
        <x:v>40019.142857142855</x:v>
      </x:c>
      <x:c r="M705" s="48" t="n">
        <x:v>204.1946666666667</x:v>
      </x:c>
      <x:c r="N705" s="48" t="n">
        <x:v>137.33733333333333</x:v>
      </x:c>
      <x:c r="O705" s="49" t="n">
        <x:v>10</x:v>
      </x:c>
      <x:c r="P705" s="1" t="str">
        <x:v>00141の昼夜別固定案</x:v>
      </x:c>
      <x:c r="Q705" s="49" t="n">
        <x:v>0</x:v>
      </x:c>
      <x:c r="R705" s="50" t="n">
        <x:v>0.30836141636141634</x:v>
      </x:c>
      <x:c r="S705" s="50" t="n">
        <x:v>0.23744352236053481</x:v>
      </x:c>
      <x:c r="T705" s="1" t="str">
        <x:v>下落</x:v>
      </x:c>
      <x:c r="U705" s="49" t="n">
        <x:v>25</x:v>
      </x:c>
    </x:row>
    <x:row r="706" ht="22" customHeight="1">
      <x:c r="A706" s="1" t="str">
        <x:v>日経mini</x:v>
      </x:c>
      <x:c r="B706" s="1" t="str">
        <x:v>M1</x:v>
      </x:c>
      <x:c r="C706" s="1" t="str">
        <x:v>診断3場</x:v>
      </x:c>
      <x:c r="D706" s="47" t="n">
        <x:v>183080</x:v>
      </x:c>
      <x:c r="E706" s="47" t="n">
        <x:v>216614</x:v>
      </x:c>
      <x:c r="F706" s="47" t="n">
        <x:f>D706-E706</x:f>
        <x:v>-33534</x:v>
      </x:c>
      <x:c r="G706" s="49" t="n">
        <x:v>1</x:v>
      </x:c>
      <x:c r="H706" s="49" t="n">
        <x:v>2</x:v>
      </x:c>
      <x:c r="I706" s="47" t="n">
        <x:v>-84612</x:v>
      </x:c>
      <x:c r="J706" s="49" t="n">
        <x:v>12</x:v>
      </x:c>
      <x:c r="K706" s="47" t="n">
        <x:v>-61538</x:v>
      </x:c>
      <x:c r="L706" s="47" t="n">
        <x:v>42306</x:v>
      </x:c>
      <x:c r="M706" s="48" t="n">
        <x:v>271.73333333333335</x:v>
      </x:c>
      <x:c r="N706" s="48" t="n">
        <x:v>85.28333333333333</x:v>
      </x:c>
      <x:c r="O706" s="49" t="n">
        <x:v>5</x:v>
      </x:c>
      <x:c r="P706" s="1" t="str">
        <x:v>00141の昼夜別固定案</x:v>
      </x:c>
      <x:c r="Q706" s="49" t="n">
        <x:v>0</x:v>
      </x:c>
      <x:c r="R706" s="50" t="n">
        <x:v>0.18912393162393162</x:v>
      </x:c>
      <x:c r="S706" s="50" t="n">
        <x:v>0.1292171717171717</x:v>
      </x:c>
      <x:c r="T706" s="1" t="str">
        <x:v>全場</x:v>
      </x:c>
      <x:c r="U706" s="49" t="n">
        <x:v>3</x:v>
      </x:c>
    </x:row>
    <x:row r="707" ht="22" customHeight="1">
      <x:c r="A707" s="1" t="str">
        <x:v>日経mini</x:v>
      </x:c>
      <x:c r="B707" s="1" t="str">
        <x:v>M1</x:v>
      </x:c>
      <x:c r="C707" s="1" t="str">
        <x:v>診断3場</x:v>
      </x:c>
      <x:c r="D707" s="47" t="n">
        <x:v>76618</x:v>
      </x:c>
      <x:c r="E707" s="47" t="n">
        <x:v>99692</x:v>
      </x:c>
      <x:c r="F707" s="47" t="n">
        <x:f>D707-E707</x:f>
        <x:v>-23074</x:v>
      </x:c>
      <x:c r="G707" s="49" t="n">
        <x:v>0</x:v>
      </x:c>
      <x:c r="H707" s="49" t="n">
        <x:v>1</x:v>
      </x:c>
      <x:c r="I707" s="47" t="n">
        <x:v>-23074</x:v>
      </x:c>
      <x:c r="J707" s="49" t="n">
        <x:v>7</x:v>
      </x:c>
      <x:c r="K707" s="47" t="n">
        <x:v>-23074</x:v>
      </x:c>
      <x:c r="L707" s="47" t="n">
        <x:v>23074</x:v>
      </x:c>
      <x:c r="M707" s="48" t="n">
        <x:v>95.1</x:v>
      </x:c>
      <x:c r="N707" s="48" t="n">
        <x:v>217.81666666666666</x:v>
      </x:c>
      <x:c r="O707" s="49" t="n">
        <x:v>5</x:v>
      </x:c>
      <x:c r="P707" s="1" t="str">
        <x:v>00141の昼夜別固定案</x:v>
      </x:c>
      <x:c r="Q707" s="49" t="n">
        <x:v>0</x:v>
      </x:c>
      <x:c r="R707" s="50" t="n">
        <x:v>0.5186111111111111</x:v>
      </x:c>
      <x:c r="S707" s="50" t="n">
        <x:v>0.5186111111111111</x:v>
      </x:c>
      <x:c r="T707" s="1" t="str">
        <x:v>デイ</x:v>
      </x:c>
      <x:c r="U707" s="49" t="n">
        <x:v>1</x:v>
      </x:c>
    </x:row>
    <x:row r="708" ht="22" customHeight="1">
      <x:c r="A708" s="1" t="str">
        <x:v>日経mini</x:v>
      </x:c>
      <x:c r="B708" s="1" t="str">
        <x:v>M1</x:v>
      </x:c>
      <x:c r="C708" s="1" t="str">
        <x:v>診断3場</x:v>
      </x:c>
      <x:c r="D708" s="47" t="n">
        <x:v>106462</x:v>
      </x:c>
      <x:c r="E708" s="47" t="n">
        <x:v>116922</x:v>
      </x:c>
      <x:c r="F708" s="47" t="n">
        <x:f>D708-E708</x:f>
        <x:v>-10460</x:v>
      </x:c>
      <x:c r="G708" s="49" t="n">
        <x:v>1</x:v>
      </x:c>
      <x:c r="H708" s="49" t="n">
        <x:v>1</x:v>
      </x:c>
      <x:c r="I708" s="47" t="n">
        <x:v>-61538</x:v>
      </x:c>
      <x:c r="J708" s="49" t="n">
        <x:v>5</x:v>
      </x:c>
      <x:c r="K708" s="47" t="n">
        <x:v>-61538</x:v>
      </x:c>
      <x:c r="L708" s="47" t="n">
        <x:v>61538</x:v>
      </x:c>
      <x:c r="M708" s="48" t="n">
        <x:v>360.05</x:v>
      </x:c>
      <x:c r="N708" s="48" t="n">
        <x:v>19.016666666666666</x:v>
      </x:c>
      <x:c r="O708" s="49" t="n">
        <x:v>5</x:v>
      </x:c>
      <x:c r="P708" s="1" t="str">
        <x:v>00141の昼夜別固定案</x:v>
      </x:c>
      <x:c r="Q708" s="49" t="n">
        <x:v>0</x:v>
      </x:c>
      <x:c r="R708" s="50" t="n">
        <x:v>0.024380341880341883</x:v>
      </x:c>
      <x:c r="S708" s="50" t="n">
        <x:v>0.02438034188034188</x:v>
      </x:c>
      <x:c r="T708" s="1" t="str">
        <x:v>ナイト</x:v>
      </x:c>
      <x:c r="U708" s="49" t="n">
        <x:v>2</x:v>
      </x:c>
    </x:row>
    <x:row r="709" ht="22" customHeight="1">
      <x:c r="A709" s="1" t="str">
        <x:v>日経mini</x:v>
      </x:c>
      <x:c r="B709" s="1" t="str">
        <x:v>M1</x:v>
      </x:c>
      <x:c r="C709" s="1" t="str">
        <x:v>診断3場</x:v>
      </x:c>
      <x:c r="D709" s="47" t="n">
        <x:v>76618</x:v>
      </x:c>
      <x:c r="E709" s="47" t="n">
        <x:v>161230</x:v>
      </x:c>
      <x:c r="F709" s="47" t="n">
        <x:f>D709-E709</x:f>
        <x:v>-84612</x:v>
      </x:c>
      <x:c r="G709" s="49" t="n">
        <x:v>0</x:v>
      </x:c>
      <x:c r="H709" s="49" t="n">
        <x:v>2</x:v>
      </x:c>
      <x:c r="I709" s="47" t="n">
        <x:v>-84612</x:v>
      </x:c>
      <x:c r="J709" s="49" t="n">
        <x:v>9</x:v>
      </x:c>
      <x:c r="K709" s="47" t="n">
        <x:v>-61538</x:v>
      </x:c>
      <x:c r="L709" s="47" t="n">
        <x:v>42306</x:v>
      </x:c>
      <x:c r="M709" s="48" t="n">
        <x:v>227.56666666666666</x:v>
      </x:c>
      <x:c r="N709" s="48" t="n">
        <x:v>114.74166666666666</x:v>
      </x:c>
      <x:c r="O709" s="49" t="n">
        <x:v>5</x:v>
      </x:c>
      <x:c r="P709" s="1" t="str">
        <x:v>00141の昼夜別固定案</x:v>
      </x:c>
      <x:c r="Q709" s="49" t="n">
        <x:v>0</x:v>
      </x:c>
      <x:c r="R709" s="50" t="n">
        <x:v>0.266784188034188</x:v>
      </x:c>
      <x:c r="S709" s="50" t="n">
        <x:v>0.1912361111111111</x:v>
      </x:c>
      <x:c r="T709" s="1" t="str">
        <x:v>上昇</x:v>
      </x:c>
      <x:c r="U709" s="49" t="n">
        <x:v>2</x:v>
      </x:c>
    </x:row>
    <x:row r="710" ht="22" customHeight="1">
      <x:c r="A710" s="1" t="str">
        <x:v>日経mini</x:v>
      </x:c>
      <x:c r="B710" s="1" t="str">
        <x:v>M1</x:v>
      </x:c>
      <x:c r="C710" s="1" t="str">
        <x:v>診断3場</x:v>
      </x:c>
      <x:c r="D710" s="47" t="n">
        <x:v>106462</x:v>
      </x:c>
      <x:c r="E710" s="47" t="n">
        <x:v>55384</x:v>
      </x:c>
      <x:c r="F710" s="47" t="n">
        <x:f>D710-E710</x:f>
        <x:v>51078</x:v>
      </x:c>
      <x:c r="G710" s="49" t="n">
        <x:v>1</x:v>
      </x:c>
      <x:c r="H710" s="49" t="n">
        <x:v>0</x:v>
      </x:c>
      <x:c r="I710" s="47" t="n">
        <x:v>0</x:v>
      </x:c>
      <x:c r="J710" s="49" t="n">
        <x:v>3</x:v>
      </x:c>
      <x:c r="K710" s="47" t="n">
        <x:v>51078</x:v>
      </x:c>
      <x:c r="L710" s="47" t="n">
        <x:v>0</x:v>
      </x:c>
      <x:c r="M710" s="48" t="n">
        <x:v>360.06666666666666</x:v>
      </x:c>
      <x:c r="N710" s="48" t="n">
        <x:v>26.366666666666667</x:v>
      </x:c>
      <x:c r="O710" s="49" t="n">
        <x:v>5</x:v>
      </x:c>
      <x:c r="P710" s="1" t="str">
        <x:v>00141の昼夜別固定案</x:v>
      </x:c>
      <x:c r="Q710" s="49" t="n">
        <x:v>0</x:v>
      </x:c>
      <x:c r="R710" s="50" t="n">
        <x:v>0.033803418803418805</x:v>
      </x:c>
      <x:c r="S710" s="50" t="n">
        <x:v>0.033803418803418805</x:v>
      </x:c>
      <x:c r="T710" s="1" t="str">
        <x:v>下落</x:v>
      </x:c>
      <x:c r="U710" s="49" t="n">
        <x:v>1</x:v>
      </x:c>
    </x:row>
    <x:row r="711" ht="22" customHeight="1">
      <x:c r="A711" s="1" t="str">
        <x:v>日経mini</x:v>
      </x:c>
      <x:c r="B711" s="1" t="str">
        <x:v>P01</x:v>
      </x:c>
      <x:c r="C711" s="1" t="str">
        <x:v>全50場</x:v>
      </x:c>
      <x:c r="D711" s="47" t="n">
        <x:v>11205278</x:v>
      </x:c>
      <x:c r="E711" s="47" t="n">
        <x:v>20099984</x:v>
      </x:c>
      <x:c r="F711" s="47" t="n">
        <x:f>D711-E711</x:f>
        <x:v>-8894706</x:v>
      </x:c>
      <x:c r="G711" s="49" t="n">
        <x:v>2</x:v>
      </x:c>
      <x:c r="H711" s="49" t="n">
        <x:v>48</x:v>
      </x:c>
      <x:c r="I711" s="47" t="n">
        <x:v>-9041456</x:v>
      </x:c>
      <x:c r="J711" s="49" t="n">
        <x:v>2589</x:v>
      </x:c>
      <x:c r="K711" s="47" t="n">
        <x:v>-451394</x:v>
      </x:c>
      <x:c r="L711" s="47" t="n">
        <x:v>188363.66666666666</x:v>
      </x:c>
      <x:c r="M711" s="48" t="n">
        <x:v>3.4256666666666673</x:v>
      </x:c>
      <x:c r="N711" s="48" t="n">
        <x:v>372.4023333333334</x:v>
      </x:c>
      <x:c r="O711" s="49" t="n">
        <x:v>2</x:v>
      </x:c>
      <x:c r="P711" s="1" t="str">
        <x:v>短期二市場の合議・標準</x:v>
      </x:c>
      <x:c r="Q711" s="49" t="n">
        <x:v>0</x:v>
      </x:c>
      <x:c r="R711" s="50" t="n">
        <x:v>0.6351711233211234</x:v>
      </x:c>
      <x:c r="S711" s="50" t="n">
        <x:v>0.6206705555555555</x:v>
      </x:c>
      <x:c r="T711" s="1" t="str">
        <x:v>全場</x:v>
      </x:c>
      <x:c r="U711" s="49" t="n">
        <x:v>50</x:v>
      </x:c>
    </x:row>
    <x:row r="712" ht="22" customHeight="1">
      <x:c r="A712" s="1" t="str">
        <x:v>日経mini</x:v>
      </x:c>
      <x:c r="B712" s="1" t="str">
        <x:v>P01</x:v>
      </x:c>
      <x:c r="C712" s="1" t="str">
        <x:v>全50場</x:v>
      </x:c>
      <x:c r="D712" s="47" t="n">
        <x:v>5392410</x:v>
      </x:c>
      <x:c r="E712" s="47" t="n">
        <x:v>10608162</x:v>
      </x:c>
      <x:c r="F712" s="47" t="n">
        <x:f>D712-E712</x:f>
        <x:v>-5215752</x:v>
      </x:c>
      <x:c r="G712" s="49" t="n">
        <x:v>0</x:v>
      </x:c>
      <x:c r="H712" s="49" t="n">
        <x:v>25</x:v>
      </x:c>
      <x:c r="I712" s="47" t="n">
        <x:v>-5215752</x:v>
      </x:c>
      <x:c r="J712" s="49" t="n">
        <x:v>1388</x:v>
      </x:c>
      <x:c r="K712" s="47" t="n">
        <x:v>-450626</x:v>
      </x:c>
      <x:c r="L712" s="47" t="n">
        <x:v>208630.08</x:v>
      </x:c>
      <x:c r="M712" s="48" t="n">
        <x:v>3.4600000000000004</x:v>
      </x:c>
      <x:c r="N712" s="48" t="n">
        <x:v>287.0726666666667</x:v>
      </x:c>
      <x:c r="O712" s="49" t="n">
        <x:v>2</x:v>
      </x:c>
      <x:c r="P712" s="1" t="str">
        <x:v>短期二市場の合議・標準</x:v>
      </x:c>
      <x:c r="Q712" s="49" t="n">
        <x:v>0</x:v>
      </x:c>
      <x:c r="R712" s="50" t="n">
        <x:v>0.6835063492063491</x:v>
      </x:c>
      <x:c r="S712" s="50" t="n">
        <x:v>0.6835063492063492</x:v>
      </x:c>
      <x:c r="T712" s="1" t="str">
        <x:v>デイ</x:v>
      </x:c>
      <x:c r="U712" s="49" t="n">
        <x:v>25</x:v>
      </x:c>
    </x:row>
    <x:row r="713" ht="22" customHeight="1">
      <x:c r="A713" s="1" t="str">
        <x:v>日経mini</x:v>
      </x:c>
      <x:c r="B713" s="1" t="str">
        <x:v>P01</x:v>
      </x:c>
      <x:c r="C713" s="1" t="str">
        <x:v>全50場</x:v>
      </x:c>
      <x:c r="D713" s="47" t="n">
        <x:v>5812868</x:v>
      </x:c>
      <x:c r="E713" s="47" t="n">
        <x:v>9491822</x:v>
      </x:c>
      <x:c r="F713" s="47" t="n">
        <x:f>D713-E713</x:f>
        <x:v>-3678954</x:v>
      </x:c>
      <x:c r="G713" s="49" t="n">
        <x:v>2</x:v>
      </x:c>
      <x:c r="H713" s="49" t="n">
        <x:v>23</x:v>
      </x:c>
      <x:c r="I713" s="47" t="n">
        <x:v>-3825704</x:v>
      </x:c>
      <x:c r="J713" s="49" t="n">
        <x:v>1201</x:v>
      </x:c>
      <x:c r="K713" s="47" t="n">
        <x:v>-451394</x:v>
      </x:c>
      <x:c r="L713" s="47" t="n">
        <x:v>166334.95652173914</x:v>
      </x:c>
      <x:c r="M713" s="48" t="n">
        <x:v>3.3913333333333333</x:v>
      </x:c>
      <x:c r="N713" s="48" t="n">
        <x:v>457.73199999999997</x:v>
      </x:c>
      <x:c r="O713" s="49" t="n">
        <x:v>2</x:v>
      </x:c>
      <x:c r="P713" s="1" t="str">
        <x:v>短期二市場の合議・標準</x:v>
      </x:c>
      <x:c r="Q713" s="49" t="n">
        <x:v>0</x:v>
      </x:c>
      <x:c r="R713" s="50" t="n">
        <x:v>0.5868358974358974</x:v>
      </x:c>
      <x:c r="S713" s="50" t="n">
        <x:v>0.5868358974358974</x:v>
      </x:c>
      <x:c r="T713" s="1" t="str">
        <x:v>ナイト</x:v>
      </x:c>
      <x:c r="U713" s="49" t="n">
        <x:v>25</x:v>
      </x:c>
    </x:row>
    <x:row r="714" ht="22" customHeight="1">
      <x:c r="A714" s="1" t="str">
        <x:v>日経mini</x:v>
      </x:c>
      <x:c r="B714" s="1" t="str">
        <x:v>P01</x:v>
      </x:c>
      <x:c r="C714" s="1" t="str">
        <x:v>全50場</x:v>
      </x:c>
      <x:c r="D714" s="47" t="n">
        <x:v>5796252</x:v>
      </x:c>
      <x:c r="E714" s="47" t="n">
        <x:v>9415062</x:v>
      </x:c>
      <x:c r="F714" s="47" t="n">
        <x:f>D714-E714</x:f>
        <x:v>-3618810</x:v>
      </x:c>
      <x:c r="G714" s="49" t="n">
        <x:v>1</x:v>
      </x:c>
      <x:c r="H714" s="49" t="n">
        <x:v>23</x:v>
      </x:c>
      <x:c r="I714" s="47" t="n">
        <x:v>-3644800</x:v>
      </x:c>
      <x:c r="J714" s="49" t="n">
        <x:v>1265</x:v>
      </x:c>
      <x:c r="K714" s="47" t="n">
        <x:v>-348008</x:v>
      </x:c>
      <x:c r="L714" s="47" t="n">
        <x:v>158469.5652173913</x:v>
      </x:c>
      <x:c r="M714" s="48" t="n">
        <x:v>3.3486111111111114</x:v>
      </x:c>
      <x:c r="N714" s="48" t="n">
        <x:v>387.04097222222225</x:v>
      </x:c>
      <x:c r="O714" s="49" t="n">
        <x:v>2</x:v>
      </x:c>
      <x:c r="P714" s="1" t="str">
        <x:v>短期二市場の合議・標準</x:v>
      </x:c>
      <x:c r="Q714" s="49" t="n">
        <x:v>0</x:v>
      </x:c>
      <x:c r="R714" s="50" t="n">
        <x:v>0.6428310693935694</x:v>
      </x:c>
      <x:c r="S714" s="50" t="n">
        <x:v>0.6293349141824752</x:v>
      </x:c>
      <x:c r="T714" s="1" t="str">
        <x:v>上昇</x:v>
      </x:c>
      <x:c r="U714" s="49" t="n">
        <x:v>24</x:v>
      </x:c>
    </x:row>
    <x:row r="715" ht="22" customHeight="1">
      <x:c r="A715" s="1" t="str">
        <x:v>日経mini</x:v>
      </x:c>
      <x:c r="B715" s="1" t="str">
        <x:v>P01</x:v>
      </x:c>
      <x:c r="C715" s="1" t="str">
        <x:v>全50場</x:v>
      </x:c>
      <x:c r="D715" s="47" t="n">
        <x:v>5409026</x:v>
      </x:c>
      <x:c r="E715" s="47" t="n">
        <x:v>10684922</x:v>
      </x:c>
      <x:c r="F715" s="47" t="n">
        <x:f>D715-E715</x:f>
        <x:v>-5275896</x:v>
      </x:c>
      <x:c r="G715" s="49" t="n">
        <x:v>1</x:v>
      </x:c>
      <x:c r="H715" s="49" t="n">
        <x:v>25</x:v>
      </x:c>
      <x:c r="I715" s="47" t="n">
        <x:v>-5396656</x:v>
      </x:c>
      <x:c r="J715" s="49" t="n">
        <x:v>1324</x:v>
      </x:c>
      <x:c r="K715" s="47" t="n">
        <x:v>-451394</x:v>
      </x:c>
      <x:c r="L715" s="47" t="n">
        <x:v>215866.24</x:v>
      </x:c>
      <x:c r="M715" s="48" t="n">
        <x:v>3.496794871794872</x:v>
      </x:c>
      <x:c r="N715" s="48" t="n">
        <x:v>358.8897435897436</x:v>
      </x:c>
      <x:c r="O715" s="49" t="n">
        <x:v>2</x:v>
      </x:c>
      <x:c r="P715" s="1" t="str">
        <x:v>短期二市場の合議・標準</x:v>
      </x:c>
      <x:c r="Q715" s="49" t="n">
        <x:v>0</x:v>
      </x:c>
      <x:c r="R715" s="50" t="n">
        <x:v>0.6281004038696346</x:v>
      </x:c>
      <x:c r="S715" s="50" t="n">
        <x:v>0.6122790901137358</x:v>
      </x:c>
      <x:c r="T715" s="1" t="str">
        <x:v>下落</x:v>
      </x:c>
      <x:c r="U715" s="49" t="n">
        <x:v>26</x:v>
      </x:c>
    </x:row>
    <x:row r="716" ht="22" customHeight="1">
      <x:c r="A716" s="1" t="str">
        <x:v>日経mini</x:v>
      </x:c>
      <x:c r="B716" s="1" t="str">
        <x:v>P01</x:v>
      </x:c>
      <x:c r="C716" s="1" t="str">
        <x:v>対照47場</x:v>
      </x:c>
      <x:c r="D716" s="47" t="n">
        <x:v>10055288</x:v>
      </x:c>
      <x:c r="E716" s="47" t="n">
        <x:v>18822734</x:v>
      </x:c>
      <x:c r="F716" s="47" t="n">
        <x:f>D716-E716</x:f>
        <x:v>-8767446</x:v>
      </x:c>
      <x:c r="G716" s="49" t="n">
        <x:v>1</x:v>
      </x:c>
      <x:c r="H716" s="49" t="n">
        <x:v>46</x:v>
      </x:c>
      <x:c r="I716" s="47" t="n">
        <x:v>-8793436</x:v>
      </x:c>
      <x:c r="J716" s="49" t="n">
        <x:v>2399</x:v>
      </x:c>
      <x:c r="K716" s="47" t="n">
        <x:v>-451394</x:v>
      </x:c>
      <x:c r="L716" s="47" t="n">
        <x:v>191161.65217391305</x:v>
      </x:c>
      <x:c r="M716" s="48" t="n">
        <x:v>3.4471631205673763</x:v>
      </x:c>
      <x:c r="N716" s="48" t="n">
        <x:v>365.68156028368793</x:v>
      </x:c>
      <x:c r="O716" s="49" t="n">
        <x:v>2</x:v>
      </x:c>
      <x:c r="P716" s="1" t="str">
        <x:v>短期二市場の合議・標準</x:v>
      </x:c>
      <x:c r="Q716" s="49" t="n">
        <x:v>0</x:v>
      </x:c>
      <x:c r="R716" s="50" t="n">
        <x:v>0.6287227547865846</x:v>
      </x:c>
      <x:c r="S716" s="50" t="n">
        <x:v>0.6133844872709969</x:v>
      </x:c>
      <x:c r="T716" s="1" t="str">
        <x:v>全場</x:v>
      </x:c>
      <x:c r="U716" s="49" t="n">
        <x:v>47</x:v>
      </x:c>
    </x:row>
    <x:row r="717" ht="22" customHeight="1">
      <x:c r="A717" s="1" t="str">
        <x:v>日経mini</x:v>
      </x:c>
      <x:c r="B717" s="1" t="str">
        <x:v>P01</x:v>
      </x:c>
      <x:c r="C717" s="1" t="str">
        <x:v>対照47場</x:v>
      </x:c>
      <x:c r="D717" s="47" t="n">
        <x:v>4955798</x:v>
      </x:c>
      <x:c r="E717" s="47" t="n">
        <x:v>10131078</x:v>
      </x:c>
      <x:c r="F717" s="47" t="n">
        <x:f>D717-E717</x:f>
        <x:v>-5175280</x:v>
      </x:c>
      <x:c r="G717" s="49" t="n">
        <x:v>0</x:v>
      </x:c>
      <x:c r="H717" s="49" t="n">
        <x:v>24</x:v>
      </x:c>
      <x:c r="I717" s="47" t="n">
        <x:v>-5175280</x:v>
      </x:c>
      <x:c r="J717" s="49" t="n">
        <x:v>1320</x:v>
      </x:c>
      <x:c r="K717" s="47" t="n">
        <x:v>-450626</x:v>
      </x:c>
      <x:c r="L717" s="47" t="n">
        <x:v>215636.66666666666</x:v>
      </x:c>
      <x:c r="M717" s="48" t="n">
        <x:v>3.4909722222222226</x:v>
      </x:c>
      <x:c r="N717" s="48" t="n">
        <x:v>284.9555555555556</x:v>
      </x:c>
      <x:c r="O717" s="49" t="n">
        <x:v>2</x:v>
      </x:c>
      <x:c r="P717" s="1" t="str">
        <x:v>短期二市場の合議・標準</x:v>
      </x:c>
      <x:c r="Q717" s="49" t="n">
        <x:v>0</x:v>
      </x:c>
      <x:c r="R717" s="50" t="n">
        <x:v>0.6784656084656083</x:v>
      </x:c>
      <x:c r="S717" s="50" t="n">
        <x:v>0.6784656084656084</x:v>
      </x:c>
      <x:c r="T717" s="1" t="str">
        <x:v>デイ</x:v>
      </x:c>
      <x:c r="U717" s="49" t="n">
        <x:v>24</x:v>
      </x:c>
    </x:row>
    <x:row r="718" ht="22" customHeight="1">
      <x:c r="A718" s="1" t="str">
        <x:v>日経mini</x:v>
      </x:c>
      <x:c r="B718" s="1" t="str">
        <x:v>P01</x:v>
      </x:c>
      <x:c r="C718" s="1" t="str">
        <x:v>対照47場</x:v>
      </x:c>
      <x:c r="D718" s="47" t="n">
        <x:v>5099490</x:v>
      </x:c>
      <x:c r="E718" s="47" t="n">
        <x:v>8691656</x:v>
      </x:c>
      <x:c r="F718" s="47" t="n">
        <x:f>D718-E718</x:f>
        <x:v>-3592166</x:v>
      </x:c>
      <x:c r="G718" s="49" t="n">
        <x:v>1</x:v>
      </x:c>
      <x:c r="H718" s="49" t="n">
        <x:v>22</x:v>
      </x:c>
      <x:c r="I718" s="47" t="n">
        <x:v>-3618156</x:v>
      </x:c>
      <x:c r="J718" s="49" t="n">
        <x:v>1079</x:v>
      </x:c>
      <x:c r="K718" s="47" t="n">
        <x:v>-451394</x:v>
      </x:c>
      <x:c r="L718" s="47" t="n">
        <x:v>164461.63636363635</x:v>
      </x:c>
      <x:c r="M718" s="48" t="n">
        <x:v>3.4014492753623187</x:v>
      </x:c>
      <x:c r="N718" s="48" t="n">
        <x:v>449.91739130434786</x:v>
      </x:c>
      <x:c r="O718" s="49" t="n">
        <x:v>2</x:v>
      </x:c>
      <x:c r="P718" s="1" t="str">
        <x:v>短期二市場の合議・標準</x:v>
      </x:c>
      <x:c r="Q718" s="49" t="n">
        <x:v>0</x:v>
      </x:c>
      <x:c r="R718" s="50" t="n">
        <x:v>0.5768171683389075</x:v>
      </x:c>
      <x:c r="S718" s="50" t="n">
        <x:v>0.5768171683389075</x:v>
      </x:c>
      <x:c r="T718" s="1" t="str">
        <x:v>ナイト</x:v>
      </x:c>
      <x:c r="U718" s="49" t="n">
        <x:v>23</x:v>
      </x:c>
    </x:row>
    <x:row r="719" ht="22" customHeight="1">
      <x:c r="A719" s="1" t="str">
        <x:v>日経mini</x:v>
      </x:c>
      <x:c r="B719" s="1" t="str">
        <x:v>P01</x:v>
      </x:c>
      <x:c r="C719" s="1" t="str">
        <x:v>対照47場</x:v>
      </x:c>
      <x:c r="D719" s="47" t="n">
        <x:v>5094104</x:v>
      </x:c>
      <x:c r="E719" s="47" t="n">
        <x:v>8464894</x:v>
      </x:c>
      <x:c r="F719" s="47" t="n">
        <x:f>D719-E719</x:f>
        <x:v>-3370790</x:v>
      </x:c>
      <x:c r="G719" s="49" t="n">
        <x:v>1</x:v>
      </x:c>
      <x:c r="H719" s="49" t="n">
        <x:v>21</x:v>
      </x:c>
      <x:c r="I719" s="47" t="n">
        <x:v>-3396780</x:v>
      </x:c>
      <x:c r="J719" s="49" t="n">
        <x:v>1135</x:v>
      </x:c>
      <x:c r="K719" s="47" t="n">
        <x:v>-348008</x:v>
      </x:c>
      <x:c r="L719" s="47" t="n">
        <x:v>161751.42857142858</x:v>
      </x:c>
      <x:c r="M719" s="48" t="n">
        <x:v>3.4257575757575767</x:v>
      </x:c>
      <x:c r="N719" s="48" t="n">
        <x:v>381.44015151515146</x:v>
      </x:c>
      <x:c r="O719" s="49" t="n">
        <x:v>2</x:v>
      </x:c>
      <x:c r="P719" s="1" t="str">
        <x:v>短期二市場の合議・標準</x:v>
      </x:c>
      <x:c r="Q719" s="49" t="n">
        <x:v>0</x:v>
      </x:c>
      <x:c r="R719" s="50" t="n">
        <x:v>0.6321027583527584</x:v>
      </x:c>
      <x:c r="S719" s="50" t="n">
        <x:v>0.6188557030481808</x:v>
      </x:c>
      <x:c r="T719" s="1" t="str">
        <x:v>上昇</x:v>
      </x:c>
      <x:c r="U719" s="49" t="n">
        <x:v>22</x:v>
      </x:c>
    </x:row>
    <x:row r="720" ht="22" customHeight="1">
      <x:c r="A720" s="1" t="str">
        <x:v>日経mini</x:v>
      </x:c>
      <x:c r="B720" s="1" t="str">
        <x:v>P01</x:v>
      </x:c>
      <x:c r="C720" s="1" t="str">
        <x:v>対照47場</x:v>
      </x:c>
      <x:c r="D720" s="47" t="n">
        <x:v>4961184</x:v>
      </x:c>
      <x:c r="E720" s="47" t="n">
        <x:v>10357840</x:v>
      </x:c>
      <x:c r="F720" s="47" t="n">
        <x:f>D720-E720</x:f>
        <x:v>-5396656</x:v>
      </x:c>
      <x:c r="G720" s="49" t="n">
        <x:v>0</x:v>
      </x:c>
      <x:c r="H720" s="49" t="n">
        <x:v>25</x:v>
      </x:c>
      <x:c r="I720" s="47" t="n">
        <x:v>-5396656</x:v>
      </x:c>
      <x:c r="J720" s="49" t="n">
        <x:v>1264</x:v>
      </x:c>
      <x:c r="K720" s="47" t="n">
        <x:v>-451394</x:v>
      </x:c>
      <x:c r="L720" s="47" t="n">
        <x:v>215866.24</x:v>
      </x:c>
      <x:c r="M720" s="48" t="n">
        <x:v>3.466</x:v>
      </x:c>
      <x:c r="N720" s="48" t="n">
        <x:v>351.814</x:v>
      </x:c>
      <x:c r="O720" s="49" t="n">
        <x:v>2</x:v>
      </x:c>
      <x:c r="P720" s="1" t="str">
        <x:v>短期二市場の合議・標準</x:v>
      </x:c>
      <x:c r="Q720" s="49" t="n">
        <x:v>0</x:v>
      </x:c>
      <x:c r="R720" s="50" t="n">
        <x:v>0.6257483516483516</x:v>
      </x:c>
      <x:c r="S720" s="50" t="n">
        <x:v>0.6082538035961272</x:v>
      </x:c>
      <x:c r="T720" s="1" t="str">
        <x:v>下落</x:v>
      </x:c>
      <x:c r="U720" s="49" t="n">
        <x:v>25</x:v>
      </x:c>
    </x:row>
    <x:row r="721" ht="22" customHeight="1">
      <x:c r="A721" s="1" t="str">
        <x:v>日経mini</x:v>
      </x:c>
      <x:c r="B721" s="1" t="str">
        <x:v>P01</x:v>
      </x:c>
      <x:c r="C721" s="1" t="str">
        <x:v>診断3場</x:v>
      </x:c>
      <x:c r="D721" s="47" t="n">
        <x:v>1149990</x:v>
      </x:c>
      <x:c r="E721" s="47" t="n">
        <x:v>1277250</x:v>
      </x:c>
      <x:c r="F721" s="47" t="n">
        <x:f>D721-E721</x:f>
        <x:v>-127260</x:v>
      </x:c>
      <x:c r="G721" s="49" t="n">
        <x:v>1</x:v>
      </x:c>
      <x:c r="H721" s="49" t="n">
        <x:v>2</x:v>
      </x:c>
      <x:c r="I721" s="47" t="n">
        <x:v>-248020</x:v>
      </x:c>
      <x:c r="J721" s="49" t="n">
        <x:v>190</x:v>
      </x:c>
      <x:c r="K721" s="47" t="n">
        <x:v>-207548</x:v>
      </x:c>
      <x:c r="L721" s="47" t="n">
        <x:v>124010</x:v>
      </x:c>
      <x:c r="M721" s="48" t="n">
        <x:v>3.0888888888888886</x:v>
      </x:c>
      <x:c r="N721" s="48" t="n">
        <x:v>477.6944444444444</x:v>
      </x:c>
      <x:c r="O721" s="49" t="n">
        <x:v>2</x:v>
      </x:c>
      <x:c r="P721" s="1" t="str">
        <x:v>短期二市場の合議・標準</x:v>
      </x:c>
      <x:c r="Q721" s="49" t="n">
        <x:v>0</x:v>
      </x:c>
      <x:c r="R721" s="50" t="n">
        <x:v>0.7361955636955636</x:v>
      </x:c>
      <x:c r="S721" s="50" t="n">
        <x:v>0.7237794612794612</x:v>
      </x:c>
      <x:c r="T721" s="1" t="str">
        <x:v>全場</x:v>
      </x:c>
      <x:c r="U721" s="49" t="n">
        <x:v>3</x:v>
      </x:c>
    </x:row>
    <x:row r="722" ht="22" customHeight="1">
      <x:c r="A722" s="1" t="str">
        <x:v>日経mini</x:v>
      </x:c>
      <x:c r="B722" s="1" t="str">
        <x:v>P01</x:v>
      </x:c>
      <x:c r="C722" s="1" t="str">
        <x:v>診断3場</x:v>
      </x:c>
      <x:c r="D722" s="47" t="n">
        <x:v>436612</x:v>
      </x:c>
      <x:c r="E722" s="47" t="n">
        <x:v>477084</x:v>
      </x:c>
      <x:c r="F722" s="47" t="n">
        <x:f>D722-E722</x:f>
        <x:v>-40472</x:v>
      </x:c>
      <x:c r="G722" s="49" t="n">
        <x:v>0</x:v>
      </x:c>
      <x:c r="H722" s="49" t="n">
        <x:v>1</x:v>
      </x:c>
      <x:c r="I722" s="47" t="n">
        <x:v>-40472</x:v>
      </x:c>
      <x:c r="J722" s="49" t="n">
        <x:v>68</x:v>
      </x:c>
      <x:c r="K722" s="47" t="n">
        <x:v>-40472</x:v>
      </x:c>
      <x:c r="L722" s="47" t="n">
        <x:v>40472</x:v>
      </x:c>
      <x:c r="M722" s="48" t="n">
        <x:v>2.716666666666667</x:v>
      </x:c>
      <x:c r="N722" s="48" t="n">
        <x:v>337.8833333333333</x:v>
      </x:c>
      <x:c r="O722" s="49" t="n">
        <x:v>2</x:v>
      </x:c>
      <x:c r="P722" s="1" t="str">
        <x:v>短期二市場の合議・標準</x:v>
      </x:c>
      <x:c r="Q722" s="49" t="n">
        <x:v>0</x:v>
      </x:c>
      <x:c r="R722" s="50" t="n">
        <x:v>0.804484126984127</x:v>
      </x:c>
      <x:c r="S722" s="50" t="n">
        <x:v>0.804484126984127</x:v>
      </x:c>
      <x:c r="T722" s="1" t="str">
        <x:v>デイ</x:v>
      </x:c>
      <x:c r="U722" s="49" t="n">
        <x:v>1</x:v>
      </x:c>
    </x:row>
    <x:row r="723" ht="22" customHeight="1">
      <x:c r="A723" s="1" t="str">
        <x:v>日経mini</x:v>
      </x:c>
      <x:c r="B723" s="1" t="str">
        <x:v>P01</x:v>
      </x:c>
      <x:c r="C723" s="1" t="str">
        <x:v>診断3場</x:v>
      </x:c>
      <x:c r="D723" s="47" t="n">
        <x:v>713378</x:v>
      </x:c>
      <x:c r="E723" s="47" t="n">
        <x:v>800166</x:v>
      </x:c>
      <x:c r="F723" s="47" t="n">
        <x:f>D723-E723</x:f>
        <x:v>-86788</x:v>
      </x:c>
      <x:c r="G723" s="49" t="n">
        <x:v>1</x:v>
      </x:c>
      <x:c r="H723" s="49" t="n">
        <x:v>1</x:v>
      </x:c>
      <x:c r="I723" s="47" t="n">
        <x:v>-207548</x:v>
      </x:c>
      <x:c r="J723" s="49" t="n">
        <x:v>122</x:v>
      </x:c>
      <x:c r="K723" s="47" t="n">
        <x:v>-207548</x:v>
      </x:c>
      <x:c r="L723" s="47" t="n">
        <x:v>207548</x:v>
      </x:c>
      <x:c r="M723" s="48" t="n">
        <x:v>3.275</x:v>
      </x:c>
      <x:c r="N723" s="48" t="n">
        <x:v>547.5999999999999</x:v>
      </x:c>
      <x:c r="O723" s="49" t="n">
        <x:v>2</x:v>
      </x:c>
      <x:c r="P723" s="1" t="str">
        <x:v>短期二市場の合議・標準</x:v>
      </x:c>
      <x:c r="Q723" s="49" t="n">
        <x:v>0</x:v>
      </x:c>
      <x:c r="R723" s="50" t="n">
        <x:v>0.7020512820512821</x:v>
      </x:c>
      <x:c r="S723" s="50" t="n">
        <x:v>0.702051282051282</x:v>
      </x:c>
      <x:c r="T723" s="1" t="str">
        <x:v>ナイト</x:v>
      </x:c>
      <x:c r="U723" s="49" t="n">
        <x:v>2</x:v>
      </x:c>
    </x:row>
    <x:row r="724" ht="22" customHeight="1">
      <x:c r="A724" s="1" t="str">
        <x:v>日経mini</x:v>
      </x:c>
      <x:c r="B724" s="1" t="str">
        <x:v>P01</x:v>
      </x:c>
      <x:c r="C724" s="1" t="str">
        <x:v>診断3場</x:v>
      </x:c>
      <x:c r="D724" s="47" t="n">
        <x:v>702148</x:v>
      </x:c>
      <x:c r="E724" s="47" t="n">
        <x:v>950168</x:v>
      </x:c>
      <x:c r="F724" s="47" t="n">
        <x:f>D724-E724</x:f>
        <x:v>-248020</x:v>
      </x:c>
      <x:c r="G724" s="49" t="n">
        <x:v>0</x:v>
      </x:c>
      <x:c r="H724" s="49" t="n">
        <x:v>2</x:v>
      </x:c>
      <x:c r="I724" s="47" t="n">
        <x:v>-248020</x:v>
      </x:c>
      <x:c r="J724" s="49" t="n">
        <x:v>130</x:v>
      </x:c>
      <x:c r="K724" s="47" t="n">
        <x:v>-207548</x:v>
      </x:c>
      <x:c r="L724" s="47" t="n">
        <x:v>124010</x:v>
      </x:c>
      <x:c r="M724" s="48" t="n">
        <x:v>2.5</x:v>
      </x:c>
      <x:c r="N724" s="48" t="n">
        <x:v>448.65</x:v>
      </x:c>
      <x:c r="O724" s="49" t="n">
        <x:v>2</x:v>
      </x:c>
      <x:c r="P724" s="1" t="str">
        <x:v>短期二市場の合議・標準</x:v>
      </x:c>
      <x:c r="Q724" s="49" t="n">
        <x:v>0</x:v>
      </x:c>
      <x:c r="R724" s="50" t="n">
        <x:v>0.7608424908424909</x:v>
      </x:c>
      <x:c r="S724" s="50" t="n">
        <x:v>0.7477499999999999</x:v>
      </x:c>
      <x:c r="T724" s="1" t="str">
        <x:v>上昇</x:v>
      </x:c>
      <x:c r="U724" s="49" t="n">
        <x:v>2</x:v>
      </x:c>
    </x:row>
    <x:row r="725" ht="22" customHeight="1">
      <x:c r="A725" s="1" t="str">
        <x:v>日経mini</x:v>
      </x:c>
      <x:c r="B725" s="1" t="str">
        <x:v>P01</x:v>
      </x:c>
      <x:c r="C725" s="1" t="str">
        <x:v>診断3場</x:v>
      </x:c>
      <x:c r="D725" s="47" t="n">
        <x:v>447842</x:v>
      </x:c>
      <x:c r="E725" s="47" t="n">
        <x:v>327082</x:v>
      </x:c>
      <x:c r="F725" s="47" t="n">
        <x:f>D725-E725</x:f>
        <x:v>120760</x:v>
      </x:c>
      <x:c r="G725" s="49" t="n">
        <x:v>1</x:v>
      </x:c>
      <x:c r="H725" s="49" t="n">
        <x:v>0</x:v>
      </x:c>
      <x:c r="I725" s="47" t="n">
        <x:v>0</x:v>
      </x:c>
      <x:c r="J725" s="49" t="n">
        <x:v>60</x:v>
      </x:c>
      <x:c r="K725" s="47" t="n">
        <x:v>120760</x:v>
      </x:c>
      <x:c r="L725" s="47" t="n">
        <x:v>0</x:v>
      </x:c>
      <x:c r="M725" s="48" t="n">
        <x:v>4.266666666666667</x:v>
      </x:c>
      <x:c r="N725" s="48" t="n">
        <x:v>535.7833333333333</x:v>
      </x:c>
      <x:c r="O725" s="49" t="n">
        <x:v>2</x:v>
      </x:c>
      <x:c r="P725" s="1" t="str">
        <x:v>短期二市場の合議・標準</x:v>
      </x:c>
      <x:c r="Q725" s="49" t="n">
        <x:v>0</x:v>
      </x:c>
      <x:c r="R725" s="50" t="n">
        <x:v>0.6869017094017094</x:v>
      </x:c>
      <x:c r="S725" s="50" t="n">
        <x:v>0.6869017094017094</x:v>
      </x:c>
      <x:c r="T725" s="1" t="str">
        <x:v>下落</x:v>
      </x:c>
      <x:c r="U725" s="49" t="n">
        <x:v>1</x:v>
      </x:c>
    </x:row>
    <x:row r="726" ht="22" customHeight="1">
      <x:c r="A726" s="1" t="str">
        <x:v>日経mini</x:v>
      </x:c>
      <x:c r="B726" s="1" t="str">
        <x:v>P02</x:v>
      </x:c>
      <x:c r="C726" s="1" t="str">
        <x:v>全50場</x:v>
      </x:c>
      <x:c r="D726" s="47" t="n">
        <x:v>11005900</x:v>
      </x:c>
      <x:c r="E726" s="47" t="n">
        <x:v>19193660</x:v>
      </x:c>
      <x:c r="F726" s="47" t="n">
        <x:f>D726-E726</x:f>
        <x:v>-8187760</x:v>
      </x:c>
      <x:c r="G726" s="49" t="n">
        <x:v>5</x:v>
      </x:c>
      <x:c r="H726" s="49" t="n">
        <x:v>45</x:v>
      </x:c>
      <x:c r="I726" s="47" t="n">
        <x:v>-8338510</x:v>
      </x:c>
      <x:c r="J726" s="49" t="n">
        <x:v>2440</x:v>
      </x:c>
      <x:c r="K726" s="47" t="n">
        <x:v>-430166</x:v>
      </x:c>
      <x:c r="L726" s="47" t="n">
        <x:v>185467.55555555556</x:v>
      </x:c>
      <x:c r="M726" s="48" t="n">
        <x:v>3.4256666666666673</x:v>
      </x:c>
      <x:c r="N726" s="48" t="n">
        <x:v>413.1663333333334</x:v>
      </x:c>
      <x:c r="O726" s="49" t="n">
        <x:v>2</x:v>
      </x:c>
      <x:c r="P726" s="1" t="str">
        <x:v>短期二市場の合議・広め</x:v>
      </x:c>
      <x:c r="Q726" s="49" t="n">
        <x:v>0</x:v>
      </x:c>
      <x:c r="R726" s="50" t="n">
        <x:v>0.6955747863247862</x:v>
      </x:c>
      <x:c r="S726" s="50" t="n">
        <x:v>0.6886105555555555</x:v>
      </x:c>
      <x:c r="T726" s="1" t="str">
        <x:v>全場</x:v>
      </x:c>
      <x:c r="U726" s="49" t="n">
        <x:v>50</x:v>
      </x:c>
    </x:row>
    <x:row r="727" ht="22" customHeight="1">
      <x:c r="A727" s="1" t="str">
        <x:v>日経mini</x:v>
      </x:c>
      <x:c r="B727" s="1" t="str">
        <x:v>P02</x:v>
      </x:c>
      <x:c r="C727" s="1" t="str">
        <x:v>全50場</x:v>
      </x:c>
      <x:c r="D727" s="47" t="n">
        <x:v>5301642</x:v>
      </x:c>
      <x:c r="E727" s="47" t="n">
        <x:v>10407082</x:v>
      </x:c>
      <x:c r="F727" s="47" t="n">
        <x:f>D727-E727</x:f>
        <x:v>-5105440</x:v>
      </x:c>
      <x:c r="G727" s="49" t="n">
        <x:v>1</x:v>
      </x:c>
      <x:c r="H727" s="49" t="n">
        <x:v>24</x:v>
      </x:c>
      <x:c r="I727" s="47" t="n">
        <x:v>-5151900</x:v>
      </x:c>
      <x:c r="J727" s="49" t="n">
        <x:v>1360</x:v>
      </x:c>
      <x:c r="K727" s="47" t="n">
        <x:v>-430166</x:v>
      </x:c>
      <x:c r="L727" s="47" t="n">
        <x:v>214662.5</x:v>
      </x:c>
      <x:c r="M727" s="48" t="n">
        <x:v>3.4600000000000004</x:v>
      </x:c>
      <x:c r="N727" s="48" t="n">
        <x:v>301.89133333333336</x:v>
      </x:c>
      <x:c r="O727" s="49" t="n">
        <x:v>2</x:v>
      </x:c>
      <x:c r="P727" s="1" t="str">
        <x:v>短期二市場の合議・広め</x:v>
      </x:c>
      <x:c r="Q727" s="49" t="n">
        <x:v>0</x:v>
      </x:c>
      <x:c r="R727" s="50" t="n">
        <x:v>0.7187888888888888</x:v>
      </x:c>
      <x:c r="S727" s="50" t="n">
        <x:v>0.7187888888888889</x:v>
      </x:c>
      <x:c r="T727" s="1" t="str">
        <x:v>デイ</x:v>
      </x:c>
      <x:c r="U727" s="49" t="n">
        <x:v>25</x:v>
      </x:c>
    </x:row>
    <x:row r="728" ht="22" customHeight="1">
      <x:c r="A728" s="1" t="str">
        <x:v>日経mini</x:v>
      </x:c>
      <x:c r="B728" s="1" t="str">
        <x:v>P02</x:v>
      </x:c>
      <x:c r="C728" s="1" t="str">
        <x:v>全50場</x:v>
      </x:c>
      <x:c r="D728" s="47" t="n">
        <x:v>5704258</x:v>
      </x:c>
      <x:c r="E728" s="47" t="n">
        <x:v>8786578</x:v>
      </x:c>
      <x:c r="F728" s="47" t="n">
        <x:f>D728-E728</x:f>
        <x:v>-3082320</x:v>
      </x:c>
      <x:c r="G728" s="49" t="n">
        <x:v>4</x:v>
      </x:c>
      <x:c r="H728" s="49" t="n">
        <x:v>21</x:v>
      </x:c>
      <x:c r="I728" s="47" t="n">
        <x:v>-3191682</x:v>
      </x:c>
      <x:c r="J728" s="49" t="n">
        <x:v>1080</x:v>
      </x:c>
      <x:c r="K728" s="47" t="n">
        <x:v>-368624</x:v>
      </x:c>
      <x:c r="L728" s="47" t="n">
        <x:v>152101.90476190476</x:v>
      </x:c>
      <x:c r="M728" s="48" t="n">
        <x:v>3.3913333333333333</x:v>
      </x:c>
      <x:c r="N728" s="48" t="n">
        <x:v>524.4413333333333</x:v>
      </x:c>
      <x:c r="O728" s="49" t="n">
        <x:v>2</x:v>
      </x:c>
      <x:c r="P728" s="1" t="str">
        <x:v>短期二市場の合議・広め</x:v>
      </x:c>
      <x:c r="Q728" s="49" t="n">
        <x:v>0</x:v>
      </x:c>
      <x:c r="R728" s="50" t="n">
        <x:v>0.6723606837606839</x:v>
      </x:c>
      <x:c r="S728" s="50" t="n">
        <x:v>0.6723606837606837</x:v>
      </x:c>
      <x:c r="T728" s="1" t="str">
        <x:v>ナイト</x:v>
      </x:c>
      <x:c r="U728" s="49" t="n">
        <x:v>25</x:v>
      </x:c>
    </x:row>
    <x:row r="729" ht="22" customHeight="1">
      <x:c r="A729" s="1" t="str">
        <x:v>日経mini</x:v>
      </x:c>
      <x:c r="B729" s="1" t="str">
        <x:v>P02</x:v>
      </x:c>
      <x:c r="C729" s="1" t="str">
        <x:v>全50場</x:v>
      </x:c>
      <x:c r="D729" s="47" t="n">
        <x:v>5618872</x:v>
      </x:c>
      <x:c r="E729" s="47" t="n">
        <x:v>9019516</x:v>
      </x:c>
      <x:c r="F729" s="47" t="n">
        <x:f>D729-E729</x:f>
        <x:v>-3400644</x:v>
      </x:c>
      <x:c r="G729" s="49" t="n">
        <x:v>3</x:v>
      </x:c>
      <x:c r="H729" s="49" t="n">
        <x:v>21</x:v>
      </x:c>
      <x:c r="I729" s="47" t="n">
        <x:v>-3465088</x:v>
      </x:c>
      <x:c r="J729" s="49" t="n">
        <x:v>1186</x:v>
      </x:c>
      <x:c r="K729" s="47" t="n">
        <x:v>-352470</x:v>
      </x:c>
      <x:c r="L729" s="47" t="n">
        <x:v>165004.19047619047</x:v>
      </x:c>
      <x:c r="M729" s="48" t="n">
        <x:v>3.3486111111111114</x:v>
      </x:c>
      <x:c r="N729" s="48" t="n">
        <x:v>421.5048611111111</x:v>
      </x:c>
      <x:c r="O729" s="49" t="n">
        <x:v>2</x:v>
      </x:c>
      <x:c r="P729" s="1" t="str">
        <x:v>短期二市場の合議・広め</x:v>
      </x:c>
      <x:c r="Q729" s="49" t="n">
        <x:v>0</x:v>
      </x:c>
      <x:c r="R729" s="50" t="n">
        <x:v>0.6911585520960521</x:v>
      </x:c>
      <x:c r="S729" s="50" t="n">
        <x:v>0.6853737579042457</x:v>
      </x:c>
      <x:c r="T729" s="1" t="str">
        <x:v>上昇</x:v>
      </x:c>
      <x:c r="U729" s="49" t="n">
        <x:v>24</x:v>
      </x:c>
    </x:row>
    <x:row r="730" ht="22" customHeight="1">
      <x:c r="A730" s="1" t="str">
        <x:v>日経mini</x:v>
      </x:c>
      <x:c r="B730" s="1" t="str">
        <x:v>P02</x:v>
      </x:c>
      <x:c r="C730" s="1" t="str">
        <x:v>全50場</x:v>
      </x:c>
      <x:c r="D730" s="47" t="n">
        <x:v>5387028</x:v>
      </x:c>
      <x:c r="E730" s="47" t="n">
        <x:v>10174144</x:v>
      </x:c>
      <x:c r="F730" s="47" t="n">
        <x:f>D730-E730</x:f>
        <x:v>-4787116</x:v>
      </x:c>
      <x:c r="G730" s="49" t="n">
        <x:v>2</x:v>
      </x:c>
      <x:c r="H730" s="49" t="n">
        <x:v>24</x:v>
      </x:c>
      <x:c r="I730" s="47" t="n">
        <x:v>-4880952</x:v>
      </x:c>
      <x:c r="J730" s="49" t="n">
        <x:v>1254</x:v>
      </x:c>
      <x:c r="K730" s="47" t="n">
        <x:v>-430166</x:v>
      </x:c>
      <x:c r="L730" s="47" t="n">
        <x:v>203373</x:v>
      </x:c>
      <x:c r="M730" s="48" t="n">
        <x:v>3.496794871794872</x:v>
      </x:c>
      <x:c r="N730" s="48" t="n">
        <x:v>405.4692307692307</x:v>
      </x:c>
      <x:c r="O730" s="49" t="n">
        <x:v>2</x:v>
      </x:c>
      <x:c r="P730" s="1" t="str">
        <x:v>短期二市場の合議・広め</x:v>
      </x:c>
      <x:c r="Q730" s="49" t="n">
        <x:v>0</x:v>
      </x:c>
      <x:c r="R730" s="50" t="n">
        <x:v>0.6996513102282333</x:v>
      </x:c>
      <x:c r="S730" s="50" t="n">
        <x:v>0.691745406824147</x:v>
      </x:c>
      <x:c r="T730" s="1" t="str">
        <x:v>下落</x:v>
      </x:c>
      <x:c r="U730" s="49" t="n">
        <x:v>26</x:v>
      </x:c>
    </x:row>
    <x:row r="731" ht="22" customHeight="1">
      <x:c r="A731" s="1" t="str">
        <x:v>日経mini</x:v>
      </x:c>
      <x:c r="B731" s="1" t="str">
        <x:v>P02</x:v>
      </x:c>
      <x:c r="C731" s="1" t="str">
        <x:v>対照47場</x:v>
      </x:c>
      <x:c r="D731" s="47" t="n">
        <x:v>9901448</x:v>
      </x:c>
      <x:c r="E731" s="47" t="n">
        <x:v>17933334</x:v>
      </x:c>
      <x:c r="F731" s="47" t="n">
        <x:f>D731-E731</x:f>
        <x:v>-8031886</x:v>
      </x:c>
      <x:c r="G731" s="49" t="n">
        <x:v>4</x:v>
      </x:c>
      <x:c r="H731" s="49" t="n">
        <x:v>43</x:v>
      </x:c>
      <x:c r="I731" s="47" t="n">
        <x:v>-8140332</x:v>
      </x:c>
      <x:c r="J731" s="49" t="n">
        <x:v>2259</x:v>
      </x:c>
      <x:c r="K731" s="47" t="n">
        <x:v>-430166</x:v>
      </x:c>
      <x:c r="L731" s="47" t="n">
        <x:v>189367.2093023256</x:v>
      </x:c>
      <x:c r="M731" s="48" t="n">
        <x:v>3.4471631205673763</x:v>
      </x:c>
      <x:c r="N731" s="48" t="n">
        <x:v>407.68368794326244</x:v>
      </x:c>
      <x:c r="O731" s="49" t="n">
        <x:v>2</x:v>
      </x:c>
      <x:c r="P731" s="1" t="str">
        <x:v>短期二市場の合議・広め</x:v>
      </x:c>
      <x:c r="Q731" s="49" t="n">
        <x:v>0</x:v>
      </x:c>
      <x:c r="R731" s="50" t="n">
        <x:v>0.6911851505468526</x:v>
      </x:c>
      <x:c r="S731" s="50" t="n">
        <x:v>0.6838377349512254</x:v>
      </x:c>
      <x:c r="T731" s="1" t="str">
        <x:v>全場</x:v>
      </x:c>
      <x:c r="U731" s="49" t="n">
        <x:v>47</x:v>
      </x:c>
    </x:row>
    <x:row r="732" ht="22" customHeight="1">
      <x:c r="A732" s="1" t="str">
        <x:v>日経mini</x:v>
      </x:c>
      <x:c r="B732" s="1" t="str">
        <x:v>P02</x:v>
      </x:c>
      <x:c r="C732" s="1" t="str">
        <x:v>対照47場</x:v>
      </x:c>
      <x:c r="D732" s="47" t="n">
        <x:v>4863030</x:v>
      </x:c>
      <x:c r="E732" s="47" t="n">
        <x:v>9939998</x:v>
      </x:c>
      <x:c r="F732" s="47" t="n">
        <x:f>D732-E732</x:f>
        <x:v>-5076968</x:v>
      </x:c>
      <x:c r="G732" s="49" t="n">
        <x:v>1</x:v>
      </x:c>
      <x:c r="H732" s="49" t="n">
        <x:v>23</x:v>
      </x:c>
      <x:c r="I732" s="47" t="n">
        <x:v>-5123428</x:v>
      </x:c>
      <x:c r="J732" s="49" t="n">
        <x:v>1292</x:v>
      </x:c>
      <x:c r="K732" s="47" t="n">
        <x:v>-430166</x:v>
      </x:c>
      <x:c r="L732" s="47" t="n">
        <x:v>222757.73913043478</x:v>
      </x:c>
      <x:c r="M732" s="48" t="n">
        <x:v>3.4909722222222226</x:v>
      </x:c>
      <x:c r="N732" s="48" t="n">
        <x:v>300.3055555555556</x:v>
      </x:c>
      <x:c r="O732" s="49" t="n">
        <x:v>2</x:v>
      </x:c>
      <x:c r="P732" s="1" t="str">
        <x:v>短期二市場の合議・広め</x:v>
      </x:c>
      <x:c r="Q732" s="49" t="n">
        <x:v>0</x:v>
      </x:c>
      <x:c r="R732" s="50" t="n">
        <x:v>0.7150132275132274</x:v>
      </x:c>
      <x:c r="S732" s="50" t="n">
        <x:v>0.7150132275132275</x:v>
      </x:c>
      <x:c r="T732" s="1" t="str">
        <x:v>デイ</x:v>
      </x:c>
      <x:c r="U732" s="49" t="n">
        <x:v>24</x:v>
      </x:c>
    </x:row>
    <x:row r="733" ht="22" customHeight="1">
      <x:c r="A733" s="1" t="str">
        <x:v>日経mini</x:v>
      </x:c>
      <x:c r="B733" s="1" t="str">
        <x:v>P02</x:v>
      </x:c>
      <x:c r="C733" s="1" t="str">
        <x:v>対照47場</x:v>
      </x:c>
      <x:c r="D733" s="47" t="n">
        <x:v>5038418</x:v>
      </x:c>
      <x:c r="E733" s="47" t="n">
        <x:v>7993336</x:v>
      </x:c>
      <x:c r="F733" s="47" t="n">
        <x:f>D733-E733</x:f>
        <x:v>-2954918</x:v>
      </x:c>
      <x:c r="G733" s="49" t="n">
        <x:v>3</x:v>
      </x:c>
      <x:c r="H733" s="49" t="n">
        <x:v>20</x:v>
      </x:c>
      <x:c r="I733" s="47" t="n">
        <x:v>-3019362</x:v>
      </x:c>
      <x:c r="J733" s="49" t="n">
        <x:v>967</x:v>
      </x:c>
      <x:c r="K733" s="47" t="n">
        <x:v>-368624</x:v>
      </x:c>
      <x:c r="L733" s="47" t="n">
        <x:v>150968.1</x:v>
      </x:c>
      <x:c r="M733" s="48" t="n">
        <x:v>3.4014492753623187</x:v>
      </x:c>
      <x:c r="N733" s="48" t="n">
        <x:v>519.7304347826088</x:v>
      </x:c>
      <x:c r="O733" s="49" t="n">
        <x:v>2</x:v>
      </x:c>
      <x:c r="P733" s="1" t="str">
        <x:v>短期二市場の合議・広め</x:v>
      </x:c>
      <x:c r="Q733" s="49" t="n">
        <x:v>0</x:v>
      </x:c>
      <x:c r="R733" s="50" t="n">
        <x:v>0.6663210702341137</x:v>
      </x:c>
      <x:c r="S733" s="50" t="n">
        <x:v>0.6663210702341137</x:v>
      </x:c>
      <x:c r="T733" s="1" t="str">
        <x:v>ナイト</x:v>
      </x:c>
      <x:c r="U733" s="49" t="n">
        <x:v>23</x:v>
      </x:c>
    </x:row>
    <x:row r="734" ht="22" customHeight="1">
      <x:c r="A734" s="1" t="str">
        <x:v>日経mini</x:v>
      </x:c>
      <x:c r="B734" s="1" t="str">
        <x:v>P02</x:v>
      </x:c>
      <x:c r="C734" s="1" t="str">
        <x:v>対照47場</x:v>
      </x:c>
      <x:c r="D734" s="47" t="n">
        <x:v>4914878</x:v>
      </x:c>
      <x:c r="E734" s="47" t="n">
        <x:v>8112272</x:v>
      </x:c>
      <x:c r="F734" s="47" t="n">
        <x:f>D734-E734</x:f>
        <x:v>-3197394</x:v>
      </x:c>
      <x:c r="G734" s="49" t="n">
        <x:v>3</x:v>
      </x:c>
      <x:c r="H734" s="49" t="n">
        <x:v>19</x:v>
      </x:c>
      <x:c r="I734" s="47" t="n">
        <x:v>-3261838</x:v>
      </x:c>
      <x:c r="J734" s="49" t="n">
        <x:v>1061</x:v>
      </x:c>
      <x:c r="K734" s="47" t="n">
        <x:v>-352470</x:v>
      </x:c>
      <x:c r="L734" s="47" t="n">
        <x:v>171675.68421052632</x:v>
      </x:c>
      <x:c r="M734" s="48" t="n">
        <x:v>3.4257575757575767</x:v>
      </x:c>
      <x:c r="N734" s="48" t="n">
        <x:v>418.51666666666665</x:v>
      </x:c>
      <x:c r="O734" s="49" t="n">
        <x:v>2</x:v>
      </x:c>
      <x:c r="P734" s="1" t="str">
        <x:v>短期二市場の合議・広め</x:v>
      </x:c>
      <x:c r="Q734" s="49" t="n">
        <x:v>0</x:v>
      </x:c>
      <x:c r="R734" s="50" t="n">
        <x:v>0.6840531690531692</x:v>
      </x:c>
      <x:c r="S734" s="50" t="n">
        <x:v>0.6790093411996067</x:v>
      </x:c>
      <x:c r="T734" s="1" t="str">
        <x:v>上昇</x:v>
      </x:c>
      <x:c r="U734" s="49" t="n">
        <x:v>22</x:v>
      </x:c>
    </x:row>
    <x:row r="735" ht="22" customHeight="1">
      <x:c r="A735" s="1" t="str">
        <x:v>日経mini</x:v>
      </x:c>
      <x:c r="B735" s="1" t="str">
        <x:v>P02</x:v>
      </x:c>
      <x:c r="C735" s="1" t="str">
        <x:v>対照47場</x:v>
      </x:c>
      <x:c r="D735" s="47" t="n">
        <x:v>4986570</x:v>
      </x:c>
      <x:c r="E735" s="47" t="n">
        <x:v>9821062</x:v>
      </x:c>
      <x:c r="F735" s="47" t="n">
        <x:f>D735-E735</x:f>
        <x:v>-4834492</x:v>
      </x:c>
      <x:c r="G735" s="49" t="n">
        <x:v>1</x:v>
      </x:c>
      <x:c r="H735" s="49" t="n">
        <x:v>24</x:v>
      </x:c>
      <x:c r="I735" s="47" t="n">
        <x:v>-4880952</x:v>
      </x:c>
      <x:c r="J735" s="49" t="n">
        <x:v>1198</x:v>
      </x:c>
      <x:c r="K735" s="47" t="n">
        <x:v>-430166</x:v>
      </x:c>
      <x:c r="L735" s="47" t="n">
        <x:v>203373</x:v>
      </x:c>
      <x:c r="M735" s="48" t="n">
        <x:v>3.466</x:v>
      </x:c>
      <x:c r="N735" s="48" t="n">
        <x:v>398.15066666666667</x:v>
      </x:c>
      <x:c r="O735" s="49" t="n">
        <x:v>2</x:v>
      </x:c>
      <x:c r="P735" s="1" t="str">
        <x:v>短期二市場の合議・広め</x:v>
      </x:c>
      <x:c r="Q735" s="49" t="n">
        <x:v>0</x:v>
      </x:c>
      <x:c r="R735" s="50" t="n">
        <x:v>0.6974612942612943</x:v>
      </x:c>
      <x:c r="S735" s="50" t="n">
        <x:v>0.6883656062701705</x:v>
      </x:c>
      <x:c r="T735" s="1" t="str">
        <x:v>下落</x:v>
      </x:c>
      <x:c r="U735" s="49" t="n">
        <x:v>25</x:v>
      </x:c>
    </x:row>
    <x:row r="736" ht="22" customHeight="1">
      <x:c r="A736" s="1" t="str">
        <x:v>日経mini</x:v>
      </x:c>
      <x:c r="B736" s="1" t="str">
        <x:v>P02</x:v>
      </x:c>
      <x:c r="C736" s="1" t="str">
        <x:v>診断3場</x:v>
      </x:c>
      <x:c r="D736" s="47" t="n">
        <x:v>1104452</x:v>
      </x:c>
      <x:c r="E736" s="47" t="n">
        <x:v>1260326</x:v>
      </x:c>
      <x:c r="F736" s="47" t="n">
        <x:f>D736-E736</x:f>
        <x:v>-155874</x:v>
      </x:c>
      <x:c r="G736" s="49" t="n">
        <x:v>1</x:v>
      </x:c>
      <x:c r="H736" s="49" t="n">
        <x:v>2</x:v>
      </x:c>
      <x:c r="I736" s="47" t="n">
        <x:v>-203250</x:v>
      </x:c>
      <x:c r="J736" s="49" t="n">
        <x:v>181</x:v>
      </x:c>
      <x:c r="K736" s="47" t="n">
        <x:v>-174778</x:v>
      </x:c>
      <x:c r="L736" s="47" t="n">
        <x:v>101625</x:v>
      </x:c>
      <x:c r="M736" s="48" t="n">
        <x:v>3.0888888888888886</x:v>
      </x:c>
      <x:c r="N736" s="48" t="n">
        <x:v>499.0611111111111</x:v>
      </x:c>
      <x:c r="O736" s="49" t="n">
        <x:v>2</x:v>
      </x:c>
      <x:c r="P736" s="1" t="str">
        <x:v>短期二市場の合議・広め</x:v>
      </x:c>
      <x:c r="Q736" s="49" t="n">
        <x:v>0</x:v>
      </x:c>
      <x:c r="R736" s="50" t="n">
        <x:v>0.7643457468457467</x:v>
      </x:c>
      <x:c r="S736" s="50" t="n">
        <x:v>0.7561531986531985</x:v>
      </x:c>
      <x:c r="T736" s="1" t="str">
        <x:v>全場</x:v>
      </x:c>
      <x:c r="U736" s="49" t="n">
        <x:v>3</x:v>
      </x:c>
    </x:row>
    <x:row r="737" ht="22" customHeight="1">
      <x:c r="A737" s="1" t="str">
        <x:v>日経mini</x:v>
      </x:c>
      <x:c r="B737" s="1" t="str">
        <x:v>P02</x:v>
      </x:c>
      <x:c r="C737" s="1" t="str">
        <x:v>診断3場</x:v>
      </x:c>
      <x:c r="D737" s="47" t="n">
        <x:v>438612</x:v>
      </x:c>
      <x:c r="E737" s="47" t="n">
        <x:v>467084</x:v>
      </x:c>
      <x:c r="F737" s="47" t="n">
        <x:f>D737-E737</x:f>
        <x:v>-28472</x:v>
      </x:c>
      <x:c r="G737" s="49" t="n">
        <x:v>0</x:v>
      </x:c>
      <x:c r="H737" s="49" t="n">
        <x:v>1</x:v>
      </x:c>
      <x:c r="I737" s="47" t="n">
        <x:v>-28472</x:v>
      </x:c>
      <x:c r="J737" s="49" t="n">
        <x:v>68</x:v>
      </x:c>
      <x:c r="K737" s="47" t="n">
        <x:v>-28472</x:v>
      </x:c>
      <x:c r="L737" s="47" t="n">
        <x:v>28472</x:v>
      </x:c>
      <x:c r="M737" s="48" t="n">
        <x:v>2.716666666666667</x:v>
      </x:c>
      <x:c r="N737" s="48" t="n">
        <x:v>339.95</x:v>
      </x:c>
      <x:c r="O737" s="49" t="n">
        <x:v>2</x:v>
      </x:c>
      <x:c r="P737" s="1" t="str">
        <x:v>短期二市場の合議・広め</x:v>
      </x:c>
      <x:c r="Q737" s="49" t="n">
        <x:v>0</x:v>
      </x:c>
      <x:c r="R737" s="50" t="n">
        <x:v>0.809404761904762</x:v>
      </x:c>
      <x:c r="S737" s="50" t="n">
        <x:v>0.8094047619047618</x:v>
      </x:c>
      <x:c r="T737" s="1" t="str">
        <x:v>デイ</x:v>
      </x:c>
      <x:c r="U737" s="49" t="n">
        <x:v>1</x:v>
      </x:c>
    </x:row>
    <x:row r="738" ht="22" customHeight="1">
      <x:c r="A738" s="1" t="str">
        <x:v>日経mini</x:v>
      </x:c>
      <x:c r="B738" s="1" t="str">
        <x:v>P02</x:v>
      </x:c>
      <x:c r="C738" s="1" t="str">
        <x:v>診断3場</x:v>
      </x:c>
      <x:c r="D738" s="47" t="n">
        <x:v>665840</x:v>
      </x:c>
      <x:c r="E738" s="47" t="n">
        <x:v>793242</x:v>
      </x:c>
      <x:c r="F738" s="47" t="n">
        <x:f>D738-E738</x:f>
        <x:v>-127402</x:v>
      </x:c>
      <x:c r="G738" s="49" t="n">
        <x:v>1</x:v>
      </x:c>
      <x:c r="H738" s="49" t="n">
        <x:v>1</x:v>
      </x:c>
      <x:c r="I738" s="47" t="n">
        <x:v>-174778</x:v>
      </x:c>
      <x:c r="J738" s="49" t="n">
        <x:v>113</x:v>
      </x:c>
      <x:c r="K738" s="47" t="n">
        <x:v>-174778</x:v>
      </x:c>
      <x:c r="L738" s="47" t="n">
        <x:v>174778</x:v>
      </x:c>
      <x:c r="M738" s="48" t="n">
        <x:v>3.275</x:v>
      </x:c>
      <x:c r="N738" s="48" t="n">
        <x:v>578.6166666666666</x:v>
      </x:c>
      <x:c r="O738" s="49" t="n">
        <x:v>2</x:v>
      </x:c>
      <x:c r="P738" s="1" t="str">
        <x:v>短期二市場の合議・広め</x:v>
      </x:c>
      <x:c r="Q738" s="49" t="n">
        <x:v>0</x:v>
      </x:c>
      <x:c r="R738" s="50" t="n">
        <x:v>0.7418162393162393</x:v>
      </x:c>
      <x:c r="S738" s="50" t="n">
        <x:v>0.7418162393162392</x:v>
      </x:c>
      <x:c r="T738" s="1" t="str">
        <x:v>ナイト</x:v>
      </x:c>
      <x:c r="U738" s="49" t="n">
        <x:v>2</x:v>
      </x:c>
    </x:row>
    <x:row r="739" ht="22" customHeight="1">
      <x:c r="A739" s="1" t="str">
        <x:v>日経mini</x:v>
      </x:c>
      <x:c r="B739" s="1" t="str">
        <x:v>P02</x:v>
      </x:c>
      <x:c r="C739" s="1" t="str">
        <x:v>診断3場</x:v>
      </x:c>
      <x:c r="D739" s="47" t="n">
        <x:v>703994</x:v>
      </x:c>
      <x:c r="E739" s="47" t="n">
        <x:v>907244</x:v>
      </x:c>
      <x:c r="F739" s="47" t="n">
        <x:f>D739-E739</x:f>
        <x:v>-203250</x:v>
      </x:c>
      <x:c r="G739" s="49" t="n">
        <x:v>0</x:v>
      </x:c>
      <x:c r="H739" s="49" t="n">
        <x:v>2</x:v>
      </x:c>
      <x:c r="I739" s="47" t="n">
        <x:v>-203250</x:v>
      </x:c>
      <x:c r="J739" s="49" t="n">
        <x:v>125</x:v>
      </x:c>
      <x:c r="K739" s="47" t="n">
        <x:v>-174778</x:v>
      </x:c>
      <x:c r="L739" s="47" t="n">
        <x:v>101625</x:v>
      </x:c>
      <x:c r="M739" s="48" t="n">
        <x:v>2.5</x:v>
      </x:c>
      <x:c r="N739" s="48" t="n">
        <x:v>454.375</x:v>
      </x:c>
      <x:c r="O739" s="49" t="n">
        <x:v>2</x:v>
      </x:c>
      <x:c r="P739" s="1" t="str">
        <x:v>短期二市場の合議・広め</x:v>
      </x:c>
      <x:c r="Q739" s="49" t="n">
        <x:v>0</x:v>
      </x:c>
      <x:c r="R739" s="50" t="n">
        <x:v>0.7693177655677657</x:v>
      </x:c>
      <x:c r="S739" s="50" t="n">
        <x:v>0.7572916666666667</x:v>
      </x:c>
      <x:c r="T739" s="1" t="str">
        <x:v>上昇</x:v>
      </x:c>
      <x:c r="U739" s="49" t="n">
        <x:v>2</x:v>
      </x:c>
    </x:row>
    <x:row r="740" ht="22" customHeight="1">
      <x:c r="A740" s="1" t="str">
        <x:v>日経mini</x:v>
      </x:c>
      <x:c r="B740" s="1" t="str">
        <x:v>P02</x:v>
      </x:c>
      <x:c r="C740" s="1" t="str">
        <x:v>診断3場</x:v>
      </x:c>
      <x:c r="D740" s="47" t="n">
        <x:v>400458</x:v>
      </x:c>
      <x:c r="E740" s="47" t="n">
        <x:v>353082</x:v>
      </x:c>
      <x:c r="F740" s="47" t="n">
        <x:f>D740-E740</x:f>
        <x:v>47376</x:v>
      </x:c>
      <x:c r="G740" s="49" t="n">
        <x:v>1</x:v>
      </x:c>
      <x:c r="H740" s="49" t="n">
        <x:v>0</x:v>
      </x:c>
      <x:c r="I740" s="47" t="n">
        <x:v>0</x:v>
      </x:c>
      <x:c r="J740" s="49" t="n">
        <x:v>56</x:v>
      </x:c>
      <x:c r="K740" s="47" t="n">
        <x:v>47376</x:v>
      </x:c>
      <x:c r="L740" s="47" t="n">
        <x:v>0</x:v>
      </x:c>
      <x:c r="M740" s="48" t="n">
        <x:v>4.266666666666667</x:v>
      </x:c>
      <x:c r="N740" s="48" t="n">
        <x:v>588.4333333333333</x:v>
      </x:c>
      <x:c r="O740" s="49" t="n">
        <x:v>2</x:v>
      </x:c>
      <x:c r="P740" s="1" t="str">
        <x:v>短期二市場の合議・広め</x:v>
      </x:c>
      <x:c r="Q740" s="49" t="n">
        <x:v>0</x:v>
      </x:c>
      <x:c r="R740" s="50" t="n">
        <x:v>0.7544017094017094</x:v>
      </x:c>
      <x:c r="S740" s="50" t="n">
        <x:v>0.7544017094017094</x:v>
      </x:c>
      <x:c r="T740" s="1" t="str">
        <x:v>下落</x:v>
      </x:c>
      <x:c r="U740" s="49" t="n">
        <x:v>1</x:v>
      </x:c>
    </x:row>
    <x:row r="741" ht="22" customHeight="1">
      <x:c r="A741" s="1" t="str">
        <x:v>日経mini</x:v>
      </x:c>
      <x:c r="B741" s="1" t="str">
        <x:v>P03</x:v>
      </x:c>
      <x:c r="C741" s="1" t="str">
        <x:v>全50場</x:v>
      </x:c>
      <x:c r="D741" s="47" t="n">
        <x:v>10703144</x:v>
      </x:c>
      <x:c r="E741" s="47" t="n">
        <x:v>17470998</x:v>
      </x:c>
      <x:c r="F741" s="47" t="n">
        <x:f>D741-E741</x:f>
        <x:v>-6767854</x:v>
      </x:c>
      <x:c r="G741" s="49" t="n">
        <x:v>3</x:v>
      </x:c>
      <x:c r="H741" s="49" t="n">
        <x:v>47</x:v>
      </x:c>
      <x:c r="I741" s="47" t="n">
        <x:v>-6901068</x:v>
      </x:c>
      <x:c r="J741" s="49" t="n">
        <x:v>2051</x:v>
      </x:c>
      <x:c r="K741" s="47" t="n">
        <x:v>-382470</x:v>
      </x:c>
      <x:c r="L741" s="47" t="n">
        <x:v>146831.2340425532</x:v>
      </x:c>
      <x:c r="M741" s="48" t="n">
        <x:v>3.4256666666666673</x:v>
      </x:c>
      <x:c r="N741" s="48" t="n">
        <x:v>400.4823333333333</x:v>
      </x:c>
      <x:c r="O741" s="49" t="n">
        <x:v>2</x:v>
      </x:c>
      <x:c r="P741" s="1" t="str">
        <x:v>中期支持中は短期逆行を保持・標準</x:v>
      </x:c>
      <x:c r="Q741" s="49" t="n">
        <x:v>0</x:v>
      </x:c>
      <x:c r="R741" s="50" t="n">
        <x:v>0.6822180097680097</x:v>
      </x:c>
      <x:c r="S741" s="50" t="n">
        <x:v>0.6674705555555555</x:v>
      </x:c>
      <x:c r="T741" s="1" t="str">
        <x:v>全場</x:v>
      </x:c>
      <x:c r="U741" s="49" t="n">
        <x:v>50</x:v>
      </x:c>
    </x:row>
    <x:row r="742" ht="22" customHeight="1">
      <x:c r="A742" s="1" t="str">
        <x:v>日経mini</x:v>
      </x:c>
      <x:c r="B742" s="1" t="str">
        <x:v>P03</x:v>
      </x:c>
      <x:c r="C742" s="1" t="str">
        <x:v>全50場</x:v>
      </x:c>
      <x:c r="D742" s="47" t="n">
        <x:v>4942420</x:v>
      </x:c>
      <x:c r="E742" s="47" t="n">
        <x:v>8869506</x:v>
      </x:c>
      <x:c r="F742" s="47" t="n">
        <x:f>D742-E742</x:f>
        <x:v>-3927086</x:v>
      </x:c>
      <x:c r="G742" s="49" t="n">
        <x:v>0</x:v>
      </x:c>
      <x:c r="H742" s="49" t="n">
        <x:v>25</x:v>
      </x:c>
      <x:c r="I742" s="47" t="n">
        <x:v>-3927086</x:v>
      </x:c>
      <x:c r="J742" s="49" t="n">
        <x:v>1059</x:v>
      </x:c>
      <x:c r="K742" s="47" t="n">
        <x:v>-382470</x:v>
      </x:c>
      <x:c r="L742" s="47" t="n">
        <x:v>157083.44</x:v>
      </x:c>
      <x:c r="M742" s="48" t="n">
        <x:v>3.4600000000000004</x:v>
      </x:c>
      <x:c r="N742" s="48" t="n">
        <x:v>307.178</x:v>
      </x:c>
      <x:c r="O742" s="49" t="n">
        <x:v>2</x:v>
      </x:c>
      <x:c r="P742" s="1" t="str">
        <x:v>中期支持中は短期逆行を保持・標準</x:v>
      </x:c>
      <x:c r="Q742" s="49" t="n">
        <x:v>0</x:v>
      </x:c>
      <x:c r="R742" s="50" t="n">
        <x:v>0.7313761904761905</x:v>
      </x:c>
      <x:c r="S742" s="50" t="n">
        <x:v>0.7313761904761905</x:v>
      </x:c>
      <x:c r="T742" s="1" t="str">
        <x:v>デイ</x:v>
      </x:c>
      <x:c r="U742" s="49" t="n">
        <x:v>25</x:v>
      </x:c>
    </x:row>
    <x:row r="743" ht="22" customHeight="1">
      <x:c r="A743" s="1" t="str">
        <x:v>日経mini</x:v>
      </x:c>
      <x:c r="B743" s="1" t="str">
        <x:v>P03</x:v>
      </x:c>
      <x:c r="C743" s="1" t="str">
        <x:v>全50場</x:v>
      </x:c>
      <x:c r="D743" s="47" t="n">
        <x:v>5760724</x:v>
      </x:c>
      <x:c r="E743" s="47" t="n">
        <x:v>8601492</x:v>
      </x:c>
      <x:c r="F743" s="47" t="n">
        <x:f>D743-E743</x:f>
        <x:v>-2840768</x:v>
      </x:c>
      <x:c r="G743" s="49" t="n">
        <x:v>3</x:v>
      </x:c>
      <x:c r="H743" s="49" t="n">
        <x:v>22</x:v>
      </x:c>
      <x:c r="I743" s="47" t="n">
        <x:v>-2973982</x:v>
      </x:c>
      <x:c r="J743" s="49" t="n">
        <x:v>992</x:v>
      </x:c>
      <x:c r="K743" s="47" t="n">
        <x:v>-344008</x:v>
      </x:c>
      <x:c r="L743" s="47" t="n">
        <x:v>135181</x:v>
      </x:c>
      <x:c r="M743" s="48" t="n">
        <x:v>3.3913333333333333</x:v>
      </x:c>
      <x:c r="N743" s="48" t="n">
        <x:v>493.78666666666663</x:v>
      </x:c>
      <x:c r="O743" s="49" t="n">
        <x:v>2</x:v>
      </x:c>
      <x:c r="P743" s="1" t="str">
        <x:v>中期支持中は短期逆行を保持・標準</x:v>
      </x:c>
      <x:c r="Q743" s="49" t="n">
        <x:v>0</x:v>
      </x:c>
      <x:c r="R743" s="50" t="n">
        <x:v>0.633059829059829</x:v>
      </x:c>
      <x:c r="S743" s="50" t="n">
        <x:v>0.633059829059829</x:v>
      </x:c>
      <x:c r="T743" s="1" t="str">
        <x:v>ナイト</x:v>
      </x:c>
      <x:c r="U743" s="49" t="n">
        <x:v>25</x:v>
      </x:c>
    </x:row>
    <x:row r="744" ht="22" customHeight="1">
      <x:c r="A744" s="1" t="str">
        <x:v>日経mini</x:v>
      </x:c>
      <x:c r="B744" s="1" t="str">
        <x:v>P03</x:v>
      </x:c>
      <x:c r="C744" s="1" t="str">
        <x:v>全50場</x:v>
      </x:c>
      <x:c r="D744" s="47" t="n">
        <x:v>5642416</x:v>
      </x:c>
      <x:c r="E744" s="47" t="n">
        <x:v>8147184</x:v>
      </x:c>
      <x:c r="F744" s="47" t="n">
        <x:f>D744-E744</x:f>
        <x:v>-2504768</x:v>
      </x:c>
      <x:c r="G744" s="49" t="n">
        <x:v>2</x:v>
      </x:c>
      <x:c r="H744" s="49" t="n">
        <x:v>22</x:v>
      </x:c>
      <x:c r="I744" s="47" t="n">
        <x:v>-2601524</x:v>
      </x:c>
      <x:c r="J744" s="49" t="n">
        <x:v>992</x:v>
      </x:c>
      <x:c r="K744" s="47" t="n">
        <x:v>-251392</x:v>
      </x:c>
      <x:c r="L744" s="47" t="n">
        <x:v>118251.09090909091</x:v>
      </x:c>
      <x:c r="M744" s="48" t="n">
        <x:v>3.3486111111111114</x:v>
      </x:c>
      <x:c r="N744" s="48" t="n">
        <x:v>408.8500000000001</x:v>
      </x:c>
      <x:c r="O744" s="49" t="n">
        <x:v>2</x:v>
      </x:c>
      <x:c r="P744" s="1" t="str">
        <x:v>中期支持中は短期逆行を保持・標準</x:v>
      </x:c>
      <x:c r="Q744" s="49" t="n">
        <x:v>0</x:v>
      </x:c>
      <x:c r="R744" s="50" t="n">
        <x:v>0.6838621794871796</x:v>
      </x:c>
      <x:c r="S744" s="50" t="n">
        <x:v>0.6647967479674797</x:v>
      </x:c>
      <x:c r="T744" s="1" t="str">
        <x:v>上昇</x:v>
      </x:c>
      <x:c r="U744" s="49" t="n">
        <x:v>24</x:v>
      </x:c>
    </x:row>
    <x:row r="745" ht="22" customHeight="1">
      <x:c r="A745" s="1" t="str">
        <x:v>日経mini</x:v>
      </x:c>
      <x:c r="B745" s="1" t="str">
        <x:v>P03</x:v>
      </x:c>
      <x:c r="C745" s="1" t="str">
        <x:v>全50場</x:v>
      </x:c>
      <x:c r="D745" s="47" t="n">
        <x:v>5060728</x:v>
      </x:c>
      <x:c r="E745" s="47" t="n">
        <x:v>9323814</x:v>
      </x:c>
      <x:c r="F745" s="47" t="n">
        <x:f>D745-E745</x:f>
        <x:v>-4263086</x:v>
      </x:c>
      <x:c r="G745" s="49" t="n">
        <x:v>1</x:v>
      </x:c>
      <x:c r="H745" s="49" t="n">
        <x:v>25</x:v>
      </x:c>
      <x:c r="I745" s="47" t="n">
        <x:v>-4299544</x:v>
      </x:c>
      <x:c r="J745" s="49" t="n">
        <x:v>1059</x:v>
      </x:c>
      <x:c r="K745" s="47" t="n">
        <x:v>-382470</x:v>
      </x:c>
      <x:c r="L745" s="47" t="n">
        <x:v>171981.76</x:v>
      </x:c>
      <x:c r="M745" s="48" t="n">
        <x:v>3.496794871794872</x:v>
      </x:c>
      <x:c r="N745" s="48" t="n">
        <x:v>392.75833333333327</x:v>
      </x:c>
      <x:c r="O745" s="49" t="n">
        <x:v>2</x:v>
      </x:c>
      <x:c r="P745" s="1" t="str">
        <x:v>中期支持中は短期逆行を保持・標準</x:v>
      </x:c>
      <x:c r="Q745" s="49" t="n">
        <x:v>0</x:v>
      </x:c>
      <x:c r="R745" s="50" t="n">
        <x:v>0.6807003146426224</x:v>
      </x:c>
      <x:c r="S745" s="50" t="n">
        <x:v>0.6700601487314086</x:v>
      </x:c>
      <x:c r="T745" s="1" t="str">
        <x:v>下落</x:v>
      </x:c>
      <x:c r="U745" s="49" t="n">
        <x:v>26</x:v>
      </x:c>
    </x:row>
    <x:row r="746" ht="22" customHeight="1">
      <x:c r="A746" s="1" t="str">
        <x:v>日経mini</x:v>
      </x:c>
      <x:c r="B746" s="1" t="str">
        <x:v>P03</x:v>
      </x:c>
      <x:c r="C746" s="1" t="str">
        <x:v>対照47場</x:v>
      </x:c>
      <x:c r="D746" s="47" t="n">
        <x:v>9843920</x:v>
      </x:c>
      <x:c r="E746" s="47" t="n">
        <x:v>16127904</x:v>
      </x:c>
      <x:c r="F746" s="47" t="n">
        <x:f>D746-E746</x:f>
        <x:v>-6283984</x:v>
      </x:c>
      <x:c r="G746" s="49" t="n">
        <x:v>3</x:v>
      </x:c>
      <x:c r="H746" s="49" t="n">
        <x:v>44</x:v>
      </x:c>
      <x:c r="I746" s="47" t="n">
        <x:v>-6417198</x:v>
      </x:c>
      <x:c r="J746" s="49" t="n">
        <x:v>1896</x:v>
      </x:c>
      <x:c r="K746" s="47" t="n">
        <x:v>-382470</x:v>
      </x:c>
      <x:c r="L746" s="47" t="n">
        <x:v>145845.4090909091</x:v>
      </x:c>
      <x:c r="M746" s="48" t="n">
        <x:v>3.4471631205673763</x:v>
      </x:c>
      <x:c r="N746" s="48" t="n">
        <x:v>394.468085106383</x:v>
      </x:c>
      <x:c r="O746" s="49" t="n">
        <x:v>2</x:v>
      </x:c>
      <x:c r="P746" s="1" t="str">
        <x:v>中期支持中は短期逆行を保持・標準</x:v>
      </x:c>
      <x:c r="Q746" s="49" t="n">
        <x:v>0</x:v>
      </x:c>
      <x:c r="R746" s="50" t="n">
        <x:v>0.6769554204660587</x:v>
      </x:c>
      <x:c r="S746" s="50" t="n">
        <x:v>0.6616702355460385</x:v>
      </x:c>
      <x:c r="T746" s="1" t="str">
        <x:v>全場</x:v>
      </x:c>
      <x:c r="U746" s="49" t="n">
        <x:v>47</x:v>
      </x:c>
    </x:row>
    <x:row r="747" ht="22" customHeight="1">
      <x:c r="A747" s="1" t="str">
        <x:v>日経mini</x:v>
      </x:c>
      <x:c r="B747" s="1" t="str">
        <x:v>P03</x:v>
      </x:c>
      <x:c r="C747" s="1" t="str">
        <x:v>対照47場</x:v>
      </x:c>
      <x:c r="D747" s="47" t="n">
        <x:v>4652884</x:v>
      </x:c>
      <x:c r="E747" s="47" t="n">
        <x:v>8395654</x:v>
      </x:c>
      <x:c r="F747" s="47" t="n">
        <x:f>D747-E747</x:f>
        <x:v>-3742770</x:v>
      </x:c>
      <x:c r="G747" s="49" t="n">
        <x:v>0</x:v>
      </x:c>
      <x:c r="H747" s="49" t="n">
        <x:v>24</x:v>
      </x:c>
      <x:c r="I747" s="47" t="n">
        <x:v>-3742770</x:v>
      </x:c>
      <x:c r="J747" s="49" t="n">
        <x:v>1005</x:v>
      </x:c>
      <x:c r="K747" s="47" t="n">
        <x:v>-382470</x:v>
      </x:c>
      <x:c r="L747" s="47" t="n">
        <x:v>155948.75</x:v>
      </x:c>
      <x:c r="M747" s="48" t="n">
        <x:v>3.4909722222222226</x:v>
      </x:c>
      <x:c r="N747" s="48" t="n">
        <x:v>305.1409722222222</x:v>
      </x:c>
      <x:c r="O747" s="49" t="n">
        <x:v>2</x:v>
      </x:c>
      <x:c r="P747" s="1" t="str">
        <x:v>中期支持中は短期逆行を保持・標準</x:v>
      </x:c>
      <x:c r="Q747" s="49" t="n">
        <x:v>0</x:v>
      </x:c>
      <x:c r="R747" s="50" t="n">
        <x:v>0.7265261243386244</x:v>
      </x:c>
      <x:c r="S747" s="50" t="n">
        <x:v>0.7265261243386243</x:v>
      </x:c>
      <x:c r="T747" s="1" t="str">
        <x:v>デイ</x:v>
      </x:c>
      <x:c r="U747" s="49" t="n">
        <x:v>24</x:v>
      </x:c>
    </x:row>
    <x:row r="748" ht="22" customHeight="1">
      <x:c r="A748" s="1" t="str">
        <x:v>日経mini</x:v>
      </x:c>
      <x:c r="B748" s="1" t="str">
        <x:v>P03</x:v>
      </x:c>
      <x:c r="C748" s="1" t="str">
        <x:v>対照47場</x:v>
      </x:c>
      <x:c r="D748" s="47" t="n">
        <x:v>5191036</x:v>
      </x:c>
      <x:c r="E748" s="47" t="n">
        <x:v>7732250</x:v>
      </x:c>
      <x:c r="F748" s="47" t="n">
        <x:f>D748-E748</x:f>
        <x:v>-2541214</x:v>
      </x:c>
      <x:c r="G748" s="49" t="n">
        <x:v>3</x:v>
      </x:c>
      <x:c r="H748" s="49" t="n">
        <x:v>20</x:v>
      </x:c>
      <x:c r="I748" s="47" t="n">
        <x:v>-2674428</x:v>
      </x:c>
      <x:c r="J748" s="49" t="n">
        <x:v>891</x:v>
      </x:c>
      <x:c r="K748" s="47" t="n">
        <x:v>-344008</x:v>
      </x:c>
      <x:c r="L748" s="47" t="n">
        <x:v>133721.4</x:v>
      </x:c>
      <x:c r="M748" s="48" t="n">
        <x:v>3.4014492753623187</x:v>
      </x:c>
      <x:c r="N748" s="48" t="n">
        <x:v>487.6789855072464</x:v>
      </x:c>
      <x:c r="O748" s="49" t="n">
        <x:v>2</x:v>
      </x:c>
      <x:c r="P748" s="1" t="str">
        <x:v>中期支持中は短期逆行を保持・標準</x:v>
      </x:c>
      <x:c r="Q748" s="49" t="n">
        <x:v>0</x:v>
      </x:c>
      <x:c r="R748" s="50" t="n">
        <x:v>0.6252294685990337</x:v>
      </x:c>
      <x:c r="S748" s="50" t="n">
        <x:v>0.6252294685990338</x:v>
      </x:c>
      <x:c r="T748" s="1" t="str">
        <x:v>ナイト</x:v>
      </x:c>
      <x:c r="U748" s="49" t="n">
        <x:v>23</x:v>
      </x:c>
    </x:row>
    <x:row r="749" ht="22" customHeight="1">
      <x:c r="A749" s="1" t="str">
        <x:v>日経mini</x:v>
      </x:c>
      <x:c r="B749" s="1" t="str">
        <x:v>P03</x:v>
      </x:c>
      <x:c r="C749" s="1" t="str">
        <x:v>対照47場</x:v>
      </x:c>
      <x:c r="D749" s="47" t="n">
        <x:v>5096574</x:v>
      </x:c>
      <x:c r="E749" s="47" t="n">
        <x:v>7191634</x:v>
      </x:c>
      <x:c r="F749" s="47" t="n">
        <x:f>D749-E749</x:f>
        <x:v>-2095060</x:v>
      </x:c>
      <x:c r="G749" s="49" t="n">
        <x:v>2</x:v>
      </x:c>
      <x:c r="H749" s="49" t="n">
        <x:v>20</x:v>
      </x:c>
      <x:c r="I749" s="47" t="n">
        <x:v>-2191816</x:v>
      </x:c>
      <x:c r="J749" s="49" t="n">
        <x:v>890</x:v>
      </x:c>
      <x:c r="K749" s="47" t="n">
        <x:v>-251392</x:v>
      </x:c>
      <x:c r="L749" s="47" t="n">
        <x:v>109590.8</x:v>
      </x:c>
      <x:c r="M749" s="48" t="n">
        <x:v>3.4257575757575767</x:v>
      </x:c>
      <x:c r="N749" s="48" t="n">
        <x:v>404.79848484848486</x:v>
      </x:c>
      <x:c r="O749" s="49" t="n">
        <x:v>2</x:v>
      </x:c>
      <x:c r="P749" s="1" t="str">
        <x:v>中期支持中は短期逆行を保持・標準</x:v>
      </x:c>
      <x:c r="Q749" s="49" t="n">
        <x:v>0</x:v>
      </x:c>
      <x:c r="R749" s="50" t="n">
        <x:v>0.6754001554001554</x:v>
      </x:c>
      <x:c r="S749" s="50" t="n">
        <x:v>0.656752704031465</x:v>
      </x:c>
      <x:c r="T749" s="1" t="str">
        <x:v>上昇</x:v>
      </x:c>
      <x:c r="U749" s="49" t="n">
        <x:v>22</x:v>
      </x:c>
    </x:row>
    <x:row r="750" ht="22" customHeight="1">
      <x:c r="A750" s="1" t="str">
        <x:v>日経mini</x:v>
      </x:c>
      <x:c r="B750" s="1" t="str">
        <x:v>P03</x:v>
      </x:c>
      <x:c r="C750" s="1" t="str">
        <x:v>対照47場</x:v>
      </x:c>
      <x:c r="D750" s="47" t="n">
        <x:v>4747346</x:v>
      </x:c>
      <x:c r="E750" s="47" t="n">
        <x:v>8936270</x:v>
      </x:c>
      <x:c r="F750" s="47" t="n">
        <x:f>D750-E750</x:f>
        <x:v>-4188924</x:v>
      </x:c>
      <x:c r="G750" s="49" t="n">
        <x:v>1</x:v>
      </x:c>
      <x:c r="H750" s="49" t="n">
        <x:v>24</x:v>
      </x:c>
      <x:c r="I750" s="47" t="n">
        <x:v>-4225382</x:v>
      </x:c>
      <x:c r="J750" s="49" t="n">
        <x:v>1006</x:v>
      </x:c>
      <x:c r="K750" s="47" t="n">
        <x:v>-382470</x:v>
      </x:c>
      <x:c r="L750" s="47" t="n">
        <x:v>176057.58333333334</x:v>
      </x:c>
      <x:c r="M750" s="48" t="n">
        <x:v>3.466</x:v>
      </x:c>
      <x:c r="N750" s="48" t="n">
        <x:v>385.3773333333333</x:v>
      </x:c>
      <x:c r="O750" s="49" t="n">
        <x:v>2</x:v>
      </x:c>
      <x:c r="P750" s="1" t="str">
        <x:v>中期支持中は短期逆行を保持・標準</x:v>
      </x:c>
      <x:c r="Q750" s="49" t="n">
        <x:v>0</x:v>
      </x:c>
      <x:c r="R750" s="50" t="n">
        <x:v>0.6783240537240538</x:v>
      </x:c>
      <x:c r="S750" s="50" t="n">
        <x:v>0.6662816966343938</x:v>
      </x:c>
      <x:c r="T750" s="1" t="str">
        <x:v>下落</x:v>
      </x:c>
      <x:c r="U750" s="49" t="n">
        <x:v>25</x:v>
      </x:c>
    </x:row>
    <x:row r="751" ht="22" customHeight="1">
      <x:c r="A751" s="1" t="str">
        <x:v>日経mini</x:v>
      </x:c>
      <x:c r="B751" s="1" t="str">
        <x:v>P03</x:v>
      </x:c>
      <x:c r="C751" s="1" t="str">
        <x:v>診断3場</x:v>
      </x:c>
      <x:c r="D751" s="47" t="n">
        <x:v>859224</x:v>
      </x:c>
      <x:c r="E751" s="47" t="n">
        <x:v>1343094</x:v>
      </x:c>
      <x:c r="F751" s="47" t="n">
        <x:f>D751-E751</x:f>
        <x:v>-483870</x:v>
      </x:c>
      <x:c r="G751" s="49" t="n">
        <x:v>0</x:v>
      </x:c>
      <x:c r="H751" s="49" t="n">
        <x:v>3</x:v>
      </x:c>
      <x:c r="I751" s="47" t="n">
        <x:v>-483870</x:v>
      </x:c>
      <x:c r="J751" s="49" t="n">
        <x:v>155</x:v>
      </x:c>
      <x:c r="K751" s="47" t="n">
        <x:v>-225392</x:v>
      </x:c>
      <x:c r="L751" s="47" t="n">
        <x:v>161290</x:v>
      </x:c>
      <x:c r="M751" s="48" t="n">
        <x:v>3.0888888888888886</x:v>
      </x:c>
      <x:c r="N751" s="48" t="n">
        <x:v>494.7055555555555</x:v>
      </x:c>
      <x:c r="O751" s="49" t="n">
        <x:v>2</x:v>
      </x:c>
      <x:c r="P751" s="1" t="str">
        <x:v>中期支持中は短期逆行を保持・標準</x:v>
      </x:c>
      <x:c r="Q751" s="49" t="n">
        <x:v>0</x:v>
      </x:c>
      <x:c r="R751" s="50" t="n">
        <x:v>0.7646652421652421</x:v>
      </x:c>
      <x:c r="S751" s="50" t="n">
        <x:v>0.749553872053872</x:v>
      </x:c>
      <x:c r="T751" s="1" t="str">
        <x:v>全場</x:v>
      </x:c>
      <x:c r="U751" s="49" t="n">
        <x:v>3</x:v>
      </x:c>
    </x:row>
    <x:row r="752" ht="22" customHeight="1">
      <x:c r="A752" s="1" t="str">
        <x:v>日経mini</x:v>
      </x:c>
      <x:c r="B752" s="1" t="str">
        <x:v>P03</x:v>
      </x:c>
      <x:c r="C752" s="1" t="str">
        <x:v>診断3場</x:v>
      </x:c>
      <x:c r="D752" s="47" t="n">
        <x:v>289536</x:v>
      </x:c>
      <x:c r="E752" s="47" t="n">
        <x:v>473852</x:v>
      </x:c>
      <x:c r="F752" s="47" t="n">
        <x:f>D752-E752</x:f>
        <x:v>-184316</x:v>
      </x:c>
      <x:c r="G752" s="49" t="n">
        <x:v>0</x:v>
      </x:c>
      <x:c r="H752" s="49" t="n">
        <x:v>1</x:v>
      </x:c>
      <x:c r="I752" s="47" t="n">
        <x:v>-184316</x:v>
      </x:c>
      <x:c r="J752" s="49" t="n">
        <x:v>54</x:v>
      </x:c>
      <x:c r="K752" s="47" t="n">
        <x:v>-184316</x:v>
      </x:c>
      <x:c r="L752" s="47" t="n">
        <x:v>184316</x:v>
      </x:c>
      <x:c r="M752" s="48" t="n">
        <x:v>2.716666666666667</x:v>
      </x:c>
      <x:c r="N752" s="48" t="n">
        <x:v>356.06666666666666</x:v>
      </x:c>
      <x:c r="O752" s="49" t="n">
        <x:v>2</x:v>
      </x:c>
      <x:c r="P752" s="1" t="str">
        <x:v>中期支持中は短期逆行を保持・標準</x:v>
      </x:c>
      <x:c r="Q752" s="49" t="n">
        <x:v>0</x:v>
      </x:c>
      <x:c r="R752" s="50" t="n">
        <x:v>0.8477777777777777</x:v>
      </x:c>
      <x:c r="S752" s="50" t="n">
        <x:v>0.8477777777777777</x:v>
      </x:c>
      <x:c r="T752" s="1" t="str">
        <x:v>デイ</x:v>
      </x:c>
      <x:c r="U752" s="49" t="n">
        <x:v>1</x:v>
      </x:c>
    </x:row>
    <x:row r="753" ht="22" customHeight="1">
      <x:c r="A753" s="1" t="str">
        <x:v>日経mini</x:v>
      </x:c>
      <x:c r="B753" s="1" t="str">
        <x:v>P03</x:v>
      </x:c>
      <x:c r="C753" s="1" t="str">
        <x:v>診断3場</x:v>
      </x:c>
      <x:c r="D753" s="47" t="n">
        <x:v>569688</x:v>
      </x:c>
      <x:c r="E753" s="47" t="n">
        <x:v>869242</x:v>
      </x:c>
      <x:c r="F753" s="47" t="n">
        <x:f>D753-E753</x:f>
        <x:v>-299554</x:v>
      </x:c>
      <x:c r="G753" s="49" t="n">
        <x:v>0</x:v>
      </x:c>
      <x:c r="H753" s="49" t="n">
        <x:v>2</x:v>
      </x:c>
      <x:c r="I753" s="47" t="n">
        <x:v>-299554</x:v>
      </x:c>
      <x:c r="J753" s="49" t="n">
        <x:v>101</x:v>
      </x:c>
      <x:c r="K753" s="47" t="n">
        <x:v>-225392</x:v>
      </x:c>
      <x:c r="L753" s="47" t="n">
        <x:v>149777</x:v>
      </x:c>
      <x:c r="M753" s="48" t="n">
        <x:v>3.275</x:v>
      </x:c>
      <x:c r="N753" s="48" t="n">
        <x:v>564.025</x:v>
      </x:c>
      <x:c r="O753" s="49" t="n">
        <x:v>2</x:v>
      </x:c>
      <x:c r="P753" s="1" t="str">
        <x:v>中期支持中は短期逆行を保持・標準</x:v>
      </x:c>
      <x:c r="Q753" s="49" t="n">
        <x:v>0</x:v>
      </x:c>
      <x:c r="R753" s="50" t="n">
        <x:v>0.7231089743589744</x:v>
      </x:c>
      <x:c r="S753" s="50" t="n">
        <x:v>0.7231089743589744</x:v>
      </x:c>
      <x:c r="T753" s="1" t="str">
        <x:v>ナイト</x:v>
      </x:c>
      <x:c r="U753" s="49" t="n">
        <x:v>2</x:v>
      </x:c>
    </x:row>
    <x:row r="754" ht="22" customHeight="1">
      <x:c r="A754" s="1" t="str">
        <x:v>日経mini</x:v>
      </x:c>
      <x:c r="B754" s="1" t="str">
        <x:v>P03</x:v>
      </x:c>
      <x:c r="C754" s="1" t="str">
        <x:v>診断3場</x:v>
      </x:c>
      <x:c r="D754" s="47" t="n">
        <x:v>545842</x:v>
      </x:c>
      <x:c r="E754" s="47" t="n">
        <x:v>955550</x:v>
      </x:c>
      <x:c r="F754" s="47" t="n">
        <x:f>D754-E754</x:f>
        <x:v>-409708</x:v>
      </x:c>
      <x:c r="G754" s="49" t="n">
        <x:v>0</x:v>
      </x:c>
      <x:c r="H754" s="49" t="n">
        <x:v>2</x:v>
      </x:c>
      <x:c r="I754" s="47" t="n">
        <x:v>-409708</x:v>
      </x:c>
      <x:c r="J754" s="49" t="n">
        <x:v>102</x:v>
      </x:c>
      <x:c r="K754" s="47" t="n">
        <x:v>-225392</x:v>
      </x:c>
      <x:c r="L754" s="47" t="n">
        <x:v>204854</x:v>
      </x:c>
      <x:c r="M754" s="48" t="n">
        <x:v>2.5</x:v>
      </x:c>
      <x:c r="N754" s="48" t="n">
        <x:v>453.41666666666663</x:v>
      </x:c>
      <x:c r="O754" s="49" t="n">
        <x:v>2</x:v>
      </x:c>
      <x:c r="P754" s="1" t="str">
        <x:v>中期支持中は短期逆行を保持・標準</x:v>
      </x:c>
      <x:c r="Q754" s="49" t="n">
        <x:v>0</x:v>
      </x:c>
      <x:c r="R754" s="50" t="n">
        <x:v>0.7769444444444444</x:v>
      </x:c>
      <x:c r="S754" s="50" t="n">
        <x:v>0.7556944444444443</x:v>
      </x:c>
      <x:c r="T754" s="1" t="str">
        <x:v>上昇</x:v>
      </x:c>
      <x:c r="U754" s="49" t="n">
        <x:v>2</x:v>
      </x:c>
    </x:row>
    <x:row r="755" ht="22" customHeight="1">
      <x:c r="A755" s="1" t="str">
        <x:v>日経mini</x:v>
      </x:c>
      <x:c r="B755" s="1" t="str">
        <x:v>P03</x:v>
      </x:c>
      <x:c r="C755" s="1" t="str">
        <x:v>診断3場</x:v>
      </x:c>
      <x:c r="D755" s="47" t="n">
        <x:v>313382</x:v>
      </x:c>
      <x:c r="E755" s="47" t="n">
        <x:v>387544</x:v>
      </x:c>
      <x:c r="F755" s="47" t="n">
        <x:f>D755-E755</x:f>
        <x:v>-74162</x:v>
      </x:c>
      <x:c r="G755" s="49" t="n">
        <x:v>0</x:v>
      </x:c>
      <x:c r="H755" s="49" t="n">
        <x:v>1</x:v>
      </x:c>
      <x:c r="I755" s="47" t="n">
        <x:v>-74162</x:v>
      </x:c>
      <x:c r="J755" s="49" t="n">
        <x:v>53</x:v>
      </x:c>
      <x:c r="K755" s="47" t="n">
        <x:v>-74162</x:v>
      </x:c>
      <x:c r="L755" s="47" t="n">
        <x:v>74162</x:v>
      </x:c>
      <x:c r="M755" s="48" t="n">
        <x:v>4.266666666666667</x:v>
      </x:c>
      <x:c r="N755" s="48" t="n">
        <x:v>577.2833333333333</x:v>
      </x:c>
      <x:c r="O755" s="49" t="n">
        <x:v>2</x:v>
      </x:c>
      <x:c r="P755" s="1" t="str">
        <x:v>中期支持中は短期逆行を保持・標準</x:v>
      </x:c>
      <x:c r="Q755" s="49" t="n">
        <x:v>0</x:v>
      </x:c>
      <x:c r="R755" s="50" t="n">
        <x:v>0.7401068376068376</x:v>
      </x:c>
      <x:c r="S755" s="50" t="n">
        <x:v>0.7401068376068376</x:v>
      </x:c>
      <x:c r="T755" s="1" t="str">
        <x:v>下落</x:v>
      </x:c>
      <x:c r="U755" s="49" t="n">
        <x:v>1</x:v>
      </x:c>
    </x:row>
    <x:row r="756" ht="22" customHeight="1">
      <x:c r="A756" s="1" t="str">
        <x:v>日経mini</x:v>
      </x:c>
      <x:c r="B756" s="1" t="str">
        <x:v>P04</x:v>
      </x:c>
      <x:c r="C756" s="1" t="str">
        <x:v>全50場</x:v>
      </x:c>
      <x:c r="D756" s="47" t="n">
        <x:v>9951002</x:v>
      </x:c>
      <x:c r="E756" s="47" t="n">
        <x:v>15842052</x:v>
      </x:c>
      <x:c r="F756" s="47" t="n">
        <x:f>D756-E756</x:f>
        <x:v>-5891050</x:v>
      </x:c>
      <x:c r="G756" s="49" t="n">
        <x:v>5</x:v>
      </x:c>
      <x:c r="H756" s="49" t="n">
        <x:v>45</x:v>
      </x:c>
      <x:c r="I756" s="47" t="n">
        <x:v>-6105804</x:v>
      </x:c>
      <x:c r="J756" s="49" t="n">
        <x:v>1825</x:v>
      </x:c>
      <x:c r="K756" s="47" t="n">
        <x:v>-332008</x:v>
      </x:c>
      <x:c r="L756" s="47" t="n">
        <x:v>138033.15555555557</x:v>
      </x:c>
      <x:c r="M756" s="48" t="n">
        <x:v>3.4256666666666673</x:v>
      </x:c>
      <x:c r="N756" s="48" t="n">
        <x:v>447.4073333333334</x:v>
      </x:c>
      <x:c r="O756" s="49" t="n">
        <x:v>2</x:v>
      </x:c>
      <x:c r="P756" s="1" t="str">
        <x:v>中期支持中は短期逆行を保持・広め</x:v>
      </x:c>
      <x:c r="Q756" s="49" t="n">
        <x:v>0</x:v>
      </x:c>
      <x:c r="R756" s="50" t="n">
        <x:v>0.7520639804639805</x:v>
      </x:c>
      <x:c r="S756" s="50" t="n">
        <x:v>0.7456788888888888</x:v>
      </x:c>
      <x:c r="T756" s="1" t="str">
        <x:v>全場</x:v>
      </x:c>
      <x:c r="U756" s="49" t="n">
        <x:v>50</x:v>
      </x:c>
    </x:row>
    <x:row r="757" ht="22" customHeight="1">
      <x:c r="A757" s="1" t="str">
        <x:v>日経mini</x:v>
      </x:c>
      <x:c r="B757" s="1" t="str">
        <x:v>P04</x:v>
      </x:c>
      <x:c r="C757" s="1" t="str">
        <x:v>全50場</x:v>
      </x:c>
      <x:c r="D757" s="47" t="n">
        <x:v>4755654</x:v>
      </x:c>
      <x:c r="E757" s="47" t="n">
        <x:v>8401192</x:v>
      </x:c>
      <x:c r="F757" s="47" t="n">
        <x:f>D757-E757</x:f>
        <x:v>-3645538</x:v>
      </x:c>
      <x:c r="G757" s="49" t="n">
        <x:v>1</x:v>
      </x:c>
      <x:c r="H757" s="49" t="n">
        <x:v>24</x:v>
      </x:c>
      <x:c r="I757" s="47" t="n">
        <x:v>-3691998</x:v>
      </x:c>
      <x:c r="J757" s="49" t="n">
        <x:v>997</x:v>
      </x:c>
      <x:c r="K757" s="47" t="n">
        <x:v>-332008</x:v>
      </x:c>
      <x:c r="L757" s="47" t="n">
        <x:v>153833.25</x:v>
      </x:c>
      <x:c r="M757" s="48" t="n">
        <x:v>3.4600000000000004</x:v>
      </x:c>
      <x:c r="N757" s="48" t="n">
        <x:v>324.8059999999999</x:v>
      </x:c>
      <x:c r="O757" s="49" t="n">
        <x:v>2</x:v>
      </x:c>
      <x:c r="P757" s="1" t="str">
        <x:v>中期支持中は短期逆行を保持・広め</x:v>
      </x:c>
      <x:c r="Q757" s="49" t="n">
        <x:v>0</x:v>
      </x:c>
      <x:c r="R757" s="50" t="n">
        <x:v>0.7733476190476191</x:v>
      </x:c>
      <x:c r="S757" s="50" t="n">
        <x:v>0.7733476190476191</x:v>
      </x:c>
      <x:c r="T757" s="1" t="str">
        <x:v>デイ</x:v>
      </x:c>
      <x:c r="U757" s="49" t="n">
        <x:v>25</x:v>
      </x:c>
    </x:row>
    <x:row r="758" ht="22" customHeight="1">
      <x:c r="A758" s="1" t="str">
        <x:v>日経mini</x:v>
      </x:c>
      <x:c r="B758" s="1" t="str">
        <x:v>P04</x:v>
      </x:c>
      <x:c r="C758" s="1" t="str">
        <x:v>全50場</x:v>
      </x:c>
      <x:c r="D758" s="47" t="n">
        <x:v>5195348</x:v>
      </x:c>
      <x:c r="E758" s="47" t="n">
        <x:v>7440860</x:v>
      </x:c>
      <x:c r="F758" s="47" t="n">
        <x:f>D758-E758</x:f>
        <x:v>-2245512</x:v>
      </x:c>
      <x:c r="G758" s="49" t="n">
        <x:v>4</x:v>
      </x:c>
      <x:c r="H758" s="49" t="n">
        <x:v>21</x:v>
      </x:c>
      <x:c r="I758" s="47" t="n">
        <x:v>-2460266</x:v>
      </x:c>
      <x:c r="J758" s="49" t="n">
        <x:v>828</x:v>
      </x:c>
      <x:c r="K758" s="47" t="n">
        <x:v>-322314</x:v>
      </x:c>
      <x:c r="L758" s="47" t="n">
        <x:v>119975.90476190476</x:v>
      </x:c>
      <x:c r="M758" s="48" t="n">
        <x:v>3.3913333333333333</x:v>
      </x:c>
      <x:c r="N758" s="48" t="n">
        <x:v>570.0086666666667</x:v>
      </x:c>
      <x:c r="O758" s="49" t="n">
        <x:v>2</x:v>
      </x:c>
      <x:c r="P758" s="1" t="str">
        <x:v>中期支持中は短期逆行を保持・広め</x:v>
      </x:c>
      <x:c r="Q758" s="49" t="n">
        <x:v>0</x:v>
      </x:c>
      <x:c r="R758" s="50" t="n">
        <x:v>0.7307803418803418</x:v>
      </x:c>
      <x:c r="S758" s="50" t="n">
        <x:v>0.7307803418803419</x:v>
      </x:c>
      <x:c r="T758" s="1" t="str">
        <x:v>ナイト</x:v>
      </x:c>
      <x:c r="U758" s="49" t="n">
        <x:v>25</x:v>
      </x:c>
    </x:row>
    <x:row r="759" ht="22" customHeight="1">
      <x:c r="A759" s="1" t="str">
        <x:v>日経mini</x:v>
      </x:c>
      <x:c r="B759" s="1" t="str">
        <x:v>P04</x:v>
      </x:c>
      <x:c r="C759" s="1" t="str">
        <x:v>全50場</x:v>
      </x:c>
      <x:c r="D759" s="47" t="n">
        <x:v>5217500</x:v>
      </x:c>
      <x:c r="E759" s="47" t="n">
        <x:v>7525328</x:v>
      </x:c>
      <x:c r="F759" s="47" t="n">
        <x:f>D759-E759</x:f>
        <x:v>-2307828</x:v>
      </x:c>
      <x:c r="G759" s="49" t="n">
        <x:v>3</x:v>
      </x:c>
      <x:c r="H759" s="49" t="n">
        <x:v>21</x:v>
      </x:c>
      <x:c r="I759" s="47" t="n">
        <x:v>-2522582</x:v>
      </x:c>
      <x:c r="J759" s="49" t="n">
        <x:v>882</x:v>
      </x:c>
      <x:c r="K759" s="47" t="n">
        <x:v>-266622</x:v>
      </x:c>
      <x:c r="L759" s="47" t="n">
        <x:v>120122.95238095238</x:v>
      </x:c>
      <x:c r="M759" s="48" t="n">
        <x:v>3.3486111111111114</x:v>
      </x:c>
      <x:c r="N759" s="48" t="n">
        <x:v>446.50972222222225</x:v>
      </x:c>
      <x:c r="O759" s="49" t="n">
        <x:v>2</x:v>
      </x:c>
      <x:c r="P759" s="1" t="str">
        <x:v>中期支持中は短期逆行を保持・広め</x:v>
      </x:c>
      <x:c r="Q759" s="49" t="n">
        <x:v>0</x:v>
      </x:c>
      <x:c r="R759" s="50" t="n">
        <x:v>0.7373720492470491</x:v>
      </x:c>
      <x:c r="S759" s="50" t="n">
        <x:v>0.7260320686540199</x:v>
      </x:c>
      <x:c r="T759" s="1" t="str">
        <x:v>上昇</x:v>
      </x:c>
      <x:c r="U759" s="49" t="n">
        <x:v>24</x:v>
      </x:c>
    </x:row>
    <x:row r="760" ht="22" customHeight="1">
      <x:c r="A760" s="1" t="str">
        <x:v>日経mini</x:v>
      </x:c>
      <x:c r="B760" s="1" t="str">
        <x:v>P04</x:v>
      </x:c>
      <x:c r="C760" s="1" t="str">
        <x:v>全50場</x:v>
      </x:c>
      <x:c r="D760" s="47" t="n">
        <x:v>4733502</x:v>
      </x:c>
      <x:c r="E760" s="47" t="n">
        <x:v>8316724</x:v>
      </x:c>
      <x:c r="F760" s="47" t="n">
        <x:f>D760-E760</x:f>
        <x:v>-3583222</x:v>
      </x:c>
      <x:c r="G760" s="49" t="n">
        <x:v>2</x:v>
      </x:c>
      <x:c r="H760" s="49" t="n">
        <x:v>24</x:v>
      </x:c>
      <x:c r="I760" s="47" t="n">
        <x:v>-3688910</x:v>
      </x:c>
      <x:c r="J760" s="49" t="n">
        <x:v>943</x:v>
      </x:c>
      <x:c r="K760" s="47" t="n">
        <x:v>-332008</x:v>
      </x:c>
      <x:c r="L760" s="47" t="n">
        <x:v>153704.58333333334</x:v>
      </x:c>
      <x:c r="M760" s="48" t="n">
        <x:v>3.496794871794872</x:v>
      </x:c>
      <x:c r="N760" s="48" t="n">
        <x:v>448.2358974358974</x:v>
      </x:c>
      <x:c r="O760" s="49" t="n">
        <x:v>2</x:v>
      </x:c>
      <x:c r="P760" s="1" t="str">
        <x:v>中期支持中は短期逆行を保持・広め</x:v>
      </x:c>
      <x:c r="Q760" s="49" t="n">
        <x:v>0</x:v>
      </x:c>
      <x:c r="R760" s="50" t="n">
        <x:v>0.7656257631257632</x:v>
      </x:c>
      <x:c r="S760" s="50" t="n">
        <x:v>0.7647069116360455</x:v>
      </x:c>
      <x:c r="T760" s="1" t="str">
        <x:v>下落</x:v>
      </x:c>
      <x:c r="U760" s="49" t="n">
        <x:v>26</x:v>
      </x:c>
    </x:row>
    <x:row r="761" ht="22" customHeight="1">
      <x:c r="A761" s="1" t="str">
        <x:v>日経mini</x:v>
      </x:c>
      <x:c r="B761" s="1" t="str">
        <x:v>P04</x:v>
      </x:c>
      <x:c r="C761" s="1" t="str">
        <x:v>対照47場</x:v>
      </x:c>
      <x:c r="D761" s="47" t="n">
        <x:v>9201162</x:v>
      </x:c>
      <x:c r="E761" s="47" t="n">
        <x:v>14646498</x:v>
      </x:c>
      <x:c r="F761" s="47" t="n">
        <x:f>D761-E761</x:f>
        <x:v>-5445336</x:v>
      </x:c>
      <x:c r="G761" s="49" t="n">
        <x:v>5</x:v>
      </x:c>
      <x:c r="H761" s="49" t="n">
        <x:v>42</x:v>
      </x:c>
      <x:c r="I761" s="47" t="n">
        <x:v>-5660090</x:v>
      </x:c>
      <x:c r="J761" s="49" t="n">
        <x:v>1684</x:v>
      </x:c>
      <x:c r="K761" s="47" t="n">
        <x:v>-332008</x:v>
      </x:c>
      <x:c r="L761" s="47" t="n">
        <x:v>137280.42857142858</x:v>
      </x:c>
      <x:c r="M761" s="48" t="n">
        <x:v>3.4471631205673763</x:v>
      </x:c>
      <x:c r="N761" s="48" t="n">
        <x:v>441.7067375886524</x:v>
      </x:c>
      <x:c r="O761" s="49" t="n">
        <x:v>2</x:v>
      </x:c>
      <x:c r="P761" s="1" t="str">
        <x:v>中期支持中は短期逆行を保持・広め</x:v>
      </x:c>
      <x:c r="Q761" s="49" t="n">
        <x:v>0</x:v>
      </x:c>
      <x:c r="R761" s="50" t="n">
        <x:v>0.7477367963006263</x:v>
      </x:c>
      <x:c r="S761" s="50" t="n">
        <x:v>0.7409070901736855</x:v>
      </x:c>
      <x:c r="T761" s="1" t="str">
        <x:v>全場</x:v>
      </x:c>
      <x:c r="U761" s="49" t="n">
        <x:v>47</x:v>
      </x:c>
    </x:row>
    <x:row r="762" ht="22" customHeight="1">
      <x:c r="A762" s="1" t="str">
        <x:v>日経mini</x:v>
      </x:c>
      <x:c r="B762" s="1" t="str">
        <x:v>P04</x:v>
      </x:c>
      <x:c r="C762" s="1" t="str">
        <x:v>対照47場</x:v>
      </x:c>
      <x:c r="D762" s="47" t="n">
        <x:v>4473964</x:v>
      </x:c>
      <x:c r="E762" s="47" t="n">
        <x:v>7941340</x:v>
      </x:c>
      <x:c r="F762" s="47" t="n">
        <x:f>D762-E762</x:f>
        <x:v>-3467376</x:v>
      </x:c>
      <x:c r="G762" s="49" t="n">
        <x:v>1</x:v>
      </x:c>
      <x:c r="H762" s="49" t="n">
        <x:v>23</x:v>
      </x:c>
      <x:c r="I762" s="47" t="n">
        <x:v>-3513836</x:v>
      </x:c>
      <x:c r="J762" s="49" t="n">
        <x:v>944</x:v>
      </x:c>
      <x:c r="K762" s="47" t="n">
        <x:v>-332008</x:v>
      </x:c>
      <x:c r="L762" s="47" t="n">
        <x:v>152775.47826086957</x:v>
      </x:c>
      <x:c r="M762" s="48" t="n">
        <x:v>3.4909722222222226</x:v>
      </x:c>
      <x:c r="N762" s="48" t="n">
        <x:v>323.35208333333327</x:v>
      </x:c>
      <x:c r="O762" s="49" t="n">
        <x:v>2</x:v>
      </x:c>
      <x:c r="P762" s="1" t="str">
        <x:v>中期支持中は短期逆行を保持・広め</x:v>
      </x:c>
      <x:c r="Q762" s="49" t="n">
        <x:v>0</x:v>
      </x:c>
      <x:c r="R762" s="50" t="n">
        <x:v>0.7698859126984127</x:v>
      </x:c>
      <x:c r="S762" s="50" t="n">
        <x:v>0.7698859126984127</x:v>
      </x:c>
      <x:c r="T762" s="1" t="str">
        <x:v>デイ</x:v>
      </x:c>
      <x:c r="U762" s="49" t="n">
        <x:v>24</x:v>
      </x:c>
    </x:row>
    <x:row r="763" ht="22" customHeight="1">
      <x:c r="A763" s="1" t="str">
        <x:v>日経mini</x:v>
      </x:c>
      <x:c r="B763" s="1" t="str">
        <x:v>P04</x:v>
      </x:c>
      <x:c r="C763" s="1" t="str">
        <x:v>対照47場</x:v>
      </x:c>
      <x:c r="D763" s="47" t="n">
        <x:v>4727198</x:v>
      </x:c>
      <x:c r="E763" s="47" t="n">
        <x:v>6705158</x:v>
      </x:c>
      <x:c r="F763" s="47" t="n">
        <x:f>D763-E763</x:f>
        <x:v>-1977960</x:v>
      </x:c>
      <x:c r="G763" s="49" t="n">
        <x:v>4</x:v>
      </x:c>
      <x:c r="H763" s="49" t="n">
        <x:v>19</x:v>
      </x:c>
      <x:c r="I763" s="47" t="n">
        <x:v>-2192714</x:v>
      </x:c>
      <x:c r="J763" s="49" t="n">
        <x:v>740</x:v>
      </x:c>
      <x:c r="K763" s="47" t="n">
        <x:v>-322314</x:v>
      </x:c>
      <x:c r="L763" s="47" t="n">
        <x:v>118523.26315789473</x:v>
      </x:c>
      <x:c r="M763" s="48" t="n">
        <x:v>3.4014492753623187</x:v>
      </x:c>
      <x:c r="N763" s="48" t="n">
        <x:v>565.2072463768116</x:v>
      </x:c>
      <x:c r="O763" s="49" t="n">
        <x:v>2</x:v>
      </x:c>
      <x:c r="P763" s="1" t="str">
        <x:v>中期支持中は短期逆行を保持・広め</x:v>
      </x:c>
      <x:c r="Q763" s="49" t="n">
        <x:v>0</x:v>
      </x:c>
      <x:c r="R763" s="50" t="n">
        <x:v>0.7246246748420662</x:v>
      </x:c>
      <x:c r="S763" s="50" t="n">
        <x:v>0.7246246748420662</x:v>
      </x:c>
      <x:c r="T763" s="1" t="str">
        <x:v>ナイト</x:v>
      </x:c>
      <x:c r="U763" s="49" t="n">
        <x:v>23</x:v>
      </x:c>
    </x:row>
    <x:row r="764" ht="22" customHeight="1">
      <x:c r="A764" s="1" t="str">
        <x:v>日経mini</x:v>
      </x:c>
      <x:c r="B764" s="1" t="str">
        <x:v>P04</x:v>
      </x:c>
      <x:c r="C764" s="1" t="str">
        <x:v>対照47場</x:v>
      </x:c>
      <x:c r="D764" s="47" t="n">
        <x:v>4691504</x:v>
      </x:c>
      <x:c r="E764" s="47" t="n">
        <x:v>6705010</x:v>
      </x:c>
      <x:c r="F764" s="47" t="n">
        <x:f>D764-E764</x:f>
        <x:v>-2013506</x:v>
      </x:c>
      <x:c r="G764" s="49" t="n">
        <x:v>3</x:v>
      </x:c>
      <x:c r="H764" s="49" t="n">
        <x:v>19</x:v>
      </x:c>
      <x:c r="I764" s="47" t="n">
        <x:v>-2228260</x:v>
      </x:c>
      <x:c r="J764" s="49" t="n">
        <x:v>789</x:v>
      </x:c>
      <x:c r="K764" s="47" t="n">
        <x:v>-266622</x:v>
      </x:c>
      <x:c r="L764" s="47" t="n">
        <x:v>117276.84210526316</x:v>
      </x:c>
      <x:c r="M764" s="48" t="n">
        <x:v>3.4257575757575767</x:v>
      </x:c>
      <x:c r="N764" s="48" t="n">
        <x:v>442.06060606060606</x:v>
      </x:c>
      <x:c r="O764" s="49" t="n">
        <x:v>2</x:v>
      </x:c>
      <x:c r="P764" s="1" t="str">
        <x:v>中期支持中は短期逆行を保持・広め</x:v>
      </x:c>
      <x:c r="Q764" s="49" t="n">
        <x:v>0</x:v>
      </x:c>
      <x:c r="R764" s="50" t="n">
        <x:v>0.7286940836940837</x:v>
      </x:c>
      <x:c r="S764" s="50" t="n">
        <x:v>0.7172074729596853</x:v>
      </x:c>
      <x:c r="T764" s="1" t="str">
        <x:v>上昇</x:v>
      </x:c>
      <x:c r="U764" s="49" t="n">
        <x:v>22</x:v>
      </x:c>
    </x:row>
    <x:row r="765" ht="22" customHeight="1">
      <x:c r="A765" s="1" t="str">
        <x:v>日経mini</x:v>
      </x:c>
      <x:c r="B765" s="1" t="str">
        <x:v>P04</x:v>
      </x:c>
      <x:c r="C765" s="1" t="str">
        <x:v>対照47場</x:v>
      </x:c>
      <x:c r="D765" s="47" t="n">
        <x:v>4509658</x:v>
      </x:c>
      <x:c r="E765" s="47" t="n">
        <x:v>7941488</x:v>
      </x:c>
      <x:c r="F765" s="47" t="n">
        <x:f>D765-E765</x:f>
        <x:v>-3431830</x:v>
      </x:c>
      <x:c r="G765" s="49" t="n">
        <x:v>2</x:v>
      </x:c>
      <x:c r="H765" s="49" t="n">
        <x:v>23</x:v>
      </x:c>
      <x:c r="I765" s="47" t="n">
        <x:v>-3537518</x:v>
      </x:c>
      <x:c r="J765" s="49" t="n">
        <x:v>895</x:v>
      </x:c>
      <x:c r="K765" s="47" t="n">
        <x:v>-332008</x:v>
      </x:c>
      <x:c r="L765" s="47" t="n">
        <x:v>153805.13043478262</x:v>
      </x:c>
      <x:c r="M765" s="48" t="n">
        <x:v>3.466</x:v>
      </x:c>
      <x:c r="N765" s="48" t="n">
        <x:v>441.3953333333333</x:v>
      </x:c>
      <x:c r="O765" s="49" t="n">
        <x:v>2</x:v>
      </x:c>
      <x:c r="P765" s="1" t="str">
        <x:v>中期支持中は短期逆行を保持・広め</x:v>
      </x:c>
      <x:c r="Q765" s="49" t="n">
        <x:v>0</x:v>
      </x:c>
      <x:c r="R765" s="50" t="n">
        <x:v>0.7644943833943835</x:v>
      </x:c>
      <x:c r="S765" s="50" t="n">
        <x:v>0.7631316274781005</x:v>
      </x:c>
      <x:c r="T765" s="1" t="str">
        <x:v>下落</x:v>
      </x:c>
      <x:c r="U765" s="49" t="n">
        <x:v>25</x:v>
      </x:c>
    </x:row>
    <x:row r="766" ht="22" customHeight="1">
      <x:c r="A766" s="1" t="str">
        <x:v>日経mini</x:v>
      </x:c>
      <x:c r="B766" s="1" t="str">
        <x:v>P04</x:v>
      </x:c>
      <x:c r="C766" s="1" t="str">
        <x:v>診断3場</x:v>
      </x:c>
      <x:c r="D766" s="47" t="n">
        <x:v>749840</x:v>
      </x:c>
      <x:c r="E766" s="47" t="n">
        <x:v>1195554</x:v>
      </x:c>
      <x:c r="F766" s="47" t="n">
        <x:f>D766-E766</x:f>
        <x:v>-445714</x:v>
      </x:c>
      <x:c r="G766" s="49" t="n">
        <x:v>0</x:v>
      </x:c>
      <x:c r="H766" s="49" t="n">
        <x:v>3</x:v>
      </x:c>
      <x:c r="I766" s="47" t="n">
        <x:v>-445714</x:v>
      </x:c>
      <x:c r="J766" s="49" t="n">
        <x:v>141</x:v>
      </x:c>
      <x:c r="K766" s="47" t="n">
        <x:v>-178162</x:v>
      </x:c>
      <x:c r="L766" s="47" t="n">
        <x:v>148571.33333333334</x:v>
      </x:c>
      <x:c r="M766" s="48" t="n">
        <x:v>3.0888888888888886</x:v>
      </x:c>
      <x:c r="N766" s="48" t="n">
        <x:v>536.7166666666667</x:v>
      </x:c>
      <x:c r="O766" s="49" t="n">
        <x:v>2</x:v>
      </x:c>
      <x:c r="P766" s="1" t="str">
        <x:v>中期支持中は短期逆行を保持・広め</x:v>
      </x:c>
      <x:c r="Q766" s="49" t="n">
        <x:v>0</x:v>
      </x:c>
      <x:c r="R766" s="50" t="n">
        <x:v>0.8198565323565323</x:v>
      </x:c>
      <x:c r="S766" s="50" t="n">
        <x:v>0.8132070707070708</x:v>
      </x:c>
      <x:c r="T766" s="1" t="str">
        <x:v>全場</x:v>
      </x:c>
      <x:c r="U766" s="49" t="n">
        <x:v>3</x:v>
      </x:c>
    </x:row>
    <x:row r="767" ht="22" customHeight="1">
      <x:c r="A767" s="1" t="str">
        <x:v>日経mini</x:v>
      </x:c>
      <x:c r="B767" s="1" t="str">
        <x:v>P04</x:v>
      </x:c>
      <x:c r="C767" s="1" t="str">
        <x:v>診断3場</x:v>
      </x:c>
      <x:c r="D767" s="47" t="n">
        <x:v>281690</x:v>
      </x:c>
      <x:c r="E767" s="47" t="n">
        <x:v>459852</x:v>
      </x:c>
      <x:c r="F767" s="47" t="n">
        <x:f>D767-E767</x:f>
        <x:v>-178162</x:v>
      </x:c>
      <x:c r="G767" s="49" t="n">
        <x:v>0</x:v>
      </x:c>
      <x:c r="H767" s="49" t="n">
        <x:v>1</x:v>
      </x:c>
      <x:c r="I767" s="47" t="n">
        <x:v>-178162</x:v>
      </x:c>
      <x:c r="J767" s="49" t="n">
        <x:v>53</x:v>
      </x:c>
      <x:c r="K767" s="47" t="n">
        <x:v>-178162</x:v>
      </x:c>
      <x:c r="L767" s="47" t="n">
        <x:v>178162</x:v>
      </x:c>
      <x:c r="M767" s="48" t="n">
        <x:v>2.716666666666667</x:v>
      </x:c>
      <x:c r="N767" s="48" t="n">
        <x:v>359.7</x:v>
      </x:c>
      <x:c r="O767" s="49" t="n">
        <x:v>2</x:v>
      </x:c>
      <x:c r="P767" s="1" t="str">
        <x:v>中期支持中は短期逆行を保持・広め</x:v>
      </x:c>
      <x:c r="Q767" s="49" t="n">
        <x:v>0</x:v>
      </x:c>
      <x:c r="R767" s="50" t="n">
        <x:v>0.8564285714285714</x:v>
      </x:c>
      <x:c r="S767" s="50" t="n">
        <x:v>0.8564285714285714</x:v>
      </x:c>
      <x:c r="T767" s="1" t="str">
        <x:v>デイ</x:v>
      </x:c>
      <x:c r="U767" s="49" t="n">
        <x:v>1</x:v>
      </x:c>
    </x:row>
    <x:row r="768" ht="22" customHeight="1">
      <x:c r="A768" s="1" t="str">
        <x:v>日経mini</x:v>
      </x:c>
      <x:c r="B768" s="1" t="str">
        <x:v>P04</x:v>
      </x:c>
      <x:c r="C768" s="1" t="str">
        <x:v>診断3場</x:v>
      </x:c>
      <x:c r="D768" s="47" t="n">
        <x:v>468150</x:v>
      </x:c>
      <x:c r="E768" s="47" t="n">
        <x:v>735702</x:v>
      </x:c>
      <x:c r="F768" s="47" t="n">
        <x:f>D768-E768</x:f>
        <x:v>-267552</x:v>
      </x:c>
      <x:c r="G768" s="49" t="n">
        <x:v>0</x:v>
      </x:c>
      <x:c r="H768" s="49" t="n">
        <x:v>2</x:v>
      </x:c>
      <x:c r="I768" s="47" t="n">
        <x:v>-267552</x:v>
      </x:c>
      <x:c r="J768" s="49" t="n">
        <x:v>88</x:v>
      </x:c>
      <x:c r="K768" s="47" t="n">
        <x:v>-151392</x:v>
      </x:c>
      <x:c r="L768" s="47" t="n">
        <x:v>133776</x:v>
      </x:c>
      <x:c r="M768" s="48" t="n">
        <x:v>3.275</x:v>
      </x:c>
      <x:c r="N768" s="48" t="n">
        <x:v>625.225</x:v>
      </x:c>
      <x:c r="O768" s="49" t="n">
        <x:v>2</x:v>
      </x:c>
      <x:c r="P768" s="1" t="str">
        <x:v>中期支持中は短期逆行を保持・広め</x:v>
      </x:c>
      <x:c r="Q768" s="49" t="n">
        <x:v>0</x:v>
      </x:c>
      <x:c r="R768" s="50" t="n">
        <x:v>0.8015705128205128</x:v>
      </x:c>
      <x:c r="S768" s="50" t="n">
        <x:v>0.8015705128205128</x:v>
      </x:c>
      <x:c r="T768" s="1" t="str">
        <x:v>ナイト</x:v>
      </x:c>
      <x:c r="U768" s="49" t="n">
        <x:v>2</x:v>
      </x:c>
    </x:row>
    <x:row r="769" ht="22" customHeight="1">
      <x:c r="A769" s="1" t="str">
        <x:v>日経mini</x:v>
      </x:c>
      <x:c r="B769" s="1" t="str">
        <x:v>P04</x:v>
      </x:c>
      <x:c r="C769" s="1" t="str">
        <x:v>診断3場</x:v>
      </x:c>
      <x:c r="D769" s="47" t="n">
        <x:v>525996</x:v>
      </x:c>
      <x:c r="E769" s="47" t="n">
        <x:v>820318</x:v>
      </x:c>
      <x:c r="F769" s="47" t="n">
        <x:f>D769-E769</x:f>
        <x:v>-294322</x:v>
      </x:c>
      <x:c r="G769" s="49" t="n">
        <x:v>0</x:v>
      </x:c>
      <x:c r="H769" s="49" t="n">
        <x:v>2</x:v>
      </x:c>
      <x:c r="I769" s="47" t="n">
        <x:v>-294322</x:v>
      </x:c>
      <x:c r="J769" s="49" t="n">
        <x:v>93</x:v>
      </x:c>
      <x:c r="K769" s="47" t="n">
        <x:v>-178162</x:v>
      </x:c>
      <x:c r="L769" s="47" t="n">
        <x:v>147161</x:v>
      </x:c>
      <x:c r="M769" s="48" t="n">
        <x:v>2.5</x:v>
      </x:c>
      <x:c r="N769" s="48" t="n">
        <x:v>495.45000000000005</x:v>
      </x:c>
      <x:c r="O769" s="49" t="n">
        <x:v>2</x:v>
      </x:c>
      <x:c r="P769" s="1" t="str">
        <x:v>中期支持中は短期逆行を保持・広め</x:v>
      </x:c>
      <x:c r="Q769" s="49" t="n">
        <x:v>0</x:v>
      </x:c>
      <x:c r="R769" s="50" t="n">
        <x:v>0.8328296703296703</x:v>
      </x:c>
      <x:c r="S769" s="50" t="n">
        <x:v>0.8257500000000001</x:v>
      </x:c>
      <x:c r="T769" s="1" t="str">
        <x:v>上昇</x:v>
      </x:c>
      <x:c r="U769" s="49" t="n">
        <x:v>2</x:v>
      </x:c>
    </x:row>
    <x:row r="770" ht="22" customHeight="1">
      <x:c r="A770" s="1" t="str">
        <x:v>日経mini</x:v>
      </x:c>
      <x:c r="B770" s="1" t="str">
        <x:v>P04</x:v>
      </x:c>
      <x:c r="C770" s="1" t="str">
        <x:v>診断3場</x:v>
      </x:c>
      <x:c r="D770" s="47" t="n">
        <x:v>223844</x:v>
      </x:c>
      <x:c r="E770" s="47" t="n">
        <x:v>375236</x:v>
      </x:c>
      <x:c r="F770" s="47" t="n">
        <x:f>D770-E770</x:f>
        <x:v>-151392</x:v>
      </x:c>
      <x:c r="G770" s="49" t="n">
        <x:v>0</x:v>
      </x:c>
      <x:c r="H770" s="49" t="n">
        <x:v>1</x:v>
      </x:c>
      <x:c r="I770" s="47" t="n">
        <x:v>-151392</x:v>
      </x:c>
      <x:c r="J770" s="49" t="n">
        <x:v>48</x:v>
      </x:c>
      <x:c r="K770" s="47" t="n">
        <x:v>-151392</x:v>
      </x:c>
      <x:c r="L770" s="47" t="n">
        <x:v>151392</x:v>
      </x:c>
      <x:c r="M770" s="48" t="n">
        <x:v>4.266666666666667</x:v>
      </x:c>
      <x:c r="N770" s="48" t="n">
        <x:v>619.25</x:v>
      </x:c>
      <x:c r="O770" s="49" t="n">
        <x:v>2</x:v>
      </x:c>
      <x:c r="P770" s="1" t="str">
        <x:v>中期支持中は短期逆行を保持・広め</x:v>
      </x:c>
      <x:c r="Q770" s="49" t="n">
        <x:v>0</x:v>
      </x:c>
      <x:c r="R770" s="50" t="n">
        <x:v>0.7939102564102564</x:v>
      </x:c>
      <x:c r="S770" s="50" t="n">
        <x:v>0.7939102564102564</x:v>
      </x:c>
      <x:c r="T770" s="1" t="str">
        <x:v>下落</x:v>
      </x:c>
      <x:c r="U770" s="49" t="n">
        <x:v>1</x:v>
      </x:c>
    </x:row>
    <x:row r="771" ht="22" customHeight="1">
      <x:c r="A771" s="1" t="str">
        <x:v>日経mini</x:v>
      </x:c>
      <x:c r="B771" s="1" t="str">
        <x:v>P05</x:v>
      </x:c>
      <x:c r="C771" s="1" t="str">
        <x:v>全50場</x:v>
      </x:c>
      <x:c r="D771" s="47" t="n">
        <x:v>13071874</x:v>
      </x:c>
      <x:c r="E771" s="47" t="n">
        <x:v>23477106</x:v>
      </x:c>
      <x:c r="F771" s="47" t="n">
        <x:f>D771-E771</x:f>
        <x:v>-10405232</x:v>
      </x:c>
      <x:c r="G771" s="49" t="n">
        <x:v>3</x:v>
      </x:c>
      <x:c r="H771" s="49" t="n">
        <x:v>47</x:v>
      </x:c>
      <x:c r="I771" s="47" t="n">
        <x:v>-10476436</x:v>
      </x:c>
      <x:c r="J771" s="49" t="n">
        <x:v>3008</x:v>
      </x:c>
      <x:c r="K771" s="47" t="n">
        <x:v>-625246</x:v>
      </x:c>
      <x:c r="L771" s="47" t="n">
        <x:v>222902.89361702127</x:v>
      </x:c>
      <x:c r="M771" s="48" t="n">
        <x:v>3.4256666666666673</x:v>
      </x:c>
      <x:c r="N771" s="48" t="n">
        <x:v>436.309</x:v>
      </x:c>
      <x:c r="O771" s="49" t="n">
        <x:v>2</x:v>
      </x:c>
      <x:c r="P771" s="1" t="str">
        <x:v>反対合議で返済後に反転・標準</x:v>
      </x:c>
      <x:c r="Q771" s="49" t="n">
        <x:v>0</x:v>
      </x:c>
      <x:c r="R771" s="50" t="n">
        <x:v>0.74602326007326</x:v>
      </x:c>
      <x:c r="S771" s="50" t="n">
        <x:v>0.7271816666666667</x:v>
      </x:c>
      <x:c r="T771" s="1" t="str">
        <x:v>全場</x:v>
      </x:c>
      <x:c r="U771" s="49" t="n">
        <x:v>50</x:v>
      </x:c>
    </x:row>
    <x:row r="772" ht="22" customHeight="1">
      <x:c r="A772" s="1" t="str">
        <x:v>日経mini</x:v>
      </x:c>
      <x:c r="B772" s="1" t="str">
        <x:v>P05</x:v>
      </x:c>
      <x:c r="C772" s="1" t="str">
        <x:v>全50場</x:v>
      </x:c>
      <x:c r="D772" s="47" t="n">
        <x:v>6425938</x:v>
      </x:c>
      <x:c r="E772" s="47" t="n">
        <x:v>12586498</x:v>
      </x:c>
      <x:c r="F772" s="47" t="n">
        <x:f>D772-E772</x:f>
        <x:v>-6160560</x:v>
      </x:c>
      <x:c r="G772" s="49" t="n">
        <x:v>2</x:v>
      </x:c>
      <x:c r="H772" s="49" t="n">
        <x:v>23</x:v>
      </x:c>
      <x:c r="I772" s="47" t="n">
        <x:v>-6188078</x:v>
      </x:c>
      <x:c r="J772" s="49" t="n">
        <x:v>1640</x:v>
      </x:c>
      <x:c r="K772" s="47" t="n">
        <x:v>-625246</x:v>
      </x:c>
      <x:c r="L772" s="47" t="n">
        <x:v>269046.8695652174</x:v>
      </x:c>
      <x:c r="M772" s="48" t="n">
        <x:v>3.4600000000000004</x:v>
      </x:c>
      <x:c r="N772" s="48" t="n">
        <x:v>339.708</x:v>
      </x:c>
      <x:c r="O772" s="49" t="n">
        <x:v>2</x:v>
      </x:c>
      <x:c r="P772" s="1" t="str">
        <x:v>反対合議で返済後に反転・標準</x:v>
      </x:c>
      <x:c r="Q772" s="49" t="n">
        <x:v>0</x:v>
      </x:c>
      <x:c r="R772" s="50" t="n">
        <x:v>0.8088285714285713</x:v>
      </x:c>
      <x:c r="S772" s="50" t="n">
        <x:v>0.8088285714285715</x:v>
      </x:c>
      <x:c r="T772" s="1" t="str">
        <x:v>デイ</x:v>
      </x:c>
      <x:c r="U772" s="49" t="n">
        <x:v>25</x:v>
      </x:c>
    </x:row>
    <x:row r="773" ht="22" customHeight="1">
      <x:c r="A773" s="1" t="str">
        <x:v>日経mini</x:v>
      </x:c>
      <x:c r="B773" s="1" t="str">
        <x:v>P05</x:v>
      </x:c>
      <x:c r="C773" s="1" t="str">
        <x:v>全50場</x:v>
      </x:c>
      <x:c r="D773" s="47" t="n">
        <x:v>6645936</x:v>
      </x:c>
      <x:c r="E773" s="47" t="n">
        <x:v>10890608</x:v>
      </x:c>
      <x:c r="F773" s="47" t="n">
        <x:f>D773-E773</x:f>
        <x:v>-4244672</x:v>
      </x:c>
      <x:c r="G773" s="49" t="n">
        <x:v>1</x:v>
      </x:c>
      <x:c r="H773" s="49" t="n">
        <x:v>24</x:v>
      </x:c>
      <x:c r="I773" s="47" t="n">
        <x:v>-4288358</x:v>
      </x:c>
      <x:c r="J773" s="49" t="n">
        <x:v>1368</x:v>
      </x:c>
      <x:c r="K773" s="47" t="n">
        <x:v>-428322</x:v>
      </x:c>
      <x:c r="L773" s="47" t="n">
        <x:v>178681.58333333334</x:v>
      </x:c>
      <x:c r="M773" s="48" t="n">
        <x:v>3.3913333333333333</x:v>
      </x:c>
      <x:c r="N773" s="48" t="n">
        <x:v>532.91</x:v>
      </x:c>
      <x:c r="O773" s="49" t="n">
        <x:v>2</x:v>
      </x:c>
      <x:c r="P773" s="1" t="str">
        <x:v>反対合議で返済後に反転・標準</x:v>
      </x:c>
      <x:c r="Q773" s="49" t="n">
        <x:v>0</x:v>
      </x:c>
      <x:c r="R773" s="50" t="n">
        <x:v>0.6832179487179488</x:v>
      </x:c>
      <x:c r="S773" s="50" t="n">
        <x:v>0.6832179487179487</x:v>
      </x:c>
      <x:c r="T773" s="1" t="str">
        <x:v>ナイト</x:v>
      </x:c>
      <x:c r="U773" s="49" t="n">
        <x:v>25</x:v>
      </x:c>
    </x:row>
    <x:row r="774" ht="22" customHeight="1">
      <x:c r="A774" s="1" t="str">
        <x:v>日経mini</x:v>
      </x:c>
      <x:c r="B774" s="1" t="str">
        <x:v>P05</x:v>
      </x:c>
      <x:c r="C774" s="1" t="str">
        <x:v>全50場</x:v>
      </x:c>
      <x:c r="D774" s="47" t="n">
        <x:v>6653626</x:v>
      </x:c>
      <x:c r="E774" s="47" t="n">
        <x:v>10977236</x:v>
      </x:c>
      <x:c r="F774" s="47" t="n">
        <x:f>D774-E774</x:f>
        <x:v>-4323610</x:v>
      </x:c>
      <x:c r="G774" s="49" t="n">
        <x:v>3</x:v>
      </x:c>
      <x:c r="H774" s="49" t="n">
        <x:v>21</x:v>
      </x:c>
      <x:c r="I774" s="47" t="n">
        <x:v>-4394814</x:v>
      </x:c>
      <x:c r="J774" s="49" t="n">
        <x:v>1465</x:v>
      </x:c>
      <x:c r="K774" s="47" t="n">
        <x:v>-426626</x:v>
      </x:c>
      <x:c r="L774" s="47" t="n">
        <x:v>209276.85714285713</x:v>
      </x:c>
      <x:c r="M774" s="48" t="n">
        <x:v>3.3486111111111114</x:v>
      </x:c>
      <x:c r="N774" s="48" t="n">
        <x:v>448.3</x:v>
      </x:c>
      <x:c r="O774" s="49" t="n">
        <x:v>2</x:v>
      </x:c>
      <x:c r="P774" s="1" t="str">
        <x:v>反対合議で返済後に反転・標準</x:v>
      </x:c>
      <x:c r="Q774" s="49" t="n">
        <x:v>0</x:v>
      </x:c>
      <x:c r="R774" s="50" t="n">
        <x:v>0.7485874542124543</x:v>
      </x:c>
      <x:c r="S774" s="50" t="n">
        <x:v>0.7289430894308944</x:v>
      </x:c>
      <x:c r="T774" s="1" t="str">
        <x:v>上昇</x:v>
      </x:c>
      <x:c r="U774" s="49" t="n">
        <x:v>24</x:v>
      </x:c>
    </x:row>
    <x:row r="775" ht="22" customHeight="1">
      <x:c r="A775" s="1" t="str">
        <x:v>日経mini</x:v>
      </x:c>
      <x:c r="B775" s="1" t="str">
        <x:v>P05</x:v>
      </x:c>
      <x:c r="C775" s="1" t="str">
        <x:v>全50場</x:v>
      </x:c>
      <x:c r="D775" s="47" t="n">
        <x:v>6418248</x:v>
      </x:c>
      <x:c r="E775" s="47" t="n">
        <x:v>12499870</x:v>
      </x:c>
      <x:c r="F775" s="47" t="n">
        <x:f>D775-E775</x:f>
        <x:v>-6081622</x:v>
      </x:c>
      <x:c r="G775" s="49" t="n">
        <x:v>0</x:v>
      </x:c>
      <x:c r="H775" s="49" t="n">
        <x:v>26</x:v>
      </x:c>
      <x:c r="I775" s="47" t="n">
        <x:v>-6081622</x:v>
      </x:c>
      <x:c r="J775" s="49" t="n">
        <x:v>1543</x:v>
      </x:c>
      <x:c r="K775" s="47" t="n">
        <x:v>-625246</x:v>
      </x:c>
      <x:c r="L775" s="47" t="n">
        <x:v>233908.53846153847</x:v>
      </x:c>
      <x:c r="M775" s="48" t="n">
        <x:v>3.496794871794872</x:v>
      </x:c>
      <x:c r="N775" s="48" t="n">
        <x:v>425.24038461538464</x:v>
      </x:c>
      <x:c r="O775" s="49" t="n">
        <x:v>2</x:v>
      </x:c>
      <x:c r="P775" s="1" t="str">
        <x:v>反対合議で返済後に反転・標準</x:v>
      </x:c>
      <x:c r="Q775" s="49" t="n">
        <x:v>0</x:v>
      </x:c>
      <x:c r="R775" s="50" t="n">
        <x:v>0.7436563116370808</x:v>
      </x:c>
      <x:c r="S775" s="50" t="n">
        <x:v>0.7254757217847769</x:v>
      </x:c>
      <x:c r="T775" s="1" t="str">
        <x:v>下落</x:v>
      </x:c>
      <x:c r="U775" s="49" t="n">
        <x:v>26</x:v>
      </x:c>
    </x:row>
    <x:row r="776" ht="22" customHeight="1">
      <x:c r="A776" s="1" t="str">
        <x:v>日経mini</x:v>
      </x:c>
      <x:c r="B776" s="1" t="str">
        <x:v>P05</x:v>
      </x:c>
      <x:c r="C776" s="1" t="str">
        <x:v>対照47場</x:v>
      </x:c>
      <x:c r="D776" s="47" t="n">
        <x:v>11710808</x:v>
      </x:c>
      <x:c r="E776" s="47" t="n">
        <x:v>21906930</x:v>
      </x:c>
      <x:c r="F776" s="47" t="n">
        <x:f>D776-E776</x:f>
        <x:v>-10196122</x:v>
      </x:c>
      <x:c r="G776" s="49" t="n">
        <x:v>2</x:v>
      </x:c>
      <x:c r="H776" s="49" t="n">
        <x:v>45</x:v>
      </x:c>
      <x:c r="I776" s="47" t="n">
        <x:v>-10245030</x:v>
      </x:c>
      <x:c r="J776" s="49" t="n">
        <x:v>2793</x:v>
      </x:c>
      <x:c r="K776" s="47" t="n">
        <x:v>-625246</x:v>
      </x:c>
      <x:c r="L776" s="47" t="n">
        <x:v>227667.33333333334</x:v>
      </x:c>
      <x:c r="M776" s="48" t="n">
        <x:v>3.4471631205673763</x:v>
      </x:c>
      <x:c r="N776" s="48" t="n">
        <x:v>429.8294326241134</x:v>
      </x:c>
      <x:c r="O776" s="49" t="n">
        <x:v>2</x:v>
      </x:c>
      <x:c r="P776" s="1" t="str">
        <x:v>反対合議で返済後に反転・標準</x:v>
      </x:c>
      <x:c r="Q776" s="49" t="n">
        <x:v>0</x:v>
      </x:c>
      <x:c r="R776" s="50" t="n">
        <x:v>0.7406355051567818</x:v>
      </x:c>
      <x:c r="S776" s="50" t="n">
        <x:v>0.7209844158934094</x:v>
      </x:c>
      <x:c r="T776" s="1" t="str">
        <x:v>全場</x:v>
      </x:c>
      <x:c r="U776" s="49" t="n">
        <x:v>47</x:v>
      </x:c>
    </x:row>
    <x:row r="777" ht="22" customHeight="1">
      <x:c r="A777" s="1" t="str">
        <x:v>日経mini</x:v>
      </x:c>
      <x:c r="B777" s="1" t="str">
        <x:v>P05</x:v>
      </x:c>
      <x:c r="C777" s="1" t="str">
        <x:v>対照47場</x:v>
      </x:c>
      <x:c r="D777" s="47" t="n">
        <x:v>5862096</x:v>
      </x:c>
      <x:c r="E777" s="47" t="n">
        <x:v>12044952</x:v>
      </x:c>
      <x:c r="F777" s="47" t="n">
        <x:f>D777-E777</x:f>
        <x:v>-6182856</x:v>
      </x:c>
      <x:c r="G777" s="49" t="n">
        <x:v>1</x:v>
      </x:c>
      <x:c r="H777" s="49" t="n">
        <x:v>23</x:v>
      </x:c>
      <x:c r="I777" s="47" t="n">
        <x:v>-6188078</x:v>
      </x:c>
      <x:c r="J777" s="49" t="n">
        <x:v>1564</x:v>
      </x:c>
      <x:c r="K777" s="47" t="n">
        <x:v>-625246</x:v>
      </x:c>
      <x:c r="L777" s="47" t="n">
        <x:v>269046.8695652174</x:v>
      </x:c>
      <x:c r="M777" s="48" t="n">
        <x:v>3.4909722222222226</x:v>
      </x:c>
      <x:c r="N777" s="48" t="n">
        <x:v>337.8333333333333</x:v>
      </x:c>
      <x:c r="O777" s="49" t="n">
        <x:v>2</x:v>
      </x:c>
      <x:c r="P777" s="1" t="str">
        <x:v>反対合議で返済後に反転・標準</x:v>
      </x:c>
      <x:c r="Q777" s="49" t="n">
        <x:v>0</x:v>
      </x:c>
      <x:c r="R777" s="50" t="n">
        <x:v>0.8043650793650793</x:v>
      </x:c>
      <x:c r="S777" s="50" t="n">
        <x:v>0.8043650793650794</x:v>
      </x:c>
      <x:c r="T777" s="1" t="str">
        <x:v>デイ</x:v>
      </x:c>
      <x:c r="U777" s="49" t="n">
        <x:v>24</x:v>
      </x:c>
    </x:row>
    <x:row r="778" ht="22" customHeight="1">
      <x:c r="A778" s="1" t="str">
        <x:v>日経mini</x:v>
      </x:c>
      <x:c r="B778" s="1" t="str">
        <x:v>P05</x:v>
      </x:c>
      <x:c r="C778" s="1" t="str">
        <x:v>対照47場</x:v>
      </x:c>
      <x:c r="D778" s="47" t="n">
        <x:v>5848712</x:v>
      </x:c>
      <x:c r="E778" s="47" t="n">
        <x:v>9861978</x:v>
      </x:c>
      <x:c r="F778" s="47" t="n">
        <x:f>D778-E778</x:f>
        <x:v>-4013266</x:v>
      </x:c>
      <x:c r="G778" s="49" t="n">
        <x:v>1</x:v>
      </x:c>
      <x:c r="H778" s="49" t="n">
        <x:v>22</x:v>
      </x:c>
      <x:c r="I778" s="47" t="n">
        <x:v>-4056952</x:v>
      </x:c>
      <x:c r="J778" s="49" t="n">
        <x:v>1229</x:v>
      </x:c>
      <x:c r="K778" s="47" t="n">
        <x:v>-428322</x:v>
      </x:c>
      <x:c r="L778" s="47" t="n">
        <x:v>184406.9090909091</x:v>
      </x:c>
      <x:c r="M778" s="48" t="n">
        <x:v>3.4014492753623187</x:v>
      </x:c>
      <x:c r="N778" s="48" t="n">
        <x:v>525.8253623188408</x:v>
      </x:c>
      <x:c r="O778" s="49" t="n">
        <x:v>2</x:v>
      </x:c>
      <x:c r="P778" s="1" t="str">
        <x:v>反対合議で返済後に反転・標準</x:v>
      </x:c>
      <x:c r="Q778" s="49" t="n">
        <x:v>0</x:v>
      </x:c>
      <x:c r="R778" s="50" t="n">
        <x:v>0.6741350798959495</x:v>
      </x:c>
      <x:c r="S778" s="50" t="n">
        <x:v>0.6741350798959495</x:v>
      </x:c>
      <x:c r="T778" s="1" t="str">
        <x:v>ナイト</x:v>
      </x:c>
      <x:c r="U778" s="49" t="n">
        <x:v>23</x:v>
      </x:c>
    </x:row>
    <x:row r="779" ht="22" customHeight="1">
      <x:c r="A779" s="1" t="str">
        <x:v>日経mini</x:v>
      </x:c>
      <x:c r="B779" s="1" t="str">
        <x:v>P05</x:v>
      </x:c>
      <x:c r="C779" s="1" t="str">
        <x:v>対照47場</x:v>
      </x:c>
      <x:c r="D779" s="47" t="n">
        <x:v>5780556</x:v>
      </x:c>
      <x:c r="E779" s="47" t="n">
        <x:v>9930298</x:v>
      </x:c>
      <x:c r="F779" s="47" t="n">
        <x:f>D779-E779</x:f>
        <x:v>-4149742</x:v>
      </x:c>
      <x:c r="G779" s="49" t="n">
        <x:v>2</x:v>
      </x:c>
      <x:c r="H779" s="49" t="n">
        <x:v>20</x:v>
      </x:c>
      <x:c r="I779" s="47" t="n">
        <x:v>-4198650</x:v>
      </x:c>
      <x:c r="J779" s="49" t="n">
        <x:v>1323</x:v>
      </x:c>
      <x:c r="K779" s="47" t="n">
        <x:v>-426626</x:v>
      </x:c>
      <x:c r="L779" s="47" t="n">
        <x:v>209932.5</x:v>
      </x:c>
      <x:c r="M779" s="48" t="n">
        <x:v>3.4257575757575767</x:v>
      </x:c>
      <x:c r="N779" s="48" t="n">
        <x:v>443.28484848484857</x:v>
      </x:c>
      <x:c r="O779" s="49" t="n">
        <x:v>2</x:v>
      </x:c>
      <x:c r="P779" s="1" t="str">
        <x:v>反対合議で返済後に反転・標準</x:v>
      </x:c>
      <x:c r="Q779" s="49" t="n">
        <x:v>0</x:v>
      </x:c>
      <x:c r="R779" s="50" t="n">
        <x:v>0.7387459762459763</x:v>
      </x:c>
      <x:c r="S779" s="50" t="n">
        <x:v>0.7191937069813176</x:v>
      </x:c>
      <x:c r="T779" s="1" t="str">
        <x:v>上昇</x:v>
      </x:c>
      <x:c r="U779" s="49" t="n">
        <x:v>22</x:v>
      </x:c>
    </x:row>
    <x:row r="780" ht="22" customHeight="1">
      <x:c r="A780" s="1" t="str">
        <x:v>日経mini</x:v>
      </x:c>
      <x:c r="B780" s="1" t="str">
        <x:v>P05</x:v>
      </x:c>
      <x:c r="C780" s="1" t="str">
        <x:v>対照47場</x:v>
      </x:c>
      <x:c r="D780" s="47" t="n">
        <x:v>5930252</x:v>
      </x:c>
      <x:c r="E780" s="47" t="n">
        <x:v>11976632</x:v>
      </x:c>
      <x:c r="F780" s="47" t="n">
        <x:f>D780-E780</x:f>
        <x:v>-6046380</x:v>
      </x:c>
      <x:c r="G780" s="49" t="n">
        <x:v>0</x:v>
      </x:c>
      <x:c r="H780" s="49" t="n">
        <x:v>25</x:v>
      </x:c>
      <x:c r="I780" s="47" t="n">
        <x:v>-6046380</x:v>
      </x:c>
      <x:c r="J780" s="49" t="n">
        <x:v>1470</x:v>
      </x:c>
      <x:c r="K780" s="47" t="n">
        <x:v>-625246</x:v>
      </x:c>
      <x:c r="L780" s="47" t="n">
        <x:v>241855.2</x:v>
      </x:c>
      <x:c r="M780" s="48" t="n">
        <x:v>3.466</x:v>
      </x:c>
      <x:c r="N780" s="48" t="n">
        <x:v>417.9886666666667</x:v>
      </x:c>
      <x:c r="O780" s="49" t="n">
        <x:v>2</x:v>
      </x:c>
      <x:c r="P780" s="1" t="str">
        <x:v>反対合議で返済後に反転・標準</x:v>
      </x:c>
      <x:c r="Q780" s="49" t="n">
        <x:v>0</x:v>
      </x:c>
      <x:c r="R780" s="50" t="n">
        <x:v>0.7422982905982906</x:v>
      </x:c>
      <x:c r="S780" s="50" t="n">
        <x:v>0.7226636698939604</x:v>
      </x:c>
      <x:c r="T780" s="1" t="str">
        <x:v>下落</x:v>
      </x:c>
      <x:c r="U780" s="49" t="n">
        <x:v>25</x:v>
      </x:c>
    </x:row>
    <x:row r="781" ht="22" customHeight="1">
      <x:c r="A781" s="1" t="str">
        <x:v>日経mini</x:v>
      </x:c>
      <x:c r="B781" s="1" t="str">
        <x:v>P05</x:v>
      </x:c>
      <x:c r="C781" s="1" t="str">
        <x:v>診断3場</x:v>
      </x:c>
      <x:c r="D781" s="47" t="n">
        <x:v>1361066</x:v>
      </x:c>
      <x:c r="E781" s="47" t="n">
        <x:v>1570176</x:v>
      </x:c>
      <x:c r="F781" s="47" t="n">
        <x:f>D781-E781</x:f>
        <x:v>-209110</x:v>
      </x:c>
      <x:c r="G781" s="49" t="n">
        <x:v>1</x:v>
      </x:c>
      <x:c r="H781" s="49" t="n">
        <x:v>2</x:v>
      </x:c>
      <x:c r="I781" s="47" t="n">
        <x:v>-231406</x:v>
      </x:c>
      <x:c r="J781" s="49" t="n">
        <x:v>215</x:v>
      </x:c>
      <x:c r="K781" s="47" t="n">
        <x:v>-196164</x:v>
      </x:c>
      <x:c r="L781" s="47" t="n">
        <x:v>115703</x:v>
      </x:c>
      <x:c r="M781" s="48" t="n">
        <x:v>3.0888888888888886</x:v>
      </x:c>
      <x:c r="N781" s="48" t="n">
        <x:v>537.8222222222222</x:v>
      </x:c>
      <x:c r="O781" s="49" t="n">
        <x:v>2</x:v>
      </x:c>
      <x:c r="P781" s="1" t="str">
        <x:v>反対合議で返済後に反転・標準</x:v>
      </x:c>
      <x:c r="Q781" s="49" t="n">
        <x:v>0</x:v>
      </x:c>
      <x:c r="R781" s="50" t="n">
        <x:v>0.8304314204314204</x:v>
      </x:c>
      <x:c r="S781" s="50" t="n">
        <x:v>0.8148821548821549</x:v>
      </x:c>
      <x:c r="T781" s="1" t="str">
        <x:v>全場</x:v>
      </x:c>
      <x:c r="U781" s="49" t="n">
        <x:v>3</x:v>
      </x:c>
    </x:row>
    <x:row r="782" ht="22" customHeight="1">
      <x:c r="A782" s="1" t="str">
        <x:v>日経mini</x:v>
      </x:c>
      <x:c r="B782" s="1" t="str">
        <x:v>P05</x:v>
      </x:c>
      <x:c r="C782" s="1" t="str">
        <x:v>診断3場</x:v>
      </x:c>
      <x:c r="D782" s="47" t="n">
        <x:v>563842</x:v>
      </x:c>
      <x:c r="E782" s="47" t="n">
        <x:v>541546</x:v>
      </x:c>
      <x:c r="F782" s="47" t="n">
        <x:f>D782-E782</x:f>
        <x:v>22296</x:v>
      </x:c>
      <x:c r="G782" s="49" t="n">
        <x:v>1</x:v>
      </x:c>
      <x:c r="H782" s="49" t="n">
        <x:v>0</x:v>
      </x:c>
      <x:c r="I782" s="47" t="n">
        <x:v>0</x:v>
      </x:c>
      <x:c r="J782" s="49" t="n">
        <x:v>76</x:v>
      </x:c>
      <x:c r="K782" s="47" t="n">
        <x:v>22296</x:v>
      </x:c>
      <x:c r="L782" s="47" t="n">
        <x:v>0</x:v>
      </x:c>
      <x:c r="M782" s="48" t="n">
        <x:v>2.716666666666667</x:v>
      </x:c>
      <x:c r="N782" s="48" t="n">
        <x:v>384.7</x:v>
      </x:c>
      <x:c r="O782" s="49" t="n">
        <x:v>2</x:v>
      </x:c>
      <x:c r="P782" s="1" t="str">
        <x:v>反対合議で返済後に反転・標準</x:v>
      </x:c>
      <x:c r="Q782" s="49" t="n">
        <x:v>0</x:v>
      </x:c>
      <x:c r="R782" s="50" t="n">
        <x:v>0.915952380952381</x:v>
      </x:c>
      <x:c r="S782" s="50" t="n">
        <x:v>0.915952380952381</x:v>
      </x:c>
      <x:c r="T782" s="1" t="str">
        <x:v>デイ</x:v>
      </x:c>
      <x:c r="U782" s="49" t="n">
        <x:v>1</x:v>
      </x:c>
    </x:row>
    <x:row r="783" ht="22" customHeight="1">
      <x:c r="A783" s="1" t="str">
        <x:v>日経mini</x:v>
      </x:c>
      <x:c r="B783" s="1" t="str">
        <x:v>P05</x:v>
      </x:c>
      <x:c r="C783" s="1" t="str">
        <x:v>診断3場</x:v>
      </x:c>
      <x:c r="D783" s="47" t="n">
        <x:v>797224</x:v>
      </x:c>
      <x:c r="E783" s="47" t="n">
        <x:v>1028630</x:v>
      </x:c>
      <x:c r="F783" s="47" t="n">
        <x:f>D783-E783</x:f>
        <x:v>-231406</x:v>
      </x:c>
      <x:c r="G783" s="49" t="n">
        <x:v>0</x:v>
      </x:c>
      <x:c r="H783" s="49" t="n">
        <x:v>2</x:v>
      </x:c>
      <x:c r="I783" s="47" t="n">
        <x:v>-231406</x:v>
      </x:c>
      <x:c r="J783" s="49" t="n">
        <x:v>139</x:v>
      </x:c>
      <x:c r="K783" s="47" t="n">
        <x:v>-196164</x:v>
      </x:c>
      <x:c r="L783" s="47" t="n">
        <x:v>115703</x:v>
      </x:c>
      <x:c r="M783" s="48" t="n">
        <x:v>3.275</x:v>
      </x:c>
      <x:c r="N783" s="48" t="n">
        <x:v>614.3833333333333</x:v>
      </x:c>
      <x:c r="O783" s="49" t="n">
        <x:v>2</x:v>
      </x:c>
      <x:c r="P783" s="1" t="str">
        <x:v>反対合議で返済後に反転・標準</x:v>
      </x:c>
      <x:c r="Q783" s="49" t="n">
        <x:v>0</x:v>
      </x:c>
      <x:c r="R783" s="50" t="n">
        <x:v>0.7876709401709401</x:v>
      </x:c>
      <x:c r="S783" s="50" t="n">
        <x:v>0.7876709401709402</x:v>
      </x:c>
      <x:c r="T783" s="1" t="str">
        <x:v>ナイト</x:v>
      </x:c>
      <x:c r="U783" s="49" t="n">
        <x:v>2</x:v>
      </x:c>
    </x:row>
    <x:row r="784" ht="22" customHeight="1">
      <x:c r="A784" s="1" t="str">
        <x:v>日経mini</x:v>
      </x:c>
      <x:c r="B784" s="1" t="str">
        <x:v>P05</x:v>
      </x:c>
      <x:c r="C784" s="1" t="str">
        <x:v>診断3場</x:v>
      </x:c>
      <x:c r="D784" s="47" t="n">
        <x:v>873070</x:v>
      </x:c>
      <x:c r="E784" s="47" t="n">
        <x:v>1046938</x:v>
      </x:c>
      <x:c r="F784" s="47" t="n">
        <x:f>D784-E784</x:f>
        <x:v>-173868</x:v>
      </x:c>
      <x:c r="G784" s="49" t="n">
        <x:v>1</x:v>
      </x:c>
      <x:c r="H784" s="49" t="n">
        <x:v>1</x:v>
      </x:c>
      <x:c r="I784" s="47" t="n">
        <x:v>-196164</x:v>
      </x:c>
      <x:c r="J784" s="49" t="n">
        <x:v>142</x:v>
      </x:c>
      <x:c r="K784" s="47" t="n">
        <x:v>-196164</x:v>
      </x:c>
      <x:c r="L784" s="47" t="n">
        <x:v>196164</x:v>
      </x:c>
      <x:c r="M784" s="48" t="n">
        <x:v>2.5</x:v>
      </x:c>
      <x:c r="N784" s="48" t="n">
        <x:v>503.4666666666667</x:v>
      </x:c>
      <x:c r="O784" s="49" t="n">
        <x:v>2</x:v>
      </x:c>
      <x:c r="P784" s="1" t="str">
        <x:v>反対合議で返済後に反転・標準</x:v>
      </x:c>
      <x:c r="Q784" s="49" t="n">
        <x:v>0</x:v>
      </x:c>
      <x:c r="R784" s="50" t="n">
        <x:v>0.8568437118437118</x:v>
      </x:c>
      <x:c r="S784" s="50" t="n">
        <x:v>0.8391111111111111</x:v>
      </x:c>
      <x:c r="T784" s="1" t="str">
        <x:v>上昇</x:v>
      </x:c>
      <x:c r="U784" s="49" t="n">
        <x:v>2</x:v>
      </x:c>
    </x:row>
    <x:row r="785" ht="22" customHeight="1">
      <x:c r="A785" s="1" t="str">
        <x:v>日経mini</x:v>
      </x:c>
      <x:c r="B785" s="1" t="str">
        <x:v>P05</x:v>
      </x:c>
      <x:c r="C785" s="1" t="str">
        <x:v>診断3場</x:v>
      </x:c>
      <x:c r="D785" s="47" t="n">
        <x:v>487996</x:v>
      </x:c>
      <x:c r="E785" s="47" t="n">
        <x:v>523238</x:v>
      </x:c>
      <x:c r="F785" s="47" t="n">
        <x:f>D785-E785</x:f>
        <x:v>-35242</x:v>
      </x:c>
      <x:c r="G785" s="49" t="n">
        <x:v>0</x:v>
      </x:c>
      <x:c r="H785" s="49" t="n">
        <x:v>1</x:v>
      </x:c>
      <x:c r="I785" s="47" t="n">
        <x:v>-35242</x:v>
      </x:c>
      <x:c r="J785" s="49" t="n">
        <x:v>73</x:v>
      </x:c>
      <x:c r="K785" s="47" t="n">
        <x:v>-35242</x:v>
      </x:c>
      <x:c r="L785" s="47" t="n">
        <x:v>35242</x:v>
      </x:c>
      <x:c r="M785" s="48" t="n">
        <x:v>4.266666666666667</x:v>
      </x:c>
      <x:c r="N785" s="48" t="n">
        <x:v>606.5333333333333</x:v>
      </x:c>
      <x:c r="O785" s="49" t="n">
        <x:v>2</x:v>
      </x:c>
      <x:c r="P785" s="1" t="str">
        <x:v>反対合議で返済後に反転・標準</x:v>
      </x:c>
      <x:c r="Q785" s="49" t="n">
        <x:v>0</x:v>
      </x:c>
      <x:c r="R785" s="50" t="n">
        <x:v>0.7776068376068376</x:v>
      </x:c>
      <x:c r="S785" s="50" t="n">
        <x:v>0.7776068376068376</x:v>
      </x:c>
      <x:c r="T785" s="1" t="str">
        <x:v>下落</x:v>
      </x:c>
      <x:c r="U785" s="49" t="n">
        <x:v>1</x:v>
      </x:c>
    </x:row>
    <x:row r="786" ht="22" customHeight="1">
      <x:c r="A786" s="1" t="str">
        <x:v>日経mini</x:v>
      </x:c>
      <x:c r="B786" s="1" t="str">
        <x:v>P06</x:v>
      </x:c>
      <x:c r="C786" s="1" t="str">
        <x:v>全50場</x:v>
      </x:c>
      <x:c r="D786" s="47" t="n">
        <x:v>13085880</x:v>
      </x:c>
      <x:c r="E786" s="47" t="n">
        <x:v>23065710</x:v>
      </x:c>
      <x:c r="F786" s="47" t="n">
        <x:f>D786-E786</x:f>
        <x:v>-9979830</x:v>
      </x:c>
      <x:c r="G786" s="49" t="n">
        <x:v>6</x:v>
      </x:c>
      <x:c r="H786" s="49" t="n">
        <x:v>44</x:v>
      </x:c>
      <x:c r="I786" s="47" t="n">
        <x:v>-10102266</x:v>
      </x:c>
      <x:c r="J786" s="49" t="n">
        <x:v>2895</x:v>
      </x:c>
      <x:c r="K786" s="47" t="n">
        <x:v>-611246</x:v>
      </x:c>
      <x:c r="L786" s="47" t="n">
        <x:v>230184.18181818182</x:v>
      </x:c>
      <x:c r="M786" s="48" t="n">
        <x:v>3.4256666666666673</x:v>
      </x:c>
      <x:c r="N786" s="48" t="n">
        <x:v>491.31233333333336</x:v>
      </x:c>
      <x:c r="O786" s="49" t="n">
        <x:v>2</x:v>
      </x:c>
      <x:c r="P786" s="1" t="str">
        <x:v>反対合議で返済後に反転・広め</x:v>
      </x:c>
      <x:c r="Q786" s="49" t="n">
        <x:v>0</x:v>
      </x:c>
      <x:c r="R786" s="50" t="n">
        <x:v>0.8275480463980465</x:v>
      </x:c>
      <x:c r="S786" s="50" t="n">
        <x:v>0.818853888888889</x:v>
      </x:c>
      <x:c r="T786" s="1" t="str">
        <x:v>全場</x:v>
      </x:c>
      <x:c r="U786" s="49" t="n">
        <x:v>50</x:v>
      </x:c>
    </x:row>
    <x:row r="787" ht="22" customHeight="1">
      <x:c r="A787" s="1" t="str">
        <x:v>日経mini</x:v>
      </x:c>
      <x:c r="B787" s="1" t="str">
        <x:v>P06</x:v>
      </x:c>
      <x:c r="C787" s="1" t="str">
        <x:v>全50場</x:v>
      </x:c>
      <x:c r="D787" s="47" t="n">
        <x:v>6375324</x:v>
      </x:c>
      <x:c r="E787" s="47" t="n">
        <x:v>12470342</x:v>
      </x:c>
      <x:c r="F787" s="47" t="n">
        <x:f>D787-E787</x:f>
        <x:v>-6095018</x:v>
      </x:c>
      <x:c r="G787" s="49" t="n">
        <x:v>1</x:v>
      </x:c>
      <x:c r="H787" s="49" t="n">
        <x:v>24</x:v>
      </x:c>
      <x:c r="I787" s="47" t="n">
        <x:v>-6101170</x:v>
      </x:c>
      <x:c r="J787" s="49" t="n">
        <x:v>1617</x:v>
      </x:c>
      <x:c r="K787" s="47" t="n">
        <x:v>-611246</x:v>
      </x:c>
      <x:c r="L787" s="47" t="n">
        <x:v>254215.41666666666</x:v>
      </x:c>
      <x:c r="M787" s="48" t="n">
        <x:v>3.4600000000000004</x:v>
      </x:c>
      <x:c r="N787" s="48" t="n">
        <x:v>359.74199999999996</x:v>
      </x:c>
      <x:c r="O787" s="49" t="n">
        <x:v>2</x:v>
      </x:c>
      <x:c r="P787" s="1" t="str">
        <x:v>反対合議で返済後に反転・広め</x:v>
      </x:c>
      <x:c r="Q787" s="49" t="n">
        <x:v>0</x:v>
      </x:c>
      <x:c r="R787" s="50" t="n">
        <x:v>0.8565285714285714</x:v>
      </x:c>
      <x:c r="S787" s="50" t="n">
        <x:v>0.8565285714285715</x:v>
      </x:c>
      <x:c r="T787" s="1" t="str">
        <x:v>デイ</x:v>
      </x:c>
      <x:c r="U787" s="49" t="n">
        <x:v>25</x:v>
      </x:c>
    </x:row>
    <x:row r="788" ht="22" customHeight="1">
      <x:c r="A788" s="1" t="str">
        <x:v>日経mini</x:v>
      </x:c>
      <x:c r="B788" s="1" t="str">
        <x:v>P06</x:v>
      </x:c>
      <x:c r="C788" s="1" t="str">
        <x:v>全50場</x:v>
      </x:c>
      <x:c r="D788" s="47" t="n">
        <x:v>6710556</x:v>
      </x:c>
      <x:c r="E788" s="47" t="n">
        <x:v>10595368</x:v>
      </x:c>
      <x:c r="F788" s="47" t="n">
        <x:f>D788-E788</x:f>
        <x:v>-3884812</x:v>
      </x:c>
      <x:c r="G788" s="49" t="n">
        <x:v>5</x:v>
      </x:c>
      <x:c r="H788" s="49" t="n">
        <x:v>20</x:v>
      </x:c>
      <x:c r="I788" s="47" t="n">
        <x:v>-4007248</x:v>
      </x:c>
      <x:c r="J788" s="49" t="n">
        <x:v>1278</x:v>
      </x:c>
      <x:c r="K788" s="47" t="n">
        <x:v>-432014</x:v>
      </x:c>
      <x:c r="L788" s="47" t="n">
        <x:v>201346.7</x:v>
      </x:c>
      <x:c r="M788" s="48" t="n">
        <x:v>3.3913333333333333</x:v>
      </x:c>
      <x:c r="N788" s="48" t="n">
        <x:v>622.8826666666666</x:v>
      </x:c>
      <x:c r="O788" s="49" t="n">
        <x:v>2</x:v>
      </x:c>
      <x:c r="P788" s="1" t="str">
        <x:v>反対合議で返済後に反転・広め</x:v>
      </x:c>
      <x:c r="Q788" s="49" t="n">
        <x:v>0</x:v>
      </x:c>
      <x:c r="R788" s="50" t="n">
        <x:v>0.7985675213675214</x:v>
      </x:c>
      <x:c r="S788" s="50" t="n">
        <x:v>0.7985675213675214</x:v>
      </x:c>
      <x:c r="T788" s="1" t="str">
        <x:v>ナイト</x:v>
      </x:c>
      <x:c r="U788" s="49" t="n">
        <x:v>25</x:v>
      </x:c>
    </x:row>
    <x:row r="789" ht="22" customHeight="1">
      <x:c r="A789" s="1" t="str">
        <x:v>日経mini</x:v>
      </x:c>
      <x:c r="B789" s="1" t="str">
        <x:v>P06</x:v>
      </x:c>
      <x:c r="C789" s="1" t="str">
        <x:v>全50場</x:v>
      </x:c>
      <x:c r="D789" s="47" t="n">
        <x:v>6679476</x:v>
      </x:c>
      <x:c r="E789" s="47" t="n">
        <x:v>10996154</x:v>
      </x:c>
      <x:c r="F789" s="47" t="n">
        <x:f>D789-E789</x:f>
        <x:v>-4316678</x:v>
      </x:c>
      <x:c r="G789" s="49" t="n">
        <x:v>3</x:v>
      </x:c>
      <x:c r="H789" s="49" t="n">
        <x:v>21</x:v>
      </x:c>
      <x:c r="I789" s="47" t="n">
        <x:v>-4430814</x:v>
      </x:c>
      <x:c r="J789" s="49" t="n">
        <x:v>1407</x:v>
      </x:c>
      <x:c r="K789" s="47" t="n">
        <x:v>-496626</x:v>
      </x:c>
      <x:c r="L789" s="47" t="n">
        <x:v>210991.14285714287</x:v>
      </x:c>
      <x:c r="M789" s="48" t="n">
        <x:v>3.3486111111111114</x:v>
      </x:c>
      <x:c r="N789" s="48" t="n">
        <x:v>503.82430555555555</x:v>
      </x:c>
      <x:c r="O789" s="49" t="n">
        <x:v>2</x:v>
      </x:c>
      <x:c r="P789" s="1" t="str">
        <x:v>反対合議で返済後に反転・広め</x:v>
      </x:c>
      <x:c r="Q789" s="49" t="n">
        <x:v>0</x:v>
      </x:c>
      <x:c r="R789" s="50" t="n">
        <x:v>0.8255035358160357</x:v>
      </x:c>
      <x:c r="S789" s="50" t="n">
        <x:v>0.8192265130984643</x:v>
      </x:c>
      <x:c r="T789" s="1" t="str">
        <x:v>上昇</x:v>
      </x:c>
      <x:c r="U789" s="49" t="n">
        <x:v>24</x:v>
      </x:c>
    </x:row>
    <x:row r="790" ht="22" customHeight="1">
      <x:c r="A790" s="1" t="str">
        <x:v>日経mini</x:v>
      </x:c>
      <x:c r="B790" s="1" t="str">
        <x:v>P06</x:v>
      </x:c>
      <x:c r="C790" s="1" t="str">
        <x:v>全50場</x:v>
      </x:c>
      <x:c r="D790" s="47" t="n">
        <x:v>6406404</x:v>
      </x:c>
      <x:c r="E790" s="47" t="n">
        <x:v>12069556</x:v>
      </x:c>
      <x:c r="F790" s="47" t="n">
        <x:f>D790-E790</x:f>
        <x:v>-5663152</x:v>
      </x:c>
      <x:c r="G790" s="49" t="n">
        <x:v>3</x:v>
      </x:c>
      <x:c r="H790" s="49" t="n">
        <x:v>23</x:v>
      </x:c>
      <x:c r="I790" s="47" t="n">
        <x:v>-5697290</x:v>
      </x:c>
      <x:c r="J790" s="49" t="n">
        <x:v>1488</x:v>
      </x:c>
      <x:c r="K790" s="47" t="n">
        <x:v>-611246</x:v>
      </x:c>
      <x:c r="L790" s="47" t="n">
        <x:v>247708.26086956522</x:v>
      </x:c>
      <x:c r="M790" s="48" t="n">
        <x:v>3.496794871794872</x:v>
      </x:c>
      <x:c r="N790" s="48" t="n">
        <x:v>479.76282051282055</x:v>
      </x:c>
      <x:c r="O790" s="49" t="n">
        <x:v>2</x:v>
      </x:c>
      <x:c r="P790" s="1" t="str">
        <x:v>反対合議で返済後に反転・広め</x:v>
      </x:c>
      <x:c r="Q790" s="49" t="n">
        <x:v>0</x:v>
      </x:c>
      <x:c r="R790" s="50" t="n">
        <x:v>0.829435286935287</x:v>
      </x:c>
      <x:c r="S790" s="50" t="n">
        <x:v>0.8184930008748906</x:v>
      </x:c>
      <x:c r="T790" s="1" t="str">
        <x:v>下落</x:v>
      </x:c>
      <x:c r="U790" s="49" t="n">
        <x:v>26</x:v>
      </x:c>
    </x:row>
    <x:row r="791" ht="22" customHeight="1">
      <x:c r="A791" s="1" t="str">
        <x:v>日経mini</x:v>
      </x:c>
      <x:c r="B791" s="1" t="str">
        <x:v>P06</x:v>
      </x:c>
      <x:c r="C791" s="1" t="str">
        <x:v>対照47場</x:v>
      </x:c>
      <x:c r="D791" s="47" t="n">
        <x:v>11774814</x:v>
      </x:c>
      <x:c r="E791" s="47" t="n">
        <x:v>21528150</x:v>
      </x:c>
      <x:c r="F791" s="47" t="n">
        <x:f>D791-E791</x:f>
        <x:v>-9753336</x:v>
      </x:c>
      <x:c r="G791" s="49" t="n">
        <x:v>6</x:v>
      </x:c>
      <x:c r="H791" s="49" t="n">
        <x:v>41</x:v>
      </x:c>
      <x:c r="I791" s="47" t="n">
        <x:v>-9875772</x:v>
      </x:c>
      <x:c r="J791" s="49" t="n">
        <x:v>2684</x:v>
      </x:c>
      <x:c r="K791" s="47" t="n">
        <x:v>-611246</x:v>
      </x:c>
      <x:c r="L791" s="47" t="n">
        <x:v>241502.68292682926</x:v>
      </x:c>
      <x:c r="M791" s="48" t="n">
        <x:v>3.4471631205673763</x:v>
      </x:c>
      <x:c r="N791" s="48" t="n">
        <x:v>485.0939716312057</x:v>
      </x:c>
      <x:c r="O791" s="49" t="n">
        <x:v>2</x:v>
      </x:c>
      <x:c r="P791" s="1" t="str">
        <x:v>反対合議で返済後に反転・広め</x:v>
      </x:c>
      <x:c r="Q791" s="49" t="n">
        <x:v>0</x:v>
      </x:c>
      <x:c r="R791" s="50" t="n">
        <x:v>0.8231736289715013</x:v>
      </x:c>
      <x:c r="S791" s="50" t="n">
        <x:v>0.813683678325006</x:v>
      </x:c>
      <x:c r="T791" s="1" t="str">
        <x:v>全場</x:v>
      </x:c>
      <x:c r="U791" s="49" t="n">
        <x:v>47</x:v>
      </x:c>
    </x:row>
    <x:row r="792" ht="22" customHeight="1">
      <x:c r="A792" s="1" t="str">
        <x:v>日経mini</x:v>
      </x:c>
      <x:c r="B792" s="1" t="str">
        <x:v>P06</x:v>
      </x:c>
      <x:c r="C792" s="1" t="str">
        <x:v>対照47場</x:v>
      </x:c>
      <x:c r="D792" s="47" t="n">
        <x:v>5817482</x:v>
      </x:c>
      <x:c r="E792" s="47" t="n">
        <x:v>11904642</x:v>
      </x:c>
      <x:c r="F792" s="47" t="n">
        <x:f>D792-E792</x:f>
        <x:v>-6087160</x:v>
      </x:c>
      <x:c r="G792" s="49" t="n">
        <x:v>1</x:v>
      </x:c>
      <x:c r="H792" s="49" t="n">
        <x:v>23</x:v>
      </x:c>
      <x:c r="I792" s="47" t="n">
        <x:v>-6093312</x:v>
      </x:c>
      <x:c r="J792" s="49" t="n">
        <x:v>1540</x:v>
      </x:c>
      <x:c r="K792" s="47" t="n">
        <x:v>-611246</x:v>
      </x:c>
      <x:c r="L792" s="47" t="n">
        <x:v>264926.60869565216</x:v>
      </x:c>
      <x:c r="M792" s="48" t="n">
        <x:v>3.4909722222222226</x:v>
      </x:c>
      <x:c r="N792" s="48" t="n">
        <x:v>358.65902777777774</x:v>
      </x:c>
      <x:c r="O792" s="49" t="n">
        <x:v>2</x:v>
      </x:c>
      <x:c r="P792" s="1" t="str">
        <x:v>反対合議で返済後に反転・広め</x:v>
      </x:c>
      <x:c r="Q792" s="49" t="n">
        <x:v>0</x:v>
      </x:c>
      <x:c r="R792" s="50" t="n">
        <x:v>0.8539500661375662</x:v>
      </x:c>
      <x:c r="S792" s="50" t="n">
        <x:v>0.8539500661375662</x:v>
      </x:c>
      <x:c r="T792" s="1" t="str">
        <x:v>デイ</x:v>
      </x:c>
      <x:c r="U792" s="49" t="n">
        <x:v>24</x:v>
      </x:c>
    </x:row>
    <x:row r="793" ht="22" customHeight="1">
      <x:c r="A793" s="1" t="str">
        <x:v>日経mini</x:v>
      </x:c>
      <x:c r="B793" s="1" t="str">
        <x:v>P06</x:v>
      </x:c>
      <x:c r="C793" s="1" t="str">
        <x:v>対照47場</x:v>
      </x:c>
      <x:c r="D793" s="47" t="n">
        <x:v>5957332</x:v>
      </x:c>
      <x:c r="E793" s="47" t="n">
        <x:v>9623508</x:v>
      </x:c>
      <x:c r="F793" s="47" t="n">
        <x:f>D793-E793</x:f>
        <x:v>-3666176</x:v>
      </x:c>
      <x:c r="G793" s="49" t="n">
        <x:v>5</x:v>
      </x:c>
      <x:c r="H793" s="49" t="n">
        <x:v>18</x:v>
      </x:c>
      <x:c r="I793" s="47" t="n">
        <x:v>-3788612</x:v>
      </x:c>
      <x:c r="J793" s="49" t="n">
        <x:v>1144</x:v>
      </x:c>
      <x:c r="K793" s="47" t="n">
        <x:v>-432014</x:v>
      </x:c>
      <x:c r="L793" s="47" t="n">
        <x:v>211572.11111111112</x:v>
      </x:c>
      <x:c r="M793" s="48" t="n">
        <x:v>3.4014492753623187</x:v>
      </x:c>
      <x:c r="N793" s="48" t="n">
        <x:v>617.0260869565218</x:v>
      </x:c>
      <x:c r="O793" s="49" t="n">
        <x:v>2</x:v>
      </x:c>
      <x:c r="P793" s="1" t="str">
        <x:v>反対合議で返済後に反転・広め</x:v>
      </x:c>
      <x:c r="Q793" s="49" t="n">
        <x:v>0</x:v>
      </x:c>
      <x:c r="R793" s="50" t="n">
        <x:v>0.7910590858416945</x:v>
      </x:c>
      <x:c r="S793" s="50" t="n">
        <x:v>0.7910590858416946</x:v>
      </x:c>
      <x:c r="T793" s="1" t="str">
        <x:v>ナイト</x:v>
      </x:c>
      <x:c r="U793" s="49" t="n">
        <x:v>23</x:v>
      </x:c>
    </x:row>
    <x:row r="794" ht="22" customHeight="1">
      <x:c r="A794" s="1" t="str">
        <x:v>日経mini</x:v>
      </x:c>
      <x:c r="B794" s="1" t="str">
        <x:v>P06</x:v>
      </x:c>
      <x:c r="C794" s="1" t="str">
        <x:v>対照47場</x:v>
      </x:c>
      <x:c r="D794" s="47" t="n">
        <x:v>5816560</x:v>
      </x:c>
      <x:c r="E794" s="47" t="n">
        <x:v>9955524</x:v>
      </x:c>
      <x:c r="F794" s="47" t="n">
        <x:f>D794-E794</x:f>
        <x:v>-4138964</x:v>
      </x:c>
      <x:c r="G794" s="49" t="n">
        <x:v>3</x:v>
      </x:c>
      <x:c r="H794" s="49" t="n">
        <x:v>19</x:v>
      </x:c>
      <x:c r="I794" s="47" t="n">
        <x:v>-4253100</x:v>
      </x:c>
      <x:c r="J794" s="49" t="n">
        <x:v>1266</x:v>
      </x:c>
      <x:c r="K794" s="47" t="n">
        <x:v>-496626</x:v>
      </x:c>
      <x:c r="L794" s="47" t="n">
        <x:v>223847.36842105264</x:v>
      </x:c>
      <x:c r="M794" s="48" t="n">
        <x:v>3.4257575757575767</x:v>
      </x:c>
      <x:c r="N794" s="48" t="n">
        <x:v>500.6833333333334</x:v>
      </x:c>
      <x:c r="O794" s="49" t="n">
        <x:v>2</x:v>
      </x:c>
      <x:c r="P794" s="1" t="str">
        <x:v>反対合議で返済後に反転・広め</x:v>
      </x:c>
      <x:c r="Q794" s="49" t="n">
        <x:v>0</x:v>
      </x:c>
      <x:c r="R794" s="50" t="n">
        <x:v>0.8185342435342435</x:v>
      </x:c>
      <x:c r="S794" s="50" t="n">
        <x:v>0.8123180924287119</x:v>
      </x:c>
      <x:c r="T794" s="1" t="str">
        <x:v>上昇</x:v>
      </x:c>
      <x:c r="U794" s="49" t="n">
        <x:v>22</x:v>
      </x:c>
    </x:row>
    <x:row r="795" ht="22" customHeight="1">
      <x:c r="A795" s="1" t="str">
        <x:v>日経mini</x:v>
      </x:c>
      <x:c r="B795" s="1" t="str">
        <x:v>P06</x:v>
      </x:c>
      <x:c r="C795" s="1" t="str">
        <x:v>対照47場</x:v>
      </x:c>
      <x:c r="D795" s="47" t="n">
        <x:v>5958254</x:v>
      </x:c>
      <x:c r="E795" s="47" t="n">
        <x:v>11572626</x:v>
      </x:c>
      <x:c r="F795" s="47" t="n">
        <x:f>D795-E795</x:f>
        <x:v>-5614372</x:v>
      </x:c>
      <x:c r="G795" s="49" t="n">
        <x:v>3</x:v>
      </x:c>
      <x:c r="H795" s="49" t="n">
        <x:v>22</x:v>
      </x:c>
      <x:c r="I795" s="47" t="n">
        <x:v>-5648510</x:v>
      </x:c>
      <x:c r="J795" s="49" t="n">
        <x:v>1418</x:v>
      </x:c>
      <x:c r="K795" s="47" t="n">
        <x:v>-611246</x:v>
      </x:c>
      <x:c r="L795" s="47" t="n">
        <x:v>256750.45454545456</x:v>
      </x:c>
      <x:c r="M795" s="48" t="n">
        <x:v>3.466</x:v>
      </x:c>
      <x:c r="N795" s="48" t="n">
        <x:v>471.37533333333334</x:v>
      </x:c>
      <x:c r="O795" s="49" t="n">
        <x:v>2</x:v>
      </x:c>
      <x:c r="P795" s="1" t="str">
        <x:v>反対合議で返済後に反転・広め</x:v>
      </x:c>
      <x:c r="Q795" s="49" t="n">
        <x:v>0</x:v>
      </x:c>
      <x:c r="R795" s="50" t="n">
        <x:v>0.8272562881562883</x:v>
      </x:c>
      <x:c r="S795" s="50" t="n">
        <x:v>0.8149642692485016</x:v>
      </x:c>
      <x:c r="T795" s="1" t="str">
        <x:v>下落</x:v>
      </x:c>
      <x:c r="U795" s="49" t="n">
        <x:v>25</x:v>
      </x:c>
    </x:row>
    <x:row r="796" ht="22" customHeight="1">
      <x:c r="A796" s="1" t="str">
        <x:v>日経mini</x:v>
      </x:c>
      <x:c r="B796" s="1" t="str">
        <x:v>P06</x:v>
      </x:c>
      <x:c r="C796" s="1" t="str">
        <x:v>診断3場</x:v>
      </x:c>
      <x:c r="D796" s="47" t="n">
        <x:v>1311066</x:v>
      </x:c>
      <x:c r="E796" s="47" t="n">
        <x:v>1537560</x:v>
      </x:c>
      <x:c r="F796" s="47" t="n">
        <x:f>D796-E796</x:f>
        <x:v>-226494</x:v>
      </x:c>
      <x:c r="G796" s="49" t="n">
        <x:v>0</x:v>
      </x:c>
      <x:c r="H796" s="49" t="n">
        <x:v>3</x:v>
      </x:c>
      <x:c r="I796" s="47" t="n">
        <x:v>-226494</x:v>
      </x:c>
      <x:c r="J796" s="49" t="n">
        <x:v>211</x:v>
      </x:c>
      <x:c r="K796" s="47" t="n">
        <x:v>-169856</x:v>
      </x:c>
      <x:c r="L796" s="47" t="n">
        <x:v>75498</x:v>
      </x:c>
      <x:c r="M796" s="48" t="n">
        <x:v>3.0888888888888886</x:v>
      </x:c>
      <x:c r="N796" s="48" t="n">
        <x:v>588.7333333333333</x:v>
      </x:c>
      <x:c r="O796" s="49" t="n">
        <x:v>2</x:v>
      </x:c>
      <x:c r="P796" s="1" t="str">
        <x:v>反対合議で返済後に反転・広め</x:v>
      </x:c>
      <x:c r="Q796" s="49" t="n">
        <x:v>0</x:v>
      </x:c>
      <x:c r="R796" s="50" t="n">
        <x:v>0.8960805860805862</x:v>
      </x:c>
      <x:c r="S796" s="50" t="n">
        <x:v>0.892020202020202</x:v>
      </x:c>
      <x:c r="T796" s="1" t="str">
        <x:v>全場</x:v>
      </x:c>
      <x:c r="U796" s="49" t="n">
        <x:v>3</x:v>
      </x:c>
    </x:row>
    <x:row r="797" ht="22" customHeight="1">
      <x:c r="A797" s="1" t="str">
        <x:v>日経mini</x:v>
      </x:c>
      <x:c r="B797" s="1" t="str">
        <x:v>P06</x:v>
      </x:c>
      <x:c r="C797" s="1" t="str">
        <x:v>診断3場</x:v>
      </x:c>
      <x:c r="D797" s="47" t="n">
        <x:v>557842</x:v>
      </x:c>
      <x:c r="E797" s="47" t="n">
        <x:v>565700</x:v>
      </x:c>
      <x:c r="F797" s="47" t="n">
        <x:f>D797-E797</x:f>
        <x:v>-7858</x:v>
      </x:c>
      <x:c r="G797" s="49" t="n">
        <x:v>0</x:v>
      </x:c>
      <x:c r="H797" s="49" t="n">
        <x:v>1</x:v>
      </x:c>
      <x:c r="I797" s="47" t="n">
        <x:v>-7858</x:v>
      </x:c>
      <x:c r="J797" s="49" t="n">
        <x:v>77</x:v>
      </x:c>
      <x:c r="K797" s="47" t="n">
        <x:v>-7858</x:v>
      </x:c>
      <x:c r="L797" s="47" t="n">
        <x:v>7858</x:v>
      </x:c>
      <x:c r="M797" s="48" t="n">
        <x:v>2.716666666666667</x:v>
      </x:c>
      <x:c r="N797" s="48" t="n">
        <x:v>385.73333333333335</x:v>
      </x:c>
      <x:c r="O797" s="49" t="n">
        <x:v>2</x:v>
      </x:c>
      <x:c r="P797" s="1" t="str">
        <x:v>反対合議で返済後に反転・広め</x:v>
      </x:c>
      <x:c r="Q797" s="49" t="n">
        <x:v>0</x:v>
      </x:c>
      <x:c r="R797" s="50" t="n">
        <x:v>0.9184126984126985</x:v>
      </x:c>
      <x:c r="S797" s="50" t="n">
        <x:v>0.9184126984126985</x:v>
      </x:c>
      <x:c r="T797" s="1" t="str">
        <x:v>デイ</x:v>
      </x:c>
      <x:c r="U797" s="49" t="n">
        <x:v>1</x:v>
      </x:c>
    </x:row>
    <x:row r="798" ht="22" customHeight="1">
      <x:c r="A798" s="1" t="str">
        <x:v>日経mini</x:v>
      </x:c>
      <x:c r="B798" s="1" t="str">
        <x:v>P06</x:v>
      </x:c>
      <x:c r="C798" s="1" t="str">
        <x:v>診断3場</x:v>
      </x:c>
      <x:c r="D798" s="47" t="n">
        <x:v>753224</x:v>
      </x:c>
      <x:c r="E798" s="47" t="n">
        <x:v>971860</x:v>
      </x:c>
      <x:c r="F798" s="47" t="n">
        <x:f>D798-E798</x:f>
        <x:v>-218636</x:v>
      </x:c>
      <x:c r="G798" s="49" t="n">
        <x:v>0</x:v>
      </x:c>
      <x:c r="H798" s="49" t="n">
        <x:v>2</x:v>
      </x:c>
      <x:c r="I798" s="47" t="n">
        <x:v>-218636</x:v>
      </x:c>
      <x:c r="J798" s="49" t="n">
        <x:v>134</x:v>
      </x:c>
      <x:c r="K798" s="47" t="n">
        <x:v>-169856</x:v>
      </x:c>
      <x:c r="L798" s="47" t="n">
        <x:v>109318</x:v>
      </x:c>
      <x:c r="M798" s="48" t="n">
        <x:v>3.275</x:v>
      </x:c>
      <x:c r="N798" s="48" t="n">
        <x:v>690.2333333333333</x:v>
      </x:c>
      <x:c r="O798" s="49" t="n">
        <x:v>2</x:v>
      </x:c>
      <x:c r="P798" s="1" t="str">
        <x:v>反対合議で返済後に反転・広め</x:v>
      </x:c>
      <x:c r="Q798" s="49" t="n">
        <x:v>0</x:v>
      </x:c>
      <x:c r="R798" s="50" t="n">
        <x:v>0.88491452991453</x:v>
      </x:c>
      <x:c r="S798" s="50" t="n">
        <x:v>0.8849145299145299</x:v>
      </x:c>
      <x:c r="T798" s="1" t="str">
        <x:v>ナイト</x:v>
      </x:c>
      <x:c r="U798" s="49" t="n">
        <x:v>2</x:v>
      </x:c>
    </x:row>
    <x:row r="799" ht="22" customHeight="1">
      <x:c r="A799" s="1" t="str">
        <x:v>日経mini</x:v>
      </x:c>
      <x:c r="B799" s="1" t="str">
        <x:v>P06</x:v>
      </x:c>
      <x:c r="C799" s="1" t="str">
        <x:v>診断3場</x:v>
      </x:c>
      <x:c r="D799" s="47" t="n">
        <x:v>862916</x:v>
      </x:c>
      <x:c r="E799" s="47" t="n">
        <x:v>1040630</x:v>
      </x:c>
      <x:c r="F799" s="47" t="n">
        <x:f>D799-E799</x:f>
        <x:v>-177714</x:v>
      </x:c>
      <x:c r="G799" s="49" t="n">
        <x:v>0</x:v>
      </x:c>
      <x:c r="H799" s="49" t="n">
        <x:v>2</x:v>
      </x:c>
      <x:c r="I799" s="47" t="n">
        <x:v>-177714</x:v>
      </x:c>
      <x:c r="J799" s="49" t="n">
        <x:v>141</x:v>
      </x:c>
      <x:c r="K799" s="47" t="n">
        <x:v>-169856</x:v>
      </x:c>
      <x:c r="L799" s="47" t="n">
        <x:v>88857</x:v>
      </x:c>
      <x:c r="M799" s="48" t="n">
        <x:v>2.5</x:v>
      </x:c>
      <x:c r="N799" s="48" t="n">
        <x:v>538.375</x:v>
      </x:c>
      <x:c r="O799" s="49" t="n">
        <x:v>2</x:v>
      </x:c>
      <x:c r="P799" s="1" t="str">
        <x:v>反対合議で返済後に反転・広め</x:v>
      </x:c>
      <x:c r="Q799" s="49" t="n">
        <x:v>0</x:v>
      </x:c>
      <x:c r="R799" s="50" t="n">
        <x:v>0.902165750915751</x:v>
      </x:c>
      <x:c r="S799" s="50" t="n">
        <x:v>0.8972916666666667</x:v>
      </x:c>
      <x:c r="T799" s="1" t="str">
        <x:v>上昇</x:v>
      </x:c>
      <x:c r="U799" s="49" t="n">
        <x:v>2</x:v>
      </x:c>
    </x:row>
    <x:row r="800" ht="22" customHeight="1">
      <x:c r="A800" s="1" t="str">
        <x:v>日経mini</x:v>
      </x:c>
      <x:c r="B800" s="1" t="str">
        <x:v>P06</x:v>
      </x:c>
      <x:c r="C800" s="1" t="str">
        <x:v>診断3場</x:v>
      </x:c>
      <x:c r="D800" s="47" t="n">
        <x:v>448150</x:v>
      </x:c>
      <x:c r="E800" s="47" t="n">
        <x:v>496930</x:v>
      </x:c>
      <x:c r="F800" s="47" t="n">
        <x:f>D800-E800</x:f>
        <x:v>-48780</x:v>
      </x:c>
      <x:c r="G800" s="49" t="n">
        <x:v>0</x:v>
      </x:c>
      <x:c r="H800" s="49" t="n">
        <x:v>1</x:v>
      </x:c>
      <x:c r="I800" s="47" t="n">
        <x:v>-48780</x:v>
      </x:c>
      <x:c r="J800" s="49" t="n">
        <x:v>70</x:v>
      </x:c>
      <x:c r="K800" s="47" t="n">
        <x:v>-48780</x:v>
      </x:c>
      <x:c r="L800" s="47" t="n">
        <x:v>48780</x:v>
      </x:c>
      <x:c r="M800" s="48" t="n">
        <x:v>4.266666666666667</x:v>
      </x:c>
      <x:c r="N800" s="48" t="n">
        <x:v>689.45</x:v>
      </x:c>
      <x:c r="O800" s="49" t="n">
        <x:v>2</x:v>
      </x:c>
      <x:c r="P800" s="1" t="str">
        <x:v>反対合議で返済後に反転・広め</x:v>
      </x:c>
      <x:c r="Q800" s="49" t="n">
        <x:v>0</x:v>
      </x:c>
      <x:c r="R800" s="50" t="n">
        <x:v>0.8839102564102564</x:v>
      </x:c>
      <x:c r="S800" s="50" t="n">
        <x:v>0.8839102564102564</x:v>
      </x:c>
      <x:c r="T800" s="1" t="str">
        <x:v>下落</x:v>
      </x:c>
      <x:c r="U800" s="49" t="n">
        <x:v>1</x:v>
      </x:c>
    </x:row>
    <x:row r="801" ht="22" customHeight="1">
      <x:c r="A801" s="1" t="str">
        <x:v>日経mini</x:v>
      </x:c>
      <x:c r="B801" s="1" t="str">
        <x:v>P07</x:v>
      </x:c>
      <x:c r="C801" s="1" t="str">
        <x:v>全50場</x:v>
      </x:c>
      <x:c r="D801" s="47" t="n">
        <x:v>12810044</x:v>
      </x:c>
      <x:c r="E801" s="47" t="n">
        <x:v>20893196</x:v>
      </x:c>
      <x:c r="F801" s="47" t="n">
        <x:f>D801-E801</x:f>
        <x:v>-8083152</x:v>
      </x:c>
      <x:c r="G801" s="49" t="n">
        <x:v>4</x:v>
      </x:c>
      <x:c r="H801" s="49" t="n">
        <x:v>46</x:v>
      </x:c>
      <x:c r="I801" s="47" t="n">
        <x:v>-8311436</x:v>
      </x:c>
      <x:c r="J801" s="49" t="n">
        <x:v>2488</x:v>
      </x:c>
      <x:c r="K801" s="47" t="n">
        <x:v>-611090</x:v>
      </x:c>
      <x:c r="L801" s="47" t="n">
        <x:v>181489.39130434784</x:v>
      </x:c>
      <x:c r="M801" s="48" t="n">
        <x:v>3.9373333333333336</x:v>
      </x:c>
      <x:c r="N801" s="48" t="n">
        <x:v>445.0746666666666</x:v>
      </x:c>
      <x:c r="O801" s="49" t="n">
        <x:v>2</x:v>
      </x:c>
      <x:c r="P801" s="1" t="str">
        <x:v>価格と原板の合議・標準</x:v>
      </x:c>
      <x:c r="Q801" s="49" t="n">
        <x:v>0</x:v>
      </x:c>
      <x:c r="R801" s="50" t="n">
        <x:v>0.7663166056166059</x:v>
      </x:c>
      <x:c r="S801" s="50" t="n">
        <x:v>0.7417911111111111</x:v>
      </x:c>
      <x:c r="T801" s="1" t="str">
        <x:v>全場</x:v>
      </x:c>
      <x:c r="U801" s="49" t="n">
        <x:v>50</x:v>
      </x:c>
    </x:row>
    <x:row r="802" ht="22" customHeight="1">
      <x:c r="A802" s="1" t="str">
        <x:v>日経mini</x:v>
      </x:c>
      <x:c r="B802" s="1" t="str">
        <x:v>P07</x:v>
      </x:c>
      <x:c r="C802" s="1" t="str">
        <x:v>全50場</x:v>
      </x:c>
      <x:c r="D802" s="47" t="n">
        <x:v>6258868</x:v>
      </x:c>
      <x:c r="E802" s="47" t="n">
        <x:v>10955384</x:v>
      </x:c>
      <x:c r="F802" s="47" t="n">
        <x:f>D802-E802</x:f>
        <x:v>-4696516</x:v>
      </x:c>
      <x:c r="G802" s="49" t="n">
        <x:v>2</x:v>
      </x:c>
      <x:c r="H802" s="49" t="n">
        <x:v>23</x:v>
      </x:c>
      <x:c r="I802" s="47" t="n">
        <x:v>-4776044</x:v>
      </x:c>
      <x:c r="J802" s="49" t="n">
        <x:v>1354</x:v>
      </x:c>
      <x:c r="K802" s="47" t="n">
        <x:v>-611090</x:v>
      </x:c>
      <x:c r="L802" s="47" t="n">
        <x:v>207654.08695652173</x:v>
      </x:c>
      <x:c r="M802" s="48" t="n">
        <x:v>4.296666666666667</x:v>
      </x:c>
      <x:c r="N802" s="48" t="n">
        <x:v>356.1886666666667</x:v>
      </x:c>
      <x:c r="O802" s="49" t="n">
        <x:v>2</x:v>
      </x:c>
      <x:c r="P802" s="1" t="str">
        <x:v>価格と原板の合議・標準</x:v>
      </x:c>
      <x:c r="Q802" s="49" t="n">
        <x:v>0</x:v>
      </x:c>
      <x:c r="R802" s="50" t="n">
        <x:v>0.8480682539682539</x:v>
      </x:c>
      <x:c r="S802" s="50" t="n">
        <x:v>0.848068253968254</x:v>
      </x:c>
      <x:c r="T802" s="1" t="str">
        <x:v>デイ</x:v>
      </x:c>
      <x:c r="U802" s="49" t="n">
        <x:v>25</x:v>
      </x:c>
    </x:row>
    <x:row r="803" ht="22" customHeight="1">
      <x:c r="A803" s="1" t="str">
        <x:v>日経mini</x:v>
      </x:c>
      <x:c r="B803" s="1" t="str">
        <x:v>P07</x:v>
      </x:c>
      <x:c r="C803" s="1" t="str">
        <x:v>全50場</x:v>
      </x:c>
      <x:c r="D803" s="47" t="n">
        <x:v>6551176</x:v>
      </x:c>
      <x:c r="E803" s="47" t="n">
        <x:v>9937812</x:v>
      </x:c>
      <x:c r="F803" s="47" t="n">
        <x:f>D803-E803</x:f>
        <x:v>-3386636</x:v>
      </x:c>
      <x:c r="G803" s="49" t="n">
        <x:v>2</x:v>
      </x:c>
      <x:c r="H803" s="49" t="n">
        <x:v>23</x:v>
      </x:c>
      <x:c r="I803" s="47" t="n">
        <x:v>-3572468</x:v>
      </x:c>
      <x:c r="J803" s="49" t="n">
        <x:v>1134</x:v>
      </x:c>
      <x:c r="K803" s="47" t="n">
        <x:v>-471090</x:v>
      </x:c>
      <x:c r="L803" s="47" t="n">
        <x:v>155324.69565217392</x:v>
      </x:c>
      <x:c r="M803" s="48" t="n">
        <x:v>3.5779999999999994</x:v>
      </x:c>
      <x:c r="N803" s="48" t="n">
        <x:v>533.9606666666667</x:v>
      </x:c>
      <x:c r="O803" s="49" t="n">
        <x:v>2</x:v>
      </x:c>
      <x:c r="P803" s="1" t="str">
        <x:v>価格と原板の合議・標準</x:v>
      </x:c>
      <x:c r="Q803" s="49" t="n">
        <x:v>0</x:v>
      </x:c>
      <x:c r="R803" s="50" t="n">
        <x:v>0.6845649572649574</x:v>
      </x:c>
      <x:c r="S803" s="50" t="n">
        <x:v>0.6845649572649573</x:v>
      </x:c>
      <x:c r="T803" s="1" t="str">
        <x:v>ナイト</x:v>
      </x:c>
      <x:c r="U803" s="49" t="n">
        <x:v>25</x:v>
      </x:c>
    </x:row>
    <x:row r="804" ht="22" customHeight="1">
      <x:c r="A804" s="1" t="str">
        <x:v>日経mini</x:v>
      </x:c>
      <x:c r="B804" s="1" t="str">
        <x:v>P07</x:v>
      </x:c>
      <x:c r="C804" s="1" t="str">
        <x:v>全50場</x:v>
      </x:c>
      <x:c r="D804" s="47" t="n">
        <x:v>6472712</x:v>
      </x:c>
      <x:c r="E804" s="47" t="n">
        <x:v>9589050</x:v>
      </x:c>
      <x:c r="F804" s="47" t="n">
        <x:f>D804-E804</x:f>
        <x:v>-3116338</x:v>
      </x:c>
      <x:c r="G804" s="49" t="n">
        <x:v>3</x:v>
      </x:c>
      <x:c r="H804" s="49" t="n">
        <x:v>21</x:v>
      </x:c>
      <x:c r="I804" s="47" t="n">
        <x:v>-3344622</x:v>
      </x:c>
      <x:c r="J804" s="49" t="n">
        <x:v>1197</x:v>
      </x:c>
      <x:c r="K804" s="47" t="n">
        <x:v>-333086</x:v>
      </x:c>
      <x:c r="L804" s="47" t="n">
        <x:v>159267.7142857143</x:v>
      </x:c>
      <x:c r="M804" s="48" t="n">
        <x:v>4.100694444444444</x:v>
      </x:c>
      <x:c r="N804" s="48" t="n">
        <x:v>460.78680555555565</x:v>
      </x:c>
      <x:c r="O804" s="49" t="n">
        <x:v>2</x:v>
      </x:c>
      <x:c r="P804" s="1" t="str">
        <x:v>価格と原板の合議・標準</x:v>
      </x:c>
      <x:c r="Q804" s="49" t="n">
        <x:v>0</x:v>
      </x:c>
      <x:c r="R804" s="50" t="n">
        <x:v>0.7766734076109078</x:v>
      </x:c>
      <x:c r="S804" s="50" t="n">
        <x:v>0.7492468383017163</x:v>
      </x:c>
      <x:c r="T804" s="1" t="str">
        <x:v>上昇</x:v>
      </x:c>
      <x:c r="U804" s="49" t="n">
        <x:v>24</x:v>
      </x:c>
    </x:row>
    <x:row r="805" ht="22" customHeight="1">
      <x:c r="A805" s="1" t="str">
        <x:v>日経mini</x:v>
      </x:c>
      <x:c r="B805" s="1" t="str">
        <x:v>P07</x:v>
      </x:c>
      <x:c r="C805" s="1" t="str">
        <x:v>全50場</x:v>
      </x:c>
      <x:c r="D805" s="47" t="n">
        <x:v>6337332</x:v>
      </x:c>
      <x:c r="E805" s="47" t="n">
        <x:v>11304146</x:v>
      </x:c>
      <x:c r="F805" s="47" t="n">
        <x:f>D805-E805</x:f>
        <x:v>-4966814</x:v>
      </x:c>
      <x:c r="G805" s="49" t="n">
        <x:v>1</x:v>
      </x:c>
      <x:c r="H805" s="49" t="n">
        <x:v>25</x:v>
      </x:c>
      <x:c r="I805" s="47" t="n">
        <x:v>-5003890</x:v>
      </x:c>
      <x:c r="J805" s="49" t="n">
        <x:v>1291</x:v>
      </x:c>
      <x:c r="K805" s="47" t="n">
        <x:v>-611090</x:v>
      </x:c>
      <x:c r="L805" s="47" t="n">
        <x:v>200155.6</x:v>
      </x:c>
      <x:c r="M805" s="48" t="n">
        <x:v>3.786538461538462</x:v>
      </x:c>
      <x:c r="N805" s="48" t="n">
        <x:v>430.5711538461538</x:v>
      </x:c>
      <x:c r="O805" s="49" t="n">
        <x:v>2</x:v>
      </x:c>
      <x:c r="P805" s="1" t="str">
        <x:v>価格と原板の合議・標準</x:v>
      </x:c>
      <x:c r="Q805" s="49" t="n">
        <x:v>0</x:v>
      </x:c>
      <x:c r="R805" s="50" t="n">
        <x:v>0.7567564806987884</x:v>
      </x:c>
      <x:c r="S805" s="50" t="n">
        <x:v>0.7345702099737533</x:v>
      </x:c>
      <x:c r="T805" s="1" t="str">
        <x:v>下落</x:v>
      </x:c>
      <x:c r="U805" s="49" t="n">
        <x:v>26</x:v>
      </x:c>
    </x:row>
    <x:row r="806" ht="22" customHeight="1">
      <x:c r="A806" s="1" t="str">
        <x:v>日経mini</x:v>
      </x:c>
      <x:c r="B806" s="1" t="str">
        <x:v>P07</x:v>
      </x:c>
      <x:c r="C806" s="1" t="str">
        <x:v>対照47場</x:v>
      </x:c>
      <x:c r="D806" s="47" t="n">
        <x:v>11629284</x:v>
      </x:c>
      <x:c r="E806" s="47" t="n">
        <x:v>19511178</x:v>
      </x:c>
      <x:c r="F806" s="47" t="n">
        <x:f>D806-E806</x:f>
        <x:v>-7881894</x:v>
      </x:c>
      <x:c r="G806" s="49" t="n">
        <x:v>3</x:v>
      </x:c>
      <x:c r="H806" s="49" t="n">
        <x:v>44</x:v>
      </x:c>
      <x:c r="I806" s="47" t="n">
        <x:v>-8104802</x:v>
      </x:c>
      <x:c r="J806" s="49" t="n">
        <x:v>2311</x:v>
      </x:c>
      <x:c r="K806" s="47" t="n">
        <x:v>-611090</x:v>
      </x:c>
      <x:c r="L806" s="47" t="n">
        <x:v>184200.04545454544</x:v>
      </x:c>
      <x:c r="M806" s="48" t="n">
        <x:v>3.9914893617021283</x:v>
      </x:c>
      <x:c r="N806" s="48" t="n">
        <x:v>437.7510638297872</x:v>
      </x:c>
      <x:c r="O806" s="49" t="n">
        <x:v>2</x:v>
      </x:c>
      <x:c r="P806" s="1" t="str">
        <x:v>価格と原板の合議・標準</x:v>
      </x:c>
      <x:c r="Q806" s="49" t="n">
        <x:v>0</x:v>
      </x:c>
      <x:c r="R806" s="50" t="n">
        <x:v>0.7600366300366302</x:v>
      </x:c>
      <x:c r="S806" s="50" t="n">
        <x:v>0.734271948608137</x:v>
      </x:c>
      <x:c r="T806" s="1" t="str">
        <x:v>全場</x:v>
      </x:c>
      <x:c r="U806" s="49" t="n">
        <x:v>47</x:v>
      </x:c>
    </x:row>
    <x:row r="807" ht="22" customHeight="1">
      <x:c r="A807" s="1" t="str">
        <x:v>日経mini</x:v>
      </x:c>
      <x:c r="B807" s="1" t="str">
        <x:v>P07</x:v>
      </x:c>
      <x:c r="C807" s="1" t="str">
        <x:v>対照47場</x:v>
      </x:c>
      <x:c r="D807" s="47" t="n">
        <x:v>5762718</x:v>
      </x:c>
      <x:c r="E807" s="47" t="n">
        <x:v>10501686</x:v>
      </x:c>
      <x:c r="F807" s="47" t="n">
        <x:f>D807-E807</x:f>
        <x:v>-4738968</x:v>
      </x:c>
      <x:c r="G807" s="49" t="n">
        <x:v>1</x:v>
      </x:c>
      <x:c r="H807" s="49" t="n">
        <x:v>23</x:v>
      </x:c>
      <x:c r="I807" s="47" t="n">
        <x:v>-4776044</x:v>
      </x:c>
      <x:c r="J807" s="49" t="n">
        <x:v>1292</x:v>
      </x:c>
      <x:c r="K807" s="47" t="n">
        <x:v>-611090</x:v>
      </x:c>
      <x:c r="L807" s="47" t="n">
        <x:v>207654.08695652173</x:v>
      </x:c>
      <x:c r="M807" s="48" t="n">
        <x:v>4.3625</x:v>
      </x:c>
      <x:c r="N807" s="48" t="n">
        <x:v>354.3090277777778</x:v>
      </x:c>
      <x:c r="O807" s="49" t="n">
        <x:v>2</x:v>
      </x:c>
      <x:c r="P807" s="1" t="str">
        <x:v>価格と原板の合議・標準</x:v>
      </x:c>
      <x:c r="Q807" s="49" t="n">
        <x:v>0</x:v>
      </x:c>
      <x:c r="R807" s="50" t="n">
        <x:v>0.8435929232804232</x:v>
      </x:c>
      <x:c r="S807" s="50" t="n">
        <x:v>0.8435929232804232</x:v>
      </x:c>
      <x:c r="T807" s="1" t="str">
        <x:v>デイ</x:v>
      </x:c>
      <x:c r="U807" s="49" t="n">
        <x:v>24</x:v>
      </x:c>
    </x:row>
    <x:row r="808" ht="22" customHeight="1">
      <x:c r="A808" s="1" t="str">
        <x:v>日経mini</x:v>
      </x:c>
      <x:c r="B808" s="1" t="str">
        <x:v>P07</x:v>
      </x:c>
      <x:c r="C808" s="1" t="str">
        <x:v>対照47場</x:v>
      </x:c>
      <x:c r="D808" s="47" t="n">
        <x:v>5866566</x:v>
      </x:c>
      <x:c r="E808" s="47" t="n">
        <x:v>9009492</x:v>
      </x:c>
      <x:c r="F808" s="47" t="n">
        <x:f>D808-E808</x:f>
        <x:v>-3142926</x:v>
      </x:c>
      <x:c r="G808" s="49" t="n">
        <x:v>2</x:v>
      </x:c>
      <x:c r="H808" s="49" t="n">
        <x:v>21</x:v>
      </x:c>
      <x:c r="I808" s="47" t="n">
        <x:v>-3328758</x:v>
      </x:c>
      <x:c r="J808" s="49" t="n">
        <x:v>1019</x:v>
      </x:c>
      <x:c r="K808" s="47" t="n">
        <x:v>-471090</x:v>
      </x:c>
      <x:c r="L808" s="47" t="n">
        <x:v>158512.2857142857</x:v>
      </x:c>
      <x:c r="M808" s="48" t="n">
        <x:v>3.604347826086957</x:v>
      </x:c>
      <x:c r="N808" s="48" t="n">
        <x:v>524.8210144927536</x:v>
      </x:c>
      <x:c r="O808" s="49" t="n">
        <x:v>2</x:v>
      </x:c>
      <x:c r="P808" s="1" t="str">
        <x:v>価格と原板の合議・標準</x:v>
      </x:c>
      <x:c r="Q808" s="49" t="n">
        <x:v>0</x:v>
      </x:c>
      <x:c r="R808" s="50" t="n">
        <x:v>0.6728474544778893</x:v>
      </x:c>
      <x:c r="S808" s="50" t="n">
        <x:v>0.6728474544778893</x:v>
      </x:c>
      <x:c r="T808" s="1" t="str">
        <x:v>ナイト</x:v>
      </x:c>
      <x:c r="U808" s="49" t="n">
        <x:v>23</x:v>
      </x:c>
    </x:row>
    <x:row r="809" ht="22" customHeight="1">
      <x:c r="A809" s="1" t="str">
        <x:v>日経mini</x:v>
      </x:c>
      <x:c r="B809" s="1" t="str">
        <x:v>P07</x:v>
      </x:c>
      <x:c r="C809" s="1" t="str">
        <x:v>対照47場</x:v>
      </x:c>
      <x:c r="D809" s="47" t="n">
        <x:v>5695026</x:v>
      </x:c>
      <x:c r="E809" s="47" t="n">
        <x:v>8681192</x:v>
      </x:c>
      <x:c r="F809" s="47" t="n">
        <x:f>D809-E809</x:f>
        <x:v>-2986166</x:v>
      </x:c>
      <x:c r="G809" s="49" t="n">
        <x:v>2</x:v>
      </x:c>
      <x:c r="H809" s="49" t="n">
        <x:v>20</x:v>
      </x:c>
      <x:c r="I809" s="47" t="n">
        <x:v>-3171998</x:v>
      </x:c>
      <x:c r="J809" s="49" t="n">
        <x:v>1079</x:v>
      </x:c>
      <x:c r="K809" s="47" t="n">
        <x:v>-333086</x:v>
      </x:c>
      <x:c r="L809" s="47" t="n">
        <x:v>158599.9</x:v>
      </x:c>
      <x:c r="M809" s="48" t="n">
        <x:v>4.246212121212122</x:v>
      </x:c>
      <x:c r="N809" s="48" t="n">
        <x:v>455.6818181818182</x:v>
      </x:c>
      <x:c r="O809" s="49" t="n">
        <x:v>2</x:v>
      </x:c>
      <x:c r="P809" s="1" t="str">
        <x:v>価格と原板の合議・標準</x:v>
      </x:c>
      <x:c r="Q809" s="49" t="n">
        <x:v>0</x:v>
      </x:c>
      <x:c r="R809" s="50" t="n">
        <x:v>0.7669855144855144</x:v>
      </x:c>
      <x:c r="S809" s="50" t="n">
        <x:v>0.7393067846607669</x:v>
      </x:c>
      <x:c r="T809" s="1" t="str">
        <x:v>上昇</x:v>
      </x:c>
      <x:c r="U809" s="49" t="n">
        <x:v>22</x:v>
      </x:c>
    </x:row>
    <x:row r="810" ht="22" customHeight="1">
      <x:c r="A810" s="1" t="str">
        <x:v>日経mini</x:v>
      </x:c>
      <x:c r="B810" s="1" t="str">
        <x:v>P07</x:v>
      </x:c>
      <x:c r="C810" s="1" t="str">
        <x:v>対照47場</x:v>
      </x:c>
      <x:c r="D810" s="47" t="n">
        <x:v>5934258</x:v>
      </x:c>
      <x:c r="E810" s="47" t="n">
        <x:v>10829986</x:v>
      </x:c>
      <x:c r="F810" s="47" t="n">
        <x:f>D810-E810</x:f>
        <x:v>-4895728</x:v>
      </x:c>
      <x:c r="G810" s="49" t="n">
        <x:v>1</x:v>
      </x:c>
      <x:c r="H810" s="49" t="n">
        <x:v>24</x:v>
      </x:c>
      <x:c r="I810" s="47" t="n">
        <x:v>-4932804</x:v>
      </x:c>
      <x:c r="J810" s="49" t="n">
        <x:v>1232</x:v>
      </x:c>
      <x:c r="K810" s="47" t="n">
        <x:v>-611090</x:v>
      </x:c>
      <x:c r="L810" s="47" t="n">
        <x:v>205533.5</x:v>
      </x:c>
      <x:c r="M810" s="48" t="n">
        <x:v>3.7673333333333336</x:v>
      </x:c>
      <x:c r="N810" s="48" t="n">
        <x:v>421.972</x:v>
      </x:c>
      <x:c r="O810" s="49" t="n">
        <x:v>2</x:v>
      </x:c>
      <x:c r="P810" s="1" t="str">
        <x:v>価格と原板の合議・標準</x:v>
      </x:c>
      <x:c r="Q810" s="49" t="n">
        <x:v>0</x:v>
      </x:c>
      <x:c r="R810" s="50" t="n">
        <x:v>0.7539216117216117</x:v>
      </x:c>
      <x:c r="S810" s="50" t="n">
        <x:v>0.7295504840940525</x:v>
      </x:c>
      <x:c r="T810" s="1" t="str">
        <x:v>下落</x:v>
      </x:c>
      <x:c r="U810" s="49" t="n">
        <x:v>25</x:v>
      </x:c>
    </x:row>
    <x:row r="811" ht="22" customHeight="1">
      <x:c r="A811" s="1" t="str">
        <x:v>日経mini</x:v>
      </x:c>
      <x:c r="B811" s="1" t="str">
        <x:v>P07</x:v>
      </x:c>
      <x:c r="C811" s="1" t="str">
        <x:v>診断3場</x:v>
      </x:c>
      <x:c r="D811" s="47" t="n">
        <x:v>1180760</x:v>
      </x:c>
      <x:c r="E811" s="47" t="n">
        <x:v>1382018</x:v>
      </x:c>
      <x:c r="F811" s="47" t="n">
        <x:f>D811-E811</x:f>
        <x:v>-201258</x:v>
      </x:c>
      <x:c r="G811" s="49" t="n">
        <x:v>1</x:v>
      </x:c>
      <x:c r="H811" s="49" t="n">
        <x:v>2</x:v>
      </x:c>
      <x:c r="I811" s="47" t="n">
        <x:v>-243710</x:v>
      </x:c>
      <x:c r="J811" s="49" t="n">
        <x:v>177</x:v>
      </x:c>
      <x:c r="K811" s="47" t="n">
        <x:v>-172624</x:v>
      </x:c>
      <x:c r="L811" s="47" t="n">
        <x:v>121855</x:v>
      </x:c>
      <x:c r="M811" s="48" t="n">
        <x:v>3.0888888888888886</x:v>
      </x:c>
      <x:c r="N811" s="48" t="n">
        <x:v>559.8111111111111</x:v>
      </x:c>
      <x:c r="O811" s="49" t="n">
        <x:v>2</x:v>
      </x:c>
      <x:c r="P811" s="1" t="str">
        <x:v>価格と原板の合議・標準</x:v>
      </x:c>
      <x:c r="Q811" s="49" t="n">
        <x:v>0</x:v>
      </x:c>
      <x:c r="R811" s="50" t="n">
        <x:v>0.8647028897028898</x:v>
      </x:c>
      <x:c r="S811" s="50" t="n">
        <x:v>0.8481986531986532</x:v>
      </x:c>
      <x:c r="T811" s="1" t="str">
        <x:v>全場</x:v>
      </x:c>
      <x:c r="U811" s="49" t="n">
        <x:v>3</x:v>
      </x:c>
    </x:row>
    <x:row r="812" ht="22" customHeight="1">
      <x:c r="A812" s="1" t="str">
        <x:v>日経mini</x:v>
      </x:c>
      <x:c r="B812" s="1" t="str">
        <x:v>P07</x:v>
      </x:c>
      <x:c r="C812" s="1" t="str">
        <x:v>診断3場</x:v>
      </x:c>
      <x:c r="D812" s="47" t="n">
        <x:v>496150</x:v>
      </x:c>
      <x:c r="E812" s="47" t="n">
        <x:v>453698</x:v>
      </x:c>
      <x:c r="F812" s="47" t="n">
        <x:f>D812-E812</x:f>
        <x:v>42452</x:v>
      </x:c>
      <x:c r="G812" s="49" t="n">
        <x:v>1</x:v>
      </x:c>
      <x:c r="H812" s="49" t="n">
        <x:v>0</x:v>
      </x:c>
      <x:c r="I812" s="47" t="n">
        <x:v>0</x:v>
      </x:c>
      <x:c r="J812" s="49" t="n">
        <x:v>62</x:v>
      </x:c>
      <x:c r="K812" s="47" t="n">
        <x:v>42452</x:v>
      </x:c>
      <x:c r="L812" s="47" t="n">
        <x:v>0</x:v>
      </x:c>
      <x:c r="M812" s="48" t="n">
        <x:v>2.716666666666667</x:v>
      </x:c>
      <x:c r="N812" s="48" t="n">
        <x:v>401.3</x:v>
      </x:c>
      <x:c r="O812" s="49" t="n">
        <x:v>2</x:v>
      </x:c>
      <x:c r="P812" s="1" t="str">
        <x:v>価格と原板の合議・標準</x:v>
      </x:c>
      <x:c r="Q812" s="49" t="n">
        <x:v>0</x:v>
      </x:c>
      <x:c r="R812" s="50" t="n">
        <x:v>0.9554761904761905</x:v>
      </x:c>
      <x:c r="S812" s="50" t="n">
        <x:v>0.9554761904761905</x:v>
      </x:c>
      <x:c r="T812" s="1" t="str">
        <x:v>デイ</x:v>
      </x:c>
      <x:c r="U812" s="49" t="n">
        <x:v>1</x:v>
      </x:c>
    </x:row>
    <x:row r="813" ht="22" customHeight="1">
      <x:c r="A813" s="1" t="str">
        <x:v>日経mini</x:v>
      </x:c>
      <x:c r="B813" s="1" t="str">
        <x:v>P07</x:v>
      </x:c>
      <x:c r="C813" s="1" t="str">
        <x:v>診断3場</x:v>
      </x:c>
      <x:c r="D813" s="47" t="n">
        <x:v>684610</x:v>
      </x:c>
      <x:c r="E813" s="47" t="n">
        <x:v>928320</x:v>
      </x:c>
      <x:c r="F813" s="47" t="n">
        <x:f>D813-E813</x:f>
        <x:v>-243710</x:v>
      </x:c>
      <x:c r="G813" s="49" t="n">
        <x:v>0</x:v>
      </x:c>
      <x:c r="H813" s="49" t="n">
        <x:v>2</x:v>
      </x:c>
      <x:c r="I813" s="47" t="n">
        <x:v>-243710</x:v>
      </x:c>
      <x:c r="J813" s="49" t="n">
        <x:v>115</x:v>
      </x:c>
      <x:c r="K813" s="47" t="n">
        <x:v>-172624</x:v>
      </x:c>
      <x:c r="L813" s="47" t="n">
        <x:v>121855</x:v>
      </x:c>
      <x:c r="M813" s="48" t="n">
        <x:v>3.275</x:v>
      </x:c>
      <x:c r="N813" s="48" t="n">
        <x:v>639.0666666666666</x:v>
      </x:c>
      <x:c r="O813" s="49" t="n">
        <x:v>2</x:v>
      </x:c>
      <x:c r="P813" s="1" t="str">
        <x:v>価格と原板の合議・標準</x:v>
      </x:c>
      <x:c r="Q813" s="49" t="n">
        <x:v>0</x:v>
      </x:c>
      <x:c r="R813" s="50" t="n">
        <x:v>0.8193162393162393</x:v>
      </x:c>
      <x:c r="S813" s="50" t="n">
        <x:v>0.8193162393162392</x:v>
      </x:c>
      <x:c r="T813" s="1" t="str">
        <x:v>ナイト</x:v>
      </x:c>
      <x:c r="U813" s="49" t="n">
        <x:v>2</x:v>
      </x:c>
    </x:row>
    <x:row r="814" ht="22" customHeight="1">
      <x:c r="A814" s="1" t="str">
        <x:v>日経mini</x:v>
      </x:c>
      <x:c r="B814" s="1" t="str">
        <x:v>P07</x:v>
      </x:c>
      <x:c r="C814" s="1" t="str">
        <x:v>診断3場</x:v>
      </x:c>
      <x:c r="D814" s="47" t="n">
        <x:v>777686</x:v>
      </x:c>
      <x:c r="E814" s="47" t="n">
        <x:v>907858</x:v>
      </x:c>
      <x:c r="F814" s="47" t="n">
        <x:f>D814-E814</x:f>
        <x:v>-130172</x:v>
      </x:c>
      <x:c r="G814" s="49" t="n">
        <x:v>1</x:v>
      </x:c>
      <x:c r="H814" s="49" t="n">
        <x:v>1</x:v>
      </x:c>
      <x:c r="I814" s="47" t="n">
        <x:v>-172624</x:v>
      </x:c>
      <x:c r="J814" s="49" t="n">
        <x:v>118</x:v>
      </x:c>
      <x:c r="K814" s="47" t="n">
        <x:v>-172624</x:v>
      </x:c>
      <x:c r="L814" s="47" t="n">
        <x:v>172624</x:v>
      </x:c>
      <x:c r="M814" s="48" t="n">
        <x:v>2.5</x:v>
      </x:c>
      <x:c r="N814" s="48" t="n">
        <x:v>516.9416666666667</x:v>
      </x:c>
      <x:c r="O814" s="49" t="n">
        <x:v>2</x:v>
      </x:c>
      <x:c r="P814" s="1" t="str">
        <x:v>価格と原板の合議・標準</x:v>
      </x:c>
      <x:c r="Q814" s="49" t="n">
        <x:v>0</x:v>
      </x:c>
      <x:c r="R814" s="50" t="n">
        <x:v>0.8832402319902319</x:v>
      </x:c>
      <x:c r="S814" s="50" t="n">
        <x:v>0.8615694444444445</x:v>
      </x:c>
      <x:c r="T814" s="1" t="str">
        <x:v>上昇</x:v>
      </x:c>
      <x:c r="U814" s="49" t="n">
        <x:v>2</x:v>
      </x:c>
    </x:row>
    <x:row r="815" ht="22" customHeight="1">
      <x:c r="A815" s="1" t="str">
        <x:v>日経mini</x:v>
      </x:c>
      <x:c r="B815" s="1" t="str">
        <x:v>P07</x:v>
      </x:c>
      <x:c r="C815" s="1" t="str">
        <x:v>診断3場</x:v>
      </x:c>
      <x:c r="D815" s="47" t="n">
        <x:v>403074</x:v>
      </x:c>
      <x:c r="E815" s="47" t="n">
        <x:v>474160</x:v>
      </x:c>
      <x:c r="F815" s="47" t="n">
        <x:f>D815-E815</x:f>
        <x:v>-71086</x:v>
      </x:c>
      <x:c r="G815" s="49" t="n">
        <x:v>0</x:v>
      </x:c>
      <x:c r="H815" s="49" t="n">
        <x:v>1</x:v>
      </x:c>
      <x:c r="I815" s="47" t="n">
        <x:v>-71086</x:v>
      </x:c>
      <x:c r="J815" s="49" t="n">
        <x:v>59</x:v>
      </x:c>
      <x:c r="K815" s="47" t="n">
        <x:v>-71086</x:v>
      </x:c>
      <x:c r="L815" s="47" t="n">
        <x:v>71086</x:v>
      </x:c>
      <x:c r="M815" s="48" t="n">
        <x:v>4.266666666666667</x:v>
      </x:c>
      <x:c r="N815" s="48" t="n">
        <x:v>645.55</x:v>
      </x:c>
      <x:c r="O815" s="49" t="n">
        <x:v>2</x:v>
      </x:c>
      <x:c r="P815" s="1" t="str">
        <x:v>価格と原板の合議・標準</x:v>
      </x:c>
      <x:c r="Q815" s="49" t="n">
        <x:v>0</x:v>
      </x:c>
      <x:c r="R815" s="50" t="n">
        <x:v>0.8276282051282051</x:v>
      </x:c>
      <x:c r="S815" s="50" t="n">
        <x:v>0.8276282051282051</x:v>
      </x:c>
      <x:c r="T815" s="1" t="str">
        <x:v>下落</x:v>
      </x:c>
      <x:c r="U815" s="49" t="n">
        <x:v>1</x:v>
      </x:c>
    </x:row>
    <x:row r="816" ht="22" customHeight="1">
      <x:c r="A816" s="1" t="str">
        <x:v>日経mini</x:v>
      </x:c>
      <x:c r="B816" s="1" t="str">
        <x:v>P08</x:v>
      </x:c>
      <x:c r="C816" s="1" t="str">
        <x:v>全50場</x:v>
      </x:c>
      <x:c r="D816" s="47" t="n">
        <x:v>12798820</x:v>
      </x:c>
      <x:c r="E816" s="47" t="n">
        <x:v>20092410</x:v>
      </x:c>
      <x:c r="F816" s="47" t="n">
        <x:f>D816-E816</x:f>
        <x:v>-7293590</x:v>
      </x:c>
      <x:c r="G816" s="49" t="n">
        <x:v>9</x:v>
      </x:c>
      <x:c r="H816" s="49" t="n">
        <x:v>41</x:v>
      </x:c>
      <x:c r="I816" s="47" t="n">
        <x:v>-7503726</x:v>
      </x:c>
      <x:c r="J816" s="49" t="n">
        <x:v>2335</x:v>
      </x:c>
      <x:c r="K816" s="47" t="n">
        <x:v>-565090</x:v>
      </x:c>
      <x:c r="L816" s="47" t="n">
        <x:v>187298.68292682926</x:v>
      </x:c>
      <x:c r="M816" s="48" t="n">
        <x:v>3.9373333333333336</x:v>
      </x:c>
      <x:c r="N816" s="48" t="n">
        <x:v>519.9686666666666</x:v>
      </x:c>
      <x:c r="O816" s="49" t="n">
        <x:v>2</x:v>
      </x:c>
      <x:c r="P816" s="1" t="str">
        <x:v>価格と原板の合議・広め</x:v>
      </x:c>
      <x:c r="Q816" s="49" t="n">
        <x:v>0</x:v>
      </x:c>
      <x:c r="R816" s="50" t="n">
        <x:v>0.8781730158730159</x:v>
      </x:c>
      <x:c r="S816" s="50" t="n">
        <x:v>0.8666144444444445</x:v>
      </x:c>
      <x:c r="T816" s="1" t="str">
        <x:v>全場</x:v>
      </x:c>
      <x:c r="U816" s="49" t="n">
        <x:v>50</x:v>
      </x:c>
    </x:row>
    <x:row r="817" ht="22" customHeight="1">
      <x:c r="A817" s="1" t="str">
        <x:v>日経mini</x:v>
      </x:c>
      <x:c r="B817" s="1" t="str">
        <x:v>P08</x:v>
      </x:c>
      <x:c r="C817" s="1" t="str">
        <x:v>全50場</x:v>
      </x:c>
      <x:c r="D817" s="47" t="n">
        <x:v>6293946</x:v>
      </x:c>
      <x:c r="E817" s="47" t="n">
        <x:v>10794918</x:v>
      </x:c>
      <x:c r="F817" s="47" t="n">
        <x:f>D817-E817</x:f>
        <x:v>-4500972</x:v>
      </x:c>
      <x:c r="G817" s="49" t="n">
        <x:v>3</x:v>
      </x:c>
      <x:c r="H817" s="49" t="n">
        <x:v>22</x:v>
      </x:c>
      <x:c r="I817" s="47" t="n">
        <x:v>-4627422</x:v>
      </x:c>
      <x:c r="J817" s="49" t="n">
        <x:v>1318</x:v>
      </x:c>
      <x:c r="K817" s="47" t="n">
        <x:v>-565090</x:v>
      </x:c>
      <x:c r="L817" s="47" t="n">
        <x:v>210337.36363636365</x:v>
      </x:c>
      <x:c r="M817" s="48" t="n">
        <x:v>4.296666666666667</x:v>
      </x:c>
      <x:c r="N817" s="48" t="n">
        <x:v>385.0146666666667</x:v>
      </x:c>
      <x:c r="O817" s="49" t="n">
        <x:v>2</x:v>
      </x:c>
      <x:c r="P817" s="1" t="str">
        <x:v>価格と原板の合議・広め</x:v>
      </x:c>
      <x:c r="Q817" s="49" t="n">
        <x:v>0</x:v>
      </x:c>
      <x:c r="R817" s="50" t="n">
        <x:v>0.9167015873015871</x:v>
      </x:c>
      <x:c r="S817" s="50" t="n">
        <x:v>0.9167015873015874</x:v>
      </x:c>
      <x:c r="T817" s="1" t="str">
        <x:v>デイ</x:v>
      </x:c>
      <x:c r="U817" s="49" t="n">
        <x:v>25</x:v>
      </x:c>
    </x:row>
    <x:row r="818" ht="22" customHeight="1">
      <x:c r="A818" s="1" t="str">
        <x:v>日経mini</x:v>
      </x:c>
      <x:c r="B818" s="1" t="str">
        <x:v>P08</x:v>
      </x:c>
      <x:c r="C818" s="1" t="str">
        <x:v>全50場</x:v>
      </x:c>
      <x:c r="D818" s="47" t="n">
        <x:v>6504874</x:v>
      </x:c>
      <x:c r="E818" s="47" t="n">
        <x:v>9297492</x:v>
      </x:c>
      <x:c r="F818" s="47" t="n">
        <x:f>D818-E818</x:f>
        <x:v>-2792618</x:v>
      </x:c>
      <x:c r="G818" s="49" t="n">
        <x:v>6</x:v>
      </x:c>
      <x:c r="H818" s="49" t="n">
        <x:v>19</x:v>
      </x:c>
      <x:c r="I818" s="47" t="n">
        <x:v>-3000602</x:v>
      </x:c>
      <x:c r="J818" s="49" t="n">
        <x:v>1017</x:v>
      </x:c>
      <x:c r="K818" s="47" t="n">
        <x:v>-486782</x:v>
      </x:c>
      <x:c r="L818" s="47" t="n">
        <x:v>160622.31578947368</x:v>
      </x:c>
      <x:c r="M818" s="48" t="n">
        <x:v>3.5779999999999994</x:v>
      </x:c>
      <x:c r="N818" s="48" t="n">
        <x:v>654.9226666666666</x:v>
      </x:c>
      <x:c r="O818" s="49" t="n">
        <x:v>2</x:v>
      </x:c>
      <x:c r="P818" s="1" t="str">
        <x:v>価格と原板の合議・広め</x:v>
      </x:c>
      <x:c r="Q818" s="49" t="n">
        <x:v>0</x:v>
      </x:c>
      <x:c r="R818" s="50" t="n">
        <x:v>0.8396444444444444</x:v>
      </x:c>
      <x:c r="S818" s="50" t="n">
        <x:v>0.8396444444444444</x:v>
      </x:c>
      <x:c r="T818" s="1" t="str">
        <x:v>ナイト</x:v>
      </x:c>
      <x:c r="U818" s="49" t="n">
        <x:v>25</x:v>
      </x:c>
    </x:row>
    <x:row r="819" ht="22" customHeight="1">
      <x:c r="A819" s="1" t="str">
        <x:v>日経mini</x:v>
      </x:c>
      <x:c r="B819" s="1" t="str">
        <x:v>P08</x:v>
      </x:c>
      <x:c r="C819" s="1" t="str">
        <x:v>全50場</x:v>
      </x:c>
      <x:c r="D819" s="47" t="n">
        <x:v>6453332</x:v>
      </x:c>
      <x:c r="E819" s="47" t="n">
        <x:v>9335196</x:v>
      </x:c>
      <x:c r="F819" s="47" t="n">
        <x:f>D819-E819</x:f>
        <x:v>-2881864</x:v>
      </x:c>
      <x:c r="G819" s="49" t="n">
        <x:v>6</x:v>
      </x:c>
      <x:c r="H819" s="49" t="n">
        <x:v>18</x:v>
      </x:c>
      <x:c r="I819" s="47" t="n">
        <x:v>-3092000</x:v>
      </x:c>
      <x:c r="J819" s="49" t="n">
        <x:v>1116</x:v>
      </x:c>
      <x:c r="K819" s="47" t="n">
        <x:v>-431240</x:v>
      </x:c>
      <x:c r="L819" s="47" t="n">
        <x:v>176067.66666666666</x:v>
      </x:c>
      <x:c r="M819" s="48" t="n">
        <x:v>4.100694444444444</x:v>
      </x:c>
      <x:c r="N819" s="48" t="n">
        <x:v>535.1888888888889</x:v>
      </x:c>
      <x:c r="O819" s="49" t="n">
        <x:v>2</x:v>
      </x:c>
      <x:c r="P819" s="1" t="str">
        <x:v>価格と原板の合議・広め</x:v>
      </x:c>
      <x:c r="Q819" s="49" t="n">
        <x:v>0</x:v>
      </x:c>
      <x:c r="R819" s="50" t="n">
        <x:v>0.8809732397232398</x:v>
      </x:c>
      <x:c r="S819" s="50" t="n">
        <x:v>0.8702258355916892</x:v>
      </x:c>
      <x:c r="T819" s="1" t="str">
        <x:v>上昇</x:v>
      </x:c>
      <x:c r="U819" s="49" t="n">
        <x:v>24</x:v>
      </x:c>
    </x:row>
    <x:row r="820" ht="22" customHeight="1">
      <x:c r="A820" s="1" t="str">
        <x:v>日経mini</x:v>
      </x:c>
      <x:c r="B820" s="1" t="str">
        <x:v>P08</x:v>
      </x:c>
      <x:c r="C820" s="1" t="str">
        <x:v>全50場</x:v>
      </x:c>
      <x:c r="D820" s="47" t="n">
        <x:v>6345488</x:v>
      </x:c>
      <x:c r="E820" s="47" t="n">
        <x:v>10757214</x:v>
      </x:c>
      <x:c r="F820" s="47" t="n">
        <x:f>D820-E820</x:f>
        <x:v>-4411726</x:v>
      </x:c>
      <x:c r="G820" s="49" t="n">
        <x:v>3</x:v>
      </x:c>
      <x:c r="H820" s="49" t="n">
        <x:v>23</x:v>
      </x:c>
      <x:c r="I820" s="47" t="n">
        <x:v>-4510028</x:v>
      </x:c>
      <x:c r="J820" s="49" t="n">
        <x:v>1219</x:v>
      </x:c>
      <x:c r="K820" s="47" t="n">
        <x:v>-565090</x:v>
      </x:c>
      <x:c r="L820" s="47" t="n">
        <x:v>196088.1739130435</x:v>
      </x:c>
      <x:c r="M820" s="48" t="n">
        <x:v>3.786538461538462</x:v>
      </x:c>
      <x:c r="N820" s="48" t="n">
        <x:v>505.91923076923075</x:v>
      </x:c>
      <x:c r="O820" s="49" t="n">
        <x:v>2</x:v>
      </x:c>
      <x:c r="P820" s="1" t="str">
        <x:v>価格と原板の合議・広め</x:v>
      </x:c>
      <x:c r="Q820" s="49" t="n">
        <x:v>0</x:v>
      </x:c>
      <x:c r="R820" s="50" t="n">
        <x:v>0.8755881938574247</x:v>
      </x:c>
      <x:c r="S820" s="50" t="n">
        <x:v>0.8631167979002624</x:v>
      </x:c>
      <x:c r="T820" s="1" t="str">
        <x:v>下落</x:v>
      </x:c>
      <x:c r="U820" s="49" t="n">
        <x:v>26</x:v>
      </x:c>
    </x:row>
    <x:row r="821" ht="22" customHeight="1">
      <x:c r="A821" s="1" t="str">
        <x:v>日経mini</x:v>
      </x:c>
      <x:c r="B821" s="1" t="str">
        <x:v>P08</x:v>
      </x:c>
      <x:c r="C821" s="1" t="str">
        <x:v>対照47場</x:v>
      </x:c>
      <x:c r="D821" s="47" t="n">
        <x:v>11627752</x:v>
      </x:c>
      <x:c r="E821" s="47" t="n">
        <x:v>18805470</x:v>
      </x:c>
      <x:c r="F821" s="47" t="n">
        <x:f>D821-E821</x:f>
        <x:v>-7177718</x:v>
      </x:c>
      <x:c r="G821" s="49" t="n">
        <x:v>8</x:v>
      </x:c>
      <x:c r="H821" s="49" t="n">
        <x:v>39</x:v>
      </x:c>
      <x:c r="I821" s="47" t="n">
        <x:v>-7385702</x:v>
      </x:c>
      <x:c r="J821" s="49" t="n">
        <x:v>2167</x:v>
      </x:c>
      <x:c r="K821" s="47" t="n">
        <x:v>-565090</x:v>
      </x:c>
      <x:c r="L821" s="47" t="n">
        <x:v>192587.7435897436</x:v>
      </x:c>
      <x:c r="M821" s="48" t="n">
        <x:v>3.9914893617021283</x:v>
      </x:c>
      <x:c r="N821" s="48" t="n">
        <x:v>513.681560283688</x:v>
      </x:c>
      <x:c r="O821" s="49" t="n">
        <x:v>2</x:v>
      </x:c>
      <x:c r="P821" s="1" t="str">
        <x:v>価格と原板の合議・広め</x:v>
      </x:c>
      <x:c r="Q821" s="49" t="n">
        <x:v>0</x:v>
      </x:c>
      <x:c r="R821" s="50" t="n">
        <x:v>0.8741198399709037</x:v>
      </x:c>
      <x:c r="S821" s="50" t="n">
        <x:v>0.861635736378777</x:v>
      </x:c>
      <x:c r="T821" s="1" t="str">
        <x:v>全場</x:v>
      </x:c>
      <x:c r="U821" s="49" t="n">
        <x:v>47</x:v>
      </x:c>
    </x:row>
    <x:row r="822" ht="22" customHeight="1">
      <x:c r="A822" s="1" t="str">
        <x:v>日経mini</x:v>
      </x:c>
      <x:c r="B822" s="1" t="str">
        <x:v>P08</x:v>
      </x:c>
      <x:c r="C822" s="1" t="str">
        <x:v>対照47場</x:v>
      </x:c>
      <x:c r="D822" s="47" t="n">
        <x:v>5781796</x:v>
      </x:c>
      <x:c r="E822" s="47" t="n">
        <x:v>10335220</x:v>
      </x:c>
      <x:c r="F822" s="47" t="n">
        <x:f>D822-E822</x:f>
        <x:v>-4553424</x:v>
      </x:c>
      <x:c r="G822" s="49" t="n">
        <x:v>2</x:v>
      </x:c>
      <x:c r="H822" s="49" t="n">
        <x:v>22</x:v>
      </x:c>
      <x:c r="I822" s="47" t="n">
        <x:v>-4627422</x:v>
      </x:c>
      <x:c r="J822" s="49" t="n">
        <x:v>1256</x:v>
      </x:c>
      <x:c r="K822" s="47" t="n">
        <x:v>-565090</x:v>
      </x:c>
      <x:c r="L822" s="47" t="n">
        <x:v>210337.36363636365</x:v>
      </x:c>
      <x:c r="M822" s="48" t="n">
        <x:v>4.3625</x:v>
      </x:c>
      <x:c r="N822" s="48" t="n">
        <x:v>384.13472222222225</x:v>
      </x:c>
      <x:c r="O822" s="49" t="n">
        <x:v>2</x:v>
      </x:c>
      <x:c r="P822" s="1" t="str">
        <x:v>価格と原板の合議・広め</x:v>
      </x:c>
      <x:c r="Q822" s="49" t="n">
        <x:v>0</x:v>
      </x:c>
      <x:c r="R822" s="50" t="n">
        <x:v>0.9146064814814814</x:v>
      </x:c>
      <x:c r="S822" s="50" t="n">
        <x:v>0.9146064814814815</x:v>
      </x:c>
      <x:c r="T822" s="1" t="str">
        <x:v>デイ</x:v>
      </x:c>
      <x:c r="U822" s="49" t="n">
        <x:v>24</x:v>
      </x:c>
    </x:row>
    <x:row r="823" ht="22" customHeight="1">
      <x:c r="A823" s="1" t="str">
        <x:v>日経mini</x:v>
      </x:c>
      <x:c r="B823" s="1" t="str">
        <x:v>P08</x:v>
      </x:c>
      <x:c r="C823" s="1" t="str">
        <x:v>対照47場</x:v>
      </x:c>
      <x:c r="D823" s="47" t="n">
        <x:v>5845956</x:v>
      </x:c>
      <x:c r="E823" s="47" t="n">
        <x:v>8470250</x:v>
      </x:c>
      <x:c r="F823" s="47" t="n">
        <x:f>D823-E823</x:f>
        <x:v>-2624294</x:v>
      </x:c>
      <x:c r="G823" s="49" t="n">
        <x:v>6</x:v>
      </x:c>
      <x:c r="H823" s="49" t="n">
        <x:v>17</x:v>
      </x:c>
      <x:c r="I823" s="47" t="n">
        <x:v>-2832278</x:v>
      </x:c>
      <x:c r="J823" s="49" t="n">
        <x:v>911</x:v>
      </x:c>
      <x:c r="K823" s="47" t="n">
        <x:v>-486782</x:v>
      </x:c>
      <x:c r="L823" s="47" t="n">
        <x:v>169617.64705882352</x:v>
      </x:c>
      <x:c r="M823" s="48" t="n">
        <x:v>3.604347826086957</x:v>
      </x:c>
      <x:c r="N823" s="48" t="n">
        <x:v>648.8608695652174</x:v>
      </x:c>
      <x:c r="O823" s="49" t="n">
        <x:v>2</x:v>
      </x:c>
      <x:c r="P823" s="1" t="str">
        <x:v>価格と原板の合議・広め</x:v>
      </x:c>
      <x:c r="Q823" s="49" t="n">
        <x:v>0</x:v>
      </x:c>
      <x:c r="R823" s="50" t="n">
        <x:v>0.8318729096989967</x:v>
      </x:c>
      <x:c r="S823" s="50" t="n">
        <x:v>0.8318729096989966</x:v>
      </x:c>
      <x:c r="T823" s="1" t="str">
        <x:v>ナイト</x:v>
      </x:c>
      <x:c r="U823" s="49" t="n">
        <x:v>23</x:v>
      </x:c>
    </x:row>
    <x:row r="824" ht="22" customHeight="1">
      <x:c r="A824" s="1" t="str">
        <x:v>日経mini</x:v>
      </x:c>
      <x:c r="B824" s="1" t="str">
        <x:v>P08</x:v>
      </x:c>
      <x:c r="C824" s="1" t="str">
        <x:v>対照47場</x:v>
      </x:c>
      <x:c r="D824" s="47" t="n">
        <x:v>5651646</x:v>
      </x:c>
      <x:c r="E824" s="47" t="n">
        <x:v>8510262</x:v>
      </x:c>
      <x:c r="F824" s="47" t="n">
        <x:f>D824-E824</x:f>
        <x:v>-2858616</x:v>
      </x:c>
      <x:c r="G824" s="49" t="n">
        <x:v>5</x:v>
      </x:c>
      <x:c r="H824" s="49" t="n">
        <x:v>17</x:v>
      </x:c>
      <x:c r="I824" s="47" t="n">
        <x:v>-3066600</x:v>
      </x:c>
      <x:c r="J824" s="49" t="n">
        <x:v>1004</x:v>
      </x:c>
      <x:c r="K824" s="47" t="n">
        <x:v>-431240</x:v>
      </x:c>
      <x:c r="L824" s="47" t="n">
        <x:v>181971.64705882352</x:v>
      </x:c>
      <x:c r="M824" s="48" t="n">
        <x:v>4.246212121212122</x:v>
      </x:c>
      <x:c r="N824" s="48" t="n">
        <x:v>532.6750000000001</x:v>
      </x:c>
      <x:c r="O824" s="49" t="n">
        <x:v>2</x:v>
      </x:c>
      <x:c r="P824" s="1" t="str">
        <x:v>価格と原板の合議・広め</x:v>
      </x:c>
      <x:c r="Q824" s="49" t="n">
        <x:v>0</x:v>
      </x:c>
      <x:c r="R824" s="50" t="n">
        <x:v>0.875176073926074</x:v>
      </x:c>
      <x:c r="S824" s="50" t="n">
        <x:v>0.8642219764011799</x:v>
      </x:c>
      <x:c r="T824" s="1" t="str">
        <x:v>上昇</x:v>
      </x:c>
      <x:c r="U824" s="49" t="n">
        <x:v>22</x:v>
      </x:c>
    </x:row>
    <x:row r="825" ht="22" customHeight="1">
      <x:c r="A825" s="1" t="str">
        <x:v>日経mini</x:v>
      </x:c>
      <x:c r="B825" s="1" t="str">
        <x:v>P08</x:v>
      </x:c>
      <x:c r="C825" s="1" t="str">
        <x:v>対照47場</x:v>
      </x:c>
      <x:c r="D825" s="47" t="n">
        <x:v>5976106</x:v>
      </x:c>
      <x:c r="E825" s="47" t="n">
        <x:v>10295208</x:v>
      </x:c>
      <x:c r="F825" s="47" t="n">
        <x:f>D825-E825</x:f>
        <x:v>-4319102</x:v>
      </x:c>
      <x:c r="G825" s="49" t="n">
        <x:v>3</x:v>
      </x:c>
      <x:c r="H825" s="49" t="n">
        <x:v>22</x:v>
      </x:c>
      <x:c r="I825" s="47" t="n">
        <x:v>-4417404</x:v>
      </x:c>
      <x:c r="J825" s="49" t="n">
        <x:v>1163</x:v>
      </x:c>
      <x:c r="K825" s="47" t="n">
        <x:v>-565090</x:v>
      </x:c>
      <x:c r="L825" s="47" t="n">
        <x:v>200791.0909090909</x:v>
      </x:c>
      <x:c r="M825" s="48" t="n">
        <x:v>3.7673333333333336</x:v>
      </x:c>
      <x:c r="N825" s="48" t="n">
        <x:v>496.9673333333333</x:v>
      </x:c>
      <x:c r="O825" s="49" t="n">
        <x:v>2</x:v>
      </x:c>
      <x:c r="P825" s="1" t="str">
        <x:v>価格と原板の合議・広め</x:v>
      </x:c>
      <x:c r="Q825" s="49" t="n">
        <x:v>0</x:v>
      </x:c>
      <x:c r="R825" s="50" t="n">
        <x:v>0.8731903540903541</x:v>
      </x:c>
      <x:c r="S825" s="50" t="n">
        <x:v>0.8592104656523745</x:v>
      </x:c>
      <x:c r="T825" s="1" t="str">
        <x:v>下落</x:v>
      </x:c>
      <x:c r="U825" s="49" t="n">
        <x:v>25</x:v>
      </x:c>
    </x:row>
    <x:row r="826" ht="22" customHeight="1">
      <x:c r="A826" s="1" t="str">
        <x:v>日経mini</x:v>
      </x:c>
      <x:c r="B826" s="1" t="str">
        <x:v>P08</x:v>
      </x:c>
      <x:c r="C826" s="1" t="str">
        <x:v>診断3場</x:v>
      </x:c>
      <x:c r="D826" s="47" t="n">
        <x:v>1171068</x:v>
      </x:c>
      <x:c r="E826" s="47" t="n">
        <x:v>1286940</x:v>
      </x:c>
      <x:c r="F826" s="47" t="n">
        <x:f>D826-E826</x:f>
        <x:v>-115872</x:v>
      </x:c>
      <x:c r="G826" s="49" t="n">
        <x:v>1</x:v>
      </x:c>
      <x:c r="H826" s="49" t="n">
        <x:v>2</x:v>
      </x:c>
      <x:c r="I826" s="47" t="n">
        <x:v>-168324</x:v>
      </x:c>
      <x:c r="J826" s="49" t="n">
        <x:v>168</x:v>
      </x:c>
      <x:c r="K826" s="47" t="n">
        <x:v>-92624</x:v>
      </x:c>
      <x:c r="L826" s="47" t="n">
        <x:v>84162</x:v>
      </x:c>
      <x:c r="M826" s="48" t="n">
        <x:v>3.0888888888888886</x:v>
      </x:c>
      <x:c r="N826" s="48" t="n">
        <x:v>618.4666666666666</x:v>
      </x:c>
      <x:c r="O826" s="49" t="n">
        <x:v>2</x:v>
      </x:c>
      <x:c r="P826" s="1" t="str">
        <x:v>価格と原板の合議・広め</x:v>
      </x:c>
      <x:c r="Q826" s="49" t="n">
        <x:v>0</x:v>
      </x:c>
      <x:c r="R826" s="50" t="n">
        <x:v>0.9416727716727716</x:v>
      </x:c>
      <x:c r="S826" s="50" t="n">
        <x:v>0.9370707070707072</x:v>
      </x:c>
      <x:c r="T826" s="1" t="str">
        <x:v>全場</x:v>
      </x:c>
      <x:c r="U826" s="49" t="n">
        <x:v>3</x:v>
      </x:c>
    </x:row>
    <x:row r="827" ht="22" customHeight="1">
      <x:c r="A827" s="1" t="str">
        <x:v>日経mini</x:v>
      </x:c>
      <x:c r="B827" s="1" t="str">
        <x:v>P08</x:v>
      </x:c>
      <x:c r="C827" s="1" t="str">
        <x:v>診断3場</x:v>
      </x:c>
      <x:c r="D827" s="47" t="n">
        <x:v>512150</x:v>
      </x:c>
      <x:c r="E827" s="47" t="n">
        <x:v>459698</x:v>
      </x:c>
      <x:c r="F827" s="47" t="n">
        <x:f>D827-E827</x:f>
        <x:v>52452</x:v>
      </x:c>
      <x:c r="G827" s="49" t="n">
        <x:v>1</x:v>
      </x:c>
      <x:c r="H827" s="49" t="n">
        <x:v>0</x:v>
      </x:c>
      <x:c r="I827" s="47" t="n">
        <x:v>0</x:v>
      </x:c>
      <x:c r="J827" s="49" t="n">
        <x:v>62</x:v>
      </x:c>
      <x:c r="K827" s="47" t="n">
        <x:v>52452</x:v>
      </x:c>
      <x:c r="L827" s="47" t="n">
        <x:v>0</x:v>
      </x:c>
      <x:c r="M827" s="48" t="n">
        <x:v>2.716666666666667</x:v>
      </x:c>
      <x:c r="N827" s="48" t="n">
        <x:v>406.1333333333333</x:v>
      </x:c>
      <x:c r="O827" s="49" t="n">
        <x:v>2</x:v>
      </x:c>
      <x:c r="P827" s="1" t="str">
        <x:v>価格と原板の合議・広め</x:v>
      </x:c>
      <x:c r="Q827" s="49" t="n">
        <x:v>0</x:v>
      </x:c>
      <x:c r="R827" s="50" t="n">
        <x:v>0.966984126984127</x:v>
      </x:c>
      <x:c r="S827" s="50" t="n">
        <x:v>0.966984126984127</x:v>
      </x:c>
      <x:c r="T827" s="1" t="str">
        <x:v>デイ</x:v>
      </x:c>
      <x:c r="U827" s="49" t="n">
        <x:v>1</x:v>
      </x:c>
    </x:row>
    <x:row r="828" ht="22" customHeight="1">
      <x:c r="A828" s="1" t="str">
        <x:v>日経mini</x:v>
      </x:c>
      <x:c r="B828" s="1" t="str">
        <x:v>P08</x:v>
      </x:c>
      <x:c r="C828" s="1" t="str">
        <x:v>診断3場</x:v>
      </x:c>
      <x:c r="D828" s="47" t="n">
        <x:v>658918</x:v>
      </x:c>
      <x:c r="E828" s="47" t="n">
        <x:v>827242</x:v>
      </x:c>
      <x:c r="F828" s="47" t="n">
        <x:f>D828-E828</x:f>
        <x:v>-168324</x:v>
      </x:c>
      <x:c r="G828" s="49" t="n">
        <x:v>0</x:v>
      </x:c>
      <x:c r="H828" s="49" t="n">
        <x:v>2</x:v>
      </x:c>
      <x:c r="I828" s="47" t="n">
        <x:v>-168324</x:v>
      </x:c>
      <x:c r="J828" s="49" t="n">
        <x:v>106</x:v>
      </x:c>
      <x:c r="K828" s="47" t="n">
        <x:v>-92624</x:v>
      </x:c>
      <x:c r="L828" s="47" t="n">
        <x:v>84162</x:v>
      </x:c>
      <x:c r="M828" s="48" t="n">
        <x:v>3.275</x:v>
      </x:c>
      <x:c r="N828" s="48" t="n">
        <x:v>724.6333333333333</x:v>
      </x:c>
      <x:c r="O828" s="49" t="n">
        <x:v>2</x:v>
      </x:c>
      <x:c r="P828" s="1" t="str">
        <x:v>価格と原板の合議・広め</x:v>
      </x:c>
      <x:c r="Q828" s="49" t="n">
        <x:v>0</x:v>
      </x:c>
      <x:c r="R828" s="50" t="n">
        <x:v>0.9290170940170941</x:v>
      </x:c>
      <x:c r="S828" s="50" t="n">
        <x:v>0.929017094017094</x:v>
      </x:c>
      <x:c r="T828" s="1" t="str">
        <x:v>ナイト</x:v>
      </x:c>
      <x:c r="U828" s="49" t="n">
        <x:v>2</x:v>
      </x:c>
    </x:row>
    <x:row r="829" ht="22" customHeight="1">
      <x:c r="A829" s="1" t="str">
        <x:v>日経mini</x:v>
      </x:c>
      <x:c r="B829" s="1" t="str">
        <x:v>P08</x:v>
      </x:c>
      <x:c r="C829" s="1" t="str">
        <x:v>診断3場</x:v>
      </x:c>
      <x:c r="D829" s="47" t="n">
        <x:v>801686</x:v>
      </x:c>
      <x:c r="E829" s="47" t="n">
        <x:v>824934</x:v>
      </x:c>
      <x:c r="F829" s="47" t="n">
        <x:f>D829-E829</x:f>
        <x:v>-23248</x:v>
      </x:c>
      <x:c r="G829" s="49" t="n">
        <x:v>1</x:v>
      </x:c>
      <x:c r="H829" s="49" t="n">
        <x:v>1</x:v>
      </x:c>
      <x:c r="I829" s="47" t="n">
        <x:v>-75700</x:v>
      </x:c>
      <x:c r="J829" s="49" t="n">
        <x:v>112</x:v>
      </x:c>
      <x:c r="K829" s="47" t="n">
        <x:v>-75700</x:v>
      </x:c>
      <x:c r="L829" s="47" t="n">
        <x:v>75700</x:v>
      </x:c>
      <x:c r="M829" s="48" t="n">
        <x:v>2.5</x:v>
      </x:c>
      <x:c r="N829" s="48" t="n">
        <x:v>562.8416666666667</x:v>
      </x:c>
      <x:c r="O829" s="49" t="n">
        <x:v>2</x:v>
      </x:c>
      <x:c r="P829" s="1" t="str">
        <x:v>価格と原板の合議・広め</x:v>
      </x:c>
      <x:c r="Q829" s="49" t="n">
        <x:v>0</x:v>
      </x:c>
      <x:c r="R829" s="50" t="n">
        <x:v>0.9447420634920635</x:v>
      </x:c>
      <x:c r="S829" s="50" t="n">
        <x:v>0.9380694444444445</x:v>
      </x:c>
      <x:c r="T829" s="1" t="str">
        <x:v>上昇</x:v>
      </x:c>
      <x:c r="U829" s="49" t="n">
        <x:v>2</x:v>
      </x:c>
    </x:row>
    <x:row r="830" ht="22" customHeight="1">
      <x:c r="A830" s="1" t="str">
        <x:v>日経mini</x:v>
      </x:c>
      <x:c r="B830" s="1" t="str">
        <x:v>P08</x:v>
      </x:c>
      <x:c r="C830" s="1" t="str">
        <x:v>診断3場</x:v>
      </x:c>
      <x:c r="D830" s="47" t="n">
        <x:v>369382</x:v>
      </x:c>
      <x:c r="E830" s="47" t="n">
        <x:v>462006</x:v>
      </x:c>
      <x:c r="F830" s="47" t="n">
        <x:f>D830-E830</x:f>
        <x:v>-92624</x:v>
      </x:c>
      <x:c r="G830" s="49" t="n">
        <x:v>0</x:v>
      </x:c>
      <x:c r="H830" s="49" t="n">
        <x:v>1</x:v>
      </x:c>
      <x:c r="I830" s="47" t="n">
        <x:v>-92624</x:v>
      </x:c>
      <x:c r="J830" s="49" t="n">
        <x:v>56</x:v>
      </x:c>
      <x:c r="K830" s="47" t="n">
        <x:v>-92624</x:v>
      </x:c>
      <x:c r="L830" s="47" t="n">
        <x:v>92624</x:v>
      </x:c>
      <x:c r="M830" s="48" t="n">
        <x:v>4.266666666666667</x:v>
      </x:c>
      <x:c r="N830" s="48" t="n">
        <x:v>729.7166666666667</x:v>
      </x:c>
      <x:c r="O830" s="49" t="n">
        <x:v>2</x:v>
      </x:c>
      <x:c r="P830" s="1" t="str">
        <x:v>価格と原板の合議・広め</x:v>
      </x:c>
      <x:c r="Q830" s="49" t="n">
        <x:v>0</x:v>
      </x:c>
      <x:c r="R830" s="50" t="n">
        <x:v>0.9355341880341881</x:v>
      </x:c>
      <x:c r="S830" s="50" t="n">
        <x:v>0.9355341880341881</x:v>
      </x:c>
      <x:c r="T830" s="1" t="str">
        <x:v>下落</x:v>
      </x:c>
      <x:c r="U830" s="49" t="n">
        <x:v>1</x:v>
      </x:c>
    </x:row>
    <x:row r="831" ht="22" customHeight="1">
      <x:c r="A831" s="1" t="str">
        <x:v>日経mini</x:v>
      </x:c>
      <x:c r="B831" s="1" t="str">
        <x:v>P09</x:v>
      </x:c>
      <x:c r="C831" s="1" t="str">
        <x:v>全50場</x:v>
      </x:c>
      <x:c r="D831" s="47" t="n">
        <x:v>11878438</x:v>
      </x:c>
      <x:c r="E831" s="47" t="n">
        <x:v>22912058</x:v>
      </x:c>
      <x:c r="F831" s="47" t="n">
        <x:f>D831-E831</x:f>
        <x:v>-11033620</x:v>
      </x:c>
      <x:c r="G831" s="49" t="n">
        <x:v>3</x:v>
      </x:c>
      <x:c r="H831" s="49" t="n">
        <x:v>47</x:v>
      </x:c>
      <x:c r="I831" s="47" t="n">
        <x:v>-11143452</x:v>
      </x:c>
      <x:c r="J831" s="49" t="n">
        <x:v>3092</x:v>
      </x:c>
      <x:c r="K831" s="47" t="n">
        <x:v>-738446</x:v>
      </x:c>
      <x:c r="L831" s="47" t="n">
        <x:v>237094.72340425532</x:v>
      </x:c>
      <x:c r="M831" s="48" t="n">
        <x:v>3.4256666666666673</x:v>
      </x:c>
      <x:c r="N831" s="48" t="n">
        <x:v>444.7646666666667</x:v>
      </x:c>
      <x:c r="O831" s="49" t="n">
        <x:v>5</x:v>
      </x:c>
      <x:c r="P831" s="1" t="str">
        <x:v>中期支持の3枚参加と保護後追撃・標準</x:v>
      </x:c>
      <x:c r="Q831" s="49" t="n">
        <x:v>0</x:v>
      </x:c>
      <x:c r="R831" s="50" t="n">
        <x:v>0.759471916971917</x:v>
      </x:c>
      <x:c r="S831" s="50" t="n">
        <x:v>0.7412744444444445</x:v>
      </x:c>
      <x:c r="T831" s="1" t="str">
        <x:v>全場</x:v>
      </x:c>
      <x:c r="U831" s="49" t="n">
        <x:v>50</x:v>
      </x:c>
    </x:row>
    <x:row r="832" ht="22" customHeight="1">
      <x:c r="A832" s="1" t="str">
        <x:v>日経mini</x:v>
      </x:c>
      <x:c r="B832" s="1" t="str">
        <x:v>P09</x:v>
      </x:c>
      <x:c r="C832" s="1" t="str">
        <x:v>全50場</x:v>
      </x:c>
      <x:c r="D832" s="47" t="n">
        <x:v>5476740</x:v>
      </x:c>
      <x:c r="E832" s="47" t="n">
        <x:v>11821156</x:v>
      </x:c>
      <x:c r="F832" s="47" t="n">
        <x:f>D832-E832</x:f>
        <x:v>-6344416</x:v>
      </x:c>
      <x:c r="G832" s="49" t="n">
        <x:v>1</x:v>
      </x:c>
      <x:c r="H832" s="49" t="n">
        <x:v>24</x:v>
      </x:c>
      <x:c r="I832" s="47" t="n">
        <x:v>-6388956</x:v>
      </x:c>
      <x:c r="J832" s="49" t="n">
        <x:v>1538</x:v>
      </x:c>
      <x:c r="K832" s="47" t="n">
        <x:v>-738446</x:v>
      </x:c>
      <x:c r="L832" s="47" t="n">
        <x:v>266206.5</x:v>
      </x:c>
      <x:c r="M832" s="48" t="n">
        <x:v>3.4600000000000004</x:v>
      </x:c>
      <x:c r="N832" s="48" t="n">
        <x:v>344.4546666666667</x:v>
      </x:c>
      <x:c r="O832" s="49" t="n">
        <x:v>5</x:v>
      </x:c>
      <x:c r="P832" s="1" t="str">
        <x:v>中期支持の3枚参加と保護後追撃・標準</x:v>
      </x:c>
      <x:c r="Q832" s="49" t="n">
        <x:v>0</x:v>
      </x:c>
      <x:c r="R832" s="50" t="n">
        <x:v>0.8201301587301587</x:v>
      </x:c>
      <x:c r="S832" s="50" t="n">
        <x:v>0.8201301587301587</x:v>
      </x:c>
      <x:c r="T832" s="1" t="str">
        <x:v>デイ</x:v>
      </x:c>
      <x:c r="U832" s="49" t="n">
        <x:v>25</x:v>
      </x:c>
    </x:row>
    <x:row r="833" ht="22" customHeight="1">
      <x:c r="A833" s="1" t="str">
        <x:v>日経mini</x:v>
      </x:c>
      <x:c r="B833" s="1" t="str">
        <x:v>P09</x:v>
      </x:c>
      <x:c r="C833" s="1" t="str">
        <x:v>全50場</x:v>
      </x:c>
      <x:c r="D833" s="47" t="n">
        <x:v>6401698</x:v>
      </x:c>
      <x:c r="E833" s="47" t="n">
        <x:v>11090902</x:v>
      </x:c>
      <x:c r="F833" s="47" t="n">
        <x:f>D833-E833</x:f>
        <x:v>-4689204</x:v>
      </x:c>
      <x:c r="G833" s="49" t="n">
        <x:v>2</x:v>
      </x:c>
      <x:c r="H833" s="49" t="n">
        <x:v>23</x:v>
      </x:c>
      <x:c r="I833" s="47" t="n">
        <x:v>-4754496</x:v>
      </x:c>
      <x:c r="J833" s="49" t="n">
        <x:v>1554</x:v>
      </x:c>
      <x:c r="K833" s="47" t="n">
        <x:v>-463972</x:v>
      </x:c>
      <x:c r="L833" s="47" t="n">
        <x:v>206717.21739130435</x:v>
      </x:c>
      <x:c r="M833" s="48" t="n">
        <x:v>3.3913333333333333</x:v>
      </x:c>
      <x:c r="N833" s="48" t="n">
        <x:v>545.0746666666666</x:v>
      </x:c>
      <x:c r="O833" s="49" t="n">
        <x:v>5</x:v>
      </x:c>
      <x:c r="P833" s="1" t="str">
        <x:v>中期支持の3枚参加と保護後追撃・標準</x:v>
      </x:c>
      <x:c r="Q833" s="49" t="n">
        <x:v>0</x:v>
      </x:c>
      <x:c r="R833" s="50" t="n">
        <x:v>0.6988136752136751</x:v>
      </x:c>
      <x:c r="S833" s="50" t="n">
        <x:v>0.6988136752136752</x:v>
      </x:c>
      <x:c r="T833" s="1" t="str">
        <x:v>ナイト</x:v>
      </x:c>
      <x:c r="U833" s="49" t="n">
        <x:v>25</x:v>
      </x:c>
    </x:row>
    <x:row r="834" ht="22" customHeight="1">
      <x:c r="A834" s="1" t="str">
        <x:v>日経mini</x:v>
      </x:c>
      <x:c r="B834" s="1" t="str">
        <x:v>P09</x:v>
      </x:c>
      <x:c r="C834" s="1" t="str">
        <x:v>全50場</x:v>
      </x:c>
      <x:c r="D834" s="47" t="n">
        <x:v>6081108</x:v>
      </x:c>
      <x:c r="E834" s="47" t="n">
        <x:v>10338620</x:v>
      </x:c>
      <x:c r="F834" s="47" t="n">
        <x:f>D834-E834</x:f>
        <x:v>-4257512</x:v>
      </x:c>
      <x:c r="G834" s="49" t="n">
        <x:v>2</x:v>
      </x:c>
      <x:c r="H834" s="49" t="n">
        <x:v>22</x:v>
      </x:c>
      <x:c r="I834" s="47" t="n">
        <x:v>-4322804</x:v>
      </x:c>
      <x:c r="J834" s="49" t="n">
        <x:v>1502</x:v>
      </x:c>
      <x:c r="K834" s="47" t="n">
        <x:v>-519144</x:v>
      </x:c>
      <x:c r="L834" s="47" t="n">
        <x:v>196491.0909090909</x:v>
      </x:c>
      <x:c r="M834" s="48" t="n">
        <x:v>3.3486111111111114</x:v>
      </x:c>
      <x:c r="N834" s="48" t="n">
        <x:v>455.13263888888883</x:v>
      </x:c>
      <x:c r="O834" s="49" t="n">
        <x:v>5</x:v>
      </x:c>
      <x:c r="P834" s="1" t="str">
        <x:v>中期支持の3枚参加と保護後追撃・標準</x:v>
      </x:c>
      <x:c r="Q834" s="49" t="n">
        <x:v>0</x:v>
      </x:c>
      <x:c r="R834" s="50" t="n">
        <x:v>0.761913029100529</x:v>
      </x:c>
      <x:c r="S834" s="50" t="n">
        <x:v>0.740053071364047</x:v>
      </x:c>
      <x:c r="T834" s="1" t="str">
        <x:v>上昇</x:v>
      </x:c>
      <x:c r="U834" s="49" t="n">
        <x:v>24</x:v>
      </x:c>
    </x:row>
    <x:row r="835" ht="22" customHeight="1">
      <x:c r="A835" s="1" t="str">
        <x:v>日経mini</x:v>
      </x:c>
      <x:c r="B835" s="1" t="str">
        <x:v>P09</x:v>
      </x:c>
      <x:c r="C835" s="1" t="str">
        <x:v>全50場</x:v>
      </x:c>
      <x:c r="D835" s="47" t="n">
        <x:v>5797330</x:v>
      </x:c>
      <x:c r="E835" s="47" t="n">
        <x:v>12573438</x:v>
      </x:c>
      <x:c r="F835" s="47" t="n">
        <x:f>D835-E835</x:f>
        <x:v>-6776108</x:v>
      </x:c>
      <x:c r="G835" s="49" t="n">
        <x:v>1</x:v>
      </x:c>
      <x:c r="H835" s="49" t="n">
        <x:v>25</x:v>
      </x:c>
      <x:c r="I835" s="47" t="n">
        <x:v>-6820648</x:v>
      </x:c>
      <x:c r="J835" s="49" t="n">
        <x:v>1590</x:v>
      </x:c>
      <x:c r="K835" s="47" t="n">
        <x:v>-738446</x:v>
      </x:c>
      <x:c r="L835" s="47" t="n">
        <x:v>272825.92</x:v>
      </x:c>
      <x:c r="M835" s="48" t="n">
        <x:v>3.496794871794872</x:v>
      </x:c>
      <x:c r="N835" s="48" t="n">
        <x:v>435.1942307692307</x:v>
      </x:c>
      <x:c r="O835" s="49" t="n">
        <x:v>5</x:v>
      </x:c>
      <x:c r="P835" s="1" t="str">
        <x:v>中期支持の3枚参加と保護後追撃・標準</x:v>
      </x:c>
      <x:c r="Q835" s="49" t="n">
        <x:v>0</x:v>
      </x:c>
      <x:c r="R835" s="50" t="n">
        <x:v>0.7572185826993519</x:v>
      </x:c>
      <x:c r="S835" s="50" t="n">
        <x:v>0.7424573490813647</x:v>
      </x:c>
      <x:c r="T835" s="1" t="str">
        <x:v>下落</x:v>
      </x:c>
      <x:c r="U835" s="49" t="n">
        <x:v>26</x:v>
      </x:c>
    </x:row>
    <x:row r="836" ht="22" customHeight="1">
      <x:c r="A836" s="1" t="str">
        <x:v>日経mini</x:v>
      </x:c>
      <x:c r="B836" s="1" t="str">
        <x:v>P09</x:v>
      </x:c>
      <x:c r="C836" s="1" t="str">
        <x:v>対照47場</x:v>
      </x:c>
      <x:c r="D836" s="47" t="n">
        <x:v>10945998</x:v>
      </x:c>
      <x:c r="E836" s="47" t="n">
        <x:v>21127926</x:v>
      </x:c>
      <x:c r="F836" s="47" t="n">
        <x:f>D836-E836</x:f>
        <x:v>-10181928</x:v>
      </x:c>
      <x:c r="G836" s="49" t="n">
        <x:v>3</x:v>
      </x:c>
      <x:c r="H836" s="49" t="n">
        <x:v>44</x:v>
      </x:c>
      <x:c r="I836" s="47" t="n">
        <x:v>-10291760</x:v>
      </x:c>
      <x:c r="J836" s="49" t="n">
        <x:v>2853</x:v>
      </x:c>
      <x:c r="K836" s="47" t="n">
        <x:v>-738446</x:v>
      </x:c>
      <x:c r="L836" s="47" t="n">
        <x:v>233903.63636363635</x:v>
      </x:c>
      <x:c r="M836" s="48" t="n">
        <x:v>3.4471631205673763</x:v>
      </x:c>
      <x:c r="N836" s="48" t="n">
        <x:v>438.2879432624115</x:v>
      </x:c>
      <x:c r="O836" s="49" t="n">
        <x:v>5</x:v>
      </x:c>
      <x:c r="P836" s="1" t="str">
        <x:v>中期支持の3枚参加と保護後追撃・標準</x:v>
      </x:c>
      <x:c r="Q836" s="49" t="n">
        <x:v>0</x:v>
      </x:c>
      <x:c r="R836" s="50" t="n">
        <x:v>0.7540496973475697</x:v>
      </x:c>
      <x:c r="S836" s="50" t="n">
        <x:v>0.7351724958363074</x:v>
      </x:c>
      <x:c r="T836" s="1" t="str">
        <x:v>全場</x:v>
      </x:c>
      <x:c r="U836" s="49" t="n">
        <x:v>47</x:v>
      </x:c>
    </x:row>
    <x:row r="837" ht="22" customHeight="1">
      <x:c r="A837" s="1" t="str">
        <x:v>日経mini</x:v>
      </x:c>
      <x:c r="B837" s="1" t="str">
        <x:v>P09</x:v>
      </x:c>
      <x:c r="C837" s="1" t="str">
        <x:v>対照47場</x:v>
      </x:c>
      <x:c r="D837" s="47" t="n">
        <x:v>5177956</x:v>
      </x:c>
      <x:c r="E837" s="47" t="n">
        <x:v>11223700</x:v>
      </x:c>
      <x:c r="F837" s="47" t="n">
        <x:f>D837-E837</x:f>
        <x:v>-6045744</x:v>
      </x:c>
      <x:c r="G837" s="49" t="n">
        <x:v>1</x:v>
      </x:c>
      <x:c r="H837" s="49" t="n">
        <x:v>23</x:v>
      </x:c>
      <x:c r="I837" s="47" t="n">
        <x:v>-6090284</x:v>
      </x:c>
      <x:c r="J837" s="49" t="n">
        <x:v>1463</x:v>
      </x:c>
      <x:c r="K837" s="47" t="n">
        <x:v>-738446</x:v>
      </x:c>
      <x:c r="L837" s="47" t="n">
        <x:v>264794.95652173914</x:v>
      </x:c>
      <x:c r="M837" s="48" t="n">
        <x:v>3.4909722222222226</x:v>
      </x:c>
      <x:c r="N837" s="48" t="n">
        <x:v>342.4131944444444</x:v>
      </x:c>
      <x:c r="O837" s="49" t="n">
        <x:v>5</x:v>
      </x:c>
      <x:c r="P837" s="1" t="str">
        <x:v>中期支持の3枚参加と保護後追撃・標準</x:v>
      </x:c>
      <x:c r="Q837" s="49" t="n">
        <x:v>0</x:v>
      </x:c>
      <x:c r="R837" s="50" t="n">
        <x:v>0.8152695105820106</x:v>
      </x:c>
      <x:c r="S837" s="50" t="n">
        <x:v>0.8152695105820105</x:v>
      </x:c>
      <x:c r="T837" s="1" t="str">
        <x:v>デイ</x:v>
      </x:c>
      <x:c r="U837" s="49" t="n">
        <x:v>24</x:v>
      </x:c>
    </x:row>
    <x:row r="838" ht="22" customHeight="1">
      <x:c r="A838" s="1" t="str">
        <x:v>日経mini</x:v>
      </x:c>
      <x:c r="B838" s="1" t="str">
        <x:v>P09</x:v>
      </x:c>
      <x:c r="C838" s="1" t="str">
        <x:v>対照47場</x:v>
      </x:c>
      <x:c r="D838" s="47" t="n">
        <x:v>5768042</x:v>
      </x:c>
      <x:c r="E838" s="47" t="n">
        <x:v>9904226</x:v>
      </x:c>
      <x:c r="F838" s="47" t="n">
        <x:f>D838-E838</x:f>
        <x:v>-4136184</x:v>
      </x:c>
      <x:c r="G838" s="49" t="n">
        <x:v>2</x:v>
      </x:c>
      <x:c r="H838" s="49" t="n">
        <x:v>21</x:v>
      </x:c>
      <x:c r="I838" s="47" t="n">
        <x:v>-4201476</x:v>
      </x:c>
      <x:c r="J838" s="49" t="n">
        <x:v>1390</x:v>
      </x:c>
      <x:c r="K838" s="47" t="n">
        <x:v>-463972</x:v>
      </x:c>
      <x:c r="L838" s="47" t="n">
        <x:v>200070.2857142857</x:v>
      </x:c>
      <x:c r="M838" s="48" t="n">
        <x:v>3.4014492753623187</x:v>
      </x:c>
      <x:c r="N838" s="48" t="n">
        <x:v>538.3311594202897</x:v>
      </x:c>
      <x:c r="O838" s="49" t="n">
        <x:v>5</x:v>
      </x:c>
      <x:c r="P838" s="1" t="str">
        <x:v>中期支持の3枚参加と保護後追撃・標準</x:v>
      </x:c>
      <x:c r="Q838" s="49" t="n">
        <x:v>0</x:v>
      </x:c>
      <x:c r="R838" s="50" t="n">
        <x:v>0.6901681531029358</x:v>
      </x:c>
      <x:c r="S838" s="50" t="n">
        <x:v>0.6901681531029357</x:v>
      </x:c>
      <x:c r="T838" s="1" t="str">
        <x:v>ナイト</x:v>
      </x:c>
      <x:c r="U838" s="49" t="n">
        <x:v>23</x:v>
      </x:c>
    </x:row>
    <x:row r="839" ht="22" customHeight="1">
      <x:c r="A839" s="1" t="str">
        <x:v>日経mini</x:v>
      </x:c>
      <x:c r="B839" s="1" t="str">
        <x:v>P09</x:v>
      </x:c>
      <x:c r="C839" s="1" t="str">
        <x:v>対照47場</x:v>
      </x:c>
      <x:c r="D839" s="47" t="n">
        <x:v>5498998</x:v>
      </x:c>
      <x:c r="E839" s="47" t="n">
        <x:v>9177322</x:v>
      </x:c>
      <x:c r="F839" s="47" t="n">
        <x:f>D839-E839</x:f>
        <x:v>-3678324</x:v>
      </x:c>
      <x:c r="G839" s="49" t="n">
        <x:v>2</x:v>
      </x:c>
      <x:c r="H839" s="49" t="n">
        <x:v>20</x:v>
      </x:c>
      <x:c r="I839" s="47" t="n">
        <x:v>-3743616</x:v>
      </x:c>
      <x:c r="J839" s="49" t="n">
        <x:v>1356</x:v>
      </x:c>
      <x:c r="K839" s="47" t="n">
        <x:v>-519144</x:v>
      </x:c>
      <x:c r="L839" s="47" t="n">
        <x:v>187180.8</x:v>
      </x:c>
      <x:c r="M839" s="48" t="n">
        <x:v>3.4257575757575767</x:v>
      </x:c>
      <x:c r="N839" s="48" t="n">
        <x:v>449.7583333333334</x:v>
      </x:c>
      <x:c r="O839" s="49" t="n">
        <x:v>5</x:v>
      </x:c>
      <x:c r="P839" s="1" t="str">
        <x:v>中期支持の3枚参加と保護後追撃・標準</x:v>
      </x:c>
      <x:c r="Q839" s="49" t="n">
        <x:v>0</x:v>
      </x:c>
      <x:c r="R839" s="50" t="n">
        <x:v>0.7515891053391054</x:v>
      </x:c>
      <x:c r="S839" s="50" t="n">
        <x:v>0.7296964110127826</x:v>
      </x:c>
      <x:c r="T839" s="1" t="str">
        <x:v>上昇</x:v>
      </x:c>
      <x:c r="U839" s="49" t="n">
        <x:v>22</x:v>
      </x:c>
    </x:row>
    <x:row r="840" ht="22" customHeight="1">
      <x:c r="A840" s="1" t="str">
        <x:v>日経mini</x:v>
      </x:c>
      <x:c r="B840" s="1" t="str">
        <x:v>P09</x:v>
      </x:c>
      <x:c r="C840" s="1" t="str">
        <x:v>対照47場</x:v>
      </x:c>
      <x:c r="D840" s="47" t="n">
        <x:v>5447000</x:v>
      </x:c>
      <x:c r="E840" s="47" t="n">
        <x:v>11950604</x:v>
      </x:c>
      <x:c r="F840" s="47" t="n">
        <x:f>D840-E840</x:f>
        <x:v>-6503604</x:v>
      </x:c>
      <x:c r="G840" s="49" t="n">
        <x:v>1</x:v>
      </x:c>
      <x:c r="H840" s="49" t="n">
        <x:v>24</x:v>
      </x:c>
      <x:c r="I840" s="47" t="n">
        <x:v>-6548144</x:v>
      </x:c>
      <x:c r="J840" s="49" t="n">
        <x:v>1497</x:v>
      </x:c>
      <x:c r="K840" s="47" t="n">
        <x:v>-738446</x:v>
      </x:c>
      <x:c r="L840" s="47" t="n">
        <x:v>272839.3333333333</x:v>
      </x:c>
      <x:c r="M840" s="48" t="n">
        <x:v>3.466</x:v>
      </x:c>
      <x:c r="N840" s="48" t="n">
        <x:v>428.19399999999996</x:v>
      </x:c>
      <x:c r="O840" s="49" t="n">
        <x:v>5</x:v>
      </x:c>
      <x:c r="P840" s="1" t="str">
        <x:v>中期支持の3枚参加と保護後追撃・標準</x:v>
      </x:c>
      <x:c r="Q840" s="49" t="n">
        <x:v>0</x:v>
      </x:c>
      <x:c r="R840" s="50" t="n">
        <x:v>0.7562150183150184</x:v>
      </x:c>
      <x:c r="S840" s="50" t="n">
        <x:v>0.740307745504841</x:v>
      </x:c>
      <x:c r="T840" s="1" t="str">
        <x:v>下落</x:v>
      </x:c>
      <x:c r="U840" s="49" t="n">
        <x:v>25</x:v>
      </x:c>
    </x:row>
    <x:row r="841" ht="22" customHeight="1">
      <x:c r="A841" s="1" t="str">
        <x:v>日経mini</x:v>
      </x:c>
      <x:c r="B841" s="1" t="str">
        <x:v>P09</x:v>
      </x:c>
      <x:c r="C841" s="1" t="str">
        <x:v>診断3場</x:v>
      </x:c>
      <x:c r="D841" s="47" t="n">
        <x:v>932440</x:v>
      </x:c>
      <x:c r="E841" s="47" t="n">
        <x:v>1784132</x:v>
      </x:c>
      <x:c r="F841" s="47" t="n">
        <x:f>D841-E841</x:f>
        <x:v>-851692</x:v>
      </x:c>
      <x:c r="G841" s="49" t="n">
        <x:v>0</x:v>
      </x:c>
      <x:c r="H841" s="49" t="n">
        <x:v>3</x:v>
      </x:c>
      <x:c r="I841" s="47" t="n">
        <x:v>-851692</x:v>
      </x:c>
      <x:c r="J841" s="49" t="n">
        <x:v>239</x:v>
      </x:c>
      <x:c r="K841" s="47" t="n">
        <x:v>-298672</x:v>
      </x:c>
      <x:c r="L841" s="47" t="n">
        <x:v>283897.3333333333</x:v>
      </x:c>
      <x:c r="M841" s="48" t="n">
        <x:v>3.0888888888888886</x:v>
      </x:c>
      <x:c r="N841" s="48" t="n">
        <x:v>546.2333333333333</x:v>
      </x:c>
      <x:c r="O841" s="49" t="n">
        <x:v>5</x:v>
      </x:c>
      <x:c r="P841" s="1" t="str">
        <x:v>中期支持の3枚参加と保護後追撃・標準</x:v>
      </x:c>
      <x:c r="Q841" s="49" t="n">
        <x:v>0</x:v>
      </x:c>
      <x:c r="R841" s="50" t="n">
        <x:v>0.8444200244200243</x:v>
      </x:c>
      <x:c r="S841" s="50" t="n">
        <x:v>0.8276262626262626</x:v>
      </x:c>
      <x:c r="T841" s="1" t="str">
        <x:v>全場</x:v>
      </x:c>
      <x:c r="U841" s="49" t="n">
        <x:v>3</x:v>
      </x:c>
    </x:row>
    <x:row r="842" ht="22" customHeight="1">
      <x:c r="A842" s="1" t="str">
        <x:v>日経mini</x:v>
      </x:c>
      <x:c r="B842" s="1" t="str">
        <x:v>P09</x:v>
      </x:c>
      <x:c r="C842" s="1" t="str">
        <x:v>診断3場</x:v>
      </x:c>
      <x:c r="D842" s="47" t="n">
        <x:v>298784</x:v>
      </x:c>
      <x:c r="E842" s="47" t="n">
        <x:v>597456</x:v>
      </x:c>
      <x:c r="F842" s="47" t="n">
        <x:f>D842-E842</x:f>
        <x:v>-298672</x:v>
      </x:c>
      <x:c r="G842" s="49" t="n">
        <x:v>0</x:v>
      </x:c>
      <x:c r="H842" s="49" t="n">
        <x:v>1</x:v>
      </x:c>
      <x:c r="I842" s="47" t="n">
        <x:v>-298672</x:v>
      </x:c>
      <x:c r="J842" s="49" t="n">
        <x:v>75</x:v>
      </x:c>
      <x:c r="K842" s="47" t="n">
        <x:v>-298672</x:v>
      </x:c>
      <x:c r="L842" s="47" t="n">
        <x:v>298672</x:v>
      </x:c>
      <x:c r="M842" s="48" t="n">
        <x:v>2.716666666666667</x:v>
      </x:c>
      <x:c r="N842" s="48" t="n">
        <x:v>393.45</x:v>
      </x:c>
      <x:c r="O842" s="49" t="n">
        <x:v>5</x:v>
      </x:c>
      <x:c r="P842" s="1" t="str">
        <x:v>中期支持の3枚参加と保護後追撃・標準</x:v>
      </x:c>
      <x:c r="Q842" s="49" t="n">
        <x:v>0</x:v>
      </x:c>
      <x:c r="R842" s="50" t="n">
        <x:v>0.9367857142857143</x:v>
      </x:c>
      <x:c r="S842" s="50" t="n">
        <x:v>0.9367857142857142</x:v>
      </x:c>
      <x:c r="T842" s="1" t="str">
        <x:v>デイ</x:v>
      </x:c>
      <x:c r="U842" s="49" t="n">
        <x:v>1</x:v>
      </x:c>
    </x:row>
    <x:row r="843" ht="22" customHeight="1">
      <x:c r="A843" s="1" t="str">
        <x:v>日経mini</x:v>
      </x:c>
      <x:c r="B843" s="1" t="str">
        <x:v>P09</x:v>
      </x:c>
      <x:c r="C843" s="1" t="str">
        <x:v>診断3場</x:v>
      </x:c>
      <x:c r="D843" s="47" t="n">
        <x:v>633656</x:v>
      </x:c>
      <x:c r="E843" s="47" t="n">
        <x:v>1186676</x:v>
      </x:c>
      <x:c r="F843" s="47" t="n">
        <x:f>D843-E843</x:f>
        <x:v>-553020</x:v>
      </x:c>
      <x:c r="G843" s="49" t="n">
        <x:v>0</x:v>
      </x:c>
      <x:c r="H843" s="49" t="n">
        <x:v>2</x:v>
      </x:c>
      <x:c r="I843" s="47" t="n">
        <x:v>-553020</x:v>
      </x:c>
      <x:c r="J843" s="49" t="n">
        <x:v>164</x:v>
      </x:c>
      <x:c r="K843" s="47" t="n">
        <x:v>-280516</x:v>
      </x:c>
      <x:c r="L843" s="47" t="n">
        <x:v>276510</x:v>
      </x:c>
      <x:c r="M843" s="48" t="n">
        <x:v>3.275</x:v>
      </x:c>
      <x:c r="N843" s="48" t="n">
        <x:v>622.625</x:v>
      </x:c>
      <x:c r="O843" s="49" t="n">
        <x:v>5</x:v>
      </x:c>
      <x:c r="P843" s="1" t="str">
        <x:v>中期支持の3枚参加と保護後追撃・標準</x:v>
      </x:c>
      <x:c r="Q843" s="49" t="n">
        <x:v>0</x:v>
      </x:c>
      <x:c r="R843" s="50" t="n">
        <x:v>0.7982371794871794</x:v>
      </x:c>
      <x:c r="S843" s="50" t="n">
        <x:v>0.7982371794871795</x:v>
      </x:c>
      <x:c r="T843" s="1" t="str">
        <x:v>ナイト</x:v>
      </x:c>
      <x:c r="U843" s="49" t="n">
        <x:v>2</x:v>
      </x:c>
    </x:row>
    <x:row r="844" ht="22" customHeight="1">
      <x:c r="A844" s="1" t="str">
        <x:v>日経mini</x:v>
      </x:c>
      <x:c r="B844" s="1" t="str">
        <x:v>P09</x:v>
      </x:c>
      <x:c r="C844" s="1" t="str">
        <x:v>診断3場</x:v>
      </x:c>
      <x:c r="D844" s="47" t="n">
        <x:v>582110</x:v>
      </x:c>
      <x:c r="E844" s="47" t="n">
        <x:v>1161298</x:v>
      </x:c>
      <x:c r="F844" s="47" t="n">
        <x:f>D844-E844</x:f>
        <x:v>-579188</x:v>
      </x:c>
      <x:c r="G844" s="49" t="n">
        <x:v>0</x:v>
      </x:c>
      <x:c r="H844" s="49" t="n">
        <x:v>2</x:v>
      </x:c>
      <x:c r="I844" s="47" t="n">
        <x:v>-579188</x:v>
      </x:c>
      <x:c r="J844" s="49" t="n">
        <x:v>146</x:v>
      </x:c>
      <x:c r="K844" s="47" t="n">
        <x:v>-298672</x:v>
      </x:c>
      <x:c r="L844" s="47" t="n">
        <x:v>289594</x:v>
      </x:c>
      <x:c r="M844" s="48" t="n">
        <x:v>2.5</x:v>
      </x:c>
      <x:c r="N844" s="48" t="n">
        <x:v>514.25</x:v>
      </x:c>
      <x:c r="O844" s="49" t="n">
        <x:v>5</x:v>
      </x:c>
      <x:c r="P844" s="1" t="str">
        <x:v>中期支持の3枚参加と保護後追撃・標準</x:v>
      </x:c>
      <x:c r="Q844" s="49" t="n">
        <x:v>0</x:v>
      </x:c>
      <x:c r="R844" s="50" t="n">
        <x:v>0.8754761904761905</x:v>
      </x:c>
      <x:c r="S844" s="50" t="n">
        <x:v>0.8570833333333333</x:v>
      </x:c>
      <x:c r="T844" s="1" t="str">
        <x:v>上昇</x:v>
      </x:c>
      <x:c r="U844" s="49" t="n">
        <x:v>2</x:v>
      </x:c>
    </x:row>
    <x:row r="845" ht="22" customHeight="1">
      <x:c r="A845" s="1" t="str">
        <x:v>日経mini</x:v>
      </x:c>
      <x:c r="B845" s="1" t="str">
        <x:v>P09</x:v>
      </x:c>
      <x:c r="C845" s="1" t="str">
        <x:v>診断3場</x:v>
      </x:c>
      <x:c r="D845" s="47" t="n">
        <x:v>350330</x:v>
      </x:c>
      <x:c r="E845" s="47" t="n">
        <x:v>622834</x:v>
      </x:c>
      <x:c r="F845" s="47" t="n">
        <x:f>D845-E845</x:f>
        <x:v>-272504</x:v>
      </x:c>
      <x:c r="G845" s="49" t="n">
        <x:v>0</x:v>
      </x:c>
      <x:c r="H845" s="49" t="n">
        <x:v>1</x:v>
      </x:c>
      <x:c r="I845" s="47" t="n">
        <x:v>-272504</x:v>
      </x:c>
      <x:c r="J845" s="49" t="n">
        <x:v>93</x:v>
      </x:c>
      <x:c r="K845" s="47" t="n">
        <x:v>-272504</x:v>
      </x:c>
      <x:c r="L845" s="47" t="n">
        <x:v>272504</x:v>
      </x:c>
      <x:c r="M845" s="48" t="n">
        <x:v>4.266666666666667</x:v>
      </x:c>
      <x:c r="N845" s="48" t="n">
        <x:v>610.2</x:v>
      </x:c>
      <x:c r="O845" s="49" t="n">
        <x:v>5</x:v>
      </x:c>
      <x:c r="P845" s="1" t="str">
        <x:v>中期支持の3枚参加と保護後追撃・標準</x:v>
      </x:c>
      <x:c r="Q845" s="49" t="n">
        <x:v>0</x:v>
      </x:c>
      <x:c r="R845" s="50" t="n">
        <x:v>0.7823076923076923</x:v>
      </x:c>
      <x:c r="S845" s="50" t="n">
        <x:v>0.7823076923076924</x:v>
      </x:c>
      <x:c r="T845" s="1" t="str">
        <x:v>下落</x:v>
      </x:c>
      <x:c r="U845" s="49" t="n">
        <x:v>1</x:v>
      </x:c>
    </x:row>
    <x:row r="846" ht="22" customHeight="1">
      <x:c r="A846" s="1" t="str">
        <x:v>日経mini</x:v>
      </x:c>
      <x:c r="B846" s="1" t="str">
        <x:v>P10</x:v>
      </x:c>
      <x:c r="C846" s="1" t="str">
        <x:v>全50場</x:v>
      </x:c>
      <x:c r="D846" s="47" t="n">
        <x:v>11683936</x:v>
      </x:c>
      <x:c r="E846" s="47" t="n">
        <x:v>20972980</x:v>
      </x:c>
      <x:c r="F846" s="47" t="n">
        <x:f>D846-E846</x:f>
        <x:v>-9289044</x:v>
      </x:c>
      <x:c r="G846" s="49" t="n">
        <x:v>5</x:v>
      </x:c>
      <x:c r="H846" s="49" t="n">
        <x:v>45</x:v>
      </x:c>
      <x:c r="I846" s="47" t="n">
        <x:v>-9536692</x:v>
      </x:c>
      <x:c r="J846" s="49" t="n">
        <x:v>2474</x:v>
      </x:c>
      <x:c r="K846" s="47" t="n">
        <x:v>-600074</x:v>
      </x:c>
      <x:c r="L846" s="47" t="n">
        <x:v>212925.15555555557</x:v>
      </x:c>
      <x:c r="M846" s="48" t="n">
        <x:v>3.4256666666666673</x:v>
      </x:c>
      <x:c r="N846" s="48" t="n">
        <x:v>509.62966666666665</x:v>
      </x:c>
      <x:c r="O846" s="49" t="n">
        <x:v>5</x:v>
      </x:c>
      <x:c r="P846" s="1" t="str">
        <x:v>中期支持の3枚参加と保護後追撃・広め</x:v>
      </x:c>
      <x:c r="Q846" s="49" t="n">
        <x:v>0</x:v>
      </x:c>
      <x:c r="R846" s="50" t="n">
        <x:v>0.859463308913309</x:v>
      </x:c>
      <x:c r="S846" s="50" t="n">
        <x:v>0.8493827777777778</x:v>
      </x:c>
      <x:c r="T846" s="1" t="str">
        <x:v>全場</x:v>
      </x:c>
      <x:c r="U846" s="49" t="n">
        <x:v>50</x:v>
      </x:c>
    </x:row>
    <x:row r="847" ht="22" customHeight="1">
      <x:c r="A847" s="1" t="str">
        <x:v>日経mini</x:v>
      </x:c>
      <x:c r="B847" s="1" t="str">
        <x:v>P10</x:v>
      </x:c>
      <x:c r="C847" s="1" t="str">
        <x:v>全50場</x:v>
      </x:c>
      <x:c r="D847" s="47" t="n">
        <x:v>5667668</x:v>
      </x:c>
      <x:c r="E847" s="47" t="n">
        <x:v>10941654</x:v>
      </x:c>
      <x:c r="F847" s="47" t="n">
        <x:f>D847-E847</x:f>
        <x:v>-5273986</x:v>
      </x:c>
      <x:c r="G847" s="49" t="n">
        <x:v>1</x:v>
      </x:c>
      <x:c r="H847" s="49" t="n">
        <x:v>24</x:v>
      </x:c>
      <x:c r="I847" s="47" t="n">
        <x:v>-5310530</x:v>
      </x:c>
      <x:c r="J847" s="49" t="n">
        <x:v>1285</x:v>
      </x:c>
      <x:c r="K847" s="47" t="n">
        <x:v>-600074</x:v>
      </x:c>
      <x:c r="L847" s="47" t="n">
        <x:v>221272.08333333334</x:v>
      </x:c>
      <x:c r="M847" s="48" t="n">
        <x:v>3.4600000000000004</x:v>
      </x:c>
      <x:c r="N847" s="48" t="n">
        <x:v>375.0873333333334</x:v>
      </x:c>
      <x:c r="O847" s="49" t="n">
        <x:v>5</x:v>
      </x:c>
      <x:c r="P847" s="1" t="str">
        <x:v>中期支持の3枚参加と保護後追撃・広め</x:v>
      </x:c>
      <x:c r="Q847" s="49" t="n">
        <x:v>0</x:v>
      </x:c>
      <x:c r="R847" s="50" t="n">
        <x:v>0.8930650793650793</x:v>
      </x:c>
      <x:c r="S847" s="50" t="n">
        <x:v>0.8930650793650793</x:v>
      </x:c>
      <x:c r="T847" s="1" t="str">
        <x:v>デイ</x:v>
      </x:c>
      <x:c r="U847" s="49" t="n">
        <x:v>25</x:v>
      </x:c>
    </x:row>
    <x:row r="848" ht="22" customHeight="1">
      <x:c r="A848" s="1" t="str">
        <x:v>日経mini</x:v>
      </x:c>
      <x:c r="B848" s="1" t="str">
        <x:v>P10</x:v>
      </x:c>
      <x:c r="C848" s="1" t="str">
        <x:v>全50場</x:v>
      </x:c>
      <x:c r="D848" s="47" t="n">
        <x:v>6016268</x:v>
      </x:c>
      <x:c r="E848" s="47" t="n">
        <x:v>10031326</x:v>
      </x:c>
      <x:c r="F848" s="47" t="n">
        <x:f>D848-E848</x:f>
        <x:v>-4015058</x:v>
      </x:c>
      <x:c r="G848" s="49" t="n">
        <x:v>4</x:v>
      </x:c>
      <x:c r="H848" s="49" t="n">
        <x:v>21</x:v>
      </x:c>
      <x:c r="I848" s="47" t="n">
        <x:v>-4250786</x:v>
      </x:c>
      <x:c r="J848" s="49" t="n">
        <x:v>1189</x:v>
      </x:c>
      <x:c r="K848" s="47" t="n">
        <x:v>-425530</x:v>
      </x:c>
      <x:c r="L848" s="47" t="n">
        <x:v>203385.80952380953</x:v>
      </x:c>
      <x:c r="M848" s="48" t="n">
        <x:v>3.3913333333333333</x:v>
      </x:c>
      <x:c r="N848" s="48" t="n">
        <x:v>644.172</x:v>
      </x:c>
      <x:c r="O848" s="49" t="n">
        <x:v>5</x:v>
      </x:c>
      <x:c r="P848" s="1" t="str">
        <x:v>中期支持の3枚参加と保護後追撃・広め</x:v>
      </x:c>
      <x:c r="Q848" s="49" t="n">
        <x:v>0</x:v>
      </x:c>
      <x:c r="R848" s="50" t="n">
        <x:v>0.8258615384615383</x:v>
      </x:c>
      <x:c r="S848" s="50" t="n">
        <x:v>0.8258615384615384</x:v>
      </x:c>
      <x:c r="T848" s="1" t="str">
        <x:v>ナイト</x:v>
      </x:c>
      <x:c r="U848" s="49" t="n">
        <x:v>25</x:v>
      </x:c>
    </x:row>
    <x:row r="849" ht="22" customHeight="1">
      <x:c r="A849" s="1" t="str">
        <x:v>日経mini</x:v>
      </x:c>
      <x:c r="B849" s="1" t="str">
        <x:v>P10</x:v>
      </x:c>
      <x:c r="C849" s="1" t="str">
        <x:v>全50場</x:v>
      </x:c>
      <x:c r="D849" s="47" t="n">
        <x:v>5974862</x:v>
      </x:c>
      <x:c r="E849" s="47" t="n">
        <x:v>9886268</x:v>
      </x:c>
      <x:c r="F849" s="47" t="n">
        <x:f>D849-E849</x:f>
        <x:v>-3911406</x:v>
      </x:c>
      <x:c r="G849" s="49" t="n">
        <x:v>2</x:v>
      </x:c>
      <x:c r="H849" s="49" t="n">
        <x:v>22</x:v>
      </x:c>
      <x:c r="I849" s="47" t="n">
        <x:v>-4122510</x:v>
      </x:c>
      <x:c r="J849" s="49" t="n">
        <x:v>1214</x:v>
      </x:c>
      <x:c r="K849" s="47" t="n">
        <x:v>-545688</x:v>
      </x:c>
      <x:c r="L849" s="47" t="n">
        <x:v>187386.81818181818</x:v>
      </x:c>
      <x:c r="M849" s="48" t="n">
        <x:v>3.3486111111111114</x:v>
      </x:c>
      <x:c r="N849" s="48" t="n">
        <x:v>515.5486111111111</x:v>
      </x:c>
      <x:c r="O849" s="49" t="n">
        <x:v>5</x:v>
      </x:c>
      <x:c r="P849" s="1" t="str">
        <x:v>中期支持の3枚参加と保護後追撃・広め</x:v>
      </x:c>
      <x:c r="Q849" s="49" t="n">
        <x:v>0</x:v>
      </x:c>
      <x:c r="R849" s="50" t="n">
        <x:v>0.8466305453805454</x:v>
      </x:c>
      <x:c r="S849" s="50" t="n">
        <x:v>0.8382904245709123</x:v>
      </x:c>
      <x:c r="T849" s="1" t="str">
        <x:v>上昇</x:v>
      </x:c>
      <x:c r="U849" s="49" t="n">
        <x:v>24</x:v>
      </x:c>
    </x:row>
    <x:row r="850" ht="22" customHeight="1">
      <x:c r="A850" s="1" t="str">
        <x:v>日経mini</x:v>
      </x:c>
      <x:c r="B850" s="1" t="str">
        <x:v>P10</x:v>
      </x:c>
      <x:c r="C850" s="1" t="str">
        <x:v>全50場</x:v>
      </x:c>
      <x:c r="D850" s="47" t="n">
        <x:v>5709074</x:v>
      </x:c>
      <x:c r="E850" s="47" t="n">
        <x:v>11086712</x:v>
      </x:c>
      <x:c r="F850" s="47" t="n">
        <x:f>D850-E850</x:f>
        <x:v>-5377638</x:v>
      </x:c>
      <x:c r="G850" s="49" t="n">
        <x:v>3</x:v>
      </x:c>
      <x:c r="H850" s="49" t="n">
        <x:v>23</x:v>
      </x:c>
      <x:c r="I850" s="47" t="n">
        <x:v>-5459122</x:v>
      </x:c>
      <x:c r="J850" s="49" t="n">
        <x:v>1260</x:v>
      </x:c>
      <x:c r="K850" s="47" t="n">
        <x:v>-600074</x:v>
      </x:c>
      <x:c r="L850" s="47" t="n">
        <x:v>237353.13043478262</x:v>
      </x:c>
      <x:c r="M850" s="48" t="n">
        <x:v>3.496794871794872</x:v>
      </x:c>
      <x:c r="N850" s="48" t="n">
        <x:v>504.1660256410256</x:v>
      </x:c>
      <x:c r="O850" s="49" t="n">
        <x:v>5</x:v>
      </x:c>
      <x:c r="P850" s="1" t="str">
        <x:v>中期支持の3枚参加と保護後追撃・広め</x:v>
      </x:c>
      <x:c r="Q850" s="49" t="n">
        <x:v>0</x:v>
      </x:c>
      <x:c r="R850" s="50" t="n">
        <x:v>0.871308936789706</x:v>
      </x:c>
      <x:c r="S850" s="50" t="n">
        <x:v>0.8601257655293088</x:v>
      </x:c>
      <x:c r="T850" s="1" t="str">
        <x:v>下落</x:v>
      </x:c>
      <x:c r="U850" s="49" t="n">
        <x:v>26</x:v>
      </x:c>
    </x:row>
    <x:row r="851" ht="22" customHeight="1">
      <x:c r="A851" s="1" t="str">
        <x:v>日経mini</x:v>
      </x:c>
      <x:c r="B851" s="1" t="str">
        <x:v>P10</x:v>
      </x:c>
      <x:c r="C851" s="1" t="str">
        <x:v>対照47場</x:v>
      </x:c>
      <x:c r="D851" s="47" t="n">
        <x:v>10709682</x:v>
      </x:c>
      <x:c r="E851" s="47" t="n">
        <x:v>19291758</x:v>
      </x:c>
      <x:c r="F851" s="47" t="n">
        <x:f>D851-E851</x:f>
        <x:v>-8582076</x:v>
      </x:c>
      <x:c r="G851" s="49" t="n">
        <x:v>5</x:v>
      </x:c>
      <x:c r="H851" s="49" t="n">
        <x:v>42</x:v>
      </x:c>
      <x:c r="I851" s="47" t="n">
        <x:v>-8829724</x:v>
      </x:c>
      <x:c r="J851" s="49" t="n">
        <x:v>2290</x:v>
      </x:c>
      <x:c r="K851" s="47" t="n">
        <x:v>-600074</x:v>
      </x:c>
      <x:c r="L851" s="47" t="n">
        <x:v>211301.52380952382</x:v>
      </x:c>
      <x:c r="M851" s="48" t="n">
        <x:v>3.4471631205673763</x:v>
      </x:c>
      <x:c r="N851" s="48" t="n">
        <x:v>504.3503546099292</x:v>
      </x:c>
      <x:c r="O851" s="49" t="n">
        <x:v>5</x:v>
      </x:c>
      <x:c r="P851" s="1" t="str">
        <x:v>中期支持の3枚参加と保護後追撃・広め</x:v>
      </x:c>
      <x:c r="Q851" s="49" t="n">
        <x:v>0</x:v>
      </x:c>
      <x:c r="R851" s="50" t="n">
        <x:v>0.8565628815628815</x:v>
      </x:c>
      <x:c r="S851" s="50" t="n">
        <x:v>0.8459838210801809</x:v>
      </x:c>
      <x:c r="T851" s="1" t="str">
        <x:v>全場</x:v>
      </x:c>
      <x:c r="U851" s="49" t="n">
        <x:v>47</x:v>
      </x:c>
    </x:row>
    <x:row r="852" ht="22" customHeight="1">
      <x:c r="A852" s="1" t="str">
        <x:v>日経mini</x:v>
      </x:c>
      <x:c r="B852" s="1" t="str">
        <x:v>P10</x:v>
      </x:c>
      <x:c r="C852" s="1" t="str">
        <x:v>対照47場</x:v>
      </x:c>
      <x:c r="D852" s="47" t="n">
        <x:v>5274124</x:v>
      </x:c>
      <x:c r="E852" s="47" t="n">
        <x:v>10337502</x:v>
      </x:c>
      <x:c r="F852" s="47" t="n">
        <x:f>D852-E852</x:f>
        <x:v>-5063378</x:v>
      </x:c>
      <x:c r="G852" s="49" t="n">
        <x:v>1</x:v>
      </x:c>
      <x:c r="H852" s="49" t="n">
        <x:v>23</x:v>
      </x:c>
      <x:c r="I852" s="47" t="n">
        <x:v>-5099922</x:v>
      </x:c>
      <x:c r="J852" s="49" t="n">
        <x:v>1223</x:v>
      </x:c>
      <x:c r="K852" s="47" t="n">
        <x:v>-600074</x:v>
      </x:c>
      <x:c r="L852" s="47" t="n">
        <x:v>221735.73913043478</x:v>
      </x:c>
      <x:c r="M852" s="48" t="n">
        <x:v>3.4909722222222226</x:v>
      </x:c>
      <x:c r="N852" s="48" t="n">
        <x:v>374.16597222222225</x:v>
      </x:c>
      <x:c r="O852" s="49" t="n">
        <x:v>5</x:v>
      </x:c>
      <x:c r="P852" s="1" t="str">
        <x:v>中期支持の3枚参加と保護後追撃・広め</x:v>
      </x:c>
      <x:c r="Q852" s="49" t="n">
        <x:v>0</x:v>
      </x:c>
      <x:c r="R852" s="50" t="n">
        <x:v>0.8908713624338623</x:v>
      </x:c>
      <x:c r="S852" s="50" t="n">
        <x:v>0.8908713624338624</x:v>
      </x:c>
      <x:c r="T852" s="1" t="str">
        <x:v>デイ</x:v>
      </x:c>
      <x:c r="U852" s="49" t="n">
        <x:v>24</x:v>
      </x:c>
    </x:row>
    <x:row r="853" ht="22" customHeight="1">
      <x:c r="A853" s="1" t="str">
        <x:v>日経mini</x:v>
      </x:c>
      <x:c r="B853" s="1" t="str">
        <x:v>P10</x:v>
      </x:c>
      <x:c r="C853" s="1" t="str">
        <x:v>対照47場</x:v>
      </x:c>
      <x:c r="D853" s="47" t="n">
        <x:v>5435558</x:v>
      </x:c>
      <x:c r="E853" s="47" t="n">
        <x:v>8954256</x:v>
      </x:c>
      <x:c r="F853" s="47" t="n">
        <x:f>D853-E853</x:f>
        <x:v>-3518698</x:v>
      </x:c>
      <x:c r="G853" s="49" t="n">
        <x:v>4</x:v>
      </x:c>
      <x:c r="H853" s="49" t="n">
        <x:v>19</x:v>
      </x:c>
      <x:c r="I853" s="47" t="n">
        <x:v>-3754426</x:v>
      </x:c>
      <x:c r="J853" s="49" t="n">
        <x:v>1067</x:v>
      </x:c>
      <x:c r="K853" s="47" t="n">
        <x:v>-425530</x:v>
      </x:c>
      <x:c r="L853" s="47" t="n">
        <x:v>198670.63157894736</x:v>
      </x:c>
      <x:c r="M853" s="48" t="n">
        <x:v>3.4014492753623187</x:v>
      </x:c>
      <x:c r="N853" s="48" t="n">
        <x:v>640.194927536232</x:v>
      </x:c>
      <x:c r="O853" s="49" t="n">
        <x:v>5</x:v>
      </x:c>
      <x:c r="P853" s="1" t="str">
        <x:v>中期支持の3枚参加と保護後追撃・広め</x:v>
      </x:c>
      <x:c r="Q853" s="49" t="n">
        <x:v>0</x:v>
      </x:c>
      <x:c r="R853" s="50" t="n">
        <x:v>0.8207627276105538</x:v>
      </x:c>
      <x:c r="S853" s="50" t="n">
        <x:v>0.8207627276105537</x:v>
      </x:c>
      <x:c r="T853" s="1" t="str">
        <x:v>ナイト</x:v>
      </x:c>
      <x:c r="U853" s="49" t="n">
        <x:v>23</x:v>
      </x:c>
    </x:row>
    <x:row r="854" ht="22" customHeight="1">
      <x:c r="A854" s="1" t="str">
        <x:v>日経mini</x:v>
      </x:c>
      <x:c r="B854" s="1" t="str">
        <x:v>P10</x:v>
      </x:c>
      <x:c r="C854" s="1" t="str">
        <x:v>対照47場</x:v>
      </x:c>
      <x:c r="D854" s="47" t="n">
        <x:v>5337154</x:v>
      </x:c>
      <x:c r="E854" s="47" t="n">
        <x:v>8814348</x:v>
      </x:c>
      <x:c r="F854" s="47" t="n">
        <x:f>D854-E854</x:f>
        <x:v>-3477194</x:v>
      </x:c>
      <x:c r="G854" s="49" t="n">
        <x:v>2</x:v>
      </x:c>
      <x:c r="H854" s="49" t="n">
        <x:v>20</x:v>
      </x:c>
      <x:c r="I854" s="47" t="n">
        <x:v>-3688298</x:v>
      </x:c>
      <x:c r="J854" s="49" t="n">
        <x:v>1096</x:v>
      </x:c>
      <x:c r="K854" s="47" t="n">
        <x:v>-545688</x:v>
      </x:c>
      <x:c r="L854" s="47" t="n">
        <x:v>184414.9</x:v>
      </x:c>
      <x:c r="M854" s="48" t="n">
        <x:v>3.4257575757575767</x:v>
      </x:c>
      <x:c r="N854" s="48" t="n">
        <x:v>513.0939393939394</x:v>
      </x:c>
      <x:c r="O854" s="49" t="n">
        <x:v>5</x:v>
      </x:c>
      <x:c r="P854" s="1" t="str">
        <x:v>中期支持の3枚参加と保護後追撃・広め</x:v>
      </x:c>
      <x:c r="Q854" s="49" t="n">
        <x:v>0</x:v>
      </x:c>
      <x:c r="R854" s="50" t="n">
        <x:v>0.8405225330225331</x:v>
      </x:c>
      <x:c r="S854" s="50" t="n">
        <x:v>0.8324532940019667</x:v>
      </x:c>
      <x:c r="T854" s="1" t="str">
        <x:v>上昇</x:v>
      </x:c>
      <x:c r="U854" s="49" t="n">
        <x:v>22</x:v>
      </x:c>
    </x:row>
    <x:row r="855" ht="22" customHeight="1">
      <x:c r="A855" s="1" t="str">
        <x:v>日経mini</x:v>
      </x:c>
      <x:c r="B855" s="1" t="str">
        <x:v>P10</x:v>
      </x:c>
      <x:c r="C855" s="1" t="str">
        <x:v>対照47場</x:v>
      </x:c>
      <x:c r="D855" s="47" t="n">
        <x:v>5372528</x:v>
      </x:c>
      <x:c r="E855" s="47" t="n">
        <x:v>10477410</x:v>
      </x:c>
      <x:c r="F855" s="47" t="n">
        <x:f>D855-E855</x:f>
        <x:v>-5104882</x:v>
      </x:c>
      <x:c r="G855" s="49" t="n">
        <x:v>3</x:v>
      </x:c>
      <x:c r="H855" s="49" t="n">
        <x:v>22</x:v>
      </x:c>
      <x:c r="I855" s="47" t="n">
        <x:v>-5186366</x:v>
      </x:c>
      <x:c r="J855" s="49" t="n">
        <x:v>1194</x:v>
      </x:c>
      <x:c r="K855" s="47" t="n">
        <x:v>-600074</x:v>
      </x:c>
      <x:c r="L855" s="47" t="n">
        <x:v>235743.9090909091</x:v>
      </x:c>
      <x:c r="M855" s="48" t="n">
        <x:v>3.466</x:v>
      </x:c>
      <x:c r="N855" s="48" t="n">
        <x:v>496.656</x:v>
      </x:c>
      <x:c r="O855" s="49" t="n">
        <x:v>5</x:v>
      </x:c>
      <x:c r="P855" s="1" t="str">
        <x:v>中期支持の3枚参加と保護後追撃・広め</x:v>
      </x:c>
      <x:c r="Q855" s="49" t="n">
        <x:v>0</x:v>
      </x:c>
      <x:c r="R855" s="50" t="n">
        <x:v>0.8706783882783883</x:v>
      </x:c>
      <x:c r="S855" s="50" t="n">
        <x:v>0.8586721991701245</x:v>
      </x:c>
      <x:c r="T855" s="1" t="str">
        <x:v>下落</x:v>
      </x:c>
      <x:c r="U855" s="49" t="n">
        <x:v>25</x:v>
      </x:c>
    </x:row>
    <x:row r="856" ht="22" customHeight="1">
      <x:c r="A856" s="1" t="str">
        <x:v>日経mini</x:v>
      </x:c>
      <x:c r="B856" s="1" t="str">
        <x:v>P10</x:v>
      </x:c>
      <x:c r="C856" s="1" t="str">
        <x:v>診断3場</x:v>
      </x:c>
      <x:c r="D856" s="47" t="n">
        <x:v>974254</x:v>
      </x:c>
      <x:c r="E856" s="47" t="n">
        <x:v>1681222</x:v>
      </x:c>
      <x:c r="F856" s="47" t="n">
        <x:f>D856-E856</x:f>
        <x:v>-706968</x:v>
      </x:c>
      <x:c r="G856" s="49" t="n">
        <x:v>0</x:v>
      </x:c>
      <x:c r="H856" s="49" t="n">
        <x:v>3</x:v>
      </x:c>
      <x:c r="I856" s="47" t="n">
        <x:v>-706968</x:v>
      </x:c>
      <x:c r="J856" s="49" t="n">
        <x:v>184</x:v>
      </x:c>
      <x:c r="K856" s="47" t="n">
        <x:v>-272756</x:v>
      </x:c>
      <x:c r="L856" s="47" t="n">
        <x:v>235656</x:v>
      </x:c>
      <x:c r="M856" s="48" t="n">
        <x:v>3.0888888888888886</x:v>
      </x:c>
      <x:c r="N856" s="48" t="n">
        <x:v>592.3388888888888</x:v>
      </x:c>
      <x:c r="O856" s="49" t="n">
        <x:v>5</x:v>
      </x:c>
      <x:c r="P856" s="1" t="str">
        <x:v>中期支持の3枚参加と保護後追撃・広め</x:v>
      </x:c>
      <x:c r="Q856" s="49" t="n">
        <x:v>0</x:v>
      </x:c>
      <x:c r="R856" s="50" t="n">
        <x:v>0.9049033374033374</x:v>
      </x:c>
      <x:c r="S856" s="50" t="n">
        <x:v>0.8974831649831649</x:v>
      </x:c>
      <x:c r="T856" s="1" t="str">
        <x:v>全場</x:v>
      </x:c>
      <x:c r="U856" s="49" t="n">
        <x:v>3</x:v>
      </x:c>
    </x:row>
    <x:row r="857" ht="22" customHeight="1">
      <x:c r="A857" s="1" t="str">
        <x:v>日経mini</x:v>
      </x:c>
      <x:c r="B857" s="1" t="str">
        <x:v>P10</x:v>
      </x:c>
      <x:c r="C857" s="1" t="str">
        <x:v>診断3場</x:v>
      </x:c>
      <x:c r="D857" s="47" t="n">
        <x:v>393544</x:v>
      </x:c>
      <x:c r="E857" s="47" t="n">
        <x:v>604152</x:v>
      </x:c>
      <x:c r="F857" s="47" t="n">
        <x:f>D857-E857</x:f>
        <x:v>-210608</x:v>
      </x:c>
      <x:c r="G857" s="49" t="n">
        <x:v>0</x:v>
      </x:c>
      <x:c r="H857" s="49" t="n">
        <x:v>1</x:v>
      </x:c>
      <x:c r="I857" s="47" t="n">
        <x:v>-210608</x:v>
      </x:c>
      <x:c r="J857" s="49" t="n">
        <x:v>62</x:v>
      </x:c>
      <x:c r="K857" s="47" t="n">
        <x:v>-210608</x:v>
      </x:c>
      <x:c r="L857" s="47" t="n">
        <x:v>210608</x:v>
      </x:c>
      <x:c r="M857" s="48" t="n">
        <x:v>2.716666666666667</x:v>
      </x:c>
      <x:c r="N857" s="48" t="n">
        <x:v>397.2</x:v>
      </x:c>
      <x:c r="O857" s="49" t="n">
        <x:v>4</x:v>
      </x:c>
      <x:c r="P857" s="1" t="str">
        <x:v>中期支持の3枚参加と保護後追撃・広め</x:v>
      </x:c>
      <x:c r="Q857" s="49" t="n">
        <x:v>0</x:v>
      </x:c>
      <x:c r="R857" s="50" t="n">
        <x:v>0.9457142857142857</x:v>
      </x:c>
      <x:c r="S857" s="50" t="n">
        <x:v>0.9457142857142857</x:v>
      </x:c>
      <x:c r="T857" s="1" t="str">
        <x:v>デイ</x:v>
      </x:c>
      <x:c r="U857" s="49" t="n">
        <x:v>1</x:v>
      </x:c>
    </x:row>
    <x:row r="858" ht="22" customHeight="1">
      <x:c r="A858" s="1" t="str">
        <x:v>日経mini</x:v>
      </x:c>
      <x:c r="B858" s="1" t="str">
        <x:v>P10</x:v>
      </x:c>
      <x:c r="C858" s="1" t="str">
        <x:v>診断3場</x:v>
      </x:c>
      <x:c r="D858" s="47" t="n">
        <x:v>580710</x:v>
      </x:c>
      <x:c r="E858" s="47" t="n">
        <x:v>1077070</x:v>
      </x:c>
      <x:c r="F858" s="47" t="n">
        <x:f>D858-E858</x:f>
        <x:v>-496360</x:v>
      </x:c>
      <x:c r="G858" s="49" t="n">
        <x:v>0</x:v>
      </x:c>
      <x:c r="H858" s="49" t="n">
        <x:v>2</x:v>
      </x:c>
      <x:c r="I858" s="47" t="n">
        <x:v>-496360</x:v>
      </x:c>
      <x:c r="J858" s="49" t="n">
        <x:v>122</x:v>
      </x:c>
      <x:c r="K858" s="47" t="n">
        <x:v>-272756</x:v>
      </x:c>
      <x:c r="L858" s="47" t="n">
        <x:v>248180</x:v>
      </x:c>
      <x:c r="M858" s="48" t="n">
        <x:v>3.275</x:v>
      </x:c>
      <x:c r="N858" s="48" t="n">
        <x:v>689.9083333333333</x:v>
      </x:c>
      <x:c r="O858" s="49" t="n">
        <x:v>5</x:v>
      </x:c>
      <x:c r="P858" s="1" t="str">
        <x:v>中期支持の3枚参加と保護後追撃・広め</x:v>
      </x:c>
      <x:c r="Q858" s="49" t="n">
        <x:v>0</x:v>
      </x:c>
      <x:c r="R858" s="50" t="n">
        <x:v>0.8844978632478633</x:v>
      </x:c>
      <x:c r="S858" s="50" t="n">
        <x:v>0.8844978632478632</x:v>
      </x:c>
      <x:c r="T858" s="1" t="str">
        <x:v>ナイト</x:v>
      </x:c>
      <x:c r="U858" s="49" t="n">
        <x:v>2</x:v>
      </x:c>
    </x:row>
    <x:row r="859" ht="22" customHeight="1">
      <x:c r="A859" s="1" t="str">
        <x:v>日経mini</x:v>
      </x:c>
      <x:c r="B859" s="1" t="str">
        <x:v>P10</x:v>
      </x:c>
      <x:c r="C859" s="1" t="str">
        <x:v>診断3場</x:v>
      </x:c>
      <x:c r="D859" s="47" t="n">
        <x:v>637708</x:v>
      </x:c>
      <x:c r="E859" s="47" t="n">
        <x:v>1071920</x:v>
      </x:c>
      <x:c r="F859" s="47" t="n">
        <x:f>D859-E859</x:f>
        <x:v>-434212</x:v>
      </x:c>
      <x:c r="G859" s="49" t="n">
        <x:v>0</x:v>
      </x:c>
      <x:c r="H859" s="49" t="n">
        <x:v>2</x:v>
      </x:c>
      <x:c r="I859" s="47" t="n">
        <x:v>-434212</x:v>
      </x:c>
      <x:c r="J859" s="49" t="n">
        <x:v>118</x:v>
      </x:c>
      <x:c r="K859" s="47" t="n">
        <x:v>-223604</x:v>
      </x:c>
      <x:c r="L859" s="47" t="n">
        <x:v>217106</x:v>
      </x:c>
      <x:c r="M859" s="48" t="n">
        <x:v>2.5</x:v>
      </x:c>
      <x:c r="N859" s="48" t="n">
        <x:v>542.55</x:v>
      </x:c>
      <x:c r="O859" s="49" t="n">
        <x:v>5</x:v>
      </x:c>
      <x:c r="P859" s="1" t="str">
        <x:v>中期支持の3枚参加と保護後追撃・広め</x:v>
      </x:c>
      <x:c r="Q859" s="49" t="n">
        <x:v>0</x:v>
      </x:c>
      <x:c r="R859" s="50" t="n">
        <x:v>0.9138186813186813</x:v>
      </x:c>
      <x:c r="S859" s="50" t="n">
        <x:v>0.9042499999999999</x:v>
      </x:c>
      <x:c r="T859" s="1" t="str">
        <x:v>上昇</x:v>
      </x:c>
      <x:c r="U859" s="49" t="n">
        <x:v>2</x:v>
      </x:c>
    </x:row>
    <x:row r="860" ht="22" customHeight="1">
      <x:c r="A860" s="1" t="str">
        <x:v>日経mini</x:v>
      </x:c>
      <x:c r="B860" s="1" t="str">
        <x:v>P10</x:v>
      </x:c>
      <x:c r="C860" s="1" t="str">
        <x:v>診断3場</x:v>
      </x:c>
      <x:c r="D860" s="47" t="n">
        <x:v>336546</x:v>
      </x:c>
      <x:c r="E860" s="47" t="n">
        <x:v>609302</x:v>
      </x:c>
      <x:c r="F860" s="47" t="n">
        <x:f>D860-E860</x:f>
        <x:v>-272756</x:v>
      </x:c>
      <x:c r="G860" s="49" t="n">
        <x:v>0</x:v>
      </x:c>
      <x:c r="H860" s="49" t="n">
        <x:v>1</x:v>
      </x:c>
      <x:c r="I860" s="47" t="n">
        <x:v>-272756</x:v>
      </x:c>
      <x:c r="J860" s="49" t="n">
        <x:v>66</x:v>
      </x:c>
      <x:c r="K860" s="47" t="n">
        <x:v>-272756</x:v>
      </x:c>
      <x:c r="L860" s="47" t="n">
        <x:v>272756</x:v>
      </x:c>
      <x:c r="M860" s="48" t="n">
        <x:v>4.266666666666667</x:v>
      </x:c>
      <x:c r="N860" s="48" t="n">
        <x:v>691.9166666666666</x:v>
      </x:c>
      <x:c r="O860" s="49" t="n">
        <x:v>5</x:v>
      </x:c>
      <x:c r="P860" s="1" t="str">
        <x:v>中期支持の3枚参加と保護後追撃・広め</x:v>
      </x:c>
      <x:c r="Q860" s="49" t="n">
        <x:v>0</x:v>
      </x:c>
      <x:c r="R860" s="50" t="n">
        <x:v>0.8870726495726495</x:v>
      </x:c>
      <x:c r="S860" s="50" t="n">
        <x:v>0.8870726495726495</x:v>
      </x:c>
      <x:c r="T860" s="1" t="str">
        <x:v>下落</x:v>
      </x:c>
      <x:c r="U860" s="49" t="n">
        <x:v>1</x:v>
      </x:c>
    </x:row>
    <x:row r="861" ht="22" customHeight="1">
      <x:c r="A861" s="1" t="str">
        <x:v>日経mini</x:v>
      </x:c>
      <x:c r="B861" s="1" t="str">
        <x:v>P11</x:v>
      </x:c>
      <x:c r="C861" s="1" t="str">
        <x:v>全50場</x:v>
      </x:c>
      <x:c r="D861" s="47" t="n">
        <x:v>9664734</x:v>
      </x:c>
      <x:c r="E861" s="47" t="n">
        <x:v>18888120</x:v>
      </x:c>
      <x:c r="F861" s="47" t="n">
        <x:f>D861-E861</x:f>
        <x:v>-9223386</x:v>
      </x:c>
      <x:c r="G861" s="49" t="n">
        <x:v>3</x:v>
      </x:c>
      <x:c r="H861" s="49" t="n">
        <x:v>47</x:v>
      </x:c>
      <x:c r="I861" s="47" t="n">
        <x:v>-9432816</x:v>
      </x:c>
      <x:c r="J861" s="49" t="n">
        <x:v>2712</x:v>
      </x:c>
      <x:c r="K861" s="47" t="n">
        <x:v>-521542</x:v>
      </x:c>
      <x:c r="L861" s="47" t="n">
        <x:v>200698.21276595743</x:v>
      </x:c>
      <x:c r="M861" s="48" t="n">
        <x:v>3.4256666666666673</x:v>
      </x:c>
      <x:c r="N861" s="48" t="n">
        <x:v>392.97166666666664</x:v>
      </x:c>
      <x:c r="O861" s="49" t="n">
        <x:v>5</x:v>
      </x:c>
      <x:c r="P861" s="1" t="str">
        <x:v>追従と反発を状態で選択・標準</x:v>
      </x:c>
      <x:c r="Q861" s="49" t="n">
        <x:v>0</x:v>
      </x:c>
      <x:c r="R861" s="50" t="n">
        <x:v>0.6702490231990232</x:v>
      </x:c>
      <x:c r="S861" s="50" t="n">
        <x:v>0.6549527777777777</x:v>
      </x:c>
      <x:c r="T861" s="1" t="str">
        <x:v>全場</x:v>
      </x:c>
      <x:c r="U861" s="49" t="n">
        <x:v>50</x:v>
      </x:c>
    </x:row>
    <x:row r="862" ht="22" customHeight="1">
      <x:c r="A862" s="1" t="str">
        <x:v>日経mini</x:v>
      </x:c>
      <x:c r="B862" s="1" t="str">
        <x:v>P11</x:v>
      </x:c>
      <x:c r="C862" s="1" t="str">
        <x:v>全50場</x:v>
      </x:c>
      <x:c r="D862" s="47" t="n">
        <x:v>4490282</x:v>
      </x:c>
      <x:c r="E862" s="47" t="n">
        <x:v>9858794</x:v>
      </x:c>
      <x:c r="F862" s="47" t="n">
        <x:f>D862-E862</x:f>
        <x:v>-5368512</x:v>
      </x:c>
      <x:c r="G862" s="49" t="n">
        <x:v>0</x:v>
      </x:c>
      <x:c r="H862" s="49" t="n">
        <x:v>25</x:v>
      </x:c>
      <x:c r="I862" s="47" t="n">
        <x:v>-5368512</x:v>
      </x:c>
      <x:c r="J862" s="49" t="n">
        <x:v>1382</x:v>
      </x:c>
      <x:c r="K862" s="47" t="n">
        <x:v>-521542</x:v>
      </x:c>
      <x:c r="L862" s="47" t="n">
        <x:v>214740.48</x:v>
      </x:c>
      <x:c r="M862" s="48" t="n">
        <x:v>3.4600000000000004</x:v>
      </x:c>
      <x:c r="N862" s="48" t="n">
        <x:v>302.9193333333333</x:v>
      </x:c>
      <x:c r="O862" s="49" t="n">
        <x:v>5</x:v>
      </x:c>
      <x:c r="P862" s="1" t="str">
        <x:v>追従と反発を状態で選択・標準</x:v>
      </x:c>
      <x:c r="Q862" s="49" t="n">
        <x:v>0</x:v>
      </x:c>
      <x:c r="R862" s="50" t="n">
        <x:v>0.721236507936508</x:v>
      </x:c>
      <x:c r="S862" s="50" t="n">
        <x:v>0.721236507936508</x:v>
      </x:c>
      <x:c r="T862" s="1" t="str">
        <x:v>デイ</x:v>
      </x:c>
      <x:c r="U862" s="49" t="n">
        <x:v>25</x:v>
      </x:c>
    </x:row>
    <x:row r="863" ht="22" customHeight="1">
      <x:c r="A863" s="1" t="str">
        <x:v>日経mini</x:v>
      </x:c>
      <x:c r="B863" s="1" t="str">
        <x:v>P11</x:v>
      </x:c>
      <x:c r="C863" s="1" t="str">
        <x:v>全50場</x:v>
      </x:c>
      <x:c r="D863" s="47" t="n">
        <x:v>5174452</x:v>
      </x:c>
      <x:c r="E863" s="47" t="n">
        <x:v>9029326</x:v>
      </x:c>
      <x:c r="F863" s="47" t="n">
        <x:f>D863-E863</x:f>
        <x:v>-3854874</x:v>
      </x:c>
      <x:c r="G863" s="49" t="n">
        <x:v>3</x:v>
      </x:c>
      <x:c r="H863" s="49" t="n">
        <x:v>22</x:v>
      </x:c>
      <x:c r="I863" s="47" t="n">
        <x:v>-4064304</x:v>
      </x:c>
      <x:c r="J863" s="49" t="n">
        <x:v>1330</x:v>
      </x:c>
      <x:c r="K863" s="47" t="n">
        <x:v>-444072</x:v>
      </x:c>
      <x:c r="L863" s="47" t="n">
        <x:v>184741.0909090909</x:v>
      </x:c>
      <x:c r="M863" s="48" t="n">
        <x:v>3.3913333333333333</x:v>
      </x:c>
      <x:c r="N863" s="48" t="n">
        <x:v>483.024</x:v>
      </x:c>
      <x:c r="O863" s="49" t="n">
        <x:v>5</x:v>
      </x:c>
      <x:c r="P863" s="1" t="str">
        <x:v>追従と反発を状態で選択・標準</x:v>
      </x:c>
      <x:c r="Q863" s="49" t="n">
        <x:v>0</x:v>
      </x:c>
      <x:c r="R863" s="50" t="n">
        <x:v>0.6192615384615384</x:v>
      </x:c>
      <x:c r="S863" s="50" t="n">
        <x:v>0.6192615384615385</x:v>
      </x:c>
      <x:c r="T863" s="1" t="str">
        <x:v>ナイト</x:v>
      </x:c>
      <x:c r="U863" s="49" t="n">
        <x:v>25</x:v>
      </x:c>
    </x:row>
    <x:row r="864" ht="22" customHeight="1">
      <x:c r="A864" s="1" t="str">
        <x:v>日経mini</x:v>
      </x:c>
      <x:c r="B864" s="1" t="str">
        <x:v>P11</x:v>
      </x:c>
      <x:c r="C864" s="1" t="str">
        <x:v>全50場</x:v>
      </x:c>
      <x:c r="D864" s="47" t="n">
        <x:v>4996096</x:v>
      </x:c>
      <x:c r="E864" s="47" t="n">
        <x:v>8733938</x:v>
      </x:c>
      <x:c r="F864" s="47" t="n">
        <x:f>D864-E864</x:f>
        <x:v>-3737842</x:v>
      </x:c>
      <x:c r="G864" s="49" t="n">
        <x:v>2</x:v>
      </x:c>
      <x:c r="H864" s="49" t="n">
        <x:v>22</x:v>
      </x:c>
      <x:c r="I864" s="47" t="n">
        <x:v>-3861182</x:v>
      </x:c>
      <x:c r="J864" s="49" t="n">
        <x:v>1307</x:v>
      </x:c>
      <x:c r="K864" s="47" t="n">
        <x:v>-385534</x:v>
      </x:c>
      <x:c r="L864" s="47" t="n">
        <x:v>175508.27272727274</x:v>
      </x:c>
      <x:c r="M864" s="48" t="n">
        <x:v>3.3486111111111114</x:v>
      </x:c>
      <x:c r="N864" s="48" t="n">
        <x:v>404.2611111111111</x:v>
      </x:c>
      <x:c r="O864" s="49" t="n">
        <x:v>5</x:v>
      </x:c>
      <x:c r="P864" s="1" t="str">
        <x:v>追従と反発を状態で選択・標準</x:v>
      </x:c>
      <x:c r="Q864" s="49" t="n">
        <x:v>0</x:v>
      </x:c>
      <x:c r="R864" s="50" t="n">
        <x:v>0.6723890923890924</x:v>
      </x:c>
      <x:c r="S864" s="50" t="n">
        <x:v>0.6573351400180668</x:v>
      </x:c>
      <x:c r="T864" s="1" t="str">
        <x:v>上昇</x:v>
      </x:c>
      <x:c r="U864" s="49" t="n">
        <x:v>24</x:v>
      </x:c>
    </x:row>
    <x:row r="865" ht="22" customHeight="1">
      <x:c r="A865" s="1" t="str">
        <x:v>日経mini</x:v>
      </x:c>
      <x:c r="B865" s="1" t="str">
        <x:v>P11</x:v>
      </x:c>
      <x:c r="C865" s="1" t="str">
        <x:v>全50場</x:v>
      </x:c>
      <x:c r="D865" s="47" t="n">
        <x:v>4668638</x:v>
      </x:c>
      <x:c r="E865" s="47" t="n">
        <x:v>10154182</x:v>
      </x:c>
      <x:c r="F865" s="47" t="n">
        <x:f>D865-E865</x:f>
        <x:v>-5485544</x:v>
      </x:c>
      <x:c r="G865" s="49" t="n">
        <x:v>1</x:v>
      </x:c>
      <x:c r="H865" s="49" t="n">
        <x:v>25</x:v>
      </x:c>
      <x:c r="I865" s="47" t="n">
        <x:v>-5571634</x:v>
      </x:c>
      <x:c r="J865" s="49" t="n">
        <x:v>1405</x:v>
      </x:c>
      <x:c r="K865" s="47" t="n">
        <x:v>-521542</x:v>
      </x:c>
      <x:c r="L865" s="47" t="n">
        <x:v>222865.36</x:v>
      </x:c>
      <x:c r="M865" s="48" t="n">
        <x:v>3.496794871794872</x:v>
      </x:c>
      <x:c r="N865" s="48" t="n">
        <x:v>382.5506410256411</x:v>
      </x:c>
      <x:c r="O865" s="49" t="n">
        <x:v>5</x:v>
      </x:c>
      <x:c r="P865" s="1" t="str">
        <x:v>追従と反発を状態で選択・標準</x:v>
      </x:c>
      <x:c r="Q865" s="49" t="n">
        <x:v>0</x:v>
      </x:c>
      <x:c r="R865" s="50" t="n">
        <x:v>0.6682735747158824</x:v>
      </x:c>
      <x:c r="S865" s="50" t="n">
        <x:v>0.652645450568679</x:v>
      </x:c>
      <x:c r="T865" s="1" t="str">
        <x:v>下落</x:v>
      </x:c>
      <x:c r="U865" s="49" t="n">
        <x:v>26</x:v>
      </x:c>
    </x:row>
    <x:row r="866" ht="22" customHeight="1">
      <x:c r="A866" s="1" t="str">
        <x:v>日経mini</x:v>
      </x:c>
      <x:c r="B866" s="1" t="str">
        <x:v>P11</x:v>
      </x:c>
      <x:c r="C866" s="1" t="str">
        <x:v>対照47場</x:v>
      </x:c>
      <x:c r="D866" s="47" t="n">
        <x:v>9064008</x:v>
      </x:c>
      <x:c r="E866" s="47" t="n">
        <x:v>17383030</x:v>
      </x:c>
      <x:c r="F866" s="47" t="n">
        <x:f>D866-E866</x:f>
        <x:v>-8319022</x:v>
      </x:c>
      <x:c r="G866" s="49" t="n">
        <x:v>3</x:v>
      </x:c>
      <x:c r="H866" s="49" t="n">
        <x:v>44</x:v>
      </x:c>
      <x:c r="I866" s="47" t="n">
        <x:v>-8528452</x:v>
      </x:c>
      <x:c r="J866" s="49" t="n">
        <x:v>2496</x:v>
      </x:c>
      <x:c r="K866" s="47" t="n">
        <x:v>-521542</x:v>
      </x:c>
      <x:c r="L866" s="47" t="n">
        <x:v>193828.45454545456</x:v>
      </x:c>
      <x:c r="M866" s="48" t="n">
        <x:v>3.4471631205673763</x:v>
      </x:c>
      <x:c r="N866" s="48" t="n">
        <x:v>389.1109929078015</x:v>
      </x:c>
      <x:c r="O866" s="49" t="n">
        <x:v>5</x:v>
      </x:c>
      <x:c r="P866" s="1" t="str">
        <x:v>追従と反発を状態で選択・標準</x:v>
      </x:c>
      <x:c r="Q866" s="49" t="n">
        <x:v>0</x:v>
      </x:c>
      <x:c r="R866" s="50" t="n">
        <x:v>0.668006066037981</x:v>
      </x:c>
      <x:c r="S866" s="50" t="n">
        <x:v>0.6526843921008804</x:v>
      </x:c>
      <x:c r="T866" s="1" t="str">
        <x:v>全場</x:v>
      </x:c>
      <x:c r="U866" s="49" t="n">
        <x:v>47</x:v>
      </x:c>
    </x:row>
    <x:row r="867" ht="22" customHeight="1">
      <x:c r="A867" s="1" t="str">
        <x:v>日経mini</x:v>
      </x:c>
      <x:c r="B867" s="1" t="str">
        <x:v>P11</x:v>
      </x:c>
      <x:c r="C867" s="1" t="str">
        <x:v>対照47場</x:v>
      </x:c>
      <x:c r="D867" s="47" t="n">
        <x:v>4340352</x:v>
      </x:c>
      <x:c r="E867" s="47" t="n">
        <x:v>9323330</x:v>
      </x:c>
      <x:c r="F867" s="47" t="n">
        <x:f>D867-E867</x:f>
        <x:v>-4982978</x:v>
      </x:c>
      <x:c r="G867" s="49" t="n">
        <x:v>0</x:v>
      </x:c>
      <x:c r="H867" s="49" t="n">
        <x:v>24</x:v>
      </x:c>
      <x:c r="I867" s="47" t="n">
        <x:v>-4982978</x:v>
      </x:c>
      <x:c r="J867" s="49" t="n">
        <x:v>1306</x:v>
      </x:c>
      <x:c r="K867" s="47" t="n">
        <x:v>-521542</x:v>
      </x:c>
      <x:c r="L867" s="47" t="n">
        <x:v>207624.08333333334</x:v>
      </x:c>
      <x:c r="M867" s="48" t="n">
        <x:v>3.4909722222222226</x:v>
      </x:c>
      <x:c r="N867" s="48" t="n">
        <x:v>301.43194444444447</x:v>
      </x:c>
      <x:c r="O867" s="49" t="n">
        <x:v>5</x:v>
      </x:c>
      <x:c r="P867" s="1" t="str">
        <x:v>追従と反発を状態で選択・標準</x:v>
      </x:c>
      <x:c r="Q867" s="49" t="n">
        <x:v>0</x:v>
      </x:c>
      <x:c r="R867" s="50" t="n">
        <x:v>0.7176951058201059</x:v>
      </x:c>
      <x:c r="S867" s="50" t="n">
        <x:v>0.7176951058201059</x:v>
      </x:c>
      <x:c r="T867" s="1" t="str">
        <x:v>デイ</x:v>
      </x:c>
      <x:c r="U867" s="49" t="n">
        <x:v>24</x:v>
      </x:c>
    </x:row>
    <x:row r="868" ht="22" customHeight="1">
      <x:c r="A868" s="1" t="str">
        <x:v>日経mini</x:v>
      </x:c>
      <x:c r="B868" s="1" t="str">
        <x:v>P11</x:v>
      </x:c>
      <x:c r="C868" s="1" t="str">
        <x:v>対照47場</x:v>
      </x:c>
      <x:c r="D868" s="47" t="n">
        <x:v>4723656</x:v>
      </x:c>
      <x:c r="E868" s="47" t="n">
        <x:v>8059700</x:v>
      </x:c>
      <x:c r="F868" s="47" t="n">
        <x:f>D868-E868</x:f>
        <x:v>-3336044</x:v>
      </x:c>
      <x:c r="G868" s="49" t="n">
        <x:v>3</x:v>
      </x:c>
      <x:c r="H868" s="49" t="n">
        <x:v>20</x:v>
      </x:c>
      <x:c r="I868" s="47" t="n">
        <x:v>-3545474</x:v>
      </x:c>
      <x:c r="J868" s="49" t="n">
        <x:v>1190</x:v>
      </x:c>
      <x:c r="K868" s="47" t="n">
        <x:v>-444072</x:v>
      </x:c>
      <x:c r="L868" s="47" t="n">
        <x:v>177273.7</x:v>
      </x:c>
      <x:c r="M868" s="48" t="n">
        <x:v>3.4014492753623187</x:v>
      </x:c>
      <x:c r="N868" s="48" t="n">
        <x:v>480.60217391304343</x:v>
      </x:c>
      <x:c r="O868" s="49" t="n">
        <x:v>5</x:v>
      </x:c>
      <x:c r="P868" s="1" t="str">
        <x:v>追従と反発を状態で選択・標準</x:v>
      </x:c>
      <x:c r="Q868" s="49" t="n">
        <x:v>0</x:v>
      </x:c>
      <x:c r="R868" s="50" t="n">
        <x:v>0.6161566332218507</x:v>
      </x:c>
      <x:c r="S868" s="50" t="n">
        <x:v>0.6161566332218507</x:v>
      </x:c>
      <x:c r="T868" s="1" t="str">
        <x:v>ナイト</x:v>
      </x:c>
      <x:c r="U868" s="49" t="n">
        <x:v>23</x:v>
      </x:c>
    </x:row>
    <x:row r="869" ht="22" customHeight="1">
      <x:c r="A869" s="1" t="str">
        <x:v>日経mini</x:v>
      </x:c>
      <x:c r="B869" s="1" t="str">
        <x:v>P11</x:v>
      </x:c>
      <x:c r="C869" s="1" t="str">
        <x:v>対照47場</x:v>
      </x:c>
      <x:c r="D869" s="47" t="n">
        <x:v>4667230</x:v>
      </x:c>
      <x:c r="E869" s="47" t="n">
        <x:v>7761084</x:v>
      </x:c>
      <x:c r="F869" s="47" t="n">
        <x:f>D869-E869</x:f>
        <x:v>-3093854</x:v>
      </x:c>
      <x:c r="G869" s="49" t="n">
        <x:v>2</x:v>
      </x:c>
      <x:c r="H869" s="49" t="n">
        <x:v>20</x:v>
      </x:c>
      <x:c r="I869" s="47" t="n">
        <x:v>-3217194</x:v>
      </x:c>
      <x:c r="J869" s="49" t="n">
        <x:v>1168</x:v>
      </x:c>
      <x:c r="K869" s="47" t="n">
        <x:v>-356776</x:v>
      </x:c>
      <x:c r="L869" s="47" t="n">
        <x:v>160859.7</x:v>
      </x:c>
      <x:c r="M869" s="48" t="n">
        <x:v>3.4257575757575767</x:v>
      </x:c>
      <x:c r="N869" s="48" t="n">
        <x:v>402.7568181818182</x:v>
      </x:c>
      <x:c r="O869" s="49" t="n">
        <x:v>5</x:v>
      </x:c>
      <x:c r="P869" s="1" t="str">
        <x:v>追従と反発を状態で選択・標準</x:v>
      </x:c>
      <x:c r="Q869" s="49" t="n">
        <x:v>0</x:v>
      </x:c>
      <x:c r="R869" s="50" t="n">
        <x:v>0.6675561938061938</x:v>
      </x:c>
      <x:c r="S869" s="50" t="n">
        <x:v>0.6534402654867256</x:v>
      </x:c>
      <x:c r="T869" s="1" t="str">
        <x:v>上昇</x:v>
      </x:c>
      <x:c r="U869" s="49" t="n">
        <x:v>22</x:v>
      </x:c>
    </x:row>
    <x:row r="870" ht="22" customHeight="1">
      <x:c r="A870" s="1" t="str">
        <x:v>日経mini</x:v>
      </x:c>
      <x:c r="B870" s="1" t="str">
        <x:v>P11</x:v>
      </x:c>
      <x:c r="C870" s="1" t="str">
        <x:v>対照47場</x:v>
      </x:c>
      <x:c r="D870" s="47" t="n">
        <x:v>4396778</x:v>
      </x:c>
      <x:c r="E870" s="47" t="n">
        <x:v>9621946</x:v>
      </x:c>
      <x:c r="F870" s="47" t="n">
        <x:f>D870-E870</x:f>
        <x:v>-5225168</x:v>
      </x:c>
      <x:c r="G870" s="49" t="n">
        <x:v>1</x:v>
      </x:c>
      <x:c r="H870" s="49" t="n">
        <x:v>24</x:v>
      </x:c>
      <x:c r="I870" s="47" t="n">
        <x:v>-5311258</x:v>
      </x:c>
      <x:c r="J870" s="49" t="n">
        <x:v>1328</x:v>
      </x:c>
      <x:c r="K870" s="47" t="n">
        <x:v>-521542</x:v>
      </x:c>
      <x:c r="L870" s="47" t="n">
        <x:v>221302.41666666666</x:v>
      </x:c>
      <x:c r="M870" s="48" t="n">
        <x:v>3.466</x:v>
      </x:c>
      <x:c r="N870" s="48" t="n">
        <x:v>377.1026666666667</x:v>
      </x:c>
      <x:c r="O870" s="49" t="n">
        <x:v>5</x:v>
      </x:c>
      <x:c r="P870" s="1" t="str">
        <x:v>追従と反発を状態で選択・標準</x:v>
      </x:c>
      <x:c r="Q870" s="49" t="n">
        <x:v>0</x:v>
      </x:c>
      <x:c r="R870" s="50" t="n">
        <x:v>0.6684019536019536</x:v>
      </x:c>
      <x:c r="S870" s="50" t="n">
        <x:v>0.6519755647763947</x:v>
      </x:c>
      <x:c r="T870" s="1" t="str">
        <x:v>下落</x:v>
      </x:c>
      <x:c r="U870" s="49" t="n">
        <x:v>25</x:v>
      </x:c>
    </x:row>
    <x:row r="871" ht="22" customHeight="1">
      <x:c r="A871" s="1" t="str">
        <x:v>日経mini</x:v>
      </x:c>
      <x:c r="B871" s="1" t="str">
        <x:v>P11</x:v>
      </x:c>
      <x:c r="C871" s="1" t="str">
        <x:v>診断3場</x:v>
      </x:c>
      <x:c r="D871" s="47" t="n">
        <x:v>600726</x:v>
      </x:c>
      <x:c r="E871" s="47" t="n">
        <x:v>1505090</x:v>
      </x:c>
      <x:c r="F871" s="47" t="n">
        <x:f>D871-E871</x:f>
        <x:v>-904364</x:v>
      </x:c>
      <x:c r="G871" s="49" t="n">
        <x:v>0</x:v>
      </x:c>
      <x:c r="H871" s="49" t="n">
        <x:v>3</x:v>
      </x:c>
      <x:c r="I871" s="47" t="n">
        <x:v>-904364</x:v>
      </x:c>
      <x:c r="J871" s="49" t="n">
        <x:v>216</x:v>
      </x:c>
      <x:c r="K871" s="47" t="n">
        <x:v>-385534</x:v>
      </x:c>
      <x:c r="L871" s="47" t="n">
        <x:v>301454.6666666667</x:v>
      </x:c>
      <x:c r="M871" s="48" t="n">
        <x:v>3.0888888888888886</x:v>
      </x:c>
      <x:c r="N871" s="48" t="n">
        <x:v>453.4555555555556</x:v>
      </x:c>
      <x:c r="O871" s="49" t="n">
        <x:v>5</x:v>
      </x:c>
      <x:c r="P871" s="1" t="str">
        <x:v>追従と反発を状態で選択・標準</x:v>
      </x:c>
      <x:c r="Q871" s="49" t="n">
        <x:v>0</x:v>
      </x:c>
      <x:c r="R871" s="50" t="n">
        <x:v>0.7053886853886854</x:v>
      </x:c>
      <x:c r="S871" s="50" t="n">
        <x:v>0.6870538720538721</x:v>
      </x:c>
      <x:c r="T871" s="1" t="str">
        <x:v>全場</x:v>
      </x:c>
      <x:c r="U871" s="49" t="n">
        <x:v>3</x:v>
      </x:c>
    </x:row>
    <x:row r="872" ht="22" customHeight="1">
      <x:c r="A872" s="1" t="str">
        <x:v>日経mini</x:v>
      </x:c>
      <x:c r="B872" s="1" t="str">
        <x:v>P11</x:v>
      </x:c>
      <x:c r="C872" s="1" t="str">
        <x:v>診断3場</x:v>
      </x:c>
      <x:c r="D872" s="47" t="n">
        <x:v>149930</x:v>
      </x:c>
      <x:c r="E872" s="47" t="n">
        <x:v>535464</x:v>
      </x:c>
      <x:c r="F872" s="47" t="n">
        <x:f>D872-E872</x:f>
        <x:v>-385534</x:v>
      </x:c>
      <x:c r="G872" s="49" t="n">
        <x:v>0</x:v>
      </x:c>
      <x:c r="H872" s="49" t="n">
        <x:v>1</x:v>
      </x:c>
      <x:c r="I872" s="47" t="n">
        <x:v>-385534</x:v>
      </x:c>
      <x:c r="J872" s="49" t="n">
        <x:v>76</x:v>
      </x:c>
      <x:c r="K872" s="47" t="n">
        <x:v>-385534</x:v>
      </x:c>
      <x:c r="L872" s="47" t="n">
        <x:v>385534</x:v>
      </x:c>
      <x:c r="M872" s="48" t="n">
        <x:v>2.716666666666667</x:v>
      </x:c>
      <x:c r="N872" s="48" t="n">
        <x:v>338.6166666666667</x:v>
      </x:c>
      <x:c r="O872" s="49" t="n">
        <x:v>5</x:v>
      </x:c>
      <x:c r="P872" s="1" t="str">
        <x:v>追従と反発を状態で選択・標準</x:v>
      </x:c>
      <x:c r="Q872" s="49" t="n">
        <x:v>0</x:v>
      </x:c>
      <x:c r="R872" s="50" t="n">
        <x:v>0.8062301587301587</x:v>
      </x:c>
      <x:c r="S872" s="50" t="n">
        <x:v>0.8062301587301588</x:v>
      </x:c>
      <x:c r="T872" s="1" t="str">
        <x:v>デイ</x:v>
      </x:c>
      <x:c r="U872" s="49" t="n">
        <x:v>1</x:v>
      </x:c>
    </x:row>
    <x:row r="873" ht="22" customHeight="1">
      <x:c r="A873" s="1" t="str">
        <x:v>日経mini</x:v>
      </x:c>
      <x:c r="B873" s="1" t="str">
        <x:v>P11</x:v>
      </x:c>
      <x:c r="C873" s="1" t="str">
        <x:v>診断3場</x:v>
      </x:c>
      <x:c r="D873" s="47" t="n">
        <x:v>450796</x:v>
      </x:c>
      <x:c r="E873" s="47" t="n">
        <x:v>969626</x:v>
      </x:c>
      <x:c r="F873" s="47" t="n">
        <x:f>D873-E873</x:f>
        <x:v>-518830</x:v>
      </x:c>
      <x:c r="G873" s="49" t="n">
        <x:v>0</x:v>
      </x:c>
      <x:c r="H873" s="49" t="n">
        <x:v>2</x:v>
      </x:c>
      <x:c r="I873" s="47" t="n">
        <x:v>-518830</x:v>
      </x:c>
      <x:c r="J873" s="49" t="n">
        <x:v>140</x:v>
      </x:c>
      <x:c r="K873" s="47" t="n">
        <x:v>-260376</x:v>
      </x:c>
      <x:c r="L873" s="47" t="n">
        <x:v>259415</x:v>
      </x:c>
      <x:c r="M873" s="48" t="n">
        <x:v>3.275</x:v>
      </x:c>
      <x:c r="N873" s="48" t="n">
        <x:v>510.875</x:v>
      </x:c>
      <x:c r="O873" s="49" t="n">
        <x:v>5</x:v>
      </x:c>
      <x:c r="P873" s="1" t="str">
        <x:v>追従と反発を状態で選択・標準</x:v>
      </x:c>
      <x:c r="Q873" s="49" t="n">
        <x:v>0</x:v>
      </x:c>
      <x:c r="R873" s="50" t="n">
        <x:v>0.6549679487179487</x:v>
      </x:c>
      <x:c r="S873" s="50" t="n">
        <x:v>0.6549679487179487</x:v>
      </x:c>
      <x:c r="T873" s="1" t="str">
        <x:v>ナイト</x:v>
      </x:c>
      <x:c r="U873" s="49" t="n">
        <x:v>2</x:v>
      </x:c>
    </x:row>
    <x:row r="874" ht="22" customHeight="1">
      <x:c r="A874" s="1" t="str">
        <x:v>日経mini</x:v>
      </x:c>
      <x:c r="B874" s="1" t="str">
        <x:v>P11</x:v>
      </x:c>
      <x:c r="C874" s="1" t="str">
        <x:v>診断3場</x:v>
      </x:c>
      <x:c r="D874" s="47" t="n">
        <x:v>328866</x:v>
      </x:c>
      <x:c r="E874" s="47" t="n">
        <x:v>972854</x:v>
      </x:c>
      <x:c r="F874" s="47" t="n">
        <x:f>D874-E874</x:f>
        <x:v>-643988</x:v>
      </x:c>
      <x:c r="G874" s="49" t="n">
        <x:v>0</x:v>
      </x:c>
      <x:c r="H874" s="49" t="n">
        <x:v>2</x:v>
      </x:c>
      <x:c r="I874" s="47" t="n">
        <x:v>-643988</x:v>
      </x:c>
      <x:c r="J874" s="49" t="n">
        <x:v>139</x:v>
      </x:c>
      <x:c r="K874" s="47" t="n">
        <x:v>-385534</x:v>
      </x:c>
      <x:c r="L874" s="47" t="n">
        <x:v>321994</x:v>
      </x:c>
      <x:c r="M874" s="48" t="n">
        <x:v>2.5</x:v>
      </x:c>
      <x:c r="N874" s="48" t="n">
        <x:v>420.80833333333334</x:v>
      </x:c>
      <x:c r="O874" s="49" t="n">
        <x:v>5</x:v>
      </x:c>
      <x:c r="P874" s="1" t="str">
        <x:v>追従と反発を状態で選択・標準</x:v>
      </x:c>
      <x:c r="Q874" s="49" t="n">
        <x:v>0</x:v>
      </x:c>
      <x:c r="R874" s="50" t="n">
        <x:v>0.7255509768009768</x:v>
      </x:c>
      <x:c r="S874" s="50" t="n">
        <x:v>0.7013472222222222</x:v>
      </x:c>
      <x:c r="T874" s="1" t="str">
        <x:v>上昇</x:v>
      </x:c>
      <x:c r="U874" s="49" t="n">
        <x:v>2</x:v>
      </x:c>
    </x:row>
    <x:row r="875" ht="22" customHeight="1">
      <x:c r="A875" s="1" t="str">
        <x:v>日経mini</x:v>
      </x:c>
      <x:c r="B875" s="1" t="str">
        <x:v>P11</x:v>
      </x:c>
      <x:c r="C875" s="1" t="str">
        <x:v>診断3場</x:v>
      </x:c>
      <x:c r="D875" s="47" t="n">
        <x:v>271860</x:v>
      </x:c>
      <x:c r="E875" s="47" t="n">
        <x:v>532236</x:v>
      </x:c>
      <x:c r="F875" s="47" t="n">
        <x:f>D875-E875</x:f>
        <x:v>-260376</x:v>
      </x:c>
      <x:c r="G875" s="49" t="n">
        <x:v>0</x:v>
      </x:c>
      <x:c r="H875" s="49" t="n">
        <x:v>1</x:v>
      </x:c>
      <x:c r="I875" s="47" t="n">
        <x:v>-260376</x:v>
      </x:c>
      <x:c r="J875" s="49" t="n">
        <x:v>77</x:v>
      </x:c>
      <x:c r="K875" s="47" t="n">
        <x:v>-260376</x:v>
      </x:c>
      <x:c r="L875" s="47" t="n">
        <x:v>260376</x:v>
      </x:c>
      <x:c r="M875" s="48" t="n">
        <x:v>4.266666666666667</x:v>
      </x:c>
      <x:c r="N875" s="48" t="n">
        <x:v>518.75</x:v>
      </x:c>
      <x:c r="O875" s="49" t="n">
        <x:v>5</x:v>
      </x:c>
      <x:c r="P875" s="1" t="str">
        <x:v>追従と反発を状態で選択・標準</x:v>
      </x:c>
      <x:c r="Q875" s="49" t="n">
        <x:v>0</x:v>
      </x:c>
      <x:c r="R875" s="50" t="n">
        <x:v>0.6650641025641025</x:v>
      </x:c>
      <x:c r="S875" s="50" t="n">
        <x:v>0.6650641025641025</x:v>
      </x:c>
      <x:c r="T875" s="1" t="str">
        <x:v>下落</x:v>
      </x:c>
      <x:c r="U875" s="49" t="n">
        <x:v>1</x:v>
      </x:c>
    </x:row>
    <x:row r="876" ht="22" customHeight="1">
      <x:c r="A876" s="1" t="str">
        <x:v>日経mini</x:v>
      </x:c>
      <x:c r="B876" s="1" t="str">
        <x:v>P12</x:v>
      </x:c>
      <x:c r="C876" s="1" t="str">
        <x:v>全50場</x:v>
      </x:c>
      <x:c r="D876" s="47" t="n">
        <x:v>9580358</x:v>
      </x:c>
      <x:c r="E876" s="47" t="n">
        <x:v>17712668</x:v>
      </x:c>
      <x:c r="F876" s="47" t="n">
        <x:f>D876-E876</x:f>
        <x:v>-8132310</x:v>
      </x:c>
      <x:c r="G876" s="49" t="n">
        <x:v>7</x:v>
      </x:c>
      <x:c r="H876" s="49" t="n">
        <x:v>43</x:v>
      </x:c>
      <x:c r="I876" s="47" t="n">
        <x:v>-8486544</x:v>
      </x:c>
      <x:c r="J876" s="49" t="n">
        <x:v>2272</x:v>
      </x:c>
      <x:c r="K876" s="47" t="n">
        <x:v>-471856</x:v>
      </x:c>
      <x:c r="L876" s="47" t="n">
        <x:v>198714.23255813954</x:v>
      </x:c>
      <x:c r="M876" s="48" t="n">
        <x:v>3.4256666666666673</x:v>
      </x:c>
      <x:c r="N876" s="48" t="n">
        <x:v>452.1716666666666</x:v>
      </x:c>
      <x:c r="O876" s="49" t="n">
        <x:v>5</x:v>
      </x:c>
      <x:c r="P876" s="1" t="str">
        <x:v>追従と反発を状態で選択・広め</x:v>
      </x:c>
      <x:c r="Q876" s="49" t="n">
        <x:v>0</x:v>
      </x:c>
      <x:c r="R876" s="50" t="n">
        <x:v>0.7586940781440782</x:v>
      </x:c>
      <x:c r="S876" s="50" t="n">
        <x:v>0.7536194444444444</x:v>
      </x:c>
      <x:c r="T876" s="1" t="str">
        <x:v>全場</x:v>
      </x:c>
      <x:c r="U876" s="49" t="n">
        <x:v>50</x:v>
      </x:c>
    </x:row>
    <x:row r="877" ht="22" customHeight="1">
      <x:c r="A877" s="1" t="str">
        <x:v>日経mini</x:v>
      </x:c>
      <x:c r="B877" s="1" t="str">
        <x:v>P12</x:v>
      </x:c>
      <x:c r="C877" s="1" t="str">
        <x:v>全50場</x:v>
      </x:c>
      <x:c r="D877" s="47" t="n">
        <x:v>4328274</x:v>
      </x:c>
      <x:c r="E877" s="47" t="n">
        <x:v>9350588</x:v>
      </x:c>
      <x:c r="F877" s="47" t="n">
        <x:f>D877-E877</x:f>
        <x:v>-5022314</x:v>
      </x:c>
      <x:c r="G877" s="49" t="n">
        <x:v>0</x:v>
      </x:c>
      <x:c r="H877" s="49" t="n">
        <x:v>25</x:v>
      </x:c>
      <x:c r="I877" s="47" t="n">
        <x:v>-5022314</x:v>
      </x:c>
      <x:c r="J877" s="49" t="n">
        <x:v>1206</x:v>
      </x:c>
      <x:c r="K877" s="47" t="n">
        <x:v>-471856</x:v>
      </x:c>
      <x:c r="L877" s="47" t="n">
        <x:v>200892.56</x:v>
      </x:c>
      <x:c r="M877" s="48" t="n">
        <x:v>3.4600000000000004</x:v>
      </x:c>
      <x:c r="N877" s="48" t="n">
        <x:v>325.756</x:v>
      </x:c>
      <x:c r="O877" s="49" t="n">
        <x:v>5</x:v>
      </x:c>
      <x:c r="P877" s="1" t="str">
        <x:v>追従と反発を状態で選択・広め</x:v>
      </x:c>
      <x:c r="Q877" s="49" t="n">
        <x:v>0</x:v>
      </x:c>
      <x:c r="R877" s="50" t="n">
        <x:v>0.7756095238095239</x:v>
      </x:c>
      <x:c r="S877" s="50" t="n">
        <x:v>0.7756095238095237</x:v>
      </x:c>
      <x:c r="T877" s="1" t="str">
        <x:v>デイ</x:v>
      </x:c>
      <x:c r="U877" s="49" t="n">
        <x:v>25</x:v>
      </x:c>
    </x:row>
    <x:row r="878" ht="22" customHeight="1">
      <x:c r="A878" s="1" t="str">
        <x:v>日経mini</x:v>
      </x:c>
      <x:c r="B878" s="1" t="str">
        <x:v>P12</x:v>
      </x:c>
      <x:c r="C878" s="1" t="str">
        <x:v>全50場</x:v>
      </x:c>
      <x:c r="D878" s="47" t="n">
        <x:v>5252084</x:v>
      </x:c>
      <x:c r="E878" s="47" t="n">
        <x:v>8362080</x:v>
      </x:c>
      <x:c r="F878" s="47" t="n">
        <x:f>D878-E878</x:f>
        <x:v>-3109996</x:v>
      </x:c>
      <x:c r="G878" s="49" t="n">
        <x:v>7</x:v>
      </x:c>
      <x:c r="H878" s="49" t="n">
        <x:v>18</x:v>
      </x:c>
      <x:c r="I878" s="47" t="n">
        <x:v>-3464230</x:v>
      </x:c>
      <x:c r="J878" s="49" t="n">
        <x:v>1066</x:v>
      </x:c>
      <x:c r="K878" s="47" t="n">
        <x:v>-429152</x:v>
      </x:c>
      <x:c r="L878" s="47" t="n">
        <x:v>195688.77777777778</x:v>
      </x:c>
      <x:c r="M878" s="48" t="n">
        <x:v>3.3913333333333333</x:v>
      </x:c>
      <x:c r="N878" s="48" t="n">
        <x:v>578.5873333333333</x:v>
      </x:c>
      <x:c r="O878" s="49" t="n">
        <x:v>5</x:v>
      </x:c>
      <x:c r="P878" s="1" t="str">
        <x:v>追従と反発を状態で選択・広め</x:v>
      </x:c>
      <x:c r="Q878" s="49" t="n">
        <x:v>0</x:v>
      </x:c>
      <x:c r="R878" s="50" t="n">
        <x:v>0.7417786324786324</x:v>
      </x:c>
      <x:c r="S878" s="50" t="n">
        <x:v>0.7417786324786324</x:v>
      </x:c>
      <x:c r="T878" s="1" t="str">
        <x:v>ナイト</x:v>
      </x:c>
      <x:c r="U878" s="49" t="n">
        <x:v>25</x:v>
      </x:c>
    </x:row>
    <x:row r="879" ht="22" customHeight="1">
      <x:c r="A879" s="1" t="str">
        <x:v>日経mini</x:v>
      </x:c>
      <x:c r="B879" s="1" t="str">
        <x:v>P12</x:v>
      </x:c>
      <x:c r="C879" s="1" t="str">
        <x:v>全50場</x:v>
      </x:c>
      <x:c r="D879" s="47" t="n">
        <x:v>5079368</x:v>
      </x:c>
      <x:c r="E879" s="47" t="n">
        <x:v>8454330</x:v>
      </x:c>
      <x:c r="F879" s="47" t="n">
        <x:f>D879-E879</x:f>
        <x:v>-3374962</x:v>
      </x:c>
      <x:c r="G879" s="49" t="n">
        <x:v>5</x:v>
      </x:c>
      <x:c r="H879" s="49" t="n">
        <x:v>19</x:v>
      </x:c>
      <x:c r="I879" s="47" t="n">
        <x:v>-3576430</x:v>
      </x:c>
      <x:c r="J879" s="49" t="n">
        <x:v>1093</x:v>
      </x:c>
      <x:c r="K879" s="47" t="n">
        <x:v>-423854</x:v>
      </x:c>
      <x:c r="L879" s="47" t="n">
        <x:v>188942.1052631579</x:v>
      </x:c>
      <x:c r="M879" s="48" t="n">
        <x:v>3.3486111111111114</x:v>
      </x:c>
      <x:c r="N879" s="48" t="n">
        <x:v>461.89444444444445</x:v>
      </x:c>
      <x:c r="O879" s="49" t="n">
        <x:v>5</x:v>
      </x:c>
      <x:c r="P879" s="1" t="str">
        <x:v>追従と反発を状態で選択・広め</x:v>
      </x:c>
      <x:c r="Q879" s="49" t="n">
        <x:v>0</x:v>
      </x:c>
      <x:c r="R879" s="50" t="n">
        <x:v>0.7515595746845748</x:v>
      </x:c>
      <x:c r="S879" s="50" t="n">
        <x:v>0.7510478771454382</x:v>
      </x:c>
      <x:c r="T879" s="1" t="str">
        <x:v>上昇</x:v>
      </x:c>
      <x:c r="U879" s="49" t="n">
        <x:v>24</x:v>
      </x:c>
    </x:row>
    <x:row r="880" ht="22" customHeight="1">
      <x:c r="A880" s="1" t="str">
        <x:v>日経mini</x:v>
      </x:c>
      <x:c r="B880" s="1" t="str">
        <x:v>P12</x:v>
      </x:c>
      <x:c r="C880" s="1" t="str">
        <x:v>全50場</x:v>
      </x:c>
      <x:c r="D880" s="47" t="n">
        <x:v>4500990</x:v>
      </x:c>
      <x:c r="E880" s="47" t="n">
        <x:v>9258338</x:v>
      </x:c>
      <x:c r="F880" s="47" t="n">
        <x:f>D880-E880</x:f>
        <x:v>-4757348</x:v>
      </x:c>
      <x:c r="G880" s="49" t="n">
        <x:v>2</x:v>
      </x:c>
      <x:c r="H880" s="49" t="n">
        <x:v>24</x:v>
      </x:c>
      <x:c r="I880" s="47" t="n">
        <x:v>-4954812</x:v>
      </x:c>
      <x:c r="J880" s="49" t="n">
        <x:v>1179</x:v>
      </x:c>
      <x:c r="K880" s="47" t="n">
        <x:v>-471856</x:v>
      </x:c>
      <x:c r="L880" s="47" t="n">
        <x:v>206450.5</x:v>
      </x:c>
      <x:c r="M880" s="48" t="n">
        <x:v>3.496794871794872</x:v>
      </x:c>
      <x:c r="N880" s="48" t="n">
        <x:v>443.1967948717948</x:v>
      </x:c>
      <x:c r="O880" s="49" t="n">
        <x:v>5</x:v>
      </x:c>
      <x:c r="P880" s="1" t="str">
        <x:v>追従と反発を状態で選択・広め</x:v>
      </x:c>
      <x:c r="Q880" s="49" t="n">
        <x:v>0</x:v>
      </x:c>
      <x:c r="R880" s="50" t="n">
        <x:v>0.7652797736451583</x:v>
      </x:c>
      <x:c r="S880" s="50" t="n">
        <x:v>0.7561100174978128</x:v>
      </x:c>
      <x:c r="T880" s="1" t="str">
        <x:v>下落</x:v>
      </x:c>
      <x:c r="U880" s="49" t="n">
        <x:v>26</x:v>
      </x:c>
    </x:row>
    <x:row r="881" ht="22" customHeight="1">
      <x:c r="A881" s="1" t="str">
        <x:v>日経mini</x:v>
      </x:c>
      <x:c r="B881" s="1" t="str">
        <x:v>P12</x:v>
      </x:c>
      <x:c r="C881" s="1" t="str">
        <x:v>対照47場</x:v>
      </x:c>
      <x:c r="D881" s="47" t="n">
        <x:v>8888890</x:v>
      </x:c>
      <x:c r="E881" s="47" t="n">
        <x:v>16200342</x:v>
      </x:c>
      <x:c r="F881" s="47" t="n">
        <x:f>D881-E881</x:f>
        <x:v>-7311452</x:v>
      </x:c>
      <x:c r="G881" s="49" t="n">
        <x:v>7</x:v>
      </x:c>
      <x:c r="H881" s="49" t="n">
        <x:v>40</x:v>
      </x:c>
      <x:c r="I881" s="47" t="n">
        <x:v>-7665686</x:v>
      </x:c>
      <x:c r="J881" s="49" t="n">
        <x:v>2097</x:v>
      </x:c>
      <x:c r="K881" s="47" t="n">
        <x:v>-471856</x:v>
      </x:c>
      <x:c r="L881" s="47" t="n">
        <x:v>193096.35</x:v>
      </x:c>
      <x:c r="M881" s="48" t="n">
        <x:v>3.4471631205673763</x:v>
      </x:c>
      <x:c r="N881" s="48" t="n">
        <x:v>449.404255319149</x:v>
      </x:c>
      <x:c r="O881" s="49" t="n">
        <x:v>5</x:v>
      </x:c>
      <x:c r="P881" s="1" t="str">
        <x:v>追従と反発を状態で選択・広め</x:v>
      </x:c>
      <x:c r="Q881" s="49" t="n">
        <x:v>0</x:v>
      </x:c>
      <x:c r="R881" s="50" t="n">
        <x:v>0.7586326085262255</x:v>
      </x:c>
      <x:c r="S881" s="50" t="n">
        <x:v>0.7538187009279086</x:v>
      </x:c>
      <x:c r="T881" s="1" t="str">
        <x:v>全場</x:v>
      </x:c>
      <x:c r="U881" s="49" t="n">
        <x:v>47</x:v>
      </x:c>
    </x:row>
    <x:row r="882" ht="22" customHeight="1">
      <x:c r="A882" s="1" t="str">
        <x:v>日経mini</x:v>
      </x:c>
      <x:c r="B882" s="1" t="str">
        <x:v>P12</x:v>
      </x:c>
      <x:c r="C882" s="1" t="str">
        <x:v>対照47場</x:v>
      </x:c>
      <x:c r="D882" s="47" t="n">
        <x:v>4038892</x:v>
      </x:c>
      <x:c r="E882" s="47" t="n">
        <x:v>8783812</x:v>
      </x:c>
      <x:c r="F882" s="47" t="n">
        <x:f>D882-E882</x:f>
        <x:v>-4744920</x:v>
      </x:c>
      <x:c r="G882" s="49" t="n">
        <x:v>0</x:v>
      </x:c>
      <x:c r="H882" s="49" t="n">
        <x:v>24</x:v>
      </x:c>
      <x:c r="I882" s="47" t="n">
        <x:v>-4744920</x:v>
      </x:c>
      <x:c r="J882" s="49" t="n">
        <x:v>1145</x:v>
      </x:c>
      <x:c r="K882" s="47" t="n">
        <x:v>-471856</x:v>
      </x:c>
      <x:c r="L882" s="47" t="n">
        <x:v>197705</x:v>
      </x:c>
      <x:c r="M882" s="48" t="n">
        <x:v>3.4909722222222226</x:v>
      </x:c>
      <x:c r="N882" s="48" t="n">
        <x:v>325.1826388888889</x:v>
      </x:c>
      <x:c r="O882" s="49" t="n">
        <x:v>5</x:v>
      </x:c>
      <x:c r="P882" s="1" t="str">
        <x:v>追従と反発を状態で選択・広め</x:v>
      </x:c>
      <x:c r="Q882" s="49" t="n">
        <x:v>0</x:v>
      </x:c>
      <x:c r="R882" s="50" t="n">
        <x:v>0.7742443783068783</x:v>
      </x:c>
      <x:c r="S882" s="50" t="n">
        <x:v>0.7742443783068783</x:v>
      </x:c>
      <x:c r="T882" s="1" t="str">
        <x:v>デイ</x:v>
      </x:c>
      <x:c r="U882" s="49" t="n">
        <x:v>24</x:v>
      </x:c>
    </x:row>
    <x:row r="883" ht="22" customHeight="1">
      <x:c r="A883" s="1" t="str">
        <x:v>日経mini</x:v>
      </x:c>
      <x:c r="B883" s="1" t="str">
        <x:v>P12</x:v>
      </x:c>
      <x:c r="C883" s="1" t="str">
        <x:v>対照47場</x:v>
      </x:c>
      <x:c r="D883" s="47" t="n">
        <x:v>4849998</x:v>
      </x:c>
      <x:c r="E883" s="47" t="n">
        <x:v>7416530</x:v>
      </x:c>
      <x:c r="F883" s="47" t="n">
        <x:f>D883-E883</x:f>
        <x:v>-2566532</x:v>
      </x:c>
      <x:c r="G883" s="49" t="n">
        <x:v>7</x:v>
      </x:c>
      <x:c r="H883" s="49" t="n">
        <x:v>16</x:v>
      </x:c>
      <x:c r="I883" s="47" t="n">
        <x:v>-2920766</x:v>
      </x:c>
      <x:c r="J883" s="49" t="n">
        <x:v>952</x:v>
      </x:c>
      <x:c r="K883" s="47" t="n">
        <x:v>-429152</x:v>
      </x:c>
      <x:c r="L883" s="47" t="n">
        <x:v>186183.375</x:v>
      </x:c>
      <x:c r="M883" s="48" t="n">
        <x:v>3.4014492753623187</x:v>
      </x:c>
      <x:c r="N883" s="48" t="n">
        <x:v>579.0268115942029</x:v>
      </x:c>
      <x:c r="O883" s="49" t="n">
        <x:v>5</x:v>
      </x:c>
      <x:c r="P883" s="1" t="str">
        <x:v>追従と反発を状態で選択・広め</x:v>
      </x:c>
      <x:c r="Q883" s="49" t="n">
        <x:v>0</x:v>
      </x:c>
      <x:c r="R883" s="50" t="n">
        <x:v>0.7423420661464142</x:v>
      </x:c>
      <x:c r="S883" s="50" t="n">
        <x:v>0.742342066146414</x:v>
      </x:c>
      <x:c r="T883" s="1" t="str">
        <x:v>ナイト</x:v>
      </x:c>
      <x:c r="U883" s="49" t="n">
        <x:v>23</x:v>
      </x:c>
    </x:row>
    <x:row r="884" ht="22" customHeight="1">
      <x:c r="A884" s="1" t="str">
        <x:v>日経mini</x:v>
      </x:c>
      <x:c r="B884" s="1" t="str">
        <x:v>P12</x:v>
      </x:c>
      <x:c r="C884" s="1" t="str">
        <x:v>対照47場</x:v>
      </x:c>
      <x:c r="D884" s="47" t="n">
        <x:v>4588214</x:v>
      </x:c>
      <x:c r="E884" s="47" t="n">
        <x:v>7476472</x:v>
      </x:c>
      <x:c r="F884" s="47" t="n">
        <x:f>D884-E884</x:f>
        <x:v>-2888258</x:v>
      </x:c>
      <x:c r="G884" s="49" t="n">
        <x:v>5</x:v>
      </x:c>
      <x:c r="H884" s="49" t="n">
        <x:v>17</x:v>
      </x:c>
      <x:c r="I884" s="47" t="n">
        <x:v>-3089726</x:v>
      </x:c>
      <x:c r="J884" s="49" t="n">
        <x:v>982</x:v>
      </x:c>
      <x:c r="K884" s="47" t="n">
        <x:v>-423854</x:v>
      </x:c>
      <x:c r="L884" s="47" t="n">
        <x:v>182540.9411764706</x:v>
      </x:c>
      <x:c r="M884" s="48" t="n">
        <x:v>3.4257575757575767</x:v>
      </x:c>
      <x:c r="N884" s="48" t="n">
        <x:v>463.5992424242424</x:v>
      </x:c>
      <x:c r="O884" s="49" t="n">
        <x:v>5</x:v>
      </x:c>
      <x:c r="P884" s="1" t="str">
        <x:v>追従と反発を状態で選択・広め</x:v>
      </x:c>
      <x:c r="Q884" s="49" t="n">
        <x:v>0</x:v>
      </x:c>
      <x:c r="R884" s="50" t="n">
        <x:v>0.751276085026085</x:v>
      </x:c>
      <x:c r="S884" s="50" t="n">
        <x:v>0.752152163225172</x:v>
      </x:c>
      <x:c r="T884" s="1" t="str">
        <x:v>上昇</x:v>
      </x:c>
      <x:c r="U884" s="49" t="n">
        <x:v>22</x:v>
      </x:c>
    </x:row>
    <x:row r="885" ht="22" customHeight="1">
      <x:c r="A885" s="1" t="str">
        <x:v>日経mini</x:v>
      </x:c>
      <x:c r="B885" s="1" t="str">
        <x:v>P12</x:v>
      </x:c>
      <x:c r="C885" s="1" t="str">
        <x:v>対照47場</x:v>
      </x:c>
      <x:c r="D885" s="47" t="n">
        <x:v>4300676</x:v>
      </x:c>
      <x:c r="E885" s="47" t="n">
        <x:v>8723870</x:v>
      </x:c>
      <x:c r="F885" s="47" t="n">
        <x:f>D885-E885</x:f>
        <x:v>-4423194</x:v>
      </x:c>
      <x:c r="G885" s="49" t="n">
        <x:v>2</x:v>
      </x:c>
      <x:c r="H885" s="49" t="n">
        <x:v>23</x:v>
      </x:c>
      <x:c r="I885" s="47" t="n">
        <x:v>-4620658</x:v>
      </x:c>
      <x:c r="J885" s="49" t="n">
        <x:v>1115</x:v>
      </x:c>
      <x:c r="K885" s="47" t="n">
        <x:v>-471856</x:v>
      </x:c>
      <x:c r="L885" s="47" t="n">
        <x:v>200898.1739130435</x:v>
      </x:c>
      <x:c r="M885" s="48" t="n">
        <x:v>3.466</x:v>
      </x:c>
      <x:c r="N885" s="48" t="n">
        <x:v>436.9126666666666</x:v>
      </x:c>
      <x:c r="O885" s="49" t="n">
        <x:v>5</x:v>
      </x:c>
      <x:c r="P885" s="1" t="str">
        <x:v>追従と反発を状態で選択・広め</x:v>
      </x:c>
      <x:c r="Q885" s="49" t="n">
        <x:v>0</x:v>
      </x:c>
      <x:c r="R885" s="50" t="n">
        <x:v>0.7651063492063492</x:v>
      </x:c>
      <x:c r="S885" s="50" t="n">
        <x:v>0.7553815122176119</x:v>
      </x:c>
      <x:c r="T885" s="1" t="str">
        <x:v>下落</x:v>
      </x:c>
      <x:c r="U885" s="49" t="n">
        <x:v>25</x:v>
      </x:c>
    </x:row>
    <x:row r="886" ht="22" customHeight="1">
      <x:c r="A886" s="1" t="str">
        <x:v>日経mini</x:v>
      </x:c>
      <x:c r="B886" s="1" t="str">
        <x:v>P12</x:v>
      </x:c>
      <x:c r="C886" s="1" t="str">
        <x:v>診断3場</x:v>
      </x:c>
      <x:c r="D886" s="47" t="n">
        <x:v>691468</x:v>
      </x:c>
      <x:c r="E886" s="47" t="n">
        <x:v>1512326</x:v>
      </x:c>
      <x:c r="F886" s="47" t="n">
        <x:f>D886-E886</x:f>
        <x:v>-820858</x:v>
      </x:c>
      <x:c r="G886" s="49" t="n">
        <x:v>0</x:v>
      </x:c>
      <x:c r="H886" s="49" t="n">
        <x:v>3</x:v>
      </x:c>
      <x:c r="I886" s="47" t="n">
        <x:v>-820858</x:v>
      </x:c>
      <x:c r="J886" s="49" t="n">
        <x:v>175</x:v>
      </x:c>
      <x:c r="K886" s="47" t="n">
        <x:v>-334154</x:v>
      </x:c>
      <x:c r="L886" s="47" t="n">
        <x:v>273619.3333333333</x:v>
      </x:c>
      <x:c r="M886" s="48" t="n">
        <x:v>3.0888888888888886</x:v>
      </x:c>
      <x:c r="N886" s="48" t="n">
        <x:v>495.52777777777777</x:v>
      </x:c>
      <x:c r="O886" s="49" t="n">
        <x:v>5</x:v>
      </x:c>
      <x:c r="P886" s="1" t="str">
        <x:v>追従と反発を状態で選択・広め</x:v>
      </x:c>
      <x:c r="Q886" s="49" t="n">
        <x:v>0</x:v>
      </x:c>
      <x:c r="R886" s="50" t="n">
        <x:v>0.7596571021571021</x:v>
      </x:c>
      <x:c r="S886" s="50" t="n">
        <x:v>0.7507996632996633</x:v>
      </x:c>
      <x:c r="T886" s="1" t="str">
        <x:v>全場</x:v>
      </x:c>
      <x:c r="U886" s="49" t="n">
        <x:v>3</x:v>
      </x:c>
    </x:row>
    <x:row r="887" ht="22" customHeight="1">
      <x:c r="A887" s="1" t="str">
        <x:v>日経mini</x:v>
      </x:c>
      <x:c r="B887" s="1" t="str">
        <x:v>P12</x:v>
      </x:c>
      <x:c r="C887" s="1" t="str">
        <x:v>診断3場</x:v>
      </x:c>
      <x:c r="D887" s="47" t="n">
        <x:v>289382</x:v>
      </x:c>
      <x:c r="E887" s="47" t="n">
        <x:v>566776</x:v>
      </x:c>
      <x:c r="F887" s="47" t="n">
        <x:f>D887-E887</x:f>
        <x:v>-277394</x:v>
      </x:c>
      <x:c r="G887" s="49" t="n">
        <x:v>0</x:v>
      </x:c>
      <x:c r="H887" s="49" t="n">
        <x:v>1</x:v>
      </x:c>
      <x:c r="I887" s="47" t="n">
        <x:v>-277394</x:v>
      </x:c>
      <x:c r="J887" s="49" t="n">
        <x:v>61</x:v>
      </x:c>
      <x:c r="K887" s="47" t="n">
        <x:v>-277394</x:v>
      </x:c>
      <x:c r="L887" s="47" t="n">
        <x:v>277394</x:v>
      </x:c>
      <x:c r="M887" s="48" t="n">
        <x:v>2.716666666666667</x:v>
      </x:c>
      <x:c r="N887" s="48" t="n">
        <x:v>339.51666666666665</x:v>
      </x:c>
      <x:c r="O887" s="49" t="n">
        <x:v>2</x:v>
      </x:c>
      <x:c r="P887" s="1" t="str">
        <x:v>追従と反発を状態で選択・広め</x:v>
      </x:c>
      <x:c r="Q887" s="49" t="n">
        <x:v>0</x:v>
      </x:c>
      <x:c r="R887" s="50" t="n">
        <x:v>0.8083730158730159</x:v>
      </x:c>
      <x:c r="S887" s="50" t="n">
        <x:v>0.8083730158730158</x:v>
      </x:c>
      <x:c r="T887" s="1" t="str">
        <x:v>デイ</x:v>
      </x:c>
      <x:c r="U887" s="49" t="n">
        <x:v>1</x:v>
      </x:c>
    </x:row>
    <x:row r="888" ht="22" customHeight="1">
      <x:c r="A888" s="1" t="str">
        <x:v>日経mini</x:v>
      </x:c>
      <x:c r="B888" s="1" t="str">
        <x:v>P12</x:v>
      </x:c>
      <x:c r="C888" s="1" t="str">
        <x:v>診断3場</x:v>
      </x:c>
      <x:c r="D888" s="47" t="n">
        <x:v>402086</x:v>
      </x:c>
      <x:c r="E888" s="47" t="n">
        <x:v>945550</x:v>
      </x:c>
      <x:c r="F888" s="47" t="n">
        <x:f>D888-E888</x:f>
        <x:v>-543464</x:v>
      </x:c>
      <x:c r="G888" s="49" t="n">
        <x:v>0</x:v>
      </x:c>
      <x:c r="H888" s="49" t="n">
        <x:v>2</x:v>
      </x:c>
      <x:c r="I888" s="47" t="n">
        <x:v>-543464</x:v>
      </x:c>
      <x:c r="J888" s="49" t="n">
        <x:v>114</x:v>
      </x:c>
      <x:c r="K888" s="47" t="n">
        <x:v>-334154</x:v>
      </x:c>
      <x:c r="L888" s="47" t="n">
        <x:v>271732</x:v>
      </x:c>
      <x:c r="M888" s="48" t="n">
        <x:v>3.275</x:v>
      </x:c>
      <x:c r="N888" s="48" t="n">
        <x:v>573.5333333333333</x:v>
      </x:c>
      <x:c r="O888" s="49" t="n">
        <x:v>5</x:v>
      </x:c>
      <x:c r="P888" s="1" t="str">
        <x:v>追従と反発を状態で選択・広め</x:v>
      </x:c>
      <x:c r="Q888" s="49" t="n">
        <x:v>0</x:v>
      </x:c>
      <x:c r="R888" s="50" t="n">
        <x:v>0.7352991452991453</x:v>
      </x:c>
      <x:c r="S888" s="50" t="n">
        <x:v>0.7352991452991453</x:v>
      </x:c>
      <x:c r="T888" s="1" t="str">
        <x:v>ナイト</x:v>
      </x:c>
      <x:c r="U888" s="49" t="n">
        <x:v>2</x:v>
      </x:c>
    </x:row>
    <x:row r="889" ht="22" customHeight="1">
      <x:c r="A889" s="1" t="str">
        <x:v>日経mini</x:v>
      </x:c>
      <x:c r="B889" s="1" t="str">
        <x:v>P12</x:v>
      </x:c>
      <x:c r="C889" s="1" t="str">
        <x:v>診断3場</x:v>
      </x:c>
      <x:c r="D889" s="47" t="n">
        <x:v>491154</x:v>
      </x:c>
      <x:c r="E889" s="47" t="n">
        <x:v>977858</x:v>
      </x:c>
      <x:c r="F889" s="47" t="n">
        <x:f>D889-E889</x:f>
        <x:v>-486704</x:v>
      </x:c>
      <x:c r="G889" s="49" t="n">
        <x:v>0</x:v>
      </x:c>
      <x:c r="H889" s="49" t="n">
        <x:v>2</x:v>
      </x:c>
      <x:c r="I889" s="47" t="n">
        <x:v>-486704</x:v>
      </x:c>
      <x:c r="J889" s="49" t="n">
        <x:v>111</x:v>
      </x:c>
      <x:c r="K889" s="47" t="n">
        <x:v>-277394</x:v>
      </x:c>
      <x:c r="L889" s="47" t="n">
        <x:v>243352</x:v>
      </x:c>
      <x:c r="M889" s="48" t="n">
        <x:v>2.5</x:v>
      </x:c>
      <x:c r="N889" s="48" t="n">
        <x:v>443.14166666666665</x:v>
      </x:c>
      <x:c r="O889" s="49" t="n">
        <x:v>5</x:v>
      </x:c>
      <x:c r="P889" s="1" t="str">
        <x:v>追従と反発を状態で選択・広め</x:v>
      </x:c>
      <x:c r="Q889" s="49" t="n">
        <x:v>0</x:v>
      </x:c>
      <x:c r="R889" s="50" t="n">
        <x:v>0.754677960927961</x:v>
      </x:c>
      <x:c r="S889" s="50" t="n">
        <x:v>0.7385694444444444</x:v>
      </x:c>
      <x:c r="T889" s="1" t="str">
        <x:v>上昇</x:v>
      </x:c>
      <x:c r="U889" s="49" t="n">
        <x:v>2</x:v>
      </x:c>
    </x:row>
    <x:row r="890" ht="22" customHeight="1">
      <x:c r="A890" s="1" t="str">
        <x:v>日経mini</x:v>
      </x:c>
      <x:c r="B890" s="1" t="str">
        <x:v>P12</x:v>
      </x:c>
      <x:c r="C890" s="1" t="str">
        <x:v>診断3場</x:v>
      </x:c>
      <x:c r="D890" s="47" t="n">
        <x:v>200314</x:v>
      </x:c>
      <x:c r="E890" s="47" t="n">
        <x:v>534468</x:v>
      </x:c>
      <x:c r="F890" s="47" t="n">
        <x:f>D890-E890</x:f>
        <x:v>-334154</x:v>
      </x:c>
      <x:c r="G890" s="49" t="n">
        <x:v>0</x:v>
      </x:c>
      <x:c r="H890" s="49" t="n">
        <x:v>1</x:v>
      </x:c>
      <x:c r="I890" s="47" t="n">
        <x:v>-334154</x:v>
      </x:c>
      <x:c r="J890" s="49" t="n">
        <x:v>64</x:v>
      </x:c>
      <x:c r="K890" s="47" t="n">
        <x:v>-334154</x:v>
      </x:c>
      <x:c r="L890" s="47" t="n">
        <x:v>334154</x:v>
      </x:c>
      <x:c r="M890" s="48" t="n">
        <x:v>4.266666666666667</x:v>
      </x:c>
      <x:c r="N890" s="48" t="n">
        <x:v>600.3</x:v>
      </x:c>
      <x:c r="O890" s="49" t="n">
        <x:v>5</x:v>
      </x:c>
      <x:c r="P890" s="1" t="str">
        <x:v>追従と反発を状態で選択・広め</x:v>
      </x:c>
      <x:c r="Q890" s="49" t="n">
        <x:v>0</x:v>
      </x:c>
      <x:c r="R890" s="50" t="n">
        <x:v>0.7696153846153846</x:v>
      </x:c>
      <x:c r="S890" s="50" t="n">
        <x:v>0.7696153846153846</x:v>
      </x:c>
      <x:c r="T890" s="1" t="str">
        <x:v>下落</x:v>
      </x:c>
      <x:c r="U890" s="49" t="n">
        <x:v>1</x:v>
      </x:c>
    </x:row>
    <x:row r="891" ht="22" customHeight="1">
      <x:c r="A891" s="1" t="str">
        <x:v>日経mini</x:v>
      </x:c>
      <x:c r="B891" s="1" t="str">
        <x:v>R01</x:v>
      </x:c>
      <x:c r="C891" s="1" t="str">
        <x:v>全50場</x:v>
      </x:c>
      <x:c r="D891" s="47" t="n">
        <x:v>6978106</x:v>
      </x:c>
      <x:c r="E891" s="47" t="n">
        <x:v>9941934</x:v>
      </x:c>
      <x:c r="F891" s="47" t="n">
        <x:f>D891-E891</x:f>
        <x:v>-2963828</x:v>
      </x:c>
      <x:c r="G891" s="49" t="n">
        <x:v>9</x:v>
      </x:c>
      <x:c r="H891" s="49" t="n">
        <x:v>41</x:v>
      </x:c>
      <x:c r="I891" s="47" t="n">
        <x:v>-3365668</x:v>
      </x:c>
      <x:c r="J891" s="49" t="n">
        <x:v>882</x:v>
      </x:c>
      <x:c r="K891" s="47" t="n">
        <x:v>-265388</x:v>
      </x:c>
      <x:c r="L891" s="47" t="n">
        <x:v>85316.09756097561</x:v>
      </x:c>
      <x:c r="M891" s="48" t="n">
        <x:v>36.943</x:v>
      </x:c>
      <x:c r="N891" s="48" t="n">
        <x:v>311.7583333333333</x:v>
      </x:c>
      <x:c r="O891" s="49" t="n">
        <x:v>2</x:v>
      </x:c>
      <x:c r="P891" s="1" t="str">
        <x:v>中期の支持状態を維持・標準</x:v>
      </x:c>
      <x:c r="Q891" s="49" t="n">
        <x:v>0</x:v>
      </x:c>
      <x:c r="R891" s="50" t="n">
        <x:v>0.5361725885225885</x:v>
      </x:c>
      <x:c r="S891" s="50" t="n">
        <x:v>0.5195972222222222</x:v>
      </x:c>
      <x:c r="T891" s="1" t="str">
        <x:v>全場</x:v>
      </x:c>
      <x:c r="U891" s="49" t="n">
        <x:v>50</x:v>
      </x:c>
    </x:row>
    <x:row r="892" ht="22" customHeight="1">
      <x:c r="A892" s="1" t="str">
        <x:v>日経mini</x:v>
      </x:c>
      <x:c r="B892" s="1" t="str">
        <x:v>R01</x:v>
      </x:c>
      <x:c r="C892" s="1" t="str">
        <x:v>全50場</x:v>
      </x:c>
      <x:c r="D892" s="47" t="n">
        <x:v>3008134</x:v>
      </x:c>
      <x:c r="E892" s="47" t="n">
        <x:v>4338036</x:v>
      </x:c>
      <x:c r="F892" s="47" t="n">
        <x:f>D892-E892</x:f>
        <x:v>-1329902</x:v>
      </x:c>
      <x:c r="G892" s="49" t="n">
        <x:v>4</x:v>
      </x:c>
      <x:c r="H892" s="49" t="n">
        <x:v>21</x:v>
      </x:c>
      <x:c r="I892" s="47" t="n">
        <x:v>-1731742</x:v>
      </x:c>
      <x:c r="J892" s="49" t="n">
        <x:v>363</x:v>
      </x:c>
      <x:c r="K892" s="47" t="n">
        <x:v>-265388</x:v>
      </x:c>
      <x:c r="L892" s="47" t="n">
        <x:v>83108.57142857143</x:v>
      </x:c>
      <x:c r="M892" s="48" t="n">
        <x:v>30.77</x:v>
      </x:c>
      <x:c r="N892" s="48" t="n">
        <x:v>248.39800000000002</x:v>
      </x:c>
      <x:c r="O892" s="49" t="n">
        <x:v>2</x:v>
      </x:c>
      <x:c r="P892" s="1" t="str">
        <x:v>中期の支持状態を維持・標準</x:v>
      </x:c>
      <x:c r="Q892" s="49" t="n">
        <x:v>0</x:v>
      </x:c>
      <x:c r="R892" s="50" t="n">
        <x:v>0.5914238095238096</x:v>
      </x:c>
      <x:c r="S892" s="50" t="n">
        <x:v>0.5914238095238095</x:v>
      </x:c>
      <x:c r="T892" s="1" t="str">
        <x:v>デイ</x:v>
      </x:c>
      <x:c r="U892" s="49" t="n">
        <x:v>25</x:v>
      </x:c>
    </x:row>
    <x:row r="893" ht="22" customHeight="1">
      <x:c r="A893" s="1" t="str">
        <x:v>日経mini</x:v>
      </x:c>
      <x:c r="B893" s="1" t="str">
        <x:v>R01</x:v>
      </x:c>
      <x:c r="C893" s="1" t="str">
        <x:v>全50場</x:v>
      </x:c>
      <x:c r="D893" s="47" t="n">
        <x:v>3969972</x:v>
      </x:c>
      <x:c r="E893" s="47" t="n">
        <x:v>5603898</x:v>
      </x:c>
      <x:c r="F893" s="47" t="n">
        <x:f>D893-E893</x:f>
        <x:v>-1633926</x:v>
      </x:c>
      <x:c r="G893" s="49" t="n">
        <x:v>5</x:v>
      </x:c>
      <x:c r="H893" s="49" t="n">
        <x:v>20</x:v>
      </x:c>
      <x:c r="I893" s="47" t="n">
        <x:v>-1730838</x:v>
      </x:c>
      <x:c r="J893" s="49" t="n">
        <x:v>519</x:v>
      </x:c>
      <x:c r="K893" s="47" t="n">
        <x:v>-215236</x:v>
      </x:c>
      <x:c r="L893" s="47" t="n">
        <x:v>87634</x:v>
      </x:c>
      <x:c r="M893" s="48" t="n">
        <x:v>43.11600000000001</x:v>
      </x:c>
      <x:c r="N893" s="48" t="n">
        <x:v>375.1186666666666</x:v>
      </x:c>
      <x:c r="O893" s="49" t="n">
        <x:v>2</x:v>
      </x:c>
      <x:c r="P893" s="1" t="str">
        <x:v>中期の支持状態を維持・標準</x:v>
      </x:c>
      <x:c r="Q893" s="49" t="n">
        <x:v>0</x:v>
      </x:c>
      <x:c r="R893" s="50" t="n">
        <x:v>0.48092136752136755</x:v>
      </x:c>
      <x:c r="S893" s="50" t="n">
        <x:v>0.48092136752136755</x:v>
      </x:c>
      <x:c r="T893" s="1" t="str">
        <x:v>ナイト</x:v>
      </x:c>
      <x:c r="U893" s="49" t="n">
        <x:v>25</x:v>
      </x:c>
    </x:row>
    <x:row r="894" ht="22" customHeight="1">
      <x:c r="A894" s="1" t="str">
        <x:v>日経mini</x:v>
      </x:c>
      <x:c r="B894" s="1" t="str">
        <x:v>R01</x:v>
      </x:c>
      <x:c r="C894" s="1" t="str">
        <x:v>全50場</x:v>
      </x:c>
      <x:c r="D894" s="47" t="n">
        <x:v>3331208</x:v>
      </x:c>
      <x:c r="E894" s="47" t="n">
        <x:v>4645734</x:v>
      </x:c>
      <x:c r="F894" s="47" t="n">
        <x:f>D894-E894</x:f>
        <x:v>-1314526</x:v>
      </x:c>
      <x:c r="G894" s="49" t="n">
        <x:v>3</x:v>
      </x:c>
      <x:c r="H894" s="49" t="n">
        <x:v>21</x:v>
      </x:c>
      <x:c r="I894" s="47" t="n">
        <x:v>-1477594</x:v>
      </x:c>
      <x:c r="J894" s="49" t="n">
        <x:v>419</x:v>
      </x:c>
      <x:c r="K894" s="47" t="n">
        <x:v>-265388</x:v>
      </x:c>
      <x:c r="L894" s="47" t="n">
        <x:v>70361.61904761905</x:v>
      </x:c>
      <x:c r="M894" s="48" t="n">
        <x:v>30.147222222222222</x:v>
      </x:c>
      <x:c r="N894" s="48" t="n">
        <x:v>317.8902777777778</x:v>
      </x:c>
      <x:c r="O894" s="49" t="n">
        <x:v>2</x:v>
      </x:c>
      <x:c r="P894" s="1" t="str">
        <x:v>中期の支持状態を維持・標準</x:v>
      </x:c>
      <x:c r="Q894" s="49" t="n">
        <x:v>0</x:v>
      </x:c>
      <x:c r="R894" s="50" t="n">
        <x:v>0.531410002035002</x:v>
      </x:c>
      <x:c r="S894" s="50" t="n">
        <x:v>0.5168947606142729</x:v>
      </x:c>
      <x:c r="T894" s="1" t="str">
        <x:v>上昇</x:v>
      </x:c>
      <x:c r="U894" s="49" t="n">
        <x:v>24</x:v>
      </x:c>
    </x:row>
    <x:row r="895" ht="22" customHeight="1">
      <x:c r="A895" s="1" t="str">
        <x:v>日経mini</x:v>
      </x:c>
      <x:c r="B895" s="1" t="str">
        <x:v>R01</x:v>
      </x:c>
      <x:c r="C895" s="1" t="str">
        <x:v>全50場</x:v>
      </x:c>
      <x:c r="D895" s="47" t="n">
        <x:v>3646898</x:v>
      </x:c>
      <x:c r="E895" s="47" t="n">
        <x:v>5296200</x:v>
      </x:c>
      <x:c r="F895" s="47" t="n">
        <x:f>D895-E895</x:f>
        <x:v>-1649302</x:v>
      </x:c>
      <x:c r="G895" s="49" t="n">
        <x:v>6</x:v>
      </x:c>
      <x:c r="H895" s="49" t="n">
        <x:v>20</x:v>
      </x:c>
      <x:c r="I895" s="47" t="n">
        <x:v>-1984986</x:v>
      </x:c>
      <x:c r="J895" s="49" t="n">
        <x:v>463</x:v>
      </x:c>
      <x:c r="K895" s="47" t="n">
        <x:v>-215236</x:v>
      </x:c>
      <x:c r="L895" s="47" t="n">
        <x:v>101018.3</x:v>
      </x:c>
      <x:c r="M895" s="48" t="n">
        <x:v>43.21602564102564</x:v>
      </x:c>
      <x:c r="N895" s="48" t="n">
        <x:v>306.098076923077</x:v>
      </x:c>
      <x:c r="O895" s="49" t="n">
        <x:v>2</x:v>
      </x:c>
      <x:c r="P895" s="1" t="str">
        <x:v>中期の支持状態を維持・標準</x:v>
      </x:c>
      <x:c r="Q895" s="49" t="n">
        <x:v>0</x:v>
      </x:c>
      <x:c r="R895" s="50" t="n">
        <x:v>0.5405688222034376</x:v>
      </x:c>
      <x:c r="S895" s="50" t="n">
        <x:v>0.5222145669291338</x:v>
      </x:c>
      <x:c r="T895" s="1" t="str">
        <x:v>下落</x:v>
      </x:c>
      <x:c r="U895" s="49" t="n">
        <x:v>26</x:v>
      </x:c>
    </x:row>
    <x:row r="896" ht="22" customHeight="1">
      <x:c r="A896" s="1" t="str">
        <x:v>日経mini</x:v>
      </x:c>
      <x:c r="B896" s="1" t="str">
        <x:v>R01</x:v>
      </x:c>
      <x:c r="C896" s="1" t="str">
        <x:v>対照47場</x:v>
      </x:c>
      <x:c r="D896" s="47" t="n">
        <x:v>6429648</x:v>
      </x:c>
      <x:c r="E896" s="47" t="n">
        <x:v>8812848</x:v>
      </x:c>
      <x:c r="F896" s="47" t="n">
        <x:f>D896-E896</x:f>
        <x:v>-2383200</x:v>
      </x:c>
      <x:c r="G896" s="49" t="n">
        <x:v>9</x:v>
      </x:c>
      <x:c r="H896" s="49" t="n">
        <x:v>38</x:v>
      </x:c>
      <x:c r="I896" s="47" t="n">
        <x:v>-2785040</x:v>
      </x:c>
      <x:c r="J896" s="49" t="n">
        <x:v>800</x:v>
      </x:c>
      <x:c r="K896" s="47" t="n">
        <x:v>-213852</x:v>
      </x:c>
      <x:c r="L896" s="47" t="n">
        <x:v>76771.8947368421</x:v>
      </x:c>
      <x:c r="M896" s="48" t="n">
        <x:v>37.820212765957436</x:v>
      </x:c>
      <x:c r="N896" s="48" t="n">
        <x:v>305.01382978723404</x:v>
      </x:c>
      <x:c r="O896" s="49" t="n">
        <x:v>2</x:v>
      </x:c>
      <x:c r="P896" s="1" t="str">
        <x:v>中期の支持状態を維持・標準</x:v>
      </x:c>
      <x:c r="Q896" s="49" t="n">
        <x:v>0</x:v>
      </x:c>
      <x:c r="R896" s="50" t="n">
        <x:v>0.5294187904294287</x:v>
      </x:c>
      <x:c r="S896" s="50" t="n">
        <x:v>0.5116220556745182</x:v>
      </x:c>
      <x:c r="T896" s="1" t="str">
        <x:v>全場</x:v>
      </x:c>
      <x:c r="U896" s="49" t="n">
        <x:v>47</x:v>
      </x:c>
    </x:row>
    <x:row r="897" ht="22" customHeight="1">
      <x:c r="A897" s="1" t="str">
        <x:v>日経mini</x:v>
      </x:c>
      <x:c r="B897" s="1" t="str">
        <x:v>R01</x:v>
      </x:c>
      <x:c r="C897" s="1" t="str">
        <x:v>対照47場</x:v>
      </x:c>
      <x:c r="D897" s="47" t="n">
        <x:v>2838904</x:v>
      </x:c>
      <x:c r="E897" s="47" t="n">
        <x:v>3903418</x:v>
      </x:c>
      <x:c r="F897" s="47" t="n">
        <x:f>D897-E897</x:f>
        <x:v>-1064514</x:v>
      </x:c>
      <x:c r="G897" s="49" t="n">
        <x:v>4</x:v>
      </x:c>
      <x:c r="H897" s="49" t="n">
        <x:v>20</x:v>
      </x:c>
      <x:c r="I897" s="47" t="n">
        <x:v>-1466354</x:v>
      </x:c>
      <x:c r="J897" s="49" t="n">
        <x:v>341</x:v>
      </x:c>
      <x:c r="K897" s="47" t="n">
        <x:v>-164926</x:v>
      </x:c>
      <x:c r="L897" s="47" t="n">
        <x:v>73994.6</x:v>
      </x:c>
      <x:c r="M897" s="48" t="n">
        <x:v>31.08888888888889</x:v>
      </x:c>
      <x:c r="N897" s="48" t="n">
        <x:v>246.59652777777782</x:v>
      </x:c>
      <x:c r="O897" s="49" t="n">
        <x:v>2</x:v>
      </x:c>
      <x:c r="P897" s="1" t="str">
        <x:v>中期の支持状態を維持・標準</x:v>
      </x:c>
      <x:c r="Q897" s="49" t="n">
        <x:v>0</x:v>
      </x:c>
      <x:c r="R897" s="50" t="n">
        <x:v>0.58713458994709</x:v>
      </x:c>
      <x:c r="S897" s="50" t="n">
        <x:v>0.5871345899470899</x:v>
      </x:c>
      <x:c r="T897" s="1" t="str">
        <x:v>デイ</x:v>
      </x:c>
      <x:c r="U897" s="49" t="n">
        <x:v>24</x:v>
      </x:c>
    </x:row>
    <x:row r="898" ht="22" customHeight="1">
      <x:c r="A898" s="1" t="str">
        <x:v>日経mini</x:v>
      </x:c>
      <x:c r="B898" s="1" t="str">
        <x:v>R01</x:v>
      </x:c>
      <x:c r="C898" s="1" t="str">
        <x:v>対照47場</x:v>
      </x:c>
      <x:c r="D898" s="47" t="n">
        <x:v>3590744</x:v>
      </x:c>
      <x:c r="E898" s="47" t="n">
        <x:v>4909430</x:v>
      </x:c>
      <x:c r="F898" s="47" t="n">
        <x:f>D898-E898</x:f>
        <x:v>-1318686</x:v>
      </x:c>
      <x:c r="G898" s="49" t="n">
        <x:v>5</x:v>
      </x:c>
      <x:c r="H898" s="49" t="n">
        <x:v>18</x:v>
      </x:c>
      <x:c r="I898" s="47" t="n">
        <x:v>-1415598</x:v>
      </x:c>
      <x:c r="J898" s="49" t="n">
        <x:v>459</x:v>
      </x:c>
      <x:c r="K898" s="47" t="n">
        <x:v>-213852</x:v>
      </x:c>
      <x:c r="L898" s="47" t="n">
        <x:v>79857.77777777778</x:v>
      </x:c>
      <x:c r="M898" s="48" t="n">
        <x:v>44.844202898550726</x:v>
      </x:c>
      <x:c r="N898" s="48" t="n">
        <x:v>365.9710144927536</x:v>
      </x:c>
      <x:c r="O898" s="49" t="n">
        <x:v>2</x:v>
      </x:c>
      <x:c r="P898" s="1" t="str">
        <x:v>中期の支持状態を維持・標準</x:v>
      </x:c>
      <x:c r="Q898" s="49" t="n">
        <x:v>0</x:v>
      </x:c>
      <x:c r="R898" s="50" t="n">
        <x:v>0.46919360832404317</x:v>
      </x:c>
      <x:c r="S898" s="50" t="n">
        <x:v>0.46919360832404317</x:v>
      </x:c>
      <x:c r="T898" s="1" t="str">
        <x:v>ナイト</x:v>
      </x:c>
      <x:c r="U898" s="49" t="n">
        <x:v>23</x:v>
      </x:c>
    </x:row>
    <x:row r="899" ht="22" customHeight="1">
      <x:c r="A899" s="1" t="str">
        <x:v>日経mini</x:v>
      </x:c>
      <x:c r="B899" s="1" t="str">
        <x:v>R01</x:v>
      </x:c>
      <x:c r="C899" s="1" t="str">
        <x:v>対照47場</x:v>
      </x:c>
      <x:c r="D899" s="47" t="n">
        <x:v>2993056</x:v>
      </x:c>
      <x:c r="E899" s="47" t="n">
        <x:v>3942190</x:v>
      </x:c>
      <x:c r="F899" s="47" t="n">
        <x:f>D899-E899</x:f>
        <x:v>-949134</x:v>
      </x:c>
      <x:c r="G899" s="49" t="n">
        <x:v>3</x:v>
      </x:c>
      <x:c r="H899" s="49" t="n">
        <x:v>19</x:v>
      </x:c>
      <x:c r="I899" s="47" t="n">
        <x:v>-1112202</x:v>
      </x:c>
      <x:c r="J899" s="49" t="n">
        <x:v>371</x:v>
      </x:c>
      <x:c r="K899" s="47" t="n">
        <x:v>-173850</x:v>
      </x:c>
      <x:c r="L899" s="47" t="n">
        <x:v>58536.94736842105</x:v>
      </x:c>
      <x:c r="M899" s="48" t="n">
        <x:v>30.785606060606064</x:v>
      </x:c>
      <x:c r="N899" s="48" t="n">
        <x:v>309.60606060606057</x:v>
      </x:c>
      <x:c r="O899" s="49" t="n">
        <x:v>2</x:v>
      </x:c>
      <x:c r="P899" s="1" t="str">
        <x:v>中期の支持状態を維持・標準</x:v>
      </x:c>
      <x:c r="Q899" s="49" t="n">
        <x:v>0</x:v>
      </x:c>
      <x:c r="R899" s="50" t="n">
        <x:v>0.5174819624819624</x:v>
      </x:c>
      <x:c r="S899" s="50" t="n">
        <x:v>0.5023107177974434</x:v>
      </x:c>
      <x:c r="T899" s="1" t="str">
        <x:v>上昇</x:v>
      </x:c>
      <x:c r="U899" s="49" t="n">
        <x:v>22</x:v>
      </x:c>
    </x:row>
    <x:row r="900" ht="22" customHeight="1">
      <x:c r="A900" s="1" t="str">
        <x:v>日経mini</x:v>
      </x:c>
      <x:c r="B900" s="1" t="str">
        <x:v>R01</x:v>
      </x:c>
      <x:c r="C900" s="1" t="str">
        <x:v>対照47場</x:v>
      </x:c>
      <x:c r="D900" s="47" t="n">
        <x:v>3436592</x:v>
      </x:c>
      <x:c r="E900" s="47" t="n">
        <x:v>4870658</x:v>
      </x:c>
      <x:c r="F900" s="47" t="n">
        <x:f>D900-E900</x:f>
        <x:v>-1434066</x:v>
      </x:c>
      <x:c r="G900" s="49" t="n">
        <x:v>6</x:v>
      </x:c>
      <x:c r="H900" s="49" t="n">
        <x:v>19</x:v>
      </x:c>
      <x:c r="I900" s="47" t="n">
        <x:v>-1769750</x:v>
      </x:c>
      <x:c r="J900" s="49" t="n">
        <x:v>429</x:v>
      </x:c>
      <x:c r="K900" s="47" t="n">
        <x:v>-213852</x:v>
      </x:c>
      <x:c r="L900" s="47" t="n">
        <x:v>95006.84210526316</x:v>
      </x:c>
      <x:c r="M900" s="48" t="n">
        <x:v>44.010666666666665</x:v>
      </x:c>
      <x:c r="N900" s="48" t="n">
        <x:v>300.9726666666667</x:v>
      </x:c>
      <x:c r="O900" s="49" t="n">
        <x:v>2</x:v>
      </x:c>
      <x:c r="P900" s="1" t="str">
        <x:v>中期の支持状態を維持・標準</x:v>
      </x:c>
      <x:c r="Q900" s="49" t="n">
        <x:v>0</x:v>
      </x:c>
      <x:c r="R900" s="50" t="n">
        <x:v>0.5399231990231991</x:v>
      </x:c>
      <x:c r="S900" s="50" t="n">
        <x:v>0.5203538497003227</x:v>
      </x:c>
      <x:c r="T900" s="1" t="str">
        <x:v>下落</x:v>
      </x:c>
      <x:c r="U900" s="49" t="n">
        <x:v>25</x:v>
      </x:c>
    </x:row>
    <x:row r="901" ht="22" customHeight="1">
      <x:c r="A901" s="1" t="str">
        <x:v>日経mini</x:v>
      </x:c>
      <x:c r="B901" s="1" t="str">
        <x:v>R01</x:v>
      </x:c>
      <x:c r="C901" s="1" t="str">
        <x:v>診断3場</x:v>
      </x:c>
      <x:c r="D901" s="47" t="n">
        <x:v>548458</x:v>
      </x:c>
      <x:c r="E901" s="47" t="n">
        <x:v>1129086</x:v>
      </x:c>
      <x:c r="F901" s="47" t="n">
        <x:f>D901-E901</x:f>
        <x:v>-580628</x:v>
      </x:c>
      <x:c r="G901" s="49" t="n">
        <x:v>0</x:v>
      </x:c>
      <x:c r="H901" s="49" t="n">
        <x:v>3</x:v>
      </x:c>
      <x:c r="I901" s="47" t="n">
        <x:v>-580628</x:v>
      </x:c>
      <x:c r="J901" s="49" t="n">
        <x:v>82</x:v>
      </x:c>
      <x:c r="K901" s="47" t="n">
        <x:v>-265388</x:v>
      </x:c>
      <x:c r="L901" s="47" t="n">
        <x:v>193542.66666666666</x:v>
      </x:c>
      <x:c r="M901" s="48" t="n">
        <x:v>23.2</x:v>
      </x:c>
      <x:c r="N901" s="48" t="n">
        <x:v>417.4222222222222</x:v>
      </x:c>
      <x:c r="O901" s="49" t="n">
        <x:v>2</x:v>
      </x:c>
      <x:c r="P901" s="1" t="str">
        <x:v>中期の支持状態を維持・標準</x:v>
      </x:c>
      <x:c r="Q901" s="49" t="n">
        <x:v>0</x:v>
      </x:c>
      <x:c r="R901" s="50" t="n">
        <x:v>0.641982091982092</x:v>
      </x:c>
      <x:c r="S901" s="50" t="n">
        <x:v>0.6324579124579125</x:v>
      </x:c>
      <x:c r="T901" s="1" t="str">
        <x:v>全場</x:v>
      </x:c>
      <x:c r="U901" s="49" t="n">
        <x:v>3</x:v>
      </x:c>
    </x:row>
    <x:row r="902" ht="22" customHeight="1">
      <x:c r="A902" s="1" t="str">
        <x:v>日経mini</x:v>
      </x:c>
      <x:c r="B902" s="1" t="str">
        <x:v>R01</x:v>
      </x:c>
      <x:c r="C902" s="1" t="str">
        <x:v>診断3場</x:v>
      </x:c>
      <x:c r="D902" s="47" t="n">
        <x:v>169230</x:v>
      </x:c>
      <x:c r="E902" s="47" t="n">
        <x:v>434618</x:v>
      </x:c>
      <x:c r="F902" s="47" t="n">
        <x:f>D902-E902</x:f>
        <x:v>-265388</x:v>
      </x:c>
      <x:c r="G902" s="49" t="n">
        <x:v>0</x:v>
      </x:c>
      <x:c r="H902" s="49" t="n">
        <x:v>1</x:v>
      </x:c>
      <x:c r="I902" s="47" t="n">
        <x:v>-265388</x:v>
      </x:c>
      <x:c r="J902" s="49" t="n">
        <x:v>22</x:v>
      </x:c>
      <x:c r="K902" s="47" t="n">
        <x:v>-265388</x:v>
      </x:c>
      <x:c r="L902" s="47" t="n">
        <x:v>265388</x:v>
      </x:c>
      <x:c r="M902" s="48" t="n">
        <x:v>23.116666666666667</x:v>
      </x:c>
      <x:c r="N902" s="48" t="n">
        <x:v>291.6333333333333</x:v>
      </x:c>
      <x:c r="O902" s="49" t="n">
        <x:v>2</x:v>
      </x:c>
      <x:c r="P902" s="1" t="str">
        <x:v>中期の支持状態を維持・標準</x:v>
      </x:c>
      <x:c r="Q902" s="49" t="n">
        <x:v>0</x:v>
      </x:c>
      <x:c r="R902" s="50" t="n">
        <x:v>0.6943650793650794</x:v>
      </x:c>
      <x:c r="S902" s="50" t="n">
        <x:v>0.6943650793650793</x:v>
      </x:c>
      <x:c r="T902" s="1" t="str">
        <x:v>デイ</x:v>
      </x:c>
      <x:c r="U902" s="49" t="n">
        <x:v>1</x:v>
      </x:c>
    </x:row>
    <x:row r="903" ht="22" customHeight="1">
      <x:c r="A903" s="1" t="str">
        <x:v>日経mini</x:v>
      </x:c>
      <x:c r="B903" s="1" t="str">
        <x:v>R01</x:v>
      </x:c>
      <x:c r="C903" s="1" t="str">
        <x:v>診断3場</x:v>
      </x:c>
      <x:c r="D903" s="47" t="n">
        <x:v>379228</x:v>
      </x:c>
      <x:c r="E903" s="47" t="n">
        <x:v>694468</x:v>
      </x:c>
      <x:c r="F903" s="47" t="n">
        <x:f>D903-E903</x:f>
        <x:v>-315240</x:v>
      </x:c>
      <x:c r="G903" s="49" t="n">
        <x:v>0</x:v>
      </x:c>
      <x:c r="H903" s="49" t="n">
        <x:v>2</x:v>
      </x:c>
      <x:c r="I903" s="47" t="n">
        <x:v>-315240</x:v>
      </x:c>
      <x:c r="J903" s="49" t="n">
        <x:v>60</x:v>
      </x:c>
      <x:c r="K903" s="47" t="n">
        <x:v>-215236</x:v>
      </x:c>
      <x:c r="L903" s="47" t="n">
        <x:v>157620</x:v>
      </x:c>
      <x:c r="M903" s="48" t="n">
        <x:v>23.241666666666667</x:v>
      </x:c>
      <x:c r="N903" s="48" t="n">
        <x:v>480.31666666666666</x:v>
      </x:c>
      <x:c r="O903" s="49" t="n">
        <x:v>2</x:v>
      </x:c>
      <x:c r="P903" s="1" t="str">
        <x:v>中期の支持状態を維持・標準</x:v>
      </x:c>
      <x:c r="Q903" s="49" t="n">
        <x:v>0</x:v>
      </x:c>
      <x:c r="R903" s="50" t="n">
        <x:v>0.6157905982905982</x:v>
      </x:c>
      <x:c r="S903" s="50" t="n">
        <x:v>0.6157905982905982</x:v>
      </x:c>
      <x:c r="T903" s="1" t="str">
        <x:v>ナイト</x:v>
      </x:c>
      <x:c r="U903" s="49" t="n">
        <x:v>2</x:v>
      </x:c>
    </x:row>
    <x:row r="904" ht="22" customHeight="1">
      <x:c r="A904" s="1" t="str">
        <x:v>日経mini</x:v>
      </x:c>
      <x:c r="B904" s="1" t="str">
        <x:v>R01</x:v>
      </x:c>
      <x:c r="C904" s="1" t="str">
        <x:v>診断3場</x:v>
      </x:c>
      <x:c r="D904" s="47" t="n">
        <x:v>338152</x:v>
      </x:c>
      <x:c r="E904" s="47" t="n">
        <x:v>703544</x:v>
      </x:c>
      <x:c r="F904" s="47" t="n">
        <x:f>D904-E904</x:f>
        <x:v>-365392</x:v>
      </x:c>
      <x:c r="G904" s="49" t="n">
        <x:v>0</x:v>
      </x:c>
      <x:c r="H904" s="49" t="n">
        <x:v>2</x:v>
      </x:c>
      <x:c r="I904" s="47" t="n">
        <x:v>-365392</x:v>
      </x:c>
      <x:c r="J904" s="49" t="n">
        <x:v>48</x:v>
      </x:c>
      <x:c r="K904" s="47" t="n">
        <x:v>-265388</x:v>
      </x:c>
      <x:c r="L904" s="47" t="n">
        <x:v>182696</x:v>
      </x:c>
      <x:c r="M904" s="48" t="n">
        <x:v>23.125</x:v>
      </x:c>
      <x:c r="N904" s="48" t="n">
        <x:v>409.01666666666665</x:v>
      </x:c>
      <x:c r="O904" s="49" t="n">
        <x:v>2</x:v>
      </x:c>
      <x:c r="P904" s="1" t="str">
        <x:v>中期の支持状態を維持・標準</x:v>
      </x:c>
      <x:c r="Q904" s="49" t="n">
        <x:v>0</x:v>
      </x:c>
      <x:c r="R904" s="50" t="n">
        <x:v>0.6846184371184372</x:v>
      </x:c>
      <x:c r="S904" s="50" t="n">
        <x:v>0.6816944444444444</x:v>
      </x:c>
      <x:c r="T904" s="1" t="str">
        <x:v>上昇</x:v>
      </x:c>
      <x:c r="U904" s="49" t="n">
        <x:v>2</x:v>
      </x:c>
    </x:row>
    <x:row r="905" ht="22" customHeight="1">
      <x:c r="A905" s="1" t="str">
        <x:v>日経mini</x:v>
      </x:c>
      <x:c r="B905" s="1" t="str">
        <x:v>R01</x:v>
      </x:c>
      <x:c r="C905" s="1" t="str">
        <x:v>診断3場</x:v>
      </x:c>
      <x:c r="D905" s="47" t="n">
        <x:v>210306</x:v>
      </x:c>
      <x:c r="E905" s="47" t="n">
        <x:v>425542</x:v>
      </x:c>
      <x:c r="F905" s="47" t="n">
        <x:f>D905-E905</x:f>
        <x:v>-215236</x:v>
      </x:c>
      <x:c r="G905" s="49" t="n">
        <x:v>0</x:v>
      </x:c>
      <x:c r="H905" s="49" t="n">
        <x:v>1</x:v>
      </x:c>
      <x:c r="I905" s="47" t="n">
        <x:v>-215236</x:v>
      </x:c>
      <x:c r="J905" s="49" t="n">
        <x:v>34</x:v>
      </x:c>
      <x:c r="K905" s="47" t="n">
        <x:v>-215236</x:v>
      </x:c>
      <x:c r="L905" s="47" t="n">
        <x:v>215236</x:v>
      </x:c>
      <x:c r="M905" s="48" t="n">
        <x:v>23.35</x:v>
      </x:c>
      <x:c r="N905" s="48" t="n">
        <x:v>434.23333333333335</x:v>
      </x:c>
      <x:c r="O905" s="49" t="n">
        <x:v>2</x:v>
      </x:c>
      <x:c r="P905" s="1" t="str">
        <x:v>中期の支持状態を維持・標準</x:v>
      </x:c>
      <x:c r="Q905" s="49" t="n">
        <x:v>0</x:v>
      </x:c>
      <x:c r="R905" s="50" t="n">
        <x:v>0.5567094017094018</x:v>
      </x:c>
      <x:c r="S905" s="50" t="n">
        <x:v>0.5567094017094018</x:v>
      </x:c>
      <x:c r="T905" s="1" t="str">
        <x:v>下落</x:v>
      </x:c>
      <x:c r="U905" s="49" t="n">
        <x:v>1</x:v>
      </x:c>
    </x:row>
    <x:row r="906" ht="22" customHeight="1">
      <x:c r="A906" s="1" t="str">
        <x:v>日経mini</x:v>
      </x:c>
      <x:c r="B906" s="1" t="str">
        <x:v>R02</x:v>
      </x:c>
      <x:c r="C906" s="1" t="str">
        <x:v>全50場</x:v>
      </x:c>
      <x:c r="D906" s="47" t="n">
        <x:v>6092430</x:v>
      </x:c>
      <x:c r="E906" s="47" t="n">
        <x:v>8113606</x:v>
      </x:c>
      <x:c r="F906" s="47" t="n">
        <x:f>D906-E906</x:f>
        <x:v>-2021176</x:v>
      </x:c>
      <x:c r="G906" s="49" t="n">
        <x:v>15</x:v>
      </x:c>
      <x:c r="H906" s="49" t="n">
        <x:v>35</x:v>
      </x:c>
      <x:c r="I906" s="47" t="n">
        <x:v>-2461326</x:v>
      </x:c>
      <x:c r="J906" s="49" t="n">
        <x:v>644</x:v>
      </x:c>
      <x:c r="K906" s="47" t="n">
        <x:v>-203850</x:v>
      </x:c>
      <x:c r="L906" s="47" t="n">
        <x:v>84709.77142857143</x:v>
      </x:c>
      <x:c r="M906" s="48" t="n">
        <x:v>36.943</x:v>
      </x:c>
      <x:c r="N906" s="48" t="n">
        <x:v>372.2783333333334</x:v>
      </x:c>
      <x:c r="O906" s="49" t="n">
        <x:v>2</x:v>
      </x:c>
      <x:c r="P906" s="1" t="str">
        <x:v>中期の支持状態を維持・広め</x:v>
      </x:c>
      <x:c r="Q906" s="49" t="n">
        <x:v>0</x:v>
      </x:c>
      <x:c r="R906" s="50" t="n">
        <x:v>0.6362714896214896</x:v>
      </x:c>
      <x:c r="S906" s="50" t="n">
        <x:v>0.6204638888888889</x:v>
      </x:c>
      <x:c r="T906" s="1" t="str">
        <x:v>全場</x:v>
      </x:c>
      <x:c r="U906" s="49" t="n">
        <x:v>50</x:v>
      </x:c>
    </x:row>
    <x:row r="907" ht="22" customHeight="1">
      <x:c r="A907" s="1" t="str">
        <x:v>日経mini</x:v>
      </x:c>
      <x:c r="B907" s="1" t="str">
        <x:v>R02</x:v>
      </x:c>
      <x:c r="C907" s="1" t="str">
        <x:v>全50場</x:v>
      </x:c>
      <x:c r="D907" s="47" t="n">
        <x:v>2578756</x:v>
      </x:c>
      <x:c r="E907" s="47" t="n">
        <x:v>3610952</x:v>
      </x:c>
      <x:c r="F907" s="47" t="n">
        <x:f>D907-E907</x:f>
        <x:v>-1032196</x:v>
      </x:c>
      <x:c r="G907" s="49" t="n">
        <x:v>6</x:v>
      </x:c>
      <x:c r="H907" s="49" t="n">
        <x:v>19</x:v>
      </x:c>
      <x:c r="I907" s="47" t="n">
        <x:v>-1426500</x:v>
      </x:c>
      <x:c r="J907" s="49" t="n">
        <x:v>274</x:v>
      </x:c>
      <x:c r="K907" s="47" t="n">
        <x:v>-170464</x:v>
      </x:c>
      <x:c r="L907" s="47" t="n">
        <x:v>78001.78947368421</x:v>
      </x:c>
      <x:c r="M907" s="48" t="n">
        <x:v>30.77</x:v>
      </x:c>
      <x:c r="N907" s="48" t="n">
        <x:v>289.36466666666666</x:v>
      </x:c>
      <x:c r="O907" s="49" t="n">
        <x:v>2</x:v>
      </x:c>
      <x:c r="P907" s="1" t="str">
        <x:v>中期の支持状態を維持・広め</x:v>
      </x:c>
      <x:c r="Q907" s="49" t="n">
        <x:v>0</x:v>
      </x:c>
      <x:c r="R907" s="50" t="n">
        <x:v>0.6889634920634922</x:v>
      </x:c>
      <x:c r="S907" s="50" t="n">
        <x:v>0.6889634920634921</x:v>
      </x:c>
      <x:c r="T907" s="1" t="str">
        <x:v>デイ</x:v>
      </x:c>
      <x:c r="U907" s="49" t="n">
        <x:v>25</x:v>
      </x:c>
    </x:row>
    <x:row r="908" ht="22" customHeight="1">
      <x:c r="A908" s="1" t="str">
        <x:v>日経mini</x:v>
      </x:c>
      <x:c r="B908" s="1" t="str">
        <x:v>R02</x:v>
      </x:c>
      <x:c r="C908" s="1" t="str">
        <x:v>全50場</x:v>
      </x:c>
      <x:c r="D908" s="47" t="n">
        <x:v>3513674</x:v>
      </x:c>
      <x:c r="E908" s="47" t="n">
        <x:v>4502654</x:v>
      </x:c>
      <x:c r="F908" s="47" t="n">
        <x:f>D908-E908</x:f>
        <x:v>-988980</x:v>
      </x:c>
      <x:c r="G908" s="49" t="n">
        <x:v>9</x:v>
      </x:c>
      <x:c r="H908" s="49" t="n">
        <x:v>16</x:v>
      </x:c>
      <x:c r="I908" s="47" t="n">
        <x:v>-1258206</x:v>
      </x:c>
      <x:c r="J908" s="49" t="n">
        <x:v>370</x:v>
      </x:c>
      <x:c r="K908" s="47" t="n">
        <x:v>-203850</x:v>
      </x:c>
      <x:c r="L908" s="47" t="n">
        <x:v>92675.5</x:v>
      </x:c>
      <x:c r="M908" s="48" t="n">
        <x:v>43.11600000000001</x:v>
      </x:c>
      <x:c r="N908" s="48" t="n">
        <x:v>455.19199999999995</x:v>
      </x:c>
      <x:c r="O908" s="49" t="n">
        <x:v>2</x:v>
      </x:c>
      <x:c r="P908" s="1" t="str">
        <x:v>中期の支持状態を維持・広め</x:v>
      </x:c>
      <x:c r="Q908" s="49" t="n">
        <x:v>0</x:v>
      </x:c>
      <x:c r="R908" s="50" t="n">
        <x:v>0.5835794871794872</x:v>
      </x:c>
      <x:c r="S908" s="50" t="n">
        <x:v>0.5835794871794872</x:v>
      </x:c>
      <x:c r="T908" s="1" t="str">
        <x:v>ナイト</x:v>
      </x:c>
      <x:c r="U908" s="49" t="n">
        <x:v>25</x:v>
      </x:c>
    </x:row>
    <x:row r="909" ht="22" customHeight="1">
      <x:c r="A909" s="1" t="str">
        <x:v>日経mini</x:v>
      </x:c>
      <x:c r="B909" s="1" t="str">
        <x:v>R02</x:v>
      </x:c>
      <x:c r="C909" s="1" t="str">
        <x:v>全50場</x:v>
      </x:c>
      <x:c r="D909" s="47" t="n">
        <x:v>2991984</x:v>
      </x:c>
      <x:c r="E909" s="47" t="n">
        <x:v>3918032</x:v>
      </x:c>
      <x:c r="F909" s="47" t="n">
        <x:f>D909-E909</x:f>
        <x:v>-926048</x:v>
      </x:c>
      <x:c r="G909" s="49" t="n">
        <x:v>6</x:v>
      </x:c>
      <x:c r="H909" s="49" t="n">
        <x:v>18</x:v>
      </x:c>
      <x:c r="I909" s="47" t="n">
        <x:v>-1180658</x:v>
      </x:c>
      <x:c r="J909" s="49" t="n">
        <x:v>312</x:v>
      </x:c>
      <x:c r="K909" s="47" t="n">
        <x:v>-170464</x:v>
      </x:c>
      <x:c r="L909" s="47" t="n">
        <x:v>72446.44444444444</x:v>
      </x:c>
      <x:c r="M909" s="48" t="n">
        <x:v>30.147222222222222</x:v>
      </x:c>
      <x:c r="N909" s="48" t="n">
        <x:v>374.5562499999999</x:v>
      </x:c>
      <x:c r="O909" s="49" t="n">
        <x:v>2</x:v>
      </x:c>
      <x:c r="P909" s="1" t="str">
        <x:v>中期の支持状態を維持・広め</x:v>
      </x:c>
      <x:c r="Q909" s="49" t="n">
        <x:v>0</x:v>
      </x:c>
      <x:c r="R909" s="50" t="n">
        <x:v>0.6174835927960928</x:v>
      </x:c>
      <x:c r="S909" s="50" t="n">
        <x:v>0.6090345528455284</x:v>
      </x:c>
      <x:c r="T909" s="1" t="str">
        <x:v>上昇</x:v>
      </x:c>
      <x:c r="U909" s="49" t="n">
        <x:v>24</x:v>
      </x:c>
    </x:row>
    <x:row r="910" ht="22" customHeight="1">
      <x:c r="A910" s="1" t="str">
        <x:v>日経mini</x:v>
      </x:c>
      <x:c r="B910" s="1" t="str">
        <x:v>R02</x:v>
      </x:c>
      <x:c r="C910" s="1" t="str">
        <x:v>全50場</x:v>
      </x:c>
      <x:c r="D910" s="47" t="n">
        <x:v>3100446</x:v>
      </x:c>
      <x:c r="E910" s="47" t="n">
        <x:v>4195574</x:v>
      </x:c>
      <x:c r="F910" s="47" t="n">
        <x:f>D910-E910</x:f>
        <x:v>-1095128</x:v>
      </x:c>
      <x:c r="G910" s="49" t="n">
        <x:v>9</x:v>
      </x:c>
      <x:c r="H910" s="49" t="n">
        <x:v>17</x:v>
      </x:c>
      <x:c r="I910" s="47" t="n">
        <x:v>-1504048</x:v>
      </x:c>
      <x:c r="J910" s="49" t="n">
        <x:v>332</x:v>
      </x:c>
      <x:c r="K910" s="47" t="n">
        <x:v>-203850</x:v>
      </x:c>
      <x:c r="L910" s="47" t="n">
        <x:v>97694.4705882353</x:v>
      </x:c>
      <x:c r="M910" s="48" t="n">
        <x:v>43.21602564102564</x:v>
      </x:c>
      <x:c r="N910" s="48" t="n">
        <x:v>370.1756410256411</x:v>
      </x:c>
      <x:c r="O910" s="49" t="n">
        <x:v>2</x:v>
      </x:c>
      <x:c r="P910" s="1" t="str">
        <x:v>中期の支持状態を維持・広め</x:v>
      </x:c>
      <x:c r="Q910" s="49" t="n">
        <x:v>0</x:v>
      </x:c>
      <x:c r="R910" s="50" t="n">
        <x:v>0.6536141636141635</x:v>
      </x:c>
      <x:c r="S910" s="50" t="n">
        <x:v>0.6315332458442695</x:v>
      </x:c>
      <x:c r="T910" s="1" t="str">
        <x:v>下落</x:v>
      </x:c>
      <x:c r="U910" s="49" t="n">
        <x:v>26</x:v>
      </x:c>
    </x:row>
    <x:row r="911" ht="22" customHeight="1">
      <x:c r="A911" s="1" t="str">
        <x:v>日経mini</x:v>
      </x:c>
      <x:c r="B911" s="1" t="str">
        <x:v>R02</x:v>
      </x:c>
      <x:c r="C911" s="1" t="str">
        <x:v>対照47場</x:v>
      </x:c>
      <x:c r="D911" s="47" t="n">
        <x:v>5686432</x:v>
      </x:c>
      <x:c r="E911" s="47" t="n">
        <x:v>7296830</x:v>
      </x:c>
      <x:c r="F911" s="47" t="n">
        <x:f>D911-E911</x:f>
        <x:v>-1610398</x:v>
      </x:c>
      <x:c r="G911" s="49" t="n">
        <x:v>15</x:v>
      </x:c>
      <x:c r="H911" s="49" t="n">
        <x:v>32</x:v>
      </x:c>
      <x:c r="I911" s="47" t="n">
        <x:v>-2050548</x:v>
      </x:c>
      <x:c r="J911" s="49" t="n">
        <x:v>587</x:v>
      </x:c>
      <x:c r="K911" s="47" t="n">
        <x:v>-203850</x:v>
      </x:c>
      <x:c r="L911" s="47" t="n">
        <x:v>79814.5</x:v>
      </x:c>
      <x:c r="M911" s="48" t="n">
        <x:v>37.820212765957436</x:v>
      </x:c>
      <x:c r="N911" s="48" t="n">
        <x:v>365.91773049645394</x:v>
      </x:c>
      <x:c r="O911" s="49" t="n">
        <x:v>2</x:v>
      </x:c>
      <x:c r="P911" s="1" t="str">
        <x:v>中期の支持状態を維持・広め</x:v>
      </x:c>
      <x:c r="Q911" s="49" t="n">
        <x:v>0</x:v>
      </x:c>
      <x:c r="R911" s="50" t="n">
        <x:v>0.6308441794612007</x:v>
      </x:c>
      <x:c r="S911" s="50" t="n">
        <x:v>0.6137806328812754</x:v>
      </x:c>
      <x:c r="T911" s="1" t="str">
        <x:v>全場</x:v>
      </x:c>
      <x:c r="U911" s="49" t="n">
        <x:v>47</x:v>
      </x:c>
    </x:row>
    <x:row r="912" ht="22" customHeight="1">
      <x:c r="A912" s="1" t="str">
        <x:v>日経mini</x:v>
      </x:c>
      <x:c r="B912" s="1" t="str">
        <x:v>R02</x:v>
      </x:c>
      <x:c r="C912" s="1" t="str">
        <x:v>対照47場</x:v>
      </x:c>
      <x:c r="D912" s="47" t="n">
        <x:v>2455218</x:v>
      </x:c>
      <x:c r="E912" s="47" t="n">
        <x:v>3316950</x:v>
      </x:c>
      <x:c r="F912" s="47" t="n">
        <x:f>D912-E912</x:f>
        <x:v>-861732</x:v>
      </x:c>
      <x:c r="G912" s="49" t="n">
        <x:v>6</x:v>
      </x:c>
      <x:c r="H912" s="49" t="n">
        <x:v>18</x:v>
      </x:c>
      <x:c r="I912" s="47" t="n">
        <x:v>-1256036</x:v>
      </x:c>
      <x:c r="J912" s="49" t="n">
        <x:v>258</x:v>
      </x:c>
      <x:c r="K912" s="47" t="n">
        <x:v>-139232</x:v>
      </x:c>
      <x:c r="L912" s="47" t="n">
        <x:v>72865</x:v>
      </x:c>
      <x:c r="M912" s="48" t="n">
        <x:v>31.08888888888889</x:v>
      </x:c>
      <x:c r="N912" s="48" t="n">
        <x:v>288.1965277777778</x:v>
      </x:c>
      <x:c r="O912" s="49" t="n">
        <x:v>2</x:v>
      </x:c>
      <x:c r="P912" s="1" t="str">
        <x:v>中期の支持状態を維持・広め</x:v>
      </x:c>
      <x:c r="Q912" s="49" t="n">
        <x:v>0</x:v>
      </x:c>
      <x:c r="R912" s="50" t="n">
        <x:v>0.686182208994709</x:v>
      </x:c>
      <x:c r="S912" s="50" t="n">
        <x:v>0.686182208994709</x:v>
      </x:c>
      <x:c r="T912" s="1" t="str">
        <x:v>デイ</x:v>
      </x:c>
      <x:c r="U912" s="49" t="n">
        <x:v>24</x:v>
      </x:c>
    </x:row>
    <x:row r="913" ht="22" customHeight="1">
      <x:c r="A913" s="1" t="str">
        <x:v>日経mini</x:v>
      </x:c>
      <x:c r="B913" s="1" t="str">
        <x:v>R02</x:v>
      </x:c>
      <x:c r="C913" s="1" t="str">
        <x:v>対照47場</x:v>
      </x:c>
      <x:c r="D913" s="47" t="n">
        <x:v>3231214</x:v>
      </x:c>
      <x:c r="E913" s="47" t="n">
        <x:v>3979880</x:v>
      </x:c>
      <x:c r="F913" s="47" t="n">
        <x:f>D913-E913</x:f>
        <x:v>-748666</x:v>
      </x:c>
      <x:c r="G913" s="49" t="n">
        <x:v>9</x:v>
      </x:c>
      <x:c r="H913" s="49" t="n">
        <x:v>14</x:v>
      </x:c>
      <x:c r="I913" s="47" t="n">
        <x:v>-1017892</x:v>
      </x:c>
      <x:c r="J913" s="49" t="n">
        <x:v>329</x:v>
      </x:c>
      <x:c r="K913" s="47" t="n">
        <x:v>-203850</x:v>
      </x:c>
      <x:c r="L913" s="47" t="n">
        <x:v>88749.57142857143</x:v>
      </x:c>
      <x:c r="M913" s="48" t="n">
        <x:v>44.844202898550726</x:v>
      </x:c>
      <x:c r="N913" s="48" t="n">
        <x:v>447.0181159420291</x:v>
      </x:c>
      <x:c r="O913" s="49" t="n">
        <x:v>2</x:v>
      </x:c>
      <x:c r="P913" s="1" t="str">
        <x:v>中期の支持状態を維持・広め</x:v>
      </x:c>
      <x:c r="Q913" s="49" t="n">
        <x:v>0</x:v>
      </x:c>
      <x:c r="R913" s="50" t="n">
        <x:v>0.5731001486436268</x:v>
      </x:c>
      <x:c r="S913" s="50" t="n">
        <x:v>0.5731001486436269</x:v>
      </x:c>
      <x:c r="T913" s="1" t="str">
        <x:v>ナイト</x:v>
      </x:c>
      <x:c r="U913" s="49" t="n">
        <x:v>23</x:v>
      </x:c>
    </x:row>
    <x:row r="914" ht="22" customHeight="1">
      <x:c r="A914" s="1" t="str">
        <x:v>日経mini</x:v>
      </x:c>
      <x:c r="B914" s="1" t="str">
        <x:v>R02</x:v>
      </x:c>
      <x:c r="C914" s="1" t="str">
        <x:v>対照47場</x:v>
      </x:c>
      <x:c r="D914" s="47" t="n">
        <x:v>2721216</x:v>
      </x:c>
      <x:c r="E914" s="47" t="n">
        <x:v>3426028</x:v>
      </x:c>
      <x:c r="F914" s="47" t="n">
        <x:f>D914-E914</x:f>
        <x:v>-704812</x:v>
      </x:c>
      <x:c r="G914" s="49" t="n">
        <x:v>6</x:v>
      </x:c>
      <x:c r="H914" s="49" t="n">
        <x:v>16</x:v>
      </x:c>
      <x:c r="I914" s="47" t="n">
        <x:v>-959422</x:v>
      </x:c>
      <x:c r="J914" s="49" t="n">
        <x:v>278</x:v>
      </x:c>
      <x:c r="K914" s="47" t="n">
        <x:v>-139232</x:v>
      </x:c>
      <x:c r="L914" s="47" t="n">
        <x:v>67675</x:v>
      </x:c>
      <x:c r="M914" s="48" t="n">
        <x:v>30.785606060606064</x:v>
      </x:c>
      <x:c r="N914" s="48" t="n">
        <x:v>369.2636363636363</x:v>
      </x:c>
      <x:c r="O914" s="49" t="n">
        <x:v>2</x:v>
      </x:c>
      <x:c r="P914" s="1" t="str">
        <x:v>中期の支持状態を維持・広め</x:v>
      </x:c>
      <x:c r="Q914" s="49" t="n">
        <x:v>0</x:v>
      </x:c>
      <x:c r="R914" s="50" t="n">
        <x:v>0.6073243423243423</x:v>
      </x:c>
      <x:c r="S914" s="50" t="n">
        <x:v>0.5991002949852507</x:v>
      </x:c>
      <x:c r="T914" s="1" t="str">
        <x:v>上昇</x:v>
      </x:c>
      <x:c r="U914" s="49" t="n">
        <x:v>22</x:v>
      </x:c>
    </x:row>
    <x:row r="915" ht="22" customHeight="1">
      <x:c r="A915" s="1" t="str">
        <x:v>日経mini</x:v>
      </x:c>
      <x:c r="B915" s="1" t="str">
        <x:v>R02</x:v>
      </x:c>
      <x:c r="C915" s="1" t="str">
        <x:v>対照47場</x:v>
      </x:c>
      <x:c r="D915" s="47" t="n">
        <x:v>2965216</x:v>
      </x:c>
      <x:c r="E915" s="47" t="n">
        <x:v>3870802</x:v>
      </x:c>
      <x:c r="F915" s="47" t="n">
        <x:f>D915-E915</x:f>
        <x:v>-905586</x:v>
      </x:c>
      <x:c r="G915" s="49" t="n">
        <x:v>9</x:v>
      </x:c>
      <x:c r="H915" s="49" t="n">
        <x:v>16</x:v>
      </x:c>
      <x:c r="I915" s="47" t="n">
        <x:v>-1314506</x:v>
      </x:c>
      <x:c r="J915" s="49" t="n">
        <x:v>309</x:v>
      </x:c>
      <x:c r="K915" s="47" t="n">
        <x:v>-203850</x:v>
      </x:c>
      <x:c r="L915" s="47" t="n">
        <x:v>91954</x:v>
      </x:c>
      <x:c r="M915" s="48" t="n">
        <x:v>44.010666666666665</x:v>
      </x:c>
      <x:c r="N915" s="48" t="n">
        <x:v>362.97333333333336</x:v>
      </x:c>
      <x:c r="O915" s="49" t="n">
        <x:v>2</x:v>
      </x:c>
      <x:c r="P915" s="1" t="str">
        <x:v>中期の支持状態を維持・広め</x:v>
      </x:c>
      <x:c r="Q915" s="49" t="n">
        <x:v>0</x:v>
      </x:c>
      <x:c r="R915" s="50" t="n">
        <x:v>0.6515416361416361</x:v>
      </x:c>
      <x:c r="S915" s="50" t="n">
        <x:v>0.6275472568003688</x:v>
      </x:c>
      <x:c r="T915" s="1" t="str">
        <x:v>下落</x:v>
      </x:c>
      <x:c r="U915" s="49" t="n">
        <x:v>25</x:v>
      </x:c>
    </x:row>
    <x:row r="916" ht="22" customHeight="1">
      <x:c r="A916" s="1" t="str">
        <x:v>日経mini</x:v>
      </x:c>
      <x:c r="B916" s="1" t="str">
        <x:v>R02</x:v>
      </x:c>
      <x:c r="C916" s="1" t="str">
        <x:v>診断3場</x:v>
      </x:c>
      <x:c r="D916" s="47" t="n">
        <x:v>405998</x:v>
      </x:c>
      <x:c r="E916" s="47" t="n">
        <x:v>816776</x:v>
      </x:c>
      <x:c r="F916" s="47" t="n">
        <x:f>D916-E916</x:f>
        <x:v>-410778</x:v>
      </x:c>
      <x:c r="G916" s="49" t="n">
        <x:v>0</x:v>
      </x:c>
      <x:c r="H916" s="49" t="n">
        <x:v>3</x:v>
      </x:c>
      <x:c r="I916" s="47" t="n">
        <x:v>-410778</x:v>
      </x:c>
      <x:c r="J916" s="49" t="n">
        <x:v>57</x:v>
      </x:c>
      <x:c r="K916" s="47" t="n">
        <x:v>-189542</x:v>
      </x:c>
      <x:c r="L916" s="47" t="n">
        <x:v>136926</x:v>
      </x:c>
      <x:c r="M916" s="48" t="n">
        <x:v>23.2</x:v>
      </x:c>
      <x:c r="N916" s="48" t="n">
        <x:v>471.92777777777775</x:v>
      </x:c>
      <x:c r="O916" s="49" t="n">
        <x:v>2</x:v>
      </x:c>
      <x:c r="P916" s="1" t="str">
        <x:v>中期の支持状態を維持・広め</x:v>
      </x:c>
      <x:c r="Q916" s="49" t="n">
        <x:v>0</x:v>
      </x:c>
      <x:c r="R916" s="50" t="n">
        <x:v>0.7212993487993488</x:v>
      </x:c>
      <x:c r="S916" s="50" t="n">
        <x:v>0.7150420875420875</x:v>
      </x:c>
      <x:c r="T916" s="1" t="str">
        <x:v>全場</x:v>
      </x:c>
      <x:c r="U916" s="49" t="n">
        <x:v>3</x:v>
      </x:c>
    </x:row>
    <x:row r="917" ht="22" customHeight="1">
      <x:c r="A917" s="1" t="str">
        <x:v>日経mini</x:v>
      </x:c>
      <x:c r="B917" s="1" t="str">
        <x:v>R02</x:v>
      </x:c>
      <x:c r="C917" s="1" t="str">
        <x:v>診断3場</x:v>
      </x:c>
      <x:c r="D917" s="47" t="n">
        <x:v>123538</x:v>
      </x:c>
      <x:c r="E917" s="47" t="n">
        <x:v>294002</x:v>
      </x:c>
      <x:c r="F917" s="47" t="n">
        <x:f>D917-E917</x:f>
        <x:v>-170464</x:v>
      </x:c>
      <x:c r="G917" s="49" t="n">
        <x:v>0</x:v>
      </x:c>
      <x:c r="H917" s="49" t="n">
        <x:v>1</x:v>
      </x:c>
      <x:c r="I917" s="47" t="n">
        <x:v>-170464</x:v>
      </x:c>
      <x:c r="J917" s="49" t="n">
        <x:v>16</x:v>
      </x:c>
      <x:c r="K917" s="47" t="n">
        <x:v>-170464</x:v>
      </x:c>
      <x:c r="L917" s="47" t="n">
        <x:v>170464</x:v>
      </x:c>
      <x:c r="M917" s="48" t="n">
        <x:v>23.116666666666667</x:v>
      </x:c>
      <x:c r="N917" s="48" t="n">
        <x:v>317.4</x:v>
      </x:c>
      <x:c r="O917" s="49" t="n">
        <x:v>2</x:v>
      </x:c>
      <x:c r="P917" s="1" t="str">
        <x:v>中期の支持状態を維持・広め</x:v>
      </x:c>
      <x:c r="Q917" s="49" t="n">
        <x:v>0</x:v>
      </x:c>
      <x:c r="R917" s="50" t="n">
        <x:v>0.7557142857142857</x:v>
      </x:c>
      <x:c r="S917" s="50" t="n">
        <x:v>0.7557142857142857</x:v>
      </x:c>
      <x:c r="T917" s="1" t="str">
        <x:v>デイ</x:v>
      </x:c>
      <x:c r="U917" s="49" t="n">
        <x:v>1</x:v>
      </x:c>
    </x:row>
    <x:row r="918" ht="22" customHeight="1">
      <x:c r="A918" s="1" t="str">
        <x:v>日経mini</x:v>
      </x:c>
      <x:c r="B918" s="1" t="str">
        <x:v>R02</x:v>
      </x:c>
      <x:c r="C918" s="1" t="str">
        <x:v>診断3場</x:v>
      </x:c>
      <x:c r="D918" s="47" t="n">
        <x:v>282460</x:v>
      </x:c>
      <x:c r="E918" s="47" t="n">
        <x:v>522774</x:v>
      </x:c>
      <x:c r="F918" s="47" t="n">
        <x:f>D918-E918</x:f>
        <x:v>-240314</x:v>
      </x:c>
      <x:c r="G918" s="49" t="n">
        <x:v>0</x:v>
      </x:c>
      <x:c r="H918" s="49" t="n">
        <x:v>2</x:v>
      </x:c>
      <x:c r="I918" s="47" t="n">
        <x:v>-240314</x:v>
      </x:c>
      <x:c r="J918" s="49" t="n">
        <x:v>41</x:v>
      </x:c>
      <x:c r="K918" s="47" t="n">
        <x:v>-189542</x:v>
      </x:c>
      <x:c r="L918" s="47" t="n">
        <x:v>120157</x:v>
      </x:c>
      <x:c r="M918" s="48" t="n">
        <x:v>23.241666666666667</x:v>
      </x:c>
      <x:c r="N918" s="48" t="n">
        <x:v>549.1916666666666</x:v>
      </x:c>
      <x:c r="O918" s="49" t="n">
        <x:v>2</x:v>
      </x:c>
      <x:c r="P918" s="1" t="str">
        <x:v>中期の支持状態を維持・広め</x:v>
      </x:c>
      <x:c r="Q918" s="49" t="n">
        <x:v>0</x:v>
      </x:c>
      <x:c r="R918" s="50" t="n">
        <x:v>0.7040918803418803</x:v>
      </x:c>
      <x:c r="S918" s="50" t="n">
        <x:v>0.7040918803418803</x:v>
      </x:c>
      <x:c r="T918" s="1" t="str">
        <x:v>ナイト</x:v>
      </x:c>
      <x:c r="U918" s="49" t="n">
        <x:v>2</x:v>
      </x:c>
    </x:row>
    <x:row r="919" ht="22" customHeight="1">
      <x:c r="A919" s="1" t="str">
        <x:v>日経mini</x:v>
      </x:c>
      <x:c r="B919" s="1" t="str">
        <x:v>R02</x:v>
      </x:c>
      <x:c r="C919" s="1" t="str">
        <x:v>診断3場</x:v>
      </x:c>
      <x:c r="D919" s="47" t="n">
        <x:v>270768</x:v>
      </x:c>
      <x:c r="E919" s="47" t="n">
        <x:v>492004</x:v>
      </x:c>
      <x:c r="F919" s="47" t="n">
        <x:f>D919-E919</x:f>
        <x:v>-221236</x:v>
      </x:c>
      <x:c r="G919" s="49" t="n">
        <x:v>0</x:v>
      </x:c>
      <x:c r="H919" s="49" t="n">
        <x:v>2</x:v>
      </x:c>
      <x:c r="I919" s="47" t="n">
        <x:v>-221236</x:v>
      </x:c>
      <x:c r="J919" s="49" t="n">
        <x:v>34</x:v>
      </x:c>
      <x:c r="K919" s="47" t="n">
        <x:v>-170464</x:v>
      </x:c>
      <x:c r="L919" s="47" t="n">
        <x:v>110618</x:v>
      </x:c>
      <x:c r="M919" s="48" t="n">
        <x:v>23.125</x:v>
      </x:c>
      <x:c r="N919" s="48" t="n">
        <x:v>432.775</x:v>
      </x:c>
      <x:c r="O919" s="49" t="n">
        <x:v>2</x:v>
      </x:c>
      <x:c r="P919" s="1" t="str">
        <x:v>中期の支持状態を維持・広め</x:v>
      </x:c>
      <x:c r="Q919" s="49" t="n">
        <x:v>0</x:v>
      </x:c>
      <x:c r="R919" s="50" t="n">
        <x:v>0.729235347985348</x:v>
      </x:c>
      <x:c r="S919" s="50" t="n">
        <x:v>0.7212916666666667</x:v>
      </x:c>
      <x:c r="T919" s="1" t="str">
        <x:v>上昇</x:v>
      </x:c>
      <x:c r="U919" s="49" t="n">
        <x:v>2</x:v>
      </x:c>
    </x:row>
    <x:row r="920" ht="22" customHeight="1">
      <x:c r="A920" s="1" t="str">
        <x:v>日経mini</x:v>
      </x:c>
      <x:c r="B920" s="1" t="str">
        <x:v>R02</x:v>
      </x:c>
      <x:c r="C920" s="1" t="str">
        <x:v>診断3場</x:v>
      </x:c>
      <x:c r="D920" s="47" t="n">
        <x:v>135230</x:v>
      </x:c>
      <x:c r="E920" s="47" t="n">
        <x:v>324772</x:v>
      </x:c>
      <x:c r="F920" s="47" t="n">
        <x:f>D920-E920</x:f>
        <x:v>-189542</x:v>
      </x:c>
      <x:c r="G920" s="49" t="n">
        <x:v>0</x:v>
      </x:c>
      <x:c r="H920" s="49" t="n">
        <x:v>1</x:v>
      </x:c>
      <x:c r="I920" s="47" t="n">
        <x:v>-189542</x:v>
      </x:c>
      <x:c r="J920" s="49" t="n">
        <x:v>23</x:v>
      </x:c>
      <x:c r="K920" s="47" t="n">
        <x:v>-189542</x:v>
      </x:c>
      <x:c r="L920" s="47" t="n">
        <x:v>189542</x:v>
      </x:c>
      <x:c r="M920" s="48" t="n">
        <x:v>23.35</x:v>
      </x:c>
      <x:c r="N920" s="48" t="n">
        <x:v>550.2333333333333</x:v>
      </x:c>
      <x:c r="O920" s="49" t="n">
        <x:v>2</x:v>
      </x:c>
      <x:c r="P920" s="1" t="str">
        <x:v>中期の支持状態を維持・広め</x:v>
      </x:c>
      <x:c r="Q920" s="49" t="n">
        <x:v>0</x:v>
      </x:c>
      <x:c r="R920" s="50" t="n">
        <x:v>0.7054273504273504</x:v>
      </x:c>
      <x:c r="S920" s="50" t="n">
        <x:v>0.7054273504273505</x:v>
      </x:c>
      <x:c r="T920" s="1" t="str">
        <x:v>下落</x:v>
      </x:c>
      <x:c r="U920" s="49" t="n">
        <x:v>1</x:v>
      </x:c>
    </x:row>
    <x:row r="921" ht="22" customHeight="1">
      <x:c r="A921" s="1" t="str">
        <x:v>日経mini</x:v>
      </x:c>
      <x:c r="B921" s="1" t="str">
        <x:v>R03</x:v>
      </x:c>
      <x:c r="C921" s="1" t="str">
        <x:v>全50場</x:v>
      </x:c>
      <x:c r="D921" s="47" t="n">
        <x:v>3272748</x:v>
      </x:c>
      <x:c r="E921" s="47" t="n">
        <x:v>5053272</x:v>
      </x:c>
      <x:c r="F921" s="47" t="n">
        <x:f>D921-E921</x:f>
        <x:v>-1780524</x:v>
      </x:c>
      <x:c r="G921" s="49" t="n">
        <x:v>13</x:v>
      </x:c>
      <x:c r="H921" s="49" t="n">
        <x:v>34</x:v>
      </x:c>
      <x:c r="I921" s="47" t="n">
        <x:v>-2084520</x:v>
      </x:c>
      <x:c r="J921" s="49" t="n">
        <x:v>406</x:v>
      </x:c>
      <x:c r="K921" s="47" t="n">
        <x:v>-226002</x:v>
      </x:c>
      <x:c r="L921" s="47" t="n">
        <x:v>65232.17647058824</x:v>
      </x:c>
      <x:c r="M921" s="48" t="n">
        <x:v>115.96418439716312</x:v>
      </x:c>
      <x:c r="N921" s="48" t="n">
        <x:v>119.68066666666668</x:v>
      </x:c>
      <x:c r="O921" s="49" t="n">
        <x:v>2</x:v>
      </x:c>
      <x:c r="P921" s="1" t="str">
        <x:v>支持状態内の押し再進行で参加・標準</x:v>
      </x:c>
      <x:c r="Q921" s="49" t="n">
        <x:v>3</x:v>
      </x:c>
      <x:c r="R921" s="50" t="n">
        <x:v>0.22190085470085472</x:v>
      </x:c>
      <x:c r="S921" s="50" t="n">
        <x:v>0.1994677777777778</x:v>
      </x:c>
      <x:c r="T921" s="1" t="str">
        <x:v>全場</x:v>
      </x:c>
      <x:c r="U921" s="49" t="n">
        <x:v>50</x:v>
      </x:c>
    </x:row>
    <x:row r="922" ht="22" customHeight="1">
      <x:c r="A922" s="1" t="str">
        <x:v>日経mini</x:v>
      </x:c>
      <x:c r="B922" s="1" t="str">
        <x:v>R03</x:v>
      </x:c>
      <x:c r="C922" s="1" t="str">
        <x:v>全50場</x:v>
      </x:c>
      <x:c r="D922" s="47" t="n">
        <x:v>1567220</x:v>
      </x:c>
      <x:c r="E922" s="47" t="n">
        <x:v>2488634</x:v>
      </x:c>
      <x:c r="F922" s="47" t="n">
        <x:f>D922-E922</x:f>
        <x:v>-921414</x:v>
      </x:c>
      <x:c r="G922" s="49" t="n">
        <x:v>4</x:v>
      </x:c>
      <x:c r="H922" s="49" t="n">
        <x:v>18</x:v>
      </x:c>
      <x:c r="I922" s="47" t="n">
        <x:v>-1105102</x:v>
      </x:c>
      <x:c r="J922" s="49" t="n">
        <x:v>191</x:v>
      </x:c>
      <x:c r="K922" s="47" t="n">
        <x:v>-226002</x:v>
      </x:c>
      <x:c r="L922" s="47" t="n">
        <x:v>61744.88888888889</x:v>
      </x:c>
      <x:c r="M922" s="48" t="n">
        <x:v>44.576515151515146</x:v>
      </x:c>
      <x:c r="N922" s="48" t="n">
        <x:v>124.60466666666667</x:v>
      </x:c>
      <x:c r="O922" s="49" t="n">
        <x:v>2</x:v>
      </x:c>
      <x:c r="P922" s="1" t="str">
        <x:v>支持状態内の押し再進行で参加・標準</x:v>
      </x:c>
      <x:c r="Q922" s="49" t="n">
        <x:v>3</x:v>
      </x:c>
      <x:c r="R922" s="50" t="n">
        <x:v>0.29667777777777776</x:v>
      </x:c>
      <x:c r="S922" s="50" t="n">
        <x:v>0.29667777777777776</x:v>
      </x:c>
      <x:c r="T922" s="1" t="str">
        <x:v>デイ</x:v>
      </x:c>
      <x:c r="U922" s="49" t="n">
        <x:v>25</x:v>
      </x:c>
    </x:row>
    <x:row r="923" ht="22" customHeight="1">
      <x:c r="A923" s="1" t="str">
        <x:v>日経mini</x:v>
      </x:c>
      <x:c r="B923" s="1" t="str">
        <x:v>R03</x:v>
      </x:c>
      <x:c r="C923" s="1" t="str">
        <x:v>全50場</x:v>
      </x:c>
      <x:c r="D923" s="47" t="n">
        <x:v>1705528</x:v>
      </x:c>
      <x:c r="E923" s="47" t="n">
        <x:v>2564638</x:v>
      </x:c>
      <x:c r="F923" s="47" t="n">
        <x:f>D923-E923</x:f>
        <x:v>-859110</x:v>
      </x:c>
      <x:c r="G923" s="49" t="n">
        <x:v>9</x:v>
      </x:c>
      <x:c r="H923" s="49" t="n">
        <x:v>16</x:v>
      </x:c>
      <x:c r="I923" s="47" t="n">
        <x:v>-1048338</x:v>
      </x:c>
      <x:c r="J923" s="49" t="n">
        <x:v>215</x:v>
      </x:c>
      <x:c r="K923" s="47" t="n">
        <x:v>-171540</x:v>
      </x:c>
      <x:c r="L923" s="47" t="n">
        <x:v>69155.375</x:v>
      </x:c>
      <x:c r="M923" s="48" t="n">
        <x:v>178.78533333333334</x:v>
      </x:c>
      <x:c r="N923" s="48" t="n">
        <x:v>114.75666666666666</x:v>
      </x:c>
      <x:c r="O923" s="49" t="n">
        <x:v>2</x:v>
      </x:c>
      <x:c r="P923" s="1" t="str">
        <x:v>支持状態内の押し再進行で参加・標準</x:v>
      </x:c>
      <x:c r="Q923" s="49" t="n">
        <x:v>0</x:v>
      </x:c>
      <x:c r="R923" s="50" t="n">
        <x:v>0.14712393162393161</x:v>
      </x:c>
      <x:c r="S923" s="50" t="n">
        <x:v>0.14712393162393161</x:v>
      </x:c>
      <x:c r="T923" s="1" t="str">
        <x:v>ナイト</x:v>
      </x:c>
      <x:c r="U923" s="49" t="n">
        <x:v>25</x:v>
      </x:c>
    </x:row>
    <x:row r="924" ht="22" customHeight="1">
      <x:c r="A924" s="1" t="str">
        <x:v>日経mini</x:v>
      </x:c>
      <x:c r="B924" s="1" t="str">
        <x:v>R03</x:v>
      </x:c>
      <x:c r="C924" s="1" t="str">
        <x:v>全50場</x:v>
      </x:c>
      <x:c r="D924" s="47" t="n">
        <x:v>1584298</x:v>
      </x:c>
      <x:c r="E924" s="47" t="n">
        <x:v>2491560</x:v>
      </x:c>
      <x:c r="F924" s="47" t="n">
        <x:f>D924-E924</x:f>
        <x:v>-907262</x:v>
      </x:c>
      <x:c r="G924" s="49" t="n">
        <x:v>7</x:v>
      </x:c>
      <x:c r="H924" s="49" t="n">
        <x:v>16</x:v>
      </x:c>
      <x:c r="I924" s="47" t="n">
        <x:v>-1096490</x:v>
      </x:c>
      <x:c r="J924" s="49" t="n">
        <x:v>203</x:v>
      </x:c>
      <x:c r="K924" s="47" t="n">
        <x:v>-226002</x:v>
      </x:c>
      <x:c r="L924" s="47" t="n">
        <x:v>70895.625</x:v>
      </x:c>
      <x:c r="M924" s="48" t="n">
        <x:v>104.64637681159421</x:v>
      </x:c>
      <x:c r="N924" s="48" t="n">
        <x:v>129.62986111111113</x:v>
      </x:c>
      <x:c r="O924" s="49" t="n">
        <x:v>2</x:v>
      </x:c>
      <x:c r="P924" s="1" t="str">
        <x:v>支持状態内の押し再進行で参加・標準</x:v>
      </x:c>
      <x:c r="Q924" s="49" t="n">
        <x:v>1</x:v>
      </x:c>
      <x:c r="R924" s="50" t="n">
        <x:v>0.23401493182743183</x:v>
      </x:c>
      <x:c r="S924" s="50" t="n">
        <x:v>0.21078026196928637</x:v>
      </x:c>
      <x:c r="T924" s="1" t="str">
        <x:v>上昇</x:v>
      </x:c>
      <x:c r="U924" s="49" t="n">
        <x:v>24</x:v>
      </x:c>
    </x:row>
    <x:row r="925" ht="22" customHeight="1">
      <x:c r="A925" s="1" t="str">
        <x:v>日経mini</x:v>
      </x:c>
      <x:c r="B925" s="1" t="str">
        <x:v>R03</x:v>
      </x:c>
      <x:c r="C925" s="1" t="str">
        <x:v>全50場</x:v>
      </x:c>
      <x:c r="D925" s="47" t="n">
        <x:v>1688450</x:v>
      </x:c>
      <x:c r="E925" s="47" t="n">
        <x:v>2561712</x:v>
      </x:c>
      <x:c r="F925" s="47" t="n">
        <x:f>D925-E925</x:f>
        <x:v>-873262</x:v>
      </x:c>
      <x:c r="G925" s="49" t="n">
        <x:v>6</x:v>
      </x:c>
      <x:c r="H925" s="49" t="n">
        <x:v>18</x:v>
      </x:c>
      <x:c r="I925" s="47" t="n">
        <x:v>-1059874</x:v>
      </x:c>
      <x:c r="J925" s="49" t="n">
        <x:v>203</x:v>
      </x:c>
      <x:c r="K925" s="47" t="n">
        <x:v>-128772</x:v>
      </x:c>
      <x:c r="L925" s="47" t="n">
        <x:v>60198</x:v>
      </x:c>
      <x:c r="M925" s="48" t="n">
        <x:v>126.81041666666665</x:v>
      </x:c>
      <x:c r="N925" s="48" t="n">
        <x:v>110.49679487179485</x:v>
      </x:c>
      <x:c r="O925" s="49" t="n">
        <x:v>2</x:v>
      </x:c>
      <x:c r="P925" s="1" t="str">
        <x:v>支持状態内の押し再進行で参加・標準</x:v>
      </x:c>
      <x:c r="Q925" s="49" t="n">
        <x:v>2</x:v>
      </x:c>
      <x:c r="R925" s="50" t="n">
        <x:v>0.21071862966093738</x:v>
      </x:c>
      <x:c r="S925" s="50" t="n">
        <x:v>0.18851159230096237</x:v>
      </x:c>
      <x:c r="T925" s="1" t="str">
        <x:v>下落</x:v>
      </x:c>
      <x:c r="U925" s="49" t="n">
        <x:v>26</x:v>
      </x:c>
    </x:row>
    <x:row r="926" ht="22" customHeight="1">
      <x:c r="A926" s="1" t="str">
        <x:v>日経mini</x:v>
      </x:c>
      <x:c r="B926" s="1" t="str">
        <x:v>R03</x:v>
      </x:c>
      <x:c r="C926" s="1" t="str">
        <x:v>対照47場</x:v>
      </x:c>
      <x:c r="D926" s="47" t="n">
        <x:v>3020442</x:v>
      </x:c>
      <x:c r="E926" s="47" t="n">
        <x:v>4394652</x:v>
      </x:c>
      <x:c r="F926" s="47" t="n">
        <x:f>D926-E926</x:f>
        <x:v>-1374210</x:v>
      </x:c>
      <x:c r="G926" s="49" t="n">
        <x:v>13</x:v>
      </x:c>
      <x:c r="H926" s="49" t="n">
        <x:v>31</x:v>
      </x:c>
      <x:c r="I926" s="47" t="n">
        <x:v>-1678206</x:v>
      </x:c>
      <x:c r="J926" s="49" t="n">
        <x:v>365</x:v>
      </x:c>
      <x:c r="K926" s="47" t="n">
        <x:v>-171540</x:v>
      </x:c>
      <x:c r="L926" s="47" t="n">
        <x:v>58438.06451612903</x:v>
      </x:c>
      <x:c r="M926" s="48" t="n">
        <x:v>117.18598484848485</x:v>
      </x:c>
      <x:c r="N926" s="48" t="n">
        <x:v>115.84964539007092</x:v>
      </x:c>
      <x:c r="O926" s="49" t="n">
        <x:v>2</x:v>
      </x:c>
      <x:c r="P926" s="1" t="str">
        <x:v>支持状態内の押し再進行で参加・標準</x:v>
      </x:c>
      <x:c r="Q926" s="49" t="n">
        <x:v>3</x:v>
      </x:c>
      <x:c r="R926" s="50" t="n">
        <x:v>0.21647585275244852</x:v>
      </x:c>
      <x:c r="S926" s="50" t="n">
        <x:v>0.19432310254580062</x:v>
      </x:c>
      <x:c r="T926" s="1" t="str">
        <x:v>全場</x:v>
      </x:c>
      <x:c r="U926" s="49" t="n">
        <x:v>47</x:v>
      </x:c>
    </x:row>
    <x:row r="927" ht="22" customHeight="1">
      <x:c r="A927" s="1" t="str">
        <x:v>日経mini</x:v>
      </x:c>
      <x:c r="B927" s="1" t="str">
        <x:v>R03</x:v>
      </x:c>
      <x:c r="C927" s="1" t="str">
        <x:v>対照47場</x:v>
      </x:c>
      <x:c r="D927" s="47" t="n">
        <x:v>1491682</x:v>
      </x:c>
      <x:c r="E927" s="47" t="n">
        <x:v>2187094</x:v>
      </x:c>
      <x:c r="F927" s="47" t="n">
        <x:f>D927-E927</x:f>
        <x:v>-695412</x:v>
      </x:c>
      <x:c r="G927" s="49" t="n">
        <x:v>4</x:v>
      </x:c>
      <x:c r="H927" s="49" t="n">
        <x:v>17</x:v>
      </x:c>
      <x:c r="I927" s="47" t="n">
        <x:v>-879100</x:v>
      </x:c>
      <x:c r="J927" s="49" t="n">
        <x:v>178</x:v>
      </x:c>
      <x:c r="K927" s="47" t="n">
        <x:v>-145540</x:v>
      </x:c>
      <x:c r="L927" s="47" t="n">
        <x:v>52082.705882352944</x:v>
      </x:c>
      <x:c r="M927" s="48" t="n">
        <x:v>45.5611111111111</x:v>
      </x:c>
      <x:c r="N927" s="48" t="n">
        <x:v>121.09375</x:v>
      </x:c>
      <x:c r="O927" s="49" t="n">
        <x:v>2</x:v>
      </x:c>
      <x:c r="P927" s="1" t="str">
        <x:v>支持状態内の押し再進行で参加・標準</x:v>
      </x:c>
      <x:c r="Q927" s="49" t="n">
        <x:v>3</x:v>
      </x:c>
      <x:c r="R927" s="50" t="n">
        <x:v>0.2883184523809524</x:v>
      </x:c>
      <x:c r="S927" s="50" t="n">
        <x:v>0.2883184523809524</x:v>
      </x:c>
      <x:c r="T927" s="1" t="str">
        <x:v>デイ</x:v>
      </x:c>
      <x:c r="U927" s="49" t="n">
        <x:v>24</x:v>
      </x:c>
    </x:row>
    <x:row r="928" ht="22" customHeight="1">
      <x:c r="A928" s="1" t="str">
        <x:v>日経mini</x:v>
      </x:c>
      <x:c r="B928" s="1" t="str">
        <x:v>R03</x:v>
      </x:c>
      <x:c r="C928" s="1" t="str">
        <x:v>対照47場</x:v>
      </x:c>
      <x:c r="D928" s="47" t="n">
        <x:v>1528760</x:v>
      </x:c>
      <x:c r="E928" s="47" t="n">
        <x:v>2207558</x:v>
      </x:c>
      <x:c r="F928" s="47" t="n">
        <x:f>D928-E928</x:f>
        <x:v>-678798</x:v>
      </x:c>
      <x:c r="G928" s="49" t="n">
        <x:v>9</x:v>
      </x:c>
      <x:c r="H928" s="49" t="n">
        <x:v>14</x:v>
      </x:c>
      <x:c r="I928" s="47" t="n">
        <x:v>-868026</x:v>
      </x:c>
      <x:c r="J928" s="49" t="n">
        <x:v>187</x:v>
      </x:c>
      <x:c r="K928" s="47" t="n">
        <x:v>-171540</x:v>
      </x:c>
      <x:c r="L928" s="47" t="n">
        <x:v>66155.28571428571</x:v>
      </x:c>
      <x:c r="M928" s="48" t="n">
        <x:v>182.58260869565217</x:v>
      </x:c>
      <x:c r="N928" s="48" t="n">
        <x:v>110.37753623188406</x:v>
      </x:c>
      <x:c r="O928" s="49" t="n">
        <x:v>2</x:v>
      </x:c>
      <x:c r="P928" s="1" t="str">
        <x:v>支持状態内の押し再進行で参加・標準</x:v>
      </x:c>
      <x:c r="Q928" s="49" t="n">
        <x:v>0</x:v>
      </x:c>
      <x:c r="R928" s="50" t="n">
        <x:v>0.14150966183574878</x:v>
      </x:c>
      <x:c r="S928" s="50" t="n">
        <x:v>0.14150966183574878</x:v>
      </x:c>
      <x:c r="T928" s="1" t="str">
        <x:v>ナイト</x:v>
      </x:c>
      <x:c r="U928" s="49" t="n">
        <x:v>23</x:v>
      </x:c>
    </x:row>
    <x:row r="929" ht="22" customHeight="1">
      <x:c r="A929" s="1" t="str">
        <x:v>日経mini</x:v>
      </x:c>
      <x:c r="B929" s="1" t="str">
        <x:v>R03</x:v>
      </x:c>
      <x:c r="C929" s="1" t="str">
        <x:v>対照47場</x:v>
      </x:c>
      <x:c r="D929" s="47" t="n">
        <x:v>1427376</x:v>
      </x:c>
      <x:c r="E929" s="47" t="n">
        <x:v>2026634</x:v>
      </x:c>
      <x:c r="F929" s="47" t="n">
        <x:f>D929-E929</x:f>
        <x:v>-599258</x:v>
      </x:c>
      <x:c r="G929" s="49" t="n">
        <x:v>7</x:v>
      </x:c>
      <x:c r="H929" s="49" t="n">
        <x:v>14</x:v>
      </x:c>
      <x:c r="I929" s="47" t="n">
        <x:v>-788486</x:v>
      </x:c>
      <x:c r="J929" s="49" t="n">
        <x:v>177</x:v>
      </x:c>
      <x:c r="K929" s="47" t="n">
        <x:v>-171540</x:v>
      </x:c>
      <x:c r="L929" s="47" t="n">
        <x:v>59023.28571428572</x:v>
      </x:c>
      <x:c r="M929" s="48" t="n">
        <x:v>109.2484126984127</x:v>
      </x:c>
      <x:c r="N929" s="48" t="n">
        <x:v>125.06818181818181</x:v>
      </x:c>
      <x:c r="O929" s="49" t="n">
        <x:v>2</x:v>
      </x:c>
      <x:c r="P929" s="1" t="str">
        <x:v>支持状態内の押し再進行で参加・標準</x:v>
      </x:c>
      <x:c r="Q929" s="49" t="n">
        <x:v>1</x:v>
      </x:c>
      <x:c r="R929" s="50" t="n">
        <x:v>0.2238994338994339</x:v>
      </x:c>
      <x:c r="S929" s="50" t="n">
        <x:v>0.20291297935103245</x:v>
      </x:c>
      <x:c r="T929" s="1" t="str">
        <x:v>上昇</x:v>
      </x:c>
      <x:c r="U929" s="49" t="n">
        <x:v>22</x:v>
      </x:c>
    </x:row>
    <x:row r="930" ht="22" customHeight="1">
      <x:c r="A930" s="1" t="str">
        <x:v>日経mini</x:v>
      </x:c>
      <x:c r="B930" s="1" t="str">
        <x:v>R03</x:v>
      </x:c>
      <x:c r="C930" s="1" t="str">
        <x:v>対照47場</x:v>
      </x:c>
      <x:c r="D930" s="47" t="n">
        <x:v>1593066</x:v>
      </x:c>
      <x:c r="E930" s="47" t="n">
        <x:v>2368018</x:v>
      </x:c>
      <x:c r="F930" s="47" t="n">
        <x:f>D930-E930</x:f>
        <x:v>-774952</x:v>
      </x:c>
      <x:c r="G930" s="49" t="n">
        <x:v>6</x:v>
      </x:c>
      <x:c r="H930" s="49" t="n">
        <x:v>17</x:v>
      </x:c>
      <x:c r="I930" s="47" t="n">
        <x:v>-961564</x:v>
      </x:c>
      <x:c r="J930" s="49" t="n">
        <x:v>188</x:v>
      </x:c>
      <x:c r="K930" s="47" t="n">
        <x:v>-128772</x:v>
      </x:c>
      <x:c r="L930" s="47" t="n">
        <x:v>57956.117647058825</x:v>
      </x:c>
      <x:c r="M930" s="48" t="n">
        <x:v>124.43333333333331</x:v>
      </x:c>
      <x:c r="N930" s="48" t="n">
        <x:v>107.73733333333331</x:v>
      </x:c>
      <x:c r="O930" s="49" t="n">
        <x:v>2</x:v>
      </x:c>
      <x:c r="P930" s="1" t="str">
        <x:v>支持状態内の押し再進行で参加・標準</x:v>
      </x:c>
      <x:c r="Q930" s="49" t="n">
        <x:v>2</x:v>
      </x:c>
      <x:c r="R930" s="50" t="n">
        <x:v>0.20994310134310137</x:v>
      </x:c>
      <x:c r="S930" s="50" t="n">
        <x:v>0.1862678653757492</x:v>
      </x:c>
      <x:c r="T930" s="1" t="str">
        <x:v>下落</x:v>
      </x:c>
      <x:c r="U930" s="49" t="n">
        <x:v>25</x:v>
      </x:c>
    </x:row>
    <x:row r="931" ht="22" customHeight="1">
      <x:c r="A931" s="1" t="str">
        <x:v>日経mini</x:v>
      </x:c>
      <x:c r="B931" s="1" t="str">
        <x:v>R03</x:v>
      </x:c>
      <x:c r="C931" s="1" t="str">
        <x:v>診断3場</x:v>
      </x:c>
      <x:c r="D931" s="47" t="n">
        <x:v>252306</x:v>
      </x:c>
      <x:c r="E931" s="47" t="n">
        <x:v>658620</x:v>
      </x:c>
      <x:c r="F931" s="47" t="n">
        <x:f>D931-E931</x:f>
        <x:v>-406314</x:v>
      </x:c>
      <x:c r="G931" s="49" t="n">
        <x:v>0</x:v>
      </x:c>
      <x:c r="H931" s="49" t="n">
        <x:v>3</x:v>
      </x:c>
      <x:c r="I931" s="47" t="n">
        <x:v>-406314</x:v>
      </x:c>
      <x:c r="J931" s="49" t="n">
        <x:v>41</x:v>
      </x:c>
      <x:c r="K931" s="47" t="n">
        <x:v>-226002</x:v>
      </x:c>
      <x:c r="L931" s="47" t="n">
        <x:v>135438</x:v>
      </x:c>
      <x:c r="M931" s="48" t="n">
        <x:v>98.04444444444444</x:v>
      </x:c>
      <x:c r="N931" s="48" t="n">
        <x:v>179.70000000000002</x:v>
      </x:c>
      <x:c r="O931" s="49" t="n">
        <x:v>2</x:v>
      </x:c>
      <x:c r="P931" s="1" t="str">
        <x:v>支持状態内の押し再進行で参加・標準</x:v>
      </x:c>
      <x:c r="Q931" s="49" t="n">
        <x:v>0</x:v>
      </x:c>
      <x:c r="R931" s="50" t="n">
        <x:v>0.3068925518925519</x:v>
      </x:c>
      <x:c r="S931" s="50" t="n">
        <x:v>0.2722727272727273</x:v>
      </x:c>
      <x:c r="T931" s="1" t="str">
        <x:v>全場</x:v>
      </x:c>
      <x:c r="U931" s="49" t="n">
        <x:v>3</x:v>
      </x:c>
    </x:row>
    <x:row r="932" ht="22" customHeight="1">
      <x:c r="A932" s="1" t="str">
        <x:v>日経mini</x:v>
      </x:c>
      <x:c r="B932" s="1" t="str">
        <x:v>R03</x:v>
      </x:c>
      <x:c r="C932" s="1" t="str">
        <x:v>診断3場</x:v>
      </x:c>
      <x:c r="D932" s="47" t="n">
        <x:v>75538</x:v>
      </x:c>
      <x:c r="E932" s="47" t="n">
        <x:v>301540</x:v>
      </x:c>
      <x:c r="F932" s="47" t="n">
        <x:f>D932-E932</x:f>
        <x:v>-226002</x:v>
      </x:c>
      <x:c r="G932" s="49" t="n">
        <x:v>0</x:v>
      </x:c>
      <x:c r="H932" s="49" t="n">
        <x:v>1</x:v>
      </x:c>
      <x:c r="I932" s="47" t="n">
        <x:v>-226002</x:v>
      </x:c>
      <x:c r="J932" s="49" t="n">
        <x:v>13</x:v>
      </x:c>
      <x:c r="K932" s="47" t="n">
        <x:v>-226002</x:v>
      </x:c>
      <x:c r="L932" s="47" t="n">
        <x:v>226002</x:v>
      </x:c>
      <x:c r="M932" s="48" t="n">
        <x:v>23.9</x:v>
      </x:c>
      <x:c r="N932" s="48" t="n">
        <x:v>208.86666666666667</x:v>
      </x:c>
      <x:c r="O932" s="49" t="n">
        <x:v>2</x:v>
      </x:c>
      <x:c r="P932" s="1" t="str">
        <x:v>支持状態内の押し再進行で参加・標準</x:v>
      </x:c>
      <x:c r="Q932" s="49" t="n">
        <x:v>0</x:v>
      </x:c>
      <x:c r="R932" s="50" t="n">
        <x:v>0.4973015873015873</x:v>
      </x:c>
      <x:c r="S932" s="50" t="n">
        <x:v>0.4973015873015873</x:v>
      </x:c>
      <x:c r="T932" s="1" t="str">
        <x:v>デイ</x:v>
      </x:c>
      <x:c r="U932" s="49" t="n">
        <x:v>1</x:v>
      </x:c>
    </x:row>
    <x:row r="933" ht="22" customHeight="1">
      <x:c r="A933" s="1" t="str">
        <x:v>日経mini</x:v>
      </x:c>
      <x:c r="B933" s="1" t="str">
        <x:v>R03</x:v>
      </x:c>
      <x:c r="C933" s="1" t="str">
        <x:v>診断3場</x:v>
      </x:c>
      <x:c r="D933" s="47" t="n">
        <x:v>176768</x:v>
      </x:c>
      <x:c r="E933" s="47" t="n">
        <x:v>357080</x:v>
      </x:c>
      <x:c r="F933" s="47" t="n">
        <x:f>D933-E933</x:f>
        <x:v>-180312</x:v>
      </x:c>
      <x:c r="G933" s="49" t="n">
        <x:v>0</x:v>
      </x:c>
      <x:c r="H933" s="49" t="n">
        <x:v>2</x:v>
      </x:c>
      <x:c r="I933" s="47" t="n">
        <x:v>-180312</x:v>
      </x:c>
      <x:c r="J933" s="49" t="n">
        <x:v>28</x:v>
      </x:c>
      <x:c r="K933" s="47" t="n">
        <x:v>-98310</x:v>
      </x:c>
      <x:c r="L933" s="47" t="n">
        <x:v>90156</x:v>
      </x:c>
      <x:c r="M933" s="48" t="n">
        <x:v>135.11666666666667</x:v>
      </x:c>
      <x:c r="N933" s="48" t="n">
        <x:v>165.11666666666667</x:v>
      </x:c>
      <x:c r="O933" s="49" t="n">
        <x:v>2</x:v>
      </x:c>
      <x:c r="P933" s="1" t="str">
        <x:v>支持状態内の押し再進行で参加・標準</x:v>
      </x:c>
      <x:c r="Q933" s="49" t="n">
        <x:v>0</x:v>
      </x:c>
      <x:c r="R933" s="50" t="n">
        <x:v>0.2116880341880342</x:v>
      </x:c>
      <x:c r="S933" s="50" t="n">
        <x:v>0.2116880341880342</x:v>
      </x:c>
      <x:c r="T933" s="1" t="str">
        <x:v>ナイト</x:v>
      </x:c>
      <x:c r="U933" s="49" t="n">
        <x:v>2</x:v>
      </x:c>
    </x:row>
    <x:row r="934" ht="22" customHeight="1">
      <x:c r="A934" s="1" t="str">
        <x:v>日経mini</x:v>
      </x:c>
      <x:c r="B934" s="1" t="str">
        <x:v>R03</x:v>
      </x:c>
      <x:c r="C934" s="1" t="str">
        <x:v>診断3場</x:v>
      </x:c>
      <x:c r="D934" s="47" t="n">
        <x:v>156922</x:v>
      </x:c>
      <x:c r="E934" s="47" t="n">
        <x:v>464926</x:v>
      </x:c>
      <x:c r="F934" s="47" t="n">
        <x:f>D934-E934</x:f>
        <x:v>-308004</x:v>
      </x:c>
      <x:c r="G934" s="49" t="n">
        <x:v>0</x:v>
      </x:c>
      <x:c r="H934" s="49" t="n">
        <x:v>2</x:v>
      </x:c>
      <x:c r="I934" s="47" t="n">
        <x:v>-308004</x:v>
      </x:c>
      <x:c r="J934" s="49" t="n">
        <x:v>26</x:v>
      </x:c>
      <x:c r="K934" s="47" t="n">
        <x:v>-226002</x:v>
      </x:c>
      <x:c r="L934" s="47" t="n">
        <x:v>154002</x:v>
      </x:c>
      <x:c r="M934" s="48" t="n">
        <x:v>56.325</x:v>
      </x:c>
      <x:c r="N934" s="48" t="n">
        <x:v>179.80833333333334</x:v>
      </x:c>
      <x:c r="O934" s="49" t="n">
        <x:v>2</x:v>
      </x:c>
      <x:c r="P934" s="1" t="str">
        <x:v>支持状態内の押し再進行で参加・標準</x:v>
      </x:c>
      <x:c r="Q934" s="49" t="n">
        <x:v>0</x:v>
      </x:c>
      <x:c r="R934" s="50" t="n">
        <x:v>0.34528540903540905</x:v>
      </x:c>
      <x:c r="S934" s="50" t="n">
        <x:v>0.29968055555555556</x:v>
      </x:c>
      <x:c r="T934" s="1" t="str">
        <x:v>上昇</x:v>
      </x:c>
      <x:c r="U934" s="49" t="n">
        <x:v>2</x:v>
      </x:c>
    </x:row>
    <x:row r="935" ht="22" customHeight="1">
      <x:c r="A935" s="1" t="str">
        <x:v>日経mini</x:v>
      </x:c>
      <x:c r="B935" s="1" t="str">
        <x:v>R03</x:v>
      </x:c>
      <x:c r="C935" s="1" t="str">
        <x:v>診断3場</x:v>
      </x:c>
      <x:c r="D935" s="47" t="n">
        <x:v>95384</x:v>
      </x:c>
      <x:c r="E935" s="47" t="n">
        <x:v>193694</x:v>
      </x:c>
      <x:c r="F935" s="47" t="n">
        <x:f>D935-E935</x:f>
        <x:v>-98310</x:v>
      </x:c>
      <x:c r="G935" s="49" t="n">
        <x:v>0</x:v>
      </x:c>
      <x:c r="H935" s="49" t="n">
        <x:v>1</x:v>
      </x:c>
      <x:c r="I935" s="47" t="n">
        <x:v>-98310</x:v>
      </x:c>
      <x:c r="J935" s="49" t="n">
        <x:v>15</x:v>
      </x:c>
      <x:c r="K935" s="47" t="n">
        <x:v>-98310</x:v>
      </x:c>
      <x:c r="L935" s="47" t="n">
        <x:v>98310</x:v>
      </x:c>
      <x:c r="M935" s="48" t="n">
        <x:v>181.48333333333332</x:v>
      </x:c>
      <x:c r="N935" s="48" t="n">
        <x:v>179.48333333333332</x:v>
      </x:c>
      <x:c r="O935" s="49" t="n">
        <x:v>2</x:v>
      </x:c>
      <x:c r="P935" s="1" t="str">
        <x:v>支持状態内の押し再進行で参加・標準</x:v>
      </x:c>
      <x:c r="Q935" s="49" t="n">
        <x:v>0</x:v>
      </x:c>
      <x:c r="R935" s="50" t="n">
        <x:v>0.23010683760683762</x:v>
      </x:c>
      <x:c r="S935" s="50" t="n">
        <x:v>0.2301068376068376</x:v>
      </x:c>
      <x:c r="T935" s="1" t="str">
        <x:v>下落</x:v>
      </x:c>
      <x:c r="U935" s="49" t="n">
        <x:v>1</x:v>
      </x:c>
    </x:row>
    <x:row r="936" ht="22" customHeight="1">
      <x:c r="A936" s="1" t="str">
        <x:v>日経mini</x:v>
      </x:c>
      <x:c r="B936" s="1" t="str">
        <x:v>R04</x:v>
      </x:c>
      <x:c r="C936" s="1" t="str">
        <x:v>全50場</x:v>
      </x:c>
      <x:c r="D936" s="47" t="n">
        <x:v>3155676</x:v>
      </x:c>
      <x:c r="E936" s="47" t="n">
        <x:v>4358034</x:v>
      </x:c>
      <x:c r="F936" s="47" t="n">
        <x:f>D936-E936</x:f>
        <x:v>-1202358</x:v>
      </x:c>
      <x:c r="G936" s="49" t="n">
        <x:v>15</x:v>
      </x:c>
      <x:c r="H936" s="49" t="n">
        <x:v>32</x:v>
      </x:c>
      <x:c r="I936" s="47" t="n">
        <x:v>-1593586</x:v>
      </x:c>
      <x:c r="J936" s="49" t="n">
        <x:v>327</x:v>
      </x:c>
      <x:c r="K936" s="47" t="n">
        <x:v>-220002</x:v>
      </x:c>
      <x:c r="L936" s="47" t="n">
        <x:v>63635.8125</x:v>
      </x:c>
      <x:c r="M936" s="48" t="n">
        <x:v>115.96418439716312</x:v>
      </x:c>
      <x:c r="N936" s="48" t="n">
        <x:v>165.5086666666667</x:v>
      </x:c>
      <x:c r="O936" s="49" t="n">
        <x:v>2</x:v>
      </x:c>
      <x:c r="P936" s="1" t="str">
        <x:v>支持状態内の押し再進行で参加・広め</x:v>
      </x:c>
      <x:c r="Q936" s="49" t="n">
        <x:v>3</x:v>
      </x:c>
      <x:c r="R936" s="50" t="n">
        <x:v>0.2931217338217338</x:v>
      </x:c>
      <x:c r="S936" s="50" t="n">
        <x:v>0.27584777777777775</x:v>
      </x:c>
      <x:c r="T936" s="1" t="str">
        <x:v>全場</x:v>
      </x:c>
      <x:c r="U936" s="49" t="n">
        <x:v>50</x:v>
      </x:c>
    </x:row>
    <x:row r="937" ht="22" customHeight="1">
      <x:c r="A937" s="1" t="str">
        <x:v>日経mini</x:v>
      </x:c>
      <x:c r="B937" s="1" t="str">
        <x:v>R04</x:v>
      </x:c>
      <x:c r="C937" s="1" t="str">
        <x:v>全50場</x:v>
      </x:c>
      <x:c r="D937" s="47" t="n">
        <x:v>1453838</x:v>
      </x:c>
      <x:c r="E937" s="47" t="n">
        <x:v>2147862</x:v>
      </x:c>
      <x:c r="F937" s="47" t="n">
        <x:f>D937-E937</x:f>
        <x:v>-694024</x:v>
      </x:c>
      <x:c r="G937" s="49" t="n">
        <x:v>6</x:v>
      </x:c>
      <x:c r="H937" s="49" t="n">
        <x:v>16</x:v>
      </x:c>
      <x:c r="I937" s="47" t="n">
        <x:v>-970944</x:v>
      </x:c>
      <x:c r="J937" s="49" t="n">
        <x:v>156</x:v>
      </x:c>
      <x:c r="K937" s="47" t="n">
        <x:v>-199694</x:v>
      </x:c>
      <x:c r="L937" s="47" t="n">
        <x:v>64530</x:v>
      </x:c>
      <x:c r="M937" s="48" t="n">
        <x:v>44.576515151515146</x:v>
      </x:c>
      <x:c r="N937" s="48" t="n">
        <x:v>147.29466666666667</x:v>
      </x:c>
      <x:c r="O937" s="49" t="n">
        <x:v>2</x:v>
      </x:c>
      <x:c r="P937" s="1" t="str">
        <x:v>支持状態内の押し再進行で参加・広め</x:v>
      </x:c>
      <x:c r="Q937" s="49" t="n">
        <x:v>3</x:v>
      </x:c>
      <x:c r="R937" s="50" t="n">
        <x:v>0.3507015873015873</x:v>
      </x:c>
      <x:c r="S937" s="50" t="n">
        <x:v>0.3507015873015873</x:v>
      </x:c>
      <x:c r="T937" s="1" t="str">
        <x:v>デイ</x:v>
      </x:c>
      <x:c r="U937" s="49" t="n">
        <x:v>25</x:v>
      </x:c>
    </x:row>
    <x:row r="938" ht="22" customHeight="1">
      <x:c r="A938" s="1" t="str">
        <x:v>日経mini</x:v>
      </x:c>
      <x:c r="B938" s="1" t="str">
        <x:v>R04</x:v>
      </x:c>
      <x:c r="C938" s="1" t="str">
        <x:v>全50場</x:v>
      </x:c>
      <x:c r="D938" s="47" t="n">
        <x:v>1701838</x:v>
      </x:c>
      <x:c r="E938" s="47" t="n">
        <x:v>2210172</x:v>
      </x:c>
      <x:c r="F938" s="47" t="n">
        <x:f>D938-E938</x:f>
        <x:v>-508334</x:v>
      </x:c>
      <x:c r="G938" s="49" t="n">
        <x:v>9</x:v>
      </x:c>
      <x:c r="H938" s="49" t="n">
        <x:v>16</x:v>
      </x:c>
      <x:c r="I938" s="47" t="n">
        <x:v>-817716</x:v>
      </x:c>
      <x:c r="J938" s="49" t="n">
        <x:v>171</x:v>
      </x:c>
      <x:c r="K938" s="47" t="n">
        <x:v>-220002</x:v>
      </x:c>
      <x:c r="L938" s="47" t="n">
        <x:v>62741.625</x:v>
      </x:c>
      <x:c r="M938" s="48" t="n">
        <x:v>178.78533333333334</x:v>
      </x:c>
      <x:c r="N938" s="48" t="n">
        <x:v>183.72266666666667</x:v>
      </x:c>
      <x:c r="O938" s="49" t="n">
        <x:v>2</x:v>
      </x:c>
      <x:c r="P938" s="1" t="str">
        <x:v>支持状態内の押し再進行で参加・広め</x:v>
      </x:c>
      <x:c r="Q938" s="49" t="n">
        <x:v>0</x:v>
      </x:c>
      <x:c r="R938" s="50" t="n">
        <x:v>0.23554188034188034</x:v>
      </x:c>
      <x:c r="S938" s="50" t="n">
        <x:v>0.23554188034188034</x:v>
      </x:c>
      <x:c r="T938" s="1" t="str">
        <x:v>ナイト</x:v>
      </x:c>
      <x:c r="U938" s="49" t="n">
        <x:v>25</x:v>
      </x:c>
    </x:row>
    <x:row r="939" ht="22" customHeight="1">
      <x:c r="A939" s="1" t="str">
        <x:v>日経mini</x:v>
      </x:c>
      <x:c r="B939" s="1" t="str">
        <x:v>R04</x:v>
      </x:c>
      <x:c r="C939" s="1" t="str">
        <x:v>全50場</x:v>
      </x:c>
      <x:c r="D939" s="47" t="n">
        <x:v>1514454</x:v>
      </x:c>
      <x:c r="E939" s="47" t="n">
        <x:v>2252480</x:v>
      </x:c>
      <x:c r="F939" s="47" t="n">
        <x:f>D939-E939</x:f>
        <x:v>-738026</x:v>
      </x:c>
      <x:c r="G939" s="49" t="n">
        <x:v>7</x:v>
      </x:c>
      <x:c r="H939" s="49" t="n">
        <x:v>16</x:v>
      </x:c>
      <x:c r="I939" s="47" t="n">
        <x:v>-993100</x:v>
      </x:c>
      <x:c r="J939" s="49" t="n">
        <x:v>169</x:v>
      </x:c>
      <x:c r="K939" s="47" t="n">
        <x:v>-215540</x:v>
      </x:c>
      <x:c r="L939" s="47" t="n">
        <x:v>66405.125</x:v>
      </x:c>
      <x:c r="M939" s="48" t="n">
        <x:v>104.64637681159421</x:v>
      </x:c>
      <x:c r="N939" s="48" t="n">
        <x:v>179.04513888888889</x:v>
      </x:c>
      <x:c r="O939" s="49" t="n">
        <x:v>2</x:v>
      </x:c>
      <x:c r="P939" s="1" t="str">
        <x:v>支持状態内の押し再進行で参加・広め</x:v>
      </x:c>
      <x:c r="Q939" s="49" t="n">
        <x:v>1</x:v>
      </x:c>
      <x:c r="R939" s="50" t="n">
        <x:v>0.3068687678062678</x:v>
      </x:c>
      <x:c r="S939" s="50" t="n">
        <x:v>0.2911303071364047</x:v>
      </x:c>
      <x:c r="T939" s="1" t="str">
        <x:v>上昇</x:v>
      </x:c>
      <x:c r="U939" s="49" t="n">
        <x:v>24</x:v>
      </x:c>
    </x:row>
    <x:row r="940" ht="22" customHeight="1">
      <x:c r="A940" s="1" t="str">
        <x:v>日経mini</x:v>
      </x:c>
      <x:c r="B940" s="1" t="str">
        <x:v>R04</x:v>
      </x:c>
      <x:c r="C940" s="1" t="str">
        <x:v>全50場</x:v>
      </x:c>
      <x:c r="D940" s="47" t="n">
        <x:v>1641222</x:v>
      </x:c>
      <x:c r="E940" s="47" t="n">
        <x:v>2105554</x:v>
      </x:c>
      <x:c r="F940" s="47" t="n">
        <x:f>D940-E940</x:f>
        <x:v>-464332</x:v>
      </x:c>
      <x:c r="G940" s="49" t="n">
        <x:v>8</x:v>
      </x:c>
      <x:c r="H940" s="49" t="n">
        <x:v>16</x:v>
      </x:c>
      <x:c r="I940" s="47" t="n">
        <x:v>-797098</x:v>
      </x:c>
      <x:c r="J940" s="49" t="n">
        <x:v>158</x:v>
      </x:c>
      <x:c r="K940" s="47" t="n">
        <x:v>-220002</x:v>
      </x:c>
      <x:c r="L940" s="47" t="n">
        <x:v>60866.5</x:v>
      </x:c>
      <x:c r="M940" s="48" t="n">
        <x:v>126.81041666666665</x:v>
      </x:c>
      <x:c r="N940" s="48" t="n">
        <x:v>153.01346153846154</x:v>
      </x:c>
      <x:c r="O940" s="49" t="n">
        <x:v>2</x:v>
      </x:c>
      <x:c r="P940" s="1" t="str">
        <x:v>支持状態内の押し再進行で参加・広め</x:v>
      </x:c>
      <x:c r="Q940" s="49" t="n">
        <x:v>2</x:v>
      </x:c>
      <x:c r="R940" s="50" t="n">
        <x:v>0.28043216398985626</x:v>
      </x:c>
      <x:c r="S940" s="50" t="n">
        <x:v>0.2610465879265092</x:v>
      </x:c>
      <x:c r="T940" s="1" t="str">
        <x:v>下落</x:v>
      </x:c>
      <x:c r="U940" s="49" t="n">
        <x:v>26</x:v>
      </x:c>
    </x:row>
    <x:row r="941" ht="22" customHeight="1">
      <x:c r="A941" s="1" t="str">
        <x:v>日経mini</x:v>
      </x:c>
      <x:c r="B941" s="1" t="str">
        <x:v>R04</x:v>
      </x:c>
      <x:c r="C941" s="1" t="str">
        <x:v>対照47場</x:v>
      </x:c>
      <x:c r="D941" s="47" t="n">
        <x:v>3000600</x:v>
      </x:c>
      <x:c r="E941" s="47" t="n">
        <x:v>3725722</x:v>
      </x:c>
      <x:c r="F941" s="47" t="n">
        <x:f>D941-E941</x:f>
        <x:v>-725122</x:v>
      </x:c>
      <x:c r="G941" s="49" t="n">
        <x:v>15</x:v>
      </x:c>
      <x:c r="H941" s="49" t="n">
        <x:v>29</x:v>
      </x:c>
      <x:c r="I941" s="47" t="n">
        <x:v>-1116350</x:v>
      </x:c>
      <x:c r="J941" s="49" t="n">
        <x:v>293</x:v>
      </x:c>
      <x:c r="K941" s="47" t="n">
        <x:v>-215540</x:v>
      </x:c>
      <x:c r="L941" s="47" t="n">
        <x:v>53762.41379310345</x:v>
      </x:c>
      <x:c r="M941" s="48" t="n">
        <x:v>117.18598484848485</x:v>
      </x:c>
      <x:c r="N941" s="48" t="n">
        <x:v>160.304609929078</x:v>
      </x:c>
      <x:c r="O941" s="49" t="n">
        <x:v>2</x:v>
      </x:c>
      <x:c r="P941" s="1" t="str">
        <x:v>支持状態内の押し再進行で参加・広め</x:v>
      </x:c>
      <x:c r="Q941" s="49" t="n">
        <x:v>3</x:v>
      </x:c>
      <x:c r="R941" s="50" t="n">
        <x:v>0.28626419089185046</x:v>
      </x:c>
      <x:c r="S941" s="50" t="n">
        <x:v>0.2688906733285748</x:v>
      </x:c>
      <x:c r="T941" s="1" t="str">
        <x:v>全場</x:v>
      </x:c>
      <x:c r="U941" s="49" t="n">
        <x:v>47</x:v>
      </x:c>
    </x:row>
    <x:row r="942" ht="22" customHeight="1">
      <x:c r="A942" s="1" t="str">
        <x:v>日経mini</x:v>
      </x:c>
      <x:c r="B942" s="1" t="str">
        <x:v>R04</x:v>
      </x:c>
      <x:c r="C942" s="1" t="str">
        <x:v>対照47場</x:v>
      </x:c>
      <x:c r="D942" s="47" t="n">
        <x:v>1418146</x:v>
      </x:c>
      <x:c r="E942" s="47" t="n">
        <x:v>1912476</x:v>
      </x:c>
      <x:c r="F942" s="47" t="n">
        <x:f>D942-E942</x:f>
        <x:v>-494330</x:v>
      </x:c>
      <x:c r="G942" s="49" t="n">
        <x:v>6</x:v>
      </x:c>
      <x:c r="H942" s="49" t="n">
        <x:v>15</x:v>
      </x:c>
      <x:c r="I942" s="47" t="n">
        <x:v>-771250</x:v>
      </x:c>
      <x:c r="J942" s="49" t="n">
        <x:v>145</x:v>
      </x:c>
      <x:c r="K942" s="47" t="n">
        <x:v>-161386</x:v>
      </x:c>
      <x:c r="L942" s="47" t="n">
        <x:v>55519.066666666666</x:v>
      </x:c>
      <x:c r="M942" s="48" t="n">
        <x:v>45.5611111111111</x:v>
      </x:c>
      <x:c r="N942" s="48" t="n">
        <x:v>143.8951388888889</x:v>
      </x:c>
      <x:c r="O942" s="49" t="n">
        <x:v>2</x:v>
      </x:c>
      <x:c r="P942" s="1" t="str">
        <x:v>支持状態内の押し再進行で参加・広め</x:v>
      </x:c>
      <x:c r="Q942" s="49" t="n">
        <x:v>3</x:v>
      </x:c>
      <x:c r="R942" s="50" t="n">
        <x:v>0.34260747354497356</x:v>
      </x:c>
      <x:c r="S942" s="50" t="n">
        <x:v>0.3426074735449735</x:v>
      </x:c>
      <x:c r="T942" s="1" t="str">
        <x:v>デイ</x:v>
      </x:c>
      <x:c r="U942" s="49" t="n">
        <x:v>24</x:v>
      </x:c>
    </x:row>
    <x:row r="943" ht="22" customHeight="1">
      <x:c r="A943" s="1" t="str">
        <x:v>日経mini</x:v>
      </x:c>
      <x:c r="B943" s="1" t="str">
        <x:v>R04</x:v>
      </x:c>
      <x:c r="C943" s="1" t="str">
        <x:v>対照47場</x:v>
      </x:c>
      <x:c r="D943" s="47" t="n">
        <x:v>1582454</x:v>
      </x:c>
      <x:c r="E943" s="47" t="n">
        <x:v>1813246</x:v>
      </x:c>
      <x:c r="F943" s="47" t="n">
        <x:f>D943-E943</x:f>
        <x:v>-230792</x:v>
      </x:c>
      <x:c r="G943" s="49" t="n">
        <x:v>9</x:v>
      </x:c>
      <x:c r="H943" s="49" t="n">
        <x:v>14</x:v>
      </x:c>
      <x:c r="I943" s="47" t="n">
        <x:v>-540174</x:v>
      </x:c>
      <x:c r="J943" s="49" t="n">
        <x:v>148</x:v>
      </x:c>
      <x:c r="K943" s="47" t="n">
        <x:v>-215540</x:v>
      </x:c>
      <x:c r="L943" s="47" t="n">
        <x:v>51880.28571428572</x:v>
      </x:c>
      <x:c r="M943" s="48" t="n">
        <x:v>182.58260869565217</x:v>
      </x:c>
      <x:c r="N943" s="48" t="n">
        <x:v>177.42753623188406</x:v>
      </x:c>
      <x:c r="O943" s="49" t="n">
        <x:v>2</x:v>
      </x:c>
      <x:c r="P943" s="1" t="str">
        <x:v>支持状態内の押し再進行で参加・広め</x:v>
      </x:c>
      <x:c r="Q943" s="49" t="n">
        <x:v>0</x:v>
      </x:c>
      <x:c r="R943" s="50" t="n">
        <x:v>0.22747120029728726</x:v>
      </x:c>
      <x:c r="S943" s="50" t="n">
        <x:v>0.22747120029728726</x:v>
      </x:c>
      <x:c r="T943" s="1" t="str">
        <x:v>ナイト</x:v>
      </x:c>
      <x:c r="U943" s="49" t="n">
        <x:v>23</x:v>
      </x:c>
    </x:row>
    <x:row r="944" ht="22" customHeight="1">
      <x:c r="A944" s="1" t="str">
        <x:v>日経mini</x:v>
      </x:c>
      <x:c r="B944" s="1" t="str">
        <x:v>R04</x:v>
      </x:c>
      <x:c r="C944" s="1" t="str">
        <x:v>対照47場</x:v>
      </x:c>
      <x:c r="D944" s="47" t="n">
        <x:v>1417224</x:v>
      </x:c>
      <x:c r="E944" s="47" t="n">
        <x:v>1898016</x:v>
      </x:c>
      <x:c r="F944" s="47" t="n">
        <x:f>D944-E944</x:f>
        <x:v>-480792</x:v>
      </x:c>
      <x:c r="G944" s="49" t="n">
        <x:v>7</x:v>
      </x:c>
      <x:c r="H944" s="49" t="n">
        <x:v>14</x:v>
      </x:c>
      <x:c r="I944" s="47" t="n">
        <x:v>-735866</x:v>
      </x:c>
      <x:c r="J944" s="49" t="n">
        <x:v>148</x:v>
      </x:c>
      <x:c r="K944" s="47" t="n">
        <x:v>-215540</x:v>
      </x:c>
      <x:c r="L944" s="47" t="n">
        <x:v>57517.71428571428</x:v>
      </x:c>
      <x:c r="M944" s="48" t="n">
        <x:v>109.2484126984127</x:v>
      </x:c>
      <x:c r="N944" s="48" t="n">
        <x:v>172.72121212121215</x:v>
      </x:c>
      <x:c r="O944" s="49" t="n">
        <x:v>2</x:v>
      </x:c>
      <x:c r="P944" s="1" t="str">
        <x:v>支持状態内の押し再進行で参加・広め</x:v>
      </x:c>
      <x:c r="Q944" s="49" t="n">
        <x:v>1</x:v>
      </x:c>
      <x:c r="R944" s="50" t="n">
        <x:v>0.2943578643578643</x:v>
      </x:c>
      <x:c r="S944" s="50" t="n">
        <x:v>0.2802261553588987</x:v>
      </x:c>
      <x:c r="T944" s="1" t="str">
        <x:v>上昇</x:v>
      </x:c>
      <x:c r="U944" s="49" t="n">
        <x:v>22</x:v>
      </x:c>
    </x:row>
    <x:row r="945" ht="22" customHeight="1">
      <x:c r="A945" s="1" t="str">
        <x:v>日経mini</x:v>
      </x:c>
      <x:c r="B945" s="1" t="str">
        <x:v>R04</x:v>
      </x:c>
      <x:c r="C945" s="1" t="str">
        <x:v>対照47場</x:v>
      </x:c>
      <x:c r="D945" s="47" t="n">
        <x:v>1583376</x:v>
      </x:c>
      <x:c r="E945" s="47" t="n">
        <x:v>1827706</x:v>
      </x:c>
      <x:c r="F945" s="47" t="n">
        <x:f>D945-E945</x:f>
        <x:v>-244330</x:v>
      </x:c>
      <x:c r="G945" s="49" t="n">
        <x:v>8</x:v>
      </x:c>
      <x:c r="H945" s="49" t="n">
        <x:v>15</x:v>
      </x:c>
      <x:c r="I945" s="47" t="n">
        <x:v>-577096</x:v>
      </x:c>
      <x:c r="J945" s="49" t="n">
        <x:v>145</x:v>
      </x:c>
      <x:c r="K945" s="47" t="n">
        <x:v>-119232</x:v>
      </x:c>
      <x:c r="L945" s="47" t="n">
        <x:v>50257.46666666667</x:v>
      </x:c>
      <x:c r="M945" s="48" t="n">
        <x:v>124.43333333333331</x:v>
      </x:c>
      <x:c r="N945" s="48" t="n">
        <x:v>149.378</x:v>
      </x:c>
      <x:c r="O945" s="49" t="n">
        <x:v>2</x:v>
      </x:c>
      <x:c r="P945" s="1" t="str">
        <x:v>支持状態内の押し再進行で参加・広め</x:v>
      </x:c>
      <x:c r="Q945" s="49" t="n">
        <x:v>2</x:v>
      </x:c>
      <x:c r="R945" s="50" t="n">
        <x:v>0.27914175824175824</x:v>
      </x:c>
      <x:c r="S945" s="50" t="n">
        <x:v>0.2582607192254495</x:v>
      </x:c>
      <x:c r="T945" s="1" t="str">
        <x:v>下落</x:v>
      </x:c>
      <x:c r="U945" s="49" t="n">
        <x:v>25</x:v>
      </x:c>
    </x:row>
    <x:row r="946" ht="22" customHeight="1">
      <x:c r="A946" s="1" t="str">
        <x:v>日経mini</x:v>
      </x:c>
      <x:c r="B946" s="1" t="str">
        <x:v>R04</x:v>
      </x:c>
      <x:c r="C946" s="1" t="str">
        <x:v>診断3場</x:v>
      </x:c>
      <x:c r="D946" s="47" t="n">
        <x:v>155076</x:v>
      </x:c>
      <x:c r="E946" s="47" t="n">
        <x:v>632312</x:v>
      </x:c>
      <x:c r="F946" s="47" t="n">
        <x:f>D946-E946</x:f>
        <x:v>-477236</x:v>
      </x:c>
      <x:c r="G946" s="49" t="n">
        <x:v>0</x:v>
      </x:c>
      <x:c r="H946" s="49" t="n">
        <x:v>3</x:v>
      </x:c>
      <x:c r="I946" s="47" t="n">
        <x:v>-477236</x:v>
      </x:c>
      <x:c r="J946" s="49" t="n">
        <x:v>34</x:v>
      </x:c>
      <x:c r="K946" s="47" t="n">
        <x:v>-220002</x:v>
      </x:c>
      <x:c r="L946" s="47" t="n">
        <x:v>159078.66666666666</x:v>
      </x:c>
      <x:c r="M946" s="48" t="n">
        <x:v>98.04444444444444</x:v>
      </x:c>
      <x:c r="N946" s="48" t="n">
        <x:v>247.03888888888886</x:v>
      </x:c>
      <x:c r="O946" s="49" t="n">
        <x:v>2</x:v>
      </x:c>
      <x:c r="P946" s="1" t="str">
        <x:v>支持状態内の押し再進行で参加・広め</x:v>
      </x:c>
      <x:c r="Q946" s="49" t="n">
        <x:v>0</x:v>
      </x:c>
      <x:c r="R946" s="50" t="n">
        <x:v>0.40055657305657305</x:v>
      </x:c>
      <x:c r="S946" s="50" t="n">
        <x:v>0.3743013468013468</x:v>
      </x:c>
      <x:c r="T946" s="1" t="str">
        <x:v>全場</x:v>
      </x:c>
      <x:c r="U946" s="49" t="n">
        <x:v>3</x:v>
      </x:c>
    </x:row>
    <x:row r="947" ht="22" customHeight="1">
      <x:c r="A947" s="1" t="str">
        <x:v>日経mini</x:v>
      </x:c>
      <x:c r="B947" s="1" t="str">
        <x:v>R04</x:v>
      </x:c>
      <x:c r="C947" s="1" t="str">
        <x:v>診断3場</x:v>
      </x:c>
      <x:c r="D947" s="47" t="n">
        <x:v>35692</x:v>
      </x:c>
      <x:c r="E947" s="47" t="n">
        <x:v>235386</x:v>
      </x:c>
      <x:c r="F947" s="47" t="n">
        <x:f>D947-E947</x:f>
        <x:v>-199694</x:v>
      </x:c>
      <x:c r="G947" s="49" t="n">
        <x:v>0</x:v>
      </x:c>
      <x:c r="H947" s="49" t="n">
        <x:v>1</x:v>
      </x:c>
      <x:c r="I947" s="47" t="n">
        <x:v>-199694</x:v>
      </x:c>
      <x:c r="J947" s="49" t="n">
        <x:v>11</x:v>
      </x:c>
      <x:c r="K947" s="47" t="n">
        <x:v>-199694</x:v>
      </x:c>
      <x:c r="L947" s="47" t="n">
        <x:v>199694</x:v>
      </x:c>
      <x:c r="M947" s="48" t="n">
        <x:v>23.9</x:v>
      </x:c>
      <x:c r="N947" s="48" t="n">
        <x:v>228.88333333333333</x:v>
      </x:c>
      <x:c r="O947" s="49" t="n">
        <x:v>2</x:v>
      </x:c>
      <x:c r="P947" s="1" t="str">
        <x:v>支持状態内の押し再進行で参加・広め</x:v>
      </x:c>
      <x:c r="Q947" s="49" t="n">
        <x:v>0</x:v>
      </x:c>
      <x:c r="R947" s="50" t="n">
        <x:v>0.5449603174603175</x:v>
      </x:c>
      <x:c r="S947" s="50" t="n">
        <x:v>0.5449603174603175</x:v>
      </x:c>
      <x:c r="T947" s="1" t="str">
        <x:v>デイ</x:v>
      </x:c>
      <x:c r="U947" s="49" t="n">
        <x:v>1</x:v>
      </x:c>
    </x:row>
    <x:row r="948" ht="22" customHeight="1">
      <x:c r="A948" s="1" t="str">
        <x:v>日経mini</x:v>
      </x:c>
      <x:c r="B948" s="1" t="str">
        <x:v>R04</x:v>
      </x:c>
      <x:c r="C948" s="1" t="str">
        <x:v>診断3場</x:v>
      </x:c>
      <x:c r="D948" s="47" t="n">
        <x:v>119384</x:v>
      </x:c>
      <x:c r="E948" s="47" t="n">
        <x:v>396926</x:v>
      </x:c>
      <x:c r="F948" s="47" t="n">
        <x:f>D948-E948</x:f>
        <x:v>-277542</x:v>
      </x:c>
      <x:c r="G948" s="49" t="n">
        <x:v>0</x:v>
      </x:c>
      <x:c r="H948" s="49" t="n">
        <x:v>2</x:v>
      </x:c>
      <x:c r="I948" s="47" t="n">
        <x:v>-277542</x:v>
      </x:c>
      <x:c r="J948" s="49" t="n">
        <x:v>23</x:v>
      </x:c>
      <x:c r="K948" s="47" t="n">
        <x:v>-220002</x:v>
      </x:c>
      <x:c r="L948" s="47" t="n">
        <x:v>138771</x:v>
      </x:c>
      <x:c r="M948" s="48" t="n">
        <x:v>135.11666666666667</x:v>
      </x:c>
      <x:c r="N948" s="48" t="n">
        <x:v>256.1166666666667</x:v>
      </x:c>
      <x:c r="O948" s="49" t="n">
        <x:v>2</x:v>
      </x:c>
      <x:c r="P948" s="1" t="str">
        <x:v>支持状態内の押し再進行で参加・広め</x:v>
      </x:c>
      <x:c r="Q948" s="49" t="n">
        <x:v>0</x:v>
      </x:c>
      <x:c r="R948" s="50" t="n">
        <x:v>0.32835470085470086</x:v>
      </x:c>
      <x:c r="S948" s="50" t="n">
        <x:v>0.32835470085470086</x:v>
      </x:c>
      <x:c r="T948" s="1" t="str">
        <x:v>ナイト</x:v>
      </x:c>
      <x:c r="U948" s="49" t="n">
        <x:v>2</x:v>
      </x:c>
    </x:row>
    <x:row r="949" ht="22" customHeight="1">
      <x:c r="A949" s="1" t="str">
        <x:v>日経mini</x:v>
      </x:c>
      <x:c r="B949" s="1" t="str">
        <x:v>R04</x:v>
      </x:c>
      <x:c r="C949" s="1" t="str">
        <x:v>診断3場</x:v>
      </x:c>
      <x:c r="D949" s="47" t="n">
        <x:v>97230</x:v>
      </x:c>
      <x:c r="E949" s="47" t="n">
        <x:v>354464</x:v>
      </x:c>
      <x:c r="F949" s="47" t="n">
        <x:f>D949-E949</x:f>
        <x:v>-257234</x:v>
      </x:c>
      <x:c r="G949" s="49" t="n">
        <x:v>0</x:v>
      </x:c>
      <x:c r="H949" s="49" t="n">
        <x:v>2</x:v>
      </x:c>
      <x:c r="I949" s="47" t="n">
        <x:v>-257234</x:v>
      </x:c>
      <x:c r="J949" s="49" t="n">
        <x:v>21</x:v>
      </x:c>
      <x:c r="K949" s="47" t="n">
        <x:v>-199694</x:v>
      </x:c>
      <x:c r="L949" s="47" t="n">
        <x:v>128617</x:v>
      </x:c>
      <x:c r="M949" s="48" t="n">
        <x:v>56.325</x:v>
      </x:c>
      <x:c r="N949" s="48" t="n">
        <x:v>248.60833333333332</x:v>
      </x:c>
      <x:c r="O949" s="49" t="n">
        <x:v>2</x:v>
      </x:c>
      <x:c r="P949" s="1" t="str">
        <x:v>支持状態内の押し再進行で参加・広め</x:v>
      </x:c>
      <x:c r="Q949" s="49" t="n">
        <x:v>0</x:v>
      </x:c>
      <x:c r="R949" s="50" t="n">
        <x:v>0.44448870573870575</x:v>
      </x:c>
      <x:c r="S949" s="50" t="n">
        <x:v>0.4143472222222222</x:v>
      </x:c>
      <x:c r="T949" s="1" t="str">
        <x:v>上昇</x:v>
      </x:c>
      <x:c r="U949" s="49" t="n">
        <x:v>2</x:v>
      </x:c>
    </x:row>
    <x:row r="950" ht="22" customHeight="1">
      <x:c r="A950" s="1" t="str">
        <x:v>日経mini</x:v>
      </x:c>
      <x:c r="B950" s="1" t="str">
        <x:v>R04</x:v>
      </x:c>
      <x:c r="C950" s="1" t="str">
        <x:v>診断3場</x:v>
      </x:c>
      <x:c r="D950" s="47" t="n">
        <x:v>57846</x:v>
      </x:c>
      <x:c r="E950" s="47" t="n">
        <x:v>277848</x:v>
      </x:c>
      <x:c r="F950" s="47" t="n">
        <x:f>D950-E950</x:f>
        <x:v>-220002</x:v>
      </x:c>
      <x:c r="G950" s="49" t="n">
        <x:v>0</x:v>
      </x:c>
      <x:c r="H950" s="49" t="n">
        <x:v>1</x:v>
      </x:c>
      <x:c r="I950" s="47" t="n">
        <x:v>-220002</x:v>
      </x:c>
      <x:c r="J950" s="49" t="n">
        <x:v>13</x:v>
      </x:c>
      <x:c r="K950" s="47" t="n">
        <x:v>-220002</x:v>
      </x:c>
      <x:c r="L950" s="47" t="n">
        <x:v>220002</x:v>
      </x:c>
      <x:c r="M950" s="48" t="n">
        <x:v>181.48333333333332</x:v>
      </x:c>
      <x:c r="N950" s="48" t="n">
        <x:v>243.9</x:v>
      </x:c>
      <x:c r="O950" s="49" t="n">
        <x:v>2</x:v>
      </x:c>
      <x:c r="P950" s="1" t="str">
        <x:v>支持状態内の押し再進行で参加・広め</x:v>
      </x:c>
      <x:c r="Q950" s="49" t="n">
        <x:v>0</x:v>
      </x:c>
      <x:c r="R950" s="50" t="n">
        <x:v>0.3126923076923077</x:v>
      </x:c>
      <x:c r="S950" s="50" t="n">
        <x:v>0.3126923076923077</x:v>
      </x:c>
      <x:c r="T950" s="1" t="str">
        <x:v>下落</x:v>
      </x:c>
      <x:c r="U950" s="49" t="n">
        <x:v>1</x:v>
      </x:c>
    </x:row>
    <x:row r="951" ht="22" customHeight="1">
      <x:c r="A951" s="1" t="str">
        <x:v>日経mini</x:v>
      </x:c>
      <x:c r="B951" s="1" t="str">
        <x:v>R05</x:v>
      </x:c>
      <x:c r="C951" s="1" t="str">
        <x:v>全50場</x:v>
      </x:c>
      <x:c r="D951" s="47" t="n">
        <x:v>6369342</x:v>
      </x:c>
      <x:c r="E951" s="47" t="n">
        <x:v>8739000</x:v>
      </x:c>
      <x:c r="F951" s="47" t="n">
        <x:f>D951-E951</x:f>
        <x:v>-2369658</x:v>
      </x:c>
      <x:c r="G951" s="49" t="n">
        <x:v>15</x:v>
      </x:c>
      <x:c r="H951" s="49" t="n">
        <x:v>35</x:v>
      </x:c>
      <x:c r="I951" s="47" t="n">
        <x:v>-2762420</x:v>
      </x:c>
      <x:c r="J951" s="49" t="n">
        <x:v>777</x:v>
      </x:c>
      <x:c r="K951" s="47" t="n">
        <x:v>-227234</x:v>
      </x:c>
      <x:c r="L951" s="47" t="n">
        <x:v>88420.05714285714</x:v>
      </x:c>
      <x:c r="M951" s="48" t="n">
        <x:v>36.943</x:v>
      </x:c>
      <x:c r="N951" s="48" t="n">
        <x:v>279.0353333333333</x:v>
      </x:c>
      <x:c r="O951" s="49" t="n">
        <x:v>2</x:v>
      </x:c>
      <x:c r="P951" s="1" t="str">
        <x:v>同方向失敗後は新しい押し再進行を待つ・標準</x:v>
      </x:c>
      <x:c r="Q951" s="49" t="n">
        <x:v>0</x:v>
      </x:c>
      <x:c r="R951" s="50" t="n">
        <x:v>0.48191819291819293</x:v>
      </x:c>
      <x:c r="S951" s="50" t="n">
        <x:v>0.46505888888888886</x:v>
      </x:c>
      <x:c r="T951" s="1" t="str">
        <x:v>全場</x:v>
      </x:c>
      <x:c r="U951" s="49" t="n">
        <x:v>50</x:v>
      </x:c>
    </x:row>
    <x:row r="952" ht="22" customHeight="1">
      <x:c r="A952" s="1" t="str">
        <x:v>日経mini</x:v>
      </x:c>
      <x:c r="B952" s="1" t="str">
        <x:v>R05</x:v>
      </x:c>
      <x:c r="C952" s="1" t="str">
        <x:v>全50場</x:v>
      </x:c>
      <x:c r="D952" s="47" t="n">
        <x:v>2772290</x:v>
      </x:c>
      <x:c r="E952" s="47" t="n">
        <x:v>3966802</x:v>
      </x:c>
      <x:c r="F952" s="47" t="n">
        <x:f>D952-E952</x:f>
        <x:v>-1194512</x:v>
      </x:c>
      <x:c r="G952" s="49" t="n">
        <x:v>6</x:v>
      </x:c>
      <x:c r="H952" s="49" t="n">
        <x:v>19</x:v>
      </x:c>
      <x:c r="I952" s="47" t="n">
        <x:v>-1584660</x:v>
      </x:c>
      <x:c r="J952" s="49" t="n">
        <x:v>328</x:v>
      </x:c>
      <x:c r="K952" s="47" t="n">
        <x:v>-227234</x:v>
      </x:c>
      <x:c r="L952" s="47" t="n">
        <x:v>88690.42105263157</x:v>
      </x:c>
      <x:c r="M952" s="48" t="n">
        <x:v>30.77</x:v>
      </x:c>
      <x:c r="N952" s="48" t="n">
        <x:v>226.0086666666667</x:v>
      </x:c>
      <x:c r="O952" s="49" t="n">
        <x:v>2</x:v>
      </x:c>
      <x:c r="P952" s="1" t="str">
        <x:v>同方向失敗後は新しい押し再進行を待つ・標準</x:v>
      </x:c>
      <x:c r="Q952" s="49" t="n">
        <x:v>0</x:v>
      </x:c>
      <x:c r="R952" s="50" t="n">
        <x:v>0.538115873015873</x:v>
      </x:c>
      <x:c r="S952" s="50" t="n">
        <x:v>0.538115873015873</x:v>
      </x:c>
      <x:c r="T952" s="1" t="str">
        <x:v>デイ</x:v>
      </x:c>
      <x:c r="U952" s="49" t="n">
        <x:v>25</x:v>
      </x:c>
    </x:row>
    <x:row r="953" ht="22" customHeight="1">
      <x:c r="A953" s="1" t="str">
        <x:v>日経mini</x:v>
      </x:c>
      <x:c r="B953" s="1" t="str">
        <x:v>R05</x:v>
      </x:c>
      <x:c r="C953" s="1" t="str">
        <x:v>全50場</x:v>
      </x:c>
      <x:c r="D953" s="47" t="n">
        <x:v>3597052</x:v>
      </x:c>
      <x:c r="E953" s="47" t="n">
        <x:v>4772198</x:v>
      </x:c>
      <x:c r="F953" s="47" t="n">
        <x:f>D953-E953</x:f>
        <x:v>-1175146</x:v>
      </x:c>
      <x:c r="G953" s="49" t="n">
        <x:v>9</x:v>
      </x:c>
      <x:c r="H953" s="49" t="n">
        <x:v>16</x:v>
      </x:c>
      <x:c r="I953" s="47" t="n">
        <x:v>-1317754</x:v>
      </x:c>
      <x:c r="J953" s="49" t="n">
        <x:v>449</x:v>
      </x:c>
      <x:c r="K953" s="47" t="n">
        <x:v>-197388</x:v>
      </x:c>
      <x:c r="L953" s="47" t="n">
        <x:v>88099</x:v>
      </x:c>
      <x:c r="M953" s="48" t="n">
        <x:v>43.11600000000001</x:v>
      </x:c>
      <x:c r="N953" s="48" t="n">
        <x:v>332.06200000000007</x:v>
      </x:c>
      <x:c r="O953" s="49" t="n">
        <x:v>2</x:v>
      </x:c>
      <x:c r="P953" s="1" t="str">
        <x:v>同方向失敗後は新しい押し再進行を待つ・標準</x:v>
      </x:c>
      <x:c r="Q953" s="49" t="n">
        <x:v>0</x:v>
      </x:c>
      <x:c r="R953" s="50" t="n">
        <x:v>0.4257205128205128</x:v>
      </x:c>
      <x:c r="S953" s="50" t="n">
        <x:v>0.42572051282051276</x:v>
      </x:c>
      <x:c r="T953" s="1" t="str">
        <x:v>ナイト</x:v>
      </x:c>
      <x:c r="U953" s="49" t="n">
        <x:v>25</x:v>
      </x:c>
    </x:row>
    <x:row r="954" ht="22" customHeight="1">
      <x:c r="A954" s="1" t="str">
        <x:v>日経mini</x:v>
      </x:c>
      <x:c r="B954" s="1" t="str">
        <x:v>R05</x:v>
      </x:c>
      <x:c r="C954" s="1" t="str">
        <x:v>全50場</x:v>
      </x:c>
      <x:c r="D954" s="47" t="n">
        <x:v>2980442</x:v>
      </x:c>
      <x:c r="E954" s="47" t="n">
        <x:v>4189422</x:v>
      </x:c>
      <x:c r="F954" s="47" t="n">
        <x:f>D954-E954</x:f>
        <x:v>-1208980</x:v>
      </x:c>
      <x:c r="G954" s="49" t="n">
        <x:v>6</x:v>
      </x:c>
      <x:c r="H954" s="49" t="n">
        <x:v>18</x:v>
      </x:c>
      <x:c r="I954" s="47" t="n">
        <x:v>-1341894</x:v>
      </x:c>
      <x:c r="J954" s="49" t="n">
        <x:v>370</x:v>
      </x:c>
      <x:c r="K954" s="47" t="n">
        <x:v>-227234</x:v>
      </x:c>
      <x:c r="L954" s="47" t="n">
        <x:v>76275.77777777778</x:v>
      </x:c>
      <x:c r="M954" s="48" t="n">
        <x:v>30.147222222222222</x:v>
      </x:c>
      <x:c r="N954" s="48" t="n">
        <x:v>280.59375</x:v>
      </x:c>
      <x:c r="O954" s="49" t="n">
        <x:v>2</x:v>
      </x:c>
      <x:c r="P954" s="1" t="str">
        <x:v>同方向失敗後は新しい押し再進行を待つ・標準</x:v>
      </x:c>
      <x:c r="Q954" s="49" t="n">
        <x:v>0</x:v>
      </x:c>
      <x:c r="R954" s="50" t="n">
        <x:v>0.4725110653235653</x:v>
      </x:c>
      <x:c r="S954" s="50" t="n">
        <x:v>0.45625</x:v>
      </x:c>
      <x:c r="T954" s="1" t="str">
        <x:v>上昇</x:v>
      </x:c>
      <x:c r="U954" s="49" t="n">
        <x:v>24</x:v>
      </x:c>
    </x:row>
    <x:row r="955" ht="22" customHeight="1">
      <x:c r="A955" s="1" t="str">
        <x:v>日経mini</x:v>
      </x:c>
      <x:c r="B955" s="1" t="str">
        <x:v>R05</x:v>
      </x:c>
      <x:c r="C955" s="1" t="str">
        <x:v>全50場</x:v>
      </x:c>
      <x:c r="D955" s="47" t="n">
        <x:v>3388900</x:v>
      </x:c>
      <x:c r="E955" s="47" t="n">
        <x:v>4549578</x:v>
      </x:c>
      <x:c r="F955" s="47" t="n">
        <x:f>D955-E955</x:f>
        <x:v>-1160678</x:v>
      </x:c>
      <x:c r="G955" s="49" t="n">
        <x:v>9</x:v>
      </x:c>
      <x:c r="H955" s="49" t="n">
        <x:v>17</x:v>
      </x:c>
      <x:c r="I955" s="47" t="n">
        <x:v>-1553440</x:v>
      </x:c>
      <x:c r="J955" s="49" t="n">
        <x:v>407</x:v>
      </x:c>
      <x:c r="K955" s="47" t="n">
        <x:v>-197388</x:v>
      </x:c>
      <x:c r="L955" s="47" t="n">
        <x:v>101278.70588235294</x:v>
      </x:c>
      <x:c r="M955" s="48" t="n">
        <x:v>43.21602564102564</x:v>
      </x:c>
      <x:c r="N955" s="48" t="n">
        <x:v>277.5967948717949</x:v>
      </x:c>
      <x:c r="O955" s="49" t="n">
        <x:v>2</x:v>
      </x:c>
      <x:c r="P955" s="1" t="str">
        <x:v>同方向失敗後は新しい押し再進行を待つ・標準</x:v>
      </x:c>
      <x:c r="Q955" s="49" t="n">
        <x:v>0</x:v>
      </x:c>
      <x:c r="R955" s="50" t="n">
        <x:v>0.4906016953132337</x:v>
      </x:c>
      <x:c r="S955" s="50" t="n">
        <x:v>0.4735903324584427</x:v>
      </x:c>
      <x:c r="T955" s="1" t="str">
        <x:v>下落</x:v>
      </x:c>
      <x:c r="U955" s="49" t="n">
        <x:v>26</x:v>
      </x:c>
    </x:row>
    <x:row r="956" ht="22" customHeight="1">
      <x:c r="A956" s="1" t="str">
        <x:v>日経mini</x:v>
      </x:c>
      <x:c r="B956" s="1" t="str">
        <x:v>R05</x:v>
      </x:c>
      <x:c r="C956" s="1" t="str">
        <x:v>対照47場</x:v>
      </x:c>
      <x:c r="D956" s="47" t="n">
        <x:v>5858422</x:v>
      </x:c>
      <x:c r="E956" s="47" t="n">
        <x:v>7736530</x:v>
      </x:c>
      <x:c r="F956" s="47" t="n">
        <x:f>D956-E956</x:f>
        <x:v>-1878108</x:v>
      </x:c>
      <x:c r="G956" s="49" t="n">
        <x:v>15</x:v>
      </x:c>
      <x:c r="H956" s="49" t="n">
        <x:v>32</x:v>
      </x:c>
      <x:c r="I956" s="47" t="n">
        <x:v>-2270870</x:v>
      </x:c>
      <x:c r="J956" s="49" t="n">
        <x:v>702</x:v>
      </x:c>
      <x:c r="K956" s="47" t="n">
        <x:v>-197388</x:v>
      </x:c>
      <x:c r="L956" s="47" t="n">
        <x:v>81348.5</x:v>
      </x:c>
      <x:c r="M956" s="48" t="n">
        <x:v>37.820212765957436</x:v>
      </x:c>
      <x:c r="N956" s="48" t="n">
        <x:v>272.6755319148936</x:v>
      </x:c>
      <x:c r="O956" s="49" t="n">
        <x:v>2</x:v>
      </x:c>
      <x:c r="P956" s="1" t="str">
        <x:v>同方向失敗後は新しい押し再進行を待つ・標準</x:v>
      </x:c>
      <x:c r="Q956" s="49" t="n">
        <x:v>0</x:v>
      </x:c>
      <x:c r="R956" s="50" t="n">
        <x:v>0.4752928454524199</x:v>
      </x:c>
      <x:c r="S956" s="50" t="n">
        <x:v>0.4573786581013562</x:v>
      </x:c>
      <x:c r="T956" s="1" t="str">
        <x:v>全場</x:v>
      </x:c>
      <x:c r="U956" s="49" t="n">
        <x:v>47</x:v>
      </x:c>
    </x:row>
    <x:row r="957" ht="22" customHeight="1">
      <x:c r="A957" s="1" t="str">
        <x:v>日経mini</x:v>
      </x:c>
      <x:c r="B957" s="1" t="str">
        <x:v>R05</x:v>
      </x:c>
      <x:c r="C957" s="1" t="str">
        <x:v>対照47場</x:v>
      </x:c>
      <x:c r="D957" s="47" t="n">
        <x:v>2606906</x:v>
      </x:c>
      <x:c r="E957" s="47" t="n">
        <x:v>3574184</x:v>
      </x:c>
      <x:c r="F957" s="47" t="n">
        <x:f>D957-E957</x:f>
        <x:v>-967278</x:v>
      </x:c>
      <x:c r="G957" s="49" t="n">
        <x:v>6</x:v>
      </x:c>
      <x:c r="H957" s="49" t="n">
        <x:v>18</x:v>
      </x:c>
      <x:c r="I957" s="47" t="n">
        <x:v>-1357426</x:v>
      </x:c>
      <x:c r="J957" s="49" t="n">
        <x:v>307</x:v>
      </x:c>
      <x:c r="K957" s="47" t="n">
        <x:v>-174002</x:v>
      </x:c>
      <x:c r="L957" s="47" t="n">
        <x:v>80993.55555555556</x:v>
      </x:c>
      <x:c r="M957" s="48" t="n">
        <x:v>31.08888888888889</x:v>
      </x:c>
      <x:c r="N957" s="48" t="n">
        <x:v>224.02361111111114</x:v>
      </x:c>
      <x:c r="O957" s="49" t="n">
        <x:v>2</x:v>
      </x:c>
      <x:c r="P957" s="1" t="str">
        <x:v>同方向失敗後は新しい押し再進行を待つ・標準</x:v>
      </x:c>
      <x:c r="Q957" s="49" t="n">
        <x:v>0</x:v>
      </x:c>
      <x:c r="R957" s="50" t="n">
        <x:v>0.5333895502645503</x:v>
      </x:c>
      <x:c r="S957" s="50" t="n">
        <x:v>0.5333895502645503</x:v>
      </x:c>
      <x:c r="T957" s="1" t="str">
        <x:v>デイ</x:v>
      </x:c>
      <x:c r="U957" s="49" t="n">
        <x:v>24</x:v>
      </x:c>
    </x:row>
    <x:row r="958" ht="22" customHeight="1">
      <x:c r="A958" s="1" t="str">
        <x:v>日経mini</x:v>
      </x:c>
      <x:c r="B958" s="1" t="str">
        <x:v>R05</x:v>
      </x:c>
      <x:c r="C958" s="1" t="str">
        <x:v>対照47場</x:v>
      </x:c>
      <x:c r="D958" s="47" t="n">
        <x:v>3251516</x:v>
      </x:c>
      <x:c r="E958" s="47" t="n">
        <x:v>4162346</x:v>
      </x:c>
      <x:c r="F958" s="47" t="n">
        <x:f>D958-E958</x:f>
        <x:v>-910830</x:v>
      </x:c>
      <x:c r="G958" s="49" t="n">
        <x:v>9</x:v>
      </x:c>
      <x:c r="H958" s="49" t="n">
        <x:v>14</x:v>
      </x:c>
      <x:c r="I958" s="47" t="n">
        <x:v>-1053438</x:v>
      </x:c>
      <x:c r="J958" s="49" t="n">
        <x:v>395</x:v>
      </x:c>
      <x:c r="K958" s="47" t="n">
        <x:v>-197388</x:v>
      </x:c>
      <x:c r="L958" s="47" t="n">
        <x:v>81804.85714285714</x:v>
      </x:c>
      <x:c r="M958" s="48" t="n">
        <x:v>44.844202898550726</x:v>
      </x:c>
      <x:c r="N958" s="48" t="n">
        <x:v>323.4427536231884</x:v>
      </x:c>
      <x:c r="O958" s="49" t="n">
        <x:v>2</x:v>
      </x:c>
      <x:c r="P958" s="1" t="str">
        <x:v>同方向失敗後は新しい押し再進行を待つ・標準</x:v>
      </x:c>
      <x:c r="Q958" s="49" t="n">
        <x:v>0</x:v>
      </x:c>
      <x:c r="R958" s="50" t="n">
        <x:v>0.4146701969528057</x:v>
      </x:c>
      <x:c r="S958" s="50" t="n">
        <x:v>0.41467019695280566</x:v>
      </x:c>
      <x:c r="T958" s="1" t="str">
        <x:v>ナイト</x:v>
      </x:c>
      <x:c r="U958" s="49" t="n">
        <x:v>23</x:v>
      </x:c>
    </x:row>
    <x:row r="959" ht="22" customHeight="1">
      <x:c r="A959" s="1" t="str">
        <x:v>日経mini</x:v>
      </x:c>
      <x:c r="B959" s="1" t="str">
        <x:v>R05</x:v>
      </x:c>
      <x:c r="C959" s="1" t="str">
        <x:v>対照47場</x:v>
      </x:c>
      <x:c r="D959" s="47" t="n">
        <x:v>2679828</x:v>
      </x:c>
      <x:c r="E959" s="47" t="n">
        <x:v>3554032</x:v>
      </x:c>
      <x:c r="F959" s="47" t="n">
        <x:f>D959-E959</x:f>
        <x:v>-874204</x:v>
      </x:c>
      <x:c r="G959" s="49" t="n">
        <x:v>6</x:v>
      </x:c>
      <x:c r="H959" s="49" t="n">
        <x:v>16</x:v>
      </x:c>
      <x:c r="I959" s="47" t="n">
        <x:v>-1007118</x:v>
      </x:c>
      <x:c r="J959" s="49" t="n">
        <x:v>326</x:v>
      </x:c>
      <x:c r="K959" s="47" t="n">
        <x:v>-174002</x:v>
      </x:c>
      <x:c r="L959" s="47" t="n">
        <x:v>64886.75</x:v>
      </x:c>
      <x:c r="M959" s="48" t="n">
        <x:v>30.785606060606064</x:v>
      </x:c>
      <x:c r="N959" s="48" t="n">
        <x:v>272.7734848484849</x:v>
      </x:c>
      <x:c r="O959" s="49" t="n">
        <x:v>2</x:v>
      </x:c>
      <x:c r="P959" s="1" t="str">
        <x:v>同方向失敗後は新しい押し再進行を待つ・標準</x:v>
      </x:c>
      <x:c r="Q959" s="49" t="n">
        <x:v>0</x:v>
      </x:c>
      <x:c r="R959" s="50" t="n">
        <x:v>0.45906857031857035</x:v>
      </x:c>
      <x:c r="S959" s="50" t="n">
        <x:v>0.44255285152409046</x:v>
      </x:c>
      <x:c r="T959" s="1" t="str">
        <x:v>上昇</x:v>
      </x:c>
      <x:c r="U959" s="49" t="n">
        <x:v>22</x:v>
      </x:c>
    </x:row>
    <x:row r="960" ht="22" customHeight="1">
      <x:c r="A960" s="1" t="str">
        <x:v>日経mini</x:v>
      </x:c>
      <x:c r="B960" s="1" t="str">
        <x:v>R05</x:v>
      </x:c>
      <x:c r="C960" s="1" t="str">
        <x:v>対照47場</x:v>
      </x:c>
      <x:c r="D960" s="47" t="n">
        <x:v>3178594</x:v>
      </x:c>
      <x:c r="E960" s="47" t="n">
        <x:v>4182498</x:v>
      </x:c>
      <x:c r="F960" s="47" t="n">
        <x:f>D960-E960</x:f>
        <x:v>-1003904</x:v>
      </x:c>
      <x:c r="G960" s="49" t="n">
        <x:v>9</x:v>
      </x:c>
      <x:c r="H960" s="49" t="n">
        <x:v>16</x:v>
      </x:c>
      <x:c r="I960" s="47" t="n">
        <x:v>-1396666</x:v>
      </x:c>
      <x:c r="J960" s="49" t="n">
        <x:v>376</x:v>
      </x:c>
      <x:c r="K960" s="47" t="n">
        <x:v>-197388</x:v>
      </x:c>
      <x:c r="L960" s="47" t="n">
        <x:v>97810.25</x:v>
      </x:c>
      <x:c r="M960" s="48" t="n">
        <x:v>44.010666666666665</x:v>
      </x:c>
      <x:c r="N960" s="48" t="n">
        <x:v>272.58933333333334</x:v>
      </x:c>
      <x:c r="O960" s="49" t="n">
        <x:v>2</x:v>
      </x:c>
      <x:c r="P960" s="1" t="str">
        <x:v>同方向失敗後は新しい押し再進行を待つ・標準</x:v>
      </x:c>
      <x:c r="Q960" s="49" t="n">
        <x:v>0</x:v>
      </x:c>
      <x:c r="R960" s="50" t="n">
        <x:v>0.4895702075702075</x:v>
      </x:c>
      <x:c r="S960" s="50" t="n">
        <x:v>0.47128169663439373</x:v>
      </x:c>
      <x:c r="T960" s="1" t="str">
        <x:v>下落</x:v>
      </x:c>
      <x:c r="U960" s="49" t="n">
        <x:v>25</x:v>
      </x:c>
    </x:row>
    <x:row r="961" ht="22" customHeight="1">
      <x:c r="A961" s="1" t="str">
        <x:v>日経mini</x:v>
      </x:c>
      <x:c r="B961" s="1" t="str">
        <x:v>R05</x:v>
      </x:c>
      <x:c r="C961" s="1" t="str">
        <x:v>診断3場</x:v>
      </x:c>
      <x:c r="D961" s="47" t="n">
        <x:v>510920</x:v>
      </x:c>
      <x:c r="E961" s="47" t="n">
        <x:v>1002470</x:v>
      </x:c>
      <x:c r="F961" s="47" t="n">
        <x:f>D961-E961</x:f>
        <x:v>-491550</x:v>
      </x:c>
      <x:c r="G961" s="49" t="n">
        <x:v>0</x:v>
      </x:c>
      <x:c r="H961" s="49" t="n">
        <x:v>3</x:v>
      </x:c>
      <x:c r="I961" s="47" t="n">
        <x:v>-491550</x:v>
      </x:c>
      <x:c r="J961" s="49" t="n">
        <x:v>75</x:v>
      </x:c>
      <x:c r="K961" s="47" t="n">
        <x:v>-227234</x:v>
      </x:c>
      <x:c r="L961" s="47" t="n">
        <x:v>163850</x:v>
      </x:c>
      <x:c r="M961" s="48" t="n">
        <x:v>23.2</x:v>
      </x:c>
      <x:c r="N961" s="48" t="n">
        <x:v>378.6722222222222</x:v>
      </x:c>
      <x:c r="O961" s="49" t="n">
        <x:v>2</x:v>
      </x:c>
      <x:c r="P961" s="1" t="str">
        <x:v>同方向失敗後は新しい押し再進行を待つ・標準</x:v>
      </x:c>
      <x:c r="Q961" s="49" t="n">
        <x:v>0</x:v>
      </x:c>
      <x:c r="R961" s="50" t="n">
        <x:v>0.5857153032153032</x:v>
      </x:c>
      <x:c r="S961" s="50" t="n">
        <x:v>0.5737457912457913</x:v>
      </x:c>
      <x:c r="T961" s="1" t="str">
        <x:v>全場</x:v>
      </x:c>
      <x:c r="U961" s="49" t="n">
        <x:v>3</x:v>
      </x:c>
    </x:row>
    <x:row r="962" ht="22" customHeight="1">
      <x:c r="A962" s="1" t="str">
        <x:v>日経mini</x:v>
      </x:c>
      <x:c r="B962" s="1" t="str">
        <x:v>R05</x:v>
      </x:c>
      <x:c r="C962" s="1" t="str">
        <x:v>診断3場</x:v>
      </x:c>
      <x:c r="D962" s="47" t="n">
        <x:v>165384</x:v>
      </x:c>
      <x:c r="E962" s="47" t="n">
        <x:v>392618</x:v>
      </x:c>
      <x:c r="F962" s="47" t="n">
        <x:f>D962-E962</x:f>
        <x:v>-227234</x:v>
      </x:c>
      <x:c r="G962" s="49" t="n">
        <x:v>0</x:v>
      </x:c>
      <x:c r="H962" s="49" t="n">
        <x:v>1</x:v>
      </x:c>
      <x:c r="I962" s="47" t="n">
        <x:v>-227234</x:v>
      </x:c>
      <x:c r="J962" s="49" t="n">
        <x:v>21</x:v>
      </x:c>
      <x:c r="K962" s="47" t="n">
        <x:v>-227234</x:v>
      </x:c>
      <x:c r="L962" s="47" t="n">
        <x:v>227234</x:v>
      </x:c>
      <x:c r="M962" s="48" t="n">
        <x:v>23.116666666666667</x:v>
      </x:c>
      <x:c r="N962" s="48" t="n">
        <x:v>273.65</x:v>
      </x:c>
      <x:c r="O962" s="49" t="n">
        <x:v>2</x:v>
      </x:c>
      <x:c r="P962" s="1" t="str">
        <x:v>同方向失敗後は新しい押し再進行を待つ・標準</x:v>
      </x:c>
      <x:c r="Q962" s="49" t="n">
        <x:v>0</x:v>
      </x:c>
      <x:c r="R962" s="50" t="n">
        <x:v>0.651547619047619</x:v>
      </x:c>
      <x:c r="S962" s="50" t="n">
        <x:v>0.651547619047619</x:v>
      </x:c>
      <x:c r="T962" s="1" t="str">
        <x:v>デイ</x:v>
      </x:c>
      <x:c r="U962" s="49" t="n">
        <x:v>1</x:v>
      </x:c>
    </x:row>
    <x:row r="963" ht="22" customHeight="1">
      <x:c r="A963" s="1" t="str">
        <x:v>日経mini</x:v>
      </x:c>
      <x:c r="B963" s="1" t="str">
        <x:v>R05</x:v>
      </x:c>
      <x:c r="C963" s="1" t="str">
        <x:v>診断3場</x:v>
      </x:c>
      <x:c r="D963" s="47" t="n">
        <x:v>345536</x:v>
      </x:c>
      <x:c r="E963" s="47" t="n">
        <x:v>609852</x:v>
      </x:c>
      <x:c r="F963" s="47" t="n">
        <x:f>D963-E963</x:f>
        <x:v>-264316</x:v>
      </x:c>
      <x:c r="G963" s="49" t="n">
        <x:v>0</x:v>
      </x:c>
      <x:c r="H963" s="49" t="n">
        <x:v>2</x:v>
      </x:c>
      <x:c r="I963" s="47" t="n">
        <x:v>-264316</x:v>
      </x:c>
      <x:c r="J963" s="49" t="n">
        <x:v>54</x:v>
      </x:c>
      <x:c r="K963" s="47" t="n">
        <x:v>-156774</x:v>
      </x:c>
      <x:c r="L963" s="47" t="n">
        <x:v>132158</x:v>
      </x:c>
      <x:c r="M963" s="48" t="n">
        <x:v>23.241666666666667</x:v>
      </x:c>
      <x:c r="N963" s="48" t="n">
        <x:v>431.18333333333334</x:v>
      </x:c>
      <x:c r="O963" s="49" t="n">
        <x:v>2</x:v>
      </x:c>
      <x:c r="P963" s="1" t="str">
        <x:v>同方向失敗後は新しい押し再進行を待つ・標準</x:v>
      </x:c>
      <x:c r="Q963" s="49" t="n">
        <x:v>0</x:v>
      </x:c>
      <x:c r="R963" s="50" t="n">
        <x:v>0.5527991452991453</x:v>
      </x:c>
      <x:c r="S963" s="50" t="n">
        <x:v>0.5527991452991453</x:v>
      </x:c>
      <x:c r="T963" s="1" t="str">
        <x:v>ナイト</x:v>
      </x:c>
      <x:c r="U963" s="49" t="n">
        <x:v>2</x:v>
      </x:c>
    </x:row>
    <x:row r="964" ht="22" customHeight="1">
      <x:c r="A964" s="1" t="str">
        <x:v>日経mini</x:v>
      </x:c>
      <x:c r="B964" s="1" t="str">
        <x:v>R05</x:v>
      </x:c>
      <x:c r="C964" s="1" t="str">
        <x:v>診断3場</x:v>
      </x:c>
      <x:c r="D964" s="47" t="n">
        <x:v>300614</x:v>
      </x:c>
      <x:c r="E964" s="47" t="n">
        <x:v>635390</x:v>
      </x:c>
      <x:c r="F964" s="47" t="n">
        <x:f>D964-E964</x:f>
        <x:v>-334776</x:v>
      </x:c>
      <x:c r="G964" s="49" t="n">
        <x:v>0</x:v>
      </x:c>
      <x:c r="H964" s="49" t="n">
        <x:v>2</x:v>
      </x:c>
      <x:c r="I964" s="47" t="n">
        <x:v>-334776</x:v>
      </x:c>
      <x:c r="J964" s="49" t="n">
        <x:v>44</x:v>
      </x:c>
      <x:c r="K964" s="47" t="n">
        <x:v>-227234</x:v>
      </x:c>
      <x:c r="L964" s="47" t="n">
        <x:v>167388</x:v>
      </x:c>
      <x:c r="M964" s="48" t="n">
        <x:v>23.125</x:v>
      </x:c>
      <x:c r="N964" s="48" t="n">
        <x:v>366.6166666666667</x:v>
      </x:c>
      <x:c r="O964" s="49" t="n">
        <x:v>2</x:v>
      </x:c>
      <x:c r="P964" s="1" t="str">
        <x:v>同方向失敗後は新しい押し再進行を待つ・標準</x:v>
      </x:c>
      <x:c r="Q964" s="49" t="n">
        <x:v>0</x:v>
      </x:c>
      <x:c r="R964" s="50" t="n">
        <x:v>0.6203785103785104</x:v>
      </x:c>
      <x:c r="S964" s="50" t="n">
        <x:v>0.6110277777777778</x:v>
      </x:c>
      <x:c r="T964" s="1" t="str">
        <x:v>上昇</x:v>
      </x:c>
      <x:c r="U964" s="49" t="n">
        <x:v>2</x:v>
      </x:c>
    </x:row>
    <x:row r="965" ht="22" customHeight="1">
      <x:c r="A965" s="1" t="str">
        <x:v>日経mini</x:v>
      </x:c>
      <x:c r="B965" s="1" t="str">
        <x:v>R05</x:v>
      </x:c>
      <x:c r="C965" s="1" t="str">
        <x:v>診断3場</x:v>
      </x:c>
      <x:c r="D965" s="47" t="n">
        <x:v>210306</x:v>
      </x:c>
      <x:c r="E965" s="47" t="n">
        <x:v>367080</x:v>
      </x:c>
      <x:c r="F965" s="47" t="n">
        <x:f>D965-E965</x:f>
        <x:v>-156774</x:v>
      </x:c>
      <x:c r="G965" s="49" t="n">
        <x:v>0</x:v>
      </x:c>
      <x:c r="H965" s="49" t="n">
        <x:v>1</x:v>
      </x:c>
      <x:c r="I965" s="47" t="n">
        <x:v>-156774</x:v>
      </x:c>
      <x:c r="J965" s="49" t="n">
        <x:v>31</x:v>
      </x:c>
      <x:c r="K965" s="47" t="n">
        <x:v>-156774</x:v>
      </x:c>
      <x:c r="L965" s="47" t="n">
        <x:v>156774</x:v>
      </x:c>
      <x:c r="M965" s="48" t="n">
        <x:v>23.35</x:v>
      </x:c>
      <x:c r="N965" s="48" t="n">
        <x:v>402.78333333333336</x:v>
      </x:c>
      <x:c r="O965" s="49" t="n">
        <x:v>2</x:v>
      </x:c>
      <x:c r="P965" s="1" t="str">
        <x:v>同方向失敗後は新しい押し再進行を待つ・標準</x:v>
      </x:c>
      <x:c r="Q965" s="49" t="n">
        <x:v>0</x:v>
      </x:c>
      <x:c r="R965" s="50" t="n">
        <x:v>0.5163888888888889</x:v>
      </x:c>
      <x:c r="S965" s="50" t="n">
        <x:v>0.5163888888888889</x:v>
      </x:c>
      <x:c r="T965" s="1" t="str">
        <x:v>下落</x:v>
      </x:c>
      <x:c r="U965" s="49" t="n">
        <x:v>1</x:v>
      </x:c>
    </x:row>
    <x:row r="966" ht="22" customHeight="1">
      <x:c r="A966" s="1" t="str">
        <x:v>日経mini</x:v>
      </x:c>
      <x:c r="B966" s="1" t="str">
        <x:v>R06</x:v>
      </x:c>
      <x:c r="C966" s="1" t="str">
        <x:v>全50場</x:v>
      </x:c>
      <x:c r="D966" s="47" t="n">
        <x:v>5766894</x:v>
      </x:c>
      <x:c r="E966" s="47" t="n">
        <x:v>7633910</x:v>
      </x:c>
      <x:c r="F966" s="47" t="n">
        <x:f>D966-E966</x:f>
        <x:v>-1867016</x:v>
      </x:c>
      <x:c r="G966" s="49" t="n">
        <x:v>16</x:v>
      </x:c>
      <x:c r="H966" s="49" t="n">
        <x:v>34</x:v>
      </x:c>
      <x:c r="I966" s="47" t="n">
        <x:v>-2330088</x:v>
      </x:c>
      <x:c r="J966" s="49" t="n">
        <x:v>604</x:v>
      </x:c>
      <x:c r="K966" s="47" t="n">
        <x:v>-225542</x:v>
      </x:c>
      <x:c r="L966" s="47" t="n">
        <x:v>85667.11764705883</x:v>
      </x:c>
      <x:c r="M966" s="48" t="n">
        <x:v>36.943</x:v>
      </x:c>
      <x:c r="N966" s="48" t="n">
        <x:v>347.41966666666667</x:v>
      </x:c>
      <x:c r="O966" s="49" t="n">
        <x:v>2</x:v>
      </x:c>
      <x:c r="P966" s="1" t="str">
        <x:v>同方向失敗後は新しい押し再進行を待つ・広め</x:v>
      </x:c>
      <x:c r="Q966" s="49" t="n">
        <x:v>0</x:v>
      </x:c>
      <x:c r="R966" s="50" t="n">
        <x:v>0.5937343711843712</x:v>
      </x:c>
      <x:c r="S966" s="50" t="n">
        <x:v>0.5790327777777778</x:v>
      </x:c>
      <x:c r="T966" s="1" t="str">
        <x:v>全場</x:v>
      </x:c>
      <x:c r="U966" s="49" t="n">
        <x:v>50</x:v>
      </x:c>
    </x:row>
    <x:row r="967" ht="22" customHeight="1">
      <x:c r="A967" s="1" t="str">
        <x:v>日経mini</x:v>
      </x:c>
      <x:c r="B967" s="1" t="str">
        <x:v>R06</x:v>
      </x:c>
      <x:c r="C967" s="1" t="str">
        <x:v>全50場</x:v>
      </x:c>
      <x:c r="D967" s="47" t="n">
        <x:v>2437834</x:v>
      </x:c>
      <x:c r="E967" s="47" t="n">
        <x:v>3429412</x:v>
      </x:c>
      <x:c r="F967" s="47" t="n">
        <x:f>D967-E967</x:f>
        <x:v>-991578</x:v>
      </x:c>
      <x:c r="G967" s="49" t="n">
        <x:v>5</x:v>
      </x:c>
      <x:c r="H967" s="49" t="n">
        <x:v>20</x:v>
      </x:c>
      <x:c r="I967" s="47" t="n">
        <x:v>-1383420</x:v>
      </x:c>
      <x:c r="J967" s="49" t="n">
        <x:v>257</x:v>
      </x:c>
      <x:c r="K967" s="47" t="n">
        <x:v>-170464</x:v>
      </x:c>
      <x:c r="L967" s="47" t="n">
        <x:v>72770.9</x:v>
      </x:c>
      <x:c r="M967" s="48" t="n">
        <x:v>30.77</x:v>
      </x:c>
      <x:c r="N967" s="48" t="n">
        <x:v>269.9506666666667</x:v>
      </x:c>
      <x:c r="O967" s="49" t="n">
        <x:v>2</x:v>
      </x:c>
      <x:c r="P967" s="1" t="str">
        <x:v>同方向失敗後は新しい押し再進行を待つ・広め</x:v>
      </x:c>
      <x:c r="Q967" s="49" t="n">
        <x:v>0</x:v>
      </x:c>
      <x:c r="R967" s="50" t="n">
        <x:v>0.6427396825396825</x:v>
      </x:c>
      <x:c r="S967" s="50" t="n">
        <x:v>0.6427396825396825</x:v>
      </x:c>
      <x:c r="T967" s="1" t="str">
        <x:v>デイ</x:v>
      </x:c>
      <x:c r="U967" s="49" t="n">
        <x:v>25</x:v>
      </x:c>
    </x:row>
    <x:row r="968" ht="22" customHeight="1">
      <x:c r="A968" s="1" t="str">
        <x:v>日経mini</x:v>
      </x:c>
      <x:c r="B968" s="1" t="str">
        <x:v>R06</x:v>
      </x:c>
      <x:c r="C968" s="1" t="str">
        <x:v>全50場</x:v>
      </x:c>
      <x:c r="D968" s="47" t="n">
        <x:v>3329060</x:v>
      </x:c>
      <x:c r="E968" s="47" t="n">
        <x:v>4204498</x:v>
      </x:c>
      <x:c r="F968" s="47" t="n">
        <x:f>D968-E968</x:f>
        <x:v>-875438</x:v>
      </x:c>
      <x:c r="G968" s="49" t="n">
        <x:v>11</x:v>
      </x:c>
      <x:c r="H968" s="49" t="n">
        <x:v>14</x:v>
      </x:c>
      <x:c r="I968" s="47" t="n">
        <x:v>-1163124</x:v>
      </x:c>
      <x:c r="J968" s="49" t="n">
        <x:v>347</x:v>
      </x:c>
      <x:c r="K968" s="47" t="n">
        <x:v>-225542</x:v>
      </x:c>
      <x:c r="L968" s="47" t="n">
        <x:v>104090.28571428571</x:v>
      </x:c>
      <x:c r="M968" s="48" t="n">
        <x:v>43.11600000000001</x:v>
      </x:c>
      <x:c r="N968" s="48" t="n">
        <x:v>424.88866666666667</x:v>
      </x:c>
      <x:c r="O968" s="49" t="n">
        <x:v>2</x:v>
      </x:c>
      <x:c r="P968" s="1" t="str">
        <x:v>同方向失敗後は新しい押し再進行を待つ・広め</x:v>
      </x:c>
      <x:c r="Q968" s="49" t="n">
        <x:v>0</x:v>
      </x:c>
      <x:c r="R968" s="50" t="n">
        <x:v>0.5447290598290597</x:v>
      </x:c>
      <x:c r="S968" s="50" t="n">
        <x:v>0.5447290598290598</x:v>
      </x:c>
      <x:c r="T968" s="1" t="str">
        <x:v>ナイト</x:v>
      </x:c>
      <x:c r="U968" s="49" t="n">
        <x:v>25</x:v>
      </x:c>
    </x:row>
    <x:row r="969" ht="22" customHeight="1">
      <x:c r="A969" s="1" t="str">
        <x:v>日経mini</x:v>
      </x:c>
      <x:c r="B969" s="1" t="str">
        <x:v>R06</x:v>
      </x:c>
      <x:c r="C969" s="1" t="str">
        <x:v>全50場</x:v>
      </x:c>
      <x:c r="D969" s="47" t="n">
        <x:v>2787370</x:v>
      </x:c>
      <x:c r="E969" s="47" t="n">
        <x:v>3744646</x:v>
      </x:c>
      <x:c r="F969" s="47" t="n">
        <x:f>D969-E969</x:f>
        <x:v>-957276</x:v>
      </x:c>
      <x:c r="G969" s="49" t="n">
        <x:v>8</x:v>
      </x:c>
      <x:c r="H969" s="49" t="n">
        <x:v>16</x:v>
      </x:c>
      <x:c r="I969" s="47" t="n">
        <x:v>-1222040</x:v>
      </x:c>
      <x:c r="J969" s="49" t="n">
        <x:v>294</x:v>
      </x:c>
      <x:c r="K969" s="47" t="n">
        <x:v>-170464</x:v>
      </x:c>
      <x:c r="L969" s="47" t="n">
        <x:v>85790.375</x:v>
      </x:c>
      <x:c r="M969" s="48" t="n">
        <x:v>30.147222222222222</x:v>
      </x:c>
      <x:c r="N969" s="48" t="n">
        <x:v>347.99861111111113</x:v>
      </x:c>
      <x:c r="O969" s="49" t="n">
        <x:v>2</x:v>
      </x:c>
      <x:c r="P969" s="1" t="str">
        <x:v>同方向失敗後は新しい押し再進行を待つ・広め</x:v>
      </x:c>
      <x:c r="Q969" s="49" t="n">
        <x:v>0</x:v>
      </x:c>
      <x:c r="R969" s="50" t="n">
        <x:v>0.5745403439153439</x:v>
      </x:c>
      <x:c r="S969" s="50" t="n">
        <x:v>0.5658514001806685</x:v>
      </x:c>
      <x:c r="T969" s="1" t="str">
        <x:v>上昇</x:v>
      </x:c>
      <x:c r="U969" s="49" t="n">
        <x:v>24</x:v>
      </x:c>
    </x:row>
    <x:row r="970" ht="22" customHeight="1">
      <x:c r="A970" s="1" t="str">
        <x:v>日経mini</x:v>
      </x:c>
      <x:c r="B970" s="1" t="str">
        <x:v>R06</x:v>
      </x:c>
      <x:c r="C970" s="1" t="str">
        <x:v>全50場</x:v>
      </x:c>
      <x:c r="D970" s="47" t="n">
        <x:v>2979524</x:v>
      </x:c>
      <x:c r="E970" s="47" t="n">
        <x:v>3889264</x:v>
      </x:c>
      <x:c r="F970" s="47" t="n">
        <x:f>D970-E970</x:f>
        <x:v>-909740</x:v>
      </x:c>
      <x:c r="G970" s="49" t="n">
        <x:v>8</x:v>
      </x:c>
      <x:c r="H970" s="49" t="n">
        <x:v>18</x:v>
      </x:c>
      <x:c r="I970" s="47" t="n">
        <x:v>-1338966</x:v>
      </x:c>
      <x:c r="J970" s="49" t="n">
        <x:v>310</x:v>
      </x:c>
      <x:c r="K970" s="47" t="n">
        <x:v>-225542</x:v>
      </x:c>
      <x:c r="L970" s="47" t="n">
        <x:v>85557.55555555556</x:v>
      </x:c>
      <x:c r="M970" s="48" t="n">
        <x:v>43.21602564102564</x:v>
      </x:c>
      <x:c r="N970" s="48" t="n">
        <x:v>346.8852564102565</x:v>
      </x:c>
      <x:c r="O970" s="49" t="n">
        <x:v>2</x:v>
      </x:c>
      <x:c r="P970" s="1" t="str">
        <x:v>同方向失敗後は新しい押し再進行を待つ・広め</x:v>
      </x:c>
      <x:c r="Q970" s="49" t="n">
        <x:v>0</x:v>
      </x:c>
      <x:c r="R970" s="50" t="n">
        <x:v>0.6114519348173194</x:v>
      </x:c>
      <x:c r="S970" s="50" t="n">
        <x:v>0.5917989938757655</x:v>
      </x:c>
      <x:c r="T970" s="1" t="str">
        <x:v>下落</x:v>
      </x:c>
      <x:c r="U970" s="49" t="n">
        <x:v>26</x:v>
      </x:c>
    </x:row>
    <x:row r="971" ht="22" customHeight="1">
      <x:c r="A971" s="1" t="str">
        <x:v>日経mini</x:v>
      </x:c>
      <x:c r="B971" s="1" t="str">
        <x:v>R06</x:v>
      </x:c>
      <x:c r="C971" s="1" t="str">
        <x:v>対照47場</x:v>
      </x:c>
      <x:c r="D971" s="47" t="n">
        <x:v>5396742</x:v>
      </x:c>
      <x:c r="E971" s="47" t="n">
        <x:v>6809134</x:v>
      </x:c>
      <x:c r="F971" s="47" t="n">
        <x:f>D971-E971</x:f>
        <x:v>-1412392</x:v>
      </x:c>
      <x:c r="G971" s="49" t="n">
        <x:v>16</x:v>
      </x:c>
      <x:c r="H971" s="49" t="n">
        <x:v>31</x:v>
      </x:c>
      <x:c r="I971" s="47" t="n">
        <x:v>-1875464</x:v>
      </x:c>
      <x:c r="J971" s="49" t="n">
        <x:v>548</x:v>
      </x:c>
      <x:c r="K971" s="47" t="n">
        <x:v>-205696</x:v>
      </x:c>
      <x:c r="L971" s="47" t="n">
        <x:v>79292.19354838709</x:v>
      </x:c>
      <x:c r="M971" s="48" t="n">
        <x:v>37.820212765957436</x:v>
      </x:c>
      <x:c r="N971" s="48" t="n">
        <x:v>341.9925531914894</x:v>
      </x:c>
      <x:c r="O971" s="49" t="n">
        <x:v>2</x:v>
      </x:c>
      <x:c r="P971" s="1" t="str">
        <x:v>同方向失敗後は新しい押し再進行を待つ・広め</x:v>
      </x:c>
      <x:c r="Q971" s="49" t="n">
        <x:v>0</x:v>
      </x:c>
      <x:c r="R971" s="50" t="n">
        <x:v>0.5888229678123297</x:v>
      </x:c>
      <x:c r="S971" s="50" t="n">
        <x:v>0.5736491791577445</x:v>
      </x:c>
      <x:c r="T971" s="1" t="str">
        <x:v>全場</x:v>
      </x:c>
      <x:c r="U971" s="49" t="n">
        <x:v>47</x:v>
      </x:c>
    </x:row>
    <x:row r="972" ht="22" customHeight="1">
      <x:c r="A972" s="1" t="str">
        <x:v>日経mini</x:v>
      </x:c>
      <x:c r="B972" s="1" t="str">
        <x:v>R06</x:v>
      </x:c>
      <x:c r="C972" s="1" t="str">
        <x:v>対照47場</x:v>
      </x:c>
      <x:c r="D972" s="47" t="n">
        <x:v>2314296</x:v>
      </x:c>
      <x:c r="E972" s="47" t="n">
        <x:v>3135410</x:v>
      </x:c>
      <x:c r="F972" s="47" t="n">
        <x:f>D972-E972</x:f>
        <x:v>-821114</x:v>
      </x:c>
      <x:c r="G972" s="49" t="n">
        <x:v>5</x:v>
      </x:c>
      <x:c r="H972" s="49" t="n">
        <x:v>19</x:v>
      </x:c>
      <x:c r="I972" s="47" t="n">
        <x:v>-1212956</x:v>
      </x:c>
      <x:c r="J972" s="49" t="n">
        <x:v>241</x:v>
      </x:c>
      <x:c r="K972" s="47" t="n">
        <x:v>-153232</x:v>
      </x:c>
      <x:c r="L972" s="47" t="n">
        <x:v>67629.15789473684</x:v>
      </x:c>
      <x:c r="M972" s="48" t="n">
        <x:v>31.08888888888889</x:v>
      </x:c>
      <x:c r="N972" s="48" t="n">
        <x:v>267.9736111111111</x:v>
      </x:c>
      <x:c r="O972" s="49" t="n">
        <x:v>2</x:v>
      </x:c>
      <x:c r="P972" s="1" t="str">
        <x:v>同方向失敗後は新しい押し再進行を待つ・広め</x:v>
      </x:c>
      <x:c r="Q972" s="49" t="n">
        <x:v>0</x:v>
      </x:c>
      <x:c r="R972" s="50" t="n">
        <x:v>0.6380324074074074</x:v>
      </x:c>
      <x:c r="S972" s="50" t="n">
        <x:v>0.6380324074074074</x:v>
      </x:c>
      <x:c r="T972" s="1" t="str">
        <x:v>デイ</x:v>
      </x:c>
      <x:c r="U972" s="49" t="n">
        <x:v>24</x:v>
      </x:c>
    </x:row>
    <x:row r="973" ht="22" customHeight="1">
      <x:c r="A973" s="1" t="str">
        <x:v>日経mini</x:v>
      </x:c>
      <x:c r="B973" s="1" t="str">
        <x:v>R06</x:v>
      </x:c>
      <x:c r="C973" s="1" t="str">
        <x:v>対照47場</x:v>
      </x:c>
      <x:c r="D973" s="47" t="n">
        <x:v>3082446</x:v>
      </x:c>
      <x:c r="E973" s="47" t="n">
        <x:v>3673724</x:v>
      </x:c>
      <x:c r="F973" s="47" t="n">
        <x:f>D973-E973</x:f>
        <x:v>-591278</x:v>
      </x:c>
      <x:c r="G973" s="49" t="n">
        <x:v>11</x:v>
      </x:c>
      <x:c r="H973" s="49" t="n">
        <x:v>12</x:v>
      </x:c>
      <x:c r="I973" s="47" t="n">
        <x:v>-878964</x:v>
      </x:c>
      <x:c r="J973" s="49" t="n">
        <x:v>307</x:v>
      </x:c>
      <x:c r="K973" s="47" t="n">
        <x:v>-205696</x:v>
      </x:c>
      <x:c r="L973" s="47" t="n">
        <x:v>97758.66666666667</x:v>
      </x:c>
      <x:c r="M973" s="48" t="n">
        <x:v>44.844202898550726</x:v>
      </x:c>
      <x:c r="N973" s="48" t="n">
        <x:v>419.22971014492754</x:v>
      </x:c>
      <x:c r="O973" s="49" t="n">
        <x:v>2</x:v>
      </x:c>
      <x:c r="P973" s="1" t="str">
        <x:v>同方向失敗後は新しい押し再進行を待つ・広め</x:v>
      </x:c>
      <x:c r="Q973" s="49" t="n">
        <x:v>0</x:v>
      </x:c>
      <x:c r="R973" s="50" t="n">
        <x:v>0.5374739873652916</x:v>
      </x:c>
      <x:c r="S973" s="50" t="n">
        <x:v>0.5374739873652917</x:v>
      </x:c>
      <x:c r="T973" s="1" t="str">
        <x:v>ナイト</x:v>
      </x:c>
      <x:c r="U973" s="49" t="n">
        <x:v>23</x:v>
      </x:c>
    </x:row>
    <x:row r="974" ht="22" customHeight="1">
      <x:c r="A974" s="1" t="str">
        <x:v>日経mini</x:v>
      </x:c>
      <x:c r="B974" s="1" t="str">
        <x:v>R06</x:v>
      </x:c>
      <x:c r="C974" s="1" t="str">
        <x:v>対照47場</x:v>
      </x:c>
      <x:c r="D974" s="47" t="n">
        <x:v>2538602</x:v>
      </x:c>
      <x:c r="E974" s="47" t="n">
        <x:v>3266796</x:v>
      </x:c>
      <x:c r="F974" s="47" t="n">
        <x:f>D974-E974</x:f>
        <x:v>-728194</x:v>
      </x:c>
      <x:c r="G974" s="49" t="n">
        <x:v>8</x:v>
      </x:c>
      <x:c r="H974" s="49" t="n">
        <x:v>14</x:v>
      </x:c>
      <x:c r="I974" s="47" t="n">
        <x:v>-992958</x:v>
      </x:c>
      <x:c r="J974" s="49" t="n">
        <x:v>261</x:v>
      </x:c>
      <x:c r="K974" s="47" t="n">
        <x:v>-153232</x:v>
      </x:c>
      <x:c r="L974" s="47" t="n">
        <x:v>81683.14285714286</x:v>
      </x:c>
      <x:c r="M974" s="48" t="n">
        <x:v>30.785606060606064</x:v>
      </x:c>
      <x:c r="N974" s="48" t="n">
        <x:v>342.5090909090909</x:v>
      </x:c>
      <x:c r="O974" s="49" t="n">
        <x:v>2</x:v>
      </x:c>
      <x:c r="P974" s="1" t="str">
        <x:v>同方向失敗後は新しい押し再進行を待つ・広め</x:v>
      </x:c>
      <x:c r="Q974" s="49" t="n">
        <x:v>0</x:v>
      </x:c>
      <x:c r="R974" s="50" t="n">
        <x:v>0.5633200133200131</x:v>
      </x:c>
      <x:c r="S974" s="50" t="n">
        <x:v>0.555693215339233</x:v>
      </x:c>
      <x:c r="T974" s="1" t="str">
        <x:v>上昇</x:v>
      </x:c>
      <x:c r="U974" s="49" t="n">
        <x:v>22</x:v>
      </x:c>
    </x:row>
    <x:row r="975" ht="22" customHeight="1">
      <x:c r="A975" s="1" t="str">
        <x:v>日経mini</x:v>
      </x:c>
      <x:c r="B975" s="1" t="str">
        <x:v>R06</x:v>
      </x:c>
      <x:c r="C975" s="1" t="str">
        <x:v>対照47場</x:v>
      </x:c>
      <x:c r="D975" s="47" t="n">
        <x:v>2858140</x:v>
      </x:c>
      <x:c r="E975" s="47" t="n">
        <x:v>3542338</x:v>
      </x:c>
      <x:c r="F975" s="47" t="n">
        <x:f>D975-E975</x:f>
        <x:v>-684198</x:v>
      </x:c>
      <x:c r="G975" s="49" t="n">
        <x:v>8</x:v>
      </x:c>
      <x:c r="H975" s="49" t="n">
        <x:v>17</x:v>
      </x:c>
      <x:c r="I975" s="47" t="n">
        <x:v>-1113424</x:v>
      </x:c>
      <x:c r="J975" s="49" t="n">
        <x:v>287</x:v>
      </x:c>
      <x:c r="K975" s="47" t="n">
        <x:v>-205696</x:v>
      </x:c>
      <x:c r="L975" s="47" t="n">
        <x:v>77323.17647058824</x:v>
      </x:c>
      <x:c r="M975" s="48" t="n">
        <x:v>44.010666666666665</x:v>
      </x:c>
      <x:c r="N975" s="48" t="n">
        <x:v>341.538</x:v>
      </x:c>
      <x:c r="O975" s="49" t="n">
        <x:v>2</x:v>
      </x:c>
      <x:c r="P975" s="1" t="str">
        <x:v>同方向失敗後は新しい押し再進行を待つ・広め</x:v>
      </x:c>
      <x:c r="Q975" s="49" t="n">
        <x:v>0</x:v>
      </x:c>
      <x:c r="R975" s="50" t="n">
        <x:v>0.6112655677655677</x:v>
      </x:c>
      <x:c r="S975" s="50" t="n">
        <x:v>0.59048755186722</x:v>
      </x:c>
      <x:c r="T975" s="1" t="str">
        <x:v>下落</x:v>
      </x:c>
      <x:c r="U975" s="49" t="n">
        <x:v>25</x:v>
      </x:c>
    </x:row>
    <x:row r="976" ht="22" customHeight="1">
      <x:c r="A976" s="1" t="str">
        <x:v>日経mini</x:v>
      </x:c>
      <x:c r="B976" s="1" t="str">
        <x:v>R06</x:v>
      </x:c>
      <x:c r="C976" s="1" t="str">
        <x:v>診断3場</x:v>
      </x:c>
      <x:c r="D976" s="47" t="n">
        <x:v>370152</x:v>
      </x:c>
      <x:c r="E976" s="47" t="n">
        <x:v>824776</x:v>
      </x:c>
      <x:c r="F976" s="47" t="n">
        <x:f>D976-E976</x:f>
        <x:v>-454624</x:v>
      </x:c>
      <x:c r="G976" s="49" t="n">
        <x:v>0</x:v>
      </x:c>
      <x:c r="H976" s="49" t="n">
        <x:v>3</x:v>
      </x:c>
      <x:c r="I976" s="47" t="n">
        <x:v>-454624</x:v>
      </x:c>
      <x:c r="J976" s="49" t="n">
        <x:v>56</x:v>
      </x:c>
      <x:c r="K976" s="47" t="n">
        <x:v>-225542</x:v>
      </x:c>
      <x:c r="L976" s="47" t="n">
        <x:v>151541.33333333334</x:v>
      </x:c>
      <x:c r="M976" s="48" t="n">
        <x:v>23.2</x:v>
      </x:c>
      <x:c r="N976" s="48" t="n">
        <x:v>432.4444444444445</x:v>
      </x:c>
      <x:c r="O976" s="49" t="n">
        <x:v>2</x:v>
      </x:c>
      <x:c r="P976" s="1" t="str">
        <x:v>同方向失敗後は新しい押し再進行を待つ・広め</x:v>
      </x:c>
      <x:c r="Q976" s="49" t="n">
        <x:v>0</x:v>
      </x:c>
      <x:c r="R976" s="50" t="n">
        <x:v>0.6706796906796907</x:v>
      </x:c>
      <x:c r="S976" s="50" t="n">
        <x:v>0.6552188552188551</x:v>
      </x:c>
      <x:c r="T976" s="1" t="str">
        <x:v>全場</x:v>
      </x:c>
      <x:c r="U976" s="49" t="n">
        <x:v>3</x:v>
      </x:c>
    </x:row>
    <x:row r="977" ht="22" customHeight="1">
      <x:c r="A977" s="1" t="str">
        <x:v>日経mini</x:v>
      </x:c>
      <x:c r="B977" s="1" t="str">
        <x:v>R06</x:v>
      </x:c>
      <x:c r="C977" s="1" t="str">
        <x:v>診断3場</x:v>
      </x:c>
      <x:c r="D977" s="47" t="n">
        <x:v>123538</x:v>
      </x:c>
      <x:c r="E977" s="47" t="n">
        <x:v>294002</x:v>
      </x:c>
      <x:c r="F977" s="47" t="n">
        <x:f>D977-E977</x:f>
        <x:v>-170464</x:v>
      </x:c>
      <x:c r="G977" s="49" t="n">
        <x:v>0</x:v>
      </x:c>
      <x:c r="H977" s="49" t="n">
        <x:v>1</x:v>
      </x:c>
      <x:c r="I977" s="47" t="n">
        <x:v>-170464</x:v>
      </x:c>
      <x:c r="J977" s="49" t="n">
        <x:v>16</x:v>
      </x:c>
      <x:c r="K977" s="47" t="n">
        <x:v>-170464</x:v>
      </x:c>
      <x:c r="L977" s="47" t="n">
        <x:v>170464</x:v>
      </x:c>
      <x:c r="M977" s="48" t="n">
        <x:v>23.116666666666667</x:v>
      </x:c>
      <x:c r="N977" s="48" t="n">
        <x:v>317.4</x:v>
      </x:c>
      <x:c r="O977" s="49" t="n">
        <x:v>2</x:v>
      </x:c>
      <x:c r="P977" s="1" t="str">
        <x:v>同方向失敗後は新しい押し再進行を待つ・広め</x:v>
      </x:c>
      <x:c r="Q977" s="49" t="n">
        <x:v>0</x:v>
      </x:c>
      <x:c r="R977" s="50" t="n">
        <x:v>0.7557142857142857</x:v>
      </x:c>
      <x:c r="S977" s="50" t="n">
        <x:v>0.7557142857142857</x:v>
      </x:c>
      <x:c r="T977" s="1" t="str">
        <x:v>デイ</x:v>
      </x:c>
      <x:c r="U977" s="49" t="n">
        <x:v>1</x:v>
      </x:c>
    </x:row>
    <x:row r="978" ht="22" customHeight="1">
      <x:c r="A978" s="1" t="str">
        <x:v>日経mini</x:v>
      </x:c>
      <x:c r="B978" s="1" t="str">
        <x:v>R06</x:v>
      </x:c>
      <x:c r="C978" s="1" t="str">
        <x:v>診断3場</x:v>
      </x:c>
      <x:c r="D978" s="47" t="n">
        <x:v>246614</x:v>
      </x:c>
      <x:c r="E978" s="47" t="n">
        <x:v>530774</x:v>
      </x:c>
      <x:c r="F978" s="47" t="n">
        <x:f>D978-E978</x:f>
        <x:v>-284160</x:v>
      </x:c>
      <x:c r="G978" s="49" t="n">
        <x:v>0</x:v>
      </x:c>
      <x:c r="H978" s="49" t="n">
        <x:v>2</x:v>
      </x:c>
      <x:c r="I978" s="47" t="n">
        <x:v>-284160</x:v>
      </x:c>
      <x:c r="J978" s="49" t="n">
        <x:v>40</x:v>
      </x:c>
      <x:c r="K978" s="47" t="n">
        <x:v>-225542</x:v>
      </x:c>
      <x:c r="L978" s="47" t="n">
        <x:v>142080</x:v>
      </x:c>
      <x:c r="M978" s="48" t="n">
        <x:v>23.241666666666667</x:v>
      </x:c>
      <x:c r="N978" s="48" t="n">
        <x:v>489.9666666666667</x:v>
      </x:c>
      <x:c r="O978" s="49" t="n">
        <x:v>2</x:v>
      </x:c>
      <x:c r="P978" s="1" t="str">
        <x:v>同方向失敗後は新しい押し再進行を待つ・広め</x:v>
      </x:c>
      <x:c r="Q978" s="49" t="n">
        <x:v>0</x:v>
      </x:c>
      <x:c r="R978" s="50" t="n">
        <x:v>0.6281623931623932</x:v>
      </x:c>
      <x:c r="S978" s="50" t="n">
        <x:v>0.6281623931623932</x:v>
      </x:c>
      <x:c r="T978" s="1" t="str">
        <x:v>ナイト</x:v>
      </x:c>
      <x:c r="U978" s="49" t="n">
        <x:v>2</x:v>
      </x:c>
    </x:row>
    <x:row r="979" ht="22" customHeight="1">
      <x:c r="A979" s="1" t="str">
        <x:v>日経mini</x:v>
      </x:c>
      <x:c r="B979" s="1" t="str">
        <x:v>R06</x:v>
      </x:c>
      <x:c r="C979" s="1" t="str">
        <x:v>診断3場</x:v>
      </x:c>
      <x:c r="D979" s="47" t="n">
        <x:v>248768</x:v>
      </x:c>
      <x:c r="E979" s="47" t="n">
        <x:v>477850</x:v>
      </x:c>
      <x:c r="F979" s="47" t="n">
        <x:f>D979-E979</x:f>
        <x:v>-229082</x:v>
      </x:c>
      <x:c r="G979" s="49" t="n">
        <x:v>0</x:v>
      </x:c>
      <x:c r="H979" s="49" t="n">
        <x:v>2</x:v>
      </x:c>
      <x:c r="I979" s="47" t="n">
        <x:v>-229082</x:v>
      </x:c>
      <x:c r="J979" s="49" t="n">
        <x:v>33</x:v>
      </x:c>
      <x:c r="K979" s="47" t="n">
        <x:v>-170464</x:v>
      </x:c>
      <x:c r="L979" s="47" t="n">
        <x:v>114541</x:v>
      </x:c>
      <x:c r="M979" s="48" t="n">
        <x:v>23.125</x:v>
      </x:c>
      <x:c r="N979" s="48" t="n">
        <x:v>408.3833333333333</x:v>
      </x:c>
      <x:c r="O979" s="49" t="n">
        <x:v>2</x:v>
      </x:c>
      <x:c r="P979" s="1" t="str">
        <x:v>同方向失敗後は新しい押し再進行を待つ・広め</x:v>
      </x:c>
      <x:c r="Q979" s="49" t="n">
        <x:v>0</x:v>
      </x:c>
      <x:c r="R979" s="50" t="n">
        <x:v>0.6979639804639804</x:v>
      </x:c>
      <x:c r="S979" s="50" t="n">
        <x:v>0.6806388888888889</x:v>
      </x:c>
      <x:c r="T979" s="1" t="str">
        <x:v>上昇</x:v>
      </x:c>
      <x:c r="U979" s="49" t="n">
        <x:v>2</x:v>
      </x:c>
    </x:row>
    <x:row r="980" ht="22" customHeight="1">
      <x:c r="A980" s="1" t="str">
        <x:v>日経mini</x:v>
      </x:c>
      <x:c r="B980" s="1" t="str">
        <x:v>R06</x:v>
      </x:c>
      <x:c r="C980" s="1" t="str">
        <x:v>診断3場</x:v>
      </x:c>
      <x:c r="D980" s="47" t="n">
        <x:v>121384</x:v>
      </x:c>
      <x:c r="E980" s="47" t="n">
        <x:v>346926</x:v>
      </x:c>
      <x:c r="F980" s="47" t="n">
        <x:f>D980-E980</x:f>
        <x:v>-225542</x:v>
      </x:c>
      <x:c r="G980" s="49" t="n">
        <x:v>0</x:v>
      </x:c>
      <x:c r="H980" s="49" t="n">
        <x:v>1</x:v>
      </x:c>
      <x:c r="I980" s="47" t="n">
        <x:v>-225542</x:v>
      </x:c>
      <x:c r="J980" s="49" t="n">
        <x:v>23</x:v>
      </x:c>
      <x:c r="K980" s="47" t="n">
        <x:v>-225542</x:v>
      </x:c>
      <x:c r="L980" s="47" t="n">
        <x:v>225542</x:v>
      </x:c>
      <x:c r="M980" s="48" t="n">
        <x:v>23.35</x:v>
      </x:c>
      <x:c r="N980" s="48" t="n">
        <x:v>480.56666666666666</x:v>
      </x:c>
      <x:c r="O980" s="49" t="n">
        <x:v>2</x:v>
      </x:c>
      <x:c r="P980" s="1" t="str">
        <x:v>同方向失敗後は新しい押し再進行を待つ・広め</x:v>
      </x:c>
      <x:c r="Q980" s="49" t="n">
        <x:v>0</x:v>
      </x:c>
      <x:c r="R980" s="50" t="n">
        <x:v>0.6161111111111112</x:v>
      </x:c>
      <x:c r="S980" s="50" t="n">
        <x:v>0.616111111111111</x:v>
      </x:c>
      <x:c r="T980" s="1" t="str">
        <x:v>下落</x:v>
      </x:c>
      <x:c r="U980" s="49" t="n">
        <x:v>1</x:v>
      </x:c>
    </x:row>
    <x:row r="981" ht="22" customHeight="1">
      <x:c r="A981" s="1" t="str">
        <x:v>日経mini</x:v>
      </x:c>
      <x:c r="B981" s="1" t="str">
        <x:v>V01</x:v>
      </x:c>
      <x:c r="C981" s="1" t="str">
        <x:v>全50場</x:v>
      </x:c>
      <x:c r="D981" s="47" t="n">
        <x:v>11227910</x:v>
      </x:c>
      <x:c r="E981" s="47" t="n">
        <x:v>12008290</x:v>
      </x:c>
      <x:c r="F981" s="47" t="n">
        <x:f>D981-E981</x:f>
        <x:v>-780380</x:v>
      </x:c>
      <x:c r="G981" s="49" t="n">
        <x:v>21</x:v>
      </x:c>
      <x:c r="H981" s="49" t="n">
        <x:v>29</x:v>
      </x:c>
      <x:c r="I981" s="47" t="n">
        <x:v>-1865068</x:v>
      </x:c>
      <x:c r="J981" s="49" t="n">
        <x:v>990</x:v>
      </x:c>
      <x:c r="K981" s="47" t="n">
        <x:v>-318230</x:v>
      </x:c>
      <x:c r="L981" s="47" t="n">
        <x:v>110720.20689655172</x:v>
      </x:c>
      <x:c r="M981" s="48" t="n">
        <x:v>36.943</x:v>
      </x:c>
      <x:c r="N981" s="48" t="n">
        <x:v>342.487</x:v>
      </x:c>
      <x:c r="O981" s="49" t="n">
        <x:v>7</x:v>
      </x:c>
      <x:c r="P981" s="1" t="str">
        <x:v>中期状態の基準併用：中期の支持状態を維持・標準</x:v>
      </x:c>
      <x:c r="Q981" s="49" t="n">
        <x:v>0</x:v>
      </x:c>
      <x:c r="R981" s="50" t="n">
        <x:v>0.6067144688644689</x:v>
      </x:c>
      <x:c r="S981" s="50" t="n">
        <x:v>0.5708116666666666</x:v>
      </x:c>
      <x:c r="T981" s="1" t="str">
        <x:v>全場</x:v>
      </x:c>
      <x:c r="U981" s="49" t="n">
        <x:v>50</x:v>
      </x:c>
    </x:row>
    <x:row r="982" ht="22" customHeight="1">
      <x:c r="A982" s="1" t="str">
        <x:v>日経mini</x:v>
      </x:c>
      <x:c r="B982" s="1" t="str">
        <x:v>V01</x:v>
      </x:c>
      <x:c r="C982" s="1" t="str">
        <x:v>全50場</x:v>
      </x:c>
      <x:c r="D982" s="47" t="n">
        <x:v>5938998</x:v>
      </x:c>
      <x:c r="E982" s="47" t="n">
        <x:v>5699708</x:v>
      </x:c>
      <x:c r="F982" s="47" t="n">
        <x:f>D982-E982</x:f>
        <x:v>239290</x:v>
      </x:c>
      <x:c r="G982" s="49" t="n">
        <x:v>12</x:v>
      </x:c>
      <x:c r="H982" s="49" t="n">
        <x:v>13</x:v>
      </x:c>
      <x:c r="I982" s="47" t="n">
        <x:v>-845398</x:v>
      </x:c>
      <x:c r="J982" s="49" t="n">
        <x:v>425</x:v>
      </x:c>
      <x:c r="K982" s="47" t="n">
        <x:v>-318230</x:v>
      </x:c>
      <x:c r="L982" s="47" t="n">
        <x:v>129686.76923076923</x:v>
      </x:c>
      <x:c r="M982" s="48" t="n">
        <x:v>30.77</x:v>
      </x:c>
      <x:c r="N982" s="48" t="n">
        <x:v>305.084</x:v>
      </x:c>
      <x:c r="O982" s="49" t="n">
        <x:v>7</x:v>
      </x:c>
      <x:c r="P982" s="1" t="str">
        <x:v>中期状態の基準併用：中期の支持状態を維持・標準</x:v>
      </x:c>
      <x:c r="Q982" s="49" t="n">
        <x:v>0</x:v>
      </x:c>
      <x:c r="R982" s="50" t="n">
        <x:v>0.7263904761904761</x:v>
      </x:c>
      <x:c r="S982" s="50" t="n">
        <x:v>0.7263904761904763</x:v>
      </x:c>
      <x:c r="T982" s="1" t="str">
        <x:v>デイ</x:v>
      </x:c>
      <x:c r="U982" s="49" t="n">
        <x:v>25</x:v>
      </x:c>
    </x:row>
    <x:row r="983" ht="22" customHeight="1">
      <x:c r="A983" s="1" t="str">
        <x:v>日経mini</x:v>
      </x:c>
      <x:c r="B983" s="1" t="str">
        <x:v>V01</x:v>
      </x:c>
      <x:c r="C983" s="1" t="str">
        <x:v>全50場</x:v>
      </x:c>
      <x:c r="D983" s="47" t="n">
        <x:v>5288912</x:v>
      </x:c>
      <x:c r="E983" s="47" t="n">
        <x:v>6308582</x:v>
      </x:c>
      <x:c r="F983" s="47" t="n">
        <x:f>D983-E983</x:f>
        <x:v>-1019670</x:v>
      </x:c>
      <x:c r="G983" s="49" t="n">
        <x:v>9</x:v>
      </x:c>
      <x:c r="H983" s="49" t="n">
        <x:v>16</x:v>
      </x:c>
      <x:c r="I983" s="47" t="n">
        <x:v>-1265508</x:v>
      </x:c>
      <x:c r="J983" s="49" t="n">
        <x:v>565</x:v>
      </x:c>
      <x:c r="K983" s="47" t="n">
        <x:v>-190616</x:v>
      </x:c>
      <x:c r="L983" s="47" t="n">
        <x:v>95309.875</x:v>
      </x:c>
      <x:c r="M983" s="48" t="n">
        <x:v>43.11600000000001</x:v>
      </x:c>
      <x:c r="N983" s="48" t="n">
        <x:v>379.8900000000001</x:v>
      </x:c>
      <x:c r="O983" s="49" t="n">
        <x:v>7</x:v>
      </x:c>
      <x:c r="P983" s="1" t="str">
        <x:v>中期状態の基準併用：中期の支持状態を維持・標準</x:v>
      </x:c>
      <x:c r="Q983" s="49" t="n">
        <x:v>0</x:v>
      </x:c>
      <x:c r="R983" s="50" t="n">
        <x:v>0.4870384615384616</x:v>
      </x:c>
      <x:c r="S983" s="50" t="n">
        <x:v>0.48703846153846153</x:v>
      </x:c>
      <x:c r="T983" s="1" t="str">
        <x:v>ナイト</x:v>
      </x:c>
      <x:c r="U983" s="49" t="n">
        <x:v>25</x:v>
      </x:c>
    </x:row>
    <x:row r="984" ht="22" customHeight="1">
      <x:c r="A984" s="1" t="str">
        <x:v>日経mini</x:v>
      </x:c>
      <x:c r="B984" s="1" t="str">
        <x:v>V01</x:v>
      </x:c>
      <x:c r="C984" s="1" t="str">
        <x:v>全50場</x:v>
      </x:c>
      <x:c r="D984" s="47" t="n">
        <x:v>4869682</x:v>
      </x:c>
      <x:c r="E984" s="47" t="n">
        <x:v>5755720</x:v>
      </x:c>
      <x:c r="F984" s="47" t="n">
        <x:f>D984-E984</x:f>
        <x:v>-886038</x:v>
      </x:c>
      <x:c r="G984" s="49" t="n">
        <x:v>10</x:v>
      </x:c>
      <x:c r="H984" s="49" t="n">
        <x:v>14</x:v>
      </x:c>
      <x:c r="I984" s="47" t="n">
        <x:v>-1285420</x:v>
      </x:c>
      <x:c r="J984" s="49" t="n">
        <x:v>466</x:v>
      </x:c>
      <x:c r="K984" s="47" t="n">
        <x:v>-310772</x:v>
      </x:c>
      <x:c r="L984" s="47" t="n">
        <x:v>118743.28571428571</x:v>
      </x:c>
      <x:c r="M984" s="48" t="n">
        <x:v>30.147222222222222</x:v>
      </x:c>
      <x:c r="N984" s="48" t="n">
        <x:v>342.6159722222222</x:v>
      </x:c>
      <x:c r="O984" s="49" t="n">
        <x:v>7</x:v>
      </x:c>
      <x:c r="P984" s="1" t="str">
        <x:v>中期状態の基準併用：中期の支持状態を維持・標準</x:v>
      </x:c>
      <x:c r="Q984" s="49" t="n">
        <x:v>0</x:v>
      </x:c>
      <x:c r="R984" s="50" t="n">
        <x:v>0.5867718508343508</x:v>
      </x:c>
      <x:c r="S984" s="50" t="n">
        <x:v>0.5570991418247515</x:v>
      </x:c>
      <x:c r="T984" s="1" t="str">
        <x:v>上昇</x:v>
      </x:c>
      <x:c r="U984" s="49" t="n">
        <x:v>24</x:v>
      </x:c>
    </x:row>
    <x:row r="985" ht="22" customHeight="1">
      <x:c r="A985" s="1" t="str">
        <x:v>日経mini</x:v>
      </x:c>
      <x:c r="B985" s="1" t="str">
        <x:v>V01</x:v>
      </x:c>
      <x:c r="C985" s="1" t="str">
        <x:v>全50場</x:v>
      </x:c>
      <x:c r="D985" s="47" t="n">
        <x:v>6358228</x:v>
      </x:c>
      <x:c r="E985" s="47" t="n">
        <x:v>6252570</x:v>
      </x:c>
      <x:c r="F985" s="47" t="n">
        <x:f>D985-E985</x:f>
        <x:v>105658</x:v>
      </x:c>
      <x:c r="G985" s="49" t="n">
        <x:v>11</x:v>
      </x:c>
      <x:c r="H985" s="49" t="n">
        <x:v>15</x:v>
      </x:c>
      <x:c r="I985" s="47" t="n">
        <x:v>-952952</x:v>
      </x:c>
      <x:c r="J985" s="49" t="n">
        <x:v>524</x:v>
      </x:c>
      <x:c r="K985" s="47" t="n">
        <x:v>-318230</x:v>
      </x:c>
      <x:c r="L985" s="47" t="n">
        <x:v>103232</x:v>
      </x:c>
      <x:c r="M985" s="48" t="n">
        <x:v>43.21602564102564</x:v>
      </x:c>
      <x:c r="N985" s="48" t="n">
        <x:v>342.3679487179487</x:v>
      </x:c>
      <x:c r="O985" s="49" t="n">
        <x:v>7</x:v>
      </x:c>
      <x:c r="P985" s="1" t="str">
        <x:v>中期状態の基準併用：中期の支持状態を維持・標準</x:v>
      </x:c>
      <x:c r="Q985" s="49" t="n">
        <x:v>0</x:v>
      </x:c>
      <x:c r="R985" s="50" t="n">
        <x:v>0.6251230393538086</x:v>
      </x:c>
      <x:c r="S985" s="50" t="n">
        <x:v>0.5840923009623797</x:v>
      </x:c>
      <x:c r="T985" s="1" t="str">
        <x:v>下落</x:v>
      </x:c>
      <x:c r="U985" s="49" t="n">
        <x:v>26</x:v>
      </x:c>
    </x:row>
    <x:row r="986" ht="22" customHeight="1">
      <x:c r="A986" s="1" t="str">
        <x:v>日経mini</x:v>
      </x:c>
      <x:c r="B986" s="1" t="str">
        <x:v>V01</x:v>
      </x:c>
      <x:c r="C986" s="1" t="str">
        <x:v>対照47場</x:v>
      </x:c>
      <x:c r="D986" s="47" t="n">
        <x:v>10540220</x:v>
      </x:c>
      <x:c r="E986" s="47" t="n">
        <x:v>10778436</x:v>
      </x:c>
      <x:c r="F986" s="47" t="n">
        <x:f>D986-E986</x:f>
        <x:v>-238216</x:v>
      </x:c>
      <x:c r="G986" s="49" t="n">
        <x:v>21</x:v>
      </x:c>
      <x:c r="H986" s="49" t="n">
        <x:v>26</x:v>
      </x:c>
      <x:c r="I986" s="47" t="n">
        <x:v>-1322904</x:v>
      </x:c>
      <x:c r="J986" s="49" t="n">
        <x:v>904</x:v>
      </x:c>
      <x:c r="K986" s="47" t="n">
        <x:v>-318230</x:v>
      </x:c>
      <x:c r="L986" s="47" t="n">
        <x:v>102643.15384615384</x:v>
      </x:c>
      <x:c r="M986" s="48" t="n">
        <x:v>37.820212765957436</x:v>
      </x:c>
      <x:c r="N986" s="48" t="n">
        <x:v>337.61595744680847</x:v>
      </x:c>
      <x:c r="O986" s="49" t="n">
        <x:v>7</x:v>
      </x:c>
      <x:c r="P986" s="1" t="str">
        <x:v>中期状態の基準併用：中期の支持状態を維持・標準</x:v>
      </x:c>
      <x:c r="Q986" s="49" t="n">
        <x:v>0</x:v>
      </x:c>
      <x:c r="R986" s="50" t="n">
        <x:v>0.6043505962122985</x:v>
      </x:c>
      <x:c r="S986" s="50" t="n">
        <x:v>0.5663079942897931</x:v>
      </x:c>
      <x:c r="T986" s="1" t="str">
        <x:v>全場</x:v>
      </x:c>
      <x:c r="U986" s="49" t="n">
        <x:v>47</x:v>
      </x:c>
    </x:row>
    <x:row r="987" ht="22" customHeight="1">
      <x:c r="A987" s="1" t="str">
        <x:v>日経mini</x:v>
      </x:c>
      <x:c r="B987" s="1" t="str">
        <x:v>V01</x:v>
      </x:c>
      <x:c r="C987" s="1" t="str">
        <x:v>対照47場</x:v>
      </x:c>
      <x:c r="D987" s="47" t="n">
        <x:v>5769768</x:v>
      </x:c>
      <x:c r="E987" s="47" t="n">
        <x:v>5219706</x:v>
      </x:c>
      <x:c r="F987" s="47" t="n">
        <x:f>D987-E987</x:f>
        <x:v>550062</x:v>
      </x:c>
      <x:c r="G987" s="49" t="n">
        <x:v>12</x:v>
      </x:c>
      <x:c r="H987" s="49" t="n">
        <x:v>12</x:v>
      </x:c>
      <x:c r="I987" s="47" t="n">
        <x:v>-534626</x:v>
      </x:c>
      <x:c r="J987" s="49" t="n">
        <x:v>402</x:v>
      </x:c>
      <x:c r="K987" s="47" t="n">
        <x:v>-318230</x:v>
      </x:c>
      <x:c r="L987" s="47" t="n">
        <x:v>114596.33333333333</x:v>
      </x:c>
      <x:c r="M987" s="48" t="n">
        <x:v>31.08888888888889</x:v>
      </x:c>
      <x:c r="N987" s="48" t="n">
        <x:v>305.64444444444445</x:v>
      </x:c>
      <x:c r="O987" s="49" t="n">
        <x:v>7</x:v>
      </x:c>
      <x:c r="P987" s="1" t="str">
        <x:v>中期状態の基準併用：中期の支持状態を維持・標準</x:v>
      </x:c>
      <x:c r="Q987" s="49" t="n">
        <x:v>0</x:v>
      </x:c>
      <x:c r="R987" s="50" t="n">
        <x:v>0.7277248677248677</x:v>
      </x:c>
      <x:c r="S987" s="50" t="n">
        <x:v>0.7277248677248678</x:v>
      </x:c>
      <x:c r="T987" s="1" t="str">
        <x:v>デイ</x:v>
      </x:c>
      <x:c r="U987" s="49" t="n">
        <x:v>24</x:v>
      </x:c>
    </x:row>
    <x:row r="988" ht="22" customHeight="1">
      <x:c r="A988" s="1" t="str">
        <x:v>日経mini</x:v>
      </x:c>
      <x:c r="B988" s="1" t="str">
        <x:v>V01</x:v>
      </x:c>
      <x:c r="C988" s="1" t="str">
        <x:v>対照47場</x:v>
      </x:c>
      <x:c r="D988" s="47" t="n">
        <x:v>4770452</x:v>
      </x:c>
      <x:c r="E988" s="47" t="n">
        <x:v>5558730</x:v>
      </x:c>
      <x:c r="F988" s="47" t="n">
        <x:f>D988-E988</x:f>
        <x:v>-788278</x:v>
      </x:c>
      <x:c r="G988" s="49" t="n">
        <x:v>9</x:v>
      </x:c>
      <x:c r="H988" s="49" t="n">
        <x:v>14</x:v>
      </x:c>
      <x:c r="I988" s="47" t="n">
        <x:v>-1034116</x:v>
      </x:c>
      <x:c r="J988" s="49" t="n">
        <x:v>502</x:v>
      </x:c>
      <x:c r="K988" s="47" t="n">
        <x:v>-190616</x:v>
      </x:c>
      <x:c r="L988" s="47" t="n">
        <x:v>92397.57142857143</x:v>
      </x:c>
      <x:c r="M988" s="48" t="n">
        <x:v>44.844202898550726</x:v>
      </x:c>
      <x:c r="N988" s="48" t="n">
        <x:v>370.9775362318841</x:v>
      </x:c>
      <x:c r="O988" s="49" t="n">
        <x:v>7</x:v>
      </x:c>
      <x:c r="P988" s="1" t="str">
        <x:v>中期状態の基準併用：中期の支持状態を維持・標準</x:v>
      </x:c>
      <x:c r="Q988" s="49" t="n">
        <x:v>0</x:v>
      </x:c>
      <x:c r="R988" s="50" t="n">
        <x:v>0.4756122259383129</x:v>
      </x:c>
      <x:c r="S988" s="50" t="n">
        <x:v>0.4756122259383129</x:v>
      </x:c>
      <x:c r="T988" s="1" t="str">
        <x:v>ナイト</x:v>
      </x:c>
      <x:c r="U988" s="49" t="n">
        <x:v>23</x:v>
      </x:c>
    </x:row>
    <x:row r="989" ht="22" customHeight="1">
      <x:c r="A989" s="1" t="str">
        <x:v>日経mini</x:v>
      </x:c>
      <x:c r="B989" s="1" t="str">
        <x:v>V01</x:v>
      </x:c>
      <x:c r="C989" s="1" t="str">
        <x:v>対照47場</x:v>
      </x:c>
      <x:c r="D989" s="47" t="n">
        <x:v>4496914</x:v>
      </x:c>
      <x:c r="E989" s="47" t="n">
        <x:v>5006792</x:v>
      </x:c>
      <x:c r="F989" s="47" t="n">
        <x:f>D989-E989</x:f>
        <x:v>-509878</x:v>
      </x:c>
      <x:c r="G989" s="49" t="n">
        <x:v>10</x:v>
      </x:c>
      <x:c r="H989" s="49" t="n">
        <x:v>12</x:v>
      </x:c>
      <x:c r="I989" s="47" t="n">
        <x:v>-909260</x:v>
      </x:c>
      <x:c r="J989" s="49" t="n">
        <x:v>416</x:v>
      </x:c>
      <x:c r="K989" s="47" t="n">
        <x:v>-222230</x:v>
      </x:c>
      <x:c r="L989" s="47" t="n">
        <x:v>107187.16666666667</x:v>
      </x:c>
      <x:c r="M989" s="48" t="n">
        <x:v>30.785606060606064</x:v>
      </x:c>
      <x:c r="N989" s="48" t="n">
        <x:v>336.57954545454555</x:v>
      </x:c>
      <x:c r="O989" s="49" t="n">
        <x:v>7</x:v>
      </x:c>
      <x:c r="P989" s="1" t="str">
        <x:v>中期状態の基準併用：中期の支持状態を維持・標準</x:v>
      </x:c>
      <x:c r="Q989" s="49" t="n">
        <x:v>0</x:v>
      </x:c>
      <x:c r="R989" s="50" t="n">
        <x:v>0.5778767066267068</x:v>
      </x:c>
      <x:c r="S989" s="50" t="n">
        <x:v>0.5460730088495576</x:v>
      </x:c>
      <x:c r="T989" s="1" t="str">
        <x:v>上昇</x:v>
      </x:c>
      <x:c r="U989" s="49" t="n">
        <x:v>22</x:v>
      </x:c>
    </x:row>
    <x:row r="990" ht="22" customHeight="1">
      <x:c r="A990" s="1" t="str">
        <x:v>日経mini</x:v>
      </x:c>
      <x:c r="B990" s="1" t="str">
        <x:v>V01</x:v>
      </x:c>
      <x:c r="C990" s="1" t="str">
        <x:v>対照47場</x:v>
      </x:c>
      <x:c r="D990" s="47" t="n">
        <x:v>6043306</x:v>
      </x:c>
      <x:c r="E990" s="47" t="n">
        <x:v>5771644</x:v>
      </x:c>
      <x:c r="F990" s="47" t="n">
        <x:f>D990-E990</x:f>
        <x:v>271662</x:v>
      </x:c>
      <x:c r="G990" s="49" t="n">
        <x:v>11</x:v>
      </x:c>
      <x:c r="H990" s="49" t="n">
        <x:v>14</x:v>
      </x:c>
      <x:c r="I990" s="47" t="n">
        <x:v>-786948</x:v>
      </x:c>
      <x:c r="J990" s="49" t="n">
        <x:v>488</x:v>
      </x:c>
      <x:c r="K990" s="47" t="n">
        <x:v>-318230</x:v>
      </x:c>
      <x:c r="L990" s="47" t="n">
        <x:v>98748.28571428571</x:v>
      </x:c>
      <x:c r="M990" s="48" t="n">
        <x:v>44.010666666666665</x:v>
      </x:c>
      <x:c r="N990" s="48" t="n">
        <x:v>338.52799999999996</x:v>
      </x:c>
      <x:c r="O990" s="49" t="n">
        <x:v>7</x:v>
      </x:c>
      <x:c r="P990" s="1" t="str">
        <x:v>中期状態の基準併用：中期の支持状態を維持・標準</x:v>
      </x:c>
      <x:c r="Q990" s="49" t="n">
        <x:v>0</x:v>
      </x:c>
      <x:c r="R990" s="50" t="n">
        <x:v>0.627647619047619</x:v>
      </x:c>
      <x:c r="S990" s="50" t="n">
        <x:v>0.585283540802213</x:v>
      </x:c>
      <x:c r="T990" s="1" t="str">
        <x:v>下落</x:v>
      </x:c>
      <x:c r="U990" s="49" t="n">
        <x:v>25</x:v>
      </x:c>
    </x:row>
    <x:row r="991" ht="22" customHeight="1">
      <x:c r="A991" s="1" t="str">
        <x:v>日経mini</x:v>
      </x:c>
      <x:c r="B991" s="1" t="str">
        <x:v>V01</x:v>
      </x:c>
      <x:c r="C991" s="1" t="str">
        <x:v>診断3場</x:v>
      </x:c>
      <x:c r="D991" s="47" t="n">
        <x:v>687690</x:v>
      </x:c>
      <x:c r="E991" s="47" t="n">
        <x:v>1229854</x:v>
      </x:c>
      <x:c r="F991" s="47" t="n">
        <x:f>D991-E991</x:f>
        <x:v>-542164</x:v>
      </x:c>
      <x:c r="G991" s="49" t="n">
        <x:v>0</x:v>
      </x:c>
      <x:c r="H991" s="49" t="n">
        <x:v>3</x:v>
      </x:c>
      <x:c r="I991" s="47" t="n">
        <x:v>-542164</x:v>
      </x:c>
      <x:c r="J991" s="49" t="n">
        <x:v>86</x:v>
      </x:c>
      <x:c r="K991" s="47" t="n">
        <x:v>-310772</x:v>
      </x:c>
      <x:c r="L991" s="47" t="n">
        <x:v>180721.33333333334</x:v>
      </x:c>
      <x:c r="M991" s="48" t="n">
        <x:v>23.2</x:v>
      </x:c>
      <x:c r="N991" s="48" t="n">
        <x:v>418.8</x:v>
      </x:c>
      <x:c r="O991" s="49" t="n">
        <x:v>7</x:v>
      </x:c>
      <x:c r="P991" s="1" t="str">
        <x:v>中期状態の基準併用：中期の支持状態を維持・標準</x:v>
      </x:c>
      <x:c r="Q991" s="49" t="n">
        <x:v>0</x:v>
      </x:c>
      <x:c r="R991" s="50" t="n">
        <x:v>0.6437484737484737</x:v>
      </x:c>
      <x:c r="S991" s="50" t="n">
        <x:v>0.6345454545454546</x:v>
      </x:c>
      <x:c r="T991" s="1" t="str">
        <x:v>全場</x:v>
      </x:c>
      <x:c r="U991" s="49" t="n">
        <x:v>3</x:v>
      </x:c>
    </x:row>
    <x:row r="992" ht="22" customHeight="1">
      <x:c r="A992" s="1" t="str">
        <x:v>日経mini</x:v>
      </x:c>
      <x:c r="B992" s="1" t="str">
        <x:v>V01</x:v>
      </x:c>
      <x:c r="C992" s="1" t="str">
        <x:v>診断3場</x:v>
      </x:c>
      <x:c r="D992" s="47" t="n">
        <x:v>169230</x:v>
      </x:c>
      <x:c r="E992" s="47" t="n">
        <x:v>480002</x:v>
      </x:c>
      <x:c r="F992" s="47" t="n">
        <x:f>D992-E992</x:f>
        <x:v>-310772</x:v>
      </x:c>
      <x:c r="G992" s="49" t="n">
        <x:v>0</x:v>
      </x:c>
      <x:c r="H992" s="49" t="n">
        <x:v>1</x:v>
      </x:c>
      <x:c r="I992" s="47" t="n">
        <x:v>-310772</x:v>
      </x:c>
      <x:c r="J992" s="49" t="n">
        <x:v>23</x:v>
      </x:c>
      <x:c r="K992" s="47" t="n">
        <x:v>-310772</x:v>
      </x:c>
      <x:c r="L992" s="47" t="n">
        <x:v>310772</x:v>
      </x:c>
      <x:c r="M992" s="48" t="n">
        <x:v>23.116666666666667</x:v>
      </x:c>
      <x:c r="N992" s="48" t="n">
        <x:v>291.6333333333333</x:v>
      </x:c>
      <x:c r="O992" s="49" t="n">
        <x:v>7</x:v>
      </x:c>
      <x:c r="P992" s="1" t="str">
        <x:v>中期状態の基準併用：中期の支持状態を維持・標準</x:v>
      </x:c>
      <x:c r="Q992" s="49" t="n">
        <x:v>0</x:v>
      </x:c>
      <x:c r="R992" s="50" t="n">
        <x:v>0.6943650793650794</x:v>
      </x:c>
      <x:c r="S992" s="50" t="n">
        <x:v>0.6943650793650793</x:v>
      </x:c>
      <x:c r="T992" s="1" t="str">
        <x:v>デイ</x:v>
      </x:c>
      <x:c r="U992" s="49" t="n">
        <x:v>1</x:v>
      </x:c>
    </x:row>
    <x:row r="993" ht="22" customHeight="1">
      <x:c r="A993" s="1" t="str">
        <x:v>日経mini</x:v>
      </x:c>
      <x:c r="B993" s="1" t="str">
        <x:v>V01</x:v>
      </x:c>
      <x:c r="C993" s="1" t="str">
        <x:v>診断3場</x:v>
      </x:c>
      <x:c r="D993" s="47" t="n">
        <x:v>518460</x:v>
      </x:c>
      <x:c r="E993" s="47" t="n">
        <x:v>749852</x:v>
      </x:c>
      <x:c r="F993" s="47" t="n">
        <x:f>D993-E993</x:f>
        <x:v>-231392</x:v>
      </x:c>
      <x:c r="G993" s="49" t="n">
        <x:v>0</x:v>
      </x:c>
      <x:c r="H993" s="49" t="n">
        <x:v>2</x:v>
      </x:c>
      <x:c r="I993" s="47" t="n">
        <x:v>-231392</x:v>
      </x:c>
      <x:c r="J993" s="49" t="n">
        <x:v>63</x:v>
      </x:c>
      <x:c r="K993" s="47" t="n">
        <x:v>-166004</x:v>
      </x:c>
      <x:c r="L993" s="47" t="n">
        <x:v>115696</x:v>
      </x:c>
      <x:c r="M993" s="48" t="n">
        <x:v>23.241666666666667</x:v>
      </x:c>
      <x:c r="N993" s="48" t="n">
        <x:v>482.3833333333333</x:v>
      </x:c>
      <x:c r="O993" s="49" t="n">
        <x:v>7</x:v>
      </x:c>
      <x:c r="P993" s="1" t="str">
        <x:v>中期状態の基準併用：中期の支持状態を維持・標準</x:v>
      </x:c>
      <x:c r="Q993" s="49" t="n">
        <x:v>0</x:v>
      </x:c>
      <x:c r="R993" s="50" t="n">
        <x:v>0.6184401709401709</x:v>
      </x:c>
      <x:c r="S993" s="50" t="n">
        <x:v>0.6184401709401709</x:v>
      </x:c>
      <x:c r="T993" s="1" t="str">
        <x:v>ナイト</x:v>
      </x:c>
      <x:c r="U993" s="49" t="n">
        <x:v>2</x:v>
      </x:c>
    </x:row>
    <x:row r="994" ht="22" customHeight="1">
      <x:c r="A994" s="1" t="str">
        <x:v>日経mini</x:v>
      </x:c>
      <x:c r="B994" s="1" t="str">
        <x:v>V01</x:v>
      </x:c>
      <x:c r="C994" s="1" t="str">
        <x:v>診断3場</x:v>
      </x:c>
      <x:c r="D994" s="47" t="n">
        <x:v>372768</x:v>
      </x:c>
      <x:c r="E994" s="47" t="n">
        <x:v>748928</x:v>
      </x:c>
      <x:c r="F994" s="47" t="n">
        <x:f>D994-E994</x:f>
        <x:v>-376160</x:v>
      </x:c>
      <x:c r="G994" s="49" t="n">
        <x:v>0</x:v>
      </x:c>
      <x:c r="H994" s="49" t="n">
        <x:v>2</x:v>
      </x:c>
      <x:c r="I994" s="47" t="n">
        <x:v>-376160</x:v>
      </x:c>
      <x:c r="J994" s="49" t="n">
        <x:v>50</x:v>
      </x:c>
      <x:c r="K994" s="47" t="n">
        <x:v>-310772</x:v>
      </x:c>
      <x:c r="L994" s="47" t="n">
        <x:v>188080</x:v>
      </x:c>
      <x:c r="M994" s="48" t="n">
        <x:v>23.125</x:v>
      </x:c>
      <x:c r="N994" s="48" t="n">
        <x:v>409.01666666666665</x:v>
      </x:c>
      <x:c r="O994" s="49" t="n">
        <x:v>7</x:v>
      </x:c>
      <x:c r="P994" s="1" t="str">
        <x:v>中期状態の基準併用：中期の支持状態を維持・標準</x:v>
      </x:c>
      <x:c r="Q994" s="49" t="n">
        <x:v>0</x:v>
      </x:c>
      <x:c r="R994" s="50" t="n">
        <x:v>0.6846184371184372</x:v>
      </x:c>
      <x:c r="S994" s="50" t="n">
        <x:v>0.6816944444444444</x:v>
      </x:c>
      <x:c r="T994" s="1" t="str">
        <x:v>上昇</x:v>
      </x:c>
      <x:c r="U994" s="49" t="n">
        <x:v>2</x:v>
      </x:c>
    </x:row>
    <x:row r="995" ht="22" customHeight="1">
      <x:c r="A995" s="1" t="str">
        <x:v>日経mini</x:v>
      </x:c>
      <x:c r="B995" s="1" t="str">
        <x:v>V01</x:v>
      </x:c>
      <x:c r="C995" s="1" t="str">
        <x:v>診断3場</x:v>
      </x:c>
      <x:c r="D995" s="47" t="n">
        <x:v>314922</x:v>
      </x:c>
      <x:c r="E995" s="47" t="n">
        <x:v>480926</x:v>
      </x:c>
      <x:c r="F995" s="47" t="n">
        <x:f>D995-E995</x:f>
        <x:v>-166004</x:v>
      </x:c>
      <x:c r="G995" s="49" t="n">
        <x:v>0</x:v>
      </x:c>
      <x:c r="H995" s="49" t="n">
        <x:v>1</x:v>
      </x:c>
      <x:c r="I995" s="47" t="n">
        <x:v>-166004</x:v>
      </x:c>
      <x:c r="J995" s="49" t="n">
        <x:v>36</x:v>
      </x:c>
      <x:c r="K995" s="47" t="n">
        <x:v>-166004</x:v>
      </x:c>
      <x:c r="L995" s="47" t="n">
        <x:v>166004</x:v>
      </x:c>
      <x:c r="M995" s="48" t="n">
        <x:v>23.35</x:v>
      </x:c>
      <x:c r="N995" s="48" t="n">
        <x:v>438.3666666666667</x:v>
      </x:c>
      <x:c r="O995" s="49" t="n">
        <x:v>7</x:v>
      </x:c>
      <x:c r="P995" s="1" t="str">
        <x:v>中期状態の基準併用：中期の支持状態を維持・標準</x:v>
      </x:c>
      <x:c r="Q995" s="49" t="n">
        <x:v>0</x:v>
      </x:c>
      <x:c r="R995" s="50" t="n">
        <x:v>0.562008547008547</x:v>
      </x:c>
      <x:c r="S995" s="50" t="n">
        <x:v>0.562008547008547</x:v>
      </x:c>
      <x:c r="T995" s="1" t="str">
        <x:v>下落</x:v>
      </x:c>
      <x:c r="U995" s="49" t="n">
        <x:v>1</x:v>
      </x:c>
    </x:row>
    <x:row r="996" ht="22" customHeight="1">
      <x:c r="A996" s="1" t="str">
        <x:v>日経mini</x:v>
      </x:c>
      <x:c r="B996" s="1" t="str">
        <x:v>V02</x:v>
      </x:c>
      <x:c r="C996" s="1" t="str">
        <x:v>全50場</x:v>
      </x:c>
      <x:c r="D996" s="47" t="n">
        <x:v>10342234</x:v>
      </x:c>
      <x:c r="E996" s="47" t="n">
        <x:v>10179962</x:v>
      </x:c>
      <x:c r="F996" s="47" t="n">
        <x:f>D996-E996</x:f>
        <x:v>162272</x:v>
      </x:c>
      <x:c r="G996" s="49" t="n">
        <x:v>22</x:v>
      </x:c>
      <x:c r="H996" s="49" t="n">
        <x:v>28</x:v>
      </x:c>
      <x:c r="I996" s="47" t="n">
        <x:v>-939110</x:v>
      </x:c>
      <x:c r="J996" s="49" t="n">
        <x:v>752</x:v>
      </x:c>
      <x:c r="K996" s="47" t="n">
        <x:v>-265306</x:v>
      </x:c>
      <x:c r="L996" s="47" t="n">
        <x:v>96294.57142857143</x:v>
      </x:c>
      <x:c r="M996" s="48" t="n">
        <x:v>36.943</x:v>
      </x:c>
      <x:c r="N996" s="48" t="n">
        <x:v>392.90200000000004</x:v>
      </x:c>
      <x:c r="O996" s="49" t="n">
        <x:v>7</x:v>
      </x:c>
      <x:c r="P996" s="1" t="str">
        <x:v>中期状態の基準併用：中期の支持状態を維持・広め</x:v>
      </x:c>
      <x:c r="Q996" s="49" t="n">
        <x:v>0</x:v>
      </x:c>
      <x:c r="R996" s="50" t="n">
        <x:v>0.6833395604395603</x:v>
      </x:c>
      <x:c r="S996" s="50" t="n">
        <x:v>0.6548366666666666</x:v>
      </x:c>
      <x:c r="T996" s="1" t="str">
        <x:v>全場</x:v>
      </x:c>
      <x:c r="U996" s="49" t="n">
        <x:v>50</x:v>
      </x:c>
    </x:row>
    <x:row r="997" ht="22" customHeight="1">
      <x:c r="A997" s="1" t="str">
        <x:v>日経mini</x:v>
      </x:c>
      <x:c r="B997" s="1" t="str">
        <x:v>V02</x:v>
      </x:c>
      <x:c r="C997" s="1" t="str">
        <x:v>全50場</x:v>
      </x:c>
      <x:c r="D997" s="47" t="n">
        <x:v>5509620</x:v>
      </x:c>
      <x:c r="E997" s="47" t="n">
        <x:v>4972624</x:v>
      </x:c>
      <x:c r="F997" s="47" t="n">
        <x:f>D997-E997</x:f>
        <x:v>536996</x:v>
      </x:c>
      <x:c r="G997" s="49" t="n">
        <x:v>10</x:v>
      </x:c>
      <x:c r="H997" s="49" t="n">
        <x:v>15</x:v>
      </x:c>
      <x:c r="I997" s="47" t="n">
        <x:v>-564386</x:v>
      </x:c>
      <x:c r="J997" s="49" t="n">
        <x:v>336</x:v>
      </x:c>
      <x:c r="K997" s="47" t="n">
        <x:v>-265306</x:v>
      </x:c>
      <x:c r="L997" s="47" t="n">
        <x:v>96846</x:v>
      </x:c>
      <x:c r="M997" s="48" t="n">
        <x:v>30.77</x:v>
      </x:c>
      <x:c r="N997" s="48" t="n">
        <x:v>326.90666666666664</x:v>
      </x:c>
      <x:c r="O997" s="49" t="n">
        <x:v>7</x:v>
      </x:c>
      <x:c r="P997" s="1" t="str">
        <x:v>中期状態の基準併用：中期の支持状態を維持・広め</x:v>
      </x:c>
      <x:c r="Q997" s="49" t="n">
        <x:v>0</x:v>
      </x:c>
      <x:c r="R997" s="50" t="n">
        <x:v>0.7783492063492063</x:v>
      </x:c>
      <x:c r="S997" s="50" t="n">
        <x:v>0.7783492063492063</x:v>
      </x:c>
      <x:c r="T997" s="1" t="str">
        <x:v>デイ</x:v>
      </x:c>
      <x:c r="U997" s="49" t="n">
        <x:v>25</x:v>
      </x:c>
    </x:row>
    <x:row r="998" ht="22" customHeight="1">
      <x:c r="A998" s="1" t="str">
        <x:v>日経mini</x:v>
      </x:c>
      <x:c r="B998" s="1" t="str">
        <x:v>V02</x:v>
      </x:c>
      <x:c r="C998" s="1" t="str">
        <x:v>全50場</x:v>
      </x:c>
      <x:c r="D998" s="47" t="n">
        <x:v>4832614</x:v>
      </x:c>
      <x:c r="E998" s="47" t="n">
        <x:v>5207338</x:v>
      </x:c>
      <x:c r="F998" s="47" t="n">
        <x:f>D998-E998</x:f>
        <x:v>-374724</x:v>
      </x:c>
      <x:c r="G998" s="49" t="n">
        <x:v>12</x:v>
      </x:c>
      <x:c r="H998" s="49" t="n">
        <x:v>13</x:v>
      </x:c>
      <x:c r="I998" s="47" t="n">
        <x:v>-774488</x:v>
      </x:c>
      <x:c r="J998" s="49" t="n">
        <x:v>416</x:v>
      </x:c>
      <x:c r="K998" s="47" t="n">
        <x:v>-208462</x:v>
      </x:c>
      <x:c r="L998" s="47" t="n">
        <x:v>95658.30769230769</x:v>
      </x:c>
      <x:c r="M998" s="48" t="n">
        <x:v>43.11600000000001</x:v>
      </x:c>
      <x:c r="N998" s="48" t="n">
        <x:v>458.8973333333333</x:v>
      </x:c>
      <x:c r="O998" s="49" t="n">
        <x:v>7</x:v>
      </x:c>
      <x:c r="P998" s="1" t="str">
        <x:v>中期状態の基準併用：中期の支持状態を維持・広め</x:v>
      </x:c>
      <x:c r="Q998" s="49" t="n">
        <x:v>0</x:v>
      </x:c>
      <x:c r="R998" s="50" t="n">
        <x:v>0.5883299145299146</x:v>
      </x:c>
      <x:c r="S998" s="50" t="n">
        <x:v>0.5883299145299146</x:v>
      </x:c>
      <x:c r="T998" s="1" t="str">
        <x:v>ナイト</x:v>
      </x:c>
      <x:c r="U998" s="49" t="n">
        <x:v>25</x:v>
      </x:c>
    </x:row>
    <x:row r="999" ht="22" customHeight="1">
      <x:c r="A999" s="1" t="str">
        <x:v>日経mini</x:v>
      </x:c>
      <x:c r="B999" s="1" t="str">
        <x:v>V02</x:v>
      </x:c>
      <x:c r="C999" s="1" t="str">
        <x:v>全50場</x:v>
      </x:c>
      <x:c r="D999" s="47" t="n">
        <x:v>4530458</x:v>
      </x:c>
      <x:c r="E999" s="47" t="n">
        <x:v>5028018</x:v>
      </x:c>
      <x:c r="F999" s="47" t="n">
        <x:f>D999-E999</x:f>
        <x:v>-497560</x:v>
      </x:c>
      <x:c r="G999" s="49" t="n">
        <x:v>10</x:v>
      </x:c>
      <x:c r="H999" s="49" t="n">
        <x:v>14</x:v>
      </x:c>
      <x:c r="I999" s="47" t="n">
        <x:v>-970710</x:v>
      </x:c>
      <x:c r="J999" s="49" t="n">
        <x:v>359</x:v>
      </x:c>
      <x:c r="K999" s="47" t="n">
        <x:v>-215848</x:v>
      </x:c>
      <x:c r="L999" s="47" t="n">
        <x:v>107775.57142857143</x:v>
      </x:c>
      <x:c r="M999" s="48" t="n">
        <x:v>30.147222222222222</x:v>
      </x:c>
      <x:c r="N999" s="48" t="n">
        <x:v>395.1909722222222</x:v>
      </x:c>
      <x:c r="O999" s="49" t="n">
        <x:v>7</x:v>
      </x:c>
      <x:c r="P999" s="1" t="str">
        <x:v>中期状態の基準併用：中期の支持状態を維持・広め</x:v>
      </x:c>
      <x:c r="Q999" s="49" t="n">
        <x:v>0</x:v>
      </x:c>
      <x:c r="R999" s="50" t="n">
        <x:v>0.6638391585266585</x:v>
      </x:c>
      <x:c r="S999" s="50" t="n">
        <x:v>0.6425869467028004</x:v>
      </x:c>
      <x:c r="T999" s="1" t="str">
        <x:v>上昇</x:v>
      </x:c>
      <x:c r="U999" s="49" t="n">
        <x:v>24</x:v>
      </x:c>
    </x:row>
    <x:row r="1000" ht="22" customHeight="1">
      <x:c r="A1000" s="1" t="str">
        <x:v>日経mini</x:v>
      </x:c>
      <x:c r="B1000" s="1" t="str">
        <x:v>V02</x:v>
      </x:c>
      <x:c r="C1000" s="1" t="str">
        <x:v>全50場</x:v>
      </x:c>
      <x:c r="D1000" s="47" t="n">
        <x:v>5811776</x:v>
      </x:c>
      <x:c r="E1000" s="47" t="n">
        <x:v>5151944</x:v>
      </x:c>
      <x:c r="F1000" s="47" t="n">
        <x:f>D1000-E1000</x:f>
        <x:v>659832</x:v>
      </x:c>
      <x:c r="G1000" s="49" t="n">
        <x:v>12</x:v>
      </x:c>
      <x:c r="H1000" s="49" t="n">
        <x:v>14</x:v>
      </x:c>
      <x:c r="I1000" s="47" t="n">
        <x:v>-441550</x:v>
      </x:c>
      <x:c r="J1000" s="49" t="n">
        <x:v>393</x:v>
      </x:c>
      <x:c r="K1000" s="47" t="n">
        <x:v>-265306</x:v>
      </x:c>
      <x:c r="L1000" s="47" t="n">
        <x:v>84813.57142857143</x:v>
      </x:c>
      <x:c r="M1000" s="48" t="n">
        <x:v>43.21602564102564</x:v>
      </x:c>
      <x:c r="N1000" s="48" t="n">
        <x:v>390.78910256410256</x:v>
      </x:c>
      <x:c r="O1000" s="49" t="n">
        <x:v>7</x:v>
      </x:c>
      <x:c r="P1000" s="1" t="str">
        <x:v>中期状態の基準併用：中期の支持状態を維持・広め</x:v>
      </x:c>
      <x:c r="Q1000" s="49" t="n">
        <x:v>0</x:v>
      </x:c>
      <x:c r="R1000" s="50" t="n">
        <x:v>0.7013399314360853</x:v>
      </x:c>
      <x:c r="S1000" s="50" t="n">
        <x:v>0.6667005686789151</x:v>
      </x:c>
      <x:c r="T1000" s="1" t="str">
        <x:v>下落</x:v>
      </x:c>
      <x:c r="U1000" s="49" t="n">
        <x:v>26</x:v>
      </x:c>
    </x:row>
    <x:row r="1001" ht="22" customHeight="1">
      <x:c r="A1001" s="1" t="str">
        <x:v>日経mini</x:v>
      </x:c>
      <x:c r="B1001" s="1" t="str">
        <x:v>V02</x:v>
      </x:c>
      <x:c r="C1001" s="1" t="str">
        <x:v>対照47場</x:v>
      </x:c>
      <x:c r="D1001" s="47" t="n">
        <x:v>9797004</x:v>
      </x:c>
      <x:c r="E1001" s="47" t="n">
        <x:v>9262418</x:v>
      </x:c>
      <x:c r="F1001" s="47" t="n">
        <x:f>D1001-E1001</x:f>
        <x:v>534586</x:v>
      </x:c>
      <x:c r="G1001" s="49" t="n">
        <x:v>22</x:v>
      </x:c>
      <x:c r="H1001" s="49" t="n">
        <x:v>25</x:v>
      </x:c>
      <x:c r="I1001" s="47" t="n">
        <x:v>-566796</x:v>
      </x:c>
      <x:c r="J1001" s="49" t="n">
        <x:v>691</x:v>
      </x:c>
      <x:c r="K1001" s="47" t="n">
        <x:v>-265306</x:v>
      </x:c>
      <x:c r="L1001" s="47" t="n">
        <x:v>92957.36</x:v>
      </x:c>
      <x:c r="M1001" s="48" t="n">
        <x:v>37.820212765957436</x:v>
      </x:c>
      <x:c r="N1001" s="48" t="n">
        <x:v>387.7882978723403</x:v>
      </x:c>
      <x:c r="O1001" s="49" t="n">
        <x:v>7</x:v>
      </x:c>
      <x:c r="P1001" s="1" t="str">
        <x:v>中期状態の基準併用：中期の支持状態を維持・広め</x:v>
      </x:c>
      <x:c r="Q1001" s="49" t="n">
        <x:v>0</x:v>
      </x:c>
      <x:c r="R1001" s="50" t="n">
        <x:v>0.6808274881147222</x:v>
      </x:c>
      <x:c r="S1001" s="50" t="n">
        <x:v>0.6504657387580299</x:v>
      </x:c>
      <x:c r="T1001" s="1" t="str">
        <x:v>全場</x:v>
      </x:c>
      <x:c r="U1001" s="49" t="n">
        <x:v>47</x:v>
      </x:c>
    </x:row>
    <x:row r="1002" ht="22" customHeight="1">
      <x:c r="A1002" s="1" t="str">
        <x:v>日経mini</x:v>
      </x:c>
      <x:c r="B1002" s="1" t="str">
        <x:v>V02</x:v>
      </x:c>
      <x:c r="C1002" s="1" t="str">
        <x:v>対照47場</x:v>
      </x:c>
      <x:c r="D1002" s="47" t="n">
        <x:v>5386082</x:v>
      </x:c>
      <x:c r="E1002" s="47" t="n">
        <x:v>4633238</x:v>
      </x:c>
      <x:c r="F1002" s="47" t="n">
        <x:f>D1002-E1002</x:f>
        <x:v>752844</x:v>
      </x:c>
      <x:c r="G1002" s="49" t="n">
        <x:v>10</x:v>
      </x:c>
      <x:c r="H1002" s="49" t="n">
        <x:v>14</x:v>
      </x:c>
      <x:c r="I1002" s="47" t="n">
        <x:v>-348538</x:v>
      </x:c>
      <x:c r="J1002" s="49" t="n">
        <x:v>319</x:v>
      </x:c>
      <x:c r="K1002" s="47" t="n">
        <x:v>-265306</x:v>
      </x:c>
      <x:c r="L1002" s="47" t="n">
        <x:v>88345.85714285714</x:v>
      </x:c>
      <x:c r="M1002" s="48" t="n">
        <x:v>31.08888888888889</x:v>
      </x:c>
      <x:c r="N1002" s="48" t="n">
        <x:v>327.30277777777775</x:v>
      </x:c>
      <x:c r="O1002" s="49" t="n">
        <x:v>7</x:v>
      </x:c>
      <x:c r="P1002" s="1" t="str">
        <x:v>中期状態の基準併用：中期の支持状態を維持・広め</x:v>
      </x:c>
      <x:c r="Q1002" s="49" t="n">
        <x:v>0</x:v>
      </x:c>
      <x:c r="R1002" s="50" t="n">
        <x:v>0.779292328042328</x:v>
      </x:c>
      <x:c r="S1002" s="50" t="n">
        <x:v>0.7792923280423281</x:v>
      </x:c>
      <x:c r="T1002" s="1" t="str">
        <x:v>デイ</x:v>
      </x:c>
      <x:c r="U1002" s="49" t="n">
        <x:v>24</x:v>
      </x:c>
    </x:row>
    <x:row r="1003" ht="22" customHeight="1">
      <x:c r="A1003" s="1" t="str">
        <x:v>日経mini</x:v>
      </x:c>
      <x:c r="B1003" s="1" t="str">
        <x:v>V02</x:v>
      </x:c>
      <x:c r="C1003" s="1" t="str">
        <x:v>対照47場</x:v>
      </x:c>
      <x:c r="D1003" s="47" t="n">
        <x:v>4410922</x:v>
      </x:c>
      <x:c r="E1003" s="47" t="n">
        <x:v>4629180</x:v>
      </x:c>
      <x:c r="F1003" s="47" t="n">
        <x:f>D1003-E1003</x:f>
        <x:v>-218258</x:v>
      </x:c>
      <x:c r="G1003" s="49" t="n">
        <x:v>12</x:v>
      </x:c>
      <x:c r="H1003" s="49" t="n">
        <x:v>11</x:v>
      </x:c>
      <x:c r="I1003" s="47" t="n">
        <x:v>-618022</x:v>
      </x:c>
      <x:c r="J1003" s="49" t="n">
        <x:v>372</x:v>
      </x:c>
      <x:c r="K1003" s="47" t="n">
        <x:v>-208462</x:v>
      </x:c>
      <x:c r="L1003" s="47" t="n">
        <x:v>98826.54545454546</x:v>
      </x:c>
      <x:c r="M1003" s="48" t="n">
        <x:v>44.844202898550726</x:v>
      </x:c>
      <x:c r="N1003" s="48" t="n">
        <x:v>450.90362318840585</x:v>
      </x:c>
      <x:c r="O1003" s="49" t="n">
        <x:v>7</x:v>
      </x:c>
      <x:c r="P1003" s="1" t="str">
        <x:v>中期状態の基準併用：中期の支持状態を維持・広め</x:v>
      </x:c>
      <x:c r="Q1003" s="49" t="n">
        <x:v>0</x:v>
      </x:c>
      <x:c r="R1003" s="50" t="n">
        <x:v>0.5780815681902638</x:v>
      </x:c>
      <x:c r="S1003" s="50" t="n">
        <x:v>0.5780815681902638</x:v>
      </x:c>
      <x:c r="T1003" s="1" t="str">
        <x:v>ナイト</x:v>
      </x:c>
      <x:c r="U1003" s="49" t="n">
        <x:v>23</x:v>
      </x:c>
    </x:row>
    <x:row r="1004" ht="22" customHeight="1">
      <x:c r="A1004" s="1" t="str">
        <x:v>日経mini</x:v>
      </x:c>
      <x:c r="B1004" s="1" t="str">
        <x:v>V02</x:v>
      </x:c>
      <x:c r="C1004" s="1" t="str">
        <x:v>対照47場</x:v>
      </x:c>
      <x:c r="D1004" s="47" t="n">
        <x:v>4225074</x:v>
      </x:c>
      <x:c r="E1004" s="47" t="n">
        <x:v>4490630</x:v>
      </x:c>
      <x:c r="F1004" s="47" t="n">
        <x:f>D1004-E1004</x:f>
        <x:v>-265556</x:v>
      </x:c>
      <x:c r="G1004" s="49" t="n">
        <x:v>10</x:v>
      </x:c>
      <x:c r="H1004" s="49" t="n">
        <x:v>12</x:v>
      </x:c>
      <x:c r="I1004" s="47" t="n">
        <x:v>-738706</x:v>
      </x:c>
      <x:c r="J1004" s="49" t="n">
        <x:v>323</x:v>
      </x:c>
      <x:c r="K1004" s="47" t="n">
        <x:v>-208462</x:v>
      </x:c>
      <x:c r="L1004" s="47" t="n">
        <x:v>106404.5</x:v>
      </x:c>
      <x:c r="M1004" s="48" t="n">
        <x:v>30.785606060606064</x:v>
      </x:c>
      <x:c r="N1004" s="48" t="n">
        <x:v>391.7742424242424</x:v>
      </x:c>
      <x:c r="O1004" s="49" t="n">
        <x:v>7</x:v>
      </x:c>
      <x:c r="P1004" s="1" t="str">
        <x:v>中期状態の基準併用：中期の支持状態を維持・広め</x:v>
      </x:c>
      <x:c r="Q1004" s="49" t="n">
        <x:v>0</x:v>
      </x:c>
      <x:c r="R1004" s="50" t="n">
        <x:v>0.6578940503940504</x:v>
      </x:c>
      <x:c r="S1004" s="50" t="n">
        <x:v>0.6356219272369714</x:v>
      </x:c>
      <x:c r="T1004" s="1" t="str">
        <x:v>上昇</x:v>
      </x:c>
      <x:c r="U1004" s="49" t="n">
        <x:v>22</x:v>
      </x:c>
    </x:row>
    <x:row r="1005" ht="22" customHeight="1">
      <x:c r="A1005" s="1" t="str">
        <x:v>日経mini</x:v>
      </x:c>
      <x:c r="B1005" s="1" t="str">
        <x:v>V02</x:v>
      </x:c>
      <x:c r="C1005" s="1" t="str">
        <x:v>対照47場</x:v>
      </x:c>
      <x:c r="D1005" s="47" t="n">
        <x:v>5571930</x:v>
      </x:c>
      <x:c r="E1005" s="47" t="n">
        <x:v>4771788</x:v>
      </x:c>
      <x:c r="F1005" s="47" t="n">
        <x:f>D1005-E1005</x:f>
        <x:v>800142</x:v>
      </x:c>
      <x:c r="G1005" s="49" t="n">
        <x:v>12</x:v>
      </x:c>
      <x:c r="H1005" s="49" t="n">
        <x:v>13</x:v>
      </x:c>
      <x:c r="I1005" s="47" t="n">
        <x:v>-301240</x:v>
      </x:c>
      <x:c r="J1005" s="49" t="n">
        <x:v>368</x:v>
      </x:c>
      <x:c r="K1005" s="47" t="n">
        <x:v>-265306</x:v>
      </x:c>
      <x:c r="L1005" s="47" t="n">
        <x:v>80544.61538461539</x:v>
      </x:c>
      <x:c r="M1005" s="48" t="n">
        <x:v>44.010666666666665</x:v>
      </x:c>
      <x:c r="N1005" s="48" t="n">
        <x:v>384.28066666666666</x:v>
      </x:c>
      <x:c r="O1005" s="49" t="n">
        <x:v>7</x:v>
      </x:c>
      <x:c r="P1005" s="1" t="str">
        <x:v>中期状態の基準併用：中期の支持状態を維持・広め</x:v>
      </x:c>
      <x:c r="Q1005" s="49" t="n">
        <x:v>0</x:v>
      </x:c>
      <x:c r="R1005" s="50" t="n">
        <x:v>0.7010089133089132</x:v>
      </x:c>
      <x:c r="S1005" s="50" t="n">
        <x:v>0.6643856615952052</x:v>
      </x:c>
      <x:c r="T1005" s="1" t="str">
        <x:v>下落</x:v>
      </x:c>
      <x:c r="U1005" s="49" t="n">
        <x:v>25</x:v>
      </x:c>
    </x:row>
    <x:row r="1006" ht="22" customHeight="1">
      <x:c r="A1006" s="1" t="str">
        <x:v>日経mini</x:v>
      </x:c>
      <x:c r="B1006" s="1" t="str">
        <x:v>V02</x:v>
      </x:c>
      <x:c r="C1006" s="1" t="str">
        <x:v>診断3場</x:v>
      </x:c>
      <x:c r="D1006" s="47" t="n">
        <x:v>545230</x:v>
      </x:c>
      <x:c r="E1006" s="47" t="n">
        <x:v>917544</x:v>
      </x:c>
      <x:c r="F1006" s="47" t="n">
        <x:f>D1006-E1006</x:f>
        <x:v>-372314</x:v>
      </x:c>
      <x:c r="G1006" s="49" t="n">
        <x:v>0</x:v>
      </x:c>
      <x:c r="H1006" s="49" t="n">
        <x:v>3</x:v>
      </x:c>
      <x:c r="I1006" s="47" t="n">
        <x:v>-372314</x:v>
      </x:c>
      <x:c r="J1006" s="49" t="n">
        <x:v>61</x:v>
      </x:c>
      <x:c r="K1006" s="47" t="n">
        <x:v>-215848</x:v>
      </x:c>
      <x:c r="L1006" s="47" t="n">
        <x:v>124104.66666666667</x:v>
      </x:c>
      <x:c r="M1006" s="48" t="n">
        <x:v>23.2</x:v>
      </x:c>
      <x:c r="N1006" s="48" t="n">
        <x:v>473.01666666666665</x:v>
      </x:c>
      <x:c r="O1006" s="49" t="n">
        <x:v>7</x:v>
      </x:c>
      <x:c r="P1006" s="1" t="str">
        <x:v>中期状態の基準併用：中期の支持状態を維持・広め</x:v>
      </x:c>
      <x:c r="Q1006" s="49" t="n">
        <x:v>0</x:v>
      </x:c>
      <x:c r="R1006" s="50" t="n">
        <x:v>0.7226953601953602</x:v>
      </x:c>
      <x:c r="S1006" s="50" t="n">
        <x:v>0.7166919191919192</x:v>
      </x:c>
      <x:c r="T1006" s="1" t="str">
        <x:v>全場</x:v>
      </x:c>
      <x:c r="U1006" s="49" t="n">
        <x:v>3</x:v>
      </x:c>
    </x:row>
    <x:row r="1007" ht="22" customHeight="1">
      <x:c r="A1007" s="1" t="str">
        <x:v>日経mini</x:v>
      </x:c>
      <x:c r="B1007" s="1" t="str">
        <x:v>V02</x:v>
      </x:c>
      <x:c r="C1007" s="1" t="str">
        <x:v>診断3場</x:v>
      </x:c>
      <x:c r="D1007" s="47" t="n">
        <x:v>123538</x:v>
      </x:c>
      <x:c r="E1007" s="47" t="n">
        <x:v>339386</x:v>
      </x:c>
      <x:c r="F1007" s="47" t="n">
        <x:f>D1007-E1007</x:f>
        <x:v>-215848</x:v>
      </x:c>
      <x:c r="G1007" s="49" t="n">
        <x:v>0</x:v>
      </x:c>
      <x:c r="H1007" s="49" t="n">
        <x:v>1</x:v>
      </x:c>
      <x:c r="I1007" s="47" t="n">
        <x:v>-215848</x:v>
      </x:c>
      <x:c r="J1007" s="49" t="n">
        <x:v>17</x:v>
      </x:c>
      <x:c r="K1007" s="47" t="n">
        <x:v>-215848</x:v>
      </x:c>
      <x:c r="L1007" s="47" t="n">
        <x:v>215848</x:v>
      </x:c>
      <x:c r="M1007" s="48" t="n">
        <x:v>23.116666666666667</x:v>
      </x:c>
      <x:c r="N1007" s="48" t="n">
        <x:v>317.4</x:v>
      </x:c>
      <x:c r="O1007" s="49" t="n">
        <x:v>7</x:v>
      </x:c>
      <x:c r="P1007" s="1" t="str">
        <x:v>中期状態の基準併用：中期の支持状態を維持・広め</x:v>
      </x:c>
      <x:c r="Q1007" s="49" t="n">
        <x:v>0</x:v>
      </x:c>
      <x:c r="R1007" s="50" t="n">
        <x:v>0.7557142857142857</x:v>
      </x:c>
      <x:c r="S1007" s="50" t="n">
        <x:v>0.7557142857142857</x:v>
      </x:c>
      <x:c r="T1007" s="1" t="str">
        <x:v>デイ</x:v>
      </x:c>
      <x:c r="U1007" s="49" t="n">
        <x:v>1</x:v>
      </x:c>
    </x:row>
    <x:row r="1008" ht="22" customHeight="1">
      <x:c r="A1008" s="1" t="str">
        <x:v>日経mini</x:v>
      </x:c>
      <x:c r="B1008" s="1" t="str">
        <x:v>V02</x:v>
      </x:c>
      <x:c r="C1008" s="1" t="str">
        <x:v>診断3場</x:v>
      </x:c>
      <x:c r="D1008" s="47" t="n">
        <x:v>421692</x:v>
      </x:c>
      <x:c r="E1008" s="47" t="n">
        <x:v>578158</x:v>
      </x:c>
      <x:c r="F1008" s="47" t="n">
        <x:f>D1008-E1008</x:f>
        <x:v>-156466</x:v>
      </x:c>
      <x:c r="G1008" s="49" t="n">
        <x:v>0</x:v>
      </x:c>
      <x:c r="H1008" s="49" t="n">
        <x:v>2</x:v>
      </x:c>
      <x:c r="I1008" s="47" t="n">
        <x:v>-156466</x:v>
      </x:c>
      <x:c r="J1008" s="49" t="n">
        <x:v>44</x:v>
      </x:c>
      <x:c r="K1008" s="47" t="n">
        <x:v>-140310</x:v>
      </x:c>
      <x:c r="L1008" s="47" t="n">
        <x:v>78233</x:v>
      </x:c>
      <x:c r="M1008" s="48" t="n">
        <x:v>23.241666666666667</x:v>
      </x:c>
      <x:c r="N1008" s="48" t="n">
        <x:v>550.825</x:v>
      </x:c>
      <x:c r="O1008" s="49" t="n">
        <x:v>7</x:v>
      </x:c>
      <x:c r="P1008" s="1" t="str">
        <x:v>中期状態の基準併用：中期の支持状態を維持・広め</x:v>
      </x:c>
      <x:c r="Q1008" s="49" t="n">
        <x:v>0</x:v>
      </x:c>
      <x:c r="R1008" s="50" t="n">
        <x:v>0.7061858974358974</x:v>
      </x:c>
      <x:c r="S1008" s="50" t="n">
        <x:v>0.7061858974358975</x:v>
      </x:c>
      <x:c r="T1008" s="1" t="str">
        <x:v>ナイト</x:v>
      </x:c>
      <x:c r="U1008" s="49" t="n">
        <x:v>2</x:v>
      </x:c>
    </x:row>
    <x:row r="1009" ht="22" customHeight="1">
      <x:c r="A1009" s="1" t="str">
        <x:v>日経mini</x:v>
      </x:c>
      <x:c r="B1009" s="1" t="str">
        <x:v>V02</x:v>
      </x:c>
      <x:c r="C1009" s="1" t="str">
        <x:v>診断3場</x:v>
      </x:c>
      <x:c r="D1009" s="47" t="n">
        <x:v>305384</x:v>
      </x:c>
      <x:c r="E1009" s="47" t="n">
        <x:v>537388</x:v>
      </x:c>
      <x:c r="F1009" s="47" t="n">
        <x:f>D1009-E1009</x:f>
        <x:v>-232004</x:v>
      </x:c>
      <x:c r="G1009" s="49" t="n">
        <x:v>0</x:v>
      </x:c>
      <x:c r="H1009" s="49" t="n">
        <x:v>2</x:v>
      </x:c>
      <x:c r="I1009" s="47" t="n">
        <x:v>-232004</x:v>
      </x:c>
      <x:c r="J1009" s="49" t="n">
        <x:v>36</x:v>
      </x:c>
      <x:c r="K1009" s="47" t="n">
        <x:v>-215848</x:v>
      </x:c>
      <x:c r="L1009" s="47" t="n">
        <x:v>116002</x:v>
      </x:c>
      <x:c r="M1009" s="48" t="n">
        <x:v>23.125</x:v>
      </x:c>
      <x:c r="N1009" s="48" t="n">
        <x:v>432.775</x:v>
      </x:c>
      <x:c r="O1009" s="49" t="n">
        <x:v>7</x:v>
      </x:c>
      <x:c r="P1009" s="1" t="str">
        <x:v>中期状態の基準併用：中期の支持状態を維持・広め</x:v>
      </x:c>
      <x:c r="Q1009" s="49" t="n">
        <x:v>0</x:v>
      </x:c>
      <x:c r="R1009" s="50" t="n">
        <x:v>0.729235347985348</x:v>
      </x:c>
      <x:c r="S1009" s="50" t="n">
        <x:v>0.7212916666666667</x:v>
      </x:c>
      <x:c r="T1009" s="1" t="str">
        <x:v>上昇</x:v>
      </x:c>
      <x:c r="U1009" s="49" t="n">
        <x:v>2</x:v>
      </x:c>
    </x:row>
    <x:row r="1010" ht="22" customHeight="1">
      <x:c r="A1010" s="1" t="str">
        <x:v>日経mini</x:v>
      </x:c>
      <x:c r="B1010" s="1" t="str">
        <x:v>V02</x:v>
      </x:c>
      <x:c r="C1010" s="1" t="str">
        <x:v>診断3場</x:v>
      </x:c>
      <x:c r="D1010" s="47" t="n">
        <x:v>239846</x:v>
      </x:c>
      <x:c r="E1010" s="47" t="n">
        <x:v>380156</x:v>
      </x:c>
      <x:c r="F1010" s="47" t="n">
        <x:f>D1010-E1010</x:f>
        <x:v>-140310</x:v>
      </x:c>
      <x:c r="G1010" s="49" t="n">
        <x:v>0</x:v>
      </x:c>
      <x:c r="H1010" s="49" t="n">
        <x:v>1</x:v>
      </x:c>
      <x:c r="I1010" s="47" t="n">
        <x:v>-140310</x:v>
      </x:c>
      <x:c r="J1010" s="49" t="n">
        <x:v>25</x:v>
      </x:c>
      <x:c r="K1010" s="47" t="n">
        <x:v>-140310</x:v>
      </x:c>
      <x:c r="L1010" s="47" t="n">
        <x:v>140310</x:v>
      </x:c>
      <x:c r="M1010" s="48" t="n">
        <x:v>23.35</x:v>
      </x:c>
      <x:c r="N1010" s="48" t="n">
        <x:v>553.5</x:v>
      </x:c>
      <x:c r="O1010" s="49" t="n">
        <x:v>7</x:v>
      </x:c>
      <x:c r="P1010" s="1" t="str">
        <x:v>中期状態の基準併用：中期の支持状態を維持・広め</x:v>
      </x:c>
      <x:c r="Q1010" s="49" t="n">
        <x:v>0</x:v>
      </x:c>
      <x:c r="R1010" s="50" t="n">
        <x:v>0.7096153846153846</x:v>
      </x:c>
      <x:c r="S1010" s="50" t="n">
        <x:v>0.7096153846153846</x:v>
      </x:c>
      <x:c r="T1010" s="1" t="str">
        <x:v>下落</x:v>
      </x:c>
      <x:c r="U1010" s="49" t="n">
        <x:v>1</x:v>
      </x:c>
    </x:row>
    <x:row r="1011" ht="22" customHeight="1">
      <x:c r="A1011" s="1" t="str">
        <x:v>日経mini</x:v>
      </x:c>
      <x:c r="B1011" s="1" t="str">
        <x:v>V03</x:v>
      </x:c>
      <x:c r="C1011" s="1" t="str">
        <x:v>全50場</x:v>
      </x:c>
      <x:c r="D1011" s="47" t="n">
        <x:v>7522552</x:v>
      </x:c>
      <x:c r="E1011" s="47" t="n">
        <x:v>7119628</x:v>
      </x:c>
      <x:c r="F1011" s="47" t="n">
        <x:f>D1011-E1011</x:f>
        <x:v>402924</x:v>
      </x:c>
      <x:c r="G1011" s="49" t="n">
        <x:v>25</x:v>
      </x:c>
      <x:c r="H1011" s="49" t="n">
        <x:v>25</x:v>
      </x:c>
      <x:c r="I1011" s="47" t="n">
        <x:v>-584920</x:v>
      </x:c>
      <x:c r="J1011" s="49" t="n">
        <x:v>514</x:v>
      </x:c>
      <x:c r="K1011" s="47" t="n">
        <x:v>-271386</x:v>
      </x:c>
      <x:c r="L1011" s="47" t="n">
        <x:v>86652.16</x:v>
      </x:c>
      <x:c r="M1011" s="48" t="n">
        <x:v>115.97966666666667</x:v>
      </x:c>
      <x:c r="N1011" s="48" t="n">
        <x:v>176.67633333333336</x:v>
      </x:c>
      <x:c r="O1011" s="49" t="n">
        <x:v>7</x:v>
      </x:c>
      <x:c r="P1011" s="1" t="str">
        <x:v>中期状態の基準併用：支持状態内の押し再進行で参加・標準</x:v>
      </x:c>
      <x:c r="Q1011" s="49" t="n">
        <x:v>0</x:v>
      </x:c>
      <x:c r="R1011" s="50" t="n">
        <x:v>0.3516952991452992</x:v>
      </x:c>
      <x:c r="S1011" s="50" t="n">
        <x:v>0.2944605555555555</x:v>
      </x:c>
      <x:c r="T1011" s="1" t="str">
        <x:v>全場</x:v>
      </x:c>
      <x:c r="U1011" s="49" t="n">
        <x:v>50</x:v>
      </x:c>
    </x:row>
    <x:row r="1012" ht="22" customHeight="1">
      <x:c r="A1012" s="1" t="str">
        <x:v>日経mini</x:v>
      </x:c>
      <x:c r="B1012" s="1" t="str">
        <x:v>V03</x:v>
      </x:c>
      <x:c r="C1012" s="1" t="str">
        <x:v>全50場</x:v>
      </x:c>
      <x:c r="D1012" s="47" t="n">
        <x:v>4498084</x:v>
      </x:c>
      <x:c r="E1012" s="47" t="n">
        <x:v>3850306</x:v>
      </x:c>
      <x:c r="F1012" s="47" t="n">
        <x:f>D1012-E1012</x:f>
        <x:v>647778</x:v>
      </x:c>
      <x:c r="G1012" s="49" t="n">
        <x:v>14</x:v>
      </x:c>
      <x:c r="H1012" s="49" t="n">
        <x:v>11</x:v>
      </x:c>
      <x:c r="I1012" s="47" t="n">
        <x:v>-340066</x:v>
      </x:c>
      <x:c r="J1012" s="49" t="n">
        <x:v>253</x:v>
      </x:c>
      <x:c r="K1012" s="47" t="n">
        <x:v>-271386</x:v>
      </x:c>
      <x:c r="L1012" s="47" t="n">
        <x:v>117292.90909090909</x:v>
      </x:c>
      <x:c r="M1012" s="48" t="n">
        <x:v>54.42333333333333</x:v>
      </x:c>
      <x:c r="N1012" s="48" t="n">
        <x:v>227.8406666666667</x:v>
      </x:c>
      <x:c r="O1012" s="49" t="n">
        <x:v>7</x:v>
      </x:c>
      <x:c r="P1012" s="1" t="str">
        <x:v>中期状態の基準併用：支持状態内の押し再進行で参加・標準</x:v>
      </x:c>
      <x:c r="Q1012" s="49" t="n">
        <x:v>0</x:v>
      </x:c>
      <x:c r="R1012" s="50" t="n">
        <x:v>0.5424777777777777</x:v>
      </x:c>
      <x:c r="S1012" s="50" t="n">
        <x:v>0.5424777777777777</x:v>
      </x:c>
      <x:c r="T1012" s="1" t="str">
        <x:v>デイ</x:v>
      </x:c>
      <x:c r="U1012" s="49" t="n">
        <x:v>25</x:v>
      </x:c>
    </x:row>
    <x:row r="1013" ht="22" customHeight="1">
      <x:c r="A1013" s="1" t="str">
        <x:v>日経mini</x:v>
      </x:c>
      <x:c r="B1013" s="1" t="str">
        <x:v>V03</x:v>
      </x:c>
      <x:c r="C1013" s="1" t="str">
        <x:v>全50場</x:v>
      </x:c>
      <x:c r="D1013" s="47" t="n">
        <x:v>3024468</x:v>
      </x:c>
      <x:c r="E1013" s="47" t="n">
        <x:v>3269322</x:v>
      </x:c>
      <x:c r="F1013" s="47" t="n">
        <x:f>D1013-E1013</x:f>
        <x:v>-244854</x:v>
      </x:c>
      <x:c r="G1013" s="49" t="n">
        <x:v>11</x:v>
      </x:c>
      <x:c r="H1013" s="49" t="n">
        <x:v>14</x:v>
      </x:c>
      <x:c r="I1013" s="47" t="n">
        <x:v>-528162</x:v>
      </x:c>
      <x:c r="J1013" s="49" t="n">
        <x:v>261</x:v>
      </x:c>
      <x:c r="K1013" s="47" t="n">
        <x:v>-167308</x:v>
      </x:c>
      <x:c r="L1013" s="47" t="n">
        <x:v>62577.28571428572</x:v>
      </x:c>
      <x:c r="M1013" s="48" t="n">
        <x:v>177.53599999999997</x:v>
      </x:c>
      <x:c r="N1013" s="48" t="n">
        <x:v>125.51199999999999</x:v>
      </x:c>
      <x:c r="O1013" s="49" t="n">
        <x:v>7</x:v>
      </x:c>
      <x:c r="P1013" s="1" t="str">
        <x:v>中期状態の基準併用：支持状態内の押し再進行で参加・標準</x:v>
      </x:c>
      <x:c r="Q1013" s="49" t="n">
        <x:v>0</x:v>
      </x:c>
      <x:c r="R1013" s="50" t="n">
        <x:v>0.1609128205128205</x:v>
      </x:c>
      <x:c r="S1013" s="50" t="n">
        <x:v>0.16091282051282052</x:v>
      </x:c>
      <x:c r="T1013" s="1" t="str">
        <x:v>ナイト</x:v>
      </x:c>
      <x:c r="U1013" s="49" t="n">
        <x:v>25</x:v>
      </x:c>
    </x:row>
    <x:row r="1014" ht="22" customHeight="1">
      <x:c r="A1014" s="1" t="str">
        <x:v>日経mini</x:v>
      </x:c>
      <x:c r="B1014" s="1" t="str">
        <x:v>V03</x:v>
      </x:c>
      <x:c r="C1014" s="1" t="str">
        <x:v>全50場</x:v>
      </x:c>
      <x:c r="D1014" s="47" t="n">
        <x:v>3122772</x:v>
      </x:c>
      <x:c r="E1014" s="47" t="n">
        <x:v>3601546</x:v>
      </x:c>
      <x:c r="F1014" s="47" t="n">
        <x:f>D1014-E1014</x:f>
        <x:v>-478774</x:v>
      </x:c>
      <x:c r="G1014" s="49" t="n">
        <x:v>12</x:v>
      </x:c>
      <x:c r="H1014" s="49" t="n">
        <x:v>12</x:v>
      </x:c>
      <x:c r="I1014" s="47" t="n">
        <x:v>-824158</x:v>
      </x:c>
      <x:c r="J1014" s="49" t="n">
        <x:v>250</x:v>
      </x:c>
      <x:c r="K1014" s="47" t="n">
        <x:v>-271386</x:v>
      </x:c>
      <x:c r="L1014" s="47" t="n">
        <x:v>110519.33333333333</x:v>
      </x:c>
      <x:c r="M1014" s="48" t="n">
        <x:v>106.85902777777778</x:v>
      </x:c>
      <x:c r="N1014" s="48" t="n">
        <x:v>170.37430555555557</x:v>
      </x:c>
      <x:c r="O1014" s="49" t="n">
        <x:v>7</x:v>
      </x:c>
      <x:c r="P1014" s="1" t="str">
        <x:v>中期状態の基準併用：支持状態内の押し再進行で参加・標準</x:v>
      </x:c>
      <x:c r="Q1014" s="49" t="n">
        <x:v>0</x:v>
      </x:c>
      <x:c r="R1014" s="50" t="n">
        <x:v>0.3244710266585267</x:v>
      </x:c>
      <x:c r="S1014" s="50" t="n">
        <x:v>0.2770313911472448</x:v>
      </x:c>
      <x:c r="T1014" s="1" t="str">
        <x:v>上昇</x:v>
      </x:c>
      <x:c r="U1014" s="49" t="n">
        <x:v>24</x:v>
      </x:c>
    </x:row>
    <x:row r="1015" ht="22" customHeight="1">
      <x:c r="A1015" s="1" t="str">
        <x:v>日経mini</x:v>
      </x:c>
      <x:c r="B1015" s="1" t="str">
        <x:v>V03</x:v>
      </x:c>
      <x:c r="C1015" s="1" t="str">
        <x:v>全50場</x:v>
      </x:c>
      <x:c r="D1015" s="47" t="n">
        <x:v>4399780</x:v>
      </x:c>
      <x:c r="E1015" s="47" t="n">
        <x:v>3518082</x:v>
      </x:c>
      <x:c r="F1015" s="47" t="n">
        <x:f>D1015-E1015</x:f>
        <x:v>881698</x:v>
      </x:c>
      <x:c r="G1015" s="49" t="n">
        <x:v>13</x:v>
      </x:c>
      <x:c r="H1015" s="49" t="n">
        <x:v>13</x:v>
      </x:c>
      <x:c r="I1015" s="47" t="n">
        <x:v>-106146</x:v>
      </x:c>
      <x:c r="J1015" s="49" t="n">
        <x:v>264</x:v>
      </x:c>
      <x:c r="K1015" s="47" t="n">
        <x:v>-242998</x:v>
      </x:c>
      <x:c r="L1015" s="47" t="n">
        <x:v>64620.92307692308</x:v>
      </x:c>
      <x:c r="M1015" s="48" t="n">
        <x:v>124.39871794871793</x:v>
      </x:c>
      <x:c r="N1015" s="48" t="n">
        <x:v>182.49358974358972</x:v>
      </x:c>
      <x:c r="O1015" s="49" t="n">
        <x:v>7</x:v>
      </x:c>
      <x:c r="P1015" s="1" t="str">
        <x:v>中期状態の基準併用：支持状態内の押し再進行で参加・標準</x:v>
      </x:c>
      <x:c r="Q1015" s="49" t="n">
        <x:v>0</x:v>
      </x:c>
      <x:c r="R1015" s="50" t="n">
        <x:v>0.3768253968253968</x:v>
      </x:c>
      <x:c r="S1015" s="50" t="n">
        <x:v>0.311340769903762</x:v>
      </x:c>
      <x:c r="T1015" s="1" t="str">
        <x:v>下落</x:v>
      </x:c>
      <x:c r="U1015" s="49" t="n">
        <x:v>26</x:v>
      </x:c>
    </x:row>
    <x:row r="1016" ht="22" customHeight="1">
      <x:c r="A1016" s="1" t="str">
        <x:v>日経mini</x:v>
      </x:c>
      <x:c r="B1016" s="1" t="str">
        <x:v>V03</x:v>
      </x:c>
      <x:c r="C1016" s="1" t="str">
        <x:v>対照47場</x:v>
      </x:c>
      <x:c r="D1016" s="47" t="n">
        <x:v>7131014</x:v>
      </x:c>
      <x:c r="E1016" s="47" t="n">
        <x:v>6360240</x:v>
      </x:c>
      <x:c r="F1016" s="47" t="n">
        <x:f>D1016-E1016</x:f>
        <x:v>770774</x:v>
      </x:c>
      <x:c r="G1016" s="49" t="n">
        <x:v>25</x:v>
      </x:c>
      <x:c r="H1016" s="49" t="n">
        <x:v>22</x:v>
      </x:c>
      <x:c r="I1016" s="47" t="n">
        <x:v>-217070</x:v>
      </x:c>
      <x:c r="J1016" s="49" t="n">
        <x:v>469</x:v>
      </x:c>
      <x:c r="K1016" s="47" t="n">
        <x:v>-242998</x:v>
      </x:c>
      <x:c r="L1016" s="47" t="n">
        <x:v>81747.90909090909</x:v>
      </x:c>
      <x:c r="M1016" s="48" t="n">
        <x:v>117.12446808510639</x:v>
      </x:c>
      <x:c r="N1016" s="48" t="n">
        <x:v>176.24893617021277</x:v>
      </x:c>
      <x:c r="O1016" s="49" t="n">
        <x:v>7</x:v>
      </x:c>
      <x:c r="P1016" s="1" t="str">
        <x:v>中期状態の基準併用：支持状態内の押し再進行で参加・標準</x:v>
      </x:c>
      <x:c r="Q1016" s="49" t="n">
        <x:v>0</x:v>
      </x:c>
      <x:c r="R1016" s="50" t="n">
        <x:v>0.3541555607513054</x:v>
      </x:c>
      <x:c r="S1016" s="50" t="n">
        <x:v>0.29563526052819417</x:v>
      </x:c>
      <x:c r="T1016" s="1" t="str">
        <x:v>全場</x:v>
      </x:c>
      <x:c r="U1016" s="49" t="n">
        <x:v>47</x:v>
      </x:c>
    </x:row>
    <x:row r="1017" ht="22" customHeight="1">
      <x:c r="A1017" s="1" t="str">
        <x:v>日経mini</x:v>
      </x:c>
      <x:c r="B1017" s="1" t="str">
        <x:v>V03</x:v>
      </x:c>
      <x:c r="C1017" s="1" t="str">
        <x:v>対照47場</x:v>
      </x:c>
      <x:c r="D1017" s="47" t="n">
        <x:v>4422546</x:v>
      </x:c>
      <x:c r="E1017" s="47" t="n">
        <x:v>3503382</x:v>
      </x:c>
      <x:c r="F1017" s="47" t="n">
        <x:f>D1017-E1017</x:f>
        <x:v>919164</x:v>
      </x:c>
      <x:c r="G1017" s="49" t="n">
        <x:v>14</x:v>
      </x:c>
      <x:c r="H1017" s="49" t="n">
        <x:v>10</x:v>
      </x:c>
      <x:c r="I1017" s="47" t="n">
        <x:v>-68680</x:v>
      </x:c>
      <x:c r="J1017" s="49" t="n">
        <x:v>239</x:v>
      </x:c>
      <x:c r="K1017" s="47" t="n">
        <x:v>-242998</x:v>
      </x:c>
      <x:c r="L1017" s="47" t="n">
        <x:v>101883.6</x:v>
      </x:c>
      <x:c r="M1017" s="48" t="n">
        <x:v>55.695138888888884</x:v>
      </x:c>
      <x:c r="N1017" s="48" t="n">
        <x:v>228.45486111111111</x:v>
      </x:c>
      <x:c r="O1017" s="49" t="n">
        <x:v>7</x:v>
      </x:c>
      <x:c r="P1017" s="1" t="str">
        <x:v>中期状態の基準併用：支持状態内の押し再進行で参加・標準</x:v>
      </x:c>
      <x:c r="Q1017" s="49" t="n">
        <x:v>0</x:v>
      </x:c>
      <x:c r="R1017" s="50" t="n">
        <x:v>0.5439401455026455</x:v>
      </x:c>
      <x:c r="S1017" s="50" t="n">
        <x:v>0.5439401455026456</x:v>
      </x:c>
      <x:c r="T1017" s="1" t="str">
        <x:v>デイ</x:v>
      </x:c>
      <x:c r="U1017" s="49" t="n">
        <x:v>24</x:v>
      </x:c>
    </x:row>
    <x:row r="1018" ht="22" customHeight="1">
      <x:c r="A1018" s="1" t="str">
        <x:v>日経mini</x:v>
      </x:c>
      <x:c r="B1018" s="1" t="str">
        <x:v>V03</x:v>
      </x:c>
      <x:c r="C1018" s="1" t="str">
        <x:v>対照47場</x:v>
      </x:c>
      <x:c r="D1018" s="47" t="n">
        <x:v>2708468</x:v>
      </x:c>
      <x:c r="E1018" s="47" t="n">
        <x:v>2856858</x:v>
      </x:c>
      <x:c r="F1018" s="47" t="n">
        <x:f>D1018-E1018</x:f>
        <x:v>-148390</x:v>
      </x:c>
      <x:c r="G1018" s="49" t="n">
        <x:v>11</x:v>
      </x:c>
      <x:c r="H1018" s="49" t="n">
        <x:v>12</x:v>
      </x:c>
      <x:c r="I1018" s="47" t="n">
        <x:v>-431698</x:v>
      </x:c>
      <x:c r="J1018" s="49" t="n">
        <x:v>230</x:v>
      </x:c>
      <x:c r="K1018" s="47" t="n">
        <x:v>-167308</x:v>
      </x:c>
      <x:c r="L1018" s="47" t="n">
        <x:v>64968.166666666664</x:v>
      </x:c>
      <x:c r="M1018" s="48" t="n">
        <x:v>181.2246376811594</x:v>
      </x:c>
      <x:c r="N1018" s="48" t="n">
        <x:v>121.77318840579709</x:v>
      </x:c>
      <x:c r="O1018" s="49" t="n">
        <x:v>7</x:v>
      </x:c>
      <x:c r="P1018" s="1" t="str">
        <x:v>中期状態の基準併用：支持状態内の押し再進行で参加・標準</x:v>
      </x:c>
      <x:c r="Q1018" s="49" t="n">
        <x:v>0</x:v>
      </x:c>
      <x:c r="R1018" s="50" t="n">
        <x:v>0.15611947231512446</x:v>
      </x:c>
      <x:c r="S1018" s="50" t="n">
        <x:v>0.1561194723151245</x:v>
      </x:c>
      <x:c r="T1018" s="1" t="str">
        <x:v>ナイト</x:v>
      </x:c>
      <x:c r="U1018" s="49" t="n">
        <x:v>23</x:v>
      </x:c>
    </x:row>
    <x:row r="1019" ht="22" customHeight="1">
      <x:c r="A1019" s="1" t="str">
        <x:v>日経mini</x:v>
      </x:c>
      <x:c r="B1019" s="1" t="str">
        <x:v>V03</x:v>
      </x:c>
      <x:c r="C1019" s="1" t="str">
        <x:v>対照47場</x:v>
      </x:c>
      <x:c r="D1019" s="47" t="n">
        <x:v>2931234</x:v>
      </x:c>
      <x:c r="E1019" s="47" t="n">
        <x:v>3091236</x:v>
      </x:c>
      <x:c r="F1019" s="47" t="n">
        <x:f>D1019-E1019</x:f>
        <x:v>-160002</x:v>
      </x:c>
      <x:c r="G1019" s="49" t="n">
        <x:v>12</x:v>
      </x:c>
      <x:c r="H1019" s="49" t="n">
        <x:v>10</x:v>
      </x:c>
      <x:c r="I1019" s="47" t="n">
        <x:v>-505386</x:v>
      </x:c>
      <x:c r="J1019" s="49" t="n">
        <x:v>222</x:v>
      </x:c>
      <x:c r="K1019" s="47" t="n">
        <x:v>-210924</x:v>
      </x:c>
      <x:c r="L1019" s="47" t="n">
        <x:v>100746</x:v>
      </x:c>
      <x:c r="M1019" s="48" t="n">
        <x:v>111.4530303030303</x:v>
      </x:c>
      <x:c r="N1019" s="48" t="n">
        <x:v>169.2871212121212</x:v>
      </x:c>
      <x:c r="O1019" s="49" t="n">
        <x:v>7</x:v>
      </x:c>
      <x:c r="P1019" s="1" t="str">
        <x:v>中期状態の基準併用：支持状態内の押し再進行で参加・標準</x:v>
      </x:c>
      <x:c r="Q1019" s="49" t="n">
        <x:v>0</x:v>
      </x:c>
      <x:c r="R1019" s="50" t="n">
        <x:v>0.3220730658230659</x:v>
      </x:c>
      <x:c r="S1019" s="50" t="n">
        <x:v>0.2746546214355949</x:v>
      </x:c>
      <x:c r="T1019" s="1" t="str">
        <x:v>上昇</x:v>
      </x:c>
      <x:c r="U1019" s="49" t="n">
        <x:v>22</x:v>
      </x:c>
    </x:row>
    <x:row r="1020" ht="22" customHeight="1">
      <x:c r="A1020" s="1" t="str">
        <x:v>日経mini</x:v>
      </x:c>
      <x:c r="B1020" s="1" t="str">
        <x:v>V03</x:v>
      </x:c>
      <x:c r="C1020" s="1" t="str">
        <x:v>対照47場</x:v>
      </x:c>
      <x:c r="D1020" s="47" t="n">
        <x:v>4199780</x:v>
      </x:c>
      <x:c r="E1020" s="47" t="n">
        <x:v>3269004</x:v>
      </x:c>
      <x:c r="F1020" s="47" t="n">
        <x:f>D1020-E1020</x:f>
        <x:v>930776</x:v>
      </x:c>
      <x:c r="G1020" s="49" t="n">
        <x:v>13</x:v>
      </x:c>
      <x:c r="H1020" s="49" t="n">
        <x:v>12</x:v>
      </x:c>
      <x:c r="I1020" s="47" t="n">
        <x:v>-57068</x:v>
      </x:c>
      <x:c r="J1020" s="49" t="n">
        <x:v>247</x:v>
      </x:c>
      <x:c r="K1020" s="47" t="n">
        <x:v>-242998</x:v>
      </x:c>
      <x:c r="L1020" s="47" t="n">
        <x:v>65916.16666666667</x:v>
      </x:c>
      <x:c r="M1020" s="48" t="n">
        <x:v>122.11533333333333</x:v>
      </x:c>
      <x:c r="N1020" s="48" t="n">
        <x:v>182.37533333333332</x:v>
      </x:c>
      <x:c r="O1020" s="49" t="n">
        <x:v>7</x:v>
      </x:c>
      <x:c r="P1020" s="1" t="str">
        <x:v>中期状態の基準併用：支持状態内の押し再進行で参加・標準</x:v>
      </x:c>
      <x:c r="Q1020" s="49" t="n">
        <x:v>0</x:v>
      </x:c>
      <x:c r="R1020" s="50" t="n">
        <x:v>0.3823881562881563</x:v>
      </x:c>
      <x:c r="S1020" s="50" t="n">
        <x:v>0.31531005071461504</x:v>
      </x:c>
      <x:c r="T1020" s="1" t="str">
        <x:v>下落</x:v>
      </x:c>
      <x:c r="U1020" s="49" t="n">
        <x:v>25</x:v>
      </x:c>
    </x:row>
    <x:row r="1021" ht="22" customHeight="1">
      <x:c r="A1021" s="1" t="str">
        <x:v>日経mini</x:v>
      </x:c>
      <x:c r="B1021" s="1" t="str">
        <x:v>V03</x:v>
      </x:c>
      <x:c r="C1021" s="1" t="str">
        <x:v>診断3場</x:v>
      </x:c>
      <x:c r="D1021" s="47" t="n">
        <x:v>391538</x:v>
      </x:c>
      <x:c r="E1021" s="47" t="n">
        <x:v>759388</x:v>
      </x:c>
      <x:c r="F1021" s="47" t="n">
        <x:f>D1021-E1021</x:f>
        <x:v>-367850</x:v>
      </x:c>
      <x:c r="G1021" s="49" t="n">
        <x:v>0</x:v>
      </x:c>
      <x:c r="H1021" s="49" t="n">
        <x:v>3</x:v>
      </x:c>
      <x:c r="I1021" s="47" t="n">
        <x:v>-367850</x:v>
      </x:c>
      <x:c r="J1021" s="49" t="n">
        <x:v>45</x:v>
      </x:c>
      <x:c r="K1021" s="47" t="n">
        <x:v>-271386</x:v>
      </x:c>
      <x:c r="L1021" s="47" t="n">
        <x:v>122616.66666666667</x:v>
      </x:c>
      <x:c r="M1021" s="48" t="n">
        <x:v>98.04444444444444</x:v>
      </x:c>
      <x:c r="N1021" s="48" t="n">
        <x:v>183.37222222222218</x:v>
      </x:c>
      <x:c r="O1021" s="49" t="n">
        <x:v>7</x:v>
      </x:c>
      <x:c r="P1021" s="1" t="str">
        <x:v>中期状態の基準併用：支持状態内の押し再進行で参加・標準</x:v>
      </x:c>
      <x:c r="Q1021" s="49" t="n">
        <x:v>0</x:v>
      </x:c>
      <x:c r="R1021" s="50" t="n">
        <x:v>0.31315120065120067</x:v>
      </x:c>
      <x:c r="S1021" s="50" t="n">
        <x:v>0.2778367003367003</x:v>
      </x:c>
      <x:c r="T1021" s="1" t="str">
        <x:v>全場</x:v>
      </x:c>
      <x:c r="U1021" s="49" t="n">
        <x:v>3</x:v>
      </x:c>
    </x:row>
    <x:row r="1022" ht="22" customHeight="1">
      <x:c r="A1022" s="1" t="str">
        <x:v>日経mini</x:v>
      </x:c>
      <x:c r="B1022" s="1" t="str">
        <x:v>V03</x:v>
      </x:c>
      <x:c r="C1022" s="1" t="str">
        <x:v>診断3場</x:v>
      </x:c>
      <x:c r="D1022" s="47" t="n">
        <x:v>75538</x:v>
      </x:c>
      <x:c r="E1022" s="47" t="n">
        <x:v>346924</x:v>
      </x:c>
      <x:c r="F1022" s="47" t="n">
        <x:f>D1022-E1022</x:f>
        <x:v>-271386</x:v>
      </x:c>
      <x:c r="G1022" s="49" t="n">
        <x:v>0</x:v>
      </x:c>
      <x:c r="H1022" s="49" t="n">
        <x:v>1</x:v>
      </x:c>
      <x:c r="I1022" s="47" t="n">
        <x:v>-271386</x:v>
      </x:c>
      <x:c r="J1022" s="49" t="n">
        <x:v>14</x:v>
      </x:c>
      <x:c r="K1022" s="47" t="n">
        <x:v>-271386</x:v>
      </x:c>
      <x:c r="L1022" s="47" t="n">
        <x:v>271386</x:v>
      </x:c>
      <x:c r="M1022" s="48" t="n">
        <x:v>23.9</x:v>
      </x:c>
      <x:c r="N1022" s="48" t="n">
        <x:v>213.1</x:v>
      </x:c>
      <x:c r="O1022" s="49" t="n">
        <x:v>5</x:v>
      </x:c>
      <x:c r="P1022" s="1" t="str">
        <x:v>中期状態の基準併用：支持状態内の押し再進行で参加・標準</x:v>
      </x:c>
      <x:c r="Q1022" s="49" t="n">
        <x:v>0</x:v>
      </x:c>
      <x:c r="R1022" s="50" t="n">
        <x:v>0.5073809523809524</x:v>
      </x:c>
      <x:c r="S1022" s="50" t="n">
        <x:v>0.5073809523809524</x:v>
      </x:c>
      <x:c r="T1022" s="1" t="str">
        <x:v>デイ</x:v>
      </x:c>
      <x:c r="U1022" s="49" t="n">
        <x:v>1</x:v>
      </x:c>
    </x:row>
    <x:row r="1023" ht="22" customHeight="1">
      <x:c r="A1023" s="1" t="str">
        <x:v>日経mini</x:v>
      </x:c>
      <x:c r="B1023" s="1" t="str">
        <x:v>V03</x:v>
      </x:c>
      <x:c r="C1023" s="1" t="str">
        <x:v>診断3場</x:v>
      </x:c>
      <x:c r="D1023" s="47" t="n">
        <x:v>316000</x:v>
      </x:c>
      <x:c r="E1023" s="47" t="n">
        <x:v>412464</x:v>
      </x:c>
      <x:c r="F1023" s="47" t="n">
        <x:f>D1023-E1023</x:f>
        <x:v>-96464</x:v>
      </x:c>
      <x:c r="G1023" s="49" t="n">
        <x:v>0</x:v>
      </x:c>
      <x:c r="H1023" s="49" t="n">
        <x:v>2</x:v>
      </x:c>
      <x:c r="I1023" s="47" t="n">
        <x:v>-96464</x:v>
      </x:c>
      <x:c r="J1023" s="49" t="n">
        <x:v>31</x:v>
      </x:c>
      <x:c r="K1023" s="47" t="n">
        <x:v>-49078</x:v>
      </x:c>
      <x:c r="L1023" s="47" t="n">
        <x:v>48232</x:v>
      </x:c>
      <x:c r="M1023" s="48" t="n">
        <x:v>135.11666666666667</x:v>
      </x:c>
      <x:c r="N1023" s="48" t="n">
        <x:v>168.50833333333333</x:v>
      </x:c>
      <x:c r="O1023" s="49" t="n">
        <x:v>7</x:v>
      </x:c>
      <x:c r="P1023" s="1" t="str">
        <x:v>中期状態の基準併用：支持状態内の押し再進行で参加・標準</x:v>
      </x:c>
      <x:c r="Q1023" s="49" t="n">
        <x:v>0</x:v>
      </x:c>
      <x:c r="R1023" s="50" t="n">
        <x:v>0.21603632478632478</x:v>
      </x:c>
      <x:c r="S1023" s="50" t="n">
        <x:v>0.21603632478632478</x:v>
      </x:c>
      <x:c r="T1023" s="1" t="str">
        <x:v>ナイト</x:v>
      </x:c>
      <x:c r="U1023" s="49" t="n">
        <x:v>2</x:v>
      </x:c>
    </x:row>
    <x:row r="1024" ht="22" customHeight="1">
      <x:c r="A1024" s="1" t="str">
        <x:v>日経mini</x:v>
      </x:c>
      <x:c r="B1024" s="1" t="str">
        <x:v>V03</x:v>
      </x:c>
      <x:c r="C1024" s="1" t="str">
        <x:v>診断3場</x:v>
      </x:c>
      <x:c r="D1024" s="47" t="n">
        <x:v>191538</x:v>
      </x:c>
      <x:c r="E1024" s="47" t="n">
        <x:v>510310</x:v>
      </x:c>
      <x:c r="F1024" s="47" t="n">
        <x:f>D1024-E1024</x:f>
        <x:v>-318772</x:v>
      </x:c>
      <x:c r="G1024" s="49" t="n">
        <x:v>0</x:v>
      </x:c>
      <x:c r="H1024" s="49" t="n">
        <x:v>2</x:v>
      </x:c>
      <x:c r="I1024" s="47" t="n">
        <x:v>-318772</x:v>
      </x:c>
      <x:c r="J1024" s="49" t="n">
        <x:v>28</x:v>
      </x:c>
      <x:c r="K1024" s="47" t="n">
        <x:v>-271386</x:v>
      </x:c>
      <x:c r="L1024" s="47" t="n">
        <x:v>159386</x:v>
      </x:c>
      <x:c r="M1024" s="48" t="n">
        <x:v>56.325</x:v>
      </x:c>
      <x:c r="N1024" s="48" t="n">
        <x:v>182.33333333333331</x:v>
      </x:c>
      <x:c r="O1024" s="49" t="n">
        <x:v>7</x:v>
      </x:c>
      <x:c r="P1024" s="1" t="str">
        <x:v>中期状態の基準併用：支持状態内の押し再進行で参加・標準</x:v>
      </x:c>
      <x:c r="Q1024" s="49" t="n">
        <x:v>0</x:v>
      </x:c>
      <x:c r="R1024" s="50" t="n">
        <x:v>0.35084859584859585</x:v>
      </x:c>
      <x:c r="S1024" s="50" t="n">
        <x:v>0.3038888888888889</x:v>
      </x:c>
      <x:c r="T1024" s="1" t="str">
        <x:v>上昇</x:v>
      </x:c>
      <x:c r="U1024" s="49" t="n">
        <x:v>2</x:v>
      </x:c>
    </x:row>
    <x:row r="1025" ht="22" customHeight="1">
      <x:c r="A1025" s="1" t="str">
        <x:v>日経mini</x:v>
      </x:c>
      <x:c r="B1025" s="1" t="str">
        <x:v>V03</x:v>
      </x:c>
      <x:c r="C1025" s="1" t="str">
        <x:v>診断3場</x:v>
      </x:c>
      <x:c r="D1025" s="47" t="n">
        <x:v>200000</x:v>
      </x:c>
      <x:c r="E1025" s="47" t="n">
        <x:v>249078</x:v>
      </x:c>
      <x:c r="F1025" s="47" t="n">
        <x:f>D1025-E1025</x:f>
        <x:v>-49078</x:v>
      </x:c>
      <x:c r="G1025" s="49" t="n">
        <x:v>0</x:v>
      </x:c>
      <x:c r="H1025" s="49" t="n">
        <x:v>1</x:v>
      </x:c>
      <x:c r="I1025" s="47" t="n">
        <x:v>-49078</x:v>
      </x:c>
      <x:c r="J1025" s="49" t="n">
        <x:v>17</x:v>
      </x:c>
      <x:c r="K1025" s="47" t="n">
        <x:v>-49078</x:v>
      </x:c>
      <x:c r="L1025" s="47" t="n">
        <x:v>49078</x:v>
      </x:c>
      <x:c r="M1025" s="48" t="n">
        <x:v>181.48333333333332</x:v>
      </x:c>
      <x:c r="N1025" s="48" t="n">
        <x:v>185.45</x:v>
      </x:c>
      <x:c r="O1025" s="49" t="n">
        <x:v>7</x:v>
      </x:c>
      <x:c r="P1025" s="1" t="str">
        <x:v>中期状態の基準併用：支持状態内の押し再進行で参加・標準</x:v>
      </x:c>
      <x:c r="Q1025" s="49" t="n">
        <x:v>0</x:v>
      </x:c>
      <x:c r="R1025" s="50" t="n">
        <x:v>0.23775641025641026</x:v>
      </x:c>
      <x:c r="S1025" s="50" t="n">
        <x:v>0.23775641025641026</x:v>
      </x:c>
      <x:c r="T1025" s="1" t="str">
        <x:v>下落</x:v>
      </x:c>
      <x:c r="U1025" s="49" t="n">
        <x:v>1</x:v>
      </x:c>
    </x:row>
    <x:row r="1026" ht="22" customHeight="1">
      <x:c r="A1026" s="1" t="str">
        <x:v>日経mini</x:v>
      </x:c>
      <x:c r="B1026" s="1" t="str">
        <x:v>V04</x:v>
      </x:c>
      <x:c r="C1026" s="1" t="str">
        <x:v>全50場</x:v>
      </x:c>
      <x:c r="D1026" s="47" t="n">
        <x:v>7405480</x:v>
      </x:c>
      <x:c r="E1026" s="47" t="n">
        <x:v>6424390</x:v>
      </x:c>
      <x:c r="F1026" s="47" t="n">
        <x:f>D1026-E1026</x:f>
        <x:v>981090</x:v>
      </x:c>
      <x:c r="G1026" s="49" t="n">
        <x:v>31</x:v>
      </x:c>
      <x:c r="H1026" s="49" t="n">
        <x:v>19</x:v>
      </x:c>
      <x:c r="I1026" s="47" t="n">
        <x:v>-92140</x:v>
      </x:c>
      <x:c r="J1026" s="49" t="n">
        <x:v>435</x:v>
      </x:c>
      <x:c r="K1026" s="47" t="n">
        <x:v>-245078</x:v>
      </x:c>
      <x:c r="L1026" s="47" t="n">
        <x:v>106218.1052631579</x:v>
      </x:c>
      <x:c r="M1026" s="48" t="n">
        <x:v>115.97966666666667</x:v>
      </x:c>
      <x:c r="N1026" s="48" t="n">
        <x:v>217.25866666666664</x:v>
      </x:c>
      <x:c r="O1026" s="49" t="n">
        <x:v>7</x:v>
      </x:c>
      <x:c r="P1026" s="1" t="str">
        <x:v>中期状態の基準併用：支持状態内の押し再進行で参加・広め</x:v>
      </x:c>
      <x:c r="Q1026" s="49" t="n">
        <x:v>0</x:v>
      </x:c>
      <x:c r="R1026" s="50" t="n">
        <x:v>0.4117700854700855</x:v>
      </x:c>
      <x:c r="S1026" s="50" t="n">
        <x:v>0.36209777777777774</x:v>
      </x:c>
      <x:c r="T1026" s="1" t="str">
        <x:v>全場</x:v>
      </x:c>
      <x:c r="U1026" s="49" t="n">
        <x:v>50</x:v>
      </x:c>
    </x:row>
    <x:row r="1027" ht="22" customHeight="1">
      <x:c r="A1027" s="1" t="str">
        <x:v>日経mini</x:v>
      </x:c>
      <x:c r="B1027" s="1" t="str">
        <x:v>V04</x:v>
      </x:c>
      <x:c r="C1027" s="1" t="str">
        <x:v>全50場</x:v>
      </x:c>
      <x:c r="D1027" s="47" t="n">
        <x:v>4384702</x:v>
      </x:c>
      <x:c r="E1027" s="47" t="n">
        <x:v>3509534</x:v>
      </x:c>
      <x:c r="F1027" s="47" t="n">
        <x:f>D1027-E1027</x:f>
        <x:v>875168</x:v>
      </x:c>
      <x:c r="G1027" s="49" t="n">
        <x:v>15</x:v>
      </x:c>
      <x:c r="H1027" s="49" t="n">
        <x:v>10</x:v>
      </x:c>
      <x:c r="I1027" s="47" t="n">
        <x:v>-198062</x:v>
      </x:c>
      <x:c r="J1027" s="49" t="n">
        <x:v>218</x:v>
      </x:c>
      <x:c r="K1027" s="47" t="n">
        <x:v>-245078</x:v>
      </x:c>
      <x:c r="L1027" s="47" t="n">
        <x:v>128814.4</x:v>
      </x:c>
      <x:c r="M1027" s="48" t="n">
        <x:v>54.42333333333333</x:v>
      </x:c>
      <x:c r="N1027" s="48" t="n">
        <x:v>242.48466666666667</x:v>
      </x:c>
      <x:c r="O1027" s="49" t="n">
        <x:v>7</x:v>
      </x:c>
      <x:c r="P1027" s="1" t="str">
        <x:v>中期状態の基準併用：支持状態内の押し再進行で参加・広め</x:v>
      </x:c>
      <x:c r="Q1027" s="49" t="n">
        <x:v>0</x:v>
      </x:c>
      <x:c r="R1027" s="50" t="n">
        <x:v>0.5773444444444444</x:v>
      </x:c>
      <x:c r="S1027" s="50" t="n">
        <x:v>0.5773444444444444</x:v>
      </x:c>
      <x:c r="T1027" s="1" t="str">
        <x:v>デイ</x:v>
      </x:c>
      <x:c r="U1027" s="49" t="n">
        <x:v>25</x:v>
      </x:c>
    </x:row>
    <x:row r="1028" ht="22" customHeight="1">
      <x:c r="A1028" s="1" t="str">
        <x:v>日経mini</x:v>
      </x:c>
      <x:c r="B1028" s="1" t="str">
        <x:v>V04</x:v>
      </x:c>
      <x:c r="C1028" s="1" t="str">
        <x:v>全50場</x:v>
      </x:c>
      <x:c r="D1028" s="47" t="n">
        <x:v>3020778</x:v>
      </x:c>
      <x:c r="E1028" s="47" t="n">
        <x:v>2914856</x:v>
      </x:c>
      <x:c r="F1028" s="47" t="n">
        <x:f>D1028-E1028</x:f>
        <x:v>105922</x:v>
      </x:c>
      <x:c r="G1028" s="49" t="n">
        <x:v>16</x:v>
      </x:c>
      <x:c r="H1028" s="49" t="n">
        <x:v>9</x:v>
      </x:c>
      <x:c r="I1028" s="47" t="n">
        <x:v>-247694</x:v>
      </x:c>
      <x:c r="J1028" s="49" t="n">
        <x:v>217</x:v>
      </x:c>
      <x:c r="K1028" s="47" t="n">
        <x:v>-211308</x:v>
      </x:c>
      <x:c r="L1028" s="47" t="n">
        <x:v>81111.11111111111</x:v>
      </x:c>
      <x:c r="M1028" s="48" t="n">
        <x:v>177.53599999999997</x:v>
      </x:c>
      <x:c r="N1028" s="48" t="n">
        <x:v>192.03266666666667</x:v>
      </x:c>
      <x:c r="O1028" s="49" t="n">
        <x:v>7</x:v>
      </x:c>
      <x:c r="P1028" s="1" t="str">
        <x:v>中期状態の基準併用：支持状態内の押し再進行で参加・広め</x:v>
      </x:c>
      <x:c r="Q1028" s="49" t="n">
        <x:v>0</x:v>
      </x:c>
      <x:c r="R1028" s="50" t="n">
        <x:v>0.2461957264957265</x:v>
      </x:c>
      <x:c r="S1028" s="50" t="n">
        <x:v>0.2461957264957265</x:v>
      </x:c>
      <x:c r="T1028" s="1" t="str">
        <x:v>ナイト</x:v>
      </x:c>
      <x:c r="U1028" s="49" t="n">
        <x:v>25</x:v>
      </x:c>
    </x:row>
    <x:row r="1029" ht="22" customHeight="1">
      <x:c r="A1029" s="1" t="str">
        <x:v>日経mini</x:v>
      </x:c>
      <x:c r="B1029" s="1" t="str">
        <x:v>V04</x:v>
      </x:c>
      <x:c r="C1029" s="1" t="str">
        <x:v>全50場</x:v>
      </x:c>
      <x:c r="D1029" s="47" t="n">
        <x:v>3052928</x:v>
      </x:c>
      <x:c r="E1029" s="47" t="n">
        <x:v>3362466</x:v>
      </x:c>
      <x:c r="F1029" s="47" t="n">
        <x:f>D1029-E1029</x:f>
        <x:v>-309538</x:v>
      </x:c>
      <x:c r="G1029" s="49" t="n">
        <x:v>14</x:v>
      </x:c>
      <x:c r="H1029" s="49" t="n">
        <x:v>10</x:v>
      </x:c>
      <x:c r="I1029" s="47" t="n">
        <x:v>-688616</x:v>
      </x:c>
      <x:c r="J1029" s="49" t="n">
        <x:v>216</x:v>
      </x:c>
      <x:c r="K1029" s="47" t="n">
        <x:v>-245078</x:v>
      </x:c>
      <x:c r="L1029" s="47" t="n">
        <x:v>123653.6</x:v>
      </x:c>
      <x:c r="M1029" s="48" t="n">
        <x:v>106.85902777777778</x:v>
      </x:c>
      <x:c r="N1029" s="48" t="n">
        <x:v>215.17222222222222</x:v>
      </x:c>
      <x:c r="O1029" s="49" t="n">
        <x:v>7</x:v>
      </x:c>
      <x:c r="P1029" s="1" t="str">
        <x:v>中期状態の基準併用：支持状態内の押し再進行で参加・広め</x:v>
      </x:c>
      <x:c r="Q1029" s="49" t="n">
        <x:v>0</x:v>
      </x:c>
      <x:c r="R1029" s="50" t="n">
        <x:v>0.3882809320309321</x:v>
      </x:c>
      <x:c r="S1029" s="50" t="n">
        <x:v>0.349873532068654</x:v>
      </x:c>
      <x:c r="T1029" s="1" t="str">
        <x:v>上昇</x:v>
      </x:c>
      <x:c r="U1029" s="49" t="n">
        <x:v>24</x:v>
      </x:c>
    </x:row>
    <x:row r="1030" ht="22" customHeight="1">
      <x:c r="A1030" s="1" t="str">
        <x:v>日経mini</x:v>
      </x:c>
      <x:c r="B1030" s="1" t="str">
        <x:v>V04</x:v>
      </x:c>
      <x:c r="C1030" s="1" t="str">
        <x:v>全50場</x:v>
      </x:c>
      <x:c r="D1030" s="47" t="n">
        <x:v>4352552</x:v>
      </x:c>
      <x:c r="E1030" s="47" t="n">
        <x:v>3061924</x:v>
      </x:c>
      <x:c r="F1030" s="47" t="n">
        <x:f>D1030-E1030</x:f>
        <x:v>1290628</x:v>
      </x:c>
      <x:c r="G1030" s="49" t="n">
        <x:v>17</x:v>
      </x:c>
      <x:c r="H1030" s="49" t="n">
        <x:v>9</x:v>
      </x:c>
      <x:c r="I1030" s="47" t="n">
        <x:v>217398</x:v>
      </x:c>
      <x:c r="J1030" s="49" t="n">
        <x:v>219</x:v>
      </x:c>
      <x:c r="K1030" s="47" t="n">
        <x:v>-224690</x:v>
      </x:c>
      <x:c r="L1030" s="47" t="n">
        <x:v>86845.33333333333</x:v>
      </x:c>
      <x:c r="M1030" s="48" t="n">
        <x:v>124.39871794871793</x:v>
      </x:c>
      <x:c r="N1030" s="48" t="n">
        <x:v>219.18461538461537</x:v>
      </x:c>
      <x:c r="O1030" s="49" t="n">
        <x:v>7</x:v>
      </x:c>
      <x:c r="P1030" s="1" t="str">
        <x:v>中期状態の基準併用：支持状態内の押し再進行で参加・広め</x:v>
      </x:c>
      <x:c r="Q1030" s="49" t="n">
        <x:v>0</x:v>
      </x:c>
      <x:c r="R1030" s="50" t="n">
        <x:v>0.433452380952381</x:v>
      </x:c>
      <x:c r="S1030" s="50" t="n">
        <x:v>0.37393700787401574</x:v>
      </x:c>
      <x:c r="T1030" s="1" t="str">
        <x:v>下落</x:v>
      </x:c>
      <x:c r="U1030" s="49" t="n">
        <x:v>26</x:v>
      </x:c>
    </x:row>
    <x:row r="1031" ht="22" customHeight="1">
      <x:c r="A1031" s="1" t="str">
        <x:v>日経mini</x:v>
      </x:c>
      <x:c r="B1031" s="1" t="str">
        <x:v>V04</x:v>
      </x:c>
      <x:c r="C1031" s="1" t="str">
        <x:v>対照47場</x:v>
      </x:c>
      <x:c r="D1031" s="47" t="n">
        <x:v>7111172</x:v>
      </x:c>
      <x:c r="E1031" s="47" t="n">
        <x:v>5691310</x:v>
      </x:c>
      <x:c r="F1031" s="47" t="n">
        <x:f>D1031-E1031</x:f>
        <x:v>1419862</x:v>
      </x:c>
      <x:c r="G1031" s="49" t="n">
        <x:v>31</x:v>
      </x:c>
      <x:c r="H1031" s="49" t="n">
        <x:v>16</x:v>
      </x:c>
      <x:c r="I1031" s="47" t="n">
        <x:v>346632</x:v>
      </x:c>
      <x:c r="J1031" s="49" t="n">
        <x:v>397</x:v>
      </x:c>
      <x:c r="K1031" s="47" t="n">
        <x:v>-226770</x:v>
      </x:c>
      <x:c r="L1031" s="47" t="n">
        <x:v>98710.75</x:v>
      </x:c>
      <x:c r="M1031" s="48" t="n">
        <x:v>117.12446808510639</x:v>
      </x:c>
      <x:c r="N1031" s="48" t="n">
        <x:v>215.1234042553191</x:v>
      </x:c>
      <x:c r="O1031" s="49" t="n">
        <x:v>7</x:v>
      </x:c>
      <x:c r="P1031" s="1" t="str">
        <x:v>中期状態の基準併用：支持状態内の押し再進行で参加・広め</x:v>
      </x:c>
      <x:c r="Q1031" s="49" t="n">
        <x:v>0</x:v>
      </x:c>
      <x:c r="R1031" s="50" t="n">
        <x:v>0.4120863533629491</x:v>
      </x:c>
      <x:c r="S1031" s="50" t="n">
        <x:v>0.360842255531763</x:v>
      </x:c>
      <x:c r="T1031" s="1" t="str">
        <x:v>全場</x:v>
      </x:c>
      <x:c r="U1031" s="49" t="n">
        <x:v>47</x:v>
      </x:c>
    </x:row>
    <x:row r="1032" ht="22" customHeight="1">
      <x:c r="A1032" s="1" t="str">
        <x:v>日経mini</x:v>
      </x:c>
      <x:c r="B1032" s="1" t="str">
        <x:v>V04</x:v>
      </x:c>
      <x:c r="C1032" s="1" t="str">
        <x:v>対照47場</x:v>
      </x:c>
      <x:c r="D1032" s="47" t="n">
        <x:v>4349010</x:v>
      </x:c>
      <x:c r="E1032" s="47" t="n">
        <x:v>3228764</x:v>
      </x:c>
      <x:c r="F1032" s="47" t="n">
        <x:f>D1032-E1032</x:f>
        <x:v>1120246</x:v>
      </x:c>
      <x:c r="G1032" s="49" t="n">
        <x:v>15</x:v>
      </x:c>
      <x:c r="H1032" s="49" t="n">
        <x:v>9</x:v>
      </x:c>
      <x:c r="I1032" s="47" t="n">
        <x:v>47016</x:v>
      </x:c>
      <x:c r="J1032" s="49" t="n">
        <x:v>206</x:v>
      </x:c>
      <x:c r="K1032" s="47" t="n">
        <x:v>-226770</x:v>
      </x:c>
      <x:c r="L1032" s="47" t="n">
        <x:v>115896.22222222222</x:v>
      </x:c>
      <x:c r="M1032" s="48" t="n">
        <x:v>55.695138888888884</x:v>
      </x:c>
      <x:c r="N1032" s="48" t="n">
        <x:v>242.875</x:v>
      </x:c>
      <x:c r="O1032" s="49" t="n">
        <x:v>7</x:v>
      </x:c>
      <x:c r="P1032" s="1" t="str">
        <x:v>中期状態の基準併用：支持状態内の押し再進行で参加・広め</x:v>
      </x:c>
      <x:c r="Q1032" s="49" t="n">
        <x:v>0</x:v>
      </x:c>
      <x:c r="R1032" s="50" t="n">
        <x:v>0.5782738095238096</x:v>
      </x:c>
      <x:c r="S1032" s="50" t="n">
        <x:v>0.5782738095238096</x:v>
      </x:c>
      <x:c r="T1032" s="1" t="str">
        <x:v>デイ</x:v>
      </x:c>
      <x:c r="U1032" s="49" t="n">
        <x:v>24</x:v>
      </x:c>
    </x:row>
    <x:row r="1033" ht="22" customHeight="1">
      <x:c r="A1033" s="1" t="str">
        <x:v>日経mini</x:v>
      </x:c>
      <x:c r="B1033" s="1" t="str">
        <x:v>V04</x:v>
      </x:c>
      <x:c r="C1033" s="1" t="str">
        <x:v>対照47場</x:v>
      </x:c>
      <x:c r="D1033" s="47" t="n">
        <x:v>2762162</x:v>
      </x:c>
      <x:c r="E1033" s="47" t="n">
        <x:v>2462546</x:v>
      </x:c>
      <x:c r="F1033" s="47" t="n">
        <x:f>D1033-E1033</x:f>
        <x:v>299616</x:v>
      </x:c>
      <x:c r="G1033" s="49" t="n">
        <x:v>16</x:v>
      </x:c>
      <x:c r="H1033" s="49" t="n">
        <x:v>7</x:v>
      </x:c>
      <x:c r="I1033" s="47" t="n">
        <x:v>-54000</x:v>
      </x:c>
      <x:c r="J1033" s="49" t="n">
        <x:v>191</x:v>
      </x:c>
      <x:c r="K1033" s="47" t="n">
        <x:v>-211308</x:v>
      </x:c>
      <x:c r="L1033" s="47" t="n">
        <x:v>76615.14285714286</x:v>
      </x:c>
      <x:c r="M1033" s="48" t="n">
        <x:v>181.2246376811594</x:v>
      </x:c>
      <x:c r="N1033" s="48" t="n">
        <x:v>186.16521739130437</x:v>
      </x:c>
      <x:c r="O1033" s="49" t="n">
        <x:v>7</x:v>
      </x:c>
      <x:c r="P1033" s="1" t="str">
        <x:v>中期状態の基準併用：支持状態内の押し再進行で参加・広め</x:v>
      </x:c>
      <x:c r="Q1033" s="49" t="n">
        <x:v>0</x:v>
      </x:c>
      <x:c r="R1033" s="50" t="n">
        <x:v>0.23867335562987732</x:v>
      </x:c>
      <x:c r="S1033" s="50" t="n">
        <x:v>0.23867335562987738</x:v>
      </x:c>
      <x:c r="T1033" s="1" t="str">
        <x:v>ナイト</x:v>
      </x:c>
      <x:c r="U1033" s="49" t="n">
        <x:v>23</x:v>
      </x:c>
    </x:row>
    <x:row r="1034" ht="22" customHeight="1">
      <x:c r="A1034" s="1" t="str">
        <x:v>日経mini</x:v>
      </x:c>
      <x:c r="B1034" s="1" t="str">
        <x:v>V04</x:v>
      </x:c>
      <x:c r="C1034" s="1" t="str">
        <x:v>対照47場</x:v>
      </x:c>
      <x:c r="D1034" s="47" t="n">
        <x:v>2921082</x:v>
      </x:c>
      <x:c r="E1034" s="47" t="n">
        <x:v>2962618</x:v>
      </x:c>
      <x:c r="F1034" s="47" t="n">
        <x:f>D1034-E1034</x:f>
        <x:v>-41536</x:v>
      </x:c>
      <x:c r="G1034" s="49" t="n">
        <x:v>14</x:v>
      </x:c>
      <x:c r="H1034" s="49" t="n">
        <x:v>8</x:v>
      </x:c>
      <x:c r="I1034" s="47" t="n">
        <x:v>-420614</x:v>
      </x:c>
      <x:c r="J1034" s="49" t="n">
        <x:v>193</x:v>
      </x:c>
      <x:c r="K1034" s="47" t="n">
        <x:v>-226770</x:v>
      </x:c>
      <x:c r="L1034" s="47" t="n">
        <x:v>121066.75</x:v>
      </x:c>
      <x:c r="M1034" s="48" t="n">
        <x:v>111.4530303030303</x:v>
      </x:c>
      <x:c r="N1034" s="48" t="n">
        <x:v>211.9030303030303</x:v>
      </x:c>
      <x:c r="O1034" s="49" t="n">
        <x:v>7</x:v>
      </x:c>
      <x:c r="P1034" s="1" t="str">
        <x:v>中期状態の基準併用：支持状態内の押し再進行で参加・広め</x:v>
      </x:c>
      <x:c r="Q1034" s="49" t="n">
        <x:v>0</x:v>
      </x:c>
      <x:c r="R1034" s="50" t="n">
        <x:v>0.3826653901653902</x:v>
      </x:c>
      <x:c r="S1034" s="50" t="n">
        <x:v>0.343795476892822</x:v>
      </x:c>
      <x:c r="T1034" s="1" t="str">
        <x:v>上昇</x:v>
      </x:c>
      <x:c r="U1034" s="49" t="n">
        <x:v>22</x:v>
      </x:c>
    </x:row>
    <x:row r="1035" ht="22" customHeight="1">
      <x:c r="A1035" s="1" t="str">
        <x:v>日経mini</x:v>
      </x:c>
      <x:c r="B1035" s="1" t="str">
        <x:v>V04</x:v>
      </x:c>
      <x:c r="C1035" s="1" t="str">
        <x:v>対照47場</x:v>
      </x:c>
      <x:c r="D1035" s="47" t="n">
        <x:v>4190090</x:v>
      </x:c>
      <x:c r="E1035" s="47" t="n">
        <x:v>2728692</x:v>
      </x:c>
      <x:c r="F1035" s="47" t="n">
        <x:f>D1035-E1035</x:f>
        <x:v>1461398</x:v>
      </x:c>
      <x:c r="G1035" s="49" t="n">
        <x:v>17</x:v>
      </x:c>
      <x:c r="H1035" s="49" t="n">
        <x:v>8</x:v>
      </x:c>
      <x:c r="I1035" s="47" t="n">
        <x:v>388168</x:v>
      </x:c>
      <x:c r="J1035" s="49" t="n">
        <x:v>204</x:v>
      </x:c>
      <x:c r="K1035" s="47" t="n">
        <x:v>-224690</x:v>
      </x:c>
      <x:c r="L1035" s="47" t="n">
        <x:v>76354.75</x:v>
      </x:c>
      <x:c r="M1035" s="48" t="n">
        <x:v>122.11533333333333</x:v>
      </x:c>
      <x:c r="N1035" s="48" t="n">
        <x:v>217.9573333333333</x:v>
      </x:c>
      <x:c r="O1035" s="49" t="n">
        <x:v>7</x:v>
      </x:c>
      <x:c r="P1035" s="1" t="str">
        <x:v>中期状態の基準併用：支持状態内の押し再進行で参加・広め</x:v>
      </x:c>
      <x:c r="Q1035" s="49" t="n">
        <x:v>0</x:v>
      </x:c>
      <x:c r="R1035" s="50" t="n">
        <x:v>0.43797680097680103</x:v>
      </x:c>
      <x:c r="S1035" s="50" t="n">
        <x:v>0.3768280313508529</x:v>
      </x:c>
      <x:c r="T1035" s="1" t="str">
        <x:v>下落</x:v>
      </x:c>
      <x:c r="U1035" s="49" t="n">
        <x:v>25</x:v>
      </x:c>
    </x:row>
    <x:row r="1036" ht="22" customHeight="1">
      <x:c r="A1036" s="1" t="str">
        <x:v>日経mini</x:v>
      </x:c>
      <x:c r="B1036" s="1" t="str">
        <x:v>V04</x:v>
      </x:c>
      <x:c r="C1036" s="1" t="str">
        <x:v>診断3場</x:v>
      </x:c>
      <x:c r="D1036" s="47" t="n">
        <x:v>294308</x:v>
      </x:c>
      <x:c r="E1036" s="47" t="n">
        <x:v>733080</x:v>
      </x:c>
      <x:c r="F1036" s="47" t="n">
        <x:f>D1036-E1036</x:f>
        <x:v>-438772</x:v>
      </x:c>
      <x:c r="G1036" s="49" t="n">
        <x:v>0</x:v>
      </x:c>
      <x:c r="H1036" s="49" t="n">
        <x:v>3</x:v>
      </x:c>
      <x:c r="I1036" s="47" t="n">
        <x:v>-438772</x:v>
      </x:c>
      <x:c r="J1036" s="49" t="n">
        <x:v>38</x:v>
      </x:c>
      <x:c r="K1036" s="47" t="n">
        <x:v>-245078</x:v>
      </x:c>
      <x:c r="L1036" s="47" t="n">
        <x:v>146257.33333333334</x:v>
      </x:c>
      <x:c r="M1036" s="48" t="n">
        <x:v>98.04444444444444</x:v>
      </x:c>
      <x:c r="N1036" s="48" t="n">
        <x:v>250.7111111111111</x:v>
      </x:c>
      <x:c r="O1036" s="49" t="n">
        <x:v>7</x:v>
      </x:c>
      <x:c r="P1036" s="1" t="str">
        <x:v>中期状態の基準併用：支持状態内の押し再進行で参加・広め</x:v>
      </x:c>
      <x:c r="Q1036" s="49" t="n">
        <x:v>0</x:v>
      </x:c>
      <x:c r="R1036" s="50" t="n">
        <x:v>0.40681522181522184</x:v>
      </x:c>
      <x:c r="S1036" s="50" t="n">
        <x:v>0.37986531986531985</x:v>
      </x:c>
      <x:c r="T1036" s="1" t="str">
        <x:v>全場</x:v>
      </x:c>
      <x:c r="U1036" s="49" t="n">
        <x:v>3</x:v>
      </x:c>
    </x:row>
    <x:row r="1037" ht="22" customHeight="1">
      <x:c r="A1037" s="1" t="str">
        <x:v>日経mini</x:v>
      </x:c>
      <x:c r="B1037" s="1" t="str">
        <x:v>V04</x:v>
      </x:c>
      <x:c r="C1037" s="1" t="str">
        <x:v>診断3場</x:v>
      </x:c>
      <x:c r="D1037" s="47" t="n">
        <x:v>35692</x:v>
      </x:c>
      <x:c r="E1037" s="47" t="n">
        <x:v>280770</x:v>
      </x:c>
      <x:c r="F1037" s="47" t="n">
        <x:f>D1037-E1037</x:f>
        <x:v>-245078</x:v>
      </x:c>
      <x:c r="G1037" s="49" t="n">
        <x:v>0</x:v>
      </x:c>
      <x:c r="H1037" s="49" t="n">
        <x:v>1</x:v>
      </x:c>
      <x:c r="I1037" s="47" t="n">
        <x:v>-245078</x:v>
      </x:c>
      <x:c r="J1037" s="49" t="n">
        <x:v>12</x:v>
      </x:c>
      <x:c r="K1037" s="47" t="n">
        <x:v>-245078</x:v>
      </x:c>
      <x:c r="L1037" s="47" t="n">
        <x:v>245078</x:v>
      </x:c>
      <x:c r="M1037" s="48" t="n">
        <x:v>23.9</x:v>
      </x:c>
      <x:c r="N1037" s="48" t="n">
        <x:v>233.11666666666667</x:v>
      </x:c>
      <x:c r="O1037" s="49" t="n">
        <x:v>5</x:v>
      </x:c>
      <x:c r="P1037" s="1" t="str">
        <x:v>中期状態の基準併用：支持状態内の押し再進行で参加・広め</x:v>
      </x:c>
      <x:c r="Q1037" s="49" t="n">
        <x:v>0</x:v>
      </x:c>
      <x:c r="R1037" s="50" t="n">
        <x:v>0.5550396825396825</x:v>
      </x:c>
      <x:c r="S1037" s="50" t="n">
        <x:v>0.5550396825396826</x:v>
      </x:c>
      <x:c r="T1037" s="1" t="str">
        <x:v>デイ</x:v>
      </x:c>
      <x:c r="U1037" s="49" t="n">
        <x:v>1</x:v>
      </x:c>
    </x:row>
    <x:row r="1038" ht="22" customHeight="1">
      <x:c r="A1038" s="1" t="str">
        <x:v>日経mini</x:v>
      </x:c>
      <x:c r="B1038" s="1" t="str">
        <x:v>V04</x:v>
      </x:c>
      <x:c r="C1038" s="1" t="str">
        <x:v>診断3場</x:v>
      </x:c>
      <x:c r="D1038" s="47" t="n">
        <x:v>258616</x:v>
      </x:c>
      <x:c r="E1038" s="47" t="n">
        <x:v>452310</x:v>
      </x:c>
      <x:c r="F1038" s="47" t="n">
        <x:f>D1038-E1038</x:f>
        <x:v>-193694</x:v>
      </x:c>
      <x:c r="G1038" s="49" t="n">
        <x:v>0</x:v>
      </x:c>
      <x:c r="H1038" s="49" t="n">
        <x:v>2</x:v>
      </x:c>
      <x:c r="I1038" s="47" t="n">
        <x:v>-193694</x:v>
      </x:c>
      <x:c r="J1038" s="49" t="n">
        <x:v>26</x:v>
      </x:c>
      <x:c r="K1038" s="47" t="n">
        <x:v>-170770</x:v>
      </x:c>
      <x:c r="L1038" s="47" t="n">
        <x:v>96847</x:v>
      </x:c>
      <x:c r="M1038" s="48" t="n">
        <x:v>135.11666666666667</x:v>
      </x:c>
      <x:c r="N1038" s="48" t="n">
        <x:v>259.5083333333333</x:v>
      </x:c>
      <x:c r="O1038" s="49" t="n">
        <x:v>7</x:v>
      </x:c>
      <x:c r="P1038" s="1" t="str">
        <x:v>中期状態の基準併用：支持状態内の押し再進行で参加・広め</x:v>
      </x:c>
      <x:c r="Q1038" s="49" t="n">
        <x:v>0</x:v>
      </x:c>
      <x:c r="R1038" s="50" t="n">
        <x:v>0.3327029914529914</x:v>
      </x:c>
      <x:c r="S1038" s="50" t="n">
        <x:v>0.3327029914529914</x:v>
      </x:c>
      <x:c r="T1038" s="1" t="str">
        <x:v>ナイト</x:v>
      </x:c>
      <x:c r="U1038" s="49" t="n">
        <x:v>2</x:v>
      </x:c>
    </x:row>
    <x:row r="1039" ht="22" customHeight="1">
      <x:c r="A1039" s="1" t="str">
        <x:v>日経mini</x:v>
      </x:c>
      <x:c r="B1039" s="1" t="str">
        <x:v>V04</x:v>
      </x:c>
      <x:c r="C1039" s="1" t="str">
        <x:v>診断3場</x:v>
      </x:c>
      <x:c r="D1039" s="47" t="n">
        <x:v>131846</x:v>
      </x:c>
      <x:c r="E1039" s="47" t="n">
        <x:v>399848</x:v>
      </x:c>
      <x:c r="F1039" s="47" t="n">
        <x:f>D1039-E1039</x:f>
        <x:v>-268002</x:v>
      </x:c>
      <x:c r="G1039" s="49" t="n">
        <x:v>0</x:v>
      </x:c>
      <x:c r="H1039" s="49" t="n">
        <x:v>2</x:v>
      </x:c>
      <x:c r="I1039" s="47" t="n">
        <x:v>-268002</x:v>
      </x:c>
      <x:c r="J1039" s="49" t="n">
        <x:v>23</x:v>
      </x:c>
      <x:c r="K1039" s="47" t="n">
        <x:v>-245078</x:v>
      </x:c>
      <x:c r="L1039" s="47" t="n">
        <x:v>134001</x:v>
      </x:c>
      <x:c r="M1039" s="48" t="n">
        <x:v>56.325</x:v>
      </x:c>
      <x:c r="N1039" s="48" t="n">
        <x:v>251.13333333333333</x:v>
      </x:c>
      <x:c r="O1039" s="49" t="n">
        <x:v>7</x:v>
      </x:c>
      <x:c r="P1039" s="1" t="str">
        <x:v>中期状態の基準併用：支持状態内の押し再進行で参加・広め</x:v>
      </x:c>
      <x:c r="Q1039" s="49" t="n">
        <x:v>0</x:v>
      </x:c>
      <x:c r="R1039" s="50" t="n">
        <x:v>0.45005189255189254</x:v>
      </x:c>
      <x:c r="S1039" s="50" t="n">
        <x:v>0.41855555555555557</x:v>
      </x:c>
      <x:c r="T1039" s="1" t="str">
        <x:v>上昇</x:v>
      </x:c>
      <x:c r="U1039" s="49" t="n">
        <x:v>2</x:v>
      </x:c>
    </x:row>
    <x:row r="1040" ht="22" customHeight="1">
      <x:c r="A1040" s="1" t="str">
        <x:v>日経mini</x:v>
      </x:c>
      <x:c r="B1040" s="1" t="str">
        <x:v>V04</x:v>
      </x:c>
      <x:c r="C1040" s="1" t="str">
        <x:v>診断3場</x:v>
      </x:c>
      <x:c r="D1040" s="47" t="n">
        <x:v>162462</x:v>
      </x:c>
      <x:c r="E1040" s="47" t="n">
        <x:v>333232</x:v>
      </x:c>
      <x:c r="F1040" s="47" t="n">
        <x:f>D1040-E1040</x:f>
        <x:v>-170770</x:v>
      </x:c>
      <x:c r="G1040" s="49" t="n">
        <x:v>0</x:v>
      </x:c>
      <x:c r="H1040" s="49" t="n">
        <x:v>1</x:v>
      </x:c>
      <x:c r="I1040" s="47" t="n">
        <x:v>-170770</x:v>
      </x:c>
      <x:c r="J1040" s="49" t="n">
        <x:v>15</x:v>
      </x:c>
      <x:c r="K1040" s="47" t="n">
        <x:v>-170770</x:v>
      </x:c>
      <x:c r="L1040" s="47" t="n">
        <x:v>170770</x:v>
      </x:c>
      <x:c r="M1040" s="48" t="n">
        <x:v>181.48333333333332</x:v>
      </x:c>
      <x:c r="N1040" s="48" t="n">
        <x:v>249.86666666666667</x:v>
      </x:c>
      <x:c r="O1040" s="49" t="n">
        <x:v>7</x:v>
      </x:c>
      <x:c r="P1040" s="1" t="str">
        <x:v>中期状態の基準併用：支持状態内の押し再進行で参加・広め</x:v>
      </x:c>
      <x:c r="Q1040" s="49" t="n">
        <x:v>0</x:v>
      </x:c>
      <x:c r="R1040" s="50" t="n">
        <x:v>0.3203418803418803</x:v>
      </x:c>
      <x:c r="S1040" s="50" t="n">
        <x:v>0.3203418803418803</x:v>
      </x:c>
      <x:c r="T1040" s="1" t="str">
        <x:v>下落</x:v>
      </x:c>
      <x:c r="U1040" s="49" t="n">
        <x:v>1</x:v>
      </x:c>
    </x:row>
    <x:row r="1041" ht="22" customHeight="1">
      <x:c r="A1041" s="1" t="str">
        <x:v>日経mini</x:v>
      </x:c>
      <x:c r="B1041" s="1" t="str">
        <x:v>V05</x:v>
      </x:c>
      <x:c r="C1041" s="1" t="str">
        <x:v>全50場</x:v>
      </x:c>
      <x:c r="D1041" s="47" t="n">
        <x:v>10619146</x:v>
      </x:c>
      <x:c r="E1041" s="47" t="n">
        <x:v>10805356</x:v>
      </x:c>
      <x:c r="F1041" s="47" t="n">
        <x:f>D1041-E1041</x:f>
        <x:v>-186210</x:v>
      </x:c>
      <x:c r="G1041" s="49" t="n">
        <x:v>24</x:v>
      </x:c>
      <x:c r="H1041" s="49" t="n">
        <x:v>26</x:v>
      </x:c>
      <x:c r="I1041" s="47" t="n">
        <x:v>-1235436</x:v>
      </x:c>
      <x:c r="J1041" s="49" t="n">
        <x:v>885</x:v>
      </x:c>
      <x:c r="K1041" s="47" t="n">
        <x:v>-293922</x:v>
      </x:c>
      <x:c r="L1041" s="47" t="n">
        <x:v>102637.23076923077</x:v>
      </x:c>
      <x:c r="M1041" s="48" t="n">
        <x:v>36.943</x:v>
      </x:c>
      <x:c r="N1041" s="48" t="n">
        <x:v>315.68233333333336</x:v>
      </x:c>
      <x:c r="O1041" s="49" t="n">
        <x:v>7</x:v>
      </x:c>
      <x:c r="P1041" s="1" t="str">
        <x:v>中期状態の基準併用：同方向失敗後は新しい押し再進行を待つ・標準</x:v>
      </x:c>
      <x:c r="Q1041" s="49" t="n">
        <x:v>0</x:v>
      </x:c>
      <x:c r="R1041" s="50" t="n">
        <x:v>0.5660202075702077</x:v>
      </x:c>
      <x:c r="S1041" s="50" t="n">
        <x:v>0.5261372222222223</x:v>
      </x:c>
      <x:c r="T1041" s="1" t="str">
        <x:v>全場</x:v>
      </x:c>
      <x:c r="U1041" s="49" t="n">
        <x:v>50</x:v>
      </x:c>
    </x:row>
    <x:row r="1042" ht="22" customHeight="1">
      <x:c r="A1042" s="1" t="str">
        <x:v>日経mini</x:v>
      </x:c>
      <x:c r="B1042" s="1" t="str">
        <x:v>V05</x:v>
      </x:c>
      <x:c r="C1042" s="1" t="str">
        <x:v>全50場</x:v>
      </x:c>
      <x:c r="D1042" s="47" t="n">
        <x:v>5703154</x:v>
      </x:c>
      <x:c r="E1042" s="47" t="n">
        <x:v>5328474</x:v>
      </x:c>
      <x:c r="F1042" s="47" t="n">
        <x:f>D1042-E1042</x:f>
        <x:v>374680</x:v>
      </x:c>
      <x:c r="G1042" s="49" t="n">
        <x:v>14</x:v>
      </x:c>
      <x:c r="H1042" s="49" t="n">
        <x:v>11</x:v>
      </x:c>
      <x:c r="I1042" s="47" t="n">
        <x:v>-674546</x:v>
      </x:c>
      <x:c r="J1042" s="49" t="n">
        <x:v>390</x:v>
      </x:c>
      <x:c r="K1042" s="47" t="n">
        <x:v>-293922</x:v>
      </x:c>
      <x:c r="L1042" s="47" t="n">
        <x:v>133923.27272727274</x:v>
      </x:c>
      <x:c r="M1042" s="48" t="n">
        <x:v>30.77</x:v>
      </x:c>
      <x:c r="N1042" s="48" t="n">
        <x:v>293.56466666666665</x:v>
      </x:c>
      <x:c r="O1042" s="49" t="n">
        <x:v>7</x:v>
      </x:c>
      <x:c r="P1042" s="1" t="str">
        <x:v>中期状態の基準併用：同方向失敗後は新しい押し再進行を待つ・標準</x:v>
      </x:c>
      <x:c r="Q1042" s="49" t="n">
        <x:v>0</x:v>
      </x:c>
      <x:c r="R1042" s="50" t="n">
        <x:v>0.698963492063492</x:v>
      </x:c>
      <x:c r="S1042" s="50" t="n">
        <x:v>0.6989634920634921</x:v>
      </x:c>
      <x:c r="T1042" s="1" t="str">
        <x:v>デイ</x:v>
      </x:c>
      <x:c r="U1042" s="49" t="n">
        <x:v>25</x:v>
      </x:c>
    </x:row>
    <x:row r="1043" ht="22" customHeight="1">
      <x:c r="A1043" s="1" t="str">
        <x:v>日経mini</x:v>
      </x:c>
      <x:c r="B1043" s="1" t="str">
        <x:v>V05</x:v>
      </x:c>
      <x:c r="C1043" s="1" t="str">
        <x:v>全50場</x:v>
      </x:c>
      <x:c r="D1043" s="47" t="n">
        <x:v>4915992</x:v>
      </x:c>
      <x:c r="E1043" s="47" t="n">
        <x:v>5476882</x:v>
      </x:c>
      <x:c r="F1043" s="47" t="n">
        <x:f>D1043-E1043</x:f>
        <x:v>-560890</x:v>
      </x:c>
      <x:c r="G1043" s="49" t="n">
        <x:v>10</x:v>
      </x:c>
      <x:c r="H1043" s="49" t="n">
        <x:v>15</x:v>
      </x:c>
      <x:c r="I1043" s="47" t="n">
        <x:v>-879578</x:v>
      </x:c>
      <x:c r="J1043" s="49" t="n">
        <x:v>495</x:v>
      </x:c>
      <x:c r="K1043" s="47" t="n">
        <x:v>-194462</x:v>
      </x:c>
      <x:c r="L1043" s="47" t="n">
        <x:v>79694.13333333333</x:v>
      </x:c>
      <x:c r="M1043" s="48" t="n">
        <x:v>43.11600000000001</x:v>
      </x:c>
      <x:c r="N1043" s="48" t="n">
        <x:v>337.8</x:v>
      </x:c>
      <x:c r="O1043" s="49" t="n">
        <x:v>7</x:v>
      </x:c>
      <x:c r="P1043" s="1" t="str">
        <x:v>中期状態の基準併用：同方向失敗後は新しい押し再進行を待つ・標準</x:v>
      </x:c>
      <x:c r="Q1043" s="49" t="n">
        <x:v>0</x:v>
      </x:c>
      <x:c r="R1043" s="50" t="n">
        <x:v>0.43307692307692314</x:v>
      </x:c>
      <x:c r="S1043" s="50" t="n">
        <x:v>0.4330769230769231</x:v>
      </x:c>
      <x:c r="T1043" s="1" t="str">
        <x:v>ナイト</x:v>
      </x:c>
      <x:c r="U1043" s="49" t="n">
        <x:v>25</x:v>
      </x:c>
    </x:row>
    <x:row r="1044" ht="22" customHeight="1">
      <x:c r="A1044" s="1" t="str">
        <x:v>日経mini</x:v>
      </x:c>
      <x:c r="B1044" s="1" t="str">
        <x:v>V05</x:v>
      </x:c>
      <x:c r="C1044" s="1" t="str">
        <x:v>全50場</x:v>
      </x:c>
      <x:c r="D1044" s="47" t="n">
        <x:v>4518916</x:v>
      </x:c>
      <x:c r="E1044" s="47" t="n">
        <x:v>5299408</x:v>
      </x:c>
      <x:c r="F1044" s="47" t="n">
        <x:f>D1044-E1044</x:f>
        <x:v>-780492</x:v>
      </x:c>
      <x:c r="G1044" s="49" t="n">
        <x:v>11</x:v>
      </x:c>
      <x:c r="H1044" s="49" t="n">
        <x:v>13</x:v>
      </x:c>
      <x:c r="I1044" s="47" t="n">
        <x:v>-1175568</x:v>
      </x:c>
      <x:c r="J1044" s="49" t="n">
        <x:v>417</x:v>
      </x:c>
      <x:c r="K1044" s="47" t="n">
        <x:v>-272618</x:v>
      </x:c>
      <x:c r="L1044" s="47" t="n">
        <x:v>113166.92307692308</x:v>
      </x:c>
      <x:c r="M1044" s="48" t="n">
        <x:v>30.147222222222222</x:v>
      </x:c>
      <x:c r="N1044" s="48" t="n">
        <x:v>311.64375</x:v>
      </x:c>
      <x:c r="O1044" s="49" t="n">
        <x:v>7</x:v>
      </x:c>
      <x:c r="P1044" s="1" t="str">
        <x:v>中期状態の基準併用：同方向失敗後は新しい押し再進行を待つ・標準</x:v>
      </x:c>
      <x:c r="Q1044" s="49" t="n">
        <x:v>0</x:v>
      </x:c>
      <x:c r="R1044" s="50" t="n">
        <x:v>0.5424683302808303</x:v>
      </x:c>
      <x:c r="S1044" s="50" t="n">
        <x:v>0.5067378048780488</x:v>
      </x:c>
      <x:c r="T1044" s="1" t="str">
        <x:v>上昇</x:v>
      </x:c>
      <x:c r="U1044" s="49" t="n">
        <x:v>24</x:v>
      </x:c>
    </x:row>
    <x:row r="1045" ht="22" customHeight="1">
      <x:c r="A1045" s="1" t="str">
        <x:v>日経mini</x:v>
      </x:c>
      <x:c r="B1045" s="1" t="str">
        <x:v>V05</x:v>
      </x:c>
      <x:c r="C1045" s="1" t="str">
        <x:v>全50場</x:v>
      </x:c>
      <x:c r="D1045" s="47" t="n">
        <x:v>6100230</x:v>
      </x:c>
      <x:c r="E1045" s="47" t="n">
        <x:v>5505948</x:v>
      </x:c>
      <x:c r="F1045" s="47" t="n">
        <x:f>D1045-E1045</x:f>
        <x:v>594282</x:v>
      </x:c>
      <x:c r="G1045" s="49" t="n">
        <x:v>13</x:v>
      </x:c>
      <x:c r="H1045" s="49" t="n">
        <x:v>13</x:v>
      </x:c>
      <x:c r="I1045" s="47" t="n">
        <x:v>-454944</x:v>
      </x:c>
      <x:c r="J1045" s="49" t="n">
        <x:v>468</x:v>
      </x:c>
      <x:c r="K1045" s="47" t="n">
        <x:v>-293922</x:v>
      </x:c>
      <x:c r="L1045" s="47" t="n">
        <x:v>92107.53846153847</x:v>
      </x:c>
      <x:c r="M1045" s="48" t="n">
        <x:v>43.21602564102564</x:v>
      </x:c>
      <x:c r="N1045" s="48" t="n">
        <x:v>319.4102564102564</x:v>
      </x:c>
      <x:c r="O1045" s="49" t="n">
        <x:v>7</x:v>
      </x:c>
      <x:c r="P1045" s="1" t="str">
        <x:v>中期状態の基準併用：同方向失敗後は新しい押し再進行を待つ・標準</x:v>
      </x:c>
      <x:c r="Q1045" s="49" t="n">
        <x:v>0</x:v>
      </x:c>
      <x:c r="R1045" s="50" t="n">
        <x:v>0.5877604019911712</x:v>
      </x:c>
      <x:c r="S1045" s="50" t="n">
        <x:v>0.544925634295713</x:v>
      </x:c>
      <x:c r="T1045" s="1" t="str">
        <x:v>下落</x:v>
      </x:c>
      <x:c r="U1045" s="49" t="n">
        <x:v>26</x:v>
      </x:c>
    </x:row>
    <x:row r="1046" ht="22" customHeight="1">
      <x:c r="A1046" s="1" t="str">
        <x:v>日経mini</x:v>
      </x:c>
      <x:c r="B1046" s="1" t="str">
        <x:v>V05</x:v>
      </x:c>
      <x:c r="C1046" s="1" t="str">
        <x:v>対照47場</x:v>
      </x:c>
      <x:c r="D1046" s="47" t="n">
        <x:v>9968994</x:v>
      </x:c>
      <x:c r="E1046" s="47" t="n">
        <x:v>9702118</x:v>
      </x:c>
      <x:c r="F1046" s="47" t="n">
        <x:f>D1046-E1046</x:f>
        <x:v>266876</x:v>
      </x:c>
      <x:c r="G1046" s="49" t="n">
        <x:v>24</x:v>
      </x:c>
      <x:c r="H1046" s="49" t="n">
        <x:v>23</x:v>
      </x:c>
      <x:c r="I1046" s="47" t="n">
        <x:v>-782350</x:v>
      </x:c>
      <x:c r="J1046" s="49" t="n">
        <x:v>806</x:v>
      </x:c>
      <x:c r="K1046" s="47" t="n">
        <x:v>-293922</x:v>
      </x:c>
      <x:c r="L1046" s="47" t="n">
        <x:v>96325.30434782608</x:v>
      </x:c>
      <x:c r="M1046" s="48" t="n">
        <x:v>37.820212765957436</x:v>
      </x:c>
      <x:c r="N1046" s="48" t="n">
        <x:v>311.5737588652482</x:v>
      </x:c>
      <x:c r="O1046" s="49" t="n">
        <x:v>7</x:v>
      </x:c>
      <x:c r="P1046" s="1" t="str">
        <x:v>中期状態の基準併用：同方向失敗後は新しい押し再進行を待つ・標準</x:v>
      </x:c>
      <x:c r="Q1046" s="49" t="n">
        <x:v>0</x:v>
      </x:c>
      <x:c r="R1046" s="50" t="n">
        <x:v>0.5646503260333049</x:v>
      </x:c>
      <x:c r="S1046" s="50" t="n">
        <x:v>0.5226255055912443</x:v>
      </x:c>
      <x:c r="T1046" s="1" t="str">
        <x:v>全場</x:v>
      </x:c>
      <x:c r="U1046" s="49" t="n">
        <x:v>47</x:v>
      </x:c>
    </x:row>
    <x:row r="1047" ht="22" customHeight="1">
      <x:c r="A1047" s="1" t="str">
        <x:v>日経mini</x:v>
      </x:c>
      <x:c r="B1047" s="1" t="str">
        <x:v>V05</x:v>
      </x:c>
      <x:c r="C1047" s="1" t="str">
        <x:v>対照47場</x:v>
      </x:c>
      <x:c r="D1047" s="47" t="n">
        <x:v>5537770</x:v>
      </x:c>
      <x:c r="E1047" s="47" t="n">
        <x:v>4890472</x:v>
      </x:c>
      <x:c r="F1047" s="47" t="n">
        <x:f>D1047-E1047</x:f>
        <x:v>647298</x:v>
      </x:c>
      <x:c r="G1047" s="49" t="n">
        <x:v>14</x:v>
      </x:c>
      <x:c r="H1047" s="49" t="n">
        <x:v>10</x:v>
      </x:c>
      <x:c r="I1047" s="47" t="n">
        <x:v>-401928</x:v>
      </x:c>
      <x:c r="J1047" s="49" t="n">
        <x:v>368</x:v>
      </x:c>
      <x:c r="K1047" s="47" t="n">
        <x:v>-293922</x:v>
      </x:c>
      <x:c r="L1047" s="47" t="n">
        <x:v>120053.8</x:v>
      </x:c>
      <x:c r="M1047" s="48" t="n">
        <x:v>31.08888888888889</x:v>
      </x:c>
      <x:c r="N1047" s="48" t="n">
        <x:v>294.39444444444445</x:v>
      </x:c>
      <x:c r="O1047" s="49" t="n">
        <x:v>7</x:v>
      </x:c>
      <x:c r="P1047" s="1" t="str">
        <x:v>中期状態の基準併用：同方向失敗後は新しい押し再進行を待つ・標準</x:v>
      </x:c>
      <x:c r="Q1047" s="49" t="n">
        <x:v>0</x:v>
      </x:c>
      <x:c r="R1047" s="50" t="n">
        <x:v>0.7009391534391534</x:v>
      </x:c>
      <x:c r="S1047" s="50" t="n">
        <x:v>0.7009391534391535</x:v>
      </x:c>
      <x:c r="T1047" s="1" t="str">
        <x:v>デイ</x:v>
      </x:c>
      <x:c r="U1047" s="49" t="n">
        <x:v>24</x:v>
      </x:c>
    </x:row>
    <x:row r="1048" ht="22" customHeight="1">
      <x:c r="A1048" s="1" t="str">
        <x:v>日経mini</x:v>
      </x:c>
      <x:c r="B1048" s="1" t="str">
        <x:v>V05</x:v>
      </x:c>
      <x:c r="C1048" s="1" t="str">
        <x:v>対照47場</x:v>
      </x:c>
      <x:c r="D1048" s="47" t="n">
        <x:v>4431224</x:v>
      </x:c>
      <x:c r="E1048" s="47" t="n">
        <x:v>4811646</x:v>
      </x:c>
      <x:c r="F1048" s="47" t="n">
        <x:f>D1048-E1048</x:f>
        <x:v>-380422</x:v>
      </x:c>
      <x:c r="G1048" s="49" t="n">
        <x:v>10</x:v>
      </x:c>
      <x:c r="H1048" s="49" t="n">
        <x:v>13</x:v>
      </x:c>
      <x:c r="I1048" s="47" t="n">
        <x:v>-699110</x:v>
      </x:c>
      <x:c r="J1048" s="49" t="n">
        <x:v>438</x:v>
      </x:c>
      <x:c r="K1048" s="47" t="n">
        <x:v>-194462</x:v>
      </x:c>
      <x:c r="L1048" s="47" t="n">
        <x:v>78072.61538461539</x:v>
      </x:c>
      <x:c r="M1048" s="48" t="n">
        <x:v>44.844202898550726</x:v>
      </x:c>
      <x:c r="N1048" s="48" t="n">
        <x:v>329.50000000000006</x:v>
      </x:c>
      <x:c r="O1048" s="49" t="n">
        <x:v>7</x:v>
      </x:c>
      <x:c r="P1048" s="1" t="str">
        <x:v>中期状態の基準併用：同方向失敗後は新しい押し再進行を待つ・標準</x:v>
      </x:c>
      <x:c r="Q1048" s="49" t="n">
        <x:v>0</x:v>
      </x:c>
      <x:c r="R1048" s="50" t="n">
        <x:v>0.42243589743589743</x:v>
      </x:c>
      <x:c r="S1048" s="50" t="n">
        <x:v>0.42243589743589743</x:v>
      </x:c>
      <x:c r="T1048" s="1" t="str">
        <x:v>ナイト</x:v>
      </x:c>
      <x:c r="U1048" s="49" t="n">
        <x:v>23</x:v>
      </x:c>
    </x:row>
    <x:row r="1049" ht="22" customHeight="1">
      <x:c r="A1049" s="1" t="str">
        <x:v>日経mini</x:v>
      </x:c>
      <x:c r="B1049" s="1" t="str">
        <x:v>V05</x:v>
      </x:c>
      <x:c r="C1049" s="1" t="str">
        <x:v>対照47場</x:v>
      </x:c>
      <x:c r="D1049" s="47" t="n">
        <x:v>4183686</x:v>
      </x:c>
      <x:c r="E1049" s="47" t="n">
        <x:v>4618634</x:v>
      </x:c>
      <x:c r="F1049" s="47" t="n">
        <x:f>D1049-E1049</x:f>
        <x:v>-434948</x:v>
      </x:c>
      <x:c r="G1049" s="49" t="n">
        <x:v>11</x:v>
      </x:c>
      <x:c r="H1049" s="49" t="n">
        <x:v>11</x:v>
      </x:c>
      <x:c r="I1049" s="47" t="n">
        <x:v>-830024</x:v>
      </x:c>
      <x:c r="J1049" s="49" t="n">
        <x:v>371</x:v>
      </x:c>
      <x:c r="K1049" s="47" t="n">
        <x:v>-209540</x:v>
      </x:c>
      <x:c r="L1049" s="47" t="n">
        <x:v>102329.63636363637</x:v>
      </x:c>
      <x:c r="M1049" s="48" t="n">
        <x:v>30.785606060606064</x:v>
      </x:c>
      <x:c r="N1049" s="48" t="n">
        <x:v>306.6462121212121</x:v>
      </x:c>
      <x:c r="O1049" s="49" t="n">
        <x:v>7</x:v>
      </x:c>
      <x:c r="P1049" s="1" t="str">
        <x:v>中期状態の基準併用：同方向失敗後は新しい押し再進行を待つ・標準</x:v>
      </x:c>
      <x:c r="Q1049" s="49" t="n">
        <x:v>0</x:v>
      </x:c>
      <x:c r="R1049" s="50" t="n">
        <x:v>0.5353855866355866</x:v>
      </x:c>
      <x:c r="S1049" s="50" t="n">
        <x:v>0.4975086037364798</x:v>
      </x:c>
      <x:c r="T1049" s="1" t="str">
        <x:v>上昇</x:v>
      </x:c>
      <x:c r="U1049" s="49" t="n">
        <x:v>22</x:v>
      </x:c>
    </x:row>
    <x:row r="1050" ht="22" customHeight="1">
      <x:c r="A1050" s="1" t="str">
        <x:v>日経mini</x:v>
      </x:c>
      <x:c r="B1050" s="1" t="str">
        <x:v>V05</x:v>
      </x:c>
      <x:c r="C1050" s="1" t="str">
        <x:v>対照47場</x:v>
      </x:c>
      <x:c r="D1050" s="47" t="n">
        <x:v>5785308</x:v>
      </x:c>
      <x:c r="E1050" s="47" t="n">
        <x:v>5083484</x:v>
      </x:c>
      <x:c r="F1050" s="47" t="n">
        <x:f>D1050-E1050</x:f>
        <x:v>701824</x:v>
      </x:c>
      <x:c r="G1050" s="49" t="n">
        <x:v>13</x:v>
      </x:c>
      <x:c r="H1050" s="49" t="n">
        <x:v>12</x:v>
      </x:c>
      <x:c r="I1050" s="47" t="n">
        <x:v>-347402</x:v>
      </x:c>
      <x:c r="J1050" s="49" t="n">
        <x:v>435</x:v>
      </x:c>
      <x:c r="K1050" s="47" t="n">
        <x:v>-293922</x:v>
      </x:c>
      <x:c r="L1050" s="47" t="n">
        <x:v>90821.33333333333</x:v>
      </x:c>
      <x:c r="M1050" s="48" t="n">
        <x:v>44.010666666666665</x:v>
      </x:c>
      <x:c r="N1050" s="48" t="n">
        <x:v>315.91</x:v>
      </x:c>
      <x:c r="O1050" s="49" t="n">
        <x:v>7</x:v>
      </x:c>
      <x:c r="P1050" s="1" t="str">
        <x:v>中期状態の基準併用：同方向失敗後は新しい押し再進行を待つ・標準</x:v>
      </x:c>
      <x:c r="Q1050" s="49" t="n">
        <x:v>0</x:v>
      </x:c>
      <x:c r="R1050" s="50" t="n">
        <x:v>0.5904032967032967</x:v>
      </x:c>
      <x:c r="S1050" s="50" t="n">
        <x:v>0.5461791147994467</x:v>
      </x:c>
      <x:c r="T1050" s="1" t="str">
        <x:v>下落</x:v>
      </x:c>
      <x:c r="U1050" s="49" t="n">
        <x:v>25</x:v>
      </x:c>
    </x:row>
    <x:row r="1051" ht="22" customHeight="1">
      <x:c r="A1051" s="1" t="str">
        <x:v>日経mini</x:v>
      </x:c>
      <x:c r="B1051" s="1" t="str">
        <x:v>V05</x:v>
      </x:c>
      <x:c r="C1051" s="1" t="str">
        <x:v>診断3場</x:v>
      </x:c>
      <x:c r="D1051" s="47" t="n">
        <x:v>650152</x:v>
      </x:c>
      <x:c r="E1051" s="47" t="n">
        <x:v>1103238</x:v>
      </x:c>
      <x:c r="F1051" s="47" t="n">
        <x:f>D1051-E1051</x:f>
        <x:v>-453086</x:v>
      </x:c>
      <x:c r="G1051" s="49" t="n">
        <x:v>0</x:v>
      </x:c>
      <x:c r="H1051" s="49" t="n">
        <x:v>3</x:v>
      </x:c>
      <x:c r="I1051" s="47" t="n">
        <x:v>-453086</x:v>
      </x:c>
      <x:c r="J1051" s="49" t="n">
        <x:v>79</x:v>
      </x:c>
      <x:c r="K1051" s="47" t="n">
        <x:v>-272618</x:v>
      </x:c>
      <x:c r="L1051" s="47" t="n">
        <x:v>151028.66666666666</x:v>
      </x:c>
      <x:c r="M1051" s="48" t="n">
        <x:v>23.2</x:v>
      </x:c>
      <x:c r="N1051" s="48" t="n">
        <x:v>380.04999999999995</x:v>
      </x:c>
      <x:c r="O1051" s="49" t="n">
        <x:v>7</x:v>
      </x:c>
      <x:c r="P1051" s="1" t="str">
        <x:v>中期状態の基準併用：同方向失敗後は新しい押し再進行を待つ・標準</x:v>
      </x:c>
      <x:c r="Q1051" s="49" t="n">
        <x:v>0</x:v>
      </x:c>
      <x:c r="R1051" s="50" t="n">
        <x:v>0.587481684981685</x:v>
      </x:c>
      <x:c r="S1051" s="50" t="n">
        <x:v>0.5758333333333334</x:v>
      </x:c>
      <x:c r="T1051" s="1" t="str">
        <x:v>全場</x:v>
      </x:c>
      <x:c r="U1051" s="49" t="n">
        <x:v>3</x:v>
      </x:c>
    </x:row>
    <x:row r="1052" ht="22" customHeight="1">
      <x:c r="A1052" s="1" t="str">
        <x:v>日経mini</x:v>
      </x:c>
      <x:c r="B1052" s="1" t="str">
        <x:v>V05</x:v>
      </x:c>
      <x:c r="C1052" s="1" t="str">
        <x:v>診断3場</x:v>
      </x:c>
      <x:c r="D1052" s="47" t="n">
        <x:v>165384</x:v>
      </x:c>
      <x:c r="E1052" s="47" t="n">
        <x:v>438002</x:v>
      </x:c>
      <x:c r="F1052" s="47" t="n">
        <x:f>D1052-E1052</x:f>
        <x:v>-272618</x:v>
      </x:c>
      <x:c r="G1052" s="49" t="n">
        <x:v>0</x:v>
      </x:c>
      <x:c r="H1052" s="49" t="n">
        <x:v>1</x:v>
      </x:c>
      <x:c r="I1052" s="47" t="n">
        <x:v>-272618</x:v>
      </x:c>
      <x:c r="J1052" s="49" t="n">
        <x:v>22</x:v>
      </x:c>
      <x:c r="K1052" s="47" t="n">
        <x:v>-272618</x:v>
      </x:c>
      <x:c r="L1052" s="47" t="n">
        <x:v>272618</x:v>
      </x:c>
      <x:c r="M1052" s="48" t="n">
        <x:v>23.116666666666667</x:v>
      </x:c>
      <x:c r="N1052" s="48" t="n">
        <x:v>273.65</x:v>
      </x:c>
      <x:c r="O1052" s="49" t="n">
        <x:v>7</x:v>
      </x:c>
      <x:c r="P1052" s="1" t="str">
        <x:v>中期状態の基準併用：同方向失敗後は新しい押し再進行を待つ・標準</x:v>
      </x:c>
      <x:c r="Q1052" s="49" t="n">
        <x:v>0</x:v>
      </x:c>
      <x:c r="R1052" s="50" t="n">
        <x:v>0.651547619047619</x:v>
      </x:c>
      <x:c r="S1052" s="50" t="n">
        <x:v>0.651547619047619</x:v>
      </x:c>
      <x:c r="T1052" s="1" t="str">
        <x:v>デイ</x:v>
      </x:c>
      <x:c r="U1052" s="49" t="n">
        <x:v>1</x:v>
      </x:c>
    </x:row>
    <x:row r="1053" ht="22" customHeight="1">
      <x:c r="A1053" s="1" t="str">
        <x:v>日経mini</x:v>
      </x:c>
      <x:c r="B1053" s="1" t="str">
        <x:v>V05</x:v>
      </x:c>
      <x:c r="C1053" s="1" t="str">
        <x:v>診断3場</x:v>
      </x:c>
      <x:c r="D1053" s="47" t="n">
        <x:v>484768</x:v>
      </x:c>
      <x:c r="E1053" s="47" t="n">
        <x:v>665236</x:v>
      </x:c>
      <x:c r="F1053" s="47" t="n">
        <x:f>D1053-E1053</x:f>
        <x:v>-180468</x:v>
      </x:c>
      <x:c r="G1053" s="49" t="n">
        <x:v>0</x:v>
      </x:c>
      <x:c r="H1053" s="49" t="n">
        <x:v>2</x:v>
      </x:c>
      <x:c r="I1053" s="47" t="n">
        <x:v>-180468</x:v>
      </x:c>
      <x:c r="J1053" s="49" t="n">
        <x:v>57</x:v>
      </x:c>
      <x:c r="K1053" s="47" t="n">
        <x:v>-107542</x:v>
      </x:c>
      <x:c r="L1053" s="47" t="n">
        <x:v>90234</x:v>
      </x:c>
      <x:c r="M1053" s="48" t="n">
        <x:v>23.241666666666667</x:v>
      </x:c>
      <x:c r="N1053" s="48" t="n">
        <x:v>433.25</x:v>
      </x:c>
      <x:c r="O1053" s="49" t="n">
        <x:v>7</x:v>
      </x:c>
      <x:c r="P1053" s="1" t="str">
        <x:v>中期状態の基準併用：同方向失敗後は新しい押し再進行を待つ・標準</x:v>
      </x:c>
      <x:c r="Q1053" s="49" t="n">
        <x:v>0</x:v>
      </x:c>
      <x:c r="R1053" s="50" t="n">
        <x:v>0.555448717948718</x:v>
      </x:c>
      <x:c r="S1053" s="50" t="n">
        <x:v>0.555448717948718</x:v>
      </x:c>
      <x:c r="T1053" s="1" t="str">
        <x:v>ナイト</x:v>
      </x:c>
      <x:c r="U1053" s="49" t="n">
        <x:v>2</x:v>
      </x:c>
    </x:row>
    <x:row r="1054" ht="22" customHeight="1">
      <x:c r="A1054" s="1" t="str">
        <x:v>日経mini</x:v>
      </x:c>
      <x:c r="B1054" s="1" t="str">
        <x:v>V05</x:v>
      </x:c>
      <x:c r="C1054" s="1" t="str">
        <x:v>診断3場</x:v>
      </x:c>
      <x:c r="D1054" s="47" t="n">
        <x:v>335230</x:v>
      </x:c>
      <x:c r="E1054" s="47" t="n">
        <x:v>680774</x:v>
      </x:c>
      <x:c r="F1054" s="47" t="n">
        <x:f>D1054-E1054</x:f>
        <x:v>-345544</x:v>
      </x:c>
      <x:c r="G1054" s="49" t="n">
        <x:v>0</x:v>
      </x:c>
      <x:c r="H1054" s="49" t="n">
        <x:v>2</x:v>
      </x:c>
      <x:c r="I1054" s="47" t="n">
        <x:v>-345544</x:v>
      </x:c>
      <x:c r="J1054" s="49" t="n">
        <x:v>46</x:v>
      </x:c>
      <x:c r="K1054" s="47" t="n">
        <x:v>-272618</x:v>
      </x:c>
      <x:c r="L1054" s="47" t="n">
        <x:v>172772</x:v>
      </x:c>
      <x:c r="M1054" s="48" t="n">
        <x:v>23.125</x:v>
      </x:c>
      <x:c r="N1054" s="48" t="n">
        <x:v>366.6166666666667</x:v>
      </x:c>
      <x:c r="O1054" s="49" t="n">
        <x:v>7</x:v>
      </x:c>
      <x:c r="P1054" s="1" t="str">
        <x:v>中期状態の基準併用：同方向失敗後は新しい押し再進行を待つ・標準</x:v>
      </x:c>
      <x:c r="Q1054" s="49" t="n">
        <x:v>0</x:v>
      </x:c>
      <x:c r="R1054" s="50" t="n">
        <x:v>0.6203785103785104</x:v>
      </x:c>
      <x:c r="S1054" s="50" t="n">
        <x:v>0.6110277777777778</x:v>
      </x:c>
      <x:c r="T1054" s="1" t="str">
        <x:v>上昇</x:v>
      </x:c>
      <x:c r="U1054" s="49" t="n">
        <x:v>2</x:v>
      </x:c>
    </x:row>
    <x:row r="1055" ht="22" customHeight="1">
      <x:c r="A1055" s="1" t="str">
        <x:v>日経mini</x:v>
      </x:c>
      <x:c r="B1055" s="1" t="str">
        <x:v>V05</x:v>
      </x:c>
      <x:c r="C1055" s="1" t="str">
        <x:v>診断3場</x:v>
      </x:c>
      <x:c r="D1055" s="47" t="n">
        <x:v>314922</x:v>
      </x:c>
      <x:c r="E1055" s="47" t="n">
        <x:v>422464</x:v>
      </x:c>
      <x:c r="F1055" s="47" t="n">
        <x:f>D1055-E1055</x:f>
        <x:v>-107542</x:v>
      </x:c>
      <x:c r="G1055" s="49" t="n">
        <x:v>0</x:v>
      </x:c>
      <x:c r="H1055" s="49" t="n">
        <x:v>1</x:v>
      </x:c>
      <x:c r="I1055" s="47" t="n">
        <x:v>-107542</x:v>
      </x:c>
      <x:c r="J1055" s="49" t="n">
        <x:v>33</x:v>
      </x:c>
      <x:c r="K1055" s="47" t="n">
        <x:v>-107542</x:v>
      </x:c>
      <x:c r="L1055" s="47" t="n">
        <x:v>107542</x:v>
      </x:c>
      <x:c r="M1055" s="48" t="n">
        <x:v>23.35</x:v>
      </x:c>
      <x:c r="N1055" s="48" t="n">
        <x:v>406.9166666666667</x:v>
      </x:c>
      <x:c r="O1055" s="49" t="n">
        <x:v>7</x:v>
      </x:c>
      <x:c r="P1055" s="1" t="str">
        <x:v>中期状態の基準併用：同方向失敗後は新しい押し再進行を待つ・標準</x:v>
      </x:c>
      <x:c r="Q1055" s="49" t="n">
        <x:v>0</x:v>
      </x:c>
      <x:c r="R1055" s="50" t="n">
        <x:v>0.5216880341880342</x:v>
      </x:c>
      <x:c r="S1055" s="50" t="n">
        <x:v>0.5216880341880342</x:v>
      </x:c>
      <x:c r="T1055" s="1" t="str">
        <x:v>下落</x:v>
      </x:c>
      <x:c r="U1055" s="49" t="n">
        <x:v>1</x:v>
      </x:c>
    </x:row>
    <x:row r="1056" ht="22" customHeight="1">
      <x:c r="A1056" s="1" t="str">
        <x:v>日経mini</x:v>
      </x:c>
      <x:c r="B1056" s="1" t="str">
        <x:v>V06</x:v>
      </x:c>
      <x:c r="C1056" s="1" t="str">
        <x:v>全50場</x:v>
      </x:c>
      <x:c r="D1056" s="47" t="n">
        <x:v>10016698</x:v>
      </x:c>
      <x:c r="E1056" s="47" t="n">
        <x:v>9700266</x:v>
      </x:c>
      <x:c r="F1056" s="47" t="n">
        <x:f>D1056-E1056</x:f>
        <x:v>316432</x:v>
      </x:c>
      <x:c r="G1056" s="49" t="n">
        <x:v>23</x:v>
      </x:c>
      <x:c r="H1056" s="49" t="n">
        <x:v>27</x:v>
      </x:c>
      <x:c r="I1056" s="47" t="n">
        <x:v>-811258</x:v>
      </x:c>
      <x:c r="J1056" s="49" t="n">
        <x:v>712</x:v>
      </x:c>
      <x:c r="K1056" s="47" t="n">
        <x:v>-269306</x:v>
      </x:c>
      <x:c r="L1056" s="47" t="n">
        <x:v>97140.14814814815</x:v>
      </x:c>
      <x:c r="M1056" s="48" t="n">
        <x:v>36.943</x:v>
      </x:c>
      <x:c r="N1056" s="48" t="n">
        <x:v>373.55833333333334</x:v>
      </x:c>
      <x:c r="O1056" s="49" t="n">
        <x:v>7</x:v>
      </x:c>
      <x:c r="P1056" s="1" t="str">
        <x:v>中期状態の基準併用：同方向失敗後は新しい押し再進行を待つ・広め</x:v>
      </x:c>
      <x:c r="Q1056" s="49" t="n">
        <x:v>0</x:v>
      </x:c>
      <x:c r="R1056" s="50" t="n">
        <x:v>0.6536066544566544</x:v>
      </x:c>
      <x:c r="S1056" s="50" t="n">
        <x:v>0.6225972222222222</x:v>
      </x:c>
      <x:c r="T1056" s="1" t="str">
        <x:v>全場</x:v>
      </x:c>
      <x:c r="U1056" s="49" t="n">
        <x:v>50</x:v>
      </x:c>
    </x:row>
    <x:row r="1057" ht="22" customHeight="1">
      <x:c r="A1057" s="1" t="str">
        <x:v>日経mini</x:v>
      </x:c>
      <x:c r="B1057" s="1" t="str">
        <x:v>V06</x:v>
      </x:c>
      <x:c r="C1057" s="1" t="str">
        <x:v>全50場</x:v>
      </x:c>
      <x:c r="D1057" s="47" t="n">
        <x:v>5368698</x:v>
      </x:c>
      <x:c r="E1057" s="47" t="n">
        <x:v>4791084</x:v>
      </x:c>
      <x:c r="F1057" s="47" t="n">
        <x:f>D1057-E1057</x:f>
        <x:v>577614</x:v>
      </x:c>
      <x:c r="G1057" s="49" t="n">
        <x:v>11</x:v>
      </x:c>
      <x:c r="H1057" s="49" t="n">
        <x:v>14</x:v>
      </x:c>
      <x:c r="I1057" s="47" t="n">
        <x:v>-550076</x:v>
      </x:c>
      <x:c r="J1057" s="49" t="n">
        <x:v>319</x:v>
      </x:c>
      <x:c r="K1057" s="47" t="n">
        <x:v>-269306</x:v>
      </x:c>
      <x:c r="L1057" s="47" t="n">
        <x:v>100208.57142857143</x:v>
      </x:c>
      <x:c r="M1057" s="48" t="n">
        <x:v>30.77</x:v>
      </x:c>
      <x:c r="N1057" s="48" t="n">
        <x:v>317.92799999999994</x:v>
      </x:c>
      <x:c r="O1057" s="49" t="n">
        <x:v>7</x:v>
      </x:c>
      <x:c r="P1057" s="1" t="str">
        <x:v>中期状態の基準併用：同方向失敗後は新しい押し再進行を待つ・広め</x:v>
      </x:c>
      <x:c r="Q1057" s="49" t="n">
        <x:v>0</x:v>
      </x:c>
      <x:c r="R1057" s="50" t="n">
        <x:v>0.7569714285714285</x:v>
      </x:c>
      <x:c r="S1057" s="50" t="n">
        <x:v>0.7569714285714285</x:v>
      </x:c>
      <x:c r="T1057" s="1" t="str">
        <x:v>デイ</x:v>
      </x:c>
      <x:c r="U1057" s="49" t="n">
        <x:v>25</x:v>
      </x:c>
    </x:row>
    <x:row r="1058" ht="22" customHeight="1">
      <x:c r="A1058" s="1" t="str">
        <x:v>日経mini</x:v>
      </x:c>
      <x:c r="B1058" s="1" t="str">
        <x:v>V06</x:v>
      </x:c>
      <x:c r="C1058" s="1" t="str">
        <x:v>全50場</x:v>
      </x:c>
      <x:c r="D1058" s="47" t="n">
        <x:v>4648000</x:v>
      </x:c>
      <x:c r="E1058" s="47" t="n">
        <x:v>4909182</x:v>
      </x:c>
      <x:c r="F1058" s="47" t="n">
        <x:f>D1058-E1058</x:f>
        <x:v>-261182</x:v>
      </x:c>
      <x:c r="G1058" s="49" t="n">
        <x:v>12</x:v>
      </x:c>
      <x:c r="H1058" s="49" t="n">
        <x:v>13</x:v>
      </x:c>
      <x:c r="I1058" s="47" t="n">
        <x:v>-693408</x:v>
      </x:c>
      <x:c r="J1058" s="49" t="n">
        <x:v>393</x:v>
      </x:c>
      <x:c r="K1058" s="47" t="n">
        <x:v>-198308</x:v>
      </x:c>
      <x:c r="L1058" s="47" t="n">
        <x:v>93835.69230769231</x:v>
      </x:c>
      <x:c r="M1058" s="48" t="n">
        <x:v>43.11600000000001</x:v>
      </x:c>
      <x:c r="N1058" s="48" t="n">
        <x:v>429.1886666666667</x:v>
      </x:c>
      <x:c r="O1058" s="49" t="n">
        <x:v>7</x:v>
      </x:c>
      <x:c r="P1058" s="1" t="str">
        <x:v>中期状態の基準併用：同方向失敗後は新しい押し再進行を待つ・広め</x:v>
      </x:c>
      <x:c r="Q1058" s="49" t="n">
        <x:v>0</x:v>
      </x:c>
      <x:c r="R1058" s="50" t="n">
        <x:v>0.5502418803418804</x:v>
      </x:c>
      <x:c r="S1058" s="50" t="n">
        <x:v>0.5502418803418804</x:v>
      </x:c>
      <x:c r="T1058" s="1" t="str">
        <x:v>ナイト</x:v>
      </x:c>
      <x:c r="U1058" s="49" t="n">
        <x:v>25</x:v>
      </x:c>
    </x:row>
    <x:row r="1059" ht="22" customHeight="1">
      <x:c r="A1059" s="1" t="str">
        <x:v>日経mini</x:v>
      </x:c>
      <x:c r="B1059" s="1" t="str">
        <x:v>V06</x:v>
      </x:c>
      <x:c r="C1059" s="1" t="str">
        <x:v>全50場</x:v>
      </x:c>
      <x:c r="D1059" s="47" t="n">
        <x:v>4325844</x:v>
      </x:c>
      <x:c r="E1059" s="47" t="n">
        <x:v>4854632</x:v>
      </x:c>
      <x:c r="F1059" s="47" t="n">
        <x:f>D1059-E1059</x:f>
        <x:v>-528788</x:v>
      </x:c>
      <x:c r="G1059" s="49" t="n">
        <x:v>11</x:v>
      </x:c>
      <x:c r="H1059" s="49" t="n">
        <x:v>13</x:v>
      </x:c>
      <x:c r="I1059" s="47" t="n">
        <x:v>-990246</x:v>
      </x:c>
      <x:c r="J1059" s="49" t="n">
        <x:v>341</x:v>
      </x:c>
      <x:c r="K1059" s="47" t="n">
        <x:v>-215848</x:v>
      </x:c>
      <x:c r="L1059" s="47" t="n">
        <x:v>114036.30769230769</x:v>
      </x:c>
      <x:c r="M1059" s="48" t="n">
        <x:v>30.147222222222222</x:v>
      </x:c>
      <x:c r="N1059" s="48" t="n">
        <x:v>374.0534722222222</x:v>
      </x:c>
      <x:c r="O1059" s="49" t="n">
        <x:v>7</x:v>
      </x:c>
      <x:c r="P1059" s="1" t="str">
        <x:v>中期状態の基準併用：同方向失敗後は新しい押し再進行を待つ・広め</x:v>
      </x:c>
      <x:c r="Q1059" s="49" t="n">
        <x:v>0</x:v>
      </x:c>
      <x:c r="R1059" s="50" t="n">
        <x:v>0.6334179131054131</x:v>
      </x:c>
      <x:c r="S1059" s="50" t="n">
        <x:v>0.6082170280036133</x:v>
      </x:c>
      <x:c r="T1059" s="1" t="str">
        <x:v>上昇</x:v>
      </x:c>
      <x:c r="U1059" s="49" t="n">
        <x:v>24</x:v>
      </x:c>
    </x:row>
    <x:row r="1060" ht="22" customHeight="1">
      <x:c r="A1060" s="1" t="str">
        <x:v>日経mini</x:v>
      </x:c>
      <x:c r="B1060" s="1" t="str">
        <x:v>V06</x:v>
      </x:c>
      <x:c r="C1060" s="1" t="str">
        <x:v>全50場</x:v>
      </x:c>
      <x:c r="D1060" s="47" t="n">
        <x:v>5690854</x:v>
      </x:c>
      <x:c r="E1060" s="47" t="n">
        <x:v>4845634</x:v>
      </x:c>
      <x:c r="F1060" s="47" t="n">
        <x:f>D1060-E1060</x:f>
        <x:v>845220</x:v>
      </x:c>
      <x:c r="G1060" s="49" t="n">
        <x:v>12</x:v>
      </x:c>
      <x:c r="H1060" s="49" t="n">
        <x:v>14</x:v>
      </x:c>
      <x:c r="I1060" s="47" t="n">
        <x:v>-282470</x:v>
      </x:c>
      <x:c r="J1060" s="49" t="n">
        <x:v>371</x:v>
      </x:c>
      <x:c r="K1060" s="47" t="n">
        <x:v>-269306</x:v>
      </x:c>
      <x:c r="L1060" s="47" t="n">
        <x:v>81450.85714285714</x:v>
      </x:c>
      <x:c r="M1060" s="48" t="n">
        <x:v>43.21602564102564</x:v>
      </x:c>
      <x:c r="N1060" s="48" t="n">
        <x:v>373.1012820512821</x:v>
      </x:c>
      <x:c r="O1060" s="49" t="n">
        <x:v>7</x:v>
      </x:c>
      <x:c r="P1060" s="1" t="str">
        <x:v>中期状態の基準併用：同方向失敗後は新しい押し再進行を待つ・広め</x:v>
      </x:c>
      <x:c r="Q1060" s="49" t="n">
        <x:v>0</x:v>
      </x:c>
      <x:c r="R1060" s="50" t="n">
        <x:v>0.6722424157039543</x:v>
      </x:c>
      <x:c r="S1060" s="50" t="n">
        <x:v>0.6365244969378827</x:v>
      </x:c>
      <x:c r="T1060" s="1" t="str">
        <x:v>下落</x:v>
      </x:c>
      <x:c r="U1060" s="49" t="n">
        <x:v>26</x:v>
      </x:c>
    </x:row>
    <x:row r="1061" ht="22" customHeight="1">
      <x:c r="A1061" s="1" t="str">
        <x:v>日経mini</x:v>
      </x:c>
      <x:c r="B1061" s="1" t="str">
        <x:v>V06</x:v>
      </x:c>
      <x:c r="C1061" s="1" t="str">
        <x:v>対照47場</x:v>
      </x:c>
      <x:c r="D1061" s="47" t="n">
        <x:v>9507314</x:v>
      </x:c>
      <x:c r="E1061" s="47" t="n">
        <x:v>8774722</x:v>
      </x:c>
      <x:c r="F1061" s="47" t="n">
        <x:f>D1061-E1061</x:f>
        <x:v>732592</x:v>
      </x:c>
      <x:c r="G1061" s="49" t="n">
        <x:v>23</x:v>
      </x:c>
      <x:c r="H1061" s="49" t="n">
        <x:v>24</x:v>
      </x:c>
      <x:c r="I1061" s="47" t="n">
        <x:v>-395098</x:v>
      </x:c>
      <x:c r="J1061" s="49" t="n">
        <x:v>652</x:v>
      </x:c>
      <x:c r="K1061" s="47" t="n">
        <x:v>-269306</x:v>
      </x:c>
      <x:c r="L1061" s="47" t="n">
        <x:v>91942.66666666667</x:v>
      </x:c>
      <x:c r="M1061" s="48" t="n">
        <x:v>37.820212765957436</x:v>
      </x:c>
      <x:c r="N1061" s="48" t="n">
        <x:v>369.73014184397164</x:v>
      </x:c>
      <x:c r="O1061" s="49" t="n">
        <x:v>7</x:v>
      </x:c>
      <x:c r="P1061" s="1" t="str">
        <x:v>中期状態の基準併用：同方向失敗後は新しい押し再進行を待つ・広め</x:v>
      </x:c>
      <x:c r="Q1061" s="49" t="n">
        <x:v>0</x:v>
      </x:c>
      <x:c r="R1061" s="50" t="n">
        <x:v>0.6524277790767152</x:v>
      </x:c>
      <x:c r="S1061" s="50" t="n">
        <x:v>0.6201754699024506</x:v>
      </x:c>
      <x:c r="T1061" s="1" t="str">
        <x:v>全場</x:v>
      </x:c>
      <x:c r="U1061" s="49" t="n">
        <x:v>47</x:v>
      </x:c>
    </x:row>
    <x:row r="1062" ht="22" customHeight="1">
      <x:c r="A1062" s="1" t="str">
        <x:v>日経mini</x:v>
      </x:c>
      <x:c r="B1062" s="1" t="str">
        <x:v>V06</x:v>
      </x:c>
      <x:c r="C1062" s="1" t="str">
        <x:v>対照47場</x:v>
      </x:c>
      <x:c r="D1062" s="47" t="n">
        <x:v>5245160</x:v>
      </x:c>
      <x:c r="E1062" s="47" t="n">
        <x:v>4451698</x:v>
      </x:c>
      <x:c r="F1062" s="47" t="n">
        <x:f>D1062-E1062</x:f>
        <x:v>793462</x:v>
      </x:c>
      <x:c r="G1062" s="49" t="n">
        <x:v>11</x:v>
      </x:c>
      <x:c r="H1062" s="49" t="n">
        <x:v>13</x:v>
      </x:c>
      <x:c r="I1062" s="47" t="n">
        <x:v>-334228</x:v>
      </x:c>
      <x:c r="J1062" s="49" t="n">
        <x:v>302</x:v>
      </x:c>
      <x:c r="K1062" s="47" t="n">
        <x:v>-269306</x:v>
      </x:c>
      <x:c r="L1062" s="47" t="n">
        <x:v>91313.23076923077</x:v>
      </x:c>
      <x:c r="M1062" s="48" t="n">
        <x:v>31.08888888888889</x:v>
      </x:c>
      <x:c r="N1062" s="48" t="n">
        <x:v>317.95</x:v>
      </x:c>
      <x:c r="O1062" s="49" t="n">
        <x:v>7</x:v>
      </x:c>
      <x:c r="P1062" s="1" t="str">
        <x:v>中期状態の基準併用：同方向失敗後は新しい押し再進行を待つ・広め</x:v>
      </x:c>
      <x:c r="Q1062" s="49" t="n">
        <x:v>0</x:v>
      </x:c>
      <x:c r="R1062" s="50" t="n">
        <x:v>0.7570238095238094</x:v>
      </x:c>
      <x:c r="S1062" s="50" t="n">
        <x:v>0.7570238095238095</x:v>
      </x:c>
      <x:c r="T1062" s="1" t="str">
        <x:v>デイ</x:v>
      </x:c>
      <x:c r="U1062" s="49" t="n">
        <x:v>24</x:v>
      </x:c>
    </x:row>
    <x:row r="1063" ht="22" customHeight="1">
      <x:c r="A1063" s="1" t="str">
        <x:v>日経mini</x:v>
      </x:c>
      <x:c r="B1063" s="1" t="str">
        <x:v>V06</x:v>
      </x:c>
      <x:c r="C1063" s="1" t="str">
        <x:v>対照47場</x:v>
      </x:c>
      <x:c r="D1063" s="47" t="n">
        <x:v>4262154</x:v>
      </x:c>
      <x:c r="E1063" s="47" t="n">
        <x:v>4323024</x:v>
      </x:c>
      <x:c r="F1063" s="47" t="n">
        <x:f>D1063-E1063</x:f>
        <x:v>-60870</x:v>
      </x:c>
      <x:c r="G1063" s="49" t="n">
        <x:v>12</x:v>
      </x:c>
      <x:c r="H1063" s="49" t="n">
        <x:v>11</x:v>
      </x:c>
      <x:c r="I1063" s="47" t="n">
        <x:v>-493096</x:v>
      </x:c>
      <x:c r="J1063" s="49" t="n">
        <x:v>350</x:v>
      </x:c>
      <x:c r="K1063" s="47" t="n">
        <x:v>-198308</x:v>
      </x:c>
      <x:c r="L1063" s="47" t="n">
        <x:v>92686.54545454546</x:v>
      </x:c>
      <x:c r="M1063" s="48" t="n">
        <x:v>44.844202898550726</x:v>
      </x:c>
      <x:c r="N1063" s="48" t="n">
        <x:v>423.7615942028986</x:v>
      </x:c>
      <x:c r="O1063" s="49" t="n">
        <x:v>7</x:v>
      </x:c>
      <x:c r="P1063" s="1" t="str">
        <x:v>中期状態の基準併用：同方向失敗後は新しい押し再進行を待つ・広め</x:v>
      </x:c>
      <x:c r="Q1063" s="49" t="n">
        <x:v>0</x:v>
      </x:c>
      <x:c r="R1063" s="50" t="n">
        <x:v>0.5432840951319212</x:v>
      </x:c>
      <x:c r="S1063" s="50" t="n">
        <x:v>0.5432840951319212</x:v>
      </x:c>
      <x:c r="T1063" s="1" t="str">
        <x:v>ナイト</x:v>
      </x:c>
      <x:c r="U1063" s="49" t="n">
        <x:v>23</x:v>
      </x:c>
    </x:row>
    <x:row r="1064" ht="22" customHeight="1">
      <x:c r="A1064" s="1" t="str">
        <x:v>日経mini</x:v>
      </x:c>
      <x:c r="B1064" s="1" t="str">
        <x:v>V06</x:v>
      </x:c>
      <x:c r="C1064" s="1" t="str">
        <x:v>対照47場</x:v>
      </x:c>
      <x:c r="D1064" s="47" t="n">
        <x:v>4042460</x:v>
      </x:c>
      <x:c r="E1064" s="47" t="n">
        <x:v>4331398</x:v>
      </x:c>
      <x:c r="F1064" s="47" t="n">
        <x:f>D1064-E1064</x:f>
        <x:v>-288938</x:v>
      </x:c>
      <x:c r="G1064" s="49" t="n">
        <x:v>11</x:v>
      </x:c>
      <x:c r="H1064" s="49" t="n">
        <x:v>11</x:v>
      </x:c>
      <x:c r="I1064" s="47" t="n">
        <x:v>-750396</x:v>
      </x:c>
      <x:c r="J1064" s="49" t="n">
        <x:v>306</x:v>
      </x:c>
      <x:c r="K1064" s="47" t="n">
        <x:v>-198308</x:v>
      </x:c>
      <x:c r="L1064" s="47" t="n">
        <x:v>112965.63636363637</x:v>
      </x:c>
      <x:c r="M1064" s="48" t="n">
        <x:v>30.785606060606064</x:v>
      </x:c>
      <x:c r="N1064" s="48" t="n">
        <x:v>370.93257575757576</x:v>
      </x:c>
      <x:c r="O1064" s="49" t="n">
        <x:v>7</x:v>
      </x:c>
      <x:c r="P1064" s="1" t="str">
        <x:v>中期状態の基準併用：同方向失敗後は新しい押し再進行を待つ・広め</x:v>
      </x:c>
      <x:c r="Q1064" s="49" t="n">
        <x:v>0</x:v>
      </x:c>
      <x:c r="R1064" s="50" t="n">
        <x:v>0.6275500888000888</x:v>
      </x:c>
      <x:c r="S1064" s="50" t="n">
        <x:v>0.6018080137659784</x:v>
      </x:c>
      <x:c r="T1064" s="1" t="str">
        <x:v>上昇</x:v>
      </x:c>
      <x:c r="U1064" s="49" t="n">
        <x:v>22</x:v>
      </x:c>
    </x:row>
    <x:row r="1065" ht="22" customHeight="1">
      <x:c r="A1065" s="1" t="str">
        <x:v>日経mini</x:v>
      </x:c>
      <x:c r="B1065" s="1" t="str">
        <x:v>V06</x:v>
      </x:c>
      <x:c r="C1065" s="1" t="str">
        <x:v>対照47場</x:v>
      </x:c>
      <x:c r="D1065" s="47" t="n">
        <x:v>5464854</x:v>
      </x:c>
      <x:c r="E1065" s="47" t="n">
        <x:v>4443324</x:v>
      </x:c>
      <x:c r="F1065" s="47" t="n">
        <x:f>D1065-E1065</x:f>
        <x:v>1021530</x:v>
      </x:c>
      <x:c r="G1065" s="49" t="n">
        <x:v>12</x:v>
      </x:c>
      <x:c r="H1065" s="49" t="n">
        <x:v>13</x:v>
      </x:c>
      <x:c r="I1065" s="47" t="n">
        <x:v>-106160</x:v>
      </x:c>
      <x:c r="J1065" s="49" t="n">
        <x:v>346</x:v>
      </x:c>
      <x:c r="K1065" s="47" t="n">
        <x:v>-269306</x:v>
      </x:c>
      <x:c r="L1065" s="47" t="n">
        <x:v>74154</x:v>
      </x:c>
      <x:c r="M1065" s="48" t="n">
        <x:v>44.010666666666665</x:v>
      </x:c>
      <x:c r="N1065" s="48" t="n">
        <x:v>368.672</x:v>
      </x:c>
      <x:c r="O1065" s="49" t="n">
        <x:v>7</x:v>
      </x:c>
      <x:c r="P1065" s="1" t="str">
        <x:v>中期状態の基準併用：同方向失敗後は新しい押し再進行を待つ・広め</x:v>
      </x:c>
      <x:c r="Q1065" s="49" t="n">
        <x:v>0</x:v>
      </x:c>
      <x:c r="R1065" s="50" t="n">
        <x:v>0.6743201465201466</x:v>
      </x:c>
      <x:c r="S1065" s="50" t="n">
        <x:v>0.6373997233748271</x:v>
      </x:c>
      <x:c r="T1065" s="1" t="str">
        <x:v>下落</x:v>
      </x:c>
      <x:c r="U1065" s="49" t="n">
        <x:v>25</x:v>
      </x:c>
    </x:row>
    <x:row r="1066" ht="22" customHeight="1">
      <x:c r="A1066" s="1" t="str">
        <x:v>日経mini</x:v>
      </x:c>
      <x:c r="B1066" s="1" t="str">
        <x:v>V06</x:v>
      </x:c>
      <x:c r="C1066" s="1" t="str">
        <x:v>診断3場</x:v>
      </x:c>
      <x:c r="D1066" s="47" t="n">
        <x:v>509384</x:v>
      </x:c>
      <x:c r="E1066" s="47" t="n">
        <x:v>925544</x:v>
      </x:c>
      <x:c r="F1066" s="47" t="n">
        <x:f>D1066-E1066</x:f>
        <x:v>-416160</x:v>
      </x:c>
      <x:c r="G1066" s="49" t="n">
        <x:v>0</x:v>
      </x:c>
      <x:c r="H1066" s="49" t="n">
        <x:v>3</x:v>
      </x:c>
      <x:c r="I1066" s="47" t="n">
        <x:v>-416160</x:v>
      </x:c>
      <x:c r="J1066" s="49" t="n">
        <x:v>60</x:v>
      </x:c>
      <x:c r="K1066" s="47" t="n">
        <x:v>-215848</x:v>
      </x:c>
      <x:c r="L1066" s="47" t="n">
        <x:v>138720</x:v>
      </x:c>
      <x:c r="M1066" s="48" t="n">
        <x:v>23.2</x:v>
      </x:c>
      <x:c r="N1066" s="48" t="n">
        <x:v>433.5333333333333</x:v>
      </x:c>
      <x:c r="O1066" s="49" t="n">
        <x:v>7</x:v>
      </x:c>
      <x:c r="P1066" s="1" t="str">
        <x:v>中期状態の基準併用：同方向失敗後は新しい押し再進行を待つ・広め</x:v>
      </x:c>
      <x:c r="Q1066" s="49" t="n">
        <x:v>0</x:v>
      </x:c>
      <x:c r="R1066" s="50" t="n">
        <x:v>0.6720757020757021</x:v>
      </x:c>
      <x:c r="S1066" s="50" t="n">
        <x:v>0.6568686868686868</x:v>
      </x:c>
      <x:c r="T1066" s="1" t="str">
        <x:v>全場</x:v>
      </x:c>
      <x:c r="U1066" s="49" t="n">
        <x:v>3</x:v>
      </x:c>
    </x:row>
    <x:row r="1067" ht="22" customHeight="1">
      <x:c r="A1067" s="1" t="str">
        <x:v>日経mini</x:v>
      </x:c>
      <x:c r="B1067" s="1" t="str">
        <x:v>V06</x:v>
      </x:c>
      <x:c r="C1067" s="1" t="str">
        <x:v>診断3場</x:v>
      </x:c>
      <x:c r="D1067" s="47" t="n">
        <x:v>123538</x:v>
      </x:c>
      <x:c r="E1067" s="47" t="n">
        <x:v>339386</x:v>
      </x:c>
      <x:c r="F1067" s="47" t="n">
        <x:f>D1067-E1067</x:f>
        <x:v>-215848</x:v>
      </x:c>
      <x:c r="G1067" s="49" t="n">
        <x:v>0</x:v>
      </x:c>
      <x:c r="H1067" s="49" t="n">
        <x:v>1</x:v>
      </x:c>
      <x:c r="I1067" s="47" t="n">
        <x:v>-215848</x:v>
      </x:c>
      <x:c r="J1067" s="49" t="n">
        <x:v>17</x:v>
      </x:c>
      <x:c r="K1067" s="47" t="n">
        <x:v>-215848</x:v>
      </x:c>
      <x:c r="L1067" s="47" t="n">
        <x:v>215848</x:v>
      </x:c>
      <x:c r="M1067" s="48" t="n">
        <x:v>23.116666666666667</x:v>
      </x:c>
      <x:c r="N1067" s="48" t="n">
        <x:v>317.4</x:v>
      </x:c>
      <x:c r="O1067" s="49" t="n">
        <x:v>7</x:v>
      </x:c>
      <x:c r="P1067" s="1" t="str">
        <x:v>中期状態の基準併用：同方向失敗後は新しい押し再進行を待つ・広め</x:v>
      </x:c>
      <x:c r="Q1067" s="49" t="n">
        <x:v>0</x:v>
      </x:c>
      <x:c r="R1067" s="50" t="n">
        <x:v>0.7557142857142857</x:v>
      </x:c>
      <x:c r="S1067" s="50" t="n">
        <x:v>0.7557142857142857</x:v>
      </x:c>
      <x:c r="T1067" s="1" t="str">
        <x:v>デイ</x:v>
      </x:c>
      <x:c r="U1067" s="49" t="n">
        <x:v>1</x:v>
      </x:c>
    </x:row>
    <x:row r="1068" ht="22" customHeight="1">
      <x:c r="A1068" s="1" t="str">
        <x:v>日経mini</x:v>
      </x:c>
      <x:c r="B1068" s="1" t="str">
        <x:v>V06</x:v>
      </x:c>
      <x:c r="C1068" s="1" t="str">
        <x:v>診断3場</x:v>
      </x:c>
      <x:c r="D1068" s="47" t="n">
        <x:v>385846</x:v>
      </x:c>
      <x:c r="E1068" s="47" t="n">
        <x:v>586158</x:v>
      </x:c>
      <x:c r="F1068" s="47" t="n">
        <x:f>D1068-E1068</x:f>
        <x:v>-200312</x:v>
      </x:c>
      <x:c r="G1068" s="49" t="n">
        <x:v>0</x:v>
      </x:c>
      <x:c r="H1068" s="49" t="n">
        <x:v>2</x:v>
      </x:c>
      <x:c r="I1068" s="47" t="n">
        <x:v>-200312</x:v>
      </x:c>
      <x:c r="J1068" s="49" t="n">
        <x:v>43</x:v>
      </x:c>
      <x:c r="K1068" s="47" t="n">
        <x:v>-176310</x:v>
      </x:c>
      <x:c r="L1068" s="47" t="n">
        <x:v>100156</x:v>
      </x:c>
      <x:c r="M1068" s="48" t="n">
        <x:v>23.241666666666667</x:v>
      </x:c>
      <x:c r="N1068" s="48" t="n">
        <x:v>491.6</x:v>
      </x:c>
      <x:c r="O1068" s="49" t="n">
        <x:v>7</x:v>
      </x:c>
      <x:c r="P1068" s="1" t="str">
        <x:v>中期状態の基準併用：同方向失敗後は新しい押し再進行を待つ・広め</x:v>
      </x:c>
      <x:c r="Q1068" s="49" t="n">
        <x:v>0</x:v>
      </x:c>
      <x:c r="R1068" s="50" t="n">
        <x:v>0.6302564102564103</x:v>
      </x:c>
      <x:c r="S1068" s="50" t="n">
        <x:v>0.6302564102564103</x:v>
      </x:c>
      <x:c r="T1068" s="1" t="str">
        <x:v>ナイト</x:v>
      </x:c>
      <x:c r="U1068" s="49" t="n">
        <x:v>2</x:v>
      </x:c>
    </x:row>
    <x:row r="1069" ht="22" customHeight="1">
      <x:c r="A1069" s="1" t="str">
        <x:v>日経mini</x:v>
      </x:c>
      <x:c r="B1069" s="1" t="str">
        <x:v>V06</x:v>
      </x:c>
      <x:c r="C1069" s="1" t="str">
        <x:v>診断3場</x:v>
      </x:c>
      <x:c r="D1069" s="47" t="n">
        <x:v>283384</x:v>
      </x:c>
      <x:c r="E1069" s="47" t="n">
        <x:v>523234</x:v>
      </x:c>
      <x:c r="F1069" s="47" t="n">
        <x:f>D1069-E1069</x:f>
        <x:v>-239850</x:v>
      </x:c>
      <x:c r="G1069" s="49" t="n">
        <x:v>0</x:v>
      </x:c>
      <x:c r="H1069" s="49" t="n">
        <x:v>2</x:v>
      </x:c>
      <x:c r="I1069" s="47" t="n">
        <x:v>-239850</x:v>
      </x:c>
      <x:c r="J1069" s="49" t="n">
        <x:v>35</x:v>
      </x:c>
      <x:c r="K1069" s="47" t="n">
        <x:v>-215848</x:v>
      </x:c>
      <x:c r="L1069" s="47" t="n">
        <x:v>119925</x:v>
      </x:c>
      <x:c r="M1069" s="48" t="n">
        <x:v>23.125</x:v>
      </x:c>
      <x:c r="N1069" s="48" t="n">
        <x:v>408.3833333333333</x:v>
      </x:c>
      <x:c r="O1069" s="49" t="n">
        <x:v>7</x:v>
      </x:c>
      <x:c r="P1069" s="1" t="str">
        <x:v>中期状態の基準併用：同方向失敗後は新しい押し再進行を待つ・広め</x:v>
      </x:c>
      <x:c r="Q1069" s="49" t="n">
        <x:v>0</x:v>
      </x:c>
      <x:c r="R1069" s="50" t="n">
        <x:v>0.6979639804639804</x:v>
      </x:c>
      <x:c r="S1069" s="50" t="n">
        <x:v>0.6806388888888889</x:v>
      </x:c>
      <x:c r="T1069" s="1" t="str">
        <x:v>上昇</x:v>
      </x:c>
      <x:c r="U1069" s="49" t="n">
        <x:v>2</x:v>
      </x:c>
    </x:row>
    <x:row r="1070" ht="22" customHeight="1">
      <x:c r="A1070" s="1" t="str">
        <x:v>日経mini</x:v>
      </x:c>
      <x:c r="B1070" s="1" t="str">
        <x:v>V06</x:v>
      </x:c>
      <x:c r="C1070" s="1" t="str">
        <x:v>診断3場</x:v>
      </x:c>
      <x:c r="D1070" s="47" t="n">
        <x:v>226000</x:v>
      </x:c>
      <x:c r="E1070" s="47" t="n">
        <x:v>402310</x:v>
      </x:c>
      <x:c r="F1070" s="47" t="n">
        <x:f>D1070-E1070</x:f>
        <x:v>-176310</x:v>
      </x:c>
      <x:c r="G1070" s="49" t="n">
        <x:v>0</x:v>
      </x:c>
      <x:c r="H1070" s="49" t="n">
        <x:v>1</x:v>
      </x:c>
      <x:c r="I1070" s="47" t="n">
        <x:v>-176310</x:v>
      </x:c>
      <x:c r="J1070" s="49" t="n">
        <x:v>25</x:v>
      </x:c>
      <x:c r="K1070" s="47" t="n">
        <x:v>-176310</x:v>
      </x:c>
      <x:c r="L1070" s="47" t="n">
        <x:v>176310</x:v>
      </x:c>
      <x:c r="M1070" s="48" t="n">
        <x:v>23.35</x:v>
      </x:c>
      <x:c r="N1070" s="48" t="n">
        <x:v>483.8333333333333</x:v>
      </x:c>
      <x:c r="O1070" s="49" t="n">
        <x:v>7</x:v>
      </x:c>
      <x:c r="P1070" s="1" t="str">
        <x:v>中期状態の基準併用：同方向失敗後は新しい押し再進行を待つ・広め</x:v>
      </x:c>
      <x:c r="Q1070" s="49" t="n">
        <x:v>0</x:v>
      </x:c>
      <x:c r="R1070" s="50" t="n">
        <x:v>0.6202991452991453</x:v>
      </x:c>
      <x:c r="S1070" s="50" t="n">
        <x:v>0.6202991452991453</x:v>
      </x:c>
      <x:c r="T1070" s="1" t="str">
        <x:v>下落</x:v>
      </x:c>
      <x:c r="U1070" s="49" t="n">
        <x:v>1</x:v>
      </x:c>
    </x:row>
    <x:row r="1071" ht="22" customHeight="1">
      <x:c r="A1071" s="1" t="str">
        <x:v>日経mini</x:v>
      </x:c>
      <x:c r="B1071" s="1" t="str">
        <x:v>W01</x:v>
      </x:c>
      <x:c r="C1071" s="1" t="str">
        <x:v>全50場</x:v>
      </x:c>
      <x:c r="D1071" s="47" t="n">
        <x:v>5121837</x:v>
      </x:c>
      <x:c r="E1071" s="47" t="n">
        <x:v>2933804</x:v>
      </x:c>
      <x:c r="F1071" s="47" t="n">
        <x:f>D1071-E1071</x:f>
        <x:v>2188033</x:v>
      </x:c>
      <x:c r="G1071" s="49" t="n">
        <x:v>32</x:v>
      </x:c>
      <x:c r="H1071" s="49" t="n">
        <x:v>18</x:v>
      </x:c>
      <x:c r="I1071" s="47" t="n">
        <x:v>1208714</x:v>
      </x:c>
      <x:c r="J1071" s="49" t="n">
        <x:v>199</x:v>
      </x:c>
      <x:c r="K1071" s="47" t="n">
        <x:v>-153304</x:v>
      </x:c>
      <x:c r="L1071" s="47" t="n">
        <x:v>65912.33333333333</x:v>
      </x:c>
      <x:c r="M1071" s="48" t="n">
        <x:v>222.35833333333332</x:v>
      </x:c>
      <x:c r="N1071" s="48" t="n">
        <x:v>112.24399999999997</x:v>
      </x:c>
      <x:c r="O1071" s="49" t="n">
        <x:v>7</x:v>
      </x:c>
      <x:c r="P1071" s="1" t="str">
        <x:v>過去完了場だけの逐次選択</x:v>
      </x:c>
      <x:c r="Q1071" s="49" t="n">
        <x:v>0</x:v>
      </x:c>
      <x:c r="R1071" s="50" t="n">
        <x:v>0.24961648351648352</x:v>
      </x:c>
      <x:c r="S1071" s="50" t="n">
        <x:v>0.1870733333333333</x:v>
      </x:c>
      <x:c r="T1071" s="1" t="str">
        <x:v>全場</x:v>
      </x:c>
      <x:c r="U1071" s="49" t="n">
        <x:v>50</x:v>
      </x:c>
    </x:row>
    <x:row r="1072" ht="22" customHeight="1">
      <x:c r="A1072" s="1" t="str">
        <x:v>日経mini</x:v>
      </x:c>
      <x:c r="B1072" s="1" t="str">
        <x:v>W01</x:v>
      </x:c>
      <x:c r="C1072" s="1" t="str">
        <x:v>全50場</x:v>
      </x:c>
      <x:c r="D1072" s="47" t="n">
        <x:v>3267347</x:v>
      </x:c>
      <x:c r="E1072" s="47" t="n">
        <x:v>1973584</x:v>
      </x:c>
      <x:c r="F1072" s="47" t="n">
        <x:f>D1072-E1072</x:f>
        <x:v>1293763</x:v>
      </x:c>
      <x:c r="G1072" s="49" t="n">
        <x:v>15</x:v>
      </x:c>
      <x:c r="H1072" s="49" t="n">
        <x:v>10</x:v>
      </x:c>
      <x:c r="I1072" s="47" t="n">
        <x:v>424522</x:v>
      </x:c>
      <x:c r="J1072" s="49" t="n">
        <x:v>127</x:v>
      </x:c>
      <x:c r="K1072" s="47" t="n">
        <x:v>-153304</x:v>
      </x:c>
      <x:c r="L1072" s="47" t="n">
        <x:v>76474</x:v>
      </x:c>
      <x:c r="M1072" s="48" t="n">
        <x:v>96.33866666666667</x:v>
      </x:c>
      <x:c r="N1072" s="48" t="n">
        <x:v>192.39933333333335</x:v>
      </x:c>
      <x:c r="O1072" s="49" t="n">
        <x:v>7</x:v>
      </x:c>
      <x:c r="P1072" s="1" t="str">
        <x:v>過去完了場だけの逐次選択</x:v>
      </x:c>
      <x:c r="Q1072" s="49" t="n">
        <x:v>0</x:v>
      </x:c>
      <x:c r="R1072" s="50" t="n">
        <x:v>0.4580936507936508</x:v>
      </x:c>
      <x:c r="S1072" s="50" t="n">
        <x:v>0.45809365079365083</x:v>
      </x:c>
      <x:c r="T1072" s="1" t="str">
        <x:v>デイ</x:v>
      </x:c>
      <x:c r="U1072" s="49" t="n">
        <x:v>25</x:v>
      </x:c>
    </x:row>
    <x:row r="1073" ht="22" customHeight="1">
      <x:c r="A1073" s="1" t="str">
        <x:v>日経mini</x:v>
      </x:c>
      <x:c r="B1073" s="1" t="str">
        <x:v>W01</x:v>
      </x:c>
      <x:c r="C1073" s="1" t="str">
        <x:v>全50場</x:v>
      </x:c>
      <x:c r="D1073" s="47" t="n">
        <x:v>1854490</x:v>
      </x:c>
      <x:c r="E1073" s="47" t="n">
        <x:v>960220</x:v>
      </x:c>
      <x:c r="F1073" s="47" t="n">
        <x:f>D1073-E1073</x:f>
        <x:v>894270</x:v>
      </x:c>
      <x:c r="G1073" s="49" t="n">
        <x:v>17</x:v>
      </x:c>
      <x:c r="H1073" s="49" t="n">
        <x:v>8</x:v>
      </x:c>
      <x:c r="I1073" s="47" t="n">
        <x:v>260492</x:v>
      </x:c>
      <x:c r="J1073" s="49" t="n">
        <x:v>72</x:v>
      </x:c>
      <x:c r="K1073" s="47" t="n">
        <x:v>-121461</x:v>
      </x:c>
      <x:c r="L1073" s="47" t="n">
        <x:v>52710.25</x:v>
      </x:c>
      <x:c r="M1073" s="48" t="n">
        <x:v>348.37800000000004</x:v>
      </x:c>
      <x:c r="N1073" s="48" t="n">
        <x:v>32.088666666666676</x:v>
      </x:c>
      <x:c r="O1073" s="49" t="n">
        <x:v>7</x:v>
      </x:c>
      <x:c r="P1073" s="1" t="str">
        <x:v>過去完了場だけの逐次選択</x:v>
      </x:c>
      <x:c r="Q1073" s="49" t="n">
        <x:v>0</x:v>
      </x:c>
      <x:c r="R1073" s="50" t="n">
        <x:v>0.041139316239316236</x:v>
      </x:c>
      <x:c r="S1073" s="50" t="n">
        <x:v>0.04113931623931624</x:v>
      </x:c>
      <x:c r="T1073" s="1" t="str">
        <x:v>ナイト</x:v>
      </x:c>
      <x:c r="U1073" s="49" t="n">
        <x:v>25</x:v>
      </x:c>
    </x:row>
    <x:row r="1074" ht="22" customHeight="1">
      <x:c r="A1074" s="1" t="str">
        <x:v>日経mini</x:v>
      </x:c>
      <x:c r="B1074" s="1" t="str">
        <x:v>W01</x:v>
      </x:c>
      <x:c r="C1074" s="1" t="str">
        <x:v>全50場</x:v>
      </x:c>
      <x:c r="D1074" s="47" t="n">
        <x:v>2093029</x:v>
      </x:c>
      <x:c r="E1074" s="47" t="n">
        <x:v>1442207</x:v>
      </x:c>
      <x:c r="F1074" s="47" t="n">
        <x:f>D1074-E1074</x:f>
        <x:v>650822</x:v>
      </x:c>
      <x:c r="G1074" s="49" t="n">
        <x:v>14</x:v>
      </x:c>
      <x:c r="H1074" s="49" t="n">
        <x:v>10</x:v>
      </x:c>
      <x:c r="I1074" s="47" t="n">
        <x:v>-67188</x:v>
      </x:c>
      <x:c r="J1074" s="49" t="n">
        <x:v>93</x:v>
      </x:c>
      <x:c r="K1074" s="47" t="n">
        <x:v>-152994</x:v>
      </x:c>
      <x:c r="L1074" s="47" t="n">
        <x:v>74013</x:v>
      </x:c>
      <x:c r="M1074" s="48" t="n">
        <x:v>230.20208333333335</x:v>
      </x:c>
      <x:c r="N1074" s="48" t="n">
        <x:v>104.4909722222222</x:v>
      </x:c>
      <x:c r="O1074" s="49" t="n">
        <x:v>7</x:v>
      </x:c>
      <x:c r="P1074" s="1" t="str">
        <x:v>過去完了場だけの逐次選択</x:v>
      </x:c>
      <x:c r="Q1074" s="49" t="n">
        <x:v>0</x:v>
      </x:c>
      <x:c r="R1074" s="50" t="n">
        <x:v>0.23068439662189663</x:v>
      </x:c>
      <x:c r="S1074" s="50" t="n">
        <x:v>0.16990401987353207</x:v>
      </x:c>
      <x:c r="T1074" s="1" t="str">
        <x:v>上昇</x:v>
      </x:c>
      <x:c r="U1074" s="49" t="n">
        <x:v>24</x:v>
      </x:c>
    </x:row>
    <x:row r="1075" ht="22" customHeight="1">
      <x:c r="A1075" s="1" t="str">
        <x:v>日経mini</x:v>
      </x:c>
      <x:c r="B1075" s="1" t="str">
        <x:v>W01</x:v>
      </x:c>
      <x:c r="C1075" s="1" t="str">
        <x:v>全50場</x:v>
      </x:c>
      <x:c r="D1075" s="47" t="n">
        <x:v>3028808</x:v>
      </x:c>
      <x:c r="E1075" s="47" t="n">
        <x:v>1491597</x:v>
      </x:c>
      <x:c r="F1075" s="47" t="n">
        <x:f>D1075-E1075</x:f>
        <x:v>1537211</x:v>
      </x:c>
      <x:c r="G1075" s="49" t="n">
        <x:v>18</x:v>
      </x:c>
      <x:c r="H1075" s="49" t="n">
        <x:v>8</x:v>
      </x:c>
      <x:c r="I1075" s="47" t="n">
        <x:v>667970</x:v>
      </x:c>
      <x:c r="J1075" s="49" t="n">
        <x:v>106</x:v>
      </x:c>
      <x:c r="K1075" s="47" t="n">
        <x:v>-153304</x:v>
      </x:c>
      <x:c r="L1075" s="47" t="n">
        <x:v>55786.5</x:v>
      </x:c>
      <x:c r="M1075" s="48" t="n">
        <x:v>215.1179487179487</x:v>
      </x:c>
      <x:c r="N1075" s="48" t="n">
        <x:v>119.40064102564104</x:v>
      </x:c>
      <x:c r="O1075" s="49" t="n">
        <x:v>7</x:v>
      </x:c>
      <x:c r="P1075" s="1" t="str">
        <x:v>過去完了場だけの逐次選択</x:v>
      </x:c>
      <x:c r="Q1075" s="49" t="n">
        <x:v>0</x:v>
      </x:c>
      <x:c r="R1075" s="50" t="n">
        <x:v>0.26709225603456377</x:v>
      </x:c>
      <x:c r="S1075" s="50" t="n">
        <x:v>0.20370188101487313</x:v>
      </x:c>
      <x:c r="T1075" s="1" t="str">
        <x:v>下落</x:v>
      </x:c>
      <x:c r="U1075" s="49" t="n">
        <x:v>26</x:v>
      </x:c>
    </x:row>
    <x:row r="1076" ht="22" customHeight="1">
      <x:c r="A1076" s="1" t="str">
        <x:v>日経mini</x:v>
      </x:c>
      <x:c r="B1076" s="1" t="str">
        <x:v>W01</x:v>
      </x:c>
      <x:c r="C1076" s="1" t="str">
        <x:v>対照47場</x:v>
      </x:c>
      <x:c r="D1076" s="47" t="n">
        <x:v>4982605</x:v>
      </x:c>
      <x:c r="E1076" s="47" t="n">
        <x:v>2783576</x:v>
      </x:c>
      <x:c r="F1076" s="47" t="n">
        <x:f>D1076-E1076</x:f>
        <x:v>2199029</x:v>
      </x:c>
      <x:c r="G1076" s="49" t="n">
        <x:v>30</x:v>
      </x:c>
      <x:c r="H1076" s="49" t="n">
        <x:v>17</x:v>
      </x:c>
      <x:c r="I1076" s="47" t="n">
        <x:v>1219710</x:v>
      </x:c>
      <x:c r="J1076" s="49" t="n">
        <x:v>192</x:v>
      </x:c>
      <x:c r="K1076" s="47" t="n">
        <x:v>-153304</x:v>
      </x:c>
      <x:c r="L1076" s="47" t="n">
        <x:v>67119.88235294117</x:v>
      </x:c>
      <x:c r="M1076" s="48" t="n">
        <x:v>218.28617021276597</x:v>
      </x:c>
      <x:c r="N1076" s="48" t="n">
        <x:v>117.99716312056734</x:v>
      </x:c>
      <x:c r="O1076" s="49" t="n">
        <x:v>7</x:v>
      </x:c>
      <x:c r="P1076" s="1" t="str">
        <x:v>過去完了場だけの逐次選択</x:v>
      </x:c>
      <x:c r="Q1076" s="49" t="n">
        <x:v>0</x:v>
      </x:c>
      <x:c r="R1076" s="50" t="n">
        <x:v>0.26364105161977497</x:v>
      </x:c>
      <x:c r="S1076" s="50" t="n">
        <x:v>0.19792529145848203</x:v>
      </x:c>
      <x:c r="T1076" s="1" t="str">
        <x:v>全場</x:v>
      </x:c>
      <x:c r="U1076" s="49" t="n">
        <x:v>47</x:v>
      </x:c>
    </x:row>
    <x:row r="1077" ht="22" customHeight="1">
      <x:c r="A1077" s="1" t="str">
        <x:v>日経mini</x:v>
      </x:c>
      <x:c r="B1077" s="1" t="str">
        <x:v>W01</x:v>
      </x:c>
      <x:c r="C1077" s="1" t="str">
        <x:v>対照47場</x:v>
      </x:c>
      <x:c r="D1077" s="47" t="n">
        <x:v>3267347</x:v>
      </x:c>
      <x:c r="E1077" s="47" t="n">
        <x:v>1928200</x:v>
      </x:c>
      <x:c r="F1077" s="47" t="n">
        <x:f>D1077-E1077</x:f>
        <x:v>1339147</x:v>
      </x:c>
      <x:c r="G1077" s="49" t="n">
        <x:v>15</x:v>
      </x:c>
      <x:c r="H1077" s="49" t="n">
        <x:v>9</x:v>
      </x:c>
      <x:c r="I1077" s="47" t="n">
        <x:v>469906</x:v>
      </x:c>
      <x:c r="J1077" s="49" t="n">
        <x:v>126</x:v>
      </x:c>
      <x:c r="K1077" s="47" t="n">
        <x:v>-153304</x:v>
      </x:c>
      <x:c r="L1077" s="47" t="n">
        <x:v>79928.44444444444</x:v>
      </x:c>
      <x:c r="M1077" s="48" t="n">
        <x:v>94.58749999999999</x:v>
      </x:c>
      <x:c r="N1077" s="48" t="n">
        <x:v>200.23958333333334</x:v>
      </x:c>
      <x:c r="O1077" s="49" t="n">
        <x:v>7</x:v>
      </x:c>
      <x:c r="P1077" s="1" t="str">
        <x:v>過去完了場だけの逐次選択</x:v>
      </x:c>
      <x:c r="Q1077" s="49" t="n">
        <x:v>0</x:v>
      </x:c>
      <x:c r="R1077" s="50" t="n">
        <x:v>0.4767609126984127</x:v>
      </x:c>
      <x:c r="S1077" s="50" t="n">
        <x:v>0.4767609126984127</x:v>
      </x:c>
      <x:c r="T1077" s="1" t="str">
        <x:v>デイ</x:v>
      </x:c>
      <x:c r="U1077" s="49" t="n">
        <x:v>24</x:v>
      </x:c>
    </x:row>
    <x:row r="1078" ht="22" customHeight="1">
      <x:c r="A1078" s="1" t="str">
        <x:v>日経mini</x:v>
      </x:c>
      <x:c r="B1078" s="1" t="str">
        <x:v>W01</x:v>
      </x:c>
      <x:c r="C1078" s="1" t="str">
        <x:v>対照47場</x:v>
      </x:c>
      <x:c r="D1078" s="47" t="n">
        <x:v>1715258</x:v>
      </x:c>
      <x:c r="E1078" s="47" t="n">
        <x:v>855376</x:v>
      </x:c>
      <x:c r="F1078" s="47" t="n">
        <x:f>D1078-E1078</x:f>
        <x:v>859882</x:v>
      </x:c>
      <x:c r="G1078" s="49" t="n">
        <x:v>15</x:v>
      </x:c>
      <x:c r="H1078" s="49" t="n">
        <x:v>8</x:v>
      </x:c>
      <x:c r="I1078" s="47" t="n">
        <x:v>226104</x:v>
      </x:c>
      <x:c r="J1078" s="49" t="n">
        <x:v>66</x:v>
      </x:c>
      <x:c r="K1078" s="47" t="n">
        <x:v>-121461</x:v>
      </x:c>
      <x:c r="L1078" s="47" t="n">
        <x:v>52710.25</x:v>
      </x:c>
      <x:c r="M1078" s="48" t="n">
        <x:v>347.36304347826086</x:v>
      </x:c>
      <x:c r="N1078" s="48" t="n">
        <x:v>32.178985507246374</x:v>
      </x:c>
      <x:c r="O1078" s="49" t="n">
        <x:v>7</x:v>
      </x:c>
      <x:c r="P1078" s="1" t="str">
        <x:v>過去完了場だけの逐次選択</x:v>
      </x:c>
      <x:c r="Q1078" s="49" t="n">
        <x:v>0</x:v>
      </x:c>
      <x:c r="R1078" s="50" t="n">
        <x:v>0.041255109624674845</x:v>
      </x:c>
      <x:c r="S1078" s="50" t="n">
        <x:v>0.041255109624674845</x:v>
      </x:c>
      <x:c r="T1078" s="1" t="str">
        <x:v>ナイト</x:v>
      </x:c>
      <x:c r="U1078" s="49" t="n">
        <x:v>23</x:v>
      </x:c>
    </x:row>
    <x:row r="1079" ht="22" customHeight="1">
      <x:c r="A1079" s="1" t="str">
        <x:v>日経mini</x:v>
      </x:c>
      <x:c r="B1079" s="1" t="str">
        <x:v>W01</x:v>
      </x:c>
      <x:c r="C1079" s="1" t="str">
        <x:v>対照47場</x:v>
      </x:c>
      <x:c r="D1079" s="47" t="n">
        <x:v>2058413</x:v>
      </x:c>
      <x:c r="E1079" s="47" t="n">
        <x:v>1381670</x:v>
      </x:c>
      <x:c r="F1079" s="47" t="n">
        <x:f>D1079-E1079</x:f>
        <x:v>676743</x:v>
      </x:c>
      <x:c r="G1079" s="49" t="n">
        <x:v>13</x:v>
      </x:c>
      <x:c r="H1079" s="49" t="n">
        <x:v>9</x:v>
      </x:c>
      <x:c r="I1079" s="47" t="n">
        <x:v>-41267</x:v>
      </x:c>
      <x:c r="J1079" s="49" t="n">
        <x:v>90</x:v>
      </x:c>
      <x:c r="K1079" s="47" t="n">
        <x:v>-152994</x:v>
      </x:c>
      <x:c r="L1079" s="47" t="n">
        <x:v>77194</x:v>
      </x:c>
      <x:c r="M1079" s="48" t="n">
        <x:v>228.475</x:v>
      </x:c>
      <x:c r="N1079" s="48" t="n">
        <x:v>112.81666666666666</x:v>
      </x:c>
      <x:c r="O1079" s="49" t="n">
        <x:v>7</x:v>
      </x:c>
      <x:c r="P1079" s="1" t="str">
        <x:v>過去完了場だけの逐次選択</x:v>
      </x:c>
      <x:c r="Q1079" s="49" t="n">
        <x:v>0</x:v>
      </x:c>
      <x:c r="R1079" s="50" t="n">
        <x:v>0.2499397824397824</x:v>
      </x:c>
      <x:c r="S1079" s="50" t="n">
        <x:v>0.18303588987217306</x:v>
      </x:c>
      <x:c r="T1079" s="1" t="str">
        <x:v>上昇</x:v>
      </x:c>
      <x:c r="U1079" s="49" t="n">
        <x:v>22</x:v>
      </x:c>
    </x:row>
    <x:row r="1080" ht="22" customHeight="1">
      <x:c r="A1080" s="1" t="str">
        <x:v>日経mini</x:v>
      </x:c>
      <x:c r="B1080" s="1" t="str">
        <x:v>W01</x:v>
      </x:c>
      <x:c r="C1080" s="1" t="str">
        <x:v>対照47場</x:v>
      </x:c>
      <x:c r="D1080" s="47" t="n">
        <x:v>2924192</x:v>
      </x:c>
      <x:c r="E1080" s="47" t="n">
        <x:v>1401906</x:v>
      </x:c>
      <x:c r="F1080" s="47" t="n">
        <x:f>D1080-E1080</x:f>
        <x:v>1522286</x:v>
      </x:c>
      <x:c r="G1080" s="49" t="n">
        <x:v>17</x:v>
      </x:c>
      <x:c r="H1080" s="49" t="n">
        <x:v>8</x:v>
      </x:c>
      <x:c r="I1080" s="47" t="n">
        <x:v>653045</x:v>
      </x:c>
      <x:c r="J1080" s="49" t="n">
        <x:v>102</x:v>
      </x:c>
      <x:c r="K1080" s="47" t="n">
        <x:v>-153304</x:v>
      </x:c>
      <x:c r="L1080" s="47" t="n">
        <x:v>55786.5</x:v>
      </x:c>
      <x:c r="M1080" s="48" t="n">
        <x:v>209.32</x:v>
      </x:c>
      <x:c r="N1080" s="48" t="n">
        <x:v>122.556</x:v>
      </x:c>
      <x:c r="O1080" s="49" t="n">
        <x:v>7</x:v>
      </x:c>
      <x:c r="P1080" s="1" t="str">
        <x:v>過去完了場だけの逐次選択</x:v>
      </x:c>
      <x:c r="Q1080" s="49" t="n">
        <x:v>0</x:v>
      </x:c>
      <x:c r="R1080" s="50" t="n">
        <x:v>0.2756981684981685</x:v>
      </x:c>
      <x:c r="S1080" s="50" t="n">
        <x:v>0.21188796680497926</x:v>
      </x:c>
      <x:c r="T1080" s="1" t="str">
        <x:v>下落</x:v>
      </x:c>
      <x:c r="U1080" s="49" t="n">
        <x:v>25</x:v>
      </x:c>
    </x:row>
    <x:row r="1081" ht="22" customHeight="1">
      <x:c r="A1081" s="1" t="str">
        <x:v>日経mini</x:v>
      </x:c>
      <x:c r="B1081" s="1" t="str">
        <x:v>W01</x:v>
      </x:c>
      <x:c r="C1081" s="1" t="str">
        <x:v>診断3場</x:v>
      </x:c>
      <x:c r="D1081" s="47" t="n">
        <x:v>139232</x:v>
      </x:c>
      <x:c r="E1081" s="47" t="n">
        <x:v>150228</x:v>
      </x:c>
      <x:c r="F1081" s="47" t="n">
        <x:f>D1081-E1081</x:f>
        <x:v>-10996</x:v>
      </x:c>
      <x:c r="G1081" s="49" t="n">
        <x:v>2</x:v>
      </x:c>
      <x:c r="H1081" s="49" t="n">
        <x:v>1</x:v>
      </x:c>
      <x:c r="I1081" s="47" t="n">
        <x:v>-45384</x:v>
      </x:c>
      <x:c r="J1081" s="49" t="n">
        <x:v>7</x:v>
      </x:c>
      <x:c r="K1081" s="47" t="n">
        <x:v>-45384</x:v>
      </x:c>
      <x:c r="L1081" s="47" t="n">
        <x:v>45384</x:v>
      </x:c>
      <x:c r="M1081" s="48" t="n">
        <x:v>286.15555555555557</x:v>
      </x:c>
      <x:c r="N1081" s="48" t="n">
        <x:v>22.11111111111111</x:v>
      </x:c>
      <x:c r="O1081" s="49" t="n">
        <x:v>5</x:v>
      </x:c>
      <x:c r="P1081" s="1" t="str">
        <x:v>過去完了場だけの逐次選択</x:v>
      </x:c>
      <x:c r="Q1081" s="49" t="n">
        <x:v>0</x:v>
      </x:c>
      <x:c r="R1081" s="50" t="n">
        <x:v>0.029898249898249896</x:v>
      </x:c>
      <x:c r="S1081" s="50" t="n">
        <x:v>0.0335016835016835</x:v>
      </x:c>
      <x:c r="T1081" s="1" t="str">
        <x:v>全場</x:v>
      </x:c>
      <x:c r="U1081" s="49" t="n">
        <x:v>3</x:v>
      </x:c>
    </x:row>
    <x:row r="1082" ht="22" customHeight="1">
      <x:c r="A1082" s="1" t="str">
        <x:v>日経mini</x:v>
      </x:c>
      <x:c r="B1082" s="1" t="str">
        <x:v>W01</x:v>
      </x:c>
      <x:c r="C1082" s="1" t="str">
        <x:v>診断3場</x:v>
      </x:c>
      <x:c r="D1082" s="47" t="n">
        <x:v>0</x:v>
      </x:c>
      <x:c r="E1082" s="47" t="n">
        <x:v>45384</x:v>
      </x:c>
      <x:c r="F1082" s="47" t="n">
        <x:f>D1082-E1082</x:f>
        <x:v>-45384</x:v>
      </x:c>
      <x:c r="G1082" s="49" t="n">
        <x:v>0</x:v>
      </x:c>
      <x:c r="H1082" s="49" t="n">
        <x:v>1</x:v>
      </x:c>
      <x:c r="I1082" s="47" t="n">
        <x:v>-45384</x:v>
      </x:c>
      <x:c r="J1082" s="49" t="n">
        <x:v>1</x:v>
      </x:c>
      <x:c r="K1082" s="47" t="n">
        <x:v>-45384</x:v>
      </x:c>
      <x:c r="L1082" s="47" t="n">
        <x:v>45384</x:v>
      </x:c>
      <x:c r="M1082" s="48" t="n">
        <x:v>138.36666666666667</x:v>
      </x:c>
      <x:c r="N1082" s="48" t="n">
        <x:v>4.233333333333333</x:v>
      </x:c>
      <x:c r="O1082" s="49" t="n">
        <x:v>5</x:v>
      </x:c>
      <x:c r="P1082" s="1" t="str">
        <x:v>過去完了場だけの逐次選択</x:v>
      </x:c>
      <x:c r="Q1082" s="49" t="n">
        <x:v>0</x:v>
      </x:c>
      <x:c r="R1082" s="50" t="n">
        <x:v>0.010079365079365079</x:v>
      </x:c>
      <x:c r="S1082" s="50" t="n">
        <x:v>0.01007936507936508</x:v>
      </x:c>
      <x:c r="T1082" s="1" t="str">
        <x:v>デイ</x:v>
      </x:c>
      <x:c r="U1082" s="49" t="n">
        <x:v>1</x:v>
      </x:c>
    </x:row>
    <x:row r="1083" ht="22" customHeight="1">
      <x:c r="A1083" s="1" t="str">
        <x:v>日経mini</x:v>
      </x:c>
      <x:c r="B1083" s="1" t="str">
        <x:v>W01</x:v>
      </x:c>
      <x:c r="C1083" s="1" t="str">
        <x:v>診断3場</x:v>
      </x:c>
      <x:c r="D1083" s="47" t="n">
        <x:v>139232</x:v>
      </x:c>
      <x:c r="E1083" s="47" t="n">
        <x:v>104844</x:v>
      </x:c>
      <x:c r="F1083" s="47" t="n">
        <x:f>D1083-E1083</x:f>
        <x:v>34388</x:v>
      </x:c>
      <x:c r="G1083" s="49" t="n">
        <x:v>2</x:v>
      </x:c>
      <x:c r="H1083" s="49" t="n">
        <x:v>0</x:v>
      </x:c>
      <x:c r="I1083" s="47" t="n">
        <x:v>0</x:v>
      </x:c>
      <x:c r="J1083" s="49" t="n">
        <x:v>6</x:v>
      </x:c>
      <x:c r="K1083" s="47" t="n">
        <x:v>14925</x:v>
      </x:c>
      <x:c r="L1083" s="47" t="n">
        <x:v>0</x:v>
      </x:c>
      <x:c r="M1083" s="48" t="n">
        <x:v>360.05</x:v>
      </x:c>
      <x:c r="N1083" s="48" t="n">
        <x:v>31.049999999999997</x:v>
      </x:c>
      <x:c r="O1083" s="49" t="n">
        <x:v>5</x:v>
      </x:c>
      <x:c r="P1083" s="1" t="str">
        <x:v>過去完了場だけの逐次選択</x:v>
      </x:c>
      <x:c r="Q1083" s="49" t="n">
        <x:v>0</x:v>
      </x:c>
      <x:c r="R1083" s="50" t="n">
        <x:v>0.03980769230769231</x:v>
      </x:c>
      <x:c r="S1083" s="50" t="n">
        <x:v>0.0398076923076923</x:v>
      </x:c>
      <x:c r="T1083" s="1" t="str">
        <x:v>ナイト</x:v>
      </x:c>
      <x:c r="U1083" s="49" t="n">
        <x:v>2</x:v>
      </x:c>
    </x:row>
    <x:row r="1084" ht="22" customHeight="1">
      <x:c r="A1084" s="1" t="str">
        <x:v>日経mini</x:v>
      </x:c>
      <x:c r="B1084" s="1" t="str">
        <x:v>W01</x:v>
      </x:c>
      <x:c r="C1084" s="1" t="str">
        <x:v>診断3場</x:v>
      </x:c>
      <x:c r="D1084" s="47" t="n">
        <x:v>34616</x:v>
      </x:c>
      <x:c r="E1084" s="47" t="n">
        <x:v>60537</x:v>
      </x:c>
      <x:c r="F1084" s="47" t="n">
        <x:f>D1084-E1084</x:f>
        <x:v>-25921</x:v>
      </x:c>
      <x:c r="G1084" s="49" t="n">
        <x:v>1</x:v>
      </x:c>
      <x:c r="H1084" s="49" t="n">
        <x:v>1</x:v>
      </x:c>
      <x:c r="I1084" s="47" t="n">
        <x:v>-45384</x:v>
      </x:c>
      <x:c r="J1084" s="49" t="n">
        <x:v>3</x:v>
      </x:c>
      <x:c r="K1084" s="47" t="n">
        <x:v>-45384</x:v>
      </x:c>
      <x:c r="L1084" s="47" t="n">
        <x:v>45384</x:v>
      </x:c>
      <x:c r="M1084" s="48" t="n">
        <x:v>249.20000000000002</x:v>
      </x:c>
      <x:c r="N1084" s="48" t="n">
        <x:v>12.908333333333333</x:v>
      </x:c>
      <x:c r="O1084" s="49" t="n">
        <x:v>5</x:v>
      </x:c>
      <x:c r="P1084" s="1" t="str">
        <x:v>過去完了場だけの逐次選択</x:v>
      </x:c>
      <x:c r="Q1084" s="49" t="n">
        <x:v>0</x:v>
      </x:c>
      <x:c r="R1084" s="50" t="n">
        <x:v>0.018875152625152623</x:v>
      </x:c>
      <x:c r="S1084" s="50" t="n">
        <x:v>0.021513888888888888</x:v>
      </x:c>
      <x:c r="T1084" s="1" t="str">
        <x:v>上昇</x:v>
      </x:c>
      <x:c r="U1084" s="49" t="n">
        <x:v>2</x:v>
      </x:c>
    </x:row>
    <x:row r="1085" ht="22" customHeight="1">
      <x:c r="A1085" s="1" t="str">
        <x:v>日経mini</x:v>
      </x:c>
      <x:c r="B1085" s="1" t="str">
        <x:v>W01</x:v>
      </x:c>
      <x:c r="C1085" s="1" t="str">
        <x:v>診断3場</x:v>
      </x:c>
      <x:c r="D1085" s="47" t="n">
        <x:v>104616</x:v>
      </x:c>
      <x:c r="E1085" s="47" t="n">
        <x:v>89691</x:v>
      </x:c>
      <x:c r="F1085" s="47" t="n">
        <x:f>D1085-E1085</x:f>
        <x:v>14925</x:v>
      </x:c>
      <x:c r="G1085" s="49" t="n">
        <x:v>1</x:v>
      </x:c>
      <x:c r="H1085" s="49" t="n">
        <x:v>0</x:v>
      </x:c>
      <x:c r="I1085" s="47" t="n">
        <x:v>0</x:v>
      </x:c>
      <x:c r="J1085" s="49" t="n">
        <x:v>4</x:v>
      </x:c>
      <x:c r="K1085" s="47" t="n">
        <x:v>14925</x:v>
      </x:c>
      <x:c r="L1085" s="47" t="n">
        <x:v>0</x:v>
      </x:c>
      <x:c r="M1085" s="48" t="n">
        <x:v>360.06666666666666</x:v>
      </x:c>
      <x:c r="N1085" s="48" t="n">
        <x:v>40.516666666666666</x:v>
      </x:c>
      <x:c r="O1085" s="49" t="n">
        <x:v>5</x:v>
      </x:c>
      <x:c r="P1085" s="1" t="str">
        <x:v>過去完了場だけの逐次選択</x:v>
      </x:c>
      <x:c r="Q1085" s="49" t="n">
        <x:v>0</x:v>
      </x:c>
      <x:c r="R1085" s="50" t="n">
        <x:v>0.051944444444444446</x:v>
      </x:c>
      <x:c r="S1085" s="50" t="n">
        <x:v>0.051944444444444446</x:v>
      </x:c>
      <x:c r="T1085" s="1" t="str">
        <x:v>下落</x:v>
      </x:c>
      <x:c r="U1085" s="49" t="n">
        <x:v>1</x:v>
      </x:c>
    </x:row>
    <x:row r="1086" ht="22" customHeight="1">
      <x:c r="A1086" s="1" t="str">
        <x:v>日経mini</x:v>
      </x:c>
      <x:c r="B1086" s="1" t="str">
        <x:v>Z01</x:v>
      </x:c>
      <x:c r="C1086" s="1" t="str">
        <x:v>全50場</x:v>
      </x:c>
      <x:c r="D1086" s="47" t="n">
        <x:v>4315188</x:v>
      </x:c>
      <x:c r="E1086" s="47" t="n">
        <x:v>2111740</x:v>
      </x:c>
      <x:c r="F1086" s="47" t="n">
        <x:f>D1086-E1086</x:f>
        <x:v>2203448</x:v>
      </x:c>
      <x:c r="G1086" s="49" t="n">
        <x:v>32</x:v>
      </x:c>
      <x:c r="H1086" s="49" t="n">
        <x:v>18</x:v>
      </x:c>
      <x:c r="I1086" s="47" t="n">
        <x:v>1204368</x:v>
      </x:c>
      <x:c r="J1086" s="49" t="n">
        <x:v>108</x:v>
      </x:c>
      <x:c r="K1086" s="47" t="n">
        <x:v>-153304</x:v>
      </x:c>
      <x:c r="L1086" s="47" t="n">
        <x:v>59477.11111111111</x:v>
      </x:c>
      <x:c r="M1086" s="48" t="n">
        <x:v>240.22833333333332</x:v>
      </x:c>
      <x:c r="N1086" s="48" t="n">
        <x:v>89.29233333333336</x:v>
      </x:c>
      <x:c r="O1086" s="49" t="n">
        <x:v>5</x:v>
      </x:c>
      <x:c r="P1086" s="1" t="str">
        <x:v>時間軸の合議で入口と出口を切り替える</x:v>
      </x:c>
      <x:c r="Q1086" s="49" t="n">
        <x:v>0</x:v>
      </x:c>
      <x:c r="R1086" s="50" t="n">
        <x:v>0.19866306471306472</x:v>
      </x:c>
      <x:c r="S1086" s="50" t="n">
        <x:v>0.14882055555555557</x:v>
      </x:c>
      <x:c r="T1086" s="1" t="str">
        <x:v>全場</x:v>
      </x:c>
      <x:c r="U1086" s="49" t="n">
        <x:v>50</x:v>
      </x:c>
    </x:row>
    <x:row r="1087" ht="22" customHeight="1">
      <x:c r="A1087" s="1" t="str">
        <x:v>日経mini</x:v>
      </x:c>
      <x:c r="B1087" s="1" t="str">
        <x:v>Z01</x:v>
      </x:c>
      <x:c r="C1087" s="1" t="str">
        <x:v>全50場</x:v>
      </x:c>
      <x:c r="D1087" s="47" t="n">
        <x:v>2930864</x:v>
      </x:c>
      <x:c r="E1087" s="47" t="n">
        <x:v>1361672</x:v>
      </x:c>
      <x:c r="F1087" s="47" t="n">
        <x:f>D1087-E1087</x:f>
        <x:v>1569192</x:v>
      </x:c>
      <x:c r="G1087" s="49" t="n">
        <x:v>16</x:v>
      </x:c>
      <x:c r="H1087" s="49" t="n">
        <x:v>9</x:v>
      </x:c>
      <x:c r="I1087" s="47" t="n">
        <x:v>570112</x:v>
      </x:c>
      <x:c r="J1087" s="49" t="n">
        <x:v>62</x:v>
      </x:c>
      <x:c r="K1087" s="47" t="n">
        <x:v>-153304</x:v>
      </x:c>
      <x:c r="L1087" s="47" t="n">
        <x:v>75989.33333333333</x:v>
      </x:c>
      <x:c r="M1087" s="48" t="n">
        <x:v>118.31466666666667</x:v>
      </x:c>
      <x:c r="N1087" s="48" t="n">
        <x:v>153.21800000000002</x:v>
      </x:c>
      <x:c r="O1087" s="49" t="n">
        <x:v>5</x:v>
      </x:c>
      <x:c r="P1087" s="1" t="str">
        <x:v>時間軸の合議で入口と出口を切り替える</x:v>
      </x:c>
      <x:c r="Q1087" s="49" t="n">
        <x:v>0</x:v>
      </x:c>
      <x:c r="R1087" s="50" t="n">
        <x:v>0.36480476190476196</x:v>
      </x:c>
      <x:c r="S1087" s="50" t="n">
        <x:v>0.3648047619047619</x:v>
      </x:c>
      <x:c r="T1087" s="1" t="str">
        <x:v>デイ</x:v>
      </x:c>
      <x:c r="U1087" s="49" t="n">
        <x:v>25</x:v>
      </x:c>
    </x:row>
    <x:row r="1088" ht="22" customHeight="1">
      <x:c r="A1088" s="1" t="str">
        <x:v>日経mini</x:v>
      </x:c>
      <x:c r="B1088" s="1" t="str">
        <x:v>Z01</x:v>
      </x:c>
      <x:c r="C1088" s="1" t="str">
        <x:v>全50場</x:v>
      </x:c>
      <x:c r="D1088" s="47" t="n">
        <x:v>1384324</x:v>
      </x:c>
      <x:c r="E1088" s="47" t="n">
        <x:v>750068</x:v>
      </x:c>
      <x:c r="F1088" s="47" t="n">
        <x:f>D1088-E1088</x:f>
        <x:v>634256</x:v>
      </x:c>
      <x:c r="G1088" s="49" t="n">
        <x:v>16</x:v>
      </x:c>
      <x:c r="H1088" s="49" t="n">
        <x:v>9</x:v>
      </x:c>
      <x:c r="I1088" s="47" t="n">
        <x:v>225098</x:v>
      </x:c>
      <x:c r="J1088" s="49" t="n">
        <x:v>46</x:v>
      </x:c>
      <x:c r="K1088" s="47" t="n">
        <x:v>-80768</x:v>
      </x:c>
      <x:c r="L1088" s="47" t="n">
        <x:v>42964.88888888889</x:v>
      </x:c>
      <x:c r="M1088" s="48" t="n">
        <x:v>362.142</x:v>
      </x:c>
      <x:c r="N1088" s="48" t="n">
        <x:v>25.366666666666664</x:v>
      </x:c>
      <x:c r="O1088" s="49" t="n">
        <x:v>5</x:v>
      </x:c>
      <x:c r="P1088" s="1" t="str">
        <x:v>時間軸の合議で入口と出口を切り替える</x:v>
      </x:c>
      <x:c r="Q1088" s="49" t="n">
        <x:v>0</x:v>
      </x:c>
      <x:c r="R1088" s="50" t="n">
        <x:v>0.03252136752136752</x:v>
      </x:c>
      <x:c r="S1088" s="50" t="n">
        <x:v>0.03252136752136752</x:v>
      </x:c>
      <x:c r="T1088" s="1" t="str">
        <x:v>ナイト</x:v>
      </x:c>
      <x:c r="U1088" s="49" t="n">
        <x:v>25</x:v>
      </x:c>
    </x:row>
    <x:row r="1089" ht="22" customHeight="1">
      <x:c r="A1089" s="1" t="str">
        <x:v>日経mini</x:v>
      </x:c>
      <x:c r="B1089" s="1" t="str">
        <x:v>Z01</x:v>
      </x:c>
      <x:c r="C1089" s="1" t="str">
        <x:v>全50場</x:v>
      </x:c>
      <x:c r="D1089" s="47" t="n">
        <x:v>1553474</x:v>
      </x:c>
      <x:c r="E1089" s="47" t="n">
        <x:v>1109986</x:v>
      </x:c>
      <x:c r="F1089" s="47" t="n">
        <x:f>D1089-E1089</x:f>
        <x:v>443488</x:v>
      </x:c>
      <x:c r="G1089" s="49" t="n">
        <x:v>14</x:v>
      </x:c>
      <x:c r="H1089" s="49" t="n">
        <x:v>10</x:v>
      </x:c>
      <x:c r="I1089" s="47" t="n">
        <x:v>-7976</x:v>
      </x:c>
      <x:c r="J1089" s="49" t="n">
        <x:v>47</x:v>
      </x:c>
      <x:c r="K1089" s="47" t="n">
        <x:v>-121920</x:v>
      </x:c>
      <x:c r="L1089" s="47" t="n">
        <x:v>63775.6</x:v>
      </x:c>
      <x:c r="M1089" s="48" t="n">
        <x:v>250.5645833333333</x:v>
      </x:c>
      <x:c r="N1089" s="48" t="n">
        <x:v>66.90694444444445</x:v>
      </x:c>
      <x:c r="O1089" s="49" t="n">
        <x:v>5</x:v>
      </x:c>
      <x:c r="P1089" s="1" t="str">
        <x:v>時間軸の合議で入口と出口を切り替える</x:v>
      </x:c>
      <x:c r="Q1089" s="49" t="n">
        <x:v>0</x:v>
      </x:c>
      <x:c r="R1089" s="50" t="n">
        <x:v>0.1472830179080179</x:v>
      </x:c>
      <x:c r="S1089" s="50" t="n">
        <x:v>0.10879177958446251</x:v>
      </x:c>
      <x:c r="T1089" s="1" t="str">
        <x:v>上昇</x:v>
      </x:c>
      <x:c r="U1089" s="49" t="n">
        <x:v>24</x:v>
      </x:c>
    </x:row>
    <x:row r="1090" ht="22" customHeight="1">
      <x:c r="A1090" s="1" t="str">
        <x:v>日経mini</x:v>
      </x:c>
      <x:c r="B1090" s="1" t="str">
        <x:v>Z01</x:v>
      </x:c>
      <x:c r="C1090" s="1" t="str">
        <x:v>全50場</x:v>
      </x:c>
      <x:c r="D1090" s="47" t="n">
        <x:v>2761714</x:v>
      </x:c>
      <x:c r="E1090" s="47" t="n">
        <x:v>1001754</x:v>
      </x:c>
      <x:c r="F1090" s="47" t="n">
        <x:f>D1090-E1090</x:f>
        <x:v>1759960</x:v>
      </x:c>
      <x:c r="G1090" s="49" t="n">
        <x:v>18</x:v>
      </x:c>
      <x:c r="H1090" s="49" t="n">
        <x:v>8</x:v>
      </x:c>
      <x:c r="I1090" s="47" t="n">
        <x:v>760880</x:v>
      </x:c>
      <x:c r="J1090" s="49" t="n">
        <x:v>61</x:v>
      </x:c>
      <x:c r="K1090" s="47" t="n">
        <x:v>-153304</x:v>
      </x:c>
      <x:c r="L1090" s="47" t="n">
        <x:v>54104</x:v>
      </x:c>
      <x:c r="M1090" s="48" t="n">
        <x:v>230.6871794871795</x:v>
      </x:c>
      <x:c r="N1090" s="48" t="n">
        <x:v>109.95576923076925</x:v>
      </x:c>
      <x:c r="O1090" s="49" t="n">
        <x:v>5</x:v>
      </x:c>
      <x:c r="P1090" s="1" t="str">
        <x:v>時間軸の合議で入口と出口を切り替える</x:v>
      </x:c>
      <x:c r="Q1090" s="49" t="n">
        <x:v>0</x:v>
      </x:c>
      <x:c r="R1090" s="50" t="n">
        <x:v>0.2460908002254156</x:v>
      </x:c>
      <x:c r="S1090" s="50" t="n">
        <x:v>0.18758858267716536</x:v>
      </x:c>
      <x:c r="T1090" s="1" t="str">
        <x:v>下落</x:v>
      </x:c>
      <x:c r="U1090" s="49" t="n">
        <x:v>26</x:v>
      </x:c>
    </x:row>
    <x:row r="1091" ht="22" customHeight="1">
      <x:c r="A1091" s="1" t="str">
        <x:v>日経mini</x:v>
      </x:c>
      <x:c r="B1091" s="1" t="str">
        <x:v>Z01</x:v>
      </x:c>
      <x:c r="C1091" s="1" t="str">
        <x:v>対照47場</x:v>
      </x:c>
      <x:c r="D1091" s="47" t="n">
        <x:v>4175956</x:v>
      </x:c>
      <x:c r="E1091" s="47" t="n">
        <x:v>2010972</x:v>
      </x:c>
      <x:c r="F1091" s="47" t="n">
        <x:f>D1091-E1091</x:f>
        <x:v>2164984</x:v>
      </x:c>
      <x:c r="G1091" s="49" t="n">
        <x:v>30</x:v>
      </x:c>
      <x:c r="H1091" s="49" t="n">
        <x:v>17</x:v>
      </x:c>
      <x:c r="I1091" s="47" t="n">
        <x:v>1165904</x:v>
      </x:c>
      <x:c r="J1091" s="49" t="n">
        <x:v>104</x:v>
      </x:c>
      <x:c r="K1091" s="47" t="n">
        <x:v>-153304</x:v>
      </x:c>
      <x:c r="L1091" s="47" t="n">
        <x:v>60306.117647058825</x:v>
      </x:c>
      <x:c r="M1091" s="48" t="n">
        <x:v>237.2968085106383</x:v>
      </x:c>
      <x:c r="N1091" s="48" t="n">
        <x:v>94.38829787234043</x:v>
      </x:c>
      <x:c r="O1091" s="49" t="n">
        <x:v>5</x:v>
      </x:c>
      <x:c r="P1091" s="1" t="str">
        <x:v>時間軸の合議で入口と出口を切り替える</x:v>
      </x:c>
      <x:c r="Q1091" s="49" t="n">
        <x:v>0</x:v>
      </x:c>
      <x:c r="R1091" s="50" t="n">
        <x:v>0.21047092977944043</x:v>
      </x:c>
      <x:c r="S1091" s="50" t="n">
        <x:v>0.15832441113490364</x:v>
      </x:c>
      <x:c r="T1091" s="1" t="str">
        <x:v>全場</x:v>
      </x:c>
      <x:c r="U1091" s="49" t="n">
        <x:v>47</x:v>
      </x:c>
    </x:row>
    <x:row r="1092" ht="22" customHeight="1">
      <x:c r="A1092" s="1" t="str">
        <x:v>日経mini</x:v>
      </x:c>
      <x:c r="B1092" s="1" t="str">
        <x:v>Z01</x:v>
      </x:c>
      <x:c r="C1092" s="1" t="str">
        <x:v>対照47場</x:v>
      </x:c>
      <x:c r="D1092" s="47" t="n">
        <x:v>2930864</x:v>
      </x:c>
      <x:c r="E1092" s="47" t="n">
        <x:v>1316288</x:v>
      </x:c>
      <x:c r="F1092" s="47" t="n">
        <x:f>D1092-E1092</x:f>
        <x:v>1614576</x:v>
      </x:c>
      <x:c r="G1092" s="49" t="n">
        <x:v>16</x:v>
      </x:c>
      <x:c r="H1092" s="49" t="n">
        <x:v>8</x:v>
      </x:c>
      <x:c r="I1092" s="47" t="n">
        <x:v>615496</x:v>
      </x:c>
      <x:c r="J1092" s="49" t="n">
        <x:v>61</x:v>
      </x:c>
      <x:c r="K1092" s="47" t="n">
        <x:v>-153304</x:v>
      </x:c>
      <x:c r="L1092" s="47" t="n">
        <x:v>79815</x:v>
      </x:c>
      <x:c r="M1092" s="48" t="n">
        <x:v>117.47916666666667</x:v>
      </x:c>
      <x:c r="N1092" s="48" t="n">
        <x:v>159.42569444444447</x:v>
      </x:c>
      <x:c r="O1092" s="49" t="n">
        <x:v>5</x:v>
      </x:c>
      <x:c r="P1092" s="1" t="str">
        <x:v>時間軸の合議で入口と出口を切り替える</x:v>
      </x:c>
      <x:c r="Q1092" s="49" t="n">
        <x:v>0</x:v>
      </x:c>
      <x:c r="R1092" s="50" t="n">
        <x:v>0.3795849867724868</x:v>
      </x:c>
      <x:c r="S1092" s="50" t="n">
        <x:v>0.37958498677248675</x:v>
      </x:c>
      <x:c r="T1092" s="1" t="str">
        <x:v>デイ</x:v>
      </x:c>
      <x:c r="U1092" s="49" t="n">
        <x:v>24</x:v>
      </x:c>
    </x:row>
    <x:row r="1093" ht="22" customHeight="1">
      <x:c r="A1093" s="1" t="str">
        <x:v>日経mini</x:v>
      </x:c>
      <x:c r="B1093" s="1" t="str">
        <x:v>Z01</x:v>
      </x:c>
      <x:c r="C1093" s="1" t="str">
        <x:v>対照47場</x:v>
      </x:c>
      <x:c r="D1093" s="47" t="n">
        <x:v>1245092</x:v>
      </x:c>
      <x:c r="E1093" s="47" t="n">
        <x:v>694684</x:v>
      </x:c>
      <x:c r="F1093" s="47" t="n">
        <x:f>D1093-E1093</x:f>
        <x:v>550408</x:v>
      </x:c>
      <x:c r="G1093" s="49" t="n">
        <x:v>14</x:v>
      </x:c>
      <x:c r="H1093" s="49" t="n">
        <x:v>9</x:v>
      </x:c>
      <x:c r="I1093" s="47" t="n">
        <x:v>141250</x:v>
      </x:c>
      <x:c r="J1093" s="49" t="n">
        <x:v>43</x:v>
      </x:c>
      <x:c r="K1093" s="47" t="n">
        <x:v>-80768</x:v>
      </x:c>
      <x:c r="L1093" s="47" t="n">
        <x:v>42964.88888888889</x:v>
      </x:c>
      <x:c r="M1093" s="48" t="n">
        <x:v>362.3239130434783</x:v>
      </x:c>
      <x:c r="N1093" s="48" t="n">
        <x:v>26.5231884057971</x:v>
      </x:c>
      <x:c r="O1093" s="49" t="n">
        <x:v>5</x:v>
      </x:c>
      <x:c r="P1093" s="1" t="str">
        <x:v>時間軸の合議で入口と出口を切り替える</x:v>
      </x:c>
      <x:c r="Q1093" s="49" t="n">
        <x:v>0</x:v>
      </x:c>
      <x:c r="R1093" s="50" t="n">
        <x:v>0.03400408769973988</x:v>
      </x:c>
      <x:c r="S1093" s="50" t="n">
        <x:v>0.03400408769973987</x:v>
      </x:c>
      <x:c r="T1093" s="1" t="str">
        <x:v>ナイト</x:v>
      </x:c>
      <x:c r="U1093" s="49" t="n">
        <x:v>23</x:v>
      </x:c>
    </x:row>
    <x:row r="1094" ht="22" customHeight="1">
      <x:c r="A1094" s="1" t="str">
        <x:v>日経mini</x:v>
      </x:c>
      <x:c r="B1094" s="1" t="str">
        <x:v>Z01</x:v>
      </x:c>
      <x:c r="C1094" s="1" t="str">
        <x:v>対照47場</x:v>
      </x:c>
      <x:c r="D1094" s="47" t="n">
        <x:v>1518858</x:v>
      </x:c>
      <x:c r="E1094" s="47" t="n">
        <x:v>1064602</x:v>
      </x:c>
      <x:c r="F1094" s="47" t="n">
        <x:f>D1094-E1094</x:f>
        <x:v>454256</x:v>
      </x:c>
      <x:c r="G1094" s="49" t="n">
        <x:v>13</x:v>
      </x:c>
      <x:c r="H1094" s="49" t="n">
        <x:v>9</x:v>
      </x:c>
      <x:c r="I1094" s="47" t="n">
        <x:v>2792</x:v>
      </x:c>
      <x:c r="J1094" s="49" t="n">
        <x:v>45</x:v>
      </x:c>
      <x:c r="K1094" s="47" t="n">
        <x:v>-121920</x:v>
      </x:c>
      <x:c r="L1094" s="47" t="n">
        <x:v>65819.11111111111</x:v>
      </x:c>
      <x:c r="M1094" s="48" t="n">
        <x:v>250.68863636363633</x:v>
      </x:c>
      <x:c r="N1094" s="48" t="n">
        <x:v>72.70378787878786</x:v>
      </x:c>
      <x:c r="O1094" s="49" t="n">
        <x:v>5</x:v>
      </x:c>
      <x:c r="P1094" s="1" t="str">
        <x:v>時間軸の合議で入口と出口を切り替える</x:v>
      </x:c>
      <x:c r="Q1094" s="49" t="n">
        <x:v>0</x:v>
      </x:c>
      <x:c r="R1094" s="50" t="n">
        <x:v>0.1600947663447663</x:v>
      </x:c>
      <x:c r="S1094" s="50" t="n">
        <x:v>0.11795599803343167</x:v>
      </x:c>
      <x:c r="T1094" s="1" t="str">
        <x:v>上昇</x:v>
      </x:c>
      <x:c r="U1094" s="49" t="n">
        <x:v>22</x:v>
      </x:c>
    </x:row>
    <x:row r="1095" ht="22" customHeight="1">
      <x:c r="A1095" s="1" t="str">
        <x:v>日経mini</x:v>
      </x:c>
      <x:c r="B1095" s="1" t="str">
        <x:v>Z01</x:v>
      </x:c>
      <x:c r="C1095" s="1" t="str">
        <x:v>対照47場</x:v>
      </x:c>
      <x:c r="D1095" s="47" t="n">
        <x:v>2657098</x:v>
      </x:c>
      <x:c r="E1095" s="47" t="n">
        <x:v>946370</x:v>
      </x:c>
      <x:c r="F1095" s="47" t="n">
        <x:f>D1095-E1095</x:f>
        <x:v>1710728</x:v>
      </x:c>
      <x:c r="G1095" s="49" t="n">
        <x:v>17</x:v>
      </x:c>
      <x:c r="H1095" s="49" t="n">
        <x:v>8</x:v>
      </x:c>
      <x:c r="I1095" s="47" t="n">
        <x:v>711648</x:v>
      </x:c>
      <x:c r="J1095" s="49" t="n">
        <x:v>59</x:v>
      </x:c>
      <x:c r="K1095" s="47" t="n">
        <x:v>-153304</x:v>
      </x:c>
      <x:c r="L1095" s="47" t="n">
        <x:v>54104</x:v>
      </x:c>
      <x:c r="M1095" s="48" t="n">
        <x:v>225.512</x:v>
      </x:c>
      <x:c r="N1095" s="48" t="n">
        <x:v>113.47066666666667</x:v>
      </x:c>
      <x:c r="O1095" s="49" t="n">
        <x:v>5</x:v>
      </x:c>
      <x:c r="P1095" s="1" t="str">
        <x:v>時間軸の合議で入口と出口を切り替える</x:v>
      </x:c>
      <x:c r="Q1095" s="49" t="n">
        <x:v>0</x:v>
      </x:c>
      <x:c r="R1095" s="50" t="n">
        <x:v>0.2548019536019536</x:v>
      </x:c>
      <x:c r="S1095" s="50" t="n">
        <x:v>0.1961802674043338</x:v>
      </x:c>
      <x:c r="T1095" s="1" t="str">
        <x:v>下落</x:v>
      </x:c>
      <x:c r="U1095" s="49" t="n">
        <x:v>25</x:v>
      </x:c>
    </x:row>
    <x:row r="1096" ht="22" customHeight="1">
      <x:c r="A1096" s="1" t="str">
        <x:v>日経mini</x:v>
      </x:c>
      <x:c r="B1096" s="1" t="str">
        <x:v>Z01</x:v>
      </x:c>
      <x:c r="C1096" s="1" t="str">
        <x:v>診断3場</x:v>
      </x:c>
      <x:c r="D1096" s="47" t="n">
        <x:v>139232</x:v>
      </x:c>
      <x:c r="E1096" s="47" t="n">
        <x:v>100768</x:v>
      </x:c>
      <x:c r="F1096" s="47" t="n">
        <x:f>D1096-E1096</x:f>
        <x:v>38464</x:v>
      </x:c>
      <x:c r="G1096" s="49" t="n">
        <x:v>2</x:v>
      </x:c>
      <x:c r="H1096" s="49" t="n">
        <x:v>1</x:v>
      </x:c>
      <x:c r="I1096" s="47" t="n">
        <x:v>-45384</x:v>
      </x:c>
      <x:c r="J1096" s="49" t="n">
        <x:v>4</x:v>
      </x:c>
      <x:c r="K1096" s="47" t="n">
        <x:v>-45384</x:v>
      </x:c>
      <x:c r="L1096" s="47" t="n">
        <x:v>45384</x:v>
      </x:c>
      <x:c r="M1096" s="48" t="n">
        <x:v>286.15555555555557</x:v>
      </x:c>
      <x:c r="N1096" s="48" t="n">
        <x:v>9.455555555555556</x:v>
      </x:c>
      <x:c r="O1096" s="49" t="n">
        <x:v>5</x:v>
      </x:c>
      <x:c r="P1096" s="1" t="str">
        <x:v>時間軸の合議で入口と出口を切り替える</x:v>
      </x:c>
      <x:c r="Q1096" s="49" t="n">
        <x:v>0</x:v>
      </x:c>
      <x:c r="R1096" s="50" t="n">
        <x:v>0.013673178673178674</x:v>
      </x:c>
      <x:c r="S1096" s="50" t="n">
        <x:v>0.014326599326599326</x:v>
      </x:c>
      <x:c r="T1096" s="1" t="str">
        <x:v>全場</x:v>
      </x:c>
      <x:c r="U1096" s="49" t="n">
        <x:v>3</x:v>
      </x:c>
    </x:row>
    <x:row r="1097" ht="22" customHeight="1">
      <x:c r="A1097" s="1" t="str">
        <x:v>日経mini</x:v>
      </x:c>
      <x:c r="B1097" s="1" t="str">
        <x:v>Z01</x:v>
      </x:c>
      <x:c r="C1097" s="1" t="str">
        <x:v>診断3場</x:v>
      </x:c>
      <x:c r="D1097" s="47" t="n">
        <x:v>0</x:v>
      </x:c>
      <x:c r="E1097" s="47" t="n">
        <x:v>45384</x:v>
      </x:c>
      <x:c r="F1097" s="47" t="n">
        <x:f>D1097-E1097</x:f>
        <x:v>-45384</x:v>
      </x:c>
      <x:c r="G1097" s="49" t="n">
        <x:v>0</x:v>
      </x:c>
      <x:c r="H1097" s="49" t="n">
        <x:v>1</x:v>
      </x:c>
      <x:c r="I1097" s="47" t="n">
        <x:v>-45384</x:v>
      </x:c>
      <x:c r="J1097" s="49" t="n">
        <x:v>1</x:v>
      </x:c>
      <x:c r="K1097" s="47" t="n">
        <x:v>-45384</x:v>
      </x:c>
      <x:c r="L1097" s="47" t="n">
        <x:v>45384</x:v>
      </x:c>
      <x:c r="M1097" s="48" t="n">
        <x:v>138.36666666666667</x:v>
      </x:c>
      <x:c r="N1097" s="48" t="n">
        <x:v>4.233333333333333</x:v>
      </x:c>
      <x:c r="O1097" s="49" t="n">
        <x:v>5</x:v>
      </x:c>
      <x:c r="P1097" s="1" t="str">
        <x:v>時間軸の合議で入口と出口を切り替える</x:v>
      </x:c>
      <x:c r="Q1097" s="49" t="n">
        <x:v>0</x:v>
      </x:c>
      <x:c r="R1097" s="50" t="n">
        <x:v>0.010079365079365079</x:v>
      </x:c>
      <x:c r="S1097" s="50" t="n">
        <x:v>0.01007936507936508</x:v>
      </x:c>
      <x:c r="T1097" s="1" t="str">
        <x:v>デイ</x:v>
      </x:c>
      <x:c r="U1097" s="49" t="n">
        <x:v>1</x:v>
      </x:c>
    </x:row>
    <x:row r="1098" ht="22" customHeight="1">
      <x:c r="A1098" s="1" t="str">
        <x:v>日経mini</x:v>
      </x:c>
      <x:c r="B1098" s="1" t="str">
        <x:v>Z01</x:v>
      </x:c>
      <x:c r="C1098" s="1" t="str">
        <x:v>診断3場</x:v>
      </x:c>
      <x:c r="D1098" s="47" t="n">
        <x:v>139232</x:v>
      </x:c>
      <x:c r="E1098" s="47" t="n">
        <x:v>55384</x:v>
      </x:c>
      <x:c r="F1098" s="47" t="n">
        <x:f>D1098-E1098</x:f>
        <x:v>83848</x:v>
      </x:c>
      <x:c r="G1098" s="49" t="n">
        <x:v>2</x:v>
      </x:c>
      <x:c r="H1098" s="49" t="n">
        <x:v>0</x:v>
      </x:c>
      <x:c r="I1098" s="47" t="n">
        <x:v>0</x:v>
      </x:c>
      <x:c r="J1098" s="49" t="n">
        <x:v>3</x:v>
      </x:c>
      <x:c r="K1098" s="47" t="n">
        <x:v>34616</x:v>
      </x:c>
      <x:c r="L1098" s="47" t="n">
        <x:v>0</x:v>
      </x:c>
      <x:c r="M1098" s="48" t="n">
        <x:v>360.05</x:v>
      </x:c>
      <x:c r="N1098" s="48" t="n">
        <x:v>12.066666666666666</x:v>
      </x:c>
      <x:c r="O1098" s="49" t="n">
        <x:v>5</x:v>
      </x:c>
      <x:c r="P1098" s="1" t="str">
        <x:v>時間軸の合議で入口と出口を切り替える</x:v>
      </x:c>
      <x:c r="Q1098" s="49" t="n">
        <x:v>0</x:v>
      </x:c>
      <x:c r="R1098" s="50" t="n">
        <x:v>0.01547008547008547</x:v>
      </x:c>
      <x:c r="S1098" s="50" t="n">
        <x:v>0.01547008547008547</x:v>
      </x:c>
      <x:c r="T1098" s="1" t="str">
        <x:v>ナイト</x:v>
      </x:c>
      <x:c r="U1098" s="49" t="n">
        <x:v>2</x:v>
      </x:c>
    </x:row>
    <x:row r="1099" ht="22" customHeight="1">
      <x:c r="A1099" s="1" t="str">
        <x:v>日経mini</x:v>
      </x:c>
      <x:c r="B1099" s="1" t="str">
        <x:v>Z01</x:v>
      </x:c>
      <x:c r="C1099" s="1" t="str">
        <x:v>診断3場</x:v>
      </x:c>
      <x:c r="D1099" s="47" t="n">
        <x:v>34616</x:v>
      </x:c>
      <x:c r="E1099" s="47" t="n">
        <x:v>45384</x:v>
      </x:c>
      <x:c r="F1099" s="47" t="n">
        <x:f>D1099-E1099</x:f>
        <x:v>-10768</x:v>
      </x:c>
      <x:c r="G1099" s="49" t="n">
        <x:v>1</x:v>
      </x:c>
      <x:c r="H1099" s="49" t="n">
        <x:v>1</x:v>
      </x:c>
      <x:c r="I1099" s="47" t="n">
        <x:v>-45384</x:v>
      </x:c>
      <x:c r="J1099" s="49" t="n">
        <x:v>2</x:v>
      </x:c>
      <x:c r="K1099" s="47" t="n">
        <x:v>-45384</x:v>
      </x:c>
      <x:c r="L1099" s="47" t="n">
        <x:v>45384</x:v>
      </x:c>
      <x:c r="M1099" s="48" t="n">
        <x:v>249.20000000000002</x:v>
      </x:c>
      <x:c r="N1099" s="48" t="n">
        <x:v>3.1416666666666666</x:v>
      </x:c>
      <x:c r="O1099" s="49" t="n">
        <x:v>5</x:v>
      </x:c>
      <x:c r="P1099" s="1" t="str">
        <x:v>時間軸の合議で入口と出口を切り替える</x:v>
      </x:c>
      <x:c r="Q1099" s="49" t="n">
        <x:v>0</x:v>
      </x:c>
      <x:c r="R1099" s="50" t="n">
        <x:v>0.006353785103785104</x:v>
      </x:c>
      <x:c r="S1099" s="50" t="n">
        <x:v>0.005236111111111111</x:v>
      </x:c>
      <x:c r="T1099" s="1" t="str">
        <x:v>上昇</x:v>
      </x:c>
      <x:c r="U1099" s="49" t="n">
        <x:v>2</x:v>
      </x:c>
    </x:row>
    <x:row r="1100" ht="22" customHeight="1">
      <x:c r="A1100" s="1" t="str">
        <x:v>日経mini</x:v>
      </x:c>
      <x:c r="B1100" s="1" t="str">
        <x:v>Z01</x:v>
      </x:c>
      <x:c r="C1100" s="1" t="str">
        <x:v>診断3場</x:v>
      </x:c>
      <x:c r="D1100" s="47" t="n">
        <x:v>104616</x:v>
      </x:c>
      <x:c r="E1100" s="47" t="n">
        <x:v>55384</x:v>
      </x:c>
      <x:c r="F1100" s="47" t="n">
        <x:f>D1100-E1100</x:f>
        <x:v>49232</x:v>
      </x:c>
      <x:c r="G1100" s="49" t="n">
        <x:v>1</x:v>
      </x:c>
      <x:c r="H1100" s="49" t="n">
        <x:v>0</x:v>
      </x:c>
      <x:c r="I1100" s="47" t="n">
        <x:v>0</x:v>
      </x:c>
      <x:c r="J1100" s="49" t="n">
        <x:v>2</x:v>
      </x:c>
      <x:c r="K1100" s="47" t="n">
        <x:v>49232</x:v>
      </x:c>
      <x:c r="L1100" s="47" t="n">
        <x:v>0</x:v>
      </x:c>
      <x:c r="M1100" s="48" t="n">
        <x:v>360.06666666666666</x:v>
      </x:c>
      <x:c r="N1100" s="48" t="n">
        <x:v>22.083333333333332</x:v>
      </x:c>
      <x:c r="O1100" s="49" t="n">
        <x:v>5</x:v>
      </x:c>
      <x:c r="P1100" s="1" t="str">
        <x:v>時間軸の合議で入口と出口を切り替える</x:v>
      </x:c>
      <x:c r="Q1100" s="49" t="n">
        <x:v>0</x:v>
      </x:c>
      <x:c r="R1100" s="50" t="n">
        <x:v>0.028311965811965812</x:v>
      </x:c>
      <x:c r="S1100" s="50" t="n">
        <x:v>0.028311965811965812</x:v>
      </x:c>
      <x:c r="T1100" s="1" t="str">
        <x:v>下落</x:v>
      </x:c>
      <x:c r="U1100" s="49" t="n">
        <x:v>1</x:v>
      </x:c>
    </x:row>
    <x:row r="1101" ht="22" customHeight="1">
      <x:c r="A1101" s="1" t="str">
        <x:v>日経mini</x:v>
      </x:c>
      <x:c r="B1101" s="1" t="str">
        <x:v>Z02</x:v>
      </x:c>
      <x:c r="C1101" s="1" t="str">
        <x:v>全50場</x:v>
      </x:c>
      <x:c r="D1101" s="47" t="n">
        <x:v>4294496</x:v>
      </x:c>
      <x:c r="E1101" s="47" t="n">
        <x:v>2125048</x:v>
      </x:c>
      <x:c r="F1101" s="47" t="n">
        <x:f>D1101-E1101</x:f>
        <x:v>2169448</x:v>
      </x:c>
      <x:c r="G1101" s="49" t="n">
        <x:v>31</x:v>
      </x:c>
      <x:c r="H1101" s="49" t="n">
        <x:v>19</x:v>
      </x:c>
      <x:c r="I1101" s="47" t="n">
        <x:v>1170368</x:v>
      </x:c>
      <x:c r="J1101" s="49" t="n">
        <x:v>108</x:v>
      </x:c>
      <x:c r="K1101" s="47" t="n">
        <x:v>-153304</x:v>
      </x:c>
      <x:c r="L1101" s="47" t="n">
        <x:v>60184.84210526316</x:v>
      </x:c>
      <x:c r="M1101" s="48" t="n">
        <x:v>241.16966666666667</x:v>
      </x:c>
      <x:c r="N1101" s="48" t="n">
        <x:v>89.36500000000002</x:v>
      </x:c>
      <x:c r="O1101" s="49" t="n">
        <x:v>5</x:v>
      </x:c>
      <x:c r="P1101" s="1" t="str">
        <x:v>時間軸と平均線位置で入口と出口を切り替える</x:v>
      </x:c>
      <x:c r="Q1101" s="49" t="n">
        <x:v>0</x:v>
      </x:c>
      <x:c r="R1101" s="50" t="n">
        <x:v>0.19875622710622715</x:v>
      </x:c>
      <x:c r="S1101" s="50" t="n">
        <x:v>0.14894166666666667</x:v>
      </x:c>
      <x:c r="T1101" s="1" t="str">
        <x:v>全場</x:v>
      </x:c>
      <x:c r="U1101" s="49" t="n">
        <x:v>50</x:v>
      </x:c>
    </x:row>
    <x:row r="1102" ht="22" customHeight="1">
      <x:c r="A1102" s="1" t="str">
        <x:v>日経mini</x:v>
      </x:c>
      <x:c r="B1102" s="1" t="str">
        <x:v>Z02</x:v>
      </x:c>
      <x:c r="C1102" s="1" t="str">
        <x:v>全50場</x:v>
      </x:c>
      <x:c r="D1102" s="47" t="n">
        <x:v>2930864</x:v>
      </x:c>
      <x:c r="E1102" s="47" t="n">
        <x:v>1361672</x:v>
      </x:c>
      <x:c r="F1102" s="47" t="n">
        <x:f>D1102-E1102</x:f>
        <x:v>1569192</x:v>
      </x:c>
      <x:c r="G1102" s="49" t="n">
        <x:v>16</x:v>
      </x:c>
      <x:c r="H1102" s="49" t="n">
        <x:v>9</x:v>
      </x:c>
      <x:c r="I1102" s="47" t="n">
        <x:v>570112</x:v>
      </x:c>
      <x:c r="J1102" s="49" t="n">
        <x:v>62</x:v>
      </x:c>
      <x:c r="K1102" s="47" t="n">
        <x:v>-153304</x:v>
      </x:c>
      <x:c r="L1102" s="47" t="n">
        <x:v>75989.33333333333</x:v>
      </x:c>
      <x:c r="M1102" s="48" t="n">
        <x:v>118.31466666666667</x:v>
      </x:c>
      <x:c r="N1102" s="48" t="n">
        <x:v>153.21800000000002</x:v>
      </x:c>
      <x:c r="O1102" s="49" t="n">
        <x:v>5</x:v>
      </x:c>
      <x:c r="P1102" s="1" t="str">
        <x:v>時間軸と平均線位置で入口と出口を切り替える</x:v>
      </x:c>
      <x:c r="Q1102" s="49" t="n">
        <x:v>0</x:v>
      </x:c>
      <x:c r="R1102" s="50" t="n">
        <x:v>0.36480476190476196</x:v>
      </x:c>
      <x:c r="S1102" s="50" t="n">
        <x:v>0.3648047619047619</x:v>
      </x:c>
      <x:c r="T1102" s="1" t="str">
        <x:v>デイ</x:v>
      </x:c>
      <x:c r="U1102" s="49" t="n">
        <x:v>25</x:v>
      </x:c>
    </x:row>
    <x:row r="1103" ht="22" customHeight="1">
      <x:c r="A1103" s="1" t="str">
        <x:v>日経mini</x:v>
      </x:c>
      <x:c r="B1103" s="1" t="str">
        <x:v>Z02</x:v>
      </x:c>
      <x:c r="C1103" s="1" t="str">
        <x:v>全50場</x:v>
      </x:c>
      <x:c r="D1103" s="47" t="n">
        <x:v>1363632</x:v>
      </x:c>
      <x:c r="E1103" s="47" t="n">
        <x:v>763376</x:v>
      </x:c>
      <x:c r="F1103" s="47" t="n">
        <x:f>D1103-E1103</x:f>
        <x:v>600256</x:v>
      </x:c>
      <x:c r="G1103" s="49" t="n">
        <x:v>15</x:v>
      </x:c>
      <x:c r="H1103" s="49" t="n">
        <x:v>10</x:v>
      </x:c>
      <x:c r="I1103" s="47" t="n">
        <x:v>171482</x:v>
      </x:c>
      <x:c r="J1103" s="49" t="n">
        <x:v>46</x:v>
      </x:c>
      <x:c r="K1103" s="47" t="n">
        <x:v>-80768</x:v>
      </x:c>
      <x:c r="L1103" s="47" t="n">
        <x:v>45960.8</x:v>
      </x:c>
      <x:c r="M1103" s="48" t="n">
        <x:v>364.0246666666666</x:v>
      </x:c>
      <x:c r="N1103" s="48" t="n">
        <x:v>25.511999999999997</x:v>
      </x:c>
      <x:c r="O1103" s="49" t="n">
        <x:v>5</x:v>
      </x:c>
      <x:c r="P1103" s="1" t="str">
        <x:v>時間軸と平均線位置で入口と出口を切り替える</x:v>
      </x:c>
      <x:c r="Q1103" s="49" t="n">
        <x:v>0</x:v>
      </x:c>
      <x:c r="R1103" s="50" t="n">
        <x:v>0.03270769230769231</x:v>
      </x:c>
      <x:c r="S1103" s="50" t="n">
        <x:v>0.032707692307692306</x:v>
      </x:c>
      <x:c r="T1103" s="1" t="str">
        <x:v>ナイト</x:v>
      </x:c>
      <x:c r="U1103" s="49" t="n">
        <x:v>25</x:v>
      </x:c>
    </x:row>
    <x:row r="1104" ht="22" customHeight="1">
      <x:c r="A1104" s="1" t="str">
        <x:v>日経mini</x:v>
      </x:c>
      <x:c r="B1104" s="1" t="str">
        <x:v>Z02</x:v>
      </x:c>
      <x:c r="C1104" s="1" t="str">
        <x:v>全50場</x:v>
      </x:c>
      <x:c r="D1104" s="47" t="n">
        <x:v>1562398</x:v>
      </x:c>
      <x:c r="E1104" s="47" t="n">
        <x:v>1097910</x:v>
      </x:c>
      <x:c r="F1104" s="47" t="n">
        <x:f>D1104-E1104</x:f>
        <x:v>464488</x:v>
      </x:c>
      <x:c r="G1104" s="49" t="n">
        <x:v>14</x:v>
      </x:c>
      <x:c r="H1104" s="49" t="n">
        <x:v>10</x:v>
      </x:c>
      <x:c r="I1104" s="47" t="n">
        <x:v>13024</x:v>
      </x:c>
      <x:c r="J1104" s="49" t="n">
        <x:v>47</x:v>
      </x:c>
      <x:c r="K1104" s="47" t="n">
        <x:v>-121920</x:v>
      </x:c>
      <x:c r="L1104" s="47" t="n">
        <x:v>67029.6</x:v>
      </x:c>
      <x:c r="M1104" s="48" t="n">
        <x:v>251.65</x:v>
      </x:c>
      <x:c r="N1104" s="48" t="n">
        <x:v>67</x:v>
      </x:c>
      <x:c r="O1104" s="49" t="n">
        <x:v>5</x:v>
      </x:c>
      <x:c r="P1104" s="1" t="str">
        <x:v>時間軸と平均線位置で入口と出口を切り替える</x:v>
      </x:c>
      <x:c r="Q1104" s="49" t="n">
        <x:v>0</x:v>
      </x:c>
      <x:c r="R1104" s="50" t="n">
        <x:v>0.1474023199023199</x:v>
      </x:c>
      <x:c r="S1104" s="50" t="n">
        <x:v>0.10894308943089431</x:v>
      </x:c>
      <x:c r="T1104" s="1" t="str">
        <x:v>上昇</x:v>
      </x:c>
      <x:c r="U1104" s="49" t="n">
        <x:v>24</x:v>
      </x:c>
    </x:row>
    <x:row r="1105" ht="22" customHeight="1">
      <x:c r="A1105" s="1" t="str">
        <x:v>日経mini</x:v>
      </x:c>
      <x:c r="B1105" s="1" t="str">
        <x:v>Z02</x:v>
      </x:c>
      <x:c r="C1105" s="1" t="str">
        <x:v>全50場</x:v>
      </x:c>
      <x:c r="D1105" s="47" t="n">
        <x:v>2732098</x:v>
      </x:c>
      <x:c r="E1105" s="47" t="n">
        <x:v>1027138</x:v>
      </x:c>
      <x:c r="F1105" s="47" t="n">
        <x:f>D1105-E1105</x:f>
        <x:v>1704960</x:v>
      </x:c>
      <x:c r="G1105" s="49" t="n">
        <x:v>17</x:v>
      </x:c>
      <x:c r="H1105" s="49" t="n">
        <x:v>9</x:v>
      </x:c>
      <x:c r="I1105" s="47" t="n">
        <x:v>705880</x:v>
      </x:c>
      <x:c r="J1105" s="49" t="n">
        <x:v>61</x:v>
      </x:c>
      <x:c r="K1105" s="47" t="n">
        <x:v>-153304</x:v>
      </x:c>
      <x:c r="L1105" s="47" t="n">
        <x:v>52579.555555555555</x:v>
      </x:c>
      <x:c r="M1105" s="48" t="n">
        <x:v>231.49551282051283</x:v>
      </x:c>
      <x:c r="N1105" s="48" t="n">
        <x:v>110.00961538461539</x:v>
      </x:c>
      <x:c r="O1105" s="49" t="n">
        <x:v>5</x:v>
      </x:c>
      <x:c r="P1105" s="1" t="str">
        <x:v>時間軸と平均線位置で入口と出口を切り替える</x:v>
      </x:c>
      <x:c r="Q1105" s="49" t="n">
        <x:v>0</x:v>
      </x:c>
      <x:c r="R1105" s="50" t="n">
        <x:v>0.24615983375598757</x:v>
      </x:c>
      <x:c r="S1105" s="50" t="n">
        <x:v>0.18768044619422572</x:v>
      </x:c>
      <x:c r="T1105" s="1" t="str">
        <x:v>下落</x:v>
      </x:c>
      <x:c r="U1105" s="49" t="n">
        <x:v>26</x:v>
      </x:c>
    </x:row>
    <x:row r="1106" ht="22" customHeight="1">
      <x:c r="A1106" s="1" t="str">
        <x:v>日経mini</x:v>
      </x:c>
      <x:c r="B1106" s="1" t="str">
        <x:v>Z02</x:v>
      </x:c>
      <x:c r="C1106" s="1" t="str">
        <x:v>対照47場</x:v>
      </x:c>
      <x:c r="D1106" s="47" t="n">
        <x:v>4155264</x:v>
      </x:c>
      <x:c r="E1106" s="47" t="n">
        <x:v>2039280</x:v>
      </x:c>
      <x:c r="F1106" s="47" t="n">
        <x:f>D1106-E1106</x:f>
        <x:v>2115984</x:v>
      </x:c>
      <x:c r="G1106" s="49" t="n">
        <x:v>29</x:v>
      </x:c>
      <x:c r="H1106" s="49" t="n">
        <x:v>18</x:v>
      </x:c>
      <x:c r="I1106" s="47" t="n">
        <x:v>1116904</x:v>
      </x:c>
      <x:c r="J1106" s="49" t="n">
        <x:v>104</x:v>
      </x:c>
      <x:c r="K1106" s="47" t="n">
        <x:v>-153304</x:v>
      </x:c>
      <x:c r="L1106" s="47" t="n">
        <x:v>61007.11111111111</x:v>
      </x:c>
      <x:c r="M1106" s="48" t="n">
        <x:v>238.2982269503546</x:v>
      </x:c>
      <x:c r="N1106" s="48" t="n">
        <x:v>94.46843971631208</x:v>
      </x:c>
      <x:c r="O1106" s="49" t="n">
        <x:v>5</x:v>
      </x:c>
      <x:c r="P1106" s="1" t="str">
        <x:v>時間軸と平均線位置で入口と出口を切り替える</x:v>
      </x:c>
      <x:c r="Q1106" s="49" t="n">
        <x:v>0</x:v>
      </x:c>
      <x:c r="R1106" s="50" t="n">
        <x:v>0.21057367573325025</x:v>
      </x:c>
      <x:c r="S1106" s="50" t="n">
        <x:v>0.15845883892457768</x:v>
      </x:c>
      <x:c r="T1106" s="1" t="str">
        <x:v>全場</x:v>
      </x:c>
      <x:c r="U1106" s="49" t="n">
        <x:v>47</x:v>
      </x:c>
    </x:row>
    <x:row r="1107" ht="22" customHeight="1">
      <x:c r="A1107" s="1" t="str">
        <x:v>日経mini</x:v>
      </x:c>
      <x:c r="B1107" s="1" t="str">
        <x:v>Z02</x:v>
      </x:c>
      <x:c r="C1107" s="1" t="str">
        <x:v>対照47場</x:v>
      </x:c>
      <x:c r="D1107" s="47" t="n">
        <x:v>2930864</x:v>
      </x:c>
      <x:c r="E1107" s="47" t="n">
        <x:v>1316288</x:v>
      </x:c>
      <x:c r="F1107" s="47" t="n">
        <x:f>D1107-E1107</x:f>
        <x:v>1614576</x:v>
      </x:c>
      <x:c r="G1107" s="49" t="n">
        <x:v>16</x:v>
      </x:c>
      <x:c r="H1107" s="49" t="n">
        <x:v>8</x:v>
      </x:c>
      <x:c r="I1107" s="47" t="n">
        <x:v>615496</x:v>
      </x:c>
      <x:c r="J1107" s="49" t="n">
        <x:v>61</x:v>
      </x:c>
      <x:c r="K1107" s="47" t="n">
        <x:v>-153304</x:v>
      </x:c>
      <x:c r="L1107" s="47" t="n">
        <x:v>79815</x:v>
      </x:c>
      <x:c r="M1107" s="48" t="n">
        <x:v>117.47916666666667</x:v>
      </x:c>
      <x:c r="N1107" s="48" t="n">
        <x:v>159.42569444444447</x:v>
      </x:c>
      <x:c r="O1107" s="49" t="n">
        <x:v>5</x:v>
      </x:c>
      <x:c r="P1107" s="1" t="str">
        <x:v>時間軸と平均線位置で入口と出口を切り替える</x:v>
      </x:c>
      <x:c r="Q1107" s="49" t="n">
        <x:v>0</x:v>
      </x:c>
      <x:c r="R1107" s="50" t="n">
        <x:v>0.3795849867724868</x:v>
      </x:c>
      <x:c r="S1107" s="50" t="n">
        <x:v>0.37958498677248675</x:v>
      </x:c>
      <x:c r="T1107" s="1" t="str">
        <x:v>デイ</x:v>
      </x:c>
      <x:c r="U1107" s="49" t="n">
        <x:v>24</x:v>
      </x:c>
    </x:row>
    <x:row r="1108" ht="22" customHeight="1">
      <x:c r="A1108" s="1" t="str">
        <x:v>日経mini</x:v>
      </x:c>
      <x:c r="B1108" s="1" t="str">
        <x:v>Z02</x:v>
      </x:c>
      <x:c r="C1108" s="1" t="str">
        <x:v>対照47場</x:v>
      </x:c>
      <x:c r="D1108" s="47" t="n">
        <x:v>1224400</x:v>
      </x:c>
      <x:c r="E1108" s="47" t="n">
        <x:v>722992</x:v>
      </x:c>
      <x:c r="F1108" s="47" t="n">
        <x:f>D1108-E1108</x:f>
        <x:v>501408</x:v>
      </x:c>
      <x:c r="G1108" s="49" t="n">
        <x:v>13</x:v>
      </x:c>
      <x:c r="H1108" s="49" t="n">
        <x:v>10</x:v>
      </x:c>
      <x:c r="I1108" s="47" t="n">
        <x:v>72634</x:v>
      </x:c>
      <x:c r="J1108" s="49" t="n">
        <x:v>43</x:v>
      </x:c>
      <x:c r="K1108" s="47" t="n">
        <x:v>-80768</x:v>
      </x:c>
      <x:c r="L1108" s="47" t="n">
        <x:v>45960.8</x:v>
      </x:c>
      <x:c r="M1108" s="48" t="n">
        <x:v>364.37028985507243</x:v>
      </x:c>
      <x:c r="N1108" s="48" t="n">
        <x:v>26.686956521739134</x:v>
      </x:c>
      <x:c r="O1108" s="49" t="n">
        <x:v>5</x:v>
      </x:c>
      <x:c r="P1108" s="1" t="str">
        <x:v>時間軸と平均線位置で入口と出口を切り替える</x:v>
      </x:c>
      <x:c r="Q1108" s="49" t="n">
        <x:v>0</x:v>
      </x:c>
      <x:c r="R1108" s="50" t="n">
        <x:v>0.03421404682274247</x:v>
      </x:c>
      <x:c r="S1108" s="50" t="n">
        <x:v>0.03421404682274247</x:v>
      </x:c>
      <x:c r="T1108" s="1" t="str">
        <x:v>ナイト</x:v>
      </x:c>
      <x:c r="U1108" s="49" t="n">
        <x:v>23</x:v>
      </x:c>
    </x:row>
    <x:row r="1109" ht="22" customHeight="1">
      <x:c r="A1109" s="1" t="str">
        <x:v>日経mini</x:v>
      </x:c>
      <x:c r="B1109" s="1" t="str">
        <x:v>Z02</x:v>
      </x:c>
      <x:c r="C1109" s="1" t="str">
        <x:v>対照47場</x:v>
      </x:c>
      <x:c r="D1109" s="47" t="n">
        <x:v>1527782</x:v>
      </x:c>
      <x:c r="E1109" s="47" t="n">
        <x:v>1052526</x:v>
      </x:c>
      <x:c r="F1109" s="47" t="n">
        <x:f>D1109-E1109</x:f>
        <x:v>475256</x:v>
      </x:c>
      <x:c r="G1109" s="49" t="n">
        <x:v>13</x:v>
      </x:c>
      <x:c r="H1109" s="49" t="n">
        <x:v>9</x:v>
      </x:c>
      <x:c r="I1109" s="47" t="n">
        <x:v>23792</x:v>
      </x:c>
      <x:c r="J1109" s="49" t="n">
        <x:v>45</x:v>
      </x:c>
      <x:c r="K1109" s="47" t="n">
        <x:v>-121920</x:v>
      </x:c>
      <x:c r="L1109" s="47" t="n">
        <x:v>69434.66666666667</x:v>
      </x:c>
      <x:c r="M1109" s="48" t="n">
        <x:v>251.87272727272722</x:v>
      </x:c>
      <x:c r="N1109" s="48" t="n">
        <x:v>72.80530303030302</x:v>
      </x:c>
      <x:c r="O1109" s="49" t="n">
        <x:v>5</x:v>
      </x:c>
      <x:c r="P1109" s="1" t="str">
        <x:v>時間軸と平均線位置で入口と出口を切り替える</x:v>
      </x:c>
      <x:c r="Q1109" s="49" t="n">
        <x:v>0</x:v>
      </x:c>
      <x:c r="R1109" s="50" t="n">
        <x:v>0.16022491397491395</x:v>
      </x:c>
      <x:c r="S1109" s="50" t="n">
        <x:v>0.11812069813176009</x:v>
      </x:c>
      <x:c r="T1109" s="1" t="str">
        <x:v>上昇</x:v>
      </x:c>
      <x:c r="U1109" s="49" t="n">
        <x:v>22</x:v>
      </x:c>
    </x:row>
    <x:row r="1110" ht="22" customHeight="1">
      <x:c r="A1110" s="1" t="str">
        <x:v>日経mini</x:v>
      </x:c>
      <x:c r="B1110" s="1" t="str">
        <x:v>Z02</x:v>
      </x:c>
      <x:c r="C1110" s="1" t="str">
        <x:v>対照47場</x:v>
      </x:c>
      <x:c r="D1110" s="47" t="n">
        <x:v>2627482</x:v>
      </x:c>
      <x:c r="E1110" s="47" t="n">
        <x:v>986754</x:v>
      </x:c>
      <x:c r="F1110" s="47" t="n">
        <x:f>D1110-E1110</x:f>
        <x:v>1640728</x:v>
      </x:c>
      <x:c r="G1110" s="49" t="n">
        <x:v>16</x:v>
      </x:c>
      <x:c r="H1110" s="49" t="n">
        <x:v>9</x:v>
      </x:c>
      <x:c r="I1110" s="47" t="n">
        <x:v>641648</x:v>
      </x:c>
      <x:c r="J1110" s="49" t="n">
        <x:v>59</x:v>
      </x:c>
      <x:c r="K1110" s="47" t="n">
        <x:v>-153304</x:v>
      </x:c>
      <x:c r="L1110" s="47" t="n">
        <x:v>52579.555555555555</x:v>
      </x:c>
      <x:c r="M1110" s="48" t="n">
        <x:v>226.35266666666666</x:v>
      </x:c>
      <x:c r="N1110" s="48" t="n">
        <x:v>113.53200000000001</x:v>
      </x:c>
      <x:c r="O1110" s="49" t="n">
        <x:v>5</x:v>
      </x:c>
      <x:c r="P1110" s="1" t="str">
        <x:v>時間軸と平均線位置で入口と出口を切り替える</x:v>
      </x:c>
      <x:c r="Q1110" s="49" t="n">
        <x:v>0</x:v>
      </x:c>
      <x:c r="R1110" s="50" t="n">
        <x:v>0.25488058608058606</x:v>
      </x:c>
      <x:c r="S1110" s="50" t="n">
        <x:v>0.19628630705394193</x:v>
      </x:c>
      <x:c r="T1110" s="1" t="str">
        <x:v>下落</x:v>
      </x:c>
      <x:c r="U1110" s="49" t="n">
        <x:v>25</x:v>
      </x:c>
    </x:row>
    <x:row r="1111" ht="22" customHeight="1">
      <x:c r="A1111" s="1" t="str">
        <x:v>日経mini</x:v>
      </x:c>
      <x:c r="B1111" s="1" t="str">
        <x:v>Z02</x:v>
      </x:c>
      <x:c r="C1111" s="1" t="str">
        <x:v>診断3場</x:v>
      </x:c>
      <x:c r="D1111" s="47" t="n">
        <x:v>139232</x:v>
      </x:c>
      <x:c r="E1111" s="47" t="n">
        <x:v>85768</x:v>
      </x:c>
      <x:c r="F1111" s="47" t="n">
        <x:f>D1111-E1111</x:f>
        <x:v>53464</x:v>
      </x:c>
      <x:c r="G1111" s="49" t="n">
        <x:v>2</x:v>
      </x:c>
      <x:c r="H1111" s="49" t="n">
        <x:v>1</x:v>
      </x:c>
      <x:c r="I1111" s="47" t="n">
        <x:v>-45384</x:v>
      </x:c>
      <x:c r="J1111" s="49" t="n">
        <x:v>4</x:v>
      </x:c>
      <x:c r="K1111" s="47" t="n">
        <x:v>-45384</x:v>
      </x:c>
      <x:c r="L1111" s="47" t="n">
        <x:v>45384</x:v>
      </x:c>
      <x:c r="M1111" s="48" t="n">
        <x:v>286.15555555555557</x:v>
      </x:c>
      <x:c r="N1111" s="48" t="n">
        <x:v>9.411111111111111</x:v>
      </x:c>
      <x:c r="O1111" s="49" t="n">
        <x:v>5</x:v>
      </x:c>
      <x:c r="P1111" s="1" t="str">
        <x:v>時間軸と平均線位置で入口と出口を切り替える</x:v>
      </x:c>
      <x:c r="Q1111" s="49" t="n">
        <x:v>0</x:v>
      </x:c>
      <x:c r="R1111" s="50" t="n">
        <x:v>0.013616198616198616</x:v>
      </x:c>
      <x:c r="S1111" s="50" t="n">
        <x:v>0.01425925925925926</x:v>
      </x:c>
      <x:c r="T1111" s="1" t="str">
        <x:v>全場</x:v>
      </x:c>
      <x:c r="U1111" s="49" t="n">
        <x:v>3</x:v>
      </x:c>
    </x:row>
    <x:row r="1112" ht="22" customHeight="1">
      <x:c r="A1112" s="1" t="str">
        <x:v>日経mini</x:v>
      </x:c>
      <x:c r="B1112" s="1" t="str">
        <x:v>Z02</x:v>
      </x:c>
      <x:c r="C1112" s="1" t="str">
        <x:v>診断3場</x:v>
      </x:c>
      <x:c r="D1112" s="47" t="n">
        <x:v>0</x:v>
      </x:c>
      <x:c r="E1112" s="47" t="n">
        <x:v>45384</x:v>
      </x:c>
      <x:c r="F1112" s="47" t="n">
        <x:f>D1112-E1112</x:f>
        <x:v>-45384</x:v>
      </x:c>
      <x:c r="G1112" s="49" t="n">
        <x:v>0</x:v>
      </x:c>
      <x:c r="H1112" s="49" t="n">
        <x:v>1</x:v>
      </x:c>
      <x:c r="I1112" s="47" t="n">
        <x:v>-45384</x:v>
      </x:c>
      <x:c r="J1112" s="49" t="n">
        <x:v>1</x:v>
      </x:c>
      <x:c r="K1112" s="47" t="n">
        <x:v>-45384</x:v>
      </x:c>
      <x:c r="L1112" s="47" t="n">
        <x:v>45384</x:v>
      </x:c>
      <x:c r="M1112" s="48" t="n">
        <x:v>138.36666666666667</x:v>
      </x:c>
      <x:c r="N1112" s="48" t="n">
        <x:v>4.233333333333333</x:v>
      </x:c>
      <x:c r="O1112" s="49" t="n">
        <x:v>5</x:v>
      </x:c>
      <x:c r="P1112" s="1" t="str">
        <x:v>時間軸と平均線位置で入口と出口を切り替える</x:v>
      </x:c>
      <x:c r="Q1112" s="49" t="n">
        <x:v>0</x:v>
      </x:c>
      <x:c r="R1112" s="50" t="n">
        <x:v>0.010079365079365079</x:v>
      </x:c>
      <x:c r="S1112" s="50" t="n">
        <x:v>0.01007936507936508</x:v>
      </x:c>
      <x:c r="T1112" s="1" t="str">
        <x:v>デイ</x:v>
      </x:c>
      <x:c r="U1112" s="49" t="n">
        <x:v>1</x:v>
      </x:c>
    </x:row>
    <x:row r="1113" ht="22" customHeight="1">
      <x:c r="A1113" s="1" t="str">
        <x:v>日経mini</x:v>
      </x:c>
      <x:c r="B1113" s="1" t="str">
        <x:v>Z02</x:v>
      </x:c>
      <x:c r="C1113" s="1" t="str">
        <x:v>診断3場</x:v>
      </x:c>
      <x:c r="D1113" s="47" t="n">
        <x:v>139232</x:v>
      </x:c>
      <x:c r="E1113" s="47" t="n">
        <x:v>40384</x:v>
      </x:c>
      <x:c r="F1113" s="47" t="n">
        <x:f>D1113-E1113</x:f>
        <x:v>98848</x:v>
      </x:c>
      <x:c r="G1113" s="49" t="n">
        <x:v>2</x:v>
      </x:c>
      <x:c r="H1113" s="49" t="n">
        <x:v>0</x:v>
      </x:c>
      <x:c r="I1113" s="47" t="n">
        <x:v>0</x:v>
      </x:c>
      <x:c r="J1113" s="49" t="n">
        <x:v>3</x:v>
      </x:c>
      <x:c r="K1113" s="47" t="n">
        <x:v>34616</x:v>
      </x:c>
      <x:c r="L1113" s="47" t="n">
        <x:v>0</x:v>
      </x:c>
      <x:c r="M1113" s="48" t="n">
        <x:v>360.05</x:v>
      </x:c>
      <x:c r="N1113" s="48" t="n">
        <x:v>12</x:v>
      </x:c>
      <x:c r="O1113" s="49" t="n">
        <x:v>5</x:v>
      </x:c>
      <x:c r="P1113" s="1" t="str">
        <x:v>時間軸と平均線位置で入口と出口を切り替える</x:v>
      </x:c>
      <x:c r="Q1113" s="49" t="n">
        <x:v>0</x:v>
      </x:c>
      <x:c r="R1113" s="50" t="n">
        <x:v>0.015384615384615385</x:v>
      </x:c>
      <x:c r="S1113" s="50" t="n">
        <x:v>0.015384615384615385</x:v>
      </x:c>
      <x:c r="T1113" s="1" t="str">
        <x:v>ナイト</x:v>
      </x:c>
      <x:c r="U1113" s="49" t="n">
        <x:v>2</x:v>
      </x:c>
    </x:row>
    <x:row r="1114" ht="22" customHeight="1">
      <x:c r="A1114" s="1" t="str">
        <x:v>日経mini</x:v>
      </x:c>
      <x:c r="B1114" s="1" t="str">
        <x:v>Z02</x:v>
      </x:c>
      <x:c r="C1114" s="1" t="str">
        <x:v>診断3場</x:v>
      </x:c>
      <x:c r="D1114" s="47" t="n">
        <x:v>34616</x:v>
      </x:c>
      <x:c r="E1114" s="47" t="n">
        <x:v>45384</x:v>
      </x:c>
      <x:c r="F1114" s="47" t="n">
        <x:f>D1114-E1114</x:f>
        <x:v>-10768</x:v>
      </x:c>
      <x:c r="G1114" s="49" t="n">
        <x:v>1</x:v>
      </x:c>
      <x:c r="H1114" s="49" t="n">
        <x:v>1</x:v>
      </x:c>
      <x:c r="I1114" s="47" t="n">
        <x:v>-45384</x:v>
      </x:c>
      <x:c r="J1114" s="49" t="n">
        <x:v>2</x:v>
      </x:c>
      <x:c r="K1114" s="47" t="n">
        <x:v>-45384</x:v>
      </x:c>
      <x:c r="L1114" s="47" t="n">
        <x:v>45384</x:v>
      </x:c>
      <x:c r="M1114" s="48" t="n">
        <x:v>249.20000000000002</x:v>
      </x:c>
      <x:c r="N1114" s="48" t="n">
        <x:v>3.1416666666666666</x:v>
      </x:c>
      <x:c r="O1114" s="49" t="n">
        <x:v>5</x:v>
      </x:c>
      <x:c r="P1114" s="1" t="str">
        <x:v>時間軸と平均線位置で入口と出口を切り替える</x:v>
      </x:c>
      <x:c r="Q1114" s="49" t="n">
        <x:v>0</x:v>
      </x:c>
      <x:c r="R1114" s="50" t="n">
        <x:v>0.006353785103785104</x:v>
      </x:c>
      <x:c r="S1114" s="50" t="n">
        <x:v>0.005236111111111111</x:v>
      </x:c>
      <x:c r="T1114" s="1" t="str">
        <x:v>上昇</x:v>
      </x:c>
      <x:c r="U1114" s="49" t="n">
        <x:v>2</x:v>
      </x:c>
    </x:row>
    <x:row r="1115" ht="22" customHeight="1">
      <x:c r="A1115" s="1" t="str">
        <x:v>日経mini</x:v>
      </x:c>
      <x:c r="B1115" s="1" t="str">
        <x:v>Z02</x:v>
      </x:c>
      <x:c r="C1115" s="1" t="str">
        <x:v>診断3場</x:v>
      </x:c>
      <x:c r="D1115" s="47" t="n">
        <x:v>104616</x:v>
      </x:c>
      <x:c r="E1115" s="47" t="n">
        <x:v>40384</x:v>
      </x:c>
      <x:c r="F1115" s="47" t="n">
        <x:f>D1115-E1115</x:f>
        <x:v>64232</x:v>
      </x:c>
      <x:c r="G1115" s="49" t="n">
        <x:v>1</x:v>
      </x:c>
      <x:c r="H1115" s="49" t="n">
        <x:v>0</x:v>
      </x:c>
      <x:c r="I1115" s="47" t="n">
        <x:v>0</x:v>
      </x:c>
      <x:c r="J1115" s="49" t="n">
        <x:v>2</x:v>
      </x:c>
      <x:c r="K1115" s="47" t="n">
        <x:v>64232</x:v>
      </x:c>
      <x:c r="L1115" s="47" t="n">
        <x:v>0</x:v>
      </x:c>
      <x:c r="M1115" s="48" t="n">
        <x:v>360.06666666666666</x:v>
      </x:c>
      <x:c r="N1115" s="48" t="n">
        <x:v>21.95</x:v>
      </x:c>
      <x:c r="O1115" s="49" t="n">
        <x:v>5</x:v>
      </x:c>
      <x:c r="P1115" s="1" t="str">
        <x:v>時間軸と平均線位置で入口と出口を切り替える</x:v>
      </x:c>
      <x:c r="Q1115" s="49" t="n">
        <x:v>0</x:v>
      </x:c>
      <x:c r="R1115" s="50" t="n">
        <x:v>0.028141025641025642</x:v>
      </x:c>
      <x:c r="S1115" s="50" t="n">
        <x:v>0.02814102564102564</x:v>
      </x:c>
      <x:c r="T1115" s="1" t="str">
        <x:v>下落</x:v>
      </x:c>
      <x:c r="U1115" s="49" t="n">
        <x:v>1</x:v>
      </x:c>
    </x:row>
    <x:row r="1116" ht="22" customHeight="1">
      <x:c r="A1116" s="1" t="str">
        <x:v>日経mini</x:v>
      </x:c>
      <x:c r="B1116" s="1" t="str">
        <x:v>Z03</x:v>
      </x:c>
      <x:c r="C1116" s="1" t="str">
        <x:v>全50場</x:v>
      </x:c>
      <x:c r="D1116" s="47" t="n">
        <x:v>4200264</x:v>
      </x:c>
      <x:c r="E1116" s="47" t="n">
        <x:v>2250816</x:v>
      </x:c>
      <x:c r="F1116" s="47" t="n">
        <x:f>D1116-E1116</x:f>
        <x:v>1949448</x:v>
      </x:c>
      <x:c r="G1116" s="49" t="n">
        <x:v>31</x:v>
      </x:c>
      <x:c r="H1116" s="49" t="n">
        <x:v>19</x:v>
      </x:c>
      <x:c r="I1116" s="47" t="n">
        <x:v>950368</x:v>
      </x:c>
      <x:c r="J1116" s="49" t="n">
        <x:v>108</x:v>
      </x:c>
      <x:c r="K1116" s="47" t="n">
        <x:v>-153304</x:v>
      </x:c>
      <x:c r="L1116" s="47" t="n">
        <x:v>68605.8947368421</x:v>
      </x:c>
      <x:c r="M1116" s="48" t="n">
        <x:v>241.45733333333334</x:v>
      </x:c>
      <x:c r="N1116" s="48" t="n">
        <x:v>89.45400000000001</x:v>
      </x:c>
      <x:c r="O1116" s="49" t="n">
        <x:v>5</x:v>
      </x:c>
      <x:c r="P1116" s="1" t="str">
        <x:v>時間軸・平均線位置・二市場原板で切り替える</x:v>
      </x:c>
      <x:c r="Q1116" s="49" t="n">
        <x:v>0</x:v>
      </x:c>
      <x:c r="R1116" s="50" t="n">
        <x:v>0.19887032967032967</x:v>
      </x:c>
      <x:c r="S1116" s="50" t="n">
        <x:v>0.14909</x:v>
      </x:c>
      <x:c r="T1116" s="1" t="str">
        <x:v>全場</x:v>
      </x:c>
      <x:c r="U1116" s="49" t="n">
        <x:v>50</x:v>
      </x:c>
    </x:row>
    <x:row r="1117" ht="22" customHeight="1">
      <x:c r="A1117" s="1" t="str">
        <x:v>日経mini</x:v>
      </x:c>
      <x:c r="B1117" s="1" t="str">
        <x:v>Z03</x:v>
      </x:c>
      <x:c r="C1117" s="1" t="str">
        <x:v>全50場</x:v>
      </x:c>
      <x:c r="D1117" s="47" t="n">
        <x:v>2930864</x:v>
      </x:c>
      <x:c r="E1117" s="47" t="n">
        <x:v>1361672</x:v>
      </x:c>
      <x:c r="F1117" s="47" t="n">
        <x:f>D1117-E1117</x:f>
        <x:v>1569192</x:v>
      </x:c>
      <x:c r="G1117" s="49" t="n">
        <x:v>16</x:v>
      </x:c>
      <x:c r="H1117" s="49" t="n">
        <x:v>9</x:v>
      </x:c>
      <x:c r="I1117" s="47" t="n">
        <x:v>570112</x:v>
      </x:c>
      <x:c r="J1117" s="49" t="n">
        <x:v>62</x:v>
      </x:c>
      <x:c r="K1117" s="47" t="n">
        <x:v>-153304</x:v>
      </x:c>
      <x:c r="L1117" s="47" t="n">
        <x:v>75989.33333333333</x:v>
      </x:c>
      <x:c r="M1117" s="48" t="n">
        <x:v>118.31466666666667</x:v>
      </x:c>
      <x:c r="N1117" s="48" t="n">
        <x:v>153.21800000000002</x:v>
      </x:c>
      <x:c r="O1117" s="49" t="n">
        <x:v>5</x:v>
      </x:c>
      <x:c r="P1117" s="1" t="str">
        <x:v>時間軸・平均線位置・二市場原板で切り替える</x:v>
      </x:c>
      <x:c r="Q1117" s="49" t="n">
        <x:v>0</x:v>
      </x:c>
      <x:c r="R1117" s="50" t="n">
        <x:v>0.36480476190476196</x:v>
      </x:c>
      <x:c r="S1117" s="50" t="n">
        <x:v>0.3648047619047619</x:v>
      </x:c>
      <x:c r="T1117" s="1" t="str">
        <x:v>デイ</x:v>
      </x:c>
      <x:c r="U1117" s="49" t="n">
        <x:v>25</x:v>
      </x:c>
    </x:row>
    <x:row r="1118" ht="22" customHeight="1">
      <x:c r="A1118" s="1" t="str">
        <x:v>日経mini</x:v>
      </x:c>
      <x:c r="B1118" s="1" t="str">
        <x:v>Z03</x:v>
      </x:c>
      <x:c r="C1118" s="1" t="str">
        <x:v>全50場</x:v>
      </x:c>
      <x:c r="D1118" s="47" t="n">
        <x:v>1269400</x:v>
      </x:c>
      <x:c r="E1118" s="47" t="n">
        <x:v>889144</x:v>
      </x:c>
      <x:c r="F1118" s="47" t="n">
        <x:f>D1118-E1118</x:f>
        <x:v>380256</x:v>
      </x:c>
      <x:c r="G1118" s="49" t="n">
        <x:v>15</x:v>
      </x:c>
      <x:c r="H1118" s="49" t="n">
        <x:v>10</x:v>
      </x:c>
      <x:c r="I1118" s="47" t="n">
        <x:v>-48518</x:v>
      </x:c>
      <x:c r="J1118" s="49" t="n">
        <x:v>46</x:v>
      </x:c>
      <x:c r="K1118" s="47" t="n">
        <x:v>-141152</x:v>
      </x:c>
      <x:c r="L1118" s="47" t="n">
        <x:v>61960.8</x:v>
      </x:c>
      <x:c r="M1118" s="48" t="n">
        <x:v>364.5999999999999</x:v>
      </x:c>
      <x:c r="N1118" s="48" t="n">
        <x:v>25.69</x:v>
      </x:c>
      <x:c r="O1118" s="49" t="n">
        <x:v>5</x:v>
      </x:c>
      <x:c r="P1118" s="1" t="str">
        <x:v>時間軸・平均線位置・二市場原板で切り替える</x:v>
      </x:c>
      <x:c r="Q1118" s="49" t="n">
        <x:v>0</x:v>
      </x:c>
      <x:c r="R1118" s="50" t="n">
        <x:v>0.032935897435897435</x:v>
      </x:c>
      <x:c r="S1118" s="50" t="n">
        <x:v>0.032935897435897435</x:v>
      </x:c>
      <x:c r="T1118" s="1" t="str">
        <x:v>ナイト</x:v>
      </x:c>
      <x:c r="U1118" s="49" t="n">
        <x:v>25</x:v>
      </x:c>
    </x:row>
    <x:row r="1119" ht="22" customHeight="1">
      <x:c r="A1119" s="1" t="str">
        <x:v>日経mini</x:v>
      </x:c>
      <x:c r="B1119" s="1" t="str">
        <x:v>Z03</x:v>
      </x:c>
      <x:c r="C1119" s="1" t="str">
        <x:v>全50場</x:v>
      </x:c>
      <x:c r="D1119" s="47" t="n">
        <x:v>1537782</x:v>
      </x:c>
      <x:c r="E1119" s="47" t="n">
        <x:v>1153294</x:v>
      </x:c>
      <x:c r="F1119" s="47" t="n">
        <x:f>D1119-E1119</x:f>
        <x:v>384488</x:v>
      </x:c>
      <x:c r="G1119" s="49" t="n">
        <x:v>14</x:v>
      </x:c>
      <x:c r="H1119" s="49" t="n">
        <x:v>10</x:v>
      </x:c>
      <x:c r="I1119" s="47" t="n">
        <x:v>-66976</x:v>
      </x:c>
      <x:c r="J1119" s="49" t="n">
        <x:v>47</x:v>
      </x:c>
      <x:c r="K1119" s="47" t="n">
        <x:v>-141152</x:v>
      </x:c>
      <x:c r="L1119" s="47" t="n">
        <x:v>75029.6</x:v>
      </x:c>
      <x:c r="M1119" s="48" t="n">
        <x:v>251.6673611111111</x:v>
      </x:c>
      <x:c r="N1119" s="48" t="n">
        <x:v>67.4888888888889</x:v>
      </x:c>
      <x:c r="O1119" s="49" t="n">
        <x:v>5</x:v>
      </x:c>
      <x:c r="P1119" s="1" t="str">
        <x:v>時間軸・平均線位置・二市場原板で切り替える</x:v>
      </x:c>
      <x:c r="Q1119" s="49" t="n">
        <x:v>0</x:v>
      </x:c>
      <x:c r="R1119" s="50" t="n">
        <x:v>0.14802910052910054</x:v>
      </x:c>
      <x:c r="S1119" s="50" t="n">
        <x:v>0.10973803071364047</x:v>
      </x:c>
      <x:c r="T1119" s="1" t="str">
        <x:v>上昇</x:v>
      </x:c>
      <x:c r="U1119" s="49" t="n">
        <x:v>24</x:v>
      </x:c>
    </x:row>
    <x:row r="1120" ht="22" customHeight="1">
      <x:c r="A1120" s="1" t="str">
        <x:v>日経mini</x:v>
      </x:c>
      <x:c r="B1120" s="1" t="str">
        <x:v>Z03</x:v>
      </x:c>
      <x:c r="C1120" s="1" t="str">
        <x:v>全50場</x:v>
      </x:c>
      <x:c r="D1120" s="47" t="n">
        <x:v>2662482</x:v>
      </x:c>
      <x:c r="E1120" s="47" t="n">
        <x:v>1097522</x:v>
      </x:c>
      <x:c r="F1120" s="47" t="n">
        <x:f>D1120-E1120</x:f>
        <x:v>1564960</x:v>
      </x:c>
      <x:c r="G1120" s="49" t="n">
        <x:v>17</x:v>
      </x:c>
      <x:c r="H1120" s="49" t="n">
        <x:v>9</x:v>
      </x:c>
      <x:c r="I1120" s="47" t="n">
        <x:v>565880</x:v>
      </x:c>
      <x:c r="J1120" s="49" t="n">
        <x:v>61</x:v>
      </x:c>
      <x:c r="K1120" s="47" t="n">
        <x:v>-153304</x:v>
      </x:c>
      <x:c r="L1120" s="47" t="n">
        <x:v>61468.444444444445</x:v>
      </x:c>
      <x:c r="M1120" s="48" t="n">
        <x:v>232.03269230769232</x:v>
      </x:c>
      <x:c r="N1120" s="48" t="n">
        <x:v>109.72948717948718</x:v>
      </x:c>
      <x:c r="O1120" s="49" t="n">
        <x:v>5</x:v>
      </x:c>
      <x:c r="P1120" s="1" t="str">
        <x:v>時間軸・平均線位置・二市場原板で切り替える</x:v>
      </x:c>
      <x:c r="Q1120" s="49" t="n">
        <x:v>0</x:v>
      </x:c>
      <x:c r="R1120" s="50" t="n">
        <x:v>0.24580069503146426</x:v>
      </x:c>
      <x:c r="S1120" s="50" t="n">
        <x:v>0.18720253718285215</x:v>
      </x:c>
      <x:c r="T1120" s="1" t="str">
        <x:v>下落</x:v>
      </x:c>
      <x:c r="U1120" s="49" t="n">
        <x:v>26</x:v>
      </x:c>
    </x:row>
    <x:row r="1121" ht="22" customHeight="1">
      <x:c r="A1121" s="1" t="str">
        <x:v>日経mini</x:v>
      </x:c>
      <x:c r="B1121" s="1" t="str">
        <x:v>Z03</x:v>
      </x:c>
      <x:c r="C1121" s="1" t="str">
        <x:v>対照47場</x:v>
      </x:c>
      <x:c r="D1121" s="47" t="n">
        <x:v>4061032</x:v>
      </x:c>
      <x:c r="E1121" s="47" t="n">
        <x:v>2150048</x:v>
      </x:c>
      <x:c r="F1121" s="47" t="n">
        <x:f>D1121-E1121</x:f>
        <x:v>1910984</x:v>
      </x:c>
      <x:c r="G1121" s="49" t="n">
        <x:v>29</x:v>
      </x:c>
      <x:c r="H1121" s="49" t="n">
        <x:v>18</x:v>
      </x:c>
      <x:c r="I1121" s="47" t="n">
        <x:v>911904</x:v>
      </x:c>
      <x:c r="J1121" s="49" t="n">
        <x:v>104</x:v>
      </x:c>
      <x:c r="K1121" s="47" t="n">
        <x:v>-153304</x:v>
      </x:c>
      <x:c r="L1121" s="47" t="n">
        <x:v>69896</x:v>
      </x:c>
      <x:c r="M1121" s="48" t="n">
        <x:v>238.58687943262413</x:v>
      </x:c>
      <x:c r="N1121" s="48" t="n">
        <x:v>94.60780141843973</x:v>
      </x:c>
      <x:c r="O1121" s="49" t="n">
        <x:v>5</x:v>
      </x:c>
      <x:c r="P1121" s="1" t="str">
        <x:v>時間軸・平均線位置・二市場原板で切り替える</x:v>
      </x:c>
      <x:c r="Q1121" s="49" t="n">
        <x:v>0</x:v>
      </x:c>
      <x:c r="R1121" s="50" t="n">
        <x:v>0.21075234458213185</x:v>
      </x:c>
      <x:c r="S1121" s="50" t="n">
        <x:v>0.15869260052343565</x:v>
      </x:c>
      <x:c r="T1121" s="1" t="str">
        <x:v>全場</x:v>
      </x:c>
      <x:c r="U1121" s="49" t="n">
        <x:v>47</x:v>
      </x:c>
    </x:row>
    <x:row r="1122" ht="22" customHeight="1">
      <x:c r="A1122" s="1" t="str">
        <x:v>日経mini</x:v>
      </x:c>
      <x:c r="B1122" s="1" t="str">
        <x:v>Z03</x:v>
      </x:c>
      <x:c r="C1122" s="1" t="str">
        <x:v>対照47場</x:v>
      </x:c>
      <x:c r="D1122" s="47" t="n">
        <x:v>2930864</x:v>
      </x:c>
      <x:c r="E1122" s="47" t="n">
        <x:v>1316288</x:v>
      </x:c>
      <x:c r="F1122" s="47" t="n">
        <x:f>D1122-E1122</x:f>
        <x:v>1614576</x:v>
      </x:c>
      <x:c r="G1122" s="49" t="n">
        <x:v>16</x:v>
      </x:c>
      <x:c r="H1122" s="49" t="n">
        <x:v>8</x:v>
      </x:c>
      <x:c r="I1122" s="47" t="n">
        <x:v>615496</x:v>
      </x:c>
      <x:c r="J1122" s="49" t="n">
        <x:v>61</x:v>
      </x:c>
      <x:c r="K1122" s="47" t="n">
        <x:v>-153304</x:v>
      </x:c>
      <x:c r="L1122" s="47" t="n">
        <x:v>79815</x:v>
      </x:c>
      <x:c r="M1122" s="48" t="n">
        <x:v>117.47916666666667</x:v>
      </x:c>
      <x:c r="N1122" s="48" t="n">
        <x:v>159.42569444444447</x:v>
      </x:c>
      <x:c r="O1122" s="49" t="n">
        <x:v>5</x:v>
      </x:c>
      <x:c r="P1122" s="1" t="str">
        <x:v>時間軸・平均線位置・二市場原板で切り替える</x:v>
      </x:c>
      <x:c r="Q1122" s="49" t="n">
        <x:v>0</x:v>
      </x:c>
      <x:c r="R1122" s="50" t="n">
        <x:v>0.3795849867724868</x:v>
      </x:c>
      <x:c r="S1122" s="50" t="n">
        <x:v>0.37958498677248675</x:v>
      </x:c>
      <x:c r="T1122" s="1" t="str">
        <x:v>デイ</x:v>
      </x:c>
      <x:c r="U1122" s="49" t="n">
        <x:v>24</x:v>
      </x:c>
    </x:row>
    <x:row r="1123" ht="22" customHeight="1">
      <x:c r="A1123" s="1" t="str">
        <x:v>日経mini</x:v>
      </x:c>
      <x:c r="B1123" s="1" t="str">
        <x:v>Z03</x:v>
      </x:c>
      <x:c r="C1123" s="1" t="str">
        <x:v>対照47場</x:v>
      </x:c>
      <x:c r="D1123" s="47" t="n">
        <x:v>1130168</x:v>
      </x:c>
      <x:c r="E1123" s="47" t="n">
        <x:v>833760</x:v>
      </x:c>
      <x:c r="F1123" s="47" t="n">
        <x:f>D1123-E1123</x:f>
        <x:v>296408</x:v>
      </x:c>
      <x:c r="G1123" s="49" t="n">
        <x:v>13</x:v>
      </x:c>
      <x:c r="H1123" s="49" t="n">
        <x:v>10</x:v>
      </x:c>
      <x:c r="I1123" s="47" t="n">
        <x:v>-132366</x:v>
      </x:c>
      <x:c r="J1123" s="49" t="n">
        <x:v>43</x:v>
      </x:c>
      <x:c r="K1123" s="47" t="n">
        <x:v>-141152</x:v>
      </x:c>
      <x:c r="L1123" s="47" t="n">
        <x:v>61960.8</x:v>
      </x:c>
      <x:c r="M1123" s="48" t="n">
        <x:v>364.9601449275362</x:v>
      </x:c>
      <x:c r="N1123" s="48" t="n">
        <x:v>26.971739130434784</x:v>
      </x:c>
      <x:c r="O1123" s="49" t="n">
        <x:v>5</x:v>
      </x:c>
      <x:c r="P1123" s="1" t="str">
        <x:v>時間軸・平均線位置・二市場原板で切り替える</x:v>
      </x:c>
      <x:c r="Q1123" s="49" t="n">
        <x:v>0</x:v>
      </x:c>
      <x:c r="R1123" s="50" t="n">
        <x:v>0.03457915273132664</x:v>
      </x:c>
      <x:c r="S1123" s="50" t="n">
        <x:v>0.03457915273132665</x:v>
      </x:c>
      <x:c r="T1123" s="1" t="str">
        <x:v>ナイト</x:v>
      </x:c>
      <x:c r="U1123" s="49" t="n">
        <x:v>23</x:v>
      </x:c>
    </x:row>
    <x:row r="1124" ht="22" customHeight="1">
      <x:c r="A1124" s="1" t="str">
        <x:v>日経mini</x:v>
      </x:c>
      <x:c r="B1124" s="1" t="str">
        <x:v>Z03</x:v>
      </x:c>
      <x:c r="C1124" s="1" t="str">
        <x:v>対照47場</x:v>
      </x:c>
      <x:c r="D1124" s="47" t="n">
        <x:v>1503166</x:v>
      </x:c>
      <x:c r="E1124" s="47" t="n">
        <x:v>1107910</x:v>
      </x:c>
      <x:c r="F1124" s="47" t="n">
        <x:f>D1124-E1124</x:f>
        <x:v>395256</x:v>
      </x:c>
      <x:c r="G1124" s="49" t="n">
        <x:v>13</x:v>
      </x:c>
      <x:c r="H1124" s="49" t="n">
        <x:v>9</x:v>
      </x:c>
      <x:c r="I1124" s="47" t="n">
        <x:v>-56208</x:v>
      </x:c>
      <x:c r="J1124" s="49" t="n">
        <x:v>45</x:v>
      </x:c>
      <x:c r="K1124" s="47" t="n">
        <x:v>-141152</x:v>
      </x:c>
      <x:c r="L1124" s="47" t="n">
        <x:v>78323.55555555556</x:v>
      </x:c>
      <x:c r="M1124" s="48" t="n">
        <x:v>251.89166666666662</x:v>
      </x:c>
      <x:c r="N1124" s="48" t="n">
        <x:v>73.33863636363635</x:v>
      </x:c>
      <x:c r="O1124" s="49" t="n">
        <x:v>5</x:v>
      </x:c>
      <x:c r="P1124" s="1" t="str">
        <x:v>時間軸・平均線位置・二市場原板で切り替える</x:v>
      </x:c>
      <x:c r="Q1124" s="49" t="n">
        <x:v>0</x:v>
      </x:c>
      <x:c r="R1124" s="50" t="n">
        <x:v>0.16090867465867464</x:v>
      </x:c>
      <x:c r="S1124" s="50" t="n">
        <x:v>0.11898598820058998</x:v>
      </x:c>
      <x:c r="T1124" s="1" t="str">
        <x:v>上昇</x:v>
      </x:c>
      <x:c r="U1124" s="49" t="n">
        <x:v>22</x:v>
      </x:c>
    </x:row>
    <x:row r="1125" ht="22" customHeight="1">
      <x:c r="A1125" s="1" t="str">
        <x:v>日経mini</x:v>
      </x:c>
      <x:c r="B1125" s="1" t="str">
        <x:v>Z03</x:v>
      </x:c>
      <x:c r="C1125" s="1" t="str">
        <x:v>対照47場</x:v>
      </x:c>
      <x:c r="D1125" s="47" t="n">
        <x:v>2557866</x:v>
      </x:c>
      <x:c r="E1125" s="47" t="n">
        <x:v>1042138</x:v>
      </x:c>
      <x:c r="F1125" s="47" t="n">
        <x:f>D1125-E1125</x:f>
        <x:v>1515728</x:v>
      </x:c>
      <x:c r="G1125" s="49" t="n">
        <x:v>16</x:v>
      </x:c>
      <x:c r="H1125" s="49" t="n">
        <x:v>9</x:v>
      </x:c>
      <x:c r="I1125" s="47" t="n">
        <x:v>516648</x:v>
      </x:c>
      <x:c r="J1125" s="49" t="n">
        <x:v>59</x:v>
      </x:c>
      <x:c r="K1125" s="47" t="n">
        <x:v>-153304</x:v>
      </x:c>
      <x:c r="L1125" s="47" t="n">
        <x:v>61468.444444444445</x:v>
      </x:c>
      <x:c r="M1125" s="48" t="n">
        <x:v>226.87866666666667</x:v>
      </x:c>
      <x:c r="N1125" s="48" t="n">
        <x:v>113.32466666666667</x:v>
      </x:c>
      <x:c r="O1125" s="49" t="n">
        <x:v>5</x:v>
      </x:c>
      <x:c r="P1125" s="1" t="str">
        <x:v>時間軸・平均線位置・二市場原板で切り替える</x:v>
      </x:c>
      <x:c r="Q1125" s="49" t="n">
        <x:v>0</x:v>
      </x:c>
      <x:c r="R1125" s="50" t="n">
        <x:v>0.2546147741147741</x:v>
      </x:c>
      <x:c r="S1125" s="50" t="n">
        <x:v>0.195927846934071</x:v>
      </x:c>
      <x:c r="T1125" s="1" t="str">
        <x:v>下落</x:v>
      </x:c>
      <x:c r="U1125" s="49" t="n">
        <x:v>25</x:v>
      </x:c>
    </x:row>
    <x:row r="1126" ht="22" customHeight="1">
      <x:c r="A1126" s="1" t="str">
        <x:v>日経mini</x:v>
      </x:c>
      <x:c r="B1126" s="1" t="str">
        <x:v>Z03</x:v>
      </x:c>
      <x:c r="C1126" s="1" t="str">
        <x:v>診断3場</x:v>
      </x:c>
      <x:c r="D1126" s="47" t="n">
        <x:v>139232</x:v>
      </x:c>
      <x:c r="E1126" s="47" t="n">
        <x:v>100768</x:v>
      </x:c>
      <x:c r="F1126" s="47" t="n">
        <x:f>D1126-E1126</x:f>
        <x:v>38464</x:v>
      </x:c>
      <x:c r="G1126" s="49" t="n">
        <x:v>2</x:v>
      </x:c>
      <x:c r="H1126" s="49" t="n">
        <x:v>1</x:v>
      </x:c>
      <x:c r="I1126" s="47" t="n">
        <x:v>-45384</x:v>
      </x:c>
      <x:c r="J1126" s="49" t="n">
        <x:v>4</x:v>
      </x:c>
      <x:c r="K1126" s="47" t="n">
        <x:v>-45384</x:v>
      </x:c>
      <x:c r="L1126" s="47" t="n">
        <x:v>45384</x:v>
      </x:c>
      <x:c r="M1126" s="48" t="n">
        <x:v>286.42777777777775</x:v>
      </x:c>
      <x:c r="N1126" s="48" t="n">
        <x:v>8.711111111111112</x:v>
      </x:c>
      <x:c r="O1126" s="49" t="n">
        <x:v>5</x:v>
      </x:c>
      <x:c r="P1126" s="1" t="str">
        <x:v>時間軸・平均線位置・二市場原板で切り替える</x:v>
      </x:c>
      <x:c r="Q1126" s="49" t="n">
        <x:v>0</x:v>
      </x:c>
      <x:c r="R1126" s="50" t="n">
        <x:v>0.012718762718762718</x:v>
      </x:c>
      <x:c r="S1126" s="50" t="n">
        <x:v>0.0131986531986532</x:v>
      </x:c>
      <x:c r="T1126" s="1" t="str">
        <x:v>全場</x:v>
      </x:c>
      <x:c r="U1126" s="49" t="n">
        <x:v>3</x:v>
      </x:c>
    </x:row>
    <x:row r="1127" ht="22" customHeight="1">
      <x:c r="A1127" s="1" t="str">
        <x:v>日経mini</x:v>
      </x:c>
      <x:c r="B1127" s="1" t="str">
        <x:v>Z03</x:v>
      </x:c>
      <x:c r="C1127" s="1" t="str">
        <x:v>診断3場</x:v>
      </x:c>
      <x:c r="D1127" s="47" t="n">
        <x:v>0</x:v>
      </x:c>
      <x:c r="E1127" s="47" t="n">
        <x:v>45384</x:v>
      </x:c>
      <x:c r="F1127" s="47" t="n">
        <x:f>D1127-E1127</x:f>
        <x:v>-45384</x:v>
      </x:c>
      <x:c r="G1127" s="49" t="n">
        <x:v>0</x:v>
      </x:c>
      <x:c r="H1127" s="49" t="n">
        <x:v>1</x:v>
      </x:c>
      <x:c r="I1127" s="47" t="n">
        <x:v>-45384</x:v>
      </x:c>
      <x:c r="J1127" s="49" t="n">
        <x:v>1</x:v>
      </x:c>
      <x:c r="K1127" s="47" t="n">
        <x:v>-45384</x:v>
      </x:c>
      <x:c r="L1127" s="47" t="n">
        <x:v>45384</x:v>
      </x:c>
      <x:c r="M1127" s="48" t="n">
        <x:v>138.36666666666667</x:v>
      </x:c>
      <x:c r="N1127" s="48" t="n">
        <x:v>4.233333333333333</x:v>
      </x:c>
      <x:c r="O1127" s="49" t="n">
        <x:v>5</x:v>
      </x:c>
      <x:c r="P1127" s="1" t="str">
        <x:v>時間軸・平均線位置・二市場原板で切り替える</x:v>
      </x:c>
      <x:c r="Q1127" s="49" t="n">
        <x:v>0</x:v>
      </x:c>
      <x:c r="R1127" s="50" t="n">
        <x:v>0.010079365079365079</x:v>
      </x:c>
      <x:c r="S1127" s="50" t="n">
        <x:v>0.01007936507936508</x:v>
      </x:c>
      <x:c r="T1127" s="1" t="str">
        <x:v>デイ</x:v>
      </x:c>
      <x:c r="U1127" s="49" t="n">
        <x:v>1</x:v>
      </x:c>
    </x:row>
    <x:row r="1128" ht="22" customHeight="1">
      <x:c r="A1128" s="1" t="str">
        <x:v>日経mini</x:v>
      </x:c>
      <x:c r="B1128" s="1" t="str">
        <x:v>Z03</x:v>
      </x:c>
      <x:c r="C1128" s="1" t="str">
        <x:v>診断3場</x:v>
      </x:c>
      <x:c r="D1128" s="47" t="n">
        <x:v>139232</x:v>
      </x:c>
      <x:c r="E1128" s="47" t="n">
        <x:v>55384</x:v>
      </x:c>
      <x:c r="F1128" s="47" t="n">
        <x:f>D1128-E1128</x:f>
        <x:v>83848</x:v>
      </x:c>
      <x:c r="G1128" s="49" t="n">
        <x:v>2</x:v>
      </x:c>
      <x:c r="H1128" s="49" t="n">
        <x:v>0</x:v>
      </x:c>
      <x:c r="I1128" s="47" t="n">
        <x:v>0</x:v>
      </x:c>
      <x:c r="J1128" s="49" t="n">
        <x:v>3</x:v>
      </x:c>
      <x:c r="K1128" s="47" t="n">
        <x:v>34616</x:v>
      </x:c>
      <x:c r="L1128" s="47" t="n">
        <x:v>0</x:v>
      </x:c>
      <x:c r="M1128" s="48" t="n">
        <x:v>360.45833333333337</x:v>
      </x:c>
      <x:c r="N1128" s="48" t="n">
        <x:v>10.950000000000001</x:v>
      </x:c>
      <x:c r="O1128" s="49" t="n">
        <x:v>5</x:v>
      </x:c>
      <x:c r="P1128" s="1" t="str">
        <x:v>時間軸・平均線位置・二市場原板で切り替える</x:v>
      </x:c>
      <x:c r="Q1128" s="49" t="n">
        <x:v>0</x:v>
      </x:c>
      <x:c r="R1128" s="50" t="n">
        <x:v>0.014038461538461538</x:v>
      </x:c>
      <x:c r="S1128" s="50" t="n">
        <x:v>0.01403846153846154</x:v>
      </x:c>
      <x:c r="T1128" s="1" t="str">
        <x:v>ナイト</x:v>
      </x:c>
      <x:c r="U1128" s="49" t="n">
        <x:v>2</x:v>
      </x:c>
    </x:row>
    <x:row r="1129" ht="22" customHeight="1">
      <x:c r="A1129" s="1" t="str">
        <x:v>日経mini</x:v>
      </x:c>
      <x:c r="B1129" s="1" t="str">
        <x:v>Z03</x:v>
      </x:c>
      <x:c r="C1129" s="1" t="str">
        <x:v>診断3場</x:v>
      </x:c>
      <x:c r="D1129" s="47" t="n">
        <x:v>34616</x:v>
      </x:c>
      <x:c r="E1129" s="47" t="n">
        <x:v>45384</x:v>
      </x:c>
      <x:c r="F1129" s="47" t="n">
        <x:f>D1129-E1129</x:f>
        <x:v>-10768</x:v>
      </x:c>
      <x:c r="G1129" s="49" t="n">
        <x:v>1</x:v>
      </x:c>
      <x:c r="H1129" s="49" t="n">
        <x:v>1</x:v>
      </x:c>
      <x:c r="I1129" s="47" t="n">
        <x:v>-45384</x:v>
      </x:c>
      <x:c r="J1129" s="49" t="n">
        <x:v>2</x:v>
      </x:c>
      <x:c r="K1129" s="47" t="n">
        <x:v>-45384</x:v>
      </x:c>
      <x:c r="L1129" s="47" t="n">
        <x:v>45384</x:v>
      </x:c>
      <x:c r="M1129" s="48" t="n">
        <x:v>249.20000000000002</x:v>
      </x:c>
      <x:c r="N1129" s="48" t="n">
        <x:v>3.1416666666666666</x:v>
      </x:c>
      <x:c r="O1129" s="49" t="n">
        <x:v>5</x:v>
      </x:c>
      <x:c r="P1129" s="1" t="str">
        <x:v>時間軸・平均線位置・二市場原板で切り替える</x:v>
      </x:c>
      <x:c r="Q1129" s="49" t="n">
        <x:v>0</x:v>
      </x:c>
      <x:c r="R1129" s="50" t="n">
        <x:v>0.006353785103785104</x:v>
      </x:c>
      <x:c r="S1129" s="50" t="n">
        <x:v>0.005236111111111111</x:v>
      </x:c>
      <x:c r="T1129" s="1" t="str">
        <x:v>上昇</x:v>
      </x:c>
      <x:c r="U1129" s="49" t="n">
        <x:v>2</x:v>
      </x:c>
    </x:row>
    <x:row r="1130" ht="22" customHeight="1">
      <x:c r="A1130" s="1" t="str">
        <x:v>日経mini</x:v>
      </x:c>
      <x:c r="B1130" s="1" t="str">
        <x:v>Z03</x:v>
      </x:c>
      <x:c r="C1130" s="1" t="str">
        <x:v>診断3場</x:v>
      </x:c>
      <x:c r="D1130" s="47" t="n">
        <x:v>104616</x:v>
      </x:c>
      <x:c r="E1130" s="47" t="n">
        <x:v>55384</x:v>
      </x:c>
      <x:c r="F1130" s="47" t="n">
        <x:f>D1130-E1130</x:f>
        <x:v>49232</x:v>
      </x:c>
      <x:c r="G1130" s="49" t="n">
        <x:v>1</x:v>
      </x:c>
      <x:c r="H1130" s="49" t="n">
        <x:v>0</x:v>
      </x:c>
      <x:c r="I1130" s="47" t="n">
        <x:v>0</x:v>
      </x:c>
      <x:c r="J1130" s="49" t="n">
        <x:v>2</x:v>
      </x:c>
      <x:c r="K1130" s="47" t="n">
        <x:v>49232</x:v>
      </x:c>
      <x:c r="L1130" s="47" t="n">
        <x:v>0</x:v>
      </x:c>
      <x:c r="M1130" s="48" t="n">
        <x:v>360.8833333333333</x:v>
      </x:c>
      <x:c r="N1130" s="48" t="n">
        <x:v>19.85</x:v>
      </x:c>
      <x:c r="O1130" s="49" t="n">
        <x:v>5</x:v>
      </x:c>
      <x:c r="P1130" s="1" t="str">
        <x:v>時間軸・平均線位置・二市場原板で切り替える</x:v>
      </x:c>
      <x:c r="Q1130" s="49" t="n">
        <x:v>0</x:v>
      </x:c>
      <x:c r="R1130" s="50" t="n">
        <x:v>0.025448717948717947</x:v>
      </x:c>
      <x:c r="S1130" s="50" t="n">
        <x:v>0.02544871794871795</x:v>
      </x:c>
      <x:c r="T1130" s="1" t="str">
        <x:v>下落</x:v>
      </x:c>
      <x:c r="U1130" s="49" t="n">
        <x:v>1</x:v>
      </x:c>
    </x:row>
    <x:row r="1131" ht="22" customHeight="1">
      <x:c r="A1131" s="1" t="str">
        <x:v>日経mini</x:v>
      </x:c>
      <x:c r="B1131" s="1" t="str">
        <x:v>Z04</x:v>
      </x:c>
      <x:c r="C1131" s="1" t="str">
        <x:v>全50場</x:v>
      </x:c>
      <x:c r="D1131" s="47" t="n">
        <x:v>4249804</x:v>
      </x:c>
      <x:c r="E1131" s="47" t="n">
        <x:v>2066356</x:v>
      </x:c>
      <x:c r="F1131" s="47" t="n">
        <x:f>D1131-E1131</x:f>
        <x:v>2183448</x:v>
      </x:c>
      <x:c r="G1131" s="49" t="n">
        <x:v>33</x:v>
      </x:c>
      <x:c r="H1131" s="49" t="n">
        <x:v>17</x:v>
      </x:c>
      <x:c r="I1131" s="47" t="n">
        <x:v>1184368</x:v>
      </x:c>
      <x:c r="J1131" s="49" t="n">
        <x:v>108</x:v>
      </x:c>
      <x:c r="K1131" s="47" t="n">
        <x:v>-153304</x:v>
      </x:c>
      <x:c r="L1131" s="47" t="n">
        <x:v>60871.76470588235</x:v>
      </x:c>
      <x:c r="M1131" s="48" t="n">
        <x:v>239.14166666666668</x:v>
      </x:c>
      <x:c r="N1131" s="48" t="n">
        <x:v>88.03800000000001</x:v>
      </x:c>
      <x:c r="O1131" s="49" t="n">
        <x:v>5</x:v>
      </x:c>
      <x:c r="P1131" s="1" t="str">
        <x:v>強い直近反証だけ方向変更し即時参加・中期否定で退出</x:v>
      </x:c>
      <x:c r="Q1131" s="49" t="n">
        <x:v>0</x:v>
      </x:c>
      <x:c r="R1131" s="50" t="n">
        <x:v>0.19705494505494506</x:v>
      </x:c>
      <x:c r="S1131" s="50" t="n">
        <x:v>0.14673</x:v>
      </x:c>
      <x:c r="T1131" s="1" t="str">
        <x:v>全場</x:v>
      </x:c>
      <x:c r="U1131" s="49" t="n">
        <x:v>50</x:v>
      </x:c>
    </x:row>
    <x:row r="1132" ht="22" customHeight="1">
      <x:c r="A1132" s="1" t="str">
        <x:v>日経mini</x:v>
      </x:c>
      <x:c r="B1132" s="1" t="str">
        <x:v>Z04</x:v>
      </x:c>
      <x:c r="C1132" s="1" t="str">
        <x:v>全50場</x:v>
      </x:c>
      <x:c r="D1132" s="47" t="n">
        <x:v>2930864</x:v>
      </x:c>
      <x:c r="E1132" s="47" t="n">
        <x:v>1361672</x:v>
      </x:c>
      <x:c r="F1132" s="47" t="n">
        <x:f>D1132-E1132</x:f>
        <x:v>1569192</x:v>
      </x:c>
      <x:c r="G1132" s="49" t="n">
        <x:v>16</x:v>
      </x:c>
      <x:c r="H1132" s="49" t="n">
        <x:v>9</x:v>
      </x:c>
      <x:c r="I1132" s="47" t="n">
        <x:v>570112</x:v>
      </x:c>
      <x:c r="J1132" s="49" t="n">
        <x:v>62</x:v>
      </x:c>
      <x:c r="K1132" s="47" t="n">
        <x:v>-153304</x:v>
      </x:c>
      <x:c r="L1132" s="47" t="n">
        <x:v>75989.33333333333</x:v>
      </x:c>
      <x:c r="M1132" s="48" t="n">
        <x:v>118.31466666666667</x:v>
      </x:c>
      <x:c r="N1132" s="48" t="n">
        <x:v>153.21800000000002</x:v>
      </x:c>
      <x:c r="O1132" s="49" t="n">
        <x:v>5</x:v>
      </x:c>
      <x:c r="P1132" s="1" t="str">
        <x:v>強い直近反証だけ方向変更し即時参加・中期否定で退出</x:v>
      </x:c>
      <x:c r="Q1132" s="49" t="n">
        <x:v>0</x:v>
      </x:c>
      <x:c r="R1132" s="50" t="n">
        <x:v>0.36480476190476196</x:v>
      </x:c>
      <x:c r="S1132" s="50" t="n">
        <x:v>0.3648047619047619</x:v>
      </x:c>
      <x:c r="T1132" s="1" t="str">
        <x:v>デイ</x:v>
      </x:c>
      <x:c r="U1132" s="49" t="n">
        <x:v>25</x:v>
      </x:c>
    </x:row>
    <x:row r="1133" ht="22" customHeight="1">
      <x:c r="A1133" s="1" t="str">
        <x:v>日経mini</x:v>
      </x:c>
      <x:c r="B1133" s="1" t="str">
        <x:v>Z04</x:v>
      </x:c>
      <x:c r="C1133" s="1" t="str">
        <x:v>全50場</x:v>
      </x:c>
      <x:c r="D1133" s="47" t="n">
        <x:v>1318940</x:v>
      </x:c>
      <x:c r="E1133" s="47" t="n">
        <x:v>704684</x:v>
      </x:c>
      <x:c r="F1133" s="47" t="n">
        <x:f>D1133-E1133</x:f>
        <x:v>614256</x:v>
      </x:c>
      <x:c r="G1133" s="49" t="n">
        <x:v>17</x:v>
      </x:c>
      <x:c r="H1133" s="49" t="n">
        <x:v>8</x:v>
      </x:c>
      <x:c r="I1133" s="47" t="n">
        <x:v>205098</x:v>
      </x:c>
      <x:c r="J1133" s="49" t="n">
        <x:v>46</x:v>
      </x:c>
      <x:c r="K1133" s="47" t="n">
        <x:v>-80768</x:v>
      </x:c>
      <x:c r="L1133" s="47" t="n">
        <x:v>43864.5</x:v>
      </x:c>
      <x:c r="M1133" s="48" t="n">
        <x:v>359.9686666666666</x:v>
      </x:c>
      <x:c r="N1133" s="48" t="n">
        <x:v>22.857999999999997</x:v>
      </x:c>
      <x:c r="O1133" s="49" t="n">
        <x:v>5</x:v>
      </x:c>
      <x:c r="P1133" s="1" t="str">
        <x:v>強い直近反証だけ方向変更し即時参加・中期否定で退出</x:v>
      </x:c>
      <x:c r="Q1133" s="49" t="n">
        <x:v>0</x:v>
      </x:c>
      <x:c r="R1133" s="50" t="n">
        <x:v>0.029305128205128206</x:v>
      </x:c>
      <x:c r="S1133" s="50" t="n">
        <x:v>0.029305128205128206</x:v>
      </x:c>
      <x:c r="T1133" s="1" t="str">
        <x:v>ナイト</x:v>
      </x:c>
      <x:c r="U1133" s="49" t="n">
        <x:v>25</x:v>
      </x:c>
    </x:row>
    <x:row r="1134" ht="22" customHeight="1">
      <x:c r="A1134" s="1" t="str">
        <x:v>日経mini</x:v>
      </x:c>
      <x:c r="B1134" s="1" t="str">
        <x:v>Z04</x:v>
      </x:c>
      <x:c r="C1134" s="1" t="str">
        <x:v>全50場</x:v>
      </x:c>
      <x:c r="D1134" s="47" t="n">
        <x:v>1538474</x:v>
      </x:c>
      <x:c r="E1134" s="47" t="n">
        <x:v>1109986</x:v>
      </x:c>
      <x:c r="F1134" s="47" t="n">
        <x:f>D1134-E1134</x:f>
        <x:v>428488</x:v>
      </x:c>
      <x:c r="G1134" s="49" t="n">
        <x:v>14</x:v>
      </x:c>
      <x:c r="H1134" s="49" t="n">
        <x:v>10</x:v>
      </x:c>
      <x:c r="I1134" s="47" t="n">
        <x:v>-22976</x:v>
      </x:c>
      <x:c r="J1134" s="49" t="n">
        <x:v>47</x:v>
      </x:c>
      <x:c r="K1134" s="47" t="n">
        <x:v>-121920</x:v>
      </x:c>
      <x:c r="L1134" s="47" t="n">
        <x:v>63775.6</x:v>
      </x:c>
      <x:c r="M1134" s="48" t="n">
        <x:v>250.48055555555553</x:v>
      </x:c>
      <x:c r="N1134" s="48" t="n">
        <x:v>66.83333333333333</x:v>
      </x:c>
      <x:c r="O1134" s="49" t="n">
        <x:v>5</x:v>
      </x:c>
      <x:c r="P1134" s="1" t="str">
        <x:v>強い直近反証だけ方向変更し即時参加・中期否定で退出</x:v>
      </x:c>
      <x:c r="Q1134" s="49" t="n">
        <x:v>0</x:v>
      </x:c>
      <x:c r="R1134" s="50" t="n">
        <x:v>0.14718864468864468</x:v>
      </x:c>
      <x:c r="S1134" s="50" t="n">
        <x:v>0.10867208672086721</x:v>
      </x:c>
      <x:c r="T1134" s="1" t="str">
        <x:v>上昇</x:v>
      </x:c>
      <x:c r="U1134" s="49" t="n">
        <x:v>24</x:v>
      </x:c>
    </x:row>
    <x:row r="1135" ht="22" customHeight="1">
      <x:c r="A1135" s="1" t="str">
        <x:v>日経mini</x:v>
      </x:c>
      <x:c r="B1135" s="1" t="str">
        <x:v>Z04</x:v>
      </x:c>
      <x:c r="C1135" s="1" t="str">
        <x:v>全50場</x:v>
      </x:c>
      <x:c r="D1135" s="47" t="n">
        <x:v>2711330</x:v>
      </x:c>
      <x:c r="E1135" s="47" t="n">
        <x:v>956370</x:v>
      </x:c>
      <x:c r="F1135" s="47" t="n">
        <x:f>D1135-E1135</x:f>
        <x:v>1754960</x:v>
      </x:c>
      <x:c r="G1135" s="49" t="n">
        <x:v>19</x:v>
      </x:c>
      <x:c r="H1135" s="49" t="n">
        <x:v>7</x:v>
      </x:c>
      <x:c r="I1135" s="47" t="n">
        <x:v>755880</x:v>
      </x:c>
      <x:c r="J1135" s="49" t="n">
        <x:v>61</x:v>
      </x:c>
      <x:c r="K1135" s="47" t="n">
        <x:v>-153304</x:v>
      </x:c>
      <x:c r="L1135" s="47" t="n">
        <x:v>56723.42857142857</x:v>
      </x:c>
      <x:c r="M1135" s="48" t="n">
        <x:v>228.67500000000004</x:v>
      </x:c>
      <x:c r="N1135" s="48" t="n">
        <x:v>107.61153846153846</x:v>
      </x:c>
      <x:c r="O1135" s="49" t="n">
        <x:v>5</x:v>
      </x:c>
      <x:c r="P1135" s="1" t="str">
        <x:v>強い直近反証だけ方向変更し即時参加・中期否定で退出</x:v>
      </x:c>
      <x:c r="Q1135" s="49" t="n">
        <x:v>0</x:v>
      </x:c>
      <x:c r="R1135" s="50" t="n">
        <x:v>0.2430853761622992</x:v>
      </x:c>
      <x:c r="S1135" s="50" t="n">
        <x:v>0.18358923884514436</x:v>
      </x:c>
      <x:c r="T1135" s="1" t="str">
        <x:v>下落</x:v>
      </x:c>
      <x:c r="U1135" s="49" t="n">
        <x:v>26</x:v>
      </x:c>
    </x:row>
    <x:row r="1136" ht="22" customHeight="1">
      <x:c r="A1136" s="1" t="str">
        <x:v>日経mini</x:v>
      </x:c>
      <x:c r="B1136" s="1" t="str">
        <x:v>Z04</x:v>
      </x:c>
      <x:c r="C1136" s="1" t="str">
        <x:v>対照47場</x:v>
      </x:c>
      <x:c r="D1136" s="47" t="n">
        <x:v>4110572</x:v>
      </x:c>
      <x:c r="E1136" s="47" t="n">
        <x:v>1965588</x:v>
      </x:c>
      <x:c r="F1136" s="47" t="n">
        <x:f>D1136-E1136</x:f>
        <x:v>2144984</x:v>
      </x:c>
      <x:c r="G1136" s="49" t="n">
        <x:v>31</x:v>
      </x:c>
      <x:c r="H1136" s="49" t="n">
        <x:v>16</x:v>
      </x:c>
      <x:c r="I1136" s="47" t="n">
        <x:v>1145904</x:v>
      </x:c>
      <x:c r="J1136" s="49" t="n">
        <x:v>104</x:v>
      </x:c>
      <x:c r="K1136" s="47" t="n">
        <x:v>-153304</x:v>
      </x:c>
      <x:c r="L1136" s="47" t="n">
        <x:v>61839.75</x:v>
      </x:c>
      <x:c r="M1136" s="48" t="n">
        <x:v>236.14078014184398</x:v>
      </x:c>
      <x:c r="N1136" s="48" t="n">
        <x:v>93.05390070921986</x:v>
      </x:c>
      <x:c r="O1136" s="49" t="n">
        <x:v>5</x:v>
      </x:c>
      <x:c r="P1136" s="1" t="str">
        <x:v>強い直近反証だけ方向変更し即時参加・中期否定で退出</x:v>
      </x:c>
      <x:c r="Q1136" s="49" t="n">
        <x:v>0</x:v>
      </x:c>
      <x:c r="R1136" s="50" t="n">
        <x:v>0.2087601641856961</x:v>
      </x:c>
      <x:c r="S1136" s="50" t="n">
        <x:v>0.15608612895550794</x:v>
      </x:c>
      <x:c r="T1136" s="1" t="str">
        <x:v>全場</x:v>
      </x:c>
      <x:c r="U1136" s="49" t="n">
        <x:v>47</x:v>
      </x:c>
    </x:row>
    <x:row r="1137" ht="22" customHeight="1">
      <x:c r="A1137" s="1" t="str">
        <x:v>日経mini</x:v>
      </x:c>
      <x:c r="B1137" s="1" t="str">
        <x:v>Z04</x:v>
      </x:c>
      <x:c r="C1137" s="1" t="str">
        <x:v>対照47場</x:v>
      </x:c>
      <x:c r="D1137" s="47" t="n">
        <x:v>2930864</x:v>
      </x:c>
      <x:c r="E1137" s="47" t="n">
        <x:v>1316288</x:v>
      </x:c>
      <x:c r="F1137" s="47" t="n">
        <x:f>D1137-E1137</x:f>
        <x:v>1614576</x:v>
      </x:c>
      <x:c r="G1137" s="49" t="n">
        <x:v>16</x:v>
      </x:c>
      <x:c r="H1137" s="49" t="n">
        <x:v>8</x:v>
      </x:c>
      <x:c r="I1137" s="47" t="n">
        <x:v>615496</x:v>
      </x:c>
      <x:c r="J1137" s="49" t="n">
        <x:v>61</x:v>
      </x:c>
      <x:c r="K1137" s="47" t="n">
        <x:v>-153304</x:v>
      </x:c>
      <x:c r="L1137" s="47" t="n">
        <x:v>79815</x:v>
      </x:c>
      <x:c r="M1137" s="48" t="n">
        <x:v>117.47916666666667</x:v>
      </x:c>
      <x:c r="N1137" s="48" t="n">
        <x:v>159.42569444444447</x:v>
      </x:c>
      <x:c r="O1137" s="49" t="n">
        <x:v>5</x:v>
      </x:c>
      <x:c r="P1137" s="1" t="str">
        <x:v>強い直近反証だけ方向変更し即時参加・中期否定で退出</x:v>
      </x:c>
      <x:c r="Q1137" s="49" t="n">
        <x:v>0</x:v>
      </x:c>
      <x:c r="R1137" s="50" t="n">
        <x:v>0.3795849867724868</x:v>
      </x:c>
      <x:c r="S1137" s="50" t="n">
        <x:v>0.37958498677248675</x:v>
      </x:c>
      <x:c r="T1137" s="1" t="str">
        <x:v>デイ</x:v>
      </x:c>
      <x:c r="U1137" s="49" t="n">
        <x:v>24</x:v>
      </x:c>
    </x:row>
    <x:row r="1138" ht="22" customHeight="1">
      <x:c r="A1138" s="1" t="str">
        <x:v>日経mini</x:v>
      </x:c>
      <x:c r="B1138" s="1" t="str">
        <x:v>Z04</x:v>
      </x:c>
      <x:c r="C1138" s="1" t="str">
        <x:v>対照47場</x:v>
      </x:c>
      <x:c r="D1138" s="47" t="n">
        <x:v>1179708</x:v>
      </x:c>
      <x:c r="E1138" s="47" t="n">
        <x:v>649300</x:v>
      </x:c>
      <x:c r="F1138" s="47" t="n">
        <x:f>D1138-E1138</x:f>
        <x:v>530408</x:v>
      </x:c>
      <x:c r="G1138" s="49" t="n">
        <x:v>15</x:v>
      </x:c>
      <x:c r="H1138" s="49" t="n">
        <x:v>8</x:v>
      </x:c>
      <x:c r="I1138" s="47" t="n">
        <x:v>121250</x:v>
      </x:c>
      <x:c r="J1138" s="49" t="n">
        <x:v>43</x:v>
      </x:c>
      <x:c r="K1138" s="47" t="n">
        <x:v>-80768</x:v>
      </x:c>
      <x:c r="L1138" s="47" t="n">
        <x:v>43864.5</x:v>
      </x:c>
      <x:c r="M1138" s="48" t="n">
        <x:v>359.96159420289854</x:v>
      </x:c>
      <x:c r="N1138" s="48" t="n">
        <x:v>23.7963768115942</x:v>
      </x:c>
      <x:c r="O1138" s="49" t="n">
        <x:v>5</x:v>
      </x:c>
      <x:c r="P1138" s="1" t="str">
        <x:v>強い直近反証だけ方向変更し即時参加・中期否定で退出</x:v>
      </x:c>
      <x:c r="Q1138" s="49" t="n">
        <x:v>0</x:v>
      </x:c>
      <x:c r="R1138" s="50" t="n">
        <x:v>0.03050817539947975</x:v>
      </x:c>
      <x:c r="S1138" s="50" t="n">
        <x:v>0.03050817539947975</x:v>
      </x:c>
      <x:c r="T1138" s="1" t="str">
        <x:v>ナイト</x:v>
      </x:c>
      <x:c r="U1138" s="49" t="n">
        <x:v>23</x:v>
      </x:c>
    </x:row>
    <x:row r="1139" ht="22" customHeight="1">
      <x:c r="A1139" s="1" t="str">
        <x:v>日経mini</x:v>
      </x:c>
      <x:c r="B1139" s="1" t="str">
        <x:v>Z04</x:v>
      </x:c>
      <x:c r="C1139" s="1" t="str">
        <x:v>対照47場</x:v>
      </x:c>
      <x:c r="D1139" s="47" t="n">
        <x:v>1503858</x:v>
      </x:c>
      <x:c r="E1139" s="47" t="n">
        <x:v>1064602</x:v>
      </x:c>
      <x:c r="F1139" s="47" t="n">
        <x:f>D1139-E1139</x:f>
        <x:v>439256</x:v>
      </x:c>
      <x:c r="G1139" s="49" t="n">
        <x:v>13</x:v>
      </x:c>
      <x:c r="H1139" s="49" t="n">
        <x:v>9</x:v>
      </x:c>
      <x:c r="I1139" s="47" t="n">
        <x:v>-12208</x:v>
      </x:c>
      <x:c r="J1139" s="49" t="n">
        <x:v>45</x:v>
      </x:c>
      <x:c r="K1139" s="47" t="n">
        <x:v>-121920</x:v>
      </x:c>
      <x:c r="L1139" s="47" t="n">
        <x:v>65819.11111111111</x:v>
      </x:c>
      <x:c r="M1139" s="48" t="n">
        <x:v>250.5969696969697</x:v>
      </x:c>
      <x:c r="N1139" s="48" t="n">
        <x:v>72.62348484848485</x:v>
      </x:c>
      <x:c r="O1139" s="49" t="n">
        <x:v>5</x:v>
      </x:c>
      <x:c r="P1139" s="1" t="str">
        <x:v>強い直近反証だけ方向変更し即時参加・中期否定で退出</x:v>
      </x:c>
      <x:c r="Q1139" s="49" t="n">
        <x:v>0</x:v>
      </x:c>
      <x:c r="R1139" s="50" t="n">
        <x:v>0.1599918137418137</x:v>
      </x:c>
      <x:c r="S1139" s="50" t="n">
        <x:v>0.11782571288102262</x:v>
      </x:c>
      <x:c r="T1139" s="1" t="str">
        <x:v>上昇</x:v>
      </x:c>
      <x:c r="U1139" s="49" t="n">
        <x:v>22</x:v>
      </x:c>
    </x:row>
    <x:row r="1140" ht="22" customHeight="1">
      <x:c r="A1140" s="1" t="str">
        <x:v>日経mini</x:v>
      </x:c>
      <x:c r="B1140" s="1" t="str">
        <x:v>Z04</x:v>
      </x:c>
      <x:c r="C1140" s="1" t="str">
        <x:v>対照47場</x:v>
      </x:c>
      <x:c r="D1140" s="47" t="n">
        <x:v>2606714</x:v>
      </x:c>
      <x:c r="E1140" s="47" t="n">
        <x:v>900986</x:v>
      </x:c>
      <x:c r="F1140" s="47" t="n">
        <x:f>D1140-E1140</x:f>
        <x:v>1705728</x:v>
      </x:c>
      <x:c r="G1140" s="49" t="n">
        <x:v>18</x:v>
      </x:c>
      <x:c r="H1140" s="49" t="n">
        <x:v>7</x:v>
      </x:c>
      <x:c r="I1140" s="47" t="n">
        <x:v>706648</x:v>
      </x:c>
      <x:c r="J1140" s="49" t="n">
        <x:v>59</x:v>
      </x:c>
      <x:c r="K1140" s="47" t="n">
        <x:v>-153304</x:v>
      </x:c>
      <x:c r="L1140" s="47" t="n">
        <x:v>56723.42857142857</x:v>
      </x:c>
      <x:c r="M1140" s="48" t="n">
        <x:v>223.41933333333338</x:v>
      </x:c>
      <x:c r="N1140" s="48" t="n">
        <x:v>111.03266666666667</x:v>
      </x:c>
      <x:c r="O1140" s="49" t="n">
        <x:v>5</x:v>
      </x:c>
      <x:c r="P1140" s="1" t="str">
        <x:v>強い直近反証だけ方向変更し即時参加・中期否定で退出</x:v>
      </x:c>
      <x:c r="Q1140" s="49" t="n">
        <x:v>0</x:v>
      </x:c>
      <x:c r="R1140" s="50" t="n">
        <x:v>0.2516763125763125</x:v>
      </x:c>
      <x:c r="S1140" s="50" t="n">
        <x:v>0.19196519133241124</x:v>
      </x:c>
      <x:c r="T1140" s="1" t="str">
        <x:v>下落</x:v>
      </x:c>
      <x:c r="U1140" s="49" t="n">
        <x:v>25</x:v>
      </x:c>
    </x:row>
    <x:row r="1141" ht="22" customHeight="1">
      <x:c r="A1141" s="1" t="str">
        <x:v>日経mini</x:v>
      </x:c>
      <x:c r="B1141" s="1" t="str">
        <x:v>Z04</x:v>
      </x:c>
      <x:c r="C1141" s="1" t="str">
        <x:v>診断3場</x:v>
      </x:c>
      <x:c r="D1141" s="47" t="n">
        <x:v>139232</x:v>
      </x:c>
      <x:c r="E1141" s="47" t="n">
        <x:v>100768</x:v>
      </x:c>
      <x:c r="F1141" s="47" t="n">
        <x:f>D1141-E1141</x:f>
        <x:v>38464</x:v>
      </x:c>
      <x:c r="G1141" s="49" t="n">
        <x:v>2</x:v>
      </x:c>
      <x:c r="H1141" s="49" t="n">
        <x:v>1</x:v>
      </x:c>
      <x:c r="I1141" s="47" t="n">
        <x:v>-45384</x:v>
      </x:c>
      <x:c r="J1141" s="49" t="n">
        <x:v>4</x:v>
      </x:c>
      <x:c r="K1141" s="47" t="n">
        <x:v>-45384</x:v>
      </x:c>
      <x:c r="L1141" s="47" t="n">
        <x:v>45384</x:v>
      </x:c>
      <x:c r="M1141" s="48" t="n">
        <x:v>286.15555555555557</x:v>
      </x:c>
      <x:c r="N1141" s="48" t="n">
        <x:v>9.455555555555556</x:v>
      </x:c>
      <x:c r="O1141" s="49" t="n">
        <x:v>5</x:v>
      </x:c>
      <x:c r="P1141" s="1" t="str">
        <x:v>強い直近反証だけ方向変更し即時参加・中期否定で退出</x:v>
      </x:c>
      <x:c r="Q1141" s="49" t="n">
        <x:v>0</x:v>
      </x:c>
      <x:c r="R1141" s="50" t="n">
        <x:v>0.013673178673178674</x:v>
      </x:c>
      <x:c r="S1141" s="50" t="n">
        <x:v>0.014326599326599326</x:v>
      </x:c>
      <x:c r="T1141" s="1" t="str">
        <x:v>全場</x:v>
      </x:c>
      <x:c r="U1141" s="49" t="n">
        <x:v>3</x:v>
      </x:c>
    </x:row>
    <x:row r="1142" ht="22" customHeight="1">
      <x:c r="A1142" s="1" t="str">
        <x:v>日経mini</x:v>
      </x:c>
      <x:c r="B1142" s="1" t="str">
        <x:v>Z04</x:v>
      </x:c>
      <x:c r="C1142" s="1" t="str">
        <x:v>診断3場</x:v>
      </x:c>
      <x:c r="D1142" s="47" t="n">
        <x:v>0</x:v>
      </x:c>
      <x:c r="E1142" s="47" t="n">
        <x:v>45384</x:v>
      </x:c>
      <x:c r="F1142" s="47" t="n">
        <x:f>D1142-E1142</x:f>
        <x:v>-45384</x:v>
      </x:c>
      <x:c r="G1142" s="49" t="n">
        <x:v>0</x:v>
      </x:c>
      <x:c r="H1142" s="49" t="n">
        <x:v>1</x:v>
      </x:c>
      <x:c r="I1142" s="47" t="n">
        <x:v>-45384</x:v>
      </x:c>
      <x:c r="J1142" s="49" t="n">
        <x:v>1</x:v>
      </x:c>
      <x:c r="K1142" s="47" t="n">
        <x:v>-45384</x:v>
      </x:c>
      <x:c r="L1142" s="47" t="n">
        <x:v>45384</x:v>
      </x:c>
      <x:c r="M1142" s="48" t="n">
        <x:v>138.36666666666667</x:v>
      </x:c>
      <x:c r="N1142" s="48" t="n">
        <x:v>4.233333333333333</x:v>
      </x:c>
      <x:c r="O1142" s="49" t="n">
        <x:v>5</x:v>
      </x:c>
      <x:c r="P1142" s="1" t="str">
        <x:v>強い直近反証だけ方向変更し即時参加・中期否定で退出</x:v>
      </x:c>
      <x:c r="Q1142" s="49" t="n">
        <x:v>0</x:v>
      </x:c>
      <x:c r="R1142" s="50" t="n">
        <x:v>0.010079365079365079</x:v>
      </x:c>
      <x:c r="S1142" s="50" t="n">
        <x:v>0.01007936507936508</x:v>
      </x:c>
      <x:c r="T1142" s="1" t="str">
        <x:v>デイ</x:v>
      </x:c>
      <x:c r="U1142" s="49" t="n">
        <x:v>1</x:v>
      </x:c>
    </x:row>
    <x:row r="1143" ht="22" customHeight="1">
      <x:c r="A1143" s="1" t="str">
        <x:v>日経mini</x:v>
      </x:c>
      <x:c r="B1143" s="1" t="str">
        <x:v>Z04</x:v>
      </x:c>
      <x:c r="C1143" s="1" t="str">
        <x:v>診断3場</x:v>
      </x:c>
      <x:c r="D1143" s="47" t="n">
        <x:v>139232</x:v>
      </x:c>
      <x:c r="E1143" s="47" t="n">
        <x:v>55384</x:v>
      </x:c>
      <x:c r="F1143" s="47" t="n">
        <x:f>D1143-E1143</x:f>
        <x:v>83848</x:v>
      </x:c>
      <x:c r="G1143" s="49" t="n">
        <x:v>2</x:v>
      </x:c>
      <x:c r="H1143" s="49" t="n">
        <x:v>0</x:v>
      </x:c>
      <x:c r="I1143" s="47" t="n">
        <x:v>0</x:v>
      </x:c>
      <x:c r="J1143" s="49" t="n">
        <x:v>3</x:v>
      </x:c>
      <x:c r="K1143" s="47" t="n">
        <x:v>34616</x:v>
      </x:c>
      <x:c r="L1143" s="47" t="n">
        <x:v>0</x:v>
      </x:c>
      <x:c r="M1143" s="48" t="n">
        <x:v>360.05</x:v>
      </x:c>
      <x:c r="N1143" s="48" t="n">
        <x:v>12.066666666666666</x:v>
      </x:c>
      <x:c r="O1143" s="49" t="n">
        <x:v>5</x:v>
      </x:c>
      <x:c r="P1143" s="1" t="str">
        <x:v>強い直近反証だけ方向変更し即時参加・中期否定で退出</x:v>
      </x:c>
      <x:c r="Q1143" s="49" t="n">
        <x:v>0</x:v>
      </x:c>
      <x:c r="R1143" s="50" t="n">
        <x:v>0.01547008547008547</x:v>
      </x:c>
      <x:c r="S1143" s="50" t="n">
        <x:v>0.01547008547008547</x:v>
      </x:c>
      <x:c r="T1143" s="1" t="str">
        <x:v>ナイト</x:v>
      </x:c>
      <x:c r="U1143" s="49" t="n">
        <x:v>2</x:v>
      </x:c>
    </x:row>
    <x:row r="1144" ht="22" customHeight="1">
      <x:c r="A1144" s="1" t="str">
        <x:v>日経mini</x:v>
      </x:c>
      <x:c r="B1144" s="1" t="str">
        <x:v>Z04</x:v>
      </x:c>
      <x:c r="C1144" s="1" t="str">
        <x:v>診断3場</x:v>
      </x:c>
      <x:c r="D1144" s="47" t="n">
        <x:v>34616</x:v>
      </x:c>
      <x:c r="E1144" s="47" t="n">
        <x:v>45384</x:v>
      </x:c>
      <x:c r="F1144" s="47" t="n">
        <x:f>D1144-E1144</x:f>
        <x:v>-10768</x:v>
      </x:c>
      <x:c r="G1144" s="49" t="n">
        <x:v>1</x:v>
      </x:c>
      <x:c r="H1144" s="49" t="n">
        <x:v>1</x:v>
      </x:c>
      <x:c r="I1144" s="47" t="n">
        <x:v>-45384</x:v>
      </x:c>
      <x:c r="J1144" s="49" t="n">
        <x:v>2</x:v>
      </x:c>
      <x:c r="K1144" s="47" t="n">
        <x:v>-45384</x:v>
      </x:c>
      <x:c r="L1144" s="47" t="n">
        <x:v>45384</x:v>
      </x:c>
      <x:c r="M1144" s="48" t="n">
        <x:v>249.20000000000002</x:v>
      </x:c>
      <x:c r="N1144" s="48" t="n">
        <x:v>3.1416666666666666</x:v>
      </x:c>
      <x:c r="O1144" s="49" t="n">
        <x:v>5</x:v>
      </x:c>
      <x:c r="P1144" s="1" t="str">
        <x:v>強い直近反証だけ方向変更し即時参加・中期否定で退出</x:v>
      </x:c>
      <x:c r="Q1144" s="49" t="n">
        <x:v>0</x:v>
      </x:c>
      <x:c r="R1144" s="50" t="n">
        <x:v>0.006353785103785104</x:v>
      </x:c>
      <x:c r="S1144" s="50" t="n">
        <x:v>0.005236111111111111</x:v>
      </x:c>
      <x:c r="T1144" s="1" t="str">
        <x:v>上昇</x:v>
      </x:c>
      <x:c r="U1144" s="49" t="n">
        <x:v>2</x:v>
      </x:c>
    </x:row>
    <x:row r="1145" ht="22" customHeight="1">
      <x:c r="A1145" s="1" t="str">
        <x:v>日経mini</x:v>
      </x:c>
      <x:c r="B1145" s="1" t="str">
        <x:v>Z04</x:v>
      </x:c>
      <x:c r="C1145" s="1" t="str">
        <x:v>診断3場</x:v>
      </x:c>
      <x:c r="D1145" s="47" t="n">
        <x:v>104616</x:v>
      </x:c>
      <x:c r="E1145" s="47" t="n">
        <x:v>55384</x:v>
      </x:c>
      <x:c r="F1145" s="47" t="n">
        <x:f>D1145-E1145</x:f>
        <x:v>49232</x:v>
      </x:c>
      <x:c r="G1145" s="49" t="n">
        <x:v>1</x:v>
      </x:c>
      <x:c r="H1145" s="49" t="n">
        <x:v>0</x:v>
      </x:c>
      <x:c r="I1145" s="47" t="n">
        <x:v>0</x:v>
      </x:c>
      <x:c r="J1145" s="49" t="n">
        <x:v>2</x:v>
      </x:c>
      <x:c r="K1145" s="47" t="n">
        <x:v>49232</x:v>
      </x:c>
      <x:c r="L1145" s="47" t="n">
        <x:v>0</x:v>
      </x:c>
      <x:c r="M1145" s="48" t="n">
        <x:v>360.06666666666666</x:v>
      </x:c>
      <x:c r="N1145" s="48" t="n">
        <x:v>22.083333333333332</x:v>
      </x:c>
      <x:c r="O1145" s="49" t="n">
        <x:v>5</x:v>
      </x:c>
      <x:c r="P1145" s="1" t="str">
        <x:v>強い直近反証だけ方向変更し即時参加・中期否定で退出</x:v>
      </x:c>
      <x:c r="Q1145" s="49" t="n">
        <x:v>0</x:v>
      </x:c>
      <x:c r="R1145" s="50" t="n">
        <x:v>0.028311965811965812</x:v>
      </x:c>
      <x:c r="S1145" s="50" t="n">
        <x:v>0.028311965811965812</x:v>
      </x:c>
      <x:c r="T1145" s="1" t="str">
        <x:v>下落</x:v>
      </x:c>
      <x:c r="U1145" s="49" t="n">
        <x:v>1</x:v>
      </x:c>
    </x:row>
    <x:row r="1146" ht="22" customHeight="1">
      <x:c r="A1146" s="1" t="str">
        <x:v>日経mini</x:v>
      </x:c>
      <x:c r="B1146" s="1" t="str">
        <x:v>Z05</x:v>
      </x:c>
      <x:c r="C1146" s="1" t="str">
        <x:v>全50場</x:v>
      </x:c>
      <x:c r="D1146" s="47" t="n">
        <x:v>4249804</x:v>
      </x:c>
      <x:c r="E1146" s="47" t="n">
        <x:v>2094356</x:v>
      </x:c>
      <x:c r="F1146" s="47" t="n">
        <x:f>D1146-E1146</x:f>
        <x:v>2155448</x:v>
      </x:c>
      <x:c r="G1146" s="49" t="n">
        <x:v>33</x:v>
      </x:c>
      <x:c r="H1146" s="49" t="n">
        <x:v>17</x:v>
      </x:c>
      <x:c r="I1146" s="47" t="n">
        <x:v>1156368</x:v>
      </x:c>
      <x:c r="J1146" s="49" t="n">
        <x:v>108</x:v>
      </x:c>
      <x:c r="K1146" s="47" t="n">
        <x:v>-153304</x:v>
      </x:c>
      <x:c r="L1146" s="47" t="n">
        <x:v>60871.76470588235</x:v>
      </x:c>
      <x:c r="M1146" s="48" t="n">
        <x:v>239.14166666666668</x:v>
      </x:c>
      <x:c r="N1146" s="48" t="n">
        <x:v>88.35</x:v>
      </x:c>
      <x:c r="O1146" s="49" t="n">
        <x:v>5</x:v>
      </x:c>
      <x:c r="P1146" s="1" t="str">
        <x:v>強い直近反証だけ方向変更し即時参加・元停止追尾のみ</x:v>
      </x:c>
      <x:c r="Q1146" s="49" t="n">
        <x:v>0</x:v>
      </x:c>
      <x:c r="R1146" s="50" t="n">
        <x:v>0.19745494505494507</x:v>
      </x:c>
      <x:c r="S1146" s="50" t="n">
        <x:v>0.14725</x:v>
      </x:c>
      <x:c r="T1146" s="1" t="str">
        <x:v>全場</x:v>
      </x:c>
      <x:c r="U1146" s="49" t="n">
        <x:v>50</x:v>
      </x:c>
    </x:row>
    <x:row r="1147" ht="22" customHeight="1">
      <x:c r="A1147" s="1" t="str">
        <x:v>日経mini</x:v>
      </x:c>
      <x:c r="B1147" s="1" t="str">
        <x:v>Z05</x:v>
      </x:c>
      <x:c r="C1147" s="1" t="str">
        <x:v>全50場</x:v>
      </x:c>
      <x:c r="D1147" s="47" t="n">
        <x:v>2930864</x:v>
      </x:c>
      <x:c r="E1147" s="47" t="n">
        <x:v>1361672</x:v>
      </x:c>
      <x:c r="F1147" s="47" t="n">
        <x:f>D1147-E1147</x:f>
        <x:v>1569192</x:v>
      </x:c>
      <x:c r="G1147" s="49" t="n">
        <x:v>16</x:v>
      </x:c>
      <x:c r="H1147" s="49" t="n">
        <x:v>9</x:v>
      </x:c>
      <x:c r="I1147" s="47" t="n">
        <x:v>570112</x:v>
      </x:c>
      <x:c r="J1147" s="49" t="n">
        <x:v>62</x:v>
      </x:c>
      <x:c r="K1147" s="47" t="n">
        <x:v>-153304</x:v>
      </x:c>
      <x:c r="L1147" s="47" t="n">
        <x:v>75989.33333333333</x:v>
      </x:c>
      <x:c r="M1147" s="48" t="n">
        <x:v>118.31466666666667</x:v>
      </x:c>
      <x:c r="N1147" s="48" t="n">
        <x:v>153.21800000000002</x:v>
      </x:c>
      <x:c r="O1147" s="49" t="n">
        <x:v>5</x:v>
      </x:c>
      <x:c r="P1147" s="1" t="str">
        <x:v>強い直近反証だけ方向変更し即時参加・元停止追尾のみ</x:v>
      </x:c>
      <x:c r="Q1147" s="49" t="n">
        <x:v>0</x:v>
      </x:c>
      <x:c r="R1147" s="50" t="n">
        <x:v>0.36480476190476196</x:v>
      </x:c>
      <x:c r="S1147" s="50" t="n">
        <x:v>0.3648047619047619</x:v>
      </x:c>
      <x:c r="T1147" s="1" t="str">
        <x:v>デイ</x:v>
      </x:c>
      <x:c r="U1147" s="49" t="n">
        <x:v>25</x:v>
      </x:c>
    </x:row>
    <x:row r="1148" ht="22" customHeight="1">
      <x:c r="A1148" s="1" t="str">
        <x:v>日経mini</x:v>
      </x:c>
      <x:c r="B1148" s="1" t="str">
        <x:v>Z05</x:v>
      </x:c>
      <x:c r="C1148" s="1" t="str">
        <x:v>全50場</x:v>
      </x:c>
      <x:c r="D1148" s="47" t="n">
        <x:v>1318940</x:v>
      </x:c>
      <x:c r="E1148" s="47" t="n">
        <x:v>732684</x:v>
      </x:c>
      <x:c r="F1148" s="47" t="n">
        <x:f>D1148-E1148</x:f>
        <x:v>586256</x:v>
      </x:c>
      <x:c r="G1148" s="49" t="n">
        <x:v>17</x:v>
      </x:c>
      <x:c r="H1148" s="49" t="n">
        <x:v>8</x:v>
      </x:c>
      <x:c r="I1148" s="47" t="n">
        <x:v>205098</x:v>
      </x:c>
      <x:c r="J1148" s="49" t="n">
        <x:v>46</x:v>
      </x:c>
      <x:c r="K1148" s="47" t="n">
        <x:v>-80768</x:v>
      </x:c>
      <x:c r="L1148" s="47" t="n">
        <x:v>43864.5</x:v>
      </x:c>
      <x:c r="M1148" s="48" t="n">
        <x:v>359.9686666666666</x:v>
      </x:c>
      <x:c r="N1148" s="48" t="n">
        <x:v>23.482</x:v>
      </x:c>
      <x:c r="O1148" s="49" t="n">
        <x:v>5</x:v>
      </x:c>
      <x:c r="P1148" s="1" t="str">
        <x:v>強い直近反証だけ方向変更し即時参加・元停止追尾のみ</x:v>
      </x:c>
      <x:c r="Q1148" s="49" t="n">
        <x:v>0</x:v>
      </x:c>
      <x:c r="R1148" s="50" t="n">
        <x:v>0.030105128205128208</x:v>
      </x:c>
      <x:c r="S1148" s="50" t="n">
        <x:v>0.030105128205128204</x:v>
      </x:c>
      <x:c r="T1148" s="1" t="str">
        <x:v>ナイト</x:v>
      </x:c>
      <x:c r="U1148" s="49" t="n">
        <x:v>25</x:v>
      </x:c>
    </x:row>
    <x:row r="1149" ht="22" customHeight="1">
      <x:c r="A1149" s="1" t="str">
        <x:v>日経mini</x:v>
      </x:c>
      <x:c r="B1149" s="1" t="str">
        <x:v>Z05</x:v>
      </x:c>
      <x:c r="C1149" s="1" t="str">
        <x:v>全50場</x:v>
      </x:c>
      <x:c r="D1149" s="47" t="n">
        <x:v>1538474</x:v>
      </x:c>
      <x:c r="E1149" s="47" t="n">
        <x:v>1109986</x:v>
      </x:c>
      <x:c r="F1149" s="47" t="n">
        <x:f>D1149-E1149</x:f>
        <x:v>428488</x:v>
      </x:c>
      <x:c r="G1149" s="49" t="n">
        <x:v>14</x:v>
      </x:c>
      <x:c r="H1149" s="49" t="n">
        <x:v>10</x:v>
      </x:c>
      <x:c r="I1149" s="47" t="n">
        <x:v>-22976</x:v>
      </x:c>
      <x:c r="J1149" s="49" t="n">
        <x:v>47</x:v>
      </x:c>
      <x:c r="K1149" s="47" t="n">
        <x:v>-121920</x:v>
      </x:c>
      <x:c r="L1149" s="47" t="n">
        <x:v>63775.6</x:v>
      </x:c>
      <x:c r="M1149" s="48" t="n">
        <x:v>250.48055555555553</x:v>
      </x:c>
      <x:c r="N1149" s="48" t="n">
        <x:v>66.83333333333333</x:v>
      </x:c>
      <x:c r="O1149" s="49" t="n">
        <x:v>5</x:v>
      </x:c>
      <x:c r="P1149" s="1" t="str">
        <x:v>強い直近反証だけ方向変更し即時参加・元停止追尾のみ</x:v>
      </x:c>
      <x:c r="Q1149" s="49" t="n">
        <x:v>0</x:v>
      </x:c>
      <x:c r="R1149" s="50" t="n">
        <x:v>0.14718864468864468</x:v>
      </x:c>
      <x:c r="S1149" s="50" t="n">
        <x:v>0.10867208672086721</x:v>
      </x:c>
      <x:c r="T1149" s="1" t="str">
        <x:v>上昇</x:v>
      </x:c>
      <x:c r="U1149" s="49" t="n">
        <x:v>24</x:v>
      </x:c>
    </x:row>
    <x:row r="1150" ht="22" customHeight="1">
      <x:c r="A1150" s="1" t="str">
        <x:v>日経mini</x:v>
      </x:c>
      <x:c r="B1150" s="1" t="str">
        <x:v>Z05</x:v>
      </x:c>
      <x:c r="C1150" s="1" t="str">
        <x:v>全50場</x:v>
      </x:c>
      <x:c r="D1150" s="47" t="n">
        <x:v>2711330</x:v>
      </x:c>
      <x:c r="E1150" s="47" t="n">
        <x:v>984370</x:v>
      </x:c>
      <x:c r="F1150" s="47" t="n">
        <x:f>D1150-E1150</x:f>
        <x:v>1726960</x:v>
      </x:c>
      <x:c r="G1150" s="49" t="n">
        <x:v>19</x:v>
      </x:c>
      <x:c r="H1150" s="49" t="n">
        <x:v>7</x:v>
      </x:c>
      <x:c r="I1150" s="47" t="n">
        <x:v>727880</x:v>
      </x:c>
      <x:c r="J1150" s="49" t="n">
        <x:v>61</x:v>
      </x:c>
      <x:c r="K1150" s="47" t="n">
        <x:v>-153304</x:v>
      </x:c>
      <x:c r="L1150" s="47" t="n">
        <x:v>56723.42857142857</x:v>
      </x:c>
      <x:c r="M1150" s="48" t="n">
        <x:v>228.67500000000004</x:v>
      </x:c>
      <x:c r="N1150" s="48" t="n">
        <x:v>108.21153846153848</x:v>
      </x:c>
      <x:c r="O1150" s="49" t="n">
        <x:v>5</x:v>
      </x:c>
      <x:c r="P1150" s="1" t="str">
        <x:v>強い直近反証だけ方向変更し即時参加・元停止追尾のみ</x:v>
      </x:c>
      <x:c r="Q1150" s="49" t="n">
        <x:v>0</x:v>
      </x:c>
      <x:c r="R1150" s="50" t="n">
        <x:v>0.24385460693153002</x:v>
      </x:c>
      <x:c r="S1150" s="50" t="n">
        <x:v>0.18461286089238846</x:v>
      </x:c>
      <x:c r="T1150" s="1" t="str">
        <x:v>下落</x:v>
      </x:c>
      <x:c r="U1150" s="49" t="n">
        <x:v>26</x:v>
      </x:c>
    </x:row>
    <x:row r="1151" ht="22" customHeight="1">
      <x:c r="A1151" s="1" t="str">
        <x:v>日経mini</x:v>
      </x:c>
      <x:c r="B1151" s="1" t="str">
        <x:v>Z05</x:v>
      </x:c>
      <x:c r="C1151" s="1" t="str">
        <x:v>対照47場</x:v>
      </x:c>
      <x:c r="D1151" s="47" t="n">
        <x:v>4110572</x:v>
      </x:c>
      <x:c r="E1151" s="47" t="n">
        <x:v>1993588</x:v>
      </x:c>
      <x:c r="F1151" s="47" t="n">
        <x:f>D1151-E1151</x:f>
        <x:v>2116984</x:v>
      </x:c>
      <x:c r="G1151" s="49" t="n">
        <x:v>31</x:v>
      </x:c>
      <x:c r="H1151" s="49" t="n">
        <x:v>16</x:v>
      </x:c>
      <x:c r="I1151" s="47" t="n">
        <x:v>1117904</x:v>
      </x:c>
      <x:c r="J1151" s="49" t="n">
        <x:v>104</x:v>
      </x:c>
      <x:c r="K1151" s="47" t="n">
        <x:v>-153304</x:v>
      </x:c>
      <x:c r="L1151" s="47" t="n">
        <x:v>61839.75</x:v>
      </x:c>
      <x:c r="M1151" s="48" t="n">
        <x:v>236.14078014184398</x:v>
      </x:c>
      <x:c r="N1151" s="48" t="n">
        <x:v>93.38581560283687</x:v>
      </x:c>
      <x:c r="O1151" s="49" t="n">
        <x:v>5</x:v>
      </x:c>
      <x:c r="P1151" s="1" t="str">
        <x:v>強い直近反証だけ方向変更し即時参加・元停止追尾のみ</x:v>
      </x:c>
      <x:c r="Q1151" s="49" t="n">
        <x:v>0</x:v>
      </x:c>
      <x:c r="R1151" s="50" t="n">
        <x:v>0.2091856961005897</x:v>
      </x:c>
      <x:c r="S1151" s="50" t="n">
        <x:v>0.15664287413752082</x:v>
      </x:c>
      <x:c r="T1151" s="1" t="str">
        <x:v>全場</x:v>
      </x:c>
      <x:c r="U1151" s="49" t="n">
        <x:v>47</x:v>
      </x:c>
    </x:row>
    <x:row r="1152" ht="22" customHeight="1">
      <x:c r="A1152" s="1" t="str">
        <x:v>日経mini</x:v>
      </x:c>
      <x:c r="B1152" s="1" t="str">
        <x:v>Z05</x:v>
      </x:c>
      <x:c r="C1152" s="1" t="str">
        <x:v>対照47場</x:v>
      </x:c>
      <x:c r="D1152" s="47" t="n">
        <x:v>2930864</x:v>
      </x:c>
      <x:c r="E1152" s="47" t="n">
        <x:v>1316288</x:v>
      </x:c>
      <x:c r="F1152" s="47" t="n">
        <x:f>D1152-E1152</x:f>
        <x:v>1614576</x:v>
      </x:c>
      <x:c r="G1152" s="49" t="n">
        <x:v>16</x:v>
      </x:c>
      <x:c r="H1152" s="49" t="n">
        <x:v>8</x:v>
      </x:c>
      <x:c r="I1152" s="47" t="n">
        <x:v>615496</x:v>
      </x:c>
      <x:c r="J1152" s="49" t="n">
        <x:v>61</x:v>
      </x:c>
      <x:c r="K1152" s="47" t="n">
        <x:v>-153304</x:v>
      </x:c>
      <x:c r="L1152" s="47" t="n">
        <x:v>79815</x:v>
      </x:c>
      <x:c r="M1152" s="48" t="n">
        <x:v>117.47916666666667</x:v>
      </x:c>
      <x:c r="N1152" s="48" t="n">
        <x:v>159.42569444444447</x:v>
      </x:c>
      <x:c r="O1152" s="49" t="n">
        <x:v>5</x:v>
      </x:c>
      <x:c r="P1152" s="1" t="str">
        <x:v>強い直近反証だけ方向変更し即時参加・元停止追尾のみ</x:v>
      </x:c>
      <x:c r="Q1152" s="49" t="n">
        <x:v>0</x:v>
      </x:c>
      <x:c r="R1152" s="50" t="n">
        <x:v>0.3795849867724868</x:v>
      </x:c>
      <x:c r="S1152" s="50" t="n">
        <x:v>0.37958498677248675</x:v>
      </x:c>
      <x:c r="T1152" s="1" t="str">
        <x:v>デイ</x:v>
      </x:c>
      <x:c r="U1152" s="49" t="n">
        <x:v>24</x:v>
      </x:c>
    </x:row>
    <x:row r="1153" ht="22" customHeight="1">
      <x:c r="A1153" s="1" t="str">
        <x:v>日経mini</x:v>
      </x:c>
      <x:c r="B1153" s="1" t="str">
        <x:v>Z05</x:v>
      </x:c>
      <x:c r="C1153" s="1" t="str">
        <x:v>対照47場</x:v>
      </x:c>
      <x:c r="D1153" s="47" t="n">
        <x:v>1179708</x:v>
      </x:c>
      <x:c r="E1153" s="47" t="n">
        <x:v>677300</x:v>
      </x:c>
      <x:c r="F1153" s="47" t="n">
        <x:f>D1153-E1153</x:f>
        <x:v>502408</x:v>
      </x:c>
      <x:c r="G1153" s="49" t="n">
        <x:v>15</x:v>
      </x:c>
      <x:c r="H1153" s="49" t="n">
        <x:v>8</x:v>
      </x:c>
      <x:c r="I1153" s="47" t="n">
        <x:v>121250</x:v>
      </x:c>
      <x:c r="J1153" s="49" t="n">
        <x:v>43</x:v>
      </x:c>
      <x:c r="K1153" s="47" t="n">
        <x:v>-80768</x:v>
      </x:c>
      <x:c r="L1153" s="47" t="n">
        <x:v>43864.5</x:v>
      </x:c>
      <x:c r="M1153" s="48" t="n">
        <x:v>359.96159420289854</x:v>
      </x:c>
      <x:c r="N1153" s="48" t="n">
        <x:v>24.474637681159418</x:v>
      </x:c>
      <x:c r="O1153" s="49" t="n">
        <x:v>5</x:v>
      </x:c>
      <x:c r="P1153" s="1" t="str">
        <x:v>強い直近反証だけ方向変更し即時参加・元停止追尾のみ</x:v>
      </x:c>
      <x:c r="Q1153" s="49" t="n">
        <x:v>0</x:v>
      </x:c>
      <x:c r="R1153" s="50" t="n">
        <x:v>0.031377740616871055</x:v>
      </x:c>
      <x:c r="S1153" s="50" t="n">
        <x:v>0.03137774061687105</x:v>
      </x:c>
      <x:c r="T1153" s="1" t="str">
        <x:v>ナイト</x:v>
      </x:c>
      <x:c r="U1153" s="49" t="n">
        <x:v>23</x:v>
      </x:c>
    </x:row>
    <x:row r="1154" ht="22" customHeight="1">
      <x:c r="A1154" s="1" t="str">
        <x:v>日経mini</x:v>
      </x:c>
      <x:c r="B1154" s="1" t="str">
        <x:v>Z05</x:v>
      </x:c>
      <x:c r="C1154" s="1" t="str">
        <x:v>対照47場</x:v>
      </x:c>
      <x:c r="D1154" s="47" t="n">
        <x:v>1503858</x:v>
      </x:c>
      <x:c r="E1154" s="47" t="n">
        <x:v>1064602</x:v>
      </x:c>
      <x:c r="F1154" s="47" t="n">
        <x:f>D1154-E1154</x:f>
        <x:v>439256</x:v>
      </x:c>
      <x:c r="G1154" s="49" t="n">
        <x:v>13</x:v>
      </x:c>
      <x:c r="H1154" s="49" t="n">
        <x:v>9</x:v>
      </x:c>
      <x:c r="I1154" s="47" t="n">
        <x:v>-12208</x:v>
      </x:c>
      <x:c r="J1154" s="49" t="n">
        <x:v>45</x:v>
      </x:c>
      <x:c r="K1154" s="47" t="n">
        <x:v>-121920</x:v>
      </x:c>
      <x:c r="L1154" s="47" t="n">
        <x:v>65819.11111111111</x:v>
      </x:c>
      <x:c r="M1154" s="48" t="n">
        <x:v>250.5969696969697</x:v>
      </x:c>
      <x:c r="N1154" s="48" t="n">
        <x:v>72.62348484848485</x:v>
      </x:c>
      <x:c r="O1154" s="49" t="n">
        <x:v>5</x:v>
      </x:c>
      <x:c r="P1154" s="1" t="str">
        <x:v>強い直近反証だけ方向変更し即時参加・元停止追尾のみ</x:v>
      </x:c>
      <x:c r="Q1154" s="49" t="n">
        <x:v>0</x:v>
      </x:c>
      <x:c r="R1154" s="50" t="n">
        <x:v>0.1599918137418137</x:v>
      </x:c>
      <x:c r="S1154" s="50" t="n">
        <x:v>0.11782571288102262</x:v>
      </x:c>
      <x:c r="T1154" s="1" t="str">
        <x:v>上昇</x:v>
      </x:c>
      <x:c r="U1154" s="49" t="n">
        <x:v>22</x:v>
      </x:c>
    </x:row>
    <x:row r="1155" ht="22" customHeight="1">
      <x:c r="A1155" s="1" t="str">
        <x:v>日経mini</x:v>
      </x:c>
      <x:c r="B1155" s="1" t="str">
        <x:v>Z05</x:v>
      </x:c>
      <x:c r="C1155" s="1" t="str">
        <x:v>対照47場</x:v>
      </x:c>
      <x:c r="D1155" s="47" t="n">
        <x:v>2606714</x:v>
      </x:c>
      <x:c r="E1155" s="47" t="n">
        <x:v>928986</x:v>
      </x:c>
      <x:c r="F1155" s="47" t="n">
        <x:f>D1155-E1155</x:f>
        <x:v>1677728</x:v>
      </x:c>
      <x:c r="G1155" s="49" t="n">
        <x:v>18</x:v>
      </x:c>
      <x:c r="H1155" s="49" t="n">
        <x:v>7</x:v>
      </x:c>
      <x:c r="I1155" s="47" t="n">
        <x:v>678648</x:v>
      </x:c>
      <x:c r="J1155" s="49" t="n">
        <x:v>59</x:v>
      </x:c>
      <x:c r="K1155" s="47" t="n">
        <x:v>-153304</x:v>
      </x:c>
      <x:c r="L1155" s="47" t="n">
        <x:v>56723.42857142857</x:v>
      </x:c>
      <x:c r="M1155" s="48" t="n">
        <x:v>223.41933333333338</x:v>
      </x:c>
      <x:c r="N1155" s="48" t="n">
        <x:v>111.65666666666668</x:v>
      </x:c>
      <x:c r="O1155" s="49" t="n">
        <x:v>5</x:v>
      </x:c>
      <x:c r="P1155" s="1" t="str">
        <x:v>強い直近反証だけ方向変更し即時参加・元停止追尾のみ</x:v>
      </x:c>
      <x:c r="Q1155" s="49" t="n">
        <x:v>0</x:v>
      </x:c>
      <x:c r="R1155" s="50" t="n">
        <x:v>0.2524763125763126</x:v>
      </x:c>
      <x:c r="S1155" s="50" t="n">
        <x:v>0.1930440295066851</x:v>
      </x:c>
      <x:c r="T1155" s="1" t="str">
        <x:v>下落</x:v>
      </x:c>
      <x:c r="U1155" s="49" t="n">
        <x:v>25</x:v>
      </x:c>
    </x:row>
    <x:row r="1156" ht="22" customHeight="1">
      <x:c r="A1156" s="1" t="str">
        <x:v>日経mini</x:v>
      </x:c>
      <x:c r="B1156" s="1" t="str">
        <x:v>Z05</x:v>
      </x:c>
      <x:c r="C1156" s="1" t="str">
        <x:v>診断3場</x:v>
      </x:c>
      <x:c r="D1156" s="47" t="n">
        <x:v>139232</x:v>
      </x:c>
      <x:c r="E1156" s="47" t="n">
        <x:v>100768</x:v>
      </x:c>
      <x:c r="F1156" s="47" t="n">
        <x:f>D1156-E1156</x:f>
        <x:v>38464</x:v>
      </x:c>
      <x:c r="G1156" s="49" t="n">
        <x:v>2</x:v>
      </x:c>
      <x:c r="H1156" s="49" t="n">
        <x:v>1</x:v>
      </x:c>
      <x:c r="I1156" s="47" t="n">
        <x:v>-45384</x:v>
      </x:c>
      <x:c r="J1156" s="49" t="n">
        <x:v>4</x:v>
      </x:c>
      <x:c r="K1156" s="47" t="n">
        <x:v>-45384</x:v>
      </x:c>
      <x:c r="L1156" s="47" t="n">
        <x:v>45384</x:v>
      </x:c>
      <x:c r="M1156" s="48" t="n">
        <x:v>286.15555555555557</x:v>
      </x:c>
      <x:c r="N1156" s="48" t="n">
        <x:v>9.455555555555556</x:v>
      </x:c>
      <x:c r="O1156" s="49" t="n">
        <x:v>5</x:v>
      </x:c>
      <x:c r="P1156" s="1" t="str">
        <x:v>強い直近反証だけ方向変更し即時参加・元停止追尾のみ</x:v>
      </x:c>
      <x:c r="Q1156" s="49" t="n">
        <x:v>0</x:v>
      </x:c>
      <x:c r="R1156" s="50" t="n">
        <x:v>0.013673178673178674</x:v>
      </x:c>
      <x:c r="S1156" s="50" t="n">
        <x:v>0.014326599326599326</x:v>
      </x:c>
      <x:c r="T1156" s="1" t="str">
        <x:v>全場</x:v>
      </x:c>
      <x:c r="U1156" s="49" t="n">
        <x:v>3</x:v>
      </x:c>
    </x:row>
    <x:row r="1157" ht="22" customHeight="1">
      <x:c r="A1157" s="1" t="str">
        <x:v>日経mini</x:v>
      </x:c>
      <x:c r="B1157" s="1" t="str">
        <x:v>Z05</x:v>
      </x:c>
      <x:c r="C1157" s="1" t="str">
        <x:v>診断3場</x:v>
      </x:c>
      <x:c r="D1157" s="47" t="n">
        <x:v>0</x:v>
      </x:c>
      <x:c r="E1157" s="47" t="n">
        <x:v>45384</x:v>
      </x:c>
      <x:c r="F1157" s="47" t="n">
        <x:f>D1157-E1157</x:f>
        <x:v>-45384</x:v>
      </x:c>
      <x:c r="G1157" s="49" t="n">
        <x:v>0</x:v>
      </x:c>
      <x:c r="H1157" s="49" t="n">
        <x:v>1</x:v>
      </x:c>
      <x:c r="I1157" s="47" t="n">
        <x:v>-45384</x:v>
      </x:c>
      <x:c r="J1157" s="49" t="n">
        <x:v>1</x:v>
      </x:c>
      <x:c r="K1157" s="47" t="n">
        <x:v>-45384</x:v>
      </x:c>
      <x:c r="L1157" s="47" t="n">
        <x:v>45384</x:v>
      </x:c>
      <x:c r="M1157" s="48" t="n">
        <x:v>138.36666666666667</x:v>
      </x:c>
      <x:c r="N1157" s="48" t="n">
        <x:v>4.233333333333333</x:v>
      </x:c>
      <x:c r="O1157" s="49" t="n">
        <x:v>5</x:v>
      </x:c>
      <x:c r="P1157" s="1" t="str">
        <x:v>強い直近反証だけ方向変更し即時参加・元停止追尾のみ</x:v>
      </x:c>
      <x:c r="Q1157" s="49" t="n">
        <x:v>0</x:v>
      </x:c>
      <x:c r="R1157" s="50" t="n">
        <x:v>0.010079365079365079</x:v>
      </x:c>
      <x:c r="S1157" s="50" t="n">
        <x:v>0.01007936507936508</x:v>
      </x:c>
      <x:c r="T1157" s="1" t="str">
        <x:v>デイ</x:v>
      </x:c>
      <x:c r="U1157" s="49" t="n">
        <x:v>1</x:v>
      </x:c>
    </x:row>
    <x:row r="1158" ht="22" customHeight="1">
      <x:c r="A1158" s="1" t="str">
        <x:v>日経mini</x:v>
      </x:c>
      <x:c r="B1158" s="1" t="str">
        <x:v>Z05</x:v>
      </x:c>
      <x:c r="C1158" s="1" t="str">
        <x:v>診断3場</x:v>
      </x:c>
      <x:c r="D1158" s="47" t="n">
        <x:v>139232</x:v>
      </x:c>
      <x:c r="E1158" s="47" t="n">
        <x:v>55384</x:v>
      </x:c>
      <x:c r="F1158" s="47" t="n">
        <x:f>D1158-E1158</x:f>
        <x:v>83848</x:v>
      </x:c>
      <x:c r="G1158" s="49" t="n">
        <x:v>2</x:v>
      </x:c>
      <x:c r="H1158" s="49" t="n">
        <x:v>0</x:v>
      </x:c>
      <x:c r="I1158" s="47" t="n">
        <x:v>0</x:v>
      </x:c>
      <x:c r="J1158" s="49" t="n">
        <x:v>3</x:v>
      </x:c>
      <x:c r="K1158" s="47" t="n">
        <x:v>34616</x:v>
      </x:c>
      <x:c r="L1158" s="47" t="n">
        <x:v>0</x:v>
      </x:c>
      <x:c r="M1158" s="48" t="n">
        <x:v>360.05</x:v>
      </x:c>
      <x:c r="N1158" s="48" t="n">
        <x:v>12.066666666666666</x:v>
      </x:c>
      <x:c r="O1158" s="49" t="n">
        <x:v>5</x:v>
      </x:c>
      <x:c r="P1158" s="1" t="str">
        <x:v>強い直近反証だけ方向変更し即時参加・元停止追尾のみ</x:v>
      </x:c>
      <x:c r="Q1158" s="49" t="n">
        <x:v>0</x:v>
      </x:c>
      <x:c r="R1158" s="50" t="n">
        <x:v>0.01547008547008547</x:v>
      </x:c>
      <x:c r="S1158" s="50" t="n">
        <x:v>0.01547008547008547</x:v>
      </x:c>
      <x:c r="T1158" s="1" t="str">
        <x:v>ナイト</x:v>
      </x:c>
      <x:c r="U1158" s="49" t="n">
        <x:v>2</x:v>
      </x:c>
    </x:row>
    <x:row r="1159" ht="22" customHeight="1">
      <x:c r="A1159" s="1" t="str">
        <x:v>日経mini</x:v>
      </x:c>
      <x:c r="B1159" s="1" t="str">
        <x:v>Z05</x:v>
      </x:c>
      <x:c r="C1159" s="1" t="str">
        <x:v>診断3場</x:v>
      </x:c>
      <x:c r="D1159" s="47" t="n">
        <x:v>34616</x:v>
      </x:c>
      <x:c r="E1159" s="47" t="n">
        <x:v>45384</x:v>
      </x:c>
      <x:c r="F1159" s="47" t="n">
        <x:f>D1159-E1159</x:f>
        <x:v>-10768</x:v>
      </x:c>
      <x:c r="G1159" s="49" t="n">
        <x:v>1</x:v>
      </x:c>
      <x:c r="H1159" s="49" t="n">
        <x:v>1</x:v>
      </x:c>
      <x:c r="I1159" s="47" t="n">
        <x:v>-45384</x:v>
      </x:c>
      <x:c r="J1159" s="49" t="n">
        <x:v>2</x:v>
      </x:c>
      <x:c r="K1159" s="47" t="n">
        <x:v>-45384</x:v>
      </x:c>
      <x:c r="L1159" s="47" t="n">
        <x:v>45384</x:v>
      </x:c>
      <x:c r="M1159" s="48" t="n">
        <x:v>249.20000000000002</x:v>
      </x:c>
      <x:c r="N1159" s="48" t="n">
        <x:v>3.1416666666666666</x:v>
      </x:c>
      <x:c r="O1159" s="49" t="n">
        <x:v>5</x:v>
      </x:c>
      <x:c r="P1159" s="1" t="str">
        <x:v>強い直近反証だけ方向変更し即時参加・元停止追尾のみ</x:v>
      </x:c>
      <x:c r="Q1159" s="49" t="n">
        <x:v>0</x:v>
      </x:c>
      <x:c r="R1159" s="50" t="n">
        <x:v>0.006353785103785104</x:v>
      </x:c>
      <x:c r="S1159" s="50" t="n">
        <x:v>0.005236111111111111</x:v>
      </x:c>
      <x:c r="T1159" s="1" t="str">
        <x:v>上昇</x:v>
      </x:c>
      <x:c r="U1159" s="49" t="n">
        <x:v>2</x:v>
      </x:c>
    </x:row>
    <x:row r="1160" ht="22" customHeight="1">
      <x:c r="A1160" s="1" t="str">
        <x:v>日経mini</x:v>
      </x:c>
      <x:c r="B1160" s="1" t="str">
        <x:v>Z05</x:v>
      </x:c>
      <x:c r="C1160" s="1" t="str">
        <x:v>診断3場</x:v>
      </x:c>
      <x:c r="D1160" s="47" t="n">
        <x:v>104616</x:v>
      </x:c>
      <x:c r="E1160" s="47" t="n">
        <x:v>55384</x:v>
      </x:c>
      <x:c r="F1160" s="47" t="n">
        <x:f>D1160-E1160</x:f>
        <x:v>49232</x:v>
      </x:c>
      <x:c r="G1160" s="49" t="n">
        <x:v>1</x:v>
      </x:c>
      <x:c r="H1160" s="49" t="n">
        <x:v>0</x:v>
      </x:c>
      <x:c r="I1160" s="47" t="n">
        <x:v>0</x:v>
      </x:c>
      <x:c r="J1160" s="49" t="n">
        <x:v>2</x:v>
      </x:c>
      <x:c r="K1160" s="47" t="n">
        <x:v>49232</x:v>
      </x:c>
      <x:c r="L1160" s="47" t="n">
        <x:v>0</x:v>
      </x:c>
      <x:c r="M1160" s="48" t="n">
        <x:v>360.06666666666666</x:v>
      </x:c>
      <x:c r="N1160" s="48" t="n">
        <x:v>22.083333333333332</x:v>
      </x:c>
      <x:c r="O1160" s="49" t="n">
        <x:v>5</x:v>
      </x:c>
      <x:c r="P1160" s="1" t="str">
        <x:v>強い直近反証だけ方向変更し即時参加・元停止追尾のみ</x:v>
      </x:c>
      <x:c r="Q1160" s="49" t="n">
        <x:v>0</x:v>
      </x:c>
      <x:c r="R1160" s="50" t="n">
        <x:v>0.028311965811965812</x:v>
      </x:c>
      <x:c r="S1160" s="50" t="n">
        <x:v>0.028311965811965812</x:v>
      </x:c>
      <x:c r="T1160" s="1" t="str">
        <x:v>下落</x:v>
      </x:c>
      <x:c r="U1160" s="49" t="n">
        <x:v>1</x:v>
      </x:c>
    </x:row>
    <x:row r="1161" ht="22" customHeight="1">
      <x:c r="A1161" s="1" t="str">
        <x:v>日経mini</x:v>
      </x:c>
      <x:c r="B1161" s="1" t="str">
        <x:v>Z06</x:v>
      </x:c>
      <x:c r="C1161" s="1" t="str">
        <x:v>全50場</x:v>
      </x:c>
      <x:c r="D1161" s="47" t="n">
        <x:v>4190494</x:v>
      </x:c>
      <x:c r="E1161" s="47" t="n">
        <x:v>2033126</x:v>
      </x:c>
      <x:c r="F1161" s="47" t="n">
        <x:f>D1161-E1161</x:f>
        <x:v>2157368</x:v>
      </x:c>
      <x:c r="G1161" s="49" t="n">
        <x:v>33</x:v>
      </x:c>
      <x:c r="H1161" s="49" t="n">
        <x:v>17</x:v>
      </x:c>
      <x:c r="I1161" s="47" t="n">
        <x:v>1158288</x:v>
      </x:c>
      <x:c r="J1161" s="49" t="n">
        <x:v>108</x:v>
      </x:c>
      <x:c r="K1161" s="47" t="n">
        <x:v>-153304</x:v>
      </x:c>
      <x:c r="L1161" s="47" t="n">
        <x:v>61740.58823529412</x:v>
      </x:c>
      <x:c r="M1161" s="48" t="n">
        <x:v>239.14166666666668</x:v>
      </x:c>
      <x:c r="N1161" s="48" t="n">
        <x:v>88.03800000000001</x:v>
      </x:c>
      <x:c r="O1161" s="49" t="n">
        <x:v>5</x:v>
      </x:c>
      <x:c r="P1161" s="1" t="str">
        <x:v>強い直近反証だけ方向変更し即時参加・中期否定で退出・短期と原板の逆行で初回半減</x:v>
      </x:c>
      <x:c r="Q1161" s="49" t="n">
        <x:v>0</x:v>
      </x:c>
      <x:c r="R1161" s="50" t="n">
        <x:v>0.19705494505494506</x:v>
      </x:c>
      <x:c r="S1161" s="50" t="n">
        <x:v>0.14673</x:v>
      </x:c>
      <x:c r="T1161" s="1" t="str">
        <x:v>全場</x:v>
      </x:c>
      <x:c r="U1161" s="49" t="n">
        <x:v>50</x:v>
      </x:c>
    </x:row>
    <x:row r="1162" ht="22" customHeight="1">
      <x:c r="A1162" s="1" t="str">
        <x:v>日経mini</x:v>
      </x:c>
      <x:c r="B1162" s="1" t="str">
        <x:v>Z06</x:v>
      </x:c>
      <x:c r="C1162" s="1" t="str">
        <x:v>全50場</x:v>
      </x:c>
      <x:c r="D1162" s="47" t="n">
        <x:v>2930864</x:v>
      </x:c>
      <x:c r="E1162" s="47" t="n">
        <x:v>1361672</x:v>
      </x:c>
      <x:c r="F1162" s="47" t="n">
        <x:f>D1162-E1162</x:f>
        <x:v>1569192</x:v>
      </x:c>
      <x:c r="G1162" s="49" t="n">
        <x:v>16</x:v>
      </x:c>
      <x:c r="H1162" s="49" t="n">
        <x:v>9</x:v>
      </x:c>
      <x:c r="I1162" s="47" t="n">
        <x:v>570112</x:v>
      </x:c>
      <x:c r="J1162" s="49" t="n">
        <x:v>62</x:v>
      </x:c>
      <x:c r="K1162" s="47" t="n">
        <x:v>-153304</x:v>
      </x:c>
      <x:c r="L1162" s="47" t="n">
        <x:v>75989.33333333333</x:v>
      </x:c>
      <x:c r="M1162" s="48" t="n">
        <x:v>118.31466666666667</x:v>
      </x:c>
      <x:c r="N1162" s="48" t="n">
        <x:v>153.21800000000002</x:v>
      </x:c>
      <x:c r="O1162" s="49" t="n">
        <x:v>5</x:v>
      </x:c>
      <x:c r="P1162" s="1" t="str">
        <x:v>強い直近反証だけ方向変更し即時参加・中期否定で退出・短期と原板の逆行で初回半減</x:v>
      </x:c>
      <x:c r="Q1162" s="49" t="n">
        <x:v>0</x:v>
      </x:c>
      <x:c r="R1162" s="50" t="n">
        <x:v>0.36480476190476196</x:v>
      </x:c>
      <x:c r="S1162" s="50" t="n">
        <x:v>0.3648047619047619</x:v>
      </x:c>
      <x:c r="T1162" s="1" t="str">
        <x:v>デイ</x:v>
      </x:c>
      <x:c r="U1162" s="49" t="n">
        <x:v>25</x:v>
      </x:c>
    </x:row>
    <x:row r="1163" ht="22" customHeight="1">
      <x:c r="A1163" s="1" t="str">
        <x:v>日経mini</x:v>
      </x:c>
      <x:c r="B1163" s="1" t="str">
        <x:v>Z06</x:v>
      </x:c>
      <x:c r="C1163" s="1" t="str">
        <x:v>全50場</x:v>
      </x:c>
      <x:c r="D1163" s="47" t="n">
        <x:v>1259630</x:v>
      </x:c>
      <x:c r="E1163" s="47" t="n">
        <x:v>671454</x:v>
      </x:c>
      <x:c r="F1163" s="47" t="n">
        <x:f>D1163-E1163</x:f>
        <x:v>588176</x:v>
      </x:c>
      <x:c r="G1163" s="49" t="n">
        <x:v>17</x:v>
      </x:c>
      <x:c r="H1163" s="49" t="n">
        <x:v>8</x:v>
      </x:c>
      <x:c r="I1163" s="47" t="n">
        <x:v>179018</x:v>
      </x:c>
      <x:c r="J1163" s="49" t="n">
        <x:v>46</x:v>
      </x:c>
      <x:c r="K1163" s="47" t="n">
        <x:v>-80768</x:v>
      </x:c>
      <x:c r="L1163" s="47" t="n">
        <x:v>45710.75</x:v>
      </x:c>
      <x:c r="M1163" s="48" t="n">
        <x:v>359.9686666666666</x:v>
      </x:c>
      <x:c r="N1163" s="48" t="n">
        <x:v>22.857999999999997</x:v>
      </x:c>
      <x:c r="O1163" s="49" t="n">
        <x:v>5</x:v>
      </x:c>
      <x:c r="P1163" s="1" t="str">
        <x:v>強い直近反証だけ方向変更し即時参加・中期否定で退出・短期と原板の逆行で初回半減</x:v>
      </x:c>
      <x:c r="Q1163" s="49" t="n">
        <x:v>0</x:v>
      </x:c>
      <x:c r="R1163" s="50" t="n">
        <x:v>0.029305128205128206</x:v>
      </x:c>
      <x:c r="S1163" s="50" t="n">
        <x:v>0.029305128205128206</x:v>
      </x:c>
      <x:c r="T1163" s="1" t="str">
        <x:v>ナイト</x:v>
      </x:c>
      <x:c r="U1163" s="49" t="n">
        <x:v>25</x:v>
      </x:c>
    </x:row>
    <x:row r="1164" ht="22" customHeight="1">
      <x:c r="A1164" s="1" t="str">
        <x:v>日経mini</x:v>
      </x:c>
      <x:c r="B1164" s="1" t="str">
        <x:v>Z06</x:v>
      </x:c>
      <x:c r="C1164" s="1" t="str">
        <x:v>全50場</x:v>
      </x:c>
      <x:c r="D1164" s="47" t="n">
        <x:v>1538474</x:v>
      </x:c>
      <x:c r="E1164" s="47" t="n">
        <x:v>1109986</x:v>
      </x:c>
      <x:c r="F1164" s="47" t="n">
        <x:f>D1164-E1164</x:f>
        <x:v>428488</x:v>
      </x:c>
      <x:c r="G1164" s="49" t="n">
        <x:v>14</x:v>
      </x:c>
      <x:c r="H1164" s="49" t="n">
        <x:v>10</x:v>
      </x:c>
      <x:c r="I1164" s="47" t="n">
        <x:v>-22976</x:v>
      </x:c>
      <x:c r="J1164" s="49" t="n">
        <x:v>47</x:v>
      </x:c>
      <x:c r="K1164" s="47" t="n">
        <x:v>-121920</x:v>
      </x:c>
      <x:c r="L1164" s="47" t="n">
        <x:v>63775.6</x:v>
      </x:c>
      <x:c r="M1164" s="48" t="n">
        <x:v>250.48055555555553</x:v>
      </x:c>
      <x:c r="N1164" s="48" t="n">
        <x:v>66.83333333333333</x:v>
      </x:c>
      <x:c r="O1164" s="49" t="n">
        <x:v>5</x:v>
      </x:c>
      <x:c r="P1164" s="1" t="str">
        <x:v>強い直近反証だけ方向変更し即時参加・中期否定で退出・短期と原板の逆行で初回半減</x:v>
      </x:c>
      <x:c r="Q1164" s="49" t="n">
        <x:v>0</x:v>
      </x:c>
      <x:c r="R1164" s="50" t="n">
        <x:v>0.14718864468864468</x:v>
      </x:c>
      <x:c r="S1164" s="50" t="n">
        <x:v>0.10867208672086721</x:v>
      </x:c>
      <x:c r="T1164" s="1" t="str">
        <x:v>上昇</x:v>
      </x:c>
      <x:c r="U1164" s="49" t="n">
        <x:v>24</x:v>
      </x:c>
    </x:row>
    <x:row r="1165" ht="22" customHeight="1">
      <x:c r="A1165" s="1" t="str">
        <x:v>日経mini</x:v>
      </x:c>
      <x:c r="B1165" s="1" t="str">
        <x:v>Z06</x:v>
      </x:c>
      <x:c r="C1165" s="1" t="str">
        <x:v>全50場</x:v>
      </x:c>
      <x:c r="D1165" s="47" t="n">
        <x:v>2652020</x:v>
      </x:c>
      <x:c r="E1165" s="47" t="n">
        <x:v>923140</x:v>
      </x:c>
      <x:c r="F1165" s="47" t="n">
        <x:f>D1165-E1165</x:f>
        <x:v>1728880</x:v>
      </x:c>
      <x:c r="G1165" s="49" t="n">
        <x:v>19</x:v>
      </x:c>
      <x:c r="H1165" s="49" t="n">
        <x:v>7</x:v>
      </x:c>
      <x:c r="I1165" s="47" t="n">
        <x:v>729800</x:v>
      </x:c>
      <x:c r="J1165" s="49" t="n">
        <x:v>61</x:v>
      </x:c>
      <x:c r="K1165" s="47" t="n">
        <x:v>-153304</x:v>
      </x:c>
      <x:c r="L1165" s="47" t="n">
        <x:v>58833.42857142857</x:v>
      </x:c>
      <x:c r="M1165" s="48" t="n">
        <x:v>228.67500000000004</x:v>
      </x:c>
      <x:c r="N1165" s="48" t="n">
        <x:v>107.61153846153846</x:v>
      </x:c>
      <x:c r="O1165" s="49" t="n">
        <x:v>5</x:v>
      </x:c>
      <x:c r="P1165" s="1" t="str">
        <x:v>強い直近反証だけ方向変更し即時参加・中期否定で退出・短期と原板の逆行で初回半減</x:v>
      </x:c>
      <x:c r="Q1165" s="49" t="n">
        <x:v>0</x:v>
      </x:c>
      <x:c r="R1165" s="50" t="n">
        <x:v>0.2430853761622992</x:v>
      </x:c>
      <x:c r="S1165" s="50" t="n">
        <x:v>0.18358923884514436</x:v>
      </x:c>
      <x:c r="T1165" s="1" t="str">
        <x:v>下落</x:v>
      </x:c>
      <x:c r="U1165" s="49" t="n">
        <x:v>26</x:v>
      </x:c>
    </x:row>
    <x:row r="1166" ht="22" customHeight="1">
      <x:c r="A1166" s="1" t="str">
        <x:v>日経mini</x:v>
      </x:c>
      <x:c r="B1166" s="1" t="str">
        <x:v>Z06</x:v>
      </x:c>
      <x:c r="C1166" s="1" t="str">
        <x:v>対照47場</x:v>
      </x:c>
      <x:c r="D1166" s="47" t="n">
        <x:v>4051262</x:v>
      </x:c>
      <x:c r="E1166" s="47" t="n">
        <x:v>1965588</x:v>
      </x:c>
      <x:c r="F1166" s="47" t="n">
        <x:f>D1166-E1166</x:f>
        <x:v>2085674</x:v>
      </x:c>
      <x:c r="G1166" s="49" t="n">
        <x:v>31</x:v>
      </x:c>
      <x:c r="H1166" s="49" t="n">
        <x:v>16</x:v>
      </x:c>
      <x:c r="I1166" s="47" t="n">
        <x:v>1086594</x:v>
      </x:c>
      <x:c r="J1166" s="49" t="n">
        <x:v>104</x:v>
      </x:c>
      <x:c r="K1166" s="47" t="n">
        <x:v>-153304</x:v>
      </x:c>
      <x:c r="L1166" s="47" t="n">
        <x:v>62762.875</x:v>
      </x:c>
      <x:c r="M1166" s="48" t="n">
        <x:v>236.14078014184398</x:v>
      </x:c>
      <x:c r="N1166" s="48" t="n">
        <x:v>93.05390070921986</x:v>
      </x:c>
      <x:c r="O1166" s="49" t="n">
        <x:v>5</x:v>
      </x:c>
      <x:c r="P1166" s="1" t="str">
        <x:v>強い直近反証だけ方向変更し即時参加・中期否定で退出・短期と原板の逆行で初回半減</x:v>
      </x:c>
      <x:c r="Q1166" s="49" t="n">
        <x:v>0</x:v>
      </x:c>
      <x:c r="R1166" s="50" t="n">
        <x:v>0.2087601641856961</x:v>
      </x:c>
      <x:c r="S1166" s="50" t="n">
        <x:v>0.15608612895550794</x:v>
      </x:c>
      <x:c r="T1166" s="1" t="str">
        <x:v>全場</x:v>
      </x:c>
      <x:c r="U1166" s="49" t="n">
        <x:v>47</x:v>
      </x:c>
    </x:row>
    <x:row r="1167" ht="22" customHeight="1">
      <x:c r="A1167" s="1" t="str">
        <x:v>日経mini</x:v>
      </x:c>
      <x:c r="B1167" s="1" t="str">
        <x:v>Z06</x:v>
      </x:c>
      <x:c r="C1167" s="1" t="str">
        <x:v>対照47場</x:v>
      </x:c>
      <x:c r="D1167" s="47" t="n">
        <x:v>2930864</x:v>
      </x:c>
      <x:c r="E1167" s="47" t="n">
        <x:v>1316288</x:v>
      </x:c>
      <x:c r="F1167" s="47" t="n">
        <x:f>D1167-E1167</x:f>
        <x:v>1614576</x:v>
      </x:c>
      <x:c r="G1167" s="49" t="n">
        <x:v>16</x:v>
      </x:c>
      <x:c r="H1167" s="49" t="n">
        <x:v>8</x:v>
      </x:c>
      <x:c r="I1167" s="47" t="n">
        <x:v>615496</x:v>
      </x:c>
      <x:c r="J1167" s="49" t="n">
        <x:v>61</x:v>
      </x:c>
      <x:c r="K1167" s="47" t="n">
        <x:v>-153304</x:v>
      </x:c>
      <x:c r="L1167" s="47" t="n">
        <x:v>79815</x:v>
      </x:c>
      <x:c r="M1167" s="48" t="n">
        <x:v>117.47916666666667</x:v>
      </x:c>
      <x:c r="N1167" s="48" t="n">
        <x:v>159.42569444444447</x:v>
      </x:c>
      <x:c r="O1167" s="49" t="n">
        <x:v>5</x:v>
      </x:c>
      <x:c r="P1167" s="1" t="str">
        <x:v>強い直近反証だけ方向変更し即時参加・中期否定で退出・短期と原板の逆行で初回半減</x:v>
      </x:c>
      <x:c r="Q1167" s="49" t="n">
        <x:v>0</x:v>
      </x:c>
      <x:c r="R1167" s="50" t="n">
        <x:v>0.3795849867724868</x:v>
      </x:c>
      <x:c r="S1167" s="50" t="n">
        <x:v>0.37958498677248675</x:v>
      </x:c>
      <x:c r="T1167" s="1" t="str">
        <x:v>デイ</x:v>
      </x:c>
      <x:c r="U1167" s="49" t="n">
        <x:v>24</x:v>
      </x:c>
    </x:row>
    <x:row r="1168" ht="22" customHeight="1">
      <x:c r="A1168" s="1" t="str">
        <x:v>日経mini</x:v>
      </x:c>
      <x:c r="B1168" s="1" t="str">
        <x:v>Z06</x:v>
      </x:c>
      <x:c r="C1168" s="1" t="str">
        <x:v>対照47場</x:v>
      </x:c>
      <x:c r="D1168" s="47" t="n">
        <x:v>1120398</x:v>
      </x:c>
      <x:c r="E1168" s="47" t="n">
        <x:v>649300</x:v>
      </x:c>
      <x:c r="F1168" s="47" t="n">
        <x:f>D1168-E1168</x:f>
        <x:v>471098</x:v>
      </x:c>
      <x:c r="G1168" s="49" t="n">
        <x:v>15</x:v>
      </x:c>
      <x:c r="H1168" s="49" t="n">
        <x:v>8</x:v>
      </x:c>
      <x:c r="I1168" s="47" t="n">
        <x:v>61940</x:v>
      </x:c>
      <x:c r="J1168" s="49" t="n">
        <x:v>43</x:v>
      </x:c>
      <x:c r="K1168" s="47" t="n">
        <x:v>-80768</x:v>
      </x:c>
      <x:c r="L1168" s="47" t="n">
        <x:v>45710.75</x:v>
      </x:c>
      <x:c r="M1168" s="48" t="n">
        <x:v>359.96159420289854</x:v>
      </x:c>
      <x:c r="N1168" s="48" t="n">
        <x:v>23.7963768115942</x:v>
      </x:c>
      <x:c r="O1168" s="49" t="n">
        <x:v>5</x:v>
      </x:c>
      <x:c r="P1168" s="1" t="str">
        <x:v>強い直近反証だけ方向変更し即時参加・中期否定で退出・短期と原板の逆行で初回半減</x:v>
      </x:c>
      <x:c r="Q1168" s="49" t="n">
        <x:v>0</x:v>
      </x:c>
      <x:c r="R1168" s="50" t="n">
        <x:v>0.03050817539947975</x:v>
      </x:c>
      <x:c r="S1168" s="50" t="n">
        <x:v>0.03050817539947975</x:v>
      </x:c>
      <x:c r="T1168" s="1" t="str">
        <x:v>ナイト</x:v>
      </x:c>
      <x:c r="U1168" s="49" t="n">
        <x:v>23</x:v>
      </x:c>
    </x:row>
    <x:row r="1169" ht="22" customHeight="1">
      <x:c r="A1169" s="1" t="str">
        <x:v>日経mini</x:v>
      </x:c>
      <x:c r="B1169" s="1" t="str">
        <x:v>Z06</x:v>
      </x:c>
      <x:c r="C1169" s="1" t="str">
        <x:v>対照47場</x:v>
      </x:c>
      <x:c r="D1169" s="47" t="n">
        <x:v>1503858</x:v>
      </x:c>
      <x:c r="E1169" s="47" t="n">
        <x:v>1064602</x:v>
      </x:c>
      <x:c r="F1169" s="47" t="n">
        <x:f>D1169-E1169</x:f>
        <x:v>439256</x:v>
      </x:c>
      <x:c r="G1169" s="49" t="n">
        <x:v>13</x:v>
      </x:c>
      <x:c r="H1169" s="49" t="n">
        <x:v>9</x:v>
      </x:c>
      <x:c r="I1169" s="47" t="n">
        <x:v>-12208</x:v>
      </x:c>
      <x:c r="J1169" s="49" t="n">
        <x:v>45</x:v>
      </x:c>
      <x:c r="K1169" s="47" t="n">
        <x:v>-121920</x:v>
      </x:c>
      <x:c r="L1169" s="47" t="n">
        <x:v>65819.11111111111</x:v>
      </x:c>
      <x:c r="M1169" s="48" t="n">
        <x:v>250.5969696969697</x:v>
      </x:c>
      <x:c r="N1169" s="48" t="n">
        <x:v>72.62348484848485</x:v>
      </x:c>
      <x:c r="O1169" s="49" t="n">
        <x:v>5</x:v>
      </x:c>
      <x:c r="P1169" s="1" t="str">
        <x:v>強い直近反証だけ方向変更し即時参加・中期否定で退出・短期と原板の逆行で初回半減</x:v>
      </x:c>
      <x:c r="Q1169" s="49" t="n">
        <x:v>0</x:v>
      </x:c>
      <x:c r="R1169" s="50" t="n">
        <x:v>0.1599918137418137</x:v>
      </x:c>
      <x:c r="S1169" s="50" t="n">
        <x:v>0.11782571288102262</x:v>
      </x:c>
      <x:c r="T1169" s="1" t="str">
        <x:v>上昇</x:v>
      </x:c>
      <x:c r="U1169" s="49" t="n">
        <x:v>22</x:v>
      </x:c>
    </x:row>
    <x:row r="1170" ht="22" customHeight="1">
      <x:c r="A1170" s="1" t="str">
        <x:v>日経mini</x:v>
      </x:c>
      <x:c r="B1170" s="1" t="str">
        <x:v>Z06</x:v>
      </x:c>
      <x:c r="C1170" s="1" t="str">
        <x:v>対照47場</x:v>
      </x:c>
      <x:c r="D1170" s="47" t="n">
        <x:v>2547404</x:v>
      </x:c>
      <x:c r="E1170" s="47" t="n">
        <x:v>900986</x:v>
      </x:c>
      <x:c r="F1170" s="47" t="n">
        <x:f>D1170-E1170</x:f>
        <x:v>1646418</x:v>
      </x:c>
      <x:c r="G1170" s="49" t="n">
        <x:v>18</x:v>
      </x:c>
      <x:c r="H1170" s="49" t="n">
        <x:v>7</x:v>
      </x:c>
      <x:c r="I1170" s="47" t="n">
        <x:v>647338</x:v>
      </x:c>
      <x:c r="J1170" s="49" t="n">
        <x:v>59</x:v>
      </x:c>
      <x:c r="K1170" s="47" t="n">
        <x:v>-153304</x:v>
      </x:c>
      <x:c r="L1170" s="47" t="n">
        <x:v>58833.42857142857</x:v>
      </x:c>
      <x:c r="M1170" s="48" t="n">
        <x:v>223.41933333333338</x:v>
      </x:c>
      <x:c r="N1170" s="48" t="n">
        <x:v>111.03266666666667</x:v>
      </x:c>
      <x:c r="O1170" s="49" t="n">
        <x:v>5</x:v>
      </x:c>
      <x:c r="P1170" s="1" t="str">
        <x:v>強い直近反証だけ方向変更し即時参加・中期否定で退出・短期と原板の逆行で初回半減</x:v>
      </x:c>
      <x:c r="Q1170" s="49" t="n">
        <x:v>0</x:v>
      </x:c>
      <x:c r="R1170" s="50" t="n">
        <x:v>0.2516763125763125</x:v>
      </x:c>
      <x:c r="S1170" s="50" t="n">
        <x:v>0.19196519133241124</x:v>
      </x:c>
      <x:c r="T1170" s="1" t="str">
        <x:v>下落</x:v>
      </x:c>
      <x:c r="U1170" s="49" t="n">
        <x:v>25</x:v>
      </x:c>
    </x:row>
    <x:row r="1171" ht="22" customHeight="1">
      <x:c r="A1171" s="1" t="str">
        <x:v>日経mini</x:v>
      </x:c>
      <x:c r="B1171" s="1" t="str">
        <x:v>Z06</x:v>
      </x:c>
      <x:c r="C1171" s="1" t="str">
        <x:v>診断3場</x:v>
      </x:c>
      <x:c r="D1171" s="47" t="n">
        <x:v>139232</x:v>
      </x:c>
      <x:c r="E1171" s="47" t="n">
        <x:v>67538</x:v>
      </x:c>
      <x:c r="F1171" s="47" t="n">
        <x:f>D1171-E1171</x:f>
        <x:v>71694</x:v>
      </x:c>
      <x:c r="G1171" s="49" t="n">
        <x:v>2</x:v>
      </x:c>
      <x:c r="H1171" s="49" t="n">
        <x:v>1</x:v>
      </x:c>
      <x:c r="I1171" s="47" t="n">
        <x:v>-45384</x:v>
      </x:c>
      <x:c r="J1171" s="49" t="n">
        <x:v>4</x:v>
      </x:c>
      <x:c r="K1171" s="47" t="n">
        <x:v>-45384</x:v>
      </x:c>
      <x:c r="L1171" s="47" t="n">
        <x:v>45384</x:v>
      </x:c>
      <x:c r="M1171" s="48" t="n">
        <x:v>286.15555555555557</x:v>
      </x:c>
      <x:c r="N1171" s="48" t="n">
        <x:v>9.455555555555556</x:v>
      </x:c>
      <x:c r="O1171" s="49" t="n">
        <x:v>5</x:v>
      </x:c>
      <x:c r="P1171" s="1" t="str">
        <x:v>強い直近反証だけ方向変更し即時参加・中期否定で退出・短期と原板の逆行で初回半減</x:v>
      </x:c>
      <x:c r="Q1171" s="49" t="n">
        <x:v>0</x:v>
      </x:c>
      <x:c r="R1171" s="50" t="n">
        <x:v>0.013673178673178674</x:v>
      </x:c>
      <x:c r="S1171" s="50" t="n">
        <x:v>0.014326599326599326</x:v>
      </x:c>
      <x:c r="T1171" s="1" t="str">
        <x:v>全場</x:v>
      </x:c>
      <x:c r="U1171" s="49" t="n">
        <x:v>3</x:v>
      </x:c>
    </x:row>
    <x:row r="1172" ht="22" customHeight="1">
      <x:c r="A1172" s="1" t="str">
        <x:v>日経mini</x:v>
      </x:c>
      <x:c r="B1172" s="1" t="str">
        <x:v>Z06</x:v>
      </x:c>
      <x:c r="C1172" s="1" t="str">
        <x:v>診断3場</x:v>
      </x:c>
      <x:c r="D1172" s="47" t="n">
        <x:v>0</x:v>
      </x:c>
      <x:c r="E1172" s="47" t="n">
        <x:v>45384</x:v>
      </x:c>
      <x:c r="F1172" s="47" t="n">
        <x:f>D1172-E1172</x:f>
        <x:v>-45384</x:v>
      </x:c>
      <x:c r="G1172" s="49" t="n">
        <x:v>0</x:v>
      </x:c>
      <x:c r="H1172" s="49" t="n">
        <x:v>1</x:v>
      </x:c>
      <x:c r="I1172" s="47" t="n">
        <x:v>-45384</x:v>
      </x:c>
      <x:c r="J1172" s="49" t="n">
        <x:v>1</x:v>
      </x:c>
      <x:c r="K1172" s="47" t="n">
        <x:v>-45384</x:v>
      </x:c>
      <x:c r="L1172" s="47" t="n">
        <x:v>45384</x:v>
      </x:c>
      <x:c r="M1172" s="48" t="n">
        <x:v>138.36666666666667</x:v>
      </x:c>
      <x:c r="N1172" s="48" t="n">
        <x:v>4.233333333333333</x:v>
      </x:c>
      <x:c r="O1172" s="49" t="n">
        <x:v>5</x:v>
      </x:c>
      <x:c r="P1172" s="1" t="str">
        <x:v>強い直近反証だけ方向変更し即時参加・中期否定で退出・短期と原板の逆行で初回半減</x:v>
      </x:c>
      <x:c r="Q1172" s="49" t="n">
        <x:v>0</x:v>
      </x:c>
      <x:c r="R1172" s="50" t="n">
        <x:v>0.010079365079365079</x:v>
      </x:c>
      <x:c r="S1172" s="50" t="n">
        <x:v>0.01007936507936508</x:v>
      </x:c>
      <x:c r="T1172" s="1" t="str">
        <x:v>デイ</x:v>
      </x:c>
      <x:c r="U1172" s="49" t="n">
        <x:v>1</x:v>
      </x:c>
    </x:row>
    <x:row r="1173" ht="22" customHeight="1">
      <x:c r="A1173" s="1" t="str">
        <x:v>日経mini</x:v>
      </x:c>
      <x:c r="B1173" s="1" t="str">
        <x:v>Z06</x:v>
      </x:c>
      <x:c r="C1173" s="1" t="str">
        <x:v>診断3場</x:v>
      </x:c>
      <x:c r="D1173" s="47" t="n">
        <x:v>139232</x:v>
      </x:c>
      <x:c r="E1173" s="47" t="n">
        <x:v>22154</x:v>
      </x:c>
      <x:c r="F1173" s="47" t="n">
        <x:f>D1173-E1173</x:f>
        <x:v>117078</x:v>
      </x:c>
      <x:c r="G1173" s="49" t="n">
        <x:v>2</x:v>
      </x:c>
      <x:c r="H1173" s="49" t="n">
        <x:v>0</x:v>
      </x:c>
      <x:c r="I1173" s="47" t="n">
        <x:v>0</x:v>
      </x:c>
      <x:c r="J1173" s="49" t="n">
        <x:v>3</x:v>
      </x:c>
      <x:c r="K1173" s="47" t="n">
        <x:v>34616</x:v>
      </x:c>
      <x:c r="L1173" s="47" t="n">
        <x:v>0</x:v>
      </x:c>
      <x:c r="M1173" s="48" t="n">
        <x:v>360.05</x:v>
      </x:c>
      <x:c r="N1173" s="48" t="n">
        <x:v>12.066666666666666</x:v>
      </x:c>
      <x:c r="O1173" s="49" t="n">
        <x:v>5</x:v>
      </x:c>
      <x:c r="P1173" s="1" t="str">
        <x:v>強い直近反証だけ方向変更し即時参加・中期否定で退出・短期と原板の逆行で初回半減</x:v>
      </x:c>
      <x:c r="Q1173" s="49" t="n">
        <x:v>0</x:v>
      </x:c>
      <x:c r="R1173" s="50" t="n">
        <x:v>0.01547008547008547</x:v>
      </x:c>
      <x:c r="S1173" s="50" t="n">
        <x:v>0.01547008547008547</x:v>
      </x:c>
      <x:c r="T1173" s="1" t="str">
        <x:v>ナイト</x:v>
      </x:c>
      <x:c r="U1173" s="49" t="n">
        <x:v>2</x:v>
      </x:c>
    </x:row>
    <x:row r="1174" ht="22" customHeight="1">
      <x:c r="A1174" s="1" t="str">
        <x:v>日経mini</x:v>
      </x:c>
      <x:c r="B1174" s="1" t="str">
        <x:v>Z06</x:v>
      </x:c>
      <x:c r="C1174" s="1" t="str">
        <x:v>診断3場</x:v>
      </x:c>
      <x:c r="D1174" s="47" t="n">
        <x:v>34616</x:v>
      </x:c>
      <x:c r="E1174" s="47" t="n">
        <x:v>45384</x:v>
      </x:c>
      <x:c r="F1174" s="47" t="n">
        <x:f>D1174-E1174</x:f>
        <x:v>-10768</x:v>
      </x:c>
      <x:c r="G1174" s="49" t="n">
        <x:v>1</x:v>
      </x:c>
      <x:c r="H1174" s="49" t="n">
        <x:v>1</x:v>
      </x:c>
      <x:c r="I1174" s="47" t="n">
        <x:v>-45384</x:v>
      </x:c>
      <x:c r="J1174" s="49" t="n">
        <x:v>2</x:v>
      </x:c>
      <x:c r="K1174" s="47" t="n">
        <x:v>-45384</x:v>
      </x:c>
      <x:c r="L1174" s="47" t="n">
        <x:v>45384</x:v>
      </x:c>
      <x:c r="M1174" s="48" t="n">
        <x:v>249.20000000000002</x:v>
      </x:c>
      <x:c r="N1174" s="48" t="n">
        <x:v>3.1416666666666666</x:v>
      </x:c>
      <x:c r="O1174" s="49" t="n">
        <x:v>5</x:v>
      </x:c>
      <x:c r="P1174" s="1" t="str">
        <x:v>強い直近反証だけ方向変更し即時参加・中期否定で退出・短期と原板の逆行で初回半減</x:v>
      </x:c>
      <x:c r="Q1174" s="49" t="n">
        <x:v>0</x:v>
      </x:c>
      <x:c r="R1174" s="50" t="n">
        <x:v>0.006353785103785104</x:v>
      </x:c>
      <x:c r="S1174" s="50" t="n">
        <x:v>0.005236111111111111</x:v>
      </x:c>
      <x:c r="T1174" s="1" t="str">
        <x:v>上昇</x:v>
      </x:c>
      <x:c r="U1174" s="49" t="n">
        <x:v>2</x:v>
      </x:c>
    </x:row>
    <x:row r="1175" ht="22" customHeight="1">
      <x:c r="A1175" s="1" t="str">
        <x:v>日経mini</x:v>
      </x:c>
      <x:c r="B1175" s="1" t="str">
        <x:v>Z06</x:v>
      </x:c>
      <x:c r="C1175" s="1" t="str">
        <x:v>診断3場</x:v>
      </x:c>
      <x:c r="D1175" s="47" t="n">
        <x:v>104616</x:v>
      </x:c>
      <x:c r="E1175" s="47" t="n">
        <x:v>22154</x:v>
      </x:c>
      <x:c r="F1175" s="47" t="n">
        <x:f>D1175-E1175</x:f>
        <x:v>82462</x:v>
      </x:c>
      <x:c r="G1175" s="49" t="n">
        <x:v>1</x:v>
      </x:c>
      <x:c r="H1175" s="49" t="n">
        <x:v>0</x:v>
      </x:c>
      <x:c r="I1175" s="47" t="n">
        <x:v>0</x:v>
      </x:c>
      <x:c r="J1175" s="49" t="n">
        <x:v>2</x:v>
      </x:c>
      <x:c r="K1175" s="47" t="n">
        <x:v>82462</x:v>
      </x:c>
      <x:c r="L1175" s="47" t="n">
        <x:v>0</x:v>
      </x:c>
      <x:c r="M1175" s="48" t="n">
        <x:v>360.06666666666666</x:v>
      </x:c>
      <x:c r="N1175" s="48" t="n">
        <x:v>22.083333333333332</x:v>
      </x:c>
      <x:c r="O1175" s="49" t="n">
        <x:v>5</x:v>
      </x:c>
      <x:c r="P1175" s="1" t="str">
        <x:v>強い直近反証だけ方向変更し即時参加・中期否定で退出・短期と原板の逆行で初回半減</x:v>
      </x:c>
      <x:c r="Q1175" s="49" t="n">
        <x:v>0</x:v>
      </x:c>
      <x:c r="R1175" s="50" t="n">
        <x:v>0.028311965811965812</x:v>
      </x:c>
      <x:c r="S1175" s="50" t="n">
        <x:v>0.028311965811965812</x:v>
      </x:c>
      <x:c r="T1175" s="1" t="str">
        <x:v>下落</x:v>
      </x:c>
      <x:c r="U1175" s="49" t="n">
        <x:v>1</x:v>
      </x:c>
    </x:row>
    <x:row r="1176" ht="22" customHeight="1">
      <x:c r="A1176" s="1" t="str">
        <x:v>日経mini</x:v>
      </x:c>
      <x:c r="B1176" s="1" t="str">
        <x:v>Z07</x:v>
      </x:c>
      <x:c r="C1176" s="1" t="str">
        <x:v>全50場</x:v>
      </x:c>
      <x:c r="D1176" s="47" t="n">
        <x:v>4190494</x:v>
      </x:c>
      <x:c r="E1176" s="47" t="n">
        <x:v>2061126</x:v>
      </x:c>
      <x:c r="F1176" s="47" t="n">
        <x:f>D1176-E1176</x:f>
        <x:v>2129368</x:v>
      </x:c>
      <x:c r="G1176" s="49" t="n">
        <x:v>33</x:v>
      </x:c>
      <x:c r="H1176" s="49" t="n">
        <x:v>17</x:v>
      </x:c>
      <x:c r="I1176" s="47" t="n">
        <x:v>1130288</x:v>
      </x:c>
      <x:c r="J1176" s="49" t="n">
        <x:v>108</x:v>
      </x:c>
      <x:c r="K1176" s="47" t="n">
        <x:v>-153304</x:v>
      </x:c>
      <x:c r="L1176" s="47" t="n">
        <x:v>61740.58823529412</x:v>
      </x:c>
      <x:c r="M1176" s="48" t="n">
        <x:v>239.14166666666668</x:v>
      </x:c>
      <x:c r="N1176" s="48" t="n">
        <x:v>88.35</x:v>
      </x:c>
      <x:c r="O1176" s="49" t="n">
        <x:v>5</x:v>
      </x:c>
      <x:c r="P1176" s="1" t="str">
        <x:v>強い直近反証だけ方向変更し即時参加・元停止追尾のみ・短期と原板の逆行で初回半減</x:v>
      </x:c>
      <x:c r="Q1176" s="49" t="n">
        <x:v>0</x:v>
      </x:c>
      <x:c r="R1176" s="50" t="n">
        <x:v>0.19745494505494507</x:v>
      </x:c>
      <x:c r="S1176" s="50" t="n">
        <x:v>0.14725</x:v>
      </x:c>
      <x:c r="T1176" s="1" t="str">
        <x:v>全場</x:v>
      </x:c>
      <x:c r="U1176" s="49" t="n">
        <x:v>50</x:v>
      </x:c>
    </x:row>
    <x:row r="1177" ht="22" customHeight="1">
      <x:c r="A1177" s="1" t="str">
        <x:v>日経mini</x:v>
      </x:c>
      <x:c r="B1177" s="1" t="str">
        <x:v>Z07</x:v>
      </x:c>
      <x:c r="C1177" s="1" t="str">
        <x:v>全50場</x:v>
      </x:c>
      <x:c r="D1177" s="47" t="n">
        <x:v>2930864</x:v>
      </x:c>
      <x:c r="E1177" s="47" t="n">
        <x:v>1361672</x:v>
      </x:c>
      <x:c r="F1177" s="47" t="n">
        <x:f>D1177-E1177</x:f>
        <x:v>1569192</x:v>
      </x:c>
      <x:c r="G1177" s="49" t="n">
        <x:v>16</x:v>
      </x:c>
      <x:c r="H1177" s="49" t="n">
        <x:v>9</x:v>
      </x:c>
      <x:c r="I1177" s="47" t="n">
        <x:v>570112</x:v>
      </x:c>
      <x:c r="J1177" s="49" t="n">
        <x:v>62</x:v>
      </x:c>
      <x:c r="K1177" s="47" t="n">
        <x:v>-153304</x:v>
      </x:c>
      <x:c r="L1177" s="47" t="n">
        <x:v>75989.33333333333</x:v>
      </x:c>
      <x:c r="M1177" s="48" t="n">
        <x:v>118.31466666666667</x:v>
      </x:c>
      <x:c r="N1177" s="48" t="n">
        <x:v>153.21800000000002</x:v>
      </x:c>
      <x:c r="O1177" s="49" t="n">
        <x:v>5</x:v>
      </x:c>
      <x:c r="P1177" s="1" t="str">
        <x:v>強い直近反証だけ方向変更し即時参加・元停止追尾のみ・短期と原板の逆行で初回半減</x:v>
      </x:c>
      <x:c r="Q1177" s="49" t="n">
        <x:v>0</x:v>
      </x:c>
      <x:c r="R1177" s="50" t="n">
        <x:v>0.36480476190476196</x:v>
      </x:c>
      <x:c r="S1177" s="50" t="n">
        <x:v>0.3648047619047619</x:v>
      </x:c>
      <x:c r="T1177" s="1" t="str">
        <x:v>デイ</x:v>
      </x:c>
      <x:c r="U1177" s="49" t="n">
        <x:v>25</x:v>
      </x:c>
    </x:row>
    <x:row r="1178" ht="22" customHeight="1">
      <x:c r="A1178" s="1" t="str">
        <x:v>日経mini</x:v>
      </x:c>
      <x:c r="B1178" s="1" t="str">
        <x:v>Z07</x:v>
      </x:c>
      <x:c r="C1178" s="1" t="str">
        <x:v>全50場</x:v>
      </x:c>
      <x:c r="D1178" s="47" t="n">
        <x:v>1259630</x:v>
      </x:c>
      <x:c r="E1178" s="47" t="n">
        <x:v>699454</x:v>
      </x:c>
      <x:c r="F1178" s="47" t="n">
        <x:f>D1178-E1178</x:f>
        <x:v>560176</x:v>
      </x:c>
      <x:c r="G1178" s="49" t="n">
        <x:v>17</x:v>
      </x:c>
      <x:c r="H1178" s="49" t="n">
        <x:v>8</x:v>
      </x:c>
      <x:c r="I1178" s="47" t="n">
        <x:v>179018</x:v>
      </x:c>
      <x:c r="J1178" s="49" t="n">
        <x:v>46</x:v>
      </x:c>
      <x:c r="K1178" s="47" t="n">
        <x:v>-80768</x:v>
      </x:c>
      <x:c r="L1178" s="47" t="n">
        <x:v>45710.75</x:v>
      </x:c>
      <x:c r="M1178" s="48" t="n">
        <x:v>359.9686666666666</x:v>
      </x:c>
      <x:c r="N1178" s="48" t="n">
        <x:v>23.482</x:v>
      </x:c>
      <x:c r="O1178" s="49" t="n">
        <x:v>5</x:v>
      </x:c>
      <x:c r="P1178" s="1" t="str">
        <x:v>強い直近反証だけ方向変更し即時参加・元停止追尾のみ・短期と原板の逆行で初回半減</x:v>
      </x:c>
      <x:c r="Q1178" s="49" t="n">
        <x:v>0</x:v>
      </x:c>
      <x:c r="R1178" s="50" t="n">
        <x:v>0.030105128205128208</x:v>
      </x:c>
      <x:c r="S1178" s="50" t="n">
        <x:v>0.030105128205128204</x:v>
      </x:c>
      <x:c r="T1178" s="1" t="str">
        <x:v>ナイト</x:v>
      </x:c>
      <x:c r="U1178" s="49" t="n">
        <x:v>25</x:v>
      </x:c>
    </x:row>
    <x:row r="1179" ht="22" customHeight="1">
      <x:c r="A1179" s="1" t="str">
        <x:v>日経mini</x:v>
      </x:c>
      <x:c r="B1179" s="1" t="str">
        <x:v>Z07</x:v>
      </x:c>
      <x:c r="C1179" s="1" t="str">
        <x:v>全50場</x:v>
      </x:c>
      <x:c r="D1179" s="47" t="n">
        <x:v>1538474</x:v>
      </x:c>
      <x:c r="E1179" s="47" t="n">
        <x:v>1109986</x:v>
      </x:c>
      <x:c r="F1179" s="47" t="n">
        <x:f>D1179-E1179</x:f>
        <x:v>428488</x:v>
      </x:c>
      <x:c r="G1179" s="49" t="n">
        <x:v>14</x:v>
      </x:c>
      <x:c r="H1179" s="49" t="n">
        <x:v>10</x:v>
      </x:c>
      <x:c r="I1179" s="47" t="n">
        <x:v>-22976</x:v>
      </x:c>
      <x:c r="J1179" s="49" t="n">
        <x:v>47</x:v>
      </x:c>
      <x:c r="K1179" s="47" t="n">
        <x:v>-121920</x:v>
      </x:c>
      <x:c r="L1179" s="47" t="n">
        <x:v>63775.6</x:v>
      </x:c>
      <x:c r="M1179" s="48" t="n">
        <x:v>250.48055555555553</x:v>
      </x:c>
      <x:c r="N1179" s="48" t="n">
        <x:v>66.83333333333333</x:v>
      </x:c>
      <x:c r="O1179" s="49" t="n">
        <x:v>5</x:v>
      </x:c>
      <x:c r="P1179" s="1" t="str">
        <x:v>強い直近反証だけ方向変更し即時参加・元停止追尾のみ・短期と原板の逆行で初回半減</x:v>
      </x:c>
      <x:c r="Q1179" s="49" t="n">
        <x:v>0</x:v>
      </x:c>
      <x:c r="R1179" s="50" t="n">
        <x:v>0.14718864468864468</x:v>
      </x:c>
      <x:c r="S1179" s="50" t="n">
        <x:v>0.10867208672086721</x:v>
      </x:c>
      <x:c r="T1179" s="1" t="str">
        <x:v>上昇</x:v>
      </x:c>
      <x:c r="U1179" s="49" t="n">
        <x:v>24</x:v>
      </x:c>
    </x:row>
    <x:row r="1180" ht="22" customHeight="1">
      <x:c r="A1180" s="1" t="str">
        <x:v>日経mini</x:v>
      </x:c>
      <x:c r="B1180" s="1" t="str">
        <x:v>Z07</x:v>
      </x:c>
      <x:c r="C1180" s="1" t="str">
        <x:v>全50場</x:v>
      </x:c>
      <x:c r="D1180" s="47" t="n">
        <x:v>2652020</x:v>
      </x:c>
      <x:c r="E1180" s="47" t="n">
        <x:v>951140</x:v>
      </x:c>
      <x:c r="F1180" s="47" t="n">
        <x:f>D1180-E1180</x:f>
        <x:v>1700880</x:v>
      </x:c>
      <x:c r="G1180" s="49" t="n">
        <x:v>19</x:v>
      </x:c>
      <x:c r="H1180" s="49" t="n">
        <x:v>7</x:v>
      </x:c>
      <x:c r="I1180" s="47" t="n">
        <x:v>701800</x:v>
      </x:c>
      <x:c r="J1180" s="49" t="n">
        <x:v>61</x:v>
      </x:c>
      <x:c r="K1180" s="47" t="n">
        <x:v>-153304</x:v>
      </x:c>
      <x:c r="L1180" s="47" t="n">
        <x:v>58833.42857142857</x:v>
      </x:c>
      <x:c r="M1180" s="48" t="n">
        <x:v>228.67500000000004</x:v>
      </x:c>
      <x:c r="N1180" s="48" t="n">
        <x:v>108.21153846153848</x:v>
      </x:c>
      <x:c r="O1180" s="49" t="n">
        <x:v>5</x:v>
      </x:c>
      <x:c r="P1180" s="1" t="str">
        <x:v>強い直近反証だけ方向変更し即時参加・元停止追尾のみ・短期と原板の逆行で初回半減</x:v>
      </x:c>
      <x:c r="Q1180" s="49" t="n">
        <x:v>0</x:v>
      </x:c>
      <x:c r="R1180" s="50" t="n">
        <x:v>0.24385460693153002</x:v>
      </x:c>
      <x:c r="S1180" s="50" t="n">
        <x:v>0.18461286089238846</x:v>
      </x:c>
      <x:c r="T1180" s="1" t="str">
        <x:v>下落</x:v>
      </x:c>
      <x:c r="U1180" s="49" t="n">
        <x:v>26</x:v>
      </x:c>
    </x:row>
    <x:row r="1181" ht="22" customHeight="1">
      <x:c r="A1181" s="1" t="str">
        <x:v>日経mini</x:v>
      </x:c>
      <x:c r="B1181" s="1" t="str">
        <x:v>Z07</x:v>
      </x:c>
      <x:c r="C1181" s="1" t="str">
        <x:v>対照47場</x:v>
      </x:c>
      <x:c r="D1181" s="47" t="n">
        <x:v>4051262</x:v>
      </x:c>
      <x:c r="E1181" s="47" t="n">
        <x:v>1993588</x:v>
      </x:c>
      <x:c r="F1181" s="47" t="n">
        <x:f>D1181-E1181</x:f>
        <x:v>2057674</x:v>
      </x:c>
      <x:c r="G1181" s="49" t="n">
        <x:v>31</x:v>
      </x:c>
      <x:c r="H1181" s="49" t="n">
        <x:v>16</x:v>
      </x:c>
      <x:c r="I1181" s="47" t="n">
        <x:v>1058594</x:v>
      </x:c>
      <x:c r="J1181" s="49" t="n">
        <x:v>104</x:v>
      </x:c>
      <x:c r="K1181" s="47" t="n">
        <x:v>-153304</x:v>
      </x:c>
      <x:c r="L1181" s="47" t="n">
        <x:v>62762.875</x:v>
      </x:c>
      <x:c r="M1181" s="48" t="n">
        <x:v>236.14078014184398</x:v>
      </x:c>
      <x:c r="N1181" s="48" t="n">
        <x:v>93.38581560283687</x:v>
      </x:c>
      <x:c r="O1181" s="49" t="n">
        <x:v>5</x:v>
      </x:c>
      <x:c r="P1181" s="1" t="str">
        <x:v>強い直近反証だけ方向変更し即時参加・元停止追尾のみ・短期と原板の逆行で初回半減</x:v>
      </x:c>
      <x:c r="Q1181" s="49" t="n">
        <x:v>0</x:v>
      </x:c>
      <x:c r="R1181" s="50" t="n">
        <x:v>0.2091856961005897</x:v>
      </x:c>
      <x:c r="S1181" s="50" t="n">
        <x:v>0.15664287413752082</x:v>
      </x:c>
      <x:c r="T1181" s="1" t="str">
        <x:v>全場</x:v>
      </x:c>
      <x:c r="U1181" s="49" t="n">
        <x:v>47</x:v>
      </x:c>
    </x:row>
    <x:row r="1182" ht="22" customHeight="1">
      <x:c r="A1182" s="1" t="str">
        <x:v>日経mini</x:v>
      </x:c>
      <x:c r="B1182" s="1" t="str">
        <x:v>Z07</x:v>
      </x:c>
      <x:c r="C1182" s="1" t="str">
        <x:v>対照47場</x:v>
      </x:c>
      <x:c r="D1182" s="47" t="n">
        <x:v>2930864</x:v>
      </x:c>
      <x:c r="E1182" s="47" t="n">
        <x:v>1316288</x:v>
      </x:c>
      <x:c r="F1182" s="47" t="n">
        <x:f>D1182-E1182</x:f>
        <x:v>1614576</x:v>
      </x:c>
      <x:c r="G1182" s="49" t="n">
        <x:v>16</x:v>
      </x:c>
      <x:c r="H1182" s="49" t="n">
        <x:v>8</x:v>
      </x:c>
      <x:c r="I1182" s="47" t="n">
        <x:v>615496</x:v>
      </x:c>
      <x:c r="J1182" s="49" t="n">
        <x:v>61</x:v>
      </x:c>
      <x:c r="K1182" s="47" t="n">
        <x:v>-153304</x:v>
      </x:c>
      <x:c r="L1182" s="47" t="n">
        <x:v>79815</x:v>
      </x:c>
      <x:c r="M1182" s="48" t="n">
        <x:v>117.47916666666667</x:v>
      </x:c>
      <x:c r="N1182" s="48" t="n">
        <x:v>159.42569444444447</x:v>
      </x:c>
      <x:c r="O1182" s="49" t="n">
        <x:v>5</x:v>
      </x:c>
      <x:c r="P1182" s="1" t="str">
        <x:v>強い直近反証だけ方向変更し即時参加・元停止追尾のみ・短期と原板の逆行で初回半減</x:v>
      </x:c>
      <x:c r="Q1182" s="49" t="n">
        <x:v>0</x:v>
      </x:c>
      <x:c r="R1182" s="50" t="n">
        <x:v>0.3795849867724868</x:v>
      </x:c>
      <x:c r="S1182" s="50" t="n">
        <x:v>0.37958498677248675</x:v>
      </x:c>
      <x:c r="T1182" s="1" t="str">
        <x:v>デイ</x:v>
      </x:c>
      <x:c r="U1182" s="49" t="n">
        <x:v>24</x:v>
      </x:c>
    </x:row>
    <x:row r="1183" ht="22" customHeight="1">
      <x:c r="A1183" s="1" t="str">
        <x:v>日経mini</x:v>
      </x:c>
      <x:c r="B1183" s="1" t="str">
        <x:v>Z07</x:v>
      </x:c>
      <x:c r="C1183" s="1" t="str">
        <x:v>対照47場</x:v>
      </x:c>
      <x:c r="D1183" s="47" t="n">
        <x:v>1120398</x:v>
      </x:c>
      <x:c r="E1183" s="47" t="n">
        <x:v>677300</x:v>
      </x:c>
      <x:c r="F1183" s="47" t="n">
        <x:f>D1183-E1183</x:f>
        <x:v>443098</x:v>
      </x:c>
      <x:c r="G1183" s="49" t="n">
        <x:v>15</x:v>
      </x:c>
      <x:c r="H1183" s="49" t="n">
        <x:v>8</x:v>
      </x:c>
      <x:c r="I1183" s="47" t="n">
        <x:v>61940</x:v>
      </x:c>
      <x:c r="J1183" s="49" t="n">
        <x:v>43</x:v>
      </x:c>
      <x:c r="K1183" s="47" t="n">
        <x:v>-80768</x:v>
      </x:c>
      <x:c r="L1183" s="47" t="n">
        <x:v>45710.75</x:v>
      </x:c>
      <x:c r="M1183" s="48" t="n">
        <x:v>359.96159420289854</x:v>
      </x:c>
      <x:c r="N1183" s="48" t="n">
        <x:v>24.474637681159418</x:v>
      </x:c>
      <x:c r="O1183" s="49" t="n">
        <x:v>5</x:v>
      </x:c>
      <x:c r="P1183" s="1" t="str">
        <x:v>強い直近反証だけ方向変更し即時参加・元停止追尾のみ・短期と原板の逆行で初回半減</x:v>
      </x:c>
      <x:c r="Q1183" s="49" t="n">
        <x:v>0</x:v>
      </x:c>
      <x:c r="R1183" s="50" t="n">
        <x:v>0.031377740616871055</x:v>
      </x:c>
      <x:c r="S1183" s="50" t="n">
        <x:v>0.03137774061687105</x:v>
      </x:c>
      <x:c r="T1183" s="1" t="str">
        <x:v>ナイト</x:v>
      </x:c>
      <x:c r="U1183" s="49" t="n">
        <x:v>23</x:v>
      </x:c>
    </x:row>
    <x:row r="1184" ht="22" customHeight="1">
      <x:c r="A1184" s="1" t="str">
        <x:v>日経mini</x:v>
      </x:c>
      <x:c r="B1184" s="1" t="str">
        <x:v>Z07</x:v>
      </x:c>
      <x:c r="C1184" s="1" t="str">
        <x:v>対照47場</x:v>
      </x:c>
      <x:c r="D1184" s="47" t="n">
        <x:v>1503858</x:v>
      </x:c>
      <x:c r="E1184" s="47" t="n">
        <x:v>1064602</x:v>
      </x:c>
      <x:c r="F1184" s="47" t="n">
        <x:f>D1184-E1184</x:f>
        <x:v>439256</x:v>
      </x:c>
      <x:c r="G1184" s="49" t="n">
        <x:v>13</x:v>
      </x:c>
      <x:c r="H1184" s="49" t="n">
        <x:v>9</x:v>
      </x:c>
      <x:c r="I1184" s="47" t="n">
        <x:v>-12208</x:v>
      </x:c>
      <x:c r="J1184" s="49" t="n">
        <x:v>45</x:v>
      </x:c>
      <x:c r="K1184" s="47" t="n">
        <x:v>-121920</x:v>
      </x:c>
      <x:c r="L1184" s="47" t="n">
        <x:v>65819.11111111111</x:v>
      </x:c>
      <x:c r="M1184" s="48" t="n">
        <x:v>250.5969696969697</x:v>
      </x:c>
      <x:c r="N1184" s="48" t="n">
        <x:v>72.62348484848485</x:v>
      </x:c>
      <x:c r="O1184" s="49" t="n">
        <x:v>5</x:v>
      </x:c>
      <x:c r="P1184" s="1" t="str">
        <x:v>強い直近反証だけ方向変更し即時参加・元停止追尾のみ・短期と原板の逆行で初回半減</x:v>
      </x:c>
      <x:c r="Q1184" s="49" t="n">
        <x:v>0</x:v>
      </x:c>
      <x:c r="R1184" s="50" t="n">
        <x:v>0.1599918137418137</x:v>
      </x:c>
      <x:c r="S1184" s="50" t="n">
        <x:v>0.11782571288102262</x:v>
      </x:c>
      <x:c r="T1184" s="1" t="str">
        <x:v>上昇</x:v>
      </x:c>
      <x:c r="U1184" s="49" t="n">
        <x:v>22</x:v>
      </x:c>
    </x:row>
    <x:row r="1185" ht="22" customHeight="1">
      <x:c r="A1185" s="1" t="str">
        <x:v>日経mini</x:v>
      </x:c>
      <x:c r="B1185" s="1" t="str">
        <x:v>Z07</x:v>
      </x:c>
      <x:c r="C1185" s="1" t="str">
        <x:v>対照47場</x:v>
      </x:c>
      <x:c r="D1185" s="47" t="n">
        <x:v>2547404</x:v>
      </x:c>
      <x:c r="E1185" s="47" t="n">
        <x:v>928986</x:v>
      </x:c>
      <x:c r="F1185" s="47" t="n">
        <x:f>D1185-E1185</x:f>
        <x:v>1618418</x:v>
      </x:c>
      <x:c r="G1185" s="49" t="n">
        <x:v>18</x:v>
      </x:c>
      <x:c r="H1185" s="49" t="n">
        <x:v>7</x:v>
      </x:c>
      <x:c r="I1185" s="47" t="n">
        <x:v>619338</x:v>
      </x:c>
      <x:c r="J1185" s="49" t="n">
        <x:v>59</x:v>
      </x:c>
      <x:c r="K1185" s="47" t="n">
        <x:v>-153304</x:v>
      </x:c>
      <x:c r="L1185" s="47" t="n">
        <x:v>58833.42857142857</x:v>
      </x:c>
      <x:c r="M1185" s="48" t="n">
        <x:v>223.41933333333338</x:v>
      </x:c>
      <x:c r="N1185" s="48" t="n">
        <x:v>111.65666666666668</x:v>
      </x:c>
      <x:c r="O1185" s="49" t="n">
        <x:v>5</x:v>
      </x:c>
      <x:c r="P1185" s="1" t="str">
        <x:v>強い直近反証だけ方向変更し即時参加・元停止追尾のみ・短期と原板の逆行で初回半減</x:v>
      </x:c>
      <x:c r="Q1185" s="49" t="n">
        <x:v>0</x:v>
      </x:c>
      <x:c r="R1185" s="50" t="n">
        <x:v>0.2524763125763126</x:v>
      </x:c>
      <x:c r="S1185" s="50" t="n">
        <x:v>0.1930440295066851</x:v>
      </x:c>
      <x:c r="T1185" s="1" t="str">
        <x:v>下落</x:v>
      </x:c>
      <x:c r="U1185" s="49" t="n">
        <x:v>25</x:v>
      </x:c>
    </x:row>
    <x:row r="1186" ht="22" customHeight="1">
      <x:c r="A1186" s="1" t="str">
        <x:v>日経mini</x:v>
      </x:c>
      <x:c r="B1186" s="1" t="str">
        <x:v>Z07</x:v>
      </x:c>
      <x:c r="C1186" s="1" t="str">
        <x:v>診断3場</x:v>
      </x:c>
      <x:c r="D1186" s="47" t="n">
        <x:v>139232</x:v>
      </x:c>
      <x:c r="E1186" s="47" t="n">
        <x:v>67538</x:v>
      </x:c>
      <x:c r="F1186" s="47" t="n">
        <x:f>D1186-E1186</x:f>
        <x:v>71694</x:v>
      </x:c>
      <x:c r="G1186" s="49" t="n">
        <x:v>2</x:v>
      </x:c>
      <x:c r="H1186" s="49" t="n">
        <x:v>1</x:v>
      </x:c>
      <x:c r="I1186" s="47" t="n">
        <x:v>-45384</x:v>
      </x:c>
      <x:c r="J1186" s="49" t="n">
        <x:v>4</x:v>
      </x:c>
      <x:c r="K1186" s="47" t="n">
        <x:v>-45384</x:v>
      </x:c>
      <x:c r="L1186" s="47" t="n">
        <x:v>45384</x:v>
      </x:c>
      <x:c r="M1186" s="48" t="n">
        <x:v>286.15555555555557</x:v>
      </x:c>
      <x:c r="N1186" s="48" t="n">
        <x:v>9.455555555555556</x:v>
      </x:c>
      <x:c r="O1186" s="49" t="n">
        <x:v>5</x:v>
      </x:c>
      <x:c r="P1186" s="1" t="str">
        <x:v>強い直近反証だけ方向変更し即時参加・元停止追尾のみ・短期と原板の逆行で初回半減</x:v>
      </x:c>
      <x:c r="Q1186" s="49" t="n">
        <x:v>0</x:v>
      </x:c>
      <x:c r="R1186" s="50" t="n">
        <x:v>0.013673178673178674</x:v>
      </x:c>
      <x:c r="S1186" s="50" t="n">
        <x:v>0.014326599326599326</x:v>
      </x:c>
      <x:c r="T1186" s="1" t="str">
        <x:v>全場</x:v>
      </x:c>
      <x:c r="U1186" s="49" t="n">
        <x:v>3</x:v>
      </x:c>
    </x:row>
    <x:row r="1187" ht="22" customHeight="1">
      <x:c r="A1187" s="1" t="str">
        <x:v>日経mini</x:v>
      </x:c>
      <x:c r="B1187" s="1" t="str">
        <x:v>Z07</x:v>
      </x:c>
      <x:c r="C1187" s="1" t="str">
        <x:v>診断3場</x:v>
      </x:c>
      <x:c r="D1187" s="47" t="n">
        <x:v>0</x:v>
      </x:c>
      <x:c r="E1187" s="47" t="n">
        <x:v>45384</x:v>
      </x:c>
      <x:c r="F1187" s="47" t="n">
        <x:f>D1187-E1187</x:f>
        <x:v>-45384</x:v>
      </x:c>
      <x:c r="G1187" s="49" t="n">
        <x:v>0</x:v>
      </x:c>
      <x:c r="H1187" s="49" t="n">
        <x:v>1</x:v>
      </x:c>
      <x:c r="I1187" s="47" t="n">
        <x:v>-45384</x:v>
      </x:c>
      <x:c r="J1187" s="49" t="n">
        <x:v>1</x:v>
      </x:c>
      <x:c r="K1187" s="47" t="n">
        <x:v>-45384</x:v>
      </x:c>
      <x:c r="L1187" s="47" t="n">
        <x:v>45384</x:v>
      </x:c>
      <x:c r="M1187" s="48" t="n">
        <x:v>138.36666666666667</x:v>
      </x:c>
      <x:c r="N1187" s="48" t="n">
        <x:v>4.233333333333333</x:v>
      </x:c>
      <x:c r="O1187" s="49" t="n">
        <x:v>5</x:v>
      </x:c>
      <x:c r="P1187" s="1" t="str">
        <x:v>強い直近反証だけ方向変更し即時参加・元停止追尾のみ・短期と原板の逆行で初回半減</x:v>
      </x:c>
      <x:c r="Q1187" s="49" t="n">
        <x:v>0</x:v>
      </x:c>
      <x:c r="R1187" s="50" t="n">
        <x:v>0.010079365079365079</x:v>
      </x:c>
      <x:c r="S1187" s="50" t="n">
        <x:v>0.01007936507936508</x:v>
      </x:c>
      <x:c r="T1187" s="1" t="str">
        <x:v>デイ</x:v>
      </x:c>
      <x:c r="U1187" s="49" t="n">
        <x:v>1</x:v>
      </x:c>
    </x:row>
    <x:row r="1188" ht="22" customHeight="1">
      <x:c r="A1188" s="1" t="str">
        <x:v>日経mini</x:v>
      </x:c>
      <x:c r="B1188" s="1" t="str">
        <x:v>Z07</x:v>
      </x:c>
      <x:c r="C1188" s="1" t="str">
        <x:v>診断3場</x:v>
      </x:c>
      <x:c r="D1188" s="47" t="n">
        <x:v>139232</x:v>
      </x:c>
      <x:c r="E1188" s="47" t="n">
        <x:v>22154</x:v>
      </x:c>
      <x:c r="F1188" s="47" t="n">
        <x:f>D1188-E1188</x:f>
        <x:v>117078</x:v>
      </x:c>
      <x:c r="G1188" s="49" t="n">
        <x:v>2</x:v>
      </x:c>
      <x:c r="H1188" s="49" t="n">
        <x:v>0</x:v>
      </x:c>
      <x:c r="I1188" s="47" t="n">
        <x:v>0</x:v>
      </x:c>
      <x:c r="J1188" s="49" t="n">
        <x:v>3</x:v>
      </x:c>
      <x:c r="K1188" s="47" t="n">
        <x:v>34616</x:v>
      </x:c>
      <x:c r="L1188" s="47" t="n">
        <x:v>0</x:v>
      </x:c>
      <x:c r="M1188" s="48" t="n">
        <x:v>360.05</x:v>
      </x:c>
      <x:c r="N1188" s="48" t="n">
        <x:v>12.066666666666666</x:v>
      </x:c>
      <x:c r="O1188" s="49" t="n">
        <x:v>5</x:v>
      </x:c>
      <x:c r="P1188" s="1" t="str">
        <x:v>強い直近反証だけ方向変更し即時参加・元停止追尾のみ・短期と原板の逆行で初回半減</x:v>
      </x:c>
      <x:c r="Q1188" s="49" t="n">
        <x:v>0</x:v>
      </x:c>
      <x:c r="R1188" s="50" t="n">
        <x:v>0.01547008547008547</x:v>
      </x:c>
      <x:c r="S1188" s="50" t="n">
        <x:v>0.01547008547008547</x:v>
      </x:c>
      <x:c r="T1188" s="1" t="str">
        <x:v>ナイト</x:v>
      </x:c>
      <x:c r="U1188" s="49" t="n">
        <x:v>2</x:v>
      </x:c>
    </x:row>
    <x:row r="1189" ht="22" customHeight="1">
      <x:c r="A1189" s="1" t="str">
        <x:v>日経mini</x:v>
      </x:c>
      <x:c r="B1189" s="1" t="str">
        <x:v>Z07</x:v>
      </x:c>
      <x:c r="C1189" s="1" t="str">
        <x:v>診断3場</x:v>
      </x:c>
      <x:c r="D1189" s="47" t="n">
        <x:v>34616</x:v>
      </x:c>
      <x:c r="E1189" s="47" t="n">
        <x:v>45384</x:v>
      </x:c>
      <x:c r="F1189" s="47" t="n">
        <x:f>D1189-E1189</x:f>
        <x:v>-10768</x:v>
      </x:c>
      <x:c r="G1189" s="49" t="n">
        <x:v>1</x:v>
      </x:c>
      <x:c r="H1189" s="49" t="n">
        <x:v>1</x:v>
      </x:c>
      <x:c r="I1189" s="47" t="n">
        <x:v>-45384</x:v>
      </x:c>
      <x:c r="J1189" s="49" t="n">
        <x:v>2</x:v>
      </x:c>
      <x:c r="K1189" s="47" t="n">
        <x:v>-45384</x:v>
      </x:c>
      <x:c r="L1189" s="47" t="n">
        <x:v>45384</x:v>
      </x:c>
      <x:c r="M1189" s="48" t="n">
        <x:v>249.20000000000002</x:v>
      </x:c>
      <x:c r="N1189" s="48" t="n">
        <x:v>3.1416666666666666</x:v>
      </x:c>
      <x:c r="O1189" s="49" t="n">
        <x:v>5</x:v>
      </x:c>
      <x:c r="P1189" s="1" t="str">
        <x:v>強い直近反証だけ方向変更し即時参加・元停止追尾のみ・短期と原板の逆行で初回半減</x:v>
      </x:c>
      <x:c r="Q1189" s="49" t="n">
        <x:v>0</x:v>
      </x:c>
      <x:c r="R1189" s="50" t="n">
        <x:v>0.006353785103785104</x:v>
      </x:c>
      <x:c r="S1189" s="50" t="n">
        <x:v>0.005236111111111111</x:v>
      </x:c>
      <x:c r="T1189" s="1" t="str">
        <x:v>上昇</x:v>
      </x:c>
      <x:c r="U1189" s="49" t="n">
        <x:v>2</x:v>
      </x:c>
    </x:row>
    <x:row r="1190" ht="22" customHeight="1">
      <x:c r="A1190" s="1" t="str">
        <x:v>日経mini</x:v>
      </x:c>
      <x:c r="B1190" s="1" t="str">
        <x:v>Z07</x:v>
      </x:c>
      <x:c r="C1190" s="1" t="str">
        <x:v>診断3場</x:v>
      </x:c>
      <x:c r="D1190" s="47" t="n">
        <x:v>104616</x:v>
      </x:c>
      <x:c r="E1190" s="47" t="n">
        <x:v>22154</x:v>
      </x:c>
      <x:c r="F1190" s="47" t="n">
        <x:f>D1190-E1190</x:f>
        <x:v>82462</x:v>
      </x:c>
      <x:c r="G1190" s="49" t="n">
        <x:v>1</x:v>
      </x:c>
      <x:c r="H1190" s="49" t="n">
        <x:v>0</x:v>
      </x:c>
      <x:c r="I1190" s="47" t="n">
        <x:v>0</x:v>
      </x:c>
      <x:c r="J1190" s="49" t="n">
        <x:v>2</x:v>
      </x:c>
      <x:c r="K1190" s="47" t="n">
        <x:v>82462</x:v>
      </x:c>
      <x:c r="L1190" s="47" t="n">
        <x:v>0</x:v>
      </x:c>
      <x:c r="M1190" s="48" t="n">
        <x:v>360.06666666666666</x:v>
      </x:c>
      <x:c r="N1190" s="48" t="n">
        <x:v>22.083333333333332</x:v>
      </x:c>
      <x:c r="O1190" s="49" t="n">
        <x:v>5</x:v>
      </x:c>
      <x:c r="P1190" s="1" t="str">
        <x:v>強い直近反証だけ方向変更し即時参加・元停止追尾のみ・短期と原板の逆行で初回半減</x:v>
      </x:c>
      <x:c r="Q1190" s="49" t="n">
        <x:v>0</x:v>
      </x:c>
      <x:c r="R1190" s="50" t="n">
        <x:v>0.028311965811965812</x:v>
      </x:c>
      <x:c r="S1190" s="50" t="n">
        <x:v>0.028311965811965812</x:v>
      </x:c>
      <x:c r="T1190" s="1" t="str">
        <x:v>下落</x:v>
      </x:c>
      <x:c r="U1190" s="49" t="n">
        <x:v>1</x:v>
      </x:c>
    </x:row>
    <x:row r="1191" ht="22" customHeight="1">
      <x:c r="A1191" s="1" t="str">
        <x:v>TOPIXmini</x:v>
      </x:c>
      <x:c r="B1191" s="1" t="str">
        <x:v>B5</x:v>
      </x:c>
      <x:c r="C1191" s="1" t="str">
        <x:v>全50場</x:v>
      </x:c>
      <x:c r="D1191" s="47" t="n">
        <x:v>2221536</x:v>
      </x:c>
      <x:c r="E1191" s="47" t="n">
        <x:v>1466251</x:v>
      </x:c>
      <x:c r="F1191" s="47" t="n">
        <x:f>D1191-E1191</x:f>
        <x:v>755285</x:v>
      </x:c>
      <x:c r="G1191" s="49" t="n">
        <x:v>38</x:v>
      </x:c>
      <x:c r="H1191" s="49" t="n">
        <x:v>12</x:v>
      </x:c>
      <x:c r="I1191" s="47" t="n">
        <x:v>454208</x:v>
      </x:c>
      <x:c r="J1191" s="49" t="n">
        <x:v>119</x:v>
      </x:c>
      <x:c r="K1191" s="47" t="n">
        <x:v>-131254</x:v>
      </x:c>
      <x:c r="L1191" s="47" t="n">
        <x:v>48392.25</x:v>
      </x:c>
      <x:c r="M1191" s="48" t="n">
        <x:v>248.86666666666667</x:v>
      </x:c>
      <x:c r="N1191" s="48" t="n">
        <x:v>113.58</x:v>
      </x:c>
      <x:c r="O1191" s="49" t="n">
        <x:v>5</x:v>
      </x:c>
      <x:c r="P1191" s="1" t="str">
        <x:v>従来基準</x:v>
      </x:c>
      <x:c r="Q1191" s="49" t="n">
        <x:v>0</x:v>
      </x:c>
      <x:c r="R1191" s="50" t="n">
        <x:v>0.23933369963369963</x:v>
      </x:c>
      <x:c r="S1191" s="50" t="n">
        <x:v>0.1893</x:v>
      </x:c>
      <x:c r="T1191" s="1" t="str">
        <x:v>全場</x:v>
      </x:c>
      <x:c r="U1191" s="49" t="n">
        <x:v>50</x:v>
      </x:c>
    </x:row>
    <x:row r="1192" ht="22" customHeight="1">
      <x:c r="A1192" s="1" t="str">
        <x:v>TOPIXmini</x:v>
      </x:c>
      <x:c r="B1192" s="1" t="str">
        <x:v>B5</x:v>
      </x:c>
      <x:c r="C1192" s="1" t="str">
        <x:v>全50場</x:v>
      </x:c>
      <x:c r="D1192" s="47" t="n">
        <x:v>1283248</x:v>
      </x:c>
      <x:c r="E1192" s="47" t="n">
        <x:v>888711</x:v>
      </x:c>
      <x:c r="F1192" s="47" t="n">
        <x:f>D1192-E1192</x:f>
        <x:v>394537</x:v>
      </x:c>
      <x:c r="G1192" s="49" t="n">
        <x:v>16</x:v>
      </x:c>
      <x:c r="H1192" s="49" t="n">
        <x:v>9</x:v>
      </x:c>
      <x:c r="I1192" s="47" t="n">
        <x:v>118041</x:v>
      </x:c>
      <x:c r="J1192" s="49" t="n">
        <x:v>55</x:v>
      </x:c>
      <x:c r="K1192" s="47" t="n">
        <x:v>-131254</x:v>
      </x:c>
      <x:c r="L1192" s="47" t="n">
        <x:v>48040.333333333336</x:v>
      </x:c>
      <x:c r="M1192" s="48" t="n">
        <x:v>103.26933333333332</x:v>
      </x:c>
      <x:c r="N1192" s="48" t="n">
        <x:v>170.56733333333332</x:v>
      </x:c>
      <x:c r="O1192" s="49" t="n">
        <x:v>5</x:v>
      </x:c>
      <x:c r="P1192" s="1" t="str">
        <x:v>従来基準</x:v>
      </x:c>
      <x:c r="Q1192" s="49" t="n">
        <x:v>0</x:v>
      </x:c>
      <x:c r="R1192" s="50" t="n">
        <x:v>0.40611269841269837</x:v>
      </x:c>
      <x:c r="S1192" s="50" t="n">
        <x:v>0.4061126984126984</x:v>
      </x:c>
      <x:c r="T1192" s="1" t="str">
        <x:v>デイ</x:v>
      </x:c>
      <x:c r="U1192" s="49" t="n">
        <x:v>25</x:v>
      </x:c>
    </x:row>
    <x:row r="1193" ht="22" customHeight="1">
      <x:c r="A1193" s="1" t="str">
        <x:v>TOPIXmini</x:v>
      </x:c>
      <x:c r="B1193" s="1" t="str">
        <x:v>B5</x:v>
      </x:c>
      <x:c r="C1193" s="1" t="str">
        <x:v>全50場</x:v>
      </x:c>
      <x:c r="D1193" s="47" t="n">
        <x:v>938288</x:v>
      </x:c>
      <x:c r="E1193" s="47" t="n">
        <x:v>577540</x:v>
      </x:c>
      <x:c r="F1193" s="47" t="n">
        <x:f>D1193-E1193</x:f>
        <x:v>360748</x:v>
      </x:c>
      <x:c r="G1193" s="49" t="n">
        <x:v>22</x:v>
      </x:c>
      <x:c r="H1193" s="49" t="n">
        <x:v>3</x:v>
      </x:c>
      <x:c r="I1193" s="47" t="n">
        <x:v>152428</x:v>
      </x:c>
      <x:c r="J1193" s="49" t="n">
        <x:v>64</x:v>
      </x:c>
      <x:c r="K1193" s="47" t="n">
        <x:v>-53754</x:v>
      </x:c>
      <x:c r="L1193" s="47" t="n">
        <x:v>49448</x:v>
      </x:c>
      <x:c r="M1193" s="48" t="n">
        <x:v>394.464</x:v>
      </x:c>
      <x:c r="N1193" s="48" t="n">
        <x:v>56.59266666666665</x:v>
      </x:c>
      <x:c r="O1193" s="49" t="n">
        <x:v>5</x:v>
      </x:c>
      <x:c r="P1193" s="1" t="str">
        <x:v>従来基準</x:v>
      </x:c>
      <x:c r="Q1193" s="49" t="n">
        <x:v>0</x:v>
      </x:c>
      <x:c r="R1193" s="50" t="n">
        <x:v>0.07255470085470084</x:v>
      </x:c>
      <x:c r="S1193" s="50" t="n">
        <x:v>0.07255470085470085</x:v>
      </x:c>
      <x:c r="T1193" s="1" t="str">
        <x:v>ナイト</x:v>
      </x:c>
      <x:c r="U1193" s="49" t="n">
        <x:v>25</x:v>
      </x:c>
    </x:row>
    <x:row r="1194" ht="22" customHeight="1">
      <x:c r="A1194" s="1" t="str">
        <x:v>TOPIXmini</x:v>
      </x:c>
      <x:c r="B1194" s="1" t="str">
        <x:v>B5</x:v>
      </x:c>
      <x:c r="C1194" s="1" t="str">
        <x:v>全50場</x:v>
      </x:c>
      <x:c r="D1194" s="47" t="n">
        <x:v>963314</x:v>
      </x:c>
      <x:c r="E1194" s="47" t="n">
        <x:v>711294</x:v>
      </x:c>
      <x:c r="F1194" s="47" t="n">
        <x:f>D1194-E1194</x:f>
        <x:v>252020</x:v>
      </x:c>
      <x:c r="G1194" s="49" t="n">
        <x:v>18</x:v>
      </x:c>
      <x:c r="H1194" s="49" t="n">
        <x:v>7</x:v>
      </x:c>
      <x:c r="I1194" s="47" t="n">
        <x:v>7188</x:v>
      </x:c>
      <x:c r="J1194" s="49" t="n">
        <x:v>55</x:v>
      </x:c>
      <x:c r="K1194" s="47" t="n">
        <x:v>-79172</x:v>
      </x:c>
      <x:c r="L1194" s="47" t="n">
        <x:v>47063</x:v>
      </x:c>
      <x:c r="M1194" s="48" t="n">
        <x:v>266.264</x:v>
      </x:c>
      <x:c r="N1194" s="48" t="n">
        <x:v>100.91666666666669</x:v>
      </x:c>
      <x:c r="O1194" s="49" t="n">
        <x:v>5</x:v>
      </x:c>
      <x:c r="P1194" s="1" t="str">
        <x:v>従来基準</x:v>
      </x:c>
      <x:c r="Q1194" s="49" t="n">
        <x:v>0</x:v>
      </x:c>
      <x:c r="R1194" s="50" t="n">
        <x:v>0.2098418803418803</x:v>
      </x:c>
      <x:c r="S1194" s="50" t="n">
        <x:v>0.1662000439174352</x:v>
      </x:c>
      <x:c r="T1194" s="1" t="str">
        <x:v>上昇</x:v>
      </x:c>
      <x:c r="U1194" s="49" t="n">
        <x:v>25</x:v>
      </x:c>
    </x:row>
    <x:row r="1195" ht="22" customHeight="1">
      <x:c r="A1195" s="1" t="str">
        <x:v>TOPIXmini</x:v>
      </x:c>
      <x:c r="B1195" s="1" t="str">
        <x:v>B5</x:v>
      </x:c>
      <x:c r="C1195" s="1" t="str">
        <x:v>全50場</x:v>
      </x:c>
      <x:c r="D1195" s="47" t="n">
        <x:v>1258222</x:v>
      </x:c>
      <x:c r="E1195" s="47" t="n">
        <x:v>754957</x:v>
      </x:c>
      <x:c r="F1195" s="47" t="n">
        <x:f>D1195-E1195</x:f>
        <x:v>503265</x:v>
      </x:c>
      <x:c r="G1195" s="49" t="n">
        <x:v>20</x:v>
      </x:c>
      <x:c r="H1195" s="49" t="n">
        <x:v>5</x:v>
      </x:c>
      <x:c r="I1195" s="47" t="n">
        <x:v>207525</x:v>
      </x:c>
      <x:c r="J1195" s="49" t="n">
        <x:v>64</x:v>
      </x:c>
      <x:c r="K1195" s="47" t="n">
        <x:v>-131254</x:v>
      </x:c>
      <x:c r="L1195" s="47" t="n">
        <x:v>50253.2</x:v>
      </x:c>
      <x:c r="M1195" s="48" t="n">
        <x:v>231.46933333333334</x:v>
      </x:c>
      <x:c r="N1195" s="48" t="n">
        <x:v>126.24333333333334</x:v>
      </x:c>
      <x:c r="O1195" s="49" t="n">
        <x:v>5</x:v>
      </x:c>
      <x:c r="P1195" s="1" t="str">
        <x:v>従来基準</x:v>
      </x:c>
      <x:c r="Q1195" s="49" t="n">
        <x:v>0</x:v>
      </x:c>
      <x:c r="R1195" s="50" t="n">
        <x:v>0.2688255189255189</x:v>
      </x:c>
      <x:c r="S1195" s="50" t="n">
        <x:v>0.21296108861898336</x:v>
      </x:c>
      <x:c r="T1195" s="1" t="str">
        <x:v>下落</x:v>
      </x:c>
      <x:c r="U1195" s="49" t="n">
        <x:v>25</x:v>
      </x:c>
    </x:row>
    <x:row r="1196" ht="22" customHeight="1">
      <x:c r="A1196" s="1" t="str">
        <x:v>TOPIXmini</x:v>
      </x:c>
      <x:c r="B1196" s="1" t="str">
        <x:v>B5</x:v>
      </x:c>
      <x:c r="C1196" s="1" t="str">
        <x:v>対照47場</x:v>
      </x:c>
      <x:c r="D1196" s="47" t="n">
        <x:v>2123208</x:v>
      </x:c>
      <x:c r="E1196" s="47" t="n">
        <x:v>1299161</x:v>
      </x:c>
      <x:c r="F1196" s="47" t="n">
        <x:f>D1196-E1196</x:f>
        <x:v>824047</x:v>
      </x:c>
      <x:c r="G1196" s="49" t="n">
        <x:v>36</x:v>
      </x:c>
      <x:c r="H1196" s="49" t="n">
        <x:v>11</x:v>
      </x:c>
      <x:c r="I1196" s="47" t="n">
        <x:v>522970</x:v>
      </x:c>
      <x:c r="J1196" s="49" t="n">
        <x:v>110</x:v>
      </x:c>
      <x:c r="K1196" s="47" t="n">
        <x:v>-79172</x:v>
      </x:c>
      <x:c r="L1196" s="47" t="n">
        <x:v>40859.36363636364</x:v>
      </x:c>
      <x:c r="M1196" s="48" t="n">
        <x:v>246.12127659574466</x:v>
      </x:c>
      <x:c r="N1196" s="48" t="n">
        <x:v>117.50496453900708</x:v>
      </x:c>
      <x:c r="O1196" s="49" t="n">
        <x:v>5</x:v>
      </x:c>
      <x:c r="P1196" s="1" t="str">
        <x:v>従来基準</x:v>
      </x:c>
      <x:c r="Q1196" s="49" t="n">
        <x:v>0</x:v>
      </x:c>
      <x:c r="R1196" s="50" t="n">
        <x:v>0.2490851583404775</x:v>
      </x:c>
      <x:c r="S1196" s="50" t="n">
        <x:v>0.1970996906971211</x:v>
      </x:c>
      <x:c r="T1196" s="1" t="str">
        <x:v>全場</x:v>
      </x:c>
      <x:c r="U1196" s="49" t="n">
        <x:v>47</x:v>
      </x:c>
    </x:row>
    <x:row r="1197" ht="22" customHeight="1">
      <x:c r="A1197" s="1" t="str">
        <x:v>TOPIXmini</x:v>
      </x:c>
      <x:c r="B1197" s="1" t="str">
        <x:v>B5</x:v>
      </x:c>
      <x:c r="C1197" s="1" t="str">
        <x:v>対照47場</x:v>
      </x:c>
      <x:c r="D1197" s="47" t="n">
        <x:v>1283248</x:v>
      </x:c>
      <x:c r="E1197" s="47" t="n">
        <x:v>757457</x:v>
      </x:c>
      <x:c r="F1197" s="47" t="n">
        <x:f>D1197-E1197</x:f>
        <x:v>525791</x:v>
      </x:c>
      <x:c r="G1197" s="49" t="n">
        <x:v>16</x:v>
      </x:c>
      <x:c r="H1197" s="49" t="n">
        <x:v>8</x:v>
      </x:c>
      <x:c r="I1197" s="47" t="n">
        <x:v>249295</x:v>
      </x:c>
      <x:c r="J1197" s="49" t="n">
        <x:v>52</x:v>
      </x:c>
      <x:c r="K1197" s="47" t="n">
        <x:v>-79172</x:v>
      </x:c>
      <x:c r="L1197" s="47" t="n">
        <x:v>37638.625</x:v>
      </x:c>
      <x:c r="M1197" s="48" t="n">
        <x:v>103.72291666666666</x:v>
      </x:c>
      <x:c r="N1197" s="48" t="n">
        <x:v>175.42430555555555</x:v>
      </x:c>
      <x:c r="O1197" s="49" t="n">
        <x:v>5</x:v>
      </x:c>
      <x:c r="P1197" s="1" t="str">
        <x:v>従来基準</x:v>
      </x:c>
      <x:c r="Q1197" s="49" t="n">
        <x:v>0</x:v>
      </x:c>
      <x:c r="R1197" s="50" t="n">
        <x:v>0.417676917989418</x:v>
      </x:c>
      <x:c r="S1197" s="50" t="n">
        <x:v>0.417676917989418</x:v>
      </x:c>
      <x:c r="T1197" s="1" t="str">
        <x:v>デイ</x:v>
      </x:c>
      <x:c r="U1197" s="49" t="n">
        <x:v>24</x:v>
      </x:c>
    </x:row>
    <x:row r="1198" ht="22" customHeight="1">
      <x:c r="A1198" s="1" t="str">
        <x:v>TOPIXmini</x:v>
      </x:c>
      <x:c r="B1198" s="1" t="str">
        <x:v>B5</x:v>
      </x:c>
      <x:c r="C1198" s="1" t="str">
        <x:v>対照47場</x:v>
      </x:c>
      <x:c r="D1198" s="47" t="n">
        <x:v>839960</x:v>
      </x:c>
      <x:c r="E1198" s="47" t="n">
        <x:v>541704</x:v>
      </x:c>
      <x:c r="F1198" s="47" t="n">
        <x:f>D1198-E1198</x:f>
        <x:v>298256</x:v>
      </x:c>
      <x:c r="G1198" s="49" t="n">
        <x:v>20</x:v>
      </x:c>
      <x:c r="H1198" s="49" t="n">
        <x:v>3</x:v>
      </x:c>
      <x:c r="I1198" s="47" t="n">
        <x:v>89936</x:v>
      </x:c>
      <x:c r="J1198" s="49" t="n">
        <x:v>58</x:v>
      </x:c>
      <x:c r="K1198" s="47" t="n">
        <x:v>-53754</x:v>
      </x:c>
      <x:c r="L1198" s="47" t="n">
        <x:v>49448</x:v>
      </x:c>
      <x:c r="M1198" s="48" t="n">
        <x:v>394.7108695652173</x:v>
      </x:c>
      <x:c r="N1198" s="48" t="n">
        <x:v>57.06739130434784</x:v>
      </x:c>
      <x:c r="O1198" s="49" t="n">
        <x:v>5</x:v>
      </x:c>
      <x:c r="P1198" s="1" t="str">
        <x:v>従来基準</x:v>
      </x:c>
      <x:c r="Q1198" s="49" t="n">
        <x:v>0</x:v>
      </x:c>
      <x:c r="R1198" s="50" t="n">
        <x:v>0.0731633221850613</x:v>
      </x:c>
      <x:c r="S1198" s="50" t="n">
        <x:v>0.07316332218506132</x:v>
      </x:c>
      <x:c r="T1198" s="1" t="str">
        <x:v>ナイト</x:v>
      </x:c>
      <x:c r="U1198" s="49" t="n">
        <x:v>23</x:v>
      </x:c>
    </x:row>
    <x:row r="1199" ht="22" customHeight="1">
      <x:c r="A1199" s="1" t="str">
        <x:v>TOPIXmini</x:v>
      </x:c>
      <x:c r="B1199" s="1" t="str">
        <x:v>B5</x:v>
      </x:c>
      <x:c r="C1199" s="1" t="str">
        <x:v>対照47場</x:v>
      </x:c>
      <x:c r="D1199" s="47" t="n">
        <x:v>931232</x:v>
      </x:c>
      <x:c r="E1199" s="47" t="n">
        <x:v>711294</x:v>
      </x:c>
      <x:c r="F1199" s="47" t="n">
        <x:f>D1199-E1199</x:f>
        <x:v>219938</x:v>
      </x:c>
      <x:c r="G1199" s="49" t="n">
        <x:v>17</x:v>
      </x:c>
      <x:c r="H1199" s="49" t="n">
        <x:v>7</x:v>
      </x:c>
      <x:c r="I1199" s="47" t="n">
        <x:v>-24894</x:v>
      </x:c>
      <x:c r="J1199" s="49" t="n">
        <x:v>54</x:v>
      </x:c>
      <x:c r="K1199" s="47" t="n">
        <x:v>-79172</x:v>
      </x:c>
      <x:c r="L1199" s="47" t="n">
        <x:v>47063</x:v>
      </x:c>
      <x:c r="M1199" s="48" t="n">
        <x:v>260.7236111111111</x:v>
      </x:c>
      <x:c r="N1199" s="48" t="n">
        <x:v>102.7</x:v>
      </x:c>
      <x:c r="O1199" s="49" t="n">
        <x:v>5</x:v>
      </x:c>
      <x:c r="P1199" s="1" t="str">
        <x:v>従来基準</x:v>
      </x:c>
      <x:c r="Q1199" s="49" t="n">
        <x:v>0</x:v>
      </x:c>
      <x:c r="R1199" s="50" t="n">
        <x:v>0.2154807692307692</x:v>
      </x:c>
      <x:c r="S1199" s="50" t="n">
        <x:v>0.1711666666666667</x:v>
      </x:c>
      <x:c r="T1199" s="1" t="str">
        <x:v>上昇</x:v>
      </x:c>
      <x:c r="U1199" s="49" t="n">
        <x:v>24</x:v>
      </x:c>
    </x:row>
    <x:row r="1200" ht="22" customHeight="1">
      <x:c r="A1200" s="1" t="str">
        <x:v>TOPIXmini</x:v>
      </x:c>
      <x:c r="B1200" s="1" t="str">
        <x:v>B5</x:v>
      </x:c>
      <x:c r="C1200" s="1" t="str">
        <x:v>対照47場</x:v>
      </x:c>
      <x:c r="D1200" s="47" t="n">
        <x:v>1191976</x:v>
      </x:c>
      <x:c r="E1200" s="47" t="n">
        <x:v>587867</x:v>
      </x:c>
      <x:c r="F1200" s="47" t="n">
        <x:f>D1200-E1200</x:f>
        <x:v>604109</x:v>
      </x:c>
      <x:c r="G1200" s="49" t="n">
        <x:v>19</x:v>
      </x:c>
      <x:c r="H1200" s="49" t="n">
        <x:v>4</x:v>
      </x:c>
      <x:c r="I1200" s="47" t="n">
        <x:v>308369</x:v>
      </x:c>
      <x:c r="J1200" s="49" t="n">
        <x:v>56</x:v>
      </x:c>
      <x:c r="K1200" s="47" t="n">
        <x:v>-43171</x:v>
      </x:c>
      <x:c r="L1200" s="47" t="n">
        <x:v>30003</x:v>
      </x:c>
      <x:c r="M1200" s="48" t="n">
        <x:v>230.88405797101447</x:v>
      </x:c>
      <x:c r="N1200" s="48" t="n">
        <x:v>132.9536231884058</x:v>
      </x:c>
      <x:c r="O1200" s="49" t="n">
        <x:v>5</x:v>
      </x:c>
      <x:c r="P1200" s="1" t="str">
        <x:v>従来基準</x:v>
      </x:c>
      <x:c r="Q1200" s="49" t="n">
        <x:v>0</x:v>
      </x:c>
      <x:c r="R1200" s="50" t="n">
        <x:v>0.28415060784626006</x:v>
      </x:c>
      <x:c r="S1200" s="50" t="n">
        <x:v>0.22451786588350464</x:v>
      </x:c>
      <x:c r="T1200" s="1" t="str">
        <x:v>下落</x:v>
      </x:c>
      <x:c r="U1200" s="49" t="n">
        <x:v>23</x:v>
      </x:c>
    </x:row>
    <x:row r="1201" ht="22" customHeight="1">
      <x:c r="A1201" s="1" t="str">
        <x:v>TOPIXmini</x:v>
      </x:c>
      <x:c r="B1201" s="1" t="str">
        <x:v>B5</x:v>
      </x:c>
      <x:c r="C1201" s="1" t="str">
        <x:v>診断3場</x:v>
      </x:c>
      <x:c r="D1201" s="47" t="n">
        <x:v>98328</x:v>
      </x:c>
      <x:c r="E1201" s="47" t="n">
        <x:v>167090</x:v>
      </x:c>
      <x:c r="F1201" s="47" t="n">
        <x:f>D1201-E1201</x:f>
        <x:v>-68762</x:v>
      </x:c>
      <x:c r="G1201" s="49" t="n">
        <x:v>2</x:v>
      </x:c>
      <x:c r="H1201" s="49" t="n">
        <x:v>1</x:v>
      </x:c>
      <x:c r="I1201" s="47" t="n">
        <x:v>-131254</x:v>
      </x:c>
      <x:c r="J1201" s="49" t="n">
        <x:v>9</x:v>
      </x:c>
      <x:c r="K1201" s="47" t="n">
        <x:v>-131254</x:v>
      </x:c>
      <x:c r="L1201" s="47" t="n">
        <x:v>131254</x:v>
      </x:c>
      <x:c r="M1201" s="48" t="n">
        <x:v>291.8777777777778</x:v>
      </x:c>
      <x:c r="N1201" s="48" t="n">
        <x:v>52.088888888888896</x:v>
      </x:c>
      <x:c r="O1201" s="49" t="n">
        <x:v>5</x:v>
      </x:c>
      <x:c r="P1201" s="1" t="str">
        <x:v>従来基準</x:v>
      </x:c>
      <x:c r="Q1201" s="49" t="n">
        <x:v>0</x:v>
      </x:c>
      <x:c r="R1201" s="50" t="n">
        <x:v>0.08656084656084655</x:v>
      </x:c>
      <x:c r="S1201" s="50" t="n">
        <x:v>0.07892255892255891</x:v>
      </x:c>
      <x:c r="T1201" s="1" t="str">
        <x:v>全場</x:v>
      </x:c>
      <x:c r="U1201" s="49" t="n">
        <x:v>3</x:v>
      </x:c>
    </x:row>
    <x:row r="1202" ht="22" customHeight="1">
      <x:c r="A1202" s="1" t="str">
        <x:v>TOPIXmini</x:v>
      </x:c>
      <x:c r="B1202" s="1" t="str">
        <x:v>B5</x:v>
      </x:c>
      <x:c r="C1202" s="1" t="str">
        <x:v>診断3場</x:v>
      </x:c>
      <x:c r="D1202" s="47" t="n">
        <x:v>0</x:v>
      </x:c>
      <x:c r="E1202" s="47" t="n">
        <x:v>131254</x:v>
      </x:c>
      <x:c r="F1202" s="47" t="n">
        <x:f>D1202-E1202</x:f>
        <x:v>-131254</x:v>
      </x:c>
      <x:c r="G1202" s="49" t="n">
        <x:v>0</x:v>
      </x:c>
      <x:c r="H1202" s="49" t="n">
        <x:v>1</x:v>
      </x:c>
      <x:c r="I1202" s="47" t="n">
        <x:v>-131254</x:v>
      </x:c>
      <x:c r="J1202" s="49" t="n">
        <x:v>3</x:v>
      </x:c>
      <x:c r="K1202" s="47" t="n">
        <x:v>-131254</x:v>
      </x:c>
      <x:c r="L1202" s="47" t="n">
        <x:v>131254</x:v>
      </x:c>
      <x:c r="M1202" s="48" t="n">
        <x:v>92.38333333333334</x:v>
      </x:c>
      <x:c r="N1202" s="48" t="n">
        <x:v>54</x:v>
      </x:c>
      <x:c r="O1202" s="49" t="n">
        <x:v>5</x:v>
      </x:c>
      <x:c r="P1202" s="1" t="str">
        <x:v>従来基準</x:v>
      </x:c>
      <x:c r="Q1202" s="49" t="n">
        <x:v>0</x:v>
      </x:c>
      <x:c r="R1202" s="50" t="n">
        <x:v>0.12857142857142856</x:v>
      </x:c>
      <x:c r="S1202" s="50" t="n">
        <x:v>0.12857142857142856</x:v>
      </x:c>
      <x:c r="T1202" s="1" t="str">
        <x:v>デイ</x:v>
      </x:c>
      <x:c r="U1202" s="49" t="n">
        <x:v>1</x:v>
      </x:c>
    </x:row>
    <x:row r="1203" ht="22" customHeight="1">
      <x:c r="A1203" s="1" t="str">
        <x:v>TOPIXmini</x:v>
      </x:c>
      <x:c r="B1203" s="1" t="str">
        <x:v>B5</x:v>
      </x:c>
      <x:c r="C1203" s="1" t="str">
        <x:v>診断3場</x:v>
      </x:c>
      <x:c r="D1203" s="47" t="n">
        <x:v>98328</x:v>
      </x:c>
      <x:c r="E1203" s="47" t="n">
        <x:v>35836</x:v>
      </x:c>
      <x:c r="F1203" s="47" t="n">
        <x:f>D1203-E1203</x:f>
        <x:v>62492</x:v>
      </x:c>
      <x:c r="G1203" s="49" t="n">
        <x:v>2</x:v>
      </x:c>
      <x:c r="H1203" s="49" t="n">
        <x:v>0</x:v>
      </x:c>
      <x:c r="I1203" s="47" t="n">
        <x:v>0</x:v>
      </x:c>
      <x:c r="J1203" s="49" t="n">
        <x:v>6</x:v>
      </x:c>
      <x:c r="K1203" s="47" t="n">
        <x:v>30410</x:v>
      </x:c>
      <x:c r="L1203" s="47" t="n">
        <x:v>0</x:v>
      </x:c>
      <x:c r="M1203" s="48" t="n">
        <x:v>391.625</x:v>
      </x:c>
      <x:c r="N1203" s="48" t="n">
        <x:v>51.13333333333333</x:v>
      </x:c>
      <x:c r="O1203" s="49" t="n">
        <x:v>5</x:v>
      </x:c>
      <x:c r="P1203" s="1" t="str">
        <x:v>従来基準</x:v>
      </x:c>
      <x:c r="Q1203" s="49" t="n">
        <x:v>0</x:v>
      </x:c>
      <x:c r="R1203" s="50" t="n">
        <x:v>0.06555555555555556</x:v>
      </x:c>
      <x:c r="S1203" s="50" t="n">
        <x:v>0.06555555555555556</x:v>
      </x:c>
      <x:c r="T1203" s="1" t="str">
        <x:v>ナイト</x:v>
      </x:c>
      <x:c r="U1203" s="49" t="n">
        <x:v>2</x:v>
      </x:c>
    </x:row>
    <x:row r="1204" ht="22" customHeight="1">
      <x:c r="A1204" s="1" t="str">
        <x:v>TOPIXmini</x:v>
      </x:c>
      <x:c r="B1204" s="1" t="str">
        <x:v>B5</x:v>
      </x:c>
      <x:c r="C1204" s="1" t="str">
        <x:v>診断3場</x:v>
      </x:c>
      <x:c r="D1204" s="47" t="n">
        <x:v>32082</x:v>
      </x:c>
      <x:c r="E1204" s="47" t="n">
        <x:v>0</x:v>
      </x:c>
      <x:c r="F1204" s="47" t="n">
        <x:f>D1204-E1204</x:f>
        <x:v>32082</x:v>
      </x:c>
      <x:c r="G1204" s="49" t="n">
        <x:v>1</x:v>
      </x:c>
      <x:c r="H1204" s="49" t="n">
        <x:v>0</x:v>
      </x:c>
      <x:c r="I1204" s="47" t="n">
        <x:v>0</x:v>
      </x:c>
      <x:c r="J1204" s="49" t="n">
        <x:v>1</x:v>
      </x:c>
      <x:c r="K1204" s="47" t="n">
        <x:v>32082</x:v>
      </x:c>
      <x:c r="L1204" s="47" t="n">
        <x:v>0</x:v>
      </x:c>
      <x:c r="M1204" s="48" t="n">
        <x:v>399.23333333333335</x:v>
      </x:c>
      <x:c r="N1204" s="48" t="n">
        <x:v>58.11666666666667</x:v>
      </x:c>
      <x:c r="O1204" s="49" t="n">
        <x:v>5</x:v>
      </x:c>
      <x:c r="P1204" s="1" t="str">
        <x:v>従来基準</x:v>
      </x:c>
      <x:c r="Q1204" s="49" t="n">
        <x:v>0</x:v>
      </x:c>
      <x:c r="R1204" s="50" t="n">
        <x:v>0.074508547008547</x:v>
      </x:c>
      <x:c r="S1204" s="50" t="n">
        <x:v>0.074508547008547</x:v>
      </x:c>
      <x:c r="T1204" s="1" t="str">
        <x:v>上昇</x:v>
      </x:c>
      <x:c r="U1204" s="49" t="n">
        <x:v>1</x:v>
      </x:c>
    </x:row>
    <x:row r="1205" ht="22" customHeight="1">
      <x:c r="A1205" s="1" t="str">
        <x:v>TOPIXmini</x:v>
      </x:c>
      <x:c r="B1205" s="1" t="str">
        <x:v>B5</x:v>
      </x:c>
      <x:c r="C1205" s="1" t="str">
        <x:v>診断3場</x:v>
      </x:c>
      <x:c r="D1205" s="47" t="n">
        <x:v>66246</x:v>
      </x:c>
      <x:c r="E1205" s="47" t="n">
        <x:v>167090</x:v>
      </x:c>
      <x:c r="F1205" s="47" t="n">
        <x:f>D1205-E1205</x:f>
        <x:v>-100844</x:v>
      </x:c>
      <x:c r="G1205" s="49" t="n">
        <x:v>1</x:v>
      </x:c>
      <x:c r="H1205" s="49" t="n">
        <x:v>1</x:v>
      </x:c>
      <x:c r="I1205" s="47" t="n">
        <x:v>-131254</x:v>
      </x:c>
      <x:c r="J1205" s="49" t="n">
        <x:v>8</x:v>
      </x:c>
      <x:c r="K1205" s="47" t="n">
        <x:v>-131254</x:v>
      </x:c>
      <x:c r="L1205" s="47" t="n">
        <x:v>131254</x:v>
      </x:c>
      <x:c r="M1205" s="48" t="n">
        <x:v>238.2</x:v>
      </x:c>
      <x:c r="N1205" s="48" t="n">
        <x:v>49.075</x:v>
      </x:c>
      <x:c r="O1205" s="49" t="n">
        <x:v>5</x:v>
      </x:c>
      <x:c r="P1205" s="1" t="str">
        <x:v>従来基準</x:v>
      </x:c>
      <x:c r="Q1205" s="49" t="n">
        <x:v>0</x:v>
      </x:c>
      <x:c r="R1205" s="50" t="n">
        <x:v>0.09258699633699632</x:v>
      </x:c>
      <x:c r="S1205" s="50" t="n">
        <x:v>0.08179166666666667</x:v>
      </x:c>
      <x:c r="T1205" s="1" t="str">
        <x:v>下落</x:v>
      </x:c>
      <x:c r="U1205" s="49" t="n">
        <x:v>2</x:v>
      </x:c>
    </x:row>
    <x:row r="1206" ht="22" customHeight="1">
      <x:c r="A1206" s="1" t="str">
        <x:v>TOPIXmini</x:v>
      </x:c>
      <x:c r="B1206" s="1" t="str">
        <x:v>C01</x:v>
      </x:c>
      <x:c r="C1206" s="1" t="str">
        <x:v>全50場</x:v>
      </x:c>
      <x:c r="D1206" s="47" t="n">
        <x:v>2408731</x:v>
      </x:c>
      <x:c r="E1206" s="47" t="n">
        <x:v>1557288</x:v>
      </x:c>
      <x:c r="F1206" s="47" t="n">
        <x:f>D1206-E1206</x:f>
        <x:v>851443</x:v>
      </x:c>
      <x:c r="G1206" s="49" t="n">
        <x:v>38</x:v>
      </x:c>
      <x:c r="H1206" s="49" t="n">
        <x:v>12</x:v>
      </x:c>
      <x:c r="I1206" s="47" t="n">
        <x:v>481195</x:v>
      </x:c>
      <x:c r="J1206" s="49" t="n">
        <x:v>176</x:v>
      </x:c>
      <x:c r="K1206" s="47" t="n">
        <x:v>-78162</x:v>
      </x:c>
      <x:c r="L1206" s="47" t="n">
        <x:v>32514.416666666668</x:v>
      </x:c>
      <x:c r="M1206" s="48" t="n">
        <x:v>192.85400000000004</x:v>
      </x:c>
      <x:c r="N1206" s="48" t="n">
        <x:v>144.645</x:v>
      </x:c>
      <x:c r="O1206" s="49" t="n">
        <x:v>5</x:v>
      </x:c>
      <x:c r="P1206" s="1" t="str">
        <x:v>中期逆向きだけ再進行確認</x:v>
      </x:c>
      <x:c r="Q1206" s="49" t="n">
        <x:v>0</x:v>
      </x:c>
      <x:c r="R1206" s="50" t="n">
        <x:v>0.3038199633699634</x:v>
      </x:c>
      <x:c r="S1206" s="50" t="n">
        <x:v>0.241075</x:v>
      </x:c>
      <x:c r="T1206" s="1" t="str">
        <x:v>全場</x:v>
      </x:c>
      <x:c r="U1206" s="49" t="n">
        <x:v>50</x:v>
      </x:c>
    </x:row>
    <x:row r="1207" ht="22" customHeight="1">
      <x:c r="A1207" s="1" t="str">
        <x:v>TOPIXmini</x:v>
      </x:c>
      <x:c r="B1207" s="1" t="str">
        <x:v>C01</x:v>
      </x:c>
      <x:c r="C1207" s="1" t="str">
        <x:v>全50場</x:v>
      </x:c>
      <x:c r="D1207" s="47" t="n">
        <x:v>1349847</x:v>
      </x:c>
      <x:c r="E1207" s="47" t="n">
        <x:v>881506</x:v>
      </x:c>
      <x:c r="F1207" s="47" t="n">
        <x:f>D1207-E1207</x:f>
        <x:v>468341</x:v>
      </x:c>
      <x:c r="G1207" s="49" t="n">
        <x:v>17</x:v>
      </x:c>
      <x:c r="H1207" s="49" t="n">
        <x:v>8</x:v>
      </x:c>
      <x:c r="I1207" s="47" t="n">
        <x:v>151091</x:v>
      </x:c>
      <x:c r="J1207" s="49" t="n">
        <x:v>87</x:v>
      </x:c>
      <x:c r="K1207" s="47" t="n">
        <x:v>-78162</x:v>
      </x:c>
      <x:c r="L1207" s="47" t="n">
        <x:v>34790.875</x:v>
      </x:c>
      <x:c r="M1207" s="48" t="n">
        <x:v>86.94333333333333</x:v>
      </x:c>
      <x:c r="N1207" s="48" t="n">
        <x:v>215.44733333333338</x:v>
      </x:c>
      <x:c r="O1207" s="49" t="n">
        <x:v>5</x:v>
      </x:c>
      <x:c r="P1207" s="1" t="str">
        <x:v>中期逆向きだけ再進行確認</x:v>
      </x:c>
      <x:c r="Q1207" s="49" t="n">
        <x:v>0</x:v>
      </x:c>
      <x:c r="R1207" s="50" t="n">
        <x:v>0.5129698412698412</x:v>
      </x:c>
      <x:c r="S1207" s="50" t="n">
        <x:v>0.5129698412698412</x:v>
      </x:c>
      <x:c r="T1207" s="1" t="str">
        <x:v>デイ</x:v>
      </x:c>
      <x:c r="U1207" s="49" t="n">
        <x:v>25</x:v>
      </x:c>
    </x:row>
    <x:row r="1208" ht="22" customHeight="1">
      <x:c r="A1208" s="1" t="str">
        <x:v>TOPIXmini</x:v>
      </x:c>
      <x:c r="B1208" s="1" t="str">
        <x:v>C01</x:v>
      </x:c>
      <x:c r="C1208" s="1" t="str">
        <x:v>全50場</x:v>
      </x:c>
      <x:c r="D1208" s="47" t="n">
        <x:v>1058884</x:v>
      </x:c>
      <x:c r="E1208" s="47" t="n">
        <x:v>675782</x:v>
      </x:c>
      <x:c r="F1208" s="47" t="n">
        <x:f>D1208-E1208</x:f>
        <x:v>383102</x:v>
      </x:c>
      <x:c r="G1208" s="49" t="n">
        <x:v>21</x:v>
      </x:c>
      <x:c r="H1208" s="49" t="n">
        <x:v>4</x:v>
      </x:c>
      <x:c r="I1208" s="47" t="n">
        <x:v>156196</x:v>
      </x:c>
      <x:c r="J1208" s="49" t="n">
        <x:v>89</x:v>
      </x:c>
      <x:c r="K1208" s="47" t="n">
        <x:v>-40836</x:v>
      </x:c>
      <x:c r="L1208" s="47" t="n">
        <x:v>27961.5</x:v>
      </x:c>
      <x:c r="M1208" s="48" t="n">
        <x:v>298.76466666666664</x:v>
      </x:c>
      <x:c r="N1208" s="48" t="n">
        <x:v>73.84266666666667</x:v>
      </x:c>
      <x:c r="O1208" s="49" t="n">
        <x:v>5</x:v>
      </x:c>
      <x:c r="P1208" s="1" t="str">
        <x:v>中期逆向きだけ再進行確認</x:v>
      </x:c>
      <x:c r="Q1208" s="49" t="n">
        <x:v>0</x:v>
      </x:c>
      <x:c r="R1208" s="50" t="n">
        <x:v>0.09467008547008547</x:v>
      </x:c>
      <x:c r="S1208" s="50" t="n">
        <x:v>0.09467008547008547</x:v>
      </x:c>
      <x:c r="T1208" s="1" t="str">
        <x:v>ナイト</x:v>
      </x:c>
      <x:c r="U1208" s="49" t="n">
        <x:v>25</x:v>
      </x:c>
    </x:row>
    <x:row r="1209" ht="22" customHeight="1">
      <x:c r="A1209" s="1" t="str">
        <x:v>TOPIXmini</x:v>
      </x:c>
      <x:c r="B1209" s="1" t="str">
        <x:v>C01</x:v>
      </x:c>
      <x:c r="C1209" s="1" t="str">
        <x:v>全50場</x:v>
      </x:c>
      <x:c r="D1209" s="47" t="n">
        <x:v>1009655</x:v>
      </x:c>
      <x:c r="E1209" s="47" t="n">
        <x:v>719688</x:v>
      </x:c>
      <x:c r="F1209" s="47" t="n">
        <x:f>D1209-E1209</x:f>
        <x:v>289967</x:v>
      </x:c>
      <x:c r="G1209" s="49" t="n">
        <x:v>17</x:v>
      </x:c>
      <x:c r="H1209" s="49" t="n">
        <x:v>8</x:v>
      </x:c>
      <x:c r="I1209" s="47" t="n">
        <x:v>53301</x:v>
      </x:c>
      <x:c r="J1209" s="49" t="n">
        <x:v>69</x:v>
      </x:c>
      <x:c r="K1209" s="47" t="n">
        <x:v>-62914</x:v>
      </x:c>
      <x:c r="L1209" s="47" t="n">
        <x:v>28875.625</x:v>
      </x:c>
      <x:c r="M1209" s="48" t="n">
        <x:v>212.516</x:v>
      </x:c>
      <x:c r="N1209" s="48" t="n">
        <x:v>134.24533333333332</x:v>
      </x:c>
      <x:c r="O1209" s="49" t="n">
        <x:v>5</x:v>
      </x:c>
      <x:c r="P1209" s="1" t="str">
        <x:v>中期逆向きだけ再進行確認</x:v>
      </x:c>
      <x:c r="Q1209" s="49" t="n">
        <x:v>0</x:v>
      </x:c>
      <x:c r="R1209" s="50" t="n">
        <x:v>0.27890354090354086</x:v>
      </x:c>
      <x:c r="S1209" s="50" t="n">
        <x:v>0.22108915239350022</x:v>
      </x:c>
      <x:c r="T1209" s="1" t="str">
        <x:v>上昇</x:v>
      </x:c>
      <x:c r="U1209" s="49" t="n">
        <x:v>25</x:v>
      </x:c>
    </x:row>
    <x:row r="1210" ht="22" customHeight="1">
      <x:c r="A1210" s="1" t="str">
        <x:v>TOPIXmini</x:v>
      </x:c>
      <x:c r="B1210" s="1" t="str">
        <x:v>C01</x:v>
      </x:c>
      <x:c r="C1210" s="1" t="str">
        <x:v>全50場</x:v>
      </x:c>
      <x:c r="D1210" s="47" t="n">
        <x:v>1399076</x:v>
      </x:c>
      <x:c r="E1210" s="47" t="n">
        <x:v>837600</x:v>
      </x:c>
      <x:c r="F1210" s="47" t="n">
        <x:f>D1210-E1210</x:f>
        <x:v>561476</x:v>
      </x:c>
      <x:c r="G1210" s="49" t="n">
        <x:v>21</x:v>
      </x:c>
      <x:c r="H1210" s="49" t="n">
        <x:v>4</x:v>
      </x:c>
      <x:c r="I1210" s="47" t="n">
        <x:v>191228</x:v>
      </x:c>
      <x:c r="J1210" s="49" t="n">
        <x:v>107</x:v>
      </x:c>
      <x:c r="K1210" s="47" t="n">
        <x:v>-78162</x:v>
      </x:c>
      <x:c r="L1210" s="47" t="n">
        <x:v>39792</x:v>
      </x:c>
      <x:c r="M1210" s="48" t="n">
        <x:v>173.192</x:v>
      </x:c>
      <x:c r="N1210" s="48" t="n">
        <x:v>155.0446666666667</x:v>
      </x:c>
      <x:c r="O1210" s="49" t="n">
        <x:v>5</x:v>
      </x:c>
      <x:c r="P1210" s="1" t="str">
        <x:v>中期逆向きだけ再進行確認</x:v>
      </x:c>
      <x:c r="Q1210" s="49" t="n">
        <x:v>0</x:v>
      </x:c>
      <x:c r="R1210" s="50" t="n">
        <x:v>0.32873638583638587</x:v>
      </x:c>
      <x:c r="S1210" s="50" t="n">
        <x:v>0.2615463337831759</x:v>
      </x:c>
      <x:c r="T1210" s="1" t="str">
        <x:v>下落</x:v>
      </x:c>
      <x:c r="U1210" s="49" t="n">
        <x:v>25</x:v>
      </x:c>
    </x:row>
    <x:row r="1211" ht="22" customHeight="1">
      <x:c r="A1211" s="1" t="str">
        <x:v>TOPIXmini</x:v>
      </x:c>
      <x:c r="B1211" s="1" t="str">
        <x:v>C01</x:v>
      </x:c>
      <x:c r="C1211" s="1" t="str">
        <x:v>対照47場</x:v>
      </x:c>
      <x:c r="D1211" s="47" t="n">
        <x:v>2235565</x:v>
      </x:c>
      <x:c r="E1211" s="47" t="n">
        <x:v>1364456</x:v>
      </x:c>
      <x:c r="F1211" s="47" t="n">
        <x:f>D1211-E1211</x:f>
        <x:v>871109</x:v>
      </x:c>
      <x:c r="G1211" s="49" t="n">
        <x:v>36</x:v>
      </x:c>
      <x:c r="H1211" s="49" t="n">
        <x:v>11</x:v>
      </x:c>
      <x:c r="I1211" s="47" t="n">
        <x:v>500861</x:v>
      </x:c>
      <x:c r="J1211" s="49" t="n">
        <x:v>155</x:v>
      </x:c>
      <x:c r="K1211" s="47" t="n">
        <x:v>-62914</x:v>
      </x:c>
      <x:c r="L1211" s="47" t="n">
        <x:v>28364.636363636364</x:v>
      </x:c>
      <x:c r="M1211" s="48" t="n">
        <x:v>200.03085106382977</x:v>
      </x:c>
      <x:c r="N1211" s="48" t="n">
        <x:v>146.47446808510637</x:v>
      </x:c>
      <x:c r="O1211" s="49" t="n">
        <x:v>5</x:v>
      </x:c>
      <x:c r="P1211" s="1" t="str">
        <x:v>中期逆向きだけ再進行確認</x:v>
      </x:c>
      <x:c r="Q1211" s="49" t="n">
        <x:v>0</x:v>
      </x:c>
      <x:c r="R1211" s="50" t="n">
        <x:v>0.30928844205439954</x:v>
      </x:c>
      <x:c r="S1211" s="50" t="n">
        <x:v>0.2456923625981442</x:v>
      </x:c>
      <x:c r="T1211" s="1" t="str">
        <x:v>全場</x:v>
      </x:c>
      <x:c r="U1211" s="49" t="n">
        <x:v>47</x:v>
      </x:c>
    </x:row>
    <x:row r="1212" ht="22" customHeight="1">
      <x:c r="A1212" s="1" t="str">
        <x:v>TOPIXmini</x:v>
      </x:c>
      <x:c r="B1212" s="1" t="str">
        <x:v>C01</x:v>
      </x:c>
      <x:c r="C1212" s="1" t="str">
        <x:v>対照47場</x:v>
      </x:c>
      <x:c r="D1212" s="47" t="n">
        <x:v>1299345</x:v>
      </x:c>
      <x:c r="E1212" s="47" t="n">
        <x:v>752842</x:v>
      </x:c>
      <x:c r="F1212" s="47" t="n">
        <x:f>D1212-E1212</x:f>
        <x:v>546503</x:v>
      </x:c>
      <x:c r="G1212" s="49" t="n">
        <x:v>17</x:v>
      </x:c>
      <x:c r="H1212" s="49" t="n">
        <x:v>7</x:v>
      </x:c>
      <x:c r="I1212" s="47" t="n">
        <x:v>229253</x:v>
      </x:c>
      <x:c r="J1212" s="49" t="n">
        <x:v>78</x:v>
      </x:c>
      <x:c r="K1212" s="47" t="n">
        <x:v>-62914</x:v>
      </x:c>
      <x:c r="L1212" s="47" t="n">
        <x:v>28595</x:v>
      </x:c>
      <x:c r="M1212" s="48" t="n">
        <x:v>88.73472222222222</x:v>
      </x:c>
      <x:c r="N1212" s="48" t="n">
        <x:v>216.52430555555557</x:v>
      </x:c>
      <x:c r="O1212" s="49" t="n">
        <x:v>5</x:v>
      </x:c>
      <x:c r="P1212" s="1" t="str">
        <x:v>中期逆向きだけ再進行確認</x:v>
      </x:c>
      <x:c r="Q1212" s="49" t="n">
        <x:v>0</x:v>
      </x:c>
      <x:c r="R1212" s="50" t="n">
        <x:v>0.5155340608465608</x:v>
      </x:c>
      <x:c r="S1212" s="50" t="n">
        <x:v>0.5155340608465608</x:v>
      </x:c>
      <x:c r="T1212" s="1" t="str">
        <x:v>デイ</x:v>
      </x:c>
      <x:c r="U1212" s="49" t="n">
        <x:v>24</x:v>
      </x:c>
    </x:row>
    <x:row r="1213" ht="22" customHeight="1">
      <x:c r="A1213" s="1" t="str">
        <x:v>TOPIXmini</x:v>
      </x:c>
      <x:c r="B1213" s="1" t="str">
        <x:v>C01</x:v>
      </x:c>
      <x:c r="C1213" s="1" t="str">
        <x:v>対照47場</x:v>
      </x:c>
      <x:c r="D1213" s="47" t="n">
        <x:v>936220</x:v>
      </x:c>
      <x:c r="E1213" s="47" t="n">
        <x:v>611614</x:v>
      </x:c>
      <x:c r="F1213" s="47" t="n">
        <x:f>D1213-E1213</x:f>
        <x:v>324606</x:v>
      </x:c>
      <x:c r="G1213" s="49" t="n">
        <x:v>19</x:v>
      </x:c>
      <x:c r="H1213" s="49" t="n">
        <x:v>4</x:v>
      </x:c>
      <x:c r="I1213" s="47" t="n">
        <x:v>97700</x:v>
      </x:c>
      <x:c r="J1213" s="49" t="n">
        <x:v>77</x:v>
      </x:c>
      <x:c r="K1213" s="47" t="n">
        <x:v>-40836</x:v>
      </x:c>
      <x:c r="L1213" s="47" t="n">
        <x:v>27961.5</x:v>
      </x:c>
      <x:c r="M1213" s="48" t="n">
        <x:v>316.16594202898546</x:v>
      </x:c>
      <x:c r="N1213" s="48" t="n">
        <x:v>73.37898550724637</x:v>
      </x:c>
      <x:c r="O1213" s="49" t="n">
        <x:v>5</x:v>
      </x:c>
      <x:c r="P1213" s="1" t="str">
        <x:v>中期逆向きだけ再進行確認</x:v>
      </x:c>
      <x:c r="Q1213" s="49" t="n">
        <x:v>0</x:v>
      </x:c>
      <x:c r="R1213" s="50" t="n">
        <x:v>0.09407562244518766</x:v>
      </x:c>
      <x:c r="S1213" s="50" t="n">
        <x:v>0.09407562244518766</x:v>
      </x:c>
      <x:c r="T1213" s="1" t="str">
        <x:v>ナイト</x:v>
      </x:c>
      <x:c r="U1213" s="49" t="n">
        <x:v>23</x:v>
      </x:c>
    </x:row>
    <x:row r="1214" ht="22" customHeight="1">
      <x:c r="A1214" s="1" t="str">
        <x:v>TOPIXmini</x:v>
      </x:c>
      <x:c r="B1214" s="1" t="str">
        <x:v>C01</x:v>
      </x:c>
      <x:c r="C1214" s="1" t="str">
        <x:v>対照47場</x:v>
      </x:c>
      <x:c r="D1214" s="47" t="n">
        <x:v>969905</x:v>
      </x:c>
      <x:c r="E1214" s="47" t="n">
        <x:v>701522</x:v>
      </x:c>
      <x:c r="F1214" s="47" t="n">
        <x:f>D1214-E1214</x:f>
        <x:v>268383</x:v>
      </x:c>
      <x:c r="G1214" s="49" t="n">
        <x:v>16</x:v>
      </x:c>
      <x:c r="H1214" s="49" t="n">
        <x:v>8</x:v>
      </x:c>
      <x:c r="I1214" s="47" t="n">
        <x:v>31717</x:v>
      </x:c>
      <x:c r="J1214" s="49" t="n">
        <x:v>65</x:v>
      </x:c>
      <x:c r="K1214" s="47" t="n">
        <x:v>-62914</x:v>
      </x:c>
      <x:c r="L1214" s="47" t="n">
        <x:v>28875.625</x:v>
      </x:c>
      <x:c r="M1214" s="48" t="n">
        <x:v>216.12222222222223</x:v>
      </x:c>
      <x:c r="N1214" s="48" t="n">
        <x:v>136.71944444444443</x:v>
      </x:c>
      <x:c r="O1214" s="49" t="n">
        <x:v>5</x:v>
      </x:c>
      <x:c r="P1214" s="1" t="str">
        <x:v>中期逆向きだけ再進行確認</x:v>
      </x:c>
      <x:c r="Q1214" s="49" t="n">
        <x:v>0</x:v>
      </x:c>
      <x:c r="R1214" s="50" t="n">
        <x:v>0.286525234025234</x:v>
      </x:c>
      <x:c r="S1214" s="50" t="n">
        <x:v>0.22786574074074073</x:v>
      </x:c>
      <x:c r="T1214" s="1" t="str">
        <x:v>上昇</x:v>
      </x:c>
      <x:c r="U1214" s="49" t="n">
        <x:v>24</x:v>
      </x:c>
    </x:row>
    <x:row r="1215" ht="22" customHeight="1">
      <x:c r="A1215" s="1" t="str">
        <x:v>TOPIXmini</x:v>
      </x:c>
      <x:c r="B1215" s="1" t="str">
        <x:v>C01</x:v>
      </x:c>
      <x:c r="C1215" s="1" t="str">
        <x:v>対照47場</x:v>
      </x:c>
      <x:c r="D1215" s="47" t="n">
        <x:v>1265660</x:v>
      </x:c>
      <x:c r="E1215" s="47" t="n">
        <x:v>662934</x:v>
      </x:c>
      <x:c r="F1215" s="47" t="n">
        <x:f>D1215-E1215</x:f>
        <x:v>602726</x:v>
      </x:c>
      <x:c r="G1215" s="49" t="n">
        <x:v>20</x:v>
      </x:c>
      <x:c r="H1215" s="49" t="n">
        <x:v>3</x:v>
      </x:c>
      <x:c r="I1215" s="47" t="n">
        <x:v>232478</x:v>
      </x:c>
      <x:c r="J1215" s="49" t="n">
        <x:v>90</x:v>
      </x:c>
      <x:c r="K1215" s="47" t="n">
        <x:v>-40836</x:v>
      </x:c>
      <x:c r="L1215" s="47" t="n">
        <x:v>27002</x:v>
      </x:c>
      <x:c r="M1215" s="48" t="n">
        <x:v>183.23985507246377</x:v>
      </x:c>
      <x:c r="N1215" s="48" t="n">
        <x:v>156.6536231884058</x:v>
      </x:c>
      <x:c r="O1215" s="49" t="n">
        <x:v>5</x:v>
      </x:c>
      <x:c r="P1215" s="1" t="str">
        <x:v>中期逆向きだけ再進行確認</x:v>
      </x:c>
      <x:c r="Q1215" s="49" t="n">
        <x:v>0</x:v>
      </x:c>
      <x:c r="R1215" s="50" t="n">
        <x:v>0.33304135478048524</x:v>
      </x:c>
      <x:c r="S1215" s="50" t="n">
        <x:v>0.26453989231522274</x:v>
      </x:c>
      <x:c r="T1215" s="1" t="str">
        <x:v>下落</x:v>
      </x:c>
      <x:c r="U1215" s="49" t="n">
        <x:v>23</x:v>
      </x:c>
    </x:row>
    <x:row r="1216" ht="22" customHeight="1">
      <x:c r="A1216" s="1" t="str">
        <x:v>TOPIXmini</x:v>
      </x:c>
      <x:c r="B1216" s="1" t="str">
        <x:v>C01</x:v>
      </x:c>
      <x:c r="C1216" s="1" t="str">
        <x:v>診断3場</x:v>
      </x:c>
      <x:c r="D1216" s="47" t="n">
        <x:v>173166</x:v>
      </x:c>
      <x:c r="E1216" s="47" t="n">
        <x:v>192832</x:v>
      </x:c>
      <x:c r="F1216" s="47" t="n">
        <x:f>D1216-E1216</x:f>
        <x:v>-19666</x:v>
      </x:c>
      <x:c r="G1216" s="49" t="n">
        <x:v>2</x:v>
      </x:c>
      <x:c r="H1216" s="49" t="n">
        <x:v>1</x:v>
      </x:c>
      <x:c r="I1216" s="47" t="n">
        <x:v>-78162</x:v>
      </x:c>
      <x:c r="J1216" s="49" t="n">
        <x:v>21</x:v>
      </x:c>
      <x:c r="K1216" s="47" t="n">
        <x:v>-78162</x:v>
      </x:c>
      <x:c r="L1216" s="47" t="n">
        <x:v>78162</x:v>
      </x:c>
      <x:c r="M1216" s="48" t="n">
        <x:v>80.41666666666667</x:v>
      </x:c>
      <x:c r="N1216" s="48" t="n">
        <x:v>115.98333333333333</x:v>
      </x:c>
      <x:c r="O1216" s="49" t="n">
        <x:v>5</x:v>
      </x:c>
      <x:c r="P1216" s="1" t="str">
        <x:v>中期逆向きだけ再進行確認</x:v>
      </x:c>
      <x:c r="Q1216" s="49" t="n">
        <x:v>0</x:v>
      </x:c>
      <x:c r="R1216" s="50" t="n">
        <x:v>0.21814713064713062</x:v>
      </x:c>
      <x:c r="S1216" s="50" t="n">
        <x:v>0.17573232323232324</x:v>
      </x:c>
      <x:c r="T1216" s="1" t="str">
        <x:v>全場</x:v>
      </x:c>
      <x:c r="U1216" s="49" t="n">
        <x:v>3</x:v>
      </x:c>
    </x:row>
    <x:row r="1217" ht="22" customHeight="1">
      <x:c r="A1217" s="1" t="str">
        <x:v>TOPIXmini</x:v>
      </x:c>
      <x:c r="B1217" s="1" t="str">
        <x:v>C01</x:v>
      </x:c>
      <x:c r="C1217" s="1" t="str">
        <x:v>診断3場</x:v>
      </x:c>
      <x:c r="D1217" s="47" t="n">
        <x:v>50502</x:v>
      </x:c>
      <x:c r="E1217" s="47" t="n">
        <x:v>128664</x:v>
      </x:c>
      <x:c r="F1217" s="47" t="n">
        <x:f>D1217-E1217</x:f>
        <x:v>-78162</x:v>
      </x:c>
      <x:c r="G1217" s="49" t="n">
        <x:v>0</x:v>
      </x:c>
      <x:c r="H1217" s="49" t="n">
        <x:v>1</x:v>
      </x:c>
      <x:c r="I1217" s="47" t="n">
        <x:v>-78162</x:v>
      </x:c>
      <x:c r="J1217" s="49" t="n">
        <x:v>9</x:v>
      </x:c>
      <x:c r="K1217" s="47" t="n">
        <x:v>-78162</x:v>
      </x:c>
      <x:c r="L1217" s="47" t="n">
        <x:v>78162</x:v>
      </x:c>
      <x:c r="M1217" s="48" t="n">
        <x:v>43.95</x:v>
      </x:c>
      <x:c r="N1217" s="48" t="n">
        <x:v>189.6</x:v>
      </x:c>
      <x:c r="O1217" s="49" t="n">
        <x:v>5</x:v>
      </x:c>
      <x:c r="P1217" s="1" t="str">
        <x:v>中期逆向きだけ再進行確認</x:v>
      </x:c>
      <x:c r="Q1217" s="49" t="n">
        <x:v>0</x:v>
      </x:c>
      <x:c r="R1217" s="50" t="n">
        <x:v>0.4514285714285714</x:v>
      </x:c>
      <x:c r="S1217" s="50" t="n">
        <x:v>0.4514285714285714</x:v>
      </x:c>
      <x:c r="T1217" s="1" t="str">
        <x:v>デイ</x:v>
      </x:c>
      <x:c r="U1217" s="49" t="n">
        <x:v>1</x:v>
      </x:c>
    </x:row>
    <x:row r="1218" ht="22" customHeight="1">
      <x:c r="A1218" s="1" t="str">
        <x:v>TOPIXmini</x:v>
      </x:c>
      <x:c r="B1218" s="1" t="str">
        <x:v>C01</x:v>
      </x:c>
      <x:c r="C1218" s="1" t="str">
        <x:v>診断3場</x:v>
      </x:c>
      <x:c r="D1218" s="47" t="n">
        <x:v>122664</x:v>
      </x:c>
      <x:c r="E1218" s="47" t="n">
        <x:v>64168</x:v>
      </x:c>
      <x:c r="F1218" s="47" t="n">
        <x:f>D1218-E1218</x:f>
        <x:v>58496</x:v>
      </x:c>
      <x:c r="G1218" s="49" t="n">
        <x:v>2</x:v>
      </x:c>
      <x:c r="H1218" s="49" t="n">
        <x:v>0</x:v>
      </x:c>
      <x:c r="I1218" s="47" t="n">
        <x:v>0</x:v>
      </x:c>
      <x:c r="J1218" s="49" t="n">
        <x:v>12</x:v>
      </x:c>
      <x:c r="K1218" s="47" t="n">
        <x:v>21584</x:v>
      </x:c>
      <x:c r="L1218" s="47" t="n">
        <x:v>0</x:v>
      </x:c>
      <x:c r="M1218" s="48" t="n">
        <x:v>98.65</x:v>
      </x:c>
      <x:c r="N1218" s="48" t="n">
        <x:v>79.175</x:v>
      </x:c>
      <x:c r="O1218" s="49" t="n">
        <x:v>5</x:v>
      </x:c>
      <x:c r="P1218" s="1" t="str">
        <x:v>中期逆向きだけ再進行確認</x:v>
      </x:c>
      <x:c r="Q1218" s="49" t="n">
        <x:v>0</x:v>
      </x:c>
      <x:c r="R1218" s="50" t="n">
        <x:v>0.10150641025641026</x:v>
      </x:c>
      <x:c r="S1218" s="50" t="n">
        <x:v>0.10150641025641026</x:v>
      </x:c>
      <x:c r="T1218" s="1" t="str">
        <x:v>ナイト</x:v>
      </x:c>
      <x:c r="U1218" s="49" t="n">
        <x:v>2</x:v>
      </x:c>
    </x:row>
    <x:row r="1219" ht="22" customHeight="1">
      <x:c r="A1219" s="1" t="str">
        <x:v>TOPIXmini</x:v>
      </x:c>
      <x:c r="B1219" s="1" t="str">
        <x:v>C01</x:v>
      </x:c>
      <x:c r="C1219" s="1" t="str">
        <x:v>診断3場</x:v>
      </x:c>
      <x:c r="D1219" s="47" t="n">
        <x:v>39750</x:v>
      </x:c>
      <x:c r="E1219" s="47" t="n">
        <x:v>18166</x:v>
      </x:c>
      <x:c r="F1219" s="47" t="n">
        <x:f>D1219-E1219</x:f>
        <x:v>21584</x:v>
      </x:c>
      <x:c r="G1219" s="49" t="n">
        <x:v>1</x:v>
      </x:c>
      <x:c r="H1219" s="49" t="n">
        <x:v>0</x:v>
      </x:c>
      <x:c r="I1219" s="47" t="n">
        <x:v>0</x:v>
      </x:c>
      <x:c r="J1219" s="49" t="n">
        <x:v>4</x:v>
      </x:c>
      <x:c r="K1219" s="47" t="n">
        <x:v>21584</x:v>
      </x:c>
      <x:c r="L1219" s="47" t="n">
        <x:v>0</x:v>
      </x:c>
      <x:c r="M1219" s="48" t="n">
        <x:v>125.96666666666667</x:v>
      </x:c>
      <x:c r="N1219" s="48" t="n">
        <x:v>74.86666666666666</x:v>
      </x:c>
      <x:c r="O1219" s="49" t="n">
        <x:v>5</x:v>
      </x:c>
      <x:c r="P1219" s="1" t="str">
        <x:v>中期逆向きだけ再進行確認</x:v>
      </x:c>
      <x:c r="Q1219" s="49" t="n">
        <x:v>0</x:v>
      </x:c>
      <x:c r="R1219" s="50" t="n">
        <x:v>0.09598290598290599</x:v>
      </x:c>
      <x:c r="S1219" s="50" t="n">
        <x:v>0.09598290598290597</x:v>
      </x:c>
      <x:c r="T1219" s="1" t="str">
        <x:v>上昇</x:v>
      </x:c>
      <x:c r="U1219" s="49" t="n">
        <x:v>1</x:v>
      </x:c>
    </x:row>
    <x:row r="1220" ht="22" customHeight="1">
      <x:c r="A1220" s="1" t="str">
        <x:v>TOPIXmini</x:v>
      </x:c>
      <x:c r="B1220" s="1" t="str">
        <x:v>C01</x:v>
      </x:c>
      <x:c r="C1220" s="1" t="str">
        <x:v>診断3場</x:v>
      </x:c>
      <x:c r="D1220" s="47" t="n">
        <x:v>133416</x:v>
      </x:c>
      <x:c r="E1220" s="47" t="n">
        <x:v>174666</x:v>
      </x:c>
      <x:c r="F1220" s="47" t="n">
        <x:f>D1220-E1220</x:f>
        <x:v>-41250</x:v>
      </x:c>
      <x:c r="G1220" s="49" t="n">
        <x:v>1</x:v>
      </x:c>
      <x:c r="H1220" s="49" t="n">
        <x:v>1</x:v>
      </x:c>
      <x:c r="I1220" s="47" t="n">
        <x:v>-78162</x:v>
      </x:c>
      <x:c r="J1220" s="49" t="n">
        <x:v>17</x:v>
      </x:c>
      <x:c r="K1220" s="47" t="n">
        <x:v>-78162</x:v>
      </x:c>
      <x:c r="L1220" s="47" t="n">
        <x:v>78162</x:v>
      </x:c>
      <x:c r="M1220" s="48" t="n">
        <x:v>57.641666666666666</x:v>
      </x:c>
      <x:c r="N1220" s="48" t="n">
        <x:v>136.54166666666666</x:v>
      </x:c>
      <x:c r="O1220" s="49" t="n">
        <x:v>5</x:v>
      </x:c>
      <x:c r="P1220" s="1" t="str">
        <x:v>中期逆向きだけ再進行確認</x:v>
      </x:c>
      <x:c r="Q1220" s="49" t="n">
        <x:v>0</x:v>
      </x:c>
      <x:c r="R1220" s="50" t="n">
        <x:v>0.27922924297924295</x:v>
      </x:c>
      <x:c r="S1220" s="50" t="n">
        <x:v>0.22756944444444444</x:v>
      </x:c>
      <x:c r="T1220" s="1" t="str">
        <x:v>下落</x:v>
      </x:c>
      <x:c r="U1220" s="49" t="n">
        <x:v>2</x:v>
      </x:c>
    </x:row>
    <x:row r="1221" ht="22" customHeight="1">
      <x:c r="A1221" s="1" t="str">
        <x:v>TOPIXmini</x:v>
      </x:c>
      <x:c r="B1221" s="1" t="str">
        <x:v>C02</x:v>
      </x:c>
      <x:c r="C1221" s="1" t="str">
        <x:v>全50場</x:v>
      </x:c>
      <x:c r="D1221" s="47" t="n">
        <x:v>2302310</x:v>
      </x:c>
      <x:c r="E1221" s="47" t="n">
        <x:v>1620048</x:v>
      </x:c>
      <x:c r="F1221" s="47" t="n">
        <x:f>D1221-E1221</x:f>
        <x:v>682262</x:v>
      </x:c>
      <x:c r="G1221" s="49" t="n">
        <x:v>38</x:v>
      </x:c>
      <x:c r="H1221" s="49" t="n">
        <x:v>12</x:v>
      </x:c>
      <x:c r="I1221" s="47" t="n">
        <x:v>331184</x:v>
      </x:c>
      <x:c r="J1221" s="49" t="n">
        <x:v>168</x:v>
      </x:c>
      <x:c r="K1221" s="47" t="n">
        <x:v>-86082</x:v>
      </x:c>
      <x:c r="L1221" s="47" t="n">
        <x:v>46743.5</x:v>
      </x:c>
      <x:c r="M1221" s="48" t="n">
        <x:v>199.58066666666664</x:v>
      </x:c>
      <x:c r="N1221" s="48" t="n">
        <x:v>133.58833333333334</x:v>
      </x:c>
      <x:c r="O1221" s="49" t="n">
        <x:v>5</x:v>
      </x:c>
      <x:c r="P1221" s="1" t="str">
        <x:v>二市場の時間軸合意で入口確認を選ぶ</x:v>
      </x:c>
      <x:c r="Q1221" s="49" t="n">
        <x:v>0</x:v>
      </x:c>
      <x:c r="R1221" s="50" t="n">
        <x:v>0.2796498778998779</x:v>
      </x:c>
      <x:c r="S1221" s="50" t="n">
        <x:v>0.22264722222222222</x:v>
      </x:c>
      <x:c r="T1221" s="1" t="str">
        <x:v>全場</x:v>
      </x:c>
      <x:c r="U1221" s="49" t="n">
        <x:v>50</x:v>
      </x:c>
    </x:row>
    <x:row r="1222" ht="22" customHeight="1">
      <x:c r="A1222" s="1" t="str">
        <x:v>TOPIXmini</x:v>
      </x:c>
      <x:c r="B1222" s="1" t="str">
        <x:v>C02</x:v>
      </x:c>
      <x:c r="C1222" s="1" t="str">
        <x:v>全50場</x:v>
      </x:c>
      <x:c r="D1222" s="47" t="n">
        <x:v>1266762</x:v>
      </x:c>
      <x:c r="E1222" s="47" t="n">
        <x:v>961598</x:v>
      </x:c>
      <x:c r="F1222" s="47" t="n">
        <x:f>D1222-E1222</x:f>
        <x:v>305164</x:v>
      </x:c>
      <x:c r="G1222" s="49" t="n">
        <x:v>16</x:v>
      </x:c>
      <x:c r="H1222" s="49" t="n">
        <x:v>9</x:v>
      </x:c>
      <x:c r="I1222" s="47" t="n">
        <x:v>-13418</x:v>
      </x:c>
      <x:c r="J1222" s="49" t="n">
        <x:v>85</x:v>
      </x:c>
      <x:c r="K1222" s="47" t="n">
        <x:v>-86082</x:v>
      </x:c>
      <x:c r="L1222" s="47" t="n">
        <x:v>49471.77777777778</x:v>
      </x:c>
      <x:c r="M1222" s="48" t="n">
        <x:v>87.76199999999999</x:v>
      </x:c>
      <x:c r="N1222" s="48" t="n">
        <x:v>197.2566666666667</x:v>
      </x:c>
      <x:c r="O1222" s="49" t="n">
        <x:v>5</x:v>
      </x:c>
      <x:c r="P1222" s="1" t="str">
        <x:v>二市場の時間軸合意で入口確認を選ぶ</x:v>
      </x:c>
      <x:c r="Q1222" s="49" t="n">
        <x:v>0</x:v>
      </x:c>
      <x:c r="R1222" s="50" t="n">
        <x:v>0.46965873015873016</x:v>
      </x:c>
      <x:c r="S1222" s="50" t="n">
        <x:v>0.46965873015873016</x:v>
      </x:c>
      <x:c r="T1222" s="1" t="str">
        <x:v>デイ</x:v>
      </x:c>
      <x:c r="U1222" s="49" t="n">
        <x:v>25</x:v>
      </x:c>
    </x:row>
    <x:row r="1223" ht="22" customHeight="1">
      <x:c r="A1223" s="1" t="str">
        <x:v>TOPIXmini</x:v>
      </x:c>
      <x:c r="B1223" s="1" t="str">
        <x:v>C02</x:v>
      </x:c>
      <x:c r="C1223" s="1" t="str">
        <x:v>全50場</x:v>
      </x:c>
      <x:c r="D1223" s="47" t="n">
        <x:v>1035548</x:v>
      </x:c>
      <x:c r="E1223" s="47" t="n">
        <x:v>658450</x:v>
      </x:c>
      <x:c r="F1223" s="47" t="n">
        <x:f>D1223-E1223</x:f>
        <x:v>377098</x:v>
      </x:c>
      <x:c r="G1223" s="49" t="n">
        <x:v>22</x:v>
      </x:c>
      <x:c r="H1223" s="49" t="n">
        <x:v>3</x:v>
      </x:c>
      <x:c r="I1223" s="47" t="n">
        <x:v>170694</x:v>
      </x:c>
      <x:c r="J1223" s="49" t="n">
        <x:v>83</x:v>
      </x:c>
      <x:c r="K1223" s="47" t="n">
        <x:v>-40836</x:v>
      </x:c>
      <x:c r="L1223" s="47" t="n">
        <x:v>38558.666666666664</x:v>
      </x:c>
      <x:c r="M1223" s="48" t="n">
        <x:v>311.3993333333333</x:v>
      </x:c>
      <x:c r="N1223" s="48" t="n">
        <x:v>69.91999999999999</x:v>
      </x:c>
      <x:c r="O1223" s="49" t="n">
        <x:v>5</x:v>
      </x:c>
      <x:c r="P1223" s="1" t="str">
        <x:v>二市場の時間軸合意で入口確認を選ぶ</x:v>
      </x:c>
      <x:c r="Q1223" s="49" t="n">
        <x:v>0</x:v>
      </x:c>
      <x:c r="R1223" s="50" t="n">
        <x:v>0.08964102564102565</x:v>
      </x:c>
      <x:c r="S1223" s="50" t="n">
        <x:v>0.08964102564102563</x:v>
      </x:c>
      <x:c r="T1223" s="1" t="str">
        <x:v>ナイト</x:v>
      </x:c>
      <x:c r="U1223" s="49" t="n">
        <x:v>25</x:v>
      </x:c>
    </x:row>
    <x:row r="1224" ht="22" customHeight="1">
      <x:c r="A1224" s="1" t="str">
        <x:v>TOPIXmini</x:v>
      </x:c>
      <x:c r="B1224" s="1" t="str">
        <x:v>C02</x:v>
      </x:c>
      <x:c r="C1224" s="1" t="str">
        <x:v>全50場</x:v>
      </x:c>
      <x:c r="D1224" s="47" t="n">
        <x:v>1025489</x:v>
      </x:c>
      <x:c r="E1224" s="47" t="n">
        <x:v>800780</x:v>
      </x:c>
      <x:c r="F1224" s="47" t="n">
        <x:f>D1224-E1224</x:f>
        <x:v>224709</x:v>
      </x:c>
      <x:c r="G1224" s="49" t="n">
        <x:v>18</x:v>
      </x:c>
      <x:c r="H1224" s="49" t="n">
        <x:v>7</x:v>
      </x:c>
      <x:c r="I1224" s="47" t="n">
        <x:v>-11957</x:v>
      </x:c>
      <x:c r="J1224" s="49" t="n">
        <x:v>72</x:v>
      </x:c>
      <x:c r="K1224" s="47" t="n">
        <x:v>-70670</x:v>
      </x:c>
      <x:c r="L1224" s="47" t="n">
        <x:v>43787.142857142855</x:v>
      </x:c>
      <x:c r="M1224" s="48" t="n">
        <x:v>213.88866666666664</x:v>
      </x:c>
      <x:c r="N1224" s="48" t="n">
        <x:v>126.70933333333335</x:v>
      </x:c>
      <x:c r="O1224" s="49" t="n">
        <x:v>5</x:v>
      </x:c>
      <x:c r="P1224" s="1" t="str">
        <x:v>二市場の時間軸合意で入口確認を選ぶ</x:v>
      </x:c>
      <x:c r="Q1224" s="49" t="n">
        <x:v>0</x:v>
      </x:c>
      <x:c r="R1224" s="50" t="n">
        <x:v>0.26164639804639805</x:v>
      </x:c>
      <x:c r="S1224" s="50" t="n">
        <x:v>0.2086780851998243</x:v>
      </x:c>
      <x:c r="T1224" s="1" t="str">
        <x:v>上昇</x:v>
      </x:c>
      <x:c r="U1224" s="49" t="n">
        <x:v>25</x:v>
      </x:c>
    </x:row>
    <x:row r="1225" ht="22" customHeight="1">
      <x:c r="A1225" s="1" t="str">
        <x:v>TOPIXmini</x:v>
      </x:c>
      <x:c r="B1225" s="1" t="str">
        <x:v>C02</x:v>
      </x:c>
      <x:c r="C1225" s="1" t="str">
        <x:v>全50場</x:v>
      </x:c>
      <x:c r="D1225" s="47" t="n">
        <x:v>1276821</x:v>
      </x:c>
      <x:c r="E1225" s="47" t="n">
        <x:v>819268</x:v>
      </x:c>
      <x:c r="F1225" s="47" t="n">
        <x:f>D1225-E1225</x:f>
        <x:v>457553</x:v>
      </x:c>
      <x:c r="G1225" s="49" t="n">
        <x:v>20</x:v>
      </x:c>
      <x:c r="H1225" s="49" t="n">
        <x:v>5</x:v>
      </x:c>
      <x:c r="I1225" s="47" t="n">
        <x:v>106475</x:v>
      </x:c>
      <x:c r="J1225" s="49" t="n">
        <x:v>96</x:v>
      </x:c>
      <x:c r="K1225" s="47" t="n">
        <x:v>-86082</x:v>
      </x:c>
      <x:c r="L1225" s="47" t="n">
        <x:v>50882.4</x:v>
      </x:c>
      <x:c r="M1225" s="48" t="n">
        <x:v>185.27266666666665</x:v>
      </x:c>
      <x:c r="N1225" s="48" t="n">
        <x:v>140.46733333333333</x:v>
      </x:c>
      <x:c r="O1225" s="49" t="n">
        <x:v>5</x:v>
      </x:c>
      <x:c r="P1225" s="1" t="str">
        <x:v>二市場の時間軸合意で入口確認を選ぶ</x:v>
      </x:c>
      <x:c r="Q1225" s="49" t="n">
        <x:v>0</x:v>
      </x:c>
      <x:c r="R1225" s="50" t="n">
        <x:v>0.2976533577533578</x:v>
      </x:c>
      <x:c r="S1225" s="50" t="n">
        <x:v>0.2369556905083221</x:v>
      </x:c>
      <x:c r="T1225" s="1" t="str">
        <x:v>下落</x:v>
      </x:c>
      <x:c r="U1225" s="49" t="n">
        <x:v>25</x:v>
      </x:c>
    </x:row>
    <x:row r="1226" ht="22" customHeight="1">
      <x:c r="A1226" s="1" t="str">
        <x:v>TOPIXmini</x:v>
      </x:c>
      <x:c r="B1226" s="1" t="str">
        <x:v>C02</x:v>
      </x:c>
      <x:c r="C1226" s="1" t="str">
        <x:v>対照47場</x:v>
      </x:c>
      <x:c r="D1226" s="47" t="n">
        <x:v>2132978</x:v>
      </x:c>
      <x:c r="E1226" s="47" t="n">
        <x:v>1427216</x:v>
      </x:c>
      <x:c r="F1226" s="47" t="n">
        <x:f>D1226-E1226</x:f>
        <x:v>705762</x:v>
      </x:c>
      <x:c r="G1226" s="49" t="n">
        <x:v>36</x:v>
      </x:c>
      <x:c r="H1226" s="49" t="n">
        <x:v>11</x:v>
      </x:c>
      <x:c r="I1226" s="47" t="n">
        <x:v>354684</x:v>
      </x:c>
      <x:c r="J1226" s="49" t="n">
        <x:v>148</x:v>
      </x:c>
      <x:c r="K1226" s="47" t="n">
        <x:v>-86082</x:v>
      </x:c>
      <x:c r="L1226" s="47" t="n">
        <x:v>43538.72727272727</x:v>
      </x:c>
      <x:c r="M1226" s="48" t="n">
        <x:v>207.18687943262407</x:v>
      </x:c>
      <x:c r="N1226" s="48" t="n">
        <x:v>134.85638297872342</x:v>
      </x:c>
      <x:c r="O1226" s="49" t="n">
        <x:v>5</x:v>
      </x:c>
      <x:c r="P1226" s="1" t="str">
        <x:v>二市場の時間軸合意で入口確認を選ぶ</x:v>
      </x:c>
      <x:c r="Q1226" s="49" t="n">
        <x:v>0</x:v>
      </x:c>
      <x:c r="R1226" s="50" t="n">
        <x:v>0.2839192190787935</x:v>
      </x:c>
      <x:c r="S1226" s="50" t="n">
        <x:v>0.22620449678800855</x:v>
      </x:c>
      <x:c r="T1226" s="1" t="str">
        <x:v>全場</x:v>
      </x:c>
      <x:c r="U1226" s="49" t="n">
        <x:v>47</x:v>
      </x:c>
    </x:row>
    <x:row r="1227" ht="22" customHeight="1">
      <x:c r="A1227" s="1" t="str">
        <x:v>TOPIXmini</x:v>
      </x:c>
      <x:c r="B1227" s="1" t="str">
        <x:v>C02</x:v>
      </x:c>
      <x:c r="C1227" s="1" t="str">
        <x:v>対照47場</x:v>
      </x:c>
      <x:c r="D1227" s="47" t="n">
        <x:v>1220094</x:v>
      </x:c>
      <x:c r="E1227" s="47" t="n">
        <x:v>832934</x:v>
      </x:c>
      <x:c r="F1227" s="47" t="n">
        <x:f>D1227-E1227</x:f>
        <x:v>387160</x:v>
      </x:c>
      <x:c r="G1227" s="49" t="n">
        <x:v>16</x:v>
      </x:c>
      <x:c r="H1227" s="49" t="n">
        <x:v>8</x:v>
      </x:c>
      <x:c r="I1227" s="47" t="n">
        <x:v>68578</x:v>
      </x:c>
      <x:c r="J1227" s="49" t="n">
        <x:v>77</x:v>
      </x:c>
      <x:c r="K1227" s="47" t="n">
        <x:v>-86082</x:v>
      </x:c>
      <x:c r="L1227" s="47" t="n">
        <x:v>45406.25</x:v>
      </x:c>
      <x:c r="M1227" s="48" t="n">
        <x:v>89.58749999999999</x:v>
      </x:c>
      <x:c r="N1227" s="48" t="n">
        <x:v>197.85833333333335</x:v>
      </x:c>
      <x:c r="O1227" s="49" t="n">
        <x:v>5</x:v>
      </x:c>
      <x:c r="P1227" s="1" t="str">
        <x:v>二市場の時間軸合意で入口確認を選ぶ</x:v>
      </x:c>
      <x:c r="Q1227" s="49" t="n">
        <x:v>0</x:v>
      </x:c>
      <x:c r="R1227" s="50" t="n">
        <x:v>0.47109126984126987</x:v>
      </x:c>
      <x:c r="S1227" s="50" t="n">
        <x:v>0.47109126984126987</x:v>
      </x:c>
      <x:c r="T1227" s="1" t="str">
        <x:v>デイ</x:v>
      </x:c>
      <x:c r="U1227" s="49" t="n">
        <x:v>24</x:v>
      </x:c>
    </x:row>
    <x:row r="1228" ht="22" customHeight="1">
      <x:c r="A1228" s="1" t="str">
        <x:v>TOPIXmini</x:v>
      </x:c>
      <x:c r="B1228" s="1" t="str">
        <x:v>C02</x:v>
      </x:c>
      <x:c r="C1228" s="1" t="str">
        <x:v>対照47場</x:v>
      </x:c>
      <x:c r="D1228" s="47" t="n">
        <x:v>912884</x:v>
      </x:c>
      <x:c r="E1228" s="47" t="n">
        <x:v>594282</x:v>
      </x:c>
      <x:c r="F1228" s="47" t="n">
        <x:f>D1228-E1228</x:f>
        <x:v>318602</x:v>
      </x:c>
      <x:c r="G1228" s="49" t="n">
        <x:v>20</x:v>
      </x:c>
      <x:c r="H1228" s="49" t="n">
        <x:v>3</x:v>
      </x:c>
      <x:c r="I1228" s="47" t="n">
        <x:v>112198</x:v>
      </x:c>
      <x:c r="J1228" s="49" t="n">
        <x:v>71</x:v>
      </x:c>
      <x:c r="K1228" s="47" t="n">
        <x:v>-40836</x:v>
      </x:c>
      <x:c r="L1228" s="47" t="n">
        <x:v>38558.666666666664</x:v>
      </x:c>
      <x:c r="M1228" s="48" t="n">
        <x:v>329.8992753623188</x:v>
      </x:c>
      <x:c r="N1228" s="48" t="n">
        <x:v>69.11521739130434</x:v>
      </x:c>
      <x:c r="O1228" s="49" t="n">
        <x:v>5</x:v>
      </x:c>
      <x:c r="P1228" s="1" t="str">
        <x:v>二市場の時間軸合意で入口確認を選ぶ</x:v>
      </x:c>
      <x:c r="Q1228" s="49" t="n">
        <x:v>0</x:v>
      </x:c>
      <x:c r="R1228" s="50" t="n">
        <x:v>0.0886092530657748</x:v>
      </x:c>
      <x:c r="S1228" s="50" t="n">
        <x:v>0.08860925306577482</x:v>
      </x:c>
      <x:c r="T1228" s="1" t="str">
        <x:v>ナイト</x:v>
      </x:c>
      <x:c r="U1228" s="49" t="n">
        <x:v>23</x:v>
      </x:c>
    </x:row>
    <x:row r="1229" ht="22" customHeight="1">
      <x:c r="A1229" s="1" t="str">
        <x:v>TOPIXmini</x:v>
      </x:c>
      <x:c r="B1229" s="1" t="str">
        <x:v>C02</x:v>
      </x:c>
      <x:c r="C1229" s="1" t="str">
        <x:v>対照47場</x:v>
      </x:c>
      <x:c r="D1229" s="47" t="n">
        <x:v>985739</x:v>
      </x:c>
      <x:c r="E1229" s="47" t="n">
        <x:v>782614</x:v>
      </x:c>
      <x:c r="F1229" s="47" t="n">
        <x:f>D1229-E1229</x:f>
        <x:v>203125</x:v>
      </x:c>
      <x:c r="G1229" s="49" t="n">
        <x:v>17</x:v>
      </x:c>
      <x:c r="H1229" s="49" t="n">
        <x:v>7</x:v>
      </x:c>
      <x:c r="I1229" s="47" t="n">
        <x:v>-33541</x:v>
      </x:c>
      <x:c r="J1229" s="49" t="n">
        <x:v>68</x:v>
      </x:c>
      <x:c r="K1229" s="47" t="n">
        <x:v>-70670</x:v>
      </x:c>
      <x:c r="L1229" s="47" t="n">
        <x:v>43787.142857142855</x:v>
      </x:c>
      <x:c r="M1229" s="48" t="n">
        <x:v>217.55208333333334</x:v>
      </x:c>
      <x:c r="N1229" s="48" t="n">
        <x:v>128.86944444444444</x:v>
      </x:c>
      <x:c r="O1229" s="49" t="n">
        <x:v>5</x:v>
      </x:c>
      <x:c r="P1229" s="1" t="str">
        <x:v>二市場の時間軸合意で入口確認を選ぶ</x:v>
      </x:c>
      <x:c r="Q1229" s="49" t="n">
        <x:v>0</x:v>
      </x:c>
      <x:c r="R1229" s="50" t="n">
        <x:v>0.2685490435490436</x:v>
      </x:c>
      <x:c r="S1229" s="50" t="n">
        <x:v>0.21478240740740742</x:v>
      </x:c>
      <x:c r="T1229" s="1" t="str">
        <x:v>上昇</x:v>
      </x:c>
      <x:c r="U1229" s="49" t="n">
        <x:v>24</x:v>
      </x:c>
    </x:row>
    <x:row r="1230" ht="22" customHeight="1">
      <x:c r="A1230" s="1" t="str">
        <x:v>TOPIXmini</x:v>
      </x:c>
      <x:c r="B1230" s="1" t="str">
        <x:v>C02</x:v>
      </x:c>
      <x:c r="C1230" s="1" t="str">
        <x:v>対照47場</x:v>
      </x:c>
      <x:c r="D1230" s="47" t="n">
        <x:v>1147239</x:v>
      </x:c>
      <x:c r="E1230" s="47" t="n">
        <x:v>644602</x:v>
      </x:c>
      <x:c r="F1230" s="47" t="n">
        <x:f>D1230-E1230</x:f>
        <x:v>502637</x:v>
      </x:c>
      <x:c r="G1230" s="49" t="n">
        <x:v>19</x:v>
      </x:c>
      <x:c r="H1230" s="49" t="n">
        <x:v>4</x:v>
      </x:c>
      <x:c r="I1230" s="47" t="n">
        <x:v>151559</x:v>
      </x:c>
      <x:c r="J1230" s="49" t="n">
        <x:v>80</x:v>
      </x:c>
      <x:c r="K1230" s="47" t="n">
        <x:v>-86082</x:v>
      </x:c>
      <x:c r="L1230" s="47" t="n">
        <x:v>43104</x:v>
      </x:c>
      <x:c r="M1230" s="48" t="n">
        <x:v>196.37101449275363</x:v>
      </x:c>
      <x:c r="N1230" s="48" t="n">
        <x:v>141.1036231884058</x:v>
      </x:c>
      <x:c r="O1230" s="49" t="n">
        <x:v>5</x:v>
      </x:c>
      <x:c r="P1230" s="1" t="str">
        <x:v>二市場の時間軸合意で入口確認を選ぶ</x:v>
      </x:c>
      <x:c r="Q1230" s="49" t="n">
        <x:v>0</x:v>
      </x:c>
      <x:c r="R1230" s="50" t="n">
        <x:v>0.29995766310983707</x:v>
      </x:c>
      <x:c r="S1230" s="50" t="n">
        <x:v>0.23828071463534017</x:v>
      </x:c>
      <x:c r="T1230" s="1" t="str">
        <x:v>下落</x:v>
      </x:c>
      <x:c r="U1230" s="49" t="n">
        <x:v>23</x:v>
      </x:c>
    </x:row>
    <x:row r="1231" ht="22" customHeight="1">
      <x:c r="A1231" s="1" t="str">
        <x:v>TOPIXmini</x:v>
      </x:c>
      <x:c r="B1231" s="1" t="str">
        <x:v>C02</x:v>
      </x:c>
      <x:c r="C1231" s="1" t="str">
        <x:v>診断3場</x:v>
      </x:c>
      <x:c r="D1231" s="47" t="n">
        <x:v>169332</x:v>
      </x:c>
      <x:c r="E1231" s="47" t="n">
        <x:v>192832</x:v>
      </x:c>
      <x:c r="F1231" s="47" t="n">
        <x:f>D1231-E1231</x:f>
        <x:v>-23500</x:v>
      </x:c>
      <x:c r="G1231" s="49" t="n">
        <x:v>2</x:v>
      </x:c>
      <x:c r="H1231" s="49" t="n">
        <x:v>1</x:v>
      </x:c>
      <x:c r="I1231" s="47" t="n">
        <x:v>-81996</x:v>
      </x:c>
      <x:c r="J1231" s="49" t="n">
        <x:v>20</x:v>
      </x:c>
      <x:c r="K1231" s="47" t="n">
        <x:v>-81996</x:v>
      </x:c>
      <x:c r="L1231" s="47" t="n">
        <x:v>81996</x:v>
      </x:c>
      <x:c r="M1231" s="48" t="n">
        <x:v>80.41666666666667</x:v>
      </x:c>
      <x:c r="N1231" s="48" t="n">
        <x:v>113.72222222222223</x:v>
      </x:c>
      <x:c r="O1231" s="49" t="n">
        <x:v>5</x:v>
      </x:c>
      <x:c r="P1231" s="1" t="str">
        <x:v>二市場の時間軸合意で入口確認を選ぶ</x:v>
      </x:c>
      <x:c r="Q1231" s="49" t="n">
        <x:v>0</x:v>
      </x:c>
      <x:c r="R1231" s="50" t="n">
        <x:v>0.21276353276353274</x:v>
      </x:c>
      <x:c r="S1231" s="50" t="n">
        <x:v>0.1723063973063973</x:v>
      </x:c>
      <x:c r="T1231" s="1" t="str">
        <x:v>全場</x:v>
      </x:c>
      <x:c r="U1231" s="49" t="n">
        <x:v>3</x:v>
      </x:c>
    </x:row>
    <x:row r="1232" ht="22" customHeight="1">
      <x:c r="A1232" s="1" t="str">
        <x:v>TOPIXmini</x:v>
      </x:c>
      <x:c r="B1232" s="1" t="str">
        <x:v>C02</x:v>
      </x:c>
      <x:c r="C1232" s="1" t="str">
        <x:v>診断3場</x:v>
      </x:c>
      <x:c r="D1232" s="47" t="n">
        <x:v>46668</x:v>
      </x:c>
      <x:c r="E1232" s="47" t="n">
        <x:v>128664</x:v>
      </x:c>
      <x:c r="F1232" s="47" t="n">
        <x:f>D1232-E1232</x:f>
        <x:v>-81996</x:v>
      </x:c>
      <x:c r="G1232" s="49" t="n">
        <x:v>0</x:v>
      </x:c>
      <x:c r="H1232" s="49" t="n">
        <x:v>1</x:v>
      </x:c>
      <x:c r="I1232" s="47" t="n">
        <x:v>-81996</x:v>
      </x:c>
      <x:c r="J1232" s="49" t="n">
        <x:v>8</x:v>
      </x:c>
      <x:c r="K1232" s="47" t="n">
        <x:v>-81996</x:v>
      </x:c>
      <x:c r="L1232" s="47" t="n">
        <x:v>81996</x:v>
      </x:c>
      <x:c r="M1232" s="48" t="n">
        <x:v>43.95</x:v>
      </x:c>
      <x:c r="N1232" s="48" t="n">
        <x:v>182.81666666666666</x:v>
      </x:c>
      <x:c r="O1232" s="49" t="n">
        <x:v>5</x:v>
      </x:c>
      <x:c r="P1232" s="1" t="str">
        <x:v>二市場の時間軸合意で入口確認を選ぶ</x:v>
      </x:c>
      <x:c r="Q1232" s="49" t="n">
        <x:v>0</x:v>
      </x:c>
      <x:c r="R1232" s="50" t="n">
        <x:v>0.43527777777777776</x:v>
      </x:c>
      <x:c r="S1232" s="50" t="n">
        <x:v>0.43527777777777776</x:v>
      </x:c>
      <x:c r="T1232" s="1" t="str">
        <x:v>デイ</x:v>
      </x:c>
      <x:c r="U1232" s="49" t="n">
        <x:v>1</x:v>
      </x:c>
    </x:row>
    <x:row r="1233" ht="22" customHeight="1">
      <x:c r="A1233" s="1" t="str">
        <x:v>TOPIXmini</x:v>
      </x:c>
      <x:c r="B1233" s="1" t="str">
        <x:v>C02</x:v>
      </x:c>
      <x:c r="C1233" s="1" t="str">
        <x:v>診断3場</x:v>
      </x:c>
      <x:c r="D1233" s="47" t="n">
        <x:v>122664</x:v>
      </x:c>
      <x:c r="E1233" s="47" t="n">
        <x:v>64168</x:v>
      </x:c>
      <x:c r="F1233" s="47" t="n">
        <x:f>D1233-E1233</x:f>
        <x:v>58496</x:v>
      </x:c>
      <x:c r="G1233" s="49" t="n">
        <x:v>2</x:v>
      </x:c>
      <x:c r="H1233" s="49" t="n">
        <x:v>0</x:v>
      </x:c>
      <x:c r="I1233" s="47" t="n">
        <x:v>0</x:v>
      </x:c>
      <x:c r="J1233" s="49" t="n">
        <x:v>12</x:v>
      </x:c>
      <x:c r="K1233" s="47" t="n">
        <x:v>21584</x:v>
      </x:c>
      <x:c r="L1233" s="47" t="n">
        <x:v>0</x:v>
      </x:c>
      <x:c r="M1233" s="48" t="n">
        <x:v>98.65</x:v>
      </x:c>
      <x:c r="N1233" s="48" t="n">
        <x:v>79.175</x:v>
      </x:c>
      <x:c r="O1233" s="49" t="n">
        <x:v>5</x:v>
      </x:c>
      <x:c r="P1233" s="1" t="str">
        <x:v>二市場の時間軸合意で入口確認を選ぶ</x:v>
      </x:c>
      <x:c r="Q1233" s="49" t="n">
        <x:v>0</x:v>
      </x:c>
      <x:c r="R1233" s="50" t="n">
        <x:v>0.10150641025641026</x:v>
      </x:c>
      <x:c r="S1233" s="50" t="n">
        <x:v>0.10150641025641026</x:v>
      </x:c>
      <x:c r="T1233" s="1" t="str">
        <x:v>ナイト</x:v>
      </x:c>
      <x:c r="U1233" s="49" t="n">
        <x:v>2</x:v>
      </x:c>
    </x:row>
    <x:row r="1234" ht="22" customHeight="1">
      <x:c r="A1234" s="1" t="str">
        <x:v>TOPIXmini</x:v>
      </x:c>
      <x:c r="B1234" s="1" t="str">
        <x:v>C02</x:v>
      </x:c>
      <x:c r="C1234" s="1" t="str">
        <x:v>診断3場</x:v>
      </x:c>
      <x:c r="D1234" s="47" t="n">
        <x:v>39750</x:v>
      </x:c>
      <x:c r="E1234" s="47" t="n">
        <x:v>18166</x:v>
      </x:c>
      <x:c r="F1234" s="47" t="n">
        <x:f>D1234-E1234</x:f>
        <x:v>21584</x:v>
      </x:c>
      <x:c r="G1234" s="49" t="n">
        <x:v>1</x:v>
      </x:c>
      <x:c r="H1234" s="49" t="n">
        <x:v>0</x:v>
      </x:c>
      <x:c r="I1234" s="47" t="n">
        <x:v>0</x:v>
      </x:c>
      <x:c r="J1234" s="49" t="n">
        <x:v>4</x:v>
      </x:c>
      <x:c r="K1234" s="47" t="n">
        <x:v>21584</x:v>
      </x:c>
      <x:c r="L1234" s="47" t="n">
        <x:v>0</x:v>
      </x:c>
      <x:c r="M1234" s="48" t="n">
        <x:v>125.96666666666667</x:v>
      </x:c>
      <x:c r="N1234" s="48" t="n">
        <x:v>74.86666666666666</x:v>
      </x:c>
      <x:c r="O1234" s="49" t="n">
        <x:v>5</x:v>
      </x:c>
      <x:c r="P1234" s="1" t="str">
        <x:v>二市場の時間軸合意で入口確認を選ぶ</x:v>
      </x:c>
      <x:c r="Q1234" s="49" t="n">
        <x:v>0</x:v>
      </x:c>
      <x:c r="R1234" s="50" t="n">
        <x:v>0.09598290598290599</x:v>
      </x:c>
      <x:c r="S1234" s="50" t="n">
        <x:v>0.09598290598290597</x:v>
      </x:c>
      <x:c r="T1234" s="1" t="str">
        <x:v>上昇</x:v>
      </x:c>
      <x:c r="U1234" s="49" t="n">
        <x:v>1</x:v>
      </x:c>
    </x:row>
    <x:row r="1235" ht="22" customHeight="1">
      <x:c r="A1235" s="1" t="str">
        <x:v>TOPIXmini</x:v>
      </x:c>
      <x:c r="B1235" s="1" t="str">
        <x:v>C02</x:v>
      </x:c>
      <x:c r="C1235" s="1" t="str">
        <x:v>診断3場</x:v>
      </x:c>
      <x:c r="D1235" s="47" t="n">
        <x:v>129582</x:v>
      </x:c>
      <x:c r="E1235" s="47" t="n">
        <x:v>174666</x:v>
      </x:c>
      <x:c r="F1235" s="47" t="n">
        <x:f>D1235-E1235</x:f>
        <x:v>-45084</x:v>
      </x:c>
      <x:c r="G1235" s="49" t="n">
        <x:v>1</x:v>
      </x:c>
      <x:c r="H1235" s="49" t="n">
        <x:v>1</x:v>
      </x:c>
      <x:c r="I1235" s="47" t="n">
        <x:v>-81996</x:v>
      </x:c>
      <x:c r="J1235" s="49" t="n">
        <x:v>16</x:v>
      </x:c>
      <x:c r="K1235" s="47" t="n">
        <x:v>-81996</x:v>
      </x:c>
      <x:c r="L1235" s="47" t="n">
        <x:v>81996</x:v>
      </x:c>
      <x:c r="M1235" s="48" t="n">
        <x:v>57.641666666666666</x:v>
      </x:c>
      <x:c r="N1235" s="48" t="n">
        <x:v>133.15</x:v>
      </x:c>
      <x:c r="O1235" s="49" t="n">
        <x:v>5</x:v>
      </x:c>
      <x:c r="P1235" s="1" t="str">
        <x:v>二市場の時間軸合意で入口確認を選ぶ</x:v>
      </x:c>
      <x:c r="Q1235" s="49" t="n">
        <x:v>0</x:v>
      </x:c>
      <x:c r="R1235" s="50" t="n">
        <x:v>0.27115384615384613</x:v>
      </x:c>
      <x:c r="S1235" s="50" t="n">
        <x:v>0.22191666666666668</x:v>
      </x:c>
      <x:c r="T1235" s="1" t="str">
        <x:v>下落</x:v>
      </x:c>
      <x:c r="U1235" s="49" t="n">
        <x:v>2</x:v>
      </x:c>
    </x:row>
    <x:row r="1236" ht="22" customHeight="1">
      <x:c r="A1236" s="1" t="str">
        <x:v>TOPIXmini</x:v>
      </x:c>
      <x:c r="B1236" s="1" t="str">
        <x:v>C03</x:v>
      </x:c>
      <x:c r="C1236" s="1" t="str">
        <x:v>全50場</x:v>
      </x:c>
      <x:c r="D1236" s="47" t="n">
        <x:v>2383808</x:v>
      </x:c>
      <x:c r="E1236" s="47" t="n">
        <x:v>1604716</x:v>
      </x:c>
      <x:c r="F1236" s="47" t="n">
        <x:f>D1236-E1236</x:f>
        <x:v>779092</x:v>
      </x:c>
      <x:c r="G1236" s="49" t="n">
        <x:v>38</x:v>
      </x:c>
      <x:c r="H1236" s="49" t="n">
        <x:v>12</x:v>
      </x:c>
      <x:c r="I1236" s="47" t="n">
        <x:v>428014</x:v>
      </x:c>
      <x:c r="J1236" s="49" t="n">
        <x:v>166</x:v>
      </x:c>
      <x:c r="K1236" s="47" t="n">
        <x:v>-81996</x:v>
      </x:c>
      <x:c r="L1236" s="47" t="n">
        <x:v>39035.333333333336</x:v>
      </x:c>
      <x:c r="M1236" s="48" t="n">
        <x:v>199.58066666666664</x:v>
      </x:c>
      <x:c r="N1236" s="48" t="n">
        <x:v>134.30466666666666</x:v>
      </x:c>
      <x:c r="O1236" s="49" t="n">
        <x:v>5</x:v>
      </x:c>
      <x:c r="P1236" s="1" t="str">
        <x:v>再失敗と原板支持まで入口確認に含める</x:v>
      </x:c>
      <x:c r="Q1236" s="49" t="n">
        <x:v>0</x:v>
      </x:c>
      <x:c r="R1236" s="50" t="n">
        <x:v>0.28135543345543346</x:v>
      </x:c>
      <x:c r="S1236" s="50" t="n">
        <x:v>0.22384111111111113</x:v>
      </x:c>
      <x:c r="T1236" s="1" t="str">
        <x:v>全場</x:v>
      </x:c>
      <x:c r="U1236" s="49" t="n">
        <x:v>50</x:v>
      </x:c>
    </x:row>
    <x:row r="1237" ht="22" customHeight="1">
      <x:c r="A1237" s="1" t="str">
        <x:v>TOPIXmini</x:v>
      </x:c>
      <x:c r="B1237" s="1" t="str">
        <x:v>C03</x:v>
      </x:c>
      <x:c r="C1237" s="1" t="str">
        <x:v>全50場</x:v>
      </x:c>
      <x:c r="D1237" s="47" t="n">
        <x:v>1348260</x:v>
      </x:c>
      <x:c r="E1237" s="47" t="n">
        <x:v>946266</x:v>
      </x:c>
      <x:c r="F1237" s="47" t="n">
        <x:f>D1237-E1237</x:f>
        <x:v>401994</x:v>
      </x:c>
      <x:c r="G1237" s="49" t="n">
        <x:v>16</x:v>
      </x:c>
      <x:c r="H1237" s="49" t="n">
        <x:v>9</x:v>
      </x:c>
      <x:c r="I1237" s="47" t="n">
        <x:v>83412</x:v>
      </x:c>
      <x:c r="J1237" s="49" t="n">
        <x:v>83</x:v>
      </x:c>
      <x:c r="K1237" s="47" t="n">
        <x:v>-81996</x:v>
      </x:c>
      <x:c r="L1237" s="47" t="n">
        <x:v>39194.22222222222</x:v>
      </x:c>
      <x:c r="M1237" s="48" t="n">
        <x:v>87.76199999999999</x:v>
      </x:c>
      <x:c r="N1237" s="48" t="n">
        <x:v>198.68933333333334</x:v>
      </x:c>
      <x:c r="O1237" s="49" t="n">
        <x:v>5</x:v>
      </x:c>
      <x:c r="P1237" s="1" t="str">
        <x:v>再失敗と原板支持まで入口確認に含める</x:v>
      </x:c>
      <x:c r="Q1237" s="49" t="n">
        <x:v>0</x:v>
      </x:c>
      <x:c r="R1237" s="50" t="n">
        <x:v>0.47306984126984125</x:v>
      </x:c>
      <x:c r="S1237" s="50" t="n">
        <x:v>0.4730698412698413</x:v>
      </x:c>
      <x:c r="T1237" s="1" t="str">
        <x:v>デイ</x:v>
      </x:c>
      <x:c r="U1237" s="49" t="n">
        <x:v>25</x:v>
      </x:c>
    </x:row>
    <x:row r="1238" ht="22" customHeight="1">
      <x:c r="A1238" s="1" t="str">
        <x:v>TOPIXmini</x:v>
      </x:c>
      <x:c r="B1238" s="1" t="str">
        <x:v>C03</x:v>
      </x:c>
      <x:c r="C1238" s="1" t="str">
        <x:v>全50場</x:v>
      </x:c>
      <x:c r="D1238" s="47" t="n">
        <x:v>1035548</x:v>
      </x:c>
      <x:c r="E1238" s="47" t="n">
        <x:v>658450</x:v>
      </x:c>
      <x:c r="F1238" s="47" t="n">
        <x:f>D1238-E1238</x:f>
        <x:v>377098</x:v>
      </x:c>
      <x:c r="G1238" s="49" t="n">
        <x:v>22</x:v>
      </x:c>
      <x:c r="H1238" s="49" t="n">
        <x:v>3</x:v>
      </x:c>
      <x:c r="I1238" s="47" t="n">
        <x:v>170694</x:v>
      </x:c>
      <x:c r="J1238" s="49" t="n">
        <x:v>83</x:v>
      </x:c>
      <x:c r="K1238" s="47" t="n">
        <x:v>-40836</x:v>
      </x:c>
      <x:c r="L1238" s="47" t="n">
        <x:v>38558.666666666664</x:v>
      </x:c>
      <x:c r="M1238" s="48" t="n">
        <x:v>311.3993333333333</x:v>
      </x:c>
      <x:c r="N1238" s="48" t="n">
        <x:v>69.91999999999999</x:v>
      </x:c>
      <x:c r="O1238" s="49" t="n">
        <x:v>5</x:v>
      </x:c>
      <x:c r="P1238" s="1" t="str">
        <x:v>再失敗と原板支持まで入口確認に含める</x:v>
      </x:c>
      <x:c r="Q1238" s="49" t="n">
        <x:v>0</x:v>
      </x:c>
      <x:c r="R1238" s="50" t="n">
        <x:v>0.08964102564102565</x:v>
      </x:c>
      <x:c r="S1238" s="50" t="n">
        <x:v>0.08964102564102563</x:v>
      </x:c>
      <x:c r="T1238" s="1" t="str">
        <x:v>ナイト</x:v>
      </x:c>
      <x:c r="U1238" s="49" t="n">
        <x:v>25</x:v>
      </x:c>
    </x:row>
    <x:row r="1239" ht="22" customHeight="1">
      <x:c r="A1239" s="1" t="str">
        <x:v>TOPIXmini</x:v>
      </x:c>
      <x:c r="B1239" s="1" t="str">
        <x:v>C03</x:v>
      </x:c>
      <x:c r="C1239" s="1" t="str">
        <x:v>全50場</x:v>
      </x:c>
      <x:c r="D1239" s="47" t="n">
        <x:v>1025489</x:v>
      </x:c>
      <x:c r="E1239" s="47" t="n">
        <x:v>800780</x:v>
      </x:c>
      <x:c r="F1239" s="47" t="n">
        <x:f>D1239-E1239</x:f>
        <x:v>224709</x:v>
      </x:c>
      <x:c r="G1239" s="49" t="n">
        <x:v>18</x:v>
      </x:c>
      <x:c r="H1239" s="49" t="n">
        <x:v>7</x:v>
      </x:c>
      <x:c r="I1239" s="47" t="n">
        <x:v>-11957</x:v>
      </x:c>
      <x:c r="J1239" s="49" t="n">
        <x:v>72</x:v>
      </x:c>
      <x:c r="K1239" s="47" t="n">
        <x:v>-70670</x:v>
      </x:c>
      <x:c r="L1239" s="47" t="n">
        <x:v>43787.142857142855</x:v>
      </x:c>
      <x:c r="M1239" s="48" t="n">
        <x:v>213.88866666666664</x:v>
      </x:c>
      <x:c r="N1239" s="48" t="n">
        <x:v>126.70933333333335</x:v>
      </x:c>
      <x:c r="O1239" s="49" t="n">
        <x:v>5</x:v>
      </x:c>
      <x:c r="P1239" s="1" t="str">
        <x:v>再失敗と原板支持まで入口確認に含める</x:v>
      </x:c>
      <x:c r="Q1239" s="49" t="n">
        <x:v>0</x:v>
      </x:c>
      <x:c r="R1239" s="50" t="n">
        <x:v>0.26164639804639805</x:v>
      </x:c>
      <x:c r="S1239" s="50" t="n">
        <x:v>0.2086780851998243</x:v>
      </x:c>
      <x:c r="T1239" s="1" t="str">
        <x:v>上昇</x:v>
      </x:c>
      <x:c r="U1239" s="49" t="n">
        <x:v>25</x:v>
      </x:c>
    </x:row>
    <x:row r="1240" ht="22" customHeight="1">
      <x:c r="A1240" s="1" t="str">
        <x:v>TOPIXmini</x:v>
      </x:c>
      <x:c r="B1240" s="1" t="str">
        <x:v>C03</x:v>
      </x:c>
      <x:c r="C1240" s="1" t="str">
        <x:v>全50場</x:v>
      </x:c>
      <x:c r="D1240" s="47" t="n">
        <x:v>1358319</x:v>
      </x:c>
      <x:c r="E1240" s="47" t="n">
        <x:v>803936</x:v>
      </x:c>
      <x:c r="F1240" s="47" t="n">
        <x:f>D1240-E1240</x:f>
        <x:v>554383</x:v>
      </x:c>
      <x:c r="G1240" s="49" t="n">
        <x:v>20</x:v>
      </x:c>
      <x:c r="H1240" s="49" t="n">
        <x:v>5</x:v>
      </x:c>
      <x:c r="I1240" s="47" t="n">
        <x:v>203305</x:v>
      </x:c>
      <x:c r="J1240" s="49" t="n">
        <x:v>94</x:v>
      </x:c>
      <x:c r="K1240" s="47" t="n">
        <x:v>-81996</x:v>
      </x:c>
      <x:c r="L1240" s="47" t="n">
        <x:v>32382.8</x:v>
      </x:c>
      <x:c r="M1240" s="48" t="n">
        <x:v>185.27266666666665</x:v>
      </x:c>
      <x:c r="N1240" s="48" t="n">
        <x:v>141.9</x:v>
      </x:c>
      <x:c r="O1240" s="49" t="n">
        <x:v>5</x:v>
      </x:c>
      <x:c r="P1240" s="1" t="str">
        <x:v>再失敗と原板支持まで入口確認に含める</x:v>
      </x:c>
      <x:c r="Q1240" s="49" t="n">
        <x:v>0</x:v>
      </x:c>
      <x:c r="R1240" s="50" t="n">
        <x:v>0.3010644688644689</x:v>
      </x:c>
      <x:c r="S1240" s="50" t="n">
        <x:v>0.23937246963562753</x:v>
      </x:c>
      <x:c r="T1240" s="1" t="str">
        <x:v>下落</x:v>
      </x:c>
      <x:c r="U1240" s="49" t="n">
        <x:v>25</x:v>
      </x:c>
    </x:row>
    <x:row r="1241" ht="22" customHeight="1">
      <x:c r="A1241" s="1" t="str">
        <x:v>TOPIXmini</x:v>
      </x:c>
      <x:c r="B1241" s="1" t="str">
        <x:v>C03</x:v>
      </x:c>
      <x:c r="C1241" s="1" t="str">
        <x:v>対照47場</x:v>
      </x:c>
      <x:c r="D1241" s="47" t="n">
        <x:v>2214476</x:v>
      </x:c>
      <x:c r="E1241" s="47" t="n">
        <x:v>1411884</x:v>
      </x:c>
      <x:c r="F1241" s="47" t="n">
        <x:f>D1241-E1241</x:f>
        <x:v>802592</x:v>
      </x:c>
      <x:c r="G1241" s="49" t="n">
        <x:v>36</x:v>
      </x:c>
      <x:c r="H1241" s="49" t="n">
        <x:v>11</x:v>
      </x:c>
      <x:c r="I1241" s="47" t="n">
        <x:v>451514</x:v>
      </x:c>
      <x:c r="J1241" s="49" t="n">
        <x:v>146</x:v>
      </x:c>
      <x:c r="K1241" s="47" t="n">
        <x:v>-70670</x:v>
      </x:c>
      <x:c r="L1241" s="47" t="n">
        <x:v>35129.818181818184</x:v>
      </x:c>
      <x:c r="M1241" s="48" t="n">
        <x:v>207.18687943262407</x:v>
      </x:c>
      <x:c r="N1241" s="48" t="n">
        <x:v>135.65673758865248</x:v>
      </x:c>
      <x:c r="O1241" s="49" t="n">
        <x:v>5</x:v>
      </x:c>
      <x:c r="P1241" s="1" t="str">
        <x:v>再失敗と原板支持まで入口確認に含める</x:v>
      </x:c>
      <x:c r="Q1241" s="49" t="n">
        <x:v>0</x:v>
      </x:c>
      <x:c r="R1241" s="50" t="n">
        <x:v>0.28582482529291037</x:v>
      </x:c>
      <x:c r="S1241" s="50" t="n">
        <x:v>0.22754699024506306</x:v>
      </x:c>
      <x:c r="T1241" s="1" t="str">
        <x:v>全場</x:v>
      </x:c>
      <x:c r="U1241" s="49" t="n">
        <x:v>47</x:v>
      </x:c>
    </x:row>
    <x:row r="1242" ht="22" customHeight="1">
      <x:c r="A1242" s="1" t="str">
        <x:v>TOPIXmini</x:v>
      </x:c>
      <x:c r="B1242" s="1" t="str">
        <x:v>C03</x:v>
      </x:c>
      <x:c r="C1242" s="1" t="str">
        <x:v>対照47場</x:v>
      </x:c>
      <x:c r="D1242" s="47" t="n">
        <x:v>1301592</x:v>
      </x:c>
      <x:c r="E1242" s="47" t="n">
        <x:v>817602</x:v>
      </x:c>
      <x:c r="F1242" s="47" t="n">
        <x:f>D1242-E1242</x:f>
        <x:v>483990</x:v>
      </x:c>
      <x:c r="G1242" s="49" t="n">
        <x:v>16</x:v>
      </x:c>
      <x:c r="H1242" s="49" t="n">
        <x:v>8</x:v>
      </x:c>
      <x:c r="I1242" s="47" t="n">
        <x:v>165408</x:v>
      </x:c>
      <x:c r="J1242" s="49" t="n">
        <x:v>75</x:v>
      </x:c>
      <x:c r="K1242" s="47" t="n">
        <x:v>-70670</x:v>
      </x:c>
      <x:c r="L1242" s="47" t="n">
        <x:v>33844</x:v>
      </x:c>
      <x:c r="M1242" s="48" t="n">
        <x:v>89.58749999999999</x:v>
      </x:c>
      <x:c r="N1242" s="48" t="n">
        <x:v>199.42569444444447</x:v>
      </x:c>
      <x:c r="O1242" s="49" t="n">
        <x:v>5</x:v>
      </x:c>
      <x:c r="P1242" s="1" t="str">
        <x:v>再失敗と原板支持まで入口確認に含める</x:v>
      </x:c>
      <x:c r="Q1242" s="49" t="n">
        <x:v>0</x:v>
      </x:c>
      <x:c r="R1242" s="50" t="n">
        <x:v>0.47482308201058204</x:v>
      </x:c>
      <x:c r="S1242" s="50" t="n">
        <x:v>0.474823082010582</x:v>
      </x:c>
      <x:c r="T1242" s="1" t="str">
        <x:v>デイ</x:v>
      </x:c>
      <x:c r="U1242" s="49" t="n">
        <x:v>24</x:v>
      </x:c>
    </x:row>
    <x:row r="1243" ht="22" customHeight="1">
      <x:c r="A1243" s="1" t="str">
        <x:v>TOPIXmini</x:v>
      </x:c>
      <x:c r="B1243" s="1" t="str">
        <x:v>C03</x:v>
      </x:c>
      <x:c r="C1243" s="1" t="str">
        <x:v>対照47場</x:v>
      </x:c>
      <x:c r="D1243" s="47" t="n">
        <x:v>912884</x:v>
      </x:c>
      <x:c r="E1243" s="47" t="n">
        <x:v>594282</x:v>
      </x:c>
      <x:c r="F1243" s="47" t="n">
        <x:f>D1243-E1243</x:f>
        <x:v>318602</x:v>
      </x:c>
      <x:c r="G1243" s="49" t="n">
        <x:v>20</x:v>
      </x:c>
      <x:c r="H1243" s="49" t="n">
        <x:v>3</x:v>
      </x:c>
      <x:c r="I1243" s="47" t="n">
        <x:v>112198</x:v>
      </x:c>
      <x:c r="J1243" s="49" t="n">
        <x:v>71</x:v>
      </x:c>
      <x:c r="K1243" s="47" t="n">
        <x:v>-40836</x:v>
      </x:c>
      <x:c r="L1243" s="47" t="n">
        <x:v>38558.666666666664</x:v>
      </x:c>
      <x:c r="M1243" s="48" t="n">
        <x:v>329.8992753623188</x:v>
      </x:c>
      <x:c r="N1243" s="48" t="n">
        <x:v>69.11521739130434</x:v>
      </x:c>
      <x:c r="O1243" s="49" t="n">
        <x:v>5</x:v>
      </x:c>
      <x:c r="P1243" s="1" t="str">
        <x:v>再失敗と原板支持まで入口確認に含める</x:v>
      </x:c>
      <x:c r="Q1243" s="49" t="n">
        <x:v>0</x:v>
      </x:c>
      <x:c r="R1243" s="50" t="n">
        <x:v>0.0886092530657748</x:v>
      </x:c>
      <x:c r="S1243" s="50" t="n">
        <x:v>0.08860925306577482</x:v>
      </x:c>
      <x:c r="T1243" s="1" t="str">
        <x:v>ナイト</x:v>
      </x:c>
      <x:c r="U1243" s="49" t="n">
        <x:v>23</x:v>
      </x:c>
    </x:row>
    <x:row r="1244" ht="22" customHeight="1">
      <x:c r="A1244" s="1" t="str">
        <x:v>TOPIXmini</x:v>
      </x:c>
      <x:c r="B1244" s="1" t="str">
        <x:v>C03</x:v>
      </x:c>
      <x:c r="C1244" s="1" t="str">
        <x:v>対照47場</x:v>
      </x:c>
      <x:c r="D1244" s="47" t="n">
        <x:v>985739</x:v>
      </x:c>
      <x:c r="E1244" s="47" t="n">
        <x:v>782614</x:v>
      </x:c>
      <x:c r="F1244" s="47" t="n">
        <x:f>D1244-E1244</x:f>
        <x:v>203125</x:v>
      </x:c>
      <x:c r="G1244" s="49" t="n">
        <x:v>17</x:v>
      </x:c>
      <x:c r="H1244" s="49" t="n">
        <x:v>7</x:v>
      </x:c>
      <x:c r="I1244" s="47" t="n">
        <x:v>-33541</x:v>
      </x:c>
      <x:c r="J1244" s="49" t="n">
        <x:v>68</x:v>
      </x:c>
      <x:c r="K1244" s="47" t="n">
        <x:v>-70670</x:v>
      </x:c>
      <x:c r="L1244" s="47" t="n">
        <x:v>43787.142857142855</x:v>
      </x:c>
      <x:c r="M1244" s="48" t="n">
        <x:v>217.55208333333334</x:v>
      </x:c>
      <x:c r="N1244" s="48" t="n">
        <x:v>128.86944444444444</x:v>
      </x:c>
      <x:c r="O1244" s="49" t="n">
        <x:v>5</x:v>
      </x:c>
      <x:c r="P1244" s="1" t="str">
        <x:v>再失敗と原板支持まで入口確認に含める</x:v>
      </x:c>
      <x:c r="Q1244" s="49" t="n">
        <x:v>0</x:v>
      </x:c>
      <x:c r="R1244" s="50" t="n">
        <x:v>0.2685490435490436</x:v>
      </x:c>
      <x:c r="S1244" s="50" t="n">
        <x:v>0.21478240740740742</x:v>
      </x:c>
      <x:c r="T1244" s="1" t="str">
        <x:v>上昇</x:v>
      </x:c>
      <x:c r="U1244" s="49" t="n">
        <x:v>24</x:v>
      </x:c>
    </x:row>
    <x:row r="1245" ht="22" customHeight="1">
      <x:c r="A1245" s="1" t="str">
        <x:v>TOPIXmini</x:v>
      </x:c>
      <x:c r="B1245" s="1" t="str">
        <x:v>C03</x:v>
      </x:c>
      <x:c r="C1245" s="1" t="str">
        <x:v>対照47場</x:v>
      </x:c>
      <x:c r="D1245" s="47" t="n">
        <x:v>1228737</x:v>
      </x:c>
      <x:c r="E1245" s="47" t="n">
        <x:v>629270</x:v>
      </x:c>
      <x:c r="F1245" s="47" t="n">
        <x:f>D1245-E1245</x:f>
        <x:v>599467</x:v>
      </x:c>
      <x:c r="G1245" s="49" t="n">
        <x:v>19</x:v>
      </x:c>
      <x:c r="H1245" s="49" t="n">
        <x:v>4</x:v>
      </x:c>
      <x:c r="I1245" s="47" t="n">
        <x:v>248389</x:v>
      </x:c>
      <x:c r="J1245" s="49" t="n">
        <x:v>78</x:v>
      </x:c>
      <x:c r="K1245" s="47" t="n">
        <x:v>-40836</x:v>
      </x:c>
      <x:c r="L1245" s="47" t="n">
        <x:v>19979.5</x:v>
      </x:c>
      <x:c r="M1245" s="48" t="n">
        <x:v>196.37101449275363</x:v>
      </x:c>
      <x:c r="N1245" s="48" t="n">
        <x:v>142.7391304347826</x:v>
      </x:c>
      <x:c r="O1245" s="49" t="n">
        <x:v>5</x:v>
      </x:c>
      <x:c r="P1245" s="1" t="str">
        <x:v>再失敗と原板支持まで入口確認に含める</x:v>
      </x:c>
      <x:c r="Q1245" s="49" t="n">
        <x:v>0</x:v>
      </x:c>
      <x:c r="R1245" s="50" t="n">
        <x:v>0.3038517279821628</x:v>
      </x:c>
      <x:c r="S1245" s="50" t="n">
        <x:v>0.24104258443465493</x:v>
      </x:c>
      <x:c r="T1245" s="1" t="str">
        <x:v>下落</x:v>
      </x:c>
      <x:c r="U1245" s="49" t="n">
        <x:v>23</x:v>
      </x:c>
    </x:row>
    <x:row r="1246" ht="22" customHeight="1">
      <x:c r="A1246" s="1" t="str">
        <x:v>TOPIXmini</x:v>
      </x:c>
      <x:c r="B1246" s="1" t="str">
        <x:v>C03</x:v>
      </x:c>
      <x:c r="C1246" s="1" t="str">
        <x:v>診断3場</x:v>
      </x:c>
      <x:c r="D1246" s="47" t="n">
        <x:v>169332</x:v>
      </x:c>
      <x:c r="E1246" s="47" t="n">
        <x:v>192832</x:v>
      </x:c>
      <x:c r="F1246" s="47" t="n">
        <x:f>D1246-E1246</x:f>
        <x:v>-23500</x:v>
      </x:c>
      <x:c r="G1246" s="49" t="n">
        <x:v>2</x:v>
      </x:c>
      <x:c r="H1246" s="49" t="n">
        <x:v>1</x:v>
      </x:c>
      <x:c r="I1246" s="47" t="n">
        <x:v>-81996</x:v>
      </x:c>
      <x:c r="J1246" s="49" t="n">
        <x:v>20</x:v>
      </x:c>
      <x:c r="K1246" s="47" t="n">
        <x:v>-81996</x:v>
      </x:c>
      <x:c r="L1246" s="47" t="n">
        <x:v>81996</x:v>
      </x:c>
      <x:c r="M1246" s="48" t="n">
        <x:v>80.41666666666667</x:v>
      </x:c>
      <x:c r="N1246" s="48" t="n">
        <x:v>113.12222222222222</x:v>
      </x:c>
      <x:c r="O1246" s="49" t="n">
        <x:v>5</x:v>
      </x:c>
      <x:c r="P1246" s="1" t="str">
        <x:v>再失敗と原板支持まで入口確認に含める</x:v>
      </x:c>
      <x:c r="Q1246" s="49" t="n">
        <x:v>0</x:v>
      </x:c>
      <x:c r="R1246" s="50" t="n">
        <x:v>0.21133496133496132</x:v>
      </x:c>
      <x:c r="S1246" s="50" t="n">
        <x:v>0.1713973063973064</x:v>
      </x:c>
      <x:c r="T1246" s="1" t="str">
        <x:v>全場</x:v>
      </x:c>
      <x:c r="U1246" s="49" t="n">
        <x:v>3</x:v>
      </x:c>
    </x:row>
    <x:row r="1247" ht="22" customHeight="1">
      <x:c r="A1247" s="1" t="str">
        <x:v>TOPIXmini</x:v>
      </x:c>
      <x:c r="B1247" s="1" t="str">
        <x:v>C03</x:v>
      </x:c>
      <x:c r="C1247" s="1" t="str">
        <x:v>診断3場</x:v>
      </x:c>
      <x:c r="D1247" s="47" t="n">
        <x:v>46668</x:v>
      </x:c>
      <x:c r="E1247" s="47" t="n">
        <x:v>128664</x:v>
      </x:c>
      <x:c r="F1247" s="47" t="n">
        <x:f>D1247-E1247</x:f>
        <x:v>-81996</x:v>
      </x:c>
      <x:c r="G1247" s="49" t="n">
        <x:v>0</x:v>
      </x:c>
      <x:c r="H1247" s="49" t="n">
        <x:v>1</x:v>
      </x:c>
      <x:c r="I1247" s="47" t="n">
        <x:v>-81996</x:v>
      </x:c>
      <x:c r="J1247" s="49" t="n">
        <x:v>8</x:v>
      </x:c>
      <x:c r="K1247" s="47" t="n">
        <x:v>-81996</x:v>
      </x:c>
      <x:c r="L1247" s="47" t="n">
        <x:v>81996</x:v>
      </x:c>
      <x:c r="M1247" s="48" t="n">
        <x:v>43.95</x:v>
      </x:c>
      <x:c r="N1247" s="48" t="n">
        <x:v>181.01666666666668</x:v>
      </x:c>
      <x:c r="O1247" s="49" t="n">
        <x:v>5</x:v>
      </x:c>
      <x:c r="P1247" s="1" t="str">
        <x:v>再失敗と原板支持まで入口確認に含める</x:v>
      </x:c>
      <x:c r="Q1247" s="49" t="n">
        <x:v>0</x:v>
      </x:c>
      <x:c r="R1247" s="50" t="n">
        <x:v>0.4309920634920635</x:v>
      </x:c>
      <x:c r="S1247" s="50" t="n">
        <x:v>0.43099206349206354</x:v>
      </x:c>
      <x:c r="T1247" s="1" t="str">
        <x:v>デイ</x:v>
      </x:c>
      <x:c r="U1247" s="49" t="n">
        <x:v>1</x:v>
      </x:c>
    </x:row>
    <x:row r="1248" ht="22" customHeight="1">
      <x:c r="A1248" s="1" t="str">
        <x:v>TOPIXmini</x:v>
      </x:c>
      <x:c r="B1248" s="1" t="str">
        <x:v>C03</x:v>
      </x:c>
      <x:c r="C1248" s="1" t="str">
        <x:v>診断3場</x:v>
      </x:c>
      <x:c r="D1248" s="47" t="n">
        <x:v>122664</x:v>
      </x:c>
      <x:c r="E1248" s="47" t="n">
        <x:v>64168</x:v>
      </x:c>
      <x:c r="F1248" s="47" t="n">
        <x:f>D1248-E1248</x:f>
        <x:v>58496</x:v>
      </x:c>
      <x:c r="G1248" s="49" t="n">
        <x:v>2</x:v>
      </x:c>
      <x:c r="H1248" s="49" t="n">
        <x:v>0</x:v>
      </x:c>
      <x:c r="I1248" s="47" t="n">
        <x:v>0</x:v>
      </x:c>
      <x:c r="J1248" s="49" t="n">
        <x:v>12</x:v>
      </x:c>
      <x:c r="K1248" s="47" t="n">
        <x:v>21584</x:v>
      </x:c>
      <x:c r="L1248" s="47" t="n">
        <x:v>0</x:v>
      </x:c>
      <x:c r="M1248" s="48" t="n">
        <x:v>98.65</x:v>
      </x:c>
      <x:c r="N1248" s="48" t="n">
        <x:v>79.175</x:v>
      </x:c>
      <x:c r="O1248" s="49" t="n">
        <x:v>5</x:v>
      </x:c>
      <x:c r="P1248" s="1" t="str">
        <x:v>再失敗と原板支持まで入口確認に含める</x:v>
      </x:c>
      <x:c r="Q1248" s="49" t="n">
        <x:v>0</x:v>
      </x:c>
      <x:c r="R1248" s="50" t="n">
        <x:v>0.10150641025641026</x:v>
      </x:c>
      <x:c r="S1248" s="50" t="n">
        <x:v>0.10150641025641026</x:v>
      </x:c>
      <x:c r="T1248" s="1" t="str">
        <x:v>ナイト</x:v>
      </x:c>
      <x:c r="U1248" s="49" t="n">
        <x:v>2</x:v>
      </x:c>
    </x:row>
    <x:row r="1249" ht="22" customHeight="1">
      <x:c r="A1249" s="1" t="str">
        <x:v>TOPIXmini</x:v>
      </x:c>
      <x:c r="B1249" s="1" t="str">
        <x:v>C03</x:v>
      </x:c>
      <x:c r="C1249" s="1" t="str">
        <x:v>診断3場</x:v>
      </x:c>
      <x:c r="D1249" s="47" t="n">
        <x:v>39750</x:v>
      </x:c>
      <x:c r="E1249" s="47" t="n">
        <x:v>18166</x:v>
      </x:c>
      <x:c r="F1249" s="47" t="n">
        <x:f>D1249-E1249</x:f>
        <x:v>21584</x:v>
      </x:c>
      <x:c r="G1249" s="49" t="n">
        <x:v>1</x:v>
      </x:c>
      <x:c r="H1249" s="49" t="n">
        <x:v>0</x:v>
      </x:c>
      <x:c r="I1249" s="47" t="n">
        <x:v>0</x:v>
      </x:c>
      <x:c r="J1249" s="49" t="n">
        <x:v>4</x:v>
      </x:c>
      <x:c r="K1249" s="47" t="n">
        <x:v>21584</x:v>
      </x:c>
      <x:c r="L1249" s="47" t="n">
        <x:v>0</x:v>
      </x:c>
      <x:c r="M1249" s="48" t="n">
        <x:v>125.96666666666667</x:v>
      </x:c>
      <x:c r="N1249" s="48" t="n">
        <x:v>74.86666666666666</x:v>
      </x:c>
      <x:c r="O1249" s="49" t="n">
        <x:v>5</x:v>
      </x:c>
      <x:c r="P1249" s="1" t="str">
        <x:v>再失敗と原板支持まで入口確認に含める</x:v>
      </x:c>
      <x:c r="Q1249" s="49" t="n">
        <x:v>0</x:v>
      </x:c>
      <x:c r="R1249" s="50" t="n">
        <x:v>0.09598290598290599</x:v>
      </x:c>
      <x:c r="S1249" s="50" t="n">
        <x:v>0.09598290598290597</x:v>
      </x:c>
      <x:c r="T1249" s="1" t="str">
        <x:v>上昇</x:v>
      </x:c>
      <x:c r="U1249" s="49" t="n">
        <x:v>1</x:v>
      </x:c>
    </x:row>
    <x:row r="1250" ht="22" customHeight="1">
      <x:c r="A1250" s="1" t="str">
        <x:v>TOPIXmini</x:v>
      </x:c>
      <x:c r="B1250" s="1" t="str">
        <x:v>C03</x:v>
      </x:c>
      <x:c r="C1250" s="1" t="str">
        <x:v>診断3場</x:v>
      </x:c>
      <x:c r="D1250" s="47" t="n">
        <x:v>129582</x:v>
      </x:c>
      <x:c r="E1250" s="47" t="n">
        <x:v>174666</x:v>
      </x:c>
      <x:c r="F1250" s="47" t="n">
        <x:f>D1250-E1250</x:f>
        <x:v>-45084</x:v>
      </x:c>
      <x:c r="G1250" s="49" t="n">
        <x:v>1</x:v>
      </x:c>
      <x:c r="H1250" s="49" t="n">
        <x:v>1</x:v>
      </x:c>
      <x:c r="I1250" s="47" t="n">
        <x:v>-81996</x:v>
      </x:c>
      <x:c r="J1250" s="49" t="n">
        <x:v>16</x:v>
      </x:c>
      <x:c r="K1250" s="47" t="n">
        <x:v>-81996</x:v>
      </x:c>
      <x:c r="L1250" s="47" t="n">
        <x:v>81996</x:v>
      </x:c>
      <x:c r="M1250" s="48" t="n">
        <x:v>57.641666666666666</x:v>
      </x:c>
      <x:c r="N1250" s="48" t="n">
        <x:v>132.25</x:v>
      </x:c>
      <x:c r="O1250" s="49" t="n">
        <x:v>5</x:v>
      </x:c>
      <x:c r="P1250" s="1" t="str">
        <x:v>再失敗と原板支持まで入口確認に含める</x:v>
      </x:c>
      <x:c r="Q1250" s="49" t="n">
        <x:v>0</x:v>
      </x:c>
      <x:c r="R1250" s="50" t="n">
        <x:v>0.269010989010989</x:v>
      </x:c>
      <x:c r="S1250" s="50" t="n">
        <x:v>0.22041666666666668</x:v>
      </x:c>
      <x:c r="T1250" s="1" t="str">
        <x:v>下落</x:v>
      </x:c>
      <x:c r="U1250" s="49" t="n">
        <x:v>2</x:v>
      </x:c>
    </x:row>
    <x:row r="1251" ht="22" customHeight="1">
      <x:c r="A1251" s="1" t="str">
        <x:v>TOPIXmini</x:v>
      </x:c>
      <x:c r="B1251" s="1" t="str">
        <x:v>C04</x:v>
      </x:c>
      <x:c r="C1251" s="1" t="str">
        <x:v>全50場</x:v>
      </x:c>
      <x:c r="D1251" s="47" t="n">
        <x:v>2450928</x:v>
      </x:c>
      <x:c r="E1251" s="47" t="n">
        <x:v>1611667</x:v>
      </x:c>
      <x:c r="F1251" s="47" t="n">
        <x:f>D1251-E1251</x:f>
        <x:v>839261</x:v>
      </x:c>
      <x:c r="G1251" s="49" t="n">
        <x:v>37</x:v>
      </x:c>
      <x:c r="H1251" s="49" t="n">
        <x:v>13</x:v>
      </x:c>
      <x:c r="I1251" s="47" t="n">
        <x:v>514427</x:v>
      </x:c>
      <x:c r="J1251" s="49" t="n">
        <x:v>214</x:v>
      </x:c>
      <x:c r="K1251" s="47" t="n">
        <x:v>-71987</x:v>
      </x:c>
      <x:c r="L1251" s="47" t="n">
        <x:v>30818.076923076922</x:v>
      </x:c>
      <x:c r="M1251" s="48" t="n">
        <x:v>185.33866666666668</x:v>
      </x:c>
      <x:c r="N1251" s="48" t="n">
        <x:v>142.64433333333335</x:v>
      </x:c>
      <x:c r="O1251" s="49" t="n">
        <x:v>5</x:v>
      </x:c>
      <x:c r="P1251" s="1" t="str">
        <x:v>長短方向で維持半減全返済</x:v>
      </x:c>
      <x:c r="Q1251" s="49" t="n">
        <x:v>0</x:v>
      </x:c>
      <x:c r="R1251" s="50" t="n">
        <x:v>0.2957722222222222</x:v>
      </x:c>
      <x:c r="S1251" s="50" t="n">
        <x:v>0.23774055555555554</x:v>
      </x:c>
      <x:c r="T1251" s="1" t="str">
        <x:v>全場</x:v>
      </x:c>
      <x:c r="U1251" s="49" t="n">
        <x:v>50</x:v>
      </x:c>
    </x:row>
    <x:row r="1252" ht="22" customHeight="1">
      <x:c r="A1252" s="1" t="str">
        <x:v>TOPIXmini</x:v>
      </x:c>
      <x:c r="B1252" s="1" t="str">
        <x:v>C04</x:v>
      </x:c>
      <x:c r="C1252" s="1" t="str">
        <x:v>全50場</x:v>
      </x:c>
      <x:c r="D1252" s="47" t="n">
        <x:v>1418201</x:v>
      </x:c>
      <x:c r="E1252" s="47" t="n">
        <x:v>900650</x:v>
      </x:c>
      <x:c r="F1252" s="47" t="n">
        <x:f>D1252-E1252</x:f>
        <x:v>517551</x:v>
      </x:c>
      <x:c r="G1252" s="49" t="n">
        <x:v>16</x:v>
      </x:c>
      <x:c r="H1252" s="49" t="n">
        <x:v>9</x:v>
      </x:c>
      <x:c r="I1252" s="47" t="n">
        <x:v>225633</x:v>
      </x:c>
      <x:c r="J1252" s="49" t="n">
        <x:v>112</x:v>
      </x:c>
      <x:c r="K1252" s="47" t="n">
        <x:v>-71987</x:v>
      </x:c>
      <x:c r="L1252" s="47" t="n">
        <x:v>30513.88888888889</x:v>
      </x:c>
      <x:c r="M1252" s="48" t="n">
        <x:v>86.97733333333333</x:v>
      </x:c>
      <x:c r="N1252" s="48" t="n">
        <x:v>205.46866666666668</x:v>
      </x:c>
      <x:c r="O1252" s="49" t="n">
        <x:v>5</x:v>
      </x:c>
      <x:c r="P1252" s="1" t="str">
        <x:v>長短方向で維持半減全返済</x:v>
      </x:c>
      <x:c r="Q1252" s="49" t="n">
        <x:v>0</x:v>
      </x:c>
      <x:c r="R1252" s="50" t="n">
        <x:v>0.4892111111111111</x:v>
      </x:c>
      <x:c r="S1252" s="50" t="n">
        <x:v>0.4892111111111111</x:v>
      </x:c>
      <x:c r="T1252" s="1" t="str">
        <x:v>デイ</x:v>
      </x:c>
      <x:c r="U1252" s="49" t="n">
        <x:v>25</x:v>
      </x:c>
    </x:row>
    <x:row r="1253" ht="22" customHeight="1">
      <x:c r="A1253" s="1" t="str">
        <x:v>TOPIXmini</x:v>
      </x:c>
      <x:c r="B1253" s="1" t="str">
        <x:v>C04</x:v>
      </x:c>
      <x:c r="C1253" s="1" t="str">
        <x:v>全50場</x:v>
      </x:c>
      <x:c r="D1253" s="47" t="n">
        <x:v>1032727</x:v>
      </x:c>
      <x:c r="E1253" s="47" t="n">
        <x:v>711017</x:v>
      </x:c>
      <x:c r="F1253" s="47" t="n">
        <x:f>D1253-E1253</x:f>
        <x:v>321710</x:v>
      </x:c>
      <x:c r="G1253" s="49" t="n">
        <x:v>21</x:v>
      </x:c>
      <x:c r="H1253" s="49" t="n">
        <x:v>4</x:v>
      </x:c>
      <x:c r="I1253" s="47" t="n">
        <x:v>124213</x:v>
      </x:c>
      <x:c r="J1253" s="49" t="n">
        <x:v>102</x:v>
      </x:c>
      <x:c r="K1253" s="47" t="n">
        <x:v>-44086</x:v>
      </x:c>
      <x:c r="L1253" s="47" t="n">
        <x:v>31502.5</x:v>
      </x:c>
      <x:c r="M1253" s="48" t="n">
        <x:v>283.7</x:v>
      </x:c>
      <x:c r="N1253" s="48" t="n">
        <x:v>79.82</x:v>
      </x:c>
      <x:c r="O1253" s="49" t="n">
        <x:v>5</x:v>
      </x:c>
      <x:c r="P1253" s="1" t="str">
        <x:v>長短方向で維持半減全返済</x:v>
      </x:c>
      <x:c r="Q1253" s="49" t="n">
        <x:v>0</x:v>
      </x:c>
      <x:c r="R1253" s="50" t="n">
        <x:v>0.10233333333333333</x:v>
      </x:c>
      <x:c r="S1253" s="50" t="n">
        <x:v>0.10233333333333333</x:v>
      </x:c>
      <x:c r="T1253" s="1" t="str">
        <x:v>ナイト</x:v>
      </x:c>
      <x:c r="U1253" s="49" t="n">
        <x:v>25</x:v>
      </x:c>
    </x:row>
    <x:row r="1254" ht="22" customHeight="1">
      <x:c r="A1254" s="1" t="str">
        <x:v>TOPIXmini</x:v>
      </x:c>
      <x:c r="B1254" s="1" t="str">
        <x:v>C04</x:v>
      </x:c>
      <x:c r="C1254" s="1" t="str">
        <x:v>全50場</x:v>
      </x:c>
      <x:c r="D1254" s="47" t="n">
        <x:v>1033918</x:v>
      </x:c>
      <x:c r="E1254" s="47" t="n">
        <x:v>729254</x:v>
      </x:c>
      <x:c r="F1254" s="47" t="n">
        <x:f>D1254-E1254</x:f>
        <x:v>304664</x:v>
      </x:c>
      <x:c r="G1254" s="49" t="n">
        <x:v>18</x:v>
      </x:c>
      <x:c r="H1254" s="49" t="n">
        <x:v>7</x:v>
      </x:c>
      <x:c r="I1254" s="47" t="n">
        <x:v>76163</x:v>
      </x:c>
      <x:c r="J1254" s="49" t="n">
        <x:v>89</x:v>
      </x:c>
      <x:c r="K1254" s="47" t="n">
        <x:v>-44086</x:v>
      </x:c>
      <x:c r="L1254" s="47" t="n">
        <x:v>27033.85714285714</x:v>
      </x:c>
      <x:c r="M1254" s="48" t="n">
        <x:v>206.87466666666668</x:v>
      </x:c>
      <x:c r="N1254" s="48" t="n">
        <x:v>129.44266666666667</x:v>
      </x:c>
      <x:c r="O1254" s="49" t="n">
        <x:v>5</x:v>
      </x:c>
      <x:c r="P1254" s="1" t="str">
        <x:v>長短方向で維持半減全返済</x:v>
      </x:c>
      <x:c r="Q1254" s="49" t="n">
        <x:v>0</x:v>
      </x:c>
      <x:c r="R1254" s="50" t="n">
        <x:v>0.26518876678876674</x:v>
      </x:c>
      <x:c r="S1254" s="50" t="n">
        <x:v>0.21317962231005708</x:v>
      </x:c>
      <x:c r="T1254" s="1" t="str">
        <x:v>上昇</x:v>
      </x:c>
      <x:c r="U1254" s="49" t="n">
        <x:v>25</x:v>
      </x:c>
    </x:row>
    <x:row r="1255" ht="22" customHeight="1">
      <x:c r="A1255" s="1" t="str">
        <x:v>TOPIXmini</x:v>
      </x:c>
      <x:c r="B1255" s="1" t="str">
        <x:v>C04</x:v>
      </x:c>
      <x:c r="C1255" s="1" t="str">
        <x:v>全50場</x:v>
      </x:c>
      <x:c r="D1255" s="47" t="n">
        <x:v>1417010</x:v>
      </x:c>
      <x:c r="E1255" s="47" t="n">
        <x:v>882413</x:v>
      </x:c>
      <x:c r="F1255" s="47" t="n">
        <x:f>D1255-E1255</x:f>
        <x:v>534597</x:v>
      </x:c>
      <x:c r="G1255" s="49" t="n">
        <x:v>19</x:v>
      </x:c>
      <x:c r="H1255" s="49" t="n">
        <x:v>6</x:v>
      </x:c>
      <x:c r="I1255" s="47" t="n">
        <x:v>209929</x:v>
      </x:c>
      <x:c r="J1255" s="49" t="n">
        <x:v>125</x:v>
      </x:c>
      <x:c r="K1255" s="47" t="n">
        <x:v>-71987</x:v>
      </x:c>
      <x:c r="L1255" s="47" t="n">
        <x:v>35233</x:v>
      </x:c>
      <x:c r="M1255" s="48" t="n">
        <x:v>163.80266666666665</x:v>
      </x:c>
      <x:c r="N1255" s="48" t="n">
        <x:v>155.846</x:v>
      </x:c>
      <x:c r="O1255" s="49" t="n">
        <x:v>5</x:v>
      </x:c>
      <x:c r="P1255" s="1" t="str">
        <x:v>長短方向で維持半減全返済</x:v>
      </x:c>
      <x:c r="Q1255" s="49" t="n">
        <x:v>0</x:v>
      </x:c>
      <x:c r="R1255" s="50" t="n">
        <x:v>0.32635567765567763</x:v>
      </x:c>
      <x:c r="S1255" s="50" t="n">
        <x:v>0.26289811066126856</x:v>
      </x:c>
      <x:c r="T1255" s="1" t="str">
        <x:v>下落</x:v>
      </x:c>
      <x:c r="U1255" s="49" t="n">
        <x:v>25</x:v>
      </x:c>
    </x:row>
    <x:row r="1256" ht="22" customHeight="1">
      <x:c r="A1256" s="1" t="str">
        <x:v>TOPIXmini</x:v>
      </x:c>
      <x:c r="B1256" s="1" t="str">
        <x:v>C04</x:v>
      </x:c>
      <x:c r="C1256" s="1" t="str">
        <x:v>対照47場</x:v>
      </x:c>
      <x:c r="D1256" s="47" t="n">
        <x:v>2240420</x:v>
      </x:c>
      <x:c r="E1256" s="47" t="n">
        <x:v>1407171</x:v>
      </x:c>
      <x:c r="F1256" s="47" t="n">
        <x:f>D1256-E1256</x:f>
        <x:v>833249</x:v>
      </x:c>
      <x:c r="G1256" s="49" t="n">
        <x:v>35</x:v>
      </x:c>
      <x:c r="H1256" s="49" t="n">
        <x:v>12</x:v>
      </x:c>
      <x:c r="I1256" s="47" t="n">
        <x:v>508415</x:v>
      </x:c>
      <x:c r="J1256" s="49" t="n">
        <x:v>186</x:v>
      </x:c>
      <x:c r="K1256" s="47" t="n">
        <x:v>-49829</x:v>
      </x:c>
      <x:c r="L1256" s="47" t="n">
        <x:v>27387.333333333332</x:v>
      </x:c>
      <x:c r="M1256" s="48" t="n">
        <x:v>192.05141843971634</x:v>
      </x:c>
      <x:c r="N1256" s="48" t="n">
        <x:v>144.7950354609929</x:v>
      </x:c>
      <x:c r="O1256" s="49" t="n">
        <x:v>5</x:v>
      </x:c>
      <x:c r="P1256" s="1" t="str">
        <x:v>長短方向で維持半減全返済</x:v>
      </x:c>
      <x:c r="Q1256" s="49" t="n">
        <x:v>0</x:v>
      </x:c>
      <x:c r="R1256" s="50" t="n">
        <x:v>0.30179318317616194</x:v>
      </x:c>
      <x:c r="S1256" s="50" t="n">
        <x:v>0.24287532714727575</x:v>
      </x:c>
      <x:c r="T1256" s="1" t="str">
        <x:v>全場</x:v>
      </x:c>
      <x:c r="U1256" s="49" t="n">
        <x:v>47</x:v>
      </x:c>
    </x:row>
    <x:row r="1257" ht="22" customHeight="1">
      <x:c r="A1257" s="1" t="str">
        <x:v>TOPIXmini</x:v>
      </x:c>
      <x:c r="B1257" s="1" t="str">
        <x:v>C04</x:v>
      </x:c>
      <x:c r="C1257" s="1" t="str">
        <x:v>対照47場</x:v>
      </x:c>
      <x:c r="D1257" s="47" t="n">
        <x:v>1331193</x:v>
      </x:c>
      <x:c r="E1257" s="47" t="n">
        <x:v>741655</x:v>
      </x:c>
      <x:c r="F1257" s="47" t="n">
        <x:f>D1257-E1257</x:f>
        <x:v>589538</x:v>
      </x:c>
      <x:c r="G1257" s="49" t="n">
        <x:v>16</x:v>
      </x:c>
      <x:c r="H1257" s="49" t="n">
        <x:v>8</x:v>
      </x:c>
      <x:c r="I1257" s="47" t="n">
        <x:v>297620</x:v>
      </x:c>
      <x:c r="J1257" s="49" t="n">
        <x:v>96</x:v>
      </x:c>
      <x:c r="K1257" s="47" t="n">
        <x:v>-49829</x:v>
      </x:c>
      <x:c r="L1257" s="47" t="n">
        <x:v>25329.75</x:v>
      </x:c>
      <x:c r="M1257" s="48" t="n">
        <x:v>88.7701388888889</x:v>
      </x:c>
      <x:c r="N1257" s="48" t="n">
        <x:v>207.0041666666667</x:v>
      </x:c>
      <x:c r="O1257" s="49" t="n">
        <x:v>5</x:v>
      </x:c>
      <x:c r="P1257" s="1" t="str">
        <x:v>長短方向で維持半減全返済</x:v>
      </x:c>
      <x:c r="Q1257" s="49" t="n">
        <x:v>0</x:v>
      </x:c>
      <x:c r="R1257" s="50" t="n">
        <x:v>0.4928670634920635</x:v>
      </x:c>
      <x:c r="S1257" s="50" t="n">
        <x:v>0.49286706349206355</x:v>
      </x:c>
      <x:c r="T1257" s="1" t="str">
        <x:v>デイ</x:v>
      </x:c>
      <x:c r="U1257" s="49" t="n">
        <x:v>24</x:v>
      </x:c>
    </x:row>
    <x:row r="1258" ht="22" customHeight="1">
      <x:c r="A1258" s="1" t="str">
        <x:v>TOPIXmini</x:v>
      </x:c>
      <x:c r="B1258" s="1" t="str">
        <x:v>C04</x:v>
      </x:c>
      <x:c r="C1258" s="1" t="str">
        <x:v>対照47場</x:v>
      </x:c>
      <x:c r="D1258" s="47" t="n">
        <x:v>909227</x:v>
      </x:c>
      <x:c r="E1258" s="47" t="n">
        <x:v>665516</x:v>
      </x:c>
      <x:c r="F1258" s="47" t="n">
        <x:f>D1258-E1258</x:f>
        <x:v>243711</x:v>
      </x:c>
      <x:c r="G1258" s="49" t="n">
        <x:v>19</x:v>
      </x:c>
      <x:c r="H1258" s="49" t="n">
        <x:v>4</x:v>
      </x:c>
      <x:c r="I1258" s="47" t="n">
        <x:v>57549</x:v>
      </x:c>
      <x:c r="J1258" s="49" t="n">
        <x:v>90</x:v>
      </x:c>
      <x:c r="K1258" s="47" t="n">
        <x:v>-44086</x:v>
      </x:c>
      <x:c r="L1258" s="47" t="n">
        <x:v>31502.5</x:v>
      </x:c>
      <x:c r="M1258" s="48" t="n">
        <x:v>299.82318840579705</x:v>
      </x:c>
      <x:c r="N1258" s="48" t="n">
        <x:v>79.88115942028985</x:v>
      </x:c>
      <x:c r="O1258" s="49" t="n">
        <x:v>5</x:v>
      </x:c>
      <x:c r="P1258" s="1" t="str">
        <x:v>長短方向で維持半減全返済</x:v>
      </x:c>
      <x:c r="Q1258" s="49" t="n">
        <x:v>0</x:v>
      </x:c>
      <x:c r="R1258" s="50" t="n">
        <x:v>0.10241174284652545</x:v>
      </x:c>
      <x:c r="S1258" s="50" t="n">
        <x:v>0.10241174284652546</x:v>
      </x:c>
      <x:c r="T1258" s="1" t="str">
        <x:v>ナイト</x:v>
      </x:c>
      <x:c r="U1258" s="49" t="n">
        <x:v>23</x:v>
      </x:c>
    </x:row>
    <x:row r="1259" ht="22" customHeight="1">
      <x:c r="A1259" s="1" t="str">
        <x:v>TOPIXmini</x:v>
      </x:c>
      <x:c r="B1259" s="1" t="str">
        <x:v>C04</x:v>
      </x:c>
      <x:c r="C1259" s="1" t="str">
        <x:v>対照47場</x:v>
      </x:c>
      <x:c r="D1259" s="47" t="n">
        <x:v>993168</x:v>
      </x:c>
      <x:c r="E1259" s="47" t="n">
        <x:v>719589</x:v>
      </x:c>
      <x:c r="F1259" s="47" t="n">
        <x:f>D1259-E1259</x:f>
        <x:v>273579</x:v>
      </x:c>
      <x:c r="G1259" s="49" t="n">
        <x:v>17</x:v>
      </x:c>
      <x:c r="H1259" s="49" t="n">
        <x:v>7</x:v>
      </x:c>
      <x:c r="I1259" s="47" t="n">
        <x:v>45078</x:v>
      </x:c>
      <x:c r="J1259" s="49" t="n">
        <x:v>85</x:v>
      </x:c>
      <x:c r="K1259" s="47" t="n">
        <x:v>-44086</x:v>
      </x:c>
      <x:c r="L1259" s="47" t="n">
        <x:v>27033.85714285714</x:v>
      </x:c>
      <x:c r="M1259" s="48" t="n">
        <x:v>210.25972222222222</x:v>
      </x:c>
      <x:c r="N1259" s="48" t="n">
        <x:v>131.75277777777777</x:v>
      </x:c>
      <x:c r="O1259" s="49" t="n">
        <x:v>5</x:v>
      </x:c>
      <x:c r="P1259" s="1" t="str">
        <x:v>長短方向で維持半減全返済</x:v>
      </x:c>
      <x:c r="Q1259" s="49" t="n">
        <x:v>0</x:v>
      </x:c>
      <x:c r="R1259" s="50" t="n">
        <x:v>0.27228530728530725</x:v>
      </x:c>
      <x:c r="S1259" s="50" t="n">
        <x:v>0.21958796296296296</x:v>
      </x:c>
      <x:c r="T1259" s="1" t="str">
        <x:v>上昇</x:v>
      </x:c>
      <x:c r="U1259" s="49" t="n">
        <x:v>24</x:v>
      </x:c>
    </x:row>
    <x:row r="1260" ht="22" customHeight="1">
      <x:c r="A1260" s="1" t="str">
        <x:v>TOPIXmini</x:v>
      </x:c>
      <x:c r="B1260" s="1" t="str">
        <x:v>C04</x:v>
      </x:c>
      <x:c r="C1260" s="1" t="str">
        <x:v>対照47場</x:v>
      </x:c>
      <x:c r="D1260" s="47" t="n">
        <x:v>1247252</x:v>
      </x:c>
      <x:c r="E1260" s="47" t="n">
        <x:v>687582</x:v>
      </x:c>
      <x:c r="F1260" s="47" t="n">
        <x:f>D1260-E1260</x:f>
        <x:v>559670</x:v>
      </x:c>
      <x:c r="G1260" s="49" t="n">
        <x:v>18</x:v>
      </x:c>
      <x:c r="H1260" s="49" t="n">
        <x:v>5</x:v>
      </x:c>
      <x:c r="I1260" s="47" t="n">
        <x:v>235002</x:v>
      </x:c>
      <x:c r="J1260" s="49" t="n">
        <x:v>101</x:v>
      </x:c>
      <x:c r="K1260" s="47" t="n">
        <x:v>-49829</x:v>
      </x:c>
      <x:c r="L1260" s="47" t="n">
        <x:v>27882.2</x:v>
      </x:c>
      <x:c r="M1260" s="48" t="n">
        <x:v>173.05144927536236</x:v>
      </x:c>
      <x:c r="N1260" s="48" t="n">
        <x:v>158.40434782608696</x:v>
      </x:c>
      <x:c r="O1260" s="49" t="n">
        <x:v>5</x:v>
      </x:c>
      <x:c r="P1260" s="1" t="str">
        <x:v>長短方向で維持半減全返済</x:v>
      </x:c>
      <x:c r="Q1260" s="49" t="n">
        <x:v>0</x:v>
      </x:c>
      <x:c r="R1260" s="50" t="n">
        <x:v>0.3325840101927059</x:v>
      </x:c>
      <x:c r="S1260" s="50" t="n">
        <x:v>0.267496328928047</x:v>
      </x:c>
      <x:c r="T1260" s="1" t="str">
        <x:v>下落</x:v>
      </x:c>
      <x:c r="U1260" s="49" t="n">
        <x:v>23</x:v>
      </x:c>
    </x:row>
    <x:row r="1261" ht="22" customHeight="1">
      <x:c r="A1261" s="1" t="str">
        <x:v>TOPIXmini</x:v>
      </x:c>
      <x:c r="B1261" s="1" t="str">
        <x:v>C04</x:v>
      </x:c>
      <x:c r="C1261" s="1" t="str">
        <x:v>診断3場</x:v>
      </x:c>
      <x:c r="D1261" s="47" t="n">
        <x:v>210508</x:v>
      </x:c>
      <x:c r="E1261" s="47" t="n">
        <x:v>204496</x:v>
      </x:c>
      <x:c r="F1261" s="47" t="n">
        <x:f>D1261-E1261</x:f>
        <x:v>6012</x:v>
      </x:c>
      <x:c r="G1261" s="49" t="n">
        <x:v>2</x:v>
      </x:c>
      <x:c r="H1261" s="49" t="n">
        <x:v>1</x:v>
      </x:c>
      <x:c r="I1261" s="47" t="n">
        <x:v>-71987</x:v>
      </x:c>
      <x:c r="J1261" s="49" t="n">
        <x:v>28</x:v>
      </x:c>
      <x:c r="K1261" s="47" t="n">
        <x:v>-71987</x:v>
      </x:c>
      <x:c r="L1261" s="47" t="n">
        <x:v>71987</x:v>
      </x:c>
      <x:c r="M1261" s="48" t="n">
        <x:v>80.17222222222223</x:v>
      </x:c>
      <x:c r="N1261" s="48" t="n">
        <x:v>108.95</x:v>
      </x:c>
      <x:c r="O1261" s="49" t="n">
        <x:v>5</x:v>
      </x:c>
      <x:c r="P1261" s="1" t="str">
        <x:v>長短方向で維持半減全返済</x:v>
      </x:c>
      <x:c r="Q1261" s="49" t="n">
        <x:v>0</x:v>
      </x:c>
      <x:c r="R1261" s="50" t="n">
        <x:v>0.20144383394383394</x:v>
      </x:c>
      <x:c r="S1261" s="50" t="n">
        <x:v>0.1650757575757576</x:v>
      </x:c>
      <x:c r="T1261" s="1" t="str">
        <x:v>全場</x:v>
      </x:c>
      <x:c r="U1261" s="49" t="n">
        <x:v>3</x:v>
      </x:c>
    </x:row>
    <x:row r="1262" ht="22" customHeight="1">
      <x:c r="A1262" s="1" t="str">
        <x:v>TOPIXmini</x:v>
      </x:c>
      <x:c r="B1262" s="1" t="str">
        <x:v>C04</x:v>
      </x:c>
      <x:c r="C1262" s="1" t="str">
        <x:v>診断3場</x:v>
      </x:c>
      <x:c r="D1262" s="47" t="n">
        <x:v>87008</x:v>
      </x:c>
      <x:c r="E1262" s="47" t="n">
        <x:v>158995</x:v>
      </x:c>
      <x:c r="F1262" s="47" t="n">
        <x:f>D1262-E1262</x:f>
        <x:v>-71987</x:v>
      </x:c>
      <x:c r="G1262" s="49" t="n">
        <x:v>0</x:v>
      </x:c>
      <x:c r="H1262" s="49" t="n">
        <x:v>1</x:v>
      </x:c>
      <x:c r="I1262" s="47" t="n">
        <x:v>-71987</x:v>
      </x:c>
      <x:c r="J1262" s="49" t="n">
        <x:v>16</x:v>
      </x:c>
      <x:c r="K1262" s="47" t="n">
        <x:v>-71987</x:v>
      </x:c>
      <x:c r="L1262" s="47" t="n">
        <x:v>71987</x:v>
      </x:c>
      <x:c r="M1262" s="48" t="n">
        <x:v>43.95</x:v>
      </x:c>
      <x:c r="N1262" s="48" t="n">
        <x:v>168.61666666666667</x:v>
      </x:c>
      <x:c r="O1262" s="49" t="n">
        <x:v>5</x:v>
      </x:c>
      <x:c r="P1262" s="1" t="str">
        <x:v>長短方向で維持半減全返済</x:v>
      </x:c>
      <x:c r="Q1262" s="49" t="n">
        <x:v>0</x:v>
      </x:c>
      <x:c r="R1262" s="50" t="n">
        <x:v>0.401468253968254</x:v>
      </x:c>
      <x:c r="S1262" s="50" t="n">
        <x:v>0.401468253968254</x:v>
      </x:c>
      <x:c r="T1262" s="1" t="str">
        <x:v>デイ</x:v>
      </x:c>
      <x:c r="U1262" s="49" t="n">
        <x:v>1</x:v>
      </x:c>
    </x:row>
    <x:row r="1263" ht="22" customHeight="1">
      <x:c r="A1263" s="1" t="str">
        <x:v>TOPIXmini</x:v>
      </x:c>
      <x:c r="B1263" s="1" t="str">
        <x:v>C04</x:v>
      </x:c>
      <x:c r="C1263" s="1" t="str">
        <x:v>診断3場</x:v>
      </x:c>
      <x:c r="D1263" s="47" t="n">
        <x:v>123500</x:v>
      </x:c>
      <x:c r="E1263" s="47" t="n">
        <x:v>45501</x:v>
      </x:c>
      <x:c r="F1263" s="47" t="n">
        <x:f>D1263-E1263</x:f>
        <x:v>77999</x:v>
      </x:c>
      <x:c r="G1263" s="49" t="n">
        <x:v>2</x:v>
      </x:c>
      <x:c r="H1263" s="49" t="n">
        <x:v>0</x:v>
      </x:c>
      <x:c r="I1263" s="47" t="n">
        <x:v>0</x:v>
      </x:c>
      <x:c r="J1263" s="49" t="n">
        <x:v>12</x:v>
      </x:c>
      <x:c r="K1263" s="47" t="n">
        <x:v>31085</x:v>
      </x:c>
      <x:c r="L1263" s="47" t="n">
        <x:v>0</x:v>
      </x:c>
      <x:c r="M1263" s="48" t="n">
        <x:v>98.28333333333333</x:v>
      </x:c>
      <x:c r="N1263" s="48" t="n">
        <x:v>79.11666666666667</x:v>
      </x:c>
      <x:c r="O1263" s="49" t="n">
        <x:v>5</x:v>
      </x:c>
      <x:c r="P1263" s="1" t="str">
        <x:v>長短方向で維持半減全返済</x:v>
      </x:c>
      <x:c r="Q1263" s="49" t="n">
        <x:v>0</x:v>
      </x:c>
      <x:c r="R1263" s="50" t="n">
        <x:v>0.10143162393162393</x:v>
      </x:c>
      <x:c r="S1263" s="50" t="n">
        <x:v>0.10143162393162394</x:v>
      </x:c>
      <x:c r="T1263" s="1" t="str">
        <x:v>ナイト</x:v>
      </x:c>
      <x:c r="U1263" s="49" t="n">
        <x:v>2</x:v>
      </x:c>
    </x:row>
    <x:row r="1264" ht="22" customHeight="1">
      <x:c r="A1264" s="1" t="str">
        <x:v>TOPIXmini</x:v>
      </x:c>
      <x:c r="B1264" s="1" t="str">
        <x:v>C04</x:v>
      </x:c>
      <x:c r="C1264" s="1" t="str">
        <x:v>診断3場</x:v>
      </x:c>
      <x:c r="D1264" s="47" t="n">
        <x:v>40750</x:v>
      </x:c>
      <x:c r="E1264" s="47" t="n">
        <x:v>9665</x:v>
      </x:c>
      <x:c r="F1264" s="47" t="n">
        <x:f>D1264-E1264</x:f>
        <x:v>31085</x:v>
      </x:c>
      <x:c r="G1264" s="49" t="n">
        <x:v>1</x:v>
      </x:c>
      <x:c r="H1264" s="49" t="n">
        <x:v>0</x:v>
      </x:c>
      <x:c r="I1264" s="47" t="n">
        <x:v>0</x:v>
      </x:c>
      <x:c r="J1264" s="49" t="n">
        <x:v>4</x:v>
      </x:c>
      <x:c r="K1264" s="47" t="n">
        <x:v>31085</x:v>
      </x:c>
      <x:c r="L1264" s="47" t="n">
        <x:v>0</x:v>
      </x:c>
      <x:c r="M1264" s="48" t="n">
        <x:v>125.63333333333334</x:v>
      </x:c>
      <x:c r="N1264" s="48" t="n">
        <x:v>74</x:v>
      </x:c>
      <x:c r="O1264" s="49" t="n">
        <x:v>5</x:v>
      </x:c>
      <x:c r="P1264" s="1" t="str">
        <x:v>長短方向で維持半減全返済</x:v>
      </x:c>
      <x:c r="Q1264" s="49" t="n">
        <x:v>0</x:v>
      </x:c>
      <x:c r="R1264" s="50" t="n">
        <x:v>0.09487179487179487</x:v>
      </x:c>
      <x:c r="S1264" s="50" t="n">
        <x:v>0.09487179487179487</x:v>
      </x:c>
      <x:c r="T1264" s="1" t="str">
        <x:v>上昇</x:v>
      </x:c>
      <x:c r="U1264" s="49" t="n">
        <x:v>1</x:v>
      </x:c>
    </x:row>
    <x:row r="1265" ht="22" customHeight="1">
      <x:c r="A1265" s="1" t="str">
        <x:v>TOPIXmini</x:v>
      </x:c>
      <x:c r="B1265" s="1" t="str">
        <x:v>C04</x:v>
      </x:c>
      <x:c r="C1265" s="1" t="str">
        <x:v>診断3場</x:v>
      </x:c>
      <x:c r="D1265" s="47" t="n">
        <x:v>169758</x:v>
      </x:c>
      <x:c r="E1265" s="47" t="n">
        <x:v>194831</x:v>
      </x:c>
      <x:c r="F1265" s="47" t="n">
        <x:f>D1265-E1265</x:f>
        <x:v>-25073</x:v>
      </x:c>
      <x:c r="G1265" s="49" t="n">
        <x:v>1</x:v>
      </x:c>
      <x:c r="H1265" s="49" t="n">
        <x:v>1</x:v>
      </x:c>
      <x:c r="I1265" s="47" t="n">
        <x:v>-71987</x:v>
      </x:c>
      <x:c r="J1265" s="49" t="n">
        <x:v>24</x:v>
      </x:c>
      <x:c r="K1265" s="47" t="n">
        <x:v>-71987</x:v>
      </x:c>
      <x:c r="L1265" s="47" t="n">
        <x:v>71987</x:v>
      </x:c>
      <x:c r="M1265" s="48" t="n">
        <x:v>57.44166666666667</x:v>
      </x:c>
      <x:c r="N1265" s="48" t="n">
        <x:v>126.42500000000001</x:v>
      </x:c>
      <x:c r="O1265" s="49" t="n">
        <x:v>5</x:v>
      </x:c>
      <x:c r="P1265" s="1" t="str">
        <x:v>長短方向で維持半減全返済</x:v>
      </x:c>
      <x:c r="Q1265" s="49" t="n">
        <x:v>0</x:v>
      </x:c>
      <x:c r="R1265" s="50" t="n">
        <x:v>0.2547298534798535</x:v>
      </x:c>
      <x:c r="S1265" s="50" t="n">
        <x:v>0.21070833333333336</x:v>
      </x:c>
      <x:c r="T1265" s="1" t="str">
        <x:v>下落</x:v>
      </x:c>
      <x:c r="U1265" s="49" t="n">
        <x:v>2</x:v>
      </x:c>
    </x:row>
    <x:row r="1266" ht="22" customHeight="1">
      <x:c r="A1266" s="1" t="str">
        <x:v>TOPIXmini</x:v>
      </x:c>
      <x:c r="B1266" s="1" t="str">
        <x:v>C05</x:v>
      </x:c>
      <x:c r="C1266" s="1" t="str">
        <x:v>全50場</x:v>
      </x:c>
      <x:c r="D1266" s="47" t="n">
        <x:v>2402263</x:v>
      </x:c>
      <x:c r="E1266" s="47" t="n">
        <x:v>1561085</x:v>
      </x:c>
      <x:c r="F1266" s="47" t="n">
        <x:f>D1266-E1266</x:f>
        <x:v>841178</x:v>
      </x:c>
      <x:c r="G1266" s="49" t="n">
        <x:v>37</x:v>
      </x:c>
      <x:c r="H1266" s="49" t="n">
        <x:v>13</x:v>
      </x:c>
      <x:c r="I1266" s="47" t="n">
        <x:v>516344</x:v>
      </x:c>
      <x:c r="J1266" s="49" t="n">
        <x:v>211</x:v>
      </x:c>
      <x:c r="K1266" s="47" t="n">
        <x:v>-61070</x:v>
      </x:c>
      <x:c r="L1266" s="47" t="n">
        <x:v>29824.384615384617</x:v>
      </x:c>
      <x:c r="M1266" s="48" t="n">
        <x:v>185.33866666666668</x:v>
      </x:c>
      <x:c r="N1266" s="48" t="n">
        <x:v>142.329</x:v>
      </x:c>
      <x:c r="O1266" s="49" t="n">
        <x:v>5</x:v>
      </x:c>
      <x:c r="P1266" s="1" t="str">
        <x:v>価格と原板の合意で維持半減全返済</x:v>
      </x:c>
      <x:c r="Q1266" s="49" t="n">
        <x:v>0</x:v>
      </x:c>
      <x:c r="R1266" s="50" t="n">
        <x:v>0.2950214285714286</x:v>
      </x:c>
      <x:c r="S1266" s="50" t="n">
        <x:v>0.23721499999999998</x:v>
      </x:c>
      <x:c r="T1266" s="1" t="str">
        <x:v>全場</x:v>
      </x:c>
      <x:c r="U1266" s="49" t="n">
        <x:v>50</x:v>
      </x:c>
    </x:row>
    <x:row r="1267" ht="22" customHeight="1">
      <x:c r="A1267" s="1" t="str">
        <x:v>TOPIXmini</x:v>
      </x:c>
      <x:c r="B1267" s="1" t="str">
        <x:v>C05</x:v>
      </x:c>
      <x:c r="C1267" s="1" t="str">
        <x:v>全50場</x:v>
      </x:c>
      <x:c r="D1267" s="47" t="n">
        <x:v>1369536</x:v>
      </x:c>
      <x:c r="E1267" s="47" t="n">
        <x:v>850068</x:v>
      </x:c>
      <x:c r="F1267" s="47" t="n">
        <x:f>D1267-E1267</x:f>
        <x:v>519468</x:v>
      </x:c>
      <x:c r="G1267" s="49" t="n">
        <x:v>16</x:v>
      </x:c>
      <x:c r="H1267" s="49" t="n">
        <x:v>9</x:v>
      </x:c>
      <x:c r="I1267" s="47" t="n">
        <x:v>230214</x:v>
      </x:c>
      <x:c r="J1267" s="49" t="n">
        <x:v>109</x:v>
      </x:c>
      <x:c r="K1267" s="47" t="n">
        <x:v>-61070</x:v>
      </x:c>
      <x:c r="L1267" s="47" t="n">
        <x:v>29078.555555555555</x:v>
      </x:c>
      <x:c r="M1267" s="48" t="n">
        <x:v>86.97733333333333</x:v>
      </x:c>
      <x:c r="N1267" s="48" t="n">
        <x:v>204.838</x:v>
      </x:c>
      <x:c r="O1267" s="49" t="n">
        <x:v>5</x:v>
      </x:c>
      <x:c r="P1267" s="1" t="str">
        <x:v>価格と原板の合意で維持半減全返済</x:v>
      </x:c>
      <x:c r="Q1267" s="49" t="n">
        <x:v>0</x:v>
      </x:c>
      <x:c r="R1267" s="50" t="n">
        <x:v>0.4877095238095238</x:v>
      </x:c>
      <x:c r="S1267" s="50" t="n">
        <x:v>0.4877095238095238</x:v>
      </x:c>
      <x:c r="T1267" s="1" t="str">
        <x:v>デイ</x:v>
      </x:c>
      <x:c r="U1267" s="49" t="n">
        <x:v>25</x:v>
      </x:c>
    </x:row>
    <x:row r="1268" ht="22" customHeight="1">
      <x:c r="A1268" s="1" t="str">
        <x:v>TOPIXmini</x:v>
      </x:c>
      <x:c r="B1268" s="1" t="str">
        <x:v>C05</x:v>
      </x:c>
      <x:c r="C1268" s="1" t="str">
        <x:v>全50場</x:v>
      </x:c>
      <x:c r="D1268" s="47" t="n">
        <x:v>1032727</x:v>
      </x:c>
      <x:c r="E1268" s="47" t="n">
        <x:v>711017</x:v>
      </x:c>
      <x:c r="F1268" s="47" t="n">
        <x:f>D1268-E1268</x:f>
        <x:v>321710</x:v>
      </x:c>
      <x:c r="G1268" s="49" t="n">
        <x:v>21</x:v>
      </x:c>
      <x:c r="H1268" s="49" t="n">
        <x:v>4</x:v>
      </x:c>
      <x:c r="I1268" s="47" t="n">
        <x:v>124213</x:v>
      </x:c>
      <x:c r="J1268" s="49" t="n">
        <x:v>102</x:v>
      </x:c>
      <x:c r="K1268" s="47" t="n">
        <x:v>-44086</x:v>
      </x:c>
      <x:c r="L1268" s="47" t="n">
        <x:v>31502.5</x:v>
      </x:c>
      <x:c r="M1268" s="48" t="n">
        <x:v>283.7</x:v>
      </x:c>
      <x:c r="N1268" s="48" t="n">
        <x:v>79.82</x:v>
      </x:c>
      <x:c r="O1268" s="49" t="n">
        <x:v>5</x:v>
      </x:c>
      <x:c r="P1268" s="1" t="str">
        <x:v>価格と原板の合意で維持半減全返済</x:v>
      </x:c>
      <x:c r="Q1268" s="49" t="n">
        <x:v>0</x:v>
      </x:c>
      <x:c r="R1268" s="50" t="n">
        <x:v>0.10233333333333333</x:v>
      </x:c>
      <x:c r="S1268" s="50" t="n">
        <x:v>0.10233333333333333</x:v>
      </x:c>
      <x:c r="T1268" s="1" t="str">
        <x:v>ナイト</x:v>
      </x:c>
      <x:c r="U1268" s="49" t="n">
        <x:v>25</x:v>
      </x:c>
    </x:row>
    <x:row r="1269" ht="22" customHeight="1">
      <x:c r="A1269" s="1" t="str">
        <x:v>TOPIXmini</x:v>
      </x:c>
      <x:c r="B1269" s="1" t="str">
        <x:v>C05</x:v>
      </x:c>
      <x:c r="C1269" s="1" t="str">
        <x:v>全50場</x:v>
      </x:c>
      <x:c r="D1269" s="47" t="n">
        <x:v>1033418</x:v>
      </x:c>
      <x:c r="E1269" s="47" t="n">
        <x:v>729254</x:v>
      </x:c>
      <x:c r="F1269" s="47" t="n">
        <x:f>D1269-E1269</x:f>
        <x:v>304164</x:v>
      </x:c>
      <x:c r="G1269" s="49" t="n">
        <x:v>18</x:v>
      </x:c>
      <x:c r="H1269" s="49" t="n">
        <x:v>7</x:v>
      </x:c>
      <x:c r="I1269" s="47" t="n">
        <x:v>75663</x:v>
      </x:c>
      <x:c r="J1269" s="49" t="n">
        <x:v>89</x:v>
      </x:c>
      <x:c r="K1269" s="47" t="n">
        <x:v>-44086</x:v>
      </x:c>
      <x:c r="L1269" s="47" t="n">
        <x:v>27105.285714285714</x:v>
      </x:c>
      <x:c r="M1269" s="48" t="n">
        <x:v>206.87466666666668</x:v>
      </x:c>
      <x:c r="N1269" s="48" t="n">
        <x:v>129.44266666666667</x:v>
      </x:c>
      <x:c r="O1269" s="49" t="n">
        <x:v>5</x:v>
      </x:c>
      <x:c r="P1269" s="1" t="str">
        <x:v>価格と原板の合意で維持半減全返済</x:v>
      </x:c>
      <x:c r="Q1269" s="49" t="n">
        <x:v>0</x:v>
      </x:c>
      <x:c r="R1269" s="50" t="n">
        <x:v>0.26518876678876674</x:v>
      </x:c>
      <x:c r="S1269" s="50" t="n">
        <x:v>0.21317962231005708</x:v>
      </x:c>
      <x:c r="T1269" s="1" t="str">
        <x:v>上昇</x:v>
      </x:c>
      <x:c r="U1269" s="49" t="n">
        <x:v>25</x:v>
      </x:c>
    </x:row>
    <x:row r="1270" ht="22" customHeight="1">
      <x:c r="A1270" s="1" t="str">
        <x:v>TOPIXmini</x:v>
      </x:c>
      <x:c r="B1270" s="1" t="str">
        <x:v>C05</x:v>
      </x:c>
      <x:c r="C1270" s="1" t="str">
        <x:v>全50場</x:v>
      </x:c>
      <x:c r="D1270" s="47" t="n">
        <x:v>1368845</x:v>
      </x:c>
      <x:c r="E1270" s="47" t="n">
        <x:v>831831</x:v>
      </x:c>
      <x:c r="F1270" s="47" t="n">
        <x:f>D1270-E1270</x:f>
        <x:v>537014</x:v>
      </x:c>
      <x:c r="G1270" s="49" t="n">
        <x:v>19</x:v>
      </x:c>
      <x:c r="H1270" s="49" t="n">
        <x:v>6</x:v>
      </x:c>
      <x:c r="I1270" s="47" t="n">
        <x:v>215179</x:v>
      </x:c>
      <x:c r="J1270" s="49" t="n">
        <x:v>122</x:v>
      </x:c>
      <x:c r="K1270" s="47" t="n">
        <x:v>-61070</x:v>
      </x:c>
      <x:c r="L1270" s="47" t="n">
        <x:v>32996.666666666664</x:v>
      </x:c>
      <x:c r="M1270" s="48" t="n">
        <x:v>163.80266666666665</x:v>
      </x:c>
      <x:c r="N1270" s="48" t="n">
        <x:v>155.21533333333335</x:v>
      </x:c>
      <x:c r="O1270" s="49" t="n">
        <x:v>5</x:v>
      </x:c>
      <x:c r="P1270" s="1" t="str">
        <x:v>価格と原板の合意で維持半減全返済</x:v>
      </x:c>
      <x:c r="Q1270" s="49" t="n">
        <x:v>0</x:v>
      </x:c>
      <x:c r="R1270" s="50" t="n">
        <x:v>0.32485409035409035</x:v>
      </x:c>
      <x:c r="S1270" s="50" t="n">
        <x:v>0.26183423301844355</x:v>
      </x:c>
      <x:c r="T1270" s="1" t="str">
        <x:v>下落</x:v>
      </x:c>
      <x:c r="U1270" s="49" t="n">
        <x:v>25</x:v>
      </x:c>
    </x:row>
    <x:row r="1271" ht="22" customHeight="1">
      <x:c r="A1271" s="1" t="str">
        <x:v>TOPIXmini</x:v>
      </x:c>
      <x:c r="B1271" s="1" t="str">
        <x:v>C05</x:v>
      </x:c>
      <x:c r="C1271" s="1" t="str">
        <x:v>対照47場</x:v>
      </x:c>
      <x:c r="D1271" s="47" t="n">
        <x:v>2235756</x:v>
      </x:c>
      <x:c r="E1271" s="47" t="n">
        <x:v>1411507</x:v>
      </x:c>
      <x:c r="F1271" s="47" t="n">
        <x:f>D1271-E1271</x:f>
        <x:v>824249</x:v>
      </x:c>
      <x:c r="G1271" s="49" t="n">
        <x:v>35</x:v>
      </x:c>
      <x:c r="H1271" s="49" t="n">
        <x:v>12</x:v>
      </x:c>
      <x:c r="I1271" s="47" t="n">
        <x:v>499415</x:v>
      </x:c>
      <x:c r="J1271" s="49" t="n">
        <x:v>186</x:v>
      </x:c>
      <x:c r="K1271" s="47" t="n">
        <x:v>-51828</x:v>
      </x:c>
      <x:c r="L1271" s="47" t="n">
        <x:v>27220.583333333332</x:v>
      </x:c>
      <x:c r="M1271" s="48" t="n">
        <x:v>192.05141843971634</x:v>
      </x:c>
      <x:c r="N1271" s="48" t="n">
        <x:v>143.18971631205673</x:v>
      </x:c>
      <x:c r="O1271" s="49" t="n">
        <x:v>5</x:v>
      </x:c>
      <x:c r="P1271" s="1" t="str">
        <x:v>価格と原板の合意で維持半減全返済</x:v>
      </x:c>
      <x:c r="Q1271" s="49" t="n">
        <x:v>0</x:v>
      </x:c>
      <x:c r="R1271" s="50" t="n">
        <x:v>0.2979709947263139</x:v>
      </x:c>
      <x:c r="S1271" s="50" t="n">
        <x:v>0.2401826076611944</x:v>
      </x:c>
      <x:c r="T1271" s="1" t="str">
        <x:v>全場</x:v>
      </x:c>
      <x:c r="U1271" s="49" t="n">
        <x:v>47</x:v>
      </x:c>
    </x:row>
    <x:row r="1272" ht="22" customHeight="1">
      <x:c r="A1272" s="1" t="str">
        <x:v>TOPIXmini</x:v>
      </x:c>
      <x:c r="B1272" s="1" t="str">
        <x:v>C05</x:v>
      </x:c>
      <x:c r="C1272" s="1" t="str">
        <x:v>対照47場</x:v>
      </x:c>
      <x:c r="D1272" s="47" t="n">
        <x:v>1326529</x:v>
      </x:c>
      <x:c r="E1272" s="47" t="n">
        <x:v>745991</x:v>
      </x:c>
      <x:c r="F1272" s="47" t="n">
        <x:f>D1272-E1272</x:f>
        <x:v>580538</x:v>
      </x:c>
      <x:c r="G1272" s="49" t="n">
        <x:v>16</x:v>
      </x:c>
      <x:c r="H1272" s="49" t="n">
        <x:v>8</x:v>
      </x:c>
      <x:c r="I1272" s="47" t="n">
        <x:v>291284</x:v>
      </x:c>
      <x:c r="J1272" s="49" t="n">
        <x:v>96</x:v>
      </x:c>
      <x:c r="K1272" s="47" t="n">
        <x:v>-51828</x:v>
      </x:c>
      <x:c r="L1272" s="47" t="n">
        <x:v>25079.625</x:v>
      </x:c>
      <x:c r="M1272" s="48" t="n">
        <x:v>88.7701388888889</x:v>
      </x:c>
      <x:c r="N1272" s="48" t="n">
        <x:v>203.86041666666665</x:v>
      </x:c>
      <x:c r="O1272" s="49" t="n">
        <x:v>5</x:v>
      </x:c>
      <x:c r="P1272" s="1" t="str">
        <x:v>価格と原板の合意で維持半減全返済</x:v>
      </x:c>
      <x:c r="Q1272" s="49" t="n">
        <x:v>0</x:v>
      </x:c>
      <x:c r="R1272" s="50" t="n">
        <x:v>0.48538194444444444</x:v>
      </x:c>
      <x:c r="S1272" s="50" t="n">
        <x:v>0.48538194444444444</x:v>
      </x:c>
      <x:c r="T1272" s="1" t="str">
        <x:v>デイ</x:v>
      </x:c>
      <x:c r="U1272" s="49" t="n">
        <x:v>24</x:v>
      </x:c>
    </x:row>
    <x:row r="1273" ht="22" customHeight="1">
      <x:c r="A1273" s="1" t="str">
        <x:v>TOPIXmini</x:v>
      </x:c>
      <x:c r="B1273" s="1" t="str">
        <x:v>C05</x:v>
      </x:c>
      <x:c r="C1273" s="1" t="str">
        <x:v>対照47場</x:v>
      </x:c>
      <x:c r="D1273" s="47" t="n">
        <x:v>909227</x:v>
      </x:c>
      <x:c r="E1273" s="47" t="n">
        <x:v>665516</x:v>
      </x:c>
      <x:c r="F1273" s="47" t="n">
        <x:f>D1273-E1273</x:f>
        <x:v>243711</x:v>
      </x:c>
      <x:c r="G1273" s="49" t="n">
        <x:v>19</x:v>
      </x:c>
      <x:c r="H1273" s="49" t="n">
        <x:v>4</x:v>
      </x:c>
      <x:c r="I1273" s="47" t="n">
        <x:v>57549</x:v>
      </x:c>
      <x:c r="J1273" s="49" t="n">
        <x:v>90</x:v>
      </x:c>
      <x:c r="K1273" s="47" t="n">
        <x:v>-44086</x:v>
      </x:c>
      <x:c r="L1273" s="47" t="n">
        <x:v>31502.5</x:v>
      </x:c>
      <x:c r="M1273" s="48" t="n">
        <x:v>299.82318840579705</x:v>
      </x:c>
      <x:c r="N1273" s="48" t="n">
        <x:v>79.88115942028985</x:v>
      </x:c>
      <x:c r="O1273" s="49" t="n">
        <x:v>5</x:v>
      </x:c>
      <x:c r="P1273" s="1" t="str">
        <x:v>価格と原板の合意で維持半減全返済</x:v>
      </x:c>
      <x:c r="Q1273" s="49" t="n">
        <x:v>0</x:v>
      </x:c>
      <x:c r="R1273" s="50" t="n">
        <x:v>0.10241174284652545</x:v>
      </x:c>
      <x:c r="S1273" s="50" t="n">
        <x:v>0.10241174284652546</x:v>
      </x:c>
      <x:c r="T1273" s="1" t="str">
        <x:v>ナイト</x:v>
      </x:c>
      <x:c r="U1273" s="49" t="n">
        <x:v>23</x:v>
      </x:c>
    </x:row>
    <x:row r="1274" ht="22" customHeight="1">
      <x:c r="A1274" s="1" t="str">
        <x:v>TOPIXmini</x:v>
      </x:c>
      <x:c r="B1274" s="1" t="str">
        <x:v>C05</x:v>
      </x:c>
      <x:c r="C1274" s="1" t="str">
        <x:v>対照47場</x:v>
      </x:c>
      <x:c r="D1274" s="47" t="n">
        <x:v>992668</x:v>
      </x:c>
      <x:c r="E1274" s="47" t="n">
        <x:v>719589</x:v>
      </x:c>
      <x:c r="F1274" s="47" t="n">
        <x:f>D1274-E1274</x:f>
        <x:v>273079</x:v>
      </x:c>
      <x:c r="G1274" s="49" t="n">
        <x:v>17</x:v>
      </x:c>
      <x:c r="H1274" s="49" t="n">
        <x:v>7</x:v>
      </x:c>
      <x:c r="I1274" s="47" t="n">
        <x:v>44578</x:v>
      </x:c>
      <x:c r="J1274" s="49" t="n">
        <x:v>85</x:v>
      </x:c>
      <x:c r="K1274" s="47" t="n">
        <x:v>-44086</x:v>
      </x:c>
      <x:c r="L1274" s="47" t="n">
        <x:v>27105.285714285714</x:v>
      </x:c>
      <x:c r="M1274" s="48" t="n">
        <x:v>210.25972222222222</x:v>
      </x:c>
      <x:c r="N1274" s="48" t="n">
        <x:v>131.75277777777777</x:v>
      </x:c>
      <x:c r="O1274" s="49" t="n">
        <x:v>5</x:v>
      </x:c>
      <x:c r="P1274" s="1" t="str">
        <x:v>価格と原板の合意で維持半減全返済</x:v>
      </x:c>
      <x:c r="Q1274" s="49" t="n">
        <x:v>0</x:v>
      </x:c>
      <x:c r="R1274" s="50" t="n">
        <x:v>0.27228530728530725</x:v>
      </x:c>
      <x:c r="S1274" s="50" t="n">
        <x:v>0.21958796296296296</x:v>
      </x:c>
      <x:c r="T1274" s="1" t="str">
        <x:v>上昇</x:v>
      </x:c>
      <x:c r="U1274" s="49" t="n">
        <x:v>24</x:v>
      </x:c>
    </x:row>
    <x:row r="1275" ht="22" customHeight="1">
      <x:c r="A1275" s="1" t="str">
        <x:v>TOPIXmini</x:v>
      </x:c>
      <x:c r="B1275" s="1" t="str">
        <x:v>C05</x:v>
      </x:c>
      <x:c r="C1275" s="1" t="str">
        <x:v>対照47場</x:v>
      </x:c>
      <x:c r="D1275" s="47" t="n">
        <x:v>1243088</x:v>
      </x:c>
      <x:c r="E1275" s="47" t="n">
        <x:v>691918</x:v>
      </x:c>
      <x:c r="F1275" s="47" t="n">
        <x:f>D1275-E1275</x:f>
        <x:v>551170</x:v>
      </x:c>
      <x:c r="G1275" s="49" t="n">
        <x:v>18</x:v>
      </x:c>
      <x:c r="H1275" s="49" t="n">
        <x:v>5</x:v>
      </x:c>
      <x:c r="I1275" s="47" t="n">
        <x:v>229335</x:v>
      </x:c>
      <x:c r="J1275" s="49" t="n">
        <x:v>101</x:v>
      </x:c>
      <x:c r="K1275" s="47" t="n">
        <x:v>-51828</x:v>
      </x:c>
      <x:c r="L1275" s="47" t="n">
        <x:v>27382</x:v>
      </x:c>
      <x:c r="M1275" s="48" t="n">
        <x:v>173.05144927536236</x:v>
      </x:c>
      <x:c r="N1275" s="48" t="n">
        <x:v>155.12391304347824</x:v>
      </x:c>
      <x:c r="O1275" s="49" t="n">
        <x:v>5</x:v>
      </x:c>
      <x:c r="P1275" s="1" t="str">
        <x:v>価格と原板の合意で維持半減全返済</x:v>
      </x:c>
      <x:c r="Q1275" s="49" t="n">
        <x:v>0</x:v>
      </x:c>
      <x:c r="R1275" s="50" t="n">
        <x:v>0.3247734511864947</x:v>
      </x:c>
      <x:c r="S1275" s="50" t="n">
        <x:v>0.26195668135095446</x:v>
      </x:c>
      <x:c r="T1275" s="1" t="str">
        <x:v>下落</x:v>
      </x:c>
      <x:c r="U1275" s="49" t="n">
        <x:v>23</x:v>
      </x:c>
    </x:row>
    <x:row r="1276" ht="22" customHeight="1">
      <x:c r="A1276" s="1" t="str">
        <x:v>TOPIXmini</x:v>
      </x:c>
      <x:c r="B1276" s="1" t="str">
        <x:v>C05</x:v>
      </x:c>
      <x:c r="C1276" s="1" t="str">
        <x:v>診断3場</x:v>
      </x:c>
      <x:c r="D1276" s="47" t="n">
        <x:v>166507</x:v>
      </x:c>
      <x:c r="E1276" s="47" t="n">
        <x:v>149578</x:v>
      </x:c>
      <x:c r="F1276" s="47" t="n">
        <x:f>D1276-E1276</x:f>
        <x:v>16929</x:v>
      </x:c>
      <x:c r="G1276" s="49" t="n">
        <x:v>2</x:v>
      </x:c>
      <x:c r="H1276" s="49" t="n">
        <x:v>1</x:v>
      </x:c>
      <x:c r="I1276" s="47" t="n">
        <x:v>-61070</x:v>
      </x:c>
      <x:c r="J1276" s="49" t="n">
        <x:v>25</x:v>
      </x:c>
      <x:c r="K1276" s="47" t="n">
        <x:v>-61070</x:v>
      </x:c>
      <x:c r="L1276" s="47" t="n">
        <x:v>61070</x:v>
      </x:c>
      <x:c r="M1276" s="48" t="n">
        <x:v>80.17222222222223</x:v>
      </x:c>
      <x:c r="N1276" s="48" t="n">
        <x:v>128.84444444444446</x:v>
      </x:c>
      <x:c r="O1276" s="49" t="n">
        <x:v>5</x:v>
      </x:c>
      <x:c r="P1276" s="1" t="str">
        <x:v>価格と原板の合意で維持半減全返済</x:v>
      </x:c>
      <x:c r="Q1276" s="49" t="n">
        <x:v>0</x:v>
      </x:c>
      <x:c r="R1276" s="50" t="n">
        <x:v>0.2488115588115588</x:v>
      </x:c>
      <x:c r="S1276" s="50" t="n">
        <x:v>0.19521885521885524</x:v>
      </x:c>
      <x:c r="T1276" s="1" t="str">
        <x:v>全場</x:v>
      </x:c>
      <x:c r="U1276" s="49" t="n">
        <x:v>3</x:v>
      </x:c>
    </x:row>
    <x:row r="1277" ht="22" customHeight="1">
      <x:c r="A1277" s="1" t="str">
        <x:v>TOPIXmini</x:v>
      </x:c>
      <x:c r="B1277" s="1" t="str">
        <x:v>C05</x:v>
      </x:c>
      <x:c r="C1277" s="1" t="str">
        <x:v>診断3場</x:v>
      </x:c>
      <x:c r="D1277" s="47" t="n">
        <x:v>43007</x:v>
      </x:c>
      <x:c r="E1277" s="47" t="n">
        <x:v>104077</x:v>
      </x:c>
      <x:c r="F1277" s="47" t="n">
        <x:f>D1277-E1277</x:f>
        <x:v>-61070</x:v>
      </x:c>
      <x:c r="G1277" s="49" t="n">
        <x:v>0</x:v>
      </x:c>
      <x:c r="H1277" s="49" t="n">
        <x:v>1</x:v>
      </x:c>
      <x:c r="I1277" s="47" t="n">
        <x:v>-61070</x:v>
      </x:c>
      <x:c r="J1277" s="49" t="n">
        <x:v>13</x:v>
      </x:c>
      <x:c r="K1277" s="47" t="n">
        <x:v>-61070</x:v>
      </x:c>
      <x:c r="L1277" s="47" t="n">
        <x:v>61070</x:v>
      </x:c>
      <x:c r="M1277" s="48" t="n">
        <x:v>43.95</x:v>
      </x:c>
      <x:c r="N1277" s="48" t="n">
        <x:v>228.3</x:v>
      </x:c>
      <x:c r="O1277" s="49" t="n">
        <x:v>5</x:v>
      </x:c>
      <x:c r="P1277" s="1" t="str">
        <x:v>価格と原板の合意で維持半減全返済</x:v>
      </x:c>
      <x:c r="Q1277" s="49" t="n">
        <x:v>0</x:v>
      </x:c>
      <x:c r="R1277" s="50" t="n">
        <x:v>0.5435714285714286</x:v>
      </x:c>
      <x:c r="S1277" s="50" t="n">
        <x:v>0.5435714285714286</x:v>
      </x:c>
      <x:c r="T1277" s="1" t="str">
        <x:v>デイ</x:v>
      </x:c>
      <x:c r="U1277" s="49" t="n">
        <x:v>1</x:v>
      </x:c>
    </x:row>
    <x:row r="1278" ht="22" customHeight="1">
      <x:c r="A1278" s="1" t="str">
        <x:v>TOPIXmini</x:v>
      </x:c>
      <x:c r="B1278" s="1" t="str">
        <x:v>C05</x:v>
      </x:c>
      <x:c r="C1278" s="1" t="str">
        <x:v>診断3場</x:v>
      </x:c>
      <x:c r="D1278" s="47" t="n">
        <x:v>123500</x:v>
      </x:c>
      <x:c r="E1278" s="47" t="n">
        <x:v>45501</x:v>
      </x:c>
      <x:c r="F1278" s="47" t="n">
        <x:f>D1278-E1278</x:f>
        <x:v>77999</x:v>
      </x:c>
      <x:c r="G1278" s="49" t="n">
        <x:v>2</x:v>
      </x:c>
      <x:c r="H1278" s="49" t="n">
        <x:v>0</x:v>
      </x:c>
      <x:c r="I1278" s="47" t="n">
        <x:v>0</x:v>
      </x:c>
      <x:c r="J1278" s="49" t="n">
        <x:v>12</x:v>
      </x:c>
      <x:c r="K1278" s="47" t="n">
        <x:v>31085</x:v>
      </x:c>
      <x:c r="L1278" s="47" t="n">
        <x:v>0</x:v>
      </x:c>
      <x:c r="M1278" s="48" t="n">
        <x:v>98.28333333333333</x:v>
      </x:c>
      <x:c r="N1278" s="48" t="n">
        <x:v>79.11666666666667</x:v>
      </x:c>
      <x:c r="O1278" s="49" t="n">
        <x:v>5</x:v>
      </x:c>
      <x:c r="P1278" s="1" t="str">
        <x:v>価格と原板の合意で維持半減全返済</x:v>
      </x:c>
      <x:c r="Q1278" s="49" t="n">
        <x:v>0</x:v>
      </x:c>
      <x:c r="R1278" s="50" t="n">
        <x:v>0.10143162393162393</x:v>
      </x:c>
      <x:c r="S1278" s="50" t="n">
        <x:v>0.10143162393162394</x:v>
      </x:c>
      <x:c r="T1278" s="1" t="str">
        <x:v>ナイト</x:v>
      </x:c>
      <x:c r="U1278" s="49" t="n">
        <x:v>2</x:v>
      </x:c>
    </x:row>
    <x:row r="1279" ht="22" customHeight="1">
      <x:c r="A1279" s="1" t="str">
        <x:v>TOPIXmini</x:v>
      </x:c>
      <x:c r="B1279" s="1" t="str">
        <x:v>C05</x:v>
      </x:c>
      <x:c r="C1279" s="1" t="str">
        <x:v>診断3場</x:v>
      </x:c>
      <x:c r="D1279" s="47" t="n">
        <x:v>40750</x:v>
      </x:c>
      <x:c r="E1279" s="47" t="n">
        <x:v>9665</x:v>
      </x:c>
      <x:c r="F1279" s="47" t="n">
        <x:f>D1279-E1279</x:f>
        <x:v>31085</x:v>
      </x:c>
      <x:c r="G1279" s="49" t="n">
        <x:v>1</x:v>
      </x:c>
      <x:c r="H1279" s="49" t="n">
        <x:v>0</x:v>
      </x:c>
      <x:c r="I1279" s="47" t="n">
        <x:v>0</x:v>
      </x:c>
      <x:c r="J1279" s="49" t="n">
        <x:v>4</x:v>
      </x:c>
      <x:c r="K1279" s="47" t="n">
        <x:v>31085</x:v>
      </x:c>
      <x:c r="L1279" s="47" t="n">
        <x:v>0</x:v>
      </x:c>
      <x:c r="M1279" s="48" t="n">
        <x:v>125.63333333333334</x:v>
      </x:c>
      <x:c r="N1279" s="48" t="n">
        <x:v>74</x:v>
      </x:c>
      <x:c r="O1279" s="49" t="n">
        <x:v>5</x:v>
      </x:c>
      <x:c r="P1279" s="1" t="str">
        <x:v>価格と原板の合意で維持半減全返済</x:v>
      </x:c>
      <x:c r="Q1279" s="49" t="n">
        <x:v>0</x:v>
      </x:c>
      <x:c r="R1279" s="50" t="n">
        <x:v>0.09487179487179487</x:v>
      </x:c>
      <x:c r="S1279" s="50" t="n">
        <x:v>0.09487179487179487</x:v>
      </x:c>
      <x:c r="T1279" s="1" t="str">
        <x:v>上昇</x:v>
      </x:c>
      <x:c r="U1279" s="49" t="n">
        <x:v>1</x:v>
      </x:c>
    </x:row>
    <x:row r="1280" ht="22" customHeight="1">
      <x:c r="A1280" s="1" t="str">
        <x:v>TOPIXmini</x:v>
      </x:c>
      <x:c r="B1280" s="1" t="str">
        <x:v>C05</x:v>
      </x:c>
      <x:c r="C1280" s="1" t="str">
        <x:v>診断3場</x:v>
      </x:c>
      <x:c r="D1280" s="47" t="n">
        <x:v>125757</x:v>
      </x:c>
      <x:c r="E1280" s="47" t="n">
        <x:v>139913</x:v>
      </x:c>
      <x:c r="F1280" s="47" t="n">
        <x:f>D1280-E1280</x:f>
        <x:v>-14156</x:v>
      </x:c>
      <x:c r="G1280" s="49" t="n">
        <x:v>1</x:v>
      </x:c>
      <x:c r="H1280" s="49" t="n">
        <x:v>1</x:v>
      </x:c>
      <x:c r="I1280" s="47" t="n">
        <x:v>-61070</x:v>
      </x:c>
      <x:c r="J1280" s="49" t="n">
        <x:v>21</x:v>
      </x:c>
      <x:c r="K1280" s="47" t="n">
        <x:v>-61070</x:v>
      </x:c>
      <x:c r="L1280" s="47" t="n">
        <x:v>61070</x:v>
      </x:c>
      <x:c r="M1280" s="48" t="n">
        <x:v>57.44166666666667</x:v>
      </x:c>
      <x:c r="N1280" s="48" t="n">
        <x:v>156.26666666666668</x:v>
      </x:c>
      <x:c r="O1280" s="49" t="n">
        <x:v>5</x:v>
      </x:c>
      <x:c r="P1280" s="1" t="str">
        <x:v>価格と原板の合意で維持半減全返済</x:v>
      </x:c>
      <x:c r="Q1280" s="49" t="n">
        <x:v>0</x:v>
      </x:c>
      <x:c r="R1280" s="50" t="n">
        <x:v>0.3257814407814408</x:v>
      </x:c>
      <x:c r="S1280" s="50" t="n">
        <x:v>0.2604444444444445</x:v>
      </x:c>
      <x:c r="T1280" s="1" t="str">
        <x:v>下落</x:v>
      </x:c>
      <x:c r="U1280" s="49" t="n">
        <x:v>2</x:v>
      </x:c>
    </x:row>
    <x:row r="1281" ht="22" customHeight="1">
      <x:c r="A1281" s="1" t="str">
        <x:v>TOPIXmini</x:v>
      </x:c>
      <x:c r="B1281" s="1" t="str">
        <x:v>C06</x:v>
      </x:c>
      <x:c r="C1281" s="1" t="str">
        <x:v>全50場</x:v>
      </x:c>
      <x:c r="D1281" s="47" t="n">
        <x:v>2444245</x:v>
      </x:c>
      <x:c r="E1281" s="47" t="n">
        <x:v>1589525</x:v>
      </x:c>
      <x:c r="F1281" s="47" t="n">
        <x:f>D1281-E1281</x:f>
        <x:v>854720</x:v>
      </x:c>
      <x:c r="G1281" s="49" t="n">
        <x:v>39</x:v>
      </x:c>
      <x:c r="H1281" s="49" t="n">
        <x:v>11</x:v>
      </x:c>
      <x:c r="I1281" s="47" t="n">
        <x:v>530552</x:v>
      </x:c>
      <x:c r="J1281" s="49" t="n">
        <x:v>206</x:v>
      </x:c>
      <x:c r="K1281" s="47" t="n">
        <x:v>-68574</x:v>
      </x:c>
      <x:c r="L1281" s="47" t="n">
        <x:v>33953.63636363636</x:v>
      </x:c>
      <x:c r="M1281" s="48" t="n">
        <x:v>185.33866666666668</x:v>
      </x:c>
      <x:c r="N1281" s="48" t="n">
        <x:v>143.76133333333334</x:v>
      </x:c>
      <x:c r="O1281" s="49" t="n">
        <x:v>5</x:v>
      </x:c>
      <x:c r="P1281" s="1" t="str">
        <x:v>利益進捗で維持半減全返済</x:v>
      </x:c>
      <x:c r="Q1281" s="49" t="n">
        <x:v>0</x:v>
      </x:c>
      <x:c r="R1281" s="50" t="n">
        <x:v>0.29843174603174605</x:v>
      </x:c>
      <x:c r="S1281" s="50" t="n">
        <x:v>0.23960222222222222</x:v>
      </x:c>
      <x:c r="T1281" s="1" t="str">
        <x:v>全場</x:v>
      </x:c>
      <x:c r="U1281" s="49" t="n">
        <x:v>50</x:v>
      </x:c>
    </x:row>
    <x:row r="1282" ht="22" customHeight="1">
      <x:c r="A1282" s="1" t="str">
        <x:v>TOPIXmini</x:v>
      </x:c>
      <x:c r="B1282" s="1" t="str">
        <x:v>C06</x:v>
      </x:c>
      <x:c r="C1282" s="1" t="str">
        <x:v>全50場</x:v>
      </x:c>
      <x:c r="D1282" s="47" t="n">
        <x:v>1397022</x:v>
      </x:c>
      <x:c r="E1282" s="47" t="n">
        <x:v>849498</x:v>
      </x:c>
      <x:c r="F1282" s="47" t="n">
        <x:f>D1282-E1282</x:f>
        <x:v>547524</x:v>
      </x:c>
      <x:c r="G1282" s="49" t="n">
        <x:v>17</x:v>
      </x:c>
      <x:c r="H1282" s="49" t="n">
        <x:v>8</x:v>
      </x:c>
      <x:c r="I1282" s="47" t="n">
        <x:v>252937</x:v>
      </x:c>
      <x:c r="J1282" s="49" t="n">
        <x:v>104</x:v>
      </x:c>
      <x:c r="K1282" s="47" t="n">
        <x:v>-68574</x:v>
      </x:c>
      <x:c r="L1282" s="47" t="n">
        <x:v>31310.25</x:v>
      </x:c>
      <x:c r="M1282" s="48" t="n">
        <x:v>86.97733333333333</x:v>
      </x:c>
      <x:c r="N1282" s="48" t="n">
        <x:v>207.70266666666666</x:v>
      </x:c>
      <x:c r="O1282" s="49" t="n">
        <x:v>5</x:v>
      </x:c>
      <x:c r="P1282" s="1" t="str">
        <x:v>利益進捗で維持半減全返済</x:v>
      </x:c>
      <x:c r="Q1282" s="49" t="n">
        <x:v>0</x:v>
      </x:c>
      <x:c r="R1282" s="50" t="n">
        <x:v>0.4945301587301587</x:v>
      </x:c>
      <x:c r="S1282" s="50" t="n">
        <x:v>0.4945301587301587</x:v>
      </x:c>
      <x:c r="T1282" s="1" t="str">
        <x:v>デイ</x:v>
      </x:c>
      <x:c r="U1282" s="49" t="n">
        <x:v>25</x:v>
      </x:c>
    </x:row>
    <x:row r="1283" ht="22" customHeight="1">
      <x:c r="A1283" s="1" t="str">
        <x:v>TOPIXmini</x:v>
      </x:c>
      <x:c r="B1283" s="1" t="str">
        <x:v>C06</x:v>
      </x:c>
      <x:c r="C1283" s="1" t="str">
        <x:v>全50場</x:v>
      </x:c>
      <x:c r="D1283" s="47" t="n">
        <x:v>1047223</x:v>
      </x:c>
      <x:c r="E1283" s="47" t="n">
        <x:v>740027</x:v>
      </x:c>
      <x:c r="F1283" s="47" t="n">
        <x:f>D1283-E1283</x:f>
        <x:v>307196</x:v>
      </x:c>
      <x:c r="G1283" s="49" t="n">
        <x:v>22</x:v>
      </x:c>
      <x:c r="H1283" s="49" t="n">
        <x:v>3</x:v>
      </x:c>
      <x:c r="I1283" s="47" t="n">
        <x:v>107703</x:v>
      </x:c>
      <x:c r="J1283" s="49" t="n">
        <x:v>102</x:v>
      </x:c>
      <x:c r="K1283" s="47" t="n">
        <x:v>-44086</x:v>
      </x:c>
      <x:c r="L1283" s="47" t="n">
        <x:v>41002.666666666664</x:v>
      </x:c>
      <x:c r="M1283" s="48" t="n">
        <x:v>283.7</x:v>
      </x:c>
      <x:c r="N1283" s="48" t="n">
        <x:v>79.82</x:v>
      </x:c>
      <x:c r="O1283" s="49" t="n">
        <x:v>5</x:v>
      </x:c>
      <x:c r="P1283" s="1" t="str">
        <x:v>利益進捗で維持半減全返済</x:v>
      </x:c>
      <x:c r="Q1283" s="49" t="n">
        <x:v>0</x:v>
      </x:c>
      <x:c r="R1283" s="50" t="n">
        <x:v>0.10233333333333333</x:v>
      </x:c>
      <x:c r="S1283" s="50" t="n">
        <x:v>0.10233333333333333</x:v>
      </x:c>
      <x:c r="T1283" s="1" t="str">
        <x:v>ナイト</x:v>
      </x:c>
      <x:c r="U1283" s="49" t="n">
        <x:v>25</x:v>
      </x:c>
    </x:row>
    <x:row r="1284" ht="22" customHeight="1">
      <x:c r="A1284" s="1" t="str">
        <x:v>TOPIXmini</x:v>
      </x:c>
      <x:c r="B1284" s="1" t="str">
        <x:v>C06</x:v>
      </x:c>
      <x:c r="C1284" s="1" t="str">
        <x:v>全50場</x:v>
      </x:c>
      <x:c r="D1284" s="47" t="n">
        <x:v>1049244</x:v>
      </x:c>
      <x:c r="E1284" s="47" t="n">
        <x:v>717514</x:v>
      </x:c>
      <x:c r="F1284" s="47" t="n">
        <x:f>D1284-E1284</x:f>
        <x:v>331730</x:v>
      </x:c>
      <x:c r="G1284" s="49" t="n">
        <x:v>19</x:v>
      </x:c>
      <x:c r="H1284" s="49" t="n">
        <x:v>6</x:v>
      </x:c>
      <x:c r="I1284" s="47" t="n">
        <x:v>95064</x:v>
      </x:c>
      <x:c r="J1284" s="49" t="n">
        <x:v>84</x:v>
      </x:c>
      <x:c r="K1284" s="47" t="n">
        <x:v>-44086</x:v>
      </x:c>
      <x:c r="L1284" s="47" t="n">
        <x:v>28416.833333333332</x:v>
      </x:c>
      <x:c r="M1284" s="48" t="n">
        <x:v>206.87466666666668</x:v>
      </x:c>
      <x:c r="N1284" s="48" t="n">
        <x:v>129.956</x:v>
      </x:c>
      <x:c r="O1284" s="49" t="n">
        <x:v>5</x:v>
      </x:c>
      <x:c r="P1284" s="1" t="str">
        <x:v>利益進捗で維持半減全返済</x:v>
      </x:c>
      <x:c r="Q1284" s="49" t="n">
        <x:v>0</x:v>
      </x:c>
      <x:c r="R1284" s="50" t="n">
        <x:v>0.266410989010989</x:v>
      </x:c>
      <x:c r="S1284" s="50" t="n">
        <x:v>0.21402503293807643</x:v>
      </x:c>
      <x:c r="T1284" s="1" t="str">
        <x:v>上昇</x:v>
      </x:c>
      <x:c r="U1284" s="49" t="n">
        <x:v>25</x:v>
      </x:c>
    </x:row>
    <x:row r="1285" ht="22" customHeight="1">
      <x:c r="A1285" s="1" t="str">
        <x:v>TOPIXmini</x:v>
      </x:c>
      <x:c r="B1285" s="1" t="str">
        <x:v>C06</x:v>
      </x:c>
      <x:c r="C1285" s="1" t="str">
        <x:v>全50場</x:v>
      </x:c>
      <x:c r="D1285" s="47" t="n">
        <x:v>1395001</x:v>
      </x:c>
      <x:c r="E1285" s="47" t="n">
        <x:v>872011</x:v>
      </x:c>
      <x:c r="F1285" s="47" t="n">
        <x:f>D1285-E1285</x:f>
        <x:v>522990</x:v>
      </x:c>
      <x:c r="G1285" s="49" t="n">
        <x:v>20</x:v>
      </x:c>
      <x:c r="H1285" s="49" t="n">
        <x:v>5</x:v>
      </x:c>
      <x:c r="I1285" s="47" t="n">
        <x:v>203989</x:v>
      </x:c>
      <x:c r="J1285" s="49" t="n">
        <x:v>122</x:v>
      </x:c>
      <x:c r="K1285" s="47" t="n">
        <x:v>-68574</x:v>
      </x:c>
      <x:c r="L1285" s="47" t="n">
        <x:v>40597.8</x:v>
      </x:c>
      <x:c r="M1285" s="48" t="n">
        <x:v>163.80266666666665</x:v>
      </x:c>
      <x:c r="N1285" s="48" t="n">
        <x:v>157.5666666666667</x:v>
      </x:c>
      <x:c r="O1285" s="49" t="n">
        <x:v>5</x:v>
      </x:c>
      <x:c r="P1285" s="1" t="str">
        <x:v>利益進捗で維持半減全返済</x:v>
      </x:c>
      <x:c r="Q1285" s="49" t="n">
        <x:v>0</x:v>
      </x:c>
      <x:c r="R1285" s="50" t="n">
        <x:v>0.33045250305250307</x:v>
      </x:c>
      <x:c r="S1285" s="50" t="n">
        <x:v>0.26580071974808817</x:v>
      </x:c>
      <x:c r="T1285" s="1" t="str">
        <x:v>下落</x:v>
      </x:c>
      <x:c r="U1285" s="49" t="n">
        <x:v>25</x:v>
      </x:c>
    </x:row>
    <x:row r="1286" ht="22" customHeight="1">
      <x:c r="A1286" s="1" t="str">
        <x:v>TOPIXmini</x:v>
      </x:c>
      <x:c r="B1286" s="1" t="str">
        <x:v>C06</x:v>
      </x:c>
      <x:c r="C1286" s="1" t="str">
        <x:v>対照47場</x:v>
      </x:c>
      <x:c r="D1286" s="47" t="n">
        <x:v>2269741</x:v>
      </x:c>
      <x:c r="E1286" s="47" t="n">
        <x:v>1426943</x:v>
      </x:c>
      <x:c r="F1286" s="47" t="n">
        <x:f>D1286-E1286</x:f>
        <x:v>842798</x:v>
      </x:c>
      <x:c r="G1286" s="49" t="n">
        <x:v>37</x:v>
      </x:c>
      <x:c r="H1286" s="49" t="n">
        <x:v>10</x:v>
      </x:c>
      <x:c r="I1286" s="47" t="n">
        <x:v>518630</x:v>
      </x:c>
      <x:c r="J1286" s="49" t="n">
        <x:v>181</x:v>
      </x:c>
      <x:c r="K1286" s="47" t="n">
        <x:v>-54832</x:v>
      </x:c>
      <x:c r="L1286" s="47" t="n">
        <x:v>30491.6</x:v>
      </x:c>
      <x:c r="M1286" s="48" t="n">
        <x:v>192.05141843971634</x:v>
      </x:c>
      <x:c r="N1286" s="48" t="n">
        <x:v>144.71347517730496</x:v>
      </x:c>
      <x:c r="O1286" s="49" t="n">
        <x:v>5</x:v>
      </x:c>
      <x:c r="P1286" s="1" t="str">
        <x:v>利益進捗で維持半減全返済</x:v>
      </x:c>
      <x:c r="Q1286" s="49" t="n">
        <x:v>0</x:v>
      </x:c>
      <x:c r="R1286" s="50" t="n">
        <x:v>0.30159899202452395</x:v>
      </x:c>
      <x:c r="S1286" s="50" t="n">
        <x:v>0.24273852010468713</x:v>
      </x:c>
      <x:c r="T1286" s="1" t="str">
        <x:v>全場</x:v>
      </x:c>
      <x:c r="U1286" s="49" t="n">
        <x:v>47</x:v>
      </x:c>
    </x:row>
    <x:row r="1287" ht="22" customHeight="1">
      <x:c r="A1287" s="1" t="str">
        <x:v>TOPIXmini</x:v>
      </x:c>
      <x:c r="B1287" s="1" t="str">
        <x:v>C06</x:v>
      </x:c>
      <x:c r="C1287" s="1" t="str">
        <x:v>対照47場</x:v>
      </x:c>
      <x:c r="D1287" s="47" t="n">
        <x:v>1352016</x:v>
      </x:c>
      <x:c r="E1287" s="47" t="n">
        <x:v>735918</x:v>
      </x:c>
      <x:c r="F1287" s="47" t="n">
        <x:f>D1287-E1287</x:f>
        <x:v>616098</x:v>
      </x:c>
      <x:c r="G1287" s="49" t="n">
        <x:v>17</x:v>
      </x:c>
      <x:c r="H1287" s="49" t="n">
        <x:v>7</x:v>
      </x:c>
      <x:c r="I1287" s="47" t="n">
        <x:v>321511</x:v>
      </x:c>
      <x:c r="J1287" s="49" t="n">
        <x:v>91</x:v>
      </x:c>
      <x:c r="K1287" s="47" t="n">
        <x:v>-54832</x:v>
      </x:c>
      <x:c r="L1287" s="47" t="n">
        <x:v>25986.85714285714</x:v>
      </x:c>
      <x:c r="M1287" s="48" t="n">
        <x:v>88.7701388888889</x:v>
      </x:c>
      <x:c r="N1287" s="48" t="n">
        <x:v>206.84444444444443</x:v>
      </x:c>
      <x:c r="O1287" s="49" t="n">
        <x:v>5</x:v>
      </x:c>
      <x:c r="P1287" s="1" t="str">
        <x:v>利益進捗で維持半減全返済</x:v>
      </x:c>
      <x:c r="Q1287" s="49" t="n">
        <x:v>0</x:v>
      </x:c>
      <x:c r="R1287" s="50" t="n">
        <x:v>0.4924867724867725</x:v>
      </x:c>
      <x:c r="S1287" s="50" t="n">
        <x:v>0.4924867724867725</x:v>
      </x:c>
      <x:c r="T1287" s="1" t="str">
        <x:v>デイ</x:v>
      </x:c>
      <x:c r="U1287" s="49" t="n">
        <x:v>24</x:v>
      </x:c>
    </x:row>
    <x:row r="1288" ht="22" customHeight="1">
      <x:c r="A1288" s="1" t="str">
        <x:v>TOPIXmini</x:v>
      </x:c>
      <x:c r="B1288" s="1" t="str">
        <x:v>C06</x:v>
      </x:c>
      <x:c r="C1288" s="1" t="str">
        <x:v>対照47場</x:v>
      </x:c>
      <x:c r="D1288" s="47" t="n">
        <x:v>917725</x:v>
      </x:c>
      <x:c r="E1288" s="47" t="n">
        <x:v>691025</x:v>
      </x:c>
      <x:c r="F1288" s="47" t="n">
        <x:f>D1288-E1288</x:f>
        <x:v>226700</x:v>
      </x:c>
      <x:c r="G1288" s="49" t="n">
        <x:v>20</x:v>
      </x:c>
      <x:c r="H1288" s="49" t="n">
        <x:v>3</x:v>
      </x:c>
      <x:c r="I1288" s="47" t="n">
        <x:v>48037</x:v>
      </x:c>
      <x:c r="J1288" s="49" t="n">
        <x:v>90</x:v>
      </x:c>
      <x:c r="K1288" s="47" t="n">
        <x:v>-44086</x:v>
      </x:c>
      <x:c r="L1288" s="47" t="n">
        <x:v>41002.666666666664</x:v>
      </x:c>
      <x:c r="M1288" s="48" t="n">
        <x:v>299.82318840579705</x:v>
      </x:c>
      <x:c r="N1288" s="48" t="n">
        <x:v>79.88115942028985</x:v>
      </x:c>
      <x:c r="O1288" s="49" t="n">
        <x:v>5</x:v>
      </x:c>
      <x:c r="P1288" s="1" t="str">
        <x:v>利益進捗で維持半減全返済</x:v>
      </x:c>
      <x:c r="Q1288" s="49" t="n">
        <x:v>0</x:v>
      </x:c>
      <x:c r="R1288" s="50" t="n">
        <x:v>0.10241174284652545</x:v>
      </x:c>
      <x:c r="S1288" s="50" t="n">
        <x:v>0.10241174284652546</x:v>
      </x:c>
      <x:c r="T1288" s="1" t="str">
        <x:v>ナイト</x:v>
      </x:c>
      <x:c r="U1288" s="49" t="n">
        <x:v>23</x:v>
      </x:c>
    </x:row>
    <x:row r="1289" ht="22" customHeight="1">
      <x:c r="A1289" s="1" t="str">
        <x:v>TOPIXmini</x:v>
      </x:c>
      <x:c r="B1289" s="1" t="str">
        <x:v>C06</x:v>
      </x:c>
      <x:c r="C1289" s="1" t="str">
        <x:v>対照47場</x:v>
      </x:c>
      <x:c r="D1289" s="47" t="n">
        <x:v>1008494</x:v>
      </x:c>
      <x:c r="E1289" s="47" t="n">
        <x:v>704348</x:v>
      </x:c>
      <x:c r="F1289" s="47" t="n">
        <x:f>D1289-E1289</x:f>
        <x:v>304146</x:v>
      </x:c>
      <x:c r="G1289" s="49" t="n">
        <x:v>18</x:v>
      </x:c>
      <x:c r="H1289" s="49" t="n">
        <x:v>6</x:v>
      </x:c>
      <x:c r="I1289" s="47" t="n">
        <x:v>67480</x:v>
      </x:c>
      <x:c r="J1289" s="49" t="n">
        <x:v>80</x:v>
      </x:c>
      <x:c r="K1289" s="47" t="n">
        <x:v>-44086</x:v>
      </x:c>
      <x:c r="L1289" s="47" t="n">
        <x:v>28416.833333333332</x:v>
      </x:c>
      <x:c r="M1289" s="48" t="n">
        <x:v>210.25972222222222</x:v>
      </x:c>
      <x:c r="N1289" s="48" t="n">
        <x:v>132.2875</x:v>
      </x:c>
      <x:c r="O1289" s="49" t="n">
        <x:v>5</x:v>
      </x:c>
      <x:c r="P1289" s="1" t="str">
        <x:v>利益進捗で維持半減全返済</x:v>
      </x:c>
      <x:c r="Q1289" s="49" t="n">
        <x:v>0</x:v>
      </x:c>
      <x:c r="R1289" s="50" t="n">
        <x:v>0.2735584554334554</x:v>
      </x:c>
      <x:c r="S1289" s="50" t="n">
        <x:v>0.22047916666666667</x:v>
      </x:c>
      <x:c r="T1289" s="1" t="str">
        <x:v>上昇</x:v>
      </x:c>
      <x:c r="U1289" s="49" t="n">
        <x:v>24</x:v>
      </x:c>
    </x:row>
    <x:row r="1290" ht="22" customHeight="1">
      <x:c r="A1290" s="1" t="str">
        <x:v>TOPIXmini</x:v>
      </x:c>
      <x:c r="B1290" s="1" t="str">
        <x:v>C06</x:v>
      </x:c>
      <x:c r="C1290" s="1" t="str">
        <x:v>対照47場</x:v>
      </x:c>
      <x:c r="D1290" s="47" t="n">
        <x:v>1261247</x:v>
      </x:c>
      <x:c r="E1290" s="47" t="n">
        <x:v>722595</x:v>
      </x:c>
      <x:c r="F1290" s="47" t="n">
        <x:f>D1290-E1290</x:f>
        <x:v>538652</x:v>
      </x:c>
      <x:c r="G1290" s="49" t="n">
        <x:v>19</x:v>
      </x:c>
      <x:c r="H1290" s="49" t="n">
        <x:v>4</x:v>
      </x:c>
      <x:c r="I1290" s="47" t="n">
        <x:v>219651</x:v>
      </x:c>
      <x:c r="J1290" s="49" t="n">
        <x:v>101</x:v>
      </x:c>
      <x:c r="K1290" s="47" t="n">
        <x:v>-54832</x:v>
      </x:c>
      <x:c r="L1290" s="47" t="n">
        <x:v>33603.75</x:v>
      </x:c>
      <x:c r="M1290" s="48" t="n">
        <x:v>173.05144927536236</x:v>
      </x:c>
      <x:c r="N1290" s="48" t="n">
        <x:v>157.67971014492753</x:v>
      </x:c>
      <x:c r="O1290" s="49" t="n">
        <x:v>5</x:v>
      </x:c>
      <x:c r="P1290" s="1" t="str">
        <x:v>利益進捗で維持半減全返済</x:v>
      </x:c>
      <x:c r="Q1290" s="49" t="n">
        <x:v>0</x:v>
      </x:c>
      <x:c r="R1290" s="50" t="n">
        <x:v>0.33085868238042154</x:v>
      </x:c>
      <x:c r="S1290" s="50" t="n">
        <x:v>0.26627263827704356</x:v>
      </x:c>
      <x:c r="T1290" s="1" t="str">
        <x:v>下落</x:v>
      </x:c>
      <x:c r="U1290" s="49" t="n">
        <x:v>23</x:v>
      </x:c>
    </x:row>
    <x:row r="1291" ht="22" customHeight="1">
      <x:c r="A1291" s="1" t="str">
        <x:v>TOPIXmini</x:v>
      </x:c>
      <x:c r="B1291" s="1" t="str">
        <x:v>C06</x:v>
      </x:c>
      <x:c r="C1291" s="1" t="str">
        <x:v>診断3場</x:v>
      </x:c>
      <x:c r="D1291" s="47" t="n">
        <x:v>174504</x:v>
      </x:c>
      <x:c r="E1291" s="47" t="n">
        <x:v>162582</x:v>
      </x:c>
      <x:c r="F1291" s="47" t="n">
        <x:f>D1291-E1291</x:f>
        <x:v>11922</x:v>
      </x:c>
      <x:c r="G1291" s="49" t="n">
        <x:v>2</x:v>
      </x:c>
      <x:c r="H1291" s="49" t="n">
        <x:v>1</x:v>
      </x:c>
      <x:c r="I1291" s="47" t="n">
        <x:v>-68574</x:v>
      </x:c>
      <x:c r="J1291" s="49" t="n">
        <x:v>25</x:v>
      </x:c>
      <x:c r="K1291" s="47" t="n">
        <x:v>-68574</x:v>
      </x:c>
      <x:c r="L1291" s="47" t="n">
        <x:v>68574</x:v>
      </x:c>
      <x:c r="M1291" s="48" t="n">
        <x:v>80.17222222222223</x:v>
      </x:c>
      <x:c r="N1291" s="48" t="n">
        <x:v>128.84444444444446</x:v>
      </x:c>
      <x:c r="O1291" s="49" t="n">
        <x:v>5</x:v>
      </x:c>
      <x:c r="P1291" s="1" t="str">
        <x:v>利益進捗で維持半減全返済</x:v>
      </x:c>
      <x:c r="Q1291" s="49" t="n">
        <x:v>0</x:v>
      </x:c>
      <x:c r="R1291" s="50" t="n">
        <x:v>0.2488115588115588</x:v>
      </x:c>
      <x:c r="S1291" s="50" t="n">
        <x:v>0.19521885521885524</x:v>
      </x:c>
      <x:c r="T1291" s="1" t="str">
        <x:v>全場</x:v>
      </x:c>
      <x:c r="U1291" s="49" t="n">
        <x:v>3</x:v>
      </x:c>
    </x:row>
    <x:row r="1292" ht="22" customHeight="1">
      <x:c r="A1292" s="1" t="str">
        <x:v>TOPIXmini</x:v>
      </x:c>
      <x:c r="B1292" s="1" t="str">
        <x:v>C06</x:v>
      </x:c>
      <x:c r="C1292" s="1" t="str">
        <x:v>診断3場</x:v>
      </x:c>
      <x:c r="D1292" s="47" t="n">
        <x:v>45006</x:v>
      </x:c>
      <x:c r="E1292" s="47" t="n">
        <x:v>113580</x:v>
      </x:c>
      <x:c r="F1292" s="47" t="n">
        <x:f>D1292-E1292</x:f>
        <x:v>-68574</x:v>
      </x:c>
      <x:c r="G1292" s="49" t="n">
        <x:v>0</x:v>
      </x:c>
      <x:c r="H1292" s="49" t="n">
        <x:v>1</x:v>
      </x:c>
      <x:c r="I1292" s="47" t="n">
        <x:v>-68574</x:v>
      </x:c>
      <x:c r="J1292" s="49" t="n">
        <x:v>13</x:v>
      </x:c>
      <x:c r="K1292" s="47" t="n">
        <x:v>-68574</x:v>
      </x:c>
      <x:c r="L1292" s="47" t="n">
        <x:v>68574</x:v>
      </x:c>
      <x:c r="M1292" s="48" t="n">
        <x:v>43.95</x:v>
      </x:c>
      <x:c r="N1292" s="48" t="n">
        <x:v>228.3</x:v>
      </x:c>
      <x:c r="O1292" s="49" t="n">
        <x:v>5</x:v>
      </x:c>
      <x:c r="P1292" s="1" t="str">
        <x:v>利益進捗で維持半減全返済</x:v>
      </x:c>
      <x:c r="Q1292" s="49" t="n">
        <x:v>0</x:v>
      </x:c>
      <x:c r="R1292" s="50" t="n">
        <x:v>0.5435714285714286</x:v>
      </x:c>
      <x:c r="S1292" s="50" t="n">
        <x:v>0.5435714285714286</x:v>
      </x:c>
      <x:c r="T1292" s="1" t="str">
        <x:v>デイ</x:v>
      </x:c>
      <x:c r="U1292" s="49" t="n">
        <x:v>1</x:v>
      </x:c>
    </x:row>
    <x:row r="1293" ht="22" customHeight="1">
      <x:c r="A1293" s="1" t="str">
        <x:v>TOPIXmini</x:v>
      </x:c>
      <x:c r="B1293" s="1" t="str">
        <x:v>C06</x:v>
      </x:c>
      <x:c r="C1293" s="1" t="str">
        <x:v>診断3場</x:v>
      </x:c>
      <x:c r="D1293" s="47" t="n">
        <x:v>129498</x:v>
      </x:c>
      <x:c r="E1293" s="47" t="n">
        <x:v>49002</x:v>
      </x:c>
      <x:c r="F1293" s="47" t="n">
        <x:f>D1293-E1293</x:f>
        <x:v>80496</x:v>
      </x:c>
      <x:c r="G1293" s="49" t="n">
        <x:v>2</x:v>
      </x:c>
      <x:c r="H1293" s="49" t="n">
        <x:v>0</x:v>
      </x:c>
      <x:c r="I1293" s="47" t="n">
        <x:v>0</x:v>
      </x:c>
      <x:c r="J1293" s="49" t="n">
        <x:v>12</x:v>
      </x:c>
      <x:c r="K1293" s="47" t="n">
        <x:v>27584</x:v>
      </x:c>
      <x:c r="L1293" s="47" t="n">
        <x:v>0</x:v>
      </x:c>
      <x:c r="M1293" s="48" t="n">
        <x:v>98.28333333333333</x:v>
      </x:c>
      <x:c r="N1293" s="48" t="n">
        <x:v>79.11666666666667</x:v>
      </x:c>
      <x:c r="O1293" s="49" t="n">
        <x:v>5</x:v>
      </x:c>
      <x:c r="P1293" s="1" t="str">
        <x:v>利益進捗で維持半減全返済</x:v>
      </x:c>
      <x:c r="Q1293" s="49" t="n">
        <x:v>0</x:v>
      </x:c>
      <x:c r="R1293" s="50" t="n">
        <x:v>0.10143162393162393</x:v>
      </x:c>
      <x:c r="S1293" s="50" t="n">
        <x:v>0.10143162393162394</x:v>
      </x:c>
      <x:c r="T1293" s="1" t="str">
        <x:v>ナイト</x:v>
      </x:c>
      <x:c r="U1293" s="49" t="n">
        <x:v>2</x:v>
      </x:c>
    </x:row>
    <x:row r="1294" ht="22" customHeight="1">
      <x:c r="A1294" s="1" t="str">
        <x:v>TOPIXmini</x:v>
      </x:c>
      <x:c r="B1294" s="1" t="str">
        <x:v>C06</x:v>
      </x:c>
      <x:c r="C1294" s="1" t="str">
        <x:v>診断3場</x:v>
      </x:c>
      <x:c r="D1294" s="47" t="n">
        <x:v>40750</x:v>
      </x:c>
      <x:c r="E1294" s="47" t="n">
        <x:v>13166</x:v>
      </x:c>
      <x:c r="F1294" s="47" t="n">
        <x:f>D1294-E1294</x:f>
        <x:v>27584</x:v>
      </x:c>
      <x:c r="G1294" s="49" t="n">
        <x:v>1</x:v>
      </x:c>
      <x:c r="H1294" s="49" t="n">
        <x:v>0</x:v>
      </x:c>
      <x:c r="I1294" s="47" t="n">
        <x:v>0</x:v>
      </x:c>
      <x:c r="J1294" s="49" t="n">
        <x:v>4</x:v>
      </x:c>
      <x:c r="K1294" s="47" t="n">
        <x:v>27584</x:v>
      </x:c>
      <x:c r="L1294" s="47" t="n">
        <x:v>0</x:v>
      </x:c>
      <x:c r="M1294" s="48" t="n">
        <x:v>125.63333333333334</x:v>
      </x:c>
      <x:c r="N1294" s="48" t="n">
        <x:v>74</x:v>
      </x:c>
      <x:c r="O1294" s="49" t="n">
        <x:v>5</x:v>
      </x:c>
      <x:c r="P1294" s="1" t="str">
        <x:v>利益進捗で維持半減全返済</x:v>
      </x:c>
      <x:c r="Q1294" s="49" t="n">
        <x:v>0</x:v>
      </x:c>
      <x:c r="R1294" s="50" t="n">
        <x:v>0.09487179487179487</x:v>
      </x:c>
      <x:c r="S1294" s="50" t="n">
        <x:v>0.09487179487179487</x:v>
      </x:c>
      <x:c r="T1294" s="1" t="str">
        <x:v>上昇</x:v>
      </x:c>
      <x:c r="U1294" s="49" t="n">
        <x:v>1</x:v>
      </x:c>
    </x:row>
    <x:row r="1295" ht="22" customHeight="1">
      <x:c r="A1295" s="1" t="str">
        <x:v>TOPIXmini</x:v>
      </x:c>
      <x:c r="B1295" s="1" t="str">
        <x:v>C06</x:v>
      </x:c>
      <x:c r="C1295" s="1" t="str">
        <x:v>診断3場</x:v>
      </x:c>
      <x:c r="D1295" s="47" t="n">
        <x:v>133754</x:v>
      </x:c>
      <x:c r="E1295" s="47" t="n">
        <x:v>149416</x:v>
      </x:c>
      <x:c r="F1295" s="47" t="n">
        <x:f>D1295-E1295</x:f>
        <x:v>-15662</x:v>
      </x:c>
      <x:c r="G1295" s="49" t="n">
        <x:v>1</x:v>
      </x:c>
      <x:c r="H1295" s="49" t="n">
        <x:v>1</x:v>
      </x:c>
      <x:c r="I1295" s="47" t="n">
        <x:v>-68574</x:v>
      </x:c>
      <x:c r="J1295" s="49" t="n">
        <x:v>21</x:v>
      </x:c>
      <x:c r="K1295" s="47" t="n">
        <x:v>-68574</x:v>
      </x:c>
      <x:c r="L1295" s="47" t="n">
        <x:v>68574</x:v>
      </x:c>
      <x:c r="M1295" s="48" t="n">
        <x:v>57.44166666666667</x:v>
      </x:c>
      <x:c r="N1295" s="48" t="n">
        <x:v>156.26666666666668</x:v>
      </x:c>
      <x:c r="O1295" s="49" t="n">
        <x:v>5</x:v>
      </x:c>
      <x:c r="P1295" s="1" t="str">
        <x:v>利益進捗で維持半減全返済</x:v>
      </x:c>
      <x:c r="Q1295" s="49" t="n">
        <x:v>0</x:v>
      </x:c>
      <x:c r="R1295" s="50" t="n">
        <x:v>0.3257814407814408</x:v>
      </x:c>
      <x:c r="S1295" s="50" t="n">
        <x:v>0.2604444444444445</x:v>
      </x:c>
      <x:c r="T1295" s="1" t="str">
        <x:v>下落</x:v>
      </x:c>
      <x:c r="U1295" s="49" t="n">
        <x:v>2</x:v>
      </x:c>
    </x:row>
    <x:row r="1296" ht="22" customHeight="1">
      <x:c r="A1296" s="1" t="str">
        <x:v>TOPIXmini</x:v>
      </x:c>
      <x:c r="B1296" s="1" t="str">
        <x:v>C07</x:v>
      </x:c>
      <x:c r="C1296" s="1" t="str">
        <x:v>全50場</x:v>
      </x:c>
      <x:c r="D1296" s="47" t="n">
        <x:v>2405763</x:v>
      </x:c>
      <x:c r="E1296" s="47" t="n">
        <x:v>1561085</x:v>
      </x:c>
      <x:c r="F1296" s="47" t="n">
        <x:f>D1296-E1296</x:f>
        <x:v>844678</x:v>
      </x:c>
      <x:c r="G1296" s="49" t="n">
        <x:v>37</x:v>
      </x:c>
      <x:c r="H1296" s="49" t="n">
        <x:v>13</x:v>
      </x:c>
      <x:c r="I1296" s="47" t="n">
        <x:v>519844</x:v>
      </x:c>
      <x:c r="J1296" s="49" t="n">
        <x:v>211</x:v>
      </x:c>
      <x:c r="K1296" s="47" t="n">
        <x:v>-61070</x:v>
      </x:c>
      <x:c r="L1296" s="47" t="n">
        <x:v>29824.384615384617</x:v>
      </x:c>
      <x:c r="M1296" s="48" t="n">
        <x:v>185.33866666666668</x:v>
      </x:c>
      <x:c r="N1296" s="48" t="n">
        <x:v>143.50466666666668</x:v>
      </x:c>
      <x:c r="O1296" s="49" t="n">
        <x:v>5</x:v>
      </x:c>
      <x:c r="P1296" s="1" t="str">
        <x:v>長短原板と失敗履歴で維持半減全返済</x:v>
      </x:c>
      <x:c r="Q1296" s="49" t="n">
        <x:v>0</x:v>
      </x:c>
      <x:c r="R1296" s="50" t="n">
        <x:v>0.29782063492063493</x:v>
      </x:c>
      <x:c r="S1296" s="50" t="n">
        <x:v>0.23917444444444444</x:v>
      </x:c>
      <x:c r="T1296" s="1" t="str">
        <x:v>全場</x:v>
      </x:c>
      <x:c r="U1296" s="49" t="n">
        <x:v>50</x:v>
      </x:c>
    </x:row>
    <x:row r="1297" ht="22" customHeight="1">
      <x:c r="A1297" s="1" t="str">
        <x:v>TOPIXmini</x:v>
      </x:c>
      <x:c r="B1297" s="1" t="str">
        <x:v>C07</x:v>
      </x:c>
      <x:c r="C1297" s="1" t="str">
        <x:v>全50場</x:v>
      </x:c>
      <x:c r="D1297" s="47" t="n">
        <x:v>1373036</x:v>
      </x:c>
      <x:c r="E1297" s="47" t="n">
        <x:v>850068</x:v>
      </x:c>
      <x:c r="F1297" s="47" t="n">
        <x:f>D1297-E1297</x:f>
        <x:v>522968</x:v>
      </x:c>
      <x:c r="G1297" s="49" t="n">
        <x:v>16</x:v>
      </x:c>
      <x:c r="H1297" s="49" t="n">
        <x:v>9</x:v>
      </x:c>
      <x:c r="I1297" s="47" t="n">
        <x:v>233714</x:v>
      </x:c>
      <x:c r="J1297" s="49" t="n">
        <x:v>109</x:v>
      </x:c>
      <x:c r="K1297" s="47" t="n">
        <x:v>-61070</x:v>
      </x:c>
      <x:c r="L1297" s="47" t="n">
        <x:v>29078.555555555555</x:v>
      </x:c>
      <x:c r="M1297" s="48" t="n">
        <x:v>86.97733333333333</x:v>
      </x:c>
      <x:c r="N1297" s="48" t="n">
        <x:v>207.1893333333333</x:v>
      </x:c>
      <x:c r="O1297" s="49" t="n">
        <x:v>5</x:v>
      </x:c>
      <x:c r="P1297" s="1" t="str">
        <x:v>長短原板と失敗履歴で維持半減全返済</x:v>
      </x:c>
      <x:c r="Q1297" s="49" t="n">
        <x:v>0</x:v>
      </x:c>
      <x:c r="R1297" s="50" t="n">
        <x:v>0.49330793650793653</x:v>
      </x:c>
      <x:c r="S1297" s="50" t="n">
        <x:v>0.49330793650793653</x:v>
      </x:c>
      <x:c r="T1297" s="1" t="str">
        <x:v>デイ</x:v>
      </x:c>
      <x:c r="U1297" s="49" t="n">
        <x:v>25</x:v>
      </x:c>
    </x:row>
    <x:row r="1298" ht="22" customHeight="1">
      <x:c r="A1298" s="1" t="str">
        <x:v>TOPIXmini</x:v>
      </x:c>
      <x:c r="B1298" s="1" t="str">
        <x:v>C07</x:v>
      </x:c>
      <x:c r="C1298" s="1" t="str">
        <x:v>全50場</x:v>
      </x:c>
      <x:c r="D1298" s="47" t="n">
        <x:v>1032727</x:v>
      </x:c>
      <x:c r="E1298" s="47" t="n">
        <x:v>711017</x:v>
      </x:c>
      <x:c r="F1298" s="47" t="n">
        <x:f>D1298-E1298</x:f>
        <x:v>321710</x:v>
      </x:c>
      <x:c r="G1298" s="49" t="n">
        <x:v>21</x:v>
      </x:c>
      <x:c r="H1298" s="49" t="n">
        <x:v>4</x:v>
      </x:c>
      <x:c r="I1298" s="47" t="n">
        <x:v>124213</x:v>
      </x:c>
      <x:c r="J1298" s="49" t="n">
        <x:v>102</x:v>
      </x:c>
      <x:c r="K1298" s="47" t="n">
        <x:v>-44086</x:v>
      </x:c>
      <x:c r="L1298" s="47" t="n">
        <x:v>31502.5</x:v>
      </x:c>
      <x:c r="M1298" s="48" t="n">
        <x:v>283.7</x:v>
      </x:c>
      <x:c r="N1298" s="48" t="n">
        <x:v>79.82</x:v>
      </x:c>
      <x:c r="O1298" s="49" t="n">
        <x:v>5</x:v>
      </x:c>
      <x:c r="P1298" s="1" t="str">
        <x:v>長短原板と失敗履歴で維持半減全返済</x:v>
      </x:c>
      <x:c r="Q1298" s="49" t="n">
        <x:v>0</x:v>
      </x:c>
      <x:c r="R1298" s="50" t="n">
        <x:v>0.10233333333333333</x:v>
      </x:c>
      <x:c r="S1298" s="50" t="n">
        <x:v>0.10233333333333333</x:v>
      </x:c>
      <x:c r="T1298" s="1" t="str">
        <x:v>ナイト</x:v>
      </x:c>
      <x:c r="U1298" s="49" t="n">
        <x:v>25</x:v>
      </x:c>
    </x:row>
    <x:row r="1299" ht="22" customHeight="1">
      <x:c r="A1299" s="1" t="str">
        <x:v>TOPIXmini</x:v>
      </x:c>
      <x:c r="B1299" s="1" t="str">
        <x:v>C07</x:v>
      </x:c>
      <x:c r="C1299" s="1" t="str">
        <x:v>全50場</x:v>
      </x:c>
      <x:c r="D1299" s="47" t="n">
        <x:v>1033418</x:v>
      </x:c>
      <x:c r="E1299" s="47" t="n">
        <x:v>729254</x:v>
      </x:c>
      <x:c r="F1299" s="47" t="n">
        <x:f>D1299-E1299</x:f>
        <x:v>304164</x:v>
      </x:c>
      <x:c r="G1299" s="49" t="n">
        <x:v>18</x:v>
      </x:c>
      <x:c r="H1299" s="49" t="n">
        <x:v>7</x:v>
      </x:c>
      <x:c r="I1299" s="47" t="n">
        <x:v>75663</x:v>
      </x:c>
      <x:c r="J1299" s="49" t="n">
        <x:v>89</x:v>
      </x:c>
      <x:c r="K1299" s="47" t="n">
        <x:v>-44086</x:v>
      </x:c>
      <x:c r="L1299" s="47" t="n">
        <x:v>27105.285714285714</x:v>
      </x:c>
      <x:c r="M1299" s="48" t="n">
        <x:v>206.87466666666668</x:v>
      </x:c>
      <x:c r="N1299" s="48" t="n">
        <x:v>129.44266666666667</x:v>
      </x:c>
      <x:c r="O1299" s="49" t="n">
        <x:v>5</x:v>
      </x:c>
      <x:c r="P1299" s="1" t="str">
        <x:v>長短原板と失敗履歴で維持半減全返済</x:v>
      </x:c>
      <x:c r="Q1299" s="49" t="n">
        <x:v>0</x:v>
      </x:c>
      <x:c r="R1299" s="50" t="n">
        <x:v>0.26518876678876674</x:v>
      </x:c>
      <x:c r="S1299" s="50" t="n">
        <x:v>0.21317962231005708</x:v>
      </x:c>
      <x:c r="T1299" s="1" t="str">
        <x:v>上昇</x:v>
      </x:c>
      <x:c r="U1299" s="49" t="n">
        <x:v>25</x:v>
      </x:c>
    </x:row>
    <x:row r="1300" ht="22" customHeight="1">
      <x:c r="A1300" s="1" t="str">
        <x:v>TOPIXmini</x:v>
      </x:c>
      <x:c r="B1300" s="1" t="str">
        <x:v>C07</x:v>
      </x:c>
      <x:c r="C1300" s="1" t="str">
        <x:v>全50場</x:v>
      </x:c>
      <x:c r="D1300" s="47" t="n">
        <x:v>1372345</x:v>
      </x:c>
      <x:c r="E1300" s="47" t="n">
        <x:v>831831</x:v>
      </x:c>
      <x:c r="F1300" s="47" t="n">
        <x:f>D1300-E1300</x:f>
        <x:v>540514</x:v>
      </x:c>
      <x:c r="G1300" s="49" t="n">
        <x:v>19</x:v>
      </x:c>
      <x:c r="H1300" s="49" t="n">
        <x:v>6</x:v>
      </x:c>
      <x:c r="I1300" s="47" t="n">
        <x:v>218679</x:v>
      </x:c>
      <x:c r="J1300" s="49" t="n">
        <x:v>122</x:v>
      </x:c>
      <x:c r="K1300" s="47" t="n">
        <x:v>-61070</x:v>
      </x:c>
      <x:c r="L1300" s="47" t="n">
        <x:v>32996.666666666664</x:v>
      </x:c>
      <x:c r="M1300" s="48" t="n">
        <x:v>163.80266666666665</x:v>
      </x:c>
      <x:c r="N1300" s="48" t="n">
        <x:v>157.5666666666667</x:v>
      </x:c>
      <x:c r="O1300" s="49" t="n">
        <x:v>5</x:v>
      </x:c>
      <x:c r="P1300" s="1" t="str">
        <x:v>長短原板と失敗履歴で維持半減全返済</x:v>
      </x:c>
      <x:c r="Q1300" s="49" t="n">
        <x:v>0</x:v>
      </x:c>
      <x:c r="R1300" s="50" t="n">
        <x:v>0.33045250305250307</x:v>
      </x:c>
      <x:c r="S1300" s="50" t="n">
        <x:v>0.26580071974808817</x:v>
      </x:c>
      <x:c r="T1300" s="1" t="str">
        <x:v>下落</x:v>
      </x:c>
      <x:c r="U1300" s="49" t="n">
        <x:v>25</x:v>
      </x:c>
    </x:row>
    <x:row r="1301" ht="22" customHeight="1">
      <x:c r="A1301" s="1" t="str">
        <x:v>TOPIXmini</x:v>
      </x:c>
      <x:c r="B1301" s="1" t="str">
        <x:v>C07</x:v>
      </x:c>
      <x:c r="C1301" s="1" t="str">
        <x:v>対照47場</x:v>
      </x:c>
      <x:c r="D1301" s="47" t="n">
        <x:v>2239256</x:v>
      </x:c>
      <x:c r="E1301" s="47" t="n">
        <x:v>1411507</x:v>
      </x:c>
      <x:c r="F1301" s="47" t="n">
        <x:f>D1301-E1301</x:f>
        <x:v>827749</x:v>
      </x:c>
      <x:c r="G1301" s="49" t="n">
        <x:v>35</x:v>
      </x:c>
      <x:c r="H1301" s="49" t="n">
        <x:v>12</x:v>
      </x:c>
      <x:c r="I1301" s="47" t="n">
        <x:v>502915</x:v>
      </x:c>
      <x:c r="J1301" s="49" t="n">
        <x:v>186</x:v>
      </x:c>
      <x:c r="K1301" s="47" t="n">
        <x:v>-51828</x:v>
      </x:c>
      <x:c r="L1301" s="47" t="n">
        <x:v>27220.583333333332</x:v>
      </x:c>
      <x:c r="M1301" s="48" t="n">
        <x:v>192.05141843971634</x:v>
      </x:c>
      <x:c r="N1301" s="48" t="n">
        <x:v>144.44042553191488</x:v>
      </x:c>
      <x:c r="O1301" s="49" t="n">
        <x:v>5</x:v>
      </x:c>
      <x:c r="P1301" s="1" t="str">
        <x:v>長短原板と失敗履歴で維持半減全返済</x:v>
      </x:c>
      <x:c r="Q1301" s="49" t="n">
        <x:v>0</x:v>
      </x:c>
      <x:c r="R1301" s="50" t="n">
        <x:v>0.30094887382121427</x:v>
      </x:c>
      <x:c r="S1301" s="50" t="n">
        <x:v>0.24228051391862954</x:v>
      </x:c>
      <x:c r="T1301" s="1" t="str">
        <x:v>全場</x:v>
      </x:c>
      <x:c r="U1301" s="49" t="n">
        <x:v>47</x:v>
      </x:c>
    </x:row>
    <x:row r="1302" ht="22" customHeight="1">
      <x:c r="A1302" s="1" t="str">
        <x:v>TOPIXmini</x:v>
      </x:c>
      <x:c r="B1302" s="1" t="str">
        <x:v>C07</x:v>
      </x:c>
      <x:c r="C1302" s="1" t="str">
        <x:v>対照47場</x:v>
      </x:c>
      <x:c r="D1302" s="47" t="n">
        <x:v>1330029</x:v>
      </x:c>
      <x:c r="E1302" s="47" t="n">
        <x:v>745991</x:v>
      </x:c>
      <x:c r="F1302" s="47" t="n">
        <x:f>D1302-E1302</x:f>
        <x:v>584038</x:v>
      </x:c>
      <x:c r="G1302" s="49" t="n">
        <x:v>16</x:v>
      </x:c>
      <x:c r="H1302" s="49" t="n">
        <x:v>8</x:v>
      </x:c>
      <x:c r="I1302" s="47" t="n">
        <x:v>294784</x:v>
      </x:c>
      <x:c r="J1302" s="49" t="n">
        <x:v>96</x:v>
      </x:c>
      <x:c r="K1302" s="47" t="n">
        <x:v>-51828</x:v>
      </x:c>
      <x:c r="L1302" s="47" t="n">
        <x:v>25079.625</x:v>
      </x:c>
      <x:c r="M1302" s="48" t="n">
        <x:v>88.7701388888889</x:v>
      </x:c>
      <x:c r="N1302" s="48" t="n">
        <x:v>206.30972222222218</x:v>
      </x:c>
      <x:c r="O1302" s="49" t="n">
        <x:v>5</x:v>
      </x:c>
      <x:c r="P1302" s="1" t="str">
        <x:v>長短原板と失敗履歴で維持半減全返済</x:v>
      </x:c>
      <x:c r="Q1302" s="49" t="n">
        <x:v>0</x:v>
      </x:c>
      <x:c r="R1302" s="50" t="n">
        <x:v>0.4912136243386243</x:v>
      </x:c>
      <x:c r="S1302" s="50" t="n">
        <x:v>0.49121362433862437</x:v>
      </x:c>
      <x:c r="T1302" s="1" t="str">
        <x:v>デイ</x:v>
      </x:c>
      <x:c r="U1302" s="49" t="n">
        <x:v>24</x:v>
      </x:c>
    </x:row>
    <x:row r="1303" ht="22" customHeight="1">
      <x:c r="A1303" s="1" t="str">
        <x:v>TOPIXmini</x:v>
      </x:c>
      <x:c r="B1303" s="1" t="str">
        <x:v>C07</x:v>
      </x:c>
      <x:c r="C1303" s="1" t="str">
        <x:v>対照47場</x:v>
      </x:c>
      <x:c r="D1303" s="47" t="n">
        <x:v>909227</x:v>
      </x:c>
      <x:c r="E1303" s="47" t="n">
        <x:v>665516</x:v>
      </x:c>
      <x:c r="F1303" s="47" t="n">
        <x:f>D1303-E1303</x:f>
        <x:v>243711</x:v>
      </x:c>
      <x:c r="G1303" s="49" t="n">
        <x:v>19</x:v>
      </x:c>
      <x:c r="H1303" s="49" t="n">
        <x:v>4</x:v>
      </x:c>
      <x:c r="I1303" s="47" t="n">
        <x:v>57549</x:v>
      </x:c>
      <x:c r="J1303" s="49" t="n">
        <x:v>90</x:v>
      </x:c>
      <x:c r="K1303" s="47" t="n">
        <x:v>-44086</x:v>
      </x:c>
      <x:c r="L1303" s="47" t="n">
        <x:v>31502.5</x:v>
      </x:c>
      <x:c r="M1303" s="48" t="n">
        <x:v>299.82318840579705</x:v>
      </x:c>
      <x:c r="N1303" s="48" t="n">
        <x:v>79.88115942028985</x:v>
      </x:c>
      <x:c r="O1303" s="49" t="n">
        <x:v>5</x:v>
      </x:c>
      <x:c r="P1303" s="1" t="str">
        <x:v>長短原板と失敗履歴で維持半減全返済</x:v>
      </x:c>
      <x:c r="Q1303" s="49" t="n">
        <x:v>0</x:v>
      </x:c>
      <x:c r="R1303" s="50" t="n">
        <x:v>0.10241174284652545</x:v>
      </x:c>
      <x:c r="S1303" s="50" t="n">
        <x:v>0.10241174284652546</x:v>
      </x:c>
      <x:c r="T1303" s="1" t="str">
        <x:v>ナイト</x:v>
      </x:c>
      <x:c r="U1303" s="49" t="n">
        <x:v>23</x:v>
      </x:c>
    </x:row>
    <x:row r="1304" ht="22" customHeight="1">
      <x:c r="A1304" s="1" t="str">
        <x:v>TOPIXmini</x:v>
      </x:c>
      <x:c r="B1304" s="1" t="str">
        <x:v>C07</x:v>
      </x:c>
      <x:c r="C1304" s="1" t="str">
        <x:v>対照47場</x:v>
      </x:c>
      <x:c r="D1304" s="47" t="n">
        <x:v>992668</x:v>
      </x:c>
      <x:c r="E1304" s="47" t="n">
        <x:v>719589</x:v>
      </x:c>
      <x:c r="F1304" s="47" t="n">
        <x:f>D1304-E1304</x:f>
        <x:v>273079</x:v>
      </x:c>
      <x:c r="G1304" s="49" t="n">
        <x:v>17</x:v>
      </x:c>
      <x:c r="H1304" s="49" t="n">
        <x:v>7</x:v>
      </x:c>
      <x:c r="I1304" s="47" t="n">
        <x:v>44578</x:v>
      </x:c>
      <x:c r="J1304" s="49" t="n">
        <x:v>85</x:v>
      </x:c>
      <x:c r="K1304" s="47" t="n">
        <x:v>-44086</x:v>
      </x:c>
      <x:c r="L1304" s="47" t="n">
        <x:v>27105.285714285714</x:v>
      </x:c>
      <x:c r="M1304" s="48" t="n">
        <x:v>210.25972222222222</x:v>
      </x:c>
      <x:c r="N1304" s="48" t="n">
        <x:v>131.75277777777777</x:v>
      </x:c>
      <x:c r="O1304" s="49" t="n">
        <x:v>5</x:v>
      </x:c>
      <x:c r="P1304" s="1" t="str">
        <x:v>長短原板と失敗履歴で維持半減全返済</x:v>
      </x:c>
      <x:c r="Q1304" s="49" t="n">
        <x:v>0</x:v>
      </x:c>
      <x:c r="R1304" s="50" t="n">
        <x:v>0.27228530728530725</x:v>
      </x:c>
      <x:c r="S1304" s="50" t="n">
        <x:v>0.21958796296296296</x:v>
      </x:c>
      <x:c r="T1304" s="1" t="str">
        <x:v>上昇</x:v>
      </x:c>
      <x:c r="U1304" s="49" t="n">
        <x:v>24</x:v>
      </x:c>
    </x:row>
    <x:row r="1305" ht="22" customHeight="1">
      <x:c r="A1305" s="1" t="str">
        <x:v>TOPIXmini</x:v>
      </x:c>
      <x:c r="B1305" s="1" t="str">
        <x:v>C07</x:v>
      </x:c>
      <x:c r="C1305" s="1" t="str">
        <x:v>対照47場</x:v>
      </x:c>
      <x:c r="D1305" s="47" t="n">
        <x:v>1246588</x:v>
      </x:c>
      <x:c r="E1305" s="47" t="n">
        <x:v>691918</x:v>
      </x:c>
      <x:c r="F1305" s="47" t="n">
        <x:f>D1305-E1305</x:f>
        <x:v>554670</x:v>
      </x:c>
      <x:c r="G1305" s="49" t="n">
        <x:v>18</x:v>
      </x:c>
      <x:c r="H1305" s="49" t="n">
        <x:v>5</x:v>
      </x:c>
      <x:c r="I1305" s="47" t="n">
        <x:v>232835</x:v>
      </x:c>
      <x:c r="J1305" s="49" t="n">
        <x:v>101</x:v>
      </x:c>
      <x:c r="K1305" s="47" t="n">
        <x:v>-51828</x:v>
      </x:c>
      <x:c r="L1305" s="47" t="n">
        <x:v>27382</x:v>
      </x:c>
      <x:c r="M1305" s="48" t="n">
        <x:v>173.05144927536236</x:v>
      </x:c>
      <x:c r="N1305" s="48" t="n">
        <x:v>157.67971014492753</x:v>
      </x:c>
      <x:c r="O1305" s="49" t="n">
        <x:v>5</x:v>
      </x:c>
      <x:c r="P1305" s="1" t="str">
        <x:v>長短原板と失敗履歴で維持半減全返済</x:v>
      </x:c>
      <x:c r="Q1305" s="49" t="n">
        <x:v>0</x:v>
      </x:c>
      <x:c r="R1305" s="50" t="n">
        <x:v>0.33085868238042154</x:v>
      </x:c>
      <x:c r="S1305" s="50" t="n">
        <x:v>0.26627263827704356</x:v>
      </x:c>
      <x:c r="T1305" s="1" t="str">
        <x:v>下落</x:v>
      </x:c>
      <x:c r="U1305" s="49" t="n">
        <x:v>23</x:v>
      </x:c>
    </x:row>
    <x:row r="1306" ht="22" customHeight="1">
      <x:c r="A1306" s="1" t="str">
        <x:v>TOPIXmini</x:v>
      </x:c>
      <x:c r="B1306" s="1" t="str">
        <x:v>C07</x:v>
      </x:c>
      <x:c r="C1306" s="1" t="str">
        <x:v>診断3場</x:v>
      </x:c>
      <x:c r="D1306" s="47" t="n">
        <x:v>166507</x:v>
      </x:c>
      <x:c r="E1306" s="47" t="n">
        <x:v>149578</x:v>
      </x:c>
      <x:c r="F1306" s="47" t="n">
        <x:f>D1306-E1306</x:f>
        <x:v>16929</x:v>
      </x:c>
      <x:c r="G1306" s="49" t="n">
        <x:v>2</x:v>
      </x:c>
      <x:c r="H1306" s="49" t="n">
        <x:v>1</x:v>
      </x:c>
      <x:c r="I1306" s="47" t="n">
        <x:v>-61070</x:v>
      </x:c>
      <x:c r="J1306" s="49" t="n">
        <x:v>25</x:v>
      </x:c>
      <x:c r="K1306" s="47" t="n">
        <x:v>-61070</x:v>
      </x:c>
      <x:c r="L1306" s="47" t="n">
        <x:v>61070</x:v>
      </x:c>
      <x:c r="M1306" s="48" t="n">
        <x:v>80.17222222222223</x:v>
      </x:c>
      <x:c r="N1306" s="48" t="n">
        <x:v>128.84444444444446</x:v>
      </x:c>
      <x:c r="O1306" s="49" t="n">
        <x:v>5</x:v>
      </x:c>
      <x:c r="P1306" s="1" t="str">
        <x:v>長短原板と失敗履歴で維持半減全返済</x:v>
      </x:c>
      <x:c r="Q1306" s="49" t="n">
        <x:v>0</x:v>
      </x:c>
      <x:c r="R1306" s="50" t="n">
        <x:v>0.2488115588115588</x:v>
      </x:c>
      <x:c r="S1306" s="50" t="n">
        <x:v>0.19521885521885524</x:v>
      </x:c>
      <x:c r="T1306" s="1" t="str">
        <x:v>全場</x:v>
      </x:c>
      <x:c r="U1306" s="49" t="n">
        <x:v>3</x:v>
      </x:c>
    </x:row>
    <x:row r="1307" ht="22" customHeight="1">
      <x:c r="A1307" s="1" t="str">
        <x:v>TOPIXmini</x:v>
      </x:c>
      <x:c r="B1307" s="1" t="str">
        <x:v>C07</x:v>
      </x:c>
      <x:c r="C1307" s="1" t="str">
        <x:v>診断3場</x:v>
      </x:c>
      <x:c r="D1307" s="47" t="n">
        <x:v>43007</x:v>
      </x:c>
      <x:c r="E1307" s="47" t="n">
        <x:v>104077</x:v>
      </x:c>
      <x:c r="F1307" s="47" t="n">
        <x:f>D1307-E1307</x:f>
        <x:v>-61070</x:v>
      </x:c>
      <x:c r="G1307" s="49" t="n">
        <x:v>0</x:v>
      </x:c>
      <x:c r="H1307" s="49" t="n">
        <x:v>1</x:v>
      </x:c>
      <x:c r="I1307" s="47" t="n">
        <x:v>-61070</x:v>
      </x:c>
      <x:c r="J1307" s="49" t="n">
        <x:v>13</x:v>
      </x:c>
      <x:c r="K1307" s="47" t="n">
        <x:v>-61070</x:v>
      </x:c>
      <x:c r="L1307" s="47" t="n">
        <x:v>61070</x:v>
      </x:c>
      <x:c r="M1307" s="48" t="n">
        <x:v>43.95</x:v>
      </x:c>
      <x:c r="N1307" s="48" t="n">
        <x:v>228.3</x:v>
      </x:c>
      <x:c r="O1307" s="49" t="n">
        <x:v>5</x:v>
      </x:c>
      <x:c r="P1307" s="1" t="str">
        <x:v>長短原板と失敗履歴で維持半減全返済</x:v>
      </x:c>
      <x:c r="Q1307" s="49" t="n">
        <x:v>0</x:v>
      </x:c>
      <x:c r="R1307" s="50" t="n">
        <x:v>0.5435714285714286</x:v>
      </x:c>
      <x:c r="S1307" s="50" t="n">
        <x:v>0.5435714285714286</x:v>
      </x:c>
      <x:c r="T1307" s="1" t="str">
        <x:v>デイ</x:v>
      </x:c>
      <x:c r="U1307" s="49" t="n">
        <x:v>1</x:v>
      </x:c>
    </x:row>
    <x:row r="1308" ht="22" customHeight="1">
      <x:c r="A1308" s="1" t="str">
        <x:v>TOPIXmini</x:v>
      </x:c>
      <x:c r="B1308" s="1" t="str">
        <x:v>C07</x:v>
      </x:c>
      <x:c r="C1308" s="1" t="str">
        <x:v>診断3場</x:v>
      </x:c>
      <x:c r="D1308" s="47" t="n">
        <x:v>123500</x:v>
      </x:c>
      <x:c r="E1308" s="47" t="n">
        <x:v>45501</x:v>
      </x:c>
      <x:c r="F1308" s="47" t="n">
        <x:f>D1308-E1308</x:f>
        <x:v>77999</x:v>
      </x:c>
      <x:c r="G1308" s="49" t="n">
        <x:v>2</x:v>
      </x:c>
      <x:c r="H1308" s="49" t="n">
        <x:v>0</x:v>
      </x:c>
      <x:c r="I1308" s="47" t="n">
        <x:v>0</x:v>
      </x:c>
      <x:c r="J1308" s="49" t="n">
        <x:v>12</x:v>
      </x:c>
      <x:c r="K1308" s="47" t="n">
        <x:v>31085</x:v>
      </x:c>
      <x:c r="L1308" s="47" t="n">
        <x:v>0</x:v>
      </x:c>
      <x:c r="M1308" s="48" t="n">
        <x:v>98.28333333333333</x:v>
      </x:c>
      <x:c r="N1308" s="48" t="n">
        <x:v>79.11666666666667</x:v>
      </x:c>
      <x:c r="O1308" s="49" t="n">
        <x:v>5</x:v>
      </x:c>
      <x:c r="P1308" s="1" t="str">
        <x:v>長短原板と失敗履歴で維持半減全返済</x:v>
      </x:c>
      <x:c r="Q1308" s="49" t="n">
        <x:v>0</x:v>
      </x:c>
      <x:c r="R1308" s="50" t="n">
        <x:v>0.10143162393162393</x:v>
      </x:c>
      <x:c r="S1308" s="50" t="n">
        <x:v>0.10143162393162394</x:v>
      </x:c>
      <x:c r="T1308" s="1" t="str">
        <x:v>ナイト</x:v>
      </x:c>
      <x:c r="U1308" s="49" t="n">
        <x:v>2</x:v>
      </x:c>
    </x:row>
    <x:row r="1309" ht="22" customHeight="1">
      <x:c r="A1309" s="1" t="str">
        <x:v>TOPIXmini</x:v>
      </x:c>
      <x:c r="B1309" s="1" t="str">
        <x:v>C07</x:v>
      </x:c>
      <x:c r="C1309" s="1" t="str">
        <x:v>診断3場</x:v>
      </x:c>
      <x:c r="D1309" s="47" t="n">
        <x:v>40750</x:v>
      </x:c>
      <x:c r="E1309" s="47" t="n">
        <x:v>9665</x:v>
      </x:c>
      <x:c r="F1309" s="47" t="n">
        <x:f>D1309-E1309</x:f>
        <x:v>31085</x:v>
      </x:c>
      <x:c r="G1309" s="49" t="n">
        <x:v>1</x:v>
      </x:c>
      <x:c r="H1309" s="49" t="n">
        <x:v>0</x:v>
      </x:c>
      <x:c r="I1309" s="47" t="n">
        <x:v>0</x:v>
      </x:c>
      <x:c r="J1309" s="49" t="n">
        <x:v>4</x:v>
      </x:c>
      <x:c r="K1309" s="47" t="n">
        <x:v>31085</x:v>
      </x:c>
      <x:c r="L1309" s="47" t="n">
        <x:v>0</x:v>
      </x:c>
      <x:c r="M1309" s="48" t="n">
        <x:v>125.63333333333334</x:v>
      </x:c>
      <x:c r="N1309" s="48" t="n">
        <x:v>74</x:v>
      </x:c>
      <x:c r="O1309" s="49" t="n">
        <x:v>5</x:v>
      </x:c>
      <x:c r="P1309" s="1" t="str">
        <x:v>長短原板と失敗履歴で維持半減全返済</x:v>
      </x:c>
      <x:c r="Q1309" s="49" t="n">
        <x:v>0</x:v>
      </x:c>
      <x:c r="R1309" s="50" t="n">
        <x:v>0.09487179487179487</x:v>
      </x:c>
      <x:c r="S1309" s="50" t="n">
        <x:v>0.09487179487179487</x:v>
      </x:c>
      <x:c r="T1309" s="1" t="str">
        <x:v>上昇</x:v>
      </x:c>
      <x:c r="U1309" s="49" t="n">
        <x:v>1</x:v>
      </x:c>
    </x:row>
    <x:row r="1310" ht="22" customHeight="1">
      <x:c r="A1310" s="1" t="str">
        <x:v>TOPIXmini</x:v>
      </x:c>
      <x:c r="B1310" s="1" t="str">
        <x:v>C07</x:v>
      </x:c>
      <x:c r="C1310" s="1" t="str">
        <x:v>診断3場</x:v>
      </x:c>
      <x:c r="D1310" s="47" t="n">
        <x:v>125757</x:v>
      </x:c>
      <x:c r="E1310" s="47" t="n">
        <x:v>139913</x:v>
      </x:c>
      <x:c r="F1310" s="47" t="n">
        <x:f>D1310-E1310</x:f>
        <x:v>-14156</x:v>
      </x:c>
      <x:c r="G1310" s="49" t="n">
        <x:v>1</x:v>
      </x:c>
      <x:c r="H1310" s="49" t="n">
        <x:v>1</x:v>
      </x:c>
      <x:c r="I1310" s="47" t="n">
        <x:v>-61070</x:v>
      </x:c>
      <x:c r="J1310" s="49" t="n">
        <x:v>21</x:v>
      </x:c>
      <x:c r="K1310" s="47" t="n">
        <x:v>-61070</x:v>
      </x:c>
      <x:c r="L1310" s="47" t="n">
        <x:v>61070</x:v>
      </x:c>
      <x:c r="M1310" s="48" t="n">
        <x:v>57.44166666666667</x:v>
      </x:c>
      <x:c r="N1310" s="48" t="n">
        <x:v>156.26666666666668</x:v>
      </x:c>
      <x:c r="O1310" s="49" t="n">
        <x:v>5</x:v>
      </x:c>
      <x:c r="P1310" s="1" t="str">
        <x:v>長短原板と失敗履歴で維持半減全返済</x:v>
      </x:c>
      <x:c r="Q1310" s="49" t="n">
        <x:v>0</x:v>
      </x:c>
      <x:c r="R1310" s="50" t="n">
        <x:v>0.3257814407814408</x:v>
      </x:c>
      <x:c r="S1310" s="50" t="n">
        <x:v>0.2604444444444445</x:v>
      </x:c>
      <x:c r="T1310" s="1" t="str">
        <x:v>下落</x:v>
      </x:c>
      <x:c r="U1310" s="49" t="n">
        <x:v>2</x:v>
      </x:c>
    </x:row>
    <x:row r="1311" ht="22" customHeight="1">
      <x:c r="A1311" s="1" t="str">
        <x:v>TOPIXmini</x:v>
      </x:c>
      <x:c r="B1311" s="1" t="str">
        <x:v>C08</x:v>
      </x:c>
      <x:c r="C1311" s="1" t="str">
        <x:v>全50場</x:v>
      </x:c>
      <x:c r="D1311" s="47" t="n">
        <x:v>2405903</x:v>
      </x:c>
      <x:c r="E1311" s="47" t="n">
        <x:v>1618581</x:v>
      </x:c>
      <x:c r="F1311" s="47" t="n">
        <x:f>D1311-E1311</x:f>
        <x:v>787322</x:v>
      </x:c>
      <x:c r="G1311" s="49" t="n">
        <x:v>36</x:v>
      </x:c>
      <x:c r="H1311" s="49" t="n">
        <x:v>14</x:v>
      </x:c>
      <x:c r="I1311" s="47" t="n">
        <x:v>421735</x:v>
      </x:c>
      <x:c r="J1311" s="49" t="n">
        <x:v>191</x:v>
      </x:c>
      <x:c r="K1311" s="47" t="n">
        <x:v>-116657</x:v>
      </x:c>
      <x:c r="L1311" s="47" t="n">
        <x:v>32051.35714285714</x:v>
      </x:c>
      <x:c r="M1311" s="48" t="n">
        <x:v>192.85400000000004</x:v>
      </x:c>
      <x:c r="N1311" s="48" t="n">
        <x:v>136.74233333333336</x:v>
      </x:c>
      <x:c r="O1311" s="49" t="n">
        <x:v>5</x:v>
      </x:c>
      <x:c r="P1311" s="1" t="str">
        <x:v>中期入口と長短管理の統合</x:v>
      </x:c>
      <x:c r="Q1311" s="49" t="n">
        <x:v>0</x:v>
      </x:c>
      <x:c r="R1311" s="50" t="n">
        <x:v>0.2855202075702076</x:v>
      </x:c>
      <x:c r="S1311" s="50" t="n">
        <x:v>0.2279038888888889</x:v>
      </x:c>
      <x:c r="T1311" s="1" t="str">
        <x:v>全場</x:v>
      </x:c>
      <x:c r="U1311" s="49" t="n">
        <x:v>50</x:v>
      </x:c>
    </x:row>
    <x:row r="1312" ht="22" customHeight="1">
      <x:c r="A1312" s="1" t="str">
        <x:v>TOPIXmini</x:v>
      </x:c>
      <x:c r="B1312" s="1" t="str">
        <x:v>C08</x:v>
      </x:c>
      <x:c r="C1312" s="1" t="str">
        <x:v>全50場</x:v>
      </x:c>
      <x:c r="D1312" s="47" t="n">
        <x:v>1353017</x:v>
      </x:c>
      <x:c r="E1312" s="47" t="n">
        <x:v>956143</x:v>
      </x:c>
      <x:c r="F1312" s="47" t="n">
        <x:f>D1312-E1312</x:f>
        <x:v>396874</x:v>
      </x:c>
      <x:c r="G1312" s="49" t="n">
        <x:v>15</x:v>
      </x:c>
      <x:c r="H1312" s="49" t="n">
        <x:v>10</x:v>
      </x:c>
      <x:c r="I1312" s="47" t="n">
        <x:v>83455</x:v>
      </x:c>
      <x:c r="J1312" s="49" t="n">
        <x:v>101</x:v>
      </x:c>
      <x:c r="K1312" s="47" t="n">
        <x:v>-116657</x:v>
      </x:c>
      <x:c r="L1312" s="47" t="n">
        <x:v>33387.5</x:v>
      </x:c>
      <x:c r="M1312" s="48" t="n">
        <x:v>86.94333333333333</x:v>
      </x:c>
      <x:c r="N1312" s="48" t="n">
        <x:v>200.58133333333336</x:v>
      </x:c>
      <x:c r="O1312" s="49" t="n">
        <x:v>5</x:v>
      </x:c>
      <x:c r="P1312" s="1" t="str">
        <x:v>中期入口と長短管理の統合</x:v>
      </x:c>
      <x:c r="Q1312" s="49" t="n">
        <x:v>0</x:v>
      </x:c>
      <x:c r="R1312" s="50" t="n">
        <x:v>0.47757460317460315</x:v>
      </x:c>
      <x:c r="S1312" s="50" t="n">
        <x:v>0.4775746031746032</x:v>
      </x:c>
      <x:c r="T1312" s="1" t="str">
        <x:v>デイ</x:v>
      </x:c>
      <x:c r="U1312" s="49" t="n">
        <x:v>25</x:v>
      </x:c>
    </x:row>
    <x:row r="1313" ht="22" customHeight="1">
      <x:c r="A1313" s="1" t="str">
        <x:v>TOPIXmini</x:v>
      </x:c>
      <x:c r="B1313" s="1" t="str">
        <x:v>C08</x:v>
      </x:c>
      <x:c r="C1313" s="1" t="str">
        <x:v>全50場</x:v>
      </x:c>
      <x:c r="D1313" s="47" t="n">
        <x:v>1052886</x:v>
      </x:c>
      <x:c r="E1313" s="47" t="n">
        <x:v>662438</x:v>
      </x:c>
      <x:c r="F1313" s="47" t="n">
        <x:f>D1313-E1313</x:f>
        <x:v>390448</x:v>
      </x:c>
      <x:c r="G1313" s="49" t="n">
        <x:v>21</x:v>
      </x:c>
      <x:c r="H1313" s="49" t="n">
        <x:v>4</x:v>
      </x:c>
      <x:c r="I1313" s="47" t="n">
        <x:v>169707</x:v>
      </x:c>
      <x:c r="J1313" s="49" t="n">
        <x:v>90</x:v>
      </x:c>
      <x:c r="K1313" s="47" t="n">
        <x:v>-40836</x:v>
      </x:c>
      <x:c r="L1313" s="47" t="n">
        <x:v>28711</x:v>
      </x:c>
      <x:c r="M1313" s="48" t="n">
        <x:v>298.76466666666664</x:v>
      </x:c>
      <x:c r="N1313" s="48" t="n">
        <x:v>72.90333333333334</x:v>
      </x:c>
      <x:c r="O1313" s="49" t="n">
        <x:v>5</x:v>
      </x:c>
      <x:c r="P1313" s="1" t="str">
        <x:v>中期入口と長短管理の統合</x:v>
      </x:c>
      <x:c r="Q1313" s="49" t="n">
        <x:v>0</x:v>
      </x:c>
      <x:c r="R1313" s="50" t="n">
        <x:v>0.09346581196581198</x:v>
      </x:c>
      <x:c r="S1313" s="50" t="n">
        <x:v>0.09346581196581197</x:v>
      </x:c>
      <x:c r="T1313" s="1" t="str">
        <x:v>ナイト</x:v>
      </x:c>
      <x:c r="U1313" s="49" t="n">
        <x:v>25</x:v>
      </x:c>
    </x:row>
    <x:row r="1314" ht="22" customHeight="1">
      <x:c r="A1314" s="1" t="str">
        <x:v>TOPIXmini</x:v>
      </x:c>
      <x:c r="B1314" s="1" t="str">
        <x:v>C08</x:v>
      </x:c>
      <x:c r="C1314" s="1" t="str">
        <x:v>全50場</x:v>
      </x:c>
      <x:c r="D1314" s="47" t="n">
        <x:v>1050909</x:v>
      </x:c>
      <x:c r="E1314" s="47" t="n">
        <x:v>713923</x:v>
      </x:c>
      <x:c r="F1314" s="47" t="n">
        <x:f>D1314-E1314</x:f>
        <x:v>336986</x:v>
      </x:c>
      <x:c r="G1314" s="49" t="n">
        <x:v>18</x:v>
      </x:c>
      <x:c r="H1314" s="49" t="n">
        <x:v>7</x:v>
      </x:c>
      <x:c r="I1314" s="47" t="n">
        <x:v>97319</x:v>
      </x:c>
      <x:c r="J1314" s="49" t="n">
        <x:v>78</x:v>
      </x:c>
      <x:c r="K1314" s="47" t="n">
        <x:v>-55410</x:v>
      </x:c>
      <x:c r="L1314" s="47" t="n">
        <x:v>29510.571428571428</x:v>
      </x:c>
      <x:c r="M1314" s="48" t="n">
        <x:v>212.516</x:v>
      </x:c>
      <x:c r="N1314" s="48" t="n">
        <x:v>125.26933333333332</x:v>
      </x:c>
      <x:c r="O1314" s="49" t="n">
        <x:v>5</x:v>
      </x:c>
      <x:c r="P1314" s="1" t="str">
        <x:v>中期入口と長短管理の統合</x:v>
      </x:c>
      <x:c r="Q1314" s="49" t="n">
        <x:v>0</x:v>
      </x:c>
      <x:c r="R1314" s="50" t="n">
        <x:v>0.25758632478632476</x:v>
      </x:c>
      <x:c r="S1314" s="50" t="n">
        <x:v>0.20630654369784804</x:v>
      </x:c>
      <x:c r="T1314" s="1" t="str">
        <x:v>上昇</x:v>
      </x:c>
      <x:c r="U1314" s="49" t="n">
        <x:v>25</x:v>
      </x:c>
    </x:row>
    <x:row r="1315" ht="22" customHeight="1">
      <x:c r="A1315" s="1" t="str">
        <x:v>TOPIXmini</x:v>
      </x:c>
      <x:c r="B1315" s="1" t="str">
        <x:v>C08</x:v>
      </x:c>
      <x:c r="C1315" s="1" t="str">
        <x:v>全50場</x:v>
      </x:c>
      <x:c r="D1315" s="47" t="n">
        <x:v>1354994</x:v>
      </x:c>
      <x:c r="E1315" s="47" t="n">
        <x:v>904658</x:v>
      </x:c>
      <x:c r="F1315" s="47" t="n">
        <x:f>D1315-E1315</x:f>
        <x:v>450336</x:v>
      </x:c>
      <x:c r="G1315" s="49" t="n">
        <x:v>18</x:v>
      </x:c>
      <x:c r="H1315" s="49" t="n">
        <x:v>7</x:v>
      </x:c>
      <x:c r="I1315" s="47" t="n">
        <x:v>93251</x:v>
      </x:c>
      <x:c r="J1315" s="49" t="n">
        <x:v>113</x:v>
      </x:c>
      <x:c r="K1315" s="47" t="n">
        <x:v>-116657</x:v>
      </x:c>
      <x:c r="L1315" s="47" t="n">
        <x:v>34592.142857142855</x:v>
      </x:c>
      <x:c r="M1315" s="48" t="n">
        <x:v>173.192</x:v>
      </x:c>
      <x:c r="N1315" s="48" t="n">
        <x:v>148.21533333333335</x:v>
      </x:c>
      <x:c r="O1315" s="49" t="n">
        <x:v>5</x:v>
      </x:c>
      <x:c r="P1315" s="1" t="str">
        <x:v>中期入口と長短管理の統合</x:v>
      </x:c>
      <x:c r="Q1315" s="49" t="n">
        <x:v>0</x:v>
      </x:c>
      <x:c r="R1315" s="50" t="n">
        <x:v>0.3134540903540904</x:v>
      </x:c>
      <x:c r="S1315" s="50" t="n">
        <x:v>0.25002586594691856</x:v>
      </x:c>
      <x:c r="T1315" s="1" t="str">
        <x:v>下落</x:v>
      </x:c>
      <x:c r="U1315" s="49" t="n">
        <x:v>25</x:v>
      </x:c>
    </x:row>
    <x:row r="1316" ht="22" customHeight="1">
      <x:c r="A1316" s="1" t="str">
        <x:v>TOPIXmini</x:v>
      </x:c>
      <x:c r="B1316" s="1" t="str">
        <x:v>C08</x:v>
      </x:c>
      <x:c r="C1316" s="1" t="str">
        <x:v>対照47場</x:v>
      </x:c>
      <x:c r="D1316" s="47" t="n">
        <x:v>2239235</x:v>
      </x:c>
      <x:c r="E1316" s="47" t="n">
        <x:v>1399755</x:v>
      </x:c>
      <x:c r="F1316" s="47" t="n">
        <x:f>D1316-E1316</x:f>
        <x:v>839480</x:v>
      </x:c>
      <x:c r="G1316" s="49" t="n">
        <x:v>34</x:v>
      </x:c>
      <x:c r="H1316" s="49" t="n">
        <x:v>13</x:v>
      </x:c>
      <x:c r="I1316" s="47" t="n">
        <x:v>473893</x:v>
      </x:c>
      <x:c r="J1316" s="49" t="n">
        <x:v>168</x:v>
      </x:c>
      <x:c r="K1316" s="47" t="n">
        <x:v>-55410</x:v>
      </x:c>
      <x:c r="L1316" s="47" t="n">
        <x:v>25543.23076923077</x:v>
      </x:c>
      <x:c r="M1316" s="48" t="n">
        <x:v>200.03085106382977</x:v>
      </x:c>
      <x:c r="N1316" s="48" t="n">
        <x:v>138.38936170212764</x:v>
      </x:c>
      <x:c r="O1316" s="49" t="n">
        <x:v>5</x:v>
      </x:c>
      <x:c r="P1316" s="1" t="str">
        <x:v>中期入口と長短管理の統合</x:v>
      </x:c>
      <x:c r="Q1316" s="49" t="n">
        <x:v>0</x:v>
      </x:c>
      <x:c r="R1316" s="50" t="n">
        <x:v>0.29055919258046925</x:v>
      </x:c>
      <x:c r="S1316" s="50" t="n">
        <x:v>0.23213062098501072</x:v>
      </x:c>
      <x:c r="T1316" s="1" t="str">
        <x:v>全場</x:v>
      </x:c>
      <x:c r="U1316" s="49" t="n">
        <x:v>47</x:v>
      </x:c>
    </x:row>
    <x:row r="1317" ht="22" customHeight="1">
      <x:c r="A1317" s="1" t="str">
        <x:v>TOPIXmini</x:v>
      </x:c>
      <x:c r="B1317" s="1" t="str">
        <x:v>C08</x:v>
      </x:c>
      <x:c r="C1317" s="1" t="str">
        <x:v>対照47場</x:v>
      </x:c>
      <x:c r="D1317" s="47" t="n">
        <x:v>1304014</x:v>
      </x:c>
      <x:c r="E1317" s="47" t="n">
        <x:v>790483</x:v>
      </x:c>
      <x:c r="F1317" s="47" t="n">
        <x:f>D1317-E1317</x:f>
        <x:v>513531</x:v>
      </x:c>
      <x:c r="G1317" s="49" t="n">
        <x:v>15</x:v>
      </x:c>
      <x:c r="H1317" s="49" t="n">
        <x:v>9</x:v>
      </x:c>
      <x:c r="I1317" s="47" t="n">
        <x:v>200112</x:v>
      </x:c>
      <x:c r="J1317" s="49" t="n">
        <x:v>90</x:v>
      </x:c>
      <x:c r="K1317" s="47" t="n">
        <x:v>-55410</x:v>
      </x:c>
      <x:c r="L1317" s="47" t="n">
        <x:v>24135.333333333332</x:v>
      </x:c>
      <x:c r="M1317" s="48" t="n">
        <x:v>88.73472222222222</x:v>
      </x:c>
      <x:c r="N1317" s="48" t="n">
        <x:v>201.61944444444444</x:v>
      </x:c>
      <x:c r="O1317" s="49" t="n">
        <x:v>5</x:v>
      </x:c>
      <x:c r="P1317" s="1" t="str">
        <x:v>中期入口と長短管理の統合</x:v>
      </x:c>
      <x:c r="Q1317" s="49" t="n">
        <x:v>0</x:v>
      </x:c>
      <x:c r="R1317" s="50" t="n">
        <x:v>0.4800462962962963</x:v>
      </x:c>
      <x:c r="S1317" s="50" t="n">
        <x:v>0.4800462962962963</x:v>
      </x:c>
      <x:c r="T1317" s="1" t="str">
        <x:v>デイ</x:v>
      </x:c>
      <x:c r="U1317" s="49" t="n">
        <x:v>24</x:v>
      </x:c>
    </x:row>
    <x:row r="1318" ht="22" customHeight="1">
      <x:c r="A1318" s="1" t="str">
        <x:v>TOPIXmini</x:v>
      </x:c>
      <x:c r="B1318" s="1" t="str">
        <x:v>C08</x:v>
      </x:c>
      <x:c r="C1318" s="1" t="str">
        <x:v>対照47場</x:v>
      </x:c>
      <x:c r="D1318" s="47" t="n">
        <x:v>935221</x:v>
      </x:c>
      <x:c r="E1318" s="47" t="n">
        <x:v>609272</x:v>
      </x:c>
      <x:c r="F1318" s="47" t="n">
        <x:f>D1318-E1318</x:f>
        <x:v>325949</x:v>
      </x:c>
      <x:c r="G1318" s="49" t="n">
        <x:v>19</x:v>
      </x:c>
      <x:c r="H1318" s="49" t="n">
        <x:v>4</x:v>
      </x:c>
      <x:c r="I1318" s="47" t="n">
        <x:v>105208</x:v>
      </x:c>
      <x:c r="J1318" s="49" t="n">
        <x:v>78</x:v>
      </x:c>
      <x:c r="K1318" s="47" t="n">
        <x:v>-40836</x:v>
      </x:c>
      <x:c r="L1318" s="47" t="n">
        <x:v>28711</x:v>
      </x:c>
      <x:c r="M1318" s="48" t="n">
        <x:v>316.16594202898546</x:v>
      </x:c>
      <x:c r="N1318" s="48" t="n">
        <x:v>72.41014492753622</x:v>
      </x:c>
      <x:c r="O1318" s="49" t="n">
        <x:v>5</x:v>
      </x:c>
      <x:c r="P1318" s="1" t="str">
        <x:v>中期入口と長短管理の統合</x:v>
      </x:c>
      <x:c r="Q1318" s="49" t="n">
        <x:v>0</x:v>
      </x:c>
      <x:c r="R1318" s="50" t="n">
        <x:v>0.09283351913786694</x:v>
      </x:c>
      <x:c r="S1318" s="50" t="n">
        <x:v>0.09283351913786697</x:v>
      </x:c>
      <x:c r="T1318" s="1" t="str">
        <x:v>ナイト</x:v>
      </x:c>
      <x:c r="U1318" s="49" t="n">
        <x:v>23</x:v>
      </x:c>
    </x:row>
    <x:row r="1319" ht="22" customHeight="1">
      <x:c r="A1319" s="1" t="str">
        <x:v>TOPIXmini</x:v>
      </x:c>
      <x:c r="B1319" s="1" t="str">
        <x:v>C08</x:v>
      </x:c>
      <x:c r="C1319" s="1" t="str">
        <x:v>対照47場</x:v>
      </x:c>
      <x:c r="D1319" s="47" t="n">
        <x:v>1011159</x:v>
      </x:c>
      <x:c r="E1319" s="47" t="n">
        <x:v>704258</x:v>
      </x:c>
      <x:c r="F1319" s="47" t="n">
        <x:f>D1319-E1319</x:f>
        <x:v>306901</x:v>
      </x:c>
      <x:c r="G1319" s="49" t="n">
        <x:v>17</x:v>
      </x:c>
      <x:c r="H1319" s="49" t="n">
        <x:v>7</x:v>
      </x:c>
      <x:c r="I1319" s="47" t="n">
        <x:v>67234</x:v>
      </x:c>
      <x:c r="J1319" s="49" t="n">
        <x:v>74</x:v>
      </x:c>
      <x:c r="K1319" s="47" t="n">
        <x:v>-55410</x:v>
      </x:c>
      <x:c r="L1319" s="47" t="n">
        <x:v>29510.571428571428</x:v>
      </x:c>
      <x:c r="M1319" s="48" t="n">
        <x:v>216.12222222222223</x:v>
      </x:c>
      <x:c r="N1319" s="48" t="n">
        <x:v>127.41944444444444</x:v>
      </x:c>
      <x:c r="O1319" s="49" t="n">
        <x:v>5</x:v>
      </x:c>
      <x:c r="P1319" s="1" t="str">
        <x:v>中期入口と長短管理の統合</x:v>
      </x:c>
      <x:c r="Q1319" s="49" t="n">
        <x:v>0</x:v>
      </x:c>
      <x:c r="R1319" s="50" t="n">
        <x:v>0.26438390313390314</x:v>
      </x:c>
      <x:c r="S1319" s="50" t="n">
        <x:v>0.21236574074074074</x:v>
      </x:c>
      <x:c r="T1319" s="1" t="str">
        <x:v>上昇</x:v>
      </x:c>
      <x:c r="U1319" s="49" t="n">
        <x:v>24</x:v>
      </x:c>
    </x:row>
    <x:row r="1320" ht="22" customHeight="1">
      <x:c r="A1320" s="1" t="str">
        <x:v>TOPIXmini</x:v>
      </x:c>
      <x:c r="B1320" s="1" t="str">
        <x:v>C08</x:v>
      </x:c>
      <x:c r="C1320" s="1" t="str">
        <x:v>対照47場</x:v>
      </x:c>
      <x:c r="D1320" s="47" t="n">
        <x:v>1228076</x:v>
      </x:c>
      <x:c r="E1320" s="47" t="n">
        <x:v>695497</x:v>
      </x:c>
      <x:c r="F1320" s="47" t="n">
        <x:f>D1320-E1320</x:f>
        <x:v>532579</x:v>
      </x:c>
      <x:c r="G1320" s="49" t="n">
        <x:v>17</x:v>
      </x:c>
      <x:c r="H1320" s="49" t="n">
        <x:v>6</x:v>
      </x:c>
      <x:c r="I1320" s="47" t="n">
        <x:v>175494</x:v>
      </x:c>
      <x:c r="J1320" s="49" t="n">
        <x:v>94</x:v>
      </x:c>
      <x:c r="K1320" s="47" t="n">
        <x:v>-40836</x:v>
      </x:c>
      <x:c r="L1320" s="47" t="n">
        <x:v>20914.666666666668</x:v>
      </x:c>
      <x:c r="M1320" s="48" t="n">
        <x:v>183.23985507246377</x:v>
      </x:c>
      <x:c r="N1320" s="48" t="n">
        <x:v>149.83623188405798</x:v>
      </x:c>
      <x:c r="O1320" s="49" t="n">
        <x:v>5</x:v>
      </x:c>
      <x:c r="P1320" s="1" t="str">
        <x:v>中期入口と長短管理の統合</x:v>
      </x:c>
      <x:c r="Q1320" s="49" t="n">
        <x:v>0</x:v>
      </x:c>
      <x:c r="R1320" s="50" t="n">
        <x:v>0.3178725380899294</x:v>
      </x:c>
      <x:c r="S1320" s="50" t="n">
        <x:v>0.2530274106705825</x:v>
      </x:c>
      <x:c r="T1320" s="1" t="str">
        <x:v>下落</x:v>
      </x:c>
      <x:c r="U1320" s="49" t="n">
        <x:v>23</x:v>
      </x:c>
    </x:row>
    <x:row r="1321" ht="22" customHeight="1">
      <x:c r="A1321" s="1" t="str">
        <x:v>TOPIXmini</x:v>
      </x:c>
      <x:c r="B1321" s="1" t="str">
        <x:v>C08</x:v>
      </x:c>
      <x:c r="C1321" s="1" t="str">
        <x:v>診断3場</x:v>
      </x:c>
      <x:c r="D1321" s="47" t="n">
        <x:v>166668</x:v>
      </x:c>
      <x:c r="E1321" s="47" t="n">
        <x:v>218826</x:v>
      </x:c>
      <x:c r="F1321" s="47" t="n">
        <x:f>D1321-E1321</x:f>
        <x:v>-52158</x:v>
      </x:c>
      <x:c r="G1321" s="49" t="n">
        <x:v>2</x:v>
      </x:c>
      <x:c r="H1321" s="49" t="n">
        <x:v>1</x:v>
      </x:c>
      <x:c r="I1321" s="47" t="n">
        <x:v>-116657</x:v>
      </x:c>
      <x:c r="J1321" s="49" t="n">
        <x:v>23</x:v>
      </x:c>
      <x:c r="K1321" s="47" t="n">
        <x:v>-116657</x:v>
      </x:c>
      <x:c r="L1321" s="47" t="n">
        <x:v>116657</x:v>
      </x:c>
      <x:c r="M1321" s="48" t="n">
        <x:v>80.41666666666667</x:v>
      </x:c>
      <x:c r="N1321" s="48" t="n">
        <x:v>110.93888888888888</x:v>
      </x:c>
      <x:c r="O1321" s="49" t="n">
        <x:v>5</x:v>
      </x:c>
      <x:c r="P1321" s="1" t="str">
        <x:v>中期入口と長短管理の統合</x:v>
      </x:c>
      <x:c r="Q1321" s="49" t="n">
        <x:v>0</x:v>
      </x:c>
      <x:c r="R1321" s="50" t="n">
        <x:v>0.2065761090761091</x:v>
      </x:c>
      <x:c r="S1321" s="50" t="n">
        <x:v>0.1680892255892256</x:v>
      </x:c>
      <x:c r="T1321" s="1" t="str">
        <x:v>全場</x:v>
      </x:c>
      <x:c r="U1321" s="49" t="n">
        <x:v>3</x:v>
      </x:c>
    </x:row>
    <x:row r="1322" ht="22" customHeight="1">
      <x:c r="A1322" s="1" t="str">
        <x:v>TOPIXmini</x:v>
      </x:c>
      <x:c r="B1322" s="1" t="str">
        <x:v>C08</x:v>
      </x:c>
      <x:c r="C1322" s="1" t="str">
        <x:v>診断3場</x:v>
      </x:c>
      <x:c r="D1322" s="47" t="n">
        <x:v>49003</x:v>
      </x:c>
      <x:c r="E1322" s="47" t="n">
        <x:v>165660</x:v>
      </x:c>
      <x:c r="F1322" s="47" t="n">
        <x:f>D1322-E1322</x:f>
        <x:v>-116657</x:v>
      </x:c>
      <x:c r="G1322" s="49" t="n">
        <x:v>0</x:v>
      </x:c>
      <x:c r="H1322" s="49" t="n">
        <x:v>1</x:v>
      </x:c>
      <x:c r="I1322" s="47" t="n">
        <x:v>-116657</x:v>
      </x:c>
      <x:c r="J1322" s="49" t="n">
        <x:v>11</x:v>
      </x:c>
      <x:c r="K1322" s="47" t="n">
        <x:v>-116657</x:v>
      </x:c>
      <x:c r="L1322" s="47" t="n">
        <x:v>116657</x:v>
      </x:c>
      <x:c r="M1322" s="48" t="n">
        <x:v>43.95</x:v>
      </x:c>
      <x:c r="N1322" s="48" t="n">
        <x:v>175.66666666666666</x:v>
      </x:c>
      <x:c r="O1322" s="49" t="n">
        <x:v>5</x:v>
      </x:c>
      <x:c r="P1322" s="1" t="str">
        <x:v>中期入口と長短管理の統合</x:v>
      </x:c>
      <x:c r="Q1322" s="49" t="n">
        <x:v>0</x:v>
      </x:c>
      <x:c r="R1322" s="50" t="n">
        <x:v>0.41825396825396827</x:v>
      </x:c>
      <x:c r="S1322" s="50" t="n">
        <x:v>0.4182539682539682</x:v>
      </x:c>
      <x:c r="T1322" s="1" t="str">
        <x:v>デイ</x:v>
      </x:c>
      <x:c r="U1322" s="49" t="n">
        <x:v>1</x:v>
      </x:c>
    </x:row>
    <x:row r="1323" ht="22" customHeight="1">
      <x:c r="A1323" s="1" t="str">
        <x:v>TOPIXmini</x:v>
      </x:c>
      <x:c r="B1323" s="1" t="str">
        <x:v>C08</x:v>
      </x:c>
      <x:c r="C1323" s="1" t="str">
        <x:v>診断3場</x:v>
      </x:c>
      <x:c r="D1323" s="47" t="n">
        <x:v>117665</x:v>
      </x:c>
      <x:c r="E1323" s="47" t="n">
        <x:v>53166</x:v>
      </x:c>
      <x:c r="F1323" s="47" t="n">
        <x:f>D1323-E1323</x:f>
        <x:v>64499</x:v>
      </x:c>
      <x:c r="G1323" s="49" t="n">
        <x:v>2</x:v>
      </x:c>
      <x:c r="H1323" s="49" t="n">
        <x:v>0</x:v>
      </x:c>
      <x:c r="I1323" s="47" t="n">
        <x:v>0</x:v>
      </x:c>
      <x:c r="J1323" s="49" t="n">
        <x:v>12</x:v>
      </x:c>
      <x:c r="K1323" s="47" t="n">
        <x:v>30085</x:v>
      </x:c>
      <x:c r="L1323" s="47" t="n">
        <x:v>0</x:v>
      </x:c>
      <x:c r="M1323" s="48" t="n">
        <x:v>98.65</x:v>
      </x:c>
      <x:c r="N1323" s="48" t="n">
        <x:v>78.575</x:v>
      </x:c>
      <x:c r="O1323" s="49" t="n">
        <x:v>5</x:v>
      </x:c>
      <x:c r="P1323" s="1" t="str">
        <x:v>中期入口と長短管理の統合</x:v>
      </x:c>
      <x:c r="Q1323" s="49" t="n">
        <x:v>0</x:v>
      </x:c>
      <x:c r="R1323" s="50" t="n">
        <x:v>0.10073717948717949</x:v>
      </x:c>
      <x:c r="S1323" s="50" t="n">
        <x:v>0.10073717948717949</x:v>
      </x:c>
      <x:c r="T1323" s="1" t="str">
        <x:v>ナイト</x:v>
      </x:c>
      <x:c r="U1323" s="49" t="n">
        <x:v>2</x:v>
      </x:c>
    </x:row>
    <x:row r="1324" ht="22" customHeight="1">
      <x:c r="A1324" s="1" t="str">
        <x:v>TOPIXmini</x:v>
      </x:c>
      <x:c r="B1324" s="1" t="str">
        <x:v>C08</x:v>
      </x:c>
      <x:c r="C1324" s="1" t="str">
        <x:v>診断3場</x:v>
      </x:c>
      <x:c r="D1324" s="47" t="n">
        <x:v>39750</x:v>
      </x:c>
      <x:c r="E1324" s="47" t="n">
        <x:v>9665</x:v>
      </x:c>
      <x:c r="F1324" s="47" t="n">
        <x:f>D1324-E1324</x:f>
        <x:v>30085</x:v>
      </x:c>
      <x:c r="G1324" s="49" t="n">
        <x:v>1</x:v>
      </x:c>
      <x:c r="H1324" s="49" t="n">
        <x:v>0</x:v>
      </x:c>
      <x:c r="I1324" s="47" t="n">
        <x:v>0</x:v>
      </x:c>
      <x:c r="J1324" s="49" t="n">
        <x:v>4</x:v>
      </x:c>
      <x:c r="K1324" s="47" t="n">
        <x:v>30085</x:v>
      </x:c>
      <x:c r="L1324" s="47" t="n">
        <x:v>0</x:v>
      </x:c>
      <x:c r="M1324" s="48" t="n">
        <x:v>125.96666666666667</x:v>
      </x:c>
      <x:c r="N1324" s="48" t="n">
        <x:v>73.66666666666667</x:v>
      </x:c>
      <x:c r="O1324" s="49" t="n">
        <x:v>5</x:v>
      </x:c>
      <x:c r="P1324" s="1" t="str">
        <x:v>中期入口と長短管理の統合</x:v>
      </x:c>
      <x:c r="Q1324" s="49" t="n">
        <x:v>0</x:v>
      </x:c>
      <x:c r="R1324" s="50" t="n">
        <x:v>0.09444444444444444</x:v>
      </x:c>
      <x:c r="S1324" s="50" t="n">
        <x:v>0.09444444444444446</x:v>
      </x:c>
      <x:c r="T1324" s="1" t="str">
        <x:v>上昇</x:v>
      </x:c>
      <x:c r="U1324" s="49" t="n">
        <x:v>1</x:v>
      </x:c>
    </x:row>
    <x:row r="1325" ht="22" customHeight="1">
      <x:c r="A1325" s="1" t="str">
        <x:v>TOPIXmini</x:v>
      </x:c>
      <x:c r="B1325" s="1" t="str">
        <x:v>C08</x:v>
      </x:c>
      <x:c r="C1325" s="1" t="str">
        <x:v>診断3場</x:v>
      </x:c>
      <x:c r="D1325" s="47" t="n">
        <x:v>126918</x:v>
      </x:c>
      <x:c r="E1325" s="47" t="n">
        <x:v>209161</x:v>
      </x:c>
      <x:c r="F1325" s="47" t="n">
        <x:f>D1325-E1325</x:f>
        <x:v>-82243</x:v>
      </x:c>
      <x:c r="G1325" s="49" t="n">
        <x:v>1</x:v>
      </x:c>
      <x:c r="H1325" s="49" t="n">
        <x:v>1</x:v>
      </x:c>
      <x:c r="I1325" s="47" t="n">
        <x:v>-116657</x:v>
      </x:c>
      <x:c r="J1325" s="49" t="n">
        <x:v>19</x:v>
      </x:c>
      <x:c r="K1325" s="47" t="n">
        <x:v>-116657</x:v>
      </x:c>
      <x:c r="L1325" s="47" t="n">
        <x:v>116657</x:v>
      </x:c>
      <x:c r="M1325" s="48" t="n">
        <x:v>57.641666666666666</x:v>
      </x:c>
      <x:c r="N1325" s="48" t="n">
        <x:v>129.575</x:v>
      </x:c>
      <x:c r="O1325" s="49" t="n">
        <x:v>5</x:v>
      </x:c>
      <x:c r="P1325" s="1" t="str">
        <x:v>中期入口と長短管理の統合</x:v>
      </x:c>
      <x:c r="Q1325" s="49" t="n">
        <x:v>0</x:v>
      </x:c>
      <x:c r="R1325" s="50" t="n">
        <x:v>0.2626419413919414</x:v>
      </x:c>
      <x:c r="S1325" s="50" t="n">
        <x:v>0.2159583333333333</x:v>
      </x:c>
      <x:c r="T1325" s="1" t="str">
        <x:v>下落</x:v>
      </x:c>
      <x:c r="U1325" s="49" t="n">
        <x:v>2</x:v>
      </x:c>
    </x:row>
    <x:row r="1326" ht="22" customHeight="1">
      <x:c r="A1326" s="1" t="str">
        <x:v>TOPIXmini</x:v>
      </x:c>
      <x:c r="B1326" s="1" t="str">
        <x:v>C09</x:v>
      </x:c>
      <x:c r="C1326" s="1" t="str">
        <x:v>全50場</x:v>
      </x:c>
      <x:c r="D1326" s="47" t="n">
        <x:v>2342567</x:v>
      </x:c>
      <x:c r="E1326" s="47" t="n">
        <x:v>1628358</x:v>
      </x:c>
      <x:c r="F1326" s="47" t="n">
        <x:f>D1326-E1326</x:f>
        <x:v>714209</x:v>
      </x:c>
      <x:c r="G1326" s="49" t="n">
        <x:v>38</x:v>
      </x:c>
      <x:c r="H1326" s="49" t="n">
        <x:v>12</x:v>
      </x:c>
      <x:c r="I1326" s="47" t="n">
        <x:v>369124</x:v>
      </x:c>
      <x:c r="J1326" s="49" t="n">
        <x:v>179</x:v>
      </x:c>
      <x:c r="K1326" s="47" t="n">
        <x:v>-84406</x:v>
      </x:c>
      <x:c r="L1326" s="47" t="n">
        <x:v>45040.583333333336</x:v>
      </x:c>
      <x:c r="M1326" s="48" t="n">
        <x:v>199.58066666666664</x:v>
      </x:c>
      <x:c r="N1326" s="48" t="n">
        <x:v>130.65500000000003</x:v>
      </x:c>
      <x:c r="O1326" s="49" t="n">
        <x:v>5</x:v>
      </x:c>
      <x:c r="P1326" s="1" t="str">
        <x:v>合意入口と原板管理の統合</x:v>
      </x:c>
      <x:c r="Q1326" s="49" t="n">
        <x:v>0</x:v>
      </x:c>
      <x:c r="R1326" s="50" t="n">
        <x:v>0.2731818681318681</x:v>
      </x:c>
      <x:c r="S1326" s="50" t="n">
        <x:v>0.21775833333333333</x:v>
      </x:c>
      <x:c r="T1326" s="1" t="str">
        <x:v>全場</x:v>
      </x:c>
      <x:c r="U1326" s="49" t="n">
        <x:v>50</x:v>
      </x:c>
    </x:row>
    <x:row r="1327" ht="22" customHeight="1">
      <x:c r="A1327" s="1" t="str">
        <x:v>TOPIXmini</x:v>
      </x:c>
      <x:c r="B1327" s="1" t="str">
        <x:v>C09</x:v>
      </x:c>
      <x:c r="C1327" s="1" t="str">
        <x:v>全50場</x:v>
      </x:c>
      <x:c r="D1327" s="47" t="n">
        <x:v>1313017</x:v>
      </x:c>
      <x:c r="E1327" s="47" t="n">
        <x:v>980748</x:v>
      </x:c>
      <x:c r="F1327" s="47" t="n">
        <x:f>D1327-E1327</x:f>
        <x:v>332269</x:v>
      </x:c>
      <x:c r="G1327" s="49" t="n">
        <x:v>16</x:v>
      </x:c>
      <x:c r="H1327" s="49" t="n">
        <x:v>9</x:v>
      </x:c>
      <x:c r="I1327" s="47" t="n">
        <x:v>10686</x:v>
      </x:c>
      <x:c r="J1327" s="49" t="n">
        <x:v>95</x:v>
      </x:c>
      <x:c r="K1327" s="47" t="n">
        <x:v>-84406</x:v>
      </x:c>
      <x:c r="L1327" s="47" t="n">
        <x:v>47201.22222222222</x:v>
      </x:c>
      <x:c r="M1327" s="48" t="n">
        <x:v>87.76199999999999</x:v>
      </x:c>
      <x:c r="N1327" s="48" t="n">
        <x:v>192.32933333333335</x:v>
      </x:c>
      <x:c r="O1327" s="49" t="n">
        <x:v>5</x:v>
      </x:c>
      <x:c r="P1327" s="1" t="str">
        <x:v>合意入口と原板管理の統合</x:v>
      </x:c>
      <x:c r="Q1327" s="49" t="n">
        <x:v>0</x:v>
      </x:c>
      <x:c r="R1327" s="50" t="n">
        <x:v>0.4579269841269841</x:v>
      </x:c>
      <x:c r="S1327" s="50" t="n">
        <x:v>0.4579269841269841</x:v>
      </x:c>
      <x:c r="T1327" s="1" t="str">
        <x:v>デイ</x:v>
      </x:c>
      <x:c r="U1327" s="49" t="n">
        <x:v>25</x:v>
      </x:c>
    </x:row>
    <x:row r="1328" ht="22" customHeight="1">
      <x:c r="A1328" s="1" t="str">
        <x:v>TOPIXmini</x:v>
      </x:c>
      <x:c r="B1328" s="1" t="str">
        <x:v>C09</x:v>
      </x:c>
      <x:c r="C1328" s="1" t="str">
        <x:v>全50場</x:v>
      </x:c>
      <x:c r="D1328" s="47" t="n">
        <x:v>1029550</x:v>
      </x:c>
      <x:c r="E1328" s="47" t="n">
        <x:v>647610</x:v>
      </x:c>
      <x:c r="F1328" s="47" t="n">
        <x:f>D1328-E1328</x:f>
        <x:v>381940</x:v>
      </x:c>
      <x:c r="G1328" s="49" t="n">
        <x:v>22</x:v>
      </x:c>
      <x:c r="H1328" s="49" t="n">
        <x:v>3</x:v>
      </x:c>
      <x:c r="I1328" s="47" t="n">
        <x:v>181701</x:v>
      </x:c>
      <x:c r="J1328" s="49" t="n">
        <x:v>84</x:v>
      </x:c>
      <x:c r="K1328" s="47" t="n">
        <x:v>-40836</x:v>
      </x:c>
      <x:c r="L1328" s="47" t="n">
        <x:v>38558.666666666664</x:v>
      </x:c>
      <x:c r="M1328" s="48" t="n">
        <x:v>311.3993333333333</x:v>
      </x:c>
      <x:c r="N1328" s="48" t="n">
        <x:v>68.98066666666666</x:v>
      </x:c>
      <x:c r="O1328" s="49" t="n">
        <x:v>5</x:v>
      </x:c>
      <x:c r="P1328" s="1" t="str">
        <x:v>合意入口と原板管理の統合</x:v>
      </x:c>
      <x:c r="Q1328" s="49" t="n">
        <x:v>0</x:v>
      </x:c>
      <x:c r="R1328" s="50" t="n">
        <x:v>0.08843675213675213</x:v>
      </x:c>
      <x:c r="S1328" s="50" t="n">
        <x:v>0.08843675213675213</x:v>
      </x:c>
      <x:c r="T1328" s="1" t="str">
        <x:v>ナイト</x:v>
      </x:c>
      <x:c r="U1328" s="49" t="n">
        <x:v>25</x:v>
      </x:c>
    </x:row>
    <x:row r="1329" ht="22" customHeight="1">
      <x:c r="A1329" s="1" t="str">
        <x:v>TOPIXmini</x:v>
      </x:c>
      <x:c r="B1329" s="1" t="str">
        <x:v>C09</x:v>
      </x:c>
      <x:c r="C1329" s="1" t="str">
        <x:v>全50場</x:v>
      </x:c>
      <x:c r="D1329" s="47" t="n">
        <x:v>1037740</x:v>
      </x:c>
      <x:c r="E1329" s="47" t="n">
        <x:v>831774</x:v>
      </x:c>
      <x:c r="F1329" s="47" t="n">
        <x:f>D1329-E1329</x:f>
        <x:v>205966</x:v>
      </x:c>
      <x:c r="G1329" s="49" t="n">
        <x:v>18</x:v>
      </x:c>
      <x:c r="H1329" s="49" t="n">
        <x:v>7</x:v>
      </x:c>
      <x:c r="I1329" s="47" t="n">
        <x:v>-33701</x:v>
      </x:c>
      <x:c r="J1329" s="49" t="n">
        <x:v>78</x:v>
      </x:c>
      <x:c r="K1329" s="47" t="n">
        <x:v>-81168</x:v>
      </x:c>
      <x:c r="L1329" s="47" t="n">
        <x:v>49394</x:v>
      </x:c>
      <x:c r="M1329" s="48" t="n">
        <x:v>213.88866666666664</x:v>
      </x:c>
      <x:c r="N1329" s="48" t="n">
        <x:v>118.98999999999998</x:v>
      </x:c>
      <x:c r="O1329" s="49" t="n">
        <x:v>5</x:v>
      </x:c>
      <x:c r="P1329" s="1" t="str">
        <x:v>合意入口と原板管理の統合</x:v>
      </x:c>
      <x:c r="Q1329" s="49" t="n">
        <x:v>0</x:v>
      </x:c>
      <x:c r="R1329" s="50" t="n">
        <x:v>0.2433212454212454</x:v>
      </x:c>
      <x:c r="S1329" s="50" t="n">
        <x:v>0.19596508563899867</x:v>
      </x:c>
      <x:c r="T1329" s="1" t="str">
        <x:v>上昇</x:v>
      </x:c>
      <x:c r="U1329" s="49" t="n">
        <x:v>25</x:v>
      </x:c>
    </x:row>
    <x:row r="1330" ht="22" customHeight="1">
      <x:c r="A1330" s="1" t="str">
        <x:v>TOPIXmini</x:v>
      </x:c>
      <x:c r="B1330" s="1" t="str">
        <x:v>C09</x:v>
      </x:c>
      <x:c r="C1330" s="1" t="str">
        <x:v>全50場</x:v>
      </x:c>
      <x:c r="D1330" s="47" t="n">
        <x:v>1304827</x:v>
      </x:c>
      <x:c r="E1330" s="47" t="n">
        <x:v>796584</x:v>
      </x:c>
      <x:c r="F1330" s="47" t="n">
        <x:f>D1330-E1330</x:f>
        <x:v>508243</x:v>
      </x:c>
      <x:c r="G1330" s="49" t="n">
        <x:v>20</x:v>
      </x:c>
      <x:c r="H1330" s="49" t="n">
        <x:v>5</x:v>
      </x:c>
      <x:c r="I1330" s="47" t="n">
        <x:v>163330</x:v>
      </x:c>
      <x:c r="J1330" s="49" t="n">
        <x:v>101</x:v>
      </x:c>
      <x:c r="K1330" s="47" t="n">
        <x:v>-84406</x:v>
      </x:c>
      <x:c r="L1330" s="47" t="n">
        <x:v>38945.8</x:v>
      </x:c>
      <x:c r="M1330" s="48" t="n">
        <x:v>185.27266666666665</x:v>
      </x:c>
      <x:c r="N1330" s="48" t="n">
        <x:v>142.32000000000002</x:v>
      </x:c>
      <x:c r="O1330" s="49" t="n">
        <x:v>5</x:v>
      </x:c>
      <x:c r="P1330" s="1" t="str">
        <x:v>合意入口と原板管理の統合</x:v>
      </x:c>
      <x:c r="Q1330" s="49" t="n">
        <x:v>0</x:v>
      </x:c>
      <x:c r="R1330" s="50" t="n">
        <x:v>0.30304249084249085</x:v>
      </x:c>
      <x:c r="S1330" s="50" t="n">
        <x:v>0.24008097165991904</x:v>
      </x:c>
      <x:c r="T1330" s="1" t="str">
        <x:v>下落</x:v>
      </x:c>
      <x:c r="U1330" s="49" t="n">
        <x:v>25</x:v>
      </x:c>
    </x:row>
    <x:row r="1331" ht="22" customHeight="1">
      <x:c r="A1331" s="1" t="str">
        <x:v>TOPIXmini</x:v>
      </x:c>
      <x:c r="B1331" s="1" t="str">
        <x:v>C09</x:v>
      </x:c>
      <x:c r="C1331" s="1" t="str">
        <x:v>対照47場</x:v>
      </x:c>
      <x:c r="D1331" s="47" t="n">
        <x:v>2210731</x:v>
      </x:c>
      <x:c r="E1331" s="47" t="n">
        <x:v>1476615</x:v>
      </x:c>
      <x:c r="F1331" s="47" t="n">
        <x:f>D1331-E1331</x:f>
        <x:v>734116</x:v>
      </x:c>
      <x:c r="G1331" s="49" t="n">
        <x:v>36</x:v>
      </x:c>
      <x:c r="H1331" s="49" t="n">
        <x:v>11</x:v>
      </x:c>
      <x:c r="I1331" s="47" t="n">
        <x:v>389031</x:v>
      </x:c>
      <x:c r="J1331" s="49" t="n">
        <x:v>158</x:v>
      </x:c>
      <x:c r="K1331" s="47" t="n">
        <x:v>-81168</x:v>
      </x:c>
      <x:c r="L1331" s="47" t="n">
        <x:v>41461.90909090909</x:v>
      </x:c>
      <x:c r="M1331" s="48" t="n">
        <x:v>207.18687943262407</x:v>
      </x:c>
      <x:c r="N1331" s="48" t="n">
        <x:v>130.2464539007092</x:v>
      </x:c>
      <x:c r="O1331" s="49" t="n">
        <x:v>5</x:v>
      </x:c>
      <x:c r="P1331" s="1" t="str">
        <x:v>合意入口と原板管理の統合</x:v>
      </x:c>
      <x:c r="Q1331" s="49" t="n">
        <x:v>0</x:v>
      </x:c>
      <x:c r="R1331" s="50" t="n">
        <x:v>0.27346420128335025</x:v>
      </x:c>
      <x:c r="S1331" s="50" t="n">
        <x:v>0.2184719248156079</x:v>
      </x:c>
      <x:c r="T1331" s="1" t="str">
        <x:v>全場</x:v>
      </x:c>
      <x:c r="U1331" s="49" t="n">
        <x:v>47</x:v>
      </x:c>
    </x:row>
    <x:row r="1332" ht="22" customHeight="1">
      <x:c r="A1332" s="1" t="str">
        <x:v>TOPIXmini</x:v>
      </x:c>
      <x:c r="B1332" s="1" t="str">
        <x:v>C09</x:v>
      </x:c>
      <x:c r="C1332" s="1" t="str">
        <x:v>対照47場</x:v>
      </x:c>
      <x:c r="D1332" s="47" t="n">
        <x:v>1298846</x:v>
      </x:c>
      <x:c r="E1332" s="47" t="n">
        <x:v>882171</x:v>
      </x:c>
      <x:c r="F1332" s="47" t="n">
        <x:f>D1332-E1332</x:f>
        <x:v>416675</x:v>
      </x:c>
      <x:c r="G1332" s="49" t="n">
        <x:v>16</x:v>
      </x:c>
      <x:c r="H1332" s="49" t="n">
        <x:v>8</x:v>
      </x:c>
      <x:c r="I1332" s="47" t="n">
        <x:v>95092</x:v>
      </x:c>
      <x:c r="J1332" s="49" t="n">
        <x:v>86</x:v>
      </x:c>
      <x:c r="K1332" s="47" t="n">
        <x:v>-81168</x:v>
      </x:c>
      <x:c r="L1332" s="47" t="n">
        <x:v>42550.625</x:v>
      </x:c>
      <x:c r="M1332" s="48" t="n">
        <x:v>89.58749999999999</x:v>
      </x:c>
      <x:c r="N1332" s="48" t="n">
        <x:v>189.7590277777778</x:v>
      </x:c>
      <x:c r="O1332" s="49" t="n">
        <x:v>5</x:v>
      </x:c>
      <x:c r="P1332" s="1" t="str">
        <x:v>合意入口と原板管理の統合</x:v>
      </x:c>
      <x:c r="Q1332" s="49" t="n">
        <x:v>0</x:v>
      </x:c>
      <x:c r="R1332" s="50" t="n">
        <x:v>0.451807208994709</x:v>
      </x:c>
      <x:c r="S1332" s="50" t="n">
        <x:v>0.45180720899470894</x:v>
      </x:c>
      <x:c r="T1332" s="1" t="str">
        <x:v>デイ</x:v>
      </x:c>
      <x:c r="U1332" s="49" t="n">
        <x:v>24</x:v>
      </x:c>
    </x:row>
    <x:row r="1333" ht="22" customHeight="1">
      <x:c r="A1333" s="1" t="str">
        <x:v>TOPIXmini</x:v>
      </x:c>
      <x:c r="B1333" s="1" t="str">
        <x:v>C09</x:v>
      </x:c>
      <x:c r="C1333" s="1" t="str">
        <x:v>対照47場</x:v>
      </x:c>
      <x:c r="D1333" s="47" t="n">
        <x:v>911885</x:v>
      </x:c>
      <x:c r="E1333" s="47" t="n">
        <x:v>594444</x:v>
      </x:c>
      <x:c r="F1333" s="47" t="n">
        <x:f>D1333-E1333</x:f>
        <x:v>317441</x:v>
      </x:c>
      <x:c r="G1333" s="49" t="n">
        <x:v>20</x:v>
      </x:c>
      <x:c r="H1333" s="49" t="n">
        <x:v>3</x:v>
      </x:c>
      <x:c r="I1333" s="47" t="n">
        <x:v>117202</x:v>
      </x:c>
      <x:c r="J1333" s="49" t="n">
        <x:v>72</x:v>
      </x:c>
      <x:c r="K1333" s="47" t="n">
        <x:v>-40836</x:v>
      </x:c>
      <x:c r="L1333" s="47" t="n">
        <x:v>38558.666666666664</x:v>
      </x:c>
      <x:c r="M1333" s="48" t="n">
        <x:v>329.8992753623188</x:v>
      </x:c>
      <x:c r="N1333" s="48" t="n">
        <x:v>68.1463768115942</x:v>
      </x:c>
      <x:c r="O1333" s="49" t="n">
        <x:v>5</x:v>
      </x:c>
      <x:c r="P1333" s="1" t="str">
        <x:v>合意入口と原板管理の統合</x:v>
      </x:c>
      <x:c r="Q1333" s="49" t="n">
        <x:v>0</x:v>
      </x:c>
      <x:c r="R1333" s="50" t="n">
        <x:v>0.08736714975845411</x:v>
      </x:c>
      <x:c r="S1333" s="50" t="n">
        <x:v>0.0873671497584541</x:v>
      </x:c>
      <x:c r="T1333" s="1" t="str">
        <x:v>ナイト</x:v>
      </x:c>
      <x:c r="U1333" s="49" t="n">
        <x:v>23</x:v>
      </x:c>
    </x:row>
    <x:row r="1334" ht="22" customHeight="1">
      <x:c r="A1334" s="1" t="str">
        <x:v>TOPIXmini</x:v>
      </x:c>
      <x:c r="B1334" s="1" t="str">
        <x:v>C09</x:v>
      </x:c>
      <x:c r="C1334" s="1" t="str">
        <x:v>対照47場</x:v>
      </x:c>
      <x:c r="D1334" s="47" t="n">
        <x:v>997990</x:v>
      </x:c>
      <x:c r="E1334" s="47" t="n">
        <x:v>822109</x:v>
      </x:c>
      <x:c r="F1334" s="47" t="n">
        <x:f>D1334-E1334</x:f>
        <x:v>175881</x:v>
      </x:c>
      <x:c r="G1334" s="49" t="n">
        <x:v>17</x:v>
      </x:c>
      <x:c r="H1334" s="49" t="n">
        <x:v>7</x:v>
      </x:c>
      <x:c r="I1334" s="47" t="n">
        <x:v>-63786</x:v>
      </x:c>
      <x:c r="J1334" s="49" t="n">
        <x:v>74</x:v>
      </x:c>
      <x:c r="K1334" s="47" t="n">
        <x:v>-81168</x:v>
      </x:c>
      <x:c r="L1334" s="47" t="n">
        <x:v>49394</x:v>
      </x:c>
      <x:c r="M1334" s="48" t="n">
        <x:v>217.55208333333334</x:v>
      </x:c>
      <x:c r="N1334" s="48" t="n">
        <x:v>120.87847222222221</x:v>
      </x:c>
      <x:c r="O1334" s="49" t="n">
        <x:v>5</x:v>
      </x:c>
      <x:c r="P1334" s="1" t="str">
        <x:v>合意入口と原板管理の統合</x:v>
      </x:c>
      <x:c r="Q1334" s="49" t="n">
        <x:v>0</x:v>
      </x:c>
      <x:c r="R1334" s="50" t="n">
        <x:v>0.24952444546194544</x:v>
      </x:c>
      <x:c r="S1334" s="50" t="n">
        <x:v>0.20146412037037037</x:v>
      </x:c>
      <x:c r="T1334" s="1" t="str">
        <x:v>上昇</x:v>
      </x:c>
      <x:c r="U1334" s="49" t="n">
        <x:v>24</x:v>
      </x:c>
    </x:row>
    <x:row r="1335" ht="22" customHeight="1">
      <x:c r="A1335" s="1" t="str">
        <x:v>TOPIXmini</x:v>
      </x:c>
      <x:c r="B1335" s="1" t="str">
        <x:v>C09</x:v>
      </x:c>
      <x:c r="C1335" s="1" t="str">
        <x:v>対照47場</x:v>
      </x:c>
      <x:c r="D1335" s="47" t="n">
        <x:v>1212741</x:v>
      </x:c>
      <x:c r="E1335" s="47" t="n">
        <x:v>654506</x:v>
      </x:c>
      <x:c r="F1335" s="47" t="n">
        <x:f>D1335-E1335</x:f>
        <x:v>558235</x:v>
      </x:c>
      <x:c r="G1335" s="49" t="n">
        <x:v>19</x:v>
      </x:c>
      <x:c r="H1335" s="49" t="n">
        <x:v>4</x:v>
      </x:c>
      <x:c r="I1335" s="47" t="n">
        <x:v>213322</x:v>
      </x:c>
      <x:c r="J1335" s="49" t="n">
        <x:v>84</x:v>
      </x:c>
      <x:c r="K1335" s="47" t="n">
        <x:v>-40836</x:v>
      </x:c>
      <x:c r="L1335" s="47" t="n">
        <x:v>27580.75</x:v>
      </x:c>
      <x:c r="M1335" s="48" t="n">
        <x:v>196.37101449275363</x:v>
      </x:c>
      <x:c r="N1335" s="48" t="n">
        <x:v>140.02173913043475</x:v>
      </x:c>
      <x:c r="O1335" s="49" t="n">
        <x:v>5</x:v>
      </x:c>
      <x:c r="P1335" s="1" t="str">
        <x:v>合意入口と原板管理の統合</x:v>
      </x:c>
      <x:c r="Q1335" s="49" t="n">
        <x:v>0</x:v>
      </x:c>
      <x:c r="R1335" s="50" t="n">
        <x:v>0.29844481605351175</x:v>
      </x:c>
      <x:c r="S1335" s="50" t="n">
        <x:v>0.23645374449339207</x:v>
      </x:c>
      <x:c r="T1335" s="1" t="str">
        <x:v>下落</x:v>
      </x:c>
      <x:c r="U1335" s="49" t="n">
        <x:v>23</x:v>
      </x:c>
    </x:row>
    <x:row r="1336" ht="22" customHeight="1">
      <x:c r="A1336" s="1" t="str">
        <x:v>TOPIXmini</x:v>
      </x:c>
      <x:c r="B1336" s="1" t="str">
        <x:v>C09</x:v>
      </x:c>
      <x:c r="C1336" s="1" t="str">
        <x:v>診断3場</x:v>
      </x:c>
      <x:c r="D1336" s="47" t="n">
        <x:v>131836</x:v>
      </x:c>
      <x:c r="E1336" s="47" t="n">
        <x:v>151743</x:v>
      </x:c>
      <x:c r="F1336" s="47" t="n">
        <x:f>D1336-E1336</x:f>
        <x:v>-19907</x:v>
      </x:c>
      <x:c r="G1336" s="49" t="n">
        <x:v>2</x:v>
      </x:c>
      <x:c r="H1336" s="49" t="n">
        <x:v>1</x:v>
      </x:c>
      <x:c r="I1336" s="47" t="n">
        <x:v>-84406</x:v>
      </x:c>
      <x:c r="J1336" s="49" t="n">
        <x:v>21</x:v>
      </x:c>
      <x:c r="K1336" s="47" t="n">
        <x:v>-84406</x:v>
      </x:c>
      <x:c r="L1336" s="47" t="n">
        <x:v>84406</x:v>
      </x:c>
      <x:c r="M1336" s="48" t="n">
        <x:v>80.41666666666667</x:v>
      </x:c>
      <x:c r="N1336" s="48" t="n">
        <x:v>137.05555555555557</x:v>
      </x:c>
      <x:c r="O1336" s="49" t="n">
        <x:v>5</x:v>
      </x:c>
      <x:c r="P1336" s="1" t="str">
        <x:v>合意入口と原板管理の統合</x:v>
      </x:c>
      <x:c r="Q1336" s="49" t="n">
        <x:v>0</x:v>
      </x:c>
      <x:c r="R1336" s="50" t="n">
        <x:v>0.26875864875864874</x:v>
      </x:c>
      <x:c r="S1336" s="50" t="n">
        <x:v>0.20765993265993268</x:v>
      </x:c>
      <x:c r="T1336" s="1" t="str">
        <x:v>全場</x:v>
      </x:c>
      <x:c r="U1336" s="49" t="n">
        <x:v>3</x:v>
      </x:c>
    </x:row>
    <x:row r="1337" ht="22" customHeight="1">
      <x:c r="A1337" s="1" t="str">
        <x:v>TOPIXmini</x:v>
      </x:c>
      <x:c r="B1337" s="1" t="str">
        <x:v>C09</x:v>
      </x:c>
      <x:c r="C1337" s="1" t="str">
        <x:v>診断3場</x:v>
      </x:c>
      <x:c r="D1337" s="47" t="n">
        <x:v>14171</x:v>
      </x:c>
      <x:c r="E1337" s="47" t="n">
        <x:v>98577</x:v>
      </x:c>
      <x:c r="F1337" s="47" t="n">
        <x:f>D1337-E1337</x:f>
        <x:v>-84406</x:v>
      </x:c>
      <x:c r="G1337" s="49" t="n">
        <x:v>0</x:v>
      </x:c>
      <x:c r="H1337" s="49" t="n">
        <x:v>1</x:v>
      </x:c>
      <x:c r="I1337" s="47" t="n">
        <x:v>-84406</x:v>
      </x:c>
      <x:c r="J1337" s="49" t="n">
        <x:v>9</x:v>
      </x:c>
      <x:c r="K1337" s="47" t="n">
        <x:v>-84406</x:v>
      </x:c>
      <x:c r="L1337" s="47" t="n">
        <x:v>84406</x:v>
      </x:c>
      <x:c r="M1337" s="48" t="n">
        <x:v>43.95</x:v>
      </x:c>
      <x:c r="N1337" s="48" t="n">
        <x:v>254.01666666666668</x:v>
      </x:c>
      <x:c r="O1337" s="49" t="n">
        <x:v>5</x:v>
      </x:c>
      <x:c r="P1337" s="1" t="str">
        <x:v>合意入口と原板管理の統合</x:v>
      </x:c>
      <x:c r="Q1337" s="49" t="n">
        <x:v>0</x:v>
      </x:c>
      <x:c r="R1337" s="50" t="n">
        <x:v>0.6048015873015873</x:v>
      </x:c>
      <x:c r="S1337" s="50" t="n">
        <x:v>0.6048015873015873</x:v>
      </x:c>
      <x:c r="T1337" s="1" t="str">
        <x:v>デイ</x:v>
      </x:c>
      <x:c r="U1337" s="49" t="n">
        <x:v>1</x:v>
      </x:c>
    </x:row>
    <x:row r="1338" ht="22" customHeight="1">
      <x:c r="A1338" s="1" t="str">
        <x:v>TOPIXmini</x:v>
      </x:c>
      <x:c r="B1338" s="1" t="str">
        <x:v>C09</x:v>
      </x:c>
      <x:c r="C1338" s="1" t="str">
        <x:v>診断3場</x:v>
      </x:c>
      <x:c r="D1338" s="47" t="n">
        <x:v>117665</x:v>
      </x:c>
      <x:c r="E1338" s="47" t="n">
        <x:v>53166</x:v>
      </x:c>
      <x:c r="F1338" s="47" t="n">
        <x:f>D1338-E1338</x:f>
        <x:v>64499</x:v>
      </x:c>
      <x:c r="G1338" s="49" t="n">
        <x:v>2</x:v>
      </x:c>
      <x:c r="H1338" s="49" t="n">
        <x:v>0</x:v>
      </x:c>
      <x:c r="I1338" s="47" t="n">
        <x:v>0</x:v>
      </x:c>
      <x:c r="J1338" s="49" t="n">
        <x:v>12</x:v>
      </x:c>
      <x:c r="K1338" s="47" t="n">
        <x:v>30085</x:v>
      </x:c>
      <x:c r="L1338" s="47" t="n">
        <x:v>0</x:v>
      </x:c>
      <x:c r="M1338" s="48" t="n">
        <x:v>98.65</x:v>
      </x:c>
      <x:c r="N1338" s="48" t="n">
        <x:v>78.575</x:v>
      </x:c>
      <x:c r="O1338" s="49" t="n">
        <x:v>5</x:v>
      </x:c>
      <x:c r="P1338" s="1" t="str">
        <x:v>合意入口と原板管理の統合</x:v>
      </x:c>
      <x:c r="Q1338" s="49" t="n">
        <x:v>0</x:v>
      </x:c>
      <x:c r="R1338" s="50" t="n">
        <x:v>0.10073717948717949</x:v>
      </x:c>
      <x:c r="S1338" s="50" t="n">
        <x:v>0.10073717948717949</x:v>
      </x:c>
      <x:c r="T1338" s="1" t="str">
        <x:v>ナイト</x:v>
      </x:c>
      <x:c r="U1338" s="49" t="n">
        <x:v>2</x:v>
      </x:c>
    </x:row>
    <x:row r="1339" ht="22" customHeight="1">
      <x:c r="A1339" s="1" t="str">
        <x:v>TOPIXmini</x:v>
      </x:c>
      <x:c r="B1339" s="1" t="str">
        <x:v>C09</x:v>
      </x:c>
      <x:c r="C1339" s="1" t="str">
        <x:v>診断3場</x:v>
      </x:c>
      <x:c r="D1339" s="47" t="n">
        <x:v>39750</x:v>
      </x:c>
      <x:c r="E1339" s="47" t="n">
        <x:v>9665</x:v>
      </x:c>
      <x:c r="F1339" s="47" t="n">
        <x:f>D1339-E1339</x:f>
        <x:v>30085</x:v>
      </x:c>
      <x:c r="G1339" s="49" t="n">
        <x:v>1</x:v>
      </x:c>
      <x:c r="H1339" s="49" t="n">
        <x:v>0</x:v>
      </x:c>
      <x:c r="I1339" s="47" t="n">
        <x:v>0</x:v>
      </x:c>
      <x:c r="J1339" s="49" t="n">
        <x:v>4</x:v>
      </x:c>
      <x:c r="K1339" s="47" t="n">
        <x:v>30085</x:v>
      </x:c>
      <x:c r="L1339" s="47" t="n">
        <x:v>0</x:v>
      </x:c>
      <x:c r="M1339" s="48" t="n">
        <x:v>125.96666666666667</x:v>
      </x:c>
      <x:c r="N1339" s="48" t="n">
        <x:v>73.66666666666667</x:v>
      </x:c>
      <x:c r="O1339" s="49" t="n">
        <x:v>5</x:v>
      </x:c>
      <x:c r="P1339" s="1" t="str">
        <x:v>合意入口と原板管理の統合</x:v>
      </x:c>
      <x:c r="Q1339" s="49" t="n">
        <x:v>0</x:v>
      </x:c>
      <x:c r="R1339" s="50" t="n">
        <x:v>0.09444444444444444</x:v>
      </x:c>
      <x:c r="S1339" s="50" t="n">
        <x:v>0.09444444444444446</x:v>
      </x:c>
      <x:c r="T1339" s="1" t="str">
        <x:v>上昇</x:v>
      </x:c>
      <x:c r="U1339" s="49" t="n">
        <x:v>1</x:v>
      </x:c>
    </x:row>
    <x:row r="1340" ht="22" customHeight="1">
      <x:c r="A1340" s="1" t="str">
        <x:v>TOPIXmini</x:v>
      </x:c>
      <x:c r="B1340" s="1" t="str">
        <x:v>C09</x:v>
      </x:c>
      <x:c r="C1340" s="1" t="str">
        <x:v>診断3場</x:v>
      </x:c>
      <x:c r="D1340" s="47" t="n">
        <x:v>92086</x:v>
      </x:c>
      <x:c r="E1340" s="47" t="n">
        <x:v>142078</x:v>
      </x:c>
      <x:c r="F1340" s="47" t="n">
        <x:f>D1340-E1340</x:f>
        <x:v>-49992</x:v>
      </x:c>
      <x:c r="G1340" s="49" t="n">
        <x:v>1</x:v>
      </x:c>
      <x:c r="H1340" s="49" t="n">
        <x:v>1</x:v>
      </x:c>
      <x:c r="I1340" s="47" t="n">
        <x:v>-84406</x:v>
      </x:c>
      <x:c r="J1340" s="49" t="n">
        <x:v>17</x:v>
      </x:c>
      <x:c r="K1340" s="47" t="n">
        <x:v>-84406</x:v>
      </x:c>
      <x:c r="L1340" s="47" t="n">
        <x:v>84406</x:v>
      </x:c>
      <x:c r="M1340" s="48" t="n">
        <x:v>57.641666666666666</x:v>
      </x:c>
      <x:c r="N1340" s="48" t="n">
        <x:v>168.75</x:v>
      </x:c>
      <x:c r="O1340" s="49" t="n">
        <x:v>5</x:v>
      </x:c>
      <x:c r="P1340" s="1" t="str">
        <x:v>合意入口と原板管理の統合</x:v>
      </x:c>
      <x:c r="Q1340" s="49" t="n">
        <x:v>0</x:v>
      </x:c>
      <x:c r="R1340" s="50" t="n">
        <x:v>0.3559157509157509</x:v>
      </x:c>
      <x:c r="S1340" s="50" t="n">
        <x:v>0.28125</x:v>
      </x:c>
      <x:c r="T1340" s="1" t="str">
        <x:v>下落</x:v>
      </x:c>
      <x:c r="U1340" s="49" t="n">
        <x:v>2</x:v>
      </x:c>
    </x:row>
    <x:row r="1341" ht="22" customHeight="1">
      <x:c r="A1341" s="1" t="str">
        <x:v>TOPIXmini</x:v>
      </x:c>
      <x:c r="B1341" s="1" t="str">
        <x:v>C10</x:v>
      </x:c>
      <x:c r="C1341" s="1" t="str">
        <x:v>全50場</x:v>
      </x:c>
      <x:c r="D1341" s="47" t="n">
        <x:v>2339312</x:v>
      </x:c>
      <x:c r="E1341" s="47" t="n">
        <x:v>1589539</x:v>
      </x:c>
      <x:c r="F1341" s="47" t="n">
        <x:f>D1341-E1341</x:f>
        <x:v>749773</x:v>
      </x:c>
      <x:c r="G1341" s="49" t="n">
        <x:v>38</x:v>
      </x:c>
      <x:c r="H1341" s="49" t="n">
        <x:v>12</x:v>
      </x:c>
      <x:c r="I1341" s="47" t="n">
        <x:v>407861</x:v>
      </x:c>
      <x:c r="J1341" s="49" t="n">
        <x:v>171</x:v>
      </x:c>
      <x:c r="K1341" s="47" t="n">
        <x:v>-88075</x:v>
      </x:c>
      <x:c r="L1341" s="47" t="n">
        <x:v>41145.5</x:v>
      </x:c>
      <x:c r="M1341" s="48" t="n">
        <x:v>199.58066666666664</x:v>
      </x:c>
      <x:c r="N1341" s="48" t="n">
        <x:v>134.29933333333335</x:v>
      </x:c>
      <x:c r="O1341" s="49" t="n">
        <x:v>5</x:v>
      </x:c>
      <x:c r="P1341" s="1" t="str">
        <x:v>再失敗入口と進捗管理の統合</x:v>
      </x:c>
      <x:c r="Q1341" s="49" t="n">
        <x:v>0</x:v>
      </x:c>
      <x:c r="R1341" s="50" t="n">
        <x:v>0.2818588522588522</x:v>
      </x:c>
      <x:c r="S1341" s="50" t="n">
        <x:v>0.2238322222222222</x:v>
      </x:c>
      <x:c r="T1341" s="1" t="str">
        <x:v>全場</x:v>
      </x:c>
      <x:c r="U1341" s="49" t="n">
        <x:v>50</x:v>
      </x:c>
    </x:row>
    <x:row r="1342" ht="22" customHeight="1">
      <x:c r="A1342" s="1" t="str">
        <x:v>TOPIXmini</x:v>
      </x:c>
      <x:c r="B1342" s="1" t="str">
        <x:v>C10</x:v>
      </x:c>
      <x:c r="C1342" s="1" t="str">
        <x:v>全50場</x:v>
      </x:c>
      <x:c r="D1342" s="47" t="n">
        <x:v>1300764</x:v>
      </x:c>
      <x:c r="E1342" s="47" t="n">
        <x:v>928425</x:v>
      </x:c>
      <x:c r="F1342" s="47" t="n">
        <x:f>D1342-E1342</x:f>
        <x:v>372339</x:v>
      </x:c>
      <x:c r="G1342" s="49" t="n">
        <x:v>16</x:v>
      </x:c>
      <x:c r="H1342" s="49" t="n">
        <x:v>9</x:v>
      </x:c>
      <x:c r="I1342" s="47" t="n">
        <x:v>53757</x:v>
      </x:c>
      <x:c r="J1342" s="49" t="n">
        <x:v>87</x:v>
      </x:c>
      <x:c r="K1342" s="47" t="n">
        <x:v>-88075</x:v>
      </x:c>
      <x:c r="L1342" s="47" t="n">
        <x:v>42007.77777777778</x:v>
      </x:c>
      <x:c r="M1342" s="48" t="n">
        <x:v>87.76199999999999</x:v>
      </x:c>
      <x:c r="N1342" s="48" t="n">
        <x:v>199.618</x:v>
      </x:c>
      <x:c r="O1342" s="49" t="n">
        <x:v>5</x:v>
      </x:c>
      <x:c r="P1342" s="1" t="str">
        <x:v>再失敗入口と進捗管理の統合</x:v>
      </x:c>
      <x:c r="Q1342" s="49" t="n">
        <x:v>0</x:v>
      </x:c>
      <x:c r="R1342" s="50" t="n">
        <x:v>0.4752809523809523</x:v>
      </x:c>
      <x:c r="S1342" s="50" t="n">
        <x:v>0.47528095238095236</x:v>
      </x:c>
      <x:c r="T1342" s="1" t="str">
        <x:v>デイ</x:v>
      </x:c>
      <x:c r="U1342" s="49" t="n">
        <x:v>25</x:v>
      </x:c>
    </x:row>
    <x:row r="1343" ht="22" customHeight="1">
      <x:c r="A1343" s="1" t="str">
        <x:v>TOPIXmini</x:v>
      </x:c>
      <x:c r="B1343" s="1" t="str">
        <x:v>C10</x:v>
      </x:c>
      <x:c r="C1343" s="1" t="str">
        <x:v>全50場</x:v>
      </x:c>
      <x:c r="D1343" s="47" t="n">
        <x:v>1038548</x:v>
      </x:c>
      <x:c r="E1343" s="47" t="n">
        <x:v>661114</x:v>
      </x:c>
      <x:c r="F1343" s="47" t="n">
        <x:f>D1343-E1343</x:f>
        <x:v>377434</x:v>
      </x:c>
      <x:c r="G1343" s="49" t="n">
        <x:v>22</x:v>
      </x:c>
      <x:c r="H1343" s="49" t="n">
        <x:v>3</x:v>
      </x:c>
      <x:c r="I1343" s="47" t="n">
        <x:v>180196</x:v>
      </x:c>
      <x:c r="J1343" s="49" t="n">
        <x:v>84</x:v>
      </x:c>
      <x:c r="K1343" s="47" t="n">
        <x:v>-40836</x:v>
      </x:c>
      <x:c r="L1343" s="47" t="n">
        <x:v>38558.666666666664</x:v>
      </x:c>
      <x:c r="M1343" s="48" t="n">
        <x:v>311.3993333333333</x:v>
      </x:c>
      <x:c r="N1343" s="48" t="n">
        <x:v>68.98066666666666</x:v>
      </x:c>
      <x:c r="O1343" s="49" t="n">
        <x:v>5</x:v>
      </x:c>
      <x:c r="P1343" s="1" t="str">
        <x:v>再失敗入口と進捗管理の統合</x:v>
      </x:c>
      <x:c r="Q1343" s="49" t="n">
        <x:v>0</x:v>
      </x:c>
      <x:c r="R1343" s="50" t="n">
        <x:v>0.08843675213675213</x:v>
      </x:c>
      <x:c r="S1343" s="50" t="n">
        <x:v>0.08843675213675213</x:v>
      </x:c>
      <x:c r="T1343" s="1" t="str">
        <x:v>ナイト</x:v>
      </x:c>
      <x:c r="U1343" s="49" t="n">
        <x:v>25</x:v>
      </x:c>
    </x:row>
    <x:row r="1344" ht="22" customHeight="1">
      <x:c r="A1344" s="1" t="str">
        <x:v>TOPIXmini</x:v>
      </x:c>
      <x:c r="B1344" s="1" t="str">
        <x:v>C10</x:v>
      </x:c>
      <x:c r="C1344" s="1" t="str">
        <x:v>全50場</x:v>
      </x:c>
      <x:c r="D1344" s="47" t="n">
        <x:v>1019490</x:v>
      </x:c>
      <x:c r="E1344" s="47" t="n">
        <x:v>767277</x:v>
      </x:c>
      <x:c r="F1344" s="47" t="n">
        <x:f>D1344-E1344</x:f>
        <x:v>252213</x:v>
      </x:c>
      <x:c r="G1344" s="49" t="n">
        <x:v>18</x:v>
      </x:c>
      <x:c r="H1344" s="49" t="n">
        <x:v>7</x:v>
      </x:c>
      <x:c r="I1344" s="47" t="n">
        <x:v>15547</x:v>
      </x:c>
      <x:c r="J1344" s="49" t="n">
        <x:v>72</x:v>
      </x:c>
      <x:c r="K1344" s="47" t="n">
        <x:v>-76669</x:v>
      </x:c>
      <x:c r="L1344" s="47" t="n">
        <x:v>41001</x:v>
      </x:c>
      <x:c r="M1344" s="48" t="n">
        <x:v>213.88866666666664</x:v>
      </x:c>
      <x:c r="N1344" s="48" t="n">
        <x:v>125.55533333333331</x:v>
      </x:c>
      <x:c r="O1344" s="49" t="n">
        <x:v>5</x:v>
      </x:c>
      <x:c r="P1344" s="1" t="str">
        <x:v>再失敗入口と進捗管理の統合</x:v>
      </x:c>
      <x:c r="Q1344" s="49" t="n">
        <x:v>0</x:v>
      </x:c>
      <x:c r="R1344" s="50" t="n">
        <x:v>0.25895299145299144</x:v>
      </x:c>
      <x:c r="S1344" s="50" t="n">
        <x:v>0.20677755819060167</x:v>
      </x:c>
      <x:c r="T1344" s="1" t="str">
        <x:v>上昇</x:v>
      </x:c>
      <x:c r="U1344" s="49" t="n">
        <x:v>25</x:v>
      </x:c>
    </x:row>
    <x:row r="1345" ht="22" customHeight="1">
      <x:c r="A1345" s="1" t="str">
        <x:v>TOPIXmini</x:v>
      </x:c>
      <x:c r="B1345" s="1" t="str">
        <x:v>C10</x:v>
      </x:c>
      <x:c r="C1345" s="1" t="str">
        <x:v>全50場</x:v>
      </x:c>
      <x:c r="D1345" s="47" t="n">
        <x:v>1319822</x:v>
      </x:c>
      <x:c r="E1345" s="47" t="n">
        <x:v>822262</x:v>
      </x:c>
      <x:c r="F1345" s="47" t="n">
        <x:f>D1345-E1345</x:f>
        <x:v>497560</x:v>
      </x:c>
      <x:c r="G1345" s="49" t="n">
        <x:v>20</x:v>
      </x:c>
      <x:c r="H1345" s="49" t="n">
        <x:v>5</x:v>
      </x:c>
      <x:c r="I1345" s="47" t="n">
        <x:v>155648</x:v>
      </x:c>
      <x:c r="J1345" s="49" t="n">
        <x:v>99</x:v>
      </x:c>
      <x:c r="K1345" s="47" t="n">
        <x:v>-88075</x:v>
      </x:c>
      <x:c r="L1345" s="47" t="n">
        <x:v>41347.8</x:v>
      </x:c>
      <x:c r="M1345" s="48" t="n">
        <x:v>185.27266666666665</x:v>
      </x:c>
      <x:c r="N1345" s="48" t="n">
        <x:v>143.04333333333332</x:v>
      </x:c>
      <x:c r="O1345" s="49" t="n">
        <x:v>5</x:v>
      </x:c>
      <x:c r="P1345" s="1" t="str">
        <x:v>再失敗入口と進捗管理の統合</x:v>
      </x:c>
      <x:c r="Q1345" s="49" t="n">
        <x:v>0</x:v>
      </x:c>
      <x:c r="R1345" s="50" t="n">
        <x:v>0.3047647130647131</x:v>
      </x:c>
      <x:c r="S1345" s="50" t="n">
        <x:v>0.2413011695906433</x:v>
      </x:c>
      <x:c r="T1345" s="1" t="str">
        <x:v>下落</x:v>
      </x:c>
      <x:c r="U1345" s="49" t="n">
        <x:v>25</x:v>
      </x:c>
    </x:row>
    <x:row r="1346" ht="22" customHeight="1">
      <x:c r="A1346" s="1" t="str">
        <x:v>TOPIXmini</x:v>
      </x:c>
      <x:c r="B1346" s="1" t="str">
        <x:v>C10</x:v>
      </x:c>
      <x:c r="C1346" s="1" t="str">
        <x:v>対照47場</x:v>
      </x:c>
      <x:c r="D1346" s="47" t="n">
        <x:v>2196144</x:v>
      </x:c>
      <x:c r="E1346" s="47" t="n">
        <x:v>1421792</x:v>
      </x:c>
      <x:c r="F1346" s="47" t="n">
        <x:f>D1346-E1346</x:f>
        <x:v>774352</x:v>
      </x:c>
      <x:c r="G1346" s="49" t="n">
        <x:v>36</x:v>
      </x:c>
      <x:c r="H1346" s="49" t="n">
        <x:v>11</x:v>
      </x:c>
      <x:c r="I1346" s="47" t="n">
        <x:v>432440</x:v>
      </x:c>
      <x:c r="J1346" s="49" t="n">
        <x:v>149</x:v>
      </x:c>
      <x:c r="K1346" s="47" t="n">
        <x:v>-76669</x:v>
      </x:c>
      <x:c r="L1346" s="47" t="n">
        <x:v>36879.181818181816</x:v>
      </x:c>
      <x:c r="M1346" s="48" t="n">
        <x:v>207.18687943262407</x:v>
      </x:c>
      <x:c r="N1346" s="48" t="n">
        <x:v>134.4840425531915</x:v>
      </x:c>
      <x:c r="O1346" s="49" t="n">
        <x:v>5</x:v>
      </x:c>
      <x:c r="P1346" s="1" t="str">
        <x:v>再失敗入口と進捗管理の統合</x:v>
      </x:c>
      <x:c r="Q1346" s="49" t="n">
        <x:v>0</x:v>
      </x:c>
      <x:c r="R1346" s="50" t="n">
        <x:v>0.28355369807497466</x:v>
      </x:c>
      <x:c r="S1346" s="50" t="n">
        <x:v>0.22557994289793004</x:v>
      </x:c>
      <x:c r="T1346" s="1" t="str">
        <x:v>全場</x:v>
      </x:c>
      <x:c r="U1346" s="49" t="n">
        <x:v>47</x:v>
      </x:c>
    </x:row>
    <x:row r="1347" ht="22" customHeight="1">
      <x:c r="A1347" s="1" t="str">
        <x:v>TOPIXmini</x:v>
      </x:c>
      <x:c r="B1347" s="1" t="str">
        <x:v>C10</x:v>
      </x:c>
      <x:c r="C1347" s="1" t="str">
        <x:v>対照47場</x:v>
      </x:c>
      <x:c r="D1347" s="47" t="n">
        <x:v>1280260</x:v>
      </x:c>
      <x:c r="E1347" s="47" t="n">
        <x:v>819846</x:v>
      </x:c>
      <x:c r="F1347" s="47" t="n">
        <x:f>D1347-E1347</x:f>
        <x:v>460414</x:v>
      </x:c>
      <x:c r="G1347" s="49" t="n">
        <x:v>16</x:v>
      </x:c>
      <x:c r="H1347" s="49" t="n">
        <x:v>8</x:v>
      </x:c>
      <x:c r="I1347" s="47" t="n">
        <x:v>141832</x:v>
      </x:c>
      <x:c r="J1347" s="49" t="n">
        <x:v>77</x:v>
      </x:c>
      <x:c r="K1347" s="47" t="n">
        <x:v>-76669</x:v>
      </x:c>
      <x:c r="L1347" s="47" t="n">
        <x:v>36249.375</x:v>
      </x:c>
      <x:c r="M1347" s="48" t="n">
        <x:v>89.58749999999999</x:v>
      </x:c>
      <x:c r="N1347" s="48" t="n">
        <x:v>198.05763888888887</x:v>
      </x:c>
      <x:c r="O1347" s="49" t="n">
        <x:v>5</x:v>
      </x:c>
      <x:c r="P1347" s="1" t="str">
        <x:v>再失敗入口と進捗管理の統合</x:v>
      </x:c>
      <x:c r="Q1347" s="49" t="n">
        <x:v>0</x:v>
      </x:c>
      <x:c r="R1347" s="50" t="n">
        <x:v>0.47156580687830685</x:v>
      </x:c>
      <x:c r="S1347" s="50" t="n">
        <x:v>0.47156580687830685</x:v>
      </x:c>
      <x:c r="T1347" s="1" t="str">
        <x:v>デイ</x:v>
      </x:c>
      <x:c r="U1347" s="49" t="n">
        <x:v>24</x:v>
      </x:c>
    </x:row>
    <x:row r="1348" ht="22" customHeight="1">
      <x:c r="A1348" s="1" t="str">
        <x:v>TOPIXmini</x:v>
      </x:c>
      <x:c r="B1348" s="1" t="str">
        <x:v>C10</x:v>
      </x:c>
      <x:c r="C1348" s="1" t="str">
        <x:v>対照47場</x:v>
      </x:c>
      <x:c r="D1348" s="47" t="n">
        <x:v>915884</x:v>
      </x:c>
      <x:c r="E1348" s="47" t="n">
        <x:v>601946</x:v>
      </x:c>
      <x:c r="F1348" s="47" t="n">
        <x:f>D1348-E1348</x:f>
        <x:v>313938</x:v>
      </x:c>
      <x:c r="G1348" s="49" t="n">
        <x:v>20</x:v>
      </x:c>
      <x:c r="H1348" s="49" t="n">
        <x:v>3</x:v>
      </x:c>
      <x:c r="I1348" s="47" t="n">
        <x:v>116700</x:v>
      </x:c>
      <x:c r="J1348" s="49" t="n">
        <x:v>72</x:v>
      </x:c>
      <x:c r="K1348" s="47" t="n">
        <x:v>-40836</x:v>
      </x:c>
      <x:c r="L1348" s="47" t="n">
        <x:v>38558.666666666664</x:v>
      </x:c>
      <x:c r="M1348" s="48" t="n">
        <x:v>329.8992753623188</x:v>
      </x:c>
      <x:c r="N1348" s="48" t="n">
        <x:v>68.1463768115942</x:v>
      </x:c>
      <x:c r="O1348" s="49" t="n">
        <x:v>5</x:v>
      </x:c>
      <x:c r="P1348" s="1" t="str">
        <x:v>再失敗入口と進捗管理の統合</x:v>
      </x:c>
      <x:c r="Q1348" s="49" t="n">
        <x:v>0</x:v>
      </x:c>
      <x:c r="R1348" s="50" t="n">
        <x:v>0.08736714975845411</x:v>
      </x:c>
      <x:c r="S1348" s="50" t="n">
        <x:v>0.0873671497584541</x:v>
      </x:c>
      <x:c r="T1348" s="1" t="str">
        <x:v>ナイト</x:v>
      </x:c>
      <x:c r="U1348" s="49" t="n">
        <x:v>23</x:v>
      </x:c>
    </x:row>
    <x:row r="1349" ht="22" customHeight="1">
      <x:c r="A1349" s="1" t="str">
        <x:v>TOPIXmini</x:v>
      </x:c>
      <x:c r="B1349" s="1" t="str">
        <x:v>C10</x:v>
      </x:c>
      <x:c r="C1349" s="1" t="str">
        <x:v>対照47場</x:v>
      </x:c>
      <x:c r="D1349" s="47" t="n">
        <x:v>979740</x:v>
      </x:c>
      <x:c r="E1349" s="47" t="n">
        <x:v>754111</x:v>
      </x:c>
      <x:c r="F1349" s="47" t="n">
        <x:f>D1349-E1349</x:f>
        <x:v>225629</x:v>
      </x:c>
      <x:c r="G1349" s="49" t="n">
        <x:v>17</x:v>
      </x:c>
      <x:c r="H1349" s="49" t="n">
        <x:v>7</x:v>
      </x:c>
      <x:c r="I1349" s="47" t="n">
        <x:v>-11037</x:v>
      </x:c>
      <x:c r="J1349" s="49" t="n">
        <x:v>68</x:v>
      </x:c>
      <x:c r="K1349" s="47" t="n">
        <x:v>-76669</x:v>
      </x:c>
      <x:c r="L1349" s="47" t="n">
        <x:v>41001</x:v>
      </x:c>
      <x:c r="M1349" s="48" t="n">
        <x:v>217.55208333333334</x:v>
      </x:c>
      <x:c r="N1349" s="48" t="n">
        <x:v>127.71736111111109</x:v>
      </x:c>
      <x:c r="O1349" s="49" t="n">
        <x:v>5</x:v>
      </x:c>
      <x:c r="P1349" s="1" t="str">
        <x:v>再失敗入口と進捗管理の統合</x:v>
      </x:c>
      <x:c r="Q1349" s="49" t="n">
        <x:v>0</x:v>
      </x:c>
      <x:c r="R1349" s="50" t="n">
        <x:v>0.26580751424501425</x:v>
      </x:c>
      <x:c r="S1349" s="50" t="n">
        <x:v>0.21286226851851853</x:v>
      </x:c>
      <x:c r="T1349" s="1" t="str">
        <x:v>上昇</x:v>
      </x:c>
      <x:c r="U1349" s="49" t="n">
        <x:v>24</x:v>
      </x:c>
    </x:row>
    <x:row r="1350" ht="22" customHeight="1">
      <x:c r="A1350" s="1" t="str">
        <x:v>TOPIXmini</x:v>
      </x:c>
      <x:c r="B1350" s="1" t="str">
        <x:v>C10</x:v>
      </x:c>
      <x:c r="C1350" s="1" t="str">
        <x:v>対照47場</x:v>
      </x:c>
      <x:c r="D1350" s="47" t="n">
        <x:v>1216404</x:v>
      </x:c>
      <x:c r="E1350" s="47" t="n">
        <x:v>667681</x:v>
      </x:c>
      <x:c r="F1350" s="47" t="n">
        <x:f>D1350-E1350</x:f>
        <x:v>548723</x:v>
      </x:c>
      <x:c r="G1350" s="49" t="n">
        <x:v>19</x:v>
      </x:c>
      <x:c r="H1350" s="49" t="n">
        <x:v>4</x:v>
      </x:c>
      <x:c r="I1350" s="47" t="n">
        <x:v>206811</x:v>
      </x:c>
      <x:c r="J1350" s="49" t="n">
        <x:v>81</x:v>
      </x:c>
      <x:c r="K1350" s="47" t="n">
        <x:v>-40836</x:v>
      </x:c>
      <x:c r="L1350" s="47" t="n">
        <x:v>29666</x:v>
      </x:c>
      <x:c r="M1350" s="48" t="n">
        <x:v>196.37101449275363</x:v>
      </x:c>
      <x:c r="N1350" s="48" t="n">
        <x:v>141.54492753623185</x:v>
      </x:c>
      <x:c r="O1350" s="49" t="n">
        <x:v>5</x:v>
      </x:c>
      <x:c r="P1350" s="1" t="str">
        <x:v>再失敗入口と進捗管理の統合</x:v>
      </x:c>
      <x:c r="Q1350" s="49" t="n">
        <x:v>0</x:v>
      </x:c>
      <x:c r="R1350" s="50" t="n">
        <x:v>0.30207145511493344</x:v>
      </x:c>
      <x:c r="S1350" s="50" t="n">
        <x:v>0.23902594224180126</x:v>
      </x:c>
      <x:c r="T1350" s="1" t="str">
        <x:v>下落</x:v>
      </x:c>
      <x:c r="U1350" s="49" t="n">
        <x:v>23</x:v>
      </x:c>
    </x:row>
    <x:row r="1351" ht="22" customHeight="1">
      <x:c r="A1351" s="1" t="str">
        <x:v>TOPIXmini</x:v>
      </x:c>
      <x:c r="B1351" s="1" t="str">
        <x:v>C10</x:v>
      </x:c>
      <x:c r="C1351" s="1" t="str">
        <x:v>診断3場</x:v>
      </x:c>
      <x:c r="D1351" s="47" t="n">
        <x:v>143168</x:v>
      </x:c>
      <x:c r="E1351" s="47" t="n">
        <x:v>167747</x:v>
      </x:c>
      <x:c r="F1351" s="47" t="n">
        <x:f>D1351-E1351</x:f>
        <x:v>-24579</x:v>
      </x:c>
      <x:c r="G1351" s="49" t="n">
        <x:v>2</x:v>
      </x:c>
      <x:c r="H1351" s="49" t="n">
        <x:v>1</x:v>
      </x:c>
      <x:c r="I1351" s="47" t="n">
        <x:v>-88075</x:v>
      </x:c>
      <x:c r="J1351" s="49" t="n">
        <x:v>22</x:v>
      </x:c>
      <x:c r="K1351" s="47" t="n">
        <x:v>-88075</x:v>
      </x:c>
      <x:c r="L1351" s="47" t="n">
        <x:v>88075</x:v>
      </x:c>
      <x:c r="M1351" s="48" t="n">
        <x:v>80.41666666666667</x:v>
      </x:c>
      <x:c r="N1351" s="48" t="n">
        <x:v>131.40555555555557</x:v>
      </x:c>
      <x:c r="O1351" s="49" t="n">
        <x:v>5</x:v>
      </x:c>
      <x:c r="P1351" s="1" t="str">
        <x:v>再失敗入口と進捗管理の統合</x:v>
      </x:c>
      <x:c r="Q1351" s="49" t="n">
        <x:v>0</x:v>
      </x:c>
      <x:c r="R1351" s="50" t="n">
        <x:v>0.2553062678062678</x:v>
      </x:c>
      <x:c r="S1351" s="50" t="n">
        <x:v>0.1990993265993266</x:v>
      </x:c>
      <x:c r="T1351" s="1" t="str">
        <x:v>全場</x:v>
      </x:c>
      <x:c r="U1351" s="49" t="n">
        <x:v>3</x:v>
      </x:c>
    </x:row>
    <x:row r="1352" ht="22" customHeight="1">
      <x:c r="A1352" s="1" t="str">
        <x:v>TOPIXmini</x:v>
      </x:c>
      <x:c r="B1352" s="1" t="str">
        <x:v>C10</x:v>
      </x:c>
      <x:c r="C1352" s="1" t="str">
        <x:v>診断3場</x:v>
      </x:c>
      <x:c r="D1352" s="47" t="n">
        <x:v>20504</x:v>
      </x:c>
      <x:c r="E1352" s="47" t="n">
        <x:v>108579</x:v>
      </x:c>
      <x:c r="F1352" s="47" t="n">
        <x:f>D1352-E1352</x:f>
        <x:v>-88075</x:v>
      </x:c>
      <x:c r="G1352" s="49" t="n">
        <x:v>0</x:v>
      </x:c>
      <x:c r="H1352" s="49" t="n">
        <x:v>1</x:v>
      </x:c>
      <x:c r="I1352" s="47" t="n">
        <x:v>-88075</x:v>
      </x:c>
      <x:c r="J1352" s="49" t="n">
        <x:v>10</x:v>
      </x:c>
      <x:c r="K1352" s="47" t="n">
        <x:v>-88075</x:v>
      </x:c>
      <x:c r="L1352" s="47" t="n">
        <x:v>88075</x:v>
      </x:c>
      <x:c r="M1352" s="48" t="n">
        <x:v>43.95</x:v>
      </x:c>
      <x:c r="N1352" s="48" t="n">
        <x:v>237.06666666666666</x:v>
      </x:c>
      <x:c r="O1352" s="49" t="n">
        <x:v>5</x:v>
      </x:c>
      <x:c r="P1352" s="1" t="str">
        <x:v>再失敗入口と進捗管理の統合</x:v>
      </x:c>
      <x:c r="Q1352" s="49" t="n">
        <x:v>0</x:v>
      </x:c>
      <x:c r="R1352" s="50" t="n">
        <x:v>0.5644444444444444</x:v>
      </x:c>
      <x:c r="S1352" s="50" t="n">
        <x:v>0.5644444444444444</x:v>
      </x:c>
      <x:c r="T1352" s="1" t="str">
        <x:v>デイ</x:v>
      </x:c>
      <x:c r="U1352" s="49" t="n">
        <x:v>1</x:v>
      </x:c>
    </x:row>
    <x:row r="1353" ht="22" customHeight="1">
      <x:c r="A1353" s="1" t="str">
        <x:v>TOPIXmini</x:v>
      </x:c>
      <x:c r="B1353" s="1" t="str">
        <x:v>C10</x:v>
      </x:c>
      <x:c r="C1353" s="1" t="str">
        <x:v>診断3場</x:v>
      </x:c>
      <x:c r="D1353" s="47" t="n">
        <x:v>122664</x:v>
      </x:c>
      <x:c r="E1353" s="47" t="n">
        <x:v>59168</x:v>
      </x:c>
      <x:c r="F1353" s="47" t="n">
        <x:f>D1353-E1353</x:f>
        <x:v>63496</x:v>
      </x:c>
      <x:c r="G1353" s="49" t="n">
        <x:v>2</x:v>
      </x:c>
      <x:c r="H1353" s="49" t="n">
        <x:v>0</x:v>
      </x:c>
      <x:c r="I1353" s="47" t="n">
        <x:v>0</x:v>
      </x:c>
      <x:c r="J1353" s="49" t="n">
        <x:v>12</x:v>
      </x:c>
      <x:c r="K1353" s="47" t="n">
        <x:v>26584</x:v>
      </x:c>
      <x:c r="L1353" s="47" t="n">
        <x:v>0</x:v>
      </x:c>
      <x:c r="M1353" s="48" t="n">
        <x:v>98.65</x:v>
      </x:c>
      <x:c r="N1353" s="48" t="n">
        <x:v>78.575</x:v>
      </x:c>
      <x:c r="O1353" s="49" t="n">
        <x:v>5</x:v>
      </x:c>
      <x:c r="P1353" s="1" t="str">
        <x:v>再失敗入口と進捗管理の統合</x:v>
      </x:c>
      <x:c r="Q1353" s="49" t="n">
        <x:v>0</x:v>
      </x:c>
      <x:c r="R1353" s="50" t="n">
        <x:v>0.10073717948717949</x:v>
      </x:c>
      <x:c r="S1353" s="50" t="n">
        <x:v>0.10073717948717949</x:v>
      </x:c>
      <x:c r="T1353" s="1" t="str">
        <x:v>ナイト</x:v>
      </x:c>
      <x:c r="U1353" s="49" t="n">
        <x:v>2</x:v>
      </x:c>
    </x:row>
    <x:row r="1354" ht="22" customHeight="1">
      <x:c r="A1354" s="1" t="str">
        <x:v>TOPIXmini</x:v>
      </x:c>
      <x:c r="B1354" s="1" t="str">
        <x:v>C10</x:v>
      </x:c>
      <x:c r="C1354" s="1" t="str">
        <x:v>診断3場</x:v>
      </x:c>
      <x:c r="D1354" s="47" t="n">
        <x:v>39750</x:v>
      </x:c>
      <x:c r="E1354" s="47" t="n">
        <x:v>13166</x:v>
      </x:c>
      <x:c r="F1354" s="47" t="n">
        <x:f>D1354-E1354</x:f>
        <x:v>26584</x:v>
      </x:c>
      <x:c r="G1354" s="49" t="n">
        <x:v>1</x:v>
      </x:c>
      <x:c r="H1354" s="49" t="n">
        <x:v>0</x:v>
      </x:c>
      <x:c r="I1354" s="47" t="n">
        <x:v>0</x:v>
      </x:c>
      <x:c r="J1354" s="49" t="n">
        <x:v>4</x:v>
      </x:c>
      <x:c r="K1354" s="47" t="n">
        <x:v>26584</x:v>
      </x:c>
      <x:c r="L1354" s="47" t="n">
        <x:v>0</x:v>
      </x:c>
      <x:c r="M1354" s="48" t="n">
        <x:v>125.96666666666667</x:v>
      </x:c>
      <x:c r="N1354" s="48" t="n">
        <x:v>73.66666666666667</x:v>
      </x:c>
      <x:c r="O1354" s="49" t="n">
        <x:v>5</x:v>
      </x:c>
      <x:c r="P1354" s="1" t="str">
        <x:v>再失敗入口と進捗管理の統合</x:v>
      </x:c>
      <x:c r="Q1354" s="49" t="n">
        <x:v>0</x:v>
      </x:c>
      <x:c r="R1354" s="50" t="n">
        <x:v>0.09444444444444444</x:v>
      </x:c>
      <x:c r="S1354" s="50" t="n">
        <x:v>0.09444444444444446</x:v>
      </x:c>
      <x:c r="T1354" s="1" t="str">
        <x:v>上昇</x:v>
      </x:c>
      <x:c r="U1354" s="49" t="n">
        <x:v>1</x:v>
      </x:c>
    </x:row>
    <x:row r="1355" ht="22" customHeight="1">
      <x:c r="A1355" s="1" t="str">
        <x:v>TOPIXmini</x:v>
      </x:c>
      <x:c r="B1355" s="1" t="str">
        <x:v>C10</x:v>
      </x:c>
      <x:c r="C1355" s="1" t="str">
        <x:v>診断3場</x:v>
      </x:c>
      <x:c r="D1355" s="47" t="n">
        <x:v>103418</x:v>
      </x:c>
      <x:c r="E1355" s="47" t="n">
        <x:v>154581</x:v>
      </x:c>
      <x:c r="F1355" s="47" t="n">
        <x:f>D1355-E1355</x:f>
        <x:v>-51163</x:v>
      </x:c>
      <x:c r="G1355" s="49" t="n">
        <x:v>1</x:v>
      </x:c>
      <x:c r="H1355" s="49" t="n">
        <x:v>1</x:v>
      </x:c>
      <x:c r="I1355" s="47" t="n">
        <x:v>-88075</x:v>
      </x:c>
      <x:c r="J1355" s="49" t="n">
        <x:v>18</x:v>
      </x:c>
      <x:c r="K1355" s="47" t="n">
        <x:v>-88075</x:v>
      </x:c>
      <x:c r="L1355" s="47" t="n">
        <x:v>88075</x:v>
      </x:c>
      <x:c r="M1355" s="48" t="n">
        <x:v>57.641666666666666</x:v>
      </x:c>
      <x:c r="N1355" s="48" t="n">
        <x:v>160.275</x:v>
      </x:c>
      <x:c r="O1355" s="49" t="n">
        <x:v>5</x:v>
      </x:c>
      <x:c r="P1355" s="1" t="str">
        <x:v>再失敗入口と進捗管理の統合</x:v>
      </x:c>
      <x:c r="Q1355" s="49" t="n">
        <x:v>0</x:v>
      </x:c>
      <x:c r="R1355" s="50" t="n">
        <x:v>0.33573717948717946</x:v>
      </x:c>
      <x:c r="S1355" s="50" t="n">
        <x:v>0.267125</x:v>
      </x:c>
      <x:c r="T1355" s="1" t="str">
        <x:v>下落</x:v>
      </x:c>
      <x:c r="U1355" s="49" t="n">
        <x:v>2</x:v>
      </x:c>
    </x:row>
    <x:row r="1356" ht="22" customHeight="1">
      <x:c r="A1356" s="1" t="str">
        <x:v>TOPIXmini</x:v>
      </x:c>
      <x:c r="B1356" s="1" t="str">
        <x:v>C11</x:v>
      </x:c>
      <x:c r="C1356" s="1" t="str">
        <x:v>全50場</x:v>
      </x:c>
      <x:c r="D1356" s="47" t="n">
        <x:v>2341233</x:v>
      </x:c>
      <x:c r="E1356" s="47" t="n">
        <x:v>1625027</x:v>
      </x:c>
      <x:c r="F1356" s="47" t="n">
        <x:f>D1356-E1356</x:f>
        <x:v>716206</x:v>
      </x:c>
      <x:c r="G1356" s="49" t="n">
        <x:v>38</x:v>
      </x:c>
      <x:c r="H1356" s="49" t="n">
        <x:v>12</x:v>
      </x:c>
      <x:c r="I1356" s="47" t="n">
        <x:v>371121</x:v>
      </x:c>
      <x:c r="J1356" s="49" t="n">
        <x:v>176</x:v>
      </x:c>
      <x:c r="K1356" s="47" t="n">
        <x:v>-83572</x:v>
      </x:c>
      <x:c r="L1356" s="47" t="n">
        <x:v>44735.083333333336</x:v>
      </x:c>
      <x:c r="M1356" s="48" t="n">
        <x:v>199.58066666666664</x:v>
      </x:c>
      <x:c r="N1356" s="48" t="n">
        <x:v>130.79933333333335</x:v>
      </x:c>
      <x:c r="O1356" s="49" t="n">
        <x:v>5</x:v>
      </x:c>
      <x:c r="P1356" s="1" t="str">
        <x:v>再失敗入口と複合管理の統合</x:v>
      </x:c>
      <x:c r="Q1356" s="49" t="n">
        <x:v>0</x:v>
      </x:c>
      <x:c r="R1356" s="50" t="n">
        <x:v>0.2735255189255189</x:v>
      </x:c>
      <x:c r="S1356" s="50" t="n">
        <x:v>0.21799888888888888</x:v>
      </x:c>
      <x:c r="T1356" s="1" t="str">
        <x:v>全場</x:v>
      </x:c>
      <x:c r="U1356" s="49" t="n">
        <x:v>50</x:v>
      </x:c>
    </x:row>
    <x:row r="1357" ht="22" customHeight="1">
      <x:c r="A1357" s="1" t="str">
        <x:v>TOPIXmini</x:v>
      </x:c>
      <x:c r="B1357" s="1" t="str">
        <x:v>C11</x:v>
      </x:c>
      <x:c r="C1357" s="1" t="str">
        <x:v>全50場</x:v>
      </x:c>
      <x:c r="D1357" s="47" t="n">
        <x:v>1311683</x:v>
      </x:c>
      <x:c r="E1357" s="47" t="n">
        <x:v>977417</x:v>
      </x:c>
      <x:c r="F1357" s="47" t="n">
        <x:f>D1357-E1357</x:f>
        <x:v>334266</x:v>
      </x:c>
      <x:c r="G1357" s="49" t="n">
        <x:v>16</x:v>
      </x:c>
      <x:c r="H1357" s="49" t="n">
        <x:v>9</x:v>
      </x:c>
      <x:c r="I1357" s="47" t="n">
        <x:v>12683</x:v>
      </x:c>
      <x:c r="J1357" s="49" t="n">
        <x:v>92</x:v>
      </x:c>
      <x:c r="K1357" s="47" t="n">
        <x:v>-83572</x:v>
      </x:c>
      <x:c r="L1357" s="47" t="n">
        <x:v>46793.88888888889</x:v>
      </x:c>
      <x:c r="M1357" s="48" t="n">
        <x:v>87.76199999999999</x:v>
      </x:c>
      <x:c r="N1357" s="48" t="n">
        <x:v>192.618</x:v>
      </x:c>
      <x:c r="O1357" s="49" t="n">
        <x:v>5</x:v>
      </x:c>
      <x:c r="P1357" s="1" t="str">
        <x:v>再失敗入口と複合管理の統合</x:v>
      </x:c>
      <x:c r="Q1357" s="49" t="n">
        <x:v>0</x:v>
      </x:c>
      <x:c r="R1357" s="50" t="n">
        <x:v>0.45861428571428575</x:v>
      </x:c>
      <x:c r="S1357" s="50" t="n">
        <x:v>0.4586142857142857</x:v>
      </x:c>
      <x:c r="T1357" s="1" t="str">
        <x:v>デイ</x:v>
      </x:c>
      <x:c r="U1357" s="49" t="n">
        <x:v>25</x:v>
      </x:c>
    </x:row>
    <x:row r="1358" ht="22" customHeight="1">
      <x:c r="A1358" s="1" t="str">
        <x:v>TOPIXmini</x:v>
      </x:c>
      <x:c r="B1358" s="1" t="str">
        <x:v>C11</x:v>
      </x:c>
      <x:c r="C1358" s="1" t="str">
        <x:v>全50場</x:v>
      </x:c>
      <x:c r="D1358" s="47" t="n">
        <x:v>1029550</x:v>
      </x:c>
      <x:c r="E1358" s="47" t="n">
        <x:v>647610</x:v>
      </x:c>
      <x:c r="F1358" s="47" t="n">
        <x:f>D1358-E1358</x:f>
        <x:v>381940</x:v>
      </x:c>
      <x:c r="G1358" s="49" t="n">
        <x:v>22</x:v>
      </x:c>
      <x:c r="H1358" s="49" t="n">
        <x:v>3</x:v>
      </x:c>
      <x:c r="I1358" s="47" t="n">
        <x:v>181701</x:v>
      </x:c>
      <x:c r="J1358" s="49" t="n">
        <x:v>84</x:v>
      </x:c>
      <x:c r="K1358" s="47" t="n">
        <x:v>-40836</x:v>
      </x:c>
      <x:c r="L1358" s="47" t="n">
        <x:v>38558.666666666664</x:v>
      </x:c>
      <x:c r="M1358" s="48" t="n">
        <x:v>311.3993333333333</x:v>
      </x:c>
      <x:c r="N1358" s="48" t="n">
        <x:v>68.98066666666666</x:v>
      </x:c>
      <x:c r="O1358" s="49" t="n">
        <x:v>5</x:v>
      </x:c>
      <x:c r="P1358" s="1" t="str">
        <x:v>再失敗入口と複合管理の統合</x:v>
      </x:c>
      <x:c r="Q1358" s="49" t="n">
        <x:v>0</x:v>
      </x:c>
      <x:c r="R1358" s="50" t="n">
        <x:v>0.08843675213675213</x:v>
      </x:c>
      <x:c r="S1358" s="50" t="n">
        <x:v>0.08843675213675213</x:v>
      </x:c>
      <x:c r="T1358" s="1" t="str">
        <x:v>ナイト</x:v>
      </x:c>
      <x:c r="U1358" s="49" t="n">
        <x:v>25</x:v>
      </x:c>
    </x:row>
    <x:row r="1359" ht="22" customHeight="1">
      <x:c r="A1359" s="1" t="str">
        <x:v>TOPIXmini</x:v>
      </x:c>
      <x:c r="B1359" s="1" t="str">
        <x:v>C11</x:v>
      </x:c>
      <x:c r="C1359" s="1" t="str">
        <x:v>全50場</x:v>
      </x:c>
      <x:c r="D1359" s="47" t="n">
        <x:v>1037740</x:v>
      </x:c>
      <x:c r="E1359" s="47" t="n">
        <x:v>831774</x:v>
      </x:c>
      <x:c r="F1359" s="47" t="n">
        <x:f>D1359-E1359</x:f>
        <x:v>205966</x:v>
      </x:c>
      <x:c r="G1359" s="49" t="n">
        <x:v>18</x:v>
      </x:c>
      <x:c r="H1359" s="49" t="n">
        <x:v>7</x:v>
      </x:c>
      <x:c r="I1359" s="47" t="n">
        <x:v>-33701</x:v>
      </x:c>
      <x:c r="J1359" s="49" t="n">
        <x:v>78</x:v>
      </x:c>
      <x:c r="K1359" s="47" t="n">
        <x:v>-81168</x:v>
      </x:c>
      <x:c r="L1359" s="47" t="n">
        <x:v>49394</x:v>
      </x:c>
      <x:c r="M1359" s="48" t="n">
        <x:v>213.88866666666664</x:v>
      </x:c>
      <x:c r="N1359" s="48" t="n">
        <x:v>118.98999999999998</x:v>
      </x:c>
      <x:c r="O1359" s="49" t="n">
        <x:v>5</x:v>
      </x:c>
      <x:c r="P1359" s="1" t="str">
        <x:v>再失敗入口と複合管理の統合</x:v>
      </x:c>
      <x:c r="Q1359" s="49" t="n">
        <x:v>0</x:v>
      </x:c>
      <x:c r="R1359" s="50" t="n">
        <x:v>0.2433212454212454</x:v>
      </x:c>
      <x:c r="S1359" s="50" t="n">
        <x:v>0.19596508563899867</x:v>
      </x:c>
      <x:c r="T1359" s="1" t="str">
        <x:v>上昇</x:v>
      </x:c>
      <x:c r="U1359" s="49" t="n">
        <x:v>25</x:v>
      </x:c>
    </x:row>
    <x:row r="1360" ht="22" customHeight="1">
      <x:c r="A1360" s="1" t="str">
        <x:v>TOPIXmini</x:v>
      </x:c>
      <x:c r="B1360" s="1" t="str">
        <x:v>C11</x:v>
      </x:c>
      <x:c r="C1360" s="1" t="str">
        <x:v>全50場</x:v>
      </x:c>
      <x:c r="D1360" s="47" t="n">
        <x:v>1303493</x:v>
      </x:c>
      <x:c r="E1360" s="47" t="n">
        <x:v>793253</x:v>
      </x:c>
      <x:c r="F1360" s="47" t="n">
        <x:f>D1360-E1360</x:f>
        <x:v>510240</x:v>
      </x:c>
      <x:c r="G1360" s="49" t="n">
        <x:v>20</x:v>
      </x:c>
      <x:c r="H1360" s="49" t="n">
        <x:v>5</x:v>
      </x:c>
      <x:c r="I1360" s="47" t="n">
        <x:v>165327</x:v>
      </x:c>
      <x:c r="J1360" s="49" t="n">
        <x:v>98</x:v>
      </x:c>
      <x:c r="K1360" s="47" t="n">
        <x:v>-83572</x:v>
      </x:c>
      <x:c r="L1360" s="47" t="n">
        <x:v>38212.6</x:v>
      </x:c>
      <x:c r="M1360" s="48" t="n">
        <x:v>185.27266666666665</x:v>
      </x:c>
      <x:c r="N1360" s="48" t="n">
        <x:v>142.60866666666666</x:v>
      </x:c>
      <x:c r="O1360" s="49" t="n">
        <x:v>5</x:v>
      </x:c>
      <x:c r="P1360" s="1" t="str">
        <x:v>再失敗入口と複合管理の統合</x:v>
      </x:c>
      <x:c r="Q1360" s="49" t="n">
        <x:v>0</x:v>
      </x:c>
      <x:c r="R1360" s="50" t="n">
        <x:v>0.3037297924297924</x:v>
      </x:c>
      <x:c r="S1360" s="50" t="n">
        <x:v>0.24056792622582096</x:v>
      </x:c>
      <x:c r="T1360" s="1" t="str">
        <x:v>下落</x:v>
      </x:c>
      <x:c r="U1360" s="49" t="n">
        <x:v>25</x:v>
      </x:c>
    </x:row>
    <x:row r="1361" ht="22" customHeight="1">
      <x:c r="A1361" s="1" t="str">
        <x:v>TOPIXmini</x:v>
      </x:c>
      <x:c r="B1361" s="1" t="str">
        <x:v>C11</x:v>
      </x:c>
      <x:c r="C1361" s="1" t="str">
        <x:v>対照47場</x:v>
      </x:c>
      <x:c r="D1361" s="47" t="n">
        <x:v>2205563</x:v>
      </x:c>
      <x:c r="E1361" s="47" t="n">
        <x:v>1470284</x:v>
      </x:c>
      <x:c r="F1361" s="47" t="n">
        <x:f>D1361-E1361</x:f>
        <x:v>735279</x:v>
      </x:c>
      <x:c r="G1361" s="49" t="n">
        <x:v>36</x:v>
      </x:c>
      <x:c r="H1361" s="49" t="n">
        <x:v>11</x:v>
      </x:c>
      <x:c r="I1361" s="47" t="n">
        <x:v>390194</x:v>
      </x:c>
      <x:c r="J1361" s="49" t="n">
        <x:v>154</x:v>
      </x:c>
      <x:c r="K1361" s="47" t="n">
        <x:v>-81168</x:v>
      </x:c>
      <x:c r="L1361" s="47" t="n">
        <x:v>41204.454545454544</x:v>
      </x:c>
      <x:c r="M1361" s="48" t="n">
        <x:v>207.18687943262407</x:v>
      </x:c>
      <x:c r="N1361" s="48" t="n">
        <x:v>130.76063829787233</x:v>
      </x:c>
      <x:c r="O1361" s="49" t="n">
        <x:v>5</x:v>
      </x:c>
      <x:c r="P1361" s="1" t="str">
        <x:v>再失敗入口と複合管理の統合</x:v>
      </x:c>
      <x:c r="Q1361" s="49" t="n">
        <x:v>0</x:v>
      </x:c>
      <x:c r="R1361" s="50" t="n">
        <x:v>0.27468844984802426</x:v>
      </x:c>
      <x:c r="S1361" s="50" t="n">
        <x:v>0.2193344039971449</x:v>
      </x:c>
      <x:c r="T1361" s="1" t="str">
        <x:v>全場</x:v>
      </x:c>
      <x:c r="U1361" s="49" t="n">
        <x:v>47</x:v>
      </x:c>
    </x:row>
    <x:row r="1362" ht="22" customHeight="1">
      <x:c r="A1362" s="1" t="str">
        <x:v>TOPIXmini</x:v>
      </x:c>
      <x:c r="B1362" s="1" t="str">
        <x:v>C11</x:v>
      </x:c>
      <x:c r="C1362" s="1" t="str">
        <x:v>対照47場</x:v>
      </x:c>
      <x:c r="D1362" s="47" t="n">
        <x:v>1293678</x:v>
      </x:c>
      <x:c r="E1362" s="47" t="n">
        <x:v>875840</x:v>
      </x:c>
      <x:c r="F1362" s="47" t="n">
        <x:f>D1362-E1362</x:f>
        <x:v>417838</x:v>
      </x:c>
      <x:c r="G1362" s="49" t="n">
        <x:v>16</x:v>
      </x:c>
      <x:c r="H1362" s="49" t="n">
        <x:v>8</x:v>
      </x:c>
      <x:c r="I1362" s="47" t="n">
        <x:v>96255</x:v>
      </x:c>
      <x:c r="J1362" s="49" t="n">
        <x:v>82</x:v>
      </x:c>
      <x:c r="K1362" s="47" t="n">
        <x:v>-81168</x:v>
      </x:c>
      <x:c r="L1362" s="47" t="n">
        <x:v>42196.625</x:v>
      </x:c>
      <x:c r="M1362" s="48" t="n">
        <x:v>89.58749999999999</x:v>
      </x:c>
      <x:c r="N1362" s="48" t="n">
        <x:v>190.76597222222222</x:v>
      </x:c>
      <x:c r="O1362" s="49" t="n">
        <x:v>5</x:v>
      </x:c>
      <x:c r="P1362" s="1" t="str">
        <x:v>再失敗入口と複合管理の統合</x:v>
      </x:c>
      <x:c r="Q1362" s="49" t="n">
        <x:v>0</x:v>
      </x:c>
      <x:c r="R1362" s="50" t="n">
        <x:v>0.45420469576719585</x:v>
      </x:c>
      <x:c r="S1362" s="50" t="n">
        <x:v>0.45420469576719574</x:v>
      </x:c>
      <x:c r="T1362" s="1" t="str">
        <x:v>デイ</x:v>
      </x:c>
      <x:c r="U1362" s="49" t="n">
        <x:v>24</x:v>
      </x:c>
    </x:row>
    <x:row r="1363" ht="22" customHeight="1">
      <x:c r="A1363" s="1" t="str">
        <x:v>TOPIXmini</x:v>
      </x:c>
      <x:c r="B1363" s="1" t="str">
        <x:v>C11</x:v>
      </x:c>
      <x:c r="C1363" s="1" t="str">
        <x:v>対照47場</x:v>
      </x:c>
      <x:c r="D1363" s="47" t="n">
        <x:v>911885</x:v>
      </x:c>
      <x:c r="E1363" s="47" t="n">
        <x:v>594444</x:v>
      </x:c>
      <x:c r="F1363" s="47" t="n">
        <x:f>D1363-E1363</x:f>
        <x:v>317441</x:v>
      </x:c>
      <x:c r="G1363" s="49" t="n">
        <x:v>20</x:v>
      </x:c>
      <x:c r="H1363" s="49" t="n">
        <x:v>3</x:v>
      </x:c>
      <x:c r="I1363" s="47" t="n">
        <x:v>117202</x:v>
      </x:c>
      <x:c r="J1363" s="49" t="n">
        <x:v>72</x:v>
      </x:c>
      <x:c r="K1363" s="47" t="n">
        <x:v>-40836</x:v>
      </x:c>
      <x:c r="L1363" s="47" t="n">
        <x:v>38558.666666666664</x:v>
      </x:c>
      <x:c r="M1363" s="48" t="n">
        <x:v>329.8992753623188</x:v>
      </x:c>
      <x:c r="N1363" s="48" t="n">
        <x:v>68.1463768115942</x:v>
      </x:c>
      <x:c r="O1363" s="49" t="n">
        <x:v>5</x:v>
      </x:c>
      <x:c r="P1363" s="1" t="str">
        <x:v>再失敗入口と複合管理の統合</x:v>
      </x:c>
      <x:c r="Q1363" s="49" t="n">
        <x:v>0</x:v>
      </x:c>
      <x:c r="R1363" s="50" t="n">
        <x:v>0.08736714975845411</x:v>
      </x:c>
      <x:c r="S1363" s="50" t="n">
        <x:v>0.0873671497584541</x:v>
      </x:c>
      <x:c r="T1363" s="1" t="str">
        <x:v>ナイト</x:v>
      </x:c>
      <x:c r="U1363" s="49" t="n">
        <x:v>23</x:v>
      </x:c>
    </x:row>
    <x:row r="1364" ht="22" customHeight="1">
      <x:c r="A1364" s="1" t="str">
        <x:v>TOPIXmini</x:v>
      </x:c>
      <x:c r="B1364" s="1" t="str">
        <x:v>C11</x:v>
      </x:c>
      <x:c r="C1364" s="1" t="str">
        <x:v>対照47場</x:v>
      </x:c>
      <x:c r="D1364" s="47" t="n">
        <x:v>997990</x:v>
      </x:c>
      <x:c r="E1364" s="47" t="n">
        <x:v>822109</x:v>
      </x:c>
      <x:c r="F1364" s="47" t="n">
        <x:f>D1364-E1364</x:f>
        <x:v>175881</x:v>
      </x:c>
      <x:c r="G1364" s="49" t="n">
        <x:v>17</x:v>
      </x:c>
      <x:c r="H1364" s="49" t="n">
        <x:v>7</x:v>
      </x:c>
      <x:c r="I1364" s="47" t="n">
        <x:v>-63786</x:v>
      </x:c>
      <x:c r="J1364" s="49" t="n">
        <x:v>74</x:v>
      </x:c>
      <x:c r="K1364" s="47" t="n">
        <x:v>-81168</x:v>
      </x:c>
      <x:c r="L1364" s="47" t="n">
        <x:v>49394</x:v>
      </x:c>
      <x:c r="M1364" s="48" t="n">
        <x:v>217.55208333333334</x:v>
      </x:c>
      <x:c r="N1364" s="48" t="n">
        <x:v>120.87847222222221</x:v>
      </x:c>
      <x:c r="O1364" s="49" t="n">
        <x:v>5</x:v>
      </x:c>
      <x:c r="P1364" s="1" t="str">
        <x:v>再失敗入口と複合管理の統合</x:v>
      </x:c>
      <x:c r="Q1364" s="49" t="n">
        <x:v>0</x:v>
      </x:c>
      <x:c r="R1364" s="50" t="n">
        <x:v>0.24952444546194544</x:v>
      </x:c>
      <x:c r="S1364" s="50" t="n">
        <x:v>0.20146412037037037</x:v>
      </x:c>
      <x:c r="T1364" s="1" t="str">
        <x:v>上昇</x:v>
      </x:c>
      <x:c r="U1364" s="49" t="n">
        <x:v>24</x:v>
      </x:c>
    </x:row>
    <x:row r="1365" ht="22" customHeight="1">
      <x:c r="A1365" s="1" t="str">
        <x:v>TOPIXmini</x:v>
      </x:c>
      <x:c r="B1365" s="1" t="str">
        <x:v>C11</x:v>
      </x:c>
      <x:c r="C1365" s="1" t="str">
        <x:v>対照47場</x:v>
      </x:c>
      <x:c r="D1365" s="47" t="n">
        <x:v>1207573</x:v>
      </x:c>
      <x:c r="E1365" s="47" t="n">
        <x:v>648175</x:v>
      </x:c>
      <x:c r="F1365" s="47" t="n">
        <x:f>D1365-E1365</x:f>
        <x:v>559398</x:v>
      </x:c>
      <x:c r="G1365" s="49" t="n">
        <x:v>19</x:v>
      </x:c>
      <x:c r="H1365" s="49" t="n">
        <x:v>4</x:v>
      </x:c>
      <x:c r="I1365" s="47" t="n">
        <x:v>214485</x:v>
      </x:c>
      <x:c r="J1365" s="49" t="n">
        <x:v>80</x:v>
      </x:c>
      <x:c r="K1365" s="47" t="n">
        <x:v>-40836</x:v>
      </x:c>
      <x:c r="L1365" s="47" t="n">
        <x:v>26872.75</x:v>
      </x:c>
      <x:c r="M1365" s="48" t="n">
        <x:v>196.37101449275363</x:v>
      </x:c>
      <x:c r="N1365" s="48" t="n">
        <x:v>141.0724637681159</x:v>
      </x:c>
      <x:c r="O1365" s="49" t="n">
        <x:v>5</x:v>
      </x:c>
      <x:c r="P1365" s="1" t="str">
        <x:v>再失敗入口と複合管理の統合</x:v>
      </x:c>
      <x:c r="Q1365" s="49" t="n">
        <x:v>0</x:v>
      </x:c>
      <x:c r="R1365" s="50" t="n">
        <x:v>0.30094654138132404</x:v>
      </x:c>
      <x:c r="S1365" s="50" t="n">
        <x:v>0.23822809593734703</x:v>
      </x:c>
      <x:c r="T1365" s="1" t="str">
        <x:v>下落</x:v>
      </x:c>
      <x:c r="U1365" s="49" t="n">
        <x:v>23</x:v>
      </x:c>
    </x:row>
    <x:row r="1366" ht="22" customHeight="1">
      <x:c r="A1366" s="1" t="str">
        <x:v>TOPIXmini</x:v>
      </x:c>
      <x:c r="B1366" s="1" t="str">
        <x:v>C11</x:v>
      </x:c>
      <x:c r="C1366" s="1" t="str">
        <x:v>診断3場</x:v>
      </x:c>
      <x:c r="D1366" s="47" t="n">
        <x:v>135670</x:v>
      </x:c>
      <x:c r="E1366" s="47" t="n">
        <x:v>154743</x:v>
      </x:c>
      <x:c r="F1366" s="47" t="n">
        <x:f>D1366-E1366</x:f>
        <x:v>-19073</x:v>
      </x:c>
      <x:c r="G1366" s="49" t="n">
        <x:v>2</x:v>
      </x:c>
      <x:c r="H1366" s="49" t="n">
        <x:v>1</x:v>
      </x:c>
      <x:c r="I1366" s="47" t="n">
        <x:v>-83572</x:v>
      </x:c>
      <x:c r="J1366" s="49" t="n">
        <x:v>22</x:v>
      </x:c>
      <x:c r="K1366" s="47" t="n">
        <x:v>-83572</x:v>
      </x:c>
      <x:c r="L1366" s="47" t="n">
        <x:v>83572</x:v>
      </x:c>
      <x:c r="M1366" s="48" t="n">
        <x:v>80.41666666666667</x:v>
      </x:c>
      <x:c r="N1366" s="48" t="n">
        <x:v>131.40555555555557</x:v>
      </x:c>
      <x:c r="O1366" s="49" t="n">
        <x:v>5</x:v>
      </x:c>
      <x:c r="P1366" s="1" t="str">
        <x:v>再失敗入口と複合管理の統合</x:v>
      </x:c>
      <x:c r="Q1366" s="49" t="n">
        <x:v>0</x:v>
      </x:c>
      <x:c r="R1366" s="50" t="n">
        <x:v>0.2553062678062678</x:v>
      </x:c>
      <x:c r="S1366" s="50" t="n">
        <x:v>0.1990993265993266</x:v>
      </x:c>
      <x:c r="T1366" s="1" t="str">
        <x:v>全場</x:v>
      </x:c>
      <x:c r="U1366" s="49" t="n">
        <x:v>3</x:v>
      </x:c>
    </x:row>
    <x:row r="1367" ht="22" customHeight="1">
      <x:c r="A1367" s="1" t="str">
        <x:v>TOPIXmini</x:v>
      </x:c>
      <x:c r="B1367" s="1" t="str">
        <x:v>C11</x:v>
      </x:c>
      <x:c r="C1367" s="1" t="str">
        <x:v>診断3場</x:v>
      </x:c>
      <x:c r="D1367" s="47" t="n">
        <x:v>18005</x:v>
      </x:c>
      <x:c r="E1367" s="47" t="n">
        <x:v>101577</x:v>
      </x:c>
      <x:c r="F1367" s="47" t="n">
        <x:f>D1367-E1367</x:f>
        <x:v>-83572</x:v>
      </x:c>
      <x:c r="G1367" s="49" t="n">
        <x:v>0</x:v>
      </x:c>
      <x:c r="H1367" s="49" t="n">
        <x:v>1</x:v>
      </x:c>
      <x:c r="I1367" s="47" t="n">
        <x:v>-83572</x:v>
      </x:c>
      <x:c r="J1367" s="49" t="n">
        <x:v>10</x:v>
      </x:c>
      <x:c r="K1367" s="47" t="n">
        <x:v>-83572</x:v>
      </x:c>
      <x:c r="L1367" s="47" t="n">
        <x:v>83572</x:v>
      </x:c>
      <x:c r="M1367" s="48" t="n">
        <x:v>43.95</x:v>
      </x:c>
      <x:c r="N1367" s="48" t="n">
        <x:v>237.06666666666666</x:v>
      </x:c>
      <x:c r="O1367" s="49" t="n">
        <x:v>5</x:v>
      </x:c>
      <x:c r="P1367" s="1" t="str">
        <x:v>再失敗入口と複合管理の統合</x:v>
      </x:c>
      <x:c r="Q1367" s="49" t="n">
        <x:v>0</x:v>
      </x:c>
      <x:c r="R1367" s="50" t="n">
        <x:v>0.5644444444444444</x:v>
      </x:c>
      <x:c r="S1367" s="50" t="n">
        <x:v>0.5644444444444444</x:v>
      </x:c>
      <x:c r="T1367" s="1" t="str">
        <x:v>デイ</x:v>
      </x:c>
      <x:c r="U1367" s="49" t="n">
        <x:v>1</x:v>
      </x:c>
    </x:row>
    <x:row r="1368" ht="22" customHeight="1">
      <x:c r="A1368" s="1" t="str">
        <x:v>TOPIXmini</x:v>
      </x:c>
      <x:c r="B1368" s="1" t="str">
        <x:v>C11</x:v>
      </x:c>
      <x:c r="C1368" s="1" t="str">
        <x:v>診断3場</x:v>
      </x:c>
      <x:c r="D1368" s="47" t="n">
        <x:v>117665</x:v>
      </x:c>
      <x:c r="E1368" s="47" t="n">
        <x:v>53166</x:v>
      </x:c>
      <x:c r="F1368" s="47" t="n">
        <x:f>D1368-E1368</x:f>
        <x:v>64499</x:v>
      </x:c>
      <x:c r="G1368" s="49" t="n">
        <x:v>2</x:v>
      </x:c>
      <x:c r="H1368" s="49" t="n">
        <x:v>0</x:v>
      </x:c>
      <x:c r="I1368" s="47" t="n">
        <x:v>0</x:v>
      </x:c>
      <x:c r="J1368" s="49" t="n">
        <x:v>12</x:v>
      </x:c>
      <x:c r="K1368" s="47" t="n">
        <x:v>30085</x:v>
      </x:c>
      <x:c r="L1368" s="47" t="n">
        <x:v>0</x:v>
      </x:c>
      <x:c r="M1368" s="48" t="n">
        <x:v>98.65</x:v>
      </x:c>
      <x:c r="N1368" s="48" t="n">
        <x:v>78.575</x:v>
      </x:c>
      <x:c r="O1368" s="49" t="n">
        <x:v>5</x:v>
      </x:c>
      <x:c r="P1368" s="1" t="str">
        <x:v>再失敗入口と複合管理の統合</x:v>
      </x:c>
      <x:c r="Q1368" s="49" t="n">
        <x:v>0</x:v>
      </x:c>
      <x:c r="R1368" s="50" t="n">
        <x:v>0.10073717948717949</x:v>
      </x:c>
      <x:c r="S1368" s="50" t="n">
        <x:v>0.10073717948717949</x:v>
      </x:c>
      <x:c r="T1368" s="1" t="str">
        <x:v>ナイト</x:v>
      </x:c>
      <x:c r="U1368" s="49" t="n">
        <x:v>2</x:v>
      </x:c>
    </x:row>
    <x:row r="1369" ht="22" customHeight="1">
      <x:c r="A1369" s="1" t="str">
        <x:v>TOPIXmini</x:v>
      </x:c>
      <x:c r="B1369" s="1" t="str">
        <x:v>C11</x:v>
      </x:c>
      <x:c r="C1369" s="1" t="str">
        <x:v>診断3場</x:v>
      </x:c>
      <x:c r="D1369" s="47" t="n">
        <x:v>39750</x:v>
      </x:c>
      <x:c r="E1369" s="47" t="n">
        <x:v>9665</x:v>
      </x:c>
      <x:c r="F1369" s="47" t="n">
        <x:f>D1369-E1369</x:f>
        <x:v>30085</x:v>
      </x:c>
      <x:c r="G1369" s="49" t="n">
        <x:v>1</x:v>
      </x:c>
      <x:c r="H1369" s="49" t="n">
        <x:v>0</x:v>
      </x:c>
      <x:c r="I1369" s="47" t="n">
        <x:v>0</x:v>
      </x:c>
      <x:c r="J1369" s="49" t="n">
        <x:v>4</x:v>
      </x:c>
      <x:c r="K1369" s="47" t="n">
        <x:v>30085</x:v>
      </x:c>
      <x:c r="L1369" s="47" t="n">
        <x:v>0</x:v>
      </x:c>
      <x:c r="M1369" s="48" t="n">
        <x:v>125.96666666666667</x:v>
      </x:c>
      <x:c r="N1369" s="48" t="n">
        <x:v>73.66666666666667</x:v>
      </x:c>
      <x:c r="O1369" s="49" t="n">
        <x:v>5</x:v>
      </x:c>
      <x:c r="P1369" s="1" t="str">
        <x:v>再失敗入口と複合管理の統合</x:v>
      </x:c>
      <x:c r="Q1369" s="49" t="n">
        <x:v>0</x:v>
      </x:c>
      <x:c r="R1369" s="50" t="n">
        <x:v>0.09444444444444444</x:v>
      </x:c>
      <x:c r="S1369" s="50" t="n">
        <x:v>0.09444444444444446</x:v>
      </x:c>
      <x:c r="T1369" s="1" t="str">
        <x:v>上昇</x:v>
      </x:c>
      <x:c r="U1369" s="49" t="n">
        <x:v>1</x:v>
      </x:c>
    </x:row>
    <x:row r="1370" ht="22" customHeight="1">
      <x:c r="A1370" s="1" t="str">
        <x:v>TOPIXmini</x:v>
      </x:c>
      <x:c r="B1370" s="1" t="str">
        <x:v>C11</x:v>
      </x:c>
      <x:c r="C1370" s="1" t="str">
        <x:v>診断3場</x:v>
      </x:c>
      <x:c r="D1370" s="47" t="n">
        <x:v>95920</x:v>
      </x:c>
      <x:c r="E1370" s="47" t="n">
        <x:v>145078</x:v>
      </x:c>
      <x:c r="F1370" s="47" t="n">
        <x:f>D1370-E1370</x:f>
        <x:v>-49158</x:v>
      </x:c>
      <x:c r="G1370" s="49" t="n">
        <x:v>1</x:v>
      </x:c>
      <x:c r="H1370" s="49" t="n">
        <x:v>1</x:v>
      </x:c>
      <x:c r="I1370" s="47" t="n">
        <x:v>-83572</x:v>
      </x:c>
      <x:c r="J1370" s="49" t="n">
        <x:v>18</x:v>
      </x:c>
      <x:c r="K1370" s="47" t="n">
        <x:v>-83572</x:v>
      </x:c>
      <x:c r="L1370" s="47" t="n">
        <x:v>83572</x:v>
      </x:c>
      <x:c r="M1370" s="48" t="n">
        <x:v>57.641666666666666</x:v>
      </x:c>
      <x:c r="N1370" s="48" t="n">
        <x:v>160.275</x:v>
      </x:c>
      <x:c r="O1370" s="49" t="n">
        <x:v>5</x:v>
      </x:c>
      <x:c r="P1370" s="1" t="str">
        <x:v>再失敗入口と複合管理の統合</x:v>
      </x:c>
      <x:c r="Q1370" s="49" t="n">
        <x:v>0</x:v>
      </x:c>
      <x:c r="R1370" s="50" t="n">
        <x:v>0.33573717948717946</x:v>
      </x:c>
      <x:c r="S1370" s="50" t="n">
        <x:v>0.267125</x:v>
      </x:c>
      <x:c r="T1370" s="1" t="str">
        <x:v>下落</x:v>
      </x:c>
      <x:c r="U1370" s="49" t="n">
        <x:v>2</x:v>
      </x:c>
    </x:row>
    <x:row r="1371" ht="22" customHeight="1">
      <x:c r="A1371" s="1" t="str">
        <x:v>TOPIXmini</x:v>
      </x:c>
      <x:c r="B1371" s="1" t="str">
        <x:v>C12</x:v>
      </x:c>
      <x:c r="C1371" s="1" t="str">
        <x:v>全50場</x:v>
      </x:c>
      <x:c r="D1371" s="47" t="n">
        <x:v>2345902</x:v>
      </x:c>
      <x:c r="E1371" s="47" t="n">
        <x:v>1628193</x:v>
      </x:c>
      <x:c r="F1371" s="47" t="n">
        <x:f>D1371-E1371</x:f>
        <x:v>717709</x:v>
      </x:c>
      <x:c r="G1371" s="49" t="n">
        <x:v>38</x:v>
      </x:c>
      <x:c r="H1371" s="49" t="n">
        <x:v>12</x:v>
      </x:c>
      <x:c r="I1371" s="47" t="n">
        <x:v>372624</x:v>
      </x:c>
      <x:c r="J1371" s="49" t="n">
        <x:v>179</x:v>
      </x:c>
      <x:c r="K1371" s="47" t="n">
        <x:v>-84406</x:v>
      </x:c>
      <x:c r="L1371" s="47" t="n">
        <x:v>44748.916666666664</x:v>
      </x:c>
      <x:c r="M1371" s="48" t="n">
        <x:v>199.58066666666664</x:v>
      </x:c>
      <x:c r="N1371" s="48" t="n">
        <x:v>131.83066666666667</x:v>
      </x:c>
      <x:c r="O1371" s="49" t="n">
        <x:v>5</x:v>
      </x:c>
      <x:c r="P1371" s="1" t="str">
        <x:v>合意入口と複合管理の統合</x:v>
      </x:c>
      <x:c r="Q1371" s="49" t="n">
        <x:v>0</x:v>
      </x:c>
      <x:c r="R1371" s="50" t="n">
        <x:v>0.2759810744810745</x:v>
      </x:c>
      <x:c r="S1371" s="50" t="n">
        <x:v>0.2197177777777778</x:v>
      </x:c>
      <x:c r="T1371" s="1" t="str">
        <x:v>全場</x:v>
      </x:c>
      <x:c r="U1371" s="49" t="n">
        <x:v>50</x:v>
      </x:c>
    </x:row>
    <x:row r="1372" ht="22" customHeight="1">
      <x:c r="A1372" s="1" t="str">
        <x:v>TOPIXmini</x:v>
      </x:c>
      <x:c r="B1372" s="1" t="str">
        <x:v>C12</x:v>
      </x:c>
      <x:c r="C1372" s="1" t="str">
        <x:v>全50場</x:v>
      </x:c>
      <x:c r="D1372" s="47" t="n">
        <x:v>1316352</x:v>
      </x:c>
      <x:c r="E1372" s="47" t="n">
        <x:v>980583</x:v>
      </x:c>
      <x:c r="F1372" s="47" t="n">
        <x:f>D1372-E1372</x:f>
        <x:v>335769</x:v>
      </x:c>
      <x:c r="G1372" s="49" t="n">
        <x:v>16</x:v>
      </x:c>
      <x:c r="H1372" s="49" t="n">
        <x:v>9</x:v>
      </x:c>
      <x:c r="I1372" s="47" t="n">
        <x:v>14186</x:v>
      </x:c>
      <x:c r="J1372" s="49" t="n">
        <x:v>95</x:v>
      </x:c>
      <x:c r="K1372" s="47" t="n">
        <x:v>-84406</x:v>
      </x:c>
      <x:c r="L1372" s="47" t="n">
        <x:v>46812.333333333336</x:v>
      </x:c>
      <x:c r="M1372" s="48" t="n">
        <x:v>87.76199999999999</x:v>
      </x:c>
      <x:c r="N1372" s="48" t="n">
        <x:v>194.68066666666667</x:v>
      </x:c>
      <x:c r="O1372" s="49" t="n">
        <x:v>5</x:v>
      </x:c>
      <x:c r="P1372" s="1" t="str">
        <x:v>合意入口と複合管理の統合</x:v>
      </x:c>
      <x:c r="Q1372" s="49" t="n">
        <x:v>0</x:v>
      </x:c>
      <x:c r="R1372" s="50" t="n">
        <x:v>0.46352539682539684</x:v>
      </x:c>
      <x:c r="S1372" s="50" t="n">
        <x:v>0.4635253968253968</x:v>
      </x:c>
      <x:c r="T1372" s="1" t="str">
        <x:v>デイ</x:v>
      </x:c>
      <x:c r="U1372" s="49" t="n">
        <x:v>25</x:v>
      </x:c>
    </x:row>
    <x:row r="1373" ht="22" customHeight="1">
      <x:c r="A1373" s="1" t="str">
        <x:v>TOPIXmini</x:v>
      </x:c>
      <x:c r="B1373" s="1" t="str">
        <x:v>C12</x:v>
      </x:c>
      <x:c r="C1373" s="1" t="str">
        <x:v>全50場</x:v>
      </x:c>
      <x:c r="D1373" s="47" t="n">
        <x:v>1029550</x:v>
      </x:c>
      <x:c r="E1373" s="47" t="n">
        <x:v>647610</x:v>
      </x:c>
      <x:c r="F1373" s="47" t="n">
        <x:f>D1373-E1373</x:f>
        <x:v>381940</x:v>
      </x:c>
      <x:c r="G1373" s="49" t="n">
        <x:v>22</x:v>
      </x:c>
      <x:c r="H1373" s="49" t="n">
        <x:v>3</x:v>
      </x:c>
      <x:c r="I1373" s="47" t="n">
        <x:v>181701</x:v>
      </x:c>
      <x:c r="J1373" s="49" t="n">
        <x:v>84</x:v>
      </x:c>
      <x:c r="K1373" s="47" t="n">
        <x:v>-40836</x:v>
      </x:c>
      <x:c r="L1373" s="47" t="n">
        <x:v>38558.666666666664</x:v>
      </x:c>
      <x:c r="M1373" s="48" t="n">
        <x:v>311.3993333333333</x:v>
      </x:c>
      <x:c r="N1373" s="48" t="n">
        <x:v>68.98066666666666</x:v>
      </x:c>
      <x:c r="O1373" s="49" t="n">
        <x:v>5</x:v>
      </x:c>
      <x:c r="P1373" s="1" t="str">
        <x:v>合意入口と複合管理の統合</x:v>
      </x:c>
      <x:c r="Q1373" s="49" t="n">
        <x:v>0</x:v>
      </x:c>
      <x:c r="R1373" s="50" t="n">
        <x:v>0.08843675213675213</x:v>
      </x:c>
      <x:c r="S1373" s="50" t="n">
        <x:v>0.08843675213675213</x:v>
      </x:c>
      <x:c r="T1373" s="1" t="str">
        <x:v>ナイト</x:v>
      </x:c>
      <x:c r="U1373" s="49" t="n">
        <x:v>25</x:v>
      </x:c>
    </x:row>
    <x:row r="1374" ht="22" customHeight="1">
      <x:c r="A1374" s="1" t="str">
        <x:v>TOPIXmini</x:v>
      </x:c>
      <x:c r="B1374" s="1" t="str">
        <x:v>C12</x:v>
      </x:c>
      <x:c r="C1374" s="1" t="str">
        <x:v>全50場</x:v>
      </x:c>
      <x:c r="D1374" s="47" t="n">
        <x:v>1037740</x:v>
      </x:c>
      <x:c r="E1374" s="47" t="n">
        <x:v>831774</x:v>
      </x:c>
      <x:c r="F1374" s="47" t="n">
        <x:f>D1374-E1374</x:f>
        <x:v>205966</x:v>
      </x:c>
      <x:c r="G1374" s="49" t="n">
        <x:v>18</x:v>
      </x:c>
      <x:c r="H1374" s="49" t="n">
        <x:v>7</x:v>
      </x:c>
      <x:c r="I1374" s="47" t="n">
        <x:v>-33701</x:v>
      </x:c>
      <x:c r="J1374" s="49" t="n">
        <x:v>78</x:v>
      </x:c>
      <x:c r="K1374" s="47" t="n">
        <x:v>-81168</x:v>
      </x:c>
      <x:c r="L1374" s="47" t="n">
        <x:v>49394</x:v>
      </x:c>
      <x:c r="M1374" s="48" t="n">
        <x:v>213.88866666666664</x:v>
      </x:c>
      <x:c r="N1374" s="48" t="n">
        <x:v>118.98999999999998</x:v>
      </x:c>
      <x:c r="O1374" s="49" t="n">
        <x:v>5</x:v>
      </x:c>
      <x:c r="P1374" s="1" t="str">
        <x:v>合意入口と複合管理の統合</x:v>
      </x:c>
      <x:c r="Q1374" s="49" t="n">
        <x:v>0</x:v>
      </x:c>
      <x:c r="R1374" s="50" t="n">
        <x:v>0.2433212454212454</x:v>
      </x:c>
      <x:c r="S1374" s="50" t="n">
        <x:v>0.19596508563899867</x:v>
      </x:c>
      <x:c r="T1374" s="1" t="str">
        <x:v>上昇</x:v>
      </x:c>
      <x:c r="U1374" s="49" t="n">
        <x:v>25</x:v>
      </x:c>
    </x:row>
    <x:row r="1375" ht="22" customHeight="1">
      <x:c r="A1375" s="1" t="str">
        <x:v>TOPIXmini</x:v>
      </x:c>
      <x:c r="B1375" s="1" t="str">
        <x:v>C12</x:v>
      </x:c>
      <x:c r="C1375" s="1" t="str">
        <x:v>全50場</x:v>
      </x:c>
      <x:c r="D1375" s="47" t="n">
        <x:v>1308162</x:v>
      </x:c>
      <x:c r="E1375" s="47" t="n">
        <x:v>796419</x:v>
      </x:c>
      <x:c r="F1375" s="47" t="n">
        <x:f>D1375-E1375</x:f>
        <x:v>511743</x:v>
      </x:c>
      <x:c r="G1375" s="49" t="n">
        <x:v>20</x:v>
      </x:c>
      <x:c r="H1375" s="49" t="n">
        <x:v>5</x:v>
      </x:c>
      <x:c r="I1375" s="47" t="n">
        <x:v>166830</x:v>
      </x:c>
      <x:c r="J1375" s="49" t="n">
        <x:v>101</x:v>
      </x:c>
      <x:c r="K1375" s="47" t="n">
        <x:v>-84406</x:v>
      </x:c>
      <x:c r="L1375" s="47" t="n">
        <x:v>38245.8</x:v>
      </x:c>
      <x:c r="M1375" s="48" t="n">
        <x:v>185.27266666666665</x:v>
      </x:c>
      <x:c r="N1375" s="48" t="n">
        <x:v>144.67133333333334</x:v>
      </x:c>
      <x:c r="O1375" s="49" t="n">
        <x:v>5</x:v>
      </x:c>
      <x:c r="P1375" s="1" t="str">
        <x:v>合意入口と複合管理の統合</x:v>
      </x:c>
      <x:c r="Q1375" s="49" t="n">
        <x:v>0</x:v>
      </x:c>
      <x:c r="R1375" s="50" t="n">
        <x:v>0.3086409035409035</x:v>
      </x:c>
      <x:c r="S1375" s="50" t="n">
        <x:v>0.24404745838956365</x:v>
      </x:c>
      <x:c r="T1375" s="1" t="str">
        <x:v>下落</x:v>
      </x:c>
      <x:c r="U1375" s="49" t="n">
        <x:v>25</x:v>
      </x:c>
    </x:row>
    <x:row r="1376" ht="22" customHeight="1">
      <x:c r="A1376" s="1" t="str">
        <x:v>TOPIXmini</x:v>
      </x:c>
      <x:c r="B1376" s="1" t="str">
        <x:v>C12</x:v>
      </x:c>
      <x:c r="C1376" s="1" t="str">
        <x:v>対照47場</x:v>
      </x:c>
      <x:c r="D1376" s="47" t="n">
        <x:v>2214066</x:v>
      </x:c>
      <x:c r="E1376" s="47" t="n">
        <x:v>1476450</x:v>
      </x:c>
      <x:c r="F1376" s="47" t="n">
        <x:f>D1376-E1376</x:f>
        <x:v>737616</x:v>
      </x:c>
      <x:c r="G1376" s="49" t="n">
        <x:v>36</x:v>
      </x:c>
      <x:c r="H1376" s="49" t="n">
        <x:v>11</x:v>
      </x:c>
      <x:c r="I1376" s="47" t="n">
        <x:v>392531</x:v>
      </x:c>
      <x:c r="J1376" s="49" t="n">
        <x:v>158</x:v>
      </x:c>
      <x:c r="K1376" s="47" t="n">
        <x:v>-81168</x:v>
      </x:c>
      <x:c r="L1376" s="47" t="n">
        <x:v>41143.72727272727</x:v>
      </x:c>
      <x:c r="M1376" s="48" t="n">
        <x:v>207.18687943262407</x:v>
      </x:c>
      <x:c r="N1376" s="48" t="n">
        <x:v>131.49716312056736</x:v>
      </x:c>
      <x:c r="O1376" s="49" t="n">
        <x:v>5</x:v>
      </x:c>
      <x:c r="P1376" s="1" t="str">
        <x:v>合意入口と複合管理の統合</x:v>
      </x:c>
      <x:c r="Q1376" s="49" t="n">
        <x:v>0</x:v>
      </x:c>
      <x:c r="R1376" s="50" t="n">
        <x:v>0.27644208037825063</x:v>
      </x:c>
      <x:c r="S1376" s="50" t="n">
        <x:v>0.22056983107304307</x:v>
      </x:c>
      <x:c r="T1376" s="1" t="str">
        <x:v>全場</x:v>
      </x:c>
      <x:c r="U1376" s="49" t="n">
        <x:v>47</x:v>
      </x:c>
    </x:row>
    <x:row r="1377" ht="22" customHeight="1">
      <x:c r="A1377" s="1" t="str">
        <x:v>TOPIXmini</x:v>
      </x:c>
      <x:c r="B1377" s="1" t="str">
        <x:v>C12</x:v>
      </x:c>
      <x:c r="C1377" s="1" t="str">
        <x:v>対照47場</x:v>
      </x:c>
      <x:c r="D1377" s="47" t="n">
        <x:v>1302181</x:v>
      </x:c>
      <x:c r="E1377" s="47" t="n">
        <x:v>882006</x:v>
      </x:c>
      <x:c r="F1377" s="47" t="n">
        <x:f>D1377-E1377</x:f>
        <x:v>420175</x:v>
      </x:c>
      <x:c r="G1377" s="49" t="n">
        <x:v>16</x:v>
      </x:c>
      <x:c r="H1377" s="49" t="n">
        <x:v>8</x:v>
      </x:c>
      <x:c r="I1377" s="47" t="n">
        <x:v>98592</x:v>
      </x:c>
      <x:c r="J1377" s="49" t="n">
        <x:v>86</x:v>
      </x:c>
      <x:c r="K1377" s="47" t="n">
        <x:v>-81168</x:v>
      </x:c>
      <x:c r="L1377" s="47" t="n">
        <x:v>42113.125</x:v>
      </x:c>
      <x:c r="M1377" s="48" t="n">
        <x:v>89.58749999999999</x:v>
      </x:c>
      <x:c r="N1377" s="48" t="n">
        <x:v>192.20833333333334</x:v>
      </x:c>
      <x:c r="O1377" s="49" t="n">
        <x:v>5</x:v>
      </x:c>
      <x:c r="P1377" s="1" t="str">
        <x:v>合意入口と複合管理の統合</x:v>
      </x:c>
      <x:c r="Q1377" s="49" t="n">
        <x:v>0</x:v>
      </x:c>
      <x:c r="R1377" s="50" t="n">
        <x:v>0.45763888888888893</x:v>
      </x:c>
      <x:c r="S1377" s="50" t="n">
        <x:v>0.4576388888888889</x:v>
      </x:c>
      <x:c r="T1377" s="1" t="str">
        <x:v>デイ</x:v>
      </x:c>
      <x:c r="U1377" s="49" t="n">
        <x:v>24</x:v>
      </x:c>
    </x:row>
    <x:row r="1378" ht="22" customHeight="1">
      <x:c r="A1378" s="1" t="str">
        <x:v>TOPIXmini</x:v>
      </x:c>
      <x:c r="B1378" s="1" t="str">
        <x:v>C12</x:v>
      </x:c>
      <x:c r="C1378" s="1" t="str">
        <x:v>対照47場</x:v>
      </x:c>
      <x:c r="D1378" s="47" t="n">
        <x:v>911885</x:v>
      </x:c>
      <x:c r="E1378" s="47" t="n">
        <x:v>594444</x:v>
      </x:c>
      <x:c r="F1378" s="47" t="n">
        <x:f>D1378-E1378</x:f>
        <x:v>317441</x:v>
      </x:c>
      <x:c r="G1378" s="49" t="n">
        <x:v>20</x:v>
      </x:c>
      <x:c r="H1378" s="49" t="n">
        <x:v>3</x:v>
      </x:c>
      <x:c r="I1378" s="47" t="n">
        <x:v>117202</x:v>
      </x:c>
      <x:c r="J1378" s="49" t="n">
        <x:v>72</x:v>
      </x:c>
      <x:c r="K1378" s="47" t="n">
        <x:v>-40836</x:v>
      </x:c>
      <x:c r="L1378" s="47" t="n">
        <x:v>38558.666666666664</x:v>
      </x:c>
      <x:c r="M1378" s="48" t="n">
        <x:v>329.8992753623188</x:v>
      </x:c>
      <x:c r="N1378" s="48" t="n">
        <x:v>68.1463768115942</x:v>
      </x:c>
      <x:c r="O1378" s="49" t="n">
        <x:v>5</x:v>
      </x:c>
      <x:c r="P1378" s="1" t="str">
        <x:v>合意入口と複合管理の統合</x:v>
      </x:c>
      <x:c r="Q1378" s="49" t="n">
        <x:v>0</x:v>
      </x:c>
      <x:c r="R1378" s="50" t="n">
        <x:v>0.08736714975845411</x:v>
      </x:c>
      <x:c r="S1378" s="50" t="n">
        <x:v>0.0873671497584541</x:v>
      </x:c>
      <x:c r="T1378" s="1" t="str">
        <x:v>ナイト</x:v>
      </x:c>
      <x:c r="U1378" s="49" t="n">
        <x:v>23</x:v>
      </x:c>
    </x:row>
    <x:row r="1379" ht="22" customHeight="1">
      <x:c r="A1379" s="1" t="str">
        <x:v>TOPIXmini</x:v>
      </x:c>
      <x:c r="B1379" s="1" t="str">
        <x:v>C12</x:v>
      </x:c>
      <x:c r="C1379" s="1" t="str">
        <x:v>対照47場</x:v>
      </x:c>
      <x:c r="D1379" s="47" t="n">
        <x:v>997990</x:v>
      </x:c>
      <x:c r="E1379" s="47" t="n">
        <x:v>822109</x:v>
      </x:c>
      <x:c r="F1379" s="47" t="n">
        <x:f>D1379-E1379</x:f>
        <x:v>175881</x:v>
      </x:c>
      <x:c r="G1379" s="49" t="n">
        <x:v>17</x:v>
      </x:c>
      <x:c r="H1379" s="49" t="n">
        <x:v>7</x:v>
      </x:c>
      <x:c r="I1379" s="47" t="n">
        <x:v>-63786</x:v>
      </x:c>
      <x:c r="J1379" s="49" t="n">
        <x:v>74</x:v>
      </x:c>
      <x:c r="K1379" s="47" t="n">
        <x:v>-81168</x:v>
      </x:c>
      <x:c r="L1379" s="47" t="n">
        <x:v>49394</x:v>
      </x:c>
      <x:c r="M1379" s="48" t="n">
        <x:v>217.55208333333334</x:v>
      </x:c>
      <x:c r="N1379" s="48" t="n">
        <x:v>120.87847222222221</x:v>
      </x:c>
      <x:c r="O1379" s="49" t="n">
        <x:v>5</x:v>
      </x:c>
      <x:c r="P1379" s="1" t="str">
        <x:v>合意入口と複合管理の統合</x:v>
      </x:c>
      <x:c r="Q1379" s="49" t="n">
        <x:v>0</x:v>
      </x:c>
      <x:c r="R1379" s="50" t="n">
        <x:v>0.24952444546194544</x:v>
      </x:c>
      <x:c r="S1379" s="50" t="n">
        <x:v>0.20146412037037037</x:v>
      </x:c>
      <x:c r="T1379" s="1" t="str">
        <x:v>上昇</x:v>
      </x:c>
      <x:c r="U1379" s="49" t="n">
        <x:v>24</x:v>
      </x:c>
    </x:row>
    <x:row r="1380" ht="22" customHeight="1">
      <x:c r="A1380" s="1" t="str">
        <x:v>TOPIXmini</x:v>
      </x:c>
      <x:c r="B1380" s="1" t="str">
        <x:v>C12</x:v>
      </x:c>
      <x:c r="C1380" s="1" t="str">
        <x:v>対照47場</x:v>
      </x:c>
      <x:c r="D1380" s="47" t="n">
        <x:v>1216076</x:v>
      </x:c>
      <x:c r="E1380" s="47" t="n">
        <x:v>654341</x:v>
      </x:c>
      <x:c r="F1380" s="47" t="n">
        <x:f>D1380-E1380</x:f>
        <x:v>561735</x:v>
      </x:c>
      <x:c r="G1380" s="49" t="n">
        <x:v>19</x:v>
      </x:c>
      <x:c r="H1380" s="49" t="n">
        <x:v>4</x:v>
      </x:c>
      <x:c r="I1380" s="47" t="n">
        <x:v>216822</x:v>
      </x:c>
      <x:c r="J1380" s="49" t="n">
        <x:v>84</x:v>
      </x:c>
      <x:c r="K1380" s="47" t="n">
        <x:v>-40836</x:v>
      </x:c>
      <x:c r="L1380" s="47" t="n">
        <x:v>26705.75</x:v>
      </x:c>
      <x:c r="M1380" s="48" t="n">
        <x:v>196.37101449275363</x:v>
      </x:c>
      <x:c r="N1380" s="48" t="n">
        <x:v>142.57753623188407</x:v>
      </x:c>
      <x:c r="O1380" s="49" t="n">
        <x:v>5</x:v>
      </x:c>
      <x:c r="P1380" s="1" t="str">
        <x:v>合意入口と複合管理の統合</x:v>
      </x:c>
      <x:c r="Q1380" s="49" t="n">
        <x:v>0</x:v>
      </x:c>
      <x:c r="R1380" s="50" t="n">
        <x:v>0.3045300472474386</x:v>
      </x:c>
      <x:c r="S1380" s="50" t="n">
        <x:v>0.24076970141948115</x:v>
      </x:c>
      <x:c r="T1380" s="1" t="str">
        <x:v>下落</x:v>
      </x:c>
      <x:c r="U1380" s="49" t="n">
        <x:v>23</x:v>
      </x:c>
    </x:row>
    <x:row r="1381" ht="22" customHeight="1">
      <x:c r="A1381" s="1" t="str">
        <x:v>TOPIXmini</x:v>
      </x:c>
      <x:c r="B1381" s="1" t="str">
        <x:v>C12</x:v>
      </x:c>
      <x:c r="C1381" s="1" t="str">
        <x:v>診断3場</x:v>
      </x:c>
      <x:c r="D1381" s="47" t="n">
        <x:v>131836</x:v>
      </x:c>
      <x:c r="E1381" s="47" t="n">
        <x:v>151743</x:v>
      </x:c>
      <x:c r="F1381" s="47" t="n">
        <x:f>D1381-E1381</x:f>
        <x:v>-19907</x:v>
      </x:c>
      <x:c r="G1381" s="49" t="n">
        <x:v>2</x:v>
      </x:c>
      <x:c r="H1381" s="49" t="n">
        <x:v>1</x:v>
      </x:c>
      <x:c r="I1381" s="47" t="n">
        <x:v>-84406</x:v>
      </x:c>
      <x:c r="J1381" s="49" t="n">
        <x:v>21</x:v>
      </x:c>
      <x:c r="K1381" s="47" t="n">
        <x:v>-84406</x:v>
      </x:c>
      <x:c r="L1381" s="47" t="n">
        <x:v>84406</x:v>
      </x:c>
      <x:c r="M1381" s="48" t="n">
        <x:v>80.41666666666667</x:v>
      </x:c>
      <x:c r="N1381" s="48" t="n">
        <x:v>137.05555555555557</x:v>
      </x:c>
      <x:c r="O1381" s="49" t="n">
        <x:v>5</x:v>
      </x:c>
      <x:c r="P1381" s="1" t="str">
        <x:v>合意入口と複合管理の統合</x:v>
      </x:c>
      <x:c r="Q1381" s="49" t="n">
        <x:v>0</x:v>
      </x:c>
      <x:c r="R1381" s="50" t="n">
        <x:v>0.26875864875864874</x:v>
      </x:c>
      <x:c r="S1381" s="50" t="n">
        <x:v>0.20765993265993268</x:v>
      </x:c>
      <x:c r="T1381" s="1" t="str">
        <x:v>全場</x:v>
      </x:c>
      <x:c r="U1381" s="49" t="n">
        <x:v>3</x:v>
      </x:c>
    </x:row>
    <x:row r="1382" ht="22" customHeight="1">
      <x:c r="A1382" s="1" t="str">
        <x:v>TOPIXmini</x:v>
      </x:c>
      <x:c r="B1382" s="1" t="str">
        <x:v>C12</x:v>
      </x:c>
      <x:c r="C1382" s="1" t="str">
        <x:v>診断3場</x:v>
      </x:c>
      <x:c r="D1382" s="47" t="n">
        <x:v>14171</x:v>
      </x:c>
      <x:c r="E1382" s="47" t="n">
        <x:v>98577</x:v>
      </x:c>
      <x:c r="F1382" s="47" t="n">
        <x:f>D1382-E1382</x:f>
        <x:v>-84406</x:v>
      </x:c>
      <x:c r="G1382" s="49" t="n">
        <x:v>0</x:v>
      </x:c>
      <x:c r="H1382" s="49" t="n">
        <x:v>1</x:v>
      </x:c>
      <x:c r="I1382" s="47" t="n">
        <x:v>-84406</x:v>
      </x:c>
      <x:c r="J1382" s="49" t="n">
        <x:v>9</x:v>
      </x:c>
      <x:c r="K1382" s="47" t="n">
        <x:v>-84406</x:v>
      </x:c>
      <x:c r="L1382" s="47" t="n">
        <x:v>84406</x:v>
      </x:c>
      <x:c r="M1382" s="48" t="n">
        <x:v>43.95</x:v>
      </x:c>
      <x:c r="N1382" s="48" t="n">
        <x:v>254.01666666666668</x:v>
      </x:c>
      <x:c r="O1382" s="49" t="n">
        <x:v>5</x:v>
      </x:c>
      <x:c r="P1382" s="1" t="str">
        <x:v>合意入口と複合管理の統合</x:v>
      </x:c>
      <x:c r="Q1382" s="49" t="n">
        <x:v>0</x:v>
      </x:c>
      <x:c r="R1382" s="50" t="n">
        <x:v>0.6048015873015873</x:v>
      </x:c>
      <x:c r="S1382" s="50" t="n">
        <x:v>0.6048015873015873</x:v>
      </x:c>
      <x:c r="T1382" s="1" t="str">
        <x:v>デイ</x:v>
      </x:c>
      <x:c r="U1382" s="49" t="n">
        <x:v>1</x:v>
      </x:c>
    </x:row>
    <x:row r="1383" ht="22" customHeight="1">
      <x:c r="A1383" s="1" t="str">
        <x:v>TOPIXmini</x:v>
      </x:c>
      <x:c r="B1383" s="1" t="str">
        <x:v>C12</x:v>
      </x:c>
      <x:c r="C1383" s="1" t="str">
        <x:v>診断3場</x:v>
      </x:c>
      <x:c r="D1383" s="47" t="n">
        <x:v>117665</x:v>
      </x:c>
      <x:c r="E1383" s="47" t="n">
        <x:v>53166</x:v>
      </x:c>
      <x:c r="F1383" s="47" t="n">
        <x:f>D1383-E1383</x:f>
        <x:v>64499</x:v>
      </x:c>
      <x:c r="G1383" s="49" t="n">
        <x:v>2</x:v>
      </x:c>
      <x:c r="H1383" s="49" t="n">
        <x:v>0</x:v>
      </x:c>
      <x:c r="I1383" s="47" t="n">
        <x:v>0</x:v>
      </x:c>
      <x:c r="J1383" s="49" t="n">
        <x:v>12</x:v>
      </x:c>
      <x:c r="K1383" s="47" t="n">
        <x:v>30085</x:v>
      </x:c>
      <x:c r="L1383" s="47" t="n">
        <x:v>0</x:v>
      </x:c>
      <x:c r="M1383" s="48" t="n">
        <x:v>98.65</x:v>
      </x:c>
      <x:c r="N1383" s="48" t="n">
        <x:v>78.575</x:v>
      </x:c>
      <x:c r="O1383" s="49" t="n">
        <x:v>5</x:v>
      </x:c>
      <x:c r="P1383" s="1" t="str">
        <x:v>合意入口と複合管理の統合</x:v>
      </x:c>
      <x:c r="Q1383" s="49" t="n">
        <x:v>0</x:v>
      </x:c>
      <x:c r="R1383" s="50" t="n">
        <x:v>0.10073717948717949</x:v>
      </x:c>
      <x:c r="S1383" s="50" t="n">
        <x:v>0.10073717948717949</x:v>
      </x:c>
      <x:c r="T1383" s="1" t="str">
        <x:v>ナイト</x:v>
      </x:c>
      <x:c r="U1383" s="49" t="n">
        <x:v>2</x:v>
      </x:c>
    </x:row>
    <x:row r="1384" ht="22" customHeight="1">
      <x:c r="A1384" s="1" t="str">
        <x:v>TOPIXmini</x:v>
      </x:c>
      <x:c r="B1384" s="1" t="str">
        <x:v>C12</x:v>
      </x:c>
      <x:c r="C1384" s="1" t="str">
        <x:v>診断3場</x:v>
      </x:c>
      <x:c r="D1384" s="47" t="n">
        <x:v>39750</x:v>
      </x:c>
      <x:c r="E1384" s="47" t="n">
        <x:v>9665</x:v>
      </x:c>
      <x:c r="F1384" s="47" t="n">
        <x:f>D1384-E1384</x:f>
        <x:v>30085</x:v>
      </x:c>
      <x:c r="G1384" s="49" t="n">
        <x:v>1</x:v>
      </x:c>
      <x:c r="H1384" s="49" t="n">
        <x:v>0</x:v>
      </x:c>
      <x:c r="I1384" s="47" t="n">
        <x:v>0</x:v>
      </x:c>
      <x:c r="J1384" s="49" t="n">
        <x:v>4</x:v>
      </x:c>
      <x:c r="K1384" s="47" t="n">
        <x:v>30085</x:v>
      </x:c>
      <x:c r="L1384" s="47" t="n">
        <x:v>0</x:v>
      </x:c>
      <x:c r="M1384" s="48" t="n">
        <x:v>125.96666666666667</x:v>
      </x:c>
      <x:c r="N1384" s="48" t="n">
        <x:v>73.66666666666667</x:v>
      </x:c>
      <x:c r="O1384" s="49" t="n">
        <x:v>5</x:v>
      </x:c>
      <x:c r="P1384" s="1" t="str">
        <x:v>合意入口と複合管理の統合</x:v>
      </x:c>
      <x:c r="Q1384" s="49" t="n">
        <x:v>0</x:v>
      </x:c>
      <x:c r="R1384" s="50" t="n">
        <x:v>0.09444444444444444</x:v>
      </x:c>
      <x:c r="S1384" s="50" t="n">
        <x:v>0.09444444444444446</x:v>
      </x:c>
      <x:c r="T1384" s="1" t="str">
        <x:v>上昇</x:v>
      </x:c>
      <x:c r="U1384" s="49" t="n">
        <x:v>1</x:v>
      </x:c>
    </x:row>
    <x:row r="1385" ht="22" customHeight="1">
      <x:c r="A1385" s="1" t="str">
        <x:v>TOPIXmini</x:v>
      </x:c>
      <x:c r="B1385" s="1" t="str">
        <x:v>C12</x:v>
      </x:c>
      <x:c r="C1385" s="1" t="str">
        <x:v>診断3場</x:v>
      </x:c>
      <x:c r="D1385" s="47" t="n">
        <x:v>92086</x:v>
      </x:c>
      <x:c r="E1385" s="47" t="n">
        <x:v>142078</x:v>
      </x:c>
      <x:c r="F1385" s="47" t="n">
        <x:f>D1385-E1385</x:f>
        <x:v>-49992</x:v>
      </x:c>
      <x:c r="G1385" s="49" t="n">
        <x:v>1</x:v>
      </x:c>
      <x:c r="H1385" s="49" t="n">
        <x:v>1</x:v>
      </x:c>
      <x:c r="I1385" s="47" t="n">
        <x:v>-84406</x:v>
      </x:c>
      <x:c r="J1385" s="49" t="n">
        <x:v>17</x:v>
      </x:c>
      <x:c r="K1385" s="47" t="n">
        <x:v>-84406</x:v>
      </x:c>
      <x:c r="L1385" s="47" t="n">
        <x:v>84406</x:v>
      </x:c>
      <x:c r="M1385" s="48" t="n">
        <x:v>57.641666666666666</x:v>
      </x:c>
      <x:c r="N1385" s="48" t="n">
        <x:v>168.75</x:v>
      </x:c>
      <x:c r="O1385" s="49" t="n">
        <x:v>5</x:v>
      </x:c>
      <x:c r="P1385" s="1" t="str">
        <x:v>合意入口と複合管理の統合</x:v>
      </x:c>
      <x:c r="Q1385" s="49" t="n">
        <x:v>0</x:v>
      </x:c>
      <x:c r="R1385" s="50" t="n">
        <x:v>0.3559157509157509</x:v>
      </x:c>
      <x:c r="S1385" s="50" t="n">
        <x:v>0.28125</x:v>
      </x:c>
      <x:c r="T1385" s="1" t="str">
        <x:v>下落</x:v>
      </x:c>
      <x:c r="U1385" s="49" t="n">
        <x:v>2</x:v>
      </x:c>
    </x:row>
    <x:row r="1386" ht="22" customHeight="1">
      <x:c r="A1386" s="1" t="str">
        <x:v>TOPIXmini</x:v>
      </x:c>
      <x:c r="B1386" s="1" t="str">
        <x:v>C13</x:v>
      </x:c>
      <x:c r="C1386" s="1" t="str">
        <x:v>全50場</x:v>
      </x:c>
      <x:c r="D1386" s="47" t="n">
        <x:v>2354231</x:v>
      </x:c>
      <x:c r="E1386" s="47" t="n">
        <x:v>1692611</x:v>
      </x:c>
      <x:c r="F1386" s="47" t="n">
        <x:f>D1386-E1386</x:f>
        <x:v>661620</x:v>
      </x:c>
      <x:c r="G1386" s="49" t="n">
        <x:v>37</x:v>
      </x:c>
      <x:c r="H1386" s="49" t="n">
        <x:v>13</x:v>
      </x:c>
      <x:c r="I1386" s="47" t="n">
        <x:v>316535</x:v>
      </x:c>
      <x:c r="J1386" s="49" t="n">
        <x:v>177</x:v>
      </x:c>
      <x:c r="K1386" s="47" t="n">
        <x:v>-120491</x:v>
      </x:c>
      <x:c r="L1386" s="47" t="n">
        <x:v>44620.92307692308</x:v>
      </x:c>
      <x:c r="M1386" s="48" t="n">
        <x:v>199.60933333333335</x:v>
      </x:c>
      <x:c r="N1386" s="48" t="n">
        <x:v>131.12633333333332</x:v>
      </x:c>
      <x:c r="O1386" s="49" t="n">
        <x:v>5</x:v>
      </x:c>
      <x:c r="P1386" s="1" t="str">
        <x:v>旧再進行入口と長短管理</x:v>
      </x:c>
      <x:c r="Q1386" s="49" t="n">
        <x:v>0</x:v>
      </x:c>
      <x:c r="R1386" s="50" t="n">
        <x:v>0.27430409035409037</x:v>
      </x:c>
      <x:c r="S1386" s="50" t="n">
        <x:v>0.2185438888888889</x:v>
      </x:c>
      <x:c r="T1386" s="1" t="str">
        <x:v>全場</x:v>
      </x:c>
      <x:c r="U1386" s="49" t="n">
        <x:v>50</x:v>
      </x:c>
    </x:row>
    <x:row r="1387" ht="22" customHeight="1">
      <x:c r="A1387" s="1" t="str">
        <x:v>TOPIXmini</x:v>
      </x:c>
      <x:c r="B1387" s="1" t="str">
        <x:v>C13</x:v>
      </x:c>
      <x:c r="C1387" s="1" t="str">
        <x:v>全50場</x:v>
      </x:c>
      <x:c r="D1387" s="47" t="n">
        <x:v>1324681</x:v>
      </x:c>
      <x:c r="E1387" s="47" t="n">
        <x:v>1045001</x:v>
      </x:c>
      <x:c r="F1387" s="47" t="n">
        <x:f>D1387-E1387</x:f>
        <x:v>279680</x:v>
      </x:c>
      <x:c r="G1387" s="49" t="n">
        <x:v>15</x:v>
      </x:c>
      <x:c r="H1387" s="49" t="n">
        <x:v>10</x:v>
      </x:c>
      <x:c r="I1387" s="47" t="n">
        <x:v>-41903</x:v>
      </x:c>
      <x:c r="J1387" s="49" t="n">
        <x:v>93</x:v>
      </x:c>
      <x:c r="K1387" s="47" t="n">
        <x:v>-120491</x:v>
      </x:c>
      <x:c r="L1387" s="47" t="n">
        <x:v>46439.6</x:v>
      </x:c>
      <x:c r="M1387" s="48" t="n">
        <x:v>87.81933333333332</x:v>
      </x:c>
      <x:c r="N1387" s="48" t="n">
        <x:v>193.27199999999996</x:v>
      </x:c>
      <x:c r="O1387" s="49" t="n">
        <x:v>5</x:v>
      </x:c>
      <x:c r="P1387" s="1" t="str">
        <x:v>旧再進行入口と長短管理</x:v>
      </x:c>
      <x:c r="Q1387" s="49" t="n">
        <x:v>0</x:v>
      </x:c>
      <x:c r="R1387" s="50" t="n">
        <x:v>0.46017142857142856</x:v>
      </x:c>
      <x:c r="S1387" s="50" t="n">
        <x:v>0.46017142857142856</x:v>
      </x:c>
      <x:c r="T1387" s="1" t="str">
        <x:v>デイ</x:v>
      </x:c>
      <x:c r="U1387" s="49" t="n">
        <x:v>25</x:v>
      </x:c>
    </x:row>
    <x:row r="1388" ht="22" customHeight="1">
      <x:c r="A1388" s="1" t="str">
        <x:v>TOPIXmini</x:v>
      </x:c>
      <x:c r="B1388" s="1" t="str">
        <x:v>C13</x:v>
      </x:c>
      <x:c r="C1388" s="1" t="str">
        <x:v>全50場</x:v>
      </x:c>
      <x:c r="D1388" s="47" t="n">
        <x:v>1029550</x:v>
      </x:c>
      <x:c r="E1388" s="47" t="n">
        <x:v>647610</x:v>
      </x:c>
      <x:c r="F1388" s="47" t="n">
        <x:f>D1388-E1388</x:f>
        <x:v>381940</x:v>
      </x:c>
      <x:c r="G1388" s="49" t="n">
        <x:v>22</x:v>
      </x:c>
      <x:c r="H1388" s="49" t="n">
        <x:v>3</x:v>
      </x:c>
      <x:c r="I1388" s="47" t="n">
        <x:v>181701</x:v>
      </x:c>
      <x:c r="J1388" s="49" t="n">
        <x:v>84</x:v>
      </x:c>
      <x:c r="K1388" s="47" t="n">
        <x:v>-40836</x:v>
      </x:c>
      <x:c r="L1388" s="47" t="n">
        <x:v>38558.666666666664</x:v>
      </x:c>
      <x:c r="M1388" s="48" t="n">
        <x:v>311.3993333333333</x:v>
      </x:c>
      <x:c r="N1388" s="48" t="n">
        <x:v>68.98066666666666</x:v>
      </x:c>
      <x:c r="O1388" s="49" t="n">
        <x:v>5</x:v>
      </x:c>
      <x:c r="P1388" s="1" t="str">
        <x:v>旧再進行入口と長短管理</x:v>
      </x:c>
      <x:c r="Q1388" s="49" t="n">
        <x:v>0</x:v>
      </x:c>
      <x:c r="R1388" s="50" t="n">
        <x:v>0.08843675213675213</x:v>
      </x:c>
      <x:c r="S1388" s="50" t="n">
        <x:v>0.08843675213675213</x:v>
      </x:c>
      <x:c r="T1388" s="1" t="str">
        <x:v>ナイト</x:v>
      </x:c>
      <x:c r="U1388" s="49" t="n">
        <x:v>25</x:v>
      </x:c>
    </x:row>
    <x:row r="1389" ht="22" customHeight="1">
      <x:c r="A1389" s="1" t="str">
        <x:v>TOPIXmini</x:v>
      </x:c>
      <x:c r="B1389" s="1" t="str">
        <x:v>C13</x:v>
      </x:c>
      <x:c r="C1389" s="1" t="str">
        <x:v>全50場</x:v>
      </x:c>
      <x:c r="D1389" s="47" t="n">
        <x:v>1038740</x:v>
      </x:c>
      <x:c r="E1389" s="47" t="n">
        <x:v>808856</x:v>
      </x:c>
      <x:c r="F1389" s="47" t="n">
        <x:f>D1389-E1389</x:f>
        <x:v>229884</x:v>
      </x:c>
      <x:c r="G1389" s="49" t="n">
        <x:v>18</x:v>
      </x:c>
      <x:c r="H1389" s="49" t="n">
        <x:v>7</x:v>
      </x:c>
      <x:c r="I1389" s="47" t="n">
        <x:v>-9783</x:v>
      </x:c>
      <x:c r="J1389" s="49" t="n">
        <x:v>77</x:v>
      </x:c>
      <x:c r="K1389" s="47" t="n">
        <x:v>-80168</x:v>
      </x:c>
      <x:c r="L1389" s="47" t="n">
        <x:v>45977.142857142855</x:v>
      </x:c>
      <x:c r="M1389" s="48" t="n">
        <x:v>213.88866666666664</x:v>
      </x:c>
      <x:c r="N1389" s="48" t="n">
        <x:v>118.78399999999999</x:v>
      </x:c>
      <x:c r="O1389" s="49" t="n">
        <x:v>5</x:v>
      </x:c>
      <x:c r="P1389" s="1" t="str">
        <x:v>旧再進行入口と長短管理</x:v>
      </x:c>
      <x:c r="Q1389" s="49" t="n">
        <x:v>0</x:v>
      </x:c>
      <x:c r="R1389" s="50" t="n">
        <x:v>0.24283076923076924</x:v>
      </x:c>
      <x:c r="S1389" s="50" t="n">
        <x:v>0.1956258234519104</x:v>
      </x:c>
      <x:c r="T1389" s="1" t="str">
        <x:v>上昇</x:v>
      </x:c>
      <x:c r="U1389" s="49" t="n">
        <x:v>25</x:v>
      </x:c>
    </x:row>
    <x:row r="1390" ht="22" customHeight="1">
      <x:c r="A1390" s="1" t="str">
        <x:v>TOPIXmini</x:v>
      </x:c>
      <x:c r="B1390" s="1" t="str">
        <x:v>C13</x:v>
      </x:c>
      <x:c r="C1390" s="1" t="str">
        <x:v>全50場</x:v>
      </x:c>
      <x:c r="D1390" s="47" t="n">
        <x:v>1315491</x:v>
      </x:c>
      <x:c r="E1390" s="47" t="n">
        <x:v>883755</x:v>
      </x:c>
      <x:c r="F1390" s="47" t="n">
        <x:f>D1390-E1390</x:f>
        <x:v>431736</x:v>
      </x:c>
      <x:c r="G1390" s="49" t="n">
        <x:v>19</x:v>
      </x:c>
      <x:c r="H1390" s="49" t="n">
        <x:v>6</x:v>
      </x:c>
      <x:c r="I1390" s="47" t="n">
        <x:v>86823</x:v>
      </x:c>
      <x:c r="J1390" s="49" t="n">
        <x:v>100</x:v>
      </x:c>
      <x:c r="K1390" s="47" t="n">
        <x:v>-120491</x:v>
      </x:c>
      <x:c r="L1390" s="47" t="n">
        <x:v>43038.666666666664</x:v>
      </x:c>
      <x:c r="M1390" s="48" t="n">
        <x:v>185.33</x:v>
      </x:c>
      <x:c r="N1390" s="48" t="n">
        <x:v>143.46866666666668</x:v>
      </x:c>
      <x:c r="O1390" s="49" t="n">
        <x:v>5</x:v>
      </x:c>
      <x:c r="P1390" s="1" t="str">
        <x:v>旧再進行入口と長短管理</x:v>
      </x:c>
      <x:c r="Q1390" s="49" t="n">
        <x:v>0</x:v>
      </x:c>
      <x:c r="R1390" s="50" t="n">
        <x:v>0.3057774114774115</x:v>
      </x:c>
      <x:c r="S1390" s="50" t="n">
        <x:v>0.2420186684660369</x:v>
      </x:c>
      <x:c r="T1390" s="1" t="str">
        <x:v>下落</x:v>
      </x:c>
      <x:c r="U1390" s="49" t="n">
        <x:v>25</x:v>
      </x:c>
    </x:row>
    <x:row r="1391" ht="22" customHeight="1">
      <x:c r="A1391" s="1" t="str">
        <x:v>TOPIXmini</x:v>
      </x:c>
      <x:c r="B1391" s="1" t="str">
        <x:v>C13</x:v>
      </x:c>
      <x:c r="C1391" s="1" t="str">
        <x:v>対照47場</x:v>
      </x:c>
      <x:c r="D1391" s="47" t="n">
        <x:v>2191397</x:v>
      </x:c>
      <x:c r="E1391" s="47" t="n">
        <x:v>1473785</x:v>
      </x:c>
      <x:c r="F1391" s="47" t="n">
        <x:f>D1391-E1391</x:f>
        <x:v>717612</x:v>
      </x:c>
      <x:c r="G1391" s="49" t="n">
        <x:v>35</x:v>
      </x:c>
      <x:c r="H1391" s="49" t="n">
        <x:v>12</x:v>
      </x:c>
      <x:c r="I1391" s="47" t="n">
        <x:v>372527</x:v>
      </x:c>
      <x:c r="J1391" s="49" t="n">
        <x:v>155</x:v>
      </x:c>
      <x:c r="K1391" s="47" t="n">
        <x:v>-80168</x:v>
      </x:c>
      <x:c r="L1391" s="47" t="n">
        <x:v>38298.416666666664</x:v>
      </x:c>
      <x:c r="M1391" s="48" t="n">
        <x:v>207.2173758865248</x:v>
      </x:c>
      <x:c r="N1391" s="48" t="n">
        <x:v>132.59751773049646</x:v>
      </x:c>
      <x:c r="O1391" s="49" t="n">
        <x:v>5</x:v>
      </x:c>
      <x:c r="P1391" s="1" t="str">
        <x:v>旧再進行入口と長短管理</x:v>
      </x:c>
      <x:c r="Q1391" s="49" t="n">
        <x:v>0</x:v>
      </x:c>
      <x:c r="R1391" s="50" t="n">
        <x:v>0.27906197230665314</x:v>
      </x:c>
      <x:c r="S1391" s="50" t="n">
        <x:v>0.22241553652153223</x:v>
      </x:c>
      <x:c r="T1391" s="1" t="str">
        <x:v>全場</x:v>
      </x:c>
      <x:c r="U1391" s="49" t="n">
        <x:v>47</x:v>
      </x:c>
    </x:row>
    <x:row r="1392" ht="22" customHeight="1">
      <x:c r="A1392" s="1" t="str">
        <x:v>TOPIXmini</x:v>
      </x:c>
      <x:c r="B1392" s="1" t="str">
        <x:v>C13</x:v>
      </x:c>
      <x:c r="C1392" s="1" t="str">
        <x:v>対照47場</x:v>
      </x:c>
      <x:c r="D1392" s="47" t="n">
        <x:v>1279512</x:v>
      </x:c>
      <x:c r="E1392" s="47" t="n">
        <x:v>879341</x:v>
      </x:c>
      <x:c r="F1392" s="47" t="n">
        <x:f>D1392-E1392</x:f>
        <x:v>400171</x:v>
      </x:c>
      <x:c r="G1392" s="49" t="n">
        <x:v>15</x:v>
      </x:c>
      <x:c r="H1392" s="49" t="n">
        <x:v>9</x:v>
      </x:c>
      <x:c r="I1392" s="47" t="n">
        <x:v>78588</x:v>
      </x:c>
      <x:c r="J1392" s="49" t="n">
        <x:v>83</x:v>
      </x:c>
      <x:c r="K1392" s="47" t="n">
        <x:v>-80168</x:v>
      </x:c>
      <x:c r="L1392" s="47" t="n">
        <x:v>38211.666666666664</x:v>
      </x:c>
      <x:c r="M1392" s="48" t="n">
        <x:v>89.64722222222223</x:v>
      </x:c>
      <x:c r="N1392" s="48" t="n">
        <x:v>194.36319444444442</x:v>
      </x:c>
      <x:c r="O1392" s="49" t="n">
        <x:v>5</x:v>
      </x:c>
      <x:c r="P1392" s="1" t="str">
        <x:v>旧再進行入口と長短管理</x:v>
      </x:c>
      <x:c r="Q1392" s="49" t="n">
        <x:v>0</x:v>
      </x:c>
      <x:c r="R1392" s="50" t="n">
        <x:v>0.4627695105820106</x:v>
      </x:c>
      <x:c r="S1392" s="50" t="n">
        <x:v>0.46276951058201055</x:v>
      </x:c>
      <x:c r="T1392" s="1" t="str">
        <x:v>デイ</x:v>
      </x:c>
      <x:c r="U1392" s="49" t="n">
        <x:v>24</x:v>
      </x:c>
    </x:row>
    <x:row r="1393" ht="22" customHeight="1">
      <x:c r="A1393" s="1" t="str">
        <x:v>TOPIXmini</x:v>
      </x:c>
      <x:c r="B1393" s="1" t="str">
        <x:v>C13</x:v>
      </x:c>
      <x:c r="C1393" s="1" t="str">
        <x:v>対照47場</x:v>
      </x:c>
      <x:c r="D1393" s="47" t="n">
        <x:v>911885</x:v>
      </x:c>
      <x:c r="E1393" s="47" t="n">
        <x:v>594444</x:v>
      </x:c>
      <x:c r="F1393" s="47" t="n">
        <x:f>D1393-E1393</x:f>
        <x:v>317441</x:v>
      </x:c>
      <x:c r="G1393" s="49" t="n">
        <x:v>20</x:v>
      </x:c>
      <x:c r="H1393" s="49" t="n">
        <x:v>3</x:v>
      </x:c>
      <x:c r="I1393" s="47" t="n">
        <x:v>117202</x:v>
      </x:c>
      <x:c r="J1393" s="49" t="n">
        <x:v>72</x:v>
      </x:c>
      <x:c r="K1393" s="47" t="n">
        <x:v>-40836</x:v>
      </x:c>
      <x:c r="L1393" s="47" t="n">
        <x:v>38558.666666666664</x:v>
      </x:c>
      <x:c r="M1393" s="48" t="n">
        <x:v>329.8992753623188</x:v>
      </x:c>
      <x:c r="N1393" s="48" t="n">
        <x:v>68.1463768115942</x:v>
      </x:c>
      <x:c r="O1393" s="49" t="n">
        <x:v>5</x:v>
      </x:c>
      <x:c r="P1393" s="1" t="str">
        <x:v>旧再進行入口と長短管理</x:v>
      </x:c>
      <x:c r="Q1393" s="49" t="n">
        <x:v>0</x:v>
      </x:c>
      <x:c r="R1393" s="50" t="n">
        <x:v>0.08736714975845411</x:v>
      </x:c>
      <x:c r="S1393" s="50" t="n">
        <x:v>0.0873671497584541</x:v>
      </x:c>
      <x:c r="T1393" s="1" t="str">
        <x:v>ナイト</x:v>
      </x:c>
      <x:c r="U1393" s="49" t="n">
        <x:v>23</x:v>
      </x:c>
    </x:row>
    <x:row r="1394" ht="22" customHeight="1">
      <x:c r="A1394" s="1" t="str">
        <x:v>TOPIXmini</x:v>
      </x:c>
      <x:c r="B1394" s="1" t="str">
        <x:v>C13</x:v>
      </x:c>
      <x:c r="C1394" s="1" t="str">
        <x:v>対照47場</x:v>
      </x:c>
      <x:c r="D1394" s="47" t="n">
        <x:v>998990</x:v>
      </x:c>
      <x:c r="E1394" s="47" t="n">
        <x:v>799191</x:v>
      </x:c>
      <x:c r="F1394" s="47" t="n">
        <x:f>D1394-E1394</x:f>
        <x:v>199799</x:v>
      </x:c>
      <x:c r="G1394" s="49" t="n">
        <x:v>17</x:v>
      </x:c>
      <x:c r="H1394" s="49" t="n">
        <x:v>7</x:v>
      </x:c>
      <x:c r="I1394" s="47" t="n">
        <x:v>-39868</x:v>
      </x:c>
      <x:c r="J1394" s="49" t="n">
        <x:v>73</x:v>
      </x:c>
      <x:c r="K1394" s="47" t="n">
        <x:v>-80168</x:v>
      </x:c>
      <x:c r="L1394" s="47" t="n">
        <x:v>45977.142857142855</x:v>
      </x:c>
      <x:c r="M1394" s="48" t="n">
        <x:v>217.55208333333334</x:v>
      </x:c>
      <x:c r="N1394" s="48" t="n">
        <x:v>120.66388888888889</x:v>
      </x:c>
      <x:c r="O1394" s="49" t="n">
        <x:v>5</x:v>
      </x:c>
      <x:c r="P1394" s="1" t="str">
        <x:v>旧再進行入口と長短管理</x:v>
      </x:c>
      <x:c r="Q1394" s="49" t="n">
        <x:v>0</x:v>
      </x:c>
      <x:c r="R1394" s="50" t="n">
        <x:v>0.24901353276353277</x:v>
      </x:c>
      <x:c r="S1394" s="50" t="n">
        <x:v>0.2011064814814815</x:v>
      </x:c>
      <x:c r="T1394" s="1" t="str">
        <x:v>上昇</x:v>
      </x:c>
      <x:c r="U1394" s="49" t="n">
        <x:v>24</x:v>
      </x:c>
    </x:row>
    <x:row r="1395" ht="22" customHeight="1">
      <x:c r="A1395" s="1" t="str">
        <x:v>TOPIXmini</x:v>
      </x:c>
      <x:c r="B1395" s="1" t="str">
        <x:v>C13</x:v>
      </x:c>
      <x:c r="C1395" s="1" t="str">
        <x:v>対照47場</x:v>
      </x:c>
      <x:c r="D1395" s="47" t="n">
        <x:v>1192407</x:v>
      </x:c>
      <x:c r="E1395" s="47" t="n">
        <x:v>674594</x:v>
      </x:c>
      <x:c r="F1395" s="47" t="n">
        <x:f>D1395-E1395</x:f>
        <x:v>517813</x:v>
      </x:c>
      <x:c r="G1395" s="49" t="n">
        <x:v>18</x:v>
      </x:c>
      <x:c r="H1395" s="49" t="n">
        <x:v>5</x:v>
      </x:c>
      <x:c r="I1395" s="47" t="n">
        <x:v>172900</x:v>
      </x:c>
      <x:c r="J1395" s="49" t="n">
        <x:v>82</x:v>
      </x:c>
      <x:c r="K1395" s="47" t="n">
        <x:v>-40836</x:v>
      </x:c>
      <x:c r="L1395" s="47" t="n">
        <x:v>27548.2</x:v>
      </x:c>
      <x:c r="M1395" s="48" t="n">
        <x:v>196.43333333333337</x:v>
      </x:c>
      <x:c r="N1395" s="48" t="n">
        <x:v>145.04999999999995</x:v>
      </x:c>
      <x:c r="O1395" s="49" t="n">
        <x:v>5</x:v>
      </x:c>
      <x:c r="P1395" s="1" t="str">
        <x:v>旧再進行入口と長短管理</x:v>
      </x:c>
      <x:c r="Q1395" s="49" t="n">
        <x:v>0</x:v>
      </x:c>
      <x:c r="R1395" s="50" t="n">
        <x:v>0.31041686574295274</x:v>
      </x:c>
      <x:c r="S1395" s="50" t="n">
        <x:v>0.24494493392070485</x:v>
      </x:c>
      <x:c r="T1395" s="1" t="str">
        <x:v>下落</x:v>
      </x:c>
      <x:c r="U1395" s="49" t="n">
        <x:v>23</x:v>
      </x:c>
    </x:row>
    <x:row r="1396" ht="22" customHeight="1">
      <x:c r="A1396" s="1" t="str">
        <x:v>TOPIXmini</x:v>
      </x:c>
      <x:c r="B1396" s="1" t="str">
        <x:v>C13</x:v>
      </x:c>
      <x:c r="C1396" s="1" t="str">
        <x:v>診断3場</x:v>
      </x:c>
      <x:c r="D1396" s="47" t="n">
        <x:v>162834</x:v>
      </x:c>
      <x:c r="E1396" s="47" t="n">
        <x:v>218826</x:v>
      </x:c>
      <x:c r="F1396" s="47" t="n">
        <x:f>D1396-E1396</x:f>
        <x:v>-55992</x:v>
      </x:c>
      <x:c r="G1396" s="49" t="n">
        <x:v>2</x:v>
      </x:c>
      <x:c r="H1396" s="49" t="n">
        <x:v>1</x:v>
      </x:c>
      <x:c r="I1396" s="47" t="n">
        <x:v>-120491</x:v>
      </x:c>
      <x:c r="J1396" s="49" t="n">
        <x:v>22</x:v>
      </x:c>
      <x:c r="K1396" s="47" t="n">
        <x:v>-120491</x:v>
      </x:c>
      <x:c r="L1396" s="47" t="n">
        <x:v>120491</x:v>
      </x:c>
      <x:c r="M1396" s="48" t="n">
        <x:v>80.41666666666667</x:v>
      </x:c>
      <x:c r="N1396" s="48" t="n">
        <x:v>108.07777777777778</x:v>
      </x:c>
      <x:c r="O1396" s="49" t="n">
        <x:v>5</x:v>
      </x:c>
      <x:c r="P1396" s="1" t="str">
        <x:v>旧再進行入口と長短管理</x:v>
      </x:c>
      <x:c r="Q1396" s="49" t="n">
        <x:v>0</x:v>
      </x:c>
      <x:c r="R1396" s="50" t="n">
        <x:v>0.19976393976393977</x:v>
      </x:c>
      <x:c r="S1396" s="50" t="n">
        <x:v>0.16375420875420876</x:v>
      </x:c>
      <x:c r="T1396" s="1" t="str">
        <x:v>全場</x:v>
      </x:c>
      <x:c r="U1396" s="49" t="n">
        <x:v>3</x:v>
      </x:c>
    </x:row>
    <x:row r="1397" ht="22" customHeight="1">
      <x:c r="A1397" s="1" t="str">
        <x:v>TOPIXmini</x:v>
      </x:c>
      <x:c r="B1397" s="1" t="str">
        <x:v>C13</x:v>
      </x:c>
      <x:c r="C1397" s="1" t="str">
        <x:v>診断3場</x:v>
      </x:c>
      <x:c r="D1397" s="47" t="n">
        <x:v>45169</x:v>
      </x:c>
      <x:c r="E1397" s="47" t="n">
        <x:v>165660</x:v>
      </x:c>
      <x:c r="F1397" s="47" t="n">
        <x:f>D1397-E1397</x:f>
        <x:v>-120491</x:v>
      </x:c>
      <x:c r="G1397" s="49" t="n">
        <x:v>0</x:v>
      </x:c>
      <x:c r="H1397" s="49" t="n">
        <x:v>1</x:v>
      </x:c>
      <x:c r="I1397" s="47" t="n">
        <x:v>-120491</x:v>
      </x:c>
      <x:c r="J1397" s="49" t="n">
        <x:v>10</x:v>
      </x:c>
      <x:c r="K1397" s="47" t="n">
        <x:v>-120491</x:v>
      </x:c>
      <x:c r="L1397" s="47" t="n">
        <x:v>120491</x:v>
      </x:c>
      <x:c r="M1397" s="48" t="n">
        <x:v>43.95</x:v>
      </x:c>
      <x:c r="N1397" s="48" t="n">
        <x:v>167.08333333333334</x:v>
      </x:c>
      <x:c r="O1397" s="49" t="n">
        <x:v>5</x:v>
      </x:c>
      <x:c r="P1397" s="1" t="str">
        <x:v>旧再進行入口と長短管理</x:v>
      </x:c>
      <x:c r="Q1397" s="49" t="n">
        <x:v>0</x:v>
      </x:c>
      <x:c r="R1397" s="50" t="n">
        <x:v>0.3978174603174603</x:v>
      </x:c>
      <x:c r="S1397" s="50" t="n">
        <x:v>0.39781746031746035</x:v>
      </x:c>
      <x:c r="T1397" s="1" t="str">
        <x:v>デイ</x:v>
      </x:c>
      <x:c r="U1397" s="49" t="n">
        <x:v>1</x:v>
      </x:c>
    </x:row>
    <x:row r="1398" ht="22" customHeight="1">
      <x:c r="A1398" s="1" t="str">
        <x:v>TOPIXmini</x:v>
      </x:c>
      <x:c r="B1398" s="1" t="str">
        <x:v>C13</x:v>
      </x:c>
      <x:c r="C1398" s="1" t="str">
        <x:v>診断3場</x:v>
      </x:c>
      <x:c r="D1398" s="47" t="n">
        <x:v>117665</x:v>
      </x:c>
      <x:c r="E1398" s="47" t="n">
        <x:v>53166</x:v>
      </x:c>
      <x:c r="F1398" s="47" t="n">
        <x:f>D1398-E1398</x:f>
        <x:v>64499</x:v>
      </x:c>
      <x:c r="G1398" s="49" t="n">
        <x:v>2</x:v>
      </x:c>
      <x:c r="H1398" s="49" t="n">
        <x:v>0</x:v>
      </x:c>
      <x:c r="I1398" s="47" t="n">
        <x:v>0</x:v>
      </x:c>
      <x:c r="J1398" s="49" t="n">
        <x:v>12</x:v>
      </x:c>
      <x:c r="K1398" s="47" t="n">
        <x:v>30085</x:v>
      </x:c>
      <x:c r="L1398" s="47" t="n">
        <x:v>0</x:v>
      </x:c>
      <x:c r="M1398" s="48" t="n">
        <x:v>98.65</x:v>
      </x:c>
      <x:c r="N1398" s="48" t="n">
        <x:v>78.575</x:v>
      </x:c>
      <x:c r="O1398" s="49" t="n">
        <x:v>5</x:v>
      </x:c>
      <x:c r="P1398" s="1" t="str">
        <x:v>旧再進行入口と長短管理</x:v>
      </x:c>
      <x:c r="Q1398" s="49" t="n">
        <x:v>0</x:v>
      </x:c>
      <x:c r="R1398" s="50" t="n">
        <x:v>0.10073717948717949</x:v>
      </x:c>
      <x:c r="S1398" s="50" t="n">
        <x:v>0.10073717948717949</x:v>
      </x:c>
      <x:c r="T1398" s="1" t="str">
        <x:v>ナイト</x:v>
      </x:c>
      <x:c r="U1398" s="49" t="n">
        <x:v>2</x:v>
      </x:c>
    </x:row>
    <x:row r="1399" ht="22" customHeight="1">
      <x:c r="A1399" s="1" t="str">
        <x:v>TOPIXmini</x:v>
      </x:c>
      <x:c r="B1399" s="1" t="str">
        <x:v>C13</x:v>
      </x:c>
      <x:c r="C1399" s="1" t="str">
        <x:v>診断3場</x:v>
      </x:c>
      <x:c r="D1399" s="47" t="n">
        <x:v>39750</x:v>
      </x:c>
      <x:c r="E1399" s="47" t="n">
        <x:v>9665</x:v>
      </x:c>
      <x:c r="F1399" s="47" t="n">
        <x:f>D1399-E1399</x:f>
        <x:v>30085</x:v>
      </x:c>
      <x:c r="G1399" s="49" t="n">
        <x:v>1</x:v>
      </x:c>
      <x:c r="H1399" s="49" t="n">
        <x:v>0</x:v>
      </x:c>
      <x:c r="I1399" s="47" t="n">
        <x:v>0</x:v>
      </x:c>
      <x:c r="J1399" s="49" t="n">
        <x:v>4</x:v>
      </x:c>
      <x:c r="K1399" s="47" t="n">
        <x:v>30085</x:v>
      </x:c>
      <x:c r="L1399" s="47" t="n">
        <x:v>0</x:v>
      </x:c>
      <x:c r="M1399" s="48" t="n">
        <x:v>125.96666666666667</x:v>
      </x:c>
      <x:c r="N1399" s="48" t="n">
        <x:v>73.66666666666667</x:v>
      </x:c>
      <x:c r="O1399" s="49" t="n">
        <x:v>5</x:v>
      </x:c>
      <x:c r="P1399" s="1" t="str">
        <x:v>旧再進行入口と長短管理</x:v>
      </x:c>
      <x:c r="Q1399" s="49" t="n">
        <x:v>0</x:v>
      </x:c>
      <x:c r="R1399" s="50" t="n">
        <x:v>0.09444444444444444</x:v>
      </x:c>
      <x:c r="S1399" s="50" t="n">
        <x:v>0.09444444444444446</x:v>
      </x:c>
      <x:c r="T1399" s="1" t="str">
        <x:v>上昇</x:v>
      </x:c>
      <x:c r="U1399" s="49" t="n">
        <x:v>1</x:v>
      </x:c>
    </x:row>
    <x:row r="1400" ht="22" customHeight="1">
      <x:c r="A1400" s="1" t="str">
        <x:v>TOPIXmini</x:v>
      </x:c>
      <x:c r="B1400" s="1" t="str">
        <x:v>C13</x:v>
      </x:c>
      <x:c r="C1400" s="1" t="str">
        <x:v>診断3場</x:v>
      </x:c>
      <x:c r="D1400" s="47" t="n">
        <x:v>123084</x:v>
      </x:c>
      <x:c r="E1400" s="47" t="n">
        <x:v>209161</x:v>
      </x:c>
      <x:c r="F1400" s="47" t="n">
        <x:f>D1400-E1400</x:f>
        <x:v>-86077</x:v>
      </x:c>
      <x:c r="G1400" s="49" t="n">
        <x:v>1</x:v>
      </x:c>
      <x:c r="H1400" s="49" t="n">
        <x:v>1</x:v>
      </x:c>
      <x:c r="I1400" s="47" t="n">
        <x:v>-120491</x:v>
      </x:c>
      <x:c r="J1400" s="49" t="n">
        <x:v>18</x:v>
      </x:c>
      <x:c r="K1400" s="47" t="n">
        <x:v>-120491</x:v>
      </x:c>
      <x:c r="L1400" s="47" t="n">
        <x:v>120491</x:v>
      </x:c>
      <x:c r="M1400" s="48" t="n">
        <x:v>57.641666666666666</x:v>
      </x:c>
      <x:c r="N1400" s="48" t="n">
        <x:v>125.28333333333333</x:v>
      </x:c>
      <x:c r="O1400" s="49" t="n">
        <x:v>5</x:v>
      </x:c>
      <x:c r="P1400" s="1" t="str">
        <x:v>旧再進行入口と長短管理</x:v>
      </x:c>
      <x:c r="Q1400" s="49" t="n">
        <x:v>0</x:v>
      </x:c>
      <x:c r="R1400" s="50" t="n">
        <x:v>0.2524236874236874</x:v>
      </x:c>
      <x:c r="S1400" s="50" t="n">
        <x:v>0.20880555555555555</x:v>
      </x:c>
      <x:c r="T1400" s="1" t="str">
        <x:v>下落</x:v>
      </x:c>
      <x:c r="U1400" s="49" t="n">
        <x:v>2</x:v>
      </x:c>
    </x:row>
    <x:row r="1401" ht="22" customHeight="1">
      <x:c r="A1401" s="1" t="str">
        <x:v>TOPIXmini</x:v>
      </x:c>
      <x:c r="B1401" s="1" t="str">
        <x:v>C14</x:v>
      </x:c>
      <x:c r="C1401" s="1" t="str">
        <x:v>全50場</x:v>
      </x:c>
      <x:c r="D1401" s="47" t="n">
        <x:v>2319399</x:v>
      </x:c>
      <x:c r="E1401" s="47" t="n">
        <x:v>1643609</x:v>
      </x:c>
      <x:c r="F1401" s="47" t="n">
        <x:f>D1401-E1401</x:f>
        <x:v>675790</x:v>
      </x:c>
      <x:c r="G1401" s="49" t="n">
        <x:v>37</x:v>
      </x:c>
      <x:c r="H1401" s="49" t="n">
        <x:v>13</x:v>
      </x:c>
      <x:c r="I1401" s="47" t="n">
        <x:v>330705</x:v>
      </x:c>
      <x:c r="J1401" s="49" t="n">
        <x:v>177</x:v>
      </x:c>
      <x:c r="K1401" s="47" t="n">
        <x:v>-83572</x:v>
      </x:c>
      <x:c r="L1401" s="47" t="n">
        <x:v>43838.692307692305</x:v>
      </x:c>
      <x:c r="M1401" s="48" t="n">
        <x:v>199.60933333333335</x:v>
      </x:c>
      <x:c r="N1401" s="48" t="n">
        <x:v>132.38666666666668</x:v>
      </x:c>
      <x:c r="O1401" s="49" t="n">
        <x:v>5</x:v>
      </x:c>
      <x:c r="P1401" s="1" t="str">
        <x:v>旧再進行入口と複合管理</x:v>
      </x:c>
      <x:c r="Q1401" s="49" t="n">
        <x:v>0</x:v>
      </x:c>
      <x:c r="R1401" s="50" t="n">
        <x:v>0.277304884004884</x:v>
      </x:c>
      <x:c r="S1401" s="50" t="n">
        <x:v>0.22064444444444442</x:v>
      </x:c>
      <x:c r="T1401" s="1" t="str">
        <x:v>全場</x:v>
      </x:c>
      <x:c r="U1401" s="49" t="n">
        <x:v>50</x:v>
      </x:c>
    </x:row>
    <x:row r="1402" ht="22" customHeight="1">
      <x:c r="A1402" s="1" t="str">
        <x:v>TOPIXmini</x:v>
      </x:c>
      <x:c r="B1402" s="1" t="str">
        <x:v>C14</x:v>
      </x:c>
      <x:c r="C1402" s="1" t="str">
        <x:v>全50場</x:v>
      </x:c>
      <x:c r="D1402" s="47" t="n">
        <x:v>1289849</x:v>
      </x:c>
      <x:c r="E1402" s="47" t="n">
        <x:v>995999</x:v>
      </x:c>
      <x:c r="F1402" s="47" t="n">
        <x:f>D1402-E1402</x:f>
        <x:v>293850</x:v>
      </x:c>
      <x:c r="G1402" s="49" t="n">
        <x:v>15</x:v>
      </x:c>
      <x:c r="H1402" s="49" t="n">
        <x:v>10</x:v>
      </x:c>
      <x:c r="I1402" s="47" t="n">
        <x:v>-27733</x:v>
      </x:c>
      <x:c r="J1402" s="49" t="n">
        <x:v>93</x:v>
      </x:c>
      <x:c r="K1402" s="47" t="n">
        <x:v>-83572</x:v>
      </x:c>
      <x:c r="L1402" s="47" t="n">
        <x:v>45422.7</x:v>
      </x:c>
      <x:c r="M1402" s="48" t="n">
        <x:v>87.81933333333332</x:v>
      </x:c>
      <x:c r="N1402" s="48" t="n">
        <x:v>195.79266666666666</x:v>
      </x:c>
      <x:c r="O1402" s="49" t="n">
        <x:v>5</x:v>
      </x:c>
      <x:c r="P1402" s="1" t="str">
        <x:v>旧再進行入口と複合管理</x:v>
      </x:c>
      <x:c r="Q1402" s="49" t="n">
        <x:v>0</x:v>
      </x:c>
      <x:c r="R1402" s="50" t="n">
        <x:v>0.46617301587301585</x:v>
      </x:c>
      <x:c r="S1402" s="50" t="n">
        <x:v>0.46617301587301585</x:v>
      </x:c>
      <x:c r="T1402" s="1" t="str">
        <x:v>デイ</x:v>
      </x:c>
      <x:c r="U1402" s="49" t="n">
        <x:v>25</x:v>
      </x:c>
    </x:row>
    <x:row r="1403" ht="22" customHeight="1">
      <x:c r="A1403" s="1" t="str">
        <x:v>TOPIXmini</x:v>
      </x:c>
      <x:c r="B1403" s="1" t="str">
        <x:v>C14</x:v>
      </x:c>
      <x:c r="C1403" s="1" t="str">
        <x:v>全50場</x:v>
      </x:c>
      <x:c r="D1403" s="47" t="n">
        <x:v>1029550</x:v>
      </x:c>
      <x:c r="E1403" s="47" t="n">
        <x:v>647610</x:v>
      </x:c>
      <x:c r="F1403" s="47" t="n">
        <x:f>D1403-E1403</x:f>
        <x:v>381940</x:v>
      </x:c>
      <x:c r="G1403" s="49" t="n">
        <x:v>22</x:v>
      </x:c>
      <x:c r="H1403" s="49" t="n">
        <x:v>3</x:v>
      </x:c>
      <x:c r="I1403" s="47" t="n">
        <x:v>181701</x:v>
      </x:c>
      <x:c r="J1403" s="49" t="n">
        <x:v>84</x:v>
      </x:c>
      <x:c r="K1403" s="47" t="n">
        <x:v>-40836</x:v>
      </x:c>
      <x:c r="L1403" s="47" t="n">
        <x:v>38558.666666666664</x:v>
      </x:c>
      <x:c r="M1403" s="48" t="n">
        <x:v>311.3993333333333</x:v>
      </x:c>
      <x:c r="N1403" s="48" t="n">
        <x:v>68.98066666666666</x:v>
      </x:c>
      <x:c r="O1403" s="49" t="n">
        <x:v>5</x:v>
      </x:c>
      <x:c r="P1403" s="1" t="str">
        <x:v>旧再進行入口と複合管理</x:v>
      </x:c>
      <x:c r="Q1403" s="49" t="n">
        <x:v>0</x:v>
      </x:c>
      <x:c r="R1403" s="50" t="n">
        <x:v>0.08843675213675213</x:v>
      </x:c>
      <x:c r="S1403" s="50" t="n">
        <x:v>0.08843675213675213</x:v>
      </x:c>
      <x:c r="T1403" s="1" t="str">
        <x:v>ナイト</x:v>
      </x:c>
      <x:c r="U1403" s="49" t="n">
        <x:v>25</x:v>
      </x:c>
    </x:row>
    <x:row r="1404" ht="22" customHeight="1">
      <x:c r="A1404" s="1" t="str">
        <x:v>TOPIXmini</x:v>
      </x:c>
      <x:c r="B1404" s="1" t="str">
        <x:v>C14</x:v>
      </x:c>
      <x:c r="C1404" s="1" t="str">
        <x:v>全50場</x:v>
      </x:c>
      <x:c r="D1404" s="47" t="n">
        <x:v>1037740</x:v>
      </x:c>
      <x:c r="E1404" s="47" t="n">
        <x:v>831774</x:v>
      </x:c>
      <x:c r="F1404" s="47" t="n">
        <x:f>D1404-E1404</x:f>
        <x:v>205966</x:v>
      </x:c>
      <x:c r="G1404" s="49" t="n">
        <x:v>18</x:v>
      </x:c>
      <x:c r="H1404" s="49" t="n">
        <x:v>7</x:v>
      </x:c>
      <x:c r="I1404" s="47" t="n">
        <x:v>-33701</x:v>
      </x:c>
      <x:c r="J1404" s="49" t="n">
        <x:v>78</x:v>
      </x:c>
      <x:c r="K1404" s="47" t="n">
        <x:v>-81168</x:v>
      </x:c>
      <x:c r="L1404" s="47" t="n">
        <x:v>49394</x:v>
      </x:c>
      <x:c r="M1404" s="48" t="n">
        <x:v>213.88866666666664</x:v>
      </x:c>
      <x:c r="N1404" s="48" t="n">
        <x:v>118.98999999999998</x:v>
      </x:c>
      <x:c r="O1404" s="49" t="n">
        <x:v>5</x:v>
      </x:c>
      <x:c r="P1404" s="1" t="str">
        <x:v>旧再進行入口と複合管理</x:v>
      </x:c>
      <x:c r="Q1404" s="49" t="n">
        <x:v>0</x:v>
      </x:c>
      <x:c r="R1404" s="50" t="n">
        <x:v>0.2433212454212454</x:v>
      </x:c>
      <x:c r="S1404" s="50" t="n">
        <x:v>0.19596508563899867</x:v>
      </x:c>
      <x:c r="T1404" s="1" t="str">
        <x:v>上昇</x:v>
      </x:c>
      <x:c r="U1404" s="49" t="n">
        <x:v>25</x:v>
      </x:c>
    </x:row>
    <x:row r="1405" ht="22" customHeight="1">
      <x:c r="A1405" s="1" t="str">
        <x:v>TOPIXmini</x:v>
      </x:c>
      <x:c r="B1405" s="1" t="str">
        <x:v>C14</x:v>
      </x:c>
      <x:c r="C1405" s="1" t="str">
        <x:v>全50場</x:v>
      </x:c>
      <x:c r="D1405" s="47" t="n">
        <x:v>1281659</x:v>
      </x:c>
      <x:c r="E1405" s="47" t="n">
        <x:v>811835</x:v>
      </x:c>
      <x:c r="F1405" s="47" t="n">
        <x:f>D1405-E1405</x:f>
        <x:v>469824</x:v>
      </x:c>
      <x:c r="G1405" s="49" t="n">
        <x:v>19</x:v>
      </x:c>
      <x:c r="H1405" s="49" t="n">
        <x:v>6</x:v>
      </x:c>
      <x:c r="I1405" s="47" t="n">
        <x:v>124911</x:v>
      </x:c>
      <x:c r="J1405" s="49" t="n">
        <x:v>99</x:v>
      </x:c>
      <x:c r="K1405" s="47" t="n">
        <x:v>-83572</x:v>
      </x:c>
      <x:c r="L1405" s="47" t="n">
        <x:v>37357.5</x:v>
      </x:c>
      <x:c r="M1405" s="48" t="n">
        <x:v>185.33</x:v>
      </x:c>
      <x:c r="N1405" s="48" t="n">
        <x:v>145.78333333333333</x:v>
      </x:c>
      <x:c r="O1405" s="49" t="n">
        <x:v>5</x:v>
      </x:c>
      <x:c r="P1405" s="1" t="str">
        <x:v>旧再進行入口と複合管理</x:v>
      </x:c>
      <x:c r="Q1405" s="49" t="n">
        <x:v>0</x:v>
      </x:c>
      <x:c r="R1405" s="50" t="n">
        <x:v>0.3112885225885226</x:v>
      </x:c>
      <x:c r="S1405" s="50" t="n">
        <x:v>0.24592330184435449</x:v>
      </x:c>
      <x:c r="T1405" s="1" t="str">
        <x:v>下落</x:v>
      </x:c>
      <x:c r="U1405" s="49" t="n">
        <x:v>25</x:v>
      </x:c>
    </x:row>
    <x:row r="1406" ht="22" customHeight="1">
      <x:c r="A1406" s="1" t="str">
        <x:v>TOPIXmini</x:v>
      </x:c>
      <x:c r="B1406" s="1" t="str">
        <x:v>C14</x:v>
      </x:c>
      <x:c r="C1406" s="1" t="str">
        <x:v>対照47場</x:v>
      </x:c>
      <x:c r="D1406" s="47" t="n">
        <x:v>2183729</x:v>
      </x:c>
      <x:c r="E1406" s="47" t="n">
        <x:v>1488866</x:v>
      </x:c>
      <x:c r="F1406" s="47" t="n">
        <x:f>D1406-E1406</x:f>
        <x:v>694863</x:v>
      </x:c>
      <x:c r="G1406" s="49" t="n">
        <x:v>35</x:v>
      </x:c>
      <x:c r="H1406" s="49" t="n">
        <x:v>12</x:v>
      </x:c>
      <x:c r="I1406" s="47" t="n">
        <x:v>349778</x:v>
      </x:c>
      <x:c r="J1406" s="49" t="n">
        <x:v>155</x:v>
      </x:c>
      <x:c r="K1406" s="47" t="n">
        <x:v>-81168</x:v>
      </x:c>
      <x:c r="L1406" s="47" t="n">
        <x:v>40527.583333333336</x:v>
      </x:c>
      <x:c r="M1406" s="48" t="n">
        <x:v>207.2173758865248</x:v>
      </x:c>
      <x:c r="N1406" s="48" t="n">
        <x:v>132.44929078014184</x:v>
      </x:c>
      <x:c r="O1406" s="49" t="n">
        <x:v>5</x:v>
      </x:c>
      <x:c r="P1406" s="1" t="str">
        <x:v>旧再進行入口と複合管理</x:v>
      </x:c>
      <x:c r="Q1406" s="49" t="n">
        <x:v>0</x:v>
      </x:c>
      <x:c r="R1406" s="50" t="n">
        <x:v>0.27870905099628496</x:v>
      </x:c>
      <x:c r="S1406" s="50" t="n">
        <x:v>0.22216690459195812</x:v>
      </x:c>
      <x:c r="T1406" s="1" t="str">
        <x:v>全場</x:v>
      </x:c>
      <x:c r="U1406" s="49" t="n">
        <x:v>47</x:v>
      </x:c>
    </x:row>
    <x:row r="1407" ht="22" customHeight="1">
      <x:c r="A1407" s="1" t="str">
        <x:v>TOPIXmini</x:v>
      </x:c>
      <x:c r="B1407" s="1" t="str">
        <x:v>C14</x:v>
      </x:c>
      <x:c r="C1407" s="1" t="str">
        <x:v>対照47場</x:v>
      </x:c>
      <x:c r="D1407" s="47" t="n">
        <x:v>1271844</x:v>
      </x:c>
      <x:c r="E1407" s="47" t="n">
        <x:v>894422</x:v>
      </x:c>
      <x:c r="F1407" s="47" t="n">
        <x:f>D1407-E1407</x:f>
        <x:v>377422</x:v>
      </x:c>
      <x:c r="G1407" s="49" t="n">
        <x:v>15</x:v>
      </x:c>
      <x:c r="H1407" s="49" t="n">
        <x:v>9</x:v>
      </x:c>
      <x:c r="I1407" s="47" t="n">
        <x:v>55839</x:v>
      </x:c>
      <x:c r="J1407" s="49" t="n">
        <x:v>83</x:v>
      </x:c>
      <x:c r="K1407" s="47" t="n">
        <x:v>-81168</x:v>
      </x:c>
      <x:c r="L1407" s="47" t="n">
        <x:v>41183.88888888889</x:v>
      </x:c>
      <x:c r="M1407" s="48" t="n">
        <x:v>89.64722222222223</x:v>
      </x:c>
      <x:c r="N1407" s="48" t="n">
        <x:v>194.07291666666666</x:v>
      </x:c>
      <x:c r="O1407" s="49" t="n">
        <x:v>5</x:v>
      </x:c>
      <x:c r="P1407" s="1" t="str">
        <x:v>旧再進行入口と複合管理</x:v>
      </x:c>
      <x:c r="Q1407" s="49" t="n">
        <x:v>0</x:v>
      </x:c>
      <x:c r="R1407" s="50" t="n">
        <x:v>0.462078373015873</x:v>
      </x:c>
      <x:c r="S1407" s="50" t="n">
        <x:v>0.462078373015873</x:v>
      </x:c>
      <x:c r="T1407" s="1" t="str">
        <x:v>デイ</x:v>
      </x:c>
      <x:c r="U1407" s="49" t="n">
        <x:v>24</x:v>
      </x:c>
    </x:row>
    <x:row r="1408" ht="22" customHeight="1">
      <x:c r="A1408" s="1" t="str">
        <x:v>TOPIXmini</x:v>
      </x:c>
      <x:c r="B1408" s="1" t="str">
        <x:v>C14</x:v>
      </x:c>
      <x:c r="C1408" s="1" t="str">
        <x:v>対照47場</x:v>
      </x:c>
      <x:c r="D1408" s="47" t="n">
        <x:v>911885</x:v>
      </x:c>
      <x:c r="E1408" s="47" t="n">
        <x:v>594444</x:v>
      </x:c>
      <x:c r="F1408" s="47" t="n">
        <x:f>D1408-E1408</x:f>
        <x:v>317441</x:v>
      </x:c>
      <x:c r="G1408" s="49" t="n">
        <x:v>20</x:v>
      </x:c>
      <x:c r="H1408" s="49" t="n">
        <x:v>3</x:v>
      </x:c>
      <x:c r="I1408" s="47" t="n">
        <x:v>117202</x:v>
      </x:c>
      <x:c r="J1408" s="49" t="n">
        <x:v>72</x:v>
      </x:c>
      <x:c r="K1408" s="47" t="n">
        <x:v>-40836</x:v>
      </x:c>
      <x:c r="L1408" s="47" t="n">
        <x:v>38558.666666666664</x:v>
      </x:c>
      <x:c r="M1408" s="48" t="n">
        <x:v>329.8992753623188</x:v>
      </x:c>
      <x:c r="N1408" s="48" t="n">
        <x:v>68.1463768115942</x:v>
      </x:c>
      <x:c r="O1408" s="49" t="n">
        <x:v>5</x:v>
      </x:c>
      <x:c r="P1408" s="1" t="str">
        <x:v>旧再進行入口と複合管理</x:v>
      </x:c>
      <x:c r="Q1408" s="49" t="n">
        <x:v>0</x:v>
      </x:c>
      <x:c r="R1408" s="50" t="n">
        <x:v>0.08736714975845411</x:v>
      </x:c>
      <x:c r="S1408" s="50" t="n">
        <x:v>0.0873671497584541</x:v>
      </x:c>
      <x:c r="T1408" s="1" t="str">
        <x:v>ナイト</x:v>
      </x:c>
      <x:c r="U1408" s="49" t="n">
        <x:v>23</x:v>
      </x:c>
    </x:row>
    <x:row r="1409" ht="22" customHeight="1">
      <x:c r="A1409" s="1" t="str">
        <x:v>TOPIXmini</x:v>
      </x:c>
      <x:c r="B1409" s="1" t="str">
        <x:v>C14</x:v>
      </x:c>
      <x:c r="C1409" s="1" t="str">
        <x:v>対照47場</x:v>
      </x:c>
      <x:c r="D1409" s="47" t="n">
        <x:v>997990</x:v>
      </x:c>
      <x:c r="E1409" s="47" t="n">
        <x:v>822109</x:v>
      </x:c>
      <x:c r="F1409" s="47" t="n">
        <x:f>D1409-E1409</x:f>
        <x:v>175881</x:v>
      </x:c>
      <x:c r="G1409" s="49" t="n">
        <x:v>17</x:v>
      </x:c>
      <x:c r="H1409" s="49" t="n">
        <x:v>7</x:v>
      </x:c>
      <x:c r="I1409" s="47" t="n">
        <x:v>-63786</x:v>
      </x:c>
      <x:c r="J1409" s="49" t="n">
        <x:v>74</x:v>
      </x:c>
      <x:c r="K1409" s="47" t="n">
        <x:v>-81168</x:v>
      </x:c>
      <x:c r="L1409" s="47" t="n">
        <x:v>49394</x:v>
      </x:c>
      <x:c r="M1409" s="48" t="n">
        <x:v>217.55208333333334</x:v>
      </x:c>
      <x:c r="N1409" s="48" t="n">
        <x:v>120.87847222222221</x:v>
      </x:c>
      <x:c r="O1409" s="49" t="n">
        <x:v>5</x:v>
      </x:c>
      <x:c r="P1409" s="1" t="str">
        <x:v>旧再進行入口と複合管理</x:v>
      </x:c>
      <x:c r="Q1409" s="49" t="n">
        <x:v>0</x:v>
      </x:c>
      <x:c r="R1409" s="50" t="n">
        <x:v>0.24952444546194544</x:v>
      </x:c>
      <x:c r="S1409" s="50" t="n">
        <x:v>0.20146412037037037</x:v>
      </x:c>
      <x:c r="T1409" s="1" t="str">
        <x:v>上昇</x:v>
      </x:c>
      <x:c r="U1409" s="49" t="n">
        <x:v>24</x:v>
      </x:c>
    </x:row>
    <x:row r="1410" ht="22" customHeight="1">
      <x:c r="A1410" s="1" t="str">
        <x:v>TOPIXmini</x:v>
      </x:c>
      <x:c r="B1410" s="1" t="str">
        <x:v>C14</x:v>
      </x:c>
      <x:c r="C1410" s="1" t="str">
        <x:v>対照47場</x:v>
      </x:c>
      <x:c r="D1410" s="47" t="n">
        <x:v>1185739</x:v>
      </x:c>
      <x:c r="E1410" s="47" t="n">
        <x:v>666757</x:v>
      </x:c>
      <x:c r="F1410" s="47" t="n">
        <x:f>D1410-E1410</x:f>
        <x:v>518982</x:v>
      </x:c>
      <x:c r="G1410" s="49" t="n">
        <x:v>18</x:v>
      </x:c>
      <x:c r="H1410" s="49" t="n">
        <x:v>5</x:v>
      </x:c>
      <x:c r="I1410" s="47" t="n">
        <x:v>174069</x:v>
      </x:c>
      <x:c r="J1410" s="49" t="n">
        <x:v>81</x:v>
      </x:c>
      <x:c r="K1410" s="47" t="n">
        <x:v>-40836</x:v>
      </x:c>
      <x:c r="L1410" s="47" t="n">
        <x:v>28114.6</x:v>
      </x:c>
      <x:c r="M1410" s="48" t="n">
        <x:v>196.43333333333337</x:v>
      </x:c>
      <x:c r="N1410" s="48" t="n">
        <x:v>144.52318840579707</x:v>
      </x:c>
      <x:c r="O1410" s="49" t="n">
        <x:v>5</x:v>
      </x:c>
      <x:c r="P1410" s="1" t="str">
        <x:v>旧再進行入口と複合管理</x:v>
      </x:c>
      <x:c r="Q1410" s="49" t="n">
        <x:v>0</x:v>
      </x:c>
      <x:c r="R1410" s="50" t="n">
        <x:v>0.30916255242342205</x:v>
      </x:c>
      <x:c r="S1410" s="50" t="n">
        <x:v>0.24405531081742535</x:v>
      </x:c>
      <x:c r="T1410" s="1" t="str">
        <x:v>下落</x:v>
      </x:c>
      <x:c r="U1410" s="49" t="n">
        <x:v>23</x:v>
      </x:c>
    </x:row>
    <x:row r="1411" ht="22" customHeight="1">
      <x:c r="A1411" s="1" t="str">
        <x:v>TOPIXmini</x:v>
      </x:c>
      <x:c r="B1411" s="1" t="str">
        <x:v>C14</x:v>
      </x:c>
      <x:c r="C1411" s="1" t="str">
        <x:v>診断3場</x:v>
      </x:c>
      <x:c r="D1411" s="47" t="n">
        <x:v>135670</x:v>
      </x:c>
      <x:c r="E1411" s="47" t="n">
        <x:v>154743</x:v>
      </x:c>
      <x:c r="F1411" s="47" t="n">
        <x:f>D1411-E1411</x:f>
        <x:v>-19073</x:v>
      </x:c>
      <x:c r="G1411" s="49" t="n">
        <x:v>2</x:v>
      </x:c>
      <x:c r="H1411" s="49" t="n">
        <x:v>1</x:v>
      </x:c>
      <x:c r="I1411" s="47" t="n">
        <x:v>-83572</x:v>
      </x:c>
      <x:c r="J1411" s="49" t="n">
        <x:v>22</x:v>
      </x:c>
      <x:c r="K1411" s="47" t="n">
        <x:v>-83572</x:v>
      </x:c>
      <x:c r="L1411" s="47" t="n">
        <x:v>83572</x:v>
      </x:c>
      <x:c r="M1411" s="48" t="n">
        <x:v>80.41666666666667</x:v>
      </x:c>
      <x:c r="N1411" s="48" t="n">
        <x:v>131.40555555555557</x:v>
      </x:c>
      <x:c r="O1411" s="49" t="n">
        <x:v>5</x:v>
      </x:c>
      <x:c r="P1411" s="1" t="str">
        <x:v>旧再進行入口と複合管理</x:v>
      </x:c>
      <x:c r="Q1411" s="49" t="n">
        <x:v>0</x:v>
      </x:c>
      <x:c r="R1411" s="50" t="n">
        <x:v>0.2553062678062678</x:v>
      </x:c>
      <x:c r="S1411" s="50" t="n">
        <x:v>0.1990993265993266</x:v>
      </x:c>
      <x:c r="T1411" s="1" t="str">
        <x:v>全場</x:v>
      </x:c>
      <x:c r="U1411" s="49" t="n">
        <x:v>3</x:v>
      </x:c>
    </x:row>
    <x:row r="1412" ht="22" customHeight="1">
      <x:c r="A1412" s="1" t="str">
        <x:v>TOPIXmini</x:v>
      </x:c>
      <x:c r="B1412" s="1" t="str">
        <x:v>C14</x:v>
      </x:c>
      <x:c r="C1412" s="1" t="str">
        <x:v>診断3場</x:v>
      </x:c>
      <x:c r="D1412" s="47" t="n">
        <x:v>18005</x:v>
      </x:c>
      <x:c r="E1412" s="47" t="n">
        <x:v>101577</x:v>
      </x:c>
      <x:c r="F1412" s="47" t="n">
        <x:f>D1412-E1412</x:f>
        <x:v>-83572</x:v>
      </x:c>
      <x:c r="G1412" s="49" t="n">
        <x:v>0</x:v>
      </x:c>
      <x:c r="H1412" s="49" t="n">
        <x:v>1</x:v>
      </x:c>
      <x:c r="I1412" s="47" t="n">
        <x:v>-83572</x:v>
      </x:c>
      <x:c r="J1412" s="49" t="n">
        <x:v>10</x:v>
      </x:c>
      <x:c r="K1412" s="47" t="n">
        <x:v>-83572</x:v>
      </x:c>
      <x:c r="L1412" s="47" t="n">
        <x:v>83572</x:v>
      </x:c>
      <x:c r="M1412" s="48" t="n">
        <x:v>43.95</x:v>
      </x:c>
      <x:c r="N1412" s="48" t="n">
        <x:v>237.06666666666666</x:v>
      </x:c>
      <x:c r="O1412" s="49" t="n">
        <x:v>5</x:v>
      </x:c>
      <x:c r="P1412" s="1" t="str">
        <x:v>旧再進行入口と複合管理</x:v>
      </x:c>
      <x:c r="Q1412" s="49" t="n">
        <x:v>0</x:v>
      </x:c>
      <x:c r="R1412" s="50" t="n">
        <x:v>0.5644444444444444</x:v>
      </x:c>
      <x:c r="S1412" s="50" t="n">
        <x:v>0.5644444444444444</x:v>
      </x:c>
      <x:c r="T1412" s="1" t="str">
        <x:v>デイ</x:v>
      </x:c>
      <x:c r="U1412" s="49" t="n">
        <x:v>1</x:v>
      </x:c>
    </x:row>
    <x:row r="1413" ht="22" customHeight="1">
      <x:c r="A1413" s="1" t="str">
        <x:v>TOPIXmini</x:v>
      </x:c>
      <x:c r="B1413" s="1" t="str">
        <x:v>C14</x:v>
      </x:c>
      <x:c r="C1413" s="1" t="str">
        <x:v>診断3場</x:v>
      </x:c>
      <x:c r="D1413" s="47" t="n">
        <x:v>117665</x:v>
      </x:c>
      <x:c r="E1413" s="47" t="n">
        <x:v>53166</x:v>
      </x:c>
      <x:c r="F1413" s="47" t="n">
        <x:f>D1413-E1413</x:f>
        <x:v>64499</x:v>
      </x:c>
      <x:c r="G1413" s="49" t="n">
        <x:v>2</x:v>
      </x:c>
      <x:c r="H1413" s="49" t="n">
        <x:v>0</x:v>
      </x:c>
      <x:c r="I1413" s="47" t="n">
        <x:v>0</x:v>
      </x:c>
      <x:c r="J1413" s="49" t="n">
        <x:v>12</x:v>
      </x:c>
      <x:c r="K1413" s="47" t="n">
        <x:v>30085</x:v>
      </x:c>
      <x:c r="L1413" s="47" t="n">
        <x:v>0</x:v>
      </x:c>
      <x:c r="M1413" s="48" t="n">
        <x:v>98.65</x:v>
      </x:c>
      <x:c r="N1413" s="48" t="n">
        <x:v>78.575</x:v>
      </x:c>
      <x:c r="O1413" s="49" t="n">
        <x:v>5</x:v>
      </x:c>
      <x:c r="P1413" s="1" t="str">
        <x:v>旧再進行入口と複合管理</x:v>
      </x:c>
      <x:c r="Q1413" s="49" t="n">
        <x:v>0</x:v>
      </x:c>
      <x:c r="R1413" s="50" t="n">
        <x:v>0.10073717948717949</x:v>
      </x:c>
      <x:c r="S1413" s="50" t="n">
        <x:v>0.10073717948717949</x:v>
      </x:c>
      <x:c r="T1413" s="1" t="str">
        <x:v>ナイト</x:v>
      </x:c>
      <x:c r="U1413" s="49" t="n">
        <x:v>2</x:v>
      </x:c>
    </x:row>
    <x:row r="1414" ht="22" customHeight="1">
      <x:c r="A1414" s="1" t="str">
        <x:v>TOPIXmini</x:v>
      </x:c>
      <x:c r="B1414" s="1" t="str">
        <x:v>C14</x:v>
      </x:c>
      <x:c r="C1414" s="1" t="str">
        <x:v>診断3場</x:v>
      </x:c>
      <x:c r="D1414" s="47" t="n">
        <x:v>39750</x:v>
      </x:c>
      <x:c r="E1414" s="47" t="n">
        <x:v>9665</x:v>
      </x:c>
      <x:c r="F1414" s="47" t="n">
        <x:f>D1414-E1414</x:f>
        <x:v>30085</x:v>
      </x:c>
      <x:c r="G1414" s="49" t="n">
        <x:v>1</x:v>
      </x:c>
      <x:c r="H1414" s="49" t="n">
        <x:v>0</x:v>
      </x:c>
      <x:c r="I1414" s="47" t="n">
        <x:v>0</x:v>
      </x:c>
      <x:c r="J1414" s="49" t="n">
        <x:v>4</x:v>
      </x:c>
      <x:c r="K1414" s="47" t="n">
        <x:v>30085</x:v>
      </x:c>
      <x:c r="L1414" s="47" t="n">
        <x:v>0</x:v>
      </x:c>
      <x:c r="M1414" s="48" t="n">
        <x:v>125.96666666666667</x:v>
      </x:c>
      <x:c r="N1414" s="48" t="n">
        <x:v>73.66666666666667</x:v>
      </x:c>
      <x:c r="O1414" s="49" t="n">
        <x:v>5</x:v>
      </x:c>
      <x:c r="P1414" s="1" t="str">
        <x:v>旧再進行入口と複合管理</x:v>
      </x:c>
      <x:c r="Q1414" s="49" t="n">
        <x:v>0</x:v>
      </x:c>
      <x:c r="R1414" s="50" t="n">
        <x:v>0.09444444444444444</x:v>
      </x:c>
      <x:c r="S1414" s="50" t="n">
        <x:v>0.09444444444444446</x:v>
      </x:c>
      <x:c r="T1414" s="1" t="str">
        <x:v>上昇</x:v>
      </x:c>
      <x:c r="U1414" s="49" t="n">
        <x:v>1</x:v>
      </x:c>
    </x:row>
    <x:row r="1415" ht="22" customHeight="1">
      <x:c r="A1415" s="1" t="str">
        <x:v>TOPIXmini</x:v>
      </x:c>
      <x:c r="B1415" s="1" t="str">
        <x:v>C14</x:v>
      </x:c>
      <x:c r="C1415" s="1" t="str">
        <x:v>診断3場</x:v>
      </x:c>
      <x:c r="D1415" s="47" t="n">
        <x:v>95920</x:v>
      </x:c>
      <x:c r="E1415" s="47" t="n">
        <x:v>145078</x:v>
      </x:c>
      <x:c r="F1415" s="47" t="n">
        <x:f>D1415-E1415</x:f>
        <x:v>-49158</x:v>
      </x:c>
      <x:c r="G1415" s="49" t="n">
        <x:v>1</x:v>
      </x:c>
      <x:c r="H1415" s="49" t="n">
        <x:v>1</x:v>
      </x:c>
      <x:c r="I1415" s="47" t="n">
        <x:v>-83572</x:v>
      </x:c>
      <x:c r="J1415" s="49" t="n">
        <x:v>18</x:v>
      </x:c>
      <x:c r="K1415" s="47" t="n">
        <x:v>-83572</x:v>
      </x:c>
      <x:c r="L1415" s="47" t="n">
        <x:v>83572</x:v>
      </x:c>
      <x:c r="M1415" s="48" t="n">
        <x:v>57.641666666666666</x:v>
      </x:c>
      <x:c r="N1415" s="48" t="n">
        <x:v>160.275</x:v>
      </x:c>
      <x:c r="O1415" s="49" t="n">
        <x:v>5</x:v>
      </x:c>
      <x:c r="P1415" s="1" t="str">
        <x:v>旧再進行入口と複合管理</x:v>
      </x:c>
      <x:c r="Q1415" s="49" t="n">
        <x:v>0</x:v>
      </x:c>
      <x:c r="R1415" s="50" t="n">
        <x:v>0.33573717948717946</x:v>
      </x:c>
      <x:c r="S1415" s="50" t="n">
        <x:v>0.267125</x:v>
      </x:c>
      <x:c r="T1415" s="1" t="str">
        <x:v>下落</x:v>
      </x:c>
      <x:c r="U1415" s="49" t="n">
        <x:v>2</x:v>
      </x:c>
    </x:row>
    <x:row r="1416" ht="22" customHeight="1">
      <x:c r="A1416" s="1" t="str">
        <x:v>TOPIXmini</x:v>
      </x:c>
      <x:c r="B1416" s="1" t="str">
        <x:v>J01</x:v>
      </x:c>
      <x:c r="C1416" s="1" t="str">
        <x:v>全50場</x:v>
      </x:c>
      <x:c r="D1416" s="47" t="n">
        <x:v>2405903</x:v>
      </x:c>
      <x:c r="E1416" s="47" t="n">
        <x:v>1618581</x:v>
      </x:c>
      <x:c r="F1416" s="47" t="n">
        <x:f>D1416-E1416</x:f>
        <x:v>787322</x:v>
      </x:c>
      <x:c r="G1416" s="49" t="n">
        <x:v>36</x:v>
      </x:c>
      <x:c r="H1416" s="49" t="n">
        <x:v>14</x:v>
      </x:c>
      <x:c r="I1416" s="47" t="n">
        <x:v>421735</x:v>
      </x:c>
      <x:c r="J1416" s="49" t="n">
        <x:v>191</x:v>
      </x:c>
      <x:c r="K1416" s="47" t="n">
        <x:v>-116657</x:v>
      </x:c>
      <x:c r="L1416" s="47" t="n">
        <x:v>32051.35714285714</x:v>
      </x:c>
      <x:c r="M1416" s="48" t="n">
        <x:v>192.85400000000004</x:v>
      </x:c>
      <x:c r="N1416" s="48" t="n">
        <x:v>136.74233333333336</x:v>
      </x:c>
      <x:c r="O1416" s="49" t="n">
        <x:v>5</x:v>
      </x:c>
      <x:c r="P1416" s="1" t="str">
        <x:v>時間軸合意の統合</x:v>
      </x:c>
      <x:c r="Q1416" s="49" t="n">
        <x:v>0</x:v>
      </x:c>
      <x:c r="R1416" s="50" t="n">
        <x:v>0.2855202075702076</x:v>
      </x:c>
      <x:c r="S1416" s="50" t="n">
        <x:v>0.2279038888888889</x:v>
      </x:c>
      <x:c r="T1416" s="1" t="str">
        <x:v>全場</x:v>
      </x:c>
      <x:c r="U1416" s="49" t="n">
        <x:v>50</x:v>
      </x:c>
    </x:row>
    <x:row r="1417" ht="22" customHeight="1">
      <x:c r="A1417" s="1" t="str">
        <x:v>TOPIXmini</x:v>
      </x:c>
      <x:c r="B1417" s="1" t="str">
        <x:v>J01</x:v>
      </x:c>
      <x:c r="C1417" s="1" t="str">
        <x:v>全50場</x:v>
      </x:c>
      <x:c r="D1417" s="47" t="n">
        <x:v>1353017</x:v>
      </x:c>
      <x:c r="E1417" s="47" t="n">
        <x:v>956143</x:v>
      </x:c>
      <x:c r="F1417" s="47" t="n">
        <x:f>D1417-E1417</x:f>
        <x:v>396874</x:v>
      </x:c>
      <x:c r="G1417" s="49" t="n">
        <x:v>15</x:v>
      </x:c>
      <x:c r="H1417" s="49" t="n">
        <x:v>10</x:v>
      </x:c>
      <x:c r="I1417" s="47" t="n">
        <x:v>83455</x:v>
      </x:c>
      <x:c r="J1417" s="49" t="n">
        <x:v>101</x:v>
      </x:c>
      <x:c r="K1417" s="47" t="n">
        <x:v>-116657</x:v>
      </x:c>
      <x:c r="L1417" s="47" t="n">
        <x:v>33387.5</x:v>
      </x:c>
      <x:c r="M1417" s="48" t="n">
        <x:v>86.94333333333333</x:v>
      </x:c>
      <x:c r="N1417" s="48" t="n">
        <x:v>200.58133333333336</x:v>
      </x:c>
      <x:c r="O1417" s="49" t="n">
        <x:v>5</x:v>
      </x:c>
      <x:c r="P1417" s="1" t="str">
        <x:v>時間軸合意の統合</x:v>
      </x:c>
      <x:c r="Q1417" s="49" t="n">
        <x:v>0</x:v>
      </x:c>
      <x:c r="R1417" s="50" t="n">
        <x:v>0.47757460317460315</x:v>
      </x:c>
      <x:c r="S1417" s="50" t="n">
        <x:v>0.4775746031746032</x:v>
      </x:c>
      <x:c r="T1417" s="1" t="str">
        <x:v>デイ</x:v>
      </x:c>
      <x:c r="U1417" s="49" t="n">
        <x:v>25</x:v>
      </x:c>
    </x:row>
    <x:row r="1418" ht="22" customHeight="1">
      <x:c r="A1418" s="1" t="str">
        <x:v>TOPIXmini</x:v>
      </x:c>
      <x:c r="B1418" s="1" t="str">
        <x:v>J01</x:v>
      </x:c>
      <x:c r="C1418" s="1" t="str">
        <x:v>全50場</x:v>
      </x:c>
      <x:c r="D1418" s="47" t="n">
        <x:v>1052886</x:v>
      </x:c>
      <x:c r="E1418" s="47" t="n">
        <x:v>662438</x:v>
      </x:c>
      <x:c r="F1418" s="47" t="n">
        <x:f>D1418-E1418</x:f>
        <x:v>390448</x:v>
      </x:c>
      <x:c r="G1418" s="49" t="n">
        <x:v>21</x:v>
      </x:c>
      <x:c r="H1418" s="49" t="n">
        <x:v>4</x:v>
      </x:c>
      <x:c r="I1418" s="47" t="n">
        <x:v>169707</x:v>
      </x:c>
      <x:c r="J1418" s="49" t="n">
        <x:v>90</x:v>
      </x:c>
      <x:c r="K1418" s="47" t="n">
        <x:v>-40836</x:v>
      </x:c>
      <x:c r="L1418" s="47" t="n">
        <x:v>28711</x:v>
      </x:c>
      <x:c r="M1418" s="48" t="n">
        <x:v>298.76466666666664</x:v>
      </x:c>
      <x:c r="N1418" s="48" t="n">
        <x:v>72.90333333333334</x:v>
      </x:c>
      <x:c r="O1418" s="49" t="n">
        <x:v>5</x:v>
      </x:c>
      <x:c r="P1418" s="1" t="str">
        <x:v>時間軸合意の統合</x:v>
      </x:c>
      <x:c r="Q1418" s="49" t="n">
        <x:v>0</x:v>
      </x:c>
      <x:c r="R1418" s="50" t="n">
        <x:v>0.09346581196581198</x:v>
      </x:c>
      <x:c r="S1418" s="50" t="n">
        <x:v>0.09346581196581197</x:v>
      </x:c>
      <x:c r="T1418" s="1" t="str">
        <x:v>ナイト</x:v>
      </x:c>
      <x:c r="U1418" s="49" t="n">
        <x:v>25</x:v>
      </x:c>
    </x:row>
    <x:row r="1419" ht="22" customHeight="1">
      <x:c r="A1419" s="1" t="str">
        <x:v>TOPIXmini</x:v>
      </x:c>
      <x:c r="B1419" s="1" t="str">
        <x:v>J01</x:v>
      </x:c>
      <x:c r="C1419" s="1" t="str">
        <x:v>全50場</x:v>
      </x:c>
      <x:c r="D1419" s="47" t="n">
        <x:v>1050909</x:v>
      </x:c>
      <x:c r="E1419" s="47" t="n">
        <x:v>713923</x:v>
      </x:c>
      <x:c r="F1419" s="47" t="n">
        <x:f>D1419-E1419</x:f>
        <x:v>336986</x:v>
      </x:c>
      <x:c r="G1419" s="49" t="n">
        <x:v>18</x:v>
      </x:c>
      <x:c r="H1419" s="49" t="n">
        <x:v>7</x:v>
      </x:c>
      <x:c r="I1419" s="47" t="n">
        <x:v>97319</x:v>
      </x:c>
      <x:c r="J1419" s="49" t="n">
        <x:v>78</x:v>
      </x:c>
      <x:c r="K1419" s="47" t="n">
        <x:v>-55410</x:v>
      </x:c>
      <x:c r="L1419" s="47" t="n">
        <x:v>29510.571428571428</x:v>
      </x:c>
      <x:c r="M1419" s="48" t="n">
        <x:v>212.516</x:v>
      </x:c>
      <x:c r="N1419" s="48" t="n">
        <x:v>125.26933333333332</x:v>
      </x:c>
      <x:c r="O1419" s="49" t="n">
        <x:v>5</x:v>
      </x:c>
      <x:c r="P1419" s="1" t="str">
        <x:v>時間軸合意の統合</x:v>
      </x:c>
      <x:c r="Q1419" s="49" t="n">
        <x:v>0</x:v>
      </x:c>
      <x:c r="R1419" s="50" t="n">
        <x:v>0.25758632478632476</x:v>
      </x:c>
      <x:c r="S1419" s="50" t="n">
        <x:v>0.20630654369784804</x:v>
      </x:c>
      <x:c r="T1419" s="1" t="str">
        <x:v>上昇</x:v>
      </x:c>
      <x:c r="U1419" s="49" t="n">
        <x:v>25</x:v>
      </x:c>
    </x:row>
    <x:row r="1420" ht="22" customHeight="1">
      <x:c r="A1420" s="1" t="str">
        <x:v>TOPIXmini</x:v>
      </x:c>
      <x:c r="B1420" s="1" t="str">
        <x:v>J01</x:v>
      </x:c>
      <x:c r="C1420" s="1" t="str">
        <x:v>全50場</x:v>
      </x:c>
      <x:c r="D1420" s="47" t="n">
        <x:v>1354994</x:v>
      </x:c>
      <x:c r="E1420" s="47" t="n">
        <x:v>904658</x:v>
      </x:c>
      <x:c r="F1420" s="47" t="n">
        <x:f>D1420-E1420</x:f>
        <x:v>450336</x:v>
      </x:c>
      <x:c r="G1420" s="49" t="n">
        <x:v>18</x:v>
      </x:c>
      <x:c r="H1420" s="49" t="n">
        <x:v>7</x:v>
      </x:c>
      <x:c r="I1420" s="47" t="n">
        <x:v>93251</x:v>
      </x:c>
      <x:c r="J1420" s="49" t="n">
        <x:v>113</x:v>
      </x:c>
      <x:c r="K1420" s="47" t="n">
        <x:v>-116657</x:v>
      </x:c>
      <x:c r="L1420" s="47" t="n">
        <x:v>34592.142857142855</x:v>
      </x:c>
      <x:c r="M1420" s="48" t="n">
        <x:v>173.192</x:v>
      </x:c>
      <x:c r="N1420" s="48" t="n">
        <x:v>148.21533333333335</x:v>
      </x:c>
      <x:c r="O1420" s="49" t="n">
        <x:v>5</x:v>
      </x:c>
      <x:c r="P1420" s="1" t="str">
        <x:v>時間軸合意の統合</x:v>
      </x:c>
      <x:c r="Q1420" s="49" t="n">
        <x:v>0</x:v>
      </x:c>
      <x:c r="R1420" s="50" t="n">
        <x:v>0.3134540903540904</x:v>
      </x:c>
      <x:c r="S1420" s="50" t="n">
        <x:v>0.25002586594691856</x:v>
      </x:c>
      <x:c r="T1420" s="1" t="str">
        <x:v>下落</x:v>
      </x:c>
      <x:c r="U1420" s="49" t="n">
        <x:v>25</x:v>
      </x:c>
    </x:row>
    <x:row r="1421" ht="22" customHeight="1">
      <x:c r="A1421" s="1" t="str">
        <x:v>TOPIXmini</x:v>
      </x:c>
      <x:c r="B1421" s="1" t="str">
        <x:v>J01</x:v>
      </x:c>
      <x:c r="C1421" s="1" t="str">
        <x:v>対照47場</x:v>
      </x:c>
      <x:c r="D1421" s="47" t="n">
        <x:v>2239235</x:v>
      </x:c>
      <x:c r="E1421" s="47" t="n">
        <x:v>1399755</x:v>
      </x:c>
      <x:c r="F1421" s="47" t="n">
        <x:f>D1421-E1421</x:f>
        <x:v>839480</x:v>
      </x:c>
      <x:c r="G1421" s="49" t="n">
        <x:v>34</x:v>
      </x:c>
      <x:c r="H1421" s="49" t="n">
        <x:v>13</x:v>
      </x:c>
      <x:c r="I1421" s="47" t="n">
        <x:v>473893</x:v>
      </x:c>
      <x:c r="J1421" s="49" t="n">
        <x:v>168</x:v>
      </x:c>
      <x:c r="K1421" s="47" t="n">
        <x:v>-55410</x:v>
      </x:c>
      <x:c r="L1421" s="47" t="n">
        <x:v>25543.23076923077</x:v>
      </x:c>
      <x:c r="M1421" s="48" t="n">
        <x:v>200.03085106382977</x:v>
      </x:c>
      <x:c r="N1421" s="48" t="n">
        <x:v>138.38936170212764</x:v>
      </x:c>
      <x:c r="O1421" s="49" t="n">
        <x:v>5</x:v>
      </x:c>
      <x:c r="P1421" s="1" t="str">
        <x:v>時間軸合意の統合</x:v>
      </x:c>
      <x:c r="Q1421" s="49" t="n">
        <x:v>0</x:v>
      </x:c>
      <x:c r="R1421" s="50" t="n">
        <x:v>0.29055919258046925</x:v>
      </x:c>
      <x:c r="S1421" s="50" t="n">
        <x:v>0.23213062098501072</x:v>
      </x:c>
      <x:c r="T1421" s="1" t="str">
        <x:v>全場</x:v>
      </x:c>
      <x:c r="U1421" s="49" t="n">
        <x:v>47</x:v>
      </x:c>
    </x:row>
    <x:row r="1422" ht="22" customHeight="1">
      <x:c r="A1422" s="1" t="str">
        <x:v>TOPIXmini</x:v>
      </x:c>
      <x:c r="B1422" s="1" t="str">
        <x:v>J01</x:v>
      </x:c>
      <x:c r="C1422" s="1" t="str">
        <x:v>対照47場</x:v>
      </x:c>
      <x:c r="D1422" s="47" t="n">
        <x:v>1304014</x:v>
      </x:c>
      <x:c r="E1422" s="47" t="n">
        <x:v>790483</x:v>
      </x:c>
      <x:c r="F1422" s="47" t="n">
        <x:f>D1422-E1422</x:f>
        <x:v>513531</x:v>
      </x:c>
      <x:c r="G1422" s="49" t="n">
        <x:v>15</x:v>
      </x:c>
      <x:c r="H1422" s="49" t="n">
        <x:v>9</x:v>
      </x:c>
      <x:c r="I1422" s="47" t="n">
        <x:v>200112</x:v>
      </x:c>
      <x:c r="J1422" s="49" t="n">
        <x:v>90</x:v>
      </x:c>
      <x:c r="K1422" s="47" t="n">
        <x:v>-55410</x:v>
      </x:c>
      <x:c r="L1422" s="47" t="n">
        <x:v>24135.333333333332</x:v>
      </x:c>
      <x:c r="M1422" s="48" t="n">
        <x:v>88.73472222222222</x:v>
      </x:c>
      <x:c r="N1422" s="48" t="n">
        <x:v>201.61944444444444</x:v>
      </x:c>
      <x:c r="O1422" s="49" t="n">
        <x:v>5</x:v>
      </x:c>
      <x:c r="P1422" s="1" t="str">
        <x:v>時間軸合意の統合</x:v>
      </x:c>
      <x:c r="Q1422" s="49" t="n">
        <x:v>0</x:v>
      </x:c>
      <x:c r="R1422" s="50" t="n">
        <x:v>0.4800462962962963</x:v>
      </x:c>
      <x:c r="S1422" s="50" t="n">
        <x:v>0.4800462962962963</x:v>
      </x:c>
      <x:c r="T1422" s="1" t="str">
        <x:v>デイ</x:v>
      </x:c>
      <x:c r="U1422" s="49" t="n">
        <x:v>24</x:v>
      </x:c>
    </x:row>
    <x:row r="1423" ht="22" customHeight="1">
      <x:c r="A1423" s="1" t="str">
        <x:v>TOPIXmini</x:v>
      </x:c>
      <x:c r="B1423" s="1" t="str">
        <x:v>J01</x:v>
      </x:c>
      <x:c r="C1423" s="1" t="str">
        <x:v>対照47場</x:v>
      </x:c>
      <x:c r="D1423" s="47" t="n">
        <x:v>935221</x:v>
      </x:c>
      <x:c r="E1423" s="47" t="n">
        <x:v>609272</x:v>
      </x:c>
      <x:c r="F1423" s="47" t="n">
        <x:f>D1423-E1423</x:f>
        <x:v>325949</x:v>
      </x:c>
      <x:c r="G1423" s="49" t="n">
        <x:v>19</x:v>
      </x:c>
      <x:c r="H1423" s="49" t="n">
        <x:v>4</x:v>
      </x:c>
      <x:c r="I1423" s="47" t="n">
        <x:v>105208</x:v>
      </x:c>
      <x:c r="J1423" s="49" t="n">
        <x:v>78</x:v>
      </x:c>
      <x:c r="K1423" s="47" t="n">
        <x:v>-40836</x:v>
      </x:c>
      <x:c r="L1423" s="47" t="n">
        <x:v>28711</x:v>
      </x:c>
      <x:c r="M1423" s="48" t="n">
        <x:v>316.16594202898546</x:v>
      </x:c>
      <x:c r="N1423" s="48" t="n">
        <x:v>72.41014492753622</x:v>
      </x:c>
      <x:c r="O1423" s="49" t="n">
        <x:v>5</x:v>
      </x:c>
      <x:c r="P1423" s="1" t="str">
        <x:v>時間軸合意の統合</x:v>
      </x:c>
      <x:c r="Q1423" s="49" t="n">
        <x:v>0</x:v>
      </x:c>
      <x:c r="R1423" s="50" t="n">
        <x:v>0.09283351913786694</x:v>
      </x:c>
      <x:c r="S1423" s="50" t="n">
        <x:v>0.09283351913786697</x:v>
      </x:c>
      <x:c r="T1423" s="1" t="str">
        <x:v>ナイト</x:v>
      </x:c>
      <x:c r="U1423" s="49" t="n">
        <x:v>23</x:v>
      </x:c>
    </x:row>
    <x:row r="1424" ht="22" customHeight="1">
      <x:c r="A1424" s="1" t="str">
        <x:v>TOPIXmini</x:v>
      </x:c>
      <x:c r="B1424" s="1" t="str">
        <x:v>J01</x:v>
      </x:c>
      <x:c r="C1424" s="1" t="str">
        <x:v>対照47場</x:v>
      </x:c>
      <x:c r="D1424" s="47" t="n">
        <x:v>1011159</x:v>
      </x:c>
      <x:c r="E1424" s="47" t="n">
        <x:v>704258</x:v>
      </x:c>
      <x:c r="F1424" s="47" t="n">
        <x:f>D1424-E1424</x:f>
        <x:v>306901</x:v>
      </x:c>
      <x:c r="G1424" s="49" t="n">
        <x:v>17</x:v>
      </x:c>
      <x:c r="H1424" s="49" t="n">
        <x:v>7</x:v>
      </x:c>
      <x:c r="I1424" s="47" t="n">
        <x:v>67234</x:v>
      </x:c>
      <x:c r="J1424" s="49" t="n">
        <x:v>74</x:v>
      </x:c>
      <x:c r="K1424" s="47" t="n">
        <x:v>-55410</x:v>
      </x:c>
      <x:c r="L1424" s="47" t="n">
        <x:v>29510.571428571428</x:v>
      </x:c>
      <x:c r="M1424" s="48" t="n">
        <x:v>216.12222222222223</x:v>
      </x:c>
      <x:c r="N1424" s="48" t="n">
        <x:v>127.41944444444444</x:v>
      </x:c>
      <x:c r="O1424" s="49" t="n">
        <x:v>5</x:v>
      </x:c>
      <x:c r="P1424" s="1" t="str">
        <x:v>時間軸合意の統合</x:v>
      </x:c>
      <x:c r="Q1424" s="49" t="n">
        <x:v>0</x:v>
      </x:c>
      <x:c r="R1424" s="50" t="n">
        <x:v>0.26438390313390314</x:v>
      </x:c>
      <x:c r="S1424" s="50" t="n">
        <x:v>0.21236574074074074</x:v>
      </x:c>
      <x:c r="T1424" s="1" t="str">
        <x:v>上昇</x:v>
      </x:c>
      <x:c r="U1424" s="49" t="n">
        <x:v>24</x:v>
      </x:c>
    </x:row>
    <x:row r="1425" ht="22" customHeight="1">
      <x:c r="A1425" s="1" t="str">
        <x:v>TOPIXmini</x:v>
      </x:c>
      <x:c r="B1425" s="1" t="str">
        <x:v>J01</x:v>
      </x:c>
      <x:c r="C1425" s="1" t="str">
        <x:v>対照47場</x:v>
      </x:c>
      <x:c r="D1425" s="47" t="n">
        <x:v>1228076</x:v>
      </x:c>
      <x:c r="E1425" s="47" t="n">
        <x:v>695497</x:v>
      </x:c>
      <x:c r="F1425" s="47" t="n">
        <x:f>D1425-E1425</x:f>
        <x:v>532579</x:v>
      </x:c>
      <x:c r="G1425" s="49" t="n">
        <x:v>17</x:v>
      </x:c>
      <x:c r="H1425" s="49" t="n">
        <x:v>6</x:v>
      </x:c>
      <x:c r="I1425" s="47" t="n">
        <x:v>175494</x:v>
      </x:c>
      <x:c r="J1425" s="49" t="n">
        <x:v>94</x:v>
      </x:c>
      <x:c r="K1425" s="47" t="n">
        <x:v>-40836</x:v>
      </x:c>
      <x:c r="L1425" s="47" t="n">
        <x:v>20914.666666666668</x:v>
      </x:c>
      <x:c r="M1425" s="48" t="n">
        <x:v>183.23985507246377</x:v>
      </x:c>
      <x:c r="N1425" s="48" t="n">
        <x:v>149.83623188405798</x:v>
      </x:c>
      <x:c r="O1425" s="49" t="n">
        <x:v>5</x:v>
      </x:c>
      <x:c r="P1425" s="1" t="str">
        <x:v>時間軸合意の統合</x:v>
      </x:c>
      <x:c r="Q1425" s="49" t="n">
        <x:v>0</x:v>
      </x:c>
      <x:c r="R1425" s="50" t="n">
        <x:v>0.3178725380899294</x:v>
      </x:c>
      <x:c r="S1425" s="50" t="n">
        <x:v>0.2530274106705825</x:v>
      </x:c>
      <x:c r="T1425" s="1" t="str">
        <x:v>下落</x:v>
      </x:c>
      <x:c r="U1425" s="49" t="n">
        <x:v>23</x:v>
      </x:c>
    </x:row>
    <x:row r="1426" ht="22" customHeight="1">
      <x:c r="A1426" s="1" t="str">
        <x:v>TOPIXmini</x:v>
      </x:c>
      <x:c r="B1426" s="1" t="str">
        <x:v>J01</x:v>
      </x:c>
      <x:c r="C1426" s="1" t="str">
        <x:v>診断3場</x:v>
      </x:c>
      <x:c r="D1426" s="47" t="n">
        <x:v>166668</x:v>
      </x:c>
      <x:c r="E1426" s="47" t="n">
        <x:v>218826</x:v>
      </x:c>
      <x:c r="F1426" s="47" t="n">
        <x:f>D1426-E1426</x:f>
        <x:v>-52158</x:v>
      </x:c>
      <x:c r="G1426" s="49" t="n">
        <x:v>2</x:v>
      </x:c>
      <x:c r="H1426" s="49" t="n">
        <x:v>1</x:v>
      </x:c>
      <x:c r="I1426" s="47" t="n">
        <x:v>-116657</x:v>
      </x:c>
      <x:c r="J1426" s="49" t="n">
        <x:v>23</x:v>
      </x:c>
      <x:c r="K1426" s="47" t="n">
        <x:v>-116657</x:v>
      </x:c>
      <x:c r="L1426" s="47" t="n">
        <x:v>116657</x:v>
      </x:c>
      <x:c r="M1426" s="48" t="n">
        <x:v>80.41666666666667</x:v>
      </x:c>
      <x:c r="N1426" s="48" t="n">
        <x:v>110.93888888888888</x:v>
      </x:c>
      <x:c r="O1426" s="49" t="n">
        <x:v>5</x:v>
      </x:c>
      <x:c r="P1426" s="1" t="str">
        <x:v>時間軸合意の統合</x:v>
      </x:c>
      <x:c r="Q1426" s="49" t="n">
        <x:v>0</x:v>
      </x:c>
      <x:c r="R1426" s="50" t="n">
        <x:v>0.2065761090761091</x:v>
      </x:c>
      <x:c r="S1426" s="50" t="n">
        <x:v>0.1680892255892256</x:v>
      </x:c>
      <x:c r="T1426" s="1" t="str">
        <x:v>全場</x:v>
      </x:c>
      <x:c r="U1426" s="49" t="n">
        <x:v>3</x:v>
      </x:c>
    </x:row>
    <x:row r="1427" ht="22" customHeight="1">
      <x:c r="A1427" s="1" t="str">
        <x:v>TOPIXmini</x:v>
      </x:c>
      <x:c r="B1427" s="1" t="str">
        <x:v>J01</x:v>
      </x:c>
      <x:c r="C1427" s="1" t="str">
        <x:v>診断3場</x:v>
      </x:c>
      <x:c r="D1427" s="47" t="n">
        <x:v>49003</x:v>
      </x:c>
      <x:c r="E1427" s="47" t="n">
        <x:v>165660</x:v>
      </x:c>
      <x:c r="F1427" s="47" t="n">
        <x:f>D1427-E1427</x:f>
        <x:v>-116657</x:v>
      </x:c>
      <x:c r="G1427" s="49" t="n">
        <x:v>0</x:v>
      </x:c>
      <x:c r="H1427" s="49" t="n">
        <x:v>1</x:v>
      </x:c>
      <x:c r="I1427" s="47" t="n">
        <x:v>-116657</x:v>
      </x:c>
      <x:c r="J1427" s="49" t="n">
        <x:v>11</x:v>
      </x:c>
      <x:c r="K1427" s="47" t="n">
        <x:v>-116657</x:v>
      </x:c>
      <x:c r="L1427" s="47" t="n">
        <x:v>116657</x:v>
      </x:c>
      <x:c r="M1427" s="48" t="n">
        <x:v>43.95</x:v>
      </x:c>
      <x:c r="N1427" s="48" t="n">
        <x:v>175.66666666666666</x:v>
      </x:c>
      <x:c r="O1427" s="49" t="n">
        <x:v>5</x:v>
      </x:c>
      <x:c r="P1427" s="1" t="str">
        <x:v>時間軸合意の統合</x:v>
      </x:c>
      <x:c r="Q1427" s="49" t="n">
        <x:v>0</x:v>
      </x:c>
      <x:c r="R1427" s="50" t="n">
        <x:v>0.41825396825396827</x:v>
      </x:c>
      <x:c r="S1427" s="50" t="n">
        <x:v>0.4182539682539682</x:v>
      </x:c>
      <x:c r="T1427" s="1" t="str">
        <x:v>デイ</x:v>
      </x:c>
      <x:c r="U1427" s="49" t="n">
        <x:v>1</x:v>
      </x:c>
    </x:row>
    <x:row r="1428" ht="22" customHeight="1">
      <x:c r="A1428" s="1" t="str">
        <x:v>TOPIXmini</x:v>
      </x:c>
      <x:c r="B1428" s="1" t="str">
        <x:v>J01</x:v>
      </x:c>
      <x:c r="C1428" s="1" t="str">
        <x:v>診断3場</x:v>
      </x:c>
      <x:c r="D1428" s="47" t="n">
        <x:v>117665</x:v>
      </x:c>
      <x:c r="E1428" s="47" t="n">
        <x:v>53166</x:v>
      </x:c>
      <x:c r="F1428" s="47" t="n">
        <x:f>D1428-E1428</x:f>
        <x:v>64499</x:v>
      </x:c>
      <x:c r="G1428" s="49" t="n">
        <x:v>2</x:v>
      </x:c>
      <x:c r="H1428" s="49" t="n">
        <x:v>0</x:v>
      </x:c>
      <x:c r="I1428" s="47" t="n">
        <x:v>0</x:v>
      </x:c>
      <x:c r="J1428" s="49" t="n">
        <x:v>12</x:v>
      </x:c>
      <x:c r="K1428" s="47" t="n">
        <x:v>30085</x:v>
      </x:c>
      <x:c r="L1428" s="47" t="n">
        <x:v>0</x:v>
      </x:c>
      <x:c r="M1428" s="48" t="n">
        <x:v>98.65</x:v>
      </x:c>
      <x:c r="N1428" s="48" t="n">
        <x:v>78.575</x:v>
      </x:c>
      <x:c r="O1428" s="49" t="n">
        <x:v>5</x:v>
      </x:c>
      <x:c r="P1428" s="1" t="str">
        <x:v>時間軸合意の統合</x:v>
      </x:c>
      <x:c r="Q1428" s="49" t="n">
        <x:v>0</x:v>
      </x:c>
      <x:c r="R1428" s="50" t="n">
        <x:v>0.10073717948717949</x:v>
      </x:c>
      <x:c r="S1428" s="50" t="n">
        <x:v>0.10073717948717949</x:v>
      </x:c>
      <x:c r="T1428" s="1" t="str">
        <x:v>ナイト</x:v>
      </x:c>
      <x:c r="U1428" s="49" t="n">
        <x:v>2</x:v>
      </x:c>
    </x:row>
    <x:row r="1429" ht="22" customHeight="1">
      <x:c r="A1429" s="1" t="str">
        <x:v>TOPIXmini</x:v>
      </x:c>
      <x:c r="B1429" s="1" t="str">
        <x:v>J01</x:v>
      </x:c>
      <x:c r="C1429" s="1" t="str">
        <x:v>診断3場</x:v>
      </x:c>
      <x:c r="D1429" s="47" t="n">
        <x:v>39750</x:v>
      </x:c>
      <x:c r="E1429" s="47" t="n">
        <x:v>9665</x:v>
      </x:c>
      <x:c r="F1429" s="47" t="n">
        <x:f>D1429-E1429</x:f>
        <x:v>30085</x:v>
      </x:c>
      <x:c r="G1429" s="49" t="n">
        <x:v>1</x:v>
      </x:c>
      <x:c r="H1429" s="49" t="n">
        <x:v>0</x:v>
      </x:c>
      <x:c r="I1429" s="47" t="n">
        <x:v>0</x:v>
      </x:c>
      <x:c r="J1429" s="49" t="n">
        <x:v>4</x:v>
      </x:c>
      <x:c r="K1429" s="47" t="n">
        <x:v>30085</x:v>
      </x:c>
      <x:c r="L1429" s="47" t="n">
        <x:v>0</x:v>
      </x:c>
      <x:c r="M1429" s="48" t="n">
        <x:v>125.96666666666667</x:v>
      </x:c>
      <x:c r="N1429" s="48" t="n">
        <x:v>73.66666666666667</x:v>
      </x:c>
      <x:c r="O1429" s="49" t="n">
        <x:v>5</x:v>
      </x:c>
      <x:c r="P1429" s="1" t="str">
        <x:v>時間軸合意の統合</x:v>
      </x:c>
      <x:c r="Q1429" s="49" t="n">
        <x:v>0</x:v>
      </x:c>
      <x:c r="R1429" s="50" t="n">
        <x:v>0.09444444444444444</x:v>
      </x:c>
      <x:c r="S1429" s="50" t="n">
        <x:v>0.09444444444444446</x:v>
      </x:c>
      <x:c r="T1429" s="1" t="str">
        <x:v>上昇</x:v>
      </x:c>
      <x:c r="U1429" s="49" t="n">
        <x:v>1</x:v>
      </x:c>
    </x:row>
    <x:row r="1430" ht="22" customHeight="1">
      <x:c r="A1430" s="1" t="str">
        <x:v>TOPIXmini</x:v>
      </x:c>
      <x:c r="B1430" s="1" t="str">
        <x:v>J01</x:v>
      </x:c>
      <x:c r="C1430" s="1" t="str">
        <x:v>診断3場</x:v>
      </x:c>
      <x:c r="D1430" s="47" t="n">
        <x:v>126918</x:v>
      </x:c>
      <x:c r="E1430" s="47" t="n">
        <x:v>209161</x:v>
      </x:c>
      <x:c r="F1430" s="47" t="n">
        <x:f>D1430-E1430</x:f>
        <x:v>-82243</x:v>
      </x:c>
      <x:c r="G1430" s="49" t="n">
        <x:v>1</x:v>
      </x:c>
      <x:c r="H1430" s="49" t="n">
        <x:v>1</x:v>
      </x:c>
      <x:c r="I1430" s="47" t="n">
        <x:v>-116657</x:v>
      </x:c>
      <x:c r="J1430" s="49" t="n">
        <x:v>19</x:v>
      </x:c>
      <x:c r="K1430" s="47" t="n">
        <x:v>-116657</x:v>
      </x:c>
      <x:c r="L1430" s="47" t="n">
        <x:v>116657</x:v>
      </x:c>
      <x:c r="M1430" s="48" t="n">
        <x:v>57.641666666666666</x:v>
      </x:c>
      <x:c r="N1430" s="48" t="n">
        <x:v>129.575</x:v>
      </x:c>
      <x:c r="O1430" s="49" t="n">
        <x:v>5</x:v>
      </x:c>
      <x:c r="P1430" s="1" t="str">
        <x:v>時間軸合意の統合</x:v>
      </x:c>
      <x:c r="Q1430" s="49" t="n">
        <x:v>0</x:v>
      </x:c>
      <x:c r="R1430" s="50" t="n">
        <x:v>0.2626419413919414</x:v>
      </x:c>
      <x:c r="S1430" s="50" t="n">
        <x:v>0.2159583333333333</x:v>
      </x:c>
      <x:c r="T1430" s="1" t="str">
        <x:v>下落</x:v>
      </x:c>
      <x:c r="U1430" s="49" t="n">
        <x:v>2</x:v>
      </x:c>
    </x:row>
    <x:row r="1431" ht="22" customHeight="1">
      <x:c r="A1431" s="1" t="str">
        <x:v>TOPIXmini</x:v>
      </x:c>
      <x:c r="B1431" s="1" t="str">
        <x:v>J02</x:v>
      </x:c>
      <x:c r="C1431" s="1" t="str">
        <x:v>全50場</x:v>
      </x:c>
      <x:c r="D1431" s="47" t="n">
        <x:v>2342567</x:v>
      </x:c>
      <x:c r="E1431" s="47" t="n">
        <x:v>1628358</x:v>
      </x:c>
      <x:c r="F1431" s="47" t="n">
        <x:f>D1431-E1431</x:f>
        <x:v>714209</x:v>
      </x:c>
      <x:c r="G1431" s="49" t="n">
        <x:v>38</x:v>
      </x:c>
      <x:c r="H1431" s="49" t="n">
        <x:v>12</x:v>
      </x:c>
      <x:c r="I1431" s="47" t="n">
        <x:v>369124</x:v>
      </x:c>
      <x:c r="J1431" s="49" t="n">
        <x:v>179</x:v>
      </x:c>
      <x:c r="K1431" s="47" t="n">
        <x:v>-84406</x:v>
      </x:c>
      <x:c r="L1431" s="47" t="n">
        <x:v>45040.583333333336</x:v>
      </x:c>
      <x:c r="M1431" s="48" t="n">
        <x:v>199.58066666666664</x:v>
      </x:c>
      <x:c r="N1431" s="48" t="n">
        <x:v>130.65500000000003</x:v>
      </x:c>
      <x:c r="O1431" s="49" t="n">
        <x:v>5</x:v>
      </x:c>
      <x:c r="P1431" s="1" t="str">
        <x:v>価格位置と原板管理の統合</x:v>
      </x:c>
      <x:c r="Q1431" s="49" t="n">
        <x:v>0</x:v>
      </x:c>
      <x:c r="R1431" s="50" t="n">
        <x:v>0.2731818681318681</x:v>
      </x:c>
      <x:c r="S1431" s="50" t="n">
        <x:v>0.21775833333333333</x:v>
      </x:c>
      <x:c r="T1431" s="1" t="str">
        <x:v>全場</x:v>
      </x:c>
      <x:c r="U1431" s="49" t="n">
        <x:v>50</x:v>
      </x:c>
    </x:row>
    <x:row r="1432" ht="22" customHeight="1">
      <x:c r="A1432" s="1" t="str">
        <x:v>TOPIXmini</x:v>
      </x:c>
      <x:c r="B1432" s="1" t="str">
        <x:v>J02</x:v>
      </x:c>
      <x:c r="C1432" s="1" t="str">
        <x:v>全50場</x:v>
      </x:c>
      <x:c r="D1432" s="47" t="n">
        <x:v>1313017</x:v>
      </x:c>
      <x:c r="E1432" s="47" t="n">
        <x:v>980748</x:v>
      </x:c>
      <x:c r="F1432" s="47" t="n">
        <x:f>D1432-E1432</x:f>
        <x:v>332269</x:v>
      </x:c>
      <x:c r="G1432" s="49" t="n">
        <x:v>16</x:v>
      </x:c>
      <x:c r="H1432" s="49" t="n">
        <x:v>9</x:v>
      </x:c>
      <x:c r="I1432" s="47" t="n">
        <x:v>10686</x:v>
      </x:c>
      <x:c r="J1432" s="49" t="n">
        <x:v>95</x:v>
      </x:c>
      <x:c r="K1432" s="47" t="n">
        <x:v>-84406</x:v>
      </x:c>
      <x:c r="L1432" s="47" t="n">
        <x:v>47201.22222222222</x:v>
      </x:c>
      <x:c r="M1432" s="48" t="n">
        <x:v>87.76199999999999</x:v>
      </x:c>
      <x:c r="N1432" s="48" t="n">
        <x:v>192.32933333333335</x:v>
      </x:c>
      <x:c r="O1432" s="49" t="n">
        <x:v>5</x:v>
      </x:c>
      <x:c r="P1432" s="1" t="str">
        <x:v>価格位置と原板管理の統合</x:v>
      </x:c>
      <x:c r="Q1432" s="49" t="n">
        <x:v>0</x:v>
      </x:c>
      <x:c r="R1432" s="50" t="n">
        <x:v>0.4579269841269841</x:v>
      </x:c>
      <x:c r="S1432" s="50" t="n">
        <x:v>0.4579269841269841</x:v>
      </x:c>
      <x:c r="T1432" s="1" t="str">
        <x:v>デイ</x:v>
      </x:c>
      <x:c r="U1432" s="49" t="n">
        <x:v>25</x:v>
      </x:c>
    </x:row>
    <x:row r="1433" ht="22" customHeight="1">
      <x:c r="A1433" s="1" t="str">
        <x:v>TOPIXmini</x:v>
      </x:c>
      <x:c r="B1433" s="1" t="str">
        <x:v>J02</x:v>
      </x:c>
      <x:c r="C1433" s="1" t="str">
        <x:v>全50場</x:v>
      </x:c>
      <x:c r="D1433" s="47" t="n">
        <x:v>1029550</x:v>
      </x:c>
      <x:c r="E1433" s="47" t="n">
        <x:v>647610</x:v>
      </x:c>
      <x:c r="F1433" s="47" t="n">
        <x:f>D1433-E1433</x:f>
        <x:v>381940</x:v>
      </x:c>
      <x:c r="G1433" s="49" t="n">
        <x:v>22</x:v>
      </x:c>
      <x:c r="H1433" s="49" t="n">
        <x:v>3</x:v>
      </x:c>
      <x:c r="I1433" s="47" t="n">
        <x:v>181701</x:v>
      </x:c>
      <x:c r="J1433" s="49" t="n">
        <x:v>84</x:v>
      </x:c>
      <x:c r="K1433" s="47" t="n">
        <x:v>-40836</x:v>
      </x:c>
      <x:c r="L1433" s="47" t="n">
        <x:v>38558.666666666664</x:v>
      </x:c>
      <x:c r="M1433" s="48" t="n">
        <x:v>311.3993333333333</x:v>
      </x:c>
      <x:c r="N1433" s="48" t="n">
        <x:v>68.98066666666666</x:v>
      </x:c>
      <x:c r="O1433" s="49" t="n">
        <x:v>5</x:v>
      </x:c>
      <x:c r="P1433" s="1" t="str">
        <x:v>価格位置と原板管理の統合</x:v>
      </x:c>
      <x:c r="Q1433" s="49" t="n">
        <x:v>0</x:v>
      </x:c>
      <x:c r="R1433" s="50" t="n">
        <x:v>0.08843675213675213</x:v>
      </x:c>
      <x:c r="S1433" s="50" t="n">
        <x:v>0.08843675213675213</x:v>
      </x:c>
      <x:c r="T1433" s="1" t="str">
        <x:v>ナイト</x:v>
      </x:c>
      <x:c r="U1433" s="49" t="n">
        <x:v>25</x:v>
      </x:c>
    </x:row>
    <x:row r="1434" ht="22" customHeight="1">
      <x:c r="A1434" s="1" t="str">
        <x:v>TOPIXmini</x:v>
      </x:c>
      <x:c r="B1434" s="1" t="str">
        <x:v>J02</x:v>
      </x:c>
      <x:c r="C1434" s="1" t="str">
        <x:v>全50場</x:v>
      </x:c>
      <x:c r="D1434" s="47" t="n">
        <x:v>1037740</x:v>
      </x:c>
      <x:c r="E1434" s="47" t="n">
        <x:v>831774</x:v>
      </x:c>
      <x:c r="F1434" s="47" t="n">
        <x:f>D1434-E1434</x:f>
        <x:v>205966</x:v>
      </x:c>
      <x:c r="G1434" s="49" t="n">
        <x:v>18</x:v>
      </x:c>
      <x:c r="H1434" s="49" t="n">
        <x:v>7</x:v>
      </x:c>
      <x:c r="I1434" s="47" t="n">
        <x:v>-33701</x:v>
      </x:c>
      <x:c r="J1434" s="49" t="n">
        <x:v>78</x:v>
      </x:c>
      <x:c r="K1434" s="47" t="n">
        <x:v>-81168</x:v>
      </x:c>
      <x:c r="L1434" s="47" t="n">
        <x:v>49394</x:v>
      </x:c>
      <x:c r="M1434" s="48" t="n">
        <x:v>213.88866666666664</x:v>
      </x:c>
      <x:c r="N1434" s="48" t="n">
        <x:v>118.98999999999998</x:v>
      </x:c>
      <x:c r="O1434" s="49" t="n">
        <x:v>5</x:v>
      </x:c>
      <x:c r="P1434" s="1" t="str">
        <x:v>価格位置と原板管理の統合</x:v>
      </x:c>
      <x:c r="Q1434" s="49" t="n">
        <x:v>0</x:v>
      </x:c>
      <x:c r="R1434" s="50" t="n">
        <x:v>0.2433212454212454</x:v>
      </x:c>
      <x:c r="S1434" s="50" t="n">
        <x:v>0.19596508563899867</x:v>
      </x:c>
      <x:c r="T1434" s="1" t="str">
        <x:v>上昇</x:v>
      </x:c>
      <x:c r="U1434" s="49" t="n">
        <x:v>25</x:v>
      </x:c>
    </x:row>
    <x:row r="1435" ht="22" customHeight="1">
      <x:c r="A1435" s="1" t="str">
        <x:v>TOPIXmini</x:v>
      </x:c>
      <x:c r="B1435" s="1" t="str">
        <x:v>J02</x:v>
      </x:c>
      <x:c r="C1435" s="1" t="str">
        <x:v>全50場</x:v>
      </x:c>
      <x:c r="D1435" s="47" t="n">
        <x:v>1304827</x:v>
      </x:c>
      <x:c r="E1435" s="47" t="n">
        <x:v>796584</x:v>
      </x:c>
      <x:c r="F1435" s="47" t="n">
        <x:f>D1435-E1435</x:f>
        <x:v>508243</x:v>
      </x:c>
      <x:c r="G1435" s="49" t="n">
        <x:v>20</x:v>
      </x:c>
      <x:c r="H1435" s="49" t="n">
        <x:v>5</x:v>
      </x:c>
      <x:c r="I1435" s="47" t="n">
        <x:v>163330</x:v>
      </x:c>
      <x:c r="J1435" s="49" t="n">
        <x:v>101</x:v>
      </x:c>
      <x:c r="K1435" s="47" t="n">
        <x:v>-84406</x:v>
      </x:c>
      <x:c r="L1435" s="47" t="n">
        <x:v>38945.8</x:v>
      </x:c>
      <x:c r="M1435" s="48" t="n">
        <x:v>185.27266666666665</x:v>
      </x:c>
      <x:c r="N1435" s="48" t="n">
        <x:v>142.32000000000002</x:v>
      </x:c>
      <x:c r="O1435" s="49" t="n">
        <x:v>5</x:v>
      </x:c>
      <x:c r="P1435" s="1" t="str">
        <x:v>価格位置と原板管理の統合</x:v>
      </x:c>
      <x:c r="Q1435" s="49" t="n">
        <x:v>0</x:v>
      </x:c>
      <x:c r="R1435" s="50" t="n">
        <x:v>0.30304249084249085</x:v>
      </x:c>
      <x:c r="S1435" s="50" t="n">
        <x:v>0.24008097165991904</x:v>
      </x:c>
      <x:c r="T1435" s="1" t="str">
        <x:v>下落</x:v>
      </x:c>
      <x:c r="U1435" s="49" t="n">
        <x:v>25</x:v>
      </x:c>
    </x:row>
    <x:row r="1436" ht="22" customHeight="1">
      <x:c r="A1436" s="1" t="str">
        <x:v>TOPIXmini</x:v>
      </x:c>
      <x:c r="B1436" s="1" t="str">
        <x:v>J02</x:v>
      </x:c>
      <x:c r="C1436" s="1" t="str">
        <x:v>対照47場</x:v>
      </x:c>
      <x:c r="D1436" s="47" t="n">
        <x:v>2210731</x:v>
      </x:c>
      <x:c r="E1436" s="47" t="n">
        <x:v>1476615</x:v>
      </x:c>
      <x:c r="F1436" s="47" t="n">
        <x:f>D1436-E1436</x:f>
        <x:v>734116</x:v>
      </x:c>
      <x:c r="G1436" s="49" t="n">
        <x:v>36</x:v>
      </x:c>
      <x:c r="H1436" s="49" t="n">
        <x:v>11</x:v>
      </x:c>
      <x:c r="I1436" s="47" t="n">
        <x:v>389031</x:v>
      </x:c>
      <x:c r="J1436" s="49" t="n">
        <x:v>158</x:v>
      </x:c>
      <x:c r="K1436" s="47" t="n">
        <x:v>-81168</x:v>
      </x:c>
      <x:c r="L1436" s="47" t="n">
        <x:v>41461.90909090909</x:v>
      </x:c>
      <x:c r="M1436" s="48" t="n">
        <x:v>207.18687943262407</x:v>
      </x:c>
      <x:c r="N1436" s="48" t="n">
        <x:v>130.2464539007092</x:v>
      </x:c>
      <x:c r="O1436" s="49" t="n">
        <x:v>5</x:v>
      </x:c>
      <x:c r="P1436" s="1" t="str">
        <x:v>価格位置と原板管理の統合</x:v>
      </x:c>
      <x:c r="Q1436" s="49" t="n">
        <x:v>0</x:v>
      </x:c>
      <x:c r="R1436" s="50" t="n">
        <x:v>0.27346420128335025</x:v>
      </x:c>
      <x:c r="S1436" s="50" t="n">
        <x:v>0.2184719248156079</x:v>
      </x:c>
      <x:c r="T1436" s="1" t="str">
        <x:v>全場</x:v>
      </x:c>
      <x:c r="U1436" s="49" t="n">
        <x:v>47</x:v>
      </x:c>
    </x:row>
    <x:row r="1437" ht="22" customHeight="1">
      <x:c r="A1437" s="1" t="str">
        <x:v>TOPIXmini</x:v>
      </x:c>
      <x:c r="B1437" s="1" t="str">
        <x:v>J02</x:v>
      </x:c>
      <x:c r="C1437" s="1" t="str">
        <x:v>対照47場</x:v>
      </x:c>
      <x:c r="D1437" s="47" t="n">
        <x:v>1298846</x:v>
      </x:c>
      <x:c r="E1437" s="47" t="n">
        <x:v>882171</x:v>
      </x:c>
      <x:c r="F1437" s="47" t="n">
        <x:f>D1437-E1437</x:f>
        <x:v>416675</x:v>
      </x:c>
      <x:c r="G1437" s="49" t="n">
        <x:v>16</x:v>
      </x:c>
      <x:c r="H1437" s="49" t="n">
        <x:v>8</x:v>
      </x:c>
      <x:c r="I1437" s="47" t="n">
        <x:v>95092</x:v>
      </x:c>
      <x:c r="J1437" s="49" t="n">
        <x:v>86</x:v>
      </x:c>
      <x:c r="K1437" s="47" t="n">
        <x:v>-81168</x:v>
      </x:c>
      <x:c r="L1437" s="47" t="n">
        <x:v>42550.625</x:v>
      </x:c>
      <x:c r="M1437" s="48" t="n">
        <x:v>89.58749999999999</x:v>
      </x:c>
      <x:c r="N1437" s="48" t="n">
        <x:v>189.7590277777778</x:v>
      </x:c>
      <x:c r="O1437" s="49" t="n">
        <x:v>5</x:v>
      </x:c>
      <x:c r="P1437" s="1" t="str">
        <x:v>価格位置と原板管理の統合</x:v>
      </x:c>
      <x:c r="Q1437" s="49" t="n">
        <x:v>0</x:v>
      </x:c>
      <x:c r="R1437" s="50" t="n">
        <x:v>0.451807208994709</x:v>
      </x:c>
      <x:c r="S1437" s="50" t="n">
        <x:v>0.45180720899470894</x:v>
      </x:c>
      <x:c r="T1437" s="1" t="str">
        <x:v>デイ</x:v>
      </x:c>
      <x:c r="U1437" s="49" t="n">
        <x:v>24</x:v>
      </x:c>
    </x:row>
    <x:row r="1438" ht="22" customHeight="1">
      <x:c r="A1438" s="1" t="str">
        <x:v>TOPIXmini</x:v>
      </x:c>
      <x:c r="B1438" s="1" t="str">
        <x:v>J02</x:v>
      </x:c>
      <x:c r="C1438" s="1" t="str">
        <x:v>対照47場</x:v>
      </x:c>
      <x:c r="D1438" s="47" t="n">
        <x:v>911885</x:v>
      </x:c>
      <x:c r="E1438" s="47" t="n">
        <x:v>594444</x:v>
      </x:c>
      <x:c r="F1438" s="47" t="n">
        <x:f>D1438-E1438</x:f>
        <x:v>317441</x:v>
      </x:c>
      <x:c r="G1438" s="49" t="n">
        <x:v>20</x:v>
      </x:c>
      <x:c r="H1438" s="49" t="n">
        <x:v>3</x:v>
      </x:c>
      <x:c r="I1438" s="47" t="n">
        <x:v>117202</x:v>
      </x:c>
      <x:c r="J1438" s="49" t="n">
        <x:v>72</x:v>
      </x:c>
      <x:c r="K1438" s="47" t="n">
        <x:v>-40836</x:v>
      </x:c>
      <x:c r="L1438" s="47" t="n">
        <x:v>38558.666666666664</x:v>
      </x:c>
      <x:c r="M1438" s="48" t="n">
        <x:v>329.8992753623188</x:v>
      </x:c>
      <x:c r="N1438" s="48" t="n">
        <x:v>68.1463768115942</x:v>
      </x:c>
      <x:c r="O1438" s="49" t="n">
        <x:v>5</x:v>
      </x:c>
      <x:c r="P1438" s="1" t="str">
        <x:v>価格位置と原板管理の統合</x:v>
      </x:c>
      <x:c r="Q1438" s="49" t="n">
        <x:v>0</x:v>
      </x:c>
      <x:c r="R1438" s="50" t="n">
        <x:v>0.08736714975845411</x:v>
      </x:c>
      <x:c r="S1438" s="50" t="n">
        <x:v>0.0873671497584541</x:v>
      </x:c>
      <x:c r="T1438" s="1" t="str">
        <x:v>ナイト</x:v>
      </x:c>
      <x:c r="U1438" s="49" t="n">
        <x:v>23</x:v>
      </x:c>
    </x:row>
    <x:row r="1439" ht="22" customHeight="1">
      <x:c r="A1439" s="1" t="str">
        <x:v>TOPIXmini</x:v>
      </x:c>
      <x:c r="B1439" s="1" t="str">
        <x:v>J02</x:v>
      </x:c>
      <x:c r="C1439" s="1" t="str">
        <x:v>対照47場</x:v>
      </x:c>
      <x:c r="D1439" s="47" t="n">
        <x:v>997990</x:v>
      </x:c>
      <x:c r="E1439" s="47" t="n">
        <x:v>822109</x:v>
      </x:c>
      <x:c r="F1439" s="47" t="n">
        <x:f>D1439-E1439</x:f>
        <x:v>175881</x:v>
      </x:c>
      <x:c r="G1439" s="49" t="n">
        <x:v>17</x:v>
      </x:c>
      <x:c r="H1439" s="49" t="n">
        <x:v>7</x:v>
      </x:c>
      <x:c r="I1439" s="47" t="n">
        <x:v>-63786</x:v>
      </x:c>
      <x:c r="J1439" s="49" t="n">
        <x:v>74</x:v>
      </x:c>
      <x:c r="K1439" s="47" t="n">
        <x:v>-81168</x:v>
      </x:c>
      <x:c r="L1439" s="47" t="n">
        <x:v>49394</x:v>
      </x:c>
      <x:c r="M1439" s="48" t="n">
        <x:v>217.55208333333334</x:v>
      </x:c>
      <x:c r="N1439" s="48" t="n">
        <x:v>120.87847222222221</x:v>
      </x:c>
      <x:c r="O1439" s="49" t="n">
        <x:v>5</x:v>
      </x:c>
      <x:c r="P1439" s="1" t="str">
        <x:v>価格位置と原板管理の統合</x:v>
      </x:c>
      <x:c r="Q1439" s="49" t="n">
        <x:v>0</x:v>
      </x:c>
      <x:c r="R1439" s="50" t="n">
        <x:v>0.24952444546194544</x:v>
      </x:c>
      <x:c r="S1439" s="50" t="n">
        <x:v>0.20146412037037037</x:v>
      </x:c>
      <x:c r="T1439" s="1" t="str">
        <x:v>上昇</x:v>
      </x:c>
      <x:c r="U1439" s="49" t="n">
        <x:v>24</x:v>
      </x:c>
    </x:row>
    <x:row r="1440" ht="22" customHeight="1">
      <x:c r="A1440" s="1" t="str">
        <x:v>TOPIXmini</x:v>
      </x:c>
      <x:c r="B1440" s="1" t="str">
        <x:v>J02</x:v>
      </x:c>
      <x:c r="C1440" s="1" t="str">
        <x:v>対照47場</x:v>
      </x:c>
      <x:c r="D1440" s="47" t="n">
        <x:v>1212741</x:v>
      </x:c>
      <x:c r="E1440" s="47" t="n">
        <x:v>654506</x:v>
      </x:c>
      <x:c r="F1440" s="47" t="n">
        <x:f>D1440-E1440</x:f>
        <x:v>558235</x:v>
      </x:c>
      <x:c r="G1440" s="49" t="n">
        <x:v>19</x:v>
      </x:c>
      <x:c r="H1440" s="49" t="n">
        <x:v>4</x:v>
      </x:c>
      <x:c r="I1440" s="47" t="n">
        <x:v>213322</x:v>
      </x:c>
      <x:c r="J1440" s="49" t="n">
        <x:v>84</x:v>
      </x:c>
      <x:c r="K1440" s="47" t="n">
        <x:v>-40836</x:v>
      </x:c>
      <x:c r="L1440" s="47" t="n">
        <x:v>27580.75</x:v>
      </x:c>
      <x:c r="M1440" s="48" t="n">
        <x:v>196.37101449275363</x:v>
      </x:c>
      <x:c r="N1440" s="48" t="n">
        <x:v>140.02173913043475</x:v>
      </x:c>
      <x:c r="O1440" s="49" t="n">
        <x:v>5</x:v>
      </x:c>
      <x:c r="P1440" s="1" t="str">
        <x:v>価格位置と原板管理の統合</x:v>
      </x:c>
      <x:c r="Q1440" s="49" t="n">
        <x:v>0</x:v>
      </x:c>
      <x:c r="R1440" s="50" t="n">
        <x:v>0.29844481605351175</x:v>
      </x:c>
      <x:c r="S1440" s="50" t="n">
        <x:v>0.23645374449339207</x:v>
      </x:c>
      <x:c r="T1440" s="1" t="str">
        <x:v>下落</x:v>
      </x:c>
      <x:c r="U1440" s="49" t="n">
        <x:v>23</x:v>
      </x:c>
    </x:row>
    <x:row r="1441" ht="22" customHeight="1">
      <x:c r="A1441" s="1" t="str">
        <x:v>TOPIXmini</x:v>
      </x:c>
      <x:c r="B1441" s="1" t="str">
        <x:v>J02</x:v>
      </x:c>
      <x:c r="C1441" s="1" t="str">
        <x:v>診断3場</x:v>
      </x:c>
      <x:c r="D1441" s="47" t="n">
        <x:v>131836</x:v>
      </x:c>
      <x:c r="E1441" s="47" t="n">
        <x:v>151743</x:v>
      </x:c>
      <x:c r="F1441" s="47" t="n">
        <x:f>D1441-E1441</x:f>
        <x:v>-19907</x:v>
      </x:c>
      <x:c r="G1441" s="49" t="n">
        <x:v>2</x:v>
      </x:c>
      <x:c r="H1441" s="49" t="n">
        <x:v>1</x:v>
      </x:c>
      <x:c r="I1441" s="47" t="n">
        <x:v>-84406</x:v>
      </x:c>
      <x:c r="J1441" s="49" t="n">
        <x:v>21</x:v>
      </x:c>
      <x:c r="K1441" s="47" t="n">
        <x:v>-84406</x:v>
      </x:c>
      <x:c r="L1441" s="47" t="n">
        <x:v>84406</x:v>
      </x:c>
      <x:c r="M1441" s="48" t="n">
        <x:v>80.41666666666667</x:v>
      </x:c>
      <x:c r="N1441" s="48" t="n">
        <x:v>137.05555555555557</x:v>
      </x:c>
      <x:c r="O1441" s="49" t="n">
        <x:v>5</x:v>
      </x:c>
      <x:c r="P1441" s="1" t="str">
        <x:v>価格位置と原板管理の統合</x:v>
      </x:c>
      <x:c r="Q1441" s="49" t="n">
        <x:v>0</x:v>
      </x:c>
      <x:c r="R1441" s="50" t="n">
        <x:v>0.26875864875864874</x:v>
      </x:c>
      <x:c r="S1441" s="50" t="n">
        <x:v>0.20765993265993268</x:v>
      </x:c>
      <x:c r="T1441" s="1" t="str">
        <x:v>全場</x:v>
      </x:c>
      <x:c r="U1441" s="49" t="n">
        <x:v>3</x:v>
      </x:c>
    </x:row>
    <x:row r="1442" ht="22" customHeight="1">
      <x:c r="A1442" s="1" t="str">
        <x:v>TOPIXmini</x:v>
      </x:c>
      <x:c r="B1442" s="1" t="str">
        <x:v>J02</x:v>
      </x:c>
      <x:c r="C1442" s="1" t="str">
        <x:v>診断3場</x:v>
      </x:c>
      <x:c r="D1442" s="47" t="n">
        <x:v>14171</x:v>
      </x:c>
      <x:c r="E1442" s="47" t="n">
        <x:v>98577</x:v>
      </x:c>
      <x:c r="F1442" s="47" t="n">
        <x:f>D1442-E1442</x:f>
        <x:v>-84406</x:v>
      </x:c>
      <x:c r="G1442" s="49" t="n">
        <x:v>0</x:v>
      </x:c>
      <x:c r="H1442" s="49" t="n">
        <x:v>1</x:v>
      </x:c>
      <x:c r="I1442" s="47" t="n">
        <x:v>-84406</x:v>
      </x:c>
      <x:c r="J1442" s="49" t="n">
        <x:v>9</x:v>
      </x:c>
      <x:c r="K1442" s="47" t="n">
        <x:v>-84406</x:v>
      </x:c>
      <x:c r="L1442" s="47" t="n">
        <x:v>84406</x:v>
      </x:c>
      <x:c r="M1442" s="48" t="n">
        <x:v>43.95</x:v>
      </x:c>
      <x:c r="N1442" s="48" t="n">
        <x:v>254.01666666666668</x:v>
      </x:c>
      <x:c r="O1442" s="49" t="n">
        <x:v>5</x:v>
      </x:c>
      <x:c r="P1442" s="1" t="str">
        <x:v>価格位置と原板管理の統合</x:v>
      </x:c>
      <x:c r="Q1442" s="49" t="n">
        <x:v>0</x:v>
      </x:c>
      <x:c r="R1442" s="50" t="n">
        <x:v>0.6048015873015873</x:v>
      </x:c>
      <x:c r="S1442" s="50" t="n">
        <x:v>0.6048015873015873</x:v>
      </x:c>
      <x:c r="T1442" s="1" t="str">
        <x:v>デイ</x:v>
      </x:c>
      <x:c r="U1442" s="49" t="n">
        <x:v>1</x:v>
      </x:c>
    </x:row>
    <x:row r="1443" ht="22" customHeight="1">
      <x:c r="A1443" s="1" t="str">
        <x:v>TOPIXmini</x:v>
      </x:c>
      <x:c r="B1443" s="1" t="str">
        <x:v>J02</x:v>
      </x:c>
      <x:c r="C1443" s="1" t="str">
        <x:v>診断3場</x:v>
      </x:c>
      <x:c r="D1443" s="47" t="n">
        <x:v>117665</x:v>
      </x:c>
      <x:c r="E1443" s="47" t="n">
        <x:v>53166</x:v>
      </x:c>
      <x:c r="F1443" s="47" t="n">
        <x:f>D1443-E1443</x:f>
        <x:v>64499</x:v>
      </x:c>
      <x:c r="G1443" s="49" t="n">
        <x:v>2</x:v>
      </x:c>
      <x:c r="H1443" s="49" t="n">
        <x:v>0</x:v>
      </x:c>
      <x:c r="I1443" s="47" t="n">
        <x:v>0</x:v>
      </x:c>
      <x:c r="J1443" s="49" t="n">
        <x:v>12</x:v>
      </x:c>
      <x:c r="K1443" s="47" t="n">
        <x:v>30085</x:v>
      </x:c>
      <x:c r="L1443" s="47" t="n">
        <x:v>0</x:v>
      </x:c>
      <x:c r="M1443" s="48" t="n">
        <x:v>98.65</x:v>
      </x:c>
      <x:c r="N1443" s="48" t="n">
        <x:v>78.575</x:v>
      </x:c>
      <x:c r="O1443" s="49" t="n">
        <x:v>5</x:v>
      </x:c>
      <x:c r="P1443" s="1" t="str">
        <x:v>価格位置と原板管理の統合</x:v>
      </x:c>
      <x:c r="Q1443" s="49" t="n">
        <x:v>0</x:v>
      </x:c>
      <x:c r="R1443" s="50" t="n">
        <x:v>0.10073717948717949</x:v>
      </x:c>
      <x:c r="S1443" s="50" t="n">
        <x:v>0.10073717948717949</x:v>
      </x:c>
      <x:c r="T1443" s="1" t="str">
        <x:v>ナイト</x:v>
      </x:c>
      <x:c r="U1443" s="49" t="n">
        <x:v>2</x:v>
      </x:c>
    </x:row>
    <x:row r="1444" ht="22" customHeight="1">
      <x:c r="A1444" s="1" t="str">
        <x:v>TOPIXmini</x:v>
      </x:c>
      <x:c r="B1444" s="1" t="str">
        <x:v>J02</x:v>
      </x:c>
      <x:c r="C1444" s="1" t="str">
        <x:v>診断3場</x:v>
      </x:c>
      <x:c r="D1444" s="47" t="n">
        <x:v>39750</x:v>
      </x:c>
      <x:c r="E1444" s="47" t="n">
        <x:v>9665</x:v>
      </x:c>
      <x:c r="F1444" s="47" t="n">
        <x:f>D1444-E1444</x:f>
        <x:v>30085</x:v>
      </x:c>
      <x:c r="G1444" s="49" t="n">
        <x:v>1</x:v>
      </x:c>
      <x:c r="H1444" s="49" t="n">
        <x:v>0</x:v>
      </x:c>
      <x:c r="I1444" s="47" t="n">
        <x:v>0</x:v>
      </x:c>
      <x:c r="J1444" s="49" t="n">
        <x:v>4</x:v>
      </x:c>
      <x:c r="K1444" s="47" t="n">
        <x:v>30085</x:v>
      </x:c>
      <x:c r="L1444" s="47" t="n">
        <x:v>0</x:v>
      </x:c>
      <x:c r="M1444" s="48" t="n">
        <x:v>125.96666666666667</x:v>
      </x:c>
      <x:c r="N1444" s="48" t="n">
        <x:v>73.66666666666667</x:v>
      </x:c>
      <x:c r="O1444" s="49" t="n">
        <x:v>5</x:v>
      </x:c>
      <x:c r="P1444" s="1" t="str">
        <x:v>価格位置と原板管理の統合</x:v>
      </x:c>
      <x:c r="Q1444" s="49" t="n">
        <x:v>0</x:v>
      </x:c>
      <x:c r="R1444" s="50" t="n">
        <x:v>0.09444444444444444</x:v>
      </x:c>
      <x:c r="S1444" s="50" t="n">
        <x:v>0.09444444444444446</x:v>
      </x:c>
      <x:c r="T1444" s="1" t="str">
        <x:v>上昇</x:v>
      </x:c>
      <x:c r="U1444" s="49" t="n">
        <x:v>1</x:v>
      </x:c>
    </x:row>
    <x:row r="1445" ht="22" customHeight="1">
      <x:c r="A1445" s="1" t="str">
        <x:v>TOPIXmini</x:v>
      </x:c>
      <x:c r="B1445" s="1" t="str">
        <x:v>J02</x:v>
      </x:c>
      <x:c r="C1445" s="1" t="str">
        <x:v>診断3場</x:v>
      </x:c>
      <x:c r="D1445" s="47" t="n">
        <x:v>92086</x:v>
      </x:c>
      <x:c r="E1445" s="47" t="n">
        <x:v>142078</x:v>
      </x:c>
      <x:c r="F1445" s="47" t="n">
        <x:f>D1445-E1445</x:f>
        <x:v>-49992</x:v>
      </x:c>
      <x:c r="G1445" s="49" t="n">
        <x:v>1</x:v>
      </x:c>
      <x:c r="H1445" s="49" t="n">
        <x:v>1</x:v>
      </x:c>
      <x:c r="I1445" s="47" t="n">
        <x:v>-84406</x:v>
      </x:c>
      <x:c r="J1445" s="49" t="n">
        <x:v>17</x:v>
      </x:c>
      <x:c r="K1445" s="47" t="n">
        <x:v>-84406</x:v>
      </x:c>
      <x:c r="L1445" s="47" t="n">
        <x:v>84406</x:v>
      </x:c>
      <x:c r="M1445" s="48" t="n">
        <x:v>57.641666666666666</x:v>
      </x:c>
      <x:c r="N1445" s="48" t="n">
        <x:v>168.75</x:v>
      </x:c>
      <x:c r="O1445" s="49" t="n">
        <x:v>5</x:v>
      </x:c>
      <x:c r="P1445" s="1" t="str">
        <x:v>価格位置と原板管理の統合</x:v>
      </x:c>
      <x:c r="Q1445" s="49" t="n">
        <x:v>0</x:v>
      </x:c>
      <x:c r="R1445" s="50" t="n">
        <x:v>0.3559157509157509</x:v>
      </x:c>
      <x:c r="S1445" s="50" t="n">
        <x:v>0.28125</x:v>
      </x:c>
      <x:c r="T1445" s="1" t="str">
        <x:v>下落</x:v>
      </x:c>
      <x:c r="U1445" s="49" t="n">
        <x:v>2</x:v>
      </x:c>
    </x:row>
    <x:row r="1446" ht="22" customHeight="1">
      <x:c r="A1446" s="1" t="str">
        <x:v>TOPIXmini</x:v>
      </x:c>
      <x:c r="B1446" s="1" t="str">
        <x:v>J03</x:v>
      </x:c>
      <x:c r="C1446" s="1" t="str">
        <x:v>全50場</x:v>
      </x:c>
      <x:c r="D1446" s="47" t="n">
        <x:v>2341233</x:v>
      </x:c>
      <x:c r="E1446" s="47" t="n">
        <x:v>1625027</x:v>
      </x:c>
      <x:c r="F1446" s="47" t="n">
        <x:f>D1446-E1446</x:f>
        <x:v>716206</x:v>
      </x:c>
      <x:c r="G1446" s="49" t="n">
        <x:v>38</x:v>
      </x:c>
      <x:c r="H1446" s="49" t="n">
        <x:v>12</x:v>
      </x:c>
      <x:c r="I1446" s="47" t="n">
        <x:v>371121</x:v>
      </x:c>
      <x:c r="J1446" s="49" t="n">
        <x:v>176</x:v>
      </x:c>
      <x:c r="K1446" s="47" t="n">
        <x:v>-83572</x:v>
      </x:c>
      <x:c r="L1446" s="47" t="n">
        <x:v>44735.083333333336</x:v>
      </x:c>
      <x:c r="M1446" s="48" t="n">
        <x:v>199.58066666666664</x:v>
      </x:c>
      <x:c r="N1446" s="48" t="n">
        <x:v>130.79933333333335</x:v>
      </x:c>
      <x:c r="O1446" s="49" t="n">
        <x:v>5</x:v>
      </x:c>
      <x:c r="P1446" s="1" t="str">
        <x:v>再失敗と原板合意の統合</x:v>
      </x:c>
      <x:c r="Q1446" s="49" t="n">
        <x:v>0</x:v>
      </x:c>
      <x:c r="R1446" s="50" t="n">
        <x:v>0.2735255189255189</x:v>
      </x:c>
      <x:c r="S1446" s="50" t="n">
        <x:v>0.21799888888888888</x:v>
      </x:c>
      <x:c r="T1446" s="1" t="str">
        <x:v>全場</x:v>
      </x:c>
      <x:c r="U1446" s="49" t="n">
        <x:v>50</x:v>
      </x:c>
    </x:row>
    <x:row r="1447" ht="22" customHeight="1">
      <x:c r="A1447" s="1" t="str">
        <x:v>TOPIXmini</x:v>
      </x:c>
      <x:c r="B1447" s="1" t="str">
        <x:v>J03</x:v>
      </x:c>
      <x:c r="C1447" s="1" t="str">
        <x:v>全50場</x:v>
      </x:c>
      <x:c r="D1447" s="47" t="n">
        <x:v>1311683</x:v>
      </x:c>
      <x:c r="E1447" s="47" t="n">
        <x:v>977417</x:v>
      </x:c>
      <x:c r="F1447" s="47" t="n">
        <x:f>D1447-E1447</x:f>
        <x:v>334266</x:v>
      </x:c>
      <x:c r="G1447" s="49" t="n">
        <x:v>16</x:v>
      </x:c>
      <x:c r="H1447" s="49" t="n">
        <x:v>9</x:v>
      </x:c>
      <x:c r="I1447" s="47" t="n">
        <x:v>12683</x:v>
      </x:c>
      <x:c r="J1447" s="49" t="n">
        <x:v>92</x:v>
      </x:c>
      <x:c r="K1447" s="47" t="n">
        <x:v>-83572</x:v>
      </x:c>
      <x:c r="L1447" s="47" t="n">
        <x:v>46793.88888888889</x:v>
      </x:c>
      <x:c r="M1447" s="48" t="n">
        <x:v>87.76199999999999</x:v>
      </x:c>
      <x:c r="N1447" s="48" t="n">
        <x:v>192.618</x:v>
      </x:c>
      <x:c r="O1447" s="49" t="n">
        <x:v>5</x:v>
      </x:c>
      <x:c r="P1447" s="1" t="str">
        <x:v>再失敗と原板合意の統合</x:v>
      </x:c>
      <x:c r="Q1447" s="49" t="n">
        <x:v>0</x:v>
      </x:c>
      <x:c r="R1447" s="50" t="n">
        <x:v>0.45861428571428575</x:v>
      </x:c>
      <x:c r="S1447" s="50" t="n">
        <x:v>0.4586142857142857</x:v>
      </x:c>
      <x:c r="T1447" s="1" t="str">
        <x:v>デイ</x:v>
      </x:c>
      <x:c r="U1447" s="49" t="n">
        <x:v>25</x:v>
      </x:c>
    </x:row>
    <x:row r="1448" ht="22" customHeight="1">
      <x:c r="A1448" s="1" t="str">
        <x:v>TOPIXmini</x:v>
      </x:c>
      <x:c r="B1448" s="1" t="str">
        <x:v>J03</x:v>
      </x:c>
      <x:c r="C1448" s="1" t="str">
        <x:v>全50場</x:v>
      </x:c>
      <x:c r="D1448" s="47" t="n">
        <x:v>1029550</x:v>
      </x:c>
      <x:c r="E1448" s="47" t="n">
        <x:v>647610</x:v>
      </x:c>
      <x:c r="F1448" s="47" t="n">
        <x:f>D1448-E1448</x:f>
        <x:v>381940</x:v>
      </x:c>
      <x:c r="G1448" s="49" t="n">
        <x:v>22</x:v>
      </x:c>
      <x:c r="H1448" s="49" t="n">
        <x:v>3</x:v>
      </x:c>
      <x:c r="I1448" s="47" t="n">
        <x:v>181701</x:v>
      </x:c>
      <x:c r="J1448" s="49" t="n">
        <x:v>84</x:v>
      </x:c>
      <x:c r="K1448" s="47" t="n">
        <x:v>-40836</x:v>
      </x:c>
      <x:c r="L1448" s="47" t="n">
        <x:v>38558.666666666664</x:v>
      </x:c>
      <x:c r="M1448" s="48" t="n">
        <x:v>311.3993333333333</x:v>
      </x:c>
      <x:c r="N1448" s="48" t="n">
        <x:v>68.98066666666666</x:v>
      </x:c>
      <x:c r="O1448" s="49" t="n">
        <x:v>5</x:v>
      </x:c>
      <x:c r="P1448" s="1" t="str">
        <x:v>再失敗と原板合意の統合</x:v>
      </x:c>
      <x:c r="Q1448" s="49" t="n">
        <x:v>0</x:v>
      </x:c>
      <x:c r="R1448" s="50" t="n">
        <x:v>0.08843675213675213</x:v>
      </x:c>
      <x:c r="S1448" s="50" t="n">
        <x:v>0.08843675213675213</x:v>
      </x:c>
      <x:c r="T1448" s="1" t="str">
        <x:v>ナイト</x:v>
      </x:c>
      <x:c r="U1448" s="49" t="n">
        <x:v>25</x:v>
      </x:c>
    </x:row>
    <x:row r="1449" ht="22" customHeight="1">
      <x:c r="A1449" s="1" t="str">
        <x:v>TOPIXmini</x:v>
      </x:c>
      <x:c r="B1449" s="1" t="str">
        <x:v>J03</x:v>
      </x:c>
      <x:c r="C1449" s="1" t="str">
        <x:v>全50場</x:v>
      </x:c>
      <x:c r="D1449" s="47" t="n">
        <x:v>1037740</x:v>
      </x:c>
      <x:c r="E1449" s="47" t="n">
        <x:v>831774</x:v>
      </x:c>
      <x:c r="F1449" s="47" t="n">
        <x:f>D1449-E1449</x:f>
        <x:v>205966</x:v>
      </x:c>
      <x:c r="G1449" s="49" t="n">
        <x:v>18</x:v>
      </x:c>
      <x:c r="H1449" s="49" t="n">
        <x:v>7</x:v>
      </x:c>
      <x:c r="I1449" s="47" t="n">
        <x:v>-33701</x:v>
      </x:c>
      <x:c r="J1449" s="49" t="n">
        <x:v>78</x:v>
      </x:c>
      <x:c r="K1449" s="47" t="n">
        <x:v>-81168</x:v>
      </x:c>
      <x:c r="L1449" s="47" t="n">
        <x:v>49394</x:v>
      </x:c>
      <x:c r="M1449" s="48" t="n">
        <x:v>213.88866666666664</x:v>
      </x:c>
      <x:c r="N1449" s="48" t="n">
        <x:v>118.98999999999998</x:v>
      </x:c>
      <x:c r="O1449" s="49" t="n">
        <x:v>5</x:v>
      </x:c>
      <x:c r="P1449" s="1" t="str">
        <x:v>再失敗と原板合意の統合</x:v>
      </x:c>
      <x:c r="Q1449" s="49" t="n">
        <x:v>0</x:v>
      </x:c>
      <x:c r="R1449" s="50" t="n">
        <x:v>0.2433212454212454</x:v>
      </x:c>
      <x:c r="S1449" s="50" t="n">
        <x:v>0.19596508563899867</x:v>
      </x:c>
      <x:c r="T1449" s="1" t="str">
        <x:v>上昇</x:v>
      </x:c>
      <x:c r="U1449" s="49" t="n">
        <x:v>25</x:v>
      </x:c>
    </x:row>
    <x:row r="1450" ht="22" customHeight="1">
      <x:c r="A1450" s="1" t="str">
        <x:v>TOPIXmini</x:v>
      </x:c>
      <x:c r="B1450" s="1" t="str">
        <x:v>J03</x:v>
      </x:c>
      <x:c r="C1450" s="1" t="str">
        <x:v>全50場</x:v>
      </x:c>
      <x:c r="D1450" s="47" t="n">
        <x:v>1303493</x:v>
      </x:c>
      <x:c r="E1450" s="47" t="n">
        <x:v>793253</x:v>
      </x:c>
      <x:c r="F1450" s="47" t="n">
        <x:f>D1450-E1450</x:f>
        <x:v>510240</x:v>
      </x:c>
      <x:c r="G1450" s="49" t="n">
        <x:v>20</x:v>
      </x:c>
      <x:c r="H1450" s="49" t="n">
        <x:v>5</x:v>
      </x:c>
      <x:c r="I1450" s="47" t="n">
        <x:v>165327</x:v>
      </x:c>
      <x:c r="J1450" s="49" t="n">
        <x:v>98</x:v>
      </x:c>
      <x:c r="K1450" s="47" t="n">
        <x:v>-83572</x:v>
      </x:c>
      <x:c r="L1450" s="47" t="n">
        <x:v>38212.6</x:v>
      </x:c>
      <x:c r="M1450" s="48" t="n">
        <x:v>185.27266666666665</x:v>
      </x:c>
      <x:c r="N1450" s="48" t="n">
        <x:v>142.60866666666666</x:v>
      </x:c>
      <x:c r="O1450" s="49" t="n">
        <x:v>5</x:v>
      </x:c>
      <x:c r="P1450" s="1" t="str">
        <x:v>再失敗と原板合意の統合</x:v>
      </x:c>
      <x:c r="Q1450" s="49" t="n">
        <x:v>0</x:v>
      </x:c>
      <x:c r="R1450" s="50" t="n">
        <x:v>0.3037297924297924</x:v>
      </x:c>
      <x:c r="S1450" s="50" t="n">
        <x:v>0.24056792622582096</x:v>
      </x:c>
      <x:c r="T1450" s="1" t="str">
        <x:v>下落</x:v>
      </x:c>
      <x:c r="U1450" s="49" t="n">
        <x:v>25</x:v>
      </x:c>
    </x:row>
    <x:row r="1451" ht="22" customHeight="1">
      <x:c r="A1451" s="1" t="str">
        <x:v>TOPIXmini</x:v>
      </x:c>
      <x:c r="B1451" s="1" t="str">
        <x:v>J03</x:v>
      </x:c>
      <x:c r="C1451" s="1" t="str">
        <x:v>対照47場</x:v>
      </x:c>
      <x:c r="D1451" s="47" t="n">
        <x:v>2205563</x:v>
      </x:c>
      <x:c r="E1451" s="47" t="n">
        <x:v>1470284</x:v>
      </x:c>
      <x:c r="F1451" s="47" t="n">
        <x:f>D1451-E1451</x:f>
        <x:v>735279</x:v>
      </x:c>
      <x:c r="G1451" s="49" t="n">
        <x:v>36</x:v>
      </x:c>
      <x:c r="H1451" s="49" t="n">
        <x:v>11</x:v>
      </x:c>
      <x:c r="I1451" s="47" t="n">
        <x:v>390194</x:v>
      </x:c>
      <x:c r="J1451" s="49" t="n">
        <x:v>154</x:v>
      </x:c>
      <x:c r="K1451" s="47" t="n">
        <x:v>-81168</x:v>
      </x:c>
      <x:c r="L1451" s="47" t="n">
        <x:v>41204.454545454544</x:v>
      </x:c>
      <x:c r="M1451" s="48" t="n">
        <x:v>207.18687943262407</x:v>
      </x:c>
      <x:c r="N1451" s="48" t="n">
        <x:v>130.76063829787233</x:v>
      </x:c>
      <x:c r="O1451" s="49" t="n">
        <x:v>5</x:v>
      </x:c>
      <x:c r="P1451" s="1" t="str">
        <x:v>再失敗と原板合意の統合</x:v>
      </x:c>
      <x:c r="Q1451" s="49" t="n">
        <x:v>0</x:v>
      </x:c>
      <x:c r="R1451" s="50" t="n">
        <x:v>0.27468844984802426</x:v>
      </x:c>
      <x:c r="S1451" s="50" t="n">
        <x:v>0.2193344039971449</x:v>
      </x:c>
      <x:c r="T1451" s="1" t="str">
        <x:v>全場</x:v>
      </x:c>
      <x:c r="U1451" s="49" t="n">
        <x:v>47</x:v>
      </x:c>
    </x:row>
    <x:row r="1452" ht="22" customHeight="1">
      <x:c r="A1452" s="1" t="str">
        <x:v>TOPIXmini</x:v>
      </x:c>
      <x:c r="B1452" s="1" t="str">
        <x:v>J03</x:v>
      </x:c>
      <x:c r="C1452" s="1" t="str">
        <x:v>対照47場</x:v>
      </x:c>
      <x:c r="D1452" s="47" t="n">
        <x:v>1293678</x:v>
      </x:c>
      <x:c r="E1452" s="47" t="n">
        <x:v>875840</x:v>
      </x:c>
      <x:c r="F1452" s="47" t="n">
        <x:f>D1452-E1452</x:f>
        <x:v>417838</x:v>
      </x:c>
      <x:c r="G1452" s="49" t="n">
        <x:v>16</x:v>
      </x:c>
      <x:c r="H1452" s="49" t="n">
        <x:v>8</x:v>
      </x:c>
      <x:c r="I1452" s="47" t="n">
        <x:v>96255</x:v>
      </x:c>
      <x:c r="J1452" s="49" t="n">
        <x:v>82</x:v>
      </x:c>
      <x:c r="K1452" s="47" t="n">
        <x:v>-81168</x:v>
      </x:c>
      <x:c r="L1452" s="47" t="n">
        <x:v>42196.625</x:v>
      </x:c>
      <x:c r="M1452" s="48" t="n">
        <x:v>89.58749999999999</x:v>
      </x:c>
      <x:c r="N1452" s="48" t="n">
        <x:v>190.76597222222222</x:v>
      </x:c>
      <x:c r="O1452" s="49" t="n">
        <x:v>5</x:v>
      </x:c>
      <x:c r="P1452" s="1" t="str">
        <x:v>再失敗と原板合意の統合</x:v>
      </x:c>
      <x:c r="Q1452" s="49" t="n">
        <x:v>0</x:v>
      </x:c>
      <x:c r="R1452" s="50" t="n">
        <x:v>0.45420469576719585</x:v>
      </x:c>
      <x:c r="S1452" s="50" t="n">
        <x:v>0.45420469576719574</x:v>
      </x:c>
      <x:c r="T1452" s="1" t="str">
        <x:v>デイ</x:v>
      </x:c>
      <x:c r="U1452" s="49" t="n">
        <x:v>24</x:v>
      </x:c>
    </x:row>
    <x:row r="1453" ht="22" customHeight="1">
      <x:c r="A1453" s="1" t="str">
        <x:v>TOPIXmini</x:v>
      </x:c>
      <x:c r="B1453" s="1" t="str">
        <x:v>J03</x:v>
      </x:c>
      <x:c r="C1453" s="1" t="str">
        <x:v>対照47場</x:v>
      </x:c>
      <x:c r="D1453" s="47" t="n">
        <x:v>911885</x:v>
      </x:c>
      <x:c r="E1453" s="47" t="n">
        <x:v>594444</x:v>
      </x:c>
      <x:c r="F1453" s="47" t="n">
        <x:f>D1453-E1453</x:f>
        <x:v>317441</x:v>
      </x:c>
      <x:c r="G1453" s="49" t="n">
        <x:v>20</x:v>
      </x:c>
      <x:c r="H1453" s="49" t="n">
        <x:v>3</x:v>
      </x:c>
      <x:c r="I1453" s="47" t="n">
        <x:v>117202</x:v>
      </x:c>
      <x:c r="J1453" s="49" t="n">
        <x:v>72</x:v>
      </x:c>
      <x:c r="K1453" s="47" t="n">
        <x:v>-40836</x:v>
      </x:c>
      <x:c r="L1453" s="47" t="n">
        <x:v>38558.666666666664</x:v>
      </x:c>
      <x:c r="M1453" s="48" t="n">
        <x:v>329.8992753623188</x:v>
      </x:c>
      <x:c r="N1453" s="48" t="n">
        <x:v>68.1463768115942</x:v>
      </x:c>
      <x:c r="O1453" s="49" t="n">
        <x:v>5</x:v>
      </x:c>
      <x:c r="P1453" s="1" t="str">
        <x:v>再失敗と原板合意の統合</x:v>
      </x:c>
      <x:c r="Q1453" s="49" t="n">
        <x:v>0</x:v>
      </x:c>
      <x:c r="R1453" s="50" t="n">
        <x:v>0.08736714975845411</x:v>
      </x:c>
      <x:c r="S1453" s="50" t="n">
        <x:v>0.0873671497584541</x:v>
      </x:c>
      <x:c r="T1453" s="1" t="str">
        <x:v>ナイト</x:v>
      </x:c>
      <x:c r="U1453" s="49" t="n">
        <x:v>23</x:v>
      </x:c>
    </x:row>
    <x:row r="1454" ht="22" customHeight="1">
      <x:c r="A1454" s="1" t="str">
        <x:v>TOPIXmini</x:v>
      </x:c>
      <x:c r="B1454" s="1" t="str">
        <x:v>J03</x:v>
      </x:c>
      <x:c r="C1454" s="1" t="str">
        <x:v>対照47場</x:v>
      </x:c>
      <x:c r="D1454" s="47" t="n">
        <x:v>997990</x:v>
      </x:c>
      <x:c r="E1454" s="47" t="n">
        <x:v>822109</x:v>
      </x:c>
      <x:c r="F1454" s="47" t="n">
        <x:f>D1454-E1454</x:f>
        <x:v>175881</x:v>
      </x:c>
      <x:c r="G1454" s="49" t="n">
        <x:v>17</x:v>
      </x:c>
      <x:c r="H1454" s="49" t="n">
        <x:v>7</x:v>
      </x:c>
      <x:c r="I1454" s="47" t="n">
        <x:v>-63786</x:v>
      </x:c>
      <x:c r="J1454" s="49" t="n">
        <x:v>74</x:v>
      </x:c>
      <x:c r="K1454" s="47" t="n">
        <x:v>-81168</x:v>
      </x:c>
      <x:c r="L1454" s="47" t="n">
        <x:v>49394</x:v>
      </x:c>
      <x:c r="M1454" s="48" t="n">
        <x:v>217.55208333333334</x:v>
      </x:c>
      <x:c r="N1454" s="48" t="n">
        <x:v>120.87847222222221</x:v>
      </x:c>
      <x:c r="O1454" s="49" t="n">
        <x:v>5</x:v>
      </x:c>
      <x:c r="P1454" s="1" t="str">
        <x:v>再失敗と原板合意の統合</x:v>
      </x:c>
      <x:c r="Q1454" s="49" t="n">
        <x:v>0</x:v>
      </x:c>
      <x:c r="R1454" s="50" t="n">
        <x:v>0.24952444546194544</x:v>
      </x:c>
      <x:c r="S1454" s="50" t="n">
        <x:v>0.20146412037037037</x:v>
      </x:c>
      <x:c r="T1454" s="1" t="str">
        <x:v>上昇</x:v>
      </x:c>
      <x:c r="U1454" s="49" t="n">
        <x:v>24</x:v>
      </x:c>
    </x:row>
    <x:row r="1455" ht="22" customHeight="1">
      <x:c r="A1455" s="1" t="str">
        <x:v>TOPIXmini</x:v>
      </x:c>
      <x:c r="B1455" s="1" t="str">
        <x:v>J03</x:v>
      </x:c>
      <x:c r="C1455" s="1" t="str">
        <x:v>対照47場</x:v>
      </x:c>
      <x:c r="D1455" s="47" t="n">
        <x:v>1207573</x:v>
      </x:c>
      <x:c r="E1455" s="47" t="n">
        <x:v>648175</x:v>
      </x:c>
      <x:c r="F1455" s="47" t="n">
        <x:f>D1455-E1455</x:f>
        <x:v>559398</x:v>
      </x:c>
      <x:c r="G1455" s="49" t="n">
        <x:v>19</x:v>
      </x:c>
      <x:c r="H1455" s="49" t="n">
        <x:v>4</x:v>
      </x:c>
      <x:c r="I1455" s="47" t="n">
        <x:v>214485</x:v>
      </x:c>
      <x:c r="J1455" s="49" t="n">
        <x:v>80</x:v>
      </x:c>
      <x:c r="K1455" s="47" t="n">
        <x:v>-40836</x:v>
      </x:c>
      <x:c r="L1455" s="47" t="n">
        <x:v>26872.75</x:v>
      </x:c>
      <x:c r="M1455" s="48" t="n">
        <x:v>196.37101449275363</x:v>
      </x:c>
      <x:c r="N1455" s="48" t="n">
        <x:v>141.0724637681159</x:v>
      </x:c>
      <x:c r="O1455" s="49" t="n">
        <x:v>5</x:v>
      </x:c>
      <x:c r="P1455" s="1" t="str">
        <x:v>再失敗と原板合意の統合</x:v>
      </x:c>
      <x:c r="Q1455" s="49" t="n">
        <x:v>0</x:v>
      </x:c>
      <x:c r="R1455" s="50" t="n">
        <x:v>0.30094654138132404</x:v>
      </x:c>
      <x:c r="S1455" s="50" t="n">
        <x:v>0.23822809593734703</x:v>
      </x:c>
      <x:c r="T1455" s="1" t="str">
        <x:v>下落</x:v>
      </x:c>
      <x:c r="U1455" s="49" t="n">
        <x:v>23</x:v>
      </x:c>
    </x:row>
    <x:row r="1456" ht="22" customHeight="1">
      <x:c r="A1456" s="1" t="str">
        <x:v>TOPIXmini</x:v>
      </x:c>
      <x:c r="B1456" s="1" t="str">
        <x:v>J03</x:v>
      </x:c>
      <x:c r="C1456" s="1" t="str">
        <x:v>診断3場</x:v>
      </x:c>
      <x:c r="D1456" s="47" t="n">
        <x:v>135670</x:v>
      </x:c>
      <x:c r="E1456" s="47" t="n">
        <x:v>154743</x:v>
      </x:c>
      <x:c r="F1456" s="47" t="n">
        <x:f>D1456-E1456</x:f>
        <x:v>-19073</x:v>
      </x:c>
      <x:c r="G1456" s="49" t="n">
        <x:v>2</x:v>
      </x:c>
      <x:c r="H1456" s="49" t="n">
        <x:v>1</x:v>
      </x:c>
      <x:c r="I1456" s="47" t="n">
        <x:v>-83572</x:v>
      </x:c>
      <x:c r="J1456" s="49" t="n">
        <x:v>22</x:v>
      </x:c>
      <x:c r="K1456" s="47" t="n">
        <x:v>-83572</x:v>
      </x:c>
      <x:c r="L1456" s="47" t="n">
        <x:v>83572</x:v>
      </x:c>
      <x:c r="M1456" s="48" t="n">
        <x:v>80.41666666666667</x:v>
      </x:c>
      <x:c r="N1456" s="48" t="n">
        <x:v>131.40555555555557</x:v>
      </x:c>
      <x:c r="O1456" s="49" t="n">
        <x:v>5</x:v>
      </x:c>
      <x:c r="P1456" s="1" t="str">
        <x:v>再失敗と原板合意の統合</x:v>
      </x:c>
      <x:c r="Q1456" s="49" t="n">
        <x:v>0</x:v>
      </x:c>
      <x:c r="R1456" s="50" t="n">
        <x:v>0.2553062678062678</x:v>
      </x:c>
      <x:c r="S1456" s="50" t="n">
        <x:v>0.1990993265993266</x:v>
      </x:c>
      <x:c r="T1456" s="1" t="str">
        <x:v>全場</x:v>
      </x:c>
      <x:c r="U1456" s="49" t="n">
        <x:v>3</x:v>
      </x:c>
    </x:row>
    <x:row r="1457" ht="22" customHeight="1">
      <x:c r="A1457" s="1" t="str">
        <x:v>TOPIXmini</x:v>
      </x:c>
      <x:c r="B1457" s="1" t="str">
        <x:v>J03</x:v>
      </x:c>
      <x:c r="C1457" s="1" t="str">
        <x:v>診断3場</x:v>
      </x:c>
      <x:c r="D1457" s="47" t="n">
        <x:v>18005</x:v>
      </x:c>
      <x:c r="E1457" s="47" t="n">
        <x:v>101577</x:v>
      </x:c>
      <x:c r="F1457" s="47" t="n">
        <x:f>D1457-E1457</x:f>
        <x:v>-83572</x:v>
      </x:c>
      <x:c r="G1457" s="49" t="n">
        <x:v>0</x:v>
      </x:c>
      <x:c r="H1457" s="49" t="n">
        <x:v>1</x:v>
      </x:c>
      <x:c r="I1457" s="47" t="n">
        <x:v>-83572</x:v>
      </x:c>
      <x:c r="J1457" s="49" t="n">
        <x:v>10</x:v>
      </x:c>
      <x:c r="K1457" s="47" t="n">
        <x:v>-83572</x:v>
      </x:c>
      <x:c r="L1457" s="47" t="n">
        <x:v>83572</x:v>
      </x:c>
      <x:c r="M1457" s="48" t="n">
        <x:v>43.95</x:v>
      </x:c>
      <x:c r="N1457" s="48" t="n">
        <x:v>237.06666666666666</x:v>
      </x:c>
      <x:c r="O1457" s="49" t="n">
        <x:v>5</x:v>
      </x:c>
      <x:c r="P1457" s="1" t="str">
        <x:v>再失敗と原板合意の統合</x:v>
      </x:c>
      <x:c r="Q1457" s="49" t="n">
        <x:v>0</x:v>
      </x:c>
      <x:c r="R1457" s="50" t="n">
        <x:v>0.5644444444444444</x:v>
      </x:c>
      <x:c r="S1457" s="50" t="n">
        <x:v>0.5644444444444444</x:v>
      </x:c>
      <x:c r="T1457" s="1" t="str">
        <x:v>デイ</x:v>
      </x:c>
      <x:c r="U1457" s="49" t="n">
        <x:v>1</x:v>
      </x:c>
    </x:row>
    <x:row r="1458" ht="22" customHeight="1">
      <x:c r="A1458" s="1" t="str">
        <x:v>TOPIXmini</x:v>
      </x:c>
      <x:c r="B1458" s="1" t="str">
        <x:v>J03</x:v>
      </x:c>
      <x:c r="C1458" s="1" t="str">
        <x:v>診断3場</x:v>
      </x:c>
      <x:c r="D1458" s="47" t="n">
        <x:v>117665</x:v>
      </x:c>
      <x:c r="E1458" s="47" t="n">
        <x:v>53166</x:v>
      </x:c>
      <x:c r="F1458" s="47" t="n">
        <x:f>D1458-E1458</x:f>
        <x:v>64499</x:v>
      </x:c>
      <x:c r="G1458" s="49" t="n">
        <x:v>2</x:v>
      </x:c>
      <x:c r="H1458" s="49" t="n">
        <x:v>0</x:v>
      </x:c>
      <x:c r="I1458" s="47" t="n">
        <x:v>0</x:v>
      </x:c>
      <x:c r="J1458" s="49" t="n">
        <x:v>12</x:v>
      </x:c>
      <x:c r="K1458" s="47" t="n">
        <x:v>30085</x:v>
      </x:c>
      <x:c r="L1458" s="47" t="n">
        <x:v>0</x:v>
      </x:c>
      <x:c r="M1458" s="48" t="n">
        <x:v>98.65</x:v>
      </x:c>
      <x:c r="N1458" s="48" t="n">
        <x:v>78.575</x:v>
      </x:c>
      <x:c r="O1458" s="49" t="n">
        <x:v>5</x:v>
      </x:c>
      <x:c r="P1458" s="1" t="str">
        <x:v>再失敗と原板合意の統合</x:v>
      </x:c>
      <x:c r="Q1458" s="49" t="n">
        <x:v>0</x:v>
      </x:c>
      <x:c r="R1458" s="50" t="n">
        <x:v>0.10073717948717949</x:v>
      </x:c>
      <x:c r="S1458" s="50" t="n">
        <x:v>0.10073717948717949</x:v>
      </x:c>
      <x:c r="T1458" s="1" t="str">
        <x:v>ナイト</x:v>
      </x:c>
      <x:c r="U1458" s="49" t="n">
        <x:v>2</x:v>
      </x:c>
    </x:row>
    <x:row r="1459" ht="22" customHeight="1">
      <x:c r="A1459" s="1" t="str">
        <x:v>TOPIXmini</x:v>
      </x:c>
      <x:c r="B1459" s="1" t="str">
        <x:v>J03</x:v>
      </x:c>
      <x:c r="C1459" s="1" t="str">
        <x:v>診断3場</x:v>
      </x:c>
      <x:c r="D1459" s="47" t="n">
        <x:v>39750</x:v>
      </x:c>
      <x:c r="E1459" s="47" t="n">
        <x:v>9665</x:v>
      </x:c>
      <x:c r="F1459" s="47" t="n">
        <x:f>D1459-E1459</x:f>
        <x:v>30085</x:v>
      </x:c>
      <x:c r="G1459" s="49" t="n">
        <x:v>1</x:v>
      </x:c>
      <x:c r="H1459" s="49" t="n">
        <x:v>0</x:v>
      </x:c>
      <x:c r="I1459" s="47" t="n">
        <x:v>0</x:v>
      </x:c>
      <x:c r="J1459" s="49" t="n">
        <x:v>4</x:v>
      </x:c>
      <x:c r="K1459" s="47" t="n">
        <x:v>30085</x:v>
      </x:c>
      <x:c r="L1459" s="47" t="n">
        <x:v>0</x:v>
      </x:c>
      <x:c r="M1459" s="48" t="n">
        <x:v>125.96666666666667</x:v>
      </x:c>
      <x:c r="N1459" s="48" t="n">
        <x:v>73.66666666666667</x:v>
      </x:c>
      <x:c r="O1459" s="49" t="n">
        <x:v>5</x:v>
      </x:c>
      <x:c r="P1459" s="1" t="str">
        <x:v>再失敗と原板合意の統合</x:v>
      </x:c>
      <x:c r="Q1459" s="49" t="n">
        <x:v>0</x:v>
      </x:c>
      <x:c r="R1459" s="50" t="n">
        <x:v>0.09444444444444444</x:v>
      </x:c>
      <x:c r="S1459" s="50" t="n">
        <x:v>0.09444444444444446</x:v>
      </x:c>
      <x:c r="T1459" s="1" t="str">
        <x:v>上昇</x:v>
      </x:c>
      <x:c r="U1459" s="49" t="n">
        <x:v>1</x:v>
      </x:c>
    </x:row>
    <x:row r="1460" ht="22" customHeight="1">
      <x:c r="A1460" s="1" t="str">
        <x:v>TOPIXmini</x:v>
      </x:c>
      <x:c r="B1460" s="1" t="str">
        <x:v>J03</x:v>
      </x:c>
      <x:c r="C1460" s="1" t="str">
        <x:v>診断3場</x:v>
      </x:c>
      <x:c r="D1460" s="47" t="n">
        <x:v>95920</x:v>
      </x:c>
      <x:c r="E1460" s="47" t="n">
        <x:v>145078</x:v>
      </x:c>
      <x:c r="F1460" s="47" t="n">
        <x:f>D1460-E1460</x:f>
        <x:v>-49158</x:v>
      </x:c>
      <x:c r="G1460" s="49" t="n">
        <x:v>1</x:v>
      </x:c>
      <x:c r="H1460" s="49" t="n">
        <x:v>1</x:v>
      </x:c>
      <x:c r="I1460" s="47" t="n">
        <x:v>-83572</x:v>
      </x:c>
      <x:c r="J1460" s="49" t="n">
        <x:v>18</x:v>
      </x:c>
      <x:c r="K1460" s="47" t="n">
        <x:v>-83572</x:v>
      </x:c>
      <x:c r="L1460" s="47" t="n">
        <x:v>83572</x:v>
      </x:c>
      <x:c r="M1460" s="48" t="n">
        <x:v>57.641666666666666</x:v>
      </x:c>
      <x:c r="N1460" s="48" t="n">
        <x:v>160.275</x:v>
      </x:c>
      <x:c r="O1460" s="49" t="n">
        <x:v>5</x:v>
      </x:c>
      <x:c r="P1460" s="1" t="str">
        <x:v>再失敗と原板合意の統合</x:v>
      </x:c>
      <x:c r="Q1460" s="49" t="n">
        <x:v>0</x:v>
      </x:c>
      <x:c r="R1460" s="50" t="n">
        <x:v>0.33573717948717946</x:v>
      </x:c>
      <x:c r="S1460" s="50" t="n">
        <x:v>0.267125</x:v>
      </x:c>
      <x:c r="T1460" s="1" t="str">
        <x:v>下落</x:v>
      </x:c>
      <x:c r="U1460" s="49" t="n">
        <x:v>2</x:v>
      </x:c>
    </x:row>
    <x:row r="1461" ht="22" customHeight="1">
      <x:c r="A1461" s="1" t="str">
        <x:v>TOPIXmini</x:v>
      </x:c>
      <x:c r="B1461" s="1" t="str">
        <x:v>J04</x:v>
      </x:c>
      <x:c r="C1461" s="1" t="str">
        <x:v>全50場</x:v>
      </x:c>
      <x:c r="D1461" s="47" t="n">
        <x:v>2382567</x:v>
      </x:c>
      <x:c r="E1461" s="47" t="n">
        <x:v>1603753</x:v>
      </x:c>
      <x:c r="F1461" s="47" t="n">
        <x:f>D1461-E1461</x:f>
        <x:v>778814</x:v>
      </x:c>
      <x:c r="G1461" s="49" t="n">
        <x:v>37</x:v>
      </x:c>
      <x:c r="H1461" s="49" t="n">
        <x:v>13</x:v>
      </x:c>
      <x:c r="I1461" s="47" t="n">
        <x:v>433729</x:v>
      </x:c>
      <x:c r="J1461" s="49" t="n">
        <x:v>185</x:v>
      </x:c>
      <x:c r="K1461" s="47" t="n">
        <x:v>-116657</x:v>
      </x:c>
      <x:c r="L1461" s="47" t="n">
        <x:v>34580.846153846156</x:v>
      </x:c>
      <x:c r="M1461" s="48" t="n">
        <x:v>199.17133333333334</x:v>
      </x:c>
      <x:c r="N1461" s="48" t="n">
        <x:v>134.78100000000003</x:v>
      </x:c>
      <x:c r="O1461" s="49" t="n">
        <x:v>5</x:v>
      </x:c>
      <x:c r="P1461" s="1" t="str">
        <x:v>強い反証時だけ方向変更と長短管理</x:v>
      </x:c>
      <x:c r="Q1461" s="49" t="n">
        <x:v>0</x:v>
      </x:c>
      <x:c r="R1461" s="50" t="n">
        <x:v>0.28300567765567763</x:v>
      </x:c>
      <x:c r="S1461" s="50" t="n">
        <x:v>0.224635</x:v>
      </x:c>
      <x:c r="T1461" s="1" t="str">
        <x:v>全場</x:v>
      </x:c>
      <x:c r="U1461" s="49" t="n">
        <x:v>50</x:v>
      </x:c>
    </x:row>
    <x:row r="1462" ht="22" customHeight="1">
      <x:c r="A1462" s="1" t="str">
        <x:v>TOPIXmini</x:v>
      </x:c>
      <x:c r="B1462" s="1" t="str">
        <x:v>J04</x:v>
      </x:c>
      <x:c r="C1462" s="1" t="str">
        <x:v>全50場</x:v>
      </x:c>
      <x:c r="D1462" s="47" t="n">
        <x:v>1353017</x:v>
      </x:c>
      <x:c r="E1462" s="47" t="n">
        <x:v>956143</x:v>
      </x:c>
      <x:c r="F1462" s="47" t="n">
        <x:f>D1462-E1462</x:f>
        <x:v>396874</x:v>
      </x:c>
      <x:c r="G1462" s="49" t="n">
        <x:v>15</x:v>
      </x:c>
      <x:c r="H1462" s="49" t="n">
        <x:v>10</x:v>
      </x:c>
      <x:c r="I1462" s="47" t="n">
        <x:v>83455</x:v>
      </x:c>
      <x:c r="J1462" s="49" t="n">
        <x:v>101</x:v>
      </x:c>
      <x:c r="K1462" s="47" t="n">
        <x:v>-116657</x:v>
      </x:c>
      <x:c r="L1462" s="47" t="n">
        <x:v>33387.5</x:v>
      </x:c>
      <x:c r="M1462" s="48" t="n">
        <x:v>86.94333333333333</x:v>
      </x:c>
      <x:c r="N1462" s="48" t="n">
        <x:v>200.58133333333336</x:v>
      </x:c>
      <x:c r="O1462" s="49" t="n">
        <x:v>5</x:v>
      </x:c>
      <x:c r="P1462" s="1" t="str">
        <x:v>強い反証時だけ方向変更と長短管理</x:v>
      </x:c>
      <x:c r="Q1462" s="49" t="n">
        <x:v>0</x:v>
      </x:c>
      <x:c r="R1462" s="50" t="n">
        <x:v>0.47757460317460315</x:v>
      </x:c>
      <x:c r="S1462" s="50" t="n">
        <x:v>0.4775746031746032</x:v>
      </x:c>
      <x:c r="T1462" s="1" t="str">
        <x:v>デイ</x:v>
      </x:c>
      <x:c r="U1462" s="49" t="n">
        <x:v>25</x:v>
      </x:c>
    </x:row>
    <x:row r="1463" ht="22" customHeight="1">
      <x:c r="A1463" s="1" t="str">
        <x:v>TOPIXmini</x:v>
      </x:c>
      <x:c r="B1463" s="1" t="str">
        <x:v>J04</x:v>
      </x:c>
      <x:c r="C1463" s="1" t="str">
        <x:v>全50場</x:v>
      </x:c>
      <x:c r="D1463" s="47" t="n">
        <x:v>1029550</x:v>
      </x:c>
      <x:c r="E1463" s="47" t="n">
        <x:v>647610</x:v>
      </x:c>
      <x:c r="F1463" s="47" t="n">
        <x:f>D1463-E1463</x:f>
        <x:v>381940</x:v>
      </x:c>
      <x:c r="G1463" s="49" t="n">
        <x:v>22</x:v>
      </x:c>
      <x:c r="H1463" s="49" t="n">
        <x:v>3</x:v>
      </x:c>
      <x:c r="I1463" s="47" t="n">
        <x:v>181701</x:v>
      </x:c>
      <x:c r="J1463" s="49" t="n">
        <x:v>84</x:v>
      </x:c>
      <x:c r="K1463" s="47" t="n">
        <x:v>-40836</x:v>
      </x:c>
      <x:c r="L1463" s="47" t="n">
        <x:v>38558.666666666664</x:v>
      </x:c>
      <x:c r="M1463" s="48" t="n">
        <x:v>311.3993333333333</x:v>
      </x:c>
      <x:c r="N1463" s="48" t="n">
        <x:v>68.98066666666666</x:v>
      </x:c>
      <x:c r="O1463" s="49" t="n">
        <x:v>5</x:v>
      </x:c>
      <x:c r="P1463" s="1" t="str">
        <x:v>強い反証時だけ方向変更と長短管理</x:v>
      </x:c>
      <x:c r="Q1463" s="49" t="n">
        <x:v>0</x:v>
      </x:c>
      <x:c r="R1463" s="50" t="n">
        <x:v>0.08843675213675213</x:v>
      </x:c>
      <x:c r="S1463" s="50" t="n">
        <x:v>0.08843675213675213</x:v>
      </x:c>
      <x:c r="T1463" s="1" t="str">
        <x:v>ナイト</x:v>
      </x:c>
      <x:c r="U1463" s="49" t="n">
        <x:v>25</x:v>
      </x:c>
    </x:row>
    <x:row r="1464" ht="22" customHeight="1">
      <x:c r="A1464" s="1" t="str">
        <x:v>TOPIXmini</x:v>
      </x:c>
      <x:c r="B1464" s="1" t="str">
        <x:v>J04</x:v>
      </x:c>
      <x:c r="C1464" s="1" t="str">
        <x:v>全50場</x:v>
      </x:c>
      <x:c r="D1464" s="47" t="n">
        <x:v>1047075</x:v>
      </x:c>
      <x:c r="E1464" s="47" t="n">
        <x:v>705759</x:v>
      </x:c>
      <x:c r="F1464" s="47" t="n">
        <x:f>D1464-E1464</x:f>
        <x:v>341316</x:v>
      </x:c>
      <x:c r="G1464" s="49" t="n">
        <x:v>18</x:v>
      </x:c>
      <x:c r="H1464" s="49" t="n">
        <x:v>7</x:v>
      </x:c>
      <x:c r="I1464" s="47" t="n">
        <x:v>101649</x:v>
      </x:c>
      <x:c r="J1464" s="49" t="n">
        <x:v>76</x:v>
      </x:c>
      <x:c r="K1464" s="47" t="n">
        <x:v>-55410</x:v>
      </x:c>
      <x:c r="L1464" s="47" t="n">
        <x:v>30058.285714285714</x:v>
      </x:c>
      <x:c r="M1464" s="48" t="n">
        <x:v>213.17399999999998</x:v>
      </x:c>
      <x:c r="N1464" s="48" t="n">
        <x:v>124.64533333333333</x:v>
      </x:c>
      <x:c r="O1464" s="49" t="n">
        <x:v>5</x:v>
      </x:c>
      <x:c r="P1464" s="1" t="str">
        <x:v>強い反証時だけ方向変更と長短管理</x:v>
      </x:c>
      <x:c r="Q1464" s="49" t="n">
        <x:v>0</x:v>
      </x:c>
      <x:c r="R1464" s="50" t="n">
        <x:v>0.25678632478632474</x:v>
      </x:c>
      <x:c r="S1464" s="50" t="n">
        <x:v>0.20527887571365833</x:v>
      </x:c>
      <x:c r="T1464" s="1" t="str">
        <x:v>上昇</x:v>
      </x:c>
      <x:c r="U1464" s="49" t="n">
        <x:v>25</x:v>
      </x:c>
    </x:row>
    <x:row r="1465" ht="22" customHeight="1">
      <x:c r="A1465" s="1" t="str">
        <x:v>TOPIXmini</x:v>
      </x:c>
      <x:c r="B1465" s="1" t="str">
        <x:v>J04</x:v>
      </x:c>
      <x:c r="C1465" s="1" t="str">
        <x:v>全50場</x:v>
      </x:c>
      <x:c r="D1465" s="47" t="n">
        <x:v>1335492</x:v>
      </x:c>
      <x:c r="E1465" s="47" t="n">
        <x:v>897994</x:v>
      </x:c>
      <x:c r="F1465" s="47" t="n">
        <x:f>D1465-E1465</x:f>
        <x:v>437498</x:v>
      </x:c>
      <x:c r="G1465" s="49" t="n">
        <x:v>19</x:v>
      </x:c>
      <x:c r="H1465" s="49" t="n">
        <x:v>6</x:v>
      </x:c>
      <x:c r="I1465" s="47" t="n">
        <x:v>100915</x:v>
      </x:c>
      <x:c r="J1465" s="49" t="n">
        <x:v>109</x:v>
      </x:c>
      <x:c r="K1465" s="47" t="n">
        <x:v>-116657</x:v>
      </x:c>
      <x:c r="L1465" s="47" t="n">
        <x:v>39857.166666666664</x:v>
      </x:c>
      <x:c r="M1465" s="48" t="n">
        <x:v>185.16866666666664</x:v>
      </x:c>
      <x:c r="N1465" s="48" t="n">
        <x:v>144.91666666666666</x:v>
      </x:c>
      <x:c r="O1465" s="49" t="n">
        <x:v>5</x:v>
      </x:c>
      <x:c r="P1465" s="1" t="str">
        <x:v>強い反証時だけ方向変更と長短管理</x:v>
      </x:c>
      <x:c r="Q1465" s="49" t="n">
        <x:v>0</x:v>
      </x:c>
      <x:c r="R1465" s="50" t="n">
        <x:v>0.3092250305250306</x:v>
      </x:c>
      <x:c r="S1465" s="50" t="n">
        <x:v>0.2444613135402609</x:v>
      </x:c>
      <x:c r="T1465" s="1" t="str">
        <x:v>下落</x:v>
      </x:c>
      <x:c r="U1465" s="49" t="n">
        <x:v>25</x:v>
      </x:c>
    </x:row>
    <x:row r="1466" ht="22" customHeight="1">
      <x:c r="A1466" s="1" t="str">
        <x:v>TOPIXmini</x:v>
      </x:c>
      <x:c r="B1466" s="1" t="str">
        <x:v>J04</x:v>
      </x:c>
      <x:c r="C1466" s="1" t="str">
        <x:v>対照47場</x:v>
      </x:c>
      <x:c r="D1466" s="47" t="n">
        <x:v>2215899</x:v>
      </x:c>
      <x:c r="E1466" s="47" t="n">
        <x:v>1384927</x:v>
      </x:c>
      <x:c r="F1466" s="47" t="n">
        <x:f>D1466-E1466</x:f>
        <x:v>830972</x:v>
      </x:c>
      <x:c r="G1466" s="49" t="n">
        <x:v>35</x:v>
      </x:c>
      <x:c r="H1466" s="49" t="n">
        <x:v>12</x:v>
      </x:c>
      <x:c r="I1466" s="47" t="n">
        <x:v>485887</x:v>
      </x:c>
      <x:c r="J1466" s="49" t="n">
        <x:v>162</x:v>
      </x:c>
      <x:c r="K1466" s="47" t="n">
        <x:v>-55410</x:v>
      </x:c>
      <x:c r="L1466" s="47" t="n">
        <x:v>27741.166666666668</x:v>
      </x:c>
      <x:c r="M1466" s="48" t="n">
        <x:v>206.7514184397163</x:v>
      </x:c>
      <x:c r="N1466" s="48" t="n">
        <x:v>136.30283687943262</x:v>
      </x:c>
      <x:c r="O1466" s="49" t="n">
        <x:v>5</x:v>
      </x:c>
      <x:c r="P1466" s="1" t="str">
        <x:v>強い反証時だけ方向変更と長短管理</x:v>
      </x:c>
      <x:c r="Q1466" s="49" t="n">
        <x:v>0</x:v>
      </x:c>
      <x:c r="R1466" s="50" t="n">
        <x:v>0.2878841607565012</x:v>
      </x:c>
      <x:c r="S1466" s="50" t="n">
        <x:v>0.22863073994765645</x:v>
      </x:c>
      <x:c r="T1466" s="1" t="str">
        <x:v>全場</x:v>
      </x:c>
      <x:c r="U1466" s="49" t="n">
        <x:v>47</x:v>
      </x:c>
    </x:row>
    <x:row r="1467" ht="22" customHeight="1">
      <x:c r="A1467" s="1" t="str">
        <x:v>TOPIXmini</x:v>
      </x:c>
      <x:c r="B1467" s="1" t="str">
        <x:v>J04</x:v>
      </x:c>
      <x:c r="C1467" s="1" t="str">
        <x:v>対照47場</x:v>
      </x:c>
      <x:c r="D1467" s="47" t="n">
        <x:v>1304014</x:v>
      </x:c>
      <x:c r="E1467" s="47" t="n">
        <x:v>790483</x:v>
      </x:c>
      <x:c r="F1467" s="47" t="n">
        <x:f>D1467-E1467</x:f>
        <x:v>513531</x:v>
      </x:c>
      <x:c r="G1467" s="49" t="n">
        <x:v>15</x:v>
      </x:c>
      <x:c r="H1467" s="49" t="n">
        <x:v>9</x:v>
      </x:c>
      <x:c r="I1467" s="47" t="n">
        <x:v>200112</x:v>
      </x:c>
      <x:c r="J1467" s="49" t="n">
        <x:v>90</x:v>
      </x:c>
      <x:c r="K1467" s="47" t="n">
        <x:v>-55410</x:v>
      </x:c>
      <x:c r="L1467" s="47" t="n">
        <x:v>24135.333333333332</x:v>
      </x:c>
      <x:c r="M1467" s="48" t="n">
        <x:v>88.73472222222222</x:v>
      </x:c>
      <x:c r="N1467" s="48" t="n">
        <x:v>201.61944444444444</x:v>
      </x:c>
      <x:c r="O1467" s="49" t="n">
        <x:v>5</x:v>
      </x:c>
      <x:c r="P1467" s="1" t="str">
        <x:v>強い反証時だけ方向変更と長短管理</x:v>
      </x:c>
      <x:c r="Q1467" s="49" t="n">
        <x:v>0</x:v>
      </x:c>
      <x:c r="R1467" s="50" t="n">
        <x:v>0.4800462962962963</x:v>
      </x:c>
      <x:c r="S1467" s="50" t="n">
        <x:v>0.4800462962962963</x:v>
      </x:c>
      <x:c r="T1467" s="1" t="str">
        <x:v>デイ</x:v>
      </x:c>
      <x:c r="U1467" s="49" t="n">
        <x:v>24</x:v>
      </x:c>
    </x:row>
    <x:row r="1468" ht="22" customHeight="1">
      <x:c r="A1468" s="1" t="str">
        <x:v>TOPIXmini</x:v>
      </x:c>
      <x:c r="B1468" s="1" t="str">
        <x:v>J04</x:v>
      </x:c>
      <x:c r="C1468" s="1" t="str">
        <x:v>対照47場</x:v>
      </x:c>
      <x:c r="D1468" s="47" t="n">
        <x:v>911885</x:v>
      </x:c>
      <x:c r="E1468" s="47" t="n">
        <x:v>594444</x:v>
      </x:c>
      <x:c r="F1468" s="47" t="n">
        <x:f>D1468-E1468</x:f>
        <x:v>317441</x:v>
      </x:c>
      <x:c r="G1468" s="49" t="n">
        <x:v>20</x:v>
      </x:c>
      <x:c r="H1468" s="49" t="n">
        <x:v>3</x:v>
      </x:c>
      <x:c r="I1468" s="47" t="n">
        <x:v>117202</x:v>
      </x:c>
      <x:c r="J1468" s="49" t="n">
        <x:v>72</x:v>
      </x:c>
      <x:c r="K1468" s="47" t="n">
        <x:v>-40836</x:v>
      </x:c>
      <x:c r="L1468" s="47" t="n">
        <x:v>38558.666666666664</x:v>
      </x:c>
      <x:c r="M1468" s="48" t="n">
        <x:v>329.8992753623188</x:v>
      </x:c>
      <x:c r="N1468" s="48" t="n">
        <x:v>68.1463768115942</x:v>
      </x:c>
      <x:c r="O1468" s="49" t="n">
        <x:v>5</x:v>
      </x:c>
      <x:c r="P1468" s="1" t="str">
        <x:v>強い反証時だけ方向変更と長短管理</x:v>
      </x:c>
      <x:c r="Q1468" s="49" t="n">
        <x:v>0</x:v>
      </x:c>
      <x:c r="R1468" s="50" t="n">
        <x:v>0.08736714975845411</x:v>
      </x:c>
      <x:c r="S1468" s="50" t="n">
        <x:v>0.0873671497584541</x:v>
      </x:c>
      <x:c r="T1468" s="1" t="str">
        <x:v>ナイト</x:v>
      </x:c>
      <x:c r="U1468" s="49" t="n">
        <x:v>23</x:v>
      </x:c>
    </x:row>
    <x:row r="1469" ht="22" customHeight="1">
      <x:c r="A1469" s="1" t="str">
        <x:v>TOPIXmini</x:v>
      </x:c>
      <x:c r="B1469" s="1" t="str">
        <x:v>J04</x:v>
      </x:c>
      <x:c r="C1469" s="1" t="str">
        <x:v>対照47場</x:v>
      </x:c>
      <x:c r="D1469" s="47" t="n">
        <x:v>1007325</x:v>
      </x:c>
      <x:c r="E1469" s="47" t="n">
        <x:v>696094</x:v>
      </x:c>
      <x:c r="F1469" s="47" t="n">
        <x:f>D1469-E1469</x:f>
        <x:v>311231</x:v>
      </x:c>
      <x:c r="G1469" s="49" t="n">
        <x:v>17</x:v>
      </x:c>
      <x:c r="H1469" s="49" t="n">
        <x:v>7</x:v>
      </x:c>
      <x:c r="I1469" s="47" t="n">
        <x:v>71564</x:v>
      </x:c>
      <x:c r="J1469" s="49" t="n">
        <x:v>72</x:v>
      </x:c>
      <x:c r="K1469" s="47" t="n">
        <x:v>-55410</x:v>
      </x:c>
      <x:c r="L1469" s="47" t="n">
        <x:v>30058.285714285714</x:v>
      </x:c>
      <x:c r="M1469" s="48" t="n">
        <x:v>216.80763888888887</x:v>
      </x:c>
      <x:c r="N1469" s="48" t="n">
        <x:v>126.76944444444445</x:v>
      </x:c>
      <x:c r="O1469" s="49" t="n">
        <x:v>5</x:v>
      </x:c>
      <x:c r="P1469" s="1" t="str">
        <x:v>強い反証時だけ方向変更と長短管理</x:v>
      </x:c>
      <x:c r="Q1469" s="49" t="n">
        <x:v>0</x:v>
      </x:c>
      <x:c r="R1469" s="50" t="n">
        <x:v>0.2635505698005698</x:v>
      </x:c>
      <x:c r="S1469" s="50" t="n">
        <x:v>0.21128240740740742</x:v>
      </x:c>
      <x:c r="T1469" s="1" t="str">
        <x:v>上昇</x:v>
      </x:c>
      <x:c r="U1469" s="49" t="n">
        <x:v>24</x:v>
      </x:c>
    </x:row>
    <x:row r="1470" ht="22" customHeight="1">
      <x:c r="A1470" s="1" t="str">
        <x:v>TOPIXmini</x:v>
      </x:c>
      <x:c r="B1470" s="1" t="str">
        <x:v>J04</x:v>
      </x:c>
      <x:c r="C1470" s="1" t="str">
        <x:v>対照47場</x:v>
      </x:c>
      <x:c r="D1470" s="47" t="n">
        <x:v>1208574</x:v>
      </x:c>
      <x:c r="E1470" s="47" t="n">
        <x:v>688833</x:v>
      </x:c>
      <x:c r="F1470" s="47" t="n">
        <x:f>D1470-E1470</x:f>
        <x:v>519741</x:v>
      </x:c>
      <x:c r="G1470" s="49" t="n">
        <x:v>18</x:v>
      </x:c>
      <x:c r="H1470" s="49" t="n">
        <x:v>5</x:v>
      </x:c>
      <x:c r="I1470" s="47" t="n">
        <x:v>183158</x:v>
      </x:c>
      <x:c r="J1470" s="49" t="n">
        <x:v>90</x:v>
      </x:c>
      <x:c r="K1470" s="47" t="n">
        <x:v>-40836</x:v>
      </x:c>
      <x:c r="L1470" s="47" t="n">
        <x:v>24497.2</x:v>
      </x:c>
      <x:c r="M1470" s="48" t="n">
        <x:v>196.2579710144927</x:v>
      </x:c>
      <x:c r="N1470" s="48" t="n">
        <x:v>146.25072463768117</x:v>
      </x:c>
      <x:c r="O1470" s="49" t="n">
        <x:v>5</x:v>
      </x:c>
      <x:c r="P1470" s="1" t="str">
        <x:v>強い反証時だけ方向変更と長短管理</x:v>
      </x:c>
      <x:c r="Q1470" s="49" t="n">
        <x:v>0</x:v>
      </x:c>
      <x:c r="R1470" s="50" t="n">
        <x:v>0.31327573392790786</x:v>
      </x:c>
      <x:c r="S1470" s="50" t="n">
        <x:v>0.24697258932941754</x:v>
      </x:c>
      <x:c r="T1470" s="1" t="str">
        <x:v>下落</x:v>
      </x:c>
      <x:c r="U1470" s="49" t="n">
        <x:v>23</x:v>
      </x:c>
    </x:row>
    <x:row r="1471" ht="22" customHeight="1">
      <x:c r="A1471" s="1" t="str">
        <x:v>TOPIXmini</x:v>
      </x:c>
      <x:c r="B1471" s="1" t="str">
        <x:v>J04</x:v>
      </x:c>
      <x:c r="C1471" s="1" t="str">
        <x:v>診断3場</x:v>
      </x:c>
      <x:c r="D1471" s="47" t="n">
        <x:v>166668</x:v>
      </x:c>
      <x:c r="E1471" s="47" t="n">
        <x:v>218826</x:v>
      </x:c>
      <x:c r="F1471" s="47" t="n">
        <x:f>D1471-E1471</x:f>
        <x:v>-52158</x:v>
      </x:c>
      <x:c r="G1471" s="49" t="n">
        <x:v>2</x:v>
      </x:c>
      <x:c r="H1471" s="49" t="n">
        <x:v>1</x:v>
      </x:c>
      <x:c r="I1471" s="47" t="n">
        <x:v>-116657</x:v>
      </x:c>
      <x:c r="J1471" s="49" t="n">
        <x:v>23</x:v>
      </x:c>
      <x:c r="K1471" s="47" t="n">
        <x:v>-116657</x:v>
      </x:c>
      <x:c r="L1471" s="47" t="n">
        <x:v>116657</x:v>
      </x:c>
      <x:c r="M1471" s="48" t="n">
        <x:v>80.41666666666667</x:v>
      </x:c>
      <x:c r="N1471" s="48" t="n">
        <x:v>110.93888888888888</x:v>
      </x:c>
      <x:c r="O1471" s="49" t="n">
        <x:v>5</x:v>
      </x:c>
      <x:c r="P1471" s="1" t="str">
        <x:v>強い反証時だけ方向変更と長短管理</x:v>
      </x:c>
      <x:c r="Q1471" s="49" t="n">
        <x:v>0</x:v>
      </x:c>
      <x:c r="R1471" s="50" t="n">
        <x:v>0.2065761090761091</x:v>
      </x:c>
      <x:c r="S1471" s="50" t="n">
        <x:v>0.1680892255892256</x:v>
      </x:c>
      <x:c r="T1471" s="1" t="str">
        <x:v>全場</x:v>
      </x:c>
      <x:c r="U1471" s="49" t="n">
        <x:v>3</x:v>
      </x:c>
    </x:row>
    <x:row r="1472" ht="22" customHeight="1">
      <x:c r="A1472" s="1" t="str">
        <x:v>TOPIXmini</x:v>
      </x:c>
      <x:c r="B1472" s="1" t="str">
        <x:v>J04</x:v>
      </x:c>
      <x:c r="C1472" s="1" t="str">
        <x:v>診断3場</x:v>
      </x:c>
      <x:c r="D1472" s="47" t="n">
        <x:v>49003</x:v>
      </x:c>
      <x:c r="E1472" s="47" t="n">
        <x:v>165660</x:v>
      </x:c>
      <x:c r="F1472" s="47" t="n">
        <x:f>D1472-E1472</x:f>
        <x:v>-116657</x:v>
      </x:c>
      <x:c r="G1472" s="49" t="n">
        <x:v>0</x:v>
      </x:c>
      <x:c r="H1472" s="49" t="n">
        <x:v>1</x:v>
      </x:c>
      <x:c r="I1472" s="47" t="n">
        <x:v>-116657</x:v>
      </x:c>
      <x:c r="J1472" s="49" t="n">
        <x:v>11</x:v>
      </x:c>
      <x:c r="K1472" s="47" t="n">
        <x:v>-116657</x:v>
      </x:c>
      <x:c r="L1472" s="47" t="n">
        <x:v>116657</x:v>
      </x:c>
      <x:c r="M1472" s="48" t="n">
        <x:v>43.95</x:v>
      </x:c>
      <x:c r="N1472" s="48" t="n">
        <x:v>175.66666666666666</x:v>
      </x:c>
      <x:c r="O1472" s="49" t="n">
        <x:v>5</x:v>
      </x:c>
      <x:c r="P1472" s="1" t="str">
        <x:v>強い反証時だけ方向変更と長短管理</x:v>
      </x:c>
      <x:c r="Q1472" s="49" t="n">
        <x:v>0</x:v>
      </x:c>
      <x:c r="R1472" s="50" t="n">
        <x:v>0.41825396825396827</x:v>
      </x:c>
      <x:c r="S1472" s="50" t="n">
        <x:v>0.4182539682539682</x:v>
      </x:c>
      <x:c r="T1472" s="1" t="str">
        <x:v>デイ</x:v>
      </x:c>
      <x:c r="U1472" s="49" t="n">
        <x:v>1</x:v>
      </x:c>
    </x:row>
    <x:row r="1473" ht="22" customHeight="1">
      <x:c r="A1473" s="1" t="str">
        <x:v>TOPIXmini</x:v>
      </x:c>
      <x:c r="B1473" s="1" t="str">
        <x:v>J04</x:v>
      </x:c>
      <x:c r="C1473" s="1" t="str">
        <x:v>診断3場</x:v>
      </x:c>
      <x:c r="D1473" s="47" t="n">
        <x:v>117665</x:v>
      </x:c>
      <x:c r="E1473" s="47" t="n">
        <x:v>53166</x:v>
      </x:c>
      <x:c r="F1473" s="47" t="n">
        <x:f>D1473-E1473</x:f>
        <x:v>64499</x:v>
      </x:c>
      <x:c r="G1473" s="49" t="n">
        <x:v>2</x:v>
      </x:c>
      <x:c r="H1473" s="49" t="n">
        <x:v>0</x:v>
      </x:c>
      <x:c r="I1473" s="47" t="n">
        <x:v>0</x:v>
      </x:c>
      <x:c r="J1473" s="49" t="n">
        <x:v>12</x:v>
      </x:c>
      <x:c r="K1473" s="47" t="n">
        <x:v>30085</x:v>
      </x:c>
      <x:c r="L1473" s="47" t="n">
        <x:v>0</x:v>
      </x:c>
      <x:c r="M1473" s="48" t="n">
        <x:v>98.65</x:v>
      </x:c>
      <x:c r="N1473" s="48" t="n">
        <x:v>78.575</x:v>
      </x:c>
      <x:c r="O1473" s="49" t="n">
        <x:v>5</x:v>
      </x:c>
      <x:c r="P1473" s="1" t="str">
        <x:v>強い反証時だけ方向変更と長短管理</x:v>
      </x:c>
      <x:c r="Q1473" s="49" t="n">
        <x:v>0</x:v>
      </x:c>
      <x:c r="R1473" s="50" t="n">
        <x:v>0.10073717948717949</x:v>
      </x:c>
      <x:c r="S1473" s="50" t="n">
        <x:v>0.10073717948717949</x:v>
      </x:c>
      <x:c r="T1473" s="1" t="str">
        <x:v>ナイト</x:v>
      </x:c>
      <x:c r="U1473" s="49" t="n">
        <x:v>2</x:v>
      </x:c>
    </x:row>
    <x:row r="1474" ht="22" customHeight="1">
      <x:c r="A1474" s="1" t="str">
        <x:v>TOPIXmini</x:v>
      </x:c>
      <x:c r="B1474" s="1" t="str">
        <x:v>J04</x:v>
      </x:c>
      <x:c r="C1474" s="1" t="str">
        <x:v>診断3場</x:v>
      </x:c>
      <x:c r="D1474" s="47" t="n">
        <x:v>39750</x:v>
      </x:c>
      <x:c r="E1474" s="47" t="n">
        <x:v>9665</x:v>
      </x:c>
      <x:c r="F1474" s="47" t="n">
        <x:f>D1474-E1474</x:f>
        <x:v>30085</x:v>
      </x:c>
      <x:c r="G1474" s="49" t="n">
        <x:v>1</x:v>
      </x:c>
      <x:c r="H1474" s="49" t="n">
        <x:v>0</x:v>
      </x:c>
      <x:c r="I1474" s="47" t="n">
        <x:v>0</x:v>
      </x:c>
      <x:c r="J1474" s="49" t="n">
        <x:v>4</x:v>
      </x:c>
      <x:c r="K1474" s="47" t="n">
        <x:v>30085</x:v>
      </x:c>
      <x:c r="L1474" s="47" t="n">
        <x:v>0</x:v>
      </x:c>
      <x:c r="M1474" s="48" t="n">
        <x:v>125.96666666666667</x:v>
      </x:c>
      <x:c r="N1474" s="48" t="n">
        <x:v>73.66666666666667</x:v>
      </x:c>
      <x:c r="O1474" s="49" t="n">
        <x:v>5</x:v>
      </x:c>
      <x:c r="P1474" s="1" t="str">
        <x:v>強い反証時だけ方向変更と長短管理</x:v>
      </x:c>
      <x:c r="Q1474" s="49" t="n">
        <x:v>0</x:v>
      </x:c>
      <x:c r="R1474" s="50" t="n">
        <x:v>0.09444444444444444</x:v>
      </x:c>
      <x:c r="S1474" s="50" t="n">
        <x:v>0.09444444444444446</x:v>
      </x:c>
      <x:c r="T1474" s="1" t="str">
        <x:v>上昇</x:v>
      </x:c>
      <x:c r="U1474" s="49" t="n">
        <x:v>1</x:v>
      </x:c>
    </x:row>
    <x:row r="1475" ht="22" customHeight="1">
      <x:c r="A1475" s="1" t="str">
        <x:v>TOPIXmini</x:v>
      </x:c>
      <x:c r="B1475" s="1" t="str">
        <x:v>J04</x:v>
      </x:c>
      <x:c r="C1475" s="1" t="str">
        <x:v>診断3場</x:v>
      </x:c>
      <x:c r="D1475" s="47" t="n">
        <x:v>126918</x:v>
      </x:c>
      <x:c r="E1475" s="47" t="n">
        <x:v>209161</x:v>
      </x:c>
      <x:c r="F1475" s="47" t="n">
        <x:f>D1475-E1475</x:f>
        <x:v>-82243</x:v>
      </x:c>
      <x:c r="G1475" s="49" t="n">
        <x:v>1</x:v>
      </x:c>
      <x:c r="H1475" s="49" t="n">
        <x:v>1</x:v>
      </x:c>
      <x:c r="I1475" s="47" t="n">
        <x:v>-116657</x:v>
      </x:c>
      <x:c r="J1475" s="49" t="n">
        <x:v>19</x:v>
      </x:c>
      <x:c r="K1475" s="47" t="n">
        <x:v>-116657</x:v>
      </x:c>
      <x:c r="L1475" s="47" t="n">
        <x:v>116657</x:v>
      </x:c>
      <x:c r="M1475" s="48" t="n">
        <x:v>57.641666666666666</x:v>
      </x:c>
      <x:c r="N1475" s="48" t="n">
        <x:v>129.575</x:v>
      </x:c>
      <x:c r="O1475" s="49" t="n">
        <x:v>5</x:v>
      </x:c>
      <x:c r="P1475" s="1" t="str">
        <x:v>強い反証時だけ方向変更と長短管理</x:v>
      </x:c>
      <x:c r="Q1475" s="49" t="n">
        <x:v>0</x:v>
      </x:c>
      <x:c r="R1475" s="50" t="n">
        <x:v>0.2626419413919414</x:v>
      </x:c>
      <x:c r="S1475" s="50" t="n">
        <x:v>0.2159583333333333</x:v>
      </x:c>
      <x:c r="T1475" s="1" t="str">
        <x:v>下落</x:v>
      </x:c>
      <x:c r="U1475" s="49" t="n">
        <x:v>2</x:v>
      </x:c>
    </x:row>
    <x:row r="1476" ht="22" customHeight="1">
      <x:c r="A1476" s="1" t="str">
        <x:v>TOPIXmini</x:v>
      </x:c>
      <x:c r="B1476" s="1" t="str">
        <x:v>J05</x:v>
      </x:c>
      <x:c r="C1476" s="1" t="str">
        <x:v>全50場</x:v>
      </x:c>
      <x:c r="D1476" s="47" t="n">
        <x:v>2382567</x:v>
      </x:c>
      <x:c r="E1476" s="47" t="n">
        <x:v>1603753</x:v>
      </x:c>
      <x:c r="F1476" s="47" t="n">
        <x:f>D1476-E1476</x:f>
        <x:v>778814</x:v>
      </x:c>
      <x:c r="G1476" s="49" t="n">
        <x:v>37</x:v>
      </x:c>
      <x:c r="H1476" s="49" t="n">
        <x:v>13</x:v>
      </x:c>
      <x:c r="I1476" s="47" t="n">
        <x:v>433729</x:v>
      </x:c>
      <x:c r="J1476" s="49" t="n">
        <x:v>185</x:v>
      </x:c>
      <x:c r="K1476" s="47" t="n">
        <x:v>-116657</x:v>
      </x:c>
      <x:c r="L1476" s="47" t="n">
        <x:v>34580.846153846156</x:v>
      </x:c>
      <x:c r="M1476" s="48" t="n">
        <x:v>199.17133333333334</x:v>
      </x:c>
      <x:c r="N1476" s="48" t="n">
        <x:v>134.78100000000003</x:v>
      </x:c>
      <x:c r="O1476" s="49" t="n">
        <x:v>5</x:v>
      </x:c>
      <x:c r="P1476" s="1" t="str">
        <x:v>強い反証時だけ方向変更と元の追尾</x:v>
      </x:c>
      <x:c r="Q1476" s="49" t="n">
        <x:v>0</x:v>
      </x:c>
      <x:c r="R1476" s="50" t="n">
        <x:v>0.28300567765567763</x:v>
      </x:c>
      <x:c r="S1476" s="50" t="n">
        <x:v>0.224635</x:v>
      </x:c>
      <x:c r="T1476" s="1" t="str">
        <x:v>全場</x:v>
      </x:c>
      <x:c r="U1476" s="49" t="n">
        <x:v>50</x:v>
      </x:c>
    </x:row>
    <x:row r="1477" ht="22" customHeight="1">
      <x:c r="A1477" s="1" t="str">
        <x:v>TOPIXmini</x:v>
      </x:c>
      <x:c r="B1477" s="1" t="str">
        <x:v>J05</x:v>
      </x:c>
      <x:c r="C1477" s="1" t="str">
        <x:v>全50場</x:v>
      </x:c>
      <x:c r="D1477" s="47" t="n">
        <x:v>1353017</x:v>
      </x:c>
      <x:c r="E1477" s="47" t="n">
        <x:v>956143</x:v>
      </x:c>
      <x:c r="F1477" s="47" t="n">
        <x:f>D1477-E1477</x:f>
        <x:v>396874</x:v>
      </x:c>
      <x:c r="G1477" s="49" t="n">
        <x:v>15</x:v>
      </x:c>
      <x:c r="H1477" s="49" t="n">
        <x:v>10</x:v>
      </x:c>
      <x:c r="I1477" s="47" t="n">
        <x:v>83455</x:v>
      </x:c>
      <x:c r="J1477" s="49" t="n">
        <x:v>101</x:v>
      </x:c>
      <x:c r="K1477" s="47" t="n">
        <x:v>-116657</x:v>
      </x:c>
      <x:c r="L1477" s="47" t="n">
        <x:v>33387.5</x:v>
      </x:c>
      <x:c r="M1477" s="48" t="n">
        <x:v>86.94333333333333</x:v>
      </x:c>
      <x:c r="N1477" s="48" t="n">
        <x:v>200.58133333333336</x:v>
      </x:c>
      <x:c r="O1477" s="49" t="n">
        <x:v>5</x:v>
      </x:c>
      <x:c r="P1477" s="1" t="str">
        <x:v>強い反証時だけ方向変更と元の追尾</x:v>
      </x:c>
      <x:c r="Q1477" s="49" t="n">
        <x:v>0</x:v>
      </x:c>
      <x:c r="R1477" s="50" t="n">
        <x:v>0.47757460317460315</x:v>
      </x:c>
      <x:c r="S1477" s="50" t="n">
        <x:v>0.4775746031746032</x:v>
      </x:c>
      <x:c r="T1477" s="1" t="str">
        <x:v>デイ</x:v>
      </x:c>
      <x:c r="U1477" s="49" t="n">
        <x:v>25</x:v>
      </x:c>
    </x:row>
    <x:row r="1478" ht="22" customHeight="1">
      <x:c r="A1478" s="1" t="str">
        <x:v>TOPIXmini</x:v>
      </x:c>
      <x:c r="B1478" s="1" t="str">
        <x:v>J05</x:v>
      </x:c>
      <x:c r="C1478" s="1" t="str">
        <x:v>全50場</x:v>
      </x:c>
      <x:c r="D1478" s="47" t="n">
        <x:v>1029550</x:v>
      </x:c>
      <x:c r="E1478" s="47" t="n">
        <x:v>647610</x:v>
      </x:c>
      <x:c r="F1478" s="47" t="n">
        <x:f>D1478-E1478</x:f>
        <x:v>381940</x:v>
      </x:c>
      <x:c r="G1478" s="49" t="n">
        <x:v>22</x:v>
      </x:c>
      <x:c r="H1478" s="49" t="n">
        <x:v>3</x:v>
      </x:c>
      <x:c r="I1478" s="47" t="n">
        <x:v>181701</x:v>
      </x:c>
      <x:c r="J1478" s="49" t="n">
        <x:v>84</x:v>
      </x:c>
      <x:c r="K1478" s="47" t="n">
        <x:v>-40836</x:v>
      </x:c>
      <x:c r="L1478" s="47" t="n">
        <x:v>38558.666666666664</x:v>
      </x:c>
      <x:c r="M1478" s="48" t="n">
        <x:v>311.3993333333333</x:v>
      </x:c>
      <x:c r="N1478" s="48" t="n">
        <x:v>68.98066666666666</x:v>
      </x:c>
      <x:c r="O1478" s="49" t="n">
        <x:v>5</x:v>
      </x:c>
      <x:c r="P1478" s="1" t="str">
        <x:v>強い反証時だけ方向変更と元の追尾</x:v>
      </x:c>
      <x:c r="Q1478" s="49" t="n">
        <x:v>0</x:v>
      </x:c>
      <x:c r="R1478" s="50" t="n">
        <x:v>0.08843675213675213</x:v>
      </x:c>
      <x:c r="S1478" s="50" t="n">
        <x:v>0.08843675213675213</x:v>
      </x:c>
      <x:c r="T1478" s="1" t="str">
        <x:v>ナイト</x:v>
      </x:c>
      <x:c r="U1478" s="49" t="n">
        <x:v>25</x:v>
      </x:c>
    </x:row>
    <x:row r="1479" ht="22" customHeight="1">
      <x:c r="A1479" s="1" t="str">
        <x:v>TOPIXmini</x:v>
      </x:c>
      <x:c r="B1479" s="1" t="str">
        <x:v>J05</x:v>
      </x:c>
      <x:c r="C1479" s="1" t="str">
        <x:v>全50場</x:v>
      </x:c>
      <x:c r="D1479" s="47" t="n">
        <x:v>1047075</x:v>
      </x:c>
      <x:c r="E1479" s="47" t="n">
        <x:v>705759</x:v>
      </x:c>
      <x:c r="F1479" s="47" t="n">
        <x:f>D1479-E1479</x:f>
        <x:v>341316</x:v>
      </x:c>
      <x:c r="G1479" s="49" t="n">
        <x:v>18</x:v>
      </x:c>
      <x:c r="H1479" s="49" t="n">
        <x:v>7</x:v>
      </x:c>
      <x:c r="I1479" s="47" t="n">
        <x:v>101649</x:v>
      </x:c>
      <x:c r="J1479" s="49" t="n">
        <x:v>76</x:v>
      </x:c>
      <x:c r="K1479" s="47" t="n">
        <x:v>-55410</x:v>
      </x:c>
      <x:c r="L1479" s="47" t="n">
        <x:v>30058.285714285714</x:v>
      </x:c>
      <x:c r="M1479" s="48" t="n">
        <x:v>213.17399999999998</x:v>
      </x:c>
      <x:c r="N1479" s="48" t="n">
        <x:v>124.64533333333333</x:v>
      </x:c>
      <x:c r="O1479" s="49" t="n">
        <x:v>5</x:v>
      </x:c>
      <x:c r="P1479" s="1" t="str">
        <x:v>強い反証時だけ方向変更と元の追尾</x:v>
      </x:c>
      <x:c r="Q1479" s="49" t="n">
        <x:v>0</x:v>
      </x:c>
      <x:c r="R1479" s="50" t="n">
        <x:v>0.25678632478632474</x:v>
      </x:c>
      <x:c r="S1479" s="50" t="n">
        <x:v>0.20527887571365833</x:v>
      </x:c>
      <x:c r="T1479" s="1" t="str">
        <x:v>上昇</x:v>
      </x:c>
      <x:c r="U1479" s="49" t="n">
        <x:v>25</x:v>
      </x:c>
    </x:row>
    <x:row r="1480" ht="22" customHeight="1">
      <x:c r="A1480" s="1" t="str">
        <x:v>TOPIXmini</x:v>
      </x:c>
      <x:c r="B1480" s="1" t="str">
        <x:v>J05</x:v>
      </x:c>
      <x:c r="C1480" s="1" t="str">
        <x:v>全50場</x:v>
      </x:c>
      <x:c r="D1480" s="47" t="n">
        <x:v>1335492</x:v>
      </x:c>
      <x:c r="E1480" s="47" t="n">
        <x:v>897994</x:v>
      </x:c>
      <x:c r="F1480" s="47" t="n">
        <x:f>D1480-E1480</x:f>
        <x:v>437498</x:v>
      </x:c>
      <x:c r="G1480" s="49" t="n">
        <x:v>19</x:v>
      </x:c>
      <x:c r="H1480" s="49" t="n">
        <x:v>6</x:v>
      </x:c>
      <x:c r="I1480" s="47" t="n">
        <x:v>100915</x:v>
      </x:c>
      <x:c r="J1480" s="49" t="n">
        <x:v>109</x:v>
      </x:c>
      <x:c r="K1480" s="47" t="n">
        <x:v>-116657</x:v>
      </x:c>
      <x:c r="L1480" s="47" t="n">
        <x:v>39857.166666666664</x:v>
      </x:c>
      <x:c r="M1480" s="48" t="n">
        <x:v>185.16866666666664</x:v>
      </x:c>
      <x:c r="N1480" s="48" t="n">
        <x:v>144.91666666666666</x:v>
      </x:c>
      <x:c r="O1480" s="49" t="n">
        <x:v>5</x:v>
      </x:c>
      <x:c r="P1480" s="1" t="str">
        <x:v>強い反証時だけ方向変更と元の追尾</x:v>
      </x:c>
      <x:c r="Q1480" s="49" t="n">
        <x:v>0</x:v>
      </x:c>
      <x:c r="R1480" s="50" t="n">
        <x:v>0.3092250305250306</x:v>
      </x:c>
      <x:c r="S1480" s="50" t="n">
        <x:v>0.2444613135402609</x:v>
      </x:c>
      <x:c r="T1480" s="1" t="str">
        <x:v>下落</x:v>
      </x:c>
      <x:c r="U1480" s="49" t="n">
        <x:v>25</x:v>
      </x:c>
    </x:row>
    <x:row r="1481" ht="22" customHeight="1">
      <x:c r="A1481" s="1" t="str">
        <x:v>TOPIXmini</x:v>
      </x:c>
      <x:c r="B1481" s="1" t="str">
        <x:v>J05</x:v>
      </x:c>
      <x:c r="C1481" s="1" t="str">
        <x:v>対照47場</x:v>
      </x:c>
      <x:c r="D1481" s="47" t="n">
        <x:v>2215899</x:v>
      </x:c>
      <x:c r="E1481" s="47" t="n">
        <x:v>1384927</x:v>
      </x:c>
      <x:c r="F1481" s="47" t="n">
        <x:f>D1481-E1481</x:f>
        <x:v>830972</x:v>
      </x:c>
      <x:c r="G1481" s="49" t="n">
        <x:v>35</x:v>
      </x:c>
      <x:c r="H1481" s="49" t="n">
        <x:v>12</x:v>
      </x:c>
      <x:c r="I1481" s="47" t="n">
        <x:v>485887</x:v>
      </x:c>
      <x:c r="J1481" s="49" t="n">
        <x:v>162</x:v>
      </x:c>
      <x:c r="K1481" s="47" t="n">
        <x:v>-55410</x:v>
      </x:c>
      <x:c r="L1481" s="47" t="n">
        <x:v>27741.166666666668</x:v>
      </x:c>
      <x:c r="M1481" s="48" t="n">
        <x:v>206.7514184397163</x:v>
      </x:c>
      <x:c r="N1481" s="48" t="n">
        <x:v>136.30283687943262</x:v>
      </x:c>
      <x:c r="O1481" s="49" t="n">
        <x:v>5</x:v>
      </x:c>
      <x:c r="P1481" s="1" t="str">
        <x:v>強い反証時だけ方向変更と元の追尾</x:v>
      </x:c>
      <x:c r="Q1481" s="49" t="n">
        <x:v>0</x:v>
      </x:c>
      <x:c r="R1481" s="50" t="n">
        <x:v>0.2878841607565012</x:v>
      </x:c>
      <x:c r="S1481" s="50" t="n">
        <x:v>0.22863073994765645</x:v>
      </x:c>
      <x:c r="T1481" s="1" t="str">
        <x:v>全場</x:v>
      </x:c>
      <x:c r="U1481" s="49" t="n">
        <x:v>47</x:v>
      </x:c>
    </x:row>
    <x:row r="1482" ht="22" customHeight="1">
      <x:c r="A1482" s="1" t="str">
        <x:v>TOPIXmini</x:v>
      </x:c>
      <x:c r="B1482" s="1" t="str">
        <x:v>J05</x:v>
      </x:c>
      <x:c r="C1482" s="1" t="str">
        <x:v>対照47場</x:v>
      </x:c>
      <x:c r="D1482" s="47" t="n">
        <x:v>1304014</x:v>
      </x:c>
      <x:c r="E1482" s="47" t="n">
        <x:v>790483</x:v>
      </x:c>
      <x:c r="F1482" s="47" t="n">
        <x:f>D1482-E1482</x:f>
        <x:v>513531</x:v>
      </x:c>
      <x:c r="G1482" s="49" t="n">
        <x:v>15</x:v>
      </x:c>
      <x:c r="H1482" s="49" t="n">
        <x:v>9</x:v>
      </x:c>
      <x:c r="I1482" s="47" t="n">
        <x:v>200112</x:v>
      </x:c>
      <x:c r="J1482" s="49" t="n">
        <x:v>90</x:v>
      </x:c>
      <x:c r="K1482" s="47" t="n">
        <x:v>-55410</x:v>
      </x:c>
      <x:c r="L1482" s="47" t="n">
        <x:v>24135.333333333332</x:v>
      </x:c>
      <x:c r="M1482" s="48" t="n">
        <x:v>88.73472222222222</x:v>
      </x:c>
      <x:c r="N1482" s="48" t="n">
        <x:v>201.61944444444444</x:v>
      </x:c>
      <x:c r="O1482" s="49" t="n">
        <x:v>5</x:v>
      </x:c>
      <x:c r="P1482" s="1" t="str">
        <x:v>強い反証時だけ方向変更と元の追尾</x:v>
      </x:c>
      <x:c r="Q1482" s="49" t="n">
        <x:v>0</x:v>
      </x:c>
      <x:c r="R1482" s="50" t="n">
        <x:v>0.4800462962962963</x:v>
      </x:c>
      <x:c r="S1482" s="50" t="n">
        <x:v>0.4800462962962963</x:v>
      </x:c>
      <x:c r="T1482" s="1" t="str">
        <x:v>デイ</x:v>
      </x:c>
      <x:c r="U1482" s="49" t="n">
        <x:v>24</x:v>
      </x:c>
    </x:row>
    <x:row r="1483" ht="22" customHeight="1">
      <x:c r="A1483" s="1" t="str">
        <x:v>TOPIXmini</x:v>
      </x:c>
      <x:c r="B1483" s="1" t="str">
        <x:v>J05</x:v>
      </x:c>
      <x:c r="C1483" s="1" t="str">
        <x:v>対照47場</x:v>
      </x:c>
      <x:c r="D1483" s="47" t="n">
        <x:v>911885</x:v>
      </x:c>
      <x:c r="E1483" s="47" t="n">
        <x:v>594444</x:v>
      </x:c>
      <x:c r="F1483" s="47" t="n">
        <x:f>D1483-E1483</x:f>
        <x:v>317441</x:v>
      </x:c>
      <x:c r="G1483" s="49" t="n">
        <x:v>20</x:v>
      </x:c>
      <x:c r="H1483" s="49" t="n">
        <x:v>3</x:v>
      </x:c>
      <x:c r="I1483" s="47" t="n">
        <x:v>117202</x:v>
      </x:c>
      <x:c r="J1483" s="49" t="n">
        <x:v>72</x:v>
      </x:c>
      <x:c r="K1483" s="47" t="n">
        <x:v>-40836</x:v>
      </x:c>
      <x:c r="L1483" s="47" t="n">
        <x:v>38558.666666666664</x:v>
      </x:c>
      <x:c r="M1483" s="48" t="n">
        <x:v>329.8992753623188</x:v>
      </x:c>
      <x:c r="N1483" s="48" t="n">
        <x:v>68.1463768115942</x:v>
      </x:c>
      <x:c r="O1483" s="49" t="n">
        <x:v>5</x:v>
      </x:c>
      <x:c r="P1483" s="1" t="str">
        <x:v>強い反証時だけ方向変更と元の追尾</x:v>
      </x:c>
      <x:c r="Q1483" s="49" t="n">
        <x:v>0</x:v>
      </x:c>
      <x:c r="R1483" s="50" t="n">
        <x:v>0.08736714975845411</x:v>
      </x:c>
      <x:c r="S1483" s="50" t="n">
        <x:v>0.0873671497584541</x:v>
      </x:c>
      <x:c r="T1483" s="1" t="str">
        <x:v>ナイト</x:v>
      </x:c>
      <x:c r="U1483" s="49" t="n">
        <x:v>23</x:v>
      </x:c>
    </x:row>
    <x:row r="1484" ht="22" customHeight="1">
      <x:c r="A1484" s="1" t="str">
        <x:v>TOPIXmini</x:v>
      </x:c>
      <x:c r="B1484" s="1" t="str">
        <x:v>J05</x:v>
      </x:c>
      <x:c r="C1484" s="1" t="str">
        <x:v>対照47場</x:v>
      </x:c>
      <x:c r="D1484" s="47" t="n">
        <x:v>1007325</x:v>
      </x:c>
      <x:c r="E1484" s="47" t="n">
        <x:v>696094</x:v>
      </x:c>
      <x:c r="F1484" s="47" t="n">
        <x:f>D1484-E1484</x:f>
        <x:v>311231</x:v>
      </x:c>
      <x:c r="G1484" s="49" t="n">
        <x:v>17</x:v>
      </x:c>
      <x:c r="H1484" s="49" t="n">
        <x:v>7</x:v>
      </x:c>
      <x:c r="I1484" s="47" t="n">
        <x:v>71564</x:v>
      </x:c>
      <x:c r="J1484" s="49" t="n">
        <x:v>72</x:v>
      </x:c>
      <x:c r="K1484" s="47" t="n">
        <x:v>-55410</x:v>
      </x:c>
      <x:c r="L1484" s="47" t="n">
        <x:v>30058.285714285714</x:v>
      </x:c>
      <x:c r="M1484" s="48" t="n">
        <x:v>216.80763888888887</x:v>
      </x:c>
      <x:c r="N1484" s="48" t="n">
        <x:v>126.76944444444445</x:v>
      </x:c>
      <x:c r="O1484" s="49" t="n">
        <x:v>5</x:v>
      </x:c>
      <x:c r="P1484" s="1" t="str">
        <x:v>強い反証時だけ方向変更と元の追尾</x:v>
      </x:c>
      <x:c r="Q1484" s="49" t="n">
        <x:v>0</x:v>
      </x:c>
      <x:c r="R1484" s="50" t="n">
        <x:v>0.2635505698005698</x:v>
      </x:c>
      <x:c r="S1484" s="50" t="n">
        <x:v>0.21128240740740742</x:v>
      </x:c>
      <x:c r="T1484" s="1" t="str">
        <x:v>上昇</x:v>
      </x:c>
      <x:c r="U1484" s="49" t="n">
        <x:v>24</x:v>
      </x:c>
    </x:row>
    <x:row r="1485" ht="22" customHeight="1">
      <x:c r="A1485" s="1" t="str">
        <x:v>TOPIXmini</x:v>
      </x:c>
      <x:c r="B1485" s="1" t="str">
        <x:v>J05</x:v>
      </x:c>
      <x:c r="C1485" s="1" t="str">
        <x:v>対照47場</x:v>
      </x:c>
      <x:c r="D1485" s="47" t="n">
        <x:v>1208574</x:v>
      </x:c>
      <x:c r="E1485" s="47" t="n">
        <x:v>688833</x:v>
      </x:c>
      <x:c r="F1485" s="47" t="n">
        <x:f>D1485-E1485</x:f>
        <x:v>519741</x:v>
      </x:c>
      <x:c r="G1485" s="49" t="n">
        <x:v>18</x:v>
      </x:c>
      <x:c r="H1485" s="49" t="n">
        <x:v>5</x:v>
      </x:c>
      <x:c r="I1485" s="47" t="n">
        <x:v>183158</x:v>
      </x:c>
      <x:c r="J1485" s="49" t="n">
        <x:v>90</x:v>
      </x:c>
      <x:c r="K1485" s="47" t="n">
        <x:v>-40836</x:v>
      </x:c>
      <x:c r="L1485" s="47" t="n">
        <x:v>24497.2</x:v>
      </x:c>
      <x:c r="M1485" s="48" t="n">
        <x:v>196.2579710144927</x:v>
      </x:c>
      <x:c r="N1485" s="48" t="n">
        <x:v>146.25072463768117</x:v>
      </x:c>
      <x:c r="O1485" s="49" t="n">
        <x:v>5</x:v>
      </x:c>
      <x:c r="P1485" s="1" t="str">
        <x:v>強い反証時だけ方向変更と元の追尾</x:v>
      </x:c>
      <x:c r="Q1485" s="49" t="n">
        <x:v>0</x:v>
      </x:c>
      <x:c r="R1485" s="50" t="n">
        <x:v>0.31327573392790786</x:v>
      </x:c>
      <x:c r="S1485" s="50" t="n">
        <x:v>0.24697258932941754</x:v>
      </x:c>
      <x:c r="T1485" s="1" t="str">
        <x:v>下落</x:v>
      </x:c>
      <x:c r="U1485" s="49" t="n">
        <x:v>23</x:v>
      </x:c>
    </x:row>
    <x:row r="1486" ht="22" customHeight="1">
      <x:c r="A1486" s="1" t="str">
        <x:v>TOPIXmini</x:v>
      </x:c>
      <x:c r="B1486" s="1" t="str">
        <x:v>J05</x:v>
      </x:c>
      <x:c r="C1486" s="1" t="str">
        <x:v>診断3場</x:v>
      </x:c>
      <x:c r="D1486" s="47" t="n">
        <x:v>166668</x:v>
      </x:c>
      <x:c r="E1486" s="47" t="n">
        <x:v>218826</x:v>
      </x:c>
      <x:c r="F1486" s="47" t="n">
        <x:f>D1486-E1486</x:f>
        <x:v>-52158</x:v>
      </x:c>
      <x:c r="G1486" s="49" t="n">
        <x:v>2</x:v>
      </x:c>
      <x:c r="H1486" s="49" t="n">
        <x:v>1</x:v>
      </x:c>
      <x:c r="I1486" s="47" t="n">
        <x:v>-116657</x:v>
      </x:c>
      <x:c r="J1486" s="49" t="n">
        <x:v>23</x:v>
      </x:c>
      <x:c r="K1486" s="47" t="n">
        <x:v>-116657</x:v>
      </x:c>
      <x:c r="L1486" s="47" t="n">
        <x:v>116657</x:v>
      </x:c>
      <x:c r="M1486" s="48" t="n">
        <x:v>80.41666666666667</x:v>
      </x:c>
      <x:c r="N1486" s="48" t="n">
        <x:v>110.93888888888888</x:v>
      </x:c>
      <x:c r="O1486" s="49" t="n">
        <x:v>5</x:v>
      </x:c>
      <x:c r="P1486" s="1" t="str">
        <x:v>強い反証時だけ方向変更と元の追尾</x:v>
      </x:c>
      <x:c r="Q1486" s="49" t="n">
        <x:v>0</x:v>
      </x:c>
      <x:c r="R1486" s="50" t="n">
        <x:v>0.2065761090761091</x:v>
      </x:c>
      <x:c r="S1486" s="50" t="n">
        <x:v>0.1680892255892256</x:v>
      </x:c>
      <x:c r="T1486" s="1" t="str">
        <x:v>全場</x:v>
      </x:c>
      <x:c r="U1486" s="49" t="n">
        <x:v>3</x:v>
      </x:c>
    </x:row>
    <x:row r="1487" ht="22" customHeight="1">
      <x:c r="A1487" s="1" t="str">
        <x:v>TOPIXmini</x:v>
      </x:c>
      <x:c r="B1487" s="1" t="str">
        <x:v>J05</x:v>
      </x:c>
      <x:c r="C1487" s="1" t="str">
        <x:v>診断3場</x:v>
      </x:c>
      <x:c r="D1487" s="47" t="n">
        <x:v>49003</x:v>
      </x:c>
      <x:c r="E1487" s="47" t="n">
        <x:v>165660</x:v>
      </x:c>
      <x:c r="F1487" s="47" t="n">
        <x:f>D1487-E1487</x:f>
        <x:v>-116657</x:v>
      </x:c>
      <x:c r="G1487" s="49" t="n">
        <x:v>0</x:v>
      </x:c>
      <x:c r="H1487" s="49" t="n">
        <x:v>1</x:v>
      </x:c>
      <x:c r="I1487" s="47" t="n">
        <x:v>-116657</x:v>
      </x:c>
      <x:c r="J1487" s="49" t="n">
        <x:v>11</x:v>
      </x:c>
      <x:c r="K1487" s="47" t="n">
        <x:v>-116657</x:v>
      </x:c>
      <x:c r="L1487" s="47" t="n">
        <x:v>116657</x:v>
      </x:c>
      <x:c r="M1487" s="48" t="n">
        <x:v>43.95</x:v>
      </x:c>
      <x:c r="N1487" s="48" t="n">
        <x:v>175.66666666666666</x:v>
      </x:c>
      <x:c r="O1487" s="49" t="n">
        <x:v>5</x:v>
      </x:c>
      <x:c r="P1487" s="1" t="str">
        <x:v>強い反証時だけ方向変更と元の追尾</x:v>
      </x:c>
      <x:c r="Q1487" s="49" t="n">
        <x:v>0</x:v>
      </x:c>
      <x:c r="R1487" s="50" t="n">
        <x:v>0.41825396825396827</x:v>
      </x:c>
      <x:c r="S1487" s="50" t="n">
        <x:v>0.4182539682539682</x:v>
      </x:c>
      <x:c r="T1487" s="1" t="str">
        <x:v>デイ</x:v>
      </x:c>
      <x:c r="U1487" s="49" t="n">
        <x:v>1</x:v>
      </x:c>
    </x:row>
    <x:row r="1488" ht="22" customHeight="1">
      <x:c r="A1488" s="1" t="str">
        <x:v>TOPIXmini</x:v>
      </x:c>
      <x:c r="B1488" s="1" t="str">
        <x:v>J05</x:v>
      </x:c>
      <x:c r="C1488" s="1" t="str">
        <x:v>診断3場</x:v>
      </x:c>
      <x:c r="D1488" s="47" t="n">
        <x:v>117665</x:v>
      </x:c>
      <x:c r="E1488" s="47" t="n">
        <x:v>53166</x:v>
      </x:c>
      <x:c r="F1488" s="47" t="n">
        <x:f>D1488-E1488</x:f>
        <x:v>64499</x:v>
      </x:c>
      <x:c r="G1488" s="49" t="n">
        <x:v>2</x:v>
      </x:c>
      <x:c r="H1488" s="49" t="n">
        <x:v>0</x:v>
      </x:c>
      <x:c r="I1488" s="47" t="n">
        <x:v>0</x:v>
      </x:c>
      <x:c r="J1488" s="49" t="n">
        <x:v>12</x:v>
      </x:c>
      <x:c r="K1488" s="47" t="n">
        <x:v>30085</x:v>
      </x:c>
      <x:c r="L1488" s="47" t="n">
        <x:v>0</x:v>
      </x:c>
      <x:c r="M1488" s="48" t="n">
        <x:v>98.65</x:v>
      </x:c>
      <x:c r="N1488" s="48" t="n">
        <x:v>78.575</x:v>
      </x:c>
      <x:c r="O1488" s="49" t="n">
        <x:v>5</x:v>
      </x:c>
      <x:c r="P1488" s="1" t="str">
        <x:v>強い反証時だけ方向変更と元の追尾</x:v>
      </x:c>
      <x:c r="Q1488" s="49" t="n">
        <x:v>0</x:v>
      </x:c>
      <x:c r="R1488" s="50" t="n">
        <x:v>0.10073717948717949</x:v>
      </x:c>
      <x:c r="S1488" s="50" t="n">
        <x:v>0.10073717948717949</x:v>
      </x:c>
      <x:c r="T1488" s="1" t="str">
        <x:v>ナイト</x:v>
      </x:c>
      <x:c r="U1488" s="49" t="n">
        <x:v>2</x:v>
      </x:c>
    </x:row>
    <x:row r="1489" ht="22" customHeight="1">
      <x:c r="A1489" s="1" t="str">
        <x:v>TOPIXmini</x:v>
      </x:c>
      <x:c r="B1489" s="1" t="str">
        <x:v>J05</x:v>
      </x:c>
      <x:c r="C1489" s="1" t="str">
        <x:v>診断3場</x:v>
      </x:c>
      <x:c r="D1489" s="47" t="n">
        <x:v>39750</x:v>
      </x:c>
      <x:c r="E1489" s="47" t="n">
        <x:v>9665</x:v>
      </x:c>
      <x:c r="F1489" s="47" t="n">
        <x:f>D1489-E1489</x:f>
        <x:v>30085</x:v>
      </x:c>
      <x:c r="G1489" s="49" t="n">
        <x:v>1</x:v>
      </x:c>
      <x:c r="H1489" s="49" t="n">
        <x:v>0</x:v>
      </x:c>
      <x:c r="I1489" s="47" t="n">
        <x:v>0</x:v>
      </x:c>
      <x:c r="J1489" s="49" t="n">
        <x:v>4</x:v>
      </x:c>
      <x:c r="K1489" s="47" t="n">
        <x:v>30085</x:v>
      </x:c>
      <x:c r="L1489" s="47" t="n">
        <x:v>0</x:v>
      </x:c>
      <x:c r="M1489" s="48" t="n">
        <x:v>125.96666666666667</x:v>
      </x:c>
      <x:c r="N1489" s="48" t="n">
        <x:v>73.66666666666667</x:v>
      </x:c>
      <x:c r="O1489" s="49" t="n">
        <x:v>5</x:v>
      </x:c>
      <x:c r="P1489" s="1" t="str">
        <x:v>強い反証時だけ方向変更と元の追尾</x:v>
      </x:c>
      <x:c r="Q1489" s="49" t="n">
        <x:v>0</x:v>
      </x:c>
      <x:c r="R1489" s="50" t="n">
        <x:v>0.09444444444444444</x:v>
      </x:c>
      <x:c r="S1489" s="50" t="n">
        <x:v>0.09444444444444446</x:v>
      </x:c>
      <x:c r="T1489" s="1" t="str">
        <x:v>上昇</x:v>
      </x:c>
      <x:c r="U1489" s="49" t="n">
        <x:v>1</x:v>
      </x:c>
    </x:row>
    <x:row r="1490" ht="22" customHeight="1">
      <x:c r="A1490" s="1" t="str">
        <x:v>TOPIXmini</x:v>
      </x:c>
      <x:c r="B1490" s="1" t="str">
        <x:v>J05</x:v>
      </x:c>
      <x:c r="C1490" s="1" t="str">
        <x:v>診断3場</x:v>
      </x:c>
      <x:c r="D1490" s="47" t="n">
        <x:v>126918</x:v>
      </x:c>
      <x:c r="E1490" s="47" t="n">
        <x:v>209161</x:v>
      </x:c>
      <x:c r="F1490" s="47" t="n">
        <x:f>D1490-E1490</x:f>
        <x:v>-82243</x:v>
      </x:c>
      <x:c r="G1490" s="49" t="n">
        <x:v>1</x:v>
      </x:c>
      <x:c r="H1490" s="49" t="n">
        <x:v>1</x:v>
      </x:c>
      <x:c r="I1490" s="47" t="n">
        <x:v>-116657</x:v>
      </x:c>
      <x:c r="J1490" s="49" t="n">
        <x:v>19</x:v>
      </x:c>
      <x:c r="K1490" s="47" t="n">
        <x:v>-116657</x:v>
      </x:c>
      <x:c r="L1490" s="47" t="n">
        <x:v>116657</x:v>
      </x:c>
      <x:c r="M1490" s="48" t="n">
        <x:v>57.641666666666666</x:v>
      </x:c>
      <x:c r="N1490" s="48" t="n">
        <x:v>129.575</x:v>
      </x:c>
      <x:c r="O1490" s="49" t="n">
        <x:v>5</x:v>
      </x:c>
      <x:c r="P1490" s="1" t="str">
        <x:v>強い反証時だけ方向変更と元の追尾</x:v>
      </x:c>
      <x:c r="Q1490" s="49" t="n">
        <x:v>0</x:v>
      </x:c>
      <x:c r="R1490" s="50" t="n">
        <x:v>0.2626419413919414</x:v>
      </x:c>
      <x:c r="S1490" s="50" t="n">
        <x:v>0.2159583333333333</x:v>
      </x:c>
      <x:c r="T1490" s="1" t="str">
        <x:v>下落</x:v>
      </x:c>
      <x:c r="U1490" s="49" t="n">
        <x:v>2</x:v>
      </x:c>
    </x:row>
    <x:row r="1491" ht="22" customHeight="1">
      <x:c r="A1491" s="1" t="str">
        <x:v>TOPIXmini</x:v>
      </x:c>
      <x:c r="B1491" s="1" t="str">
        <x:v>K01</x:v>
      </x:c>
      <x:c r="C1491" s="1" t="str">
        <x:v>全50場</x:v>
      </x:c>
      <x:c r="D1491" s="47" t="n">
        <x:v>7345048</x:v>
      </x:c>
      <x:c r="E1491" s="47" t="n">
        <x:v>10633050</x:v>
      </x:c>
      <x:c r="F1491" s="47" t="n">
        <x:f>D1491-E1491</x:f>
        <x:v>-3288002</x:v>
      </x:c>
      <x:c r="G1491" s="49" t="n">
        <x:v>12</x:v>
      </x:c>
      <x:c r="H1491" s="49" t="n">
        <x:v>38</x:v>
      </x:c>
      <x:c r="I1491" s="47" t="n">
        <x:v>-3450214</x:v>
      </x:c>
      <x:c r="J1491" s="49" t="n">
        <x:v>2890</x:v>
      </x:c>
      <x:c r="K1491" s="47" t="n">
        <x:v>-251450</x:v>
      </x:c>
      <x:c r="L1491" s="47" t="n">
        <x:v>94259.52631578948</x:v>
      </x:c>
      <x:c r="M1491" s="48" t="n">
        <x:v>5.403666666666667</x:v>
      </x:c>
      <x:c r="N1491" s="48" t="n">
        <x:v>423.6883333333333</x:v>
      </x:c>
      <x:c r="O1491" s="49" t="n">
        <x:v>7</x:v>
      </x:c>
      <x:c r="P1491" s="1" t="str">
        <x:v>基準併用：短期二市場の合議・標準</x:v>
      </x:c>
      <x:c r="Q1491" s="49" t="n">
        <x:v>0</x:v>
      </x:c>
      <x:c r="R1491" s="50" t="n">
        <x:v>0.7310205738705738</x:v>
      </x:c>
      <x:c r="S1491" s="50" t="n">
        <x:v>0.7061472222222223</x:v>
      </x:c>
      <x:c r="T1491" s="1" t="str">
        <x:v>全場</x:v>
      </x:c>
      <x:c r="U1491" s="49" t="n">
        <x:v>50</x:v>
      </x:c>
    </x:row>
    <x:row r="1492" ht="22" customHeight="1">
      <x:c r="A1492" s="1" t="str">
        <x:v>TOPIXmini</x:v>
      </x:c>
      <x:c r="B1492" s="1" t="str">
        <x:v>K01</x:v>
      </x:c>
      <x:c r="C1492" s="1" t="str">
        <x:v>全50場</x:v>
      </x:c>
      <x:c r="D1492" s="47" t="n">
        <x:v>3774578</x:v>
      </x:c>
      <x:c r="E1492" s="47" t="n">
        <x:v>5730020</x:v>
      </x:c>
      <x:c r="F1492" s="47" t="n">
        <x:f>D1492-E1492</x:f>
        <x:v>-1955442</x:v>
      </x:c>
      <x:c r="G1492" s="49" t="n">
        <x:v>7</x:v>
      </x:c>
      <x:c r="H1492" s="49" t="n">
        <x:v>18</x:v>
      </x:c>
      <x:c r="I1492" s="47" t="n">
        <x:v>-2079571</x:v>
      </x:c>
      <x:c r="J1492" s="49" t="n">
        <x:v>1556</x:v>
      </x:c>
      <x:c r="K1492" s="47" t="n">
        <x:v>-251450</x:v>
      </x:c>
      <x:c r="L1492" s="47" t="n">
        <x:v>119018.27777777778</x:v>
      </x:c>
      <x:c r="M1492" s="48" t="n">
        <x:v>4.675333333333333</x:v>
      </x:c>
      <x:c r="N1492" s="48" t="n">
        <x:v>341.8513333333333</x:v>
      </x:c>
      <x:c r="O1492" s="49" t="n">
        <x:v>7</x:v>
      </x:c>
      <x:c r="P1492" s="1" t="str">
        <x:v>基準併用：短期二市場の合議・標準</x:v>
      </x:c>
      <x:c r="Q1492" s="49" t="n">
        <x:v>0</x:v>
      </x:c>
      <x:c r="R1492" s="50" t="n">
        <x:v>0.813931746031746</x:v>
      </x:c>
      <x:c r="S1492" s="50" t="n">
        <x:v>0.813931746031746</x:v>
      </x:c>
      <x:c r="T1492" s="1" t="str">
        <x:v>デイ</x:v>
      </x:c>
      <x:c r="U1492" s="49" t="n">
        <x:v>25</x:v>
      </x:c>
    </x:row>
    <x:row r="1493" ht="22" customHeight="1">
      <x:c r="A1493" s="1" t="str">
        <x:v>TOPIXmini</x:v>
      </x:c>
      <x:c r="B1493" s="1" t="str">
        <x:v>K01</x:v>
      </x:c>
      <x:c r="C1493" s="1" t="str">
        <x:v>全50場</x:v>
      </x:c>
      <x:c r="D1493" s="47" t="n">
        <x:v>3570470</x:v>
      </x:c>
      <x:c r="E1493" s="47" t="n">
        <x:v>4903030</x:v>
      </x:c>
      <x:c r="F1493" s="47" t="n">
        <x:f>D1493-E1493</x:f>
        <x:v>-1332560</x:v>
      </x:c>
      <x:c r="G1493" s="49" t="n">
        <x:v>5</x:v>
      </x:c>
      <x:c r="H1493" s="49" t="n">
        <x:v>20</x:v>
      </x:c>
      <x:c r="I1493" s="47" t="n">
        <x:v>-1430316</x:v>
      </x:c>
      <x:c r="J1493" s="49" t="n">
        <x:v>1334</x:v>
      </x:c>
      <x:c r="K1493" s="47" t="n">
        <x:v>-135715</x:v>
      </x:c>
      <x:c r="L1493" s="47" t="n">
        <x:v>71976.65</x:v>
      </x:c>
      <x:c r="M1493" s="48" t="n">
        <x:v>6.132</x:v>
      </x:c>
      <x:c r="N1493" s="48" t="n">
        <x:v>505.52533333333326</x:v>
      </x:c>
      <x:c r="O1493" s="49" t="n">
        <x:v>7</x:v>
      </x:c>
      <x:c r="P1493" s="1" t="str">
        <x:v>基準併用：短期二市場の合議・標準</x:v>
      </x:c>
      <x:c r="Q1493" s="49" t="n">
        <x:v>0</x:v>
      </x:c>
      <x:c r="R1493" s="50" t="n">
        <x:v>0.6481094017094017</x:v>
      </x:c>
      <x:c r="S1493" s="50" t="n">
        <x:v>0.6481094017094017</x:v>
      </x:c>
      <x:c r="T1493" s="1" t="str">
        <x:v>ナイト</x:v>
      </x:c>
      <x:c r="U1493" s="49" t="n">
        <x:v>25</x:v>
      </x:c>
    </x:row>
    <x:row r="1494" ht="22" customHeight="1">
      <x:c r="A1494" s="1" t="str">
        <x:v>TOPIXmini</x:v>
      </x:c>
      <x:c r="B1494" s="1" t="str">
        <x:v>K01</x:v>
      </x:c>
      <x:c r="C1494" s="1" t="str">
        <x:v>全50場</x:v>
      </x:c>
      <x:c r="D1494" s="47" t="n">
        <x:v>3297972</x:v>
      </x:c>
      <x:c r="E1494" s="47" t="n">
        <x:v>5110245</x:v>
      </x:c>
      <x:c r="F1494" s="47" t="n">
        <x:f>D1494-E1494</x:f>
        <x:v>-1812273</x:v>
      </x:c>
      <x:c r="G1494" s="49" t="n">
        <x:v>4</x:v>
      </x:c>
      <x:c r="H1494" s="49" t="n">
        <x:v>21</x:v>
      </x:c>
      <x:c r="I1494" s="47" t="n">
        <x:v>-1866494</x:v>
      </x:c>
      <x:c r="J1494" s="49" t="n">
        <x:v>1349</x:v>
      </x:c>
      <x:c r="K1494" s="47" t="n">
        <x:v>-171875</x:v>
      </x:c>
      <x:c r="L1494" s="47" t="n">
        <x:v>88942.23809523809</x:v>
      </x:c>
      <x:c r="M1494" s="48" t="n">
        <x:v>4.252666666666667</x:v>
      </x:c>
      <x:c r="N1494" s="48" t="n">
        <x:v>424.0973333333333</x:v>
      </x:c>
      <x:c r="O1494" s="49" t="n">
        <x:v>7</x:v>
      </x:c>
      <x:c r="P1494" s="1" t="str">
        <x:v>基準併用：短期二市場の合議・標準</x:v>
      </x:c>
      <x:c r="Q1494" s="49" t="n">
        <x:v>0</x:v>
      </x:c>
      <x:c r="R1494" s="50" t="n">
        <x:v>0.7211753357753357</x:v>
      </x:c>
      <x:c r="S1494" s="50" t="n">
        <x:v>0.69844751866491</x:v>
      </x:c>
      <x:c r="T1494" s="1" t="str">
        <x:v>上昇</x:v>
      </x:c>
      <x:c r="U1494" s="49" t="n">
        <x:v>25</x:v>
      </x:c>
    </x:row>
    <x:row r="1495" ht="22" customHeight="1">
      <x:c r="A1495" s="1" t="str">
        <x:v>TOPIXmini</x:v>
      </x:c>
      <x:c r="B1495" s="1" t="str">
        <x:v>K01</x:v>
      </x:c>
      <x:c r="C1495" s="1" t="str">
        <x:v>全50場</x:v>
      </x:c>
      <x:c r="D1495" s="47" t="n">
        <x:v>4047076</x:v>
      </x:c>
      <x:c r="E1495" s="47" t="n">
        <x:v>5522805</x:v>
      </x:c>
      <x:c r="F1495" s="47" t="n">
        <x:f>D1495-E1495</x:f>
        <x:v>-1475729</x:v>
      </x:c>
      <x:c r="G1495" s="49" t="n">
        <x:v>8</x:v>
      </x:c>
      <x:c r="H1495" s="49" t="n">
        <x:v>17</x:v>
      </x:c>
      <x:c r="I1495" s="47" t="n">
        <x:v>-1637941</x:v>
      </x:c>
      <x:c r="J1495" s="49" t="n">
        <x:v>1541</x:v>
      </x:c>
      <x:c r="K1495" s="47" t="n">
        <x:v>-251450</x:v>
      </x:c>
      <x:c r="L1495" s="47" t="n">
        <x:v>100827.94117647059</x:v>
      </x:c>
      <x:c r="M1495" s="48" t="n">
        <x:v>6.554666666666667</x:v>
      </x:c>
      <x:c r="N1495" s="48" t="n">
        <x:v>423.27933333333334</x:v>
      </x:c>
      <x:c r="O1495" s="49" t="n">
        <x:v>7</x:v>
      </x:c>
      <x:c r="P1495" s="1" t="str">
        <x:v>基準併用：短期二市場の合議・標準</x:v>
      </x:c>
      <x:c r="Q1495" s="49" t="n">
        <x:v>0</x:v>
      </x:c>
      <x:c r="R1495" s="50" t="n">
        <x:v>0.7408658119658119</x:v>
      </x:c>
      <x:c r="S1495" s="50" t="n">
        <x:v>0.7140339631129105</x:v>
      </x:c>
      <x:c r="T1495" s="1" t="str">
        <x:v>下落</x:v>
      </x:c>
      <x:c r="U1495" s="49" t="n">
        <x:v>25</x:v>
      </x:c>
    </x:row>
    <x:row r="1496" ht="22" customHeight="1">
      <x:c r="A1496" s="1" t="str">
        <x:v>TOPIXmini</x:v>
      </x:c>
      <x:c r="B1496" s="1" t="str">
        <x:v>K01</x:v>
      </x:c>
      <x:c r="C1496" s="1" t="str">
        <x:v>対照47場</x:v>
      </x:c>
      <x:c r="D1496" s="47" t="n">
        <x:v>6558581</x:v>
      </x:c>
      <x:c r="E1496" s="47" t="n">
        <x:v>9877306</x:v>
      </x:c>
      <x:c r="F1496" s="47" t="n">
        <x:f>D1496-E1496</x:f>
        <x:v>-3318725</x:v>
      </x:c>
      <x:c r="G1496" s="49" t="n">
        <x:v>11</x:v>
      </x:c>
      <x:c r="H1496" s="49" t="n">
        <x:v>36</x:v>
      </x:c>
      <x:c r="I1496" s="47" t="n">
        <x:v>-3442854</x:v>
      </x:c>
      <x:c r="J1496" s="49" t="n">
        <x:v>2666</x:v>
      </x:c>
      <x:c r="K1496" s="47" t="n">
        <x:v>-251450</x:v>
      </x:c>
      <x:c r="L1496" s="47" t="n">
        <x:v>98253.52777777778</x:v>
      </x:c>
      <x:c r="M1496" s="48" t="n">
        <x:v>5.558156028368795</x:v>
      </x:c>
      <x:c r="N1496" s="48" t="n">
        <x:v>419.3712765957447</x:v>
      </x:c>
      <x:c r="O1496" s="49" t="n">
        <x:v>7</x:v>
      </x:c>
      <x:c r="P1496" s="1" t="str">
        <x:v>基準併用：短期二市場の合議・標準</x:v>
      </x:c>
      <x:c r="Q1496" s="49" t="n">
        <x:v>0</x:v>
      </x:c>
      <x:c r="R1496" s="50" t="n">
        <x:v>0.7294258046917623</x:v>
      </x:c>
      <x:c r="S1496" s="50" t="n">
        <x:v>0.7034421841541756</x:v>
      </x:c>
      <x:c r="T1496" s="1" t="str">
        <x:v>全場</x:v>
      </x:c>
      <x:c r="U1496" s="49" t="n">
        <x:v>47</x:v>
      </x:c>
    </x:row>
    <x:row r="1497" ht="22" customHeight="1">
      <x:c r="A1497" s="1" t="str">
        <x:v>TOPIXmini</x:v>
      </x:c>
      <x:c r="B1497" s="1" t="str">
        <x:v>K01</x:v>
      </x:c>
      <x:c r="C1497" s="1" t="str">
        <x:v>対照47場</x:v>
      </x:c>
      <x:c r="D1497" s="47" t="n">
        <x:v>3428476</x:v>
      </x:c>
      <x:c r="E1497" s="47" t="n">
        <x:v>5356558</x:v>
      </x:c>
      <x:c r="F1497" s="47" t="n">
        <x:f>D1497-E1497</x:f>
        <x:v>-1928082</x:v>
      </x:c>
      <x:c r="G1497" s="49" t="n">
        <x:v>7</x:v>
      </x:c>
      <x:c r="H1497" s="49" t="n">
        <x:v>17</x:v>
      </x:c>
      <x:c r="I1497" s="47" t="n">
        <x:v>-2052211</x:v>
      </x:c>
      <x:c r="J1497" s="49" t="n">
        <x:v>1470</x:v>
      </x:c>
      <x:c r="K1497" s="47" t="n">
        <x:v>-251450</x:v>
      </x:c>
      <x:c r="L1497" s="47" t="n">
        <x:v>124409.94117647059</x:v>
      </x:c>
      <x:c r="M1497" s="48" t="n">
        <x:v>4.756944444444444</x:v>
      </x:c>
      <x:c r="N1497" s="48" t="n">
        <x:v>341.75069444444443</x:v>
      </x:c>
      <x:c r="O1497" s="49" t="n">
        <x:v>7</x:v>
      </x:c>
      <x:c r="P1497" s="1" t="str">
        <x:v>基準併用：短期二市場の合議・標準</x:v>
      </x:c>
      <x:c r="Q1497" s="49" t="n">
        <x:v>0</x:v>
      </x:c>
      <x:c r="R1497" s="50" t="n">
        <x:v>0.8136921296296297</x:v>
      </x:c>
      <x:c r="S1497" s="50" t="n">
        <x:v>0.8136921296296296</x:v>
      </x:c>
      <x:c r="T1497" s="1" t="str">
        <x:v>デイ</x:v>
      </x:c>
      <x:c r="U1497" s="49" t="n">
        <x:v>24</x:v>
      </x:c>
    </x:row>
    <x:row r="1498" ht="22" customHeight="1">
      <x:c r="A1498" s="1" t="str">
        <x:v>TOPIXmini</x:v>
      </x:c>
      <x:c r="B1498" s="1" t="str">
        <x:v>K01</x:v>
      </x:c>
      <x:c r="C1498" s="1" t="str">
        <x:v>対照47場</x:v>
      </x:c>
      <x:c r="D1498" s="47" t="n">
        <x:v>3130105</x:v>
      </x:c>
      <x:c r="E1498" s="47" t="n">
        <x:v>4520748</x:v>
      </x:c>
      <x:c r="F1498" s="47" t="n">
        <x:f>D1498-E1498</x:f>
        <x:v>-1390643</x:v>
      </x:c>
      <x:c r="G1498" s="49" t="n">
        <x:v>4</x:v>
      </x:c>
      <x:c r="H1498" s="49" t="n">
        <x:v>19</x:v>
      </x:c>
      <x:c r="I1498" s="47" t="n">
        <x:v>-1420865</x:v>
      </x:c>
      <x:c r="J1498" s="49" t="n">
        <x:v>1196</x:v>
      </x:c>
      <x:c r="K1498" s="47" t="n">
        <x:v>-135715</x:v>
      </x:c>
      <x:c r="L1498" s="47" t="n">
        <x:v>74850.42105263157</x:v>
      </x:c>
      <x:c r="M1498" s="48" t="n">
        <x:v>6.394202898550725</x:v>
      </x:c>
      <x:c r="N1498" s="48" t="n">
        <x:v>500.36666666666673</x:v>
      </x:c>
      <x:c r="O1498" s="49" t="n">
        <x:v>7</x:v>
      </x:c>
      <x:c r="P1498" s="1" t="str">
        <x:v>基準併用：短期二市場の合議・標準</x:v>
      </x:c>
      <x:c r="Q1498" s="49" t="n">
        <x:v>0</x:v>
      </x:c>
      <x:c r="R1498" s="50" t="n">
        <x:v>0.6414957264957265</x:v>
      </x:c>
      <x:c r="S1498" s="50" t="n">
        <x:v>0.6414957264957265</x:v>
      </x:c>
      <x:c r="T1498" s="1" t="str">
        <x:v>ナイト</x:v>
      </x:c>
      <x:c r="U1498" s="49" t="n">
        <x:v>23</x:v>
      </x:c>
    </x:row>
    <x:row r="1499" ht="22" customHeight="1">
      <x:c r="A1499" s="1" t="str">
        <x:v>TOPIXmini</x:v>
      </x:c>
      <x:c r="B1499" s="1" t="str">
        <x:v>K01</x:v>
      </x:c>
      <x:c r="C1499" s="1" t="str">
        <x:v>対照47場</x:v>
      </x:c>
      <x:c r="D1499" s="47" t="n">
        <x:v>3120708</x:v>
      </x:c>
      <x:c r="E1499" s="47" t="n">
        <x:v>4915606</x:v>
      </x:c>
      <x:c r="F1499" s="47" t="n">
        <x:f>D1499-E1499</x:f>
        <x:v>-1794898</x:v>
      </x:c>
      <x:c r="G1499" s="49" t="n">
        <x:v>4</x:v>
      </x:c>
      <x:c r="H1499" s="49" t="n">
        <x:v>20</x:v>
      </x:c>
      <x:c r="I1499" s="47" t="n">
        <x:v>-1849119</x:v>
      </x:c>
      <x:c r="J1499" s="49" t="n">
        <x:v>1285</x:v>
      </x:c>
      <x:c r="K1499" s="47" t="n">
        <x:v>-171875</x:v>
      </x:c>
      <x:c r="L1499" s="47" t="n">
        <x:v>92520.6</x:v>
      </x:c>
      <x:c r="M1499" s="48" t="n">
        <x:v>4.336805555555556</x:v>
      </x:c>
      <x:c r="N1499" s="48" t="n">
        <x:v>418.2034722222222</x:v>
      </x:c>
      <x:c r="O1499" s="49" t="n">
        <x:v>7</x:v>
      </x:c>
      <x:c r="P1499" s="1" t="str">
        <x:v>基準併用：短期二市場の合議・標準</x:v>
      </x:c>
      <x:c r="Q1499" s="49" t="n">
        <x:v>0</x:v>
      </x:c>
      <x:c r="R1499" s="50" t="n">
        <x:v>0.7210133038258038</x:v>
      </x:c>
      <x:c r="S1499" s="50" t="n">
        <x:v>0.6970057870370371</x:v>
      </x:c>
      <x:c r="T1499" s="1" t="str">
        <x:v>上昇</x:v>
      </x:c>
      <x:c r="U1499" s="49" t="n">
        <x:v>24</x:v>
      </x:c>
    </x:row>
    <x:row r="1500" ht="22" customHeight="1">
      <x:c r="A1500" s="1" t="str">
        <x:v>TOPIXmini</x:v>
      </x:c>
      <x:c r="B1500" s="1" t="str">
        <x:v>K01</x:v>
      </x:c>
      <x:c r="C1500" s="1" t="str">
        <x:v>対照47場</x:v>
      </x:c>
      <x:c r="D1500" s="47" t="n">
        <x:v>3437873</x:v>
      </x:c>
      <x:c r="E1500" s="47" t="n">
        <x:v>4961700</x:v>
      </x:c>
      <x:c r="F1500" s="47" t="n">
        <x:f>D1500-E1500</x:f>
        <x:v>-1523827</x:v>
      </x:c>
      <x:c r="G1500" s="49" t="n">
        <x:v>7</x:v>
      </x:c>
      <x:c r="H1500" s="49" t="n">
        <x:v>16</x:v>
      </x:c>
      <x:c r="I1500" s="47" t="n">
        <x:v>-1640007</x:v>
      </x:c>
      <x:c r="J1500" s="49" t="n">
        <x:v>1381</x:v>
      </x:c>
      <x:c r="K1500" s="47" t="n">
        <x:v>-251450</x:v>
      </x:c>
      <x:c r="L1500" s="47" t="n">
        <x:v>105419.6875</x:v>
      </x:c>
      <x:c r="M1500" s="48" t="n">
        <x:v>6.832608695652173</x:v>
      </x:c>
      <x:c r="N1500" s="48" t="n">
        <x:v>420.5898550724637</x:v>
      </x:c>
      <x:c r="O1500" s="49" t="n">
        <x:v>7</x:v>
      </x:c>
      <x:c r="P1500" s="1" t="str">
        <x:v>基準併用：短期二市場の合議・標準</x:v>
      </x:c>
      <x:c r="Q1500" s="49" t="n">
        <x:v>0</x:v>
      </x:c>
      <x:c r="R1500" s="50" t="n">
        <x:v>0.7382040664649361</x:v>
      </x:c>
      <x:c r="S1500" s="50" t="n">
        <x:v>0.7102471855115028</x:v>
      </x:c>
      <x:c r="T1500" s="1" t="str">
        <x:v>下落</x:v>
      </x:c>
      <x:c r="U1500" s="49" t="n">
        <x:v>23</x:v>
      </x:c>
    </x:row>
    <x:row r="1501" ht="22" customHeight="1">
      <x:c r="A1501" s="1" t="str">
        <x:v>TOPIXmini</x:v>
      </x:c>
      <x:c r="B1501" s="1" t="str">
        <x:v>K01</x:v>
      </x:c>
      <x:c r="C1501" s="1" t="str">
        <x:v>診断3場</x:v>
      </x:c>
      <x:c r="D1501" s="47" t="n">
        <x:v>786467</x:v>
      </x:c>
      <x:c r="E1501" s="47" t="n">
        <x:v>755744</x:v>
      </x:c>
      <x:c r="F1501" s="47" t="n">
        <x:f>D1501-E1501</x:f>
        <x:v>30723</x:v>
      </x:c>
      <x:c r="G1501" s="49" t="n">
        <x:v>1</x:v>
      </x:c>
      <x:c r="H1501" s="49" t="n">
        <x:v>2</x:v>
      </x:c>
      <x:c r="I1501" s="47" t="n">
        <x:v>-44735</x:v>
      </x:c>
      <x:c r="J1501" s="49" t="n">
        <x:v>224</x:v>
      </x:c>
      <x:c r="K1501" s="47" t="n">
        <x:v>-27360</x:v>
      </x:c>
      <x:c r="L1501" s="47" t="n">
        <x:v>22367.5</x:v>
      </x:c>
      <x:c r="M1501" s="48" t="n">
        <x:v>2.983333333333333</x:v>
      </x:c>
      <x:c r="N1501" s="48" t="n">
        <x:v>491.32222222222225</x:v>
      </x:c>
      <x:c r="O1501" s="49" t="n">
        <x:v>7</x:v>
      </x:c>
      <x:c r="P1501" s="1" t="str">
        <x:v>基準併用：短期二市場の合議・標準</x:v>
      </x:c>
      <x:c r="Q1501" s="49" t="n">
        <x:v>0</x:v>
      </x:c>
      <x:c r="R1501" s="50" t="n">
        <x:v>0.756005291005291</x:v>
      </x:c>
      <x:c r="S1501" s="50" t="n">
        <x:v>0.7444276094276094</x:v>
      </x:c>
      <x:c r="T1501" s="1" t="str">
        <x:v>全場</x:v>
      </x:c>
      <x:c r="U1501" s="49" t="n">
        <x:v>3</x:v>
      </x:c>
    </x:row>
    <x:row r="1502" ht="22" customHeight="1">
      <x:c r="A1502" s="1" t="str">
        <x:v>TOPIXmini</x:v>
      </x:c>
      <x:c r="B1502" s="1" t="str">
        <x:v>K01</x:v>
      </x:c>
      <x:c r="C1502" s="1" t="str">
        <x:v>診断3場</x:v>
      </x:c>
      <x:c r="D1502" s="47" t="n">
        <x:v>346102</x:v>
      </x:c>
      <x:c r="E1502" s="47" t="n">
        <x:v>373462</x:v>
      </x:c>
      <x:c r="F1502" s="47" t="n">
        <x:f>D1502-E1502</x:f>
        <x:v>-27360</x:v>
      </x:c>
      <x:c r="G1502" s="49" t="n">
        <x:v>0</x:v>
      </x:c>
      <x:c r="H1502" s="49" t="n">
        <x:v>1</x:v>
      </x:c>
      <x:c r="I1502" s="47" t="n">
        <x:v>-27360</x:v>
      </x:c>
      <x:c r="J1502" s="49" t="n">
        <x:v>86</x:v>
      </x:c>
      <x:c r="K1502" s="47" t="n">
        <x:v>-27360</x:v>
      </x:c>
      <x:c r="L1502" s="47" t="n">
        <x:v>27360</x:v>
      </x:c>
      <x:c r="M1502" s="48" t="n">
        <x:v>2.716666666666667</x:v>
      </x:c>
      <x:c r="N1502" s="48" t="n">
        <x:v>344.26666666666665</x:v>
      </x:c>
      <x:c r="O1502" s="49" t="n">
        <x:v>7</x:v>
      </x:c>
      <x:c r="P1502" s="1" t="str">
        <x:v>基準併用：短期二市場の合議・標準</x:v>
      </x:c>
      <x:c r="Q1502" s="49" t="n">
        <x:v>0</x:v>
      </x:c>
      <x:c r="R1502" s="50" t="n">
        <x:v>0.8196825396825397</x:v>
      </x:c>
      <x:c r="S1502" s="50" t="n">
        <x:v>0.8196825396825397</x:v>
      </x:c>
      <x:c r="T1502" s="1" t="str">
        <x:v>デイ</x:v>
      </x:c>
      <x:c r="U1502" s="49" t="n">
        <x:v>1</x:v>
      </x:c>
    </x:row>
    <x:row r="1503" ht="22" customHeight="1">
      <x:c r="A1503" s="1" t="str">
        <x:v>TOPIXmini</x:v>
      </x:c>
      <x:c r="B1503" s="1" t="str">
        <x:v>K01</x:v>
      </x:c>
      <x:c r="C1503" s="1" t="str">
        <x:v>診断3場</x:v>
      </x:c>
      <x:c r="D1503" s="47" t="n">
        <x:v>440365</x:v>
      </x:c>
      <x:c r="E1503" s="47" t="n">
        <x:v>382282</x:v>
      </x:c>
      <x:c r="F1503" s="47" t="n">
        <x:f>D1503-E1503</x:f>
        <x:v>58083</x:v>
      </x:c>
      <x:c r="G1503" s="49" t="n">
        <x:v>1</x:v>
      </x:c>
      <x:c r="H1503" s="49" t="n">
        <x:v>1</x:v>
      </x:c>
      <x:c r="I1503" s="47" t="n">
        <x:v>-17375</x:v>
      </x:c>
      <x:c r="J1503" s="49" t="n">
        <x:v>138</x:v>
      </x:c>
      <x:c r="K1503" s="47" t="n">
        <x:v>-17375</x:v>
      </x:c>
      <x:c r="L1503" s="47" t="n">
        <x:v>17375</x:v>
      </x:c>
      <x:c r="M1503" s="48" t="n">
        <x:v>3.1166666666666667</x:v>
      </x:c>
      <x:c r="N1503" s="48" t="n">
        <x:v>564.8499999999999</x:v>
      </x:c>
      <x:c r="O1503" s="49" t="n">
        <x:v>7</x:v>
      </x:c>
      <x:c r="P1503" s="1" t="str">
        <x:v>基準併用：短期二市場の合議・標準</x:v>
      </x:c>
      <x:c r="Q1503" s="49" t="n">
        <x:v>0</x:v>
      </x:c>
      <x:c r="R1503" s="50" t="n">
        <x:v>0.7241666666666666</x:v>
      </x:c>
      <x:c r="S1503" s="50" t="n">
        <x:v>0.7241666666666665</x:v>
      </x:c>
      <x:c r="T1503" s="1" t="str">
        <x:v>ナイト</x:v>
      </x:c>
      <x:c r="U1503" s="49" t="n">
        <x:v>2</x:v>
      </x:c>
    </x:row>
    <x:row r="1504" ht="22" customHeight="1">
      <x:c r="A1504" s="1" t="str">
        <x:v>TOPIXmini</x:v>
      </x:c>
      <x:c r="B1504" s="1" t="str">
        <x:v>K01</x:v>
      </x:c>
      <x:c r="C1504" s="1" t="str">
        <x:v>診断3場</x:v>
      </x:c>
      <x:c r="D1504" s="47" t="n">
        <x:v>177264</x:v>
      </x:c>
      <x:c r="E1504" s="47" t="n">
        <x:v>194639</x:v>
      </x:c>
      <x:c r="F1504" s="47" t="n">
        <x:f>D1504-E1504</x:f>
        <x:v>-17375</x:v>
      </x:c>
      <x:c r="G1504" s="49" t="n">
        <x:v>0</x:v>
      </x:c>
      <x:c r="H1504" s="49" t="n">
        <x:v>1</x:v>
      </x:c>
      <x:c r="I1504" s="47" t="n">
        <x:v>-17375</x:v>
      </x:c>
      <x:c r="J1504" s="49" t="n">
        <x:v>64</x:v>
      </x:c>
      <x:c r="K1504" s="47" t="n">
        <x:v>-17375</x:v>
      </x:c>
      <x:c r="L1504" s="47" t="n">
        <x:v>17375</x:v>
      </x:c>
      <x:c r="M1504" s="48" t="n">
        <x:v>2.2333333333333334</x:v>
      </x:c>
      <x:c r="N1504" s="48" t="n">
        <x:v>565.55</x:v>
      </x:c>
      <x:c r="O1504" s="49" t="n">
        <x:v>7</x:v>
      </x:c>
      <x:c r="P1504" s="1" t="str">
        <x:v>基準併用：短期二市場の合議・標準</x:v>
      </x:c>
      <x:c r="Q1504" s="49" t="n">
        <x:v>0</x:v>
      </x:c>
      <x:c r="R1504" s="50" t="n">
        <x:v>0.7250641025641026</x:v>
      </x:c>
      <x:c r="S1504" s="50" t="n">
        <x:v>0.7250641025641025</x:v>
      </x:c>
      <x:c r="T1504" s="1" t="str">
        <x:v>上昇</x:v>
      </x:c>
      <x:c r="U1504" s="49" t="n">
        <x:v>1</x:v>
      </x:c>
    </x:row>
    <x:row r="1505" ht="22" customHeight="1">
      <x:c r="A1505" s="1" t="str">
        <x:v>TOPIXmini</x:v>
      </x:c>
      <x:c r="B1505" s="1" t="str">
        <x:v>K01</x:v>
      </x:c>
      <x:c r="C1505" s="1" t="str">
        <x:v>診断3場</x:v>
      </x:c>
      <x:c r="D1505" s="47" t="n">
        <x:v>609203</x:v>
      </x:c>
      <x:c r="E1505" s="47" t="n">
        <x:v>561105</x:v>
      </x:c>
      <x:c r="F1505" s="47" t="n">
        <x:f>D1505-E1505</x:f>
        <x:v>48098</x:v>
      </x:c>
      <x:c r="G1505" s="49" t="n">
        <x:v>1</x:v>
      </x:c>
      <x:c r="H1505" s="49" t="n">
        <x:v>1</x:v>
      </x:c>
      <x:c r="I1505" s="47" t="n">
        <x:v>-27360</x:v>
      </x:c>
      <x:c r="J1505" s="49" t="n">
        <x:v>160</x:v>
      </x:c>
      <x:c r="K1505" s="47" t="n">
        <x:v>-27360</x:v>
      </x:c>
      <x:c r="L1505" s="47" t="n">
        <x:v>27360</x:v>
      </x:c>
      <x:c r="M1505" s="48" t="n">
        <x:v>3.3583333333333334</x:v>
      </x:c>
      <x:c r="N1505" s="48" t="n">
        <x:v>454.2083333333333</x:v>
      </x:c>
      <x:c r="O1505" s="49" t="n">
        <x:v>7</x:v>
      </x:c>
      <x:c r="P1505" s="1" t="str">
        <x:v>基準併用：短期二市場の合議・標準</x:v>
      </x:c>
      <x:c r="Q1505" s="49" t="n">
        <x:v>0</x:v>
      </x:c>
      <x:c r="R1505" s="50" t="n">
        <x:v>0.7714758852258852</x:v>
      </x:c>
      <x:c r="S1505" s="50" t="n">
        <x:v>0.7570138888888889</x:v>
      </x:c>
      <x:c r="T1505" s="1" t="str">
        <x:v>下落</x:v>
      </x:c>
      <x:c r="U1505" s="49" t="n">
        <x:v>2</x:v>
      </x:c>
    </x:row>
    <x:row r="1506" ht="22" customHeight="1">
      <x:c r="A1506" s="1" t="str">
        <x:v>TOPIXmini</x:v>
      </x:c>
      <x:c r="B1506" s="1" t="str">
        <x:v>K02</x:v>
      </x:c>
      <x:c r="C1506" s="1" t="str">
        <x:v>全50場</x:v>
      </x:c>
      <x:c r="D1506" s="47" t="n">
        <x:v>7190028</x:v>
      </x:c>
      <x:c r="E1506" s="47" t="n">
        <x:v>10172442</x:v>
      </x:c>
      <x:c r="F1506" s="47" t="n">
        <x:f>D1506-E1506</x:f>
        <x:v>-2982414</x:v>
      </x:c>
      <x:c r="G1506" s="49" t="n">
        <x:v>12</x:v>
      </x:c>
      <x:c r="H1506" s="49" t="n">
        <x:v>38</x:v>
      </x:c>
      <x:c r="I1506" s="47" t="n">
        <x:v>-3141368</x:v>
      </x:c>
      <x:c r="J1506" s="49" t="n">
        <x:v>2772</x:v>
      </x:c>
      <x:c r="K1506" s="47" t="n">
        <x:v>-246450</x:v>
      </x:c>
      <x:c r="L1506" s="47" t="n">
        <x:v>86525.1052631579</x:v>
      </x:c>
      <x:c r="M1506" s="48" t="n">
        <x:v>5.403666666666667</x:v>
      </x:c>
      <x:c r="N1506" s="48" t="n">
        <x:v>448.76533333333333</x:v>
      </x:c>
      <x:c r="O1506" s="49" t="n">
        <x:v>7</x:v>
      </x:c>
      <x:c r="P1506" s="1" t="str">
        <x:v>基準併用：短期二市場の合議・広め</x:v>
      </x:c>
      <x:c r="Q1506" s="49" t="n">
        <x:v>0</x:v>
      </x:c>
      <x:c r="R1506" s="50" t="n">
        <x:v>0.7671039072039072</x:v>
      </x:c>
      <x:c r="S1506" s="50" t="n">
        <x:v>0.7479422222222222</x:v>
      </x:c>
      <x:c r="T1506" s="1" t="str">
        <x:v>全場</x:v>
      </x:c>
      <x:c r="U1506" s="49" t="n">
        <x:v>50</x:v>
      </x:c>
    </x:row>
    <x:row r="1507" ht="22" customHeight="1">
      <x:c r="A1507" s="1" t="str">
        <x:v>TOPIXmini</x:v>
      </x:c>
      <x:c r="B1507" s="1" t="str">
        <x:v>K02</x:v>
      </x:c>
      <x:c r="C1507" s="1" t="str">
        <x:v>全50場</x:v>
      </x:c>
      <x:c r="D1507" s="47" t="n">
        <x:v>3715740</x:v>
      </x:c>
      <x:c r="E1507" s="47" t="n">
        <x:v>5593700</x:v>
      </x:c>
      <x:c r="F1507" s="47" t="n">
        <x:f>D1507-E1507</x:f>
        <x:v>-1877960</x:v>
      </x:c>
      <x:c r="G1507" s="49" t="n">
        <x:v>6</x:v>
      </x:c>
      <x:c r="H1507" s="49" t="n">
        <x:v>19</x:v>
      </x:c>
      <x:c r="I1507" s="47" t="n">
        <x:v>-2028753</x:v>
      </x:c>
      <x:c r="J1507" s="49" t="n">
        <x:v>1529</x:v>
      </x:c>
      <x:c r="K1507" s="47" t="n">
        <x:v>-246450</x:v>
      </x:c>
      <x:c r="L1507" s="47" t="n">
        <x:v>109574.78947368421</x:v>
      </x:c>
      <x:c r="M1507" s="48" t="n">
        <x:v>4.675333333333333</x:v>
      </x:c>
      <x:c r="N1507" s="48" t="n">
        <x:v>349.01</x:v>
      </x:c>
      <x:c r="O1507" s="49" t="n">
        <x:v>7</x:v>
      </x:c>
      <x:c r="P1507" s="1" t="str">
        <x:v>基準併用：短期二市場の合議・広め</x:v>
      </x:c>
      <x:c r="Q1507" s="49" t="n">
        <x:v>0</x:v>
      </x:c>
      <x:c r="R1507" s="50" t="n">
        <x:v>0.8309761904761905</x:v>
      </x:c>
      <x:c r="S1507" s="50" t="n">
        <x:v>0.8309761904761904</x:v>
      </x:c>
      <x:c r="T1507" s="1" t="str">
        <x:v>デイ</x:v>
      </x:c>
      <x:c r="U1507" s="49" t="n">
        <x:v>25</x:v>
      </x:c>
    </x:row>
    <x:row r="1508" ht="22" customHeight="1">
      <x:c r="A1508" s="1" t="str">
        <x:v>TOPIXmini</x:v>
      </x:c>
      <x:c r="B1508" s="1" t="str">
        <x:v>K02</x:v>
      </x:c>
      <x:c r="C1508" s="1" t="str">
        <x:v>全50場</x:v>
      </x:c>
      <x:c r="D1508" s="47" t="n">
        <x:v>3474288</x:v>
      </x:c>
      <x:c r="E1508" s="47" t="n">
        <x:v>4578742</x:v>
      </x:c>
      <x:c r="F1508" s="47" t="n">
        <x:f>D1508-E1508</x:f>
        <x:v>-1104454</x:v>
      </x:c>
      <x:c r="G1508" s="49" t="n">
        <x:v>6</x:v>
      </x:c>
      <x:c r="H1508" s="49" t="n">
        <x:v>19</x:v>
      </x:c>
      <x:c r="I1508" s="47" t="n">
        <x:v>-1185789</x:v>
      </x:c>
      <x:c r="J1508" s="49" t="n">
        <x:v>1243</x:v>
      </x:c>
      <x:c r="K1508" s="47" t="n">
        <x:v>-113802</x:v>
      </x:c>
      <x:c r="L1508" s="47" t="n">
        <x:v>63475.42105263158</x:v>
      </x:c>
      <x:c r="M1508" s="48" t="n">
        <x:v>6.132</x:v>
      </x:c>
      <x:c r="N1508" s="48" t="n">
        <x:v>548.5206666666667</x:v>
      </x:c>
      <x:c r="O1508" s="49" t="n">
        <x:v>7</x:v>
      </x:c>
      <x:c r="P1508" s="1" t="str">
        <x:v>基準併用：短期二市場の合議・広め</x:v>
      </x:c>
      <x:c r="Q1508" s="49" t="n">
        <x:v>0</x:v>
      </x:c>
      <x:c r="R1508" s="50" t="n">
        <x:v>0.7032316239316241</x:v>
      </x:c>
      <x:c r="S1508" s="50" t="n">
        <x:v>0.703231623931624</x:v>
      </x:c>
      <x:c r="T1508" s="1" t="str">
        <x:v>ナイト</x:v>
      </x:c>
      <x:c r="U1508" s="49" t="n">
        <x:v>25</x:v>
      </x:c>
    </x:row>
    <x:row r="1509" ht="22" customHeight="1">
      <x:c r="A1509" s="1" t="str">
        <x:v>TOPIXmini</x:v>
      </x:c>
      <x:c r="B1509" s="1" t="str">
        <x:v>K02</x:v>
      </x:c>
      <x:c r="C1509" s="1" t="str">
        <x:v>全50場</x:v>
      </x:c>
      <x:c r="D1509" s="47" t="n">
        <x:v>3212794</x:v>
      </x:c>
      <x:c r="E1509" s="47" t="n">
        <x:v>4828281</x:v>
      </x:c>
      <x:c r="F1509" s="47" t="n">
        <x:f>D1509-E1509</x:f>
        <x:v>-1615487</x:v>
      </x:c>
      <x:c r="G1509" s="49" t="n">
        <x:v>4</x:v>
      </x:c>
      <x:c r="H1509" s="49" t="n">
        <x:v>21</x:v>
      </x:c>
      <x:c r="I1509" s="47" t="n">
        <x:v>-1710573</x:v>
      </x:c>
      <x:c r="J1509" s="49" t="n">
        <x:v>1278</x:v>
      </x:c>
      <x:c r="K1509" s="47" t="n">
        <x:v>-159543</x:v>
      </x:c>
      <x:c r="L1509" s="47" t="n">
        <x:v>81501.09523809524</x:v>
      </x:c>
      <x:c r="M1509" s="48" t="n">
        <x:v>4.252666666666667</x:v>
      </x:c>
      <x:c r="N1509" s="48" t="n">
        <x:v>465.46399999999994</x:v>
      </x:c>
      <x:c r="O1509" s="49" t="n">
        <x:v>7</x:v>
      </x:c>
      <x:c r="P1509" s="1" t="str">
        <x:v>基準併用：短期二市場の合議・広め</x:v>
      </x:c>
      <x:c r="Q1509" s="49" t="n">
        <x:v>0</x:v>
      </x:c>
      <x:c r="R1509" s="50" t="n">
        <x:v>0.781225641025641</x:v>
      </x:c>
      <x:c r="S1509" s="50" t="n">
        <x:v>0.7665744400527009</x:v>
      </x:c>
      <x:c r="T1509" s="1" t="str">
        <x:v>上昇</x:v>
      </x:c>
      <x:c r="U1509" s="49" t="n">
        <x:v>25</x:v>
      </x:c>
    </x:row>
    <x:row r="1510" ht="22" customHeight="1">
      <x:c r="A1510" s="1" t="str">
        <x:v>TOPIXmini</x:v>
      </x:c>
      <x:c r="B1510" s="1" t="str">
        <x:v>K02</x:v>
      </x:c>
      <x:c r="C1510" s="1" t="str">
        <x:v>全50場</x:v>
      </x:c>
      <x:c r="D1510" s="47" t="n">
        <x:v>3977234</x:v>
      </x:c>
      <x:c r="E1510" s="47" t="n">
        <x:v>5344161</x:v>
      </x:c>
      <x:c r="F1510" s="47" t="n">
        <x:f>D1510-E1510</x:f>
        <x:v>-1366927</x:v>
      </x:c>
      <x:c r="G1510" s="49" t="n">
        <x:v>8</x:v>
      </x:c>
      <x:c r="H1510" s="49" t="n">
        <x:v>17</x:v>
      </x:c>
      <x:c r="I1510" s="47" t="n">
        <x:v>-1503969</x:v>
      </x:c>
      <x:c r="J1510" s="49" t="n">
        <x:v>1494</x:v>
      </x:c>
      <x:c r="K1510" s="47" t="n">
        <x:v>-246450</x:v>
      </x:c>
      <x:c r="L1510" s="47" t="n">
        <x:v>92731.23529411765</x:v>
      </x:c>
      <x:c r="M1510" s="48" t="n">
        <x:v>6.554666666666667</x:v>
      </x:c>
      <x:c r="N1510" s="48" t="n">
        <x:v>432.06666666666666</x:v>
      </x:c>
      <x:c r="O1510" s="49" t="n">
        <x:v>7</x:v>
      </x:c>
      <x:c r="P1510" s="1" t="str">
        <x:v>基準併用：短期二市場の合議・広め</x:v>
      </x:c>
      <x:c r="Q1510" s="49" t="n">
        <x:v>0</x:v>
      </x:c>
      <x:c r="R1510" s="50" t="n">
        <x:v>0.7529821733821734</x:v>
      </x:c>
      <x:c r="S1510" s="50" t="n">
        <x:v>0.7288573999100314</x:v>
      </x:c>
      <x:c r="T1510" s="1" t="str">
        <x:v>下落</x:v>
      </x:c>
      <x:c r="U1510" s="49" t="n">
        <x:v>25</x:v>
      </x:c>
    </x:row>
    <x:row r="1511" ht="22" customHeight="1">
      <x:c r="A1511" s="1" t="str">
        <x:v>TOPIXmini</x:v>
      </x:c>
      <x:c r="B1511" s="1" t="str">
        <x:v>K02</x:v>
      </x:c>
      <x:c r="C1511" s="1" t="str">
        <x:v>対照47場</x:v>
      </x:c>
      <x:c r="D1511" s="47" t="n">
        <x:v>6436395</x:v>
      </x:c>
      <x:c r="E1511" s="47" t="n">
        <x:v>9440860</x:v>
      </x:c>
      <x:c r="F1511" s="47" t="n">
        <x:f>D1511-E1511</x:f>
        <x:v>-3004465</x:v>
      </x:c>
      <x:c r="G1511" s="49" t="n">
        <x:v>11</x:v>
      </x:c>
      <x:c r="H1511" s="49" t="n">
        <x:v>36</x:v>
      </x:c>
      <x:c r="I1511" s="47" t="n">
        <x:v>-3155258</x:v>
      </x:c>
      <x:c r="J1511" s="49" t="n">
        <x:v>2556</x:v>
      </x:c>
      <x:c r="K1511" s="47" t="n">
        <x:v>-246450</x:v>
      </x:c>
      <x:c r="L1511" s="47" t="n">
        <x:v>90691.19444444444</x:v>
      </x:c>
      <x:c r="M1511" s="48" t="n">
        <x:v>5.558156028368795</x:v>
      </x:c>
      <x:c r="N1511" s="48" t="n">
        <x:v>444.1322695035462</x:v>
      </x:c>
      <x:c r="O1511" s="49" t="n">
        <x:v>7</x:v>
      </x:c>
      <x:c r="P1511" s="1" t="str">
        <x:v>基準併用：短期二市場の合議・広め</x:v>
      </x:c>
      <x:c r="Q1511" s="49" t="n">
        <x:v>0</x:v>
      </x:c>
      <x:c r="R1511" s="50" t="n">
        <x:v>0.7652888187462656</x:v>
      </x:c>
      <x:c r="S1511" s="50" t="n">
        <x:v>0.7449756126576256</x:v>
      </x:c>
      <x:c r="T1511" s="1" t="str">
        <x:v>全場</x:v>
      </x:c>
      <x:c r="U1511" s="49" t="n">
        <x:v>47</x:v>
      </x:c>
    </x:row>
    <x:row r="1512" ht="22" customHeight="1">
      <x:c r="A1512" s="1" t="str">
        <x:v>TOPIXmini</x:v>
      </x:c>
      <x:c r="B1512" s="1" t="str">
        <x:v>K02</x:v>
      </x:c>
      <x:c r="C1512" s="1" t="str">
        <x:v>対照47場</x:v>
      </x:c>
      <x:c r="D1512" s="47" t="n">
        <x:v>3372804</x:v>
      </x:c>
      <x:c r="E1512" s="47" t="n">
        <x:v>5242736</x:v>
      </x:c>
      <x:c r="F1512" s="47" t="n">
        <x:f>D1512-E1512</x:f>
        <x:v>-1869932</x:v>
      </x:c>
      <x:c r="G1512" s="49" t="n">
        <x:v>6</x:v>
      </x:c>
      <x:c r="H1512" s="49" t="n">
        <x:v>18</x:v>
      </x:c>
      <x:c r="I1512" s="47" t="n">
        <x:v>-2020725</x:v>
      </x:c>
      <x:c r="J1512" s="49" t="n">
        <x:v>1445</x:v>
      </x:c>
      <x:c r="K1512" s="47" t="n">
        <x:v>-246450</x:v>
      </x:c>
      <x:c r="L1512" s="47" t="n">
        <x:v>115216.27777777778</x:v>
      </x:c>
      <x:c r="M1512" s="48" t="n">
        <x:v>4.756944444444444</x:v>
      </x:c>
      <x:c r="N1512" s="48" t="n">
        <x:v>349.08958333333334</x:v>
      </x:c>
      <x:c r="O1512" s="49" t="n">
        <x:v>7</x:v>
      </x:c>
      <x:c r="P1512" s="1" t="str">
        <x:v>基準併用：短期二市場の合議・広め</x:v>
      </x:c>
      <x:c r="Q1512" s="49" t="n">
        <x:v>0</x:v>
      </x:c>
      <x:c r="R1512" s="50" t="n">
        <x:v>0.8311656746031746</x:v>
      </x:c>
      <x:c r="S1512" s="50" t="n">
        <x:v>0.8311656746031746</x:v>
      </x:c>
      <x:c r="T1512" s="1" t="str">
        <x:v>デイ</x:v>
      </x:c>
      <x:c r="U1512" s="49" t="n">
        <x:v>24</x:v>
      </x:c>
    </x:row>
    <x:row r="1513" ht="22" customHeight="1">
      <x:c r="A1513" s="1" t="str">
        <x:v>TOPIXmini</x:v>
      </x:c>
      <x:c r="B1513" s="1" t="str">
        <x:v>K02</x:v>
      </x:c>
      <x:c r="C1513" s="1" t="str">
        <x:v>対照47場</x:v>
      </x:c>
      <x:c r="D1513" s="47" t="n">
        <x:v>3063591</x:v>
      </x:c>
      <x:c r="E1513" s="47" t="n">
        <x:v>4198124</x:v>
      </x:c>
      <x:c r="F1513" s="47" t="n">
        <x:f>D1513-E1513</x:f>
        <x:v>-1134533</x:v>
      </x:c>
      <x:c r="G1513" s="49" t="n">
        <x:v>5</x:v>
      </x:c>
      <x:c r="H1513" s="49" t="n">
        <x:v>18</x:v>
      </x:c>
      <x:c r="I1513" s="47" t="n">
        <x:v>-1185088</x:v>
      </x:c>
      <x:c r="J1513" s="49" t="n">
        <x:v>1111</x:v>
      </x:c>
      <x:c r="K1513" s="47" t="n">
        <x:v>-113802</x:v>
      </x:c>
      <x:c r="L1513" s="47" t="n">
        <x:v>66166.11111111111</x:v>
      </x:c>
      <x:c r="M1513" s="48" t="n">
        <x:v>6.394202898550725</x:v>
      </x:c>
      <x:c r="N1513" s="48" t="n">
        <x:v>543.3072463768115</x:v>
      </x:c>
      <x:c r="O1513" s="49" t="n">
        <x:v>7</x:v>
      </x:c>
      <x:c r="P1513" s="1" t="str">
        <x:v>基準併用：短期二市場の合議・広め</x:v>
      </x:c>
      <x:c r="Q1513" s="49" t="n">
        <x:v>0</x:v>
      </x:c>
      <x:c r="R1513" s="50" t="n">
        <x:v>0.696547751765143</x:v>
      </x:c>
      <x:c r="S1513" s="50" t="n">
        <x:v>0.696547751765143</x:v>
      </x:c>
      <x:c r="T1513" s="1" t="str">
        <x:v>ナイト</x:v>
      </x:c>
      <x:c r="U1513" s="49" t="n">
        <x:v>23</x:v>
      </x:c>
    </x:row>
    <x:row r="1514" ht="22" customHeight="1">
      <x:c r="A1514" s="1" t="str">
        <x:v>TOPIXmini</x:v>
      </x:c>
      <x:c r="B1514" s="1" t="str">
        <x:v>K02</x:v>
      </x:c>
      <x:c r="C1514" s="1" t="str">
        <x:v>対照47場</x:v>
      </x:c>
      <x:c r="D1514" s="47" t="n">
        <x:v>3042530</x:v>
      </x:c>
      <x:c r="E1514" s="47" t="n">
        <x:v>4642974</x:v>
      </x:c>
      <x:c r="F1514" s="47" t="n">
        <x:f>D1514-E1514</x:f>
        <x:v>-1600444</x:v>
      </x:c>
      <x:c r="G1514" s="49" t="n">
        <x:v>4</x:v>
      </x:c>
      <x:c r="H1514" s="49" t="n">
        <x:v>20</x:v>
      </x:c>
      <x:c r="I1514" s="47" t="n">
        <x:v>-1695530</x:v>
      </x:c>
      <x:c r="J1514" s="49" t="n">
        <x:v>1216</x:v>
      </x:c>
      <x:c r="K1514" s="47" t="n">
        <x:v>-159543</x:v>
      </x:c>
      <x:c r="L1514" s="47" t="n">
        <x:v>84824</x:v>
      </x:c>
      <x:c r="M1514" s="48" t="n">
        <x:v>4.336805555555556</x:v>
      </x:c>
      <x:c r="N1514" s="48" t="n">
        <x:v>458.5777777777777</x:v>
      </x:c>
      <x:c r="O1514" s="49" t="n">
        <x:v>7</x:v>
      </x:c>
      <x:c r="P1514" s="1" t="str">
        <x:v>基準併用：短期二市場の合議・広め</x:v>
      </x:c>
      <x:c r="Q1514" s="49" t="n">
        <x:v>0</x:v>
      </x:c>
      <x:c r="R1514" s="50" t="n">
        <x:v>0.7800836894586894</x:v>
      </x:c>
      <x:c r="S1514" s="50" t="n">
        <x:v>0.7642962962962963</x:v>
      </x:c>
      <x:c r="T1514" s="1" t="str">
        <x:v>上昇</x:v>
      </x:c>
      <x:c r="U1514" s="49" t="n">
        <x:v>24</x:v>
      </x:c>
    </x:row>
    <x:row r="1515" ht="22" customHeight="1">
      <x:c r="A1515" s="1" t="str">
        <x:v>TOPIXmini</x:v>
      </x:c>
      <x:c r="B1515" s="1" t="str">
        <x:v>K02</x:v>
      </x:c>
      <x:c r="C1515" s="1" t="str">
        <x:v>対照47場</x:v>
      </x:c>
      <x:c r="D1515" s="47" t="n">
        <x:v>3393865</x:v>
      </x:c>
      <x:c r="E1515" s="47" t="n">
        <x:v>4797886</x:v>
      </x:c>
      <x:c r="F1515" s="47" t="n">
        <x:f>D1515-E1515</x:f>
        <x:v>-1404021</x:v>
      </x:c>
      <x:c r="G1515" s="49" t="n">
        <x:v>7</x:v>
      </x:c>
      <x:c r="H1515" s="49" t="n">
        <x:v>16</x:v>
      </x:c>
      <x:c r="I1515" s="47" t="n">
        <x:v>-1532533</x:v>
      </x:c>
      <x:c r="J1515" s="49" t="n">
        <x:v>1340</x:v>
      </x:c>
      <x:c r="K1515" s="47" t="n">
        <x:v>-246450</x:v>
      </x:c>
      <x:c r="L1515" s="47" t="n">
        <x:v>98025.1875</x:v>
      </x:c>
      <x:c r="M1515" s="48" t="n">
        <x:v>6.832608695652173</x:v>
      </x:c>
      <x:c r="N1515" s="48" t="n">
        <x:v>429.05869565217387</x:v>
      </x:c>
      <x:c r="O1515" s="49" t="n">
        <x:v>7</x:v>
      </x:c>
      <x:c r="P1515" s="1" t="str">
        <x:v>基準併用：短期二市場の合議・広め</x:v>
      </x:c>
      <x:c r="Q1515" s="49" t="n">
        <x:v>0</x:v>
      </x:c>
      <x:c r="R1515" s="50" t="n">
        <x:v>0.7498506927854752</x:v>
      </x:c>
      <x:c r="S1515" s="50" t="n">
        <x:v>0.7245484581497798</x:v>
      </x:c>
      <x:c r="T1515" s="1" t="str">
        <x:v>下落</x:v>
      </x:c>
      <x:c r="U1515" s="49" t="n">
        <x:v>23</x:v>
      </x:c>
    </x:row>
    <x:row r="1516" ht="22" customHeight="1">
      <x:c r="A1516" s="1" t="str">
        <x:v>TOPIXmini</x:v>
      </x:c>
      <x:c r="B1516" s="1" t="str">
        <x:v>K02</x:v>
      </x:c>
      <x:c r="C1516" s="1" t="str">
        <x:v>診断3場</x:v>
      </x:c>
      <x:c r="D1516" s="47" t="n">
        <x:v>753633</x:v>
      </x:c>
      <x:c r="E1516" s="47" t="n">
        <x:v>731582</x:v>
      </x:c>
      <x:c r="F1516" s="47" t="n">
        <x:f>D1516-E1516</x:f>
        <x:v>22051</x:v>
      </x:c>
      <x:c r="G1516" s="49" t="n">
        <x:v>1</x:v>
      </x:c>
      <x:c r="H1516" s="49" t="n">
        <x:v>2</x:v>
      </x:c>
      <x:c r="I1516" s="47" t="n">
        <x:v>-23071</x:v>
      </x:c>
      <x:c r="J1516" s="49" t="n">
        <x:v>216</x:v>
      </x:c>
      <x:c r="K1516" s="47" t="n">
        <x:v>-15043</x:v>
      </x:c>
      <x:c r="L1516" s="47" t="n">
        <x:v>11535.5</x:v>
      </x:c>
      <x:c r="M1516" s="48" t="n">
        <x:v>2.983333333333333</x:v>
      </x:c>
      <x:c r="N1516" s="48" t="n">
        <x:v>521.35</x:v>
      </x:c>
      <x:c r="O1516" s="49" t="n">
        <x:v>7</x:v>
      </x:c>
      <x:c r="P1516" s="1" t="str">
        <x:v>基準併用：短期二市場の合議・広め</x:v>
      </x:c>
      <x:c r="Q1516" s="49" t="n">
        <x:v>0</x:v>
      </x:c>
      <x:c r="R1516" s="50" t="n">
        <x:v>0.7955402930402932</x:v>
      </x:c>
      <x:c r="S1516" s="50" t="n">
        <x:v>0.7899242424242425</x:v>
      </x:c>
      <x:c r="T1516" s="1" t="str">
        <x:v>全場</x:v>
      </x:c>
      <x:c r="U1516" s="49" t="n">
        <x:v>3</x:v>
      </x:c>
    </x:row>
    <x:row r="1517" ht="22" customHeight="1">
      <x:c r="A1517" s="1" t="str">
        <x:v>TOPIXmini</x:v>
      </x:c>
      <x:c r="B1517" s="1" t="str">
        <x:v>K02</x:v>
      </x:c>
      <x:c r="C1517" s="1" t="str">
        <x:v>診断3場</x:v>
      </x:c>
      <x:c r="D1517" s="47" t="n">
        <x:v>342936</x:v>
      </x:c>
      <x:c r="E1517" s="47" t="n">
        <x:v>350964</x:v>
      </x:c>
      <x:c r="F1517" s="47" t="n">
        <x:f>D1517-E1517</x:f>
        <x:v>-8028</x:v>
      </x:c>
      <x:c r="G1517" s="49" t="n">
        <x:v>0</x:v>
      </x:c>
      <x:c r="H1517" s="49" t="n">
        <x:v>1</x:v>
      </x:c>
      <x:c r="I1517" s="47" t="n">
        <x:v>-8028</x:v>
      </x:c>
      <x:c r="J1517" s="49" t="n">
        <x:v>84</x:v>
      </x:c>
      <x:c r="K1517" s="47" t="n">
        <x:v>-8028</x:v>
      </x:c>
      <x:c r="L1517" s="47" t="n">
        <x:v>8028</x:v>
      </x:c>
      <x:c r="M1517" s="48" t="n">
        <x:v>2.716666666666667</x:v>
      </x:c>
      <x:c r="N1517" s="48" t="n">
        <x:v>347.1</x:v>
      </x:c>
      <x:c r="O1517" s="49" t="n">
        <x:v>7</x:v>
      </x:c>
      <x:c r="P1517" s="1" t="str">
        <x:v>基準併用：短期二市場の合議・広め</x:v>
      </x:c>
      <x:c r="Q1517" s="49" t="n">
        <x:v>0</x:v>
      </x:c>
      <x:c r="R1517" s="50" t="n">
        <x:v>0.8264285714285714</x:v>
      </x:c>
      <x:c r="S1517" s="50" t="n">
        <x:v>0.8264285714285715</x:v>
      </x:c>
      <x:c r="T1517" s="1" t="str">
        <x:v>デイ</x:v>
      </x:c>
      <x:c r="U1517" s="49" t="n">
        <x:v>1</x:v>
      </x:c>
    </x:row>
    <x:row r="1518" ht="22" customHeight="1">
      <x:c r="A1518" s="1" t="str">
        <x:v>TOPIXmini</x:v>
      </x:c>
      <x:c r="B1518" s="1" t="str">
        <x:v>K02</x:v>
      </x:c>
      <x:c r="C1518" s="1" t="str">
        <x:v>診断3場</x:v>
      </x:c>
      <x:c r="D1518" s="47" t="n">
        <x:v>410697</x:v>
      </x:c>
      <x:c r="E1518" s="47" t="n">
        <x:v>380618</x:v>
      </x:c>
      <x:c r="F1518" s="47" t="n">
        <x:f>D1518-E1518</x:f>
        <x:v>30079</x:v>
      </x:c>
      <x:c r="G1518" s="49" t="n">
        <x:v>1</x:v>
      </x:c>
      <x:c r="H1518" s="49" t="n">
        <x:v>1</x:v>
      </x:c>
      <x:c r="I1518" s="47" t="n">
        <x:v>-15043</x:v>
      </x:c>
      <x:c r="J1518" s="49" t="n">
        <x:v>132</x:v>
      </x:c>
      <x:c r="K1518" s="47" t="n">
        <x:v>-15043</x:v>
      </x:c>
      <x:c r="L1518" s="47" t="n">
        <x:v>15043</x:v>
      </x:c>
      <x:c r="M1518" s="48" t="n">
        <x:v>3.1166666666666667</x:v>
      </x:c>
      <x:c r="N1518" s="48" t="n">
        <x:v>608.475</x:v>
      </x:c>
      <x:c r="O1518" s="49" t="n">
        <x:v>7</x:v>
      </x:c>
      <x:c r="P1518" s="1" t="str">
        <x:v>基準併用：短期二市場の合議・広め</x:v>
      </x:c>
      <x:c r="Q1518" s="49" t="n">
        <x:v>0</x:v>
      </x:c>
      <x:c r="R1518" s="50" t="n">
        <x:v>0.7800961538461539</x:v>
      </x:c>
      <x:c r="S1518" s="50" t="n">
        <x:v>0.7800961538461538</x:v>
      </x:c>
      <x:c r="T1518" s="1" t="str">
        <x:v>ナイト</x:v>
      </x:c>
      <x:c r="U1518" s="49" t="n">
        <x:v>2</x:v>
      </x:c>
    </x:row>
    <x:row r="1519" ht="22" customHeight="1">
      <x:c r="A1519" s="1" t="str">
        <x:v>TOPIXmini</x:v>
      </x:c>
      <x:c r="B1519" s="1" t="str">
        <x:v>K02</x:v>
      </x:c>
      <x:c r="C1519" s="1" t="str">
        <x:v>診断3場</x:v>
      </x:c>
      <x:c r="D1519" s="47" t="n">
        <x:v>170264</x:v>
      </x:c>
      <x:c r="E1519" s="47" t="n">
        <x:v>185307</x:v>
      </x:c>
      <x:c r="F1519" s="47" t="n">
        <x:f>D1519-E1519</x:f>
        <x:v>-15043</x:v>
      </x:c>
      <x:c r="G1519" s="49" t="n">
        <x:v>0</x:v>
      </x:c>
      <x:c r="H1519" s="49" t="n">
        <x:v>1</x:v>
      </x:c>
      <x:c r="I1519" s="47" t="n">
        <x:v>-15043</x:v>
      </x:c>
      <x:c r="J1519" s="49" t="n">
        <x:v>62</x:v>
      </x:c>
      <x:c r="K1519" s="47" t="n">
        <x:v>-15043</x:v>
      </x:c>
      <x:c r="L1519" s="47" t="n">
        <x:v>15043</x:v>
      </x:c>
      <x:c r="M1519" s="48" t="n">
        <x:v>2.2333333333333334</x:v>
      </x:c>
      <x:c r="N1519" s="48" t="n">
        <x:v>630.7333333333333</x:v>
      </x:c>
      <x:c r="O1519" s="49" t="n">
        <x:v>7</x:v>
      </x:c>
      <x:c r="P1519" s="1" t="str">
        <x:v>基準併用：短期二市場の合議・広め</x:v>
      </x:c>
      <x:c r="Q1519" s="49" t="n">
        <x:v>0</x:v>
      </x:c>
      <x:c r="R1519" s="50" t="n">
        <x:v>0.8086324786324787</x:v>
      </x:c>
      <x:c r="S1519" s="50" t="n">
        <x:v>0.8086324786324787</x:v>
      </x:c>
      <x:c r="T1519" s="1" t="str">
        <x:v>上昇</x:v>
      </x:c>
      <x:c r="U1519" s="49" t="n">
        <x:v>1</x:v>
      </x:c>
    </x:row>
    <x:row r="1520" ht="22" customHeight="1">
      <x:c r="A1520" s="1" t="str">
        <x:v>TOPIXmini</x:v>
      </x:c>
      <x:c r="B1520" s="1" t="str">
        <x:v>K02</x:v>
      </x:c>
      <x:c r="C1520" s="1" t="str">
        <x:v>診断3場</x:v>
      </x:c>
      <x:c r="D1520" s="47" t="n">
        <x:v>583369</x:v>
      </x:c>
      <x:c r="E1520" s="47" t="n">
        <x:v>546275</x:v>
      </x:c>
      <x:c r="F1520" s="47" t="n">
        <x:f>D1520-E1520</x:f>
        <x:v>37094</x:v>
      </x:c>
      <x:c r="G1520" s="49" t="n">
        <x:v>1</x:v>
      </x:c>
      <x:c r="H1520" s="49" t="n">
        <x:v>1</x:v>
      </x:c>
      <x:c r="I1520" s="47" t="n">
        <x:v>-8028</x:v>
      </x:c>
      <x:c r="J1520" s="49" t="n">
        <x:v>154</x:v>
      </x:c>
      <x:c r="K1520" s="47" t="n">
        <x:v>-8028</x:v>
      </x:c>
      <x:c r="L1520" s="47" t="n">
        <x:v>8028</x:v>
      </x:c>
      <x:c r="M1520" s="48" t="n">
        <x:v>3.3583333333333334</x:v>
      </x:c>
      <x:c r="N1520" s="48" t="n">
        <x:v>466.65833333333336</x:v>
      </x:c>
      <x:c r="O1520" s="49" t="n">
        <x:v>7</x:v>
      </x:c>
      <x:c r="P1520" s="1" t="str">
        <x:v>基準併用：短期二市場の合議・広め</x:v>
      </x:c>
      <x:c r="Q1520" s="49" t="n">
        <x:v>0</x:v>
      </x:c>
      <x:c r="R1520" s="50" t="n">
        <x:v>0.7889942002442003</x:v>
      </x:c>
      <x:c r="S1520" s="50" t="n">
        <x:v>0.7777638888888889</x:v>
      </x:c>
      <x:c r="T1520" s="1" t="str">
        <x:v>下落</x:v>
      </x:c>
      <x:c r="U1520" s="49" t="n">
        <x:v>2</x:v>
      </x:c>
    </x:row>
    <x:row r="1521" ht="22" customHeight="1">
      <x:c r="A1521" s="1" t="str">
        <x:v>TOPIXmini</x:v>
      </x:c>
      <x:c r="B1521" s="1" t="str">
        <x:v>K03</x:v>
      </x:c>
      <x:c r="C1521" s="1" t="str">
        <x:v>全50場</x:v>
      </x:c>
      <x:c r="D1521" s="47" t="n">
        <x:v>7108122</x:v>
      </x:c>
      <x:c r="E1521" s="47" t="n">
        <x:v>9523860</x:v>
      </x:c>
      <x:c r="F1521" s="47" t="n">
        <x:f>D1521-E1521</x:f>
        <x:v>-2415738</x:v>
      </x:c>
      <x:c r="G1521" s="49" t="n">
        <x:v>18</x:v>
      </x:c>
      <x:c r="H1521" s="49" t="n">
        <x:v>32</x:v>
      </x:c>
      <x:c r="I1521" s="47" t="n">
        <x:v>-2628064</x:v>
      </x:c>
      <x:c r="J1521" s="49" t="n">
        <x:v>2286</x:v>
      </x:c>
      <x:c r="K1521" s="47" t="n">
        <x:v>-186301</x:v>
      </x:c>
      <x:c r="L1521" s="47" t="n">
        <x:v>91972.46875</x:v>
      </x:c>
      <x:c r="M1521" s="48" t="n">
        <x:v>5.403666666666667</x:v>
      </x:c>
      <x:c r="N1521" s="48" t="n">
        <x:v>446.94433333333325</x:v>
      </x:c>
      <x:c r="O1521" s="49" t="n">
        <x:v>7</x:v>
      </x:c>
      <x:c r="P1521" s="1" t="str">
        <x:v>基準併用：中期支持中は短期逆行を保持・標準</x:v>
      </x:c>
      <x:c r="Q1521" s="49" t="n">
        <x:v>0</x:v>
      </x:c>
      <x:c r="R1521" s="50" t="n">
        <x:v>0.7677066544566543</x:v>
      </x:c>
      <x:c r="S1521" s="50" t="n">
        <x:v>0.7449072222222223</x:v>
      </x:c>
      <x:c r="T1521" s="1" t="str">
        <x:v>全場</x:v>
      </x:c>
      <x:c r="U1521" s="49" t="n">
        <x:v>50</x:v>
      </x:c>
    </x:row>
    <x:row r="1522" ht="22" customHeight="1">
      <x:c r="A1522" s="1" t="str">
        <x:v>TOPIXmini</x:v>
      </x:c>
      <x:c r="B1522" s="1" t="str">
        <x:v>K03</x:v>
      </x:c>
      <x:c r="C1522" s="1" t="str">
        <x:v>全50場</x:v>
      </x:c>
      <x:c r="D1522" s="47" t="n">
        <x:v>3635708</x:v>
      </x:c>
      <x:c r="E1522" s="47" t="n">
        <x:v>4998398</x:v>
      </x:c>
      <x:c r="F1522" s="47" t="n">
        <x:f>D1522-E1522</x:f>
        <x:v>-1362690</x:v>
      </x:c>
      <x:c r="G1522" s="49" t="n">
        <x:v>11</x:v>
      </x:c>
      <x:c r="H1522" s="49" t="n">
        <x:v>14</x:v>
      </x:c>
      <x:c r="I1522" s="47" t="n">
        <x:v>-1575016</x:v>
      </x:c>
      <x:c r="J1522" s="49" t="n">
        <x:v>1184</x:v>
      </x:c>
      <x:c r="K1522" s="47" t="n">
        <x:v>-186301</x:v>
      </x:c>
      <x:c r="L1522" s="47" t="n">
        <x:v>123374.57142857143</x:v>
      </x:c>
      <x:c r="M1522" s="48" t="n">
        <x:v>4.675333333333333</x:v>
      </x:c>
      <x:c r="N1522" s="48" t="n">
        <x:v>354.356</x:v>
      </x:c>
      <x:c r="O1522" s="49" t="n">
        <x:v>7</x:v>
      </x:c>
      <x:c r="P1522" s="1" t="str">
        <x:v>基準併用：中期支持中は短期逆行を保持・標準</x:v>
      </x:c>
      <x:c r="Q1522" s="49" t="n">
        <x:v>0</x:v>
      </x:c>
      <x:c r="R1522" s="50" t="n">
        <x:v>0.843704761904762</x:v>
      </x:c>
      <x:c r="S1522" s="50" t="n">
        <x:v>0.8437047619047618</x:v>
      </x:c>
      <x:c r="T1522" s="1" t="str">
        <x:v>デイ</x:v>
      </x:c>
      <x:c r="U1522" s="49" t="n">
        <x:v>25</x:v>
      </x:c>
    </x:row>
    <x:row r="1523" ht="22" customHeight="1">
      <x:c r="A1523" s="1" t="str">
        <x:v>TOPIXmini</x:v>
      </x:c>
      <x:c r="B1523" s="1" t="str">
        <x:v>K03</x:v>
      </x:c>
      <x:c r="C1523" s="1" t="str">
        <x:v>全50場</x:v>
      </x:c>
      <x:c r="D1523" s="47" t="n">
        <x:v>3472414</x:v>
      </x:c>
      <x:c r="E1523" s="47" t="n">
        <x:v>4525462</x:v>
      </x:c>
      <x:c r="F1523" s="47" t="n">
        <x:f>D1523-E1523</x:f>
        <x:v>-1053048</x:v>
      </x:c>
      <x:c r="G1523" s="49" t="n">
        <x:v>7</x:v>
      </x:c>
      <x:c r="H1523" s="49" t="n">
        <x:v>18</x:v>
      </x:c>
      <x:c r="I1523" s="47" t="n">
        <x:v>-1170374</x:v>
      </x:c>
      <x:c r="J1523" s="49" t="n">
        <x:v>1102</x:v>
      </x:c>
      <x:c r="K1523" s="47" t="n">
        <x:v>-153051</x:v>
      </x:c>
      <x:c r="L1523" s="47" t="n">
        <x:v>67548.61111111111</x:v>
      </x:c>
      <x:c r="M1523" s="48" t="n">
        <x:v>6.132</x:v>
      </x:c>
      <x:c r="N1523" s="48" t="n">
        <x:v>539.5326666666667</x:v>
      </x:c>
      <x:c r="O1523" s="49" t="n">
        <x:v>7</x:v>
      </x:c>
      <x:c r="P1523" s="1" t="str">
        <x:v>基準併用：中期支持中は短期逆行を保持・標準</x:v>
      </x:c>
      <x:c r="Q1523" s="49" t="n">
        <x:v>0</x:v>
      </x:c>
      <x:c r="R1523" s="50" t="n">
        <x:v>0.691708547008547</x:v>
      </x:c>
      <x:c r="S1523" s="50" t="n">
        <x:v>0.691708547008547</x:v>
      </x:c>
      <x:c r="T1523" s="1" t="str">
        <x:v>ナイト</x:v>
      </x:c>
      <x:c r="U1523" s="49" t="n">
        <x:v>25</x:v>
      </x:c>
    </x:row>
    <x:row r="1524" ht="22" customHeight="1">
      <x:c r="A1524" s="1" t="str">
        <x:v>TOPIXmini</x:v>
      </x:c>
      <x:c r="B1524" s="1" t="str">
        <x:v>K03</x:v>
      </x:c>
      <x:c r="C1524" s="1" t="str">
        <x:v>全50場</x:v>
      </x:c>
      <x:c r="D1524" s="47" t="n">
        <x:v>3183600</x:v>
      </x:c>
      <x:c r="E1524" s="47" t="n">
        <x:v>4690555</x:v>
      </x:c>
      <x:c r="F1524" s="47" t="n">
        <x:f>D1524-E1524</x:f>
        <x:v>-1506955</x:v>
      </x:c>
      <x:c r="G1524" s="49" t="n">
        <x:v>7</x:v>
      </x:c>
      <x:c r="H1524" s="49" t="n">
        <x:v>18</x:v>
      </x:c>
      <x:c r="I1524" s="47" t="n">
        <x:v>-1604870</x:v>
      </x:c>
      <x:c r="J1524" s="49" t="n">
        <x:v>1076</x:v>
      </x:c>
      <x:c r="K1524" s="47" t="n">
        <x:v>-145882</x:v>
      </x:c>
      <x:c r="L1524" s="47" t="n">
        <x:v>91811.83333333333</x:v>
      </x:c>
      <x:c r="M1524" s="48" t="n">
        <x:v>4.252666666666667</x:v>
      </x:c>
      <x:c r="N1524" s="48" t="n">
        <x:v>443.31333333333333</x:v>
      </x:c>
      <x:c r="O1524" s="49" t="n">
        <x:v>7</x:v>
      </x:c>
      <x:c r="P1524" s="1" t="str">
        <x:v>基準併用：中期支持中は短期逆行を保持・標準</x:v>
      </x:c>
      <x:c r="Q1524" s="49" t="n">
        <x:v>0</x:v>
      </x:c>
      <x:c r="R1524" s="50" t="n">
        <x:v>0.7519885225885226</x:v>
      </x:c>
      <x:c r="S1524" s="50" t="n">
        <x:v>0.7300944224857269</x:v>
      </x:c>
      <x:c r="T1524" s="1" t="str">
        <x:v>上昇</x:v>
      </x:c>
      <x:c r="U1524" s="49" t="n">
        <x:v>25</x:v>
      </x:c>
    </x:row>
    <x:row r="1525" ht="22" customHeight="1">
      <x:c r="A1525" s="1" t="str">
        <x:v>TOPIXmini</x:v>
      </x:c>
      <x:c r="B1525" s="1" t="str">
        <x:v>K03</x:v>
      </x:c>
      <x:c r="C1525" s="1" t="str">
        <x:v>全50場</x:v>
      </x:c>
      <x:c r="D1525" s="47" t="n">
        <x:v>3924522</x:v>
      </x:c>
      <x:c r="E1525" s="47" t="n">
        <x:v>4833305</x:v>
      </x:c>
      <x:c r="F1525" s="47" t="n">
        <x:f>D1525-E1525</x:f>
        <x:v>-908783</x:v>
      </x:c>
      <x:c r="G1525" s="49" t="n">
        <x:v>11</x:v>
      </x:c>
      <x:c r="H1525" s="49" t="n">
        <x:v>14</x:v>
      </x:c>
      <x:c r="I1525" s="47" t="n">
        <x:v>-1121109</x:v>
      </x:c>
      <x:c r="J1525" s="49" t="n">
        <x:v>1210</x:v>
      </x:c>
      <x:c r="K1525" s="47" t="n">
        <x:v>-186301</x:v>
      </x:c>
      <x:c r="L1525" s="47" t="n">
        <x:v>92179</x:v>
      </x:c>
      <x:c r="M1525" s="48" t="n">
        <x:v>6.554666666666667</x:v>
      </x:c>
      <x:c r="N1525" s="48" t="n">
        <x:v>450.57533333333333</x:v>
      </x:c>
      <x:c r="O1525" s="49" t="n">
        <x:v>7</x:v>
      </x:c>
      <x:c r="P1525" s="1" t="str">
        <x:v>基準併用：中期支持中は短期逆行を保持・標準</x:v>
      </x:c>
      <x:c r="Q1525" s="49" t="n">
        <x:v>0</x:v>
      </x:c>
      <x:c r="R1525" s="50" t="n">
        <x:v>0.7834247863247863</x:v>
      </x:c>
      <x:c r="S1525" s="50" t="n">
        <x:v>0.7600798470535313</x:v>
      </x:c>
      <x:c r="T1525" s="1" t="str">
        <x:v>下落</x:v>
      </x:c>
      <x:c r="U1525" s="49" t="n">
        <x:v>25</x:v>
      </x:c>
    </x:row>
    <x:row r="1526" ht="22" customHeight="1">
      <x:c r="A1526" s="1" t="str">
        <x:v>TOPIXmini</x:v>
      </x:c>
      <x:c r="B1526" s="1" t="str">
        <x:v>K03</x:v>
      </x:c>
      <x:c r="C1526" s="1" t="str">
        <x:v>対照47場</x:v>
      </x:c>
      <x:c r="D1526" s="47" t="n">
        <x:v>6408667</x:v>
      </x:c>
      <x:c r="E1526" s="47" t="n">
        <x:v>8743270</x:v>
      </x:c>
      <x:c r="F1526" s="47" t="n">
        <x:f>D1526-E1526</x:f>
        <x:v>-2334603</x:v>
      </x:c>
      <x:c r="G1526" s="49" t="n">
        <x:v>17</x:v>
      </x:c>
      <x:c r="H1526" s="49" t="n">
        <x:v>30</x:v>
      </x:c>
      <x:c r="I1526" s="47" t="n">
        <x:v>-2546929</x:v>
      </x:c>
      <x:c r="J1526" s="49" t="n">
        <x:v>2099</x:v>
      </x:c>
      <x:c r="K1526" s="47" t="n">
        <x:v>-186301</x:v>
      </x:c>
      <x:c r="L1526" s="47" t="n">
        <x:v>95106.6</x:v>
      </x:c>
      <x:c r="M1526" s="48" t="n">
        <x:v>5.558156028368795</x:v>
      </x:c>
      <x:c r="N1526" s="48" t="n">
        <x:v>442.8978723404255</x:v>
      </x:c>
      <x:c r="O1526" s="49" t="n">
        <x:v>7</x:v>
      </x:c>
      <x:c r="P1526" s="1" t="str">
        <x:v>基準併用：中期支持中は短期逆行を保持・標準</x:v>
      </x:c>
      <x:c r="Q1526" s="49" t="n">
        <x:v>0</x:v>
      </x:c>
      <x:c r="R1526" s="50" t="n">
        <x:v>0.7664055802353678</x:v>
      </x:c>
      <x:c r="S1526" s="50" t="n">
        <x:v>0.7429050678087081</x:v>
      </x:c>
      <x:c r="T1526" s="1" t="str">
        <x:v>全場</x:v>
      </x:c>
      <x:c r="U1526" s="49" t="n">
        <x:v>47</x:v>
      </x:c>
    </x:row>
    <x:row r="1527" ht="22" customHeight="1">
      <x:c r="A1527" s="1" t="str">
        <x:v>TOPIXmini</x:v>
      </x:c>
      <x:c r="B1527" s="1" t="str">
        <x:v>K03</x:v>
      </x:c>
      <x:c r="C1527" s="1" t="str">
        <x:v>対照47場</x:v>
      </x:c>
      <x:c r="D1527" s="47" t="n">
        <x:v>3338108</x:v>
      </x:c>
      <x:c r="E1527" s="47" t="n">
        <x:v>4647592</x:v>
      </x:c>
      <x:c r="F1527" s="47" t="n">
        <x:f>D1527-E1527</x:f>
        <x:v>-1309484</x:v>
      </x:c>
      <x:c r="G1527" s="49" t="n">
        <x:v>11</x:v>
      </x:c>
      <x:c r="H1527" s="49" t="n">
        <x:v>13</x:v>
      </x:c>
      <x:c r="I1527" s="47" t="n">
        <x:v>-1521810</x:v>
      </x:c>
      <x:c r="J1527" s="49" t="n">
        <x:v>1117</x:v>
      </x:c>
      <x:c r="K1527" s="47" t="n">
        <x:v>-186301</x:v>
      </x:c>
      <x:c r="L1527" s="47" t="n">
        <x:v>128772.15384615384</x:v>
      </x:c>
      <x:c r="M1527" s="48" t="n">
        <x:v>4.756944444444444</x:v>
      </x:c>
      <x:c r="N1527" s="48" t="n">
        <x:v>353.90000000000003</x:v>
      </x:c>
      <x:c r="O1527" s="49" t="n">
        <x:v>7</x:v>
      </x:c>
      <x:c r="P1527" s="1" t="str">
        <x:v>基準併用：中期支持中は短期逆行を保持・標準</x:v>
      </x:c>
      <x:c r="Q1527" s="49" t="n">
        <x:v>0</x:v>
      </x:c>
      <x:c r="R1527" s="50" t="n">
        <x:v>0.8426190476190477</x:v>
      </x:c>
      <x:c r="S1527" s="50" t="n">
        <x:v>0.8426190476190476</x:v>
      </x:c>
      <x:c r="T1527" s="1" t="str">
        <x:v>デイ</x:v>
      </x:c>
      <x:c r="U1527" s="49" t="n">
        <x:v>24</x:v>
      </x:c>
    </x:row>
    <x:row r="1528" ht="22" customHeight="1">
      <x:c r="A1528" s="1" t="str">
        <x:v>TOPIXmini</x:v>
      </x:c>
      <x:c r="B1528" s="1" t="str">
        <x:v>K03</x:v>
      </x:c>
      <x:c r="C1528" s="1" t="str">
        <x:v>対照47場</x:v>
      </x:c>
      <x:c r="D1528" s="47" t="n">
        <x:v>3070559</x:v>
      </x:c>
      <x:c r="E1528" s="47" t="n">
        <x:v>4095678</x:v>
      </x:c>
      <x:c r="F1528" s="47" t="n">
        <x:f>D1528-E1528</x:f>
        <x:v>-1025119</x:v>
      </x:c>
      <x:c r="G1528" s="49" t="n">
        <x:v>6</x:v>
      </x:c>
      <x:c r="H1528" s="49" t="n">
        <x:v>17</x:v>
      </x:c>
      <x:c r="I1528" s="47" t="n">
        <x:v>-1142445</x:v>
      </x:c>
      <x:c r="J1528" s="49" t="n">
        <x:v>982</x:v>
      </x:c>
      <x:c r="K1528" s="47" t="n">
        <x:v>-153051</x:v>
      </x:c>
      <x:c r="L1528" s="47" t="n">
        <x:v>69362.35294117648</x:v>
      </x:c>
      <x:c r="M1528" s="48" t="n">
        <x:v>6.394202898550725</x:v>
      </x:c>
      <x:c r="N1528" s="48" t="n">
        <x:v>535.7652173913044</x:v>
      </x:c>
      <x:c r="O1528" s="49" t="n">
        <x:v>7</x:v>
      </x:c>
      <x:c r="P1528" s="1" t="str">
        <x:v>基準併用：中期支持中は短期逆行を保持・標準</x:v>
      </x:c>
      <x:c r="Q1528" s="49" t="n">
        <x:v>0</x:v>
      </x:c>
      <x:c r="R1528" s="50" t="n">
        <x:v>0.6868784838350056</x:v>
      </x:c>
      <x:c r="S1528" s="50" t="n">
        <x:v>0.6868784838350056</x:v>
      </x:c>
      <x:c r="T1528" s="1" t="str">
        <x:v>ナイト</x:v>
      </x:c>
      <x:c r="U1528" s="49" t="n">
        <x:v>23</x:v>
      </x:c>
    </x:row>
    <x:row r="1529" ht="22" customHeight="1">
      <x:c r="A1529" s="1" t="str">
        <x:v>TOPIXmini</x:v>
      </x:c>
      <x:c r="B1529" s="1" t="str">
        <x:v>K03</x:v>
      </x:c>
      <x:c r="C1529" s="1" t="str">
        <x:v>対照47場</x:v>
      </x:c>
      <x:c r="D1529" s="47" t="n">
        <x:v>3002174</x:v>
      </x:c>
      <x:c r="E1529" s="47" t="n">
        <x:v>4472414</x:v>
      </x:c>
      <x:c r="F1529" s="47" t="n">
        <x:f>D1529-E1529</x:f>
        <x:v>-1470240</x:v>
      </x:c>
      <x:c r="G1529" s="49" t="n">
        <x:v>7</x:v>
      </x:c>
      <x:c r="H1529" s="49" t="n">
        <x:v>17</x:v>
      </x:c>
      <x:c r="I1529" s="47" t="n">
        <x:v>-1568155</x:v>
      </x:c>
      <x:c r="J1529" s="49" t="n">
        <x:v>1022</x:v>
      </x:c>
      <x:c r="K1529" s="47" t="n">
        <x:v>-145882</x:v>
      </x:c>
      <x:c r="L1529" s="47" t="n">
        <x:v>95052.82352941176</x:v>
      </x:c>
      <x:c r="M1529" s="48" t="n">
        <x:v>4.336805555555556</x:v>
      </x:c>
      <x:c r="N1529" s="48" t="n">
        <x:v>438.4777777777778</x:v>
      </x:c>
      <x:c r="O1529" s="49" t="n">
        <x:v>7</x:v>
      </x:c>
      <x:c r="P1529" s="1" t="str">
        <x:v>基準併用：中期支持中は短期逆行を保持・標準</x:v>
      </x:c>
      <x:c r="Q1529" s="49" t="n">
        <x:v>0</x:v>
      </x:c>
      <x:c r="R1529" s="50" t="n">
        <x:v>0.7534406796906796</x:v>
      </x:c>
      <x:c r="S1529" s="50" t="n">
        <x:v>0.7307962962962963</x:v>
      </x:c>
      <x:c r="T1529" s="1" t="str">
        <x:v>上昇</x:v>
      </x:c>
      <x:c r="U1529" s="49" t="n">
        <x:v>24</x:v>
      </x:c>
    </x:row>
    <x:row r="1530" ht="22" customHeight="1">
      <x:c r="A1530" s="1" t="str">
        <x:v>TOPIXmini</x:v>
      </x:c>
      <x:c r="B1530" s="1" t="str">
        <x:v>K03</x:v>
      </x:c>
      <x:c r="C1530" s="1" t="str">
        <x:v>対照47場</x:v>
      </x:c>
      <x:c r="D1530" s="47" t="n">
        <x:v>3406493</x:v>
      </x:c>
      <x:c r="E1530" s="47" t="n">
        <x:v>4270856</x:v>
      </x:c>
      <x:c r="F1530" s="47" t="n">
        <x:f>D1530-E1530</x:f>
        <x:v>-864363</x:v>
      </x:c>
      <x:c r="G1530" s="49" t="n">
        <x:v>10</x:v>
      </x:c>
      <x:c r="H1530" s="49" t="n">
        <x:v>13</x:v>
      </x:c>
      <x:c r="I1530" s="47" t="n">
        <x:v>-1076689</x:v>
      </x:c>
      <x:c r="J1530" s="49" t="n">
        <x:v>1077</x:v>
      </x:c>
      <x:c r="K1530" s="47" t="n">
        <x:v>-186301</x:v>
      </x:c>
      <x:c r="L1530" s="47" t="n">
        <x:v>95176.92307692308</x:v>
      </x:c>
      <x:c r="M1530" s="48" t="n">
        <x:v>6.832608695652173</x:v>
      </x:c>
      <x:c r="N1530" s="48" t="n">
        <x:v>447.51014492753626</x:v>
      </x:c>
      <x:c r="O1530" s="49" t="n">
        <x:v>7</x:v>
      </x:c>
      <x:c r="P1530" s="1" t="str">
        <x:v>基準併用：中期支持中は短期逆行を保持・標準</x:v>
      </x:c>
      <x:c r="Q1530" s="49" t="n">
        <x:v>0</x:v>
      </x:c>
      <x:c r="R1530" s="50" t="n">
        <x:v>0.779934172108085</x:v>
      </x:c>
      <x:c r="S1530" s="50" t="n">
        <x:v>0.75570729319628</x:v>
      </x:c>
      <x:c r="T1530" s="1" t="str">
        <x:v>下落</x:v>
      </x:c>
      <x:c r="U1530" s="49" t="n">
        <x:v>23</x:v>
      </x:c>
    </x:row>
    <x:row r="1531" ht="22" customHeight="1">
      <x:c r="A1531" s="1" t="str">
        <x:v>TOPIXmini</x:v>
      </x:c>
      <x:c r="B1531" s="1" t="str">
        <x:v>K03</x:v>
      </x:c>
      <x:c r="C1531" s="1" t="str">
        <x:v>診断3場</x:v>
      </x:c>
      <x:c r="D1531" s="47" t="n">
        <x:v>699455</x:v>
      </x:c>
      <x:c r="E1531" s="47" t="n">
        <x:v>780590</x:v>
      </x:c>
      <x:c r="F1531" s="47" t="n">
        <x:f>D1531-E1531</x:f>
        <x:v>-81135</x:v>
      </x:c>
      <x:c r="G1531" s="49" t="n">
        <x:v>1</x:v>
      </x:c>
      <x:c r="H1531" s="49" t="n">
        <x:v>2</x:v>
      </x:c>
      <x:c r="I1531" s="47" t="n">
        <x:v>-89921</x:v>
      </x:c>
      <x:c r="J1531" s="49" t="n">
        <x:v>187</x:v>
      </x:c>
      <x:c r="K1531" s="47" t="n">
        <x:v>-53206</x:v>
      </x:c>
      <x:c r="L1531" s="47" t="n">
        <x:v>44960.5</x:v>
      </x:c>
      <x:c r="M1531" s="48" t="n">
        <x:v>2.983333333333333</x:v>
      </x:c>
      <x:c r="N1531" s="48" t="n">
        <x:v>510.33888888888896</x:v>
      </x:c>
      <x:c r="O1531" s="49" t="n">
        <x:v>7</x:v>
      </x:c>
      <x:c r="P1531" s="1" t="str">
        <x:v>基準併用：中期支持中は短期逆行を保持・標準</x:v>
      </x:c>
      <x:c r="Q1531" s="49" t="n">
        <x:v>0</x:v>
      </x:c>
      <x:c r="R1531" s="50" t="n">
        <x:v>0.7880901505901505</x:v>
      </x:c>
      <x:c r="S1531" s="50" t="n">
        <x:v>0.7732407407407408</x:v>
      </x:c>
      <x:c r="T1531" s="1" t="str">
        <x:v>全場</x:v>
      </x:c>
      <x:c r="U1531" s="49" t="n">
        <x:v>3</x:v>
      </x:c>
    </x:row>
    <x:row r="1532" ht="22" customHeight="1">
      <x:c r="A1532" s="1" t="str">
        <x:v>TOPIXmini</x:v>
      </x:c>
      <x:c r="B1532" s="1" t="str">
        <x:v>K03</x:v>
      </x:c>
      <x:c r="C1532" s="1" t="str">
        <x:v>診断3場</x:v>
      </x:c>
      <x:c r="D1532" s="47" t="n">
        <x:v>297600</x:v>
      </x:c>
      <x:c r="E1532" s="47" t="n">
        <x:v>350806</x:v>
      </x:c>
      <x:c r="F1532" s="47" t="n">
        <x:f>D1532-E1532</x:f>
        <x:v>-53206</x:v>
      </x:c>
      <x:c r="G1532" s="49" t="n">
        <x:v>0</x:v>
      </x:c>
      <x:c r="H1532" s="49" t="n">
        <x:v>1</x:v>
      </x:c>
      <x:c r="I1532" s="47" t="n">
        <x:v>-53206</x:v>
      </x:c>
      <x:c r="J1532" s="49" t="n">
        <x:v>67</x:v>
      </x:c>
      <x:c r="K1532" s="47" t="n">
        <x:v>-53206</x:v>
      </x:c>
      <x:c r="L1532" s="47" t="n">
        <x:v>53206</x:v>
      </x:c>
      <x:c r="M1532" s="48" t="n">
        <x:v>2.716666666666667</x:v>
      </x:c>
      <x:c r="N1532" s="48" t="n">
        <x:v>365.3</x:v>
      </x:c>
      <x:c r="O1532" s="49" t="n">
        <x:v>7</x:v>
      </x:c>
      <x:c r="P1532" s="1" t="str">
        <x:v>基準併用：中期支持中は短期逆行を保持・標準</x:v>
      </x:c>
      <x:c r="Q1532" s="49" t="n">
        <x:v>0</x:v>
      </x:c>
      <x:c r="R1532" s="50" t="n">
        <x:v>0.8697619047619047</x:v>
      </x:c>
      <x:c r="S1532" s="50" t="n">
        <x:v>0.8697619047619047</x:v>
      </x:c>
      <x:c r="T1532" s="1" t="str">
        <x:v>デイ</x:v>
      </x:c>
      <x:c r="U1532" s="49" t="n">
        <x:v>1</x:v>
      </x:c>
    </x:row>
    <x:row r="1533" ht="22" customHeight="1">
      <x:c r="A1533" s="1" t="str">
        <x:v>TOPIXmini</x:v>
      </x:c>
      <x:c r="B1533" s="1" t="str">
        <x:v>K03</x:v>
      </x:c>
      <x:c r="C1533" s="1" t="str">
        <x:v>診断3場</x:v>
      </x:c>
      <x:c r="D1533" s="47" t="n">
        <x:v>401855</x:v>
      </x:c>
      <x:c r="E1533" s="47" t="n">
        <x:v>429784</x:v>
      </x:c>
      <x:c r="F1533" s="47" t="n">
        <x:f>D1533-E1533</x:f>
        <x:v>-27929</x:v>
      </x:c>
      <x:c r="G1533" s="49" t="n">
        <x:v>1</x:v>
      </x:c>
      <x:c r="H1533" s="49" t="n">
        <x:v>1</x:v>
      </x:c>
      <x:c r="I1533" s="47" t="n">
        <x:v>-36715</x:v>
      </x:c>
      <x:c r="J1533" s="49" t="n">
        <x:v>120</x:v>
      </x:c>
      <x:c r="K1533" s="47" t="n">
        <x:v>-36715</x:v>
      </x:c>
      <x:c r="L1533" s="47" t="n">
        <x:v>36715</x:v>
      </x:c>
      <x:c r="M1533" s="48" t="n">
        <x:v>3.1166666666666667</x:v>
      </x:c>
      <x:c r="N1533" s="48" t="n">
        <x:v>582.8583333333333</x:v>
      </x:c>
      <x:c r="O1533" s="49" t="n">
        <x:v>7</x:v>
      </x:c>
      <x:c r="P1533" s="1" t="str">
        <x:v>基準併用：中期支持中は短期逆行を保持・標準</x:v>
      </x:c>
      <x:c r="Q1533" s="49" t="n">
        <x:v>0</x:v>
      </x:c>
      <x:c r="R1533" s="50" t="n">
        <x:v>0.7472542735042735</x:v>
      </x:c>
      <x:c r="S1533" s="50" t="n">
        <x:v>0.7472542735042735</x:v>
      </x:c>
      <x:c r="T1533" s="1" t="str">
        <x:v>ナイト</x:v>
      </x:c>
      <x:c r="U1533" s="49" t="n">
        <x:v>2</x:v>
      </x:c>
    </x:row>
    <x:row r="1534" ht="22" customHeight="1">
      <x:c r="A1534" s="1" t="str">
        <x:v>TOPIXmini</x:v>
      </x:c>
      <x:c r="B1534" s="1" t="str">
        <x:v>K03</x:v>
      </x:c>
      <x:c r="C1534" s="1" t="str">
        <x:v>診断3場</x:v>
      </x:c>
      <x:c r="D1534" s="47" t="n">
        <x:v>181426</x:v>
      </x:c>
      <x:c r="E1534" s="47" t="n">
        <x:v>218141</x:v>
      </x:c>
      <x:c r="F1534" s="47" t="n">
        <x:f>D1534-E1534</x:f>
        <x:v>-36715</x:v>
      </x:c>
      <x:c r="G1534" s="49" t="n">
        <x:v>0</x:v>
      </x:c>
      <x:c r="H1534" s="49" t="n">
        <x:v>1</x:v>
      </x:c>
      <x:c r="I1534" s="47" t="n">
        <x:v>-36715</x:v>
      </x:c>
      <x:c r="J1534" s="49" t="n">
        <x:v>54</x:v>
      </x:c>
      <x:c r="K1534" s="47" t="n">
        <x:v>-36715</x:v>
      </x:c>
      <x:c r="L1534" s="47" t="n">
        <x:v>36715</x:v>
      </x:c>
      <x:c r="M1534" s="48" t="n">
        <x:v>2.2333333333333334</x:v>
      </x:c>
      <x:c r="N1534" s="48" t="n">
        <x:v>559.3666666666667</x:v>
      </x:c>
      <x:c r="O1534" s="49" t="n">
        <x:v>7</x:v>
      </x:c>
      <x:c r="P1534" s="1" t="str">
        <x:v>基準併用：中期支持中は短期逆行を保持・標準</x:v>
      </x:c>
      <x:c r="Q1534" s="49" t="n">
        <x:v>0</x:v>
      </x:c>
      <x:c r="R1534" s="50" t="n">
        <x:v>0.7171367521367521</x:v>
      </x:c>
      <x:c r="S1534" s="50" t="n">
        <x:v>0.7171367521367521</x:v>
      </x:c>
      <x:c r="T1534" s="1" t="str">
        <x:v>上昇</x:v>
      </x:c>
      <x:c r="U1534" s="49" t="n">
        <x:v>1</x:v>
      </x:c>
    </x:row>
    <x:row r="1535" ht="22" customHeight="1">
      <x:c r="A1535" s="1" t="str">
        <x:v>TOPIXmini</x:v>
      </x:c>
      <x:c r="B1535" s="1" t="str">
        <x:v>K03</x:v>
      </x:c>
      <x:c r="C1535" s="1" t="str">
        <x:v>診断3場</x:v>
      </x:c>
      <x:c r="D1535" s="47" t="n">
        <x:v>518029</x:v>
      </x:c>
      <x:c r="E1535" s="47" t="n">
        <x:v>562449</x:v>
      </x:c>
      <x:c r="F1535" s="47" t="n">
        <x:f>D1535-E1535</x:f>
        <x:v>-44420</x:v>
      </x:c>
      <x:c r="G1535" s="49" t="n">
        <x:v>1</x:v>
      </x:c>
      <x:c r="H1535" s="49" t="n">
        <x:v>1</x:v>
      </x:c>
      <x:c r="I1535" s="47" t="n">
        <x:v>-53206</x:v>
      </x:c>
      <x:c r="J1535" s="49" t="n">
        <x:v>133</x:v>
      </x:c>
      <x:c r="K1535" s="47" t="n">
        <x:v>-53206</x:v>
      </x:c>
      <x:c r="L1535" s="47" t="n">
        <x:v>53206</x:v>
      </x:c>
      <x:c r="M1535" s="48" t="n">
        <x:v>3.3583333333333334</x:v>
      </x:c>
      <x:c r="N1535" s="48" t="n">
        <x:v>485.82500000000005</x:v>
      </x:c>
      <x:c r="O1535" s="49" t="n">
        <x:v>7</x:v>
      </x:c>
      <x:c r="P1535" s="1" t="str">
        <x:v>基準併用：中期支持中は短期逆行を保持・標準</x:v>
      </x:c>
      <x:c r="Q1535" s="49" t="n">
        <x:v>0</x:v>
      </x:c>
      <x:c r="R1535" s="50" t="n">
        <x:v>0.8235668498168498</x:v>
      </x:c>
      <x:c r="S1535" s="50" t="n">
        <x:v>0.8097083333333334</x:v>
      </x:c>
      <x:c r="T1535" s="1" t="str">
        <x:v>下落</x:v>
      </x:c>
      <x:c r="U1535" s="49" t="n">
        <x:v>2</x:v>
      </x:c>
    </x:row>
    <x:row r="1536" ht="22" customHeight="1">
      <x:c r="A1536" s="1" t="str">
        <x:v>TOPIXmini</x:v>
      </x:c>
      <x:c r="B1536" s="1" t="str">
        <x:v>K04</x:v>
      </x:c>
      <x:c r="C1536" s="1" t="str">
        <x:v>全50場</x:v>
      </x:c>
      <x:c r="D1536" s="47" t="n">
        <x:v>6794584</x:v>
      </x:c>
      <x:c r="E1536" s="47" t="n">
        <x:v>8776956</x:v>
      </x:c>
      <x:c r="F1536" s="47" t="n">
        <x:f>D1536-E1536</x:f>
        <x:v>-1982372</x:v>
      </x:c>
      <x:c r="G1536" s="49" t="n">
        <x:v>16</x:v>
      </x:c>
      <x:c r="H1536" s="49" t="n">
        <x:v>34</x:v>
      </x:c>
      <x:c r="I1536" s="47" t="n">
        <x:v>-2238379</x:v>
      </x:c>
      <x:c r="J1536" s="49" t="n">
        <x:v>2085</x:v>
      </x:c>
      <x:c r="K1536" s="47" t="n">
        <x:v>-173803</x:v>
      </x:c>
      <x:c r="L1536" s="47" t="n">
        <x:v>77586.0294117647</x:v>
      </x:c>
      <x:c r="M1536" s="48" t="n">
        <x:v>5.403666666666667</x:v>
      </x:c>
      <x:c r="N1536" s="48" t="n">
        <x:v>476.158</x:v>
      </x:c>
      <x:c r="O1536" s="49" t="n">
        <x:v>7</x:v>
      </x:c>
      <x:c r="P1536" s="1" t="str">
        <x:v>基準併用：中期支持中は短期逆行を保持・広め</x:v>
      </x:c>
      <x:c r="Q1536" s="49" t="n">
        <x:v>0</x:v>
      </x:c>
      <x:c r="R1536" s="50" t="n">
        <x:v>0.8098794871794871</x:v>
      </x:c>
      <x:c r="S1536" s="50" t="n">
        <x:v>0.7935966666666667</x:v>
      </x:c>
      <x:c r="T1536" s="1" t="str">
        <x:v>全場</x:v>
      </x:c>
      <x:c r="U1536" s="49" t="n">
        <x:v>50</x:v>
      </x:c>
    </x:row>
    <x:row r="1537" ht="22" customHeight="1">
      <x:c r="A1537" s="1" t="str">
        <x:v>TOPIXmini</x:v>
      </x:c>
      <x:c r="B1537" s="1" t="str">
        <x:v>K04</x:v>
      </x:c>
      <x:c r="C1537" s="1" t="str">
        <x:v>全50場</x:v>
      </x:c>
      <x:c r="D1537" s="47" t="n">
        <x:v>3545862</x:v>
      </x:c>
      <x:c r="E1537" s="47" t="n">
        <x:v>4785422</x:v>
      </x:c>
      <x:c r="F1537" s="47" t="n">
        <x:f>D1537-E1537</x:f>
        <x:v>-1239560</x:v>
      </x:c>
      <x:c r="G1537" s="49" t="n">
        <x:v>8</x:v>
      </x:c>
      <x:c r="H1537" s="49" t="n">
        <x:v>17</x:v>
      </x:c>
      <x:c r="I1537" s="47" t="n">
        <x:v>-1495567</x:v>
      </x:c>
      <x:c r="J1537" s="49" t="n">
        <x:v>1129</x:v>
      </x:c>
      <x:c r="K1537" s="47" t="n">
        <x:v>-173803</x:v>
      </x:c>
      <x:c r="L1537" s="47" t="n">
        <x:v>99285.5294117647</x:v>
      </x:c>
      <x:c r="M1537" s="48" t="n">
        <x:v>4.675333333333333</x:v>
      </x:c>
      <x:c r="N1537" s="48" t="n">
        <x:v>362.9453333333333</x:v>
      </x:c>
      <x:c r="O1537" s="49" t="n">
        <x:v>7</x:v>
      </x:c>
      <x:c r="P1537" s="1" t="str">
        <x:v>基準併用：中期支持中は短期逆行を保持・広め</x:v>
      </x:c>
      <x:c r="Q1537" s="49" t="n">
        <x:v>0</x:v>
      </x:c>
      <x:c r="R1537" s="50" t="n">
        <x:v>0.8641555555555556</x:v>
      </x:c>
      <x:c r="S1537" s="50" t="n">
        <x:v>0.8641555555555556</x:v>
      </x:c>
      <x:c r="T1537" s="1" t="str">
        <x:v>デイ</x:v>
      </x:c>
      <x:c r="U1537" s="49" t="n">
        <x:v>25</x:v>
      </x:c>
    </x:row>
    <x:row r="1538" ht="22" customHeight="1">
      <x:c r="A1538" s="1" t="str">
        <x:v>TOPIXmini</x:v>
      </x:c>
      <x:c r="B1538" s="1" t="str">
        <x:v>K04</x:v>
      </x:c>
      <x:c r="C1538" s="1" t="str">
        <x:v>全50場</x:v>
      </x:c>
      <x:c r="D1538" s="47" t="n">
        <x:v>3248722</x:v>
      </x:c>
      <x:c r="E1538" s="47" t="n">
        <x:v>3991534</x:v>
      </x:c>
      <x:c r="F1538" s="47" t="n">
        <x:f>D1538-E1538</x:f>
        <x:v>-742812</x:v>
      </x:c>
      <x:c r="G1538" s="49" t="n">
        <x:v>8</x:v>
      </x:c>
      <x:c r="H1538" s="49" t="n">
        <x:v>17</x:v>
      </x:c>
      <x:c r="I1538" s="47" t="n">
        <x:v>-856369</x:v>
      </x:c>
      <x:c r="J1538" s="49" t="n">
        <x:v>956</x:v>
      </x:c>
      <x:c r="K1538" s="47" t="n">
        <x:v>-152055</x:v>
      </x:c>
      <x:c r="L1538" s="47" t="n">
        <x:v>55886.529411764706</x:v>
      </x:c>
      <x:c r="M1538" s="48" t="n">
        <x:v>6.132</x:v>
      </x:c>
      <x:c r="N1538" s="48" t="n">
        <x:v>589.3706666666667</x:v>
      </x:c>
      <x:c r="O1538" s="49" t="n">
        <x:v>7</x:v>
      </x:c>
      <x:c r="P1538" s="1" t="str">
        <x:v>基準併用：中期支持中は短期逆行を保持・広め</x:v>
      </x:c>
      <x:c r="Q1538" s="49" t="n">
        <x:v>0</x:v>
      </x:c>
      <x:c r="R1538" s="50" t="n">
        <x:v>0.7556034188034186</x:v>
      </x:c>
      <x:c r="S1538" s="50" t="n">
        <x:v>0.7556034188034187</x:v>
      </x:c>
      <x:c r="T1538" s="1" t="str">
        <x:v>ナイト</x:v>
      </x:c>
      <x:c r="U1538" s="49" t="n">
        <x:v>25</x:v>
      </x:c>
    </x:row>
    <x:row r="1539" ht="22" customHeight="1">
      <x:c r="A1539" s="1" t="str">
        <x:v>TOPIXmini</x:v>
      </x:c>
      <x:c r="B1539" s="1" t="str">
        <x:v>K04</x:v>
      </x:c>
      <x:c r="C1539" s="1" t="str">
        <x:v>全50場</x:v>
      </x:c>
      <x:c r="D1539" s="47" t="n">
        <x:v>2999746</x:v>
      </x:c>
      <x:c r="E1539" s="47" t="n">
        <x:v>4294105</x:v>
      </x:c>
      <x:c r="F1539" s="47" t="n">
        <x:f>D1539-E1539</x:f>
        <x:v>-1294359</x:v>
      </x:c>
      <x:c r="G1539" s="49" t="n">
        <x:v>6</x:v>
      </x:c>
      <x:c r="H1539" s="49" t="n">
        <x:v>19</x:v>
      </x:c>
      <x:c r="I1539" s="47" t="n">
        <x:v>-1416105</x:v>
      </x:c>
      <x:c r="J1539" s="49" t="n">
        <x:v>970</x:v>
      </x:c>
      <x:c r="K1539" s="47" t="n">
        <x:v>-149638</x:v>
      </x:c>
      <x:c r="L1539" s="47" t="n">
        <x:v>77390.42105263157</x:v>
      </x:c>
      <x:c r="M1539" s="48" t="n">
        <x:v>4.252666666666667</x:v>
      </x:c>
      <x:c r="N1539" s="48" t="n">
        <x:v>481.97</x:v>
      </x:c>
      <x:c r="O1539" s="49" t="n">
        <x:v>7</x:v>
      </x:c>
      <x:c r="P1539" s="1" t="str">
        <x:v>基準併用：中期支持中は短期逆行を保持・広め</x:v>
      </x:c>
      <x:c r="Q1539" s="49" t="n">
        <x:v>0</x:v>
      </x:c>
      <x:c r="R1539" s="50" t="n">
        <x:v>0.8093300366300364</x:v>
      </x:c>
      <x:c r="S1539" s="50" t="n">
        <x:v>0.7937582345191041</x:v>
      </x:c>
      <x:c r="T1539" s="1" t="str">
        <x:v>上昇</x:v>
      </x:c>
      <x:c r="U1539" s="49" t="n">
        <x:v>25</x:v>
      </x:c>
    </x:row>
    <x:row r="1540" ht="22" customHeight="1">
      <x:c r="A1540" s="1" t="str">
        <x:v>TOPIXmini</x:v>
      </x:c>
      <x:c r="B1540" s="1" t="str">
        <x:v>K04</x:v>
      </x:c>
      <x:c r="C1540" s="1" t="str">
        <x:v>全50場</x:v>
      </x:c>
      <x:c r="D1540" s="47" t="n">
        <x:v>3794838</x:v>
      </x:c>
      <x:c r="E1540" s="47" t="n">
        <x:v>4482851</x:v>
      </x:c>
      <x:c r="F1540" s="47" t="n">
        <x:f>D1540-E1540</x:f>
        <x:v>-688013</x:v>
      </x:c>
      <x:c r="G1540" s="49" t="n">
        <x:v>10</x:v>
      </x:c>
      <x:c r="H1540" s="49" t="n">
        <x:v>15</x:v>
      </x:c>
      <x:c r="I1540" s="47" t="n">
        <x:v>-944020</x:v>
      </x:c>
      <x:c r="J1540" s="49" t="n">
        <x:v>1115</x:v>
      </x:c>
      <x:c r="K1540" s="47" t="n">
        <x:v>-173803</x:v>
      </x:c>
      <x:c r="L1540" s="47" t="n">
        <x:v>77833.8</x:v>
      </x:c>
      <x:c r="M1540" s="48" t="n">
        <x:v>6.554666666666667</x:v>
      </x:c>
      <x:c r="N1540" s="48" t="n">
        <x:v>470.346</x:v>
      </x:c>
      <x:c r="O1540" s="49" t="n">
        <x:v>7</x:v>
      </x:c>
      <x:c r="P1540" s="1" t="str">
        <x:v>基準併用：中期支持中は短期逆行を保持・広め</x:v>
      </x:c>
      <x:c r="Q1540" s="49" t="n">
        <x:v>0</x:v>
      </x:c>
      <x:c r="R1540" s="50" t="n">
        <x:v>0.8104289377289376</x:v>
      </x:c>
      <x:c r="S1540" s="50" t="n">
        <x:v>0.7934311740890688</x:v>
      </x:c>
      <x:c r="T1540" s="1" t="str">
        <x:v>下落</x:v>
      </x:c>
      <x:c r="U1540" s="49" t="n">
        <x:v>25</x:v>
      </x:c>
    </x:row>
    <x:row r="1541" ht="22" customHeight="1">
      <x:c r="A1541" s="1" t="str">
        <x:v>TOPIXmini</x:v>
      </x:c>
      <x:c r="B1541" s="1" t="str">
        <x:v>K04</x:v>
      </x:c>
      <x:c r="C1541" s="1" t="str">
        <x:v>対照47場</x:v>
      </x:c>
      <x:c r="D1541" s="47" t="n">
        <x:v>6148465</x:v>
      </x:c>
      <x:c r="E1541" s="47" t="n">
        <x:v>8100188</x:v>
      </x:c>
      <x:c r="F1541" s="47" t="n">
        <x:f>D1541-E1541</x:f>
        <x:v>-1951723</x:v>
      </x:c>
      <x:c r="G1541" s="49" t="n">
        <x:v>15</x:v>
      </x:c>
      <x:c r="H1541" s="49" t="n">
        <x:v>32</x:v>
      </x:c>
      <x:c r="I1541" s="47" t="n">
        <x:v>-2207730</x:v>
      </x:c>
      <x:c r="J1541" s="49" t="n">
        <x:v>1919</x:v>
      </x:c>
      <x:c r="K1541" s="47" t="n">
        <x:v>-173803</x:v>
      </x:c>
      <x:c r="L1541" s="47" t="n">
        <x:v>80880.15625</x:v>
      </x:c>
      <x:c r="M1541" s="48" t="n">
        <x:v>5.558156028368795</x:v>
      </x:c>
      <x:c r="N1541" s="48" t="n">
        <x:v>471.34219858156035</x:v>
      </x:c>
      <x:c r="O1541" s="49" t="n">
        <x:v>7</x:v>
      </x:c>
      <x:c r="P1541" s="1" t="str">
        <x:v>基準併用：中期支持中は短期逆行を保持・広め</x:v>
      </x:c>
      <x:c r="Q1541" s="49" t="n">
        <x:v>0</x:v>
      </x:c>
      <x:c r="R1541" s="50" t="n">
        <x:v>0.8078239550048062</x:v>
      </x:c>
      <x:c r="S1541" s="50" t="n">
        <x:v>0.7906168213181061</x:v>
      </x:c>
      <x:c r="T1541" s="1" t="str">
        <x:v>全場</x:v>
      </x:c>
      <x:c r="U1541" s="49" t="n">
        <x:v>47</x:v>
      </x:c>
    </x:row>
    <x:row r="1542" ht="22" customHeight="1">
      <x:c r="A1542" s="1" t="str">
        <x:v>TOPIXmini</x:v>
      </x:c>
      <x:c r="B1542" s="1" t="str">
        <x:v>K04</x:v>
      </x:c>
      <x:c r="C1542" s="1" t="str">
        <x:v>対照47場</x:v>
      </x:c>
      <x:c r="D1542" s="47" t="n">
        <x:v>3266262</x:v>
      </x:c>
      <x:c r="E1542" s="47" t="n">
        <x:v>4466948</x:v>
      </x:c>
      <x:c r="F1542" s="47" t="n">
        <x:f>D1542-E1542</x:f>
        <x:v>-1200686</x:v>
      </x:c>
      <x:c r="G1542" s="49" t="n">
        <x:v>8</x:v>
      </x:c>
      <x:c r="H1542" s="49" t="n">
        <x:v>16</x:v>
      </x:c>
      <x:c r="I1542" s="47" t="n">
        <x:v>-1456693</x:v>
      </x:c>
      <x:c r="J1542" s="49" t="n">
        <x:v>1064</x:v>
      </x:c>
      <x:c r="K1542" s="47" t="n">
        <x:v>-173803</x:v>
      </x:c>
      <x:c r="L1542" s="47" t="n">
        <x:v>103061.25</x:v>
      </x:c>
      <x:c r="M1542" s="48" t="n">
        <x:v>4.756944444444444</x:v>
      </x:c>
      <x:c r="N1542" s="48" t="n">
        <x:v>362.72361111111104</x:v>
      </x:c>
      <x:c r="O1542" s="49" t="n">
        <x:v>7</x:v>
      </x:c>
      <x:c r="P1542" s="1" t="str">
        <x:v>基準併用：中期支持中は短期逆行を保持・広め</x:v>
      </x:c>
      <x:c r="Q1542" s="49" t="n">
        <x:v>0</x:v>
      </x:c>
      <x:c r="R1542" s="50" t="n">
        <x:v>0.8636276455026456</x:v>
      </x:c>
      <x:c r="S1542" s="50" t="n">
        <x:v>0.8636276455026455</x:v>
      </x:c>
      <x:c r="T1542" s="1" t="str">
        <x:v>デイ</x:v>
      </x:c>
      <x:c r="U1542" s="49" t="n">
        <x:v>24</x:v>
      </x:c>
    </x:row>
    <x:row r="1543" ht="22" customHeight="1">
      <x:c r="A1543" s="1" t="str">
        <x:v>TOPIXmini</x:v>
      </x:c>
      <x:c r="B1543" s="1" t="str">
        <x:v>K04</x:v>
      </x:c>
      <x:c r="C1543" s="1" t="str">
        <x:v>対照47場</x:v>
      </x:c>
      <x:c r="D1543" s="47" t="n">
        <x:v>2882203</x:v>
      </x:c>
      <x:c r="E1543" s="47" t="n">
        <x:v>3633240</x:v>
      </x:c>
      <x:c r="F1543" s="47" t="n">
        <x:f>D1543-E1543</x:f>
        <x:v>-751037</x:v>
      </x:c>
      <x:c r="G1543" s="49" t="n">
        <x:v>7</x:v>
      </x:c>
      <x:c r="H1543" s="49" t="n">
        <x:v>16</x:v>
      </x:c>
      <x:c r="I1543" s="47" t="n">
        <x:v>-864594</x:v>
      </x:c>
      <x:c r="J1543" s="49" t="n">
        <x:v>855</x:v>
      </x:c>
      <x:c r="K1543" s="47" t="n">
        <x:v>-152055</x:v>
      </x:c>
      <x:c r="L1543" s="47" t="n">
        <x:v>58699.0625</x:v>
      </x:c>
      <x:c r="M1543" s="48" t="n">
        <x:v>6.394202898550725</x:v>
      </x:c>
      <x:c r="N1543" s="48" t="n">
        <x:v>584.6833333333334</x:v>
      </x:c>
      <x:c r="O1543" s="49" t="n">
        <x:v>7</x:v>
      </x:c>
      <x:c r="P1543" s="1" t="str">
        <x:v>基準併用：中期支持中は短期逆行を保持・広め</x:v>
      </x:c>
      <x:c r="Q1543" s="49" t="n">
        <x:v>0</x:v>
      </x:c>
      <x:c r="R1543" s="50" t="n">
        <x:v>0.7495940170940171</x:v>
      </x:c>
      <x:c r="S1543" s="50" t="n">
        <x:v>0.7495940170940171</x:v>
      </x:c>
      <x:c r="T1543" s="1" t="str">
        <x:v>ナイト</x:v>
      </x:c>
      <x:c r="U1543" s="49" t="n">
        <x:v>23</x:v>
      </x:c>
    </x:row>
    <x:row r="1544" ht="22" customHeight="1">
      <x:c r="A1544" s="1" t="str">
        <x:v>TOPIXmini</x:v>
      </x:c>
      <x:c r="B1544" s="1" t="str">
        <x:v>K04</x:v>
      </x:c>
      <x:c r="C1544" s="1" t="str">
        <x:v>対照47場</x:v>
      </x:c>
      <x:c r="D1544" s="47" t="n">
        <x:v>2815988</x:v>
      </x:c>
      <x:c r="E1544" s="47" t="n">
        <x:v>4129458</x:v>
      </x:c>
      <x:c r="F1544" s="47" t="n">
        <x:f>D1544-E1544</x:f>
        <x:v>-1313470</x:v>
      </x:c>
      <x:c r="G1544" s="49" t="n">
        <x:v>5</x:v>
      </x:c>
      <x:c r="H1544" s="49" t="n">
        <x:v>19</x:v>
      </x:c>
      <x:c r="I1544" s="47" t="n">
        <x:v>-1435216</x:v>
      </x:c>
      <x:c r="J1544" s="49" t="n">
        <x:v>927</x:v>
      </x:c>
      <x:c r="K1544" s="47" t="n">
        <x:v>-149638</x:v>
      </x:c>
      <x:c r="L1544" s="47" t="n">
        <x:v>77390.42105263157</x:v>
      </x:c>
      <x:c r="M1544" s="48" t="n">
        <x:v>4.336805555555556</x:v>
      </x:c>
      <x:c r="N1544" s="48" t="n">
        <x:v>474.7027777777778</x:v>
      </x:c>
      <x:c r="O1544" s="49" t="n">
        <x:v>7</x:v>
      </x:c>
      <x:c r="P1544" s="1" t="str">
        <x:v>基準併用：中期支持中は短期逆行を保持・広め</x:v>
      </x:c>
      <x:c r="Q1544" s="49" t="n">
        <x:v>0</x:v>
      </x:c>
      <x:c r="R1544" s="50" t="n">
        <x:v>0.8079889092389091</x:v>
      </x:c>
      <x:c r="S1544" s="50" t="n">
        <x:v>0.7911712962962963</x:v>
      </x:c>
      <x:c r="T1544" s="1" t="str">
        <x:v>上昇</x:v>
      </x:c>
      <x:c r="U1544" s="49" t="n">
        <x:v>24</x:v>
      </x:c>
    </x:row>
    <x:row r="1545" ht="22" customHeight="1">
      <x:c r="A1545" s="1" t="str">
        <x:v>TOPIXmini</x:v>
      </x:c>
      <x:c r="B1545" s="1" t="str">
        <x:v>K04</x:v>
      </x:c>
      <x:c r="C1545" s="1" t="str">
        <x:v>対照47場</x:v>
      </x:c>
      <x:c r="D1545" s="47" t="n">
        <x:v>3332477</x:v>
      </x:c>
      <x:c r="E1545" s="47" t="n">
        <x:v>3970730</x:v>
      </x:c>
      <x:c r="F1545" s="47" t="n">
        <x:f>D1545-E1545</x:f>
        <x:v>-638253</x:v>
      </x:c>
      <x:c r="G1545" s="49" t="n">
        <x:v>10</x:v>
      </x:c>
      <x:c r="H1545" s="49" t="n">
        <x:v>13</x:v>
      </x:c>
      <x:c r="I1545" s="47" t="n">
        <x:v>-894260</x:v>
      </x:c>
      <x:c r="J1545" s="49" t="n">
        <x:v>992</x:v>
      </x:c>
      <x:c r="K1545" s="47" t="n">
        <x:v>-173803</x:v>
      </x:c>
      <x:c r="L1545" s="47" t="n">
        <x:v>85980.53846153847</x:v>
      </x:c>
      <x:c r="M1545" s="48" t="n">
        <x:v>6.832608695652173</x:v>
      </x:c>
      <x:c r="N1545" s="48" t="n">
        <x:v>467.8355072463768</x:v>
      </x:c>
      <x:c r="O1545" s="49" t="n">
        <x:v>7</x:v>
      </x:c>
      <x:c r="P1545" s="1" t="str">
        <x:v>基準併用：中期支持中は短期逆行を保持・広め</x:v>
      </x:c>
      <x:c r="Q1545" s="49" t="n">
        <x:v>0</x:v>
      </x:c>
      <x:c r="R1545" s="50" t="n">
        <x:v>0.807651828847481</x:v>
      </x:c>
      <x:c r="S1545" s="50" t="n">
        <x:v>0.7900305922662751</x:v>
      </x:c>
      <x:c r="T1545" s="1" t="str">
        <x:v>下落</x:v>
      </x:c>
      <x:c r="U1545" s="49" t="n">
        <x:v>23</x:v>
      </x:c>
    </x:row>
    <x:row r="1546" ht="22" customHeight="1">
      <x:c r="A1546" s="1" t="str">
        <x:v>TOPIXmini</x:v>
      </x:c>
      <x:c r="B1546" s="1" t="str">
        <x:v>K04</x:v>
      </x:c>
      <x:c r="C1546" s="1" t="str">
        <x:v>診断3場</x:v>
      </x:c>
      <x:c r="D1546" s="47" t="n">
        <x:v>646119</x:v>
      </x:c>
      <x:c r="E1546" s="47" t="n">
        <x:v>676768</x:v>
      </x:c>
      <x:c r="F1546" s="47" t="n">
        <x:f>D1546-E1546</x:f>
        <x:v>-30649</x:v>
      </x:c>
      <x:c r="G1546" s="49" t="n">
        <x:v>1</x:v>
      </x:c>
      <x:c r="H1546" s="49" t="n">
        <x:v>2</x:v>
      </x:c>
      <x:c r="I1546" s="47" t="n">
        <x:v>-49760</x:v>
      </x:c>
      <x:c r="J1546" s="49" t="n">
        <x:v>166</x:v>
      </x:c>
      <x:c r="K1546" s="47" t="n">
        <x:v>-38874</x:v>
      </x:c>
      <x:c r="L1546" s="47" t="n">
        <x:v>24880</x:v>
      </x:c>
      <x:c r="M1546" s="48" t="n">
        <x:v>2.983333333333333</x:v>
      </x:c>
      <x:c r="N1546" s="48" t="n">
        <x:v>551.6055555555555</x:v>
      </x:c>
      <x:c r="O1546" s="49" t="n">
        <x:v>7</x:v>
      </x:c>
      <x:c r="P1546" s="1" t="str">
        <x:v>基準併用：中期支持中は短期逆行を保持・広め</x:v>
      </x:c>
      <x:c r="Q1546" s="49" t="n">
        <x:v>0</x:v>
      </x:c>
      <x:c r="R1546" s="50" t="n">
        <x:v>0.8420828245828247</x:v>
      </x:c>
      <x:c r="S1546" s="50" t="n">
        <x:v>0.8357659932659932</x:v>
      </x:c>
      <x:c r="T1546" s="1" t="str">
        <x:v>全場</x:v>
      </x:c>
      <x:c r="U1546" s="49" t="n">
        <x:v>3</x:v>
      </x:c>
    </x:row>
    <x:row r="1547" ht="22" customHeight="1">
      <x:c r="A1547" s="1" t="str">
        <x:v>TOPIXmini</x:v>
      </x:c>
      <x:c r="B1547" s="1" t="str">
        <x:v>K04</x:v>
      </x:c>
      <x:c r="C1547" s="1" t="str">
        <x:v>診断3場</x:v>
      </x:c>
      <x:c r="D1547" s="47" t="n">
        <x:v>279600</x:v>
      </x:c>
      <x:c r="E1547" s="47" t="n">
        <x:v>318474</x:v>
      </x:c>
      <x:c r="F1547" s="47" t="n">
        <x:f>D1547-E1547</x:f>
        <x:v>-38874</x:v>
      </x:c>
      <x:c r="G1547" s="49" t="n">
        <x:v>0</x:v>
      </x:c>
      <x:c r="H1547" s="49" t="n">
        <x:v>1</x:v>
      </x:c>
      <x:c r="I1547" s="47" t="n">
        <x:v>-38874</x:v>
      </x:c>
      <x:c r="J1547" s="49" t="n">
        <x:v>65</x:v>
      </x:c>
      <x:c r="K1547" s="47" t="n">
        <x:v>-38874</x:v>
      </x:c>
      <x:c r="L1547" s="47" t="n">
        <x:v>38874</x:v>
      </x:c>
      <x:c r="M1547" s="48" t="n">
        <x:v>2.716666666666667</x:v>
      </x:c>
      <x:c r="N1547" s="48" t="n">
        <x:v>368.26666666666665</x:v>
      </x:c>
      <x:c r="O1547" s="49" t="n">
        <x:v>7</x:v>
      </x:c>
      <x:c r="P1547" s="1" t="str">
        <x:v>基準併用：中期支持中は短期逆行を保持・広め</x:v>
      </x:c>
      <x:c r="Q1547" s="49" t="n">
        <x:v>0</x:v>
      </x:c>
      <x:c r="R1547" s="50" t="n">
        <x:v>0.8768253968253968</x:v>
      </x:c>
      <x:c r="S1547" s="50" t="n">
        <x:v>0.8768253968253968</x:v>
      </x:c>
      <x:c r="T1547" s="1" t="str">
        <x:v>デイ</x:v>
      </x:c>
      <x:c r="U1547" s="49" t="n">
        <x:v>1</x:v>
      </x:c>
    </x:row>
    <x:row r="1548" ht="22" customHeight="1">
      <x:c r="A1548" s="1" t="str">
        <x:v>TOPIXmini</x:v>
      </x:c>
      <x:c r="B1548" s="1" t="str">
        <x:v>K04</x:v>
      </x:c>
      <x:c r="C1548" s="1" t="str">
        <x:v>診断3場</x:v>
      </x:c>
      <x:c r="D1548" s="47" t="n">
        <x:v>366519</x:v>
      </x:c>
      <x:c r="E1548" s="47" t="n">
        <x:v>358294</x:v>
      </x:c>
      <x:c r="F1548" s="47" t="n">
        <x:f>D1548-E1548</x:f>
        <x:v>8225</x:v>
      </x:c>
      <x:c r="G1548" s="49" t="n">
        <x:v>1</x:v>
      </x:c>
      <x:c r="H1548" s="49" t="n">
        <x:v>1</x:v>
      </x:c>
      <x:c r="I1548" s="47" t="n">
        <x:v>-10886</x:v>
      </x:c>
      <x:c r="J1548" s="49" t="n">
        <x:v>101</x:v>
      </x:c>
      <x:c r="K1548" s="47" t="n">
        <x:v>-10886</x:v>
      </x:c>
      <x:c r="L1548" s="47" t="n">
        <x:v>10886</x:v>
      </x:c>
      <x:c r="M1548" s="48" t="n">
        <x:v>3.1166666666666667</x:v>
      </x:c>
      <x:c r="N1548" s="48" t="n">
        <x:v>643.275</x:v>
      </x:c>
      <x:c r="O1548" s="49" t="n">
        <x:v>7</x:v>
      </x:c>
      <x:c r="P1548" s="1" t="str">
        <x:v>基準併用：中期支持中は短期逆行を保持・広め</x:v>
      </x:c>
      <x:c r="Q1548" s="49" t="n">
        <x:v>0</x:v>
      </x:c>
      <x:c r="R1548" s="50" t="n">
        <x:v>0.8247115384615384</x:v>
      </x:c>
      <x:c r="S1548" s="50" t="n">
        <x:v>0.8247115384615384</x:v>
      </x:c>
      <x:c r="T1548" s="1" t="str">
        <x:v>ナイト</x:v>
      </x:c>
      <x:c r="U1548" s="49" t="n">
        <x:v>2</x:v>
      </x:c>
    </x:row>
    <x:row r="1549" ht="22" customHeight="1">
      <x:c r="A1549" s="1" t="str">
        <x:v>TOPIXmini</x:v>
      </x:c>
      <x:c r="B1549" s="1" t="str">
        <x:v>K04</x:v>
      </x:c>
      <x:c r="C1549" s="1" t="str">
        <x:v>診断3場</x:v>
      </x:c>
      <x:c r="D1549" s="47" t="n">
        <x:v>183758</x:v>
      </x:c>
      <x:c r="E1549" s="47" t="n">
        <x:v>164647</x:v>
      </x:c>
      <x:c r="F1549" s="47" t="n">
        <x:f>D1549-E1549</x:f>
        <x:v>19111</x:v>
      </x:c>
      <x:c r="G1549" s="49" t="n">
        <x:v>1</x:v>
      </x:c>
      <x:c r="H1549" s="49" t="n">
        <x:v>0</x:v>
      </x:c>
      <x:c r="I1549" s="47" t="n">
        <x:v>0</x:v>
      </x:c>
      <x:c r="J1549" s="49" t="n">
        <x:v>43</x:v>
      </x:c>
      <x:c r="K1549" s="47" t="n">
        <x:v>19111</x:v>
      </x:c>
      <x:c r="L1549" s="47" t="n">
        <x:v>0</x:v>
      </x:c>
      <x:c r="M1549" s="48" t="n">
        <x:v>2.2333333333333334</x:v>
      </x:c>
      <x:c r="N1549" s="48" t="n">
        <x:v>656.3833333333333</x:v>
      </x:c>
      <x:c r="O1549" s="49" t="n">
        <x:v>7</x:v>
      </x:c>
      <x:c r="P1549" s="1" t="str">
        <x:v>基準併用：中期支持中は短期逆行を保持・広め</x:v>
      </x:c>
      <x:c r="Q1549" s="49" t="n">
        <x:v>0</x:v>
      </x:c>
      <x:c r="R1549" s="50" t="n">
        <x:v>0.8415170940170941</x:v>
      </x:c>
      <x:c r="S1549" s="50" t="n">
        <x:v>0.841517094017094</x:v>
      </x:c>
      <x:c r="T1549" s="1" t="str">
        <x:v>上昇</x:v>
      </x:c>
      <x:c r="U1549" s="49" t="n">
        <x:v>1</x:v>
      </x:c>
    </x:row>
    <x:row r="1550" ht="22" customHeight="1">
      <x:c r="A1550" s="1" t="str">
        <x:v>TOPIXmini</x:v>
      </x:c>
      <x:c r="B1550" s="1" t="str">
        <x:v>K04</x:v>
      </x:c>
      <x:c r="C1550" s="1" t="str">
        <x:v>診断3場</x:v>
      </x:c>
      <x:c r="D1550" s="47" t="n">
        <x:v>462361</x:v>
      </x:c>
      <x:c r="E1550" s="47" t="n">
        <x:v>512121</x:v>
      </x:c>
      <x:c r="F1550" s="47" t="n">
        <x:f>D1550-E1550</x:f>
        <x:v>-49760</x:v>
      </x:c>
      <x:c r="G1550" s="49" t="n">
        <x:v>0</x:v>
      </x:c>
      <x:c r="H1550" s="49" t="n">
        <x:v>2</x:v>
      </x:c>
      <x:c r="I1550" s="47" t="n">
        <x:v>-49760</x:v>
      </x:c>
      <x:c r="J1550" s="49" t="n">
        <x:v>123</x:v>
      </x:c>
      <x:c r="K1550" s="47" t="n">
        <x:v>-38874</x:v>
      </x:c>
      <x:c r="L1550" s="47" t="n">
        <x:v>24880</x:v>
      </x:c>
      <x:c r="M1550" s="48" t="n">
        <x:v>3.3583333333333334</x:v>
      </x:c>
      <x:c r="N1550" s="48" t="n">
        <x:v>499.21666666666664</x:v>
      </x:c>
      <x:c r="O1550" s="49" t="n">
        <x:v>7</x:v>
      </x:c>
      <x:c r="P1550" s="1" t="str">
        <x:v>基準併用：中期支持中は短期逆行を保持・広め</x:v>
      </x:c>
      <x:c r="Q1550" s="49" t="n">
        <x:v>0</x:v>
      </x:c>
      <x:c r="R1550" s="50" t="n">
        <x:v>0.8423656898656899</x:v>
      </x:c>
      <x:c r="S1550" s="50" t="n">
        <x:v>0.8320277777777777</x:v>
      </x:c>
      <x:c r="T1550" s="1" t="str">
        <x:v>下落</x:v>
      </x:c>
      <x:c r="U1550" s="49" t="n">
        <x:v>2</x:v>
      </x:c>
    </x:row>
    <x:row r="1551" ht="22" customHeight="1">
      <x:c r="A1551" s="1" t="str">
        <x:v>TOPIXmini</x:v>
      </x:c>
      <x:c r="B1551" s="1" t="str">
        <x:v>K05</x:v>
      </x:c>
      <x:c r="C1551" s="1" t="str">
        <x:v>全50場</x:v>
      </x:c>
      <x:c r="D1551" s="47" t="n">
        <x:v>8200804</x:v>
      </x:c>
      <x:c r="E1551" s="47" t="n">
        <x:v>12223486</x:v>
      </x:c>
      <x:c r="F1551" s="47" t="n">
        <x:f>D1551-E1551</x:f>
        <x:v>-4022682</x:v>
      </x:c>
      <x:c r="G1551" s="49" t="n">
        <x:v>6</x:v>
      </x:c>
      <x:c r="H1551" s="49" t="n">
        <x:v>44</x:v>
      </x:c>
      <x:c r="I1551" s="47" t="n">
        <x:v>-4144545</x:v>
      </x:c>
      <x:c r="J1551" s="49" t="n">
        <x:v>3370</x:v>
      </x:c>
      <x:c r="K1551" s="47" t="n">
        <x:v>-316936</x:v>
      </x:c>
      <x:c r="L1551" s="47" t="n">
        <x:v>95088.06818181818</x:v>
      </x:c>
      <x:c r="M1551" s="48" t="n">
        <x:v>5.403666666666667</x:v>
      </x:c>
      <x:c r="N1551" s="48" t="n">
        <x:v>476.3313333333333</x:v>
      </x:c>
      <x:c r="O1551" s="49" t="n">
        <x:v>7</x:v>
      </x:c>
      <x:c r="P1551" s="1" t="str">
        <x:v>基準併用：反対合議で返済後に反転・標準</x:v>
      </x:c>
      <x:c r="Q1551" s="49" t="n">
        <x:v>0</x:v>
      </x:c>
      <x:c r="R1551" s="50" t="n">
        <x:v>0.8129266178266178</x:v>
      </x:c>
      <x:c r="S1551" s="50" t="n">
        <x:v>0.7938855555555555</x:v>
      </x:c>
      <x:c r="T1551" s="1" t="str">
        <x:v>全場</x:v>
      </x:c>
      <x:c r="U1551" s="49" t="n">
        <x:v>50</x:v>
      </x:c>
    </x:row>
    <x:row r="1552" ht="22" customHeight="1">
      <x:c r="A1552" s="1" t="str">
        <x:v>TOPIXmini</x:v>
      </x:c>
      <x:c r="B1552" s="1" t="str">
        <x:v>K05</x:v>
      </x:c>
      <x:c r="C1552" s="1" t="str">
        <x:v>全50場</x:v>
      </x:c>
      <x:c r="D1552" s="47" t="n">
        <x:v>4213800</x:v>
      </x:c>
      <x:c r="E1552" s="47" t="n">
        <x:v>6576224</x:v>
      </x:c>
      <x:c r="F1552" s="47" t="n">
        <x:f>D1552-E1552</x:f>
        <x:v>-2362424</x:v>
      </x:c>
      <x:c r="G1552" s="49" t="n">
        <x:v>5</x:v>
      </x:c>
      <x:c r="H1552" s="49" t="n">
        <x:v>20</x:v>
      </x:c>
      <x:c r="I1552" s="47" t="n">
        <x:v>-2462133</x:v>
      </x:c>
      <x:c r="J1552" s="49" t="n">
        <x:v>1833</x:v>
      </x:c>
      <x:c r="K1552" s="47" t="n">
        <x:v>-316936</x:v>
      </x:c>
      <x:c r="L1552" s="47" t="n">
        <x:v>123765.85</x:v>
      </x:c>
      <x:c r="M1552" s="48" t="n">
        <x:v>4.675333333333333</x:v>
      </x:c>
      <x:c r="N1552" s="48" t="n">
        <x:v>368.0866666666667</x:v>
      </x:c>
      <x:c r="O1552" s="49" t="n">
        <x:v>7</x:v>
      </x:c>
      <x:c r="P1552" s="1" t="str">
        <x:v>基準併用：反対合議で返済後に反転・標準</x:v>
      </x:c>
      <x:c r="Q1552" s="49" t="n">
        <x:v>0</x:v>
      </x:c>
      <x:c r="R1552" s="50" t="n">
        <x:v>0.8763968253968254</x:v>
      </x:c>
      <x:c r="S1552" s="50" t="n">
        <x:v>0.8763968253968253</x:v>
      </x:c>
      <x:c r="T1552" s="1" t="str">
        <x:v>デイ</x:v>
      </x:c>
      <x:c r="U1552" s="49" t="n">
        <x:v>25</x:v>
      </x:c>
    </x:row>
    <x:row r="1553" ht="22" customHeight="1">
      <x:c r="A1553" s="1" t="str">
        <x:v>TOPIXmini</x:v>
      </x:c>
      <x:c r="B1553" s="1" t="str">
        <x:v>K05</x:v>
      </x:c>
      <x:c r="C1553" s="1" t="str">
        <x:v>全50場</x:v>
      </x:c>
      <x:c r="D1553" s="47" t="n">
        <x:v>3987004</x:v>
      </x:c>
      <x:c r="E1553" s="47" t="n">
        <x:v>5647262</x:v>
      </x:c>
      <x:c r="F1553" s="47" t="n">
        <x:f>D1553-E1553</x:f>
        <x:v>-1660258</x:v>
      </x:c>
      <x:c r="G1553" s="49" t="n">
        <x:v>1</x:v>
      </x:c>
      <x:c r="H1553" s="49" t="n">
        <x:v>24</x:v>
      </x:c>
      <x:c r="I1553" s="47" t="n">
        <x:v>-1708558</x:v>
      </x:c>
      <x:c r="J1553" s="49" t="n">
        <x:v>1537</x:v>
      </x:c>
      <x:c r="K1553" s="47" t="n">
        <x:v>-153960</x:v>
      </x:c>
      <x:c r="L1553" s="47" t="n">
        <x:v>71189.91666666667</x:v>
      </x:c>
      <x:c r="M1553" s="48" t="n">
        <x:v>6.132</x:v>
      </x:c>
      <x:c r="N1553" s="48" t="n">
        <x:v>584.576</x:v>
      </x:c>
      <x:c r="O1553" s="49" t="n">
        <x:v>7</x:v>
      </x:c>
      <x:c r="P1553" s="1" t="str">
        <x:v>基準併用：反対合議で返済後に反転・標準</x:v>
      </x:c>
      <x:c r="Q1553" s="49" t="n">
        <x:v>0</x:v>
      </x:c>
      <x:c r="R1553" s="50" t="n">
        <x:v>0.7494564102564101</x:v>
      </x:c>
      <x:c r="S1553" s="50" t="n">
        <x:v>0.7494564102564102</x:v>
      </x:c>
      <x:c r="T1553" s="1" t="str">
        <x:v>ナイト</x:v>
      </x:c>
      <x:c r="U1553" s="49" t="n">
        <x:v>25</x:v>
      </x:c>
    </x:row>
    <x:row r="1554" ht="22" customHeight="1">
      <x:c r="A1554" s="1" t="str">
        <x:v>TOPIXmini</x:v>
      </x:c>
      <x:c r="B1554" s="1" t="str">
        <x:v>K05</x:v>
      </x:c>
      <x:c r="C1554" s="1" t="str">
        <x:v>全50場</x:v>
      </x:c>
      <x:c r="D1554" s="47" t="n">
        <x:v>3676012</x:v>
      </x:c>
      <x:c r="E1554" s="47" t="n">
        <x:v>5871307</x:v>
      </x:c>
      <x:c r="F1554" s="47" t="n">
        <x:f>D1554-E1554</x:f>
        <x:v>-2195295</x:v>
      </x:c>
      <x:c r="G1554" s="49" t="n">
        <x:v>1</x:v>
      </x:c>
      <x:c r="H1554" s="49" t="n">
        <x:v>24</x:v>
      </x:c>
      <x:c r="I1554" s="47" t="n">
        <x:v>-2207512</x:v>
      </x:c>
      <x:c r="J1554" s="49" t="n">
        <x:v>1566</x:v>
      </x:c>
      <x:c r="K1554" s="47" t="n">
        <x:v>-232365</x:v>
      </x:c>
      <x:c r="L1554" s="47" t="n">
        <x:v>91979.66666666667</x:v>
      </x:c>
      <x:c r="M1554" s="48" t="n">
        <x:v>4.252666666666667</x:v>
      </x:c>
      <x:c r="N1554" s="48" t="n">
        <x:v>473.97866666666664</x:v>
      </x:c>
      <x:c r="O1554" s="49" t="n">
        <x:v>7</x:v>
      </x:c>
      <x:c r="P1554" s="1" t="str">
        <x:v>基準併用：反対合議で返済後に反転・標準</x:v>
      </x:c>
      <x:c r="Q1554" s="49" t="n">
        <x:v>0</x:v>
      </x:c>
      <x:c r="R1554" s="50" t="n">
        <x:v>0.7962495726495726</x:v>
      </x:c>
      <x:c r="S1554" s="50" t="n">
        <x:v>0.7805972771190163</x:v>
      </x:c>
      <x:c r="T1554" s="1" t="str">
        <x:v>上昇</x:v>
      </x:c>
      <x:c r="U1554" s="49" t="n">
        <x:v>25</x:v>
      </x:c>
    </x:row>
    <x:row r="1555" ht="22" customHeight="1">
      <x:c r="A1555" s="1" t="str">
        <x:v>TOPIXmini</x:v>
      </x:c>
      <x:c r="B1555" s="1" t="str">
        <x:v>K05</x:v>
      </x:c>
      <x:c r="C1555" s="1" t="str">
        <x:v>全50場</x:v>
      </x:c>
      <x:c r="D1555" s="47" t="n">
        <x:v>4524792</x:v>
      </x:c>
      <x:c r="E1555" s="47" t="n">
        <x:v>6352179</x:v>
      </x:c>
      <x:c r="F1555" s="47" t="n">
        <x:f>D1555-E1555</x:f>
        <x:v>-1827387</x:v>
      </x:c>
      <x:c r="G1555" s="49" t="n">
        <x:v>5</x:v>
      </x:c>
      <x:c r="H1555" s="49" t="n">
        <x:v>20</x:v>
      </x:c>
      <x:c r="I1555" s="47" t="n">
        <x:v>-1949250</x:v>
      </x:c>
      <x:c r="J1555" s="49" t="n">
        <x:v>1804</x:v>
      </x:c>
      <x:c r="K1555" s="47" t="n">
        <x:v>-316936</x:v>
      </x:c>
      <x:c r="L1555" s="47" t="n">
        <x:v>98818.15</x:v>
      </x:c>
      <x:c r="M1555" s="48" t="n">
        <x:v>6.554666666666667</x:v>
      </x:c>
      <x:c r="N1555" s="48" t="n">
        <x:v>478.684</x:v>
      </x:c>
      <x:c r="O1555" s="49" t="n">
        <x:v>7</x:v>
      </x:c>
      <x:c r="P1555" s="1" t="str">
        <x:v>基準併用：反対合議で返済後に反転・標準</x:v>
      </x:c>
      <x:c r="Q1555" s="49" t="n">
        <x:v>0</x:v>
      </x:c>
      <x:c r="R1555" s="50" t="n">
        <x:v>0.8296036630036631</x:v>
      </x:c>
      <x:c r="S1555" s="50" t="n">
        <x:v>0.8074966261808367</x:v>
      </x:c>
      <x:c r="T1555" s="1" t="str">
        <x:v>下落</x:v>
      </x:c>
      <x:c r="U1555" s="49" t="n">
        <x:v>25</x:v>
      </x:c>
    </x:row>
    <x:row r="1556" ht="22" customHeight="1">
      <x:c r="A1556" s="1" t="str">
        <x:v>TOPIXmini</x:v>
      </x:c>
      <x:c r="B1556" s="1" t="str">
        <x:v>K05</x:v>
      </x:c>
      <x:c r="C1556" s="1" t="str">
        <x:v>対照47場</x:v>
      </x:c>
      <x:c r="D1556" s="47" t="n">
        <x:v>7298997</x:v>
      </x:c>
      <x:c r="E1556" s="47" t="n">
        <x:v>11328758</x:v>
      </x:c>
      <x:c r="F1556" s="47" t="n">
        <x:f>D1556-E1556</x:f>
        <x:v>-4029761</x:v>
      </x:c>
      <x:c r="G1556" s="49" t="n">
        <x:v>4</x:v>
      </x:c>
      <x:c r="H1556" s="49" t="n">
        <x:v>43</x:v>
      </x:c>
      <x:c r="I1556" s="47" t="n">
        <x:v>-4115541</x:v>
      </x:c>
      <x:c r="J1556" s="49" t="n">
        <x:v>3112</x:v>
      </x:c>
      <x:c r="K1556" s="47" t="n">
        <x:v>-316936</x:v>
      </x:c>
      <x:c r="L1556" s="47" t="n">
        <x:v>95732.74418604652</x:v>
      </x:c>
      <x:c r="M1556" s="48" t="n">
        <x:v>5.558156028368795</x:v>
      </x:c>
      <x:c r="N1556" s="48" t="n">
        <x:v>471.44716312056744</x:v>
      </x:c>
      <x:c r="O1556" s="49" t="n">
        <x:v>7</x:v>
      </x:c>
      <x:c r="P1556" s="1" t="str">
        <x:v>基準併用：反対合議で返済後に反転・標準</x:v>
      </x:c>
      <x:c r="Q1556" s="49" t="n">
        <x:v>0</x:v>
      </x:c>
      <x:c r="R1556" s="50" t="n">
        <x:v>0.81052652430312</x:v>
      </x:c>
      <x:c r="S1556" s="50" t="n">
        <x:v>0.7907928860337854</x:v>
      </x:c>
      <x:c r="T1556" s="1" t="str">
        <x:v>全場</x:v>
      </x:c>
      <x:c r="U1556" s="49" t="n">
        <x:v>47</x:v>
      </x:c>
    </x:row>
    <x:row r="1557" ht="22" customHeight="1">
      <x:c r="A1557" s="1" t="str">
        <x:v>TOPIXmini</x:v>
      </x:c>
      <x:c r="B1557" s="1" t="str">
        <x:v>K05</x:v>
      </x:c>
      <x:c r="C1557" s="1" t="str">
        <x:v>対照47場</x:v>
      </x:c>
      <x:c r="D1557" s="47" t="n">
        <x:v>3804860</x:v>
      </x:c>
      <x:c r="E1557" s="47" t="n">
        <x:v>6193430</x:v>
      </x:c>
      <x:c r="F1557" s="47" t="n">
        <x:f>D1557-E1557</x:f>
        <x:v>-2388570</x:v>
      </x:c>
      <x:c r="G1557" s="49" t="n">
        <x:v>4</x:v>
      </x:c>
      <x:c r="H1557" s="49" t="n">
        <x:v>20</x:v>
      </x:c>
      <x:c r="I1557" s="47" t="n">
        <x:v>-2474350</x:v>
      </x:c>
      <x:c r="J1557" s="49" t="n">
        <x:v>1738</x:v>
      </x:c>
      <x:c r="K1557" s="47" t="n">
        <x:v>-316936</x:v>
      </x:c>
      <x:c r="L1557" s="47" t="n">
        <x:v>123765.85</x:v>
      </x:c>
      <x:c r="M1557" s="48" t="n">
        <x:v>4.756944444444444</x:v>
      </x:c>
      <x:c r="N1557" s="48" t="n">
        <x:v>367.3</x:v>
      </x:c>
      <x:c r="O1557" s="49" t="n">
        <x:v>7</x:v>
      </x:c>
      <x:c r="P1557" s="1" t="str">
        <x:v>基準併用：反対合議で返済後に反転・標準</x:v>
      </x:c>
      <x:c r="Q1557" s="49" t="n">
        <x:v>0</x:v>
      </x:c>
      <x:c r="R1557" s="50" t="n">
        <x:v>0.8745238095238096</x:v>
      </x:c>
      <x:c r="S1557" s="50" t="n">
        <x:v>0.8745238095238096</x:v>
      </x:c>
      <x:c r="T1557" s="1" t="str">
        <x:v>デイ</x:v>
      </x:c>
      <x:c r="U1557" s="49" t="n">
        <x:v>24</x:v>
      </x:c>
    </x:row>
    <x:row r="1558" ht="22" customHeight="1">
      <x:c r="A1558" s="1" t="str">
        <x:v>TOPIXmini</x:v>
      </x:c>
      <x:c r="B1558" s="1" t="str">
        <x:v>K05</x:v>
      </x:c>
      <x:c r="C1558" s="1" t="str">
        <x:v>対照47場</x:v>
      </x:c>
      <x:c r="D1558" s="47" t="n">
        <x:v>3494137</x:v>
      </x:c>
      <x:c r="E1558" s="47" t="n">
        <x:v>5135328</x:v>
      </x:c>
      <x:c r="F1558" s="47" t="n">
        <x:f>D1558-E1558</x:f>
        <x:v>-1641191</x:v>
      </x:c>
      <x:c r="G1558" s="49" t="n">
        <x:v>0</x:v>
      </x:c>
      <x:c r="H1558" s="49" t="n">
        <x:v>23</x:v>
      </x:c>
      <x:c r="I1558" s="47" t="n">
        <x:v>-1641191</x:v>
      </x:c>
      <x:c r="J1558" s="49" t="n">
        <x:v>1374</x:v>
      </x:c>
      <x:c r="K1558" s="47" t="n">
        <x:v>-153960</x:v>
      </x:c>
      <x:c r="L1558" s="47" t="n">
        <x:v>71356.13043478261</x:v>
      </x:c>
      <x:c r="M1558" s="48" t="n">
        <x:v>6.394202898550725</x:v>
      </x:c>
      <x:c r="N1558" s="48" t="n">
        <x:v>580.122463768116</x:v>
      </x:c>
      <x:c r="O1558" s="49" t="n">
        <x:v>7</x:v>
      </x:c>
      <x:c r="P1558" s="1" t="str">
        <x:v>基準併用：反対合議で返済後に反転・標準</x:v>
      </x:c>
      <x:c r="Q1558" s="49" t="n">
        <x:v>0</x:v>
      </x:c>
      <x:c r="R1558" s="50" t="n">
        <x:v>0.7437467484206615</x:v>
      </x:c>
      <x:c r="S1558" s="50" t="n">
        <x:v>0.7437467484206615</x:v>
      </x:c>
      <x:c r="T1558" s="1" t="str">
        <x:v>ナイト</x:v>
      </x:c>
      <x:c r="U1558" s="49" t="n">
        <x:v>23</x:v>
      </x:c>
    </x:row>
    <x:row r="1559" ht="22" customHeight="1">
      <x:c r="A1559" s="1" t="str">
        <x:v>TOPIXmini</x:v>
      </x:c>
      <x:c r="B1559" s="1" t="str">
        <x:v>K05</x:v>
      </x:c>
      <x:c r="C1559" s="1" t="str">
        <x:v>対照47場</x:v>
      </x:c>
      <x:c r="D1559" s="47" t="n">
        <x:v>3473914</x:v>
      </x:c>
      <x:c r="E1559" s="47" t="n">
        <x:v>5601842</x:v>
      </x:c>
      <x:c r="F1559" s="47" t="n">
        <x:f>D1559-E1559</x:f>
        <x:v>-2127928</x:v>
      </x:c>
      <x:c r="G1559" s="49" t="n">
        <x:v>1</x:v>
      </x:c>
      <x:c r="H1559" s="49" t="n">
        <x:v>23</x:v>
      </x:c>
      <x:c r="I1559" s="47" t="n">
        <x:v>-2140145</x:v>
      </x:c>
      <x:c r="J1559" s="49" t="n">
        <x:v>1490</x:v>
      </x:c>
      <x:c r="K1559" s="47" t="n">
        <x:v>-232365</x:v>
      </x:c>
      <x:c r="L1559" s="47" t="n">
        <x:v>93049.78260869565</x:v>
      </x:c>
      <x:c r="M1559" s="48" t="n">
        <x:v>4.336805555555556</x:v>
      </x:c>
      <x:c r="N1559" s="48" t="n">
        <x:v>467.6006944444444</x:v>
      </x:c>
      <x:c r="O1559" s="49" t="n">
        <x:v>7</x:v>
      </x:c>
      <x:c r="P1559" s="1" t="str">
        <x:v>基準併用：反対合議で返済後に反転・標準</x:v>
      </x:c>
      <x:c r="Q1559" s="49" t="n">
        <x:v>0</x:v>
      </x:c>
      <x:c r="R1559" s="50" t="n">
        <x:v>0.7959303774928775</x:v>
      </x:c>
      <x:c r="S1559" s="50" t="n">
        <x:v>0.7793344907407407</x:v>
      </x:c>
      <x:c r="T1559" s="1" t="str">
        <x:v>上昇</x:v>
      </x:c>
      <x:c r="U1559" s="49" t="n">
        <x:v>24</x:v>
      </x:c>
    </x:row>
    <x:row r="1560" ht="22" customHeight="1">
      <x:c r="A1560" s="1" t="str">
        <x:v>TOPIXmini</x:v>
      </x:c>
      <x:c r="B1560" s="1" t="str">
        <x:v>K05</x:v>
      </x:c>
      <x:c r="C1560" s="1" t="str">
        <x:v>対照47場</x:v>
      </x:c>
      <x:c r="D1560" s="47" t="n">
        <x:v>3825083</x:v>
      </x:c>
      <x:c r="E1560" s="47" t="n">
        <x:v>5726916</x:v>
      </x:c>
      <x:c r="F1560" s="47" t="n">
        <x:f>D1560-E1560</x:f>
        <x:v>-1901833</x:v>
      </x:c>
      <x:c r="G1560" s="49" t="n">
        <x:v>3</x:v>
      </x:c>
      <x:c r="H1560" s="49" t="n">
        <x:v>20</x:v>
      </x:c>
      <x:c r="I1560" s="47" t="n">
        <x:v>-1976363</x:v>
      </x:c>
      <x:c r="J1560" s="49" t="n">
        <x:v>1622</x:v>
      </x:c>
      <x:c r="K1560" s="47" t="n">
        <x:v>-316936</x:v>
      </x:c>
      <x:c r="L1560" s="47" t="n">
        <x:v>98818.15</x:v>
      </x:c>
      <x:c r="M1560" s="48" t="n">
        <x:v>6.832608695652173</x:v>
      </x:c>
      <x:c r="N1560" s="48" t="n">
        <x:v>475.4608695652173</x:v>
      </x:c>
      <x:c r="O1560" s="49" t="n">
        <x:v>7</x:v>
      </x:c>
      <x:c r="P1560" s="1" t="str">
        <x:v>基準併用：反対合議で返済後に反転・標準</x:v>
      </x:c>
      <x:c r="Q1560" s="49" t="n">
        <x:v>0</x:v>
      </x:c>
      <x:c r="R1560" s="50" t="n">
        <x:v>0.8257572861920689</x:v>
      </x:c>
      <x:c r="S1560" s="50" t="n">
        <x:v>0.8029074889867842</x:v>
      </x:c>
      <x:c r="T1560" s="1" t="str">
        <x:v>下落</x:v>
      </x:c>
      <x:c r="U1560" s="49" t="n">
        <x:v>23</x:v>
      </x:c>
    </x:row>
    <x:row r="1561" ht="22" customHeight="1">
      <x:c r="A1561" s="1" t="str">
        <x:v>TOPIXmini</x:v>
      </x:c>
      <x:c r="B1561" s="1" t="str">
        <x:v>K05</x:v>
      </x:c>
      <x:c r="C1561" s="1" t="str">
        <x:v>診断3場</x:v>
      </x:c>
      <x:c r="D1561" s="47" t="n">
        <x:v>901807</x:v>
      </x:c>
      <x:c r="E1561" s="47" t="n">
        <x:v>894728</x:v>
      </x:c>
      <x:c r="F1561" s="47" t="n">
        <x:f>D1561-E1561</x:f>
        <x:v>7079</x:v>
      </x:c>
      <x:c r="G1561" s="49" t="n">
        <x:v>2</x:v>
      </x:c>
      <x:c r="H1561" s="49" t="n">
        <x:v>1</x:v>
      </x:c>
      <x:c r="I1561" s="47" t="n">
        <x:v>-67367</x:v>
      </x:c>
      <x:c r="J1561" s="49" t="n">
        <x:v>258</x:v>
      </x:c>
      <x:c r="K1561" s="47" t="n">
        <x:v>-67367</x:v>
      </x:c>
      <x:c r="L1561" s="47" t="n">
        <x:v>67367</x:v>
      </x:c>
      <x:c r="M1561" s="48" t="n">
        <x:v>2.983333333333333</x:v>
      </x:c>
      <x:c r="N1561" s="48" t="n">
        <x:v>552.85</x:v>
      </x:c>
      <x:c r="O1561" s="49" t="n">
        <x:v>7</x:v>
      </x:c>
      <x:c r="P1561" s="1" t="str">
        <x:v>基準併用：反対合議で返済後に反転・標準</x:v>
      </x:c>
      <x:c r="Q1561" s="49" t="n">
        <x:v>0</x:v>
      </x:c>
      <x:c r="R1561" s="50" t="n">
        <x:v>0.8505280830280829</x:v>
      </x:c>
      <x:c r="S1561" s="50" t="n">
        <x:v>0.8376515151515151</x:v>
      </x:c>
      <x:c r="T1561" s="1" t="str">
        <x:v>全場</x:v>
      </x:c>
      <x:c r="U1561" s="49" t="n">
        <x:v>3</x:v>
      </x:c>
    </x:row>
    <x:row r="1562" ht="22" customHeight="1">
      <x:c r="A1562" s="1" t="str">
        <x:v>TOPIXmini</x:v>
      </x:c>
      <x:c r="B1562" s="1" t="str">
        <x:v>K05</x:v>
      </x:c>
      <x:c r="C1562" s="1" t="str">
        <x:v>診断3場</x:v>
      </x:c>
      <x:c r="D1562" s="47" t="n">
        <x:v>408940</x:v>
      </x:c>
      <x:c r="E1562" s="47" t="n">
        <x:v>382794</x:v>
      </x:c>
      <x:c r="F1562" s="47" t="n">
        <x:f>D1562-E1562</x:f>
        <x:v>26146</x:v>
      </x:c>
      <x:c r="G1562" s="49" t="n">
        <x:v>1</x:v>
      </x:c>
      <x:c r="H1562" s="49" t="n">
        <x:v>0</x:v>
      </x:c>
      <x:c r="I1562" s="47" t="n">
        <x:v>0</x:v>
      </x:c>
      <x:c r="J1562" s="49" t="n">
        <x:v>95</x:v>
      </x:c>
      <x:c r="K1562" s="47" t="n">
        <x:v>26146</x:v>
      </x:c>
      <x:c r="L1562" s="47" t="n">
        <x:v>0</x:v>
      </x:c>
      <x:c r="M1562" s="48" t="n">
        <x:v>2.716666666666667</x:v>
      </x:c>
      <x:c r="N1562" s="48" t="n">
        <x:v>386.96666666666664</x:v>
      </x:c>
      <x:c r="O1562" s="49" t="n">
        <x:v>7</x:v>
      </x:c>
      <x:c r="P1562" s="1" t="str">
        <x:v>基準併用：反対合議で返済後に反転・標準</x:v>
      </x:c>
      <x:c r="Q1562" s="49" t="n">
        <x:v>0</x:v>
      </x:c>
      <x:c r="R1562" s="50" t="n">
        <x:v>0.9213492063492064</x:v>
      </x:c>
      <x:c r="S1562" s="50" t="n">
        <x:v>0.9213492063492063</x:v>
      </x:c>
      <x:c r="T1562" s="1" t="str">
        <x:v>デイ</x:v>
      </x:c>
      <x:c r="U1562" s="49" t="n">
        <x:v>1</x:v>
      </x:c>
    </x:row>
    <x:row r="1563" ht="22" customHeight="1">
      <x:c r="A1563" s="1" t="str">
        <x:v>TOPIXmini</x:v>
      </x:c>
      <x:c r="B1563" s="1" t="str">
        <x:v>K05</x:v>
      </x:c>
      <x:c r="C1563" s="1" t="str">
        <x:v>診断3場</x:v>
      </x:c>
      <x:c r="D1563" s="47" t="n">
        <x:v>492867</x:v>
      </x:c>
      <x:c r="E1563" s="47" t="n">
        <x:v>511934</x:v>
      </x:c>
      <x:c r="F1563" s="47" t="n">
        <x:f>D1563-E1563</x:f>
        <x:v>-19067</x:v>
      </x:c>
      <x:c r="G1563" s="49" t="n">
        <x:v>1</x:v>
      </x:c>
      <x:c r="H1563" s="49" t="n">
        <x:v>1</x:v>
      </x:c>
      <x:c r="I1563" s="47" t="n">
        <x:v>-67367</x:v>
      </x:c>
      <x:c r="J1563" s="49" t="n">
        <x:v>163</x:v>
      </x:c>
      <x:c r="K1563" s="47" t="n">
        <x:v>-67367</x:v>
      </x:c>
      <x:c r="L1563" s="47" t="n">
        <x:v>67367</x:v>
      </x:c>
      <x:c r="M1563" s="48" t="n">
        <x:v>3.1166666666666667</x:v>
      </x:c>
      <x:c r="N1563" s="48" t="n">
        <x:v>635.7916666666666</x:v>
      </x:c>
      <x:c r="O1563" s="49" t="n">
        <x:v>7</x:v>
      </x:c>
      <x:c r="P1563" s="1" t="str">
        <x:v>基準併用：反対合議で返済後に反転・標準</x:v>
      </x:c>
      <x:c r="Q1563" s="49" t="n">
        <x:v>0</x:v>
      </x:c>
      <x:c r="R1563" s="50" t="n">
        <x:v>0.8151175213675214</x:v>
      </x:c>
      <x:c r="S1563" s="50" t="n">
        <x:v>0.8151175213675214</x:v>
      </x:c>
      <x:c r="T1563" s="1" t="str">
        <x:v>ナイト</x:v>
      </x:c>
      <x:c r="U1563" s="49" t="n">
        <x:v>2</x:v>
      </x:c>
    </x:row>
    <x:row r="1564" ht="22" customHeight="1">
      <x:c r="A1564" s="1" t="str">
        <x:v>TOPIXmini</x:v>
      </x:c>
      <x:c r="B1564" s="1" t="str">
        <x:v>K05</x:v>
      </x:c>
      <x:c r="C1564" s="1" t="str">
        <x:v>診断3場</x:v>
      </x:c>
      <x:c r="D1564" s="47" t="n">
        <x:v>202098</x:v>
      </x:c>
      <x:c r="E1564" s="47" t="n">
        <x:v>269465</x:v>
      </x:c>
      <x:c r="F1564" s="47" t="n">
        <x:f>D1564-E1564</x:f>
        <x:v>-67367</x:v>
      </x:c>
      <x:c r="G1564" s="49" t="n">
        <x:v>0</x:v>
      </x:c>
      <x:c r="H1564" s="49" t="n">
        <x:v>1</x:v>
      </x:c>
      <x:c r="I1564" s="47" t="n">
        <x:v>-67367</x:v>
      </x:c>
      <x:c r="J1564" s="49" t="n">
        <x:v>76</x:v>
      </x:c>
      <x:c r="K1564" s="47" t="n">
        <x:v>-67367</x:v>
      </x:c>
      <x:c r="L1564" s="47" t="n">
        <x:v>67367</x:v>
      </x:c>
      <x:c r="M1564" s="48" t="n">
        <x:v>2.2333333333333334</x:v>
      </x:c>
      <x:c r="N1564" s="48" t="n">
        <x:v>627.05</x:v>
      </x:c>
      <x:c r="O1564" s="49" t="n">
        <x:v>7</x:v>
      </x:c>
      <x:c r="P1564" s="1" t="str">
        <x:v>基準併用：反対合議で返済後に反転・標準</x:v>
      </x:c>
      <x:c r="Q1564" s="49" t="n">
        <x:v>0</x:v>
      </x:c>
      <x:c r="R1564" s="50" t="n">
        <x:v>0.8039102564102564</x:v>
      </x:c>
      <x:c r="S1564" s="50" t="n">
        <x:v>0.8039102564102564</x:v>
      </x:c>
      <x:c r="T1564" s="1" t="str">
        <x:v>上昇</x:v>
      </x:c>
      <x:c r="U1564" s="49" t="n">
        <x:v>1</x:v>
      </x:c>
    </x:row>
    <x:row r="1565" ht="22" customHeight="1">
      <x:c r="A1565" s="1" t="str">
        <x:v>TOPIXmini</x:v>
      </x:c>
      <x:c r="B1565" s="1" t="str">
        <x:v>K05</x:v>
      </x:c>
      <x:c r="C1565" s="1" t="str">
        <x:v>診断3場</x:v>
      </x:c>
      <x:c r="D1565" s="47" t="n">
        <x:v>699709</x:v>
      </x:c>
      <x:c r="E1565" s="47" t="n">
        <x:v>625263</x:v>
      </x:c>
      <x:c r="F1565" s="47" t="n">
        <x:f>D1565-E1565</x:f>
        <x:v>74446</x:v>
      </x:c>
      <x:c r="G1565" s="49" t="n">
        <x:v>2</x:v>
      </x:c>
      <x:c r="H1565" s="49" t="n">
        <x:v>0</x:v>
      </x:c>
      <x:c r="I1565" s="47" t="n">
        <x:v>0</x:v>
      </x:c>
      <x:c r="J1565" s="49" t="n">
        <x:v>182</x:v>
      </x:c>
      <x:c r="K1565" s="47" t="n">
        <x:v>26146</x:v>
      </x:c>
      <x:c r="L1565" s="47" t="n">
        <x:v>0</x:v>
      </x:c>
      <x:c r="M1565" s="48" t="n">
        <x:v>3.3583333333333334</x:v>
      </x:c>
      <x:c r="N1565" s="48" t="n">
        <x:v>515.75</x:v>
      </x:c>
      <x:c r="O1565" s="49" t="n">
        <x:v>7</x:v>
      </x:c>
      <x:c r="P1565" s="1" t="str">
        <x:v>基準併用：反対合議で返済後に反転・標準</x:v>
      </x:c>
      <x:c r="Q1565" s="49" t="n">
        <x:v>0</x:v>
      </x:c>
      <x:c r="R1565" s="50" t="n">
        <x:v>0.8738369963369963</x:v>
      </x:c>
      <x:c r="S1565" s="50" t="n">
        <x:v>0.8595833333333334</x:v>
      </x:c>
      <x:c r="T1565" s="1" t="str">
        <x:v>下落</x:v>
      </x:c>
      <x:c r="U1565" s="49" t="n">
        <x:v>2</x:v>
      </x:c>
    </x:row>
    <x:row r="1566" ht="22" customHeight="1">
      <x:c r="A1566" s="1" t="str">
        <x:v>TOPIXmini</x:v>
      </x:c>
      <x:c r="B1566" s="1" t="str">
        <x:v>K06</x:v>
      </x:c>
      <x:c r="C1566" s="1" t="str">
        <x:v>全50場</x:v>
      </x:c>
      <x:c r="D1566" s="47" t="n">
        <x:v>8200124</x:v>
      </x:c>
      <x:c r="E1566" s="47" t="n">
        <x:v>11950696</x:v>
      </x:c>
      <x:c r="F1566" s="47" t="n">
        <x:f>D1566-E1566</x:f>
        <x:v>-3750572</x:v>
      </x:c>
      <x:c r="G1566" s="49" t="n">
        <x:v>8</x:v>
      </x:c>
      <x:c r="H1566" s="49" t="n">
        <x:v>42</x:v>
      </x:c>
      <x:c r="I1566" s="47" t="n">
        <x:v>-3893348</x:v>
      </x:c>
      <x:c r="J1566" s="49" t="n">
        <x:v>3285</x:v>
      </x:c>
      <x:c r="K1566" s="47" t="n">
        <x:v>-320936</x:v>
      </x:c>
      <x:c r="L1566" s="47" t="n">
        <x:v>94739.61904761905</x:v>
      </x:c>
      <x:c r="M1566" s="48" t="n">
        <x:v>5.403666666666667</x:v>
      </x:c>
      <x:c r="N1566" s="48" t="n">
        <x:v>514.7216666666667</x:v>
      </x:c>
      <x:c r="O1566" s="49" t="n">
        <x:v>7</x:v>
      </x:c>
      <x:c r="P1566" s="1" t="str">
        <x:v>基準併用：反対合議で返済後に反転・広め</x:v>
      </x:c>
      <x:c r="Q1566" s="49" t="n">
        <x:v>0</x:v>
      </x:c>
      <x:c r="R1566" s="50" t="n">
        <x:v>0.8682552503052503</x:v>
      </x:c>
      <x:c r="S1566" s="50" t="n">
        <x:v>0.8578694444444444</x:v>
      </x:c>
      <x:c r="T1566" s="1" t="str">
        <x:v>全場</x:v>
      </x:c>
      <x:c r="U1566" s="49" t="n">
        <x:v>50</x:v>
      </x:c>
    </x:row>
    <x:row r="1567" ht="22" customHeight="1">
      <x:c r="A1567" s="1" t="str">
        <x:v>TOPIXmini</x:v>
      </x:c>
      <x:c r="B1567" s="1" t="str">
        <x:v>K06</x:v>
      </x:c>
      <x:c r="C1567" s="1" t="str">
        <x:v>全50場</x:v>
      </x:c>
      <x:c r="D1567" s="47" t="n">
        <x:v>4163460</x:v>
      </x:c>
      <x:c r="E1567" s="47" t="n">
        <x:v>6480568</x:v>
      </x:c>
      <x:c r="F1567" s="47" t="n">
        <x:f>D1567-E1567</x:f>
        <x:v>-2317108</x:v>
      </x:c>
      <x:c r="G1567" s="49" t="n">
        <x:v>5</x:v>
      </x:c>
      <x:c r="H1567" s="49" t="n">
        <x:v>20</x:v>
      </x:c>
      <x:c r="I1567" s="47" t="n">
        <x:v>-2459884</x:v>
      </x:c>
      <x:c r="J1567" s="49" t="n">
        <x:v>1807</x:v>
      </x:c>
      <x:c r="K1567" s="47" t="n">
        <x:v>-320936</x:v>
      </x:c>
      <x:c r="L1567" s="47" t="n">
        <x:v>124474.75</x:v>
      </x:c>
      <x:c r="M1567" s="48" t="n">
        <x:v>4.675333333333333</x:v>
      </x:c>
      <x:c r="N1567" s="48" t="n">
        <x:v>379.2073333333333</x:v>
      </x:c>
      <x:c r="O1567" s="49" t="n">
        <x:v>7</x:v>
      </x:c>
      <x:c r="P1567" s="1" t="str">
        <x:v>基準併用：反対合議で返済後に反転・広め</x:v>
      </x:c>
      <x:c r="Q1567" s="49" t="n">
        <x:v>0</x:v>
      </x:c>
      <x:c r="R1567" s="50" t="n">
        <x:v>0.9028746031746031</x:v>
      </x:c>
      <x:c r="S1567" s="50" t="n">
        <x:v>0.9028746031746031</x:v>
      </x:c>
      <x:c r="T1567" s="1" t="str">
        <x:v>デイ</x:v>
      </x:c>
      <x:c r="U1567" s="49" t="n">
        <x:v>25</x:v>
      </x:c>
    </x:row>
    <x:row r="1568" ht="22" customHeight="1">
      <x:c r="A1568" s="1" t="str">
        <x:v>TOPIXmini</x:v>
      </x:c>
      <x:c r="B1568" s="1" t="str">
        <x:v>K06</x:v>
      </x:c>
      <x:c r="C1568" s="1" t="str">
        <x:v>全50場</x:v>
      </x:c>
      <x:c r="D1568" s="47" t="n">
        <x:v>4036664</x:v>
      </x:c>
      <x:c r="E1568" s="47" t="n">
        <x:v>5470128</x:v>
      </x:c>
      <x:c r="F1568" s="47" t="n">
        <x:f>D1568-E1568</x:f>
        <x:v>-1433464</x:v>
      </x:c>
      <x:c r="G1568" s="49" t="n">
        <x:v>3</x:v>
      </x:c>
      <x:c r="H1568" s="49" t="n">
        <x:v>22</x:v>
      </x:c>
      <x:c r="I1568" s="47" t="n">
        <x:v>-1489569</x:v>
      </x:c>
      <x:c r="J1568" s="49" t="n">
        <x:v>1478</x:v>
      </x:c>
      <x:c r="K1568" s="47" t="n">
        <x:v>-154628</x:v>
      </x:c>
      <x:c r="L1568" s="47" t="n">
        <x:v>67707.68181818182</x:v>
      </x:c>
      <x:c r="M1568" s="48" t="n">
        <x:v>6.132</x:v>
      </x:c>
      <x:c r="N1568" s="48" t="n">
        <x:v>650.2359999999999</x:v>
      </x:c>
      <x:c r="O1568" s="49" t="n">
        <x:v>7</x:v>
      </x:c>
      <x:c r="P1568" s="1" t="str">
        <x:v>基準併用：反対合議で返済後に反転・広め</x:v>
      </x:c>
      <x:c r="Q1568" s="49" t="n">
        <x:v>0</x:v>
      </x:c>
      <x:c r="R1568" s="50" t="n">
        <x:v>0.8336358974358973</x:v>
      </x:c>
      <x:c r="S1568" s="50" t="n">
        <x:v>0.8336358974358974</x:v>
      </x:c>
      <x:c r="T1568" s="1" t="str">
        <x:v>ナイト</x:v>
      </x:c>
      <x:c r="U1568" s="49" t="n">
        <x:v>25</x:v>
      </x:c>
    </x:row>
    <x:row r="1569" ht="22" customHeight="1">
      <x:c r="A1569" s="1" t="str">
        <x:v>TOPIXmini</x:v>
      </x:c>
      <x:c r="B1569" s="1" t="str">
        <x:v>K06</x:v>
      </x:c>
      <x:c r="C1569" s="1" t="str">
        <x:v>全50場</x:v>
      </x:c>
      <x:c r="D1569" s="47" t="n">
        <x:v>3689336</x:v>
      </x:c>
      <x:c r="E1569" s="47" t="n">
        <x:v>5665671</x:v>
      </x:c>
      <x:c r="F1569" s="47" t="n">
        <x:f>D1569-E1569</x:f>
        <x:v>-1976335</x:v>
      </x:c>
      <x:c r="G1569" s="49" t="n">
        <x:v>2</x:v>
      </x:c>
      <x:c r="H1569" s="49" t="n">
        <x:v>23</x:v>
      </x:c>
      <x:c r="I1569" s="47" t="n">
        <x:v>-2028347</x:v>
      </x:c>
      <x:c r="J1569" s="49" t="n">
        <x:v>1506</x:v>
      </x:c>
      <x:c r="K1569" s="47" t="n">
        <x:v>-229199</x:v>
      </x:c>
      <x:c r="L1569" s="47" t="n">
        <x:v>88189</x:v>
      </x:c>
      <x:c r="M1569" s="48" t="n">
        <x:v>4.252666666666667</x:v>
      </x:c>
      <x:c r="N1569" s="48" t="n">
        <x:v>522.9993333333333</x:v>
      </x:c>
      <x:c r="O1569" s="49" t="n">
        <x:v>7</x:v>
      </x:c>
      <x:c r="P1569" s="1" t="str">
        <x:v>基準併用：反対合議で返済後に反転・広め</x:v>
      </x:c>
      <x:c r="Q1569" s="49" t="n">
        <x:v>0</x:v>
      </x:c>
      <x:c r="R1569" s="50" t="n">
        <x:v>0.8694372405372406</x:v>
      </x:c>
      <x:c r="S1569" s="50" t="n">
        <x:v>0.8613296003513395</x:v>
      </x:c>
      <x:c r="T1569" s="1" t="str">
        <x:v>上昇</x:v>
      </x:c>
      <x:c r="U1569" s="49" t="n">
        <x:v>25</x:v>
      </x:c>
    </x:row>
    <x:row r="1570" ht="22" customHeight="1">
      <x:c r="A1570" s="1" t="str">
        <x:v>TOPIXmini</x:v>
      </x:c>
      <x:c r="B1570" s="1" t="str">
        <x:v>K06</x:v>
      </x:c>
      <x:c r="C1570" s="1" t="str">
        <x:v>全50場</x:v>
      </x:c>
      <x:c r="D1570" s="47" t="n">
        <x:v>4510788</x:v>
      </x:c>
      <x:c r="E1570" s="47" t="n">
        <x:v>6285025</x:v>
      </x:c>
      <x:c r="F1570" s="47" t="n">
        <x:f>D1570-E1570</x:f>
        <x:v>-1774237</x:v>
      </x:c>
      <x:c r="G1570" s="49" t="n">
        <x:v>6</x:v>
      </x:c>
      <x:c r="H1570" s="49" t="n">
        <x:v>19</x:v>
      </x:c>
      <x:c r="I1570" s="47" t="n">
        <x:v>-1910096</x:v>
      </x:c>
      <x:c r="J1570" s="49" t="n">
        <x:v>1779</x:v>
      </x:c>
      <x:c r="K1570" s="47" t="n">
        <x:v>-320936</x:v>
      </x:c>
      <x:c r="L1570" s="47" t="n">
        <x:v>102669.31578947368</x:v>
      </x:c>
      <x:c r="M1570" s="48" t="n">
        <x:v>6.554666666666667</x:v>
      </x:c>
      <x:c r="N1570" s="48" t="n">
        <x:v>506.444</x:v>
      </x:c>
      <x:c r="O1570" s="49" t="n">
        <x:v>7</x:v>
      </x:c>
      <x:c r="P1570" s="1" t="str">
        <x:v>基準併用：反対合議で返済後に反転・広め</x:v>
      </x:c>
      <x:c r="Q1570" s="49" t="n">
        <x:v>0</x:v>
      </x:c>
      <x:c r="R1570" s="50" t="n">
        <x:v>0.86707326007326</x:v>
      </x:c>
      <x:c r="S1570" s="50" t="n">
        <x:v>0.8543252361673415</x:v>
      </x:c>
      <x:c r="T1570" s="1" t="str">
        <x:v>下落</x:v>
      </x:c>
      <x:c r="U1570" s="49" t="n">
        <x:v>25</x:v>
      </x:c>
    </x:row>
    <x:row r="1571" ht="22" customHeight="1">
      <x:c r="A1571" s="1" t="str">
        <x:v>TOPIXmini</x:v>
      </x:c>
      <x:c r="B1571" s="1" t="str">
        <x:v>K06</x:v>
      </x:c>
      <x:c r="C1571" s="1" t="str">
        <x:v>対照47場</x:v>
      </x:c>
      <x:c r="D1571" s="47" t="n">
        <x:v>7313483</x:v>
      </x:c>
      <x:c r="E1571" s="47" t="n">
        <x:v>11063130</x:v>
      </x:c>
      <x:c r="F1571" s="47" t="n">
        <x:f>D1571-E1571</x:f>
        <x:v>-3749647</x:v>
      </x:c>
      <x:c r="G1571" s="49" t="n">
        <x:v>6</x:v>
      </x:c>
      <x:c r="H1571" s="49" t="n">
        <x:v>41</x:v>
      </x:c>
      <x:c r="I1571" s="47" t="n">
        <x:v>-3892423</x:v>
      </x:c>
      <x:c r="J1571" s="49" t="n">
        <x:v>3033</x:v>
      </x:c>
      <x:c r="K1571" s="47" t="n">
        <x:v>-320936</x:v>
      </x:c>
      <x:c r="L1571" s="47" t="n">
        <x:v>95338.12195121951</x:v>
      </x:c>
      <x:c r="M1571" s="48" t="n">
        <x:v>5.558156028368795</x:v>
      </x:c>
      <x:c r="N1571" s="48" t="n">
        <x:v>510.15992907801416</x:v>
      </x:c>
      <x:c r="O1571" s="49" t="n">
        <x:v>7</x:v>
      </x:c>
      <x:c r="P1571" s="1" t="str">
        <x:v>基準併用：反対合議で返済後に反転・広め</x:v>
      </x:c>
      <x:c r="Q1571" s="49" t="n">
        <x:v>0</x:v>
      </x:c>
      <x:c r="R1571" s="50" t="n">
        <x:v>0.8665622970410203</x:v>
      </x:c>
      <x:c r="S1571" s="50" t="n">
        <x:v>0.8557286462050916</x:v>
      </x:c>
      <x:c r="T1571" s="1" t="str">
        <x:v>全場</x:v>
      </x:c>
      <x:c r="U1571" s="49" t="n">
        <x:v>47</x:v>
      </x:c>
    </x:row>
    <x:row r="1572" ht="22" customHeight="1">
      <x:c r="A1572" s="1" t="str">
        <x:v>TOPIXmini</x:v>
      </x:c>
      <x:c r="B1572" s="1" t="str">
        <x:v>K06</x:v>
      </x:c>
      <x:c r="C1572" s="1" t="str">
        <x:v>対照47場</x:v>
      </x:c>
      <x:c r="D1572" s="47" t="n">
        <x:v>3760520</x:v>
      </x:c>
      <x:c r="E1572" s="47" t="n">
        <x:v>6107106</x:v>
      </x:c>
      <x:c r="F1572" s="47" t="n">
        <x:f>D1572-E1572</x:f>
        <x:v>-2346586</x:v>
      </x:c>
      <x:c r="G1572" s="49" t="n">
        <x:v>4</x:v>
      </x:c>
      <x:c r="H1572" s="49" t="n">
        <x:v>20</x:v>
      </x:c>
      <x:c r="I1572" s="47" t="n">
        <x:v>-2489362</x:v>
      </x:c>
      <x:c r="J1572" s="49" t="n">
        <x:v>1714</x:v>
      </x:c>
      <x:c r="K1572" s="47" t="n">
        <x:v>-320936</x:v>
      </x:c>
      <x:c r="L1572" s="47" t="n">
        <x:v>124474.75</x:v>
      </x:c>
      <x:c r="M1572" s="48" t="n">
        <x:v>4.756944444444444</x:v>
      </x:c>
      <x:c r="N1572" s="48" t="n">
        <x:v>378.7124999999999</x:v>
      </x:c>
      <x:c r="O1572" s="49" t="n">
        <x:v>7</x:v>
      </x:c>
      <x:c r="P1572" s="1" t="str">
        <x:v>基準併用：反対合議で返済後に反転・広め</x:v>
      </x:c>
      <x:c r="Q1572" s="49" t="n">
        <x:v>0</x:v>
      </x:c>
      <x:c r="R1572" s="50" t="n">
        <x:v>0.9016964285714285</x:v>
      </x:c>
      <x:c r="S1572" s="50" t="n">
        <x:v>0.9016964285714286</x:v>
      </x:c>
      <x:c r="T1572" s="1" t="str">
        <x:v>デイ</x:v>
      </x:c>
      <x:c r="U1572" s="49" t="n">
        <x:v>24</x:v>
      </x:c>
    </x:row>
    <x:row r="1573" ht="22" customHeight="1">
      <x:c r="A1573" s="1" t="str">
        <x:v>TOPIXmini</x:v>
      </x:c>
      <x:c r="B1573" s="1" t="str">
        <x:v>K06</x:v>
      </x:c>
      <x:c r="C1573" s="1" t="str">
        <x:v>対照47場</x:v>
      </x:c>
      <x:c r="D1573" s="47" t="n">
        <x:v>3552963</x:v>
      </x:c>
      <x:c r="E1573" s="47" t="n">
        <x:v>4956024</x:v>
      </x:c>
      <x:c r="F1573" s="47" t="n">
        <x:f>D1573-E1573</x:f>
        <x:v>-1403061</x:v>
      </x:c>
      <x:c r="G1573" s="49" t="n">
        <x:v>2</x:v>
      </x:c>
      <x:c r="H1573" s="49" t="n">
        <x:v>21</x:v>
      </x:c>
      <x:c r="I1573" s="47" t="n">
        <x:v>-1419368</x:v>
      </x:c>
      <x:c r="J1573" s="49" t="n">
        <x:v>1319</x:v>
      </x:c>
      <x:c r="K1573" s="47" t="n">
        <x:v>-154628</x:v>
      </x:c>
      <x:c r="L1573" s="47" t="n">
        <x:v>67588.95238095238</x:v>
      </x:c>
      <x:c r="M1573" s="48" t="n">
        <x:v>6.394202898550725</x:v>
      </x:c>
      <x:c r="N1573" s="48" t="n">
        <x:v>647.3224637681159</x:v>
      </x:c>
      <x:c r="O1573" s="49" t="n">
        <x:v>7</x:v>
      </x:c>
      <x:c r="P1573" s="1" t="str">
        <x:v>基準併用：反対合議で返済後に反転・広め</x:v>
      </x:c>
      <x:c r="Q1573" s="49" t="n">
        <x:v>0</x:v>
      </x:c>
      <x:c r="R1573" s="50" t="n">
        <x:v>0.8299005945745077</x:v>
      </x:c>
      <x:c r="S1573" s="50" t="n">
        <x:v>0.8299005945745076</x:v>
      </x:c>
      <x:c r="T1573" s="1" t="str">
        <x:v>ナイト</x:v>
      </x:c>
      <x:c r="U1573" s="49" t="n">
        <x:v>23</x:v>
      </x:c>
    </x:row>
    <x:row r="1574" ht="22" customHeight="1">
      <x:c r="A1574" s="1" t="str">
        <x:v>TOPIXmini</x:v>
      </x:c>
      <x:c r="B1574" s="1" t="str">
        <x:v>K06</x:v>
      </x:c>
      <x:c r="C1574" s="1" t="str">
        <x:v>対照47場</x:v>
      </x:c>
      <x:c r="D1574" s="47" t="n">
        <x:v>3494570</x:v>
      </x:c>
      <x:c r="E1574" s="47" t="n">
        <x:v>5400704</x:v>
      </x:c>
      <x:c r="F1574" s="47" t="n">
        <x:f>D1574-E1574</x:f>
        <x:v>-1906134</x:v>
      </x:c>
      <x:c r="G1574" s="49" t="n">
        <x:v>2</x:v>
      </x:c>
      <x:c r="H1574" s="49" t="n">
        <x:v>22</x:v>
      </x:c>
      <x:c r="I1574" s="47" t="n">
        <x:v>-1958146</x:v>
      </x:c>
      <x:c r="J1574" s="49" t="n">
        <x:v>1431</x:v>
      </x:c>
      <x:c r="K1574" s="47" t="n">
        <x:v>-229199</x:v>
      </x:c>
      <x:c r="L1574" s="47" t="n">
        <x:v>89006.63636363637</x:v>
      </x:c>
      <x:c r="M1574" s="48" t="n">
        <x:v>4.336805555555556</x:v>
      </x:c>
      <x:c r="N1574" s="48" t="n">
        <x:v>515.4819444444444</x:v>
      </x:c>
      <x:c r="O1574" s="49" t="n">
        <x:v>7</x:v>
      </x:c>
      <x:c r="P1574" s="1" t="str">
        <x:v>基準併用：反対合議で返済後に反転・広め</x:v>
      </x:c>
      <x:c r="Q1574" s="49" t="n">
        <x:v>0</x:v>
      </x:c>
      <x:c r="R1574" s="50" t="n">
        <x:v>0.8680881155881156</x:v>
      </x:c>
      <x:c r="S1574" s="50" t="n">
        <x:v>0.859136574074074</x:v>
      </x:c>
      <x:c r="T1574" s="1" t="str">
        <x:v>上昇</x:v>
      </x:c>
      <x:c r="U1574" s="49" t="n">
        <x:v>24</x:v>
      </x:c>
    </x:row>
    <x:row r="1575" ht="22" customHeight="1">
      <x:c r="A1575" s="1" t="str">
        <x:v>TOPIXmini</x:v>
      </x:c>
      <x:c r="B1575" s="1" t="str">
        <x:v>K06</x:v>
      </x:c>
      <x:c r="C1575" s="1" t="str">
        <x:v>対照47場</x:v>
      </x:c>
      <x:c r="D1575" s="47" t="n">
        <x:v>3818913</x:v>
      </x:c>
      <x:c r="E1575" s="47" t="n">
        <x:v>5662426</x:v>
      </x:c>
      <x:c r="F1575" s="47" t="n">
        <x:f>D1575-E1575</x:f>
        <x:v>-1843513</x:v>
      </x:c>
      <x:c r="G1575" s="49" t="n">
        <x:v>4</x:v>
      </x:c>
      <x:c r="H1575" s="49" t="n">
        <x:v>19</x:v>
      </x:c>
      <x:c r="I1575" s="47" t="n">
        <x:v>-1950584</x:v>
      </x:c>
      <x:c r="J1575" s="49" t="n">
        <x:v>1602</x:v>
      </x:c>
      <x:c r="K1575" s="47" t="n">
        <x:v>-320936</x:v>
      </x:c>
      <x:c r="L1575" s="47" t="n">
        <x:v>102669.31578947368</x:v>
      </x:c>
      <x:c r="M1575" s="48" t="n">
        <x:v>6.832608695652173</x:v>
      </x:c>
      <x:c r="N1575" s="48" t="n">
        <x:v>504.60652173913047</x:v>
      </x:c>
      <x:c r="O1575" s="49" t="n">
        <x:v>7</x:v>
      </x:c>
      <x:c r="P1575" s="1" t="str">
        <x:v>基準併用：反対合議で返済後に反転・広め</x:v>
      </x:c>
      <x:c r="Q1575" s="49" t="n">
        <x:v>0</x:v>
      </x:c>
      <x:c r="R1575" s="50" t="n">
        <x:v>0.8649701385570951</x:v>
      </x:c>
      <x:c r="S1575" s="50" t="n">
        <x:v>0.8521255506607929</x:v>
      </x:c>
      <x:c r="T1575" s="1" t="str">
        <x:v>下落</x:v>
      </x:c>
      <x:c r="U1575" s="49" t="n">
        <x:v>23</x:v>
      </x:c>
    </x:row>
    <x:row r="1576" ht="22" customHeight="1">
      <x:c r="A1576" s="1" t="str">
        <x:v>TOPIXmini</x:v>
      </x:c>
      <x:c r="B1576" s="1" t="str">
        <x:v>K06</x:v>
      </x:c>
      <x:c r="C1576" s="1" t="str">
        <x:v>診断3場</x:v>
      </x:c>
      <x:c r="D1576" s="47" t="n">
        <x:v>886641</x:v>
      </x:c>
      <x:c r="E1576" s="47" t="n">
        <x:v>887566</x:v>
      </x:c>
      <x:c r="F1576" s="47" t="n">
        <x:f>D1576-E1576</x:f>
        <x:v>-925</x:v>
      </x:c>
      <x:c r="G1576" s="49" t="n">
        <x:v>2</x:v>
      </x:c>
      <x:c r="H1576" s="49" t="n">
        <x:v>1</x:v>
      </x:c>
      <x:c r="I1576" s="47" t="n">
        <x:v>-70201</x:v>
      </x:c>
      <x:c r="J1576" s="49" t="n">
        <x:v>252</x:v>
      </x:c>
      <x:c r="K1576" s="47" t="n">
        <x:v>-70201</x:v>
      </x:c>
      <x:c r="L1576" s="47" t="n">
        <x:v>70201</x:v>
      </x:c>
      <x:c r="M1576" s="48" t="n">
        <x:v>2.983333333333333</x:v>
      </x:c>
      <x:c r="N1576" s="48" t="n">
        <x:v>586.1888888888889</x:v>
      </x:c>
      <x:c r="O1576" s="49" t="n">
        <x:v>7</x:v>
      </x:c>
      <x:c r="P1576" s="1" t="str">
        <x:v>基準併用：反対合議で返済後に反転・広め</x:v>
      </x:c>
      <x:c r="Q1576" s="49" t="n">
        <x:v>0</x:v>
      </x:c>
      <x:c r="R1576" s="50" t="n">
        <x:v>0.8947781847781848</x:v>
      </x:c>
      <x:c r="S1576" s="50" t="n">
        <x:v>0.8881649831649832</x:v>
      </x:c>
      <x:c r="T1576" s="1" t="str">
        <x:v>全場</x:v>
      </x:c>
      <x:c r="U1576" s="49" t="n">
        <x:v>3</x:v>
      </x:c>
    </x:row>
    <x:row r="1577" ht="22" customHeight="1">
      <x:c r="A1577" s="1" t="str">
        <x:v>TOPIXmini</x:v>
      </x:c>
      <x:c r="B1577" s="1" t="str">
        <x:v>K06</x:v>
      </x:c>
      <x:c r="C1577" s="1" t="str">
        <x:v>診断3場</x:v>
      </x:c>
      <x:c r="D1577" s="47" t="n">
        <x:v>402940</x:v>
      </x:c>
      <x:c r="E1577" s="47" t="n">
        <x:v>373462</x:v>
      </x:c>
      <x:c r="F1577" s="47" t="n">
        <x:f>D1577-E1577</x:f>
        <x:v>29478</x:v>
      </x:c>
      <x:c r="G1577" s="49" t="n">
        <x:v>1</x:v>
      </x:c>
      <x:c r="H1577" s="49" t="n">
        <x:v>0</x:v>
      </x:c>
      <x:c r="I1577" s="47" t="n">
        <x:v>0</x:v>
      </x:c>
      <x:c r="J1577" s="49" t="n">
        <x:v>93</x:v>
      </x:c>
      <x:c r="K1577" s="47" t="n">
        <x:v>29478</x:v>
      </x:c>
      <x:c r="L1577" s="47" t="n">
        <x:v>0</x:v>
      </x:c>
      <x:c r="M1577" s="48" t="n">
        <x:v>2.716666666666667</x:v>
      </x:c>
      <x:c r="N1577" s="48" t="n">
        <x:v>391.0833333333333</x:v>
      </x:c>
      <x:c r="O1577" s="49" t="n">
        <x:v>7</x:v>
      </x:c>
      <x:c r="P1577" s="1" t="str">
        <x:v>基準併用：反対合議で返済後に反転・広め</x:v>
      </x:c>
      <x:c r="Q1577" s="49" t="n">
        <x:v>0</x:v>
      </x:c>
      <x:c r="R1577" s="50" t="n">
        <x:v>0.9311507936507937</x:v>
      </x:c>
      <x:c r="S1577" s="50" t="n">
        <x:v>0.9311507936507936</x:v>
      </x:c>
      <x:c r="T1577" s="1" t="str">
        <x:v>デイ</x:v>
      </x:c>
      <x:c r="U1577" s="49" t="n">
        <x:v>1</x:v>
      </x:c>
    </x:row>
    <x:row r="1578" ht="22" customHeight="1">
      <x:c r="A1578" s="1" t="str">
        <x:v>TOPIXmini</x:v>
      </x:c>
      <x:c r="B1578" s="1" t="str">
        <x:v>K06</x:v>
      </x:c>
      <x:c r="C1578" s="1" t="str">
        <x:v>診断3場</x:v>
      </x:c>
      <x:c r="D1578" s="47" t="n">
        <x:v>483701</x:v>
      </x:c>
      <x:c r="E1578" s="47" t="n">
        <x:v>514104</x:v>
      </x:c>
      <x:c r="F1578" s="47" t="n">
        <x:f>D1578-E1578</x:f>
        <x:v>-30403</x:v>
      </x:c>
      <x:c r="G1578" s="49" t="n">
        <x:v>1</x:v>
      </x:c>
      <x:c r="H1578" s="49" t="n">
        <x:v>1</x:v>
      </x:c>
      <x:c r="I1578" s="47" t="n">
        <x:v>-70201</x:v>
      </x:c>
      <x:c r="J1578" s="49" t="n">
        <x:v>159</x:v>
      </x:c>
      <x:c r="K1578" s="47" t="n">
        <x:v>-70201</x:v>
      </x:c>
      <x:c r="L1578" s="47" t="n">
        <x:v>70201</x:v>
      </x:c>
      <x:c r="M1578" s="48" t="n">
        <x:v>3.1166666666666667</x:v>
      </x:c>
      <x:c r="N1578" s="48" t="n">
        <x:v>683.7416666666667</x:v>
      </x:c>
      <x:c r="O1578" s="49" t="n">
        <x:v>7</x:v>
      </x:c>
      <x:c r="P1578" s="1" t="str">
        <x:v>基準併用：反対合議で返済後に反転・広め</x:v>
      </x:c>
      <x:c r="Q1578" s="49" t="n">
        <x:v>0</x:v>
      </x:c>
      <x:c r="R1578" s="50" t="n">
        <x:v>0.8765918803418804</x:v>
      </x:c>
      <x:c r="S1578" s="50" t="n">
        <x:v>0.8765918803418804</x:v>
      </x:c>
      <x:c r="T1578" s="1" t="str">
        <x:v>ナイト</x:v>
      </x:c>
      <x:c r="U1578" s="49" t="n">
        <x:v>2</x:v>
      </x:c>
    </x:row>
    <x:row r="1579" ht="22" customHeight="1">
      <x:c r="A1579" s="1" t="str">
        <x:v>TOPIXmini</x:v>
      </x:c>
      <x:c r="B1579" s="1" t="str">
        <x:v>K06</x:v>
      </x:c>
      <x:c r="C1579" s="1" t="str">
        <x:v>診断3場</x:v>
      </x:c>
      <x:c r="D1579" s="47" t="n">
        <x:v>194766</x:v>
      </x:c>
      <x:c r="E1579" s="47" t="n">
        <x:v>264967</x:v>
      </x:c>
      <x:c r="F1579" s="47" t="n">
        <x:f>D1579-E1579</x:f>
        <x:v>-70201</x:v>
      </x:c>
      <x:c r="G1579" s="49" t="n">
        <x:v>0</x:v>
      </x:c>
      <x:c r="H1579" s="49" t="n">
        <x:v>1</x:v>
      </x:c>
      <x:c r="I1579" s="47" t="n">
        <x:v>-70201</x:v>
      </x:c>
      <x:c r="J1579" s="49" t="n">
        <x:v>75</x:v>
      </x:c>
      <x:c r="K1579" s="47" t="n">
        <x:v>-70201</x:v>
      </x:c>
      <x:c r="L1579" s="47" t="n">
        <x:v>70201</x:v>
      </x:c>
      <x:c r="M1579" s="48" t="n">
        <x:v>2.2333333333333334</x:v>
      </x:c>
      <x:c r="N1579" s="48" t="n">
        <x:v>703.4166666666666</x:v>
      </x:c>
      <x:c r="O1579" s="49" t="n">
        <x:v>7</x:v>
      </x:c>
      <x:c r="P1579" s="1" t="str">
        <x:v>基準併用：反対合議で返済後に反転・広め</x:v>
      </x:c>
      <x:c r="Q1579" s="49" t="n">
        <x:v>0</x:v>
      </x:c>
      <x:c r="R1579" s="50" t="n">
        <x:v>0.9018162393162393</x:v>
      </x:c>
      <x:c r="S1579" s="50" t="n">
        <x:v>0.9018162393162392</x:v>
      </x:c>
      <x:c r="T1579" s="1" t="str">
        <x:v>上昇</x:v>
      </x:c>
      <x:c r="U1579" s="49" t="n">
        <x:v>1</x:v>
      </x:c>
    </x:row>
    <x:row r="1580" ht="22" customHeight="1">
      <x:c r="A1580" s="1" t="str">
        <x:v>TOPIXmini</x:v>
      </x:c>
      <x:c r="B1580" s="1" t="str">
        <x:v>K06</x:v>
      </x:c>
      <x:c r="C1580" s="1" t="str">
        <x:v>診断3場</x:v>
      </x:c>
      <x:c r="D1580" s="47" t="n">
        <x:v>691875</x:v>
      </x:c>
      <x:c r="E1580" s="47" t="n">
        <x:v>622599</x:v>
      </x:c>
      <x:c r="F1580" s="47" t="n">
        <x:f>D1580-E1580</x:f>
        <x:v>69276</x:v>
      </x:c>
      <x:c r="G1580" s="49" t="n">
        <x:v>2</x:v>
      </x:c>
      <x:c r="H1580" s="49" t="n">
        <x:v>0</x:v>
      </x:c>
      <x:c r="I1580" s="47" t="n">
        <x:v>0</x:v>
      </x:c>
      <x:c r="J1580" s="49" t="n">
        <x:v>177</x:v>
      </x:c>
      <x:c r="K1580" s="47" t="n">
        <x:v>29478</x:v>
      </x:c>
      <x:c r="L1580" s="47" t="n">
        <x:v>0</x:v>
      </x:c>
      <x:c r="M1580" s="48" t="n">
        <x:v>3.3583333333333334</x:v>
      </x:c>
      <x:c r="N1580" s="48" t="n">
        <x:v>527.575</x:v>
      </x:c>
      <x:c r="O1580" s="49" t="n">
        <x:v>7</x:v>
      </x:c>
      <x:c r="P1580" s="1" t="str">
        <x:v>基準併用：反対合議で返済後に反転・広め</x:v>
      </x:c>
      <x:c r="Q1580" s="49" t="n">
        <x:v>0</x:v>
      </x:c>
      <x:c r="R1580" s="50" t="n">
        <x:v>0.8912591575091575</x:v>
      </x:c>
      <x:c r="S1580" s="50" t="n">
        <x:v>0.8792916666666667</x:v>
      </x:c>
      <x:c r="T1580" s="1" t="str">
        <x:v>下落</x:v>
      </x:c>
      <x:c r="U1580" s="49" t="n">
        <x:v>2</x:v>
      </x:c>
    </x:row>
    <x:row r="1581" ht="22" customHeight="1">
      <x:c r="A1581" s="1" t="str">
        <x:v>TOPIXmini</x:v>
      </x:c>
      <x:c r="B1581" s="1" t="str">
        <x:v>K07</x:v>
      </x:c>
      <x:c r="C1581" s="1" t="str">
        <x:v>全50場</x:v>
      </x:c>
      <x:c r="D1581" s="47" t="n">
        <x:v>8071068</x:v>
      </x:c>
      <x:c r="E1581" s="47" t="n">
        <x:v>10922308</x:v>
      </x:c>
      <x:c r="F1581" s="47" t="n">
        <x:f>D1581-E1581</x:f>
        <x:v>-2851240</x:v>
      </x:c>
      <x:c r="G1581" s="49" t="n">
        <x:v>10</x:v>
      </x:c>
      <x:c r="H1581" s="49" t="n">
        <x:v>40</x:v>
      </x:c>
      <x:c r="I1581" s="47" t="n">
        <x:v>-3064275</x:v>
      </x:c>
      <x:c r="J1581" s="49" t="n">
        <x:v>2783</x:v>
      </x:c>
      <x:c r="K1581" s="47" t="n">
        <x:v>-276446</x:v>
      </x:c>
      <x:c r="L1581" s="47" t="n">
        <x:v>80724.95</x:v>
      </x:c>
      <x:c r="M1581" s="48" t="n">
        <x:v>5.653</x:v>
      </x:c>
      <x:c r="N1581" s="48" t="n">
        <x:v>477.92499999999995</x:v>
      </x:c>
      <x:c r="O1581" s="49" t="n">
        <x:v>7</x:v>
      </x:c>
      <x:c r="P1581" s="1" t="str">
        <x:v>基準併用：価格と原板の合議・標準</x:v>
      </x:c>
      <x:c r="Q1581" s="49" t="n">
        <x:v>0</x:v>
      </x:c>
      <x:c r="R1581" s="50" t="n">
        <x:v>0.818270879120879</x:v>
      </x:c>
      <x:c r="S1581" s="50" t="n">
        <x:v>0.7965416666666667</x:v>
      </x:c>
      <x:c r="T1581" s="1" t="str">
        <x:v>全場</x:v>
      </x:c>
      <x:c r="U1581" s="49" t="n">
        <x:v>50</x:v>
      </x:c>
    </x:row>
    <x:row r="1582" ht="22" customHeight="1">
      <x:c r="A1582" s="1" t="str">
        <x:v>TOPIXmini</x:v>
      </x:c>
      <x:c r="B1582" s="1" t="str">
        <x:v>K07</x:v>
      </x:c>
      <x:c r="C1582" s="1" t="str">
        <x:v>全50場</x:v>
      </x:c>
      <x:c r="D1582" s="47" t="n">
        <x:v>4128436</x:v>
      </x:c>
      <x:c r="E1582" s="47" t="n">
        <x:v>6045214</x:v>
      </x:c>
      <x:c r="F1582" s="47" t="n">
        <x:f>D1582-E1582</x:f>
        <x:v>-1916778</x:v>
      </x:c>
      <x:c r="G1582" s="49" t="n">
        <x:v>7</x:v>
      </x:c>
      <x:c r="H1582" s="49" t="n">
        <x:v>18</x:v>
      </x:c>
      <x:c r="I1582" s="47" t="n">
        <x:v>-2124113</x:v>
      </x:c>
      <x:c r="J1582" s="49" t="n">
        <x:v>1552</x:v>
      </x:c>
      <x:c r="K1582" s="47" t="n">
        <x:v>-276446</x:v>
      </x:c>
      <x:c r="L1582" s="47" t="n">
        <x:v>120657.83333333333</x:v>
      </x:c>
      <x:c r="M1582" s="48" t="n">
        <x:v>4.962</x:v>
      </x:c>
      <x:c r="N1582" s="48" t="n">
        <x:v>374.0946666666667</x:v>
      </x:c>
      <x:c r="O1582" s="49" t="n">
        <x:v>7</x:v>
      </x:c>
      <x:c r="P1582" s="1" t="str">
        <x:v>基準併用：価格と原板の合議・標準</x:v>
      </x:c>
      <x:c r="Q1582" s="49" t="n">
        <x:v>0</x:v>
      </x:c>
      <x:c r="R1582" s="50" t="n">
        <x:v>0.8907015873015872</x:v>
      </x:c>
      <x:c r="S1582" s="50" t="n">
        <x:v>0.8907015873015873</x:v>
      </x:c>
      <x:c r="T1582" s="1" t="str">
        <x:v>デイ</x:v>
      </x:c>
      <x:c r="U1582" s="49" t="n">
        <x:v>25</x:v>
      </x:c>
    </x:row>
    <x:row r="1583" ht="22" customHeight="1">
      <x:c r="A1583" s="1" t="str">
        <x:v>TOPIXmini</x:v>
      </x:c>
      <x:c r="B1583" s="1" t="str">
        <x:v>K07</x:v>
      </x:c>
      <x:c r="C1583" s="1" t="str">
        <x:v>全50場</x:v>
      </x:c>
      <x:c r="D1583" s="47" t="n">
        <x:v>3942632</x:v>
      </x:c>
      <x:c r="E1583" s="47" t="n">
        <x:v>4877094</x:v>
      </x:c>
      <x:c r="F1583" s="47" t="n">
        <x:f>D1583-E1583</x:f>
        <x:v>-934462</x:v>
      </x:c>
      <x:c r="G1583" s="49" t="n">
        <x:v>3</x:v>
      </x:c>
      <x:c r="H1583" s="49" t="n">
        <x:v>22</x:v>
      </x:c>
      <x:c r="I1583" s="47" t="n">
        <x:v>-1057157</x:v>
      </x:c>
      <x:c r="J1583" s="49" t="n">
        <x:v>1231</x:v>
      </x:c>
      <x:c r="K1583" s="47" t="n">
        <x:v>-141802</x:v>
      </x:c>
      <x:c r="L1583" s="47" t="n">
        <x:v>48052.59090909091</x:v>
      </x:c>
      <x:c r="M1583" s="48" t="n">
        <x:v>6.343999999999999</x:v>
      </x:c>
      <x:c r="N1583" s="48" t="n">
        <x:v>581.7553333333333</x:v>
      </x:c>
      <x:c r="O1583" s="49" t="n">
        <x:v>7</x:v>
      </x:c>
      <x:c r="P1583" s="1" t="str">
        <x:v>基準併用：価格と原板の合議・標準</x:v>
      </x:c>
      <x:c r="Q1583" s="49" t="n">
        <x:v>0</x:v>
      </x:c>
      <x:c r="R1583" s="50" t="n">
        <x:v>0.745840170940171</x:v>
      </x:c>
      <x:c r="S1583" s="50" t="n">
        <x:v>0.745840170940171</x:v>
      </x:c>
      <x:c r="T1583" s="1" t="str">
        <x:v>ナイト</x:v>
      </x:c>
      <x:c r="U1583" s="49" t="n">
        <x:v>25</x:v>
      </x:c>
    </x:row>
    <x:row r="1584" ht="22" customHeight="1">
      <x:c r="A1584" s="1" t="str">
        <x:v>TOPIXmini</x:v>
      </x:c>
      <x:c r="B1584" s="1" t="str">
        <x:v>K07</x:v>
      </x:c>
      <x:c r="C1584" s="1" t="str">
        <x:v>全50場</x:v>
      </x:c>
      <x:c r="D1584" s="47" t="n">
        <x:v>3562976</x:v>
      </x:c>
      <x:c r="E1584" s="47" t="n">
        <x:v>5177633</x:v>
      </x:c>
      <x:c r="F1584" s="47" t="n">
        <x:f>D1584-E1584</x:f>
        <x:v>-1614657</x:v>
      </x:c>
      <x:c r="G1584" s="49" t="n">
        <x:v>4</x:v>
      </x:c>
      <x:c r="H1584" s="49" t="n">
        <x:v>21</x:v>
      </x:c>
      <x:c r="I1584" s="47" t="n">
        <x:v>-1741603</x:v>
      </x:c>
      <x:c r="J1584" s="49" t="n">
        <x:v>1273</x:v>
      </x:c>
      <x:c r="K1584" s="47" t="n">
        <x:v>-207870</x:v>
      </x:c>
      <x:c r="L1584" s="47" t="n">
        <x:v>82937.66666666667</x:v>
      </x:c>
      <x:c r="M1584" s="48" t="n">
        <x:v>4.472666666666667</x:v>
      </x:c>
      <x:c r="N1584" s="48" t="n">
        <x:v>471.1933333333334</x:v>
      </x:c>
      <x:c r="O1584" s="49" t="n">
        <x:v>7</x:v>
      </x:c>
      <x:c r="P1584" s="1" t="str">
        <x:v>基準併用：価格と原板の合議・標準</x:v>
      </x:c>
      <x:c r="Q1584" s="49" t="n">
        <x:v>0</x:v>
      </x:c>
      <x:c r="R1584" s="50" t="n">
        <x:v>0.7958229548229547</x:v>
      </x:c>
      <x:c r="S1584" s="50" t="n">
        <x:v>0.776010101010101</x:v>
      </x:c>
      <x:c r="T1584" s="1" t="str">
        <x:v>上昇</x:v>
      </x:c>
      <x:c r="U1584" s="49" t="n">
        <x:v>25</x:v>
      </x:c>
    </x:row>
    <x:row r="1585" ht="22" customHeight="1">
      <x:c r="A1585" s="1" t="str">
        <x:v>TOPIXmini</x:v>
      </x:c>
      <x:c r="B1585" s="1" t="str">
        <x:v>K07</x:v>
      </x:c>
      <x:c r="C1585" s="1" t="str">
        <x:v>全50場</x:v>
      </x:c>
      <x:c r="D1585" s="47" t="n">
        <x:v>4508092</x:v>
      </x:c>
      <x:c r="E1585" s="47" t="n">
        <x:v>5744675</x:v>
      </x:c>
      <x:c r="F1585" s="47" t="n">
        <x:f>D1585-E1585</x:f>
        <x:v>-1236583</x:v>
      </x:c>
      <x:c r="G1585" s="49" t="n">
        <x:v>6</x:v>
      </x:c>
      <x:c r="H1585" s="49" t="n">
        <x:v>19</x:v>
      </x:c>
      <x:c r="I1585" s="47" t="n">
        <x:v>-1439422</x:v>
      </x:c>
      <x:c r="J1585" s="49" t="n">
        <x:v>1510</x:v>
      </x:c>
      <x:c r="K1585" s="47" t="n">
        <x:v>-276446</x:v>
      </x:c>
      <x:c r="L1585" s="47" t="n">
        <x:v>78279.31578947368</x:v>
      </x:c>
      <x:c r="M1585" s="48" t="n">
        <x:v>6.833333333333332</x:v>
      </x:c>
      <x:c r="N1585" s="48" t="n">
        <x:v>484.6566666666667</x:v>
      </x:c>
      <x:c r="O1585" s="49" t="n">
        <x:v>7</x:v>
      </x:c>
      <x:c r="P1585" s="1" t="str">
        <x:v>基準併用：価格と原板の合議・標準</x:v>
      </x:c>
      <x:c r="Q1585" s="49" t="n">
        <x:v>0</x:v>
      </x:c>
      <x:c r="R1585" s="50" t="n">
        <x:v>0.8407188034188033</x:v>
      </x:c>
      <x:c r="S1585" s="50" t="n">
        <x:v>0.8175719748088168</x:v>
      </x:c>
      <x:c r="T1585" s="1" t="str">
        <x:v>下落</x:v>
      </x:c>
      <x:c r="U1585" s="49" t="n">
        <x:v>25</x:v>
      </x:c>
    </x:row>
    <x:row r="1586" ht="22" customHeight="1">
      <x:c r="A1586" s="1" t="str">
        <x:v>TOPIXmini</x:v>
      </x:c>
      <x:c r="B1586" s="1" t="str">
        <x:v>K07</x:v>
      </x:c>
      <x:c r="C1586" s="1" t="str">
        <x:v>対照47場</x:v>
      </x:c>
      <x:c r="D1586" s="47" t="n">
        <x:v>7205933</x:v>
      </x:c>
      <x:c r="E1586" s="47" t="n">
        <x:v>10154224</x:v>
      </x:c>
      <x:c r="F1586" s="47" t="n">
        <x:f>D1586-E1586</x:f>
        <x:v>-2948291</x:v>
      </x:c>
      <x:c r="G1586" s="49" t="n">
        <x:v>8</x:v>
      </x:c>
      <x:c r="H1586" s="49" t="n">
        <x:v>39</x:v>
      </x:c>
      <x:c r="I1586" s="47" t="n">
        <x:v>-3155626</x:v>
      </x:c>
      <x:c r="J1586" s="49" t="n">
        <x:v>2567</x:v>
      </x:c>
      <x:c r="K1586" s="47" t="n">
        <x:v>-276446</x:v>
      </x:c>
      <x:c r="L1586" s="47" t="n">
        <x:v>82601.35897435897</x:v>
      </x:c>
      <x:c r="M1586" s="48" t="n">
        <x:v>5.823404255319147</x:v>
      </x:c>
      <x:c r="N1586" s="48" t="n">
        <x:v>472.336524822695</x:v>
      </x:c>
      <x:c r="O1586" s="49" t="n">
        <x:v>7</x:v>
      </x:c>
      <x:c r="P1586" s="1" t="str">
        <x:v>基準併用：価格と原板の合議・標準</x:v>
      </x:c>
      <x:c r="Q1586" s="49" t="n">
        <x:v>0</x:v>
      </x:c>
      <x:c r="R1586" s="50" t="n">
        <x:v>0.8148367885070015</x:v>
      </x:c>
      <x:c r="S1586" s="50" t="n">
        <x:v>0.79228467761123</x:v>
      </x:c>
      <x:c r="T1586" s="1" t="str">
        <x:v>全場</x:v>
      </x:c>
      <x:c r="U1586" s="49" t="n">
        <x:v>47</x:v>
      </x:c>
    </x:row>
    <x:row r="1587" ht="22" customHeight="1">
      <x:c r="A1587" s="1" t="str">
        <x:v>TOPIXmini</x:v>
      </x:c>
      <x:c r="B1587" s="1" t="str">
        <x:v>K07</x:v>
      </x:c>
      <x:c r="C1587" s="1" t="str">
        <x:v>対照47場</x:v>
      </x:c>
      <x:c r="D1587" s="47" t="n">
        <x:v>3737662</x:v>
      </x:c>
      <x:c r="E1587" s="47" t="n">
        <x:v>5690246</x:v>
      </x:c>
      <x:c r="F1587" s="47" t="n">
        <x:f>D1587-E1587</x:f>
        <x:v>-1952584</x:v>
      </x:c>
      <x:c r="G1587" s="49" t="n">
        <x:v>6</x:v>
      </x:c>
      <x:c r="H1587" s="49" t="n">
        <x:v>18</x:v>
      </x:c>
      <x:c r="I1587" s="47" t="n">
        <x:v>-2159919</x:v>
      </x:c>
      <x:c r="J1587" s="49" t="n">
        <x:v>1467</x:v>
      </x:c>
      <x:c r="K1587" s="47" t="n">
        <x:v>-276446</x:v>
      </x:c>
      <x:c r="L1587" s="47" t="n">
        <x:v>120657.83333333333</x:v>
      </x:c>
      <x:c r="M1587" s="48" t="n">
        <x:v>5.055555555555555</x:v>
      </x:c>
      <x:c r="N1587" s="48" t="n">
        <x:v>372.94930555555555</x:v>
      </x:c>
      <x:c r="O1587" s="49" t="n">
        <x:v>7</x:v>
      </x:c>
      <x:c r="P1587" s="1" t="str">
        <x:v>基準併用：価格と原板の合議・標準</x:v>
      </x:c>
      <x:c r="Q1587" s="49" t="n">
        <x:v>0</x:v>
      </x:c>
      <x:c r="R1587" s="50" t="n">
        <x:v>0.887974537037037</x:v>
      </x:c>
      <x:c r="S1587" s="50" t="n">
        <x:v>0.887974537037037</x:v>
      </x:c>
      <x:c r="T1587" s="1" t="str">
        <x:v>デイ</x:v>
      </x:c>
      <x:c r="U1587" s="49" t="n">
        <x:v>24</x:v>
      </x:c>
    </x:row>
    <x:row r="1588" ht="22" customHeight="1">
      <x:c r="A1588" s="1" t="str">
        <x:v>TOPIXmini</x:v>
      </x:c>
      <x:c r="B1588" s="1" t="str">
        <x:v>K07</x:v>
      </x:c>
      <x:c r="C1588" s="1" t="str">
        <x:v>対照47場</x:v>
      </x:c>
      <x:c r="D1588" s="47" t="n">
        <x:v>3468271</x:v>
      </x:c>
      <x:c r="E1588" s="47" t="n">
        <x:v>4463978</x:v>
      </x:c>
      <x:c r="F1588" s="47" t="n">
        <x:f>D1588-E1588</x:f>
        <x:v>-995707</x:v>
      </x:c>
      <x:c r="G1588" s="49" t="n">
        <x:v>2</x:v>
      </x:c>
      <x:c r="H1588" s="49" t="n">
        <x:v>21</x:v>
      </x:c>
      <x:c r="I1588" s="47" t="n">
        <x:v>-1049612</x:v>
      </x:c>
      <x:c r="J1588" s="49" t="n">
        <x:v>1100</x:v>
      </x:c>
      <x:c r="K1588" s="47" t="n">
        <x:v>-141802</x:v>
      </x:c>
      <x:c r="L1588" s="47" t="n">
        <x:v>49981.52380952381</x:v>
      </x:c>
      <x:c r="M1588" s="48" t="n">
        <x:v>6.62463768115942</x:v>
      </x:c>
      <x:c r="N1588" s="48" t="n">
        <x:v>576.044927536232</x:v>
      </x:c>
      <x:c r="O1588" s="49" t="n">
        <x:v>7</x:v>
      </x:c>
      <x:c r="P1588" s="1" t="str">
        <x:v>基準併用：価格と原板の合議・標準</x:v>
      </x:c>
      <x:c r="Q1588" s="49" t="n">
        <x:v>0</x:v>
      </x:c>
      <x:c r="R1588" s="50" t="n">
        <x:v>0.738519137866964</x:v>
      </x:c>
      <x:c r="S1588" s="50" t="n">
        <x:v>0.7385191378669639</x:v>
      </x:c>
      <x:c r="T1588" s="1" t="str">
        <x:v>ナイト</x:v>
      </x:c>
      <x:c r="U1588" s="49" t="n">
        <x:v>23</x:v>
      </x:c>
    </x:row>
    <x:row r="1589" ht="22" customHeight="1">
      <x:c r="A1589" s="1" t="str">
        <x:v>TOPIXmini</x:v>
      </x:c>
      <x:c r="B1589" s="1" t="str">
        <x:v>K07</x:v>
      </x:c>
      <x:c r="C1589" s="1" t="str">
        <x:v>対照47場</x:v>
      </x:c>
      <x:c r="D1589" s="47" t="n">
        <x:v>3373882</x:v>
      </x:c>
      <x:c r="E1589" s="47" t="n">
        <x:v>4980994</x:v>
      </x:c>
      <x:c r="F1589" s="47" t="n">
        <x:f>D1589-E1589</x:f>
        <x:v>-1607112</x:v>
      </x:c>
      <x:c r="G1589" s="49" t="n">
        <x:v>4</x:v>
      </x:c>
      <x:c r="H1589" s="49" t="n">
        <x:v>20</x:v>
      </x:c>
      <x:c r="I1589" s="47" t="n">
        <x:v>-1734058</x:v>
      </x:c>
      <x:c r="J1589" s="49" t="n">
        <x:v>1214</x:v>
      </x:c>
      <x:c r="K1589" s="47" t="n">
        <x:v>-207870</x:v>
      </x:c>
      <x:c r="L1589" s="47" t="n">
        <x:v>86707.3</x:v>
      </x:c>
      <x:c r="M1589" s="48" t="n">
        <x:v>4.565972222222222</x:v>
      </x:c>
      <x:c r="N1589" s="48" t="n">
        <x:v>464.7979166666667</x:v>
      </x:c>
      <x:c r="O1589" s="49" t="n">
        <x:v>7</x:v>
      </x:c>
      <x:c r="P1589" s="1" t="str">
        <x:v>基準併用：価格と原板の合議・標準</x:v>
      </x:c>
      <x:c r="Q1589" s="49" t="n">
        <x:v>0</x:v>
      </x:c>
      <x:c r="R1589" s="50" t="n">
        <x:v>0.7956124084249083</x:v>
      </x:c>
      <x:c r="S1589" s="50" t="n">
        <x:v>0.7746631944444444</x:v>
      </x:c>
      <x:c r="T1589" s="1" t="str">
        <x:v>上昇</x:v>
      </x:c>
      <x:c r="U1589" s="49" t="n">
        <x:v>24</x:v>
      </x:c>
    </x:row>
    <x:row r="1590" ht="22" customHeight="1">
      <x:c r="A1590" s="1" t="str">
        <x:v>TOPIXmini</x:v>
      </x:c>
      <x:c r="B1590" s="1" t="str">
        <x:v>K07</x:v>
      </x:c>
      <x:c r="C1590" s="1" t="str">
        <x:v>対照47場</x:v>
      </x:c>
      <x:c r="D1590" s="47" t="n">
        <x:v>3832051</x:v>
      </x:c>
      <x:c r="E1590" s="47" t="n">
        <x:v>5173230</x:v>
      </x:c>
      <x:c r="F1590" s="47" t="n">
        <x:f>D1590-E1590</x:f>
        <x:v>-1341179</x:v>
      </x:c>
      <x:c r="G1590" s="49" t="n">
        <x:v>4</x:v>
      </x:c>
      <x:c r="H1590" s="49" t="n">
        <x:v>19</x:v>
      </x:c>
      <x:c r="I1590" s="47" t="n">
        <x:v>-1481346</x:v>
      </x:c>
      <x:c r="J1590" s="49" t="n">
        <x:v>1353</x:v>
      </x:c>
      <x:c r="K1590" s="47" t="n">
        <x:v>-276446</x:v>
      </x:c>
      <x:c r="L1590" s="47" t="n">
        <x:v>78279.31578947368</x:v>
      </x:c>
      <x:c r="M1590" s="48" t="n">
        <x:v>7.135507246376811</x:v>
      </x:c>
      <x:c r="N1590" s="48" t="n">
        <x:v>480.2028985507248</x:v>
      </x:c>
      <x:c r="O1590" s="49" t="n">
        <x:v>7</x:v>
      </x:c>
      <x:c r="P1590" s="1" t="str">
        <x:v>基準併用：価格と原板の合議・標準</x:v>
      </x:c>
      <x:c r="Q1590" s="49" t="n">
        <x:v>0</x:v>
      </x:c>
      <x:c r="R1590" s="50" t="n">
        <x:v>0.834897011201359</x:v>
      </x:c>
      <x:c r="S1590" s="50" t="n">
        <x:v>0.8109153206069505</x:v>
      </x:c>
      <x:c r="T1590" s="1" t="str">
        <x:v>下落</x:v>
      </x:c>
      <x:c r="U1590" s="49" t="n">
        <x:v>23</x:v>
      </x:c>
    </x:row>
    <x:row r="1591" ht="22" customHeight="1">
      <x:c r="A1591" s="1" t="str">
        <x:v>TOPIXmini</x:v>
      </x:c>
      <x:c r="B1591" s="1" t="str">
        <x:v>K07</x:v>
      </x:c>
      <x:c r="C1591" s="1" t="str">
        <x:v>診断3場</x:v>
      </x:c>
      <x:c r="D1591" s="47" t="n">
        <x:v>865135</x:v>
      </x:c>
      <x:c r="E1591" s="47" t="n">
        <x:v>768084</x:v>
      </x:c>
      <x:c r="F1591" s="47" t="n">
        <x:f>D1591-E1591</x:f>
        <x:v>97051</x:v>
      </x:c>
      <x:c r="G1591" s="49" t="n">
        <x:v>2</x:v>
      </x:c>
      <x:c r="H1591" s="49" t="n">
        <x:v>1</x:v>
      </x:c>
      <x:c r="I1591" s="47" t="n">
        <x:v>-7545</x:v>
      </x:c>
      <x:c r="J1591" s="49" t="n">
        <x:v>216</x:v>
      </x:c>
      <x:c r="K1591" s="47" t="n">
        <x:v>-7545</x:v>
      </x:c>
      <x:c r="L1591" s="47" t="n">
        <x:v>7545</x:v>
      </x:c>
      <x:c r="M1591" s="48" t="n">
        <x:v>2.983333333333333</x:v>
      </x:c>
      <x:c r="N1591" s="48" t="n">
        <x:v>565.4777777777778</x:v>
      </x:c>
      <x:c r="O1591" s="49" t="n">
        <x:v>7</x:v>
      </x:c>
      <x:c r="P1591" s="1" t="str">
        <x:v>基準併用：価格と原板の合議・標準</x:v>
      </x:c>
      <x:c r="Q1591" s="49" t="n">
        <x:v>0</x:v>
      </x:c>
      <x:c r="R1591" s="50" t="n">
        <x:v>0.8720716320716321</x:v>
      </x:c>
      <x:c r="S1591" s="50" t="n">
        <x:v>0.8567845117845116</x:v>
      </x:c>
      <x:c r="T1591" s="1" t="str">
        <x:v>全場</x:v>
      </x:c>
      <x:c r="U1591" s="49" t="n">
        <x:v>3</x:v>
      </x:c>
    </x:row>
    <x:row r="1592" ht="22" customHeight="1">
      <x:c r="A1592" s="1" t="str">
        <x:v>TOPIXmini</x:v>
      </x:c>
      <x:c r="B1592" s="1" t="str">
        <x:v>K07</x:v>
      </x:c>
      <x:c r="C1592" s="1" t="str">
        <x:v>診断3場</x:v>
      </x:c>
      <x:c r="D1592" s="47" t="n">
        <x:v>390774</x:v>
      </x:c>
      <x:c r="E1592" s="47" t="n">
        <x:v>354968</x:v>
      </x:c>
      <x:c r="F1592" s="47" t="n">
        <x:f>D1592-E1592</x:f>
        <x:v>35806</x:v>
      </x:c>
      <x:c r="G1592" s="49" t="n">
        <x:v>1</x:v>
      </x:c>
      <x:c r="H1592" s="49" t="n">
        <x:v>0</x:v>
      </x:c>
      <x:c r="I1592" s="47" t="n">
        <x:v>0</x:v>
      </x:c>
      <x:c r="J1592" s="49" t="n">
        <x:v>85</x:v>
      </x:c>
      <x:c r="K1592" s="47" t="n">
        <x:v>35806</x:v>
      </x:c>
      <x:c r="L1592" s="47" t="n">
        <x:v>0</x:v>
      </x:c>
      <x:c r="M1592" s="48" t="n">
        <x:v>2.716666666666667</x:v>
      </x:c>
      <x:c r="N1592" s="48" t="n">
        <x:v>401.5833333333333</x:v>
      </x:c>
      <x:c r="O1592" s="49" t="n">
        <x:v>7</x:v>
      </x:c>
      <x:c r="P1592" s="1" t="str">
        <x:v>基準併用：価格と原板の合議・標準</x:v>
      </x:c>
      <x:c r="Q1592" s="49" t="n">
        <x:v>0</x:v>
      </x:c>
      <x:c r="R1592" s="50" t="n">
        <x:v>0.9561507936507937</x:v>
      </x:c>
      <x:c r="S1592" s="50" t="n">
        <x:v>0.9561507936507936</x:v>
      </x:c>
      <x:c r="T1592" s="1" t="str">
        <x:v>デイ</x:v>
      </x:c>
      <x:c r="U1592" s="49" t="n">
        <x:v>1</x:v>
      </x:c>
    </x:row>
    <x:row r="1593" ht="22" customHeight="1">
      <x:c r="A1593" s="1" t="str">
        <x:v>TOPIXmini</x:v>
      </x:c>
      <x:c r="B1593" s="1" t="str">
        <x:v>K07</x:v>
      </x:c>
      <x:c r="C1593" s="1" t="str">
        <x:v>診断3場</x:v>
      </x:c>
      <x:c r="D1593" s="47" t="n">
        <x:v>474361</x:v>
      </x:c>
      <x:c r="E1593" s="47" t="n">
        <x:v>413116</x:v>
      </x:c>
      <x:c r="F1593" s="47" t="n">
        <x:f>D1593-E1593</x:f>
        <x:v>61245</x:v>
      </x:c>
      <x:c r="G1593" s="49" t="n">
        <x:v>1</x:v>
      </x:c>
      <x:c r="H1593" s="49" t="n">
        <x:v>1</x:v>
      </x:c>
      <x:c r="I1593" s="47" t="n">
        <x:v>-7545</x:v>
      </x:c>
      <x:c r="J1593" s="49" t="n">
        <x:v>131</x:v>
      </x:c>
      <x:c r="K1593" s="47" t="n">
        <x:v>-7545</x:v>
      </x:c>
      <x:c r="L1593" s="47" t="n">
        <x:v>7545</x:v>
      </x:c>
      <x:c r="M1593" s="48" t="n">
        <x:v>3.1166666666666667</x:v>
      </x:c>
      <x:c r="N1593" s="48" t="n">
        <x:v>647.425</x:v>
      </x:c>
      <x:c r="O1593" s="49" t="n">
        <x:v>7</x:v>
      </x:c>
      <x:c r="P1593" s="1" t="str">
        <x:v>基準併用：価格と原板の合議・標準</x:v>
      </x:c>
      <x:c r="Q1593" s="49" t="n">
        <x:v>0</x:v>
      </x:c>
      <x:c r="R1593" s="50" t="n">
        <x:v>0.8300320512820513</x:v>
      </x:c>
      <x:c r="S1593" s="50" t="n">
        <x:v>0.8300320512820513</x:v>
      </x:c>
      <x:c r="T1593" s="1" t="str">
        <x:v>ナイト</x:v>
      </x:c>
      <x:c r="U1593" s="49" t="n">
        <x:v>2</x:v>
      </x:c>
    </x:row>
    <x:row r="1594" ht="22" customHeight="1">
      <x:c r="A1594" s="1" t="str">
        <x:v>TOPIXmini</x:v>
      </x:c>
      <x:c r="B1594" s="1" t="str">
        <x:v>K07</x:v>
      </x:c>
      <x:c r="C1594" s="1" t="str">
        <x:v>診断3場</x:v>
      </x:c>
      <x:c r="D1594" s="47" t="n">
        <x:v>189094</x:v>
      </x:c>
      <x:c r="E1594" s="47" t="n">
        <x:v>196639</x:v>
      </x:c>
      <x:c r="F1594" s="47" t="n">
        <x:f>D1594-E1594</x:f>
        <x:v>-7545</x:v>
      </x:c>
      <x:c r="G1594" s="49" t="n">
        <x:v>0</x:v>
      </x:c>
      <x:c r="H1594" s="49" t="n">
        <x:v>1</x:v>
      </x:c>
      <x:c r="I1594" s="47" t="n">
        <x:v>-7545</x:v>
      </x:c>
      <x:c r="J1594" s="49" t="n">
        <x:v>59</x:v>
      </x:c>
      <x:c r="K1594" s="47" t="n">
        <x:v>-7545</x:v>
      </x:c>
      <x:c r="L1594" s="47" t="n">
        <x:v>7545</x:v>
      </x:c>
      <x:c r="M1594" s="48" t="n">
        <x:v>2.2333333333333334</x:v>
      </x:c>
      <x:c r="N1594" s="48" t="n">
        <x:v>624.6833333333333</x:v>
      </x:c>
      <x:c r="O1594" s="49" t="n">
        <x:v>7</x:v>
      </x:c>
      <x:c r="P1594" s="1" t="str">
        <x:v>基準併用：価格と原板の合議・標準</x:v>
      </x:c>
      <x:c r="Q1594" s="49" t="n">
        <x:v>0</x:v>
      </x:c>
      <x:c r="R1594" s="50" t="n">
        <x:v>0.8008760683760684</x:v>
      </x:c>
      <x:c r="S1594" s="50" t="n">
        <x:v>0.8008760683760683</x:v>
      </x:c>
      <x:c r="T1594" s="1" t="str">
        <x:v>上昇</x:v>
      </x:c>
      <x:c r="U1594" s="49" t="n">
        <x:v>1</x:v>
      </x:c>
    </x:row>
    <x:row r="1595" ht="22" customHeight="1">
      <x:c r="A1595" s="1" t="str">
        <x:v>TOPIXmini</x:v>
      </x:c>
      <x:c r="B1595" s="1" t="str">
        <x:v>K07</x:v>
      </x:c>
      <x:c r="C1595" s="1" t="str">
        <x:v>診断3場</x:v>
      </x:c>
      <x:c r="D1595" s="47" t="n">
        <x:v>676041</x:v>
      </x:c>
      <x:c r="E1595" s="47" t="n">
        <x:v>571445</x:v>
      </x:c>
      <x:c r="F1595" s="47" t="n">
        <x:f>D1595-E1595</x:f>
        <x:v>104596</x:v>
      </x:c>
      <x:c r="G1595" s="49" t="n">
        <x:v>2</x:v>
      </x:c>
      <x:c r="H1595" s="49" t="n">
        <x:v>0</x:v>
      </x:c>
      <x:c r="I1595" s="47" t="n">
        <x:v>0</x:v>
      </x:c>
      <x:c r="J1595" s="49" t="n">
        <x:v>157</x:v>
      </x:c>
      <x:c r="K1595" s="47" t="n">
        <x:v>35806</x:v>
      </x:c>
      <x:c r="L1595" s="47" t="n">
        <x:v>0</x:v>
      </x:c>
      <x:c r="M1595" s="48" t="n">
        <x:v>3.3583333333333334</x:v>
      </x:c>
      <x:c r="N1595" s="48" t="n">
        <x:v>535.875</x:v>
      </x:c>
      <x:c r="O1595" s="49" t="n">
        <x:v>7</x:v>
      </x:c>
      <x:c r="P1595" s="1" t="str">
        <x:v>基準併用：価格と原板の合議・標準</x:v>
      </x:c>
      <x:c r="Q1595" s="49" t="n">
        <x:v>0</x:v>
      </x:c>
      <x:c r="R1595" s="50" t="n">
        <x:v>0.9076694139194139</x:v>
      </x:c>
      <x:c r="S1595" s="50" t="n">
        <x:v>0.893125</x:v>
      </x:c>
      <x:c r="T1595" s="1" t="str">
        <x:v>下落</x:v>
      </x:c>
      <x:c r="U1595" s="49" t="n">
        <x:v>2</x:v>
      </x:c>
    </x:row>
    <x:row r="1596" ht="22" customHeight="1">
      <x:c r="A1596" s="1" t="str">
        <x:v>TOPIXmini</x:v>
      </x:c>
      <x:c r="B1596" s="1" t="str">
        <x:v>K08</x:v>
      </x:c>
      <x:c r="C1596" s="1" t="str">
        <x:v>全50場</x:v>
      </x:c>
      <x:c r="D1596" s="47" t="n">
        <x:v>8015044</x:v>
      </x:c>
      <x:c r="E1596" s="47" t="n">
        <x:v>10703186</x:v>
      </x:c>
      <x:c r="F1596" s="47" t="n">
        <x:f>D1596-E1596</x:f>
        <x:v>-2688142</x:v>
      </x:c>
      <x:c r="G1596" s="49" t="n">
        <x:v>11</x:v>
      </x:c>
      <x:c r="H1596" s="49" t="n">
        <x:v>39</x:v>
      </x:c>
      <x:c r="I1596" s="47" t="n">
        <x:v>-2878809</x:v>
      </x:c>
      <x:c r="J1596" s="49" t="n">
        <x:v>2680</x:v>
      </x:c>
      <x:c r="K1596" s="47" t="n">
        <x:v>-289446</x:v>
      </x:c>
      <x:c r="L1596" s="47" t="n">
        <x:v>80085.97435897436</x:v>
      </x:c>
      <x:c r="M1596" s="48" t="n">
        <x:v>5.653</x:v>
      </x:c>
      <x:c r="N1596" s="48" t="n">
        <x:v>531.2366666666667</x:v>
      </x:c>
      <x:c r="O1596" s="49" t="n">
        <x:v>7</x:v>
      </x:c>
      <x:c r="P1596" s="1" t="str">
        <x:v>基準併用：価格と原板の合議・広め</x:v>
      </x:c>
      <x:c r="Q1596" s="49" t="n">
        <x:v>0</x:v>
      </x:c>
      <x:c r="R1596" s="50" t="n">
        <x:v>0.8937554334554334</x:v>
      </x:c>
      <x:c r="S1596" s="50" t="n">
        <x:v>0.8853944444444444</x:v>
      </x:c>
      <x:c r="T1596" s="1" t="str">
        <x:v>全場</x:v>
      </x:c>
      <x:c r="U1596" s="49" t="n">
        <x:v>50</x:v>
      </x:c>
    </x:row>
    <x:row r="1597" ht="22" customHeight="1">
      <x:c r="A1597" s="1" t="str">
        <x:v>TOPIXmini</x:v>
      </x:c>
      <x:c r="B1597" s="1" t="str">
        <x:v>K08</x:v>
      </x:c>
      <x:c r="C1597" s="1" t="str">
        <x:v>全50場</x:v>
      </x:c>
      <x:c r="D1597" s="47" t="n">
        <x:v>4130926</x:v>
      </x:c>
      <x:c r="E1597" s="47" t="n">
        <x:v>6023724</x:v>
      </x:c>
      <x:c r="F1597" s="47" t="n">
        <x:f>D1597-E1597</x:f>
        <x:v>-1892798</x:v>
      </x:c>
      <x:c r="G1597" s="49" t="n">
        <x:v>5</x:v>
      </x:c>
      <x:c r="H1597" s="49" t="n">
        <x:v>20</x:v>
      </x:c>
      <x:c r="I1597" s="47" t="n">
        <x:v>-2083465</x:v>
      </x:c>
      <x:c r="J1597" s="49" t="n">
        <x:v>1522</x:v>
      </x:c>
      <x:c r="K1597" s="47" t="n">
        <x:v>-289446</x:v>
      </x:c>
      <x:c r="L1597" s="47" t="n">
        <x:v>108148.7</x:v>
      </x:c>
      <x:c r="M1597" s="48" t="n">
        <x:v>4.962</x:v>
      </x:c>
      <x:c r="N1597" s="48" t="n">
        <x:v>387.0826666666667</x:v>
      </x:c>
      <x:c r="O1597" s="49" t="n">
        <x:v>7</x:v>
      </x:c>
      <x:c r="P1597" s="1" t="str">
        <x:v>基準併用：価格と原板の合議・広め</x:v>
      </x:c>
      <x:c r="Q1597" s="49" t="n">
        <x:v>0</x:v>
      </x:c>
      <x:c r="R1597" s="50" t="n">
        <x:v>0.9216253968253969</x:v>
      </x:c>
      <x:c r="S1597" s="50" t="n">
        <x:v>0.9216253968253969</x:v>
      </x:c>
      <x:c r="T1597" s="1" t="str">
        <x:v>デイ</x:v>
      </x:c>
      <x:c r="U1597" s="49" t="n">
        <x:v>25</x:v>
      </x:c>
    </x:row>
    <x:row r="1598" ht="22" customHeight="1">
      <x:c r="A1598" s="1" t="str">
        <x:v>TOPIXmini</x:v>
      </x:c>
      <x:c r="B1598" s="1" t="str">
        <x:v>K08</x:v>
      </x:c>
      <x:c r="C1598" s="1" t="str">
        <x:v>全50場</x:v>
      </x:c>
      <x:c r="D1598" s="47" t="n">
        <x:v>3884118</x:v>
      </x:c>
      <x:c r="E1598" s="47" t="n">
        <x:v>4679462</x:v>
      </x:c>
      <x:c r="F1598" s="47" t="n">
        <x:f>D1598-E1598</x:f>
        <x:v>-795344</x:v>
      </x:c>
      <x:c r="G1598" s="49" t="n">
        <x:v>6</x:v>
      </x:c>
      <x:c r="H1598" s="49" t="n">
        <x:v>19</x:v>
      </x:c>
      <x:c r="I1598" s="47" t="n">
        <x:v>-930025</x:v>
      </x:c>
      <x:c r="J1598" s="49" t="n">
        <x:v>1158</x:v>
      </x:c>
      <x:c r="K1598" s="47" t="n">
        <x:v>-148880</x:v>
      </x:c>
      <x:c r="L1598" s="47" t="n">
        <x:v>50546.26315789474</x:v>
      </x:c>
      <x:c r="M1598" s="48" t="n">
        <x:v>6.343999999999999</x:v>
      </x:c>
      <x:c r="N1598" s="48" t="n">
        <x:v>675.3906666666668</x:v>
      </x:c>
      <x:c r="O1598" s="49" t="n">
        <x:v>7</x:v>
      </x:c>
      <x:c r="P1598" s="1" t="str">
        <x:v>基準併用：価格と原板の合議・広め</x:v>
      </x:c>
      <x:c r="Q1598" s="49" t="n">
        <x:v>0</x:v>
      </x:c>
      <x:c r="R1598" s="50" t="n">
        <x:v>0.8658854700854702</x:v>
      </x:c>
      <x:c r="S1598" s="50" t="n">
        <x:v>0.8658854700854701</x:v>
      </x:c>
      <x:c r="T1598" s="1" t="str">
        <x:v>ナイト</x:v>
      </x:c>
      <x:c r="U1598" s="49" t="n">
        <x:v>25</x:v>
      </x:c>
    </x:row>
    <x:row r="1599" ht="22" customHeight="1">
      <x:c r="A1599" s="1" t="str">
        <x:v>TOPIXmini</x:v>
      </x:c>
      <x:c r="B1599" s="1" t="str">
        <x:v>K08</x:v>
      </x:c>
      <x:c r="C1599" s="1" t="str">
        <x:v>全50場</x:v>
      </x:c>
      <x:c r="D1599" s="47" t="n">
        <x:v>3576462</x:v>
      </x:c>
      <x:c r="E1599" s="47" t="n">
        <x:v>5041661</x:v>
      </x:c>
      <x:c r="F1599" s="47" t="n">
        <x:f>D1599-E1599</x:f>
        <x:v>-1465199</x:v>
      </x:c>
      <x:c r="G1599" s="49" t="n">
        <x:v>6</x:v>
      </x:c>
      <x:c r="H1599" s="49" t="n">
        <x:v>19</x:v>
      </x:c>
      <x:c r="I1599" s="47" t="n">
        <x:v>-1625307</x:v>
      </x:c>
      <x:c r="J1599" s="49" t="n">
        <x:v>1210</x:v>
      </x:c>
      <x:c r="K1599" s="47" t="n">
        <x:v>-213870</x:v>
      </x:c>
      <x:c r="L1599" s="47" t="n">
        <x:v>87140.05263157895</x:v>
      </x:c>
      <x:c r="M1599" s="48" t="n">
        <x:v>4.472666666666667</x:v>
      </x:c>
      <x:c r="N1599" s="48" t="n">
        <x:v>538.4373333333334</x:v>
      </x:c>
      <x:c r="O1599" s="49" t="n">
        <x:v>7</x:v>
      </x:c>
      <x:c r="P1599" s="1" t="str">
        <x:v>基準併用：価格と原板の合議・広め</x:v>
      </x:c>
      <x:c r="Q1599" s="49" t="n">
        <x:v>0</x:v>
      </x:c>
      <x:c r="R1599" s="50" t="n">
        <x:v>0.8941445665445665</x:v>
      </x:c>
      <x:c r="S1599" s="50" t="n">
        <x:v>0.8867545015371103</x:v>
      </x:c>
      <x:c r="T1599" s="1" t="str">
        <x:v>上昇</x:v>
      </x:c>
      <x:c r="U1599" s="49" t="n">
        <x:v>25</x:v>
      </x:c>
    </x:row>
    <x:row r="1600" ht="22" customHeight="1">
      <x:c r="A1600" s="1" t="str">
        <x:v>TOPIXmini</x:v>
      </x:c>
      <x:c r="B1600" s="1" t="str">
        <x:v>K08</x:v>
      </x:c>
      <x:c r="C1600" s="1" t="str">
        <x:v>全50場</x:v>
      </x:c>
      <x:c r="D1600" s="47" t="n">
        <x:v>4438582</x:v>
      </x:c>
      <x:c r="E1600" s="47" t="n">
        <x:v>5661525</x:v>
      </x:c>
      <x:c r="F1600" s="47" t="n">
        <x:f>D1600-E1600</x:f>
        <x:v>-1222943</x:v>
      </x:c>
      <x:c r="G1600" s="49" t="n">
        <x:v>5</x:v>
      </x:c>
      <x:c r="H1600" s="49" t="n">
        <x:v>20</x:v>
      </x:c>
      <x:c r="I1600" s="47" t="n">
        <x:v>-1392778</x:v>
      </x:c>
      <x:c r="J1600" s="49" t="n">
        <x:v>1470</x:v>
      </x:c>
      <x:c r="K1600" s="47" t="n">
        <x:v>-289446</x:v>
      </x:c>
      <x:c r="L1600" s="47" t="n">
        <x:v>73384.6</x:v>
      </x:c>
      <x:c r="M1600" s="48" t="n">
        <x:v>6.833333333333332</x:v>
      </x:c>
      <x:c r="N1600" s="48" t="n">
        <x:v>524.036</x:v>
      </x:c>
      <x:c r="O1600" s="49" t="n">
        <x:v>7</x:v>
      </x:c>
      <x:c r="P1600" s="1" t="str">
        <x:v>基準併用：価格と原板の合議・広め</x:v>
      </x:c>
      <x:c r="Q1600" s="49" t="n">
        <x:v>0</x:v>
      </x:c>
      <x:c r="R1600" s="50" t="n">
        <x:v>0.8933663003663004</x:v>
      </x:c>
      <x:c r="S1600" s="50" t="n">
        <x:v>0.8840013495276653</x:v>
      </x:c>
      <x:c r="T1600" s="1" t="str">
        <x:v>下落</x:v>
      </x:c>
      <x:c r="U1600" s="49" t="n">
        <x:v>25</x:v>
      </x:c>
    </x:row>
    <x:row r="1601" ht="22" customHeight="1">
      <x:c r="A1601" s="1" t="str">
        <x:v>TOPIXmini</x:v>
      </x:c>
      <x:c r="B1601" s="1" t="str">
        <x:v>K08</x:v>
      </x:c>
      <x:c r="C1601" s="1" t="str">
        <x:v>対照47場</x:v>
      </x:c>
      <x:c r="D1601" s="47" t="n">
        <x:v>7180577</x:v>
      </x:c>
      <x:c r="E1601" s="47" t="n">
        <x:v>9953430</x:v>
      </x:c>
      <x:c r="F1601" s="47" t="n">
        <x:f>D1601-E1601</x:f>
        <x:v>-2772853</x:v>
      </x:c>
      <x:c r="G1601" s="49" t="n">
        <x:v>8</x:v>
      </x:c>
      <x:c r="H1601" s="49" t="n">
        <x:v>39</x:v>
      </x:c>
      <x:c r="I1601" s="47" t="n">
        <x:v>-2963520</x:v>
      </x:c>
      <x:c r="J1601" s="49" t="n">
        <x:v>2474</x:v>
      </x:c>
      <x:c r="K1601" s="47" t="n">
        <x:v>-289446</x:v>
      </x:c>
      <x:c r="L1601" s="47" t="n">
        <x:v>80085.97435897436</x:v>
      </x:c>
      <x:c r="M1601" s="48" t="n">
        <x:v>5.823404255319147</x:v>
      </x:c>
      <x:c r="N1601" s="48" t="n">
        <x:v>526.6677304964539</x:v>
      </x:c>
      <x:c r="O1601" s="49" t="n">
        <x:v>7</x:v>
      </x:c>
      <x:c r="P1601" s="1" t="str">
        <x:v>基準併用：価格と原板の合議・広め</x:v>
      </x:c>
      <x:c r="Q1601" s="49" t="n">
        <x:v>0</x:v>
      </x:c>
      <x:c r="R1601" s="50" t="n">
        <x:v>0.8919826332060373</x:v>
      </x:c>
      <x:c r="S1601" s="50" t="n">
        <x:v>0.8834183916250298</x:v>
      </x:c>
      <x:c r="T1601" s="1" t="str">
        <x:v>全場</x:v>
      </x:c>
      <x:c r="U1601" s="49" t="n">
        <x:v>47</x:v>
      </x:c>
    </x:row>
    <x:row r="1602" ht="22" customHeight="1">
      <x:c r="A1602" s="1" t="str">
        <x:v>TOPIXmini</x:v>
      </x:c>
      <x:c r="B1602" s="1" t="str">
        <x:v>K08</x:v>
      </x:c>
      <x:c r="C1602" s="1" t="str">
        <x:v>対照47場</x:v>
      </x:c>
      <x:c r="D1602" s="47" t="n">
        <x:v>3746152</x:v>
      </x:c>
      <x:c r="E1602" s="47" t="n">
        <x:v>5678088</x:v>
      </x:c>
      <x:c r="F1602" s="47" t="n">
        <x:f>D1602-E1602</x:f>
        <x:v>-1931936</x:v>
      </x:c>
      <x:c r="G1602" s="49" t="n">
        <x:v>4</x:v>
      </x:c>
      <x:c r="H1602" s="49" t="n">
        <x:v>20</x:v>
      </x:c>
      <x:c r="I1602" s="47" t="n">
        <x:v>-2122603</x:v>
      </x:c>
      <x:c r="J1602" s="49" t="n">
        <x:v>1439</x:v>
      </x:c>
      <x:c r="K1602" s="47" t="n">
        <x:v>-289446</x:v>
      </x:c>
      <x:c r="L1602" s="47" t="n">
        <x:v>108148.7</x:v>
      </x:c>
      <x:c r="M1602" s="48" t="n">
        <x:v>5.055555555555555</x:v>
      </x:c>
      <x:c r="N1602" s="48" t="n">
        <x:v>386.2979166666667</x:v>
      </x:c>
      <x:c r="O1602" s="49" t="n">
        <x:v>7</x:v>
      </x:c>
      <x:c r="P1602" s="1" t="str">
        <x:v>基準併用：価格と原板の合議・広め</x:v>
      </x:c>
      <x:c r="Q1602" s="49" t="n">
        <x:v>0</x:v>
      </x:c>
      <x:c r="R1602" s="50" t="n">
        <x:v>0.9197569444444444</x:v>
      </x:c>
      <x:c r="S1602" s="50" t="n">
        <x:v>0.9197569444444444</x:v>
      </x:c>
      <x:c r="T1602" s="1" t="str">
        <x:v>デイ</x:v>
      </x:c>
      <x:c r="U1602" s="49" t="n">
        <x:v>24</x:v>
      </x:c>
    </x:row>
    <x:row r="1603" ht="22" customHeight="1">
      <x:c r="A1603" s="1" t="str">
        <x:v>TOPIXmini</x:v>
      </x:c>
      <x:c r="B1603" s="1" t="str">
        <x:v>K08</x:v>
      </x:c>
      <x:c r="C1603" s="1" t="str">
        <x:v>対照47場</x:v>
      </x:c>
      <x:c r="D1603" s="47" t="n">
        <x:v>3434425</x:v>
      </x:c>
      <x:c r="E1603" s="47" t="n">
        <x:v>4275342</x:v>
      </x:c>
      <x:c r="F1603" s="47" t="n">
        <x:f>D1603-E1603</x:f>
        <x:v>-840917</x:v>
      </x:c>
      <x:c r="G1603" s="49" t="n">
        <x:v>4</x:v>
      </x:c>
      <x:c r="H1603" s="49" t="n">
        <x:v>19</x:v>
      </x:c>
      <x:c r="I1603" s="47" t="n">
        <x:v>-950922</x:v>
      </x:c>
      <x:c r="J1603" s="49" t="n">
        <x:v>1035</x:v>
      </x:c>
      <x:c r="K1603" s="47" t="n">
        <x:v>-148880</x:v>
      </x:c>
      <x:c r="L1603" s="47" t="n">
        <x:v>50546.26315789474</x:v>
      </x:c>
      <x:c r="M1603" s="48" t="n">
        <x:v>6.62463768115942</x:v>
      </x:c>
      <x:c r="N1603" s="48" t="n">
        <x:v>673.1405797101451</x:v>
      </x:c>
      <x:c r="O1603" s="49" t="n">
        <x:v>7</x:v>
      </x:c>
      <x:c r="P1603" s="1" t="str">
        <x:v>基準併用：価格と原板の合議・広め</x:v>
      </x:c>
      <x:c r="Q1603" s="49" t="n">
        <x:v>0</x:v>
      </x:c>
      <x:c r="R1603" s="50" t="n">
        <x:v>0.8630007432181345</x:v>
      </x:c>
      <x:c r="S1603" s="50" t="n">
        <x:v>0.8630007432181346</x:v>
      </x:c>
      <x:c r="T1603" s="1" t="str">
        <x:v>ナイト</x:v>
      </x:c>
      <x:c r="U1603" s="49" t="n">
        <x:v>23</x:v>
      </x:c>
    </x:row>
    <x:row r="1604" ht="22" customHeight="1">
      <x:c r="A1604" s="1" t="str">
        <x:v>TOPIXmini</x:v>
      </x:c>
      <x:c r="B1604" s="1" t="str">
        <x:v>K08</x:v>
      </x:c>
      <x:c r="C1604" s="1" t="str">
        <x:v>対照47場</x:v>
      </x:c>
      <x:c r="D1604" s="47" t="n">
        <x:v>3381202</x:v>
      </x:c>
      <x:c r="E1604" s="47" t="n">
        <x:v>4849520</x:v>
      </x:c>
      <x:c r="F1604" s="47" t="n">
        <x:f>D1604-E1604</x:f>
        <x:v>-1468318</x:v>
      </x:c>
      <x:c r="G1604" s="49" t="n">
        <x:v>5</x:v>
      </x:c>
      <x:c r="H1604" s="49" t="n">
        <x:v>19</x:v>
      </x:c>
      <x:c r="I1604" s="47" t="n">
        <x:v>-1628426</x:v>
      </x:c>
      <x:c r="J1604" s="49" t="n">
        <x:v>1155</x:v>
      </x:c>
      <x:c r="K1604" s="47" t="n">
        <x:v>-213870</x:v>
      </x:c>
      <x:c r="L1604" s="47" t="n">
        <x:v>87140.05263157895</x:v>
      </x:c>
      <x:c r="M1604" s="48" t="n">
        <x:v>4.565972222222222</x:v>
      </x:c>
      <x:c r="N1604" s="48" t="n">
        <x:v>531.5854166666667</x:v>
      </x:c>
      <x:c r="O1604" s="49" t="n">
        <x:v>7</x:v>
      </x:c>
      <x:c r="P1604" s="1" t="str">
        <x:v>基準併用：価格と原板の合議・広め</x:v>
      </x:c>
      <x:c r="Q1604" s="49" t="n">
        <x:v>0</x:v>
      </x:c>
      <x:c r="R1604" s="50" t="n">
        <x:v>0.8938534035409035</x:v>
      </x:c>
      <x:c r="S1604" s="50" t="n">
        <x:v>0.8859756944444446</x:v>
      </x:c>
      <x:c r="T1604" s="1" t="str">
        <x:v>上昇</x:v>
      </x:c>
      <x:c r="U1604" s="49" t="n">
        <x:v>24</x:v>
      </x:c>
    </x:row>
    <x:row r="1605" ht="22" customHeight="1">
      <x:c r="A1605" s="1" t="str">
        <x:v>TOPIXmini</x:v>
      </x:c>
      <x:c r="B1605" s="1" t="str">
        <x:v>K08</x:v>
      </x:c>
      <x:c r="C1605" s="1" t="str">
        <x:v>対照47場</x:v>
      </x:c>
      <x:c r="D1605" s="47" t="n">
        <x:v>3799375</x:v>
      </x:c>
      <x:c r="E1605" s="47" t="n">
        <x:v>5103910</x:v>
      </x:c>
      <x:c r="F1605" s="47" t="n">
        <x:f>D1605-E1605</x:f>
        <x:v>-1304535</x:v>
      </x:c>
      <x:c r="G1605" s="49" t="n">
        <x:v>3</x:v>
      </x:c>
      <x:c r="H1605" s="49" t="n">
        <x:v>20</x:v>
      </x:c>
      <x:c r="I1605" s="47" t="n">
        <x:v>-1467692</x:v>
      </x:c>
      <x:c r="J1605" s="49" t="n">
        <x:v>1319</x:v>
      </x:c>
      <x:c r="K1605" s="47" t="n">
        <x:v>-289446</x:v>
      </x:c>
      <x:c r="L1605" s="47" t="n">
        <x:v>73384.6</x:v>
      </x:c>
      <x:c r="M1605" s="48" t="n">
        <x:v>7.135507246376811</x:v>
      </x:c>
      <x:c r="N1605" s="48" t="n">
        <x:v>521.536231884058</x:v>
      </x:c>
      <x:c r="O1605" s="49" t="n">
        <x:v>7</x:v>
      </x:c>
      <x:c r="P1605" s="1" t="str">
        <x:v>基準併用：価格と原板の合議・広め</x:v>
      </x:c>
      <x:c r="Q1605" s="49" t="n">
        <x:v>0</x:v>
      </x:c>
      <x:c r="R1605" s="50" t="n">
        <x:v>0.890030525030525</x:v>
      </x:c>
      <x:c r="S1605" s="50" t="n">
        <x:v>0.880714635340186</x:v>
      </x:c>
      <x:c r="T1605" s="1" t="str">
        <x:v>下落</x:v>
      </x:c>
      <x:c r="U1605" s="49" t="n">
        <x:v>23</x:v>
      </x:c>
    </x:row>
    <x:row r="1606" ht="22" customHeight="1">
      <x:c r="A1606" s="1" t="str">
        <x:v>TOPIXmini</x:v>
      </x:c>
      <x:c r="B1606" s="1" t="str">
        <x:v>K08</x:v>
      </x:c>
      <x:c r="C1606" s="1" t="str">
        <x:v>診断3場</x:v>
      </x:c>
      <x:c r="D1606" s="47" t="n">
        <x:v>834467</x:v>
      </x:c>
      <x:c r="E1606" s="47" t="n">
        <x:v>749756</x:v>
      </x:c>
      <x:c r="F1606" s="47" t="n">
        <x:f>D1606-E1606</x:f>
        <x:v>84711</x:v>
      </x:c>
      <x:c r="G1606" s="49" t="n">
        <x:v>3</x:v>
      </x:c>
      <x:c r="H1606" s="49" t="n">
        <x:v>0</x:v>
      </x:c>
      <x:c r="I1606" s="47" t="n">
        <x:v>0</x:v>
      </x:c>
      <x:c r="J1606" s="49" t="n">
        <x:v>206</x:v>
      </x:c>
      <x:c r="K1606" s="47" t="n">
        <x:v>3119</x:v>
      </x:c>
      <x:c r="L1606" s="47" t="n">
        <x:v>0</x:v>
      </x:c>
      <x:c r="M1606" s="48" t="n">
        <x:v>2.983333333333333</x:v>
      </x:c>
      <x:c r="N1606" s="48" t="n">
        <x:v>602.8166666666666</x:v>
      </x:c>
      <x:c r="O1606" s="49" t="n">
        <x:v>7</x:v>
      </x:c>
      <x:c r="P1606" s="1" t="str">
        <x:v>基準併用：価格と原板の合議・広め</x:v>
      </x:c>
      <x:c r="Q1606" s="49" t="n">
        <x:v>0</x:v>
      </x:c>
      <x:c r="R1606" s="50" t="n">
        <x:v>0.921529304029304</x:v>
      </x:c>
      <x:c r="S1606" s="50" t="n">
        <x:v>0.9133585858585859</x:v>
      </x:c>
      <x:c r="T1606" s="1" t="str">
        <x:v>全場</x:v>
      </x:c>
      <x:c r="U1606" s="49" t="n">
        <x:v>3</x:v>
      </x:c>
    </x:row>
    <x:row r="1607" ht="22" customHeight="1">
      <x:c r="A1607" s="1" t="str">
        <x:v>TOPIXmini</x:v>
      </x:c>
      <x:c r="B1607" s="1" t="str">
        <x:v>K08</x:v>
      </x:c>
      <x:c r="C1607" s="1" t="str">
        <x:v>診断3場</x:v>
      </x:c>
      <x:c r="D1607" s="47" t="n">
        <x:v>384774</x:v>
      </x:c>
      <x:c r="E1607" s="47" t="n">
        <x:v>345636</x:v>
      </x:c>
      <x:c r="F1607" s="47" t="n">
        <x:f>D1607-E1607</x:f>
        <x:v>39138</x:v>
      </x:c>
      <x:c r="G1607" s="49" t="n">
        <x:v>1</x:v>
      </x:c>
      <x:c r="H1607" s="49" t="n">
        <x:v>0</x:v>
      </x:c>
      <x:c r="I1607" s="47" t="n">
        <x:v>0</x:v>
      </x:c>
      <x:c r="J1607" s="49" t="n">
        <x:v>83</x:v>
      </x:c>
      <x:c r="K1607" s="47" t="n">
        <x:v>39138</x:v>
      </x:c>
      <x:c r="L1607" s="47" t="n">
        <x:v>0</x:v>
      </x:c>
      <x:c r="M1607" s="48" t="n">
        <x:v>2.716666666666667</x:v>
      </x:c>
      <x:c r="N1607" s="48" t="n">
        <x:v>405.9166666666667</x:v>
      </x:c>
      <x:c r="O1607" s="49" t="n">
        <x:v>7</x:v>
      </x:c>
      <x:c r="P1607" s="1" t="str">
        <x:v>基準併用：価格と原板の合議・広め</x:v>
      </x:c>
      <x:c r="Q1607" s="49" t="n">
        <x:v>0</x:v>
      </x:c>
      <x:c r="R1607" s="50" t="n">
        <x:v>0.966468253968254</x:v>
      </x:c>
      <x:c r="S1607" s="50" t="n">
        <x:v>0.966468253968254</x:v>
      </x:c>
      <x:c r="T1607" s="1" t="str">
        <x:v>デイ</x:v>
      </x:c>
      <x:c r="U1607" s="49" t="n">
        <x:v>1</x:v>
      </x:c>
    </x:row>
    <x:row r="1608" ht="22" customHeight="1">
      <x:c r="A1608" s="1" t="str">
        <x:v>TOPIXmini</x:v>
      </x:c>
      <x:c r="B1608" s="1" t="str">
        <x:v>K08</x:v>
      </x:c>
      <x:c r="C1608" s="1" t="str">
        <x:v>診断3場</x:v>
      </x:c>
      <x:c r="D1608" s="47" t="n">
        <x:v>449693</x:v>
      </x:c>
      <x:c r="E1608" s="47" t="n">
        <x:v>404120</x:v>
      </x:c>
      <x:c r="F1608" s="47" t="n">
        <x:f>D1608-E1608</x:f>
        <x:v>45573</x:v>
      </x:c>
      <x:c r="G1608" s="49" t="n">
        <x:v>2</x:v>
      </x:c>
      <x:c r="H1608" s="49" t="n">
        <x:v>0</x:v>
      </x:c>
      <x:c r="I1608" s="47" t="n">
        <x:v>0</x:v>
      </x:c>
      <x:c r="J1608" s="49" t="n">
        <x:v>123</x:v>
      </x:c>
      <x:c r="K1608" s="47" t="n">
        <x:v>3119</x:v>
      </x:c>
      <x:c r="L1608" s="47" t="n">
        <x:v>0</x:v>
      </x:c>
      <x:c r="M1608" s="48" t="n">
        <x:v>3.1166666666666667</x:v>
      </x:c>
      <x:c r="N1608" s="48" t="n">
        <x:v>701.2666666666667</x:v>
      </x:c>
      <x:c r="O1608" s="49" t="n">
        <x:v>7</x:v>
      </x:c>
      <x:c r="P1608" s="1" t="str">
        <x:v>基準併用：価格と原板の合議・広め</x:v>
      </x:c>
      <x:c r="Q1608" s="49" t="n">
        <x:v>0</x:v>
      </x:c>
      <x:c r="R1608" s="50" t="n">
        <x:v>0.8990598290598291</x:v>
      </x:c>
      <x:c r="S1608" s="50" t="n">
        <x:v>0.8990598290598291</x:v>
      </x:c>
      <x:c r="T1608" s="1" t="str">
        <x:v>ナイト</x:v>
      </x:c>
      <x:c r="U1608" s="49" t="n">
        <x:v>2</x:v>
      </x:c>
    </x:row>
    <x:row r="1609" ht="22" customHeight="1">
      <x:c r="A1609" s="1" t="str">
        <x:v>TOPIXmini</x:v>
      </x:c>
      <x:c r="B1609" s="1" t="str">
        <x:v>K08</x:v>
      </x:c>
      <x:c r="C1609" s="1" t="str">
        <x:v>診断3場</x:v>
      </x:c>
      <x:c r="D1609" s="47" t="n">
        <x:v>195260</x:v>
      </x:c>
      <x:c r="E1609" s="47" t="n">
        <x:v>192141</x:v>
      </x:c>
      <x:c r="F1609" s="47" t="n">
        <x:f>D1609-E1609</x:f>
        <x:v>3119</x:v>
      </x:c>
      <x:c r="G1609" s="49" t="n">
        <x:v>1</x:v>
      </x:c>
      <x:c r="H1609" s="49" t="n">
        <x:v>0</x:v>
      </x:c>
      <x:c r="I1609" s="47" t="n">
        <x:v>0</x:v>
      </x:c>
      <x:c r="J1609" s="49" t="n">
        <x:v>55</x:v>
      </x:c>
      <x:c r="K1609" s="47" t="n">
        <x:v>3119</x:v>
      </x:c>
      <x:c r="L1609" s="47" t="n">
        <x:v>0</x:v>
      </x:c>
      <x:c r="M1609" s="48" t="n">
        <x:v>2.2333333333333334</x:v>
      </x:c>
      <x:c r="N1609" s="48" t="n">
        <x:v>702.8833333333333</x:v>
      </x:c>
      <x:c r="O1609" s="49" t="n">
        <x:v>7</x:v>
      </x:c>
      <x:c r="P1609" s="1" t="str">
        <x:v>基準併用：価格と原板の合議・広め</x:v>
      </x:c>
      <x:c r="Q1609" s="49" t="n">
        <x:v>0</x:v>
      </x:c>
      <x:c r="R1609" s="50" t="n">
        <x:v>0.9011324786324786</x:v>
      </x:c>
      <x:c r="S1609" s="50" t="n">
        <x:v>0.9011324786324786</x:v>
      </x:c>
      <x:c r="T1609" s="1" t="str">
        <x:v>上昇</x:v>
      </x:c>
      <x:c r="U1609" s="49" t="n">
        <x:v>1</x:v>
      </x:c>
    </x:row>
    <x:row r="1610" ht="22" customHeight="1">
      <x:c r="A1610" s="1" t="str">
        <x:v>TOPIXmini</x:v>
      </x:c>
      <x:c r="B1610" s="1" t="str">
        <x:v>K08</x:v>
      </x:c>
      <x:c r="C1610" s="1" t="str">
        <x:v>診断3場</x:v>
      </x:c>
      <x:c r="D1610" s="47" t="n">
        <x:v>639207</x:v>
      </x:c>
      <x:c r="E1610" s="47" t="n">
        <x:v>557615</x:v>
      </x:c>
      <x:c r="F1610" s="47" t="n">
        <x:f>D1610-E1610</x:f>
        <x:v>81592</x:v>
      </x:c>
      <x:c r="G1610" s="49" t="n">
        <x:v>2</x:v>
      </x:c>
      <x:c r="H1610" s="49" t="n">
        <x:v>0</x:v>
      </x:c>
      <x:c r="I1610" s="47" t="n">
        <x:v>0</x:v>
      </x:c>
      <x:c r="J1610" s="49" t="n">
        <x:v>151</x:v>
      </x:c>
      <x:c r="K1610" s="47" t="n">
        <x:v>39138</x:v>
      </x:c>
      <x:c r="L1610" s="47" t="n">
        <x:v>0</x:v>
      </x:c>
      <x:c r="M1610" s="48" t="n">
        <x:v>3.3583333333333334</x:v>
      </x:c>
      <x:c r="N1610" s="48" t="n">
        <x:v>552.7833333333333</x:v>
      </x:c>
      <x:c r="O1610" s="49" t="n">
        <x:v>7</x:v>
      </x:c>
      <x:c r="P1610" s="1" t="str">
        <x:v>基準併用：価格と原板の合議・広め</x:v>
      </x:c>
      <x:c r="Q1610" s="49" t="n">
        <x:v>0</x:v>
      </x:c>
      <x:c r="R1610" s="50" t="n">
        <x:v>0.9317277167277167</x:v>
      </x:c>
      <x:c r="S1610" s="50" t="n">
        <x:v>0.9213055555555555</x:v>
      </x:c>
      <x:c r="T1610" s="1" t="str">
        <x:v>下落</x:v>
      </x:c>
      <x:c r="U1610" s="49" t="n">
        <x:v>2</x:v>
      </x:c>
    </x:row>
    <x:row r="1611" ht="22" customHeight="1">
      <x:c r="A1611" s="1" t="str">
        <x:v>TOPIXmini</x:v>
      </x:c>
      <x:c r="B1611" s="1" t="str">
        <x:v>K09</x:v>
      </x:c>
      <x:c r="C1611" s="1" t="str">
        <x:v>全50場</x:v>
      </x:c>
      <x:c r="D1611" s="47" t="n">
        <x:v>7722430</x:v>
      </x:c>
      <x:c r="E1611" s="47" t="n">
        <x:v>11949758</x:v>
      </x:c>
      <x:c r="F1611" s="47" t="n">
        <x:f>D1611-E1611</x:f>
        <x:v>-4227328</x:v>
      </x:c>
      <x:c r="G1611" s="49" t="n">
        <x:v>7</x:v>
      </x:c>
      <x:c r="H1611" s="49" t="n">
        <x:v>43</x:v>
      </x:c>
      <x:c r="I1611" s="47" t="n">
        <x:v>-4444178</x:v>
      </x:c>
      <x:c r="J1611" s="49" t="n">
        <x:v>3283</x:v>
      </x:c>
      <x:c r="K1611" s="47" t="n">
        <x:v>-298382</x:v>
      </x:c>
      <x:c r="L1611" s="47" t="n">
        <x:v>105376.48837209302</x:v>
      </x:c>
      <x:c r="M1611" s="48" t="n">
        <x:v>5.403666666666667</x:v>
      </x:c>
      <x:c r="N1611" s="48" t="n">
        <x:v>479.624</x:v>
      </x:c>
      <x:c r="O1611" s="49" t="n">
        <x:v>10</x:v>
      </x:c>
      <x:c r="P1611" s="1" t="str">
        <x:v>基準併用：中期支持の3枚参加と保護後追撃・標準</x:v>
      </x:c>
      <x:c r="Q1611" s="49" t="n">
        <x:v>0</x:v>
      </x:c>
      <x:c r="R1611" s="50" t="n">
        <x:v>0.8196912087912088</x:v>
      </x:c>
      <x:c r="S1611" s="50" t="n">
        <x:v>0.7993733333333334</x:v>
      </x:c>
      <x:c r="T1611" s="1" t="str">
        <x:v>全場</x:v>
      </x:c>
      <x:c r="U1611" s="49" t="n">
        <x:v>50</x:v>
      </x:c>
    </x:row>
    <x:row r="1612" ht="22" customHeight="1">
      <x:c r="A1612" s="1" t="str">
        <x:v>TOPIXmini</x:v>
      </x:c>
      <x:c r="B1612" s="1" t="str">
        <x:v>K09</x:v>
      </x:c>
      <x:c r="C1612" s="1" t="str">
        <x:v>全50場</x:v>
      </x:c>
      <x:c r="D1612" s="47" t="n">
        <x:v>4027314</x:v>
      </x:c>
      <x:c r="E1612" s="47" t="n">
        <x:v>6197974</x:v>
      </x:c>
      <x:c r="F1612" s="47" t="n">
        <x:f>D1612-E1612</x:f>
        <x:v>-2170660</x:v>
      </x:c>
      <x:c r="G1612" s="49" t="n">
        <x:v>4</x:v>
      </x:c>
      <x:c r="H1612" s="49" t="n">
        <x:v>21</x:v>
      </x:c>
      <x:c r="I1612" s="47" t="n">
        <x:v>-2387510</x:v>
      </x:c>
      <x:c r="J1612" s="49" t="n">
        <x:v>1627</x:v>
      </x:c>
      <x:c r="K1612" s="47" t="n">
        <x:v>-298382</x:v>
      </x:c>
      <x:c r="L1612" s="47" t="n">
        <x:v>115709.09523809524</x:v>
      </x:c>
      <x:c r="M1612" s="48" t="n">
        <x:v>4.675333333333333</x:v>
      </x:c>
      <x:c r="N1612" s="48" t="n">
        <x:v>372.7153333333333</x:v>
      </x:c>
      <x:c r="O1612" s="49" t="n">
        <x:v>10</x:v>
      </x:c>
      <x:c r="P1612" s="1" t="str">
        <x:v>基準併用：中期支持の3枚参加と保護後追撃・標準</x:v>
      </x:c>
      <x:c r="Q1612" s="49" t="n">
        <x:v>0</x:v>
      </x:c>
      <x:c r="R1612" s="50" t="n">
        <x:v>0.8874174603174602</x:v>
      </x:c>
      <x:c r="S1612" s="50" t="n">
        <x:v>0.8874174603174603</x:v>
      </x:c>
      <x:c r="T1612" s="1" t="str">
        <x:v>デイ</x:v>
      </x:c>
      <x:c r="U1612" s="49" t="n">
        <x:v>25</x:v>
      </x:c>
    </x:row>
    <x:row r="1613" ht="22" customHeight="1">
      <x:c r="A1613" s="1" t="str">
        <x:v>TOPIXmini</x:v>
      </x:c>
      <x:c r="B1613" s="1" t="str">
        <x:v>K09</x:v>
      </x:c>
      <x:c r="C1613" s="1" t="str">
        <x:v>全50場</x:v>
      </x:c>
      <x:c r="D1613" s="47" t="n">
        <x:v>3695116</x:v>
      </x:c>
      <x:c r="E1613" s="47" t="n">
        <x:v>5751784</x:v>
      </x:c>
      <x:c r="F1613" s="47" t="n">
        <x:f>D1613-E1613</x:f>
        <x:v>-2056668</x:v>
      </x:c>
      <x:c r="G1613" s="49" t="n">
        <x:v>3</x:v>
      </x:c>
      <x:c r="H1613" s="49" t="n">
        <x:v>22</x:v>
      </x:c>
      <x:c r="I1613" s="47" t="n">
        <x:v>-2101298</x:v>
      </x:c>
      <x:c r="J1613" s="49" t="n">
        <x:v>1656</x:v>
      </x:c>
      <x:c r="K1613" s="47" t="n">
        <x:v>-193187</x:v>
      </x:c>
      <x:c r="L1613" s="47" t="n">
        <x:v>95513.54545454546</x:v>
      </x:c>
      <x:c r="M1613" s="48" t="n">
        <x:v>6.132</x:v>
      </x:c>
      <x:c r="N1613" s="48" t="n">
        <x:v>586.5326666666667</x:v>
      </x:c>
      <x:c r="O1613" s="49" t="n">
        <x:v>10</x:v>
      </x:c>
      <x:c r="P1613" s="1" t="str">
        <x:v>基準併用：中期支持の3枚参加と保護後追撃・標準</x:v>
      </x:c>
      <x:c r="Q1613" s="49" t="n">
        <x:v>0</x:v>
      </x:c>
      <x:c r="R1613" s="50" t="n">
        <x:v>0.7519649572649573</x:v>
      </x:c>
      <x:c r="S1613" s="50" t="n">
        <x:v>0.7519649572649573</x:v>
      </x:c>
      <x:c r="T1613" s="1" t="str">
        <x:v>ナイト</x:v>
      </x:c>
      <x:c r="U1613" s="49" t="n">
        <x:v>25</x:v>
      </x:c>
    </x:row>
    <x:row r="1614" ht="22" customHeight="1">
      <x:c r="A1614" s="1" t="str">
        <x:v>TOPIXmini</x:v>
      </x:c>
      <x:c r="B1614" s="1" t="str">
        <x:v>K09</x:v>
      </x:c>
      <x:c r="C1614" s="1" t="str">
        <x:v>全50場</x:v>
      </x:c>
      <x:c r="D1614" s="47" t="n">
        <x:v>3312494</x:v>
      </x:c>
      <x:c r="E1614" s="47" t="n">
        <x:v>5832539</x:v>
      </x:c>
      <x:c r="F1614" s="47" t="n">
        <x:f>D1614-E1614</x:f>
        <x:v>-2520045</x:v>
      </x:c>
      <x:c r="G1614" s="49" t="n">
        <x:v>1</x:v>
      </x:c>
      <x:c r="H1614" s="49" t="n">
        <x:v>24</x:v>
      </x:c>
      <x:c r="I1614" s="47" t="n">
        <x:v>-2574416</x:v>
      </x:c>
      <x:c r="J1614" s="49" t="n">
        <x:v>1519</x:v>
      </x:c>
      <x:c r="K1614" s="47" t="n">
        <x:v>-195700</x:v>
      </x:c>
      <x:c r="L1614" s="47" t="n">
        <x:v>107267.33333333333</x:v>
      </x:c>
      <x:c r="M1614" s="48" t="n">
        <x:v>4.252666666666667</x:v>
      </x:c>
      <x:c r="N1614" s="48" t="n">
        <x:v>467.7466666666667</x:v>
      </x:c>
      <x:c r="O1614" s="49" t="n">
        <x:v>10</x:v>
      </x:c>
      <x:c r="P1614" s="1" t="str">
        <x:v>基準併用：中期支持の3枚参加と保護後追撃・標準</x:v>
      </x:c>
      <x:c r="Q1614" s="49" t="n">
        <x:v>0</x:v>
      </x:c>
      <x:c r="R1614" s="50" t="n">
        <x:v>0.7899023199023198</x:v>
      </x:c>
      <x:c r="S1614" s="50" t="n">
        <x:v>0.7703337725076855</x:v>
      </x:c>
      <x:c r="T1614" s="1" t="str">
        <x:v>上昇</x:v>
      </x:c>
      <x:c r="U1614" s="49" t="n">
        <x:v>25</x:v>
      </x:c>
    </x:row>
    <x:row r="1615" ht="22" customHeight="1">
      <x:c r="A1615" s="1" t="str">
        <x:v>TOPIXmini</x:v>
      </x:c>
      <x:c r="B1615" s="1" t="str">
        <x:v>K09</x:v>
      </x:c>
      <x:c r="C1615" s="1" t="str">
        <x:v>全50場</x:v>
      </x:c>
      <x:c r="D1615" s="47" t="n">
        <x:v>4409936</x:v>
      </x:c>
      <x:c r="E1615" s="47" t="n">
        <x:v>6117219</x:v>
      </x:c>
      <x:c r="F1615" s="47" t="n">
        <x:f>D1615-E1615</x:f>
        <x:v>-1707283</x:v>
      </x:c>
      <x:c r="G1615" s="49" t="n">
        <x:v>6</x:v>
      </x:c>
      <x:c r="H1615" s="49" t="n">
        <x:v>19</x:v>
      </x:c>
      <x:c r="I1615" s="47" t="n">
        <x:v>-1912143</x:v>
      </x:c>
      <x:c r="J1615" s="49" t="n">
        <x:v>1764</x:v>
      </x:c>
      <x:c r="K1615" s="47" t="n">
        <x:v>-298382</x:v>
      </x:c>
      <x:c r="L1615" s="47" t="n">
        <x:v>102988.05263157895</x:v>
      </x:c>
      <x:c r="M1615" s="48" t="n">
        <x:v>6.554666666666667</x:v>
      </x:c>
      <x:c r="N1615" s="48" t="n">
        <x:v>491.5013333333334</x:v>
      </x:c>
      <x:c r="O1615" s="49" t="n">
        <x:v>10</x:v>
      </x:c>
      <x:c r="P1615" s="1" t="str">
        <x:v>基準併用：中期支持の3枚参加と保護後追撃・標準</x:v>
      </x:c>
      <x:c r="Q1615" s="49" t="n">
        <x:v>0</x:v>
      </x:c>
      <x:c r="R1615" s="50" t="n">
        <x:v>0.8494800976800978</x:v>
      </x:c>
      <x:c r="S1615" s="50" t="n">
        <x:v>0.8291183085919928</x:v>
      </x:c>
      <x:c r="T1615" s="1" t="str">
        <x:v>下落</x:v>
      </x:c>
      <x:c r="U1615" s="49" t="n">
        <x:v>25</x:v>
      </x:c>
    </x:row>
    <x:row r="1616" ht="22" customHeight="1">
      <x:c r="A1616" s="1" t="str">
        <x:v>TOPIXmini</x:v>
      </x:c>
      <x:c r="B1616" s="1" t="str">
        <x:v>K09</x:v>
      </x:c>
      <x:c r="C1616" s="1" t="str">
        <x:v>対照47場</x:v>
      </x:c>
      <x:c r="D1616" s="47" t="n">
        <x:v>7011389</x:v>
      </x:c>
      <x:c r="E1616" s="47" t="n">
        <x:v>10951922</x:v>
      </x:c>
      <x:c r="F1616" s="47" t="n">
        <x:f>D1616-E1616</x:f>
        <x:v>-3940533</x:v>
      </x:c>
      <x:c r="G1616" s="49" t="n">
        <x:v>7</x:v>
      </x:c>
      <x:c r="H1616" s="49" t="n">
        <x:v>40</x:v>
      </x:c>
      <x:c r="I1616" s="47" t="n">
        <x:v>-4157383</x:v>
      </x:c>
      <x:c r="J1616" s="49" t="n">
        <x:v>2990</x:v>
      </x:c>
      <x:c r="K1616" s="47" t="n">
        <x:v>-298382</x:v>
      </x:c>
      <x:c r="L1616" s="47" t="n">
        <x:v>106109.85</x:v>
      </x:c>
      <x:c r="M1616" s="48" t="n">
        <x:v>5.558156028368795</x:v>
      </x:c>
      <x:c r="N1616" s="48" t="n">
        <x:v>474.7982269503546</x:v>
      </x:c>
      <x:c r="O1616" s="49" t="n">
        <x:v>10</x:v>
      </x:c>
      <x:c r="P1616" s="1" t="str">
        <x:v>基準併用：中期支持の3枚参加と保護後追撃・標準</x:v>
      </x:c>
      <x:c r="Q1616" s="49" t="n">
        <x:v>0</x:v>
      </x:c>
      <x:c r="R1616" s="50" t="n">
        <x:v>0.8173143818356583</x:v>
      </x:c>
      <x:c r="S1616" s="50" t="n">
        <x:v>0.796413871044492</x:v>
      </x:c>
      <x:c r="T1616" s="1" t="str">
        <x:v>全場</x:v>
      </x:c>
      <x:c r="U1616" s="49" t="n">
        <x:v>47</x:v>
      </x:c>
    </x:row>
    <x:row r="1617" ht="22" customHeight="1">
      <x:c r="A1617" s="1" t="str">
        <x:v>TOPIXmini</x:v>
      </x:c>
      <x:c r="B1617" s="1" t="str">
        <x:v>K09</x:v>
      </x:c>
      <x:c r="C1617" s="1" t="str">
        <x:v>対照47場</x:v>
      </x:c>
      <x:c r="D1617" s="47" t="n">
        <x:v>3685188</x:v>
      </x:c>
      <x:c r="E1617" s="47" t="n">
        <x:v>5808918</x:v>
      </x:c>
      <x:c r="F1617" s="47" t="n">
        <x:f>D1617-E1617</x:f>
        <x:v>-2123730</x:v>
      </x:c>
      <x:c r="G1617" s="49" t="n">
        <x:v>4</x:v>
      </x:c>
      <x:c r="H1617" s="49" t="n">
        <x:v>20</x:v>
      </x:c>
      <x:c r="I1617" s="47" t="n">
        <x:v>-2340580</x:v>
      </x:c>
      <x:c r="J1617" s="49" t="n">
        <x:v>1530</x:v>
      </x:c>
      <x:c r="K1617" s="47" t="n">
        <x:v>-298382</x:v>
      </x:c>
      <x:c r="L1617" s="47" t="n">
        <x:v>119148.05</x:v>
      </x:c>
      <x:c r="M1617" s="48" t="n">
        <x:v>4.756944444444444</x:v>
      </x:c>
      <x:c r="N1617" s="48" t="n">
        <x:v>371.74027777777775</x:v>
      </x:c>
      <x:c r="O1617" s="49" t="n">
        <x:v>10</x:v>
      </x:c>
      <x:c r="P1617" s="1" t="str">
        <x:v>基準併用：中期支持の3枚参加と保護後追撃・標準</x:v>
      </x:c>
      <x:c r="Q1617" s="49" t="n">
        <x:v>0</x:v>
      </x:c>
      <x:c r="R1617" s="50" t="n">
        <x:v>0.8850958994708993</x:v>
      </x:c>
      <x:c r="S1617" s="50" t="n">
        <x:v>0.8850958994708994</x:v>
      </x:c>
      <x:c r="T1617" s="1" t="str">
        <x:v>デイ</x:v>
      </x:c>
      <x:c r="U1617" s="49" t="n">
        <x:v>24</x:v>
      </x:c>
    </x:row>
    <x:row r="1618" ht="22" customHeight="1">
      <x:c r="A1618" s="1" t="str">
        <x:v>TOPIXmini</x:v>
      </x:c>
      <x:c r="B1618" s="1" t="str">
        <x:v>K09</x:v>
      </x:c>
      <x:c r="C1618" s="1" t="str">
        <x:v>対照47場</x:v>
      </x:c>
      <x:c r="D1618" s="47" t="n">
        <x:v>3326201</x:v>
      </x:c>
      <x:c r="E1618" s="47" t="n">
        <x:v>5143004</x:v>
      </x:c>
      <x:c r="F1618" s="47" t="n">
        <x:f>D1618-E1618</x:f>
        <x:v>-1816803</x:v>
      </x:c>
      <x:c r="G1618" s="49" t="n">
        <x:v>3</x:v>
      </x:c>
      <x:c r="H1618" s="49" t="n">
        <x:v>20</x:v>
      </x:c>
      <x:c r="I1618" s="47" t="n">
        <x:v>-1861433</x:v>
      </x:c>
      <x:c r="J1618" s="49" t="n">
        <x:v>1460</x:v>
      </x:c>
      <x:c r="K1618" s="47" t="n">
        <x:v>-183866</x:v>
      </x:c>
      <x:c r="L1618" s="47" t="n">
        <x:v>93071.65</x:v>
      </x:c>
      <x:c r="M1618" s="48" t="n">
        <x:v>6.394202898550725</x:v>
      </x:c>
      <x:c r="N1618" s="48" t="n">
        <x:v>582.3369565217392</x:v>
      </x:c>
      <x:c r="O1618" s="49" t="n">
        <x:v>10</x:v>
      </x:c>
      <x:c r="P1618" s="1" t="str">
        <x:v>基準併用：中期支持の3枚参加と保護後追撃・標準</x:v>
      </x:c>
      <x:c r="Q1618" s="49" t="n">
        <x:v>0</x:v>
      </x:c>
      <x:c r="R1618" s="50" t="n">
        <x:v>0.7465858416945373</x:v>
      </x:c>
      <x:c r="S1618" s="50" t="n">
        <x:v>0.7465858416945373</x:v>
      </x:c>
      <x:c r="T1618" s="1" t="str">
        <x:v>ナイト</x:v>
      </x:c>
      <x:c r="U1618" s="49" t="n">
        <x:v>23</x:v>
      </x:c>
    </x:row>
    <x:row r="1619" ht="22" customHeight="1">
      <x:c r="A1619" s="1" t="str">
        <x:v>TOPIXmini</x:v>
      </x:c>
      <x:c r="B1619" s="1" t="str">
        <x:v>K09</x:v>
      </x:c>
      <x:c r="C1619" s="1" t="str">
        <x:v>対照47場</x:v>
      </x:c>
      <x:c r="D1619" s="47" t="n">
        <x:v>3180956</x:v>
      </x:c>
      <x:c r="E1619" s="47" t="n">
        <x:v>5507814</x:v>
      </x:c>
      <x:c r="F1619" s="47" t="n">
        <x:f>D1619-E1619</x:f>
        <x:v>-2326858</x:v>
      </x:c>
      <x:c r="G1619" s="49" t="n">
        <x:v>1</x:v>
      </x:c>
      <x:c r="H1619" s="49" t="n">
        <x:v>23</x:v>
      </x:c>
      <x:c r="I1619" s="47" t="n">
        <x:v>-2381229</x:v>
      </x:c>
      <x:c r="J1619" s="49" t="n">
        <x:v>1429</x:v>
      </x:c>
      <x:c r="K1619" s="47" t="n">
        <x:v>-195700</x:v>
      </x:c>
      <x:c r="L1619" s="47" t="n">
        <x:v>103531.69565217392</x:v>
      </x:c>
      <x:c r="M1619" s="48" t="n">
        <x:v>4.336805555555556</x:v>
      </x:c>
      <x:c r="N1619" s="48" t="n">
        <x:v>461.98819444444445</x:v>
      </x:c>
      <x:c r="O1619" s="49" t="n">
        <x:v>10</x:v>
      </x:c>
      <x:c r="P1619" s="1" t="str">
        <x:v>基準併用：中期支持の3枚参加と保護後追撃・標準</x:v>
      </x:c>
      <x:c r="Q1619" s="49" t="n">
        <x:v>0</x:v>
      </x:c>
      <x:c r="R1619" s="50" t="n">
        <x:v>0.7904457926332927</x:v>
      </x:c>
      <x:c r="S1619" s="50" t="n">
        <x:v>0.7699803240740741</x:v>
      </x:c>
      <x:c r="T1619" s="1" t="str">
        <x:v>上昇</x:v>
      </x:c>
      <x:c r="U1619" s="49" t="n">
        <x:v>24</x:v>
      </x:c>
    </x:row>
    <x:row r="1620" ht="22" customHeight="1">
      <x:c r="A1620" s="1" t="str">
        <x:v>TOPIXmini</x:v>
      </x:c>
      <x:c r="B1620" s="1" t="str">
        <x:v>K09</x:v>
      </x:c>
      <x:c r="C1620" s="1" t="str">
        <x:v>対照47場</x:v>
      </x:c>
      <x:c r="D1620" s="47" t="n">
        <x:v>3830433</x:v>
      </x:c>
      <x:c r="E1620" s="47" t="n">
        <x:v>5444108</x:v>
      </x:c>
      <x:c r="F1620" s="47" t="n">
        <x:f>D1620-E1620</x:f>
        <x:v>-1613675</x:v>
      </x:c>
      <x:c r="G1620" s="49" t="n">
        <x:v>6</x:v>
      </x:c>
      <x:c r="H1620" s="49" t="n">
        <x:v>17</x:v>
      </x:c>
      <x:c r="I1620" s="47" t="n">
        <x:v>-1818535</x:v>
      </x:c>
      <x:c r="J1620" s="49" t="n">
        <x:v>1561</x:v>
      </x:c>
      <x:c r="K1620" s="47" t="n">
        <x:v>-298382</x:v>
      </x:c>
      <x:c r="L1620" s="47" t="n">
        <x:v>109597.94117647059</x:v>
      </x:c>
      <x:c r="M1620" s="48" t="n">
        <x:v>6.832608695652173</x:v>
      </x:c>
      <x:c r="N1620" s="48" t="n">
        <x:v>488.16521739130434</x:v>
      </x:c>
      <x:c r="O1620" s="49" t="n">
        <x:v>10</x:v>
      </x:c>
      <x:c r="P1620" s="1" t="str">
        <x:v>基準併用：中期支持の3枚参加と保護後追撃・標準</x:v>
      </x:c>
      <x:c r="Q1620" s="49" t="n">
        <x:v>0</x:v>
      </x:c>
      <x:c r="R1620" s="50" t="n">
        <x:v>0.8453511705685617</x:v>
      </x:c>
      <x:c r="S1620" s="50" t="n">
        <x:v>0.8243612334801762</x:v>
      </x:c>
      <x:c r="T1620" s="1" t="str">
        <x:v>下落</x:v>
      </x:c>
      <x:c r="U1620" s="49" t="n">
        <x:v>23</x:v>
      </x:c>
    </x:row>
    <x:row r="1621" ht="22" customHeight="1">
      <x:c r="A1621" s="1" t="str">
        <x:v>TOPIXmini</x:v>
      </x:c>
      <x:c r="B1621" s="1" t="str">
        <x:v>K09</x:v>
      </x:c>
      <x:c r="C1621" s="1" t="str">
        <x:v>診断3場</x:v>
      </x:c>
      <x:c r="D1621" s="47" t="n">
        <x:v>711041</x:v>
      </x:c>
      <x:c r="E1621" s="47" t="n">
        <x:v>997836</x:v>
      </x:c>
      <x:c r="F1621" s="47" t="n">
        <x:f>D1621-E1621</x:f>
        <x:v>-286795</x:v>
      </x:c>
      <x:c r="G1621" s="49" t="n">
        <x:v>0</x:v>
      </x:c>
      <x:c r="H1621" s="49" t="n">
        <x:v>3</x:v>
      </x:c>
      <x:c r="I1621" s="47" t="n">
        <x:v>-286795</x:v>
      </x:c>
      <x:c r="J1621" s="49" t="n">
        <x:v>293</x:v>
      </x:c>
      <x:c r="K1621" s="47" t="n">
        <x:v>-193187</x:v>
      </x:c>
      <x:c r="L1621" s="47" t="n">
        <x:v>95598.33333333333</x:v>
      </x:c>
      <x:c r="M1621" s="48" t="n">
        <x:v>2.983333333333333</x:v>
      </x:c>
      <x:c r="N1621" s="48" t="n">
        <x:v>555.2277777777778</x:v>
      </x:c>
      <x:c r="O1621" s="49" t="n">
        <x:v>10</x:v>
      </x:c>
      <x:c r="P1621" s="1" t="str">
        <x:v>基準併用：中期支持の3枚参加と保護後追撃・標準</x:v>
      </x:c>
      <x:c r="Q1621" s="49" t="n">
        <x:v>0</x:v>
      </x:c>
      <x:c r="R1621" s="50" t="n">
        <x:v>0.8569281644281644</x:v>
      </x:c>
      <x:c r="S1621" s="50" t="n">
        <x:v>0.8412542087542088</x:v>
      </x:c>
      <x:c r="T1621" s="1" t="str">
        <x:v>全場</x:v>
      </x:c>
      <x:c r="U1621" s="49" t="n">
        <x:v>3</x:v>
      </x:c>
    </x:row>
    <x:row r="1622" ht="22" customHeight="1">
      <x:c r="A1622" s="1" t="str">
        <x:v>TOPIXmini</x:v>
      </x:c>
      <x:c r="B1622" s="1" t="str">
        <x:v>K09</x:v>
      </x:c>
      <x:c r="C1622" s="1" t="str">
        <x:v>診断3場</x:v>
      </x:c>
      <x:c r="D1622" s="47" t="n">
        <x:v>342126</x:v>
      </x:c>
      <x:c r="E1622" s="47" t="n">
        <x:v>389056</x:v>
      </x:c>
      <x:c r="F1622" s="47" t="n">
        <x:f>D1622-E1622</x:f>
        <x:v>-46930</x:v>
      </x:c>
      <x:c r="G1622" s="49" t="n">
        <x:v>0</x:v>
      </x:c>
      <x:c r="H1622" s="49" t="n">
        <x:v>1</x:v>
      </x:c>
      <x:c r="I1622" s="47" t="n">
        <x:v>-46930</x:v>
      </x:c>
      <x:c r="J1622" s="49" t="n">
        <x:v>97</x:v>
      </x:c>
      <x:c r="K1622" s="47" t="n">
        <x:v>-46930</x:v>
      </x:c>
      <x:c r="L1622" s="47" t="n">
        <x:v>46930</x:v>
      </x:c>
      <x:c r="M1622" s="48" t="n">
        <x:v>2.716666666666667</x:v>
      </x:c>
      <x:c r="N1622" s="48" t="n">
        <x:v>396.1166666666667</x:v>
      </x:c>
      <x:c r="O1622" s="49" t="n">
        <x:v>10</x:v>
      </x:c>
      <x:c r="P1622" s="1" t="str">
        <x:v>基準併用：中期支持の3枚参加と保護後追撃・標準</x:v>
      </x:c>
      <x:c r="Q1622" s="49" t="n">
        <x:v>0</x:v>
      </x:c>
      <x:c r="R1622" s="50" t="n">
        <x:v>0.9431349206349207</x:v>
      </x:c>
      <x:c r="S1622" s="50" t="n">
        <x:v>0.9431349206349207</x:v>
      </x:c>
      <x:c r="T1622" s="1" t="str">
        <x:v>デイ</x:v>
      </x:c>
      <x:c r="U1622" s="49" t="n">
        <x:v>1</x:v>
      </x:c>
    </x:row>
    <x:row r="1623" ht="22" customHeight="1">
      <x:c r="A1623" s="1" t="str">
        <x:v>TOPIXmini</x:v>
      </x:c>
      <x:c r="B1623" s="1" t="str">
        <x:v>K09</x:v>
      </x:c>
      <x:c r="C1623" s="1" t="str">
        <x:v>診断3場</x:v>
      </x:c>
      <x:c r="D1623" s="47" t="n">
        <x:v>368915</x:v>
      </x:c>
      <x:c r="E1623" s="47" t="n">
        <x:v>608780</x:v>
      </x:c>
      <x:c r="F1623" s="47" t="n">
        <x:f>D1623-E1623</x:f>
        <x:v>-239865</x:v>
      </x:c>
      <x:c r="G1623" s="49" t="n">
        <x:v>0</x:v>
      </x:c>
      <x:c r="H1623" s="49" t="n">
        <x:v>2</x:v>
      </x:c>
      <x:c r="I1623" s="47" t="n">
        <x:v>-239865</x:v>
      </x:c>
      <x:c r="J1623" s="49" t="n">
        <x:v>196</x:v>
      </x:c>
      <x:c r="K1623" s="47" t="n">
        <x:v>-193187</x:v>
      </x:c>
      <x:c r="L1623" s="47" t="n">
        <x:v>119932.5</x:v>
      </x:c>
      <x:c r="M1623" s="48" t="n">
        <x:v>3.1166666666666667</x:v>
      </x:c>
      <x:c r="N1623" s="48" t="n">
        <x:v>634.7833333333333</x:v>
      </x:c>
      <x:c r="O1623" s="49" t="n">
        <x:v>10</x:v>
      </x:c>
      <x:c r="P1623" s="1" t="str">
        <x:v>基準併用：中期支持の3枚参加と保護後追撃・標準</x:v>
      </x:c>
      <x:c r="Q1623" s="49" t="n">
        <x:v>0</x:v>
      </x:c>
      <x:c r="R1623" s="50" t="n">
        <x:v>0.8138247863247863</x:v>
      </x:c>
      <x:c r="S1623" s="50" t="n">
        <x:v>0.8138247863247863</x:v>
      </x:c>
      <x:c r="T1623" s="1" t="str">
        <x:v>ナイト</x:v>
      </x:c>
      <x:c r="U1623" s="49" t="n">
        <x:v>2</x:v>
      </x:c>
    </x:row>
    <x:row r="1624" ht="22" customHeight="1">
      <x:c r="A1624" s="1" t="str">
        <x:v>TOPIXmini</x:v>
      </x:c>
      <x:c r="B1624" s="1" t="str">
        <x:v>K09</x:v>
      </x:c>
      <x:c r="C1624" s="1" t="str">
        <x:v>診断3場</x:v>
      </x:c>
      <x:c r="D1624" s="47" t="n">
        <x:v>131538</x:v>
      </x:c>
      <x:c r="E1624" s="47" t="n">
        <x:v>324725</x:v>
      </x:c>
      <x:c r="F1624" s="47" t="n">
        <x:f>D1624-E1624</x:f>
        <x:v>-193187</x:v>
      </x:c>
      <x:c r="G1624" s="49" t="n">
        <x:v>0</x:v>
      </x:c>
      <x:c r="H1624" s="49" t="n">
        <x:v>1</x:v>
      </x:c>
      <x:c r="I1624" s="47" t="n">
        <x:v>-193187</x:v>
      </x:c>
      <x:c r="J1624" s="49" t="n">
        <x:v>90</x:v>
      </x:c>
      <x:c r="K1624" s="47" t="n">
        <x:v>-193187</x:v>
      </x:c>
      <x:c r="L1624" s="47" t="n">
        <x:v>193187</x:v>
      </x:c>
      <x:c r="M1624" s="48" t="n">
        <x:v>2.2333333333333334</x:v>
      </x:c>
      <x:c r="N1624" s="48" t="n">
        <x:v>605.95</x:v>
      </x:c>
      <x:c r="O1624" s="49" t="n">
        <x:v>10</x:v>
      </x:c>
      <x:c r="P1624" s="1" t="str">
        <x:v>基準併用：中期支持の3枚参加と保護後追撃・標準</x:v>
      </x:c>
      <x:c r="Q1624" s="49" t="n">
        <x:v>0</x:v>
      </x:c>
      <x:c r="R1624" s="50" t="n">
        <x:v>0.7768589743589743</x:v>
      </x:c>
      <x:c r="S1624" s="50" t="n">
        <x:v>0.7768589743589744</x:v>
      </x:c>
      <x:c r="T1624" s="1" t="str">
        <x:v>上昇</x:v>
      </x:c>
      <x:c r="U1624" s="49" t="n">
        <x:v>1</x:v>
      </x:c>
    </x:row>
    <x:row r="1625" ht="22" customHeight="1">
      <x:c r="A1625" s="1" t="str">
        <x:v>TOPIXmini</x:v>
      </x:c>
      <x:c r="B1625" s="1" t="str">
        <x:v>K09</x:v>
      </x:c>
      <x:c r="C1625" s="1" t="str">
        <x:v>診断3場</x:v>
      </x:c>
      <x:c r="D1625" s="47" t="n">
        <x:v>579503</x:v>
      </x:c>
      <x:c r="E1625" s="47" t="n">
        <x:v>673111</x:v>
      </x:c>
      <x:c r="F1625" s="47" t="n">
        <x:f>D1625-E1625</x:f>
        <x:v>-93608</x:v>
      </x:c>
      <x:c r="G1625" s="49" t="n">
        <x:v>0</x:v>
      </x:c>
      <x:c r="H1625" s="49" t="n">
        <x:v>2</x:v>
      </x:c>
      <x:c r="I1625" s="47" t="n">
        <x:v>-93608</x:v>
      </x:c>
      <x:c r="J1625" s="49" t="n">
        <x:v>203</x:v>
      </x:c>
      <x:c r="K1625" s="47" t="n">
        <x:v>-46930</x:v>
      </x:c>
      <x:c r="L1625" s="47" t="n">
        <x:v>46804</x:v>
      </x:c>
      <x:c r="M1625" s="48" t="n">
        <x:v>3.3583333333333334</x:v>
      </x:c>
      <x:c r="N1625" s="48" t="n">
        <x:v>529.8666666666667</x:v>
      </x:c>
      <x:c r="O1625" s="49" t="n">
        <x:v>10</x:v>
      </x:c>
      <x:c r="P1625" s="1" t="str">
        <x:v>基準併用：中期支持の3枚参加と保護後追撃・標準</x:v>
      </x:c>
      <x:c r="Q1625" s="49" t="n">
        <x:v>0</x:v>
      </x:c>
      <x:c r="R1625" s="50" t="n">
        <x:v>0.8969627594627595</x:v>
      </x:c>
      <x:c r="S1625" s="50" t="n">
        <x:v>0.8831111111111111</x:v>
      </x:c>
      <x:c r="T1625" s="1" t="str">
        <x:v>下落</x:v>
      </x:c>
      <x:c r="U1625" s="49" t="n">
        <x:v>2</x:v>
      </x:c>
    </x:row>
    <x:row r="1626" ht="22" customHeight="1">
      <x:c r="A1626" s="1" t="str">
        <x:v>TOPIXmini</x:v>
      </x:c>
      <x:c r="B1626" s="1" t="str">
        <x:v>K10</x:v>
      </x:c>
      <x:c r="C1626" s="1" t="str">
        <x:v>全50場</x:v>
      </x:c>
      <x:c r="D1626" s="47" t="n">
        <x:v>7816980</x:v>
      </x:c>
      <x:c r="E1626" s="47" t="n">
        <x:v>10956302</x:v>
      </x:c>
      <x:c r="F1626" s="47" t="n">
        <x:f>D1626-E1626</x:f>
        <x:v>-3139322</x:v>
      </x:c>
      <x:c r="G1626" s="49" t="n">
        <x:v>14</x:v>
      </x:c>
      <x:c r="H1626" s="49" t="n">
        <x:v>36</x:v>
      </x:c>
      <x:c r="I1626" s="47" t="n">
        <x:v>-3454070</x:v>
      </x:c>
      <x:c r="J1626" s="49" t="n">
        <x:v>2708</x:v>
      </x:c>
      <x:c r="K1626" s="47" t="n">
        <x:v>-291216</x:v>
      </x:c>
      <x:c r="L1626" s="47" t="n">
        <x:v>104221.58333333333</x:v>
      </x:c>
      <x:c r="M1626" s="48" t="n">
        <x:v>5.403666666666667</x:v>
      </x:c>
      <x:c r="N1626" s="48" t="n">
        <x:v>524.285</x:v>
      </x:c>
      <x:c r="O1626" s="49" t="n">
        <x:v>10</x:v>
      </x:c>
      <x:c r="P1626" s="1" t="str">
        <x:v>基準併用：中期支持の3枚参加と保護後追撃・広め</x:v>
      </x:c>
      <x:c r="Q1626" s="49" t="n">
        <x:v>0</x:v>
      </x:c>
      <x:c r="R1626" s="50" t="n">
        <x:v>0.8830628205128204</x:v>
      </x:c>
      <x:c r="S1626" s="50" t="n">
        <x:v>0.8738083333333333</x:v>
      </x:c>
      <x:c r="T1626" s="1" t="str">
        <x:v>全場</x:v>
      </x:c>
      <x:c r="U1626" s="49" t="n">
        <x:v>50</x:v>
      </x:c>
    </x:row>
    <x:row r="1627" ht="22" customHeight="1">
      <x:c r="A1627" s="1" t="str">
        <x:v>TOPIXmini</x:v>
      </x:c>
      <x:c r="B1627" s="1" t="str">
        <x:v>K10</x:v>
      </x:c>
      <x:c r="C1627" s="1" t="str">
        <x:v>全50場</x:v>
      </x:c>
      <x:c r="D1627" s="47" t="n">
        <x:v>4022224</x:v>
      </x:c>
      <x:c r="E1627" s="47" t="n">
        <x:v>5842102</x:v>
      </x:c>
      <x:c r="F1627" s="47" t="n">
        <x:f>D1627-E1627</x:f>
        <x:v>-1819878</x:v>
      </x:c>
      <x:c r="G1627" s="49" t="n">
        <x:v>8</x:v>
      </x:c>
      <x:c r="H1627" s="49" t="n">
        <x:v>17</x:v>
      </x:c>
      <x:c r="I1627" s="47" t="n">
        <x:v>-2134626</x:v>
      </x:c>
      <x:c r="J1627" s="49" t="n">
        <x:v>1416</x:v>
      </x:c>
      <x:c r="K1627" s="47" t="n">
        <x:v>-291216</x:v>
      </x:c>
      <x:c r="L1627" s="47" t="n">
        <x:v>133864.9411764706</x:v>
      </x:c>
      <x:c r="M1627" s="48" t="n">
        <x:v>4.675333333333333</x:v>
      </x:c>
      <x:c r="N1627" s="48" t="n">
        <x:v>383.8426666666667</x:v>
      </x:c>
      <x:c r="O1627" s="49" t="n">
        <x:v>10</x:v>
      </x:c>
      <x:c r="P1627" s="1" t="str">
        <x:v>基準併用：中期支持の3枚参加と保護後追撃・広め</x:v>
      </x:c>
      <x:c r="Q1627" s="49" t="n">
        <x:v>0</x:v>
      </x:c>
      <x:c r="R1627" s="50" t="n">
        <x:v>0.9139111111111113</x:v>
      </x:c>
      <x:c r="S1627" s="50" t="n">
        <x:v>0.9139111111111112</x:v>
      </x:c>
      <x:c r="T1627" s="1" t="str">
        <x:v>デイ</x:v>
      </x:c>
      <x:c r="U1627" s="49" t="n">
        <x:v>25</x:v>
      </x:c>
    </x:row>
    <x:row r="1628" ht="22" customHeight="1">
      <x:c r="A1628" s="1" t="str">
        <x:v>TOPIXmini</x:v>
      </x:c>
      <x:c r="B1628" s="1" t="str">
        <x:v>K10</x:v>
      </x:c>
      <x:c r="C1628" s="1" t="str">
        <x:v>全50場</x:v>
      </x:c>
      <x:c r="D1628" s="47" t="n">
        <x:v>3794756</x:v>
      </x:c>
      <x:c r="E1628" s="47" t="n">
        <x:v>5114200</x:v>
      </x:c>
      <x:c r="F1628" s="47" t="n">
        <x:f>D1628-E1628</x:f>
        <x:v>-1319444</x:v>
      </x:c>
      <x:c r="G1628" s="49" t="n">
        <x:v>6</x:v>
      </x:c>
      <x:c r="H1628" s="49" t="n">
        <x:v>19</x:v>
      </x:c>
      <x:c r="I1628" s="47" t="n">
        <x:v>-1445112</x:v>
      </x:c>
      <x:c r="J1628" s="49" t="n">
        <x:v>1292</x:v>
      </x:c>
      <x:c r="K1628" s="47" t="n">
        <x:v>-163302</x:v>
      </x:c>
      <x:c r="L1628" s="47" t="n">
        <x:v>77698.57894736843</x:v>
      </x:c>
      <x:c r="M1628" s="48" t="n">
        <x:v>6.132</x:v>
      </x:c>
      <x:c r="N1628" s="48" t="n">
        <x:v>664.7273333333334</x:v>
      </x:c>
      <x:c r="O1628" s="49" t="n">
        <x:v>10</x:v>
      </x:c>
      <x:c r="P1628" s="1" t="str">
        <x:v>基準併用：中期支持の3枚参加と保護後追撃・広め</x:v>
      </x:c>
      <x:c r="Q1628" s="49" t="n">
        <x:v>0</x:v>
      </x:c>
      <x:c r="R1628" s="50" t="n">
        <x:v>0.85221452991453</x:v>
      </x:c>
      <x:c r="S1628" s="50" t="n">
        <x:v>0.85221452991453</x:v>
      </x:c>
      <x:c r="T1628" s="1" t="str">
        <x:v>ナイト</x:v>
      </x:c>
      <x:c r="U1628" s="49" t="n">
        <x:v>25</x:v>
      </x:c>
    </x:row>
    <x:row r="1629" ht="22" customHeight="1">
      <x:c r="A1629" s="1" t="str">
        <x:v>TOPIXmini</x:v>
      </x:c>
      <x:c r="B1629" s="1" t="str">
        <x:v>K10</x:v>
      </x:c>
      <x:c r="C1629" s="1" t="str">
        <x:v>全50場</x:v>
      </x:c>
      <x:c r="D1629" s="47" t="n">
        <x:v>3410126</x:v>
      </x:c>
      <x:c r="E1629" s="47" t="n">
        <x:v>5306029</x:v>
      </x:c>
      <x:c r="F1629" s="47" t="n">
        <x:f>D1629-E1629</x:f>
        <x:v>-1895903</x:v>
      </x:c>
      <x:c r="G1629" s="49" t="n">
        <x:v>5</x:v>
      </x:c>
      <x:c r="H1629" s="49" t="n">
        <x:v>20</x:v>
      </x:c>
      <x:c r="I1629" s="47" t="n">
        <x:v>-2015656</x:v>
      </x:c>
      <x:c r="J1629" s="49" t="n">
        <x:v>1236</x:v>
      </x:c>
      <x:c r="K1629" s="47" t="n">
        <x:v>-193872</x:v>
      </x:c>
      <x:c r="L1629" s="47" t="n">
        <x:v>101610.15</x:v>
      </x:c>
      <x:c r="M1629" s="48" t="n">
        <x:v>4.252666666666667</x:v>
      </x:c>
      <x:c r="N1629" s="48" t="n">
        <x:v>523.642</x:v>
      </x:c>
      <x:c r="O1629" s="49" t="n">
        <x:v>10</x:v>
      </x:c>
      <x:c r="P1629" s="1" t="str">
        <x:v>基準併用：中期支持の3枚参加と保護後追撃・広め</x:v>
      </x:c>
      <x:c r="Q1629" s="49" t="n">
        <x:v>0</x:v>
      </x:c>
      <x:c r="R1629" s="50" t="n">
        <x:v>0.8711703296703297</x:v>
      </x:c>
      <x:c r="S1629" s="50" t="n">
        <x:v>0.8623880105401844</x:v>
      </x:c>
      <x:c r="T1629" s="1" t="str">
        <x:v>上昇</x:v>
      </x:c>
      <x:c r="U1629" s="49" t="n">
        <x:v>25</x:v>
      </x:c>
    </x:row>
    <x:row r="1630" ht="22" customHeight="1">
      <x:c r="A1630" s="1" t="str">
        <x:v>TOPIXmini</x:v>
      </x:c>
      <x:c r="B1630" s="1" t="str">
        <x:v>K10</x:v>
      </x:c>
      <x:c r="C1630" s="1" t="str">
        <x:v>全50場</x:v>
      </x:c>
      <x:c r="D1630" s="47" t="n">
        <x:v>4406854</x:v>
      </x:c>
      <x:c r="E1630" s="47" t="n">
        <x:v>5650273</x:v>
      </x:c>
      <x:c r="F1630" s="47" t="n">
        <x:f>D1630-E1630</x:f>
        <x:v>-1243419</x:v>
      </x:c>
      <x:c r="G1630" s="49" t="n">
        <x:v>9</x:v>
      </x:c>
      <x:c r="H1630" s="49" t="n">
        <x:v>16</x:v>
      </x:c>
      <x:c r="I1630" s="47" t="n">
        <x:v>-1543755</x:v>
      </x:c>
      <x:c r="J1630" s="49" t="n">
        <x:v>1472</x:v>
      </x:c>
      <x:c r="K1630" s="47" t="n">
        <x:v>-291216</x:v>
      </x:c>
      <x:c r="L1630" s="47" t="n">
        <x:v>107485.875</x:v>
      </x:c>
      <x:c r="M1630" s="48" t="n">
        <x:v>6.554666666666667</x:v>
      </x:c>
      <x:c r="N1630" s="48" t="n">
        <x:v>524.928</x:v>
      </x:c>
      <x:c r="O1630" s="49" t="n">
        <x:v>10</x:v>
      </x:c>
      <x:c r="P1630" s="1" t="str">
        <x:v>基準併用：中期支持の3枚参加と保護後追撃・広め</x:v>
      </x:c>
      <x:c r="Q1630" s="49" t="n">
        <x:v>0</x:v>
      </x:c>
      <x:c r="R1630" s="50" t="n">
        <x:v>0.8949553113553115</x:v>
      </x:c>
      <x:c r="S1630" s="50" t="n">
        <x:v>0.885506072874494</x:v>
      </x:c>
      <x:c r="T1630" s="1" t="str">
        <x:v>下落</x:v>
      </x:c>
      <x:c r="U1630" s="49" t="n">
        <x:v>25</x:v>
      </x:c>
    </x:row>
    <x:row r="1631" ht="22" customHeight="1">
      <x:c r="A1631" s="1" t="str">
        <x:v>TOPIXmini</x:v>
      </x:c>
      <x:c r="B1631" s="1" t="str">
        <x:v>K10</x:v>
      </x:c>
      <x:c r="C1631" s="1" t="str">
        <x:v>対照47場</x:v>
      </x:c>
      <x:c r="D1631" s="47" t="n">
        <x:v>7059659</x:v>
      </x:c>
      <x:c r="E1631" s="47" t="n">
        <x:v>10080034</x:v>
      </x:c>
      <x:c r="F1631" s="47" t="n">
        <x:f>D1631-E1631</x:f>
        <x:v>-3020375</x:v>
      </x:c>
      <x:c r="G1631" s="49" t="n">
        <x:v>14</x:v>
      </x:c>
      <x:c r="H1631" s="49" t="n">
        <x:v>33</x:v>
      </x:c>
      <x:c r="I1631" s="47" t="n">
        <x:v>-3335123</x:v>
      </x:c>
      <x:c r="J1631" s="49" t="n">
        <x:v>2483</x:v>
      </x:c>
      <x:c r="K1631" s="47" t="n">
        <x:v>-291216</x:v>
      </x:c>
      <x:c r="L1631" s="47" t="n">
        <x:v>110091.81818181818</x:v>
      </x:c>
      <x:c r="M1631" s="48" t="n">
        <x:v>5.558156028368795</x:v>
      </x:c>
      <x:c r="N1631" s="48" t="n">
        <x:v>519.2496453900709</x:v>
      </x:c>
      <x:c r="O1631" s="49" t="n">
        <x:v>10</x:v>
      </x:c>
      <x:c r="P1631" s="1" t="str">
        <x:v>基準併用：中期支持の3枚参加と保護後追撃・広め</x:v>
      </x:c>
      <x:c r="Q1631" s="49" t="n">
        <x:v>0</x:v>
      </x:c>
      <x:c r="R1631" s="50" t="n">
        <x:v>0.8807023354895694</x:v>
      </x:c>
      <x:c r="S1631" s="50" t="n">
        <x:v>0.8709754936949797</x:v>
      </x:c>
      <x:c r="T1631" s="1" t="str">
        <x:v>全場</x:v>
      </x:c>
      <x:c r="U1631" s="49" t="n">
        <x:v>47</x:v>
      </x:c>
    </x:row>
    <x:row r="1632" ht="22" customHeight="1">
      <x:c r="A1632" s="1" t="str">
        <x:v>TOPIXmini</x:v>
      </x:c>
      <x:c r="B1632" s="1" t="str">
        <x:v>K10</x:v>
      </x:c>
      <x:c r="C1632" s="1" t="str">
        <x:v>対照47場</x:v>
      </x:c>
      <x:c r="D1632" s="47" t="n">
        <x:v>3711698</x:v>
      </x:c>
      <x:c r="E1632" s="47" t="n">
        <x:v>5490876</x:v>
      </x:c>
      <x:c r="F1632" s="47" t="n">
        <x:f>D1632-E1632</x:f>
        <x:v>-1779178</x:v>
      </x:c>
      <x:c r="G1632" s="49" t="n">
        <x:v>8</x:v>
      </x:c>
      <x:c r="H1632" s="49" t="n">
        <x:v>16</x:v>
      </x:c>
      <x:c r="I1632" s="47" t="n">
        <x:v>-2093926</x:v>
      </x:c>
      <x:c r="J1632" s="49" t="n">
        <x:v>1336</x:v>
      </x:c>
      <x:c r="K1632" s="47" t="n">
        <x:v>-291216</x:v>
      </x:c>
      <x:c r="L1632" s="47" t="n">
        <x:v>139687.75</x:v>
      </x:c>
      <x:c r="M1632" s="48" t="n">
        <x:v>4.756944444444444</x:v>
      </x:c>
      <x:c r="N1632" s="48" t="n">
        <x:v>383.14375</x:v>
      </x:c>
      <x:c r="O1632" s="49" t="n">
        <x:v>10</x:v>
      </x:c>
      <x:c r="P1632" s="1" t="str">
        <x:v>基準併用：中期支持の3枚参加と保護後追撃・広め</x:v>
      </x:c>
      <x:c r="Q1632" s="49" t="n">
        <x:v>0</x:v>
      </x:c>
      <x:c r="R1632" s="50" t="n">
        <x:v>0.9122470238095239</x:v>
      </x:c>
      <x:c r="S1632" s="50" t="n">
        <x:v>0.9122470238095238</x:v>
      </x:c>
      <x:c r="T1632" s="1" t="str">
        <x:v>デイ</x:v>
      </x:c>
      <x:c r="U1632" s="49" t="n">
        <x:v>24</x:v>
      </x:c>
    </x:row>
    <x:row r="1633" ht="22" customHeight="1">
      <x:c r="A1633" s="1" t="str">
        <x:v>TOPIXmini</x:v>
      </x:c>
      <x:c r="B1633" s="1" t="str">
        <x:v>K10</x:v>
      </x:c>
      <x:c r="C1633" s="1" t="str">
        <x:v>対照47場</x:v>
      </x:c>
      <x:c r="D1633" s="47" t="n">
        <x:v>3347961</x:v>
      </x:c>
      <x:c r="E1633" s="47" t="n">
        <x:v>4589158</x:v>
      </x:c>
      <x:c r="F1633" s="47" t="n">
        <x:f>D1633-E1633</x:f>
        <x:v>-1241197</x:v>
      </x:c>
      <x:c r="G1633" s="49" t="n">
        <x:v>6</x:v>
      </x:c>
      <x:c r="H1633" s="49" t="n">
        <x:v>17</x:v>
      </x:c>
      <x:c r="I1633" s="47" t="n">
        <x:v>-1366865</x:v>
      </x:c>
      <x:c r="J1633" s="49" t="n">
        <x:v>1147</x:v>
      </x:c>
      <x:c r="K1633" s="47" t="n">
        <x:v>-163302</x:v>
      </x:c>
      <x:c r="L1633" s="47" t="n">
        <x:v>82236.82352941176</x:v>
      </x:c>
      <x:c r="M1633" s="48" t="n">
        <x:v>6.394202898550725</x:v>
      </x:c>
      <x:c r="N1633" s="48" t="n">
        <x:v>661.2731884057971</x:v>
      </x:c>
      <x:c r="O1633" s="49" t="n">
        <x:v>10</x:v>
      </x:c>
      <x:c r="P1633" s="1" t="str">
        <x:v>基準併用：中期支持の3枚参加と保護後追撃・広め</x:v>
      </x:c>
      <x:c r="Q1633" s="49" t="n">
        <x:v>0</x:v>
      </x:c>
      <x:c r="R1633" s="50" t="n">
        <x:v>0.8477861389817912</x:v>
      </x:c>
      <x:c r="S1633" s="50" t="n">
        <x:v>0.8477861389817911</x:v>
      </x:c>
      <x:c r="T1633" s="1" t="str">
        <x:v>ナイト</x:v>
      </x:c>
      <x:c r="U1633" s="49" t="n">
        <x:v>23</x:v>
      </x:c>
    </x:row>
    <x:row r="1634" ht="22" customHeight="1">
      <x:c r="A1634" s="1" t="str">
        <x:v>TOPIXmini</x:v>
      </x:c>
      <x:c r="B1634" s="1" t="str">
        <x:v>K10</x:v>
      </x:c>
      <x:c r="C1634" s="1" t="str">
        <x:v>対照47場</x:v>
      </x:c>
      <x:c r="D1634" s="47" t="n">
        <x:v>3206686</x:v>
      </x:c>
      <x:c r="E1634" s="47" t="n">
        <x:v>5052380</x:v>
      </x:c>
      <x:c r="F1634" s="47" t="n">
        <x:f>D1634-E1634</x:f>
        <x:v>-1845694</x:v>
      </x:c>
      <x:c r="G1634" s="49" t="n">
        <x:v>5</x:v>
      </x:c>
      <x:c r="H1634" s="49" t="n">
        <x:v>19</x:v>
      </x:c>
      <x:c r="I1634" s="47" t="n">
        <x:v>-1965447</x:v>
      </x:c>
      <x:c r="J1634" s="49" t="n">
        <x:v>1173</x:v>
      </x:c>
      <x:c r="K1634" s="47" t="n">
        <x:v>-193872</x:v>
      </x:c>
      <x:c r="L1634" s="47" t="n">
        <x:v>104315.47368421052</x:v>
      </x:c>
      <x:c r="M1634" s="48" t="n">
        <x:v>4.336805555555556</x:v>
      </x:c>
      <x:c r="N1634" s="48" t="n">
        <x:v>516.1659722222222</x:v>
      </x:c>
      <x:c r="O1634" s="49" t="n">
        <x:v>10</x:v>
      </x:c>
      <x:c r="P1634" s="1" t="str">
        <x:v>基準併用：中期支持の3枚参加と保護後追撃・広め</x:v>
      </x:c>
      <x:c r="Q1634" s="49" t="n">
        <x:v>0</x:v>
      </x:c>
      <x:c r="R1634" s="50" t="n">
        <x:v>0.8699121133496134</x:v>
      </x:c>
      <x:c r="S1634" s="50" t="n">
        <x:v>0.8602766203703703</x:v>
      </x:c>
      <x:c r="T1634" s="1" t="str">
        <x:v>上昇</x:v>
      </x:c>
      <x:c r="U1634" s="49" t="n">
        <x:v>24</x:v>
      </x:c>
    </x:row>
    <x:row r="1635" ht="22" customHeight="1">
      <x:c r="A1635" s="1" t="str">
        <x:v>TOPIXmini</x:v>
      </x:c>
      <x:c r="B1635" s="1" t="str">
        <x:v>K10</x:v>
      </x:c>
      <x:c r="C1635" s="1" t="str">
        <x:v>対照47場</x:v>
      </x:c>
      <x:c r="D1635" s="47" t="n">
        <x:v>3852973</x:v>
      </x:c>
      <x:c r="E1635" s="47" t="n">
        <x:v>5027654</x:v>
      </x:c>
      <x:c r="F1635" s="47" t="n">
        <x:f>D1635-E1635</x:f>
        <x:v>-1174681</x:v>
      </x:c>
      <x:c r="G1635" s="49" t="n">
        <x:v>9</x:v>
      </x:c>
      <x:c r="H1635" s="49" t="n">
        <x:v>14</x:v>
      </x:c>
      <x:c r="I1635" s="47" t="n">
        <x:v>-1475017</x:v>
      </x:c>
      <x:c r="J1635" s="49" t="n">
        <x:v>1310</x:v>
      </x:c>
      <x:c r="K1635" s="47" t="n">
        <x:v>-291216</x:v>
      </x:c>
      <x:c r="L1635" s="47" t="n">
        <x:v>117931.14285714286</x:v>
      </x:c>
      <x:c r="M1635" s="48" t="n">
        <x:v>6.832608695652173</x:v>
      </x:c>
      <x:c r="N1635" s="48" t="n">
        <x:v>522.4673913043476</x:v>
      </x:c>
      <x:c r="O1635" s="49" t="n">
        <x:v>10</x:v>
      </x:c>
      <x:c r="P1635" s="1" t="str">
        <x:v>基準併用：中期支持の3枚参加と保護後追撃・広め</x:v>
      </x:c>
      <x:c r="Q1635" s="49" t="n">
        <x:v>0</x:v>
      </x:c>
      <x:c r="R1635" s="50" t="n">
        <x:v>0.8919616977225673</x:v>
      </x:c>
      <x:c r="S1635" s="50" t="n">
        <x:v>0.8822870778267254</x:v>
      </x:c>
      <x:c r="T1635" s="1" t="str">
        <x:v>下落</x:v>
      </x:c>
      <x:c r="U1635" s="49" t="n">
        <x:v>23</x:v>
      </x:c>
    </x:row>
    <x:row r="1636" ht="22" customHeight="1">
      <x:c r="A1636" s="1" t="str">
        <x:v>TOPIXmini</x:v>
      </x:c>
      <x:c r="B1636" s="1" t="str">
        <x:v>K10</x:v>
      </x:c>
      <x:c r="C1636" s="1" t="str">
        <x:v>診断3場</x:v>
      </x:c>
      <x:c r="D1636" s="47" t="n">
        <x:v>757321</x:v>
      </x:c>
      <x:c r="E1636" s="47" t="n">
        <x:v>876268</x:v>
      </x:c>
      <x:c r="F1636" s="47" t="n">
        <x:f>D1636-E1636</x:f>
        <x:v>-118947</x:v>
      </x:c>
      <x:c r="G1636" s="49" t="n">
        <x:v>0</x:v>
      </x:c>
      <x:c r="H1636" s="49" t="n">
        <x:v>3</x:v>
      </x:c>
      <x:c r="I1636" s="47" t="n">
        <x:v>-118947</x:v>
      </x:c>
      <x:c r="J1636" s="49" t="n">
        <x:v>225</x:v>
      </x:c>
      <x:c r="K1636" s="47" t="n">
        <x:v>-50209</x:v>
      </x:c>
      <x:c r="L1636" s="47" t="n">
        <x:v>39649</x:v>
      </x:c>
      <x:c r="M1636" s="48" t="n">
        <x:v>2.983333333333333</x:v>
      </x:c>
      <x:c r="N1636" s="48" t="n">
        <x:v>603.1722222222223</x:v>
      </x:c>
      <x:c r="O1636" s="49" t="n">
        <x:v>10</x:v>
      </x:c>
      <x:c r="P1636" s="1" t="str">
        <x:v>基準併用：中期支持の3枚参加と保護後追撃・広め</x:v>
      </x:c>
      <x:c r="Q1636" s="49" t="n">
        <x:v>0</x:v>
      </x:c>
      <x:c r="R1636" s="50" t="n">
        <x:v>0.9200437525437527</x:v>
      </x:c>
      <x:c r="S1636" s="50" t="n">
        <x:v>0.9138973063973065</x:v>
      </x:c>
      <x:c r="T1636" s="1" t="str">
        <x:v>全場</x:v>
      </x:c>
      <x:c r="U1636" s="49" t="n">
        <x:v>3</x:v>
      </x:c>
    </x:row>
    <x:row r="1637" ht="22" customHeight="1">
      <x:c r="A1637" s="1" t="str">
        <x:v>TOPIXmini</x:v>
      </x:c>
      <x:c r="B1637" s="1" t="str">
        <x:v>K10</x:v>
      </x:c>
      <x:c r="C1637" s="1" t="str">
        <x:v>診断3場</x:v>
      </x:c>
      <x:c r="D1637" s="47" t="n">
        <x:v>310526</x:v>
      </x:c>
      <x:c r="E1637" s="47" t="n">
        <x:v>351226</x:v>
      </x:c>
      <x:c r="F1637" s="47" t="n">
        <x:f>D1637-E1637</x:f>
        <x:v>-40700</x:v>
      </x:c>
      <x:c r="G1637" s="49" t="n">
        <x:v>0</x:v>
      </x:c>
      <x:c r="H1637" s="49" t="n">
        <x:v>1</x:v>
      </x:c>
      <x:c r="I1637" s="47" t="n">
        <x:v>-40700</x:v>
      </x:c>
      <x:c r="J1637" s="49" t="n">
        <x:v>80</x:v>
      </x:c>
      <x:c r="K1637" s="47" t="n">
        <x:v>-40700</x:v>
      </x:c>
      <x:c r="L1637" s="47" t="n">
        <x:v>40700</x:v>
      </x:c>
      <x:c r="M1637" s="48" t="n">
        <x:v>2.716666666666667</x:v>
      </x:c>
      <x:c r="N1637" s="48" t="n">
        <x:v>400.6166666666667</x:v>
      </x:c>
      <x:c r="O1637" s="49" t="n">
        <x:v>9</x:v>
      </x:c>
      <x:c r="P1637" s="1" t="str">
        <x:v>基準併用：中期支持の3枚参加と保護後追撃・広め</x:v>
      </x:c>
      <x:c r="Q1637" s="49" t="n">
        <x:v>0</x:v>
      </x:c>
      <x:c r="R1637" s="50" t="n">
        <x:v>0.9538492063492063</x:v>
      </x:c>
      <x:c r="S1637" s="50" t="n">
        <x:v>0.9538492063492063</x:v>
      </x:c>
      <x:c r="T1637" s="1" t="str">
        <x:v>デイ</x:v>
      </x:c>
      <x:c r="U1637" s="49" t="n">
        <x:v>1</x:v>
      </x:c>
    </x:row>
    <x:row r="1638" ht="22" customHeight="1">
      <x:c r="A1638" s="1" t="str">
        <x:v>TOPIXmini</x:v>
      </x:c>
      <x:c r="B1638" s="1" t="str">
        <x:v>K10</x:v>
      </x:c>
      <x:c r="C1638" s="1" t="str">
        <x:v>診断3場</x:v>
      </x:c>
      <x:c r="D1638" s="47" t="n">
        <x:v>446795</x:v>
      </x:c>
      <x:c r="E1638" s="47" t="n">
        <x:v>525042</x:v>
      </x:c>
      <x:c r="F1638" s="47" t="n">
        <x:f>D1638-E1638</x:f>
        <x:v>-78247</x:v>
      </x:c>
      <x:c r="G1638" s="49" t="n">
        <x:v>0</x:v>
      </x:c>
      <x:c r="H1638" s="49" t="n">
        <x:v>2</x:v>
      </x:c>
      <x:c r="I1638" s="47" t="n">
        <x:v>-78247</x:v>
      </x:c>
      <x:c r="J1638" s="49" t="n">
        <x:v>145</x:v>
      </x:c>
      <x:c r="K1638" s="47" t="n">
        <x:v>-50209</x:v>
      </x:c>
      <x:c r="L1638" s="47" t="n">
        <x:v>39123.5</x:v>
      </x:c>
      <x:c r="M1638" s="48" t="n">
        <x:v>3.1166666666666667</x:v>
      </x:c>
      <x:c r="N1638" s="48" t="n">
        <x:v>704.45</x:v>
      </x:c>
      <x:c r="O1638" s="49" t="n">
        <x:v>10</x:v>
      </x:c>
      <x:c r="P1638" s="1" t="str">
        <x:v>基準併用：中期支持の3枚参加と保護後追撃・広め</x:v>
      </x:c>
      <x:c r="Q1638" s="49" t="n">
        <x:v>0</x:v>
      </x:c>
      <x:c r="R1638" s="50" t="n">
        <x:v>0.9031410256410257</x:v>
      </x:c>
      <x:c r="S1638" s="50" t="n">
        <x:v>0.9031410256410257</x:v>
      </x:c>
      <x:c r="T1638" s="1" t="str">
        <x:v>ナイト</x:v>
      </x:c>
      <x:c r="U1638" s="49" t="n">
        <x:v>2</x:v>
      </x:c>
    </x:row>
    <x:row r="1639" ht="22" customHeight="1">
      <x:c r="A1639" s="1" t="str">
        <x:v>TOPIXmini</x:v>
      </x:c>
      <x:c r="B1639" s="1" t="str">
        <x:v>K10</x:v>
      </x:c>
      <x:c r="C1639" s="1" t="str">
        <x:v>診断3場</x:v>
      </x:c>
      <x:c r="D1639" s="47" t="n">
        <x:v>203440</x:v>
      </x:c>
      <x:c r="E1639" s="47" t="n">
        <x:v>253649</x:v>
      </x:c>
      <x:c r="F1639" s="47" t="n">
        <x:f>D1639-E1639</x:f>
        <x:v>-50209</x:v>
      </x:c>
      <x:c r="G1639" s="49" t="n">
        <x:v>0</x:v>
      </x:c>
      <x:c r="H1639" s="49" t="n">
        <x:v>1</x:v>
      </x:c>
      <x:c r="I1639" s="47" t="n">
        <x:v>-50209</x:v>
      </x:c>
      <x:c r="J1639" s="49" t="n">
        <x:v>63</x:v>
      </x:c>
      <x:c r="K1639" s="47" t="n">
        <x:v>-50209</x:v>
      </x:c>
      <x:c r="L1639" s="47" t="n">
        <x:v>50209</x:v>
      </x:c>
      <x:c r="M1639" s="48" t="n">
        <x:v>2.2333333333333334</x:v>
      </x:c>
      <x:c r="N1639" s="48" t="n">
        <x:v>703.0666666666667</x:v>
      </x:c>
      <x:c r="O1639" s="49" t="n">
        <x:v>10</x:v>
      </x:c>
      <x:c r="P1639" s="1" t="str">
        <x:v>基準併用：中期支持の3枚参加と保護後追撃・広め</x:v>
      </x:c>
      <x:c r="Q1639" s="49" t="n">
        <x:v>0</x:v>
      </x:c>
      <x:c r="R1639" s="50" t="n">
        <x:v>0.9013675213675214</x:v>
      </x:c>
      <x:c r="S1639" s="50" t="n">
        <x:v>0.9013675213675214</x:v>
      </x:c>
      <x:c r="T1639" s="1" t="str">
        <x:v>上昇</x:v>
      </x:c>
      <x:c r="U1639" s="49" t="n">
        <x:v>1</x:v>
      </x:c>
    </x:row>
    <x:row r="1640" ht="22" customHeight="1">
      <x:c r="A1640" s="1" t="str">
        <x:v>TOPIXmini</x:v>
      </x:c>
      <x:c r="B1640" s="1" t="str">
        <x:v>K10</x:v>
      </x:c>
      <x:c r="C1640" s="1" t="str">
        <x:v>診断3場</x:v>
      </x:c>
      <x:c r="D1640" s="47" t="n">
        <x:v>553881</x:v>
      </x:c>
      <x:c r="E1640" s="47" t="n">
        <x:v>622619</x:v>
      </x:c>
      <x:c r="F1640" s="47" t="n">
        <x:f>D1640-E1640</x:f>
        <x:v>-68738</x:v>
      </x:c>
      <x:c r="G1640" s="49" t="n">
        <x:v>0</x:v>
      </x:c>
      <x:c r="H1640" s="49" t="n">
        <x:v>2</x:v>
      </x:c>
      <x:c r="I1640" s="47" t="n">
        <x:v>-68738</x:v>
      </x:c>
      <x:c r="J1640" s="49" t="n">
        <x:v>162</x:v>
      </x:c>
      <x:c r="K1640" s="47" t="n">
        <x:v>-40700</x:v>
      </x:c>
      <x:c r="L1640" s="47" t="n">
        <x:v>34369</x:v>
      </x:c>
      <x:c r="M1640" s="48" t="n">
        <x:v>3.3583333333333334</x:v>
      </x:c>
      <x:c r="N1640" s="48" t="n">
        <x:v>553.225</x:v>
      </x:c>
      <x:c r="O1640" s="49" t="n">
        <x:v>10</x:v>
      </x:c>
      <x:c r="P1640" s="1" t="str">
        <x:v>基準併用：中期支持の3枚参加と保護後追撃・広め</x:v>
      </x:c>
      <x:c r="Q1640" s="49" t="n">
        <x:v>0</x:v>
      </x:c>
      <x:c r="R1640" s="50" t="n">
        <x:v>0.9293818681318682</x:v>
      </x:c>
      <x:c r="S1640" s="50" t="n">
        <x:v>0.9220416666666668</x:v>
      </x:c>
      <x:c r="T1640" s="1" t="str">
        <x:v>下落</x:v>
      </x:c>
      <x:c r="U1640" s="49" t="n">
        <x:v>2</x:v>
      </x:c>
    </x:row>
    <x:row r="1641" ht="22" customHeight="1">
      <x:c r="A1641" s="1" t="str">
        <x:v>TOPIXmini</x:v>
      </x:c>
      <x:c r="B1641" s="1" t="str">
        <x:v>K11</x:v>
      </x:c>
      <x:c r="C1641" s="1" t="str">
        <x:v>全50場</x:v>
      </x:c>
      <x:c r="D1641" s="47" t="n">
        <x:v>6764510</x:v>
      </x:c>
      <x:c r="E1641" s="47" t="n">
        <x:v>10060514</x:v>
      </x:c>
      <x:c r="F1641" s="47" t="n">
        <x:f>D1641-E1641</x:f>
        <x:v>-3296004</x:v>
      </x:c>
      <x:c r="G1641" s="49" t="n">
        <x:v>11</x:v>
      </x:c>
      <x:c r="H1641" s="49" t="n">
        <x:v>39</x:v>
      </x:c>
      <x:c r="I1641" s="47" t="n">
        <x:v>-3578705</x:v>
      </x:c>
      <x:c r="J1641" s="49" t="n">
        <x:v>2911</x:v>
      </x:c>
      <x:c r="K1641" s="47" t="n">
        <x:v>-252876</x:v>
      </x:c>
      <x:c r="L1641" s="47" t="n">
        <x:v>97129.84615384616</x:v>
      </x:c>
      <x:c r="M1641" s="48" t="n">
        <x:v>5.403666666666667</x:v>
      </x:c>
      <x:c r="N1641" s="48" t="n">
        <x:v>448.0013333333334</x:v>
      </x:c>
      <x:c r="O1641" s="49" t="n">
        <x:v>10</x:v>
      </x:c>
      <x:c r="P1641" s="1" t="str">
        <x:v>基準併用：追従と反発を状態で選択・標準</x:v>
      </x:c>
      <x:c r="Q1641" s="49" t="n">
        <x:v>0</x:v>
      </x:c>
      <x:c r="R1641" s="50" t="n">
        <x:v>0.7691137973137974</x:v>
      </x:c>
      <x:c r="S1641" s="50" t="n">
        <x:v>0.7466688888888888</x:v>
      </x:c>
      <x:c r="T1641" s="1" t="str">
        <x:v>全場</x:v>
      </x:c>
      <x:c r="U1641" s="49" t="n">
        <x:v>50</x:v>
      </x:c>
    </x:row>
    <x:row r="1642" ht="22" customHeight="1">
      <x:c r="A1642" s="1" t="str">
        <x:v>TOPIXmini</x:v>
      </x:c>
      <x:c r="B1642" s="1" t="str">
        <x:v>K11</x:v>
      </x:c>
      <x:c r="C1642" s="1" t="str">
        <x:v>全50場</x:v>
      </x:c>
      <x:c r="D1642" s="47" t="n">
        <x:v>3538772</x:v>
      </x:c>
      <x:c r="E1642" s="47" t="n">
        <x:v>5301462</x:v>
      </x:c>
      <x:c r="F1642" s="47" t="n">
        <x:f>D1642-E1642</x:f>
        <x:v>-1762690</x:v>
      </x:c>
      <x:c r="G1642" s="49" t="n">
        <x:v>7</x:v>
      </x:c>
      <x:c r="H1642" s="49" t="n">
        <x:v>18</x:v>
      </x:c>
      <x:c r="I1642" s="47" t="n">
        <x:v>-2023292</x:v>
      </x:c>
      <x:c r="J1642" s="49" t="n">
        <x:v>1492</x:v>
      </x:c>
      <x:c r="K1642" s="47" t="n">
        <x:v>-252876</x:v>
      </x:c>
      <x:c r="L1642" s="47" t="n">
        <x:v>117300.83333333333</x:v>
      </x:c>
      <x:c r="M1642" s="48" t="n">
        <x:v>4.675333333333333</x:v>
      </x:c>
      <x:c r="N1642" s="48" t="n">
        <x:v>354.4506666666667</x:v>
      </x:c>
      <x:c r="O1642" s="49" t="n">
        <x:v>10</x:v>
      </x:c>
      <x:c r="P1642" s="1" t="str">
        <x:v>基準併用：追従と反発を状態で選択・標準</x:v>
      </x:c>
      <x:c r="Q1642" s="49" t="n">
        <x:v>0</x:v>
      </x:c>
      <x:c r="R1642" s="50" t="n">
        <x:v>0.8439301587301586</x:v>
      </x:c>
      <x:c r="S1642" s="50" t="n">
        <x:v>0.8439301587301588</x:v>
      </x:c>
      <x:c r="T1642" s="1" t="str">
        <x:v>デイ</x:v>
      </x:c>
      <x:c r="U1642" s="49" t="n">
        <x:v>25</x:v>
      </x:c>
    </x:row>
    <x:row r="1643" ht="22" customHeight="1">
      <x:c r="A1643" s="1" t="str">
        <x:v>TOPIXmini</x:v>
      </x:c>
      <x:c r="B1643" s="1" t="str">
        <x:v>K11</x:v>
      </x:c>
      <x:c r="C1643" s="1" t="str">
        <x:v>全50場</x:v>
      </x:c>
      <x:c r="D1643" s="47" t="n">
        <x:v>3225738</x:v>
      </x:c>
      <x:c r="E1643" s="47" t="n">
        <x:v>4759052</x:v>
      </x:c>
      <x:c r="F1643" s="47" t="n">
        <x:f>D1643-E1643</x:f>
        <x:v>-1533314</x:v>
      </x:c>
      <x:c r="G1643" s="49" t="n">
        <x:v>4</x:v>
      </x:c>
      <x:c r="H1643" s="49" t="n">
        <x:v>21</x:v>
      </x:c>
      <x:c r="I1643" s="47" t="n">
        <x:v>-1660517</x:v>
      </x:c>
      <x:c r="J1643" s="49" t="n">
        <x:v>1419</x:v>
      </x:c>
      <x:c r="K1643" s="47" t="n">
        <x:v>-192702</x:v>
      </x:c>
      <x:c r="L1643" s="47" t="n">
        <x:v>79840.42857142857</x:v>
      </x:c>
      <x:c r="M1643" s="48" t="n">
        <x:v>6.132</x:v>
      </x:c>
      <x:c r="N1643" s="48" t="n">
        <x:v>541.552</x:v>
      </x:c>
      <x:c r="O1643" s="49" t="n">
        <x:v>10</x:v>
      </x:c>
      <x:c r="P1643" s="1" t="str">
        <x:v>基準併用：追従と反発を状態で選択・標準</x:v>
      </x:c>
      <x:c r="Q1643" s="49" t="n">
        <x:v>0</x:v>
      </x:c>
      <x:c r="R1643" s="50" t="n">
        <x:v>0.694297435897436</x:v>
      </x:c>
      <x:c r="S1643" s="50" t="n">
        <x:v>0.6942974358974359</x:v>
      </x:c>
      <x:c r="T1643" s="1" t="str">
        <x:v>ナイト</x:v>
      </x:c>
      <x:c r="U1643" s="49" t="n">
        <x:v>25</x:v>
      </x:c>
    </x:row>
    <x:row r="1644" ht="22" customHeight="1">
      <x:c r="A1644" s="1" t="str">
        <x:v>TOPIXmini</x:v>
      </x:c>
      <x:c r="B1644" s="1" t="str">
        <x:v>K11</x:v>
      </x:c>
      <x:c r="C1644" s="1" t="str">
        <x:v>全50場</x:v>
      </x:c>
      <x:c r="D1644" s="47" t="n">
        <x:v>2922882</x:v>
      </x:c>
      <x:c r="E1644" s="47" t="n">
        <x:v>4907971</x:v>
      </x:c>
      <x:c r="F1644" s="47" t="n">
        <x:f>D1644-E1644</x:f>
        <x:v>-1985089</x:v>
      </x:c>
      <x:c r="G1644" s="49" t="n">
        <x:v>4</x:v>
      </x:c>
      <x:c r="H1644" s="49" t="n">
        <x:v>21</x:v>
      </x:c>
      <x:c r="I1644" s="47" t="n">
        <x:v>-2082645</x:v>
      </x:c>
      <x:c r="J1644" s="49" t="n">
        <x:v>1315</x:v>
      </x:c>
      <x:c r="K1644" s="47" t="n">
        <x:v>-160620</x:v>
      </x:c>
      <x:c r="L1644" s="47" t="n">
        <x:v>99806.71428571429</x:v>
      </x:c>
      <x:c r="M1644" s="48" t="n">
        <x:v>4.252666666666667</x:v>
      </x:c>
      <x:c r="N1644" s="48" t="n">
        <x:v>432.8186666666666</x:v>
      </x:c>
      <x:c r="O1644" s="49" t="n">
        <x:v>10</x:v>
      </x:c>
      <x:c r="P1644" s="1" t="str">
        <x:v>基準併用：追従と反発を状態で選択・標準</x:v>
      </x:c>
      <x:c r="Q1644" s="49" t="n">
        <x:v>0</x:v>
      </x:c>
      <x:c r="R1644" s="50" t="n">
        <x:v>0.7365155067155068</x:v>
      </x:c>
      <x:c r="S1644" s="50" t="n">
        <x:v>0.7128107158541942</x:v>
      </x:c>
      <x:c r="T1644" s="1" t="str">
        <x:v>上昇</x:v>
      </x:c>
      <x:c r="U1644" s="49" t="n">
        <x:v>25</x:v>
      </x:c>
    </x:row>
    <x:row r="1645" ht="22" customHeight="1">
      <x:c r="A1645" s="1" t="str">
        <x:v>TOPIXmini</x:v>
      </x:c>
      <x:c r="B1645" s="1" t="str">
        <x:v>K11</x:v>
      </x:c>
      <x:c r="C1645" s="1" t="str">
        <x:v>全50場</x:v>
      </x:c>
      <x:c r="D1645" s="47" t="n">
        <x:v>3841628</x:v>
      </x:c>
      <x:c r="E1645" s="47" t="n">
        <x:v>5152543</x:v>
      </x:c>
      <x:c r="F1645" s="47" t="n">
        <x:f>D1645-E1645</x:f>
        <x:v>-1310915</x:v>
      </x:c>
      <x:c r="G1645" s="49" t="n">
        <x:v>7</x:v>
      </x:c>
      <x:c r="H1645" s="49" t="n">
        <x:v>18</x:v>
      </x:c>
      <x:c r="I1645" s="47" t="n">
        <x:v>-1593616</x:v>
      </x:c>
      <x:c r="J1645" s="49" t="n">
        <x:v>1596</x:v>
      </x:c>
      <x:c r="K1645" s="47" t="n">
        <x:v>-252876</x:v>
      </x:c>
      <x:c r="L1645" s="47" t="n">
        <x:v>94006.83333333333</x:v>
      </x:c>
      <x:c r="M1645" s="48" t="n">
        <x:v>6.554666666666667</x:v>
      </x:c>
      <x:c r="N1645" s="48" t="n">
        <x:v>463.18399999999997</x:v>
      </x:c>
      <x:c r="O1645" s="49" t="n">
        <x:v>10</x:v>
      </x:c>
      <x:c r="P1645" s="1" t="str">
        <x:v>基準併用：追従と反発を状態で選択・標準</x:v>
      </x:c>
      <x:c r="Q1645" s="49" t="n">
        <x:v>0</x:v>
      </x:c>
      <x:c r="R1645" s="50" t="n">
        <x:v>0.8017120879120878</x:v>
      </x:c>
      <x:c r="S1645" s="50" t="n">
        <x:v>0.7813495276653172</x:v>
      </x:c>
      <x:c r="T1645" s="1" t="str">
        <x:v>下落</x:v>
      </x:c>
      <x:c r="U1645" s="49" t="n">
        <x:v>25</x:v>
      </x:c>
    </x:row>
    <x:row r="1646" ht="22" customHeight="1">
      <x:c r="A1646" s="1" t="str">
        <x:v>TOPIXmini</x:v>
      </x:c>
      <x:c r="B1646" s="1" t="str">
        <x:v>K11</x:v>
      </x:c>
      <x:c r="C1646" s="1" t="str">
        <x:v>対照47場</x:v>
      </x:c>
      <x:c r="D1646" s="47" t="n">
        <x:v>6175303</x:v>
      </x:c>
      <x:c r="E1646" s="47" t="n">
        <x:v>9229858</x:v>
      </x:c>
      <x:c r="F1646" s="47" t="n">
        <x:f>D1646-E1646</x:f>
        <x:v>-3054555</x:v>
      </x:c>
      <x:c r="G1646" s="49" t="n">
        <x:v>11</x:v>
      </x:c>
      <x:c r="H1646" s="49" t="n">
        <x:v>36</x:v>
      </x:c>
      <x:c r="I1646" s="47" t="n">
        <x:v>-3337256</x:v>
      </x:c>
      <x:c r="J1646" s="49" t="n">
        <x:v>2641</x:v>
      </x:c>
      <x:c r="K1646" s="47" t="n">
        <x:v>-252876</x:v>
      </x:c>
      <x:c r="L1646" s="47" t="n">
        <x:v>98517.08333333333</x:v>
      </x:c>
      <x:c r="M1646" s="48" t="n">
        <x:v>5.558156028368795</x:v>
      </x:c>
      <x:c r="N1646" s="48" t="n">
        <x:v>445.44113475177306</x:v>
      </x:c>
      <x:c r="O1646" s="49" t="n">
        <x:v>10</x:v>
      </x:c>
      <x:c r="P1646" s="1" t="str">
        <x:v>基準併用：追従と反発を状態で選択・標準</x:v>
      </x:c>
      <x:c r="Q1646" s="49" t="n">
        <x:v>0</x:v>
      </x:c>
      <x:c r="R1646" s="50" t="n">
        <x:v>0.7697682695555035</x:v>
      </x:c>
      <x:c r="S1646" s="50" t="n">
        <x:v>0.7471710682845587</x:v>
      </x:c>
      <x:c r="T1646" s="1" t="str">
        <x:v>全場</x:v>
      </x:c>
      <x:c r="U1646" s="49" t="n">
        <x:v>47</x:v>
      </x:c>
    </x:row>
    <x:row r="1647" ht="22" customHeight="1">
      <x:c r="A1647" s="1" t="str">
        <x:v>TOPIXmini</x:v>
      </x:c>
      <x:c r="B1647" s="1" t="str">
        <x:v>K11</x:v>
      </x:c>
      <x:c r="C1647" s="1" t="str">
        <x:v>対照47場</x:v>
      </x:c>
      <x:c r="D1647" s="47" t="n">
        <x:v>3266314</x:v>
      </x:c>
      <x:c r="E1647" s="47" t="n">
        <x:v>4929582</x:v>
      </x:c>
      <x:c r="F1647" s="47" t="n">
        <x:f>D1647-E1647</x:f>
        <x:v>-1663268</x:v>
      </x:c>
      <x:c r="G1647" s="49" t="n">
        <x:v>7</x:v>
      </x:c>
      <x:c r="H1647" s="49" t="n">
        <x:v>17</x:v>
      </x:c>
      <x:c r="I1647" s="47" t="n">
        <x:v>-1923870</x:v>
      </x:c>
      <x:c r="J1647" s="49" t="n">
        <x:v>1395</x:v>
      </x:c>
      <x:c r="K1647" s="47" t="n">
        <x:v>-252876</x:v>
      </x:c>
      <x:c r="L1647" s="47" t="n">
        <x:v>118352.5294117647</x:v>
      </x:c>
      <x:c r="M1647" s="48" t="n">
        <x:v>4.756944444444444</x:v>
      </x:c>
      <x:c r="N1647" s="48" t="n">
        <x:v>354.08194444444445</x:v>
      </x:c>
      <x:c r="O1647" s="49" t="n">
        <x:v>10</x:v>
      </x:c>
      <x:c r="P1647" s="1" t="str">
        <x:v>基準併用：追従と反発を状態で選択・標準</x:v>
      </x:c>
      <x:c r="Q1647" s="49" t="n">
        <x:v>0</x:v>
      </x:c>
      <x:c r="R1647" s="50" t="n">
        <x:v>0.8430522486772487</x:v>
      </x:c>
      <x:c r="S1647" s="50" t="n">
        <x:v>0.8430522486772487</x:v>
      </x:c>
      <x:c r="T1647" s="1" t="str">
        <x:v>デイ</x:v>
      </x:c>
      <x:c r="U1647" s="49" t="n">
        <x:v>24</x:v>
      </x:c>
    </x:row>
    <x:row r="1648" ht="22" customHeight="1">
      <x:c r="A1648" s="1" t="str">
        <x:v>TOPIXmini</x:v>
      </x:c>
      <x:c r="B1648" s="1" t="str">
        <x:v>K11</x:v>
      </x:c>
      <x:c r="C1648" s="1" t="str">
        <x:v>対照47場</x:v>
      </x:c>
      <x:c r="D1648" s="47" t="n">
        <x:v>2908989</x:v>
      </x:c>
      <x:c r="E1648" s="47" t="n">
        <x:v>4300276</x:v>
      </x:c>
      <x:c r="F1648" s="47" t="n">
        <x:f>D1648-E1648</x:f>
        <x:v>-1391287</x:v>
      </x:c>
      <x:c r="G1648" s="49" t="n">
        <x:v>4</x:v>
      </x:c>
      <x:c r="H1648" s="49" t="n">
        <x:v>19</x:v>
      </x:c>
      <x:c r="I1648" s="47" t="n">
        <x:v>-1518490</x:v>
      </x:c>
      <x:c r="J1648" s="49" t="n">
        <x:v>1246</x:v>
      </x:c>
      <x:c r="K1648" s="47" t="n">
        <x:v>-192702</x:v>
      </x:c>
      <x:c r="L1648" s="47" t="n">
        <x:v>80769.57894736843</x:v>
      </x:c>
      <x:c r="M1648" s="48" t="n">
        <x:v>6.394202898550725</x:v>
      </x:c>
      <x:c r="N1648" s="48" t="n">
        <x:v>540.7724637681158</x:v>
      </x:c>
      <x:c r="O1648" s="49" t="n">
        <x:v>10</x:v>
      </x:c>
      <x:c r="P1648" s="1" t="str">
        <x:v>基準併用：追従と反発を状態で選択・標準</x:v>
      </x:c>
      <x:c r="Q1648" s="49" t="n">
        <x:v>0</x:v>
      </x:c>
      <x:c r="R1648" s="50" t="n">
        <x:v>0.6932980304719436</x:v>
      </x:c>
      <x:c r="S1648" s="50" t="n">
        <x:v>0.6932980304719435</x:v>
      </x:c>
      <x:c r="T1648" s="1" t="str">
        <x:v>ナイト</x:v>
      </x:c>
      <x:c r="U1648" s="49" t="n">
        <x:v>23</x:v>
      </x:c>
    </x:row>
    <x:row r="1649" ht="22" customHeight="1">
      <x:c r="A1649" s="1" t="str">
        <x:v>TOPIXmini</x:v>
      </x:c>
      <x:c r="B1649" s="1" t="str">
        <x:v>K11</x:v>
      </x:c>
      <x:c r="C1649" s="1" t="str">
        <x:v>対照47場</x:v>
      </x:c>
      <x:c r="D1649" s="47" t="n">
        <x:v>2814510</x:v>
      </x:c>
      <x:c r="E1649" s="47" t="n">
        <x:v>4691086</x:v>
      </x:c>
      <x:c r="F1649" s="47" t="n">
        <x:f>D1649-E1649</x:f>
        <x:v>-1876576</x:v>
      </x:c>
      <x:c r="G1649" s="49" t="n">
        <x:v>4</x:v>
      </x:c>
      <x:c r="H1649" s="49" t="n">
        <x:v>20</x:v>
      </x:c>
      <x:c r="I1649" s="47" t="n">
        <x:v>-1974132</x:v>
      </x:c>
      <x:c r="J1649" s="49" t="n">
        <x:v>1234</x:v>
      </x:c>
      <x:c r="K1649" s="47" t="n">
        <x:v>-160620</x:v>
      </x:c>
      <x:c r="L1649" s="47" t="n">
        <x:v>99371.4</x:v>
      </x:c>
      <x:c r="M1649" s="48" t="n">
        <x:v>4.336805555555556</x:v>
      </x:c>
      <x:c r="N1649" s="48" t="n">
        <x:v>429.25277777777774</x:v>
      </x:c>
      <x:c r="O1649" s="49" t="n">
        <x:v>10</x:v>
      </x:c>
      <x:c r="P1649" s="1" t="str">
        <x:v>基準併用：追従と反発を状態で選択・標準</x:v>
      </x:c>
      <x:c r="Q1649" s="49" t="n">
        <x:v>0</x:v>
      </x:c>
      <x:c r="R1649" s="50" t="n">
        <x:v>0.7395113451363452</x:v>
      </x:c>
      <x:c r="S1649" s="50" t="n">
        <x:v>0.7154212962962964</x:v>
      </x:c>
      <x:c r="T1649" s="1" t="str">
        <x:v>上昇</x:v>
      </x:c>
      <x:c r="U1649" s="49" t="n">
        <x:v>24</x:v>
      </x:c>
    </x:row>
    <x:row r="1650" ht="22" customHeight="1">
      <x:c r="A1650" s="1" t="str">
        <x:v>TOPIXmini</x:v>
      </x:c>
      <x:c r="B1650" s="1" t="str">
        <x:v>K11</x:v>
      </x:c>
      <x:c r="C1650" s="1" t="str">
        <x:v>対照47場</x:v>
      </x:c>
      <x:c r="D1650" s="47" t="n">
        <x:v>3360793</x:v>
      </x:c>
      <x:c r="E1650" s="47" t="n">
        <x:v>4538772</x:v>
      </x:c>
      <x:c r="F1650" s="47" t="n">
        <x:f>D1650-E1650</x:f>
        <x:v>-1177979</x:v>
      </x:c>
      <x:c r="G1650" s="49" t="n">
        <x:v>7</x:v>
      </x:c>
      <x:c r="H1650" s="49" t="n">
        <x:v>16</x:v>
      </x:c>
      <x:c r="I1650" s="47" t="n">
        <x:v>-1460680</x:v>
      </x:c>
      <x:c r="J1650" s="49" t="n">
        <x:v>1407</x:v>
      </x:c>
      <x:c r="K1650" s="47" t="n">
        <x:v>-252876</x:v>
      </x:c>
      <x:c r="L1650" s="47" t="n">
        <x:v>97449.1875</x:v>
      </x:c>
      <x:c r="M1650" s="48" t="n">
        <x:v>6.832608695652173</x:v>
      </x:c>
      <x:c r="N1650" s="48" t="n">
        <x:v>462.3333333333333</x:v>
      </x:c>
      <x:c r="O1650" s="49" t="n">
        <x:v>10</x:v>
      </x:c>
      <x:c r="P1650" s="1" t="str">
        <x:v>基準併用：追従と反発を状態で選択・標準</x:v>
      </x:c>
      <x:c r="Q1650" s="49" t="n">
        <x:v>0</x:v>
      </x:c>
      <x:c r="R1650" s="50" t="n">
        <x:v>0.8013407124276689</x:v>
      </x:c>
      <x:c r="S1650" s="50" t="n">
        <x:v>0.780739109153206</x:v>
      </x:c>
      <x:c r="T1650" s="1" t="str">
        <x:v>下落</x:v>
      </x:c>
      <x:c r="U1650" s="49" t="n">
        <x:v>23</x:v>
      </x:c>
    </x:row>
    <x:row r="1651" ht="22" customHeight="1">
      <x:c r="A1651" s="1" t="str">
        <x:v>TOPIXmini</x:v>
      </x:c>
      <x:c r="B1651" s="1" t="str">
        <x:v>K11</x:v>
      </x:c>
      <x:c r="C1651" s="1" t="str">
        <x:v>診断3場</x:v>
      </x:c>
      <x:c r="D1651" s="47" t="n">
        <x:v>589207</x:v>
      </x:c>
      <x:c r="E1651" s="47" t="n">
        <x:v>830656</x:v>
      </x:c>
      <x:c r="F1651" s="47" t="n">
        <x:f>D1651-E1651</x:f>
        <x:v>-241449</x:v>
      </x:c>
      <x:c r="G1651" s="49" t="n">
        <x:v>0</x:v>
      </x:c>
      <x:c r="H1651" s="49" t="n">
        <x:v>3</x:v>
      </x:c>
      <x:c r="I1651" s="47" t="n">
        <x:v>-241449</x:v>
      </x:c>
      <x:c r="J1651" s="49" t="n">
        <x:v>270</x:v>
      </x:c>
      <x:c r="K1651" s="47" t="n">
        <x:v>-108513</x:v>
      </x:c>
      <x:c r="L1651" s="47" t="n">
        <x:v>80483</x:v>
      </x:c>
      <x:c r="M1651" s="48" t="n">
        <x:v>2.983333333333333</x:v>
      </x:c>
      <x:c r="N1651" s="48" t="n">
        <x:v>488.11111111111114</x:v>
      </x:c>
      <x:c r="O1651" s="49" t="n">
        <x:v>10</x:v>
      </x:c>
      <x:c r="P1651" s="1" t="str">
        <x:v>基準併用：追従と反発を状態で選択・標準</x:v>
      </x:c>
      <x:c r="Q1651" s="49" t="n">
        <x:v>0</x:v>
      </x:c>
      <x:c r="R1651" s="50" t="n">
        <x:v>0.7588603988603989</x:v>
      </x:c>
      <x:c r="S1651" s="50" t="n">
        <x:v>0.7395622895622895</x:v>
      </x:c>
      <x:c r="T1651" s="1" t="str">
        <x:v>全場</x:v>
      </x:c>
      <x:c r="U1651" s="49" t="n">
        <x:v>3</x:v>
      </x:c>
    </x:row>
    <x:row r="1652" ht="22" customHeight="1">
      <x:c r="A1652" s="1" t="str">
        <x:v>TOPIXmini</x:v>
      </x:c>
      <x:c r="B1652" s="1" t="str">
        <x:v>K11</x:v>
      </x:c>
      <x:c r="C1652" s="1" t="str">
        <x:v>診断3場</x:v>
      </x:c>
      <x:c r="D1652" s="47" t="n">
        <x:v>272458</x:v>
      </x:c>
      <x:c r="E1652" s="47" t="n">
        <x:v>371880</x:v>
      </x:c>
      <x:c r="F1652" s="47" t="n">
        <x:f>D1652-E1652</x:f>
        <x:v>-99422</x:v>
      </x:c>
      <x:c r="G1652" s="49" t="n">
        <x:v>0</x:v>
      </x:c>
      <x:c r="H1652" s="49" t="n">
        <x:v>1</x:v>
      </x:c>
      <x:c r="I1652" s="47" t="n">
        <x:v>-99422</x:v>
      </x:c>
      <x:c r="J1652" s="49" t="n">
        <x:v>97</x:v>
      </x:c>
      <x:c r="K1652" s="47" t="n">
        <x:v>-99422</x:v>
      </x:c>
      <x:c r="L1652" s="47" t="n">
        <x:v>99422</x:v>
      </x:c>
      <x:c r="M1652" s="48" t="n">
        <x:v>2.716666666666667</x:v>
      </x:c>
      <x:c r="N1652" s="48" t="n">
        <x:v>363.3</x:v>
      </x:c>
      <x:c r="O1652" s="49" t="n">
        <x:v>10</x:v>
      </x:c>
      <x:c r="P1652" s="1" t="str">
        <x:v>基準併用：追従と反発を状態で選択・標準</x:v>
      </x:c>
      <x:c r="Q1652" s="49" t="n">
        <x:v>0</x:v>
      </x:c>
      <x:c r="R1652" s="50" t="n">
        <x:v>0.865</x:v>
      </x:c>
      <x:c r="S1652" s="50" t="n">
        <x:v>0.865</x:v>
      </x:c>
      <x:c r="T1652" s="1" t="str">
        <x:v>デイ</x:v>
      </x:c>
      <x:c r="U1652" s="49" t="n">
        <x:v>1</x:v>
      </x:c>
    </x:row>
    <x:row r="1653" ht="22" customHeight="1">
      <x:c r="A1653" s="1" t="str">
        <x:v>TOPIXmini</x:v>
      </x:c>
      <x:c r="B1653" s="1" t="str">
        <x:v>K11</x:v>
      </x:c>
      <x:c r="C1653" s="1" t="str">
        <x:v>診断3場</x:v>
      </x:c>
      <x:c r="D1653" s="47" t="n">
        <x:v>316749</x:v>
      </x:c>
      <x:c r="E1653" s="47" t="n">
        <x:v>458776</x:v>
      </x:c>
      <x:c r="F1653" s="47" t="n">
        <x:f>D1653-E1653</x:f>
        <x:v>-142027</x:v>
      </x:c>
      <x:c r="G1653" s="49" t="n">
        <x:v>0</x:v>
      </x:c>
      <x:c r="H1653" s="49" t="n">
        <x:v>2</x:v>
      </x:c>
      <x:c r="I1653" s="47" t="n">
        <x:v>-142027</x:v>
      </x:c>
      <x:c r="J1653" s="49" t="n">
        <x:v>173</x:v>
      </x:c>
      <x:c r="K1653" s="47" t="n">
        <x:v>-108513</x:v>
      </x:c>
      <x:c r="L1653" s="47" t="n">
        <x:v>71013.5</x:v>
      </x:c>
      <x:c r="M1653" s="48" t="n">
        <x:v>3.1166666666666667</x:v>
      </x:c>
      <x:c r="N1653" s="48" t="n">
        <x:v>550.5166666666667</x:v>
      </x:c>
      <x:c r="O1653" s="49" t="n">
        <x:v>10</x:v>
      </x:c>
      <x:c r="P1653" s="1" t="str">
        <x:v>基準併用：追従と反発を状態で選択・標準</x:v>
      </x:c>
      <x:c r="Q1653" s="49" t="n">
        <x:v>0</x:v>
      </x:c>
      <x:c r="R1653" s="50" t="n">
        <x:v>0.7057905982905983</x:v>
      </x:c>
      <x:c r="S1653" s="50" t="n">
        <x:v>0.7057905982905983</x:v>
      </x:c>
      <x:c r="T1653" s="1" t="str">
        <x:v>ナイト</x:v>
      </x:c>
      <x:c r="U1653" s="49" t="n">
        <x:v>2</x:v>
      </x:c>
    </x:row>
    <x:row r="1654" ht="22" customHeight="1">
      <x:c r="A1654" s="1" t="str">
        <x:v>TOPIXmini</x:v>
      </x:c>
      <x:c r="B1654" s="1" t="str">
        <x:v>K11</x:v>
      </x:c>
      <x:c r="C1654" s="1" t="str">
        <x:v>診断3場</x:v>
      </x:c>
      <x:c r="D1654" s="47" t="n">
        <x:v>108372</x:v>
      </x:c>
      <x:c r="E1654" s="47" t="n">
        <x:v>216885</x:v>
      </x:c>
      <x:c r="F1654" s="47" t="n">
        <x:f>D1654-E1654</x:f>
        <x:v>-108513</x:v>
      </x:c>
      <x:c r="G1654" s="49" t="n">
        <x:v>0</x:v>
      </x:c>
      <x:c r="H1654" s="49" t="n">
        <x:v>1</x:v>
      </x:c>
      <x:c r="I1654" s="47" t="n">
        <x:v>-108513</x:v>
      </x:c>
      <x:c r="J1654" s="49" t="n">
        <x:v>81</x:v>
      </x:c>
      <x:c r="K1654" s="47" t="n">
        <x:v>-108513</x:v>
      </x:c>
      <x:c r="L1654" s="47" t="n">
        <x:v>108513</x:v>
      </x:c>
      <x:c r="M1654" s="48" t="n">
        <x:v>2.2333333333333334</x:v>
      </x:c>
      <x:c r="N1654" s="48" t="n">
        <x:v>518.4</x:v>
      </x:c>
      <x:c r="O1654" s="49" t="n">
        <x:v>10</x:v>
      </x:c>
      <x:c r="P1654" s="1" t="str">
        <x:v>基準併用：追従と反発を状態で選択・標準</x:v>
      </x:c>
      <x:c r="Q1654" s="49" t="n">
        <x:v>0</x:v>
      </x:c>
      <x:c r="R1654" s="50" t="n">
        <x:v>0.6646153846153846</x:v>
      </x:c>
      <x:c r="S1654" s="50" t="n">
        <x:v>0.6646153846153846</x:v>
      </x:c>
      <x:c r="T1654" s="1" t="str">
        <x:v>上昇</x:v>
      </x:c>
      <x:c r="U1654" s="49" t="n">
        <x:v>1</x:v>
      </x:c>
    </x:row>
    <x:row r="1655" ht="22" customHeight="1">
      <x:c r="A1655" s="1" t="str">
        <x:v>TOPIXmini</x:v>
      </x:c>
      <x:c r="B1655" s="1" t="str">
        <x:v>K11</x:v>
      </x:c>
      <x:c r="C1655" s="1" t="str">
        <x:v>診断3場</x:v>
      </x:c>
      <x:c r="D1655" s="47" t="n">
        <x:v>480835</x:v>
      </x:c>
      <x:c r="E1655" s="47" t="n">
        <x:v>613771</x:v>
      </x:c>
      <x:c r="F1655" s="47" t="n">
        <x:f>D1655-E1655</x:f>
        <x:v>-132936</x:v>
      </x:c>
      <x:c r="G1655" s="49" t="n">
        <x:v>0</x:v>
      </x:c>
      <x:c r="H1655" s="49" t="n">
        <x:v>2</x:v>
      </x:c>
      <x:c r="I1655" s="47" t="n">
        <x:v>-132936</x:v>
      </x:c>
      <x:c r="J1655" s="49" t="n">
        <x:v>189</x:v>
      </x:c>
      <x:c r="K1655" s="47" t="n">
        <x:v>-99422</x:v>
      </x:c>
      <x:c r="L1655" s="47" t="n">
        <x:v>66468</x:v>
      </x:c>
      <x:c r="M1655" s="48" t="n">
        <x:v>3.3583333333333334</x:v>
      </x:c>
      <x:c r="N1655" s="48" t="n">
        <x:v>472.9666666666667</x:v>
      </x:c>
      <x:c r="O1655" s="49" t="n">
        <x:v>10</x:v>
      </x:c>
      <x:c r="P1655" s="1" t="str">
        <x:v>基準併用：追従と反発を状態で選択・標準</x:v>
      </x:c>
      <x:c r="Q1655" s="49" t="n">
        <x:v>0</x:v>
      </x:c>
      <x:c r="R1655" s="50" t="n">
        <x:v>0.805982905982906</x:v>
      </x:c>
      <x:c r="S1655" s="50" t="n">
        <x:v>0.7882777777777779</x:v>
      </x:c>
      <x:c r="T1655" s="1" t="str">
        <x:v>下落</x:v>
      </x:c>
      <x:c r="U1655" s="49" t="n">
        <x:v>2</x:v>
      </x:c>
    </x:row>
    <x:row r="1656" ht="22" customHeight="1">
      <x:c r="A1656" s="1" t="str">
        <x:v>TOPIXmini</x:v>
      </x:c>
      <x:c r="B1656" s="1" t="str">
        <x:v>K12</x:v>
      </x:c>
      <x:c r="C1656" s="1" t="str">
        <x:v>全50場</x:v>
      </x:c>
      <x:c r="D1656" s="47" t="n">
        <x:v>6741516</x:v>
      </x:c>
      <x:c r="E1656" s="47" t="n">
        <x:v>9535964</x:v>
      </x:c>
      <x:c r="F1656" s="47" t="n">
        <x:f>D1656-E1656</x:f>
        <x:v>-2794448</x:v>
      </x:c>
      <x:c r="G1656" s="49" t="n">
        <x:v>16</x:v>
      </x:c>
      <x:c r="H1656" s="49" t="n">
        <x:v>34</x:v>
      </x:c>
      <x:c r="I1656" s="47" t="n">
        <x:v>-3036300</x:v>
      </x:c>
      <x:c r="J1656" s="49" t="n">
        <x:v>2511</x:v>
      </x:c>
      <x:c r="K1656" s="47" t="n">
        <x:v>-249794</x:v>
      </x:c>
      <x:c r="L1656" s="47" t="n">
        <x:v>99611.70588235294</x:v>
      </x:c>
      <x:c r="M1656" s="48" t="n">
        <x:v>5.403666666666667</x:v>
      </x:c>
      <x:c r="N1656" s="48" t="n">
        <x:v>491.1133333333333</x:v>
      </x:c>
      <x:c r="O1656" s="49" t="n">
        <x:v>10</x:v>
      </x:c>
      <x:c r="P1656" s="1" t="str">
        <x:v>基準併用：追従と反発を状態で選択・広め</x:v>
      </x:c>
      <x:c r="Q1656" s="49" t="n">
        <x:v>0</x:v>
      </x:c>
      <x:c r="R1656" s="50" t="n">
        <x:v>0.83032442002442</x:v>
      </x:c>
      <x:c r="S1656" s="50" t="n">
        <x:v>0.8185222222222223</x:v>
      </x:c>
      <x:c r="T1656" s="1" t="str">
        <x:v>全場</x:v>
      </x:c>
      <x:c r="U1656" s="49" t="n">
        <x:v>50</x:v>
      </x:c>
    </x:row>
    <x:row r="1657" ht="22" customHeight="1">
      <x:c r="A1657" s="1" t="str">
        <x:v>TOPIXmini</x:v>
      </x:c>
      <x:c r="B1657" s="1" t="str">
        <x:v>K12</x:v>
      </x:c>
      <x:c r="C1657" s="1" t="str">
        <x:v>全50場</x:v>
      </x:c>
      <x:c r="D1657" s="47" t="n">
        <x:v>3476802</x:v>
      </x:c>
      <x:c r="E1657" s="47" t="n">
        <x:v>5135670</x:v>
      </x:c>
      <x:c r="F1657" s="47" t="n">
        <x:f>D1657-E1657</x:f>
        <x:v>-1658868</x:v>
      </x:c>
      <x:c r="G1657" s="49" t="n">
        <x:v>8</x:v>
      </x:c>
      <x:c r="H1657" s="49" t="n">
        <x:v>17</x:v>
      </x:c>
      <x:c r="I1657" s="47" t="n">
        <x:v>-1900720</x:v>
      </x:c>
      <x:c r="J1657" s="49" t="n">
        <x:v>1337</x:v>
      </x:c>
      <x:c r="K1657" s="47" t="n">
        <x:v>-249794</x:v>
      </x:c>
      <x:c r="L1657" s="47" t="n">
        <x:v>122057.64705882352</x:v>
      </x:c>
      <x:c r="M1657" s="48" t="n">
        <x:v>4.675333333333333</x:v>
      </x:c>
      <x:c r="N1657" s="48" t="n">
        <x:v>365.25933333333336</x:v>
      </x:c>
      <x:c r="O1657" s="49" t="n">
        <x:v>10</x:v>
      </x:c>
      <x:c r="P1657" s="1" t="str">
        <x:v>基準併用：追従と反発を状態で選択・広め</x:v>
      </x:c>
      <x:c r="Q1657" s="49" t="n">
        <x:v>0</x:v>
      </x:c>
      <x:c r="R1657" s="50" t="n">
        <x:v>0.8696650793650794</x:v>
      </x:c>
      <x:c r="S1657" s="50" t="n">
        <x:v>0.8696650793650794</x:v>
      </x:c>
      <x:c r="T1657" s="1" t="str">
        <x:v>デイ</x:v>
      </x:c>
      <x:c r="U1657" s="49" t="n">
        <x:v>25</x:v>
      </x:c>
    </x:row>
    <x:row r="1658" ht="22" customHeight="1">
      <x:c r="A1658" s="1" t="str">
        <x:v>TOPIXmini</x:v>
      </x:c>
      <x:c r="B1658" s="1" t="str">
        <x:v>K12</x:v>
      </x:c>
      <x:c r="C1658" s="1" t="str">
        <x:v>全50場</x:v>
      </x:c>
      <x:c r="D1658" s="47" t="n">
        <x:v>3264714</x:v>
      </x:c>
      <x:c r="E1658" s="47" t="n">
        <x:v>4400294</x:v>
      </x:c>
      <x:c r="F1658" s="47" t="n">
        <x:f>D1658-E1658</x:f>
        <x:v>-1135580</x:v>
      </x:c>
      <x:c r="G1658" s="49" t="n">
        <x:v>8</x:v>
      </x:c>
      <x:c r="H1658" s="49" t="n">
        <x:v>17</x:v>
      </x:c>
      <x:c r="I1658" s="47" t="n">
        <x:v>-1258415</x:v>
      </x:c>
      <x:c r="J1658" s="49" t="n">
        <x:v>1174</x:v>
      </x:c>
      <x:c r="K1658" s="47" t="n">
        <x:v>-167380</x:v>
      </x:c>
      <x:c r="L1658" s="47" t="n">
        <x:v>77165.76470588235</x:v>
      </x:c>
      <x:c r="M1658" s="48" t="n">
        <x:v>6.132</x:v>
      </x:c>
      <x:c r="N1658" s="48" t="n">
        <x:v>616.9673333333334</x:v>
      </x:c>
      <x:c r="O1658" s="49" t="n">
        <x:v>10</x:v>
      </x:c>
      <x:c r="P1658" s="1" t="str">
        <x:v>基準併用：追従と反発を状態で選択・広め</x:v>
      </x:c>
      <x:c r="Q1658" s="49" t="n">
        <x:v>0</x:v>
      </x:c>
      <x:c r="R1658" s="50" t="n">
        <x:v>0.7909837606837606</x:v>
      </x:c>
      <x:c r="S1658" s="50" t="n">
        <x:v>0.7909837606837606</x:v>
      </x:c>
      <x:c r="T1658" s="1" t="str">
        <x:v>ナイト</x:v>
      </x:c>
      <x:c r="U1658" s="49" t="n">
        <x:v>25</x:v>
      </x:c>
    </x:row>
    <x:row r="1659" ht="22" customHeight="1">
      <x:c r="A1659" s="1" t="str">
        <x:v>TOPIXmini</x:v>
      </x:c>
      <x:c r="B1659" s="1" t="str">
        <x:v>K12</x:v>
      </x:c>
      <x:c r="C1659" s="1" t="str">
        <x:v>全50場</x:v>
      </x:c>
      <x:c r="D1659" s="47" t="n">
        <x:v>2985830</x:v>
      </x:c>
      <x:c r="E1659" s="47" t="n">
        <x:v>4572201</x:v>
      </x:c>
      <x:c r="F1659" s="47" t="n">
        <x:f>D1659-E1659</x:f>
        <x:v>-1586371</x:v>
      </x:c>
      <x:c r="G1659" s="49" t="n">
        <x:v>7</x:v>
      </x:c>
      <x:c r="H1659" s="49" t="n">
        <x:v>18</x:v>
      </x:c>
      <x:c r="I1659" s="47" t="n">
        <x:v>-1704945</x:v>
      </x:c>
      <x:c r="J1659" s="49" t="n">
        <x:v>1126</x:v>
      </x:c>
      <x:c r="K1659" s="47" t="n">
        <x:v>-188551</x:v>
      </x:c>
      <x:c r="L1659" s="47" t="n">
        <x:v>96615.88888888889</x:v>
      </x:c>
      <x:c r="M1659" s="48" t="n">
        <x:v>4.252666666666667</x:v>
      </x:c>
      <x:c r="N1659" s="48" t="n">
        <x:v>488.74066666666664</x:v>
      </x:c>
      <x:c r="O1659" s="49" t="n">
        <x:v>10</x:v>
      </x:c>
      <x:c r="P1659" s="1" t="str">
        <x:v>基準併用：追従と反発を状態で選択・広め</x:v>
      </x:c>
      <x:c r="Q1659" s="49" t="n">
        <x:v>0</x:v>
      </x:c>
      <x:c r="R1659" s="50" t="n">
        <x:v>0.8173605616605616</x:v>
      </x:c>
      <x:c r="S1659" s="50" t="n">
        <x:v>0.8049088713219148</x:v>
      </x:c>
      <x:c r="T1659" s="1" t="str">
        <x:v>上昇</x:v>
      </x:c>
      <x:c r="U1659" s="49" t="n">
        <x:v>25</x:v>
      </x:c>
    </x:row>
    <x:row r="1660" ht="22" customHeight="1">
      <x:c r="A1660" s="1" t="str">
        <x:v>TOPIXmini</x:v>
      </x:c>
      <x:c r="B1660" s="1" t="str">
        <x:v>K12</x:v>
      </x:c>
      <x:c r="C1660" s="1" t="str">
        <x:v>全50場</x:v>
      </x:c>
      <x:c r="D1660" s="47" t="n">
        <x:v>3755686</x:v>
      </x:c>
      <x:c r="E1660" s="47" t="n">
        <x:v>4963763</x:v>
      </x:c>
      <x:c r="F1660" s="47" t="n">
        <x:f>D1660-E1660</x:f>
        <x:v>-1208077</x:v>
      </x:c>
      <x:c r="G1660" s="49" t="n">
        <x:v>9</x:v>
      </x:c>
      <x:c r="H1660" s="49" t="n">
        <x:v>16</x:v>
      </x:c>
      <x:c r="I1660" s="47" t="n">
        <x:v>-1449929</x:v>
      </x:c>
      <x:c r="J1660" s="49" t="n">
        <x:v>1385</x:v>
      </x:c>
      <x:c r="K1660" s="47" t="n">
        <x:v>-249794</x:v>
      </x:c>
      <x:c r="L1660" s="47" t="n">
        <x:v>102982</x:v>
      </x:c>
      <x:c r="M1660" s="48" t="n">
        <x:v>6.554666666666667</x:v>
      </x:c>
      <x:c r="N1660" s="48" t="n">
        <x:v>493.48600000000005</x:v>
      </x:c>
      <x:c r="O1660" s="49" t="n">
        <x:v>10</x:v>
      </x:c>
      <x:c r="P1660" s="1" t="str">
        <x:v>基準併用：追従と反発を状態で選択・広め</x:v>
      </x:c>
      <x:c r="Q1660" s="49" t="n">
        <x:v>0</x:v>
      </x:c>
      <x:c r="R1660" s="50" t="n">
        <x:v>0.8432882783882785</x:v>
      </x:c>
      <x:c r="S1660" s="50" t="n">
        <x:v>0.832466261808367</x:v>
      </x:c>
      <x:c r="T1660" s="1" t="str">
        <x:v>下落</x:v>
      </x:c>
      <x:c r="U1660" s="49" t="n">
        <x:v>25</x:v>
      </x:c>
    </x:row>
    <x:row r="1661" ht="22" customHeight="1">
      <x:c r="A1661" s="1" t="str">
        <x:v>TOPIXmini</x:v>
      </x:c>
      <x:c r="B1661" s="1" t="str">
        <x:v>K12</x:v>
      </x:c>
      <x:c r="C1661" s="1" t="str">
        <x:v>対照47場</x:v>
      </x:c>
      <x:c r="D1661" s="47" t="n">
        <x:v>6120949</x:v>
      </x:c>
      <x:c r="E1661" s="47" t="n">
        <x:v>8776132</x:v>
      </x:c>
      <x:c r="F1661" s="47" t="n">
        <x:f>D1661-E1661</x:f>
        <x:v>-2655183</x:v>
      </x:c>
      <x:c r="G1661" s="49" t="n">
        <x:v>15</x:v>
      </x:c>
      <x:c r="H1661" s="49" t="n">
        <x:v>32</x:v>
      </x:c>
      <x:c r="I1661" s="47" t="n">
        <x:v>-2897035</x:v>
      </x:c>
      <x:c r="J1661" s="49" t="n">
        <x:v>2297</x:v>
      </x:c>
      <x:c r="K1661" s="47" t="n">
        <x:v>-249794</x:v>
      </x:c>
      <x:c r="L1661" s="47" t="n">
        <x:v>101260.125</x:v>
      </x:c>
      <x:c r="M1661" s="48" t="n">
        <x:v>5.558156028368795</x:v>
      </x:c>
      <x:c r="N1661" s="48" t="n">
        <x:v>487.29716312056746</x:v>
      </x:c>
      <x:c r="O1661" s="49" t="n">
        <x:v>10</x:v>
      </x:c>
      <x:c r="P1661" s="1" t="str">
        <x:v>基準併用：追従と反発を状態で選択・広め</x:v>
      </x:c>
      <x:c r="Q1661" s="49" t="n">
        <x:v>0</x:v>
      </x:c>
      <x:c r="R1661" s="50" t="n">
        <x:v>0.8295747278726001</x:v>
      </x:c>
      <x:c r="S1661" s="50" t="n">
        <x:v>0.8173792529145848</x:v>
      </x:c>
      <x:c r="T1661" s="1" t="str">
        <x:v>全場</x:v>
      </x:c>
      <x:c r="U1661" s="49" t="n">
        <x:v>47</x:v>
      </x:c>
    </x:row>
    <x:row r="1662" ht="22" customHeight="1">
      <x:c r="A1662" s="1" t="str">
        <x:v>TOPIXmini</x:v>
      </x:c>
      <x:c r="B1662" s="1" t="str">
        <x:v>K12</x:v>
      </x:c>
      <x:c r="C1662" s="1" t="str">
        <x:v>対照47場</x:v>
      </x:c>
      <x:c r="D1662" s="47" t="n">
        <x:v>3241192</x:v>
      </x:c>
      <x:c r="E1662" s="47" t="n">
        <x:v>4802118</x:v>
      </x:c>
      <x:c r="F1662" s="47" t="n">
        <x:f>D1662-E1662</x:f>
        <x:v>-1560926</x:v>
      </x:c>
      <x:c r="G1662" s="49" t="n">
        <x:v>8</x:v>
      </x:c>
      <x:c r="H1662" s="49" t="n">
        <x:v>16</x:v>
      </x:c>
      <x:c r="I1662" s="47" t="n">
        <x:v>-1802778</x:v>
      </x:c>
      <x:c r="J1662" s="49" t="n">
        <x:v>1256</x:v>
      </x:c>
      <x:c r="K1662" s="47" t="n">
        <x:v>-249794</x:v>
      </x:c>
      <x:c r="L1662" s="47" t="n">
        <x:v>123564.875</x:v>
      </x:c>
      <x:c r="M1662" s="48" t="n">
        <x:v>4.756944444444444</x:v>
      </x:c>
      <x:c r="N1662" s="48" t="n">
        <x:v>365.03263888888887</x:v>
      </x:c>
      <x:c r="O1662" s="49" t="n">
        <x:v>10</x:v>
      </x:c>
      <x:c r="P1662" s="1" t="str">
        <x:v>基準併用：追従と反発を状態で選択・広め</x:v>
      </x:c>
      <x:c r="Q1662" s="49" t="n">
        <x:v>0</x:v>
      </x:c>
      <x:c r="R1662" s="50" t="n">
        <x:v>0.8691253306878307</x:v>
      </x:c>
      <x:c r="S1662" s="50" t="n">
        <x:v>0.8691253306878306</x:v>
      </x:c>
      <x:c r="T1662" s="1" t="str">
        <x:v>デイ</x:v>
      </x:c>
      <x:c r="U1662" s="49" t="n">
        <x:v>24</x:v>
      </x:c>
    </x:row>
    <x:row r="1663" ht="22" customHeight="1">
      <x:c r="A1663" s="1" t="str">
        <x:v>TOPIXmini</x:v>
      </x:c>
      <x:c r="B1663" s="1" t="str">
        <x:v>K12</x:v>
      </x:c>
      <x:c r="C1663" s="1" t="str">
        <x:v>対照47場</x:v>
      </x:c>
      <x:c r="D1663" s="47" t="n">
        <x:v>2879757</x:v>
      </x:c>
      <x:c r="E1663" s="47" t="n">
        <x:v>3974014</x:v>
      </x:c>
      <x:c r="F1663" s="47" t="n">
        <x:f>D1663-E1663</x:f>
        <x:v>-1094257</x:v>
      </x:c>
      <x:c r="G1663" s="49" t="n">
        <x:v>7</x:v>
      </x:c>
      <x:c r="H1663" s="49" t="n">
        <x:v>16</x:v>
      </x:c>
      <x:c r="I1663" s="47" t="n">
        <x:v>-1217092</x:v>
      </x:c>
      <x:c r="J1663" s="49" t="n">
        <x:v>1041</x:v>
      </x:c>
      <x:c r="K1663" s="47" t="n">
        <x:v>-167380</x:v>
      </x:c>
      <x:c r="L1663" s="47" t="n">
        <x:v>78955.375</x:v>
      </x:c>
      <x:c r="M1663" s="48" t="n">
        <x:v>6.394202898550725</x:v>
      </x:c>
      <x:c r="N1663" s="48" t="n">
        <x:v>614.877536231884</x:v>
      </x:c>
      <x:c r="O1663" s="49" t="n">
        <x:v>10</x:v>
      </x:c>
      <x:c r="P1663" s="1" t="str">
        <x:v>基準併用：追従と反発を状態で選択・広め</x:v>
      </x:c>
      <x:c r="Q1663" s="49" t="n">
        <x:v>0</x:v>
      </x:c>
      <x:c r="R1663" s="50" t="n">
        <x:v>0.7883045336306206</x:v>
      </x:c>
      <x:c r="S1663" s="50" t="n">
        <x:v>0.7883045336306206</x:v>
      </x:c>
      <x:c r="T1663" s="1" t="str">
        <x:v>ナイト</x:v>
      </x:c>
      <x:c r="U1663" s="49" t="n">
        <x:v>23</x:v>
      </x:c>
    </x:row>
    <x:row r="1664" ht="22" customHeight="1">
      <x:c r="A1664" s="1" t="str">
        <x:v>TOPIXmini</x:v>
      </x:c>
      <x:c r="B1664" s="1" t="str">
        <x:v>K12</x:v>
      </x:c>
      <x:c r="C1664" s="1" t="str">
        <x:v>対照47場</x:v>
      </x:c>
      <x:c r="D1664" s="47" t="n">
        <x:v>2792978</x:v>
      </x:c>
      <x:c r="E1664" s="47" t="n">
        <x:v>4386558</x:v>
      </x:c>
      <x:c r="F1664" s="47" t="n">
        <x:f>D1664-E1664</x:f>
        <x:v>-1593580</x:v>
      </x:c>
      <x:c r="G1664" s="49" t="n">
        <x:v>6</x:v>
      </x:c>
      <x:c r="H1664" s="49" t="n">
        <x:v>18</x:v>
      </x:c>
      <x:c r="I1664" s="47" t="n">
        <x:v>-1712154</x:v>
      </x:c>
      <x:c r="J1664" s="49" t="n">
        <x:v>1070</x:v>
      </x:c>
      <x:c r="K1664" s="47" t="n">
        <x:v>-188551</x:v>
      </x:c>
      <x:c r="L1664" s="47" t="n">
        <x:v>96615.88888888889</x:v>
      </x:c>
      <x:c r="M1664" s="48" t="n">
        <x:v>4.336805555555556</x:v>
      </x:c>
      <x:c r="N1664" s="48" t="n">
        <x:v>481.51944444444445</x:v>
      </x:c>
      <x:c r="O1664" s="49" t="n">
        <x:v>10</x:v>
      </x:c>
      <x:c r="P1664" s="1" t="str">
        <x:v>基準併用：追従と反発を状態で選択・広め</x:v>
      </x:c>
      <x:c r="Q1664" s="49" t="n">
        <x:v>0</x:v>
      </x:c>
      <x:c r="R1664" s="50" t="n">
        <x:v>0.8160513329263329</x:v>
      </x:c>
      <x:c r="S1664" s="50" t="n">
        <x:v>0.8025324074074074</x:v>
      </x:c>
      <x:c r="T1664" s="1" t="str">
        <x:v>上昇</x:v>
      </x:c>
      <x:c r="U1664" s="49" t="n">
        <x:v>24</x:v>
      </x:c>
    </x:row>
    <x:row r="1665" ht="22" customHeight="1">
      <x:c r="A1665" s="1" t="str">
        <x:v>TOPIXmini</x:v>
      </x:c>
      <x:c r="B1665" s="1" t="str">
        <x:v>K12</x:v>
      </x:c>
      <x:c r="C1665" s="1" t="str">
        <x:v>対照47場</x:v>
      </x:c>
      <x:c r="D1665" s="47" t="n">
        <x:v>3327971</x:v>
      </x:c>
      <x:c r="E1665" s="47" t="n">
        <x:v>4389574</x:v>
      </x:c>
      <x:c r="F1665" s="47" t="n">
        <x:f>D1665-E1665</x:f>
        <x:v>-1061603</x:v>
      </x:c>
      <x:c r="G1665" s="49" t="n">
        <x:v>9</x:v>
      </x:c>
      <x:c r="H1665" s="49" t="n">
        <x:v>14</x:v>
      </x:c>
      <x:c r="I1665" s="47" t="n">
        <x:v>-1303455</x:v>
      </x:c>
      <x:c r="J1665" s="49" t="n">
        <x:v>1227</x:v>
      </x:c>
      <x:c r="K1665" s="47" t="n">
        <x:v>-249794</x:v>
      </x:c>
      <x:c r="L1665" s="47" t="n">
        <x:v>107231.28571428571</x:v>
      </x:c>
      <x:c r="M1665" s="48" t="n">
        <x:v>6.832608695652173</x:v>
      </x:c>
      <x:c r="N1665" s="48" t="n">
        <x:v>493.32608695652164</x:v>
      </x:c>
      <x:c r="O1665" s="49" t="n">
        <x:v>10</x:v>
      </x:c>
      <x:c r="P1665" s="1" t="str">
        <x:v>基準併用：追従と反発を状態で選択・広め</x:v>
      </x:c>
      <x:c r="Q1665" s="49" t="n">
        <x:v>0</x:v>
      </x:c>
      <x:c r="R1665" s="50" t="n">
        <x:v>0.8436860965121835</x:v>
      </x:c>
      <x:c r="S1665" s="50" t="n">
        <x:v>0.8330763582966226</x:v>
      </x:c>
      <x:c r="T1665" s="1" t="str">
        <x:v>下落</x:v>
      </x:c>
      <x:c r="U1665" s="49" t="n">
        <x:v>23</x:v>
      </x:c>
    </x:row>
    <x:row r="1666" ht="22" customHeight="1">
      <x:c r="A1666" s="1" t="str">
        <x:v>TOPIXmini</x:v>
      </x:c>
      <x:c r="B1666" s="1" t="str">
        <x:v>K12</x:v>
      </x:c>
      <x:c r="C1666" s="1" t="str">
        <x:v>診断3場</x:v>
      </x:c>
      <x:c r="D1666" s="47" t="n">
        <x:v>620567</x:v>
      </x:c>
      <x:c r="E1666" s="47" t="n">
        <x:v>759832</x:v>
      </x:c>
      <x:c r="F1666" s="47" t="n">
        <x:f>D1666-E1666</x:f>
        <x:v>-139265</x:v>
      </x:c>
      <x:c r="G1666" s="49" t="n">
        <x:v>1</x:v>
      </x:c>
      <x:c r="H1666" s="49" t="n">
        <x:v>2</x:v>
      </x:c>
      <x:c r="I1666" s="47" t="n">
        <x:v>-146474</x:v>
      </x:c>
      <x:c r="J1666" s="49" t="n">
        <x:v>214</x:v>
      </x:c>
      <x:c r="K1666" s="47" t="n">
        <x:v>-97942</x:v>
      </x:c>
      <x:c r="L1666" s="47" t="n">
        <x:v>73237</x:v>
      </x:c>
      <x:c r="M1666" s="48" t="n">
        <x:v>2.983333333333333</x:v>
      </x:c>
      <x:c r="N1666" s="48" t="n">
        <x:v>550.9</x:v>
      </x:c>
      <x:c r="O1666" s="49" t="n">
        <x:v>10</x:v>
      </x:c>
      <x:c r="P1666" s="1" t="str">
        <x:v>基準併用：追従と反発を状態で選択・広め</x:v>
      </x:c>
      <x:c r="Q1666" s="49" t="n">
        <x:v>0</x:v>
      </x:c>
      <x:c r="R1666" s="50" t="n">
        <x:v>0.8420695970695972</x:v>
      </x:c>
      <x:c r="S1666" s="50" t="n">
        <x:v>0.8346969696969697</x:v>
      </x:c>
      <x:c r="T1666" s="1" t="str">
        <x:v>全場</x:v>
      </x:c>
      <x:c r="U1666" s="49" t="n">
        <x:v>3</x:v>
      </x:c>
    </x:row>
    <x:row r="1667" ht="22" customHeight="1">
      <x:c r="A1667" s="1" t="str">
        <x:v>TOPIXmini</x:v>
      </x:c>
      <x:c r="B1667" s="1" t="str">
        <x:v>K12</x:v>
      </x:c>
      <x:c r="C1667" s="1" t="str">
        <x:v>診断3場</x:v>
      </x:c>
      <x:c r="D1667" s="47" t="n">
        <x:v>235610</x:v>
      </x:c>
      <x:c r="E1667" s="47" t="n">
        <x:v>333552</x:v>
      </x:c>
      <x:c r="F1667" s="47" t="n">
        <x:f>D1667-E1667</x:f>
        <x:v>-97942</x:v>
      </x:c>
      <x:c r="G1667" s="49" t="n">
        <x:v>0</x:v>
      </x:c>
      <x:c r="H1667" s="49" t="n">
        <x:v>1</x:v>
      </x:c>
      <x:c r="I1667" s="47" t="n">
        <x:v>-97942</x:v>
      </x:c>
      <x:c r="J1667" s="49" t="n">
        <x:v>81</x:v>
      </x:c>
      <x:c r="K1667" s="47" t="n">
        <x:v>-97942</x:v>
      </x:c>
      <x:c r="L1667" s="47" t="n">
        <x:v>97942</x:v>
      </x:c>
      <x:c r="M1667" s="48" t="n">
        <x:v>2.716666666666667</x:v>
      </x:c>
      <x:c r="N1667" s="48" t="n">
        <x:v>370.7</x:v>
      </x:c>
      <x:c r="O1667" s="49" t="n">
        <x:v>9</x:v>
      </x:c>
      <x:c r="P1667" s="1" t="str">
        <x:v>基準併用：追従と反発を状態で選択・広め</x:v>
      </x:c>
      <x:c r="Q1667" s="49" t="n">
        <x:v>0</x:v>
      </x:c>
      <x:c r="R1667" s="50" t="n">
        <x:v>0.8826190476190476</x:v>
      </x:c>
      <x:c r="S1667" s="50" t="n">
        <x:v>0.8826190476190476</x:v>
      </x:c>
      <x:c r="T1667" s="1" t="str">
        <x:v>デイ</x:v>
      </x:c>
      <x:c r="U1667" s="49" t="n">
        <x:v>1</x:v>
      </x:c>
    </x:row>
    <x:row r="1668" ht="22" customHeight="1">
      <x:c r="A1668" s="1" t="str">
        <x:v>TOPIXmini</x:v>
      </x:c>
      <x:c r="B1668" s="1" t="str">
        <x:v>K12</x:v>
      </x:c>
      <x:c r="C1668" s="1" t="str">
        <x:v>診断3場</x:v>
      </x:c>
      <x:c r="D1668" s="47" t="n">
        <x:v>384957</x:v>
      </x:c>
      <x:c r="E1668" s="47" t="n">
        <x:v>426280</x:v>
      </x:c>
      <x:c r="F1668" s="47" t="n">
        <x:f>D1668-E1668</x:f>
        <x:v>-41323</x:v>
      </x:c>
      <x:c r="G1668" s="49" t="n">
        <x:v>1</x:v>
      </x:c>
      <x:c r="H1668" s="49" t="n">
        <x:v>1</x:v>
      </x:c>
      <x:c r="I1668" s="47" t="n">
        <x:v>-48532</x:v>
      </x:c>
      <x:c r="J1668" s="49" t="n">
        <x:v>133</x:v>
      </x:c>
      <x:c r="K1668" s="47" t="n">
        <x:v>-48532</x:v>
      </x:c>
      <x:c r="L1668" s="47" t="n">
        <x:v>48532</x:v>
      </x:c>
      <x:c r="M1668" s="48" t="n">
        <x:v>3.1166666666666667</x:v>
      </x:c>
      <x:c r="N1668" s="48" t="n">
        <x:v>641</x:v>
      </x:c>
      <x:c r="O1668" s="49" t="n">
        <x:v>10</x:v>
      </x:c>
      <x:c r="P1668" s="1" t="str">
        <x:v>基準併用：追従と反発を状態で選択・広め</x:v>
      </x:c>
      <x:c r="Q1668" s="49" t="n">
        <x:v>0</x:v>
      </x:c>
      <x:c r="R1668" s="50" t="n">
        <x:v>0.8217948717948718</x:v>
      </x:c>
      <x:c r="S1668" s="50" t="n">
        <x:v>0.8217948717948718</x:v>
      </x:c>
      <x:c r="T1668" s="1" t="str">
        <x:v>ナイト</x:v>
      </x:c>
      <x:c r="U1668" s="49" t="n">
        <x:v>2</x:v>
      </x:c>
    </x:row>
    <x:row r="1669" ht="22" customHeight="1">
      <x:c r="A1669" s="1" t="str">
        <x:v>TOPIXmini</x:v>
      </x:c>
      <x:c r="B1669" s="1" t="str">
        <x:v>K12</x:v>
      </x:c>
      <x:c r="C1669" s="1" t="str">
        <x:v>診断3場</x:v>
      </x:c>
      <x:c r="D1669" s="47" t="n">
        <x:v>192852</x:v>
      </x:c>
      <x:c r="E1669" s="47" t="n">
        <x:v>185643</x:v>
      </x:c>
      <x:c r="F1669" s="47" t="n">
        <x:f>D1669-E1669</x:f>
        <x:v>7209</x:v>
      </x:c>
      <x:c r="G1669" s="49" t="n">
        <x:v>1</x:v>
      </x:c>
      <x:c r="H1669" s="49" t="n">
        <x:v>0</x:v>
      </x:c>
      <x:c r="I1669" s="47" t="n">
        <x:v>0</x:v>
      </x:c>
      <x:c r="J1669" s="49" t="n">
        <x:v>56</x:v>
      </x:c>
      <x:c r="K1669" s="47" t="n">
        <x:v>7209</x:v>
      </x:c>
      <x:c r="L1669" s="47" t="n">
        <x:v>0</x:v>
      </x:c>
      <x:c r="M1669" s="48" t="n">
        <x:v>2.2333333333333334</x:v>
      </x:c>
      <x:c r="N1669" s="48" t="n">
        <x:v>662.05</x:v>
      </x:c>
      <x:c r="O1669" s="49" t="n">
        <x:v>7</x:v>
      </x:c>
      <x:c r="P1669" s="1" t="str">
        <x:v>基準併用：追従と反発を状態で選択・広め</x:v>
      </x:c>
      <x:c r="Q1669" s="49" t="n">
        <x:v>0</x:v>
      </x:c>
      <x:c r="R1669" s="50" t="n">
        <x:v>0.8487820512820513</x:v>
      </x:c>
      <x:c r="S1669" s="50" t="n">
        <x:v>0.8487820512820512</x:v>
      </x:c>
      <x:c r="T1669" s="1" t="str">
        <x:v>上昇</x:v>
      </x:c>
      <x:c r="U1669" s="49" t="n">
        <x:v>1</x:v>
      </x:c>
    </x:row>
    <x:row r="1670" ht="22" customHeight="1">
      <x:c r="A1670" s="1" t="str">
        <x:v>TOPIXmini</x:v>
      </x:c>
      <x:c r="B1670" s="1" t="str">
        <x:v>K12</x:v>
      </x:c>
      <x:c r="C1670" s="1" t="str">
        <x:v>診断3場</x:v>
      </x:c>
      <x:c r="D1670" s="47" t="n">
        <x:v>427715</x:v>
      </x:c>
      <x:c r="E1670" s="47" t="n">
        <x:v>574189</x:v>
      </x:c>
      <x:c r="F1670" s="47" t="n">
        <x:f>D1670-E1670</x:f>
        <x:v>-146474</x:v>
      </x:c>
      <x:c r="G1670" s="49" t="n">
        <x:v>0</x:v>
      </x:c>
      <x:c r="H1670" s="49" t="n">
        <x:v>2</x:v>
      </x:c>
      <x:c r="I1670" s="47" t="n">
        <x:v>-146474</x:v>
      </x:c>
      <x:c r="J1670" s="49" t="n">
        <x:v>158</x:v>
      </x:c>
      <x:c r="K1670" s="47" t="n">
        <x:v>-97942</x:v>
      </x:c>
      <x:c r="L1670" s="47" t="n">
        <x:v>73237</x:v>
      </x:c>
      <x:c r="M1670" s="48" t="n">
        <x:v>3.3583333333333334</x:v>
      </x:c>
      <x:c r="N1670" s="48" t="n">
        <x:v>495.32500000000005</x:v>
      </x:c>
      <x:c r="O1670" s="49" t="n">
        <x:v>10</x:v>
      </x:c>
      <x:c r="P1670" s="1" t="str">
        <x:v>基準併用：追従と反発を状態で選択・広め</x:v>
      </x:c>
      <x:c r="Q1670" s="49" t="n">
        <x:v>0</x:v>
      </x:c>
      <x:c r="R1670" s="50" t="n">
        <x:v>0.83871336996337</x:v>
      </x:c>
      <x:c r="S1670" s="50" t="n">
        <x:v>0.8255416666666667</x:v>
      </x:c>
      <x:c r="T1670" s="1" t="str">
        <x:v>下落</x:v>
      </x:c>
      <x:c r="U1670" s="49" t="n">
        <x:v>2</x:v>
      </x:c>
    </x:row>
    <x:row r="1671" ht="22" customHeight="1">
      <x:c r="A1671" s="1" t="str">
        <x:v>TOPIXmini</x:v>
      </x:c>
      <x:c r="B1671" s="1" t="str">
        <x:v>M1</x:v>
      </x:c>
      <x:c r="C1671" s="1" t="str">
        <x:v>全50場</x:v>
      </x:c>
      <x:c r="D1671" s="47" t="n">
        <x:v>2540904</x:v>
      </x:c>
      <x:c r="E1671" s="47" t="n">
        <x:v>1551188</x:v>
      </x:c>
      <x:c r="F1671" s="47" t="n">
        <x:f>D1671-E1671</x:f>
        <x:v>989716</x:v>
      </x:c>
      <x:c r="G1671" s="49" t="n">
        <x:v>38</x:v>
      </x:c>
      <x:c r="H1671" s="49" t="n">
        <x:v>12</x:v>
      </x:c>
      <x:c r="I1671" s="47" t="n">
        <x:v>654299</x:v>
      </x:c>
      <x:c r="J1671" s="49" t="n">
        <x:v>217</x:v>
      </x:c>
      <x:c r="K1671" s="47" t="n">
        <x:v>-53919</x:v>
      </x:c>
      <x:c r="L1671" s="47" t="n">
        <x:v>31353.333333333332</x:v>
      </x:c>
      <x:c r="M1671" s="48" t="n">
        <x:v>199.18833333333336</x:v>
      </x:c>
      <x:c r="N1671" s="48" t="n">
        <x:v>127.311</x:v>
      </x:c>
      <x:c r="O1671" s="49" t="n">
        <x:v>5</x:v>
      </x:c>
      <x:c r="P1671" s="1" t="str">
        <x:v>00141の昼夜別固定案</x:v>
      </x:c>
      <x:c r="Q1671" s="49" t="n">
        <x:v>0</x:v>
      </x:c>
      <x:c r="R1671" s="50" t="n">
        <x:v>0.2647038461538462</x:v>
      </x:c>
      <x:c r="S1671" s="50" t="n">
        <x:v>0.212185</x:v>
      </x:c>
      <x:c r="T1671" s="1" t="str">
        <x:v>全場</x:v>
      </x:c>
      <x:c r="U1671" s="49" t="n">
        <x:v>50</x:v>
      </x:c>
    </x:row>
    <x:row r="1672" ht="22" customHeight="1">
      <x:c r="A1672" s="1" t="str">
        <x:v>TOPIXmini</x:v>
      </x:c>
      <x:c r="B1672" s="1" t="str">
        <x:v>M1</x:v>
      </x:c>
      <x:c r="C1672" s="1" t="str">
        <x:v>全50場</x:v>
      </x:c>
      <x:c r="D1672" s="47" t="n">
        <x:v>1518188</x:v>
      </x:c>
      <x:c r="E1672" s="47" t="n">
        <x:v>908578</x:v>
      </x:c>
      <x:c r="F1672" s="47" t="n">
        <x:f>D1672-E1672</x:f>
        <x:v>609610</x:v>
      </x:c>
      <x:c r="G1672" s="49" t="n">
        <x:v>16</x:v>
      </x:c>
      <x:c r="H1672" s="49" t="n">
        <x:v>9</x:v>
      </x:c>
      <x:c r="I1672" s="47" t="n">
        <x:v>306856</x:v>
      </x:c>
      <x:c r="J1672" s="49" t="n">
        <x:v>134</x:v>
      </x:c>
      <x:c r="K1672" s="47" t="n">
        <x:v>-53919</x:v>
      </x:c>
      <x:c r="L1672" s="47" t="n">
        <x:v>28951.555555555555</x:v>
      </x:c>
      <x:c r="M1672" s="48" t="n">
        <x:v>86.97733333333333</x:v>
      </x:c>
      <x:c r="N1672" s="48" t="n">
        <x:v>184.702</x:v>
      </x:c>
      <x:c r="O1672" s="49" t="n">
        <x:v>5</x:v>
      </x:c>
      <x:c r="P1672" s="1" t="str">
        <x:v>00141の昼夜別固定案</x:v>
      </x:c>
      <x:c r="Q1672" s="49" t="n">
        <x:v>0</x:v>
      </x:c>
      <x:c r="R1672" s="50" t="n">
        <x:v>0.43976666666666664</x:v>
      </x:c>
      <x:c r="S1672" s="50" t="n">
        <x:v>0.4397666666666667</x:v>
      </x:c>
      <x:c r="T1672" s="1" t="str">
        <x:v>デイ</x:v>
      </x:c>
      <x:c r="U1672" s="49" t="n">
        <x:v>25</x:v>
      </x:c>
    </x:row>
    <x:row r="1673" ht="22" customHeight="1">
      <x:c r="A1673" s="1" t="str">
        <x:v>TOPIXmini</x:v>
      </x:c>
      <x:c r="B1673" s="1" t="str">
        <x:v>M1</x:v>
      </x:c>
      <x:c r="C1673" s="1" t="str">
        <x:v>全50場</x:v>
      </x:c>
      <x:c r="D1673" s="47" t="n">
        <x:v>1022716</x:v>
      </x:c>
      <x:c r="E1673" s="47" t="n">
        <x:v>642610</x:v>
      </x:c>
      <x:c r="F1673" s="47" t="n">
        <x:f>D1673-E1673</x:f>
        <x:v>380106</x:v>
      </x:c>
      <x:c r="G1673" s="49" t="n">
        <x:v>22</x:v>
      </x:c>
      <x:c r="H1673" s="49" t="n">
        <x:v>3</x:v>
      </x:c>
      <x:c r="I1673" s="47" t="n">
        <x:v>178701</x:v>
      </x:c>
      <x:c r="J1673" s="49" t="n">
        <x:v>83</x:v>
      </x:c>
      <x:c r="K1673" s="47" t="n">
        <x:v>-40836</x:v>
      </x:c>
      <x:c r="L1673" s="47" t="n">
        <x:v>38558.666666666664</x:v>
      </x:c>
      <x:c r="M1673" s="48" t="n">
        <x:v>311.3993333333333</x:v>
      </x:c>
      <x:c r="N1673" s="48" t="n">
        <x:v>69.91999999999999</x:v>
      </x:c>
      <x:c r="O1673" s="49" t="n">
        <x:v>5</x:v>
      </x:c>
      <x:c r="P1673" s="1" t="str">
        <x:v>00141の昼夜別固定案</x:v>
      </x:c>
      <x:c r="Q1673" s="49" t="n">
        <x:v>0</x:v>
      </x:c>
      <x:c r="R1673" s="50" t="n">
        <x:v>0.08964102564102565</x:v>
      </x:c>
      <x:c r="S1673" s="50" t="n">
        <x:v>0.08964102564102563</x:v>
      </x:c>
      <x:c r="T1673" s="1" t="str">
        <x:v>ナイト</x:v>
      </x:c>
      <x:c r="U1673" s="49" t="n">
        <x:v>25</x:v>
      </x:c>
    </x:row>
    <x:row r="1674" ht="22" customHeight="1">
      <x:c r="A1674" s="1" t="str">
        <x:v>TOPIXmini</x:v>
      </x:c>
      <x:c r="B1674" s="1" t="str">
        <x:v>M1</x:v>
      </x:c>
      <x:c r="C1674" s="1" t="str">
        <x:v>全50場</x:v>
      </x:c>
      <x:c r="D1674" s="47" t="n">
        <x:v>1071910</x:v>
      </x:c>
      <x:c r="E1674" s="47" t="n">
        <x:v>788019</x:v>
      </x:c>
      <x:c r="F1674" s="47" t="n">
        <x:f>D1674-E1674</x:f>
        <x:v>283891</x:v>
      </x:c>
      <x:c r="G1674" s="49" t="n">
        <x:v>17</x:v>
      </x:c>
      <x:c r="H1674" s="49" t="n">
        <x:v>8</x:v>
      </x:c>
      <x:c r="I1674" s="47" t="n">
        <x:v>52391</x:v>
      </x:c>
      <x:c r="J1674" s="49" t="n">
        <x:v>95</x:v>
      </x:c>
      <x:c r="K1674" s="47" t="n">
        <x:v>-53919</x:v>
      </x:c>
      <x:c r="L1674" s="47" t="n">
        <x:v>30989.75</x:v>
      </x:c>
      <x:c r="M1674" s="48" t="n">
        <x:v>213.94199999999998</x:v>
      </x:c>
      <x:c r="N1674" s="48" t="n">
        <x:v>120.19133333333335</x:v>
      </x:c>
      <x:c r="O1674" s="49" t="n">
        <x:v>5</x:v>
      </x:c>
      <x:c r="P1674" s="1" t="str">
        <x:v>00141の昼夜別固定案</x:v>
      </x:c>
      <x:c r="Q1674" s="49" t="n">
        <x:v>0</x:v>
      </x:c>
      <x:c r="R1674" s="50" t="n">
        <x:v>0.2461273504273504</x:v>
      </x:c>
      <x:c r="S1674" s="50" t="n">
        <x:v>0.19794356609574001</x:v>
      </x:c>
      <x:c r="T1674" s="1" t="str">
        <x:v>上昇</x:v>
      </x:c>
      <x:c r="U1674" s="49" t="n">
        <x:v>25</x:v>
      </x:c>
    </x:row>
    <x:row r="1675" ht="22" customHeight="1">
      <x:c r="A1675" s="1" t="str">
        <x:v>TOPIXmini</x:v>
      </x:c>
      <x:c r="B1675" s="1" t="str">
        <x:v>M1</x:v>
      </x:c>
      <x:c r="C1675" s="1" t="str">
        <x:v>全50場</x:v>
      </x:c>
      <x:c r="D1675" s="47" t="n">
        <x:v>1468994</x:v>
      </x:c>
      <x:c r="E1675" s="47" t="n">
        <x:v>763169</x:v>
      </x:c>
      <x:c r="F1675" s="47" t="n">
        <x:f>D1675-E1675</x:f>
        <x:v>705825</x:v>
      </x:c>
      <x:c r="G1675" s="49" t="n">
        <x:v>21</x:v>
      </x:c>
      <x:c r="H1675" s="49" t="n">
        <x:v>4</x:v>
      </x:c>
      <x:c r="I1675" s="47" t="n">
        <x:v>370408</x:v>
      </x:c>
      <x:c r="J1675" s="49" t="n">
        <x:v>122</x:v>
      </x:c>
      <x:c r="K1675" s="47" t="n">
        <x:v>-40836</x:v>
      </x:c>
      <x:c r="L1675" s="47" t="n">
        <x:v>32080.5</x:v>
      </x:c>
      <x:c r="M1675" s="48" t="n">
        <x:v>184.43466666666666</x:v>
      </x:c>
      <x:c r="N1675" s="48" t="n">
        <x:v>134.43066666666667</x:v>
      </x:c>
      <x:c r="O1675" s="49" t="n">
        <x:v>5</x:v>
      </x:c>
      <x:c r="P1675" s="1" t="str">
        <x:v>00141の昼夜別固定案</x:v>
      </x:c>
      <x:c r="Q1675" s="49" t="n">
        <x:v>0</x:v>
      </x:c>
      <x:c r="R1675" s="50" t="n">
        <x:v>0.28328034188034185</x:v>
      </x:c>
      <x:c r="S1675" s="50" t="n">
        <x:v>0.22677237966711652</x:v>
      </x:c>
      <x:c r="T1675" s="1" t="str">
        <x:v>下落</x:v>
      </x:c>
      <x:c r="U1675" s="49" t="n">
        <x:v>25</x:v>
      </x:c>
    </x:row>
    <x:row r="1676" ht="22" customHeight="1">
      <x:c r="A1676" s="1" t="str">
        <x:v>TOPIXmini</x:v>
      </x:c>
      <x:c r="B1676" s="1" t="str">
        <x:v>M1</x:v>
      </x:c>
      <x:c r="C1676" s="1" t="str">
        <x:v>対照47場</x:v>
      </x:c>
      <x:c r="D1676" s="47" t="n">
        <x:v>2340817</x:v>
      </x:c>
      <x:c r="E1676" s="47" t="n">
        <x:v>1385526</x:v>
      </x:c>
      <x:c r="F1676" s="47" t="n">
        <x:f>D1676-E1676</x:f>
        <x:v>955291</x:v>
      </x:c>
      <x:c r="G1676" s="49" t="n">
        <x:v>36</x:v>
      </x:c>
      <x:c r="H1676" s="49" t="n">
        <x:v>11</x:v>
      </x:c>
      <x:c r="I1676" s="47" t="n">
        <x:v>619874</x:v>
      </x:c>
      <x:c r="J1676" s="49" t="n">
        <x:v>190</x:v>
      </x:c>
      <x:c r="K1676" s="47" t="n">
        <x:v>-53919</x:v>
      </x:c>
      <x:c r="L1676" s="47" t="n">
        <x:v>31696.909090909092</x:v>
      </x:c>
      <x:c r="M1676" s="48" t="n">
        <x:v>206.7695035460993</x:v>
      </x:c>
      <x:c r="N1676" s="48" t="n">
        <x:v>129.46808510638297</x:v>
      </x:c>
      <x:c r="O1676" s="49" t="n">
        <x:v>5</x:v>
      </x:c>
      <x:c r="P1676" s="1" t="str">
        <x:v>00141の昼夜別固定案</x:v>
      </x:c>
      <x:c r="Q1676" s="49" t="n">
        <x:v>0</x:v>
      </x:c>
      <x:c r="R1676" s="50" t="n">
        <x:v>0.271089938430364</x:v>
      </x:c>
      <x:c r="S1676" s="50" t="n">
        <x:v>0.21716630977872947</x:v>
      </x:c>
      <x:c r="T1676" s="1" t="str">
        <x:v>全場</x:v>
      </x:c>
      <x:c r="U1676" s="49" t="n">
        <x:v>47</x:v>
      </x:c>
    </x:row>
    <x:row r="1677" ht="22" customHeight="1">
      <x:c r="A1677" s="1" t="str">
        <x:v>TOPIXmini</x:v>
      </x:c>
      <x:c r="B1677" s="1" t="str">
        <x:v>M1</x:v>
      </x:c>
      <x:c r="C1677" s="1" t="str">
        <x:v>対照47場</x:v>
      </x:c>
      <x:c r="D1677" s="47" t="n">
        <x:v>1435766</x:v>
      </x:c>
      <x:c r="E1677" s="47" t="n">
        <x:v>798582</x:v>
      </x:c>
      <x:c r="F1677" s="47" t="n">
        <x:f>D1677-E1677</x:f>
        <x:v>637184</x:v>
      </x:c>
      <x:c r="G1677" s="49" t="n">
        <x:v>16</x:v>
      </x:c>
      <x:c r="H1677" s="49" t="n">
        <x:v>8</x:v>
      </x:c>
      <x:c r="I1677" s="47" t="n">
        <x:v>334430</x:v>
      </x:c>
      <x:c r="J1677" s="49" t="n">
        <x:v>119</x:v>
      </x:c>
      <x:c r="K1677" s="47" t="n">
        <x:v>-53919</x:v>
      </x:c>
      <x:c r="L1677" s="47" t="n">
        <x:v>29123.75</x:v>
      </x:c>
      <x:c r="M1677" s="48" t="n">
        <x:v>88.7701388888889</x:v>
      </x:c>
      <x:c r="N1677" s="48" t="n">
        <x:v>187.30625</x:v>
      </x:c>
      <x:c r="O1677" s="49" t="n">
        <x:v>5</x:v>
      </x:c>
      <x:c r="P1677" s="1" t="str">
        <x:v>00141の昼夜別固定案</x:v>
      </x:c>
      <x:c r="Q1677" s="49" t="n">
        <x:v>0</x:v>
      </x:c>
      <x:c r="R1677" s="50" t="n">
        <x:v>0.4459672619047619</x:v>
      </x:c>
      <x:c r="S1677" s="50" t="n">
        <x:v>0.44596726190476194</x:v>
      </x:c>
      <x:c r="T1677" s="1" t="str">
        <x:v>デイ</x:v>
      </x:c>
      <x:c r="U1677" s="49" t="n">
        <x:v>24</x:v>
      </x:c>
    </x:row>
    <x:row r="1678" ht="22" customHeight="1">
      <x:c r="A1678" s="1" t="str">
        <x:v>TOPIXmini</x:v>
      </x:c>
      <x:c r="B1678" s="1" t="str">
        <x:v>M1</x:v>
      </x:c>
      <x:c r="C1678" s="1" t="str">
        <x:v>対照47場</x:v>
      </x:c>
      <x:c r="D1678" s="47" t="n">
        <x:v>905051</x:v>
      </x:c>
      <x:c r="E1678" s="47" t="n">
        <x:v>586944</x:v>
      </x:c>
      <x:c r="F1678" s="47" t="n">
        <x:f>D1678-E1678</x:f>
        <x:v>318107</x:v>
      </x:c>
      <x:c r="G1678" s="49" t="n">
        <x:v>20</x:v>
      </x:c>
      <x:c r="H1678" s="49" t="n">
        <x:v>3</x:v>
      </x:c>
      <x:c r="I1678" s="47" t="n">
        <x:v>116702</x:v>
      </x:c>
      <x:c r="J1678" s="49" t="n">
        <x:v>71</x:v>
      </x:c>
      <x:c r="K1678" s="47" t="n">
        <x:v>-40836</x:v>
      </x:c>
      <x:c r="L1678" s="47" t="n">
        <x:v>38558.666666666664</x:v>
      </x:c>
      <x:c r="M1678" s="48" t="n">
        <x:v>329.8992753623188</x:v>
      </x:c>
      <x:c r="N1678" s="48" t="n">
        <x:v>69.11521739130434</x:v>
      </x:c>
      <x:c r="O1678" s="49" t="n">
        <x:v>5</x:v>
      </x:c>
      <x:c r="P1678" s="1" t="str">
        <x:v>00141の昼夜別固定案</x:v>
      </x:c>
      <x:c r="Q1678" s="49" t="n">
        <x:v>0</x:v>
      </x:c>
      <x:c r="R1678" s="50" t="n">
        <x:v>0.0886092530657748</x:v>
      </x:c>
      <x:c r="S1678" s="50" t="n">
        <x:v>0.08860925306577482</x:v>
      </x:c>
      <x:c r="T1678" s="1" t="str">
        <x:v>ナイト</x:v>
      </x:c>
      <x:c r="U1678" s="49" t="n">
        <x:v>23</x:v>
      </x:c>
    </x:row>
    <x:row r="1679" ht="22" customHeight="1">
      <x:c r="A1679" s="1" t="str">
        <x:v>TOPIXmini</x:v>
      </x:c>
      <x:c r="B1679" s="1" t="str">
        <x:v>M1</x:v>
      </x:c>
      <x:c r="C1679" s="1" t="str">
        <x:v>対照47場</x:v>
      </x:c>
      <x:c r="D1679" s="47" t="n">
        <x:v>1032160</x:v>
      </x:c>
      <x:c r="E1679" s="47" t="n">
        <x:v>775854</x:v>
      </x:c>
      <x:c r="F1679" s="47" t="n">
        <x:f>D1679-E1679</x:f>
        <x:v>256306</x:v>
      </x:c>
      <x:c r="G1679" s="49" t="n">
        <x:v>16</x:v>
      </x:c>
      <x:c r="H1679" s="49" t="n">
        <x:v>8</x:v>
      </x:c>
      <x:c r="I1679" s="47" t="n">
        <x:v>24806</x:v>
      </x:c>
      <x:c r="J1679" s="49" t="n">
        <x:v>91</x:v>
      </x:c>
      <x:c r="K1679" s="47" t="n">
        <x:v>-53919</x:v>
      </x:c>
      <x:c r="L1679" s="47" t="n">
        <x:v>30989.75</x:v>
      </x:c>
      <x:c r="M1679" s="48" t="n">
        <x:v>217.60763888888889</x:v>
      </x:c>
      <x:c r="N1679" s="48" t="n">
        <x:v>122.07986111111113</x:v>
      </x:c>
      <x:c r="O1679" s="49" t="n">
        <x:v>5</x:v>
      </x:c>
      <x:c r="P1679" s="1" t="str">
        <x:v>00141の昼夜別固定案</x:v>
      </x:c>
      <x:c r="Q1679" s="49" t="n">
        <x:v>0</x:v>
      </x:c>
      <x:c r="R1679" s="50" t="n">
        <x:v>0.25238336894586894</x:v>
      </x:c>
      <x:c r="S1679" s="50" t="n">
        <x:v>0.20346643518518517</x:v>
      </x:c>
      <x:c r="T1679" s="1" t="str">
        <x:v>上昇</x:v>
      </x:c>
      <x:c r="U1679" s="49" t="n">
        <x:v>24</x:v>
      </x:c>
    </x:row>
    <x:row r="1680" ht="22" customHeight="1">
      <x:c r="A1680" s="1" t="str">
        <x:v>TOPIXmini</x:v>
      </x:c>
      <x:c r="B1680" s="1" t="str">
        <x:v>M1</x:v>
      </x:c>
      <x:c r="C1680" s="1" t="str">
        <x:v>対照47場</x:v>
      </x:c>
      <x:c r="D1680" s="47" t="n">
        <x:v>1308657</x:v>
      </x:c>
      <x:c r="E1680" s="47" t="n">
        <x:v>609672</x:v>
      </x:c>
      <x:c r="F1680" s="47" t="n">
        <x:f>D1680-E1680</x:f>
        <x:v>698985</x:v>
      </x:c>
      <x:c r="G1680" s="49" t="n">
        <x:v>20</x:v>
      </x:c>
      <x:c r="H1680" s="49" t="n">
        <x:v>3</x:v>
      </x:c>
      <x:c r="I1680" s="47" t="n">
        <x:v>363568</x:v>
      </x:c>
      <x:c r="J1680" s="49" t="n">
        <x:v>99</x:v>
      </x:c>
      <x:c r="K1680" s="47" t="n">
        <x:v>-40836</x:v>
      </x:c>
      <x:c r="L1680" s="47" t="n">
        <x:v>33582.666666666664</x:v>
      </x:c>
      <x:c r="M1680" s="48" t="n">
        <x:v>195.46014492753622</x:v>
      </x:c>
      <x:c r="N1680" s="48" t="n">
        <x:v>137.17753623188406</x:v>
      </x:c>
      <x:c r="O1680" s="49" t="n">
        <x:v>5</x:v>
      </x:c>
      <x:c r="P1680" s="1" t="str">
        <x:v>00141の昼夜別固定案</x:v>
      </x:c>
      <x:c r="Q1680" s="49" t="n">
        <x:v>0</x:v>
      </x:c>
      <x:c r="R1680" s="50" t="n">
        <x:v>0.2906098370228805</x:v>
      </x:c>
      <x:c r="S1680" s="50" t="n">
        <x:v>0.23165075868820365</x:v>
      </x:c>
      <x:c r="T1680" s="1" t="str">
        <x:v>下落</x:v>
      </x:c>
      <x:c r="U1680" s="49" t="n">
        <x:v>23</x:v>
      </x:c>
    </x:row>
    <x:row r="1681" ht="22" customHeight="1">
      <x:c r="A1681" s="1" t="str">
        <x:v>TOPIXmini</x:v>
      </x:c>
      <x:c r="B1681" s="1" t="str">
        <x:v>M1</x:v>
      </x:c>
      <x:c r="C1681" s="1" t="str">
        <x:v>診断3場</x:v>
      </x:c>
      <x:c r="D1681" s="47" t="n">
        <x:v>200087</x:v>
      </x:c>
      <x:c r="E1681" s="47" t="n">
        <x:v>165662</x:v>
      </x:c>
      <x:c r="F1681" s="47" t="n">
        <x:f>D1681-E1681</x:f>
        <x:v>34425</x:v>
      </x:c>
      <x:c r="G1681" s="49" t="n">
        <x:v>2</x:v>
      </x:c>
      <x:c r="H1681" s="49" t="n">
        <x:v>1</x:v>
      </x:c>
      <x:c r="I1681" s="47" t="n">
        <x:v>-27574</x:v>
      </x:c>
      <x:c r="J1681" s="49" t="n">
        <x:v>27</x:v>
      </x:c>
      <x:c r="K1681" s="47" t="n">
        <x:v>-27574</x:v>
      </x:c>
      <x:c r="L1681" s="47" t="n">
        <x:v>27574</x:v>
      </x:c>
      <x:c r="M1681" s="48" t="n">
        <x:v>80.41666666666667</x:v>
      </x:c>
      <x:c r="N1681" s="48" t="n">
        <x:v>93.51666666666667</x:v>
      </x:c>
      <x:c r="O1681" s="49" t="n">
        <x:v>5</x:v>
      </x:c>
      <x:c r="P1681" s="1" t="str">
        <x:v>00141の昼夜別固定案</x:v>
      </x:c>
      <x:c r="Q1681" s="49" t="n">
        <x:v>0</x:v>
      </x:c>
      <x:c r="R1681" s="50" t="n">
        <x:v>0.16465506715506714</x:v>
      </x:c>
      <x:c r="S1681" s="50" t="n">
        <x:v>0.1416919191919192</x:v>
      </x:c>
      <x:c r="T1681" s="1" t="str">
        <x:v>全場</x:v>
      </x:c>
      <x:c r="U1681" s="49" t="n">
        <x:v>3</x:v>
      </x:c>
    </x:row>
    <x:row r="1682" ht="22" customHeight="1">
      <x:c r="A1682" s="1" t="str">
        <x:v>TOPIXmini</x:v>
      </x:c>
      <x:c r="B1682" s="1" t="str">
        <x:v>M1</x:v>
      </x:c>
      <x:c r="C1682" s="1" t="str">
        <x:v>診断3場</x:v>
      </x:c>
      <x:c r="D1682" s="47" t="n">
        <x:v>82422</x:v>
      </x:c>
      <x:c r="E1682" s="47" t="n">
        <x:v>109996</x:v>
      </x:c>
      <x:c r="F1682" s="47" t="n">
        <x:f>D1682-E1682</x:f>
        <x:v>-27574</x:v>
      </x:c>
      <x:c r="G1682" s="49" t="n">
        <x:v>0</x:v>
      </x:c>
      <x:c r="H1682" s="49" t="n">
        <x:v>1</x:v>
      </x:c>
      <x:c r="I1682" s="47" t="n">
        <x:v>-27574</x:v>
      </x:c>
      <x:c r="J1682" s="49" t="n">
        <x:v>15</x:v>
      </x:c>
      <x:c r="K1682" s="47" t="n">
        <x:v>-27574</x:v>
      </x:c>
      <x:c r="L1682" s="47" t="n">
        <x:v>27574</x:v>
      </x:c>
      <x:c r="M1682" s="48" t="n">
        <x:v>43.95</x:v>
      </x:c>
      <x:c r="N1682" s="48" t="n">
        <x:v>122.2</x:v>
      </x:c>
      <x:c r="O1682" s="49" t="n">
        <x:v>5</x:v>
      </x:c>
      <x:c r="P1682" s="1" t="str">
        <x:v>00141の昼夜別固定案</x:v>
      </x:c>
      <x:c r="Q1682" s="49" t="n">
        <x:v>0</x:v>
      </x:c>
      <x:c r="R1682" s="50" t="n">
        <x:v>0.29095238095238096</x:v>
      </x:c>
      <x:c r="S1682" s="50" t="n">
        <x:v>0.29095238095238096</x:v>
      </x:c>
      <x:c r="T1682" s="1" t="str">
        <x:v>デイ</x:v>
      </x:c>
      <x:c r="U1682" s="49" t="n">
        <x:v>1</x:v>
      </x:c>
    </x:row>
    <x:row r="1683" ht="22" customHeight="1">
      <x:c r="A1683" s="1" t="str">
        <x:v>TOPIXmini</x:v>
      </x:c>
      <x:c r="B1683" s="1" t="str">
        <x:v>M1</x:v>
      </x:c>
      <x:c r="C1683" s="1" t="str">
        <x:v>診断3場</x:v>
      </x:c>
      <x:c r="D1683" s="47" t="n">
        <x:v>117665</x:v>
      </x:c>
      <x:c r="E1683" s="47" t="n">
        <x:v>55666</x:v>
      </x:c>
      <x:c r="F1683" s="47" t="n">
        <x:f>D1683-E1683</x:f>
        <x:v>61999</x:v>
      </x:c>
      <x:c r="G1683" s="49" t="n">
        <x:v>2</x:v>
      </x:c>
      <x:c r="H1683" s="49" t="n">
        <x:v>0</x:v>
      </x:c>
      <x:c r="I1683" s="47" t="n">
        <x:v>0</x:v>
      </x:c>
      <x:c r="J1683" s="49" t="n">
        <x:v>12</x:v>
      </x:c>
      <x:c r="K1683" s="47" t="n">
        <x:v>27585</x:v>
      </x:c>
      <x:c r="L1683" s="47" t="n">
        <x:v>0</x:v>
      </x:c>
      <x:c r="M1683" s="48" t="n">
        <x:v>98.65</x:v>
      </x:c>
      <x:c r="N1683" s="48" t="n">
        <x:v>79.175</x:v>
      </x:c>
      <x:c r="O1683" s="49" t="n">
        <x:v>5</x:v>
      </x:c>
      <x:c r="P1683" s="1" t="str">
        <x:v>00141の昼夜別固定案</x:v>
      </x:c>
      <x:c r="Q1683" s="49" t="n">
        <x:v>0</x:v>
      </x:c>
      <x:c r="R1683" s="50" t="n">
        <x:v>0.10150641025641026</x:v>
      </x:c>
      <x:c r="S1683" s="50" t="n">
        <x:v>0.10150641025641026</x:v>
      </x:c>
      <x:c r="T1683" s="1" t="str">
        <x:v>ナイト</x:v>
      </x:c>
      <x:c r="U1683" s="49" t="n">
        <x:v>2</x:v>
      </x:c>
    </x:row>
    <x:row r="1684" ht="22" customHeight="1">
      <x:c r="A1684" s="1" t="str">
        <x:v>TOPIXmini</x:v>
      </x:c>
      <x:c r="B1684" s="1" t="str">
        <x:v>M1</x:v>
      </x:c>
      <x:c r="C1684" s="1" t="str">
        <x:v>診断3場</x:v>
      </x:c>
      <x:c r="D1684" s="47" t="n">
        <x:v>39750</x:v>
      </x:c>
      <x:c r="E1684" s="47" t="n">
        <x:v>12165</x:v>
      </x:c>
      <x:c r="F1684" s="47" t="n">
        <x:f>D1684-E1684</x:f>
        <x:v>27585</x:v>
      </x:c>
      <x:c r="G1684" s="49" t="n">
        <x:v>1</x:v>
      </x:c>
      <x:c r="H1684" s="49" t="n">
        <x:v>0</x:v>
      </x:c>
      <x:c r="I1684" s="47" t="n">
        <x:v>0</x:v>
      </x:c>
      <x:c r="J1684" s="49" t="n">
        <x:v>4</x:v>
      </x:c>
      <x:c r="K1684" s="47" t="n">
        <x:v>27585</x:v>
      </x:c>
      <x:c r="L1684" s="47" t="n">
        <x:v>0</x:v>
      </x:c>
      <x:c r="M1684" s="48" t="n">
        <x:v>125.96666666666667</x:v>
      </x:c>
      <x:c r="N1684" s="48" t="n">
        <x:v>74.86666666666666</x:v>
      </x:c>
      <x:c r="O1684" s="49" t="n">
        <x:v>5</x:v>
      </x:c>
      <x:c r="P1684" s="1" t="str">
        <x:v>00141の昼夜別固定案</x:v>
      </x:c>
      <x:c r="Q1684" s="49" t="n">
        <x:v>0</x:v>
      </x:c>
      <x:c r="R1684" s="50" t="n">
        <x:v>0.09598290598290599</x:v>
      </x:c>
      <x:c r="S1684" s="50" t="n">
        <x:v>0.09598290598290597</x:v>
      </x:c>
      <x:c r="T1684" s="1" t="str">
        <x:v>上昇</x:v>
      </x:c>
      <x:c r="U1684" s="49" t="n">
        <x:v>1</x:v>
      </x:c>
    </x:row>
    <x:row r="1685" ht="22" customHeight="1">
      <x:c r="A1685" s="1" t="str">
        <x:v>TOPIXmini</x:v>
      </x:c>
      <x:c r="B1685" s="1" t="str">
        <x:v>M1</x:v>
      </x:c>
      <x:c r="C1685" s="1" t="str">
        <x:v>診断3場</x:v>
      </x:c>
      <x:c r="D1685" s="47" t="n">
        <x:v>160337</x:v>
      </x:c>
      <x:c r="E1685" s="47" t="n">
        <x:v>153497</x:v>
      </x:c>
      <x:c r="F1685" s="47" t="n">
        <x:f>D1685-E1685</x:f>
        <x:v>6840</x:v>
      </x:c>
      <x:c r="G1685" s="49" t="n">
        <x:v>1</x:v>
      </x:c>
      <x:c r="H1685" s="49" t="n">
        <x:v>1</x:v>
      </x:c>
      <x:c r="I1685" s="47" t="n">
        <x:v>-27574</x:v>
      </x:c>
      <x:c r="J1685" s="49" t="n">
        <x:v>23</x:v>
      </x:c>
      <x:c r="K1685" s="47" t="n">
        <x:v>-27574</x:v>
      </x:c>
      <x:c r="L1685" s="47" t="n">
        <x:v>27574</x:v>
      </x:c>
      <x:c r="M1685" s="48" t="n">
        <x:v>57.641666666666666</x:v>
      </x:c>
      <x:c r="N1685" s="48" t="n">
        <x:v>102.84166666666667</x:v>
      </x:c>
      <x:c r="O1685" s="49" t="n">
        <x:v>5</x:v>
      </x:c>
      <x:c r="P1685" s="1" t="str">
        <x:v>00141の昼夜別固定案</x:v>
      </x:c>
      <x:c r="Q1685" s="49" t="n">
        <x:v>0</x:v>
      </x:c>
      <x:c r="R1685" s="50" t="n">
        <x:v>0.19899114774114773</x:v>
      </x:c>
      <x:c r="S1685" s="50" t="n">
        <x:v>0.1714027777777778</x:v>
      </x:c>
      <x:c r="T1685" s="1" t="str">
        <x:v>下落</x:v>
      </x:c>
      <x:c r="U1685" s="49" t="n">
        <x:v>2</x:v>
      </x:c>
    </x:row>
    <x:row r="1686" ht="22" customHeight="1">
      <x:c r="A1686" s="1" t="str">
        <x:v>TOPIXmini</x:v>
      </x:c>
      <x:c r="B1686" s="1" t="str">
        <x:v>P01</x:v>
      </x:c>
      <x:c r="C1686" s="1" t="str">
        <x:v>全50場</x:v>
      </x:c>
      <x:c r="D1686" s="47" t="n">
        <x:v>4804144</x:v>
      </x:c>
      <x:c r="E1686" s="47" t="n">
        <x:v>9081862</x:v>
      </x:c>
      <x:c r="F1686" s="47" t="n">
        <x:f>D1686-E1686</x:f>
        <x:v>-4277718</x:v>
      </x:c>
      <x:c r="G1686" s="49" t="n">
        <x:v>3</x:v>
      </x:c>
      <x:c r="H1686" s="49" t="n">
        <x:v>47</x:v>
      </x:c>
      <x:c r="I1686" s="47" t="n">
        <x:v>-4319818</x:v>
      </x:c>
      <x:c r="J1686" s="49" t="n">
        <x:v>2673</x:v>
      </x:c>
      <x:c r="K1686" s="47" t="n">
        <x:v>-251616</x:v>
      </x:c>
      <x:c r="L1686" s="47" t="n">
        <x:v>91911.02127659574</x:v>
      </x:c>
      <x:c r="M1686" s="48" t="n">
        <x:v>5.403666666666667</x:v>
      </x:c>
      <x:c r="N1686" s="48" t="n">
        <x:v>390.88233333333324</x:v>
      </x:c>
      <x:c r="O1686" s="49" t="n">
        <x:v>2</x:v>
      </x:c>
      <x:c r="P1686" s="1" t="str">
        <x:v>短期二市場の合議・標準</x:v>
      </x:c>
      <x:c r="Q1686" s="49" t="n">
        <x:v>0</x:v>
      </x:c>
      <x:c r="R1686" s="50" t="n">
        <x:v>0.662579181929182</x:v>
      </x:c>
      <x:c r="S1686" s="50" t="n">
        <x:v>0.6514705555555556</x:v>
      </x:c>
      <x:c r="T1686" s="1" t="str">
        <x:v>全場</x:v>
      </x:c>
      <x:c r="U1686" s="49" t="n">
        <x:v>50</x:v>
      </x:c>
    </x:row>
    <x:row r="1687" ht="22" customHeight="1">
      <x:c r="A1687" s="1" t="str">
        <x:v>TOPIXmini</x:v>
      </x:c>
      <x:c r="B1687" s="1" t="str">
        <x:v>P01</x:v>
      </x:c>
      <x:c r="C1687" s="1" t="str">
        <x:v>全50場</x:v>
      </x:c>
      <x:c r="D1687" s="47" t="n">
        <x:v>2256390</x:v>
      </x:c>
      <x:c r="E1687" s="47" t="n">
        <x:v>4821442</x:v>
      </x:c>
      <x:c r="F1687" s="47" t="n">
        <x:f>D1687-E1687</x:f>
        <x:v>-2565052</x:v>
      </x:c>
      <x:c r="G1687" s="49" t="n">
        <x:v>1</x:v>
      </x:c>
      <x:c r="H1687" s="49" t="n">
        <x:v>24</x:v>
      </x:c>
      <x:c r="I1687" s="47" t="n">
        <x:v>-2565266</x:v>
      </x:c>
      <x:c r="J1687" s="49" t="n">
        <x:v>1422</x:v>
      </x:c>
      <x:c r="K1687" s="47" t="n">
        <x:v>-251616</x:v>
      </x:c>
      <x:c r="L1687" s="47" t="n">
        <x:v>106886.08333333333</x:v>
      </x:c>
      <x:c r="M1687" s="48" t="n">
        <x:v>4.675333333333333</x:v>
      </x:c>
      <x:c r="N1687" s="48" t="n">
        <x:v>293.8353333333333</x:v>
      </x:c>
      <x:c r="O1687" s="49" t="n">
        <x:v>2</x:v>
      </x:c>
      <x:c r="P1687" s="1" t="str">
        <x:v>短期二市場の合議・標準</x:v>
      </x:c>
      <x:c r="Q1687" s="49" t="n">
        <x:v>0</x:v>
      </x:c>
      <x:c r="R1687" s="50" t="n">
        <x:v>0.6996079365079365</x:v>
      </x:c>
      <x:c r="S1687" s="50" t="n">
        <x:v>0.6996079365079365</x:v>
      </x:c>
      <x:c r="T1687" s="1" t="str">
        <x:v>デイ</x:v>
      </x:c>
      <x:c r="U1687" s="49" t="n">
        <x:v>25</x:v>
      </x:c>
    </x:row>
    <x:row r="1688" ht="22" customHeight="1">
      <x:c r="A1688" s="1" t="str">
        <x:v>TOPIXmini</x:v>
      </x:c>
      <x:c r="B1688" s="1" t="str">
        <x:v>P01</x:v>
      </x:c>
      <x:c r="C1688" s="1" t="str">
        <x:v>全50場</x:v>
      </x:c>
      <x:c r="D1688" s="47" t="n">
        <x:v>2547754</x:v>
      </x:c>
      <x:c r="E1688" s="47" t="n">
        <x:v>4260420</x:v>
      </x:c>
      <x:c r="F1688" s="47" t="n">
        <x:f>D1688-E1688</x:f>
        <x:v>-1712666</x:v>
      </x:c>
      <x:c r="G1688" s="49" t="n">
        <x:v>2</x:v>
      </x:c>
      <x:c r="H1688" s="49" t="n">
        <x:v>23</x:v>
      </x:c>
      <x:c r="I1688" s="47" t="n">
        <x:v>-1754552</x:v>
      </x:c>
      <x:c r="J1688" s="49" t="n">
        <x:v>1251</x:v>
      </x:c>
      <x:c r="K1688" s="47" t="n">
        <x:v>-196106</x:v>
      </x:c>
      <x:c r="L1688" s="47" t="n">
        <x:v>76284.86956521739</x:v>
      </x:c>
      <x:c r="M1688" s="48" t="n">
        <x:v>6.132</x:v>
      </x:c>
      <x:c r="N1688" s="48" t="n">
        <x:v>487.92933333333343</x:v>
      </x:c>
      <x:c r="O1688" s="49" t="n">
        <x:v>2</x:v>
      </x:c>
      <x:c r="P1688" s="1" t="str">
        <x:v>短期二市場の合議・標準</x:v>
      </x:c>
      <x:c r="Q1688" s="49" t="n">
        <x:v>0</x:v>
      </x:c>
      <x:c r="R1688" s="50" t="n">
        <x:v>0.6255504273504273</x:v>
      </x:c>
      <x:c r="S1688" s="50" t="n">
        <x:v>0.6255504273504273</x:v>
      </x:c>
      <x:c r="T1688" s="1" t="str">
        <x:v>ナイト</x:v>
      </x:c>
      <x:c r="U1688" s="49" t="n">
        <x:v>25</x:v>
      </x:c>
    </x:row>
    <x:row r="1689" ht="22" customHeight="1">
      <x:c r="A1689" s="1" t="str">
        <x:v>TOPIXmini</x:v>
      </x:c>
      <x:c r="B1689" s="1" t="str">
        <x:v>P01</x:v>
      </x:c>
      <x:c r="C1689" s="1" t="str">
        <x:v>全50場</x:v>
      </x:c>
      <x:c r="D1689" s="47" t="n">
        <x:v>2226062</x:v>
      </x:c>
      <x:c r="E1689" s="47" t="n">
        <x:v>4322226</x:v>
      </x:c>
      <x:c r="F1689" s="47" t="n">
        <x:f>D1689-E1689</x:f>
        <x:v>-2096164</x:v>
      </x:c>
      <x:c r="G1689" s="49" t="n">
        <x:v>1</x:v>
      </x:c>
      <x:c r="H1689" s="49" t="n">
        <x:v>24</x:v>
      </x:c>
      <x:c r="I1689" s="47" t="n">
        <x:v>-2097006</x:v>
      </x:c>
      <x:c r="J1689" s="49" t="n">
        <x:v>1254</x:v>
      </x:c>
      <x:c r="K1689" s="47" t="n">
        <x:v>-196450</x:v>
      </x:c>
      <x:c r="L1689" s="47" t="n">
        <x:v>87375.25</x:v>
      </x:c>
      <x:c r="M1689" s="48" t="n">
        <x:v>4.252666666666667</x:v>
      </x:c>
      <x:c r="N1689" s="48" t="n">
        <x:v>392.5286666666667</x:v>
      </x:c>
      <x:c r="O1689" s="49" t="n">
        <x:v>2</x:v>
      </x:c>
      <x:c r="P1689" s="1" t="str">
        <x:v>短期二市場の合議・標準</x:v>
      </x:c>
      <x:c r="Q1689" s="49" t="n">
        <x:v>0</x:v>
      </x:c>
      <x:c r="R1689" s="50" t="n">
        <x:v>0.6568616605616606</x:v>
      </x:c>
      <x:c r="S1689" s="50" t="n">
        <x:v>0.6464569609134827</x:v>
      </x:c>
      <x:c r="T1689" s="1" t="str">
        <x:v>上昇</x:v>
      </x:c>
      <x:c r="U1689" s="49" t="n">
        <x:v>25</x:v>
      </x:c>
    </x:row>
    <x:row r="1690" ht="22" customHeight="1">
      <x:c r="A1690" s="1" t="str">
        <x:v>TOPIXmini</x:v>
      </x:c>
      <x:c r="B1690" s="1" t="str">
        <x:v>P01</x:v>
      </x:c>
      <x:c r="C1690" s="1" t="str">
        <x:v>全50場</x:v>
      </x:c>
      <x:c r="D1690" s="47" t="n">
        <x:v>2578082</x:v>
      </x:c>
      <x:c r="E1690" s="47" t="n">
        <x:v>4759636</x:v>
      </x:c>
      <x:c r="F1690" s="47" t="n">
        <x:f>D1690-E1690</x:f>
        <x:v>-2181554</x:v>
      </x:c>
      <x:c r="G1690" s="49" t="n">
        <x:v>2</x:v>
      </x:c>
      <x:c r="H1690" s="49" t="n">
        <x:v>23</x:v>
      </x:c>
      <x:c r="I1690" s="47" t="n">
        <x:v>-2222812</x:v>
      </x:c>
      <x:c r="J1690" s="49" t="n">
        <x:v>1419</x:v>
      </x:c>
      <x:c r="K1690" s="47" t="n">
        <x:v>-251616</x:v>
      </x:c>
      <x:c r="L1690" s="47" t="n">
        <x:v>96644</x:v>
      </x:c>
      <x:c r="M1690" s="48" t="n">
        <x:v>6.554666666666667</x:v>
      </x:c>
      <x:c r="N1690" s="48" t="n">
        <x:v>389.236</x:v>
      </x:c>
      <x:c r="O1690" s="49" t="n">
        <x:v>2</x:v>
      </x:c>
      <x:c r="P1690" s="1" t="str">
        <x:v>短期二市場の合議・標準</x:v>
      </x:c>
      <x:c r="Q1690" s="49" t="n">
        <x:v>0</x:v>
      </x:c>
      <x:c r="R1690" s="50" t="n">
        <x:v>0.6682967032967033</x:v>
      </x:c>
      <x:c r="S1690" s="50" t="n">
        <x:v>0.6566059379217274</x:v>
      </x:c>
      <x:c r="T1690" s="1" t="str">
        <x:v>下落</x:v>
      </x:c>
      <x:c r="U1690" s="49" t="n">
        <x:v>25</x:v>
      </x:c>
    </x:row>
    <x:row r="1691" ht="22" customHeight="1">
      <x:c r="A1691" s="1" t="str">
        <x:v>TOPIXmini</x:v>
      </x:c>
      <x:c r="B1691" s="1" t="str">
        <x:v>P01</x:v>
      </x:c>
      <x:c r="C1691" s="1" t="str">
        <x:v>対照47場</x:v>
      </x:c>
      <x:c r="D1691" s="47" t="n">
        <x:v>4217764</x:v>
      </x:c>
      <x:c r="E1691" s="47" t="n">
        <x:v>8491780</x:v>
      </x:c>
      <x:c r="F1691" s="47" t="n">
        <x:f>D1691-E1691</x:f>
        <x:v>-4274016</x:v>
      </x:c>
      <x:c r="G1691" s="49" t="n">
        <x:v>1</x:v>
      </x:c>
      <x:c r="H1691" s="49" t="n">
        <x:v>46</x:v>
      </x:c>
      <x:c r="I1691" s="47" t="n">
        <x:v>-4274858</x:v>
      </x:c>
      <x:c r="J1691" s="49" t="n">
        <x:v>2476</x:v>
      </x:c>
      <x:c r="K1691" s="47" t="n">
        <x:v>-251616</x:v>
      </x:c>
      <x:c r="L1691" s="47" t="n">
        <x:v>92931.69565217392</x:v>
      </x:c>
      <x:c r="M1691" s="48" t="n">
        <x:v>5.558156028368795</x:v>
      </x:c>
      <x:c r="N1691" s="48" t="n">
        <x:v>385.26382978723416</x:v>
      </x:c>
      <x:c r="O1691" s="49" t="n">
        <x:v>2</x:v>
      </x:c>
      <x:c r="P1691" s="1" t="str">
        <x:v>短期二市場の合議・標準</x:v>
      </x:c>
      <x:c r="Q1691" s="49" t="n">
        <x:v>0</x:v>
      </x:c>
      <x:c r="R1691" s="50" t="n">
        <x:v>0.6579572909360144</x:v>
      </x:c>
      <x:c r="S1691" s="50" t="n">
        <x:v>0.6462312633832977</x:v>
      </x:c>
      <x:c r="T1691" s="1" t="str">
        <x:v>全場</x:v>
      </x:c>
      <x:c r="U1691" s="49" t="n">
        <x:v>47</x:v>
      </x:c>
    </x:row>
    <x:row r="1692" ht="22" customHeight="1">
      <x:c r="A1692" s="1" t="str">
        <x:v>TOPIXmini</x:v>
      </x:c>
      <x:c r="B1692" s="1" t="str">
        <x:v>P01</x:v>
      </x:c>
      <x:c r="C1692" s="1" t="str">
        <x:v>対照47場</x:v>
      </x:c>
      <x:c r="D1692" s="47" t="n">
        <x:v>1992710</x:v>
      </x:c>
      <x:c r="E1692" s="47" t="n">
        <x:v>4557976</x:v>
      </x:c>
      <x:c r="F1692" s="47" t="n">
        <x:f>D1692-E1692</x:f>
        <x:v>-2565266</x:v>
      </x:c>
      <x:c r="G1692" s="49" t="n">
        <x:v>0</x:v>
      </x:c>
      <x:c r="H1692" s="49" t="n">
        <x:v>24</x:v>
      </x:c>
      <x:c r="I1692" s="47" t="n">
        <x:v>-2565266</x:v>
      </x:c>
      <x:c r="J1692" s="49" t="n">
        <x:v>1351</x:v>
      </x:c>
      <x:c r="K1692" s="47" t="n">
        <x:v>-251616</x:v>
      </x:c>
      <x:c r="L1692" s="47" t="n">
        <x:v>106886.08333333333</x:v>
      </x:c>
      <x:c r="M1692" s="48" t="n">
        <x:v>4.756944444444444</x:v>
      </x:c>
      <x:c r="N1692" s="48" t="n">
        <x:v>292.31388888888887</x:v>
      </x:c>
      <x:c r="O1692" s="49" t="n">
        <x:v>2</x:v>
      </x:c>
      <x:c r="P1692" s="1" t="str">
        <x:v>短期二市場の合議・標準</x:v>
      </x:c>
      <x:c r="Q1692" s="49" t="n">
        <x:v>0</x:v>
      </x:c>
      <x:c r="R1692" s="50" t="n">
        <x:v>0.6959854497354497</x:v>
      </x:c>
      <x:c r="S1692" s="50" t="n">
        <x:v>0.6959854497354497</x:v>
      </x:c>
      <x:c r="T1692" s="1" t="str">
        <x:v>デイ</x:v>
      </x:c>
      <x:c r="U1692" s="49" t="n">
        <x:v>24</x:v>
      </x:c>
    </x:row>
    <x:row r="1693" ht="22" customHeight="1">
      <x:c r="A1693" s="1" t="str">
        <x:v>TOPIXmini</x:v>
      </x:c>
      <x:c r="B1693" s="1" t="str">
        <x:v>P01</x:v>
      </x:c>
      <x:c r="C1693" s="1" t="str">
        <x:v>対照47場</x:v>
      </x:c>
      <x:c r="D1693" s="47" t="n">
        <x:v>2225054</x:v>
      </x:c>
      <x:c r="E1693" s="47" t="n">
        <x:v>3933804</x:v>
      </x:c>
      <x:c r="F1693" s="47" t="n">
        <x:f>D1693-E1693</x:f>
        <x:v>-1708750</x:v>
      </x:c>
      <x:c r="G1693" s="49" t="n">
        <x:v>1</x:v>
      </x:c>
      <x:c r="H1693" s="49" t="n">
        <x:v>22</x:v>
      </x:c>
      <x:c r="I1693" s="47" t="n">
        <x:v>-1709592</x:v>
      </x:c>
      <x:c r="J1693" s="49" t="n">
        <x:v>1125</x:v>
      </x:c>
      <x:c r="K1693" s="47" t="n">
        <x:v>-196106</x:v>
      </x:c>
      <x:c r="L1693" s="47" t="n">
        <x:v>77708.72727272728</x:v>
      </x:c>
      <x:c r="M1693" s="48" t="n">
        <x:v>6.394202898550725</x:v>
      </x:c>
      <x:c r="N1693" s="48" t="n">
        <x:v>482.2550724637682</x:v>
      </x:c>
      <x:c r="O1693" s="49" t="n">
        <x:v>2</x:v>
      </x:c>
      <x:c r="P1693" s="1" t="str">
        <x:v>短期二市場の合議・標準</x:v>
      </x:c>
      <x:c r="Q1693" s="49" t="n">
        <x:v>0</x:v>
      </x:c>
      <x:c r="R1693" s="50" t="n">
        <x:v>0.6182757339279078</x:v>
      </x:c>
      <x:c r="S1693" s="50" t="n">
        <x:v>0.6182757339279078</x:v>
      </x:c>
      <x:c r="T1693" s="1" t="str">
        <x:v>ナイト</x:v>
      </x:c>
      <x:c r="U1693" s="49" t="n">
        <x:v>23</x:v>
      </x:c>
    </x:row>
    <x:row r="1694" ht="22" customHeight="1">
      <x:c r="A1694" s="1" t="str">
        <x:v>TOPIXmini</x:v>
      </x:c>
      <x:c r="B1694" s="1" t="str">
        <x:v>P01</x:v>
      </x:c>
      <x:c r="C1694" s="1" t="str">
        <x:v>対照47場</x:v>
      </x:c>
      <x:c r="D1694" s="47" t="n">
        <x:v>2088548</x:v>
      </x:c>
      <x:c r="E1694" s="47" t="n">
        <x:v>4139752</x:v>
      </x:c>
      <x:c r="F1694" s="47" t="n">
        <x:f>D1694-E1694</x:f>
        <x:v>-2051204</x:v>
      </x:c>
      <x:c r="G1694" s="49" t="n">
        <x:v>1</x:v>
      </x:c>
      <x:c r="H1694" s="49" t="n">
        <x:v>23</x:v>
      </x:c>
      <x:c r="I1694" s="47" t="n">
        <x:v>-2052046</x:v>
      </x:c>
      <x:c r="J1694" s="49" t="n">
        <x:v>1194</x:v>
      </x:c>
      <x:c r="K1694" s="47" t="n">
        <x:v>-196450</x:v>
      </x:c>
      <x:c r="L1694" s="47" t="n">
        <x:v>89219.39130434782</x:v>
      </x:c>
      <x:c r="M1694" s="48" t="n">
        <x:v>4.336805555555556</x:v>
      </x:c>
      <x:c r="N1694" s="48" t="n">
        <x:v>385.80833333333334</x:v>
      </x:c>
      <x:c r="O1694" s="49" t="n">
        <x:v>2</x:v>
      </x:c>
      <x:c r="P1694" s="1" t="str">
        <x:v>短期二市場の合議・標準</x:v>
      </x:c>
      <x:c r="Q1694" s="49" t="n">
        <x:v>0</x:v>
      </x:c>
      <x:c r="R1694" s="50" t="n">
        <x:v>0.6546466727716728</x:v>
      </x:c>
      <x:c r="S1694" s="50" t="n">
        <x:v>0.6430138888888889</x:v>
      </x:c>
      <x:c r="T1694" s="1" t="str">
        <x:v>上昇</x:v>
      </x:c>
      <x:c r="U1694" s="49" t="n">
        <x:v>24</x:v>
      </x:c>
    </x:row>
    <x:row r="1695" ht="22" customHeight="1">
      <x:c r="A1695" s="1" t="str">
        <x:v>TOPIXmini</x:v>
      </x:c>
      <x:c r="B1695" s="1" t="str">
        <x:v>P01</x:v>
      </x:c>
      <x:c r="C1695" s="1" t="str">
        <x:v>対照47場</x:v>
      </x:c>
      <x:c r="D1695" s="47" t="n">
        <x:v>2129216</x:v>
      </x:c>
      <x:c r="E1695" s="47" t="n">
        <x:v>4352028</x:v>
      </x:c>
      <x:c r="F1695" s="47" t="n">
        <x:f>D1695-E1695</x:f>
        <x:v>-2222812</x:v>
      </x:c>
      <x:c r="G1695" s="49" t="n">
        <x:v>0</x:v>
      </x:c>
      <x:c r="H1695" s="49" t="n">
        <x:v>23</x:v>
      </x:c>
      <x:c r="I1695" s="47" t="n">
        <x:v>-2222812</x:v>
      </x:c>
      <x:c r="J1695" s="49" t="n">
        <x:v>1282</x:v>
      </x:c>
      <x:c r="K1695" s="47" t="n">
        <x:v>-251616</x:v>
      </x:c>
      <x:c r="L1695" s="47" t="n">
        <x:v>96644</x:v>
      </x:c>
      <x:c r="M1695" s="48" t="n">
        <x:v>6.832608695652173</x:v>
      </x:c>
      <x:c r="N1695" s="48" t="n">
        <x:v>384.6956521739131</x:v>
      </x:c>
      <x:c r="O1695" s="49" t="n">
        <x:v>2</x:v>
      </x:c>
      <x:c r="P1695" s="1" t="str">
        <x:v>短期二市場の合議・標準</x:v>
      </x:c>
      <x:c r="Q1695" s="49" t="n">
        <x:v>0</x:v>
      </x:c>
      <x:c r="R1695" s="50" t="n">
        <x:v>0.6614118490205446</x:v>
      </x:c>
      <x:c r="S1695" s="50" t="n">
        <x:v>0.6496328928046989</x:v>
      </x:c>
      <x:c r="T1695" s="1" t="str">
        <x:v>下落</x:v>
      </x:c>
      <x:c r="U1695" s="49" t="n">
        <x:v>23</x:v>
      </x:c>
    </x:row>
    <x:row r="1696" ht="22" customHeight="1">
      <x:c r="A1696" s="1" t="str">
        <x:v>TOPIXmini</x:v>
      </x:c>
      <x:c r="B1696" s="1" t="str">
        <x:v>P01</x:v>
      </x:c>
      <x:c r="C1696" s="1" t="str">
        <x:v>診断3場</x:v>
      </x:c>
      <x:c r="D1696" s="47" t="n">
        <x:v>586380</x:v>
      </x:c>
      <x:c r="E1696" s="47" t="n">
        <x:v>590082</x:v>
      </x:c>
      <x:c r="F1696" s="47" t="n">
        <x:f>D1696-E1696</x:f>
        <x:v>-3702</x:v>
      </x:c>
      <x:c r="G1696" s="49" t="n">
        <x:v>2</x:v>
      </x:c>
      <x:c r="H1696" s="49" t="n">
        <x:v>1</x:v>
      </x:c>
      <x:c r="I1696" s="47" t="n">
        <x:v>-44960</x:v>
      </x:c>
      <x:c r="J1696" s="49" t="n">
        <x:v>197</x:v>
      </x:c>
      <x:c r="K1696" s="47" t="n">
        <x:v>-44960</x:v>
      </x:c>
      <x:c r="L1696" s="47" t="n">
        <x:v>44960</x:v>
      </x:c>
      <x:c r="M1696" s="48" t="n">
        <x:v>2.983333333333333</x:v>
      </x:c>
      <x:c r="N1696" s="48" t="n">
        <x:v>478.90555555555557</x:v>
      </x:c>
      <x:c r="O1696" s="49" t="n">
        <x:v>2</x:v>
      </x:c>
      <x:c r="P1696" s="1" t="str">
        <x:v>短期二市場の合議・標準</x:v>
      </x:c>
      <x:c r="Q1696" s="49" t="n">
        <x:v>0</x:v>
      </x:c>
      <x:c r="R1696" s="50" t="n">
        <x:v>0.7349888074888075</x:v>
      </x:c>
      <x:c r="S1696" s="50" t="n">
        <x:v>0.7256144781144781</x:v>
      </x:c>
      <x:c r="T1696" s="1" t="str">
        <x:v>全場</x:v>
      </x:c>
      <x:c r="U1696" s="49" t="n">
        <x:v>3</x:v>
      </x:c>
    </x:row>
    <x:row r="1697" ht="22" customHeight="1">
      <x:c r="A1697" s="1" t="str">
        <x:v>TOPIXmini</x:v>
      </x:c>
      <x:c r="B1697" s="1" t="str">
        <x:v>P01</x:v>
      </x:c>
      <x:c r="C1697" s="1" t="str">
        <x:v>診断3場</x:v>
      </x:c>
      <x:c r="D1697" s="47" t="n">
        <x:v>263680</x:v>
      </x:c>
      <x:c r="E1697" s="47" t="n">
        <x:v>263466</x:v>
      </x:c>
      <x:c r="F1697" s="47" t="n">
        <x:f>D1697-E1697</x:f>
        <x:v>214</x:v>
      </x:c>
      <x:c r="G1697" s="49" t="n">
        <x:v>1</x:v>
      </x:c>
      <x:c r="H1697" s="49" t="n">
        <x:v>0</x:v>
      </x:c>
      <x:c r="I1697" s="47" t="n">
        <x:v>0</x:v>
      </x:c>
      <x:c r="J1697" s="49" t="n">
        <x:v>71</x:v>
      </x:c>
      <x:c r="K1697" s="47" t="n">
        <x:v>214</x:v>
      </x:c>
      <x:c r="L1697" s="47" t="n">
        <x:v>0</x:v>
      </x:c>
      <x:c r="M1697" s="48" t="n">
        <x:v>2.716666666666667</x:v>
      </x:c>
      <x:c r="N1697" s="48" t="n">
        <x:v>330.35</x:v>
      </x:c>
      <x:c r="O1697" s="49" t="n">
        <x:v>2</x:v>
      </x:c>
      <x:c r="P1697" s="1" t="str">
        <x:v>短期二市場の合議・標準</x:v>
      </x:c>
      <x:c r="Q1697" s="49" t="n">
        <x:v>0</x:v>
      </x:c>
      <x:c r="R1697" s="50" t="n">
        <x:v>0.786547619047619</x:v>
      </x:c>
      <x:c r="S1697" s="50" t="n">
        <x:v>0.786547619047619</x:v>
      </x:c>
      <x:c r="T1697" s="1" t="str">
        <x:v>デイ</x:v>
      </x:c>
      <x:c r="U1697" s="49" t="n">
        <x:v>1</x:v>
      </x:c>
    </x:row>
    <x:row r="1698" ht="22" customHeight="1">
      <x:c r="A1698" s="1" t="str">
        <x:v>TOPIXmini</x:v>
      </x:c>
      <x:c r="B1698" s="1" t="str">
        <x:v>P01</x:v>
      </x:c>
      <x:c r="C1698" s="1" t="str">
        <x:v>診断3場</x:v>
      </x:c>
      <x:c r="D1698" s="47" t="n">
        <x:v>322700</x:v>
      </x:c>
      <x:c r="E1698" s="47" t="n">
        <x:v>326616</x:v>
      </x:c>
      <x:c r="F1698" s="47" t="n">
        <x:f>D1698-E1698</x:f>
        <x:v>-3916</x:v>
      </x:c>
      <x:c r="G1698" s="49" t="n">
        <x:v>1</x:v>
      </x:c>
      <x:c r="H1698" s="49" t="n">
        <x:v>1</x:v>
      </x:c>
      <x:c r="I1698" s="47" t="n">
        <x:v>-44960</x:v>
      </x:c>
      <x:c r="J1698" s="49" t="n">
        <x:v>126</x:v>
      </x:c>
      <x:c r="K1698" s="47" t="n">
        <x:v>-44960</x:v>
      </x:c>
      <x:c r="L1698" s="47" t="n">
        <x:v>44960</x:v>
      </x:c>
      <x:c r="M1698" s="48" t="n">
        <x:v>3.1166666666666667</x:v>
      </x:c>
      <x:c r="N1698" s="48" t="n">
        <x:v>553.1833333333334</x:v>
      </x:c>
      <x:c r="O1698" s="49" t="n">
        <x:v>2</x:v>
      </x:c>
      <x:c r="P1698" s="1" t="str">
        <x:v>短期二市場の合議・標準</x:v>
      </x:c>
      <x:c r="Q1698" s="49" t="n">
        <x:v>0</x:v>
      </x:c>
      <x:c r="R1698" s="50" t="n">
        <x:v>0.7092094017094017</x:v>
      </x:c>
      <x:c r="S1698" s="50" t="n">
        <x:v>0.7092094017094018</x:v>
      </x:c>
      <x:c r="T1698" s="1" t="str">
        <x:v>ナイト</x:v>
      </x:c>
      <x:c r="U1698" s="49" t="n">
        <x:v>2</x:v>
      </x:c>
    </x:row>
    <x:row r="1699" ht="22" customHeight="1">
      <x:c r="A1699" s="1" t="str">
        <x:v>TOPIXmini</x:v>
      </x:c>
      <x:c r="B1699" s="1" t="str">
        <x:v>P01</x:v>
      </x:c>
      <x:c r="C1699" s="1" t="str">
        <x:v>診断3場</x:v>
      </x:c>
      <x:c r="D1699" s="47" t="n">
        <x:v>137514</x:v>
      </x:c>
      <x:c r="E1699" s="47" t="n">
        <x:v>182474</x:v>
      </x:c>
      <x:c r="F1699" s="47" t="n">
        <x:f>D1699-E1699</x:f>
        <x:v>-44960</x:v>
      </x:c>
      <x:c r="G1699" s="49" t="n">
        <x:v>0</x:v>
      </x:c>
      <x:c r="H1699" s="49" t="n">
        <x:v>1</x:v>
      </x:c>
      <x:c r="I1699" s="47" t="n">
        <x:v>-44960</x:v>
      </x:c>
      <x:c r="J1699" s="49" t="n">
        <x:v>60</x:v>
      </x:c>
      <x:c r="K1699" s="47" t="n">
        <x:v>-44960</x:v>
      </x:c>
      <x:c r="L1699" s="47" t="n">
        <x:v>44960</x:v>
      </x:c>
      <x:c r="M1699" s="48" t="n">
        <x:v>2.2333333333333334</x:v>
      </x:c>
      <x:c r="N1699" s="48" t="n">
        <x:v>553.8166666666667</x:v>
      </x:c>
      <x:c r="O1699" s="49" t="n">
        <x:v>2</x:v>
      </x:c>
      <x:c r="P1699" s="1" t="str">
        <x:v>短期二市場の合議・標準</x:v>
      </x:c>
      <x:c r="Q1699" s="49" t="n">
        <x:v>0</x:v>
      </x:c>
      <x:c r="R1699" s="50" t="n">
        <x:v>0.7100213675213676</x:v>
      </x:c>
      <x:c r="S1699" s="50" t="n">
        <x:v>0.7100213675213676</x:v>
      </x:c>
      <x:c r="T1699" s="1" t="str">
        <x:v>上昇</x:v>
      </x:c>
      <x:c r="U1699" s="49" t="n">
        <x:v>1</x:v>
      </x:c>
    </x:row>
    <x:row r="1700" ht="22" customHeight="1">
      <x:c r="A1700" s="1" t="str">
        <x:v>TOPIXmini</x:v>
      </x:c>
      <x:c r="B1700" s="1" t="str">
        <x:v>P01</x:v>
      </x:c>
      <x:c r="C1700" s="1" t="str">
        <x:v>診断3場</x:v>
      </x:c>
      <x:c r="D1700" s="47" t="n">
        <x:v>448866</x:v>
      </x:c>
      <x:c r="E1700" s="47" t="n">
        <x:v>407608</x:v>
      </x:c>
      <x:c r="F1700" s="47" t="n">
        <x:f>D1700-E1700</x:f>
        <x:v>41258</x:v>
      </x:c>
      <x:c r="G1700" s="49" t="n">
        <x:v>2</x:v>
      </x:c>
      <x:c r="H1700" s="49" t="n">
        <x:v>0</x:v>
      </x:c>
      <x:c r="I1700" s="47" t="n">
        <x:v>0</x:v>
      </x:c>
      <x:c r="J1700" s="49" t="n">
        <x:v>137</x:v>
      </x:c>
      <x:c r="K1700" s="47" t="n">
        <x:v>214</x:v>
      </x:c>
      <x:c r="L1700" s="47" t="n">
        <x:v>0</x:v>
      </x:c>
      <x:c r="M1700" s="48" t="n">
        <x:v>3.3583333333333334</x:v>
      </x:c>
      <x:c r="N1700" s="48" t="n">
        <x:v>441.45</x:v>
      </x:c>
      <x:c r="O1700" s="49" t="n">
        <x:v>2</x:v>
      </x:c>
      <x:c r="P1700" s="1" t="str">
        <x:v>短期二市場の合議・標準</x:v>
      </x:c>
      <x:c r="Q1700" s="49" t="n">
        <x:v>0</x:v>
      </x:c>
      <x:c r="R1700" s="50" t="n">
        <x:v>0.7474725274725275</x:v>
      </x:c>
      <x:c r="S1700" s="50" t="n">
        <x:v>0.73575</x:v>
      </x:c>
      <x:c r="T1700" s="1" t="str">
        <x:v>下落</x:v>
      </x:c>
      <x:c r="U1700" s="49" t="n">
        <x:v>2</x:v>
      </x:c>
    </x:row>
    <x:row r="1701" ht="22" customHeight="1">
      <x:c r="A1701" s="1" t="str">
        <x:v>TOPIXmini</x:v>
      </x:c>
      <x:c r="B1701" s="1" t="str">
        <x:v>P02</x:v>
      </x:c>
      <x:c r="C1701" s="1" t="str">
        <x:v>全50場</x:v>
      </x:c>
      <x:c r="D1701" s="47" t="n">
        <x:v>4649124</x:v>
      </x:c>
      <x:c r="E1701" s="47" t="n">
        <x:v>8621254</x:v>
      </x:c>
      <x:c r="F1701" s="47" t="n">
        <x:f>D1701-E1701</x:f>
        <x:v>-3972130</x:v>
      </x:c>
      <x:c r="G1701" s="49" t="n">
        <x:v>3</x:v>
      </x:c>
      <x:c r="H1701" s="49" t="n">
        <x:v>47</x:v>
      </x:c>
      <x:c r="I1701" s="47" t="n">
        <x:v>-4016558</x:v>
      </x:c>
      <x:c r="J1701" s="49" t="n">
        <x:v>2555</x:v>
      </x:c>
      <x:c r="K1701" s="47" t="n">
        <x:v>-246616</x:v>
      </x:c>
      <x:c r="L1701" s="47" t="n">
        <x:v>85458.68085106384</x:v>
      </x:c>
      <x:c r="M1701" s="48" t="n">
        <x:v>5.403666666666667</x:v>
      </x:c>
      <x:c r="N1701" s="48" t="n">
        <x:v>415.18300000000005</x:v>
      </x:c>
      <x:c r="O1701" s="49" t="n">
        <x:v>2</x:v>
      </x:c>
      <x:c r="P1701" s="1" t="str">
        <x:v>短期二市場の合議・広め</x:v>
      </x:c>
      <x:c r="Q1701" s="49" t="n">
        <x:v>0</x:v>
      </x:c>
      <x:c r="R1701" s="50" t="n">
        <x:v>0.6964756410256411</x:v>
      </x:c>
      <x:c r="S1701" s="50" t="n">
        <x:v>0.6919716666666668</x:v>
      </x:c>
      <x:c r="T1701" s="1" t="str">
        <x:v>全場</x:v>
      </x:c>
      <x:c r="U1701" s="49" t="n">
        <x:v>50</x:v>
      </x:c>
    </x:row>
    <x:row r="1702" ht="22" customHeight="1">
      <x:c r="A1702" s="1" t="str">
        <x:v>TOPIXmini</x:v>
      </x:c>
      <x:c r="B1702" s="1" t="str">
        <x:v>P02</x:v>
      </x:c>
      <x:c r="C1702" s="1" t="str">
        <x:v>全50場</x:v>
      </x:c>
      <x:c r="D1702" s="47" t="n">
        <x:v>2197552</x:v>
      </x:c>
      <x:c r="E1702" s="47" t="n">
        <x:v>4685122</x:v>
      </x:c>
      <x:c r="F1702" s="47" t="n">
        <x:f>D1702-E1702</x:f>
        <x:v>-2487570</x:v>
      </x:c>
      <x:c r="G1702" s="49" t="n">
        <x:v>1</x:v>
      </x:c>
      <x:c r="H1702" s="49" t="n">
        <x:v>24</x:v>
      </x:c>
      <x:c r="I1702" s="47" t="n">
        <x:v>-2507116</x:v>
      </x:c>
      <x:c r="J1702" s="49" t="n">
        <x:v>1395</x:v>
      </x:c>
      <x:c r="K1702" s="47" t="n">
        <x:v>-246616</x:v>
      </x:c>
      <x:c r="L1702" s="47" t="n">
        <x:v>104463.16666666667</x:v>
      </x:c>
      <x:c r="M1702" s="48" t="n">
        <x:v>4.675333333333333</x:v>
      </x:c>
      <x:c r="N1702" s="48" t="n">
        <x:v>298.82533333333333</x:v>
      </x:c>
      <x:c r="O1702" s="49" t="n">
        <x:v>2</x:v>
      </x:c>
      <x:c r="P1702" s="1" t="str">
        <x:v>短期二市場の合議・広め</x:v>
      </x:c>
      <x:c r="Q1702" s="49" t="n">
        <x:v>0</x:v>
      </x:c>
      <x:c r="R1702" s="50" t="n">
        <x:v>0.711488888888889</x:v>
      </x:c>
      <x:c r="S1702" s="50" t="n">
        <x:v>0.7114888888888888</x:v>
      </x:c>
      <x:c r="T1702" s="1" t="str">
        <x:v>デイ</x:v>
      </x:c>
      <x:c r="U1702" s="49" t="n">
        <x:v>25</x:v>
      </x:c>
    </x:row>
    <x:row r="1703" ht="22" customHeight="1">
      <x:c r="A1703" s="1" t="str">
        <x:v>TOPIXmini</x:v>
      </x:c>
      <x:c r="B1703" s="1" t="str">
        <x:v>P02</x:v>
      </x:c>
      <x:c r="C1703" s="1" t="str">
        <x:v>全50場</x:v>
      </x:c>
      <x:c r="D1703" s="47" t="n">
        <x:v>2451572</x:v>
      </x:c>
      <x:c r="E1703" s="47" t="n">
        <x:v>3936132</x:v>
      </x:c>
      <x:c r="F1703" s="47" t="n">
        <x:f>D1703-E1703</x:f>
        <x:v>-1484560</x:v>
      </x:c>
      <x:c r="G1703" s="49" t="n">
        <x:v>2</x:v>
      </x:c>
      <x:c r="H1703" s="49" t="n">
        <x:v>23</x:v>
      </x:c>
      <x:c r="I1703" s="47" t="n">
        <x:v>-1509442</x:v>
      </x:c>
      <x:c r="J1703" s="49" t="n">
        <x:v>1160</x:v>
      </x:c>
      <x:c r="K1703" s="47" t="n">
        <x:v>-170442</x:v>
      </x:c>
      <x:c r="L1703" s="47" t="n">
        <x:v>65627.91304347826</x:v>
      </x:c>
      <x:c r="M1703" s="48" t="n">
        <x:v>6.132</x:v>
      </x:c>
      <x:c r="N1703" s="48" t="n">
        <x:v>531.5406666666667</x:v>
      </x:c>
      <x:c r="O1703" s="49" t="n">
        <x:v>2</x:v>
      </x:c>
      <x:c r="P1703" s="1" t="str">
        <x:v>短期二市場の合議・広め</x:v>
      </x:c>
      <x:c r="Q1703" s="49" t="n">
        <x:v>0</x:v>
      </x:c>
      <x:c r="R1703" s="50" t="n">
        <x:v>0.6814623931623932</x:v>
      </x:c>
      <x:c r="S1703" s="50" t="n">
        <x:v>0.6814623931623931</x:v>
      </x:c>
      <x:c r="T1703" s="1" t="str">
        <x:v>ナイト</x:v>
      </x:c>
      <x:c r="U1703" s="49" t="n">
        <x:v>25</x:v>
      </x:c>
    </x:row>
    <x:row r="1704" ht="22" customHeight="1">
      <x:c r="A1704" s="1" t="str">
        <x:v>TOPIXmini</x:v>
      </x:c>
      <x:c r="B1704" s="1" t="str">
        <x:v>P02</x:v>
      </x:c>
      <x:c r="C1704" s="1" t="str">
        <x:v>全50場</x:v>
      </x:c>
      <x:c r="D1704" s="47" t="n">
        <x:v>2140884</x:v>
      </x:c>
      <x:c r="E1704" s="47" t="n">
        <x:v>4040262</x:v>
      </x:c>
      <x:c r="F1704" s="47" t="n">
        <x:f>D1704-E1704</x:f>
        <x:v>-1899378</x:v>
      </x:c>
      <x:c r="G1704" s="49" t="n">
        <x:v>1</x:v>
      </x:c>
      <x:c r="H1704" s="49" t="n">
        <x:v>24</x:v>
      </x:c>
      <x:c r="I1704" s="47" t="n">
        <x:v>-1913552</x:v>
      </x:c>
      <x:c r="J1704" s="49" t="n">
        <x:v>1183</x:v>
      </x:c>
      <x:c r="K1704" s="47" t="n">
        <x:v>-187284</x:v>
      </x:c>
      <x:c r="L1704" s="47" t="n">
        <x:v>79731.33333333333</x:v>
      </x:c>
      <x:c r="M1704" s="48" t="n">
        <x:v>4.252666666666667</x:v>
      </x:c>
      <x:c r="N1704" s="48" t="n">
        <x:v>432.4026666666666</x:v>
      </x:c>
      <x:c r="O1704" s="49" t="n">
        <x:v>2</x:v>
      </x:c>
      <x:c r="P1704" s="1" t="str">
        <x:v>短期二市場の合議・広め</x:v>
      </x:c>
      <x:c r="Q1704" s="49" t="n">
        <x:v>0</x:v>
      </x:c>
      <x:c r="R1704" s="50" t="n">
        <x:v>0.7125367521367523</x:v>
      </x:c>
      <x:c r="S1704" s="50" t="n">
        <x:v>0.7121256038647343</x:v>
      </x:c>
      <x:c r="T1704" s="1" t="str">
        <x:v>上昇</x:v>
      </x:c>
      <x:c r="U1704" s="49" t="n">
        <x:v>25</x:v>
      </x:c>
    </x:row>
    <x:row r="1705" ht="22" customHeight="1">
      <x:c r="A1705" s="1" t="str">
        <x:v>TOPIXmini</x:v>
      </x:c>
      <x:c r="B1705" s="1" t="str">
        <x:v>P02</x:v>
      </x:c>
      <x:c r="C1705" s="1" t="str">
        <x:v>全50場</x:v>
      </x:c>
      <x:c r="D1705" s="47" t="n">
        <x:v>2508240</x:v>
      </x:c>
      <x:c r="E1705" s="47" t="n">
        <x:v>4580992</x:v>
      </x:c>
      <x:c r="F1705" s="47" t="n">
        <x:f>D1705-E1705</x:f>
        <x:v>-2072752</x:v>
      </x:c>
      <x:c r="G1705" s="49" t="n">
        <x:v>2</x:v>
      </x:c>
      <x:c r="H1705" s="49" t="n">
        <x:v>23</x:v>
      </x:c>
      <x:c r="I1705" s="47" t="n">
        <x:v>-2103006</x:v>
      </x:c>
      <x:c r="J1705" s="49" t="n">
        <x:v>1372</x:v>
      </x:c>
      <x:c r="K1705" s="47" t="n">
        <x:v>-246616</x:v>
      </x:c>
      <x:c r="L1705" s="47" t="n">
        <x:v>91435.04347826086</x:v>
      </x:c>
      <x:c r="M1705" s="48" t="n">
        <x:v>6.554666666666667</x:v>
      </x:c>
      <x:c r="N1705" s="48" t="n">
        <x:v>397.96333333333337</x:v>
      </x:c>
      <x:c r="O1705" s="49" t="n">
        <x:v>2</x:v>
      </x:c>
      <x:c r="P1705" s="1" t="str">
        <x:v>短期二市場の合議・広め</x:v>
      </x:c>
      <x:c r="Q1705" s="49" t="n">
        <x:v>0</x:v>
      </x:c>
      <x:c r="R1705" s="50" t="n">
        <x:v>0.6804145299145299</x:v>
      </x:c>
      <x:c r="S1705" s="50" t="n">
        <x:v>0.6713281601439497</x:v>
      </x:c>
      <x:c r="T1705" s="1" t="str">
        <x:v>下落</x:v>
      </x:c>
      <x:c r="U1705" s="49" t="n">
        <x:v>25</x:v>
      </x:c>
    </x:row>
    <x:row r="1706" ht="22" customHeight="1">
      <x:c r="A1706" s="1" t="str">
        <x:v>TOPIXmini</x:v>
      </x:c>
      <x:c r="B1706" s="1" t="str">
        <x:v>P02</x:v>
      </x:c>
      <x:c r="C1706" s="1" t="str">
        <x:v>対照47場</x:v>
      </x:c>
      <x:c r="D1706" s="47" t="n">
        <x:v>4095578</x:v>
      </x:c>
      <x:c r="E1706" s="47" t="n">
        <x:v>8055334</x:v>
      </x:c>
      <x:c r="F1706" s="47" t="n">
        <x:f>D1706-E1706</x:f>
        <x:v>-3959756</x:v>
      </x:c>
      <x:c r="G1706" s="49" t="n">
        <x:v>1</x:v>
      </x:c>
      <x:c r="H1706" s="49" t="n">
        <x:v>46</x:v>
      </x:c>
      <x:c r="I1706" s="47" t="n">
        <x:v>-3973930</x:v>
      </x:c>
      <x:c r="J1706" s="49" t="n">
        <x:v>2366</x:v>
      </x:c>
      <x:c r="K1706" s="47" t="n">
        <x:v>-246616</x:v>
      </x:c>
      <x:c r="L1706" s="47" t="n">
        <x:v>86389.78260869565</x:v>
      </x:c>
      <x:c r="M1706" s="48" t="n">
        <x:v>5.558156028368795</x:v>
      </x:c>
      <x:c r="N1706" s="48" t="n">
        <x:v>409.1851063829787</x:v>
      </x:c>
      <x:c r="O1706" s="49" t="n">
        <x:v>2</x:v>
      </x:c>
      <x:c r="P1706" s="1" t="str">
        <x:v>短期二市場の合議・広め</x:v>
      </x:c>
      <x:c r="Q1706" s="49" t="n">
        <x:v>0</x:v>
      </x:c>
      <x:c r="R1706" s="50" t="n">
        <x:v>0.6914761125399423</x:v>
      </x:c>
      <x:c r="S1706" s="50" t="n">
        <x:v>0.6863561741613133</x:v>
      </x:c>
      <x:c r="T1706" s="1" t="str">
        <x:v>全場</x:v>
      </x:c>
      <x:c r="U1706" s="49" t="n">
        <x:v>47</x:v>
      </x:c>
    </x:row>
    <x:row r="1707" ht="22" customHeight="1">
      <x:c r="A1707" s="1" t="str">
        <x:v>TOPIXmini</x:v>
      </x:c>
      <x:c r="B1707" s="1" t="str">
        <x:v>P02</x:v>
      </x:c>
      <x:c r="C1707" s="1" t="str">
        <x:v>対照47場</x:v>
      </x:c>
      <x:c r="D1707" s="47" t="n">
        <x:v>1937038</x:v>
      </x:c>
      <x:c r="E1707" s="47" t="n">
        <x:v>4444154</x:v>
      </x:c>
      <x:c r="F1707" s="47" t="n">
        <x:f>D1707-E1707</x:f>
        <x:v>-2507116</x:v>
      </x:c>
      <x:c r="G1707" s="49" t="n">
        <x:v>0</x:v>
      </x:c>
      <x:c r="H1707" s="49" t="n">
        <x:v>24</x:v>
      </x:c>
      <x:c r="I1707" s="47" t="n">
        <x:v>-2507116</x:v>
      </x:c>
      <x:c r="J1707" s="49" t="n">
        <x:v>1326</x:v>
      </x:c>
      <x:c r="K1707" s="47" t="n">
        <x:v>-246616</x:v>
      </x:c>
      <x:c r="L1707" s="47" t="n">
        <x:v>104463.16666666667</x:v>
      </x:c>
      <x:c r="M1707" s="48" t="n">
        <x:v>4.756944444444444</x:v>
      </x:c>
      <x:c r="N1707" s="48" t="n">
        <x:v>297.39375</x:v>
      </x:c>
      <x:c r="O1707" s="49" t="n">
        <x:v>2</x:v>
      </x:c>
      <x:c r="P1707" s="1" t="str">
        <x:v>短期二市場の合議・広め</x:v>
      </x:c>
      <x:c r="Q1707" s="49" t="n">
        <x:v>0</x:v>
      </x:c>
      <x:c r="R1707" s="50" t="n">
        <x:v>0.7080803571428572</x:v>
      </x:c>
      <x:c r="S1707" s="50" t="n">
        <x:v>0.7080803571428571</x:v>
      </x:c>
      <x:c r="T1707" s="1" t="str">
        <x:v>デイ</x:v>
      </x:c>
      <x:c r="U1707" s="49" t="n">
        <x:v>24</x:v>
      </x:c>
    </x:row>
    <x:row r="1708" ht="22" customHeight="1">
      <x:c r="A1708" s="1" t="str">
        <x:v>TOPIXmini</x:v>
      </x:c>
      <x:c r="B1708" s="1" t="str">
        <x:v>P02</x:v>
      </x:c>
      <x:c r="C1708" s="1" t="str">
        <x:v>対照47場</x:v>
      </x:c>
      <x:c r="D1708" s="47" t="n">
        <x:v>2158540</x:v>
      </x:c>
      <x:c r="E1708" s="47" t="n">
        <x:v>3611180</x:v>
      </x:c>
      <x:c r="F1708" s="47" t="n">
        <x:f>D1708-E1708</x:f>
        <x:v>-1452640</x:v>
      </x:c>
      <x:c r="G1708" s="49" t="n">
        <x:v>1</x:v>
      </x:c>
      <x:c r="H1708" s="49" t="n">
        <x:v>22</x:v>
      </x:c>
      <x:c r="I1708" s="47" t="n">
        <x:v>-1466814</x:v>
      </x:c>
      <x:c r="J1708" s="49" t="n">
        <x:v>1040</x:v>
      </x:c>
      <x:c r="K1708" s="47" t="n">
        <x:v>-170442</x:v>
      </x:c>
      <x:c r="L1708" s="47" t="n">
        <x:v>66673.36363636363</x:v>
      </x:c>
      <x:c r="M1708" s="48" t="n">
        <x:v>6.394202898550725</x:v>
      </x:c>
      <x:c r="N1708" s="48" t="n">
        <x:v>525.836956521739</x:v>
      </x:c>
      <x:c r="O1708" s="49" t="n">
        <x:v>2</x:v>
      </x:c>
      <x:c r="P1708" s="1" t="str">
        <x:v>短期二市場の合議・広め</x:v>
      </x:c>
      <x:c r="Q1708" s="49" t="n">
        <x:v>0</x:v>
      </x:c>
      <x:c r="R1708" s="50" t="n">
        <x:v>0.6741499442586398</x:v>
      </x:c>
      <x:c r="S1708" s="50" t="n">
        <x:v>0.6741499442586399</x:v>
      </x:c>
      <x:c r="T1708" s="1" t="str">
        <x:v>ナイト</x:v>
      </x:c>
      <x:c r="U1708" s="49" t="n">
        <x:v>23</x:v>
      </x:c>
    </x:row>
    <x:row r="1709" ht="22" customHeight="1">
      <x:c r="A1709" s="1" t="str">
        <x:v>TOPIXmini</x:v>
      </x:c>
      <x:c r="B1709" s="1" t="str">
        <x:v>P02</x:v>
      </x:c>
      <x:c r="C1709" s="1" t="str">
        <x:v>対照47場</x:v>
      </x:c>
      <x:c r="D1709" s="47" t="n">
        <x:v>2010370</x:v>
      </x:c>
      <x:c r="E1709" s="47" t="n">
        <x:v>3867120</x:v>
      </x:c>
      <x:c r="F1709" s="47" t="n">
        <x:f>D1709-E1709</x:f>
        <x:v>-1856750</x:v>
      </x:c>
      <x:c r="G1709" s="49" t="n">
        <x:v>1</x:v>
      </x:c>
      <x:c r="H1709" s="49" t="n">
        <x:v>23</x:v>
      </x:c>
      <x:c r="I1709" s="47" t="n">
        <x:v>-1870924</x:v>
      </x:c>
      <x:c r="J1709" s="49" t="n">
        <x:v>1125</x:v>
      </x:c>
      <x:c r="K1709" s="47" t="n">
        <x:v>-187284</x:v>
      </x:c>
      <x:c r="L1709" s="47" t="n">
        <x:v>81344.52173913043</x:v>
      </x:c>
      <x:c r="M1709" s="48" t="n">
        <x:v>4.336805555555556</x:v>
      </x:c>
      <x:c r="N1709" s="48" t="n">
        <x:v>424.62777777777774</x:v>
      </x:c>
      <x:c r="O1709" s="49" t="n">
        <x:v>2</x:v>
      </x:c>
      <x:c r="P1709" s="1" t="str">
        <x:v>短期二市場の合議・広め</x:v>
      </x:c>
      <x:c r="Q1709" s="49" t="n">
        <x:v>0</x:v>
      </x:c>
      <x:c r="R1709" s="50" t="n">
        <x:v>0.7091595441595442</x:v>
      </x:c>
      <x:c r="S1709" s="50" t="n">
        <x:v>0.707712962962963</x:v>
      </x:c>
      <x:c r="T1709" s="1" t="str">
        <x:v>上昇</x:v>
      </x:c>
      <x:c r="U1709" s="49" t="n">
        <x:v>24</x:v>
      </x:c>
    </x:row>
    <x:row r="1710" ht="22" customHeight="1">
      <x:c r="A1710" s="1" t="str">
        <x:v>TOPIXmini</x:v>
      </x:c>
      <x:c r="B1710" s="1" t="str">
        <x:v>P02</x:v>
      </x:c>
      <x:c r="C1710" s="1" t="str">
        <x:v>対照47場</x:v>
      </x:c>
      <x:c r="D1710" s="47" t="n">
        <x:v>2085208</x:v>
      </x:c>
      <x:c r="E1710" s="47" t="n">
        <x:v>4188214</x:v>
      </x:c>
      <x:c r="F1710" s="47" t="n">
        <x:f>D1710-E1710</x:f>
        <x:v>-2103006</x:v>
      </x:c>
      <x:c r="G1710" s="49" t="n">
        <x:v>0</x:v>
      </x:c>
      <x:c r="H1710" s="49" t="n">
        <x:v>23</x:v>
      </x:c>
      <x:c r="I1710" s="47" t="n">
        <x:v>-2103006</x:v>
      </x:c>
      <x:c r="J1710" s="49" t="n">
        <x:v>1241</x:v>
      </x:c>
      <x:c r="K1710" s="47" t="n">
        <x:v>-246616</x:v>
      </x:c>
      <x:c r="L1710" s="47" t="n">
        <x:v>91435.04347826086</x:v>
      </x:c>
      <x:c r="M1710" s="48" t="n">
        <x:v>6.832608695652173</x:v>
      </x:c>
      <x:c r="N1710" s="48" t="n">
        <x:v>393.0710144927536</x:v>
      </x:c>
      <x:c r="O1710" s="49" t="n">
        <x:v>2</x:v>
      </x:c>
      <x:c r="P1710" s="1" t="str">
        <x:v>短期二市場の合議・広め</x:v>
      </x:c>
      <x:c r="Q1710" s="49" t="n">
        <x:v>0</x:v>
      </x:c>
      <x:c r="R1710" s="50" t="n">
        <x:v>0.6730238360673144</x:v>
      </x:c>
      <x:c r="S1710" s="50" t="n">
        <x:v>0.6637763093489966</x:v>
      </x:c>
      <x:c r="T1710" s="1" t="str">
        <x:v>下落</x:v>
      </x:c>
      <x:c r="U1710" s="49" t="n">
        <x:v>23</x:v>
      </x:c>
    </x:row>
    <x:row r="1711" ht="22" customHeight="1">
      <x:c r="A1711" s="1" t="str">
        <x:v>TOPIXmini</x:v>
      </x:c>
      <x:c r="B1711" s="1" t="str">
        <x:v>P02</x:v>
      </x:c>
      <x:c r="C1711" s="1" t="str">
        <x:v>診断3場</x:v>
      </x:c>
      <x:c r="D1711" s="47" t="n">
        <x:v>553546</x:v>
      </x:c>
      <x:c r="E1711" s="47" t="n">
        <x:v>565920</x:v>
      </x:c>
      <x:c r="F1711" s="47" t="n">
        <x:f>D1711-E1711</x:f>
        <x:v>-12374</x:v>
      </x:c>
      <x:c r="G1711" s="49" t="n">
        <x:v>2</x:v>
      </x:c>
      <x:c r="H1711" s="49" t="n">
        <x:v>1</x:v>
      </x:c>
      <x:c r="I1711" s="47" t="n">
        <x:v>-42628</x:v>
      </x:c>
      <x:c r="J1711" s="49" t="n">
        <x:v>189</x:v>
      </x:c>
      <x:c r="K1711" s="47" t="n">
        <x:v>-42628</x:v>
      </x:c>
      <x:c r="L1711" s="47" t="n">
        <x:v>42628</x:v>
      </x:c>
      <x:c r="M1711" s="48" t="n">
        <x:v>2.983333333333333</x:v>
      </x:c>
      <x:c r="N1711" s="48" t="n">
        <x:v>509.15000000000003</x:v>
      </x:c>
      <x:c r="O1711" s="49" t="n">
        <x:v>2</x:v>
      </x:c>
      <x:c r="P1711" s="1" t="str">
        <x:v>短期二市場の合議・広め</x:v>
      </x:c>
      <x:c r="Q1711" s="49" t="n">
        <x:v>0</x:v>
      </x:c>
      <x:c r="R1711" s="50" t="n">
        <x:v>0.7748015873015873</x:v>
      </x:c>
      <x:c r="S1711" s="50" t="n">
        <x:v>0.771439393939394</x:v>
      </x:c>
      <x:c r="T1711" s="1" t="str">
        <x:v>全場</x:v>
      </x:c>
      <x:c r="U1711" s="49" t="n">
        <x:v>3</x:v>
      </x:c>
    </x:row>
    <x:row r="1712" ht="22" customHeight="1">
      <x:c r="A1712" s="1" t="str">
        <x:v>TOPIXmini</x:v>
      </x:c>
      <x:c r="B1712" s="1" t="str">
        <x:v>P02</x:v>
      </x:c>
      <x:c r="C1712" s="1" t="str">
        <x:v>診断3場</x:v>
      </x:c>
      <x:c r="D1712" s="47" t="n">
        <x:v>260514</x:v>
      </x:c>
      <x:c r="E1712" s="47" t="n">
        <x:v>240968</x:v>
      </x:c>
      <x:c r="F1712" s="47" t="n">
        <x:f>D1712-E1712</x:f>
        <x:v>19546</x:v>
      </x:c>
      <x:c r="G1712" s="49" t="n">
        <x:v>1</x:v>
      </x:c>
      <x:c r="H1712" s="49" t="n">
        <x:v>0</x:v>
      </x:c>
      <x:c r="I1712" s="47" t="n">
        <x:v>0</x:v>
      </x:c>
      <x:c r="J1712" s="49" t="n">
        <x:v>69</x:v>
      </x:c>
      <x:c r="K1712" s="47" t="n">
        <x:v>19546</x:v>
      </x:c>
      <x:c r="L1712" s="47" t="n">
        <x:v>0</x:v>
      </x:c>
      <x:c r="M1712" s="48" t="n">
        <x:v>2.716666666666667</x:v>
      </x:c>
      <x:c r="N1712" s="48" t="n">
        <x:v>333.18333333333334</x:v>
      </x:c>
      <x:c r="O1712" s="49" t="n">
        <x:v>2</x:v>
      </x:c>
      <x:c r="P1712" s="1" t="str">
        <x:v>短期二市場の合議・広め</x:v>
      </x:c>
      <x:c r="Q1712" s="49" t="n">
        <x:v>0</x:v>
      </x:c>
      <x:c r="R1712" s="50" t="n">
        <x:v>0.7932936507936508</x:v>
      </x:c>
      <x:c r="S1712" s="50" t="n">
        <x:v>0.7932936507936508</x:v>
      </x:c>
      <x:c r="T1712" s="1" t="str">
        <x:v>デイ</x:v>
      </x:c>
      <x:c r="U1712" s="49" t="n">
        <x:v>1</x:v>
      </x:c>
    </x:row>
    <x:row r="1713" ht="22" customHeight="1">
      <x:c r="A1713" s="1" t="str">
        <x:v>TOPIXmini</x:v>
      </x:c>
      <x:c r="B1713" s="1" t="str">
        <x:v>P02</x:v>
      </x:c>
      <x:c r="C1713" s="1" t="str">
        <x:v>診断3場</x:v>
      </x:c>
      <x:c r="D1713" s="47" t="n">
        <x:v>293032</x:v>
      </x:c>
      <x:c r="E1713" s="47" t="n">
        <x:v>324952</x:v>
      </x:c>
      <x:c r="F1713" s="47" t="n">
        <x:f>D1713-E1713</x:f>
        <x:v>-31920</x:v>
      </x:c>
      <x:c r="G1713" s="49" t="n">
        <x:v>1</x:v>
      </x:c>
      <x:c r="H1713" s="49" t="n">
        <x:v>1</x:v>
      </x:c>
      <x:c r="I1713" s="47" t="n">
        <x:v>-42628</x:v>
      </x:c>
      <x:c r="J1713" s="49" t="n">
        <x:v>120</x:v>
      </x:c>
      <x:c r="K1713" s="47" t="n">
        <x:v>-42628</x:v>
      </x:c>
      <x:c r="L1713" s="47" t="n">
        <x:v>42628</x:v>
      </x:c>
      <x:c r="M1713" s="48" t="n">
        <x:v>3.1166666666666667</x:v>
      </x:c>
      <x:c r="N1713" s="48" t="n">
        <x:v>597.1333333333333</x:v>
      </x:c>
      <x:c r="O1713" s="49" t="n">
        <x:v>2</x:v>
      </x:c>
      <x:c r="P1713" s="1" t="str">
        <x:v>短期二市場の合議・広め</x:v>
      </x:c>
      <x:c r="Q1713" s="49" t="n">
        <x:v>0</x:v>
      </x:c>
      <x:c r="R1713" s="50" t="n">
        <x:v>0.7655555555555555</x:v>
      </x:c>
      <x:c r="S1713" s="50" t="n">
        <x:v>0.7655555555555555</x:v>
      </x:c>
      <x:c r="T1713" s="1" t="str">
        <x:v>ナイト</x:v>
      </x:c>
      <x:c r="U1713" s="49" t="n">
        <x:v>2</x:v>
      </x:c>
    </x:row>
    <x:row r="1714" ht="22" customHeight="1">
      <x:c r="A1714" s="1" t="str">
        <x:v>TOPIXmini</x:v>
      </x:c>
      <x:c r="B1714" s="1" t="str">
        <x:v>P02</x:v>
      </x:c>
      <x:c r="C1714" s="1" t="str">
        <x:v>診断3場</x:v>
      </x:c>
      <x:c r="D1714" s="47" t="n">
        <x:v>130514</x:v>
      </x:c>
      <x:c r="E1714" s="47" t="n">
        <x:v>173142</x:v>
      </x:c>
      <x:c r="F1714" s="47" t="n">
        <x:f>D1714-E1714</x:f>
        <x:v>-42628</x:v>
      </x:c>
      <x:c r="G1714" s="49" t="n">
        <x:v>0</x:v>
      </x:c>
      <x:c r="H1714" s="49" t="n">
        <x:v>1</x:v>
      </x:c>
      <x:c r="I1714" s="47" t="n">
        <x:v>-42628</x:v>
      </x:c>
      <x:c r="J1714" s="49" t="n">
        <x:v>58</x:v>
      </x:c>
      <x:c r="K1714" s="47" t="n">
        <x:v>-42628</x:v>
      </x:c>
      <x:c r="L1714" s="47" t="n">
        <x:v>42628</x:v>
      </x:c>
      <x:c r="M1714" s="48" t="n">
        <x:v>2.2333333333333334</x:v>
      </x:c>
      <x:c r="N1714" s="48" t="n">
        <x:v>619</x:v>
      </x:c>
      <x:c r="O1714" s="49" t="n">
        <x:v>2</x:v>
      </x:c>
      <x:c r="P1714" s="1" t="str">
        <x:v>短期二市場の合議・広め</x:v>
      </x:c>
      <x:c r="Q1714" s="49" t="n">
        <x:v>0</x:v>
      </x:c>
      <x:c r="R1714" s="50" t="n">
        <x:v>0.7935897435897435</x:v>
      </x:c>
      <x:c r="S1714" s="50" t="n">
        <x:v>0.7935897435897435</x:v>
      </x:c>
      <x:c r="T1714" s="1" t="str">
        <x:v>上昇</x:v>
      </x:c>
      <x:c r="U1714" s="49" t="n">
        <x:v>1</x:v>
      </x:c>
    </x:row>
    <x:row r="1715" ht="22" customHeight="1">
      <x:c r="A1715" s="1" t="str">
        <x:v>TOPIXmini</x:v>
      </x:c>
      <x:c r="B1715" s="1" t="str">
        <x:v>P02</x:v>
      </x:c>
      <x:c r="C1715" s="1" t="str">
        <x:v>診断3場</x:v>
      </x:c>
      <x:c r="D1715" s="47" t="n">
        <x:v>423032</x:v>
      </x:c>
      <x:c r="E1715" s="47" t="n">
        <x:v>392778</x:v>
      </x:c>
      <x:c r="F1715" s="47" t="n">
        <x:f>D1715-E1715</x:f>
        <x:v>30254</x:v>
      </x:c>
      <x:c r="G1715" s="49" t="n">
        <x:v>2</x:v>
      </x:c>
      <x:c r="H1715" s="49" t="n">
        <x:v>0</x:v>
      </x:c>
      <x:c r="I1715" s="47" t="n">
        <x:v>0</x:v>
      </x:c>
      <x:c r="J1715" s="49" t="n">
        <x:v>131</x:v>
      </x:c>
      <x:c r="K1715" s="47" t="n">
        <x:v>10708</x:v>
      </x:c>
      <x:c r="L1715" s="47" t="n">
        <x:v>0</x:v>
      </x:c>
      <x:c r="M1715" s="48" t="n">
        <x:v>3.3583333333333334</x:v>
      </x:c>
      <x:c r="N1715" s="48" t="n">
        <x:v>454.225</x:v>
      </x:c>
      <x:c r="O1715" s="49" t="n">
        <x:v>2</x:v>
      </x:c>
      <x:c r="P1715" s="1" t="str">
        <x:v>短期二市場の合議・広め</x:v>
      </x:c>
      <x:c r="Q1715" s="49" t="n">
        <x:v>0</x:v>
      </x:c>
      <x:c r="R1715" s="50" t="n">
        <x:v>0.7654075091575092</x:v>
      </x:c>
      <x:c r="S1715" s="50" t="n">
        <x:v>0.7570416666666667</x:v>
      </x:c>
      <x:c r="T1715" s="1" t="str">
        <x:v>下落</x:v>
      </x:c>
      <x:c r="U1715" s="49" t="n">
        <x:v>2</x:v>
      </x:c>
    </x:row>
    <x:row r="1716" ht="22" customHeight="1">
      <x:c r="A1716" s="1" t="str">
        <x:v>TOPIXmini</x:v>
      </x:c>
      <x:c r="B1716" s="1" t="str">
        <x:v>P03</x:v>
      </x:c>
      <x:c r="C1716" s="1" t="str">
        <x:v>全50場</x:v>
      </x:c>
      <x:c r="D1716" s="47" t="n">
        <x:v>4567218</x:v>
      </x:c>
      <x:c r="E1716" s="47" t="n">
        <x:v>7972672</x:v>
      </x:c>
      <x:c r="F1716" s="47" t="n">
        <x:f>D1716-E1716</x:f>
        <x:v>-3405454</x:v>
      </x:c>
      <x:c r="G1716" s="49" t="n">
        <x:v>3</x:v>
      </x:c>
      <x:c r="H1716" s="49" t="n">
        <x:v>47</x:v>
      </x:c>
      <x:c r="I1716" s="47" t="n">
        <x:v>-3514878</x:v>
      </x:c>
      <x:c r="J1716" s="49" t="n">
        <x:v>2069</x:v>
      </x:c>
      <x:c r="K1716" s="47" t="n">
        <x:v>-175296</x:v>
      </x:c>
      <x:c r="L1716" s="47" t="n">
        <x:v>74784.63829787234</x:v>
      </x:c>
      <x:c r="M1716" s="48" t="n">
        <x:v>5.403666666666667</x:v>
      </x:c>
      <x:c r="N1716" s="48" t="n">
        <x:v>423.9226666666667</x:v>
      </x:c>
      <x:c r="O1716" s="49" t="n">
        <x:v>2</x:v>
      </x:c>
      <x:c r="P1716" s="1" t="str">
        <x:v>中期支持中は短期逆行を保持・標準</x:v>
      </x:c>
      <x:c r="Q1716" s="49" t="n">
        <x:v>0</x:v>
      </x:c>
      <x:c r="R1716" s="50" t="n">
        <x:v>0.7203034188034187</x:v>
      </x:c>
      <x:c r="S1716" s="50" t="n">
        <x:v>0.7065377777777777</x:v>
      </x:c>
      <x:c r="T1716" s="1" t="str">
        <x:v>全場</x:v>
      </x:c>
      <x:c r="U1716" s="49" t="n">
        <x:v>50</x:v>
      </x:c>
    </x:row>
    <x:row r="1717" ht="22" customHeight="1">
      <x:c r="A1717" s="1" t="str">
        <x:v>TOPIXmini</x:v>
      </x:c>
      <x:c r="B1717" s="1" t="str">
        <x:v>P03</x:v>
      </x:c>
      <x:c r="C1717" s="1" t="str">
        <x:v>全50場</x:v>
      </x:c>
      <x:c r="D1717" s="47" t="n">
        <x:v>2117520</x:v>
      </x:c>
      <x:c r="E1717" s="47" t="n">
        <x:v>4089820</x:v>
      </x:c>
      <x:c r="F1717" s="47" t="n">
        <x:f>D1717-E1717</x:f>
        <x:v>-1972300</x:v>
      </x:c>
      <x:c r="G1717" s="49" t="n">
        <x:v>1</x:v>
      </x:c>
      <x:c r="H1717" s="49" t="n">
        <x:v>24</x:v>
      </x:c>
      <x:c r="I1717" s="47" t="n">
        <x:v>-2018166</x:v>
      </x:c>
      <x:c r="J1717" s="49" t="n">
        <x:v>1050</x:v>
      </x:c>
      <x:c r="K1717" s="47" t="n">
        <x:v>-175296</x:v>
      </x:c>
      <x:c r="L1717" s="47" t="n">
        <x:v>84090.25</x:v>
      </x:c>
      <x:c r="M1717" s="48" t="n">
        <x:v>4.675333333333333</x:v>
      </x:c>
      <x:c r="N1717" s="48" t="n">
        <x:v>321.7993333333333</x:v>
      </x:c>
      <x:c r="O1717" s="49" t="n">
        <x:v>2</x:v>
      </x:c>
      <x:c r="P1717" s="1" t="str">
        <x:v>中期支持中は短期逆行を保持・標準</x:v>
      </x:c>
      <x:c r="Q1717" s="49" t="n">
        <x:v>0</x:v>
      </x:c>
      <x:c r="R1717" s="50" t="n">
        <x:v>0.7661888888888889</x:v>
      </x:c>
      <x:c r="S1717" s="50" t="n">
        <x:v>0.7661888888888889</x:v>
      </x:c>
      <x:c r="T1717" s="1" t="str">
        <x:v>デイ</x:v>
      </x:c>
      <x:c r="U1717" s="49" t="n">
        <x:v>25</x:v>
      </x:c>
    </x:row>
    <x:row r="1718" ht="22" customHeight="1">
      <x:c r="A1718" s="1" t="str">
        <x:v>TOPIXmini</x:v>
      </x:c>
      <x:c r="B1718" s="1" t="str">
        <x:v>P03</x:v>
      </x:c>
      <x:c r="C1718" s="1" t="str">
        <x:v>全50場</x:v>
      </x:c>
      <x:c r="D1718" s="47" t="n">
        <x:v>2449698</x:v>
      </x:c>
      <x:c r="E1718" s="47" t="n">
        <x:v>3882852</x:v>
      </x:c>
      <x:c r="F1718" s="47" t="n">
        <x:f>D1718-E1718</x:f>
        <x:v>-1433154</x:v>
      </x:c>
      <x:c r="G1718" s="49" t="n">
        <x:v>2</x:v>
      </x:c>
      <x:c r="H1718" s="49" t="n">
        <x:v>23</x:v>
      </x:c>
      <x:c r="I1718" s="47" t="n">
        <x:v>-1496712</x:v>
      </x:c>
      <x:c r="J1718" s="49" t="n">
        <x:v>1019</x:v>
      </x:c>
      <x:c r="K1718" s="47" t="n">
        <x:v>-162802</x:v>
      </x:c>
      <x:c r="L1718" s="47" t="n">
        <x:v>65074.434782608696</x:v>
      </x:c>
      <x:c r="M1718" s="48" t="n">
        <x:v>6.132</x:v>
      </x:c>
      <x:c r="N1718" s="48" t="n">
        <x:v>526.0459999999999</x:v>
      </x:c>
      <x:c r="O1718" s="49" t="n">
        <x:v>2</x:v>
      </x:c>
      <x:c r="P1718" s="1" t="str">
        <x:v>中期支持中は短期逆行を保持・標準</x:v>
      </x:c>
      <x:c r="Q1718" s="49" t="n">
        <x:v>0</x:v>
      </x:c>
      <x:c r="R1718" s="50" t="n">
        <x:v>0.6744179487179487</x:v>
      </x:c>
      <x:c r="S1718" s="50" t="n">
        <x:v>0.6744179487179487</x:v>
      </x:c>
      <x:c r="T1718" s="1" t="str">
        <x:v>ナイト</x:v>
      </x:c>
      <x:c r="U1718" s="49" t="n">
        <x:v>25</x:v>
      </x:c>
    </x:row>
    <x:row r="1719" ht="22" customHeight="1">
      <x:c r="A1719" s="1" t="str">
        <x:v>TOPIXmini</x:v>
      </x:c>
      <x:c r="B1719" s="1" t="str">
        <x:v>P03</x:v>
      </x:c>
      <x:c r="C1719" s="1" t="str">
        <x:v>全50場</x:v>
      </x:c>
      <x:c r="D1719" s="47" t="n">
        <x:v>2111690</x:v>
      </x:c>
      <x:c r="E1719" s="47" t="n">
        <x:v>3902536</x:v>
      </x:c>
      <x:c r="F1719" s="47" t="n">
        <x:f>D1719-E1719</x:f>
        <x:v>-1790846</x:v>
      </x:c>
      <x:c r="G1719" s="49" t="n">
        <x:v>1</x:v>
      </x:c>
      <x:c r="H1719" s="49" t="n">
        <x:v>24</x:v>
      </x:c>
      <x:c r="I1719" s="47" t="n">
        <x:v>-1820206</x:v>
      </x:c>
      <x:c r="J1719" s="49" t="n">
        <x:v>981</x:v>
      </x:c>
      <x:c r="K1719" s="47" t="n">
        <x:v>-175296</x:v>
      </x:c>
      <x:c r="L1719" s="47" t="n">
        <x:v>75841.91666666667</x:v>
      </x:c>
      <x:c r="M1719" s="48" t="n">
        <x:v>4.252666666666667</x:v>
      </x:c>
      <x:c r="N1719" s="48" t="n">
        <x:v>419.6673333333333</x:v>
      </x:c>
      <x:c r="O1719" s="49" t="n">
        <x:v>2</x:v>
      </x:c>
      <x:c r="P1719" s="1" t="str">
        <x:v>中期支持中は短期逆行を保持・標準</x:v>
      </x:c>
      <x:c r="Q1719" s="49" t="n">
        <x:v>0</x:v>
      </x:c>
      <x:c r="R1719" s="50" t="n">
        <x:v>0.7050159951159952</x:v>
      </x:c>
      <x:c r="S1719" s="50" t="n">
        <x:v>0.6911517347386912</x:v>
      </x:c>
      <x:c r="T1719" s="1" t="str">
        <x:v>上昇</x:v>
      </x:c>
      <x:c r="U1719" s="49" t="n">
        <x:v>25</x:v>
      </x:c>
    </x:row>
    <x:row r="1720" ht="22" customHeight="1">
      <x:c r="A1720" s="1" t="str">
        <x:v>TOPIXmini</x:v>
      </x:c>
      <x:c r="B1720" s="1" t="str">
        <x:v>P03</x:v>
      </x:c>
      <x:c r="C1720" s="1" t="str">
        <x:v>全50場</x:v>
      </x:c>
      <x:c r="D1720" s="47" t="n">
        <x:v>2455528</x:v>
      </x:c>
      <x:c r="E1720" s="47" t="n">
        <x:v>4070136</x:v>
      </x:c>
      <x:c r="F1720" s="47" t="n">
        <x:f>D1720-E1720</x:f>
        <x:v>-1614608</x:v>
      </x:c>
      <x:c r="G1720" s="49" t="n">
        <x:v>2</x:v>
      </x:c>
      <x:c r="H1720" s="49" t="n">
        <x:v>23</x:v>
      </x:c>
      <x:c r="I1720" s="47" t="n">
        <x:v>-1694672</x:v>
      </x:c>
      <x:c r="J1720" s="49" t="n">
        <x:v>1088</x:v>
      </x:c>
      <x:c r="K1720" s="47" t="n">
        <x:v>-169636</x:v>
      </x:c>
      <x:c r="L1720" s="47" t="n">
        <x:v>73681.39130434782</x:v>
      </x:c>
      <x:c r="M1720" s="48" t="n">
        <x:v>6.554666666666667</x:v>
      </x:c>
      <x:c r="N1720" s="48" t="n">
        <x:v>428.17800000000005</x:v>
      </x:c>
      <x:c r="O1720" s="49" t="n">
        <x:v>2</x:v>
      </x:c>
      <x:c r="P1720" s="1" t="str">
        <x:v>中期支持中は短期逆行を保持・標準</x:v>
      </x:c>
      <x:c r="Q1720" s="49" t="n">
        <x:v>0</x:v>
      </x:c>
      <x:c r="R1720" s="50" t="n">
        <x:v>0.7355908424908425</x:v>
      </x:c>
      <x:c r="S1720" s="50" t="n">
        <x:v>0.7222975708502025</x:v>
      </x:c>
      <x:c r="T1720" s="1" t="str">
        <x:v>下落</x:v>
      </x:c>
      <x:c r="U1720" s="49" t="n">
        <x:v>25</x:v>
      </x:c>
    </x:row>
    <x:row r="1721" ht="22" customHeight="1">
      <x:c r="A1721" s="1" t="str">
        <x:v>TOPIXmini</x:v>
      </x:c>
      <x:c r="B1721" s="1" t="str">
        <x:v>P03</x:v>
      </x:c>
      <x:c r="C1721" s="1" t="str">
        <x:v>対照47場</x:v>
      </x:c>
      <x:c r="D1721" s="47" t="n">
        <x:v>4067850</x:v>
      </x:c>
      <x:c r="E1721" s="47" t="n">
        <x:v>7357744</x:v>
      </x:c>
      <x:c r="F1721" s="47" t="n">
        <x:f>D1721-E1721</x:f>
        <x:v>-3289894</x:v>
      </x:c>
      <x:c r="G1721" s="49" t="n">
        <x:v>3</x:v>
      </x:c>
      <x:c r="H1721" s="49" t="n">
        <x:v>44</x:v>
      </x:c>
      <x:c r="I1721" s="47" t="n">
        <x:v>-3399318</x:v>
      </x:c>
      <x:c r="J1721" s="49" t="n">
        <x:v>1909</x:v>
      </x:c>
      <x:c r="K1721" s="47" t="n">
        <x:v>-175296</x:v>
      </x:c>
      <x:c r="L1721" s="47" t="n">
        <x:v>77257.22727272728</x:v>
      </x:c>
      <x:c r="M1721" s="48" t="n">
        <x:v>5.558156028368795</x:v>
      </x:c>
      <x:c r="N1721" s="48" t="n">
        <x:v>419.28085106382974</x:v>
      </x:c>
      <x:c r="O1721" s="49" t="n">
        <x:v>2</x:v>
      </x:c>
      <x:c r="P1721" s="1" t="str">
        <x:v>中期支持中は短期逆行を保持・標準</x:v>
      </x:c>
      <x:c r="Q1721" s="49" t="n">
        <x:v>0</x:v>
      </x:c>
      <x:c r="R1721" s="50" t="n">
        <x:v>0.7173618580001558</x:v>
      </x:c>
      <x:c r="S1721" s="50" t="n">
        <x:v>0.7032905067808708</x:v>
      </x:c>
      <x:c r="T1721" s="1" t="str">
        <x:v>全場</x:v>
      </x:c>
      <x:c r="U1721" s="49" t="n">
        <x:v>47</x:v>
      </x:c>
    </x:row>
    <x:row r="1722" ht="22" customHeight="1">
      <x:c r="A1722" s="1" t="str">
        <x:v>TOPIXmini</x:v>
      </x:c>
      <x:c r="B1722" s="1" t="str">
        <x:v>P03</x:v>
      </x:c>
      <x:c r="C1722" s="1" t="str">
        <x:v>対照47場</x:v>
      </x:c>
      <x:c r="D1722" s="47" t="n">
        <x:v>1902342</x:v>
      </x:c>
      <x:c r="E1722" s="47" t="n">
        <x:v>3849010</x:v>
      </x:c>
      <x:c r="F1722" s="47" t="n">
        <x:f>D1722-E1722</x:f>
        <x:v>-1946668</x:v>
      </x:c>
      <x:c r="G1722" s="49" t="n">
        <x:v>1</x:v>
      </x:c>
      <x:c r="H1722" s="49" t="n">
        <x:v>23</x:v>
      </x:c>
      <x:c r="I1722" s="47" t="n">
        <x:v>-1992534</x:v>
      </x:c>
      <x:c r="J1722" s="49" t="n">
        <x:v>998</x:v>
      </x:c>
      <x:c r="K1722" s="47" t="n">
        <x:v>-175296</x:v>
      </x:c>
      <x:c r="L1722" s="47" t="n">
        <x:v>86631.91304347826</x:v>
      </x:c>
      <x:c r="M1722" s="48" t="n">
        <x:v>4.756944444444444</x:v>
      </x:c>
      <x:c r="N1722" s="48" t="n">
        <x:v>320.4583333333333</x:v>
      </x:c>
      <x:c r="O1722" s="49" t="n">
        <x:v>2</x:v>
      </x:c>
      <x:c r="P1722" s="1" t="str">
        <x:v>中期支持中は短期逆行を保持・標準</x:v>
      </x:c>
      <x:c r="Q1722" s="49" t="n">
        <x:v>0</x:v>
      </x:c>
      <x:c r="R1722" s="50" t="n">
        <x:v>0.7629960317460318</x:v>
      </x:c>
      <x:c r="S1722" s="50" t="n">
        <x:v>0.7629960317460317</x:v>
      </x:c>
      <x:c r="T1722" s="1" t="str">
        <x:v>デイ</x:v>
      </x:c>
      <x:c r="U1722" s="49" t="n">
        <x:v>24</x:v>
      </x:c>
    </x:row>
    <x:row r="1723" ht="22" customHeight="1">
      <x:c r="A1723" s="1" t="str">
        <x:v>TOPIXmini</x:v>
      </x:c>
      <x:c r="B1723" s="1" t="str">
        <x:v>P03</x:v>
      </x:c>
      <x:c r="C1723" s="1" t="str">
        <x:v>対照47場</x:v>
      </x:c>
      <x:c r="D1723" s="47" t="n">
        <x:v>2165508</x:v>
      </x:c>
      <x:c r="E1723" s="47" t="n">
        <x:v>3508734</x:v>
      </x:c>
      <x:c r="F1723" s="47" t="n">
        <x:f>D1723-E1723</x:f>
        <x:v>-1343226</x:v>
      </x:c>
      <x:c r="G1723" s="49" t="n">
        <x:v>2</x:v>
      </x:c>
      <x:c r="H1723" s="49" t="n">
        <x:v>21</x:v>
      </x:c>
      <x:c r="I1723" s="47" t="n">
        <x:v>-1406784</x:v>
      </x:c>
      <x:c r="J1723" s="49" t="n">
        <x:v>911</x:v>
      </x:c>
      <x:c r="K1723" s="47" t="n">
        <x:v>-162802</x:v>
      </x:c>
      <x:c r="L1723" s="47" t="n">
        <x:v>66989.71428571429</x:v>
      </x:c>
      <x:c r="M1723" s="48" t="n">
        <x:v>6.394202898550725</x:v>
      </x:c>
      <x:c r="N1723" s="48" t="n">
        <x:v>522.4</x:v>
      </x:c>
      <x:c r="O1723" s="49" t="n">
        <x:v>2</x:v>
      </x:c>
      <x:c r="P1723" s="1" t="str">
        <x:v>中期支持中は短期逆行を保持・標準</x:v>
      </x:c>
      <x:c r="Q1723" s="49" t="n">
        <x:v>0</x:v>
      </x:c>
      <x:c r="R1723" s="50" t="n">
        <x:v>0.6697435897435897</x:v>
      </x:c>
      <x:c r="S1723" s="50" t="n">
        <x:v>0.6697435897435898</x:v>
      </x:c>
      <x:c r="T1723" s="1" t="str">
        <x:v>ナイト</x:v>
      </x:c>
      <x:c r="U1723" s="49" t="n">
        <x:v>23</x:v>
      </x:c>
    </x:row>
    <x:row r="1724" ht="22" customHeight="1">
      <x:c r="A1724" s="1" t="str">
        <x:v>TOPIXmini</x:v>
      </x:c>
      <x:c r="B1724" s="1" t="str">
        <x:v>P03</x:v>
      </x:c>
      <x:c r="C1724" s="1" t="str">
        <x:v>対照47場</x:v>
      </x:c>
      <x:c r="D1724" s="47" t="n">
        <x:v>1970014</x:v>
      </x:c>
      <x:c r="E1724" s="47" t="n">
        <x:v>3696560</x:v>
      </x:c>
      <x:c r="F1724" s="47" t="n">
        <x:f>D1724-E1724</x:f>
        <x:v>-1726546</x:v>
      </x:c>
      <x:c r="G1724" s="49" t="n">
        <x:v>1</x:v>
      </x:c>
      <x:c r="H1724" s="49" t="n">
        <x:v>23</x:v>
      </x:c>
      <x:c r="I1724" s="47" t="n">
        <x:v>-1755906</x:v>
      </x:c>
      <x:c r="J1724" s="49" t="n">
        <x:v>931</x:v>
      </x:c>
      <x:c r="K1724" s="47" t="n">
        <x:v>-175296</x:v>
      </x:c>
      <x:c r="L1724" s="47" t="n">
        <x:v>76343.73913043478</x:v>
      </x:c>
      <x:c r="M1724" s="48" t="n">
        <x:v>4.336805555555556</x:v>
      </x:c>
      <x:c r="N1724" s="48" t="n">
        <x:v>414.2520833333333</x:v>
      </x:c>
      <x:c r="O1724" s="49" t="n">
        <x:v>2</x:v>
      </x:c>
      <x:c r="P1724" s="1" t="str">
        <x:v>中期支持中は短期逆行を保持・標準</x:v>
      </x:c>
      <x:c r="Q1724" s="49" t="n">
        <x:v>0</x:v>
      </x:c>
      <x:c r="R1724" s="50" t="n">
        <x:v>0.7050309065934067</x:v>
      </x:c>
      <x:c r="S1724" s="50" t="n">
        <x:v>0.6904201388888889</x:v>
      </x:c>
      <x:c r="T1724" s="1" t="str">
        <x:v>上昇</x:v>
      </x:c>
      <x:c r="U1724" s="49" t="n">
        <x:v>24</x:v>
      </x:c>
    </x:row>
    <x:row r="1725" ht="22" customHeight="1">
      <x:c r="A1725" s="1" t="str">
        <x:v>TOPIXmini</x:v>
      </x:c>
      <x:c r="B1725" s="1" t="str">
        <x:v>P03</x:v>
      </x:c>
      <x:c r="C1725" s="1" t="str">
        <x:v>対照47場</x:v>
      </x:c>
      <x:c r="D1725" s="47" t="n">
        <x:v>2097836</x:v>
      </x:c>
      <x:c r="E1725" s="47" t="n">
        <x:v>3661184</x:v>
      </x:c>
      <x:c r="F1725" s="47" t="n">
        <x:f>D1725-E1725</x:f>
        <x:v>-1563348</x:v>
      </x:c>
      <x:c r="G1725" s="49" t="n">
        <x:v>2</x:v>
      </x:c>
      <x:c r="H1725" s="49" t="n">
        <x:v>21</x:v>
      </x:c>
      <x:c r="I1725" s="47" t="n">
        <x:v>-1643412</x:v>
      </x:c>
      <x:c r="J1725" s="49" t="n">
        <x:v>978</x:v>
      </x:c>
      <x:c r="K1725" s="47" t="n">
        <x:v>-169636</x:v>
      </x:c>
      <x:c r="L1725" s="47" t="n">
        <x:v>78257.71428571429</x:v>
      </x:c>
      <x:c r="M1725" s="48" t="n">
        <x:v>6.832608695652173</x:v>
      </x:c>
      <x:c r="N1725" s="48" t="n">
        <x:v>424.52826086956514</x:v>
      </x:c>
      <x:c r="O1725" s="49" t="n">
        <x:v>2</x:v>
      </x:c>
      <x:c r="P1725" s="1" t="str">
        <x:v>中期支持中は短期逆行を保持・標準</x:v>
      </x:c>
      <x:c r="Q1725" s="49" t="n">
        <x:v>0</x:v>
      </x:c>
      <x:c r="R1725" s="50" t="n">
        <x:v>0.7302289377289376</x:v>
      </x:c>
      <x:c r="S1725" s="50" t="n">
        <x:v>0.7168979441997063</x:v>
      </x:c>
      <x:c r="T1725" s="1" t="str">
        <x:v>下落</x:v>
      </x:c>
      <x:c r="U1725" s="49" t="n">
        <x:v>23</x:v>
      </x:c>
    </x:row>
    <x:row r="1726" ht="22" customHeight="1">
      <x:c r="A1726" s="1" t="str">
        <x:v>TOPIXmini</x:v>
      </x:c>
      <x:c r="B1726" s="1" t="str">
        <x:v>P03</x:v>
      </x:c>
      <x:c r="C1726" s="1" t="str">
        <x:v>診断3場</x:v>
      </x:c>
      <x:c r="D1726" s="47" t="n">
        <x:v>499368</x:v>
      </x:c>
      <x:c r="E1726" s="47" t="n">
        <x:v>614928</x:v>
      </x:c>
      <x:c r="F1726" s="47" t="n">
        <x:f>D1726-E1726</x:f>
        <x:v>-115560</x:v>
      </x:c>
      <x:c r="G1726" s="49" t="n">
        <x:v>0</x:v>
      </x:c>
      <x:c r="H1726" s="49" t="n">
        <x:v>3</x:v>
      </x:c>
      <x:c r="I1726" s="47" t="n">
        <x:v>-115560</x:v>
      </x:c>
      <x:c r="J1726" s="49" t="n">
        <x:v>160</x:v>
      </x:c>
      <x:c r="K1726" s="47" t="n">
        <x:v>-64300</x:v>
      </x:c>
      <x:c r="L1726" s="47" t="n">
        <x:v>38520</x:v>
      </x:c>
      <x:c r="M1726" s="48" t="n">
        <x:v>2.983333333333333</x:v>
      </x:c>
      <x:c r="N1726" s="48" t="n">
        <x:v>496.64444444444445</x:v>
      </x:c>
      <x:c r="O1726" s="49" t="n">
        <x:v>2</x:v>
      </x:c>
      <x:c r="P1726" s="1" t="str">
        <x:v>中期支持中は短期逆行を保持・標準</x:v>
      </x:c>
      <x:c r="Q1726" s="49" t="n">
        <x:v>0</x:v>
      </x:c>
      <x:c r="R1726" s="50" t="n">
        <x:v>0.7663878713878715</x:v>
      </x:c>
      <x:c r="S1726" s="50" t="n">
        <x:v>0.7524915824915825</x:v>
      </x:c>
      <x:c r="T1726" s="1" t="str">
        <x:v>全場</x:v>
      </x:c>
      <x:c r="U1726" s="49" t="n">
        <x:v>3</x:v>
      </x:c>
    </x:row>
    <x:row r="1727" ht="22" customHeight="1">
      <x:c r="A1727" s="1" t="str">
        <x:v>TOPIXmini</x:v>
      </x:c>
      <x:c r="B1727" s="1" t="str">
        <x:v>P03</x:v>
      </x:c>
      <x:c r="C1727" s="1" t="str">
        <x:v>診断3場</x:v>
      </x:c>
      <x:c r="D1727" s="47" t="n">
        <x:v>215178</x:v>
      </x:c>
      <x:c r="E1727" s="47" t="n">
        <x:v>240810</x:v>
      </x:c>
      <x:c r="F1727" s="47" t="n">
        <x:f>D1727-E1727</x:f>
        <x:v>-25632</x:v>
      </x:c>
      <x:c r="G1727" s="49" t="n">
        <x:v>0</x:v>
      </x:c>
      <x:c r="H1727" s="49" t="n">
        <x:v>1</x:v>
      </x:c>
      <x:c r="I1727" s="47" t="n">
        <x:v>-25632</x:v>
      </x:c>
      <x:c r="J1727" s="49" t="n">
        <x:v>52</x:v>
      </x:c>
      <x:c r="K1727" s="47" t="n">
        <x:v>-25632</x:v>
      </x:c>
      <x:c r="L1727" s="47" t="n">
        <x:v>25632</x:v>
      </x:c>
      <x:c r="M1727" s="48" t="n">
        <x:v>2.716666666666667</x:v>
      </x:c>
      <x:c r="N1727" s="48" t="n">
        <x:v>353.98333333333335</x:v>
      </x:c>
      <x:c r="O1727" s="49" t="n">
        <x:v>2</x:v>
      </x:c>
      <x:c r="P1727" s="1" t="str">
        <x:v>中期支持中は短期逆行を保持・標準</x:v>
      </x:c>
      <x:c r="Q1727" s="49" t="n">
        <x:v>0</x:v>
      </x:c>
      <x:c r="R1727" s="50" t="n">
        <x:v>0.8428174603174603</x:v>
      </x:c>
      <x:c r="S1727" s="50" t="n">
        <x:v>0.8428174603174603</x:v>
      </x:c>
      <x:c r="T1727" s="1" t="str">
        <x:v>デイ</x:v>
      </x:c>
      <x:c r="U1727" s="49" t="n">
        <x:v>1</x:v>
      </x:c>
    </x:row>
    <x:row r="1728" ht="22" customHeight="1">
      <x:c r="A1728" s="1" t="str">
        <x:v>TOPIXmini</x:v>
      </x:c>
      <x:c r="B1728" s="1" t="str">
        <x:v>P03</x:v>
      </x:c>
      <x:c r="C1728" s="1" t="str">
        <x:v>診断3場</x:v>
      </x:c>
      <x:c r="D1728" s="47" t="n">
        <x:v>284190</x:v>
      </x:c>
      <x:c r="E1728" s="47" t="n">
        <x:v>374118</x:v>
      </x:c>
      <x:c r="F1728" s="47" t="n">
        <x:f>D1728-E1728</x:f>
        <x:v>-89928</x:v>
      </x:c>
      <x:c r="G1728" s="49" t="n">
        <x:v>0</x:v>
      </x:c>
      <x:c r="H1728" s="49" t="n">
        <x:v>2</x:v>
      </x:c>
      <x:c r="I1728" s="47" t="n">
        <x:v>-89928</x:v>
      </x:c>
      <x:c r="J1728" s="49" t="n">
        <x:v>108</x:v>
      </x:c>
      <x:c r="K1728" s="47" t="n">
        <x:v>-64300</x:v>
      </x:c>
      <x:c r="L1728" s="47" t="n">
        <x:v>44964</x:v>
      </x:c>
      <x:c r="M1728" s="48" t="n">
        <x:v>3.1166666666666667</x:v>
      </x:c>
      <x:c r="N1728" s="48" t="n">
        <x:v>567.975</x:v>
      </x:c>
      <x:c r="O1728" s="49" t="n">
        <x:v>2</x:v>
      </x:c>
      <x:c r="P1728" s="1" t="str">
        <x:v>中期支持中は短期逆行を保持・標準</x:v>
      </x:c>
      <x:c r="Q1728" s="49" t="n">
        <x:v>0</x:v>
      </x:c>
      <x:c r="R1728" s="50" t="n">
        <x:v>0.728173076923077</x:v>
      </x:c>
      <x:c r="S1728" s="50" t="n">
        <x:v>0.728173076923077</x:v>
      </x:c>
      <x:c r="T1728" s="1" t="str">
        <x:v>ナイト</x:v>
      </x:c>
      <x:c r="U1728" s="49" t="n">
        <x:v>2</x:v>
      </x:c>
    </x:row>
    <x:row r="1729" ht="22" customHeight="1">
      <x:c r="A1729" s="1" t="str">
        <x:v>TOPIXmini</x:v>
      </x:c>
      <x:c r="B1729" s="1" t="str">
        <x:v>P03</x:v>
      </x:c>
      <x:c r="C1729" s="1" t="str">
        <x:v>診断3場</x:v>
      </x:c>
      <x:c r="D1729" s="47" t="n">
        <x:v>141676</x:v>
      </x:c>
      <x:c r="E1729" s="47" t="n">
        <x:v>205976</x:v>
      </x:c>
      <x:c r="F1729" s="47" t="n">
        <x:f>D1729-E1729</x:f>
        <x:v>-64300</x:v>
      </x:c>
      <x:c r="G1729" s="49" t="n">
        <x:v>0</x:v>
      </x:c>
      <x:c r="H1729" s="49" t="n">
        <x:v>1</x:v>
      </x:c>
      <x:c r="I1729" s="47" t="n">
        <x:v>-64300</x:v>
      </x:c>
      <x:c r="J1729" s="49" t="n">
        <x:v>50</x:v>
      </x:c>
      <x:c r="K1729" s="47" t="n">
        <x:v>-64300</x:v>
      </x:c>
      <x:c r="L1729" s="47" t="n">
        <x:v>64300</x:v>
      </x:c>
      <x:c r="M1729" s="48" t="n">
        <x:v>2.2333333333333334</x:v>
      </x:c>
      <x:c r="N1729" s="48" t="n">
        <x:v>549.6333333333333</x:v>
      </x:c>
      <x:c r="O1729" s="49" t="n">
        <x:v>2</x:v>
      </x:c>
      <x:c r="P1729" s="1" t="str">
        <x:v>中期支持中は短期逆行を保持・標準</x:v>
      </x:c>
      <x:c r="Q1729" s="49" t="n">
        <x:v>0</x:v>
      </x:c>
      <x:c r="R1729" s="50" t="n">
        <x:v>0.7046581196581196</x:v>
      </x:c>
      <x:c r="S1729" s="50" t="n">
        <x:v>0.7046581196581196</x:v>
      </x:c>
      <x:c r="T1729" s="1" t="str">
        <x:v>上昇</x:v>
      </x:c>
      <x:c r="U1729" s="49" t="n">
        <x:v>1</x:v>
      </x:c>
    </x:row>
    <x:row r="1730" ht="22" customHeight="1">
      <x:c r="A1730" s="1" t="str">
        <x:v>TOPIXmini</x:v>
      </x:c>
      <x:c r="B1730" s="1" t="str">
        <x:v>P03</x:v>
      </x:c>
      <x:c r="C1730" s="1" t="str">
        <x:v>診断3場</x:v>
      </x:c>
      <x:c r="D1730" s="47" t="n">
        <x:v>357692</x:v>
      </x:c>
      <x:c r="E1730" s="47" t="n">
        <x:v>408952</x:v>
      </x:c>
      <x:c r="F1730" s="47" t="n">
        <x:f>D1730-E1730</x:f>
        <x:v>-51260</x:v>
      </x:c>
      <x:c r="G1730" s="49" t="n">
        <x:v>0</x:v>
      </x:c>
      <x:c r="H1730" s="49" t="n">
        <x:v>2</x:v>
      </x:c>
      <x:c r="I1730" s="47" t="n">
        <x:v>-51260</x:v>
      </x:c>
      <x:c r="J1730" s="49" t="n">
        <x:v>110</x:v>
      </x:c>
      <x:c r="K1730" s="47" t="n">
        <x:v>-25632</x:v>
      </x:c>
      <x:c r="L1730" s="47" t="n">
        <x:v>25630</x:v>
      </x:c>
      <x:c r="M1730" s="48" t="n">
        <x:v>3.3583333333333334</x:v>
      </x:c>
      <x:c r="N1730" s="48" t="n">
        <x:v>470.15000000000003</x:v>
      </x:c>
      <x:c r="O1730" s="49" t="n">
        <x:v>2</x:v>
      </x:c>
      <x:c r="P1730" s="1" t="str">
        <x:v>中期支持中は短期逆行を保持・標準</x:v>
      </x:c>
      <x:c r="Q1730" s="49" t="n">
        <x:v>0</x:v>
      </x:c>
      <x:c r="R1730" s="50" t="n">
        <x:v>0.7972527472527473</x:v>
      </x:c>
      <x:c r="S1730" s="50" t="n">
        <x:v>0.7835833333333334</x:v>
      </x:c>
      <x:c r="T1730" s="1" t="str">
        <x:v>下落</x:v>
      </x:c>
      <x:c r="U1730" s="49" t="n">
        <x:v>2</x:v>
      </x:c>
    </x:row>
    <x:row r="1731" ht="22" customHeight="1">
      <x:c r="A1731" s="1" t="str">
        <x:v>TOPIXmini</x:v>
      </x:c>
      <x:c r="B1731" s="1" t="str">
        <x:v>P04</x:v>
      </x:c>
      <x:c r="C1731" s="1" t="str">
        <x:v>全50場</x:v>
      </x:c>
      <x:c r="D1731" s="47" t="n">
        <x:v>4253680</x:v>
      </x:c>
      <x:c r="E1731" s="47" t="n">
        <x:v>7225768</x:v>
      </x:c>
      <x:c r="F1731" s="47" t="n">
        <x:f>D1731-E1731</x:f>
        <x:v>-2972088</x:v>
      </x:c>
      <x:c r="G1731" s="49" t="n">
        <x:v>7</x:v>
      </x:c>
      <x:c r="H1731" s="49" t="n">
        <x:v>43</x:v>
      </x:c>
      <x:c r="I1731" s="47" t="n">
        <x:v>-3046678</x:v>
      </x:c>
      <x:c r="J1731" s="49" t="n">
        <x:v>1868</x:v>
      </x:c>
      <x:c r="K1731" s="47" t="n">
        <x:v>-182138</x:v>
      </x:c>
      <x:c r="L1731" s="47" t="n">
        <x:v>71312.04651162791</x:v>
      </x:c>
      <x:c r="M1731" s="48" t="n">
        <x:v>5.403666666666667</x:v>
      </x:c>
      <x:c r="N1731" s="48" t="n">
        <x:v>453.0863333333334</x:v>
      </x:c>
      <x:c r="O1731" s="49" t="n">
        <x:v>2</x:v>
      </x:c>
      <x:c r="P1731" s="1" t="str">
        <x:v>中期支持中は短期逆行を保持・広め</x:v>
      </x:c>
      <x:c r="Q1731" s="49" t="n">
        <x:v>0</x:v>
      </x:c>
      <x:c r="R1731" s="50" t="n">
        <x:v>0.7613714896214896</x:v>
      </x:c>
      <x:c r="S1731" s="50" t="n">
        <x:v>0.7551438888888888</x:v>
      </x:c>
      <x:c r="T1731" s="1" t="str">
        <x:v>全場</x:v>
      </x:c>
      <x:c r="U1731" s="49" t="n">
        <x:v>50</x:v>
      </x:c>
    </x:row>
    <x:row r="1732" ht="22" customHeight="1">
      <x:c r="A1732" s="1" t="str">
        <x:v>TOPIXmini</x:v>
      </x:c>
      <x:c r="B1732" s="1" t="str">
        <x:v>P04</x:v>
      </x:c>
      <x:c r="C1732" s="1" t="str">
        <x:v>全50場</x:v>
      </x:c>
      <x:c r="D1732" s="47" t="n">
        <x:v>2027674</x:v>
      </x:c>
      <x:c r="E1732" s="47" t="n">
        <x:v>3876844</x:v>
      </x:c>
      <x:c r="F1732" s="47" t="n">
        <x:f>D1732-E1732</x:f>
        <x:v>-1849170</x:v>
      </x:c>
      <x:c r="G1732" s="49" t="n">
        <x:v>2</x:v>
      </x:c>
      <x:c r="H1732" s="49" t="n">
        <x:v>23</x:v>
      </x:c>
      <x:c r="I1732" s="47" t="n">
        <x:v>-1897898</x:v>
      </x:c>
      <x:c r="J1732" s="49" t="n">
        <x:v>995</x:v>
      </x:c>
      <x:c r="K1732" s="47" t="n">
        <x:v>-182138</x:v>
      </x:c>
      <x:c r="L1732" s="47" t="n">
        <x:v>82517.30434782608</x:v>
      </x:c>
      <x:c r="M1732" s="48" t="n">
        <x:v>4.675333333333333</x:v>
      </x:c>
      <x:c r="N1732" s="48" t="n">
        <x:v>328.49466666666666</x:v>
      </x:c>
      <x:c r="O1732" s="49" t="n">
        <x:v>2</x:v>
      </x:c>
      <x:c r="P1732" s="1" t="str">
        <x:v>中期支持中は短期逆行を保持・広め</x:v>
      </x:c>
      <x:c r="Q1732" s="49" t="n">
        <x:v>0</x:v>
      </x:c>
      <x:c r="R1732" s="50" t="n">
        <x:v>0.7821301587301588</x:v>
      </x:c>
      <x:c r="S1732" s="50" t="n">
        <x:v>0.7821301587301588</x:v>
      </x:c>
      <x:c r="T1732" s="1" t="str">
        <x:v>デイ</x:v>
      </x:c>
      <x:c r="U1732" s="49" t="n">
        <x:v>25</x:v>
      </x:c>
    </x:row>
    <x:row r="1733" ht="22" customHeight="1">
      <x:c r="A1733" s="1" t="str">
        <x:v>TOPIXmini</x:v>
      </x:c>
      <x:c r="B1733" s="1" t="str">
        <x:v>P04</x:v>
      </x:c>
      <x:c r="C1733" s="1" t="str">
        <x:v>全50場</x:v>
      </x:c>
      <x:c r="D1733" s="47" t="n">
        <x:v>2226006</x:v>
      </x:c>
      <x:c r="E1733" s="47" t="n">
        <x:v>3348924</x:v>
      </x:c>
      <x:c r="F1733" s="47" t="n">
        <x:f>D1733-E1733</x:f>
        <x:v>-1122918</x:v>
      </x:c>
      <x:c r="G1733" s="49" t="n">
        <x:v>5</x:v>
      </x:c>
      <x:c r="H1733" s="49" t="n">
        <x:v>20</x:v>
      </x:c>
      <x:c r="I1733" s="47" t="n">
        <x:v>-1166796</x:v>
      </x:c>
      <x:c r="J1733" s="49" t="n">
        <x:v>873</x:v>
      </x:c>
      <x:c r="K1733" s="47" t="n">
        <x:v>-161806</x:v>
      </x:c>
      <x:c r="L1733" s="47" t="n">
        <x:v>58426</x:v>
      </x:c>
      <x:c r="M1733" s="48" t="n">
        <x:v>6.132</x:v>
      </x:c>
      <x:c r="N1733" s="48" t="n">
        <x:v>577.678</x:v>
      </x:c>
      <x:c r="O1733" s="49" t="n">
        <x:v>2</x:v>
      </x:c>
      <x:c r="P1733" s="1" t="str">
        <x:v>中期支持中は短期逆行を保持・広め</x:v>
      </x:c>
      <x:c r="Q1733" s="49" t="n">
        <x:v>0</x:v>
      </x:c>
      <x:c r="R1733" s="50" t="n">
        <x:v>0.7406128205128206</x:v>
      </x:c>
      <x:c r="S1733" s="50" t="n">
        <x:v>0.7406128205128205</x:v>
      </x:c>
      <x:c r="T1733" s="1" t="str">
        <x:v>ナイト</x:v>
      </x:c>
      <x:c r="U1733" s="49" t="n">
        <x:v>25</x:v>
      </x:c>
    </x:row>
    <x:row r="1734" ht="22" customHeight="1">
      <x:c r="A1734" s="1" t="str">
        <x:v>TOPIXmini</x:v>
      </x:c>
      <x:c r="B1734" s="1" t="str">
        <x:v>P04</x:v>
      </x:c>
      <x:c r="C1734" s="1" t="str">
        <x:v>全50場</x:v>
      </x:c>
      <x:c r="D1734" s="47" t="n">
        <x:v>1927836</x:v>
      </x:c>
      <x:c r="E1734" s="47" t="n">
        <x:v>3506086</x:v>
      </x:c>
      <x:c r="F1734" s="47" t="n">
        <x:f>D1734-E1734</x:f>
        <x:v>-1578250</x:v>
      </x:c>
      <x:c r="G1734" s="49" t="n">
        <x:v>2</x:v>
      </x:c>
      <x:c r="H1734" s="49" t="n">
        <x:v>23</x:v>
      </x:c>
      <x:c r="I1734" s="47" t="n">
        <x:v>-1593286</x:v>
      </x:c>
      <x:c r="J1734" s="49" t="n">
        <x:v>875</x:v>
      </x:c>
      <x:c r="K1734" s="47" t="n">
        <x:v>-182138</x:v>
      </x:c>
      <x:c r="L1734" s="47" t="n">
        <x:v>69273.30434782608</x:v>
      </x:c>
      <x:c r="M1734" s="48" t="n">
        <x:v>4.252666666666667</x:v>
      </x:c>
      <x:c r="N1734" s="48" t="n">
        <x:v>458.056</x:v>
      </x:c>
      <x:c r="O1734" s="49" t="n">
        <x:v>2</x:v>
      </x:c>
      <x:c r="P1734" s="1" t="str">
        <x:v>中期支持中は短期逆行を保持・広め</x:v>
      </x:c>
      <x:c r="Q1734" s="49" t="n">
        <x:v>0</x:v>
      </x:c>
      <x:c r="R1734" s="50" t="n">
        <x:v>0.7599699633699635</x:v>
      </x:c>
      <x:c r="S1734" s="50" t="n">
        <x:v>0.7543741765480896</x:v>
      </x:c>
      <x:c r="T1734" s="1" t="str">
        <x:v>上昇</x:v>
      </x:c>
      <x:c r="U1734" s="49" t="n">
        <x:v>25</x:v>
      </x:c>
    </x:row>
    <x:row r="1735" ht="22" customHeight="1">
      <x:c r="A1735" s="1" t="str">
        <x:v>TOPIXmini</x:v>
      </x:c>
      <x:c r="B1735" s="1" t="str">
        <x:v>P04</x:v>
      </x:c>
      <x:c r="C1735" s="1" t="str">
        <x:v>全50場</x:v>
      </x:c>
      <x:c r="D1735" s="47" t="n">
        <x:v>2325844</x:v>
      </x:c>
      <x:c r="E1735" s="47" t="n">
        <x:v>3719682</x:v>
      </x:c>
      <x:c r="F1735" s="47" t="n">
        <x:f>D1735-E1735</x:f>
        <x:v>-1393838</x:v>
      </x:c>
      <x:c r="G1735" s="49" t="n">
        <x:v>5</x:v>
      </x:c>
      <x:c r="H1735" s="49" t="n">
        <x:v>20</x:v>
      </x:c>
      <x:c r="I1735" s="47" t="n">
        <x:v>-1468428</x:v>
      </x:c>
      <x:c r="J1735" s="49" t="n">
        <x:v>993</x:v>
      </x:c>
      <x:c r="K1735" s="47" t="n">
        <x:v>-167636</x:v>
      </x:c>
      <x:c r="L1735" s="47" t="n">
        <x:v>73656.6</x:v>
      </x:c>
      <x:c r="M1735" s="48" t="n">
        <x:v>6.554666666666667</x:v>
      </x:c>
      <x:c r="N1735" s="48" t="n">
        <x:v>448.11666666666673</x:v>
      </x:c>
      <x:c r="O1735" s="49" t="n">
        <x:v>2</x:v>
      </x:c>
      <x:c r="P1735" s="1" t="str">
        <x:v>中期支持中は短期逆行を保持・広め</x:v>
      </x:c>
      <x:c r="Q1735" s="49" t="n">
        <x:v>0</x:v>
      </x:c>
      <x:c r="R1735" s="50" t="n">
        <x:v>0.7627730158730158</x:v>
      </x:c>
      <x:c r="S1735" s="50" t="n">
        <x:v>0.7559322986954565</x:v>
      </x:c>
      <x:c r="T1735" s="1" t="str">
        <x:v>下落</x:v>
      </x:c>
      <x:c r="U1735" s="49" t="n">
        <x:v>25</x:v>
      </x:c>
    </x:row>
    <x:row r="1736" ht="22" customHeight="1">
      <x:c r="A1736" s="1" t="str">
        <x:v>TOPIXmini</x:v>
      </x:c>
      <x:c r="B1736" s="1" t="str">
        <x:v>P04</x:v>
      </x:c>
      <x:c r="C1736" s="1" t="str">
        <x:v>対照47場</x:v>
      </x:c>
      <x:c r="D1736" s="47" t="n">
        <x:v>3807648</x:v>
      </x:c>
      <x:c r="E1736" s="47" t="n">
        <x:v>6714662</x:v>
      </x:c>
      <x:c r="F1736" s="47" t="n">
        <x:f>D1736-E1736</x:f>
        <x:v>-2907014</x:v>
      </x:c>
      <x:c r="G1736" s="49" t="n">
        <x:v>7</x:v>
      </x:c>
      <x:c r="H1736" s="49" t="n">
        <x:v>40</x:v>
      </x:c>
      <x:c r="I1736" s="47" t="n">
        <x:v>-2981604</x:v>
      </x:c>
      <x:c r="J1736" s="49" t="n">
        <x:v>1729</x:v>
      </x:c>
      <x:c r="K1736" s="47" t="n">
        <x:v>-182138</x:v>
      </x:c>
      <x:c r="L1736" s="47" t="n">
        <x:v>75033.6</x:v>
      </x:c>
      <x:c r="M1736" s="48" t="n">
        <x:v>5.558156028368795</x:v>
      </x:c>
      <x:c r="N1736" s="48" t="n">
        <x:v>447.64964539007093</x:v>
      </x:c>
      <x:c r="O1736" s="49" t="n">
        <x:v>2</x:v>
      </x:c>
      <x:c r="P1736" s="1" t="str">
        <x:v>中期支持中は短期逆行を保持・広め</x:v>
      </x:c>
      <x:c r="Q1736" s="49" t="n">
        <x:v>0</x:v>
      </x:c>
      <x:c r="R1736" s="50" t="n">
        <x:v>0.7575634530953682</x:v>
      </x:c>
      <x:c r="S1736" s="50" t="n">
        <x:v>0.7508755650725671</x:v>
      </x:c>
      <x:c r="T1736" s="1" t="str">
        <x:v>全場</x:v>
      </x:c>
      <x:c r="U1736" s="49" t="n">
        <x:v>47</x:v>
      </x:c>
    </x:row>
    <x:row r="1737" ht="22" customHeight="1">
      <x:c r="A1737" s="1" t="str">
        <x:v>TOPIXmini</x:v>
      </x:c>
      <x:c r="B1737" s="1" t="str">
        <x:v>P04</x:v>
      </x:c>
      <x:c r="C1737" s="1" t="str">
        <x:v>対照47場</x:v>
      </x:c>
      <x:c r="D1737" s="47" t="n">
        <x:v>1830496</x:v>
      </x:c>
      <x:c r="E1737" s="47" t="n">
        <x:v>3668366</x:v>
      </x:c>
      <x:c r="F1737" s="47" t="n">
        <x:f>D1737-E1737</x:f>
        <x:v>-1837870</x:v>
      </x:c>
      <x:c r="G1737" s="49" t="n">
        <x:v>2</x:v>
      </x:c>
      <x:c r="H1737" s="49" t="n">
        <x:v>22</x:v>
      </x:c>
      <x:c r="I1737" s="47" t="n">
        <x:v>-1886598</x:v>
      </x:c>
      <x:c r="J1737" s="49" t="n">
        <x:v>945</x:v>
      </x:c>
      <x:c r="K1737" s="47" t="n">
        <x:v>-182138</x:v>
      </x:c>
      <x:c r="L1737" s="47" t="n">
        <x:v>85754.45454545454</x:v>
      </x:c>
      <x:c r="M1737" s="48" t="n">
        <x:v>4.756944444444444</x:v>
      </x:c>
      <x:c r="N1737" s="48" t="n">
        <x:v>327.2861111111111</x:v>
      </x:c>
      <x:c r="O1737" s="49" t="n">
        <x:v>2</x:v>
      </x:c>
      <x:c r="P1737" s="1" t="str">
        <x:v>中期支持中は短期逆行を保持・広め</x:v>
      </x:c>
      <x:c r="Q1737" s="49" t="n">
        <x:v>0</x:v>
      </x:c>
      <x:c r="R1737" s="50" t="n">
        <x:v>0.7792526455026456</x:v>
      </x:c>
      <x:c r="S1737" s="50" t="n">
        <x:v>0.7792526455026455</x:v>
      </x:c>
      <x:c r="T1737" s="1" t="str">
        <x:v>デイ</x:v>
      </x:c>
      <x:c r="U1737" s="49" t="n">
        <x:v>24</x:v>
      </x:c>
    </x:row>
    <x:row r="1738" ht="22" customHeight="1">
      <x:c r="A1738" s="1" t="str">
        <x:v>TOPIXmini</x:v>
      </x:c>
      <x:c r="B1738" s="1" t="str">
        <x:v>P04</x:v>
      </x:c>
      <x:c r="C1738" s="1" t="str">
        <x:v>対照47場</x:v>
      </x:c>
      <x:c r="D1738" s="47" t="n">
        <x:v>1977152</x:v>
      </x:c>
      <x:c r="E1738" s="47" t="n">
        <x:v>3046296</x:v>
      </x:c>
      <x:c r="F1738" s="47" t="n">
        <x:f>D1738-E1738</x:f>
        <x:v>-1069144</x:v>
      </x:c>
      <x:c r="G1738" s="49" t="n">
        <x:v>5</x:v>
      </x:c>
      <x:c r="H1738" s="49" t="n">
        <x:v>18</x:v>
      </x:c>
      <x:c r="I1738" s="47" t="n">
        <x:v>-1113022</x:v>
      </x:c>
      <x:c r="J1738" s="49" t="n">
        <x:v>784</x:v>
      </x:c>
      <x:c r="K1738" s="47" t="n">
        <x:v>-161806</x:v>
      </x:c>
      <x:c r="L1738" s="47" t="n">
        <x:v>61930.333333333336</x:v>
      </x:c>
      <x:c r="M1738" s="48" t="n">
        <x:v>6.394202898550725</x:v>
      </x:c>
      <x:c r="N1738" s="48" t="n">
        <x:v>573.2463768115942</x:v>
      </x:c>
      <x:c r="O1738" s="49" t="n">
        <x:v>2</x:v>
      </x:c>
      <x:c r="P1738" s="1" t="str">
        <x:v>中期支持中は短期逆行を保持・広め</x:v>
      </x:c>
      <x:c r="Q1738" s="49" t="n">
        <x:v>0</x:v>
      </x:c>
      <x:c r="R1738" s="50" t="n">
        <x:v>0.7349312523225567</x:v>
      </x:c>
      <x:c r="S1738" s="50" t="n">
        <x:v>0.7349312523225566</x:v>
      </x:c>
      <x:c r="T1738" s="1" t="str">
        <x:v>ナイト</x:v>
      </x:c>
      <x:c r="U1738" s="49" t="n">
        <x:v>23</x:v>
      </x:c>
    </x:row>
    <x:row r="1739" ht="22" customHeight="1">
      <x:c r="A1739" s="1" t="str">
        <x:v>TOPIXmini</x:v>
      </x:c>
      <x:c r="B1739" s="1" t="str">
        <x:v>P04</x:v>
      </x:c>
      <x:c r="C1739" s="1" t="str">
        <x:v>対照47場</x:v>
      </x:c>
      <x:c r="D1739" s="47" t="n">
        <x:v>1783828</x:v>
      </x:c>
      <x:c r="E1739" s="47" t="n">
        <x:v>3353604</x:v>
      </x:c>
      <x:c r="F1739" s="47" t="n">
        <x:f>D1739-E1739</x:f>
        <x:v>-1569776</x:v>
      </x:c>
      <x:c r="G1739" s="49" t="n">
        <x:v>2</x:v>
      </x:c>
      <x:c r="H1739" s="49" t="n">
        <x:v>22</x:v>
      </x:c>
      <x:c r="I1739" s="47" t="n">
        <x:v>-1584812</x:v>
      </x:c>
      <x:c r="J1739" s="49" t="n">
        <x:v>836</x:v>
      </x:c>
      <x:c r="K1739" s="47" t="n">
        <x:v>-182138</x:v>
      </x:c>
      <x:c r="L1739" s="47" t="n">
        <x:v>72036.90909090909</x:v>
      </x:c>
      <x:c r="M1739" s="48" t="n">
        <x:v>4.336805555555556</x:v>
      </x:c>
      <x:c r="N1739" s="48" t="n">
        <x:v>450.2076388888889</x:v>
      </x:c>
      <x:c r="O1739" s="49" t="n">
        <x:v>2</x:v>
      </x:c>
      <x:c r="P1739" s="1" t="str">
        <x:v>中期支持中は短期逆行を保持・広め</x:v>
      </x:c>
      <x:c r="Q1739" s="49" t="n">
        <x:v>0</x:v>
      </x:c>
      <x:c r="R1739" s="50" t="n">
        <x:v>0.7571045736670737</x:v>
      </x:c>
      <x:c r="S1739" s="50" t="n">
        <x:v>0.7503460648148148</x:v>
      </x:c>
      <x:c r="T1739" s="1" t="str">
        <x:v>上昇</x:v>
      </x:c>
      <x:c r="U1739" s="49" t="n">
        <x:v>24</x:v>
      </x:c>
    </x:row>
    <x:row r="1740" ht="22" customHeight="1">
      <x:c r="A1740" s="1" t="str">
        <x:v>TOPIXmini</x:v>
      </x:c>
      <x:c r="B1740" s="1" t="str">
        <x:v>P04</x:v>
      </x:c>
      <x:c r="C1740" s="1" t="str">
        <x:v>対照47場</x:v>
      </x:c>
      <x:c r="D1740" s="47" t="n">
        <x:v>2023820</x:v>
      </x:c>
      <x:c r="E1740" s="47" t="n">
        <x:v>3361058</x:v>
      </x:c>
      <x:c r="F1740" s="47" t="n">
        <x:f>D1740-E1740</x:f>
        <x:v>-1337238</x:v>
      </x:c>
      <x:c r="G1740" s="49" t="n">
        <x:v>5</x:v>
      </x:c>
      <x:c r="H1740" s="49" t="n">
        <x:v>18</x:v>
      </x:c>
      <x:c r="I1740" s="47" t="n">
        <x:v>-1411828</x:v>
      </x:c>
      <x:c r="J1740" s="49" t="n">
        <x:v>893</x:v>
      </x:c>
      <x:c r="K1740" s="47" t="n">
        <x:v>-167636</x:v>
      </x:c>
      <x:c r="L1740" s="47" t="n">
        <x:v>78696.22222222222</x:v>
      </x:c>
      <x:c r="M1740" s="48" t="n">
        <x:v>6.832608695652173</x:v>
      </x:c>
      <x:c r="N1740" s="48" t="n">
        <x:v>444.98043478260865</x:v>
      </x:c>
      <x:c r="O1740" s="49" t="n">
        <x:v>2</x:v>
      </x:c>
      <x:c r="P1740" s="1" t="str">
        <x:v>中期支持中は短期逆行を保持・広め</x:v>
      </x:c>
      <x:c r="Q1740" s="49" t="n">
        <x:v>0</x:v>
      </x:c>
      <x:c r="R1740" s="50" t="n">
        <x:v>0.7580422838031534</x:v>
      </x:c>
      <x:c r="S1740" s="50" t="n">
        <x:v>0.751435389133627</x:v>
      </x:c>
      <x:c r="T1740" s="1" t="str">
        <x:v>下落</x:v>
      </x:c>
      <x:c r="U1740" s="49" t="n">
        <x:v>23</x:v>
      </x:c>
    </x:row>
    <x:row r="1741" ht="22" customHeight="1">
      <x:c r="A1741" s="1" t="str">
        <x:v>TOPIXmini</x:v>
      </x:c>
      <x:c r="B1741" s="1" t="str">
        <x:v>P04</x:v>
      </x:c>
      <x:c r="C1741" s="1" t="str">
        <x:v>診断3場</x:v>
      </x:c>
      <x:c r="D1741" s="47" t="n">
        <x:v>446032</x:v>
      </x:c>
      <x:c r="E1741" s="47" t="n">
        <x:v>511106</x:v>
      </x:c>
      <x:c r="F1741" s="47" t="n">
        <x:f>D1741-E1741</x:f>
        <x:v>-65074</x:v>
      </x:c>
      <x:c r="G1741" s="49" t="n">
        <x:v>0</x:v>
      </x:c>
      <x:c r="H1741" s="49" t="n">
        <x:v>3</x:v>
      </x:c>
      <x:c r="I1741" s="47" t="n">
        <x:v>-65074</x:v>
      </x:c>
      <x:c r="J1741" s="49" t="n">
        <x:v>139</x:v>
      </x:c>
      <x:c r="K1741" s="47" t="n">
        <x:v>-45300</x:v>
      </x:c>
      <x:c r="L1741" s="47" t="n">
        <x:v>21691.333333333332</x:v>
      </x:c>
      <x:c r="M1741" s="48" t="n">
        <x:v>2.983333333333333</x:v>
      </x:c>
      <x:c r="N1741" s="48" t="n">
        <x:v>538.2611111111111</x:v>
      </x:c>
      <x:c r="O1741" s="49" t="n">
        <x:v>2</x:v>
      </x:c>
      <x:c r="P1741" s="1" t="str">
        <x:v>中期支持中は短期逆行を保持・広め</x:v>
      </x:c>
      <x:c r="Q1741" s="49" t="n">
        <x:v>0</x:v>
      </x:c>
      <x:c r="R1741" s="50" t="n">
        <x:v>0.8210307285307286</x:v>
      </x:c>
      <x:c r="S1741" s="50" t="n">
        <x:v>0.8155471380471381</x:v>
      </x:c>
      <x:c r="T1741" s="1" t="str">
        <x:v>全場</x:v>
      </x:c>
      <x:c r="U1741" s="49" t="n">
        <x:v>3</x:v>
      </x:c>
    </x:row>
    <x:row r="1742" ht="22" customHeight="1">
      <x:c r="A1742" s="1" t="str">
        <x:v>TOPIXmini</x:v>
      </x:c>
      <x:c r="B1742" s="1" t="str">
        <x:v>P04</x:v>
      </x:c>
      <x:c r="C1742" s="1" t="str">
        <x:v>診断3場</x:v>
      </x:c>
      <x:c r="D1742" s="47" t="n">
        <x:v>197178</x:v>
      </x:c>
      <x:c r="E1742" s="47" t="n">
        <x:v>208478</x:v>
      </x:c>
      <x:c r="F1742" s="47" t="n">
        <x:f>D1742-E1742</x:f>
        <x:v>-11300</x:v>
      </x:c>
      <x:c r="G1742" s="49" t="n">
        <x:v>0</x:v>
      </x:c>
      <x:c r="H1742" s="49" t="n">
        <x:v>1</x:v>
      </x:c>
      <x:c r="I1742" s="47" t="n">
        <x:v>-11300</x:v>
      </x:c>
      <x:c r="J1742" s="49" t="n">
        <x:v>50</x:v>
      </x:c>
      <x:c r="K1742" s="47" t="n">
        <x:v>-11300</x:v>
      </x:c>
      <x:c r="L1742" s="47" t="n">
        <x:v>11300</x:v>
      </x:c>
      <x:c r="M1742" s="48" t="n">
        <x:v>2.716666666666667</x:v>
      </x:c>
      <x:c r="N1742" s="48" t="n">
        <x:v>357.5</x:v>
      </x:c>
      <x:c r="O1742" s="49" t="n">
        <x:v>2</x:v>
      </x:c>
      <x:c r="P1742" s="1" t="str">
        <x:v>中期支持中は短期逆行を保持・広め</x:v>
      </x:c>
      <x:c r="Q1742" s="49" t="n">
        <x:v>0</x:v>
      </x:c>
      <x:c r="R1742" s="50" t="n">
        <x:v>0.8511904761904762</x:v>
      </x:c>
      <x:c r="S1742" s="50" t="n">
        <x:v>0.8511904761904762</x:v>
      </x:c>
      <x:c r="T1742" s="1" t="str">
        <x:v>デイ</x:v>
      </x:c>
      <x:c r="U1742" s="49" t="n">
        <x:v>1</x:v>
      </x:c>
    </x:row>
    <x:row r="1743" ht="22" customHeight="1">
      <x:c r="A1743" s="1" t="str">
        <x:v>TOPIXmini</x:v>
      </x:c>
      <x:c r="B1743" s="1" t="str">
        <x:v>P04</x:v>
      </x:c>
      <x:c r="C1743" s="1" t="str">
        <x:v>診断3場</x:v>
      </x:c>
      <x:c r="D1743" s="47" t="n">
        <x:v>248854</x:v>
      </x:c>
      <x:c r="E1743" s="47" t="n">
        <x:v>302628</x:v>
      </x:c>
      <x:c r="F1743" s="47" t="n">
        <x:f>D1743-E1743</x:f>
        <x:v>-53774</x:v>
      </x:c>
      <x:c r="G1743" s="49" t="n">
        <x:v>0</x:v>
      </x:c>
      <x:c r="H1743" s="49" t="n">
        <x:v>2</x:v>
      </x:c>
      <x:c r="I1743" s="47" t="n">
        <x:v>-53774</x:v>
      </x:c>
      <x:c r="J1743" s="49" t="n">
        <x:v>89</x:v>
      </x:c>
      <x:c r="K1743" s="47" t="n">
        <x:v>-45300</x:v>
      </x:c>
      <x:c r="L1743" s="47" t="n">
        <x:v>26887</x:v>
      </x:c>
      <x:c r="M1743" s="48" t="n">
        <x:v>3.1166666666666667</x:v>
      </x:c>
      <x:c r="N1743" s="48" t="n">
        <x:v>628.6416666666667</x:v>
      </x:c>
      <x:c r="O1743" s="49" t="n">
        <x:v>2</x:v>
      </x:c>
      <x:c r="P1743" s="1" t="str">
        <x:v>中期支持中は短期逆行を保持・広め</x:v>
      </x:c>
      <x:c r="Q1743" s="49" t="n">
        <x:v>0</x:v>
      </x:c>
      <x:c r="R1743" s="50" t="n">
        <x:v>0.8059508547008547</x:v>
      </x:c>
      <x:c r="S1743" s="50" t="n">
        <x:v>0.8059508547008547</x:v>
      </x:c>
      <x:c r="T1743" s="1" t="str">
        <x:v>ナイト</x:v>
      </x:c>
      <x:c r="U1743" s="49" t="n">
        <x:v>2</x:v>
      </x:c>
    </x:row>
    <x:row r="1744" ht="22" customHeight="1">
      <x:c r="A1744" s="1" t="str">
        <x:v>TOPIXmini</x:v>
      </x:c>
      <x:c r="B1744" s="1" t="str">
        <x:v>P04</x:v>
      </x:c>
      <x:c r="C1744" s="1" t="str">
        <x:v>診断3場</x:v>
      </x:c>
      <x:c r="D1744" s="47" t="n">
        <x:v>144008</x:v>
      </x:c>
      <x:c r="E1744" s="47" t="n">
        <x:v>152482</x:v>
      </x:c>
      <x:c r="F1744" s="47" t="n">
        <x:f>D1744-E1744</x:f>
        <x:v>-8474</x:v>
      </x:c>
      <x:c r="G1744" s="49" t="n">
        <x:v>0</x:v>
      </x:c>
      <x:c r="H1744" s="49" t="n">
        <x:v>1</x:v>
      </x:c>
      <x:c r="I1744" s="47" t="n">
        <x:v>-8474</x:v>
      </x:c>
      <x:c r="J1744" s="49" t="n">
        <x:v>39</x:v>
      </x:c>
      <x:c r="K1744" s="47" t="n">
        <x:v>-8474</x:v>
      </x:c>
      <x:c r="L1744" s="47" t="n">
        <x:v>8474</x:v>
      </x:c>
      <x:c r="M1744" s="48" t="n">
        <x:v>2.2333333333333334</x:v>
      </x:c>
      <x:c r="N1744" s="48" t="n">
        <x:v>646.4166666666666</x:v>
      </x:c>
      <x:c r="O1744" s="49" t="n">
        <x:v>2</x:v>
      </x:c>
      <x:c r="P1744" s="1" t="str">
        <x:v>中期支持中は短期逆行を保持・広め</x:v>
      </x:c>
      <x:c r="Q1744" s="49" t="n">
        <x:v>0</x:v>
      </x:c>
      <x:c r="R1744" s="50" t="n">
        <x:v>0.8287393162393163</x:v>
      </x:c>
      <x:c r="S1744" s="50" t="n">
        <x:v>0.8287393162393162</x:v>
      </x:c>
      <x:c r="T1744" s="1" t="str">
        <x:v>上昇</x:v>
      </x:c>
      <x:c r="U1744" s="49" t="n">
        <x:v>1</x:v>
      </x:c>
    </x:row>
    <x:row r="1745" ht="22" customHeight="1">
      <x:c r="A1745" s="1" t="str">
        <x:v>TOPIXmini</x:v>
      </x:c>
      <x:c r="B1745" s="1" t="str">
        <x:v>P04</x:v>
      </x:c>
      <x:c r="C1745" s="1" t="str">
        <x:v>診断3場</x:v>
      </x:c>
      <x:c r="D1745" s="47" t="n">
        <x:v>302024</x:v>
      </x:c>
      <x:c r="E1745" s="47" t="n">
        <x:v>358624</x:v>
      </x:c>
      <x:c r="F1745" s="47" t="n">
        <x:f>D1745-E1745</x:f>
        <x:v>-56600</x:v>
      </x:c>
      <x:c r="G1745" s="49" t="n">
        <x:v>0</x:v>
      </x:c>
      <x:c r="H1745" s="49" t="n">
        <x:v>2</x:v>
      </x:c>
      <x:c r="I1745" s="47" t="n">
        <x:v>-56600</x:v>
      </x:c>
      <x:c r="J1745" s="49" t="n">
        <x:v>100</x:v>
      </x:c>
      <x:c r="K1745" s="47" t="n">
        <x:v>-45300</x:v>
      </x:c>
      <x:c r="L1745" s="47" t="n">
        <x:v>28300</x:v>
      </x:c>
      <x:c r="M1745" s="48" t="n">
        <x:v>3.3583333333333334</x:v>
      </x:c>
      <x:c r="N1745" s="48" t="n">
        <x:v>484.18333333333334</x:v>
      </x:c>
      <x:c r="O1745" s="49" t="n">
        <x:v>2</x:v>
      </x:c>
      <x:c r="P1745" s="1" t="str">
        <x:v>中期支持中は短期逆行を保持・広め</x:v>
      </x:c>
      <x:c r="Q1745" s="49" t="n">
        <x:v>0</x:v>
      </x:c>
      <x:c r="R1745" s="50" t="n">
        <x:v>0.8171764346764346</x:v>
      </x:c>
      <x:c r="S1745" s="50" t="n">
        <x:v>0.8069722222222222</x:v>
      </x:c>
      <x:c r="T1745" s="1" t="str">
        <x:v>下落</x:v>
      </x:c>
      <x:c r="U1745" s="49" t="n">
        <x:v>2</x:v>
      </x:c>
    </x:row>
    <x:row r="1746" ht="22" customHeight="1">
      <x:c r="A1746" s="1" t="str">
        <x:v>TOPIXmini</x:v>
      </x:c>
      <x:c r="B1746" s="1" t="str">
        <x:v>P05</x:v>
      </x:c>
      <x:c r="C1746" s="1" t="str">
        <x:v>全50場</x:v>
      </x:c>
      <x:c r="D1746" s="47" t="n">
        <x:v>5659900</x:v>
      </x:c>
      <x:c r="E1746" s="47" t="n">
        <x:v>10672298</x:v>
      </x:c>
      <x:c r="F1746" s="47" t="n">
        <x:f>D1746-E1746</x:f>
        <x:v>-5012398</x:v>
      </x:c>
      <x:c r="G1746" s="49" t="n">
        <x:v>2</x:v>
      </x:c>
      <x:c r="H1746" s="49" t="n">
        <x:v>48</x:v>
      </x:c>
      <x:c r="I1746" s="47" t="n">
        <x:v>-5080004</x:v>
      </x:c>
      <x:c r="J1746" s="49" t="n">
        <x:v>3153</x:v>
      </x:c>
      <x:c r="K1746" s="47" t="n">
        <x:v>-317102</x:v>
      </x:c>
      <x:c r="L1746" s="47" t="n">
        <x:v>105833.41666666667</x:v>
      </x:c>
      <x:c r="M1746" s="48" t="n">
        <x:v>5.403666666666667</x:v>
      </x:c>
      <x:c r="N1746" s="48" t="n">
        <x:v>462.62266666666665</x:v>
      </x:c>
      <x:c r="O1746" s="49" t="n">
        <x:v>2</x:v>
      </x:c>
      <x:c r="P1746" s="1" t="str">
        <x:v>反対合議で返済後に反転・標準</x:v>
      </x:c>
      <x:c r="Q1746" s="49" t="n">
        <x:v>0</x:v>
      </x:c>
      <x:c r="R1746" s="50" t="n">
        <x:v>0.7845363858363857</x:v>
      </x:c>
      <x:c r="S1746" s="50" t="n">
        <x:v>0.7710377777777777</x:v>
      </x:c>
      <x:c r="T1746" s="1" t="str">
        <x:v>全場</x:v>
      </x:c>
      <x:c r="U1746" s="49" t="n">
        <x:v>50</x:v>
      </x:c>
    </x:row>
    <x:row r="1747" ht="22" customHeight="1">
      <x:c r="A1747" s="1" t="str">
        <x:v>TOPIXmini</x:v>
      </x:c>
      <x:c r="B1747" s="1" t="str">
        <x:v>P05</x:v>
      </x:c>
      <x:c r="C1747" s="1" t="str">
        <x:v>全50場</x:v>
      </x:c>
      <x:c r="D1747" s="47" t="n">
        <x:v>2695612</x:v>
      </x:c>
      <x:c r="E1747" s="47" t="n">
        <x:v>5667646</x:v>
      </x:c>
      <x:c r="F1747" s="47" t="n">
        <x:f>D1747-E1747</x:f>
        <x:v>-2972034</x:v>
      </x:c>
      <x:c r="G1747" s="49" t="n">
        <x:v>1</x:v>
      </x:c>
      <x:c r="H1747" s="49" t="n">
        <x:v>24</x:v>
      </x:c>
      <x:c r="I1747" s="47" t="n">
        <x:v>-3025754</x:v>
      </x:c>
      <x:c r="J1747" s="49" t="n">
        <x:v>1699</x:v>
      </x:c>
      <x:c r="K1747" s="47" t="n">
        <x:v>-317102</x:v>
      </x:c>
      <x:c r="L1747" s="47" t="n">
        <x:v>126073.08333333333</x:v>
      </x:c>
      <x:c r="M1747" s="48" t="n">
        <x:v>4.675333333333333</x:v>
      </x:c>
      <x:c r="N1747" s="48" t="n">
        <x:v>348.4033333333333</x:v>
      </x:c>
      <x:c r="O1747" s="49" t="n">
        <x:v>2</x:v>
      </x:c>
      <x:c r="P1747" s="1" t="str">
        <x:v>反対合議で返済後に反転・標準</x:v>
      </x:c>
      <x:c r="Q1747" s="49" t="n">
        <x:v>0</x:v>
      </x:c>
      <x:c r="R1747" s="50" t="n">
        <x:v>0.8295317460317461</x:v>
      </x:c>
      <x:c r="S1747" s="50" t="n">
        <x:v>0.8295317460317461</x:v>
      </x:c>
      <x:c r="T1747" s="1" t="str">
        <x:v>デイ</x:v>
      </x:c>
      <x:c r="U1747" s="49" t="n">
        <x:v>25</x:v>
      </x:c>
    </x:row>
    <x:row r="1748" ht="22" customHeight="1">
      <x:c r="A1748" s="1" t="str">
        <x:v>TOPIXmini</x:v>
      </x:c>
      <x:c r="B1748" s="1" t="str">
        <x:v>P05</x:v>
      </x:c>
      <x:c r="C1748" s="1" t="str">
        <x:v>全50場</x:v>
      </x:c>
      <x:c r="D1748" s="47" t="n">
        <x:v>2964288</x:v>
      </x:c>
      <x:c r="E1748" s="47" t="n">
        <x:v>5004652</x:v>
      </x:c>
      <x:c r="F1748" s="47" t="n">
        <x:f>D1748-E1748</x:f>
        <x:v>-2040364</x:v>
      </x:c>
      <x:c r="G1748" s="49" t="n">
        <x:v>1</x:v>
      </x:c>
      <x:c r="H1748" s="49" t="n">
        <x:v>24</x:v>
      </x:c>
      <x:c r="I1748" s="47" t="n">
        <x:v>-2054250</x:v>
      </x:c>
      <x:c r="J1748" s="49" t="n">
        <x:v>1454</x:v>
      </x:c>
      <x:c r="K1748" s="47" t="n">
        <x:v>-172794</x:v>
      </x:c>
      <x:c r="L1748" s="47" t="n">
        <x:v>85593.75</x:v>
      </x:c>
      <x:c r="M1748" s="48" t="n">
        <x:v>6.132</x:v>
      </x:c>
      <x:c r="N1748" s="48" t="n">
        <x:v>576.842</x:v>
      </x:c>
      <x:c r="O1748" s="49" t="n">
        <x:v>2</x:v>
      </x:c>
      <x:c r="P1748" s="1" t="str">
        <x:v>反対合議で返済後に反転・標準</x:v>
      </x:c>
      <x:c r="Q1748" s="49" t="n">
        <x:v>0</x:v>
      </x:c>
      <x:c r="R1748" s="50" t="n">
        <x:v>0.7395410256410255</x:v>
      </x:c>
      <x:c r="S1748" s="50" t="n">
        <x:v>0.7395410256410256</x:v>
      </x:c>
      <x:c r="T1748" s="1" t="str">
        <x:v>ナイト</x:v>
      </x:c>
      <x:c r="U1748" s="49" t="n">
        <x:v>25</x:v>
      </x:c>
    </x:row>
    <x:row r="1749" ht="22" customHeight="1">
      <x:c r="A1749" s="1" t="str">
        <x:v>TOPIXmini</x:v>
      </x:c>
      <x:c r="B1749" s="1" t="str">
        <x:v>P05</x:v>
      </x:c>
      <x:c r="C1749" s="1" t="str">
        <x:v>全50場</x:v>
      </x:c>
      <x:c r="D1749" s="47" t="n">
        <x:v>2604102</x:v>
      </x:c>
      <x:c r="E1749" s="47" t="n">
        <x:v>5083288</x:v>
      </x:c>
      <x:c r="F1749" s="47" t="n">
        <x:f>D1749-E1749</x:f>
        <x:v>-2479186</x:v>
      </x:c>
      <x:c r="G1749" s="49" t="n">
        <x:v>0</x:v>
      </x:c>
      <x:c r="H1749" s="49" t="n">
        <x:v>25</x:v>
      </x:c>
      <x:c r="I1749" s="47" t="n">
        <x:v>-2479186</x:v>
      </x:c>
      <x:c r="J1749" s="49" t="n">
        <x:v>1471</x:v>
      </x:c>
      <x:c r="K1749" s="47" t="n">
        <x:v>-230280</x:v>
      </x:c>
      <x:c r="L1749" s="47" t="n">
        <x:v>99167.44</x:v>
      </x:c>
      <x:c r="M1749" s="48" t="n">
        <x:v>4.252666666666667</x:v>
      </x:c>
      <x:c r="N1749" s="48" t="n">
        <x:v>460.62</x:v>
      </x:c>
      <x:c r="O1749" s="49" t="n">
        <x:v>2</x:v>
      </x:c>
      <x:c r="P1749" s="1" t="str">
        <x:v>反対合議で返済後に反転・標準</x:v>
      </x:c>
      <x:c r="Q1749" s="49" t="n">
        <x:v>0</x:v>
      </x:c>
      <x:c r="R1749" s="50" t="n">
        <x:v>0.7697941391941393</x:v>
      </x:c>
      <x:c r="S1749" s="50" t="n">
        <x:v>0.758596837944664</x:v>
      </x:c>
      <x:c r="T1749" s="1" t="str">
        <x:v>上昇</x:v>
      </x:c>
      <x:c r="U1749" s="49" t="n">
        <x:v>25</x:v>
      </x:c>
    </x:row>
    <x:row r="1750" ht="22" customHeight="1">
      <x:c r="A1750" s="1" t="str">
        <x:v>TOPIXmini</x:v>
      </x:c>
      <x:c r="B1750" s="1" t="str">
        <x:v>P05</x:v>
      </x:c>
      <x:c r="C1750" s="1" t="str">
        <x:v>全50場</x:v>
      </x:c>
      <x:c r="D1750" s="47" t="n">
        <x:v>3055798</x:v>
      </x:c>
      <x:c r="E1750" s="47" t="n">
        <x:v>5589010</x:v>
      </x:c>
      <x:c r="F1750" s="47" t="n">
        <x:f>D1750-E1750</x:f>
        <x:v>-2533212</x:v>
      </x:c>
      <x:c r="G1750" s="49" t="n">
        <x:v>2</x:v>
      </x:c>
      <x:c r="H1750" s="49" t="n">
        <x:v>23</x:v>
      </x:c>
      <x:c r="I1750" s="47" t="n">
        <x:v>-2600818</x:v>
      </x:c>
      <x:c r="J1750" s="49" t="n">
        <x:v>1682</x:v>
      </x:c>
      <x:c r="K1750" s="47" t="n">
        <x:v>-317102</x:v>
      </x:c>
      <x:c r="L1750" s="47" t="n">
        <x:v>113079.04347826086</x:v>
      </x:c>
      <x:c r="M1750" s="48" t="n">
        <x:v>6.554666666666667</x:v>
      </x:c>
      <x:c r="N1750" s="48" t="n">
        <x:v>464.62533333333334</x:v>
      </x:c>
      <x:c r="O1750" s="49" t="n">
        <x:v>2</x:v>
      </x:c>
      <x:c r="P1750" s="1" t="str">
        <x:v>反対合議で返済後に反転・標準</x:v>
      </x:c>
      <x:c r="Q1750" s="49" t="n">
        <x:v>0</x:v>
      </x:c>
      <x:c r="R1750" s="50" t="n">
        <x:v>0.7992786324786324</x:v>
      </x:c>
      <x:c r="S1750" s="50" t="n">
        <x:v>0.7837809266756635</x:v>
      </x:c>
      <x:c r="T1750" s="1" t="str">
        <x:v>下落</x:v>
      </x:c>
      <x:c r="U1750" s="49" t="n">
        <x:v>25</x:v>
      </x:c>
    </x:row>
    <x:row r="1751" ht="22" customHeight="1">
      <x:c r="A1751" s="1" t="str">
        <x:v>TOPIXmini</x:v>
      </x:c>
      <x:c r="B1751" s="1" t="str">
        <x:v>P05</x:v>
      </x:c>
      <x:c r="C1751" s="1" t="str">
        <x:v>対照47場</x:v>
      </x:c>
      <x:c r="D1751" s="47" t="n">
        <x:v>4958180</x:v>
      </x:c>
      <x:c r="E1751" s="47" t="n">
        <x:v>9943232</x:v>
      </x:c>
      <x:c r="F1751" s="47" t="n">
        <x:f>D1751-E1751</x:f>
        <x:v>-4985052</x:v>
      </x:c>
      <x:c r="G1751" s="49" t="n">
        <x:v>0</x:v>
      </x:c>
      <x:c r="H1751" s="49" t="n">
        <x:v>47</x:v>
      </x:c>
      <x:c r="I1751" s="47" t="n">
        <x:v>-4985052</x:v>
      </x:c>
      <x:c r="J1751" s="49" t="n">
        <x:v>2922</x:v>
      </x:c>
      <x:c r="K1751" s="47" t="n">
        <x:v>-317102</x:v>
      </x:c>
      <x:c r="L1751" s="47" t="n">
        <x:v>106064.93617021276</x:v>
      </x:c>
      <x:c r="M1751" s="48" t="n">
        <x:v>5.558156028368795</x:v>
      </x:c>
      <x:c r="N1751" s="48" t="n">
        <x:v>457.027304964539</x:v>
      </x:c>
      <x:c r="O1751" s="49" t="n">
        <x:v>2</x:v>
      </x:c>
      <x:c r="P1751" s="1" t="str">
        <x:v>反対合議で返済後に反転・標準</x:v>
      </x:c>
      <x:c r="Q1751" s="49" t="n">
        <x:v>0</x:v>
      </x:c>
      <x:c r="R1751" s="50" t="n">
        <x:v>0.7805973163951887</x:v>
      </x:c>
      <x:c r="S1751" s="50" t="n">
        <x:v>0.7666054009041161</x:v>
      </x:c>
      <x:c r="T1751" s="1" t="str">
        <x:v>全場</x:v>
      </x:c>
      <x:c r="U1751" s="49" t="n">
        <x:v>47</x:v>
      </x:c>
    </x:row>
    <x:row r="1752" ht="22" customHeight="1">
      <x:c r="A1752" s="1" t="str">
        <x:v>TOPIXmini</x:v>
      </x:c>
      <x:c r="B1752" s="1" t="str">
        <x:v>P05</x:v>
      </x:c>
      <x:c r="C1752" s="1" t="str">
        <x:v>対照47場</x:v>
      </x:c>
      <x:c r="D1752" s="47" t="n">
        <x:v>2369094</x:v>
      </x:c>
      <x:c r="E1752" s="47" t="n">
        <x:v>5394848</x:v>
      </x:c>
      <x:c r="F1752" s="47" t="n">
        <x:f>D1752-E1752</x:f>
        <x:v>-3025754</x:v>
      </x:c>
      <x:c r="G1752" s="49" t="n">
        <x:v>0</x:v>
      </x:c>
      <x:c r="H1752" s="49" t="n">
        <x:v>24</x:v>
      </x:c>
      <x:c r="I1752" s="47" t="n">
        <x:v>-3025754</x:v>
      </x:c>
      <x:c r="J1752" s="49" t="n">
        <x:v>1619</x:v>
      </x:c>
      <x:c r="K1752" s="47" t="n">
        <x:v>-317102</x:v>
      </x:c>
      <x:c r="L1752" s="47" t="n">
        <x:v>126073.08333333333</x:v>
      </x:c>
      <x:c r="M1752" s="48" t="n">
        <x:v>4.756944444444444</x:v>
      </x:c>
      <x:c r="N1752" s="48" t="n">
        <x:v>346.90902777777774</x:v>
      </x:c>
      <x:c r="O1752" s="49" t="n">
        <x:v>2</x:v>
      </x:c>
      <x:c r="P1752" s="1" t="str">
        <x:v>反対合議で返済後に反転・標準</x:v>
      </x:c>
      <x:c r="Q1752" s="49" t="n">
        <x:v>0</x:v>
      </x:c>
      <x:c r="R1752" s="50" t="n">
        <x:v>0.8259738756613757</x:v>
      </x:c>
      <x:c r="S1752" s="50" t="n">
        <x:v>0.8259738756613756</x:v>
      </x:c>
      <x:c r="T1752" s="1" t="str">
        <x:v>デイ</x:v>
      </x:c>
      <x:c r="U1752" s="49" t="n">
        <x:v>24</x:v>
      </x:c>
    </x:row>
    <x:row r="1753" ht="22" customHeight="1">
      <x:c r="A1753" s="1" t="str">
        <x:v>TOPIXmini</x:v>
      </x:c>
      <x:c r="B1753" s="1" t="str">
        <x:v>P05</x:v>
      </x:c>
      <x:c r="C1753" s="1" t="str">
        <x:v>対照47場</x:v>
      </x:c>
      <x:c r="D1753" s="47" t="n">
        <x:v>2589086</x:v>
      </x:c>
      <x:c r="E1753" s="47" t="n">
        <x:v>4548384</x:v>
      </x:c>
      <x:c r="F1753" s="47" t="n">
        <x:f>D1753-E1753</x:f>
        <x:v>-1959298</x:v>
      </x:c>
      <x:c r="G1753" s="49" t="n">
        <x:v>0</x:v>
      </x:c>
      <x:c r="H1753" s="49" t="n">
        <x:v>23</x:v>
      </x:c>
      <x:c r="I1753" s="47" t="n">
        <x:v>-1959298</x:v>
      </x:c>
      <x:c r="J1753" s="49" t="n">
        <x:v>1303</x:v>
      </x:c>
      <x:c r="K1753" s="47" t="n">
        <x:v>-172794</x:v>
      </x:c>
      <x:c r="L1753" s="47" t="n">
        <x:v>85186.86956521739</x:v>
      </x:c>
      <x:c r="M1753" s="48" t="n">
        <x:v>6.394202898550725</x:v>
      </x:c>
      <x:c r="N1753" s="48" t="n">
        <x:v>571.9333333333333</x:v>
      </x:c>
      <x:c r="O1753" s="49" t="n">
        <x:v>2</x:v>
      </x:c>
      <x:c r="P1753" s="1" t="str">
        <x:v>反対合議で返済後に反転・標準</x:v>
      </x:c>
      <x:c r="Q1753" s="49" t="n">
        <x:v>0</x:v>
      </x:c>
      <x:c r="R1753" s="50" t="n">
        <x:v>0.7332478632478632</x:v>
      </x:c>
      <x:c r="S1753" s="50" t="n">
        <x:v>0.7332478632478633</x:v>
      </x:c>
      <x:c r="T1753" s="1" t="str">
        <x:v>ナイト</x:v>
      </x:c>
      <x:c r="U1753" s="49" t="n">
        <x:v>23</x:v>
      </x:c>
    </x:row>
    <x:row r="1754" ht="22" customHeight="1">
      <x:c r="A1754" s="1" t="str">
        <x:v>TOPIXmini</x:v>
      </x:c>
      <x:c r="B1754" s="1" t="str">
        <x:v>P05</x:v>
      </x:c>
      <x:c r="C1754" s="1" t="str">
        <x:v>対照47場</x:v>
      </x:c>
      <x:c r="D1754" s="47" t="n">
        <x:v>2441754</x:v>
      </x:c>
      <x:c r="E1754" s="47" t="n">
        <x:v>4825988</x:v>
      </x:c>
      <x:c r="F1754" s="47" t="n">
        <x:f>D1754-E1754</x:f>
        <x:v>-2384234</x:v>
      </x:c>
      <x:c r="G1754" s="49" t="n">
        <x:v>0</x:v>
      </x:c>
      <x:c r="H1754" s="49" t="n">
        <x:v>24</x:v>
      </x:c>
      <x:c r="I1754" s="47" t="n">
        <x:v>-2384234</x:v>
      </x:c>
      <x:c r="J1754" s="49" t="n">
        <x:v>1399</x:v>
      </x:c>
      <x:c r="K1754" s="47" t="n">
        <x:v>-230280</x:v>
      </x:c>
      <x:c r="L1754" s="47" t="n">
        <x:v>99343.08333333333</x:v>
      </x:c>
      <x:c r="M1754" s="48" t="n">
        <x:v>4.336805555555556</x:v>
      </x:c>
      <x:c r="N1754" s="48" t="n">
        <x:v>453.7923611111111</x:v>
      </x:c>
      <x:c r="O1754" s="49" t="n">
        <x:v>2</x:v>
      </x:c>
      <x:c r="P1754" s="1" t="str">
        <x:v>反対合議で返済後に反転・標準</x:v>
      </x:c>
      <x:c r="Q1754" s="49" t="n">
        <x:v>0</x:v>
      </x:c>
      <x:c r="R1754" s="50" t="n">
        <x:v>0.7685097425722427</x:v>
      </x:c>
      <x:c r="S1754" s="50" t="n">
        <x:v>0.7563206018518518</x:v>
      </x:c>
      <x:c r="T1754" s="1" t="str">
        <x:v>上昇</x:v>
      </x:c>
      <x:c r="U1754" s="49" t="n">
        <x:v>24</x:v>
      </x:c>
    </x:row>
    <x:row r="1755" ht="22" customHeight="1">
      <x:c r="A1755" s="1" t="str">
        <x:v>TOPIXmini</x:v>
      </x:c>
      <x:c r="B1755" s="1" t="str">
        <x:v>P05</x:v>
      </x:c>
      <x:c r="C1755" s="1" t="str">
        <x:v>対照47場</x:v>
      </x:c>
      <x:c r="D1755" s="47" t="n">
        <x:v>2516426</x:v>
      </x:c>
      <x:c r="E1755" s="47" t="n">
        <x:v>5117244</x:v>
      </x:c>
      <x:c r="F1755" s="47" t="n">
        <x:f>D1755-E1755</x:f>
        <x:v>-2600818</x:v>
      </x:c>
      <x:c r="G1755" s="49" t="n">
        <x:v>0</x:v>
      </x:c>
      <x:c r="H1755" s="49" t="n">
        <x:v>23</x:v>
      </x:c>
      <x:c r="I1755" s="47" t="n">
        <x:v>-2600818</x:v>
      </x:c>
      <x:c r="J1755" s="49" t="n">
        <x:v>1523</x:v>
      </x:c>
      <x:c r="K1755" s="47" t="n">
        <x:v>-317102</x:v>
      </x:c>
      <x:c r="L1755" s="47" t="n">
        <x:v>113079.04347826086</x:v>
      </x:c>
      <x:c r="M1755" s="48" t="n">
        <x:v>6.832608695652173</x:v>
      </x:c>
      <x:c r="N1755" s="48" t="n">
        <x:v>460.4028985507246</x:v>
      </x:c>
      <x:c r="O1755" s="49" t="n">
        <x:v>2</x:v>
      </x:c>
      <x:c r="P1755" s="1" t="str">
        <x:v>反対合議で返済後に反転・標準</x:v>
      </x:c>
      <x:c r="Q1755" s="49" t="n">
        <x:v>0</x:v>
      </x:c>
      <x:c r="R1755" s="50" t="n">
        <x:v>0.7932104369060891</x:v>
      </x:c>
      <x:c r="S1755" s="50" t="n">
        <x:v>0.7774791972589329</x:v>
      </x:c>
      <x:c r="T1755" s="1" t="str">
        <x:v>下落</x:v>
      </x:c>
      <x:c r="U1755" s="49" t="n">
        <x:v>23</x:v>
      </x:c>
    </x:row>
    <x:row r="1756" ht="22" customHeight="1">
      <x:c r="A1756" s="1" t="str">
        <x:v>TOPIXmini</x:v>
      </x:c>
      <x:c r="B1756" s="1" t="str">
        <x:v>P05</x:v>
      </x:c>
      <x:c r="C1756" s="1" t="str">
        <x:v>診断3場</x:v>
      </x:c>
      <x:c r="D1756" s="47" t="n">
        <x:v>701720</x:v>
      </x:c>
      <x:c r="E1756" s="47" t="n">
        <x:v>729066</x:v>
      </x:c>
      <x:c r="F1756" s="47" t="n">
        <x:f>D1756-E1756</x:f>
        <x:v>-27346</x:v>
      </x:c>
      <x:c r="G1756" s="49" t="n">
        <x:v>2</x:v>
      </x:c>
      <x:c r="H1756" s="49" t="n">
        <x:v>1</x:v>
      </x:c>
      <x:c r="I1756" s="47" t="n">
        <x:v>-94952</x:v>
      </x:c>
      <x:c r="J1756" s="49" t="n">
        <x:v>231</x:v>
      </x:c>
      <x:c r="K1756" s="47" t="n">
        <x:v>-94952</x:v>
      </x:c>
      <x:c r="L1756" s="47" t="n">
        <x:v>94952</x:v>
      </x:c>
      <x:c r="M1756" s="48" t="n">
        <x:v>2.983333333333333</x:v>
      </x:c>
      <x:c r="N1756" s="48" t="n">
        <x:v>550.2833333333334</x:v>
      </x:c>
      <x:c r="O1756" s="49" t="n">
        <x:v>2</x:v>
      </x:c>
      <x:c r="P1756" s="1" t="str">
        <x:v>反対合議で返済後に反転・標準</x:v>
      </x:c>
      <x:c r="Q1756" s="49" t="n">
        <x:v>0</x:v>
      </x:c>
      <x:c r="R1756" s="50" t="n">
        <x:v>0.8462484737484738</x:v>
      </x:c>
      <x:c r="S1756" s="50" t="n">
        <x:v>0.8337626262626262</x:v>
      </x:c>
      <x:c r="T1756" s="1" t="str">
        <x:v>全場</x:v>
      </x:c>
      <x:c r="U1756" s="49" t="n">
        <x:v>3</x:v>
      </x:c>
    </x:row>
    <x:row r="1757" ht="22" customHeight="1">
      <x:c r="A1757" s="1" t="str">
        <x:v>TOPIXmini</x:v>
      </x:c>
      <x:c r="B1757" s="1" t="str">
        <x:v>P05</x:v>
      </x:c>
      <x:c r="C1757" s="1" t="str">
        <x:v>診断3場</x:v>
      </x:c>
      <x:c r="D1757" s="47" t="n">
        <x:v>326518</x:v>
      </x:c>
      <x:c r="E1757" s="47" t="n">
        <x:v>272798</x:v>
      </x:c>
      <x:c r="F1757" s="47" t="n">
        <x:f>D1757-E1757</x:f>
        <x:v>53720</x:v>
      </x:c>
      <x:c r="G1757" s="49" t="n">
        <x:v>1</x:v>
      </x:c>
      <x:c r="H1757" s="49" t="n">
        <x:v>0</x:v>
      </x:c>
      <x:c r="I1757" s="47" t="n">
        <x:v>0</x:v>
      </x:c>
      <x:c r="J1757" s="49" t="n">
        <x:v>80</x:v>
      </x:c>
      <x:c r="K1757" s="47" t="n">
        <x:v>53720</x:v>
      </x:c>
      <x:c r="L1757" s="47" t="n">
        <x:v>0</x:v>
      </x:c>
      <x:c r="M1757" s="48" t="n">
        <x:v>2.716666666666667</x:v>
      </x:c>
      <x:c r="N1757" s="48" t="n">
        <x:v>384.26666666666665</x:v>
      </x:c>
      <x:c r="O1757" s="49" t="n">
        <x:v>2</x:v>
      </x:c>
      <x:c r="P1757" s="1" t="str">
        <x:v>反対合議で返済後に反転・標準</x:v>
      </x:c>
      <x:c r="Q1757" s="49" t="n">
        <x:v>0</x:v>
      </x:c>
      <x:c r="R1757" s="50" t="n">
        <x:v>0.9149206349206349</x:v>
      </x:c>
      <x:c r="S1757" s="50" t="n">
        <x:v>0.9149206349206349</x:v>
      </x:c>
      <x:c r="T1757" s="1" t="str">
        <x:v>デイ</x:v>
      </x:c>
      <x:c r="U1757" s="49" t="n">
        <x:v>1</x:v>
      </x:c>
    </x:row>
    <x:row r="1758" ht="22" customHeight="1">
      <x:c r="A1758" s="1" t="str">
        <x:v>TOPIXmini</x:v>
      </x:c>
      <x:c r="B1758" s="1" t="str">
        <x:v>P05</x:v>
      </x:c>
      <x:c r="C1758" s="1" t="str">
        <x:v>診断3場</x:v>
      </x:c>
      <x:c r="D1758" s="47" t="n">
        <x:v>375202</x:v>
      </x:c>
      <x:c r="E1758" s="47" t="n">
        <x:v>456268</x:v>
      </x:c>
      <x:c r="F1758" s="47" t="n">
        <x:f>D1758-E1758</x:f>
        <x:v>-81066</x:v>
      </x:c>
      <x:c r="G1758" s="49" t="n">
        <x:v>1</x:v>
      </x:c>
      <x:c r="H1758" s="49" t="n">
        <x:v>1</x:v>
      </x:c>
      <x:c r="I1758" s="47" t="n">
        <x:v>-94952</x:v>
      </x:c>
      <x:c r="J1758" s="49" t="n">
        <x:v>151</x:v>
      </x:c>
      <x:c r="K1758" s="47" t="n">
        <x:v>-94952</x:v>
      </x:c>
      <x:c r="L1758" s="47" t="n">
        <x:v>94952</x:v>
      </x:c>
      <x:c r="M1758" s="48" t="n">
        <x:v>3.1166666666666667</x:v>
      </x:c>
      <x:c r="N1758" s="48" t="n">
        <x:v>633.2916666666667</x:v>
      </x:c>
      <x:c r="O1758" s="49" t="n">
        <x:v>2</x:v>
      </x:c>
      <x:c r="P1758" s="1" t="str">
        <x:v>反対合議で返済後に反転・標準</x:v>
      </x:c>
      <x:c r="Q1758" s="49" t="n">
        <x:v>0</x:v>
      </x:c>
      <x:c r="R1758" s="50" t="n">
        <x:v>0.8119123931623932</x:v>
      </x:c>
      <x:c r="S1758" s="50" t="n">
        <x:v>0.8119123931623933</x:v>
      </x:c>
      <x:c r="T1758" s="1" t="str">
        <x:v>ナイト</x:v>
      </x:c>
      <x:c r="U1758" s="49" t="n">
        <x:v>2</x:v>
      </x:c>
    </x:row>
    <x:row r="1759" ht="22" customHeight="1">
      <x:c r="A1759" s="1" t="str">
        <x:v>TOPIXmini</x:v>
      </x:c>
      <x:c r="B1759" s="1" t="str">
        <x:v>P05</x:v>
      </x:c>
      <x:c r="C1759" s="1" t="str">
        <x:v>診断3場</x:v>
      </x:c>
      <x:c r="D1759" s="47" t="n">
        <x:v>162348</x:v>
      </x:c>
      <x:c r="E1759" s="47" t="n">
        <x:v>257300</x:v>
      </x:c>
      <x:c r="F1759" s="47" t="n">
        <x:f>D1759-E1759</x:f>
        <x:v>-94952</x:v>
      </x:c>
      <x:c r="G1759" s="49" t="n">
        <x:v>0</x:v>
      </x:c>
      <x:c r="H1759" s="49" t="n">
        <x:v>1</x:v>
      </x:c>
      <x:c r="I1759" s="47" t="n">
        <x:v>-94952</x:v>
      </x:c>
      <x:c r="J1759" s="49" t="n">
        <x:v>72</x:v>
      </x:c>
      <x:c r="K1759" s="47" t="n">
        <x:v>-94952</x:v>
      </x:c>
      <x:c r="L1759" s="47" t="n">
        <x:v>94952</x:v>
      </x:c>
      <x:c r="M1759" s="48" t="n">
        <x:v>2.2333333333333334</x:v>
      </x:c>
      <x:c r="N1759" s="48" t="n">
        <x:v>624.4833333333333</x:v>
      </x:c>
      <x:c r="O1759" s="49" t="n">
        <x:v>2</x:v>
      </x:c>
      <x:c r="P1759" s="1" t="str">
        <x:v>反対合議で返済後に反転・標準</x:v>
      </x:c>
      <x:c r="Q1759" s="49" t="n">
        <x:v>0</x:v>
      </x:c>
      <x:c r="R1759" s="50" t="n">
        <x:v>0.8006196581196581</x:v>
      </x:c>
      <x:c r="S1759" s="50" t="n">
        <x:v>0.8006196581196582</x:v>
      </x:c>
      <x:c r="T1759" s="1" t="str">
        <x:v>上昇</x:v>
      </x:c>
      <x:c r="U1759" s="49" t="n">
        <x:v>1</x:v>
      </x:c>
    </x:row>
    <x:row r="1760" ht="22" customHeight="1">
      <x:c r="A1760" s="1" t="str">
        <x:v>TOPIXmini</x:v>
      </x:c>
      <x:c r="B1760" s="1" t="str">
        <x:v>P05</x:v>
      </x:c>
      <x:c r="C1760" s="1" t="str">
        <x:v>診断3場</x:v>
      </x:c>
      <x:c r="D1760" s="47" t="n">
        <x:v>539372</x:v>
      </x:c>
      <x:c r="E1760" s="47" t="n">
        <x:v>471766</x:v>
      </x:c>
      <x:c r="F1760" s="47" t="n">
        <x:f>D1760-E1760</x:f>
        <x:v>67606</x:v>
      </x:c>
      <x:c r="G1760" s="49" t="n">
        <x:v>2</x:v>
      </x:c>
      <x:c r="H1760" s="49" t="n">
        <x:v>0</x:v>
      </x:c>
      <x:c r="I1760" s="47" t="n">
        <x:v>0</x:v>
      </x:c>
      <x:c r="J1760" s="49" t="n">
        <x:v>159</x:v>
      </x:c>
      <x:c r="K1760" s="47" t="n">
        <x:v>13886</x:v>
      </x:c>
      <x:c r="L1760" s="47" t="n">
        <x:v>0</x:v>
      </x:c>
      <x:c r="M1760" s="48" t="n">
        <x:v>3.3583333333333334</x:v>
      </x:c>
      <x:c r="N1760" s="48" t="n">
        <x:v>513.1833333333334</x:v>
      </x:c>
      <x:c r="O1760" s="49" t="n">
        <x:v>2</x:v>
      </x:c>
      <x:c r="P1760" s="1" t="str">
        <x:v>反対合議で返済後に反転・標準</x:v>
      </x:c>
      <x:c r="Q1760" s="49" t="n">
        <x:v>0</x:v>
      </x:c>
      <x:c r="R1760" s="50" t="n">
        <x:v>0.8690628815628816</x:v>
      </x:c>
      <x:c r="S1760" s="50" t="n">
        <x:v>0.8553055555555557</x:v>
      </x:c>
      <x:c r="T1760" s="1" t="str">
        <x:v>下落</x:v>
      </x:c>
      <x:c r="U1760" s="49" t="n">
        <x:v>2</x:v>
      </x:c>
    </x:row>
    <x:row r="1761" ht="22" customHeight="1">
      <x:c r="A1761" s="1" t="str">
        <x:v>TOPIXmini</x:v>
      </x:c>
      <x:c r="B1761" s="1" t="str">
        <x:v>P06</x:v>
      </x:c>
      <x:c r="C1761" s="1" t="str">
        <x:v>全50場</x:v>
      </x:c>
      <x:c r="D1761" s="47" t="n">
        <x:v>5659220</x:v>
      </x:c>
      <x:c r="E1761" s="47" t="n">
        <x:v>10399508</x:v>
      </x:c>
      <x:c r="F1761" s="47" t="n">
        <x:f>D1761-E1761</x:f>
        <x:v>-4740288</x:v>
      </x:c>
      <x:c r="G1761" s="49" t="n">
        <x:v>2</x:v>
      </x:c>
      <x:c r="H1761" s="49" t="n">
        <x:v>48</x:v>
      </x:c>
      <x:c r="I1761" s="47" t="n">
        <x:v>-4802724</x:v>
      </x:c>
      <x:c r="J1761" s="49" t="n">
        <x:v>3068</x:v>
      </x:c>
      <x:c r="K1761" s="47" t="n">
        <x:v>-321102</x:v>
      </x:c>
      <x:c r="L1761" s="47" t="n">
        <x:v>100056.75</x:v>
      </x:c>
      <x:c r="M1761" s="48" t="n">
        <x:v>5.403666666666667</x:v>
      </x:c>
      <x:c r="N1761" s="48" t="n">
        <x:v>500.48466666666667</x:v>
      </x:c>
      <x:c r="O1761" s="49" t="n">
        <x:v>2</x:v>
      </x:c>
      <x:c r="P1761" s="1" t="str">
        <x:v>反対合議で返済後に反転・広め</x:v>
      </x:c>
      <x:c r="Q1761" s="49" t="n">
        <x:v>0</x:v>
      </x:c>
      <x:c r="R1761" s="50" t="n">
        <x:v>0.8383960927960927</x:v>
      </x:c>
      <x:c r="S1761" s="50" t="n">
        <x:v>0.8341411111111111</x:v>
      </x:c>
      <x:c r="T1761" s="1" t="str">
        <x:v>全場</x:v>
      </x:c>
      <x:c r="U1761" s="49" t="n">
        <x:v>50</x:v>
      </x:c>
    </x:row>
    <x:row r="1762" ht="22" customHeight="1">
      <x:c r="A1762" s="1" t="str">
        <x:v>TOPIXmini</x:v>
      </x:c>
      <x:c r="B1762" s="1" t="str">
        <x:v>P06</x:v>
      </x:c>
      <x:c r="C1762" s="1" t="str">
        <x:v>全50場</x:v>
      </x:c>
      <x:c r="D1762" s="47" t="n">
        <x:v>2645272</x:v>
      </x:c>
      <x:c r="E1762" s="47" t="n">
        <x:v>5571990</x:v>
      </x:c>
      <x:c r="F1762" s="47" t="n">
        <x:f>D1762-E1762</x:f>
        <x:v>-2926718</x:v>
      </x:c>
      <x:c r="G1762" s="49" t="n">
        <x:v>1</x:v>
      </x:c>
      <x:c r="H1762" s="49" t="n">
        <x:v>24</x:v>
      </x:c>
      <x:c r="I1762" s="47" t="n">
        <x:v>-2983770</x:v>
      </x:c>
      <x:c r="J1762" s="49" t="n">
        <x:v>1673</x:v>
      </x:c>
      <x:c r="K1762" s="47" t="n">
        <x:v>-321102</x:v>
      </x:c>
      <x:c r="L1762" s="47" t="n">
        <x:v>124323.75</x:v>
      </x:c>
      <x:c r="M1762" s="48" t="n">
        <x:v>4.675333333333333</x:v>
      </x:c>
      <x:c r="N1762" s="48" t="n">
        <x:v>358.08333333333337</x:v>
      </x:c>
      <x:c r="O1762" s="49" t="n">
        <x:v>2</x:v>
      </x:c>
      <x:c r="P1762" s="1" t="str">
        <x:v>反対合議で返済後に反転・広め</x:v>
      </x:c>
      <x:c r="Q1762" s="49" t="n">
        <x:v>0</x:v>
      </x:c>
      <x:c r="R1762" s="50" t="n">
        <x:v>0.852579365079365</x:v>
      </x:c>
      <x:c r="S1762" s="50" t="n">
        <x:v>0.8525793650793652</x:v>
      </x:c>
      <x:c r="T1762" s="1" t="str">
        <x:v>デイ</x:v>
      </x:c>
      <x:c r="U1762" s="49" t="n">
        <x:v>25</x:v>
      </x:c>
    </x:row>
    <x:row r="1763" ht="22" customHeight="1">
      <x:c r="A1763" s="1" t="str">
        <x:v>TOPIXmini</x:v>
      </x:c>
      <x:c r="B1763" s="1" t="str">
        <x:v>P06</x:v>
      </x:c>
      <x:c r="C1763" s="1" t="str">
        <x:v>全50場</x:v>
      </x:c>
      <x:c r="D1763" s="47" t="n">
        <x:v>3013948</x:v>
      </x:c>
      <x:c r="E1763" s="47" t="n">
        <x:v>4827518</x:v>
      </x:c>
      <x:c r="F1763" s="47" t="n">
        <x:f>D1763-E1763</x:f>
        <x:v>-1813570</x:v>
      </x:c>
      <x:c r="G1763" s="49" t="n">
        <x:v>1</x:v>
      </x:c>
      <x:c r="H1763" s="49" t="n">
        <x:v>24</x:v>
      </x:c>
      <x:c r="I1763" s="47" t="n">
        <x:v>-1818954</x:v>
      </x:c>
      <x:c r="J1763" s="49" t="n">
        <x:v>1395</x:v>
      </x:c>
      <x:c r="K1763" s="47" t="n">
        <x:v>-173462</x:v>
      </x:c>
      <x:c r="L1763" s="47" t="n">
        <x:v>75789.75</x:v>
      </x:c>
      <x:c r="M1763" s="48" t="n">
        <x:v>6.132</x:v>
      </x:c>
      <x:c r="N1763" s="48" t="n">
        <x:v>642.8860000000001</x:v>
      </x:c>
      <x:c r="O1763" s="49" t="n">
        <x:v>2</x:v>
      </x:c>
      <x:c r="P1763" s="1" t="str">
        <x:v>反対合議で返済後に反転・広め</x:v>
      </x:c>
      <x:c r="Q1763" s="49" t="n">
        <x:v>0</x:v>
      </x:c>
      <x:c r="R1763" s="50" t="n">
        <x:v>0.8242128205128205</x:v>
      </x:c>
      <x:c r="S1763" s="50" t="n">
        <x:v>0.8242128205128205</x:v>
      </x:c>
      <x:c r="T1763" s="1" t="str">
        <x:v>ナイト</x:v>
      </x:c>
      <x:c r="U1763" s="49" t="n">
        <x:v>25</x:v>
      </x:c>
    </x:row>
    <x:row r="1764" ht="22" customHeight="1">
      <x:c r="A1764" s="1" t="str">
        <x:v>TOPIXmini</x:v>
      </x:c>
      <x:c r="B1764" s="1" t="str">
        <x:v>P06</x:v>
      </x:c>
      <x:c r="C1764" s="1" t="str">
        <x:v>全50場</x:v>
      </x:c>
      <x:c r="D1764" s="47" t="n">
        <x:v>2617426</x:v>
      </x:c>
      <x:c r="E1764" s="47" t="n">
        <x:v>4877652</x:v>
      </x:c>
      <x:c r="F1764" s="47" t="n">
        <x:f>D1764-E1764</x:f>
        <x:v>-2260226</x:v>
      </x:c>
      <x:c r="G1764" s="49" t="n">
        <x:v>0</x:v>
      </x:c>
      <x:c r="H1764" s="49" t="n">
        <x:v>25</x:v>
      </x:c>
      <x:c r="I1764" s="47" t="n">
        <x:v>-2260226</x:v>
      </x:c>
      <x:c r="J1764" s="49" t="n">
        <x:v>1411</x:v>
      </x:c>
      <x:c r="K1764" s="47" t="n">
        <x:v>-227114</x:v>
      </x:c>
      <x:c r="L1764" s="47" t="n">
        <x:v>90409.04</x:v>
      </x:c>
      <x:c r="M1764" s="48" t="n">
        <x:v>4.252666666666667</x:v>
      </x:c>
      <x:c r="N1764" s="48" t="n">
        <x:v>507.876</x:v>
      </x:c>
      <x:c r="O1764" s="49" t="n">
        <x:v>2</x:v>
      </x:c>
      <x:c r="P1764" s="1" t="str">
        <x:v>反対合議で返済後に反転・広め</x:v>
      </x:c>
      <x:c r="Q1764" s="49" t="n">
        <x:v>0</x:v>
      </x:c>
      <x:c r="R1764" s="50" t="n">
        <x:v>0.8385135531135532</x:v>
      </x:c>
      <x:c r="S1764" s="50" t="n">
        <x:v>0.8364229249011857</x:v>
      </x:c>
      <x:c r="T1764" s="1" t="str">
        <x:v>上昇</x:v>
      </x:c>
      <x:c r="U1764" s="49" t="n">
        <x:v>25</x:v>
      </x:c>
    </x:row>
    <x:row r="1765" ht="22" customHeight="1">
      <x:c r="A1765" s="1" t="str">
        <x:v>TOPIXmini</x:v>
      </x:c>
      <x:c r="B1765" s="1" t="str">
        <x:v>P06</x:v>
      </x:c>
      <x:c r="C1765" s="1" t="str">
        <x:v>全50場</x:v>
      </x:c>
      <x:c r="D1765" s="47" t="n">
        <x:v>3041794</x:v>
      </x:c>
      <x:c r="E1765" s="47" t="n">
        <x:v>5521856</x:v>
      </x:c>
      <x:c r="F1765" s="47" t="n">
        <x:f>D1765-E1765</x:f>
        <x:v>-2480062</x:v>
      </x:c>
      <x:c r="G1765" s="49" t="n">
        <x:v>2</x:v>
      </x:c>
      <x:c r="H1765" s="49" t="n">
        <x:v>23</x:v>
      </x:c>
      <x:c r="I1765" s="47" t="n">
        <x:v>-2542498</x:v>
      </x:c>
      <x:c r="J1765" s="49" t="n">
        <x:v>1657</x:v>
      </x:c>
      <x:c r="K1765" s="47" t="n">
        <x:v>-321102</x:v>
      </x:c>
      <x:c r="L1765" s="47" t="n">
        <x:v>110543.39130434782</x:v>
      </x:c>
      <x:c r="M1765" s="48" t="n">
        <x:v>6.554666666666667</x:v>
      </x:c>
      <x:c r="N1765" s="48" t="n">
        <x:v>493.09333333333336</x:v>
      </x:c>
      <x:c r="O1765" s="49" t="n">
        <x:v>2</x:v>
      </x:c>
      <x:c r="P1765" s="1" t="str">
        <x:v>反対合議で返済後に反転・広め</x:v>
      </x:c>
      <x:c r="Q1765" s="49" t="n">
        <x:v>0</x:v>
      </x:c>
      <x:c r="R1765" s="50" t="n">
        <x:v>0.8382786324786324</x:v>
      </x:c>
      <x:c r="S1765" s="50" t="n">
        <x:v>0.831803868645974</x:v>
      </x:c>
      <x:c r="T1765" s="1" t="str">
        <x:v>下落</x:v>
      </x:c>
      <x:c r="U1765" s="49" t="n">
        <x:v>25</x:v>
      </x:c>
    </x:row>
    <x:row r="1766" ht="22" customHeight="1">
      <x:c r="A1766" s="1" t="str">
        <x:v>TOPIXmini</x:v>
      </x:c>
      <x:c r="B1766" s="1" t="str">
        <x:v>P06</x:v>
      </x:c>
      <x:c r="C1766" s="1" t="str">
        <x:v>対照47場</x:v>
      </x:c>
      <x:c r="D1766" s="47" t="n">
        <x:v>4972666</x:v>
      </x:c>
      <x:c r="E1766" s="47" t="n">
        <x:v>9677604</x:v>
      </x:c>
      <x:c r="F1766" s="47" t="n">
        <x:f>D1766-E1766</x:f>
        <x:v>-4704938</x:v>
      </x:c>
      <x:c r="G1766" s="49" t="n">
        <x:v>0</x:v>
      </x:c>
      <x:c r="H1766" s="49" t="n">
        <x:v>47</x:v>
      </x:c>
      <x:c r="I1766" s="47" t="n">
        <x:v>-4704938</x:v>
      </x:c>
      <x:c r="J1766" s="49" t="n">
        <x:v>2843</x:v>
      </x:c>
      <x:c r="K1766" s="47" t="n">
        <x:v>-321102</x:v>
      </x:c>
      <x:c r="L1766" s="47" t="n">
        <x:v>100105.06382978724</x:v>
      </x:c>
      <x:c r="M1766" s="48" t="n">
        <x:v>5.558156028368795</x:v>
      </x:c>
      <x:c r="N1766" s="48" t="n">
        <x:v>495.1641843971632</x:v>
      </x:c>
      <x:c r="O1766" s="49" t="n">
        <x:v>2</x:v>
      </x:c>
      <x:c r="P1766" s="1" t="str">
        <x:v>反対合議で返済後に反転・広め</x:v>
      </x:c>
      <x:c r="Q1766" s="49" t="n">
        <x:v>0</x:v>
      </x:c>
      <x:c r="R1766" s="50" t="n">
        <x:v>0.8350526719143738</x:v>
      </x:c>
      <x:c r="S1766" s="50" t="n">
        <x:v>0.8305751843921009</x:v>
      </x:c>
      <x:c r="T1766" s="1" t="str">
        <x:v>全場</x:v>
      </x:c>
      <x:c r="U1766" s="49" t="n">
        <x:v>47</x:v>
      </x:c>
    </x:row>
    <x:row r="1767" ht="22" customHeight="1">
      <x:c r="A1767" s="1" t="str">
        <x:v>TOPIXmini</x:v>
      </x:c>
      <x:c r="B1767" s="1" t="str">
        <x:v>P06</x:v>
      </x:c>
      <x:c r="C1767" s="1" t="str">
        <x:v>対照47場</x:v>
      </x:c>
      <x:c r="D1767" s="47" t="n">
        <x:v>2324754</x:v>
      </x:c>
      <x:c r="E1767" s="47" t="n">
        <x:v>5308524</x:v>
      </x:c>
      <x:c r="F1767" s="47" t="n">
        <x:f>D1767-E1767</x:f>
        <x:v>-2983770</x:v>
      </x:c>
      <x:c r="G1767" s="49" t="n">
        <x:v>0</x:v>
      </x:c>
      <x:c r="H1767" s="49" t="n">
        <x:v>24</x:v>
      </x:c>
      <x:c r="I1767" s="47" t="n">
        <x:v>-2983770</x:v>
      </x:c>
      <x:c r="J1767" s="49" t="n">
        <x:v>1595</x:v>
      </x:c>
      <x:c r="K1767" s="47" t="n">
        <x:v>-321102</x:v>
      </x:c>
      <x:c r="L1767" s="47" t="n">
        <x:v>124323.75</x:v>
      </x:c>
      <x:c r="M1767" s="48" t="n">
        <x:v>4.756944444444444</x:v>
      </x:c>
      <x:c r="N1767" s="48" t="n">
        <x:v>356.8208333333334</x:v>
      </x:c>
      <x:c r="O1767" s="49" t="n">
        <x:v>2</x:v>
      </x:c>
      <x:c r="P1767" s="1" t="str">
        <x:v>反対合議で返済後に反転・広め</x:v>
      </x:c>
      <x:c r="Q1767" s="49" t="n">
        <x:v>0</x:v>
      </x:c>
      <x:c r="R1767" s="50" t="n">
        <x:v>0.8495734126984127</x:v>
      </x:c>
      <x:c r="S1767" s="50" t="n">
        <x:v>0.8495734126984128</x:v>
      </x:c>
      <x:c r="T1767" s="1" t="str">
        <x:v>デイ</x:v>
      </x:c>
      <x:c r="U1767" s="49" t="n">
        <x:v>24</x:v>
      </x:c>
    </x:row>
    <x:row r="1768" ht="22" customHeight="1">
      <x:c r="A1768" s="1" t="str">
        <x:v>TOPIXmini</x:v>
      </x:c>
      <x:c r="B1768" s="1" t="str">
        <x:v>P06</x:v>
      </x:c>
      <x:c r="C1768" s="1" t="str">
        <x:v>対照47場</x:v>
      </x:c>
      <x:c r="D1768" s="47" t="n">
        <x:v>2647912</x:v>
      </x:c>
      <x:c r="E1768" s="47" t="n">
        <x:v>4369080</x:v>
      </x:c>
      <x:c r="F1768" s="47" t="n">
        <x:f>D1768-E1768</x:f>
        <x:v>-1721168</x:v>
      </x:c>
      <x:c r="G1768" s="49" t="n">
        <x:v>0</x:v>
      </x:c>
      <x:c r="H1768" s="49" t="n">
        <x:v>23</x:v>
      </x:c>
      <x:c r="I1768" s="47" t="n">
        <x:v>-1721168</x:v>
      </x:c>
      <x:c r="J1768" s="49" t="n">
        <x:v>1248</x:v>
      </x:c>
      <x:c r="K1768" s="47" t="n">
        <x:v>-173462</x:v>
      </x:c>
      <x:c r="L1768" s="47" t="n">
        <x:v>74833.39130434782</x:v>
      </x:c>
      <x:c r="M1768" s="48" t="n">
        <x:v>6.394202898550725</x:v>
      </x:c>
      <x:c r="N1768" s="48" t="n">
        <x:v>639.5224637681158</x:v>
      </x:c>
      <x:c r="O1768" s="49" t="n">
        <x:v>2</x:v>
      </x:c>
      <x:c r="P1768" s="1" t="str">
        <x:v>反対合議で返済後に反転・広め</x:v>
      </x:c>
      <x:c r="Q1768" s="49" t="n">
        <x:v>0</x:v>
      </x:c>
      <x:c r="R1768" s="50" t="n">
        <x:v>0.8199005945745076</x:v>
      </x:c>
      <x:c r="S1768" s="50" t="n">
        <x:v>0.8199005945745076</x:v>
      </x:c>
      <x:c r="T1768" s="1" t="str">
        <x:v>ナイト</x:v>
      </x:c>
      <x:c r="U1768" s="49" t="n">
        <x:v>23</x:v>
      </x:c>
    </x:row>
    <x:row r="1769" ht="22" customHeight="1">
      <x:c r="A1769" s="1" t="str">
        <x:v>TOPIXmini</x:v>
      </x:c>
      <x:c r="B1769" s="1" t="str">
        <x:v>P06</x:v>
      </x:c>
      <x:c r="C1769" s="1" t="str">
        <x:v>対照47場</x:v>
      </x:c>
      <x:c r="D1769" s="47" t="n">
        <x:v>2462410</x:v>
      </x:c>
      <x:c r="E1769" s="47" t="n">
        <x:v>4624850</x:v>
      </x:c>
      <x:c r="F1769" s="47" t="n">
        <x:f>D1769-E1769</x:f>
        <x:v>-2162440</x:v>
      </x:c>
      <x:c r="G1769" s="49" t="n">
        <x:v>0</x:v>
      </x:c>
      <x:c r="H1769" s="49" t="n">
        <x:v>24</x:v>
      </x:c>
      <x:c r="I1769" s="47" t="n">
        <x:v>-2162440</x:v>
      </x:c>
      <x:c r="J1769" s="49" t="n">
        <x:v>1340</x:v>
      </x:c>
      <x:c r="K1769" s="47" t="n">
        <x:v>-227114</x:v>
      </x:c>
      <x:c r="L1769" s="47" t="n">
        <x:v>90101.66666666667</x:v>
      </x:c>
      <x:c r="M1769" s="48" t="n">
        <x:v>4.336805555555556</x:v>
      </x:c>
      <x:c r="N1769" s="48" t="n">
        <x:v>499.8354166666666</x:v>
      </x:c>
      <x:c r="O1769" s="49" t="n">
        <x:v>2</x:v>
      </x:c>
      <x:c r="P1769" s="1" t="str">
        <x:v>反対合議で返済後に反転・広め</x:v>
      </x:c>
      <x:c r="Q1769" s="49" t="n">
        <x:v>0</x:v>
      </x:c>
      <x:c r="R1769" s="50" t="n">
        <x:v>0.8360130494505494</x:v>
      </x:c>
      <x:c r="S1769" s="50" t="n">
        <x:v>0.8330590277777777</x:v>
      </x:c>
      <x:c r="T1769" s="1" t="str">
        <x:v>上昇</x:v>
      </x:c>
      <x:c r="U1769" s="49" t="n">
        <x:v>24</x:v>
      </x:c>
    </x:row>
    <x:row r="1770" ht="22" customHeight="1">
      <x:c r="A1770" s="1" t="str">
        <x:v>TOPIXmini</x:v>
      </x:c>
      <x:c r="B1770" s="1" t="str">
        <x:v>P06</x:v>
      </x:c>
      <x:c r="C1770" s="1" t="str">
        <x:v>対照47場</x:v>
      </x:c>
      <x:c r="D1770" s="47" t="n">
        <x:v>2510256</x:v>
      </x:c>
      <x:c r="E1770" s="47" t="n">
        <x:v>5052754</x:v>
      </x:c>
      <x:c r="F1770" s="47" t="n">
        <x:f>D1770-E1770</x:f>
        <x:v>-2542498</x:v>
      </x:c>
      <x:c r="G1770" s="49" t="n">
        <x:v>0</x:v>
      </x:c>
      <x:c r="H1770" s="49" t="n">
        <x:v>23</x:v>
      </x:c>
      <x:c r="I1770" s="47" t="n">
        <x:v>-2542498</x:v>
      </x:c>
      <x:c r="J1770" s="49" t="n">
        <x:v>1503</x:v>
      </x:c>
      <x:c r="K1770" s="47" t="n">
        <x:v>-321102</x:v>
      </x:c>
      <x:c r="L1770" s="47" t="n">
        <x:v>110543.39130434782</x:v>
      </x:c>
      <x:c r="M1770" s="48" t="n">
        <x:v>6.832608695652173</x:v>
      </x:c>
      <x:c r="N1770" s="48" t="n">
        <x:v>490.28985507246375</x:v>
      </x:c>
      <x:c r="O1770" s="49" t="n">
        <x:v>2</x:v>
      </x:c>
      <x:c r="P1770" s="1" t="str">
        <x:v>反対合議で返済後に反転・広め</x:v>
      </x:c>
      <x:c r="Q1770" s="49" t="n">
        <x:v>0</x:v>
      </x:c>
      <x:c r="R1770" s="50" t="n">
        <x:v>0.8340505388331474</x:v>
      </x:c>
      <x:c r="S1770" s="50" t="n">
        <x:v>0.8279490944689182</x:v>
      </x:c>
      <x:c r="T1770" s="1" t="str">
        <x:v>下落</x:v>
      </x:c>
      <x:c r="U1770" s="49" t="n">
        <x:v>23</x:v>
      </x:c>
    </x:row>
    <x:row r="1771" ht="22" customHeight="1">
      <x:c r="A1771" s="1" t="str">
        <x:v>TOPIXmini</x:v>
      </x:c>
      <x:c r="B1771" s="1" t="str">
        <x:v>P06</x:v>
      </x:c>
      <x:c r="C1771" s="1" t="str">
        <x:v>診断3場</x:v>
      </x:c>
      <x:c r="D1771" s="47" t="n">
        <x:v>686554</x:v>
      </x:c>
      <x:c r="E1771" s="47" t="n">
        <x:v>721904</x:v>
      </x:c>
      <x:c r="F1771" s="47" t="n">
        <x:f>D1771-E1771</x:f>
        <x:v>-35350</x:v>
      </x:c>
      <x:c r="G1771" s="49" t="n">
        <x:v>2</x:v>
      </x:c>
      <x:c r="H1771" s="49" t="n">
        <x:v>1</x:v>
      </x:c>
      <x:c r="I1771" s="47" t="n">
        <x:v>-97786</x:v>
      </x:c>
      <x:c r="J1771" s="49" t="n">
        <x:v>225</x:v>
      </x:c>
      <x:c r="K1771" s="47" t="n">
        <x:v>-97786</x:v>
      </x:c>
      <x:c r="L1771" s="47" t="n">
        <x:v>97786</x:v>
      </x:c>
      <x:c r="M1771" s="48" t="n">
        <x:v>2.983333333333333</x:v>
      </x:c>
      <x:c r="N1771" s="48" t="n">
        <x:v>583.8388888888888</x:v>
      </x:c>
      <x:c r="O1771" s="49" t="n">
        <x:v>2</x:v>
      </x:c>
      <x:c r="P1771" s="1" t="str">
        <x:v>反対合議で返済後に反転・広め</x:v>
      </x:c>
      <x:c r="Q1771" s="49" t="n">
        <x:v>0</x:v>
      </x:c>
      <x:c r="R1771" s="50" t="n">
        <x:v>0.8907763532763533</x:v>
      </x:c>
      <x:c r="S1771" s="50" t="n">
        <x:v>0.8846043771043771</x:v>
      </x:c>
      <x:c r="T1771" s="1" t="str">
        <x:v>全場</x:v>
      </x:c>
      <x:c r="U1771" s="49" t="n">
        <x:v>3</x:v>
      </x:c>
    </x:row>
    <x:row r="1772" ht="22" customHeight="1">
      <x:c r="A1772" s="1" t="str">
        <x:v>TOPIXmini</x:v>
      </x:c>
      <x:c r="B1772" s="1" t="str">
        <x:v>P06</x:v>
      </x:c>
      <x:c r="C1772" s="1" t="str">
        <x:v>診断3場</x:v>
      </x:c>
      <x:c r="D1772" s="47" t="n">
        <x:v>320518</x:v>
      </x:c>
      <x:c r="E1772" s="47" t="n">
        <x:v>263466</x:v>
      </x:c>
      <x:c r="F1772" s="47" t="n">
        <x:f>D1772-E1772</x:f>
        <x:v>57052</x:v>
      </x:c>
      <x:c r="G1772" s="49" t="n">
        <x:v>1</x:v>
      </x:c>
      <x:c r="H1772" s="49" t="n">
        <x:v>0</x:v>
      </x:c>
      <x:c r="I1772" s="47" t="n">
        <x:v>0</x:v>
      </x:c>
      <x:c r="J1772" s="49" t="n">
        <x:v>78</x:v>
      </x:c>
      <x:c r="K1772" s="47" t="n">
        <x:v>57052</x:v>
      </x:c>
      <x:c r="L1772" s="47" t="n">
        <x:v>0</x:v>
      </x:c>
      <x:c r="M1772" s="48" t="n">
        <x:v>2.716666666666667</x:v>
      </x:c>
      <x:c r="N1772" s="48" t="n">
        <x:v>388.3833333333333</x:v>
      </x:c>
      <x:c r="O1772" s="49" t="n">
        <x:v>2</x:v>
      </x:c>
      <x:c r="P1772" s="1" t="str">
        <x:v>反対合議で返済後に反転・広め</x:v>
      </x:c>
      <x:c r="Q1772" s="49" t="n">
        <x:v>0</x:v>
      </x:c>
      <x:c r="R1772" s="50" t="n">
        <x:v>0.9247222222222222</x:v>
      </x:c>
      <x:c r="S1772" s="50" t="n">
        <x:v>0.9247222222222222</x:v>
      </x:c>
      <x:c r="T1772" s="1" t="str">
        <x:v>デイ</x:v>
      </x:c>
      <x:c r="U1772" s="49" t="n">
        <x:v>1</x:v>
      </x:c>
    </x:row>
    <x:row r="1773" ht="22" customHeight="1">
      <x:c r="A1773" s="1" t="str">
        <x:v>TOPIXmini</x:v>
      </x:c>
      <x:c r="B1773" s="1" t="str">
        <x:v>P06</x:v>
      </x:c>
      <x:c r="C1773" s="1" t="str">
        <x:v>診断3場</x:v>
      </x:c>
      <x:c r="D1773" s="47" t="n">
        <x:v>366036</x:v>
      </x:c>
      <x:c r="E1773" s="47" t="n">
        <x:v>458438</x:v>
      </x:c>
      <x:c r="F1773" s="47" t="n">
        <x:f>D1773-E1773</x:f>
        <x:v>-92402</x:v>
      </x:c>
      <x:c r="G1773" s="49" t="n">
        <x:v>1</x:v>
      </x:c>
      <x:c r="H1773" s="49" t="n">
        <x:v>1</x:v>
      </x:c>
      <x:c r="I1773" s="47" t="n">
        <x:v>-97786</x:v>
      </x:c>
      <x:c r="J1773" s="49" t="n">
        <x:v>147</x:v>
      </x:c>
      <x:c r="K1773" s="47" t="n">
        <x:v>-97786</x:v>
      </x:c>
      <x:c r="L1773" s="47" t="n">
        <x:v>97786</x:v>
      </x:c>
      <x:c r="M1773" s="48" t="n">
        <x:v>3.1166666666666667</x:v>
      </x:c>
      <x:c r="N1773" s="48" t="n">
        <x:v>681.5666666666666</x:v>
      </x:c>
      <x:c r="O1773" s="49" t="n">
        <x:v>2</x:v>
      </x:c>
      <x:c r="P1773" s="1" t="str">
        <x:v>反対合議で返済後に反転・広め</x:v>
      </x:c>
      <x:c r="Q1773" s="49" t="n">
        <x:v>0</x:v>
      </x:c>
      <x:c r="R1773" s="50" t="n">
        <x:v>0.8738034188034188</x:v>
      </x:c>
      <x:c r="S1773" s="50" t="n">
        <x:v>0.8738034188034187</x:v>
      </x:c>
      <x:c r="T1773" s="1" t="str">
        <x:v>ナイト</x:v>
      </x:c>
      <x:c r="U1773" s="49" t="n">
        <x:v>2</x:v>
      </x:c>
    </x:row>
    <x:row r="1774" ht="22" customHeight="1">
      <x:c r="A1774" s="1" t="str">
        <x:v>TOPIXmini</x:v>
      </x:c>
      <x:c r="B1774" s="1" t="str">
        <x:v>P06</x:v>
      </x:c>
      <x:c r="C1774" s="1" t="str">
        <x:v>診断3場</x:v>
      </x:c>
      <x:c r="D1774" s="47" t="n">
        <x:v>155016</x:v>
      </x:c>
      <x:c r="E1774" s="47" t="n">
        <x:v>252802</x:v>
      </x:c>
      <x:c r="F1774" s="47" t="n">
        <x:f>D1774-E1774</x:f>
        <x:v>-97786</x:v>
      </x:c>
      <x:c r="G1774" s="49" t="n">
        <x:v>0</x:v>
      </x:c>
      <x:c r="H1774" s="49" t="n">
        <x:v>1</x:v>
      </x:c>
      <x:c r="I1774" s="47" t="n">
        <x:v>-97786</x:v>
      </x:c>
      <x:c r="J1774" s="49" t="n">
        <x:v>71</x:v>
      </x:c>
      <x:c r="K1774" s="47" t="n">
        <x:v>-97786</x:v>
      </x:c>
      <x:c r="L1774" s="47" t="n">
        <x:v>97786</x:v>
      </x:c>
      <x:c r="M1774" s="48" t="n">
        <x:v>2.2333333333333334</x:v>
      </x:c>
      <x:c r="N1774" s="48" t="n">
        <x:v>700.85</x:v>
      </x:c>
      <x:c r="O1774" s="49" t="n">
        <x:v>2</x:v>
      </x:c>
      <x:c r="P1774" s="1" t="str">
        <x:v>反対合議で返済後に反転・広め</x:v>
      </x:c>
      <x:c r="Q1774" s="49" t="n">
        <x:v>0</x:v>
      </x:c>
      <x:c r="R1774" s="50" t="n">
        <x:v>0.898525641025641</x:v>
      </x:c>
      <x:c r="S1774" s="50" t="n">
        <x:v>0.898525641025641</x:v>
      </x:c>
      <x:c r="T1774" s="1" t="str">
        <x:v>上昇</x:v>
      </x:c>
      <x:c r="U1774" s="49" t="n">
        <x:v>1</x:v>
      </x:c>
    </x:row>
    <x:row r="1775" ht="22" customHeight="1">
      <x:c r="A1775" s="1" t="str">
        <x:v>TOPIXmini</x:v>
      </x:c>
      <x:c r="B1775" s="1" t="str">
        <x:v>P06</x:v>
      </x:c>
      <x:c r="C1775" s="1" t="str">
        <x:v>診断3場</x:v>
      </x:c>
      <x:c r="D1775" s="47" t="n">
        <x:v>531538</x:v>
      </x:c>
      <x:c r="E1775" s="47" t="n">
        <x:v>469102</x:v>
      </x:c>
      <x:c r="F1775" s="47" t="n">
        <x:f>D1775-E1775</x:f>
        <x:v>62436</x:v>
      </x:c>
      <x:c r="G1775" s="49" t="n">
        <x:v>2</x:v>
      </x:c>
      <x:c r="H1775" s="49" t="n">
        <x:v>0</x:v>
      </x:c>
      <x:c r="I1775" s="47" t="n">
        <x:v>0</x:v>
      </x:c>
      <x:c r="J1775" s="49" t="n">
        <x:v>154</x:v>
      </x:c>
      <x:c r="K1775" s="47" t="n">
        <x:v>5384</x:v>
      </x:c>
      <x:c r="L1775" s="47" t="n">
        <x:v>0</x:v>
      </x:c>
      <x:c r="M1775" s="48" t="n">
        <x:v>3.3583333333333334</x:v>
      </x:c>
      <x:c r="N1775" s="48" t="n">
        <x:v>525.3333333333333</x:v>
      </x:c>
      <x:c r="O1775" s="49" t="n">
        <x:v>2</x:v>
      </x:c>
      <x:c r="P1775" s="1" t="str">
        <x:v>反対合議で返済後に反転・広め</x:v>
      </x:c>
      <x:c r="Q1775" s="49" t="n">
        <x:v>0</x:v>
      </x:c>
      <x:c r="R1775" s="50" t="n">
        <x:v>0.8869017094017094</x:v>
      </x:c>
      <x:c r="S1775" s="50" t="n">
        <x:v>0.8755555555555554</x:v>
      </x:c>
      <x:c r="T1775" s="1" t="str">
        <x:v>下落</x:v>
      </x:c>
      <x:c r="U1775" s="49" t="n">
        <x:v>2</x:v>
      </x:c>
    </x:row>
    <x:row r="1776" ht="22" customHeight="1">
      <x:c r="A1776" s="1" t="str">
        <x:v>TOPIXmini</x:v>
      </x:c>
      <x:c r="B1776" s="1" t="str">
        <x:v>P07</x:v>
      </x:c>
      <x:c r="C1776" s="1" t="str">
        <x:v>全50場</x:v>
      </x:c>
      <x:c r="D1776" s="47" t="n">
        <x:v>5530164</x:v>
      </x:c>
      <x:c r="E1776" s="47" t="n">
        <x:v>9371120</x:v>
      </x:c>
      <x:c r="F1776" s="47" t="n">
        <x:f>D1776-E1776</x:f>
        <x:v>-3840956</x:v>
      </x:c>
      <x:c r="G1776" s="49" t="n">
        <x:v>4</x:v>
      </x:c>
      <x:c r="H1776" s="49" t="n">
        <x:v>46</x:v>
      </x:c>
      <x:c r="I1776" s="47" t="n">
        <x:v>-3962918</x:v>
      </x:c>
      <x:c r="J1776" s="49" t="n">
        <x:v>2566</x:v>
      </x:c>
      <x:c r="K1776" s="47" t="n">
        <x:v>-276612</x:v>
      </x:c>
      <x:c r="L1776" s="47" t="n">
        <x:v>86172.56521739131</x:v>
      </x:c>
      <x:c r="M1776" s="48" t="n">
        <x:v>5.653</x:v>
      </x:c>
      <x:c r="N1776" s="48" t="n">
        <x:v>467.34933333333333</x:v>
      </x:c>
      <x:c r="O1776" s="49" t="n">
        <x:v>2</x:v>
      </x:c>
      <x:c r="P1776" s="1" t="str">
        <x:v>価格と原板の合議・標準</x:v>
      </x:c>
      <x:c r="Q1776" s="49" t="n">
        <x:v>0</x:v>
      </x:c>
      <x:c r="R1776" s="50" t="n">
        <x:v>0.7963412698412697</x:v>
      </x:c>
      <x:c r="S1776" s="50" t="n">
        <x:v>0.7789155555555556</x:v>
      </x:c>
      <x:c r="T1776" s="1" t="str">
        <x:v>全場</x:v>
      </x:c>
      <x:c r="U1776" s="49" t="n">
        <x:v>50</x:v>
      </x:c>
    </x:row>
    <x:row r="1777" ht="22" customHeight="1">
      <x:c r="A1777" s="1" t="str">
        <x:v>TOPIXmini</x:v>
      </x:c>
      <x:c r="B1777" s="1" t="str">
        <x:v>P07</x:v>
      </x:c>
      <x:c r="C1777" s="1" t="str">
        <x:v>全50場</x:v>
      </x:c>
      <x:c r="D1777" s="47" t="n">
        <x:v>2610248</x:v>
      </x:c>
      <x:c r="E1777" s="47" t="n">
        <x:v>5136636</x:v>
      </x:c>
      <x:c r="F1777" s="47" t="n">
        <x:f>D1777-E1777</x:f>
        <x:v>-2526388</x:v>
      </x:c>
      <x:c r="G1777" s="49" t="n">
        <x:v>1</x:v>
      </x:c>
      <x:c r="H1777" s="49" t="n">
        <x:v>24</x:v>
      </x:c>
      <x:c r="I1777" s="47" t="n">
        <x:v>-2589768</x:v>
      </x:c>
      <x:c r="J1777" s="49" t="n">
        <x:v>1418</x:v>
      </x:c>
      <x:c r="K1777" s="47" t="n">
        <x:v>-276612</x:v>
      </x:c>
      <x:c r="L1777" s="47" t="n">
        <x:v>107907</x:v>
      </x:c>
      <x:c r="M1777" s="48" t="n">
        <x:v>4.962</x:v>
      </x:c>
      <x:c r="N1777" s="48" t="n">
        <x:v>358.8593333333333</x:v>
      </x:c>
      <x:c r="O1777" s="49" t="n">
        <x:v>2</x:v>
      </x:c>
      <x:c r="P1777" s="1" t="str">
        <x:v>価格と原板の合議・標準</x:v>
      </x:c>
      <x:c r="Q1777" s="49" t="n">
        <x:v>0</x:v>
      </x:c>
      <x:c r="R1777" s="50" t="n">
        <x:v>0.8544269841269841</x:v>
      </x:c>
      <x:c r="S1777" s="50" t="n">
        <x:v>0.8544269841269841</x:v>
      </x:c>
      <x:c r="T1777" s="1" t="str">
        <x:v>デイ</x:v>
      </x:c>
      <x:c r="U1777" s="49" t="n">
        <x:v>25</x:v>
      </x:c>
    </x:row>
    <x:row r="1778" ht="22" customHeight="1">
      <x:c r="A1778" s="1" t="str">
        <x:v>TOPIXmini</x:v>
      </x:c>
      <x:c r="B1778" s="1" t="str">
        <x:v>P07</x:v>
      </x:c>
      <x:c r="C1778" s="1" t="str">
        <x:v>全50場</x:v>
      </x:c>
      <x:c r="D1778" s="47" t="n">
        <x:v>2919916</x:v>
      </x:c>
      <x:c r="E1778" s="47" t="n">
        <x:v>4234484</x:v>
      </x:c>
      <x:c r="F1778" s="47" t="n">
        <x:f>D1778-E1778</x:f>
        <x:v>-1314568</x:v>
      </x:c>
      <x:c r="G1778" s="49" t="n">
        <x:v>3</x:v>
      </x:c>
      <x:c r="H1778" s="49" t="n">
        <x:v>22</x:v>
      </x:c>
      <x:c r="I1778" s="47" t="n">
        <x:v>-1374170</x:v>
      </x:c>
      <x:c r="J1778" s="49" t="n">
        <x:v>1148</x:v>
      </x:c>
      <x:c r="K1778" s="47" t="n">
        <x:v>-167276</x:v>
      </x:c>
      <x:c r="L1778" s="47" t="n">
        <x:v>62462.27272727273</x:v>
      </x:c>
      <x:c r="M1778" s="48" t="n">
        <x:v>6.343999999999999</x:v>
      </x:c>
      <x:c r="N1778" s="48" t="n">
        <x:v>575.8393333333332</x:v>
      </x:c>
      <x:c r="O1778" s="49" t="n">
        <x:v>2</x:v>
      </x:c>
      <x:c r="P1778" s="1" t="str">
        <x:v>価格と原板の合議・標準</x:v>
      </x:c>
      <x:c r="Q1778" s="49" t="n">
        <x:v>0</x:v>
      </x:c>
      <x:c r="R1778" s="50" t="n">
        <x:v>0.7382555555555556</x:v>
      </x:c>
      <x:c r="S1778" s="50" t="n">
        <x:v>0.7382555555555556</x:v>
      </x:c>
      <x:c r="T1778" s="1" t="str">
        <x:v>ナイト</x:v>
      </x:c>
      <x:c r="U1778" s="49" t="n">
        <x:v>25</x:v>
      </x:c>
    </x:row>
    <x:row r="1779" ht="22" customHeight="1">
      <x:c r="A1779" s="1" t="str">
        <x:v>TOPIXmini</x:v>
      </x:c>
      <x:c r="B1779" s="1" t="str">
        <x:v>P07</x:v>
      </x:c>
      <x:c r="C1779" s="1" t="str">
        <x:v>全50場</x:v>
      </x:c>
      <x:c r="D1779" s="47" t="n">
        <x:v>2491066</x:v>
      </x:c>
      <x:c r="E1779" s="47" t="n">
        <x:v>4389614</x:v>
      </x:c>
      <x:c r="F1779" s="47" t="n">
        <x:f>D1779-E1779</x:f>
        <x:v>-1898548</x:v>
      </x:c>
      <x:c r="G1779" s="49" t="n">
        <x:v>1</x:v>
      </x:c>
      <x:c r="H1779" s="49" t="n">
        <x:v>24</x:v>
      </x:c>
      <x:c r="I1779" s="47" t="n">
        <x:v>-1922754</x:v>
      </x:c>
      <x:c r="J1779" s="49" t="n">
        <x:v>1178</x:v>
      </x:c>
      <x:c r="K1779" s="47" t="n">
        <x:v>-196122</x:v>
      </x:c>
      <x:c r="L1779" s="47" t="n">
        <x:v>80114.75</x:v>
      </x:c>
      <x:c r="M1779" s="48" t="n">
        <x:v>4.472666666666667</x:v>
      </x:c>
      <x:c r="N1779" s="48" t="n">
        <x:v>460.13266666666664</x:v>
      </x:c>
      <x:c r="O1779" s="49" t="n">
        <x:v>2</x:v>
      </x:c>
      <x:c r="P1779" s="1" t="str">
        <x:v>価格と原板の合議・標準</x:v>
      </x:c>
      <x:c r="Q1779" s="49" t="n">
        <x:v>0</x:v>
      </x:c>
      <x:c r="R1779" s="50" t="n">
        <x:v>0.7732294261294261</x:v>
      </x:c>
      <x:c r="S1779" s="50" t="n">
        <x:v>0.7577942468159858</x:v>
      </x:c>
      <x:c r="T1779" s="1" t="str">
        <x:v>上昇</x:v>
      </x:c>
      <x:c r="U1779" s="49" t="n">
        <x:v>25</x:v>
      </x:c>
    </x:row>
    <x:row r="1780" ht="22" customHeight="1">
      <x:c r="A1780" s="1" t="str">
        <x:v>TOPIXmini</x:v>
      </x:c>
      <x:c r="B1780" s="1" t="str">
        <x:v>P07</x:v>
      </x:c>
      <x:c r="C1780" s="1" t="str">
        <x:v>全50場</x:v>
      </x:c>
      <x:c r="D1780" s="47" t="n">
        <x:v>3039098</x:v>
      </x:c>
      <x:c r="E1780" s="47" t="n">
        <x:v>4981506</x:v>
      </x:c>
      <x:c r="F1780" s="47" t="n">
        <x:f>D1780-E1780</x:f>
        <x:v>-1942408</x:v>
      </x:c>
      <x:c r="G1780" s="49" t="n">
        <x:v>3</x:v>
      </x:c>
      <x:c r="H1780" s="49" t="n">
        <x:v>22</x:v>
      </x:c>
      <x:c r="I1780" s="47" t="n">
        <x:v>-2041184</x:v>
      </x:c>
      <x:c r="J1780" s="49" t="n">
        <x:v>1388</x:v>
      </x:c>
      <x:c r="K1780" s="47" t="n">
        <x:v>-276612</x:v>
      </x:c>
      <x:c r="L1780" s="47" t="n">
        <x:v>92781.09090909091</x:v>
      </x:c>
      <x:c r="M1780" s="48" t="n">
        <x:v>6.833333333333332</x:v>
      </x:c>
      <x:c r="N1780" s="48" t="n">
        <x:v>474.566</x:v>
      </x:c>
      <x:c r="O1780" s="49" t="n">
        <x:v>2</x:v>
      </x:c>
      <x:c r="P1780" s="1" t="str">
        <x:v>価格と原板の合議・標準</x:v>
      </x:c>
      <x:c r="Q1780" s="49" t="n">
        <x:v>0</x:v>
      </x:c>
      <x:c r="R1780" s="50" t="n">
        <x:v>0.8194531135531135</x:v>
      </x:c>
      <x:c r="S1780" s="50" t="n">
        <x:v>0.8005499325236167</x:v>
      </x:c>
      <x:c r="T1780" s="1" t="str">
        <x:v>下落</x:v>
      </x:c>
      <x:c r="U1780" s="49" t="n">
        <x:v>25</x:v>
      </x:c>
    </x:row>
    <x:row r="1781" ht="22" customHeight="1">
      <x:c r="A1781" s="1" t="str">
        <x:v>TOPIXmini</x:v>
      </x:c>
      <x:c r="B1781" s="1" t="str">
        <x:v>P07</x:v>
      </x:c>
      <x:c r="C1781" s="1" t="str">
        <x:v>対照47場</x:v>
      </x:c>
      <x:c r="D1781" s="47" t="n">
        <x:v>4865116</x:v>
      </x:c>
      <x:c r="E1781" s="47" t="n">
        <x:v>8768698</x:v>
      </x:c>
      <x:c r="F1781" s="47" t="n">
        <x:f>D1781-E1781</x:f>
        <x:v>-3903582</x:v>
      </x:c>
      <x:c r="G1781" s="49" t="n">
        <x:v>2</x:v>
      </x:c>
      <x:c r="H1781" s="49" t="n">
        <x:v>45</x:v>
      </x:c>
      <x:c r="I1781" s="47" t="n">
        <x:v>-3928808</x:v>
      </x:c>
      <x:c r="J1781" s="49" t="n">
        <x:v>2377</x:v>
      </x:c>
      <x:c r="K1781" s="47" t="n">
        <x:v>-276612</x:v>
      </x:c>
      <x:c r="L1781" s="47" t="n">
        <x:v>87306.84444444445</x:v>
      </x:c>
      <x:c r="M1781" s="48" t="n">
        <x:v>5.823404255319147</x:v>
      </x:c>
      <x:c r="N1781" s="48" t="n">
        <x:v>461.1950354609929</x:v>
      </x:c>
      <x:c r="O1781" s="49" t="n">
        <x:v>2</x:v>
      </x:c>
      <x:c r="P1781" s="1" t="str">
        <x:v>価格と原板の合議・標準</x:v>
      </x:c>
      <x:c r="Q1781" s="49" t="n">
        <x:v>0</x:v>
      </x:c>
      <x:c r="R1781" s="50" t="n">
        <x:v>0.7916829033850311</x:v>
      </x:c>
      <x:c r="S1781" s="50" t="n">
        <x:v>0.773596240780395</x:v>
      </x:c>
      <x:c r="T1781" s="1" t="str">
        <x:v>全場</x:v>
      </x:c>
      <x:c r="U1781" s="49" t="n">
        <x:v>47</x:v>
      </x:c>
    </x:row>
    <x:row r="1782" ht="22" customHeight="1">
      <x:c r="A1782" s="1" t="str">
        <x:v>TOPIXmini</x:v>
      </x:c>
      <x:c r="B1782" s="1" t="str">
        <x:v>P07</x:v>
      </x:c>
      <x:c r="C1782" s="1" t="str">
        <x:v>対照47場</x:v>
      </x:c>
      <x:c r="D1782" s="47" t="n">
        <x:v>2301896</x:v>
      </x:c>
      <x:c r="E1782" s="47" t="n">
        <x:v>4891664</x:v>
      </x:c>
      <x:c r="F1782" s="47" t="n">
        <x:f>D1782-E1782</x:f>
        <x:v>-2589768</x:v>
      </x:c>
      <x:c r="G1782" s="49" t="n">
        <x:v>0</x:v>
      </x:c>
      <x:c r="H1782" s="49" t="n">
        <x:v>24</x:v>
      </x:c>
      <x:c r="I1782" s="47" t="n">
        <x:v>-2589768</x:v>
      </x:c>
      <x:c r="J1782" s="49" t="n">
        <x:v>1348</x:v>
      </x:c>
      <x:c r="K1782" s="47" t="n">
        <x:v>-276612</x:v>
      </x:c>
      <x:c r="L1782" s="47" t="n">
        <x:v>107907</x:v>
      </x:c>
      <x:c r="M1782" s="48" t="n">
        <x:v>5.055555555555555</x:v>
      </x:c>
      <x:c r="N1782" s="48" t="n">
        <x:v>357.1423611111111</x:v>
      </x:c>
      <x:c r="O1782" s="49" t="n">
        <x:v>2</x:v>
      </x:c>
      <x:c r="P1782" s="1" t="str">
        <x:v>価格と原板の合議・標準</x:v>
      </x:c>
      <x:c r="Q1782" s="49" t="n">
        <x:v>0</x:v>
      </x:c>
      <x:c r="R1782" s="50" t="n">
        <x:v>0.8503389550264551</x:v>
      </x:c>
      <x:c r="S1782" s="50" t="n">
        <x:v>0.850338955026455</x:v>
      </x:c>
      <x:c r="T1782" s="1" t="str">
        <x:v>デイ</x:v>
      </x:c>
      <x:c r="U1782" s="49" t="n">
        <x:v>24</x:v>
      </x:c>
    </x:row>
    <x:row r="1783" ht="22" customHeight="1">
      <x:c r="A1783" s="1" t="str">
        <x:v>TOPIXmini</x:v>
      </x:c>
      <x:c r="B1783" s="1" t="str">
        <x:v>P07</x:v>
      </x:c>
      <x:c r="C1783" s="1" t="str">
        <x:v>対照47場</x:v>
      </x:c>
      <x:c r="D1783" s="47" t="n">
        <x:v>2563220</x:v>
      </x:c>
      <x:c r="E1783" s="47" t="n">
        <x:v>3877034</x:v>
      </x:c>
      <x:c r="F1783" s="47" t="n">
        <x:f>D1783-E1783</x:f>
        <x:v>-1313814</x:v>
      </x:c>
      <x:c r="G1783" s="49" t="n">
        <x:v>2</x:v>
      </x:c>
      <x:c r="H1783" s="49" t="n">
        <x:v>21</x:v>
      </x:c>
      <x:c r="I1783" s="47" t="n">
        <x:v>-1339040</x:v>
      </x:c>
      <x:c r="J1783" s="49" t="n">
        <x:v>1029</x:v>
      </x:c>
      <x:c r="K1783" s="47" t="n">
        <x:v>-167276</x:v>
      </x:c>
      <x:c r="L1783" s="47" t="n">
        <x:v>63763.80952380953</x:v>
      </x:c>
      <x:c r="M1783" s="48" t="n">
        <x:v>6.62463768115942</x:v>
      </x:c>
      <x:c r="N1783" s="48" t="n">
        <x:v>569.7717391304348</x:v>
      </x:c>
      <x:c r="O1783" s="49" t="n">
        <x:v>2</x:v>
      </x:c>
      <x:c r="P1783" s="1" t="str">
        <x:v>価格と原板の合議・標準</x:v>
      </x:c>
      <x:c r="Q1783" s="49" t="n">
        <x:v>0</x:v>
      </x:c>
      <x:c r="R1783" s="50" t="n">
        <x:v>0.7304765886287626</x:v>
      </x:c>
      <x:c r="S1783" s="50" t="n">
        <x:v>0.7304765886287625</x:v>
      </x:c>
      <x:c r="T1783" s="1" t="str">
        <x:v>ナイト</x:v>
      </x:c>
      <x:c r="U1783" s="49" t="n">
        <x:v>23</x:v>
      </x:c>
    </x:row>
    <x:row r="1784" ht="22" customHeight="1">
      <x:c r="A1784" s="1" t="str">
        <x:v>TOPIXmini</x:v>
      </x:c>
      <x:c r="B1784" s="1" t="str">
        <x:v>P07</x:v>
      </x:c>
      <x:c r="C1784" s="1" t="str">
        <x:v>対照47場</x:v>
      </x:c>
      <x:c r="D1784" s="47" t="n">
        <x:v>2341722</x:v>
      </x:c>
      <x:c r="E1784" s="47" t="n">
        <x:v>4205140</x:v>
      </x:c>
      <x:c r="F1784" s="47" t="n">
        <x:f>D1784-E1784</x:f>
        <x:v>-1863418</x:v>
      </x:c>
      <x:c r="G1784" s="49" t="n">
        <x:v>1</x:v>
      </x:c>
      <x:c r="H1784" s="49" t="n">
        <x:v>23</x:v>
      </x:c>
      <x:c r="I1784" s="47" t="n">
        <x:v>-1887624</x:v>
      </x:c>
      <x:c r="J1784" s="49" t="n">
        <x:v>1123</x:v>
      </x:c>
      <x:c r="K1784" s="47" t="n">
        <x:v>-196122</x:v>
      </x:c>
      <x:c r="L1784" s="47" t="n">
        <x:v>82070.60869565218</x:v>
      </x:c>
      <x:c r="M1784" s="48" t="n">
        <x:v>4.565972222222222</x:v>
      </x:c>
      <x:c r="N1784" s="48" t="n">
        <x:v>453.2763888888889</x:v>
      </x:c>
      <x:c r="O1784" s="49" t="n">
        <x:v>2</x:v>
      </x:c>
      <x:c r="P1784" s="1" t="str">
        <x:v>価格と原板の合議・標準</x:v>
      </x:c>
      <x:c r="Q1784" s="49" t="n">
        <x:v>0</x:v>
      </x:c>
      <x:c r="R1784" s="50" t="n">
        <x:v>0.7720774827024827</x:v>
      </x:c>
      <x:c r="S1784" s="50" t="n">
        <x:v>0.7554606481481482</x:v>
      </x:c>
      <x:c r="T1784" s="1" t="str">
        <x:v>上昇</x:v>
      </x:c>
      <x:c r="U1784" s="49" t="n">
        <x:v>24</x:v>
      </x:c>
    </x:row>
    <x:row r="1785" ht="22" customHeight="1">
      <x:c r="A1785" s="1" t="str">
        <x:v>TOPIXmini</x:v>
      </x:c>
      <x:c r="B1785" s="1" t="str">
        <x:v>P07</x:v>
      </x:c>
      <x:c r="C1785" s="1" t="str">
        <x:v>対照47場</x:v>
      </x:c>
      <x:c r="D1785" s="47" t="n">
        <x:v>2523394</x:v>
      </x:c>
      <x:c r="E1785" s="47" t="n">
        <x:v>4563558</x:v>
      </x:c>
      <x:c r="F1785" s="47" t="n">
        <x:f>D1785-E1785</x:f>
        <x:v>-2040164</x:v>
      </x:c>
      <x:c r="G1785" s="49" t="n">
        <x:v>1</x:v>
      </x:c>
      <x:c r="H1785" s="49" t="n">
        <x:v>22</x:v>
      </x:c>
      <x:c r="I1785" s="47" t="n">
        <x:v>-2041184</x:v>
      </x:c>
      <x:c r="J1785" s="49" t="n">
        <x:v>1254</x:v>
      </x:c>
      <x:c r="K1785" s="47" t="n">
        <x:v>-276612</x:v>
      </x:c>
      <x:c r="L1785" s="47" t="n">
        <x:v>92781.09090909091</x:v>
      </x:c>
      <x:c r="M1785" s="48" t="n">
        <x:v>7.135507246376811</x:v>
      </x:c>
      <x:c r="N1785" s="48" t="n">
        <x:v>469.45797101449267</x:v>
      </x:c>
      <x:c r="O1785" s="49" t="n">
        <x:v>2</x:v>
      </x:c>
      <x:c r="P1785" s="1" t="str">
        <x:v>価格と原板の合議・標準</x:v>
      </x:c>
      <x:c r="Q1785" s="49" t="n">
        <x:v>0</x:v>
      </x:c>
      <x:c r="R1785" s="50" t="n">
        <x:v>0.8121407336624726</x:v>
      </x:c>
      <x:c r="S1785" s="50" t="n">
        <x:v>0.7927704356338717</x:v>
      </x:c>
      <x:c r="T1785" s="1" t="str">
        <x:v>下落</x:v>
      </x:c>
      <x:c r="U1785" s="49" t="n">
        <x:v>23</x:v>
      </x:c>
    </x:row>
    <x:row r="1786" ht="22" customHeight="1">
      <x:c r="A1786" s="1" t="str">
        <x:v>TOPIXmini</x:v>
      </x:c>
      <x:c r="B1786" s="1" t="str">
        <x:v>P07</x:v>
      </x:c>
      <x:c r="C1786" s="1" t="str">
        <x:v>診断3場</x:v>
      </x:c>
      <x:c r="D1786" s="47" t="n">
        <x:v>665048</x:v>
      </x:c>
      <x:c r="E1786" s="47" t="n">
        <x:v>602422</x:v>
      </x:c>
      <x:c r="F1786" s="47" t="n">
        <x:f>D1786-E1786</x:f>
        <x:v>62626</x:v>
      </x:c>
      <x:c r="G1786" s="49" t="n">
        <x:v>2</x:v>
      </x:c>
      <x:c r="H1786" s="49" t="n">
        <x:v>1</x:v>
      </x:c>
      <x:c r="I1786" s="47" t="n">
        <x:v>-35130</x:v>
      </x:c>
      <x:c r="J1786" s="49" t="n">
        <x:v>189</x:v>
      </x:c>
      <x:c r="K1786" s="47" t="n">
        <x:v>-35130</x:v>
      </x:c>
      <x:c r="L1786" s="47" t="n">
        <x:v>35130</x:v>
      </x:c>
      <x:c r="M1786" s="48" t="n">
        <x:v>2.983333333333333</x:v>
      </x:c>
      <x:c r="N1786" s="48" t="n">
        <x:v>563.7666666666665</x:v>
      </x:c>
      <x:c r="O1786" s="49" t="n">
        <x:v>2</x:v>
      </x:c>
      <x:c r="P1786" s="1" t="str">
        <x:v>価格と原板の合議・標準</x:v>
      </x:c>
      <x:c r="Q1786" s="49" t="n">
        <x:v>0</x:v>
      </x:c>
      <x:c r="R1786" s="50" t="n">
        <x:v>0.8693223443223443</x:v>
      </x:c>
      <x:c r="S1786" s="50" t="n">
        <x:v>0.8541919191919192</x:v>
      </x:c>
      <x:c r="T1786" s="1" t="str">
        <x:v>全場</x:v>
      </x:c>
      <x:c r="U1786" s="49" t="n">
        <x:v>3</x:v>
      </x:c>
    </x:row>
    <x:row r="1787" ht="22" customHeight="1">
      <x:c r="A1787" s="1" t="str">
        <x:v>TOPIXmini</x:v>
      </x:c>
      <x:c r="B1787" s="1" t="str">
        <x:v>P07</x:v>
      </x:c>
      <x:c r="C1787" s="1" t="str">
        <x:v>診断3場</x:v>
      </x:c>
      <x:c r="D1787" s="47" t="n">
        <x:v>308352</x:v>
      </x:c>
      <x:c r="E1787" s="47" t="n">
        <x:v>244972</x:v>
      </x:c>
      <x:c r="F1787" s="47" t="n">
        <x:f>D1787-E1787</x:f>
        <x:v>63380</x:v>
      </x:c>
      <x:c r="G1787" s="49" t="n">
        <x:v>1</x:v>
      </x:c>
      <x:c r="H1787" s="49" t="n">
        <x:v>0</x:v>
      </x:c>
      <x:c r="I1787" s="47" t="n">
        <x:v>0</x:v>
      </x:c>
      <x:c r="J1787" s="49" t="n">
        <x:v>70</x:v>
      </x:c>
      <x:c r="K1787" s="47" t="n">
        <x:v>63380</x:v>
      </x:c>
      <x:c r="L1787" s="47" t="n">
        <x:v>0</x:v>
      </x:c>
      <x:c r="M1787" s="48" t="n">
        <x:v>2.716666666666667</x:v>
      </x:c>
      <x:c r="N1787" s="48" t="n">
        <x:v>400.06666666666666</x:v>
      </x:c>
      <x:c r="O1787" s="49" t="n">
        <x:v>2</x:v>
      </x:c>
      <x:c r="P1787" s="1" t="str">
        <x:v>価格と原板の合議・標準</x:v>
      </x:c>
      <x:c r="Q1787" s="49" t="n">
        <x:v>0</x:v>
      </x:c>
      <x:c r="R1787" s="50" t="n">
        <x:v>0.9525396825396826</x:v>
      </x:c>
      <x:c r="S1787" s="50" t="n">
        <x:v>0.9525396825396826</x:v>
      </x:c>
      <x:c r="T1787" s="1" t="str">
        <x:v>デイ</x:v>
      </x:c>
      <x:c r="U1787" s="49" t="n">
        <x:v>1</x:v>
      </x:c>
    </x:row>
    <x:row r="1788" ht="22" customHeight="1">
      <x:c r="A1788" s="1" t="str">
        <x:v>TOPIXmini</x:v>
      </x:c>
      <x:c r="B1788" s="1" t="str">
        <x:v>P07</x:v>
      </x:c>
      <x:c r="C1788" s="1" t="str">
        <x:v>診断3場</x:v>
      </x:c>
      <x:c r="D1788" s="47" t="n">
        <x:v>356696</x:v>
      </x:c>
      <x:c r="E1788" s="47" t="n">
        <x:v>357450</x:v>
      </x:c>
      <x:c r="F1788" s="47" t="n">
        <x:f>D1788-E1788</x:f>
        <x:v>-754</x:v>
      </x:c>
      <x:c r="G1788" s="49" t="n">
        <x:v>1</x:v>
      </x:c>
      <x:c r="H1788" s="49" t="n">
        <x:v>1</x:v>
      </x:c>
      <x:c r="I1788" s="47" t="n">
        <x:v>-35130</x:v>
      </x:c>
      <x:c r="J1788" s="49" t="n">
        <x:v>119</x:v>
      </x:c>
      <x:c r="K1788" s="47" t="n">
        <x:v>-35130</x:v>
      </x:c>
      <x:c r="L1788" s="47" t="n">
        <x:v>35130</x:v>
      </x:c>
      <x:c r="M1788" s="48" t="n">
        <x:v>3.1166666666666667</x:v>
      </x:c>
      <x:c r="N1788" s="48" t="n">
        <x:v>645.6166666666666</x:v>
      </x:c>
      <x:c r="O1788" s="49" t="n">
        <x:v>2</x:v>
      </x:c>
      <x:c r="P1788" s="1" t="str">
        <x:v>価格と原板の合議・標準</x:v>
      </x:c>
      <x:c r="Q1788" s="49" t="n">
        <x:v>0</x:v>
      </x:c>
      <x:c r="R1788" s="50" t="n">
        <x:v>0.8277136752136752</x:v>
      </x:c>
      <x:c r="S1788" s="50" t="n">
        <x:v>0.8277136752136751</x:v>
      </x:c>
      <x:c r="T1788" s="1" t="str">
        <x:v>ナイト</x:v>
      </x:c>
      <x:c r="U1788" s="49" t="n">
        <x:v>2</x:v>
      </x:c>
    </x:row>
    <x:row r="1789" ht="22" customHeight="1">
      <x:c r="A1789" s="1" t="str">
        <x:v>TOPIXmini</x:v>
      </x:c>
      <x:c r="B1789" s="1" t="str">
        <x:v>P07</x:v>
      </x:c>
      <x:c r="C1789" s="1" t="str">
        <x:v>診断3場</x:v>
      </x:c>
      <x:c r="D1789" s="47" t="n">
        <x:v>149344</x:v>
      </x:c>
      <x:c r="E1789" s="47" t="n">
        <x:v>184474</x:v>
      </x:c>
      <x:c r="F1789" s="47" t="n">
        <x:f>D1789-E1789</x:f>
        <x:v>-35130</x:v>
      </x:c>
      <x:c r="G1789" s="49" t="n">
        <x:v>0</x:v>
      </x:c>
      <x:c r="H1789" s="49" t="n">
        <x:v>1</x:v>
      </x:c>
      <x:c r="I1789" s="47" t="n">
        <x:v>-35130</x:v>
      </x:c>
      <x:c r="J1789" s="49" t="n">
        <x:v>55</x:v>
      </x:c>
      <x:c r="K1789" s="47" t="n">
        <x:v>-35130</x:v>
      </x:c>
      <x:c r="L1789" s="47" t="n">
        <x:v>35130</x:v>
      </x:c>
      <x:c r="M1789" s="48" t="n">
        <x:v>2.2333333333333334</x:v>
      </x:c>
      <x:c r="N1789" s="48" t="n">
        <x:v>624.6833333333333</x:v>
      </x:c>
      <x:c r="O1789" s="49" t="n">
        <x:v>2</x:v>
      </x:c>
      <x:c r="P1789" s="1" t="str">
        <x:v>価格と原板の合議・標準</x:v>
      </x:c>
      <x:c r="Q1789" s="49" t="n">
        <x:v>0</x:v>
      </x:c>
      <x:c r="R1789" s="50" t="n">
        <x:v>0.8008760683760684</x:v>
      </x:c>
      <x:c r="S1789" s="50" t="n">
        <x:v>0.8008760683760683</x:v>
      </x:c>
      <x:c r="T1789" s="1" t="str">
        <x:v>上昇</x:v>
      </x:c>
      <x:c r="U1789" s="49" t="n">
        <x:v>1</x:v>
      </x:c>
    </x:row>
    <x:row r="1790" ht="22" customHeight="1">
      <x:c r="A1790" s="1" t="str">
        <x:v>TOPIXmini</x:v>
      </x:c>
      <x:c r="B1790" s="1" t="str">
        <x:v>P07</x:v>
      </x:c>
      <x:c r="C1790" s="1" t="str">
        <x:v>診断3場</x:v>
      </x:c>
      <x:c r="D1790" s="47" t="n">
        <x:v>515704</x:v>
      </x:c>
      <x:c r="E1790" s="47" t="n">
        <x:v>417948</x:v>
      </x:c>
      <x:c r="F1790" s="47" t="n">
        <x:f>D1790-E1790</x:f>
        <x:v>97756</x:v>
      </x:c>
      <x:c r="G1790" s="49" t="n">
        <x:v>2</x:v>
      </x:c>
      <x:c r="H1790" s="49" t="n">
        <x:v>0</x:v>
      </x:c>
      <x:c r="I1790" s="47" t="n">
        <x:v>0</x:v>
      </x:c>
      <x:c r="J1790" s="49" t="n">
        <x:v>134</x:v>
      </x:c>
      <x:c r="K1790" s="47" t="n">
        <x:v>34376</x:v>
      </x:c>
      <x:c r="L1790" s="47" t="n">
        <x:v>0</x:v>
      </x:c>
      <x:c r="M1790" s="48" t="n">
        <x:v>3.3583333333333334</x:v>
      </x:c>
      <x:c r="N1790" s="48" t="n">
        <x:v>533.3083333333333</x:v>
      </x:c>
      <x:c r="O1790" s="49" t="n">
        <x:v>2</x:v>
      </x:c>
      <x:c r="P1790" s="1" t="str">
        <x:v>価格と原板の合議・標準</x:v>
      </x:c>
      <x:c r="Q1790" s="49" t="n">
        <x:v>0</x:v>
      </x:c>
      <x:c r="R1790" s="50" t="n">
        <x:v>0.9035454822954823</x:v>
      </x:c>
      <x:c r="S1790" s="50" t="n">
        <x:v>0.8888472222222221</x:v>
      </x:c>
      <x:c r="T1790" s="1" t="str">
        <x:v>下落</x:v>
      </x:c>
      <x:c r="U1790" s="49" t="n">
        <x:v>2</x:v>
      </x:c>
    </x:row>
    <x:row r="1791" ht="22" customHeight="1">
      <x:c r="A1791" s="1" t="str">
        <x:v>TOPIXmini</x:v>
      </x:c>
      <x:c r="B1791" s="1" t="str">
        <x:v>P08</x:v>
      </x:c>
      <x:c r="C1791" s="1" t="str">
        <x:v>全50場</x:v>
      </x:c>
      <x:c r="D1791" s="47" t="n">
        <x:v>5474140</x:v>
      </x:c>
      <x:c r="E1791" s="47" t="n">
        <x:v>9151998</x:v>
      </x:c>
      <x:c r="F1791" s="47" t="n">
        <x:f>D1791-E1791</x:f>
        <x:v>-3677858</x:v>
      </x:c>
      <x:c r="G1791" s="49" t="n">
        <x:v>4</x:v>
      </x:c>
      <x:c r="H1791" s="49" t="n">
        <x:v>46</x:v>
      </x:c>
      <x:c r="I1791" s="47" t="n">
        <x:v>-3806970</x:v>
      </x:c>
      <x:c r="J1791" s="49" t="n">
        <x:v>2463</x:v>
      </x:c>
      <x:c r="K1791" s="47" t="n">
        <x:v>-289612</x:v>
      </x:c>
      <x:c r="L1791" s="47" t="n">
        <x:v>82935</x:v>
      </x:c>
      <x:c r="M1791" s="48" t="n">
        <x:v>5.653</x:v>
      </x:c>
      <x:c r="N1791" s="48" t="n">
        <x:v>522.3936666666667</x:v>
      </x:c>
      <x:c r="O1791" s="49" t="n">
        <x:v>2</x:v>
      </x:c>
      <x:c r="P1791" s="1" t="str">
        <x:v>価格と原板の合議・広め</x:v>
      </x:c>
      <x:c r="Q1791" s="49" t="n">
        <x:v>0</x:v>
      </x:c>
      <x:c r="R1791" s="50" t="n">
        <x:v>0.8755204517704517</x:v>
      </x:c>
      <x:c r="S1791" s="50" t="n">
        <x:v>0.8706561111111112</x:v>
      </x:c>
      <x:c r="T1791" s="1" t="str">
        <x:v>全場</x:v>
      </x:c>
      <x:c r="U1791" s="49" t="n">
        <x:v>50</x:v>
      </x:c>
    </x:row>
    <x:row r="1792" ht="22" customHeight="1">
      <x:c r="A1792" s="1" t="str">
        <x:v>TOPIXmini</x:v>
      </x:c>
      <x:c r="B1792" s="1" t="str">
        <x:v>P08</x:v>
      </x:c>
      <x:c r="C1792" s="1" t="str">
        <x:v>全50場</x:v>
      </x:c>
      <x:c r="D1792" s="47" t="n">
        <x:v>2612738</x:v>
      </x:c>
      <x:c r="E1792" s="47" t="n">
        <x:v>5115146</x:v>
      </x:c>
      <x:c r="F1792" s="47" t="n">
        <x:f>D1792-E1792</x:f>
        <x:v>-2502408</x:v>
      </x:c>
      <x:c r="G1792" s="49" t="n">
        <x:v>1</x:v>
      </x:c>
      <x:c r="H1792" s="49" t="n">
        <x:v>24</x:v>
      </x:c>
      <x:c r="I1792" s="47" t="n">
        <x:v>-2569120</x:v>
      </x:c>
      <x:c r="J1792" s="49" t="n">
        <x:v>1388</x:v>
      </x:c>
      <x:c r="K1792" s="47" t="n">
        <x:v>-289612</x:v>
      </x:c>
      <x:c r="L1792" s="47" t="n">
        <x:v>107046.66666666667</x:v>
      </x:c>
      <x:c r="M1792" s="48" t="n">
        <x:v>4.962</x:v>
      </x:c>
      <x:c r="N1792" s="48" t="n">
        <x:v>374.5286666666667</x:v>
      </x:c>
      <x:c r="O1792" s="49" t="n">
        <x:v>2</x:v>
      </x:c>
      <x:c r="P1792" s="1" t="str">
        <x:v>価格と原板の合議・広め</x:v>
      </x:c>
      <x:c r="Q1792" s="49" t="n">
        <x:v>0</x:v>
      </x:c>
      <x:c r="R1792" s="50" t="n">
        <x:v>0.8917349206349207</x:v>
      </x:c>
      <x:c r="S1792" s="50" t="n">
        <x:v>0.8917349206349207</x:v>
      </x:c>
      <x:c r="T1792" s="1" t="str">
        <x:v>デイ</x:v>
      </x:c>
      <x:c r="U1792" s="49" t="n">
        <x:v>25</x:v>
      </x:c>
    </x:row>
    <x:row r="1793" ht="22" customHeight="1">
      <x:c r="A1793" s="1" t="str">
        <x:v>TOPIXmini</x:v>
      </x:c>
      <x:c r="B1793" s="1" t="str">
        <x:v>P08</x:v>
      </x:c>
      <x:c r="C1793" s="1" t="str">
        <x:v>全50場</x:v>
      </x:c>
      <x:c r="D1793" s="47" t="n">
        <x:v>2861402</x:v>
      </x:c>
      <x:c r="E1793" s="47" t="n">
        <x:v>4036852</x:v>
      </x:c>
      <x:c r="F1793" s="47" t="n">
        <x:f>D1793-E1793</x:f>
        <x:v>-1175450</x:v>
      </x:c>
      <x:c r="G1793" s="49" t="n">
        <x:v>3</x:v>
      </x:c>
      <x:c r="H1793" s="49" t="n">
        <x:v>22</x:v>
      </x:c>
      <x:c r="I1793" s="47" t="n">
        <x:v>-1245890</x:v>
      </x:c>
      <x:c r="J1793" s="49" t="n">
        <x:v>1075</x:v>
      </x:c>
      <x:c r="K1793" s="47" t="n">
        <x:v>-169130</x:v>
      </x:c>
      <x:c r="L1793" s="47" t="n">
        <x:v>56631.36363636364</x:v>
      </x:c>
      <x:c r="M1793" s="48" t="n">
        <x:v>6.343999999999999</x:v>
      </x:c>
      <x:c r="N1793" s="48" t="n">
        <x:v>670.2586666666667</x:v>
      </x:c>
      <x:c r="O1793" s="49" t="n">
        <x:v>2</x:v>
      </x:c>
      <x:c r="P1793" s="1" t="str">
        <x:v>価格と原板の合議・広め</x:v>
      </x:c>
      <x:c r="Q1793" s="49" t="n">
        <x:v>0</x:v>
      </x:c>
      <x:c r="R1793" s="50" t="n">
        <x:v>0.8593059829059829</x:v>
      </x:c>
      <x:c r="S1793" s="50" t="n">
        <x:v>0.8593059829059829</x:v>
      </x:c>
      <x:c r="T1793" s="1" t="str">
        <x:v>ナイト</x:v>
      </x:c>
      <x:c r="U1793" s="49" t="n">
        <x:v>25</x:v>
      </x:c>
    </x:row>
    <x:row r="1794" ht="22" customHeight="1">
      <x:c r="A1794" s="1" t="str">
        <x:v>TOPIXmini</x:v>
      </x:c>
      <x:c r="B1794" s="1" t="str">
        <x:v>P08</x:v>
      </x:c>
      <x:c r="C1794" s="1" t="str">
        <x:v>全50場</x:v>
      </x:c>
      <x:c r="D1794" s="47" t="n">
        <x:v>2504552</x:v>
      </x:c>
      <x:c r="E1794" s="47" t="n">
        <x:v>4253642</x:v>
      </x:c>
      <x:c r="F1794" s="47" t="n">
        <x:f>D1794-E1794</x:f>
        <x:v>-1749090</x:v>
      </x:c>
      <x:c r="G1794" s="49" t="n">
        <x:v>1</x:v>
      </x:c>
      <x:c r="H1794" s="49" t="n">
        <x:v>24</x:v>
      </x:c>
      <x:c r="I1794" s="47" t="n">
        <x:v>-1781960</x:v>
      </x:c>
      <x:c r="J1794" s="49" t="n">
        <x:v>1115</x:v>
      </x:c>
      <x:c r="K1794" s="47" t="n">
        <x:v>-198956</x:v>
      </x:c>
      <x:c r="L1794" s="47" t="n">
        <x:v>74248.33333333333</x:v>
      </x:c>
      <x:c r="M1794" s="48" t="n">
        <x:v>4.472666666666667</x:v>
      </x:c>
      <x:c r="N1794" s="48" t="n">
        <x:v>529.082</x:v>
      </x:c>
      <x:c r="O1794" s="49" t="n">
        <x:v>2</x:v>
      </x:c>
      <x:c r="P1794" s="1" t="str">
        <x:v>価格と原板の合議・広め</x:v>
      </x:c>
      <x:c r="Q1794" s="49" t="n">
        <x:v>0</x:v>
      </x:c>
      <x:c r="R1794" s="50" t="n">
        <x:v>0.8747864468864469</x:v>
      </x:c>
      <x:c r="S1794" s="50" t="n">
        <x:v>0.8713471673254282</x:v>
      </x:c>
      <x:c r="T1794" s="1" t="str">
        <x:v>上昇</x:v>
      </x:c>
      <x:c r="U1794" s="49" t="n">
        <x:v>25</x:v>
      </x:c>
    </x:row>
    <x:row r="1795" ht="22" customHeight="1">
      <x:c r="A1795" s="1" t="str">
        <x:v>TOPIXmini</x:v>
      </x:c>
      <x:c r="B1795" s="1" t="str">
        <x:v>P08</x:v>
      </x:c>
      <x:c r="C1795" s="1" t="str">
        <x:v>全50場</x:v>
      </x:c>
      <x:c r="D1795" s="47" t="n">
        <x:v>2969588</x:v>
      </x:c>
      <x:c r="E1795" s="47" t="n">
        <x:v>4898356</x:v>
      </x:c>
      <x:c r="F1795" s="47" t="n">
        <x:f>D1795-E1795</x:f>
        <x:v>-1928768</x:v>
      </x:c>
      <x:c r="G1795" s="49" t="n">
        <x:v>3</x:v>
      </x:c>
      <x:c r="H1795" s="49" t="n">
        <x:v>22</x:v>
      </x:c>
      <x:c r="I1795" s="47" t="n">
        <x:v>-2033050</x:v>
      </x:c>
      <x:c r="J1795" s="49" t="n">
        <x:v>1348</x:v>
      </x:c>
      <x:c r="K1795" s="47" t="n">
        <x:v>-289612</x:v>
      </x:c>
      <x:c r="L1795" s="47" t="n">
        <x:v>92411.36363636363</x:v>
      </x:c>
      <x:c r="M1795" s="48" t="n">
        <x:v>6.833333333333332</x:v>
      </x:c>
      <x:c r="N1795" s="48" t="n">
        <x:v>515.7053333333334</x:v>
      </x:c>
      <x:c r="O1795" s="49" t="n">
        <x:v>2</x:v>
      </x:c>
      <x:c r="P1795" s="1" t="str">
        <x:v>価格と原板の合議・広め</x:v>
      </x:c>
      <x:c r="Q1795" s="49" t="n">
        <x:v>0</x:v>
      </x:c>
      <x:c r="R1795" s="50" t="n">
        <x:v>0.8762544566544567</x:v>
      </x:c>
      <x:c r="S1795" s="50" t="n">
        <x:v>0.8699482681061629</x:v>
      </x:c>
      <x:c r="T1795" s="1" t="str">
        <x:v>下落</x:v>
      </x:c>
      <x:c r="U1795" s="49" t="n">
        <x:v>25</x:v>
      </x:c>
    </x:row>
    <x:row r="1796" ht="22" customHeight="1">
      <x:c r="A1796" s="1" t="str">
        <x:v>TOPIXmini</x:v>
      </x:c>
      <x:c r="B1796" s="1" t="str">
        <x:v>P08</x:v>
      </x:c>
      <x:c r="C1796" s="1" t="str">
        <x:v>対照47場</x:v>
      </x:c>
      <x:c r="D1796" s="47" t="n">
        <x:v>4839760</x:v>
      </x:c>
      <x:c r="E1796" s="47" t="n">
        <x:v>8567904</x:v>
      </x:c>
      <x:c r="F1796" s="47" t="n">
        <x:f>D1796-E1796</x:f>
        <x:v>-3728144</x:v>
      </x:c>
      <x:c r="G1796" s="49" t="n">
        <x:v>2</x:v>
      </x:c>
      <x:c r="H1796" s="49" t="n">
        <x:v>45</x:v>
      </x:c>
      <x:c r="I1796" s="47" t="n">
        <x:v>-3790544</x:v>
      </x:c>
      <x:c r="J1796" s="49" t="n">
        <x:v>2284</x:v>
      </x:c>
      <x:c r="K1796" s="47" t="n">
        <x:v>-289612</x:v>
      </x:c>
      <x:c r="L1796" s="47" t="n">
        <x:v>84234.3111111111</x:v>
      </x:c>
      <x:c r="M1796" s="48" t="n">
        <x:v>5.823404255319147</x:v>
      </x:c>
      <x:c r="N1796" s="48" t="n">
        <x:v>517.3368794326242</x:v>
      </x:c>
      <x:c r="O1796" s="49" t="n">
        <x:v>2</x:v>
      </x:c>
      <x:c r="P1796" s="1" t="str">
        <x:v>価格と原板の合議・広め</x:v>
      </x:c>
      <x:c r="Q1796" s="49" t="n">
        <x:v>0</x:v>
      </x:c>
      <x:c r="R1796" s="50" t="n">
        <x:v>0.8726986724859066</x:v>
      </x:c>
      <x:c r="S1796" s="50" t="n">
        <x:v>0.8677670711396621</x:v>
      </x:c>
      <x:c r="T1796" s="1" t="str">
        <x:v>全場</x:v>
      </x:c>
      <x:c r="U1796" s="49" t="n">
        <x:v>47</x:v>
      </x:c>
    </x:row>
    <x:row r="1797" ht="22" customHeight="1">
      <x:c r="A1797" s="1" t="str">
        <x:v>TOPIXmini</x:v>
      </x:c>
      <x:c r="B1797" s="1" t="str">
        <x:v>P08</x:v>
      </x:c>
      <x:c r="C1797" s="1" t="str">
        <x:v>対照47場</x:v>
      </x:c>
      <x:c r="D1797" s="47" t="n">
        <x:v>2310386</x:v>
      </x:c>
      <x:c r="E1797" s="47" t="n">
        <x:v>4879506</x:v>
      </x:c>
      <x:c r="F1797" s="47" t="n">
        <x:f>D1797-E1797</x:f>
        <x:v>-2569120</x:v>
      </x:c>
      <x:c r="G1797" s="49" t="n">
        <x:v>0</x:v>
      </x:c>
      <x:c r="H1797" s="49" t="n">
        <x:v>24</x:v>
      </x:c>
      <x:c r="I1797" s="47" t="n">
        <x:v>-2569120</x:v>
      </x:c>
      <x:c r="J1797" s="49" t="n">
        <x:v>1320</x:v>
      </x:c>
      <x:c r="K1797" s="47" t="n">
        <x:v>-289612</x:v>
      </x:c>
      <x:c r="L1797" s="47" t="n">
        <x:v>107046.66666666667</x:v>
      </x:c>
      <x:c r="M1797" s="48" t="n">
        <x:v>5.055555555555555</x:v>
      </x:c>
      <x:c r="N1797" s="48" t="n">
        <x:v>373.25069444444443</x:v>
      </x:c>
      <x:c r="O1797" s="49" t="n">
        <x:v>2</x:v>
      </x:c>
      <x:c r="P1797" s="1" t="str">
        <x:v>価格と原板の合議・広め</x:v>
      </x:c>
      <x:c r="Q1797" s="49" t="n">
        <x:v>0</x:v>
      </x:c>
      <x:c r="R1797" s="50" t="n">
        <x:v>0.8886921296296296</x:v>
      </x:c>
      <x:c r="S1797" s="50" t="n">
        <x:v>0.8886921296296296</x:v>
      </x:c>
      <x:c r="T1797" s="1" t="str">
        <x:v>デイ</x:v>
      </x:c>
      <x:c r="U1797" s="49" t="n">
        <x:v>24</x:v>
      </x:c>
    </x:row>
    <x:row r="1798" ht="22" customHeight="1">
      <x:c r="A1798" s="1" t="str">
        <x:v>TOPIXmini</x:v>
      </x:c>
      <x:c r="B1798" s="1" t="str">
        <x:v>P08</x:v>
      </x:c>
      <x:c r="C1798" s="1" t="str">
        <x:v>対照47場</x:v>
      </x:c>
      <x:c r="D1798" s="47" t="n">
        <x:v>2529374</x:v>
      </x:c>
      <x:c r="E1798" s="47" t="n">
        <x:v>3688398</x:v>
      </x:c>
      <x:c r="F1798" s="47" t="n">
        <x:f>D1798-E1798</x:f>
        <x:v>-1159024</x:v>
      </x:c>
      <x:c r="G1798" s="49" t="n">
        <x:v>2</x:v>
      </x:c>
      <x:c r="H1798" s="49" t="n">
        <x:v>21</x:v>
      </x:c>
      <x:c r="I1798" s="47" t="n">
        <x:v>-1221424</x:v>
      </x:c>
      <x:c r="J1798" s="49" t="n">
        <x:v>964</x:v>
      </x:c>
      <x:c r="K1798" s="47" t="n">
        <x:v>-169130</x:v>
      </x:c>
      <x:c r="L1798" s="47" t="n">
        <x:v>58163.04761904762</x:v>
      </x:c>
      <x:c r="M1798" s="48" t="n">
        <x:v>6.62463768115942</x:v>
      </x:c>
      <x:c r="N1798" s="48" t="n">
        <x:v>667.6876811594202</x:v>
      </x:c>
      <x:c r="O1798" s="49" t="n">
        <x:v>2</x:v>
      </x:c>
      <x:c r="P1798" s="1" t="str">
        <x:v>価格と原板の合議・広め</x:v>
      </x:c>
      <x:c r="Q1798" s="49" t="n">
        <x:v>0</x:v>
      </x:c>
      <x:c r="R1798" s="50" t="n">
        <x:v>0.8560098476402823</x:v>
      </x:c>
      <x:c r="S1798" s="50" t="n">
        <x:v>0.8560098476402823</x:v>
      </x:c>
      <x:c r="T1798" s="1" t="str">
        <x:v>ナイト</x:v>
      </x:c>
      <x:c r="U1798" s="49" t="n">
        <x:v>23</x:v>
      </x:c>
    </x:row>
    <x:row r="1799" ht="22" customHeight="1">
      <x:c r="A1799" s="1" t="str">
        <x:v>TOPIXmini</x:v>
      </x:c>
      <x:c r="B1799" s="1" t="str">
        <x:v>P08</x:v>
      </x:c>
      <x:c r="C1799" s="1" t="str">
        <x:v>対照47場</x:v>
      </x:c>
      <x:c r="D1799" s="47" t="n">
        <x:v>2349042</x:v>
      </x:c>
      <x:c r="E1799" s="47" t="n">
        <x:v>4073666</x:v>
      </x:c>
      <x:c r="F1799" s="47" t="n">
        <x:f>D1799-E1799</x:f>
        <x:v>-1724624</x:v>
      </x:c>
      <x:c r="G1799" s="49" t="n">
        <x:v>1</x:v>
      </x:c>
      <x:c r="H1799" s="49" t="n">
        <x:v>23</x:v>
      </x:c>
      <x:c r="I1799" s="47" t="n">
        <x:v>-1757494</x:v>
      </x:c>
      <x:c r="J1799" s="49" t="n">
        <x:v>1064</x:v>
      </x:c>
      <x:c r="K1799" s="47" t="n">
        <x:v>-198956</x:v>
      </x:c>
      <x:c r="L1799" s="47" t="n">
        <x:v>76412.78260869565</x:v>
      </x:c>
      <x:c r="M1799" s="48" t="n">
        <x:v>4.565972222222222</x:v>
      </x:c>
      <x:c r="N1799" s="48" t="n">
        <x:v>521.8402777777777</x:v>
      </x:c>
      <x:c r="O1799" s="49" t="n">
        <x:v>2</x:v>
      </x:c>
      <x:c r="P1799" s="1" t="str">
        <x:v>価格と原板の合議・広め</x:v>
      </x:c>
      <x:c r="Q1799" s="49" t="n">
        <x:v>0</x:v>
      </x:c>
      <x:c r="R1799" s="50" t="n">
        <x:v>0.8736886955636955</x:v>
      </x:c>
      <x:c r="S1799" s="50" t="n">
        <x:v>0.8697337962962962</x:v>
      </x:c>
      <x:c r="T1799" s="1" t="str">
        <x:v>上昇</x:v>
      </x:c>
      <x:c r="U1799" s="49" t="n">
        <x:v>24</x:v>
      </x:c>
    </x:row>
    <x:row r="1800" ht="22" customHeight="1">
      <x:c r="A1800" s="1" t="str">
        <x:v>TOPIXmini</x:v>
      </x:c>
      <x:c r="B1800" s="1" t="str">
        <x:v>P08</x:v>
      </x:c>
      <x:c r="C1800" s="1" t="str">
        <x:v>対照47場</x:v>
      </x:c>
      <x:c r="D1800" s="47" t="n">
        <x:v>2490718</x:v>
      </x:c>
      <x:c r="E1800" s="47" t="n">
        <x:v>4494238</x:v>
      </x:c>
      <x:c r="F1800" s="47" t="n">
        <x:f>D1800-E1800</x:f>
        <x:v>-2003520</x:v>
      </x:c>
      <x:c r="G1800" s="49" t="n">
        <x:v>1</x:v>
      </x:c>
      <x:c r="H1800" s="49" t="n">
        <x:v>22</x:v>
      </x:c>
      <x:c r="I1800" s="47" t="n">
        <x:v>-2033050</x:v>
      </x:c>
      <x:c r="J1800" s="49" t="n">
        <x:v>1220</x:v>
      </x:c>
      <x:c r="K1800" s="47" t="n">
        <x:v>-289612</x:v>
      </x:c>
      <x:c r="L1800" s="47" t="n">
        <x:v>92411.36363636363</x:v>
      </x:c>
      <x:c r="M1800" s="48" t="n">
        <x:v>7.135507246376811</x:v>
      </x:c>
      <x:c r="N1800" s="48" t="n">
        <x:v>512.6376811594201</x:v>
      </x:c>
      <x:c r="O1800" s="49" t="n">
        <x:v>2</x:v>
      </x:c>
      <x:c r="P1800" s="1" t="str">
        <x:v>価格と原板の合議・広め</x:v>
      </x:c>
      <x:c r="Q1800" s="49" t="n">
        <x:v>0</x:v>
      </x:c>
      <x:c r="R1800" s="50" t="n">
        <x:v>0.8716656049264746</x:v>
      </x:c>
      <x:c r="S1800" s="50" t="n">
        <x:v>0.8656877141458639</x:v>
      </x:c>
      <x:c r="T1800" s="1" t="str">
        <x:v>下落</x:v>
      </x:c>
      <x:c r="U1800" s="49" t="n">
        <x:v>23</x:v>
      </x:c>
    </x:row>
    <x:row r="1801" ht="22" customHeight="1">
      <x:c r="A1801" s="1" t="str">
        <x:v>TOPIXmini</x:v>
      </x:c>
      <x:c r="B1801" s="1" t="str">
        <x:v>P08</x:v>
      </x:c>
      <x:c r="C1801" s="1" t="str">
        <x:v>診断3場</x:v>
      </x:c>
      <x:c r="D1801" s="47" t="n">
        <x:v>634380</x:v>
      </x:c>
      <x:c r="E1801" s="47" t="n">
        <x:v>584094</x:v>
      </x:c>
      <x:c r="F1801" s="47" t="n">
        <x:f>D1801-E1801</x:f>
        <x:v>50286</x:v>
      </x:c>
      <x:c r="G1801" s="49" t="n">
        <x:v>2</x:v>
      </x:c>
      <x:c r="H1801" s="49" t="n">
        <x:v>1</x:v>
      </x:c>
      <x:c r="I1801" s="47" t="n">
        <x:v>-24466</x:v>
      </x:c>
      <x:c r="J1801" s="49" t="n">
        <x:v>179</x:v>
      </x:c>
      <x:c r="K1801" s="47" t="n">
        <x:v>-24466</x:v>
      </x:c>
      <x:c r="L1801" s="47" t="n">
        <x:v>24466</x:v>
      </x:c>
      <x:c r="M1801" s="48" t="n">
        <x:v>2.983333333333333</x:v>
      </x:c>
      <x:c r="N1801" s="48" t="n">
        <x:v>601.6166666666667</x:v>
      </x:c>
      <x:c r="O1801" s="49" t="n">
        <x:v>2</x:v>
      </x:c>
      <x:c r="P1801" s="1" t="str">
        <x:v>価格と原板の合議・広め</x:v>
      </x:c>
      <x:c r="Q1801" s="49" t="n">
        <x:v>0</x:v>
      </x:c>
      <x:c r="R1801" s="50" t="n">
        <x:v>0.9197283272283272</x:v>
      </x:c>
      <x:c r="S1801" s="50" t="n">
        <x:v>0.911540404040404</x:v>
      </x:c>
      <x:c r="T1801" s="1" t="str">
        <x:v>全場</x:v>
      </x:c>
      <x:c r="U1801" s="49" t="n">
        <x:v>3</x:v>
      </x:c>
    </x:row>
    <x:row r="1802" ht="22" customHeight="1">
      <x:c r="A1802" s="1" t="str">
        <x:v>TOPIXmini</x:v>
      </x:c>
      <x:c r="B1802" s="1" t="str">
        <x:v>P08</x:v>
      </x:c>
      <x:c r="C1802" s="1" t="str">
        <x:v>診断3場</x:v>
      </x:c>
      <x:c r="D1802" s="47" t="n">
        <x:v>302352</x:v>
      </x:c>
      <x:c r="E1802" s="47" t="n">
        <x:v>235640</x:v>
      </x:c>
      <x:c r="F1802" s="47" t="n">
        <x:f>D1802-E1802</x:f>
        <x:v>66712</x:v>
      </x:c>
      <x:c r="G1802" s="49" t="n">
        <x:v>1</x:v>
      </x:c>
      <x:c r="H1802" s="49" t="n">
        <x:v>0</x:v>
      </x:c>
      <x:c r="I1802" s="47" t="n">
        <x:v>0</x:v>
      </x:c>
      <x:c r="J1802" s="49" t="n">
        <x:v>68</x:v>
      </x:c>
      <x:c r="K1802" s="47" t="n">
        <x:v>66712</x:v>
      </x:c>
      <x:c r="L1802" s="47" t="n">
        <x:v>0</x:v>
      </x:c>
      <x:c r="M1802" s="48" t="n">
        <x:v>2.716666666666667</x:v>
      </x:c>
      <x:c r="N1802" s="48" t="n">
        <x:v>405.2</x:v>
      </x:c>
      <x:c r="O1802" s="49" t="n">
        <x:v>2</x:v>
      </x:c>
      <x:c r="P1802" s="1" t="str">
        <x:v>価格と原板の合議・広め</x:v>
      </x:c>
      <x:c r="Q1802" s="49" t="n">
        <x:v>0</x:v>
      </x:c>
      <x:c r="R1802" s="50" t="n">
        <x:v>0.9647619047619047</x:v>
      </x:c>
      <x:c r="S1802" s="50" t="n">
        <x:v>0.9647619047619047</x:v>
      </x:c>
      <x:c r="T1802" s="1" t="str">
        <x:v>デイ</x:v>
      </x:c>
      <x:c r="U1802" s="49" t="n">
        <x:v>1</x:v>
      </x:c>
    </x:row>
    <x:row r="1803" ht="22" customHeight="1">
      <x:c r="A1803" s="1" t="str">
        <x:v>TOPIXmini</x:v>
      </x:c>
      <x:c r="B1803" s="1" t="str">
        <x:v>P08</x:v>
      </x:c>
      <x:c r="C1803" s="1" t="str">
        <x:v>診断3場</x:v>
      </x:c>
      <x:c r="D1803" s="47" t="n">
        <x:v>332028</x:v>
      </x:c>
      <x:c r="E1803" s="47" t="n">
        <x:v>348454</x:v>
      </x:c>
      <x:c r="F1803" s="47" t="n">
        <x:f>D1803-E1803</x:f>
        <x:v>-16426</x:v>
      </x:c>
      <x:c r="G1803" s="49" t="n">
        <x:v>1</x:v>
      </x:c>
      <x:c r="H1803" s="49" t="n">
        <x:v>1</x:v>
      </x:c>
      <x:c r="I1803" s="47" t="n">
        <x:v>-24466</x:v>
      </x:c>
      <x:c r="J1803" s="49" t="n">
        <x:v>111</x:v>
      </x:c>
      <x:c r="K1803" s="47" t="n">
        <x:v>-24466</x:v>
      </x:c>
      <x:c r="L1803" s="47" t="n">
        <x:v>24466</x:v>
      </x:c>
      <x:c r="M1803" s="48" t="n">
        <x:v>3.1166666666666667</x:v>
      </x:c>
      <x:c r="N1803" s="48" t="n">
        <x:v>699.825</x:v>
      </x:c>
      <x:c r="O1803" s="49" t="n">
        <x:v>2</x:v>
      </x:c>
      <x:c r="P1803" s="1" t="str">
        <x:v>価格と原板の合議・広め</x:v>
      </x:c>
      <x:c r="Q1803" s="49" t="n">
        <x:v>0</x:v>
      </x:c>
      <x:c r="R1803" s="50" t="n">
        <x:v>0.8972115384615384</x:v>
      </x:c>
      <x:c r="S1803" s="50" t="n">
        <x:v>0.8972115384615386</x:v>
      </x:c>
      <x:c r="T1803" s="1" t="str">
        <x:v>ナイト</x:v>
      </x:c>
      <x:c r="U1803" s="49" t="n">
        <x:v>2</x:v>
      </x:c>
    </x:row>
    <x:row r="1804" ht="22" customHeight="1">
      <x:c r="A1804" s="1" t="str">
        <x:v>TOPIXmini</x:v>
      </x:c>
      <x:c r="B1804" s="1" t="str">
        <x:v>P08</x:v>
      </x:c>
      <x:c r="C1804" s="1" t="str">
        <x:v>診断3場</x:v>
      </x:c>
      <x:c r="D1804" s="47" t="n">
        <x:v>155510</x:v>
      </x:c>
      <x:c r="E1804" s="47" t="n">
        <x:v>179976</x:v>
      </x:c>
      <x:c r="F1804" s="47" t="n">
        <x:f>D1804-E1804</x:f>
        <x:v>-24466</x:v>
      </x:c>
      <x:c r="G1804" s="49" t="n">
        <x:v>0</x:v>
      </x:c>
      <x:c r="H1804" s="49" t="n">
        <x:v>1</x:v>
      </x:c>
      <x:c r="I1804" s="47" t="n">
        <x:v>-24466</x:v>
      </x:c>
      <x:c r="J1804" s="49" t="n">
        <x:v>51</x:v>
      </x:c>
      <x:c r="K1804" s="47" t="n">
        <x:v>-24466</x:v>
      </x:c>
      <x:c r="L1804" s="47" t="n">
        <x:v>24466</x:v>
      </x:c>
      <x:c r="M1804" s="48" t="n">
        <x:v>2.2333333333333334</x:v>
      </x:c>
      <x:c r="N1804" s="48" t="n">
        <x:v>702.8833333333333</x:v>
      </x:c>
      <x:c r="O1804" s="49" t="n">
        <x:v>2</x:v>
      </x:c>
      <x:c r="P1804" s="1" t="str">
        <x:v>価格と原板の合議・広め</x:v>
      </x:c>
      <x:c r="Q1804" s="49" t="n">
        <x:v>0</x:v>
      </x:c>
      <x:c r="R1804" s="50" t="n">
        <x:v>0.9011324786324786</x:v>
      </x:c>
      <x:c r="S1804" s="50" t="n">
        <x:v>0.9011324786324786</x:v>
      </x:c>
      <x:c r="T1804" s="1" t="str">
        <x:v>上昇</x:v>
      </x:c>
      <x:c r="U1804" s="49" t="n">
        <x:v>1</x:v>
      </x:c>
    </x:row>
    <x:row r="1805" ht="22" customHeight="1">
      <x:c r="A1805" s="1" t="str">
        <x:v>TOPIXmini</x:v>
      </x:c>
      <x:c r="B1805" s="1" t="str">
        <x:v>P08</x:v>
      </x:c>
      <x:c r="C1805" s="1" t="str">
        <x:v>診断3場</x:v>
      </x:c>
      <x:c r="D1805" s="47" t="n">
        <x:v>478870</x:v>
      </x:c>
      <x:c r="E1805" s="47" t="n">
        <x:v>404118</x:v>
      </x:c>
      <x:c r="F1805" s="47" t="n">
        <x:f>D1805-E1805</x:f>
        <x:v>74752</x:v>
      </x:c>
      <x:c r="G1805" s="49" t="n">
        <x:v>2</x:v>
      </x:c>
      <x:c r="H1805" s="49" t="n">
        <x:v>0</x:v>
      </x:c>
      <x:c r="I1805" s="47" t="n">
        <x:v>0</x:v>
      </x:c>
      <x:c r="J1805" s="49" t="n">
        <x:v>128</x:v>
      </x:c>
      <x:c r="K1805" s="47" t="n">
        <x:v>8040</x:v>
      </x:c>
      <x:c r="L1805" s="47" t="n">
        <x:v>0</x:v>
      </x:c>
      <x:c r="M1805" s="48" t="n">
        <x:v>3.3583333333333334</x:v>
      </x:c>
      <x:c r="N1805" s="48" t="n">
        <x:v>550.9833333333333</x:v>
      </x:c>
      <x:c r="O1805" s="49" t="n">
        <x:v>2</x:v>
      </x:c>
      <x:c r="P1805" s="1" t="str">
        <x:v>価格と原板の合議・広め</x:v>
      </x:c>
      <x:c r="Q1805" s="49" t="n">
        <x:v>0</x:v>
      </x:c>
      <x:c r="R1805" s="50" t="n">
        <x:v>0.9290262515262515</x:v>
      </x:c>
      <x:c r="S1805" s="50" t="n">
        <x:v>0.9183055555555556</x:v>
      </x:c>
      <x:c r="T1805" s="1" t="str">
        <x:v>下落</x:v>
      </x:c>
      <x:c r="U1805" s="49" t="n">
        <x:v>2</x:v>
      </x:c>
    </x:row>
    <x:row r="1806" ht="22" customHeight="1">
      <x:c r="A1806" s="1" t="str">
        <x:v>TOPIXmini</x:v>
      </x:c>
      <x:c r="B1806" s="1" t="str">
        <x:v>P09</x:v>
      </x:c>
      <x:c r="C1806" s="1" t="str">
        <x:v>全50場</x:v>
      </x:c>
      <x:c r="D1806" s="47" t="n">
        <x:v>5181526</x:v>
      </x:c>
      <x:c r="E1806" s="47" t="n">
        <x:v>10398570</x:v>
      </x:c>
      <x:c r="F1806" s="47" t="n">
        <x:f>D1806-E1806</x:f>
        <x:v>-5217044</x:v>
      </x:c>
      <x:c r="G1806" s="49" t="n">
        <x:v>3</x:v>
      </x:c>
      <x:c r="H1806" s="49" t="n">
        <x:v>47</x:v>
      </x:c>
      <x:c r="I1806" s="47" t="n">
        <x:v>-5256588</x:v>
      </x:c>
      <x:c r="J1806" s="49" t="n">
        <x:v>3066</x:v>
      </x:c>
      <x:c r="K1806" s="47" t="n">
        <x:v>-298548</x:v>
      </x:c>
      <x:c r="L1806" s="47" t="n">
        <x:v>111842.29787234042</x:v>
      </x:c>
      <x:c r="M1806" s="48" t="n">
        <x:v>5.403666666666667</x:v>
      </x:c>
      <x:c r="N1806" s="48" t="n">
        <x:v>469.48900000000003</x:v>
      </x:c>
      <x:c r="O1806" s="49" t="n">
        <x:v>5</x:v>
      </x:c>
      <x:c r="P1806" s="1" t="str">
        <x:v>中期支持の3枚参加と保護後追撃・標準</x:v>
      </x:c>
      <x:c r="Q1806" s="49" t="n">
        <x:v>0</x:v>
      </x:c>
      <x:c r="R1806" s="50" t="n">
        <x:v>0.7996639194139195</x:v>
      </x:c>
      <x:c r="S1806" s="50" t="n">
        <x:v>0.7824816666666667</x:v>
      </x:c>
      <x:c r="T1806" s="1" t="str">
        <x:v>全場</x:v>
      </x:c>
      <x:c r="U1806" s="49" t="n">
        <x:v>50</x:v>
      </x:c>
    </x:row>
    <x:row r="1807" ht="22" customHeight="1">
      <x:c r="A1807" s="1" t="str">
        <x:v>TOPIXmini</x:v>
      </x:c>
      <x:c r="B1807" s="1" t="str">
        <x:v>P09</x:v>
      </x:c>
      <x:c r="C1807" s="1" t="str">
        <x:v>全50場</x:v>
      </x:c>
      <x:c r="D1807" s="47" t="n">
        <x:v>2509126</x:v>
      </x:c>
      <x:c r="E1807" s="47" t="n">
        <x:v>5289396</x:v>
      </x:c>
      <x:c r="F1807" s="47" t="n">
        <x:f>D1807-E1807</x:f>
        <x:v>-2780270</x:v>
      </x:c>
      <x:c r="G1807" s="49" t="n">
        <x:v>2</x:v>
      </x:c>
      <x:c r="H1807" s="49" t="n">
        <x:v>23</x:v>
      </x:c>
      <x:c r="I1807" s="47" t="n">
        <x:v>-2806750</x:v>
      </x:c>
      <x:c r="J1807" s="49" t="n">
        <x:v>1493</x:v>
      </x:c>
      <x:c r="K1807" s="47" t="n">
        <x:v>-298548</x:v>
      </x:c>
      <x:c r="L1807" s="47" t="n">
        <x:v>122032.60869565218</x:v>
      </x:c>
      <x:c r="M1807" s="48" t="n">
        <x:v>4.675333333333333</x:v>
      </x:c>
      <x:c r="N1807" s="48" t="n">
        <x:v>359.914</x:v>
      </x:c>
      <x:c r="O1807" s="49" t="n">
        <x:v>5</x:v>
      </x:c>
      <x:c r="P1807" s="1" t="str">
        <x:v>中期支持の3枚参加と保護後追撃・標準</x:v>
      </x:c>
      <x:c r="Q1807" s="49" t="n">
        <x:v>0</x:v>
      </x:c>
      <x:c r="R1807" s="50" t="n">
        <x:v>0.8569380952380952</x:v>
      </x:c>
      <x:c r="S1807" s="50" t="n">
        <x:v>0.8569380952380953</x:v>
      </x:c>
      <x:c r="T1807" s="1" t="str">
        <x:v>デイ</x:v>
      </x:c>
      <x:c r="U1807" s="49" t="n">
        <x:v>25</x:v>
      </x:c>
    </x:row>
    <x:row r="1808" ht="22" customHeight="1">
      <x:c r="A1808" s="1" t="str">
        <x:v>TOPIXmini</x:v>
      </x:c>
      <x:c r="B1808" s="1" t="str">
        <x:v>P09</x:v>
      </x:c>
      <x:c r="C1808" s="1" t="str">
        <x:v>全50場</x:v>
      </x:c>
      <x:c r="D1808" s="47" t="n">
        <x:v>2672400</x:v>
      </x:c>
      <x:c r="E1808" s="47" t="n">
        <x:v>5109174</x:v>
      </x:c>
      <x:c r="F1808" s="47" t="n">
        <x:f>D1808-E1808</x:f>
        <x:v>-2436774</x:v>
      </x:c>
      <x:c r="G1808" s="49" t="n">
        <x:v>1</x:v>
      </x:c>
      <x:c r="H1808" s="49" t="n">
        <x:v>24</x:v>
      </x:c>
      <x:c r="I1808" s="47" t="n">
        <x:v>-2449838</x:v>
      </x:c>
      <x:c r="J1808" s="49" t="n">
        <x:v>1573</x:v>
      </x:c>
      <x:c r="K1808" s="47" t="n">
        <x:v>-220772</x:v>
      </x:c>
      <x:c r="L1808" s="47" t="n">
        <x:v>102076.58333333333</x:v>
      </x:c>
      <x:c r="M1808" s="48" t="n">
        <x:v>6.132</x:v>
      </x:c>
      <x:c r="N1808" s="48" t="n">
        <x:v>579.064</x:v>
      </x:c>
      <x:c r="O1808" s="49" t="n">
        <x:v>5</x:v>
      </x:c>
      <x:c r="P1808" s="1" t="str">
        <x:v>中期支持の3枚参加と保護後追撃・標準</x:v>
      </x:c>
      <x:c r="Q1808" s="49" t="n">
        <x:v>0</x:v>
      </x:c>
      <x:c r="R1808" s="50" t="n">
        <x:v>0.7423897435897436</x:v>
      </x:c>
      <x:c r="S1808" s="50" t="n">
        <x:v>0.7423897435897436</x:v>
      </x:c>
      <x:c r="T1808" s="1" t="str">
        <x:v>ナイト</x:v>
      </x:c>
      <x:c r="U1808" s="49" t="n">
        <x:v>25</x:v>
      </x:c>
    </x:row>
    <x:row r="1809" ht="22" customHeight="1">
      <x:c r="A1809" s="1" t="str">
        <x:v>TOPIXmini</x:v>
      </x:c>
      <x:c r="B1809" s="1" t="str">
        <x:v>P09</x:v>
      </x:c>
      <x:c r="C1809" s="1" t="str">
        <x:v>全50場</x:v>
      </x:c>
      <x:c r="D1809" s="47" t="n">
        <x:v>2240584</x:v>
      </x:c>
      <x:c r="E1809" s="47" t="n">
        <x:v>5044520</x:v>
      </x:c>
      <x:c r="F1809" s="47" t="n">
        <x:f>D1809-E1809</x:f>
        <x:v>-2803936</x:v>
      </x:c>
      <x:c r="G1809" s="49" t="n">
        <x:v>0</x:v>
      </x:c>
      <x:c r="H1809" s="49" t="n">
        <x:v>25</x:v>
      </x:c>
      <x:c r="I1809" s="47" t="n">
        <x:v>-2803936</x:v>
      </x:c>
      <x:c r="J1809" s="49" t="n">
        <x:v>1424</x:v>
      </x:c>
      <x:c r="K1809" s="47" t="n">
        <x:v>-220772</x:v>
      </x:c>
      <x:c r="L1809" s="47" t="n">
        <x:v>112157.44</x:v>
      </x:c>
      <x:c r="M1809" s="48" t="n">
        <x:v>4.252666666666667</x:v>
      </x:c>
      <x:c r="N1809" s="48" t="n">
        <x:v>456.8326666666667</x:v>
      </x:c>
      <x:c r="O1809" s="49" t="n">
        <x:v>5</x:v>
      </x:c>
      <x:c r="P1809" s="1" t="str">
        <x:v>中期支持の3枚参加と保護後追撃・標準</x:v>
      </x:c>
      <x:c r="Q1809" s="49" t="n">
        <x:v>0</x:v>
      </x:c>
      <x:c r="R1809" s="50" t="n">
        <x:v>0.7693525030525032</x:v>
      </x:c>
      <x:c r="S1809" s="50" t="n">
        <x:v>0.7523594642072904</x:v>
      </x:c>
      <x:c r="T1809" s="1" t="str">
        <x:v>上昇</x:v>
      </x:c>
      <x:c r="U1809" s="49" t="n">
        <x:v>25</x:v>
      </x:c>
    </x:row>
    <x:row r="1810" ht="22" customHeight="1">
      <x:c r="A1810" s="1" t="str">
        <x:v>TOPIXmini</x:v>
      </x:c>
      <x:c r="B1810" s="1" t="str">
        <x:v>P09</x:v>
      </x:c>
      <x:c r="C1810" s="1" t="str">
        <x:v>全50場</x:v>
      </x:c>
      <x:c r="D1810" s="47" t="n">
        <x:v>2940942</x:v>
      </x:c>
      <x:c r="E1810" s="47" t="n">
        <x:v>5354050</x:v>
      </x:c>
      <x:c r="F1810" s="47" t="n">
        <x:f>D1810-E1810</x:f>
        <x:v>-2413108</x:v>
      </x:c>
      <x:c r="G1810" s="49" t="n">
        <x:v>3</x:v>
      </x:c>
      <x:c r="H1810" s="49" t="n">
        <x:v>22</x:v>
      </x:c>
      <x:c r="I1810" s="47" t="n">
        <x:v>-2452652</x:v>
      </x:c>
      <x:c r="J1810" s="49" t="n">
        <x:v>1642</x:v>
      </x:c>
      <x:c r="K1810" s="47" t="n">
        <x:v>-298548</x:v>
      </x:c>
      <x:c r="L1810" s="47" t="n">
        <x:v>111484.18181818182</x:v>
      </x:c>
      <x:c r="M1810" s="48" t="n">
        <x:v>6.554666666666667</x:v>
      </x:c>
      <x:c r="N1810" s="48" t="n">
        <x:v>482.1453333333333</x:v>
      </x:c>
      <x:c r="O1810" s="49" t="n">
        <x:v>5</x:v>
      </x:c>
      <x:c r="P1810" s="1" t="str">
        <x:v>中期支持の3枚参加と保護後追撃・標準</x:v>
      </x:c>
      <x:c r="Q1810" s="49" t="n">
        <x:v>0</x:v>
      </x:c>
      <x:c r="R1810" s="50" t="n">
        <x:v>0.8299753357753358</x:v>
      </x:c>
      <x:c r="S1810" s="50" t="n">
        <x:v>0.8133355825461088</x:v>
      </x:c>
      <x:c r="T1810" s="1" t="str">
        <x:v>下落</x:v>
      </x:c>
      <x:c r="U1810" s="49" t="n">
        <x:v>25</x:v>
      </x:c>
    </x:row>
    <x:row r="1811" ht="22" customHeight="1">
      <x:c r="A1811" s="1" t="str">
        <x:v>TOPIXmini</x:v>
      </x:c>
      <x:c r="B1811" s="1" t="str">
        <x:v>P09</x:v>
      </x:c>
      <x:c r="C1811" s="1" t="str">
        <x:v>対照47場</x:v>
      </x:c>
      <x:c r="D1811" s="47" t="n">
        <x:v>4670572</x:v>
      </x:c>
      <x:c r="E1811" s="47" t="n">
        <x:v>9566396</x:v>
      </x:c>
      <x:c r="F1811" s="47" t="n">
        <x:f>D1811-E1811</x:f>
        <x:v>-4895824</x:v>
      </x:c>
      <x:c r="G1811" s="49" t="n">
        <x:v>3</x:v>
      </x:c>
      <x:c r="H1811" s="49" t="n">
        <x:v>44</x:v>
      </x:c>
      <x:c r="I1811" s="47" t="n">
        <x:v>-4935368</x:v>
      </x:c>
      <x:c r="J1811" s="49" t="n">
        <x:v>2800</x:v>
      </x:c>
      <x:c r="K1811" s="47" t="n">
        <x:v>-298548</x:v>
      </x:c>
      <x:c r="L1811" s="47" t="n">
        <x:v>112167.45454545454</x:v>
      </x:c>
      <x:c r="M1811" s="48" t="n">
        <x:v>5.558156028368795</x:v>
      </x:c>
      <x:c r="N1811" s="48" t="n">
        <x:v>464.22198581560286</x:v>
      </x:c>
      <x:c r="O1811" s="49" t="n">
        <x:v>5</x:v>
      </x:c>
      <x:c r="P1811" s="1" t="str">
        <x:v>中期支持の3枚参加と保護後追撃・標準</x:v>
      </x:c>
      <x:c r="Q1811" s="49" t="n">
        <x:v>0</x:v>
      </x:c>
      <x:c r="R1811" s="50" t="n">
        <x:v>0.7963312810121319</x:v>
      </x:c>
      <x:c r="S1811" s="50" t="n">
        <x:v>0.778673566500119</x:v>
      </x:c>
      <x:c r="T1811" s="1" t="str">
        <x:v>全場</x:v>
      </x:c>
      <x:c r="U1811" s="49" t="n">
        <x:v>47</x:v>
      </x:c>
    </x:row>
    <x:row r="1812" ht="22" customHeight="1">
      <x:c r="A1812" s="1" t="str">
        <x:v>TOPIXmini</x:v>
      </x:c>
      <x:c r="B1812" s="1" t="str">
        <x:v>P09</x:v>
      </x:c>
      <x:c r="C1812" s="1" t="str">
        <x:v>対照47場</x:v>
      </x:c>
      <x:c r="D1812" s="47" t="n">
        <x:v>2249422</x:v>
      </x:c>
      <x:c r="E1812" s="47" t="n">
        <x:v>5010336</x:v>
      </x:c>
      <x:c r="F1812" s="47" t="n">
        <x:f>D1812-E1812</x:f>
        <x:v>-2760914</x:v>
      </x:c>
      <x:c r="G1812" s="49" t="n">
        <x:v>2</x:v>
      </x:c>
      <x:c r="H1812" s="49" t="n">
        <x:v>22</x:v>
      </x:c>
      <x:c r="I1812" s="47" t="n">
        <x:v>-2787394</x:v>
      </x:c>
      <x:c r="J1812" s="49" t="n">
        <x:v>1411</x:v>
      </x:c>
      <x:c r="K1812" s="47" t="n">
        <x:v>-298548</x:v>
      </x:c>
      <x:c r="L1812" s="47" t="n">
        <x:v>126699.72727272728</x:v>
      </x:c>
      <x:c r="M1812" s="48" t="n">
        <x:v>4.756944444444444</x:v>
      </x:c>
      <x:c r="N1812" s="48" t="n">
        <x:v>358.5104166666667</x:v>
      </x:c>
      <x:c r="O1812" s="49" t="n">
        <x:v>5</x:v>
      </x:c>
      <x:c r="P1812" s="1" t="str">
        <x:v>中期支持の3枚参加と保護後追撃・標準</x:v>
      </x:c>
      <x:c r="Q1812" s="49" t="n">
        <x:v>0</x:v>
      </x:c>
      <x:c r="R1812" s="50" t="n">
        <x:v>0.8535962301587302</x:v>
      </x:c>
      <x:c r="S1812" s="50" t="n">
        <x:v>0.8535962301587302</x:v>
      </x:c>
      <x:c r="T1812" s="1" t="str">
        <x:v>デイ</x:v>
      </x:c>
      <x:c r="U1812" s="49" t="n">
        <x:v>24</x:v>
      </x:c>
    </x:row>
    <x:row r="1813" ht="22" customHeight="1">
      <x:c r="A1813" s="1" t="str">
        <x:v>TOPIXmini</x:v>
      </x:c>
      <x:c r="B1813" s="1" t="str">
        <x:v>P09</x:v>
      </x:c>
      <x:c r="C1813" s="1" t="str">
        <x:v>対照47場</x:v>
      </x:c>
      <x:c r="D1813" s="47" t="n">
        <x:v>2421150</x:v>
      </x:c>
      <x:c r="E1813" s="47" t="n">
        <x:v>4556060</x:v>
      </x:c>
      <x:c r="F1813" s="47" t="n">
        <x:f>D1813-E1813</x:f>
        <x:v>-2134910</x:v>
      </x:c>
      <x:c r="G1813" s="49" t="n">
        <x:v>1</x:v>
      </x:c>
      <x:c r="H1813" s="49" t="n">
        <x:v>22</x:v>
      </x:c>
      <x:c r="I1813" s="47" t="n">
        <x:v>-2147974</x:v>
      </x:c>
      <x:c r="J1813" s="49" t="n">
        <x:v>1389</x:v>
      </x:c>
      <x:c r="K1813" s="47" t="n">
        <x:v>-201202</x:v>
      </x:c>
      <x:c r="L1813" s="47" t="n">
        <x:v>97635.18181818182</x:v>
      </x:c>
      <x:c r="M1813" s="48" t="n">
        <x:v>6.394202898550725</x:v>
      </x:c>
      <x:c r="N1813" s="48" t="n">
        <x:v>574.5297101449277</x:v>
      </x:c>
      <x:c r="O1813" s="49" t="n">
        <x:v>5</x:v>
      </x:c>
      <x:c r="P1813" s="1" t="str">
        <x:v>中期支持の3枚参加と保護後追撃・標準</x:v>
      </x:c>
      <x:c r="Q1813" s="49" t="n">
        <x:v>0</x:v>
      </x:c>
      <x:c r="R1813" s="50" t="n">
        <x:v>0.7365765514678557</x:v>
      </x:c>
      <x:c r="S1813" s="50" t="n">
        <x:v>0.7365765514678558</x:v>
      </x:c>
      <x:c r="T1813" s="1" t="str">
        <x:v>ナイト</x:v>
      </x:c>
      <x:c r="U1813" s="49" t="n">
        <x:v>23</x:v>
      </x:c>
    </x:row>
    <x:row r="1814" ht="22" customHeight="1">
      <x:c r="A1814" s="1" t="str">
        <x:v>TOPIXmini</x:v>
      </x:c>
      <x:c r="B1814" s="1" t="str">
        <x:v>P09</x:v>
      </x:c>
      <x:c r="C1814" s="1" t="str">
        <x:v>対照47場</x:v>
      </x:c>
      <x:c r="D1814" s="47" t="n">
        <x:v>2148796</x:v>
      </x:c>
      <x:c r="E1814" s="47" t="n">
        <x:v>4731960</x:v>
      </x:c>
      <x:c r="F1814" s="47" t="n">
        <x:f>D1814-E1814</x:f>
        <x:v>-2583164</x:v>
      </x:c>
      <x:c r="G1814" s="49" t="n">
        <x:v>0</x:v>
      </x:c>
      <x:c r="H1814" s="49" t="n">
        <x:v>24</x:v>
      </x:c>
      <x:c r="I1814" s="47" t="n">
        <x:v>-2583164</x:v>
      </x:c>
      <x:c r="J1814" s="49" t="n">
        <x:v>1338</x:v>
      </x:c>
      <x:c r="K1814" s="47" t="n">
        <x:v>-208372</x:v>
      </x:c>
      <x:c r="L1814" s="47" t="n">
        <x:v>107631.83333333333</x:v>
      </x:c>
      <x:c r="M1814" s="48" t="n">
        <x:v>4.336805555555556</x:v>
      </x:c>
      <x:c r="N1814" s="48" t="n">
        <x:v>450.68680555555557</x:v>
      </x:c>
      <x:c r="O1814" s="49" t="n">
        <x:v>5</x:v>
      </x:c>
      <x:c r="P1814" s="1" t="str">
        <x:v>中期支持の3枚参加と保護後追撃・標準</x:v>
      </x:c>
      <x:c r="Q1814" s="49" t="n">
        <x:v>0</x:v>
      </x:c>
      <x:c r="R1814" s="50" t="n">
        <x:v>0.7691260938135939</x:v>
      </x:c>
      <x:c r="S1814" s="50" t="n">
        <x:v>0.7511446759259259</x:v>
      </x:c>
      <x:c r="T1814" s="1" t="str">
        <x:v>上昇</x:v>
      </x:c>
      <x:c r="U1814" s="49" t="n">
        <x:v>24</x:v>
      </x:c>
    </x:row>
    <x:row r="1815" ht="22" customHeight="1">
      <x:c r="A1815" s="1" t="str">
        <x:v>TOPIXmini</x:v>
      </x:c>
      <x:c r="B1815" s="1" t="str">
        <x:v>P09</x:v>
      </x:c>
      <x:c r="C1815" s="1" t="str">
        <x:v>対照47場</x:v>
      </x:c>
      <x:c r="D1815" s="47" t="n">
        <x:v>2521776</x:v>
      </x:c>
      <x:c r="E1815" s="47" t="n">
        <x:v>4834436</x:v>
      </x:c>
      <x:c r="F1815" s="47" t="n">
        <x:f>D1815-E1815</x:f>
        <x:v>-2312660</x:v>
      </x:c>
      <x:c r="G1815" s="49" t="n">
        <x:v>3</x:v>
      </x:c>
      <x:c r="H1815" s="49" t="n">
        <x:v>20</x:v>
      </x:c>
      <x:c r="I1815" s="47" t="n">
        <x:v>-2352204</x:v>
      </x:c>
      <x:c r="J1815" s="49" t="n">
        <x:v>1462</x:v>
      </x:c>
      <x:c r="K1815" s="47" t="n">
        <x:v>-298548</x:v>
      </x:c>
      <x:c r="L1815" s="47" t="n">
        <x:v>117610.2</x:v>
      </x:c>
      <x:c r="M1815" s="48" t="n">
        <x:v>6.832608695652173</x:v>
      </x:c>
      <x:c r="N1815" s="48" t="n">
        <x:v>478.345652173913</x:v>
      </x:c>
      <x:c r="O1815" s="49" t="n">
        <x:v>5</x:v>
      </x:c>
      <x:c r="P1815" s="1" t="str">
        <x:v>中期支持の3枚参加と保護後追撃・標準</x:v>
      </x:c>
      <x:c r="Q1815" s="49" t="n">
        <x:v>0</x:v>
      </x:c>
      <x:c r="R1815" s="50" t="n">
        <x:v>0.8247193024366939</x:v>
      </x:c>
      <x:c r="S1815" s="50" t="n">
        <x:v>0.8077790014684288</x:v>
      </x:c>
      <x:c r="T1815" s="1" t="str">
        <x:v>下落</x:v>
      </x:c>
      <x:c r="U1815" s="49" t="n">
        <x:v>23</x:v>
      </x:c>
    </x:row>
    <x:row r="1816" ht="22" customHeight="1">
      <x:c r="A1816" s="1" t="str">
        <x:v>TOPIXmini</x:v>
      </x:c>
      <x:c r="B1816" s="1" t="str">
        <x:v>P09</x:v>
      </x:c>
      <x:c r="C1816" s="1" t="str">
        <x:v>診断3場</x:v>
      </x:c>
      <x:c r="D1816" s="47" t="n">
        <x:v>510954</x:v>
      </x:c>
      <x:c r="E1816" s="47" t="n">
        <x:v>832174</x:v>
      </x:c>
      <x:c r="F1816" s="47" t="n">
        <x:f>D1816-E1816</x:f>
        <x:v>-321220</x:v>
      </x:c>
      <x:c r="G1816" s="49" t="n">
        <x:v>0</x:v>
      </x:c>
      <x:c r="H1816" s="49" t="n">
        <x:v>3</x:v>
      </x:c>
      <x:c r="I1816" s="47" t="n">
        <x:v>-321220</x:v>
      </x:c>
      <x:c r="J1816" s="49" t="n">
        <x:v>266</x:v>
      </x:c>
      <x:c r="K1816" s="47" t="n">
        <x:v>-220772</x:v>
      </x:c>
      <x:c r="L1816" s="47" t="n">
        <x:v>107073.33333333333</x:v>
      </x:c>
      <x:c r="M1816" s="48" t="n">
        <x:v>2.983333333333333</x:v>
      </x:c>
      <x:c r="N1816" s="48" t="n">
        <x:v>552.0055555555556</x:v>
      </x:c>
      <x:c r="O1816" s="49" t="n">
        <x:v>5</x:v>
      </x:c>
      <x:c r="P1816" s="1" t="str">
        <x:v>中期支持の3枚参加と保護後追撃・標準</x:v>
      </x:c>
      <x:c r="Q1816" s="49" t="n">
        <x:v>0</x:v>
      </x:c>
      <x:c r="R1816" s="50" t="n">
        <x:v>0.8518752543752544</x:v>
      </x:c>
      <x:c r="S1816" s="50" t="n">
        <x:v>0.8363720538720539</x:v>
      </x:c>
      <x:c r="T1816" s="1" t="str">
        <x:v>全場</x:v>
      </x:c>
      <x:c r="U1816" s="49" t="n">
        <x:v>3</x:v>
      </x:c>
    </x:row>
    <x:row r="1817" ht="22" customHeight="1">
      <x:c r="A1817" s="1" t="str">
        <x:v>TOPIXmini</x:v>
      </x:c>
      <x:c r="B1817" s="1" t="str">
        <x:v>P09</x:v>
      </x:c>
      <x:c r="C1817" s="1" t="str">
        <x:v>診断3場</x:v>
      </x:c>
      <x:c r="D1817" s="47" t="n">
        <x:v>259704</x:v>
      </x:c>
      <x:c r="E1817" s="47" t="n">
        <x:v>279060</x:v>
      </x:c>
      <x:c r="F1817" s="47" t="n">
        <x:f>D1817-E1817</x:f>
        <x:v>-19356</x:v>
      </x:c>
      <x:c r="G1817" s="49" t="n">
        <x:v>0</x:v>
      </x:c>
      <x:c r="H1817" s="49" t="n">
        <x:v>1</x:v>
      </x:c>
      <x:c r="I1817" s="47" t="n">
        <x:v>-19356</x:v>
      </x:c>
      <x:c r="J1817" s="49" t="n">
        <x:v>82</x:v>
      </x:c>
      <x:c r="K1817" s="47" t="n">
        <x:v>-19356</x:v>
      </x:c>
      <x:c r="L1817" s="47" t="n">
        <x:v>19356</x:v>
      </x:c>
      <x:c r="M1817" s="48" t="n">
        <x:v>2.716666666666667</x:v>
      </x:c>
      <x:c r="N1817" s="48" t="n">
        <x:v>393.6</x:v>
      </x:c>
      <x:c r="O1817" s="49" t="n">
        <x:v>5</x:v>
      </x:c>
      <x:c r="P1817" s="1" t="str">
        <x:v>中期支持の3枚参加と保護後追撃・標準</x:v>
      </x:c>
      <x:c r="Q1817" s="49" t="n">
        <x:v>0</x:v>
      </x:c>
      <x:c r="R1817" s="50" t="n">
        <x:v>0.9371428571428572</x:v>
      </x:c>
      <x:c r="S1817" s="50" t="n">
        <x:v>0.9371428571428572</x:v>
      </x:c>
      <x:c r="T1817" s="1" t="str">
        <x:v>デイ</x:v>
      </x:c>
      <x:c r="U1817" s="49" t="n">
        <x:v>1</x:v>
      </x:c>
    </x:row>
    <x:row r="1818" ht="22" customHeight="1">
      <x:c r="A1818" s="1" t="str">
        <x:v>TOPIXmini</x:v>
      </x:c>
      <x:c r="B1818" s="1" t="str">
        <x:v>P09</x:v>
      </x:c>
      <x:c r="C1818" s="1" t="str">
        <x:v>診断3場</x:v>
      </x:c>
      <x:c r="D1818" s="47" t="n">
        <x:v>251250</x:v>
      </x:c>
      <x:c r="E1818" s="47" t="n">
        <x:v>553114</x:v>
      </x:c>
      <x:c r="F1818" s="47" t="n">
        <x:f>D1818-E1818</x:f>
        <x:v>-301864</x:v>
      </x:c>
      <x:c r="G1818" s="49" t="n">
        <x:v>0</x:v>
      </x:c>
      <x:c r="H1818" s="49" t="n">
        <x:v>2</x:v>
      </x:c>
      <x:c r="I1818" s="47" t="n">
        <x:v>-301864</x:v>
      </x:c>
      <x:c r="J1818" s="49" t="n">
        <x:v>184</x:v>
      </x:c>
      <x:c r="K1818" s="47" t="n">
        <x:v>-220772</x:v>
      </x:c>
      <x:c r="L1818" s="47" t="n">
        <x:v>150932</x:v>
      </x:c>
      <x:c r="M1818" s="48" t="n">
        <x:v>3.1166666666666667</x:v>
      </x:c>
      <x:c r="N1818" s="48" t="n">
        <x:v>631.2083333333334</x:v>
      </x:c>
      <x:c r="O1818" s="49" t="n">
        <x:v>5</x:v>
      </x:c>
      <x:c r="P1818" s="1" t="str">
        <x:v>中期支持の3枚参加と保護後追撃・標準</x:v>
      </x:c>
      <x:c r="Q1818" s="49" t="n">
        <x:v>0</x:v>
      </x:c>
      <x:c r="R1818" s="50" t="n">
        <x:v>0.809241452991453</x:v>
      </x:c>
      <x:c r="S1818" s="50" t="n">
        <x:v>0.809241452991453</x:v>
      </x:c>
      <x:c r="T1818" s="1" t="str">
        <x:v>ナイト</x:v>
      </x:c>
      <x:c r="U1818" s="49" t="n">
        <x:v>2</x:v>
      </x:c>
    </x:row>
    <x:row r="1819" ht="22" customHeight="1">
      <x:c r="A1819" s="1" t="str">
        <x:v>TOPIXmini</x:v>
      </x:c>
      <x:c r="B1819" s="1" t="str">
        <x:v>P09</x:v>
      </x:c>
      <x:c r="C1819" s="1" t="str">
        <x:v>診断3場</x:v>
      </x:c>
      <x:c r="D1819" s="47" t="n">
        <x:v>91788</x:v>
      </x:c>
      <x:c r="E1819" s="47" t="n">
        <x:v>312560</x:v>
      </x:c>
      <x:c r="F1819" s="47" t="n">
        <x:f>D1819-E1819</x:f>
        <x:v>-220772</x:v>
      </x:c>
      <x:c r="G1819" s="49" t="n">
        <x:v>0</x:v>
      </x:c>
      <x:c r="H1819" s="49" t="n">
        <x:v>1</x:v>
      </x:c>
      <x:c r="I1819" s="47" t="n">
        <x:v>-220772</x:v>
      </x:c>
      <x:c r="J1819" s="49" t="n">
        <x:v>86</x:v>
      </x:c>
      <x:c r="K1819" s="47" t="n">
        <x:v>-220772</x:v>
      </x:c>
      <x:c r="L1819" s="47" t="n">
        <x:v>220772</x:v>
      </x:c>
      <x:c r="M1819" s="48" t="n">
        <x:v>2.2333333333333334</x:v>
      </x:c>
      <x:c r="N1819" s="48" t="n">
        <x:v>604.3333333333334</x:v>
      </x:c>
      <x:c r="O1819" s="49" t="n">
        <x:v>5</x:v>
      </x:c>
      <x:c r="P1819" s="1" t="str">
        <x:v>中期支持の3枚参加と保護後追撃・標準</x:v>
      </x:c>
      <x:c r="Q1819" s="49" t="n">
        <x:v>0</x:v>
      </x:c>
      <x:c r="R1819" s="50" t="n">
        <x:v>0.7747863247863248</x:v>
      </x:c>
      <x:c r="S1819" s="50" t="n">
        <x:v>0.7747863247863248</x:v>
      </x:c>
      <x:c r="T1819" s="1" t="str">
        <x:v>上昇</x:v>
      </x:c>
      <x:c r="U1819" s="49" t="n">
        <x:v>1</x:v>
      </x:c>
    </x:row>
    <x:row r="1820" ht="22" customHeight="1">
      <x:c r="A1820" s="1" t="str">
        <x:v>TOPIXmini</x:v>
      </x:c>
      <x:c r="B1820" s="1" t="str">
        <x:v>P09</x:v>
      </x:c>
      <x:c r="C1820" s="1" t="str">
        <x:v>診断3場</x:v>
      </x:c>
      <x:c r="D1820" s="47" t="n">
        <x:v>419166</x:v>
      </x:c>
      <x:c r="E1820" s="47" t="n">
        <x:v>519614</x:v>
      </x:c>
      <x:c r="F1820" s="47" t="n">
        <x:f>D1820-E1820</x:f>
        <x:v>-100448</x:v>
      </x:c>
      <x:c r="G1820" s="49" t="n">
        <x:v>0</x:v>
      </x:c>
      <x:c r="H1820" s="49" t="n">
        <x:v>2</x:v>
      </x:c>
      <x:c r="I1820" s="47" t="n">
        <x:v>-100448</x:v>
      </x:c>
      <x:c r="J1820" s="49" t="n">
        <x:v>180</x:v>
      </x:c>
      <x:c r="K1820" s="47" t="n">
        <x:v>-81092</x:v>
      </x:c>
      <x:c r="L1820" s="47" t="n">
        <x:v>50224</x:v>
      </x:c>
      <x:c r="M1820" s="48" t="n">
        <x:v>3.3583333333333334</x:v>
      </x:c>
      <x:c r="N1820" s="48" t="n">
        <x:v>525.8416666666667</x:v>
      </x:c>
      <x:c r="O1820" s="49" t="n">
        <x:v>5</x:v>
      </x:c>
      <x:c r="P1820" s="1" t="str">
        <x:v>中期支持の3枚参加と保護後追撃・標準</x:v>
      </x:c>
      <x:c r="Q1820" s="49" t="n">
        <x:v>0</x:v>
      </x:c>
      <x:c r="R1820" s="50" t="n">
        <x:v>0.8904197191697192</x:v>
      </x:c>
      <x:c r="S1820" s="50" t="n">
        <x:v>0.8764027777777779</x:v>
      </x:c>
      <x:c r="T1820" s="1" t="str">
        <x:v>下落</x:v>
      </x:c>
      <x:c r="U1820" s="49" t="n">
        <x:v>2</x:v>
      </x:c>
    </x:row>
    <x:row r="1821" ht="22" customHeight="1">
      <x:c r="A1821" s="1" t="str">
        <x:v>TOPIXmini</x:v>
      </x:c>
      <x:c r="B1821" s="1" t="str">
        <x:v>P10</x:v>
      </x:c>
      <x:c r="C1821" s="1" t="str">
        <x:v>全50場</x:v>
      </x:c>
      <x:c r="D1821" s="47" t="n">
        <x:v>5276076</x:v>
      </x:c>
      <x:c r="E1821" s="47" t="n">
        <x:v>9405114</x:v>
      </x:c>
      <x:c r="F1821" s="47" t="n">
        <x:f>D1821-E1821</x:f>
        <x:v>-4129038</x:v>
      </x:c>
      <x:c r="G1821" s="49" t="n">
        <x:v>7</x:v>
      </x:c>
      <x:c r="H1821" s="49" t="n">
        <x:v>43</x:v>
      </x:c>
      <x:c r="I1821" s="47" t="n">
        <x:v>-4264542</x:v>
      </x:c>
      <x:c r="J1821" s="49" t="n">
        <x:v>2491</x:v>
      </x:c>
      <x:c r="K1821" s="47" t="n">
        <x:v>-291382</x:v>
      </x:c>
      <x:c r="L1821" s="47" t="n">
        <x:v>99962.55813953489</x:v>
      </x:c>
      <x:c r="M1821" s="48" t="n">
        <x:v>5.403666666666667</x:v>
      </x:c>
      <x:c r="N1821" s="48" t="n">
        <x:v>514.359</x:v>
      </x:c>
      <x:c r="O1821" s="49" t="n">
        <x:v>5</x:v>
      </x:c>
      <x:c r="P1821" s="1" t="str">
        <x:v>中期支持の3枚参加と保護後追撃・広め</x:v>
      </x:c>
      <x:c r="Q1821" s="49" t="n">
        <x:v>0</x:v>
      </x:c>
      <x:c r="R1821" s="50" t="n">
        <x:v>0.8627357142857143</x:v>
      </x:c>
      <x:c r="S1821" s="50" t="n">
        <x:v>0.857265</x:v>
      </x:c>
      <x:c r="T1821" s="1" t="str">
        <x:v>全場</x:v>
      </x:c>
      <x:c r="U1821" s="49" t="n">
        <x:v>50</x:v>
      </x:c>
    </x:row>
    <x:row r="1822" ht="22" customHeight="1">
      <x:c r="A1822" s="1" t="str">
        <x:v>TOPIXmini</x:v>
      </x:c>
      <x:c r="B1822" s="1" t="str">
        <x:v>P10</x:v>
      </x:c>
      <x:c r="C1822" s="1" t="str">
        <x:v>全50場</x:v>
      </x:c>
      <x:c r="D1822" s="47" t="n">
        <x:v>2504036</x:v>
      </x:c>
      <x:c r="E1822" s="47" t="n">
        <x:v>4933524</x:v>
      </x:c>
      <x:c r="F1822" s="47" t="n">
        <x:f>D1822-E1822</x:f>
        <x:v>-2429488</x:v>
      </x:c>
      <x:c r="G1822" s="49" t="n">
        <x:v>3</x:v>
      </x:c>
      <x:c r="H1822" s="49" t="n">
        <x:v>22</x:v>
      </x:c>
      <x:c r="I1822" s="47" t="n">
        <x:v>-2524402</x:v>
      </x:c>
      <x:c r="J1822" s="49" t="n">
        <x:v>1282</x:v>
      </x:c>
      <x:c r="K1822" s="47" t="n">
        <x:v>-291382</x:v>
      </x:c>
      <x:c r="L1822" s="47" t="n">
        <x:v>114745.54545454546</x:v>
      </x:c>
      <x:c r="M1822" s="48" t="n">
        <x:v>4.675333333333333</x:v>
      </x:c>
      <x:c r="N1822" s="48" t="n">
        <x:v>370.00800000000004</x:v>
      </x:c>
      <x:c r="O1822" s="49" t="n">
        <x:v>5</x:v>
      </x:c>
      <x:c r="P1822" s="1" t="str">
        <x:v>中期支持の3枚参加と保護後追撃・広め</x:v>
      </x:c>
      <x:c r="Q1822" s="49" t="n">
        <x:v>0</x:v>
      </x:c>
      <x:c r="R1822" s="50" t="n">
        <x:v>0.8809714285714285</x:v>
      </x:c>
      <x:c r="S1822" s="50" t="n">
        <x:v>0.8809714285714286</x:v>
      </x:c>
      <x:c r="T1822" s="1" t="str">
        <x:v>デイ</x:v>
      </x:c>
      <x:c r="U1822" s="49" t="n">
        <x:v>25</x:v>
      </x:c>
    </x:row>
    <x:row r="1823" ht="22" customHeight="1">
      <x:c r="A1823" s="1" t="str">
        <x:v>TOPIXmini</x:v>
      </x:c>
      <x:c r="B1823" s="1" t="str">
        <x:v>P10</x:v>
      </x:c>
      <x:c r="C1823" s="1" t="str">
        <x:v>全50場</x:v>
      </x:c>
      <x:c r="D1823" s="47" t="n">
        <x:v>2772040</x:v>
      </x:c>
      <x:c r="E1823" s="47" t="n">
        <x:v>4471590</x:v>
      </x:c>
      <x:c r="F1823" s="47" t="n">
        <x:f>D1823-E1823</x:f>
        <x:v>-1699550</x:v>
      </x:c>
      <x:c r="G1823" s="49" t="n">
        <x:v>4</x:v>
      </x:c>
      <x:c r="H1823" s="49" t="n">
        <x:v>21</x:v>
      </x:c>
      <x:c r="I1823" s="47" t="n">
        <x:v>-1767444</x:v>
      </x:c>
      <x:c r="J1823" s="49" t="n">
        <x:v>1209</x:v>
      </x:c>
      <x:c r="K1823" s="47" t="n">
        <x:v>-163712</x:v>
      </x:c>
      <x:c r="L1823" s="47" t="n">
        <x:v>84475.61904761905</x:v>
      </x:c>
      <x:c r="M1823" s="48" t="n">
        <x:v>6.132</x:v>
      </x:c>
      <x:c r="N1823" s="48" t="n">
        <x:v>658.71</x:v>
      </x:c>
      <x:c r="O1823" s="49" t="n">
        <x:v>5</x:v>
      </x:c>
      <x:c r="P1823" s="1" t="str">
        <x:v>中期支持の3枚参加と保護後追撃・広め</x:v>
      </x:c>
      <x:c r="Q1823" s="49" t="n">
        <x:v>0</x:v>
      </x:c>
      <x:c r="R1823" s="50" t="n">
        <x:v>0.8445</x:v>
      </x:c>
      <x:c r="S1823" s="50" t="n">
        <x:v>0.8445</x:v>
      </x:c>
      <x:c r="T1823" s="1" t="str">
        <x:v>ナイト</x:v>
      </x:c>
      <x:c r="U1823" s="49" t="n">
        <x:v>25</x:v>
      </x:c>
    </x:row>
    <x:row r="1824" ht="22" customHeight="1">
      <x:c r="A1824" s="1" t="str">
        <x:v>TOPIXmini</x:v>
      </x:c>
      <x:c r="B1824" s="1" t="str">
        <x:v>P10</x:v>
      </x:c>
      <x:c r="C1824" s="1" t="str">
        <x:v>全50場</x:v>
      </x:c>
      <x:c r="D1824" s="47" t="n">
        <x:v>2338216</x:v>
      </x:c>
      <x:c r="E1824" s="47" t="n">
        <x:v>4518010</x:v>
      </x:c>
      <x:c r="F1824" s="47" t="n">
        <x:f>D1824-E1824</x:f>
        <x:v>-2179794</x:v>
      </x:c>
      <x:c r="G1824" s="49" t="n">
        <x:v>2</x:v>
      </x:c>
      <x:c r="H1824" s="49" t="n">
        <x:v>23</x:v>
      </x:c>
      <x:c r="I1824" s="47" t="n">
        <x:v>-2191666</x:v>
      </x:c>
      <x:c r="J1824" s="49" t="n">
        <x:v>1141</x:v>
      </x:c>
      <x:c r="K1824" s="47" t="n">
        <x:v>-190630</x:v>
      </x:c>
      <x:c r="L1824" s="47" t="n">
        <x:v>95289.82608695653</x:v>
      </x:c>
      <x:c r="M1824" s="48" t="n">
        <x:v>4.252666666666667</x:v>
      </x:c>
      <x:c r="N1824" s="48" t="n">
        <x:v>512.1253333333333</x:v>
      </x:c>
      <x:c r="O1824" s="49" t="n">
        <x:v>5</x:v>
      </x:c>
      <x:c r="P1824" s="1" t="str">
        <x:v>中期支持の3枚参加と保護後追撃・広め</x:v>
      </x:c>
      <x:c r="Q1824" s="49" t="n">
        <x:v>0</x:v>
      </x:c>
      <x:c r="R1824" s="50" t="n">
        <x:v>0.8480918192918193</x:v>
      </x:c>
      <x:c r="S1824" s="50" t="n">
        <x:v>0.8434211682037769</x:v>
      </x:c>
      <x:c r="T1824" s="1" t="str">
        <x:v>上昇</x:v>
      </x:c>
      <x:c r="U1824" s="49" t="n">
        <x:v>25</x:v>
      </x:c>
    </x:row>
    <x:row r="1825" ht="22" customHeight="1">
      <x:c r="A1825" s="1" t="str">
        <x:v>TOPIXmini</x:v>
      </x:c>
      <x:c r="B1825" s="1" t="str">
        <x:v>P10</x:v>
      </x:c>
      <x:c r="C1825" s="1" t="str">
        <x:v>全50場</x:v>
      </x:c>
      <x:c r="D1825" s="47" t="n">
        <x:v>2937860</x:v>
      </x:c>
      <x:c r="E1825" s="47" t="n">
        <x:v>4887104</x:v>
      </x:c>
      <x:c r="F1825" s="47" t="n">
        <x:f>D1825-E1825</x:f>
        <x:v>-1949244</x:v>
      </x:c>
      <x:c r="G1825" s="49" t="n">
        <x:v>5</x:v>
      </x:c>
      <x:c r="H1825" s="49" t="n">
        <x:v>20</x:v>
      </x:c>
      <x:c r="I1825" s="47" t="n">
        <x:v>-2084748</x:v>
      </x:c>
      <x:c r="J1825" s="49" t="n">
        <x:v>1350</x:v>
      </x:c>
      <x:c r="K1825" s="47" t="n">
        <x:v>-291382</x:v>
      </x:c>
      <x:c r="L1825" s="47" t="n">
        <x:v>105336.2</x:v>
      </x:c>
      <x:c r="M1825" s="48" t="n">
        <x:v>6.554666666666667</x:v>
      </x:c>
      <x:c r="N1825" s="48" t="n">
        <x:v>516.5926666666667</x:v>
      </x:c>
      <x:c r="O1825" s="49" t="n">
        <x:v>5</x:v>
      </x:c>
      <x:c r="P1825" s="1" t="str">
        <x:v>中期支持の3枚参加と保護後追撃・広め</x:v>
      </x:c>
      <x:c r="Q1825" s="49" t="n">
        <x:v>0</x:v>
      </x:c>
      <x:c r="R1825" s="50" t="n">
        <x:v>0.8773796092796092</x:v>
      </x:c>
      <x:c r="S1825" s="50" t="n">
        <x:v>0.871445119208277</x:v>
      </x:c>
      <x:c r="T1825" s="1" t="str">
        <x:v>下落</x:v>
      </x:c>
      <x:c r="U1825" s="49" t="n">
        <x:v>25</x:v>
      </x:c>
    </x:row>
    <x:row r="1826" ht="22" customHeight="1">
      <x:c r="A1826" s="1" t="str">
        <x:v>TOPIXmini</x:v>
      </x:c>
      <x:c r="B1826" s="1" t="str">
        <x:v>P10</x:v>
      </x:c>
      <x:c r="C1826" s="1" t="str">
        <x:v>対照47場</x:v>
      </x:c>
      <x:c r="D1826" s="47" t="n">
        <x:v>4718842</x:v>
      </x:c>
      <x:c r="E1826" s="47" t="n">
        <x:v>8694508</x:v>
      </x:c>
      <x:c r="F1826" s="47" t="n">
        <x:f>D1826-E1826</x:f>
        <x:v>-3975666</x:v>
      </x:c>
      <x:c r="G1826" s="49" t="n">
        <x:v>7</x:v>
      </x:c>
      <x:c r="H1826" s="49" t="n">
        <x:v>40</x:v>
      </x:c>
      <x:c r="I1826" s="47" t="n">
        <x:v>-4111170</x:v>
      </x:c>
      <x:c r="J1826" s="49" t="n">
        <x:v>2293</x:v>
      </x:c>
      <x:c r="K1826" s="47" t="n">
        <x:v>-291382</x:v>
      </x:c>
      <x:c r="L1826" s="47" t="n">
        <x:v>103625.45</x:v>
      </x:c>
      <x:c r="M1826" s="48" t="n">
        <x:v>5.558156028368795</x:v>
      </x:c>
      <x:c r="N1826" s="48" t="n">
        <x:v>508.8695035460993</x:v>
      </x:c>
      <x:c r="O1826" s="49" t="n">
        <x:v>5</x:v>
      </x:c>
      <x:c r="P1826" s="1" t="str">
        <x:v>中期支持の3枚参加と保護後追撃・広め</x:v>
      </x:c>
      <x:c r="Q1826" s="49" t="n">
        <x:v>0</x:v>
      </x:c>
      <x:c r="R1826" s="50" t="n">
        <x:v>0.8593253318785233</x:v>
      </x:c>
      <x:c r="S1826" s="50" t="n">
        <x:v>0.853564120866048</x:v>
      </x:c>
      <x:c r="T1826" s="1" t="str">
        <x:v>全場</x:v>
      </x:c>
      <x:c r="U1826" s="49" t="n">
        <x:v>47</x:v>
      </x:c>
    </x:row>
    <x:row r="1827" ht="22" customHeight="1">
      <x:c r="A1827" s="1" t="str">
        <x:v>TOPIXmini</x:v>
      </x:c>
      <x:c r="B1827" s="1" t="str">
        <x:v>P10</x:v>
      </x:c>
      <x:c r="C1827" s="1" t="str">
        <x:v>対照47場</x:v>
      </x:c>
      <x:c r="D1827" s="47" t="n">
        <x:v>2275932</x:v>
      </x:c>
      <x:c r="E1827" s="47" t="n">
        <x:v>4692294</x:v>
      </x:c>
      <x:c r="F1827" s="47" t="n">
        <x:f>D1827-E1827</x:f>
        <x:v>-2416362</x:v>
      </x:c>
      <x:c r="G1827" s="49" t="n">
        <x:v>3</x:v>
      </x:c>
      <x:c r="H1827" s="49" t="n">
        <x:v>21</x:v>
      </x:c>
      <x:c r="I1827" s="47" t="n">
        <x:v>-2511276</x:v>
      </x:c>
      <x:c r="J1827" s="49" t="n">
        <x:v>1217</x:v>
      </x:c>
      <x:c r="K1827" s="47" t="n">
        <x:v>-291382</x:v>
      </x:c>
      <x:c r="L1827" s="47" t="n">
        <x:v>119584.57142857143</x:v>
      </x:c>
      <x:c r="M1827" s="48" t="n">
        <x:v>4.756944444444444</x:v>
      </x:c>
      <x:c r="N1827" s="48" t="n">
        <x:v>368.7638888888889</x:v>
      </x:c>
      <x:c r="O1827" s="49" t="n">
        <x:v>5</x:v>
      </x:c>
      <x:c r="P1827" s="1" t="str">
        <x:v>中期支持の3枚参加と保護後追撃・広め</x:v>
      </x:c>
      <x:c r="Q1827" s="49" t="n">
        <x:v>0</x:v>
      </x:c>
      <x:c r="R1827" s="50" t="n">
        <x:v>0.8780092592592593</x:v>
      </x:c>
      <x:c r="S1827" s="50" t="n">
        <x:v>0.8780092592592593</x:v>
      </x:c>
      <x:c r="T1827" s="1" t="str">
        <x:v>デイ</x:v>
      </x:c>
      <x:c r="U1827" s="49" t="n">
        <x:v>24</x:v>
      </x:c>
    </x:row>
    <x:row r="1828" ht="22" customHeight="1">
      <x:c r="A1828" s="1" t="str">
        <x:v>TOPIXmini</x:v>
      </x:c>
      <x:c r="B1828" s="1" t="str">
        <x:v>P10</x:v>
      </x:c>
      <x:c r="C1828" s="1" t="str">
        <x:v>対照47場</x:v>
      </x:c>
      <x:c r="D1828" s="47" t="n">
        <x:v>2442910</x:v>
      </x:c>
      <x:c r="E1828" s="47" t="n">
        <x:v>4002214</x:v>
      </x:c>
      <x:c r="F1828" s="47" t="n">
        <x:f>D1828-E1828</x:f>
        <x:v>-1559304</x:v>
      </x:c>
      <x:c r="G1828" s="49" t="n">
        <x:v>4</x:v>
      </x:c>
      <x:c r="H1828" s="49" t="n">
        <x:v>19</x:v>
      </x:c>
      <x:c r="I1828" s="47" t="n">
        <x:v>-1627198</x:v>
      </x:c>
      <x:c r="J1828" s="49" t="n">
        <x:v>1076</x:v>
      </x:c>
      <x:c r="K1828" s="47" t="n">
        <x:v>-163712</x:v>
      </x:c>
      <x:c r="L1828" s="47" t="n">
        <x:v>85986.42105263157</x:v>
      </x:c>
      <x:c r="M1828" s="48" t="n">
        <x:v>6.394202898550725</x:v>
      </x:c>
      <x:c r="N1828" s="48" t="n">
        <x:v>655.0666666666666</x:v>
      </x:c>
      <x:c r="O1828" s="49" t="n">
        <x:v>5</x:v>
      </x:c>
      <x:c r="P1828" s="1" t="str">
        <x:v>中期支持の3枚参加と保護後追撃・広め</x:v>
      </x:c>
      <x:c r="Q1828" s="49" t="n">
        <x:v>0</x:v>
      </x:c>
      <x:c r="R1828" s="50" t="n">
        <x:v>0.8398290598290596</x:v>
      </x:c>
      <x:c r="S1828" s="50" t="n">
        <x:v>0.8398290598290598</x:v>
      </x:c>
      <x:c r="T1828" s="1" t="str">
        <x:v>ナイト</x:v>
      </x:c>
      <x:c r="U1828" s="49" t="n">
        <x:v>23</x:v>
      </x:c>
    </x:row>
    <x:row r="1829" ht="22" customHeight="1">
      <x:c r="A1829" s="1" t="str">
        <x:v>TOPIXmini</x:v>
      </x:c>
      <x:c r="B1829" s="1" t="str">
        <x:v>P10</x:v>
      </x:c>
      <x:c r="C1829" s="1" t="str">
        <x:v>対照47場</x:v>
      </x:c>
      <x:c r="D1829" s="47" t="n">
        <x:v>2174526</x:v>
      </x:c>
      <x:c r="E1829" s="47" t="n">
        <x:v>4276526</x:v>
      </x:c>
      <x:c r="F1829" s="47" t="n">
        <x:f>D1829-E1829</x:f>
        <x:v>-2102000</x:v>
      </x:c>
      <x:c r="G1829" s="49" t="n">
        <x:v>2</x:v>
      </x:c>
      <x:c r="H1829" s="49" t="n">
        <x:v>22</x:v>
      </x:c>
      <x:c r="I1829" s="47" t="n">
        <x:v>-2113872</x:v>
      </x:c>
      <x:c r="J1829" s="49" t="n">
        <x:v>1082</x:v>
      </x:c>
      <x:c r="K1829" s="47" t="n">
        <x:v>-190630</x:v>
      </x:c>
      <x:c r="L1829" s="47" t="n">
        <x:v>96085.09090909091</x:v>
      </x:c>
      <x:c r="M1829" s="48" t="n">
        <x:v>4.336805555555556</x:v>
      </x:c>
      <x:c r="N1829" s="48" t="n">
        <x:v>504.2895833333334</x:v>
      </x:c>
      <x:c r="O1829" s="49" t="n">
        <x:v>5</x:v>
      </x:c>
      <x:c r="P1829" s="1" t="str">
        <x:v>中期支持の3枚参加と保護後追撃・広め</x:v>
      </x:c>
      <x:c r="Q1829" s="49" t="n">
        <x:v>0</x:v>
      </x:c>
      <x:c r="R1829" s="50" t="n">
        <x:v>0.8460260225885227</x:v>
      </x:c>
      <x:c r="S1829" s="50" t="n">
        <x:v>0.840482638888889</x:v>
      </x:c>
      <x:c r="T1829" s="1" t="str">
        <x:v>上昇</x:v>
      </x:c>
      <x:c r="U1829" s="49" t="n">
        <x:v>24</x:v>
      </x:c>
    </x:row>
    <x:row r="1830" ht="22" customHeight="1">
      <x:c r="A1830" s="1" t="str">
        <x:v>TOPIXmini</x:v>
      </x:c>
      <x:c r="B1830" s="1" t="str">
        <x:v>P10</x:v>
      </x:c>
      <x:c r="C1830" s="1" t="str">
        <x:v>対照47場</x:v>
      </x:c>
      <x:c r="D1830" s="47" t="n">
        <x:v>2544316</x:v>
      </x:c>
      <x:c r="E1830" s="47" t="n">
        <x:v>4417982</x:v>
      </x:c>
      <x:c r="F1830" s="47" t="n">
        <x:f>D1830-E1830</x:f>
        <x:v>-1873666</x:v>
      </x:c>
      <x:c r="G1830" s="49" t="n">
        <x:v>5</x:v>
      </x:c>
      <x:c r="H1830" s="49" t="n">
        <x:v>18</x:v>
      </x:c>
      <x:c r="I1830" s="47" t="n">
        <x:v>-2009170</x:v>
      </x:c>
      <x:c r="J1830" s="49" t="n">
        <x:v>1211</x:v>
      </x:c>
      <x:c r="K1830" s="47" t="n">
        <x:v>-291382</x:v>
      </x:c>
      <x:c r="L1830" s="47" t="n">
        <x:v>112841.44444444444</x:v>
      </x:c>
      <x:c r="M1830" s="48" t="n">
        <x:v>6.832608695652173</x:v>
      </x:c>
      <x:c r="N1830" s="48" t="n">
        <x:v>513.6485507246377</x:v>
      </x:c>
      <x:c r="O1830" s="49" t="n">
        <x:v>5</x:v>
      </x:c>
      <x:c r="P1830" s="1" t="str">
        <x:v>中期支持の3枚参加と保護後追撃・広め</x:v>
      </x:c>
      <x:c r="Q1830" s="49" t="n">
        <x:v>0</x:v>
      </x:c>
      <x:c r="R1830" s="50" t="n">
        <x:v>0.8732028720072198</x:v>
      </x:c>
      <x:c r="S1830" s="50" t="n">
        <x:v>0.8673947626040137</x:v>
      </x:c>
      <x:c r="T1830" s="1" t="str">
        <x:v>下落</x:v>
      </x:c>
      <x:c r="U1830" s="49" t="n">
        <x:v>23</x:v>
      </x:c>
    </x:row>
    <x:row r="1831" ht="22" customHeight="1">
      <x:c r="A1831" s="1" t="str">
        <x:v>TOPIXmini</x:v>
      </x:c>
      <x:c r="B1831" s="1" t="str">
        <x:v>P10</x:v>
      </x:c>
      <x:c r="C1831" s="1" t="str">
        <x:v>診断3場</x:v>
      </x:c>
      <x:c r="D1831" s="47" t="n">
        <x:v>557234</x:v>
      </x:c>
      <x:c r="E1831" s="47" t="n">
        <x:v>710606</x:v>
      </x:c>
      <x:c r="F1831" s="47" t="n">
        <x:f>D1831-E1831</x:f>
        <x:v>-153372</x:v>
      </x:c>
      <x:c r="G1831" s="49" t="n">
        <x:v>0</x:v>
      </x:c>
      <x:c r="H1831" s="49" t="n">
        <x:v>3</x:v>
      </x:c>
      <x:c r="I1831" s="47" t="n">
        <x:v>-153372</x:v>
      </x:c>
      <x:c r="J1831" s="49" t="n">
        <x:v>198</x:v>
      </x:c>
      <x:c r="K1831" s="47" t="n">
        <x:v>-77794</x:v>
      </x:c>
      <x:c r="L1831" s="47" t="n">
        <x:v>51124</x:v>
      </x:c>
      <x:c r="M1831" s="48" t="n">
        <x:v>2.983333333333333</x:v>
      </x:c>
      <x:c r="N1831" s="48" t="n">
        <x:v>600.3611111111112</x:v>
      </x:c>
      <x:c r="O1831" s="49" t="n">
        <x:v>5</x:v>
      </x:c>
      <x:c r="P1831" s="1" t="str">
        <x:v>中期支持の3枚参加と保護後追撃・広め</x:v>
      </x:c>
      <x:c r="Q1831" s="49" t="n">
        <x:v>0</x:v>
      </x:c>
      <x:c r="R1831" s="50" t="n">
        <x:v>0.9161650386650386</x:v>
      </x:c>
      <x:c r="S1831" s="50" t="n">
        <x:v>0.9096380471380471</x:v>
      </x:c>
      <x:c r="T1831" s="1" t="str">
        <x:v>全場</x:v>
      </x:c>
      <x:c r="U1831" s="49" t="n">
        <x:v>3</x:v>
      </x:c>
    </x:row>
    <x:row r="1832" ht="22" customHeight="1">
      <x:c r="A1832" s="1" t="str">
        <x:v>TOPIXmini</x:v>
      </x:c>
      <x:c r="B1832" s="1" t="str">
        <x:v>P10</x:v>
      </x:c>
      <x:c r="C1832" s="1" t="str">
        <x:v>診断3場</x:v>
      </x:c>
      <x:c r="D1832" s="47" t="n">
        <x:v>228104</x:v>
      </x:c>
      <x:c r="E1832" s="47" t="n">
        <x:v>241230</x:v>
      </x:c>
      <x:c r="F1832" s="47" t="n">
        <x:f>D1832-E1832</x:f>
        <x:v>-13126</x:v>
      </x:c>
      <x:c r="G1832" s="49" t="n">
        <x:v>0</x:v>
      </x:c>
      <x:c r="H1832" s="49" t="n">
        <x:v>1</x:v>
      </x:c>
      <x:c r="I1832" s="47" t="n">
        <x:v>-13126</x:v>
      </x:c>
      <x:c r="J1832" s="49" t="n">
        <x:v>65</x:v>
      </x:c>
      <x:c r="K1832" s="47" t="n">
        <x:v>-13126</x:v>
      </x:c>
      <x:c r="L1832" s="47" t="n">
        <x:v>13126</x:v>
      </x:c>
      <x:c r="M1832" s="48" t="n">
        <x:v>2.716666666666667</x:v>
      </x:c>
      <x:c r="N1832" s="48" t="n">
        <x:v>399.8666666666667</x:v>
      </x:c>
      <x:c r="O1832" s="49" t="n">
        <x:v>5</x:v>
      </x:c>
      <x:c r="P1832" s="1" t="str">
        <x:v>中期支持の3枚参加と保護後追撃・広め</x:v>
      </x:c>
      <x:c r="Q1832" s="49" t="n">
        <x:v>0</x:v>
      </x:c>
      <x:c r="R1832" s="50" t="n">
        <x:v>0.9520634920634921</x:v>
      </x:c>
      <x:c r="S1832" s="50" t="n">
        <x:v>0.9520634920634921</x:v>
      </x:c>
      <x:c r="T1832" s="1" t="str">
        <x:v>デイ</x:v>
      </x:c>
      <x:c r="U1832" s="49" t="n">
        <x:v>1</x:v>
      </x:c>
    </x:row>
    <x:row r="1833" ht="22" customHeight="1">
      <x:c r="A1833" s="1" t="str">
        <x:v>TOPIXmini</x:v>
      </x:c>
      <x:c r="B1833" s="1" t="str">
        <x:v>P10</x:v>
      </x:c>
      <x:c r="C1833" s="1" t="str">
        <x:v>診断3場</x:v>
      </x:c>
      <x:c r="D1833" s="47" t="n">
        <x:v>329130</x:v>
      </x:c>
      <x:c r="E1833" s="47" t="n">
        <x:v>469376</x:v>
      </x:c>
      <x:c r="F1833" s="47" t="n">
        <x:f>D1833-E1833</x:f>
        <x:v>-140246</x:v>
      </x:c>
      <x:c r="G1833" s="49" t="n">
        <x:v>0</x:v>
      </x:c>
      <x:c r="H1833" s="49" t="n">
        <x:v>2</x:v>
      </x:c>
      <x:c r="I1833" s="47" t="n">
        <x:v>-140246</x:v>
      </x:c>
      <x:c r="J1833" s="49" t="n">
        <x:v>133</x:v>
      </x:c>
      <x:c r="K1833" s="47" t="n">
        <x:v>-77794</x:v>
      </x:c>
      <x:c r="L1833" s="47" t="n">
        <x:v>70123</x:v>
      </x:c>
      <x:c r="M1833" s="48" t="n">
        <x:v>3.1166666666666667</x:v>
      </x:c>
      <x:c r="N1833" s="48" t="n">
        <x:v>700.6083333333333</x:v>
      </x:c>
      <x:c r="O1833" s="49" t="n">
        <x:v>5</x:v>
      </x:c>
      <x:c r="P1833" s="1" t="str">
        <x:v>中期支持の3枚参加と保護後追撃・広め</x:v>
      </x:c>
      <x:c r="Q1833" s="49" t="n">
        <x:v>0</x:v>
      </x:c>
      <x:c r="R1833" s="50" t="n">
        <x:v>0.8982158119658119</x:v>
      </x:c>
      <x:c r="S1833" s="50" t="n">
        <x:v>0.898215811965812</x:v>
      </x:c>
      <x:c r="T1833" s="1" t="str">
        <x:v>ナイト</x:v>
      </x:c>
      <x:c r="U1833" s="49" t="n">
        <x:v>2</x:v>
      </x:c>
    </x:row>
    <x:row r="1834" ht="22" customHeight="1">
      <x:c r="A1834" s="1" t="str">
        <x:v>TOPIXmini</x:v>
      </x:c>
      <x:c r="B1834" s="1" t="str">
        <x:v>P10</x:v>
      </x:c>
      <x:c r="C1834" s="1" t="str">
        <x:v>診断3場</x:v>
      </x:c>
      <x:c r="D1834" s="47" t="n">
        <x:v>163690</x:v>
      </x:c>
      <x:c r="E1834" s="47" t="n">
        <x:v>241484</x:v>
      </x:c>
      <x:c r="F1834" s="47" t="n">
        <x:f>D1834-E1834</x:f>
        <x:v>-77794</x:v>
      </x:c>
      <x:c r="G1834" s="49" t="n">
        <x:v>0</x:v>
      </x:c>
      <x:c r="H1834" s="49" t="n">
        <x:v>1</x:v>
      </x:c>
      <x:c r="I1834" s="47" t="n">
        <x:v>-77794</x:v>
      </x:c>
      <x:c r="J1834" s="49" t="n">
        <x:v>59</x:v>
      </x:c>
      <x:c r="K1834" s="47" t="n">
        <x:v>-77794</x:v>
      </x:c>
      <x:c r="L1834" s="47" t="n">
        <x:v>77794</x:v>
      </x:c>
      <x:c r="M1834" s="48" t="n">
        <x:v>2.2333333333333334</x:v>
      </x:c>
      <x:c r="N1834" s="48" t="n">
        <x:v>700.1833333333333</x:v>
      </x:c>
      <x:c r="O1834" s="49" t="n">
        <x:v>5</x:v>
      </x:c>
      <x:c r="P1834" s="1" t="str">
        <x:v>中期支持の3枚参加と保護後追撃・広め</x:v>
      </x:c>
      <x:c r="Q1834" s="49" t="n">
        <x:v>0</x:v>
      </x:c>
      <x:c r="R1834" s="50" t="n">
        <x:v>0.8976709401709402</x:v>
      </x:c>
      <x:c r="S1834" s="50" t="n">
        <x:v>0.8976709401709401</x:v>
      </x:c>
      <x:c r="T1834" s="1" t="str">
        <x:v>上昇</x:v>
      </x:c>
      <x:c r="U1834" s="49" t="n">
        <x:v>1</x:v>
      </x:c>
    </x:row>
    <x:row r="1835" ht="22" customHeight="1">
      <x:c r="A1835" s="1" t="str">
        <x:v>TOPIXmini</x:v>
      </x:c>
      <x:c r="B1835" s="1" t="str">
        <x:v>P10</x:v>
      </x:c>
      <x:c r="C1835" s="1" t="str">
        <x:v>診断3場</x:v>
      </x:c>
      <x:c r="D1835" s="47" t="n">
        <x:v>393544</x:v>
      </x:c>
      <x:c r="E1835" s="47" t="n">
        <x:v>469122</x:v>
      </x:c>
      <x:c r="F1835" s="47" t="n">
        <x:f>D1835-E1835</x:f>
        <x:v>-75578</x:v>
      </x:c>
      <x:c r="G1835" s="49" t="n">
        <x:v>0</x:v>
      </x:c>
      <x:c r="H1835" s="49" t="n">
        <x:v>2</x:v>
      </x:c>
      <x:c r="I1835" s="47" t="n">
        <x:v>-75578</x:v>
      </x:c>
      <x:c r="J1835" s="49" t="n">
        <x:v>139</x:v>
      </x:c>
      <x:c r="K1835" s="47" t="n">
        <x:v>-62452</x:v>
      </x:c>
      <x:c r="L1835" s="47" t="n">
        <x:v>37789</x:v>
      </x:c>
      <x:c r="M1835" s="48" t="n">
        <x:v>3.3583333333333334</x:v>
      </x:c>
      <x:c r="N1835" s="48" t="n">
        <x:v>550.45</x:v>
      </x:c>
      <x:c r="O1835" s="49" t="n">
        <x:v>5</x:v>
      </x:c>
      <x:c r="P1835" s="1" t="str">
        <x:v>中期支持の3枚参加と保護後追撃・広め</x:v>
      </x:c>
      <x:c r="Q1835" s="49" t="n">
        <x:v>0</x:v>
      </x:c>
      <x:c r="R1835" s="50" t="n">
        <x:v>0.925412087912088</x:v>
      </x:c>
      <x:c r="S1835" s="50" t="n">
        <x:v>0.9174166666666668</x:v>
      </x:c>
      <x:c r="T1835" s="1" t="str">
        <x:v>下落</x:v>
      </x:c>
      <x:c r="U1835" s="49" t="n">
        <x:v>2</x:v>
      </x:c>
    </x:row>
    <x:row r="1836" ht="22" customHeight="1">
      <x:c r="A1836" s="1" t="str">
        <x:v>TOPIXmini</x:v>
      </x:c>
      <x:c r="B1836" s="1" t="str">
        <x:v>P11</x:v>
      </x:c>
      <x:c r="C1836" s="1" t="str">
        <x:v>全50場</x:v>
      </x:c>
      <x:c r="D1836" s="47" t="n">
        <x:v>4223606</x:v>
      </x:c>
      <x:c r="E1836" s="47" t="n">
        <x:v>8509326</x:v>
      </x:c>
      <x:c r="F1836" s="47" t="n">
        <x:f>D1836-E1836</x:f>
        <x:v>-4285720</x:v>
      </x:c>
      <x:c r="G1836" s="49" t="n">
        <x:v>2</x:v>
      </x:c>
      <x:c r="H1836" s="49" t="n">
        <x:v>48</x:v>
      </x:c>
      <x:c r="I1836" s="47" t="n">
        <x:v>-4354876</x:v>
      </x:c>
      <x:c r="J1836" s="49" t="n">
        <x:v>2694</x:v>
      </x:c>
      <x:c r="K1836" s="47" t="n">
        <x:v>-253042</x:v>
      </x:c>
      <x:c r="L1836" s="47" t="n">
        <x:v>90726.58333333333</x:v>
      </x:c>
      <x:c r="M1836" s="48" t="n">
        <x:v>5.403666666666667</x:v>
      </x:c>
      <x:c r="N1836" s="48" t="n">
        <x:v>423.6083333333333</x:v>
      </x:c>
      <x:c r="O1836" s="49" t="n">
        <x:v>5</x:v>
      </x:c>
      <x:c r="P1836" s="1" t="str">
        <x:v>追従と反発を状態で選択・標準</x:v>
      </x:c>
      <x:c r="Q1836" s="49" t="n">
        <x:v>0</x:v>
      </x:c>
      <x:c r="R1836" s="50" t="n">
        <x:v>0.7178594017094018</x:v>
      </x:c>
      <x:c r="S1836" s="50" t="n">
        <x:v>0.7060138888888889</x:v>
      </x:c>
      <x:c r="T1836" s="1" t="str">
        <x:v>全場</x:v>
      </x:c>
      <x:c r="U1836" s="49" t="n">
        <x:v>50</x:v>
      </x:c>
    </x:row>
    <x:row r="1837" ht="22" customHeight="1">
      <x:c r="A1837" s="1" t="str">
        <x:v>TOPIXmini</x:v>
      </x:c>
      <x:c r="B1837" s="1" t="str">
        <x:v>P11</x:v>
      </x:c>
      <x:c r="C1837" s="1" t="str">
        <x:v>全50場</x:v>
      </x:c>
      <x:c r="D1837" s="47" t="n">
        <x:v>2020584</x:v>
      </x:c>
      <x:c r="E1837" s="47" t="n">
        <x:v>4392884</x:v>
      </x:c>
      <x:c r="F1837" s="47" t="n">
        <x:f>D1837-E1837</x:f>
        <x:v>-2372300</x:v>
      </x:c>
      <x:c r="G1837" s="49" t="n">
        <x:v>1</x:v>
      </x:c>
      <x:c r="H1837" s="49" t="n">
        <x:v>24</x:v>
      </x:c>
      <x:c r="I1837" s="47" t="n">
        <x:v>-2382060</x:v>
      </x:c>
      <x:c r="J1837" s="49" t="n">
        <x:v>1358</x:v>
      </x:c>
      <x:c r="K1837" s="47" t="n">
        <x:v>-253042</x:v>
      </x:c>
      <x:c r="L1837" s="47" t="n">
        <x:v>99252.5</x:v>
      </x:c>
      <x:c r="M1837" s="48" t="n">
        <x:v>4.675333333333333</x:v>
      </x:c>
      <x:c r="N1837" s="48" t="n">
        <x:v>318.08466666666664</x:v>
      </x:c>
      <x:c r="O1837" s="49" t="n">
        <x:v>5</x:v>
      </x:c>
      <x:c r="P1837" s="1" t="str">
        <x:v>追従と反発を状態で選択・標準</x:v>
      </x:c>
      <x:c r="Q1837" s="49" t="n">
        <x:v>0</x:v>
      </x:c>
      <x:c r="R1837" s="50" t="n">
        <x:v>0.7573444444444445</x:v>
      </x:c>
      <x:c r="S1837" s="50" t="n">
        <x:v>0.7573444444444445</x:v>
      </x:c>
      <x:c r="T1837" s="1" t="str">
        <x:v>デイ</x:v>
      </x:c>
      <x:c r="U1837" s="49" t="n">
        <x:v>25</x:v>
      </x:c>
    </x:row>
    <x:row r="1838" ht="22" customHeight="1">
      <x:c r="A1838" s="1" t="str">
        <x:v>TOPIXmini</x:v>
      </x:c>
      <x:c r="B1838" s="1" t="str">
        <x:v>P11</x:v>
      </x:c>
      <x:c r="C1838" s="1" t="str">
        <x:v>全50場</x:v>
      </x:c>
      <x:c r="D1838" s="47" t="n">
        <x:v>2203022</x:v>
      </x:c>
      <x:c r="E1838" s="47" t="n">
        <x:v>4116442</x:v>
      </x:c>
      <x:c r="F1838" s="47" t="n">
        <x:f>D1838-E1838</x:f>
        <x:v>-1913420</x:v>
      </x:c>
      <x:c r="G1838" s="49" t="n">
        <x:v>1</x:v>
      </x:c>
      <x:c r="H1838" s="49" t="n">
        <x:v>24</x:v>
      </x:c>
      <x:c r="I1838" s="47" t="n">
        <x:v>-1972816</x:v>
      </x:c>
      <x:c r="J1838" s="49" t="n">
        <x:v>1336</x:v>
      </x:c>
      <x:c r="K1838" s="47" t="n">
        <x:v>-193112</x:v>
      </x:c>
      <x:c r="L1838" s="47" t="n">
        <x:v>82200.66666666667</x:v>
      </x:c>
      <x:c r="M1838" s="48" t="n">
        <x:v>6.132</x:v>
      </x:c>
      <x:c r="N1838" s="48" t="n">
        <x:v>529.1320000000001</x:v>
      </x:c>
      <x:c r="O1838" s="49" t="n">
        <x:v>5</x:v>
      </x:c>
      <x:c r="P1838" s="1" t="str">
        <x:v>追従と反発を状態で選択・標準</x:v>
      </x:c>
      <x:c r="Q1838" s="49" t="n">
        <x:v>0</x:v>
      </x:c>
      <x:c r="R1838" s="50" t="n">
        <x:v>0.6783743589743589</x:v>
      </x:c>
      <x:c r="S1838" s="50" t="n">
        <x:v>0.6783743589743589</x:v>
      </x:c>
      <x:c r="T1838" s="1" t="str">
        <x:v>ナイト</x:v>
      </x:c>
      <x:c r="U1838" s="49" t="n">
        <x:v>25</x:v>
      </x:c>
    </x:row>
    <x:row r="1839" ht="22" customHeight="1">
      <x:c r="A1839" s="1" t="str">
        <x:v>TOPIXmini</x:v>
      </x:c>
      <x:c r="B1839" s="1" t="str">
        <x:v>P11</x:v>
      </x:c>
      <x:c r="C1839" s="1" t="str">
        <x:v>全50場</x:v>
      </x:c>
      <x:c r="D1839" s="47" t="n">
        <x:v>1850972</x:v>
      </x:c>
      <x:c r="E1839" s="47" t="n">
        <x:v>4119952</x:v>
      </x:c>
      <x:c r="F1839" s="47" t="n">
        <x:f>D1839-E1839</x:f>
        <x:v>-2268980</x:v>
      </x:c>
      <x:c r="G1839" s="49" t="n">
        <x:v>0</x:v>
      </x:c>
      <x:c r="H1839" s="49" t="n">
        <x:v>25</x:v>
      </x:c>
      <x:c r="I1839" s="47" t="n">
        <x:v>-2268980</x:v>
      </x:c>
      <x:c r="J1839" s="49" t="n">
        <x:v>1220</x:v>
      </x:c>
      <x:c r="K1839" s="47" t="n">
        <x:v>-212700</x:v>
      </x:c>
      <x:c r="L1839" s="47" t="n">
        <x:v>90759.2</x:v>
      </x:c>
      <x:c r="M1839" s="48" t="n">
        <x:v>4.252666666666667</x:v>
      </x:c>
      <x:c r="N1839" s="48" t="n">
        <x:v>407.35866666666664</x:v>
      </x:c>
      <x:c r="O1839" s="49" t="n">
        <x:v>5</x:v>
      </x:c>
      <x:c r="P1839" s="1" t="str">
        <x:v>追従と反発を状態で選択・標準</x:v>
      </x:c>
      <x:c r="Q1839" s="49" t="n">
        <x:v>0</x:v>
      </x:c>
      <x:c r="R1839" s="50" t="n">
        <x:v>0.6837785103785103</x:v>
      </x:c>
      <x:c r="S1839" s="50" t="n">
        <x:v>0.6708805445761968</x:v>
      </x:c>
      <x:c r="T1839" s="1" t="str">
        <x:v>上昇</x:v>
      </x:c>
      <x:c r="U1839" s="49" t="n">
        <x:v>25</x:v>
      </x:c>
    </x:row>
    <x:row r="1840" ht="22" customHeight="1">
      <x:c r="A1840" s="1" t="str">
        <x:v>TOPIXmini</x:v>
      </x:c>
      <x:c r="B1840" s="1" t="str">
        <x:v>P11</x:v>
      </x:c>
      <x:c r="C1840" s="1" t="str">
        <x:v>全50場</x:v>
      </x:c>
      <x:c r="D1840" s="47" t="n">
        <x:v>2372634</x:v>
      </x:c>
      <x:c r="E1840" s="47" t="n">
        <x:v>4389374</x:v>
      </x:c>
      <x:c r="F1840" s="47" t="n">
        <x:f>D1840-E1840</x:f>
        <x:v>-2016740</x:v>
      </x:c>
      <x:c r="G1840" s="49" t="n">
        <x:v>2</x:v>
      </x:c>
      <x:c r="H1840" s="49" t="n">
        <x:v>23</x:v>
      </x:c>
      <x:c r="I1840" s="47" t="n">
        <x:v>-2085896</x:v>
      </x:c>
      <x:c r="J1840" s="49" t="n">
        <x:v>1474</x:v>
      </x:c>
      <x:c r="K1840" s="47" t="n">
        <x:v>-253042</x:v>
      </x:c>
      <x:c r="L1840" s="47" t="n">
        <x:v>90691.13043478261</x:v>
      </x:c>
      <x:c r="M1840" s="48" t="n">
        <x:v>6.554666666666667</x:v>
      </x:c>
      <x:c r="N1840" s="48" t="n">
        <x:v>439.858</x:v>
      </x:c>
      <x:c r="O1840" s="49" t="n">
        <x:v>5</x:v>
      </x:c>
      <x:c r="P1840" s="1" t="str">
        <x:v>追従と反発を状態で選択・標準</x:v>
      </x:c>
      <x:c r="Q1840" s="49" t="n">
        <x:v>0</x:v>
      </x:c>
      <x:c r="R1840" s="50" t="n">
        <x:v>0.751940293040293</x:v>
      </x:c>
      <x:c r="S1840" s="50" t="n">
        <x:v>0.7420006747638327</x:v>
      </x:c>
      <x:c r="T1840" s="1" t="str">
        <x:v>下落</x:v>
      </x:c>
      <x:c r="U1840" s="49" t="n">
        <x:v>25</x:v>
      </x:c>
    </x:row>
    <x:row r="1841" ht="22" customHeight="1">
      <x:c r="A1841" s="1" t="str">
        <x:v>TOPIXmini</x:v>
      </x:c>
      <x:c r="B1841" s="1" t="str">
        <x:v>P11</x:v>
      </x:c>
      <x:c r="C1841" s="1" t="str">
        <x:v>対照47場</x:v>
      </x:c>
      <x:c r="D1841" s="47" t="n">
        <x:v>3834486</x:v>
      </x:c>
      <x:c r="E1841" s="47" t="n">
        <x:v>7844332</x:v>
      </x:c>
      <x:c r="F1841" s="47" t="n">
        <x:f>D1841-E1841</x:f>
        <x:v>-4009846</x:v>
      </x:c>
      <x:c r="G1841" s="49" t="n">
        <x:v>2</x:v>
      </x:c>
      <x:c r="H1841" s="49" t="n">
        <x:v>45</x:v>
      </x:c>
      <x:c r="I1841" s="47" t="n">
        <x:v>-4079002</x:v>
      </x:c>
      <x:c r="J1841" s="49" t="n">
        <x:v>2451</x:v>
      </x:c>
      <x:c r="K1841" s="47" t="n">
        <x:v>-253042</x:v>
      </x:c>
      <x:c r="L1841" s="47" t="n">
        <x:v>90644.48888888888</x:v>
      </x:c>
      <x:c r="M1841" s="48" t="n">
        <x:v>5.558156028368795</x:v>
      </x:c>
      <x:c r="N1841" s="48" t="n">
        <x:v>420.52695035460994</x:v>
      </x:c>
      <x:c r="O1841" s="49" t="n">
        <x:v>5</x:v>
      </x:c>
      <x:c r="P1841" s="1" t="str">
        <x:v>追従と反発を状態で選択・標準</x:v>
      </x:c>
      <x:c r="Q1841" s="49" t="n">
        <x:v>0</x:v>
      </x:c>
      <x:c r="R1841" s="50" t="n">
        <x:v>0.7170624529135169</x:v>
      </x:c>
      <x:c r="S1841" s="50" t="n">
        <x:v>0.7053806804663335</x:v>
      </x:c>
      <x:c r="T1841" s="1" t="str">
        <x:v>全場</x:v>
      </x:c>
      <x:c r="U1841" s="49" t="n">
        <x:v>47</x:v>
      </x:c>
    </x:row>
    <x:row r="1842" ht="22" customHeight="1">
      <x:c r="A1842" s="1" t="str">
        <x:v>TOPIXmini</x:v>
      </x:c>
      <x:c r="B1842" s="1" t="str">
        <x:v>P11</x:v>
      </x:c>
      <x:c r="C1842" s="1" t="str">
        <x:v>対照47場</x:v>
      </x:c>
      <x:c r="D1842" s="47" t="n">
        <x:v>1830548</x:v>
      </x:c>
      <x:c r="E1842" s="47" t="n">
        <x:v>4131000</x:v>
      </x:c>
      <x:c r="F1842" s="47" t="n">
        <x:f>D1842-E1842</x:f>
        <x:v>-2300452</x:v>
      </x:c>
      <x:c r="G1842" s="49" t="n">
        <x:v>1</x:v>
      </x:c>
      <x:c r="H1842" s="49" t="n">
        <x:v>23</x:v>
      </x:c>
      <x:c r="I1842" s="47" t="n">
        <x:v>-2310212</x:v>
      </x:c>
      <x:c r="J1842" s="49" t="n">
        <x:v>1276</x:v>
      </x:c>
      <x:c r="K1842" s="47" t="n">
        <x:v>-253042</x:v>
      </x:c>
      <x:c r="L1842" s="47" t="n">
        <x:v>100444</x:v>
      </x:c>
      <x:c r="M1842" s="48" t="n">
        <x:v>4.756944444444444</x:v>
      </x:c>
      <x:c r="N1842" s="48" t="n">
        <x:v>317.0777777777777</x:v>
      </x:c>
      <x:c r="O1842" s="49" t="n">
        <x:v>5</x:v>
      </x:c>
      <x:c r="P1842" s="1" t="str">
        <x:v>追従と反発を状態で選択・標準</x:v>
      </x:c>
      <x:c r="Q1842" s="49" t="n">
        <x:v>0</x:v>
      </x:c>
      <x:c r="R1842" s="50" t="n">
        <x:v>0.7549470899470899</x:v>
      </x:c>
      <x:c r="S1842" s="50" t="n">
        <x:v>0.7549470899470899</x:v>
      </x:c>
      <x:c r="T1842" s="1" t="str">
        <x:v>デイ</x:v>
      </x:c>
      <x:c r="U1842" s="49" t="n">
        <x:v>24</x:v>
      </x:c>
    </x:row>
    <x:row r="1843" ht="22" customHeight="1">
      <x:c r="A1843" s="1" t="str">
        <x:v>TOPIXmini</x:v>
      </x:c>
      <x:c r="B1843" s="1" t="str">
        <x:v>P11</x:v>
      </x:c>
      <x:c r="C1843" s="1" t="str">
        <x:v>対照47場</x:v>
      </x:c>
      <x:c r="D1843" s="47" t="n">
        <x:v>2003938</x:v>
      </x:c>
      <x:c r="E1843" s="47" t="n">
        <x:v>3713332</x:v>
      </x:c>
      <x:c r="F1843" s="47" t="n">
        <x:f>D1843-E1843</x:f>
        <x:v>-1709394</x:v>
      </x:c>
      <x:c r="G1843" s="49" t="n">
        <x:v>1</x:v>
      </x:c>
      <x:c r="H1843" s="49" t="n">
        <x:v>22</x:v>
      </x:c>
      <x:c r="I1843" s="47" t="n">
        <x:v>-1768790</x:v>
      </x:c>
      <x:c r="J1843" s="49" t="n">
        <x:v>1175</x:v>
      </x:c>
      <x:c r="K1843" s="47" t="n">
        <x:v>-193112</x:v>
      </x:c>
      <x:c r="L1843" s="47" t="n">
        <x:v>80399.54545454546</x:v>
      </x:c>
      <x:c r="M1843" s="48" t="n">
        <x:v>6.394202898550725</x:v>
      </x:c>
      <x:c r="N1843" s="48" t="n">
        <x:v>528.4739130434783</x:v>
      </x:c>
      <x:c r="O1843" s="49" t="n">
        <x:v>5</x:v>
      </x:c>
      <x:c r="P1843" s="1" t="str">
        <x:v>追従と反発を状態で選択・標準</x:v>
      </x:c>
      <x:c r="Q1843" s="49" t="n">
        <x:v>0</x:v>
      </x:c>
      <x:c r="R1843" s="50" t="n">
        <x:v>0.677530657748049</x:v>
      </x:c>
      <x:c r="S1843" s="50" t="n">
        <x:v>0.677530657748049</x:v>
      </x:c>
      <x:c r="T1843" s="1" t="str">
        <x:v>ナイト</x:v>
      </x:c>
      <x:c r="U1843" s="49" t="n">
        <x:v>23</x:v>
      </x:c>
    </x:row>
    <x:row r="1844" ht="22" customHeight="1">
      <x:c r="A1844" s="1" t="str">
        <x:v>TOPIXmini</x:v>
      </x:c>
      <x:c r="B1844" s="1" t="str">
        <x:v>P11</x:v>
      </x:c>
      <x:c r="C1844" s="1" t="str">
        <x:v>対照47場</x:v>
      </x:c>
      <x:c r="D1844" s="47" t="n">
        <x:v>1782350</x:v>
      </x:c>
      <x:c r="E1844" s="47" t="n">
        <x:v>3915232</x:v>
      </x:c>
      <x:c r="F1844" s="47" t="n">
        <x:f>D1844-E1844</x:f>
        <x:v>-2132882</x:v>
      </x:c>
      <x:c r="G1844" s="49" t="n">
        <x:v>0</x:v>
      </x:c>
      <x:c r="H1844" s="49" t="n">
        <x:v>24</x:v>
      </x:c>
      <x:c r="I1844" s="47" t="n">
        <x:v>-2132882</x:v>
      </x:c>
      <x:c r="J1844" s="49" t="n">
        <x:v>1143</x:v>
      </x:c>
      <x:c r="K1844" s="47" t="n">
        <x:v>-212700</x:v>
      </x:c>
      <x:c r="L1844" s="47" t="n">
        <x:v>88870.08333333333</x:v>
      </x:c>
      <x:c r="M1844" s="48" t="n">
        <x:v>4.336805555555556</x:v>
      </x:c>
      <x:c r="N1844" s="48" t="n">
        <x:v>403.0756944444444</x:v>
      </x:c>
      <x:c r="O1844" s="49" t="n">
        <x:v>5</x:v>
      </x:c>
      <x:c r="P1844" s="1" t="str">
        <x:v>追従と反発を状態で選択・標準</x:v>
      </x:c>
      <x:c r="Q1844" s="49" t="n">
        <x:v>0</x:v>
      </x:c>
      <x:c r="R1844" s="50" t="n">
        <x:v>0.685017679080179</x:v>
      </x:c>
      <x:c r="S1844" s="50" t="n">
        <x:v>0.671792824074074</x:v>
      </x:c>
      <x:c r="T1844" s="1" t="str">
        <x:v>上昇</x:v>
      </x:c>
      <x:c r="U1844" s="49" t="n">
        <x:v>24</x:v>
      </x:c>
    </x:row>
    <x:row r="1845" ht="22" customHeight="1">
      <x:c r="A1845" s="1" t="str">
        <x:v>TOPIXmini</x:v>
      </x:c>
      <x:c r="B1845" s="1" t="str">
        <x:v>P11</x:v>
      </x:c>
      <x:c r="C1845" s="1" t="str">
        <x:v>対照47場</x:v>
      </x:c>
      <x:c r="D1845" s="47" t="n">
        <x:v>2052136</x:v>
      </x:c>
      <x:c r="E1845" s="47" t="n">
        <x:v>3929100</x:v>
      </x:c>
      <x:c r="F1845" s="47" t="n">
        <x:f>D1845-E1845</x:f>
        <x:v>-1876964</x:v>
      </x:c>
      <x:c r="G1845" s="49" t="n">
        <x:v>2</x:v>
      </x:c>
      <x:c r="H1845" s="49" t="n">
        <x:v>21</x:v>
      </x:c>
      <x:c r="I1845" s="47" t="n">
        <x:v>-1946120</x:v>
      </x:c>
      <x:c r="J1845" s="49" t="n">
        <x:v>1308</x:v>
      </x:c>
      <x:c r="K1845" s="47" t="n">
        <x:v>-253042</x:v>
      </x:c>
      <x:c r="L1845" s="47" t="n">
        <x:v>92672.38095238095</x:v>
      </x:c>
      <x:c r="M1845" s="48" t="n">
        <x:v>6.832608695652173</x:v>
      </x:c>
      <x:c r="N1845" s="48" t="n">
        <x:v>438.73695652173916</x:v>
      </x:c>
      <x:c r="O1845" s="49" t="n">
        <x:v>5</x:v>
      </x:c>
      <x:c r="P1845" s="1" t="str">
        <x:v>追従と反発を状態で選択・標準</x:v>
      </x:c>
      <x:c r="Q1845" s="49" t="n">
        <x:v>0</x:v>
      </x:c>
      <x:c r="R1845" s="50" t="n">
        <x:v>0.7505004777830864</x:v>
      </x:c>
      <x:c r="S1845" s="50" t="n">
        <x:v>0.7408920704845815</x:v>
      </x:c>
      <x:c r="T1845" s="1" t="str">
        <x:v>下落</x:v>
      </x:c>
      <x:c r="U1845" s="49" t="n">
        <x:v>23</x:v>
      </x:c>
    </x:row>
    <x:row r="1846" ht="22" customHeight="1">
      <x:c r="A1846" s="1" t="str">
        <x:v>TOPIXmini</x:v>
      </x:c>
      <x:c r="B1846" s="1" t="str">
        <x:v>P11</x:v>
      </x:c>
      <x:c r="C1846" s="1" t="str">
        <x:v>診断3場</x:v>
      </x:c>
      <x:c r="D1846" s="47" t="n">
        <x:v>389120</x:v>
      </x:c>
      <x:c r="E1846" s="47" t="n">
        <x:v>664994</x:v>
      </x:c>
      <x:c r="F1846" s="47" t="n">
        <x:f>D1846-E1846</x:f>
        <x:v>-275874</x:v>
      </x:c>
      <x:c r="G1846" s="49" t="n">
        <x:v>0</x:v>
      </x:c>
      <x:c r="H1846" s="49" t="n">
        <x:v>3</x:v>
      </x:c>
      <x:c r="I1846" s="47" t="n">
        <x:v>-275874</x:v>
      </x:c>
      <x:c r="J1846" s="49" t="n">
        <x:v>243</x:v>
      </x:c>
      <x:c r="K1846" s="47" t="n">
        <x:v>-136098</x:v>
      </x:c>
      <x:c r="L1846" s="47" t="n">
        <x:v>91958</x:v>
      </x:c>
      <x:c r="M1846" s="48" t="n">
        <x:v>2.983333333333333</x:v>
      </x:c>
      <x:c r="N1846" s="48" t="n">
        <x:v>471.8833333333334</x:v>
      </x:c>
      <x:c r="O1846" s="49" t="n">
        <x:v>5</x:v>
      </x:c>
      <x:c r="P1846" s="1" t="str">
        <x:v>追従と反発を状態で選択・標準</x:v>
      </x:c>
      <x:c r="Q1846" s="49" t="n">
        <x:v>0</x:v>
      </x:c>
      <x:c r="R1846" s="50" t="n">
        <x:v>0.7303449328449328</x:v>
      </x:c>
      <x:c r="S1846" s="50" t="n">
        <x:v>0.7149747474747475</x:v>
      </x:c>
      <x:c r="T1846" s="1" t="str">
        <x:v>全場</x:v>
      </x:c>
      <x:c r="U1846" s="49" t="n">
        <x:v>3</x:v>
      </x:c>
    </x:row>
    <x:row r="1847" ht="22" customHeight="1">
      <x:c r="A1847" s="1" t="str">
        <x:v>TOPIXmini</x:v>
      </x:c>
      <x:c r="B1847" s="1" t="str">
        <x:v>P11</x:v>
      </x:c>
      <x:c r="C1847" s="1" t="str">
        <x:v>診断3場</x:v>
      </x:c>
      <x:c r="D1847" s="47" t="n">
        <x:v>190036</x:v>
      </x:c>
      <x:c r="E1847" s="47" t="n">
        <x:v>261884</x:v>
      </x:c>
      <x:c r="F1847" s="47" t="n">
        <x:f>D1847-E1847</x:f>
        <x:v>-71848</x:v>
      </x:c>
      <x:c r="G1847" s="49" t="n">
        <x:v>0</x:v>
      </x:c>
      <x:c r="H1847" s="49" t="n">
        <x:v>1</x:v>
      </x:c>
      <x:c r="I1847" s="47" t="n">
        <x:v>-71848</x:v>
      </x:c>
      <x:c r="J1847" s="49" t="n">
        <x:v>82</x:v>
      </x:c>
      <x:c r="K1847" s="47" t="n">
        <x:v>-71848</x:v>
      </x:c>
      <x:c r="L1847" s="47" t="n">
        <x:v>71848</x:v>
      </x:c>
      <x:c r="M1847" s="48" t="n">
        <x:v>2.716666666666667</x:v>
      </x:c>
      <x:c r="N1847" s="48" t="n">
        <x:v>342.25</x:v>
      </x:c>
      <x:c r="O1847" s="49" t="n">
        <x:v>5</x:v>
      </x:c>
      <x:c r="P1847" s="1" t="str">
        <x:v>追従と反発を状態で選択・標準</x:v>
      </x:c>
      <x:c r="Q1847" s="49" t="n">
        <x:v>0</x:v>
      </x:c>
      <x:c r="R1847" s="50" t="n">
        <x:v>0.8148809523809524</x:v>
      </x:c>
      <x:c r="S1847" s="50" t="n">
        <x:v>0.8148809523809524</x:v>
      </x:c>
      <x:c r="T1847" s="1" t="str">
        <x:v>デイ</x:v>
      </x:c>
      <x:c r="U1847" s="49" t="n">
        <x:v>1</x:v>
      </x:c>
    </x:row>
    <x:row r="1848" ht="22" customHeight="1">
      <x:c r="A1848" s="1" t="str">
        <x:v>TOPIXmini</x:v>
      </x:c>
      <x:c r="B1848" s="1" t="str">
        <x:v>P11</x:v>
      </x:c>
      <x:c r="C1848" s="1" t="str">
        <x:v>診断3場</x:v>
      </x:c>
      <x:c r="D1848" s="47" t="n">
        <x:v>199084</x:v>
      </x:c>
      <x:c r="E1848" s="47" t="n">
        <x:v>403110</x:v>
      </x:c>
      <x:c r="F1848" s="47" t="n">
        <x:f>D1848-E1848</x:f>
        <x:v>-204026</x:v>
      </x:c>
      <x:c r="G1848" s="49" t="n">
        <x:v>0</x:v>
      </x:c>
      <x:c r="H1848" s="49" t="n">
        <x:v>2</x:v>
      </x:c>
      <x:c r="I1848" s="47" t="n">
        <x:v>-204026</x:v>
      </x:c>
      <x:c r="J1848" s="49" t="n">
        <x:v>161</x:v>
      </x:c>
      <x:c r="K1848" s="47" t="n">
        <x:v>-136098</x:v>
      </x:c>
      <x:c r="L1848" s="47" t="n">
        <x:v>102013</x:v>
      </x:c>
      <x:c r="M1848" s="48" t="n">
        <x:v>3.1166666666666667</x:v>
      </x:c>
      <x:c r="N1848" s="48" t="n">
        <x:v>536.7</x:v>
      </x:c>
      <x:c r="O1848" s="49" t="n">
        <x:v>5</x:v>
      </x:c>
      <x:c r="P1848" s="1" t="str">
        <x:v>追従と反発を状態で選択・標準</x:v>
      </x:c>
      <x:c r="Q1848" s="49" t="n">
        <x:v>0</x:v>
      </x:c>
      <x:c r="R1848" s="50" t="n">
        <x:v>0.688076923076923</x:v>
      </x:c>
      <x:c r="S1848" s="50" t="n">
        <x:v>0.6880769230769231</x:v>
      </x:c>
      <x:c r="T1848" s="1" t="str">
        <x:v>ナイト</x:v>
      </x:c>
      <x:c r="U1848" s="49" t="n">
        <x:v>2</x:v>
      </x:c>
    </x:row>
    <x:row r="1849" ht="22" customHeight="1">
      <x:c r="A1849" s="1" t="str">
        <x:v>TOPIXmini</x:v>
      </x:c>
      <x:c r="B1849" s="1" t="str">
        <x:v>P11</x:v>
      </x:c>
      <x:c r="C1849" s="1" t="str">
        <x:v>診断3場</x:v>
      </x:c>
      <x:c r="D1849" s="47" t="n">
        <x:v>68622</x:v>
      </x:c>
      <x:c r="E1849" s="47" t="n">
        <x:v>204720</x:v>
      </x:c>
      <x:c r="F1849" s="47" t="n">
        <x:f>D1849-E1849</x:f>
        <x:v>-136098</x:v>
      </x:c>
      <x:c r="G1849" s="49" t="n">
        <x:v>0</x:v>
      </x:c>
      <x:c r="H1849" s="49" t="n">
        <x:v>1</x:v>
      </x:c>
      <x:c r="I1849" s="47" t="n">
        <x:v>-136098</x:v>
      </x:c>
      <x:c r="J1849" s="49" t="n">
        <x:v>77</x:v>
      </x:c>
      <x:c r="K1849" s="47" t="n">
        <x:v>-136098</x:v>
      </x:c>
      <x:c r="L1849" s="47" t="n">
        <x:v>136098</x:v>
      </x:c>
      <x:c r="M1849" s="48" t="n">
        <x:v>2.2333333333333334</x:v>
      </x:c>
      <x:c r="N1849" s="48" t="n">
        <x:v>510.15</x:v>
      </x:c>
      <x:c r="O1849" s="49" t="n">
        <x:v>5</x:v>
      </x:c>
      <x:c r="P1849" s="1" t="str">
        <x:v>追従と反発を状態で選択・標準</x:v>
      </x:c>
      <x:c r="Q1849" s="49" t="n">
        <x:v>0</x:v>
      </x:c>
      <x:c r="R1849" s="50" t="n">
        <x:v>0.6540384615384616</x:v>
      </x:c>
      <x:c r="S1849" s="50" t="n">
        <x:v>0.6540384615384615</x:v>
      </x:c>
      <x:c r="T1849" s="1" t="str">
        <x:v>上昇</x:v>
      </x:c>
      <x:c r="U1849" s="49" t="n">
        <x:v>1</x:v>
      </x:c>
    </x:row>
    <x:row r="1850" ht="22" customHeight="1">
      <x:c r="A1850" s="1" t="str">
        <x:v>TOPIXmini</x:v>
      </x:c>
      <x:c r="B1850" s="1" t="str">
        <x:v>P11</x:v>
      </x:c>
      <x:c r="C1850" s="1" t="str">
        <x:v>診断3場</x:v>
      </x:c>
      <x:c r="D1850" s="47" t="n">
        <x:v>320498</x:v>
      </x:c>
      <x:c r="E1850" s="47" t="n">
        <x:v>460274</x:v>
      </x:c>
      <x:c r="F1850" s="47" t="n">
        <x:f>D1850-E1850</x:f>
        <x:v>-139776</x:v>
      </x:c>
      <x:c r="G1850" s="49" t="n">
        <x:v>0</x:v>
      </x:c>
      <x:c r="H1850" s="49" t="n">
        <x:v>2</x:v>
      </x:c>
      <x:c r="I1850" s="47" t="n">
        <x:v>-139776</x:v>
      </x:c>
      <x:c r="J1850" s="49" t="n">
        <x:v>166</x:v>
      </x:c>
      <x:c r="K1850" s="47" t="n">
        <x:v>-71848</x:v>
      </x:c>
      <x:c r="L1850" s="47" t="n">
        <x:v>69888</x:v>
      </x:c>
      <x:c r="M1850" s="48" t="n">
        <x:v>3.3583333333333334</x:v>
      </x:c>
      <x:c r="N1850" s="48" t="n">
        <x:v>452.75</x:v>
      </x:c>
      <x:c r="O1850" s="49" t="n">
        <x:v>5</x:v>
      </x:c>
      <x:c r="P1850" s="1" t="str">
        <x:v>追従と反発を状態で選択・標準</x:v>
      </x:c>
      <x:c r="Q1850" s="49" t="n">
        <x:v>0</x:v>
      </x:c>
      <x:c r="R1850" s="50" t="n">
        <x:v>0.7684981684981684</x:v>
      </x:c>
      <x:c r="S1850" s="50" t="n">
        <x:v>0.7545833333333334</x:v>
      </x:c>
      <x:c r="T1850" s="1" t="str">
        <x:v>下落</x:v>
      </x:c>
      <x:c r="U1850" s="49" t="n">
        <x:v>2</x:v>
      </x:c>
    </x:row>
    <x:row r="1851" ht="22" customHeight="1">
      <x:c r="A1851" s="1" t="str">
        <x:v>TOPIXmini</x:v>
      </x:c>
      <x:c r="B1851" s="1" t="str">
        <x:v>P12</x:v>
      </x:c>
      <x:c r="C1851" s="1" t="str">
        <x:v>全50場</x:v>
      </x:c>
      <x:c r="D1851" s="47" t="n">
        <x:v>4200612</x:v>
      </x:c>
      <x:c r="E1851" s="47" t="n">
        <x:v>7984776</x:v>
      </x:c>
      <x:c r="F1851" s="47" t="n">
        <x:f>D1851-E1851</x:f>
        <x:v>-3784164</x:v>
      </x:c>
      <x:c r="G1851" s="49" t="n">
        <x:v>6</x:v>
      </x:c>
      <x:c r="H1851" s="49" t="n">
        <x:v>44</x:v>
      </x:c>
      <x:c r="I1851" s="47" t="n">
        <x:v>-3853968</x:v>
      </x:c>
      <x:c r="J1851" s="49" t="n">
        <x:v>2294</x:v>
      </x:c>
      <x:c r="K1851" s="47" t="n">
        <x:v>-249960</x:v>
      </x:c>
      <x:c r="L1851" s="47" t="n">
        <x:v>87826.81818181818</x:v>
      </x:c>
      <x:c r="M1851" s="48" t="n">
        <x:v>5.403666666666667</x:v>
      </x:c>
      <x:c r="N1851" s="48" t="n">
        <x:v>468.4176666666666</x:v>
      </x:c>
      <x:c r="O1851" s="49" t="n">
        <x:v>5</x:v>
      </x:c>
      <x:c r="P1851" s="1" t="str">
        <x:v>追従と反発を状態で選択・広め</x:v>
      </x:c>
      <x:c r="Q1851" s="49" t="n">
        <x:v>0</x:v>
      </x:c>
      <x:c r="R1851" s="50" t="n">
        <x:v>0.7823493894993896</x:v>
      </x:c>
      <x:c r="S1851" s="50" t="n">
        <x:v>0.7806961111111111</x:v>
      </x:c>
      <x:c r="T1851" s="1" t="str">
        <x:v>全場</x:v>
      </x:c>
      <x:c r="U1851" s="49" t="n">
        <x:v>50</x:v>
      </x:c>
    </x:row>
    <x:row r="1852" ht="22" customHeight="1">
      <x:c r="A1852" s="1" t="str">
        <x:v>TOPIXmini</x:v>
      </x:c>
      <x:c r="B1852" s="1" t="str">
        <x:v>P12</x:v>
      </x:c>
      <x:c r="C1852" s="1" t="str">
        <x:v>全50場</x:v>
      </x:c>
      <x:c r="D1852" s="47" t="n">
        <x:v>1958614</x:v>
      </x:c>
      <x:c r="E1852" s="47" t="n">
        <x:v>4227092</x:v>
      </x:c>
      <x:c r="F1852" s="47" t="n">
        <x:f>D1852-E1852</x:f>
        <x:v>-2268478</x:v>
      </x:c>
      <x:c r="G1852" s="49" t="n">
        <x:v>2</x:v>
      </x:c>
      <x:c r="H1852" s="49" t="n">
        <x:v>23</x:v>
      </x:c>
      <x:c r="I1852" s="47" t="n">
        <x:v>-2290058</x:v>
      </x:c>
      <x:c r="J1852" s="49" t="n">
        <x:v>1203</x:v>
      </x:c>
      <x:c r="K1852" s="47" t="n">
        <x:v>-249960</x:v>
      </x:c>
      <x:c r="L1852" s="47" t="n">
        <x:v>99567.73913043478</x:v>
      </x:c>
      <x:c r="M1852" s="48" t="n">
        <x:v>4.675333333333333</x:v>
      </x:c>
      <x:c r="N1852" s="48" t="n">
        <x:v>330.9013333333333</x:v>
      </x:c>
      <x:c r="O1852" s="49" t="n">
        <x:v>5</x:v>
      </x:c>
      <x:c r="P1852" s="1" t="str">
        <x:v>追従と反発を状態で選択・広め</x:v>
      </x:c>
      <x:c r="Q1852" s="49" t="n">
        <x:v>0</x:v>
      </x:c>
      <x:c r="R1852" s="50" t="n">
        <x:v>0.7878603174603174</x:v>
      </x:c>
      <x:c r="S1852" s="50" t="n">
        <x:v>0.7878603174603174</x:v>
      </x:c>
      <x:c r="T1852" s="1" t="str">
        <x:v>デイ</x:v>
      </x:c>
      <x:c r="U1852" s="49" t="n">
        <x:v>25</x:v>
      </x:c>
    </x:row>
    <x:row r="1853" ht="22" customHeight="1">
      <x:c r="A1853" s="1" t="str">
        <x:v>TOPIXmini</x:v>
      </x:c>
      <x:c r="B1853" s="1" t="str">
        <x:v>P12</x:v>
      </x:c>
      <x:c r="C1853" s="1" t="str">
        <x:v>全50場</x:v>
      </x:c>
      <x:c r="D1853" s="47" t="n">
        <x:v>2241998</x:v>
      </x:c>
      <x:c r="E1853" s="47" t="n">
        <x:v>3757684</x:v>
      </x:c>
      <x:c r="F1853" s="47" t="n">
        <x:f>D1853-E1853</x:f>
        <x:v>-1515686</x:v>
      </x:c>
      <x:c r="G1853" s="49" t="n">
        <x:v>4</x:v>
      </x:c>
      <x:c r="H1853" s="49" t="n">
        <x:v>21</x:v>
      </x:c>
      <x:c r="I1853" s="47" t="n">
        <x:v>-1573784</x:v>
      </x:c>
      <x:c r="J1853" s="49" t="n">
        <x:v>1091</x:v>
      </x:c>
      <x:c r="K1853" s="47" t="n">
        <x:v>-167790</x:v>
      </x:c>
      <x:c r="L1853" s="47" t="n">
        <x:v>74967.71428571429</x:v>
      </x:c>
      <x:c r="M1853" s="48" t="n">
        <x:v>6.132</x:v>
      </x:c>
      <x:c r="N1853" s="48" t="n">
        <x:v>605.934</x:v>
      </x:c>
      <x:c r="O1853" s="49" t="n">
        <x:v>5</x:v>
      </x:c>
      <x:c r="P1853" s="1" t="str">
        <x:v>追従と反発を状態で選択・広め</x:v>
      </x:c>
      <x:c r="Q1853" s="49" t="n">
        <x:v>0</x:v>
      </x:c>
      <x:c r="R1853" s="50" t="n">
        <x:v>0.7768384615384616</x:v>
      </x:c>
      <x:c r="S1853" s="50" t="n">
        <x:v>0.7768384615384616</x:v>
      </x:c>
      <x:c r="T1853" s="1" t="str">
        <x:v>ナイト</x:v>
      </x:c>
      <x:c r="U1853" s="49" t="n">
        <x:v>25</x:v>
      </x:c>
    </x:row>
    <x:row r="1854" ht="22" customHeight="1">
      <x:c r="A1854" s="1" t="str">
        <x:v>TOPIXmini</x:v>
      </x:c>
      <x:c r="B1854" s="1" t="str">
        <x:v>P12</x:v>
      </x:c>
      <x:c r="C1854" s="1" t="str">
        <x:v>全50場</x:v>
      </x:c>
      <x:c r="D1854" s="47" t="n">
        <x:v>1913920</x:v>
      </x:c>
      <x:c r="E1854" s="47" t="n">
        <x:v>3784182</x:v>
      </x:c>
      <x:c r="F1854" s="47" t="n">
        <x:f>D1854-E1854</x:f>
        <x:v>-1870262</x:v>
      </x:c>
      <x:c r="G1854" s="49" t="n">
        <x:v>3</x:v>
      </x:c>
      <x:c r="H1854" s="49" t="n">
        <x:v>22</x:v>
      </x:c>
      <x:c r="I1854" s="47" t="n">
        <x:v>-1880674</x:v>
      </x:c>
      <x:c r="J1854" s="49" t="n">
        <x:v>1031</x:v>
      </x:c>
      <x:c r="K1854" s="47" t="n">
        <x:v>-183960</x:v>
      </x:c>
      <x:c r="L1854" s="47" t="n">
        <x:v>85485.18181818182</x:v>
      </x:c>
      <x:c r="M1854" s="48" t="n">
        <x:v>4.252666666666667</x:v>
      </x:c>
      <x:c r="N1854" s="48" t="n">
        <x:v>465.46333333333337</x:v>
      </x:c>
      <x:c r="O1854" s="49" t="n">
        <x:v>5</x:v>
      </x:c>
      <x:c r="P1854" s="1" t="str">
        <x:v>追従と反発を状態で選択・広め</x:v>
      </x:c>
      <x:c r="Q1854" s="49" t="n">
        <x:v>0</x:v>
      </x:c>
      <x:c r="R1854" s="50" t="n">
        <x:v>0.768605006105006</x:v>
      </x:c>
      <x:c r="S1854" s="50" t="n">
        <x:v>0.7665733421168204</x:v>
      </x:c>
      <x:c r="T1854" s="1" t="str">
        <x:v>上昇</x:v>
      </x:c>
      <x:c r="U1854" s="49" t="n">
        <x:v>25</x:v>
      </x:c>
    </x:row>
    <x:row r="1855" ht="22" customHeight="1">
      <x:c r="A1855" s="1" t="str">
        <x:v>TOPIXmini</x:v>
      </x:c>
      <x:c r="B1855" s="1" t="str">
        <x:v>P12</x:v>
      </x:c>
      <x:c r="C1855" s="1" t="str">
        <x:v>全50場</x:v>
      </x:c>
      <x:c r="D1855" s="47" t="n">
        <x:v>2286692</x:v>
      </x:c>
      <x:c r="E1855" s="47" t="n">
        <x:v>4200594</x:v>
      </x:c>
      <x:c r="F1855" s="47" t="n">
        <x:f>D1855-E1855</x:f>
        <x:v>-1913902</x:v>
      </x:c>
      <x:c r="G1855" s="49" t="n">
        <x:v>3</x:v>
      </x:c>
      <x:c r="H1855" s="49" t="n">
        <x:v>22</x:v>
      </x:c>
      <x:c r="I1855" s="47" t="n">
        <x:v>-1983706</x:v>
      </x:c>
      <x:c r="J1855" s="49" t="n">
        <x:v>1263</x:v>
      </x:c>
      <x:c r="K1855" s="47" t="n">
        <x:v>-249960</x:v>
      </x:c>
      <x:c r="L1855" s="47" t="n">
        <x:v>90168.45454545454</x:v>
      </x:c>
      <x:c r="M1855" s="48" t="n">
        <x:v>6.554666666666667</x:v>
      </x:c>
      <x:c r="N1855" s="48" t="n">
        <x:v>471.37199999999996</x:v>
      </x:c>
      <x:c r="O1855" s="49" t="n">
        <x:v>5</x:v>
      </x:c>
      <x:c r="P1855" s="1" t="str">
        <x:v>追従と反発を状態で選択・広め</x:v>
      </x:c>
      <x:c r="Q1855" s="49" t="n">
        <x:v>0</x:v>
      </x:c>
      <x:c r="R1855" s="50" t="n">
        <x:v>0.7960937728937728</x:v>
      </x:c>
      <x:c r="S1855" s="50" t="n">
        <x:v>0.7951619433198381</x:v>
      </x:c>
      <x:c r="T1855" s="1" t="str">
        <x:v>下落</x:v>
      </x:c>
      <x:c r="U1855" s="49" t="n">
        <x:v>25</x:v>
      </x:c>
    </x:row>
    <x:row r="1856" ht="22" customHeight="1">
      <x:c r="A1856" s="1" t="str">
        <x:v>TOPIXmini</x:v>
      </x:c>
      <x:c r="B1856" s="1" t="str">
        <x:v>P12</x:v>
      </x:c>
      <x:c r="C1856" s="1" t="str">
        <x:v>対照47場</x:v>
      </x:c>
      <x:c r="D1856" s="47" t="n">
        <x:v>3780132</x:v>
      </x:c>
      <x:c r="E1856" s="47" t="n">
        <x:v>7390606</x:v>
      </x:c>
      <x:c r="F1856" s="47" t="n">
        <x:f>D1856-E1856</x:f>
        <x:v>-3610474</x:v>
      </x:c>
      <x:c r="G1856" s="49" t="n">
        <x:v>6</x:v>
      </x:c>
      <x:c r="H1856" s="49" t="n">
        <x:v>41</x:v>
      </x:c>
      <x:c r="I1856" s="47" t="n">
        <x:v>-3680278</x:v>
      </x:c>
      <x:c r="J1856" s="49" t="n">
        <x:v>2107</x:v>
      </x:c>
      <x:c r="K1856" s="47" t="n">
        <x:v>-249960</x:v>
      </x:c>
      <x:c r="L1856" s="47" t="n">
        <x:v>90016.82926829268</x:v>
      </x:c>
      <x:c r="M1856" s="48" t="n">
        <x:v>5.558156028368795</x:v>
      </x:c>
      <x:c r="N1856" s="48" t="n">
        <x:v>464.14468085106375</x:v>
      </x:c>
      <x:c r="O1856" s="49" t="n">
        <x:v>5</x:v>
      </x:c>
      <x:c r="P1856" s="1" t="str">
        <x:v>追従と反発を状態で選択・広め</x:v>
      </x:c>
      <x:c r="Q1856" s="49" t="n">
        <x:v>0</x:v>
      </x:c>
      <x:c r="R1856" s="50" t="n">
        <x:v>0.780291871249318</x:v>
      </x:c>
      <x:c r="S1856" s="50" t="n">
        <x:v>0.778543897216274</x:v>
      </x:c>
      <x:c r="T1856" s="1" t="str">
        <x:v>全場</x:v>
      </x:c>
      <x:c r="U1856" s="49" t="n">
        <x:v>47</x:v>
      </x:c>
    </x:row>
    <x:row r="1857" ht="22" customHeight="1">
      <x:c r="A1857" s="1" t="str">
        <x:v>TOPIXmini</x:v>
      </x:c>
      <x:c r="B1857" s="1" t="str">
        <x:v>P12</x:v>
      </x:c>
      <x:c r="C1857" s="1" t="str">
        <x:v>対照47場</x:v>
      </x:c>
      <x:c r="D1857" s="47" t="n">
        <x:v>1805426</x:v>
      </x:c>
      <x:c r="E1857" s="47" t="n">
        <x:v>4003536</x:v>
      </x:c>
      <x:c r="F1857" s="47" t="n">
        <x:f>D1857-E1857</x:f>
        <x:v>-2198110</x:v>
      </x:c>
      <x:c r="G1857" s="49" t="n">
        <x:v>2</x:v>
      </x:c>
      <x:c r="H1857" s="49" t="n">
        <x:v>22</x:v>
      </x:c>
      <x:c r="I1857" s="47" t="n">
        <x:v>-2219690</x:v>
      </x:c>
      <x:c r="J1857" s="49" t="n">
        <x:v>1137</x:v>
      </x:c>
      <x:c r="K1857" s="47" t="n">
        <x:v>-249960</x:v>
      </x:c>
      <x:c r="L1857" s="47" t="n">
        <x:v>100895</x:v>
      </x:c>
      <x:c r="M1857" s="48" t="n">
        <x:v>4.756944444444444</x:v>
      </x:c>
      <x:c r="N1857" s="48" t="n">
        <x:v>330.10347222222225</x:v>
      </x:c>
      <x:c r="O1857" s="49" t="n">
        <x:v>5</x:v>
      </x:c>
      <x:c r="P1857" s="1" t="str">
        <x:v>追従と反発を状態で選択・広め</x:v>
      </x:c>
      <x:c r="Q1857" s="49" t="n">
        <x:v>0</x:v>
      </x:c>
      <x:c r="R1857" s="50" t="n">
        <x:v>0.7859606481481481</x:v>
      </x:c>
      <x:c r="S1857" s="50" t="n">
        <x:v>0.7859606481481481</x:v>
      </x:c>
      <x:c r="T1857" s="1" t="str">
        <x:v>デイ</x:v>
      </x:c>
      <x:c r="U1857" s="49" t="n">
        <x:v>24</x:v>
      </x:c>
    </x:row>
    <x:row r="1858" ht="22" customHeight="1">
      <x:c r="A1858" s="1" t="str">
        <x:v>TOPIXmini</x:v>
      </x:c>
      <x:c r="B1858" s="1" t="str">
        <x:v>P12</x:v>
      </x:c>
      <x:c r="C1858" s="1" t="str">
        <x:v>対照47場</x:v>
      </x:c>
      <x:c r="D1858" s="47" t="n">
        <x:v>1974706</x:v>
      </x:c>
      <x:c r="E1858" s="47" t="n">
        <x:v>3387070</x:v>
      </x:c>
      <x:c r="F1858" s="47" t="n">
        <x:f>D1858-E1858</x:f>
        <x:v>-1412364</x:v>
      </x:c>
      <x:c r="G1858" s="49" t="n">
        <x:v>4</x:v>
      </x:c>
      <x:c r="H1858" s="49" t="n">
        <x:v>19</x:v>
      </x:c>
      <x:c r="I1858" s="47" t="n">
        <x:v>-1470462</x:v>
      </x:c>
      <x:c r="J1858" s="49" t="n">
        <x:v>970</x:v>
      </x:c>
      <x:c r="K1858" s="47" t="n">
        <x:v>-167790</x:v>
      </x:c>
      <x:c r="L1858" s="47" t="n">
        <x:v>77421.05263157895</x:v>
      </x:c>
      <x:c r="M1858" s="48" t="n">
        <x:v>6.394202898550725</x:v>
      </x:c>
      <x:c r="N1858" s="48" t="n">
        <x:v>604.0137681159421</x:v>
      </x:c>
      <x:c r="O1858" s="49" t="n">
        <x:v>5</x:v>
      </x:c>
      <x:c r="P1858" s="1" t="str">
        <x:v>追従と反発を状態で選択・広め</x:v>
      </x:c>
      <x:c r="Q1858" s="49" t="n">
        <x:v>0</x:v>
      </x:c>
      <x:c r="R1858" s="50" t="n">
        <x:v>0.7743766257896694</x:v>
      </x:c>
      <x:c r="S1858" s="50" t="n">
        <x:v>0.7743766257896694</x:v>
      </x:c>
      <x:c r="T1858" s="1" t="str">
        <x:v>ナイト</x:v>
      </x:c>
      <x:c r="U1858" s="49" t="n">
        <x:v>23</x:v>
      </x:c>
    </x:row>
    <x:row r="1859" ht="22" customHeight="1">
      <x:c r="A1859" s="1" t="str">
        <x:v>TOPIXmini</x:v>
      </x:c>
      <x:c r="B1859" s="1" t="str">
        <x:v>P12</x:v>
      </x:c>
      <x:c r="C1859" s="1" t="str">
        <x:v>対照47場</x:v>
      </x:c>
      <x:c r="D1859" s="47" t="n">
        <x:v>1760818</x:v>
      </x:c>
      <x:c r="E1859" s="47" t="n">
        <x:v>3610704</x:v>
      </x:c>
      <x:c r="F1859" s="47" t="n">
        <x:f>D1859-E1859</x:f>
        <x:v>-1849886</x:v>
      </x:c>
      <x:c r="G1859" s="49" t="n">
        <x:v>3</x:v>
      </x:c>
      <x:c r="H1859" s="49" t="n">
        <x:v>21</x:v>
      </x:c>
      <x:c r="I1859" s="47" t="n">
        <x:v>-1860298</x:v>
      </x:c>
      <x:c r="J1859" s="49" t="n">
        <x:v>979</x:v>
      </x:c>
      <x:c r="K1859" s="47" t="n">
        <x:v>-183960</x:v>
      </x:c>
      <x:c r="L1859" s="47" t="n">
        <x:v>88585.61904761905</x:v>
      </x:c>
      <x:c r="M1859" s="48" t="n">
        <x:v>4.336805555555556</x:v>
      </x:c>
      <x:c r="N1859" s="48" t="n">
        <x:v>457.5888888888889</x:v>
      </x:c>
      <x:c r="O1859" s="49" t="n">
        <x:v>5</x:v>
      </x:c>
      <x:c r="P1859" s="1" t="str">
        <x:v>追従と反発を状態で選択・広め</x:v>
      </x:c>
      <x:c r="Q1859" s="49" t="n">
        <x:v>0</x:v>
      </x:c>
      <x:c r="R1859" s="50" t="n">
        <x:v>0.7656702787952788</x:v>
      </x:c>
      <x:c r="S1859" s="50" t="n">
        <x:v>0.7626481481481482</x:v>
      </x:c>
      <x:c r="T1859" s="1" t="str">
        <x:v>上昇</x:v>
      </x:c>
      <x:c r="U1859" s="49" t="n">
        <x:v>24</x:v>
      </x:c>
    </x:row>
    <x:row r="1860" ht="22" customHeight="1">
      <x:c r="A1860" s="1" t="str">
        <x:v>TOPIXmini</x:v>
      </x:c>
      <x:c r="B1860" s="1" t="str">
        <x:v>P12</x:v>
      </x:c>
      <x:c r="C1860" s="1" t="str">
        <x:v>対照47場</x:v>
      </x:c>
      <x:c r="D1860" s="47" t="n">
        <x:v>2019314</x:v>
      </x:c>
      <x:c r="E1860" s="47" t="n">
        <x:v>3779902</x:v>
      </x:c>
      <x:c r="F1860" s="47" t="n">
        <x:f>D1860-E1860</x:f>
        <x:v>-1760588</x:v>
      </x:c>
      <x:c r="G1860" s="49" t="n">
        <x:v>3</x:v>
      </x:c>
      <x:c r="H1860" s="49" t="n">
        <x:v>20</x:v>
      </x:c>
      <x:c r="I1860" s="47" t="n">
        <x:v>-1830392</x:v>
      </x:c>
      <x:c r="J1860" s="49" t="n">
        <x:v>1128</x:v>
      </x:c>
      <x:c r="K1860" s="47" t="n">
        <x:v>-249960</x:v>
      </x:c>
      <x:c r="L1860" s="47" t="n">
        <x:v>91519.6</x:v>
      </x:c>
      <x:c r="M1860" s="48" t="n">
        <x:v>6.832608695652173</x:v>
      </x:c>
      <x:c r="N1860" s="48" t="n">
        <x:v>470.9855072463768</x:v>
      </x:c>
      <x:c r="O1860" s="49" t="n">
        <x:v>5</x:v>
      </x:c>
      <x:c r="P1860" s="1" t="str">
        <x:v>追従と反発を状態で選択・広め</x:v>
      </x:c>
      <x:c r="Q1860" s="49" t="n">
        <x:v>0</x:v>
      </x:c>
      <x:c r="R1860" s="50" t="n">
        <x:v>0.7955491851144025</x:v>
      </x:c>
      <x:c r="S1860" s="50" t="n">
        <x:v>0.7953499755261869</x:v>
      </x:c>
      <x:c r="T1860" s="1" t="str">
        <x:v>下落</x:v>
      </x:c>
      <x:c r="U1860" s="49" t="n">
        <x:v>23</x:v>
      </x:c>
    </x:row>
    <x:row r="1861" ht="22" customHeight="1">
      <x:c r="A1861" s="1" t="str">
        <x:v>TOPIXmini</x:v>
      </x:c>
      <x:c r="B1861" s="1" t="str">
        <x:v>P12</x:v>
      </x:c>
      <x:c r="C1861" s="1" t="str">
        <x:v>診断3場</x:v>
      </x:c>
      <x:c r="D1861" s="47" t="n">
        <x:v>420480</x:v>
      </x:c>
      <x:c r="E1861" s="47" t="n">
        <x:v>594170</x:v>
      </x:c>
      <x:c r="F1861" s="47" t="n">
        <x:f>D1861-E1861</x:f>
        <x:v>-173690</x:v>
      </x:c>
      <x:c r="G1861" s="49" t="n">
        <x:v>0</x:v>
      </x:c>
      <x:c r="H1861" s="49" t="n">
        <x:v>3</x:v>
      </x:c>
      <x:c r="I1861" s="47" t="n">
        <x:v>-173690</x:v>
      </x:c>
      <x:c r="J1861" s="49" t="n">
        <x:v>187</x:v>
      </x:c>
      <x:c r="K1861" s="47" t="n">
        <x:v>-82946</x:v>
      </x:c>
      <x:c r="L1861" s="47" t="n">
        <x:v>57896.666666666664</x:v>
      </x:c>
      <x:c r="M1861" s="48" t="n">
        <x:v>2.983333333333333</x:v>
      </x:c>
      <x:c r="N1861" s="48" t="n">
        <x:v>535.3611111111112</x:v>
      </x:c>
      <x:c r="O1861" s="49" t="n">
        <x:v>5</x:v>
      </x:c>
      <x:c r="P1861" s="1" t="str">
        <x:v>追従と反発を状態で選択・広め</x:v>
      </x:c>
      <x:c r="Q1861" s="49" t="n">
        <x:v>0</x:v>
      </x:c>
      <x:c r="R1861" s="50" t="n">
        <x:v>0.814583842083842</x:v>
      </x:c>
      <x:c r="S1861" s="50" t="n">
        <x:v>0.8111531986531987</x:v>
      </x:c>
      <x:c r="T1861" s="1" t="str">
        <x:v>全場</x:v>
      </x:c>
      <x:c r="U1861" s="49" t="n">
        <x:v>3</x:v>
      </x:c>
    </x:row>
    <x:row r="1862" ht="22" customHeight="1">
      <x:c r="A1862" s="1" t="str">
        <x:v>TOPIXmini</x:v>
      </x:c>
      <x:c r="B1862" s="1" t="str">
        <x:v>P12</x:v>
      </x:c>
      <x:c r="C1862" s="1" t="str">
        <x:v>診断3場</x:v>
      </x:c>
      <x:c r="D1862" s="47" t="n">
        <x:v>153188</x:v>
      </x:c>
      <x:c r="E1862" s="47" t="n">
        <x:v>223556</x:v>
      </x:c>
      <x:c r="F1862" s="47" t="n">
        <x:f>D1862-E1862</x:f>
        <x:v>-70368</x:v>
      </x:c>
      <x:c r="G1862" s="49" t="n">
        <x:v>0</x:v>
      </x:c>
      <x:c r="H1862" s="49" t="n">
        <x:v>1</x:v>
      </x:c>
      <x:c r="I1862" s="47" t="n">
        <x:v>-70368</x:v>
      </x:c>
      <x:c r="J1862" s="49" t="n">
        <x:v>66</x:v>
      </x:c>
      <x:c r="K1862" s="47" t="n">
        <x:v>-70368</x:v>
      </x:c>
      <x:c r="L1862" s="47" t="n">
        <x:v>70368</x:v>
      </x:c>
      <x:c r="M1862" s="48" t="n">
        <x:v>2.716666666666667</x:v>
      </x:c>
      <x:c r="N1862" s="48" t="n">
        <x:v>350.05</x:v>
      </x:c>
      <x:c r="O1862" s="49" t="n">
        <x:v>4</x:v>
      </x:c>
      <x:c r="P1862" s="1" t="str">
        <x:v>追従と反発を状態で選択・広め</x:v>
      </x:c>
      <x:c r="Q1862" s="49" t="n">
        <x:v>0</x:v>
      </x:c>
      <x:c r="R1862" s="50" t="n">
        <x:v>0.833452380952381</x:v>
      </x:c>
      <x:c r="S1862" s="50" t="n">
        <x:v>0.833452380952381</x:v>
      </x:c>
      <x:c r="T1862" s="1" t="str">
        <x:v>デイ</x:v>
      </x:c>
      <x:c r="U1862" s="49" t="n">
        <x:v>1</x:v>
      </x:c>
    </x:row>
    <x:row r="1863" ht="22" customHeight="1">
      <x:c r="A1863" s="1" t="str">
        <x:v>TOPIXmini</x:v>
      </x:c>
      <x:c r="B1863" s="1" t="str">
        <x:v>P12</x:v>
      </x:c>
      <x:c r="C1863" s="1" t="str">
        <x:v>診断3場</x:v>
      </x:c>
      <x:c r="D1863" s="47" t="n">
        <x:v>267292</x:v>
      </x:c>
      <x:c r="E1863" s="47" t="n">
        <x:v>370614</x:v>
      </x:c>
      <x:c r="F1863" s="47" t="n">
        <x:f>D1863-E1863</x:f>
        <x:v>-103322</x:v>
      </x:c>
      <x:c r="G1863" s="49" t="n">
        <x:v>0</x:v>
      </x:c>
      <x:c r="H1863" s="49" t="n">
        <x:v>2</x:v>
      </x:c>
      <x:c r="I1863" s="47" t="n">
        <x:v>-103322</x:v>
      </x:c>
      <x:c r="J1863" s="49" t="n">
        <x:v>121</x:v>
      </x:c>
      <x:c r="K1863" s="47" t="n">
        <x:v>-82946</x:v>
      </x:c>
      <x:c r="L1863" s="47" t="n">
        <x:v>51661</x:v>
      </x:c>
      <x:c r="M1863" s="48" t="n">
        <x:v>3.1166666666666667</x:v>
      </x:c>
      <x:c r="N1863" s="48" t="n">
        <x:v>628.0166666666667</x:v>
      </x:c>
      <x:c r="O1863" s="49" t="n">
        <x:v>5</x:v>
      </x:c>
      <x:c r="P1863" s="1" t="str">
        <x:v>追従と反発を状態で選択・広め</x:v>
      </x:c>
      <x:c r="Q1863" s="49" t="n">
        <x:v>0</x:v>
      </x:c>
      <x:c r="R1863" s="50" t="n">
        <x:v>0.8051495726495727</x:v>
      </x:c>
      <x:c r="S1863" s="50" t="n">
        <x:v>0.8051495726495727</x:v>
      </x:c>
      <x:c r="T1863" s="1" t="str">
        <x:v>ナイト</x:v>
      </x:c>
      <x:c r="U1863" s="49" t="n">
        <x:v>2</x:v>
      </x:c>
    </x:row>
    <x:row r="1864" ht="22" customHeight="1">
      <x:c r="A1864" s="1" t="str">
        <x:v>TOPIXmini</x:v>
      </x:c>
      <x:c r="B1864" s="1" t="str">
        <x:v>P12</x:v>
      </x:c>
      <x:c r="C1864" s="1" t="str">
        <x:v>診断3場</x:v>
      </x:c>
      <x:c r="D1864" s="47" t="n">
        <x:v>153102</x:v>
      </x:c>
      <x:c r="E1864" s="47" t="n">
        <x:v>173478</x:v>
      </x:c>
      <x:c r="F1864" s="47" t="n">
        <x:f>D1864-E1864</x:f>
        <x:v>-20376</x:v>
      </x:c>
      <x:c r="G1864" s="49" t="n">
        <x:v>0</x:v>
      </x:c>
      <x:c r="H1864" s="49" t="n">
        <x:v>1</x:v>
      </x:c>
      <x:c r="I1864" s="47" t="n">
        <x:v>-20376</x:v>
      </x:c>
      <x:c r="J1864" s="49" t="n">
        <x:v>52</x:v>
      </x:c>
      <x:c r="K1864" s="47" t="n">
        <x:v>-20376</x:v>
      </x:c>
      <x:c r="L1864" s="47" t="n">
        <x:v>20376</x:v>
      </x:c>
      <x:c r="M1864" s="48" t="n">
        <x:v>2.2333333333333334</x:v>
      </x:c>
      <x:c r="N1864" s="48" t="n">
        <x:v>654.45</x:v>
      </x:c>
      <x:c r="O1864" s="49" t="n">
        <x:v>5</x:v>
      </x:c>
      <x:c r="P1864" s="1" t="str">
        <x:v>追従と反発を状態で選択・広め</x:v>
      </x:c>
      <x:c r="Q1864" s="49" t="n">
        <x:v>0</x:v>
      </x:c>
      <x:c r="R1864" s="50" t="n">
        <x:v>0.8390384615384615</x:v>
      </x:c>
      <x:c r="S1864" s="50" t="n">
        <x:v>0.8390384615384616</x:v>
      </x:c>
      <x:c r="T1864" s="1" t="str">
        <x:v>上昇</x:v>
      </x:c>
      <x:c r="U1864" s="49" t="n">
        <x:v>1</x:v>
      </x:c>
    </x:row>
    <x:row r="1865" ht="22" customHeight="1">
      <x:c r="A1865" s="1" t="str">
        <x:v>TOPIXmini</x:v>
      </x:c>
      <x:c r="B1865" s="1" t="str">
        <x:v>P12</x:v>
      </x:c>
      <x:c r="C1865" s="1" t="str">
        <x:v>診断3場</x:v>
      </x:c>
      <x:c r="D1865" s="47" t="n">
        <x:v>267378</x:v>
      </x:c>
      <x:c r="E1865" s="47" t="n">
        <x:v>420692</x:v>
      </x:c>
      <x:c r="F1865" s="47" t="n">
        <x:f>D1865-E1865</x:f>
        <x:v>-153314</x:v>
      </x:c>
      <x:c r="G1865" s="49" t="n">
        <x:v>0</x:v>
      </x:c>
      <x:c r="H1865" s="49" t="n">
        <x:v>2</x:v>
      </x:c>
      <x:c r="I1865" s="47" t="n">
        <x:v>-153314</x:v>
      </x:c>
      <x:c r="J1865" s="49" t="n">
        <x:v>135</x:v>
      </x:c>
      <x:c r="K1865" s="47" t="n">
        <x:v>-82946</x:v>
      </x:c>
      <x:c r="L1865" s="47" t="n">
        <x:v>76657</x:v>
      </x:c>
      <x:c r="M1865" s="48" t="n">
        <x:v>3.3583333333333334</x:v>
      </x:c>
      <x:c r="N1865" s="48" t="n">
        <x:v>475.8166666666667</x:v>
      </x:c>
      <x:c r="O1865" s="49" t="n">
        <x:v>5</x:v>
      </x:c>
      <x:c r="P1865" s="1" t="str">
        <x:v>追従と反発を状態で選択・広め</x:v>
      </x:c>
      <x:c r="Q1865" s="49" t="n">
        <x:v>0</x:v>
      </x:c>
      <x:c r="R1865" s="50" t="n">
        <x:v>0.8023565323565324</x:v>
      </x:c>
      <x:c r="S1865" s="50" t="n">
        <x:v>0.7930277777777779</x:v>
      </x:c>
      <x:c r="T1865" s="1" t="str">
        <x:v>下落</x:v>
      </x:c>
      <x:c r="U1865" s="49" t="n">
        <x:v>2</x:v>
      </x:c>
    </x:row>
    <x:row r="1866" ht="22" customHeight="1">
      <x:c r="A1866" s="1" t="str">
        <x:v>TOPIXmini</x:v>
      </x:c>
      <x:c r="B1866" s="1" t="str">
        <x:v>R01</x:v>
      </x:c>
      <x:c r="C1866" s="1" t="str">
        <x:v>全50場</x:v>
      </x:c>
      <x:c r="D1866" s="47" t="n">
        <x:v>2724014</x:v>
      </x:c>
      <x:c r="E1866" s="47" t="n">
        <x:v>4411944</x:v>
      </x:c>
      <x:c r="F1866" s="47" t="n">
        <x:f>D1866-E1866</x:f>
        <x:v>-1687930</x:v>
      </x:c>
      <x:c r="G1866" s="49" t="n">
        <x:v>10</x:v>
      </x:c>
      <x:c r="H1866" s="49" t="n">
        <x:v>40</x:v>
      </x:c>
      <x:c r="I1866" s="47" t="n">
        <x:v>-1855132</x:v>
      </x:c>
      <x:c r="J1866" s="49" t="n">
        <x:v>855</x:v>
      </x:c>
      <x:c r="K1866" s="47" t="n">
        <x:v>-156652</x:v>
      </x:c>
      <x:c r="L1866" s="47" t="n">
        <x:v>50104.7</x:v>
      </x:c>
      <x:c r="M1866" s="48" t="n">
        <x:v>37.083666666666666</x:v>
      </x:c>
      <x:c r="N1866" s="48" t="n">
        <x:v>326.7073333333334</x:v>
      </x:c>
      <x:c r="O1866" s="49" t="n">
        <x:v>2</x:v>
      </x:c>
      <x:c r="P1866" s="1" t="str">
        <x:v>中期の支持状態を維持・標準</x:v>
      </x:c>
      <x:c r="Q1866" s="49" t="n">
        <x:v>0</x:v>
      </x:c>
      <x:c r="R1866" s="50" t="n">
        <x:v>0.5572778998778999</x:v>
      </x:c>
      <x:c r="S1866" s="50" t="n">
        <x:v>0.5445122222222222</x:v>
      </x:c>
      <x:c r="T1866" s="1" t="str">
        <x:v>全場</x:v>
      </x:c>
      <x:c r="U1866" s="49" t="n">
        <x:v>50</x:v>
      </x:c>
    </x:row>
    <x:row r="1867" ht="22" customHeight="1">
      <x:c r="A1867" s="1" t="str">
        <x:v>TOPIXmini</x:v>
      </x:c>
      <x:c r="B1867" s="1" t="str">
        <x:v>R01</x:v>
      </x:c>
      <x:c r="C1867" s="1" t="str">
        <x:v>全50場</x:v>
      </x:c>
      <x:c r="D1867" s="47" t="n">
        <x:v>1166740</x:v>
      </x:c>
      <x:c r="E1867" s="47" t="n">
        <x:v>1853006</x:v>
      </x:c>
      <x:c r="F1867" s="47" t="n">
        <x:f>D1867-E1867</x:f>
        <x:v>-686266</x:v>
      </x:c>
      <x:c r="G1867" s="49" t="n">
        <x:v>5</x:v>
      </x:c>
      <x:c r="H1867" s="49" t="n">
        <x:v>20</x:v>
      </x:c>
      <x:c r="I1867" s="47" t="n">
        <x:v>-844290</x:v>
      </x:c>
      <x:c r="J1867" s="49" t="n">
        <x:v>351</x:v>
      </x:c>
      <x:c r="K1867" s="47" t="n">
        <x:v>-73320</x:v>
      </x:c>
      <x:c r="L1867" s="47" t="n">
        <x:v>43673.6</x:v>
      </x:c>
      <x:c r="M1867" s="48" t="n">
        <x:v>30.372000000000003</x:v>
      </x:c>
      <x:c r="N1867" s="48" t="n">
        <x:v>251.9286666666667</x:v>
      </x:c>
      <x:c r="O1867" s="49" t="n">
        <x:v>2</x:v>
      </x:c>
      <x:c r="P1867" s="1" t="str">
        <x:v>中期の支持状態を維持・標準</x:v>
      </x:c>
      <x:c r="Q1867" s="49" t="n">
        <x:v>0</x:v>
      </x:c>
      <x:c r="R1867" s="50" t="n">
        <x:v>0.5998301587301588</x:v>
      </x:c>
      <x:c r="S1867" s="50" t="n">
        <x:v>0.5998301587301588</x:v>
      </x:c>
      <x:c r="T1867" s="1" t="str">
        <x:v>デイ</x:v>
      </x:c>
      <x:c r="U1867" s="49" t="n">
        <x:v>25</x:v>
      </x:c>
    </x:row>
    <x:row r="1868" ht="22" customHeight="1">
      <x:c r="A1868" s="1" t="str">
        <x:v>TOPIXmini</x:v>
      </x:c>
      <x:c r="B1868" s="1" t="str">
        <x:v>R01</x:v>
      </x:c>
      <x:c r="C1868" s="1" t="str">
        <x:v>全50場</x:v>
      </x:c>
      <x:c r="D1868" s="47" t="n">
        <x:v>1557274</x:v>
      </x:c>
      <x:c r="E1868" s="47" t="n">
        <x:v>2558938</x:v>
      </x:c>
      <x:c r="F1868" s="47" t="n">
        <x:f>D1868-E1868</x:f>
        <x:v>-1001664</x:v>
      </x:c>
      <x:c r="G1868" s="49" t="n">
        <x:v>5</x:v>
      </x:c>
      <x:c r="H1868" s="49" t="n">
        <x:v>20</x:v>
      </x:c>
      <x:c r="I1868" s="47" t="n">
        <x:v>-1108704</x:v>
      </x:c>
      <x:c r="J1868" s="49" t="n">
        <x:v>504</x:v>
      </x:c>
      <x:c r="K1868" s="47" t="n">
        <x:v>-156652</x:v>
      </x:c>
      <x:c r="L1868" s="47" t="n">
        <x:v>56535.8</x:v>
      </x:c>
      <x:c r="M1868" s="48" t="n">
        <x:v>43.79533333333333</x:v>
      </x:c>
      <x:c r="N1868" s="48" t="n">
        <x:v>401.486</x:v>
      </x:c>
      <x:c r="O1868" s="49" t="n">
        <x:v>2</x:v>
      </x:c>
      <x:c r="P1868" s="1" t="str">
        <x:v>中期の支持状態を維持・標準</x:v>
      </x:c>
      <x:c r="Q1868" s="49" t="n">
        <x:v>0</x:v>
      </x:c>
      <x:c r="R1868" s="50" t="n">
        <x:v>0.5147256410256411</x:v>
      </x:c>
      <x:c r="S1868" s="50" t="n">
        <x:v>0.514725641025641</x:v>
      </x:c>
      <x:c r="T1868" s="1" t="str">
        <x:v>ナイト</x:v>
      </x:c>
      <x:c r="U1868" s="49" t="n">
        <x:v>25</x:v>
      </x:c>
    </x:row>
    <x:row r="1869" ht="22" customHeight="1">
      <x:c r="A1869" s="1" t="str">
        <x:v>TOPIXmini</x:v>
      </x:c>
      <x:c r="B1869" s="1" t="str">
        <x:v>R01</x:v>
      </x:c>
      <x:c r="C1869" s="1" t="str">
        <x:v>全50場</x:v>
      </x:c>
      <x:c r="D1869" s="47" t="n">
        <x:v>1163744</x:v>
      </x:c>
      <x:c r="E1869" s="47" t="n">
        <x:v>2002484</x:v>
      </x:c>
      <x:c r="F1869" s="47" t="n">
        <x:f>D1869-E1869</x:f>
        <x:v>-838740</x:v>
      </x:c>
      <x:c r="G1869" s="49" t="n">
        <x:v>4</x:v>
      </x:c>
      <x:c r="H1869" s="49" t="n">
        <x:v>21</x:v>
      </x:c>
      <x:c r="I1869" s="47" t="n">
        <x:v>-936602</x:v>
      </x:c>
      <x:c r="J1869" s="49" t="n">
        <x:v>390</x:v>
      </x:c>
      <x:c r="K1869" s="47" t="n">
        <x:v>-108814</x:v>
      </x:c>
      <x:c r="L1869" s="47" t="n">
        <x:v>45544.95238095238</x:v>
      </x:c>
      <x:c r="M1869" s="48" t="n">
        <x:v>32.53866666666667</x:v>
      </x:c>
      <x:c r="N1869" s="48" t="n">
        <x:v>317.3546666666667</x:v>
      </x:c>
      <x:c r="O1869" s="49" t="n">
        <x:v>2</x:v>
      </x:c>
      <x:c r="P1869" s="1" t="str">
        <x:v>中期の支持状態を維持・標準</x:v>
      </x:c>
      <x:c r="Q1869" s="49" t="n">
        <x:v>0</x:v>
      </x:c>
      <x:c r="R1869" s="50" t="n">
        <x:v>0.5238217338217339</x:v>
      </x:c>
      <x:c r="S1869" s="50" t="n">
        <x:v>0.5226526130873957</x:v>
      </x:c>
      <x:c r="T1869" s="1" t="str">
        <x:v>上昇</x:v>
      </x:c>
      <x:c r="U1869" s="49" t="n">
        <x:v>25</x:v>
      </x:c>
    </x:row>
    <x:row r="1870" ht="22" customHeight="1">
      <x:c r="A1870" s="1" t="str">
        <x:v>TOPIXmini</x:v>
      </x:c>
      <x:c r="B1870" s="1" t="str">
        <x:v>R01</x:v>
      </x:c>
      <x:c r="C1870" s="1" t="str">
        <x:v>全50場</x:v>
      </x:c>
      <x:c r="D1870" s="47" t="n">
        <x:v>1560270</x:v>
      </x:c>
      <x:c r="E1870" s="47" t="n">
        <x:v>2409460</x:v>
      </x:c>
      <x:c r="F1870" s="47" t="n">
        <x:f>D1870-E1870</x:f>
        <x:v>-849190</x:v>
      </x:c>
      <x:c r="G1870" s="49" t="n">
        <x:v>6</x:v>
      </x:c>
      <x:c r="H1870" s="49" t="n">
        <x:v>19</x:v>
      </x:c>
      <x:c r="I1870" s="47" t="n">
        <x:v>-1016392</x:v>
      </x:c>
      <x:c r="J1870" s="49" t="n">
        <x:v>465</x:v>
      </x:c>
      <x:c r="K1870" s="47" t="n">
        <x:v>-156652</x:v>
      </x:c>
      <x:c r="L1870" s="47" t="n">
        <x:v>55144.42105263158</x:v>
      </x:c>
      <x:c r="M1870" s="48" t="n">
        <x:v>41.62866666666667</x:v>
      </x:c>
      <x:c r="N1870" s="48" t="n">
        <x:v>336.06</x:v>
      </x:c>
      <x:c r="O1870" s="49" t="n">
        <x:v>2</x:v>
      </x:c>
      <x:c r="P1870" s="1" t="str">
        <x:v>中期の支持状態を維持・標準</x:v>
      </x:c>
      <x:c r="Q1870" s="49" t="n">
        <x:v>0</x:v>
      </x:c>
      <x:c r="R1870" s="50" t="n">
        <x:v>0.5907340659340659</x:v>
      </x:c>
      <x:c r="S1870" s="50" t="n">
        <x:v>0.5669028340080972</x:v>
      </x:c>
      <x:c r="T1870" s="1" t="str">
        <x:v>下落</x:v>
      </x:c>
      <x:c r="U1870" s="49" t="n">
        <x:v>25</x:v>
      </x:c>
    </x:row>
    <x:row r="1871" ht="22" customHeight="1">
      <x:c r="A1871" s="1" t="str">
        <x:v>TOPIXmini</x:v>
      </x:c>
      <x:c r="B1871" s="1" t="str">
        <x:v>R01</x:v>
      </x:c>
      <x:c r="C1871" s="1" t="str">
        <x:v>対照47場</x:v>
      </x:c>
      <x:c r="D1871" s="47" t="n">
        <x:v>2476998</x:v>
      </x:c>
      <x:c r="E1871" s="47" t="n">
        <x:v>3921652</x:v>
      </x:c>
      <x:c r="F1871" s="47" t="n">
        <x:f>D1871-E1871</x:f>
        <x:v>-1444654</x:v>
      </x:c>
      <x:c r="G1871" s="49" t="n">
        <x:v>10</x:v>
      </x:c>
      <x:c r="H1871" s="49" t="n">
        <x:v>37</x:v>
      </x:c>
      <x:c r="I1871" s="47" t="n">
        <x:v>-1611856</x:v>
      </x:c>
      <x:c r="J1871" s="49" t="n">
        <x:v>769</x:v>
      </x:c>
      <x:c r="K1871" s="47" t="n">
        <x:v>-156652</x:v>
      </x:c>
      <x:c r="L1871" s="47" t="n">
        <x:v>47592.21621621621</x:v>
      </x:c>
      <x:c r="M1871" s="48" t="n">
        <x:v>37.934397163120565</x:v>
      </x:c>
      <x:c r="N1871" s="48" t="n">
        <x:v>319.53262411347515</x:v>
      </x:c>
      <x:c r="O1871" s="49" t="n">
        <x:v>2</x:v>
      </x:c>
      <x:c r="P1871" s="1" t="str">
        <x:v>中期の支持状態を維持・標準</x:v>
      </x:c>
      <x:c r="Q1871" s="49" t="n">
        <x:v>0</x:v>
      </x:c>
      <x:c r="R1871" s="50" t="n">
        <x:v>0.5499974021250617</x:v>
      </x:c>
      <x:c r="S1871" s="50" t="n">
        <x:v>0.5359754936949798</x:v>
      </x:c>
      <x:c r="T1871" s="1" t="str">
        <x:v>全場</x:v>
      </x:c>
      <x:c r="U1871" s="49" t="n">
        <x:v>47</x:v>
      </x:c>
    </x:row>
    <x:row r="1872" ht="22" customHeight="1">
      <x:c r="A1872" s="1" t="str">
        <x:v>TOPIXmini</x:v>
      </x:c>
      <x:c r="B1872" s="1" t="str">
        <x:v>R01</x:v>
      </x:c>
      <x:c r="C1872" s="1" t="str">
        <x:v>対照47場</x:v>
      </x:c>
      <x:c r="D1872" s="47" t="n">
        <x:v>1088736</x:v>
      </x:c>
      <x:c r="E1872" s="47" t="n">
        <x:v>1703682</x:v>
      </x:c>
      <x:c r="F1872" s="47" t="n">
        <x:f>D1872-E1872</x:f>
        <x:v>-614946</x:v>
      </x:c>
      <x:c r="G1872" s="49" t="n">
        <x:v>5</x:v>
      </x:c>
      <x:c r="H1872" s="49" t="n">
        <x:v>19</x:v>
      </x:c>
      <x:c r="I1872" s="47" t="n">
        <x:v>-772970</x:v>
      </x:c>
      <x:c r="J1872" s="49" t="n">
        <x:v>331</x:v>
      </x:c>
      <x:c r="K1872" s="47" t="n">
        <x:v>-73320</x:v>
      </x:c>
      <x:c r="L1872" s="47" t="n">
        <x:v>42218.52631578947</x:v>
      </x:c>
      <x:c r="M1872" s="48" t="n">
        <x:v>30.675694444444446</x:v>
      </x:c>
      <x:c r="N1872" s="48" t="n">
        <x:v>250.0979166666667</x:v>
      </x:c>
      <x:c r="O1872" s="49" t="n">
        <x:v>2</x:v>
      </x:c>
      <x:c r="P1872" s="1" t="str">
        <x:v>中期の支持状態を維持・標準</x:v>
      </x:c>
      <x:c r="Q1872" s="49" t="n">
        <x:v>0</x:v>
      </x:c>
      <x:c r="R1872" s="50" t="n">
        <x:v>0.5954712301587302</x:v>
      </x:c>
      <x:c r="S1872" s="50" t="n">
        <x:v>0.5954712301587302</x:v>
      </x:c>
      <x:c r="T1872" s="1" t="str">
        <x:v>デイ</x:v>
      </x:c>
      <x:c r="U1872" s="49" t="n">
        <x:v>24</x:v>
      </x:c>
    </x:row>
    <x:row r="1873" ht="22" customHeight="1">
      <x:c r="A1873" s="1" t="str">
        <x:v>TOPIXmini</x:v>
      </x:c>
      <x:c r="B1873" s="1" t="str">
        <x:v>R01</x:v>
      </x:c>
      <x:c r="C1873" s="1" t="str">
        <x:v>対照47場</x:v>
      </x:c>
      <x:c r="D1873" s="47" t="n">
        <x:v>1388262</x:v>
      </x:c>
      <x:c r="E1873" s="47" t="n">
        <x:v>2217970</x:v>
      </x:c>
      <x:c r="F1873" s="47" t="n">
        <x:f>D1873-E1873</x:f>
        <x:v>-829708</x:v>
      </x:c>
      <x:c r="G1873" s="49" t="n">
        <x:v>5</x:v>
      </x:c>
      <x:c r="H1873" s="49" t="n">
        <x:v>18</x:v>
      </x:c>
      <x:c r="I1873" s="47" t="n">
        <x:v>-936748</x:v>
      </x:c>
      <x:c r="J1873" s="49" t="n">
        <x:v>438</x:v>
      </x:c>
      <x:c r="K1873" s="47" t="n">
        <x:v>-156652</x:v>
      </x:c>
      <x:c r="L1873" s="47" t="n">
        <x:v>53264.444444444445</x:v>
      </x:c>
      <x:c r="M1873" s="48" t="n">
        <x:v>45.50869565217391</x:v>
      </x:c>
      <x:c r="N1873" s="48" t="n">
        <x:v>391.98623188405793</x:v>
      </x:c>
      <x:c r="O1873" s="49" t="n">
        <x:v>2</x:v>
      </x:c>
      <x:c r="P1873" s="1" t="str">
        <x:v>中期の支持状態を維持・標準</x:v>
      </x:c>
      <x:c r="Q1873" s="49" t="n">
        <x:v>0</x:v>
      </x:c>
      <x:c r="R1873" s="50" t="n">
        <x:v>0.5025464511334077</x:v>
      </x:c>
      <x:c r="S1873" s="50" t="n">
        <x:v>0.5025464511334077</x:v>
      </x:c>
      <x:c r="T1873" s="1" t="str">
        <x:v>ナイト</x:v>
      </x:c>
      <x:c r="U1873" s="49" t="n">
        <x:v>23</x:v>
      </x:c>
    </x:row>
    <x:row r="1874" ht="22" customHeight="1">
      <x:c r="A1874" s="1" t="str">
        <x:v>TOPIXmini</x:v>
      </x:c>
      <x:c r="B1874" s="1" t="str">
        <x:v>R01</x:v>
      </x:c>
      <x:c r="C1874" s="1" t="str">
        <x:v>対照47場</x:v>
      </x:c>
      <x:c r="D1874" s="47" t="n">
        <x:v>1087906</x:v>
      </x:c>
      <x:c r="E1874" s="47" t="n">
        <x:v>1854832</x:v>
      </x:c>
      <x:c r="F1874" s="47" t="n">
        <x:f>D1874-E1874</x:f>
        <x:v>-766926</x:v>
      </x:c>
      <x:c r="G1874" s="49" t="n">
        <x:v>4</x:v>
      </x:c>
      <x:c r="H1874" s="49" t="n">
        <x:v>20</x:v>
      </x:c>
      <x:c r="I1874" s="47" t="n">
        <x:v>-864788</x:v>
      </x:c>
      <x:c r="J1874" s="49" t="n">
        <x:v>361</x:v>
      </x:c>
      <x:c r="K1874" s="47" t="n">
        <x:v>-108814</x:v>
      </x:c>
      <x:c r="L1874" s="47" t="n">
        <x:v>44231.5</x:v>
      </x:c>
      <x:c r="M1874" s="48" t="n">
        <x:v>32.924305555555556</x:v>
      </x:c>
      <x:c r="N1874" s="48" t="n">
        <x:v>309.2701388888889</x:v>
      </x:c>
      <x:c r="O1874" s="49" t="n">
        <x:v>2</x:v>
      </x:c>
      <x:c r="P1874" s="1" t="str">
        <x:v>中期の支持状態を維持・標準</x:v>
      </x:c>
      <x:c r="Q1874" s="49" t="n">
        <x:v>0</x:v>
      </x:c>
      <x:c r="R1874" s="50" t="n">
        <x:v>0.5183301536426538</x:v>
      </x:c>
      <x:c r="S1874" s="50" t="n">
        <x:v>0.5154502314814815</x:v>
      </x:c>
      <x:c r="T1874" s="1" t="str">
        <x:v>上昇</x:v>
      </x:c>
      <x:c r="U1874" s="49" t="n">
        <x:v>24</x:v>
      </x:c>
    </x:row>
    <x:row r="1875" ht="22" customHeight="1">
      <x:c r="A1875" s="1" t="str">
        <x:v>TOPIXmini</x:v>
      </x:c>
      <x:c r="B1875" s="1" t="str">
        <x:v>R01</x:v>
      </x:c>
      <x:c r="C1875" s="1" t="str">
        <x:v>対照47場</x:v>
      </x:c>
      <x:c r="D1875" s="47" t="n">
        <x:v>1389092</x:v>
      </x:c>
      <x:c r="E1875" s="47" t="n">
        <x:v>2066820</x:v>
      </x:c>
      <x:c r="F1875" s="47" t="n">
        <x:f>D1875-E1875</x:f>
        <x:v>-677728</x:v>
      </x:c>
      <x:c r="G1875" s="49" t="n">
        <x:v>6</x:v>
      </x:c>
      <x:c r="H1875" s="49" t="n">
        <x:v>17</x:v>
      </x:c>
      <x:c r="I1875" s="47" t="n">
        <x:v>-844930</x:v>
      </x:c>
      <x:c r="J1875" s="49" t="n">
        <x:v>408</x:v>
      </x:c>
      <x:c r="K1875" s="47" t="n">
        <x:v>-156652</x:v>
      </x:c>
      <x:c r="L1875" s="47" t="n">
        <x:v>51546</x:v>
      </x:c>
      <x:c r="M1875" s="48" t="n">
        <x:v>43.162318840579715</x:v>
      </x:c>
      <x:c r="N1875" s="48" t="n">
        <x:v>330.2413043478261</x:v>
      </x:c>
      <x:c r="O1875" s="49" t="n">
        <x:v>2</x:v>
      </x:c>
      <x:c r="P1875" s="1" t="str">
        <x:v>中期の支持状態を維持・標準</x:v>
      </x:c>
      <x:c r="Q1875" s="49" t="n">
        <x:v>0</x:v>
      </x:c>
      <x:c r="R1875" s="50" t="n">
        <x:v>0.5830414874980092</x:v>
      </x:c>
      <x:c r="S1875" s="50" t="n">
        <x:v>0.5576762114537445</x:v>
      </x:c>
      <x:c r="T1875" s="1" t="str">
        <x:v>下落</x:v>
      </x:c>
      <x:c r="U1875" s="49" t="n">
        <x:v>23</x:v>
      </x:c>
    </x:row>
    <x:row r="1876" ht="22" customHeight="1">
      <x:c r="A1876" s="1" t="str">
        <x:v>TOPIXmini</x:v>
      </x:c>
      <x:c r="B1876" s="1" t="str">
        <x:v>R01</x:v>
      </x:c>
      <x:c r="C1876" s="1" t="str">
        <x:v>診断3場</x:v>
      </x:c>
      <x:c r="D1876" s="47" t="n">
        <x:v>247016</x:v>
      </x:c>
      <x:c r="E1876" s="47" t="n">
        <x:v>490292</x:v>
      </x:c>
      <x:c r="F1876" s="47" t="n">
        <x:f>D1876-E1876</x:f>
        <x:v>-243276</x:v>
      </x:c>
      <x:c r="G1876" s="49" t="n">
        <x:v>0</x:v>
      </x:c>
      <x:c r="H1876" s="49" t="n">
        <x:v>3</x:v>
      </x:c>
      <x:c r="I1876" s="47" t="n">
        <x:v>-243276</x:v>
      </x:c>
      <x:c r="J1876" s="49" t="n">
        <x:v>86</x:v>
      </x:c>
      <x:c r="K1876" s="47" t="n">
        <x:v>-100142</x:v>
      </x:c>
      <x:c r="L1876" s="47" t="n">
        <x:v>81092</x:v>
      </x:c>
      <x:c r="M1876" s="48" t="n">
        <x:v>23.755555555555556</x:v>
      </x:c>
      <x:c r="N1876" s="48" t="n">
        <x:v>439.11111111111114</x:v>
      </x:c>
      <x:c r="O1876" s="49" t="n">
        <x:v>2</x:v>
      </x:c>
      <x:c r="P1876" s="1" t="str">
        <x:v>中期の支持状態を維持・標準</x:v>
      </x:c>
      <x:c r="Q1876" s="49" t="n">
        <x:v>0</x:v>
      </x:c>
      <x:c r="R1876" s="50" t="n">
        <x:v>0.6713390313390314</x:v>
      </x:c>
      <x:c r="S1876" s="50" t="n">
        <x:v>0.6653198653198653</x:v>
      </x:c>
      <x:c r="T1876" s="1" t="str">
        <x:v>全場</x:v>
      </x:c>
      <x:c r="U1876" s="49" t="n">
        <x:v>3</x:v>
      </x:c>
    </x:row>
    <x:row r="1877" ht="22" customHeight="1">
      <x:c r="A1877" s="1" t="str">
        <x:v>TOPIXmini</x:v>
      </x:c>
      <x:c r="B1877" s="1" t="str">
        <x:v>R01</x:v>
      </x:c>
      <x:c r="C1877" s="1" t="str">
        <x:v>診断3場</x:v>
      </x:c>
      <x:c r="D1877" s="47" t="n">
        <x:v>78004</x:v>
      </x:c>
      <x:c r="E1877" s="47" t="n">
        <x:v>149324</x:v>
      </x:c>
      <x:c r="F1877" s="47" t="n">
        <x:f>D1877-E1877</x:f>
        <x:v>-71320</x:v>
      </x:c>
      <x:c r="G1877" s="49" t="n">
        <x:v>0</x:v>
      </x:c>
      <x:c r="H1877" s="49" t="n">
        <x:v>1</x:v>
      </x:c>
      <x:c r="I1877" s="47" t="n">
        <x:v>-71320</x:v>
      </x:c>
      <x:c r="J1877" s="49" t="n">
        <x:v>20</x:v>
      </x:c>
      <x:c r="K1877" s="47" t="n">
        <x:v>-71320</x:v>
      </x:c>
      <x:c r="L1877" s="47" t="n">
        <x:v>71320</x:v>
      </x:c>
      <x:c r="M1877" s="48" t="n">
        <x:v>23.083333333333332</x:v>
      </x:c>
      <x:c r="N1877" s="48" t="n">
        <x:v>295.8666666666667</x:v>
      </x:c>
      <x:c r="O1877" s="49" t="n">
        <x:v>2</x:v>
      </x:c>
      <x:c r="P1877" s="1" t="str">
        <x:v>中期の支持状態を維持・標準</x:v>
      </x:c>
      <x:c r="Q1877" s="49" t="n">
        <x:v>0</x:v>
      </x:c>
      <x:c r="R1877" s="50" t="n">
        <x:v>0.7044444444444444</x:v>
      </x:c>
      <x:c r="S1877" s="50" t="n">
        <x:v>0.7044444444444444</x:v>
      </x:c>
      <x:c r="T1877" s="1" t="str">
        <x:v>デイ</x:v>
      </x:c>
      <x:c r="U1877" s="49" t="n">
        <x:v>1</x:v>
      </x:c>
    </x:row>
    <x:row r="1878" ht="22" customHeight="1">
      <x:c r="A1878" s="1" t="str">
        <x:v>TOPIXmini</x:v>
      </x:c>
      <x:c r="B1878" s="1" t="str">
        <x:v>R01</x:v>
      </x:c>
      <x:c r="C1878" s="1" t="str">
        <x:v>診断3場</x:v>
      </x:c>
      <x:c r="D1878" s="47" t="n">
        <x:v>169012</x:v>
      </x:c>
      <x:c r="E1878" s="47" t="n">
        <x:v>340968</x:v>
      </x:c>
      <x:c r="F1878" s="47" t="n">
        <x:f>D1878-E1878</x:f>
        <x:v>-171956</x:v>
      </x:c>
      <x:c r="G1878" s="49" t="n">
        <x:v>0</x:v>
      </x:c>
      <x:c r="H1878" s="49" t="n">
        <x:v>2</x:v>
      </x:c>
      <x:c r="I1878" s="47" t="n">
        <x:v>-171956</x:v>
      </x:c>
      <x:c r="J1878" s="49" t="n">
        <x:v>66</x:v>
      </x:c>
      <x:c r="K1878" s="47" t="n">
        <x:v>-100142</x:v>
      </x:c>
      <x:c r="L1878" s="47" t="n">
        <x:v>85978</x:v>
      </x:c>
      <x:c r="M1878" s="48" t="n">
        <x:v>24.09166666666667</x:v>
      </x:c>
      <x:c r="N1878" s="48" t="n">
        <x:v>510.73333333333335</x:v>
      </x:c>
      <x:c r="O1878" s="49" t="n">
        <x:v>2</x:v>
      </x:c>
      <x:c r="P1878" s="1" t="str">
        <x:v>中期の支持状態を維持・標準</x:v>
      </x:c>
      <x:c r="Q1878" s="49" t="n">
        <x:v>0</x:v>
      </x:c>
      <x:c r="R1878" s="50" t="n">
        <x:v>0.6547863247863248</x:v>
      </x:c>
      <x:c r="S1878" s="50" t="n">
        <x:v>0.6547863247863248</x:v>
      </x:c>
      <x:c r="T1878" s="1" t="str">
        <x:v>ナイト</x:v>
      </x:c>
      <x:c r="U1878" s="49" t="n">
        <x:v>2</x:v>
      </x:c>
    </x:row>
    <x:row r="1879" ht="22" customHeight="1">
      <x:c r="A1879" s="1" t="str">
        <x:v>TOPIXmini</x:v>
      </x:c>
      <x:c r="B1879" s="1" t="str">
        <x:v>R01</x:v>
      </x:c>
      <x:c r="C1879" s="1" t="str">
        <x:v>診断3場</x:v>
      </x:c>
      <x:c r="D1879" s="47" t="n">
        <x:v>75838</x:v>
      </x:c>
      <x:c r="E1879" s="47" t="n">
        <x:v>147652</x:v>
      </x:c>
      <x:c r="F1879" s="47" t="n">
        <x:f>D1879-E1879</x:f>
        <x:v>-71814</x:v>
      </x:c>
      <x:c r="G1879" s="49" t="n">
        <x:v>0</x:v>
      </x:c>
      <x:c r="H1879" s="49" t="n">
        <x:v>1</x:v>
      </x:c>
      <x:c r="I1879" s="47" t="n">
        <x:v>-71814</x:v>
      </x:c>
      <x:c r="J1879" s="49" t="n">
        <x:v>29</x:v>
      </x:c>
      <x:c r="K1879" s="47" t="n">
        <x:v>-71814</x:v>
      </x:c>
      <x:c r="L1879" s="47" t="n">
        <x:v>71814</x:v>
      </x:c>
      <x:c r="M1879" s="48" t="n">
        <x:v>23.283333333333335</x:v>
      </x:c>
      <x:c r="N1879" s="48" t="n">
        <x:v>511.3833333333333</x:v>
      </x:c>
      <x:c r="O1879" s="49" t="n">
        <x:v>2</x:v>
      </x:c>
      <x:c r="P1879" s="1" t="str">
        <x:v>中期の支持状態を維持・標準</x:v>
      </x:c>
      <x:c r="Q1879" s="49" t="n">
        <x:v>0</x:v>
      </x:c>
      <x:c r="R1879" s="50" t="n">
        <x:v>0.6556196581196582</x:v>
      </x:c>
      <x:c r="S1879" s="50" t="n">
        <x:v>0.655619658119658</x:v>
      </x:c>
      <x:c r="T1879" s="1" t="str">
        <x:v>上昇</x:v>
      </x:c>
      <x:c r="U1879" s="49" t="n">
        <x:v>1</x:v>
      </x:c>
    </x:row>
    <x:row r="1880" ht="22" customHeight="1">
      <x:c r="A1880" s="1" t="str">
        <x:v>TOPIXmini</x:v>
      </x:c>
      <x:c r="B1880" s="1" t="str">
        <x:v>R01</x:v>
      </x:c>
      <x:c r="C1880" s="1" t="str">
        <x:v>診断3場</x:v>
      </x:c>
      <x:c r="D1880" s="47" t="n">
        <x:v>171178</x:v>
      </x:c>
      <x:c r="E1880" s="47" t="n">
        <x:v>342640</x:v>
      </x:c>
      <x:c r="F1880" s="47" t="n">
        <x:f>D1880-E1880</x:f>
        <x:v>-171462</x:v>
      </x:c>
      <x:c r="G1880" s="49" t="n">
        <x:v>0</x:v>
      </x:c>
      <x:c r="H1880" s="49" t="n">
        <x:v>2</x:v>
      </x:c>
      <x:c r="I1880" s="47" t="n">
        <x:v>-171462</x:v>
      </x:c>
      <x:c r="J1880" s="49" t="n">
        <x:v>57</x:v>
      </x:c>
      <x:c r="K1880" s="47" t="n">
        <x:v>-100142</x:v>
      </x:c>
      <x:c r="L1880" s="47" t="n">
        <x:v>85731</x:v>
      </x:c>
      <x:c r="M1880" s="48" t="n">
        <x:v>23.991666666666667</x:v>
      </x:c>
      <x:c r="N1880" s="48" t="n">
        <x:v>402.975</x:v>
      </x:c>
      <x:c r="O1880" s="49" t="n">
        <x:v>2</x:v>
      </x:c>
      <x:c r="P1880" s="1" t="str">
        <x:v>中期の支持状態を維持・標準</x:v>
      </x:c>
      <x:c r="Q1880" s="49" t="n">
        <x:v>0</x:v>
      </x:c>
      <x:c r="R1880" s="50" t="n">
        <x:v>0.679198717948718</x:v>
      </x:c>
      <x:c r="S1880" s="50" t="n">
        <x:v>0.671625</x:v>
      </x:c>
      <x:c r="T1880" s="1" t="str">
        <x:v>下落</x:v>
      </x:c>
      <x:c r="U1880" s="49" t="n">
        <x:v>2</x:v>
      </x:c>
    </x:row>
    <x:row r="1881" ht="22" customHeight="1">
      <x:c r="A1881" s="1" t="str">
        <x:v>TOPIXmini</x:v>
      </x:c>
      <x:c r="B1881" s="1" t="str">
        <x:v>R02</x:v>
      </x:c>
      <x:c r="C1881" s="1" t="str">
        <x:v>全50場</x:v>
      </x:c>
      <x:c r="D1881" s="47" t="n">
        <x:v>2444310</x:v>
      </x:c>
      <x:c r="E1881" s="47" t="n">
        <x:v>3757534</x:v>
      </x:c>
      <x:c r="F1881" s="47" t="n">
        <x:f>D1881-E1881</x:f>
        <x:v>-1313224</x:v>
      </x:c>
      <x:c r="G1881" s="49" t="n">
        <x:v>11</x:v>
      </x:c>
      <x:c r="H1881" s="49" t="n">
        <x:v>39</x:v>
      </x:c>
      <x:c r="I1881" s="47" t="n">
        <x:v>-1545248</x:v>
      </x:c>
      <x:c r="J1881" s="49" t="n">
        <x:v>664</x:v>
      </x:c>
      <x:c r="K1881" s="47" t="n">
        <x:v>-126988</x:v>
      </x:c>
      <x:c r="L1881" s="47" t="n">
        <x:v>44434.769230769234</x:v>
      </x:c>
      <x:c r="M1881" s="48" t="n">
        <x:v>37.083666666666666</x:v>
      </x:c>
      <x:c r="N1881" s="48" t="n">
        <x:v>389.93</x:v>
      </x:c>
      <x:c r="O1881" s="49" t="n">
        <x:v>2</x:v>
      </x:c>
      <x:c r="P1881" s="1" t="str">
        <x:v>中期の支持状態を維持・広め</x:v>
      </x:c>
      <x:c r="Q1881" s="49" t="n">
        <x:v>0</x:v>
      </x:c>
      <x:c r="R1881" s="50" t="n">
        <x:v>0.6571252747252747</x:v>
      </x:c>
      <x:c r="S1881" s="50" t="n">
        <x:v>0.6498833333333334</x:v>
      </x:c>
      <x:c r="T1881" s="1" t="str">
        <x:v>全場</x:v>
      </x:c>
      <x:c r="U1881" s="49" t="n">
        <x:v>50</x:v>
      </x:c>
    </x:row>
    <x:row r="1882" ht="22" customHeight="1">
      <x:c r="A1882" s="1" t="str">
        <x:v>TOPIXmini</x:v>
      </x:c>
      <x:c r="B1882" s="1" t="str">
        <x:v>R02</x:v>
      </x:c>
      <x:c r="C1882" s="1" t="str">
        <x:v>全50場</x:v>
      </x:c>
      <x:c r="D1882" s="47" t="n">
        <x:v>1089894</x:v>
      </x:c>
      <x:c r="E1882" s="47" t="n">
        <x:v>1587374</x:v>
      </x:c>
      <x:c r="F1882" s="47" t="n">
        <x:f>D1882-E1882</x:f>
        <x:v>-497480</x:v>
      </x:c>
      <x:c r="G1882" s="49" t="n">
        <x:v>5</x:v>
      </x:c>
      <x:c r="H1882" s="49" t="n">
        <x:v>20</x:v>
      </x:c>
      <x:c r="I1882" s="47" t="n">
        <x:v>-700832</x:v>
      </x:c>
      <x:c r="J1882" s="49" t="n">
        <x:v>280</x:v>
      </x:c>
      <x:c r="K1882" s="47" t="n">
        <x:v>-64992</x:v>
      </x:c>
      <x:c r="L1882" s="47" t="n">
        <x:v>37558.6</x:v>
      </x:c>
      <x:c r="M1882" s="48" t="n">
        <x:v>30.372000000000003</x:v>
      </x:c>
      <x:c r="N1882" s="48" t="n">
        <x:v>286.1313333333333</x:v>
      </x:c>
      <x:c r="O1882" s="49" t="n">
        <x:v>2</x:v>
      </x:c>
      <x:c r="P1882" s="1" t="str">
        <x:v>中期の支持状態を維持・広め</x:v>
      </x:c>
      <x:c r="Q1882" s="49" t="n">
        <x:v>0</x:v>
      </x:c>
      <x:c r="R1882" s="50" t="n">
        <x:v>0.6812650793650792</x:v>
      </x:c>
      <x:c r="S1882" s="50" t="n">
        <x:v>0.6812650793650794</x:v>
      </x:c>
      <x:c r="T1882" s="1" t="str">
        <x:v>デイ</x:v>
      </x:c>
      <x:c r="U1882" s="49" t="n">
        <x:v>25</x:v>
      </x:c>
    </x:row>
    <x:row r="1883" ht="22" customHeight="1">
      <x:c r="A1883" s="1" t="str">
        <x:v>TOPIXmini</x:v>
      </x:c>
      <x:c r="B1883" s="1" t="str">
        <x:v>R02</x:v>
      </x:c>
      <x:c r="C1883" s="1" t="str">
        <x:v>全50場</x:v>
      </x:c>
      <x:c r="D1883" s="47" t="n">
        <x:v>1354416</x:v>
      </x:c>
      <x:c r="E1883" s="47" t="n">
        <x:v>2170160</x:v>
      </x:c>
      <x:c r="F1883" s="47" t="n">
        <x:f>D1883-E1883</x:f>
        <x:v>-815744</x:v>
      </x:c>
      <x:c r="G1883" s="49" t="n">
        <x:v>6</x:v>
      </x:c>
      <x:c r="H1883" s="49" t="n">
        <x:v>19</x:v>
      </x:c>
      <x:c r="I1883" s="47" t="n">
        <x:v>-954606</x:v>
      </x:c>
      <x:c r="J1883" s="49" t="n">
        <x:v>384</x:v>
      </x:c>
      <x:c r="K1883" s="47" t="n">
        <x:v>-126988</x:v>
      </x:c>
      <x:c r="L1883" s="47" t="n">
        <x:v>51672.84210526316</x:v>
      </x:c>
      <x:c r="M1883" s="48" t="n">
        <x:v>43.79533333333333</x:v>
      </x:c>
      <x:c r="N1883" s="48" t="n">
        <x:v>493.7286666666667</x:v>
      </x:c>
      <x:c r="O1883" s="49" t="n">
        <x:v>2</x:v>
      </x:c>
      <x:c r="P1883" s="1" t="str">
        <x:v>中期の支持状態を維持・広め</x:v>
      </x:c>
      <x:c r="Q1883" s="49" t="n">
        <x:v>0</x:v>
      </x:c>
      <x:c r="R1883" s="50" t="n">
        <x:v>0.63298547008547</x:v>
      </x:c>
      <x:c r="S1883" s="50" t="n">
        <x:v>0.6329854700854701</x:v>
      </x:c>
      <x:c r="T1883" s="1" t="str">
        <x:v>ナイト</x:v>
      </x:c>
      <x:c r="U1883" s="49" t="n">
        <x:v>25</x:v>
      </x:c>
    </x:row>
    <x:row r="1884" ht="22" customHeight="1">
      <x:c r="A1884" s="1" t="str">
        <x:v>TOPIXmini</x:v>
      </x:c>
      <x:c r="B1884" s="1" t="str">
        <x:v>R02</x:v>
      </x:c>
      <x:c r="C1884" s="1" t="str">
        <x:v>全50場</x:v>
      </x:c>
      <x:c r="D1884" s="47" t="n">
        <x:v>1068060</x:v>
      </x:c>
      <x:c r="E1884" s="47" t="n">
        <x:v>1808686</x:v>
      </x:c>
      <x:c r="F1884" s="47" t="n">
        <x:f>D1884-E1884</x:f>
        <x:v>-740626</x:v>
      </x:c>
      <x:c r="G1884" s="49" t="n">
        <x:v>4</x:v>
      </x:c>
      <x:c r="H1884" s="49" t="n">
        <x:v>21</x:v>
      </x:c>
      <x:c r="I1884" s="47" t="n">
        <x:v>-841480</x:v>
      </x:c>
      <x:c r="J1884" s="49" t="n">
        <x:v>311</x:v>
      </x:c>
      <x:c r="K1884" s="47" t="n">
        <x:v>-95652</x:v>
      </x:c>
      <x:c r="L1884" s="47" t="n">
        <x:v>41102.47619047619</x:v>
      </x:c>
      <x:c r="M1884" s="48" t="n">
        <x:v>32.53866666666667</x:v>
      </x:c>
      <x:c r="N1884" s="48" t="n">
        <x:v>377.3906666666667</x:v>
      </x:c>
      <x:c r="O1884" s="49" t="n">
        <x:v>2</x:v>
      </x:c>
      <x:c r="P1884" s="1" t="str">
        <x:v>中期の支持状態を維持・広め</x:v>
      </x:c>
      <x:c r="Q1884" s="49" t="n">
        <x:v>0</x:v>
      </x:c>
      <x:c r="R1884" s="50" t="n">
        <x:v>0.6233477411477412</x:v>
      </x:c>
      <x:c r="S1884" s="50" t="n">
        <x:v>0.6215261308739569</x:v>
      </x:c>
      <x:c r="T1884" s="1" t="str">
        <x:v>上昇</x:v>
      </x:c>
      <x:c r="U1884" s="49" t="n">
        <x:v>25</x:v>
      </x:c>
    </x:row>
    <x:row r="1885" ht="22" customHeight="1">
      <x:c r="A1885" s="1" t="str">
        <x:v>TOPIXmini</x:v>
      </x:c>
      <x:c r="B1885" s="1" t="str">
        <x:v>R02</x:v>
      </x:c>
      <x:c r="C1885" s="1" t="str">
        <x:v>全50場</x:v>
      </x:c>
      <x:c r="D1885" s="47" t="n">
        <x:v>1376250</x:v>
      </x:c>
      <x:c r="E1885" s="47" t="n">
        <x:v>1948848</x:v>
      </x:c>
      <x:c r="F1885" s="47" t="n">
        <x:f>D1885-E1885</x:f>
        <x:v>-572598</x:v>
      </x:c>
      <x:c r="G1885" s="49" t="n">
        <x:v>7</x:v>
      </x:c>
      <x:c r="H1885" s="49" t="n">
        <x:v>18</x:v>
      </x:c>
      <x:c r="I1885" s="47" t="n">
        <x:v>-804622</x:v>
      </x:c>
      <x:c r="J1885" s="49" t="n">
        <x:v>353</x:v>
      </x:c>
      <x:c r="K1885" s="47" t="n">
        <x:v>-126988</x:v>
      </x:c>
      <x:c r="L1885" s="47" t="n">
        <x:v>48322.444444444445</x:v>
      </x:c>
      <x:c r="M1885" s="48" t="n">
        <x:v>41.62866666666667</x:v>
      </x:c>
      <x:c r="N1885" s="48" t="n">
        <x:v>402.46933333333334</x:v>
      </x:c>
      <x:c r="O1885" s="49" t="n">
        <x:v>2</x:v>
      </x:c>
      <x:c r="P1885" s="1" t="str">
        <x:v>中期の支持状態を維持・広め</x:v>
      </x:c>
      <x:c r="Q1885" s="49" t="n">
        <x:v>0</x:v>
      </x:c>
      <x:c r="R1885" s="50" t="n">
        <x:v>0.6909028083028084</x:v>
      </x:c>
      <x:c r="S1885" s="50" t="n">
        <x:v>0.6789293747188484</x:v>
      </x:c>
      <x:c r="T1885" s="1" t="str">
        <x:v>下落</x:v>
      </x:c>
      <x:c r="U1885" s="49" t="n">
        <x:v>25</x:v>
      </x:c>
    </x:row>
    <x:row r="1886" ht="22" customHeight="1">
      <x:c r="A1886" s="1" t="str">
        <x:v>TOPIXmini</x:v>
      </x:c>
      <x:c r="B1886" s="1" t="str">
        <x:v>R02</x:v>
      </x:c>
      <x:c r="C1886" s="1" t="str">
        <x:v>対照47場</x:v>
      </x:c>
      <x:c r="D1886" s="47" t="n">
        <x:v>2265132</x:v>
      </x:c>
      <x:c r="E1886" s="47" t="n">
        <x:v>3378732</x:v>
      </x:c>
      <x:c r="F1886" s="47" t="n">
        <x:f>D1886-E1886</x:f>
        <x:v>-1113600</x:v>
      </x:c>
      <x:c r="G1886" s="49" t="n">
        <x:v>11</x:v>
      </x:c>
      <x:c r="H1886" s="49" t="n">
        <x:v>36</x:v>
      </x:c>
      <x:c r="I1886" s="47" t="n">
        <x:v>-1345624</x:v>
      </x:c>
      <x:c r="J1886" s="49" t="n">
        <x:v>600</x:v>
      </x:c>
      <x:c r="K1886" s="47" t="n">
        <x:v>-126988</x:v>
      </x:c>
      <x:c r="L1886" s="47" t="n">
        <x:v>42592.555555555555</x:v>
      </x:c>
      <x:c r="M1886" s="48" t="n">
        <x:v>37.934397163120565</x:v>
      </x:c>
      <x:c r="N1886" s="48" t="n">
        <x:v>383.7308510638297</x:v>
      </x:c>
      <x:c r="O1886" s="49" t="n">
        <x:v>2</x:v>
      </x:c>
      <x:c r="P1886" s="1" t="str">
        <x:v>中期の支持状態を維持・広め</x:v>
      </x:c>
      <x:c r="Q1886" s="49" t="n">
        <x:v>0</x:v>
      </x:c>
      <x:c r="R1886" s="50" t="n">
        <x:v>0.6520288753799393</x:v>
      </x:c>
      <x:c r="S1886" s="50" t="n">
        <x:v>0.6436598857958601</x:v>
      </x:c>
      <x:c r="T1886" s="1" t="str">
        <x:v>全場</x:v>
      </x:c>
      <x:c r="U1886" s="49" t="n">
        <x:v>47</x:v>
      </x:c>
    </x:row>
    <x:row r="1887" ht="22" customHeight="1">
      <x:c r="A1887" s="1" t="str">
        <x:v>TOPIXmini</x:v>
      </x:c>
      <x:c r="B1887" s="1" t="str">
        <x:v>R02</x:v>
      </x:c>
      <x:c r="C1887" s="1" t="str">
        <x:v>対照47場</x:v>
      </x:c>
      <x:c r="D1887" s="47" t="n">
        <x:v>1029724</x:v>
      </x:c>
      <x:c r="E1887" s="47" t="n">
        <x:v>1489714</x:v>
      </x:c>
      <x:c r="F1887" s="47" t="n">
        <x:f>D1887-E1887</x:f>
        <x:v>-459990</x:v>
      </x:c>
      <x:c r="G1887" s="49" t="n">
        <x:v>5</x:v>
      </x:c>
      <x:c r="H1887" s="49" t="n">
        <x:v>19</x:v>
      </x:c>
      <x:c r="I1887" s="47" t="n">
        <x:v>-663342</x:v>
      </x:c>
      <x:c r="J1887" s="49" t="n">
        <x:v>265</x:v>
      </x:c>
      <x:c r="K1887" s="47" t="n">
        <x:v>-64992</x:v>
      </x:c>
      <x:c r="L1887" s="47" t="n">
        <x:v>37562.21052631579</x:v>
      </x:c>
      <x:c r="M1887" s="48" t="n">
        <x:v>30.675694444444446</x:v>
      </x:c>
      <x:c r="N1887" s="48" t="n">
        <x:v>285.25138888888887</x:v>
      </x:c>
      <x:c r="O1887" s="49" t="n">
        <x:v>2</x:v>
      </x:c>
      <x:c r="P1887" s="1" t="str">
        <x:v>中期の支持状態を維持・広め</x:v>
      </x:c>
      <x:c r="Q1887" s="49" t="n">
        <x:v>0</x:v>
      </x:c>
      <x:c r="R1887" s="50" t="n">
        <x:v>0.6791699735449734</x:v>
      </x:c>
      <x:c r="S1887" s="50" t="n">
        <x:v>0.6791699735449735</x:v>
      </x:c>
      <x:c r="T1887" s="1" t="str">
        <x:v>デイ</x:v>
      </x:c>
      <x:c r="U1887" s="49" t="n">
        <x:v>24</x:v>
      </x:c>
    </x:row>
    <x:row r="1888" ht="22" customHeight="1">
      <x:c r="A1888" s="1" t="str">
        <x:v>TOPIXmini</x:v>
      </x:c>
      <x:c r="B1888" s="1" t="str">
        <x:v>R02</x:v>
      </x:c>
      <x:c r="C1888" s="1" t="str">
        <x:v>対照47場</x:v>
      </x:c>
      <x:c r="D1888" s="47" t="n">
        <x:v>1235408</x:v>
      </x:c>
      <x:c r="E1888" s="47" t="n">
        <x:v>1889018</x:v>
      </x:c>
      <x:c r="F1888" s="47" t="n">
        <x:f>D1888-E1888</x:f>
        <x:v>-653610</x:v>
      </x:c>
      <x:c r="G1888" s="49" t="n">
        <x:v>6</x:v>
      </x:c>
      <x:c r="H1888" s="49" t="n">
        <x:v>17</x:v>
      </x:c>
      <x:c r="I1888" s="47" t="n">
        <x:v>-792472</x:v>
      </x:c>
      <x:c r="J1888" s="49" t="n">
        <x:v>335</x:v>
      </x:c>
      <x:c r="K1888" s="47" t="n">
        <x:v>-126988</x:v>
      </x:c>
      <x:c r="L1888" s="47" t="n">
        <x:v>48214.705882352944</x:v>
      </x:c>
      <x:c r="M1888" s="48" t="n">
        <x:v>45.50869565217391</x:v>
      </x:c>
      <x:c r="N1888" s="48" t="n">
        <x:v>486.49202898550726</x:v>
      </x:c>
      <x:c r="O1888" s="49" t="n">
        <x:v>2</x:v>
      </x:c>
      <x:c r="P1888" s="1" t="str">
        <x:v>中期の支持状態を維持・広め</x:v>
      </x:c>
      <x:c r="Q1888" s="49" t="n">
        <x:v>0</x:v>
      </x:c>
      <x:c r="R1888" s="50" t="n">
        <x:v>0.6237077294685989</x:v>
      </x:c>
      <x:c r="S1888" s="50" t="n">
        <x:v>0.6237077294685991</x:v>
      </x:c>
      <x:c r="T1888" s="1" t="str">
        <x:v>ナイト</x:v>
      </x:c>
      <x:c r="U1888" s="49" t="n">
        <x:v>23</x:v>
      </x:c>
    </x:row>
    <x:row r="1889" ht="22" customHeight="1">
      <x:c r="A1889" s="1" t="str">
        <x:v>TOPIXmini</x:v>
      </x:c>
      <x:c r="B1889" s="1" t="str">
        <x:v>R02</x:v>
      </x:c>
      <x:c r="C1889" s="1" t="str">
        <x:v>対照47場</x:v>
      </x:c>
      <x:c r="D1889" s="47" t="n">
        <x:v>991890</x:v>
      </x:c>
      <x:c r="E1889" s="47" t="n">
        <x:v>1687030</x:v>
      </x:c>
      <x:c r="F1889" s="47" t="n">
        <x:f>D1889-E1889</x:f>
        <x:v>-695140</x:v>
      </x:c>
      <x:c r="G1889" s="49" t="n">
        <x:v>4</x:v>
      </x:c>
      <x:c r="H1889" s="49" t="n">
        <x:v>20</x:v>
      </x:c>
      <x:c r="I1889" s="47" t="n">
        <x:v>-795994</x:v>
      </x:c>
      <x:c r="J1889" s="49" t="n">
        <x:v>290</x:v>
      </x:c>
      <x:c r="K1889" s="47" t="n">
        <x:v>-95652</x:v>
      </x:c>
      <x:c r="L1889" s="47" t="n">
        <x:v>40883.3</x:v>
      </x:c>
      <x:c r="M1889" s="48" t="n">
        <x:v>32.924305555555556</x:v>
      </x:c>
      <x:c r="N1889" s="48" t="n">
        <x:v>370.125</x:v>
      </x:c>
      <x:c r="O1889" s="49" t="n">
        <x:v>2</x:v>
      </x:c>
      <x:c r="P1889" s="1" t="str">
        <x:v>中期の支持状態を維持・広め</x:v>
      </x:c>
      <x:c r="Q1889" s="49" t="n">
        <x:v>0</x:v>
      </x:c>
      <x:c r="R1889" s="50" t="n">
        <x:v>0.6198458485958486</x:v>
      </x:c>
      <x:c r="S1889" s="50" t="n">
        <x:v>0.616875</x:v>
      </x:c>
      <x:c r="T1889" s="1" t="str">
        <x:v>上昇</x:v>
      </x:c>
      <x:c r="U1889" s="49" t="n">
        <x:v>24</x:v>
      </x:c>
    </x:row>
    <x:row r="1890" ht="22" customHeight="1">
      <x:c r="A1890" s="1" t="str">
        <x:v>TOPIXmini</x:v>
      </x:c>
      <x:c r="B1890" s="1" t="str">
        <x:v>R02</x:v>
      </x:c>
      <x:c r="C1890" s="1" t="str">
        <x:v>対照47場</x:v>
      </x:c>
      <x:c r="D1890" s="47" t="n">
        <x:v>1273242</x:v>
      </x:c>
      <x:c r="E1890" s="47" t="n">
        <x:v>1691702</x:v>
      </x:c>
      <x:c r="F1890" s="47" t="n">
        <x:f>D1890-E1890</x:f>
        <x:v>-418460</x:v>
      </x:c>
      <x:c r="G1890" s="49" t="n">
        <x:v>7</x:v>
      </x:c>
      <x:c r="H1890" s="49" t="n">
        <x:v>16</x:v>
      </x:c>
      <x:c r="I1890" s="47" t="n">
        <x:v>-650484</x:v>
      </x:c>
      <x:c r="J1890" s="49" t="n">
        <x:v>310</x:v>
      </x:c>
      <x:c r="K1890" s="47" t="n">
        <x:v>-126988</x:v>
      </x:c>
      <x:c r="L1890" s="47" t="n">
        <x:v>44729.125</x:v>
      </x:c>
      <x:c r="M1890" s="48" t="n">
        <x:v>43.162318840579715</x:v>
      </x:c>
      <x:c r="N1890" s="48" t="n">
        <x:v>397.92826086956524</x:v>
      </x:c>
      <x:c r="O1890" s="49" t="n">
        <x:v>2</x:v>
      </x:c>
      <x:c r="P1890" s="1" t="str">
        <x:v>中期の支持状態を維持・広め</x:v>
      </x:c>
      <x:c r="Q1890" s="49" t="n">
        <x:v>0</x:v>
      </x:c>
      <x:c r="R1890" s="50" t="n">
        <x:v>0.6856111641981206</x:v>
      </x:c>
      <x:c r="S1890" s="50" t="n">
        <x:v>0.6719787077826725</x:v>
      </x:c>
      <x:c r="T1890" s="1" t="str">
        <x:v>下落</x:v>
      </x:c>
      <x:c r="U1890" s="49" t="n">
        <x:v>23</x:v>
      </x:c>
    </x:row>
    <x:row r="1891" ht="22" customHeight="1">
      <x:c r="A1891" s="1" t="str">
        <x:v>TOPIXmini</x:v>
      </x:c>
      <x:c r="B1891" s="1" t="str">
        <x:v>R02</x:v>
      </x:c>
      <x:c r="C1891" s="1" t="str">
        <x:v>診断3場</x:v>
      </x:c>
      <x:c r="D1891" s="47" t="n">
        <x:v>179178</x:v>
      </x:c>
      <x:c r="E1891" s="47" t="n">
        <x:v>378802</x:v>
      </x:c>
      <x:c r="F1891" s="47" t="n">
        <x:f>D1891-E1891</x:f>
        <x:v>-199624</x:v>
      </x:c>
      <x:c r="G1891" s="49" t="n">
        <x:v>0</x:v>
      </x:c>
      <x:c r="H1891" s="49" t="n">
        <x:v>3</x:v>
      </x:c>
      <x:c r="I1891" s="47" t="n">
        <x:v>-199624</x:v>
      </x:c>
      <x:c r="J1891" s="49" t="n">
        <x:v>64</x:v>
      </x:c>
      <x:c r="K1891" s="47" t="n">
        <x:v>-116648</x:v>
      </x:c>
      <x:c r="L1891" s="47" t="n">
        <x:v>66541.33333333333</x:v>
      </x:c>
      <x:c r="M1891" s="48" t="n">
        <x:v>23.755555555555556</x:v>
      </x:c>
      <x:c r="N1891" s="48" t="n">
        <x:v>487.05</x:v>
      </x:c>
      <x:c r="O1891" s="49" t="n">
        <x:v>2</x:v>
      </x:c>
      <x:c r="P1891" s="1" t="str">
        <x:v>中期の支持状態を維持・広め</x:v>
      </x:c>
      <x:c r="Q1891" s="49" t="n">
        <x:v>0</x:v>
      </x:c>
      <x:c r="R1891" s="50" t="n">
        <x:v>0.7369688644688646</x:v>
      </x:c>
      <x:c r="S1891" s="50" t="n">
        <x:v>0.7379545454545455</x:v>
      </x:c>
      <x:c r="T1891" s="1" t="str">
        <x:v>全場</x:v>
      </x:c>
      <x:c r="U1891" s="49" t="n">
        <x:v>3</x:v>
      </x:c>
    </x:row>
    <x:row r="1892" ht="22" customHeight="1">
      <x:c r="A1892" s="1" t="str">
        <x:v>TOPIXmini</x:v>
      </x:c>
      <x:c r="B1892" s="1" t="str">
        <x:v>R02</x:v>
      </x:c>
      <x:c r="C1892" s="1" t="str">
        <x:v>診断3場</x:v>
      </x:c>
      <x:c r="D1892" s="47" t="n">
        <x:v>60170</x:v>
      </x:c>
      <x:c r="E1892" s="47" t="n">
        <x:v>97660</x:v>
      </x:c>
      <x:c r="F1892" s="47" t="n">
        <x:f>D1892-E1892</x:f>
        <x:v>-37490</x:v>
      </x:c>
      <x:c r="G1892" s="49" t="n">
        <x:v>0</x:v>
      </x:c>
      <x:c r="H1892" s="49" t="n">
        <x:v>1</x:v>
      </x:c>
      <x:c r="I1892" s="47" t="n">
        <x:v>-37490</x:v>
      </x:c>
      <x:c r="J1892" s="49" t="n">
        <x:v>15</x:v>
      </x:c>
      <x:c r="K1892" s="47" t="n">
        <x:v>-37490</x:v>
      </x:c>
      <x:c r="L1892" s="47" t="n">
        <x:v>37490</x:v>
      </x:c>
      <x:c r="M1892" s="48" t="n">
        <x:v>23.083333333333332</x:v>
      </x:c>
      <x:c r="N1892" s="48" t="n">
        <x:v>307.25</x:v>
      </x:c>
      <x:c r="O1892" s="49" t="n">
        <x:v>2</x:v>
      </x:c>
      <x:c r="P1892" s="1" t="str">
        <x:v>中期の支持状態を維持・広め</x:v>
      </x:c>
      <x:c r="Q1892" s="49" t="n">
        <x:v>0</x:v>
      </x:c>
      <x:c r="R1892" s="50" t="n">
        <x:v>0.731547619047619</x:v>
      </x:c>
      <x:c r="S1892" s="50" t="n">
        <x:v>0.731547619047619</x:v>
      </x:c>
      <x:c r="T1892" s="1" t="str">
        <x:v>デイ</x:v>
      </x:c>
      <x:c r="U1892" s="49" t="n">
        <x:v>1</x:v>
      </x:c>
    </x:row>
    <x:row r="1893" ht="22" customHeight="1">
      <x:c r="A1893" s="1" t="str">
        <x:v>TOPIXmini</x:v>
      </x:c>
      <x:c r="B1893" s="1" t="str">
        <x:v>R02</x:v>
      </x:c>
      <x:c r="C1893" s="1" t="str">
        <x:v>診断3場</x:v>
      </x:c>
      <x:c r="D1893" s="47" t="n">
        <x:v>119008</x:v>
      </x:c>
      <x:c r="E1893" s="47" t="n">
        <x:v>281142</x:v>
      </x:c>
      <x:c r="F1893" s="47" t="n">
        <x:f>D1893-E1893</x:f>
        <x:v>-162134</x:v>
      </x:c>
      <x:c r="G1893" s="49" t="n">
        <x:v>0</x:v>
      </x:c>
      <x:c r="H1893" s="49" t="n">
        <x:v>2</x:v>
      </x:c>
      <x:c r="I1893" s="47" t="n">
        <x:v>-162134</x:v>
      </x:c>
      <x:c r="J1893" s="49" t="n">
        <x:v>49</x:v>
      </x:c>
      <x:c r="K1893" s="47" t="n">
        <x:v>-116648</x:v>
      </x:c>
      <x:c r="L1893" s="47" t="n">
        <x:v>81067</x:v>
      </x:c>
      <x:c r="M1893" s="48" t="n">
        <x:v>24.09166666666667</x:v>
      </x:c>
      <x:c r="N1893" s="48" t="n">
        <x:v>576.95</x:v>
      </x:c>
      <x:c r="O1893" s="49" t="n">
        <x:v>2</x:v>
      </x:c>
      <x:c r="P1893" s="1" t="str">
        <x:v>中期の支持状態を維持・広め</x:v>
      </x:c>
      <x:c r="Q1893" s="49" t="n">
        <x:v>0</x:v>
      </x:c>
      <x:c r="R1893" s="50" t="n">
        <x:v>0.7396794871794872</x:v>
      </x:c>
      <x:c r="S1893" s="50" t="n">
        <x:v>0.7396794871794873</x:v>
      </x:c>
      <x:c r="T1893" s="1" t="str">
        <x:v>ナイト</x:v>
      </x:c>
      <x:c r="U1893" s="49" t="n">
        <x:v>2</x:v>
      </x:c>
    </x:row>
    <x:row r="1894" ht="22" customHeight="1">
      <x:c r="A1894" s="1" t="str">
        <x:v>TOPIXmini</x:v>
      </x:c>
      <x:c r="B1894" s="1" t="str">
        <x:v>R02</x:v>
      </x:c>
      <x:c r="C1894" s="1" t="str">
        <x:v>診断3場</x:v>
      </x:c>
      <x:c r="D1894" s="47" t="n">
        <x:v>76170</x:v>
      </x:c>
      <x:c r="E1894" s="47" t="n">
        <x:v>121656</x:v>
      </x:c>
      <x:c r="F1894" s="47" t="n">
        <x:f>D1894-E1894</x:f>
        <x:v>-45486</x:v>
      </x:c>
      <x:c r="G1894" s="49" t="n">
        <x:v>0</x:v>
      </x:c>
      <x:c r="H1894" s="49" t="n">
        <x:v>1</x:v>
      </x:c>
      <x:c r="I1894" s="47" t="n">
        <x:v>-45486</x:v>
      </x:c>
      <x:c r="J1894" s="49" t="n">
        <x:v>21</x:v>
      </x:c>
      <x:c r="K1894" s="47" t="n">
        <x:v>-45486</x:v>
      </x:c>
      <x:c r="L1894" s="47" t="n">
        <x:v>45486</x:v>
      </x:c>
      <x:c r="M1894" s="48" t="n">
        <x:v>23.283333333333335</x:v>
      </x:c>
      <x:c r="N1894" s="48" t="n">
        <x:v>551.7666666666667</x:v>
      </x:c>
      <x:c r="O1894" s="49" t="n">
        <x:v>2</x:v>
      </x:c>
      <x:c r="P1894" s="1" t="str">
        <x:v>中期の支持状態を維持・広め</x:v>
      </x:c>
      <x:c r="Q1894" s="49" t="n">
        <x:v>0</x:v>
      </x:c>
      <x:c r="R1894" s="50" t="n">
        <x:v>0.7073931623931624</x:v>
      </x:c>
      <x:c r="S1894" s="50" t="n">
        <x:v>0.7073931623931624</x:v>
      </x:c>
      <x:c r="T1894" s="1" t="str">
        <x:v>上昇</x:v>
      </x:c>
      <x:c r="U1894" s="49" t="n">
        <x:v>1</x:v>
      </x:c>
    </x:row>
    <x:row r="1895" ht="22" customHeight="1">
      <x:c r="A1895" s="1" t="str">
        <x:v>TOPIXmini</x:v>
      </x:c>
      <x:c r="B1895" s="1" t="str">
        <x:v>R02</x:v>
      </x:c>
      <x:c r="C1895" s="1" t="str">
        <x:v>診断3場</x:v>
      </x:c>
      <x:c r="D1895" s="47" t="n">
        <x:v>103008</x:v>
      </x:c>
      <x:c r="E1895" s="47" t="n">
        <x:v>257146</x:v>
      </x:c>
      <x:c r="F1895" s="47" t="n">
        <x:f>D1895-E1895</x:f>
        <x:v>-154138</x:v>
      </x:c>
      <x:c r="G1895" s="49" t="n">
        <x:v>0</x:v>
      </x:c>
      <x:c r="H1895" s="49" t="n">
        <x:v>2</x:v>
      </x:c>
      <x:c r="I1895" s="47" t="n">
        <x:v>-154138</x:v>
      </x:c>
      <x:c r="J1895" s="49" t="n">
        <x:v>43</x:v>
      </x:c>
      <x:c r="K1895" s="47" t="n">
        <x:v>-116648</x:v>
      </x:c>
      <x:c r="L1895" s="47" t="n">
        <x:v>77069</x:v>
      </x:c>
      <x:c r="M1895" s="48" t="n">
        <x:v>23.991666666666667</x:v>
      </x:c>
      <x:c r="N1895" s="48" t="n">
        <x:v>454.69166666666666</x:v>
      </x:c>
      <x:c r="O1895" s="49" t="n">
        <x:v>2</x:v>
      </x:c>
      <x:c r="P1895" s="1" t="str">
        <x:v>中期の支持状態を維持・広め</x:v>
      </x:c>
      <x:c r="Q1895" s="49" t="n">
        <x:v>0</x:v>
      </x:c>
      <x:c r="R1895" s="50" t="n">
        <x:v>0.7517567155067155</x:v>
      </x:c>
      <x:c r="S1895" s="50" t="n">
        <x:v>0.7578194444444445</x:v>
      </x:c>
      <x:c r="T1895" s="1" t="str">
        <x:v>下落</x:v>
      </x:c>
      <x:c r="U1895" s="49" t="n">
        <x:v>2</x:v>
      </x:c>
    </x:row>
    <x:row r="1896" ht="22" customHeight="1">
      <x:c r="A1896" s="1" t="str">
        <x:v>TOPIXmini</x:v>
      </x:c>
      <x:c r="B1896" s="1" t="str">
        <x:v>R03</x:v>
      </x:c>
      <x:c r="C1896" s="1" t="str">
        <x:v>全50場</x:v>
      </x:c>
      <x:c r="D1896" s="47" t="n">
        <x:v>1362586</x:v>
      </x:c>
      <x:c r="E1896" s="47" t="n">
        <x:v>2103168</x:v>
      </x:c>
      <x:c r="F1896" s="47" t="n">
        <x:f>D1896-E1896</x:f>
        <x:v>-740582</x:v>
      </x:c>
      <x:c r="G1896" s="49" t="n">
        <x:v>9</x:v>
      </x:c>
      <x:c r="H1896" s="49" t="n">
        <x:v>37</x:v>
      </x:c>
      <x:c r="I1896" s="47" t="n">
        <x:v>-892096</x:v>
      </x:c>
      <x:c r="J1896" s="49" t="n">
        <x:v>377</x:v>
      </x:c>
      <x:c r="K1896" s="47" t="n">
        <x:v>-102158</x:v>
      </x:c>
      <x:c r="L1896" s="47" t="n">
        <x:v>26183.567567567567</x:v>
      </x:c>
      <x:c r="M1896" s="48" t="n">
        <x:v>119.23297101449272</x:v>
      </x:c>
      <x:c r="N1896" s="48" t="n">
        <x:v>131.88</x:v>
      </x:c>
      <x:c r="O1896" s="49" t="n">
        <x:v>2</x:v>
      </x:c>
      <x:c r="P1896" s="1" t="str">
        <x:v>支持状態内の押し再進行で参加・標準</x:v>
      </x:c>
      <x:c r="Q1896" s="49" t="n">
        <x:v>4</x:v>
      </x:c>
      <x:c r="R1896" s="50" t="n">
        <x:v>0.23669120879120875</x:v>
      </x:c>
      <x:c r="S1896" s="50" t="n">
        <x:v>0.2198</x:v>
      </x:c>
      <x:c r="T1896" s="1" t="str">
        <x:v>全場</x:v>
      </x:c>
      <x:c r="U1896" s="49" t="n">
        <x:v>50</x:v>
      </x:c>
    </x:row>
    <x:row r="1897" ht="22" customHeight="1">
      <x:c r="A1897" s="1" t="str">
        <x:v>TOPIXmini</x:v>
      </x:c>
      <x:c r="B1897" s="1" t="str">
        <x:v>R03</x:v>
      </x:c>
      <x:c r="C1897" s="1" t="str">
        <x:v>全50場</x:v>
      </x:c>
      <x:c r="D1897" s="47" t="n">
        <x:v>666376</x:v>
      </x:c>
      <x:c r="E1897" s="47" t="n">
        <x:v>1046588</x:v>
      </x:c>
      <x:c r="F1897" s="47" t="n">
        <x:f>D1897-E1897</x:f>
        <x:v>-380212</x:v>
      </x:c>
      <x:c r="G1897" s="49" t="n">
        <x:v>4</x:v>
      </x:c>
      <x:c r="H1897" s="49" t="n">
        <x:v>18</x:v>
      </x:c>
      <x:c r="I1897" s="47" t="n">
        <x:v>-499730</x:v>
      </x:c>
      <x:c r="J1897" s="49" t="n">
        <x:v>182</x:v>
      </x:c>
      <x:c r="K1897" s="47" t="n">
        <x:v>-59158</x:v>
      </x:c>
      <x:c r="L1897" s="47" t="n">
        <x:v>28087.11111111111</x:v>
      </x:c>
      <x:c r="M1897" s="48" t="n">
        <x:v>62.29772727272728</x:v>
      </x:c>
      <x:c r="N1897" s="48" t="n">
        <x:v>123.05799999999999</x:v>
      </x:c>
      <x:c r="O1897" s="49" t="n">
        <x:v>2</x:v>
      </x:c>
      <x:c r="P1897" s="1" t="str">
        <x:v>支持状態内の押し再進行で参加・標準</x:v>
      </x:c>
      <x:c r="Q1897" s="49" t="n">
        <x:v>3</x:v>
      </x:c>
      <x:c r="R1897" s="50" t="n">
        <x:v>0.29299523809523814</x:v>
      </x:c>
      <x:c r="S1897" s="50" t="n">
        <x:v>0.2929952380952381</x:v>
      </x:c>
      <x:c r="T1897" s="1" t="str">
        <x:v>デイ</x:v>
      </x:c>
      <x:c r="U1897" s="49" t="n">
        <x:v>25</x:v>
      </x:c>
    </x:row>
    <x:row r="1898" ht="22" customHeight="1">
      <x:c r="A1898" s="1" t="str">
        <x:v>TOPIXmini</x:v>
      </x:c>
      <x:c r="B1898" s="1" t="str">
        <x:v>R03</x:v>
      </x:c>
      <x:c r="C1898" s="1" t="str">
        <x:v>全50場</x:v>
      </x:c>
      <x:c r="D1898" s="47" t="n">
        <x:v>696210</x:v>
      </x:c>
      <x:c r="E1898" s="47" t="n">
        <x:v>1056580</x:v>
      </x:c>
      <x:c r="F1898" s="47" t="n">
        <x:f>D1898-E1898</x:f>
        <x:v>-360370</x:v>
      </x:c>
      <x:c r="G1898" s="49" t="n">
        <x:v>5</x:v>
      </x:c>
      <x:c r="H1898" s="49" t="n">
        <x:v>19</x:v>
      </x:c>
      <x:c r="I1898" s="47" t="n">
        <x:v>-451548</x:v>
      </x:c>
      <x:c r="J1898" s="49" t="n">
        <x:v>195</x:v>
      </x:c>
      <x:c r="K1898" s="47" t="n">
        <x:v>-102158</x:v>
      </x:c>
      <x:c r="L1898" s="47" t="n">
        <x:v>24380.21052631579</x:v>
      </x:c>
      <x:c r="M1898" s="48" t="n">
        <x:v>171.42361111111111</x:v>
      </x:c>
      <x:c r="N1898" s="48" t="n">
        <x:v>140.702</x:v>
      </x:c>
      <x:c r="O1898" s="49" t="n">
        <x:v>2</x:v>
      </x:c>
      <x:c r="P1898" s="1" t="str">
        <x:v>支持状態内の押し再進行で参加・標準</x:v>
      </x:c>
      <x:c r="Q1898" s="49" t="n">
        <x:v>1</x:v>
      </x:c>
      <x:c r="R1898" s="50" t="n">
        <x:v>0.1803871794871795</x:v>
      </x:c>
      <x:c r="S1898" s="50" t="n">
        <x:v>0.1803871794871795</x:v>
      </x:c>
      <x:c r="T1898" s="1" t="str">
        <x:v>ナイト</x:v>
      </x:c>
      <x:c r="U1898" s="49" t="n">
        <x:v>25</x:v>
      </x:c>
    </x:row>
    <x:row r="1899" ht="22" customHeight="1">
      <x:c r="A1899" s="1" t="str">
        <x:v>TOPIXmini</x:v>
      </x:c>
      <x:c r="B1899" s="1" t="str">
        <x:v>R03</x:v>
      </x:c>
      <x:c r="C1899" s="1" t="str">
        <x:v>全50場</x:v>
      </x:c>
      <x:c r="D1899" s="47" t="n">
        <x:v>566700</x:v>
      </x:c>
      <x:c r="E1899" s="47" t="n">
        <x:v>956588</x:v>
      </x:c>
      <x:c r="F1899" s="47" t="n">
        <x:f>D1899-E1899</x:f>
        <x:v>-389888</x:v>
      </x:c>
      <x:c r="G1899" s="49" t="n">
        <x:v>5</x:v>
      </x:c>
      <x:c r="H1899" s="49" t="n">
        <x:v>17</x:v>
      </x:c>
      <x:c r="I1899" s="47" t="n">
        <x:v>-477568</x:v>
      </x:c>
      <x:c r="J1899" s="49" t="n">
        <x:v>168</x:v>
      </x:c>
      <x:c r="K1899" s="47" t="n">
        <x:v>-66490</x:v>
      </x:c>
      <x:c r="L1899" s="47" t="n">
        <x:v>28514.235294117647</x:v>
      </x:c>
      <x:c r="M1899" s="48" t="n">
        <x:v>130.13333333333333</x:v>
      </x:c>
      <x:c r="N1899" s="48" t="n">
        <x:v>124.87333333333333</x:v>
      </x:c>
      <x:c r="O1899" s="49" t="n">
        <x:v>2</x:v>
      </x:c>
      <x:c r="P1899" s="1" t="str">
        <x:v>支持状態内の押し再進行で参加・標準</x:v>
      </x:c>
      <x:c r="Q1899" s="49" t="n">
        <x:v>3</x:v>
      </x:c>
      <x:c r="R1899" s="50" t="n">
        <x:v>0.2131716727716728</x:v>
      </x:c>
      <x:c r="S1899" s="50" t="n">
        <x:v>0.20565436978480459</x:v>
      </x:c>
      <x:c r="T1899" s="1" t="str">
        <x:v>上昇</x:v>
      </x:c>
      <x:c r="U1899" s="49" t="n">
        <x:v>25</x:v>
      </x:c>
    </x:row>
    <x:row r="1900" ht="22" customHeight="1">
      <x:c r="A1900" s="1" t="str">
        <x:v>TOPIXmini</x:v>
      </x:c>
      <x:c r="B1900" s="1" t="str">
        <x:v>R03</x:v>
      </x:c>
      <x:c r="C1900" s="1" t="str">
        <x:v>全50場</x:v>
      </x:c>
      <x:c r="D1900" s="47" t="n">
        <x:v>795886</x:v>
      </x:c>
      <x:c r="E1900" s="47" t="n">
        <x:v>1146580</x:v>
      </x:c>
      <x:c r="F1900" s="47" t="n">
        <x:f>D1900-E1900</x:f>
        <x:v>-350694</x:v>
      </x:c>
      <x:c r="G1900" s="49" t="n">
        <x:v>4</x:v>
      </x:c>
      <x:c r="H1900" s="49" t="n">
        <x:v>20</x:v>
      </x:c>
      <x:c r="I1900" s="47" t="n">
        <x:v>-470212</x:v>
      </x:c>
      <x:c r="J1900" s="49" t="n">
        <x:v>209</x:v>
      </x:c>
      <x:c r="K1900" s="47" t="n">
        <x:v>-102158</x:v>
      </x:c>
      <x:c r="L1900" s="47" t="n">
        <x:v>24202.5</x:v>
      </x:c>
      <x:c r="M1900" s="48" t="n">
        <x:v>109.24097222222223</x:v>
      </x:c>
      <x:c r="N1900" s="48" t="n">
        <x:v>138.88666666666668</x:v>
      </x:c>
      <x:c r="O1900" s="49" t="n">
        <x:v>2</x:v>
      </x:c>
      <x:c r="P1900" s="1" t="str">
        <x:v>支持状態内の押し再進行で参加・標準</x:v>
      </x:c>
      <x:c r="Q1900" s="49" t="n">
        <x:v>1</x:v>
      </x:c>
      <x:c r="R1900" s="50" t="n">
        <x:v>0.2602107448107448</x:v>
      </x:c>
      <x:c r="S1900" s="50" t="n">
        <x:v>0.23428924876293297</x:v>
      </x:c>
      <x:c r="T1900" s="1" t="str">
        <x:v>下落</x:v>
      </x:c>
      <x:c r="U1900" s="49" t="n">
        <x:v>25</x:v>
      </x:c>
    </x:row>
    <x:row r="1901" ht="22" customHeight="1">
      <x:c r="A1901" s="1" t="str">
        <x:v>TOPIXmini</x:v>
      </x:c>
      <x:c r="B1901" s="1" t="str">
        <x:v>R03</x:v>
      </x:c>
      <x:c r="C1901" s="1" t="str">
        <x:v>対照47場</x:v>
      </x:c>
      <x:c r="D1901" s="47" t="n">
        <x:v>1218578</x:v>
      </x:c>
      <x:c r="E1901" s="47" t="n">
        <x:v>1855018</x:v>
      </x:c>
      <x:c r="F1901" s="47" t="n">
        <x:f>D1901-E1901</x:f>
        <x:v>-636440</x:v>
      </x:c>
      <x:c r="G1901" s="49" t="n">
        <x:v>9</x:v>
      </x:c>
      <x:c r="H1901" s="49" t="n">
        <x:v>34</x:v>
      </x:c>
      <x:c r="I1901" s="47" t="n">
        <x:v>-787954</x:v>
      </x:c>
      <x:c r="J1901" s="49" t="n">
        <x:v>340</x:v>
      </x:c>
      <x:c r="K1901" s="47" t="n">
        <x:v>-102158</x:v>
      </x:c>
      <x:c r="L1901" s="47" t="n">
        <x:v>25430.882352941175</x:v>
      </x:c>
      <x:c r="M1901" s="48" t="n">
        <x:v>123.1813953488372</x:v>
      </x:c>
      <x:c r="N1901" s="48" t="n">
        <x:v>128.90744680851063</x:v>
      </x:c>
      <x:c r="O1901" s="49" t="n">
        <x:v>2</x:v>
      </x:c>
      <x:c r="P1901" s="1" t="str">
        <x:v>支持状態内の押し再進行で参加・標準</x:v>
      </x:c>
      <x:c r="Q1901" s="49" t="n">
        <x:v>4</x:v>
      </x:c>
      <x:c r="R1901" s="50" t="n">
        <x:v>0.23257364975450082</x:v>
      </x:c>
      <x:c r="S1901" s="50" t="n">
        <x:v>0.21622591006423983</x:v>
      </x:c>
      <x:c r="T1901" s="1" t="str">
        <x:v>全場</x:v>
      </x:c>
      <x:c r="U1901" s="49" t="n">
        <x:v>47</x:v>
      </x:c>
    </x:row>
    <x:row r="1902" ht="22" customHeight="1">
      <x:c r="A1902" s="1" t="str">
        <x:v>TOPIXmini</x:v>
      </x:c>
      <x:c r="B1902" s="1" t="str">
        <x:v>R03</x:v>
      </x:c>
      <x:c r="C1902" s="1" t="str">
        <x:v>対照47場</x:v>
      </x:c>
      <x:c r="D1902" s="47" t="n">
        <x:v>615206</x:v>
      </x:c>
      <x:c r="E1902" s="47" t="n">
        <x:v>936260</x:v>
      </x:c>
      <x:c r="F1902" s="47" t="n">
        <x:f>D1902-E1902</x:f>
        <x:v>-321054</x:v>
      </x:c>
      <x:c r="G1902" s="49" t="n">
        <x:v>4</x:v>
      </x:c>
      <x:c r="H1902" s="49" t="n">
        <x:v>17</x:v>
      </x:c>
      <x:c r="I1902" s="47" t="n">
        <x:v>-440572</x:v>
      </x:c>
      <x:c r="J1902" s="49" t="n">
        <x:v>169</x:v>
      </x:c>
      <x:c r="K1902" s="47" t="n">
        <x:v>-56494</x:v>
      </x:c>
      <x:c r="L1902" s="47" t="n">
        <x:v>26259.41176470588</x:v>
      </x:c>
      <x:c r="M1902" s="48" t="n">
        <x:v>64.12698412698413</x:v>
      </x:c>
      <x:c r="N1902" s="48" t="n">
        <x:v>119.94791666666667</x:v>
      </x:c>
      <x:c r="O1902" s="49" t="n">
        <x:v>2</x:v>
      </x:c>
      <x:c r="P1902" s="1" t="str">
        <x:v>支持状態内の押し再進行で参加・標準</x:v>
      </x:c>
      <x:c r="Q1902" s="49" t="n">
        <x:v>3</x:v>
      </x:c>
      <x:c r="R1902" s="50" t="n">
        <x:v>0.2855902777777778</x:v>
      </x:c>
      <x:c r="S1902" s="50" t="n">
        <x:v>0.2855902777777778</x:v>
      </x:c>
      <x:c r="T1902" s="1" t="str">
        <x:v>デイ</x:v>
      </x:c>
      <x:c r="U1902" s="49" t="n">
        <x:v>24</x:v>
      </x:c>
    </x:row>
    <x:row r="1903" ht="22" customHeight="1">
      <x:c r="A1903" s="1" t="str">
        <x:v>TOPIXmini</x:v>
      </x:c>
      <x:c r="B1903" s="1" t="str">
        <x:v>R03</x:v>
      </x:c>
      <x:c r="C1903" s="1" t="str">
        <x:v>対照47場</x:v>
      </x:c>
      <x:c r="D1903" s="47" t="n">
        <x:v>603372</x:v>
      </x:c>
      <x:c r="E1903" s="47" t="n">
        <x:v>918758</x:v>
      </x:c>
      <x:c r="F1903" s="47" t="n">
        <x:f>D1903-E1903</x:f>
        <x:v>-315386</x:v>
      </x:c>
      <x:c r="G1903" s="49" t="n">
        <x:v>5</x:v>
      </x:c>
      <x:c r="H1903" s="49" t="n">
        <x:v>17</x:v>
      </x:c>
      <x:c r="I1903" s="47" t="n">
        <x:v>-406564</x:v>
      </x:c>
      <x:c r="J1903" s="49" t="n">
        <x:v>171</x:v>
      </x:c>
      <x:c r="K1903" s="47" t="n">
        <x:v>-102158</x:v>
      </x:c>
      <x:c r="L1903" s="47" t="n">
        <x:v>24602.352941176472</x:v>
      </x:c>
      <x:c r="M1903" s="48" t="n">
        <x:v>179.55151515151513</x:v>
      </x:c>
      <x:c r="N1903" s="48" t="n">
        <x:v>138.25652173913042</x:v>
      </x:c>
      <x:c r="O1903" s="49" t="n">
        <x:v>2</x:v>
      </x:c>
      <x:c r="P1903" s="1" t="str">
        <x:v>支持状態内の押し再進行で参加・標準</x:v>
      </x:c>
      <x:c r="Q1903" s="49" t="n">
        <x:v>1</x:v>
      </x:c>
      <x:c r="R1903" s="50" t="n">
        <x:v>0.1772519509476031</x:v>
      </x:c>
      <x:c r="S1903" s="50" t="n">
        <x:v>0.17725195094760313</x:v>
      </x:c>
      <x:c r="T1903" s="1" t="str">
        <x:v>ナイト</x:v>
      </x:c>
      <x:c r="U1903" s="49" t="n">
        <x:v>23</x:v>
      </x:c>
    </x:row>
    <x:row r="1904" ht="22" customHeight="1">
      <x:c r="A1904" s="1" t="str">
        <x:v>TOPIXmini</x:v>
      </x:c>
      <x:c r="B1904" s="1" t="str">
        <x:v>R03</x:v>
      </x:c>
      <x:c r="C1904" s="1" t="str">
        <x:v>対照47場</x:v>
      </x:c>
      <x:c r="D1904" s="47" t="n">
        <x:v>516364</x:v>
      </x:c>
      <x:c r="E1904" s="47" t="n">
        <x:v>904426</x:v>
      </x:c>
      <x:c r="F1904" s="47" t="n">
        <x:f>D1904-E1904</x:f>
        <x:v>-388062</x:v>
      </x:c>
      <x:c r="G1904" s="49" t="n">
        <x:v>5</x:v>
      </x:c>
      <x:c r="H1904" s="49" t="n">
        <x:v>16</x:v>
      </x:c>
      <x:c r="I1904" s="47" t="n">
        <x:v>-475742</x:v>
      </x:c>
      <x:c r="J1904" s="49" t="n">
        <x:v>157</x:v>
      </x:c>
      <x:c r="K1904" s="47" t="n">
        <x:v>-66490</x:v>
      </x:c>
      <x:c r="L1904" s="47" t="n">
        <x:v>30182.25</x:v>
      </x:c>
      <x:c r="M1904" s="48" t="n">
        <x:v>132.13333333333335</x:v>
      </x:c>
      <x:c r="N1904" s="48" t="n">
        <x:v>122.35069444444446</x:v>
      </x:c>
      <x:c r="O1904" s="49" t="n">
        <x:v>2</x:v>
      </x:c>
      <x:c r="P1904" s="1" t="str">
        <x:v>支持状態内の押し再進行で参加・標準</x:v>
      </x:c>
      <x:c r="Q1904" s="49" t="n">
        <x:v>3</x:v>
      </x:c>
      <x:c r="R1904" s="50" t="n">
        <x:v>0.21214908933658935</x:v>
      </x:c>
      <x:c r="S1904" s="50" t="n">
        <x:v>0.20391782407407405</x:v>
      </x:c>
      <x:c r="T1904" s="1" t="str">
        <x:v>上昇</x:v>
      </x:c>
      <x:c r="U1904" s="49" t="n">
        <x:v>24</x:v>
      </x:c>
    </x:row>
    <x:row r="1905" ht="22" customHeight="1">
      <x:c r="A1905" s="1" t="str">
        <x:v>TOPIXmini</x:v>
      </x:c>
      <x:c r="B1905" s="1" t="str">
        <x:v>R03</x:v>
      </x:c>
      <x:c r="C1905" s="1" t="str">
        <x:v>対照47場</x:v>
      </x:c>
      <x:c r="D1905" s="47" t="n">
        <x:v>702214</x:v>
      </x:c>
      <x:c r="E1905" s="47" t="n">
        <x:v>950592</x:v>
      </x:c>
      <x:c r="F1905" s="47" t="n">
        <x:f>D1905-E1905</x:f>
        <x:v>-248378</x:v>
      </x:c>
      <x:c r="G1905" s="49" t="n">
        <x:v>4</x:v>
      </x:c>
      <x:c r="H1905" s="49" t="n">
        <x:v>18</x:v>
      </x:c>
      <x:c r="I1905" s="47" t="n">
        <x:v>-367896</x:v>
      </x:c>
      <x:c r="J1905" s="49" t="n">
        <x:v>183</x:v>
      </x:c>
      <x:c r="K1905" s="47" t="n">
        <x:v>-102158</x:v>
      </x:c>
      <x:c r="L1905" s="47" t="n">
        <x:v>21207.444444444445</x:v>
      </x:c>
      <x:c r="M1905" s="48" t="n">
        <x:v>114.63636363636364</x:v>
      </x:c>
      <x:c r="N1905" s="48" t="n">
        <x:v>135.74927536231883</x:v>
      </x:c>
      <x:c r="O1905" s="49" t="n">
        <x:v>2</x:v>
      </x:c>
      <x:c r="P1905" s="1" t="str">
        <x:v>支持状態内の押し再進行で参加・標準</x:v>
      </x:c>
      <x:c r="Q1905" s="49" t="n">
        <x:v>1</x:v>
      </x:c>
      <x:c r="R1905" s="50" t="n">
        <x:v>0.2538862345384084</x:v>
      </x:c>
      <x:c r="S1905" s="50" t="n">
        <x:v>0.22923886441507588</x:v>
      </x:c>
      <x:c r="T1905" s="1" t="str">
        <x:v>下落</x:v>
      </x:c>
      <x:c r="U1905" s="49" t="n">
        <x:v>23</x:v>
      </x:c>
    </x:row>
    <x:row r="1906" ht="22" customHeight="1">
      <x:c r="A1906" s="1" t="str">
        <x:v>TOPIXmini</x:v>
      </x:c>
      <x:c r="B1906" s="1" t="str">
        <x:v>R03</x:v>
      </x:c>
      <x:c r="C1906" s="1" t="str">
        <x:v>診断3場</x:v>
      </x:c>
      <x:c r="D1906" s="47" t="n">
        <x:v>144008</x:v>
      </x:c>
      <x:c r="E1906" s="47" t="n">
        <x:v>248150</x:v>
      </x:c>
      <x:c r="F1906" s="47" t="n">
        <x:f>D1906-E1906</x:f>
        <x:v>-104142</x:v>
      </x:c>
      <x:c r="G1906" s="49" t="n">
        <x:v>0</x:v>
      </x:c>
      <x:c r="H1906" s="49" t="n">
        <x:v>3</x:v>
      </x:c>
      <x:c r="I1906" s="47" t="n">
        <x:v>-104142</x:v>
      </x:c>
      <x:c r="J1906" s="49" t="n">
        <x:v>37</x:v>
      </x:c>
      <x:c r="K1906" s="47" t="n">
        <x:v>-59158</x:v>
      </x:c>
      <x:c r="L1906" s="47" t="n">
        <x:v>34714</x:v>
      </x:c>
      <x:c r="M1906" s="48" t="n">
        <x:v>62.63888888888889</x:v>
      </x:c>
      <x:c r="N1906" s="48" t="n">
        <x:v>178.44999999999996</x:v>
      </x:c>
      <x:c r="O1906" s="49" t="n">
        <x:v>2</x:v>
      </x:c>
      <x:c r="P1906" s="1" t="str">
        <x:v>支持状態内の押し再進行で参加・標準</x:v>
      </x:c>
      <x:c r="Q1906" s="49" t="n">
        <x:v>0</x:v>
      </x:c>
      <x:c r="R1906" s="50" t="n">
        <x:v>0.3011996336996337</x:v>
      </x:c>
      <x:c r="S1906" s="50" t="n">
        <x:v>0.27037878787878783</x:v>
      </x:c>
      <x:c r="T1906" s="1" t="str">
        <x:v>全場</x:v>
      </x:c>
      <x:c r="U1906" s="49" t="n">
        <x:v>3</x:v>
      </x:c>
    </x:row>
    <x:row r="1907" ht="22" customHeight="1">
      <x:c r="A1907" s="1" t="str">
        <x:v>TOPIXmini</x:v>
      </x:c>
      <x:c r="B1907" s="1" t="str">
        <x:v>R03</x:v>
      </x:c>
      <x:c r="C1907" s="1" t="str">
        <x:v>診断3場</x:v>
      </x:c>
      <x:c r="D1907" s="47" t="n">
        <x:v>51170</x:v>
      </x:c>
      <x:c r="E1907" s="47" t="n">
        <x:v>110328</x:v>
      </x:c>
      <x:c r="F1907" s="47" t="n">
        <x:f>D1907-E1907</x:f>
        <x:v>-59158</x:v>
      </x:c>
      <x:c r="G1907" s="49" t="n">
        <x:v>0</x:v>
      </x:c>
      <x:c r="H1907" s="49" t="n">
        <x:v>1</x:v>
      </x:c>
      <x:c r="I1907" s="47" t="n">
        <x:v>-59158</x:v>
      </x:c>
      <x:c r="J1907" s="49" t="n">
        <x:v>13</x:v>
      </x:c>
      <x:c r="K1907" s="47" t="n">
        <x:v>-59158</x:v>
      </x:c>
      <x:c r="L1907" s="47" t="n">
        <x:v>59158</x:v>
      </x:c>
      <x:c r="M1907" s="48" t="n">
        <x:v>23.883333333333333</x:v>
      </x:c>
      <x:c r="N1907" s="48" t="n">
        <x:v>197.7</x:v>
      </x:c>
      <x:c r="O1907" s="49" t="n">
        <x:v>2</x:v>
      </x:c>
      <x:c r="P1907" s="1" t="str">
        <x:v>支持状態内の押し再進行で参加・標準</x:v>
      </x:c>
      <x:c r="Q1907" s="49" t="n">
        <x:v>0</x:v>
      </x:c>
      <x:c r="R1907" s="50" t="n">
        <x:v>0.4707142857142857</x:v>
      </x:c>
      <x:c r="S1907" s="50" t="n">
        <x:v>0.4707142857142857</x:v>
      </x:c>
      <x:c r="T1907" s="1" t="str">
        <x:v>デイ</x:v>
      </x:c>
      <x:c r="U1907" s="49" t="n">
        <x:v>1</x:v>
      </x:c>
    </x:row>
    <x:row r="1908" ht="22" customHeight="1">
      <x:c r="A1908" s="1" t="str">
        <x:v>TOPIXmini</x:v>
      </x:c>
      <x:c r="B1908" s="1" t="str">
        <x:v>R03</x:v>
      </x:c>
      <x:c r="C1908" s="1" t="str">
        <x:v>診断3場</x:v>
      </x:c>
      <x:c r="D1908" s="47" t="n">
        <x:v>92838</x:v>
      </x:c>
      <x:c r="E1908" s="47" t="n">
        <x:v>137822</x:v>
      </x:c>
      <x:c r="F1908" s="47" t="n">
        <x:f>D1908-E1908</x:f>
        <x:v>-44984</x:v>
      </x:c>
      <x:c r="G1908" s="49" t="n">
        <x:v>0</x:v>
      </x:c>
      <x:c r="H1908" s="49" t="n">
        <x:v>2</x:v>
      </x:c>
      <x:c r="I1908" s="47" t="n">
        <x:v>-44984</x:v>
      </x:c>
      <x:c r="J1908" s="49" t="n">
        <x:v>24</x:v>
      </x:c>
      <x:c r="K1908" s="47" t="n">
        <x:v>-43158</x:v>
      </x:c>
      <x:c r="L1908" s="47" t="n">
        <x:v>22492</x:v>
      </x:c>
      <x:c r="M1908" s="48" t="n">
        <x:v>82.01666666666668</x:v>
      </x:c>
      <x:c r="N1908" s="48" t="n">
        <x:v>168.825</x:v>
      </x:c>
      <x:c r="O1908" s="49" t="n">
        <x:v>2</x:v>
      </x:c>
      <x:c r="P1908" s="1" t="str">
        <x:v>支持状態内の押し再進行で参加・標準</x:v>
      </x:c>
      <x:c r="Q1908" s="49" t="n">
        <x:v>0</x:v>
      </x:c>
      <x:c r="R1908" s="50" t="n">
        <x:v>0.21644230769230768</x:v>
      </x:c>
      <x:c r="S1908" s="50" t="n">
        <x:v>0.21644230769230768</x:v>
      </x:c>
      <x:c r="T1908" s="1" t="str">
        <x:v>ナイト</x:v>
      </x:c>
      <x:c r="U1908" s="49" t="n">
        <x:v>2</x:v>
      </x:c>
    </x:row>
    <x:row r="1909" ht="22" customHeight="1">
      <x:c r="A1909" s="1" t="str">
        <x:v>TOPIXmini</x:v>
      </x:c>
      <x:c r="B1909" s="1" t="str">
        <x:v>R03</x:v>
      </x:c>
      <x:c r="C1909" s="1" t="str">
        <x:v>診断3場</x:v>
      </x:c>
      <x:c r="D1909" s="47" t="n">
        <x:v>50336</x:v>
      </x:c>
      <x:c r="E1909" s="47" t="n">
        <x:v>52162</x:v>
      </x:c>
      <x:c r="F1909" s="47" t="n">
        <x:f>D1909-E1909</x:f>
        <x:v>-1826</x:v>
      </x:c>
      <x:c r="G1909" s="49" t="n">
        <x:v>0</x:v>
      </x:c>
      <x:c r="H1909" s="49" t="n">
        <x:v>1</x:v>
      </x:c>
      <x:c r="I1909" s="47" t="n">
        <x:v>-1826</x:v>
      </x:c>
      <x:c r="J1909" s="49" t="n">
        <x:v>11</x:v>
      </x:c>
      <x:c r="K1909" s="47" t="n">
        <x:v>-1826</x:v>
      </x:c>
      <x:c r="L1909" s="47" t="n">
        <x:v>1826</x:v>
      </x:c>
      <x:c r="M1909" s="48" t="n">
        <x:v>88.13333333333334</x:v>
      </x:c>
      <x:c r="N1909" s="48" t="n">
        <x:v>185.41666666666666</x:v>
      </x:c>
      <x:c r="O1909" s="49" t="n">
        <x:v>2</x:v>
      </x:c>
      <x:c r="P1909" s="1" t="str">
        <x:v>支持状態内の押し再進行で参加・標準</x:v>
      </x:c>
      <x:c r="Q1909" s="49" t="n">
        <x:v>0</x:v>
      </x:c>
      <x:c r="R1909" s="50" t="n">
        <x:v>0.2377136752136752</x:v>
      </x:c>
      <x:c r="S1909" s="50" t="n">
        <x:v>0.2377136752136752</x:v>
      </x:c>
      <x:c r="T1909" s="1" t="str">
        <x:v>上昇</x:v>
      </x:c>
      <x:c r="U1909" s="49" t="n">
        <x:v>1</x:v>
      </x:c>
    </x:row>
    <x:row r="1910" ht="22" customHeight="1">
      <x:c r="A1910" s="1" t="str">
        <x:v>TOPIXmini</x:v>
      </x:c>
      <x:c r="B1910" s="1" t="str">
        <x:v>R03</x:v>
      </x:c>
      <x:c r="C1910" s="1" t="str">
        <x:v>診断3場</x:v>
      </x:c>
      <x:c r="D1910" s="47" t="n">
        <x:v>93672</x:v>
      </x:c>
      <x:c r="E1910" s="47" t="n">
        <x:v>195988</x:v>
      </x:c>
      <x:c r="F1910" s="47" t="n">
        <x:f>D1910-E1910</x:f>
        <x:v>-102316</x:v>
      </x:c>
      <x:c r="G1910" s="49" t="n">
        <x:v>0</x:v>
      </x:c>
      <x:c r="H1910" s="49" t="n">
        <x:v>2</x:v>
      </x:c>
      <x:c r="I1910" s="47" t="n">
        <x:v>-102316</x:v>
      </x:c>
      <x:c r="J1910" s="49" t="n">
        <x:v>26</x:v>
      </x:c>
      <x:c r="K1910" s="47" t="n">
        <x:v>-59158</x:v>
      </x:c>
      <x:c r="L1910" s="47" t="n">
        <x:v>51158</x:v>
      </x:c>
      <x:c r="M1910" s="48" t="n">
        <x:v>49.891666666666666</x:v>
      </x:c>
      <x:c r="N1910" s="48" t="n">
        <x:v>174.96666666666664</x:v>
      </x:c>
      <x:c r="O1910" s="49" t="n">
        <x:v>2</x:v>
      </x:c>
      <x:c r="P1910" s="1" t="str">
        <x:v>支持状態内の押し再進行で参加・標準</x:v>
      </x:c>
      <x:c r="Q1910" s="49" t="n">
        <x:v>0</x:v>
      </x:c>
      <x:c r="R1910" s="50" t="n">
        <x:v>0.33294261294261296</x:v>
      </x:c>
      <x:c r="S1910" s="50" t="n">
        <x:v>0.29161111111111104</x:v>
      </x:c>
      <x:c r="T1910" s="1" t="str">
        <x:v>下落</x:v>
      </x:c>
      <x:c r="U1910" s="49" t="n">
        <x:v>2</x:v>
      </x:c>
    </x:row>
    <x:row r="1911" ht="22" customHeight="1">
      <x:c r="A1911" s="1" t="str">
        <x:v>TOPIXmini</x:v>
      </x:c>
      <x:c r="B1911" s="1" t="str">
        <x:v>R04</x:v>
      </x:c>
      <x:c r="C1911" s="1" t="str">
        <x:v>全50場</x:v>
      </x:c>
      <x:c r="D1911" s="47" t="n">
        <x:v>1288404</x:v>
      </x:c>
      <x:c r="E1911" s="47" t="n">
        <x:v>1918524</x:v>
      </x:c>
      <x:c r="F1911" s="47" t="n">
        <x:f>D1911-E1911</x:f>
        <x:v>-630120</x:v>
      </x:c>
      <x:c r="G1911" s="49" t="n">
        <x:v>14</x:v>
      </x:c>
      <x:c r="H1911" s="49" t="n">
        <x:v>32</x:v>
      </x:c>
      <x:c r="I1911" s="47" t="n">
        <x:v>-839630</x:v>
      </x:c>
      <x:c r="J1911" s="49" t="n">
        <x:v>320</x:v>
      </x:c>
      <x:c r="K1911" s="47" t="n">
        <x:v>-121158</x:v>
      </x:c>
      <x:c r="L1911" s="47" t="n">
        <x:v>31270.9375</x:v>
      </x:c>
      <x:c r="M1911" s="48" t="n">
        <x:v>119.23297101449272</x:v>
      </x:c>
      <x:c r="N1911" s="48" t="n">
        <x:v>172.62566666666666</x:v>
      </x:c>
      <x:c r="O1911" s="49" t="n">
        <x:v>2</x:v>
      </x:c>
      <x:c r="P1911" s="1" t="str">
        <x:v>支持状態内の押し再進行で参加・広め</x:v>
      </x:c>
      <x:c r="Q1911" s="49" t="n">
        <x:v>4</x:v>
      </x:c>
      <x:c r="R1911" s="50" t="n">
        <x:v>0.30227649572649573</x:v>
      </x:c>
      <x:c r="S1911" s="50" t="n">
        <x:v>0.2877094444444444</x:v>
      </x:c>
      <x:c r="T1911" s="1" t="str">
        <x:v>全場</x:v>
      </x:c>
      <x:c r="U1911" s="49" t="n">
        <x:v>50</x:v>
      </x:c>
    </x:row>
    <x:row r="1912" ht="22" customHeight="1">
      <x:c r="A1912" s="1" t="str">
        <x:v>TOPIXmini</x:v>
      </x:c>
      <x:c r="B1912" s="1" t="str">
        <x:v>R04</x:v>
      </x:c>
      <x:c r="C1912" s="1" t="str">
        <x:v>全50場</x:v>
      </x:c>
      <x:c r="D1912" s="47" t="n">
        <x:v>681870</x:v>
      </x:c>
      <x:c r="E1912" s="47" t="n">
        <x:v>908600</x:v>
      </x:c>
      <x:c r="F1912" s="47" t="n">
        <x:f>D1912-E1912</x:f>
        <x:v>-226730</x:v>
      </x:c>
      <x:c r="G1912" s="49" t="n">
        <x:v>5</x:v>
      </x:c>
      <x:c r="H1912" s="49" t="n">
        <x:v>17</x:v>
      </x:c>
      <x:c r="I1912" s="47" t="n">
        <x:v>-425576</x:v>
      </x:c>
      <x:c r="J1912" s="49" t="n">
        <x:v>155</x:v>
      </x:c>
      <x:c r="K1912" s="47" t="n">
        <x:v>-59660</x:v>
      </x:c>
      <x:c r="L1912" s="47" t="n">
        <x:v>26308.70588235294</x:v>
      </x:c>
      <x:c r="M1912" s="48" t="n">
        <x:v>62.29772727272728</x:v>
      </x:c>
      <x:c r="N1912" s="48" t="n">
        <x:v>147.35</x:v>
      </x:c>
      <x:c r="O1912" s="49" t="n">
        <x:v>2</x:v>
      </x:c>
      <x:c r="P1912" s="1" t="str">
        <x:v>支持状態内の押し再進行で参加・広め</x:v>
      </x:c>
      <x:c r="Q1912" s="49" t="n">
        <x:v>3</x:v>
      </x:c>
      <x:c r="R1912" s="50" t="n">
        <x:v>0.3508333333333333</x:v>
      </x:c>
      <x:c r="S1912" s="50" t="n">
        <x:v>0.35083333333333333</x:v>
      </x:c>
      <x:c r="T1912" s="1" t="str">
        <x:v>デイ</x:v>
      </x:c>
      <x:c r="U1912" s="49" t="n">
        <x:v>25</x:v>
      </x:c>
    </x:row>
    <x:row r="1913" ht="22" customHeight="1">
      <x:c r="A1913" s="1" t="str">
        <x:v>TOPIXmini</x:v>
      </x:c>
      <x:c r="B1913" s="1" t="str">
        <x:v>R04</x:v>
      </x:c>
      <x:c r="C1913" s="1" t="str">
        <x:v>全50場</x:v>
      </x:c>
      <x:c r="D1913" s="47" t="n">
        <x:v>606534</x:v>
      </x:c>
      <x:c r="E1913" s="47" t="n">
        <x:v>1009924</x:v>
      </x:c>
      <x:c r="F1913" s="47" t="n">
        <x:f>D1913-E1913</x:f>
        <x:v>-403390</x:v>
      </x:c>
      <x:c r="G1913" s="49" t="n">
        <x:v>9</x:v>
      </x:c>
      <x:c r="H1913" s="49" t="n">
        <x:v>15</x:v>
      </x:c>
      <x:c r="I1913" s="47" t="n">
        <x:v>-498904</x:v>
      </x:c>
      <x:c r="J1913" s="49" t="n">
        <x:v>165</x:v>
      </x:c>
      <x:c r="K1913" s="47" t="n">
        <x:v>-121158</x:v>
      </x:c>
      <x:c r="L1913" s="47" t="n">
        <x:v>36894.8</x:v>
      </x:c>
      <x:c r="M1913" s="48" t="n">
        <x:v>171.42361111111111</x:v>
      </x:c>
      <x:c r="N1913" s="48" t="n">
        <x:v>197.90133333333335</x:v>
      </x:c>
      <x:c r="O1913" s="49" t="n">
        <x:v>2</x:v>
      </x:c>
      <x:c r="P1913" s="1" t="str">
        <x:v>支持状態内の押し再進行で参加・広め</x:v>
      </x:c>
      <x:c r="Q1913" s="49" t="n">
        <x:v>1</x:v>
      </x:c>
      <x:c r="R1913" s="50" t="n">
        <x:v>0.25371965811965813</x:v>
      </x:c>
      <x:c r="S1913" s="50" t="n">
        <x:v>0.25371965811965813</x:v>
      </x:c>
      <x:c r="T1913" s="1" t="str">
        <x:v>ナイト</x:v>
      </x:c>
      <x:c r="U1913" s="49" t="n">
        <x:v>25</x:v>
      </x:c>
    </x:row>
    <x:row r="1914" ht="22" customHeight="1">
      <x:c r="A1914" s="1" t="str">
        <x:v>TOPIXmini</x:v>
      </x:c>
      <x:c r="B1914" s="1" t="str">
        <x:v>R04</x:v>
      </x:c>
      <x:c r="C1914" s="1" t="str">
        <x:v>全50場</x:v>
      </x:c>
      <x:c r="D1914" s="47" t="n">
        <x:v>523360</x:v>
      </x:c>
      <x:c r="E1914" s="47" t="n">
        <x:v>921928</x:v>
      </x:c>
      <x:c r="F1914" s="47" t="n">
        <x:f>D1914-E1914</x:f>
        <x:v>-398568</x:v>
      </x:c>
      <x:c r="G1914" s="49" t="n">
        <x:v>6</x:v>
      </x:c>
      <x:c r="H1914" s="49" t="n">
        <x:v>16</x:v>
      </x:c>
      <x:c r="I1914" s="47" t="n">
        <x:v>-484746</x:v>
      </x:c>
      <x:c r="J1914" s="49" t="n">
        <x:v>148</x:v>
      </x:c>
      <x:c r="K1914" s="47" t="n">
        <x:v>-90324</x:v>
      </x:c>
      <x:c r="L1914" s="47" t="n">
        <x:v>32286.75</x:v>
      </x:c>
      <x:c r="M1914" s="48" t="n">
        <x:v>130.13333333333333</x:v>
      </x:c>
      <x:c r="N1914" s="48" t="n">
        <x:v>160.18800000000002</x:v>
      </x:c>
      <x:c r="O1914" s="49" t="n">
        <x:v>2</x:v>
      </x:c>
      <x:c r="P1914" s="1" t="str">
        <x:v>支持状態内の押し再進行で参加・広め</x:v>
      </x:c>
      <x:c r="Q1914" s="49" t="n">
        <x:v>3</x:v>
      </x:c>
      <x:c r="R1914" s="50" t="n">
        <x:v>0.27054871794871793</x:v>
      </x:c>
      <x:c r="S1914" s="50" t="n">
        <x:v>0.2638142292490118</x:v>
      </x:c>
      <x:c r="T1914" s="1" t="str">
        <x:v>上昇</x:v>
      </x:c>
      <x:c r="U1914" s="49" t="n">
        <x:v>25</x:v>
      </x:c>
    </x:row>
    <x:row r="1915" ht="22" customHeight="1">
      <x:c r="A1915" s="1" t="str">
        <x:v>TOPIXmini</x:v>
      </x:c>
      <x:c r="B1915" s="1" t="str">
        <x:v>R04</x:v>
      </x:c>
      <x:c r="C1915" s="1" t="str">
        <x:v>全50場</x:v>
      </x:c>
      <x:c r="D1915" s="47" t="n">
        <x:v>765044</x:v>
      </x:c>
      <x:c r="E1915" s="47" t="n">
        <x:v>996596</x:v>
      </x:c>
      <x:c r="F1915" s="47" t="n">
        <x:f>D1915-E1915</x:f>
        <x:v>-231552</x:v>
      </x:c>
      <x:c r="G1915" s="49" t="n">
        <x:v>8</x:v>
      </x:c>
      <x:c r="H1915" s="49" t="n">
        <x:v>16</x:v>
      </x:c>
      <x:c r="I1915" s="47" t="n">
        <x:v>-430398</x:v>
      </x:c>
      <x:c r="J1915" s="49" t="n">
        <x:v>172</x:v>
      </x:c>
      <x:c r="K1915" s="47" t="n">
        <x:v>-121158</x:v>
      </x:c>
      <x:c r="L1915" s="47" t="n">
        <x:v>30255.125</x:v>
      </x:c>
      <x:c r="M1915" s="48" t="n">
        <x:v>109.24097222222223</x:v>
      </x:c>
      <x:c r="N1915" s="48" t="n">
        <x:v>185.06333333333336</x:v>
      </x:c>
      <x:c r="O1915" s="49" t="n">
        <x:v>2</x:v>
      </x:c>
      <x:c r="P1915" s="1" t="str">
        <x:v>支持状態内の押し再進行で参加・広め</x:v>
      </x:c>
      <x:c r="Q1915" s="49" t="n">
        <x:v>1</x:v>
      </x:c>
      <x:c r="R1915" s="50" t="n">
        <x:v>0.3340042735042735</x:v>
      </x:c>
      <x:c r="S1915" s="50" t="n">
        <x:v>0.312185110211426</x:v>
      </x:c>
      <x:c r="T1915" s="1" t="str">
        <x:v>下落</x:v>
      </x:c>
      <x:c r="U1915" s="49" t="n">
        <x:v>25</x:v>
      </x:c>
    </x:row>
    <x:row r="1916" ht="22" customHeight="1">
      <x:c r="A1916" s="1" t="str">
        <x:v>TOPIXmini</x:v>
      </x:c>
      <x:c r="B1916" s="1" t="str">
        <x:v>R04</x:v>
      </x:c>
      <x:c r="C1916" s="1" t="str">
        <x:v>対照47場</x:v>
      </x:c>
      <x:c r="D1916" s="47" t="n">
        <x:v>1185064</x:v>
      </x:c>
      <x:c r="E1916" s="47" t="n">
        <x:v>1689872</x:v>
      </x:c>
      <x:c r="F1916" s="47" t="n">
        <x:f>D1916-E1916</x:f>
        <x:v>-504808</x:v>
      </x:c>
      <x:c r="G1916" s="49" t="n">
        <x:v>14</x:v>
      </x:c>
      <x:c r="H1916" s="49" t="n">
        <x:v>29</x:v>
      </x:c>
      <x:c r="I1916" s="47" t="n">
        <x:v>-714318</x:v>
      </x:c>
      <x:c r="J1916" s="49" t="n">
        <x:v>288</x:v>
      </x:c>
      <x:c r="K1916" s="47" t="n">
        <x:v>-121158</x:v>
      </x:c>
      <x:c r="L1916" s="47" t="n">
        <x:v>30184.758620689656</x:v>
      </x:c>
      <x:c r="M1916" s="48" t="n">
        <x:v>123.1813953488372</x:v>
      </x:c>
      <x:c r="N1916" s="48" t="n">
        <x:v>168.46453900709218</x:v>
      </x:c>
      <x:c r="O1916" s="49" t="n">
        <x:v>2</x:v>
      </x:c>
      <x:c r="P1916" s="1" t="str">
        <x:v>支持状態内の押し再進行で参加・広め</x:v>
      </x:c>
      <x:c r="Q1916" s="49" t="n">
        <x:v>4</x:v>
      </x:c>
      <x:c r="R1916" s="50" t="n">
        <x:v>0.29648910191463385</x:v>
      </x:c>
      <x:c r="S1916" s="50" t="n">
        <x:v>0.28257792053295266</x:v>
      </x:c>
      <x:c r="T1916" s="1" t="str">
        <x:v>全場</x:v>
      </x:c>
      <x:c r="U1916" s="49" t="n">
        <x:v>47</x:v>
      </x:c>
    </x:row>
    <x:row r="1917" ht="22" customHeight="1">
      <x:c r="A1917" s="1" t="str">
        <x:v>TOPIXmini</x:v>
      </x:c>
      <x:c r="B1917" s="1" t="str">
        <x:v>R04</x:v>
      </x:c>
      <x:c r="C1917" s="1" t="str">
        <x:v>対照47場</x:v>
      </x:c>
      <x:c r="D1917" s="47" t="n">
        <x:v>642700</x:v>
      </x:c>
      <x:c r="E1917" s="47" t="n">
        <x:v>819604</x:v>
      </x:c>
      <x:c r="F1917" s="47" t="n">
        <x:f>D1917-E1917</x:f>
        <x:v>-176904</x:v>
      </x:c>
      <x:c r="G1917" s="49" t="n">
        <x:v>5</x:v>
      </x:c>
      <x:c r="H1917" s="49" t="n">
        <x:v>16</x:v>
      </x:c>
      <x:c r="I1917" s="47" t="n">
        <x:v>-375750</x:v>
      </x:c>
      <x:c r="J1917" s="49" t="n">
        <x:v>144</x:v>
      </x:c>
      <x:c r="K1917" s="47" t="n">
        <x:v>-59660</x:v>
      </x:c>
      <x:c r="L1917" s="47" t="n">
        <x:v>24838.875</x:v>
      </x:c>
      <x:c r="M1917" s="48" t="n">
        <x:v>64.12698412698413</x:v>
      </x:c>
      <x:c r="N1917" s="48" t="n">
        <x:v>143.47361111111113</x:v>
      </x:c>
      <x:c r="O1917" s="49" t="n">
        <x:v>2</x:v>
      </x:c>
      <x:c r="P1917" s="1" t="str">
        <x:v>支持状態内の押し再進行で参加・広め</x:v>
      </x:c>
      <x:c r="Q1917" s="49" t="n">
        <x:v>3</x:v>
      </x:c>
      <x:c r="R1917" s="50" t="n">
        <x:v>0.341603835978836</x:v>
      </x:c>
      <x:c r="S1917" s="50" t="n">
        <x:v>0.341603835978836</x:v>
      </x:c>
      <x:c r="T1917" s="1" t="str">
        <x:v>デイ</x:v>
      </x:c>
      <x:c r="U1917" s="49" t="n">
        <x:v>24</x:v>
      </x:c>
    </x:row>
    <x:row r="1918" ht="22" customHeight="1">
      <x:c r="A1918" s="1" t="str">
        <x:v>TOPIXmini</x:v>
      </x:c>
      <x:c r="B1918" s="1" t="str">
        <x:v>R04</x:v>
      </x:c>
      <x:c r="C1918" s="1" t="str">
        <x:v>対照47場</x:v>
      </x:c>
      <x:c r="D1918" s="47" t="n">
        <x:v>542364</x:v>
      </x:c>
      <x:c r="E1918" s="47" t="n">
        <x:v>870268</x:v>
      </x:c>
      <x:c r="F1918" s="47" t="n">
        <x:f>D1918-E1918</x:f>
        <x:v>-327904</x:v>
      </x:c>
      <x:c r="G1918" s="49" t="n">
        <x:v>9</x:v>
      </x:c>
      <x:c r="H1918" s="49" t="n">
        <x:v>13</x:v>
      </x:c>
      <x:c r="I1918" s="47" t="n">
        <x:v>-423418</x:v>
      </x:c>
      <x:c r="J1918" s="49" t="n">
        <x:v>144</x:v>
      </x:c>
      <x:c r="K1918" s="47" t="n">
        <x:v>-121158</x:v>
      </x:c>
      <x:c r="L1918" s="47" t="n">
        <x:v>36764.307692307695</x:v>
      </x:c>
      <x:c r="M1918" s="48" t="n">
        <x:v>179.55151515151513</x:v>
      </x:c>
      <x:c r="N1918" s="48" t="n">
        <x:v>194.54202898550722</x:v>
      </x:c>
      <x:c r="O1918" s="49" t="n">
        <x:v>2</x:v>
      </x:c>
      <x:c r="P1918" s="1" t="str">
        <x:v>支持状態内の押し再進行で参加・広め</x:v>
      </x:c>
      <x:c r="Q1918" s="49" t="n">
        <x:v>1</x:v>
      </x:c>
      <x:c r="R1918" s="50" t="n">
        <x:v>0.24941285767372723</x:v>
      </x:c>
      <x:c r="S1918" s="50" t="n">
        <x:v>0.24941285767372723</x:v>
      </x:c>
      <x:c r="T1918" s="1" t="str">
        <x:v>ナイト</x:v>
      </x:c>
      <x:c r="U1918" s="49" t="n">
        <x:v>23</x:v>
      </x:c>
    </x:row>
    <x:row r="1919" ht="22" customHeight="1">
      <x:c r="A1919" s="1" t="str">
        <x:v>TOPIXmini</x:v>
      </x:c>
      <x:c r="B1919" s="1" t="str">
        <x:v>R04</x:v>
      </x:c>
      <x:c r="C1919" s="1" t="str">
        <x:v>対照47場</x:v>
      </x:c>
      <x:c r="D1919" s="47" t="n">
        <x:v>484858</x:v>
      </x:c>
      <x:c r="E1919" s="47" t="n">
        <x:v>877766</x:v>
      </x:c>
      <x:c r="F1919" s="47" t="n">
        <x:f>D1919-E1919</x:f>
        <x:v>-392908</x:v>
      </x:c>
      <x:c r="G1919" s="49" t="n">
        <x:v>6</x:v>
      </x:c>
      <x:c r="H1919" s="49" t="n">
        <x:v>15</x:v>
      </x:c>
      <x:c r="I1919" s="47" t="n">
        <x:v>-479086</x:v>
      </x:c>
      <x:c r="J1919" s="49" t="n">
        <x:v>138</x:v>
      </x:c>
      <x:c r="K1919" s="47" t="n">
        <x:v>-90324</x:v>
      </x:c>
      <x:c r="L1919" s="47" t="n">
        <x:v>34061.86666666667</x:v>
      </x:c>
      <x:c r="M1919" s="48" t="n">
        <x:v>132.13333333333335</x:v>
      </x:c>
      <x:c r="N1919" s="48" t="n">
        <x:v>155.58958333333334</x:v>
      </x:c>
      <x:c r="O1919" s="49" t="n">
        <x:v>2</x:v>
      </x:c>
      <x:c r="P1919" s="1" t="str">
        <x:v>支持状態内の押し再進行で参加・広め</x:v>
      </x:c>
      <x:c r="Q1919" s="49" t="n">
        <x:v>3</x:v>
      </x:c>
      <x:c r="R1919" s="50" t="n">
        <x:v>0.26736912393162393</x:v>
      </x:c>
      <x:c r="S1919" s="50" t="n">
        <x:v>0.25931597222222225</x:v>
      </x:c>
      <x:c r="T1919" s="1" t="str">
        <x:v>上昇</x:v>
      </x:c>
      <x:c r="U1919" s="49" t="n">
        <x:v>24</x:v>
      </x:c>
    </x:row>
    <x:row r="1920" ht="22" customHeight="1">
      <x:c r="A1920" s="1" t="str">
        <x:v>TOPIXmini</x:v>
      </x:c>
      <x:c r="B1920" s="1" t="str">
        <x:v>R04</x:v>
      </x:c>
      <x:c r="C1920" s="1" t="str">
        <x:v>対照47場</x:v>
      </x:c>
      <x:c r="D1920" s="47" t="n">
        <x:v>700206</x:v>
      </x:c>
      <x:c r="E1920" s="47" t="n">
        <x:v>812106</x:v>
      </x:c>
      <x:c r="F1920" s="47" t="n">
        <x:f>D1920-E1920</x:f>
        <x:v>-111900</x:v>
      </x:c>
      <x:c r="G1920" s="49" t="n">
        <x:v>8</x:v>
      </x:c>
      <x:c r="H1920" s="49" t="n">
        <x:v>14</x:v>
      </x:c>
      <x:c r="I1920" s="47" t="n">
        <x:v>-310746</x:v>
      </x:c>
      <x:c r="J1920" s="49" t="n">
        <x:v>150</x:v>
      </x:c>
      <x:c r="K1920" s="47" t="n">
        <x:v>-121158</x:v>
      </x:c>
      <x:c r="L1920" s="47" t="n">
        <x:v>26030.714285714286</x:v>
      </x:c>
      <x:c r="M1920" s="48" t="n">
        <x:v>114.63636363636364</x:v>
      </x:c>
      <x:c r="N1920" s="48" t="n">
        <x:v>181.89927536231883</x:v>
      </x:c>
      <x:c r="O1920" s="49" t="n">
        <x:v>2</x:v>
      </x:c>
      <x:c r="P1920" s="1" t="str">
        <x:v>支持状態内の押し再進行で参加・広め</x:v>
      </x:c>
      <x:c r="Q1920" s="49" t="n">
        <x:v>1</x:v>
      </x:c>
      <x:c r="R1920" s="50" t="n">
        <x:v>0.3268751658969051</x:v>
      </x:c>
      <x:c r="S1920" s="50" t="n">
        <x:v>0.30717205090553107</x:v>
      </x:c>
      <x:c r="T1920" s="1" t="str">
        <x:v>下落</x:v>
      </x:c>
      <x:c r="U1920" s="49" t="n">
        <x:v>23</x:v>
      </x:c>
    </x:row>
    <x:row r="1921" ht="22" customHeight="1">
      <x:c r="A1921" s="1" t="str">
        <x:v>TOPIXmini</x:v>
      </x:c>
      <x:c r="B1921" s="1" t="str">
        <x:v>R04</x:v>
      </x:c>
      <x:c r="C1921" s="1" t="str">
        <x:v>診断3場</x:v>
      </x:c>
      <x:c r="D1921" s="47" t="n">
        <x:v>103340</x:v>
      </x:c>
      <x:c r="E1921" s="47" t="n">
        <x:v>228652</x:v>
      </x:c>
      <x:c r="F1921" s="47" t="n">
        <x:f>D1921-E1921</x:f>
        <x:v>-125312</x:v>
      </x:c>
      <x:c r="G1921" s="49" t="n">
        <x:v>0</x:v>
      </x:c>
      <x:c r="H1921" s="49" t="n">
        <x:v>3</x:v>
      </x:c>
      <x:c r="I1921" s="47" t="n">
        <x:v>-125312</x:v>
      </x:c>
      <x:c r="J1921" s="49" t="n">
        <x:v>32</x:v>
      </x:c>
      <x:c r="K1921" s="47" t="n">
        <x:v>-69826</x:v>
      </x:c>
      <x:c r="L1921" s="47" t="n">
        <x:v>41770.666666666664</x:v>
      </x:c>
      <x:c r="M1921" s="48" t="n">
        <x:v>62.63888888888889</x:v>
      </x:c>
      <x:c r="N1921" s="48" t="n">
        <x:v>237.8166666666667</x:v>
      </x:c>
      <x:c r="O1921" s="49" t="n">
        <x:v>2</x:v>
      </x:c>
      <x:c r="P1921" s="1" t="str">
        <x:v>支持状態内の押し再進行で参加・広め</x:v>
      </x:c>
      <x:c r="Q1921" s="49" t="n">
        <x:v>0</x:v>
      </x:c>
      <x:c r="R1921" s="50" t="n">
        <x:v>0.3929456654456654</x:v>
      </x:c>
      <x:c r="S1921" s="50" t="n">
        <x:v>0.36032828282828283</x:v>
      </x:c>
      <x:c r="T1921" s="1" t="str">
        <x:v>全場</x:v>
      </x:c>
      <x:c r="U1921" s="49" t="n">
        <x:v>3</x:v>
      </x:c>
    </x:row>
    <x:row r="1922" ht="22" customHeight="1">
      <x:c r="A1922" s="1" t="str">
        <x:v>TOPIXmini</x:v>
      </x:c>
      <x:c r="B1922" s="1" t="str">
        <x:v>R04</x:v>
      </x:c>
      <x:c r="C1922" s="1" t="str">
        <x:v>診断3場</x:v>
      </x:c>
      <x:c r="D1922" s="47" t="n">
        <x:v>39170</x:v>
      </x:c>
      <x:c r="E1922" s="47" t="n">
        <x:v>88996</x:v>
      </x:c>
      <x:c r="F1922" s="47" t="n">
        <x:f>D1922-E1922</x:f>
        <x:v>-49826</x:v>
      </x:c>
      <x:c r="G1922" s="49" t="n">
        <x:v>0</x:v>
      </x:c>
      <x:c r="H1922" s="49" t="n">
        <x:v>1</x:v>
      </x:c>
      <x:c r="I1922" s="47" t="n">
        <x:v>-49826</x:v>
      </x:c>
      <x:c r="J1922" s="49" t="n">
        <x:v>11</x:v>
      </x:c>
      <x:c r="K1922" s="47" t="n">
        <x:v>-49826</x:v>
      </x:c>
      <x:c r="L1922" s="47" t="n">
        <x:v>49826</x:v>
      </x:c>
      <x:c r="M1922" s="48" t="n">
        <x:v>23.883333333333333</x:v>
      </x:c>
      <x:c r="N1922" s="48" t="n">
        <x:v>240.38333333333333</x:v>
      </x:c>
      <x:c r="O1922" s="49" t="n">
        <x:v>2</x:v>
      </x:c>
      <x:c r="P1922" s="1" t="str">
        <x:v>支持状態内の押し再進行で参加・広め</x:v>
      </x:c>
      <x:c r="Q1922" s="49" t="n">
        <x:v>0</x:v>
      </x:c>
      <x:c r="R1922" s="50" t="n">
        <x:v>0.5723412698412699</x:v>
      </x:c>
      <x:c r="S1922" s="50" t="n">
        <x:v>0.5723412698412699</x:v>
      </x:c>
      <x:c r="T1922" s="1" t="str">
        <x:v>デイ</x:v>
      </x:c>
      <x:c r="U1922" s="49" t="n">
        <x:v>1</x:v>
      </x:c>
    </x:row>
    <x:row r="1923" ht="22" customHeight="1">
      <x:c r="A1923" s="1" t="str">
        <x:v>TOPIXmini</x:v>
      </x:c>
      <x:c r="B1923" s="1" t="str">
        <x:v>R04</x:v>
      </x:c>
      <x:c r="C1923" s="1" t="str">
        <x:v>診断3場</x:v>
      </x:c>
      <x:c r="D1923" s="47" t="n">
        <x:v>64170</x:v>
      </x:c>
      <x:c r="E1923" s="47" t="n">
        <x:v>139656</x:v>
      </x:c>
      <x:c r="F1923" s="47" t="n">
        <x:f>D1923-E1923</x:f>
        <x:v>-75486</x:v>
      </x:c>
      <x:c r="G1923" s="49" t="n">
        <x:v>0</x:v>
      </x:c>
      <x:c r="H1923" s="49" t="n">
        <x:v>2</x:v>
      </x:c>
      <x:c r="I1923" s="47" t="n">
        <x:v>-75486</x:v>
      </x:c>
      <x:c r="J1923" s="49" t="n">
        <x:v>21</x:v>
      </x:c>
      <x:c r="K1923" s="47" t="n">
        <x:v>-69826</x:v>
      </x:c>
      <x:c r="L1923" s="47" t="n">
        <x:v>37743</x:v>
      </x:c>
      <x:c r="M1923" s="48" t="n">
        <x:v>82.01666666666668</x:v>
      </x:c>
      <x:c r="N1923" s="48" t="n">
        <x:v>236.53333333333336</x:v>
      </x:c>
      <x:c r="O1923" s="49" t="n">
        <x:v>2</x:v>
      </x:c>
      <x:c r="P1923" s="1" t="str">
        <x:v>支持状態内の押し再進行で参加・広め</x:v>
      </x:c>
      <x:c r="Q1923" s="49" t="n">
        <x:v>0</x:v>
      </x:c>
      <x:c r="R1923" s="50" t="n">
        <x:v>0.30324786324786324</x:v>
      </x:c>
      <x:c r="S1923" s="50" t="n">
        <x:v>0.3032478632478633</x:v>
      </x:c>
      <x:c r="T1923" s="1" t="str">
        <x:v>ナイト</x:v>
      </x:c>
      <x:c r="U1923" s="49" t="n">
        <x:v>2</x:v>
      </x:c>
    </x:row>
    <x:row r="1924" ht="22" customHeight="1">
      <x:c r="A1924" s="1" t="str">
        <x:v>TOPIXmini</x:v>
      </x:c>
      <x:c r="B1924" s="1" t="str">
        <x:v>R04</x:v>
      </x:c>
      <x:c r="C1924" s="1" t="str">
        <x:v>診断3場</x:v>
      </x:c>
      <x:c r="D1924" s="47" t="n">
        <x:v>38502</x:v>
      </x:c>
      <x:c r="E1924" s="47" t="n">
        <x:v>44162</x:v>
      </x:c>
      <x:c r="F1924" s="47" t="n">
        <x:f>D1924-E1924</x:f>
        <x:v>-5660</x:v>
      </x:c>
      <x:c r="G1924" s="49" t="n">
        <x:v>0</x:v>
      </x:c>
      <x:c r="H1924" s="49" t="n">
        <x:v>1</x:v>
      </x:c>
      <x:c r="I1924" s="47" t="n">
        <x:v>-5660</x:v>
      </x:c>
      <x:c r="J1924" s="49" t="n">
        <x:v>10</x:v>
      </x:c>
      <x:c r="K1924" s="47" t="n">
        <x:v>-5660</x:v>
      </x:c>
      <x:c r="L1924" s="47" t="n">
        <x:v>5660</x:v>
      </x:c>
      <x:c r="M1924" s="48" t="n">
        <x:v>88.13333333333334</x:v>
      </x:c>
      <x:c r="N1924" s="48" t="n">
        <x:v>270.55</x:v>
      </x:c>
      <x:c r="O1924" s="49" t="n">
        <x:v>2</x:v>
      </x:c>
      <x:c r="P1924" s="1" t="str">
        <x:v>支持状態内の押し再進行で参加・広め</x:v>
      </x:c>
      <x:c r="Q1924" s="49" t="n">
        <x:v>0</x:v>
      </x:c>
      <x:c r="R1924" s="50" t="n">
        <x:v>0.34685897435897434</x:v>
      </x:c>
      <x:c r="S1924" s="50" t="n">
        <x:v>0.3468589743589744</x:v>
      </x:c>
      <x:c r="T1924" s="1" t="str">
        <x:v>上昇</x:v>
      </x:c>
      <x:c r="U1924" s="49" t="n">
        <x:v>1</x:v>
      </x:c>
    </x:row>
    <x:row r="1925" ht="22" customHeight="1">
      <x:c r="A1925" s="1" t="str">
        <x:v>TOPIXmini</x:v>
      </x:c>
      <x:c r="B1925" s="1" t="str">
        <x:v>R04</x:v>
      </x:c>
      <x:c r="C1925" s="1" t="str">
        <x:v>診断3場</x:v>
      </x:c>
      <x:c r="D1925" s="47" t="n">
        <x:v>64838</x:v>
      </x:c>
      <x:c r="E1925" s="47" t="n">
        <x:v>184490</x:v>
      </x:c>
      <x:c r="F1925" s="47" t="n">
        <x:f>D1925-E1925</x:f>
        <x:v>-119652</x:v>
      </x:c>
      <x:c r="G1925" s="49" t="n">
        <x:v>0</x:v>
      </x:c>
      <x:c r="H1925" s="49" t="n">
        <x:v>2</x:v>
      </x:c>
      <x:c r="I1925" s="47" t="n">
        <x:v>-119652</x:v>
      </x:c>
      <x:c r="J1925" s="49" t="n">
        <x:v>22</x:v>
      </x:c>
      <x:c r="K1925" s="47" t="n">
        <x:v>-69826</x:v>
      </x:c>
      <x:c r="L1925" s="47" t="n">
        <x:v>59826</x:v>
      </x:c>
      <x:c r="M1925" s="48" t="n">
        <x:v>49.891666666666666</x:v>
      </x:c>
      <x:c r="N1925" s="48" t="n">
        <x:v>221.45</x:v>
      </x:c>
      <x:c r="O1925" s="49" t="n">
        <x:v>2</x:v>
      </x:c>
      <x:c r="P1925" s="1" t="str">
        <x:v>支持状態内の押し再進行で参加・広め</x:v>
      </x:c>
      <x:c r="Q1925" s="49" t="n">
        <x:v>0</x:v>
      </x:c>
      <x:c r="R1925" s="50" t="n">
        <x:v>0.415989010989011</x:v>
      </x:c>
      <x:c r="S1925" s="50" t="n">
        <x:v>0.3690833333333333</x:v>
      </x:c>
      <x:c r="T1925" s="1" t="str">
        <x:v>下落</x:v>
      </x:c>
      <x:c r="U1925" s="49" t="n">
        <x:v>2</x:v>
      </x:c>
    </x:row>
    <x:row r="1926" ht="22" customHeight="1">
      <x:c r="A1926" s="1" t="str">
        <x:v>TOPIXmini</x:v>
      </x:c>
      <x:c r="B1926" s="1" t="str">
        <x:v>R05</x:v>
      </x:c>
      <x:c r="C1926" s="1" t="str">
        <x:v>全50場</x:v>
      </x:c>
      <x:c r="D1926" s="47" t="n">
        <x:v>2541334</x:v>
      </x:c>
      <x:c r="E1926" s="47" t="n">
        <x:v>3872826</x:v>
      </x:c>
      <x:c r="F1926" s="47" t="n">
        <x:f>D1926-E1926</x:f>
        <x:v>-1331492</x:v>
      </x:c>
      <x:c r="G1926" s="49" t="n">
        <x:v>11</x:v>
      </x:c>
      <x:c r="H1926" s="49" t="n">
        <x:v>39</x:v>
      </x:c>
      <x:c r="I1926" s="47" t="n">
        <x:v>-1526698</x:v>
      </x:c>
      <x:c r="J1926" s="49" t="n">
        <x:v>762</x:v>
      </x:c>
      <x:c r="K1926" s="47" t="n">
        <x:v>-107656</x:v>
      </x:c>
      <x:c r="L1926" s="47" t="n">
        <x:v>44049.230769230766</x:v>
      </x:c>
      <x:c r="M1926" s="48" t="n">
        <x:v>37.083666666666666</x:v>
      </x:c>
      <x:c r="N1926" s="48" t="n">
        <x:v>300.81766666666664</x:v>
      </x:c>
      <x:c r="O1926" s="49" t="n">
        <x:v>2</x:v>
      </x:c>
      <x:c r="P1926" s="1" t="str">
        <x:v>同方向失敗後は新しい押し再進行を待つ・標準</x:v>
      </x:c>
      <x:c r="Q1926" s="49" t="n">
        <x:v>0</x:v>
      </x:c>
      <x:c r="R1926" s="50" t="n">
        <x:v>0.512803601953602</x:v>
      </x:c>
      <x:c r="S1926" s="50" t="n">
        <x:v>0.5013627777777778</x:v>
      </x:c>
      <x:c r="T1926" s="1" t="str">
        <x:v>全場</x:v>
      </x:c>
      <x:c r="U1926" s="49" t="n">
        <x:v>50</x:v>
      </x:c>
    </x:row>
    <x:row r="1927" ht="22" customHeight="1">
      <x:c r="A1927" s="1" t="str">
        <x:v>TOPIXmini</x:v>
      </x:c>
      <x:c r="B1927" s="1" t="str">
        <x:v>R05</x:v>
      </x:c>
      <x:c r="C1927" s="1" t="str">
        <x:v>全50場</x:v>
      </x:c>
      <x:c r="D1927" s="47" t="n">
        <x:v>1083068</x:v>
      </x:c>
      <x:c r="E1927" s="47" t="n">
        <x:v>1703188</x:v>
      </x:c>
      <x:c r="F1927" s="47" t="n">
        <x:f>D1927-E1927</x:f>
        <x:v>-620120</x:v>
      </x:c>
      <x:c r="G1927" s="49" t="n">
        <x:v>6</x:v>
      </x:c>
      <x:c r="H1927" s="49" t="n">
        <x:v>19</x:v>
      </x:c>
      <x:c r="I1927" s="47" t="n">
        <x:v>-776310</x:v>
      </x:c>
      <x:c r="J1927" s="49" t="n">
        <x:v>320</x:v>
      </x:c>
      <x:c r="K1927" s="47" t="n">
        <x:v>-73158</x:v>
      </x:c>
      <x:c r="L1927" s="47" t="n">
        <x:v>43587.78947368421</x:v>
      </x:c>
      <x:c r="M1927" s="48" t="n">
        <x:v>30.372000000000003</x:v>
      </x:c>
      <x:c r="N1927" s="48" t="n">
        <x:v>231.39466666666667</x:v>
      </x:c>
      <x:c r="O1927" s="49" t="n">
        <x:v>2</x:v>
      </x:c>
      <x:c r="P1927" s="1" t="str">
        <x:v>同方向失敗後は新しい押し再進行を待つ・標準</x:v>
      </x:c>
      <x:c r="Q1927" s="49" t="n">
        <x:v>0</x:v>
      </x:c>
      <x:c r="R1927" s="50" t="n">
        <x:v>0.5509396825396825</x:v>
      </x:c>
      <x:c r="S1927" s="50" t="n">
        <x:v>0.5509396825396825</x:v>
      </x:c>
      <x:c r="T1927" s="1" t="str">
        <x:v>デイ</x:v>
      </x:c>
      <x:c r="U1927" s="49" t="n">
        <x:v>25</x:v>
      </x:c>
    </x:row>
    <x:row r="1928" ht="22" customHeight="1">
      <x:c r="A1928" s="1" t="str">
        <x:v>TOPIXmini</x:v>
      </x:c>
      <x:c r="B1928" s="1" t="str">
        <x:v>R05</x:v>
      </x:c>
      <x:c r="C1928" s="1" t="str">
        <x:v>全50場</x:v>
      </x:c>
      <x:c r="D1928" s="47" t="n">
        <x:v>1458266</x:v>
      </x:c>
      <x:c r="E1928" s="47" t="n">
        <x:v>2169638</x:v>
      </x:c>
      <x:c r="F1928" s="47" t="n">
        <x:f>D1928-E1928</x:f>
        <x:v>-711372</x:v>
      </x:c>
      <x:c r="G1928" s="49" t="n">
        <x:v>5</x:v>
      </x:c>
      <x:c r="H1928" s="49" t="n">
        <x:v>20</x:v>
      </x:c>
      <x:c r="I1928" s="47" t="n">
        <x:v>-869076</x:v>
      </x:c>
      <x:c r="J1928" s="49" t="n">
        <x:v>442</x:v>
      </x:c>
      <x:c r="K1928" s="47" t="n">
        <x:v>-107656</x:v>
      </x:c>
      <x:c r="L1928" s="47" t="n">
        <x:v>44487.6</x:v>
      </x:c>
      <x:c r="M1928" s="48" t="n">
        <x:v>43.79533333333333</x:v>
      </x:c>
      <x:c r="N1928" s="48" t="n">
        <x:v>370.24066666666664</x:v>
      </x:c>
      <x:c r="O1928" s="49" t="n">
        <x:v>2</x:v>
      </x:c>
      <x:c r="P1928" s="1" t="str">
        <x:v>同方向失敗後は新しい押し再進行を待つ・標準</x:v>
      </x:c>
      <x:c r="Q1928" s="49" t="n">
        <x:v>0</x:v>
      </x:c>
      <x:c r="R1928" s="50" t="n">
        <x:v>0.47466752136752133</x:v>
      </x:c>
      <x:c r="S1928" s="50" t="n">
        <x:v>0.47466752136752133</x:v>
      </x:c>
      <x:c r="T1928" s="1" t="str">
        <x:v>ナイト</x:v>
      </x:c>
      <x:c r="U1928" s="49" t="n">
        <x:v>25</x:v>
      </x:c>
    </x:row>
    <x:row r="1929" ht="22" customHeight="1">
      <x:c r="A1929" s="1" t="str">
        <x:v>TOPIXmini</x:v>
      </x:c>
      <x:c r="B1929" s="1" t="str">
        <x:v>R05</x:v>
      </x:c>
      <x:c r="C1929" s="1" t="str">
        <x:v>全50場</x:v>
      </x:c>
      <x:c r="D1929" s="47" t="n">
        <x:v>1069404</x:v>
      </x:c>
      <x:c r="E1929" s="47" t="n">
        <x:v>1830168</x:v>
      </x:c>
      <x:c r="F1929" s="47" t="n">
        <x:f>D1929-E1929</x:f>
        <x:v>-760764</x:v>
      </x:c>
      <x:c r="G1929" s="49" t="n">
        <x:v>4</x:v>
      </x:c>
      <x:c r="H1929" s="49" t="n">
        <x:v>21</x:v>
      </x:c>
      <x:c r="I1929" s="47" t="n">
        <x:v>-881792</x:v>
      </x:c>
      <x:c r="J1929" s="49" t="n">
        <x:v>354</x:v>
      </x:c>
      <x:c r="K1929" s="47" t="n">
        <x:v>-99984</x:v>
      </x:c>
      <x:c r="L1929" s="47" t="n">
        <x:v>42958.666666666664</x:v>
      </x:c>
      <x:c r="M1929" s="48" t="n">
        <x:v>32.53866666666667</x:v>
      </x:c>
      <x:c r="N1929" s="48" t="n">
        <x:v>290.32733333333334</x:v>
      </x:c>
      <x:c r="O1929" s="49" t="n">
        <x:v>2</x:v>
      </x:c>
      <x:c r="P1929" s="1" t="str">
        <x:v>同方向失敗後は新しい押し再進行を待つ・標準</x:v>
      </x:c>
      <x:c r="Q1929" s="49" t="n">
        <x:v>0</x:v>
      </x:c>
      <x:c r="R1929" s="50" t="n">
        <x:v>0.47882478632478637</x:v>
      </x:c>
      <x:c r="S1929" s="50" t="n">
        <x:v>0.47814119455423804</x:v>
      </x:c>
      <x:c r="T1929" s="1" t="str">
        <x:v>上昇</x:v>
      </x:c>
      <x:c r="U1929" s="49" t="n">
        <x:v>25</x:v>
      </x:c>
    </x:row>
    <x:row r="1930" ht="22" customHeight="1">
      <x:c r="A1930" s="1" t="str">
        <x:v>TOPIXmini</x:v>
      </x:c>
      <x:c r="B1930" s="1" t="str">
        <x:v>R05</x:v>
      </x:c>
      <x:c r="C1930" s="1" t="str">
        <x:v>全50場</x:v>
      </x:c>
      <x:c r="D1930" s="47" t="n">
        <x:v>1471930</x:v>
      </x:c>
      <x:c r="E1930" s="47" t="n">
        <x:v>2042658</x:v>
      </x:c>
      <x:c r="F1930" s="47" t="n">
        <x:f>D1930-E1930</x:f>
        <x:v>-570728</x:v>
      </x:c>
      <x:c r="G1930" s="49" t="n">
        <x:v>7</x:v>
      </x:c>
      <x:c r="H1930" s="49" t="n">
        <x:v>18</x:v>
      </x:c>
      <x:c r="I1930" s="47" t="n">
        <x:v>-763594</x:v>
      </x:c>
      <x:c r="J1930" s="49" t="n">
        <x:v>408</x:v>
      </x:c>
      <x:c r="K1930" s="47" t="n">
        <x:v>-107656</x:v>
      </x:c>
      <x:c r="L1930" s="47" t="n">
        <x:v>45321.555555555555</x:v>
      </x:c>
      <x:c r="M1930" s="48" t="n">
        <x:v>41.62866666666667</x:v>
      </x:c>
      <x:c r="N1930" s="48" t="n">
        <x:v>311.30800000000005</x:v>
      </x:c>
      <x:c r="O1930" s="49" t="n">
        <x:v>2</x:v>
      </x:c>
      <x:c r="P1930" s="1" t="str">
        <x:v>同方向失敗後は新しい押し再進行を待つ・標準</x:v>
      </x:c>
      <x:c r="Q1930" s="49" t="n">
        <x:v>0</x:v>
      </x:c>
      <x:c r="R1930" s="50" t="n">
        <x:v>0.5467824175824176</x:v>
      </x:c>
      <x:c r="S1930" s="50" t="n">
        <x:v>0.5251484480431848</x:v>
      </x:c>
      <x:c r="T1930" s="1" t="str">
        <x:v>下落</x:v>
      </x:c>
      <x:c r="U1930" s="49" t="n">
        <x:v>25</x:v>
      </x:c>
    </x:row>
    <x:row r="1931" ht="22" customHeight="1">
      <x:c r="A1931" s="1" t="str">
        <x:v>TOPIXmini</x:v>
      </x:c>
      <x:c r="B1931" s="1" t="str">
        <x:v>R05</x:v>
      </x:c>
      <x:c r="C1931" s="1" t="str">
        <x:v>対照47場</x:v>
      </x:c>
      <x:c r="D1931" s="47" t="n">
        <x:v>2304986</x:v>
      </x:c>
      <x:c r="E1931" s="47" t="n">
        <x:v>3469194</x:v>
      </x:c>
      <x:c r="F1931" s="47" t="n">
        <x:f>D1931-E1931</x:f>
        <x:v>-1164208</x:v>
      </x:c>
      <x:c r="G1931" s="49" t="n">
        <x:v>11</x:v>
      </x:c>
      <x:c r="H1931" s="49" t="n">
        <x:v>36</x:v>
      </x:c>
      <x:c r="I1931" s="47" t="n">
        <x:v>-1359414</x:v>
      </x:c>
      <x:c r="J1931" s="49" t="n">
        <x:v>688</x:v>
      </x:c>
      <x:c r="K1931" s="47" t="n">
        <x:v>-107656</x:v>
      </x:c>
      <x:c r="L1931" s="47" t="n">
        <x:v>43073.22222222222</x:v>
      </x:c>
      <x:c r="M1931" s="48" t="n">
        <x:v>37.934397163120565</x:v>
      </x:c>
      <x:c r="N1931" s="48" t="n">
        <x:v>294.22765957446813</x:v>
      </x:c>
      <x:c r="O1931" s="49" t="n">
        <x:v>2</x:v>
      </x:c>
      <x:c r="P1931" s="1" t="str">
        <x:v>同方向失敗後は新しい押し再進行を待つ・標準</x:v>
      </x:c>
      <x:c r="Q1931" s="49" t="n">
        <x:v>0</x:v>
      </x:c>
      <x:c r="R1931" s="50" t="n">
        <x:v>0.5055993297482659</x:v>
      </x:c>
      <x:c r="S1931" s="50" t="n">
        <x:v>0.4935296216987866</x:v>
      </x:c>
      <x:c r="T1931" s="1" t="str">
        <x:v>全場</x:v>
      </x:c>
      <x:c r="U1931" s="49" t="n">
        <x:v>47</x:v>
      </x:c>
    </x:row>
    <x:row r="1932" ht="22" customHeight="1">
      <x:c r="A1932" s="1" t="str">
        <x:v>TOPIXmini</x:v>
      </x:c>
      <x:c r="B1932" s="1" t="str">
        <x:v>R05</x:v>
      </x:c>
      <x:c r="C1932" s="1" t="str">
        <x:v>対照47場</x:v>
      </x:c>
      <x:c r="D1932" s="47" t="n">
        <x:v>1012898</x:v>
      </x:c>
      <x:c r="E1932" s="47" t="n">
        <x:v>1559864</x:v>
      </x:c>
      <x:c r="F1932" s="47" t="n">
        <x:f>D1932-E1932</x:f>
        <x:v>-546966</x:v>
      </x:c>
      <x:c r="G1932" s="49" t="n">
        <x:v>6</x:v>
      </x:c>
      <x:c r="H1932" s="49" t="n">
        <x:v>18</x:v>
      </x:c>
      <x:c r="I1932" s="47" t="n">
        <x:v>-703156</x:v>
      </x:c>
      <x:c r="J1932" s="49" t="n">
        <x:v>301</x:v>
      </x:c>
      <x:c r="K1932" s="47" t="n">
        <x:v>-73158</x:v>
      </x:c>
      <x:c r="L1932" s="47" t="n">
        <x:v>41945.22222222222</x:v>
      </x:c>
      <x:c r="M1932" s="48" t="n">
        <x:v>30.675694444444446</x:v>
      </x:c>
      <x:c r="N1932" s="48" t="n">
        <x:v>228.79166666666666</x:v>
      </x:c>
      <x:c r="O1932" s="49" t="n">
        <x:v>2</x:v>
      </x:c>
      <x:c r="P1932" s="1" t="str">
        <x:v>同方向失敗後は新しい押し再進行を待つ・標準</x:v>
      </x:c>
      <x:c r="Q1932" s="49" t="n">
        <x:v>0</x:v>
      </x:c>
      <x:c r="R1932" s="50" t="n">
        <x:v>0.5447420634920634</x:v>
      </x:c>
      <x:c r="S1932" s="50" t="n">
        <x:v>0.5447420634920634</x:v>
      </x:c>
      <x:c r="T1932" s="1" t="str">
        <x:v>デイ</x:v>
      </x:c>
      <x:c r="U1932" s="49" t="n">
        <x:v>24</x:v>
      </x:c>
    </x:row>
    <x:row r="1933" ht="22" customHeight="1">
      <x:c r="A1933" s="1" t="str">
        <x:v>TOPIXmini</x:v>
      </x:c>
      <x:c r="B1933" s="1" t="str">
        <x:v>R05</x:v>
      </x:c>
      <x:c r="C1933" s="1" t="str">
        <x:v>対照47場</x:v>
      </x:c>
      <x:c r="D1933" s="47" t="n">
        <x:v>1292088</x:v>
      </x:c>
      <x:c r="E1933" s="47" t="n">
        <x:v>1909330</x:v>
      </x:c>
      <x:c r="F1933" s="47" t="n">
        <x:f>D1933-E1933</x:f>
        <x:v>-617242</x:v>
      </x:c>
      <x:c r="G1933" s="49" t="n">
        <x:v>5</x:v>
      </x:c>
      <x:c r="H1933" s="49" t="n">
        <x:v>18</x:v>
      </x:c>
      <x:c r="I1933" s="47" t="n">
        <x:v>-774946</x:v>
      </x:c>
      <x:c r="J1933" s="49" t="n">
        <x:v>387</x:v>
      </x:c>
      <x:c r="K1933" s="47" t="n">
        <x:v>-107656</x:v>
      </x:c>
      <x:c r="L1933" s="47" t="n">
        <x:v>44201.22222222222</x:v>
      </x:c>
      <x:c r="M1933" s="48" t="n">
        <x:v>45.50869565217391</x:v>
      </x:c>
      <x:c r="N1933" s="48" t="n">
        <x:v>362.50869565217386</x:v>
      </x:c>
      <x:c r="O1933" s="49" t="n">
        <x:v>2</x:v>
      </x:c>
      <x:c r="P1933" s="1" t="str">
        <x:v>同方向失敗後は新しい押し再進行を待つ・標準</x:v>
      </x:c>
      <x:c r="Q1933" s="49" t="n">
        <x:v>0</x:v>
      </x:c>
      <x:c r="R1933" s="50" t="n">
        <x:v>0.4647547380156075</x:v>
      </x:c>
      <x:c r="S1933" s="50" t="n">
        <x:v>0.4647547380156076</x:v>
      </x:c>
      <x:c r="T1933" s="1" t="str">
        <x:v>ナイト</x:v>
      </x:c>
      <x:c r="U1933" s="49" t="n">
        <x:v>23</x:v>
      </x:c>
    </x:row>
    <x:row r="1934" ht="22" customHeight="1">
      <x:c r="A1934" s="1" t="str">
        <x:v>TOPIXmini</x:v>
      </x:c>
      <x:c r="B1934" s="1" t="str">
        <x:v>R05</x:v>
      </x:c>
      <x:c r="C1934" s="1" t="str">
        <x:v>対照47場</x:v>
      </x:c>
      <x:c r="D1934" s="47" t="n">
        <x:v>995400</x:v>
      </x:c>
      <x:c r="E1934" s="47" t="n">
        <x:v>1717180</x:v>
      </x:c>
      <x:c r="F1934" s="47" t="n">
        <x:f>D1934-E1934</x:f>
        <x:v>-721780</x:v>
      </x:c>
      <x:c r="G1934" s="49" t="n">
        <x:v>4</x:v>
      </x:c>
      <x:c r="H1934" s="49" t="n">
        <x:v>20</x:v>
      </x:c>
      <x:c r="I1934" s="47" t="n">
        <x:v>-842808</x:v>
      </x:c>
      <x:c r="J1934" s="49" t="n">
        <x:v>330</x:v>
      </x:c>
      <x:c r="K1934" s="47" t="n">
        <x:v>-99984</x:v>
      </x:c>
      <x:c r="L1934" s="47" t="n">
        <x:v>43157.4</x:v>
      </x:c>
      <x:c r="M1934" s="48" t="n">
        <x:v>32.924305555555556</x:v>
      </x:c>
      <x:c r="N1934" s="48" t="n">
        <x:v>283.7763888888889</x:v>
      </x:c>
      <x:c r="O1934" s="49" t="n">
        <x:v>2</x:v>
      </x:c>
      <x:c r="P1934" s="1" t="str">
        <x:v>同方向失敗後は新しい押し再進行を待つ・標準</x:v>
      </x:c>
      <x:c r="Q1934" s="49" t="n">
        <x:v>0</x:v>
      </x:c>
      <x:c r="R1934" s="50" t="n">
        <x:v>0.47486823361823366</x:v>
      </x:c>
      <x:c r="S1934" s="50" t="n">
        <x:v>0.47296064814814814</x:v>
      </x:c>
      <x:c r="T1934" s="1" t="str">
        <x:v>上昇</x:v>
      </x:c>
      <x:c r="U1934" s="49" t="n">
        <x:v>24</x:v>
      </x:c>
    </x:row>
    <x:row r="1935" ht="22" customHeight="1">
      <x:c r="A1935" s="1" t="str">
        <x:v>TOPIXmini</x:v>
      </x:c>
      <x:c r="B1935" s="1" t="str">
        <x:v>R05</x:v>
      </x:c>
      <x:c r="C1935" s="1" t="str">
        <x:v>対照47場</x:v>
      </x:c>
      <x:c r="D1935" s="47" t="n">
        <x:v>1309586</x:v>
      </x:c>
      <x:c r="E1935" s="47" t="n">
        <x:v>1752014</x:v>
      </x:c>
      <x:c r="F1935" s="47" t="n">
        <x:f>D1935-E1935</x:f>
        <x:v>-442428</x:v>
      </x:c>
      <x:c r="G1935" s="49" t="n">
        <x:v>7</x:v>
      </x:c>
      <x:c r="H1935" s="49" t="n">
        <x:v>16</x:v>
      </x:c>
      <x:c r="I1935" s="47" t="n">
        <x:v>-635294</x:v>
      </x:c>
      <x:c r="J1935" s="49" t="n">
        <x:v>358</x:v>
      </x:c>
      <x:c r="K1935" s="47" t="n">
        <x:v>-107656</x:v>
      </x:c>
      <x:c r="L1935" s="47" t="n">
        <x:v>42968</x:v>
      </x:c>
      <x:c r="M1935" s="48" t="n">
        <x:v>43.162318840579715</x:v>
      </x:c>
      <x:c r="N1935" s="48" t="n">
        <x:v>305.13333333333327</x:v>
      </x:c>
      <x:c r="O1935" s="49" t="n">
        <x:v>2</x:v>
      </x:c>
      <x:c r="P1935" s="1" t="str">
        <x:v>同方向失敗後は新しい押し再進行を待つ・標準</x:v>
      </x:c>
      <x:c r="Q1935" s="49" t="n">
        <x:v>0</x:v>
      </x:c>
      <x:c r="R1935" s="50" t="n">
        <x:v>0.5376665604926473</x:v>
      </x:c>
      <x:c r="S1935" s="50" t="n">
        <x:v>0.5152765540871268</x:v>
      </x:c>
      <x:c r="T1935" s="1" t="str">
        <x:v>下落</x:v>
      </x:c>
      <x:c r="U1935" s="49" t="n">
        <x:v>23</x:v>
      </x:c>
    </x:row>
    <x:row r="1936" ht="22" customHeight="1">
      <x:c r="A1936" s="1" t="str">
        <x:v>TOPIXmini</x:v>
      </x:c>
      <x:c r="B1936" s="1" t="str">
        <x:v>R05</x:v>
      </x:c>
      <x:c r="C1936" s="1" t="str">
        <x:v>診断3場</x:v>
      </x:c>
      <x:c r="D1936" s="47" t="n">
        <x:v>236348</x:v>
      </x:c>
      <x:c r="E1936" s="47" t="n">
        <x:v>403632</x:v>
      </x:c>
      <x:c r="F1936" s="47" t="n">
        <x:f>D1936-E1936</x:f>
        <x:v>-167284</x:v>
      </x:c>
      <x:c r="G1936" s="49" t="n">
        <x:v>0</x:v>
      </x:c>
      <x:c r="H1936" s="49" t="n">
        <x:v>3</x:v>
      </x:c>
      <x:c r="I1936" s="47" t="n">
        <x:v>-167284</x:v>
      </x:c>
      <x:c r="J1936" s="49" t="n">
        <x:v>74</x:v>
      </x:c>
      <x:c r="K1936" s="47" t="n">
        <x:v>-73154</x:v>
      </x:c>
      <x:c r="L1936" s="47" t="n">
        <x:v>55761.333333333336</x:v>
      </x:c>
      <x:c r="M1936" s="48" t="n">
        <x:v>23.755555555555556</x:v>
      </x:c>
      <x:c r="N1936" s="48" t="n">
        <x:v>404.06111111111113</x:v>
      </x:c>
      <x:c r="O1936" s="49" t="n">
        <x:v>2</x:v>
      </x:c>
      <x:c r="P1936" s="1" t="str">
        <x:v>同方向失敗後は新しい押し再進行を待つ・標準</x:v>
      </x:c>
      <x:c r="Q1936" s="49" t="n">
        <x:v>0</x:v>
      </x:c>
      <x:c r="R1936" s="50" t="n">
        <x:v>0.6256705331705332</x:v>
      </x:c>
      <x:c r="S1936" s="50" t="n">
        <x:v>0.6122138047138047</x:v>
      </x:c>
      <x:c r="T1936" s="1" t="str">
        <x:v>全場</x:v>
      </x:c>
      <x:c r="U1936" s="49" t="n">
        <x:v>3</x:v>
      </x:c>
    </x:row>
    <x:row r="1937" ht="22" customHeight="1">
      <x:c r="A1937" s="1" t="str">
        <x:v>TOPIXmini</x:v>
      </x:c>
      <x:c r="B1937" s="1" t="str">
        <x:v>R05</x:v>
      </x:c>
      <x:c r="C1937" s="1" t="str">
        <x:v>診断3場</x:v>
      </x:c>
      <x:c r="D1937" s="47" t="n">
        <x:v>70170</x:v>
      </x:c>
      <x:c r="E1937" s="47" t="n">
        <x:v>143324</x:v>
      </x:c>
      <x:c r="F1937" s="47" t="n">
        <x:f>D1937-E1937</x:f>
        <x:v>-73154</x:v>
      </x:c>
      <x:c r="G1937" s="49" t="n">
        <x:v>0</x:v>
      </x:c>
      <x:c r="H1937" s="49" t="n">
        <x:v>1</x:v>
      </x:c>
      <x:c r="I1937" s="47" t="n">
        <x:v>-73154</x:v>
      </x:c>
      <x:c r="J1937" s="49" t="n">
        <x:v>19</x:v>
      </x:c>
      <x:c r="K1937" s="47" t="n">
        <x:v>-73154</x:v>
      </x:c>
      <x:c r="L1937" s="47" t="n">
        <x:v>73154</x:v>
      </x:c>
      <x:c r="M1937" s="48" t="n">
        <x:v>23.083333333333332</x:v>
      </x:c>
      <x:c r="N1937" s="48" t="n">
        <x:v>293.8666666666667</x:v>
      </x:c>
      <x:c r="O1937" s="49" t="n">
        <x:v>2</x:v>
      </x:c>
      <x:c r="P1937" s="1" t="str">
        <x:v>同方向失敗後は新しい押し再進行を待つ・標準</x:v>
      </x:c>
      <x:c r="Q1937" s="49" t="n">
        <x:v>0</x:v>
      </x:c>
      <x:c r="R1937" s="50" t="n">
        <x:v>0.6996825396825397</x:v>
      </x:c>
      <x:c r="S1937" s="50" t="n">
        <x:v>0.6996825396825397</x:v>
      </x:c>
      <x:c r="T1937" s="1" t="str">
        <x:v>デイ</x:v>
      </x:c>
      <x:c r="U1937" s="49" t="n">
        <x:v>1</x:v>
      </x:c>
    </x:row>
    <x:row r="1938" ht="22" customHeight="1">
      <x:c r="A1938" s="1" t="str">
        <x:v>TOPIXmini</x:v>
      </x:c>
      <x:c r="B1938" s="1" t="str">
        <x:v>R05</x:v>
      </x:c>
      <x:c r="C1938" s="1" t="str">
        <x:v>診断3場</x:v>
      </x:c>
      <x:c r="D1938" s="47" t="n">
        <x:v>166178</x:v>
      </x:c>
      <x:c r="E1938" s="47" t="n">
        <x:v>260308</x:v>
      </x:c>
      <x:c r="F1938" s="47" t="n">
        <x:f>D1938-E1938</x:f>
        <x:v>-94130</x:v>
      </x:c>
      <x:c r="G1938" s="49" t="n">
        <x:v>0</x:v>
      </x:c>
      <x:c r="H1938" s="49" t="n">
        <x:v>2</x:v>
      </x:c>
      <x:c r="I1938" s="47" t="n">
        <x:v>-94130</x:v>
      </x:c>
      <x:c r="J1938" s="49" t="n">
        <x:v>55</x:v>
      </x:c>
      <x:c r="K1938" s="47" t="n">
        <x:v>-55146</x:v>
      </x:c>
      <x:c r="L1938" s="47" t="n">
        <x:v>47065</x:v>
      </x:c>
      <x:c r="M1938" s="48" t="n">
        <x:v>24.09166666666667</x:v>
      </x:c>
      <x:c r="N1938" s="48" t="n">
        <x:v>459.1583333333333</x:v>
      </x:c>
      <x:c r="O1938" s="49" t="n">
        <x:v>2</x:v>
      </x:c>
      <x:c r="P1938" s="1" t="str">
        <x:v>同方向失敗後は新しい押し再進行を待つ・標準</x:v>
      </x:c>
      <x:c r="Q1938" s="49" t="n">
        <x:v>0</x:v>
      </x:c>
      <x:c r="R1938" s="50" t="n">
        <x:v>0.5886645299145299</x:v>
      </x:c>
      <x:c r="S1938" s="50" t="n">
        <x:v>0.5886645299145299</x:v>
      </x:c>
      <x:c r="T1938" s="1" t="str">
        <x:v>ナイト</x:v>
      </x:c>
      <x:c r="U1938" s="49" t="n">
        <x:v>2</x:v>
      </x:c>
    </x:row>
    <x:row r="1939" ht="22" customHeight="1">
      <x:c r="A1939" s="1" t="str">
        <x:v>TOPIXmini</x:v>
      </x:c>
      <x:c r="B1939" s="1" t="str">
        <x:v>R05</x:v>
      </x:c>
      <x:c r="C1939" s="1" t="str">
        <x:v>診断3場</x:v>
      </x:c>
      <x:c r="D1939" s="47" t="n">
        <x:v>74004</x:v>
      </x:c>
      <x:c r="E1939" s="47" t="n">
        <x:v>112988</x:v>
      </x:c>
      <x:c r="F1939" s="47" t="n">
        <x:f>D1939-E1939</x:f>
        <x:v>-38984</x:v>
      </x:c>
      <x:c r="G1939" s="49" t="n">
        <x:v>0</x:v>
      </x:c>
      <x:c r="H1939" s="49" t="n">
        <x:v>1</x:v>
      </x:c>
      <x:c r="I1939" s="47" t="n">
        <x:v>-38984</x:v>
      </x:c>
      <x:c r="J1939" s="49" t="n">
        <x:v>24</x:v>
      </x:c>
      <x:c r="K1939" s="47" t="n">
        <x:v>-38984</x:v>
      </x:c>
      <x:c r="L1939" s="47" t="n">
        <x:v>38984</x:v>
      </x:c>
      <x:c r="M1939" s="48" t="n">
        <x:v>23.283333333333335</x:v>
      </x:c>
      <x:c r="N1939" s="48" t="n">
        <x:v>447.55</x:v>
      </x:c>
      <x:c r="O1939" s="49" t="n">
        <x:v>2</x:v>
      </x:c>
      <x:c r="P1939" s="1" t="str">
        <x:v>同方向失敗後は新しい押し再進行を待つ・標準</x:v>
      </x:c>
      <x:c r="Q1939" s="49" t="n">
        <x:v>0</x:v>
      </x:c>
      <x:c r="R1939" s="50" t="n">
        <x:v>0.5737820512820513</x:v>
      </x:c>
      <x:c r="S1939" s="50" t="n">
        <x:v>0.5737820512820513</x:v>
      </x:c>
      <x:c r="T1939" s="1" t="str">
        <x:v>上昇</x:v>
      </x:c>
      <x:c r="U1939" s="49" t="n">
        <x:v>1</x:v>
      </x:c>
    </x:row>
    <x:row r="1940" ht="22" customHeight="1">
      <x:c r="A1940" s="1" t="str">
        <x:v>TOPIXmini</x:v>
      </x:c>
      <x:c r="B1940" s="1" t="str">
        <x:v>R05</x:v>
      </x:c>
      <x:c r="C1940" s="1" t="str">
        <x:v>診断3場</x:v>
      </x:c>
      <x:c r="D1940" s="47" t="n">
        <x:v>162344</x:v>
      </x:c>
      <x:c r="E1940" s="47" t="n">
        <x:v>290644</x:v>
      </x:c>
      <x:c r="F1940" s="47" t="n">
        <x:f>D1940-E1940</x:f>
        <x:v>-128300</x:v>
      </x:c>
      <x:c r="G1940" s="49" t="n">
        <x:v>0</x:v>
      </x:c>
      <x:c r="H1940" s="49" t="n">
        <x:v>2</x:v>
      </x:c>
      <x:c r="I1940" s="47" t="n">
        <x:v>-128300</x:v>
      </x:c>
      <x:c r="J1940" s="49" t="n">
        <x:v>50</x:v>
      </x:c>
      <x:c r="K1940" s="47" t="n">
        <x:v>-73154</x:v>
      </x:c>
      <x:c r="L1940" s="47" t="n">
        <x:v>64150</x:v>
      </x:c>
      <x:c r="M1940" s="48" t="n">
        <x:v>23.991666666666667</x:v>
      </x:c>
      <x:c r="N1940" s="48" t="n">
        <x:v>382.31666666666666</x:v>
      </x:c>
      <x:c r="O1940" s="49" t="n">
        <x:v>2</x:v>
      </x:c>
      <x:c r="P1940" s="1" t="str">
        <x:v>同方向失敗後は新しい押し再進行を待つ・標準</x:v>
      </x:c>
      <x:c r="Q1940" s="49" t="n">
        <x:v>0</x:v>
      </x:c>
      <x:c r="R1940" s="50" t="n">
        <x:v>0.6516147741147742</x:v>
      </x:c>
      <x:c r="S1940" s="50" t="n">
        <x:v>0.6371944444444444</x:v>
      </x:c>
      <x:c r="T1940" s="1" t="str">
        <x:v>下落</x:v>
      </x:c>
      <x:c r="U1940" s="49" t="n">
        <x:v>2</x:v>
      </x:c>
    </x:row>
    <x:row r="1941" ht="22" customHeight="1">
      <x:c r="A1941" s="1" t="str">
        <x:v>TOPIXmini</x:v>
      </x:c>
      <x:c r="B1941" s="1" t="str">
        <x:v>R06</x:v>
      </x:c>
      <x:c r="C1941" s="1" t="str">
        <x:v>全50場</x:v>
      </x:c>
      <x:c r="D1941" s="47" t="n">
        <x:v>2360804</x:v>
      </x:c>
      <x:c r="E1941" s="47" t="n">
        <x:v>3524052</x:v>
      </x:c>
      <x:c r="F1941" s="47" t="n">
        <x:f>D1941-E1941</x:f>
        <x:v>-1163248</x:v>
      </x:c>
      <x:c r="G1941" s="49" t="n">
        <x:v>14</x:v>
      </x:c>
      <x:c r="H1941" s="49" t="n">
        <x:v>36</x:v>
      </x:c>
      <x:c r="I1941" s="47" t="n">
        <x:v>-1396438</x:v>
      </x:c>
      <x:c r="J1941" s="49" t="n">
        <x:v>628</x:v>
      </x:c>
      <x:c r="K1941" s="47" t="n">
        <x:v>-99490</x:v>
      </x:c>
      <x:c r="L1941" s="47" t="n">
        <x:v>44986.27777777778</x:v>
      </x:c>
      <x:c r="M1941" s="48" t="n">
        <x:v>37.083666666666666</x:v>
      </x:c>
      <x:c r="N1941" s="48" t="n">
        <x:v>372.5060000000001</x:v>
      </x:c>
      <x:c r="O1941" s="49" t="n">
        <x:v>2</x:v>
      </x:c>
      <x:c r="P1941" s="1" t="str">
        <x:v>同方向失敗後は新しい押し再進行を待つ・広め</x:v>
      </x:c>
      <x:c r="Q1941" s="49" t="n">
        <x:v>0</x:v>
      </x:c>
      <x:c r="R1941" s="50" t="n">
        <x:v>0.6286761904761905</x:v>
      </x:c>
      <x:c r="S1941" s="50" t="n">
        <x:v>0.6208433333333333</x:v>
      </x:c>
      <x:c r="T1941" s="1" t="str">
        <x:v>全場</x:v>
      </x:c>
      <x:c r="U1941" s="49" t="n">
        <x:v>50</x:v>
      </x:c>
    </x:row>
    <x:row r="1942" ht="22" customHeight="1">
      <x:c r="A1942" s="1" t="str">
        <x:v>TOPIXmini</x:v>
      </x:c>
      <x:c r="B1942" s="1" t="str">
        <x:v>R06</x:v>
      </x:c>
      <x:c r="C1942" s="1" t="str">
        <x:v>全50場</x:v>
      </x:c>
      <x:c r="D1942" s="47" t="n">
        <x:v>1043558</x:v>
      </x:c>
      <x:c r="E1942" s="47" t="n">
        <x:v>1526046</x:v>
      </x:c>
      <x:c r="F1942" s="47" t="n">
        <x:f>D1942-E1942</x:f>
        <x:v>-482488</x:v>
      </x:c>
      <x:c r="G1942" s="49" t="n">
        <x:v>7</x:v>
      </x:c>
      <x:c r="H1942" s="49" t="n">
        <x:v>18</x:v>
      </x:c>
      <x:c r="I1942" s="47" t="n">
        <x:v>-687006</x:v>
      </x:c>
      <x:c r="J1942" s="49" t="n">
        <x:v>268</x:v>
      </x:c>
      <x:c r="K1942" s="47" t="n">
        <x:v>-68992</x:v>
      </x:c>
      <x:c r="L1942" s="47" t="n">
        <x:v>41797.666666666664</x:v>
      </x:c>
      <x:c r="M1942" s="48" t="n">
        <x:v>30.372000000000003</x:v>
      </x:c>
      <x:c r="N1942" s="48" t="n">
        <x:v>275.01</x:v>
      </x:c>
      <x:c r="O1942" s="49" t="n">
        <x:v>2</x:v>
      </x:c>
      <x:c r="P1942" s="1" t="str">
        <x:v>同方向失敗後は新しい押し再進行を待つ・広め</x:v>
      </x:c>
      <x:c r="Q1942" s="49" t="n">
        <x:v>0</x:v>
      </x:c>
      <x:c r="R1942" s="50" t="n">
        <x:v>0.6547857142857143</x:v>
      </x:c>
      <x:c r="S1942" s="50" t="n">
        <x:v>0.6547857142857143</x:v>
      </x:c>
      <x:c r="T1942" s="1" t="str">
        <x:v>デイ</x:v>
      </x:c>
      <x:c r="U1942" s="49" t="n">
        <x:v>25</x:v>
      </x:c>
    </x:row>
    <x:row r="1943" ht="22" customHeight="1">
      <x:c r="A1943" s="1" t="str">
        <x:v>TOPIXmini</x:v>
      </x:c>
      <x:c r="B1943" s="1" t="str">
        <x:v>R06</x:v>
      </x:c>
      <x:c r="C1943" s="1" t="str">
        <x:v>全50場</x:v>
      </x:c>
      <x:c r="D1943" s="47" t="n">
        <x:v>1317246</x:v>
      </x:c>
      <x:c r="E1943" s="47" t="n">
        <x:v>1998006</x:v>
      </x:c>
      <x:c r="F1943" s="47" t="n">
        <x:f>D1943-E1943</x:f>
        <x:v>-680760</x:v>
      </x:c>
      <x:c r="G1943" s="49" t="n">
        <x:v>7</x:v>
      </x:c>
      <x:c r="H1943" s="49" t="n">
        <x:v>18</x:v>
      </x:c>
      <x:c r="I1943" s="47" t="n">
        <x:v>-819622</x:v>
      </x:c>
      <x:c r="J1943" s="49" t="n">
        <x:v>360</x:v>
      </x:c>
      <x:c r="K1943" s="47" t="n">
        <x:v>-99490</x:v>
      </x:c>
      <x:c r="L1943" s="47" t="n">
        <x:v>48174.88888888889</x:v>
      </x:c>
      <x:c r="M1943" s="48" t="n">
        <x:v>43.79533333333333</x:v>
      </x:c>
      <x:c r="N1943" s="48" t="n">
        <x:v>470.00199999999995</x:v>
      </x:c>
      <x:c r="O1943" s="49" t="n">
        <x:v>2</x:v>
      </x:c>
      <x:c r="P1943" s="1" t="str">
        <x:v>同方向失敗後は新しい押し再進行を待つ・広め</x:v>
      </x:c>
      <x:c r="Q1943" s="49" t="n">
        <x:v>0</x:v>
      </x:c>
      <x:c r="R1943" s="50" t="n">
        <x:v>0.6025666666666666</x:v>
      </x:c>
      <x:c r="S1943" s="50" t="n">
        <x:v>0.6025666666666666</x:v>
      </x:c>
      <x:c r="T1943" s="1" t="str">
        <x:v>ナイト</x:v>
      </x:c>
      <x:c r="U1943" s="49" t="n">
        <x:v>25</x:v>
      </x:c>
    </x:row>
    <x:row r="1944" ht="22" customHeight="1">
      <x:c r="A1944" s="1" t="str">
        <x:v>TOPIXmini</x:v>
      </x:c>
      <x:c r="B1944" s="1" t="str">
        <x:v>R06</x:v>
      </x:c>
      <x:c r="C1944" s="1" t="str">
        <x:v>全50場</x:v>
      </x:c>
      <x:c r="D1944" s="47" t="n">
        <x:v>1009056</x:v>
      </x:c>
      <x:c r="E1944" s="47" t="n">
        <x:v>1721694</x:v>
      </x:c>
      <x:c r="F1944" s="47" t="n">
        <x:f>D1944-E1944</x:f>
        <x:v>-712638</x:v>
      </x:c>
      <x:c r="G1944" s="49" t="n">
        <x:v>6</x:v>
      </x:c>
      <x:c r="H1944" s="49" t="n">
        <x:v>19</x:v>
      </x:c>
      <x:c r="I1944" s="47" t="n">
        <x:v>-813492</x:v>
      </x:c>
      <x:c r="J1944" s="49" t="n">
        <x:v>293</x:v>
      </x:c>
      <x:c r="K1944" s="47" t="n">
        <x:v>-98652</x:v>
      </x:c>
      <x:c r="L1944" s="47" t="n">
        <x:v>44877.78947368421</x:v>
      </x:c>
      <x:c r="M1944" s="48" t="n">
        <x:v>32.53866666666667</x:v>
      </x:c>
      <x:c r="N1944" s="48" t="n">
        <x:v>357.0286666666666</x:v>
      </x:c>
      <x:c r="O1944" s="49" t="n">
        <x:v>2</x:v>
      </x:c>
      <x:c r="P1944" s="1" t="str">
        <x:v>同方向失敗後は新しい押し再進行を待つ・広め</x:v>
      </x:c>
      <x:c r="Q1944" s="49" t="n">
        <x:v>0</x:v>
      </x:c>
      <x:c r="R1944" s="50" t="n">
        <x:v>0.5919136752136752</x:v>
      </x:c>
      <x:c r="S1944" s="50" t="n">
        <x:v>0.587991875274484</x:v>
      </x:c>
      <x:c r="T1944" s="1" t="str">
        <x:v>上昇</x:v>
      </x:c>
      <x:c r="U1944" s="49" t="n">
        <x:v>25</x:v>
      </x:c>
    </x:row>
    <x:row r="1945" ht="22" customHeight="1">
      <x:c r="A1945" s="1" t="str">
        <x:v>TOPIXmini</x:v>
      </x:c>
      <x:c r="B1945" s="1" t="str">
        <x:v>R06</x:v>
      </x:c>
      <x:c r="C1945" s="1" t="str">
        <x:v>全50場</x:v>
      </x:c>
      <x:c r="D1945" s="47" t="n">
        <x:v>1351748</x:v>
      </x:c>
      <x:c r="E1945" s="47" t="n">
        <x:v>1802358</x:v>
      </x:c>
      <x:c r="F1945" s="47" t="n">
        <x:f>D1945-E1945</x:f>
        <x:v>-450610</x:v>
      </x:c>
      <x:c r="G1945" s="49" t="n">
        <x:v>8</x:v>
      </x:c>
      <x:c r="H1945" s="49" t="n">
        <x:v>17</x:v>
      </x:c>
      <x:c r="I1945" s="47" t="n">
        <x:v>-683800</x:v>
      </x:c>
      <x:c r="J1945" s="49" t="n">
        <x:v>335</x:v>
      </x:c>
      <x:c r="K1945" s="47" t="n">
        <x:v>-99490</x:v>
      </x:c>
      <x:c r="L1945" s="47" t="n">
        <x:v>45107.529411764706</x:v>
      </x:c>
      <x:c r="M1945" s="48" t="n">
        <x:v>41.62866666666667</x:v>
      </x:c>
      <x:c r="N1945" s="48" t="n">
        <x:v>387.98333333333335</x:v>
      </x:c>
      <x:c r="O1945" s="49" t="n">
        <x:v>2</x:v>
      </x:c>
      <x:c r="P1945" s="1" t="str">
        <x:v>同方向失敗後は新しい押し再進行を待つ・広め</x:v>
      </x:c>
      <x:c r="Q1945" s="49" t="n">
        <x:v>0</x:v>
      </x:c>
      <x:c r="R1945" s="50" t="n">
        <x:v>0.6654387057387058</x:v>
      </x:c>
      <x:c r="S1945" s="50" t="n">
        <x:v>0.6544928025191183</x:v>
      </x:c>
      <x:c r="T1945" s="1" t="str">
        <x:v>下落</x:v>
      </x:c>
      <x:c r="U1945" s="49" t="n">
        <x:v>25</x:v>
      </x:c>
    </x:row>
    <x:row r="1946" ht="22" customHeight="1">
      <x:c r="A1946" s="1" t="str">
        <x:v>TOPIXmini</x:v>
      </x:c>
      <x:c r="B1946" s="1" t="str">
        <x:v>R06</x:v>
      </x:c>
      <x:c r="C1946" s="1" t="str">
        <x:v>対照47場</x:v>
      </x:c>
      <x:c r="D1946" s="47" t="n">
        <x:v>2188626</x:v>
      </x:c>
      <x:c r="E1946" s="47" t="n">
        <x:v>3189080</x:v>
      </x:c>
      <x:c r="F1946" s="47" t="n">
        <x:f>D1946-E1946</x:f>
        <x:v>-1000454</x:v>
      </x:c>
      <x:c r="G1946" s="49" t="n">
        <x:v>14</x:v>
      </x:c>
      <x:c r="H1946" s="49" t="n">
        <x:v>33</x:v>
      </x:c>
      <x:c r="I1946" s="47" t="n">
        <x:v>-1233644</x:v>
      </x:c>
      <x:c r="J1946" s="49" t="n">
        <x:v>569</x:v>
      </x:c>
      <x:c r="K1946" s="47" t="n">
        <x:v>-99490</x:v>
      </x:c>
      <x:c r="L1946" s="47" t="n">
        <x:v>44142.78787878788</x:v>
      </x:c>
      <x:c r="M1946" s="48" t="n">
        <x:v>37.934397163120565</x:v>
      </x:c>
      <x:c r="N1946" s="48" t="n">
        <x:v>367.0067375886525</x:v>
      </x:c>
      <x:c r="O1946" s="49" t="n">
        <x:v>2</x:v>
      </x:c>
      <x:c r="P1946" s="1" t="str">
        <x:v>同方向失敗後は新しい押し再進行を待つ・広め</x:v>
      </x:c>
      <x:c r="Q1946" s="49" t="n">
        <x:v>0</x:v>
      </x:c>
      <x:c r="R1946" s="50" t="n">
        <x:v>0.6240995115995116</x:v>
      </x:c>
      <x:c r="S1946" s="50" t="n">
        <x:v>0.6156073043064477</x:v>
      </x:c>
      <x:c r="T1946" s="1" t="str">
        <x:v>全場</x:v>
      </x:c>
      <x:c r="U1946" s="49" t="n">
        <x:v>47</x:v>
      </x:c>
    </x:row>
    <x:row r="1947" ht="22" customHeight="1">
      <x:c r="A1947" s="1" t="str">
        <x:v>TOPIXmini</x:v>
      </x:c>
      <x:c r="B1947" s="1" t="str">
        <x:v>R06</x:v>
      </x:c>
      <x:c r="C1947" s="1" t="str">
        <x:v>対照47場</x:v>
      </x:c>
      <x:c r="D1947" s="47" t="n">
        <x:v>983388</x:v>
      </x:c>
      <x:c r="E1947" s="47" t="n">
        <x:v>1428386</x:v>
      </x:c>
      <x:c r="F1947" s="47" t="n">
        <x:f>D1947-E1947</x:f>
        <x:v>-444998</x:v>
      </x:c>
      <x:c r="G1947" s="49" t="n">
        <x:v>7</x:v>
      </x:c>
      <x:c r="H1947" s="49" t="n">
        <x:v>17</x:v>
      </x:c>
      <x:c r="I1947" s="47" t="n">
        <x:v>-649516</x:v>
      </x:c>
      <x:c r="J1947" s="49" t="n">
        <x:v>253</x:v>
      </x:c>
      <x:c r="K1947" s="47" t="n">
        <x:v>-68992</x:v>
      </x:c>
      <x:c r="L1947" s="47" t="n">
        <x:v>42051.05882352941</x:v>
      </x:c>
      <x:c r="M1947" s="48" t="n">
        <x:v>30.675694444444446</x:v>
      </x:c>
      <x:c r="N1947" s="48" t="n">
        <x:v>273.68888888888887</x:v>
      </x:c>
      <x:c r="O1947" s="49" t="n">
        <x:v>2</x:v>
      </x:c>
      <x:c r="P1947" s="1" t="str">
        <x:v>同方向失敗後は新しい押し再進行を待つ・広め</x:v>
      </x:c>
      <x:c r="Q1947" s="49" t="n">
        <x:v>0</x:v>
      </x:c>
      <x:c r="R1947" s="50" t="n">
        <x:v>0.6516402116402116</x:v>
      </x:c>
      <x:c r="S1947" s="50" t="n">
        <x:v>0.6516402116402116</x:v>
      </x:c>
      <x:c r="T1947" s="1" t="str">
        <x:v>デイ</x:v>
      </x:c>
      <x:c r="U1947" s="49" t="n">
        <x:v>24</x:v>
      </x:c>
    </x:row>
    <x:row r="1948" ht="22" customHeight="1">
      <x:c r="A1948" s="1" t="str">
        <x:v>TOPIXmini</x:v>
      </x:c>
      <x:c r="B1948" s="1" t="str">
        <x:v>R06</x:v>
      </x:c>
      <x:c r="C1948" s="1" t="str">
        <x:v>対照47場</x:v>
      </x:c>
      <x:c r="D1948" s="47" t="n">
        <x:v>1205238</x:v>
      </x:c>
      <x:c r="E1948" s="47" t="n">
        <x:v>1760694</x:v>
      </x:c>
      <x:c r="F1948" s="47" t="n">
        <x:f>D1948-E1948</x:f>
        <x:v>-555456</x:v>
      </x:c>
      <x:c r="G1948" s="49" t="n">
        <x:v>7</x:v>
      </x:c>
      <x:c r="H1948" s="49" t="n">
        <x:v>16</x:v>
      </x:c>
      <x:c r="I1948" s="47" t="n">
        <x:v>-694318</x:v>
      </x:c>
      <x:c r="J1948" s="49" t="n">
        <x:v>316</x:v>
      </x:c>
      <x:c r="K1948" s="47" t="n">
        <x:v>-99490</x:v>
      </x:c>
      <x:c r="L1948" s="47" t="n">
        <x:v>46365.25</x:v>
      </x:c>
      <x:c r="M1948" s="48" t="n">
        <x:v>45.50869565217391</x:v>
      </x:c>
      <x:c r="N1948" s="48" t="n">
        <x:v>464.3818840579711</x:v>
      </x:c>
      <x:c r="O1948" s="49" t="n">
        <x:v>2</x:v>
      </x:c>
      <x:c r="P1948" s="1" t="str">
        <x:v>同方向失敗後は新しい押し再進行を待つ・広め</x:v>
      </x:c>
      <x:c r="Q1948" s="49" t="n">
        <x:v>0</x:v>
      </x:c>
      <x:c r="R1948" s="50" t="n">
        <x:v>0.5953613898179115</x:v>
      </x:c>
      <x:c r="S1948" s="50" t="n">
        <x:v>0.5953613898179115</x:v>
      </x:c>
      <x:c r="T1948" s="1" t="str">
        <x:v>ナイト</x:v>
      </x:c>
      <x:c r="U1948" s="49" t="n">
        <x:v>23</x:v>
      </x:c>
    </x:row>
    <x:row r="1949" ht="22" customHeight="1">
      <x:c r="A1949" s="1" t="str">
        <x:v>TOPIXmini</x:v>
      </x:c>
      <x:c r="B1949" s="1" t="str">
        <x:v>R06</x:v>
      </x:c>
      <x:c r="C1949" s="1" t="str">
        <x:v>対照47場</x:v>
      </x:c>
      <x:c r="D1949" s="47" t="n">
        <x:v>938886</x:v>
      </x:c>
      <x:c r="E1949" s="47" t="n">
        <x:v>1623536</x:v>
      </x:c>
      <x:c r="F1949" s="47" t="n">
        <x:f>D1949-E1949</x:f>
        <x:v>-684650</x:v>
      </x:c>
      <x:c r="G1949" s="49" t="n">
        <x:v>6</x:v>
      </x:c>
      <x:c r="H1949" s="49" t="n">
        <x:v>18</x:v>
      </x:c>
      <x:c r="I1949" s="47" t="n">
        <x:v>-785504</x:v>
      </x:c>
      <x:c r="J1949" s="49" t="n">
        <x:v>275</x:v>
      </x:c>
      <x:c r="K1949" s="47" t="n">
        <x:v>-98652</x:v>
      </x:c>
      <x:c r="L1949" s="47" t="n">
        <x:v>45816.11111111111</x:v>
      </x:c>
      <x:c r="M1949" s="48" t="n">
        <x:v>32.924305555555556</x:v>
      </x:c>
      <x:c r="N1949" s="48" t="n">
        <x:v>351.50138888888887</x:v>
      </x:c>
      <x:c r="O1949" s="49" t="n">
        <x:v>2</x:v>
      </x:c>
      <x:c r="P1949" s="1" t="str">
        <x:v>同方向失敗後は新しい押し再進行を待つ・広め</x:v>
      </x:c>
      <x:c r="Q1949" s="49" t="n">
        <x:v>0</x:v>
      </x:c>
      <x:c r="R1949" s="50" t="n">
        <x:v>0.5904184472934474</x:v>
      </x:c>
      <x:c r="S1949" s="50" t="n">
        <x:v>0.5858356481481481</x:v>
      </x:c>
      <x:c r="T1949" s="1" t="str">
        <x:v>上昇</x:v>
      </x:c>
      <x:c r="U1949" s="49" t="n">
        <x:v>24</x:v>
      </x:c>
    </x:row>
    <x:row r="1950" ht="22" customHeight="1">
      <x:c r="A1950" s="1" t="str">
        <x:v>TOPIXmini</x:v>
      </x:c>
      <x:c r="B1950" s="1" t="str">
        <x:v>R06</x:v>
      </x:c>
      <x:c r="C1950" s="1" t="str">
        <x:v>対照47場</x:v>
      </x:c>
      <x:c r="D1950" s="47" t="n">
        <x:v>1249740</x:v>
      </x:c>
      <x:c r="E1950" s="47" t="n">
        <x:v>1565544</x:v>
      </x:c>
      <x:c r="F1950" s="47" t="n">
        <x:f>D1950-E1950</x:f>
        <x:v>-315804</x:v>
      </x:c>
      <x:c r="G1950" s="49" t="n">
        <x:v>8</x:v>
      </x:c>
      <x:c r="H1950" s="49" t="n">
        <x:v>15</x:v>
      </x:c>
      <x:c r="I1950" s="47" t="n">
        <x:v>-548994</x:v>
      </x:c>
      <x:c r="J1950" s="49" t="n">
        <x:v>294</x:v>
      </x:c>
      <x:c r="K1950" s="47" t="n">
        <x:v>-99490</x:v>
      </x:c>
      <x:c r="L1950" s="47" t="n">
        <x:v>42134.8</x:v>
      </x:c>
      <x:c r="M1950" s="48" t="n">
        <x:v>43.162318840579715</x:v>
      </x:c>
      <x:c r="N1950" s="48" t="n">
        <x:v>383.186231884058</x:v>
      </x:c>
      <x:c r="O1950" s="49" t="n">
        <x:v>2</x:v>
      </x:c>
      <x:c r="P1950" s="1" t="str">
        <x:v>同方向失敗後は新しい押し再進行を待つ・広め</x:v>
      </x:c>
      <x:c r="Q1950" s="49" t="n">
        <x:v>0</x:v>
      </x:c>
      <x:c r="R1950" s="50" t="n">
        <x:v>0.6592449700058396</x:v>
      </x:c>
      <x:c r="S1950" s="50" t="n">
        <x:v>0.6470839451786587</x:v>
      </x:c>
      <x:c r="T1950" s="1" t="str">
        <x:v>下落</x:v>
      </x:c>
      <x:c r="U1950" s="49" t="n">
        <x:v>23</x:v>
      </x:c>
    </x:row>
    <x:row r="1951" ht="22" customHeight="1">
      <x:c r="A1951" s="1" t="str">
        <x:v>TOPIXmini</x:v>
      </x:c>
      <x:c r="B1951" s="1" t="str">
        <x:v>R06</x:v>
      </x:c>
      <x:c r="C1951" s="1" t="str">
        <x:v>診断3場</x:v>
      </x:c>
      <x:c r="D1951" s="47" t="n">
        <x:v>172178</x:v>
      </x:c>
      <x:c r="E1951" s="47" t="n">
        <x:v>334972</x:v>
      </x:c>
      <x:c r="F1951" s="47" t="n">
        <x:f>D1951-E1951</x:f>
        <x:v>-162794</x:v>
      </x:c>
      <x:c r="G1951" s="49" t="n">
        <x:v>0</x:v>
      </x:c>
      <x:c r="H1951" s="49" t="n">
        <x:v>3</x:v>
      </x:c>
      <x:c r="I1951" s="47" t="n">
        <x:v>-162794</x:v>
      </x:c>
      <x:c r="J1951" s="49" t="n">
        <x:v>59</x:v>
      </x:c>
      <x:c r="K1951" s="47" t="n">
        <x:v>-97316</x:v>
      </x:c>
      <x:c r="L1951" s="47" t="n">
        <x:v>54264.666666666664</x:v>
      </x:c>
      <x:c r="M1951" s="48" t="n">
        <x:v>23.755555555555556</x:v>
      </x:c>
      <x:c r="N1951" s="48" t="n">
        <x:v>458.6611111111111</x:v>
      </x:c>
      <x:c r="O1951" s="49" t="n">
        <x:v>2</x:v>
      </x:c>
      <x:c r="P1951" s="1" t="str">
        <x:v>同方向失敗後は新しい押し再進行を待つ・広め</x:v>
      </x:c>
      <x:c r="Q1951" s="49" t="n">
        <x:v>0</x:v>
      </x:c>
      <x:c r="R1951" s="50" t="n">
        <x:v>0.700377492877493</x:v>
      </x:c>
      <x:c r="S1951" s="50" t="n">
        <x:v>0.6949410774410775</x:v>
      </x:c>
      <x:c r="T1951" s="1" t="str">
        <x:v>全場</x:v>
      </x:c>
      <x:c r="U1951" s="49" t="n">
        <x:v>3</x:v>
      </x:c>
    </x:row>
    <x:row r="1952" ht="22" customHeight="1">
      <x:c r="A1952" s="1" t="str">
        <x:v>TOPIXmini</x:v>
      </x:c>
      <x:c r="B1952" s="1" t="str">
        <x:v>R06</x:v>
      </x:c>
      <x:c r="C1952" s="1" t="str">
        <x:v>診断3場</x:v>
      </x:c>
      <x:c r="D1952" s="47" t="n">
        <x:v>60170</x:v>
      </x:c>
      <x:c r="E1952" s="47" t="n">
        <x:v>97660</x:v>
      </x:c>
      <x:c r="F1952" s="47" t="n">
        <x:f>D1952-E1952</x:f>
        <x:v>-37490</x:v>
      </x:c>
      <x:c r="G1952" s="49" t="n">
        <x:v>0</x:v>
      </x:c>
      <x:c r="H1952" s="49" t="n">
        <x:v>1</x:v>
      </x:c>
      <x:c r="I1952" s="47" t="n">
        <x:v>-37490</x:v>
      </x:c>
      <x:c r="J1952" s="49" t="n">
        <x:v>15</x:v>
      </x:c>
      <x:c r="K1952" s="47" t="n">
        <x:v>-37490</x:v>
      </x:c>
      <x:c r="L1952" s="47" t="n">
        <x:v>37490</x:v>
      </x:c>
      <x:c r="M1952" s="48" t="n">
        <x:v>23.083333333333332</x:v>
      </x:c>
      <x:c r="N1952" s="48" t="n">
        <x:v>306.71666666666664</x:v>
      </x:c>
      <x:c r="O1952" s="49" t="n">
        <x:v>2</x:v>
      </x:c>
      <x:c r="P1952" s="1" t="str">
        <x:v>同方向失敗後は新しい押し再進行を待つ・広め</x:v>
      </x:c>
      <x:c r="Q1952" s="49" t="n">
        <x:v>0</x:v>
      </x:c>
      <x:c r="R1952" s="50" t="n">
        <x:v>0.7302777777777778</x:v>
      </x:c>
      <x:c r="S1952" s="50" t="n">
        <x:v>0.7302777777777777</x:v>
      </x:c>
      <x:c r="T1952" s="1" t="str">
        <x:v>デイ</x:v>
      </x:c>
      <x:c r="U1952" s="49" t="n">
        <x:v>1</x:v>
      </x:c>
    </x:row>
    <x:row r="1953" ht="22" customHeight="1">
      <x:c r="A1953" s="1" t="str">
        <x:v>TOPIXmini</x:v>
      </x:c>
      <x:c r="B1953" s="1" t="str">
        <x:v>R06</x:v>
      </x:c>
      <x:c r="C1953" s="1" t="str">
        <x:v>診断3場</x:v>
      </x:c>
      <x:c r="D1953" s="47" t="n">
        <x:v>112008</x:v>
      </x:c>
      <x:c r="E1953" s="47" t="n">
        <x:v>237312</x:v>
      </x:c>
      <x:c r="F1953" s="47" t="n">
        <x:f>D1953-E1953</x:f>
        <x:v>-125304</x:v>
      </x:c>
      <x:c r="G1953" s="49" t="n">
        <x:v>0</x:v>
      </x:c>
      <x:c r="H1953" s="49" t="n">
        <x:v>2</x:v>
      </x:c>
      <x:c r="I1953" s="47" t="n">
        <x:v>-125304</x:v>
      </x:c>
      <x:c r="J1953" s="49" t="n">
        <x:v>44</x:v>
      </x:c>
      <x:c r="K1953" s="47" t="n">
        <x:v>-97316</x:v>
      </x:c>
      <x:c r="L1953" s="47" t="n">
        <x:v>62652</x:v>
      </x:c>
      <x:c r="M1953" s="48" t="n">
        <x:v>24.09166666666667</x:v>
      </x:c>
      <x:c r="N1953" s="48" t="n">
        <x:v>534.6333333333333</x:v>
      </x:c>
      <x:c r="O1953" s="49" t="n">
        <x:v>2</x:v>
      </x:c>
      <x:c r="P1953" s="1" t="str">
        <x:v>同方向失敗後は新しい押し再進行を待つ・広め</x:v>
      </x:c>
      <x:c r="Q1953" s="49" t="n">
        <x:v>0</x:v>
      </x:c>
      <x:c r="R1953" s="50" t="n">
        <x:v>0.6854273504273505</x:v>
      </x:c>
      <x:c r="S1953" s="50" t="n">
        <x:v>0.6854273504273504</x:v>
      </x:c>
      <x:c r="T1953" s="1" t="str">
        <x:v>ナイト</x:v>
      </x:c>
      <x:c r="U1953" s="49" t="n">
        <x:v>2</x:v>
      </x:c>
    </x:row>
    <x:row r="1954" ht="22" customHeight="1">
      <x:c r="A1954" s="1" t="str">
        <x:v>TOPIXmini</x:v>
      </x:c>
      <x:c r="B1954" s="1" t="str">
        <x:v>R06</x:v>
      </x:c>
      <x:c r="C1954" s="1" t="str">
        <x:v>診断3場</x:v>
      </x:c>
      <x:c r="D1954" s="47" t="n">
        <x:v>70170</x:v>
      </x:c>
      <x:c r="E1954" s="47" t="n">
        <x:v>98158</x:v>
      </x:c>
      <x:c r="F1954" s="47" t="n">
        <x:f>D1954-E1954</x:f>
        <x:v>-27988</x:v>
      </x:c>
      <x:c r="G1954" s="49" t="n">
        <x:v>0</x:v>
      </x:c>
      <x:c r="H1954" s="49" t="n">
        <x:v>1</x:v>
      </x:c>
      <x:c r="I1954" s="47" t="n">
        <x:v>-27988</x:v>
      </x:c>
      <x:c r="J1954" s="49" t="n">
        <x:v>18</x:v>
      </x:c>
      <x:c r="K1954" s="47" t="n">
        <x:v>-27988</x:v>
      </x:c>
      <x:c r="L1954" s="47" t="n">
        <x:v>27988</x:v>
      </x:c>
      <x:c r="M1954" s="48" t="n">
        <x:v>23.283333333333335</x:v>
      </x:c>
      <x:c r="N1954" s="48" t="n">
        <x:v>489.68333333333334</x:v>
      </x:c>
      <x:c r="O1954" s="49" t="n">
        <x:v>2</x:v>
      </x:c>
      <x:c r="P1954" s="1" t="str">
        <x:v>同方向失敗後は新しい押し再進行を待つ・広め</x:v>
      </x:c>
      <x:c r="Q1954" s="49" t="n">
        <x:v>0</x:v>
      </x:c>
      <x:c r="R1954" s="50" t="n">
        <x:v>0.6277991452991453</x:v>
      </x:c>
      <x:c r="S1954" s="50" t="n">
        <x:v>0.6277991452991453</x:v>
      </x:c>
      <x:c r="T1954" s="1" t="str">
        <x:v>上昇</x:v>
      </x:c>
      <x:c r="U1954" s="49" t="n">
        <x:v>1</x:v>
      </x:c>
    </x:row>
    <x:row r="1955" ht="22" customHeight="1">
      <x:c r="A1955" s="1" t="str">
        <x:v>TOPIXmini</x:v>
      </x:c>
      <x:c r="B1955" s="1" t="str">
        <x:v>R06</x:v>
      </x:c>
      <x:c r="C1955" s="1" t="str">
        <x:v>診断3場</x:v>
      </x:c>
      <x:c r="D1955" s="47" t="n">
        <x:v>102008</x:v>
      </x:c>
      <x:c r="E1955" s="47" t="n">
        <x:v>236814</x:v>
      </x:c>
      <x:c r="F1955" s="47" t="n">
        <x:f>D1955-E1955</x:f>
        <x:v>-134806</x:v>
      </x:c>
      <x:c r="G1955" s="49" t="n">
        <x:v>0</x:v>
      </x:c>
      <x:c r="H1955" s="49" t="n">
        <x:v>2</x:v>
      </x:c>
      <x:c r="I1955" s="47" t="n">
        <x:v>-134806</x:v>
      </x:c>
      <x:c r="J1955" s="49" t="n">
        <x:v>41</x:v>
      </x:c>
      <x:c r="K1955" s="47" t="n">
        <x:v>-97316</x:v>
      </x:c>
      <x:c r="L1955" s="47" t="n">
        <x:v>67403</x:v>
      </x:c>
      <x:c r="M1955" s="48" t="n">
        <x:v>23.991666666666667</x:v>
      </x:c>
      <x:c r="N1955" s="48" t="n">
        <x:v>443.15</x:v>
      </x:c>
      <x:c r="O1955" s="49" t="n">
        <x:v>2</x:v>
      </x:c>
      <x:c r="P1955" s="1" t="str">
        <x:v>同方向失敗後は新しい押し再進行を待つ・広め</x:v>
      </x:c>
      <x:c r="Q1955" s="49" t="n">
        <x:v>0</x:v>
      </x:c>
      <x:c r="R1955" s="50" t="n">
        <x:v>0.7366666666666667</x:v>
      </x:c>
      <x:c r="S1955" s="50" t="n">
        <x:v>0.7385833333333333</x:v>
      </x:c>
      <x:c r="T1955" s="1" t="str">
        <x:v>下落</x:v>
      </x:c>
      <x:c r="U1955" s="49" t="n">
        <x:v>2</x:v>
      </x:c>
    </x:row>
    <x:row r="1956" ht="22" customHeight="1">
      <x:c r="A1956" s="1" t="str">
        <x:v>TOPIXmini</x:v>
      </x:c>
      <x:c r="B1956" s="1" t="str">
        <x:v>V01</x:v>
      </x:c>
      <x:c r="C1956" s="1" t="str">
        <x:v>全50場</x:v>
      </x:c>
      <x:c r="D1956" s="47" t="n">
        <x:v>5264918</x:v>
      </x:c>
      <x:c r="E1956" s="47" t="n">
        <x:v>5963132</x:v>
      </x:c>
      <x:c r="F1956" s="47" t="n">
        <x:f>D1956-E1956</x:f>
        <x:v>-698214</x:v>
      </x:c>
      <x:c r="G1956" s="49" t="n">
        <x:v>20</x:v>
      </x:c>
      <x:c r="H1956" s="49" t="n">
        <x:v>30</x:v>
      </x:c>
      <x:c r="I1956" s="47" t="n">
        <x:v>-1080990</x:v>
      </x:c>
      <x:c r="J1956" s="49" t="n">
        <x:v>1072</x:v>
      </x:c>
      <x:c r="K1956" s="47" t="n">
        <x:v>-146901</x:v>
      </x:c>
      <x:c r="L1956" s="47" t="n">
        <x:v>56538.86666666667</x:v>
      </x:c>
      <x:c r="M1956" s="48" t="n">
        <x:v>37.083666666666666</x:v>
      </x:c>
      <x:c r="N1956" s="48" t="n">
        <x:v>360.03700000000003</x:v>
      </x:c>
      <x:c r="O1956" s="49" t="n">
        <x:v>7</x:v>
      </x:c>
      <x:c r="P1956" s="1" t="str">
        <x:v>中期状態の基準併用：中期の支持状態を維持・標準</x:v>
      </x:c>
      <x:c r="Q1956" s="49" t="n">
        <x:v>0</x:v>
      </x:c>
      <x:c r="R1956" s="50" t="n">
        <x:v>0.6282338827838828</x:v>
      </x:c>
      <x:c r="S1956" s="50" t="n">
        <x:v>0.6000616666666666</x:v>
      </x:c>
      <x:c r="T1956" s="1" t="str">
        <x:v>全場</x:v>
      </x:c>
      <x:c r="U1956" s="49" t="n">
        <x:v>50</x:v>
      </x:c>
    </x:row>
    <x:row r="1957" ht="22" customHeight="1">
      <x:c r="A1957" s="1" t="str">
        <x:v>TOPIXmini</x:v>
      </x:c>
      <x:c r="B1957" s="1" t="str">
        <x:v>V01</x:v>
      </x:c>
      <x:c r="C1957" s="1" t="str">
        <x:v>全50場</x:v>
      </x:c>
      <x:c r="D1957" s="47" t="n">
        <x:v>2684928</x:v>
      </x:c>
      <x:c r="E1957" s="47" t="n">
        <x:v>2761584</x:v>
      </x:c>
      <x:c r="F1957" s="47" t="n">
        <x:f>D1957-E1957</x:f>
        <x:v>-76656</x:v>
      </x:c>
      <x:c r="G1957" s="49" t="n">
        <x:v>12</x:v>
      </x:c>
      <x:c r="H1957" s="49" t="n">
        <x:v>13</x:v>
      </x:c>
      <x:c r="I1957" s="47" t="n">
        <x:v>-459432</x:v>
      </x:c>
      <x:c r="J1957" s="49" t="n">
        <x:v>485</x:v>
      </x:c>
      <x:c r="K1957" s="47" t="n">
        <x:v>-115816</x:v>
      </x:c>
      <x:c r="L1957" s="47" t="n">
        <x:v>65309.92307692308</x:v>
      </x:c>
      <x:c r="M1957" s="48" t="n">
        <x:v>30.372000000000003</x:v>
      </x:c>
      <x:c r="N1957" s="48" t="n">
        <x:v>303.2993333333333</x:v>
      </x:c>
      <x:c r="O1957" s="49" t="n">
        <x:v>7</x:v>
      </x:c>
      <x:c r="P1957" s="1" t="str">
        <x:v>中期状態の基準併用：中期の支持状態を維持・標準</x:v>
      </x:c>
      <x:c r="Q1957" s="49" t="n">
        <x:v>0</x:v>
      </x:c>
      <x:c r="R1957" s="50" t="n">
        <x:v>0.7221412698412698</x:v>
      </x:c>
      <x:c r="S1957" s="50" t="n">
        <x:v>0.7221412698412699</x:v>
      </x:c>
      <x:c r="T1957" s="1" t="str">
        <x:v>デイ</x:v>
      </x:c>
      <x:c r="U1957" s="49" t="n">
        <x:v>25</x:v>
      </x:c>
    </x:row>
    <x:row r="1958" ht="22" customHeight="1">
      <x:c r="A1958" s="1" t="str">
        <x:v>TOPIXmini</x:v>
      </x:c>
      <x:c r="B1958" s="1" t="str">
        <x:v>V01</x:v>
      </x:c>
      <x:c r="C1958" s="1" t="str">
        <x:v>全50場</x:v>
      </x:c>
      <x:c r="D1958" s="47" t="n">
        <x:v>2579990</x:v>
      </x:c>
      <x:c r="E1958" s="47" t="n">
        <x:v>3201548</x:v>
      </x:c>
      <x:c r="F1958" s="47" t="n">
        <x:f>D1958-E1958</x:f>
        <x:v>-621558</x:v>
      </x:c>
      <x:c r="G1958" s="49" t="n">
        <x:v>8</x:v>
      </x:c>
      <x:c r="H1958" s="49" t="n">
        <x:v>17</x:v>
      </x:c>
      <x:c r="I1958" s="47" t="n">
        <x:v>-759689</x:v>
      </x:c>
      <x:c r="J1958" s="49" t="n">
        <x:v>587</x:v>
      </x:c>
      <x:c r="K1958" s="47" t="n">
        <x:v>-146901</x:v>
      </x:c>
      <x:c r="L1958" s="47" t="n">
        <x:v>49831.58823529412</x:v>
      </x:c>
      <x:c r="M1958" s="48" t="n">
        <x:v>43.79533333333333</x:v>
      </x:c>
      <x:c r="N1958" s="48" t="n">
        <x:v>416.7746666666666</x:v>
      </x:c>
      <x:c r="O1958" s="49" t="n">
        <x:v>7</x:v>
      </x:c>
      <x:c r="P1958" s="1" t="str">
        <x:v>中期状態の基準併用：中期の支持状態を維持・標準</x:v>
      </x:c>
      <x:c r="Q1958" s="49" t="n">
        <x:v>0</x:v>
      </x:c>
      <x:c r="R1958" s="50" t="n">
        <x:v>0.5343264957264958</x:v>
      </x:c>
      <x:c r="S1958" s="50" t="n">
        <x:v>0.5343264957264957</x:v>
      </x:c>
      <x:c r="T1958" s="1" t="str">
        <x:v>ナイト</x:v>
      </x:c>
      <x:c r="U1958" s="49" t="n">
        <x:v>25</x:v>
      </x:c>
    </x:row>
    <x:row r="1959" ht="22" customHeight="1">
      <x:c r="A1959" s="1" t="str">
        <x:v>TOPIXmini</x:v>
      </x:c>
      <x:c r="B1959" s="1" t="str">
        <x:v>V01</x:v>
      </x:c>
      <x:c r="C1959" s="1" t="str">
        <x:v>全50場</x:v>
      </x:c>
      <x:c r="D1959" s="47" t="n">
        <x:v>2235654</x:v>
      </x:c>
      <x:c r="E1959" s="47" t="n">
        <x:v>2790503</x:v>
      </x:c>
      <x:c r="F1959" s="47" t="n">
        <x:f>D1959-E1959</x:f>
        <x:v>-554849</x:v>
      </x:c>
      <x:c r="G1959" s="49" t="n">
        <x:v>8</x:v>
      </x:c>
      <x:c r="H1959" s="49" t="n">
        <x:v>17</x:v>
      </x:c>
      <x:c r="I1959" s="47" t="n">
        <x:v>-738964</x:v>
      </x:c>
      <x:c r="J1959" s="49" t="n">
        <x:v>485</x:v>
      </x:c>
      <x:c r="K1959" s="47" t="n">
        <x:v>-115816</x:v>
      </x:c>
      <x:c r="L1959" s="47" t="n">
        <x:v>47382.76470588235</x:v>
      </x:c>
      <x:c r="M1959" s="48" t="n">
        <x:v>32.53866666666667</x:v>
      </x:c>
      <x:c r="N1959" s="48" t="n">
        <x:v>354.55400000000003</x:v>
      </x:c>
      <x:c r="O1959" s="49" t="n">
        <x:v>7</x:v>
      </x:c>
      <x:c r="P1959" s="1" t="str">
        <x:v>中期状態の基準併用：中期の支持状態を維持・標準</x:v>
      </x:c>
      <x:c r="Q1959" s="49" t="n">
        <x:v>0</x:v>
      </x:c>
      <x:c r="R1959" s="50" t="n">
        <x:v>0.6024216117216118</x:v>
      </x:c>
      <x:c r="S1959" s="50" t="n">
        <x:v>0.5839163372859025</x:v>
      </x:c>
      <x:c r="T1959" s="1" t="str">
        <x:v>上昇</x:v>
      </x:c>
      <x:c r="U1959" s="49" t="n">
        <x:v>25</x:v>
      </x:c>
    </x:row>
    <x:row r="1960" ht="22" customHeight="1">
      <x:c r="A1960" s="1" t="str">
        <x:v>TOPIXmini</x:v>
      </x:c>
      <x:c r="B1960" s="1" t="str">
        <x:v>V01</x:v>
      </x:c>
      <x:c r="C1960" s="1" t="str">
        <x:v>全50場</x:v>
      </x:c>
      <x:c r="D1960" s="47" t="n">
        <x:v>3029264</x:v>
      </x:c>
      <x:c r="E1960" s="47" t="n">
        <x:v>3172629</x:v>
      </x:c>
      <x:c r="F1960" s="47" t="n">
        <x:f>D1960-E1960</x:f>
        <x:v>-143365</x:v>
      </x:c>
      <x:c r="G1960" s="49" t="n">
        <x:v>12</x:v>
      </x:c>
      <x:c r="H1960" s="49" t="n">
        <x:v>13</x:v>
      </x:c>
      <x:c r="I1960" s="47" t="n">
        <x:v>-516301</x:v>
      </x:c>
      <x:c r="J1960" s="49" t="n">
        <x:v>587</x:v>
      </x:c>
      <x:c r="K1960" s="47" t="n">
        <x:v>-146901</x:v>
      </x:c>
      <x:c r="L1960" s="47" t="n">
        <x:v>68512.23076923077</x:v>
      </x:c>
      <x:c r="M1960" s="48" t="n">
        <x:v>41.62866666666667</x:v>
      </x:c>
      <x:c r="N1960" s="48" t="n">
        <x:v>365.52</x:v>
      </x:c>
      <x:c r="O1960" s="49" t="n">
        <x:v>7</x:v>
      </x:c>
      <x:c r="P1960" s="1" t="str">
        <x:v>中期状態の基準併用：中期の支持状態を維持・標準</x:v>
      </x:c>
      <x:c r="Q1960" s="49" t="n">
        <x:v>0</x:v>
      </x:c>
      <x:c r="R1960" s="50" t="n">
        <x:v>0.6540461538461538</x:v>
      </x:c>
      <x:c r="S1960" s="50" t="n">
        <x:v>0.6165991902834008</x:v>
      </x:c>
      <x:c r="T1960" s="1" t="str">
        <x:v>下落</x:v>
      </x:c>
      <x:c r="U1960" s="49" t="n">
        <x:v>25</x:v>
      </x:c>
    </x:row>
    <x:row r="1961" ht="22" customHeight="1">
      <x:c r="A1961" s="1" t="str">
        <x:v>TOPIXmini</x:v>
      </x:c>
      <x:c r="B1961" s="1" t="str">
        <x:v>V01</x:v>
      </x:c>
      <x:c r="C1961" s="1" t="str">
        <x:v>対照47場</x:v>
      </x:c>
      <x:c r="D1961" s="47" t="n">
        <x:v>4817815</x:v>
      </x:c>
      <x:c r="E1961" s="47" t="n">
        <x:v>5307178</x:v>
      </x:c>
      <x:c r="F1961" s="47" t="n">
        <x:f>D1961-E1961</x:f>
        <x:v>-489363</x:v>
      </x:c>
      <x:c r="G1961" s="49" t="n">
        <x:v>20</x:v>
      </x:c>
      <x:c r="H1961" s="49" t="n">
        <x:v>27</x:v>
      </x:c>
      <x:c r="I1961" s="47" t="n">
        <x:v>-872139</x:v>
      </x:c>
      <x:c r="J1961" s="49" t="n">
        <x:v>959</x:v>
      </x:c>
      <x:c r="K1961" s="47" t="n">
        <x:v>-146901</x:v>
      </x:c>
      <x:c r="L1961" s="47" t="n">
        <x:v>55085.74074074074</x:v>
      </x:c>
      <x:c r="M1961" s="48" t="n">
        <x:v>37.934397163120565</x:v>
      </x:c>
      <x:c r="N1961" s="48" t="n">
        <x:v>353.3379432624114</x:v>
      </x:c>
      <x:c r="O1961" s="49" t="n">
        <x:v>7</x:v>
      </x:c>
      <x:c r="P1961" s="1" t="str">
        <x:v>中期状態の基準併用：中期の支持状態を維持・標準</x:v>
      </x:c>
      <x:c r="Q1961" s="49" t="n">
        <x:v>0</x:v>
      </x:c>
      <x:c r="R1961" s="50" t="n">
        <x:v>0.6225449432364325</x:v>
      </x:c>
      <x:c r="S1961" s="50" t="n">
        <x:v>0.5926796335950513</x:v>
      </x:c>
      <x:c r="T1961" s="1" t="str">
        <x:v>全場</x:v>
      </x:c>
      <x:c r="U1961" s="49" t="n">
        <x:v>47</x:v>
      </x:c>
    </x:row>
    <x:row r="1962" ht="22" customHeight="1">
      <x:c r="A1962" s="1" t="str">
        <x:v>TOPIXmini</x:v>
      </x:c>
      <x:c r="B1962" s="1" t="str">
        <x:v>V01</x:v>
      </x:c>
      <x:c r="C1962" s="1" t="str">
        <x:v>対照47場</x:v>
      </x:c>
      <x:c r="D1962" s="47" t="n">
        <x:v>2524502</x:v>
      </x:c>
      <x:c r="E1962" s="47" t="n">
        <x:v>2502264</x:v>
      </x:c>
      <x:c r="F1962" s="47" t="n">
        <x:f>D1962-E1962</x:f>
        <x:v>22238</x:v>
      </x:c>
      <x:c r="G1962" s="49" t="n">
        <x:v>12</x:v>
      </x:c>
      <x:c r="H1962" s="49" t="n">
        <x:v>12</x:v>
      </x:c>
      <x:c r="I1962" s="47" t="n">
        <x:v>-360538</x:v>
      </x:c>
      <x:c r="J1962" s="49" t="n">
        <x:v>450</x:v>
      </x:c>
      <x:c r="K1962" s="47" t="n">
        <x:v>-115816</x:v>
      </x:c>
      <x:c r="L1962" s="47" t="n">
        <x:v>62511.25</x:v>
      </x:c>
      <x:c r="M1962" s="48" t="n">
        <x:v>30.675694444444446</x:v>
      </x:c>
      <x:c r="N1962" s="48" t="n">
        <x:v>302.1479166666667</x:v>
      </x:c>
      <x:c r="O1962" s="49" t="n">
        <x:v>7</x:v>
      </x:c>
      <x:c r="P1962" s="1" t="str">
        <x:v>中期状態の基準併用：中期の支持状態を維持・標準</x:v>
      </x:c>
      <x:c r="Q1962" s="49" t="n">
        <x:v>0</x:v>
      </x:c>
      <x:c r="R1962" s="50" t="n">
        <x:v>0.7193998015873015</x:v>
      </x:c>
      <x:c r="S1962" s="50" t="n">
        <x:v>0.7193998015873017</x:v>
      </x:c>
      <x:c r="T1962" s="1" t="str">
        <x:v>デイ</x:v>
      </x:c>
      <x:c r="U1962" s="49" t="n">
        <x:v>24</x:v>
      </x:c>
    </x:row>
    <x:row r="1963" ht="22" customHeight="1">
      <x:c r="A1963" s="1" t="str">
        <x:v>TOPIXmini</x:v>
      </x:c>
      <x:c r="B1963" s="1" t="str">
        <x:v>V01</x:v>
      </x:c>
      <x:c r="C1963" s="1" t="str">
        <x:v>対照47場</x:v>
      </x:c>
      <x:c r="D1963" s="47" t="n">
        <x:v>2293313</x:v>
      </x:c>
      <x:c r="E1963" s="47" t="n">
        <x:v>2804914</x:v>
      </x:c>
      <x:c r="F1963" s="47" t="n">
        <x:f>D1963-E1963</x:f>
        <x:v>-511601</x:v>
      </x:c>
      <x:c r="G1963" s="49" t="n">
        <x:v>8</x:v>
      </x:c>
      <x:c r="H1963" s="49" t="n">
        <x:v>15</x:v>
      </x:c>
      <x:c r="I1963" s="47" t="n">
        <x:v>-649732</x:v>
      </x:c>
      <x:c r="J1963" s="49" t="n">
        <x:v>509</x:v>
      </x:c>
      <x:c r="K1963" s="47" t="n">
        <x:v>-146901</x:v>
      </x:c>
      <x:c r="L1963" s="47" t="n">
        <x:v>49145.333333333336</x:v>
      </x:c>
      <x:c r="M1963" s="48" t="n">
        <x:v>45.50869565217391</x:v>
      </x:c>
      <x:c r="N1963" s="48" t="n">
        <x:v>406.75362318840575</x:v>
      </x:c>
      <x:c r="O1963" s="49" t="n">
        <x:v>7</x:v>
      </x:c>
      <x:c r="P1963" s="1" t="str">
        <x:v>中期状態の基準併用：中期の支持状態を維持・標準</x:v>
      </x:c>
      <x:c r="Q1963" s="49" t="n">
        <x:v>0</x:v>
      </x:c>
      <x:c r="R1963" s="50" t="n">
        <x:v>0.5214790040876998</x:v>
      </x:c>
      <x:c r="S1963" s="50" t="n">
        <x:v>0.5214790040876998</x:v>
      </x:c>
      <x:c r="T1963" s="1" t="str">
        <x:v>ナイト</x:v>
      </x:c>
      <x:c r="U1963" s="49" t="n">
        <x:v>23</x:v>
      </x:c>
    </x:row>
    <x:row r="1964" ht="22" customHeight="1">
      <x:c r="A1964" s="1" t="str">
        <x:v>TOPIXmini</x:v>
      </x:c>
      <x:c r="B1964" s="1" t="str">
        <x:v>V01</x:v>
      </x:c>
      <x:c r="C1964" s="1" t="str">
        <x:v>対照47場</x:v>
      </x:c>
      <x:c r="D1964" s="47" t="n">
        <x:v>2120066</x:v>
      </x:c>
      <x:c r="E1964" s="47" t="n">
        <x:v>2630686</x:v>
      </x:c>
      <x:c r="F1964" s="47" t="n">
        <x:f>D1964-E1964</x:f>
        <x:v>-510620</x:v>
      </x:c>
      <x:c r="G1964" s="49" t="n">
        <x:v>8</x:v>
      </x:c>
      <x:c r="H1964" s="49" t="n">
        <x:v>16</x:v>
      </x:c>
      <x:c r="I1964" s="47" t="n">
        <x:v>-694735</x:v>
      </x:c>
      <x:c r="J1964" s="49" t="n">
        <x:v>452</x:v>
      </x:c>
      <x:c r="K1964" s="47" t="n">
        <x:v>-115816</x:v>
      </x:c>
      <x:c r="L1964" s="47" t="n">
        <x:v>47579.875</x:v>
      </x:c>
      <x:c r="M1964" s="48" t="n">
        <x:v>32.924305555555556</x:v>
      </x:c>
      <x:c r="N1964" s="48" t="n">
        <x:v>347.5152777777778</x:v>
      </x:c>
      <x:c r="O1964" s="49" t="n">
        <x:v>7</x:v>
      </x:c>
      <x:c r="P1964" s="1" t="str">
        <x:v>中期状態の基準併用：中期の支持状態を維持・標準</x:v>
      </x:c>
      <x:c r="Q1964" s="49" t="n">
        <x:v>0</x:v>
      </x:c>
      <x:c r="R1964" s="50" t="n">
        <x:v>0.5995586589336589</x:v>
      </x:c>
      <x:c r="S1964" s="50" t="n">
        <x:v>0.5791921296296296</x:v>
      </x:c>
      <x:c r="T1964" s="1" t="str">
        <x:v>上昇</x:v>
      </x:c>
      <x:c r="U1964" s="49" t="n">
        <x:v>24</x:v>
      </x:c>
    </x:row>
    <x:row r="1965" ht="22" customHeight="1">
      <x:c r="A1965" s="1" t="str">
        <x:v>TOPIXmini</x:v>
      </x:c>
      <x:c r="B1965" s="1" t="str">
        <x:v>V01</x:v>
      </x:c>
      <x:c r="C1965" s="1" t="str">
        <x:v>対照47場</x:v>
      </x:c>
      <x:c r="D1965" s="47" t="n">
        <x:v>2697749</x:v>
      </x:c>
      <x:c r="E1965" s="47" t="n">
        <x:v>2676492</x:v>
      </x:c>
      <x:c r="F1965" s="47" t="n">
        <x:f>D1965-E1965</x:f>
        <x:v>21257</x:v>
      </x:c>
      <x:c r="G1965" s="49" t="n">
        <x:v>12</x:v>
      </x:c>
      <x:c r="H1965" s="49" t="n">
        <x:v>11</x:v>
      </x:c>
      <x:c r="I1965" s="47" t="n">
        <x:v>-351679</x:v>
      </x:c>
      <x:c r="J1965" s="49" t="n">
        <x:v>507</x:v>
      </x:c>
      <x:c r="K1965" s="47" t="n">
        <x:v>-146901</x:v>
      </x:c>
      <x:c r="L1965" s="47" t="n">
        <x:v>66003.36363636363</x:v>
      </x:c>
      <x:c r="M1965" s="48" t="n">
        <x:v>43.162318840579715</x:v>
      </x:c>
      <x:c r="N1965" s="48" t="n">
        <x:v>359.413768115942</x:v>
      </x:c>
      <x:c r="O1965" s="49" t="n">
        <x:v>7</x:v>
      </x:c>
      <x:c r="P1965" s="1" t="str">
        <x:v>中期状態の基準併用：中期の支持状態を維持・標準</x:v>
      </x:c>
      <x:c r="Q1965" s="49" t="n">
        <x:v>0</x:v>
      </x:c>
      <x:c r="R1965" s="50" t="n">
        <x:v>0.6465306312045442</x:v>
      </x:c>
      <x:c r="S1965" s="50" t="n">
        <x:v>0.6069395496818404</x:v>
      </x:c>
      <x:c r="T1965" s="1" t="str">
        <x:v>下落</x:v>
      </x:c>
      <x:c r="U1965" s="49" t="n">
        <x:v>23</x:v>
      </x:c>
    </x:row>
    <x:row r="1966" ht="22" customHeight="1">
      <x:c r="A1966" s="1" t="str">
        <x:v>TOPIXmini</x:v>
      </x:c>
      <x:c r="B1966" s="1" t="str">
        <x:v>V01</x:v>
      </x:c>
      <x:c r="C1966" s="1" t="str">
        <x:v>診断3場</x:v>
      </x:c>
      <x:c r="D1966" s="47" t="n">
        <x:v>447103</x:v>
      </x:c>
      <x:c r="E1966" s="47" t="n">
        <x:v>655954</x:v>
      </x:c>
      <x:c r="F1966" s="47" t="n">
        <x:f>D1966-E1966</x:f>
        <x:v>-208851</x:v>
      </x:c>
      <x:c r="G1966" s="49" t="n">
        <x:v>0</x:v>
      </x:c>
      <x:c r="H1966" s="49" t="n">
        <x:v>3</x:v>
      </x:c>
      <x:c r="I1966" s="47" t="n">
        <x:v>-208851</x:v>
      </x:c>
      <x:c r="J1966" s="49" t="n">
        <x:v>113</x:v>
      </x:c>
      <x:c r="K1966" s="47" t="n">
        <x:v>-98894</x:v>
      </x:c>
      <x:c r="L1966" s="47" t="n">
        <x:v>69617</x:v>
      </x:c>
      <x:c r="M1966" s="48" t="n">
        <x:v>23.755555555555556</x:v>
      </x:c>
      <x:c r="N1966" s="48" t="n">
        <x:v>464.9888888888889</x:v>
      </x:c>
      <x:c r="O1966" s="49" t="n">
        <x:v>7</x:v>
      </x:c>
      <x:c r="P1966" s="1" t="str">
        <x:v>中期状態の基準併用：中期の支持状態を維持・標準</x:v>
      </x:c>
      <x:c r="Q1966" s="49" t="n">
        <x:v>0</x:v>
      </x:c>
      <x:c r="R1966" s="50" t="n">
        <x:v>0.7173606023606024</x:v>
      </x:c>
      <x:c r="S1966" s="50" t="n">
        <x:v>0.7045286195286196</x:v>
      </x:c>
      <x:c r="T1966" s="1" t="str">
        <x:v>全場</x:v>
      </x:c>
      <x:c r="U1966" s="49" t="n">
        <x:v>3</x:v>
      </x:c>
    </x:row>
    <x:row r="1967" ht="22" customHeight="1">
      <x:c r="A1967" s="1" t="str">
        <x:v>TOPIXmini</x:v>
      </x:c>
      <x:c r="B1967" s="1" t="str">
        <x:v>V01</x:v>
      </x:c>
      <x:c r="C1967" s="1" t="str">
        <x:v>診断3場</x:v>
      </x:c>
      <x:c r="D1967" s="47" t="n">
        <x:v>160426</x:v>
      </x:c>
      <x:c r="E1967" s="47" t="n">
        <x:v>259320</x:v>
      </x:c>
      <x:c r="F1967" s="47" t="n">
        <x:f>D1967-E1967</x:f>
        <x:v>-98894</x:v>
      </x:c>
      <x:c r="G1967" s="49" t="n">
        <x:v>0</x:v>
      </x:c>
      <x:c r="H1967" s="49" t="n">
        <x:v>1</x:v>
      </x:c>
      <x:c r="I1967" s="47" t="n">
        <x:v>-98894</x:v>
      </x:c>
      <x:c r="J1967" s="49" t="n">
        <x:v>35</x:v>
      </x:c>
      <x:c r="K1967" s="47" t="n">
        <x:v>-98894</x:v>
      </x:c>
      <x:c r="L1967" s="47" t="n">
        <x:v>98894</x:v>
      </x:c>
      <x:c r="M1967" s="48" t="n">
        <x:v>23.083333333333332</x:v>
      </x:c>
      <x:c r="N1967" s="48" t="n">
        <x:v>330.93333333333334</x:v>
      </x:c>
      <x:c r="O1967" s="49" t="n">
        <x:v>7</x:v>
      </x:c>
      <x:c r="P1967" s="1" t="str">
        <x:v>中期状態の基準併用：中期の支持状態を維持・標準</x:v>
      </x:c>
      <x:c r="Q1967" s="49" t="n">
        <x:v>0</x:v>
      </x:c>
      <x:c r="R1967" s="50" t="n">
        <x:v>0.7879365079365079</x:v>
      </x:c>
      <x:c r="S1967" s="50" t="n">
        <x:v>0.7879365079365079</x:v>
      </x:c>
      <x:c r="T1967" s="1" t="str">
        <x:v>デイ</x:v>
      </x:c>
      <x:c r="U1967" s="49" t="n">
        <x:v>1</x:v>
      </x:c>
    </x:row>
    <x:row r="1968" ht="22" customHeight="1">
      <x:c r="A1968" s="1" t="str">
        <x:v>TOPIXmini</x:v>
      </x:c>
      <x:c r="B1968" s="1" t="str">
        <x:v>V01</x:v>
      </x:c>
      <x:c r="C1968" s="1" t="str">
        <x:v>診断3場</x:v>
      </x:c>
      <x:c r="D1968" s="47" t="n">
        <x:v>286677</x:v>
      </x:c>
      <x:c r="E1968" s="47" t="n">
        <x:v>396634</x:v>
      </x:c>
      <x:c r="F1968" s="47" t="n">
        <x:f>D1968-E1968</x:f>
        <x:v>-109957</x:v>
      </x:c>
      <x:c r="G1968" s="49" t="n">
        <x:v>0</x:v>
      </x:c>
      <x:c r="H1968" s="49" t="n">
        <x:v>2</x:v>
      </x:c>
      <x:c r="I1968" s="47" t="n">
        <x:v>-109957</x:v>
      </x:c>
      <x:c r="J1968" s="49" t="n">
        <x:v>78</x:v>
      </x:c>
      <x:c r="K1968" s="47" t="n">
        <x:v>-65728</x:v>
      </x:c>
      <x:c r="L1968" s="47" t="n">
        <x:v>54978.5</x:v>
      </x:c>
      <x:c r="M1968" s="48" t="n">
        <x:v>24.09166666666667</x:v>
      </x:c>
      <x:c r="N1968" s="48" t="n">
        <x:v>532.0166666666667</x:v>
      </x:c>
      <x:c r="O1968" s="49" t="n">
        <x:v>7</x:v>
      </x:c>
      <x:c r="P1968" s="1" t="str">
        <x:v>中期状態の基準併用：中期の支持状態を維持・標準</x:v>
      </x:c>
      <x:c r="Q1968" s="49" t="n">
        <x:v>0</x:v>
      </x:c>
      <x:c r="R1968" s="50" t="n">
        <x:v>0.6820726495726496</x:v>
      </x:c>
      <x:c r="S1968" s="50" t="n">
        <x:v>0.6820726495726496</x:v>
      </x:c>
      <x:c r="T1968" s="1" t="str">
        <x:v>ナイト</x:v>
      </x:c>
      <x:c r="U1968" s="49" t="n">
        <x:v>2</x:v>
      </x:c>
    </x:row>
    <x:row r="1969" ht="22" customHeight="1">
      <x:c r="A1969" s="1" t="str">
        <x:v>TOPIXmini</x:v>
      </x:c>
      <x:c r="B1969" s="1" t="str">
        <x:v>V01</x:v>
      </x:c>
      <x:c r="C1969" s="1" t="str">
        <x:v>診断3場</x:v>
      </x:c>
      <x:c r="D1969" s="47" t="n">
        <x:v>115588</x:v>
      </x:c>
      <x:c r="E1969" s="47" t="n">
        <x:v>159817</x:v>
      </x:c>
      <x:c r="F1969" s="47" t="n">
        <x:f>D1969-E1969</x:f>
        <x:v>-44229</x:v>
      </x:c>
      <x:c r="G1969" s="49" t="n">
        <x:v>0</x:v>
      </x:c>
      <x:c r="H1969" s="49" t="n">
        <x:v>1</x:v>
      </x:c>
      <x:c r="I1969" s="47" t="n">
        <x:v>-44229</x:v>
      </x:c>
      <x:c r="J1969" s="49" t="n">
        <x:v>33</x:v>
      </x:c>
      <x:c r="K1969" s="47" t="n">
        <x:v>-44229</x:v>
      </x:c>
      <x:c r="L1969" s="47" t="n">
        <x:v>44229</x:v>
      </x:c>
      <x:c r="M1969" s="48" t="n">
        <x:v>23.283333333333335</x:v>
      </x:c>
      <x:c r="N1969" s="48" t="n">
        <x:v>523.4833333333333</x:v>
      </x:c>
      <x:c r="O1969" s="49" t="n">
        <x:v>7</x:v>
      </x:c>
      <x:c r="P1969" s="1" t="str">
        <x:v>中期状態の基準併用：中期の支持状態を維持・標準</x:v>
      </x:c>
      <x:c r="Q1969" s="49" t="n">
        <x:v>0</x:v>
      </x:c>
      <x:c r="R1969" s="50" t="n">
        <x:v>0.6711324786324786</x:v>
      </x:c>
      <x:c r="S1969" s="50" t="n">
        <x:v>0.6711324786324786</x:v>
      </x:c>
      <x:c r="T1969" s="1" t="str">
        <x:v>上昇</x:v>
      </x:c>
      <x:c r="U1969" s="49" t="n">
        <x:v>1</x:v>
      </x:c>
    </x:row>
    <x:row r="1970" ht="22" customHeight="1">
      <x:c r="A1970" s="1" t="str">
        <x:v>TOPIXmini</x:v>
      </x:c>
      <x:c r="B1970" s="1" t="str">
        <x:v>V01</x:v>
      </x:c>
      <x:c r="C1970" s="1" t="str">
        <x:v>診断3場</x:v>
      </x:c>
      <x:c r="D1970" s="47" t="n">
        <x:v>331515</x:v>
      </x:c>
      <x:c r="E1970" s="47" t="n">
        <x:v>496137</x:v>
      </x:c>
      <x:c r="F1970" s="47" t="n">
        <x:f>D1970-E1970</x:f>
        <x:v>-164622</x:v>
      </x:c>
      <x:c r="G1970" s="49" t="n">
        <x:v>0</x:v>
      </x:c>
      <x:c r="H1970" s="49" t="n">
        <x:v>2</x:v>
      </x:c>
      <x:c r="I1970" s="47" t="n">
        <x:v>-164622</x:v>
      </x:c>
      <x:c r="J1970" s="49" t="n">
        <x:v>80</x:v>
      </x:c>
      <x:c r="K1970" s="47" t="n">
        <x:v>-98894</x:v>
      </x:c>
      <x:c r="L1970" s="47" t="n">
        <x:v>82311</x:v>
      </x:c>
      <x:c r="M1970" s="48" t="n">
        <x:v>23.991666666666667</x:v>
      </x:c>
      <x:c r="N1970" s="48" t="n">
        <x:v>435.7416666666667</x:v>
      </x:c>
      <x:c r="O1970" s="49" t="n">
        <x:v>7</x:v>
      </x:c>
      <x:c r="P1970" s="1" t="str">
        <x:v>中期状態の基準併用：中期の支持状態を維持・標準</x:v>
      </x:c>
      <x:c r="Q1970" s="49" t="n">
        <x:v>0</x:v>
      </x:c>
      <x:c r="R1970" s="50" t="n">
        <x:v>0.7404746642246642</x:v>
      </x:c>
      <x:c r="S1970" s="50" t="n">
        <x:v>0.7262361111111111</x:v>
      </x:c>
      <x:c r="T1970" s="1" t="str">
        <x:v>下落</x:v>
      </x:c>
      <x:c r="U1970" s="49" t="n">
        <x:v>2</x:v>
      </x:c>
    </x:row>
    <x:row r="1971" ht="22" customHeight="1">
      <x:c r="A1971" s="1" t="str">
        <x:v>TOPIXmini</x:v>
      </x:c>
      <x:c r="B1971" s="1" t="str">
        <x:v>V02</x:v>
      </x:c>
      <x:c r="C1971" s="1" t="str">
        <x:v>全50場</x:v>
      </x:c>
      <x:c r="D1971" s="47" t="n">
        <x:v>4985214</x:v>
      </x:c>
      <x:c r="E1971" s="47" t="n">
        <x:v>5308722</x:v>
      </x:c>
      <x:c r="F1971" s="47" t="n">
        <x:f>D1971-E1971</x:f>
        <x:v>-323508</x:v>
      </x:c>
      <x:c r="G1971" s="49" t="n">
        <x:v>19</x:v>
      </x:c>
      <x:c r="H1971" s="49" t="n">
        <x:v>31</x:v>
      </x:c>
      <x:c r="I1971" s="47" t="n">
        <x:v>-742945</x:v>
      </x:c>
      <x:c r="J1971" s="49" t="n">
        <x:v>881</x:v>
      </x:c>
      <x:c r="K1971" s="47" t="n">
        <x:v>-117237</x:v>
      </x:c>
      <x:c r="L1971" s="47" t="n">
        <x:v>48300.45161290323</x:v>
      </x:c>
      <x:c r="M1971" s="48" t="n">
        <x:v>37.083666666666666</x:v>
      </x:c>
      <x:c r="N1971" s="48" t="n">
        <x:v>416.5143333333333</x:v>
      </x:c>
      <x:c r="O1971" s="49" t="n">
        <x:v>7</x:v>
      </x:c>
      <x:c r="P1971" s="1" t="str">
        <x:v>中期状態の基準併用：中期の支持状態を維持・広め</x:v>
      </x:c>
      <x:c r="Q1971" s="49" t="n">
        <x:v>0</x:v>
      </x:c>
      <x:c r="R1971" s="50" t="n">
        <x:v>0.714881746031746</x:v>
      </x:c>
      <x:c r="S1971" s="50" t="n">
        <x:v>0.6941905555555555</x:v>
      </x:c>
      <x:c r="T1971" s="1" t="str">
        <x:v>全場</x:v>
      </x:c>
      <x:c r="U1971" s="49" t="n">
        <x:v>50</x:v>
      </x:c>
    </x:row>
    <x:row r="1972" ht="22" customHeight="1">
      <x:c r="A1972" s="1" t="str">
        <x:v>TOPIXmini</x:v>
      </x:c>
      <x:c r="B1972" s="1" t="str">
        <x:v>V02</x:v>
      </x:c>
      <x:c r="C1972" s="1" t="str">
        <x:v>全50場</x:v>
      </x:c>
      <x:c r="D1972" s="47" t="n">
        <x:v>2608082</x:v>
      </x:c>
      <x:c r="E1972" s="47" t="n">
        <x:v>2495952</x:v>
      </x:c>
      <x:c r="F1972" s="47" t="n">
        <x:f>D1972-E1972</x:f>
        <x:v>112130</x:v>
      </x:c>
      <x:c r="G1972" s="49" t="n">
        <x:v>11</x:v>
      </x:c>
      <x:c r="H1972" s="49" t="n">
        <x:v>14</x:v>
      </x:c>
      <x:c r="I1972" s="47" t="n">
        <x:v>-307307</x:v>
      </x:c>
      <x:c r="J1972" s="49" t="n">
        <x:v>414</x:v>
      </x:c>
      <x:c r="K1972" s="47" t="n">
        <x:v>-100238</x:v>
      </x:c>
      <x:c r="L1972" s="47" t="n">
        <x:v>53288.78571428572</x:v>
      </x:c>
      <x:c r="M1972" s="48" t="n">
        <x:v>30.372000000000003</x:v>
      </x:c>
      <x:c r="N1972" s="48" t="n">
        <x:v>329.21799999999996</x:v>
      </x:c>
      <x:c r="O1972" s="49" t="n">
        <x:v>7</x:v>
      </x:c>
      <x:c r="P1972" s="1" t="str">
        <x:v>中期状態の基準併用：中期の支持状態を維持・広め</x:v>
      </x:c>
      <x:c r="Q1972" s="49" t="n">
        <x:v>0</x:v>
      </x:c>
      <x:c r="R1972" s="50" t="n">
        <x:v>0.783852380952381</x:v>
      </x:c>
      <x:c r="S1972" s="50" t="n">
        <x:v>0.783852380952381</x:v>
      </x:c>
      <x:c r="T1972" s="1" t="str">
        <x:v>デイ</x:v>
      </x:c>
      <x:c r="U1972" s="49" t="n">
        <x:v>25</x:v>
      </x:c>
    </x:row>
    <x:row r="1973" ht="22" customHeight="1">
      <x:c r="A1973" s="1" t="str">
        <x:v>TOPIXmini</x:v>
      </x:c>
      <x:c r="B1973" s="1" t="str">
        <x:v>V02</x:v>
      </x:c>
      <x:c r="C1973" s="1" t="str">
        <x:v>全50場</x:v>
      </x:c>
      <x:c r="D1973" s="47" t="n">
        <x:v>2377132</x:v>
      </x:c>
      <x:c r="E1973" s="47" t="n">
        <x:v>2812770</x:v>
      </x:c>
      <x:c r="F1973" s="47" t="n">
        <x:f>D1973-E1973</x:f>
        <x:v>-435638</x:v>
      </x:c>
      <x:c r="G1973" s="49" t="n">
        <x:v>8</x:v>
      </x:c>
      <x:c r="H1973" s="49" t="n">
        <x:v>17</x:v>
      </x:c>
      <x:c r="I1973" s="47" t="n">
        <x:v>-635331</x:v>
      </x:c>
      <x:c r="J1973" s="49" t="n">
        <x:v>467</x:v>
      </x:c>
      <x:c r="K1973" s="47" t="n">
        <x:v>-117237</x:v>
      </x:c>
      <x:c r="L1973" s="47" t="n">
        <x:v>44192.41176470588</x:v>
      </x:c>
      <x:c r="M1973" s="48" t="n">
        <x:v>43.79533333333333</x:v>
      </x:c>
      <x:c r="N1973" s="48" t="n">
        <x:v>503.81066666666663</x:v>
      </x:c>
      <x:c r="O1973" s="49" t="n">
        <x:v>7</x:v>
      </x:c>
      <x:c r="P1973" s="1" t="str">
        <x:v>中期状態の基準併用：中期の支持状態を維持・広め</x:v>
      </x:c>
      <x:c r="Q1973" s="49" t="n">
        <x:v>0</x:v>
      </x:c>
      <x:c r="R1973" s="50" t="n">
        <x:v>0.645911111111111</x:v>
      </x:c>
      <x:c r="S1973" s="50" t="n">
        <x:v>0.6459111111111111</x:v>
      </x:c>
      <x:c r="T1973" s="1" t="str">
        <x:v>ナイト</x:v>
      </x:c>
      <x:c r="U1973" s="49" t="n">
        <x:v>25</x:v>
      </x:c>
    </x:row>
    <x:row r="1974" ht="22" customHeight="1">
      <x:c r="A1974" s="1" t="str">
        <x:v>TOPIXmini</x:v>
      </x:c>
      <x:c r="B1974" s="1" t="str">
        <x:v>V02</x:v>
      </x:c>
      <x:c r="C1974" s="1" t="str">
        <x:v>全50場</x:v>
      </x:c>
      <x:c r="D1974" s="47" t="n">
        <x:v>2139970</x:v>
      </x:c>
      <x:c r="E1974" s="47" t="n">
        <x:v>2596705</x:v>
      </x:c>
      <x:c r="F1974" s="47" t="n">
        <x:f>D1974-E1974</x:f>
        <x:v>-456735</x:v>
      </x:c>
      <x:c r="G1974" s="49" t="n">
        <x:v>7</x:v>
      </x:c>
      <x:c r="H1974" s="49" t="n">
        <x:v>18</x:v>
      </x:c>
      <x:c r="I1974" s="47" t="n">
        <x:v>-652253</x:v>
      </x:c>
      <x:c r="J1974" s="49" t="n">
        <x:v>406</x:v>
      </x:c>
      <x:c r="K1974" s="47" t="n">
        <x:v>-100238</x:v>
      </x:c>
      <x:c r="L1974" s="47" t="n">
        <x:v>41608.38888888889</x:v>
      </x:c>
      <x:c r="M1974" s="48" t="n">
        <x:v>32.53866666666667</x:v>
      </x:c>
      <x:c r="N1974" s="48" t="n">
        <x:v>405.84799999999996</x:v>
      </x:c>
      <x:c r="O1974" s="49" t="n">
        <x:v>7</x:v>
      </x:c>
      <x:c r="P1974" s="1" t="str">
        <x:v>中期状態の基準併用：中期の支持状態を維持・広め</x:v>
      </x:c>
      <x:c r="Q1974" s="49" t="n">
        <x:v>0</x:v>
      </x:c>
      <x:c r="R1974" s="50" t="n">
        <x:v>0.6844454212454213</x:v>
      </x:c>
      <x:c r="S1974" s="50" t="n">
        <x:v>0.6683926218708828</x:v>
      </x:c>
      <x:c r="T1974" s="1" t="str">
        <x:v>上昇</x:v>
      </x:c>
      <x:c r="U1974" s="49" t="n">
        <x:v>25</x:v>
      </x:c>
    </x:row>
    <x:row r="1975" ht="22" customHeight="1">
      <x:c r="A1975" s="1" t="str">
        <x:v>TOPIXmini</x:v>
      </x:c>
      <x:c r="B1975" s="1" t="str">
        <x:v>V02</x:v>
      </x:c>
      <x:c r="C1975" s="1" t="str">
        <x:v>全50場</x:v>
      </x:c>
      <x:c r="D1975" s="47" t="n">
        <x:v>2845244</x:v>
      </x:c>
      <x:c r="E1975" s="47" t="n">
        <x:v>2712017</x:v>
      </x:c>
      <x:c r="F1975" s="47" t="n">
        <x:f>D1975-E1975</x:f>
        <x:v>133227</x:v>
      </x:c>
      <x:c r="G1975" s="49" t="n">
        <x:v>12</x:v>
      </x:c>
      <x:c r="H1975" s="49" t="n">
        <x:v>13</x:v>
      </x:c>
      <x:c r="I1975" s="47" t="n">
        <x:v>-286210</x:v>
      </x:c>
      <x:c r="J1975" s="49" t="n">
        <x:v>475</x:v>
      </x:c>
      <x:c r="K1975" s="47" t="n">
        <x:v>-117237</x:v>
      </x:c>
      <x:c r="L1975" s="47" t="n">
        <x:v>57566.38461538462</x:v>
      </x:c>
      <x:c r="M1975" s="48" t="n">
        <x:v>41.62866666666667</x:v>
      </x:c>
      <x:c r="N1975" s="48" t="n">
        <x:v>427.18066666666664</x:v>
      </x:c>
      <x:c r="O1975" s="49" t="n">
        <x:v>7</x:v>
      </x:c>
      <x:c r="P1975" s="1" t="str">
        <x:v>中期状態の基準併用：中期の支持状態を維持・広め</x:v>
      </x:c>
      <x:c r="Q1975" s="49" t="n">
        <x:v>0</x:v>
      </x:c>
      <x:c r="R1975" s="50" t="n">
        <x:v>0.7453180708180709</x:v>
      </x:c>
      <x:c r="S1975" s="50" t="n">
        <x:v>0.720615159694107</x:v>
      </x:c>
      <x:c r="T1975" s="1" t="str">
        <x:v>下落</x:v>
      </x:c>
      <x:c r="U1975" s="49" t="n">
        <x:v>25</x:v>
      </x:c>
    </x:row>
    <x:row r="1976" ht="22" customHeight="1">
      <x:c r="A1976" s="1" t="str">
        <x:v>TOPIXmini</x:v>
      </x:c>
      <x:c r="B1976" s="1" t="str">
        <x:v>V02</x:v>
      </x:c>
      <x:c r="C1976" s="1" t="str">
        <x:v>対照47場</x:v>
      </x:c>
      <x:c r="D1976" s="47" t="n">
        <x:v>4605949</x:v>
      </x:c>
      <x:c r="E1976" s="47" t="n">
        <x:v>4764258</x:v>
      </x:c>
      <x:c r="F1976" s="47" t="n">
        <x:f>D1976-E1976</x:f>
        <x:v>-158309</x:v>
      </x:c>
      <x:c r="G1976" s="49" t="n">
        <x:v>19</x:v>
      </x:c>
      <x:c r="H1976" s="49" t="n">
        <x:v>28</x:v>
      </x:c>
      <x:c r="I1976" s="47" t="n">
        <x:v>-577746</x:v>
      </x:c>
      <x:c r="J1976" s="49" t="n">
        <x:v>790</x:v>
      </x:c>
      <x:c r="K1976" s="47" t="n">
        <x:v>-117237</x:v>
      </x:c>
      <x:c r="L1976" s="47" t="n">
        <x:v>47575.53571428572</x:v>
      </x:c>
      <x:c r="M1976" s="48" t="n">
        <x:v>37.934397163120565</x:v>
      </x:c>
      <x:c r="N1976" s="48" t="n">
        <x:v>410.845744680851</x:v>
      </x:c>
      <x:c r="O1976" s="49" t="n">
        <x:v>7</x:v>
      </x:c>
      <x:c r="P1976" s="1" t="str">
        <x:v>中期状態の基準併用：中期の支持状態を維持・広め</x:v>
      </x:c>
      <x:c r="Q1976" s="49" t="n">
        <x:v>0</x:v>
      </x:c>
      <x:c r="R1976" s="50" t="n">
        <x:v>0.7112857532538384</x:v>
      </x:c>
      <x:c r="S1976" s="50" t="n">
        <x:v>0.6891416845110635</x:v>
      </x:c>
      <x:c r="T1976" s="1" t="str">
        <x:v>全場</x:v>
      </x:c>
      <x:c r="U1976" s="49" t="n">
        <x:v>47</x:v>
      </x:c>
    </x:row>
    <x:row r="1977" ht="22" customHeight="1">
      <x:c r="A1977" s="1" t="str">
        <x:v>TOPIXmini</x:v>
      </x:c>
      <x:c r="B1977" s="1" t="str">
        <x:v>V02</x:v>
      </x:c>
      <x:c r="C1977" s="1" t="str">
        <x:v>対照47場</x:v>
      </x:c>
      <x:c r="D1977" s="47" t="n">
        <x:v>2465490</x:v>
      </x:c>
      <x:c r="E1977" s="47" t="n">
        <x:v>2288296</x:v>
      </x:c>
      <x:c r="F1977" s="47" t="n">
        <x:f>D1977-E1977</x:f>
        <x:v>177194</x:v>
      </x:c>
      <x:c r="G1977" s="49" t="n">
        <x:v>11</x:v>
      </x:c>
      <x:c r="H1977" s="49" t="n">
        <x:v>13</x:v>
      </x:c>
      <x:c r="I1977" s="47" t="n">
        <x:v>-242243</x:v>
      </x:c>
      <x:c r="J1977" s="49" t="n">
        <x:v>384</x:v>
      </x:c>
      <x:c r="K1977" s="47" t="n">
        <x:v>-100238</x:v>
      </x:c>
      <x:c r="L1977" s="47" t="n">
        <x:v>52383</x:v>
      </x:c>
      <x:c r="M1977" s="48" t="n">
        <x:v>30.675694444444446</x:v>
      </x:c>
      <x:c r="N1977" s="48" t="n">
        <x:v>328.90208333333334</x:v>
      </x:c>
      <x:c r="O1977" s="49" t="n">
        <x:v>7</x:v>
      </x:c>
      <x:c r="P1977" s="1" t="str">
        <x:v>中期状態の基準併用：中期の支持状態を維持・広め</x:v>
      </x:c>
      <x:c r="Q1977" s="49" t="n">
        <x:v>0</x:v>
      </x:c>
      <x:c r="R1977" s="50" t="n">
        <x:v>0.7831001984126984</x:v>
      </x:c>
      <x:c r="S1977" s="50" t="n">
        <x:v>0.7831001984126984</x:v>
      </x:c>
      <x:c r="T1977" s="1" t="str">
        <x:v>デイ</x:v>
      </x:c>
      <x:c r="U1977" s="49" t="n">
        <x:v>24</x:v>
      </x:c>
    </x:row>
    <x:row r="1978" ht="22" customHeight="1">
      <x:c r="A1978" s="1" t="str">
        <x:v>TOPIXmini</x:v>
      </x:c>
      <x:c r="B1978" s="1" t="str">
        <x:v>V02</x:v>
      </x:c>
      <x:c r="C1978" s="1" t="str">
        <x:v>対照47場</x:v>
      </x:c>
      <x:c r="D1978" s="47" t="n">
        <x:v>2140459</x:v>
      </x:c>
      <x:c r="E1978" s="47" t="n">
        <x:v>2475962</x:v>
      </x:c>
      <x:c r="F1978" s="47" t="n">
        <x:f>D1978-E1978</x:f>
        <x:v>-335503</x:v>
      </x:c>
      <x:c r="G1978" s="49" t="n">
        <x:v>8</x:v>
      </x:c>
      <x:c r="H1978" s="49" t="n">
        <x:v>15</x:v>
      </x:c>
      <x:c r="I1978" s="47" t="n">
        <x:v>-535196</x:v>
      </x:c>
      <x:c r="J1978" s="49" t="n">
        <x:v>406</x:v>
      </x:c>
      <x:c r="K1978" s="47" t="n">
        <x:v>-117237</x:v>
      </x:c>
      <x:c r="L1978" s="47" t="n">
        <x:v>43409.066666666666</x:v>
      </x:c>
      <x:c r="M1978" s="48" t="n">
        <x:v>45.50869565217391</x:v>
      </x:c>
      <x:c r="N1978" s="48" t="n">
        <x:v>496.3521739130435</x:v>
      </x:c>
      <x:c r="O1978" s="49" t="n">
        <x:v>7</x:v>
      </x:c>
      <x:c r="P1978" s="1" t="str">
        <x:v>中期状態の基準併用：中期の支持状態を維持・広め</x:v>
      </x:c>
      <x:c r="Q1978" s="49" t="n">
        <x:v>0</x:v>
      </x:c>
      <x:c r="R1978" s="50" t="n">
        <x:v>0.6363489409141583</x:v>
      </x:c>
      <x:c r="S1978" s="50" t="n">
        <x:v>0.6363489409141583</x:v>
      </x:c>
      <x:c r="T1978" s="1" t="str">
        <x:v>ナイト</x:v>
      </x:c>
      <x:c r="U1978" s="49" t="n">
        <x:v>23</x:v>
      </x:c>
    </x:row>
    <x:row r="1979" ht="22" customHeight="1">
      <x:c r="A1979" s="1" t="str">
        <x:v>TOPIXmini</x:v>
      </x:c>
      <x:c r="B1979" s="1" t="str">
        <x:v>V02</x:v>
      </x:c>
      <x:c r="C1979" s="1" t="str">
        <x:v>対照47場</x:v>
      </x:c>
      <x:c r="D1979" s="47" t="n">
        <x:v>2024050</x:v>
      </x:c>
      <x:c r="E1979" s="47" t="n">
        <x:v>2462884</x:v>
      </x:c>
      <x:c r="F1979" s="47" t="n">
        <x:f>D1979-E1979</x:f>
        <x:v>-438834</x:v>
      </x:c>
      <x:c r="G1979" s="49" t="n">
        <x:v>7</x:v>
      </x:c>
      <x:c r="H1979" s="49" t="n">
        <x:v>17</x:v>
      </x:c>
      <x:c r="I1979" s="47" t="n">
        <x:v>-634352</x:v>
      </x:c>
      <x:c r="J1979" s="49" t="n">
        <x:v>381</x:v>
      </x:c>
      <x:c r="K1979" s="47" t="n">
        <x:v>-100238</x:v>
      </x:c>
      <x:c r="L1979" s="47" t="n">
        <x:v>43002.94117647059</x:v>
      </x:c>
      <x:c r="M1979" s="48" t="n">
        <x:v>32.924305555555556</x:v>
      </x:c>
      <x:c r="N1979" s="48" t="n">
        <x:v>399.2881944444444</x:v>
      </x:c>
      <x:c r="O1979" s="49" t="n">
        <x:v>7</x:v>
      </x:c>
      <x:c r="P1979" s="1" t="str">
        <x:v>中期状態の基準併用：中期の支持状態を維持・広め</x:v>
      </x:c>
      <x:c r="Q1979" s="49" t="n">
        <x:v>0</x:v>
      </x:c>
      <x:c r="R1979" s="50" t="n">
        <x:v>0.6828740588115588</x:v>
      </x:c>
      <x:c r="S1979" s="50" t="n">
        <x:v>0.665480324074074</x:v>
      </x:c>
      <x:c r="T1979" s="1" t="str">
        <x:v>上昇</x:v>
      </x:c>
      <x:c r="U1979" s="49" t="n">
        <x:v>24</x:v>
      </x:c>
    </x:row>
    <x:row r="1980" ht="22" customHeight="1">
      <x:c r="A1980" s="1" t="str">
        <x:v>TOPIXmini</x:v>
      </x:c>
      <x:c r="B1980" s="1" t="str">
        <x:v>V02</x:v>
      </x:c>
      <x:c r="C1980" s="1" t="str">
        <x:v>対照47場</x:v>
      </x:c>
      <x:c r="D1980" s="47" t="n">
        <x:v>2581899</x:v>
      </x:c>
      <x:c r="E1980" s="47" t="n">
        <x:v>2301374</x:v>
      </x:c>
      <x:c r="F1980" s="47" t="n">
        <x:f>D1980-E1980</x:f>
        <x:v>280525</x:v>
      </x:c>
      <x:c r="G1980" s="49" t="n">
        <x:v>12</x:v>
      </x:c>
      <x:c r="H1980" s="49" t="n">
        <x:v>11</x:v>
      </x:c>
      <x:c r="I1980" s="47" t="n">
        <x:v>-138912</x:v>
      </x:c>
      <x:c r="J1980" s="49" t="n">
        <x:v>409</x:v>
      </x:c>
      <x:c r="K1980" s="47" t="n">
        <x:v>-117237</x:v>
      </x:c>
      <x:c r="L1980" s="47" t="n">
        <x:v>54642.27272727273</x:v>
      </x:c>
      <x:c r="M1980" s="48" t="n">
        <x:v>43.162318840579715</x:v>
      </x:c>
      <x:c r="N1980" s="48" t="n">
        <x:v>422.90579710144937</x:v>
      </x:c>
      <x:c r="O1980" s="49" t="n">
        <x:v>7</x:v>
      </x:c>
      <x:c r="P1980" s="1" t="str">
        <x:v>中期状態の基準併用：中期の支持状態を維持・広め</x:v>
      </x:c>
      <x:c r="Q1980" s="49" t="n">
        <x:v>0</x:v>
      </x:c>
      <x:c r="R1980" s="50" t="n">
        <x:v>0.7409327387588256</x:v>
      </x:c>
      <x:c r="S1980" s="50" t="n">
        <x:v>0.7141581008321097</x:v>
      </x:c>
      <x:c r="T1980" s="1" t="str">
        <x:v>下落</x:v>
      </x:c>
      <x:c r="U1980" s="49" t="n">
        <x:v>23</x:v>
      </x:c>
    </x:row>
    <x:row r="1981" ht="22" customHeight="1">
      <x:c r="A1981" s="1" t="str">
        <x:v>TOPIXmini</x:v>
      </x:c>
      <x:c r="B1981" s="1" t="str">
        <x:v>V02</x:v>
      </x:c>
      <x:c r="C1981" s="1" t="str">
        <x:v>診断3場</x:v>
      </x:c>
      <x:c r="D1981" s="47" t="n">
        <x:v>379265</x:v>
      </x:c>
      <x:c r="E1981" s="47" t="n">
        <x:v>544464</x:v>
      </x:c>
      <x:c r="F1981" s="47" t="n">
        <x:f>D1981-E1981</x:f>
        <x:v>-165199</x:v>
      </x:c>
      <x:c r="G1981" s="49" t="n">
        <x:v>0</x:v>
      </x:c>
      <x:c r="H1981" s="49" t="n">
        <x:v>3</x:v>
      </x:c>
      <x:c r="I1981" s="47" t="n">
        <x:v>-165199</x:v>
      </x:c>
      <x:c r="J1981" s="49" t="n">
        <x:v>91</x:v>
      </x:c>
      <x:c r="K1981" s="47" t="n">
        <x:v>-82234</x:v>
      </x:c>
      <x:c r="L1981" s="47" t="n">
        <x:v>55066.333333333336</x:v>
      </x:c>
      <x:c r="M1981" s="48" t="n">
        <x:v>23.755555555555556</x:v>
      </x:c>
      <x:c r="N1981" s="48" t="n">
        <x:v>505.32222222222225</x:v>
      </x:c>
      <x:c r="O1981" s="49" t="n">
        <x:v>7</x:v>
      </x:c>
      <x:c r="P1981" s="1" t="str">
        <x:v>中期状態の基準併用：中期の支持状態を維持・広め</x:v>
      </x:c>
      <x:c r="Q1981" s="49" t="n">
        <x:v>0</x:v>
      </x:c>
      <x:c r="R1981" s="50" t="n">
        <x:v>0.7712189662189662</x:v>
      </x:c>
      <x:c r="S1981" s="50" t="n">
        <x:v>0.7656397306397307</x:v>
      </x:c>
      <x:c r="T1981" s="1" t="str">
        <x:v>全場</x:v>
      </x:c>
      <x:c r="U1981" s="49" t="n">
        <x:v>3</x:v>
      </x:c>
    </x:row>
    <x:row r="1982" ht="22" customHeight="1">
      <x:c r="A1982" s="1" t="str">
        <x:v>TOPIXmini</x:v>
      </x:c>
      <x:c r="B1982" s="1" t="str">
        <x:v>V02</x:v>
      </x:c>
      <x:c r="C1982" s="1" t="str">
        <x:v>診断3場</x:v>
      </x:c>
      <x:c r="D1982" s="47" t="n">
        <x:v>142592</x:v>
      </x:c>
      <x:c r="E1982" s="47" t="n">
        <x:v>207656</x:v>
      </x:c>
      <x:c r="F1982" s="47" t="n">
        <x:f>D1982-E1982</x:f>
        <x:v>-65064</x:v>
      </x:c>
      <x:c r="G1982" s="49" t="n">
        <x:v>0</x:v>
      </x:c>
      <x:c r="H1982" s="49" t="n">
        <x:v>1</x:v>
      </x:c>
      <x:c r="I1982" s="47" t="n">
        <x:v>-65064</x:v>
      </x:c>
      <x:c r="J1982" s="49" t="n">
        <x:v>30</x:v>
      </x:c>
      <x:c r="K1982" s="47" t="n">
        <x:v>-65064</x:v>
      </x:c>
      <x:c r="L1982" s="47" t="n">
        <x:v>65064</x:v>
      </x:c>
      <x:c r="M1982" s="48" t="n">
        <x:v>23.083333333333332</x:v>
      </x:c>
      <x:c r="N1982" s="48" t="n">
        <x:v>336.8</x:v>
      </x:c>
      <x:c r="O1982" s="49" t="n">
        <x:v>7</x:v>
      </x:c>
      <x:c r="P1982" s="1" t="str">
        <x:v>中期状態の基準併用：中期の支持状態を維持・広め</x:v>
      </x:c>
      <x:c r="Q1982" s="49" t="n">
        <x:v>0</x:v>
      </x:c>
      <x:c r="R1982" s="50" t="n">
        <x:v>0.8019047619047619</x:v>
      </x:c>
      <x:c r="S1982" s="50" t="n">
        <x:v>0.8019047619047619</x:v>
      </x:c>
      <x:c r="T1982" s="1" t="str">
        <x:v>デイ</x:v>
      </x:c>
      <x:c r="U1982" s="49" t="n">
        <x:v>1</x:v>
      </x:c>
    </x:row>
    <x:row r="1983" ht="22" customHeight="1">
      <x:c r="A1983" s="1" t="str">
        <x:v>TOPIXmini</x:v>
      </x:c>
      <x:c r="B1983" s="1" t="str">
        <x:v>V02</x:v>
      </x:c>
      <x:c r="C1983" s="1" t="str">
        <x:v>診断3場</x:v>
      </x:c>
      <x:c r="D1983" s="47" t="n">
        <x:v>236673</x:v>
      </x:c>
      <x:c r="E1983" s="47" t="n">
        <x:v>336808</x:v>
      </x:c>
      <x:c r="F1983" s="47" t="n">
        <x:f>D1983-E1983</x:f>
        <x:v>-100135</x:v>
      </x:c>
      <x:c r="G1983" s="49" t="n">
        <x:v>0</x:v>
      </x:c>
      <x:c r="H1983" s="49" t="n">
        <x:v>2</x:v>
      </x:c>
      <x:c r="I1983" s="47" t="n">
        <x:v>-100135</x:v>
      </x:c>
      <x:c r="J1983" s="49" t="n">
        <x:v>61</x:v>
      </x:c>
      <x:c r="K1983" s="47" t="n">
        <x:v>-82234</x:v>
      </x:c>
      <x:c r="L1983" s="47" t="n">
        <x:v>50067.5</x:v>
      </x:c>
      <x:c r="M1983" s="48" t="n">
        <x:v>24.09166666666667</x:v>
      </x:c>
      <x:c r="N1983" s="48" t="n">
        <x:v>589.5833333333333</x:v>
      </x:c>
      <x:c r="O1983" s="49" t="n">
        <x:v>7</x:v>
      </x:c>
      <x:c r="P1983" s="1" t="str">
        <x:v>中期状態の基準併用：中期の支持状態を維持・広め</x:v>
      </x:c>
      <x:c r="Q1983" s="49" t="n">
        <x:v>0</x:v>
      </x:c>
      <x:c r="R1983" s="50" t="n">
        <x:v>0.7558760683760684</x:v>
      </x:c>
      <x:c r="S1983" s="50" t="n">
        <x:v>0.7558760683760682</x:v>
      </x:c>
      <x:c r="T1983" s="1" t="str">
        <x:v>ナイト</x:v>
      </x:c>
      <x:c r="U1983" s="49" t="n">
        <x:v>2</x:v>
      </x:c>
    </x:row>
    <x:row r="1984" ht="22" customHeight="1">
      <x:c r="A1984" s="1" t="str">
        <x:v>TOPIXmini</x:v>
      </x:c>
      <x:c r="B1984" s="1" t="str">
        <x:v>V02</x:v>
      </x:c>
      <x:c r="C1984" s="1" t="str">
        <x:v>診断3場</x:v>
      </x:c>
      <x:c r="D1984" s="47" t="n">
        <x:v>115920</x:v>
      </x:c>
      <x:c r="E1984" s="47" t="n">
        <x:v>133821</x:v>
      </x:c>
      <x:c r="F1984" s="47" t="n">
        <x:f>D1984-E1984</x:f>
        <x:v>-17901</x:v>
      </x:c>
      <x:c r="G1984" s="49" t="n">
        <x:v>0</x:v>
      </x:c>
      <x:c r="H1984" s="49" t="n">
        <x:v>1</x:v>
      </x:c>
      <x:c r="I1984" s="47" t="n">
        <x:v>-17901</x:v>
      </x:c>
      <x:c r="J1984" s="49" t="n">
        <x:v>25</x:v>
      </x:c>
      <x:c r="K1984" s="47" t="n">
        <x:v>-17901</x:v>
      </x:c>
      <x:c r="L1984" s="47" t="n">
        <x:v>17901</x:v>
      </x:c>
      <x:c r="M1984" s="48" t="n">
        <x:v>23.283333333333335</x:v>
      </x:c>
      <x:c r="N1984" s="48" t="n">
        <x:v>563.2833333333333</x:v>
      </x:c>
      <x:c r="O1984" s="49" t="n">
        <x:v>7</x:v>
      </x:c>
      <x:c r="P1984" s="1" t="str">
        <x:v>中期状態の基準併用：中期の支持状態を維持・広め</x:v>
      </x:c>
      <x:c r="Q1984" s="49" t="n">
        <x:v>0</x:v>
      </x:c>
      <x:c r="R1984" s="50" t="n">
        <x:v>0.7221581196581197</x:v>
      </x:c>
      <x:c r="S1984" s="50" t="n">
        <x:v>0.7221581196581196</x:v>
      </x:c>
      <x:c r="T1984" s="1" t="str">
        <x:v>上昇</x:v>
      </x:c>
      <x:c r="U1984" s="49" t="n">
        <x:v>1</x:v>
      </x:c>
    </x:row>
    <x:row r="1985" ht="22" customHeight="1">
      <x:c r="A1985" s="1" t="str">
        <x:v>TOPIXmini</x:v>
      </x:c>
      <x:c r="B1985" s="1" t="str">
        <x:v>V02</x:v>
      </x:c>
      <x:c r="C1985" s="1" t="str">
        <x:v>診断3場</x:v>
      </x:c>
      <x:c r="D1985" s="47" t="n">
        <x:v>263345</x:v>
      </x:c>
      <x:c r="E1985" s="47" t="n">
        <x:v>410643</x:v>
      </x:c>
      <x:c r="F1985" s="47" t="n">
        <x:f>D1985-E1985</x:f>
        <x:v>-147298</x:v>
      </x:c>
      <x:c r="G1985" s="49" t="n">
        <x:v>0</x:v>
      </x:c>
      <x:c r="H1985" s="49" t="n">
        <x:v>2</x:v>
      </x:c>
      <x:c r="I1985" s="47" t="n">
        <x:v>-147298</x:v>
      </x:c>
      <x:c r="J1985" s="49" t="n">
        <x:v>66</x:v>
      </x:c>
      <x:c r="K1985" s="47" t="n">
        <x:v>-82234</x:v>
      </x:c>
      <x:c r="L1985" s="47" t="n">
        <x:v>73649</x:v>
      </x:c>
      <x:c r="M1985" s="48" t="n">
        <x:v>23.991666666666667</x:v>
      </x:c>
      <x:c r="N1985" s="48" t="n">
        <x:v>476.3416666666667</x:v>
      </x:c>
      <x:c r="O1985" s="49" t="n">
        <x:v>7</x:v>
      </x:c>
      <x:c r="P1985" s="1" t="str">
        <x:v>中期状態の基準併用：中期の支持状態を維持・広め</x:v>
      </x:c>
      <x:c r="Q1985" s="49" t="n">
        <x:v>0</x:v>
      </x:c>
      <x:c r="R1985" s="50" t="n">
        <x:v>0.7957493894993894</x:v>
      </x:c>
      <x:c r="S1985" s="50" t="n">
        <x:v>0.7939027777777778</x:v>
      </x:c>
      <x:c r="T1985" s="1" t="str">
        <x:v>下落</x:v>
      </x:c>
      <x:c r="U1985" s="49" t="n">
        <x:v>2</x:v>
      </x:c>
    </x:row>
    <x:row r="1986" ht="22" customHeight="1">
      <x:c r="A1986" s="1" t="str">
        <x:v>TOPIXmini</x:v>
      </x:c>
      <x:c r="B1986" s="1" t="str">
        <x:v>V03</x:v>
      </x:c>
      <x:c r="C1986" s="1" t="str">
        <x:v>全50場</x:v>
      </x:c>
      <x:c r="D1986" s="47" t="n">
        <x:v>3903490</x:v>
      </x:c>
      <x:c r="E1986" s="47" t="n">
        <x:v>3654356</x:v>
      </x:c>
      <x:c r="F1986" s="47" t="n">
        <x:f>D1986-E1986</x:f>
        <x:v>249134</x:v>
      </x:c>
      <x:c r="G1986" s="49" t="n">
        <x:v>26</x:v>
      </x:c>
      <x:c r="H1986" s="49" t="n">
        <x:v>24</x:v>
      </x:c>
      <x:c r="I1986" s="47" t="n">
        <x:v>-113969</x:v>
      </x:c>
      <x:c r="J1986" s="49" t="n">
        <x:v>594</x:v>
      </x:c>
      <x:c r="K1986" s="47" t="n">
        <x:v>-107081</x:v>
      </x:c>
      <x:c r="L1986" s="47" t="n">
        <x:v>36922.458333333336</x:v>
      </x:c>
      <x:c r="M1986" s="48" t="n">
        <x:v>116.26</x:v>
      </x:c>
      <x:c r="N1986" s="48" t="n">
        <x:v>210.4763333333333</x:v>
      </x:c>
      <x:c r="O1986" s="49" t="n">
        <x:v>7</x:v>
      </x:c>
      <x:c r="P1986" s="1" t="str">
        <x:v>中期状態の基準併用：支持状態内の押し再進行で参加・標準</x:v>
      </x:c>
      <x:c r="Q1986" s="49" t="n">
        <x:v>0</x:v>
      </x:c>
      <x:c r="R1986" s="50" t="n">
        <x:v>0.4022663614163614</x:v>
      </x:c>
      <x:c r="S1986" s="50" t="n">
        <x:v>0.3507938888888889</x:v>
      </x:c>
      <x:c r="T1986" s="1" t="str">
        <x:v>全場</x:v>
      </x:c>
      <x:c r="U1986" s="49" t="n">
        <x:v>50</x:v>
      </x:c>
    </x:row>
    <x:row r="1987" ht="22" customHeight="1">
      <x:c r="A1987" s="1" t="str">
        <x:v>TOPIXmini</x:v>
      </x:c>
      <x:c r="B1987" s="1" t="str">
        <x:v>V03</x:v>
      </x:c>
      <x:c r="C1987" s="1" t="str">
        <x:v>全50場</x:v>
      </x:c>
      <x:c r="D1987" s="47" t="n">
        <x:v>2184564</x:v>
      </x:c>
      <x:c r="E1987" s="47" t="n">
        <x:v>1955166</x:v>
      </x:c>
      <x:c r="F1987" s="47" t="n">
        <x:f>D1987-E1987</x:f>
        <x:v>229398</x:v>
      </x:c>
      <x:c r="G1987" s="49" t="n">
        <x:v>13</x:v>
      </x:c>
      <x:c r="H1987" s="49" t="n">
        <x:v>12</x:v>
      </x:c>
      <x:c r="I1987" s="47" t="n">
        <x:v>-133705</x:v>
      </x:c>
      <x:c r="J1987" s="49" t="n">
        <x:v>316</x:v>
      </x:c>
      <x:c r="K1987" s="47" t="n">
        <x:v>-107081</x:v>
      </x:c>
      <x:c r="L1987" s="47" t="n">
        <x:v>48625.416666666664</x:v>
      </x:c>
      <x:c r="M1987" s="48" t="n">
        <x:v>67.39266666666667</x:v>
      </x:c>
      <x:c r="N1987" s="48" t="n">
        <x:v>241.01333333333335</x:v>
      </x:c>
      <x:c r="O1987" s="49" t="n">
        <x:v>7</x:v>
      </x:c>
      <x:c r="P1987" s="1" t="str">
        <x:v>中期状態の基準併用：支持状態内の押し再進行で参加・標準</x:v>
      </x:c>
      <x:c r="Q1987" s="49" t="n">
        <x:v>0</x:v>
      </x:c>
      <x:c r="R1987" s="50" t="n">
        <x:v>0.5738412698412698</x:v>
      </x:c>
      <x:c r="S1987" s="50" t="n">
        <x:v>0.5738412698412698</x:v>
      </x:c>
      <x:c r="T1987" s="1" t="str">
        <x:v>デイ</x:v>
      </x:c>
      <x:c r="U1987" s="49" t="n">
        <x:v>25</x:v>
      </x:c>
    </x:row>
    <x:row r="1988" ht="22" customHeight="1">
      <x:c r="A1988" s="1" t="str">
        <x:v>TOPIXmini</x:v>
      </x:c>
      <x:c r="B1988" s="1" t="str">
        <x:v>V03</x:v>
      </x:c>
      <x:c r="C1988" s="1" t="str">
        <x:v>全50場</x:v>
      </x:c>
      <x:c r="D1988" s="47" t="n">
        <x:v>1718926</x:v>
      </x:c>
      <x:c r="E1988" s="47" t="n">
        <x:v>1699190</x:v>
      </x:c>
      <x:c r="F1988" s="47" t="n">
        <x:f>D1988-E1988</x:f>
        <x:v>19736</x:v>
      </x:c>
      <x:c r="G1988" s="49" t="n">
        <x:v>13</x:v>
      </x:c>
      <x:c r="H1988" s="49" t="n">
        <x:v>12</x:v>
      </x:c>
      <x:c r="I1988" s="47" t="n">
        <x:v>-136526</x:v>
      </x:c>
      <x:c r="J1988" s="49" t="n">
        <x:v>278</x:v>
      </x:c>
      <x:c r="K1988" s="47" t="n">
        <x:v>-101748</x:v>
      </x:c>
      <x:c r="L1988" s="47" t="n">
        <x:v>25219.5</x:v>
      </x:c>
      <x:c r="M1988" s="48" t="n">
        <x:v>165.12733333333333</x:v>
      </x:c>
      <x:c r="N1988" s="48" t="n">
        <x:v>179.93933333333334</x:v>
      </x:c>
      <x:c r="O1988" s="49" t="n">
        <x:v>7</x:v>
      </x:c>
      <x:c r="P1988" s="1" t="str">
        <x:v>中期状態の基準併用：支持状態内の押し再進行で参加・標準</x:v>
      </x:c>
      <x:c r="Q1988" s="49" t="n">
        <x:v>0</x:v>
      </x:c>
      <x:c r="R1988" s="50" t="n">
        <x:v>0.23069145299145297</x:v>
      </x:c>
      <x:c r="S1988" s="50" t="n">
        <x:v>0.230691452991453</x:v>
      </x:c>
      <x:c r="T1988" s="1" t="str">
        <x:v>ナイト</x:v>
      </x:c>
      <x:c r="U1988" s="49" t="n">
        <x:v>25</x:v>
      </x:c>
    </x:row>
    <x:row r="1989" ht="22" customHeight="1">
      <x:c r="A1989" s="1" t="str">
        <x:v>TOPIXmini</x:v>
      </x:c>
      <x:c r="B1989" s="1" t="str">
        <x:v>V03</x:v>
      </x:c>
      <x:c r="C1989" s="1" t="str">
        <x:v>全50場</x:v>
      </x:c>
      <x:c r="D1989" s="47" t="n">
        <x:v>1638610</x:v>
      </x:c>
      <x:c r="E1989" s="47" t="n">
        <x:v>1744607</x:v>
      </x:c>
      <x:c r="F1989" s="47" t="n">
        <x:f>D1989-E1989</x:f>
        <x:v>-105997</x:v>
      </x:c>
      <x:c r="G1989" s="49" t="n">
        <x:v>13</x:v>
      </x:c>
      <x:c r="H1989" s="49" t="n">
        <x:v>12</x:v>
      </x:c>
      <x:c r="I1989" s="47" t="n">
        <x:v>-290926</x:v>
      </x:c>
      <x:c r="J1989" s="49" t="n">
        <x:v>263</x:v>
      </x:c>
      <x:c r="K1989" s="47" t="n">
        <x:v>-107081</x:v>
      </x:c>
      <x:c r="L1989" s="47" t="n">
        <x:v>39627.916666666664</x:v>
      </x:c>
      <x:c r="M1989" s="48" t="n">
        <x:v>129.75933333333333</x:v>
      </x:c>
      <x:c r="N1989" s="48" t="n">
        <x:v>202.484</x:v>
      </x:c>
      <x:c r="O1989" s="49" t="n">
        <x:v>7</x:v>
      </x:c>
      <x:c r="P1989" s="1" t="str">
        <x:v>中期状態の基準併用：支持状態内の押し再進行で参加・標準</x:v>
      </x:c>
      <x:c r="Q1989" s="49" t="n">
        <x:v>0</x:v>
      </x:c>
      <x:c r="R1989" s="50" t="n">
        <x:v>0.3755340659340659</x:v>
      </x:c>
      <x:c r="S1989" s="50" t="n">
        <x:v>0.33347167325428195</x:v>
      </x:c>
      <x:c r="T1989" s="1" t="str">
        <x:v>上昇</x:v>
      </x:c>
      <x:c r="U1989" s="49" t="n">
        <x:v>25</x:v>
      </x:c>
    </x:row>
    <x:row r="1990" ht="22" customHeight="1">
      <x:c r="A1990" s="1" t="str">
        <x:v>TOPIXmini</x:v>
      </x:c>
      <x:c r="B1990" s="1" t="str">
        <x:v>V03</x:v>
      </x:c>
      <x:c r="C1990" s="1" t="str">
        <x:v>全50場</x:v>
      </x:c>
      <x:c r="D1990" s="47" t="n">
        <x:v>2264880</x:v>
      </x:c>
      <x:c r="E1990" s="47" t="n">
        <x:v>1909749</x:v>
      </x:c>
      <x:c r="F1990" s="47" t="n">
        <x:f>D1990-E1990</x:f>
        <x:v>355131</x:v>
      </x:c>
      <x:c r="G1990" s="49" t="n">
        <x:v>13</x:v>
      </x:c>
      <x:c r="H1990" s="49" t="n">
        <x:v>12</x:v>
      </x:c>
      <x:c r="I1990" s="47" t="n">
        <x:v>-7972</x:v>
      </x:c>
      <x:c r="J1990" s="49" t="n">
        <x:v>331</x:v>
      </x:c>
      <x:c r="K1990" s="47" t="n">
        <x:v>-101748</x:v>
      </x:c>
      <x:c r="L1990" s="47" t="n">
        <x:v>34217</x:v>
      </x:c>
      <x:c r="M1990" s="48" t="n">
        <x:v>102.76066666666665</x:v>
      </x:c>
      <x:c r="N1990" s="48" t="n">
        <x:v>218.46866666666668</x:v>
      </x:c>
      <x:c r="O1990" s="49" t="n">
        <x:v>7</x:v>
      </x:c>
      <x:c r="P1990" s="1" t="str">
        <x:v>中期状態の基準併用：支持状態内の押し再進行で参加・標準</x:v>
      </x:c>
      <x:c r="Q1990" s="49" t="n">
        <x:v>0</x:v>
      </x:c>
      <x:c r="R1990" s="50" t="n">
        <x:v>0.4289986568986569</x:v>
      </x:c>
      <x:c r="S1990" s="50" t="n">
        <x:v>0.3685368870895187</x:v>
      </x:c>
      <x:c r="T1990" s="1" t="str">
        <x:v>下落</x:v>
      </x:c>
      <x:c r="U1990" s="49" t="n">
        <x:v>25</x:v>
      </x:c>
    </x:row>
    <x:row r="1991" ht="22" customHeight="1">
      <x:c r="A1991" s="1" t="str">
        <x:v>TOPIXmini</x:v>
      </x:c>
      <x:c r="B1991" s="1" t="str">
        <x:v>V03</x:v>
      </x:c>
      <x:c r="C1991" s="1" t="str">
        <x:v>対照47場</x:v>
      </x:c>
      <x:c r="D1991" s="47" t="n">
        <x:v>3559395</x:v>
      </x:c>
      <x:c r="E1991" s="47" t="n">
        <x:v>3240544</x:v>
      </x:c>
      <x:c r="F1991" s="47" t="n">
        <x:f>D1991-E1991</x:f>
        <x:v>318851</x:v>
      </x:c>
      <x:c r="G1991" s="49" t="n">
        <x:v>25</x:v>
      </x:c>
      <x:c r="H1991" s="49" t="n">
        <x:v>22</x:v>
      </x:c>
      <x:c r="I1991" s="47" t="n">
        <x:v>-44252</x:v>
      </x:c>
      <x:c r="J1991" s="49" t="n">
        <x:v>530</x:v>
      </x:c>
      <x:c r="K1991" s="47" t="n">
        <x:v>-107081</x:v>
      </x:c>
      <x:c r="L1991" s="47" t="n">
        <x:v>35939.22727272727</x:v>
      </x:c>
      <x:c r="M1991" s="48" t="n">
        <x:v>119.77978723404256</x:v>
      </x:c>
      <x:c r="N1991" s="48" t="n">
        <x:v>209.08652482269505</x:v>
      </x:c>
      <x:c r="O1991" s="49" t="n">
        <x:v>7</x:v>
      </x:c>
      <x:c r="P1991" s="1" t="str">
        <x:v>中期状態の基準併用：支持状態内の押し再進行で参加・標準</x:v>
      </x:c>
      <x:c r="Q1991" s="49" t="n">
        <x:v>0</x:v>
      </x:c>
      <x:c r="R1991" s="50" t="n">
        <x:v>0.4030089886472865</x:v>
      </x:c>
      <x:c r="S1991" s="50" t="n">
        <x:v>0.35071615512729004</x:v>
      </x:c>
      <x:c r="T1991" s="1" t="str">
        <x:v>全場</x:v>
      </x:c>
      <x:c r="U1991" s="49" t="n">
        <x:v>47</x:v>
      </x:c>
    </x:row>
    <x:row r="1992" ht="22" customHeight="1">
      <x:c r="A1992" s="1" t="str">
        <x:v>TOPIXmini</x:v>
      </x:c>
      <x:c r="B1992" s="1" t="str">
        <x:v>V03</x:v>
      </x:c>
      <x:c r="C1992" s="1" t="str">
        <x:v>対照47場</x:v>
      </x:c>
      <x:c r="D1992" s="47" t="n">
        <x:v>2050972</x:v>
      </x:c>
      <x:c r="E1992" s="47" t="n">
        <x:v>1734842</x:v>
      </x:c>
      <x:c r="F1992" s="47" t="n">
        <x:f>D1992-E1992</x:f>
        <x:v>316130</x:v>
      </x:c>
      <x:c r="G1992" s="49" t="n">
        <x:v>13</x:v>
      </x:c>
      <x:c r="H1992" s="49" t="n">
        <x:v>11</x:v>
      </x:c>
      <x:c r="I1992" s="47" t="n">
        <x:v>-46973</x:v>
      </x:c>
      <x:c r="J1992" s="49" t="n">
        <x:v>288</x:v>
      </x:c>
      <x:c r="K1992" s="47" t="n">
        <x:v>-107081</x:v>
      </x:c>
      <x:c r="L1992" s="47" t="n">
        <x:v>45161.181818181816</x:v>
      </x:c>
      <x:c r="M1992" s="48" t="n">
        <x:v>69.20555555555556</x:v>
      </x:c>
      <x:c r="N1992" s="48" t="n">
        <x:v>240.49097222222224</x:v>
      </x:c>
      <x:c r="O1992" s="49" t="n">
        <x:v>7</x:v>
      </x:c>
      <x:c r="P1992" s="1" t="str">
        <x:v>中期状態の基準併用：支持状態内の押し再進行で参加・標準</x:v>
      </x:c>
      <x:c r="Q1992" s="49" t="n">
        <x:v>0</x:v>
      </x:c>
      <x:c r="R1992" s="50" t="n">
        <x:v>0.5725975529100529</x:v>
      </x:c>
      <x:c r="S1992" s="50" t="n">
        <x:v>0.572597552910053</x:v>
      </x:c>
      <x:c r="T1992" s="1" t="str">
        <x:v>デイ</x:v>
      </x:c>
      <x:c r="U1992" s="49" t="n">
        <x:v>24</x:v>
      </x:c>
    </x:row>
    <x:row r="1993" ht="22" customHeight="1">
      <x:c r="A1993" s="1" t="str">
        <x:v>TOPIXmini</x:v>
      </x:c>
      <x:c r="B1993" s="1" t="str">
        <x:v>V03</x:v>
      </x:c>
      <x:c r="C1993" s="1" t="str">
        <x:v>対照47場</x:v>
      </x:c>
      <x:c r="D1993" s="47" t="n">
        <x:v>1508423</x:v>
      </x:c>
      <x:c r="E1993" s="47" t="n">
        <x:v>1505702</x:v>
      </x:c>
      <x:c r="F1993" s="47" t="n">
        <x:f>D1993-E1993</x:f>
        <x:v>2721</x:v>
      </x:c>
      <x:c r="G1993" s="49" t="n">
        <x:v>12</x:v>
      </x:c>
      <x:c r="H1993" s="49" t="n">
        <x:v>11</x:v>
      </x:c>
      <x:c r="I1993" s="47" t="n">
        <x:v>-153541</x:v>
      </x:c>
      <x:c r="J1993" s="49" t="n">
        <x:v>242</x:v>
      </x:c>
      <x:c r="K1993" s="47" t="n">
        <x:v>-101748</x:v>
      </x:c>
      <x:c r="L1993" s="47" t="n">
        <x:v>26717.272727272728</x:v>
      </x:c>
      <x:c r="M1993" s="48" t="n">
        <x:v>172.55289855072465</x:v>
      </x:c>
      <x:c r="N1993" s="48" t="n">
        <x:v>176.3166666666667</x:v>
      </x:c>
      <x:c r="O1993" s="49" t="n">
        <x:v>7</x:v>
      </x:c>
      <x:c r="P1993" s="1" t="str">
        <x:v>中期状態の基準併用：支持状態内の押し再進行で参加・標準</x:v>
      </x:c>
      <x:c r="Q1993" s="49" t="n">
        <x:v>0</x:v>
      </x:c>
      <x:c r="R1993" s="50" t="n">
        <x:v>0.22604700854700854</x:v>
      </x:c>
      <x:c r="S1993" s="50" t="n">
        <x:v>0.22604700854700854</x:v>
      </x:c>
      <x:c r="T1993" s="1" t="str">
        <x:v>ナイト</x:v>
      </x:c>
      <x:c r="U1993" s="49" t="n">
        <x:v>23</x:v>
      </x:c>
    </x:row>
    <x:row r="1994" ht="22" customHeight="1">
      <x:c r="A1994" s="1" t="str">
        <x:v>TOPIXmini</x:v>
      </x:c>
      <x:c r="B1994" s="1" t="str">
        <x:v>V03</x:v>
      </x:c>
      <x:c r="C1994" s="1" t="str">
        <x:v>対照47場</x:v>
      </x:c>
      <x:c r="D1994" s="47" t="n">
        <x:v>1548524</x:v>
      </x:c>
      <x:c r="E1994" s="47" t="n">
        <x:v>1680280</x:v>
      </x:c>
      <x:c r="F1994" s="47" t="n">
        <x:f>D1994-E1994</x:f>
        <x:v>-131756</x:v>
      </x:c>
      <x:c r="G1994" s="49" t="n">
        <x:v>12</x:v>
      </x:c>
      <x:c r="H1994" s="49" t="n">
        <x:v>12</x:v>
      </x:c>
      <x:c r="I1994" s="47" t="n">
        <x:v>-316685</x:v>
      </x:c>
      <x:c r="J1994" s="49" t="n">
        <x:v>248</x:v>
      </x:c>
      <x:c r="K1994" s="47" t="n">
        <x:v>-107081</x:v>
      </x:c>
      <x:c r="L1994" s="47" t="n">
        <x:v>39627.916666666664</x:v>
      </x:c>
      <x:c r="M1994" s="48" t="n">
        <x:v>131.49375</x:v>
      </x:c>
      <x:c r="N1994" s="48" t="n">
        <x:v>201.13194444444446</x:v>
      </x:c>
      <x:c r="O1994" s="49" t="n">
        <x:v>7</x:v>
      </x:c>
      <x:c r="P1994" s="1" t="str">
        <x:v>中期状態の基準併用：支持状態内の押し再進行で参加・標準</x:v>
      </x:c>
      <x:c r="Q1994" s="49" t="n">
        <x:v>0</x:v>
      </x:c>
      <x:c r="R1994" s="50" t="n">
        <x:v>0.3786314611314611</x:v>
      </x:c>
      <x:c r="S1994" s="50" t="n">
        <x:v>0.3352199074074074</x:v>
      </x:c>
      <x:c r="T1994" s="1" t="str">
        <x:v>上昇</x:v>
      </x:c>
      <x:c r="U1994" s="49" t="n">
        <x:v>24</x:v>
      </x:c>
    </x:row>
    <x:row r="1995" ht="22" customHeight="1">
      <x:c r="A1995" s="1" t="str">
        <x:v>TOPIXmini</x:v>
      </x:c>
      <x:c r="B1995" s="1" t="str">
        <x:v>V03</x:v>
      </x:c>
      <x:c r="C1995" s="1" t="str">
        <x:v>対照47場</x:v>
      </x:c>
      <x:c r="D1995" s="47" t="n">
        <x:v>2010871</x:v>
      </x:c>
      <x:c r="E1995" s="47" t="n">
        <x:v>1560264</x:v>
      </x:c>
      <x:c r="F1995" s="47" t="n">
        <x:f>D1995-E1995</x:f>
        <x:v>450607</x:v>
      </x:c>
      <x:c r="G1995" s="49" t="n">
        <x:v>13</x:v>
      </x:c>
      <x:c r="H1995" s="49" t="n">
        <x:v>10</x:v>
      </x:c>
      <x:c r="I1995" s="47" t="n">
        <x:v>87504</x:v>
      </x:c>
      <x:c r="J1995" s="49" t="n">
        <x:v>282</x:v>
      </x:c>
      <x:c r="K1995" s="47" t="n">
        <x:v>-101748</x:v>
      </x:c>
      <x:c r="L1995" s="47" t="n">
        <x:v>31512.8</x:v>
      </x:c>
      <x:c r="M1995" s="48" t="n">
        <x:v>107.55652173913045</x:v>
      </x:c>
      <x:c r="N1995" s="48" t="n">
        <x:v>217.38695652173908</x:v>
      </x:c>
      <x:c r="O1995" s="49" t="n">
        <x:v>7</x:v>
      </x:c>
      <x:c r="P1995" s="1" t="str">
        <x:v>中期状態の基準併用：支持状態内の押し再進行で参加・標準</x:v>
      </x:c>
      <x:c r="Q1995" s="49" t="n">
        <x:v>0</x:v>
      </x:c>
      <x:c r="R1995" s="50" t="n">
        <x:v>0.42844640866380007</x:v>
      </x:c>
      <x:c r="S1995" s="50" t="n">
        <x:v>0.36709985315712185</x:v>
      </x:c>
      <x:c r="T1995" s="1" t="str">
        <x:v>下落</x:v>
      </x:c>
      <x:c r="U1995" s="49" t="n">
        <x:v>23</x:v>
      </x:c>
    </x:row>
    <x:row r="1996" ht="22" customHeight="1">
      <x:c r="A1996" s="1" t="str">
        <x:v>TOPIXmini</x:v>
      </x:c>
      <x:c r="B1996" s="1" t="str">
        <x:v>V03</x:v>
      </x:c>
      <x:c r="C1996" s="1" t="str">
        <x:v>診断3場</x:v>
      </x:c>
      <x:c r="D1996" s="47" t="n">
        <x:v>344095</x:v>
      </x:c>
      <x:c r="E1996" s="47" t="n">
        <x:v>413812</x:v>
      </x:c>
      <x:c r="F1996" s="47" t="n">
        <x:f>D1996-E1996</x:f>
        <x:v>-69717</x:v>
      </x:c>
      <x:c r="G1996" s="49" t="n">
        <x:v>1</x:v>
      </x:c>
      <x:c r="H1996" s="49" t="n">
        <x:v>2</x:v>
      </x:c>
      <x:c r="I1996" s="47" t="n">
        <x:v>-95476</x:v>
      </x:c>
      <x:c r="J1996" s="49" t="n">
        <x:v>64</x:v>
      </x:c>
      <x:c r="K1996" s="47" t="n">
        <x:v>-86732</x:v>
      </x:c>
      <x:c r="L1996" s="47" t="n">
        <x:v>47738</x:v>
      </x:c>
      <x:c r="M1996" s="48" t="n">
        <x:v>61.116666666666674</x:v>
      </x:c>
      <x:c r="N1996" s="48" t="n">
        <x:v>232.25</x:v>
      </x:c>
      <x:c r="O1996" s="49" t="n">
        <x:v>7</x:v>
      </x:c>
      <x:c r="P1996" s="1" t="str">
        <x:v>中期状態の基準併用：支持状態内の押し再進行で参加・標準</x:v>
      </x:c>
      <x:c r="Q1996" s="49" t="n">
        <x:v>0</x:v>
      </x:c>
      <x:c r="R1996" s="50" t="n">
        <x:v>0.3906318681318681</x:v>
      </x:c>
      <x:c r="S1996" s="50" t="n">
        <x:v>0.35189393939393937</x:v>
      </x:c>
      <x:c r="T1996" s="1" t="str">
        <x:v>全場</x:v>
      </x:c>
      <x:c r="U1996" s="49" t="n">
        <x:v>3</x:v>
      </x:c>
    </x:row>
    <x:row r="1997" ht="22" customHeight="1">
      <x:c r="A1997" s="1" t="str">
        <x:v>TOPIXmini</x:v>
      </x:c>
      <x:c r="B1997" s="1" t="str">
        <x:v>V03</x:v>
      </x:c>
      <x:c r="C1997" s="1" t="str">
        <x:v>診断3場</x:v>
      </x:c>
      <x:c r="D1997" s="47" t="n">
        <x:v>133592</x:v>
      </x:c>
      <x:c r="E1997" s="47" t="n">
        <x:v>220324</x:v>
      </x:c>
      <x:c r="F1997" s="47" t="n">
        <x:f>D1997-E1997</x:f>
        <x:v>-86732</x:v>
      </x:c>
      <x:c r="G1997" s="49" t="n">
        <x:v>0</x:v>
      </x:c>
      <x:c r="H1997" s="49" t="n">
        <x:v>1</x:v>
      </x:c>
      <x:c r="I1997" s="47" t="n">
        <x:v>-86732</x:v>
      </x:c>
      <x:c r="J1997" s="49" t="n">
        <x:v>28</x:v>
      </x:c>
      <x:c r="K1997" s="47" t="n">
        <x:v>-86732</x:v>
      </x:c>
      <x:c r="L1997" s="47" t="n">
        <x:v>86732</x:v>
      </x:c>
      <x:c r="M1997" s="48" t="n">
        <x:v>23.883333333333333</x:v>
      </x:c>
      <x:c r="N1997" s="48" t="n">
        <x:v>253.55</x:v>
      </x:c>
      <x:c r="O1997" s="49" t="n">
        <x:v>7</x:v>
      </x:c>
      <x:c r="P1997" s="1" t="str">
        <x:v>中期状態の基準併用：支持状態内の押し再進行で参加・標準</x:v>
      </x:c>
      <x:c r="Q1997" s="49" t="n">
        <x:v>0</x:v>
      </x:c>
      <x:c r="R1997" s="50" t="n">
        <x:v>0.6036904761904762</x:v>
      </x:c>
      <x:c r="S1997" s="50" t="n">
        <x:v>0.6036904761904762</x:v>
      </x:c>
      <x:c r="T1997" s="1" t="str">
        <x:v>デイ</x:v>
      </x:c>
      <x:c r="U1997" s="49" t="n">
        <x:v>1</x:v>
      </x:c>
    </x:row>
    <x:row r="1998" ht="22" customHeight="1">
      <x:c r="A1998" s="1" t="str">
        <x:v>TOPIXmini</x:v>
      </x:c>
      <x:c r="B1998" s="1" t="str">
        <x:v>V03</x:v>
      </x:c>
      <x:c r="C1998" s="1" t="str">
        <x:v>診断3場</x:v>
      </x:c>
      <x:c r="D1998" s="47" t="n">
        <x:v>210503</x:v>
      </x:c>
      <x:c r="E1998" s="47" t="n">
        <x:v>193488</x:v>
      </x:c>
      <x:c r="F1998" s="47" t="n">
        <x:f>D1998-E1998</x:f>
        <x:v>17015</x:v>
      </x:c>
      <x:c r="G1998" s="49" t="n">
        <x:v>1</x:v>
      </x:c>
      <x:c r="H1998" s="49" t="n">
        <x:v>1</x:v>
      </x:c>
      <x:c r="I1998" s="47" t="n">
        <x:v>-8744</x:v>
      </x:c>
      <x:c r="J1998" s="49" t="n">
        <x:v>36</x:v>
      </x:c>
      <x:c r="K1998" s="47" t="n">
        <x:v>-8744</x:v>
      </x:c>
      <x:c r="L1998" s="47" t="n">
        <x:v>8744</x:v>
      </x:c>
      <x:c r="M1998" s="48" t="n">
        <x:v>79.73333333333333</x:v>
      </x:c>
      <x:c r="N1998" s="48" t="n">
        <x:v>221.60000000000002</x:v>
      </x:c>
      <x:c r="O1998" s="49" t="n">
        <x:v>7</x:v>
      </x:c>
      <x:c r="P1998" s="1" t="str">
        <x:v>中期状態の基準併用：支持状態内の押し再進行で参加・標準</x:v>
      </x:c>
      <x:c r="Q1998" s="49" t="n">
        <x:v>0</x:v>
      </x:c>
      <x:c r="R1998" s="50" t="n">
        <x:v>0.28410256410256407</x:v>
      </x:c>
      <x:c r="S1998" s="50" t="n">
        <x:v>0.2841025641025641</x:v>
      </x:c>
      <x:c r="T1998" s="1" t="str">
        <x:v>ナイト</x:v>
      </x:c>
      <x:c r="U1998" s="49" t="n">
        <x:v>2</x:v>
      </x:c>
    </x:row>
    <x:row r="1999" ht="22" customHeight="1">
      <x:c r="A1999" s="1" t="str">
        <x:v>TOPIXmini</x:v>
      </x:c>
      <x:c r="B1999" s="1" t="str">
        <x:v>V03</x:v>
      </x:c>
      <x:c r="C1999" s="1" t="str">
        <x:v>診断3場</x:v>
      </x:c>
      <x:c r="D1999" s="47" t="n">
        <x:v>90086</x:v>
      </x:c>
      <x:c r="E1999" s="47" t="n">
        <x:v>64327</x:v>
      </x:c>
      <x:c r="F1999" s="47" t="n">
        <x:f>D1999-E1999</x:f>
        <x:v>25759</x:v>
      </x:c>
      <x:c r="G1999" s="49" t="n">
        <x:v>1</x:v>
      </x:c>
      <x:c r="H1999" s="49" t="n">
        <x:v>0</x:v>
      </x:c>
      <x:c r="I1999" s="47" t="n">
        <x:v>0</x:v>
      </x:c>
      <x:c r="J1999" s="49" t="n">
        <x:v>15</x:v>
      </x:c>
      <x:c r="K1999" s="47" t="n">
        <x:v>25759</x:v>
      </x:c>
      <x:c r="L1999" s="47" t="n">
        <x:v>0</x:v>
      </x:c>
      <x:c r="M1999" s="48" t="n">
        <x:v>88.13333333333334</x:v>
      </x:c>
      <x:c r="N1999" s="48" t="n">
        <x:v>234.93333333333334</x:v>
      </x:c>
      <x:c r="O1999" s="49" t="n">
        <x:v>7</x:v>
      </x:c>
      <x:c r="P1999" s="1" t="str">
        <x:v>中期状態の基準併用：支持状態内の押し再進行で参加・標準</x:v>
      </x:c>
      <x:c r="Q1999" s="49" t="n">
        <x:v>0</x:v>
      </x:c>
      <x:c r="R1999" s="50" t="n">
        <x:v>0.3011965811965812</x:v>
      </x:c>
      <x:c r="S1999" s="50" t="n">
        <x:v>0.3011965811965812</x:v>
      </x:c>
      <x:c r="T1999" s="1" t="str">
        <x:v>上昇</x:v>
      </x:c>
      <x:c r="U1999" s="49" t="n">
        <x:v>1</x:v>
      </x:c>
    </x:row>
    <x:row r="2000" ht="22" customHeight="1">
      <x:c r="A2000" s="1" t="str">
        <x:v>TOPIXmini</x:v>
      </x:c>
      <x:c r="B2000" s="1" t="str">
        <x:v>V03</x:v>
      </x:c>
      <x:c r="C2000" s="1" t="str">
        <x:v>診断3場</x:v>
      </x:c>
      <x:c r="D2000" s="47" t="n">
        <x:v>254009</x:v>
      </x:c>
      <x:c r="E2000" s="47" t="n">
        <x:v>349485</x:v>
      </x:c>
      <x:c r="F2000" s="47" t="n">
        <x:f>D2000-E2000</x:f>
        <x:v>-95476</x:v>
      </x:c>
      <x:c r="G2000" s="49" t="n">
        <x:v>0</x:v>
      </x:c>
      <x:c r="H2000" s="49" t="n">
        <x:v>2</x:v>
      </x:c>
      <x:c r="I2000" s="47" t="n">
        <x:v>-95476</x:v>
      </x:c>
      <x:c r="J2000" s="49" t="n">
        <x:v>49</x:v>
      </x:c>
      <x:c r="K2000" s="47" t="n">
        <x:v>-86732</x:v>
      </x:c>
      <x:c r="L2000" s="47" t="n">
        <x:v>47738</x:v>
      </x:c>
      <x:c r="M2000" s="48" t="n">
        <x:v>47.608333333333334</x:v>
      </x:c>
      <x:c r="N2000" s="48" t="n">
        <x:v>230.90833333333336</x:v>
      </x:c>
      <x:c r="O2000" s="49" t="n">
        <x:v>7</x:v>
      </x:c>
      <x:c r="P2000" s="1" t="str">
        <x:v>中期状態の基準併用：支持状態内の押し再進行で参加・標準</x:v>
      </x:c>
      <x:c r="Q2000" s="49" t="n">
        <x:v>0</x:v>
      </x:c>
      <x:c r="R2000" s="50" t="n">
        <x:v>0.43534951159951163</x:v>
      </x:c>
      <x:c r="S2000" s="50" t="n">
        <x:v>0.3848472222222223</x:v>
      </x:c>
      <x:c r="T2000" s="1" t="str">
        <x:v>下落</x:v>
      </x:c>
      <x:c r="U2000" s="49" t="n">
        <x:v>2</x:v>
      </x:c>
    </x:row>
    <x:row r="2001" ht="22" customHeight="1">
      <x:c r="A2001" s="1" t="str">
        <x:v>TOPIXmini</x:v>
      </x:c>
      <x:c r="B2001" s="1" t="str">
        <x:v>V04</x:v>
      </x:c>
      <x:c r="C2001" s="1" t="str">
        <x:v>全50場</x:v>
      </x:c>
      <x:c r="D2001" s="47" t="n">
        <x:v>3829308</x:v>
      </x:c>
      <x:c r="E2001" s="47" t="n">
        <x:v>3469712</x:v>
      </x:c>
      <x:c r="F2001" s="47" t="n">
        <x:f>D2001-E2001</x:f>
        <x:v>359596</x:v>
      </x:c>
      <x:c r="G2001" s="49" t="n">
        <x:v>26</x:v>
      </x:c>
      <x:c r="H2001" s="49" t="n">
        <x:v>23</x:v>
      </x:c>
      <x:c r="I2001" s="47" t="n">
        <x:v>-55335</x:v>
      </x:c>
      <x:c r="J2001" s="49" t="n">
        <x:v>537</x:v>
      </x:c>
      <x:c r="K2001" s="47" t="n">
        <x:v>-120748</x:v>
      </x:c>
      <x:c r="L2001" s="47" t="n">
        <x:v>39607.95652173913</x:v>
      </x:c>
      <x:c r="M2001" s="48" t="n">
        <x:v>116.26</x:v>
      </x:c>
      <x:c r="N2001" s="48" t="n">
        <x:v>241.72766666666666</x:v>
      </x:c>
      <x:c r="O2001" s="49" t="n">
        <x:v>7</x:v>
      </x:c>
      <x:c r="P2001" s="1" t="str">
        <x:v>中期状態の基準併用：支持状態内の押し再進行で参加・広め</x:v>
      </x:c>
      <x:c r="Q2001" s="49" t="n">
        <x:v>0</x:v>
      </x:c>
      <x:c r="R2001" s="50" t="n">
        <x:v>0.44899810744810753</x:v>
      </x:c>
      <x:c r="S2001" s="50" t="n">
        <x:v>0.40287944444444446</x:v>
      </x:c>
      <x:c r="T2001" s="1" t="str">
        <x:v>全場</x:v>
      </x:c>
      <x:c r="U2001" s="49" t="n">
        <x:v>50</x:v>
      </x:c>
    </x:row>
    <x:row r="2002" ht="22" customHeight="1">
      <x:c r="A2002" s="1" t="str">
        <x:v>TOPIXmini</x:v>
      </x:c>
      <x:c r="B2002" s="1" t="str">
        <x:v>V04</x:v>
      </x:c>
      <x:c r="C2002" s="1" t="str">
        <x:v>全50場</x:v>
      </x:c>
      <x:c r="D2002" s="47" t="n">
        <x:v>2200058</x:v>
      </x:c>
      <x:c r="E2002" s="47" t="n">
        <x:v>1817178</x:v>
      </x:c>
      <x:c r="F2002" s="47" t="n">
        <x:f>D2002-E2002</x:f>
        <x:v>382880</x:v>
      </x:c>
      <x:c r="G2002" s="49" t="n">
        <x:v>13</x:v>
      </x:c>
      <x:c r="H2002" s="49" t="n">
        <x:v>11</x:v>
      </x:c>
      <x:c r="I2002" s="47" t="n">
        <x:v>-32051</x:v>
      </x:c>
      <x:c r="J2002" s="49" t="n">
        <x:v>289</x:v>
      </x:c>
      <x:c r="K2002" s="47" t="n">
        <x:v>-108081</x:v>
      </x:c>
      <x:c r="L2002" s="47" t="n">
        <x:v>46334.454545454544</x:v>
      </x:c>
      <x:c r="M2002" s="48" t="n">
        <x:v>67.39266666666667</x:v>
      </x:c>
      <x:c r="N2002" s="48" t="n">
        <x:v>253.14533333333335</x:v>
      </x:c>
      <x:c r="O2002" s="49" t="n">
        <x:v>7</x:v>
      </x:c>
      <x:c r="P2002" s="1" t="str">
        <x:v>中期状態の基準併用：支持状態内の押し再進行で参加・広め</x:v>
      </x:c>
      <x:c r="Q2002" s="49" t="n">
        <x:v>0</x:v>
      </x:c>
      <x:c r="R2002" s="50" t="n">
        <x:v>0.6027269841269841</x:v>
      </x:c>
      <x:c r="S2002" s="50" t="n">
        <x:v>0.6027269841269841</x:v>
      </x:c>
      <x:c r="T2002" s="1" t="str">
        <x:v>デイ</x:v>
      </x:c>
      <x:c r="U2002" s="49" t="n">
        <x:v>25</x:v>
      </x:c>
    </x:row>
    <x:row r="2003" ht="22" customHeight="1">
      <x:c r="A2003" s="1" t="str">
        <x:v>TOPIXmini</x:v>
      </x:c>
      <x:c r="B2003" s="1" t="str">
        <x:v>V04</x:v>
      </x:c>
      <x:c r="C2003" s="1" t="str">
        <x:v>全50場</x:v>
      </x:c>
      <x:c r="D2003" s="47" t="n">
        <x:v>1629250</x:v>
      </x:c>
      <x:c r="E2003" s="47" t="n">
        <x:v>1652534</x:v>
      </x:c>
      <x:c r="F2003" s="47" t="n">
        <x:f>D2003-E2003</x:f>
        <x:v>-23284</x:v>
      </x:c>
      <x:c r="G2003" s="49" t="n">
        <x:v>13</x:v>
      </x:c>
      <x:c r="H2003" s="49" t="n">
        <x:v>12</x:v>
      </x:c>
      <x:c r="I2003" s="47" t="n">
        <x:v>-218544</x:v>
      </x:c>
      <x:c r="J2003" s="49" t="n">
        <x:v>248</x:v>
      </x:c>
      <x:c r="K2003" s="47" t="n">
        <x:v>-120748</x:v>
      </x:c>
      <x:c r="L2003" s="47" t="n">
        <x:v>33442</x:v>
      </x:c>
      <x:c r="M2003" s="48" t="n">
        <x:v>165.12733333333333</x:v>
      </x:c>
      <x:c r="N2003" s="48" t="n">
        <x:v>230.31</x:v>
      </x:c>
      <x:c r="O2003" s="49" t="n">
        <x:v>7</x:v>
      </x:c>
      <x:c r="P2003" s="1" t="str">
        <x:v>中期状態の基準併用：支持状態内の押し再進行で参加・広め</x:v>
      </x:c>
      <x:c r="Q2003" s="49" t="n">
        <x:v>0</x:v>
      </x:c>
      <x:c r="R2003" s="50" t="n">
        <x:v>0.2952692307692308</x:v>
      </x:c>
      <x:c r="S2003" s="50" t="n">
        <x:v>0.2952692307692308</x:v>
      </x:c>
      <x:c r="T2003" s="1" t="str">
        <x:v>ナイト</x:v>
      </x:c>
      <x:c r="U2003" s="49" t="n">
        <x:v>25</x:v>
      </x:c>
    </x:row>
    <x:row r="2004" ht="22" customHeight="1">
      <x:c r="A2004" s="1" t="str">
        <x:v>TOPIXmini</x:v>
      </x:c>
      <x:c r="B2004" s="1" t="str">
        <x:v>V04</x:v>
      </x:c>
      <x:c r="C2004" s="1" t="str">
        <x:v>全50場</x:v>
      </x:c>
      <x:c r="D2004" s="47" t="n">
        <x:v>1595270</x:v>
      </x:c>
      <x:c r="E2004" s="47" t="n">
        <x:v>1709947</x:v>
      </x:c>
      <x:c r="F2004" s="47" t="n">
        <x:f>D2004-E2004</x:f>
        <x:v>-114677</x:v>
      </x:c>
      <x:c r="G2004" s="49" t="n">
        <x:v>13</x:v>
      </x:c>
      <x:c r="H2004" s="49" t="n">
        <x:v>11</x:v>
      </x:c>
      <x:c r="I2004" s="47" t="n">
        <x:v>-317107</x:v>
      </x:c>
      <x:c r="J2004" s="49" t="n">
        <x:v>243</x:v>
      </x:c>
      <x:c r="K2004" s="47" t="n">
        <x:v>-108081</x:v>
      </x:c>
      <x:c r="L2004" s="47" t="n">
        <x:v>45230.63636363636</x:v>
      </x:c>
      <x:c r="M2004" s="48" t="n">
        <x:v>129.75933333333333</x:v>
      </x:c>
      <x:c r="N2004" s="48" t="n">
        <x:v>226.63466666666667</x:v>
      </x:c>
      <x:c r="O2004" s="49" t="n">
        <x:v>7</x:v>
      </x:c>
      <x:c r="P2004" s="1" t="str">
        <x:v>中期状態の基準併用：支持状態内の押し再進行で参加・広め</x:v>
      </x:c>
      <x:c r="Q2004" s="49" t="n">
        <x:v>0</x:v>
      </x:c>
      <x:c r="R2004" s="50" t="n">
        <x:v>0.411997557997558</x:v>
      </x:c>
      <x:c r="S2004" s="50" t="n">
        <x:v>0.3732454984628898</x:v>
      </x:c>
      <x:c r="T2004" s="1" t="str">
        <x:v>上昇</x:v>
      </x:c>
      <x:c r="U2004" s="49" t="n">
        <x:v>25</x:v>
      </x:c>
    </x:row>
    <x:row r="2005" ht="22" customHeight="1">
      <x:c r="A2005" s="1" t="str">
        <x:v>TOPIXmini</x:v>
      </x:c>
      <x:c r="B2005" s="1" t="str">
        <x:v>V04</x:v>
      </x:c>
      <x:c r="C2005" s="1" t="str">
        <x:v>全50場</x:v>
      </x:c>
      <x:c r="D2005" s="47" t="n">
        <x:v>2234038</x:v>
      </x:c>
      <x:c r="E2005" s="47" t="n">
        <x:v>1759765</x:v>
      </x:c>
      <x:c r="F2005" s="47" t="n">
        <x:f>D2005-E2005</x:f>
        <x:v>474273</x:v>
      </x:c>
      <x:c r="G2005" s="49" t="n">
        <x:v>13</x:v>
      </x:c>
      <x:c r="H2005" s="49" t="n">
        <x:v>12</x:v>
      </x:c>
      <x:c r="I2005" s="47" t="n">
        <x:v>59342</x:v>
      </x:c>
      <x:c r="J2005" s="49" t="n">
        <x:v>294</x:v>
      </x:c>
      <x:c r="K2005" s="47" t="n">
        <x:v>-120748</x:v>
      </x:c>
      <x:c r="L2005" s="47" t="n">
        <x:v>34453.833333333336</x:v>
      </x:c>
      <x:c r="M2005" s="48" t="n">
        <x:v>102.76066666666665</x:v>
      </x:c>
      <x:c r="N2005" s="48" t="n">
        <x:v>256.8206666666667</x:v>
      </x:c>
      <x:c r="O2005" s="49" t="n">
        <x:v>7</x:v>
      </x:c>
      <x:c r="P2005" s="1" t="str">
        <x:v>中期状態の基準併用：支持状態内の押し再進行で参加・広め</x:v>
      </x:c>
      <x:c r="Q2005" s="49" t="n">
        <x:v>0</x:v>
      </x:c>
      <x:c r="R2005" s="50" t="n">
        <x:v>0.4859986568986569</x:v>
      </x:c>
      <x:c r="S2005" s="50" t="n">
        <x:v>0.4332332433648223</x:v>
      </x:c>
      <x:c r="T2005" s="1" t="str">
        <x:v>下落</x:v>
      </x:c>
      <x:c r="U2005" s="49" t="n">
        <x:v>25</x:v>
      </x:c>
    </x:row>
    <x:row r="2006" ht="22" customHeight="1">
      <x:c r="A2006" s="1" t="str">
        <x:v>TOPIXmini</x:v>
      </x:c>
      <x:c r="B2006" s="1" t="str">
        <x:v>V04</x:v>
      </x:c>
      <x:c r="C2006" s="1" t="str">
        <x:v>対照47場</x:v>
      </x:c>
      <x:c r="D2006" s="47" t="n">
        <x:v>3525881</x:v>
      </x:c>
      <x:c r="E2006" s="47" t="n">
        <x:v>3075398</x:v>
      </x:c>
      <x:c r="F2006" s="47" t="n">
        <x:f>D2006-E2006</x:f>
        <x:v>450483</x:v>
      </x:c>
      <x:c r="G2006" s="49" t="n">
        <x:v>25</x:v>
      </x:c>
      <x:c r="H2006" s="49" t="n">
        <x:v>21</x:v>
      </x:c>
      <x:c r="I2006" s="47" t="n">
        <x:v>35552</x:v>
      </x:c>
      <x:c r="J2006" s="49" t="n">
        <x:v>478</x:v>
      </x:c>
      <x:c r="K2006" s="47" t="n">
        <x:v>-120748</x:v>
      </x:c>
      <x:c r="L2006" s="47" t="n">
        <x:v>38008.142857142855</x:v>
      </x:c>
      <x:c r="M2006" s="48" t="n">
        <x:v>119.77978723404256</x:v>
      </x:c>
      <x:c r="N2006" s="48" t="n">
        <x:v>239.10638297872345</x:v>
      </x:c>
      <x:c r="O2006" s="49" t="n">
        <x:v>7</x:v>
      </x:c>
      <x:c r="P2006" s="1" t="str">
        <x:v>中期状態の基準併用：支持状態内の押し再進行で参加・広め</x:v>
      </x:c>
      <x:c r="Q2006" s="49" t="n">
        <x:v>0</x:v>
      </x:c>
      <x:c r="R2006" s="50" t="n">
        <x:v>0.44780297716467926</x:v>
      </x:c>
      <x:c r="S2006" s="50" t="n">
        <x:v>0.40107066381156314</x:v>
      </x:c>
      <x:c r="T2006" s="1" t="str">
        <x:v>全場</x:v>
      </x:c>
      <x:c r="U2006" s="49" t="n">
        <x:v>47</x:v>
      </x:c>
    </x:row>
    <x:row r="2007" ht="22" customHeight="1">
      <x:c r="A2007" s="1" t="str">
        <x:v>TOPIXmini</x:v>
      </x:c>
      <x:c r="B2007" s="1" t="str">
        <x:v>V04</x:v>
      </x:c>
      <x:c r="C2007" s="1" t="str">
        <x:v>対照47場</x:v>
      </x:c>
      <x:c r="D2007" s="47" t="n">
        <x:v>2078466</x:v>
      </x:c>
      <x:c r="E2007" s="47" t="n">
        <x:v>1618186</x:v>
      </x:c>
      <x:c r="F2007" s="47" t="n">
        <x:f>D2007-E2007</x:f>
        <x:v>460280</x:v>
      </x:c>
      <x:c r="G2007" s="49" t="n">
        <x:v>13</x:v>
      </x:c>
      <x:c r="H2007" s="49" t="n">
        <x:v>10</x:v>
      </x:c>
      <x:c r="I2007" s="47" t="n">
        <x:v>45349</x:v>
      </x:c>
      <x:c r="J2007" s="49" t="n">
        <x:v>263</x:v>
      </x:c>
      <x:c r="K2007" s="47" t="n">
        <x:v>-108081</x:v>
      </x:c>
      <x:c r="L2007" s="47" t="n">
        <x:v>43227.9</x:v>
      </x:c>
      <x:c r="M2007" s="48" t="n">
        <x:v>69.20555555555556</x:v>
      </x:c>
      <x:c r="N2007" s="48" t="n">
        <x:v>251.73055555555558</x:v>
      </x:c>
      <x:c r="O2007" s="49" t="n">
        <x:v>7</x:v>
      </x:c>
      <x:c r="P2007" s="1" t="str">
        <x:v>中期状態の基準併用：支持状態内の押し再進行で参加・広め</x:v>
      </x:c>
      <x:c r="Q2007" s="49" t="n">
        <x:v>0</x:v>
      </x:c>
      <x:c r="R2007" s="50" t="n">
        <x:v>0.5993584656084656</x:v>
      </x:c>
      <x:c r="S2007" s="50" t="n">
        <x:v>0.5993584656084656</x:v>
      </x:c>
      <x:c r="T2007" s="1" t="str">
        <x:v>デイ</x:v>
      </x:c>
      <x:c r="U2007" s="49" t="n">
        <x:v>24</x:v>
      </x:c>
    </x:row>
    <x:row r="2008" ht="22" customHeight="1">
      <x:c r="A2008" s="1" t="str">
        <x:v>TOPIXmini</x:v>
      </x:c>
      <x:c r="B2008" s="1" t="str">
        <x:v>V04</x:v>
      </x:c>
      <x:c r="C2008" s="1" t="str">
        <x:v>対照47場</x:v>
      </x:c>
      <x:c r="D2008" s="47" t="n">
        <x:v>1447415</x:v>
      </x:c>
      <x:c r="E2008" s="47" t="n">
        <x:v>1457212</x:v>
      </x:c>
      <x:c r="F2008" s="47" t="n">
        <x:f>D2008-E2008</x:f>
        <x:v>-9797</x:v>
      </x:c>
      <x:c r="G2008" s="49" t="n">
        <x:v>12</x:v>
      </x:c>
      <x:c r="H2008" s="49" t="n">
        <x:v>11</x:v>
      </x:c>
      <x:c r="I2008" s="47" t="n">
        <x:v>-205057</x:v>
      </x:c>
      <x:c r="J2008" s="49" t="n">
        <x:v>215</x:v>
      </x:c>
      <x:c r="K2008" s="47" t="n">
        <x:v>-120748</x:v>
      </x:c>
      <x:c r="L2008" s="47" t="n">
        <x:v>33262.90909090909</x:v>
      </x:c>
      <x:c r="M2008" s="48" t="n">
        <x:v>172.55289855072465</x:v>
      </x:c>
      <x:c r="N2008" s="48" t="n">
        <x:v>225.9333333333333</x:v>
      </x:c>
      <x:c r="O2008" s="49" t="n">
        <x:v>7</x:v>
      </x:c>
      <x:c r="P2008" s="1" t="str">
        <x:v>中期状態の基準併用：支持状態内の押し再進行で参加・広め</x:v>
      </x:c>
      <x:c r="Q2008" s="49" t="n">
        <x:v>0</x:v>
      </x:c>
      <x:c r="R2008" s="50" t="n">
        <x:v>0.2896581196581196</x:v>
      </x:c>
      <x:c r="S2008" s="50" t="n">
        <x:v>0.28965811965811966</x:v>
      </x:c>
      <x:c r="T2008" s="1" t="str">
        <x:v>ナイト</x:v>
      </x:c>
      <x:c r="U2008" s="49" t="n">
        <x:v>23</x:v>
      </x:c>
    </x:row>
    <x:row r="2009" ht="22" customHeight="1">
      <x:c r="A2009" s="1" t="str">
        <x:v>TOPIXmini</x:v>
      </x:c>
      <x:c r="B2009" s="1" t="str">
        <x:v>V04</x:v>
      </x:c>
      <x:c r="C2009" s="1" t="str">
        <x:v>対照47場</x:v>
      </x:c>
      <x:c r="D2009" s="47" t="n">
        <x:v>1517018</x:v>
      </x:c>
      <x:c r="E2009" s="47" t="n">
        <x:v>1653620</x:v>
      </x:c>
      <x:c r="F2009" s="47" t="n">
        <x:f>D2009-E2009</x:f>
        <x:v>-136602</x:v>
      </x:c>
      <x:c r="G2009" s="49" t="n">
        <x:v>12</x:v>
      </x:c>
      <x:c r="H2009" s="49" t="n">
        <x:v>11</x:v>
      </x:c>
      <x:c r="I2009" s="47" t="n">
        <x:v>-339032</x:v>
      </x:c>
      <x:c r="J2009" s="49" t="n">
        <x:v>229</x:v>
      </x:c>
      <x:c r="K2009" s="47" t="n">
        <x:v>-108081</x:v>
      </x:c>
      <x:c r="L2009" s="47" t="n">
        <x:v>45230.63636363636</x:v>
      </x:c>
      <x:c r="M2009" s="48" t="n">
        <x:v>131.49375</x:v>
      </x:c>
      <x:c r="N2009" s="48" t="n">
        <x:v>223.46388888888887</x:v>
      </x:c>
      <x:c r="O2009" s="49" t="n">
        <x:v>7</x:v>
      </x:c>
      <x:c r="P2009" s="1" t="str">
        <x:v>中期状態の基準併用：支持状態内の押し再進行で参加・広め</x:v>
      </x:c>
      <x:c r="Q2009" s="49" t="n">
        <x:v>0</x:v>
      </x:c>
      <x:c r="R2009" s="50" t="n">
        <x:v>0.4129924704924705</x:v>
      </x:c>
      <x:c r="S2009" s="50" t="n">
        <x:v>0.3724398148148148</x:v>
      </x:c>
      <x:c r="T2009" s="1" t="str">
        <x:v>上昇</x:v>
      </x:c>
      <x:c r="U2009" s="49" t="n">
        <x:v>24</x:v>
      </x:c>
    </x:row>
    <x:row r="2010" ht="22" customHeight="1">
      <x:c r="A2010" s="1" t="str">
        <x:v>TOPIXmini</x:v>
      </x:c>
      <x:c r="B2010" s="1" t="str">
        <x:v>V04</x:v>
      </x:c>
      <x:c r="C2010" s="1" t="str">
        <x:v>対照47場</x:v>
      </x:c>
      <x:c r="D2010" s="47" t="n">
        <x:v>2008863</x:v>
      </x:c>
      <x:c r="E2010" s="47" t="n">
        <x:v>1421778</x:v>
      </x:c>
      <x:c r="F2010" s="47" t="n">
        <x:f>D2010-E2010</x:f>
        <x:v>587085</x:v>
      </x:c>
      <x:c r="G2010" s="49" t="n">
        <x:v>13</x:v>
      </x:c>
      <x:c r="H2010" s="49" t="n">
        <x:v>10</x:v>
      </x:c>
      <x:c r="I2010" s="47" t="n">
        <x:v>172154</x:v>
      </x:c>
      <x:c r="J2010" s="49" t="n">
        <x:v>249</x:v>
      </x:c>
      <x:c r="K2010" s="47" t="n">
        <x:v>-120748</x:v>
      </x:c>
      <x:c r="L2010" s="47" t="n">
        <x:v>30063.4</x:v>
      </x:c>
      <x:c r="M2010" s="48" t="n">
        <x:v>107.55652173913045</x:v>
      </x:c>
      <x:c r="N2010" s="48" t="n">
        <x:v>255.42898550724638</x:v>
      </x:c>
      <x:c r="O2010" s="49" t="n">
        <x:v>7</x:v>
      </x:c>
      <x:c r="P2010" s="1" t="str">
        <x:v>中期状態の基準併用：支持状態内の押し再進行で参加・広め</x:v>
      </x:c>
      <x:c r="Q2010" s="49" t="n">
        <x:v>0</x:v>
      </x:c>
      <x:c r="R2010" s="50" t="n">
        <x:v>0.4841269841269842</x:v>
      </x:c>
      <x:c r="S2010" s="50" t="n">
        <x:v>0.4313411649534998</x:v>
      </x:c>
      <x:c r="T2010" s="1" t="str">
        <x:v>下落</x:v>
      </x:c>
      <x:c r="U2010" s="49" t="n">
        <x:v>23</x:v>
      </x:c>
    </x:row>
    <x:row r="2011" ht="22" customHeight="1">
      <x:c r="A2011" s="1" t="str">
        <x:v>TOPIXmini</x:v>
      </x:c>
      <x:c r="B2011" s="1" t="str">
        <x:v>V04</x:v>
      </x:c>
      <x:c r="C2011" s="1" t="str">
        <x:v>診断3場</x:v>
      </x:c>
      <x:c r="D2011" s="47" t="n">
        <x:v>303427</x:v>
      </x:c>
      <x:c r="E2011" s="47" t="n">
        <x:v>394314</x:v>
      </x:c>
      <x:c r="F2011" s="47" t="n">
        <x:f>D2011-E2011</x:f>
        <x:v>-90887</x:v>
      </x:c>
      <x:c r="G2011" s="49" t="n">
        <x:v>1</x:v>
      </x:c>
      <x:c r="H2011" s="49" t="n">
        <x:v>2</x:v>
      </x:c>
      <x:c r="I2011" s="47" t="n">
        <x:v>-112812</x:v>
      </x:c>
      <x:c r="J2011" s="49" t="n">
        <x:v>59</x:v>
      </x:c>
      <x:c r="K2011" s="47" t="n">
        <x:v>-77400</x:v>
      </x:c>
      <x:c r="L2011" s="47" t="n">
        <x:v>56406</x:v>
      </x:c>
      <x:c r="M2011" s="48" t="n">
        <x:v>61.116666666666674</x:v>
      </x:c>
      <x:c r="N2011" s="48" t="n">
        <x:v>282.7944444444445</x:v>
      </x:c>
      <x:c r="O2011" s="49" t="n">
        <x:v>7</x:v>
      </x:c>
      <x:c r="P2011" s="1" t="str">
        <x:v>中期状態の基準併用：支持状態内の押し再進行で参加・広め</x:v>
      </x:c>
      <x:c r="Q2011" s="49" t="n">
        <x:v>0</x:v>
      </x:c>
      <x:c r="R2011" s="50" t="n">
        <x:v>0.46772181522181516</x:v>
      </x:c>
      <x:c r="S2011" s="50" t="n">
        <x:v>0.428476430976431</x:v>
      </x:c>
      <x:c r="T2011" s="1" t="str">
        <x:v>全場</x:v>
      </x:c>
      <x:c r="U2011" s="49" t="n">
        <x:v>3</x:v>
      </x:c>
    </x:row>
    <x:row r="2012" ht="22" customHeight="1">
      <x:c r="A2012" s="1" t="str">
        <x:v>TOPIXmini</x:v>
      </x:c>
      <x:c r="B2012" s="1" t="str">
        <x:v>V04</x:v>
      </x:c>
      <x:c r="C2012" s="1" t="str">
        <x:v>診断3場</x:v>
      </x:c>
      <x:c r="D2012" s="47" t="n">
        <x:v>121592</x:v>
      </x:c>
      <x:c r="E2012" s="47" t="n">
        <x:v>198992</x:v>
      </x:c>
      <x:c r="F2012" s="47" t="n">
        <x:f>D2012-E2012</x:f>
        <x:v>-77400</x:v>
      </x:c>
      <x:c r="G2012" s="49" t="n">
        <x:v>0</x:v>
      </x:c>
      <x:c r="H2012" s="49" t="n">
        <x:v>1</x:v>
      </x:c>
      <x:c r="I2012" s="47" t="n">
        <x:v>-77400</x:v>
      </x:c>
      <x:c r="J2012" s="49" t="n">
        <x:v>26</x:v>
      </x:c>
      <x:c r="K2012" s="47" t="n">
        <x:v>-77400</x:v>
      </x:c>
      <x:c r="L2012" s="47" t="n">
        <x:v>77400</x:v>
      </x:c>
      <x:c r="M2012" s="48" t="n">
        <x:v>23.883333333333333</x:v>
      </x:c>
      <x:c r="N2012" s="48" t="n">
        <x:v>287.1</x:v>
      </x:c>
      <x:c r="O2012" s="49" t="n">
        <x:v>7</x:v>
      </x:c>
      <x:c r="P2012" s="1" t="str">
        <x:v>中期状態の基準併用：支持状態内の押し再進行で参加・広め</x:v>
      </x:c>
      <x:c r="Q2012" s="49" t="n">
        <x:v>0</x:v>
      </x:c>
      <x:c r="R2012" s="50" t="n">
        <x:v>0.6835714285714286</x:v>
      </x:c>
      <x:c r="S2012" s="50" t="n">
        <x:v>0.6835714285714286</x:v>
      </x:c>
      <x:c r="T2012" s="1" t="str">
        <x:v>デイ</x:v>
      </x:c>
      <x:c r="U2012" s="49" t="n">
        <x:v>1</x:v>
      </x:c>
    </x:row>
    <x:row r="2013" ht="22" customHeight="1">
      <x:c r="A2013" s="1" t="str">
        <x:v>TOPIXmini</x:v>
      </x:c>
      <x:c r="B2013" s="1" t="str">
        <x:v>V04</x:v>
      </x:c>
      <x:c r="C2013" s="1" t="str">
        <x:v>診断3場</x:v>
      </x:c>
      <x:c r="D2013" s="47" t="n">
        <x:v>181835</x:v>
      </x:c>
      <x:c r="E2013" s="47" t="n">
        <x:v>195322</x:v>
      </x:c>
      <x:c r="F2013" s="47" t="n">
        <x:f>D2013-E2013</x:f>
        <x:v>-13487</x:v>
      </x:c>
      <x:c r="G2013" s="49" t="n">
        <x:v>1</x:v>
      </x:c>
      <x:c r="H2013" s="49" t="n">
        <x:v>1</x:v>
      </x:c>
      <x:c r="I2013" s="47" t="n">
        <x:v>-35412</x:v>
      </x:c>
      <x:c r="J2013" s="49" t="n">
        <x:v>33</x:v>
      </x:c>
      <x:c r="K2013" s="47" t="n">
        <x:v>-35412</x:v>
      </x:c>
      <x:c r="L2013" s="47" t="n">
        <x:v>35412</x:v>
      </x:c>
      <x:c r="M2013" s="48" t="n">
        <x:v>79.73333333333333</x:v>
      </x:c>
      <x:c r="N2013" s="48" t="n">
        <x:v>280.64166666666665</x:v>
      </x:c>
      <x:c r="O2013" s="49" t="n">
        <x:v>7</x:v>
      </x:c>
      <x:c r="P2013" s="1" t="str">
        <x:v>中期状態の基準併用：支持状態内の押し再進行で参加・広め</x:v>
      </x:c>
      <x:c r="Q2013" s="49" t="n">
        <x:v>0</x:v>
      </x:c>
      <x:c r="R2013" s="50" t="n">
        <x:v>0.3597970085470085</x:v>
      </x:c>
      <x:c r="S2013" s="50" t="n">
        <x:v>0.3597970085470085</x:v>
      </x:c>
      <x:c r="T2013" s="1" t="str">
        <x:v>ナイト</x:v>
      </x:c>
      <x:c r="U2013" s="49" t="n">
        <x:v>2</x:v>
      </x:c>
    </x:row>
    <x:row r="2014" ht="22" customHeight="1">
      <x:c r="A2014" s="1" t="str">
        <x:v>TOPIXmini</x:v>
      </x:c>
      <x:c r="B2014" s="1" t="str">
        <x:v>V04</x:v>
      </x:c>
      <x:c r="C2014" s="1" t="str">
        <x:v>診断3場</x:v>
      </x:c>
      <x:c r="D2014" s="47" t="n">
        <x:v>78252</x:v>
      </x:c>
      <x:c r="E2014" s="47" t="n">
        <x:v>56327</x:v>
      </x:c>
      <x:c r="F2014" s="47" t="n">
        <x:f>D2014-E2014</x:f>
        <x:v>21925</x:v>
      </x:c>
      <x:c r="G2014" s="49" t="n">
        <x:v>1</x:v>
      </x:c>
      <x:c r="H2014" s="49" t="n">
        <x:v>0</x:v>
      </x:c>
      <x:c r="I2014" s="47" t="n">
        <x:v>0</x:v>
      </x:c>
      <x:c r="J2014" s="49" t="n">
        <x:v>14</x:v>
      </x:c>
      <x:c r="K2014" s="47" t="n">
        <x:v>21925</x:v>
      </x:c>
      <x:c r="L2014" s="47" t="n">
        <x:v>0</x:v>
      </x:c>
      <x:c r="M2014" s="48" t="n">
        <x:v>88.13333333333334</x:v>
      </x:c>
      <x:c r="N2014" s="48" t="n">
        <x:v>302.73333333333335</x:v>
      </x:c>
      <x:c r="O2014" s="49" t="n">
        <x:v>7</x:v>
      </x:c>
      <x:c r="P2014" s="1" t="str">
        <x:v>中期状態の基準併用：支持状態内の押し再進行で参加・広め</x:v>
      </x:c>
      <x:c r="Q2014" s="49" t="n">
        <x:v>0</x:v>
      </x:c>
      <x:c r="R2014" s="50" t="n">
        <x:v>0.3881196581196581</x:v>
      </x:c>
      <x:c r="S2014" s="50" t="n">
        <x:v>0.38811965811965815</x:v>
      </x:c>
      <x:c r="T2014" s="1" t="str">
        <x:v>上昇</x:v>
      </x:c>
      <x:c r="U2014" s="49" t="n">
        <x:v>1</x:v>
      </x:c>
    </x:row>
    <x:row r="2015" ht="22" customHeight="1">
      <x:c r="A2015" s="1" t="str">
        <x:v>TOPIXmini</x:v>
      </x:c>
      <x:c r="B2015" s="1" t="str">
        <x:v>V04</x:v>
      </x:c>
      <x:c r="C2015" s="1" t="str">
        <x:v>診断3場</x:v>
      </x:c>
      <x:c r="D2015" s="47" t="n">
        <x:v>225175</x:v>
      </x:c>
      <x:c r="E2015" s="47" t="n">
        <x:v>337987</x:v>
      </x:c>
      <x:c r="F2015" s="47" t="n">
        <x:f>D2015-E2015</x:f>
        <x:v>-112812</x:v>
      </x:c>
      <x:c r="G2015" s="49" t="n">
        <x:v>0</x:v>
      </x:c>
      <x:c r="H2015" s="49" t="n">
        <x:v>2</x:v>
      </x:c>
      <x:c r="I2015" s="47" t="n">
        <x:v>-112812</x:v>
      </x:c>
      <x:c r="J2015" s="49" t="n">
        <x:v>45</x:v>
      </x:c>
      <x:c r="K2015" s="47" t="n">
        <x:v>-77400</x:v>
      </x:c>
      <x:c r="L2015" s="47" t="n">
        <x:v>56406</x:v>
      </x:c>
      <x:c r="M2015" s="48" t="n">
        <x:v>47.608333333333334</x:v>
      </x:c>
      <x:c r="N2015" s="48" t="n">
        <x:v>272.82500000000005</x:v>
      </x:c>
      <x:c r="O2015" s="49" t="n">
        <x:v>7</x:v>
      </x:c>
      <x:c r="P2015" s="1" t="str">
        <x:v>中期状態の基準併用：支持状態内の押し再進行で参加・広め</x:v>
      </x:c>
      <x:c r="Q2015" s="49" t="n">
        <x:v>0</x:v>
      </x:c>
      <x:c r="R2015" s="50" t="n">
        <x:v>0.5075228937728937</x:v>
      </x:c>
      <x:c r="S2015" s="50" t="n">
        <x:v>0.45470833333333344</x:v>
      </x:c>
      <x:c r="T2015" s="1" t="str">
        <x:v>下落</x:v>
      </x:c>
      <x:c r="U2015" s="49" t="n">
        <x:v>2</x:v>
      </x:c>
    </x:row>
    <x:row r="2016" ht="22" customHeight="1">
      <x:c r="A2016" s="1" t="str">
        <x:v>TOPIXmini</x:v>
      </x:c>
      <x:c r="B2016" s="1" t="str">
        <x:v>V05</x:v>
      </x:c>
      <x:c r="C2016" s="1" t="str">
        <x:v>全50場</x:v>
      </x:c>
      <x:c r="D2016" s="47" t="n">
        <x:v>5082238</x:v>
      </x:c>
      <x:c r="E2016" s="47" t="n">
        <x:v>5424014</x:v>
      </x:c>
      <x:c r="F2016" s="47" t="n">
        <x:f>D2016-E2016</x:f>
        <x:v>-341776</x:v>
      </x:c>
      <x:c r="G2016" s="49" t="n">
        <x:v>21</x:v>
      </x:c>
      <x:c r="H2016" s="49" t="n">
        <x:v>29</x:v>
      </x:c>
      <x:c r="I2016" s="47" t="n">
        <x:v>-723053</x:v>
      </x:c>
      <x:c r="J2016" s="49" t="n">
        <x:v>979</x:v>
      </x:c>
      <x:c r="K2016" s="47" t="n">
        <x:v>-112650</x:v>
      </x:c>
      <x:c r="L2016" s="47" t="n">
        <x:v>49944.275862068964</x:v>
      </x:c>
      <x:c r="M2016" s="48" t="n">
        <x:v>37.083666666666666</x:v>
      </x:c>
      <x:c r="N2016" s="48" t="n">
        <x:v>338.56433333333337</x:v>
      </x:c>
      <x:c r="O2016" s="49" t="n">
        <x:v>7</x:v>
      </x:c>
      <x:c r="P2016" s="1" t="str">
        <x:v>中期状態の基準併用：同方向失敗後は新しい押し再進行を待つ・標準</x:v>
      </x:c>
      <x:c r="Q2016" s="49" t="n">
        <x:v>0</x:v>
      </x:c>
      <x:c r="R2016" s="50" t="n">
        <x:v>0.5935967643467643</x:v>
      </x:c>
      <x:c r="S2016" s="50" t="n">
        <x:v>0.5642738888888889</x:v>
      </x:c>
      <x:c r="T2016" s="1" t="str">
        <x:v>全場</x:v>
      </x:c>
      <x:c r="U2016" s="49" t="n">
        <x:v>50</x:v>
      </x:c>
    </x:row>
    <x:row r="2017" ht="22" customHeight="1">
      <x:c r="A2017" s="1" t="str">
        <x:v>TOPIXmini</x:v>
      </x:c>
      <x:c r="B2017" s="1" t="str">
        <x:v>V05</x:v>
      </x:c>
      <x:c r="C2017" s="1" t="str">
        <x:v>全50場</x:v>
      </x:c>
      <x:c r="D2017" s="47" t="n">
        <x:v>2601256</x:v>
      </x:c>
      <x:c r="E2017" s="47" t="n">
        <x:v>2611766</x:v>
      </x:c>
      <x:c r="F2017" s="47" t="n">
        <x:f>D2017-E2017</x:f>
        <x:v>-10510</x:v>
      </x:c>
      <x:c r="G2017" s="49" t="n">
        <x:v>11</x:v>
      </x:c>
      <x:c r="H2017" s="49" t="n">
        <x:v>14</x:v>
      </x:c>
      <x:c r="I2017" s="47" t="n">
        <x:v>-391787</x:v>
      </x:c>
      <x:c r="J2017" s="49" t="n">
        <x:v>454</x:v>
      </x:c>
      <x:c r="K2017" s="47" t="n">
        <x:v>-112650</x:v>
      </x:c>
      <x:c r="L2017" s="47" t="n">
        <x:v>59871.5</x:v>
      </x:c>
      <x:c r="M2017" s="48" t="n">
        <x:v>30.372000000000003</x:v>
      </x:c>
      <x:c r="N2017" s="48" t="n">
        <x:v>290.36266666666666</x:v>
      </x:c>
      <x:c r="O2017" s="49" t="n">
        <x:v>7</x:v>
      </x:c>
      <x:c r="P2017" s="1" t="str">
        <x:v>中期状態の基準併用：同方向失敗後は新しい押し再進行を待つ・標準</x:v>
      </x:c>
      <x:c r="Q2017" s="49" t="n">
        <x:v>0</x:v>
      </x:c>
      <x:c r="R2017" s="50" t="n">
        <x:v>0.6913396825396825</x:v>
      </x:c>
      <x:c r="S2017" s="50" t="n">
        <x:v>0.6913396825396826</x:v>
      </x:c>
      <x:c r="T2017" s="1" t="str">
        <x:v>デイ</x:v>
      </x:c>
      <x:c r="U2017" s="49" t="n">
        <x:v>25</x:v>
      </x:c>
    </x:row>
    <x:row r="2018" ht="22" customHeight="1">
      <x:c r="A2018" s="1" t="str">
        <x:v>TOPIXmini</x:v>
      </x:c>
      <x:c r="B2018" s="1" t="str">
        <x:v>V05</x:v>
      </x:c>
      <x:c r="C2018" s="1" t="str">
        <x:v>全50場</x:v>
      </x:c>
      <x:c r="D2018" s="47" t="n">
        <x:v>2480982</x:v>
      </x:c>
      <x:c r="E2018" s="47" t="n">
        <x:v>2812248</x:v>
      </x:c>
      <x:c r="F2018" s="47" t="n">
        <x:f>D2018-E2018</x:f>
        <x:v>-331266</x:v>
      </x:c>
      <x:c r="G2018" s="49" t="n">
        <x:v>10</x:v>
      </x:c>
      <x:c r="H2018" s="49" t="n">
        <x:v>15</x:v>
      </x:c>
      <x:c r="I2018" s="47" t="n">
        <x:v>-517624</x:v>
      </x:c>
      <x:c r="J2018" s="49" t="n">
        <x:v>525</x:v>
      </x:c>
      <x:c r="K2018" s="47" t="n">
        <x:v>-97905</x:v>
      </x:c>
      <x:c r="L2018" s="47" t="n">
        <x:v>40678.86666666667</x:v>
      </x:c>
      <x:c r="M2018" s="48" t="n">
        <x:v>43.79533333333333</x:v>
      </x:c>
      <x:c r="N2018" s="48" t="n">
        <x:v>386.76599999999996</x:v>
      </x:c>
      <x:c r="O2018" s="49" t="n">
        <x:v>7</x:v>
      </x:c>
      <x:c r="P2018" s="1" t="str">
        <x:v>中期状態の基準併用：同方向失敗後は新しい押し再進行を待つ・標準</x:v>
      </x:c>
      <x:c r="Q2018" s="49" t="n">
        <x:v>0</x:v>
      </x:c>
      <x:c r="R2018" s="50" t="n">
        <x:v>0.49585384615384615</x:v>
      </x:c>
      <x:c r="S2018" s="50" t="n">
        <x:v>0.49585384615384615</x:v>
      </x:c>
      <x:c r="T2018" s="1" t="str">
        <x:v>ナイト</x:v>
      </x:c>
      <x:c r="U2018" s="49" t="n">
        <x:v>25</x:v>
      </x:c>
    </x:row>
    <x:row r="2019" ht="22" customHeight="1">
      <x:c r="A2019" s="1" t="str">
        <x:v>TOPIXmini</x:v>
      </x:c>
      <x:c r="B2019" s="1" t="str">
        <x:v>V05</x:v>
      </x:c>
      <x:c r="C2019" s="1" t="str">
        <x:v>全50場</x:v>
      </x:c>
      <x:c r="D2019" s="47" t="n">
        <x:v>2141314</x:v>
      </x:c>
      <x:c r="E2019" s="47" t="n">
        <x:v>2618187</x:v>
      </x:c>
      <x:c r="F2019" s="47" t="n">
        <x:f>D2019-E2019</x:f>
        <x:v>-476873</x:v>
      </x:c>
      <x:c r="G2019" s="49" t="n">
        <x:v>7</x:v>
      </x:c>
      <x:c r="H2019" s="49" t="n">
        <x:v>18</x:v>
      </x:c>
      <x:c r="I2019" s="47" t="n">
        <x:v>-684063</x:v>
      </x:c>
      <x:c r="J2019" s="49" t="n">
        <x:v>449</x:v>
      </x:c>
      <x:c r="K2019" s="47" t="n">
        <x:v>-112650</x:v>
      </x:c>
      <x:c r="L2019" s="47" t="n">
        <x:v>42510.27777777778</x:v>
      </x:c>
      <x:c r="M2019" s="48" t="n">
        <x:v>32.53866666666667</x:v>
      </x:c>
      <x:c r="N2019" s="48" t="n">
        <x:v>332.0846666666667</x:v>
      </x:c>
      <x:c r="O2019" s="49" t="n">
        <x:v>7</x:v>
      </x:c>
      <x:c r="P2019" s="1" t="str">
        <x:v>中期状態の基準併用：同方向失敗後は新しい押し再進行を待つ・標準</x:v>
      </x:c>
      <x:c r="Q2019" s="49" t="n">
        <x:v>0</x:v>
      </x:c>
      <x:c r="R2019" s="50" t="n">
        <x:v>0.5678499389499388</x:v>
      </x:c>
      <x:c r="S2019" s="50" t="n">
        <x:v>0.5469115063680281</x:v>
      </x:c>
      <x:c r="T2019" s="1" t="str">
        <x:v>上昇</x:v>
      </x:c>
      <x:c r="U2019" s="49" t="n">
        <x:v>25</x:v>
      </x:c>
    </x:row>
    <x:row r="2020" ht="22" customHeight="1">
      <x:c r="A2020" s="1" t="str">
        <x:v>TOPIXmini</x:v>
      </x:c>
      <x:c r="B2020" s="1" t="str">
        <x:v>V05</x:v>
      </x:c>
      <x:c r="C2020" s="1" t="str">
        <x:v>全50場</x:v>
      </x:c>
      <x:c r="D2020" s="47" t="n">
        <x:v>2940924</x:v>
      </x:c>
      <x:c r="E2020" s="47" t="n">
        <x:v>2805827</x:v>
      </x:c>
      <x:c r="F2020" s="47" t="n">
        <x:f>D2020-E2020</x:f>
        <x:v>135097</x:v>
      </x:c>
      <x:c r="G2020" s="49" t="n">
        <x:v>14</x:v>
      </x:c>
      <x:c r="H2020" s="49" t="n">
        <x:v>11</x:v>
      </x:c>
      <x:c r="I2020" s="47" t="n">
        <x:v>-246180</x:v>
      </x:c>
      <x:c r="J2020" s="49" t="n">
        <x:v>530</x:v>
      </x:c>
      <x:c r="K2020" s="47" t="n">
        <x:v>-100728</x:v>
      </x:c>
      <x:c r="L2020" s="47" t="n">
        <x:v>62109</x:v>
      </x:c>
      <x:c r="M2020" s="48" t="n">
        <x:v>41.62866666666667</x:v>
      </x:c>
      <x:c r="N2020" s="48" t="n">
        <x:v>345.04400000000004</x:v>
      </x:c>
      <x:c r="O2020" s="49" t="n">
        <x:v>7</x:v>
      </x:c>
      <x:c r="P2020" s="1" t="str">
        <x:v>中期状態の基準併用：同方向失敗後は新しい押し再進行を待つ・標準</x:v>
      </x:c>
      <x:c r="Q2020" s="49" t="n">
        <x:v>0</x:v>
      </x:c>
      <x:c r="R2020" s="50" t="n">
        <x:v>0.6193435897435897</x:v>
      </x:c>
      <x:c r="S2020" s="50" t="n">
        <x:v>0.5820580296896086</x:v>
      </x:c>
      <x:c r="T2020" s="1" t="str">
        <x:v>下落</x:v>
      </x:c>
      <x:c r="U2020" s="49" t="n">
        <x:v>25</x:v>
      </x:c>
    </x:row>
    <x:row r="2021" ht="22" customHeight="1">
      <x:c r="A2021" s="1" t="str">
        <x:v>TOPIXmini</x:v>
      </x:c>
      <x:c r="B2021" s="1" t="str">
        <x:v>V05</x:v>
      </x:c>
      <x:c r="C2021" s="1" t="str">
        <x:v>対照47場</x:v>
      </x:c>
      <x:c r="D2021" s="47" t="n">
        <x:v>4645803</x:v>
      </x:c>
      <x:c r="E2021" s="47" t="n">
        <x:v>4854720</x:v>
      </x:c>
      <x:c r="F2021" s="47" t="n">
        <x:f>D2021-E2021</x:f>
        <x:v>-208917</x:v>
      </x:c>
      <x:c r="G2021" s="49" t="n">
        <x:v>21</x:v>
      </x:c>
      <x:c r="H2021" s="49" t="n">
        <x:v>26</x:v>
      </x:c>
      <x:c r="I2021" s="47" t="n">
        <x:v>-590194</x:v>
      </x:c>
      <x:c r="J2021" s="49" t="n">
        <x:v>878</x:v>
      </x:c>
      <x:c r="K2021" s="47" t="n">
        <x:v>-112650</x:v>
      </x:c>
      <x:c r="L2021" s="47" t="n">
        <x:v>50597.11538461538</x:v>
      </x:c>
      <x:c r="M2021" s="48" t="n">
        <x:v>37.934397163120565</x:v>
      </x:c>
      <x:c r="N2021" s="48" t="n">
        <x:v>332.6014184397163</x:v>
      </x:c>
      <x:c r="O2021" s="49" t="n">
        <x:v>7</x:v>
      </x:c>
      <x:c r="P2021" s="1" t="str">
        <x:v>中期状態の基準併用：同方向失敗後は新しい押し再進行を待つ・標準</x:v>
      </x:c>
      <x:c r="Q2021" s="49" t="n">
        <x:v>0</x:v>
      </x:c>
      <x:c r="R2021" s="50" t="n">
        <x:v>0.5884321824747356</x:v>
      </x:c>
      <x:c r="S2021" s="50" t="n">
        <x:v>0.557896740423507</x:v>
      </x:c>
      <x:c r="T2021" s="1" t="str">
        <x:v>全場</x:v>
      </x:c>
      <x:c r="U2021" s="49" t="n">
        <x:v>47</x:v>
      </x:c>
    </x:row>
    <x:row r="2022" ht="22" customHeight="1">
      <x:c r="A2022" s="1" t="str">
        <x:v>TOPIXmini</x:v>
      </x:c>
      <x:c r="B2022" s="1" t="str">
        <x:v>V05</x:v>
      </x:c>
      <x:c r="C2022" s="1" t="str">
        <x:v>対照47場</x:v>
      </x:c>
      <x:c r="D2022" s="47" t="n">
        <x:v>2448664</x:v>
      </x:c>
      <x:c r="E2022" s="47" t="n">
        <x:v>2358446</x:v>
      </x:c>
      <x:c r="F2022" s="47" t="n">
        <x:f>D2022-E2022</x:f>
        <x:v>90218</x:v>
      </x:c>
      <x:c r="G2022" s="49" t="n">
        <x:v>11</x:v>
      </x:c>
      <x:c r="H2022" s="49" t="n">
        <x:v>13</x:v>
      </x:c>
      <x:c r="I2022" s="47" t="n">
        <x:v>-291059</x:v>
      </x:c>
      <x:c r="J2022" s="49" t="n">
        <x:v>420</x:v>
      </x:c>
      <x:c r="K2022" s="47" t="n">
        <x:v>-112650</x:v>
      </x:c>
      <x:c r="L2022" s="47" t="n">
        <x:v>56728.692307692305</x:v>
      </x:c>
      <x:c r="M2022" s="48" t="n">
        <x:v>30.675694444444446</x:v>
      </x:c>
      <x:c r="N2022" s="48" t="n">
        <x:v>288.73333333333335</x:v>
      </x:c>
      <x:c r="O2022" s="49" t="n">
        <x:v>7</x:v>
      </x:c>
      <x:c r="P2022" s="1" t="str">
        <x:v>中期状態の基準併用：同方向失敗後は新しい押し再進行を待つ・標準</x:v>
      </x:c>
      <x:c r="Q2022" s="49" t="n">
        <x:v>0</x:v>
      </x:c>
      <x:c r="R2022" s="50" t="n">
        <x:v>0.6874603174603174</x:v>
      </x:c>
      <x:c r="S2022" s="50" t="n">
        <x:v>0.6874603174603175</x:v>
      </x:c>
      <x:c r="T2022" s="1" t="str">
        <x:v>デイ</x:v>
      </x:c>
      <x:c r="U2022" s="49" t="n">
        <x:v>24</x:v>
      </x:c>
    </x:row>
    <x:row r="2023" ht="22" customHeight="1">
      <x:c r="A2023" s="1" t="str">
        <x:v>TOPIXmini</x:v>
      </x:c>
      <x:c r="B2023" s="1" t="str">
        <x:v>V05</x:v>
      </x:c>
      <x:c r="C2023" s="1" t="str">
        <x:v>対照47場</x:v>
      </x:c>
      <x:c r="D2023" s="47" t="n">
        <x:v>2197139</x:v>
      </x:c>
      <x:c r="E2023" s="47" t="n">
        <x:v>2496274</x:v>
      </x:c>
      <x:c r="F2023" s="47" t="n">
        <x:f>D2023-E2023</x:f>
        <x:v>-299135</x:v>
      </x:c>
      <x:c r="G2023" s="49" t="n">
        <x:v>10</x:v>
      </x:c>
      <x:c r="H2023" s="49" t="n">
        <x:v>13</x:v>
      </x:c>
      <x:c r="I2023" s="47" t="n">
        <x:v>-485493</x:v>
      </x:c>
      <x:c r="J2023" s="49" t="n">
        <x:v>458</x:v>
      </x:c>
      <x:c r="K2023" s="47" t="n">
        <x:v>-97905</x:v>
      </x:c>
      <x:c r="L2023" s="47" t="n">
        <x:v>44465.53846153846</x:v>
      </x:c>
      <x:c r="M2023" s="48" t="n">
        <x:v>45.50869565217391</x:v>
      </x:c>
      <x:c r="N2023" s="48" t="n">
        <x:v>378.3768115942029</x:v>
      </x:c>
      <x:c r="O2023" s="49" t="n">
        <x:v>7</x:v>
      </x:c>
      <x:c r="P2023" s="1" t="str">
        <x:v>中期状態の基準併用：同方向失敗後は新しい押し再進行を待つ・標準</x:v>
      </x:c>
      <x:c r="Q2023" s="49" t="n">
        <x:v>0</x:v>
      </x:c>
      <x:c r="R2023" s="50" t="n">
        <x:v>0.4850984764028243</x:v>
      </x:c>
      <x:c r="S2023" s="50" t="n">
        <x:v>0.4850984764028242</x:v>
      </x:c>
      <x:c r="T2023" s="1" t="str">
        <x:v>ナイト</x:v>
      </x:c>
      <x:c r="U2023" s="49" t="n">
        <x:v>23</x:v>
      </x:c>
    </x:row>
    <x:row r="2024" ht="22" customHeight="1">
      <x:c r="A2024" s="1" t="str">
        <x:v>TOPIXmini</x:v>
      </x:c>
      <x:c r="B2024" s="1" t="str">
        <x:v>V05</x:v>
      </x:c>
      <x:c r="C2024" s="1" t="str">
        <x:v>対照47場</x:v>
      </x:c>
      <x:c r="D2024" s="47" t="n">
        <x:v>2027560</x:v>
      </x:c>
      <x:c r="E2024" s="47" t="n">
        <x:v>2493034</x:v>
      </x:c>
      <x:c r="F2024" s="47" t="n">
        <x:f>D2024-E2024</x:f>
        <x:v>-465474</x:v>
      </x:c>
      <x:c r="G2024" s="49" t="n">
        <x:v>7</x:v>
      </x:c>
      <x:c r="H2024" s="49" t="n">
        <x:v>17</x:v>
      </x:c>
      <x:c r="I2024" s="47" t="n">
        <x:v>-672664</x:v>
      </x:c>
      <x:c r="J2024" s="49" t="n">
        <x:v>421</x:v>
      </x:c>
      <x:c r="K2024" s="47" t="n">
        <x:v>-112650</x:v>
      </x:c>
      <x:c r="L2024" s="47" t="n">
        <x:v>44340.35294117647</x:v>
      </x:c>
      <x:c r="M2024" s="48" t="n">
        <x:v>32.924305555555556</x:v>
      </x:c>
      <x:c r="N2024" s="48" t="n">
        <x:v>326.7125</x:v>
      </x:c>
      <x:c r="O2024" s="49" t="n">
        <x:v>7</x:v>
      </x:c>
      <x:c r="P2024" s="1" t="str">
        <x:v>中期状態の基準併用：同方向失敗後は新しい押し再進行を待つ・標準</x:v>
      </x:c>
      <x:c r="Q2024" s="49" t="n">
        <x:v>0</x:v>
      </x:c>
      <x:c r="R2024" s="50" t="n">
        <x:v>0.5668833943833943</x:v>
      </x:c>
      <x:c r="S2024" s="50" t="n">
        <x:v>0.5445208333333333</x:v>
      </x:c>
      <x:c r="T2024" s="1" t="str">
        <x:v>上昇</x:v>
      </x:c>
      <x:c r="U2024" s="49" t="n">
        <x:v>24</x:v>
      </x:c>
    </x:row>
    <x:row r="2025" ht="22" customHeight="1">
      <x:c r="A2025" s="1" t="str">
        <x:v>TOPIXmini</x:v>
      </x:c>
      <x:c r="B2025" s="1" t="str">
        <x:v>V05</x:v>
      </x:c>
      <x:c r="C2025" s="1" t="str">
        <x:v>対照47場</x:v>
      </x:c>
      <x:c r="D2025" s="47" t="n">
        <x:v>2618243</x:v>
      </x:c>
      <x:c r="E2025" s="47" t="n">
        <x:v>2361686</x:v>
      </x:c>
      <x:c r="F2025" s="47" t="n">
        <x:f>D2025-E2025</x:f>
        <x:v>256557</x:v>
      </x:c>
      <x:c r="G2025" s="49" t="n">
        <x:v>14</x:v>
      </x:c>
      <x:c r="H2025" s="49" t="n">
        <x:v>9</x:v>
      </x:c>
      <x:c r="I2025" s="47" t="n">
        <x:v>-124720</x:v>
      </x:c>
      <x:c r="J2025" s="49" t="n">
        <x:v>457</x:v>
      </x:c>
      <x:c r="K2025" s="47" t="n">
        <x:v>-97905</x:v>
      </x:c>
      <x:c r="L2025" s="47" t="n">
        <x:v>62415.444444444445</x:v>
      </x:c>
      <x:c r="M2025" s="48" t="n">
        <x:v>43.162318840579715</x:v>
      </x:c>
      <x:c r="N2025" s="48" t="n">
        <x:v>338.74637681159425</x:v>
      </x:c>
      <x:c r="O2025" s="49" t="n">
        <x:v>7</x:v>
      </x:c>
      <x:c r="P2025" s="1" t="str">
        <x:v>中期状態の基準併用：同方向失敗後は新しい押し再進行を待つ・標準</x:v>
      </x:c>
      <x:c r="Q2025" s="49" t="n">
        <x:v>0</x:v>
      </x:c>
      <x:c r="R2025" s="50" t="n">
        <x:v>0.6109178743961352</x:v>
      </x:c>
      <x:c r="S2025" s="50" t="n">
        <x:v>0.5720386686245718</x:v>
      </x:c>
      <x:c r="T2025" s="1" t="str">
        <x:v>下落</x:v>
      </x:c>
      <x:c r="U2025" s="49" t="n">
        <x:v>23</x:v>
      </x:c>
    </x:row>
    <x:row r="2026" ht="22" customHeight="1">
      <x:c r="A2026" s="1" t="str">
        <x:v>TOPIXmini</x:v>
      </x:c>
      <x:c r="B2026" s="1" t="str">
        <x:v>V05</x:v>
      </x:c>
      <x:c r="C2026" s="1" t="str">
        <x:v>診断3場</x:v>
      </x:c>
      <x:c r="D2026" s="47" t="n">
        <x:v>436435</x:v>
      </x:c>
      <x:c r="E2026" s="47" t="n">
        <x:v>569294</x:v>
      </x:c>
      <x:c r="F2026" s="47" t="n">
        <x:f>D2026-E2026</x:f>
        <x:v>-132859</x:v>
      </x:c>
      <x:c r="G2026" s="49" t="n">
        <x:v>0</x:v>
      </x:c>
      <x:c r="H2026" s="49" t="n">
        <x:v>3</x:v>
      </x:c>
      <x:c r="I2026" s="47" t="n">
        <x:v>-132859</x:v>
      </x:c>
      <x:c r="J2026" s="49" t="n">
        <x:v>101</x:v>
      </x:c>
      <x:c r="K2026" s="47" t="n">
        <x:v>-100728</x:v>
      </x:c>
      <x:c r="L2026" s="47" t="n">
        <x:v>44286.333333333336</x:v>
      </x:c>
      <x:c r="M2026" s="48" t="n">
        <x:v>23.755555555555556</x:v>
      </x:c>
      <x:c r="N2026" s="48" t="n">
        <x:v>431.9833333333333</x:v>
      </x:c>
      <x:c r="O2026" s="49" t="n">
        <x:v>7</x:v>
      </x:c>
      <x:c r="P2026" s="1" t="str">
        <x:v>中期状態の基準併用：同方向失敗後は新しい押し再進行を待つ・標準</x:v>
      </x:c>
      <x:c r="Q2026" s="49" t="n">
        <x:v>0</x:v>
      </x:c>
      <x:c r="R2026" s="50" t="n">
        <x:v>0.6745085470085469</x:v>
      </x:c>
      <x:c r="S2026" s="50" t="n">
        <x:v>0.6545202020202019</x:v>
      </x:c>
      <x:c r="T2026" s="1" t="str">
        <x:v>全場</x:v>
      </x:c>
      <x:c r="U2026" s="49" t="n">
        <x:v>3</x:v>
      </x:c>
    </x:row>
    <x:row r="2027" ht="22" customHeight="1">
      <x:c r="A2027" s="1" t="str">
        <x:v>TOPIXmini</x:v>
      </x:c>
      <x:c r="B2027" s="1" t="str">
        <x:v>V05</x:v>
      </x:c>
      <x:c r="C2027" s="1" t="str">
        <x:v>診断3場</x:v>
      </x:c>
      <x:c r="D2027" s="47" t="n">
        <x:v>152592</x:v>
      </x:c>
      <x:c r="E2027" s="47" t="n">
        <x:v>253320</x:v>
      </x:c>
      <x:c r="F2027" s="47" t="n">
        <x:f>D2027-E2027</x:f>
        <x:v>-100728</x:v>
      </x:c>
      <x:c r="G2027" s="49" t="n">
        <x:v>0</x:v>
      </x:c>
      <x:c r="H2027" s="49" t="n">
        <x:v>1</x:v>
      </x:c>
      <x:c r="I2027" s="47" t="n">
        <x:v>-100728</x:v>
      </x:c>
      <x:c r="J2027" s="49" t="n">
        <x:v>34</x:v>
      </x:c>
      <x:c r="K2027" s="47" t="n">
        <x:v>-100728</x:v>
      </x:c>
      <x:c r="L2027" s="47" t="n">
        <x:v>100728</x:v>
      </x:c>
      <x:c r="M2027" s="48" t="n">
        <x:v>23.083333333333332</x:v>
      </x:c>
      <x:c r="N2027" s="48" t="n">
        <x:v>329.46666666666664</x:v>
      </x:c>
      <x:c r="O2027" s="49" t="n">
        <x:v>7</x:v>
      </x:c>
      <x:c r="P2027" s="1" t="str">
        <x:v>中期状態の基準併用：同方向失敗後は新しい押し再進行を待つ・標準</x:v>
      </x:c>
      <x:c r="Q2027" s="49" t="n">
        <x:v>0</x:v>
      </x:c>
      <x:c r="R2027" s="50" t="n">
        <x:v>0.7844444444444445</x:v>
      </x:c>
      <x:c r="S2027" s="50" t="n">
        <x:v>0.7844444444444444</x:v>
      </x:c>
      <x:c r="T2027" s="1" t="str">
        <x:v>デイ</x:v>
      </x:c>
      <x:c r="U2027" s="49" t="n">
        <x:v>1</x:v>
      </x:c>
    </x:row>
    <x:row r="2028" ht="22" customHeight="1">
      <x:c r="A2028" s="1" t="str">
        <x:v>TOPIXmini</x:v>
      </x:c>
      <x:c r="B2028" s="1" t="str">
        <x:v>V05</x:v>
      </x:c>
      <x:c r="C2028" s="1" t="str">
        <x:v>診断3場</x:v>
      </x:c>
      <x:c r="D2028" s="47" t="n">
        <x:v>283843</x:v>
      </x:c>
      <x:c r="E2028" s="47" t="n">
        <x:v>315974</x:v>
      </x:c>
      <x:c r="F2028" s="47" t="n">
        <x:f>D2028-E2028</x:f>
        <x:v>-32131</x:v>
      </x:c>
      <x:c r="G2028" s="49" t="n">
        <x:v>0</x:v>
      </x:c>
      <x:c r="H2028" s="49" t="n">
        <x:v>2</x:v>
      </x:c>
      <x:c r="I2028" s="47" t="n">
        <x:v>-32131</x:v>
      </x:c>
      <x:c r="J2028" s="49" t="n">
        <x:v>67</x:v>
      </x:c>
      <x:c r="K2028" s="47" t="n">
        <x:v>-20732</x:v>
      </x:c>
      <x:c r="L2028" s="47" t="n">
        <x:v>16065.5</x:v>
      </x:c>
      <x:c r="M2028" s="48" t="n">
        <x:v>24.09166666666667</x:v>
      </x:c>
      <x:c r="N2028" s="48" t="n">
        <x:v>483.2416666666667</x:v>
      </x:c>
      <x:c r="O2028" s="49" t="n">
        <x:v>7</x:v>
      </x:c>
      <x:c r="P2028" s="1" t="str">
        <x:v>中期状態の基準併用：同方向失敗後は新しい押し再進行を待つ・標準</x:v>
      </x:c>
      <x:c r="Q2028" s="49" t="n">
        <x:v>0</x:v>
      </x:c>
      <x:c r="R2028" s="50" t="n">
        <x:v>0.6195405982905983</x:v>
      </x:c>
      <x:c r="S2028" s="50" t="n">
        <x:v>0.6195405982905983</x:v>
      </x:c>
      <x:c r="T2028" s="1" t="str">
        <x:v>ナイト</x:v>
      </x:c>
      <x:c r="U2028" s="49" t="n">
        <x:v>2</x:v>
      </x:c>
    </x:row>
    <x:row r="2029" ht="22" customHeight="1">
      <x:c r="A2029" s="1" t="str">
        <x:v>TOPIXmini</x:v>
      </x:c>
      <x:c r="B2029" s="1" t="str">
        <x:v>V05</x:v>
      </x:c>
      <x:c r="C2029" s="1" t="str">
        <x:v>診断3場</x:v>
      </x:c>
      <x:c r="D2029" s="47" t="n">
        <x:v>113754</x:v>
      </x:c>
      <x:c r="E2029" s="47" t="n">
        <x:v>125153</x:v>
      </x:c>
      <x:c r="F2029" s="47" t="n">
        <x:f>D2029-E2029</x:f>
        <x:v>-11399</x:v>
      </x:c>
      <x:c r="G2029" s="49" t="n">
        <x:v>0</x:v>
      </x:c>
      <x:c r="H2029" s="49" t="n">
        <x:v>1</x:v>
      </x:c>
      <x:c r="I2029" s="47" t="n">
        <x:v>-11399</x:v>
      </x:c>
      <x:c r="J2029" s="49" t="n">
        <x:v>28</x:v>
      </x:c>
      <x:c r="K2029" s="47" t="n">
        <x:v>-11399</x:v>
      </x:c>
      <x:c r="L2029" s="47" t="n">
        <x:v>11399</x:v>
      </x:c>
      <x:c r="M2029" s="48" t="n">
        <x:v>23.283333333333335</x:v>
      </x:c>
      <x:c r="N2029" s="48" t="n">
        <x:v>461.01666666666665</x:v>
      </x:c>
      <x:c r="O2029" s="49" t="n">
        <x:v>7</x:v>
      </x:c>
      <x:c r="P2029" s="1" t="str">
        <x:v>中期状態の基準併用：同方向失敗後は新しい押し再進行を待つ・標準</x:v>
      </x:c>
      <x:c r="Q2029" s="49" t="n">
        <x:v>0</x:v>
      </x:c>
      <x:c r="R2029" s="50" t="n">
        <x:v>0.5910470085470085</x:v>
      </x:c>
      <x:c r="S2029" s="50" t="n">
        <x:v>0.5910470085470085</x:v>
      </x:c>
      <x:c r="T2029" s="1" t="str">
        <x:v>上昇</x:v>
      </x:c>
      <x:c r="U2029" s="49" t="n">
        <x:v>1</x:v>
      </x:c>
    </x:row>
    <x:row r="2030" ht="22" customHeight="1">
      <x:c r="A2030" s="1" t="str">
        <x:v>TOPIXmini</x:v>
      </x:c>
      <x:c r="B2030" s="1" t="str">
        <x:v>V05</x:v>
      </x:c>
      <x:c r="C2030" s="1" t="str">
        <x:v>診断3場</x:v>
      </x:c>
      <x:c r="D2030" s="47" t="n">
        <x:v>322681</x:v>
      </x:c>
      <x:c r="E2030" s="47" t="n">
        <x:v>444141</x:v>
      </x:c>
      <x:c r="F2030" s="47" t="n">
        <x:f>D2030-E2030</x:f>
        <x:v>-121460</x:v>
      </x:c>
      <x:c r="G2030" s="49" t="n">
        <x:v>0</x:v>
      </x:c>
      <x:c r="H2030" s="49" t="n">
        <x:v>2</x:v>
      </x:c>
      <x:c r="I2030" s="47" t="n">
        <x:v>-121460</x:v>
      </x:c>
      <x:c r="J2030" s="49" t="n">
        <x:v>73</x:v>
      </x:c>
      <x:c r="K2030" s="47" t="n">
        <x:v>-100728</x:v>
      </x:c>
      <x:c r="L2030" s="47" t="n">
        <x:v>60730</x:v>
      </x:c>
      <x:c r="M2030" s="48" t="n">
        <x:v>23.991666666666667</x:v>
      </x:c>
      <x:c r="N2030" s="48" t="n">
        <x:v>417.46666666666664</x:v>
      </x:c>
      <x:c r="O2030" s="49" t="n">
        <x:v>7</x:v>
      </x:c>
      <x:c r="P2030" s="1" t="str">
        <x:v>中期状態の基準併用：同方向失敗後は新しい押し再進行を待つ・標準</x:v>
      </x:c>
      <x:c r="Q2030" s="49" t="n">
        <x:v>0</x:v>
      </x:c>
      <x:c r="R2030" s="50" t="n">
        <x:v>0.7162393162393162</x:v>
      </x:c>
      <x:c r="S2030" s="50" t="n">
        <x:v>0.6957777777777777</x:v>
      </x:c>
      <x:c r="T2030" s="1" t="str">
        <x:v>下落</x:v>
      </x:c>
      <x:c r="U2030" s="49" t="n">
        <x:v>2</x:v>
      </x:c>
    </x:row>
    <x:row r="2031" ht="22" customHeight="1">
      <x:c r="A2031" s="1" t="str">
        <x:v>TOPIXmini</x:v>
      </x:c>
      <x:c r="B2031" s="1" t="str">
        <x:v>V06</x:v>
      </x:c>
      <x:c r="C2031" s="1" t="str">
        <x:v>全50場</x:v>
      </x:c>
      <x:c r="D2031" s="47" t="n">
        <x:v>4901708</x:v>
      </x:c>
      <x:c r="E2031" s="47" t="n">
        <x:v>5075240</x:v>
      </x:c>
      <x:c r="F2031" s="47" t="n">
        <x:f>D2031-E2031</x:f>
        <x:v>-173532</x:v>
      </x:c>
      <x:c r="G2031" s="49" t="n">
        <x:v>20</x:v>
      </x:c>
      <x:c r="H2031" s="49" t="n">
        <x:v>30</x:v>
      </x:c>
      <x:c r="I2031" s="47" t="n">
        <x:v>-594135</x:v>
      </x:c>
      <x:c r="J2031" s="49" t="n">
        <x:v>845</x:v>
      </x:c>
      <x:c r="K2031" s="47" t="n">
        <x:v>-108238</x:v>
      </x:c>
      <x:c r="L2031" s="47" t="n">
        <x:v>47289.066666666666</x:v>
      </x:c>
      <x:c r="M2031" s="48" t="n">
        <x:v>37.083666666666666</x:v>
      </x:c>
      <x:c r="N2031" s="48" t="n">
        <x:v>401.7073333333334</x:v>
      </x:c>
      <x:c r="O2031" s="49" t="n">
        <x:v>7</x:v>
      </x:c>
      <x:c r="P2031" s="1" t="str">
        <x:v>中期状態の基準併用：同方向失敗後は新しい押し再進行を待つ・広め</x:v>
      </x:c>
      <x:c r="Q2031" s="49" t="n">
        <x:v>0</x:v>
      </x:c>
      <x:c r="R2031" s="50" t="n">
        <x:v>0.6922595848595848</x:v>
      </x:c>
      <x:c r="S2031" s="50" t="n">
        <x:v>0.6695122222222222</x:v>
      </x:c>
      <x:c r="T2031" s="1" t="str">
        <x:v>全場</x:v>
      </x:c>
      <x:c r="U2031" s="49" t="n">
        <x:v>50</x:v>
      </x:c>
    </x:row>
    <x:row r="2032" ht="22" customHeight="1">
      <x:c r="A2032" s="1" t="str">
        <x:v>TOPIXmini</x:v>
      </x:c>
      <x:c r="B2032" s="1" t="str">
        <x:v>V06</x:v>
      </x:c>
      <x:c r="C2032" s="1" t="str">
        <x:v>全50場</x:v>
      </x:c>
      <x:c r="D2032" s="47" t="n">
        <x:v>2561746</x:v>
      </x:c>
      <x:c r="E2032" s="47" t="n">
        <x:v>2434624</x:v>
      </x:c>
      <x:c r="F2032" s="47" t="n">
        <x:f>D2032-E2032</x:f>
        <x:v>127122</x:v>
      </x:c>
      <x:c r="G2032" s="49" t="n">
        <x:v>12</x:v>
      </x:c>
      <x:c r="H2032" s="49" t="n">
        <x:v>13</x:v>
      </x:c>
      <x:c r="I2032" s="47" t="n">
        <x:v>-293481</x:v>
      </x:c>
      <x:c r="J2032" s="49" t="n">
        <x:v>402</x:v>
      </x:c>
      <x:c r="K2032" s="47" t="n">
        <x:v>-108238</x:v>
      </x:c>
      <x:c r="L2032" s="47" t="n">
        <x:v>58337.153846153844</x:v>
      </x:c>
      <x:c r="M2032" s="48" t="n">
        <x:v>30.372000000000003</x:v>
      </x:c>
      <x:c r="N2032" s="48" t="n">
        <x:v>322.5953333333334</x:v>
      </x:c>
      <x:c r="O2032" s="49" t="n">
        <x:v>7</x:v>
      </x:c>
      <x:c r="P2032" s="1" t="str">
        <x:v>中期状態の基準併用：同方向失敗後は新しい押し再進行を待つ・広め</x:v>
      </x:c>
      <x:c r="Q2032" s="49" t="n">
        <x:v>0</x:v>
      </x:c>
      <x:c r="R2032" s="50" t="n">
        <x:v>0.7680841269841271</x:v>
      </x:c>
      <x:c r="S2032" s="50" t="n">
        <x:v>0.768084126984127</x:v>
      </x:c>
      <x:c r="T2032" s="1" t="str">
        <x:v>デイ</x:v>
      </x:c>
      <x:c r="U2032" s="49" t="n">
        <x:v>25</x:v>
      </x:c>
    </x:row>
    <x:row r="2033" ht="22" customHeight="1">
      <x:c r="A2033" s="1" t="str">
        <x:v>TOPIXmini</x:v>
      </x:c>
      <x:c r="B2033" s="1" t="str">
        <x:v>V06</x:v>
      </x:c>
      <x:c r="C2033" s="1" t="str">
        <x:v>全50場</x:v>
      </x:c>
      <x:c r="D2033" s="47" t="n">
        <x:v>2339962</x:v>
      </x:c>
      <x:c r="E2033" s="47" t="n">
        <x:v>2640616</x:v>
      </x:c>
      <x:c r="F2033" s="47" t="n">
        <x:f>D2033-E2033</x:f>
        <x:v>-300654</x:v>
      </x:c>
      <x:c r="G2033" s="49" t="n">
        <x:v>8</x:v>
      </x:c>
      <x:c r="H2033" s="49" t="n">
        <x:v>17</x:v>
      </x:c>
      <x:c r="I2033" s="47" t="n">
        <x:v>-510343</x:v>
      </x:c>
      <x:c r="J2033" s="49" t="n">
        <x:v>443</x:v>
      </x:c>
      <x:c r="K2033" s="47" t="n">
        <x:v>-92910</x:v>
      </x:c>
      <x:c r="L2033" s="47" t="n">
        <x:v>38840.529411764706</x:v>
      </x:c>
      <x:c r="M2033" s="48" t="n">
        <x:v>43.79533333333333</x:v>
      </x:c>
      <x:c r="N2033" s="48" t="n">
        <x:v>480.81933333333336</x:v>
      </x:c>
      <x:c r="O2033" s="49" t="n">
        <x:v>7</x:v>
      </x:c>
      <x:c r="P2033" s="1" t="str">
        <x:v>中期状態の基準併用：同方向失敗後は新しい押し再進行を待つ・広め</x:v>
      </x:c>
      <x:c r="Q2033" s="49" t="n">
        <x:v>0</x:v>
      </x:c>
      <x:c r="R2033" s="50" t="n">
        <x:v>0.6164350427350428</x:v>
      </x:c>
      <x:c r="S2033" s="50" t="n">
        <x:v>0.6164350427350428</x:v>
      </x:c>
      <x:c r="T2033" s="1" t="str">
        <x:v>ナイト</x:v>
      </x:c>
      <x:c r="U2033" s="49" t="n">
        <x:v>25</x:v>
      </x:c>
    </x:row>
    <x:row r="2034" ht="22" customHeight="1">
      <x:c r="A2034" s="1" t="str">
        <x:v>TOPIXmini</x:v>
      </x:c>
      <x:c r="B2034" s="1" t="str">
        <x:v>V06</x:v>
      </x:c>
      <x:c r="C2034" s="1" t="str">
        <x:v>全50場</x:v>
      </x:c>
      <x:c r="D2034" s="47" t="n">
        <x:v>2080966</x:v>
      </x:c>
      <x:c r="E2034" s="47" t="n">
        <x:v>2509713</x:v>
      </x:c>
      <x:c r="F2034" s="47" t="n">
        <x:f>D2034-E2034</x:f>
        <x:v>-428747</x:v>
      </x:c>
      <x:c r="G2034" s="49" t="n">
        <x:v>8</x:v>
      </x:c>
      <x:c r="H2034" s="49" t="n">
        <x:v>17</x:v>
      </x:c>
      <x:c r="I2034" s="47" t="n">
        <x:v>-634431</x:v>
      </x:c>
      <x:c r="J2034" s="49" t="n">
        <x:v>388</x:v>
      </x:c>
      <x:c r="K2034" s="47" t="n">
        <x:v>-108238</x:v>
      </x:c>
      <x:c r="L2034" s="47" t="n">
        <x:v>42654.64705882353</x:v>
      </x:c>
      <x:c r="M2034" s="48" t="n">
        <x:v>32.53866666666667</x:v>
      </x:c>
      <x:c r="N2034" s="48" t="n">
        <x:v>387.87733333333335</x:v>
      </x:c>
      <x:c r="O2034" s="49" t="n">
        <x:v>7</x:v>
      </x:c>
      <x:c r="P2034" s="1" t="str">
        <x:v>中期状態の基準併用：同方向失敗後は新しい押し再進行を待つ・広め</x:v>
      </x:c>
      <x:c r="Q2034" s="49" t="n">
        <x:v>0</x:v>
      </x:c>
      <x:c r="R2034" s="50" t="n">
        <x:v>0.6587050061050062</x:v>
      </x:c>
      <x:c r="S2034" s="50" t="n">
        <x:v>0.6387966622749232</x:v>
      </x:c>
      <x:c r="T2034" s="1" t="str">
        <x:v>上昇</x:v>
      </x:c>
      <x:c r="U2034" s="49" t="n">
        <x:v>25</x:v>
      </x:c>
    </x:row>
    <x:row r="2035" ht="22" customHeight="1">
      <x:c r="A2035" s="1" t="str">
        <x:v>TOPIXmini</x:v>
      </x:c>
      <x:c r="B2035" s="1" t="str">
        <x:v>V06</x:v>
      </x:c>
      <x:c r="C2035" s="1" t="str">
        <x:v>全50場</x:v>
      </x:c>
      <x:c r="D2035" s="47" t="n">
        <x:v>2820742</x:v>
      </x:c>
      <x:c r="E2035" s="47" t="n">
        <x:v>2565527</x:v>
      </x:c>
      <x:c r="F2035" s="47" t="n">
        <x:f>D2035-E2035</x:f>
        <x:v>255215</x:v>
      </x:c>
      <x:c r="G2035" s="49" t="n">
        <x:v>12</x:v>
      </x:c>
      <x:c r="H2035" s="49" t="n">
        <x:v>13</x:v>
      </x:c>
      <x:c r="I2035" s="47" t="n">
        <x:v>-165388</x:v>
      </x:c>
      <x:c r="J2035" s="49" t="n">
        <x:v>457</x:v>
      </x:c>
      <x:c r="K2035" s="47" t="n">
        <x:v>-92910</x:v>
      </x:c>
      <x:c r="L2035" s="47" t="n">
        <x:v>53349.46153846154</x:v>
      </x:c>
      <x:c r="M2035" s="48" t="n">
        <x:v>41.62866666666667</x:v>
      </x:c>
      <x:c r="N2035" s="48" t="n">
        <x:v>415.5373333333333</x:v>
      </x:c>
      <x:c r="O2035" s="49" t="n">
        <x:v>7</x:v>
      </x:c>
      <x:c r="P2035" s="1" t="str">
        <x:v>中期状態の基準併用：同方向失敗後は新しい押し再進行を待つ・広め</x:v>
      </x:c>
      <x:c r="Q2035" s="49" t="n">
        <x:v>0</x:v>
      </x:c>
      <x:c r="R2035" s="50" t="n">
        <x:v>0.7258141636141636</x:v>
      </x:c>
      <x:c r="S2035" s="50" t="n">
        <x:v>0.7009739091318038</x:v>
      </x:c>
      <x:c r="T2035" s="1" t="str">
        <x:v>下落</x:v>
      </x:c>
      <x:c r="U2035" s="49" t="n">
        <x:v>25</x:v>
      </x:c>
    </x:row>
    <x:row r="2036" ht="22" customHeight="1">
      <x:c r="A2036" s="1" t="str">
        <x:v>TOPIXmini</x:v>
      </x:c>
      <x:c r="B2036" s="1" t="str">
        <x:v>V06</x:v>
      </x:c>
      <x:c r="C2036" s="1" t="str">
        <x:v>対照47場</x:v>
      </x:c>
      <x:c r="D2036" s="47" t="n">
        <x:v>4529443</x:v>
      </x:c>
      <x:c r="E2036" s="47" t="n">
        <x:v>4574606</x:v>
      </x:c>
      <x:c r="F2036" s="47" t="n">
        <x:f>D2036-E2036</x:f>
        <x:v>-45163</x:v>
      </x:c>
      <x:c r="G2036" s="49" t="n">
        <x:v>20</x:v>
      </x:c>
      <x:c r="H2036" s="49" t="n">
        <x:v>27</x:v>
      </x:c>
      <x:c r="I2036" s="47" t="n">
        <x:v>-465766</x:v>
      </x:c>
      <x:c r="J2036" s="49" t="n">
        <x:v>759</x:v>
      </x:c>
      <x:c r="K2036" s="47" t="n">
        <x:v>-108238</x:v>
      </x:c>
      <x:c r="L2036" s="47" t="n">
        <x:v>47789</x:v>
      </x:c>
      <x:c r="M2036" s="48" t="n">
        <x:v>37.934397163120565</x:v>
      </x:c>
      <x:c r="N2036" s="48" t="n">
        <x:v>396.50319148936165</x:v>
      </x:c>
      <x:c r="O2036" s="49" t="n">
        <x:v>7</x:v>
      </x:c>
      <x:c r="P2036" s="1" t="str">
        <x:v>中期状態の基準併用：同方向失敗後は新しい押し再進行を待つ・広め</x:v>
      </x:c>
      <x:c r="Q2036" s="49" t="n">
        <x:v>0</x:v>
      </x:c>
      <x:c r="R2036" s="50" t="n">
        <x:v>0.6890267711012391</x:v>
      </x:c>
      <x:c r="S2036" s="50" t="n">
        <x:v>0.6650838686652392</x:v>
      </x:c>
      <x:c r="T2036" s="1" t="str">
        <x:v>全場</x:v>
      </x:c>
      <x:c r="U2036" s="49" t="n">
        <x:v>47</x:v>
      </x:c>
    </x:row>
    <x:row r="2037" ht="22" customHeight="1">
      <x:c r="A2037" s="1" t="str">
        <x:v>TOPIXmini</x:v>
      </x:c>
      <x:c r="B2037" s="1" t="str">
        <x:v>V06</x:v>
      </x:c>
      <x:c r="C2037" s="1" t="str">
        <x:v>対照47場</x:v>
      </x:c>
      <x:c r="D2037" s="47" t="n">
        <x:v>2419154</x:v>
      </x:c>
      <x:c r="E2037" s="47" t="n">
        <x:v>2226968</x:v>
      </x:c>
      <x:c r="F2037" s="47" t="n">
        <x:f>D2037-E2037</x:f>
        <x:v>192186</x:v>
      </x:c>
      <x:c r="G2037" s="49" t="n">
        <x:v>12</x:v>
      </x:c>
      <x:c r="H2037" s="49" t="n">
        <x:v>12</x:v>
      </x:c>
      <x:c r="I2037" s="47" t="n">
        <x:v>-228417</x:v>
      </x:c>
      <x:c r="J2037" s="49" t="n">
        <x:v>372</x:v>
      </x:c>
      <x:c r="K2037" s="47" t="n">
        <x:v>-108238</x:v>
      </x:c>
      <x:c r="L2037" s="47" t="n">
        <x:v>57776.583333333336</x:v>
      </x:c>
      <x:c r="M2037" s="48" t="n">
        <x:v>30.675694444444446</x:v>
      </x:c>
      <x:c r="N2037" s="48" t="n">
        <x:v>322.00347222222223</x:v>
      </x:c>
      <x:c r="O2037" s="49" t="n">
        <x:v>7</x:v>
      </x:c>
      <x:c r="P2037" s="1" t="str">
        <x:v>中期状態の基準併用：同方向失敗後は新しい押し再進行を待つ・広め</x:v>
      </x:c>
      <x:c r="Q2037" s="49" t="n">
        <x:v>0</x:v>
      </x:c>
      <x:c r="R2037" s="50" t="n">
        <x:v>0.766674933862434</x:v>
      </x:c>
      <x:c r="S2037" s="50" t="n">
        <x:v>0.7666749338624338</x:v>
      </x:c>
      <x:c r="T2037" s="1" t="str">
        <x:v>デイ</x:v>
      </x:c>
      <x:c r="U2037" s="49" t="n">
        <x:v>24</x:v>
      </x:c>
    </x:row>
    <x:row r="2038" ht="22" customHeight="1">
      <x:c r="A2038" s="1" t="str">
        <x:v>TOPIXmini</x:v>
      </x:c>
      <x:c r="B2038" s="1" t="str">
        <x:v>V06</x:v>
      </x:c>
      <x:c r="C2038" s="1" t="str">
        <x:v>対照47場</x:v>
      </x:c>
      <x:c r="D2038" s="47" t="n">
        <x:v>2110289</x:v>
      </x:c>
      <x:c r="E2038" s="47" t="n">
        <x:v>2347638</x:v>
      </x:c>
      <x:c r="F2038" s="47" t="n">
        <x:f>D2038-E2038</x:f>
        <x:v>-237349</x:v>
      </x:c>
      <x:c r="G2038" s="49" t="n">
        <x:v>8</x:v>
      </x:c>
      <x:c r="H2038" s="49" t="n">
        <x:v>15</x:v>
      </x:c>
      <x:c r="I2038" s="47" t="n">
        <x:v>-447038</x:v>
      </x:c>
      <x:c r="J2038" s="49" t="n">
        <x:v>387</x:v>
      </x:c>
      <x:c r="K2038" s="47" t="n">
        <x:v>-92910</x:v>
      </x:c>
      <x:c r="L2038" s="47" t="n">
        <x:v>39798.933333333334</x:v>
      </x:c>
      <x:c r="M2038" s="48" t="n">
        <x:v>45.50869565217391</x:v>
      </x:c>
      <x:c r="N2038" s="48" t="n">
        <x:v>474.2420289855072</x:v>
      </x:c>
      <x:c r="O2038" s="49" t="n">
        <x:v>7</x:v>
      </x:c>
      <x:c r="P2038" s="1" t="str">
        <x:v>中期状態の基準併用：同方向失敗後は新しい押し再進行を待つ・広め</x:v>
      </x:c>
      <x:c r="Q2038" s="49" t="n">
        <x:v>0</x:v>
      </x:c>
      <x:c r="R2038" s="50" t="n">
        <x:v>0.6080026012634709</x:v>
      </x:c>
      <x:c r="S2038" s="50" t="n">
        <x:v>0.6080026012634708</x:v>
      </x:c>
      <x:c r="T2038" s="1" t="str">
        <x:v>ナイト</x:v>
      </x:c>
      <x:c r="U2038" s="49" t="n">
        <x:v>23</x:v>
      </x:c>
    </x:row>
    <x:row r="2039" ht="22" customHeight="1">
      <x:c r="A2039" s="1" t="str">
        <x:v>TOPIXmini</x:v>
      </x:c>
      <x:c r="B2039" s="1" t="str">
        <x:v>V06</x:v>
      </x:c>
      <x:c r="C2039" s="1" t="str">
        <x:v>対照47場</x:v>
      </x:c>
      <x:c r="D2039" s="47" t="n">
        <x:v>1971046</x:v>
      </x:c>
      <x:c r="E2039" s="47" t="n">
        <x:v>2399390</x:v>
      </x:c>
      <x:c r="F2039" s="47" t="n">
        <x:f>D2039-E2039</x:f>
        <x:v>-428344</x:v>
      </x:c>
      <x:c r="G2039" s="49" t="n">
        <x:v>8</x:v>
      </x:c>
      <x:c r="H2039" s="49" t="n">
        <x:v>16</x:v>
      </x:c>
      <x:c r="I2039" s="47" t="n">
        <x:v>-634028</x:v>
      </x:c>
      <x:c r="J2039" s="49" t="n">
        <x:v>366</x:v>
      </x:c>
      <x:c r="K2039" s="47" t="n">
        <x:v>-108238</x:v>
      </x:c>
      <x:c r="L2039" s="47" t="n">
        <x:v>45295.375</x:v>
      </x:c>
      <x:c r="M2039" s="48" t="n">
        <x:v>32.924305555555556</x:v>
      </x:c>
      <x:c r="N2039" s="48" t="n">
        <x:v>383.15555555555557</x:v>
      </x:c>
      <x:c r="O2039" s="49" t="n">
        <x:v>7</x:v>
      </x:c>
      <x:c r="P2039" s="1" t="str">
        <x:v>中期状態の基準併用：同方向失敗後は新しい押し再進行を待つ・広め</x:v>
      </x:c>
      <x:c r="Q2039" s="49" t="n">
        <x:v>0</x:v>
      </x:c>
      <x:c r="R2039" s="50" t="n">
        <x:v>0.6593775437525438</x:v>
      </x:c>
      <x:c r="S2039" s="50" t="n">
        <x:v>0.6385925925925926</x:v>
      </x:c>
      <x:c r="T2039" s="1" t="str">
        <x:v>上昇</x:v>
      </x:c>
      <x:c r="U2039" s="49" t="n">
        <x:v>24</x:v>
      </x:c>
    </x:row>
    <x:row r="2040" ht="22" customHeight="1">
      <x:c r="A2040" s="1" t="str">
        <x:v>TOPIXmini</x:v>
      </x:c>
      <x:c r="B2040" s="1" t="str">
        <x:v>V06</x:v>
      </x:c>
      <x:c r="C2040" s="1" t="str">
        <x:v>対照47場</x:v>
      </x:c>
      <x:c r="D2040" s="47" t="n">
        <x:v>2558397</x:v>
      </x:c>
      <x:c r="E2040" s="47" t="n">
        <x:v>2175216</x:v>
      </x:c>
      <x:c r="F2040" s="47" t="n">
        <x:f>D2040-E2040</x:f>
        <x:v>383181</x:v>
      </x:c>
      <x:c r="G2040" s="49" t="n">
        <x:v>12</x:v>
      </x:c>
      <x:c r="H2040" s="49" t="n">
        <x:v>11</x:v>
      </x:c>
      <x:c r="I2040" s="47" t="n">
        <x:v>-37422</x:v>
      </x:c>
      <x:c r="J2040" s="49" t="n">
        <x:v>393</x:v>
      </x:c>
      <x:c r="K2040" s="47" t="n">
        <x:v>-92910</x:v>
      </x:c>
      <x:c r="L2040" s="47" t="n">
        <x:v>51416.09090909091</x:v>
      </x:c>
      <x:c r="M2040" s="48" t="n">
        <x:v>43.162318840579715</x:v>
      </x:c>
      <x:c r="N2040" s="48" t="n">
        <x:v>410.4311594202898</x:v>
      </x:c>
      <x:c r="O2040" s="49" t="n">
        <x:v>7</x:v>
      </x:c>
      <x:c r="P2040" s="1" t="str">
        <x:v>中期状態の基準併用：同方向失敗後は新しい押し再進行を待つ・広め</x:v>
      </x:c>
      <x:c r="Q2040" s="49" t="n">
        <x:v>0</x:v>
      </x:c>
      <x:c r="R2040" s="50" t="n">
        <x:v>0.7199650952911824</x:v>
      </x:c>
      <x:c r="S2040" s="50" t="n">
        <x:v>0.6930922662750856</x:v>
      </x:c>
      <x:c r="T2040" s="1" t="str">
        <x:v>下落</x:v>
      </x:c>
      <x:c r="U2040" s="49" t="n">
        <x:v>23</x:v>
      </x:c>
    </x:row>
    <x:row r="2041" ht="22" customHeight="1">
      <x:c r="A2041" s="1" t="str">
        <x:v>TOPIXmini</x:v>
      </x:c>
      <x:c r="B2041" s="1" t="str">
        <x:v>V06</x:v>
      </x:c>
      <x:c r="C2041" s="1" t="str">
        <x:v>診断3場</x:v>
      </x:c>
      <x:c r="D2041" s="47" t="n">
        <x:v>372265</x:v>
      </x:c>
      <x:c r="E2041" s="47" t="n">
        <x:v>500634</x:v>
      </x:c>
      <x:c r="F2041" s="47" t="n">
        <x:f>D2041-E2041</x:f>
        <x:v>-128369</x:v>
      </x:c>
      <x:c r="G2041" s="49" t="n">
        <x:v>0</x:v>
      </x:c>
      <x:c r="H2041" s="49" t="n">
        <x:v>3</x:v>
      </x:c>
      <x:c r="I2041" s="47" t="n">
        <x:v>-128369</x:v>
      </x:c>
      <x:c r="J2041" s="49" t="n">
        <x:v>86</x:v>
      </x:c>
      <x:c r="K2041" s="47" t="n">
        <x:v>-65064</x:v>
      </x:c>
      <x:c r="L2041" s="47" t="n">
        <x:v>42789.666666666664</x:v>
      </x:c>
      <x:c r="M2041" s="48" t="n">
        <x:v>23.755555555555556</x:v>
      </x:c>
      <x:c r="N2041" s="48" t="n">
        <x:v>483.2388888888889</x:v>
      </x:c>
      <x:c r="O2041" s="49" t="n">
        <x:v>7</x:v>
      </x:c>
      <x:c r="P2041" s="1" t="str">
        <x:v>中期状態の基準併用：同方向失敗後は新しい押し再進行を待つ・広め</x:v>
      </x:c>
      <x:c r="Q2041" s="49" t="n">
        <x:v>0</x:v>
      </x:c>
      <x:c r="R2041" s="50" t="n">
        <x:v>0.7429070004070004</x:v>
      </x:c>
      <x:c r="S2041" s="50" t="n">
        <x:v>0.7321801346801347</x:v>
      </x:c>
      <x:c r="T2041" s="1" t="str">
        <x:v>全場</x:v>
      </x:c>
      <x:c r="U2041" s="49" t="n">
        <x:v>3</x:v>
      </x:c>
    </x:row>
    <x:row r="2042" ht="22" customHeight="1">
      <x:c r="A2042" s="1" t="str">
        <x:v>TOPIXmini</x:v>
      </x:c>
      <x:c r="B2042" s="1" t="str">
        <x:v>V06</x:v>
      </x:c>
      <x:c r="C2042" s="1" t="str">
        <x:v>診断3場</x:v>
      </x:c>
      <x:c r="D2042" s="47" t="n">
        <x:v>142592</x:v>
      </x:c>
      <x:c r="E2042" s="47" t="n">
        <x:v>207656</x:v>
      </x:c>
      <x:c r="F2042" s="47" t="n">
        <x:f>D2042-E2042</x:f>
        <x:v>-65064</x:v>
      </x:c>
      <x:c r="G2042" s="49" t="n">
        <x:v>0</x:v>
      </x:c>
      <x:c r="H2042" s="49" t="n">
        <x:v>1</x:v>
      </x:c>
      <x:c r="I2042" s="47" t="n">
        <x:v>-65064</x:v>
      </x:c>
      <x:c r="J2042" s="49" t="n">
        <x:v>30</x:v>
      </x:c>
      <x:c r="K2042" s="47" t="n">
        <x:v>-65064</x:v>
      </x:c>
      <x:c r="L2042" s="47" t="n">
        <x:v>65064</x:v>
      </x:c>
      <x:c r="M2042" s="48" t="n">
        <x:v>23.083333333333332</x:v>
      </x:c>
      <x:c r="N2042" s="48" t="n">
        <x:v>336.8</x:v>
      </x:c>
      <x:c r="O2042" s="49" t="n">
        <x:v>7</x:v>
      </x:c>
      <x:c r="P2042" s="1" t="str">
        <x:v>中期状態の基準併用：同方向失敗後は新しい押し再進行を待つ・広め</x:v>
      </x:c>
      <x:c r="Q2042" s="49" t="n">
        <x:v>0</x:v>
      </x:c>
      <x:c r="R2042" s="50" t="n">
        <x:v>0.8019047619047619</x:v>
      </x:c>
      <x:c r="S2042" s="50" t="n">
        <x:v>0.8019047619047619</x:v>
      </x:c>
      <x:c r="T2042" s="1" t="str">
        <x:v>デイ</x:v>
      </x:c>
      <x:c r="U2042" s="49" t="n">
        <x:v>1</x:v>
      </x:c>
    </x:row>
    <x:row r="2043" ht="22" customHeight="1">
      <x:c r="A2043" s="1" t="str">
        <x:v>TOPIXmini</x:v>
      </x:c>
      <x:c r="B2043" s="1" t="str">
        <x:v>V06</x:v>
      </x:c>
      <x:c r="C2043" s="1" t="str">
        <x:v>診断3場</x:v>
      </x:c>
      <x:c r="D2043" s="47" t="n">
        <x:v>229673</x:v>
      </x:c>
      <x:c r="E2043" s="47" t="n">
        <x:v>292978</x:v>
      </x:c>
      <x:c r="F2043" s="47" t="n">
        <x:f>D2043-E2043</x:f>
        <x:v>-63305</x:v>
      </x:c>
      <x:c r="G2043" s="49" t="n">
        <x:v>0</x:v>
      </x:c>
      <x:c r="H2043" s="49" t="n">
        <x:v>2</x:v>
      </x:c>
      <x:c r="I2043" s="47" t="n">
        <x:v>-63305</x:v>
      </x:c>
      <x:c r="J2043" s="49" t="n">
        <x:v>56</x:v>
      </x:c>
      <x:c r="K2043" s="47" t="n">
        <x:v>-62902</x:v>
      </x:c>
      <x:c r="L2043" s="47" t="n">
        <x:v>31652.5</x:v>
      </x:c>
      <x:c r="M2043" s="48" t="n">
        <x:v>24.09166666666667</x:v>
      </x:c>
      <x:c r="N2043" s="48" t="n">
        <x:v>556.4583333333334</x:v>
      </x:c>
      <x:c r="O2043" s="49" t="n">
        <x:v>7</x:v>
      </x:c>
      <x:c r="P2043" s="1" t="str">
        <x:v>中期状態の基準併用：同方向失敗後は新しい押し再進行を待つ・広め</x:v>
      </x:c>
      <x:c r="Q2043" s="49" t="n">
        <x:v>0</x:v>
      </x:c>
      <x:c r="R2043" s="50" t="n">
        <x:v>0.7134081196581197</x:v>
      </x:c>
      <x:c r="S2043" s="50" t="n">
        <x:v>0.7134081196581197</x:v>
      </x:c>
      <x:c r="T2043" s="1" t="str">
        <x:v>ナイト</x:v>
      </x:c>
      <x:c r="U2043" s="49" t="n">
        <x:v>2</x:v>
      </x:c>
    </x:row>
    <x:row r="2044" ht="22" customHeight="1">
      <x:c r="A2044" s="1" t="str">
        <x:v>TOPIXmini</x:v>
      </x:c>
      <x:c r="B2044" s="1" t="str">
        <x:v>V06</x:v>
      </x:c>
      <x:c r="C2044" s="1" t="str">
        <x:v>診断3場</x:v>
      </x:c>
      <x:c r="D2044" s="47" t="n">
        <x:v>109920</x:v>
      </x:c>
      <x:c r="E2044" s="47" t="n">
        <x:v>110323</x:v>
      </x:c>
      <x:c r="F2044" s="47" t="n">
        <x:f>D2044-E2044</x:f>
        <x:v>-403</x:v>
      </x:c>
      <x:c r="G2044" s="49" t="n">
        <x:v>0</x:v>
      </x:c>
      <x:c r="H2044" s="49" t="n">
        <x:v>1</x:v>
      </x:c>
      <x:c r="I2044" s="47" t="n">
        <x:v>-403</x:v>
      </x:c>
      <x:c r="J2044" s="49" t="n">
        <x:v>22</x:v>
      </x:c>
      <x:c r="K2044" s="47" t="n">
        <x:v>-403</x:v>
      </x:c>
      <x:c r="L2044" s="47" t="n">
        <x:v>403</x:v>
      </x:c>
      <x:c r="M2044" s="48" t="n">
        <x:v>23.283333333333335</x:v>
      </x:c>
      <x:c r="N2044" s="48" t="n">
        <x:v>501.2</x:v>
      </x:c>
      <x:c r="O2044" s="49" t="n">
        <x:v>7</x:v>
      </x:c>
      <x:c r="P2044" s="1" t="str">
        <x:v>中期状態の基準併用：同方向失敗後は新しい押し再進行を待つ・広め</x:v>
      </x:c>
      <x:c r="Q2044" s="49" t="n">
        <x:v>0</x:v>
      </x:c>
      <x:c r="R2044" s="50" t="n">
        <x:v>0.6425641025641026</x:v>
      </x:c>
      <x:c r="S2044" s="50" t="n">
        <x:v>0.6425641025641026</x:v>
      </x:c>
      <x:c r="T2044" s="1" t="str">
        <x:v>上昇</x:v>
      </x:c>
      <x:c r="U2044" s="49" t="n">
        <x:v>1</x:v>
      </x:c>
    </x:row>
    <x:row r="2045" ht="22" customHeight="1">
      <x:c r="A2045" s="1" t="str">
        <x:v>TOPIXmini</x:v>
      </x:c>
      <x:c r="B2045" s="1" t="str">
        <x:v>V06</x:v>
      </x:c>
      <x:c r="C2045" s="1" t="str">
        <x:v>診断3場</x:v>
      </x:c>
      <x:c r="D2045" s="47" t="n">
        <x:v>262345</x:v>
      </x:c>
      <x:c r="E2045" s="47" t="n">
        <x:v>390311</x:v>
      </x:c>
      <x:c r="F2045" s="47" t="n">
        <x:f>D2045-E2045</x:f>
        <x:v>-127966</x:v>
      </x:c>
      <x:c r="G2045" s="49" t="n">
        <x:v>0</x:v>
      </x:c>
      <x:c r="H2045" s="49" t="n">
        <x:v>2</x:v>
      </x:c>
      <x:c r="I2045" s="47" t="n">
        <x:v>-127966</x:v>
      </x:c>
      <x:c r="J2045" s="49" t="n">
        <x:v>64</x:v>
      </x:c>
      <x:c r="K2045" s="47" t="n">
        <x:v>-65064</x:v>
      </x:c>
      <x:c r="L2045" s="47" t="n">
        <x:v>63983</x:v>
      </x:c>
      <x:c r="M2045" s="48" t="n">
        <x:v>23.991666666666667</x:v>
      </x:c>
      <x:c r="N2045" s="48" t="n">
        <x:v>474.2583333333333</x:v>
      </x:c>
      <x:c r="O2045" s="49" t="n">
        <x:v>7</x:v>
      </x:c>
      <x:c r="P2045" s="1" t="str">
        <x:v>中期状態の基準併用：同方向失敗後は新しい押し再進行を待つ・広め</x:v>
      </x:c>
      <x:c r="Q2045" s="49" t="n">
        <x:v>0</x:v>
      </x:c>
      <x:c r="R2045" s="50" t="n">
        <x:v>0.7930784493284493</x:v>
      </x:c>
      <x:c r="S2045" s="50" t="n">
        <x:v>0.7904305555555555</x:v>
      </x:c>
      <x:c r="T2045" s="1" t="str">
        <x:v>下落</x:v>
      </x:c>
      <x:c r="U2045" s="49" t="n">
        <x:v>2</x:v>
      </x:c>
    </x:row>
    <x:row r="2046" ht="22" customHeight="1">
      <x:c r="A2046" s="1" t="str">
        <x:v>TOPIXmini</x:v>
      </x:c>
      <x:c r="B2046" s="1" t="str">
        <x:v>W01</x:v>
      </x:c>
      <x:c r="C2046" s="1" t="str">
        <x:v>全50場</x:v>
      </x:c>
      <x:c r="D2046" s="47" t="n">
        <x:v>2392978</x:v>
      </x:c>
      <x:c r="E2046" s="47" t="n">
        <x:v>1601123</x:v>
      </x:c>
      <x:c r="F2046" s="47" t="n">
        <x:f>D2046-E2046</x:f>
        <x:v>791855</x:v>
      </x:c>
      <x:c r="G2046" s="49" t="n">
        <x:v>37</x:v>
      </x:c>
      <x:c r="H2046" s="49" t="n">
        <x:v>13</x:v>
      </x:c>
      <x:c r="I2046" s="47" t="n">
        <x:v>471355</x:v>
      </x:c>
      <x:c r="J2046" s="49" t="n">
        <x:v>169</x:v>
      </x:c>
      <x:c r="K2046" s="47" t="n">
        <x:v>-88075</x:v>
      </x:c>
      <x:c r="L2046" s="47" t="n">
        <x:v>39115.769230769234</x:v>
      </x:c>
      <x:c r="M2046" s="48" t="n">
        <x:v>203.39633333333336</x:v>
      </x:c>
      <x:c r="N2046" s="48" t="n">
        <x:v>130.77366666666666</x:v>
      </x:c>
      <x:c r="O2046" s="49" t="n">
        <x:v>5</x:v>
      </x:c>
      <x:c r="P2046" s="1" t="str">
        <x:v>過去完了場だけの逐次選択</x:v>
      </x:c>
      <x:c r="Q2046" s="49" t="n">
        <x:v>0</x:v>
      </x:c>
      <x:c r="R2046" s="50" t="n">
        <x:v>0.27169664224664225</x:v>
      </x:c>
      <x:c r="S2046" s="50" t="n">
        <x:v>0.2179561111111111</x:v>
      </x:c>
      <x:c r="T2046" s="1" t="str">
        <x:v>全場</x:v>
      </x:c>
      <x:c r="U2046" s="49" t="n">
        <x:v>50</x:v>
      </x:c>
    </x:row>
    <x:row r="2047" ht="22" customHeight="1">
      <x:c r="A2047" s="1" t="str">
        <x:v>TOPIXmini</x:v>
      </x:c>
      <x:c r="B2047" s="1" t="str">
        <x:v>W01</x:v>
      </x:c>
      <x:c r="C2047" s="1" t="str">
        <x:v>全50場</x:v>
      </x:c>
      <x:c r="D2047" s="47" t="n">
        <x:v>1353926</x:v>
      </x:c>
      <x:c r="E2047" s="47" t="n">
        <x:v>942849</x:v>
      </x:c>
      <x:c r="F2047" s="47" t="n">
        <x:f>D2047-E2047</x:f>
        <x:v>411077</x:v>
      </x:c>
      <x:c r="G2047" s="49" t="n">
        <x:v>16</x:v>
      </x:c>
      <x:c r="H2047" s="49" t="n">
        <x:v>9</x:v>
      </x:c>
      <x:c r="I2047" s="47" t="n">
        <x:v>134581</x:v>
      </x:c>
      <x:c r="J2047" s="49" t="n">
        <x:v>81</x:v>
      </x:c>
      <x:c r="K2047" s="47" t="n">
        <x:v>-88075</x:v>
      </x:c>
      <x:c r="L2047" s="47" t="n">
        <x:v>42203</x:v>
      </x:c>
      <x:c r="M2047" s="48" t="n">
        <x:v>94.48466666666666</x:v>
      </x:c>
      <x:c r="N2047" s="48" t="n">
        <x:v>189.34933333333333</x:v>
      </x:c>
      <x:c r="O2047" s="49" t="n">
        <x:v>5</x:v>
      </x:c>
      <x:c r="P2047" s="1" t="str">
        <x:v>過去完了場だけの逐次選択</x:v>
      </x:c>
      <x:c r="Q2047" s="49" t="n">
        <x:v>0</x:v>
      </x:c>
      <x:c r="R2047" s="50" t="n">
        <x:v>0.450831746031746</x:v>
      </x:c>
      <x:c r="S2047" s="50" t="n">
        <x:v>0.45083174603174603</x:v>
      </x:c>
      <x:c r="T2047" s="1" t="str">
        <x:v>デイ</x:v>
      </x:c>
      <x:c r="U2047" s="49" t="n">
        <x:v>25</x:v>
      </x:c>
    </x:row>
    <x:row r="2048" ht="22" customHeight="1">
      <x:c r="A2048" s="1" t="str">
        <x:v>TOPIXmini</x:v>
      </x:c>
      <x:c r="B2048" s="1" t="str">
        <x:v>W01</x:v>
      </x:c>
      <x:c r="C2048" s="1" t="str">
        <x:v>全50場</x:v>
      </x:c>
      <x:c r="D2048" s="47" t="n">
        <x:v>1039052</x:v>
      </x:c>
      <x:c r="E2048" s="47" t="n">
        <x:v>658274</x:v>
      </x:c>
      <x:c r="F2048" s="47" t="n">
        <x:f>D2048-E2048</x:f>
        <x:v>380778</x:v>
      </x:c>
      <x:c r="G2048" s="49" t="n">
        <x:v>21</x:v>
      </x:c>
      <x:c r="H2048" s="49" t="n">
        <x:v>4</x:v>
      </x:c>
      <x:c r="I2048" s="47" t="n">
        <x:v>160037</x:v>
      </x:c>
      <x:c r="J2048" s="49" t="n">
        <x:v>88</x:v>
      </x:c>
      <x:c r="K2048" s="47" t="n">
        <x:v>-53754</x:v>
      </x:c>
      <x:c r="L2048" s="47" t="n">
        <x:v>32169.5</x:v>
      </x:c>
      <x:c r="M2048" s="48" t="n">
        <x:v>312.30799999999994</x:v>
      </x:c>
      <x:c r="N2048" s="48" t="n">
        <x:v>72.19800000000001</x:v>
      </x:c>
      <x:c r="O2048" s="49" t="n">
        <x:v>5</x:v>
      </x:c>
      <x:c r="P2048" s="1" t="str">
        <x:v>過去完了場だけの逐次選択</x:v>
      </x:c>
      <x:c r="Q2048" s="49" t="n">
        <x:v>0</x:v>
      </x:c>
      <x:c r="R2048" s="50" t="n">
        <x:v>0.09256153846153849</x:v>
      </x:c>
      <x:c r="S2048" s="50" t="n">
        <x:v>0.09256153846153846</x:v>
      </x:c>
      <x:c r="T2048" s="1" t="str">
        <x:v>ナイト</x:v>
      </x:c>
      <x:c r="U2048" s="49" t="n">
        <x:v>25</x:v>
      </x:c>
    </x:row>
    <x:row r="2049" ht="22" customHeight="1">
      <x:c r="A2049" s="1" t="str">
        <x:v>TOPIXmini</x:v>
      </x:c>
      <x:c r="B2049" s="1" t="str">
        <x:v>W01</x:v>
      </x:c>
      <x:c r="C2049" s="1" t="str">
        <x:v>全50場</x:v>
      </x:c>
      <x:c r="D2049" s="47" t="n">
        <x:v>1026405</x:v>
      </x:c>
      <x:c r="E2049" s="47" t="n">
        <x:v>767121</x:v>
      </x:c>
      <x:c r="F2049" s="47" t="n">
        <x:f>D2049-E2049</x:f>
        <x:v>259284</x:v>
      </x:c>
      <x:c r="G2049" s="49" t="n">
        <x:v>18</x:v>
      </x:c>
      <x:c r="H2049" s="49" t="n">
        <x:v>7</x:v>
      </x:c>
      <x:c r="I2049" s="47" t="n">
        <x:v>14452</x:v>
      </x:c>
      <x:c r="J2049" s="49" t="n">
        <x:v>67</x:v>
      </x:c>
      <x:c r="K2049" s="47" t="n">
        <x:v>-76669</x:v>
      </x:c>
      <x:c r="L2049" s="47" t="n">
        <x:v>43467.142857142855</x:v>
      </x:c>
      <x:c r="M2049" s="48" t="n">
        <x:v>229.74466666666663</x:v>
      </x:c>
      <x:c r="N2049" s="48" t="n">
        <x:v>111.88733333333332</x:v>
      </x:c>
      <x:c r="O2049" s="49" t="n">
        <x:v>5</x:v>
      </x:c>
      <x:c r="P2049" s="1" t="str">
        <x:v>過去完了場だけの逐次選択</x:v>
      </x:c>
      <x:c r="Q2049" s="49" t="n">
        <x:v>0</x:v>
      </x:c>
      <x:c r="R2049" s="50" t="n">
        <x:v>0.22649951159951157</x:v>
      </x:c>
      <x:c r="S2049" s="50" t="n">
        <x:v>0.18426767676767677</x:v>
      </x:c>
      <x:c r="T2049" s="1" t="str">
        <x:v>上昇</x:v>
      </x:c>
      <x:c r="U2049" s="49" t="n">
        <x:v>25</x:v>
      </x:c>
    </x:row>
    <x:row r="2050" ht="22" customHeight="1">
      <x:c r="A2050" s="1" t="str">
        <x:v>TOPIXmini</x:v>
      </x:c>
      <x:c r="B2050" s="1" t="str">
        <x:v>W01</x:v>
      </x:c>
      <x:c r="C2050" s="1" t="str">
        <x:v>全50場</x:v>
      </x:c>
      <x:c r="D2050" s="47" t="n">
        <x:v>1366573</x:v>
      </x:c>
      <x:c r="E2050" s="47" t="n">
        <x:v>834002</x:v>
      </x:c>
      <x:c r="F2050" s="47" t="n">
        <x:f>D2050-E2050</x:f>
        <x:v>532571</x:v>
      </x:c>
      <x:c r="G2050" s="49" t="n">
        <x:v>19</x:v>
      </x:c>
      <x:c r="H2050" s="49" t="n">
        <x:v>6</x:v>
      </x:c>
      <x:c r="I2050" s="47" t="n">
        <x:v>217408</x:v>
      </x:c>
      <x:c r="J2050" s="49" t="n">
        <x:v>102</x:v>
      </x:c>
      <x:c r="K2050" s="47" t="n">
        <x:v>-88075</x:v>
      </x:c>
      <x:c r="L2050" s="47" t="n">
        <x:v>34039.166666666664</x:v>
      </x:c>
      <x:c r="M2050" s="48" t="n">
        <x:v>177.048</x:v>
      </x:c>
      <x:c r="N2050" s="48" t="n">
        <x:v>149.65999999999997</x:v>
      </x:c>
      <x:c r="O2050" s="49" t="n">
        <x:v>5</x:v>
      </x:c>
      <x:c r="P2050" s="1" t="str">
        <x:v>過去完了場だけの逐次選択</x:v>
      </x:c>
      <x:c r="Q2050" s="49" t="n">
        <x:v>0</x:v>
      </x:c>
      <x:c r="R2050" s="50" t="n">
        <x:v>0.31689377289377285</x:v>
      </x:c>
      <x:c r="S2050" s="50" t="n">
        <x:v>0.2524628879892038</x:v>
      </x:c>
      <x:c r="T2050" s="1" t="str">
        <x:v>下落</x:v>
      </x:c>
      <x:c r="U2050" s="49" t="n">
        <x:v>25</x:v>
      </x:c>
    </x:row>
    <x:row r="2051" ht="22" customHeight="1">
      <x:c r="A2051" s="1" t="str">
        <x:v>TOPIXmini</x:v>
      </x:c>
      <x:c r="B2051" s="1" t="str">
        <x:v>W01</x:v>
      </x:c>
      <x:c r="C2051" s="1" t="str">
        <x:v>対照47場</x:v>
      </x:c>
      <x:c r="D2051" s="47" t="n">
        <x:v>2254809</x:v>
      </x:c>
      <x:c r="E2051" s="47" t="n">
        <x:v>1439378</x:v>
      </x:c>
      <x:c r="F2051" s="47" t="n">
        <x:f>D2051-E2051</x:f>
        <x:v>815431</x:v>
      </x:c>
      <x:c r="G2051" s="49" t="n">
        <x:v>35</x:v>
      </x:c>
      <x:c r="H2051" s="49" t="n">
        <x:v>12</x:v>
      </x:c>
      <x:c r="I2051" s="47" t="n">
        <x:v>494931</x:v>
      </x:c>
      <x:c r="J2051" s="49" t="n">
        <x:v>147</x:v>
      </x:c>
      <x:c r="K2051" s="47" t="n">
        <x:v>-76669</x:v>
      </x:c>
      <x:c r="L2051" s="47" t="n">
        <x:v>35035.833333333336</x:v>
      </x:c>
      <x:c r="M2051" s="48" t="n">
        <x:v>211.2460992907801</x:v>
      </x:c>
      <x:c r="N2051" s="48" t="n">
        <x:v>130.73333333333335</x:v>
      </x:c>
      <x:c r="O2051" s="49" t="n">
        <x:v>5</x:v>
      </x:c>
      <x:c r="P2051" s="1" t="str">
        <x:v>過去完了場だけの逐次選択</x:v>
      </x:c>
      <x:c r="Q2051" s="49" t="n">
        <x:v>0</x:v>
      </x:c>
      <x:c r="R2051" s="50" t="n">
        <x:v>0.27274283635985763</x:v>
      </x:c>
      <x:c r="S2051" s="50" t="n">
        <x:v>0.21928860337853912</x:v>
      </x:c>
      <x:c r="T2051" s="1" t="str">
        <x:v>全場</x:v>
      </x:c>
      <x:c r="U2051" s="49" t="n">
        <x:v>47</x:v>
      </x:c>
    </x:row>
    <x:row r="2052" ht="22" customHeight="1">
      <x:c r="A2052" s="1" t="str">
        <x:v>TOPIXmini</x:v>
      </x:c>
      <x:c r="B2052" s="1" t="str">
        <x:v>W01</x:v>
      </x:c>
      <x:c r="C2052" s="1" t="str">
        <x:v>対照47場</x:v>
      </x:c>
      <x:c r="D2052" s="47" t="n">
        <x:v>1333422</x:v>
      </x:c>
      <x:c r="E2052" s="47" t="n">
        <x:v>834270</x:v>
      </x:c>
      <x:c r="F2052" s="47" t="n">
        <x:f>D2052-E2052</x:f>
        <x:v>499152</x:v>
      </x:c>
      <x:c r="G2052" s="49" t="n">
        <x:v>16</x:v>
      </x:c>
      <x:c r="H2052" s="49" t="n">
        <x:v>8</x:v>
      </x:c>
      <x:c r="I2052" s="47" t="n">
        <x:v>222656</x:v>
      </x:c>
      <x:c r="J2052" s="49" t="n">
        <x:v>71</x:v>
      </x:c>
      <x:c r="K2052" s="47" t="n">
        <x:v>-76669</x:v>
      </x:c>
      <x:c r="L2052" s="47" t="n">
        <x:v>36469</x:v>
      </x:c>
      <x:c r="M2052" s="48" t="n">
        <x:v>96.59027777777777</x:v>
      </x:c>
      <x:c r="N2052" s="48" t="n">
        <x:v>187.36111111111111</x:v>
      </x:c>
      <x:c r="O2052" s="49" t="n">
        <x:v>5</x:v>
      </x:c>
      <x:c r="P2052" s="1" t="str">
        <x:v>過去完了場だけの逐次選択</x:v>
      </x:c>
      <x:c r="Q2052" s="49" t="n">
        <x:v>0</x:v>
      </x:c>
      <x:c r="R2052" s="50" t="n">
        <x:v>0.44609788359788355</x:v>
      </x:c>
      <x:c r="S2052" s="50" t="n">
        <x:v>0.4460978835978836</x:v>
      </x:c>
      <x:c r="T2052" s="1" t="str">
        <x:v>デイ</x:v>
      </x:c>
      <x:c r="U2052" s="49" t="n">
        <x:v>24</x:v>
      </x:c>
    </x:row>
    <x:row r="2053" ht="22" customHeight="1">
      <x:c r="A2053" s="1" t="str">
        <x:v>TOPIXmini</x:v>
      </x:c>
      <x:c r="B2053" s="1" t="str">
        <x:v>W01</x:v>
      </x:c>
      <x:c r="C2053" s="1" t="str">
        <x:v>対照47場</x:v>
      </x:c>
      <x:c r="D2053" s="47" t="n">
        <x:v>921387</x:v>
      </x:c>
      <x:c r="E2053" s="47" t="n">
        <x:v>605108</x:v>
      </x:c>
      <x:c r="F2053" s="47" t="n">
        <x:f>D2053-E2053</x:f>
        <x:v>316279</x:v>
      </x:c>
      <x:c r="G2053" s="49" t="n">
        <x:v>19</x:v>
      </x:c>
      <x:c r="H2053" s="49" t="n">
        <x:v>4</x:v>
      </x:c>
      <x:c r="I2053" s="47" t="n">
        <x:v>95538</x:v>
      </x:c>
      <x:c r="J2053" s="49" t="n">
        <x:v>76</x:v>
      </x:c>
      <x:c r="K2053" s="47" t="n">
        <x:v>-53754</x:v>
      </x:c>
      <x:c r="L2053" s="47" t="n">
        <x:v>32169.5</x:v>
      </x:c>
      <x:c r="M2053" s="48" t="n">
        <x:v>330.8869565217391</x:v>
      </x:c>
      <x:c r="N2053" s="48" t="n">
        <x:v>71.64347826086957</x:v>
      </x:c>
      <x:c r="O2053" s="49" t="n">
        <x:v>5</x:v>
      </x:c>
      <x:c r="P2053" s="1" t="str">
        <x:v>過去完了場だけの逐次選択</x:v>
      </x:c>
      <x:c r="Q2053" s="49" t="n">
        <x:v>0</x:v>
      </x:c>
      <x:c r="R2053" s="50" t="n">
        <x:v>0.091850613154961</x:v>
      </x:c>
      <x:c r="S2053" s="50" t="n">
        <x:v>0.09185061315496097</x:v>
      </x:c>
      <x:c r="T2053" s="1" t="str">
        <x:v>ナイト</x:v>
      </x:c>
      <x:c r="U2053" s="49" t="n">
        <x:v>23</x:v>
      </x:c>
    </x:row>
    <x:row r="2054" ht="22" customHeight="1">
      <x:c r="A2054" s="1" t="str">
        <x:v>TOPIXmini</x:v>
      </x:c>
      <x:c r="B2054" s="1" t="str">
        <x:v>W01</x:v>
      </x:c>
      <x:c r="C2054" s="1" t="str">
        <x:v>対照47場</x:v>
      </x:c>
      <x:c r="D2054" s="47" t="n">
        <x:v>986655</x:v>
      </x:c>
      <x:c r="E2054" s="47" t="n">
        <x:v>757456</x:v>
      </x:c>
      <x:c r="F2054" s="47" t="n">
        <x:f>D2054-E2054</x:f>
        <x:v>229199</x:v>
      </x:c>
      <x:c r="G2054" s="49" t="n">
        <x:v>17</x:v>
      </x:c>
      <x:c r="H2054" s="49" t="n">
        <x:v>7</x:v>
      </x:c>
      <x:c r="I2054" s="47" t="n">
        <x:v>-15633</x:v>
      </x:c>
      <x:c r="J2054" s="49" t="n">
        <x:v>63</x:v>
      </x:c>
      <x:c r="K2054" s="47" t="n">
        <x:v>-76669</x:v>
      </x:c>
      <x:c r="L2054" s="47" t="n">
        <x:v>43467.142857142855</x:v>
      </x:c>
      <x:c r="M2054" s="48" t="n">
        <x:v>234.06875</x:v>
      </x:c>
      <x:c r="N2054" s="48" t="n">
        <x:v>113.4798611111111</x:v>
      </x:c>
      <x:c r="O2054" s="49" t="n">
        <x:v>5</x:v>
      </x:c>
      <x:c r="P2054" s="1" t="str">
        <x:v>過去完了場だけの逐次選択</x:v>
      </x:c>
      <x:c r="Q2054" s="49" t="n">
        <x:v>0</x:v>
      </x:c>
      <x:c r="R2054" s="50" t="n">
        <x:v>0.23200180606430607</x:v>
      </x:c>
      <x:c r="S2054" s="50" t="n">
        <x:v>0.18913310185185186</x:v>
      </x:c>
      <x:c r="T2054" s="1" t="str">
        <x:v>上昇</x:v>
      </x:c>
      <x:c r="U2054" s="49" t="n">
        <x:v>24</x:v>
      </x:c>
    </x:row>
    <x:row r="2055" ht="22" customHeight="1">
      <x:c r="A2055" s="1" t="str">
        <x:v>TOPIXmini</x:v>
      </x:c>
      <x:c r="B2055" s="1" t="str">
        <x:v>W01</x:v>
      </x:c>
      <x:c r="C2055" s="1" t="str">
        <x:v>対照47場</x:v>
      </x:c>
      <x:c r="D2055" s="47" t="n">
        <x:v>1268154</x:v>
      </x:c>
      <x:c r="E2055" s="47" t="n">
        <x:v>681922</x:v>
      </x:c>
      <x:c r="F2055" s="47" t="n">
        <x:f>D2055-E2055</x:f>
        <x:v>586232</x:v>
      </x:c>
      <x:c r="G2055" s="49" t="n">
        <x:v>18</x:v>
      </x:c>
      <x:c r="H2055" s="49" t="n">
        <x:v>5</x:v>
      </x:c>
      <x:c r="I2055" s="47" t="n">
        <x:v>271069</x:v>
      </x:c>
      <x:c r="J2055" s="49" t="n">
        <x:v>84</x:v>
      </x:c>
      <x:c r="K2055" s="47" t="n">
        <x:v>-40836</x:v>
      </x:c>
      <x:c r="L2055" s="47" t="n">
        <x:v>23232</x:v>
      </x:c>
      <x:c r="M2055" s="48" t="n">
        <x:v>187.43115942028982</x:v>
      </x:c>
      <x:c r="N2055" s="48" t="n">
        <x:v>148.73695652173913</x:v>
      </x:c>
      <x:c r="O2055" s="49" t="n">
        <x:v>5</x:v>
      </x:c>
      <x:c r="P2055" s="1" t="str">
        <x:v>過去完了場だけの逐次選択</x:v>
      </x:c>
      <x:c r="Q2055" s="49" t="n">
        <x:v>0</x:v>
      </x:c>
      <x:c r="R2055" s="50" t="n">
        <x:v>0.3152552157986941</x:v>
      </x:c>
      <x:c r="S2055" s="50" t="n">
        <x:v>0.25117107195301025</x:v>
      </x:c>
      <x:c r="T2055" s="1" t="str">
        <x:v>下落</x:v>
      </x:c>
      <x:c r="U2055" s="49" t="n">
        <x:v>23</x:v>
      </x:c>
    </x:row>
    <x:row r="2056" ht="22" customHeight="1">
      <x:c r="A2056" s="1" t="str">
        <x:v>TOPIXmini</x:v>
      </x:c>
      <x:c r="B2056" s="1" t="str">
        <x:v>W01</x:v>
      </x:c>
      <x:c r="C2056" s="1" t="str">
        <x:v>診断3場</x:v>
      </x:c>
      <x:c r="D2056" s="47" t="n">
        <x:v>138169</x:v>
      </x:c>
      <x:c r="E2056" s="47" t="n">
        <x:v>161745</x:v>
      </x:c>
      <x:c r="F2056" s="47" t="n">
        <x:f>D2056-E2056</x:f>
        <x:v>-23576</x:v>
      </x:c>
      <x:c r="G2056" s="49" t="n">
        <x:v>2</x:v>
      </x:c>
      <x:c r="H2056" s="49" t="n">
        <x:v>1</x:v>
      </x:c>
      <x:c r="I2056" s="47" t="n">
        <x:v>-88075</x:v>
      </x:c>
      <x:c r="J2056" s="49" t="n">
        <x:v>22</x:v>
      </x:c>
      <x:c r="K2056" s="47" t="n">
        <x:v>-88075</x:v>
      </x:c>
      <x:c r="L2056" s="47" t="n">
        <x:v>88075</x:v>
      </x:c>
      <x:c r="M2056" s="48" t="n">
        <x:v>80.41666666666667</x:v>
      </x:c>
      <x:c r="N2056" s="48" t="n">
        <x:v>131.40555555555557</x:v>
      </x:c>
      <x:c r="O2056" s="49" t="n">
        <x:v>5</x:v>
      </x:c>
      <x:c r="P2056" s="1" t="str">
        <x:v>過去完了場だけの逐次選択</x:v>
      </x:c>
      <x:c r="Q2056" s="49" t="n">
        <x:v>0</x:v>
      </x:c>
      <x:c r="R2056" s="50" t="n">
        <x:v>0.2553062678062678</x:v>
      </x:c>
      <x:c r="S2056" s="50" t="n">
        <x:v>0.1990993265993266</x:v>
      </x:c>
      <x:c r="T2056" s="1" t="str">
        <x:v>全場</x:v>
      </x:c>
      <x:c r="U2056" s="49" t="n">
        <x:v>3</x:v>
      </x:c>
    </x:row>
    <x:row r="2057" ht="22" customHeight="1">
      <x:c r="A2057" s="1" t="str">
        <x:v>TOPIXmini</x:v>
      </x:c>
      <x:c r="B2057" s="1" t="str">
        <x:v>W01</x:v>
      </x:c>
      <x:c r="C2057" s="1" t="str">
        <x:v>診断3場</x:v>
      </x:c>
      <x:c r="D2057" s="47" t="n">
        <x:v>20504</x:v>
      </x:c>
      <x:c r="E2057" s="47" t="n">
        <x:v>108579</x:v>
      </x:c>
      <x:c r="F2057" s="47" t="n">
        <x:f>D2057-E2057</x:f>
        <x:v>-88075</x:v>
      </x:c>
      <x:c r="G2057" s="49" t="n">
        <x:v>0</x:v>
      </x:c>
      <x:c r="H2057" s="49" t="n">
        <x:v>1</x:v>
      </x:c>
      <x:c r="I2057" s="47" t="n">
        <x:v>-88075</x:v>
      </x:c>
      <x:c r="J2057" s="49" t="n">
        <x:v>10</x:v>
      </x:c>
      <x:c r="K2057" s="47" t="n">
        <x:v>-88075</x:v>
      </x:c>
      <x:c r="L2057" s="47" t="n">
        <x:v>88075</x:v>
      </x:c>
      <x:c r="M2057" s="48" t="n">
        <x:v>43.95</x:v>
      </x:c>
      <x:c r="N2057" s="48" t="n">
        <x:v>237.06666666666666</x:v>
      </x:c>
      <x:c r="O2057" s="49" t="n">
        <x:v>5</x:v>
      </x:c>
      <x:c r="P2057" s="1" t="str">
        <x:v>過去完了場だけの逐次選択</x:v>
      </x:c>
      <x:c r="Q2057" s="49" t="n">
        <x:v>0</x:v>
      </x:c>
      <x:c r="R2057" s="50" t="n">
        <x:v>0.5644444444444444</x:v>
      </x:c>
      <x:c r="S2057" s="50" t="n">
        <x:v>0.5644444444444444</x:v>
      </x:c>
      <x:c r="T2057" s="1" t="str">
        <x:v>デイ</x:v>
      </x:c>
      <x:c r="U2057" s="49" t="n">
        <x:v>1</x:v>
      </x:c>
    </x:row>
    <x:row r="2058" ht="22" customHeight="1">
      <x:c r="A2058" s="1" t="str">
        <x:v>TOPIXmini</x:v>
      </x:c>
      <x:c r="B2058" s="1" t="str">
        <x:v>W01</x:v>
      </x:c>
      <x:c r="C2058" s="1" t="str">
        <x:v>診断3場</x:v>
      </x:c>
      <x:c r="D2058" s="47" t="n">
        <x:v>117665</x:v>
      </x:c>
      <x:c r="E2058" s="47" t="n">
        <x:v>53166</x:v>
      </x:c>
      <x:c r="F2058" s="47" t="n">
        <x:f>D2058-E2058</x:f>
        <x:v>64499</x:v>
      </x:c>
      <x:c r="G2058" s="49" t="n">
        <x:v>2</x:v>
      </x:c>
      <x:c r="H2058" s="49" t="n">
        <x:v>0</x:v>
      </x:c>
      <x:c r="I2058" s="47" t="n">
        <x:v>0</x:v>
      </x:c>
      <x:c r="J2058" s="49" t="n">
        <x:v>12</x:v>
      </x:c>
      <x:c r="K2058" s="47" t="n">
        <x:v>30085</x:v>
      </x:c>
      <x:c r="L2058" s="47" t="n">
        <x:v>0</x:v>
      </x:c>
      <x:c r="M2058" s="48" t="n">
        <x:v>98.65</x:v>
      </x:c>
      <x:c r="N2058" s="48" t="n">
        <x:v>78.575</x:v>
      </x:c>
      <x:c r="O2058" s="49" t="n">
        <x:v>5</x:v>
      </x:c>
      <x:c r="P2058" s="1" t="str">
        <x:v>過去完了場だけの逐次選択</x:v>
      </x:c>
      <x:c r="Q2058" s="49" t="n">
        <x:v>0</x:v>
      </x:c>
      <x:c r="R2058" s="50" t="n">
        <x:v>0.10073717948717949</x:v>
      </x:c>
      <x:c r="S2058" s="50" t="n">
        <x:v>0.10073717948717949</x:v>
      </x:c>
      <x:c r="T2058" s="1" t="str">
        <x:v>ナイト</x:v>
      </x:c>
      <x:c r="U2058" s="49" t="n">
        <x:v>2</x:v>
      </x:c>
    </x:row>
    <x:row r="2059" ht="22" customHeight="1">
      <x:c r="A2059" s="1" t="str">
        <x:v>TOPIXmini</x:v>
      </x:c>
      <x:c r="B2059" s="1" t="str">
        <x:v>W01</x:v>
      </x:c>
      <x:c r="C2059" s="1" t="str">
        <x:v>診断3場</x:v>
      </x:c>
      <x:c r="D2059" s="47" t="n">
        <x:v>39750</x:v>
      </x:c>
      <x:c r="E2059" s="47" t="n">
        <x:v>9665</x:v>
      </x:c>
      <x:c r="F2059" s="47" t="n">
        <x:f>D2059-E2059</x:f>
        <x:v>30085</x:v>
      </x:c>
      <x:c r="G2059" s="49" t="n">
        <x:v>1</x:v>
      </x:c>
      <x:c r="H2059" s="49" t="n">
        <x:v>0</x:v>
      </x:c>
      <x:c r="I2059" s="47" t="n">
        <x:v>0</x:v>
      </x:c>
      <x:c r="J2059" s="49" t="n">
        <x:v>4</x:v>
      </x:c>
      <x:c r="K2059" s="47" t="n">
        <x:v>30085</x:v>
      </x:c>
      <x:c r="L2059" s="47" t="n">
        <x:v>0</x:v>
      </x:c>
      <x:c r="M2059" s="48" t="n">
        <x:v>125.96666666666667</x:v>
      </x:c>
      <x:c r="N2059" s="48" t="n">
        <x:v>73.66666666666667</x:v>
      </x:c>
      <x:c r="O2059" s="49" t="n">
        <x:v>5</x:v>
      </x:c>
      <x:c r="P2059" s="1" t="str">
        <x:v>過去完了場だけの逐次選択</x:v>
      </x:c>
      <x:c r="Q2059" s="49" t="n">
        <x:v>0</x:v>
      </x:c>
      <x:c r="R2059" s="50" t="n">
        <x:v>0.09444444444444444</x:v>
      </x:c>
      <x:c r="S2059" s="50" t="n">
        <x:v>0.09444444444444446</x:v>
      </x:c>
      <x:c r="T2059" s="1" t="str">
        <x:v>上昇</x:v>
      </x:c>
      <x:c r="U2059" s="49" t="n">
        <x:v>1</x:v>
      </x:c>
    </x:row>
    <x:row r="2060" ht="22" customHeight="1">
      <x:c r="A2060" s="1" t="str">
        <x:v>TOPIXmini</x:v>
      </x:c>
      <x:c r="B2060" s="1" t="str">
        <x:v>W01</x:v>
      </x:c>
      <x:c r="C2060" s="1" t="str">
        <x:v>診断3場</x:v>
      </x:c>
      <x:c r="D2060" s="47" t="n">
        <x:v>98419</x:v>
      </x:c>
      <x:c r="E2060" s="47" t="n">
        <x:v>152080</x:v>
      </x:c>
      <x:c r="F2060" s="47" t="n">
        <x:f>D2060-E2060</x:f>
        <x:v>-53661</x:v>
      </x:c>
      <x:c r="G2060" s="49" t="n">
        <x:v>1</x:v>
      </x:c>
      <x:c r="H2060" s="49" t="n">
        <x:v>1</x:v>
      </x:c>
      <x:c r="I2060" s="47" t="n">
        <x:v>-88075</x:v>
      </x:c>
      <x:c r="J2060" s="49" t="n">
        <x:v>18</x:v>
      </x:c>
      <x:c r="K2060" s="47" t="n">
        <x:v>-88075</x:v>
      </x:c>
      <x:c r="L2060" s="47" t="n">
        <x:v>88075</x:v>
      </x:c>
      <x:c r="M2060" s="48" t="n">
        <x:v>57.641666666666666</x:v>
      </x:c>
      <x:c r="N2060" s="48" t="n">
        <x:v>160.275</x:v>
      </x:c>
      <x:c r="O2060" s="49" t="n">
        <x:v>5</x:v>
      </x:c>
      <x:c r="P2060" s="1" t="str">
        <x:v>過去完了場だけの逐次選択</x:v>
      </x:c>
      <x:c r="Q2060" s="49" t="n">
        <x:v>0</x:v>
      </x:c>
      <x:c r="R2060" s="50" t="n">
        <x:v>0.33573717948717946</x:v>
      </x:c>
      <x:c r="S2060" s="50" t="n">
        <x:v>0.267125</x:v>
      </x:c>
      <x:c r="T2060" s="1" t="str">
        <x:v>下落</x:v>
      </x:c>
      <x:c r="U2060" s="49" t="n">
        <x:v>2</x:v>
      </x:c>
    </x:row>
  </x:sheetData>
  <x:mergeCells>
    <x:mergeCell ref="A4:J4"/>
  </x:mergeCells>
  <x:conditionalFormatting sqref="D7:F30">
    <x:cfRule type="cellIs" dxfId="9" priority="1" operator="lessThan">
      <x:formula>0</x:formula>
    </x:cfRule>
  </x:conditionalFormatting>
  <x:conditionalFormatting sqref="I7:I30">
    <x:cfRule type="cellIs" dxfId="10" priority="2" operator="lessThan">
      <x:formula>0</x:formula>
    </x:cfRule>
  </x:conditionalFormatting>
  <x:conditionalFormatting sqref="K7:L30">
    <x:cfRule type="cellIs" dxfId="11" priority="3" operator="lessThan">
      <x:formula>0</x:formula>
    </x:cfRule>
  </x:conditionalFormatting>
  <x:conditionalFormatting sqref="Q7:Q30">
    <x:cfRule type="cellIs" dxfId="12" priority="4" operator="greaterThan">
      <x:formula>0</x:formula>
    </x:cfRule>
  </x:conditionalFormatting>
  <x:conditionalFormatting sqref="D36:F2060">
    <x:cfRule type="cellIs" dxfId="13" priority="5" operator="lessThan">
      <x:formula>0</x:formula>
    </x:cfRule>
  </x:conditionalFormatting>
  <x:conditionalFormatting sqref="I36:I2060">
    <x:cfRule type="cellIs" dxfId="14" priority="6" operator="lessThan">
      <x:formula>0</x:formula>
    </x:cfRule>
  </x:conditionalFormatting>
  <x:conditionalFormatting sqref="K36:L2060">
    <x:cfRule type="cellIs" dxfId="15" priority="7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823d1c5288da4747"/>
    <x:tablePart xmlns:r="http://schemas.openxmlformats.org/officeDocument/2006/relationships" r:id="R84dd5a3c0d214d79"/>
  </x:tableParts>
</x:worksheet>
</file>

<file path=xl/worksheets/sheet2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  <x:col min="7" max="7" width="12" hidden="0" customWidth="1"/>
    <x:col min="8" max="8" width="20" hidden="0" customWidth="1"/>
    <x:col min="9" max="9" width="20" hidden="0" customWidth="1"/>
    <x:col min="10" max="10" width="2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3" hidden="0" customWidth="1"/>
    <x:col min="16" max="16" width="23" hidden="0" customWidth="1"/>
    <x:col min="17" max="17" width="23" hidden="0" customWidth="1"/>
    <x:col min="18" max="1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4" t="str">
        <x:v>昼夜別の基準手法と収支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7" t="str">
        <x:v>運用IDは昼夜の組み合わせを表します。昼夜それぞれの実行手法を明記します。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7" t="str">
        <x:v>全50場は既知開発です。F1の昼夜構成も全結果を見た比較案で、未見期間の実証ではありません。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7" t="str">
        <x:v>金額は円・手数料後。全期間は昼25場・夜25場、対照は昼24場・夜23場、診断は昼1場・夜2場。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4" customHeight="1">
      <x:c r="A6" s="16" t="str">
        <x:v>商品</x:v>
      </x:c>
      <x:c r="B6" s="17" t="str">
        <x:v>運用ID</x:v>
      </x:c>
      <x:c r="C6" s="17" t="str">
        <x:v>昼夜</x:v>
      </x:c>
      <x:c r="D6" s="17" t="str">
        <x:v>対象</x:v>
      </x:c>
      <x:c r="E6" s="17" t="str">
        <x:v>実行手法</x:v>
      </x:c>
      <x:c r="F6" s="17" t="str">
        <x:v>運用説明</x:v>
      </x:c>
      <x:c r="G6" s="17" t="str">
        <x:v>対象場数</x:v>
      </x:c>
      <x:c r="H6" s="17" t="str">
        <x:v>利益（円）</x:v>
      </x:c>
      <x:c r="I6" s="17" t="str">
        <x:v>損失（円）</x:v>
      </x:c>
      <x:c r="J6" s="17" t="str">
        <x:v>収支（円）</x:v>
      </x:c>
      <x:c r="K6" s="17" t="str">
        <x:v>新規数</x:v>
      </x:c>
      <x:c r="L6" s="17" t="str">
        <x:v>黒字場数</x:v>
      </x:c>
      <x:c r="M6" s="17" t="str">
        <x:v>赤字場数</x:v>
      </x:c>
      <x:c r="N6" s="17" t="str">
        <x:v>無取引場数</x:v>
      </x:c>
      <x:c r="O6" s="17" t="str">
        <x:v>平均赤字（円）</x:v>
      </x:c>
      <x:c r="P6" s="17" t="str">
        <x:v>最大赤字（円）</x:v>
      </x:c>
      <x:c r="Q6" s="17" t="str">
        <x:v>上位3黒字除外（円）</x:v>
      </x:c>
      <x:c r="R6" s="18" t="str">
        <x:v>保有率</x:v>
      </x:c>
    </x:row>
    <x:row r="7" ht="36" customHeight="1">
      <x:c r="A7" s="2" t="str">
        <x:v>日経mini</x:v>
      </x:c>
      <x:c r="B7" s="2" t="str">
        <x:v>B5</x:v>
      </x:c>
      <x:c r="C7" s="2" t="str">
        <x:v>デイ</x:v>
      </x:c>
      <x:c r="D7" s="2" t="str">
        <x:v>全50場</x:v>
      </x:c>
      <x:c r="E7" s="2" t="str">
        <x:v>B5（T06）</x:v>
      </x:c>
      <x:c r="F7" s="23" t="str">
        <x:v>従来基準</x:v>
      </x:c>
      <x:c r="G7" s="22" t="n">
        <x:f>COUNTIFS('日経_B5'!C7:C56,C7)</x:f>
        <x:v>25</x:v>
      </x:c>
      <x:c r="H7" s="20" t="n">
        <x:f>SUMIFS('日経_B5'!D7:D56,'日経_B5'!C7:C56,C7)</x:f>
        <x:v>2930864</x:v>
      </x:c>
      <x:c r="I7" s="20" t="n">
        <x:f>SUMIFS('日経_B5'!E7:E56,'日経_B5'!C7:C56,C7)</x:f>
        <x:v>1361672</x:v>
      </x:c>
      <x:c r="J7" s="20" t="n">
        <x:f>H7-I7</x:f>
        <x:v>1569192</x:v>
      </x:c>
      <x:c r="K7" s="22" t="n">
        <x:f>SUMIFS('日経_B5'!J7:J56,'日経_B5'!C7:C56,C7)</x:f>
        <x:v>62</x:v>
      </x:c>
      <x:c r="L7" s="22" t="n">
        <x:f>COUNTIFS('日経_B5'!F7:F56,"&gt;0",'日経_B5'!C7:C56,C7)</x:f>
        <x:v>16</x:v>
      </x:c>
      <x:c r="M7" s="22" t="n">
        <x:f>COUNTIFS('日経_B5'!F7:F56,"&lt;0",'日経_B5'!C7:C56,C7)</x:f>
        <x:v>9</x:v>
      </x:c>
      <x:c r="N7" s="22" t="n">
        <x:f>COUNTIFS('日経_B5'!J7:J56,"=0",'日経_B5'!C7:C56,C7)</x:f>
        <x:v>0</x:v>
      </x:c>
      <x:c r="O7" s="20" t="n">
        <x:f>IF(M7=0,0,-SUMIFS('日経_B5'!F7:F56,'日経_B5'!F7:F56,"&lt;0",'日経_B5'!C7:C56,C7)/M7)</x:f>
        <x:v>75989.33333333333</x:v>
      </x:c>
      <x:c r="P7" s="20" t="n">
        <x:f>MAX(0,-_xlfn.MINIFS('日経_B5'!F7:F56,'日経_B5'!C7:C56,C7))</x:f>
        <x:v>153304</x:v>
      </x:c>
      <x:c r="Q7" s="20" t="n">
        <x:f>J7-MAX(0,_xlfn.MAXIFS('日経_B5'!F7:F56,'日経_B5'!C7:C56,C7))-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-IF(COUNTIFS('日経_B5'!F7:F56,MAX(0,_xlfn.MAXIFS('日経_B5'!F7:F56,'日経_B5'!C7:C56,C7)),'日経_B5'!C7:C56,C7)&gt;=3,MAX(0,_xlfn.MAXIFS('日経_B5'!F7:F56,'日経_B5'!C7:C56,C7)),IF(COUNTIFS('日経_B5'!F7:F56,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'日経_B5'!C7:C56,C7)+COUNTIFS('日経_B5'!F7:F56,"&gt;"&amp;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'日経_B5'!C7:C56,C7)&gt;=3,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MAX(0,_xlfn.MAXIFS('日経_B5'!F7:F56,'日経_B5'!C7:C56,C7,'日経_B5'!F7:F56,"&lt;"&amp;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))))</x:f>
        <x:v>570112</x:v>
      </x:c>
      <x:c r="R7" s="26" t="n">
        <x:f>AVERAGEIFS('日経_B5'!P7:P56,'日経_B5'!C7:C56,C7)</x:f>
        <x:v>0.3648047619047619</x:v>
      </x:c>
    </x:row>
    <x:row r="8" ht="36" customHeight="1">
      <x:c r="A8" s="2" t="str">
        <x:v>日経mini</x:v>
      </x:c>
      <x:c r="B8" s="2" t="str">
        <x:v>B5</x:v>
      </x:c>
      <x:c r="C8" s="2" t="str">
        <x:v>ナイト</x:v>
      </x:c>
      <x:c r="D8" s="2" t="str">
        <x:v>全50場</x:v>
      </x:c>
      <x:c r="E8" s="2" t="str">
        <x:v>B5（U06）</x:v>
      </x:c>
      <x:c r="F8" s="23" t="str">
        <x:v>従来基準</x:v>
      </x:c>
      <x:c r="G8" s="22" t="n">
        <x:f>COUNTIFS('日経_B5'!C7:C56,C8)</x:f>
        <x:v>25</x:v>
      </x:c>
      <x:c r="H8" s="20" t="n">
        <x:f>SUMIFS('日経_B5'!D7:D56,'日経_B5'!C7:C56,C8)</x:f>
        <x:v>1284324</x:v>
      </x:c>
      <x:c r="I8" s="20" t="n">
        <x:f>SUMIFS('日経_B5'!E7:E56,'日経_B5'!C7:C56,C8)</x:f>
        <x:v>788068</x:v>
      </x:c>
      <x:c r="J8" s="20" t="n">
        <x:f>H8-I8</x:f>
        <x:v>496256</x:v>
      </x:c>
      <x:c r="K8" s="22" t="n">
        <x:f>SUMIFS('日経_B5'!J7:J56,'日経_B5'!C7:C56,C8)</x:f>
        <x:v>46</x:v>
      </x:c>
      <x:c r="L8" s="22" t="n">
        <x:f>COUNTIFS('日経_B5'!F7:F56,"&gt;0",'日経_B5'!C7:C56,C8)</x:f>
        <x:v>16</x:v>
      </x:c>
      <x:c r="M8" s="22" t="n">
        <x:f>COUNTIFS('日経_B5'!F7:F56,"&lt;0",'日経_B5'!C7:C56,C8)</x:f>
        <x:v>9</x:v>
      </x:c>
      <x:c r="N8" s="22" t="n">
        <x:f>COUNTIFS('日経_B5'!J7:J56,"=0",'日経_B5'!C7:C56,C8)</x:f>
        <x:v>0</x:v>
      </x:c>
      <x:c r="O8" s="20" t="n">
        <x:f>IF(M8=0,0,-SUMIFS('日経_B5'!F7:F56,'日経_B5'!F7:F56,"&lt;0",'日経_B5'!C7:C56,C8)/M8)</x:f>
        <x:v>45144.444444444445</x:v>
      </x:c>
      <x:c r="P8" s="20" t="n">
        <x:f>MAX(0,-_xlfn.MINIFS('日経_B5'!F7:F56,'日経_B5'!C7:C56,C8))</x:f>
        <x:v>80768</x:v>
      </x:c>
      <x:c r="Q8" s="20" t="n">
        <x:f>J8-MAX(0,_xlfn.MAXIFS('日経_B5'!F7:F56,'日経_B5'!C7:C56,C8))-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-IF(COUNTIFS('日経_B5'!F7:F56,MAX(0,_xlfn.MAXIFS('日経_B5'!F7:F56,'日経_B5'!C7:C56,C8)),'日経_B5'!C7:C56,C8)&gt;=3,MAX(0,_xlfn.MAXIFS('日経_B5'!F7:F56,'日経_B5'!C7:C56,C8)),IF(COUNTIFS('日経_B5'!F7:F56,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'日経_B5'!C7:C56,C8)+COUNTIFS('日経_B5'!F7:F56,"&gt;"&amp;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'日経_B5'!C7:C56,C8)&gt;=3,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MAX(0,_xlfn.MAXIFS('日経_B5'!F7:F56,'日経_B5'!C7:C56,C8,'日経_B5'!F7:F56,"&lt;"&amp;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))))</x:f>
        <x:v>115098</x:v>
      </x:c>
      <x:c r="R8" s="26" t="n">
        <x:f>AVERAGEIFS('日経_B5'!P7:P56,'日経_B5'!C7:C56,C8)</x:f>
        <x:v>0.030080341880341886</x:v>
      </x:c>
    </x:row>
    <x:row r="9" ht="36" customHeight="1">
      <x:c r="A9" s="2" t="str">
        <x:v>日経mini</x:v>
      </x:c>
      <x:c r="B9" s="2" t="str">
        <x:v>B5</x:v>
      </x:c>
      <x:c r="C9" s="2" t="str">
        <x:v>デイ</x:v>
      </x:c>
      <x:c r="D9" s="2" t="str">
        <x:v>対照47場</x:v>
      </x:c>
      <x:c r="E9" s="2" t="str">
        <x:v>B5（T06）</x:v>
      </x:c>
      <x:c r="F9" s="23" t="str">
        <x:v>従来基準</x:v>
      </x:c>
      <x:c r="G9" s="22" t="n">
        <x:f>COUNTIFS('日経_B5'!C7:C53,C9)</x:f>
        <x:v>24</x:v>
      </x:c>
      <x:c r="H9" s="20" t="n">
        <x:f>SUMIFS('日経_B5'!D7:D53,'日経_B5'!C7:C53,C9)</x:f>
        <x:v>2930864</x:v>
      </x:c>
      <x:c r="I9" s="20" t="n">
        <x:f>SUMIFS('日経_B5'!E7:E53,'日経_B5'!C7:C53,C9)</x:f>
        <x:v>1316288</x:v>
      </x:c>
      <x:c r="J9" s="20" t="n">
        <x:f>H9-I9</x:f>
        <x:v>1614576</x:v>
      </x:c>
      <x:c r="K9" s="22" t="n">
        <x:f>SUMIFS('日経_B5'!J7:J53,'日経_B5'!C7:C53,C9)</x:f>
        <x:v>61</x:v>
      </x:c>
      <x:c r="L9" s="22" t="n">
        <x:f>COUNTIFS('日経_B5'!F7:F53,"&gt;0",'日経_B5'!C7:C53,C9)</x:f>
        <x:v>16</x:v>
      </x:c>
      <x:c r="M9" s="22" t="n">
        <x:f>COUNTIFS('日経_B5'!F7:F53,"&lt;0",'日経_B5'!C7:C53,C9)</x:f>
        <x:v>8</x:v>
      </x:c>
      <x:c r="N9" s="22" t="n">
        <x:f>COUNTIFS('日経_B5'!J7:J53,"=0",'日経_B5'!C7:C53,C9)</x:f>
        <x:v>0</x:v>
      </x:c>
      <x:c r="O9" s="20" t="n">
        <x:f>IF(M9=0,0,-SUMIFS('日経_B5'!F7:F53,'日経_B5'!F7:F53,"&lt;0",'日経_B5'!C7:C53,C9)/M9)</x:f>
        <x:v>79815</x:v>
      </x:c>
      <x:c r="P9" s="20" t="n">
        <x:f>MAX(0,-_xlfn.MINIFS('日経_B5'!F7:F53,'日経_B5'!C7:C53,C9))</x:f>
        <x:v>153304</x:v>
      </x:c>
      <x:c r="Q9" s="20" t="n">
        <x:f>J9-MAX(0,_xlfn.MAXIFS('日経_B5'!F7:F53,'日経_B5'!C7:C53,C9))-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-IF(COUNTIFS('日経_B5'!F7:F53,MAX(0,_xlfn.MAXIFS('日経_B5'!F7:F53,'日経_B5'!C7:C53,C9)),'日経_B5'!C7:C53,C9)&gt;=3,MAX(0,_xlfn.MAXIFS('日経_B5'!F7:F53,'日経_B5'!C7:C53,C9)),IF(COUNTIFS('日経_B5'!F7:F53,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'日経_B5'!C7:C53,C9)+COUNTIFS('日経_B5'!F7:F53,"&gt;"&amp;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'日経_B5'!C7:C53,C9)&gt;=3,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MAX(0,_xlfn.MAXIFS('日経_B5'!F7:F53,'日経_B5'!C7:C53,C9,'日経_B5'!F7:F53,"&lt;"&amp;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))))</x:f>
        <x:v>615496</x:v>
      </x:c>
      <x:c r="R9" s="26" t="n">
        <x:f>AVERAGEIFS('日経_B5'!P7:P53,'日経_B5'!C7:C53,C9)</x:f>
        <x:v>0.37958498677248675</x:v>
      </x:c>
    </x:row>
    <x:row r="10" ht="36" customHeight="1">
      <x:c r="A10" s="2" t="str">
        <x:v>日経mini</x:v>
      </x:c>
      <x:c r="B10" s="2" t="str">
        <x:v>B5</x:v>
      </x:c>
      <x:c r="C10" s="2" t="str">
        <x:v>ナイト</x:v>
      </x:c>
      <x:c r="D10" s="2" t="str">
        <x:v>対照47場</x:v>
      </x:c>
      <x:c r="E10" s="2" t="str">
        <x:v>B5（U06）</x:v>
      </x:c>
      <x:c r="F10" s="23" t="str">
        <x:v>従来基準</x:v>
      </x:c>
      <x:c r="G10" s="22" t="n">
        <x:f>COUNTIFS('日経_B5'!C7:C53,C10)</x:f>
        <x:v>23</x:v>
      </x:c>
      <x:c r="H10" s="20" t="n">
        <x:f>SUMIFS('日経_B5'!D7:D53,'日経_B5'!C7:C53,C10)</x:f>
        <x:v>1179708</x:v>
      </x:c>
      <x:c r="I10" s="20" t="n">
        <x:f>SUMIFS('日経_B5'!E7:E53,'日経_B5'!C7:C53,C10)</x:f>
        <x:v>677300</x:v>
      </x:c>
      <x:c r="J10" s="20" t="n">
        <x:f>H10-I10</x:f>
        <x:v>502408</x:v>
      </x:c>
      <x:c r="K10" s="22" t="n">
        <x:f>SUMIFS('日経_B5'!J7:J53,'日経_B5'!C7:C53,C10)</x:f>
        <x:v>43</x:v>
      </x:c>
      <x:c r="L10" s="22" t="n">
        <x:f>COUNTIFS('日経_B5'!F7:F53,"&gt;0",'日経_B5'!C7:C53,C10)</x:f>
        <x:v>15</x:v>
      </x:c>
      <x:c r="M10" s="22" t="n">
        <x:f>COUNTIFS('日経_B5'!F7:F53,"&lt;0",'日経_B5'!C7:C53,C10)</x:f>
        <x:v>8</x:v>
      </x:c>
      <x:c r="N10" s="22" t="n">
        <x:f>COUNTIFS('日経_B5'!J7:J53,"=0",'日経_B5'!C7:C53,C10)</x:f>
        <x:v>0</x:v>
      </x:c>
      <x:c r="O10" s="20" t="n">
        <x:f>IF(M10=0,0,-SUMIFS('日経_B5'!F7:F53,'日経_B5'!F7:F53,"&lt;0",'日経_B5'!C7:C53,C10)/M10)</x:f>
        <x:v>43864.5</x:v>
      </x:c>
      <x:c r="P10" s="20" t="n">
        <x:f>MAX(0,-_xlfn.MINIFS('日経_B5'!F7:F53,'日経_B5'!C7:C53,C10))</x:f>
        <x:v>80768</x:v>
      </x:c>
      <x:c r="Q10" s="20" t="n">
        <x:f>J10-MAX(0,_xlfn.MAXIFS('日経_B5'!F7:F53,'日経_B5'!C7:C53,C10))-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-IF(COUNTIFS('日経_B5'!F7:F53,MAX(0,_xlfn.MAXIFS('日経_B5'!F7:F53,'日経_B5'!C7:C53,C10)),'日経_B5'!C7:C53,C10)&gt;=3,MAX(0,_xlfn.MAXIFS('日経_B5'!F7:F53,'日経_B5'!C7:C53,C10)),IF(COUNTIFS('日経_B5'!F7:F53,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'日経_B5'!C7:C53,C10)+COUNTIFS('日経_B5'!F7:F53,"&gt;"&amp;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'日経_B5'!C7:C53,C10)&gt;=3,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MAX(0,_xlfn.MAXIFS('日経_B5'!F7:F53,'日経_B5'!C7:C53,C10,'日経_B5'!F7:F53,"&lt;"&amp;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))))</x:f>
        <x:v>121250</x:v>
      </x:c>
      <x:c r="R10" s="26" t="n">
        <x:f>AVERAGEIFS('日経_B5'!P7:P53,'日経_B5'!C7:C53,C10)</x:f>
        <x:v>0.031377740616871055</x:v>
      </x:c>
    </x:row>
    <x:row r="11" ht="36" customHeight="1">
      <x:c r="A11" s="2" t="str">
        <x:v>日経mini</x:v>
      </x:c>
      <x:c r="B11" s="2" t="str">
        <x:v>B5</x:v>
      </x:c>
      <x:c r="C11" s="2" t="str">
        <x:v>デイ</x:v>
      </x:c>
      <x:c r="D11" s="2" t="str">
        <x:v>診断3場</x:v>
      </x:c>
      <x:c r="E11" s="2" t="str">
        <x:v>B5（T06）</x:v>
      </x:c>
      <x:c r="F11" s="23" t="str">
        <x:v>従来基準</x:v>
      </x:c>
      <x:c r="G11" s="22" t="n">
        <x:f>COUNTIFS('日経_B5'!C54:C56,C11)</x:f>
        <x:v>1</x:v>
      </x:c>
      <x:c r="H11" s="20" t="n">
        <x:f>SUMIFS('日経_B5'!D54:D56,'日経_B5'!C54:C56,C11)</x:f>
        <x:v>0</x:v>
      </x:c>
      <x:c r="I11" s="20" t="n">
        <x:f>SUMIFS('日経_B5'!E54:E56,'日経_B5'!C54:C56,C11)</x:f>
        <x:v>45384</x:v>
      </x:c>
      <x:c r="J11" s="20" t="n">
        <x:f>H11-I11</x:f>
        <x:v>-45384</x:v>
      </x:c>
      <x:c r="K11" s="22" t="n">
        <x:f>SUMIFS('日経_B5'!J54:J56,'日経_B5'!C54:C56,C11)</x:f>
        <x:v>1</x:v>
      </x:c>
      <x:c r="L11" s="22" t="n">
        <x:f>COUNTIFS('日経_B5'!F54:F56,"&gt;0",'日経_B5'!C54:C56,C11)</x:f>
        <x:v>0</x:v>
      </x:c>
      <x:c r="M11" s="22" t="n">
        <x:f>COUNTIFS('日経_B5'!F54:F56,"&lt;0",'日経_B5'!C54:C56,C11)</x:f>
        <x:v>1</x:v>
      </x:c>
      <x:c r="N11" s="22" t="n">
        <x:f>COUNTIFS('日経_B5'!J54:J56,"=0",'日経_B5'!C54:C56,C11)</x:f>
        <x:v>0</x:v>
      </x:c>
      <x:c r="O11" s="20" t="n">
        <x:f>IF(M11=0,0,-SUMIFS('日経_B5'!F54:F56,'日経_B5'!F54:F56,"&lt;0",'日経_B5'!C54:C56,C11)/M11)</x:f>
        <x:v>45384</x:v>
      </x:c>
      <x:c r="P11" s="20" t="n">
        <x:f>MAX(0,-_xlfn.MINIFS('日経_B5'!F54:F56,'日経_B5'!C54:C56,C11))</x:f>
        <x:v>45384</x:v>
      </x:c>
      <x:c r="Q11" s="20" t="n">
        <x:f>J11-MAX(0,_xlfn.MAXIFS('日経_B5'!F54:F56,'日経_B5'!C54:C56,C11))-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-IF(COUNTIFS('日経_B5'!F54:F56,MAX(0,_xlfn.MAXIFS('日経_B5'!F54:F56,'日経_B5'!C54:C56,C11)),'日経_B5'!C54:C56,C11)&gt;=3,MAX(0,_xlfn.MAXIFS('日経_B5'!F54:F56,'日経_B5'!C54:C56,C11)),IF(COUNTIFS('日経_B5'!F54:F56,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'日経_B5'!C54:C56,C11)+COUNTIFS('日経_B5'!F54:F56,"&gt;"&amp;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'日経_B5'!C54:C56,C11)&gt;=3,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MAX(0,_xlfn.MAXIFS('日経_B5'!F54:F56,'日経_B5'!C54:C56,C11,'日経_B5'!F54:F56,"&lt;"&amp;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))))</x:f>
        <x:v>-45384</x:v>
      </x:c>
      <x:c r="R11" s="26" t="n">
        <x:f>AVERAGEIFS('日経_B5'!P54:P56,'日経_B5'!C54:C56,C11)</x:f>
        <x:v>0.01007936507936508</x:v>
      </x:c>
    </x:row>
    <x:row r="12" ht="36" customHeight="1">
      <x:c r="A12" s="2" t="str">
        <x:v>日経mini</x:v>
      </x:c>
      <x:c r="B12" s="2" t="str">
        <x:v>B5</x:v>
      </x:c>
      <x:c r="C12" s="2" t="str">
        <x:v>ナイト</x:v>
      </x:c>
      <x:c r="D12" s="2" t="str">
        <x:v>診断3場</x:v>
      </x:c>
      <x:c r="E12" s="2" t="str">
        <x:v>B5（U06）</x:v>
      </x:c>
      <x:c r="F12" s="23" t="str">
        <x:v>従来基準</x:v>
      </x:c>
      <x:c r="G12" s="22" t="n">
        <x:f>COUNTIFS('日経_B5'!C54:C56,C12)</x:f>
        <x:v>2</x:v>
      </x:c>
      <x:c r="H12" s="20" t="n">
        <x:f>SUMIFS('日経_B5'!D54:D56,'日経_B5'!C54:C56,C12)</x:f>
        <x:v>104616</x:v>
      </x:c>
      <x:c r="I12" s="20" t="n">
        <x:f>SUMIFS('日経_B5'!E54:E56,'日経_B5'!C54:C56,C12)</x:f>
        <x:v>110768</x:v>
      </x:c>
      <x:c r="J12" s="20" t="n">
        <x:f>H12-I12</x:f>
        <x:v>-6152</x:v>
      </x:c>
      <x:c r="K12" s="22" t="n">
        <x:f>SUMIFS('日経_B5'!J54:J56,'日経_B5'!C54:C56,C12)</x:f>
        <x:v>3</x:v>
      </x:c>
      <x:c r="L12" s="22" t="n">
        <x:f>COUNTIFS('日経_B5'!F54:F56,"&gt;0",'日経_B5'!C54:C56,C12)</x:f>
        <x:v>1</x:v>
      </x:c>
      <x:c r="M12" s="22" t="n">
        <x:f>COUNTIFS('日経_B5'!F54:F56,"&lt;0",'日経_B5'!C54:C56,C12)</x:f>
        <x:v>1</x:v>
      </x:c>
      <x:c r="N12" s="22" t="n">
        <x:f>COUNTIFS('日経_B5'!J54:J56,"=0",'日経_B5'!C54:C56,C12)</x:f>
        <x:v>0</x:v>
      </x:c>
      <x:c r="O12" s="20" t="n">
        <x:f>IF(M12=0,0,-SUMIFS('日経_B5'!F54:F56,'日経_B5'!F54:F56,"&lt;0",'日経_B5'!C54:C56,C12)/M12)</x:f>
        <x:v>55384</x:v>
      </x:c>
      <x:c r="P12" s="20" t="n">
        <x:f>MAX(0,-_xlfn.MINIFS('日経_B5'!F54:F56,'日経_B5'!C54:C56,C12))</x:f>
        <x:v>55384</x:v>
      </x:c>
      <x:c r="Q12" s="20" t="n">
        <x:f>J12-MAX(0,_xlfn.MAXIFS('日経_B5'!F54:F56,'日経_B5'!C54:C56,C12))-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-IF(COUNTIFS('日経_B5'!F54:F56,MAX(0,_xlfn.MAXIFS('日経_B5'!F54:F56,'日経_B5'!C54:C56,C12)),'日経_B5'!C54:C56,C12)&gt;=3,MAX(0,_xlfn.MAXIFS('日経_B5'!F54:F56,'日経_B5'!C54:C56,C12)),IF(COUNTIFS('日経_B5'!F54:F56,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'日経_B5'!C54:C56,C12)+COUNTIFS('日経_B5'!F54:F56,"&gt;"&amp;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'日経_B5'!C54:C56,C12)&gt;=3,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MAX(0,_xlfn.MAXIFS('日経_B5'!F54:F56,'日経_B5'!C54:C56,C12,'日経_B5'!F54:F56,"&lt;"&amp;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))))</x:f>
        <x:v>-55384</x:v>
      </x:c>
      <x:c r="R12" s="26" t="n">
        <x:f>AVERAGEIFS('日経_B5'!P54:P56,'日経_B5'!C54:C56,C12)</x:f>
        <x:v>0.01516025641025641</x:v>
      </x:c>
    </x:row>
    <x:row r="13" ht="36" customHeight="1">
      <x:c r="A13" s="2" t="str">
        <x:v>日経mini</x:v>
      </x:c>
      <x:c r="B13" s="2" t="str">
        <x:v>M1</x:v>
      </x:c>
      <x:c r="C13" s="2" t="str">
        <x:v>デイ</x:v>
      </x:c>
      <x:c r="D13" s="2" t="str">
        <x:v>全50場</x:v>
      </x:c>
      <x:c r="E13" s="2" t="str">
        <x:v>M1（G02）</x:v>
      </x:c>
      <x:c r="F13" s="23" t="str">
        <x:v>00141の昼夜別固定案</x:v>
      </x:c>
      <x:c r="G13" s="22" t="n">
        <x:f>COUNTIFS('日経_M1'!C7:C56,C13)</x:f>
        <x:v>25</x:v>
      </x:c>
      <x:c r="H13" s="20" t="n">
        <x:f>SUMIFS('日経_M1'!D7:D56,'日経_M1'!C7:C56,C13)</x:f>
        <x:v>3960990</x:v>
      </x:c>
      <x:c r="I13" s="20" t="n">
        <x:f>SUMIFS('日経_M1'!E7:E56,'日経_M1'!C7:C56,C13)</x:f>
        <x:v>2240208</x:v>
      </x:c>
      <x:c r="J13" s="20" t="n">
        <x:f>H13-I13</x:f>
        <x:v>1720782</x:v>
      </x:c>
      <x:c r="K13" s="22" t="n">
        <x:f>SUMIFS('日経_M1'!J7:J56,'日経_M1'!C7:C56,C13)</x:f>
        <x:v>182</x:v>
      </x:c>
      <x:c r="L13" s="22" t="n">
        <x:f>COUNTIFS('日経_M1'!F7:F56,"&gt;0",'日経_M1'!C7:C56,C13)</x:f>
        <x:v>16</x:v>
      </x:c>
      <x:c r="M13" s="22" t="n">
        <x:f>COUNTIFS('日経_M1'!F7:F56,"&lt;0",'日経_M1'!C7:C56,C13)</x:f>
        <x:v>9</x:v>
      </x:c>
      <x:c r="N13" s="22" t="n">
        <x:f>COUNTIFS('日経_M1'!J7:J56,"=0",'日経_M1'!C7:C56,C13)</x:f>
        <x:v>0</x:v>
      </x:c>
      <x:c r="O13" s="20" t="n">
        <x:f>IF(M13=0,0,-SUMIFS('日経_M1'!F7:F56,'日経_M1'!F7:F56,"&lt;0",'日経_M1'!C7:C56,C13)/M13)</x:f>
        <x:v>61278</x:v>
      </x:c>
      <x:c r="P13" s="20" t="n">
        <x:f>MAX(0,-_xlfn.MINIFS('日経_M1'!F7:F56,'日経_M1'!C7:C56,C13))</x:f>
        <x:v>106152</x:v>
      </x:c>
      <x:c r="Q13" s="20" t="n">
        <x:f>J13-MAX(0,_xlfn.MAXIFS('日経_M1'!F7:F56,'日経_M1'!C7:C56,C13))-IF(COUNTIFS('日経_M1'!F7:F56,MAX(0,_xlfn.MAXIFS('日経_M1'!F7:F56,'日経_M1'!C7:C56,C13)),'日経_M1'!C7:C56,C13)&gt;=2,MAX(0,_xlfn.MAXIFS('日経_M1'!F7:F56,'日経_M1'!C7:C56,C13)),MAX(0,_xlfn.MAXIFS('日経_M1'!F7:F56,'日経_M1'!C7:C56,C13,'日経_M1'!F7:F56,"&lt;"&amp;MAX(0,_xlfn.MAXIFS('日経_M1'!F7:F56,'日経_M1'!C7:C56,C13)))))-IF(COUNTIFS('日経_M1'!F7:F56,MAX(0,_xlfn.MAXIFS('日経_M1'!F7:F56,'日経_M1'!C7:C56,C13)),'日経_M1'!C7:C56,C13)&gt;=3,MAX(0,_xlfn.MAXIFS('日経_M1'!F7:F56,'日経_M1'!C7:C56,C13)),IF(COUNTIFS('日経_M1'!F7:F56,IF(COUNTIFS('日経_M1'!F7:F56,MAX(0,_xlfn.MAXIFS('日経_M1'!F7:F56,'日経_M1'!C7:C56,C13)),'日経_M1'!C7:C56,C13)&gt;=2,MAX(0,_xlfn.MAXIFS('日経_M1'!F7:F56,'日経_M1'!C7:C56,C13)),MAX(0,_xlfn.MAXIFS('日経_M1'!F7:F56,'日経_M1'!C7:C56,C13,'日経_M1'!F7:F56,"&lt;"&amp;MAX(0,_xlfn.MAXIFS('日経_M1'!F7:F56,'日経_M1'!C7:C56,C13))))),'日経_M1'!C7:C56,C13)+COUNTIFS('日経_M1'!F7:F56,"&gt;"&amp;IF(COUNTIFS('日経_M1'!F7:F56,MAX(0,_xlfn.MAXIFS('日経_M1'!F7:F56,'日経_M1'!C7:C56,C13)),'日経_M1'!C7:C56,C13)&gt;=2,MAX(0,_xlfn.MAXIFS('日経_M1'!F7:F56,'日経_M1'!C7:C56,C13)),MAX(0,_xlfn.MAXIFS('日経_M1'!F7:F56,'日経_M1'!C7:C56,C13,'日経_M1'!F7:F56,"&lt;"&amp;MAX(0,_xlfn.MAXIFS('日経_M1'!F7:F56,'日経_M1'!C7:C56,C13))))),'日経_M1'!C7:C56,C13)&gt;=3,IF(COUNTIFS('日経_M1'!F7:F56,MAX(0,_xlfn.MAXIFS('日経_M1'!F7:F56,'日経_M1'!C7:C56,C13)),'日経_M1'!C7:C56,C13)&gt;=2,MAX(0,_xlfn.MAXIFS('日経_M1'!F7:F56,'日経_M1'!C7:C56,C13)),MAX(0,_xlfn.MAXIFS('日経_M1'!F7:F56,'日経_M1'!C7:C56,C13,'日経_M1'!F7:F56,"&lt;"&amp;MAX(0,_xlfn.MAXIFS('日経_M1'!F7:F56,'日経_M1'!C7:C56,C13))))),MAX(0,_xlfn.MAXIFS('日経_M1'!F7:F56,'日経_M1'!C7:C56,C13,'日経_M1'!F7:F56,"&lt;"&amp;IF(COUNTIFS('日経_M1'!F7:F56,MAX(0,_xlfn.MAXIFS('日経_M1'!F7:F56,'日経_M1'!C7:C56,C13)),'日経_M1'!C7:C56,C13)&gt;=2,MAX(0,_xlfn.MAXIFS('日経_M1'!F7:F56,'日経_M1'!C7:C56,C13)),MAX(0,_xlfn.MAXIFS('日経_M1'!F7:F56,'日経_M1'!C7:C56,C13,'日経_M1'!F7:F56,"&lt;"&amp;MAX(0,_xlfn.MAXIFS('日経_M1'!F7:F56,'日経_M1'!C7:C56,C13)))))))))</x:f>
        <x:v>588464</x:v>
      </x:c>
      <x:c r="R13" s="26" t="n">
        <x:f>AVERAGEIFS('日経_M1'!P7:P56,'日経_M1'!C7:C56,C13)</x:f>
        <x:v>0.5321126984126985</x:v>
      </x:c>
    </x:row>
    <x:row r="14" ht="36" customHeight="1">
      <x:c r="A14" s="2" t="str">
        <x:v>日経mini</x:v>
      </x:c>
      <x:c r="B14" s="2" t="str">
        <x:v>M1</x:v>
      </x:c>
      <x:c r="C14" s="2" t="str">
        <x:v>ナイト</x:v>
      </x:c>
      <x:c r="D14" s="2" t="str">
        <x:v>全50場</x:v>
      </x:c>
      <x:c r="E14" s="2" t="str">
        <x:v>M1（G10）</x:v>
      </x:c>
      <x:c r="F14" s="23" t="str">
        <x:v>00141の昼夜別固定案</x:v>
      </x:c>
      <x:c r="G14" s="22" t="n">
        <x:f>COUNTIFS('日経_M1'!C7:C56,C14)</x:f>
        <x:v>25</x:v>
      </x:c>
      <x:c r="H14" s="20" t="n">
        <x:f>SUMIFS('日経_M1'!D7:D56,'日経_M1'!C7:C56,C14)</x:f>
        <x:v>1931648</x:v>
      </x:c>
      <x:c r="I14" s="20" t="n">
        <x:f>SUMIFS('日経_M1'!E7:E56,'日経_M1'!C7:C56,C14)</x:f>
        <x:v>966912</x:v>
      </x:c>
      <x:c r="J14" s="20" t="n">
        <x:f>H14-I14</x:f>
        <x:v>964736</x:v>
      </x:c>
      <x:c r="K14" s="22" t="n">
        <x:f>SUMIFS('日経_M1'!J7:J56,'日経_M1'!C7:C56,C14)</x:f>
        <x:v>87</x:v>
      </x:c>
      <x:c r="L14" s="22" t="n">
        <x:f>COUNTIFS('日経_M1'!F7:F56,"&gt;0",'日経_M1'!C7:C56,C14)</x:f>
        <x:v>18</x:v>
      </x:c>
      <x:c r="M14" s="22" t="n">
        <x:f>COUNTIFS('日経_M1'!F7:F56,"&lt;0",'日経_M1'!C7:C56,C14)</x:f>
        <x:v>7</x:v>
      </x:c>
      <x:c r="N14" s="22" t="n">
        <x:f>COUNTIFS('日経_M1'!J7:J56,"=0",'日経_M1'!C7:C56,C14)</x:f>
        <x:v>0</x:v>
      </x:c>
      <x:c r="O14" s="20" t="n">
        <x:f>IF(M14=0,0,-SUMIFS('日経_M1'!F7:F56,'日経_M1'!F7:F56,"&lt;0",'日経_M1'!C7:C56,C14)/M14)</x:f>
        <x:v>56636.57142857143</x:v>
      </x:c>
      <x:c r="P14" s="20" t="n">
        <x:f>MAX(0,-_xlfn.MINIFS('日経_M1'!F7:F56,'日経_M1'!C7:C56,C14))</x:f>
        <x:v>116462</x:v>
      </x:c>
      <x:c r="Q14" s="20" t="n">
        <x:f>J14-MAX(0,_xlfn.MAXIFS('日経_M1'!F7:F56,'日経_M1'!C7:C56,C14))-IF(COUNTIFS('日経_M1'!F7:F56,MAX(0,_xlfn.MAXIFS('日経_M1'!F7:F56,'日経_M1'!C7:C56,C14)),'日経_M1'!C7:C56,C14)&gt;=2,MAX(0,_xlfn.MAXIFS('日経_M1'!F7:F56,'日経_M1'!C7:C56,C14)),MAX(0,_xlfn.MAXIFS('日経_M1'!F7:F56,'日経_M1'!C7:C56,C14,'日経_M1'!F7:F56,"&lt;"&amp;MAX(0,_xlfn.MAXIFS('日経_M1'!F7:F56,'日経_M1'!C7:C56,C14)))))-IF(COUNTIFS('日経_M1'!F7:F56,MAX(0,_xlfn.MAXIFS('日経_M1'!F7:F56,'日経_M1'!C7:C56,C14)),'日経_M1'!C7:C56,C14)&gt;=3,MAX(0,_xlfn.MAXIFS('日経_M1'!F7:F56,'日経_M1'!C7:C56,C14)),IF(COUNTIFS('日経_M1'!F7:F56,IF(COUNTIFS('日経_M1'!F7:F56,MAX(0,_xlfn.MAXIFS('日経_M1'!F7:F56,'日経_M1'!C7:C56,C14)),'日経_M1'!C7:C56,C14)&gt;=2,MAX(0,_xlfn.MAXIFS('日経_M1'!F7:F56,'日経_M1'!C7:C56,C14)),MAX(0,_xlfn.MAXIFS('日経_M1'!F7:F56,'日経_M1'!C7:C56,C14,'日経_M1'!F7:F56,"&lt;"&amp;MAX(0,_xlfn.MAXIFS('日経_M1'!F7:F56,'日経_M1'!C7:C56,C14))))),'日経_M1'!C7:C56,C14)+COUNTIFS('日経_M1'!F7:F56,"&gt;"&amp;IF(COUNTIFS('日経_M1'!F7:F56,MAX(0,_xlfn.MAXIFS('日経_M1'!F7:F56,'日経_M1'!C7:C56,C14)),'日経_M1'!C7:C56,C14)&gt;=2,MAX(0,_xlfn.MAXIFS('日経_M1'!F7:F56,'日経_M1'!C7:C56,C14)),MAX(0,_xlfn.MAXIFS('日経_M1'!F7:F56,'日経_M1'!C7:C56,C14,'日経_M1'!F7:F56,"&lt;"&amp;MAX(0,_xlfn.MAXIFS('日経_M1'!F7:F56,'日経_M1'!C7:C56,C14))))),'日経_M1'!C7:C56,C14)&gt;=3,IF(COUNTIFS('日経_M1'!F7:F56,MAX(0,_xlfn.MAXIFS('日経_M1'!F7:F56,'日経_M1'!C7:C56,C14)),'日経_M1'!C7:C56,C14)&gt;=2,MAX(0,_xlfn.MAXIFS('日経_M1'!F7:F56,'日経_M1'!C7:C56,C14)),MAX(0,_xlfn.MAXIFS('日経_M1'!F7:F56,'日経_M1'!C7:C56,C14,'日経_M1'!F7:F56,"&lt;"&amp;MAX(0,_xlfn.MAXIFS('日経_M1'!F7:F56,'日経_M1'!C7:C56,C14))))),MAX(0,_xlfn.MAXIFS('日経_M1'!F7:F56,'日経_M1'!C7:C56,C14,'日経_M1'!F7:F56,"&lt;"&amp;IF(COUNTIFS('日経_M1'!F7:F56,MAX(0,_xlfn.MAXIFS('日経_M1'!F7:F56,'日経_M1'!C7:C56,C14)),'日経_M1'!C7:C56,C14)&gt;=2,MAX(0,_xlfn.MAXIFS('日経_M1'!F7:F56,'日経_M1'!C7:C56,C14)),MAX(0,_xlfn.MAXIFS('日経_M1'!F7:F56,'日経_M1'!C7:C56,C14,'日経_M1'!F7:F56,"&lt;"&amp;MAX(0,_xlfn.MAXIFS('日経_M1'!F7:F56,'日経_M1'!C7:C56,C14)))))))))</x:f>
        <x:v>330958</x:v>
      </x:c>
      <x:c r="R14" s="26" t="n">
        <x:f>AVERAGEIFS('日経_M1'!P7:P56,'日経_M1'!C7:C56,C14)</x:f>
        <x:v>0.04475641025641025</x:v>
      </x:c>
    </x:row>
    <x:row r="15" ht="36" customHeight="1">
      <x:c r="A15" s="2" t="str">
        <x:v>日経mini</x:v>
      </x:c>
      <x:c r="B15" s="2" t="str">
        <x:v>M1</x:v>
      </x:c>
      <x:c r="C15" s="2" t="str">
        <x:v>デイ</x:v>
      </x:c>
      <x:c r="D15" s="2" t="str">
        <x:v>対照47場</x:v>
      </x:c>
      <x:c r="E15" s="2" t="str">
        <x:v>M1（G02）</x:v>
      </x:c>
      <x:c r="F15" s="23" t="str">
        <x:v>00141の昼夜別固定案</x:v>
      </x:c>
      <x:c r="G15" s="22" t="n">
        <x:f>COUNTIFS('日経_M1'!C7:C53,C15)</x:f>
        <x:v>24</x:v>
      </x:c>
      <x:c r="H15" s="20" t="n">
        <x:f>SUMIFS('日経_M1'!D7:D53,'日経_M1'!C7:C53,C15)</x:f>
        <x:v>3884372</x:v>
      </x:c>
      <x:c r="I15" s="20" t="n">
        <x:f>SUMIFS('日経_M1'!E7:E53,'日経_M1'!C7:C53,C15)</x:f>
        <x:v>2140516</x:v>
      </x:c>
      <x:c r="J15" s="20" t="n">
        <x:f>H15-I15</x:f>
        <x:v>1743856</x:v>
      </x:c>
      <x:c r="K15" s="22" t="n">
        <x:f>SUMIFS('日経_M1'!J7:J53,'日経_M1'!C7:C53,C15)</x:f>
        <x:v>175</x:v>
      </x:c>
      <x:c r="L15" s="22" t="n">
        <x:f>COUNTIFS('日経_M1'!F7:F53,"&gt;0",'日経_M1'!C7:C53,C15)</x:f>
        <x:v>16</x:v>
      </x:c>
      <x:c r="M15" s="22" t="n">
        <x:f>COUNTIFS('日経_M1'!F7:F53,"&lt;0",'日経_M1'!C7:C53,C15)</x:f>
        <x:v>8</x:v>
      </x:c>
      <x:c r="N15" s="22" t="n">
        <x:f>COUNTIFS('日経_M1'!J7:J53,"=0",'日経_M1'!C7:C53,C15)</x:f>
        <x:v>0</x:v>
      </x:c>
      <x:c r="O15" s="20" t="n">
        <x:f>IF(M15=0,0,-SUMIFS('日経_M1'!F7:F53,'日経_M1'!F7:F53,"&lt;0",'日経_M1'!C7:C53,C15)/M15)</x:f>
        <x:v>66053.5</x:v>
      </x:c>
      <x:c r="P15" s="20" t="n">
        <x:f>MAX(0,-_xlfn.MINIFS('日経_M1'!F7:F53,'日経_M1'!C7:C53,C15))</x:f>
        <x:v>106152</x:v>
      </x:c>
      <x:c r="Q15" s="20" t="n">
        <x:f>J15-MAX(0,_xlfn.MAXIFS('日経_M1'!F7:F53,'日経_M1'!C7:C53,C15))-IF(COUNTIFS('日経_M1'!F7:F53,MAX(0,_xlfn.MAXIFS('日経_M1'!F7:F53,'日経_M1'!C7:C53,C15)),'日経_M1'!C7:C53,C15)&gt;=2,MAX(0,_xlfn.MAXIFS('日経_M1'!F7:F53,'日経_M1'!C7:C53,C15)),MAX(0,_xlfn.MAXIFS('日経_M1'!F7:F53,'日経_M1'!C7:C53,C15,'日経_M1'!F7:F53,"&lt;"&amp;MAX(0,_xlfn.MAXIFS('日経_M1'!F7:F53,'日経_M1'!C7:C53,C15)))))-IF(COUNTIFS('日経_M1'!F7:F53,MAX(0,_xlfn.MAXIFS('日経_M1'!F7:F53,'日経_M1'!C7:C53,C15)),'日経_M1'!C7:C53,C15)&gt;=3,MAX(0,_xlfn.MAXIFS('日経_M1'!F7:F53,'日経_M1'!C7:C53,C15)),IF(COUNTIFS('日経_M1'!F7:F53,IF(COUNTIFS('日経_M1'!F7:F53,MAX(0,_xlfn.MAXIFS('日経_M1'!F7:F53,'日経_M1'!C7:C53,C15)),'日経_M1'!C7:C53,C15)&gt;=2,MAX(0,_xlfn.MAXIFS('日経_M1'!F7:F53,'日経_M1'!C7:C53,C15)),MAX(0,_xlfn.MAXIFS('日経_M1'!F7:F53,'日経_M1'!C7:C53,C15,'日経_M1'!F7:F53,"&lt;"&amp;MAX(0,_xlfn.MAXIFS('日経_M1'!F7:F53,'日経_M1'!C7:C53,C15))))),'日経_M1'!C7:C53,C15)+COUNTIFS('日経_M1'!F7:F53,"&gt;"&amp;IF(COUNTIFS('日経_M1'!F7:F53,MAX(0,_xlfn.MAXIFS('日経_M1'!F7:F53,'日経_M1'!C7:C53,C15)),'日経_M1'!C7:C53,C15)&gt;=2,MAX(0,_xlfn.MAXIFS('日経_M1'!F7:F53,'日経_M1'!C7:C53,C15)),MAX(0,_xlfn.MAXIFS('日経_M1'!F7:F53,'日経_M1'!C7:C53,C15,'日経_M1'!F7:F53,"&lt;"&amp;MAX(0,_xlfn.MAXIFS('日経_M1'!F7:F53,'日経_M1'!C7:C53,C15))))),'日経_M1'!C7:C53,C15)&gt;=3,IF(COUNTIFS('日経_M1'!F7:F53,MAX(0,_xlfn.MAXIFS('日経_M1'!F7:F53,'日経_M1'!C7:C53,C15)),'日経_M1'!C7:C53,C15)&gt;=2,MAX(0,_xlfn.MAXIFS('日経_M1'!F7:F53,'日経_M1'!C7:C53,C15)),MAX(0,_xlfn.MAXIFS('日経_M1'!F7:F53,'日経_M1'!C7:C53,C15,'日経_M1'!F7:F53,"&lt;"&amp;MAX(0,_xlfn.MAXIFS('日経_M1'!F7:F53,'日経_M1'!C7:C53,C15))))),MAX(0,_xlfn.MAXIFS('日経_M1'!F7:F53,'日経_M1'!C7:C53,C15,'日経_M1'!F7:F53,"&lt;"&amp;IF(COUNTIFS('日経_M1'!F7:F53,MAX(0,_xlfn.MAXIFS('日経_M1'!F7:F53,'日経_M1'!C7:C53,C15)),'日経_M1'!C7:C53,C15)&gt;=2,MAX(0,_xlfn.MAXIFS('日経_M1'!F7:F53,'日経_M1'!C7:C53,C15)),MAX(0,_xlfn.MAXIFS('日経_M1'!F7:F53,'日経_M1'!C7:C53,C15,'日経_M1'!F7:F53,"&lt;"&amp;MAX(0,_xlfn.MAXIFS('日経_M1'!F7:F53,'日経_M1'!C7:C53,C15)))))))))</x:f>
        <x:v>611538</x:v>
      </x:c>
      <x:c r="R15" s="26" t="n">
        <x:f>AVERAGEIFS('日経_M1'!P7:P53,'日経_M1'!C7:C53,C15)</x:f>
        <x:v>0.5326752645502646</x:v>
      </x:c>
    </x:row>
    <x:row r="16" ht="36" customHeight="1">
      <x:c r="A16" s="2" t="str">
        <x:v>日経mini</x:v>
      </x:c>
      <x:c r="B16" s="2" t="str">
        <x:v>M1</x:v>
      </x:c>
      <x:c r="C16" s="2" t="str">
        <x:v>ナイト</x:v>
      </x:c>
      <x:c r="D16" s="2" t="str">
        <x:v>対照47場</x:v>
      </x:c>
      <x:c r="E16" s="2" t="str">
        <x:v>M1（G10）</x:v>
      </x:c>
      <x:c r="F16" s="23" t="str">
        <x:v>00141の昼夜別固定案</x:v>
      </x:c>
      <x:c r="G16" s="22" t="n">
        <x:f>COUNTIFS('日経_M1'!C7:C53,C16)</x:f>
        <x:v>23</x:v>
      </x:c>
      <x:c r="H16" s="20" t="n">
        <x:f>SUMIFS('日経_M1'!D7:D53,'日経_M1'!C7:C53,C16)</x:f>
        <x:v>1825186</x:v>
      </x:c>
      <x:c r="I16" s="20" t="n">
        <x:f>SUMIFS('日経_M1'!E7:E53,'日経_M1'!C7:C53,C16)</x:f>
        <x:v>849990</x:v>
      </x:c>
      <x:c r="J16" s="20" t="n">
        <x:f>H16-I16</x:f>
        <x:v>975196</x:v>
      </x:c>
      <x:c r="K16" s="22" t="n">
        <x:f>SUMIFS('日経_M1'!J7:J53,'日経_M1'!C7:C53,C16)</x:f>
        <x:v>82</x:v>
      </x:c>
      <x:c r="L16" s="22" t="n">
        <x:f>COUNTIFS('日経_M1'!F7:F53,"&gt;0",'日経_M1'!C7:C53,C16)</x:f>
        <x:v>17</x:v>
      </x:c>
      <x:c r="M16" s="22" t="n">
        <x:f>COUNTIFS('日経_M1'!F7:F53,"&lt;0",'日経_M1'!C7:C53,C16)</x:f>
        <x:v>6</x:v>
      </x:c>
      <x:c r="N16" s="22" t="n">
        <x:f>COUNTIFS('日経_M1'!J7:J53,"=0",'日経_M1'!C7:C53,C16)</x:f>
        <x:v>0</x:v>
      </x:c>
      <x:c r="O16" s="20" t="n">
        <x:f>IF(M16=0,0,-SUMIFS('日経_M1'!F7:F53,'日経_M1'!F7:F53,"&lt;0",'日経_M1'!C7:C53,C16)/M16)</x:f>
        <x:v>55819.666666666664</x:v>
      </x:c>
      <x:c r="P16" s="20" t="n">
        <x:f>MAX(0,-_xlfn.MINIFS('日経_M1'!F7:F53,'日経_M1'!C7:C53,C16))</x:f>
        <x:v>116462</x:v>
      </x:c>
      <x:c r="Q16" s="20" t="n">
        <x:f>J16-MAX(0,_xlfn.MAXIFS('日経_M1'!F7:F53,'日経_M1'!C7:C53,C16))-IF(COUNTIFS('日経_M1'!F7:F53,MAX(0,_xlfn.MAXIFS('日経_M1'!F7:F53,'日経_M1'!C7:C53,C16)),'日経_M1'!C7:C53,C16)&gt;=2,MAX(0,_xlfn.MAXIFS('日経_M1'!F7:F53,'日経_M1'!C7:C53,C16)),MAX(0,_xlfn.MAXIFS('日経_M1'!F7:F53,'日経_M1'!C7:C53,C16,'日経_M1'!F7:F53,"&lt;"&amp;MAX(0,_xlfn.MAXIFS('日経_M1'!F7:F53,'日経_M1'!C7:C53,C16)))))-IF(COUNTIFS('日経_M1'!F7:F53,MAX(0,_xlfn.MAXIFS('日経_M1'!F7:F53,'日経_M1'!C7:C53,C16)),'日経_M1'!C7:C53,C16)&gt;=3,MAX(0,_xlfn.MAXIFS('日経_M1'!F7:F53,'日経_M1'!C7:C53,C16)),IF(COUNTIFS('日経_M1'!F7:F53,IF(COUNTIFS('日経_M1'!F7:F53,MAX(0,_xlfn.MAXIFS('日経_M1'!F7:F53,'日経_M1'!C7:C53,C16)),'日経_M1'!C7:C53,C16)&gt;=2,MAX(0,_xlfn.MAXIFS('日経_M1'!F7:F53,'日経_M1'!C7:C53,C16)),MAX(0,_xlfn.MAXIFS('日経_M1'!F7:F53,'日経_M1'!C7:C53,C16,'日経_M1'!F7:F53,"&lt;"&amp;MAX(0,_xlfn.MAXIFS('日経_M1'!F7:F53,'日経_M1'!C7:C53,C16))))),'日経_M1'!C7:C53,C16)+COUNTIFS('日経_M1'!F7:F53,"&gt;"&amp;IF(COUNTIFS('日経_M1'!F7:F53,MAX(0,_xlfn.MAXIFS('日経_M1'!F7:F53,'日経_M1'!C7:C53,C16)),'日経_M1'!C7:C53,C16)&gt;=2,MAX(0,_xlfn.MAXIFS('日経_M1'!F7:F53,'日経_M1'!C7:C53,C16)),MAX(0,_xlfn.MAXIFS('日経_M1'!F7:F53,'日経_M1'!C7:C53,C16,'日経_M1'!F7:F53,"&lt;"&amp;MAX(0,_xlfn.MAXIFS('日経_M1'!F7:F53,'日経_M1'!C7:C53,C16))))),'日経_M1'!C7:C53,C16)&gt;=3,IF(COUNTIFS('日経_M1'!F7:F53,MAX(0,_xlfn.MAXIFS('日経_M1'!F7:F53,'日経_M1'!C7:C53,C16)),'日経_M1'!C7:C53,C16)&gt;=2,MAX(0,_xlfn.MAXIFS('日経_M1'!F7:F53,'日経_M1'!C7:C53,C16)),MAX(0,_xlfn.MAXIFS('日経_M1'!F7:F53,'日経_M1'!C7:C53,C16,'日経_M1'!F7:F53,"&lt;"&amp;MAX(0,_xlfn.MAXIFS('日経_M1'!F7:F53,'日経_M1'!C7:C53,C16))))),MAX(0,_xlfn.MAXIFS('日経_M1'!F7:F53,'日経_M1'!C7:C53,C16,'日経_M1'!F7:F53,"&lt;"&amp;IF(COUNTIFS('日経_M1'!F7:F53,MAX(0,_xlfn.MAXIFS('日経_M1'!F7:F53,'日経_M1'!C7:C53,C16)),'日経_M1'!C7:C53,C16)&gt;=2,MAX(0,_xlfn.MAXIFS('日経_M1'!F7:F53,'日経_M1'!C7:C53,C16)),MAX(0,_xlfn.MAXIFS('日経_M1'!F7:F53,'日経_M1'!C7:C53,C16,'日経_M1'!F7:F53,"&lt;"&amp;MAX(0,_xlfn.MAXIFS('日経_M1'!F7:F53,'日経_M1'!C7:C53,C16)))))))))</x:f>
        <x:v>341418</x:v>
      </x:c>
      <x:c r="R16" s="26" t="n">
        <x:f>AVERAGEIFS('日経_M1'!P7:P53,'日経_M1'!C7:C53,C16)</x:f>
        <x:v>0.04652824228911184</x:v>
      </x:c>
    </x:row>
    <x:row r="17" ht="36" customHeight="1">
      <x:c r="A17" s="2" t="str">
        <x:v>日経mini</x:v>
      </x:c>
      <x:c r="B17" s="2" t="str">
        <x:v>M1</x:v>
      </x:c>
      <x:c r="C17" s="2" t="str">
        <x:v>デイ</x:v>
      </x:c>
      <x:c r="D17" s="2" t="str">
        <x:v>診断3場</x:v>
      </x:c>
      <x:c r="E17" s="2" t="str">
        <x:v>M1（G02）</x:v>
      </x:c>
      <x:c r="F17" s="23" t="str">
        <x:v>00141の昼夜別固定案</x:v>
      </x:c>
      <x:c r="G17" s="22" t="n">
        <x:f>COUNTIFS('日経_M1'!C54:C56,C17)</x:f>
        <x:v>1</x:v>
      </x:c>
      <x:c r="H17" s="20" t="n">
        <x:f>SUMIFS('日経_M1'!D54:D56,'日経_M1'!C54:C56,C17)</x:f>
        <x:v>76618</x:v>
      </x:c>
      <x:c r="I17" s="20" t="n">
        <x:f>SUMIFS('日経_M1'!E54:E56,'日経_M1'!C54:C56,C17)</x:f>
        <x:v>99692</x:v>
      </x:c>
      <x:c r="J17" s="20" t="n">
        <x:f>H17-I17</x:f>
        <x:v>-23074</x:v>
      </x:c>
      <x:c r="K17" s="22" t="n">
        <x:f>SUMIFS('日経_M1'!J54:J56,'日経_M1'!C54:C56,C17)</x:f>
        <x:v>7</x:v>
      </x:c>
      <x:c r="L17" s="22" t="n">
        <x:f>COUNTIFS('日経_M1'!F54:F56,"&gt;0",'日経_M1'!C54:C56,C17)</x:f>
        <x:v>0</x:v>
      </x:c>
      <x:c r="M17" s="22" t="n">
        <x:f>COUNTIFS('日経_M1'!F54:F56,"&lt;0",'日経_M1'!C54:C56,C17)</x:f>
        <x:v>1</x:v>
      </x:c>
      <x:c r="N17" s="22" t="n">
        <x:f>COUNTIFS('日経_M1'!J54:J56,"=0",'日経_M1'!C54:C56,C17)</x:f>
        <x:v>0</x:v>
      </x:c>
      <x:c r="O17" s="20" t="n">
        <x:f>IF(M17=0,0,-SUMIFS('日経_M1'!F54:F56,'日経_M1'!F54:F56,"&lt;0",'日経_M1'!C54:C56,C17)/M17)</x:f>
        <x:v>23074</x:v>
      </x:c>
      <x:c r="P17" s="20" t="n">
        <x:f>MAX(0,-_xlfn.MINIFS('日経_M1'!F54:F56,'日経_M1'!C54:C56,C17))</x:f>
        <x:v>23074</x:v>
      </x:c>
      <x:c r="Q17" s="20" t="n">
        <x:f>J17-MAX(0,_xlfn.MAXIFS('日経_M1'!F54:F56,'日経_M1'!C54:C56,C17))-IF(COUNTIFS('日経_M1'!F54:F56,MAX(0,_xlfn.MAXIFS('日経_M1'!F54:F56,'日経_M1'!C54:C56,C17)),'日経_M1'!C54:C56,C17)&gt;=2,MAX(0,_xlfn.MAXIFS('日経_M1'!F54:F56,'日経_M1'!C54:C56,C17)),MAX(0,_xlfn.MAXIFS('日経_M1'!F54:F56,'日経_M1'!C54:C56,C17,'日経_M1'!F54:F56,"&lt;"&amp;MAX(0,_xlfn.MAXIFS('日経_M1'!F54:F56,'日経_M1'!C54:C56,C17)))))-IF(COUNTIFS('日経_M1'!F54:F56,MAX(0,_xlfn.MAXIFS('日経_M1'!F54:F56,'日経_M1'!C54:C56,C17)),'日経_M1'!C54:C56,C17)&gt;=3,MAX(0,_xlfn.MAXIFS('日経_M1'!F54:F56,'日経_M1'!C54:C56,C17)),IF(COUNTIFS('日経_M1'!F54:F56,IF(COUNTIFS('日経_M1'!F54:F56,MAX(0,_xlfn.MAXIFS('日経_M1'!F54:F56,'日経_M1'!C54:C56,C17)),'日経_M1'!C54:C56,C17)&gt;=2,MAX(0,_xlfn.MAXIFS('日経_M1'!F54:F56,'日経_M1'!C54:C56,C17)),MAX(0,_xlfn.MAXIFS('日経_M1'!F54:F56,'日経_M1'!C54:C56,C17,'日経_M1'!F54:F56,"&lt;"&amp;MAX(0,_xlfn.MAXIFS('日経_M1'!F54:F56,'日経_M1'!C54:C56,C17))))),'日経_M1'!C54:C56,C17)+COUNTIFS('日経_M1'!F54:F56,"&gt;"&amp;IF(COUNTIFS('日経_M1'!F54:F56,MAX(0,_xlfn.MAXIFS('日経_M1'!F54:F56,'日経_M1'!C54:C56,C17)),'日経_M1'!C54:C56,C17)&gt;=2,MAX(0,_xlfn.MAXIFS('日経_M1'!F54:F56,'日経_M1'!C54:C56,C17)),MAX(0,_xlfn.MAXIFS('日経_M1'!F54:F56,'日経_M1'!C54:C56,C17,'日経_M1'!F54:F56,"&lt;"&amp;MAX(0,_xlfn.MAXIFS('日経_M1'!F54:F56,'日経_M1'!C54:C56,C17))))),'日経_M1'!C54:C56,C17)&gt;=3,IF(COUNTIFS('日経_M1'!F54:F56,MAX(0,_xlfn.MAXIFS('日経_M1'!F54:F56,'日経_M1'!C54:C56,C17)),'日経_M1'!C54:C56,C17)&gt;=2,MAX(0,_xlfn.MAXIFS('日経_M1'!F54:F56,'日経_M1'!C54:C56,C17)),MAX(0,_xlfn.MAXIFS('日経_M1'!F54:F56,'日経_M1'!C54:C56,C17,'日経_M1'!F54:F56,"&lt;"&amp;MAX(0,_xlfn.MAXIFS('日経_M1'!F54:F56,'日経_M1'!C54:C56,C17))))),MAX(0,_xlfn.MAXIFS('日経_M1'!F54:F56,'日経_M1'!C54:C56,C17,'日経_M1'!F54:F56,"&lt;"&amp;IF(COUNTIFS('日経_M1'!F54:F56,MAX(0,_xlfn.MAXIFS('日経_M1'!F54:F56,'日経_M1'!C54:C56,C17)),'日経_M1'!C54:C56,C17)&gt;=2,MAX(0,_xlfn.MAXIFS('日経_M1'!F54:F56,'日経_M1'!C54:C56,C17)),MAX(0,_xlfn.MAXIFS('日経_M1'!F54:F56,'日経_M1'!C54:C56,C17,'日経_M1'!F54:F56,"&lt;"&amp;MAX(0,_xlfn.MAXIFS('日経_M1'!F54:F56,'日経_M1'!C54:C56,C17)))))))))</x:f>
        <x:v>-23074</x:v>
      </x:c>
      <x:c r="R17" s="26" t="n">
        <x:f>AVERAGEIFS('日経_M1'!P54:P56,'日経_M1'!C54:C56,C17)</x:f>
        <x:v>0.5186111111111111</x:v>
      </x:c>
    </x:row>
    <x:row r="18" ht="36" customHeight="1">
      <x:c r="A18" s="2" t="str">
        <x:v>日経mini</x:v>
      </x:c>
      <x:c r="B18" s="2" t="str">
        <x:v>M1</x:v>
      </x:c>
      <x:c r="C18" s="2" t="str">
        <x:v>ナイト</x:v>
      </x:c>
      <x:c r="D18" s="2" t="str">
        <x:v>診断3場</x:v>
      </x:c>
      <x:c r="E18" s="2" t="str">
        <x:v>M1（G10）</x:v>
      </x:c>
      <x:c r="F18" s="23" t="str">
        <x:v>00141の昼夜別固定案</x:v>
      </x:c>
      <x:c r="G18" s="22" t="n">
        <x:f>COUNTIFS('日経_M1'!C54:C56,C18)</x:f>
        <x:v>2</x:v>
      </x:c>
      <x:c r="H18" s="20" t="n">
        <x:f>SUMIFS('日経_M1'!D54:D56,'日経_M1'!C54:C56,C18)</x:f>
        <x:v>106462</x:v>
      </x:c>
      <x:c r="I18" s="20" t="n">
        <x:f>SUMIFS('日経_M1'!E54:E56,'日経_M1'!C54:C56,C18)</x:f>
        <x:v>116922</x:v>
      </x:c>
      <x:c r="J18" s="20" t="n">
        <x:f>H18-I18</x:f>
        <x:v>-10460</x:v>
      </x:c>
      <x:c r="K18" s="22" t="n">
        <x:f>SUMIFS('日経_M1'!J54:J56,'日経_M1'!C54:C56,C18)</x:f>
        <x:v>5</x:v>
      </x:c>
      <x:c r="L18" s="22" t="n">
        <x:f>COUNTIFS('日経_M1'!F54:F56,"&gt;0",'日経_M1'!C54:C56,C18)</x:f>
        <x:v>1</x:v>
      </x:c>
      <x:c r="M18" s="22" t="n">
        <x:f>COUNTIFS('日経_M1'!F54:F56,"&lt;0",'日経_M1'!C54:C56,C18)</x:f>
        <x:v>1</x:v>
      </x:c>
      <x:c r="N18" s="22" t="n">
        <x:f>COUNTIFS('日経_M1'!J54:J56,"=0",'日経_M1'!C54:C56,C18)</x:f>
        <x:v>0</x:v>
      </x:c>
      <x:c r="O18" s="20" t="n">
        <x:f>IF(M18=0,0,-SUMIFS('日経_M1'!F54:F56,'日経_M1'!F54:F56,"&lt;0",'日経_M1'!C54:C56,C18)/M18)</x:f>
        <x:v>61538</x:v>
      </x:c>
      <x:c r="P18" s="20" t="n">
        <x:f>MAX(0,-_xlfn.MINIFS('日経_M1'!F54:F56,'日経_M1'!C54:C56,C18))</x:f>
        <x:v>61538</x:v>
      </x:c>
      <x:c r="Q18" s="20" t="n">
        <x:f>J18-MAX(0,_xlfn.MAXIFS('日経_M1'!F54:F56,'日経_M1'!C54:C56,C18))-IF(COUNTIFS('日経_M1'!F54:F56,MAX(0,_xlfn.MAXIFS('日経_M1'!F54:F56,'日経_M1'!C54:C56,C18)),'日経_M1'!C54:C56,C18)&gt;=2,MAX(0,_xlfn.MAXIFS('日経_M1'!F54:F56,'日経_M1'!C54:C56,C18)),MAX(0,_xlfn.MAXIFS('日経_M1'!F54:F56,'日経_M1'!C54:C56,C18,'日経_M1'!F54:F56,"&lt;"&amp;MAX(0,_xlfn.MAXIFS('日経_M1'!F54:F56,'日経_M1'!C54:C56,C18)))))-IF(COUNTIFS('日経_M1'!F54:F56,MAX(0,_xlfn.MAXIFS('日経_M1'!F54:F56,'日経_M1'!C54:C56,C18)),'日経_M1'!C54:C56,C18)&gt;=3,MAX(0,_xlfn.MAXIFS('日経_M1'!F54:F56,'日経_M1'!C54:C56,C18)),IF(COUNTIFS('日経_M1'!F54:F56,IF(COUNTIFS('日経_M1'!F54:F56,MAX(0,_xlfn.MAXIFS('日経_M1'!F54:F56,'日経_M1'!C54:C56,C18)),'日経_M1'!C54:C56,C18)&gt;=2,MAX(0,_xlfn.MAXIFS('日経_M1'!F54:F56,'日経_M1'!C54:C56,C18)),MAX(0,_xlfn.MAXIFS('日経_M1'!F54:F56,'日経_M1'!C54:C56,C18,'日経_M1'!F54:F56,"&lt;"&amp;MAX(0,_xlfn.MAXIFS('日経_M1'!F54:F56,'日経_M1'!C54:C56,C18))))),'日経_M1'!C54:C56,C18)+COUNTIFS('日経_M1'!F54:F56,"&gt;"&amp;IF(COUNTIFS('日経_M1'!F54:F56,MAX(0,_xlfn.MAXIFS('日経_M1'!F54:F56,'日経_M1'!C54:C56,C18)),'日経_M1'!C54:C56,C18)&gt;=2,MAX(0,_xlfn.MAXIFS('日経_M1'!F54:F56,'日経_M1'!C54:C56,C18)),MAX(0,_xlfn.MAXIFS('日経_M1'!F54:F56,'日経_M1'!C54:C56,C18,'日経_M1'!F54:F56,"&lt;"&amp;MAX(0,_xlfn.MAXIFS('日経_M1'!F54:F56,'日経_M1'!C54:C56,C18))))),'日経_M1'!C54:C56,C18)&gt;=3,IF(COUNTIFS('日経_M1'!F54:F56,MAX(0,_xlfn.MAXIFS('日経_M1'!F54:F56,'日経_M1'!C54:C56,C18)),'日経_M1'!C54:C56,C18)&gt;=2,MAX(0,_xlfn.MAXIFS('日経_M1'!F54:F56,'日経_M1'!C54:C56,C18)),MAX(0,_xlfn.MAXIFS('日経_M1'!F54:F56,'日経_M1'!C54:C56,C18,'日経_M1'!F54:F56,"&lt;"&amp;MAX(0,_xlfn.MAXIFS('日経_M1'!F54:F56,'日経_M1'!C54:C56,C18))))),MAX(0,_xlfn.MAXIFS('日経_M1'!F54:F56,'日経_M1'!C54:C56,C18,'日経_M1'!F54:F56,"&lt;"&amp;IF(COUNTIFS('日経_M1'!F54:F56,MAX(0,_xlfn.MAXIFS('日経_M1'!F54:F56,'日経_M1'!C54:C56,C18)),'日経_M1'!C54:C56,C18)&gt;=2,MAX(0,_xlfn.MAXIFS('日経_M1'!F54:F56,'日経_M1'!C54:C56,C18)),MAX(0,_xlfn.MAXIFS('日経_M1'!F54:F56,'日経_M1'!C54:C56,C18,'日経_M1'!F54:F56,"&lt;"&amp;MAX(0,_xlfn.MAXIFS('日経_M1'!F54:F56,'日経_M1'!C54:C56,C18)))))))))</x:f>
        <x:v>-61538</x:v>
      </x:c>
      <x:c r="R18" s="26" t="n">
        <x:f>AVERAGEIFS('日経_M1'!P54:P56,'日経_M1'!C54:C56,C18)</x:f>
        <x:v>0.024380341880341883</x:v>
      </x:c>
    </x:row>
    <x:row r="19" ht="36" customHeight="1">
      <x:c r="A19" s="2" t="str">
        <x:v>日経mini</x:v>
      </x:c>
      <x:c r="B19" s="2" t="str">
        <x:v>F1</x:v>
      </x:c>
      <x:c r="C19" s="2" t="str">
        <x:v>デイ</x:v>
      </x:c>
      <x:c r="D19" s="2" t="str">
        <x:v>全50場</x:v>
      </x:c>
      <x:c r="E19" s="2" t="str">
        <x:v>M1（G02）</x:v>
      </x:c>
      <x:c r="F19" s="23" t="str">
        <x:v>赤字場数を重視した条件切替案</x:v>
      </x:c>
      <x:c r="G19" s="22" t="n">
        <x:f>COUNTIFS('日経_F1'!C7:C56,C19)</x:f>
        <x:v>25</x:v>
      </x:c>
      <x:c r="H19" s="20" t="n">
        <x:f>SUMIFS('日経_F1'!D7:D56,'日経_F1'!C7:C56,C19)</x:f>
        <x:v>3960990</x:v>
      </x:c>
      <x:c r="I19" s="20" t="n">
        <x:f>SUMIFS('日経_F1'!E7:E56,'日経_F1'!C7:C56,C19)</x:f>
        <x:v>2240208</x:v>
      </x:c>
      <x:c r="J19" s="20" t="n">
        <x:f>H19-I19</x:f>
        <x:v>1720782</x:v>
      </x:c>
      <x:c r="K19" s="22" t="n">
        <x:f>SUMIFS('日経_F1'!J7:J56,'日経_F1'!C7:C56,C19)</x:f>
        <x:v>182</x:v>
      </x:c>
      <x:c r="L19" s="22" t="n">
        <x:f>COUNTIFS('日経_F1'!F7:F56,"&gt;0",'日経_F1'!C7:C56,C19)</x:f>
        <x:v>16</x:v>
      </x:c>
      <x:c r="M19" s="22" t="n">
        <x:f>COUNTIFS('日経_F1'!F7:F56,"&lt;0",'日経_F1'!C7:C56,C19)</x:f>
        <x:v>9</x:v>
      </x:c>
      <x:c r="N19" s="22" t="n">
        <x:f>COUNTIFS('日経_F1'!J7:J56,"=0",'日経_F1'!C7:C56,C19)</x:f>
        <x:v>0</x:v>
      </x:c>
      <x:c r="O19" s="20" t="n">
        <x:f>IF(M19=0,0,-SUMIFS('日経_F1'!F7:F56,'日経_F1'!F7:F56,"&lt;0",'日経_F1'!C7:C56,C19)/M19)</x:f>
        <x:v>61278</x:v>
      </x:c>
      <x:c r="P19" s="20" t="n">
        <x:f>MAX(0,-_xlfn.MINIFS('日経_F1'!F7:F56,'日経_F1'!C7:C56,C19))</x:f>
        <x:v>106152</x:v>
      </x:c>
      <x:c r="Q19" s="20" t="n">
        <x:f>J19-MAX(0,_xlfn.MAXIFS('日経_F1'!F7:F56,'日経_F1'!C7:C56,C19))-IF(COUNTIFS('日経_F1'!F7:F56,MAX(0,_xlfn.MAXIFS('日経_F1'!F7:F56,'日経_F1'!C7:C56,C19)),'日経_F1'!C7:C56,C19)&gt;=2,MAX(0,_xlfn.MAXIFS('日経_F1'!F7:F56,'日経_F1'!C7:C56,C19)),MAX(0,_xlfn.MAXIFS('日経_F1'!F7:F56,'日経_F1'!C7:C56,C19,'日経_F1'!F7:F56,"&lt;"&amp;MAX(0,_xlfn.MAXIFS('日経_F1'!F7:F56,'日経_F1'!C7:C56,C19)))))-IF(COUNTIFS('日経_F1'!F7:F56,MAX(0,_xlfn.MAXIFS('日経_F1'!F7:F56,'日経_F1'!C7:C56,C19)),'日経_F1'!C7:C56,C19)&gt;=3,MAX(0,_xlfn.MAXIFS('日経_F1'!F7:F56,'日経_F1'!C7:C56,C19)),IF(COUNTIFS('日経_F1'!F7:F56,IF(COUNTIFS('日経_F1'!F7:F56,MAX(0,_xlfn.MAXIFS('日経_F1'!F7:F56,'日経_F1'!C7:C56,C19)),'日経_F1'!C7:C56,C19)&gt;=2,MAX(0,_xlfn.MAXIFS('日経_F1'!F7:F56,'日経_F1'!C7:C56,C19)),MAX(0,_xlfn.MAXIFS('日経_F1'!F7:F56,'日経_F1'!C7:C56,C19,'日経_F1'!F7:F56,"&lt;"&amp;MAX(0,_xlfn.MAXIFS('日経_F1'!F7:F56,'日経_F1'!C7:C56,C19))))),'日経_F1'!C7:C56,C19)+COUNTIFS('日経_F1'!F7:F56,"&gt;"&amp;IF(COUNTIFS('日経_F1'!F7:F56,MAX(0,_xlfn.MAXIFS('日経_F1'!F7:F56,'日経_F1'!C7:C56,C19)),'日経_F1'!C7:C56,C19)&gt;=2,MAX(0,_xlfn.MAXIFS('日経_F1'!F7:F56,'日経_F1'!C7:C56,C19)),MAX(0,_xlfn.MAXIFS('日経_F1'!F7:F56,'日経_F1'!C7:C56,C19,'日経_F1'!F7:F56,"&lt;"&amp;MAX(0,_xlfn.MAXIFS('日経_F1'!F7:F56,'日経_F1'!C7:C56,C19))))),'日経_F1'!C7:C56,C19)&gt;=3,IF(COUNTIFS('日経_F1'!F7:F56,MAX(0,_xlfn.MAXIFS('日経_F1'!F7:F56,'日経_F1'!C7:C56,C19)),'日経_F1'!C7:C56,C19)&gt;=2,MAX(0,_xlfn.MAXIFS('日経_F1'!F7:F56,'日経_F1'!C7:C56,C19)),MAX(0,_xlfn.MAXIFS('日経_F1'!F7:F56,'日経_F1'!C7:C56,C19,'日経_F1'!F7:F56,"&lt;"&amp;MAX(0,_xlfn.MAXIFS('日経_F1'!F7:F56,'日経_F1'!C7:C56,C19))))),MAX(0,_xlfn.MAXIFS('日経_F1'!F7:F56,'日経_F1'!C7:C56,C19,'日経_F1'!F7:F56,"&lt;"&amp;IF(COUNTIFS('日経_F1'!F7:F56,MAX(0,_xlfn.MAXIFS('日経_F1'!F7:F56,'日経_F1'!C7:C56,C19)),'日経_F1'!C7:C56,C19)&gt;=2,MAX(0,_xlfn.MAXIFS('日経_F1'!F7:F56,'日経_F1'!C7:C56,C19)),MAX(0,_xlfn.MAXIFS('日経_F1'!F7:F56,'日経_F1'!C7:C56,C19,'日経_F1'!F7:F56,"&lt;"&amp;MAX(0,_xlfn.MAXIFS('日経_F1'!F7:F56,'日経_F1'!C7:C56,C19)))))))))</x:f>
        <x:v>588464</x:v>
      </x:c>
      <x:c r="R19" s="26" t="n">
        <x:f>AVERAGEIFS('日経_F1'!P7:P56,'日経_F1'!C7:C56,C19)</x:f>
        <x:v>0.5321126984126985</x:v>
      </x:c>
    </x:row>
    <x:row r="20" ht="36" customHeight="1">
      <x:c r="A20" s="2" t="str">
        <x:v>日経mini</x:v>
      </x:c>
      <x:c r="B20" s="2" t="str">
        <x:v>F1</x:v>
      </x:c>
      <x:c r="C20" s="2" t="str">
        <x:v>ナイト</x:v>
      </x:c>
      <x:c r="D20" s="2" t="str">
        <x:v>全50場</x:v>
      </x:c>
      <x:c r="E20" s="2" t="str">
        <x:v>J04</x:v>
      </x:c>
      <x:c r="F20" s="23" t="str">
        <x:v>赤字場数を重視した条件切替案</x:v>
      </x:c>
      <x:c r="G20" s="22" t="n">
        <x:f>COUNTIFS('日経_F1'!C7:C56,C20)</x:f>
        <x:v>25</x:v>
      </x:c>
      <x:c r="H20" s="20" t="n">
        <x:f>SUMIFS('日経_F1'!D7:D56,'日経_F1'!C7:C56,C20)</x:f>
        <x:v>1941265</x:v>
      </x:c>
      <x:c r="I20" s="20" t="n">
        <x:f>SUMIFS('日経_F1'!E7:E56,'日経_F1'!C7:C56,C20)</x:f>
        <x:v>925524</x:v>
      </x:c>
      <x:c r="J20" s="20" t="n">
        <x:f>H20-I20</x:f>
        <x:v>1015741</x:v>
      </x:c>
      <x:c r="K20" s="22" t="n">
        <x:f>SUMIFS('日経_F1'!J7:J56,'日経_F1'!C7:C56,C20)</x:f>
        <x:v>87</x:v>
      </x:c>
      <x:c r="L20" s="22" t="n">
        <x:f>COUNTIFS('日経_F1'!F7:F56,"&gt;0",'日経_F1'!C7:C56,C20)</x:f>
        <x:v>19</x:v>
      </x:c>
      <x:c r="M20" s="22" t="n">
        <x:f>COUNTIFS('日経_F1'!F7:F56,"&lt;0",'日経_F1'!C7:C56,C20)</x:f>
        <x:v>6</x:v>
      </x:c>
      <x:c r="N20" s="22" t="n">
        <x:f>COUNTIFS('日経_F1'!J7:J56,"=0",'日経_F1'!C7:C56,C20)</x:f>
        <x:v>0</x:v>
      </x:c>
      <x:c r="O20" s="20" t="n">
        <x:f>IF(M20=0,0,-SUMIFS('日経_F1'!F7:F56,'日経_F1'!F7:F56,"&lt;0",'日経_F1'!C7:C56,C20)/M20)</x:f>
        <x:v>56652.833333333336</x:v>
      </x:c>
      <x:c r="P20" s="20" t="n">
        <x:f>MAX(0,-_xlfn.MINIFS('日経_F1'!F7:F56,'日経_F1'!C7:C56,C20))</x:f>
        <x:v>121461</x:v>
      </x:c>
      <x:c r="Q20" s="20" t="n">
        <x:f>J20-MAX(0,_xlfn.MAXIFS('日経_F1'!F7:F56,'日経_F1'!C7:C56,C20))-IF(COUNTIFS('日経_F1'!F7:F56,MAX(0,_xlfn.MAXIFS('日経_F1'!F7:F56,'日経_F1'!C7:C56,C20)),'日経_F1'!C7:C56,C20)&gt;=2,MAX(0,_xlfn.MAXIFS('日経_F1'!F7:F56,'日経_F1'!C7:C56,C20)),MAX(0,_xlfn.MAXIFS('日経_F1'!F7:F56,'日経_F1'!C7:C56,C20,'日経_F1'!F7:F56,"&lt;"&amp;MAX(0,_xlfn.MAXIFS('日経_F1'!F7:F56,'日経_F1'!C7:C56,C20)))))-IF(COUNTIFS('日経_F1'!F7:F56,MAX(0,_xlfn.MAXIFS('日経_F1'!F7:F56,'日経_F1'!C7:C56,C20)),'日経_F1'!C7:C56,C20)&gt;=3,MAX(0,_xlfn.MAXIFS('日経_F1'!F7:F56,'日経_F1'!C7:C56,C20)),IF(COUNTIFS('日経_F1'!F7:F56,IF(COUNTIFS('日経_F1'!F7:F56,MAX(0,_xlfn.MAXIFS('日経_F1'!F7:F56,'日経_F1'!C7:C56,C20)),'日経_F1'!C7:C56,C20)&gt;=2,MAX(0,_xlfn.MAXIFS('日経_F1'!F7:F56,'日経_F1'!C7:C56,C20)),MAX(0,_xlfn.MAXIFS('日経_F1'!F7:F56,'日経_F1'!C7:C56,C20,'日経_F1'!F7:F56,"&lt;"&amp;MAX(0,_xlfn.MAXIFS('日経_F1'!F7:F56,'日経_F1'!C7:C56,C20))))),'日経_F1'!C7:C56,C20)+COUNTIFS('日経_F1'!F7:F56,"&gt;"&amp;IF(COUNTIFS('日経_F1'!F7:F56,MAX(0,_xlfn.MAXIFS('日経_F1'!F7:F56,'日経_F1'!C7:C56,C20)),'日経_F1'!C7:C56,C20)&gt;=2,MAX(0,_xlfn.MAXIFS('日経_F1'!F7:F56,'日経_F1'!C7:C56,C20)),MAX(0,_xlfn.MAXIFS('日経_F1'!F7:F56,'日経_F1'!C7:C56,C20,'日経_F1'!F7:F56,"&lt;"&amp;MAX(0,_xlfn.MAXIFS('日経_F1'!F7:F56,'日経_F1'!C7:C56,C20))))),'日経_F1'!C7:C56,C20)&gt;=3,IF(COUNTIFS('日経_F1'!F7:F56,MAX(0,_xlfn.MAXIFS('日経_F1'!F7:F56,'日経_F1'!C7:C56,C20)),'日経_F1'!C7:C56,C20)&gt;=2,MAX(0,_xlfn.MAXIFS('日経_F1'!F7:F56,'日経_F1'!C7:C56,C20)),MAX(0,_xlfn.MAXIFS('日経_F1'!F7:F56,'日経_F1'!C7:C56,C20,'日経_F1'!F7:F56,"&lt;"&amp;MAX(0,_xlfn.MAXIFS('日経_F1'!F7:F56,'日経_F1'!C7:C56,C20))))),MAX(0,_xlfn.MAXIFS('日経_F1'!F7:F56,'日経_F1'!C7:C56,C20,'日経_F1'!F7:F56,"&lt;"&amp;IF(COUNTIFS('日経_F1'!F7:F56,MAX(0,_xlfn.MAXIFS('日経_F1'!F7:F56,'日経_F1'!C7:C56,C20)),'日経_F1'!C7:C56,C20)&gt;=2,MAX(0,_xlfn.MAXIFS('日経_F1'!F7:F56,'日経_F1'!C7:C56,C20)),MAX(0,_xlfn.MAXIFS('日経_F1'!F7:F56,'日経_F1'!C7:C56,C20,'日経_F1'!F7:F56,"&lt;"&amp;MAX(0,_xlfn.MAXIFS('日経_F1'!F7:F56,'日経_F1'!C7:C56,C20)))))))))</x:f>
        <x:v>353963</x:v>
      </x:c>
      <x:c r="R20" s="26" t="n">
        <x:f>AVERAGEIFS('日経_F1'!P7:P56,'日経_F1'!C7:C56,C20)</x:f>
        <x:v>0.04628034188034188</x:v>
      </x:c>
    </x:row>
    <x:row r="21" ht="36" customHeight="1">
      <x:c r="A21" s="2" t="str">
        <x:v>日経mini</x:v>
      </x:c>
      <x:c r="B21" s="2" t="str">
        <x:v>F1</x:v>
      </x:c>
      <x:c r="C21" s="2" t="str">
        <x:v>デイ</x:v>
      </x:c>
      <x:c r="D21" s="2" t="str">
        <x:v>対照47場</x:v>
      </x:c>
      <x:c r="E21" s="2" t="str">
        <x:v>M1（G02）</x:v>
      </x:c>
      <x:c r="F21" s="23" t="str">
        <x:v>赤字場数を重視した条件切替案</x:v>
      </x:c>
      <x:c r="G21" s="22" t="n">
        <x:f>COUNTIFS('日経_F1'!C7:C53,C21)</x:f>
        <x:v>24</x:v>
      </x:c>
      <x:c r="H21" s="20" t="n">
        <x:f>SUMIFS('日経_F1'!D7:D53,'日経_F1'!C7:C53,C21)</x:f>
        <x:v>3884372</x:v>
      </x:c>
      <x:c r="I21" s="20" t="n">
        <x:f>SUMIFS('日経_F1'!E7:E53,'日経_F1'!C7:C53,C21)</x:f>
        <x:v>2140516</x:v>
      </x:c>
      <x:c r="J21" s="20" t="n">
        <x:f>H21-I21</x:f>
        <x:v>1743856</x:v>
      </x:c>
      <x:c r="K21" s="22" t="n">
        <x:f>SUMIFS('日経_F1'!J7:J53,'日経_F1'!C7:C53,C21)</x:f>
        <x:v>175</x:v>
      </x:c>
      <x:c r="L21" s="22" t="n">
        <x:f>COUNTIFS('日経_F1'!F7:F53,"&gt;0",'日経_F1'!C7:C53,C21)</x:f>
        <x:v>16</x:v>
      </x:c>
      <x:c r="M21" s="22" t="n">
        <x:f>COUNTIFS('日経_F1'!F7:F53,"&lt;0",'日経_F1'!C7:C53,C21)</x:f>
        <x:v>8</x:v>
      </x:c>
      <x:c r="N21" s="22" t="n">
        <x:f>COUNTIFS('日経_F1'!J7:J53,"=0",'日経_F1'!C7:C53,C21)</x:f>
        <x:v>0</x:v>
      </x:c>
      <x:c r="O21" s="20" t="n">
        <x:f>IF(M21=0,0,-SUMIFS('日経_F1'!F7:F53,'日経_F1'!F7:F53,"&lt;0",'日経_F1'!C7:C53,C21)/M21)</x:f>
        <x:v>66053.5</x:v>
      </x:c>
      <x:c r="P21" s="20" t="n">
        <x:f>MAX(0,-_xlfn.MINIFS('日経_F1'!F7:F53,'日経_F1'!C7:C53,C21))</x:f>
        <x:v>106152</x:v>
      </x:c>
      <x:c r="Q21" s="20" t="n">
        <x:f>J21-MAX(0,_xlfn.MAXIFS('日経_F1'!F7:F53,'日経_F1'!C7:C53,C21))-IF(COUNTIFS('日経_F1'!F7:F53,MAX(0,_xlfn.MAXIFS('日経_F1'!F7:F53,'日経_F1'!C7:C53,C21)),'日経_F1'!C7:C53,C21)&gt;=2,MAX(0,_xlfn.MAXIFS('日経_F1'!F7:F53,'日経_F1'!C7:C53,C21)),MAX(0,_xlfn.MAXIFS('日経_F1'!F7:F53,'日経_F1'!C7:C53,C21,'日経_F1'!F7:F53,"&lt;"&amp;MAX(0,_xlfn.MAXIFS('日経_F1'!F7:F53,'日経_F1'!C7:C53,C21)))))-IF(COUNTIFS('日経_F1'!F7:F53,MAX(0,_xlfn.MAXIFS('日経_F1'!F7:F53,'日経_F1'!C7:C53,C21)),'日経_F1'!C7:C53,C21)&gt;=3,MAX(0,_xlfn.MAXIFS('日経_F1'!F7:F53,'日経_F1'!C7:C53,C21)),IF(COUNTIFS('日経_F1'!F7:F53,IF(COUNTIFS('日経_F1'!F7:F53,MAX(0,_xlfn.MAXIFS('日経_F1'!F7:F53,'日経_F1'!C7:C53,C21)),'日経_F1'!C7:C53,C21)&gt;=2,MAX(0,_xlfn.MAXIFS('日経_F1'!F7:F53,'日経_F1'!C7:C53,C21)),MAX(0,_xlfn.MAXIFS('日経_F1'!F7:F53,'日経_F1'!C7:C53,C21,'日経_F1'!F7:F53,"&lt;"&amp;MAX(0,_xlfn.MAXIFS('日経_F1'!F7:F53,'日経_F1'!C7:C53,C21))))),'日経_F1'!C7:C53,C21)+COUNTIFS('日経_F1'!F7:F53,"&gt;"&amp;IF(COUNTIFS('日経_F1'!F7:F53,MAX(0,_xlfn.MAXIFS('日経_F1'!F7:F53,'日経_F1'!C7:C53,C21)),'日経_F1'!C7:C53,C21)&gt;=2,MAX(0,_xlfn.MAXIFS('日経_F1'!F7:F53,'日経_F1'!C7:C53,C21)),MAX(0,_xlfn.MAXIFS('日経_F1'!F7:F53,'日経_F1'!C7:C53,C21,'日経_F1'!F7:F53,"&lt;"&amp;MAX(0,_xlfn.MAXIFS('日経_F1'!F7:F53,'日経_F1'!C7:C53,C21))))),'日経_F1'!C7:C53,C21)&gt;=3,IF(COUNTIFS('日経_F1'!F7:F53,MAX(0,_xlfn.MAXIFS('日経_F1'!F7:F53,'日経_F1'!C7:C53,C21)),'日経_F1'!C7:C53,C21)&gt;=2,MAX(0,_xlfn.MAXIFS('日経_F1'!F7:F53,'日経_F1'!C7:C53,C21)),MAX(0,_xlfn.MAXIFS('日経_F1'!F7:F53,'日経_F1'!C7:C53,C21,'日経_F1'!F7:F53,"&lt;"&amp;MAX(0,_xlfn.MAXIFS('日経_F1'!F7:F53,'日経_F1'!C7:C53,C21))))),MAX(0,_xlfn.MAXIFS('日経_F1'!F7:F53,'日経_F1'!C7:C53,C21,'日経_F1'!F7:F53,"&lt;"&amp;IF(COUNTIFS('日経_F1'!F7:F53,MAX(0,_xlfn.MAXIFS('日経_F1'!F7:F53,'日経_F1'!C7:C53,C21)),'日経_F1'!C7:C53,C21)&gt;=2,MAX(0,_xlfn.MAXIFS('日経_F1'!F7:F53,'日経_F1'!C7:C53,C21)),MAX(0,_xlfn.MAXIFS('日経_F1'!F7:F53,'日経_F1'!C7:C53,C21,'日経_F1'!F7:F53,"&lt;"&amp;MAX(0,_xlfn.MAXIFS('日経_F1'!F7:F53,'日経_F1'!C7:C53,C21)))))))))</x:f>
        <x:v>611538</x:v>
      </x:c>
      <x:c r="R21" s="26" t="n">
        <x:f>AVERAGEIFS('日経_F1'!P7:P53,'日経_F1'!C7:C53,C21)</x:f>
        <x:v>0.5326752645502646</x:v>
      </x:c>
    </x:row>
    <x:row r="22" ht="36" customHeight="1">
      <x:c r="A22" s="2" t="str">
        <x:v>日経mini</x:v>
      </x:c>
      <x:c r="B22" s="2" t="str">
        <x:v>F1</x:v>
      </x:c>
      <x:c r="C22" s="2" t="str">
        <x:v>ナイト</x:v>
      </x:c>
      <x:c r="D22" s="2" t="str">
        <x:v>対照47場</x:v>
      </x:c>
      <x:c r="E22" s="2" t="str">
        <x:v>J04</x:v>
      </x:c>
      <x:c r="F22" s="23" t="str">
        <x:v>赤字場数を重視した条件切替案</x:v>
      </x:c>
      <x:c r="G22" s="22" t="n">
        <x:f>COUNTIFS('日経_F1'!C7:C53,C22)</x:f>
        <x:v>23</x:v>
      </x:c>
      <x:c r="H22" s="20" t="n">
        <x:f>SUMIFS('日経_F1'!D7:D53,'日経_F1'!C7:C53,C22)</x:f>
        <x:v>1802033</x:v>
      </x:c>
      <x:c r="I22" s="20" t="n">
        <x:f>SUMIFS('日経_F1'!E7:E53,'日経_F1'!C7:C53,C22)</x:f>
        <x:v>844834</x:v>
      </x:c>
      <x:c r="J22" s="20" t="n">
        <x:f>H22-I22</x:f>
        <x:v>957199</x:v>
      </x:c>
      <x:c r="K22" s="22" t="n">
        <x:f>SUMIFS('日経_F1'!J7:J53,'日経_F1'!C7:C53,C22)</x:f>
        <x:v>82</x:v>
      </x:c>
      <x:c r="L22" s="22" t="n">
        <x:f>COUNTIFS('日経_F1'!F7:F53,"&gt;0",'日経_F1'!C7:C53,C22)</x:f>
        <x:v>17</x:v>
      </x:c>
      <x:c r="M22" s="22" t="n">
        <x:f>COUNTIFS('日経_F1'!F7:F53,"&lt;0",'日経_F1'!C7:C53,C22)</x:f>
        <x:v>6</x:v>
      </x:c>
      <x:c r="N22" s="22" t="n">
        <x:f>COUNTIFS('日経_F1'!J7:J53,"=0",'日経_F1'!C7:C53,C22)</x:f>
        <x:v>0</x:v>
      </x:c>
      <x:c r="O22" s="20" t="n">
        <x:f>IF(M22=0,0,-SUMIFS('日経_F1'!F7:F53,'日経_F1'!F7:F53,"&lt;0",'日経_F1'!C7:C53,C22)/M22)</x:f>
        <x:v>56652.833333333336</x:v>
      </x:c>
      <x:c r="P22" s="20" t="n">
        <x:f>MAX(0,-_xlfn.MINIFS('日経_F1'!F7:F53,'日経_F1'!C7:C53,C22))</x:f>
        <x:v>121461</x:v>
      </x:c>
      <x:c r="Q22" s="20" t="n">
        <x:f>J22-MAX(0,_xlfn.MAXIFS('日経_F1'!F7:F53,'日経_F1'!C7:C53,C22))-IF(COUNTIFS('日経_F1'!F7:F53,MAX(0,_xlfn.MAXIFS('日経_F1'!F7:F53,'日経_F1'!C7:C53,C22)),'日経_F1'!C7:C53,C22)&gt;=2,MAX(0,_xlfn.MAXIFS('日経_F1'!F7:F53,'日経_F1'!C7:C53,C22)),MAX(0,_xlfn.MAXIFS('日経_F1'!F7:F53,'日経_F1'!C7:C53,C22,'日経_F1'!F7:F53,"&lt;"&amp;MAX(0,_xlfn.MAXIFS('日経_F1'!F7:F53,'日経_F1'!C7:C53,C22)))))-IF(COUNTIFS('日経_F1'!F7:F53,MAX(0,_xlfn.MAXIFS('日経_F1'!F7:F53,'日経_F1'!C7:C53,C22)),'日経_F1'!C7:C53,C22)&gt;=3,MAX(0,_xlfn.MAXIFS('日経_F1'!F7:F53,'日経_F1'!C7:C53,C22)),IF(COUNTIFS('日経_F1'!F7:F53,IF(COUNTIFS('日経_F1'!F7:F53,MAX(0,_xlfn.MAXIFS('日経_F1'!F7:F53,'日経_F1'!C7:C53,C22)),'日経_F1'!C7:C53,C22)&gt;=2,MAX(0,_xlfn.MAXIFS('日経_F1'!F7:F53,'日経_F1'!C7:C53,C22)),MAX(0,_xlfn.MAXIFS('日経_F1'!F7:F53,'日経_F1'!C7:C53,C22,'日経_F1'!F7:F53,"&lt;"&amp;MAX(0,_xlfn.MAXIFS('日経_F1'!F7:F53,'日経_F1'!C7:C53,C22))))),'日経_F1'!C7:C53,C22)+COUNTIFS('日経_F1'!F7:F53,"&gt;"&amp;IF(COUNTIFS('日経_F1'!F7:F53,MAX(0,_xlfn.MAXIFS('日経_F1'!F7:F53,'日経_F1'!C7:C53,C22)),'日経_F1'!C7:C53,C22)&gt;=2,MAX(0,_xlfn.MAXIFS('日経_F1'!F7:F53,'日経_F1'!C7:C53,C22)),MAX(0,_xlfn.MAXIFS('日経_F1'!F7:F53,'日経_F1'!C7:C53,C22,'日経_F1'!F7:F53,"&lt;"&amp;MAX(0,_xlfn.MAXIFS('日経_F1'!F7:F53,'日経_F1'!C7:C53,C22))))),'日経_F1'!C7:C53,C22)&gt;=3,IF(COUNTIFS('日経_F1'!F7:F53,MAX(0,_xlfn.MAXIFS('日経_F1'!F7:F53,'日経_F1'!C7:C53,C22)),'日経_F1'!C7:C53,C22)&gt;=2,MAX(0,_xlfn.MAXIFS('日経_F1'!F7:F53,'日経_F1'!C7:C53,C22)),MAX(0,_xlfn.MAXIFS('日経_F1'!F7:F53,'日経_F1'!C7:C53,C22,'日経_F1'!F7:F53,"&lt;"&amp;MAX(0,_xlfn.MAXIFS('日経_F1'!F7:F53,'日経_F1'!C7:C53,C22))))),MAX(0,_xlfn.MAXIFS('日経_F1'!F7:F53,'日経_F1'!C7:C53,C22,'日経_F1'!F7:F53,"&lt;"&amp;IF(COUNTIFS('日経_F1'!F7:F53,MAX(0,_xlfn.MAXIFS('日経_F1'!F7:F53,'日経_F1'!C7:C53,C22)),'日経_F1'!C7:C53,C22)&gt;=2,MAX(0,_xlfn.MAXIFS('日経_F1'!F7:F53,'日経_F1'!C7:C53,C22)),MAX(0,_xlfn.MAXIFS('日経_F1'!F7:F53,'日経_F1'!C7:C53,C22,'日経_F1'!F7:F53,"&lt;"&amp;MAX(0,_xlfn.MAXIFS('日経_F1'!F7:F53,'日経_F1'!C7:C53,C22)))))))))</x:f>
        <x:v>295421</x:v>
      </x:c>
      <x:c r="R22" s="26" t="n">
        <x:f>AVERAGEIFS('日経_F1'!P7:P53,'日経_F1'!C7:C53,C22)</x:f>
        <x:v>0.047152545522110734</x:v>
      </x:c>
    </x:row>
    <x:row r="23" ht="36" customHeight="1">
      <x:c r="A23" s="2" t="str">
        <x:v>日経mini</x:v>
      </x:c>
      <x:c r="B23" s="2" t="str">
        <x:v>F1</x:v>
      </x:c>
      <x:c r="C23" s="2" t="str">
        <x:v>デイ</x:v>
      </x:c>
      <x:c r="D23" s="2" t="str">
        <x:v>診断3場</x:v>
      </x:c>
      <x:c r="E23" s="2" t="str">
        <x:v>M1（G02）</x:v>
      </x:c>
      <x:c r="F23" s="23" t="str">
        <x:v>赤字場数を重視した条件切替案</x:v>
      </x:c>
      <x:c r="G23" s="22" t="n">
        <x:f>COUNTIFS('日経_F1'!C54:C56,C23)</x:f>
        <x:v>1</x:v>
      </x:c>
      <x:c r="H23" s="20" t="n">
        <x:f>SUMIFS('日経_F1'!D54:D56,'日経_F1'!C54:C56,C23)</x:f>
        <x:v>76618</x:v>
      </x:c>
      <x:c r="I23" s="20" t="n">
        <x:f>SUMIFS('日経_F1'!E54:E56,'日経_F1'!C54:C56,C23)</x:f>
        <x:v>99692</x:v>
      </x:c>
      <x:c r="J23" s="20" t="n">
        <x:f>H23-I23</x:f>
        <x:v>-23074</x:v>
      </x:c>
      <x:c r="K23" s="22" t="n">
        <x:f>SUMIFS('日経_F1'!J54:J56,'日経_F1'!C54:C56,C23)</x:f>
        <x:v>7</x:v>
      </x:c>
      <x:c r="L23" s="22" t="n">
        <x:f>COUNTIFS('日経_F1'!F54:F56,"&gt;0",'日経_F1'!C54:C56,C23)</x:f>
        <x:v>0</x:v>
      </x:c>
      <x:c r="M23" s="22" t="n">
        <x:f>COUNTIFS('日経_F1'!F54:F56,"&lt;0",'日経_F1'!C54:C56,C23)</x:f>
        <x:v>1</x:v>
      </x:c>
      <x:c r="N23" s="22" t="n">
        <x:f>COUNTIFS('日経_F1'!J54:J56,"=0",'日経_F1'!C54:C56,C23)</x:f>
        <x:v>0</x:v>
      </x:c>
      <x:c r="O23" s="20" t="n">
        <x:f>IF(M23=0,0,-SUMIFS('日経_F1'!F54:F56,'日経_F1'!F54:F56,"&lt;0",'日経_F1'!C54:C56,C23)/M23)</x:f>
        <x:v>23074</x:v>
      </x:c>
      <x:c r="P23" s="20" t="n">
        <x:f>MAX(0,-_xlfn.MINIFS('日経_F1'!F54:F56,'日経_F1'!C54:C56,C23))</x:f>
        <x:v>23074</x:v>
      </x:c>
      <x:c r="Q23" s="20" t="n">
        <x:f>J23-MAX(0,_xlfn.MAXIFS('日経_F1'!F54:F56,'日経_F1'!C54:C56,C23))-IF(COUNTIFS('日経_F1'!F54:F56,MAX(0,_xlfn.MAXIFS('日経_F1'!F54:F56,'日経_F1'!C54:C56,C23)),'日経_F1'!C54:C56,C23)&gt;=2,MAX(0,_xlfn.MAXIFS('日経_F1'!F54:F56,'日経_F1'!C54:C56,C23)),MAX(0,_xlfn.MAXIFS('日経_F1'!F54:F56,'日経_F1'!C54:C56,C23,'日経_F1'!F54:F56,"&lt;"&amp;MAX(0,_xlfn.MAXIFS('日経_F1'!F54:F56,'日経_F1'!C54:C56,C23)))))-IF(COUNTIFS('日経_F1'!F54:F56,MAX(0,_xlfn.MAXIFS('日経_F1'!F54:F56,'日経_F1'!C54:C56,C23)),'日経_F1'!C54:C56,C23)&gt;=3,MAX(0,_xlfn.MAXIFS('日経_F1'!F54:F56,'日経_F1'!C54:C56,C23)),IF(COUNTIFS('日経_F1'!F54:F56,IF(COUNTIFS('日経_F1'!F54:F56,MAX(0,_xlfn.MAXIFS('日経_F1'!F54:F56,'日経_F1'!C54:C56,C23)),'日経_F1'!C54:C56,C23)&gt;=2,MAX(0,_xlfn.MAXIFS('日経_F1'!F54:F56,'日経_F1'!C54:C56,C23)),MAX(0,_xlfn.MAXIFS('日経_F1'!F54:F56,'日経_F1'!C54:C56,C23,'日経_F1'!F54:F56,"&lt;"&amp;MAX(0,_xlfn.MAXIFS('日経_F1'!F54:F56,'日経_F1'!C54:C56,C23))))),'日経_F1'!C54:C56,C23)+COUNTIFS('日経_F1'!F54:F56,"&gt;"&amp;IF(COUNTIFS('日経_F1'!F54:F56,MAX(0,_xlfn.MAXIFS('日経_F1'!F54:F56,'日経_F1'!C54:C56,C23)),'日経_F1'!C54:C56,C23)&gt;=2,MAX(0,_xlfn.MAXIFS('日経_F1'!F54:F56,'日経_F1'!C54:C56,C23)),MAX(0,_xlfn.MAXIFS('日経_F1'!F54:F56,'日経_F1'!C54:C56,C23,'日経_F1'!F54:F56,"&lt;"&amp;MAX(0,_xlfn.MAXIFS('日経_F1'!F54:F56,'日経_F1'!C54:C56,C23))))),'日経_F1'!C54:C56,C23)&gt;=3,IF(COUNTIFS('日経_F1'!F54:F56,MAX(0,_xlfn.MAXIFS('日経_F1'!F54:F56,'日経_F1'!C54:C56,C23)),'日経_F1'!C54:C56,C23)&gt;=2,MAX(0,_xlfn.MAXIFS('日経_F1'!F54:F56,'日経_F1'!C54:C56,C23)),MAX(0,_xlfn.MAXIFS('日経_F1'!F54:F56,'日経_F1'!C54:C56,C23,'日経_F1'!F54:F56,"&lt;"&amp;MAX(0,_xlfn.MAXIFS('日経_F1'!F54:F56,'日経_F1'!C54:C56,C23))))),MAX(0,_xlfn.MAXIFS('日経_F1'!F54:F56,'日経_F1'!C54:C56,C23,'日経_F1'!F54:F56,"&lt;"&amp;IF(COUNTIFS('日経_F1'!F54:F56,MAX(0,_xlfn.MAXIFS('日経_F1'!F54:F56,'日経_F1'!C54:C56,C23)),'日経_F1'!C54:C56,C23)&gt;=2,MAX(0,_xlfn.MAXIFS('日経_F1'!F54:F56,'日経_F1'!C54:C56,C23)),MAX(0,_xlfn.MAXIFS('日経_F1'!F54:F56,'日経_F1'!C54:C56,C23,'日経_F1'!F54:F56,"&lt;"&amp;MAX(0,_xlfn.MAXIFS('日経_F1'!F54:F56,'日経_F1'!C54:C56,C23)))))))))</x:f>
        <x:v>-23074</x:v>
      </x:c>
      <x:c r="R23" s="26" t="n">
        <x:f>AVERAGEIFS('日経_F1'!P54:P56,'日経_F1'!C54:C56,C23)</x:f>
        <x:v>0.5186111111111111</x:v>
      </x:c>
    </x:row>
    <x:row r="24" ht="36" customHeight="1">
      <x:c r="A24" s="2" t="str">
        <x:v>日経mini</x:v>
      </x:c>
      <x:c r="B24" s="2" t="str">
        <x:v>F1</x:v>
      </x:c>
      <x:c r="C24" s="2" t="str">
        <x:v>ナイト</x:v>
      </x:c>
      <x:c r="D24" s="2" t="str">
        <x:v>診断3場</x:v>
      </x:c>
      <x:c r="E24" s="2" t="str">
        <x:v>J04</x:v>
      </x:c>
      <x:c r="F24" s="23" t="str">
        <x:v>赤字場数を重視した条件切替案</x:v>
      </x:c>
      <x:c r="G24" s="22" t="n">
        <x:f>COUNTIFS('日経_F1'!C54:C56,C24)</x:f>
        <x:v>2</x:v>
      </x:c>
      <x:c r="H24" s="20" t="n">
        <x:f>SUMIFS('日経_F1'!D54:D56,'日経_F1'!C54:C56,C24)</x:f>
        <x:v>139232</x:v>
      </x:c>
      <x:c r="I24" s="20" t="n">
        <x:f>SUMIFS('日経_F1'!E54:E56,'日経_F1'!C54:C56,C24)</x:f>
        <x:v>80690</x:v>
      </x:c>
      <x:c r="J24" s="20" t="n">
        <x:f>H24-I24</x:f>
        <x:v>58542</x:v>
      </x:c>
      <x:c r="K24" s="22" t="n">
        <x:f>SUMIFS('日経_F1'!J54:J56,'日経_F1'!C54:C56,C24)</x:f>
        <x:v>5</x:v>
      </x:c>
      <x:c r="L24" s="22" t="n">
        <x:f>COUNTIFS('日経_F1'!F54:F56,"&gt;0",'日経_F1'!C54:C56,C24)</x:f>
        <x:v>2</x:v>
      </x:c>
      <x:c r="M24" s="22" t="n">
        <x:f>COUNTIFS('日経_F1'!F54:F56,"&lt;0",'日経_F1'!C54:C56,C24)</x:f>
        <x:v>0</x:v>
      </x:c>
      <x:c r="N24" s="22" t="n">
        <x:f>COUNTIFS('日経_F1'!J54:J56,"=0",'日経_F1'!C54:C56,C24)</x:f>
        <x:v>0</x:v>
      </x:c>
      <x:c r="O24" s="20" t="n">
        <x:f>IF(M24=0,0,-SUMIFS('日経_F1'!F54:F56,'日経_F1'!F54:F56,"&lt;0",'日経_F1'!C54:C56,C24)/M24)</x:f>
        <x:v>0</x:v>
      </x:c>
      <x:c r="P24" s="20" t="n">
        <x:f>MAX(0,-_xlfn.MINIFS('日経_F1'!F54:F56,'日経_F1'!C54:C56,C24))</x:f>
        <x:v>0</x:v>
      </x:c>
      <x:c r="Q24" s="20" t="n">
        <x:f>J24-MAX(0,_xlfn.MAXIFS('日経_F1'!F54:F56,'日経_F1'!C54:C56,C24))-IF(COUNTIFS('日経_F1'!F54:F56,MAX(0,_xlfn.MAXIFS('日経_F1'!F54:F56,'日経_F1'!C54:C56,C24)),'日経_F1'!C54:C56,C24)&gt;=2,MAX(0,_xlfn.MAXIFS('日経_F1'!F54:F56,'日経_F1'!C54:C56,C24)),MAX(0,_xlfn.MAXIFS('日経_F1'!F54:F56,'日経_F1'!C54:C56,C24,'日経_F1'!F54:F56,"&lt;"&amp;MAX(0,_xlfn.MAXIFS('日経_F1'!F54:F56,'日経_F1'!C54:C56,C24)))))-IF(COUNTIFS('日経_F1'!F54:F56,MAX(0,_xlfn.MAXIFS('日経_F1'!F54:F56,'日経_F1'!C54:C56,C24)),'日経_F1'!C54:C56,C24)&gt;=3,MAX(0,_xlfn.MAXIFS('日経_F1'!F54:F56,'日経_F1'!C54:C56,C24)),IF(COUNTIFS('日経_F1'!F54:F56,IF(COUNTIFS('日経_F1'!F54:F56,MAX(0,_xlfn.MAXIFS('日経_F1'!F54:F56,'日経_F1'!C54:C56,C24)),'日経_F1'!C54:C56,C24)&gt;=2,MAX(0,_xlfn.MAXIFS('日経_F1'!F54:F56,'日経_F1'!C54:C56,C24)),MAX(0,_xlfn.MAXIFS('日経_F1'!F54:F56,'日経_F1'!C54:C56,C24,'日経_F1'!F54:F56,"&lt;"&amp;MAX(0,_xlfn.MAXIFS('日経_F1'!F54:F56,'日経_F1'!C54:C56,C24))))),'日経_F1'!C54:C56,C24)+COUNTIFS('日経_F1'!F54:F56,"&gt;"&amp;IF(COUNTIFS('日経_F1'!F54:F56,MAX(0,_xlfn.MAXIFS('日経_F1'!F54:F56,'日経_F1'!C54:C56,C24)),'日経_F1'!C54:C56,C24)&gt;=2,MAX(0,_xlfn.MAXIFS('日経_F1'!F54:F56,'日経_F1'!C54:C56,C24)),MAX(0,_xlfn.MAXIFS('日経_F1'!F54:F56,'日経_F1'!C54:C56,C24,'日経_F1'!F54:F56,"&lt;"&amp;MAX(0,_xlfn.MAXIFS('日経_F1'!F54:F56,'日経_F1'!C54:C56,C24))))),'日経_F1'!C54:C56,C24)&gt;=3,IF(COUNTIFS('日経_F1'!F54:F56,MAX(0,_xlfn.MAXIFS('日経_F1'!F54:F56,'日経_F1'!C54:C56,C24)),'日経_F1'!C54:C56,C24)&gt;=2,MAX(0,_xlfn.MAXIFS('日経_F1'!F54:F56,'日経_F1'!C54:C56,C24)),MAX(0,_xlfn.MAXIFS('日経_F1'!F54:F56,'日経_F1'!C54:C56,C24,'日経_F1'!F54:F56,"&lt;"&amp;MAX(0,_xlfn.MAXIFS('日経_F1'!F54:F56,'日経_F1'!C54:C56,C24))))),MAX(0,_xlfn.MAXIFS('日経_F1'!F54:F56,'日経_F1'!C54:C56,C24,'日経_F1'!F54:F56,"&lt;"&amp;IF(COUNTIFS('日経_F1'!F54:F56,MAX(0,_xlfn.MAXIFS('日経_F1'!F54:F56,'日経_F1'!C54:C56,C24)),'日経_F1'!C54:C56,C24)&gt;=2,MAX(0,_xlfn.MAXIFS('日経_F1'!F54:F56,'日経_F1'!C54:C56,C24)),MAX(0,_xlfn.MAXIFS('日経_F1'!F54:F56,'日経_F1'!C54:C56,C24,'日経_F1'!F54:F56,"&lt;"&amp;MAX(0,_xlfn.MAXIFS('日経_F1'!F54:F56,'日経_F1'!C54:C56,C24)))))))))</x:f>
        <x:v>0</x:v>
      </x:c>
      <x:c r="R24" s="26" t="n">
        <x:f>AVERAGEIFS('日経_F1'!P54:P56,'日経_F1'!C54:C56,C24)</x:f>
        <x:v>0.036250000000000004</x:v>
      </x:c>
    </x:row>
    <x:row r="25" ht="36" customHeight="1">
      <x:c r="A25" s="2" t="str">
        <x:v>日経mini</x:v>
      </x:c>
      <x:c r="B25" s="2" t="str">
        <x:v>V04</x:v>
      </x:c>
      <x:c r="C25" s="2" t="str">
        <x:v>デイ</x:v>
      </x:c>
      <x:c r="D25" s="2" t="str">
        <x:v>全50場</x:v>
      </x:c>
      <x:c r="E25" s="2" t="str">
        <x:v>V04</x:v>
      </x:c>
      <x:c r="F25" s="23" t="str">
        <x:v>参加拡大の比較対照・安定性は悪化</x:v>
      </x:c>
      <x:c r="G25" s="22" t="n">
        <x:f>COUNTIFS('日経_V04'!C7:C56,C25)</x:f>
        <x:v>25</x:v>
      </x:c>
      <x:c r="H25" s="20" t="n">
        <x:f>SUMIFS('日経_V04'!D7:D56,'日経_V04'!C7:C56,C25)</x:f>
        <x:v>4384702</x:v>
      </x:c>
      <x:c r="I25" s="20" t="n">
        <x:f>SUMIFS('日経_V04'!E7:E56,'日経_V04'!C7:C56,C25)</x:f>
        <x:v>3509534</x:v>
      </x:c>
      <x:c r="J25" s="20" t="n">
        <x:f>H25-I25</x:f>
        <x:v>875168</x:v>
      </x:c>
      <x:c r="K25" s="22" t="n">
        <x:f>SUMIFS('日経_V04'!J7:J56,'日経_V04'!C7:C56,C25)</x:f>
        <x:v>218</x:v>
      </x:c>
      <x:c r="L25" s="22" t="n">
        <x:f>COUNTIFS('日経_V04'!F7:F56,"&gt;0",'日経_V04'!C7:C56,C25)</x:f>
        <x:v>15</x:v>
      </x:c>
      <x:c r="M25" s="22" t="n">
        <x:f>COUNTIFS('日経_V04'!F7:F56,"&lt;0",'日経_V04'!C7:C56,C25)</x:f>
        <x:v>10</x:v>
      </x:c>
      <x:c r="N25" s="22" t="n">
        <x:f>COUNTIFS('日経_V04'!J7:J56,"=0",'日経_V04'!C7:C56,C25)</x:f>
        <x:v>0</x:v>
      </x:c>
      <x:c r="O25" s="20" t="n">
        <x:f>IF(M25=0,0,-SUMIFS('日経_V04'!F7:F56,'日経_V04'!F7:F56,"&lt;0",'日経_V04'!C7:C56,C25)/M25)</x:f>
        <x:v>128814.4</x:v>
      </x:c>
      <x:c r="P25" s="20" t="n">
        <x:f>MAX(0,-_xlfn.MINIFS('日経_V04'!F7:F56,'日経_V04'!C7:C56,C25))</x:f>
        <x:v>245078</x:v>
      </x:c>
      <x:c r="Q25" s="20" t="n">
        <x:f>J25-MAX(0,_xlfn.MAXIFS('日経_V04'!F7:F56,'日経_V04'!C7:C56,C25))-IF(COUNTIFS('日経_V04'!F7:F56,MAX(0,_xlfn.MAXIFS('日経_V04'!F7:F56,'日経_V04'!C7:C56,C25)),'日経_V04'!C7:C56,C25)&gt;=2,MAX(0,_xlfn.MAXIFS('日経_V04'!F7:F56,'日経_V04'!C7:C56,C25)),MAX(0,_xlfn.MAXIFS('日経_V04'!F7:F56,'日経_V04'!C7:C56,C25,'日経_V04'!F7:F56,"&lt;"&amp;MAX(0,_xlfn.MAXIFS('日経_V04'!F7:F56,'日経_V04'!C7:C56,C25)))))-IF(COUNTIFS('日経_V04'!F7:F56,MAX(0,_xlfn.MAXIFS('日経_V04'!F7:F56,'日経_V04'!C7:C56,C25)),'日経_V04'!C7:C56,C25)&gt;=3,MAX(0,_xlfn.MAXIFS('日経_V04'!F7:F56,'日経_V04'!C7:C56,C25)),IF(COUNTIFS('日経_V04'!F7:F56,IF(COUNTIFS('日経_V04'!F7:F56,MAX(0,_xlfn.MAXIFS('日経_V04'!F7:F56,'日経_V04'!C7:C56,C25)),'日経_V04'!C7:C56,C25)&gt;=2,MAX(0,_xlfn.MAXIFS('日経_V04'!F7:F56,'日経_V04'!C7:C56,C25)),MAX(0,_xlfn.MAXIFS('日経_V04'!F7:F56,'日経_V04'!C7:C56,C25,'日経_V04'!F7:F56,"&lt;"&amp;MAX(0,_xlfn.MAXIFS('日経_V04'!F7:F56,'日経_V04'!C7:C56,C25))))),'日経_V04'!C7:C56,C25)+COUNTIFS('日経_V04'!F7:F56,"&gt;"&amp;IF(COUNTIFS('日経_V04'!F7:F56,MAX(0,_xlfn.MAXIFS('日経_V04'!F7:F56,'日経_V04'!C7:C56,C25)),'日経_V04'!C7:C56,C25)&gt;=2,MAX(0,_xlfn.MAXIFS('日経_V04'!F7:F56,'日経_V04'!C7:C56,C25)),MAX(0,_xlfn.MAXIFS('日経_V04'!F7:F56,'日経_V04'!C7:C56,C25,'日経_V04'!F7:F56,"&lt;"&amp;MAX(0,_xlfn.MAXIFS('日経_V04'!F7:F56,'日経_V04'!C7:C56,C25))))),'日経_V04'!C7:C56,C25)&gt;=3,IF(COUNTIFS('日経_V04'!F7:F56,MAX(0,_xlfn.MAXIFS('日経_V04'!F7:F56,'日経_V04'!C7:C56,C25)),'日経_V04'!C7:C56,C25)&gt;=2,MAX(0,_xlfn.MAXIFS('日経_V04'!F7:F56,'日経_V04'!C7:C56,C25)),MAX(0,_xlfn.MAXIFS('日経_V04'!F7:F56,'日経_V04'!C7:C56,C25,'日経_V04'!F7:F56,"&lt;"&amp;MAX(0,_xlfn.MAXIFS('日経_V04'!F7:F56,'日経_V04'!C7:C56,C25))))),MAX(0,_xlfn.MAXIFS('日経_V04'!F7:F56,'日経_V04'!C7:C56,C25,'日経_V04'!F7:F56,"&lt;"&amp;IF(COUNTIFS('日経_V04'!F7:F56,MAX(0,_xlfn.MAXIFS('日経_V04'!F7:F56,'日経_V04'!C7:C56,C25)),'日経_V04'!C7:C56,C25)&gt;=2,MAX(0,_xlfn.MAXIFS('日経_V04'!F7:F56,'日経_V04'!C7:C56,C25)),MAX(0,_xlfn.MAXIFS('日経_V04'!F7:F56,'日経_V04'!C7:C56,C25,'日経_V04'!F7:F56,"&lt;"&amp;MAX(0,_xlfn.MAXIFS('日経_V04'!F7:F56,'日経_V04'!C7:C56,C25)))))))))</x:f>
        <x:v>-198062</x:v>
      </x:c>
      <x:c r="R25" s="26" t="n">
        <x:f>AVERAGEIFS('日経_V04'!P7:P56,'日経_V04'!C7:C56,C25)</x:f>
        <x:v>0.5773444444444444</x:v>
      </x:c>
    </x:row>
    <x:row r="26" ht="36" customHeight="1">
      <x:c r="A26" s="2" t="str">
        <x:v>日経mini</x:v>
      </x:c>
      <x:c r="B26" s="2" t="str">
        <x:v>V04</x:v>
      </x:c>
      <x:c r="C26" s="2" t="str">
        <x:v>ナイト</x:v>
      </x:c>
      <x:c r="D26" s="2" t="str">
        <x:v>全50場</x:v>
      </x:c>
      <x:c r="E26" s="2" t="str">
        <x:v>V04</x:v>
      </x:c>
      <x:c r="F26" s="23" t="str">
        <x:v>参加拡大の比較対照・安定性は悪化</x:v>
      </x:c>
      <x:c r="G26" s="22" t="n">
        <x:f>COUNTIFS('日経_V04'!C7:C56,C26)</x:f>
        <x:v>25</x:v>
      </x:c>
      <x:c r="H26" s="20" t="n">
        <x:f>SUMIFS('日経_V04'!D7:D56,'日経_V04'!C7:C56,C26)</x:f>
        <x:v>3020778</x:v>
      </x:c>
      <x:c r="I26" s="20" t="n">
        <x:f>SUMIFS('日経_V04'!E7:E56,'日経_V04'!C7:C56,C26)</x:f>
        <x:v>2914856</x:v>
      </x:c>
      <x:c r="J26" s="20" t="n">
        <x:f>H26-I26</x:f>
        <x:v>105922</x:v>
      </x:c>
      <x:c r="K26" s="22" t="n">
        <x:f>SUMIFS('日経_V04'!J7:J56,'日経_V04'!C7:C56,C26)</x:f>
        <x:v>217</x:v>
      </x:c>
      <x:c r="L26" s="22" t="n">
        <x:f>COUNTIFS('日経_V04'!F7:F56,"&gt;0",'日経_V04'!C7:C56,C26)</x:f>
        <x:v>16</x:v>
      </x:c>
      <x:c r="M26" s="22" t="n">
        <x:f>COUNTIFS('日経_V04'!F7:F56,"&lt;0",'日経_V04'!C7:C56,C26)</x:f>
        <x:v>9</x:v>
      </x:c>
      <x:c r="N26" s="22" t="n">
        <x:f>COUNTIFS('日経_V04'!J7:J56,"=0",'日経_V04'!C7:C56,C26)</x:f>
        <x:v>0</x:v>
      </x:c>
      <x:c r="O26" s="20" t="n">
        <x:f>IF(M26=0,0,-SUMIFS('日経_V04'!F7:F56,'日経_V04'!F7:F56,"&lt;0",'日経_V04'!C7:C56,C26)/M26)</x:f>
        <x:v>81111.11111111111</x:v>
      </x:c>
      <x:c r="P26" s="20" t="n">
        <x:f>MAX(0,-_xlfn.MINIFS('日経_V04'!F7:F56,'日経_V04'!C7:C56,C26))</x:f>
        <x:v>211308</x:v>
      </x:c>
      <x:c r="Q26" s="20" t="n">
        <x:f>J26-MAX(0,_xlfn.MAXIFS('日経_V04'!F7:F56,'日経_V04'!C7:C56,C26))-IF(COUNTIFS('日経_V04'!F7:F56,MAX(0,_xlfn.MAXIFS('日経_V04'!F7:F56,'日経_V04'!C7:C56,C26)),'日経_V04'!C7:C56,C26)&gt;=2,MAX(0,_xlfn.MAXIFS('日経_V04'!F7:F56,'日経_V04'!C7:C56,C26)),MAX(0,_xlfn.MAXIFS('日経_V04'!F7:F56,'日経_V04'!C7:C56,C26,'日経_V04'!F7:F56,"&lt;"&amp;MAX(0,_xlfn.MAXIFS('日経_V04'!F7:F56,'日経_V04'!C7:C56,C26)))))-IF(COUNTIFS('日経_V04'!F7:F56,MAX(0,_xlfn.MAXIFS('日経_V04'!F7:F56,'日経_V04'!C7:C56,C26)),'日経_V04'!C7:C56,C26)&gt;=3,MAX(0,_xlfn.MAXIFS('日経_V04'!F7:F56,'日経_V04'!C7:C56,C26)),IF(COUNTIFS('日経_V04'!F7:F56,IF(COUNTIFS('日経_V04'!F7:F56,MAX(0,_xlfn.MAXIFS('日経_V04'!F7:F56,'日経_V04'!C7:C56,C26)),'日経_V04'!C7:C56,C26)&gt;=2,MAX(0,_xlfn.MAXIFS('日経_V04'!F7:F56,'日経_V04'!C7:C56,C26)),MAX(0,_xlfn.MAXIFS('日経_V04'!F7:F56,'日経_V04'!C7:C56,C26,'日経_V04'!F7:F56,"&lt;"&amp;MAX(0,_xlfn.MAXIFS('日経_V04'!F7:F56,'日経_V04'!C7:C56,C26))))),'日経_V04'!C7:C56,C26)+COUNTIFS('日経_V04'!F7:F56,"&gt;"&amp;IF(COUNTIFS('日経_V04'!F7:F56,MAX(0,_xlfn.MAXIFS('日経_V04'!F7:F56,'日経_V04'!C7:C56,C26)),'日経_V04'!C7:C56,C26)&gt;=2,MAX(0,_xlfn.MAXIFS('日経_V04'!F7:F56,'日経_V04'!C7:C56,C26)),MAX(0,_xlfn.MAXIFS('日経_V04'!F7:F56,'日経_V04'!C7:C56,C26,'日経_V04'!F7:F56,"&lt;"&amp;MAX(0,_xlfn.MAXIFS('日経_V04'!F7:F56,'日経_V04'!C7:C56,C26))))),'日経_V04'!C7:C56,C26)&gt;=3,IF(COUNTIFS('日経_V04'!F7:F56,MAX(0,_xlfn.MAXIFS('日経_V04'!F7:F56,'日経_V04'!C7:C56,C26)),'日経_V04'!C7:C56,C26)&gt;=2,MAX(0,_xlfn.MAXIFS('日経_V04'!F7:F56,'日経_V04'!C7:C56,C26)),MAX(0,_xlfn.MAXIFS('日経_V04'!F7:F56,'日経_V04'!C7:C56,C26,'日経_V04'!F7:F56,"&lt;"&amp;MAX(0,_xlfn.MAXIFS('日経_V04'!F7:F56,'日経_V04'!C7:C56,C26))))),MAX(0,_xlfn.MAXIFS('日経_V04'!F7:F56,'日経_V04'!C7:C56,C26,'日経_V04'!F7:F56,"&lt;"&amp;IF(COUNTIFS('日経_V04'!F7:F56,MAX(0,_xlfn.MAXIFS('日経_V04'!F7:F56,'日経_V04'!C7:C56,C26)),'日経_V04'!C7:C56,C26)&gt;=2,MAX(0,_xlfn.MAXIFS('日経_V04'!F7:F56,'日経_V04'!C7:C56,C26)),MAX(0,_xlfn.MAXIFS('日経_V04'!F7:F56,'日経_V04'!C7:C56,C26,'日経_V04'!F7:F56,"&lt;"&amp;MAX(0,_xlfn.MAXIFS('日経_V04'!F7:F56,'日経_V04'!C7:C56,C26)))))))))</x:f>
        <x:v>-247694</x:v>
      </x:c>
      <x:c r="R26" s="26" t="n">
        <x:f>AVERAGEIFS('日経_V04'!P7:P56,'日経_V04'!C7:C56,C26)</x:f>
        <x:v>0.2461957264957265</x:v>
      </x:c>
    </x:row>
    <x:row r="27" ht="36" customHeight="1">
      <x:c r="A27" s="2" t="str">
        <x:v>日経mini</x:v>
      </x:c>
      <x:c r="B27" s="2" t="str">
        <x:v>V04</x:v>
      </x:c>
      <x:c r="C27" s="2" t="str">
        <x:v>デイ</x:v>
      </x:c>
      <x:c r="D27" s="2" t="str">
        <x:v>対照47場</x:v>
      </x:c>
      <x:c r="E27" s="2" t="str">
        <x:v>V04</x:v>
      </x:c>
      <x:c r="F27" s="23" t="str">
        <x:v>参加拡大の比較対照・安定性は悪化</x:v>
      </x:c>
      <x:c r="G27" s="22" t="n">
        <x:f>COUNTIFS('日経_V04'!C7:C53,C27)</x:f>
        <x:v>24</x:v>
      </x:c>
      <x:c r="H27" s="20" t="n">
        <x:f>SUMIFS('日経_V04'!D7:D53,'日経_V04'!C7:C53,C27)</x:f>
        <x:v>4349010</x:v>
      </x:c>
      <x:c r="I27" s="20" t="n">
        <x:f>SUMIFS('日経_V04'!E7:E53,'日経_V04'!C7:C53,C27)</x:f>
        <x:v>3228764</x:v>
      </x:c>
      <x:c r="J27" s="20" t="n">
        <x:f>H27-I27</x:f>
        <x:v>1120246</x:v>
      </x:c>
      <x:c r="K27" s="22" t="n">
        <x:f>SUMIFS('日経_V04'!J7:J53,'日経_V04'!C7:C53,C27)</x:f>
        <x:v>206</x:v>
      </x:c>
      <x:c r="L27" s="22" t="n">
        <x:f>COUNTIFS('日経_V04'!F7:F53,"&gt;0",'日経_V04'!C7:C53,C27)</x:f>
        <x:v>15</x:v>
      </x:c>
      <x:c r="M27" s="22" t="n">
        <x:f>COUNTIFS('日経_V04'!F7:F53,"&lt;0",'日経_V04'!C7:C53,C27)</x:f>
        <x:v>9</x:v>
      </x:c>
      <x:c r="N27" s="22" t="n">
        <x:f>COUNTIFS('日経_V04'!J7:J53,"=0",'日経_V04'!C7:C53,C27)</x:f>
        <x:v>0</x:v>
      </x:c>
      <x:c r="O27" s="20" t="n">
        <x:f>IF(M27=0,0,-SUMIFS('日経_V04'!F7:F53,'日経_V04'!F7:F53,"&lt;0",'日経_V04'!C7:C53,C27)/M27)</x:f>
        <x:v>115896.22222222222</x:v>
      </x:c>
      <x:c r="P27" s="20" t="n">
        <x:f>MAX(0,-_xlfn.MINIFS('日経_V04'!F7:F53,'日経_V04'!C7:C53,C27))</x:f>
        <x:v>226770</x:v>
      </x:c>
      <x:c r="Q27" s="20" t="n">
        <x:f>J27-MAX(0,_xlfn.MAXIFS('日経_V04'!F7:F53,'日経_V04'!C7:C53,C27))-IF(COUNTIFS('日経_V04'!F7:F53,MAX(0,_xlfn.MAXIFS('日経_V04'!F7:F53,'日経_V04'!C7:C53,C27)),'日経_V04'!C7:C53,C27)&gt;=2,MAX(0,_xlfn.MAXIFS('日経_V04'!F7:F53,'日経_V04'!C7:C53,C27)),MAX(0,_xlfn.MAXIFS('日経_V04'!F7:F53,'日経_V04'!C7:C53,C27,'日経_V04'!F7:F53,"&lt;"&amp;MAX(0,_xlfn.MAXIFS('日経_V04'!F7:F53,'日経_V04'!C7:C53,C27)))))-IF(COUNTIFS('日経_V04'!F7:F53,MAX(0,_xlfn.MAXIFS('日経_V04'!F7:F53,'日経_V04'!C7:C53,C27)),'日経_V04'!C7:C53,C27)&gt;=3,MAX(0,_xlfn.MAXIFS('日経_V04'!F7:F53,'日経_V04'!C7:C53,C27)),IF(COUNTIFS('日経_V04'!F7:F53,IF(COUNTIFS('日経_V04'!F7:F53,MAX(0,_xlfn.MAXIFS('日経_V04'!F7:F53,'日経_V04'!C7:C53,C27)),'日経_V04'!C7:C53,C27)&gt;=2,MAX(0,_xlfn.MAXIFS('日経_V04'!F7:F53,'日経_V04'!C7:C53,C27)),MAX(0,_xlfn.MAXIFS('日経_V04'!F7:F53,'日経_V04'!C7:C53,C27,'日経_V04'!F7:F53,"&lt;"&amp;MAX(0,_xlfn.MAXIFS('日経_V04'!F7:F53,'日経_V04'!C7:C53,C27))))),'日経_V04'!C7:C53,C27)+COUNTIFS('日経_V04'!F7:F53,"&gt;"&amp;IF(COUNTIFS('日経_V04'!F7:F53,MAX(0,_xlfn.MAXIFS('日経_V04'!F7:F53,'日経_V04'!C7:C53,C27)),'日経_V04'!C7:C53,C27)&gt;=2,MAX(0,_xlfn.MAXIFS('日経_V04'!F7:F53,'日経_V04'!C7:C53,C27)),MAX(0,_xlfn.MAXIFS('日経_V04'!F7:F53,'日経_V04'!C7:C53,C27,'日経_V04'!F7:F53,"&lt;"&amp;MAX(0,_xlfn.MAXIFS('日経_V04'!F7:F53,'日経_V04'!C7:C53,C27))))),'日経_V04'!C7:C53,C27)&gt;=3,IF(COUNTIFS('日経_V04'!F7:F53,MAX(0,_xlfn.MAXIFS('日経_V04'!F7:F53,'日経_V04'!C7:C53,C27)),'日経_V04'!C7:C53,C27)&gt;=2,MAX(0,_xlfn.MAXIFS('日経_V04'!F7:F53,'日経_V04'!C7:C53,C27)),MAX(0,_xlfn.MAXIFS('日経_V04'!F7:F53,'日経_V04'!C7:C53,C27,'日経_V04'!F7:F53,"&lt;"&amp;MAX(0,_xlfn.MAXIFS('日経_V04'!F7:F53,'日経_V04'!C7:C53,C27))))),MAX(0,_xlfn.MAXIFS('日経_V04'!F7:F53,'日経_V04'!C7:C53,C27,'日経_V04'!F7:F53,"&lt;"&amp;IF(COUNTIFS('日経_V04'!F7:F53,MAX(0,_xlfn.MAXIFS('日経_V04'!F7:F53,'日経_V04'!C7:C53,C27)),'日経_V04'!C7:C53,C27)&gt;=2,MAX(0,_xlfn.MAXIFS('日経_V04'!F7:F53,'日経_V04'!C7:C53,C27)),MAX(0,_xlfn.MAXIFS('日経_V04'!F7:F53,'日経_V04'!C7:C53,C27,'日経_V04'!F7:F53,"&lt;"&amp;MAX(0,_xlfn.MAXIFS('日経_V04'!F7:F53,'日経_V04'!C7:C53,C27)))))))))</x:f>
        <x:v>47016</x:v>
      </x:c>
      <x:c r="R27" s="26" t="n">
        <x:f>AVERAGEIFS('日経_V04'!P7:P53,'日経_V04'!C7:C53,C27)</x:f>
        <x:v>0.5782738095238095</x:v>
      </x:c>
    </x:row>
    <x:row r="28" ht="36" customHeight="1">
      <x:c r="A28" s="2" t="str">
        <x:v>日経mini</x:v>
      </x:c>
      <x:c r="B28" s="2" t="str">
        <x:v>V04</x:v>
      </x:c>
      <x:c r="C28" s="2" t="str">
        <x:v>ナイト</x:v>
      </x:c>
      <x:c r="D28" s="2" t="str">
        <x:v>対照47場</x:v>
      </x:c>
      <x:c r="E28" s="2" t="str">
        <x:v>V04</x:v>
      </x:c>
      <x:c r="F28" s="23" t="str">
        <x:v>参加拡大の比較対照・安定性は悪化</x:v>
      </x:c>
      <x:c r="G28" s="22" t="n">
        <x:f>COUNTIFS('日経_V04'!C7:C53,C28)</x:f>
        <x:v>23</x:v>
      </x:c>
      <x:c r="H28" s="20" t="n">
        <x:f>SUMIFS('日経_V04'!D7:D53,'日経_V04'!C7:C53,C28)</x:f>
        <x:v>2762162</x:v>
      </x:c>
      <x:c r="I28" s="20" t="n">
        <x:f>SUMIFS('日経_V04'!E7:E53,'日経_V04'!C7:C53,C28)</x:f>
        <x:v>2462546</x:v>
      </x:c>
      <x:c r="J28" s="20" t="n">
        <x:f>H28-I28</x:f>
        <x:v>299616</x:v>
      </x:c>
      <x:c r="K28" s="22" t="n">
        <x:f>SUMIFS('日経_V04'!J7:J53,'日経_V04'!C7:C53,C28)</x:f>
        <x:v>191</x:v>
      </x:c>
      <x:c r="L28" s="22" t="n">
        <x:f>COUNTIFS('日経_V04'!F7:F53,"&gt;0",'日経_V04'!C7:C53,C28)</x:f>
        <x:v>16</x:v>
      </x:c>
      <x:c r="M28" s="22" t="n">
        <x:f>COUNTIFS('日経_V04'!F7:F53,"&lt;0",'日経_V04'!C7:C53,C28)</x:f>
        <x:v>7</x:v>
      </x:c>
      <x:c r="N28" s="22" t="n">
        <x:f>COUNTIFS('日経_V04'!J7:J53,"=0",'日経_V04'!C7:C53,C28)</x:f>
        <x:v>0</x:v>
      </x:c>
      <x:c r="O28" s="20" t="n">
        <x:f>IF(M28=0,0,-SUMIFS('日経_V04'!F7:F53,'日経_V04'!F7:F53,"&lt;0",'日経_V04'!C7:C53,C28)/M28)</x:f>
        <x:v>76615.14285714286</x:v>
      </x:c>
      <x:c r="P28" s="20" t="n">
        <x:f>MAX(0,-_xlfn.MINIFS('日経_V04'!F7:F53,'日経_V04'!C7:C53,C28))</x:f>
        <x:v>211308</x:v>
      </x:c>
      <x:c r="Q28" s="20" t="n">
        <x:f>J28-MAX(0,_xlfn.MAXIFS('日経_V04'!F7:F53,'日経_V04'!C7:C53,C28))-IF(COUNTIFS('日経_V04'!F7:F53,MAX(0,_xlfn.MAXIFS('日経_V04'!F7:F53,'日経_V04'!C7:C53,C28)),'日経_V04'!C7:C53,C28)&gt;=2,MAX(0,_xlfn.MAXIFS('日経_V04'!F7:F53,'日経_V04'!C7:C53,C28)),MAX(0,_xlfn.MAXIFS('日経_V04'!F7:F53,'日経_V04'!C7:C53,C28,'日経_V04'!F7:F53,"&lt;"&amp;MAX(0,_xlfn.MAXIFS('日経_V04'!F7:F53,'日経_V04'!C7:C53,C28)))))-IF(COUNTIFS('日経_V04'!F7:F53,MAX(0,_xlfn.MAXIFS('日経_V04'!F7:F53,'日経_V04'!C7:C53,C28)),'日経_V04'!C7:C53,C28)&gt;=3,MAX(0,_xlfn.MAXIFS('日経_V04'!F7:F53,'日経_V04'!C7:C53,C28)),IF(COUNTIFS('日経_V04'!F7:F53,IF(COUNTIFS('日経_V04'!F7:F53,MAX(0,_xlfn.MAXIFS('日経_V04'!F7:F53,'日経_V04'!C7:C53,C28)),'日経_V04'!C7:C53,C28)&gt;=2,MAX(0,_xlfn.MAXIFS('日経_V04'!F7:F53,'日経_V04'!C7:C53,C28)),MAX(0,_xlfn.MAXIFS('日経_V04'!F7:F53,'日経_V04'!C7:C53,C28,'日経_V04'!F7:F53,"&lt;"&amp;MAX(0,_xlfn.MAXIFS('日経_V04'!F7:F53,'日経_V04'!C7:C53,C28))))),'日経_V04'!C7:C53,C28)+COUNTIFS('日経_V04'!F7:F53,"&gt;"&amp;IF(COUNTIFS('日経_V04'!F7:F53,MAX(0,_xlfn.MAXIFS('日経_V04'!F7:F53,'日経_V04'!C7:C53,C28)),'日経_V04'!C7:C53,C28)&gt;=2,MAX(0,_xlfn.MAXIFS('日経_V04'!F7:F53,'日経_V04'!C7:C53,C28)),MAX(0,_xlfn.MAXIFS('日経_V04'!F7:F53,'日経_V04'!C7:C53,C28,'日経_V04'!F7:F53,"&lt;"&amp;MAX(0,_xlfn.MAXIFS('日経_V04'!F7:F53,'日経_V04'!C7:C53,C28))))),'日経_V04'!C7:C53,C28)&gt;=3,IF(COUNTIFS('日経_V04'!F7:F53,MAX(0,_xlfn.MAXIFS('日経_V04'!F7:F53,'日経_V04'!C7:C53,C28)),'日経_V04'!C7:C53,C28)&gt;=2,MAX(0,_xlfn.MAXIFS('日経_V04'!F7:F53,'日経_V04'!C7:C53,C28)),MAX(0,_xlfn.MAXIFS('日経_V04'!F7:F53,'日経_V04'!C7:C53,C28,'日経_V04'!F7:F53,"&lt;"&amp;MAX(0,_xlfn.MAXIFS('日経_V04'!F7:F53,'日経_V04'!C7:C53,C28))))),MAX(0,_xlfn.MAXIFS('日経_V04'!F7:F53,'日経_V04'!C7:C53,C28,'日経_V04'!F7:F53,"&lt;"&amp;IF(COUNTIFS('日経_V04'!F7:F53,MAX(0,_xlfn.MAXIFS('日経_V04'!F7:F53,'日経_V04'!C7:C53,C28)),'日経_V04'!C7:C53,C28)&gt;=2,MAX(0,_xlfn.MAXIFS('日経_V04'!F7:F53,'日経_V04'!C7:C53,C28)),MAX(0,_xlfn.MAXIFS('日経_V04'!F7:F53,'日経_V04'!C7:C53,C28,'日経_V04'!F7:F53,"&lt;"&amp;MAX(0,_xlfn.MAXIFS('日経_V04'!F7:F53,'日経_V04'!C7:C53,C28)))))))))</x:f>
        <x:v>-54000</x:v>
      </x:c>
      <x:c r="R28" s="26" t="n">
        <x:f>AVERAGEIFS('日経_V04'!P7:P53,'日経_V04'!C7:C53,C28)</x:f>
        <x:v>0.23867335562987738</x:v>
      </x:c>
    </x:row>
    <x:row r="29" ht="36" customHeight="1">
      <x:c r="A29" s="2" t="str">
        <x:v>日経mini</x:v>
      </x:c>
      <x:c r="B29" s="2" t="str">
        <x:v>V04</x:v>
      </x:c>
      <x:c r="C29" s="2" t="str">
        <x:v>デイ</x:v>
      </x:c>
      <x:c r="D29" s="2" t="str">
        <x:v>診断3場</x:v>
      </x:c>
      <x:c r="E29" s="2" t="str">
        <x:v>V04</x:v>
      </x:c>
      <x:c r="F29" s="23" t="str">
        <x:v>参加拡大の比較対照・安定性は悪化</x:v>
      </x:c>
      <x:c r="G29" s="22" t="n">
        <x:f>COUNTIFS('日経_V04'!C54:C56,C29)</x:f>
        <x:v>1</x:v>
      </x:c>
      <x:c r="H29" s="20" t="n">
        <x:f>SUMIFS('日経_V04'!D54:D56,'日経_V04'!C54:C56,C29)</x:f>
        <x:v>35692</x:v>
      </x:c>
      <x:c r="I29" s="20" t="n">
        <x:f>SUMIFS('日経_V04'!E54:E56,'日経_V04'!C54:C56,C29)</x:f>
        <x:v>280770</x:v>
      </x:c>
      <x:c r="J29" s="20" t="n">
        <x:f>H29-I29</x:f>
        <x:v>-245078</x:v>
      </x:c>
      <x:c r="K29" s="22" t="n">
        <x:f>SUMIFS('日経_V04'!J54:J56,'日経_V04'!C54:C56,C29)</x:f>
        <x:v>12</x:v>
      </x:c>
      <x:c r="L29" s="22" t="n">
        <x:f>COUNTIFS('日経_V04'!F54:F56,"&gt;0",'日経_V04'!C54:C56,C29)</x:f>
        <x:v>0</x:v>
      </x:c>
      <x:c r="M29" s="22" t="n">
        <x:f>COUNTIFS('日経_V04'!F54:F56,"&lt;0",'日経_V04'!C54:C56,C29)</x:f>
        <x:v>1</x:v>
      </x:c>
      <x:c r="N29" s="22" t="n">
        <x:f>COUNTIFS('日経_V04'!J54:J56,"=0",'日経_V04'!C54:C56,C29)</x:f>
        <x:v>0</x:v>
      </x:c>
      <x:c r="O29" s="20" t="n">
        <x:f>IF(M29=0,0,-SUMIFS('日経_V04'!F54:F56,'日経_V04'!F54:F56,"&lt;0",'日経_V04'!C54:C56,C29)/M29)</x:f>
        <x:v>245078</x:v>
      </x:c>
      <x:c r="P29" s="20" t="n">
        <x:f>MAX(0,-_xlfn.MINIFS('日経_V04'!F54:F56,'日経_V04'!C54:C56,C29))</x:f>
        <x:v>245078</x:v>
      </x:c>
      <x:c r="Q29" s="20" t="n">
        <x:f>J29-MAX(0,_xlfn.MAXIFS('日経_V04'!F54:F56,'日経_V04'!C54:C56,C29))-IF(COUNTIFS('日経_V04'!F54:F56,MAX(0,_xlfn.MAXIFS('日経_V04'!F54:F56,'日経_V04'!C54:C56,C29)),'日経_V04'!C54:C56,C29)&gt;=2,MAX(0,_xlfn.MAXIFS('日経_V04'!F54:F56,'日経_V04'!C54:C56,C29)),MAX(0,_xlfn.MAXIFS('日経_V04'!F54:F56,'日経_V04'!C54:C56,C29,'日経_V04'!F54:F56,"&lt;"&amp;MAX(0,_xlfn.MAXIFS('日経_V04'!F54:F56,'日経_V04'!C54:C56,C29)))))-IF(COUNTIFS('日経_V04'!F54:F56,MAX(0,_xlfn.MAXIFS('日経_V04'!F54:F56,'日経_V04'!C54:C56,C29)),'日経_V04'!C54:C56,C29)&gt;=3,MAX(0,_xlfn.MAXIFS('日経_V04'!F54:F56,'日経_V04'!C54:C56,C29)),IF(COUNTIFS('日経_V04'!F54:F56,IF(COUNTIFS('日経_V04'!F54:F56,MAX(0,_xlfn.MAXIFS('日経_V04'!F54:F56,'日経_V04'!C54:C56,C29)),'日経_V04'!C54:C56,C29)&gt;=2,MAX(0,_xlfn.MAXIFS('日経_V04'!F54:F56,'日経_V04'!C54:C56,C29)),MAX(0,_xlfn.MAXIFS('日経_V04'!F54:F56,'日経_V04'!C54:C56,C29,'日経_V04'!F54:F56,"&lt;"&amp;MAX(0,_xlfn.MAXIFS('日経_V04'!F54:F56,'日経_V04'!C54:C56,C29))))),'日経_V04'!C54:C56,C29)+COUNTIFS('日経_V04'!F54:F56,"&gt;"&amp;IF(COUNTIFS('日経_V04'!F54:F56,MAX(0,_xlfn.MAXIFS('日経_V04'!F54:F56,'日経_V04'!C54:C56,C29)),'日経_V04'!C54:C56,C29)&gt;=2,MAX(0,_xlfn.MAXIFS('日経_V04'!F54:F56,'日経_V04'!C54:C56,C29)),MAX(0,_xlfn.MAXIFS('日経_V04'!F54:F56,'日経_V04'!C54:C56,C29,'日経_V04'!F54:F56,"&lt;"&amp;MAX(0,_xlfn.MAXIFS('日経_V04'!F54:F56,'日経_V04'!C54:C56,C29))))),'日経_V04'!C54:C56,C29)&gt;=3,IF(COUNTIFS('日経_V04'!F54:F56,MAX(0,_xlfn.MAXIFS('日経_V04'!F54:F56,'日経_V04'!C54:C56,C29)),'日経_V04'!C54:C56,C29)&gt;=2,MAX(0,_xlfn.MAXIFS('日経_V04'!F54:F56,'日経_V04'!C54:C56,C29)),MAX(0,_xlfn.MAXIFS('日経_V04'!F54:F56,'日経_V04'!C54:C56,C29,'日経_V04'!F54:F56,"&lt;"&amp;MAX(0,_xlfn.MAXIFS('日経_V04'!F54:F56,'日経_V04'!C54:C56,C29))))),MAX(0,_xlfn.MAXIFS('日経_V04'!F54:F56,'日経_V04'!C54:C56,C29,'日経_V04'!F54:F56,"&lt;"&amp;IF(COUNTIFS('日経_V04'!F54:F56,MAX(0,_xlfn.MAXIFS('日経_V04'!F54:F56,'日経_V04'!C54:C56,C29)),'日経_V04'!C54:C56,C29)&gt;=2,MAX(0,_xlfn.MAXIFS('日経_V04'!F54:F56,'日経_V04'!C54:C56,C29)),MAX(0,_xlfn.MAXIFS('日経_V04'!F54:F56,'日経_V04'!C54:C56,C29,'日経_V04'!F54:F56,"&lt;"&amp;MAX(0,_xlfn.MAXIFS('日経_V04'!F54:F56,'日経_V04'!C54:C56,C29)))))))))</x:f>
        <x:v>-245078</x:v>
      </x:c>
      <x:c r="R29" s="26" t="n">
        <x:f>AVERAGEIFS('日経_V04'!P54:P56,'日経_V04'!C54:C56,C29)</x:f>
        <x:v>0.5550396825396826</x:v>
      </x:c>
    </x:row>
    <x:row r="30" ht="36" customHeight="1">
      <x:c r="A30" s="2" t="str">
        <x:v>日経mini</x:v>
      </x:c>
      <x:c r="B30" s="2" t="str">
        <x:v>V04</x:v>
      </x:c>
      <x:c r="C30" s="2" t="str">
        <x:v>ナイト</x:v>
      </x:c>
      <x:c r="D30" s="2" t="str">
        <x:v>診断3場</x:v>
      </x:c>
      <x:c r="E30" s="2" t="str">
        <x:v>V04</x:v>
      </x:c>
      <x:c r="F30" s="23" t="str">
        <x:v>参加拡大の比較対照・安定性は悪化</x:v>
      </x:c>
      <x:c r="G30" s="22" t="n">
        <x:f>COUNTIFS('日経_V04'!C54:C56,C30)</x:f>
        <x:v>2</x:v>
      </x:c>
      <x:c r="H30" s="20" t="n">
        <x:f>SUMIFS('日経_V04'!D54:D56,'日経_V04'!C54:C56,C30)</x:f>
        <x:v>258616</x:v>
      </x:c>
      <x:c r="I30" s="20" t="n">
        <x:f>SUMIFS('日経_V04'!E54:E56,'日経_V04'!C54:C56,C30)</x:f>
        <x:v>452310</x:v>
      </x:c>
      <x:c r="J30" s="20" t="n">
        <x:f>H30-I30</x:f>
        <x:v>-193694</x:v>
      </x:c>
      <x:c r="K30" s="22" t="n">
        <x:f>SUMIFS('日経_V04'!J54:J56,'日経_V04'!C54:C56,C30)</x:f>
        <x:v>26</x:v>
      </x:c>
      <x:c r="L30" s="22" t="n">
        <x:f>COUNTIFS('日経_V04'!F54:F56,"&gt;0",'日経_V04'!C54:C56,C30)</x:f>
        <x:v>0</x:v>
      </x:c>
      <x:c r="M30" s="22" t="n">
        <x:f>COUNTIFS('日経_V04'!F54:F56,"&lt;0",'日経_V04'!C54:C56,C30)</x:f>
        <x:v>2</x:v>
      </x:c>
      <x:c r="N30" s="22" t="n">
        <x:f>COUNTIFS('日経_V04'!J54:J56,"=0",'日経_V04'!C54:C56,C30)</x:f>
        <x:v>0</x:v>
      </x:c>
      <x:c r="O30" s="20" t="n">
        <x:f>IF(M30=0,0,-SUMIFS('日経_V04'!F54:F56,'日経_V04'!F54:F56,"&lt;0",'日経_V04'!C54:C56,C30)/M30)</x:f>
        <x:v>96847</x:v>
      </x:c>
      <x:c r="P30" s="20" t="n">
        <x:f>MAX(0,-_xlfn.MINIFS('日経_V04'!F54:F56,'日経_V04'!C54:C56,C30))</x:f>
        <x:v>170770</x:v>
      </x:c>
      <x:c r="Q30" s="20" t="n">
        <x:f>J30-MAX(0,_xlfn.MAXIFS('日経_V04'!F54:F56,'日経_V04'!C54:C56,C30))-IF(COUNTIFS('日経_V04'!F54:F56,MAX(0,_xlfn.MAXIFS('日経_V04'!F54:F56,'日経_V04'!C54:C56,C30)),'日経_V04'!C54:C56,C30)&gt;=2,MAX(0,_xlfn.MAXIFS('日経_V04'!F54:F56,'日経_V04'!C54:C56,C30)),MAX(0,_xlfn.MAXIFS('日経_V04'!F54:F56,'日経_V04'!C54:C56,C30,'日経_V04'!F54:F56,"&lt;"&amp;MAX(0,_xlfn.MAXIFS('日経_V04'!F54:F56,'日経_V04'!C54:C56,C30)))))-IF(COUNTIFS('日経_V04'!F54:F56,MAX(0,_xlfn.MAXIFS('日経_V04'!F54:F56,'日経_V04'!C54:C56,C30)),'日経_V04'!C54:C56,C30)&gt;=3,MAX(0,_xlfn.MAXIFS('日経_V04'!F54:F56,'日経_V04'!C54:C56,C30)),IF(COUNTIFS('日経_V04'!F54:F56,IF(COUNTIFS('日経_V04'!F54:F56,MAX(0,_xlfn.MAXIFS('日経_V04'!F54:F56,'日経_V04'!C54:C56,C30)),'日経_V04'!C54:C56,C30)&gt;=2,MAX(0,_xlfn.MAXIFS('日経_V04'!F54:F56,'日経_V04'!C54:C56,C30)),MAX(0,_xlfn.MAXIFS('日経_V04'!F54:F56,'日経_V04'!C54:C56,C30,'日経_V04'!F54:F56,"&lt;"&amp;MAX(0,_xlfn.MAXIFS('日経_V04'!F54:F56,'日経_V04'!C54:C56,C30))))),'日経_V04'!C54:C56,C30)+COUNTIFS('日経_V04'!F54:F56,"&gt;"&amp;IF(COUNTIFS('日経_V04'!F54:F56,MAX(0,_xlfn.MAXIFS('日経_V04'!F54:F56,'日経_V04'!C54:C56,C30)),'日経_V04'!C54:C56,C30)&gt;=2,MAX(0,_xlfn.MAXIFS('日経_V04'!F54:F56,'日経_V04'!C54:C56,C30)),MAX(0,_xlfn.MAXIFS('日経_V04'!F54:F56,'日経_V04'!C54:C56,C30,'日経_V04'!F54:F56,"&lt;"&amp;MAX(0,_xlfn.MAXIFS('日経_V04'!F54:F56,'日経_V04'!C54:C56,C30))))),'日経_V04'!C54:C56,C30)&gt;=3,IF(COUNTIFS('日経_V04'!F54:F56,MAX(0,_xlfn.MAXIFS('日経_V04'!F54:F56,'日経_V04'!C54:C56,C30)),'日経_V04'!C54:C56,C30)&gt;=2,MAX(0,_xlfn.MAXIFS('日経_V04'!F54:F56,'日経_V04'!C54:C56,C30)),MAX(0,_xlfn.MAXIFS('日経_V04'!F54:F56,'日経_V04'!C54:C56,C30,'日経_V04'!F54:F56,"&lt;"&amp;MAX(0,_xlfn.MAXIFS('日経_V04'!F54:F56,'日経_V04'!C54:C56,C30))))),MAX(0,_xlfn.MAXIFS('日経_V04'!F54:F56,'日経_V04'!C54:C56,C30,'日経_V04'!F54:F56,"&lt;"&amp;IF(COUNTIFS('日経_V04'!F54:F56,MAX(0,_xlfn.MAXIFS('日経_V04'!F54:F56,'日経_V04'!C54:C56,C30)),'日経_V04'!C54:C56,C30)&gt;=2,MAX(0,_xlfn.MAXIFS('日経_V04'!F54:F56,'日経_V04'!C54:C56,C30)),MAX(0,_xlfn.MAXIFS('日経_V04'!F54:F56,'日経_V04'!C54:C56,C30,'日経_V04'!F54:F56,"&lt;"&amp;MAX(0,_xlfn.MAXIFS('日経_V04'!F54:F56,'日経_V04'!C54:C56,C30)))))))))</x:f>
        <x:v>-193694</x:v>
      </x:c>
      <x:c r="R30" s="26" t="n">
        <x:f>AVERAGEIFS('日経_V04'!P54:P56,'日経_V04'!C54:C56,C30)</x:f>
        <x:v>0.3327029914529914</x:v>
      </x:c>
    </x:row>
    <x:row r="31" ht="36" customHeight="1">
      <x:c r="A31" s="2" t="str">
        <x:v>TOPIXmini</x:v>
      </x:c>
      <x:c r="B31" s="2" t="str">
        <x:v>B5</x:v>
      </x:c>
      <x:c r="C31" s="2" t="str">
        <x:v>デイ</x:v>
      </x:c>
      <x:c r="D31" s="2" t="str">
        <x:v>全50場</x:v>
      </x:c>
      <x:c r="E31" s="2" t="str">
        <x:v>B5（T06）</x:v>
      </x:c>
      <x:c r="F31" s="23" t="str">
        <x:v>従来基準</x:v>
      </x:c>
      <x:c r="G31" s="22" t="n">
        <x:f>COUNTIFS('TOPIX_B5'!C7:C56,C31)</x:f>
        <x:v>25</x:v>
      </x:c>
      <x:c r="H31" s="20" t="n">
        <x:f>SUMIFS('TOPIX_B5'!D7:D56,'TOPIX_B5'!C7:C56,C31)</x:f>
        <x:v>1283248</x:v>
      </x:c>
      <x:c r="I31" s="20" t="n">
        <x:f>SUMIFS('TOPIX_B5'!E7:E56,'TOPIX_B5'!C7:C56,C31)</x:f>
        <x:v>888711</x:v>
      </x:c>
      <x:c r="J31" s="20" t="n">
        <x:f>H31-I31</x:f>
        <x:v>394537</x:v>
      </x:c>
      <x:c r="K31" s="22" t="n">
        <x:f>SUMIFS('TOPIX_B5'!J7:J56,'TOPIX_B5'!C7:C56,C31)</x:f>
        <x:v>55</x:v>
      </x:c>
      <x:c r="L31" s="22" t="n">
        <x:f>COUNTIFS('TOPIX_B5'!F7:F56,"&gt;0",'TOPIX_B5'!C7:C56,C31)</x:f>
        <x:v>16</x:v>
      </x:c>
      <x:c r="M31" s="22" t="n">
        <x:f>COUNTIFS('TOPIX_B5'!F7:F56,"&lt;0",'TOPIX_B5'!C7:C56,C31)</x:f>
        <x:v>9</x:v>
      </x:c>
      <x:c r="N31" s="22" t="n">
        <x:f>COUNTIFS('TOPIX_B5'!J7:J56,"=0",'TOPIX_B5'!C7:C56,C31)</x:f>
        <x:v>0</x:v>
      </x:c>
      <x:c r="O31" s="20" t="n">
        <x:f>IF(M31=0,0,-SUMIFS('TOPIX_B5'!F7:F56,'TOPIX_B5'!F7:F56,"&lt;0",'TOPIX_B5'!C7:C56,C31)/M31)</x:f>
        <x:v>48040.333333333336</x:v>
      </x:c>
      <x:c r="P31" s="20" t="n">
        <x:f>MAX(0,-_xlfn.MINIFS('TOPIX_B5'!F7:F56,'TOPIX_B5'!C7:C56,C31))</x:f>
        <x:v>131254</x:v>
      </x:c>
      <x:c r="Q31" s="20" t="n">
        <x:f>J31-MAX(0,_xlfn.MAXIFS('TOPIX_B5'!F7:F56,'TOPIX_B5'!C7:C56,C31))-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-IF(COUNTIFS('TOPIX_B5'!F7:F56,MAX(0,_xlfn.MAXIFS('TOPIX_B5'!F7:F56,'TOPIX_B5'!C7:C56,C31)),'TOPIX_B5'!C7:C56,C31)&gt;=3,MAX(0,_xlfn.MAXIFS('TOPIX_B5'!F7:F56,'TOPIX_B5'!C7:C56,C31)),IF(COUNTIFS('TOPIX_B5'!F7:F56,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'TOPIX_B5'!C7:C56,C31)+COUNTIFS('TOPIX_B5'!F7:F56,"&gt;"&amp;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'TOPIX_B5'!C7:C56,C31)&gt;=3,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MAX(0,_xlfn.MAXIFS('TOPIX_B5'!F7:F56,'TOPIX_B5'!C7:C56,C31,'TOPIX_B5'!F7:F56,"&lt;"&amp;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))))</x:f>
        <x:v>118041</x:v>
      </x:c>
      <x:c r="R31" s="26" t="n">
        <x:f>AVERAGEIFS('TOPIX_B5'!P7:P56,'TOPIX_B5'!C7:C56,C31)</x:f>
        <x:v>0.40611269841269837</x:v>
      </x:c>
    </x:row>
    <x:row r="32" ht="36" customHeight="1">
      <x:c r="A32" s="2" t="str">
        <x:v>TOPIXmini</x:v>
      </x:c>
      <x:c r="B32" s="2" t="str">
        <x:v>B5</x:v>
      </x:c>
      <x:c r="C32" s="2" t="str">
        <x:v>ナイト</x:v>
      </x:c>
      <x:c r="D32" s="2" t="str">
        <x:v>全50場</x:v>
      </x:c>
      <x:c r="E32" s="2" t="str">
        <x:v>B5（T04）</x:v>
      </x:c>
      <x:c r="F32" s="23" t="str">
        <x:v>従来基準</x:v>
      </x:c>
      <x:c r="G32" s="22" t="n">
        <x:f>COUNTIFS('TOPIX_B5'!C7:C56,C32)</x:f>
        <x:v>25</x:v>
      </x:c>
      <x:c r="H32" s="20" t="n">
        <x:f>SUMIFS('TOPIX_B5'!D7:D56,'TOPIX_B5'!C7:C56,C32)</x:f>
        <x:v>938288</x:v>
      </x:c>
      <x:c r="I32" s="20" t="n">
        <x:f>SUMIFS('TOPIX_B5'!E7:E56,'TOPIX_B5'!C7:C56,C32)</x:f>
        <x:v>577540</x:v>
      </x:c>
      <x:c r="J32" s="20" t="n">
        <x:f>H32-I32</x:f>
        <x:v>360748</x:v>
      </x:c>
      <x:c r="K32" s="22" t="n">
        <x:f>SUMIFS('TOPIX_B5'!J7:J56,'TOPIX_B5'!C7:C56,C32)</x:f>
        <x:v>64</x:v>
      </x:c>
      <x:c r="L32" s="22" t="n">
        <x:f>COUNTIFS('TOPIX_B5'!F7:F56,"&gt;0",'TOPIX_B5'!C7:C56,C32)</x:f>
        <x:v>22</x:v>
      </x:c>
      <x:c r="M32" s="22" t="n">
        <x:f>COUNTIFS('TOPIX_B5'!F7:F56,"&lt;0",'TOPIX_B5'!C7:C56,C32)</x:f>
        <x:v>3</x:v>
      </x:c>
      <x:c r="N32" s="22" t="n">
        <x:f>COUNTIFS('TOPIX_B5'!J7:J56,"=0",'TOPIX_B5'!C7:C56,C32)</x:f>
        <x:v>0</x:v>
      </x:c>
      <x:c r="O32" s="20" t="n">
        <x:f>IF(M32=0,0,-SUMIFS('TOPIX_B5'!F7:F56,'TOPIX_B5'!F7:F56,"&lt;0",'TOPIX_B5'!C7:C56,C32)/M32)</x:f>
        <x:v>49448</x:v>
      </x:c>
      <x:c r="P32" s="20" t="n">
        <x:f>MAX(0,-_xlfn.MINIFS('TOPIX_B5'!F7:F56,'TOPIX_B5'!C7:C56,C32))</x:f>
        <x:v>53754</x:v>
      </x:c>
      <x:c r="Q32" s="20" t="n">
        <x:f>J32-MAX(0,_xlfn.MAXIFS('TOPIX_B5'!F7:F56,'TOPIX_B5'!C7:C56,C32))-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-IF(COUNTIFS('TOPIX_B5'!F7:F56,MAX(0,_xlfn.MAXIFS('TOPIX_B5'!F7:F56,'TOPIX_B5'!C7:C56,C32)),'TOPIX_B5'!C7:C56,C32)&gt;=3,MAX(0,_xlfn.MAXIFS('TOPIX_B5'!F7:F56,'TOPIX_B5'!C7:C56,C32)),IF(COUNTIFS('TOPIX_B5'!F7:F56,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'TOPIX_B5'!C7:C56,C32)+COUNTIFS('TOPIX_B5'!F7:F56,"&gt;"&amp;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'TOPIX_B5'!C7:C56,C32)&gt;=3,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MAX(0,_xlfn.MAXIFS('TOPIX_B5'!F7:F56,'TOPIX_B5'!C7:C56,C32,'TOPIX_B5'!F7:F56,"&lt;"&amp;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))))</x:f>
        <x:v>152428</x:v>
      </x:c>
      <x:c r="R32" s="26" t="n">
        <x:f>AVERAGEIFS('TOPIX_B5'!P7:P56,'TOPIX_B5'!C7:C56,C32)</x:f>
        <x:v>0.07255470085470084</x:v>
      </x:c>
    </x:row>
    <x:row r="33" ht="36" customHeight="1">
      <x:c r="A33" s="2" t="str">
        <x:v>TOPIXmini</x:v>
      </x:c>
      <x:c r="B33" s="2" t="str">
        <x:v>B5</x:v>
      </x:c>
      <x:c r="C33" s="2" t="str">
        <x:v>デイ</x:v>
      </x:c>
      <x:c r="D33" s="2" t="str">
        <x:v>対照47場</x:v>
      </x:c>
      <x:c r="E33" s="2" t="str">
        <x:v>B5（T06）</x:v>
      </x:c>
      <x:c r="F33" s="23" t="str">
        <x:v>従来基準</x:v>
      </x:c>
      <x:c r="G33" s="22" t="n">
        <x:f>COUNTIFS('TOPIX_B5'!C7:C53,C33)</x:f>
        <x:v>24</x:v>
      </x:c>
      <x:c r="H33" s="20" t="n">
        <x:f>SUMIFS('TOPIX_B5'!D7:D53,'TOPIX_B5'!C7:C53,C33)</x:f>
        <x:v>1283248</x:v>
      </x:c>
      <x:c r="I33" s="20" t="n">
        <x:f>SUMIFS('TOPIX_B5'!E7:E53,'TOPIX_B5'!C7:C53,C33)</x:f>
        <x:v>757457</x:v>
      </x:c>
      <x:c r="J33" s="20" t="n">
        <x:f>H33-I33</x:f>
        <x:v>525791</x:v>
      </x:c>
      <x:c r="K33" s="22" t="n">
        <x:f>SUMIFS('TOPIX_B5'!J7:J53,'TOPIX_B5'!C7:C53,C33)</x:f>
        <x:v>52</x:v>
      </x:c>
      <x:c r="L33" s="22" t="n">
        <x:f>COUNTIFS('TOPIX_B5'!F7:F53,"&gt;0",'TOPIX_B5'!C7:C53,C33)</x:f>
        <x:v>16</x:v>
      </x:c>
      <x:c r="M33" s="22" t="n">
        <x:f>COUNTIFS('TOPIX_B5'!F7:F53,"&lt;0",'TOPIX_B5'!C7:C53,C33)</x:f>
        <x:v>8</x:v>
      </x:c>
      <x:c r="N33" s="22" t="n">
        <x:f>COUNTIFS('TOPIX_B5'!J7:J53,"=0",'TOPIX_B5'!C7:C53,C33)</x:f>
        <x:v>0</x:v>
      </x:c>
      <x:c r="O33" s="20" t="n">
        <x:f>IF(M33=0,0,-SUMIFS('TOPIX_B5'!F7:F53,'TOPIX_B5'!F7:F53,"&lt;0",'TOPIX_B5'!C7:C53,C33)/M33)</x:f>
        <x:v>37638.625</x:v>
      </x:c>
      <x:c r="P33" s="20" t="n">
        <x:f>MAX(0,-_xlfn.MINIFS('TOPIX_B5'!F7:F53,'TOPIX_B5'!C7:C53,C33))</x:f>
        <x:v>79172</x:v>
      </x:c>
      <x:c r="Q33" s="20" t="n">
        <x:f>J33-MAX(0,_xlfn.MAXIFS('TOPIX_B5'!F7:F53,'TOPIX_B5'!C7:C53,C33))-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-IF(COUNTIFS('TOPIX_B5'!F7:F53,MAX(0,_xlfn.MAXIFS('TOPIX_B5'!F7:F53,'TOPIX_B5'!C7:C53,C33)),'TOPIX_B5'!C7:C53,C33)&gt;=3,MAX(0,_xlfn.MAXIFS('TOPIX_B5'!F7:F53,'TOPIX_B5'!C7:C53,C33)),IF(COUNTIFS('TOPIX_B5'!F7:F53,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'TOPIX_B5'!C7:C53,C33)+COUNTIFS('TOPIX_B5'!F7:F53,"&gt;"&amp;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'TOPIX_B5'!C7:C53,C33)&gt;=3,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MAX(0,_xlfn.MAXIFS('TOPIX_B5'!F7:F53,'TOPIX_B5'!C7:C53,C33,'TOPIX_B5'!F7:F53,"&lt;"&amp;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))))</x:f>
        <x:v>249295</x:v>
      </x:c>
      <x:c r="R33" s="26" t="n">
        <x:f>AVERAGEIFS('TOPIX_B5'!P7:P53,'TOPIX_B5'!C7:C53,C33)</x:f>
        <x:v>0.417676917989418</x:v>
      </x:c>
    </x:row>
    <x:row r="34" ht="36" customHeight="1">
      <x:c r="A34" s="2" t="str">
        <x:v>TOPIXmini</x:v>
      </x:c>
      <x:c r="B34" s="2" t="str">
        <x:v>B5</x:v>
      </x:c>
      <x:c r="C34" s="2" t="str">
        <x:v>ナイト</x:v>
      </x:c>
      <x:c r="D34" s="2" t="str">
        <x:v>対照47場</x:v>
      </x:c>
      <x:c r="E34" s="2" t="str">
        <x:v>B5（T04）</x:v>
      </x:c>
      <x:c r="F34" s="23" t="str">
        <x:v>従来基準</x:v>
      </x:c>
      <x:c r="G34" s="22" t="n">
        <x:f>COUNTIFS('TOPIX_B5'!C7:C53,C34)</x:f>
        <x:v>23</x:v>
      </x:c>
      <x:c r="H34" s="20" t="n">
        <x:f>SUMIFS('TOPIX_B5'!D7:D53,'TOPIX_B5'!C7:C53,C34)</x:f>
        <x:v>839960</x:v>
      </x:c>
      <x:c r="I34" s="20" t="n">
        <x:f>SUMIFS('TOPIX_B5'!E7:E53,'TOPIX_B5'!C7:C53,C34)</x:f>
        <x:v>541704</x:v>
      </x:c>
      <x:c r="J34" s="20" t="n">
        <x:f>H34-I34</x:f>
        <x:v>298256</x:v>
      </x:c>
      <x:c r="K34" s="22" t="n">
        <x:f>SUMIFS('TOPIX_B5'!J7:J53,'TOPIX_B5'!C7:C53,C34)</x:f>
        <x:v>58</x:v>
      </x:c>
      <x:c r="L34" s="22" t="n">
        <x:f>COUNTIFS('TOPIX_B5'!F7:F53,"&gt;0",'TOPIX_B5'!C7:C53,C34)</x:f>
        <x:v>20</x:v>
      </x:c>
      <x:c r="M34" s="22" t="n">
        <x:f>COUNTIFS('TOPIX_B5'!F7:F53,"&lt;0",'TOPIX_B5'!C7:C53,C34)</x:f>
        <x:v>3</x:v>
      </x:c>
      <x:c r="N34" s="22" t="n">
        <x:f>COUNTIFS('TOPIX_B5'!J7:J53,"=0",'TOPIX_B5'!C7:C53,C34)</x:f>
        <x:v>0</x:v>
      </x:c>
      <x:c r="O34" s="20" t="n">
        <x:f>IF(M34=0,0,-SUMIFS('TOPIX_B5'!F7:F53,'TOPIX_B5'!F7:F53,"&lt;0",'TOPIX_B5'!C7:C53,C34)/M34)</x:f>
        <x:v>49448</x:v>
      </x:c>
      <x:c r="P34" s="20" t="n">
        <x:f>MAX(0,-_xlfn.MINIFS('TOPIX_B5'!F7:F53,'TOPIX_B5'!C7:C53,C34))</x:f>
        <x:v>53754</x:v>
      </x:c>
      <x:c r="Q34" s="20" t="n">
        <x:f>J34-MAX(0,_xlfn.MAXIFS('TOPIX_B5'!F7:F53,'TOPIX_B5'!C7:C53,C34))-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-IF(COUNTIFS('TOPIX_B5'!F7:F53,MAX(0,_xlfn.MAXIFS('TOPIX_B5'!F7:F53,'TOPIX_B5'!C7:C53,C34)),'TOPIX_B5'!C7:C53,C34)&gt;=3,MAX(0,_xlfn.MAXIFS('TOPIX_B5'!F7:F53,'TOPIX_B5'!C7:C53,C34)),IF(COUNTIFS('TOPIX_B5'!F7:F53,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'TOPIX_B5'!C7:C53,C34)+COUNTIFS('TOPIX_B5'!F7:F53,"&gt;"&amp;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'TOPIX_B5'!C7:C53,C34)&gt;=3,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MAX(0,_xlfn.MAXIFS('TOPIX_B5'!F7:F53,'TOPIX_B5'!C7:C53,C34,'TOPIX_B5'!F7:F53,"&lt;"&amp;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))))</x:f>
        <x:v>89936</x:v>
      </x:c>
      <x:c r="R34" s="26" t="n">
        <x:f>AVERAGEIFS('TOPIX_B5'!P7:P53,'TOPIX_B5'!C7:C53,C34)</x:f>
        <x:v>0.0731633221850613</x:v>
      </x:c>
    </x:row>
    <x:row r="35" ht="36" customHeight="1">
      <x:c r="A35" s="2" t="str">
        <x:v>TOPIXmini</x:v>
      </x:c>
      <x:c r="B35" s="2" t="str">
        <x:v>B5</x:v>
      </x:c>
      <x:c r="C35" s="2" t="str">
        <x:v>デイ</x:v>
      </x:c>
      <x:c r="D35" s="2" t="str">
        <x:v>診断3場</x:v>
      </x:c>
      <x:c r="E35" s="2" t="str">
        <x:v>B5（T06）</x:v>
      </x:c>
      <x:c r="F35" s="23" t="str">
        <x:v>従来基準</x:v>
      </x:c>
      <x:c r="G35" s="22" t="n">
        <x:f>COUNTIFS('TOPIX_B5'!C54:C56,C35)</x:f>
        <x:v>1</x:v>
      </x:c>
      <x:c r="H35" s="20" t="n">
        <x:f>SUMIFS('TOPIX_B5'!D54:D56,'TOPIX_B5'!C54:C56,C35)</x:f>
        <x:v>0</x:v>
      </x:c>
      <x:c r="I35" s="20" t="n">
        <x:f>SUMIFS('TOPIX_B5'!E54:E56,'TOPIX_B5'!C54:C56,C35)</x:f>
        <x:v>131254</x:v>
      </x:c>
      <x:c r="J35" s="20" t="n">
        <x:f>H35-I35</x:f>
        <x:v>-131254</x:v>
      </x:c>
      <x:c r="K35" s="22" t="n">
        <x:f>SUMIFS('TOPIX_B5'!J54:J56,'TOPIX_B5'!C54:C56,C35)</x:f>
        <x:v>3</x:v>
      </x:c>
      <x:c r="L35" s="22" t="n">
        <x:f>COUNTIFS('TOPIX_B5'!F54:F56,"&gt;0",'TOPIX_B5'!C54:C56,C35)</x:f>
        <x:v>0</x:v>
      </x:c>
      <x:c r="M35" s="22" t="n">
        <x:f>COUNTIFS('TOPIX_B5'!F54:F56,"&lt;0",'TOPIX_B5'!C54:C56,C35)</x:f>
        <x:v>1</x:v>
      </x:c>
      <x:c r="N35" s="22" t="n">
        <x:f>COUNTIFS('TOPIX_B5'!J54:J56,"=0",'TOPIX_B5'!C54:C56,C35)</x:f>
        <x:v>0</x:v>
      </x:c>
      <x:c r="O35" s="20" t="n">
        <x:f>IF(M35=0,0,-SUMIFS('TOPIX_B5'!F54:F56,'TOPIX_B5'!F54:F56,"&lt;0",'TOPIX_B5'!C54:C56,C35)/M35)</x:f>
        <x:v>131254</x:v>
      </x:c>
      <x:c r="P35" s="20" t="n">
        <x:f>MAX(0,-_xlfn.MINIFS('TOPIX_B5'!F54:F56,'TOPIX_B5'!C54:C56,C35))</x:f>
        <x:v>131254</x:v>
      </x:c>
      <x:c r="Q35" s="20" t="n">
        <x:f>J35-MAX(0,_xlfn.MAXIFS('TOPIX_B5'!F54:F56,'TOPIX_B5'!C54:C56,C35))-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-IF(COUNTIFS('TOPIX_B5'!F54:F56,MAX(0,_xlfn.MAXIFS('TOPIX_B5'!F54:F56,'TOPIX_B5'!C54:C56,C35)),'TOPIX_B5'!C54:C56,C35)&gt;=3,MAX(0,_xlfn.MAXIFS('TOPIX_B5'!F54:F56,'TOPIX_B5'!C54:C56,C35)),IF(COUNTIFS('TOPIX_B5'!F54:F56,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'TOPIX_B5'!C54:C56,C35)+COUNTIFS('TOPIX_B5'!F54:F56,"&gt;"&amp;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'TOPIX_B5'!C54:C56,C35)&gt;=3,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MAX(0,_xlfn.MAXIFS('TOPIX_B5'!F54:F56,'TOPIX_B5'!C54:C56,C35,'TOPIX_B5'!F54:F56,"&lt;"&amp;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))))</x:f>
        <x:v>-131254</x:v>
      </x:c>
      <x:c r="R35" s="26" t="n">
        <x:f>AVERAGEIFS('TOPIX_B5'!P54:P56,'TOPIX_B5'!C54:C56,C35)</x:f>
        <x:v>0.12857142857142856</x:v>
      </x:c>
    </x:row>
    <x:row r="36" ht="36" customHeight="1">
      <x:c r="A36" s="2" t="str">
        <x:v>TOPIXmini</x:v>
      </x:c>
      <x:c r="B36" s="2" t="str">
        <x:v>B5</x:v>
      </x:c>
      <x:c r="C36" s="2" t="str">
        <x:v>ナイト</x:v>
      </x:c>
      <x:c r="D36" s="2" t="str">
        <x:v>診断3場</x:v>
      </x:c>
      <x:c r="E36" s="2" t="str">
        <x:v>B5（T04）</x:v>
      </x:c>
      <x:c r="F36" s="23" t="str">
        <x:v>従来基準</x:v>
      </x:c>
      <x:c r="G36" s="22" t="n">
        <x:f>COUNTIFS('TOPIX_B5'!C54:C56,C36)</x:f>
        <x:v>2</x:v>
      </x:c>
      <x:c r="H36" s="20" t="n">
        <x:f>SUMIFS('TOPIX_B5'!D54:D56,'TOPIX_B5'!C54:C56,C36)</x:f>
        <x:v>98328</x:v>
      </x:c>
      <x:c r="I36" s="20" t="n">
        <x:f>SUMIFS('TOPIX_B5'!E54:E56,'TOPIX_B5'!C54:C56,C36)</x:f>
        <x:v>35836</x:v>
      </x:c>
      <x:c r="J36" s="20" t="n">
        <x:f>H36-I36</x:f>
        <x:v>62492</x:v>
      </x:c>
      <x:c r="K36" s="22" t="n">
        <x:f>SUMIFS('TOPIX_B5'!J54:J56,'TOPIX_B5'!C54:C56,C36)</x:f>
        <x:v>6</x:v>
      </x:c>
      <x:c r="L36" s="22" t="n">
        <x:f>COUNTIFS('TOPIX_B5'!F54:F56,"&gt;0",'TOPIX_B5'!C54:C56,C36)</x:f>
        <x:v>2</x:v>
      </x:c>
      <x:c r="M36" s="22" t="n">
        <x:f>COUNTIFS('TOPIX_B5'!F54:F56,"&lt;0",'TOPIX_B5'!C54:C56,C36)</x:f>
        <x:v>0</x:v>
      </x:c>
      <x:c r="N36" s="22" t="n">
        <x:f>COUNTIFS('TOPIX_B5'!J54:J56,"=0",'TOPIX_B5'!C54:C56,C36)</x:f>
        <x:v>0</x:v>
      </x:c>
      <x:c r="O36" s="20" t="n">
        <x:f>IF(M36=0,0,-SUMIFS('TOPIX_B5'!F54:F56,'TOPIX_B5'!F54:F56,"&lt;0",'TOPIX_B5'!C54:C56,C36)/M36)</x:f>
        <x:v>0</x:v>
      </x:c>
      <x:c r="P36" s="20" t="n">
        <x:f>MAX(0,-_xlfn.MINIFS('TOPIX_B5'!F54:F56,'TOPIX_B5'!C54:C56,C36))</x:f>
        <x:v>0</x:v>
      </x:c>
      <x:c r="Q36" s="20" t="n">
        <x:f>J36-MAX(0,_xlfn.MAXIFS('TOPIX_B5'!F54:F56,'TOPIX_B5'!C54:C56,C36))-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-IF(COUNTIFS('TOPIX_B5'!F54:F56,MAX(0,_xlfn.MAXIFS('TOPIX_B5'!F54:F56,'TOPIX_B5'!C54:C56,C36)),'TOPIX_B5'!C54:C56,C36)&gt;=3,MAX(0,_xlfn.MAXIFS('TOPIX_B5'!F54:F56,'TOPIX_B5'!C54:C56,C36)),IF(COUNTIFS('TOPIX_B5'!F54:F56,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'TOPIX_B5'!C54:C56,C36)+COUNTIFS('TOPIX_B5'!F54:F56,"&gt;"&amp;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'TOPIX_B5'!C54:C56,C36)&gt;=3,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MAX(0,_xlfn.MAXIFS('TOPIX_B5'!F54:F56,'TOPIX_B5'!C54:C56,C36,'TOPIX_B5'!F54:F56,"&lt;"&amp;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))))</x:f>
        <x:v>0</x:v>
      </x:c>
      <x:c r="R36" s="26" t="n">
        <x:f>AVERAGEIFS('TOPIX_B5'!P54:P56,'TOPIX_B5'!C54:C56,C36)</x:f>
        <x:v>0.06555555555555556</x:v>
      </x:c>
    </x:row>
    <x:row r="37" ht="36" customHeight="1">
      <x:c r="A37" s="2" t="str">
        <x:v>TOPIXmini</x:v>
      </x:c>
      <x:c r="B37" s="2" t="str">
        <x:v>M1</x:v>
      </x:c>
      <x:c r="C37" s="2" t="str">
        <x:v>デイ</x:v>
      </x:c>
      <x:c r="D37" s="2" t="str">
        <x:v>全50場</x:v>
      </x:c>
      <x:c r="E37" s="2" t="str">
        <x:v>M1（G06）</x:v>
      </x:c>
      <x:c r="F37" s="23" t="str">
        <x:v>00141の昼夜別固定案</x:v>
      </x:c>
      <x:c r="G37" s="22" t="n">
        <x:f>COUNTIFS('TOPIX_M1'!C7:C56,C37)</x:f>
        <x:v>25</x:v>
      </x:c>
      <x:c r="H37" s="20" t="n">
        <x:f>SUMIFS('TOPIX_M1'!D7:D56,'TOPIX_M1'!C7:C56,C37)</x:f>
        <x:v>1518188</x:v>
      </x:c>
      <x:c r="I37" s="20" t="n">
        <x:f>SUMIFS('TOPIX_M1'!E7:E56,'TOPIX_M1'!C7:C56,C37)</x:f>
        <x:v>908578</x:v>
      </x:c>
      <x:c r="J37" s="20" t="n">
        <x:f>H37-I37</x:f>
        <x:v>609610</x:v>
      </x:c>
      <x:c r="K37" s="22" t="n">
        <x:f>SUMIFS('TOPIX_M1'!J7:J56,'TOPIX_M1'!C7:C56,C37)</x:f>
        <x:v>134</x:v>
      </x:c>
      <x:c r="L37" s="22" t="n">
        <x:f>COUNTIFS('TOPIX_M1'!F7:F56,"&gt;0",'TOPIX_M1'!C7:C56,C37)</x:f>
        <x:v>16</x:v>
      </x:c>
      <x:c r="M37" s="22" t="n">
        <x:f>COUNTIFS('TOPIX_M1'!F7:F56,"&lt;0",'TOPIX_M1'!C7:C56,C37)</x:f>
        <x:v>9</x:v>
      </x:c>
      <x:c r="N37" s="22" t="n">
        <x:f>COUNTIFS('TOPIX_M1'!J7:J56,"=0",'TOPIX_M1'!C7:C56,C37)</x:f>
        <x:v>0</x:v>
      </x:c>
      <x:c r="O37" s="20" t="n">
        <x:f>IF(M37=0,0,-SUMIFS('TOPIX_M1'!F7:F56,'TOPIX_M1'!F7:F56,"&lt;0",'TOPIX_M1'!C7:C56,C37)/M37)</x:f>
        <x:v>28951.555555555555</x:v>
      </x:c>
      <x:c r="P37" s="20" t="n">
        <x:f>MAX(0,-_xlfn.MINIFS('TOPIX_M1'!F7:F56,'TOPIX_M1'!C7:C56,C37))</x:f>
        <x:v>53919</x:v>
      </x:c>
      <x:c r="Q37" s="20" t="n">
        <x:f>J37-MAX(0,_xlfn.MAXIFS('TOPIX_M1'!F7:F56,'TOPIX_M1'!C7:C56,C37))-IF(COUNTIFS('TOPIX_M1'!F7:F56,MAX(0,_xlfn.MAXIFS('TOPIX_M1'!F7:F56,'TOPIX_M1'!C7:C56,C37)),'TOPIX_M1'!C7:C56,C37)&gt;=2,MAX(0,_xlfn.MAXIFS('TOPIX_M1'!F7:F56,'TOPIX_M1'!C7:C56,C37)),MAX(0,_xlfn.MAXIFS('TOPIX_M1'!F7:F56,'TOPIX_M1'!C7:C56,C37,'TOPIX_M1'!F7:F56,"&lt;"&amp;MAX(0,_xlfn.MAXIFS('TOPIX_M1'!F7:F56,'TOPIX_M1'!C7:C56,C37)))))-IF(COUNTIFS('TOPIX_M1'!F7:F56,MAX(0,_xlfn.MAXIFS('TOPIX_M1'!F7:F56,'TOPIX_M1'!C7:C56,C37)),'TOPIX_M1'!C7:C56,C37)&gt;=3,MAX(0,_xlfn.MAXIFS('TOPIX_M1'!F7:F56,'TOPIX_M1'!C7:C56,C37)),IF(COUNTIFS('TOPIX_M1'!F7:F56,IF(COUNTIFS('TOPIX_M1'!F7:F56,MAX(0,_xlfn.MAXIFS('TOPIX_M1'!F7:F56,'TOPIX_M1'!C7:C56,C37)),'TOPIX_M1'!C7:C56,C37)&gt;=2,MAX(0,_xlfn.MAXIFS('TOPIX_M1'!F7:F56,'TOPIX_M1'!C7:C56,C37)),MAX(0,_xlfn.MAXIFS('TOPIX_M1'!F7:F56,'TOPIX_M1'!C7:C56,C37,'TOPIX_M1'!F7:F56,"&lt;"&amp;MAX(0,_xlfn.MAXIFS('TOPIX_M1'!F7:F56,'TOPIX_M1'!C7:C56,C37))))),'TOPIX_M1'!C7:C56,C37)+COUNTIFS('TOPIX_M1'!F7:F56,"&gt;"&amp;IF(COUNTIFS('TOPIX_M1'!F7:F56,MAX(0,_xlfn.MAXIFS('TOPIX_M1'!F7:F56,'TOPIX_M1'!C7:C56,C37)),'TOPIX_M1'!C7:C56,C37)&gt;=2,MAX(0,_xlfn.MAXIFS('TOPIX_M1'!F7:F56,'TOPIX_M1'!C7:C56,C37)),MAX(0,_xlfn.MAXIFS('TOPIX_M1'!F7:F56,'TOPIX_M1'!C7:C56,C37,'TOPIX_M1'!F7:F56,"&lt;"&amp;MAX(0,_xlfn.MAXIFS('TOPIX_M1'!F7:F56,'TOPIX_M1'!C7:C56,C37))))),'TOPIX_M1'!C7:C56,C37)&gt;=3,IF(COUNTIFS('TOPIX_M1'!F7:F56,MAX(0,_xlfn.MAXIFS('TOPIX_M1'!F7:F56,'TOPIX_M1'!C7:C56,C37)),'TOPIX_M1'!C7:C56,C37)&gt;=2,MAX(0,_xlfn.MAXIFS('TOPIX_M1'!F7:F56,'TOPIX_M1'!C7:C56,C37)),MAX(0,_xlfn.MAXIFS('TOPIX_M1'!F7:F56,'TOPIX_M1'!C7:C56,C37,'TOPIX_M1'!F7:F56,"&lt;"&amp;MAX(0,_xlfn.MAXIFS('TOPIX_M1'!F7:F56,'TOPIX_M1'!C7:C56,C37))))),MAX(0,_xlfn.MAXIFS('TOPIX_M1'!F7:F56,'TOPIX_M1'!C7:C56,C37,'TOPIX_M1'!F7:F56,"&lt;"&amp;IF(COUNTIFS('TOPIX_M1'!F7:F56,MAX(0,_xlfn.MAXIFS('TOPIX_M1'!F7:F56,'TOPIX_M1'!C7:C56,C37)),'TOPIX_M1'!C7:C56,C37)&gt;=2,MAX(0,_xlfn.MAXIFS('TOPIX_M1'!F7:F56,'TOPIX_M1'!C7:C56,C37)),MAX(0,_xlfn.MAXIFS('TOPIX_M1'!F7:F56,'TOPIX_M1'!C7:C56,C37,'TOPIX_M1'!F7:F56,"&lt;"&amp;MAX(0,_xlfn.MAXIFS('TOPIX_M1'!F7:F56,'TOPIX_M1'!C7:C56,C37)))))))))</x:f>
        <x:v>306856</x:v>
      </x:c>
      <x:c r="R37" s="26" t="n">
        <x:f>AVERAGEIFS('TOPIX_M1'!P7:P56,'TOPIX_M1'!C7:C56,C37)</x:f>
        <x:v>0.43976666666666664</x:v>
      </x:c>
    </x:row>
    <x:row r="38" ht="36" customHeight="1">
      <x:c r="A38" s="2" t="str">
        <x:v>TOPIXmini</x:v>
      </x:c>
      <x:c r="B38" s="2" t="str">
        <x:v>M1</x:v>
      </x:c>
      <x:c r="C38" s="2" t="str">
        <x:v>ナイト</x:v>
      </x:c>
      <x:c r="D38" s="2" t="str">
        <x:v>全50場</x:v>
      </x:c>
      <x:c r="E38" s="2" t="str">
        <x:v>M1（H02）</x:v>
      </x:c>
      <x:c r="F38" s="23" t="str">
        <x:v>00141の昼夜別固定案</x:v>
      </x:c>
      <x:c r="G38" s="22" t="n">
        <x:f>COUNTIFS('TOPIX_M1'!C7:C56,C38)</x:f>
        <x:v>25</x:v>
      </x:c>
      <x:c r="H38" s="20" t="n">
        <x:f>SUMIFS('TOPIX_M1'!D7:D56,'TOPIX_M1'!C7:C56,C38)</x:f>
        <x:v>1022716</x:v>
      </x:c>
      <x:c r="I38" s="20" t="n">
        <x:f>SUMIFS('TOPIX_M1'!E7:E56,'TOPIX_M1'!C7:C56,C38)</x:f>
        <x:v>642610</x:v>
      </x:c>
      <x:c r="J38" s="20" t="n">
        <x:f>H38-I38</x:f>
        <x:v>380106</x:v>
      </x:c>
      <x:c r="K38" s="22" t="n">
        <x:f>SUMIFS('TOPIX_M1'!J7:J56,'TOPIX_M1'!C7:C56,C38)</x:f>
        <x:v>83</x:v>
      </x:c>
      <x:c r="L38" s="22" t="n">
        <x:f>COUNTIFS('TOPIX_M1'!F7:F56,"&gt;0",'TOPIX_M1'!C7:C56,C38)</x:f>
        <x:v>22</x:v>
      </x:c>
      <x:c r="M38" s="22" t="n">
        <x:f>COUNTIFS('TOPIX_M1'!F7:F56,"&lt;0",'TOPIX_M1'!C7:C56,C38)</x:f>
        <x:v>3</x:v>
      </x:c>
      <x:c r="N38" s="22" t="n">
        <x:f>COUNTIFS('TOPIX_M1'!J7:J56,"=0",'TOPIX_M1'!C7:C56,C38)</x:f>
        <x:v>0</x:v>
      </x:c>
      <x:c r="O38" s="20" t="n">
        <x:f>IF(M38=0,0,-SUMIFS('TOPIX_M1'!F7:F56,'TOPIX_M1'!F7:F56,"&lt;0",'TOPIX_M1'!C7:C56,C38)/M38)</x:f>
        <x:v>38558.666666666664</x:v>
      </x:c>
      <x:c r="P38" s="20" t="n">
        <x:f>MAX(0,-_xlfn.MINIFS('TOPIX_M1'!F7:F56,'TOPIX_M1'!C7:C56,C38))</x:f>
        <x:v>40836</x:v>
      </x:c>
      <x:c r="Q38" s="20" t="n">
        <x:f>J38-MAX(0,_xlfn.MAXIFS('TOPIX_M1'!F7:F56,'TOPIX_M1'!C7:C56,C38))-IF(COUNTIFS('TOPIX_M1'!F7:F56,MAX(0,_xlfn.MAXIFS('TOPIX_M1'!F7:F56,'TOPIX_M1'!C7:C56,C38)),'TOPIX_M1'!C7:C56,C38)&gt;=2,MAX(0,_xlfn.MAXIFS('TOPIX_M1'!F7:F56,'TOPIX_M1'!C7:C56,C38)),MAX(0,_xlfn.MAXIFS('TOPIX_M1'!F7:F56,'TOPIX_M1'!C7:C56,C38,'TOPIX_M1'!F7:F56,"&lt;"&amp;MAX(0,_xlfn.MAXIFS('TOPIX_M1'!F7:F56,'TOPIX_M1'!C7:C56,C38)))))-IF(COUNTIFS('TOPIX_M1'!F7:F56,MAX(0,_xlfn.MAXIFS('TOPIX_M1'!F7:F56,'TOPIX_M1'!C7:C56,C38)),'TOPIX_M1'!C7:C56,C38)&gt;=3,MAX(0,_xlfn.MAXIFS('TOPIX_M1'!F7:F56,'TOPIX_M1'!C7:C56,C38)),IF(COUNTIFS('TOPIX_M1'!F7:F56,IF(COUNTIFS('TOPIX_M1'!F7:F56,MAX(0,_xlfn.MAXIFS('TOPIX_M1'!F7:F56,'TOPIX_M1'!C7:C56,C38)),'TOPIX_M1'!C7:C56,C38)&gt;=2,MAX(0,_xlfn.MAXIFS('TOPIX_M1'!F7:F56,'TOPIX_M1'!C7:C56,C38)),MAX(0,_xlfn.MAXIFS('TOPIX_M1'!F7:F56,'TOPIX_M1'!C7:C56,C38,'TOPIX_M1'!F7:F56,"&lt;"&amp;MAX(0,_xlfn.MAXIFS('TOPIX_M1'!F7:F56,'TOPIX_M1'!C7:C56,C38))))),'TOPIX_M1'!C7:C56,C38)+COUNTIFS('TOPIX_M1'!F7:F56,"&gt;"&amp;IF(COUNTIFS('TOPIX_M1'!F7:F56,MAX(0,_xlfn.MAXIFS('TOPIX_M1'!F7:F56,'TOPIX_M1'!C7:C56,C38)),'TOPIX_M1'!C7:C56,C38)&gt;=2,MAX(0,_xlfn.MAXIFS('TOPIX_M1'!F7:F56,'TOPIX_M1'!C7:C56,C38)),MAX(0,_xlfn.MAXIFS('TOPIX_M1'!F7:F56,'TOPIX_M1'!C7:C56,C38,'TOPIX_M1'!F7:F56,"&lt;"&amp;MAX(0,_xlfn.MAXIFS('TOPIX_M1'!F7:F56,'TOPIX_M1'!C7:C56,C38))))),'TOPIX_M1'!C7:C56,C38)&gt;=3,IF(COUNTIFS('TOPIX_M1'!F7:F56,MAX(0,_xlfn.MAXIFS('TOPIX_M1'!F7:F56,'TOPIX_M1'!C7:C56,C38)),'TOPIX_M1'!C7:C56,C38)&gt;=2,MAX(0,_xlfn.MAXIFS('TOPIX_M1'!F7:F56,'TOPIX_M1'!C7:C56,C38)),MAX(0,_xlfn.MAXIFS('TOPIX_M1'!F7:F56,'TOPIX_M1'!C7:C56,C38,'TOPIX_M1'!F7:F56,"&lt;"&amp;MAX(0,_xlfn.MAXIFS('TOPIX_M1'!F7:F56,'TOPIX_M1'!C7:C56,C38))))),MAX(0,_xlfn.MAXIFS('TOPIX_M1'!F7:F56,'TOPIX_M1'!C7:C56,C38,'TOPIX_M1'!F7:F56,"&lt;"&amp;IF(COUNTIFS('TOPIX_M1'!F7:F56,MAX(0,_xlfn.MAXIFS('TOPIX_M1'!F7:F56,'TOPIX_M1'!C7:C56,C38)),'TOPIX_M1'!C7:C56,C38)&gt;=2,MAX(0,_xlfn.MAXIFS('TOPIX_M1'!F7:F56,'TOPIX_M1'!C7:C56,C38)),MAX(0,_xlfn.MAXIFS('TOPIX_M1'!F7:F56,'TOPIX_M1'!C7:C56,C38,'TOPIX_M1'!F7:F56,"&lt;"&amp;MAX(0,_xlfn.MAXIFS('TOPIX_M1'!F7:F56,'TOPIX_M1'!C7:C56,C38)))))))))</x:f>
        <x:v>178701</x:v>
      </x:c>
      <x:c r="R38" s="26" t="n">
        <x:f>AVERAGEIFS('TOPIX_M1'!P7:P56,'TOPIX_M1'!C7:C56,C38)</x:f>
        <x:v>0.08964102564102565</x:v>
      </x:c>
    </x:row>
    <x:row r="39" ht="36" customHeight="1">
      <x:c r="A39" s="2" t="str">
        <x:v>TOPIXmini</x:v>
      </x:c>
      <x:c r="B39" s="2" t="str">
        <x:v>M1</x:v>
      </x:c>
      <x:c r="C39" s="2" t="str">
        <x:v>デイ</x:v>
      </x:c>
      <x:c r="D39" s="2" t="str">
        <x:v>対照47場</x:v>
      </x:c>
      <x:c r="E39" s="2" t="str">
        <x:v>M1（G06）</x:v>
      </x:c>
      <x:c r="F39" s="23" t="str">
        <x:v>00141の昼夜別固定案</x:v>
      </x:c>
      <x:c r="G39" s="22" t="n">
        <x:f>COUNTIFS('TOPIX_M1'!C7:C53,C39)</x:f>
        <x:v>24</x:v>
      </x:c>
      <x:c r="H39" s="20" t="n">
        <x:f>SUMIFS('TOPIX_M1'!D7:D53,'TOPIX_M1'!C7:C53,C39)</x:f>
        <x:v>1435766</x:v>
      </x:c>
      <x:c r="I39" s="20" t="n">
        <x:f>SUMIFS('TOPIX_M1'!E7:E53,'TOPIX_M1'!C7:C53,C39)</x:f>
        <x:v>798582</x:v>
      </x:c>
      <x:c r="J39" s="20" t="n">
        <x:f>H39-I39</x:f>
        <x:v>637184</x:v>
      </x:c>
      <x:c r="K39" s="22" t="n">
        <x:f>SUMIFS('TOPIX_M1'!J7:J53,'TOPIX_M1'!C7:C53,C39)</x:f>
        <x:v>119</x:v>
      </x:c>
      <x:c r="L39" s="22" t="n">
        <x:f>COUNTIFS('TOPIX_M1'!F7:F53,"&gt;0",'TOPIX_M1'!C7:C53,C39)</x:f>
        <x:v>16</x:v>
      </x:c>
      <x:c r="M39" s="22" t="n">
        <x:f>COUNTIFS('TOPIX_M1'!F7:F53,"&lt;0",'TOPIX_M1'!C7:C53,C39)</x:f>
        <x:v>8</x:v>
      </x:c>
      <x:c r="N39" s="22" t="n">
        <x:f>COUNTIFS('TOPIX_M1'!J7:J53,"=0",'TOPIX_M1'!C7:C53,C39)</x:f>
        <x:v>0</x:v>
      </x:c>
      <x:c r="O39" s="20" t="n">
        <x:f>IF(M39=0,0,-SUMIFS('TOPIX_M1'!F7:F53,'TOPIX_M1'!F7:F53,"&lt;0",'TOPIX_M1'!C7:C53,C39)/M39)</x:f>
        <x:v>29123.75</x:v>
      </x:c>
      <x:c r="P39" s="20" t="n">
        <x:f>MAX(0,-_xlfn.MINIFS('TOPIX_M1'!F7:F53,'TOPIX_M1'!C7:C53,C39))</x:f>
        <x:v>53919</x:v>
      </x:c>
      <x:c r="Q39" s="20" t="n">
        <x:f>J39-MAX(0,_xlfn.MAXIFS('TOPIX_M1'!F7:F53,'TOPIX_M1'!C7:C53,C39))-IF(COUNTIFS('TOPIX_M1'!F7:F53,MAX(0,_xlfn.MAXIFS('TOPIX_M1'!F7:F53,'TOPIX_M1'!C7:C53,C39)),'TOPIX_M1'!C7:C53,C39)&gt;=2,MAX(0,_xlfn.MAXIFS('TOPIX_M1'!F7:F53,'TOPIX_M1'!C7:C53,C39)),MAX(0,_xlfn.MAXIFS('TOPIX_M1'!F7:F53,'TOPIX_M1'!C7:C53,C39,'TOPIX_M1'!F7:F53,"&lt;"&amp;MAX(0,_xlfn.MAXIFS('TOPIX_M1'!F7:F53,'TOPIX_M1'!C7:C53,C39)))))-IF(COUNTIFS('TOPIX_M1'!F7:F53,MAX(0,_xlfn.MAXIFS('TOPIX_M1'!F7:F53,'TOPIX_M1'!C7:C53,C39)),'TOPIX_M1'!C7:C53,C39)&gt;=3,MAX(0,_xlfn.MAXIFS('TOPIX_M1'!F7:F53,'TOPIX_M1'!C7:C53,C39)),IF(COUNTIFS('TOPIX_M1'!F7:F53,IF(COUNTIFS('TOPIX_M1'!F7:F53,MAX(0,_xlfn.MAXIFS('TOPIX_M1'!F7:F53,'TOPIX_M1'!C7:C53,C39)),'TOPIX_M1'!C7:C53,C39)&gt;=2,MAX(0,_xlfn.MAXIFS('TOPIX_M1'!F7:F53,'TOPIX_M1'!C7:C53,C39)),MAX(0,_xlfn.MAXIFS('TOPIX_M1'!F7:F53,'TOPIX_M1'!C7:C53,C39,'TOPIX_M1'!F7:F53,"&lt;"&amp;MAX(0,_xlfn.MAXIFS('TOPIX_M1'!F7:F53,'TOPIX_M1'!C7:C53,C39))))),'TOPIX_M1'!C7:C53,C39)+COUNTIFS('TOPIX_M1'!F7:F53,"&gt;"&amp;IF(COUNTIFS('TOPIX_M1'!F7:F53,MAX(0,_xlfn.MAXIFS('TOPIX_M1'!F7:F53,'TOPIX_M1'!C7:C53,C39)),'TOPIX_M1'!C7:C53,C39)&gt;=2,MAX(0,_xlfn.MAXIFS('TOPIX_M1'!F7:F53,'TOPIX_M1'!C7:C53,C39)),MAX(0,_xlfn.MAXIFS('TOPIX_M1'!F7:F53,'TOPIX_M1'!C7:C53,C39,'TOPIX_M1'!F7:F53,"&lt;"&amp;MAX(0,_xlfn.MAXIFS('TOPIX_M1'!F7:F53,'TOPIX_M1'!C7:C53,C39))))),'TOPIX_M1'!C7:C53,C39)&gt;=3,IF(COUNTIFS('TOPIX_M1'!F7:F53,MAX(0,_xlfn.MAXIFS('TOPIX_M1'!F7:F53,'TOPIX_M1'!C7:C53,C39)),'TOPIX_M1'!C7:C53,C39)&gt;=2,MAX(0,_xlfn.MAXIFS('TOPIX_M1'!F7:F53,'TOPIX_M1'!C7:C53,C39)),MAX(0,_xlfn.MAXIFS('TOPIX_M1'!F7:F53,'TOPIX_M1'!C7:C53,C39,'TOPIX_M1'!F7:F53,"&lt;"&amp;MAX(0,_xlfn.MAXIFS('TOPIX_M1'!F7:F53,'TOPIX_M1'!C7:C53,C39))))),MAX(0,_xlfn.MAXIFS('TOPIX_M1'!F7:F53,'TOPIX_M1'!C7:C53,C39,'TOPIX_M1'!F7:F53,"&lt;"&amp;IF(COUNTIFS('TOPIX_M1'!F7:F53,MAX(0,_xlfn.MAXIFS('TOPIX_M1'!F7:F53,'TOPIX_M1'!C7:C53,C39)),'TOPIX_M1'!C7:C53,C39)&gt;=2,MAX(0,_xlfn.MAXIFS('TOPIX_M1'!F7:F53,'TOPIX_M1'!C7:C53,C39)),MAX(0,_xlfn.MAXIFS('TOPIX_M1'!F7:F53,'TOPIX_M1'!C7:C53,C39,'TOPIX_M1'!F7:F53,"&lt;"&amp;MAX(0,_xlfn.MAXIFS('TOPIX_M1'!F7:F53,'TOPIX_M1'!C7:C53,C39)))))))))</x:f>
        <x:v>334430</x:v>
      </x:c>
      <x:c r="R39" s="26" t="n">
        <x:f>AVERAGEIFS('TOPIX_M1'!P7:P53,'TOPIX_M1'!C7:C53,C39)</x:f>
        <x:v>0.4459672619047619</x:v>
      </x:c>
    </x:row>
    <x:row r="40" ht="36" customHeight="1">
      <x:c r="A40" s="2" t="str">
        <x:v>TOPIXmini</x:v>
      </x:c>
      <x:c r="B40" s="2" t="str">
        <x:v>M1</x:v>
      </x:c>
      <x:c r="C40" s="2" t="str">
        <x:v>ナイト</x:v>
      </x:c>
      <x:c r="D40" s="2" t="str">
        <x:v>対照47場</x:v>
      </x:c>
      <x:c r="E40" s="2" t="str">
        <x:v>M1（H02）</x:v>
      </x:c>
      <x:c r="F40" s="23" t="str">
        <x:v>00141の昼夜別固定案</x:v>
      </x:c>
      <x:c r="G40" s="22" t="n">
        <x:f>COUNTIFS('TOPIX_M1'!C7:C53,C40)</x:f>
        <x:v>23</x:v>
      </x:c>
      <x:c r="H40" s="20" t="n">
        <x:f>SUMIFS('TOPIX_M1'!D7:D53,'TOPIX_M1'!C7:C53,C40)</x:f>
        <x:v>905051</x:v>
      </x:c>
      <x:c r="I40" s="20" t="n">
        <x:f>SUMIFS('TOPIX_M1'!E7:E53,'TOPIX_M1'!C7:C53,C40)</x:f>
        <x:v>586944</x:v>
      </x:c>
      <x:c r="J40" s="20" t="n">
        <x:f>H40-I40</x:f>
        <x:v>318107</x:v>
      </x:c>
      <x:c r="K40" s="22" t="n">
        <x:f>SUMIFS('TOPIX_M1'!J7:J53,'TOPIX_M1'!C7:C53,C40)</x:f>
        <x:v>71</x:v>
      </x:c>
      <x:c r="L40" s="22" t="n">
        <x:f>COUNTIFS('TOPIX_M1'!F7:F53,"&gt;0",'TOPIX_M1'!C7:C53,C40)</x:f>
        <x:v>20</x:v>
      </x:c>
      <x:c r="M40" s="22" t="n">
        <x:f>COUNTIFS('TOPIX_M1'!F7:F53,"&lt;0",'TOPIX_M1'!C7:C53,C40)</x:f>
        <x:v>3</x:v>
      </x:c>
      <x:c r="N40" s="22" t="n">
        <x:f>COUNTIFS('TOPIX_M1'!J7:J53,"=0",'TOPIX_M1'!C7:C53,C40)</x:f>
        <x:v>0</x:v>
      </x:c>
      <x:c r="O40" s="20" t="n">
        <x:f>IF(M40=0,0,-SUMIFS('TOPIX_M1'!F7:F53,'TOPIX_M1'!F7:F53,"&lt;0",'TOPIX_M1'!C7:C53,C40)/M40)</x:f>
        <x:v>38558.666666666664</x:v>
      </x:c>
      <x:c r="P40" s="20" t="n">
        <x:f>MAX(0,-_xlfn.MINIFS('TOPIX_M1'!F7:F53,'TOPIX_M1'!C7:C53,C40))</x:f>
        <x:v>40836</x:v>
      </x:c>
      <x:c r="Q40" s="20" t="n">
        <x:f>J40-MAX(0,_xlfn.MAXIFS('TOPIX_M1'!F7:F53,'TOPIX_M1'!C7:C53,C40))-IF(COUNTIFS('TOPIX_M1'!F7:F53,MAX(0,_xlfn.MAXIFS('TOPIX_M1'!F7:F53,'TOPIX_M1'!C7:C53,C40)),'TOPIX_M1'!C7:C53,C40)&gt;=2,MAX(0,_xlfn.MAXIFS('TOPIX_M1'!F7:F53,'TOPIX_M1'!C7:C53,C40)),MAX(0,_xlfn.MAXIFS('TOPIX_M1'!F7:F53,'TOPIX_M1'!C7:C53,C40,'TOPIX_M1'!F7:F53,"&lt;"&amp;MAX(0,_xlfn.MAXIFS('TOPIX_M1'!F7:F53,'TOPIX_M1'!C7:C53,C40)))))-IF(COUNTIFS('TOPIX_M1'!F7:F53,MAX(0,_xlfn.MAXIFS('TOPIX_M1'!F7:F53,'TOPIX_M1'!C7:C53,C40)),'TOPIX_M1'!C7:C53,C40)&gt;=3,MAX(0,_xlfn.MAXIFS('TOPIX_M1'!F7:F53,'TOPIX_M1'!C7:C53,C40)),IF(COUNTIFS('TOPIX_M1'!F7:F53,IF(COUNTIFS('TOPIX_M1'!F7:F53,MAX(0,_xlfn.MAXIFS('TOPIX_M1'!F7:F53,'TOPIX_M1'!C7:C53,C40)),'TOPIX_M1'!C7:C53,C40)&gt;=2,MAX(0,_xlfn.MAXIFS('TOPIX_M1'!F7:F53,'TOPIX_M1'!C7:C53,C40)),MAX(0,_xlfn.MAXIFS('TOPIX_M1'!F7:F53,'TOPIX_M1'!C7:C53,C40,'TOPIX_M1'!F7:F53,"&lt;"&amp;MAX(0,_xlfn.MAXIFS('TOPIX_M1'!F7:F53,'TOPIX_M1'!C7:C53,C40))))),'TOPIX_M1'!C7:C53,C40)+COUNTIFS('TOPIX_M1'!F7:F53,"&gt;"&amp;IF(COUNTIFS('TOPIX_M1'!F7:F53,MAX(0,_xlfn.MAXIFS('TOPIX_M1'!F7:F53,'TOPIX_M1'!C7:C53,C40)),'TOPIX_M1'!C7:C53,C40)&gt;=2,MAX(0,_xlfn.MAXIFS('TOPIX_M1'!F7:F53,'TOPIX_M1'!C7:C53,C40)),MAX(0,_xlfn.MAXIFS('TOPIX_M1'!F7:F53,'TOPIX_M1'!C7:C53,C40,'TOPIX_M1'!F7:F53,"&lt;"&amp;MAX(0,_xlfn.MAXIFS('TOPIX_M1'!F7:F53,'TOPIX_M1'!C7:C53,C40))))),'TOPIX_M1'!C7:C53,C40)&gt;=3,IF(COUNTIFS('TOPIX_M1'!F7:F53,MAX(0,_xlfn.MAXIFS('TOPIX_M1'!F7:F53,'TOPIX_M1'!C7:C53,C40)),'TOPIX_M1'!C7:C53,C40)&gt;=2,MAX(0,_xlfn.MAXIFS('TOPIX_M1'!F7:F53,'TOPIX_M1'!C7:C53,C40)),MAX(0,_xlfn.MAXIFS('TOPIX_M1'!F7:F53,'TOPIX_M1'!C7:C53,C40,'TOPIX_M1'!F7:F53,"&lt;"&amp;MAX(0,_xlfn.MAXIFS('TOPIX_M1'!F7:F53,'TOPIX_M1'!C7:C53,C40))))),MAX(0,_xlfn.MAXIFS('TOPIX_M1'!F7:F53,'TOPIX_M1'!C7:C53,C40,'TOPIX_M1'!F7:F53,"&lt;"&amp;IF(COUNTIFS('TOPIX_M1'!F7:F53,MAX(0,_xlfn.MAXIFS('TOPIX_M1'!F7:F53,'TOPIX_M1'!C7:C53,C40)),'TOPIX_M1'!C7:C53,C40)&gt;=2,MAX(0,_xlfn.MAXIFS('TOPIX_M1'!F7:F53,'TOPIX_M1'!C7:C53,C40)),MAX(0,_xlfn.MAXIFS('TOPIX_M1'!F7:F53,'TOPIX_M1'!C7:C53,C40,'TOPIX_M1'!F7:F53,"&lt;"&amp;MAX(0,_xlfn.MAXIFS('TOPIX_M1'!F7:F53,'TOPIX_M1'!C7:C53,C40)))))))))</x:f>
        <x:v>116702</x:v>
      </x:c>
      <x:c r="R40" s="26" t="n">
        <x:f>AVERAGEIFS('TOPIX_M1'!P7:P53,'TOPIX_M1'!C7:C53,C40)</x:f>
        <x:v>0.0886092530657748</x:v>
      </x:c>
    </x:row>
    <x:row r="41" ht="36" customHeight="1">
      <x:c r="A41" s="2" t="str">
        <x:v>TOPIXmini</x:v>
      </x:c>
      <x:c r="B41" s="2" t="str">
        <x:v>M1</x:v>
      </x:c>
      <x:c r="C41" s="2" t="str">
        <x:v>デイ</x:v>
      </x:c>
      <x:c r="D41" s="2" t="str">
        <x:v>診断3場</x:v>
      </x:c>
      <x:c r="E41" s="2" t="str">
        <x:v>M1（G06）</x:v>
      </x:c>
      <x:c r="F41" s="23" t="str">
        <x:v>00141の昼夜別固定案</x:v>
      </x:c>
      <x:c r="G41" s="22" t="n">
        <x:f>COUNTIFS('TOPIX_M1'!C54:C56,C41)</x:f>
        <x:v>1</x:v>
      </x:c>
      <x:c r="H41" s="20" t="n">
        <x:f>SUMIFS('TOPIX_M1'!D54:D56,'TOPIX_M1'!C54:C56,C41)</x:f>
        <x:v>82422</x:v>
      </x:c>
      <x:c r="I41" s="20" t="n">
        <x:f>SUMIFS('TOPIX_M1'!E54:E56,'TOPIX_M1'!C54:C56,C41)</x:f>
        <x:v>109996</x:v>
      </x:c>
      <x:c r="J41" s="20" t="n">
        <x:f>H41-I41</x:f>
        <x:v>-27574</x:v>
      </x:c>
      <x:c r="K41" s="22" t="n">
        <x:f>SUMIFS('TOPIX_M1'!J54:J56,'TOPIX_M1'!C54:C56,C41)</x:f>
        <x:v>15</x:v>
      </x:c>
      <x:c r="L41" s="22" t="n">
        <x:f>COUNTIFS('TOPIX_M1'!F54:F56,"&gt;0",'TOPIX_M1'!C54:C56,C41)</x:f>
        <x:v>0</x:v>
      </x:c>
      <x:c r="M41" s="22" t="n">
        <x:f>COUNTIFS('TOPIX_M1'!F54:F56,"&lt;0",'TOPIX_M1'!C54:C56,C41)</x:f>
        <x:v>1</x:v>
      </x:c>
      <x:c r="N41" s="22" t="n">
        <x:f>COUNTIFS('TOPIX_M1'!J54:J56,"=0",'TOPIX_M1'!C54:C56,C41)</x:f>
        <x:v>0</x:v>
      </x:c>
      <x:c r="O41" s="20" t="n">
        <x:f>IF(M41=0,0,-SUMIFS('TOPIX_M1'!F54:F56,'TOPIX_M1'!F54:F56,"&lt;0",'TOPIX_M1'!C54:C56,C41)/M41)</x:f>
        <x:v>27574</x:v>
      </x:c>
      <x:c r="P41" s="20" t="n">
        <x:f>MAX(0,-_xlfn.MINIFS('TOPIX_M1'!F54:F56,'TOPIX_M1'!C54:C56,C41))</x:f>
        <x:v>27574</x:v>
      </x:c>
      <x:c r="Q41" s="20" t="n">
        <x:f>J41-MAX(0,_xlfn.MAXIFS('TOPIX_M1'!F54:F56,'TOPIX_M1'!C54:C56,C41))-IF(COUNTIFS('TOPIX_M1'!F54:F56,MAX(0,_xlfn.MAXIFS('TOPIX_M1'!F54:F56,'TOPIX_M1'!C54:C56,C41)),'TOPIX_M1'!C54:C56,C41)&gt;=2,MAX(0,_xlfn.MAXIFS('TOPIX_M1'!F54:F56,'TOPIX_M1'!C54:C56,C41)),MAX(0,_xlfn.MAXIFS('TOPIX_M1'!F54:F56,'TOPIX_M1'!C54:C56,C41,'TOPIX_M1'!F54:F56,"&lt;"&amp;MAX(0,_xlfn.MAXIFS('TOPIX_M1'!F54:F56,'TOPIX_M1'!C54:C56,C41)))))-IF(COUNTIFS('TOPIX_M1'!F54:F56,MAX(0,_xlfn.MAXIFS('TOPIX_M1'!F54:F56,'TOPIX_M1'!C54:C56,C41)),'TOPIX_M1'!C54:C56,C41)&gt;=3,MAX(0,_xlfn.MAXIFS('TOPIX_M1'!F54:F56,'TOPIX_M1'!C54:C56,C41)),IF(COUNTIFS('TOPIX_M1'!F54:F56,IF(COUNTIFS('TOPIX_M1'!F54:F56,MAX(0,_xlfn.MAXIFS('TOPIX_M1'!F54:F56,'TOPIX_M1'!C54:C56,C41)),'TOPIX_M1'!C54:C56,C41)&gt;=2,MAX(0,_xlfn.MAXIFS('TOPIX_M1'!F54:F56,'TOPIX_M1'!C54:C56,C41)),MAX(0,_xlfn.MAXIFS('TOPIX_M1'!F54:F56,'TOPIX_M1'!C54:C56,C41,'TOPIX_M1'!F54:F56,"&lt;"&amp;MAX(0,_xlfn.MAXIFS('TOPIX_M1'!F54:F56,'TOPIX_M1'!C54:C56,C41))))),'TOPIX_M1'!C54:C56,C41)+COUNTIFS('TOPIX_M1'!F54:F56,"&gt;"&amp;IF(COUNTIFS('TOPIX_M1'!F54:F56,MAX(0,_xlfn.MAXIFS('TOPIX_M1'!F54:F56,'TOPIX_M1'!C54:C56,C41)),'TOPIX_M1'!C54:C56,C41)&gt;=2,MAX(0,_xlfn.MAXIFS('TOPIX_M1'!F54:F56,'TOPIX_M1'!C54:C56,C41)),MAX(0,_xlfn.MAXIFS('TOPIX_M1'!F54:F56,'TOPIX_M1'!C54:C56,C41,'TOPIX_M1'!F54:F56,"&lt;"&amp;MAX(0,_xlfn.MAXIFS('TOPIX_M1'!F54:F56,'TOPIX_M1'!C54:C56,C41))))),'TOPIX_M1'!C54:C56,C41)&gt;=3,IF(COUNTIFS('TOPIX_M1'!F54:F56,MAX(0,_xlfn.MAXIFS('TOPIX_M1'!F54:F56,'TOPIX_M1'!C54:C56,C41)),'TOPIX_M1'!C54:C56,C41)&gt;=2,MAX(0,_xlfn.MAXIFS('TOPIX_M1'!F54:F56,'TOPIX_M1'!C54:C56,C41)),MAX(0,_xlfn.MAXIFS('TOPIX_M1'!F54:F56,'TOPIX_M1'!C54:C56,C41,'TOPIX_M1'!F54:F56,"&lt;"&amp;MAX(0,_xlfn.MAXIFS('TOPIX_M1'!F54:F56,'TOPIX_M1'!C54:C56,C41))))),MAX(0,_xlfn.MAXIFS('TOPIX_M1'!F54:F56,'TOPIX_M1'!C54:C56,C41,'TOPIX_M1'!F54:F56,"&lt;"&amp;IF(COUNTIFS('TOPIX_M1'!F54:F56,MAX(0,_xlfn.MAXIFS('TOPIX_M1'!F54:F56,'TOPIX_M1'!C54:C56,C41)),'TOPIX_M1'!C54:C56,C41)&gt;=2,MAX(0,_xlfn.MAXIFS('TOPIX_M1'!F54:F56,'TOPIX_M1'!C54:C56,C41)),MAX(0,_xlfn.MAXIFS('TOPIX_M1'!F54:F56,'TOPIX_M1'!C54:C56,C41,'TOPIX_M1'!F54:F56,"&lt;"&amp;MAX(0,_xlfn.MAXIFS('TOPIX_M1'!F54:F56,'TOPIX_M1'!C54:C56,C41)))))))))</x:f>
        <x:v>-27574</x:v>
      </x:c>
      <x:c r="R41" s="26" t="n">
        <x:f>AVERAGEIFS('TOPIX_M1'!P54:P56,'TOPIX_M1'!C54:C56,C41)</x:f>
        <x:v>0.29095238095238096</x:v>
      </x:c>
    </x:row>
    <x:row r="42" ht="36" customHeight="1">
      <x:c r="A42" s="2" t="str">
        <x:v>TOPIXmini</x:v>
      </x:c>
      <x:c r="B42" s="2" t="str">
        <x:v>M1</x:v>
      </x:c>
      <x:c r="C42" s="2" t="str">
        <x:v>ナイト</x:v>
      </x:c>
      <x:c r="D42" s="2" t="str">
        <x:v>診断3場</x:v>
      </x:c>
      <x:c r="E42" s="2" t="str">
        <x:v>M1（H02）</x:v>
      </x:c>
      <x:c r="F42" s="23" t="str">
        <x:v>00141の昼夜別固定案</x:v>
      </x:c>
      <x:c r="G42" s="22" t="n">
        <x:f>COUNTIFS('TOPIX_M1'!C54:C56,C42)</x:f>
        <x:v>2</x:v>
      </x:c>
      <x:c r="H42" s="20" t="n">
        <x:f>SUMIFS('TOPIX_M1'!D54:D56,'TOPIX_M1'!C54:C56,C42)</x:f>
        <x:v>117665</x:v>
      </x:c>
      <x:c r="I42" s="20" t="n">
        <x:f>SUMIFS('TOPIX_M1'!E54:E56,'TOPIX_M1'!C54:C56,C42)</x:f>
        <x:v>55666</x:v>
      </x:c>
      <x:c r="J42" s="20" t="n">
        <x:f>H42-I42</x:f>
        <x:v>61999</x:v>
      </x:c>
      <x:c r="K42" s="22" t="n">
        <x:f>SUMIFS('TOPIX_M1'!J54:J56,'TOPIX_M1'!C54:C56,C42)</x:f>
        <x:v>12</x:v>
      </x:c>
      <x:c r="L42" s="22" t="n">
        <x:f>COUNTIFS('TOPIX_M1'!F54:F56,"&gt;0",'TOPIX_M1'!C54:C56,C42)</x:f>
        <x:v>2</x:v>
      </x:c>
      <x:c r="M42" s="22" t="n">
        <x:f>COUNTIFS('TOPIX_M1'!F54:F56,"&lt;0",'TOPIX_M1'!C54:C56,C42)</x:f>
        <x:v>0</x:v>
      </x:c>
      <x:c r="N42" s="22" t="n">
        <x:f>COUNTIFS('TOPIX_M1'!J54:J56,"=0",'TOPIX_M1'!C54:C56,C42)</x:f>
        <x:v>0</x:v>
      </x:c>
      <x:c r="O42" s="20" t="n">
        <x:f>IF(M42=0,0,-SUMIFS('TOPIX_M1'!F54:F56,'TOPIX_M1'!F54:F56,"&lt;0",'TOPIX_M1'!C54:C56,C42)/M42)</x:f>
        <x:v>0</x:v>
      </x:c>
      <x:c r="P42" s="20" t="n">
        <x:f>MAX(0,-_xlfn.MINIFS('TOPIX_M1'!F54:F56,'TOPIX_M1'!C54:C56,C42))</x:f>
        <x:v>0</x:v>
      </x:c>
      <x:c r="Q42" s="20" t="n">
        <x:f>J42-MAX(0,_xlfn.MAXIFS('TOPIX_M1'!F54:F56,'TOPIX_M1'!C54:C56,C42))-IF(COUNTIFS('TOPIX_M1'!F54:F56,MAX(0,_xlfn.MAXIFS('TOPIX_M1'!F54:F56,'TOPIX_M1'!C54:C56,C42)),'TOPIX_M1'!C54:C56,C42)&gt;=2,MAX(0,_xlfn.MAXIFS('TOPIX_M1'!F54:F56,'TOPIX_M1'!C54:C56,C42)),MAX(0,_xlfn.MAXIFS('TOPIX_M1'!F54:F56,'TOPIX_M1'!C54:C56,C42,'TOPIX_M1'!F54:F56,"&lt;"&amp;MAX(0,_xlfn.MAXIFS('TOPIX_M1'!F54:F56,'TOPIX_M1'!C54:C56,C42)))))-IF(COUNTIFS('TOPIX_M1'!F54:F56,MAX(0,_xlfn.MAXIFS('TOPIX_M1'!F54:F56,'TOPIX_M1'!C54:C56,C42)),'TOPIX_M1'!C54:C56,C42)&gt;=3,MAX(0,_xlfn.MAXIFS('TOPIX_M1'!F54:F56,'TOPIX_M1'!C54:C56,C42)),IF(COUNTIFS('TOPIX_M1'!F54:F56,IF(COUNTIFS('TOPIX_M1'!F54:F56,MAX(0,_xlfn.MAXIFS('TOPIX_M1'!F54:F56,'TOPIX_M1'!C54:C56,C42)),'TOPIX_M1'!C54:C56,C42)&gt;=2,MAX(0,_xlfn.MAXIFS('TOPIX_M1'!F54:F56,'TOPIX_M1'!C54:C56,C42)),MAX(0,_xlfn.MAXIFS('TOPIX_M1'!F54:F56,'TOPIX_M1'!C54:C56,C42,'TOPIX_M1'!F54:F56,"&lt;"&amp;MAX(0,_xlfn.MAXIFS('TOPIX_M1'!F54:F56,'TOPIX_M1'!C54:C56,C42))))),'TOPIX_M1'!C54:C56,C42)+COUNTIFS('TOPIX_M1'!F54:F56,"&gt;"&amp;IF(COUNTIFS('TOPIX_M1'!F54:F56,MAX(0,_xlfn.MAXIFS('TOPIX_M1'!F54:F56,'TOPIX_M1'!C54:C56,C42)),'TOPIX_M1'!C54:C56,C42)&gt;=2,MAX(0,_xlfn.MAXIFS('TOPIX_M1'!F54:F56,'TOPIX_M1'!C54:C56,C42)),MAX(0,_xlfn.MAXIFS('TOPIX_M1'!F54:F56,'TOPIX_M1'!C54:C56,C42,'TOPIX_M1'!F54:F56,"&lt;"&amp;MAX(0,_xlfn.MAXIFS('TOPIX_M1'!F54:F56,'TOPIX_M1'!C54:C56,C42))))),'TOPIX_M1'!C54:C56,C42)&gt;=3,IF(COUNTIFS('TOPIX_M1'!F54:F56,MAX(0,_xlfn.MAXIFS('TOPIX_M1'!F54:F56,'TOPIX_M1'!C54:C56,C42)),'TOPIX_M1'!C54:C56,C42)&gt;=2,MAX(0,_xlfn.MAXIFS('TOPIX_M1'!F54:F56,'TOPIX_M1'!C54:C56,C42)),MAX(0,_xlfn.MAXIFS('TOPIX_M1'!F54:F56,'TOPIX_M1'!C54:C56,C42,'TOPIX_M1'!F54:F56,"&lt;"&amp;MAX(0,_xlfn.MAXIFS('TOPIX_M1'!F54:F56,'TOPIX_M1'!C54:C56,C42))))),MAX(0,_xlfn.MAXIFS('TOPIX_M1'!F54:F56,'TOPIX_M1'!C54:C56,C42,'TOPIX_M1'!F54:F56,"&lt;"&amp;IF(COUNTIFS('TOPIX_M1'!F54:F56,MAX(0,_xlfn.MAXIFS('TOPIX_M1'!F54:F56,'TOPIX_M1'!C54:C56,C42)),'TOPIX_M1'!C54:C56,C42)&gt;=2,MAX(0,_xlfn.MAXIFS('TOPIX_M1'!F54:F56,'TOPIX_M1'!C54:C56,C42)),MAX(0,_xlfn.MAXIFS('TOPIX_M1'!F54:F56,'TOPIX_M1'!C54:C56,C42,'TOPIX_M1'!F54:F56,"&lt;"&amp;MAX(0,_xlfn.MAXIFS('TOPIX_M1'!F54:F56,'TOPIX_M1'!C54:C56,C42)))))))))</x:f>
        <x:v>0</x:v>
      </x:c>
      <x:c r="R42" s="26" t="n">
        <x:f>AVERAGEIFS('TOPIX_M1'!P54:P56,'TOPIX_M1'!C54:C56,C42)</x:f>
        <x:v>0.10150641025641025</x:v>
      </x:c>
    </x:row>
    <x:row r="43" ht="36" customHeight="1">
      <x:c r="A43" s="2" t="str">
        <x:v>TOPIXmini</x:v>
      </x:c>
      <x:c r="B43" s="2" t="str">
        <x:v>F1</x:v>
      </x:c>
      <x:c r="C43" s="2" t="str">
        <x:v>デイ</x:v>
      </x:c>
      <x:c r="D43" s="2" t="str">
        <x:v>全50場</x:v>
      </x:c>
      <x:c r="E43" s="2" t="str">
        <x:v>C06</x:v>
      </x:c>
      <x:c r="F43" s="23" t="str">
        <x:v>赤字場数を重視した条件切替案</x:v>
      </x:c>
      <x:c r="G43" s="22" t="n">
        <x:f>COUNTIFS('TOPIX_F1'!C7:C56,C43)</x:f>
        <x:v>25</x:v>
      </x:c>
      <x:c r="H43" s="20" t="n">
        <x:f>SUMIFS('TOPIX_F1'!D7:D56,'TOPIX_F1'!C7:C56,C43)</x:f>
        <x:v>1397022</x:v>
      </x:c>
      <x:c r="I43" s="20" t="n">
        <x:f>SUMIFS('TOPIX_F1'!E7:E56,'TOPIX_F1'!C7:C56,C43)</x:f>
        <x:v>849498</x:v>
      </x:c>
      <x:c r="J43" s="20" t="n">
        <x:f>H43-I43</x:f>
        <x:v>547524</x:v>
      </x:c>
      <x:c r="K43" s="22" t="n">
        <x:f>SUMIFS('TOPIX_F1'!J7:J56,'TOPIX_F1'!C7:C56,C43)</x:f>
        <x:v>104</x:v>
      </x:c>
      <x:c r="L43" s="22" t="n">
        <x:f>COUNTIFS('TOPIX_F1'!F7:F56,"&gt;0",'TOPIX_F1'!C7:C56,C43)</x:f>
        <x:v>17</x:v>
      </x:c>
      <x:c r="M43" s="22" t="n">
        <x:f>COUNTIFS('TOPIX_F1'!F7:F56,"&lt;0",'TOPIX_F1'!C7:C56,C43)</x:f>
        <x:v>8</x:v>
      </x:c>
      <x:c r="N43" s="22" t="n">
        <x:f>COUNTIFS('TOPIX_F1'!J7:J56,"=0",'TOPIX_F1'!C7:C56,C43)</x:f>
        <x:v>0</x:v>
      </x:c>
      <x:c r="O43" s="20" t="n">
        <x:f>IF(M43=0,0,-SUMIFS('TOPIX_F1'!F7:F56,'TOPIX_F1'!F7:F56,"&lt;0",'TOPIX_F1'!C7:C56,C43)/M43)</x:f>
        <x:v>31310.25</x:v>
      </x:c>
      <x:c r="P43" s="20" t="n">
        <x:f>MAX(0,-_xlfn.MINIFS('TOPIX_F1'!F7:F56,'TOPIX_F1'!C7:C56,C43))</x:f>
        <x:v>68574</x:v>
      </x:c>
      <x:c r="Q43" s="20" t="n">
        <x:f>J43-MAX(0,_xlfn.MAXIFS('TOPIX_F1'!F7:F56,'TOPIX_F1'!C7:C56,C43))-IF(COUNTIFS('TOPIX_F1'!F7:F56,MAX(0,_xlfn.MAXIFS('TOPIX_F1'!F7:F56,'TOPIX_F1'!C7:C56,C43)),'TOPIX_F1'!C7:C56,C43)&gt;=2,MAX(0,_xlfn.MAXIFS('TOPIX_F1'!F7:F56,'TOPIX_F1'!C7:C56,C43)),MAX(0,_xlfn.MAXIFS('TOPIX_F1'!F7:F56,'TOPIX_F1'!C7:C56,C43,'TOPIX_F1'!F7:F56,"&lt;"&amp;MAX(0,_xlfn.MAXIFS('TOPIX_F1'!F7:F56,'TOPIX_F1'!C7:C56,C43)))))-IF(COUNTIFS('TOPIX_F1'!F7:F56,MAX(0,_xlfn.MAXIFS('TOPIX_F1'!F7:F56,'TOPIX_F1'!C7:C56,C43)),'TOPIX_F1'!C7:C56,C43)&gt;=3,MAX(0,_xlfn.MAXIFS('TOPIX_F1'!F7:F56,'TOPIX_F1'!C7:C56,C43)),IF(COUNTIFS('TOPIX_F1'!F7:F56,IF(COUNTIFS('TOPIX_F1'!F7:F56,MAX(0,_xlfn.MAXIFS('TOPIX_F1'!F7:F56,'TOPIX_F1'!C7:C56,C43)),'TOPIX_F1'!C7:C56,C43)&gt;=2,MAX(0,_xlfn.MAXIFS('TOPIX_F1'!F7:F56,'TOPIX_F1'!C7:C56,C43)),MAX(0,_xlfn.MAXIFS('TOPIX_F1'!F7:F56,'TOPIX_F1'!C7:C56,C43,'TOPIX_F1'!F7:F56,"&lt;"&amp;MAX(0,_xlfn.MAXIFS('TOPIX_F1'!F7:F56,'TOPIX_F1'!C7:C56,C43))))),'TOPIX_F1'!C7:C56,C43)+COUNTIFS('TOPIX_F1'!F7:F56,"&gt;"&amp;IF(COUNTIFS('TOPIX_F1'!F7:F56,MAX(0,_xlfn.MAXIFS('TOPIX_F1'!F7:F56,'TOPIX_F1'!C7:C56,C43)),'TOPIX_F1'!C7:C56,C43)&gt;=2,MAX(0,_xlfn.MAXIFS('TOPIX_F1'!F7:F56,'TOPIX_F1'!C7:C56,C43)),MAX(0,_xlfn.MAXIFS('TOPIX_F1'!F7:F56,'TOPIX_F1'!C7:C56,C43,'TOPIX_F1'!F7:F56,"&lt;"&amp;MAX(0,_xlfn.MAXIFS('TOPIX_F1'!F7:F56,'TOPIX_F1'!C7:C56,C43))))),'TOPIX_F1'!C7:C56,C43)&gt;=3,IF(COUNTIFS('TOPIX_F1'!F7:F56,MAX(0,_xlfn.MAXIFS('TOPIX_F1'!F7:F56,'TOPIX_F1'!C7:C56,C43)),'TOPIX_F1'!C7:C56,C43)&gt;=2,MAX(0,_xlfn.MAXIFS('TOPIX_F1'!F7:F56,'TOPIX_F1'!C7:C56,C43)),MAX(0,_xlfn.MAXIFS('TOPIX_F1'!F7:F56,'TOPIX_F1'!C7:C56,C43,'TOPIX_F1'!F7:F56,"&lt;"&amp;MAX(0,_xlfn.MAXIFS('TOPIX_F1'!F7:F56,'TOPIX_F1'!C7:C56,C43))))),MAX(0,_xlfn.MAXIFS('TOPIX_F1'!F7:F56,'TOPIX_F1'!C7:C56,C43,'TOPIX_F1'!F7:F56,"&lt;"&amp;IF(COUNTIFS('TOPIX_F1'!F7:F56,MAX(0,_xlfn.MAXIFS('TOPIX_F1'!F7:F56,'TOPIX_F1'!C7:C56,C43)),'TOPIX_F1'!C7:C56,C43)&gt;=2,MAX(0,_xlfn.MAXIFS('TOPIX_F1'!F7:F56,'TOPIX_F1'!C7:C56,C43)),MAX(0,_xlfn.MAXIFS('TOPIX_F1'!F7:F56,'TOPIX_F1'!C7:C56,C43,'TOPIX_F1'!F7:F56,"&lt;"&amp;MAX(0,_xlfn.MAXIFS('TOPIX_F1'!F7:F56,'TOPIX_F1'!C7:C56,C43)))))))))</x:f>
        <x:v>252937</x:v>
      </x:c>
      <x:c r="R43" s="26" t="n">
        <x:f>AVERAGEIFS('TOPIX_F1'!P7:P56,'TOPIX_F1'!C7:C56,C43)</x:f>
        <x:v>0.49453015873015876</x:v>
      </x:c>
    </x:row>
    <x:row r="44" ht="36" customHeight="1">
      <x:c r="A44" s="2" t="str">
        <x:v>TOPIXmini</x:v>
      </x:c>
      <x:c r="B44" s="2" t="str">
        <x:v>F1</x:v>
      </x:c>
      <x:c r="C44" s="2" t="str">
        <x:v>ナイト</x:v>
      </x:c>
      <x:c r="D44" s="2" t="str">
        <x:v>全50場</x:v>
      </x:c>
      <x:c r="E44" s="2" t="str">
        <x:v>C13</x:v>
      </x:c>
      <x:c r="F44" s="23" t="str">
        <x:v>赤字場数を重視した条件切替案</x:v>
      </x:c>
      <x:c r="G44" s="22" t="n">
        <x:f>COUNTIFS('TOPIX_F1'!C7:C56,C44)</x:f>
        <x:v>25</x:v>
      </x:c>
      <x:c r="H44" s="20" t="n">
        <x:f>SUMIFS('TOPIX_F1'!D7:D56,'TOPIX_F1'!C7:C56,C44)</x:f>
        <x:v>1029550</x:v>
      </x:c>
      <x:c r="I44" s="20" t="n">
        <x:f>SUMIFS('TOPIX_F1'!E7:E56,'TOPIX_F1'!C7:C56,C44)</x:f>
        <x:v>647610</x:v>
      </x:c>
      <x:c r="J44" s="20" t="n">
        <x:f>H44-I44</x:f>
        <x:v>381940</x:v>
      </x:c>
      <x:c r="K44" s="22" t="n">
        <x:f>SUMIFS('TOPIX_F1'!J7:J56,'TOPIX_F1'!C7:C56,C44)</x:f>
        <x:v>84</x:v>
      </x:c>
      <x:c r="L44" s="22" t="n">
        <x:f>COUNTIFS('TOPIX_F1'!F7:F56,"&gt;0",'TOPIX_F1'!C7:C56,C44)</x:f>
        <x:v>22</x:v>
      </x:c>
      <x:c r="M44" s="22" t="n">
        <x:f>COUNTIFS('TOPIX_F1'!F7:F56,"&lt;0",'TOPIX_F1'!C7:C56,C44)</x:f>
        <x:v>3</x:v>
      </x:c>
      <x:c r="N44" s="22" t="n">
        <x:f>COUNTIFS('TOPIX_F1'!J7:J56,"=0",'TOPIX_F1'!C7:C56,C44)</x:f>
        <x:v>0</x:v>
      </x:c>
      <x:c r="O44" s="20" t="n">
        <x:f>IF(M44=0,0,-SUMIFS('TOPIX_F1'!F7:F56,'TOPIX_F1'!F7:F56,"&lt;0",'TOPIX_F1'!C7:C56,C44)/M44)</x:f>
        <x:v>38558.666666666664</x:v>
      </x:c>
      <x:c r="P44" s="20" t="n">
        <x:f>MAX(0,-_xlfn.MINIFS('TOPIX_F1'!F7:F56,'TOPIX_F1'!C7:C56,C44))</x:f>
        <x:v>40836</x:v>
      </x:c>
      <x:c r="Q44" s="20" t="n">
        <x:f>J44-MAX(0,_xlfn.MAXIFS('TOPIX_F1'!F7:F56,'TOPIX_F1'!C7:C56,C44))-IF(COUNTIFS('TOPIX_F1'!F7:F56,MAX(0,_xlfn.MAXIFS('TOPIX_F1'!F7:F56,'TOPIX_F1'!C7:C56,C44)),'TOPIX_F1'!C7:C56,C44)&gt;=2,MAX(0,_xlfn.MAXIFS('TOPIX_F1'!F7:F56,'TOPIX_F1'!C7:C56,C44)),MAX(0,_xlfn.MAXIFS('TOPIX_F1'!F7:F56,'TOPIX_F1'!C7:C56,C44,'TOPIX_F1'!F7:F56,"&lt;"&amp;MAX(0,_xlfn.MAXIFS('TOPIX_F1'!F7:F56,'TOPIX_F1'!C7:C56,C44)))))-IF(COUNTIFS('TOPIX_F1'!F7:F56,MAX(0,_xlfn.MAXIFS('TOPIX_F1'!F7:F56,'TOPIX_F1'!C7:C56,C44)),'TOPIX_F1'!C7:C56,C44)&gt;=3,MAX(0,_xlfn.MAXIFS('TOPIX_F1'!F7:F56,'TOPIX_F1'!C7:C56,C44)),IF(COUNTIFS('TOPIX_F1'!F7:F56,IF(COUNTIFS('TOPIX_F1'!F7:F56,MAX(0,_xlfn.MAXIFS('TOPIX_F1'!F7:F56,'TOPIX_F1'!C7:C56,C44)),'TOPIX_F1'!C7:C56,C44)&gt;=2,MAX(0,_xlfn.MAXIFS('TOPIX_F1'!F7:F56,'TOPIX_F1'!C7:C56,C44)),MAX(0,_xlfn.MAXIFS('TOPIX_F1'!F7:F56,'TOPIX_F1'!C7:C56,C44,'TOPIX_F1'!F7:F56,"&lt;"&amp;MAX(0,_xlfn.MAXIFS('TOPIX_F1'!F7:F56,'TOPIX_F1'!C7:C56,C44))))),'TOPIX_F1'!C7:C56,C44)+COUNTIFS('TOPIX_F1'!F7:F56,"&gt;"&amp;IF(COUNTIFS('TOPIX_F1'!F7:F56,MAX(0,_xlfn.MAXIFS('TOPIX_F1'!F7:F56,'TOPIX_F1'!C7:C56,C44)),'TOPIX_F1'!C7:C56,C44)&gt;=2,MAX(0,_xlfn.MAXIFS('TOPIX_F1'!F7:F56,'TOPIX_F1'!C7:C56,C44)),MAX(0,_xlfn.MAXIFS('TOPIX_F1'!F7:F56,'TOPIX_F1'!C7:C56,C44,'TOPIX_F1'!F7:F56,"&lt;"&amp;MAX(0,_xlfn.MAXIFS('TOPIX_F1'!F7:F56,'TOPIX_F1'!C7:C56,C44))))),'TOPIX_F1'!C7:C56,C44)&gt;=3,IF(COUNTIFS('TOPIX_F1'!F7:F56,MAX(0,_xlfn.MAXIFS('TOPIX_F1'!F7:F56,'TOPIX_F1'!C7:C56,C44)),'TOPIX_F1'!C7:C56,C44)&gt;=2,MAX(0,_xlfn.MAXIFS('TOPIX_F1'!F7:F56,'TOPIX_F1'!C7:C56,C44)),MAX(0,_xlfn.MAXIFS('TOPIX_F1'!F7:F56,'TOPIX_F1'!C7:C56,C44,'TOPIX_F1'!F7:F56,"&lt;"&amp;MAX(0,_xlfn.MAXIFS('TOPIX_F1'!F7:F56,'TOPIX_F1'!C7:C56,C44))))),MAX(0,_xlfn.MAXIFS('TOPIX_F1'!F7:F56,'TOPIX_F1'!C7:C56,C44,'TOPIX_F1'!F7:F56,"&lt;"&amp;IF(COUNTIFS('TOPIX_F1'!F7:F56,MAX(0,_xlfn.MAXIFS('TOPIX_F1'!F7:F56,'TOPIX_F1'!C7:C56,C44)),'TOPIX_F1'!C7:C56,C44)&gt;=2,MAX(0,_xlfn.MAXIFS('TOPIX_F1'!F7:F56,'TOPIX_F1'!C7:C56,C44)),MAX(0,_xlfn.MAXIFS('TOPIX_F1'!F7:F56,'TOPIX_F1'!C7:C56,C44,'TOPIX_F1'!F7:F56,"&lt;"&amp;MAX(0,_xlfn.MAXIFS('TOPIX_F1'!F7:F56,'TOPIX_F1'!C7:C56,C44)))))))))</x:f>
        <x:v>181701</x:v>
      </x:c>
      <x:c r="R44" s="26" t="n">
        <x:f>AVERAGEIFS('TOPIX_F1'!P7:P56,'TOPIX_F1'!C7:C56,C44)</x:f>
        <x:v>0.08843675213675216</x:v>
      </x:c>
    </x:row>
    <x:row r="45" ht="36" customHeight="1">
      <x:c r="A45" s="2" t="str">
        <x:v>TOPIXmini</x:v>
      </x:c>
      <x:c r="B45" s="2" t="str">
        <x:v>F1</x:v>
      </x:c>
      <x:c r="C45" s="2" t="str">
        <x:v>デイ</x:v>
      </x:c>
      <x:c r="D45" s="2" t="str">
        <x:v>対照47場</x:v>
      </x:c>
      <x:c r="E45" s="2" t="str">
        <x:v>C06</x:v>
      </x:c>
      <x:c r="F45" s="23" t="str">
        <x:v>赤字場数を重視した条件切替案</x:v>
      </x:c>
      <x:c r="G45" s="22" t="n">
        <x:f>COUNTIFS('TOPIX_F1'!C7:C53,C45)</x:f>
        <x:v>24</x:v>
      </x:c>
      <x:c r="H45" s="20" t="n">
        <x:f>SUMIFS('TOPIX_F1'!D7:D53,'TOPIX_F1'!C7:C53,C45)</x:f>
        <x:v>1352016</x:v>
      </x:c>
      <x:c r="I45" s="20" t="n">
        <x:f>SUMIFS('TOPIX_F1'!E7:E53,'TOPIX_F1'!C7:C53,C45)</x:f>
        <x:v>735918</x:v>
      </x:c>
      <x:c r="J45" s="20" t="n">
        <x:f>H45-I45</x:f>
        <x:v>616098</x:v>
      </x:c>
      <x:c r="K45" s="22" t="n">
        <x:f>SUMIFS('TOPIX_F1'!J7:J53,'TOPIX_F1'!C7:C53,C45)</x:f>
        <x:v>91</x:v>
      </x:c>
      <x:c r="L45" s="22" t="n">
        <x:f>COUNTIFS('TOPIX_F1'!F7:F53,"&gt;0",'TOPIX_F1'!C7:C53,C45)</x:f>
        <x:v>17</x:v>
      </x:c>
      <x:c r="M45" s="22" t="n">
        <x:f>COUNTIFS('TOPIX_F1'!F7:F53,"&lt;0",'TOPIX_F1'!C7:C53,C45)</x:f>
        <x:v>7</x:v>
      </x:c>
      <x:c r="N45" s="22" t="n">
        <x:f>COUNTIFS('TOPIX_F1'!J7:J53,"=0",'TOPIX_F1'!C7:C53,C45)</x:f>
        <x:v>0</x:v>
      </x:c>
      <x:c r="O45" s="20" t="n">
        <x:f>IF(M45=0,0,-SUMIFS('TOPIX_F1'!F7:F53,'TOPIX_F1'!F7:F53,"&lt;0",'TOPIX_F1'!C7:C53,C45)/M45)</x:f>
        <x:v>25986.85714285714</x:v>
      </x:c>
      <x:c r="P45" s="20" t="n">
        <x:f>MAX(0,-_xlfn.MINIFS('TOPIX_F1'!F7:F53,'TOPIX_F1'!C7:C53,C45))</x:f>
        <x:v>54832</x:v>
      </x:c>
      <x:c r="Q45" s="20" t="n">
        <x:f>J45-MAX(0,_xlfn.MAXIFS('TOPIX_F1'!F7:F53,'TOPIX_F1'!C7:C53,C45))-IF(COUNTIFS('TOPIX_F1'!F7:F53,MAX(0,_xlfn.MAXIFS('TOPIX_F1'!F7:F53,'TOPIX_F1'!C7:C53,C45)),'TOPIX_F1'!C7:C53,C45)&gt;=2,MAX(0,_xlfn.MAXIFS('TOPIX_F1'!F7:F53,'TOPIX_F1'!C7:C53,C45)),MAX(0,_xlfn.MAXIFS('TOPIX_F1'!F7:F53,'TOPIX_F1'!C7:C53,C45,'TOPIX_F1'!F7:F53,"&lt;"&amp;MAX(0,_xlfn.MAXIFS('TOPIX_F1'!F7:F53,'TOPIX_F1'!C7:C53,C45)))))-IF(COUNTIFS('TOPIX_F1'!F7:F53,MAX(0,_xlfn.MAXIFS('TOPIX_F1'!F7:F53,'TOPIX_F1'!C7:C53,C45)),'TOPIX_F1'!C7:C53,C45)&gt;=3,MAX(0,_xlfn.MAXIFS('TOPIX_F1'!F7:F53,'TOPIX_F1'!C7:C53,C45)),IF(COUNTIFS('TOPIX_F1'!F7:F53,IF(COUNTIFS('TOPIX_F1'!F7:F53,MAX(0,_xlfn.MAXIFS('TOPIX_F1'!F7:F53,'TOPIX_F1'!C7:C53,C45)),'TOPIX_F1'!C7:C53,C45)&gt;=2,MAX(0,_xlfn.MAXIFS('TOPIX_F1'!F7:F53,'TOPIX_F1'!C7:C53,C45)),MAX(0,_xlfn.MAXIFS('TOPIX_F1'!F7:F53,'TOPIX_F1'!C7:C53,C45,'TOPIX_F1'!F7:F53,"&lt;"&amp;MAX(0,_xlfn.MAXIFS('TOPIX_F1'!F7:F53,'TOPIX_F1'!C7:C53,C45))))),'TOPIX_F1'!C7:C53,C45)+COUNTIFS('TOPIX_F1'!F7:F53,"&gt;"&amp;IF(COUNTIFS('TOPIX_F1'!F7:F53,MAX(0,_xlfn.MAXIFS('TOPIX_F1'!F7:F53,'TOPIX_F1'!C7:C53,C45)),'TOPIX_F1'!C7:C53,C45)&gt;=2,MAX(0,_xlfn.MAXIFS('TOPIX_F1'!F7:F53,'TOPIX_F1'!C7:C53,C45)),MAX(0,_xlfn.MAXIFS('TOPIX_F1'!F7:F53,'TOPIX_F1'!C7:C53,C45,'TOPIX_F1'!F7:F53,"&lt;"&amp;MAX(0,_xlfn.MAXIFS('TOPIX_F1'!F7:F53,'TOPIX_F1'!C7:C53,C45))))),'TOPIX_F1'!C7:C53,C45)&gt;=3,IF(COUNTIFS('TOPIX_F1'!F7:F53,MAX(0,_xlfn.MAXIFS('TOPIX_F1'!F7:F53,'TOPIX_F1'!C7:C53,C45)),'TOPIX_F1'!C7:C53,C45)&gt;=2,MAX(0,_xlfn.MAXIFS('TOPIX_F1'!F7:F53,'TOPIX_F1'!C7:C53,C45)),MAX(0,_xlfn.MAXIFS('TOPIX_F1'!F7:F53,'TOPIX_F1'!C7:C53,C45,'TOPIX_F1'!F7:F53,"&lt;"&amp;MAX(0,_xlfn.MAXIFS('TOPIX_F1'!F7:F53,'TOPIX_F1'!C7:C53,C45))))),MAX(0,_xlfn.MAXIFS('TOPIX_F1'!F7:F53,'TOPIX_F1'!C7:C53,C45,'TOPIX_F1'!F7:F53,"&lt;"&amp;IF(COUNTIFS('TOPIX_F1'!F7:F53,MAX(0,_xlfn.MAXIFS('TOPIX_F1'!F7:F53,'TOPIX_F1'!C7:C53,C45)),'TOPIX_F1'!C7:C53,C45)&gt;=2,MAX(0,_xlfn.MAXIFS('TOPIX_F1'!F7:F53,'TOPIX_F1'!C7:C53,C45)),MAX(0,_xlfn.MAXIFS('TOPIX_F1'!F7:F53,'TOPIX_F1'!C7:C53,C45,'TOPIX_F1'!F7:F53,"&lt;"&amp;MAX(0,_xlfn.MAXIFS('TOPIX_F1'!F7:F53,'TOPIX_F1'!C7:C53,C45)))))))))</x:f>
        <x:v>321511</x:v>
      </x:c>
      <x:c r="R45" s="26" t="n">
        <x:f>AVERAGEIFS('TOPIX_F1'!P7:P53,'TOPIX_F1'!C7:C53,C45)</x:f>
        <x:v>0.49248677248677253</x:v>
      </x:c>
    </x:row>
    <x:row r="46" ht="36" customHeight="1">
      <x:c r="A46" s="2" t="str">
        <x:v>TOPIXmini</x:v>
      </x:c>
      <x:c r="B46" s="2" t="str">
        <x:v>F1</x:v>
      </x:c>
      <x:c r="C46" s="2" t="str">
        <x:v>ナイト</x:v>
      </x:c>
      <x:c r="D46" s="2" t="str">
        <x:v>対照47場</x:v>
      </x:c>
      <x:c r="E46" s="2" t="str">
        <x:v>C13</x:v>
      </x:c>
      <x:c r="F46" s="23" t="str">
        <x:v>赤字場数を重視した条件切替案</x:v>
      </x:c>
      <x:c r="G46" s="22" t="n">
        <x:f>COUNTIFS('TOPIX_F1'!C7:C53,C46)</x:f>
        <x:v>23</x:v>
      </x:c>
      <x:c r="H46" s="20" t="n">
        <x:f>SUMIFS('TOPIX_F1'!D7:D53,'TOPIX_F1'!C7:C53,C46)</x:f>
        <x:v>911885</x:v>
      </x:c>
      <x:c r="I46" s="20" t="n">
        <x:f>SUMIFS('TOPIX_F1'!E7:E53,'TOPIX_F1'!C7:C53,C46)</x:f>
        <x:v>594444</x:v>
      </x:c>
      <x:c r="J46" s="20" t="n">
        <x:f>H46-I46</x:f>
        <x:v>317441</x:v>
      </x:c>
      <x:c r="K46" s="22" t="n">
        <x:f>SUMIFS('TOPIX_F1'!J7:J53,'TOPIX_F1'!C7:C53,C46)</x:f>
        <x:v>72</x:v>
      </x:c>
      <x:c r="L46" s="22" t="n">
        <x:f>COUNTIFS('TOPIX_F1'!F7:F53,"&gt;0",'TOPIX_F1'!C7:C53,C46)</x:f>
        <x:v>20</x:v>
      </x:c>
      <x:c r="M46" s="22" t="n">
        <x:f>COUNTIFS('TOPIX_F1'!F7:F53,"&lt;0",'TOPIX_F1'!C7:C53,C46)</x:f>
        <x:v>3</x:v>
      </x:c>
      <x:c r="N46" s="22" t="n">
        <x:f>COUNTIFS('TOPIX_F1'!J7:J53,"=0",'TOPIX_F1'!C7:C53,C46)</x:f>
        <x:v>0</x:v>
      </x:c>
      <x:c r="O46" s="20" t="n">
        <x:f>IF(M46=0,0,-SUMIFS('TOPIX_F1'!F7:F53,'TOPIX_F1'!F7:F53,"&lt;0",'TOPIX_F1'!C7:C53,C46)/M46)</x:f>
        <x:v>38558.666666666664</x:v>
      </x:c>
      <x:c r="P46" s="20" t="n">
        <x:f>MAX(0,-_xlfn.MINIFS('TOPIX_F1'!F7:F53,'TOPIX_F1'!C7:C53,C46))</x:f>
        <x:v>40836</x:v>
      </x:c>
      <x:c r="Q46" s="20" t="n">
        <x:f>J46-MAX(0,_xlfn.MAXIFS('TOPIX_F1'!F7:F53,'TOPIX_F1'!C7:C53,C46))-IF(COUNTIFS('TOPIX_F1'!F7:F53,MAX(0,_xlfn.MAXIFS('TOPIX_F1'!F7:F53,'TOPIX_F1'!C7:C53,C46)),'TOPIX_F1'!C7:C53,C46)&gt;=2,MAX(0,_xlfn.MAXIFS('TOPIX_F1'!F7:F53,'TOPIX_F1'!C7:C53,C46)),MAX(0,_xlfn.MAXIFS('TOPIX_F1'!F7:F53,'TOPIX_F1'!C7:C53,C46,'TOPIX_F1'!F7:F53,"&lt;"&amp;MAX(0,_xlfn.MAXIFS('TOPIX_F1'!F7:F53,'TOPIX_F1'!C7:C53,C46)))))-IF(COUNTIFS('TOPIX_F1'!F7:F53,MAX(0,_xlfn.MAXIFS('TOPIX_F1'!F7:F53,'TOPIX_F1'!C7:C53,C46)),'TOPIX_F1'!C7:C53,C46)&gt;=3,MAX(0,_xlfn.MAXIFS('TOPIX_F1'!F7:F53,'TOPIX_F1'!C7:C53,C46)),IF(COUNTIFS('TOPIX_F1'!F7:F53,IF(COUNTIFS('TOPIX_F1'!F7:F53,MAX(0,_xlfn.MAXIFS('TOPIX_F1'!F7:F53,'TOPIX_F1'!C7:C53,C46)),'TOPIX_F1'!C7:C53,C46)&gt;=2,MAX(0,_xlfn.MAXIFS('TOPIX_F1'!F7:F53,'TOPIX_F1'!C7:C53,C46)),MAX(0,_xlfn.MAXIFS('TOPIX_F1'!F7:F53,'TOPIX_F1'!C7:C53,C46,'TOPIX_F1'!F7:F53,"&lt;"&amp;MAX(0,_xlfn.MAXIFS('TOPIX_F1'!F7:F53,'TOPIX_F1'!C7:C53,C46))))),'TOPIX_F1'!C7:C53,C46)+COUNTIFS('TOPIX_F1'!F7:F53,"&gt;"&amp;IF(COUNTIFS('TOPIX_F1'!F7:F53,MAX(0,_xlfn.MAXIFS('TOPIX_F1'!F7:F53,'TOPIX_F1'!C7:C53,C46)),'TOPIX_F1'!C7:C53,C46)&gt;=2,MAX(0,_xlfn.MAXIFS('TOPIX_F1'!F7:F53,'TOPIX_F1'!C7:C53,C46)),MAX(0,_xlfn.MAXIFS('TOPIX_F1'!F7:F53,'TOPIX_F1'!C7:C53,C46,'TOPIX_F1'!F7:F53,"&lt;"&amp;MAX(0,_xlfn.MAXIFS('TOPIX_F1'!F7:F53,'TOPIX_F1'!C7:C53,C46))))),'TOPIX_F1'!C7:C53,C46)&gt;=3,IF(COUNTIFS('TOPIX_F1'!F7:F53,MAX(0,_xlfn.MAXIFS('TOPIX_F1'!F7:F53,'TOPIX_F1'!C7:C53,C46)),'TOPIX_F1'!C7:C53,C46)&gt;=2,MAX(0,_xlfn.MAXIFS('TOPIX_F1'!F7:F53,'TOPIX_F1'!C7:C53,C46)),MAX(0,_xlfn.MAXIFS('TOPIX_F1'!F7:F53,'TOPIX_F1'!C7:C53,C46,'TOPIX_F1'!F7:F53,"&lt;"&amp;MAX(0,_xlfn.MAXIFS('TOPIX_F1'!F7:F53,'TOPIX_F1'!C7:C53,C46))))),MAX(0,_xlfn.MAXIFS('TOPIX_F1'!F7:F53,'TOPIX_F1'!C7:C53,C46,'TOPIX_F1'!F7:F53,"&lt;"&amp;IF(COUNTIFS('TOPIX_F1'!F7:F53,MAX(0,_xlfn.MAXIFS('TOPIX_F1'!F7:F53,'TOPIX_F1'!C7:C53,C46)),'TOPIX_F1'!C7:C53,C46)&gt;=2,MAX(0,_xlfn.MAXIFS('TOPIX_F1'!F7:F53,'TOPIX_F1'!C7:C53,C46)),MAX(0,_xlfn.MAXIFS('TOPIX_F1'!F7:F53,'TOPIX_F1'!C7:C53,C46,'TOPIX_F1'!F7:F53,"&lt;"&amp;MAX(0,_xlfn.MAXIFS('TOPIX_F1'!F7:F53,'TOPIX_F1'!C7:C53,C46)))))))))</x:f>
        <x:v>117202</x:v>
      </x:c>
      <x:c r="R46" s="26" t="n">
        <x:f>AVERAGEIFS('TOPIX_F1'!P7:P53,'TOPIX_F1'!C7:C53,C46)</x:f>
        <x:v>0.08736714975845411</x:v>
      </x:c>
    </x:row>
    <x:row r="47" ht="36" customHeight="1">
      <x:c r="A47" s="2" t="str">
        <x:v>TOPIXmini</x:v>
      </x:c>
      <x:c r="B47" s="2" t="str">
        <x:v>F1</x:v>
      </x:c>
      <x:c r="C47" s="2" t="str">
        <x:v>デイ</x:v>
      </x:c>
      <x:c r="D47" s="2" t="str">
        <x:v>診断3場</x:v>
      </x:c>
      <x:c r="E47" s="2" t="str">
        <x:v>C06</x:v>
      </x:c>
      <x:c r="F47" s="23" t="str">
        <x:v>赤字場数を重視した条件切替案</x:v>
      </x:c>
      <x:c r="G47" s="22" t="n">
        <x:f>COUNTIFS('TOPIX_F1'!C54:C56,C47)</x:f>
        <x:v>1</x:v>
      </x:c>
      <x:c r="H47" s="20" t="n">
        <x:f>SUMIFS('TOPIX_F1'!D54:D56,'TOPIX_F1'!C54:C56,C47)</x:f>
        <x:v>45006</x:v>
      </x:c>
      <x:c r="I47" s="20" t="n">
        <x:f>SUMIFS('TOPIX_F1'!E54:E56,'TOPIX_F1'!C54:C56,C47)</x:f>
        <x:v>113580</x:v>
      </x:c>
      <x:c r="J47" s="20" t="n">
        <x:f>H47-I47</x:f>
        <x:v>-68574</x:v>
      </x:c>
      <x:c r="K47" s="22" t="n">
        <x:f>SUMIFS('TOPIX_F1'!J54:J56,'TOPIX_F1'!C54:C56,C47)</x:f>
        <x:v>13</x:v>
      </x:c>
      <x:c r="L47" s="22" t="n">
        <x:f>COUNTIFS('TOPIX_F1'!F54:F56,"&gt;0",'TOPIX_F1'!C54:C56,C47)</x:f>
        <x:v>0</x:v>
      </x:c>
      <x:c r="M47" s="22" t="n">
        <x:f>COUNTIFS('TOPIX_F1'!F54:F56,"&lt;0",'TOPIX_F1'!C54:C56,C47)</x:f>
        <x:v>1</x:v>
      </x:c>
      <x:c r="N47" s="22" t="n">
        <x:f>COUNTIFS('TOPIX_F1'!J54:J56,"=0",'TOPIX_F1'!C54:C56,C47)</x:f>
        <x:v>0</x:v>
      </x:c>
      <x:c r="O47" s="20" t="n">
        <x:f>IF(M47=0,0,-SUMIFS('TOPIX_F1'!F54:F56,'TOPIX_F1'!F54:F56,"&lt;0",'TOPIX_F1'!C54:C56,C47)/M47)</x:f>
        <x:v>68574</x:v>
      </x:c>
      <x:c r="P47" s="20" t="n">
        <x:f>MAX(0,-_xlfn.MINIFS('TOPIX_F1'!F54:F56,'TOPIX_F1'!C54:C56,C47))</x:f>
        <x:v>68574</x:v>
      </x:c>
      <x:c r="Q47" s="20" t="n">
        <x:f>J47-MAX(0,_xlfn.MAXIFS('TOPIX_F1'!F54:F56,'TOPIX_F1'!C54:C56,C47))-IF(COUNTIFS('TOPIX_F1'!F54:F56,MAX(0,_xlfn.MAXIFS('TOPIX_F1'!F54:F56,'TOPIX_F1'!C54:C56,C47)),'TOPIX_F1'!C54:C56,C47)&gt;=2,MAX(0,_xlfn.MAXIFS('TOPIX_F1'!F54:F56,'TOPIX_F1'!C54:C56,C47)),MAX(0,_xlfn.MAXIFS('TOPIX_F1'!F54:F56,'TOPIX_F1'!C54:C56,C47,'TOPIX_F1'!F54:F56,"&lt;"&amp;MAX(0,_xlfn.MAXIFS('TOPIX_F1'!F54:F56,'TOPIX_F1'!C54:C56,C47)))))-IF(COUNTIFS('TOPIX_F1'!F54:F56,MAX(0,_xlfn.MAXIFS('TOPIX_F1'!F54:F56,'TOPIX_F1'!C54:C56,C47)),'TOPIX_F1'!C54:C56,C47)&gt;=3,MAX(0,_xlfn.MAXIFS('TOPIX_F1'!F54:F56,'TOPIX_F1'!C54:C56,C47)),IF(COUNTIFS('TOPIX_F1'!F54:F56,IF(COUNTIFS('TOPIX_F1'!F54:F56,MAX(0,_xlfn.MAXIFS('TOPIX_F1'!F54:F56,'TOPIX_F1'!C54:C56,C47)),'TOPIX_F1'!C54:C56,C47)&gt;=2,MAX(0,_xlfn.MAXIFS('TOPIX_F1'!F54:F56,'TOPIX_F1'!C54:C56,C47)),MAX(0,_xlfn.MAXIFS('TOPIX_F1'!F54:F56,'TOPIX_F1'!C54:C56,C47,'TOPIX_F1'!F54:F56,"&lt;"&amp;MAX(0,_xlfn.MAXIFS('TOPIX_F1'!F54:F56,'TOPIX_F1'!C54:C56,C47))))),'TOPIX_F1'!C54:C56,C47)+COUNTIFS('TOPIX_F1'!F54:F56,"&gt;"&amp;IF(COUNTIFS('TOPIX_F1'!F54:F56,MAX(0,_xlfn.MAXIFS('TOPIX_F1'!F54:F56,'TOPIX_F1'!C54:C56,C47)),'TOPIX_F1'!C54:C56,C47)&gt;=2,MAX(0,_xlfn.MAXIFS('TOPIX_F1'!F54:F56,'TOPIX_F1'!C54:C56,C47)),MAX(0,_xlfn.MAXIFS('TOPIX_F1'!F54:F56,'TOPIX_F1'!C54:C56,C47,'TOPIX_F1'!F54:F56,"&lt;"&amp;MAX(0,_xlfn.MAXIFS('TOPIX_F1'!F54:F56,'TOPIX_F1'!C54:C56,C47))))),'TOPIX_F1'!C54:C56,C47)&gt;=3,IF(COUNTIFS('TOPIX_F1'!F54:F56,MAX(0,_xlfn.MAXIFS('TOPIX_F1'!F54:F56,'TOPIX_F1'!C54:C56,C47)),'TOPIX_F1'!C54:C56,C47)&gt;=2,MAX(0,_xlfn.MAXIFS('TOPIX_F1'!F54:F56,'TOPIX_F1'!C54:C56,C47)),MAX(0,_xlfn.MAXIFS('TOPIX_F1'!F54:F56,'TOPIX_F1'!C54:C56,C47,'TOPIX_F1'!F54:F56,"&lt;"&amp;MAX(0,_xlfn.MAXIFS('TOPIX_F1'!F54:F56,'TOPIX_F1'!C54:C56,C47))))),MAX(0,_xlfn.MAXIFS('TOPIX_F1'!F54:F56,'TOPIX_F1'!C54:C56,C47,'TOPIX_F1'!F54:F56,"&lt;"&amp;IF(COUNTIFS('TOPIX_F1'!F54:F56,MAX(0,_xlfn.MAXIFS('TOPIX_F1'!F54:F56,'TOPIX_F1'!C54:C56,C47)),'TOPIX_F1'!C54:C56,C47)&gt;=2,MAX(0,_xlfn.MAXIFS('TOPIX_F1'!F54:F56,'TOPIX_F1'!C54:C56,C47)),MAX(0,_xlfn.MAXIFS('TOPIX_F1'!F54:F56,'TOPIX_F1'!C54:C56,C47,'TOPIX_F1'!F54:F56,"&lt;"&amp;MAX(0,_xlfn.MAXIFS('TOPIX_F1'!F54:F56,'TOPIX_F1'!C54:C56,C47)))))))))</x:f>
        <x:v>-68574</x:v>
      </x:c>
      <x:c r="R47" s="26" t="n">
        <x:f>AVERAGEIFS('TOPIX_F1'!P54:P56,'TOPIX_F1'!C54:C56,C47)</x:f>
        <x:v>0.5435714285714286</x:v>
      </x:c>
    </x:row>
    <x:row r="48" ht="36" customHeight="1">
      <x:c r="A48" s="2" t="str">
        <x:v>TOPIXmini</x:v>
      </x:c>
      <x:c r="B48" s="2" t="str">
        <x:v>F1</x:v>
      </x:c>
      <x:c r="C48" s="2" t="str">
        <x:v>ナイト</x:v>
      </x:c>
      <x:c r="D48" s="2" t="str">
        <x:v>診断3場</x:v>
      </x:c>
      <x:c r="E48" s="2" t="str">
        <x:v>C13</x:v>
      </x:c>
      <x:c r="F48" s="23" t="str">
        <x:v>赤字場数を重視した条件切替案</x:v>
      </x:c>
      <x:c r="G48" s="22" t="n">
        <x:f>COUNTIFS('TOPIX_F1'!C54:C56,C48)</x:f>
        <x:v>2</x:v>
      </x:c>
      <x:c r="H48" s="20" t="n">
        <x:f>SUMIFS('TOPIX_F1'!D54:D56,'TOPIX_F1'!C54:C56,C48)</x:f>
        <x:v>117665</x:v>
      </x:c>
      <x:c r="I48" s="20" t="n">
        <x:f>SUMIFS('TOPIX_F1'!E54:E56,'TOPIX_F1'!C54:C56,C48)</x:f>
        <x:v>53166</x:v>
      </x:c>
      <x:c r="J48" s="20" t="n">
        <x:f>H48-I48</x:f>
        <x:v>64499</x:v>
      </x:c>
      <x:c r="K48" s="22" t="n">
        <x:f>SUMIFS('TOPIX_F1'!J54:J56,'TOPIX_F1'!C54:C56,C48)</x:f>
        <x:v>12</x:v>
      </x:c>
      <x:c r="L48" s="22" t="n">
        <x:f>COUNTIFS('TOPIX_F1'!F54:F56,"&gt;0",'TOPIX_F1'!C54:C56,C48)</x:f>
        <x:v>2</x:v>
      </x:c>
      <x:c r="M48" s="22" t="n">
        <x:f>COUNTIFS('TOPIX_F1'!F54:F56,"&lt;0",'TOPIX_F1'!C54:C56,C48)</x:f>
        <x:v>0</x:v>
      </x:c>
      <x:c r="N48" s="22" t="n">
        <x:f>COUNTIFS('TOPIX_F1'!J54:J56,"=0",'TOPIX_F1'!C54:C56,C48)</x:f>
        <x:v>0</x:v>
      </x:c>
      <x:c r="O48" s="20" t="n">
        <x:f>IF(M48=0,0,-SUMIFS('TOPIX_F1'!F54:F56,'TOPIX_F1'!F54:F56,"&lt;0",'TOPIX_F1'!C54:C56,C48)/M48)</x:f>
        <x:v>0</x:v>
      </x:c>
      <x:c r="P48" s="20" t="n">
        <x:f>MAX(0,-_xlfn.MINIFS('TOPIX_F1'!F54:F56,'TOPIX_F1'!C54:C56,C48))</x:f>
        <x:v>0</x:v>
      </x:c>
      <x:c r="Q48" s="20" t="n">
        <x:f>J48-MAX(0,_xlfn.MAXIFS('TOPIX_F1'!F54:F56,'TOPIX_F1'!C54:C56,C48))-IF(COUNTIFS('TOPIX_F1'!F54:F56,MAX(0,_xlfn.MAXIFS('TOPIX_F1'!F54:F56,'TOPIX_F1'!C54:C56,C48)),'TOPIX_F1'!C54:C56,C48)&gt;=2,MAX(0,_xlfn.MAXIFS('TOPIX_F1'!F54:F56,'TOPIX_F1'!C54:C56,C48)),MAX(0,_xlfn.MAXIFS('TOPIX_F1'!F54:F56,'TOPIX_F1'!C54:C56,C48,'TOPIX_F1'!F54:F56,"&lt;"&amp;MAX(0,_xlfn.MAXIFS('TOPIX_F1'!F54:F56,'TOPIX_F1'!C54:C56,C48)))))-IF(COUNTIFS('TOPIX_F1'!F54:F56,MAX(0,_xlfn.MAXIFS('TOPIX_F1'!F54:F56,'TOPIX_F1'!C54:C56,C48)),'TOPIX_F1'!C54:C56,C48)&gt;=3,MAX(0,_xlfn.MAXIFS('TOPIX_F1'!F54:F56,'TOPIX_F1'!C54:C56,C48)),IF(COUNTIFS('TOPIX_F1'!F54:F56,IF(COUNTIFS('TOPIX_F1'!F54:F56,MAX(0,_xlfn.MAXIFS('TOPIX_F1'!F54:F56,'TOPIX_F1'!C54:C56,C48)),'TOPIX_F1'!C54:C56,C48)&gt;=2,MAX(0,_xlfn.MAXIFS('TOPIX_F1'!F54:F56,'TOPIX_F1'!C54:C56,C48)),MAX(0,_xlfn.MAXIFS('TOPIX_F1'!F54:F56,'TOPIX_F1'!C54:C56,C48,'TOPIX_F1'!F54:F56,"&lt;"&amp;MAX(0,_xlfn.MAXIFS('TOPIX_F1'!F54:F56,'TOPIX_F1'!C54:C56,C48))))),'TOPIX_F1'!C54:C56,C48)+COUNTIFS('TOPIX_F1'!F54:F56,"&gt;"&amp;IF(COUNTIFS('TOPIX_F1'!F54:F56,MAX(0,_xlfn.MAXIFS('TOPIX_F1'!F54:F56,'TOPIX_F1'!C54:C56,C48)),'TOPIX_F1'!C54:C56,C48)&gt;=2,MAX(0,_xlfn.MAXIFS('TOPIX_F1'!F54:F56,'TOPIX_F1'!C54:C56,C48)),MAX(0,_xlfn.MAXIFS('TOPIX_F1'!F54:F56,'TOPIX_F1'!C54:C56,C48,'TOPIX_F1'!F54:F56,"&lt;"&amp;MAX(0,_xlfn.MAXIFS('TOPIX_F1'!F54:F56,'TOPIX_F1'!C54:C56,C48))))),'TOPIX_F1'!C54:C56,C48)&gt;=3,IF(COUNTIFS('TOPIX_F1'!F54:F56,MAX(0,_xlfn.MAXIFS('TOPIX_F1'!F54:F56,'TOPIX_F1'!C54:C56,C48)),'TOPIX_F1'!C54:C56,C48)&gt;=2,MAX(0,_xlfn.MAXIFS('TOPIX_F1'!F54:F56,'TOPIX_F1'!C54:C56,C48)),MAX(0,_xlfn.MAXIFS('TOPIX_F1'!F54:F56,'TOPIX_F1'!C54:C56,C48,'TOPIX_F1'!F54:F56,"&lt;"&amp;MAX(0,_xlfn.MAXIFS('TOPIX_F1'!F54:F56,'TOPIX_F1'!C54:C56,C48))))),MAX(0,_xlfn.MAXIFS('TOPIX_F1'!F54:F56,'TOPIX_F1'!C54:C56,C48,'TOPIX_F1'!F54:F56,"&lt;"&amp;IF(COUNTIFS('TOPIX_F1'!F54:F56,MAX(0,_xlfn.MAXIFS('TOPIX_F1'!F54:F56,'TOPIX_F1'!C54:C56,C48)),'TOPIX_F1'!C54:C56,C48)&gt;=2,MAX(0,_xlfn.MAXIFS('TOPIX_F1'!F54:F56,'TOPIX_F1'!C54:C56,C48)),MAX(0,_xlfn.MAXIFS('TOPIX_F1'!F54:F56,'TOPIX_F1'!C54:C56,C48,'TOPIX_F1'!F54:F56,"&lt;"&amp;MAX(0,_xlfn.MAXIFS('TOPIX_F1'!F54:F56,'TOPIX_F1'!C54:C56,C48)))))))))</x:f>
        <x:v>0</x:v>
      </x:c>
      <x:c r="R48" s="26" t="n">
        <x:f>AVERAGEIFS('TOPIX_F1'!P54:P56,'TOPIX_F1'!C54:C56,C48)</x:f>
        <x:v>0.1007371794871795</x:v>
      </x:c>
    </x:row>
    <x:row r="49" ht="36" customHeight="1">
      <x:c r="A49" s="2" t="str">
        <x:v>TOPIXmini</x:v>
      </x:c>
      <x:c r="B49" s="2" t="str">
        <x:v>V04</x:v>
      </x:c>
      <x:c r="C49" s="2" t="str">
        <x:v>デイ</x:v>
      </x:c>
      <x:c r="D49" s="2" t="str">
        <x:v>全50場</x:v>
      </x:c>
      <x:c r="E49" s="2" t="str">
        <x:v>V04</x:v>
      </x:c>
      <x:c r="F49" s="23" t="str">
        <x:v>参加拡大の比較対照・安定性は悪化</x:v>
      </x:c>
      <x:c r="G49" s="22" t="n">
        <x:f>COUNTIFS('TOPIX_V04'!C7:C56,C49)</x:f>
        <x:v>25</x:v>
      </x:c>
      <x:c r="H49" s="20" t="n">
        <x:f>SUMIFS('TOPIX_V04'!D7:D56,'TOPIX_V04'!C7:C56,C49)</x:f>
        <x:v>2200058</x:v>
      </x:c>
      <x:c r="I49" s="20" t="n">
        <x:f>SUMIFS('TOPIX_V04'!E7:E56,'TOPIX_V04'!C7:C56,C49)</x:f>
        <x:v>1817178</x:v>
      </x:c>
      <x:c r="J49" s="20" t="n">
        <x:f>H49-I49</x:f>
        <x:v>382880</x:v>
      </x:c>
      <x:c r="K49" s="22" t="n">
        <x:f>SUMIFS('TOPIX_V04'!J7:J56,'TOPIX_V04'!C7:C56,C49)</x:f>
        <x:v>289</x:v>
      </x:c>
      <x:c r="L49" s="22" t="n">
        <x:f>COUNTIFS('TOPIX_V04'!F7:F56,"&gt;0",'TOPIX_V04'!C7:C56,C49)</x:f>
        <x:v>13</x:v>
      </x:c>
      <x:c r="M49" s="22" t="n">
        <x:f>COUNTIFS('TOPIX_V04'!F7:F56,"&lt;0",'TOPIX_V04'!C7:C56,C49)</x:f>
        <x:v>11</x:v>
      </x:c>
      <x:c r="N49" s="22" t="n">
        <x:f>COUNTIFS('TOPIX_V04'!J7:J56,"=0",'TOPIX_V04'!C7:C56,C49)</x:f>
        <x:v>0</x:v>
      </x:c>
      <x:c r="O49" s="20" t="n">
        <x:f>IF(M49=0,0,-SUMIFS('TOPIX_V04'!F7:F56,'TOPIX_V04'!F7:F56,"&lt;0",'TOPIX_V04'!C7:C56,C49)/M49)</x:f>
        <x:v>46334.454545454544</x:v>
      </x:c>
      <x:c r="P49" s="20" t="n">
        <x:f>MAX(0,-_xlfn.MINIFS('TOPIX_V04'!F7:F56,'TOPIX_V04'!C7:C56,C49))</x:f>
        <x:v>108081</x:v>
      </x:c>
      <x:c r="Q49" s="20" t="n">
        <x:f>J49-MAX(0,_xlfn.MAXIFS('TOPIX_V04'!F7:F56,'TOPIX_V04'!C7:C56,C49))-IF(COUNTIFS('TOPIX_V04'!F7:F56,MAX(0,_xlfn.MAXIFS('TOPIX_V04'!F7:F56,'TOPIX_V04'!C7:C56,C49)),'TOPIX_V04'!C7:C56,C49)&gt;=2,MAX(0,_xlfn.MAXIFS('TOPIX_V04'!F7:F56,'TOPIX_V04'!C7:C56,C49)),MAX(0,_xlfn.MAXIFS('TOPIX_V04'!F7:F56,'TOPIX_V04'!C7:C56,C49,'TOPIX_V04'!F7:F56,"&lt;"&amp;MAX(0,_xlfn.MAXIFS('TOPIX_V04'!F7:F56,'TOPIX_V04'!C7:C56,C49)))))-IF(COUNTIFS('TOPIX_V04'!F7:F56,MAX(0,_xlfn.MAXIFS('TOPIX_V04'!F7:F56,'TOPIX_V04'!C7:C56,C49)),'TOPIX_V04'!C7:C56,C49)&gt;=3,MAX(0,_xlfn.MAXIFS('TOPIX_V04'!F7:F56,'TOPIX_V04'!C7:C56,C49)),IF(COUNTIFS('TOPIX_V04'!F7:F56,IF(COUNTIFS('TOPIX_V04'!F7:F56,MAX(0,_xlfn.MAXIFS('TOPIX_V04'!F7:F56,'TOPIX_V04'!C7:C56,C49)),'TOPIX_V04'!C7:C56,C49)&gt;=2,MAX(0,_xlfn.MAXIFS('TOPIX_V04'!F7:F56,'TOPIX_V04'!C7:C56,C49)),MAX(0,_xlfn.MAXIFS('TOPIX_V04'!F7:F56,'TOPIX_V04'!C7:C56,C49,'TOPIX_V04'!F7:F56,"&lt;"&amp;MAX(0,_xlfn.MAXIFS('TOPIX_V04'!F7:F56,'TOPIX_V04'!C7:C56,C49))))),'TOPIX_V04'!C7:C56,C49)+COUNTIFS('TOPIX_V04'!F7:F56,"&gt;"&amp;IF(COUNTIFS('TOPIX_V04'!F7:F56,MAX(0,_xlfn.MAXIFS('TOPIX_V04'!F7:F56,'TOPIX_V04'!C7:C56,C49)),'TOPIX_V04'!C7:C56,C49)&gt;=2,MAX(0,_xlfn.MAXIFS('TOPIX_V04'!F7:F56,'TOPIX_V04'!C7:C56,C49)),MAX(0,_xlfn.MAXIFS('TOPIX_V04'!F7:F56,'TOPIX_V04'!C7:C56,C49,'TOPIX_V04'!F7:F56,"&lt;"&amp;MAX(0,_xlfn.MAXIFS('TOPIX_V04'!F7:F56,'TOPIX_V04'!C7:C56,C49))))),'TOPIX_V04'!C7:C56,C49)&gt;=3,IF(COUNTIFS('TOPIX_V04'!F7:F56,MAX(0,_xlfn.MAXIFS('TOPIX_V04'!F7:F56,'TOPIX_V04'!C7:C56,C49)),'TOPIX_V04'!C7:C56,C49)&gt;=2,MAX(0,_xlfn.MAXIFS('TOPIX_V04'!F7:F56,'TOPIX_V04'!C7:C56,C49)),MAX(0,_xlfn.MAXIFS('TOPIX_V04'!F7:F56,'TOPIX_V04'!C7:C56,C49,'TOPIX_V04'!F7:F56,"&lt;"&amp;MAX(0,_xlfn.MAXIFS('TOPIX_V04'!F7:F56,'TOPIX_V04'!C7:C56,C49))))),MAX(0,_xlfn.MAXIFS('TOPIX_V04'!F7:F56,'TOPIX_V04'!C7:C56,C49,'TOPIX_V04'!F7:F56,"&lt;"&amp;IF(COUNTIFS('TOPIX_V04'!F7:F56,MAX(0,_xlfn.MAXIFS('TOPIX_V04'!F7:F56,'TOPIX_V04'!C7:C56,C49)),'TOPIX_V04'!C7:C56,C49)&gt;=2,MAX(0,_xlfn.MAXIFS('TOPIX_V04'!F7:F56,'TOPIX_V04'!C7:C56,C49)),MAX(0,_xlfn.MAXIFS('TOPIX_V04'!F7:F56,'TOPIX_V04'!C7:C56,C49,'TOPIX_V04'!F7:F56,"&lt;"&amp;MAX(0,_xlfn.MAXIFS('TOPIX_V04'!F7:F56,'TOPIX_V04'!C7:C56,C49)))))))))</x:f>
        <x:v>-32051</x:v>
      </x:c>
      <x:c r="R49" s="26" t="n">
        <x:f>AVERAGEIFS('TOPIX_V04'!P7:P56,'TOPIX_V04'!C7:C56,C49)</x:f>
        <x:v>0.602726984126984</x:v>
      </x:c>
    </x:row>
    <x:row r="50" ht="36" customHeight="1">
      <x:c r="A50" s="2" t="str">
        <x:v>TOPIXmini</x:v>
      </x:c>
      <x:c r="B50" s="2" t="str">
        <x:v>V04</x:v>
      </x:c>
      <x:c r="C50" s="2" t="str">
        <x:v>ナイト</x:v>
      </x:c>
      <x:c r="D50" s="2" t="str">
        <x:v>全50場</x:v>
      </x:c>
      <x:c r="E50" s="2" t="str">
        <x:v>V04</x:v>
      </x:c>
      <x:c r="F50" s="23" t="str">
        <x:v>参加拡大の比較対照・安定性は悪化</x:v>
      </x:c>
      <x:c r="G50" s="22" t="n">
        <x:f>COUNTIFS('TOPIX_V04'!C7:C56,C50)</x:f>
        <x:v>25</x:v>
      </x:c>
      <x:c r="H50" s="20" t="n">
        <x:f>SUMIFS('TOPIX_V04'!D7:D56,'TOPIX_V04'!C7:C56,C50)</x:f>
        <x:v>1629250</x:v>
      </x:c>
      <x:c r="I50" s="20" t="n">
        <x:f>SUMIFS('TOPIX_V04'!E7:E56,'TOPIX_V04'!C7:C56,C50)</x:f>
        <x:v>1652534</x:v>
      </x:c>
      <x:c r="J50" s="20" t="n">
        <x:f>H50-I50</x:f>
        <x:v>-23284</x:v>
      </x:c>
      <x:c r="K50" s="22" t="n">
        <x:f>SUMIFS('TOPIX_V04'!J7:J56,'TOPIX_V04'!C7:C56,C50)</x:f>
        <x:v>248</x:v>
      </x:c>
      <x:c r="L50" s="22" t="n">
        <x:f>COUNTIFS('TOPIX_V04'!F7:F56,"&gt;0",'TOPIX_V04'!C7:C56,C50)</x:f>
        <x:v>13</x:v>
      </x:c>
      <x:c r="M50" s="22" t="n">
        <x:f>COUNTIFS('TOPIX_V04'!F7:F56,"&lt;0",'TOPIX_V04'!C7:C56,C50)</x:f>
        <x:v>12</x:v>
      </x:c>
      <x:c r="N50" s="22" t="n">
        <x:f>COUNTIFS('TOPIX_V04'!J7:J56,"=0",'TOPIX_V04'!C7:C56,C50)</x:f>
        <x:v>0</x:v>
      </x:c>
      <x:c r="O50" s="20" t="n">
        <x:f>IF(M50=0,0,-SUMIFS('TOPIX_V04'!F7:F56,'TOPIX_V04'!F7:F56,"&lt;0",'TOPIX_V04'!C7:C56,C50)/M50)</x:f>
        <x:v>33442</x:v>
      </x:c>
      <x:c r="P50" s="20" t="n">
        <x:f>MAX(0,-_xlfn.MINIFS('TOPIX_V04'!F7:F56,'TOPIX_V04'!C7:C56,C50))</x:f>
        <x:v>120748</x:v>
      </x:c>
      <x:c r="Q50" s="20" t="n">
        <x:f>J50-MAX(0,_xlfn.MAXIFS('TOPIX_V04'!F7:F56,'TOPIX_V04'!C7:C56,C50))-IF(COUNTIFS('TOPIX_V04'!F7:F56,MAX(0,_xlfn.MAXIFS('TOPIX_V04'!F7:F56,'TOPIX_V04'!C7:C56,C50)),'TOPIX_V04'!C7:C56,C50)&gt;=2,MAX(0,_xlfn.MAXIFS('TOPIX_V04'!F7:F56,'TOPIX_V04'!C7:C56,C50)),MAX(0,_xlfn.MAXIFS('TOPIX_V04'!F7:F56,'TOPIX_V04'!C7:C56,C50,'TOPIX_V04'!F7:F56,"&lt;"&amp;MAX(0,_xlfn.MAXIFS('TOPIX_V04'!F7:F56,'TOPIX_V04'!C7:C56,C50)))))-IF(COUNTIFS('TOPIX_V04'!F7:F56,MAX(0,_xlfn.MAXIFS('TOPIX_V04'!F7:F56,'TOPIX_V04'!C7:C56,C50)),'TOPIX_V04'!C7:C56,C50)&gt;=3,MAX(0,_xlfn.MAXIFS('TOPIX_V04'!F7:F56,'TOPIX_V04'!C7:C56,C50)),IF(COUNTIFS('TOPIX_V04'!F7:F56,IF(COUNTIFS('TOPIX_V04'!F7:F56,MAX(0,_xlfn.MAXIFS('TOPIX_V04'!F7:F56,'TOPIX_V04'!C7:C56,C50)),'TOPIX_V04'!C7:C56,C50)&gt;=2,MAX(0,_xlfn.MAXIFS('TOPIX_V04'!F7:F56,'TOPIX_V04'!C7:C56,C50)),MAX(0,_xlfn.MAXIFS('TOPIX_V04'!F7:F56,'TOPIX_V04'!C7:C56,C50,'TOPIX_V04'!F7:F56,"&lt;"&amp;MAX(0,_xlfn.MAXIFS('TOPIX_V04'!F7:F56,'TOPIX_V04'!C7:C56,C50))))),'TOPIX_V04'!C7:C56,C50)+COUNTIFS('TOPIX_V04'!F7:F56,"&gt;"&amp;IF(COUNTIFS('TOPIX_V04'!F7:F56,MAX(0,_xlfn.MAXIFS('TOPIX_V04'!F7:F56,'TOPIX_V04'!C7:C56,C50)),'TOPIX_V04'!C7:C56,C50)&gt;=2,MAX(0,_xlfn.MAXIFS('TOPIX_V04'!F7:F56,'TOPIX_V04'!C7:C56,C50)),MAX(0,_xlfn.MAXIFS('TOPIX_V04'!F7:F56,'TOPIX_V04'!C7:C56,C50,'TOPIX_V04'!F7:F56,"&lt;"&amp;MAX(0,_xlfn.MAXIFS('TOPIX_V04'!F7:F56,'TOPIX_V04'!C7:C56,C50))))),'TOPIX_V04'!C7:C56,C50)&gt;=3,IF(COUNTIFS('TOPIX_V04'!F7:F56,MAX(0,_xlfn.MAXIFS('TOPIX_V04'!F7:F56,'TOPIX_V04'!C7:C56,C50)),'TOPIX_V04'!C7:C56,C50)&gt;=2,MAX(0,_xlfn.MAXIFS('TOPIX_V04'!F7:F56,'TOPIX_V04'!C7:C56,C50)),MAX(0,_xlfn.MAXIFS('TOPIX_V04'!F7:F56,'TOPIX_V04'!C7:C56,C50,'TOPIX_V04'!F7:F56,"&lt;"&amp;MAX(0,_xlfn.MAXIFS('TOPIX_V04'!F7:F56,'TOPIX_V04'!C7:C56,C50))))),MAX(0,_xlfn.MAXIFS('TOPIX_V04'!F7:F56,'TOPIX_V04'!C7:C56,C50,'TOPIX_V04'!F7:F56,"&lt;"&amp;IF(COUNTIFS('TOPIX_V04'!F7:F56,MAX(0,_xlfn.MAXIFS('TOPIX_V04'!F7:F56,'TOPIX_V04'!C7:C56,C50)),'TOPIX_V04'!C7:C56,C50)&gt;=2,MAX(0,_xlfn.MAXIFS('TOPIX_V04'!F7:F56,'TOPIX_V04'!C7:C56,C50)),MAX(0,_xlfn.MAXIFS('TOPIX_V04'!F7:F56,'TOPIX_V04'!C7:C56,C50,'TOPIX_V04'!F7:F56,"&lt;"&amp;MAX(0,_xlfn.MAXIFS('TOPIX_V04'!F7:F56,'TOPIX_V04'!C7:C56,C50)))))))))</x:f>
        <x:v>-218544</x:v>
      </x:c>
      <x:c r="R50" s="26" t="n">
        <x:f>AVERAGEIFS('TOPIX_V04'!P7:P56,'TOPIX_V04'!C7:C56,C50)</x:f>
        <x:v>0.29526923076923073</x:v>
      </x:c>
    </x:row>
    <x:row r="51" ht="36" customHeight="1">
      <x:c r="A51" s="2" t="str">
        <x:v>TOPIXmini</x:v>
      </x:c>
      <x:c r="B51" s="2" t="str">
        <x:v>V04</x:v>
      </x:c>
      <x:c r="C51" s="2" t="str">
        <x:v>デイ</x:v>
      </x:c>
      <x:c r="D51" s="2" t="str">
        <x:v>対照47場</x:v>
      </x:c>
      <x:c r="E51" s="2" t="str">
        <x:v>V04</x:v>
      </x:c>
      <x:c r="F51" s="23" t="str">
        <x:v>参加拡大の比較対照・安定性は悪化</x:v>
      </x:c>
      <x:c r="G51" s="22" t="n">
        <x:f>COUNTIFS('TOPIX_V04'!C7:C53,C51)</x:f>
        <x:v>24</x:v>
      </x:c>
      <x:c r="H51" s="20" t="n">
        <x:f>SUMIFS('TOPIX_V04'!D7:D53,'TOPIX_V04'!C7:C53,C51)</x:f>
        <x:v>2078466</x:v>
      </x:c>
      <x:c r="I51" s="20" t="n">
        <x:f>SUMIFS('TOPIX_V04'!E7:E53,'TOPIX_V04'!C7:C53,C51)</x:f>
        <x:v>1618186</x:v>
      </x:c>
      <x:c r="J51" s="20" t="n">
        <x:f>H51-I51</x:f>
        <x:v>460280</x:v>
      </x:c>
      <x:c r="K51" s="22" t="n">
        <x:f>SUMIFS('TOPIX_V04'!J7:J53,'TOPIX_V04'!C7:C53,C51)</x:f>
        <x:v>263</x:v>
      </x:c>
      <x:c r="L51" s="22" t="n">
        <x:f>COUNTIFS('TOPIX_V04'!F7:F53,"&gt;0",'TOPIX_V04'!C7:C53,C51)</x:f>
        <x:v>13</x:v>
      </x:c>
      <x:c r="M51" s="22" t="n">
        <x:f>COUNTIFS('TOPIX_V04'!F7:F53,"&lt;0",'TOPIX_V04'!C7:C53,C51)</x:f>
        <x:v>10</x:v>
      </x:c>
      <x:c r="N51" s="22" t="n">
        <x:f>COUNTIFS('TOPIX_V04'!J7:J53,"=0",'TOPIX_V04'!C7:C53,C51)</x:f>
        <x:v>0</x:v>
      </x:c>
      <x:c r="O51" s="20" t="n">
        <x:f>IF(M51=0,0,-SUMIFS('TOPIX_V04'!F7:F53,'TOPIX_V04'!F7:F53,"&lt;0",'TOPIX_V04'!C7:C53,C51)/M51)</x:f>
        <x:v>43227.9</x:v>
      </x:c>
      <x:c r="P51" s="20" t="n">
        <x:f>MAX(0,-_xlfn.MINIFS('TOPIX_V04'!F7:F53,'TOPIX_V04'!C7:C53,C51))</x:f>
        <x:v>108081</x:v>
      </x:c>
      <x:c r="Q51" s="20" t="n">
        <x:f>J51-MAX(0,_xlfn.MAXIFS('TOPIX_V04'!F7:F53,'TOPIX_V04'!C7:C53,C51))-IF(COUNTIFS('TOPIX_V04'!F7:F53,MAX(0,_xlfn.MAXIFS('TOPIX_V04'!F7:F53,'TOPIX_V04'!C7:C53,C51)),'TOPIX_V04'!C7:C53,C51)&gt;=2,MAX(0,_xlfn.MAXIFS('TOPIX_V04'!F7:F53,'TOPIX_V04'!C7:C53,C51)),MAX(0,_xlfn.MAXIFS('TOPIX_V04'!F7:F53,'TOPIX_V04'!C7:C53,C51,'TOPIX_V04'!F7:F53,"&lt;"&amp;MAX(0,_xlfn.MAXIFS('TOPIX_V04'!F7:F53,'TOPIX_V04'!C7:C53,C51)))))-IF(COUNTIFS('TOPIX_V04'!F7:F53,MAX(0,_xlfn.MAXIFS('TOPIX_V04'!F7:F53,'TOPIX_V04'!C7:C53,C51)),'TOPIX_V04'!C7:C53,C51)&gt;=3,MAX(0,_xlfn.MAXIFS('TOPIX_V04'!F7:F53,'TOPIX_V04'!C7:C53,C51)),IF(COUNTIFS('TOPIX_V04'!F7:F53,IF(COUNTIFS('TOPIX_V04'!F7:F53,MAX(0,_xlfn.MAXIFS('TOPIX_V04'!F7:F53,'TOPIX_V04'!C7:C53,C51)),'TOPIX_V04'!C7:C53,C51)&gt;=2,MAX(0,_xlfn.MAXIFS('TOPIX_V04'!F7:F53,'TOPIX_V04'!C7:C53,C51)),MAX(0,_xlfn.MAXIFS('TOPIX_V04'!F7:F53,'TOPIX_V04'!C7:C53,C51,'TOPIX_V04'!F7:F53,"&lt;"&amp;MAX(0,_xlfn.MAXIFS('TOPIX_V04'!F7:F53,'TOPIX_V04'!C7:C53,C51))))),'TOPIX_V04'!C7:C53,C51)+COUNTIFS('TOPIX_V04'!F7:F53,"&gt;"&amp;IF(COUNTIFS('TOPIX_V04'!F7:F53,MAX(0,_xlfn.MAXIFS('TOPIX_V04'!F7:F53,'TOPIX_V04'!C7:C53,C51)),'TOPIX_V04'!C7:C53,C51)&gt;=2,MAX(0,_xlfn.MAXIFS('TOPIX_V04'!F7:F53,'TOPIX_V04'!C7:C53,C51)),MAX(0,_xlfn.MAXIFS('TOPIX_V04'!F7:F53,'TOPIX_V04'!C7:C53,C51,'TOPIX_V04'!F7:F53,"&lt;"&amp;MAX(0,_xlfn.MAXIFS('TOPIX_V04'!F7:F53,'TOPIX_V04'!C7:C53,C51))))),'TOPIX_V04'!C7:C53,C51)&gt;=3,IF(COUNTIFS('TOPIX_V04'!F7:F53,MAX(0,_xlfn.MAXIFS('TOPIX_V04'!F7:F53,'TOPIX_V04'!C7:C53,C51)),'TOPIX_V04'!C7:C53,C51)&gt;=2,MAX(0,_xlfn.MAXIFS('TOPIX_V04'!F7:F53,'TOPIX_V04'!C7:C53,C51)),MAX(0,_xlfn.MAXIFS('TOPIX_V04'!F7:F53,'TOPIX_V04'!C7:C53,C51,'TOPIX_V04'!F7:F53,"&lt;"&amp;MAX(0,_xlfn.MAXIFS('TOPIX_V04'!F7:F53,'TOPIX_V04'!C7:C53,C51))))),MAX(0,_xlfn.MAXIFS('TOPIX_V04'!F7:F53,'TOPIX_V04'!C7:C53,C51,'TOPIX_V04'!F7:F53,"&lt;"&amp;IF(COUNTIFS('TOPIX_V04'!F7:F53,MAX(0,_xlfn.MAXIFS('TOPIX_V04'!F7:F53,'TOPIX_V04'!C7:C53,C51)),'TOPIX_V04'!C7:C53,C51)&gt;=2,MAX(0,_xlfn.MAXIFS('TOPIX_V04'!F7:F53,'TOPIX_V04'!C7:C53,C51)),MAX(0,_xlfn.MAXIFS('TOPIX_V04'!F7:F53,'TOPIX_V04'!C7:C53,C51,'TOPIX_V04'!F7:F53,"&lt;"&amp;MAX(0,_xlfn.MAXIFS('TOPIX_V04'!F7:F53,'TOPIX_V04'!C7:C53,C51)))))))))</x:f>
        <x:v>45349</x:v>
      </x:c>
      <x:c r="R51" s="26" t="n">
        <x:f>AVERAGEIFS('TOPIX_V04'!P7:P53,'TOPIX_V04'!C7:C53,C51)</x:f>
        <x:v>0.5993584656084655</x:v>
      </x:c>
    </x:row>
    <x:row r="52" ht="36" customHeight="1">
      <x:c r="A52" s="2" t="str">
        <x:v>TOPIXmini</x:v>
      </x:c>
      <x:c r="B52" s="2" t="str">
        <x:v>V04</x:v>
      </x:c>
      <x:c r="C52" s="2" t="str">
        <x:v>ナイト</x:v>
      </x:c>
      <x:c r="D52" s="2" t="str">
        <x:v>対照47場</x:v>
      </x:c>
      <x:c r="E52" s="2" t="str">
        <x:v>V04</x:v>
      </x:c>
      <x:c r="F52" s="23" t="str">
        <x:v>参加拡大の比較対照・安定性は悪化</x:v>
      </x:c>
      <x:c r="G52" s="22" t="n">
        <x:f>COUNTIFS('TOPIX_V04'!C7:C53,C52)</x:f>
        <x:v>23</x:v>
      </x:c>
      <x:c r="H52" s="20" t="n">
        <x:f>SUMIFS('TOPIX_V04'!D7:D53,'TOPIX_V04'!C7:C53,C52)</x:f>
        <x:v>1447415</x:v>
      </x:c>
      <x:c r="I52" s="20" t="n">
        <x:f>SUMIFS('TOPIX_V04'!E7:E53,'TOPIX_V04'!C7:C53,C52)</x:f>
        <x:v>1457212</x:v>
      </x:c>
      <x:c r="J52" s="20" t="n">
        <x:f>H52-I52</x:f>
        <x:v>-9797</x:v>
      </x:c>
      <x:c r="K52" s="22" t="n">
        <x:f>SUMIFS('TOPIX_V04'!J7:J53,'TOPIX_V04'!C7:C53,C52)</x:f>
        <x:v>215</x:v>
      </x:c>
      <x:c r="L52" s="22" t="n">
        <x:f>COUNTIFS('TOPIX_V04'!F7:F53,"&gt;0",'TOPIX_V04'!C7:C53,C52)</x:f>
        <x:v>12</x:v>
      </x:c>
      <x:c r="M52" s="22" t="n">
        <x:f>COUNTIFS('TOPIX_V04'!F7:F53,"&lt;0",'TOPIX_V04'!C7:C53,C52)</x:f>
        <x:v>11</x:v>
      </x:c>
      <x:c r="N52" s="22" t="n">
        <x:f>COUNTIFS('TOPIX_V04'!J7:J53,"=0",'TOPIX_V04'!C7:C53,C52)</x:f>
        <x:v>0</x:v>
      </x:c>
      <x:c r="O52" s="20" t="n">
        <x:f>IF(M52=0,0,-SUMIFS('TOPIX_V04'!F7:F53,'TOPIX_V04'!F7:F53,"&lt;0",'TOPIX_V04'!C7:C53,C52)/M52)</x:f>
        <x:v>33262.90909090909</x:v>
      </x:c>
      <x:c r="P52" s="20" t="n">
        <x:f>MAX(0,-_xlfn.MINIFS('TOPIX_V04'!F7:F53,'TOPIX_V04'!C7:C53,C52))</x:f>
        <x:v>120748</x:v>
      </x:c>
      <x:c r="Q52" s="20" t="n">
        <x:f>J52-MAX(0,_xlfn.MAXIFS('TOPIX_V04'!F7:F53,'TOPIX_V04'!C7:C53,C52))-IF(COUNTIFS('TOPIX_V04'!F7:F53,MAX(0,_xlfn.MAXIFS('TOPIX_V04'!F7:F53,'TOPIX_V04'!C7:C53,C52)),'TOPIX_V04'!C7:C53,C52)&gt;=2,MAX(0,_xlfn.MAXIFS('TOPIX_V04'!F7:F53,'TOPIX_V04'!C7:C53,C52)),MAX(0,_xlfn.MAXIFS('TOPIX_V04'!F7:F53,'TOPIX_V04'!C7:C53,C52,'TOPIX_V04'!F7:F53,"&lt;"&amp;MAX(0,_xlfn.MAXIFS('TOPIX_V04'!F7:F53,'TOPIX_V04'!C7:C53,C52)))))-IF(COUNTIFS('TOPIX_V04'!F7:F53,MAX(0,_xlfn.MAXIFS('TOPIX_V04'!F7:F53,'TOPIX_V04'!C7:C53,C52)),'TOPIX_V04'!C7:C53,C52)&gt;=3,MAX(0,_xlfn.MAXIFS('TOPIX_V04'!F7:F53,'TOPIX_V04'!C7:C53,C52)),IF(COUNTIFS('TOPIX_V04'!F7:F53,IF(COUNTIFS('TOPIX_V04'!F7:F53,MAX(0,_xlfn.MAXIFS('TOPIX_V04'!F7:F53,'TOPIX_V04'!C7:C53,C52)),'TOPIX_V04'!C7:C53,C52)&gt;=2,MAX(0,_xlfn.MAXIFS('TOPIX_V04'!F7:F53,'TOPIX_V04'!C7:C53,C52)),MAX(0,_xlfn.MAXIFS('TOPIX_V04'!F7:F53,'TOPIX_V04'!C7:C53,C52,'TOPIX_V04'!F7:F53,"&lt;"&amp;MAX(0,_xlfn.MAXIFS('TOPIX_V04'!F7:F53,'TOPIX_V04'!C7:C53,C52))))),'TOPIX_V04'!C7:C53,C52)+COUNTIFS('TOPIX_V04'!F7:F53,"&gt;"&amp;IF(COUNTIFS('TOPIX_V04'!F7:F53,MAX(0,_xlfn.MAXIFS('TOPIX_V04'!F7:F53,'TOPIX_V04'!C7:C53,C52)),'TOPIX_V04'!C7:C53,C52)&gt;=2,MAX(0,_xlfn.MAXIFS('TOPIX_V04'!F7:F53,'TOPIX_V04'!C7:C53,C52)),MAX(0,_xlfn.MAXIFS('TOPIX_V04'!F7:F53,'TOPIX_V04'!C7:C53,C52,'TOPIX_V04'!F7:F53,"&lt;"&amp;MAX(0,_xlfn.MAXIFS('TOPIX_V04'!F7:F53,'TOPIX_V04'!C7:C53,C52))))),'TOPIX_V04'!C7:C53,C52)&gt;=3,IF(COUNTIFS('TOPIX_V04'!F7:F53,MAX(0,_xlfn.MAXIFS('TOPIX_V04'!F7:F53,'TOPIX_V04'!C7:C53,C52)),'TOPIX_V04'!C7:C53,C52)&gt;=2,MAX(0,_xlfn.MAXIFS('TOPIX_V04'!F7:F53,'TOPIX_V04'!C7:C53,C52)),MAX(0,_xlfn.MAXIFS('TOPIX_V04'!F7:F53,'TOPIX_V04'!C7:C53,C52,'TOPIX_V04'!F7:F53,"&lt;"&amp;MAX(0,_xlfn.MAXIFS('TOPIX_V04'!F7:F53,'TOPIX_V04'!C7:C53,C52))))),MAX(0,_xlfn.MAXIFS('TOPIX_V04'!F7:F53,'TOPIX_V04'!C7:C53,C52,'TOPIX_V04'!F7:F53,"&lt;"&amp;IF(COUNTIFS('TOPIX_V04'!F7:F53,MAX(0,_xlfn.MAXIFS('TOPIX_V04'!F7:F53,'TOPIX_V04'!C7:C53,C52)),'TOPIX_V04'!C7:C53,C52)&gt;=2,MAX(0,_xlfn.MAXIFS('TOPIX_V04'!F7:F53,'TOPIX_V04'!C7:C53,C52)),MAX(0,_xlfn.MAXIFS('TOPIX_V04'!F7:F53,'TOPIX_V04'!C7:C53,C52,'TOPIX_V04'!F7:F53,"&lt;"&amp;MAX(0,_xlfn.MAXIFS('TOPIX_V04'!F7:F53,'TOPIX_V04'!C7:C53,C52)))))))))</x:f>
        <x:v>-205057</x:v>
      </x:c>
      <x:c r="R52" s="26" t="n">
        <x:f>AVERAGEIFS('TOPIX_V04'!P7:P53,'TOPIX_V04'!C7:C53,C52)</x:f>
        <x:v>0.2896581196581196</x:v>
      </x:c>
    </x:row>
    <x:row r="53" ht="36" customHeight="1">
      <x:c r="A53" s="2" t="str">
        <x:v>TOPIXmini</x:v>
      </x:c>
      <x:c r="B53" s="2" t="str">
        <x:v>V04</x:v>
      </x:c>
      <x:c r="C53" s="2" t="str">
        <x:v>デイ</x:v>
      </x:c>
      <x:c r="D53" s="2" t="str">
        <x:v>診断3場</x:v>
      </x:c>
      <x:c r="E53" s="2" t="str">
        <x:v>V04</x:v>
      </x:c>
      <x:c r="F53" s="23" t="str">
        <x:v>参加拡大の比較対照・安定性は悪化</x:v>
      </x:c>
      <x:c r="G53" s="22" t="n">
        <x:f>COUNTIFS('TOPIX_V04'!C54:C56,C53)</x:f>
        <x:v>1</x:v>
      </x:c>
      <x:c r="H53" s="20" t="n">
        <x:f>SUMIFS('TOPIX_V04'!D54:D56,'TOPIX_V04'!C54:C56,C53)</x:f>
        <x:v>121592</x:v>
      </x:c>
      <x:c r="I53" s="20" t="n">
        <x:f>SUMIFS('TOPIX_V04'!E54:E56,'TOPIX_V04'!C54:C56,C53)</x:f>
        <x:v>198992</x:v>
      </x:c>
      <x:c r="J53" s="20" t="n">
        <x:f>H53-I53</x:f>
        <x:v>-77400</x:v>
      </x:c>
      <x:c r="K53" s="22" t="n">
        <x:f>SUMIFS('TOPIX_V04'!J54:J56,'TOPIX_V04'!C54:C56,C53)</x:f>
        <x:v>26</x:v>
      </x:c>
      <x:c r="L53" s="22" t="n">
        <x:f>COUNTIFS('TOPIX_V04'!F54:F56,"&gt;0",'TOPIX_V04'!C54:C56,C53)</x:f>
        <x:v>0</x:v>
      </x:c>
      <x:c r="M53" s="22" t="n">
        <x:f>COUNTIFS('TOPIX_V04'!F54:F56,"&lt;0",'TOPIX_V04'!C54:C56,C53)</x:f>
        <x:v>1</x:v>
      </x:c>
      <x:c r="N53" s="22" t="n">
        <x:f>COUNTIFS('TOPIX_V04'!J54:J56,"=0",'TOPIX_V04'!C54:C56,C53)</x:f>
        <x:v>0</x:v>
      </x:c>
      <x:c r="O53" s="20" t="n">
        <x:f>IF(M53=0,0,-SUMIFS('TOPIX_V04'!F54:F56,'TOPIX_V04'!F54:F56,"&lt;0",'TOPIX_V04'!C54:C56,C53)/M53)</x:f>
        <x:v>77400</x:v>
      </x:c>
      <x:c r="P53" s="20" t="n">
        <x:f>MAX(0,-_xlfn.MINIFS('TOPIX_V04'!F54:F56,'TOPIX_V04'!C54:C56,C53))</x:f>
        <x:v>77400</x:v>
      </x:c>
      <x:c r="Q53" s="20" t="n">
        <x:f>J53-MAX(0,_xlfn.MAXIFS('TOPIX_V04'!F54:F56,'TOPIX_V04'!C54:C56,C53))-IF(COUNTIFS('TOPIX_V04'!F54:F56,MAX(0,_xlfn.MAXIFS('TOPIX_V04'!F54:F56,'TOPIX_V04'!C54:C56,C53)),'TOPIX_V04'!C54:C56,C53)&gt;=2,MAX(0,_xlfn.MAXIFS('TOPIX_V04'!F54:F56,'TOPIX_V04'!C54:C56,C53)),MAX(0,_xlfn.MAXIFS('TOPIX_V04'!F54:F56,'TOPIX_V04'!C54:C56,C53,'TOPIX_V04'!F54:F56,"&lt;"&amp;MAX(0,_xlfn.MAXIFS('TOPIX_V04'!F54:F56,'TOPIX_V04'!C54:C56,C53)))))-IF(COUNTIFS('TOPIX_V04'!F54:F56,MAX(0,_xlfn.MAXIFS('TOPIX_V04'!F54:F56,'TOPIX_V04'!C54:C56,C53)),'TOPIX_V04'!C54:C56,C53)&gt;=3,MAX(0,_xlfn.MAXIFS('TOPIX_V04'!F54:F56,'TOPIX_V04'!C54:C56,C53)),IF(COUNTIFS('TOPIX_V04'!F54:F56,IF(COUNTIFS('TOPIX_V04'!F54:F56,MAX(0,_xlfn.MAXIFS('TOPIX_V04'!F54:F56,'TOPIX_V04'!C54:C56,C53)),'TOPIX_V04'!C54:C56,C53)&gt;=2,MAX(0,_xlfn.MAXIFS('TOPIX_V04'!F54:F56,'TOPIX_V04'!C54:C56,C53)),MAX(0,_xlfn.MAXIFS('TOPIX_V04'!F54:F56,'TOPIX_V04'!C54:C56,C53,'TOPIX_V04'!F54:F56,"&lt;"&amp;MAX(0,_xlfn.MAXIFS('TOPIX_V04'!F54:F56,'TOPIX_V04'!C54:C56,C53))))),'TOPIX_V04'!C54:C56,C53)+COUNTIFS('TOPIX_V04'!F54:F56,"&gt;"&amp;IF(COUNTIFS('TOPIX_V04'!F54:F56,MAX(0,_xlfn.MAXIFS('TOPIX_V04'!F54:F56,'TOPIX_V04'!C54:C56,C53)),'TOPIX_V04'!C54:C56,C53)&gt;=2,MAX(0,_xlfn.MAXIFS('TOPIX_V04'!F54:F56,'TOPIX_V04'!C54:C56,C53)),MAX(0,_xlfn.MAXIFS('TOPIX_V04'!F54:F56,'TOPIX_V04'!C54:C56,C53,'TOPIX_V04'!F54:F56,"&lt;"&amp;MAX(0,_xlfn.MAXIFS('TOPIX_V04'!F54:F56,'TOPIX_V04'!C54:C56,C53))))),'TOPIX_V04'!C54:C56,C53)&gt;=3,IF(COUNTIFS('TOPIX_V04'!F54:F56,MAX(0,_xlfn.MAXIFS('TOPIX_V04'!F54:F56,'TOPIX_V04'!C54:C56,C53)),'TOPIX_V04'!C54:C56,C53)&gt;=2,MAX(0,_xlfn.MAXIFS('TOPIX_V04'!F54:F56,'TOPIX_V04'!C54:C56,C53)),MAX(0,_xlfn.MAXIFS('TOPIX_V04'!F54:F56,'TOPIX_V04'!C54:C56,C53,'TOPIX_V04'!F54:F56,"&lt;"&amp;MAX(0,_xlfn.MAXIFS('TOPIX_V04'!F54:F56,'TOPIX_V04'!C54:C56,C53))))),MAX(0,_xlfn.MAXIFS('TOPIX_V04'!F54:F56,'TOPIX_V04'!C54:C56,C53,'TOPIX_V04'!F54:F56,"&lt;"&amp;IF(COUNTIFS('TOPIX_V04'!F54:F56,MAX(0,_xlfn.MAXIFS('TOPIX_V04'!F54:F56,'TOPIX_V04'!C54:C56,C53)),'TOPIX_V04'!C54:C56,C53)&gt;=2,MAX(0,_xlfn.MAXIFS('TOPIX_V04'!F54:F56,'TOPIX_V04'!C54:C56,C53)),MAX(0,_xlfn.MAXIFS('TOPIX_V04'!F54:F56,'TOPIX_V04'!C54:C56,C53,'TOPIX_V04'!F54:F56,"&lt;"&amp;MAX(0,_xlfn.MAXIFS('TOPIX_V04'!F54:F56,'TOPIX_V04'!C54:C56,C53)))))))))</x:f>
        <x:v>-77400</x:v>
      </x:c>
      <x:c r="R53" s="26" t="n">
        <x:f>AVERAGEIFS('TOPIX_V04'!P54:P56,'TOPIX_V04'!C54:C56,C53)</x:f>
        <x:v>0.6835714285714286</x:v>
      </x:c>
    </x:row>
    <x:row r="54" ht="36" customHeight="1">
      <x:c r="A54" s="2" t="str">
        <x:v>TOPIXmini</x:v>
      </x:c>
      <x:c r="B54" s="2" t="str">
        <x:v>V04</x:v>
      </x:c>
      <x:c r="C54" s="2" t="str">
        <x:v>ナイト</x:v>
      </x:c>
      <x:c r="D54" s="2" t="str">
        <x:v>診断3場</x:v>
      </x:c>
      <x:c r="E54" s="2" t="str">
        <x:v>V04</x:v>
      </x:c>
      <x:c r="F54" s="23" t="str">
        <x:v>参加拡大の比較対照・安定性は悪化</x:v>
      </x:c>
      <x:c r="G54" s="22" t="n">
        <x:f>COUNTIFS('TOPIX_V04'!C54:C56,C54)</x:f>
        <x:v>2</x:v>
      </x:c>
      <x:c r="H54" s="20" t="n">
        <x:f>SUMIFS('TOPIX_V04'!D54:D56,'TOPIX_V04'!C54:C56,C54)</x:f>
        <x:v>181835</x:v>
      </x:c>
      <x:c r="I54" s="20" t="n">
        <x:f>SUMIFS('TOPIX_V04'!E54:E56,'TOPIX_V04'!C54:C56,C54)</x:f>
        <x:v>195322</x:v>
      </x:c>
      <x:c r="J54" s="20" t="n">
        <x:f>H54-I54</x:f>
        <x:v>-13487</x:v>
      </x:c>
      <x:c r="K54" s="22" t="n">
        <x:f>SUMIFS('TOPIX_V04'!J54:J56,'TOPIX_V04'!C54:C56,C54)</x:f>
        <x:v>33</x:v>
      </x:c>
      <x:c r="L54" s="22" t="n">
        <x:f>COUNTIFS('TOPIX_V04'!F54:F56,"&gt;0",'TOPIX_V04'!C54:C56,C54)</x:f>
        <x:v>1</x:v>
      </x:c>
      <x:c r="M54" s="22" t="n">
        <x:f>COUNTIFS('TOPIX_V04'!F54:F56,"&lt;0",'TOPIX_V04'!C54:C56,C54)</x:f>
        <x:v>1</x:v>
      </x:c>
      <x:c r="N54" s="22" t="n">
        <x:f>COUNTIFS('TOPIX_V04'!J54:J56,"=0",'TOPIX_V04'!C54:C56,C54)</x:f>
        <x:v>0</x:v>
      </x:c>
      <x:c r="O54" s="20" t="n">
        <x:f>IF(M54=0,0,-SUMIFS('TOPIX_V04'!F54:F56,'TOPIX_V04'!F54:F56,"&lt;0",'TOPIX_V04'!C54:C56,C54)/M54)</x:f>
        <x:v>35412</x:v>
      </x:c>
      <x:c r="P54" s="20" t="n">
        <x:f>MAX(0,-_xlfn.MINIFS('TOPIX_V04'!F54:F56,'TOPIX_V04'!C54:C56,C54))</x:f>
        <x:v>35412</x:v>
      </x:c>
      <x:c r="Q54" s="20" t="n">
        <x:f>J54-MAX(0,_xlfn.MAXIFS('TOPIX_V04'!F54:F56,'TOPIX_V04'!C54:C56,C54))-IF(COUNTIFS('TOPIX_V04'!F54:F56,MAX(0,_xlfn.MAXIFS('TOPIX_V04'!F54:F56,'TOPIX_V04'!C54:C56,C54)),'TOPIX_V04'!C54:C56,C54)&gt;=2,MAX(0,_xlfn.MAXIFS('TOPIX_V04'!F54:F56,'TOPIX_V04'!C54:C56,C54)),MAX(0,_xlfn.MAXIFS('TOPIX_V04'!F54:F56,'TOPIX_V04'!C54:C56,C54,'TOPIX_V04'!F54:F56,"&lt;"&amp;MAX(0,_xlfn.MAXIFS('TOPIX_V04'!F54:F56,'TOPIX_V04'!C54:C56,C54)))))-IF(COUNTIFS('TOPIX_V04'!F54:F56,MAX(0,_xlfn.MAXIFS('TOPIX_V04'!F54:F56,'TOPIX_V04'!C54:C56,C54)),'TOPIX_V04'!C54:C56,C54)&gt;=3,MAX(0,_xlfn.MAXIFS('TOPIX_V04'!F54:F56,'TOPIX_V04'!C54:C56,C54)),IF(COUNTIFS('TOPIX_V04'!F54:F56,IF(COUNTIFS('TOPIX_V04'!F54:F56,MAX(0,_xlfn.MAXIFS('TOPIX_V04'!F54:F56,'TOPIX_V04'!C54:C56,C54)),'TOPIX_V04'!C54:C56,C54)&gt;=2,MAX(0,_xlfn.MAXIFS('TOPIX_V04'!F54:F56,'TOPIX_V04'!C54:C56,C54)),MAX(0,_xlfn.MAXIFS('TOPIX_V04'!F54:F56,'TOPIX_V04'!C54:C56,C54,'TOPIX_V04'!F54:F56,"&lt;"&amp;MAX(0,_xlfn.MAXIFS('TOPIX_V04'!F54:F56,'TOPIX_V04'!C54:C56,C54))))),'TOPIX_V04'!C54:C56,C54)+COUNTIFS('TOPIX_V04'!F54:F56,"&gt;"&amp;IF(COUNTIFS('TOPIX_V04'!F54:F56,MAX(0,_xlfn.MAXIFS('TOPIX_V04'!F54:F56,'TOPIX_V04'!C54:C56,C54)),'TOPIX_V04'!C54:C56,C54)&gt;=2,MAX(0,_xlfn.MAXIFS('TOPIX_V04'!F54:F56,'TOPIX_V04'!C54:C56,C54)),MAX(0,_xlfn.MAXIFS('TOPIX_V04'!F54:F56,'TOPIX_V04'!C54:C56,C54,'TOPIX_V04'!F54:F56,"&lt;"&amp;MAX(0,_xlfn.MAXIFS('TOPIX_V04'!F54:F56,'TOPIX_V04'!C54:C56,C54))))),'TOPIX_V04'!C54:C56,C54)&gt;=3,IF(COUNTIFS('TOPIX_V04'!F54:F56,MAX(0,_xlfn.MAXIFS('TOPIX_V04'!F54:F56,'TOPIX_V04'!C54:C56,C54)),'TOPIX_V04'!C54:C56,C54)&gt;=2,MAX(0,_xlfn.MAXIFS('TOPIX_V04'!F54:F56,'TOPIX_V04'!C54:C56,C54)),MAX(0,_xlfn.MAXIFS('TOPIX_V04'!F54:F56,'TOPIX_V04'!C54:C56,C54,'TOPIX_V04'!F54:F56,"&lt;"&amp;MAX(0,_xlfn.MAXIFS('TOPIX_V04'!F54:F56,'TOPIX_V04'!C54:C56,C54))))),MAX(0,_xlfn.MAXIFS('TOPIX_V04'!F54:F56,'TOPIX_V04'!C54:C56,C54,'TOPIX_V04'!F54:F56,"&lt;"&amp;IF(COUNTIFS('TOPIX_V04'!F54:F56,MAX(0,_xlfn.MAXIFS('TOPIX_V04'!F54:F56,'TOPIX_V04'!C54:C56,C54)),'TOPIX_V04'!C54:C56,C54)&gt;=2,MAX(0,_xlfn.MAXIFS('TOPIX_V04'!F54:F56,'TOPIX_V04'!C54:C56,C54)),MAX(0,_xlfn.MAXIFS('TOPIX_V04'!F54:F56,'TOPIX_V04'!C54:C56,C54,'TOPIX_V04'!F54:F56,"&lt;"&amp;MAX(0,_xlfn.MAXIFS('TOPIX_V04'!F54:F56,'TOPIX_V04'!C54:C56,C54)))))))))</x:f>
        <x:v>-35412</x:v>
      </x:c>
      <x:c r="R54" s="26" t="n">
        <x:f>AVERAGEIFS('TOPIX_V04'!P54:P56,'TOPIX_V04'!C54:C56,C54)</x:f>
        <x:v>0.3597970085470086</x:v>
      </x:c>
    </x:row>
  </x:sheetData>
  <x:conditionalFormatting sqref="H7:J54">
    <x:cfRule type="cellIs" dxfId="16" priority="1" operator="lessThan">
      <x:formula>0</x:formula>
    </x:cfRule>
  </x:conditionalFormatting>
  <x:conditionalFormatting sqref="O7:Q54">
    <x:cfRule type="cellIs" dxfId="1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94fdae957240ea"/>
  </x:tableParts>
</x:worksheet>
</file>

<file path=xl/worksheets/sheet3.xml><?xml version="1.0" encoding="utf-8"?>
<x:worksheet xmlns:x="http://schemas.openxmlformats.org/spreadsheetml/2006/main">
  <x:sheetPr>
    <x:tabColor rgb="FF25456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30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損失が発生した時点と改善の比較</x:v>
      </x:c>
      <x:c r="B2" s="5"/>
      <x:c r="C2" s="5"/>
      <x:c r="D2" s="5"/>
      <x:c r="E2" s="5"/>
      <x:c r="F2" s="5"/>
      <x:c r="G2" s="5"/>
      <x:c r="H2" s="5"/>
      <x:c r="I2" s="6"/>
      <x:c r="J2" s="6"/>
    </x:row>
    <x:row r="3" ht="22" customHeight="1">
      <x:c r="A3" s="7" t="str">
        <x:v>時刻は原因を確認した原行の価格時計。併記額は当該玉の差ではなく、セッション全体の前回M1→条件切替F1。巡回P04の診断事例をF1の約定とは読み替えない。</x:v>
      </x:c>
      <x:c r="B3" s="2"/>
      <x:c r="C3" s="2"/>
      <x:c r="D3" s="2"/>
      <x:c r="E3" s="2"/>
      <x:c r="F3" s="2"/>
      <x:c r="G3" s="2"/>
      <x:c r="H3" s="2"/>
    </x:row>
    <x:row r="4" ht="22" customHeight="1">
      <x:c r="A4" s="7" t="str">
        <x:v>時刻は原価格時計。原seqは0始まりで、未採番は空欄です。板受信時刻を復元したものではありません。</x:v>
      </x:c>
      <x:c r="B4" s="2"/>
      <x:c r="C4" s="2"/>
      <x:c r="D4" s="2"/>
      <x:c r="E4" s="2"/>
      <x:c r="F4" s="2"/>
      <x:c r="G4" s="2"/>
      <x:c r="H4" s="2"/>
    </x:row>
    <x:row r="5" ht="22" customHeight="1">
      <x:c r="A5" s="7" t="str">
        <x:v>金額は円。差額は条件切替F1から前回M1を引いた場全体の値です。出典：00142保存診断会計。</x:v>
      </x:c>
      <x:c r="B5" s="2"/>
      <x:c r="C5" s="2"/>
      <x:c r="D5" s="2"/>
      <x:c r="E5" s="2"/>
      <x:c r="F5" s="2"/>
      <x:c r="G5" s="2"/>
      <x:c r="H5" s="2"/>
    </x:row>
    <x:row r="6" ht="34" customHeight="1">
      <x:c r="A6" s="16" t="str">
        <x:v>セッション</x:v>
      </x:c>
      <x:c r="B6" s="17" t="str">
        <x:v>商品</x:v>
      </x:c>
      <x:c r="C6" s="17" t="str">
        <x:v>原価格時計</x:v>
      </x:c>
      <x:c r="D6" s="17" t="str">
        <x:v>原seq（0始まり）</x:v>
      </x:c>
      <x:c r="E6" s="17" t="str">
        <x:v>前回M1収支（円）</x:v>
      </x:c>
      <x:c r="F6" s="17" t="str">
        <x:v>今回F1収支（円）</x:v>
      </x:c>
      <x:c r="G6" s="17" t="str">
        <x:v>差額（円）</x:v>
      </x:c>
      <x:c r="H6" s="18" t="str">
        <x:v>観測した問題</x:v>
      </x:c>
    </x:row>
    <x:row r="7" ht="36" customHeight="1">
      <x:c r="A7" s="2" t="str">
        <x:v>2026-10-23_Night</x:v>
      </x:c>
      <x:c r="B7" s="2" t="str">
        <x:v>日経mini</x:v>
      </x:c>
      <x:c r="C7" s="21" t="d">
        <x:v>2026-10-23T23:00:02.000Z</x:v>
      </x:c>
      <x:c r="D7" s="22" t="n">
        <x:v>105715</x:v>
      </x:c>
      <x:c r="E7" s="20" t="n">
        <x:v>-61538</x:v>
      </x:c>
      <x:c r="F7" s="20" t="n">
        <x:v>19463</x:v>
      </x:c>
      <x:c r="G7" s="20" t="n">
        <x:f>F7-E7</x:f>
        <x:v>81001</x:v>
      </x:c>
      <x:c r="H7" s="23" t="str">
        <x:v>始値票と反対に双方5分・20分・120秒が揃った時だけ買いへ切替。方向切替の改善はこの1夜に集中。</x:v>
      </x:c>
    </x:row>
    <x:row r="8" ht="36" customHeight="1">
      <x:c r="A8" s="2" t="str">
        <x:v>2026-09-29_Night</x:v>
      </x:c>
      <x:c r="B8" s="2" t="str">
        <x:v>日経mini</x:v>
      </x:c>
      <x:c r="C8" s="21" t="d">
        <x:v>2026-09-29T23:02:49.999Z</x:v>
      </x:c>
      <x:c r="D8" s="22" t="n">
        <x:v>74315</x:v>
      </x:c>
      <x:c r="E8" s="20" t="n">
        <x:v>118464</x:v>
      </x:c>
      <x:c r="F8" s="20" t="n">
        <x:v>118464</x:v>
      </x:c>
      <x:c r="G8" s="20" t="n">
        <x:f>F8-E8</x:f>
        <x:v>0</x:v>
      </x:c>
      <x:c r="H8" s="23" t="str">
        <x:v>短い反落中も20分支持を維持。以前の一律早期返済で失った勝ちを残した。</x:v>
      </x:c>
    </x:row>
    <x:row r="9" ht="36" customHeight="1">
      <x:c r="A9" s="2" t="str">
        <x:v>2026-09-29_Day</x:v>
      </x:c>
      <x:c r="B9" s="2" t="str">
        <x:v>日経mini</x:v>
      </x:c>
      <x:c r="C9" s="21" t="d">
        <x:v>2026-09-29T13:23:49.000Z</x:v>
      </x:c>
      <x:c r="D9" s="22" t="n">
        <x:v>99791</x:v>
      </x:c>
      <x:c r="E9" s="20" t="n">
        <x:v>154618</x:v>
      </x:c>
      <x:c r="F9" s="20" t="n">
        <x:v>154618</x:v>
      </x:c>
      <x:c r="G9" s="20" t="n">
        <x:f>F9-E9</x:f>
        <x:v>0</x:v>
      </x:c>
      <x:c r="H9" s="23" t="str">
        <x:v>巡回P04は狭い往復に反復参加。短期支持は入口に実在したが、気配差を繰り返し負担。</x:v>
      </x:c>
    </x:row>
    <x:row r="10" ht="36" customHeight="1">
      <x:c r="A10" s="2" t="str">
        <x:v>2026-10-13_Day</x:v>
      </x:c>
      <x:c r="B10" s="2" t="str">
        <x:v>日経mini</x:v>
      </x:c>
      <x:c r="C10" s="21" t="d">
        <x:v>2026-10-13T12:54:16.000Z</x:v>
      </x:c>
      <x:c r="D10" s="22" t="n">
        <x:v>100920</x:v>
      </x:c>
      <x:c r="E10" s="20" t="n">
        <x:v>-36920</x:v>
      </x:c>
      <x:c r="F10" s="20" t="n">
        <x:v>-36920</x:v>
      </x:c>
      <x:c r="G10" s="20" t="n">
        <x:f>F10-E10</x:f>
        <x:v>0</x:v>
      </x:c>
      <x:c r="H10" s="23" t="str">
        <x:v>巡回の中期支持と板支持が一致しても小往復の端で買い。保有状態の維持と再参加回復を第三巡で比較。</x:v>
      </x:c>
    </x:row>
    <x:row r="11" ht="36" customHeight="1">
      <x:c r="A11" s="2" t="str">
        <x:v>2026-09-28_Night</x:v>
      </x:c>
      <x:c r="B11" s="2" t="str">
        <x:v>日経mini</x:v>
      </x:c>
      <x:c r="C11" s="21" t="d">
        <x:v>2026-09-28T22:51:40.000Z</x:v>
      </x:c>
      <x:c r="D11" s="22"/>
      <x:c r="E11" s="20" t="n">
        <x:v>39462</x:v>
      </x:c>
      <x:c r="F11" s="20" t="n">
        <x:v>39462</x:v>
      </x:c>
      <x:c r="G11" s="20" t="n">
        <x:f>F11-E11</x:f>
        <x:v>0</x:v>
      </x:c>
      <x:c r="H11" s="23" t="str">
        <x:v>巡回の短期は両市場下向きでも20分・平均位置は不一致。短期一致を市場全体方向とみなさない。</x:v>
      </x:c>
    </x:row>
    <x:row r="12" ht="36" customHeight="1">
      <x:c r="A12" s="2" t="str">
        <x:v>2026-10-23_Day</x:v>
      </x:c>
      <x:c r="B12" s="2" t="str">
        <x:v>TOPIXmini</x:v>
      </x:c>
      <x:c r="C12" s="21" t="d">
        <x:v>2026-10-23T10:17:22.000Z</x:v>
      </x:c>
      <x:c r="D12" s="22" t="n">
        <x:v>49285</x:v>
      </x:c>
      <x:c r="E12" s="20" t="n">
        <x:v>-27574</x:v>
      </x:c>
      <x:c r="F12" s="20" t="n">
        <x:v>-68574</x:v>
      </x:c>
      <x:c r="G12" s="20" t="n">
        <x:f>F12-E12</x:f>
        <x:v>-41000</x:v>
      </x:c>
      <x:c r="H12" s="23" t="str">
        <x:v>旧主担当は売りの直後に反転。巡回追加だけでは安定性を改善できず、全場の副作用を残した。</x:v>
      </x:c>
    </x:row>
  </x:sheetData>
  <x:conditionalFormatting sqref="E7:G12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5738404a8e4048"/>
  </x:tableParts>
</x:worksheet>
</file>

<file path=xl/worksheets/sheet4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日経mini B5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片方向上限10枚。金額は円・手数料後。保有率は昼420分・夜780分が分母。平均保有枚数も公式時間全体で平均し、両建ては合計枚数で数えます。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昼：B5（T06）／夜：B5（U06）。対照47場：9/21～10/22デイ。診断3場：10/22ナイト～10/23ナイト。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従来基準。出典：00142保存会計。診断3場は原因分析と改善に使用した期間です。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7" t="str">
        <x:v>保有（分）</x:v>
      </x:c>
      <x:c r="P6" s="17" t="str">
        <x:v>保有率</x:v>
      </x:c>
      <x:c r="Q6" s="18" t="str">
        <x:v>平均保有枚数</x:v>
      </x:c>
    </x:row>
    <x:row r="7" ht="22" customHeight="1">
      <x:c r="A7" s="2" t="str">
        <x:v>B5</x:v>
      </x:c>
      <x:c r="B7" s="24" t="d">
        <x:v>2026-09-21T08:45:00.000Z</x:v>
      </x:c>
      <x:c r="C7" s="2" t="str">
        <x:v>デイ</x:v>
      </x:c>
      <x:c r="D7" s="20" t="n">
        <x:v>85616</x:v>
      </x:c>
      <x:c r="E7" s="20" t="n">
        <x:v>0</x:v>
      </x:c>
      <x:c r="F7" s="20" t="n">
        <x:f>D7-E7</x:f>
        <x:v>85616</x:v>
      </x:c>
      <x:c r="G7" s="20" t="n">
        <x:f>SUMIFS($F$7:$F$56,$A$7:$A$56,A7,$B$7:$B$56,"&lt;="&amp;B7)</x:f>
        <x:v>85616</x:v>
      </x:c>
      <x:c r="H7" s="20" t="n">
        <x:v>384</x:v>
      </x:c>
      <x:c r="I7" s="20" t="n">
        <x:v>86000</x:v>
      </x:c>
      <x:c r="J7" s="29" t="n">
        <x:v>1</x:v>
      </x:c>
      <x:c r="K7" s="29" t="n">
        <x:v>5</x:v>
      </x:c>
      <x:c r="L7" s="29" t="n">
        <x:v>5</x:v>
      </x:c>
      <x:c r="M7" s="31" t="str">
        <x:v>対照47場</x:v>
      </x:c>
      <x:c r="N7" s="30" t="n">
        <x:v>190.06666666666666</x:v>
      </x:c>
      <x:c r="O7" s="30" t="n">
        <x:v>167.2</x:v>
      </x:c>
      <x:c r="P7" s="26" t="n">
        <x:f>O7/IF(C7="デイ",420,780)</x:f>
        <x:v>0.39809523809523806</x:v>
      </x:c>
      <x:c r="Q7" s="27" t="n">
        <x:v>1.4817460317460318</x:v>
      </x:c>
    </x:row>
    <x:row r="8" ht="22" customHeight="1">
      <x:c r="A8" s="2" t="str">
        <x:v>B5</x:v>
      </x:c>
      <x:c r="B8" s="24" t="d">
        <x:v>2026-09-21T17:00:00.000Z</x:v>
      </x:c>
      <x:c r="C8" s="2" t="str">
        <x:v>ナイト</x:v>
      </x:c>
      <x:c r="D8" s="20" t="n">
        <x:v>0</x:v>
      </x:c>
      <x:c r="E8" s="20" t="n">
        <x:v>45384</x:v>
      </x:c>
      <x:c r="F8" s="20" t="n">
        <x:f>D8-E8</x:f>
        <x:v>-45384</x:v>
      </x:c>
      <x:c r="G8" s="20" t="n">
        <x:f>SUMIFS($F$7:$F$56,$A$7:$A$56,A8,$B$7:$B$56,"&lt;="&amp;B8)</x:f>
        <x:v>40232</x:v>
      </x:c>
      <x:c r="H8" s="20" t="n">
        <x:v>384</x:v>
      </x:c>
      <x:c r="I8" s="20" t="n">
        <x:v>-45000</x:v>
      </x:c>
      <x:c r="J8" s="29" t="n">
        <x:v>1</x:v>
      </x:c>
      <x:c r="K8" s="29" t="n">
        <x:v>5</x:v>
      </x:c>
      <x:c r="L8" s="29" t="n">
        <x:v>5</x:v>
      </x:c>
      <x:c r="M8" s="31" t="str">
        <x:v>対照47場</x:v>
      </x:c>
      <x:c r="N8" s="30" t="n">
        <x:v>360.01666666666665</x:v>
      </x:c>
      <x:c r="O8" s="30" t="n">
        <x:v>5.666666666666667</x:v>
      </x:c>
      <x:c r="P8" s="26" t="n">
        <x:f>O8/IF(C8="デイ",420,780)</x:f>
        <x:v>0.007264957264957265</x:v>
      </x:c>
      <x:c r="Q8" s="27" t="n">
        <x:v>0.03632478632478633</x:v>
      </x:c>
    </x:row>
    <x:row r="9" ht="22" customHeight="1">
      <x:c r="A9" s="2" t="str">
        <x:v>B5</x:v>
      </x:c>
      <x:c r="B9" s="24" t="d">
        <x:v>2026-09-22T08:45:00.000Z</x:v>
      </x:c>
      <x:c r="C9" s="2" t="str">
        <x:v>デイ</x:v>
      </x:c>
      <x:c r="D9" s="20" t="n">
        <x:v>0</x:v>
      </x:c>
      <x:c r="E9" s="20" t="n">
        <x:v>106152</x:v>
      </x:c>
      <x:c r="F9" s="20" t="n">
        <x:f>D9-E9</x:f>
        <x:v>-106152</x:v>
      </x:c>
      <x:c r="G9" s="20" t="n">
        <x:f>SUMIFS($F$7:$F$56,$A$7:$A$56,A9,$B$7:$B$56,"&lt;="&amp;B9)</x:f>
        <x:v>-65920</x:v>
      </x:c>
      <x:c r="H9" s="20" t="n">
        <x:v>1152</x:v>
      </x:c>
      <x:c r="I9" s="20" t="n">
        <x:v>-105000</x:v>
      </x:c>
      <x:c r="J9" s="29" t="n">
        <x:v>3</x:v>
      </x:c>
      <x:c r="K9" s="29" t="n">
        <x:v>15</x:v>
      </x:c>
      <x:c r="L9" s="29" t="n">
        <x:v>5</x:v>
      </x:c>
      <x:c r="M9" s="31" t="str">
        <x:v>対照47場</x:v>
      </x:c>
      <x:c r="N9" s="30" t="n">
        <x:v>242.78333333333333</x:v>
      </x:c>
      <x:c r="O9" s="30" t="n">
        <x:v>28.166666666666668</x:v>
      </x:c>
      <x:c r="P9" s="26" t="n">
        <x:f>O9/IF(C9="デイ",420,780)</x:f>
        <x:v>0.06706349206349206</x:v>
      </x:c>
      <x:c r="Q9" s="27" t="n">
        <x:v>0.3353174603174603</x:v>
      </x:c>
    </x:row>
    <x:row r="10" ht="22" customHeight="1">
      <x:c r="A10" s="2" t="str">
        <x:v>B5</x:v>
      </x:c>
      <x:c r="B10" s="24" t="d">
        <x:v>2026-09-22T17:00:00.000Z</x:v>
      </x:c>
      <x:c r="C10" s="2" t="str">
        <x:v>ナイト</x:v>
      </x:c>
      <x:c r="D10" s="20" t="n">
        <x:v>39616</x:v>
      </x:c>
      <x:c r="E10" s="20" t="n">
        <x:v>0</x:v>
      </x:c>
      <x:c r="F10" s="20" t="n">
        <x:f>D10-E10</x:f>
        <x:v>39616</x:v>
      </x:c>
      <x:c r="G10" s="20" t="n">
        <x:f>SUMIFS($F$7:$F$56,$A$7:$A$56,A10,$B$7:$B$56,"&lt;="&amp;B10)</x:f>
        <x:v>-26304</x:v>
      </x:c>
      <x:c r="H10" s="20" t="n">
        <x:v>384</x:v>
      </x:c>
      <x:c r="I10" s="20" t="n">
        <x:v>40000</x:v>
      </x:c>
      <x:c r="J10" s="29" t="n">
        <x:v>1</x:v>
      </x:c>
      <x:c r="K10" s="29" t="n">
        <x:v>5</x:v>
      </x:c>
      <x:c r="L10" s="29" t="n">
        <x:v>5</x:v>
      </x:c>
      <x:c r="M10" s="31" t="str">
        <x:v>対照47場</x:v>
      </x:c>
      <x:c r="N10" s="30" t="n">
        <x:v>360.1</x:v>
      </x:c>
      <x:c r="O10" s="30" t="n">
        <x:v>13.583333333333334</x:v>
      </x:c>
      <x:c r="P10" s="26" t="n">
        <x:f>O10/IF(C10="デイ",420,780)</x:f>
        <x:v>0.017414529914529915</x:v>
      </x:c>
      <x:c r="Q10" s="27" t="n">
        <x:v>0.08707264957264957</x:v>
      </x:c>
    </x:row>
    <x:row r="11" ht="22" customHeight="1">
      <x:c r="A11" s="2" t="str">
        <x:v>B5</x:v>
      </x:c>
      <x:c r="B11" s="24" t="d">
        <x:v>2026-09-23T08:45:00.000Z</x:v>
      </x:c>
      <x:c r="C11" s="2" t="str">
        <x:v>デイ</x:v>
      </x:c>
      <x:c r="D11" s="20" t="n">
        <x:v>0</x:v>
      </x:c>
      <x:c r="E11" s="20" t="n">
        <x:v>4384</x:v>
      </x:c>
      <x:c r="F11" s="20" t="n">
        <x:f>D11-E11</x:f>
        <x:v>-4384</x:v>
      </x:c>
      <x:c r="G11" s="20" t="n">
        <x:f>SUMIFS($F$7:$F$56,$A$7:$A$56,A11,$B$7:$B$56,"&lt;="&amp;B11)</x:f>
        <x:v>-30688</x:v>
      </x:c>
      <x:c r="H11" s="20" t="n">
        <x:v>384</x:v>
      </x:c>
      <x:c r="I11" s="20" t="n">
        <x:v>-4000</x:v>
      </x:c>
      <x:c r="J11" s="29" t="n">
        <x:v>1</x:v>
      </x:c>
      <x:c r="K11" s="29" t="n">
        <x:v>5</x:v>
      </x:c>
      <x:c r="L11" s="29" t="n">
        <x:v>5</x:v>
      </x:c>
      <x:c r="M11" s="31" t="str">
        <x:v>対照47場</x:v>
      </x:c>
      <x:c r="N11" s="30" t="n">
        <x:v>68.15</x:v>
      </x:c>
      <x:c r="O11" s="30" t="n">
        <x:v>313.75</x:v>
      </x:c>
      <x:c r="P11" s="26" t="n">
        <x:f>O11/IF(C11="デイ",420,780)</x:f>
        <x:v>0.7470238095238095</x:v>
      </x:c>
      <x:c r="Q11" s="27" t="n">
        <x:v>2.6480555555555556</x:v>
      </x:c>
    </x:row>
    <x:row r="12" ht="22" customHeight="1">
      <x:c r="A12" s="2" t="str">
        <x:v>B5</x:v>
      </x:c>
      <x:c r="B12" s="24" t="d">
        <x:v>2026-09-23T17:00:00.000Z</x:v>
      </x:c>
      <x:c r="C12" s="2" t="str">
        <x:v>ナイト</x:v>
      </x:c>
      <x:c r="D12" s="20" t="n">
        <x:v>0</x:v>
      </x:c>
      <x:c r="E12" s="20" t="n">
        <x:v>40384</x:v>
      </x:c>
      <x:c r="F12" s="20" t="n">
        <x:f>D12-E12</x:f>
        <x:v>-40384</x:v>
      </x:c>
      <x:c r="G12" s="20" t="n">
        <x:f>SUMIFS($F$7:$F$56,$A$7:$A$56,A12,$B$7:$B$56,"&lt;="&amp;B12)</x:f>
        <x:v>-71072</x:v>
      </x:c>
      <x:c r="H12" s="20" t="n">
        <x:v>384</x:v>
      </x:c>
      <x:c r="I12" s="20" t="n">
        <x:v>-40000</x:v>
      </x:c>
      <x:c r="J12" s="29" t="n">
        <x:v>1</x:v>
      </x:c>
      <x:c r="K12" s="29" t="n">
        <x:v>5</x:v>
      </x:c>
      <x:c r="L12" s="29" t="n">
        <x:v>5</x:v>
      </x:c>
      <x:c r="M12" s="31" t="str">
        <x:v>対照47場</x:v>
      </x:c>
      <x:c r="N12" s="30" t="n">
        <x:v>358.03333333333336</x:v>
      </x:c>
      <x:c r="O12" s="30" t="n">
        <x:v>2.15</x:v>
      </x:c>
      <x:c r="P12" s="26" t="n">
        <x:f>O12/IF(C12="デイ",420,780)</x:f>
        <x:v>0.0027564102564102562</x:v>
      </x:c>
      <x:c r="Q12" s="27" t="n">
        <x:v>0.013782051282051282</x:v>
      </x:c>
    </x:row>
    <x:row r="13" ht="22" customHeight="1">
      <x:c r="A13" s="2" t="str">
        <x:v>B5</x:v>
      </x:c>
      <x:c r="B13" s="24" t="d">
        <x:v>2026-09-24T08:45:00.000Z</x:v>
      </x:c>
      <x:c r="C13" s="2" t="str">
        <x:v>デイ</x:v>
      </x:c>
      <x:c r="D13" s="20" t="n">
        <x:v>60616</x:v>
      </x:c>
      <x:c r="E13" s="20" t="n">
        <x:v>85768</x:v>
      </x:c>
      <x:c r="F13" s="20" t="n">
        <x:f>D13-E13</x:f>
        <x:v>-25152</x:v>
      </x:c>
      <x:c r="G13" s="20" t="n">
        <x:f>SUMIFS($F$7:$F$56,$A$7:$A$56,A13,$B$7:$B$56,"&lt;="&amp;B13)</x:f>
        <x:v>-96224</x:v>
      </x:c>
      <x:c r="H13" s="20" t="n">
        <x:v>1152</x:v>
      </x:c>
      <x:c r="I13" s="20" t="n">
        <x:v>-24000</x:v>
      </x:c>
      <x:c r="J13" s="29" t="n">
        <x:v>3</x:v>
      </x:c>
      <x:c r="K13" s="29" t="n">
        <x:v>15</x:v>
      </x:c>
      <x:c r="L13" s="29" t="n">
        <x:v>5</x:v>
      </x:c>
      <x:c r="M13" s="31" t="str">
        <x:v>対照47場</x:v>
      </x:c>
      <x:c r="N13" s="30" t="n">
        <x:v>149.83333333333334</x:v>
      </x:c>
      <x:c r="O13" s="30" t="n">
        <x:v>91.76666666666667</x:v>
      </x:c>
      <x:c r="P13" s="26" t="n">
        <x:f>O13/IF(C13="デイ",420,780)</x:f>
        <x:v>0.2184920634920635</x:v>
      </x:c>
      <x:c r="Q13" s="27" t="n">
        <x:v>1.056111111111111</x:v>
      </x:c>
    </x:row>
    <x:row r="14" ht="22" customHeight="1">
      <x:c r="A14" s="2" t="str">
        <x:v>B5</x:v>
      </x:c>
      <x:c r="B14" s="24" t="d">
        <x:v>2026-09-24T17:00:00.000Z</x:v>
      </x:c>
      <x:c r="C14" s="2" t="str">
        <x:v>ナイト</x:v>
      </x:c>
      <x:c r="D14" s="20" t="n">
        <x:v>44616</x:v>
      </x:c>
      <x:c r="E14" s="20" t="n">
        <x:v>40384</x:v>
      </x:c>
      <x:c r="F14" s="20" t="n">
        <x:f>D14-E14</x:f>
        <x:v>4232</x:v>
      </x:c>
      <x:c r="G14" s="20" t="n">
        <x:f>SUMIFS($F$7:$F$56,$A$7:$A$56,A14,$B$7:$B$56,"&lt;="&amp;B14)</x:f>
        <x:v>-91992</x:v>
      </x:c>
      <x:c r="H14" s="20" t="n">
        <x:v>768</x:v>
      </x:c>
      <x:c r="I14" s="20" t="n">
        <x:v>5000</x:v>
      </x:c>
      <x:c r="J14" s="29" t="n">
        <x:v>2</x:v>
      </x:c>
      <x:c r="K14" s="29" t="n">
        <x:v>10</x:v>
      </x:c>
      <x:c r="L14" s="29" t="n">
        <x:v>5</x:v>
      </x:c>
      <x:c r="M14" s="31" t="str">
        <x:v>対照47場</x:v>
      </x:c>
      <x:c r="N14" s="30" t="n">
        <x:v>360.3333333333333</x:v>
      </x:c>
      <x:c r="O14" s="30" t="n">
        <x:v>13.133333333333333</x:v>
      </x:c>
      <x:c r="P14" s="26" t="n">
        <x:f>O14/IF(C14="デイ",420,780)</x:f>
        <x:v>0.016837606837606836</x:v>
      </x:c>
      <x:c r="Q14" s="27" t="n">
        <x:v>0.0841880341880342</x:v>
      </x:c>
    </x:row>
    <x:row r="15" ht="22" customHeight="1">
      <x:c r="A15" s="2" t="str">
        <x:v>B5</x:v>
      </x:c>
      <x:c r="B15" s="24" t="d">
        <x:v>2026-09-25T08:45:00.000Z</x:v>
      </x:c>
      <x:c r="C15" s="2" t="str">
        <x:v>デイ</x:v>
      </x:c>
      <x:c r="D15" s="20" t="n">
        <x:v>145616</x:v>
      </x:c>
      <x:c r="E15" s="20" t="n">
        <x:v>0</x:v>
      </x:c>
      <x:c r="F15" s="20" t="n">
        <x:f>D15-E15</x:f>
        <x:v>145616</x:v>
      </x:c>
      <x:c r="G15" s="20" t="n">
        <x:f>SUMIFS($F$7:$F$56,$A$7:$A$56,A15,$B$7:$B$56,"&lt;="&amp;B15)</x:f>
        <x:v>53624</x:v>
      </x:c>
      <x:c r="H15" s="20" t="n">
        <x:v>384</x:v>
      </x:c>
      <x:c r="I15" s="20" t="n">
        <x:v>146000</x:v>
      </x:c>
      <x:c r="J15" s="29" t="n">
        <x:v>1</x:v>
      </x:c>
      <x:c r="K15" s="29" t="n">
        <x:v>5</x:v>
      </x:c>
      <x:c r="L15" s="29" t="n">
        <x:v>5</x:v>
      </x:c>
      <x:c r="M15" s="31" t="str">
        <x:v>対照47場</x:v>
      </x:c>
      <x:c r="N15" s="30" t="n">
        <x:v>86.55</x:v>
      </x:c>
      <x:c r="O15" s="30" t="n">
        <x:v>323.45</x:v>
      </x:c>
      <x:c r="P15" s="26" t="n">
        <x:f>O15/IF(C15="デイ",420,780)</x:f>
        <x:v>0.7701190476190476</x:v>
      </x:c>
      <x:c r="Q15" s="27" t="n">
        <x:v>2.364404761904762</x:v>
      </x:c>
    </x:row>
    <x:row r="16" ht="22" customHeight="1">
      <x:c r="A16" s="2" t="str">
        <x:v>B5</x:v>
      </x:c>
      <x:c r="B16" s="24" t="d">
        <x:v>2026-09-25T17:00:00.000Z</x:v>
      </x:c>
      <x:c r="C16" s="2" t="str">
        <x:v>ナイト</x:v>
      </x:c>
      <x:c r="D16" s="20" t="n">
        <x:v>14616</x:v>
      </x:c>
      <x:c r="E16" s="20" t="n">
        <x:v>0</x:v>
      </x:c>
      <x:c r="F16" s="20" t="n">
        <x:f>D16-E16</x:f>
        <x:v>14616</x:v>
      </x:c>
      <x:c r="G16" s="20" t="n">
        <x:f>SUMIFS($F$7:$F$56,$A$7:$A$56,A16,$B$7:$B$56,"&lt;="&amp;B16)</x:f>
        <x:v>68240</x:v>
      </x:c>
      <x:c r="H16" s="20" t="n">
        <x:v>384</x:v>
      </x:c>
      <x:c r="I16" s="20" t="n">
        <x:v>15000</x:v>
      </x:c>
      <x:c r="J16" s="29" t="n">
        <x:v>1</x:v>
      </x:c>
      <x:c r="K16" s="29" t="n">
        <x:v>5</x:v>
      </x:c>
      <x:c r="L16" s="29" t="n">
        <x:v>5</x:v>
      </x:c>
      <x:c r="M16" s="31" t="str">
        <x:v>対照47場</x:v>
      </x:c>
      <x:c r="N16" s="30" t="n">
        <x:v>360</x:v>
      </x:c>
      <x:c r="O16" s="30" t="n">
        <x:v>2.433333333333333</x:v>
      </x:c>
      <x:c r="P16" s="26" t="n">
        <x:f>O16/IF(C16="デイ",420,780)</x:f>
        <x:v>0.0031196581196581193</x:v>
      </x:c>
      <x:c r="Q16" s="27" t="n">
        <x:v>0.015598290598290598</x:v>
      </x:c>
    </x:row>
    <x:row r="17" ht="22" customHeight="1">
      <x:c r="A17" s="2" t="str">
        <x:v>B5</x:v>
      </x:c>
      <x:c r="B17" s="24" t="d">
        <x:v>2026-09-28T08:45:00.000Z</x:v>
      </x:c>
      <x:c r="C17" s="2" t="str">
        <x:v>デイ</x:v>
      </x:c>
      <x:c r="D17" s="20" t="n">
        <x:v>261616</x:v>
      </x:c>
      <x:c r="E17" s="20" t="n">
        <x:v>75384</x:v>
      </x:c>
      <x:c r="F17" s="20" t="n">
        <x:f>D17-E17</x:f>
        <x:v>186232</x:v>
      </x:c>
      <x:c r="G17" s="20" t="n">
        <x:f>SUMIFS($F$7:$F$56,$A$7:$A$56,A17,$B$7:$B$56,"&lt;="&amp;B17)</x:f>
        <x:v>254472</x:v>
      </x:c>
      <x:c r="H17" s="20" t="n">
        <x:v>768</x:v>
      </x:c>
      <x:c r="I17" s="20" t="n">
        <x:v>187000</x:v>
      </x:c>
      <x:c r="J17" s="29" t="n">
        <x:v>2</x:v>
      </x:c>
      <x:c r="K17" s="29" t="n">
        <x:v>10</x:v>
      </x:c>
      <x:c r="L17" s="29" t="n">
        <x:v>5</x:v>
      </x:c>
      <x:c r="M17" s="31" t="str">
        <x:v>対照47場</x:v>
      </x:c>
      <x:c r="N17" s="30" t="n">
        <x:v>66.3</x:v>
      </x:c>
      <x:c r="O17" s="30" t="n">
        <x:v>331.28333333333336</x:v>
      </x:c>
      <x:c r="P17" s="26" t="n">
        <x:f>O17/IF(C17="デイ",420,780)</x:f>
        <x:v>0.7887698412698413</x:v>
      </x:c>
      <x:c r="Q17" s="27" t="n">
        <x:v>2.914484126984127</x:v>
      </x:c>
    </x:row>
    <x:row r="18" ht="22" customHeight="1">
      <x:c r="A18" s="2" t="str">
        <x:v>B5</x:v>
      </x:c>
      <x:c r="B18" s="24" t="d">
        <x:v>2026-09-28T17:00:00.000Z</x:v>
      </x:c>
      <x:c r="C18" s="2" t="str">
        <x:v>ナイト</x:v>
      </x:c>
      <x:c r="D18" s="20" t="n">
        <x:v>59616</x:v>
      </x:c>
      <x:c r="E18" s="20" t="n">
        <x:v>0</x:v>
      </x:c>
      <x:c r="F18" s="20" t="n">
        <x:f>D18-E18</x:f>
        <x:v>59616</x:v>
      </x:c>
      <x:c r="G18" s="20" t="n">
        <x:f>SUMIFS($F$7:$F$56,$A$7:$A$56,A18,$B$7:$B$56,"&lt;="&amp;B18)</x:f>
        <x:v>314088</x:v>
      </x:c>
      <x:c r="H18" s="20" t="n">
        <x:v>384</x:v>
      </x:c>
      <x:c r="I18" s="20" t="n">
        <x:v>60000</x:v>
      </x:c>
      <x:c r="J18" s="29" t="n">
        <x:v>1</x:v>
      </x:c>
      <x:c r="K18" s="29" t="n">
        <x:v>5</x:v>
      </x:c>
      <x:c r="L18" s="29" t="n">
        <x:v>5</x:v>
      </x:c>
      <x:c r="M18" s="31" t="str">
        <x:v>対照47場</x:v>
      </x:c>
      <x:c r="N18" s="30" t="n">
        <x:v>360</x:v>
      </x:c>
      <x:c r="O18" s="30" t="n">
        <x:v>6.433333333333334</x:v>
      </x:c>
      <x:c r="P18" s="26" t="n">
        <x:f>O18/IF(C18="デイ",420,780)</x:f>
        <x:v>0.008247863247863248</x:v>
      </x:c>
      <x:c r="Q18" s="27" t="n">
        <x:v>0.04123931623931624</x:v>
      </x:c>
    </x:row>
    <x:row r="19" ht="22" customHeight="1">
      <x:c r="A19" s="2" t="str">
        <x:v>B5</x:v>
      </x:c>
      <x:c r="B19" s="24" t="d">
        <x:v>2026-09-29T08:45:00.000Z</x:v>
      </x:c>
      <x:c r="C19" s="2" t="str">
        <x:v>デイ</x:v>
      </x:c>
      <x:c r="D19" s="20" t="n">
        <x:v>282232</x:v>
      </x:c>
      <x:c r="E19" s="20" t="n">
        <x:v>0</x:v>
      </x:c>
      <x:c r="F19" s="20" t="n">
        <x:f>D19-E19</x:f>
        <x:v>282232</x:v>
      </x:c>
      <x:c r="G19" s="20" t="n">
        <x:f>SUMIFS($F$7:$F$56,$A$7:$A$56,A19,$B$7:$B$56,"&lt;="&amp;B19)</x:f>
        <x:v>596320</x:v>
      </x:c>
      <x:c r="H19" s="20" t="n">
        <x:v>768</x:v>
      </x:c>
      <x:c r="I19" s="20" t="n">
        <x:v>283000</x:v>
      </x:c>
      <x:c r="J19" s="29" t="n">
        <x:v>2</x:v>
      </x:c>
      <x:c r="K19" s="29" t="n">
        <x:v>10</x:v>
      </x:c>
      <x:c r="L19" s="29" t="n">
        <x:v>5</x:v>
      </x:c>
      <x:c r="M19" s="31" t="str">
        <x:v>対照47場</x:v>
      </x:c>
      <x:c r="N19" s="30" t="n">
        <x:v>66.68333333333334</x:v>
      </x:c>
      <x:c r="O19" s="30" t="n">
        <x:v>296.96666666666664</x:v>
      </x:c>
      <x:c r="P19" s="26" t="n">
        <x:f>O19/IF(C19="デイ",420,780)</x:f>
        <x:v>0.707063492063492</x:v>
      </x:c>
      <x:c r="Q19" s="27" t="n">
        <x:v>2.854761904761905</x:v>
      </x:c>
    </x:row>
    <x:row r="20" ht="22" customHeight="1">
      <x:c r="A20" s="2" t="str">
        <x:v>B5</x:v>
      </x:c>
      <x:c r="B20" s="24" t="d">
        <x:v>2026-09-29T17:00:00.000Z</x:v>
      </x:c>
      <x:c r="C20" s="2" t="str">
        <x:v>ナイト</x:v>
      </x:c>
      <x:c r="D20" s="20" t="n">
        <x:v>168848</x:v>
      </x:c>
      <x:c r="E20" s="20" t="n">
        <x:v>50384</x:v>
      </x:c>
      <x:c r="F20" s="20" t="n">
        <x:f>D20-E20</x:f>
        <x:v>118464</x:v>
      </x:c>
      <x:c r="G20" s="20" t="n">
        <x:f>SUMIFS($F$7:$F$56,$A$7:$A$56,A20,$B$7:$B$56,"&lt;="&amp;B20)</x:f>
        <x:v>714784</x:v>
      </x:c>
      <x:c r="H20" s="20" t="n">
        <x:v>1536</x:v>
      </x:c>
      <x:c r="I20" s="20" t="n">
        <x:v>120000</x:v>
      </x:c>
      <x:c r="J20" s="29" t="n">
        <x:v>4</x:v>
      </x:c>
      <x:c r="K20" s="29" t="n">
        <x:v>20</x:v>
      </x:c>
      <x:c r="L20" s="29" t="n">
        <x:v>5</x:v>
      </x:c>
      <x:c r="M20" s="31" t="str">
        <x:v>対照47場</x:v>
      </x:c>
      <x:c r="N20" s="30" t="n">
        <x:v>360.01666666666665</x:v>
      </x:c>
      <x:c r="O20" s="30" t="n">
        <x:v>43.95</x:v>
      </x:c>
      <x:c r="P20" s="26" t="n">
        <x:f>O20/IF(C20="デイ",420,780)</x:f>
        <x:v>0.05634615384615385</x:v>
      </x:c>
      <x:c r="Q20" s="27" t="n">
        <x:v>0.28173076923076923</x:v>
      </x:c>
    </x:row>
    <x:row r="21" ht="22" customHeight="1">
      <x:c r="A21" s="2" t="str">
        <x:v>B5</x:v>
      </x:c>
      <x:c r="B21" s="24" t="d">
        <x:v>2026-09-30T08:45:00.000Z</x:v>
      </x:c>
      <x:c r="C21" s="2" t="str">
        <x:v>デイ</x:v>
      </x:c>
      <x:c r="D21" s="20" t="n">
        <x:v>170616</x:v>
      </x:c>
      <x:c r="E21" s="20" t="n">
        <x:v>55384</x:v>
      </x:c>
      <x:c r="F21" s="20" t="n">
        <x:f>D21-E21</x:f>
        <x:v>115232</x:v>
      </x:c>
      <x:c r="G21" s="20" t="n">
        <x:f>SUMIFS($F$7:$F$56,$A$7:$A$56,A21,$B$7:$B$56,"&lt;="&amp;B21)</x:f>
        <x:v>830016</x:v>
      </x:c>
      <x:c r="H21" s="20" t="n">
        <x:v>768</x:v>
      </x:c>
      <x:c r="I21" s="20" t="n">
        <x:v>116000</x:v>
      </x:c>
      <x:c r="J21" s="29" t="n">
        <x:v>2</x:v>
      </x:c>
      <x:c r="K21" s="29" t="n">
        <x:v>10</x:v>
      </x:c>
      <x:c r="L21" s="29" t="n">
        <x:v>5</x:v>
      </x:c>
      <x:c r="M21" s="31" t="str">
        <x:v>対照47場</x:v>
      </x:c>
      <x:c r="N21" s="30" t="n">
        <x:v>161.31666666666666</x:v>
      </x:c>
      <x:c r="O21" s="30" t="n">
        <x:v>106.96666666666667</x:v>
      </x:c>
      <x:c r="P21" s="26" t="n">
        <x:f>O21/IF(C21="デイ",420,780)</x:f>
        <x:v>0.2546825396825397</x:v>
      </x:c>
      <x:c r="Q21" s="27" t="n">
        <x:v>0.939047619047619</x:v>
      </x:c>
    </x:row>
    <x:row r="22" ht="22" customHeight="1">
      <x:c r="A22" s="2" t="str">
        <x:v>B5</x:v>
      </x:c>
      <x:c r="B22" s="24" t="d">
        <x:v>2026-09-30T17:00:00.000Z</x:v>
      </x:c>
      <x:c r="C22" s="2" t="str">
        <x:v>ナイト</x:v>
      </x:c>
      <x:c r="D22" s="20" t="n">
        <x:v>59232</x:v>
      </x:c>
      <x:c r="E22" s="20" t="n">
        <x:v>0</x:v>
      </x:c>
      <x:c r="F22" s="20" t="n">
        <x:f>D22-E22</x:f>
        <x:v>59232</x:v>
      </x:c>
      <x:c r="G22" s="20" t="n">
        <x:f>SUMIFS($F$7:$F$56,$A$7:$A$56,A22,$B$7:$B$56,"&lt;="&amp;B22)</x:f>
        <x:v>889248</x:v>
      </x:c>
      <x:c r="H22" s="20" t="n">
        <x:v>768</x:v>
      </x:c>
      <x:c r="I22" s="20" t="n">
        <x:v>60000</x:v>
      </x:c>
      <x:c r="J22" s="29" t="n">
        <x:v>2</x:v>
      </x:c>
      <x:c r="K22" s="29" t="n">
        <x:v>10</x:v>
      </x:c>
      <x:c r="L22" s="29" t="n">
        <x:v>5</x:v>
      </x:c>
      <x:c r="M22" s="31" t="str">
        <x:v>対照47場</x:v>
      </x:c>
      <x:c r="N22" s="30" t="n">
        <x:v>360</x:v>
      </x:c>
      <x:c r="O22" s="30" t="n">
        <x:v>19.883333333333333</x:v>
      </x:c>
      <x:c r="P22" s="26" t="n">
        <x:f>O22/IF(C22="デイ",420,780)</x:f>
        <x:v>0.02549145299145299</x:v>
      </x:c>
      <x:c r="Q22" s="27" t="n">
        <x:v>0.12745726495726495</x:v>
      </x:c>
    </x:row>
    <x:row r="23" ht="22" customHeight="1">
      <x:c r="A23" s="2" t="str">
        <x:v>B5</x:v>
      </x:c>
      <x:c r="B23" s="24" t="d">
        <x:v>2026-10-01T08:45:00.000Z</x:v>
      </x:c>
      <x:c r="C23" s="2" t="str">
        <x:v>デイ</x:v>
      </x:c>
      <x:c r="D23" s="20" t="n">
        <x:v>183616</x:v>
      </x:c>
      <x:c r="E23" s="20" t="n">
        <x:v>60384</x:v>
      </x:c>
      <x:c r="F23" s="20" t="n">
        <x:f>D23-E23</x:f>
        <x:v>123232</x:v>
      </x:c>
      <x:c r="G23" s="20" t="n">
        <x:f>SUMIFS($F$7:$F$56,$A$7:$A$56,A23,$B$7:$B$56,"&lt;="&amp;B23)</x:f>
        <x:v>1012480</x:v>
      </x:c>
      <x:c r="H23" s="20" t="n">
        <x:v>768</x:v>
      </x:c>
      <x:c r="I23" s="20" t="n">
        <x:v>124000</x:v>
      </x:c>
      <x:c r="J23" s="29" t="n">
        <x:v>2</x:v>
      </x:c>
      <x:c r="K23" s="29" t="n">
        <x:v>10</x:v>
      </x:c>
      <x:c r="L23" s="29" t="n">
        <x:v>5</x:v>
      </x:c>
      <x:c r="M23" s="31" t="str">
        <x:v>対照47場</x:v>
      </x:c>
      <x:c r="N23" s="30" t="n">
        <x:v>88.93333333333334</x:v>
      </x:c>
      <x:c r="O23" s="30" t="n">
        <x:v>128.06666666666666</x:v>
      </x:c>
      <x:c r="P23" s="26" t="n">
        <x:f>O23/IF(C23="デイ",420,780)</x:f>
        <x:v>0.3049206349206349</x:v>
      </x:c>
      <x:c r="Q23" s="27" t="n">
        <x:v>0.932063492063492</x:v>
      </x:c>
    </x:row>
    <x:row r="24" ht="22" customHeight="1">
      <x:c r="A24" s="2" t="str">
        <x:v>B5</x:v>
      </x:c>
      <x:c r="B24" s="24" t="d">
        <x:v>2026-10-01T17:00:00.000Z</x:v>
      </x:c>
      <x:c r="C24" s="2" t="str">
        <x:v>ナイト</x:v>
      </x:c>
      <x:c r="D24" s="20" t="n">
        <x:v>55692</x:v>
      </x:c>
      <x:c r="E24" s="20" t="n">
        <x:v>0</x:v>
      </x:c>
      <x:c r="F24" s="20" t="n">
        <x:f>D24-E24</x:f>
        <x:v>55692</x:v>
      </x:c>
      <x:c r="G24" s="20" t="n">
        <x:f>SUMIFS($F$7:$F$56,$A$7:$A$56,A24,$B$7:$B$56,"&lt;="&amp;B24)</x:f>
        <x:v>1068172</x:v>
      </x:c>
      <x:c r="H24" s="20" t="n">
        <x:v>308</x:v>
      </x:c>
      <x:c r="I24" s="20" t="n">
        <x:v>56000</x:v>
      </x:c>
      <x:c r="J24" s="29" t="n">
        <x:v>1</x:v>
      </x:c>
      <x:c r="K24" s="29" t="n">
        <x:v>4</x:v>
      </x:c>
      <x:c r="L24" s="29" t="n">
        <x:v>4</x:v>
      </x:c>
      <x:c r="M24" s="31" t="str">
        <x:v>対照47場</x:v>
      </x:c>
      <x:c r="N24" s="30" t="n">
        <x:v>360</x:v>
      </x:c>
      <x:c r="O24" s="30" t="n">
        <x:v>2.75</x:v>
      </x:c>
      <x:c r="P24" s="26" t="n">
        <x:f>O24/IF(C24="デイ",420,780)</x:f>
        <x:v>0.0035256410256410257</x:v>
      </x:c>
      <x:c r="Q24" s="27" t="n">
        <x:v>0.014102564102564103</x:v>
      </x:c>
    </x:row>
    <x:row r="25" ht="22" customHeight="1">
      <x:c r="A25" s="2" t="str">
        <x:v>B5</x:v>
      </x:c>
      <x:c r="B25" s="24" t="d">
        <x:v>2026-10-02T08:45:00.000Z</x:v>
      </x:c>
      <x:c r="C25" s="2" t="str">
        <x:v>デイ</x:v>
      </x:c>
      <x:c r="D25" s="20" t="n">
        <x:v>0</x:v>
      </x:c>
      <x:c r="E25" s="20" t="n">
        <x:v>65384</x:v>
      </x:c>
      <x:c r="F25" s="20" t="n">
        <x:f>D25-E25</x:f>
        <x:v>-65384</x:v>
      </x:c>
      <x:c r="G25" s="20" t="n">
        <x:f>SUMIFS($F$7:$F$56,$A$7:$A$56,A25,$B$7:$B$56,"&lt;="&amp;B25)</x:f>
        <x:v>1002788</x:v>
      </x:c>
      <x:c r="H25" s="20" t="n">
        <x:v>384</x:v>
      </x:c>
      <x:c r="I25" s="20" t="n">
        <x:v>-65000</x:v>
      </x:c>
      <x:c r="J25" s="29" t="n">
        <x:v>1</x:v>
      </x:c>
      <x:c r="K25" s="29" t="n">
        <x:v>5</x:v>
      </x:c>
      <x:c r="L25" s="29" t="n">
        <x:v>5</x:v>
      </x:c>
      <x:c r="M25" s="31" t="str">
        <x:v>対照47場</x:v>
      </x:c>
      <x:c r="N25" s="30" t="n">
        <x:v>100.65</x:v>
      </x:c>
      <x:c r="O25" s="30" t="n">
        <x:v>33.65</x:v>
      </x:c>
      <x:c r="P25" s="26" t="n">
        <x:f>O25/IF(C25="デイ",420,780)</x:f>
        <x:v>0.08011904761904762</x:v>
      </x:c>
      <x:c r="Q25" s="27" t="n">
        <x:v>0.4005952380952381</x:v>
      </x:c>
    </x:row>
    <x:row r="26" ht="22" customHeight="1">
      <x:c r="A26" s="2" t="str">
        <x:v>B5</x:v>
      </x:c>
      <x:c r="B26" s="24" t="d">
        <x:v>2026-10-02T17:00:00.000Z</x:v>
      </x:c>
      <x:c r="C26" s="2" t="str">
        <x:v>ナイト</x:v>
      </x:c>
      <x:c r="D26" s="20" t="n">
        <x:v>119232</x:v>
      </x:c>
      <x:c r="E26" s="20" t="n">
        <x:v>55384</x:v>
      </x:c>
      <x:c r="F26" s="20" t="n">
        <x:f>D26-E26</x:f>
        <x:v>63848</x:v>
      </x:c>
      <x:c r="G26" s="20" t="n">
        <x:f>SUMIFS($F$7:$F$56,$A$7:$A$56,A26,$B$7:$B$56,"&lt;="&amp;B26)</x:f>
        <x:v>1066636</x:v>
      </x:c>
      <x:c r="H26" s="20" t="n">
        <x:v>1152</x:v>
      </x:c>
      <x:c r="I26" s="20" t="n">
        <x:v>65000</x:v>
      </x:c>
      <x:c r="J26" s="29" t="n">
        <x:v>3</x:v>
      </x:c>
      <x:c r="K26" s="29" t="n">
        <x:v>15</x:v>
      </x:c>
      <x:c r="L26" s="29" t="n">
        <x:v>5</x:v>
      </x:c>
      <x:c r="M26" s="31" t="str">
        <x:v>対照47場</x:v>
      </x:c>
      <x:c r="N26" s="30" t="n">
        <x:v>360</x:v>
      </x:c>
      <x:c r="O26" s="30" t="n">
        <x:v>17.783333333333335</x:v>
      </x:c>
      <x:c r="P26" s="26" t="n">
        <x:f>O26/IF(C26="デイ",420,780)</x:f>
        <x:v>0.022799145299145302</x:v>
      </x:c>
      <x:c r="Q26" s="27" t="n">
        <x:v>0.1139957264957265</x:v>
      </x:c>
    </x:row>
    <x:row r="27" ht="22" customHeight="1">
      <x:c r="A27" s="2" t="str">
        <x:v>B5</x:v>
      </x:c>
      <x:c r="B27" s="24" t="d">
        <x:v>2026-10-05T08:45:00.000Z</x:v>
      </x:c>
      <x:c r="C27" s="2" t="str">
        <x:v>デイ</x:v>
      </x:c>
      <x:c r="D27" s="20" t="n">
        <x:v>4616</x:v>
      </x:c>
      <x:c r="E27" s="20" t="n">
        <x:v>126536</x:v>
      </x:c>
      <x:c r="F27" s="20" t="n">
        <x:f>D27-E27</x:f>
        <x:v>-121920</x:v>
      </x:c>
      <x:c r="G27" s="20" t="n">
        <x:f>SUMIFS($F$7:$F$56,$A$7:$A$56,A27,$B$7:$B$56,"&lt;="&amp;B27)</x:f>
        <x:v>944716</x:v>
      </x:c>
      <x:c r="H27" s="20" t="n">
        <x:v>1920</x:v>
      </x:c>
      <x:c r="I27" s="20" t="n">
        <x:v>-120000</x:v>
      </x:c>
      <x:c r="J27" s="29" t="n">
        <x:v>5</x:v>
      </x:c>
      <x:c r="K27" s="29" t="n">
        <x:v>25</x:v>
      </x:c>
      <x:c r="L27" s="29" t="n">
        <x:v>5</x:v>
      </x:c>
      <x:c r="M27" s="31" t="str">
        <x:v>対照47場</x:v>
      </x:c>
      <x:c r="N27" s="30" t="n">
        <x:v>106</x:v>
      </x:c>
      <x:c r="O27" s="30" t="n">
        <x:v>117.81666666666666</x:v>
      </x:c>
      <x:c r="P27" s="26" t="n">
        <x:f>O27/IF(C27="デイ",420,780)</x:f>
        <x:v>0.280515873015873</x:v>
      </x:c>
      <x:c r="Q27" s="27" t="n">
        <x:v>1.402579365079365</x:v>
      </x:c>
    </x:row>
    <x:row r="28" ht="22" customHeight="1">
      <x:c r="A28" s="2" t="str">
        <x:v>B5</x:v>
      </x:c>
      <x:c r="B28" s="24" t="d">
        <x:v>2026-10-05T17:00:00.000Z</x:v>
      </x:c>
      <x:c r="C28" s="2" t="str">
        <x:v>ナイト</x:v>
      </x:c>
      <x:c r="D28" s="20" t="n">
        <x:v>24616</x:v>
      </x:c>
      <x:c r="E28" s="20" t="n">
        <x:v>20384</x:v>
      </x:c>
      <x:c r="F28" s="20" t="n">
        <x:f>D28-E28</x:f>
        <x:v>4232</x:v>
      </x:c>
      <x:c r="G28" s="20" t="n">
        <x:f>SUMIFS($F$7:$F$56,$A$7:$A$56,A28,$B$7:$B$56,"&lt;="&amp;B28)</x:f>
        <x:v>948948</x:v>
      </x:c>
      <x:c r="H28" s="20" t="n">
        <x:v>768</x:v>
      </x:c>
      <x:c r="I28" s="20" t="n">
        <x:v>5000</x:v>
      </x:c>
      <x:c r="J28" s="29" t="n">
        <x:v>2</x:v>
      </x:c>
      <x:c r="K28" s="29" t="n">
        <x:v>10</x:v>
      </x:c>
      <x:c r="L28" s="29" t="n">
        <x:v>5</x:v>
      </x:c>
      <x:c r="M28" s="31" t="str">
        <x:v>対照47場</x:v>
      </x:c>
      <x:c r="N28" s="30" t="n">
        <x:v>360.01666666666665</x:v>
      </x:c>
      <x:c r="O28" s="30" t="n">
        <x:v>28.866666666666667</x:v>
      </x:c>
      <x:c r="P28" s="26" t="n">
        <x:f>O28/IF(C28="デイ",420,780)</x:f>
        <x:v>0.037008547008547006</x:v>
      </x:c>
      <x:c r="Q28" s="27" t="n">
        <x:v>0.18504273504273505</x:v>
      </x:c>
    </x:row>
    <x:row r="29" ht="22" customHeight="1">
      <x:c r="A29" s="2" t="str">
        <x:v>B5</x:v>
      </x:c>
      <x:c r="B29" s="24" t="d">
        <x:v>2026-10-06T08:45:00.000Z</x:v>
      </x:c>
      <x:c r="C29" s="2" t="str">
        <x:v>デイ</x:v>
      </x:c>
      <x:c r="D29" s="20" t="n">
        <x:v>73616</x:v>
      </x:c>
      <x:c r="E29" s="20" t="n">
        <x:v>50384</x:v>
      </x:c>
      <x:c r="F29" s="20" t="n">
        <x:f>D29-E29</x:f>
        <x:v>23232</x:v>
      </x:c>
      <x:c r="G29" s="20" t="n">
        <x:f>SUMIFS($F$7:$F$56,$A$7:$A$56,A29,$B$7:$B$56,"&lt;="&amp;B29)</x:f>
        <x:v>972180</x:v>
      </x:c>
      <x:c r="H29" s="20" t="n">
        <x:v>768</x:v>
      </x:c>
      <x:c r="I29" s="20" t="n">
        <x:v>24000</x:v>
      </x:c>
      <x:c r="J29" s="29" t="n">
        <x:v>2</x:v>
      </x:c>
      <x:c r="K29" s="29" t="n">
        <x:v>10</x:v>
      </x:c>
      <x:c r="L29" s="29" t="n">
        <x:v>5</x:v>
      </x:c>
      <x:c r="M29" s="31" t="str">
        <x:v>対照47場</x:v>
      </x:c>
      <x:c r="N29" s="30" t="n">
        <x:v>81.4</x:v>
      </x:c>
      <x:c r="O29" s="30" t="n">
        <x:v>27.2</x:v>
      </x:c>
      <x:c r="P29" s="26" t="n">
        <x:f>O29/IF(C29="デイ",420,780)</x:f>
        <x:v>0.06476190476190476</x:v>
      </x:c>
      <x:c r="Q29" s="27" t="n">
        <x:v>0.29388888888888887</x:v>
      </x:c>
    </x:row>
    <x:row r="30" ht="22" customHeight="1">
      <x:c r="A30" s="2" t="str">
        <x:v>B5</x:v>
      </x:c>
      <x:c r="B30" s="24" t="d">
        <x:v>2026-10-06T17:00:00.000Z</x:v>
      </x:c>
      <x:c r="C30" s="2" t="str">
        <x:v>ナイト</x:v>
      </x:c>
      <x:c r="D30" s="20" t="n">
        <x:v>24616</x:v>
      </x:c>
      <x:c r="E30" s="20" t="n">
        <x:v>35384</x:v>
      </x:c>
      <x:c r="F30" s="20" t="n">
        <x:f>D30-E30</x:f>
        <x:v>-10768</x:v>
      </x:c>
      <x:c r="G30" s="20" t="n">
        <x:f>SUMIFS($F$7:$F$56,$A$7:$A$56,A30,$B$7:$B$56,"&lt;="&amp;B30)</x:f>
        <x:v>961412</x:v>
      </x:c>
      <x:c r="H30" s="20" t="n">
        <x:v>768</x:v>
      </x:c>
      <x:c r="I30" s="20" t="n">
        <x:v>-10000</x:v>
      </x:c>
      <x:c r="J30" s="29" t="n">
        <x:v>2</x:v>
      </x:c>
      <x:c r="K30" s="29" t="n">
        <x:v>10</x:v>
      </x:c>
      <x:c r="L30" s="29" t="n">
        <x:v>5</x:v>
      </x:c>
      <x:c r="M30" s="31" t="str">
        <x:v>対照47場</x:v>
      </x:c>
      <x:c r="N30" s="30" t="n">
        <x:v>360.06666666666666</x:v>
      </x:c>
      <x:c r="O30" s="30" t="n">
        <x:v>13.533333333333333</x:v>
      </x:c>
      <x:c r="P30" s="26" t="n">
        <x:f>O30/IF(C30="デイ",420,780)</x:f>
        <x:v>0.017350427350427352</x:v>
      </x:c>
      <x:c r="Q30" s="27" t="n">
        <x:v>0.08675213675213675</x:v>
      </x:c>
    </x:row>
    <x:row r="31" ht="22" customHeight="1">
      <x:c r="A31" s="2" t="str">
        <x:v>B5</x:v>
      </x:c>
      <x:c r="B31" s="24" t="d">
        <x:v>2026-10-07T08:45:00.000Z</x:v>
      </x:c>
      <x:c r="C31" s="2" t="str">
        <x:v>デイ</x:v>
      </x:c>
      <x:c r="D31" s="20" t="n">
        <x:v>70232</x:v>
      </x:c>
      <x:c r="E31" s="20" t="n">
        <x:v>0</x:v>
      </x:c>
      <x:c r="F31" s="20" t="n">
        <x:f>D31-E31</x:f>
        <x:v>70232</x:v>
      </x:c>
      <x:c r="G31" s="20" t="n">
        <x:f>SUMIFS($F$7:$F$56,$A$7:$A$56,A31,$B$7:$B$56,"&lt;="&amp;B31)</x:f>
        <x:v>1031644</x:v>
      </x:c>
      <x:c r="H31" s="20" t="n">
        <x:v>768</x:v>
      </x:c>
      <x:c r="I31" s="20" t="n">
        <x:v>71000</x:v>
      </x:c>
      <x:c r="J31" s="29" t="n">
        <x:v>2</x:v>
      </x:c>
      <x:c r="K31" s="29" t="n">
        <x:v>10</x:v>
      </x:c>
      <x:c r="L31" s="29" t="n">
        <x:v>5</x:v>
      </x:c>
      <x:c r="M31" s="31" t="str">
        <x:v>対照47場</x:v>
      </x:c>
      <x:c r="N31" s="30" t="n">
        <x:v>225</x:v>
      </x:c>
      <x:c r="O31" s="30" t="n">
        <x:v>31.6</x:v>
      </x:c>
      <x:c r="P31" s="26" t="n">
        <x:f>O31/IF(C31="デイ",420,780)</x:f>
        <x:v>0.07523809523809524</x:v>
      </x:c>
      <x:c r="Q31" s="27" t="n">
        <x:v>0.3657936507936508</x:v>
      </x:c>
    </x:row>
    <x:row r="32" ht="22" customHeight="1">
      <x:c r="A32" s="2" t="str">
        <x:v>B5</x:v>
      </x:c>
      <x:c r="B32" s="24" t="d">
        <x:v>2026-10-07T17:00:00.000Z</x:v>
      </x:c>
      <x:c r="C32" s="2" t="str">
        <x:v>ナイト</x:v>
      </x:c>
      <x:c r="D32" s="20" t="n">
        <x:v>24232</x:v>
      </x:c>
      <x:c r="E32" s="20" t="n">
        <x:v>0</x:v>
      </x:c>
      <x:c r="F32" s="20" t="n">
        <x:f>D32-E32</x:f>
        <x:v>24232</x:v>
      </x:c>
      <x:c r="G32" s="20" t="n">
        <x:f>SUMIFS($F$7:$F$56,$A$7:$A$56,A32,$B$7:$B$56,"&lt;="&amp;B32)</x:f>
        <x:v>1055876</x:v>
      </x:c>
      <x:c r="H32" s="20" t="n">
        <x:v>768</x:v>
      </x:c>
      <x:c r="I32" s="20" t="n">
        <x:v>25000</x:v>
      </x:c>
      <x:c r="J32" s="29" t="n">
        <x:v>2</x:v>
      </x:c>
      <x:c r="K32" s="29" t="n">
        <x:v>10</x:v>
      </x:c>
      <x:c r="L32" s="29" t="n">
        <x:v>5</x:v>
      </x:c>
      <x:c r="M32" s="31" t="str">
        <x:v>対照47場</x:v>
      </x:c>
      <x:c r="N32" s="30" t="n">
        <x:v>360</x:v>
      </x:c>
      <x:c r="O32" s="30" t="n">
        <x:v>11.1</x:v>
      </x:c>
      <x:c r="P32" s="26" t="n">
        <x:f>O32/IF(C32="デイ",420,780)</x:f>
        <x:v>0.01423076923076923</x:v>
      </x:c>
      <x:c r="Q32" s="27" t="n">
        <x:v>0.07115384615384615</x:v>
      </x:c>
    </x:row>
    <x:row r="33" ht="22" customHeight="1">
      <x:c r="A33" s="2" t="str">
        <x:v>B5</x:v>
      </x:c>
      <x:c r="B33" s="24" t="d">
        <x:v>2026-10-08T08:45:00.000Z</x:v>
      </x:c>
      <x:c r="C33" s="2" t="str">
        <x:v>デイ</x:v>
      </x:c>
      <x:c r="D33" s="20" t="n">
        <x:v>94616</x:v>
      </x:c>
      <x:c r="E33" s="20" t="n">
        <x:v>151536</x:v>
      </x:c>
      <x:c r="F33" s="20" t="n">
        <x:f>D33-E33</x:f>
        <x:v>-56920</x:v>
      </x:c>
      <x:c r="G33" s="20" t="n">
        <x:f>SUMIFS($F$7:$F$56,$A$7:$A$56,A33,$B$7:$B$56,"&lt;="&amp;B33)</x:f>
        <x:v>998956</x:v>
      </x:c>
      <x:c r="H33" s="20" t="n">
        <x:v>1920</x:v>
      </x:c>
      <x:c r="I33" s="20" t="n">
        <x:v>-55000</x:v>
      </x:c>
      <x:c r="J33" s="29" t="n">
        <x:v>5</x:v>
      </x:c>
      <x:c r="K33" s="29" t="n">
        <x:v>25</x:v>
      </x:c>
      <x:c r="L33" s="29" t="n">
        <x:v>5</x:v>
      </x:c>
      <x:c r="M33" s="31" t="str">
        <x:v>対照47場</x:v>
      </x:c>
      <x:c r="N33" s="30" t="n">
        <x:v>70.23333333333333</x:v>
      </x:c>
      <x:c r="O33" s="30" t="n">
        <x:v>73.46666666666667</x:v>
      </x:c>
      <x:c r="P33" s="26" t="n">
        <x:f>O33/IF(C33="デイ",420,780)</x:f>
        <x:v>0.17492063492063492</x:v>
      </x:c>
      <x:c r="Q33" s="27" t="n">
        <x:v>0.853015873015873</x:v>
      </x:c>
    </x:row>
    <x:row r="34" ht="22" customHeight="1">
      <x:c r="A34" s="2" t="str">
        <x:v>B5</x:v>
      </x:c>
      <x:c r="B34" s="24" t="d">
        <x:v>2026-10-08T17:00:00.000Z</x:v>
      </x:c>
      <x:c r="C34" s="2" t="str">
        <x:v>ナイト</x:v>
      </x:c>
      <x:c r="D34" s="20" t="n">
        <x:v>49232</x:v>
      </x:c>
      <x:c r="E34" s="20" t="n">
        <x:v>0</x:v>
      </x:c>
      <x:c r="F34" s="20" t="n">
        <x:f>D34-E34</x:f>
        <x:v>49232</x:v>
      </x:c>
      <x:c r="G34" s="20" t="n">
        <x:f>SUMIFS($F$7:$F$56,$A$7:$A$56,A34,$B$7:$B$56,"&lt;="&amp;B34)</x:f>
        <x:v>1048188</x:v>
      </x:c>
      <x:c r="H34" s="20" t="n">
        <x:v>768</x:v>
      </x:c>
      <x:c r="I34" s="20" t="n">
        <x:v>50000</x:v>
      </x:c>
      <x:c r="J34" s="29" t="n">
        <x:v>2</x:v>
      </x:c>
      <x:c r="K34" s="29" t="n">
        <x:v>10</x:v>
      </x:c>
      <x:c r="L34" s="29" t="n">
        <x:v>5</x:v>
      </x:c>
      <x:c r="M34" s="31" t="str">
        <x:v>対照47場</x:v>
      </x:c>
      <x:c r="N34" s="30" t="n">
        <x:v>360</x:v>
      </x:c>
      <x:c r="O34" s="30" t="n">
        <x:v>23.016666666666666</x:v>
      </x:c>
      <x:c r="P34" s="26" t="n">
        <x:f>O34/IF(C34="デイ",420,780)</x:f>
        <x:v>0.029508547008547006</x:v>
      </x:c>
      <x:c r="Q34" s="27" t="n">
        <x:v>0.14754273504273505</x:v>
      </x:c>
    </x:row>
    <x:row r="35" ht="22" customHeight="1">
      <x:c r="A35" s="2" t="str">
        <x:v>B5</x:v>
      </x:c>
      <x:c r="B35" s="24" t="d">
        <x:v>2026-10-09T08:45:00.000Z</x:v>
      </x:c>
      <x:c r="C35" s="2" t="str">
        <x:v>デイ</x:v>
      </x:c>
      <x:c r="D35" s="20" t="n">
        <x:v>59616</x:v>
      </x:c>
      <x:c r="E35" s="20" t="n">
        <x:v>0</x:v>
      </x:c>
      <x:c r="F35" s="20" t="n">
        <x:f>D35-E35</x:f>
        <x:v>59616</x:v>
      </x:c>
      <x:c r="G35" s="20" t="n">
        <x:f>SUMIFS($F$7:$F$56,$A$7:$A$56,A35,$B$7:$B$56,"&lt;="&amp;B35)</x:f>
        <x:v>1107804</x:v>
      </x:c>
      <x:c r="H35" s="20" t="n">
        <x:v>384</x:v>
      </x:c>
      <x:c r="I35" s="20" t="n">
        <x:v>60000</x:v>
      </x:c>
      <x:c r="J35" s="29" t="n">
        <x:v>1</x:v>
      </x:c>
      <x:c r="K35" s="29" t="n">
        <x:v>5</x:v>
      </x:c>
      <x:c r="L35" s="29" t="n">
        <x:v>5</x:v>
      </x:c>
      <x:c r="M35" s="31" t="str">
        <x:v>対照47場</x:v>
      </x:c>
      <x:c r="N35" s="30" t="n">
        <x:v>225</x:v>
      </x:c>
      <x:c r="O35" s="30" t="n">
        <x:v>14.433333333333334</x:v>
      </x:c>
      <x:c r="P35" s="26" t="n">
        <x:f>O35/IF(C35="デイ",420,780)</x:f>
        <x:v>0.03436507936507936</x:v>
      </x:c>
      <x:c r="Q35" s="27" t="n">
        <x:v>0.17182539682539683</x:v>
      </x:c>
    </x:row>
    <x:row r="36" ht="22" customHeight="1">
      <x:c r="A36" s="2" t="str">
        <x:v>B5</x:v>
      </x:c>
      <x:c r="B36" s="24" t="d">
        <x:v>2026-10-09T17:00:00.000Z</x:v>
      </x:c>
      <x:c r="C36" s="2" t="str">
        <x:v>ナイト</x:v>
      </x:c>
      <x:c r="D36" s="20" t="n">
        <x:v>19616</x:v>
      </x:c>
      <x:c r="E36" s="20" t="n">
        <x:v>0</x:v>
      </x:c>
      <x:c r="F36" s="20" t="n">
        <x:f>D36-E36</x:f>
        <x:v>19616</x:v>
      </x:c>
      <x:c r="G36" s="20" t="n">
        <x:f>SUMIFS($F$7:$F$56,$A$7:$A$56,A36,$B$7:$B$56,"&lt;="&amp;B36)</x:f>
        <x:v>1127420</x:v>
      </x:c>
      <x:c r="H36" s="20" t="n">
        <x:v>384</x:v>
      </x:c>
      <x:c r="I36" s="20" t="n">
        <x:v>20000</x:v>
      </x:c>
      <x:c r="J36" s="29" t="n">
        <x:v>1</x:v>
      </x:c>
      <x:c r="K36" s="29" t="n">
        <x:v>5</x:v>
      </x:c>
      <x:c r="L36" s="29" t="n">
        <x:v>5</x:v>
      </x:c>
      <x:c r="M36" s="31" t="str">
        <x:v>対照47場</x:v>
      </x:c>
      <x:c r="N36" s="30" t="n">
        <x:v>360.06666666666666</x:v>
      </x:c>
      <x:c r="O36" s="30" t="n">
        <x:v>11.916666666666666</x:v>
      </x:c>
      <x:c r="P36" s="26" t="n">
        <x:f>O36/IF(C36="デイ",420,780)</x:f>
        <x:v>0.015277777777777777</x:v>
      </x:c>
      <x:c r="Q36" s="27" t="n">
        <x:v>0.0763888888888889</x:v>
      </x:c>
    </x:row>
    <x:row r="37" ht="22" customHeight="1">
      <x:c r="A37" s="2" t="str">
        <x:v>B5</x:v>
      </x:c>
      <x:c r="B37" s="24" t="d">
        <x:v>2026-10-12T08:45:00.000Z</x:v>
      </x:c>
      <x:c r="C37" s="2" t="str">
        <x:v>デイ</x:v>
      </x:c>
      <x:c r="D37" s="20" t="n">
        <x:v>32616</x:v>
      </x:c>
      <x:c r="E37" s="20" t="n">
        <x:v>25384</x:v>
      </x:c>
      <x:c r="F37" s="20" t="n">
        <x:f>D37-E37</x:f>
        <x:v>7232</x:v>
      </x:c>
      <x:c r="G37" s="20" t="n">
        <x:f>SUMIFS($F$7:$F$56,$A$7:$A$56,A37,$B$7:$B$56,"&lt;="&amp;B37)</x:f>
        <x:v>1134652</x:v>
      </x:c>
      <x:c r="H37" s="20" t="n">
        <x:v>768</x:v>
      </x:c>
      <x:c r="I37" s="20" t="n">
        <x:v>8000</x:v>
      </x:c>
      <x:c r="J37" s="29" t="n">
        <x:v>2</x:v>
      </x:c>
      <x:c r="K37" s="29" t="n">
        <x:v>10</x:v>
      </x:c>
      <x:c r="L37" s="29" t="n">
        <x:v>5</x:v>
      </x:c>
      <x:c r="M37" s="31" t="str">
        <x:v>対照47場</x:v>
      </x:c>
      <x:c r="N37" s="30" t="n">
        <x:v>122.76666666666667</x:v>
      </x:c>
      <x:c r="O37" s="30" t="n">
        <x:v>265.15</x:v>
      </x:c>
      <x:c r="P37" s="26" t="n">
        <x:f>O37/IF(C37="デイ",420,780)</x:f>
        <x:v>0.6313095238095238</x:v>
      </x:c>
      <x:c r="Q37" s="27" t="n">
        <x:v>2.2824603174603175</x:v>
      </x:c>
    </x:row>
    <x:row r="38" ht="22" customHeight="1">
      <x:c r="A38" s="2" t="str">
        <x:v>B5</x:v>
      </x:c>
      <x:c r="B38" s="24" t="d">
        <x:v>2026-10-12T17:00:00.000Z</x:v>
      </x:c>
      <x:c r="C38" s="2" t="str">
        <x:v>ナイト</x:v>
      </x:c>
      <x:c r="D38" s="20" t="n">
        <x:v>94616</x:v>
      </x:c>
      <x:c r="E38" s="20" t="n">
        <x:v>0</x:v>
      </x:c>
      <x:c r="F38" s="20" t="n">
        <x:f>D38-E38</x:f>
        <x:v>94616</x:v>
      </x:c>
      <x:c r="G38" s="20" t="n">
        <x:f>SUMIFS($F$7:$F$56,$A$7:$A$56,A38,$B$7:$B$56,"&lt;="&amp;B38)</x:f>
        <x:v>1229268</x:v>
      </x:c>
      <x:c r="H38" s="20" t="n">
        <x:v>384</x:v>
      </x:c>
      <x:c r="I38" s="20" t="n">
        <x:v>95000</x:v>
      </x:c>
      <x:c r="J38" s="29" t="n">
        <x:v>1</x:v>
      </x:c>
      <x:c r="K38" s="29" t="n">
        <x:v>5</x:v>
      </x:c>
      <x:c r="L38" s="29" t="n">
        <x:v>5</x:v>
      </x:c>
      <x:c r="M38" s="31" t="str">
        <x:v>対照47場</x:v>
      </x:c>
      <x:c r="N38" s="30" t="n">
        <x:v>360.21666666666664</x:v>
      </x:c>
      <x:c r="O38" s="30" t="n">
        <x:v>10.65</x:v>
      </x:c>
      <x:c r="P38" s="26" t="n">
        <x:f>O38/IF(C38="デイ",420,780)</x:f>
        <x:v>0.013653846153846154</x:v>
      </x:c>
      <x:c r="Q38" s="27" t="n">
        <x:v>0.06826923076923076</x:v>
      </x:c>
    </x:row>
    <x:row r="39" ht="22" customHeight="1">
      <x:c r="A39" s="2" t="str">
        <x:v>B5</x:v>
      </x:c>
      <x:c r="B39" s="24" t="d">
        <x:v>2026-10-13T08:45:00.000Z</x:v>
      </x:c>
      <x:c r="C39" s="2" t="str">
        <x:v>デイ</x:v>
      </x:c>
      <x:c r="D39" s="20" t="n">
        <x:v>69232</x:v>
      </x:c>
      <x:c r="E39" s="20" t="n">
        <x:v>40384</x:v>
      </x:c>
      <x:c r="F39" s="20" t="n">
        <x:f>D39-E39</x:f>
        <x:v>28848</x:v>
      </x:c>
      <x:c r="G39" s="20" t="n">
        <x:f>SUMIFS($F$7:$F$56,$A$7:$A$56,A39,$B$7:$B$56,"&lt;="&amp;B39)</x:f>
        <x:v>1258116</x:v>
      </x:c>
      <x:c r="H39" s="20" t="n">
        <x:v>1152</x:v>
      </x:c>
      <x:c r="I39" s="20" t="n">
        <x:v>30000</x:v>
      </x:c>
      <x:c r="J39" s="29" t="n">
        <x:v>3</x:v>
      </x:c>
      <x:c r="K39" s="29" t="n">
        <x:v>15</x:v>
      </x:c>
      <x:c r="L39" s="29" t="n">
        <x:v>5</x:v>
      </x:c>
      <x:c r="M39" s="31" t="str">
        <x:v>対照47場</x:v>
      </x:c>
      <x:c r="N39" s="30" t="n">
        <x:v>65.25</x:v>
      </x:c>
      <x:c r="O39" s="30" t="n">
        <x:v>313.5833333333333</x:v>
      </x:c>
      <x:c r="P39" s="26" t="n">
        <x:f>O39/IF(C39="デイ",420,780)</x:f>
        <x:v>0.746626984126984</x:v>
      </x:c>
      <x:c r="Q39" s="27" t="n">
        <x:v>2.5867857142857145</x:v>
      </x:c>
    </x:row>
    <x:row r="40" ht="22" customHeight="1">
      <x:c r="A40" s="2" t="str">
        <x:v>B5</x:v>
      </x:c>
      <x:c r="B40" s="24" t="d">
        <x:v>2026-10-13T17:00:00.000Z</x:v>
      </x:c>
      <x:c r="C40" s="2" t="str">
        <x:v>ナイト</x:v>
      </x:c>
      <x:c r="D40" s="20" t="n">
        <x:v>0</x:v>
      </x:c>
      <x:c r="E40" s="20" t="n">
        <x:v>80768</x:v>
      </x:c>
      <x:c r="F40" s="20" t="n">
        <x:f>D40-E40</x:f>
        <x:v>-80768</x:v>
      </x:c>
      <x:c r="G40" s="20" t="n">
        <x:f>SUMIFS($F$7:$F$56,$A$7:$A$56,A40,$B$7:$B$56,"&lt;="&amp;B40)</x:f>
        <x:v>1177348</x:v>
      </x:c>
      <x:c r="H40" s="20" t="n">
        <x:v>768</x:v>
      </x:c>
      <x:c r="I40" s="20" t="n">
        <x:v>-80000</x:v>
      </x:c>
      <x:c r="J40" s="29" t="n">
        <x:v>2</x:v>
      </x:c>
      <x:c r="K40" s="29" t="n">
        <x:v>10</x:v>
      </x:c>
      <x:c r="L40" s="29" t="n">
        <x:v>5</x:v>
      </x:c>
      <x:c r="M40" s="31" t="str">
        <x:v>対照47場</x:v>
      </x:c>
      <x:c r="N40" s="30" t="n">
        <x:v>360.23333333333335</x:v>
      </x:c>
      <x:c r="O40" s="30" t="n">
        <x:v>7.716666666666667</x:v>
      </x:c>
      <x:c r="P40" s="26" t="n">
        <x:f>O40/IF(C40="デイ",420,780)</x:f>
        <x:v>0.009893162393162394</x:v>
      </x:c>
      <x:c r="Q40" s="27" t="n">
        <x:v>0.049465811965811964</x:v>
      </x:c>
    </x:row>
    <x:row r="41" ht="22" customHeight="1">
      <x:c r="A41" s="2" t="str">
        <x:v>B5</x:v>
      </x:c>
      <x:c r="B41" s="24" t="d">
        <x:v>2026-10-14T08:45:00.000Z</x:v>
      </x:c>
      <x:c r="C41" s="2" t="str">
        <x:v>デイ</x:v>
      </x:c>
      <x:c r="D41" s="20" t="n">
        <x:v>172232</x:v>
      </x:c>
      <x:c r="E41" s="20" t="n">
        <x:v>15384</x:v>
      </x:c>
      <x:c r="F41" s="20" t="n">
        <x:f>D41-E41</x:f>
        <x:v>156848</x:v>
      </x:c>
      <x:c r="G41" s="20" t="n">
        <x:f>SUMIFS($F$7:$F$56,$A$7:$A$56,A41,$B$7:$B$56,"&lt;="&amp;B41)</x:f>
        <x:v>1334196</x:v>
      </x:c>
      <x:c r="H41" s="20" t="n">
        <x:v>1152</x:v>
      </x:c>
      <x:c r="I41" s="20" t="n">
        <x:v>158000</x:v>
      </x:c>
      <x:c r="J41" s="29" t="n">
        <x:v>3</x:v>
      </x:c>
      <x:c r="K41" s="29" t="n">
        <x:v>15</x:v>
      </x:c>
      <x:c r="L41" s="29" t="n">
        <x:v>5</x:v>
      </x:c>
      <x:c r="M41" s="31" t="str">
        <x:v>対照47場</x:v>
      </x:c>
      <x:c r="N41" s="30" t="n">
        <x:v>225</x:v>
      </x:c>
      <x:c r="O41" s="30" t="n">
        <x:v>70.13333333333334</x:v>
      </x:c>
      <x:c r="P41" s="26" t="n">
        <x:f>O41/IF(C41="デイ",420,780)</x:f>
        <x:v>0.166984126984127</x:v>
      </x:c>
      <x:c r="Q41" s="27" t="n">
        <x:v>0.8085714285714286</x:v>
      </x:c>
    </x:row>
    <x:row r="42" ht="22" customHeight="1">
      <x:c r="A42" s="2" t="str">
        <x:v>B5</x:v>
      </x:c>
      <x:c r="B42" s="24" t="d">
        <x:v>2026-10-14T17:00:00.000Z</x:v>
      </x:c>
      <x:c r="C42" s="2" t="str">
        <x:v>ナイト</x:v>
      </x:c>
      <x:c r="D42" s="20" t="n">
        <x:v>214232</x:v>
      </x:c>
      <x:c r="E42" s="20" t="n">
        <x:v>46154</x:v>
      </x:c>
      <x:c r="F42" s="20" t="n">
        <x:f>D42-E42</x:f>
        <x:v>168078</x:v>
      </x:c>
      <x:c r="G42" s="20" t="n">
        <x:f>SUMIFS($F$7:$F$56,$A$7:$A$56,A42,$B$7:$B$56,"&lt;="&amp;B42)</x:f>
        <x:v>1502274</x:v>
      </x:c>
      <x:c r="H42" s="20" t="n">
        <x:v>922</x:v>
      </x:c>
      <x:c r="I42" s="20" t="n">
        <x:v>169000</x:v>
      </x:c>
      <x:c r="J42" s="29" t="n">
        <x:v>3</x:v>
      </x:c>
      <x:c r="K42" s="29" t="n">
        <x:v>12</x:v>
      </x:c>
      <x:c r="L42" s="29" t="n">
        <x:v>5</x:v>
      </x:c>
      <x:c r="M42" s="31" t="str">
        <x:v>対照47場</x:v>
      </x:c>
      <x:c r="N42" s="30" t="n">
        <x:v>360</x:v>
      </x:c>
      <x:c r="O42" s="30" t="n">
        <x:v>150.75</x:v>
      </x:c>
      <x:c r="P42" s="26" t="n">
        <x:f>O42/IF(C42="デイ",420,780)</x:f>
        <x:v>0.19326923076923078</x:v>
      </x:c>
      <x:c r="Q42" s="27" t="n">
        <x:v>0.8005769230769231</x:v>
      </x:c>
    </x:row>
    <x:row r="43" ht="22" customHeight="1">
      <x:c r="A43" s="2" t="str">
        <x:v>B5</x:v>
      </x:c>
      <x:c r="B43" s="24" t="d">
        <x:v>2026-10-15T08:45:00.000Z</x:v>
      </x:c>
      <x:c r="C43" s="2" t="str">
        <x:v>デイ</x:v>
      </x:c>
      <x:c r="D43" s="20" t="n">
        <x:v>393232</x:v>
      </x:c>
      <x:c r="E43" s="20" t="n">
        <x:v>0</x:v>
      </x:c>
      <x:c r="F43" s="20" t="n">
        <x:f>D43-E43</x:f>
        <x:v>393232</x:v>
      </x:c>
      <x:c r="G43" s="20" t="n">
        <x:f>SUMIFS($F$7:$F$56,$A$7:$A$56,A43,$B$7:$B$56,"&lt;="&amp;B43)</x:f>
        <x:v>1895506</x:v>
      </x:c>
      <x:c r="H43" s="20" t="n">
        <x:v>768</x:v>
      </x:c>
      <x:c r="I43" s="20" t="n">
        <x:v>394000</x:v>
      </x:c>
      <x:c r="J43" s="29" t="n">
        <x:v>2</x:v>
      </x:c>
      <x:c r="K43" s="29" t="n">
        <x:v>10</x:v>
      </x:c>
      <x:c r="L43" s="29" t="n">
        <x:v>5</x:v>
      </x:c>
      <x:c r="M43" s="31" t="str">
        <x:v>対照47場</x:v>
      </x:c>
      <x:c r="N43" s="30" t="n">
        <x:v>68.51666666666667</x:v>
      </x:c>
      <x:c r="O43" s="30" t="n">
        <x:v>165.43333333333334</x:v>
      </x:c>
      <x:c r="P43" s="26" t="n">
        <x:f>O43/IF(C43="デイ",420,780)</x:f>
        <x:v>0.3938888888888889</x:v>
      </x:c>
      <x:c r="Q43" s="27" t="n">
        <x:v>1.3744444444444444</x:v>
      </x:c>
    </x:row>
    <x:row r="44" ht="22" customHeight="1">
      <x:c r="A44" s="2" t="str">
        <x:v>B5</x:v>
      </x:c>
      <x:c r="B44" s="24" t="d">
        <x:v>2026-10-15T17:00:00.000Z</x:v>
      </x:c>
      <x:c r="C44" s="2" t="str">
        <x:v>ナイト</x:v>
      </x:c>
      <x:c r="D44" s="20" t="n">
        <x:v>0</x:v>
      </x:c>
      <x:c r="E44" s="20" t="n">
        <x:v>56154</x:v>
      </x:c>
      <x:c r="F44" s="20" t="n">
        <x:f>D44-E44</x:f>
        <x:v>-56154</x:v>
      </x:c>
      <x:c r="G44" s="20" t="n">
        <x:f>SUMIFS($F$7:$F$56,$A$7:$A$56,A44,$B$7:$B$56,"&lt;="&amp;B44)</x:f>
        <x:v>1839352</x:v>
      </x:c>
      <x:c r="H44" s="20" t="n">
        <x:v>154</x:v>
      </x:c>
      <x:c r="I44" s="20" t="n">
        <x:v>-56000</x:v>
      </x:c>
      <x:c r="J44" s="29" t="n">
        <x:v>1</x:v>
      </x:c>
      <x:c r="K44" s="29" t="n">
        <x:v>2</x:v>
      </x:c>
      <x:c r="L44" s="29" t="n">
        <x:v>2</x:v>
      </x:c>
      <x:c r="M44" s="31" t="str">
        <x:v>対照47場</x:v>
      </x:c>
      <x:c r="N44" s="30" t="n">
        <x:v>360</x:v>
      </x:c>
      <x:c r="O44" s="30" t="n">
        <x:v>4.133333333333334</x:v>
      </x:c>
      <x:c r="P44" s="26" t="n">
        <x:f>O44/IF(C44="デイ",420,780)</x:f>
        <x:v>0.0052991452991453</x:v>
      </x:c>
      <x:c r="Q44" s="27" t="n">
        <x:v>0.0105982905982906</x:v>
      </x:c>
    </x:row>
    <x:row r="45" ht="22" customHeight="1">
      <x:c r="A45" s="2" t="str">
        <x:v>B5</x:v>
      </x:c>
      <x:c r="B45" s="24" t="d">
        <x:v>2026-10-16T08:45:00.000Z</x:v>
      </x:c>
      <x:c r="C45" s="2" t="str">
        <x:v>デイ</x:v>
      </x:c>
      <x:c r="D45" s="20" t="n">
        <x:v>66232</x:v>
      </x:c>
      <x:c r="E45" s="20" t="n">
        <x:v>171536</x:v>
      </x:c>
      <x:c r="F45" s="20" t="n">
        <x:f>D45-E45</x:f>
        <x:v>-105304</x:v>
      </x:c>
      <x:c r="G45" s="20" t="n">
        <x:f>SUMIFS($F$7:$F$56,$A$7:$A$56,A45,$B$7:$B$56,"&lt;="&amp;B45)</x:f>
        <x:v>1734048</x:v>
      </x:c>
      <x:c r="H45" s="20" t="n">
        <x:v>2304</x:v>
      </x:c>
      <x:c r="I45" s="20" t="n">
        <x:v>-103000</x:v>
      </x:c>
      <x:c r="J45" s="29" t="n">
        <x:v>6</x:v>
      </x:c>
      <x:c r="K45" s="29" t="n">
        <x:v>30</x:v>
      </x:c>
      <x:c r="L45" s="29" t="n">
        <x:v>5</x:v>
      </x:c>
      <x:c r="M45" s="31" t="str">
        <x:v>対照47場</x:v>
      </x:c>
      <x:c r="N45" s="30" t="n">
        <x:v>66.9</x:v>
      </x:c>
      <x:c r="O45" s="30" t="n">
        <x:v>95.85</x:v>
      </x:c>
      <x:c r="P45" s="26" t="n">
        <x:f>O45/IF(C45="デイ",420,780)</x:f>
        <x:v>0.2282142857142857</x:v>
      </x:c>
      <x:c r="Q45" s="27" t="n">
        <x:v>1.034325396825397</x:v>
      </x:c>
    </x:row>
    <x:row r="46" ht="22" customHeight="1">
      <x:c r="A46" s="2" t="str">
        <x:v>B5</x:v>
      </x:c>
      <x:c r="B46" s="24" t="d">
        <x:v>2026-10-16T17:00:00.000Z</x:v>
      </x:c>
      <x:c r="C46" s="2" t="str">
        <x:v>ナイト</x:v>
      </x:c>
      <x:c r="D46" s="20" t="n">
        <x:v>78002</x:v>
      </x:c>
      <x:c r="E46" s="20" t="n">
        <x:v>0</x:v>
      </x:c>
      <x:c r="F46" s="20" t="n">
        <x:f>D46-E46</x:f>
        <x:v>78002</x:v>
      </x:c>
      <x:c r="G46" s="20" t="n">
        <x:f>SUMIFS($F$7:$F$56,$A$7:$A$56,A46,$B$7:$B$56,"&lt;="&amp;B46)</x:f>
        <x:v>1812050</x:v>
      </x:c>
      <x:c r="H46" s="20" t="n">
        <x:v>998</x:v>
      </x:c>
      <x:c r="I46" s="20" t="n">
        <x:v>79000</x:v>
      </x:c>
      <x:c r="J46" s="29" t="n">
        <x:v>3</x:v>
      </x:c>
      <x:c r="K46" s="29" t="n">
        <x:v>13</x:v>
      </x:c>
      <x:c r="L46" s="29" t="n">
        <x:v>5</x:v>
      </x:c>
      <x:c r="M46" s="31" t="str">
        <x:v>対照47場</x:v>
      </x:c>
      <x:c r="N46" s="30" t="n">
        <x:v>360</x:v>
      </x:c>
      <x:c r="O46" s="30" t="n">
        <x:v>25.933333333333334</x:v>
      </x:c>
      <x:c r="P46" s="26" t="n">
        <x:f>O46/IF(C46="デイ",420,780)</x:f>
        <x:v>0.033247863247863246</x:v>
      </x:c>
      <x:c r="Q46" s="27" t="n">
        <x:v>0.1321794871794872</x:v>
      </x:c>
    </x:row>
    <x:row r="47" ht="22" customHeight="1">
      <x:c r="A47" s="2" t="str">
        <x:v>B5</x:v>
      </x:c>
      <x:c r="B47" s="24" t="d">
        <x:v>2026-10-19T08:45:00.000Z</x:v>
      </x:c>
      <x:c r="C47" s="2" t="str">
        <x:v>デイ</x:v>
      </x:c>
      <x:c r="D47" s="20" t="n">
        <x:v>182616</x:v>
      </x:c>
      <x:c r="E47" s="20" t="n">
        <x:v>0</x:v>
      </x:c>
      <x:c r="F47" s="20" t="n">
        <x:f>D47-E47</x:f>
        <x:v>182616</x:v>
      </x:c>
      <x:c r="G47" s="20" t="n">
        <x:f>SUMIFS($F$7:$F$56,$A$7:$A$56,A47,$B$7:$B$56,"&lt;="&amp;B47)</x:f>
        <x:v>1994666</x:v>
      </x:c>
      <x:c r="H47" s="20" t="n">
        <x:v>384</x:v>
      </x:c>
      <x:c r="I47" s="20" t="n">
        <x:v>183000</x:v>
      </x:c>
      <x:c r="J47" s="29" t="n">
        <x:v>1</x:v>
      </x:c>
      <x:c r="K47" s="29" t="n">
        <x:v>5</x:v>
      </x:c>
      <x:c r="L47" s="29" t="n">
        <x:v>5</x:v>
      </x:c>
      <x:c r="M47" s="31" t="str">
        <x:v>対照47場</x:v>
      </x:c>
      <x:c r="N47" s="30" t="n">
        <x:v>85.6</x:v>
      </x:c>
      <x:c r="O47" s="30" t="n">
        <x:v>324.4</x:v>
      </x:c>
      <x:c r="P47" s="26" t="n">
        <x:f>O47/IF(C47="デイ",420,780)</x:f>
        <x:v>0.7723809523809523</x:v>
      </x:c>
      <x:c r="Q47" s="27" t="n">
        <x:v>3.2865079365079364</x:v>
      </x:c>
    </x:row>
    <x:row r="48" ht="22" customHeight="1">
      <x:c r="A48" s="2" t="str">
        <x:v>B5</x:v>
      </x:c>
      <x:c r="B48" s="24" t="d">
        <x:v>2026-10-19T17:00:00.000Z</x:v>
      </x:c>
      <x:c r="C48" s="2" t="str">
        <x:v>ナイト</x:v>
      </x:c>
      <x:c r="D48" s="20" t="n">
        <x:v>24616</x:v>
      </x:c>
      <x:c r="E48" s="20" t="n">
        <x:v>50384</x:v>
      </x:c>
      <x:c r="F48" s="20" t="n">
        <x:f>D48-E48</x:f>
        <x:v>-25768</x:v>
      </x:c>
      <x:c r="G48" s="20" t="n">
        <x:f>SUMIFS($F$7:$F$56,$A$7:$A$56,A48,$B$7:$B$56,"&lt;="&amp;B48)</x:f>
        <x:v>1968898</x:v>
      </x:c>
      <x:c r="H48" s="20" t="n">
        <x:v>768</x:v>
      </x:c>
      <x:c r="I48" s="20" t="n">
        <x:v>-25000</x:v>
      </x:c>
      <x:c r="J48" s="29" t="n">
        <x:v>2</x:v>
      </x:c>
      <x:c r="K48" s="29" t="n">
        <x:v>10</x:v>
      </x:c>
      <x:c r="L48" s="29" t="n">
        <x:v>5</x:v>
      </x:c>
      <x:c r="M48" s="31" t="str">
        <x:v>対照47場</x:v>
      </x:c>
      <x:c r="N48" s="30" t="n">
        <x:v>360</x:v>
      </x:c>
      <x:c r="O48" s="30" t="n">
        <x:v>16.7</x:v>
      </x:c>
      <x:c r="P48" s="26" t="n">
        <x:f>O48/IF(C48="デイ",420,780)</x:f>
        <x:v>0.021410256410256408</x:v>
      </x:c>
      <x:c r="Q48" s="27" t="n">
        <x:v>0.10705128205128205</x:v>
      </x:c>
    </x:row>
    <x:row r="49" ht="22" customHeight="1">
      <x:c r="A49" s="2" t="str">
        <x:v>B5</x:v>
      </x:c>
      <x:c r="B49" s="24" t="d">
        <x:v>2026-10-20T08:45:00.000Z</x:v>
      </x:c>
      <x:c r="C49" s="2" t="str">
        <x:v>デイ</x:v>
      </x:c>
      <x:c r="D49" s="20" t="n">
        <x:v>104848</x:v>
      </x:c>
      <x:c r="E49" s="20" t="n">
        <x:v>35384</x:v>
      </x:c>
      <x:c r="F49" s="20" t="n">
        <x:f>D49-E49</x:f>
        <x:v>69464</x:v>
      </x:c>
      <x:c r="G49" s="20" t="n">
        <x:f>SUMIFS($F$7:$F$56,$A$7:$A$56,A49,$B$7:$B$56,"&lt;="&amp;B49)</x:f>
        <x:v>2038362</x:v>
      </x:c>
      <x:c r="H49" s="20" t="n">
        <x:v>1536</x:v>
      </x:c>
      <x:c r="I49" s="20" t="n">
        <x:v>71000</x:v>
      </x:c>
      <x:c r="J49" s="29" t="n">
        <x:v>4</x:v>
      </x:c>
      <x:c r="K49" s="29" t="n">
        <x:v>20</x:v>
      </x:c>
      <x:c r="L49" s="29" t="n">
        <x:v>5</x:v>
      </x:c>
      <x:c r="M49" s="31" t="str">
        <x:v>対照47場</x:v>
      </x:c>
      <x:c r="N49" s="30" t="n">
        <x:v>82.2</x:v>
      </x:c>
      <x:c r="O49" s="30" t="n">
        <x:v>188.18333333333334</x:v>
      </x:c>
      <x:c r="P49" s="26" t="n">
        <x:f>O49/IF(C49="デイ",420,780)</x:f>
        <x:v>0.44805555555555554</x:v>
      </x:c>
      <x:c r="Q49" s="27" t="n">
        <x:v>1.8575</x:v>
      </x:c>
    </x:row>
    <x:row r="50" ht="22" customHeight="1">
      <x:c r="A50" s="2" t="str">
        <x:v>B5</x:v>
      </x:c>
      <x:c r="B50" s="24" t="d">
        <x:v>2026-10-20T17:00:00.000Z</x:v>
      </x:c>
      <x:c r="C50" s="2" t="str">
        <x:v>ナイト</x:v>
      </x:c>
      <x:c r="D50" s="20" t="n">
        <x:v>19846</x:v>
      </x:c>
      <x:c r="E50" s="20" t="n">
        <x:v>70384</x:v>
      </x:c>
      <x:c r="F50" s="20" t="n">
        <x:f>D50-E50</x:f>
        <x:v>-50538</x:v>
      </x:c>
      <x:c r="G50" s="20" t="n">
        <x:f>SUMIFS($F$7:$F$56,$A$7:$A$56,A50,$B$7:$B$56,"&lt;="&amp;B50)</x:f>
        <x:v>1987824</x:v>
      </x:c>
      <x:c r="H50" s="20" t="n">
        <x:v>538</x:v>
      </x:c>
      <x:c r="I50" s="20" t="n">
        <x:v>-50000</x:v>
      </x:c>
      <x:c r="J50" s="29" t="n">
        <x:v>2</x:v>
      </x:c>
      <x:c r="K50" s="29" t="n">
        <x:v>7</x:v>
      </x:c>
      <x:c r="L50" s="29" t="n">
        <x:v>5</x:v>
      </x:c>
      <x:c r="M50" s="31" t="str">
        <x:v>対照47場</x:v>
      </x:c>
      <x:c r="N50" s="30" t="n">
        <x:v>360.01666666666665</x:v>
      </x:c>
      <x:c r="O50" s="30" t="n">
        <x:v>37.266666666666666</x:v>
      </x:c>
      <x:c r="P50" s="26" t="n">
        <x:f>O50/IF(C50="デイ",420,780)</x:f>
        <x:v>0.04777777777777777</x:v>
      </x:c>
      <x:c r="Q50" s="27" t="n">
        <x:v>0.1901068376068376</x:v>
      </x:c>
    </x:row>
    <x:row r="51" ht="22" customHeight="1">
      <x:c r="A51" s="2" t="str">
        <x:v>B5</x:v>
      </x:c>
      <x:c r="B51" s="24" t="d">
        <x:v>2026-10-21T08:45:00.000Z</x:v>
      </x:c>
      <x:c r="C51" s="2" t="str">
        <x:v>デイ</x:v>
      </x:c>
      <x:c r="D51" s="20" t="n">
        <x:v>93616</x:v>
      </x:c>
      <x:c r="E51" s="20" t="n">
        <x:v>246920</x:v>
      </x:c>
      <x:c r="F51" s="20" t="n">
        <x:f>D51-E51</x:f>
        <x:v>-153304</x:v>
      </x:c>
      <x:c r="G51" s="20" t="n">
        <x:f>SUMIFS($F$7:$F$56,$A$7:$A$56,A51,$B$7:$B$56,"&lt;="&amp;B51)</x:f>
        <x:v>1834520</x:v>
      </x:c>
      <x:c r="H51" s="20" t="n">
        <x:v>2304</x:v>
      </x:c>
      <x:c r="I51" s="20" t="n">
        <x:v>-151000</x:v>
      </x:c>
      <x:c r="J51" s="29" t="n">
        <x:v>6</x:v>
      </x:c>
      <x:c r="K51" s="29" t="n">
        <x:v>30</x:v>
      </x:c>
      <x:c r="L51" s="29" t="n">
        <x:v>5</x:v>
      </x:c>
      <x:c r="M51" s="31" t="str">
        <x:v>対照47場</x:v>
      </x:c>
      <x:c r="N51" s="30" t="n">
        <x:v>94.45</x:v>
      </x:c>
      <x:c r="O51" s="30" t="n">
        <x:v>83.13333333333334</x:v>
      </x:c>
      <x:c r="P51" s="26" t="n">
        <x:f>O51/IF(C51="デイ",420,780)</x:f>
        <x:v>0.19793650793650797</x:v>
      </x:c>
      <x:c r="Q51" s="27" t="n">
        <x:v>0.9051587301587302</x:v>
      </x:c>
    </x:row>
    <x:row r="52" ht="22" customHeight="1">
      <x:c r="A52" s="2" t="str">
        <x:v>B5</x:v>
      </x:c>
      <x:c r="B52" s="24" t="d">
        <x:v>2026-10-21T17:00:00.000Z</x:v>
      </x:c>
      <x:c r="C52" s="2" t="str">
        <x:v>ナイト</x:v>
      </x:c>
      <x:c r="D52" s="20" t="n">
        <x:v>44616</x:v>
      </x:c>
      <x:c r="E52" s="20" t="n">
        <x:v>85768</x:v>
      </x:c>
      <x:c r="F52" s="20" t="n">
        <x:f>D52-E52</x:f>
        <x:v>-41152</x:v>
      </x:c>
      <x:c r="G52" s="20" t="n">
        <x:f>SUMIFS($F$7:$F$56,$A$7:$A$56,A52,$B$7:$B$56,"&lt;="&amp;B52)</x:f>
        <x:v>1793368</x:v>
      </x:c>
      <x:c r="H52" s="20" t="n">
        <x:v>1152</x:v>
      </x:c>
      <x:c r="I52" s="20" t="n">
        <x:v>-40000</x:v>
      </x:c>
      <x:c r="J52" s="29" t="n">
        <x:v>3</x:v>
      </x:c>
      <x:c r="K52" s="29" t="n">
        <x:v>15</x:v>
      </x:c>
      <x:c r="L52" s="29" t="n">
        <x:v>5</x:v>
      </x:c>
      <x:c r="M52" s="31" t="str">
        <x:v>対照47場</x:v>
      </x:c>
      <x:c r="N52" s="30" t="n">
        <x:v>360</x:v>
      </x:c>
      <x:c r="O52" s="30" t="n">
        <x:v>93.56666666666666</x:v>
      </x:c>
      <x:c r="P52" s="26" t="n">
        <x:f>O52/IF(C52="デイ",420,780)</x:f>
        <x:v>0.11995726495726496</x:v>
      </x:c>
      <x:c r="Q52" s="27" t="n">
        <x:v>0.5997863247863248</x:v>
      </x:c>
    </x:row>
    <x:row r="53" ht="22" customHeight="1">
      <x:c r="A53" s="2" t="str">
        <x:v>B5</x:v>
      </x:c>
      <x:c r="B53" s="24" t="d">
        <x:v>2026-10-22T08:45:00.000Z</x:v>
      </x:c>
      <x:c r="C53" s="2" t="str">
        <x:v>デイ</x:v>
      </x:c>
      <x:c r="D53" s="20" t="n">
        <x:v>323616</x:v>
      </x:c>
      <x:c r="E53" s="20" t="n">
        <x:v>0</x:v>
      </x:c>
      <x:c r="F53" s="20" t="n">
        <x:f>D53-E53</x:f>
        <x:v>323616</x:v>
      </x:c>
      <x:c r="G53" s="20" t="n">
        <x:f>SUMIFS($F$7:$F$56,$A$7:$A$56,A53,$B$7:$B$56,"&lt;="&amp;B53)</x:f>
        <x:v>2116984</x:v>
      </x:c>
      <x:c r="H53" s="20" t="n">
        <x:v>384</x:v>
      </x:c>
      <x:c r="I53" s="20" t="n">
        <x:v>324000</x:v>
      </x:c>
      <x:c r="J53" s="29" t="n">
        <x:v>1</x:v>
      </x:c>
      <x:c r="K53" s="29" t="n">
        <x:v>5</x:v>
      </x:c>
      <x:c r="L53" s="29" t="n">
        <x:v>5</x:v>
      </x:c>
      <x:c r="M53" s="31" t="str">
        <x:v>対照47場</x:v>
      </x:c>
      <x:c r="N53" s="30" t="n">
        <x:v>79.91666666666667</x:v>
      </x:c>
      <x:c r="O53" s="30" t="n">
        <x:v>234.56666666666666</x:v>
      </x:c>
      <x:c r="P53" s="26" t="n">
        <x:f>O53/IF(C53="デイ",420,780)</x:f>
        <x:v>0.5584920634920635</x:v>
      </x:c>
      <x:c r="Q53" s="27" t="n">
        <x:v>2.0438095238095237</x:v>
      </x:c>
    </x:row>
    <x:row r="54" ht="22" customHeight="1">
      <x:c r="A54" s="2" t="str">
        <x:v>B5</x:v>
      </x:c>
      <x:c r="B54" s="24" t="d">
        <x:v>2026-10-22T17:00:00.000Z</x:v>
      </x:c>
      <x:c r="C54" s="2" t="str">
        <x:v>ナイト</x:v>
      </x:c>
      <x:c r="D54" s="20" t="n">
        <x:v>104616</x:v>
      </x:c>
      <x:c r="E54" s="20" t="n">
        <x:v>55384</x:v>
      </x:c>
      <x:c r="F54" s="20" t="n">
        <x:f>D54-E54</x:f>
        <x:v>49232</x:v>
      </x:c>
      <x:c r="G54" s="20" t="n">
        <x:f>SUMIFS($F$7:$F$56,$A$7:$A$56,A54,$B$7:$B$56,"&lt;="&amp;B54)</x:f>
        <x:v>2166216</x:v>
      </x:c>
      <x:c r="H54" s="20" t="n">
        <x:v>768</x:v>
      </x:c>
      <x:c r="I54" s="20" t="n">
        <x:v>50000</x:v>
      </x:c>
      <x:c r="J54" s="29" t="n">
        <x:v>2</x:v>
      </x:c>
      <x:c r="K54" s="29" t="n">
        <x:v>10</x:v>
      </x:c>
      <x:c r="L54" s="29" t="n">
        <x:v>5</x:v>
      </x:c>
      <x:c r="M54" s="31" t="str">
        <x:v>診断3場</x:v>
      </x:c>
      <x:c r="N54" s="30" t="n">
        <x:v>360.06666666666666</x:v>
      </x:c>
      <x:c r="O54" s="30" t="n">
        <x:v>22.083333333333332</x:v>
      </x:c>
      <x:c r="P54" s="26" t="n">
        <x:f>O54/IF(C54="デイ",420,780)</x:f>
        <x:v>0.028311965811965812</x:v>
      </x:c>
      <x:c r="Q54" s="27" t="n">
        <x:v>0.14155982905982906</x:v>
      </x:c>
    </x:row>
    <x:row r="55" ht="22" customHeight="1">
      <x:c r="A55" s="2" t="str">
        <x:v>B5</x:v>
      </x:c>
      <x:c r="B55" s="24" t="d">
        <x:v>2026-10-23T08:45:00.000Z</x:v>
      </x:c>
      <x:c r="C55" s="2" t="str">
        <x:v>デイ</x:v>
      </x:c>
      <x:c r="D55" s="20" t="n">
        <x:v>0</x:v>
      </x:c>
      <x:c r="E55" s="20" t="n">
        <x:v>45384</x:v>
      </x:c>
      <x:c r="F55" s="20" t="n">
        <x:f>D55-E55</x:f>
        <x:v>-45384</x:v>
      </x:c>
      <x:c r="G55" s="20" t="n">
        <x:f>SUMIFS($F$7:$F$56,$A$7:$A$56,A55,$B$7:$B$56,"&lt;="&amp;B55)</x:f>
        <x:v>2120832</x:v>
      </x:c>
      <x:c r="H55" s="20" t="n">
        <x:v>384</x:v>
      </x:c>
      <x:c r="I55" s="20" t="n">
        <x:v>-45000</x:v>
      </x:c>
      <x:c r="J55" s="29" t="n">
        <x:v>1</x:v>
      </x:c>
      <x:c r="K55" s="29" t="n">
        <x:v>5</x:v>
      </x:c>
      <x:c r="L55" s="29" t="n">
        <x:v>5</x:v>
      </x:c>
      <x:c r="M55" s="31" t="str">
        <x:v>診断3場</x:v>
      </x:c>
      <x:c r="N55" s="30" t="n">
        <x:v>138.36666666666667</x:v>
      </x:c>
      <x:c r="O55" s="30" t="n">
        <x:v>4.233333333333333</x:v>
      </x:c>
      <x:c r="P55" s="26" t="n">
        <x:f>O55/IF(C55="デイ",420,780)</x:f>
        <x:v>0.01007936507936508</x:v>
      </x:c>
      <x:c r="Q55" s="27" t="n">
        <x:v>0.0503968253968254</x:v>
      </x:c>
    </x:row>
    <x:row r="56" ht="22" customHeight="1">
      <x:c r="A56" s="2" t="str">
        <x:v>B5</x:v>
      </x:c>
      <x:c r="B56" s="24" t="d">
        <x:v>2026-10-23T17:00:00.000Z</x:v>
      </x:c>
      <x:c r="C56" s="2" t="str">
        <x:v>ナイト</x:v>
      </x:c>
      <x:c r="D56" s="20" t="n">
        <x:v>0</x:v>
      </x:c>
      <x:c r="E56" s="20" t="n">
        <x:v>55384</x:v>
      </x:c>
      <x:c r="F56" s="20" t="n">
        <x:f>D56-E56</x:f>
        <x:v>-55384</x:v>
      </x:c>
      <x:c r="G56" s="20" t="n">
        <x:f>SUMIFS($F$7:$F$56,$A$7:$A$56,A56,$B$7:$B$56,"&lt;="&amp;B56)</x:f>
        <x:v>2065448</x:v>
      </x:c>
      <x:c r="H56" s="20" t="n">
        <x:v>384</x:v>
      </x:c>
      <x:c r="I56" s="20" t="n">
        <x:v>-55000</x:v>
      </x:c>
      <x:c r="J56" s="29" t="n">
        <x:v>1</x:v>
      </x:c>
      <x:c r="K56" s="29" t="n">
        <x:v>5</x:v>
      </x:c>
      <x:c r="L56" s="29" t="n">
        <x:v>5</x:v>
      </x:c>
      <x:c r="M56" s="31" t="str">
        <x:v>診断3場</x:v>
      </x:c>
      <x:c r="N56" s="30" t="n">
        <x:v>360.03333333333336</x:v>
      </x:c>
      <x:c r="O56" s="30" t="n">
        <x:v>1.5666666666666667</x:v>
      </x:c>
      <x:c r="P56" s="26" t="n">
        <x:f>O56/IF(C56="デイ",420,780)</x:f>
        <x:v>0.0020085470085470084</x:v>
      </x:c>
      <x:c r="Q56" s="27" t="n">
        <x:v>0.010042735042735043</x:v>
      </x:c>
    </x:row>
  </x:sheetData>
  <x:conditionalFormatting sqref="D7:I56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8100fd27df4c88"/>
  </x:tableParts>
</x:worksheet>
</file>

<file path=xl/worksheets/sheet5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日経mini M1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片方向上限10枚。金額は円・手数料後。保有率は昼420分・夜780分が分母。平均保有枚数も公式時間全体で平均し、両建ては合計枚数で数えます。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昼：M1（G02）／夜：M1（G10）。対照47場：9/21～10/22デイ。診断3場：10/22ナイト～10/23ナイト。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00141の昼夜別固定案。出典：00142保存会計。診断3場は原因分析と改善に使用した期間です。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7" t="str">
        <x:v>保有（分）</x:v>
      </x:c>
      <x:c r="P6" s="17" t="str">
        <x:v>保有率</x:v>
      </x:c>
      <x:c r="Q6" s="18" t="str">
        <x:v>平均保有枚数</x:v>
      </x:c>
    </x:row>
    <x:row r="7" ht="22" customHeight="1">
      <x:c r="A7" s="2" t="str">
        <x:v>M1</x:v>
      </x:c>
      <x:c r="B7" s="24" t="d">
        <x:v>2026-09-21T08:45:00.000Z</x:v>
      </x:c>
      <x:c r="C7" s="2" t="str">
        <x:v>デイ</x:v>
      </x:c>
      <x:c r="D7" s="20" t="n">
        <x:v>85616</x:v>
      </x:c>
      <x:c r="E7" s="20" t="n">
        <x:v>0</x:v>
      </x:c>
      <x:c r="F7" s="20" t="n">
        <x:f>D7-E7</x:f>
        <x:v>85616</x:v>
      </x:c>
      <x:c r="G7" s="20" t="n">
        <x:f>SUMIFS($F$7:$F$56,$A$7:$A$56,A7,$B$7:$B$56,"&lt;="&amp;B7)</x:f>
        <x:v>85616</x:v>
      </x:c>
      <x:c r="H7" s="20" t="n">
        <x:v>384</x:v>
      </x:c>
      <x:c r="I7" s="20" t="n">
        <x:v>86000</x:v>
      </x:c>
      <x:c r="J7" s="29" t="n">
        <x:v>1</x:v>
      </x:c>
      <x:c r="K7" s="29" t="n">
        <x:v>5</x:v>
      </x:c>
      <x:c r="L7" s="29" t="n">
        <x:v>5</x:v>
      </x:c>
      <x:c r="M7" s="31" t="str">
        <x:v>対照47場</x:v>
      </x:c>
      <x:c r="N7" s="30" t="n">
        <x:v>190.06666666666666</x:v>
      </x:c>
      <x:c r="O7" s="30" t="n">
        <x:v>167.2</x:v>
      </x:c>
      <x:c r="P7" s="26" t="n">
        <x:f>O7/IF(C7="デイ",420,780)</x:f>
        <x:v>0.39809523809523806</x:v>
      </x:c>
      <x:c r="Q7" s="27" t="n">
        <x:v>1.4817460317460318</x:v>
      </x:c>
    </x:row>
    <x:row r="8" ht="22" customHeight="1">
      <x:c r="A8" s="2" t="str">
        <x:v>M1</x:v>
      </x:c>
      <x:c r="B8" s="24" t="d">
        <x:v>2026-09-21T17:00:00.000Z</x:v>
      </x:c>
      <x:c r="C8" s="2" t="str">
        <x:v>ナイト</x:v>
      </x:c>
      <x:c r="D8" s="20" t="n">
        <x:v>0</x:v>
      </x:c>
      <x:c r="E8" s="20" t="n">
        <x:v>45384</x:v>
      </x:c>
      <x:c r="F8" s="20" t="n">
        <x:f>D8-E8</x:f>
        <x:v>-45384</x:v>
      </x:c>
      <x:c r="G8" s="20" t="n">
        <x:f>SUMIFS($F$7:$F$56,$A$7:$A$56,A8,$B$7:$B$56,"&lt;="&amp;B8)</x:f>
        <x:v>40232</x:v>
      </x:c>
      <x:c r="H8" s="20" t="n">
        <x:v>384</x:v>
      </x:c>
      <x:c r="I8" s="20" t="n">
        <x:v>-45000</x:v>
      </x:c>
      <x:c r="J8" s="29" t="n">
        <x:v>1</x:v>
      </x:c>
      <x:c r="K8" s="29" t="n">
        <x:v>5</x:v>
      </x:c>
      <x:c r="L8" s="29" t="n">
        <x:v>5</x:v>
      </x:c>
      <x:c r="M8" s="31" t="str">
        <x:v>対照47場</x:v>
      </x:c>
      <x:c r="N8" s="30" t="n">
        <x:v>360.01666666666665</x:v>
      </x:c>
      <x:c r="O8" s="30" t="n">
        <x:v>5.666666666666667</x:v>
      </x:c>
      <x:c r="P8" s="26" t="n">
        <x:f>O8/IF(C8="デイ",420,780)</x:f>
        <x:v>0.007264957264957265</x:v>
      </x:c>
      <x:c r="Q8" s="27" t="n">
        <x:v>0.03632478632478633</x:v>
      </x:c>
    </x:row>
    <x:row r="9" ht="22" customHeight="1">
      <x:c r="A9" s="2" t="str">
        <x:v>M1</x:v>
      </x:c>
      <x:c r="B9" s="24" t="d">
        <x:v>2026-09-22T08:45:00.000Z</x:v>
      </x:c>
      <x:c r="C9" s="2" t="str">
        <x:v>デイ</x:v>
      </x:c>
      <x:c r="D9" s="20" t="n">
        <x:v>0</x:v>
      </x:c>
      <x:c r="E9" s="20" t="n">
        <x:v>106152</x:v>
      </x:c>
      <x:c r="F9" s="20" t="n">
        <x:f>D9-E9</x:f>
        <x:v>-106152</x:v>
      </x:c>
      <x:c r="G9" s="20" t="n">
        <x:f>SUMIFS($F$7:$F$56,$A$7:$A$56,A9,$B$7:$B$56,"&lt;="&amp;B9)</x:f>
        <x:v>-65920</x:v>
      </x:c>
      <x:c r="H9" s="20" t="n">
        <x:v>1152</x:v>
      </x:c>
      <x:c r="I9" s="20" t="n">
        <x:v>-105000</x:v>
      </x:c>
      <x:c r="J9" s="29" t="n">
        <x:v>3</x:v>
      </x:c>
      <x:c r="K9" s="29" t="n">
        <x:v>15</x:v>
      </x:c>
      <x:c r="L9" s="29" t="n">
        <x:v>5</x:v>
      </x:c>
      <x:c r="M9" s="31" t="str">
        <x:v>対照47場</x:v>
      </x:c>
      <x:c r="N9" s="30" t="n">
        <x:v>242.78333333333333</x:v>
      </x:c>
      <x:c r="O9" s="30" t="n">
        <x:v>28.166666666666668</x:v>
      </x:c>
      <x:c r="P9" s="26" t="n">
        <x:f>O9/IF(C9="デイ",420,780)</x:f>
        <x:v>0.06706349206349206</x:v>
      </x:c>
      <x:c r="Q9" s="27" t="n">
        <x:v>0.3353174603174603</x:v>
      </x:c>
    </x:row>
    <x:row r="10" ht="22" customHeight="1">
      <x:c r="A10" s="2" t="str">
        <x:v>M1</x:v>
      </x:c>
      <x:c r="B10" s="24" t="d">
        <x:v>2026-09-22T17:00:00.000Z</x:v>
      </x:c>
      <x:c r="C10" s="2" t="str">
        <x:v>ナイト</x:v>
      </x:c>
      <x:c r="D10" s="20" t="n">
        <x:v>39616</x:v>
      </x:c>
      <x:c r="E10" s="20" t="n">
        <x:v>0</x:v>
      </x:c>
      <x:c r="F10" s="20" t="n">
        <x:f>D10-E10</x:f>
        <x:v>39616</x:v>
      </x:c>
      <x:c r="G10" s="20" t="n">
        <x:f>SUMIFS($F$7:$F$56,$A$7:$A$56,A10,$B$7:$B$56,"&lt;="&amp;B10)</x:f>
        <x:v>-26304</x:v>
      </x:c>
      <x:c r="H10" s="20" t="n">
        <x:v>384</x:v>
      </x:c>
      <x:c r="I10" s="20" t="n">
        <x:v>40000</x:v>
      </x:c>
      <x:c r="J10" s="29" t="n">
        <x:v>1</x:v>
      </x:c>
      <x:c r="K10" s="29" t="n">
        <x:v>5</x:v>
      </x:c>
      <x:c r="L10" s="29" t="n">
        <x:v>5</x:v>
      </x:c>
      <x:c r="M10" s="31" t="str">
        <x:v>対照47場</x:v>
      </x:c>
      <x:c r="N10" s="30" t="n">
        <x:v>360.1</x:v>
      </x:c>
      <x:c r="O10" s="30" t="n">
        <x:v>13.583333333333334</x:v>
      </x:c>
      <x:c r="P10" s="26" t="n">
        <x:f>O10/IF(C10="デイ",420,780)</x:f>
        <x:v>0.017414529914529915</x:v>
      </x:c>
      <x:c r="Q10" s="27" t="n">
        <x:v>0.08707264957264957</x:v>
      </x:c>
    </x:row>
    <x:row r="11" ht="22" customHeight="1">
      <x:c r="A11" s="2" t="str">
        <x:v>M1</x:v>
      </x:c>
      <x:c r="B11" s="24" t="d">
        <x:v>2026-09-23T08:45:00.000Z</x:v>
      </x:c>
      <x:c r="C11" s="2" t="str">
        <x:v>デイ</x:v>
      </x:c>
      <x:c r="D11" s="20" t="n">
        <x:v>0</x:v>
      </x:c>
      <x:c r="E11" s="20" t="n">
        <x:v>4384</x:v>
      </x:c>
      <x:c r="F11" s="20" t="n">
        <x:f>D11-E11</x:f>
        <x:v>-4384</x:v>
      </x:c>
      <x:c r="G11" s="20" t="n">
        <x:f>SUMIFS($F$7:$F$56,$A$7:$A$56,A11,$B$7:$B$56,"&lt;="&amp;B11)</x:f>
        <x:v>-30688</x:v>
      </x:c>
      <x:c r="H11" s="20" t="n">
        <x:v>384</x:v>
      </x:c>
      <x:c r="I11" s="20" t="n">
        <x:v>-4000</x:v>
      </x:c>
      <x:c r="J11" s="29" t="n">
        <x:v>1</x:v>
      </x:c>
      <x:c r="K11" s="29" t="n">
        <x:v>5</x:v>
      </x:c>
      <x:c r="L11" s="29" t="n">
        <x:v>5</x:v>
      </x:c>
      <x:c r="M11" s="31" t="str">
        <x:v>対照47場</x:v>
      </x:c>
      <x:c r="N11" s="30" t="n">
        <x:v>68.15</x:v>
      </x:c>
      <x:c r="O11" s="30" t="n">
        <x:v>313.75</x:v>
      </x:c>
      <x:c r="P11" s="26" t="n">
        <x:f>O11/IF(C11="デイ",420,780)</x:f>
        <x:v>0.7470238095238095</x:v>
      </x:c>
      <x:c r="Q11" s="27" t="n">
        <x:v>2.6480555555555556</x:v>
      </x:c>
    </x:row>
    <x:row r="12" ht="22" customHeight="1">
      <x:c r="A12" s="2" t="str">
        <x:v>M1</x:v>
      </x:c>
      <x:c r="B12" s="24" t="d">
        <x:v>2026-09-23T17:00:00.000Z</x:v>
      </x:c>
      <x:c r="C12" s="2" t="str">
        <x:v>ナイト</x:v>
      </x:c>
      <x:c r="D12" s="20" t="n">
        <x:v>0</x:v>
      </x:c>
      <x:c r="E12" s="20" t="n">
        <x:v>40384</x:v>
      </x:c>
      <x:c r="F12" s="20" t="n">
        <x:f>D12-E12</x:f>
        <x:v>-40384</x:v>
      </x:c>
      <x:c r="G12" s="20" t="n">
        <x:f>SUMIFS($F$7:$F$56,$A$7:$A$56,A12,$B$7:$B$56,"&lt;="&amp;B12)</x:f>
        <x:v>-71072</x:v>
      </x:c>
      <x:c r="H12" s="20" t="n">
        <x:v>384</x:v>
      </x:c>
      <x:c r="I12" s="20" t="n">
        <x:v>-40000</x:v>
      </x:c>
      <x:c r="J12" s="29" t="n">
        <x:v>1</x:v>
      </x:c>
      <x:c r="K12" s="29" t="n">
        <x:v>5</x:v>
      </x:c>
      <x:c r="L12" s="29" t="n">
        <x:v>5</x:v>
      </x:c>
      <x:c r="M12" s="31" t="str">
        <x:v>対照47場</x:v>
      </x:c>
      <x:c r="N12" s="30" t="n">
        <x:v>358.03333333333336</x:v>
      </x:c>
      <x:c r="O12" s="30" t="n">
        <x:v>2.15</x:v>
      </x:c>
      <x:c r="P12" s="26" t="n">
        <x:f>O12/IF(C12="デイ",420,780)</x:f>
        <x:v>0.0027564102564102562</x:v>
      </x:c>
      <x:c r="Q12" s="27" t="n">
        <x:v>0.013782051282051282</x:v>
      </x:c>
    </x:row>
    <x:row r="13" ht="22" customHeight="1">
      <x:c r="A13" s="2" t="str">
        <x:v>M1</x:v>
      </x:c>
      <x:c r="B13" s="24" t="d">
        <x:v>2026-09-24T08:45:00.000Z</x:v>
      </x:c>
      <x:c r="C13" s="2" t="str">
        <x:v>デイ</x:v>
      </x:c>
      <x:c r="D13" s="20" t="n">
        <x:v>82234</x:v>
      </x:c>
      <x:c r="E13" s="20" t="n">
        <x:v>85768</x:v>
      </x:c>
      <x:c r="F13" s="20" t="n">
        <x:f>D13-E13</x:f>
        <x:v>-3534</x:v>
      </x:c>
      <x:c r="G13" s="20" t="n">
        <x:f>SUMIFS($F$7:$F$56,$A$7:$A$56,A13,$B$7:$B$56,"&lt;="&amp;B13)</x:f>
        <x:v>-74606</x:v>
      </x:c>
      <x:c r="H13" s="20" t="n">
        <x:v>1534</x:v>
      </x:c>
      <x:c r="I13" s="20" t="n">
        <x:v>-2000</x:v>
      </x:c>
      <x:c r="J13" s="29" t="n">
        <x:v>7</x:v>
      </x:c>
      <x:c r="K13" s="29" t="n">
        <x:v>20</x:v>
      </x:c>
      <x:c r="L13" s="29" t="n">
        <x:v>7</x:v>
      </x:c>
      <x:c r="M13" s="31" t="str">
        <x:v>対照47場</x:v>
      </x:c>
      <x:c r="N13" s="30" t="n">
        <x:v>58.1</x:v>
      </x:c>
      <x:c r="O13" s="30" t="n">
        <x:v>303.46666666666664</x:v>
      </x:c>
      <x:c r="P13" s="26" t="n">
        <x:f>O13/IF(C13="デイ",420,780)</x:f>
        <x:v>0.7225396825396825</x:v>
      </x:c>
      <x:c r="Q13" s="27" t="n">
        <x:v>2.440873015873016</x:v>
      </x:c>
    </x:row>
    <x:row r="14" ht="22" customHeight="1">
      <x:c r="A14" s="2" t="str">
        <x:v>M1</x:v>
      </x:c>
      <x:c r="B14" s="24" t="d">
        <x:v>2026-09-24T17:00:00.000Z</x:v>
      </x:c>
      <x:c r="C14" s="2" t="str">
        <x:v>ナイト</x:v>
      </x:c>
      <x:c r="D14" s="20" t="n">
        <x:v>44616</x:v>
      </x:c>
      <x:c r="E14" s="20" t="n">
        <x:v>40384</x:v>
      </x:c>
      <x:c r="F14" s="20" t="n">
        <x:f>D14-E14</x:f>
        <x:v>4232</x:v>
      </x:c>
      <x:c r="G14" s="20" t="n">
        <x:f>SUMIFS($F$7:$F$56,$A$7:$A$56,A14,$B$7:$B$56,"&lt;="&amp;B14)</x:f>
        <x:v>-70374</x:v>
      </x:c>
      <x:c r="H14" s="20" t="n">
        <x:v>768</x:v>
      </x:c>
      <x:c r="I14" s="20" t="n">
        <x:v>5000</x:v>
      </x:c>
      <x:c r="J14" s="29" t="n">
        <x:v>2</x:v>
      </x:c>
      <x:c r="K14" s="29" t="n">
        <x:v>10</x:v>
      </x:c>
      <x:c r="L14" s="29" t="n">
        <x:v>5</x:v>
      </x:c>
      <x:c r="M14" s="31" t="str">
        <x:v>対照47場</x:v>
      </x:c>
      <x:c r="N14" s="30" t="n">
        <x:v>360.3333333333333</x:v>
      </x:c>
      <x:c r="O14" s="30" t="n">
        <x:v>13.133333333333333</x:v>
      </x:c>
      <x:c r="P14" s="26" t="n">
        <x:f>O14/IF(C14="デイ",420,780)</x:f>
        <x:v>0.016837606837606836</x:v>
      </x:c>
      <x:c r="Q14" s="27" t="n">
        <x:v>0.0841880341880342</x:v>
      </x:c>
    </x:row>
    <x:row r="15" ht="22" customHeight="1">
      <x:c r="A15" s="2" t="str">
        <x:v>M1</x:v>
      </x:c>
      <x:c r="B15" s="24" t="d">
        <x:v>2026-09-25T08:45:00.000Z</x:v>
      </x:c>
      <x:c r="C15" s="2" t="str">
        <x:v>デイ</x:v>
      </x:c>
      <x:c r="D15" s="20" t="n">
        <x:v>149310</x:v>
      </x:c>
      <x:c r="E15" s="20" t="n">
        <x:v>46308</x:v>
      </x:c>
      <x:c r="F15" s="20" t="n">
        <x:f>D15-E15</x:f>
        <x:v>103002</x:v>
      </x:c>
      <x:c r="G15" s="20" t="n">
        <x:f>SUMIFS($F$7:$F$56,$A$7:$A$56,A15,$B$7:$B$56,"&lt;="&amp;B15)</x:f>
        <x:v>32628</x:v>
      </x:c>
      <x:c r="H15" s="20" t="n">
        <x:v>998</x:v>
      </x:c>
      <x:c r="I15" s="20" t="n">
        <x:v>104000</x:v>
      </x:c>
      <x:c r="J15" s="29" t="n">
        <x:v>6</x:v>
      </x:c>
      <x:c r="K15" s="29" t="n">
        <x:v>13</x:v>
      </x:c>
      <x:c r="L15" s="29" t="n">
        <x:v>5</x:v>
      </x:c>
      <x:c r="M15" s="31" t="str">
        <x:v>対照47場</x:v>
      </x:c>
      <x:c r="N15" s="30" t="n">
        <x:v>62.81666666666667</x:v>
      </x:c>
      <x:c r="O15" s="30" t="n">
        <x:v>343.81666666666666</x:v>
      </x:c>
      <x:c r="P15" s="26" t="n">
        <x:f>O15/IF(C15="デイ",420,780)</x:f>
        <x:v>0.8186111111111111</x:v>
      </x:c>
      <x:c r="Q15" s="27" t="n">
        <x:v>3.195436507936508</x:v>
      </x:c>
    </x:row>
    <x:row r="16" ht="22" customHeight="1">
      <x:c r="A16" s="2" t="str">
        <x:v>M1</x:v>
      </x:c>
      <x:c r="B16" s="24" t="d">
        <x:v>2026-09-25T17:00:00.000Z</x:v>
      </x:c>
      <x:c r="C16" s="2" t="str">
        <x:v>ナイト</x:v>
      </x:c>
      <x:c r="D16" s="20" t="n">
        <x:v>14616</x:v>
      </x:c>
      <x:c r="E16" s="20" t="n">
        <x:v>0</x:v>
      </x:c>
      <x:c r="F16" s="20" t="n">
        <x:f>D16-E16</x:f>
        <x:v>14616</x:v>
      </x:c>
      <x:c r="G16" s="20" t="n">
        <x:f>SUMIFS($F$7:$F$56,$A$7:$A$56,A16,$B$7:$B$56,"&lt;="&amp;B16)</x:f>
        <x:v>47244</x:v>
      </x:c>
      <x:c r="H16" s="20" t="n">
        <x:v>384</x:v>
      </x:c>
      <x:c r="I16" s="20" t="n">
        <x:v>15000</x:v>
      </x:c>
      <x:c r="J16" s="29" t="n">
        <x:v>1</x:v>
      </x:c>
      <x:c r="K16" s="29" t="n">
        <x:v>5</x:v>
      </x:c>
      <x:c r="L16" s="29" t="n">
        <x:v>5</x:v>
      </x:c>
      <x:c r="M16" s="31" t="str">
        <x:v>対照47場</x:v>
      </x:c>
      <x:c r="N16" s="30" t="n">
        <x:v>360</x:v>
      </x:c>
      <x:c r="O16" s="30" t="n">
        <x:v>2.433333333333333</x:v>
      </x:c>
      <x:c r="P16" s="26" t="n">
        <x:f>O16/IF(C16="デイ",420,780)</x:f>
        <x:v>0.0031196581196581193</x:v>
      </x:c>
      <x:c r="Q16" s="27" t="n">
        <x:v>0.015598290598290598</x:v>
      </x:c>
    </x:row>
    <x:row r="17" ht="22" customHeight="1">
      <x:c r="A17" s="2" t="str">
        <x:v>M1</x:v>
      </x:c>
      <x:c r="B17" s="24" t="d">
        <x:v>2026-09-28T08:45:00.000Z</x:v>
      </x:c>
      <x:c r="C17" s="2" t="str">
        <x:v>デイ</x:v>
      </x:c>
      <x:c r="D17" s="20" t="n">
        <x:v>261616</x:v>
      </x:c>
      <x:c r="E17" s="20" t="n">
        <x:v>152000</x:v>
      </x:c>
      <x:c r="F17" s="20" t="n">
        <x:f>D17-E17</x:f>
        <x:v>109616</x:v>
      </x:c>
      <x:c r="G17" s="20" t="n">
        <x:f>SUMIFS($F$7:$F$56,$A$7:$A$56,A17,$B$7:$B$56,"&lt;="&amp;B17)</x:f>
        <x:v>156860</x:v>
      </x:c>
      <x:c r="H17" s="20" t="n">
        <x:v>1384</x:v>
      </x:c>
      <x:c r="I17" s="20" t="n">
        <x:v>111000</x:v>
      </x:c>
      <x:c r="J17" s="29" t="n">
        <x:v>6</x:v>
      </x:c>
      <x:c r="K17" s="29" t="n">
        <x:v>18</x:v>
      </x:c>
      <x:c r="L17" s="29" t="n">
        <x:v>5</x:v>
      </x:c>
      <x:c r="M17" s="31" t="str">
        <x:v>対照47場</x:v>
      </x:c>
      <x:c r="N17" s="30" t="n">
        <x:v>66.3</x:v>
      </x:c>
      <x:c r="O17" s="30" t="n">
        <x:v>331.28333333333336</x:v>
      </x:c>
      <x:c r="P17" s="26" t="n">
        <x:f>O17/IF(C17="デイ",420,780)</x:f>
        <x:v>0.7887698412698413</x:v>
      </x:c>
      <x:c r="Q17" s="27" t="n">
        <x:v>3.2113095238095237</x:v>
      </x:c>
    </x:row>
    <x:row r="18" ht="22" customHeight="1">
      <x:c r="A18" s="2" t="str">
        <x:v>M1</x:v>
      </x:c>
      <x:c r="B18" s="24" t="d">
        <x:v>2026-09-28T17:00:00.000Z</x:v>
      </x:c>
      <x:c r="C18" s="2" t="str">
        <x:v>ナイト</x:v>
      </x:c>
      <x:c r="D18" s="20" t="n">
        <x:v>59616</x:v>
      </x:c>
      <x:c r="E18" s="20" t="n">
        <x:v>20154</x:v>
      </x:c>
      <x:c r="F18" s="20" t="n">
        <x:f>D18-E18</x:f>
        <x:v>39462</x:v>
      </x:c>
      <x:c r="G18" s="20" t="n">
        <x:f>SUMIFS($F$7:$F$56,$A$7:$A$56,A18,$B$7:$B$56,"&lt;="&amp;B18)</x:f>
        <x:v>196322</x:v>
      </x:c>
      <x:c r="H18" s="20" t="n">
        <x:v>538</x:v>
      </x:c>
      <x:c r="I18" s="20" t="n">
        <x:v>40000</x:v>
      </x:c>
      <x:c r="J18" s="29" t="n">
        <x:v>2</x:v>
      </x:c>
      <x:c r="K18" s="29" t="n">
        <x:v>7</x:v>
      </x:c>
      <x:c r="L18" s="29" t="n">
        <x:v>5</x:v>
      </x:c>
      <x:c r="M18" s="31" t="str">
        <x:v>対照47場</x:v>
      </x:c>
      <x:c r="N18" s="30" t="n">
        <x:v>349.35</x:v>
      </x:c>
      <x:c r="O18" s="30" t="n">
        <x:v>8.1</x:v>
      </x:c>
      <x:c r="P18" s="26" t="n">
        <x:f>O18/IF(C18="デイ",420,780)</x:f>
        <x:v>0.010384615384615384</x:v>
      </x:c>
      <x:c r="Q18" s="27" t="n">
        <x:v>0.04551282051282051</x:v>
      </x:c>
    </x:row>
    <x:row r="19" ht="22" customHeight="1">
      <x:c r="A19" s="2" t="str">
        <x:v>M1</x:v>
      </x:c>
      <x:c r="B19" s="24" t="d">
        <x:v>2026-09-29T08:45:00.000Z</x:v>
      </x:c>
      <x:c r="C19" s="2" t="str">
        <x:v>デイ</x:v>
      </x:c>
      <x:c r="D19" s="20" t="n">
        <x:v>282232</x:v>
      </x:c>
      <x:c r="E19" s="20" t="n">
        <x:v>127614</x:v>
      </x:c>
      <x:c r="F19" s="20" t="n">
        <x:f>D19-E19</x:f>
        <x:v>154618</x:v>
      </x:c>
      <x:c r="G19" s="20" t="n">
        <x:f>SUMIFS($F$7:$F$56,$A$7:$A$56,A19,$B$7:$B$56,"&lt;="&amp;B19)</x:f>
        <x:v>350940</x:v>
      </x:c>
      <x:c r="H19" s="20" t="n">
        <x:v>1382</x:v>
      </x:c>
      <x:c r="I19" s="20" t="n">
        <x:v>156000</x:v>
      </x:c>
      <x:c r="J19" s="29" t="n">
        <x:v>7</x:v>
      </x:c>
      <x:c r="K19" s="29" t="n">
        <x:v>18</x:v>
      </x:c>
      <x:c r="L19" s="29" t="n">
        <x:v>8</x:v>
      </x:c>
      <x:c r="M19" s="31" t="str">
        <x:v>対照47場</x:v>
      </x:c>
      <x:c r="N19" s="30" t="n">
        <x:v>53.016666666666666</x:v>
      </x:c>
      <x:c r="O19" s="30" t="n">
        <x:v>310.6333333333333</x:v>
      </x:c>
      <x:c r="P19" s="26" t="n">
        <x:f>O19/IF(C19="デイ",420,780)</x:f>
        <x:v>0.7396031746031746</x:v>
      </x:c>
      <x:c r="Q19" s="27" t="n">
        <x:v>3.3022619047619046</x:v>
      </x:c>
    </x:row>
    <x:row r="20" ht="22" customHeight="1">
      <x:c r="A20" s="2" t="str">
        <x:v>M1</x:v>
      </x:c>
      <x:c r="B20" s="24" t="d">
        <x:v>2026-09-29T17:00:00.000Z</x:v>
      </x:c>
      <x:c r="C20" s="2" t="str">
        <x:v>ナイト</x:v>
      </x:c>
      <x:c r="D20" s="20" t="n">
        <x:v>168848</x:v>
      </x:c>
      <x:c r="E20" s="20" t="n">
        <x:v>50384</x:v>
      </x:c>
      <x:c r="F20" s="20" t="n">
        <x:f>D20-E20</x:f>
        <x:v>118464</x:v>
      </x:c>
      <x:c r="G20" s="20" t="n">
        <x:f>SUMIFS($F$7:$F$56,$A$7:$A$56,A20,$B$7:$B$56,"&lt;="&amp;B20)</x:f>
        <x:v>469404</x:v>
      </x:c>
      <x:c r="H20" s="20" t="n">
        <x:v>1536</x:v>
      </x:c>
      <x:c r="I20" s="20" t="n">
        <x:v>120000</x:v>
      </x:c>
      <x:c r="J20" s="29" t="n">
        <x:v>4</x:v>
      </x:c>
      <x:c r="K20" s="29" t="n">
        <x:v>20</x:v>
      </x:c>
      <x:c r="L20" s="29" t="n">
        <x:v>5</x:v>
      </x:c>
      <x:c r="M20" s="31" t="str">
        <x:v>対照47場</x:v>
      </x:c>
      <x:c r="N20" s="30" t="n">
        <x:v>360.01666666666665</x:v>
      </x:c>
      <x:c r="O20" s="30" t="n">
        <x:v>43.95</x:v>
      </x:c>
      <x:c r="P20" s="26" t="n">
        <x:f>O20/IF(C20="デイ",420,780)</x:f>
        <x:v>0.05634615384615385</x:v>
      </x:c>
      <x:c r="Q20" s="27" t="n">
        <x:v>0.28173076923076923</x:v>
      </x:c>
    </x:row>
    <x:row r="21" ht="22" customHeight="1">
      <x:c r="A21" s="2" t="str">
        <x:v>M1</x:v>
      </x:c>
      <x:c r="B21" s="24" t="d">
        <x:v>2026-09-30T08:45:00.000Z</x:v>
      </x:c>
      <x:c r="C21" s="2" t="str">
        <x:v>デイ</x:v>
      </x:c>
      <x:c r="D21" s="20" t="n">
        <x:v>170616</x:v>
      </x:c>
      <x:c r="E21" s="20" t="n">
        <x:v>72614</x:v>
      </x:c>
      <x:c r="F21" s="20" t="n">
        <x:f>D21-E21</x:f>
        <x:v>98002</x:v>
      </x:c>
      <x:c r="G21" s="20" t="n">
        <x:f>SUMIFS($F$7:$F$56,$A$7:$A$56,A21,$B$7:$B$56,"&lt;="&amp;B21)</x:f>
        <x:v>567406</x:v>
      </x:c>
      <x:c r="H21" s="20" t="n">
        <x:v>998</x:v>
      </x:c>
      <x:c r="I21" s="20" t="n">
        <x:v>99000</x:v>
      </x:c>
      <x:c r="J21" s="29" t="n">
        <x:v>4</x:v>
      </x:c>
      <x:c r="K21" s="29" t="n">
        <x:v>13</x:v>
      </x:c>
      <x:c r="L21" s="29" t="n">
        <x:v>5</x:v>
      </x:c>
      <x:c r="M21" s="31" t="str">
        <x:v>対照47場</x:v>
      </x:c>
      <x:c r="N21" s="30" t="n">
        <x:v>161.31666666666666</x:v>
      </x:c>
      <x:c r="O21" s="30" t="n">
        <x:v>162.66666666666666</x:v>
      </x:c>
      <x:c r="P21" s="26" t="n">
        <x:f>O21/IF(C21="デイ",420,780)</x:f>
        <x:v>0.38730158730158726</x:v>
      </x:c>
      <x:c r="Q21" s="27" t="n">
        <x:v>1.2968650793650793</x:v>
      </x:c>
    </x:row>
    <x:row r="22" ht="22" customHeight="1">
      <x:c r="A22" s="2" t="str">
        <x:v>M1</x:v>
      </x:c>
      <x:c r="B22" s="24" t="d">
        <x:v>2026-09-30T17:00:00.000Z</x:v>
      </x:c>
      <x:c r="C22" s="2" t="str">
        <x:v>ナイト</x:v>
      </x:c>
      <x:c r="D22" s="20" t="n">
        <x:v>59232</x:v>
      </x:c>
      <x:c r="E22" s="20" t="n">
        <x:v>0</x:v>
      </x:c>
      <x:c r="F22" s="20" t="n">
        <x:f>D22-E22</x:f>
        <x:v>59232</x:v>
      </x:c>
      <x:c r="G22" s="20" t="n">
        <x:f>SUMIFS($F$7:$F$56,$A$7:$A$56,A22,$B$7:$B$56,"&lt;="&amp;B22)</x:f>
        <x:v>626638</x:v>
      </x:c>
      <x:c r="H22" s="20" t="n">
        <x:v>768</x:v>
      </x:c>
      <x:c r="I22" s="20" t="n">
        <x:v>60000</x:v>
      </x:c>
      <x:c r="J22" s="29" t="n">
        <x:v>2</x:v>
      </x:c>
      <x:c r="K22" s="29" t="n">
        <x:v>10</x:v>
      </x:c>
      <x:c r="L22" s="29" t="n">
        <x:v>5</x:v>
      </x:c>
      <x:c r="M22" s="31" t="str">
        <x:v>対照47場</x:v>
      </x:c>
      <x:c r="N22" s="30" t="n">
        <x:v>360</x:v>
      </x:c>
      <x:c r="O22" s="30" t="n">
        <x:v>19.883333333333333</x:v>
      </x:c>
      <x:c r="P22" s="26" t="n">
        <x:f>O22/IF(C22="デイ",420,780)</x:f>
        <x:v>0.02549145299145299</x:v>
      </x:c>
      <x:c r="Q22" s="27" t="n">
        <x:v>0.12745726495726495</x:v>
      </x:c>
    </x:row>
    <x:row r="23" ht="22" customHeight="1">
      <x:c r="A23" s="2" t="str">
        <x:v>M1</x:v>
      </x:c>
      <x:c r="B23" s="24" t="d">
        <x:v>2026-10-01T08:45:00.000Z</x:v>
      </x:c>
      <x:c r="C23" s="2" t="str">
        <x:v>デイ</x:v>
      </x:c>
      <x:c r="D23" s="20" t="n">
        <x:v>507234</x:v>
      </x:c>
      <x:c r="E23" s="20" t="n">
        <x:v>60384</x:v>
      </x:c>
      <x:c r="F23" s="20" t="n">
        <x:f>D23-E23</x:f>
        <x:v>446850</x:v>
      </x:c>
      <x:c r="G23" s="20" t="n">
        <x:f>SUMIFS($F$7:$F$56,$A$7:$A$56,A23,$B$7:$B$56,"&lt;="&amp;B23)</x:f>
        <x:v>1073488</x:v>
      </x:c>
      <x:c r="H23" s="20" t="n">
        <x:v>1150</x:v>
      </x:c>
      <x:c r="I23" s="20" t="n">
        <x:v>448000</x:v>
      </x:c>
      <x:c r="J23" s="29" t="n">
        <x:v>6</x:v>
      </x:c>
      <x:c r="K23" s="29" t="n">
        <x:v>15</x:v>
      </x:c>
      <x:c r="L23" s="29" t="n">
        <x:v>7</x:v>
      </x:c>
      <x:c r="M23" s="31" t="str">
        <x:v>対照47場</x:v>
      </x:c>
      <x:c r="N23" s="30" t="n">
        <x:v>88.93333333333334</x:v>
      </x:c>
      <x:c r="O23" s="30" t="n">
        <x:v>317.35</x:v>
      </x:c>
      <x:c r="P23" s="26" t="n">
        <x:f>O23/IF(C23="デイ",420,780)</x:f>
        <x:v>0.7555952380952381</x:v>
      </x:c>
      <x:c r="Q23" s="27" t="n">
        <x:v>3.8534920634920633</x:v>
      </x:c>
    </x:row>
    <x:row r="24" ht="22" customHeight="1">
      <x:c r="A24" s="2" t="str">
        <x:v>M1</x:v>
      </x:c>
      <x:c r="B24" s="24" t="d">
        <x:v>2026-10-01T17:00:00.000Z</x:v>
      </x:c>
      <x:c r="C24" s="2" t="str">
        <x:v>ナイト</x:v>
      </x:c>
      <x:c r="D24" s="20" t="n">
        <x:v>58310</x:v>
      </x:c>
      <x:c r="E24" s="20" t="n">
        <x:v>16154</x:v>
      </x:c>
      <x:c r="F24" s="20" t="n">
        <x:f>D24-E24</x:f>
        <x:v>42156</x:v>
      </x:c>
      <x:c r="G24" s="20" t="n">
        <x:f>SUMIFS($F$7:$F$56,$A$7:$A$56,A24,$B$7:$B$56,"&lt;="&amp;B24)</x:f>
        <x:v>1115644</x:v>
      </x:c>
      <x:c r="H24" s="20" t="n">
        <x:v>844</x:v>
      </x:c>
      <x:c r="I24" s="20" t="n">
        <x:v>43000</x:v>
      </x:c>
      <x:c r="J24" s="29" t="n">
        <x:v>6</x:v>
      </x:c>
      <x:c r="K24" s="29" t="n">
        <x:v>11</x:v>
      </x:c>
      <x:c r="L24" s="29" t="n">
        <x:v>5</x:v>
      </x:c>
      <x:c r="M24" s="31" t="str">
        <x:v>対照47場</x:v>
      </x:c>
      <x:c r="N24" s="30" t="n">
        <x:v>114.38333333333334</x:v>
      </x:c>
      <x:c r="O24" s="30" t="n">
        <x:v>20.233333333333334</x:v>
      </x:c>
      <x:c r="P24" s="26" t="n">
        <x:f>O24/IF(C24="デイ",420,780)</x:f>
        <x:v>0.025940170940170943</x:v>
      </x:c>
      <x:c r="Q24" s="27" t="n">
        <x:v>0.07117521367521368</x:v>
      </x:c>
    </x:row>
    <x:row r="25" ht="22" customHeight="1">
      <x:c r="A25" s="2" t="str">
        <x:v>M1</x:v>
      </x:c>
      <x:c r="B25" s="24" t="d">
        <x:v>2026-10-02T08:45:00.000Z</x:v>
      </x:c>
      <x:c r="C25" s="2" t="str">
        <x:v>デイ</x:v>
      </x:c>
      <x:c r="D25" s="20" t="n">
        <x:v>13694</x:v>
      </x:c>
      <x:c r="E25" s="20" t="n">
        <x:v>116920</x:v>
      </x:c>
      <x:c r="F25" s="20" t="n">
        <x:f>D25-E25</x:f>
        <x:v>-103226</x:v>
      </x:c>
      <x:c r="G25" s="20" t="n">
        <x:f>SUMIFS($F$7:$F$56,$A$7:$A$56,A25,$B$7:$B$56,"&lt;="&amp;B25)</x:f>
        <x:v>1012418</x:v>
      </x:c>
      <x:c r="H25" s="20" t="n">
        <x:v>1226</x:v>
      </x:c>
      <x:c r="I25" s="20" t="n">
        <x:v>-102000</x:v>
      </x:c>
      <x:c r="J25" s="29" t="n">
        <x:v>9</x:v>
      </x:c>
      <x:c r="K25" s="29" t="n">
        <x:v>16</x:v>
      </x:c>
      <x:c r="L25" s="29" t="n">
        <x:v>5</x:v>
      </x:c>
      <x:c r="M25" s="31" t="str">
        <x:v>対照47場</x:v>
      </x:c>
      <x:c r="N25" s="30" t="n">
        <x:v>100.65</x:v>
      </x:c>
      <x:c r="O25" s="30" t="n">
        <x:v>257.23333333333335</x:v>
      </x:c>
      <x:c r="P25" s="26" t="n">
        <x:f>O25/IF(C25="デイ",420,780)</x:f>
        <x:v>0.6124603174603175</x:v>
      </x:c>
      <x:c r="Q25" s="27" t="n">
        <x:v>2.2441666666666666</x:v>
      </x:c>
    </x:row>
    <x:row r="26" ht="22" customHeight="1">
      <x:c r="A26" s="2" t="str">
        <x:v>M1</x:v>
      </x:c>
      <x:c r="B26" s="24" t="d">
        <x:v>2026-10-02T17:00:00.000Z</x:v>
      </x:c>
      <x:c r="C26" s="2" t="str">
        <x:v>ナイト</x:v>
      </x:c>
      <x:c r="D26" s="20" t="n">
        <x:v>169850</x:v>
      </x:c>
      <x:c r="E26" s="20" t="n">
        <x:v>65690</x:v>
      </x:c>
      <x:c r="F26" s="20" t="n">
        <x:f>D26-E26</x:f>
        <x:v>104160</x:v>
      </x:c>
      <x:c r="G26" s="20" t="n">
        <x:f>SUMIFS($F$7:$F$56,$A$7:$A$56,A26,$B$7:$B$56,"&lt;="&amp;B26)</x:f>
        <x:v>1116578</x:v>
      </x:c>
      <x:c r="H26" s="20" t="n">
        <x:v>1840</x:v>
      </x:c>
      <x:c r="I26" s="20" t="n">
        <x:v>106000</x:v>
      </x:c>
      <x:c r="J26" s="29" t="n">
        <x:v>10</x:v>
      </x:c>
      <x:c r="K26" s="29" t="n">
        <x:v>24</x:v>
      </x:c>
      <x:c r="L26" s="29" t="n">
        <x:v>5</x:v>
      </x:c>
      <x:c r="M26" s="31" t="str">
        <x:v>対照47場</x:v>
      </x:c>
      <x:c r="N26" s="30" t="n">
        <x:v>71.05</x:v>
      </x:c>
      <x:c r="O26" s="30" t="n">
        <x:v>58.3</x:v>
      </x:c>
      <x:c r="P26" s="26" t="n">
        <x:f>O26/IF(C26="デイ",420,780)</x:f>
        <x:v>0.07474358974358974</x:v>
      </x:c>
      <x:c r="Q26" s="27" t="n">
        <x:v>0.23797008547008547</x:v>
      </x:c>
    </x:row>
    <x:row r="27" ht="22" customHeight="1">
      <x:c r="A27" s="2" t="str">
        <x:v>M1</x:v>
      </x:c>
      <x:c r="B27" s="24" t="d">
        <x:v>2026-10-05T08:45:00.000Z</x:v>
      </x:c>
      <x:c r="C27" s="2" t="str">
        <x:v>デイ</x:v>
      </x:c>
      <x:c r="D27" s="20" t="n">
        <x:v>51234</x:v>
      </x:c>
      <x:c r="E27" s="20" t="n">
        <x:v>148690</x:v>
      </x:c>
      <x:c r="F27" s="20" t="n">
        <x:f>D27-E27</x:f>
        <x:v>-97456</x:v>
      </x:c>
      <x:c r="G27" s="20" t="n">
        <x:f>SUMIFS($F$7:$F$56,$A$7:$A$56,A27,$B$7:$B$56,"&lt;="&amp;B27)</x:f>
        <x:v>1019122</x:v>
      </x:c>
      <x:c r="H27" s="20" t="n">
        <x:v>2456</x:v>
      </x:c>
      <x:c r="I27" s="20" t="n">
        <x:v>-95000</x:v>
      </x:c>
      <x:c r="J27" s="29" t="n">
        <x:v>10</x:v>
      </x:c>
      <x:c r="K27" s="29" t="n">
        <x:v>32</x:v>
      </x:c>
      <x:c r="L27" s="29" t="n">
        <x:v>10</x:v>
      </x:c>
      <x:c r="M27" s="31" t="str">
        <x:v>対照47場</x:v>
      </x:c>
      <x:c r="N27" s="30" t="n">
        <x:v>106</x:v>
      </x:c>
      <x:c r="O27" s="30" t="n">
        <x:v>193.58333333333334</x:v>
      </x:c>
      <x:c r="P27" s="26" t="n">
        <x:f>O27/IF(C27="デイ",420,780)</x:f>
        <x:v>0.46091269841269844</x:v>
      </x:c>
      <x:c r="Q27" s="27" t="n">
        <x:v>2.3928968253968255</x:v>
      </x:c>
    </x:row>
    <x:row r="28" ht="22" customHeight="1">
      <x:c r="A28" s="2" t="str">
        <x:v>M1</x:v>
      </x:c>
      <x:c r="B28" s="24" t="d">
        <x:v>2026-10-05T17:00:00.000Z</x:v>
      </x:c>
      <x:c r="C28" s="2" t="str">
        <x:v>ナイト</x:v>
      </x:c>
      <x:c r="D28" s="20" t="n">
        <x:v>112234</x:v>
      </x:c>
      <x:c r="E28" s="20" t="n">
        <x:v>20384</x:v>
      </x:c>
      <x:c r="F28" s="20" t="n">
        <x:f>D28-E28</x:f>
        <x:v>91850</x:v>
      </x:c>
      <x:c r="G28" s="20" t="n">
        <x:f>SUMIFS($F$7:$F$56,$A$7:$A$56,A28,$B$7:$B$56,"&lt;="&amp;B28)</x:f>
        <x:v>1110972</x:v>
      </x:c>
      <x:c r="H28" s="20" t="n">
        <x:v>1150</x:v>
      </x:c>
      <x:c r="I28" s="20" t="n">
        <x:v>93000</x:v>
      </x:c>
      <x:c r="J28" s="29" t="n">
        <x:v>6</x:v>
      </x:c>
      <x:c r="K28" s="29" t="n">
        <x:v>15</x:v>
      </x:c>
      <x:c r="L28" s="29" t="n">
        <x:v>5</x:v>
      </x:c>
      <x:c r="M28" s="31" t="str">
        <x:v>対照47場</x:v>
      </x:c>
      <x:c r="N28" s="30" t="n">
        <x:v>356.1666666666667</x:v>
      </x:c>
      <x:c r="O28" s="30" t="n">
        <x:v>55.233333333333334</x:v>
      </x:c>
      <x:c r="P28" s="26" t="n">
        <x:f>O28/IF(C28="デイ",420,780)</x:f>
        <x:v>0.07081196581196582</x:v>
      </x:c>
      <x:c r="Q28" s="27" t="n">
        <x:v>0.3088888888888889</x:v>
      </x:c>
    </x:row>
    <x:row r="29" ht="22" customHeight="1">
      <x:c r="A29" s="2" t="str">
        <x:v>M1</x:v>
      </x:c>
      <x:c r="B29" s="24" t="d">
        <x:v>2026-10-06T08:45:00.000Z</x:v>
      </x:c>
      <x:c r="C29" s="2" t="str">
        <x:v>デイ</x:v>
      </x:c>
      <x:c r="D29" s="20" t="n">
        <x:v>126234</x:v>
      </x:c>
      <x:c r="E29" s="20" t="n">
        <x:v>114692</x:v>
      </x:c>
      <x:c r="F29" s="20" t="n">
        <x:f>D29-E29</x:f>
        <x:v>11542</x:v>
      </x:c>
      <x:c r="G29" s="20" t="n">
        <x:f>SUMIFS($F$7:$F$56,$A$7:$A$56,A29,$B$7:$B$56,"&lt;="&amp;B29)</x:f>
        <x:v>1122514</x:v>
      </x:c>
      <x:c r="H29" s="20" t="n">
        <x:v>1458</x:v>
      </x:c>
      <x:c r="I29" s="20" t="n">
        <x:v>13000</x:v>
      </x:c>
      <x:c r="J29" s="29" t="n">
        <x:v>8</x:v>
      </x:c>
      <x:c r="K29" s="29" t="n">
        <x:v>19</x:v>
      </x:c>
      <x:c r="L29" s="29" t="n">
        <x:v>5</x:v>
      </x:c>
      <x:c r="M29" s="31" t="str">
        <x:v>対照47場</x:v>
      </x:c>
      <x:c r="N29" s="30" t="n">
        <x:v>51.833333333333336</x:v>
      </x:c>
      <x:c r="O29" s="30" t="n">
        <x:v>249.05</x:v>
      </x:c>
      <x:c r="P29" s="26" t="n">
        <x:f>O29/IF(C29="デイ",420,780)</x:f>
        <x:v>0.5929761904761905</x:v>
      </x:c>
      <x:c r="Q29" s="27" t="n">
        <x:v>1.5737301587301586</x:v>
      </x:c>
    </x:row>
    <x:row r="30" ht="22" customHeight="1">
      <x:c r="A30" s="2" t="str">
        <x:v>M1</x:v>
      </x:c>
      <x:c r="B30" s="24" t="d">
        <x:v>2026-10-06T17:00:00.000Z</x:v>
      </x:c>
      <x:c r="C30" s="2" t="str">
        <x:v>ナイト</x:v>
      </x:c>
      <x:c r="D30" s="20" t="n">
        <x:v>24616</x:v>
      </x:c>
      <x:c r="E30" s="20" t="n">
        <x:v>35384</x:v>
      </x:c>
      <x:c r="F30" s="20" t="n">
        <x:f>D30-E30</x:f>
        <x:v>-10768</x:v>
      </x:c>
      <x:c r="G30" s="20" t="n">
        <x:f>SUMIFS($F$7:$F$56,$A$7:$A$56,A30,$B$7:$B$56,"&lt;="&amp;B30)</x:f>
        <x:v>1111746</x:v>
      </x:c>
      <x:c r="H30" s="20" t="n">
        <x:v>768</x:v>
      </x:c>
      <x:c r="I30" s="20" t="n">
        <x:v>-10000</x:v>
      </x:c>
      <x:c r="J30" s="29" t="n">
        <x:v>2</x:v>
      </x:c>
      <x:c r="K30" s="29" t="n">
        <x:v>10</x:v>
      </x:c>
      <x:c r="L30" s="29" t="n">
        <x:v>5</x:v>
      </x:c>
      <x:c r="M30" s="31" t="str">
        <x:v>対照47場</x:v>
      </x:c>
      <x:c r="N30" s="30" t="n">
        <x:v>360.06666666666666</x:v>
      </x:c>
      <x:c r="O30" s="30" t="n">
        <x:v>13.533333333333333</x:v>
      </x:c>
      <x:c r="P30" s="26" t="n">
        <x:f>O30/IF(C30="デイ",420,780)</x:f>
        <x:v>0.017350427350427352</x:v>
      </x:c>
      <x:c r="Q30" s="27" t="n">
        <x:v>0.08675213675213675</x:v>
      </x:c>
    </x:row>
    <x:row r="31" ht="22" customHeight="1">
      <x:c r="A31" s="2" t="str">
        <x:v>M1</x:v>
      </x:c>
      <x:c r="B31" s="24" t="d">
        <x:v>2026-10-07T08:45:00.000Z</x:v>
      </x:c>
      <x:c r="C31" s="2" t="str">
        <x:v>デイ</x:v>
      </x:c>
      <x:c r="D31" s="20" t="n">
        <x:v>126544</x:v>
      </x:c>
      <x:c r="E31" s="20" t="n">
        <x:v>0</x:v>
      </x:c>
      <x:c r="F31" s="20" t="n">
        <x:f>D31-E31</x:f>
        <x:v>126544</x:v>
      </x:c>
      <x:c r="G31" s="20" t="n">
        <x:f>SUMIFS($F$7:$F$56,$A$7:$A$56,A31,$B$7:$B$56,"&lt;="&amp;B31)</x:f>
        <x:v>1238290</x:v>
      </x:c>
      <x:c r="H31" s="20" t="n">
        <x:v>1456</x:v>
      </x:c>
      <x:c r="I31" s="20" t="n">
        <x:v>128000</x:v>
      </x:c>
      <x:c r="J31" s="29" t="n">
        <x:v>9</x:v>
      </x:c>
      <x:c r="K31" s="29" t="n">
        <x:v>19</x:v>
      </x:c>
      <x:c r="L31" s="29" t="n">
        <x:v>8</x:v>
      </x:c>
      <x:c r="M31" s="31" t="str">
        <x:v>対照47場</x:v>
      </x:c>
      <x:c r="N31" s="30" t="n">
        <x:v>47.516666666666666</x:v>
      </x:c>
      <x:c r="O31" s="30" t="n">
        <x:v>113.96666666666667</x:v>
      </x:c>
      <x:c r="P31" s="26" t="n">
        <x:f>O31/IF(C31="デイ",420,780)</x:f>
        <x:v>0.27134920634920634</x:v>
      </x:c>
      <x:c r="Q31" s="27" t="n">
        <x:v>1.044484126984127</x:v>
      </x:c>
    </x:row>
    <x:row r="32" ht="22" customHeight="1">
      <x:c r="A32" s="2" t="str">
        <x:v>M1</x:v>
      </x:c>
      <x:c r="B32" s="24" t="d">
        <x:v>2026-10-07T17:00:00.000Z</x:v>
      </x:c>
      <x:c r="C32" s="2" t="str">
        <x:v>ナイト</x:v>
      </x:c>
      <x:c r="D32" s="20" t="n">
        <x:v>24232</x:v>
      </x:c>
      <x:c r="E32" s="20" t="n">
        <x:v>0</x:v>
      </x:c>
      <x:c r="F32" s="20" t="n">
        <x:f>D32-E32</x:f>
        <x:v>24232</x:v>
      </x:c>
      <x:c r="G32" s="20" t="n">
        <x:f>SUMIFS($F$7:$F$56,$A$7:$A$56,A32,$B$7:$B$56,"&lt;="&amp;B32)</x:f>
        <x:v>1262522</x:v>
      </x:c>
      <x:c r="H32" s="20" t="n">
        <x:v>768</x:v>
      </x:c>
      <x:c r="I32" s="20" t="n">
        <x:v>25000</x:v>
      </x:c>
      <x:c r="J32" s="29" t="n">
        <x:v>2</x:v>
      </x:c>
      <x:c r="K32" s="29" t="n">
        <x:v>10</x:v>
      </x:c>
      <x:c r="L32" s="29" t="n">
        <x:v>5</x:v>
      </x:c>
      <x:c r="M32" s="31" t="str">
        <x:v>対照47場</x:v>
      </x:c>
      <x:c r="N32" s="30" t="n">
        <x:v>360</x:v>
      </x:c>
      <x:c r="O32" s="30" t="n">
        <x:v>11.1</x:v>
      </x:c>
      <x:c r="P32" s="26" t="n">
        <x:f>O32/IF(C32="デイ",420,780)</x:f>
        <x:v>0.01423076923076923</x:v>
      </x:c>
      <x:c r="Q32" s="27" t="n">
        <x:v>0.07115384615384615</x:v>
      </x:c>
    </x:row>
    <x:row r="33" ht="22" customHeight="1">
      <x:c r="A33" s="2" t="str">
        <x:v>M1</x:v>
      </x:c>
      <x:c r="B33" s="24" t="d">
        <x:v>2026-10-08T08:45:00.000Z</x:v>
      </x:c>
      <x:c r="C33" s="2" t="str">
        <x:v>デイ</x:v>
      </x:c>
      <x:c r="D33" s="20" t="n">
        <x:v>187234</x:v>
      </x:c>
      <x:c r="E33" s="20" t="n">
        <x:v>151536</x:v>
      </x:c>
      <x:c r="F33" s="20" t="n">
        <x:f>D33-E33</x:f>
        <x:v>35698</x:v>
      </x:c>
      <x:c r="G33" s="20" t="n">
        <x:f>SUMIFS($F$7:$F$56,$A$7:$A$56,A33,$B$7:$B$56,"&lt;="&amp;B33)</x:f>
        <x:v>1298220</x:v>
      </x:c>
      <x:c r="H33" s="20" t="n">
        <x:v>2302</x:v>
      </x:c>
      <x:c r="I33" s="20" t="n">
        <x:v>38000</x:v>
      </x:c>
      <x:c r="J33" s="29" t="n">
        <x:v>9</x:v>
      </x:c>
      <x:c r="K33" s="29" t="n">
        <x:v>30</x:v>
      </x:c>
      <x:c r="L33" s="29" t="n">
        <x:v>5</x:v>
      </x:c>
      <x:c r="M33" s="31" t="str">
        <x:v>対照47場</x:v>
      </x:c>
      <x:c r="N33" s="30" t="n">
        <x:v>70.23333333333333</x:v>
      </x:c>
      <x:c r="O33" s="30" t="n">
        <x:v>92.66666666666667</x:v>
      </x:c>
      <x:c r="P33" s="26" t="n">
        <x:f>O33/IF(C33="デイ",420,780)</x:f>
        <x:v>0.22063492063492066</x:v>
      </x:c>
      <x:c r="Q33" s="27" t="n">
        <x:v>1.0009920634920635</x:v>
      </x:c>
    </x:row>
    <x:row r="34" ht="22" customHeight="1">
      <x:c r="A34" s="2" t="str">
        <x:v>M1</x:v>
      </x:c>
      <x:c r="B34" s="24" t="d">
        <x:v>2026-10-08T17:00:00.000Z</x:v>
      </x:c>
      <x:c r="C34" s="2" t="str">
        <x:v>ナイト</x:v>
      </x:c>
      <x:c r="D34" s="20" t="n">
        <x:v>123850</x:v>
      </x:c>
      <x:c r="E34" s="20" t="n">
        <x:v>0</x:v>
      </x:c>
      <x:c r="F34" s="20" t="n">
        <x:f>D34-E34</x:f>
        <x:v>123850</x:v>
      </x:c>
      <x:c r="G34" s="20" t="n">
        <x:f>SUMIFS($F$7:$F$56,$A$7:$A$56,A34,$B$7:$B$56,"&lt;="&amp;B34)</x:f>
        <x:v>1422070</x:v>
      </x:c>
      <x:c r="H34" s="20" t="n">
        <x:v>1150</x:v>
      </x:c>
      <x:c r="I34" s="20" t="n">
        <x:v>125000</x:v>
      </x:c>
      <x:c r="J34" s="29" t="n">
        <x:v>6</x:v>
      </x:c>
      <x:c r="K34" s="29" t="n">
        <x:v>15</x:v>
      </x:c>
      <x:c r="L34" s="29" t="n">
        <x:v>7</x:v>
      </x:c>
      <x:c r="M34" s="31" t="str">
        <x:v>対照47場</x:v>
      </x:c>
      <x:c r="N34" s="30" t="n">
        <x:v>359.1</x:v>
      </x:c>
      <x:c r="O34" s="30" t="n">
        <x:v>52.75</x:v>
      </x:c>
      <x:c r="P34" s="26" t="n">
        <x:f>O34/IF(C34="デイ",420,780)</x:f>
        <x:v>0.06762820512820512</x:v>
      </x:c>
      <x:c r="Q34" s="27" t="n">
        <x:v>0.2851923076923077</x:v>
      </x:c>
    </x:row>
    <x:row r="35" ht="22" customHeight="1">
      <x:c r="A35" s="2" t="str">
        <x:v>M1</x:v>
      </x:c>
      <x:c r="B35" s="24" t="d">
        <x:v>2026-10-09T08:45:00.000Z</x:v>
      </x:c>
      <x:c r="C35" s="2" t="str">
        <x:v>デイ</x:v>
      </x:c>
      <x:c r="D35" s="20" t="n">
        <x:v>76310</x:v>
      </x:c>
      <x:c r="E35" s="20" t="n">
        <x:v>43384</x:v>
      </x:c>
      <x:c r="F35" s="20" t="n">
        <x:f>D35-E35</x:f>
        <x:v>32926</x:v>
      </x:c>
      <x:c r="G35" s="20" t="n">
        <x:f>SUMIFS($F$7:$F$56,$A$7:$A$56,A35,$B$7:$B$56,"&lt;="&amp;B35)</x:f>
        <x:v>1454996</x:v>
      </x:c>
      <x:c r="H35" s="20" t="n">
        <x:v>1074</x:v>
      </x:c>
      <x:c r="I35" s="20" t="n">
        <x:v>34000</x:v>
      </x:c>
      <x:c r="J35" s="29" t="n">
        <x:v>7</x:v>
      </x:c>
      <x:c r="K35" s="29" t="n">
        <x:v>14</x:v>
      </x:c>
      <x:c r="L35" s="29" t="n">
        <x:v>5</x:v>
      </x:c>
      <x:c r="M35" s="31" t="str">
        <x:v>対照47場</x:v>
      </x:c>
      <x:c r="N35" s="30" t="n">
        <x:v>54.45</x:v>
      </x:c>
      <x:c r="O35" s="30" t="n">
        <x:v>87.9</x:v>
      </x:c>
      <x:c r="P35" s="26" t="n">
        <x:f>O35/IF(C35="デイ",420,780)</x:f>
        <x:v>0.2092857142857143</x:v>
      </x:c>
      <x:c r="Q35" s="27" t="n">
        <x:v>0.6632142857142858</x:v>
      </x:c>
    </x:row>
    <x:row r="36" ht="22" customHeight="1">
      <x:c r="A36" s="2" t="str">
        <x:v>M1</x:v>
      </x:c>
      <x:c r="B36" s="24" t="d">
        <x:v>2026-10-09T17:00:00.000Z</x:v>
      </x:c>
      <x:c r="C36" s="2" t="str">
        <x:v>ナイト</x:v>
      </x:c>
      <x:c r="D36" s="20" t="n">
        <x:v>19616</x:v>
      </x:c>
      <x:c r="E36" s="20" t="n">
        <x:v>0</x:v>
      </x:c>
      <x:c r="F36" s="20" t="n">
        <x:f>D36-E36</x:f>
        <x:v>19616</x:v>
      </x:c>
      <x:c r="G36" s="20" t="n">
        <x:f>SUMIFS($F$7:$F$56,$A$7:$A$56,A36,$B$7:$B$56,"&lt;="&amp;B36)</x:f>
        <x:v>1474612</x:v>
      </x:c>
      <x:c r="H36" s="20" t="n">
        <x:v>384</x:v>
      </x:c>
      <x:c r="I36" s="20" t="n">
        <x:v>20000</x:v>
      </x:c>
      <x:c r="J36" s="29" t="n">
        <x:v>1</x:v>
      </x:c>
      <x:c r="K36" s="29" t="n">
        <x:v>5</x:v>
      </x:c>
      <x:c r="L36" s="29" t="n">
        <x:v>5</x:v>
      </x:c>
      <x:c r="M36" s="31" t="str">
        <x:v>対照47場</x:v>
      </x:c>
      <x:c r="N36" s="30" t="n">
        <x:v>360.06666666666666</x:v>
      </x:c>
      <x:c r="O36" s="30" t="n">
        <x:v>11.916666666666666</x:v>
      </x:c>
      <x:c r="P36" s="26" t="n">
        <x:f>O36/IF(C36="デイ",420,780)</x:f>
        <x:v>0.015277777777777777</x:v>
      </x:c>
      <x:c r="Q36" s="27" t="n">
        <x:v>0.0763888888888889</x:v>
      </x:c>
    </x:row>
    <x:row r="37" ht="22" customHeight="1">
      <x:c r="A37" s="2" t="str">
        <x:v>M1</x:v>
      </x:c>
      <x:c r="B37" s="24" t="d">
        <x:v>2026-10-12T08:45:00.000Z</x:v>
      </x:c>
      <x:c r="C37" s="2" t="str">
        <x:v>デイ</x:v>
      </x:c>
      <x:c r="D37" s="20" t="n">
        <x:v>32616</x:v>
      </x:c>
      <x:c r="E37" s="20" t="n">
        <x:v>25384</x:v>
      </x:c>
      <x:c r="F37" s="20" t="n">
        <x:f>D37-E37</x:f>
        <x:v>7232</x:v>
      </x:c>
      <x:c r="G37" s="20" t="n">
        <x:f>SUMIFS($F$7:$F$56,$A$7:$A$56,A37,$B$7:$B$56,"&lt;="&amp;B37)</x:f>
        <x:v>1481844</x:v>
      </x:c>
      <x:c r="H37" s="20" t="n">
        <x:v>768</x:v>
      </x:c>
      <x:c r="I37" s="20" t="n">
        <x:v>8000</x:v>
      </x:c>
      <x:c r="J37" s="29" t="n">
        <x:v>2</x:v>
      </x:c>
      <x:c r="K37" s="29" t="n">
        <x:v>10</x:v>
      </x:c>
      <x:c r="L37" s="29" t="n">
        <x:v>5</x:v>
      </x:c>
      <x:c r="M37" s="31" t="str">
        <x:v>対照47場</x:v>
      </x:c>
      <x:c r="N37" s="30" t="n">
        <x:v>122.76666666666667</x:v>
      </x:c>
      <x:c r="O37" s="30" t="n">
        <x:v>265.15</x:v>
      </x:c>
      <x:c r="P37" s="26" t="n">
        <x:f>O37/IF(C37="デイ",420,780)</x:f>
        <x:v>0.6313095238095238</x:v>
      </x:c>
      <x:c r="Q37" s="27" t="n">
        <x:v>2.2824603174603175</x:v>
      </x:c>
    </x:row>
    <x:row r="38" ht="22" customHeight="1">
      <x:c r="A38" s="2" t="str">
        <x:v>M1</x:v>
      </x:c>
      <x:c r="B38" s="24" t="d">
        <x:v>2026-10-12T17:00:00.000Z</x:v>
      </x:c>
      <x:c r="C38" s="2" t="str">
        <x:v>ナイト</x:v>
      </x:c>
      <x:c r="D38" s="20" t="n">
        <x:v>94616</x:v>
      </x:c>
      <x:c r="E38" s="20" t="n">
        <x:v>0</x:v>
      </x:c>
      <x:c r="F38" s="20" t="n">
        <x:f>D38-E38</x:f>
        <x:v>94616</x:v>
      </x:c>
      <x:c r="G38" s="20" t="n">
        <x:f>SUMIFS($F$7:$F$56,$A$7:$A$56,A38,$B$7:$B$56,"&lt;="&amp;B38)</x:f>
        <x:v>1576460</x:v>
      </x:c>
      <x:c r="H38" s="20" t="n">
        <x:v>384</x:v>
      </x:c>
      <x:c r="I38" s="20" t="n">
        <x:v>95000</x:v>
      </x:c>
      <x:c r="J38" s="29" t="n">
        <x:v>1</x:v>
      </x:c>
      <x:c r="K38" s="29" t="n">
        <x:v>5</x:v>
      </x:c>
      <x:c r="L38" s="29" t="n">
        <x:v>5</x:v>
      </x:c>
      <x:c r="M38" s="31" t="str">
        <x:v>対照47場</x:v>
      </x:c>
      <x:c r="N38" s="30" t="n">
        <x:v>360.21666666666664</x:v>
      </x:c>
      <x:c r="O38" s="30" t="n">
        <x:v>10.65</x:v>
      </x:c>
      <x:c r="P38" s="26" t="n">
        <x:f>O38/IF(C38="デイ",420,780)</x:f>
        <x:v>0.013653846153846154</x:v>
      </x:c>
      <x:c r="Q38" s="27" t="n">
        <x:v>0.06826923076923076</x:v>
      </x:c>
    </x:row>
    <x:row r="39" ht="22" customHeight="1">
      <x:c r="A39" s="2" t="str">
        <x:v>M1</x:v>
      </x:c>
      <x:c r="B39" s="24" t="d">
        <x:v>2026-10-13T08:45:00.000Z</x:v>
      </x:c>
      <x:c r="C39" s="2" t="str">
        <x:v>デイ</x:v>
      </x:c>
      <x:c r="D39" s="20" t="n">
        <x:v>77926</x:v>
      </x:c>
      <x:c r="E39" s="20" t="n">
        <x:v>114846</x:v>
      </x:c>
      <x:c r="F39" s="20" t="n">
        <x:f>D39-E39</x:f>
        <x:v>-36920</x:v>
      </x:c>
      <x:c r="G39" s="20" t="n">
        <x:f>SUMIFS($F$7:$F$56,$A$7:$A$56,A39,$B$7:$B$56,"&lt;="&amp;B39)</x:f>
        <x:v>1539540</x:v>
      </x:c>
      <x:c r="H39" s="20" t="n">
        <x:v>1920</x:v>
      </x:c>
      <x:c r="I39" s="20" t="n">
        <x:v>-35000</x:v>
      </x:c>
      <x:c r="J39" s="29" t="n">
        <x:v>9</x:v>
      </x:c>
      <x:c r="K39" s="29" t="n">
        <x:v>25</x:v>
      </x:c>
      <x:c r="L39" s="29" t="n">
        <x:v>5</x:v>
      </x:c>
      <x:c r="M39" s="31" t="str">
        <x:v>対照47場</x:v>
      </x:c>
      <x:c r="N39" s="30" t="n">
        <x:v>65.25</x:v>
      </x:c>
      <x:c r="O39" s="30" t="n">
        <x:v>313.5833333333333</x:v>
      </x:c>
      <x:c r="P39" s="26" t="n">
        <x:f>O39/IF(C39="デイ",420,780)</x:f>
        <x:v>0.746626984126984</x:v>
      </x:c>
      <x:c r="Q39" s="27" t="n">
        <x:v>2.814563492063492</x:v>
      </x:c>
    </x:row>
    <x:row r="40" ht="22" customHeight="1">
      <x:c r="A40" s="2" t="str">
        <x:v>M1</x:v>
      </x:c>
      <x:c r="B40" s="24" t="d">
        <x:v>2026-10-13T17:00:00.000Z</x:v>
      </x:c>
      <x:c r="C40" s="2" t="str">
        <x:v>ナイト</x:v>
      </x:c>
      <x:c r="D40" s="20" t="n">
        <x:v>0</x:v>
      </x:c>
      <x:c r="E40" s="20" t="n">
        <x:v>80768</x:v>
      </x:c>
      <x:c r="F40" s="20" t="n">
        <x:f>D40-E40</x:f>
        <x:v>-80768</x:v>
      </x:c>
      <x:c r="G40" s="20" t="n">
        <x:f>SUMIFS($F$7:$F$56,$A$7:$A$56,A40,$B$7:$B$56,"&lt;="&amp;B40)</x:f>
        <x:v>1458772</x:v>
      </x:c>
      <x:c r="H40" s="20" t="n">
        <x:v>768</x:v>
      </x:c>
      <x:c r="I40" s="20" t="n">
        <x:v>-80000</x:v>
      </x:c>
      <x:c r="J40" s="29" t="n">
        <x:v>2</x:v>
      </x:c>
      <x:c r="K40" s="29" t="n">
        <x:v>10</x:v>
      </x:c>
      <x:c r="L40" s="29" t="n">
        <x:v>5</x:v>
      </x:c>
      <x:c r="M40" s="31" t="str">
        <x:v>対照47場</x:v>
      </x:c>
      <x:c r="N40" s="30" t="n">
        <x:v>360.23333333333335</x:v>
      </x:c>
      <x:c r="O40" s="30" t="n">
        <x:v>7.716666666666667</x:v>
      </x:c>
      <x:c r="P40" s="26" t="n">
        <x:f>O40/IF(C40="デイ",420,780)</x:f>
        <x:v>0.009893162393162394</x:v>
      </x:c>
      <x:c r="Q40" s="27" t="n">
        <x:v>0.049465811965811964</x:v>
      </x:c>
    </x:row>
    <x:row r="41" ht="22" customHeight="1">
      <x:c r="A41" s="2" t="str">
        <x:v>M1</x:v>
      </x:c>
      <x:c r="B41" s="24" t="d">
        <x:v>2026-10-14T08:45:00.000Z</x:v>
      </x:c>
      <x:c r="C41" s="2" t="str">
        <x:v>デイ</x:v>
      </x:c>
      <x:c r="D41" s="20" t="n">
        <x:v>172232</x:v>
      </x:c>
      <x:c r="E41" s="20" t="n">
        <x:v>82768</x:v>
      </x:c>
      <x:c r="F41" s="20" t="n">
        <x:f>D41-E41</x:f>
        <x:v>89464</x:v>
      </x:c>
      <x:c r="G41" s="20" t="n">
        <x:f>SUMIFS($F$7:$F$56,$A$7:$A$56,A41,$B$7:$B$56,"&lt;="&amp;B41)</x:f>
        <x:v>1548236</x:v>
      </x:c>
      <x:c r="H41" s="20" t="n">
        <x:v>1536</x:v>
      </x:c>
      <x:c r="I41" s="20" t="n">
        <x:v>91000</x:v>
      </x:c>
      <x:c r="J41" s="29" t="n">
        <x:v>6</x:v>
      </x:c>
      <x:c r="K41" s="29" t="n">
        <x:v>20</x:v>
      </x:c>
      <x:c r="L41" s="29" t="n">
        <x:v>5</x:v>
      </x:c>
      <x:c r="M41" s="31" t="str">
        <x:v>対照47場</x:v>
      </x:c>
      <x:c r="N41" s="30" t="n">
        <x:v>107.68333333333334</x:v>
      </x:c>
      <x:c r="O41" s="30" t="n">
        <x:v>90.4</x:v>
      </x:c>
      <x:c r="P41" s="26" t="n">
        <x:f>O41/IF(C41="デイ",420,780)</x:f>
        <x:v>0.21523809523809526</x:v>
      </x:c>
      <x:c r="Q41" s="27" t="n">
        <x:v>0.9122222222222223</x:v>
      </x:c>
    </x:row>
    <x:row r="42" ht="22" customHeight="1">
      <x:c r="A42" s="2" t="str">
        <x:v>M1</x:v>
      </x:c>
      <x:c r="B42" s="24" t="d">
        <x:v>2026-10-14T17:00:00.000Z</x:v>
      </x:c>
      <x:c r="C42" s="2" t="str">
        <x:v>ナイト</x:v>
      </x:c>
      <x:c r="D42" s="20" t="n">
        <x:v>214232</x:v>
      </x:c>
      <x:c r="E42" s="20" t="n">
        <x:v>46154</x:v>
      </x:c>
      <x:c r="F42" s="20" t="n">
        <x:f>D42-E42</x:f>
        <x:v>168078</x:v>
      </x:c>
      <x:c r="G42" s="20" t="n">
        <x:f>SUMIFS($F$7:$F$56,$A$7:$A$56,A42,$B$7:$B$56,"&lt;="&amp;B42)</x:f>
        <x:v>1716314</x:v>
      </x:c>
      <x:c r="H42" s="20" t="n">
        <x:v>922</x:v>
      </x:c>
      <x:c r="I42" s="20" t="n">
        <x:v>169000</x:v>
      </x:c>
      <x:c r="J42" s="29" t="n">
        <x:v>3</x:v>
      </x:c>
      <x:c r="K42" s="29" t="n">
        <x:v>12</x:v>
      </x:c>
      <x:c r="L42" s="29" t="n">
        <x:v>5</x:v>
      </x:c>
      <x:c r="M42" s="31" t="str">
        <x:v>対照47場</x:v>
      </x:c>
      <x:c r="N42" s="30" t="n">
        <x:v>360</x:v>
      </x:c>
      <x:c r="O42" s="30" t="n">
        <x:v>150.75</x:v>
      </x:c>
      <x:c r="P42" s="26" t="n">
        <x:f>O42/IF(C42="デイ",420,780)</x:f>
        <x:v>0.19326923076923078</x:v>
      </x:c>
      <x:c r="Q42" s="27" t="n">
        <x:v>0.8005769230769231</x:v>
      </x:c>
    </x:row>
    <x:row r="43" ht="22" customHeight="1">
      <x:c r="A43" s="2" t="str">
        <x:v>M1</x:v>
      </x:c>
      <x:c r="B43" s="24" t="d">
        <x:v>2026-10-15T08:45:00.000Z</x:v>
      </x:c>
      <x:c r="C43" s="2" t="str">
        <x:v>デイ</x:v>
      </x:c>
      <x:c r="D43" s="20" t="n">
        <x:v>432696</x:v>
      </x:c>
      <x:c r="E43" s="20" t="n">
        <x:v>66154</x:v>
      </x:c>
      <x:c r="F43" s="20" t="n">
        <x:f>D43-E43</x:f>
        <x:v>366542</x:v>
      </x:c>
      <x:c r="G43" s="20" t="n">
        <x:f>SUMIFS($F$7:$F$56,$A$7:$A$56,A43,$B$7:$B$56,"&lt;="&amp;B43)</x:f>
        <x:v>2082856</x:v>
      </x:c>
      <x:c r="H43" s="20" t="n">
        <x:v>1458</x:v>
      </x:c>
      <x:c r="I43" s="20" t="n">
        <x:v>368000</x:v>
      </x:c>
      <x:c r="J43" s="29" t="n">
        <x:v>8</x:v>
      </x:c>
      <x:c r="K43" s="29" t="n">
        <x:v>19</x:v>
      </x:c>
      <x:c r="L43" s="29" t="n">
        <x:v>5</x:v>
      </x:c>
      <x:c r="M43" s="31" t="str">
        <x:v>対照47場</x:v>
      </x:c>
      <x:c r="N43" s="30" t="n">
        <x:v>50.583333333333336</x:v>
      </x:c>
      <x:c r="O43" s="30" t="n">
        <x:v>222.18333333333334</x:v>
      </x:c>
      <x:c r="P43" s="26" t="n">
        <x:f>O43/IF(C43="デイ",420,780)</x:f>
        <x:v>0.5290079365079365</x:v>
      </x:c>
      <x:c r="Q43" s="27" t="n">
        <x:v>1.7079761904761905</x:v>
      </x:c>
    </x:row>
    <x:row r="44" ht="22" customHeight="1">
      <x:c r="A44" s="2" t="str">
        <x:v>M1</x:v>
      </x:c>
      <x:c r="B44" s="24" t="d">
        <x:v>2026-10-15T17:00:00.000Z</x:v>
      </x:c>
      <x:c r="C44" s="2" t="str">
        <x:v>ナイト</x:v>
      </x:c>
      <x:c r="D44" s="20" t="n">
        <x:v>0</x:v>
      </x:c>
      <x:c r="E44" s="20" t="n">
        <x:v>116462</x:v>
      </x:c>
      <x:c r="F44" s="20" t="n">
        <x:f>D44-E44</x:f>
        <x:v>-116462</x:v>
      </x:c>
      <x:c r="G44" s="20" t="n">
        <x:f>SUMIFS($F$7:$F$56,$A$7:$A$56,A44,$B$7:$B$56,"&lt;="&amp;B44)</x:f>
        <x:v>1966394</x:v>
      </x:c>
      <x:c r="H44" s="20" t="n">
        <x:v>462</x:v>
      </x:c>
      <x:c r="I44" s="20" t="n">
        <x:v>-116000</x:v>
      </x:c>
      <x:c r="J44" s="29" t="n">
        <x:v>3</x:v>
      </x:c>
      <x:c r="K44" s="29" t="n">
        <x:v>6</x:v>
      </x:c>
      <x:c r="L44" s="29" t="n">
        <x:v>2</x:v>
      </x:c>
      <x:c r="M44" s="31" t="str">
        <x:v>対照47場</x:v>
      </x:c>
      <x:c r="N44" s="30" t="n">
        <x:v>360</x:v>
      </x:c>
      <x:c r="O44" s="30" t="n">
        <x:v>43.516666666666666</x:v>
      </x:c>
      <x:c r="P44" s="26" t="n">
        <x:f>O44/IF(C44="デイ",420,780)</x:f>
        <x:v>0.05579059829059829</x:v>
      </x:c>
      <x:c r="Q44" s="27" t="n">
        <x:v>0.11158119658119658</x:v>
      </x:c>
    </x:row>
    <x:row r="45" ht="22" customHeight="1">
      <x:c r="A45" s="2" t="str">
        <x:v>M1</x:v>
      </x:c>
      <x:c r="B45" s="24" t="d">
        <x:v>2026-10-16T08:45:00.000Z</x:v>
      </x:c>
      <x:c r="C45" s="2" t="str">
        <x:v>デイ</x:v>
      </x:c>
      <x:c r="D45" s="20" t="n">
        <x:v>72926</x:v>
      </x:c>
      <x:c r="E45" s="20" t="n">
        <x:v>171690</x:v>
      </x:c>
      <x:c r="F45" s="20" t="n">
        <x:f>D45-E45</x:f>
        <x:v>-98764</x:v>
      </x:c>
      <x:c r="G45" s="20" t="n">
        <x:f>SUMIFS($F$7:$F$56,$A$7:$A$56,A45,$B$7:$B$56,"&lt;="&amp;B45)</x:f>
        <x:v>1867630</x:v>
      </x:c>
      <x:c r="H45" s="20" t="n">
        <x:v>2764</x:v>
      </x:c>
      <x:c r="I45" s="20" t="n">
        <x:v>-96000</x:v>
      </x:c>
      <x:c r="J45" s="29" t="n">
        <x:v>10</x:v>
      </x:c>
      <x:c r="K45" s="29" t="n">
        <x:v>36</x:v>
      </x:c>
      <x:c r="L45" s="29" t="n">
        <x:v>7</x:v>
      </x:c>
      <x:c r="M45" s="31" t="str">
        <x:v>対照47場</x:v>
      </x:c>
      <x:c r="N45" s="30" t="n">
        <x:v>66.9</x:v>
      </x:c>
      <x:c r="O45" s="30" t="n">
        <x:v>217.8</x:v>
      </x:c>
      <x:c r="P45" s="26" t="n">
        <x:f>O45/IF(C45="デイ",420,780)</x:f>
        <x:v>0.5185714285714286</x:v>
      </x:c>
      <x:c r="Q45" s="27" t="n">
        <x:v>1.8029365079365078</x:v>
      </x:c>
    </x:row>
    <x:row r="46" ht="22" customHeight="1">
      <x:c r="A46" s="2" t="str">
        <x:v>M1</x:v>
      </x:c>
      <x:c r="B46" s="24" t="d">
        <x:v>2026-10-16T17:00:00.000Z</x:v>
      </x:c>
      <x:c r="C46" s="2" t="str">
        <x:v>ナイト</x:v>
      </x:c>
      <x:c r="D46" s="20" t="n">
        <x:v>78002</x:v>
      </x:c>
      <x:c r="E46" s="20" t="n">
        <x:v>61614</x:v>
      </x:c>
      <x:c r="F46" s="20" t="n">
        <x:f>D46-E46</x:f>
        <x:v>16388</x:v>
      </x:c>
      <x:c r="G46" s="20" t="n">
        <x:f>SUMIFS($F$7:$F$56,$A$7:$A$56,A46,$B$7:$B$56,"&lt;="&amp;B46)</x:f>
        <x:v>1884018</x:v>
      </x:c>
      <x:c r="H46" s="20" t="n">
        <x:v>1612</x:v>
      </x:c>
      <x:c r="I46" s="20" t="n">
        <x:v>18000</x:v>
      </x:c>
      <x:c r="J46" s="29" t="n">
        <x:v>8</x:v>
      </x:c>
      <x:c r="K46" s="29" t="n">
        <x:v>21</x:v>
      </x:c>
      <x:c r="L46" s="29" t="n">
        <x:v>5</x:v>
      </x:c>
      <x:c r="M46" s="31" t="str">
        <x:v>対照47場</x:v>
      </x:c>
      <x:c r="N46" s="30" t="n">
        <x:v>360</x:v>
      </x:c>
      <x:c r="O46" s="30" t="n">
        <x:v>87.81666666666666</x:v>
      </x:c>
      <x:c r="P46" s="26" t="n">
        <x:f>O46/IF(C46="デイ",420,780)</x:f>
        <x:v>0.11258547008547008</x:v>
      </x:c>
      <x:c r="Q46" s="27" t="n">
        <x:v>0.2956196581196581</x:v>
      </x:c>
    </x:row>
    <x:row r="47" ht="22" customHeight="1">
      <x:c r="A47" s="2" t="str">
        <x:v>M1</x:v>
      </x:c>
      <x:c r="B47" s="24" t="d">
        <x:v>2026-10-19T08:45:00.000Z</x:v>
      </x:c>
      <x:c r="C47" s="2" t="str">
        <x:v>デイ</x:v>
      </x:c>
      <x:c r="D47" s="20" t="n">
        <x:v>280240</x:v>
      </x:c>
      <x:c r="E47" s="20" t="n">
        <x:v>16154</x:v>
      </x:c>
      <x:c r="F47" s="20" t="n">
        <x:f>D47-E47</x:f>
        <x:v>264086</x:v>
      </x:c>
      <x:c r="G47" s="20" t="n">
        <x:f>SUMIFS($F$7:$F$56,$A$7:$A$56,A47,$B$7:$B$56,"&lt;="&amp;B47)</x:f>
        <x:v>2148104</x:v>
      </x:c>
      <x:c r="H47" s="20" t="n">
        <x:v>1914</x:v>
      </x:c>
      <x:c r="I47" s="20" t="n">
        <x:v>266000</x:v>
      </x:c>
      <x:c r="J47" s="29" t="n">
        <x:v>16</x:v>
      </x:c>
      <x:c r="K47" s="29" t="n">
        <x:v>25</x:v>
      </x:c>
      <x:c r="L47" s="29" t="n">
        <x:v>10</x:v>
      </x:c>
      <x:c r="M47" s="31" t="str">
        <x:v>対照47場</x:v>
      </x:c>
      <x:c r="N47" s="30" t="n">
        <x:v>46.78333333333333</x:v>
      </x:c>
      <x:c r="O47" s="30" t="n">
        <x:v>363.21666666666664</x:v>
      </x:c>
      <x:c r="P47" s="26" t="n">
        <x:f>O47/IF(C47="デイ",420,780)</x:f>
        <x:v>0.8648015873015873</x:v>
      </x:c>
      <x:c r="Q47" s="27" t="n">
        <x:v>5.097420634920635</x:v>
      </x:c>
    </x:row>
    <x:row r="48" ht="22" customHeight="1">
      <x:c r="A48" s="2" t="str">
        <x:v>M1</x:v>
      </x:c>
      <x:c r="B48" s="24" t="d">
        <x:v>2026-10-19T17:00:00.000Z</x:v>
      </x:c>
      <x:c r="C48" s="2" t="str">
        <x:v>ナイト</x:v>
      </x:c>
      <x:c r="D48" s="20" t="n">
        <x:v>62234</x:v>
      </x:c>
      <x:c r="E48" s="20" t="n">
        <x:v>54538</x:v>
      </x:c>
      <x:c r="F48" s="20" t="n">
        <x:f>D48-E48</x:f>
        <x:v>7696</x:v>
      </x:c>
      <x:c r="G48" s="20" t="n">
        <x:f>SUMIFS($F$7:$F$56,$A$7:$A$56,A48,$B$7:$B$56,"&lt;="&amp;B48)</x:f>
        <x:v>2155800</x:v>
      </x:c>
      <x:c r="H48" s="20" t="n">
        <x:v>1304</x:v>
      </x:c>
      <x:c r="I48" s="20" t="n">
        <x:v>9000</x:v>
      </x:c>
      <x:c r="J48" s="29" t="n">
        <x:v>7</x:v>
      </x:c>
      <x:c r="K48" s="29" t="n">
        <x:v>17</x:v>
      </x:c>
      <x:c r="L48" s="29" t="n">
        <x:v>5</x:v>
      </x:c>
      <x:c r="M48" s="31" t="str">
        <x:v>対照47場</x:v>
      </x:c>
      <x:c r="N48" s="30" t="n">
        <x:v>352.01666666666665</x:v>
      </x:c>
      <x:c r="O48" s="30" t="n">
        <x:v>34.833333333333336</x:v>
      </x:c>
      <x:c r="P48" s="26" t="n">
        <x:f>O48/IF(C48="デイ",420,780)</x:f>
        <x:v>0.04465811965811966</x:v>
      </x:c>
      <x:c r="Q48" s="27" t="n">
        <x:v>0.16901709401709403</x:v>
      </x:c>
    </x:row>
    <x:row r="49" ht="22" customHeight="1">
      <x:c r="A49" s="2" t="str">
        <x:v>M1</x:v>
      </x:c>
      <x:c r="B49" s="24" t="d">
        <x:v>2026-10-20T08:45:00.000Z</x:v>
      </x:c>
      <x:c r="C49" s="2" t="str">
        <x:v>デイ</x:v>
      </x:c>
      <x:c r="D49" s="20" t="n">
        <x:v>137466</x:v>
      </x:c>
      <x:c r="E49" s="20" t="n">
        <x:v>115846</x:v>
      </x:c>
      <x:c r="F49" s="20" t="n">
        <x:f>D49-E49</x:f>
        <x:v>21620</x:v>
      </x:c>
      <x:c r="G49" s="20" t="n">
        <x:f>SUMIFS($F$7:$F$56,$A$7:$A$56,A49,$B$7:$B$56,"&lt;="&amp;B49)</x:f>
        <x:v>2177420</x:v>
      </x:c>
      <x:c r="H49" s="20" t="n">
        <x:v>2380</x:v>
      </x:c>
      <x:c r="I49" s="20" t="n">
        <x:v>24000</x:v>
      </x:c>
      <x:c r="J49" s="29" t="n">
        <x:v>11</x:v>
      </x:c>
      <x:c r="K49" s="29" t="n">
        <x:v>31</x:v>
      </x:c>
      <x:c r="L49" s="29" t="n">
        <x:v>10</x:v>
      </x:c>
      <x:c r="M49" s="31" t="str">
        <x:v>対照47場</x:v>
      </x:c>
      <x:c r="N49" s="30" t="n">
        <x:v>79.45</x:v>
      </x:c>
      <x:c r="O49" s="30" t="n">
        <x:v>208.98333333333332</x:v>
      </x:c>
      <x:c r="P49" s="26" t="n">
        <x:f>O49/IF(C49="デイ",420,780)</x:f>
        <x:v>0.49757936507936507</x:v>
      </x:c>
      <x:c r="Q49" s="27" t="n">
        <x:v>2.184801587301587</x:v>
      </x:c>
    </x:row>
    <x:row r="50" ht="22" customHeight="1">
      <x:c r="A50" s="2" t="str">
        <x:v>M1</x:v>
      </x:c>
      <x:c r="B50" s="24" t="d">
        <x:v>2026-10-20T17:00:00.000Z</x:v>
      </x:c>
      <x:c r="C50" s="2" t="str">
        <x:v>ナイト</x:v>
      </x:c>
      <x:c r="D50" s="20" t="n">
        <x:v>412234</x:v>
      </x:c>
      <x:c r="E50" s="20" t="n">
        <x:v>70384</x:v>
      </x:c>
      <x:c r="F50" s="20" t="n">
        <x:f>D50-E50</x:f>
        <x:v>341850</x:v>
      </x:c>
      <x:c r="G50" s="20" t="n">
        <x:f>SUMIFS($F$7:$F$56,$A$7:$A$56,A50,$B$7:$B$56,"&lt;="&amp;B50)</x:f>
        <x:v>2519270</x:v>
      </x:c>
      <x:c r="H50" s="20" t="n">
        <x:v>1150</x:v>
      </x:c>
      <x:c r="I50" s="20" t="n">
        <x:v>343000</x:v>
      </x:c>
      <x:c r="J50" s="29" t="n">
        <x:v>8</x:v>
      </x:c>
      <x:c r="K50" s="29" t="n">
        <x:v>15</x:v>
      </x:c>
      <x:c r="L50" s="29" t="n">
        <x:v>7</x:v>
      </x:c>
      <x:c r="M50" s="31" t="str">
        <x:v>対照47場</x:v>
      </x:c>
      <x:c r="N50" s="30" t="n">
        <x:v>346.26666666666665</x:v>
      </x:c>
      <x:c r="O50" s="30" t="n">
        <x:v>73.9</x:v>
      </x:c>
      <x:c r="P50" s="26" t="n">
        <x:f>O50/IF(C50="デイ",420,780)</x:f>
        <x:v>0.09474358974358975</x:v>
      </x:c>
      <x:c r="Q50" s="27" t="n">
        <x:v>0.4636752136752137</x:v>
      </x:c>
    </x:row>
    <x:row r="51" ht="22" customHeight="1">
      <x:c r="A51" s="2" t="str">
        <x:v>M1</x:v>
      </x:c>
      <x:c r="B51" s="24" t="d">
        <x:v>2026-10-21T08:45:00.000Z</x:v>
      </x:c>
      <x:c r="C51" s="2" t="str">
        <x:v>デイ</x:v>
      </x:c>
      <x:c r="D51" s="20" t="n">
        <x:v>168928</x:v>
      </x:c>
      <x:c r="E51" s="20" t="n">
        <x:v>246920</x:v>
      </x:c>
      <x:c r="F51" s="20" t="n">
        <x:f>D51-E51</x:f>
        <x:v>-77992</x:v>
      </x:c>
      <x:c r="G51" s="20" t="n">
        <x:f>SUMIFS($F$7:$F$56,$A$7:$A$56,A51,$B$7:$B$56,"&lt;="&amp;B51)</x:f>
        <x:v>2441278</x:v>
      </x:c>
      <x:c r="H51" s="20" t="n">
        <x:v>2992</x:v>
      </x:c>
      <x:c r="I51" s="20" t="n">
        <x:v>-75000</x:v>
      </x:c>
      <x:c r="J51" s="29" t="n">
        <x:v>13</x:v>
      </x:c>
      <x:c r="K51" s="29" t="n">
        <x:v>39</x:v>
      </x:c>
      <x:c r="L51" s="29" t="n">
        <x:v>5</x:v>
      </x:c>
      <x:c r="M51" s="31" t="str">
        <x:v>対照47場</x:v>
      </x:c>
      <x:c r="N51" s="30" t="n">
        <x:v>50.11666666666667</x:v>
      </x:c>
      <x:c r="O51" s="30" t="n">
        <x:v>164.5</x:v>
      </x:c>
      <x:c r="P51" s="26" t="n">
        <x:f>O51/IF(C51="デイ",420,780)</x:f>
        <x:v>0.39166666666666666</x:v>
      </x:c>
      <x:c r="Q51" s="27" t="n">
        <x:v>1.5049603174603174</x:v>
      </x:c>
    </x:row>
    <x:row r="52" ht="22" customHeight="1">
      <x:c r="A52" s="2" t="str">
        <x:v>M1</x:v>
      </x:c>
      <x:c r="B52" s="24" t="d">
        <x:v>2026-10-21T17:00:00.000Z</x:v>
      </x:c>
      <x:c r="C52" s="2" t="str">
        <x:v>ナイト</x:v>
      </x:c>
      <x:c r="D52" s="20" t="n">
        <x:v>44616</x:v>
      </x:c>
      <x:c r="E52" s="20" t="n">
        <x:v>85768</x:v>
      </x:c>
      <x:c r="F52" s="20" t="n">
        <x:f>D52-E52</x:f>
        <x:v>-41152</x:v>
      </x:c>
      <x:c r="G52" s="20" t="n">
        <x:f>SUMIFS($F$7:$F$56,$A$7:$A$56,A52,$B$7:$B$56,"&lt;="&amp;B52)</x:f>
        <x:v>2400126</x:v>
      </x:c>
      <x:c r="H52" s="20" t="n">
        <x:v>1152</x:v>
      </x:c>
      <x:c r="I52" s="20" t="n">
        <x:v>-40000</x:v>
      </x:c>
      <x:c r="J52" s="29" t="n">
        <x:v>3</x:v>
      </x:c>
      <x:c r="K52" s="29" t="n">
        <x:v>15</x:v>
      </x:c>
      <x:c r="L52" s="29" t="n">
        <x:v>5</x:v>
      </x:c>
      <x:c r="M52" s="31" t="str">
        <x:v>対照47場</x:v>
      </x:c>
      <x:c r="N52" s="30" t="n">
        <x:v>360</x:v>
      </x:c>
      <x:c r="O52" s="30" t="n">
        <x:v>93.56666666666666</x:v>
      </x:c>
      <x:c r="P52" s="26" t="n">
        <x:f>O52/IF(C52="デイ",420,780)</x:f>
        <x:v>0.11995726495726496</x:v>
      </x:c>
      <x:c r="Q52" s="27" t="n">
        <x:v>0.5997863247863248</x:v>
      </x:c>
    </x:row>
    <x:row r="53" ht="22" customHeight="1">
      <x:c r="A53" s="2" t="str">
        <x:v>M1</x:v>
      </x:c>
      <x:c r="B53" s="24" t="d">
        <x:v>2026-10-22T08:45:00.000Z</x:v>
      </x:c>
      <x:c r="C53" s="2" t="str">
        <x:v>デイ</x:v>
      </x:c>
      <x:c r="D53" s="20" t="n">
        <x:v>389234</x:v>
      </x:c>
      <x:c r="E53" s="20" t="n">
        <x:v>70308</x:v>
      </x:c>
      <x:c r="F53" s="20" t="n">
        <x:f>D53-E53</x:f>
        <x:v>318926</x:v>
      </x:c>
      <x:c r="G53" s="20" t="n">
        <x:f>SUMIFS($F$7:$F$56,$A$7:$A$56,A53,$B$7:$B$56,"&lt;="&amp;B53)</x:f>
        <x:v>2719052</x:v>
      </x:c>
      <x:c r="H53" s="20" t="n">
        <x:v>1074</x:v>
      </x:c>
      <x:c r="I53" s="20" t="n">
        <x:v>320000</x:v>
      </x:c>
      <x:c r="J53" s="29" t="n">
        <x:v>7</x:v>
      </x:c>
      <x:c r="K53" s="29" t="n">
        <x:v>14</x:v>
      </x:c>
      <x:c r="L53" s="29" t="n">
        <x:v>5</x:v>
      </x:c>
      <x:c r="M53" s="31" t="str">
        <x:v>対照47場</x:v>
      </x:c>
      <x:c r="N53" s="30" t="n">
        <x:v>79.91666666666667</x:v>
      </x:c>
      <x:c r="O53" s="30" t="n">
        <x:v>250.81666666666666</x:v>
      </x:c>
      <x:c r="P53" s="26" t="n">
        <x:f>O53/IF(C53="デイ",420,780)</x:f>
        <x:v>0.5971825396825396</x:v>
      </x:c>
      <x:c r="Q53" s="27" t="n">
        <x:v>2.3267063492063493</x:v>
      </x:c>
    </x:row>
    <x:row r="54" ht="22" customHeight="1">
      <x:c r="A54" s="2" t="str">
        <x:v>M1</x:v>
      </x:c>
      <x:c r="B54" s="24" t="d">
        <x:v>2026-10-22T17:00:00.000Z</x:v>
      </x:c>
      <x:c r="C54" s="2" t="str">
        <x:v>ナイト</x:v>
      </x:c>
      <x:c r="D54" s="20" t="n">
        <x:v>106462</x:v>
      </x:c>
      <x:c r="E54" s="20" t="n">
        <x:v>55384</x:v>
      </x:c>
      <x:c r="F54" s="20" t="n">
        <x:f>D54-E54</x:f>
        <x:v>51078</x:v>
      </x:c>
      <x:c r="G54" s="20" t="n">
        <x:f>SUMIFS($F$7:$F$56,$A$7:$A$56,A54,$B$7:$B$56,"&lt;="&amp;B54)</x:f>
        <x:v>2770130</x:v>
      </x:c>
      <x:c r="H54" s="20" t="n">
        <x:v>922</x:v>
      </x:c>
      <x:c r="I54" s="20" t="n">
        <x:v>52000</x:v>
      </x:c>
      <x:c r="J54" s="29" t="n">
        <x:v>3</x:v>
      </x:c>
      <x:c r="K54" s="29" t="n">
        <x:v>12</x:v>
      </x:c>
      <x:c r="L54" s="29" t="n">
        <x:v>5</x:v>
      </x:c>
      <x:c r="M54" s="31" t="str">
        <x:v>診断3場</x:v>
      </x:c>
      <x:c r="N54" s="30" t="n">
        <x:v>360.06666666666666</x:v>
      </x:c>
      <x:c r="O54" s="30" t="n">
        <x:v>26.366666666666667</x:v>
      </x:c>
      <x:c r="P54" s="26" t="n">
        <x:f>O54/IF(C54="デイ",420,780)</x:f>
        <x:v>0.033803418803418805</x:v>
      </x:c>
      <x:c r="Q54" s="27" t="n">
        <x:v>0.15254273504273505</x:v>
      </x:c>
    </x:row>
    <x:row r="55" ht="22" customHeight="1">
      <x:c r="A55" s="2" t="str">
        <x:v>M1</x:v>
      </x:c>
      <x:c r="B55" s="24" t="d">
        <x:v>2026-10-23T08:45:00.000Z</x:v>
      </x:c>
      <x:c r="C55" s="2" t="str">
        <x:v>デイ</x:v>
      </x:c>
      <x:c r="D55" s="20" t="n">
        <x:v>76618</x:v>
      </x:c>
      <x:c r="E55" s="20" t="n">
        <x:v>99692</x:v>
      </x:c>
      <x:c r="F55" s="20" t="n">
        <x:f>D55-E55</x:f>
        <x:v>-23074</x:v>
      </x:c>
      <x:c r="G55" s="20" t="n">
        <x:f>SUMIFS($F$7:$F$56,$A$7:$A$56,A55,$B$7:$B$56,"&lt;="&amp;B55)</x:f>
        <x:v>2747056</x:v>
      </x:c>
      <x:c r="H55" s="20" t="n">
        <x:v>1074</x:v>
      </x:c>
      <x:c r="I55" s="20" t="n">
        <x:v>-22000</x:v>
      </x:c>
      <x:c r="J55" s="29" t="n">
        <x:v>7</x:v>
      </x:c>
      <x:c r="K55" s="29" t="n">
        <x:v>14</x:v>
      </x:c>
      <x:c r="L55" s="29" t="n">
        <x:v>5</x:v>
      </x:c>
      <x:c r="M55" s="31" t="str">
        <x:v>診断3場</x:v>
      </x:c>
      <x:c r="N55" s="30" t="n">
        <x:v>95.1</x:v>
      </x:c>
      <x:c r="O55" s="30" t="n">
        <x:v>217.81666666666666</x:v>
      </x:c>
      <x:c r="P55" s="26" t="n">
        <x:f>O55/IF(C55="デイ",420,780)</x:f>
        <x:v>0.5186111111111111</x:v>
      </x:c>
      <x:c r="Q55" s="27" t="n">
        <x:v>1.381468253968254</x:v>
      </x:c>
    </x:row>
    <x:row r="56" ht="22" customHeight="1">
      <x:c r="A56" s="2" t="str">
        <x:v>M1</x:v>
      </x:c>
      <x:c r="B56" s="24" t="d">
        <x:v>2026-10-23T17:00:00.000Z</x:v>
      </x:c>
      <x:c r="C56" s="2" t="str">
        <x:v>ナイト</x:v>
      </x:c>
      <x:c r="D56" s="20" t="n">
        <x:v>0</x:v>
      </x:c>
      <x:c r="E56" s="20" t="n">
        <x:v>61538</x:v>
      </x:c>
      <x:c r="F56" s="20" t="n">
        <x:f>D56-E56</x:f>
        <x:v>-61538</x:v>
      </x:c>
      <x:c r="G56" s="20" t="n">
        <x:f>SUMIFS($F$7:$F$56,$A$7:$A$56,A56,$B$7:$B$56,"&lt;="&amp;B56)</x:f>
        <x:v>2685518</x:v>
      </x:c>
      <x:c r="H56" s="20" t="n">
        <x:v>538</x:v>
      </x:c>
      <x:c r="I56" s="20" t="n">
        <x:v>-61000</x:v>
      </x:c>
      <x:c r="J56" s="29" t="n">
        <x:v>2</x:v>
      </x:c>
      <x:c r="K56" s="29" t="n">
        <x:v>7</x:v>
      </x:c>
      <x:c r="L56" s="29" t="n">
        <x:v>5</x:v>
      </x:c>
      <x:c r="M56" s="31" t="str">
        <x:v>診断3場</x:v>
      </x:c>
      <x:c r="N56" s="30" t="n">
        <x:v>360.03333333333336</x:v>
      </x:c>
      <x:c r="O56" s="30" t="n">
        <x:v>11.666666666666666</x:v>
      </x:c>
      <x:c r="P56" s="26" t="n">
        <x:f>O56/IF(C56="デイ",420,780)</x:f>
        <x:v>0.014957264957264956</x:v>
      </x:c>
      <x:c r="Q56" s="27" t="n">
        <x:v>0.03594017094017094</x:v>
      </x:c>
    </x:row>
  </x:sheetData>
  <x:conditionalFormatting sqref="D7:I56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79a78fa5da4557"/>
  </x:tableParts>
</x:worksheet>
</file>

<file path=xl/worksheets/sheet6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日経mini F1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片方向上限10枚。金額は円・手数料後。保有率は昼420分・夜780分が分母。平均保有枚数も公式時間全体で平均し、両建ては合計枚数で数えます。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昼：M1（G02）／夜：J04。対照47場：9/21～10/22デイ。診断3場：10/22ナイト～10/23ナイト。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赤字場数を重視した条件切替案。出典：00142保存会計。診断3場は原因分析と改善に使用した期間です。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7" t="str">
        <x:v>保有（分）</x:v>
      </x:c>
      <x:c r="P6" s="17" t="str">
        <x:v>保有率</x:v>
      </x:c>
      <x:c r="Q6" s="18" t="str">
        <x:v>平均保有枚数</x:v>
      </x:c>
    </x:row>
    <x:row r="7" ht="22" customHeight="1">
      <x:c r="A7" s="2" t="str">
        <x:v>F1</x:v>
      </x:c>
      <x:c r="B7" s="24" t="d">
        <x:v>2026-09-21T08:45:00.000Z</x:v>
      </x:c>
      <x:c r="C7" s="2" t="str">
        <x:v>デイ</x:v>
      </x:c>
      <x:c r="D7" s="20" t="n">
        <x:v>85616</x:v>
      </x:c>
      <x:c r="E7" s="20" t="n">
        <x:v>0</x:v>
      </x:c>
      <x:c r="F7" s="20" t="n">
        <x:f>D7-E7</x:f>
        <x:v>85616</x:v>
      </x:c>
      <x:c r="G7" s="20" t="n">
        <x:f>SUMIFS($F$7:$F$56,$A$7:$A$56,A7,$B$7:$B$56,"&lt;="&amp;B7)</x:f>
        <x:v>85616</x:v>
      </x:c>
      <x:c r="H7" s="20" t="n">
        <x:v>384</x:v>
      </x:c>
      <x:c r="I7" s="20" t="n">
        <x:v>86000</x:v>
      </x:c>
      <x:c r="J7" s="29" t="n">
        <x:v>1</x:v>
      </x:c>
      <x:c r="K7" s="29" t="n">
        <x:v>5</x:v>
      </x:c>
      <x:c r="L7" s="29" t="n">
        <x:v>5</x:v>
      </x:c>
      <x:c r="M7" s="31" t="str">
        <x:v>対照47場</x:v>
      </x:c>
      <x:c r="N7" s="30" t="n">
        <x:v>190.06666666666666</x:v>
      </x:c>
      <x:c r="O7" s="30" t="n">
        <x:v>167.2</x:v>
      </x:c>
      <x:c r="P7" s="26" t="n">
        <x:f>O7/IF(C7="デイ",420,780)</x:f>
        <x:v>0.39809523809523806</x:v>
      </x:c>
      <x:c r="Q7" s="27" t="n">
        <x:v>1.4817460317460318</x:v>
      </x:c>
    </x:row>
    <x:row r="8" ht="22" customHeight="1">
      <x:c r="A8" s="2" t="str">
        <x:v>F1</x:v>
      </x:c>
      <x:c r="B8" s="24" t="d">
        <x:v>2026-09-21T17:00:00.000Z</x:v>
      </x:c>
      <x:c r="C8" s="2" t="str">
        <x:v>ナイト</x:v>
      </x:c>
      <x:c r="D8" s="20" t="n">
        <x:v>0</x:v>
      </x:c>
      <x:c r="E8" s="20" t="n">
        <x:v>45384</x:v>
      </x:c>
      <x:c r="F8" s="20" t="n">
        <x:f>D8-E8</x:f>
        <x:v>-45384</x:v>
      </x:c>
      <x:c r="G8" s="20" t="n">
        <x:f>SUMIFS($F$7:$F$56,$A$7:$A$56,A8,$B$7:$B$56,"&lt;="&amp;B8)</x:f>
        <x:v>40232</x:v>
      </x:c>
      <x:c r="H8" s="20" t="n">
        <x:v>384</x:v>
      </x:c>
      <x:c r="I8" s="20" t="n">
        <x:v>-45000</x:v>
      </x:c>
      <x:c r="J8" s="29" t="n">
        <x:v>1</x:v>
      </x:c>
      <x:c r="K8" s="29" t="n">
        <x:v>5</x:v>
      </x:c>
      <x:c r="L8" s="29" t="n">
        <x:v>5</x:v>
      </x:c>
      <x:c r="M8" s="31" t="str">
        <x:v>対照47場</x:v>
      </x:c>
      <x:c r="N8" s="30" t="n">
        <x:v>360.01666666666665</x:v>
      </x:c>
      <x:c r="O8" s="30" t="n">
        <x:v>5.666666666666667</x:v>
      </x:c>
      <x:c r="P8" s="26" t="n">
        <x:f>O8/IF(C8="デイ",420,780)</x:f>
        <x:v>0.007264957264957265</x:v>
      </x:c>
      <x:c r="Q8" s="27" t="n">
        <x:v>0.03632478632478633</x:v>
      </x:c>
    </x:row>
    <x:row r="9" ht="22" customHeight="1">
      <x:c r="A9" s="2" t="str">
        <x:v>F1</x:v>
      </x:c>
      <x:c r="B9" s="24" t="d">
        <x:v>2026-09-22T08:45:00.000Z</x:v>
      </x:c>
      <x:c r="C9" s="2" t="str">
        <x:v>デイ</x:v>
      </x:c>
      <x:c r="D9" s="20" t="n">
        <x:v>0</x:v>
      </x:c>
      <x:c r="E9" s="20" t="n">
        <x:v>106152</x:v>
      </x:c>
      <x:c r="F9" s="20" t="n">
        <x:f>D9-E9</x:f>
        <x:v>-106152</x:v>
      </x:c>
      <x:c r="G9" s="20" t="n">
        <x:f>SUMIFS($F$7:$F$56,$A$7:$A$56,A9,$B$7:$B$56,"&lt;="&amp;B9)</x:f>
        <x:v>-65920</x:v>
      </x:c>
      <x:c r="H9" s="20" t="n">
        <x:v>1152</x:v>
      </x:c>
      <x:c r="I9" s="20" t="n">
        <x:v>-105000</x:v>
      </x:c>
      <x:c r="J9" s="29" t="n">
        <x:v>3</x:v>
      </x:c>
      <x:c r="K9" s="29" t="n">
        <x:v>15</x:v>
      </x:c>
      <x:c r="L9" s="29" t="n">
        <x:v>5</x:v>
      </x:c>
      <x:c r="M9" s="31" t="str">
        <x:v>対照47場</x:v>
      </x:c>
      <x:c r="N9" s="30" t="n">
        <x:v>242.78333333333333</x:v>
      </x:c>
      <x:c r="O9" s="30" t="n">
        <x:v>28.166666666666668</x:v>
      </x:c>
      <x:c r="P9" s="26" t="n">
        <x:f>O9/IF(C9="デイ",420,780)</x:f>
        <x:v>0.06706349206349206</x:v>
      </x:c>
      <x:c r="Q9" s="27" t="n">
        <x:v>0.3353174603174603</x:v>
      </x:c>
    </x:row>
    <x:row r="10" ht="22" customHeight="1">
      <x:c r="A10" s="2" t="str">
        <x:v>F1</x:v>
      </x:c>
      <x:c r="B10" s="24" t="d">
        <x:v>2026-09-22T17:00:00.000Z</x:v>
      </x:c>
      <x:c r="C10" s="2" t="str">
        <x:v>ナイト</x:v>
      </x:c>
      <x:c r="D10" s="20" t="n">
        <x:v>39616</x:v>
      </x:c>
      <x:c r="E10" s="20" t="n">
        <x:v>0</x:v>
      </x:c>
      <x:c r="F10" s="20" t="n">
        <x:f>D10-E10</x:f>
        <x:v>39616</x:v>
      </x:c>
      <x:c r="G10" s="20" t="n">
        <x:f>SUMIFS($F$7:$F$56,$A$7:$A$56,A10,$B$7:$B$56,"&lt;="&amp;B10)</x:f>
        <x:v>-26304</x:v>
      </x:c>
      <x:c r="H10" s="20" t="n">
        <x:v>384</x:v>
      </x:c>
      <x:c r="I10" s="20" t="n">
        <x:v>40000</x:v>
      </x:c>
      <x:c r="J10" s="29" t="n">
        <x:v>1</x:v>
      </x:c>
      <x:c r="K10" s="29" t="n">
        <x:v>5</x:v>
      </x:c>
      <x:c r="L10" s="29" t="n">
        <x:v>5</x:v>
      </x:c>
      <x:c r="M10" s="31" t="str">
        <x:v>対照47場</x:v>
      </x:c>
      <x:c r="N10" s="30" t="n">
        <x:v>360.1</x:v>
      </x:c>
      <x:c r="O10" s="30" t="n">
        <x:v>13.583333333333334</x:v>
      </x:c>
      <x:c r="P10" s="26" t="n">
        <x:f>O10/IF(C10="デイ",420,780)</x:f>
        <x:v>0.017414529914529915</x:v>
      </x:c>
      <x:c r="Q10" s="27" t="n">
        <x:v>0.08707264957264957</x:v>
      </x:c>
    </x:row>
    <x:row r="11" ht="22" customHeight="1">
      <x:c r="A11" s="2" t="str">
        <x:v>F1</x:v>
      </x:c>
      <x:c r="B11" s="24" t="d">
        <x:v>2026-09-23T08:45:00.000Z</x:v>
      </x:c>
      <x:c r="C11" s="2" t="str">
        <x:v>デイ</x:v>
      </x:c>
      <x:c r="D11" s="20" t="n">
        <x:v>0</x:v>
      </x:c>
      <x:c r="E11" s="20" t="n">
        <x:v>4384</x:v>
      </x:c>
      <x:c r="F11" s="20" t="n">
        <x:f>D11-E11</x:f>
        <x:v>-4384</x:v>
      </x:c>
      <x:c r="G11" s="20" t="n">
        <x:f>SUMIFS($F$7:$F$56,$A$7:$A$56,A11,$B$7:$B$56,"&lt;="&amp;B11)</x:f>
        <x:v>-30688</x:v>
      </x:c>
      <x:c r="H11" s="20" t="n">
        <x:v>384</x:v>
      </x:c>
      <x:c r="I11" s="20" t="n">
        <x:v>-4000</x:v>
      </x:c>
      <x:c r="J11" s="29" t="n">
        <x:v>1</x:v>
      </x:c>
      <x:c r="K11" s="29" t="n">
        <x:v>5</x:v>
      </x:c>
      <x:c r="L11" s="29" t="n">
        <x:v>5</x:v>
      </x:c>
      <x:c r="M11" s="31" t="str">
        <x:v>対照47場</x:v>
      </x:c>
      <x:c r="N11" s="30" t="n">
        <x:v>68.15</x:v>
      </x:c>
      <x:c r="O11" s="30" t="n">
        <x:v>313.75</x:v>
      </x:c>
      <x:c r="P11" s="26" t="n">
        <x:f>O11/IF(C11="デイ",420,780)</x:f>
        <x:v>0.7470238095238095</x:v>
      </x:c>
      <x:c r="Q11" s="27" t="n">
        <x:v>2.6480555555555556</x:v>
      </x:c>
    </x:row>
    <x:row r="12" ht="22" customHeight="1">
      <x:c r="A12" s="2" t="str">
        <x:v>F1</x:v>
      </x:c>
      <x:c r="B12" s="24" t="d">
        <x:v>2026-09-23T17:00:00.000Z</x:v>
      </x:c>
      <x:c r="C12" s="2" t="str">
        <x:v>ナイト</x:v>
      </x:c>
      <x:c r="D12" s="20" t="n">
        <x:v>0</x:v>
      </x:c>
      <x:c r="E12" s="20" t="n">
        <x:v>40384</x:v>
      </x:c>
      <x:c r="F12" s="20" t="n">
        <x:f>D12-E12</x:f>
        <x:v>-40384</x:v>
      </x:c>
      <x:c r="G12" s="20" t="n">
        <x:f>SUMIFS($F$7:$F$56,$A$7:$A$56,A12,$B$7:$B$56,"&lt;="&amp;B12)</x:f>
        <x:v>-71072</x:v>
      </x:c>
      <x:c r="H12" s="20" t="n">
        <x:v>384</x:v>
      </x:c>
      <x:c r="I12" s="20" t="n">
        <x:v>-40000</x:v>
      </x:c>
      <x:c r="J12" s="29" t="n">
        <x:v>1</x:v>
      </x:c>
      <x:c r="K12" s="29" t="n">
        <x:v>5</x:v>
      </x:c>
      <x:c r="L12" s="29" t="n">
        <x:v>5</x:v>
      </x:c>
      <x:c r="M12" s="31" t="str">
        <x:v>対照47場</x:v>
      </x:c>
      <x:c r="N12" s="30" t="n">
        <x:v>358.03333333333336</x:v>
      </x:c>
      <x:c r="O12" s="30" t="n">
        <x:v>2.15</x:v>
      </x:c>
      <x:c r="P12" s="26" t="n">
        <x:f>O12/IF(C12="デイ",420,780)</x:f>
        <x:v>0.0027564102564102562</x:v>
      </x:c>
      <x:c r="Q12" s="27" t="n">
        <x:v>0.013782051282051282</x:v>
      </x:c>
    </x:row>
    <x:row r="13" ht="22" customHeight="1">
      <x:c r="A13" s="2" t="str">
        <x:v>F1</x:v>
      </x:c>
      <x:c r="B13" s="24" t="d">
        <x:v>2026-09-24T08:45:00.000Z</x:v>
      </x:c>
      <x:c r="C13" s="2" t="str">
        <x:v>デイ</x:v>
      </x:c>
      <x:c r="D13" s="20" t="n">
        <x:v>82234</x:v>
      </x:c>
      <x:c r="E13" s="20" t="n">
        <x:v>85768</x:v>
      </x:c>
      <x:c r="F13" s="20" t="n">
        <x:f>D13-E13</x:f>
        <x:v>-3534</x:v>
      </x:c>
      <x:c r="G13" s="20" t="n">
        <x:f>SUMIFS($F$7:$F$56,$A$7:$A$56,A13,$B$7:$B$56,"&lt;="&amp;B13)</x:f>
        <x:v>-74606</x:v>
      </x:c>
      <x:c r="H13" s="20" t="n">
        <x:v>1534</x:v>
      </x:c>
      <x:c r="I13" s="20" t="n">
        <x:v>-2000</x:v>
      </x:c>
      <x:c r="J13" s="29" t="n">
        <x:v>7</x:v>
      </x:c>
      <x:c r="K13" s="29" t="n">
        <x:v>20</x:v>
      </x:c>
      <x:c r="L13" s="29" t="n">
        <x:v>7</x:v>
      </x:c>
      <x:c r="M13" s="31" t="str">
        <x:v>対照47場</x:v>
      </x:c>
      <x:c r="N13" s="30" t="n">
        <x:v>58.1</x:v>
      </x:c>
      <x:c r="O13" s="30" t="n">
        <x:v>303.46666666666664</x:v>
      </x:c>
      <x:c r="P13" s="26" t="n">
        <x:f>O13/IF(C13="デイ",420,780)</x:f>
        <x:v>0.7225396825396825</x:v>
      </x:c>
      <x:c r="Q13" s="27" t="n">
        <x:v>2.440873015873016</x:v>
      </x:c>
    </x:row>
    <x:row r="14" ht="22" customHeight="1">
      <x:c r="A14" s="2" t="str">
        <x:v>F1</x:v>
      </x:c>
      <x:c r="B14" s="24" t="d">
        <x:v>2026-09-24T17:00:00.000Z</x:v>
      </x:c>
      <x:c r="C14" s="2" t="str">
        <x:v>ナイト</x:v>
      </x:c>
      <x:c r="D14" s="20" t="n">
        <x:v>44616</x:v>
      </x:c>
      <x:c r="E14" s="20" t="n">
        <x:v>40384</x:v>
      </x:c>
      <x:c r="F14" s="20" t="n">
        <x:f>D14-E14</x:f>
        <x:v>4232</x:v>
      </x:c>
      <x:c r="G14" s="20" t="n">
        <x:f>SUMIFS($F$7:$F$56,$A$7:$A$56,A14,$B$7:$B$56,"&lt;="&amp;B14)</x:f>
        <x:v>-70374</x:v>
      </x:c>
      <x:c r="H14" s="20" t="n">
        <x:v>768</x:v>
      </x:c>
      <x:c r="I14" s="20" t="n">
        <x:v>5000</x:v>
      </x:c>
      <x:c r="J14" s="29" t="n">
        <x:v>2</x:v>
      </x:c>
      <x:c r="K14" s="29" t="n">
        <x:v>10</x:v>
      </x:c>
      <x:c r="L14" s="29" t="n">
        <x:v>5</x:v>
      </x:c>
      <x:c r="M14" s="31" t="str">
        <x:v>対照47場</x:v>
      </x:c>
      <x:c r="N14" s="30" t="n">
        <x:v>360.3333333333333</x:v>
      </x:c>
      <x:c r="O14" s="30" t="n">
        <x:v>13.133333333333333</x:v>
      </x:c>
      <x:c r="P14" s="26" t="n">
        <x:f>O14/IF(C14="デイ",420,780)</x:f>
        <x:v>0.016837606837606836</x:v>
      </x:c>
      <x:c r="Q14" s="27" t="n">
        <x:v>0.0841880341880342</x:v>
      </x:c>
    </x:row>
    <x:row r="15" ht="22" customHeight="1">
      <x:c r="A15" s="2" t="str">
        <x:v>F1</x:v>
      </x:c>
      <x:c r="B15" s="24" t="d">
        <x:v>2026-09-25T08:45:00.000Z</x:v>
      </x:c>
      <x:c r="C15" s="2" t="str">
        <x:v>デイ</x:v>
      </x:c>
      <x:c r="D15" s="20" t="n">
        <x:v>149310</x:v>
      </x:c>
      <x:c r="E15" s="20" t="n">
        <x:v>46308</x:v>
      </x:c>
      <x:c r="F15" s="20" t="n">
        <x:f>D15-E15</x:f>
        <x:v>103002</x:v>
      </x:c>
      <x:c r="G15" s="20" t="n">
        <x:f>SUMIFS($F$7:$F$56,$A$7:$A$56,A15,$B$7:$B$56,"&lt;="&amp;B15)</x:f>
        <x:v>32628</x:v>
      </x:c>
      <x:c r="H15" s="20" t="n">
        <x:v>998</x:v>
      </x:c>
      <x:c r="I15" s="20" t="n">
        <x:v>104000</x:v>
      </x:c>
      <x:c r="J15" s="29" t="n">
        <x:v>6</x:v>
      </x:c>
      <x:c r="K15" s="29" t="n">
        <x:v>13</x:v>
      </x:c>
      <x:c r="L15" s="29" t="n">
        <x:v>5</x:v>
      </x:c>
      <x:c r="M15" s="31" t="str">
        <x:v>対照47場</x:v>
      </x:c>
      <x:c r="N15" s="30" t="n">
        <x:v>62.81666666666667</x:v>
      </x:c>
      <x:c r="O15" s="30" t="n">
        <x:v>343.81666666666666</x:v>
      </x:c>
      <x:c r="P15" s="26" t="n">
        <x:f>O15/IF(C15="デイ",420,780)</x:f>
        <x:v>0.8186111111111111</x:v>
      </x:c>
      <x:c r="Q15" s="27" t="n">
        <x:v>3.195436507936508</x:v>
      </x:c>
    </x:row>
    <x:row r="16" ht="22" customHeight="1">
      <x:c r="A16" s="2" t="str">
        <x:v>F1</x:v>
      </x:c>
      <x:c r="B16" s="24" t="d">
        <x:v>2026-09-25T17:00:00.000Z</x:v>
      </x:c>
      <x:c r="C16" s="2" t="str">
        <x:v>ナイト</x:v>
      </x:c>
      <x:c r="D16" s="20" t="n">
        <x:v>14616</x:v>
      </x:c>
      <x:c r="E16" s="20" t="n">
        <x:v>0</x:v>
      </x:c>
      <x:c r="F16" s="20" t="n">
        <x:f>D16-E16</x:f>
        <x:v>14616</x:v>
      </x:c>
      <x:c r="G16" s="20" t="n">
        <x:f>SUMIFS($F$7:$F$56,$A$7:$A$56,A16,$B$7:$B$56,"&lt;="&amp;B16)</x:f>
        <x:v>47244</x:v>
      </x:c>
      <x:c r="H16" s="20" t="n">
        <x:v>384</x:v>
      </x:c>
      <x:c r="I16" s="20" t="n">
        <x:v>15000</x:v>
      </x:c>
      <x:c r="J16" s="29" t="n">
        <x:v>1</x:v>
      </x:c>
      <x:c r="K16" s="29" t="n">
        <x:v>5</x:v>
      </x:c>
      <x:c r="L16" s="29" t="n">
        <x:v>5</x:v>
      </x:c>
      <x:c r="M16" s="31" t="str">
        <x:v>対照47場</x:v>
      </x:c>
      <x:c r="N16" s="30" t="n">
        <x:v>360</x:v>
      </x:c>
      <x:c r="O16" s="30" t="n">
        <x:v>2.433333333333333</x:v>
      </x:c>
      <x:c r="P16" s="26" t="n">
        <x:f>O16/IF(C16="デイ",420,780)</x:f>
        <x:v>0.0031196581196581193</x:v>
      </x:c>
      <x:c r="Q16" s="27" t="n">
        <x:v>0.015598290598290598</x:v>
      </x:c>
    </x:row>
    <x:row r="17" ht="22" customHeight="1">
      <x:c r="A17" s="2" t="str">
        <x:v>F1</x:v>
      </x:c>
      <x:c r="B17" s="24" t="d">
        <x:v>2026-09-28T08:45:00.000Z</x:v>
      </x:c>
      <x:c r="C17" s="2" t="str">
        <x:v>デイ</x:v>
      </x:c>
      <x:c r="D17" s="20" t="n">
        <x:v>261616</x:v>
      </x:c>
      <x:c r="E17" s="20" t="n">
        <x:v>152000</x:v>
      </x:c>
      <x:c r="F17" s="20" t="n">
        <x:f>D17-E17</x:f>
        <x:v>109616</x:v>
      </x:c>
      <x:c r="G17" s="20" t="n">
        <x:f>SUMIFS($F$7:$F$56,$A$7:$A$56,A17,$B$7:$B$56,"&lt;="&amp;B17)</x:f>
        <x:v>156860</x:v>
      </x:c>
      <x:c r="H17" s="20" t="n">
        <x:v>1384</x:v>
      </x:c>
      <x:c r="I17" s="20" t="n">
        <x:v>111000</x:v>
      </x:c>
      <x:c r="J17" s="29" t="n">
        <x:v>6</x:v>
      </x:c>
      <x:c r="K17" s="29" t="n">
        <x:v>18</x:v>
      </x:c>
      <x:c r="L17" s="29" t="n">
        <x:v>5</x:v>
      </x:c>
      <x:c r="M17" s="31" t="str">
        <x:v>対照47場</x:v>
      </x:c>
      <x:c r="N17" s="30" t="n">
        <x:v>66.3</x:v>
      </x:c>
      <x:c r="O17" s="30" t="n">
        <x:v>331.28333333333336</x:v>
      </x:c>
      <x:c r="P17" s="26" t="n">
        <x:f>O17/IF(C17="デイ",420,780)</x:f>
        <x:v>0.7887698412698413</x:v>
      </x:c>
      <x:c r="Q17" s="27" t="n">
        <x:v>3.2113095238095237</x:v>
      </x:c>
    </x:row>
    <x:row r="18" ht="22" customHeight="1">
      <x:c r="A18" s="2" t="str">
        <x:v>F1</x:v>
      </x:c>
      <x:c r="B18" s="24" t="d">
        <x:v>2026-09-28T17:00:00.000Z</x:v>
      </x:c>
      <x:c r="C18" s="2" t="str">
        <x:v>ナイト</x:v>
      </x:c>
      <x:c r="D18" s="20" t="n">
        <x:v>59616</x:v>
      </x:c>
      <x:c r="E18" s="20" t="n">
        <x:v>20154</x:v>
      </x:c>
      <x:c r="F18" s="20" t="n">
        <x:f>D18-E18</x:f>
        <x:v>39462</x:v>
      </x:c>
      <x:c r="G18" s="20" t="n">
        <x:f>SUMIFS($F$7:$F$56,$A$7:$A$56,A18,$B$7:$B$56,"&lt;="&amp;B18)</x:f>
        <x:v>196322</x:v>
      </x:c>
      <x:c r="H18" s="20" t="n">
        <x:v>538</x:v>
      </x:c>
      <x:c r="I18" s="20" t="n">
        <x:v>40000</x:v>
      </x:c>
      <x:c r="J18" s="29" t="n">
        <x:v>2</x:v>
      </x:c>
      <x:c r="K18" s="29" t="n">
        <x:v>7</x:v>
      </x:c>
      <x:c r="L18" s="29" t="n">
        <x:v>5</x:v>
      </x:c>
      <x:c r="M18" s="31" t="str">
        <x:v>対照47場</x:v>
      </x:c>
      <x:c r="N18" s="30" t="n">
        <x:v>349.35</x:v>
      </x:c>
      <x:c r="O18" s="30" t="n">
        <x:v>8.1</x:v>
      </x:c>
      <x:c r="P18" s="26" t="n">
        <x:f>O18/IF(C18="デイ",420,780)</x:f>
        <x:v>0.010384615384615384</x:v>
      </x:c>
      <x:c r="Q18" s="27" t="n">
        <x:v>0.04551282051282051</x:v>
      </x:c>
    </x:row>
    <x:row r="19" ht="22" customHeight="1">
      <x:c r="A19" s="2" t="str">
        <x:v>F1</x:v>
      </x:c>
      <x:c r="B19" s="24" t="d">
        <x:v>2026-09-29T08:45:00.000Z</x:v>
      </x:c>
      <x:c r="C19" s="2" t="str">
        <x:v>デイ</x:v>
      </x:c>
      <x:c r="D19" s="20" t="n">
        <x:v>282232</x:v>
      </x:c>
      <x:c r="E19" s="20" t="n">
        <x:v>127614</x:v>
      </x:c>
      <x:c r="F19" s="20" t="n">
        <x:f>D19-E19</x:f>
        <x:v>154618</x:v>
      </x:c>
      <x:c r="G19" s="20" t="n">
        <x:f>SUMIFS($F$7:$F$56,$A$7:$A$56,A19,$B$7:$B$56,"&lt;="&amp;B19)</x:f>
        <x:v>350940</x:v>
      </x:c>
      <x:c r="H19" s="20" t="n">
        <x:v>1382</x:v>
      </x:c>
      <x:c r="I19" s="20" t="n">
        <x:v>156000</x:v>
      </x:c>
      <x:c r="J19" s="29" t="n">
        <x:v>7</x:v>
      </x:c>
      <x:c r="K19" s="29" t="n">
        <x:v>18</x:v>
      </x:c>
      <x:c r="L19" s="29" t="n">
        <x:v>8</x:v>
      </x:c>
      <x:c r="M19" s="31" t="str">
        <x:v>対照47場</x:v>
      </x:c>
      <x:c r="N19" s="30" t="n">
        <x:v>53.016666666666666</x:v>
      </x:c>
      <x:c r="O19" s="30" t="n">
        <x:v>310.6333333333333</x:v>
      </x:c>
      <x:c r="P19" s="26" t="n">
        <x:f>O19/IF(C19="デイ",420,780)</x:f>
        <x:v>0.7396031746031746</x:v>
      </x:c>
      <x:c r="Q19" s="27" t="n">
        <x:v>3.3022619047619046</x:v>
      </x:c>
    </x:row>
    <x:row r="20" ht="22" customHeight="1">
      <x:c r="A20" s="2" t="str">
        <x:v>F1</x:v>
      </x:c>
      <x:c r="B20" s="24" t="d">
        <x:v>2026-09-29T17:00:00.000Z</x:v>
      </x:c>
      <x:c r="C20" s="2" t="str">
        <x:v>ナイト</x:v>
      </x:c>
      <x:c r="D20" s="20" t="n">
        <x:v>168848</x:v>
      </x:c>
      <x:c r="E20" s="20" t="n">
        <x:v>50384</x:v>
      </x:c>
      <x:c r="F20" s="20" t="n">
        <x:f>D20-E20</x:f>
        <x:v>118464</x:v>
      </x:c>
      <x:c r="G20" s="20" t="n">
        <x:f>SUMIFS($F$7:$F$56,$A$7:$A$56,A20,$B$7:$B$56,"&lt;="&amp;B20)</x:f>
        <x:v>469404</x:v>
      </x:c>
      <x:c r="H20" s="20" t="n">
        <x:v>1536</x:v>
      </x:c>
      <x:c r="I20" s="20" t="n">
        <x:v>120000</x:v>
      </x:c>
      <x:c r="J20" s="29" t="n">
        <x:v>4</x:v>
      </x:c>
      <x:c r="K20" s="29" t="n">
        <x:v>20</x:v>
      </x:c>
      <x:c r="L20" s="29" t="n">
        <x:v>5</x:v>
      </x:c>
      <x:c r="M20" s="31" t="str">
        <x:v>対照47場</x:v>
      </x:c>
      <x:c r="N20" s="30" t="n">
        <x:v>360.01666666666665</x:v>
      </x:c>
      <x:c r="O20" s="30" t="n">
        <x:v>43.95</x:v>
      </x:c>
      <x:c r="P20" s="26" t="n">
        <x:f>O20/IF(C20="デイ",420,780)</x:f>
        <x:v>0.05634615384615385</x:v>
      </x:c>
      <x:c r="Q20" s="27" t="n">
        <x:v>0.28173076923076923</x:v>
      </x:c>
    </x:row>
    <x:row r="21" ht="22" customHeight="1">
      <x:c r="A21" s="2" t="str">
        <x:v>F1</x:v>
      </x:c>
      <x:c r="B21" s="24" t="d">
        <x:v>2026-09-30T08:45:00.000Z</x:v>
      </x:c>
      <x:c r="C21" s="2" t="str">
        <x:v>デイ</x:v>
      </x:c>
      <x:c r="D21" s="20" t="n">
        <x:v>170616</x:v>
      </x:c>
      <x:c r="E21" s="20" t="n">
        <x:v>72614</x:v>
      </x:c>
      <x:c r="F21" s="20" t="n">
        <x:f>D21-E21</x:f>
        <x:v>98002</x:v>
      </x:c>
      <x:c r="G21" s="20" t="n">
        <x:f>SUMIFS($F$7:$F$56,$A$7:$A$56,A21,$B$7:$B$56,"&lt;="&amp;B21)</x:f>
        <x:v>567406</x:v>
      </x:c>
      <x:c r="H21" s="20" t="n">
        <x:v>998</x:v>
      </x:c>
      <x:c r="I21" s="20" t="n">
        <x:v>99000</x:v>
      </x:c>
      <x:c r="J21" s="29" t="n">
        <x:v>4</x:v>
      </x:c>
      <x:c r="K21" s="29" t="n">
        <x:v>13</x:v>
      </x:c>
      <x:c r="L21" s="29" t="n">
        <x:v>5</x:v>
      </x:c>
      <x:c r="M21" s="31" t="str">
        <x:v>対照47場</x:v>
      </x:c>
      <x:c r="N21" s="30" t="n">
        <x:v>161.31666666666666</x:v>
      </x:c>
      <x:c r="O21" s="30" t="n">
        <x:v>162.66666666666666</x:v>
      </x:c>
      <x:c r="P21" s="26" t="n">
        <x:f>O21/IF(C21="デイ",420,780)</x:f>
        <x:v>0.38730158730158726</x:v>
      </x:c>
      <x:c r="Q21" s="27" t="n">
        <x:v>1.2968650793650793</x:v>
      </x:c>
    </x:row>
    <x:row r="22" ht="22" customHeight="1">
      <x:c r="A22" s="2" t="str">
        <x:v>F1</x:v>
      </x:c>
      <x:c r="B22" s="24" t="d">
        <x:v>2026-09-30T17:00:00.000Z</x:v>
      </x:c>
      <x:c r="C22" s="2" t="str">
        <x:v>ナイト</x:v>
      </x:c>
      <x:c r="D22" s="20" t="n">
        <x:v>59232</x:v>
      </x:c>
      <x:c r="E22" s="20" t="n">
        <x:v>0</x:v>
      </x:c>
      <x:c r="F22" s="20" t="n">
        <x:f>D22-E22</x:f>
        <x:v>59232</x:v>
      </x:c>
      <x:c r="G22" s="20" t="n">
        <x:f>SUMIFS($F$7:$F$56,$A$7:$A$56,A22,$B$7:$B$56,"&lt;="&amp;B22)</x:f>
        <x:v>626638</x:v>
      </x:c>
      <x:c r="H22" s="20" t="n">
        <x:v>768</x:v>
      </x:c>
      <x:c r="I22" s="20" t="n">
        <x:v>60000</x:v>
      </x:c>
      <x:c r="J22" s="29" t="n">
        <x:v>2</x:v>
      </x:c>
      <x:c r="K22" s="29" t="n">
        <x:v>10</x:v>
      </x:c>
      <x:c r="L22" s="29" t="n">
        <x:v>5</x:v>
      </x:c>
      <x:c r="M22" s="31" t="str">
        <x:v>対照47場</x:v>
      </x:c>
      <x:c r="N22" s="30" t="n">
        <x:v>360</x:v>
      </x:c>
      <x:c r="O22" s="30" t="n">
        <x:v>19.883333333333333</x:v>
      </x:c>
      <x:c r="P22" s="26" t="n">
        <x:f>O22/IF(C22="デイ",420,780)</x:f>
        <x:v>0.02549145299145299</x:v>
      </x:c>
      <x:c r="Q22" s="27" t="n">
        <x:v>0.12745726495726495</x:v>
      </x:c>
    </x:row>
    <x:row r="23" ht="22" customHeight="1">
      <x:c r="A23" s="2" t="str">
        <x:v>F1</x:v>
      </x:c>
      <x:c r="B23" s="24" t="d">
        <x:v>2026-10-01T08:45:00.000Z</x:v>
      </x:c>
      <x:c r="C23" s="2" t="str">
        <x:v>デイ</x:v>
      </x:c>
      <x:c r="D23" s="20" t="n">
        <x:v>507234</x:v>
      </x:c>
      <x:c r="E23" s="20" t="n">
        <x:v>60384</x:v>
      </x:c>
      <x:c r="F23" s="20" t="n">
        <x:f>D23-E23</x:f>
        <x:v>446850</x:v>
      </x:c>
      <x:c r="G23" s="20" t="n">
        <x:f>SUMIFS($F$7:$F$56,$A$7:$A$56,A23,$B$7:$B$56,"&lt;="&amp;B23)</x:f>
        <x:v>1073488</x:v>
      </x:c>
      <x:c r="H23" s="20" t="n">
        <x:v>1150</x:v>
      </x:c>
      <x:c r="I23" s="20" t="n">
        <x:v>448000</x:v>
      </x:c>
      <x:c r="J23" s="29" t="n">
        <x:v>6</x:v>
      </x:c>
      <x:c r="K23" s="29" t="n">
        <x:v>15</x:v>
      </x:c>
      <x:c r="L23" s="29" t="n">
        <x:v>7</x:v>
      </x:c>
      <x:c r="M23" s="31" t="str">
        <x:v>対照47場</x:v>
      </x:c>
      <x:c r="N23" s="30" t="n">
        <x:v>88.93333333333334</x:v>
      </x:c>
      <x:c r="O23" s="30" t="n">
        <x:v>317.35</x:v>
      </x:c>
      <x:c r="P23" s="26" t="n">
        <x:f>O23/IF(C23="デイ",420,780)</x:f>
        <x:v>0.7555952380952381</x:v>
      </x:c>
      <x:c r="Q23" s="27" t="n">
        <x:v>3.8534920634920633</x:v>
      </x:c>
    </x:row>
    <x:row r="24" ht="22" customHeight="1">
      <x:c r="A24" s="2" t="str">
        <x:v>F1</x:v>
      </x:c>
      <x:c r="B24" s="24" t="d">
        <x:v>2026-10-01T17:00:00.000Z</x:v>
      </x:c>
      <x:c r="C24" s="2" t="str">
        <x:v>ナイト</x:v>
      </x:c>
      <x:c r="D24" s="20" t="n">
        <x:v>58310</x:v>
      </x:c>
      <x:c r="E24" s="20" t="n">
        <x:v>24153</x:v>
      </x:c>
      <x:c r="F24" s="20" t="n">
        <x:f>D24-E24</x:f>
        <x:v>34157</x:v>
      </x:c>
      <x:c r="G24" s="20" t="n">
        <x:f>SUMIFS($F$7:$F$56,$A$7:$A$56,A24,$B$7:$B$56,"&lt;="&amp;B24)</x:f>
        <x:v>1107645</x:v>
      </x:c>
      <x:c r="H24" s="20" t="n">
        <x:v>843</x:v>
      </x:c>
      <x:c r="I24" s="20" t="n">
        <x:v>35000</x:v>
      </x:c>
      <x:c r="J24" s="29" t="n">
        <x:v>6</x:v>
      </x:c>
      <x:c r="K24" s="29" t="n">
        <x:v>11</x:v>
      </x:c>
      <x:c r="L24" s="29" t="n">
        <x:v>5</x:v>
      </x:c>
      <x:c r="M24" s="31" t="str">
        <x:v>対照47場</x:v>
      </x:c>
      <x:c r="N24" s="30" t="n">
        <x:v>114.38333333333334</x:v>
      </x:c>
      <x:c r="O24" s="30" t="n">
        <x:v>29.166666666666668</x:v>
      </x:c>
      <x:c r="P24" s="26" t="n">
        <x:f>O24/IF(C24="デイ",420,780)</x:f>
        <x:v>0.03739316239316239</x:v>
      </x:c>
      <x:c r="Q24" s="27" t="n">
        <x:v>0.08262820512820512</x:v>
      </x:c>
    </x:row>
    <x:row r="25" ht="22" customHeight="1">
      <x:c r="A25" s="2" t="str">
        <x:v>F1</x:v>
      </x:c>
      <x:c r="B25" s="24" t="d">
        <x:v>2026-10-02T08:45:00.000Z</x:v>
      </x:c>
      <x:c r="C25" s="2" t="str">
        <x:v>デイ</x:v>
      </x:c>
      <x:c r="D25" s="20" t="n">
        <x:v>13694</x:v>
      </x:c>
      <x:c r="E25" s="20" t="n">
        <x:v>116920</x:v>
      </x:c>
      <x:c r="F25" s="20" t="n">
        <x:f>D25-E25</x:f>
        <x:v>-103226</x:v>
      </x:c>
      <x:c r="G25" s="20" t="n">
        <x:f>SUMIFS($F$7:$F$56,$A$7:$A$56,A25,$B$7:$B$56,"&lt;="&amp;B25)</x:f>
        <x:v>1004419</x:v>
      </x:c>
      <x:c r="H25" s="20" t="n">
        <x:v>1226</x:v>
      </x:c>
      <x:c r="I25" s="20" t="n">
        <x:v>-102000</x:v>
      </x:c>
      <x:c r="J25" s="29" t="n">
        <x:v>9</x:v>
      </x:c>
      <x:c r="K25" s="29" t="n">
        <x:v>16</x:v>
      </x:c>
      <x:c r="L25" s="29" t="n">
        <x:v>5</x:v>
      </x:c>
      <x:c r="M25" s="31" t="str">
        <x:v>対照47場</x:v>
      </x:c>
      <x:c r="N25" s="30" t="n">
        <x:v>100.65</x:v>
      </x:c>
      <x:c r="O25" s="30" t="n">
        <x:v>257.23333333333335</x:v>
      </x:c>
      <x:c r="P25" s="26" t="n">
        <x:f>O25/IF(C25="デイ",420,780)</x:f>
        <x:v>0.6124603174603175</x:v>
      </x:c>
      <x:c r="Q25" s="27" t="n">
        <x:v>2.2441666666666666</x:v>
      </x:c>
    </x:row>
    <x:row r="26" ht="22" customHeight="1">
      <x:c r="A26" s="2" t="str">
        <x:v>F1</x:v>
      </x:c>
      <x:c r="B26" s="24" t="d">
        <x:v>2026-10-02T17:00:00.000Z</x:v>
      </x:c>
      <x:c r="C26" s="2" t="str">
        <x:v>ナイト</x:v>
      </x:c>
      <x:c r="D26" s="20" t="n">
        <x:v>144850</x:v>
      </x:c>
      <x:c r="E26" s="20" t="n">
        <x:v>65690</x:v>
      </x:c>
      <x:c r="F26" s="20" t="n">
        <x:f>D26-E26</x:f>
        <x:v>79160</x:v>
      </x:c>
      <x:c r="G26" s="20" t="n">
        <x:f>SUMIFS($F$7:$F$56,$A$7:$A$56,A26,$B$7:$B$56,"&lt;="&amp;B26)</x:f>
        <x:v>1083579</x:v>
      </x:c>
      <x:c r="H26" s="20" t="n">
        <x:v>1840</x:v>
      </x:c>
      <x:c r="I26" s="20" t="n">
        <x:v>81000</x:v>
      </x:c>
      <x:c r="J26" s="29" t="n">
        <x:v>10</x:v>
      </x:c>
      <x:c r="K26" s="29" t="n">
        <x:v>24</x:v>
      </x:c>
      <x:c r="L26" s="29" t="n">
        <x:v>5</x:v>
      </x:c>
      <x:c r="M26" s="31" t="str">
        <x:v>対照47場</x:v>
      </x:c>
      <x:c r="N26" s="30" t="n">
        <x:v>71.05</x:v>
      </x:c>
      <x:c r="O26" s="30" t="n">
        <x:v>62.016666666666666</x:v>
      </x:c>
      <x:c r="P26" s="26" t="n">
        <x:f>O26/IF(C26="デイ",420,780)</x:f>
        <x:v>0.07950854700854701</x:v>
      </x:c>
      <x:c r="Q26" s="27" t="n">
        <x:v>0.2617948717948718</x:v>
      </x:c>
    </x:row>
    <x:row r="27" ht="22" customHeight="1">
      <x:c r="A27" s="2" t="str">
        <x:v>F1</x:v>
      </x:c>
      <x:c r="B27" s="24" t="d">
        <x:v>2026-10-05T08:45:00.000Z</x:v>
      </x:c>
      <x:c r="C27" s="2" t="str">
        <x:v>デイ</x:v>
      </x:c>
      <x:c r="D27" s="20" t="n">
        <x:v>51234</x:v>
      </x:c>
      <x:c r="E27" s="20" t="n">
        <x:v>148690</x:v>
      </x:c>
      <x:c r="F27" s="20" t="n">
        <x:f>D27-E27</x:f>
        <x:v>-97456</x:v>
      </x:c>
      <x:c r="G27" s="20" t="n">
        <x:f>SUMIFS($F$7:$F$56,$A$7:$A$56,A27,$B$7:$B$56,"&lt;="&amp;B27)</x:f>
        <x:v>986123</x:v>
      </x:c>
      <x:c r="H27" s="20" t="n">
        <x:v>2456</x:v>
      </x:c>
      <x:c r="I27" s="20" t="n">
        <x:v>-95000</x:v>
      </x:c>
      <x:c r="J27" s="29" t="n">
        <x:v>10</x:v>
      </x:c>
      <x:c r="K27" s="29" t="n">
        <x:v>32</x:v>
      </x:c>
      <x:c r="L27" s="29" t="n">
        <x:v>10</x:v>
      </x:c>
      <x:c r="M27" s="31" t="str">
        <x:v>対照47場</x:v>
      </x:c>
      <x:c r="N27" s="30" t="n">
        <x:v>106</x:v>
      </x:c>
      <x:c r="O27" s="30" t="n">
        <x:v>193.58333333333334</x:v>
      </x:c>
      <x:c r="P27" s="26" t="n">
        <x:f>O27/IF(C27="デイ",420,780)</x:f>
        <x:v>0.46091269841269844</x:v>
      </x:c>
      <x:c r="Q27" s="27" t="n">
        <x:v>2.3928968253968255</x:v>
      </x:c>
    </x:row>
    <x:row r="28" ht="22" customHeight="1">
      <x:c r="A28" s="2" t="str">
        <x:v>F1</x:v>
      </x:c>
      <x:c r="B28" s="24" t="d">
        <x:v>2026-10-05T17:00:00.000Z</x:v>
      </x:c>
      <x:c r="C28" s="2" t="str">
        <x:v>ナイト</x:v>
      </x:c>
      <x:c r="D28" s="20" t="n">
        <x:v>112234</x:v>
      </x:c>
      <x:c r="E28" s="20" t="n">
        <x:v>20384</x:v>
      </x:c>
      <x:c r="F28" s="20" t="n">
        <x:f>D28-E28</x:f>
        <x:v>91850</x:v>
      </x:c>
      <x:c r="G28" s="20" t="n">
        <x:f>SUMIFS($F$7:$F$56,$A$7:$A$56,A28,$B$7:$B$56,"&lt;="&amp;B28)</x:f>
        <x:v>1077973</x:v>
      </x:c>
      <x:c r="H28" s="20" t="n">
        <x:v>1150</x:v>
      </x:c>
      <x:c r="I28" s="20" t="n">
        <x:v>93000</x:v>
      </x:c>
      <x:c r="J28" s="29" t="n">
        <x:v>6</x:v>
      </x:c>
      <x:c r="K28" s="29" t="n">
        <x:v>15</x:v>
      </x:c>
      <x:c r="L28" s="29" t="n">
        <x:v>5</x:v>
      </x:c>
      <x:c r="M28" s="31" t="str">
        <x:v>対照47場</x:v>
      </x:c>
      <x:c r="N28" s="30" t="n">
        <x:v>356.1666666666667</x:v>
      </x:c>
      <x:c r="O28" s="30" t="n">
        <x:v>55.233333333333334</x:v>
      </x:c>
      <x:c r="P28" s="26" t="n">
        <x:f>O28/IF(C28="デイ",420,780)</x:f>
        <x:v>0.07081196581196582</x:v>
      </x:c>
      <x:c r="Q28" s="27" t="n">
        <x:v>0.3088888888888889</x:v>
      </x:c>
    </x:row>
    <x:row r="29" ht="22" customHeight="1">
      <x:c r="A29" s="2" t="str">
        <x:v>F1</x:v>
      </x:c>
      <x:c r="B29" s="24" t="d">
        <x:v>2026-10-06T08:45:00.000Z</x:v>
      </x:c>
      <x:c r="C29" s="2" t="str">
        <x:v>デイ</x:v>
      </x:c>
      <x:c r="D29" s="20" t="n">
        <x:v>126234</x:v>
      </x:c>
      <x:c r="E29" s="20" t="n">
        <x:v>114692</x:v>
      </x:c>
      <x:c r="F29" s="20" t="n">
        <x:f>D29-E29</x:f>
        <x:v>11542</x:v>
      </x:c>
      <x:c r="G29" s="20" t="n">
        <x:f>SUMIFS($F$7:$F$56,$A$7:$A$56,A29,$B$7:$B$56,"&lt;="&amp;B29)</x:f>
        <x:v>1089515</x:v>
      </x:c>
      <x:c r="H29" s="20" t="n">
        <x:v>1458</x:v>
      </x:c>
      <x:c r="I29" s="20" t="n">
        <x:v>13000</x:v>
      </x:c>
      <x:c r="J29" s="29" t="n">
        <x:v>8</x:v>
      </x:c>
      <x:c r="K29" s="29" t="n">
        <x:v>19</x:v>
      </x:c>
      <x:c r="L29" s="29" t="n">
        <x:v>5</x:v>
      </x:c>
      <x:c r="M29" s="31" t="str">
        <x:v>対照47場</x:v>
      </x:c>
      <x:c r="N29" s="30" t="n">
        <x:v>51.833333333333336</x:v>
      </x:c>
      <x:c r="O29" s="30" t="n">
        <x:v>249.05</x:v>
      </x:c>
      <x:c r="P29" s="26" t="n">
        <x:f>O29/IF(C29="デイ",420,780)</x:f>
        <x:v>0.5929761904761905</x:v>
      </x:c>
      <x:c r="Q29" s="27" t="n">
        <x:v>1.5737301587301586</x:v>
      </x:c>
    </x:row>
    <x:row r="30" ht="22" customHeight="1">
      <x:c r="A30" s="2" t="str">
        <x:v>F1</x:v>
      </x:c>
      <x:c r="B30" s="24" t="d">
        <x:v>2026-10-06T17:00:00.000Z</x:v>
      </x:c>
      <x:c r="C30" s="2" t="str">
        <x:v>ナイト</x:v>
      </x:c>
      <x:c r="D30" s="20" t="n">
        <x:v>24616</x:v>
      </x:c>
      <x:c r="E30" s="20" t="n">
        <x:v>35384</x:v>
      </x:c>
      <x:c r="F30" s="20" t="n">
        <x:f>D30-E30</x:f>
        <x:v>-10768</x:v>
      </x:c>
      <x:c r="G30" s="20" t="n">
        <x:f>SUMIFS($F$7:$F$56,$A$7:$A$56,A30,$B$7:$B$56,"&lt;="&amp;B30)</x:f>
        <x:v>1078747</x:v>
      </x:c>
      <x:c r="H30" s="20" t="n">
        <x:v>768</x:v>
      </x:c>
      <x:c r="I30" s="20" t="n">
        <x:v>-10000</x:v>
      </x:c>
      <x:c r="J30" s="29" t="n">
        <x:v>2</x:v>
      </x:c>
      <x:c r="K30" s="29" t="n">
        <x:v>10</x:v>
      </x:c>
      <x:c r="L30" s="29" t="n">
        <x:v>5</x:v>
      </x:c>
      <x:c r="M30" s="31" t="str">
        <x:v>対照47場</x:v>
      </x:c>
      <x:c r="N30" s="30" t="n">
        <x:v>360.06666666666666</x:v>
      </x:c>
      <x:c r="O30" s="30" t="n">
        <x:v>13.533333333333333</x:v>
      </x:c>
      <x:c r="P30" s="26" t="n">
        <x:f>O30/IF(C30="デイ",420,780)</x:f>
        <x:v>0.017350427350427352</x:v>
      </x:c>
      <x:c r="Q30" s="27" t="n">
        <x:v>0.08675213675213675</x:v>
      </x:c>
    </x:row>
    <x:row r="31" ht="22" customHeight="1">
      <x:c r="A31" s="2" t="str">
        <x:v>F1</x:v>
      </x:c>
      <x:c r="B31" s="24" t="d">
        <x:v>2026-10-07T08:45:00.000Z</x:v>
      </x:c>
      <x:c r="C31" s="2" t="str">
        <x:v>デイ</x:v>
      </x:c>
      <x:c r="D31" s="20" t="n">
        <x:v>126544</x:v>
      </x:c>
      <x:c r="E31" s="20" t="n">
        <x:v>0</x:v>
      </x:c>
      <x:c r="F31" s="20" t="n">
        <x:f>D31-E31</x:f>
        <x:v>126544</x:v>
      </x:c>
      <x:c r="G31" s="20" t="n">
        <x:f>SUMIFS($F$7:$F$56,$A$7:$A$56,A31,$B$7:$B$56,"&lt;="&amp;B31)</x:f>
        <x:v>1205291</x:v>
      </x:c>
      <x:c r="H31" s="20" t="n">
        <x:v>1456</x:v>
      </x:c>
      <x:c r="I31" s="20" t="n">
        <x:v>128000</x:v>
      </x:c>
      <x:c r="J31" s="29" t="n">
        <x:v>9</x:v>
      </x:c>
      <x:c r="K31" s="29" t="n">
        <x:v>19</x:v>
      </x:c>
      <x:c r="L31" s="29" t="n">
        <x:v>8</x:v>
      </x:c>
      <x:c r="M31" s="31" t="str">
        <x:v>対照47場</x:v>
      </x:c>
      <x:c r="N31" s="30" t="n">
        <x:v>47.516666666666666</x:v>
      </x:c>
      <x:c r="O31" s="30" t="n">
        <x:v>113.96666666666667</x:v>
      </x:c>
      <x:c r="P31" s="26" t="n">
        <x:f>O31/IF(C31="デイ",420,780)</x:f>
        <x:v>0.27134920634920634</x:v>
      </x:c>
      <x:c r="Q31" s="27" t="n">
        <x:v>1.044484126984127</x:v>
      </x:c>
    </x:row>
    <x:row r="32" ht="22" customHeight="1">
      <x:c r="A32" s="2" t="str">
        <x:v>F1</x:v>
      </x:c>
      <x:c r="B32" s="24" t="d">
        <x:v>2026-10-07T17:00:00.000Z</x:v>
      </x:c>
      <x:c r="C32" s="2" t="str">
        <x:v>ナイト</x:v>
      </x:c>
      <x:c r="D32" s="20" t="n">
        <x:v>24232</x:v>
      </x:c>
      <x:c r="E32" s="20" t="n">
        <x:v>0</x:v>
      </x:c>
      <x:c r="F32" s="20" t="n">
        <x:f>D32-E32</x:f>
        <x:v>24232</x:v>
      </x:c>
      <x:c r="G32" s="20" t="n">
        <x:f>SUMIFS($F$7:$F$56,$A$7:$A$56,A32,$B$7:$B$56,"&lt;="&amp;B32)</x:f>
        <x:v>1229523</x:v>
      </x:c>
      <x:c r="H32" s="20" t="n">
        <x:v>768</x:v>
      </x:c>
      <x:c r="I32" s="20" t="n">
        <x:v>25000</x:v>
      </x:c>
      <x:c r="J32" s="29" t="n">
        <x:v>2</x:v>
      </x:c>
      <x:c r="K32" s="29" t="n">
        <x:v>10</x:v>
      </x:c>
      <x:c r="L32" s="29" t="n">
        <x:v>5</x:v>
      </x:c>
      <x:c r="M32" s="31" t="str">
        <x:v>対照47場</x:v>
      </x:c>
      <x:c r="N32" s="30" t="n">
        <x:v>360</x:v>
      </x:c>
      <x:c r="O32" s="30" t="n">
        <x:v>11.1</x:v>
      </x:c>
      <x:c r="P32" s="26" t="n">
        <x:f>O32/IF(C32="デイ",420,780)</x:f>
        <x:v>0.01423076923076923</x:v>
      </x:c>
      <x:c r="Q32" s="27" t="n">
        <x:v>0.07115384615384615</x:v>
      </x:c>
    </x:row>
    <x:row r="33" ht="22" customHeight="1">
      <x:c r="A33" s="2" t="str">
        <x:v>F1</x:v>
      </x:c>
      <x:c r="B33" s="24" t="d">
        <x:v>2026-10-08T08:45:00.000Z</x:v>
      </x:c>
      <x:c r="C33" s="2" t="str">
        <x:v>デイ</x:v>
      </x:c>
      <x:c r="D33" s="20" t="n">
        <x:v>187234</x:v>
      </x:c>
      <x:c r="E33" s="20" t="n">
        <x:v>151536</x:v>
      </x:c>
      <x:c r="F33" s="20" t="n">
        <x:f>D33-E33</x:f>
        <x:v>35698</x:v>
      </x:c>
      <x:c r="G33" s="20" t="n">
        <x:f>SUMIFS($F$7:$F$56,$A$7:$A$56,A33,$B$7:$B$56,"&lt;="&amp;B33)</x:f>
        <x:v>1265221</x:v>
      </x:c>
      <x:c r="H33" s="20" t="n">
        <x:v>2302</x:v>
      </x:c>
      <x:c r="I33" s="20" t="n">
        <x:v>38000</x:v>
      </x:c>
      <x:c r="J33" s="29" t="n">
        <x:v>9</x:v>
      </x:c>
      <x:c r="K33" s="29" t="n">
        <x:v>30</x:v>
      </x:c>
      <x:c r="L33" s="29" t="n">
        <x:v>5</x:v>
      </x:c>
      <x:c r="M33" s="31" t="str">
        <x:v>対照47場</x:v>
      </x:c>
      <x:c r="N33" s="30" t="n">
        <x:v>70.23333333333333</x:v>
      </x:c>
      <x:c r="O33" s="30" t="n">
        <x:v>92.66666666666667</x:v>
      </x:c>
      <x:c r="P33" s="26" t="n">
        <x:f>O33/IF(C33="デイ",420,780)</x:f>
        <x:v>0.22063492063492066</x:v>
      </x:c>
      <x:c r="Q33" s="27" t="n">
        <x:v>1.0009920634920635</x:v>
      </x:c>
    </x:row>
    <x:row r="34" ht="22" customHeight="1">
      <x:c r="A34" s="2" t="str">
        <x:v>F1</x:v>
      </x:c>
      <x:c r="B34" s="24" t="d">
        <x:v>2026-10-08T17:00:00.000Z</x:v>
      </x:c>
      <x:c r="C34" s="2" t="str">
        <x:v>ナイト</x:v>
      </x:c>
      <x:c r="D34" s="20" t="n">
        <x:v>123850</x:v>
      </x:c>
      <x:c r="E34" s="20" t="n">
        <x:v>0</x:v>
      </x:c>
      <x:c r="F34" s="20" t="n">
        <x:f>D34-E34</x:f>
        <x:v>123850</x:v>
      </x:c>
      <x:c r="G34" s="20" t="n">
        <x:f>SUMIFS($F$7:$F$56,$A$7:$A$56,A34,$B$7:$B$56,"&lt;="&amp;B34)</x:f>
        <x:v>1389071</x:v>
      </x:c>
      <x:c r="H34" s="20" t="n">
        <x:v>1150</x:v>
      </x:c>
      <x:c r="I34" s="20" t="n">
        <x:v>125000</x:v>
      </x:c>
      <x:c r="J34" s="29" t="n">
        <x:v>6</x:v>
      </x:c>
      <x:c r="K34" s="29" t="n">
        <x:v>15</x:v>
      </x:c>
      <x:c r="L34" s="29" t="n">
        <x:v>7</x:v>
      </x:c>
      <x:c r="M34" s="31" t="str">
        <x:v>対照47場</x:v>
      </x:c>
      <x:c r="N34" s="30" t="n">
        <x:v>359.1</x:v>
      </x:c>
      <x:c r="O34" s="30" t="n">
        <x:v>52.75</x:v>
      </x:c>
      <x:c r="P34" s="26" t="n">
        <x:f>O34/IF(C34="デイ",420,780)</x:f>
        <x:v>0.06762820512820512</x:v>
      </x:c>
      <x:c r="Q34" s="27" t="n">
        <x:v>0.2851923076923077</x:v>
      </x:c>
    </x:row>
    <x:row r="35" ht="22" customHeight="1">
      <x:c r="A35" s="2" t="str">
        <x:v>F1</x:v>
      </x:c>
      <x:c r="B35" s="24" t="d">
        <x:v>2026-10-09T08:45:00.000Z</x:v>
      </x:c>
      <x:c r="C35" s="2" t="str">
        <x:v>デイ</x:v>
      </x:c>
      <x:c r="D35" s="20" t="n">
        <x:v>76310</x:v>
      </x:c>
      <x:c r="E35" s="20" t="n">
        <x:v>43384</x:v>
      </x:c>
      <x:c r="F35" s="20" t="n">
        <x:f>D35-E35</x:f>
        <x:v>32926</x:v>
      </x:c>
      <x:c r="G35" s="20" t="n">
        <x:f>SUMIFS($F$7:$F$56,$A$7:$A$56,A35,$B$7:$B$56,"&lt;="&amp;B35)</x:f>
        <x:v>1421997</x:v>
      </x:c>
      <x:c r="H35" s="20" t="n">
        <x:v>1074</x:v>
      </x:c>
      <x:c r="I35" s="20" t="n">
        <x:v>34000</x:v>
      </x:c>
      <x:c r="J35" s="29" t="n">
        <x:v>7</x:v>
      </x:c>
      <x:c r="K35" s="29" t="n">
        <x:v>14</x:v>
      </x:c>
      <x:c r="L35" s="29" t="n">
        <x:v>5</x:v>
      </x:c>
      <x:c r="M35" s="31" t="str">
        <x:v>対照47場</x:v>
      </x:c>
      <x:c r="N35" s="30" t="n">
        <x:v>54.45</x:v>
      </x:c>
      <x:c r="O35" s="30" t="n">
        <x:v>87.9</x:v>
      </x:c>
      <x:c r="P35" s="26" t="n">
        <x:f>O35/IF(C35="デイ",420,780)</x:f>
        <x:v>0.2092857142857143</x:v>
      </x:c>
      <x:c r="Q35" s="27" t="n">
        <x:v>0.6632142857142858</x:v>
      </x:c>
    </x:row>
    <x:row r="36" ht="22" customHeight="1">
      <x:c r="A36" s="2" t="str">
        <x:v>F1</x:v>
      </x:c>
      <x:c r="B36" s="24" t="d">
        <x:v>2026-10-09T17:00:00.000Z</x:v>
      </x:c>
      <x:c r="C36" s="2" t="str">
        <x:v>ナイト</x:v>
      </x:c>
      <x:c r="D36" s="20" t="n">
        <x:v>19616</x:v>
      </x:c>
      <x:c r="E36" s="20" t="n">
        <x:v>0</x:v>
      </x:c>
      <x:c r="F36" s="20" t="n">
        <x:f>D36-E36</x:f>
        <x:v>19616</x:v>
      </x:c>
      <x:c r="G36" s="20" t="n">
        <x:f>SUMIFS($F$7:$F$56,$A$7:$A$56,A36,$B$7:$B$56,"&lt;="&amp;B36)</x:f>
        <x:v>1441613</x:v>
      </x:c>
      <x:c r="H36" s="20" t="n">
        <x:v>384</x:v>
      </x:c>
      <x:c r="I36" s="20" t="n">
        <x:v>20000</x:v>
      </x:c>
      <x:c r="J36" s="29" t="n">
        <x:v>1</x:v>
      </x:c>
      <x:c r="K36" s="29" t="n">
        <x:v>5</x:v>
      </x:c>
      <x:c r="L36" s="29" t="n">
        <x:v>5</x:v>
      </x:c>
      <x:c r="M36" s="31" t="str">
        <x:v>対照47場</x:v>
      </x:c>
      <x:c r="N36" s="30" t="n">
        <x:v>360.06666666666666</x:v>
      </x:c>
      <x:c r="O36" s="30" t="n">
        <x:v>11.916666666666666</x:v>
      </x:c>
      <x:c r="P36" s="26" t="n">
        <x:f>O36/IF(C36="デイ",420,780)</x:f>
        <x:v>0.015277777777777777</x:v>
      </x:c>
      <x:c r="Q36" s="27" t="n">
        <x:v>0.0763888888888889</x:v>
      </x:c>
    </x:row>
    <x:row r="37" ht="22" customHeight="1">
      <x:c r="A37" s="2" t="str">
        <x:v>F1</x:v>
      </x:c>
      <x:c r="B37" s="24" t="d">
        <x:v>2026-10-12T08:45:00.000Z</x:v>
      </x:c>
      <x:c r="C37" s="2" t="str">
        <x:v>デイ</x:v>
      </x:c>
      <x:c r="D37" s="20" t="n">
        <x:v>32616</x:v>
      </x:c>
      <x:c r="E37" s="20" t="n">
        <x:v>25384</x:v>
      </x:c>
      <x:c r="F37" s="20" t="n">
        <x:f>D37-E37</x:f>
        <x:v>7232</x:v>
      </x:c>
      <x:c r="G37" s="20" t="n">
        <x:f>SUMIFS($F$7:$F$56,$A$7:$A$56,A37,$B$7:$B$56,"&lt;="&amp;B37)</x:f>
        <x:v>1448845</x:v>
      </x:c>
      <x:c r="H37" s="20" t="n">
        <x:v>768</x:v>
      </x:c>
      <x:c r="I37" s="20" t="n">
        <x:v>8000</x:v>
      </x:c>
      <x:c r="J37" s="29" t="n">
        <x:v>2</x:v>
      </x:c>
      <x:c r="K37" s="29" t="n">
        <x:v>10</x:v>
      </x:c>
      <x:c r="L37" s="29" t="n">
        <x:v>5</x:v>
      </x:c>
      <x:c r="M37" s="31" t="str">
        <x:v>対照47場</x:v>
      </x:c>
      <x:c r="N37" s="30" t="n">
        <x:v>122.76666666666667</x:v>
      </x:c>
      <x:c r="O37" s="30" t="n">
        <x:v>265.15</x:v>
      </x:c>
      <x:c r="P37" s="26" t="n">
        <x:f>O37/IF(C37="デイ",420,780)</x:f>
        <x:v>0.6313095238095238</x:v>
      </x:c>
      <x:c r="Q37" s="27" t="n">
        <x:v>2.2824603174603175</x:v>
      </x:c>
    </x:row>
    <x:row r="38" ht="22" customHeight="1">
      <x:c r="A38" s="2" t="str">
        <x:v>F1</x:v>
      </x:c>
      <x:c r="B38" s="24" t="d">
        <x:v>2026-10-12T17:00:00.000Z</x:v>
      </x:c>
      <x:c r="C38" s="2" t="str">
        <x:v>ナイト</x:v>
      </x:c>
      <x:c r="D38" s="20" t="n">
        <x:v>94616</x:v>
      </x:c>
      <x:c r="E38" s="20" t="n">
        <x:v>0</x:v>
      </x:c>
      <x:c r="F38" s="20" t="n">
        <x:f>D38-E38</x:f>
        <x:v>94616</x:v>
      </x:c>
      <x:c r="G38" s="20" t="n">
        <x:f>SUMIFS($F$7:$F$56,$A$7:$A$56,A38,$B$7:$B$56,"&lt;="&amp;B38)</x:f>
        <x:v>1543461</x:v>
      </x:c>
      <x:c r="H38" s="20" t="n">
        <x:v>384</x:v>
      </x:c>
      <x:c r="I38" s="20" t="n">
        <x:v>95000</x:v>
      </x:c>
      <x:c r="J38" s="29" t="n">
        <x:v>1</x:v>
      </x:c>
      <x:c r="K38" s="29" t="n">
        <x:v>5</x:v>
      </x:c>
      <x:c r="L38" s="29" t="n">
        <x:v>5</x:v>
      </x:c>
      <x:c r="M38" s="31" t="str">
        <x:v>対照47場</x:v>
      </x:c>
      <x:c r="N38" s="30" t="n">
        <x:v>360.21666666666664</x:v>
      </x:c>
      <x:c r="O38" s="30" t="n">
        <x:v>10.65</x:v>
      </x:c>
      <x:c r="P38" s="26" t="n">
        <x:f>O38/IF(C38="デイ",420,780)</x:f>
        <x:v>0.013653846153846154</x:v>
      </x:c>
      <x:c r="Q38" s="27" t="n">
        <x:v>0.06826923076923076</x:v>
      </x:c>
    </x:row>
    <x:row r="39" ht="22" customHeight="1">
      <x:c r="A39" s="2" t="str">
        <x:v>F1</x:v>
      </x:c>
      <x:c r="B39" s="24" t="d">
        <x:v>2026-10-13T08:45:00.000Z</x:v>
      </x:c>
      <x:c r="C39" s="2" t="str">
        <x:v>デイ</x:v>
      </x:c>
      <x:c r="D39" s="20" t="n">
        <x:v>77926</x:v>
      </x:c>
      <x:c r="E39" s="20" t="n">
        <x:v>114846</x:v>
      </x:c>
      <x:c r="F39" s="20" t="n">
        <x:f>D39-E39</x:f>
        <x:v>-36920</x:v>
      </x:c>
      <x:c r="G39" s="20" t="n">
        <x:f>SUMIFS($F$7:$F$56,$A$7:$A$56,A39,$B$7:$B$56,"&lt;="&amp;B39)</x:f>
        <x:v>1506541</x:v>
      </x:c>
      <x:c r="H39" s="20" t="n">
        <x:v>1920</x:v>
      </x:c>
      <x:c r="I39" s="20" t="n">
        <x:v>-35000</x:v>
      </x:c>
      <x:c r="J39" s="29" t="n">
        <x:v>9</x:v>
      </x:c>
      <x:c r="K39" s="29" t="n">
        <x:v>25</x:v>
      </x:c>
      <x:c r="L39" s="29" t="n">
        <x:v>5</x:v>
      </x:c>
      <x:c r="M39" s="31" t="str">
        <x:v>対照47場</x:v>
      </x:c>
      <x:c r="N39" s="30" t="n">
        <x:v>65.25</x:v>
      </x:c>
      <x:c r="O39" s="30" t="n">
        <x:v>313.5833333333333</x:v>
      </x:c>
      <x:c r="P39" s="26" t="n">
        <x:f>O39/IF(C39="デイ",420,780)</x:f>
        <x:v>0.746626984126984</x:v>
      </x:c>
      <x:c r="Q39" s="27" t="n">
        <x:v>2.814563492063492</x:v>
      </x:c>
    </x:row>
    <x:row r="40" ht="22" customHeight="1">
      <x:c r="A40" s="2" t="str">
        <x:v>F1</x:v>
      </x:c>
      <x:c r="B40" s="24" t="d">
        <x:v>2026-10-13T17:00:00.000Z</x:v>
      </x:c>
      <x:c r="C40" s="2" t="str">
        <x:v>ナイト</x:v>
      </x:c>
      <x:c r="D40" s="20" t="n">
        <x:v>0</x:v>
      </x:c>
      <x:c r="E40" s="20" t="n">
        <x:v>80768</x:v>
      </x:c>
      <x:c r="F40" s="20" t="n">
        <x:f>D40-E40</x:f>
        <x:v>-80768</x:v>
      </x:c>
      <x:c r="G40" s="20" t="n">
        <x:f>SUMIFS($F$7:$F$56,$A$7:$A$56,A40,$B$7:$B$56,"&lt;="&amp;B40)</x:f>
        <x:v>1425773</x:v>
      </x:c>
      <x:c r="H40" s="20" t="n">
        <x:v>768</x:v>
      </x:c>
      <x:c r="I40" s="20" t="n">
        <x:v>-80000</x:v>
      </x:c>
      <x:c r="J40" s="29" t="n">
        <x:v>2</x:v>
      </x:c>
      <x:c r="K40" s="29" t="n">
        <x:v>10</x:v>
      </x:c>
      <x:c r="L40" s="29" t="n">
        <x:v>5</x:v>
      </x:c>
      <x:c r="M40" s="31" t="str">
        <x:v>対照47場</x:v>
      </x:c>
      <x:c r="N40" s="30" t="n">
        <x:v>360.23333333333335</x:v>
      </x:c>
      <x:c r="O40" s="30" t="n">
        <x:v>7.716666666666667</x:v>
      </x:c>
      <x:c r="P40" s="26" t="n">
        <x:f>O40/IF(C40="デイ",420,780)</x:f>
        <x:v>0.009893162393162394</x:v>
      </x:c>
      <x:c r="Q40" s="27" t="n">
        <x:v>0.049465811965811964</x:v>
      </x:c>
    </x:row>
    <x:row r="41" ht="22" customHeight="1">
      <x:c r="A41" s="2" t="str">
        <x:v>F1</x:v>
      </x:c>
      <x:c r="B41" s="24" t="d">
        <x:v>2026-10-14T08:45:00.000Z</x:v>
      </x:c>
      <x:c r="C41" s="2" t="str">
        <x:v>デイ</x:v>
      </x:c>
      <x:c r="D41" s="20" t="n">
        <x:v>172232</x:v>
      </x:c>
      <x:c r="E41" s="20" t="n">
        <x:v>82768</x:v>
      </x:c>
      <x:c r="F41" s="20" t="n">
        <x:f>D41-E41</x:f>
        <x:v>89464</x:v>
      </x:c>
      <x:c r="G41" s="20" t="n">
        <x:f>SUMIFS($F$7:$F$56,$A$7:$A$56,A41,$B$7:$B$56,"&lt;="&amp;B41)</x:f>
        <x:v>1515237</x:v>
      </x:c>
      <x:c r="H41" s="20" t="n">
        <x:v>1536</x:v>
      </x:c>
      <x:c r="I41" s="20" t="n">
        <x:v>91000</x:v>
      </x:c>
      <x:c r="J41" s="29" t="n">
        <x:v>6</x:v>
      </x:c>
      <x:c r="K41" s="29" t="n">
        <x:v>20</x:v>
      </x:c>
      <x:c r="L41" s="29" t="n">
        <x:v>5</x:v>
      </x:c>
      <x:c r="M41" s="31" t="str">
        <x:v>対照47場</x:v>
      </x:c>
      <x:c r="N41" s="30" t="n">
        <x:v>107.68333333333334</x:v>
      </x:c>
      <x:c r="O41" s="30" t="n">
        <x:v>90.4</x:v>
      </x:c>
      <x:c r="P41" s="26" t="n">
        <x:f>O41/IF(C41="デイ",420,780)</x:f>
        <x:v>0.21523809523809526</x:v>
      </x:c>
      <x:c r="Q41" s="27" t="n">
        <x:v>0.9122222222222223</x:v>
      </x:c>
    </x:row>
    <x:row r="42" ht="22" customHeight="1">
      <x:c r="A42" s="2" t="str">
        <x:v>F1</x:v>
      </x:c>
      <x:c r="B42" s="24" t="d">
        <x:v>2026-10-14T17:00:00.000Z</x:v>
      </x:c>
      <x:c r="C42" s="2" t="str">
        <x:v>ナイト</x:v>
      </x:c>
      <x:c r="D42" s="20" t="n">
        <x:v>214232</x:v>
      </x:c>
      <x:c r="E42" s="20" t="n">
        <x:v>18154</x:v>
      </x:c>
      <x:c r="F42" s="20" t="n">
        <x:f>D42-E42</x:f>
        <x:v>196078</x:v>
      </x:c>
      <x:c r="G42" s="20" t="n">
        <x:f>SUMIFS($F$7:$F$56,$A$7:$A$56,A42,$B$7:$B$56,"&lt;="&amp;B42)</x:f>
        <x:v>1711315</x:v>
      </x:c>
      <x:c r="H42" s="20" t="n">
        <x:v>922</x:v>
      </x:c>
      <x:c r="I42" s="20" t="n">
        <x:v>197000</x:v>
      </x:c>
      <x:c r="J42" s="29" t="n">
        <x:v>3</x:v>
      </x:c>
      <x:c r="K42" s="29" t="n">
        <x:v>12</x:v>
      </x:c>
      <x:c r="L42" s="29" t="n">
        <x:v>5</x:v>
      </x:c>
      <x:c r="M42" s="31" t="str">
        <x:v>対照47場</x:v>
      </x:c>
      <x:c r="N42" s="30" t="n">
        <x:v>360</x:v>
      </x:c>
      <x:c r="O42" s="30" t="n">
        <x:v>135.15</x:v>
      </x:c>
      <x:c r="P42" s="26" t="n">
        <x:f>O42/IF(C42="デイ",420,780)</x:f>
        <x:v>0.1732692307692308</x:v>
      </x:c>
      <x:c r="Q42" s="27" t="n">
        <x:v>0.760576923076923</x:v>
      </x:c>
    </x:row>
    <x:row r="43" ht="22" customHeight="1">
      <x:c r="A43" s="2" t="str">
        <x:v>F1</x:v>
      </x:c>
      <x:c r="B43" s="24" t="d">
        <x:v>2026-10-15T08:45:00.000Z</x:v>
      </x:c>
      <x:c r="C43" s="2" t="str">
        <x:v>デイ</x:v>
      </x:c>
      <x:c r="D43" s="20" t="n">
        <x:v>432696</x:v>
      </x:c>
      <x:c r="E43" s="20" t="n">
        <x:v>66154</x:v>
      </x:c>
      <x:c r="F43" s="20" t="n">
        <x:f>D43-E43</x:f>
        <x:v>366542</x:v>
      </x:c>
      <x:c r="G43" s="20" t="n">
        <x:f>SUMIFS($F$7:$F$56,$A$7:$A$56,A43,$B$7:$B$56,"&lt;="&amp;B43)</x:f>
        <x:v>2077857</x:v>
      </x:c>
      <x:c r="H43" s="20" t="n">
        <x:v>1458</x:v>
      </x:c>
      <x:c r="I43" s="20" t="n">
        <x:v>368000</x:v>
      </x:c>
      <x:c r="J43" s="29" t="n">
        <x:v>8</x:v>
      </x:c>
      <x:c r="K43" s="29" t="n">
        <x:v>19</x:v>
      </x:c>
      <x:c r="L43" s="29" t="n">
        <x:v>5</x:v>
      </x:c>
      <x:c r="M43" s="31" t="str">
        <x:v>対照47場</x:v>
      </x:c>
      <x:c r="N43" s="30" t="n">
        <x:v>50.583333333333336</x:v>
      </x:c>
      <x:c r="O43" s="30" t="n">
        <x:v>222.18333333333334</x:v>
      </x:c>
      <x:c r="P43" s="26" t="n">
        <x:f>O43/IF(C43="デイ",420,780)</x:f>
        <x:v>0.5290079365079365</x:v>
      </x:c>
      <x:c r="Q43" s="27" t="n">
        <x:v>1.7079761904761905</x:v>
      </x:c>
    </x:row>
    <x:row r="44" ht="22" customHeight="1">
      <x:c r="A44" s="2" t="str">
        <x:v>F1</x:v>
      </x:c>
      <x:c r="B44" s="24" t="d">
        <x:v>2026-10-15T17:00:00.000Z</x:v>
      </x:c>
      <x:c r="C44" s="2" t="str">
        <x:v>ナイト</x:v>
      </x:c>
      <x:c r="D44" s="20" t="n">
        <x:v>0</x:v>
      </x:c>
      <x:c r="E44" s="20" t="n">
        <x:v>121461</x:v>
      </x:c>
      <x:c r="F44" s="20" t="n">
        <x:f>D44-E44</x:f>
        <x:v>-121461</x:v>
      </x:c>
      <x:c r="G44" s="20" t="n">
        <x:f>SUMIFS($F$7:$F$56,$A$7:$A$56,A44,$B$7:$B$56,"&lt;="&amp;B44)</x:f>
        <x:v>1956396</x:v>
      </x:c>
      <x:c r="H44" s="20" t="n">
        <x:v>461</x:v>
      </x:c>
      <x:c r="I44" s="20" t="n">
        <x:v>-121000</x:v>
      </x:c>
      <x:c r="J44" s="29" t="n">
        <x:v>3</x:v>
      </x:c>
      <x:c r="K44" s="29" t="n">
        <x:v>6</x:v>
      </x:c>
      <x:c r="L44" s="29" t="n">
        <x:v>2</x:v>
      </x:c>
      <x:c r="M44" s="31" t="str">
        <x:v>対照47場</x:v>
      </x:c>
      <x:c r="N44" s="30" t="n">
        <x:v>360</x:v>
      </x:c>
      <x:c r="O44" s="30" t="n">
        <x:v>47.766666666666666</x:v>
      </x:c>
      <x:c r="P44" s="26" t="n">
        <x:f>O44/IF(C44="デイ",420,780)</x:f>
        <x:v>0.061239316239316235</x:v>
      </x:c>
      <x:c r="Q44" s="27" t="n">
        <x:v>0.11702991452991453</x:v>
      </x:c>
    </x:row>
    <x:row r="45" ht="22" customHeight="1">
      <x:c r="A45" s="2" t="str">
        <x:v>F1</x:v>
      </x:c>
      <x:c r="B45" s="24" t="d">
        <x:v>2026-10-16T08:45:00.000Z</x:v>
      </x:c>
      <x:c r="C45" s="2" t="str">
        <x:v>デイ</x:v>
      </x:c>
      <x:c r="D45" s="20" t="n">
        <x:v>72926</x:v>
      </x:c>
      <x:c r="E45" s="20" t="n">
        <x:v>171690</x:v>
      </x:c>
      <x:c r="F45" s="20" t="n">
        <x:f>D45-E45</x:f>
        <x:v>-98764</x:v>
      </x:c>
      <x:c r="G45" s="20" t="n">
        <x:f>SUMIFS($F$7:$F$56,$A$7:$A$56,A45,$B$7:$B$56,"&lt;="&amp;B45)</x:f>
        <x:v>1857632</x:v>
      </x:c>
      <x:c r="H45" s="20" t="n">
        <x:v>2764</x:v>
      </x:c>
      <x:c r="I45" s="20" t="n">
        <x:v>-96000</x:v>
      </x:c>
      <x:c r="J45" s="29" t="n">
        <x:v>10</x:v>
      </x:c>
      <x:c r="K45" s="29" t="n">
        <x:v>36</x:v>
      </x:c>
      <x:c r="L45" s="29" t="n">
        <x:v>7</x:v>
      </x:c>
      <x:c r="M45" s="31" t="str">
        <x:v>対照47場</x:v>
      </x:c>
      <x:c r="N45" s="30" t="n">
        <x:v>66.9</x:v>
      </x:c>
      <x:c r="O45" s="30" t="n">
        <x:v>217.8</x:v>
      </x:c>
      <x:c r="P45" s="26" t="n">
        <x:f>O45/IF(C45="デイ",420,780)</x:f>
        <x:v>0.5185714285714286</x:v>
      </x:c>
      <x:c r="Q45" s="27" t="n">
        <x:v>1.8029365079365078</x:v>
      </x:c>
    </x:row>
    <x:row r="46" ht="22" customHeight="1">
      <x:c r="A46" s="2" t="str">
        <x:v>F1</x:v>
      </x:c>
      <x:c r="B46" s="24" t="d">
        <x:v>2026-10-16T17:00:00.000Z</x:v>
      </x:c>
      <x:c r="C46" s="2" t="str">
        <x:v>ナイト</x:v>
      </x:c>
      <x:c r="D46" s="20" t="n">
        <x:v>78002</x:v>
      </x:c>
      <x:c r="E46" s="20" t="n">
        <x:v>75614</x:v>
      </x:c>
      <x:c r="F46" s="20" t="n">
        <x:f>D46-E46</x:f>
        <x:v>2388</x:v>
      </x:c>
      <x:c r="G46" s="20" t="n">
        <x:f>SUMIFS($F$7:$F$56,$A$7:$A$56,A46,$B$7:$B$56,"&lt;="&amp;B46)</x:f>
        <x:v>1860020</x:v>
      </x:c>
      <x:c r="H46" s="20" t="n">
        <x:v>1612</x:v>
      </x:c>
      <x:c r="I46" s="20" t="n">
        <x:v>4000</x:v>
      </x:c>
      <x:c r="J46" s="29" t="n">
        <x:v>8</x:v>
      </x:c>
      <x:c r="K46" s="29" t="n">
        <x:v>21</x:v>
      </x:c>
      <x:c r="L46" s="29" t="n">
        <x:v>5</x:v>
      </x:c>
      <x:c r="M46" s="31" t="str">
        <x:v>対照47場</x:v>
      </x:c>
      <x:c r="N46" s="30" t="n">
        <x:v>360</x:v>
      </x:c>
      <x:c r="O46" s="30" t="n">
        <x:v>94.33333333333333</x:v>
      </x:c>
      <x:c r="P46" s="26" t="n">
        <x:f>O46/IF(C46="デイ",420,780)</x:f>
        <x:v>0.12094017094017094</x:v>
      </x:c>
      <x:c r="Q46" s="27" t="n">
        <x:v>0.31232905982905984</x:v>
      </x:c>
    </x:row>
    <x:row r="47" ht="22" customHeight="1">
      <x:c r="A47" s="2" t="str">
        <x:v>F1</x:v>
      </x:c>
      <x:c r="B47" s="24" t="d">
        <x:v>2026-10-19T08:45:00.000Z</x:v>
      </x:c>
      <x:c r="C47" s="2" t="str">
        <x:v>デイ</x:v>
      </x:c>
      <x:c r="D47" s="20" t="n">
        <x:v>280240</x:v>
      </x:c>
      <x:c r="E47" s="20" t="n">
        <x:v>16154</x:v>
      </x:c>
      <x:c r="F47" s="20" t="n">
        <x:f>D47-E47</x:f>
        <x:v>264086</x:v>
      </x:c>
      <x:c r="G47" s="20" t="n">
        <x:f>SUMIFS($F$7:$F$56,$A$7:$A$56,A47,$B$7:$B$56,"&lt;="&amp;B47)</x:f>
        <x:v>2124106</x:v>
      </x:c>
      <x:c r="H47" s="20" t="n">
        <x:v>1914</x:v>
      </x:c>
      <x:c r="I47" s="20" t="n">
        <x:v>266000</x:v>
      </x:c>
      <x:c r="J47" s="29" t="n">
        <x:v>16</x:v>
      </x:c>
      <x:c r="K47" s="29" t="n">
        <x:v>25</x:v>
      </x:c>
      <x:c r="L47" s="29" t="n">
        <x:v>10</x:v>
      </x:c>
      <x:c r="M47" s="31" t="str">
        <x:v>対照47場</x:v>
      </x:c>
      <x:c r="N47" s="30" t="n">
        <x:v>46.78333333333333</x:v>
      </x:c>
      <x:c r="O47" s="30" t="n">
        <x:v>363.21666666666664</x:v>
      </x:c>
      <x:c r="P47" s="26" t="n">
        <x:f>O47/IF(C47="デイ",420,780)</x:f>
        <x:v>0.8648015873015873</x:v>
      </x:c>
      <x:c r="Q47" s="27" t="n">
        <x:v>5.097420634920635</x:v>
      </x:c>
    </x:row>
    <x:row r="48" ht="22" customHeight="1">
      <x:c r="A48" s="2" t="str">
        <x:v>F1</x:v>
      </x:c>
      <x:c r="B48" s="24" t="d">
        <x:v>2026-10-19T17:00:00.000Z</x:v>
      </x:c>
      <x:c r="C48" s="2" t="str">
        <x:v>ナイト</x:v>
      </x:c>
      <x:c r="D48" s="20" t="n">
        <x:v>64081</x:v>
      </x:c>
      <x:c r="E48" s="20" t="n">
        <x:v>50384</x:v>
      </x:c>
      <x:c r="F48" s="20" t="n">
        <x:f>D48-E48</x:f>
        <x:v>13697</x:v>
      </x:c>
      <x:c r="G48" s="20" t="n">
        <x:f>SUMIFS($F$7:$F$56,$A$7:$A$56,A48,$B$7:$B$56,"&lt;="&amp;B48)</x:f>
        <x:v>2137803</x:v>
      </x:c>
      <x:c r="H48" s="20" t="n">
        <x:v>1303</x:v>
      </x:c>
      <x:c r="I48" s="20" t="n">
        <x:v>15000</x:v>
      </x:c>
      <x:c r="J48" s="29" t="n">
        <x:v>7</x:v>
      </x:c>
      <x:c r="K48" s="29" t="n">
        <x:v>17</x:v>
      </x:c>
      <x:c r="L48" s="29" t="n">
        <x:v>5</x:v>
      </x:c>
      <x:c r="M48" s="31" t="str">
        <x:v>対照47場</x:v>
      </x:c>
      <x:c r="N48" s="30" t="n">
        <x:v>352.01666666666665</x:v>
      </x:c>
      <x:c r="O48" s="30" t="n">
        <x:v>38.21666666666667</x:v>
      </x:c>
      <x:c r="P48" s="26" t="n">
        <x:f>O48/IF(C48="デイ",420,780)</x:f>
        <x:v>0.0489957264957265</x:v>
      </x:c>
      <x:c r="Q48" s="27" t="n">
        <x:v>0.17536324786324786</x:v>
      </x:c>
    </x:row>
    <x:row r="49" ht="22" customHeight="1">
      <x:c r="A49" s="2" t="str">
        <x:v>F1</x:v>
      </x:c>
      <x:c r="B49" s="24" t="d">
        <x:v>2026-10-20T08:45:00.000Z</x:v>
      </x:c>
      <x:c r="C49" s="2" t="str">
        <x:v>デイ</x:v>
      </x:c>
      <x:c r="D49" s="20" t="n">
        <x:v>137466</x:v>
      </x:c>
      <x:c r="E49" s="20" t="n">
        <x:v>115846</x:v>
      </x:c>
      <x:c r="F49" s="20" t="n">
        <x:f>D49-E49</x:f>
        <x:v>21620</x:v>
      </x:c>
      <x:c r="G49" s="20" t="n">
        <x:f>SUMIFS($F$7:$F$56,$A$7:$A$56,A49,$B$7:$B$56,"&lt;="&amp;B49)</x:f>
        <x:v>2159423</x:v>
      </x:c>
      <x:c r="H49" s="20" t="n">
        <x:v>2380</x:v>
      </x:c>
      <x:c r="I49" s="20" t="n">
        <x:v>24000</x:v>
      </x:c>
      <x:c r="J49" s="29" t="n">
        <x:v>11</x:v>
      </x:c>
      <x:c r="K49" s="29" t="n">
        <x:v>31</x:v>
      </x:c>
      <x:c r="L49" s="29" t="n">
        <x:v>10</x:v>
      </x:c>
      <x:c r="M49" s="31" t="str">
        <x:v>対照47場</x:v>
      </x:c>
      <x:c r="N49" s="30" t="n">
        <x:v>79.45</x:v>
      </x:c>
      <x:c r="O49" s="30" t="n">
        <x:v>208.98333333333332</x:v>
      </x:c>
      <x:c r="P49" s="26" t="n">
        <x:f>O49/IF(C49="デイ",420,780)</x:f>
        <x:v>0.49757936507936507</x:v>
      </x:c>
      <x:c r="Q49" s="27" t="n">
        <x:v>2.184801587301587</x:v>
      </x:c>
    </x:row>
    <x:row r="50" ht="22" customHeight="1">
      <x:c r="A50" s="2" t="str">
        <x:v>F1</x:v>
      </x:c>
      <x:c r="B50" s="24" t="d">
        <x:v>2026-10-20T17:00:00.000Z</x:v>
      </x:c>
      <x:c r="C50" s="2" t="str">
        <x:v>ナイト</x:v>
      </x:c>
      <x:c r="D50" s="20" t="n">
        <x:v>412234</x:v>
      </x:c>
      <x:c r="E50" s="20" t="n">
        <x:v>70384</x:v>
      </x:c>
      <x:c r="F50" s="20" t="n">
        <x:f>D50-E50</x:f>
        <x:v>341850</x:v>
      </x:c>
      <x:c r="G50" s="20" t="n">
        <x:f>SUMIFS($F$7:$F$56,$A$7:$A$56,A50,$B$7:$B$56,"&lt;="&amp;B50)</x:f>
        <x:v>2501273</x:v>
      </x:c>
      <x:c r="H50" s="20" t="n">
        <x:v>1150</x:v>
      </x:c>
      <x:c r="I50" s="20" t="n">
        <x:v>343000</x:v>
      </x:c>
      <x:c r="J50" s="29" t="n">
        <x:v>8</x:v>
      </x:c>
      <x:c r="K50" s="29" t="n">
        <x:v>15</x:v>
      </x:c>
      <x:c r="L50" s="29" t="n">
        <x:v>7</x:v>
      </x:c>
      <x:c r="M50" s="31" t="str">
        <x:v>対照47場</x:v>
      </x:c>
      <x:c r="N50" s="30" t="n">
        <x:v>346.26666666666665</x:v>
      </x:c>
      <x:c r="O50" s="30" t="n">
        <x:v>73.9</x:v>
      </x:c>
      <x:c r="P50" s="26" t="n">
        <x:f>O50/IF(C50="デイ",420,780)</x:f>
        <x:v>0.09474358974358975</x:v>
      </x:c>
      <x:c r="Q50" s="27" t="n">
        <x:v>0.4636752136752137</x:v>
      </x:c>
    </x:row>
    <x:row r="51" ht="22" customHeight="1">
      <x:c r="A51" s="2" t="str">
        <x:v>F1</x:v>
      </x:c>
      <x:c r="B51" s="24" t="d">
        <x:v>2026-10-21T08:45:00.000Z</x:v>
      </x:c>
      <x:c r="C51" s="2" t="str">
        <x:v>デイ</x:v>
      </x:c>
      <x:c r="D51" s="20" t="n">
        <x:v>168928</x:v>
      </x:c>
      <x:c r="E51" s="20" t="n">
        <x:v>246920</x:v>
      </x:c>
      <x:c r="F51" s="20" t="n">
        <x:f>D51-E51</x:f>
        <x:v>-77992</x:v>
      </x:c>
      <x:c r="G51" s="20" t="n">
        <x:f>SUMIFS($F$7:$F$56,$A$7:$A$56,A51,$B$7:$B$56,"&lt;="&amp;B51)</x:f>
        <x:v>2423281</x:v>
      </x:c>
      <x:c r="H51" s="20" t="n">
        <x:v>2992</x:v>
      </x:c>
      <x:c r="I51" s="20" t="n">
        <x:v>-75000</x:v>
      </x:c>
      <x:c r="J51" s="29" t="n">
        <x:v>13</x:v>
      </x:c>
      <x:c r="K51" s="29" t="n">
        <x:v>39</x:v>
      </x:c>
      <x:c r="L51" s="29" t="n">
        <x:v>5</x:v>
      </x:c>
      <x:c r="M51" s="31" t="str">
        <x:v>対照47場</x:v>
      </x:c>
      <x:c r="N51" s="30" t="n">
        <x:v>50.11666666666667</x:v>
      </x:c>
      <x:c r="O51" s="30" t="n">
        <x:v>164.5</x:v>
      </x:c>
      <x:c r="P51" s="26" t="n">
        <x:f>O51/IF(C51="デイ",420,780)</x:f>
        <x:v>0.39166666666666666</x:v>
      </x:c>
      <x:c r="Q51" s="27" t="n">
        <x:v>1.5049603174603174</x:v>
      </x:c>
    </x:row>
    <x:row r="52" ht="22" customHeight="1">
      <x:c r="A52" s="2" t="str">
        <x:v>F1</x:v>
      </x:c>
      <x:c r="B52" s="24" t="d">
        <x:v>2026-10-21T17:00:00.000Z</x:v>
      </x:c>
      <x:c r="C52" s="2" t="str">
        <x:v>ナイト</x:v>
      </x:c>
      <x:c r="D52" s="20" t="n">
        <x:v>44616</x:v>
      </x:c>
      <x:c r="E52" s="20" t="n">
        <x:v>85768</x:v>
      </x:c>
      <x:c r="F52" s="20" t="n">
        <x:f>D52-E52</x:f>
        <x:v>-41152</x:v>
      </x:c>
      <x:c r="G52" s="20" t="n">
        <x:f>SUMIFS($F$7:$F$56,$A$7:$A$56,A52,$B$7:$B$56,"&lt;="&amp;B52)</x:f>
        <x:v>2382129</x:v>
      </x:c>
      <x:c r="H52" s="20" t="n">
        <x:v>1152</x:v>
      </x:c>
      <x:c r="I52" s="20" t="n">
        <x:v>-40000</x:v>
      </x:c>
      <x:c r="J52" s="29" t="n">
        <x:v>3</x:v>
      </x:c>
      <x:c r="K52" s="29" t="n">
        <x:v>15</x:v>
      </x:c>
      <x:c r="L52" s="29" t="n">
        <x:v>5</x:v>
      </x:c>
      <x:c r="M52" s="31" t="str">
        <x:v>対照47場</x:v>
      </x:c>
      <x:c r="N52" s="30" t="n">
        <x:v>360</x:v>
      </x:c>
      <x:c r="O52" s="30" t="n">
        <x:v>93.56666666666666</x:v>
      </x:c>
      <x:c r="P52" s="26" t="n">
        <x:f>O52/IF(C52="デイ",420,780)</x:f>
        <x:v>0.11995726495726496</x:v>
      </x:c>
      <x:c r="Q52" s="27" t="n">
        <x:v>0.5997863247863248</x:v>
      </x:c>
    </x:row>
    <x:row r="53" ht="22" customHeight="1">
      <x:c r="A53" s="2" t="str">
        <x:v>F1</x:v>
      </x:c>
      <x:c r="B53" s="24" t="d">
        <x:v>2026-10-22T08:45:00.000Z</x:v>
      </x:c>
      <x:c r="C53" s="2" t="str">
        <x:v>デイ</x:v>
      </x:c>
      <x:c r="D53" s="20" t="n">
        <x:v>389234</x:v>
      </x:c>
      <x:c r="E53" s="20" t="n">
        <x:v>70308</x:v>
      </x:c>
      <x:c r="F53" s="20" t="n">
        <x:f>D53-E53</x:f>
        <x:v>318926</x:v>
      </x:c>
      <x:c r="G53" s="20" t="n">
        <x:f>SUMIFS($F$7:$F$56,$A$7:$A$56,A53,$B$7:$B$56,"&lt;="&amp;B53)</x:f>
        <x:v>2701055</x:v>
      </x:c>
      <x:c r="H53" s="20" t="n">
        <x:v>1074</x:v>
      </x:c>
      <x:c r="I53" s="20" t="n">
        <x:v>320000</x:v>
      </x:c>
      <x:c r="J53" s="29" t="n">
        <x:v>7</x:v>
      </x:c>
      <x:c r="K53" s="29" t="n">
        <x:v>14</x:v>
      </x:c>
      <x:c r="L53" s="29" t="n">
        <x:v>5</x:v>
      </x:c>
      <x:c r="M53" s="31" t="str">
        <x:v>対照47場</x:v>
      </x:c>
      <x:c r="N53" s="30" t="n">
        <x:v>79.91666666666667</x:v>
      </x:c>
      <x:c r="O53" s="30" t="n">
        <x:v>250.81666666666666</x:v>
      </x:c>
      <x:c r="P53" s="26" t="n">
        <x:f>O53/IF(C53="デイ",420,780)</x:f>
        <x:v>0.5971825396825396</x:v>
      </x:c>
      <x:c r="Q53" s="27" t="n">
        <x:v>2.3267063492063493</x:v>
      </x:c>
    </x:row>
    <x:row r="54" ht="22" customHeight="1">
      <x:c r="A54" s="2" t="str">
        <x:v>F1</x:v>
      </x:c>
      <x:c r="B54" s="24" t="d">
        <x:v>2026-10-22T17:00:00.000Z</x:v>
      </x:c>
      <x:c r="C54" s="2" t="str">
        <x:v>ナイト</x:v>
      </x:c>
      <x:c r="D54" s="20" t="n">
        <x:v>104616</x:v>
      </x:c>
      <x:c r="E54" s="20" t="n">
        <x:v>65537</x:v>
      </x:c>
      <x:c r="F54" s="20" t="n">
        <x:f>D54-E54</x:f>
        <x:v>39079</x:v>
      </x:c>
      <x:c r="G54" s="20" t="n">
        <x:f>SUMIFS($F$7:$F$56,$A$7:$A$56,A54,$B$7:$B$56,"&lt;="&amp;B54)</x:f>
        <x:v>2740134</x:v>
      </x:c>
      <x:c r="H54" s="20" t="n">
        <x:v>921</x:v>
      </x:c>
      <x:c r="I54" s="20" t="n">
        <x:v>40000</x:v>
      </x:c>
      <x:c r="J54" s="29" t="n">
        <x:v>3</x:v>
      </x:c>
      <x:c r="K54" s="29" t="n">
        <x:v>12</x:v>
      </x:c>
      <x:c r="L54" s="29" t="n">
        <x:v>5</x:v>
      </x:c>
      <x:c r="M54" s="31" t="str">
        <x:v>診断3場</x:v>
      </x:c>
      <x:c r="N54" s="30" t="n">
        <x:v>360.06666666666666</x:v>
      </x:c>
      <x:c r="O54" s="30" t="n">
        <x:v>34.96666666666667</x:v>
      </x:c>
      <x:c r="P54" s="26" t="n">
        <x:f>O54/IF(C54="デイ",420,780)</x:f>
        <x:v>0.04482905982905983</x:v>
      </x:c>
      <x:c r="Q54" s="27" t="n">
        <x:v>0.16356837606837607</x:v>
      </x:c>
    </x:row>
    <x:row r="55" ht="22" customHeight="1">
      <x:c r="A55" s="2" t="str">
        <x:v>F1</x:v>
      </x:c>
      <x:c r="B55" s="24" t="d">
        <x:v>2026-10-23T08:45:00.000Z</x:v>
      </x:c>
      <x:c r="C55" s="2" t="str">
        <x:v>デイ</x:v>
      </x:c>
      <x:c r="D55" s="20" t="n">
        <x:v>76618</x:v>
      </x:c>
      <x:c r="E55" s="20" t="n">
        <x:v>99692</x:v>
      </x:c>
      <x:c r="F55" s="20" t="n">
        <x:f>D55-E55</x:f>
        <x:v>-23074</x:v>
      </x:c>
      <x:c r="G55" s="20" t="n">
        <x:f>SUMIFS($F$7:$F$56,$A$7:$A$56,A55,$B$7:$B$56,"&lt;="&amp;B55)</x:f>
        <x:v>2717060</x:v>
      </x:c>
      <x:c r="H55" s="20" t="n">
        <x:v>1074</x:v>
      </x:c>
      <x:c r="I55" s="20" t="n">
        <x:v>-22000</x:v>
      </x:c>
      <x:c r="J55" s="29" t="n">
        <x:v>7</x:v>
      </x:c>
      <x:c r="K55" s="29" t="n">
        <x:v>14</x:v>
      </x:c>
      <x:c r="L55" s="29" t="n">
        <x:v>5</x:v>
      </x:c>
      <x:c r="M55" s="31" t="str">
        <x:v>診断3場</x:v>
      </x:c>
      <x:c r="N55" s="30" t="n">
        <x:v>95.1</x:v>
      </x:c>
      <x:c r="O55" s="30" t="n">
        <x:v>217.81666666666666</x:v>
      </x:c>
      <x:c r="P55" s="26" t="n">
        <x:f>O55/IF(C55="デイ",420,780)</x:f>
        <x:v>0.5186111111111111</x:v>
      </x:c>
      <x:c r="Q55" s="27" t="n">
        <x:v>1.381468253968254</x:v>
      </x:c>
    </x:row>
    <x:row r="56" ht="22" customHeight="1">
      <x:c r="A56" s="2" t="str">
        <x:v>F1</x:v>
      </x:c>
      <x:c r="B56" s="24" t="d">
        <x:v>2026-10-23T17:00:00.000Z</x:v>
      </x:c>
      <x:c r="C56" s="2" t="str">
        <x:v>ナイト</x:v>
      </x:c>
      <x:c r="D56" s="20" t="n">
        <x:v>34616</x:v>
      </x:c>
      <x:c r="E56" s="20" t="n">
        <x:v>15153</x:v>
      </x:c>
      <x:c r="F56" s="20" t="n">
        <x:f>D56-E56</x:f>
        <x:v>19463</x:v>
      </x:c>
      <x:c r="G56" s="20" t="n">
        <x:f>SUMIFS($F$7:$F$56,$A$7:$A$56,A56,$B$7:$B$56,"&lt;="&amp;B56)</x:f>
        <x:v>2736523</x:v>
      </x:c>
      <x:c r="H56" s="20" t="n">
        <x:v>537</x:v>
      </x:c>
      <x:c r="I56" s="20" t="n">
        <x:v>20000</x:v>
      </x:c>
      <x:c r="J56" s="29" t="n">
        <x:v>2</x:v>
      </x:c>
      <x:c r="K56" s="29" t="n">
        <x:v>7</x:v>
      </x:c>
      <x:c r="L56" s="29" t="n">
        <x:v>5</x:v>
      </x:c>
      <x:c r="M56" s="31" t="str">
        <x:v>診断3場</x:v>
      </x:c>
      <x:c r="N56" s="30" t="n">
        <x:v>360.03333333333336</x:v>
      </x:c>
      <x:c r="O56" s="30" t="n">
        <x:v>21.583333333333332</x:v>
      </x:c>
      <x:c r="P56" s="26" t="n">
        <x:f>O56/IF(C56="デイ",420,780)</x:f>
        <x:v>0.02767094017094017</x:v>
      </x:c>
      <x:c r="Q56" s="27" t="n">
        <x:v>0.051132478632478634</x:v>
      </x:c>
    </x:row>
  </x:sheetData>
  <x:conditionalFormatting sqref="D7:I56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ac5746107d47c9"/>
  </x:tableParts>
</x:worksheet>
</file>

<file path=xl/worksheets/sheet7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日経mini V04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片方向上限10枚。金額は円・手数料後。保有率は昼420分・夜780分が分母。平均保有枚数も公式時間全体で平均し、両建ては合計枚数で数えます。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昼：V04／夜：V04。対照47場：9/21～10/22デイ。診断3場：10/22ナイト～10/23ナイト。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参加拡大の比較対照・安定性は悪化。出典：00142保存会計。診断3場は原因分析と改善に使用した期間です。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7" t="str">
        <x:v>保有（分）</x:v>
      </x:c>
      <x:c r="P6" s="17" t="str">
        <x:v>保有率</x:v>
      </x:c>
      <x:c r="Q6" s="18" t="str">
        <x:v>平均保有枚数</x:v>
      </x:c>
    </x:row>
    <x:row r="7" ht="22" customHeight="1">
      <x:c r="A7" s="2" t="str">
        <x:v>V04</x:v>
      </x:c>
      <x:c r="B7" s="24" t="d">
        <x:v>2026-09-21T08:45:00.000Z</x:v>
      </x:c>
      <x:c r="C7" s="2" t="str">
        <x:v>デイ</x:v>
      </x:c>
      <x:c r="D7" s="20" t="n">
        <x:v>85616</x:v>
      </x:c>
      <x:c r="E7" s="20" t="n">
        <x:v>0</x:v>
      </x:c>
      <x:c r="F7" s="20" t="n">
        <x:f>D7-E7</x:f>
        <x:v>85616</x:v>
      </x:c>
      <x:c r="G7" s="20" t="n">
        <x:f>SUMIFS($F$7:$F$56,$A$7:$A$56,A7,$B$7:$B$56,"&lt;="&amp;B7)</x:f>
        <x:v>85616</x:v>
      </x:c>
      <x:c r="H7" s="20" t="n">
        <x:v>384</x:v>
      </x:c>
      <x:c r="I7" s="20" t="n">
        <x:v>86000</x:v>
      </x:c>
      <x:c r="J7" s="29" t="n">
        <x:v>1</x:v>
      </x:c>
      <x:c r="K7" s="29" t="n">
        <x:v>5</x:v>
      </x:c>
      <x:c r="L7" s="29" t="n">
        <x:v>5</x:v>
      </x:c>
      <x:c r="M7" s="31" t="str">
        <x:v>対照47場</x:v>
      </x:c>
      <x:c r="N7" s="30" t="n">
        <x:v>190.06666666666666</x:v>
      </x:c>
      <x:c r="O7" s="30" t="n">
        <x:v>167.2</x:v>
      </x:c>
      <x:c r="P7" s="26" t="n">
        <x:f>O7/IF(C7="デイ",420,780)</x:f>
        <x:v>0.39809523809523806</x:v>
      </x:c>
      <x:c r="Q7" s="27" t="n">
        <x:v>1.4817460317460318</x:v>
      </x:c>
    </x:row>
    <x:row r="8" ht="22" customHeight="1">
      <x:c r="A8" s="2" t="str">
        <x:v>V04</x:v>
      </x:c>
      <x:c r="B8" s="24" t="d">
        <x:v>2026-09-21T17:00:00.000Z</x:v>
      </x:c>
      <x:c r="C8" s="2" t="str">
        <x:v>ナイト</x:v>
      </x:c>
      <x:c r="D8" s="20" t="n">
        <x:v>27846</x:v>
      </x:c>
      <x:c r="E8" s="20" t="n">
        <x:v>45384</x:v>
      </x:c>
      <x:c r="F8" s="20" t="n">
        <x:f>D8-E8</x:f>
        <x:v>-17538</x:v>
      </x:c>
      <x:c r="G8" s="20" t="n">
        <x:f>SUMIFS($F$7:$F$56,$A$7:$A$56,A8,$B$7:$B$56,"&lt;="&amp;B8)</x:f>
        <x:v>68078</x:v>
      </x:c>
      <x:c r="H8" s="20" t="n">
        <x:v>538</x:v>
      </x:c>
      <x:c r="I8" s="20" t="n">
        <x:v>-17000</x:v>
      </x:c>
      <x:c r="J8" s="29" t="n">
        <x:v>2</x:v>
      </x:c>
      <x:c r="K8" s="29" t="n">
        <x:v>7</x:v>
      </x:c>
      <x:c r="L8" s="29" t="n">
        <x:v>5</x:v>
      </x:c>
      <x:c r="M8" s="31" t="str">
        <x:v>対照47場</x:v>
      </x:c>
      <x:c r="N8" s="30" t="n">
        <x:v>360.01666666666665</x:v>
      </x:c>
      <x:c r="O8" s="30" t="n">
        <x:v>91.48333333333333</x:v>
      </x:c>
      <x:c r="P8" s="26" t="n">
        <x:f>O8/IF(C8="デイ",420,780)</x:f>
        <x:v>0.1172863247863248</x:v>
      </x:c>
      <x:c r="Q8" s="27" t="n">
        <x:v>0.2563675213675214</x:v>
      </x:c>
    </x:row>
    <x:row r="9" ht="22" customHeight="1">
      <x:c r="A9" s="2" t="str">
        <x:v>V04</x:v>
      </x:c>
      <x:c r="B9" s="24" t="d">
        <x:v>2026-09-22T08:45:00.000Z</x:v>
      </x:c>
      <x:c r="C9" s="2" t="str">
        <x:v>デイ</x:v>
      </x:c>
      <x:c r="D9" s="20" t="n">
        <x:v>0</x:v>
      </x:c>
      <x:c r="E9" s="20" t="n">
        <x:v>132306</x:v>
      </x:c>
      <x:c r="F9" s="20" t="n">
        <x:f>D9-E9</x:f>
        <x:v>-132306</x:v>
      </x:c>
      <x:c r="G9" s="20" t="n">
        <x:f>SUMIFS($F$7:$F$56,$A$7:$A$56,A9,$B$7:$B$56,"&lt;="&amp;B9)</x:f>
        <x:v>-64228</x:v>
      </x:c>
      <x:c r="H9" s="20" t="n">
        <x:v>1306</x:v>
      </x:c>
      <x:c r="I9" s="20" t="n">
        <x:v>-131000</x:v>
      </x:c>
      <x:c r="J9" s="29" t="n">
        <x:v>4</x:v>
      </x:c>
      <x:c r="K9" s="29" t="n">
        <x:v>17</x:v>
      </x:c>
      <x:c r="L9" s="29" t="n">
        <x:v>5</x:v>
      </x:c>
      <x:c r="M9" s="31" t="str">
        <x:v>対照47場</x:v>
      </x:c>
      <x:c r="N9" s="30" t="n">
        <x:v>34.03333333333333</x:v>
      </x:c>
      <x:c r="O9" s="30" t="n">
        <x:v>39.416666666666664</x:v>
      </x:c>
      <x:c r="P9" s="26" t="n">
        <x:f>O9/IF(C9="デイ",420,780)</x:f>
        <x:v>0.09384920634920635</x:v>
      </x:c>
      <x:c r="Q9" s="27" t="n">
        <x:v>0.3888888888888889</x:v>
      </x:c>
    </x:row>
    <x:row r="10" ht="22" customHeight="1">
      <x:c r="A10" s="2" t="str">
        <x:v>V04</x:v>
      </x:c>
      <x:c r="B10" s="24" t="d">
        <x:v>2026-09-22T17:00:00.000Z</x:v>
      </x:c>
      <x:c r="C10" s="2" t="str">
        <x:v>ナイト</x:v>
      </x:c>
      <x:c r="D10" s="20" t="n">
        <x:v>73462</x:v>
      </x:c>
      <x:c r="E10" s="20" t="n">
        <x:v>30462</x:v>
      </x:c>
      <x:c r="F10" s="20" t="n">
        <x:f>D10-E10</x:f>
        <x:v>43000</x:v>
      </x:c>
      <x:c r="G10" s="20" t="n">
        <x:f>SUMIFS($F$7:$F$56,$A$7:$A$56,A10,$B$7:$B$56,"&lt;="&amp;B10)</x:f>
        <x:v>-21228</x:v>
      </x:c>
      <x:c r="H10" s="20" t="n">
        <x:v>1000</x:v>
      </x:c>
      <x:c r="I10" s="20" t="n">
        <x:v>44000</x:v>
      </x:c>
      <x:c r="J10" s="29" t="n">
        <x:v>5</x:v>
      </x:c>
      <x:c r="K10" s="29" t="n">
        <x:v>13</x:v>
      </x:c>
      <x:c r="L10" s="29" t="n">
        <x:v>7</x:v>
      </x:c>
      <x:c r="M10" s="31" t="str">
        <x:v>対照47場</x:v>
      </x:c>
      <x:c r="N10" s="30" t="n">
        <x:v>51.65</x:v>
      </x:c>
      <x:c r="O10" s="30" t="n">
        <x:v>248.41666666666666</x:v>
      </x:c>
      <x:c r="P10" s="26" t="n">
        <x:f>O10/IF(C10="デイ",420,780)</x:f>
        <x:v>0.31848290598290596</x:v>
      </x:c>
      <x:c r="Q10" s="27" t="n">
        <x:v>0.7088247863247863</x:v>
      </x:c>
    </x:row>
    <x:row r="11" ht="22" customHeight="1">
      <x:c r="A11" s="2" t="str">
        <x:v>V04</x:v>
      </x:c>
      <x:c r="B11" s="24" t="d">
        <x:v>2026-09-23T08:45:00.000Z</x:v>
      </x:c>
      <x:c r="C11" s="2" t="str">
        <x:v>デイ</x:v>
      </x:c>
      <x:c r="D11" s="20" t="n">
        <x:v>0</x:v>
      </x:c>
      <x:c r="E11" s="20" t="n">
        <x:v>4384</x:v>
      </x:c>
      <x:c r="F11" s="20" t="n">
        <x:f>D11-E11</x:f>
        <x:v>-4384</x:v>
      </x:c>
      <x:c r="G11" s="20" t="n">
        <x:f>SUMIFS($F$7:$F$56,$A$7:$A$56,A11,$B$7:$B$56,"&lt;="&amp;B11)</x:f>
        <x:v>-25612</x:v>
      </x:c>
      <x:c r="H11" s="20" t="n">
        <x:v>384</x:v>
      </x:c>
      <x:c r="I11" s="20" t="n">
        <x:v>-4000</x:v>
      </x:c>
      <x:c r="J11" s="29" t="n">
        <x:v>1</x:v>
      </x:c>
      <x:c r="K11" s="29" t="n">
        <x:v>5</x:v>
      </x:c>
      <x:c r="L11" s="29" t="n">
        <x:v>5</x:v>
      </x:c>
      <x:c r="M11" s="31" t="str">
        <x:v>対照47場</x:v>
      </x:c>
      <x:c r="N11" s="30" t="n">
        <x:v>68.15</x:v>
      </x:c>
      <x:c r="O11" s="30" t="n">
        <x:v>313.75</x:v>
      </x:c>
      <x:c r="P11" s="26" t="n">
        <x:f>O11/IF(C11="デイ",420,780)</x:f>
        <x:v>0.7470238095238095</x:v>
      </x:c>
      <x:c r="Q11" s="27" t="n">
        <x:v>2.6480555555555556</x:v>
      </x:c>
    </x:row>
    <x:row r="12" ht="22" customHeight="1">
      <x:c r="A12" s="2" t="str">
        <x:v>V04</x:v>
      </x:c>
      <x:c r="B12" s="24" t="d">
        <x:v>2026-09-23T17:00:00.000Z</x:v>
      </x:c>
      <x:c r="C12" s="2" t="str">
        <x:v>ナイト</x:v>
      </x:c>
      <x:c r="D12" s="20" t="n">
        <x:v>81692</x:v>
      </x:c>
      <x:c r="E12" s="20" t="n">
        <x:v>40384</x:v>
      </x:c>
      <x:c r="F12" s="20" t="n">
        <x:f>D12-E12</x:f>
        <x:v>41308</x:v>
      </x:c>
      <x:c r="G12" s="20" t="n">
        <x:f>SUMIFS($F$7:$F$56,$A$7:$A$56,A12,$B$7:$B$56,"&lt;="&amp;B12)</x:f>
        <x:v>15696</x:v>
      </x:c>
      <x:c r="H12" s="20" t="n">
        <x:v>692</x:v>
      </x:c>
      <x:c r="I12" s="20" t="n">
        <x:v>42000</x:v>
      </x:c>
      <x:c r="J12" s="29" t="n">
        <x:v>3</x:v>
      </x:c>
      <x:c r="K12" s="29" t="n">
        <x:v>9</x:v>
      </x:c>
      <x:c r="L12" s="29" t="n">
        <x:v>7</x:v>
      </x:c>
      <x:c r="M12" s="31" t="str">
        <x:v>対照47場</x:v>
      </x:c>
      <x:c r="N12" s="30" t="n">
        <x:v>345.56666666666666</x:v>
      </x:c>
      <x:c r="O12" s="30" t="n">
        <x:v>125.58333333333333</x:v>
      </x:c>
      <x:c r="P12" s="26" t="n">
        <x:f>O12/IF(C12="デイ",420,780)</x:f>
        <x:v>0.1610042735042735</x:v>
      </x:c>
      <x:c r="Q12" s="27" t="n">
        <x:v>0.33579059829059826</x:v>
      </x:c>
    </x:row>
    <x:row r="13" ht="22" customHeight="1">
      <x:c r="A13" s="2" t="str">
        <x:v>V04</x:v>
      </x:c>
      <x:c r="B13" s="24" t="d">
        <x:v>2026-09-24T08:45:00.000Z</x:v>
      </x:c>
      <x:c r="C13" s="2" t="str">
        <x:v>デイ</x:v>
      </x:c>
      <x:c r="D13" s="20" t="n">
        <x:v>72154</x:v>
      </x:c>
      <x:c r="E13" s="20" t="n">
        <x:v>168384</x:v>
      </x:c>
      <x:c r="F13" s="20" t="n">
        <x:f>D13-E13</x:f>
        <x:v>-96230</x:v>
      </x:c>
      <x:c r="G13" s="20" t="n">
        <x:f>SUMIFS($F$7:$F$56,$A$7:$A$56,A13,$B$7:$B$56,"&lt;="&amp;B13)</x:f>
        <x:v>-80534</x:v>
      </x:c>
      <x:c r="H13" s="20" t="n">
        <x:v>2230</x:v>
      </x:c>
      <x:c r="I13" s="20" t="n">
        <x:v>-94000</x:v>
      </x:c>
      <x:c r="J13" s="29" t="n">
        <x:v>10</x:v>
      </x:c>
      <x:c r="K13" s="29" t="n">
        <x:v>29</x:v>
      </x:c>
      <x:c r="L13" s="29" t="n">
        <x:v>7</x:v>
      </x:c>
      <x:c r="M13" s="31" t="str">
        <x:v>対照47場</x:v>
      </x:c>
      <x:c r="N13" s="30" t="n">
        <x:v>25.55</x:v>
      </x:c>
      <x:c r="O13" s="30" t="n">
        <x:v>195.76666666666668</x:v>
      </x:c>
      <x:c r="P13" s="26" t="n">
        <x:f>O13/IF(C13="デイ",420,780)</x:f>
        <x:v>0.46611111111111114</x:v>
      </x:c>
      <x:c r="Q13" s="27" t="n">
        <x:v>1.6373015873015873</x:v>
      </x:c>
    </x:row>
    <x:row r="14" ht="22" customHeight="1">
      <x:c r="A14" s="2" t="str">
        <x:v>V04</x:v>
      </x:c>
      <x:c r="B14" s="24" t="d">
        <x:v>2026-09-24T17:00:00.000Z</x:v>
      </x:c>
      <x:c r="C14" s="2" t="str">
        <x:v>ナイト</x:v>
      </x:c>
      <x:c r="D14" s="20" t="n">
        <x:v>44616</x:v>
      </x:c>
      <x:c r="E14" s="20" t="n">
        <x:v>255924</x:v>
      </x:c>
      <x:c r="F14" s="20" t="n">
        <x:f>D14-E14</x:f>
        <x:v>-211308</x:v>
      </x:c>
      <x:c r="G14" s="20" t="n">
        <x:f>SUMIFS($F$7:$F$56,$A$7:$A$56,A14,$B$7:$B$56,"&lt;="&amp;B14)</x:f>
        <x:v>-291842</x:v>
      </x:c>
      <x:c r="H14" s="20" t="n">
        <x:v>2308</x:v>
      </x:c>
      <x:c r="I14" s="20" t="n">
        <x:v>-209000</x:v>
      </x:c>
      <x:c r="J14" s="29" t="n">
        <x:v>12</x:v>
      </x:c>
      <x:c r="K14" s="29" t="n">
        <x:v>30</x:v>
      </x:c>
      <x:c r="L14" s="29" t="n">
        <x:v>7</x:v>
      </x:c>
      <x:c r="M14" s="31" t="str">
        <x:v>対照47場</x:v>
      </x:c>
      <x:c r="N14" s="30" t="n">
        <x:v>65.86666666666666</x:v>
      </x:c>
      <x:c r="O14" s="30" t="n">
        <x:v>151.43333333333334</x:v>
      </x:c>
      <x:c r="P14" s="26" t="n">
        <x:f>O14/IF(C14="デイ",420,780)</x:f>
        <x:v>0.19414529914529915</x:v>
      </x:c>
      <x:c r="Q14" s="27" t="n">
        <x:v>0.4412820512820513</x:v>
      </x:c>
    </x:row>
    <x:row r="15" ht="22" customHeight="1">
      <x:c r="A15" s="2" t="str">
        <x:v>V04</x:v>
      </x:c>
      <x:c r="B15" s="24" t="d">
        <x:v>2026-09-25T08:45:00.000Z</x:v>
      </x:c>
      <x:c r="C15" s="2" t="str">
        <x:v>デイ</x:v>
      </x:c>
      <x:c r="D15" s="20" t="n">
        <x:v>199308</x:v>
      </x:c>
      <x:c r="E15" s="20" t="n">
        <x:v>117078</x:v>
      </x:c>
      <x:c r="F15" s="20" t="n">
        <x:f>D15-E15</x:f>
        <x:v>82230</x:v>
      </x:c>
      <x:c r="G15" s="20" t="n">
        <x:f>SUMIFS($F$7:$F$56,$A$7:$A$56,A15,$B$7:$B$56,"&lt;="&amp;B15)</x:f>
        <x:v>-209612</x:v>
      </x:c>
      <x:c r="H15" s="20" t="n">
        <x:v>1770</x:v>
      </x:c>
      <x:c r="I15" s="20" t="n">
        <x:v>84000</x:v>
      </x:c>
      <x:c r="J15" s="29" t="n">
        <x:v>10</x:v>
      </x:c>
      <x:c r="K15" s="29" t="n">
        <x:v>23</x:v>
      </x:c>
      <x:c r="L15" s="29" t="n">
        <x:v>7</x:v>
      </x:c>
      <x:c r="M15" s="31" t="str">
        <x:v>対照47場</x:v>
      </x:c>
      <x:c r="N15" s="30" t="n">
        <x:v>27.183333333333334</x:v>
      </x:c>
      <x:c r="O15" s="30" t="n">
        <x:v>346.65</x:v>
      </x:c>
      <x:c r="P15" s="26" t="n">
        <x:f>O15/IF(C15="デイ",420,780)</x:f>
        <x:v>0.8253571428571428</x:v>
      </x:c>
      <x:c r="Q15" s="27" t="n">
        <x:v>3.0255952380952382</x:v>
      </x:c>
    </x:row>
    <x:row r="16" ht="22" customHeight="1">
      <x:c r="A16" s="2" t="str">
        <x:v>V04</x:v>
      </x:c>
      <x:c r="B16" s="24" t="d">
        <x:v>2026-09-25T17:00:00.000Z</x:v>
      </x:c>
      <x:c r="C16" s="2" t="str">
        <x:v>ナイト</x:v>
      </x:c>
      <x:c r="D16" s="20" t="n">
        <x:v>56308</x:v>
      </x:c>
      <x:c r="E16" s="20" t="n">
        <x:v>32308</x:v>
      </x:c>
      <x:c r="F16" s="20" t="n">
        <x:f>D16-E16</x:f>
        <x:v>24000</x:v>
      </x:c>
      <x:c r="G16" s="20" t="n">
        <x:f>SUMIFS($F$7:$F$56,$A$7:$A$56,A16,$B$7:$B$56,"&lt;="&amp;B16)</x:f>
        <x:v>-185612</x:v>
      </x:c>
      <x:c r="H16" s="20" t="n">
        <x:v>1000</x:v>
      </x:c>
      <x:c r="I16" s="20" t="n">
        <x:v>25000</x:v>
      </x:c>
      <x:c r="J16" s="29" t="n">
        <x:v>5</x:v>
      </x:c>
      <x:c r="K16" s="29" t="n">
        <x:v>13</x:v>
      </x:c>
      <x:c r="L16" s="29" t="n">
        <x:v>5</x:v>
      </x:c>
      <x:c r="M16" s="31" t="str">
        <x:v>対照47場</x:v>
      </x:c>
      <x:c r="N16" s="30" t="n">
        <x:v>325.1166666666667</x:v>
      </x:c>
      <x:c r="O16" s="30" t="n">
        <x:v>94.15</x:v>
      </x:c>
      <x:c r="P16" s="26" t="n">
        <x:f>O16/IF(C16="デイ",420,780)</x:f>
        <x:v>0.12070512820512821</x:v>
      </x:c>
      <x:c r="Q16" s="27" t="n">
        <x:v>0.25076923076923074</x:v>
      </x:c>
    </x:row>
    <x:row r="17" ht="22" customHeight="1">
      <x:c r="A17" s="2" t="str">
        <x:v>V04</x:v>
      </x:c>
      <x:c r="B17" s="24" t="d">
        <x:v>2026-09-28T08:45:00.000Z</x:v>
      </x:c>
      <x:c r="C17" s="2" t="str">
        <x:v>デイ</x:v>
      </x:c>
      <x:c r="D17" s="20" t="n">
        <x:v>341154</x:v>
      </x:c>
      <x:c r="E17" s="20" t="n">
        <x:v>200308</x:v>
      </x:c>
      <x:c r="F17" s="20" t="n">
        <x:f>D17-E17</x:f>
        <x:v>140846</x:v>
      </x:c>
      <x:c r="G17" s="20" t="n">
        <x:f>SUMIFS($F$7:$F$56,$A$7:$A$56,A17,$B$7:$B$56,"&lt;="&amp;B17)</x:f>
        <x:v>-44766</x:v>
      </x:c>
      <x:c r="H17" s="20" t="n">
        <x:v>2154</x:v>
      </x:c>
      <x:c r="I17" s="20" t="n">
        <x:v>143000</x:v>
      </x:c>
      <x:c r="J17" s="29" t="n">
        <x:v>11</x:v>
      </x:c>
      <x:c r="K17" s="29" t="n">
        <x:v>28</x:v>
      </x:c>
      <x:c r="L17" s="29" t="n">
        <x:v>7</x:v>
      </x:c>
      <x:c r="M17" s="31" t="str">
        <x:v>対照47場</x:v>
      </x:c>
      <x:c r="N17" s="30" t="n">
        <x:v>24.75</x:v>
      </x:c>
      <x:c r="O17" s="30" t="n">
        <x:v>365.71666666666664</x:v>
      </x:c>
      <x:c r="P17" s="26" t="n">
        <x:f>O17/IF(C17="デイ",420,780)</x:f>
        <x:v>0.8707539682539682</x:v>
      </x:c>
      <x:c r="Q17" s="27" t="n">
        <x:v>3.640595238095238</x:v>
      </x:c>
    </x:row>
    <x:row r="18" ht="22" customHeight="1">
      <x:c r="A18" s="2" t="str">
        <x:v>V04</x:v>
      </x:c>
      <x:c r="B18" s="24" t="d">
        <x:v>2026-09-28T17:00:00.000Z</x:v>
      </x:c>
      <x:c r="C18" s="2" t="str">
        <x:v>ナイト</x:v>
      </x:c>
      <x:c r="D18" s="20" t="n">
        <x:v>97308</x:v>
      </x:c>
      <x:c r="E18" s="20" t="n">
        <x:v>80462</x:v>
      </x:c>
      <x:c r="F18" s="20" t="n">
        <x:f>D18-E18</x:f>
        <x:v>16846</x:v>
      </x:c>
      <x:c r="G18" s="20" t="n">
        <x:f>SUMIFS($F$7:$F$56,$A$7:$A$56,A18,$B$7:$B$56,"&lt;="&amp;B18)</x:f>
        <x:v>-27920</x:v>
      </x:c>
      <x:c r="H18" s="20" t="n">
        <x:v>1154</x:v>
      </x:c>
      <x:c r="I18" s="20" t="n">
        <x:v>18000</x:v>
      </x:c>
      <x:c r="J18" s="29" t="n">
        <x:v>6</x:v>
      </x:c>
      <x:c r="K18" s="29" t="n">
        <x:v>15</x:v>
      </x:c>
      <x:c r="L18" s="29" t="n">
        <x:v>5</x:v>
      </x:c>
      <x:c r="M18" s="31" t="str">
        <x:v>対照47場</x:v>
      </x:c>
      <x:c r="N18" s="30" t="n">
        <x:v>180.21666666666667</x:v>
      </x:c>
      <x:c r="O18" s="30" t="n">
        <x:v>74.4</x:v>
      </x:c>
      <x:c r="P18" s="26" t="n">
        <x:f>O18/IF(C18="デイ",420,780)</x:f>
        <x:v>0.09538461538461539</x:v>
      </x:c>
      <x:c r="Q18" s="27" t="n">
        <x:v>0.22504273504273503</x:v>
      </x:c>
    </x:row>
    <x:row r="19" ht="22" customHeight="1">
      <x:c r="A19" s="2" t="str">
        <x:v>V04</x:v>
      </x:c>
      <x:c r="B19" s="24" t="d">
        <x:v>2026-09-29T08:45:00.000Z</x:v>
      </x:c>
      <x:c r="C19" s="2" t="str">
        <x:v>デイ</x:v>
      </x:c>
      <x:c r="D19" s="20" t="n">
        <x:v>373924</x:v>
      </x:c>
      <x:c r="E19" s="20" t="n">
        <x:v>108770</x:v>
      </x:c>
      <x:c r="F19" s="20" t="n">
        <x:f>D19-E19</x:f>
        <x:v>265154</x:v>
      </x:c>
      <x:c r="G19" s="20" t="n">
        <x:f>SUMIFS($F$7:$F$56,$A$7:$A$56,A19,$B$7:$B$56,"&lt;="&amp;B19)</x:f>
        <x:v>237234</x:v>
      </x:c>
      <x:c r="H19" s="20" t="n">
        <x:v>1846</x:v>
      </x:c>
      <x:c r="I19" s="20" t="n">
        <x:v>267000</x:v>
      </x:c>
      <x:c r="J19" s="29" t="n">
        <x:v>9</x:v>
      </x:c>
      <x:c r="K19" s="29" t="n">
        <x:v>24</x:v>
      </x:c>
      <x:c r="L19" s="29" t="n">
        <x:v>7</x:v>
      </x:c>
      <x:c r="M19" s="31" t="str">
        <x:v>対照47場</x:v>
      </x:c>
      <x:c r="N19" s="30" t="n">
        <x:v>31.933333333333334</x:v>
      </x:c>
      <x:c r="O19" s="30" t="n">
        <x:v>345.1333333333333</x:v>
      </x:c>
      <x:c r="P19" s="26" t="n">
        <x:f>O19/IF(C19="デイ",420,780)</x:f>
        <x:v>0.8217460317460318</x:v>
      </x:c>
      <x:c r="Q19" s="27" t="n">
        <x:v>3.5694444444444446</x:v>
      </x:c>
    </x:row>
    <x:row r="20" ht="22" customHeight="1">
      <x:c r="A20" s="2" t="str">
        <x:v>V04</x:v>
      </x:c>
      <x:c r="B20" s="24" t="d">
        <x:v>2026-09-29T17:00:00.000Z</x:v>
      </x:c>
      <x:c r="C20" s="2" t="str">
        <x:v>ナイト</x:v>
      </x:c>
      <x:c r="D20" s="20" t="n">
        <x:v>252540</x:v>
      </x:c>
      <x:c r="E20" s="20" t="n">
        <x:v>135000</x:v>
      </x:c>
      <x:c r="F20" s="20" t="n">
        <x:f>D20-E20</x:f>
        <x:v>117540</x:v>
      </x:c>
      <x:c r="G20" s="20" t="n">
        <x:f>SUMIFS($F$7:$F$56,$A$7:$A$56,A20,$B$7:$B$56,"&lt;="&amp;B20)</x:f>
        <x:v>354774</x:v>
      </x:c>
      <x:c r="H20" s="20" t="n">
        <x:v>2460</x:v>
      </x:c>
      <x:c r="I20" s="20" t="n">
        <x:v>120000</x:v>
      </x:c>
      <x:c r="J20" s="29" t="n">
        <x:v>10</x:v>
      </x:c>
      <x:c r="K20" s="29" t="n">
        <x:v>32</x:v>
      </x:c>
      <x:c r="L20" s="29" t="n">
        <x:v>7</x:v>
      </x:c>
      <x:c r="M20" s="31" t="str">
        <x:v>対照47場</x:v>
      </x:c>
      <x:c r="N20" s="30" t="n">
        <x:v>336.51666666666665</x:v>
      </x:c>
      <x:c r="O20" s="30" t="n">
        <x:v>125.23333333333333</x:v>
      </x:c>
      <x:c r="P20" s="26" t="n">
        <x:f>O20/IF(C20="デイ",420,780)</x:f>
        <x:v>0.16055555555555556</x:v>
      </x:c>
      <x:c r="Q20" s="27" t="n">
        <x:v>0.5813888888888888</x:v>
      </x:c>
    </x:row>
    <x:row r="21" ht="22" customHeight="1">
      <x:c r="A21" s="2" t="str">
        <x:v>V04</x:v>
      </x:c>
      <x:c r="B21" s="24" t="d">
        <x:v>2026-09-30T08:45:00.000Z</x:v>
      </x:c>
      <x:c r="C21" s="2" t="str">
        <x:v>デイ</x:v>
      </x:c>
      <x:c r="D21" s="20" t="n">
        <x:v>244462</x:v>
      </x:c>
      <x:c r="E21" s="20" t="n">
        <x:v>162308</x:v>
      </x:c>
      <x:c r="F21" s="20" t="n">
        <x:f>D21-E21</x:f>
        <x:v>82154</x:v>
      </x:c>
      <x:c r="G21" s="20" t="n">
        <x:f>SUMIFS($F$7:$F$56,$A$7:$A$56,A21,$B$7:$B$56,"&lt;="&amp;B21)</x:f>
        <x:v>436928</x:v>
      </x:c>
      <x:c r="H21" s="20" t="n">
        <x:v>1846</x:v>
      </x:c>
      <x:c r="I21" s="20" t="n">
        <x:v>84000</x:v>
      </x:c>
      <x:c r="J21" s="29" t="n">
        <x:v>9</x:v>
      </x:c>
      <x:c r="K21" s="29" t="n">
        <x:v>24</x:v>
      </x:c>
      <x:c r="L21" s="29" t="n">
        <x:v>7</x:v>
      </x:c>
      <x:c r="M21" s="31" t="str">
        <x:v>対照47場</x:v>
      </x:c>
      <x:c r="N21" s="30" t="n">
        <x:v>55.61666666666667</x:v>
      </x:c>
      <x:c r="O21" s="30" t="n">
        <x:v>213.43333333333334</x:v>
      </x:c>
      <x:c r="P21" s="26" t="n">
        <x:f>O21/IF(C21="デイ",420,780)</x:f>
        <x:v>0.5081746031746032</x:v>
      </x:c>
      <x:c r="Q21" s="27" t="n">
        <x:v>1.782936507936508</x:v>
      </x:c>
    </x:row>
    <x:row r="22" ht="22" customHeight="1">
      <x:c r="A22" s="2" t="str">
        <x:v>V04</x:v>
      </x:c>
      <x:c r="B22" s="24" t="d">
        <x:v>2026-09-30T17:00:00.000Z</x:v>
      </x:c>
      <x:c r="C22" s="2" t="str">
        <x:v>ナイト</x:v>
      </x:c>
      <x:c r="D22" s="20" t="n">
        <x:v>73078</x:v>
      </x:c>
      <x:c r="E22" s="20" t="n">
        <x:v>133078</x:v>
      </x:c>
      <x:c r="F22" s="20" t="n">
        <x:f>D22-E22</x:f>
        <x:v>-60000</x:v>
      </x:c>
      <x:c r="G22" s="20" t="n">
        <x:f>SUMIFS($F$7:$F$56,$A$7:$A$56,A22,$B$7:$B$56,"&lt;="&amp;B22)</x:f>
        <x:v>376928</x:v>
      </x:c>
      <x:c r="H22" s="20" t="n">
        <x:v>2000</x:v>
      </x:c>
      <x:c r="I22" s="20" t="n">
        <x:v>-58000</x:v>
      </x:c>
      <x:c r="J22" s="29" t="n">
        <x:v>10</x:v>
      </x:c>
      <x:c r="K22" s="29" t="n">
        <x:v>26</x:v>
      </x:c>
      <x:c r="L22" s="29" t="n">
        <x:v>7</x:v>
      </x:c>
      <x:c r="M22" s="31" t="str">
        <x:v>対照47場</x:v>
      </x:c>
      <x:c r="N22" s="30" t="n">
        <x:v>194.2</x:v>
      </x:c>
      <x:c r="O22" s="30" t="n">
        <x:v>163.43333333333334</x:v>
      </x:c>
      <x:c r="P22" s="26" t="n">
        <x:f>O22/IF(C22="デイ",420,780)</x:f>
        <x:v>0.20952991452991454</x:v>
      </x:c>
      <x:c r="Q22" s="27" t="n">
        <x:v>0.5422863247863248</x:v>
      </x:c>
    </x:row>
    <x:row r="23" ht="22" customHeight="1">
      <x:c r="A23" s="2" t="str">
        <x:v>V04</x:v>
      </x:c>
      <x:c r="B23" s="24" t="d">
        <x:v>2026-10-01T08:45:00.000Z</x:v>
      </x:c>
      <x:c r="C23" s="2" t="str">
        <x:v>デイ</x:v>
      </x:c>
      <x:c r="D23" s="20" t="n">
        <x:v>297000</x:v>
      </x:c>
      <x:c r="E23" s="20" t="n">
        <x:v>145000</x:v>
      </x:c>
      <x:c r="F23" s="20" t="n">
        <x:f>D23-E23</x:f>
        <x:v>152000</x:v>
      </x:c>
      <x:c r="G23" s="20" t="n">
        <x:f>SUMIFS($F$7:$F$56,$A$7:$A$56,A23,$B$7:$B$56,"&lt;="&amp;B23)</x:f>
        <x:v>528928</x:v>
      </x:c>
      <x:c r="H23" s="20" t="n">
        <x:v>2000</x:v>
      </x:c>
      <x:c r="I23" s="20" t="n">
        <x:v>154000</x:v>
      </x:c>
      <x:c r="J23" s="29" t="n">
        <x:v>10</x:v>
      </x:c>
      <x:c r="K23" s="29" t="n">
        <x:v>26</x:v>
      </x:c>
      <x:c r="L23" s="29" t="n">
        <x:v>7</x:v>
      </x:c>
      <x:c r="M23" s="31" t="str">
        <x:v>対照47場</x:v>
      </x:c>
      <x:c r="N23" s="30" t="n">
        <x:v>47.6</x:v>
      </x:c>
      <x:c r="O23" s="30" t="n">
        <x:v>297.25</x:v>
      </x:c>
      <x:c r="P23" s="26" t="n">
        <x:f>O23/IF(C23="デイ",420,780)</x:f>
        <x:v>0.7077380952380953</x:v>
      </x:c>
      <x:c r="Q23" s="27" t="n">
        <x:v>2.2091269841269843</x:v>
      </x:c>
    </x:row>
    <x:row r="24" ht="22" customHeight="1">
      <x:c r="A24" s="2" t="str">
        <x:v>V04</x:v>
      </x:c>
      <x:c r="B24" s="24" t="d">
        <x:v>2026-10-01T17:00:00.000Z</x:v>
      </x:c>
      <x:c r="C24" s="2" t="str">
        <x:v>ナイト</x:v>
      </x:c>
      <x:c r="D24" s="20" t="n">
        <x:v>150768</x:v>
      </x:c>
      <x:c r="E24" s="20" t="n">
        <x:v>110924</x:v>
      </x:c>
      <x:c r="F24" s="20" t="n">
        <x:f>D24-E24</x:f>
        <x:v>39844</x:v>
      </x:c>
      <x:c r="G24" s="20" t="n">
        <x:f>SUMIFS($F$7:$F$56,$A$7:$A$56,A24,$B$7:$B$56,"&lt;="&amp;B24)</x:f>
        <x:v>568772</x:v>
      </x:c>
      <x:c r="H24" s="20" t="n">
        <x:v>2156</x:v>
      </x:c>
      <x:c r="I24" s="20" t="n">
        <x:v>42000</x:v>
      </x:c>
      <x:c r="J24" s="29" t="n">
        <x:v>13</x:v>
      </x:c>
      <x:c r="K24" s="29" t="n">
        <x:v>28</x:v>
      </x:c>
      <x:c r="L24" s="29" t="n">
        <x:v>6</x:v>
      </x:c>
      <x:c r="M24" s="31" t="str">
        <x:v>対照47場</x:v>
      </x:c>
      <x:c r="N24" s="30" t="n">
        <x:v>23.816666666666666</x:v>
      </x:c>
      <x:c r="O24" s="30" t="n">
        <x:v>356.93333333333334</x:v>
      </x:c>
      <x:c r="P24" s="26" t="n">
        <x:f>O24/IF(C24="デイ",420,780)</x:f>
        <x:v>0.4576068376068376</x:v>
      </x:c>
      <x:c r="Q24" s="27" t="n">
        <x:v>0.9293162393162393</x:v>
      </x:c>
    </x:row>
    <x:row r="25" ht="22" customHeight="1">
      <x:c r="A25" s="2" t="str">
        <x:v>V04</x:v>
      </x:c>
      <x:c r="B25" s="24" t="d">
        <x:v>2026-10-02T08:45:00.000Z</x:v>
      </x:c>
      <x:c r="C25" s="2" t="str">
        <x:v>デイ</x:v>
      </x:c>
      <x:c r="D25" s="20" t="n">
        <x:v>0</x:v>
      </x:c>
      <x:c r="E25" s="20" t="n">
        <x:v>226770</x:v>
      </x:c>
      <x:c r="F25" s="20" t="n">
        <x:f>D25-E25</x:f>
        <x:v>-226770</x:v>
      </x:c>
      <x:c r="G25" s="20" t="n">
        <x:f>SUMIFS($F$7:$F$56,$A$7:$A$56,A25,$B$7:$B$56,"&lt;="&amp;B25)</x:f>
        <x:v>342002</x:v>
      </x:c>
      <x:c r="H25" s="20" t="n">
        <x:v>1770</x:v>
      </x:c>
      <x:c r="I25" s="20" t="n">
        <x:v>-225000</x:v>
      </x:c>
      <x:c r="J25" s="29" t="n">
        <x:v>10</x:v>
      </x:c>
      <x:c r="K25" s="29" t="n">
        <x:v>23</x:v>
      </x:c>
      <x:c r="L25" s="29" t="n">
        <x:v>7</x:v>
      </x:c>
      <x:c r="M25" s="31" t="str">
        <x:v>対照47場</x:v>
      </x:c>
      <x:c r="N25" s="30" t="n">
        <x:v>38.4</x:v>
      </x:c>
      <x:c r="O25" s="30" t="n">
        <x:v>169.43333333333334</x:v>
      </x:c>
      <x:c r="P25" s="26" t="n">
        <x:f>O25/IF(C25="デイ",420,780)</x:f>
        <x:v>0.40341269841269844</x:v>
      </x:c>
      <x:c r="Q25" s="27" t="n">
        <x:v>1.1738492063492063</x:v>
      </x:c>
    </x:row>
    <x:row r="26" ht="22" customHeight="1">
      <x:c r="A26" s="2" t="str">
        <x:v>V04</x:v>
      </x:c>
      <x:c r="B26" s="24" t="d">
        <x:v>2026-10-02T17:00:00.000Z</x:v>
      </x:c>
      <x:c r="C26" s="2" t="str">
        <x:v>ナイト</x:v>
      </x:c>
      <x:c r="D26" s="20" t="n">
        <x:v>226462</x:v>
      </x:c>
      <x:c r="E26" s="20" t="n">
        <x:v>164462</x:v>
      </x:c>
      <x:c r="F26" s="20" t="n">
        <x:f>D26-E26</x:f>
        <x:v>62000</x:v>
      </x:c>
      <x:c r="G26" s="20" t="n">
        <x:f>SUMIFS($F$7:$F$56,$A$7:$A$56,A26,$B$7:$B$56,"&lt;="&amp;B26)</x:f>
        <x:v>404002</x:v>
      </x:c>
      <x:c r="H26" s="20" t="n">
        <x:v>3000</x:v>
      </x:c>
      <x:c r="I26" s="20" t="n">
        <x:v>65000</x:v>
      </x:c>
      <x:c r="J26" s="29" t="n">
        <x:v>15</x:v>
      </x:c>
      <x:c r="K26" s="29" t="n">
        <x:v>39</x:v>
      </x:c>
      <x:c r="L26" s="29" t="n">
        <x:v>7</x:v>
      </x:c>
      <x:c r="M26" s="31" t="str">
        <x:v>対照47場</x:v>
      </x:c>
      <x:c r="N26" s="30" t="n">
        <x:v>23.783333333333335</x:v>
      </x:c>
      <x:c r="O26" s="30" t="n">
        <x:v>254.86666666666667</x:v>
      </x:c>
      <x:c r="P26" s="26" t="n">
        <x:f>O26/IF(C26="デイ",420,780)</x:f>
        <x:v>0.32675213675213677</x:v>
      </x:c>
      <x:c r="Q26" s="27" t="n">
        <x:v>0.7290811965811966</x:v>
      </x:c>
    </x:row>
    <x:row r="27" ht="22" customHeight="1">
      <x:c r="A27" s="2" t="str">
        <x:v>V04</x:v>
      </x:c>
      <x:c r="B27" s="24" t="d">
        <x:v>2026-10-05T08:45:00.000Z</x:v>
      </x:c>
      <x:c r="C27" s="2" t="str">
        <x:v>デイ</x:v>
      </x:c>
      <x:c r="D27" s="20" t="n">
        <x:v>52154</x:v>
      </x:c>
      <x:c r="E27" s="20" t="n">
        <x:v>229460</x:v>
      </x:c>
      <x:c r="F27" s="20" t="n">
        <x:f>D27-E27</x:f>
        <x:v>-177306</x:v>
      </x:c>
      <x:c r="G27" s="20" t="n">
        <x:f>SUMIFS($F$7:$F$56,$A$7:$A$56,A27,$B$7:$B$56,"&lt;="&amp;B27)</x:f>
        <x:v>226696</x:v>
      </x:c>
      <x:c r="H27" s="20" t="n">
        <x:v>3306</x:v>
      </x:c>
      <x:c r="I27" s="20" t="n">
        <x:v>-174000</x:v>
      </x:c>
      <x:c r="J27" s="29" t="n">
        <x:v>14</x:v>
      </x:c>
      <x:c r="K27" s="29" t="n">
        <x:v>43</x:v>
      </x:c>
      <x:c r="L27" s="29" t="n">
        <x:v>7</x:v>
      </x:c>
      <x:c r="M27" s="31" t="str">
        <x:v>対照47場</x:v>
      </x:c>
      <x:c r="N27" s="30" t="n">
        <x:v>31.866666666666667</x:v>
      </x:c>
      <x:c r="O27" s="30" t="n">
        <x:v>229.93333333333334</x:v>
      </x:c>
      <x:c r="P27" s="26" t="n">
        <x:f>O27/IF(C27="デイ",420,780)</x:f>
        <x:v>0.5474603174603174</x:v>
      </x:c>
      <x:c r="Q27" s="27" t="n">
        <x:v>2.337738095238095</x:v>
      </x:c>
    </x:row>
    <x:row r="28" ht="22" customHeight="1">
      <x:c r="A28" s="2" t="str">
        <x:v>V04</x:v>
      </x:c>
      <x:c r="B28" s="24" t="d">
        <x:v>2026-10-05T17:00:00.000Z</x:v>
      </x:c>
      <x:c r="C28" s="2" t="str">
        <x:v>ナイト</x:v>
      </x:c>
      <x:c r="D28" s="20" t="n">
        <x:v>64308</x:v>
      </x:c>
      <x:c r="E28" s="20" t="n">
        <x:v>26538</x:v>
      </x:c>
      <x:c r="F28" s="20" t="n">
        <x:f>D28-E28</x:f>
        <x:v>37770</x:v>
      </x:c>
      <x:c r="G28" s="20" t="n">
        <x:f>SUMIFS($F$7:$F$56,$A$7:$A$56,A28,$B$7:$B$56,"&lt;="&amp;B28)</x:f>
        <x:v>264466</x:v>
      </x:c>
      <x:c r="H28" s="20" t="n">
        <x:v>1230</x:v>
      </x:c>
      <x:c r="I28" s="20" t="n">
        <x:v>39000</x:v>
      </x:c>
      <x:c r="J28" s="29" t="n">
        <x:v>5</x:v>
      </x:c>
      <x:c r="K28" s="29" t="n">
        <x:v>16</x:v>
      </x:c>
      <x:c r="L28" s="29" t="n">
        <x:v>5</x:v>
      </x:c>
      <x:c r="M28" s="31" t="str">
        <x:v>対照47場</x:v>
      </x:c>
      <x:c r="N28" s="30" t="n">
        <x:v>345.56666666666666</x:v>
      </x:c>
      <x:c r="O28" s="30" t="n">
        <x:v>111.71666666666667</x:v>
      </x:c>
      <x:c r="P28" s="26" t="n">
        <x:f>O28/IF(C28="デイ",420,780)</x:f>
        <x:v>0.14322649572649573</x:v>
      </x:c>
      <x:c r="Q28" s="27" t="n">
        <x:v>0.39747863247863247</x:v>
      </x:c>
    </x:row>
    <x:row r="29" ht="22" customHeight="1">
      <x:c r="A29" s="2" t="str">
        <x:v>V04</x:v>
      </x:c>
      <x:c r="B29" s="24" t="d">
        <x:v>2026-10-06T08:45:00.000Z</x:v>
      </x:c>
      <x:c r="C29" s="2" t="str">
        <x:v>デイ</x:v>
      </x:c>
      <x:c r="D29" s="20" t="n">
        <x:v>115308</x:v>
      </x:c>
      <x:c r="E29" s="20" t="n">
        <x:v>108846</x:v>
      </x:c>
      <x:c r="F29" s="20" t="n">
        <x:f>D29-E29</x:f>
        <x:v>6462</x:v>
      </x:c>
      <x:c r="G29" s="20" t="n">
        <x:f>SUMIFS($F$7:$F$56,$A$7:$A$56,A29,$B$7:$B$56,"&lt;="&amp;B29)</x:f>
        <x:v>270928</x:v>
      </x:c>
      <x:c r="H29" s="20" t="n">
        <x:v>1538</x:v>
      </x:c>
      <x:c r="I29" s="20" t="n">
        <x:v>8000</x:v>
      </x:c>
      <x:c r="J29" s="29" t="n">
        <x:v>7</x:v>
      </x:c>
      <x:c r="K29" s="29" t="n">
        <x:v>20</x:v>
      </x:c>
      <x:c r="L29" s="29" t="n">
        <x:v>7</x:v>
      </x:c>
      <x:c r="M29" s="31" t="str">
        <x:v>対照47場</x:v>
      </x:c>
      <x:c r="N29" s="30" t="n">
        <x:v>81.4</x:v>
      </x:c>
      <x:c r="O29" s="30" t="n">
        <x:v>163.5</x:v>
      </x:c>
      <x:c r="P29" s="26" t="n">
        <x:f>O29/IF(C29="デイ",420,780)</x:f>
        <x:v>0.3892857142857143</x:v>
      </x:c>
      <x:c r="Q29" s="27" t="n">
        <x:v>1.0173015873015874</x:v>
      </x:c>
    </x:row>
    <x:row r="30" ht="22" customHeight="1">
      <x:c r="A30" s="2" t="str">
        <x:v>V04</x:v>
      </x:c>
      <x:c r="B30" s="24" t="d">
        <x:v>2026-10-06T17:00:00.000Z</x:v>
      </x:c>
      <x:c r="C30" s="2" t="str">
        <x:v>ナイト</x:v>
      </x:c>
      <x:c r="D30" s="20" t="n">
        <x:v>36462</x:v>
      </x:c>
      <x:c r="E30" s="20" t="n">
        <x:v>57846</x:v>
      </x:c>
      <x:c r="F30" s="20" t="n">
        <x:f>D30-E30</x:f>
        <x:v>-21384</x:v>
      </x:c>
      <x:c r="G30" s="20" t="n">
        <x:f>SUMIFS($F$7:$F$56,$A$7:$A$56,A30,$B$7:$B$56,"&lt;="&amp;B30)</x:f>
        <x:v>249544</x:v>
      </x:c>
      <x:c r="H30" s="20" t="n">
        <x:v>1384</x:v>
      </x:c>
      <x:c r="I30" s="20" t="n">
        <x:v>-20000</x:v>
      </x:c>
      <x:c r="J30" s="29" t="n">
        <x:v>6</x:v>
      </x:c>
      <x:c r="K30" s="29" t="n">
        <x:v>18</x:v>
      </x:c>
      <x:c r="L30" s="29" t="n">
        <x:v>7</x:v>
      </x:c>
      <x:c r="M30" s="31" t="str">
        <x:v>対照47場</x:v>
      </x:c>
      <x:c r="N30" s="30" t="n">
        <x:v>285.85</x:v>
      </x:c>
      <x:c r="O30" s="30" t="n">
        <x:v>135.46666666666667</x:v>
      </x:c>
      <x:c r="P30" s="26" t="n">
        <x:f>O30/IF(C30="デイ",420,780)</x:f>
        <x:v>0.17367521367521369</x:v>
      </x:c>
      <x:c r="Q30" s="27" t="n">
        <x:v>0.412991452991453</x:v>
      </x:c>
    </x:row>
    <x:row r="31" ht="22" customHeight="1">
      <x:c r="A31" s="2" t="str">
        <x:v>V04</x:v>
      </x:c>
      <x:c r="B31" s="24" t="d">
        <x:v>2026-10-07T08:45:00.000Z</x:v>
      </x:c>
      <x:c r="C31" s="2" t="str">
        <x:v>デイ</x:v>
      </x:c>
      <x:c r="D31" s="20" t="n">
        <x:v>181924</x:v>
      </x:c>
      <x:c r="E31" s="20" t="n">
        <x:v>20308</x:v>
      </x:c>
      <x:c r="F31" s="20" t="n">
        <x:f>D31-E31</x:f>
        <x:v>161616</x:v>
      </x:c>
      <x:c r="G31" s="20" t="n">
        <x:f>SUMIFS($F$7:$F$56,$A$7:$A$56,A31,$B$7:$B$56,"&lt;="&amp;B31)</x:f>
        <x:v>411160</x:v>
      </x:c>
      <x:c r="H31" s="20" t="n">
        <x:v>1384</x:v>
      </x:c>
      <x:c r="I31" s="20" t="n">
        <x:v>163000</x:v>
      </x:c>
      <x:c r="J31" s="29" t="n">
        <x:v>6</x:v>
      </x:c>
      <x:c r="K31" s="29" t="n">
        <x:v>18</x:v>
      </x:c>
      <x:c r="L31" s="29" t="n">
        <x:v>7</x:v>
      </x:c>
      <x:c r="M31" s="31" t="str">
        <x:v>対照47場</x:v>
      </x:c>
      <x:c r="N31" s="30" t="n">
        <x:v>57.88333333333333</x:v>
      </x:c>
      <x:c r="O31" s="30" t="n">
        <x:v>187.16666666666666</x:v>
      </x:c>
      <x:c r="P31" s="26" t="n">
        <x:f>O31/IF(C31="デイ",420,780)</x:f>
        <x:v>0.4456349206349206</x:v>
      </x:c>
      <x:c r="Q31" s="27" t="n">
        <x:v>1.192936507936508</x:v>
      </x:c>
    </x:row>
    <x:row r="32" ht="22" customHeight="1">
      <x:c r="A32" s="2" t="str">
        <x:v>V04</x:v>
      </x:c>
      <x:c r="B32" s="24" t="d">
        <x:v>2026-10-07T17:00:00.000Z</x:v>
      </x:c>
      <x:c r="C32" s="2" t="str">
        <x:v>ナイト</x:v>
      </x:c>
      <x:c r="D32" s="20" t="n">
        <x:v>97770</x:v>
      </x:c>
      <x:c r="E32" s="20" t="n">
        <x:v>92616</x:v>
      </x:c>
      <x:c r="F32" s="20" t="n">
        <x:f>D32-E32</x:f>
        <x:v>5154</x:v>
      </x:c>
      <x:c r="G32" s="20" t="n">
        <x:f>SUMIFS($F$7:$F$56,$A$7:$A$56,A32,$B$7:$B$56,"&lt;="&amp;B32)</x:f>
        <x:v>416314</x:v>
      </x:c>
      <x:c r="H32" s="20" t="n">
        <x:v>1846</x:v>
      </x:c>
      <x:c r="I32" s="20" t="n">
        <x:v>7000</x:v>
      </x:c>
      <x:c r="J32" s="29" t="n">
        <x:v>9</x:v>
      </x:c>
      <x:c r="K32" s="29" t="n">
        <x:v>24</x:v>
      </x:c>
      <x:c r="L32" s="29" t="n">
        <x:v>7</x:v>
      </x:c>
      <x:c r="M32" s="31" t="str">
        <x:v>対照47場</x:v>
      </x:c>
      <x:c r="N32" s="30" t="n">
        <x:v>69.23333333333333</x:v>
      </x:c>
      <x:c r="O32" s="30" t="n">
        <x:v>265.01666666666665</x:v>
      </x:c>
      <x:c r="P32" s="26" t="n">
        <x:f>O32/IF(C32="デイ",420,780)</x:f>
        <x:v>0.33976495726495726</x:v>
      </x:c>
      <x:c r="Q32" s="27" t="n">
        <x:v>0.7333760683760684</x:v>
      </x:c>
    </x:row>
    <x:row r="33" ht="22" customHeight="1">
      <x:c r="A33" s="2" t="str">
        <x:v>V04</x:v>
      </x:c>
      <x:c r="B33" s="24" t="d">
        <x:v>2026-10-08T08:45:00.000Z</x:v>
      </x:c>
      <x:c r="C33" s="2" t="str">
        <x:v>デイ</x:v>
      </x:c>
      <x:c r="D33" s="20" t="n">
        <x:v>174154</x:v>
      </x:c>
      <x:c r="E33" s="20" t="n">
        <x:v>211998</x:v>
      </x:c>
      <x:c r="F33" s="20" t="n">
        <x:f>D33-E33</x:f>
        <x:v>-37844</x:v>
      </x:c>
      <x:c r="G33" s="20" t="n">
        <x:f>SUMIFS($F$7:$F$56,$A$7:$A$56,A33,$B$7:$B$56,"&lt;="&amp;B33)</x:f>
        <x:v>378470</x:v>
      </x:c>
      <x:c r="H33" s="20" t="n">
        <x:v>2844</x:v>
      </x:c>
      <x:c r="I33" s="20" t="n">
        <x:v>-35000</x:v>
      </x:c>
      <x:c r="J33" s="29" t="n">
        <x:v>11</x:v>
      </x:c>
      <x:c r="K33" s="29" t="n">
        <x:v>37</x:v>
      </x:c>
      <x:c r="L33" s="29" t="n">
        <x:v>7</x:v>
      </x:c>
      <x:c r="M33" s="31" t="str">
        <x:v>対照47場</x:v>
      </x:c>
      <x:c r="N33" s="30" t="n">
        <x:v>24.85</x:v>
      </x:c>
      <x:c r="O33" s="30" t="n">
        <x:v>229.58333333333334</x:v>
      </x:c>
      <x:c r="P33" s="26" t="n">
        <x:f>O33/IF(C33="デイ",420,780)</x:f>
        <x:v>0.5466269841269842</x:v>
      </x:c>
      <x:c r="Q33" s="27" t="n">
        <x:v>1.7034920634920634</x:v>
      </x:c>
    </x:row>
    <x:row r="34" ht="22" customHeight="1">
      <x:c r="A34" s="2" t="str">
        <x:v>V04</x:v>
      </x:c>
      <x:c r="B34" s="24" t="d">
        <x:v>2026-10-08T17:00:00.000Z</x:v>
      </x:c>
      <x:c r="C34" s="2" t="str">
        <x:v>ナイト</x:v>
      </x:c>
      <x:c r="D34" s="20" t="n">
        <x:v>222770</x:v>
      </x:c>
      <x:c r="E34" s="20" t="n">
        <x:v>88924</x:v>
      </x:c>
      <x:c r="F34" s="20" t="n">
        <x:f>D34-E34</x:f>
        <x:v>133846</x:v>
      </x:c>
      <x:c r="G34" s="20" t="n">
        <x:f>SUMIFS($F$7:$F$56,$A$7:$A$56,A34,$B$7:$B$56,"&lt;="&amp;B34)</x:f>
        <x:v>512316</x:v>
      </x:c>
      <x:c r="H34" s="20" t="n">
        <x:v>2154</x:v>
      </x:c>
      <x:c r="I34" s="20" t="n">
        <x:v>136000</x:v>
      </x:c>
      <x:c r="J34" s="29" t="n">
        <x:v>11</x:v>
      </x:c>
      <x:c r="K34" s="29" t="n">
        <x:v>28</x:v>
      </x:c>
      <x:c r="L34" s="29" t="n">
        <x:v>7</x:v>
      </x:c>
      <x:c r="M34" s="31" t="str">
        <x:v>対照47場</x:v>
      </x:c>
      <x:c r="N34" s="30" t="n">
        <x:v>246.35</x:v>
      </x:c>
      <x:c r="O34" s="30" t="n">
        <x:v>238.86666666666667</x:v>
      </x:c>
      <x:c r="P34" s="26" t="n">
        <x:f>O34/IF(C34="デイ",420,780)</x:f>
        <x:v>0.3062393162393163</x:v>
      </x:c>
      <x:c r="Q34" s="27" t="n">
        <x:v>0.7540384615384615</x:v>
      </x:c>
    </x:row>
    <x:row r="35" ht="22" customHeight="1">
      <x:c r="A35" s="2" t="str">
        <x:v>V04</x:v>
      </x:c>
      <x:c r="B35" s="24" t="d">
        <x:v>2026-10-09T08:45:00.000Z</x:v>
      </x:c>
      <x:c r="C35" s="2" t="str">
        <x:v>デイ</x:v>
      </x:c>
      <x:c r="D35" s="20" t="n">
        <x:v>59616</x:v>
      </x:c>
      <x:c r="E35" s="20" t="n">
        <x:v>96462</x:v>
      </x:c>
      <x:c r="F35" s="20" t="n">
        <x:f>D35-E35</x:f>
        <x:v>-36846</x:v>
      </x:c>
      <x:c r="G35" s="20" t="n">
        <x:f>SUMIFS($F$7:$F$56,$A$7:$A$56,A35,$B$7:$B$56,"&lt;="&amp;B35)</x:f>
        <x:v>475470</x:v>
      </x:c>
      <x:c r="H35" s="20" t="n">
        <x:v>846</x:v>
      </x:c>
      <x:c r="I35" s="20" t="n">
        <x:v>-36000</x:v>
      </x:c>
      <x:c r="J35" s="29" t="n">
        <x:v>4</x:v>
      </x:c>
      <x:c r="K35" s="29" t="n">
        <x:v>11</x:v>
      </x:c>
      <x:c r="L35" s="29" t="n">
        <x:v>5</x:v>
      </x:c>
      <x:c r="M35" s="31" t="str">
        <x:v>対照47場</x:v>
      </x:c>
      <x:c r="N35" s="30" t="n">
        <x:v>34.9</x:v>
      </x:c>
      <x:c r="O35" s="30" t="n">
        <x:v>127.73333333333333</x:v>
      </x:c>
      <x:c r="P35" s="26" t="n">
        <x:f>O35/IF(C35="デイ",420,780)</x:f>
        <x:v>0.30412698412698413</x:v>
      </x:c>
      <x:c r="Q35" s="27" t="n">
        <x:v>0.7113492063492064</x:v>
      </x:c>
    </x:row>
    <x:row r="36" ht="22" customHeight="1">
      <x:c r="A36" s="2" t="str">
        <x:v>V04</x:v>
      </x:c>
      <x:c r="B36" s="24" t="d">
        <x:v>2026-10-09T17:00:00.000Z</x:v>
      </x:c>
      <x:c r="C36" s="2" t="str">
        <x:v>ナイト</x:v>
      </x:c>
      <x:c r="D36" s="20" t="n">
        <x:v>19616</x:v>
      </x:c>
      <x:c r="E36" s="20" t="n">
        <x:v>18154</x:v>
      </x:c>
      <x:c r="F36" s="20" t="n">
        <x:f>D36-E36</x:f>
        <x:v>1462</x:v>
      </x:c>
      <x:c r="G36" s="20" t="n">
        <x:f>SUMIFS($F$7:$F$56,$A$7:$A$56,A36,$B$7:$B$56,"&lt;="&amp;B36)</x:f>
        <x:v>476932</x:v>
      </x:c>
      <x:c r="H36" s="20" t="n">
        <x:v>538</x:v>
      </x:c>
      <x:c r="I36" s="20" t="n">
        <x:v>2000</x:v>
      </x:c>
      <x:c r="J36" s="29" t="n">
        <x:v>2</x:v>
      </x:c>
      <x:c r="K36" s="29" t="n">
        <x:v>7</x:v>
      </x:c>
      <x:c r="L36" s="29" t="n">
        <x:v>5</x:v>
      </x:c>
      <x:c r="M36" s="31" t="str">
        <x:v>対照47場</x:v>
      </x:c>
      <x:c r="N36" s="30" t="n">
        <x:v>330.2</x:v>
      </x:c>
      <x:c r="O36" s="30" t="n">
        <x:v>21.7</x:v>
      </x:c>
      <x:c r="P36" s="26" t="n">
        <x:f>O36/IF(C36="デイ",420,780)</x:f>
        <x:v>0.02782051282051282</x:v>
      </x:c>
      <x:c r="Q36" s="27" t="n">
        <x:v>0.10147435897435897</x:v>
      </x:c>
    </x:row>
    <x:row r="37" ht="22" customHeight="1">
      <x:c r="A37" s="2" t="str">
        <x:v>V04</x:v>
      </x:c>
      <x:c r="B37" s="24" t="d">
        <x:v>2026-10-12T08:45:00.000Z</x:v>
      </x:c>
      <x:c r="C37" s="2" t="str">
        <x:v>デイ</x:v>
      </x:c>
      <x:c r="D37" s="20" t="n">
        <x:v>32616</x:v>
      </x:c>
      <x:c r="E37" s="20" t="n">
        <x:v>25384</x:v>
      </x:c>
      <x:c r="F37" s="20" t="n">
        <x:f>D37-E37</x:f>
        <x:v>7232</x:v>
      </x:c>
      <x:c r="G37" s="20" t="n">
        <x:f>SUMIFS($F$7:$F$56,$A$7:$A$56,A37,$B$7:$B$56,"&lt;="&amp;B37)</x:f>
        <x:v>484164</x:v>
      </x:c>
      <x:c r="H37" s="20" t="n">
        <x:v>768</x:v>
      </x:c>
      <x:c r="I37" s="20" t="n">
        <x:v>8000</x:v>
      </x:c>
      <x:c r="J37" s="29" t="n">
        <x:v>2</x:v>
      </x:c>
      <x:c r="K37" s="29" t="n">
        <x:v>10</x:v>
      </x:c>
      <x:c r="L37" s="29" t="n">
        <x:v>5</x:v>
      </x:c>
      <x:c r="M37" s="31" t="str">
        <x:v>対照47場</x:v>
      </x:c>
      <x:c r="N37" s="30" t="n">
        <x:v>122.76666666666667</x:v>
      </x:c>
      <x:c r="O37" s="30" t="n">
        <x:v>265.15</x:v>
      </x:c>
      <x:c r="P37" s="26" t="n">
        <x:f>O37/IF(C37="デイ",420,780)</x:f>
        <x:v>0.6313095238095238</x:v>
      </x:c>
      <x:c r="Q37" s="27" t="n">
        <x:v>2.2824603174603175</x:v>
      </x:c>
    </x:row>
    <x:row r="38" ht="22" customHeight="1">
      <x:c r="A38" s="2" t="str">
        <x:v>V04</x:v>
      </x:c>
      <x:c r="B38" s="24" t="d">
        <x:v>2026-10-12T17:00:00.000Z</x:v>
      </x:c>
      <x:c r="C38" s="2" t="str">
        <x:v>ナイト</x:v>
      </x:c>
      <x:c r="D38" s="20" t="n">
        <x:v>106462</x:v>
      </x:c>
      <x:c r="E38" s="20" t="n">
        <x:v>18154</x:v>
      </x:c>
      <x:c r="F38" s="20" t="n">
        <x:f>D38-E38</x:f>
        <x:v>88308</x:v>
      </x:c>
      <x:c r="G38" s="20" t="n">
        <x:f>SUMIFS($F$7:$F$56,$A$7:$A$56,A38,$B$7:$B$56,"&lt;="&amp;B38)</x:f>
        <x:v>572472</x:v>
      </x:c>
      <x:c r="H38" s="20" t="n">
        <x:v>692</x:v>
      </x:c>
      <x:c r="I38" s="20" t="n">
        <x:v>89000</x:v>
      </x:c>
      <x:c r="J38" s="29" t="n">
        <x:v>3</x:v>
      </x:c>
      <x:c r="K38" s="29" t="n">
        <x:v>9</x:v>
      </x:c>
      <x:c r="L38" s="29" t="n">
        <x:v>7</x:v>
      </x:c>
      <x:c r="M38" s="31" t="str">
        <x:v>対照47場</x:v>
      </x:c>
      <x:c r="N38" s="30" t="n">
        <x:v>103.5</x:v>
      </x:c>
      <x:c r="O38" s="30" t="n">
        <x:v>74.16666666666667</x:v>
      </x:c>
      <x:c r="P38" s="26" t="n">
        <x:f>O38/IF(C38="デイ",420,780)</x:f>
        <x:v>0.0950854700854701</x:v>
      </x:c>
      <x:c r="Q38" s="27" t="n">
        <x:v>0.24326923076923077</x:v>
      </x:c>
    </x:row>
    <x:row r="39" ht="22" customHeight="1">
      <x:c r="A39" s="2" t="str">
        <x:v>V04</x:v>
      </x:c>
      <x:c r="B39" s="24" t="d">
        <x:v>2026-10-13T08:45:00.000Z</x:v>
      </x:c>
      <x:c r="C39" s="2" t="str">
        <x:v>デイ</x:v>
      </x:c>
      <x:c r="D39" s="20" t="n">
        <x:v>166616</x:v>
      </x:c>
      <x:c r="E39" s="20" t="n">
        <x:v>113000</x:v>
      </x:c>
      <x:c r="F39" s="20" t="n">
        <x:f>D39-E39</x:f>
        <x:v>53616</x:v>
      </x:c>
      <x:c r="G39" s="20" t="n">
        <x:f>SUMIFS($F$7:$F$56,$A$7:$A$56,A39,$B$7:$B$56,"&lt;="&amp;B39)</x:f>
        <x:v>626088</x:v>
      </x:c>
      <x:c r="H39" s="20" t="n">
        <x:v>2384</x:v>
      </x:c>
      <x:c r="I39" s="20" t="n">
        <x:v>56000</x:v>
      </x:c>
      <x:c r="J39" s="29" t="n">
        <x:v>11</x:v>
      </x:c>
      <x:c r="K39" s="29" t="n">
        <x:v>31</x:v>
      </x:c>
      <x:c r="L39" s="29" t="n">
        <x:v>7</x:v>
      </x:c>
      <x:c r="M39" s="31" t="str">
        <x:v>対照47場</x:v>
      </x:c>
      <x:c r="N39" s="30" t="n">
        <x:v>40.766666666666666</x:v>
      </x:c>
      <x:c r="O39" s="30" t="n">
        <x:v>361.73333333333335</x:v>
      </x:c>
      <x:c r="P39" s="26" t="n">
        <x:f>O39/IF(C39="デイ",420,780)</x:f>
        <x:v>0.8612698412698413</x:v>
      </x:c>
      <x:c r="Q39" s="27" t="n">
        <x:v>3.823611111111111</x:v>
      </x:c>
    </x:row>
    <x:row r="40" ht="22" customHeight="1">
      <x:c r="A40" s="2" t="str">
        <x:v>V04</x:v>
      </x:c>
      <x:c r="B40" s="24" t="d">
        <x:v>2026-10-13T17:00:00.000Z</x:v>
      </x:c>
      <x:c r="C40" s="2" t="str">
        <x:v>ナイト</x:v>
      </x:c>
      <x:c r="D40" s="20" t="n">
        <x:v>0</x:v>
      </x:c>
      <x:c r="E40" s="20" t="n">
        <x:v>149384</x:v>
      </x:c>
      <x:c r="F40" s="20" t="n">
        <x:f>D40-E40</x:f>
        <x:v>-149384</x:v>
      </x:c>
      <x:c r="G40" s="20" t="n">
        <x:f>SUMIFS($F$7:$F$56,$A$7:$A$56,A40,$B$7:$B$56,"&lt;="&amp;B40)</x:f>
        <x:v>476704</x:v>
      </x:c>
      <x:c r="H40" s="20" t="n">
        <x:v>1384</x:v>
      </x:c>
      <x:c r="I40" s="20" t="n">
        <x:v>-148000</x:v>
      </x:c>
      <x:c r="J40" s="29" t="n">
        <x:v>6</x:v>
      </x:c>
      <x:c r="K40" s="29" t="n">
        <x:v>18</x:v>
      </x:c>
      <x:c r="L40" s="29" t="n">
        <x:v>7</x:v>
      </x:c>
      <x:c r="M40" s="31" t="str">
        <x:v>対照47場</x:v>
      </x:c>
      <x:c r="N40" s="30" t="n">
        <x:v>341.1666666666667</x:v>
      </x:c>
      <x:c r="O40" s="30" t="n">
        <x:v>74.61666666666666</x:v>
      </x:c>
      <x:c r="P40" s="26" t="n">
        <x:f>O40/IF(C40="デイ",420,780)</x:f>
        <x:v>0.09566239316239315</x:v>
      </x:c>
      <x:c r="Q40" s="27" t="n">
        <x:v>0.2310897435897436</x:v>
      </x:c>
    </x:row>
    <x:row r="41" ht="22" customHeight="1">
      <x:c r="A41" s="2" t="str">
        <x:v>V04</x:v>
      </x:c>
      <x:c r="B41" s="24" t="d">
        <x:v>2026-10-14T08:45:00.000Z</x:v>
      </x:c>
      <x:c r="C41" s="2" t="str">
        <x:v>デイ</x:v>
      </x:c>
      <x:c r="D41" s="20" t="n">
        <x:v>198078</x:v>
      </x:c>
      <x:c r="E41" s="20" t="n">
        <x:v>23538</x:v>
      </x:c>
      <x:c r="F41" s="20" t="n">
        <x:f>D41-E41</x:f>
        <x:v>174540</x:v>
      </x:c>
      <x:c r="G41" s="20" t="n">
        <x:f>SUMIFS($F$7:$F$56,$A$7:$A$56,A41,$B$7:$B$56,"&lt;="&amp;B41)</x:f>
        <x:v>651244</x:v>
      </x:c>
      <x:c r="H41" s="20" t="n">
        <x:v>1460</x:v>
      </x:c>
      <x:c r="I41" s="20" t="n">
        <x:v>176000</x:v>
      </x:c>
      <x:c r="J41" s="29" t="n">
        <x:v>5</x:v>
      </x:c>
      <x:c r="K41" s="29" t="n">
        <x:v>19</x:v>
      </x:c>
      <x:c r="L41" s="29" t="n">
        <x:v>5</x:v>
      </x:c>
      <x:c r="M41" s="31" t="str">
        <x:v>対照47場</x:v>
      </x:c>
      <x:c r="N41" s="30" t="n">
        <x:v>128.93333333333334</x:v>
      </x:c>
      <x:c r="O41" s="30" t="n">
        <x:v>97.4</x:v>
      </x:c>
      <x:c r="P41" s="26" t="n">
        <x:f>O41/IF(C41="デイ",420,780)</x:f>
        <x:v>0.23190476190476192</x:v>
      </x:c>
      <x:c r="Q41" s="27" t="n">
        <x:v>0.954920634920635</x:v>
      </x:c>
    </x:row>
    <x:row r="42" ht="22" customHeight="1">
      <x:c r="A42" s="2" t="str">
        <x:v>V04</x:v>
      </x:c>
      <x:c r="B42" s="24" t="d">
        <x:v>2026-10-14T17:00:00.000Z</x:v>
      </x:c>
      <x:c r="C42" s="2" t="str">
        <x:v>ナイト</x:v>
      </x:c>
      <x:c r="D42" s="20" t="n">
        <x:v>291616</x:v>
      </x:c>
      <x:c r="E42" s="20" t="n">
        <x:v>189386</x:v>
      </x:c>
      <x:c r="F42" s="20" t="n">
        <x:f>D42-E42</x:f>
        <x:v>102230</x:v>
      </x:c>
      <x:c r="G42" s="20" t="n">
        <x:f>SUMIFS($F$7:$F$56,$A$7:$A$56,A42,$B$7:$B$56,"&lt;="&amp;B42)</x:f>
        <x:v>753474</x:v>
      </x:c>
      <x:c r="H42" s="20" t="n">
        <x:v>2770</x:v>
      </x:c>
      <x:c r="I42" s="20" t="n">
        <x:v>105000</x:v>
      </x:c>
      <x:c r="J42" s="29" t="n">
        <x:v>15</x:v>
      </x:c>
      <x:c r="K42" s="29" t="n">
        <x:v>36</x:v>
      </x:c>
      <x:c r="L42" s="29" t="n">
        <x:v>7</x:v>
      </x:c>
      <x:c r="M42" s="31" t="str">
        <x:v>対照47場</x:v>
      </x:c>
      <x:c r="N42" s="30" t="n">
        <x:v>167.1</x:v>
      </x:c>
      <x:c r="O42" s="30" t="n">
        <x:v>355.15</x:v>
      </x:c>
      <x:c r="P42" s="26" t="n">
        <x:f>O42/IF(C42="デイ",420,780)</x:f>
        <x:v>0.4553205128205128</x:v>
      </x:c>
      <x:c r="Q42" s="27" t="n">
        <x:v>1.611559829059829</x:v>
      </x:c>
    </x:row>
    <x:row r="43" ht="22" customHeight="1">
      <x:c r="A43" s="2" t="str">
        <x:v>V04</x:v>
      </x:c>
      <x:c r="B43" s="24" t="d">
        <x:v>2026-10-15T08:45:00.000Z</x:v>
      </x:c>
      <x:c r="C43" s="2" t="str">
        <x:v>デイ</x:v>
      </x:c>
      <x:c r="D43" s="20" t="n">
        <x:v>624462</x:v>
      </x:c>
      <x:c r="E43" s="20" t="n">
        <x:v>74462</x:v>
      </x:c>
      <x:c r="F43" s="20" t="n">
        <x:f>D43-E43</x:f>
        <x:v>550000</x:v>
      </x:c>
      <x:c r="G43" s="20" t="n">
        <x:f>SUMIFS($F$7:$F$56,$A$7:$A$56,A43,$B$7:$B$56,"&lt;="&amp;B43)</x:f>
        <x:v>1303474</x:v>
      </x:c>
      <x:c r="H43" s="20" t="n">
        <x:v>2000</x:v>
      </x:c>
      <x:c r="I43" s="20" t="n">
        <x:v>552000</x:v>
      </x:c>
      <x:c r="J43" s="29" t="n">
        <x:v>10</x:v>
      </x:c>
      <x:c r="K43" s="29" t="n">
        <x:v>26</x:v>
      </x:c>
      <x:c r="L43" s="29" t="n">
        <x:v>7</x:v>
      </x:c>
      <x:c r="M43" s="31" t="str">
        <x:v>対照47場</x:v>
      </x:c>
      <x:c r="N43" s="30" t="n">
        <x:v>34.416666666666664</x:v>
      </x:c>
      <x:c r="O43" s="30" t="n">
        <x:v>316.51666666666665</x:v>
      </x:c>
      <x:c r="P43" s="26" t="n">
        <x:f>O43/IF(C43="デイ",420,780)</x:f>
        <x:v>0.7536111111111111</x:v>
      </x:c>
      <x:c r="Q43" s="27" t="n">
        <x:v>2.764047619047619</x:v>
      </x:c>
    </x:row>
    <x:row r="44" ht="22" customHeight="1">
      <x:c r="A44" s="2" t="str">
        <x:v>V04</x:v>
      </x:c>
      <x:c r="B44" s="24" t="d">
        <x:v>2026-10-15T17:00:00.000Z</x:v>
      </x:c>
      <x:c r="C44" s="2" t="str">
        <x:v>ナイト</x:v>
      </x:c>
      <x:c r="D44" s="20" t="n">
        <x:v>147692</x:v>
      </x:c>
      <x:c r="E44" s="20" t="n">
        <x:v>142616</x:v>
      </x:c>
      <x:c r="F44" s="20" t="n">
        <x:f>D44-E44</x:f>
        <x:v>5076</x:v>
      </x:c>
      <x:c r="G44" s="20" t="n">
        <x:f>SUMIFS($F$7:$F$56,$A$7:$A$56,A44,$B$7:$B$56,"&lt;="&amp;B44)</x:f>
        <x:v>1308550</x:v>
      </x:c>
      <x:c r="H44" s="20" t="n">
        <x:v>924</x:v>
      </x:c>
      <x:c r="I44" s="20" t="n">
        <x:v>6000</x:v>
      </x:c>
      <x:c r="J44" s="29" t="n">
        <x:v>6</x:v>
      </x:c>
      <x:c r="K44" s="29" t="n">
        <x:v>12</x:v>
      </x:c>
      <x:c r="L44" s="29" t="n">
        <x:v>4</x:v>
      </x:c>
      <x:c r="M44" s="31" t="str">
        <x:v>対照47場</x:v>
      </x:c>
      <x:c r="N44" s="30" t="n">
        <x:v>217.85</x:v>
      </x:c>
      <x:c r="O44" s="30" t="n">
        <x:v>199.3</x:v>
      </x:c>
      <x:c r="P44" s="26" t="n">
        <x:f>O44/IF(C44="デイ",420,780)</x:f>
        <x:v>0.25551282051282054</x:v>
      </x:c>
      <x:c r="Q44" s="27" t="n">
        <x:v>0.5155128205128205</x:v>
      </x:c>
    </x:row>
    <x:row r="45" ht="22" customHeight="1">
      <x:c r="A45" s="2" t="str">
        <x:v>V04</x:v>
      </x:c>
      <x:c r="B45" s="24" t="d">
        <x:v>2026-10-16T08:45:00.000Z</x:v>
      </x:c>
      <x:c r="C45" s="2" t="str">
        <x:v>デイ</x:v>
      </x:c>
      <x:c r="D45" s="20" t="n">
        <x:v>181770</x:v>
      </x:c>
      <x:c r="E45" s="20" t="n">
        <x:v>288460</x:v>
      </x:c>
      <x:c r="F45" s="20" t="n">
        <x:f>D45-E45</x:f>
        <x:v>-106690</x:v>
      </x:c>
      <x:c r="G45" s="20" t="n">
        <x:f>SUMIFS($F$7:$F$56,$A$7:$A$56,A45,$B$7:$B$56,"&lt;="&amp;B45)</x:f>
        <x:v>1201860</x:v>
      </x:c>
      <x:c r="H45" s="20" t="n">
        <x:v>3690</x:v>
      </x:c>
      <x:c r="I45" s="20" t="n">
        <x:v>-103000</x:v>
      </x:c>
      <x:c r="J45" s="29" t="n">
        <x:v>15</x:v>
      </x:c>
      <x:c r="K45" s="29" t="n">
        <x:v>48</x:v>
      </x:c>
      <x:c r="L45" s="29" t="n">
        <x:v>7</x:v>
      </x:c>
      <x:c r="M45" s="31" t="str">
        <x:v>対照47場</x:v>
      </x:c>
      <x:c r="N45" s="30" t="n">
        <x:v>46.15</x:v>
      </x:c>
      <x:c r="O45" s="30" t="n">
        <x:v>172.68333333333334</x:v>
      </x:c>
      <x:c r="P45" s="26" t="n">
        <x:f>O45/IF(C45="デイ",420,780)</x:f>
        <x:v>0.41115079365079366</x:v>
      </x:c>
      <x:c r="Q45" s="27" t="n">
        <x:v>1.6633730158730158</x:v>
      </x:c>
    </x:row>
    <x:row r="46" ht="22" customHeight="1">
      <x:c r="A46" s="2" t="str">
        <x:v>V04</x:v>
      </x:c>
      <x:c r="B46" s="24" t="d">
        <x:v>2026-10-16T17:00:00.000Z</x:v>
      </x:c>
      <x:c r="C46" s="2" t="str">
        <x:v>ナイト</x:v>
      </x:c>
      <x:c r="D46" s="20" t="n">
        <x:v>197540</x:v>
      </x:c>
      <x:c r="E46" s="20" t="n">
        <x:v>231540</x:v>
      </x:c>
      <x:c r="F46" s="20" t="n">
        <x:f>D46-E46</x:f>
        <x:v>-34000</x:v>
      </x:c>
      <x:c r="G46" s="20" t="n">
        <x:f>SUMIFS($F$7:$F$56,$A$7:$A$56,A46,$B$7:$B$56,"&lt;="&amp;B46)</x:f>
        <x:v>1167860</x:v>
      </x:c>
      <x:c r="H46" s="20" t="n">
        <x:v>3000</x:v>
      </x:c>
      <x:c r="I46" s="20" t="n">
        <x:v>-31000</x:v>
      </x:c>
      <x:c r="J46" s="29" t="n">
        <x:v>16</x:v>
      </x:c>
      <x:c r="K46" s="29" t="n">
        <x:v>39</x:v>
      </x:c>
      <x:c r="L46" s="29" t="n">
        <x:v>7</x:v>
      </x:c>
      <x:c r="M46" s="31" t="str">
        <x:v>対照47場</x:v>
      </x:c>
      <x:c r="N46" s="30" t="n">
        <x:v>64.88333333333334</x:v>
      </x:c>
      <x:c r="O46" s="30" t="n">
        <x:v>276.55</x:v>
      </x:c>
      <x:c r="P46" s="26" t="n">
        <x:f>O46/IF(C46="デイ",420,780)</x:f>
        <x:v>0.35455128205128206</x:v>
      </x:c>
      <x:c r="Q46" s="27" t="n">
        <x:v>0.8167521367521368</x:v>
      </x:c>
    </x:row>
    <x:row r="47" ht="22" customHeight="1">
      <x:c r="A47" s="2" t="str">
        <x:v>V04</x:v>
      </x:c>
      <x:c r="B47" s="24" t="d">
        <x:v>2026-10-19T08:45:00.000Z</x:v>
      </x:c>
      <x:c r="C47" s="2" t="str">
        <x:v>デイ</x:v>
      </x:c>
      <x:c r="D47" s="20" t="n">
        <x:v>212308</x:v>
      </x:c>
      <x:c r="E47" s="20" t="n">
        <x:v>102770</x:v>
      </x:c>
      <x:c r="F47" s="20" t="n">
        <x:f>D47-E47</x:f>
        <x:v>109538</x:v>
      </x:c>
      <x:c r="G47" s="20" t="n">
        <x:f>SUMIFS($F$7:$F$56,$A$7:$A$56,A47,$B$7:$B$56,"&lt;="&amp;B47)</x:f>
        <x:v>1277398</x:v>
      </x:c>
      <x:c r="H47" s="20" t="n">
        <x:v>1462</x:v>
      </x:c>
      <x:c r="I47" s="20" t="n">
        <x:v>111000</x:v>
      </x:c>
      <x:c r="J47" s="29" t="n">
        <x:v>8</x:v>
      </x:c>
      <x:c r="K47" s="29" t="n">
        <x:v>19</x:v>
      </x:c>
      <x:c r="L47" s="29" t="n">
        <x:v>7</x:v>
      </x:c>
      <x:c r="M47" s="31" t="str">
        <x:v>対照47場</x:v>
      </x:c>
      <x:c r="N47" s="30" t="n">
        <x:v>63.28333333333333</x:v>
      </x:c>
      <x:c r="O47" s="30" t="n">
        <x:v>334.3</x:v>
      </x:c>
      <x:c r="P47" s="26" t="n">
        <x:f>O47/IF(C47="デイ",420,780)</x:f>
        <x:v>0.795952380952381</x:v>
      </x:c>
      <x:c r="Q47" s="27" t="n">
        <x:v>3.855714285714286</x:v>
      </x:c>
    </x:row>
    <x:row r="48" ht="22" customHeight="1">
      <x:c r="A48" s="2" t="str">
        <x:v>V04</x:v>
      </x:c>
      <x:c r="B48" s="24" t="d">
        <x:v>2026-10-19T17:00:00.000Z</x:v>
      </x:c>
      <x:c r="C48" s="2" t="str">
        <x:v>ナイト</x:v>
      </x:c>
      <x:c r="D48" s="20" t="n">
        <x:v>144308</x:v>
      </x:c>
      <x:c r="E48" s="20" t="n">
        <x:v>119308</x:v>
      </x:c>
      <x:c r="F48" s="20" t="n">
        <x:f>D48-E48</x:f>
        <x:v>25000</x:v>
      </x:c>
      <x:c r="G48" s="20" t="n">
        <x:f>SUMIFS($F$7:$F$56,$A$7:$A$56,A48,$B$7:$B$56,"&lt;="&amp;B48)</x:f>
        <x:v>1302398</x:v>
      </x:c>
      <x:c r="H48" s="20" t="n">
        <x:v>2000</x:v>
      </x:c>
      <x:c r="I48" s="20" t="n">
        <x:v>27000</x:v>
      </x:c>
      <x:c r="J48" s="29" t="n">
        <x:v>10</x:v>
      </x:c>
      <x:c r="K48" s="29" t="n">
        <x:v>26</x:v>
      </x:c>
      <x:c r="L48" s="29" t="n">
        <x:v>7</x:v>
      </x:c>
      <x:c r="M48" s="31" t="str">
        <x:v>対照47場</x:v>
      </x:c>
      <x:c r="N48" s="30" t="n">
        <x:v>26.583333333333332</x:v>
      </x:c>
      <x:c r="O48" s="30" t="n">
        <x:v>273.68333333333334</x:v>
      </x:c>
      <x:c r="P48" s="26" t="n">
        <x:f>O48/IF(C48="デイ",420,780)</x:f>
        <x:v>0.3508760683760684</x:v>
      </x:c>
      <x:c r="Q48" s="27" t="n">
        <x:v>0.8013247863247863</x:v>
      </x:c>
    </x:row>
    <x:row r="49" ht="22" customHeight="1">
      <x:c r="A49" s="2" t="str">
        <x:v>V04</x:v>
      </x:c>
      <x:c r="B49" s="24" t="d">
        <x:v>2026-10-20T08:45:00.000Z</x:v>
      </x:c>
      <x:c r="C49" s="2" t="str">
        <x:v>デイ</x:v>
      </x:c>
      <x:c r="D49" s="20" t="n">
        <x:v>149924</x:v>
      </x:c>
      <x:c r="E49" s="20" t="n">
        <x:v>115692</x:v>
      </x:c>
      <x:c r="F49" s="20" t="n">
        <x:f>D49-E49</x:f>
        <x:v>34232</x:v>
      </x:c>
      <x:c r="G49" s="20" t="n">
        <x:f>SUMIFS($F$7:$F$56,$A$7:$A$56,A49,$B$7:$B$56,"&lt;="&amp;B49)</x:f>
        <x:v>1336630</x:v>
      </x:c>
      <x:c r="H49" s="20" t="n">
        <x:v>2768</x:v>
      </x:c>
      <x:c r="I49" s="20" t="n">
        <x:v>37000</x:v>
      </x:c>
      <x:c r="J49" s="29" t="n">
        <x:v>12</x:v>
      </x:c>
      <x:c r="K49" s="29" t="n">
        <x:v>36</x:v>
      </x:c>
      <x:c r="L49" s="29" t="n">
        <x:v>7</x:v>
      </x:c>
      <x:c r="M49" s="31" t="str">
        <x:v>対照47場</x:v>
      </x:c>
      <x:c r="N49" s="30" t="n">
        <x:v>25.866666666666667</x:v>
      </x:c>
      <x:c r="O49" s="30" t="n">
        <x:v>350.55</x:v>
      </x:c>
      <x:c r="P49" s="26" t="n">
        <x:f>O49/IF(C49="デイ",420,780)</x:f>
        <x:v>0.8346428571428571</x:v>
      </x:c>
      <x:c r="Q49" s="27" t="n">
        <x:v>2.8759920634920637</x:v>
      </x:c>
    </x:row>
    <x:row r="50" ht="22" customHeight="1">
      <x:c r="A50" s="2" t="str">
        <x:v>V04</x:v>
      </x:c>
      <x:c r="B50" s="24" t="d">
        <x:v>2026-10-20T17:00:00.000Z</x:v>
      </x:c>
      <x:c r="C50" s="2" t="str">
        <x:v>ナイト</x:v>
      </x:c>
      <x:c r="D50" s="20" t="n">
        <x:v>211538</x:v>
      </x:c>
      <x:c r="E50" s="20" t="n">
        <x:v>119000</x:v>
      </x:c>
      <x:c r="F50" s="20" t="n">
        <x:f>D50-E50</x:f>
        <x:v>92538</x:v>
      </x:c>
      <x:c r="G50" s="20" t="n">
        <x:f>SUMIFS($F$7:$F$56,$A$7:$A$56,A50,$B$7:$B$56,"&lt;="&amp;B50)</x:f>
        <x:v>1429168</x:v>
      </x:c>
      <x:c r="H50" s="20" t="n">
        <x:v>1462</x:v>
      </x:c>
      <x:c r="I50" s="20" t="n">
        <x:v>94000</x:v>
      </x:c>
      <x:c r="J50" s="29" t="n">
        <x:v>8</x:v>
      </x:c>
      <x:c r="K50" s="29" t="n">
        <x:v>19</x:v>
      </x:c>
      <x:c r="L50" s="29" t="n">
        <x:v>7</x:v>
      </x:c>
      <x:c r="M50" s="31" t="str">
        <x:v>対照47場</x:v>
      </x:c>
      <x:c r="N50" s="30" t="n">
        <x:v>28.95</x:v>
      </x:c>
      <x:c r="O50" s="30" t="n">
        <x:v>168.16666666666666</x:v>
      </x:c>
      <x:c r="P50" s="26" t="n">
        <x:f>O50/IF(C50="デイ",420,780)</x:f>
        <x:v>0.21559829059829058</x:v>
      </x:c>
      <x:c r="Q50" s="27" t="n">
        <x:v>0.5948931623931624</x:v>
      </x:c>
    </x:row>
    <x:row r="51" ht="22" customHeight="1">
      <x:c r="A51" s="2" t="str">
        <x:v>V04</x:v>
      </x:c>
      <x:c r="B51" s="24" t="d">
        <x:v>2026-10-21T08:45:00.000Z</x:v>
      </x:c>
      <x:c r="C51" s="2" t="str">
        <x:v>デイ</x:v>
      </x:c>
      <x:c r="D51" s="20" t="n">
        <x:v>137308</x:v>
      </x:c>
      <x:c r="E51" s="20" t="n">
        <x:v>361998</x:v>
      </x:c>
      <x:c r="F51" s="20" t="n">
        <x:f>D51-E51</x:f>
        <x:v>-224690</x:v>
      </x:c>
      <x:c r="G51" s="20" t="n">
        <x:f>SUMIFS($F$7:$F$56,$A$7:$A$56,A51,$B$7:$B$56,"&lt;="&amp;B51)</x:f>
        <x:v>1204478</x:v>
      </x:c>
      <x:c r="H51" s="20" t="n">
        <x:v>3690</x:v>
      </x:c>
      <x:c r="I51" s="20" t="n">
        <x:v>-221000</x:v>
      </x:c>
      <x:c r="J51" s="29" t="n">
        <x:v>15</x:v>
      </x:c>
      <x:c r="K51" s="29" t="n">
        <x:v>48</x:v>
      </x:c>
      <x:c r="L51" s="29" t="n">
        <x:v>7</x:v>
      </x:c>
      <x:c r="M51" s="31" t="str">
        <x:v>対照47場</x:v>
      </x:c>
      <x:c r="N51" s="30" t="n">
        <x:v>75.65</x:v>
      </x:c>
      <x:c r="O51" s="30" t="n">
        <x:v>216.5</x:v>
      </x:c>
      <x:c r="P51" s="26" t="n">
        <x:f>O51/IF(C51="デイ",420,780)</x:f>
        <x:v>0.5154761904761904</x:v>
      </x:c>
      <x:c r="Q51" s="27" t="n">
        <x:v>1.8129365079365078</x:v>
      </x:c>
    </x:row>
    <x:row r="52" ht="22" customHeight="1">
      <x:c r="A52" s="2" t="str">
        <x:v>V04</x:v>
      </x:c>
      <x:c r="B52" s="24" t="d">
        <x:v>2026-10-21T17:00:00.000Z</x:v>
      </x:c>
      <x:c r="C52" s="2" t="str">
        <x:v>ナイト</x:v>
      </x:c>
      <x:c r="D52" s="20" t="n">
        <x:v>138000</x:v>
      </x:c>
      <x:c r="E52" s="20" t="n">
        <x:v>180692</x:v>
      </x:c>
      <x:c r="F52" s="20" t="n">
        <x:f>D52-E52</x:f>
        <x:v>-42692</x:v>
      </x:c>
      <x:c r="G52" s="20" t="n">
        <x:f>SUMIFS($F$7:$F$56,$A$7:$A$56,A52,$B$7:$B$56,"&lt;="&amp;B52)</x:f>
        <x:v>1161786</x:v>
      </x:c>
      <x:c r="H52" s="20" t="n">
        <x:v>2692</x:v>
      </x:c>
      <x:c r="I52" s="20" t="n">
        <x:v>-40000</x:v>
      </x:c>
      <x:c r="J52" s="29" t="n">
        <x:v>13</x:v>
      </x:c>
      <x:c r="K52" s="29" t="n">
        <x:v>35</x:v>
      </x:c>
      <x:c r="L52" s="29" t="n">
        <x:v>7</x:v>
      </x:c>
      <x:c r="M52" s="31" t="str">
        <x:v>対照47場</x:v>
      </x:c>
      <x:c r="N52" s="30" t="n">
        <x:v>34.18333333333333</x:v>
      </x:c>
      <x:c r="O52" s="30" t="n">
        <x:v>401.46666666666664</x:v>
      </x:c>
      <x:c r="P52" s="26" t="n">
        <x:f>O52/IF(C52="デイ",420,780)</x:f>
        <x:v>0.5147008547008547</x:v>
      </x:c>
      <x:c r="Q52" s="27" t="n">
        <x:v>1.5501709401709403</x:v>
      </x:c>
    </x:row>
    <x:row r="53" ht="22" customHeight="1">
      <x:c r="A53" s="2" t="str">
        <x:v>V04</x:v>
      </x:c>
      <x:c r="B53" s="24" t="d">
        <x:v>2026-10-22T08:45:00.000Z</x:v>
      </x:c>
      <x:c r="C53" s="2" t="str">
        <x:v>デイ</x:v>
      </x:c>
      <x:c r="D53" s="20" t="n">
        <x:v>449154</x:v>
      </x:c>
      <x:c r="E53" s="20" t="n">
        <x:v>191078</x:v>
      </x:c>
      <x:c r="F53" s="20" t="n">
        <x:f>D53-E53</x:f>
        <x:v>258076</x:v>
      </x:c>
      <x:c r="G53" s="20" t="n">
        <x:f>SUMIFS($F$7:$F$56,$A$7:$A$56,A53,$B$7:$B$56,"&lt;="&amp;B53)</x:f>
        <x:v>1419862</x:v>
      </x:c>
      <x:c r="H53" s="20" t="n">
        <x:v>1924</x:v>
      </x:c>
      <x:c r="I53" s="20" t="n">
        <x:v>260000</x:v>
      </x:c>
      <x:c r="J53" s="29" t="n">
        <x:v>11</x:v>
      </x:c>
      <x:c r="K53" s="29" t="n">
        <x:v>25</x:v>
      </x:c>
      <x:c r="L53" s="29" t="n">
        <x:v>7</x:v>
      </x:c>
      <x:c r="M53" s="31" t="str">
        <x:v>対照47場</x:v>
      </x:c>
      <x:c r="N53" s="30" t="n">
        <x:v>24.666666666666668</x:v>
      </x:c>
      <x:c r="O53" s="30" t="n">
        <x:v>322.5</x:v>
      </x:c>
      <x:c r="P53" s="26" t="n">
        <x:f>O53/IF(C53="デイ",420,780)</x:f>
        <x:v>0.7678571428571429</x:v>
      </x:c>
      <x:c r="Q53" s="27" t="n">
        <x:v>3.085</x:v>
      </x:c>
    </x:row>
    <x:row r="54" ht="22" customHeight="1">
      <x:c r="A54" s="2" t="str">
        <x:v>V04</x:v>
      </x:c>
      <x:c r="B54" s="24" t="d">
        <x:v>2026-10-22T17:00:00.000Z</x:v>
      </x:c>
      <x:c r="C54" s="2" t="str">
        <x:v>ナイト</x:v>
      </x:c>
      <x:c r="D54" s="20" t="n">
        <x:v>162462</x:v>
      </x:c>
      <x:c r="E54" s="20" t="n">
        <x:v>333232</x:v>
      </x:c>
      <x:c r="F54" s="20" t="n">
        <x:f>D54-E54</x:f>
        <x:v>-170770</x:v>
      </x:c>
      <x:c r="G54" s="20" t="n">
        <x:f>SUMIFS($F$7:$F$56,$A$7:$A$56,A54,$B$7:$B$56,"&lt;="&amp;B54)</x:f>
        <x:v>1249092</x:v>
      </x:c>
      <x:c r="H54" s="20" t="n">
        <x:v>2770</x:v>
      </x:c>
      <x:c r="I54" s="20" t="n">
        <x:v>-168000</x:v>
      </x:c>
      <x:c r="J54" s="29" t="n">
        <x:v>15</x:v>
      </x:c>
      <x:c r="K54" s="29" t="n">
        <x:v>36</x:v>
      </x:c>
      <x:c r="L54" s="29" t="n">
        <x:v>7</x:v>
      </x:c>
      <x:c r="M54" s="31" t="str">
        <x:v>診断3場</x:v>
      </x:c>
      <x:c r="N54" s="30" t="n">
        <x:v>181.48333333333332</x:v>
      </x:c>
      <x:c r="O54" s="30" t="n">
        <x:v>249.86666666666667</x:v>
      </x:c>
      <x:c r="P54" s="26" t="n">
        <x:f>O54/IF(C54="デイ",420,780)</x:f>
        <x:v>0.3203418803418803</x:v>
      </x:c>
      <x:c r="Q54" s="27" t="n">
        <x:v>0.7669444444444444</x:v>
      </x:c>
    </x:row>
    <x:row r="55" ht="22" customHeight="1">
      <x:c r="A55" s="2" t="str">
        <x:v>V04</x:v>
      </x:c>
      <x:c r="B55" s="24" t="d">
        <x:v>2026-10-23T08:45:00.000Z</x:v>
      </x:c>
      <x:c r="C55" s="2" t="str">
        <x:v>デイ</x:v>
      </x:c>
      <x:c r="D55" s="20" t="n">
        <x:v>35692</x:v>
      </x:c>
      <x:c r="E55" s="20" t="n">
        <x:v>280770</x:v>
      </x:c>
      <x:c r="F55" s="20" t="n">
        <x:f>D55-E55</x:f>
        <x:v>-245078</x:v>
      </x:c>
      <x:c r="G55" s="20" t="n">
        <x:f>SUMIFS($F$7:$F$56,$A$7:$A$56,A55,$B$7:$B$56,"&lt;="&amp;B55)</x:f>
        <x:v>1004014</x:v>
      </x:c>
      <x:c r="H55" s="20" t="n">
        <x:v>2078</x:v>
      </x:c>
      <x:c r="I55" s="20" t="n">
        <x:v>-243000</x:v>
      </x:c>
      <x:c r="J55" s="29" t="n">
        <x:v>12</x:v>
      </x:c>
      <x:c r="K55" s="29" t="n">
        <x:v>27</x:v>
      </x:c>
      <x:c r="L55" s="29" t="n">
        <x:v>5</x:v>
      </x:c>
      <x:c r="M55" s="31" t="str">
        <x:v>診断3場</x:v>
      </x:c>
      <x:c r="N55" s="30" t="n">
        <x:v>23.9</x:v>
      </x:c>
      <x:c r="O55" s="30" t="n">
        <x:v>233.11666666666667</x:v>
      </x:c>
      <x:c r="P55" s="26" t="n">
        <x:f>O55/IF(C55="デイ",420,780)</x:f>
        <x:v>0.5550396825396826</x:v>
      </x:c>
      <x:c r="Q55" s="27" t="n">
        <x:v>1.1403174603174604</x:v>
      </x:c>
    </x:row>
    <x:row r="56" ht="22" customHeight="1">
      <x:c r="A56" s="2" t="str">
        <x:v>V04</x:v>
      </x:c>
      <x:c r="B56" s="24" t="d">
        <x:v>2026-10-23T17:00:00.000Z</x:v>
      </x:c>
      <x:c r="C56" s="2" t="str">
        <x:v>ナイト</x:v>
      </x:c>
      <x:c r="D56" s="20" t="n">
        <x:v>96154</x:v>
      </x:c>
      <x:c r="E56" s="20" t="n">
        <x:v>119078</x:v>
      </x:c>
      <x:c r="F56" s="20" t="n">
        <x:f>D56-E56</x:f>
        <x:v>-22924</x:v>
      </x:c>
      <x:c r="G56" s="20" t="n">
        <x:f>SUMIFS($F$7:$F$56,$A$7:$A$56,A56,$B$7:$B$56,"&lt;="&amp;B56)</x:f>
        <x:v>981090</x:v>
      </x:c>
      <x:c r="H56" s="20" t="n">
        <x:v>1924</x:v>
      </x:c>
      <x:c r="I56" s="20" t="n">
        <x:v>-21000</x:v>
      </x:c>
      <x:c r="J56" s="29" t="n">
        <x:v>11</x:v>
      </x:c>
      <x:c r="K56" s="29" t="n">
        <x:v>25</x:v>
      </x:c>
      <x:c r="L56" s="29" t="n">
        <x:v>7</x:v>
      </x:c>
      <x:c r="M56" s="31" t="str">
        <x:v>診断3場</x:v>
      </x:c>
      <x:c r="N56" s="30" t="n">
        <x:v>88.75</x:v>
      </x:c>
      <x:c r="O56" s="30" t="n">
        <x:v>269.15</x:v>
      </x:c>
      <x:c r="P56" s="26" t="n">
        <x:f>O56/IF(C56="デイ",420,780)</x:f>
        <x:v>0.3450641025641025</x:v>
      </x:c>
      <x:c r="Q56" s="27" t="n">
        <x:v>0.7011752136752136</x:v>
      </x:c>
    </x:row>
  </x:sheetData>
  <x:conditionalFormatting sqref="D7:I56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126f0f83874e1f"/>
  </x:tableParts>
</x:worksheet>
</file>

<file path=xl/worksheets/sheet8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TOPIXmini B5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片方向上限10枚。金額は円・手数料後。保有率は昼420分・夜780分が分母。平均保有枚数も公式時間全体で平均し、両建ては合計枚数で数えます。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昼：B5（T06）／夜：B5（T04）。対照47場：9/21～10/22デイ。診断3場：10/22ナイト～10/23ナイト。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従来基準。出典：00142保存会計。診断3場は原因分析と改善に使用した期間です。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7" t="str">
        <x:v>保有（分）</x:v>
      </x:c>
      <x:c r="P6" s="17" t="str">
        <x:v>保有率</x:v>
      </x:c>
      <x:c r="Q6" s="18" t="str">
        <x:v>平均保有枚数</x:v>
      </x:c>
    </x:row>
    <x:row r="7" ht="22" customHeight="1">
      <x:c r="A7" s="2" t="str">
        <x:v>B5</x:v>
      </x:c>
      <x:c r="B7" s="24" t="d">
        <x:v>2026-09-21T08:45:00.000Z</x:v>
      </x:c>
      <x:c r="C7" s="2" t="str">
        <x:v>デイ</x:v>
      </x:c>
      <x:c r="D7" s="20" t="n">
        <x:v>0</x:v>
      </x:c>
      <x:c r="E7" s="20" t="n">
        <x:v>20418</x:v>
      </x:c>
      <x:c r="F7" s="20" t="n">
        <x:f>D7-E7</x:f>
        <x:v>-20418</x:v>
      </x:c>
      <x:c r="G7" s="20" t="n">
        <x:f>SUMIFS($F$7:$F$56,$A$7:$A$56,A7,$B$7:$B$56,"&lt;="&amp;B7)</x:f>
        <x:v>-20418</x:v>
      </x:c>
      <x:c r="H7" s="20" t="n">
        <x:v>418</x:v>
      </x:c>
      <x:c r="I7" s="20" t="n">
        <x:v>-20000</x:v>
      </x:c>
      <x:c r="J7" s="29" t="n">
        <x:v>1</x:v>
      </x:c>
      <x:c r="K7" s="29" t="n">
        <x:v>5</x:v>
      </x:c>
      <x:c r="L7" s="29" t="n">
        <x:v>5</x:v>
      </x:c>
      <x:c r="M7" s="31" t="str">
        <x:v>対照47場</x:v>
      </x:c>
      <x:c r="N7" s="30" t="n">
        <x:v>363.18333333333334</x:v>
      </x:c>
      <x:c r="O7" s="30" t="n">
        <x:v>9.033333333333333</x:v>
      </x:c>
      <x:c r="P7" s="26" t="n">
        <x:f>O7/IF(C7="デイ",420,780)</x:f>
        <x:v>0.021507936507936507</x:v>
      </x:c>
      <x:c r="Q7" s="27" t="n">
        <x:v>0.10753968253968255</x:v>
      </x:c>
    </x:row>
    <x:row r="8" ht="22" customHeight="1">
      <x:c r="A8" s="2" t="str">
        <x:v>B5</x:v>
      </x:c>
      <x:c r="B8" s="24" t="d">
        <x:v>2026-09-21T17:00:00.000Z</x:v>
      </x:c>
      <x:c r="C8" s="2" t="str">
        <x:v>ナイト</x:v>
      </x:c>
      <x:c r="D8" s="20" t="n">
        <x:v>7082</x:v>
      </x:c>
      <x:c r="E8" s="20" t="n">
        <x:v>0</x:v>
      </x:c>
      <x:c r="F8" s="20" t="n">
        <x:f>D8-E8</x:f>
        <x:v>7082</x:v>
      </x:c>
      <x:c r="G8" s="20" t="n">
        <x:f>SUMIFS($F$7:$F$56,$A$7:$A$56,A8,$B$7:$B$56,"&lt;="&amp;B8)</x:f>
        <x:v>-13336</x:v>
      </x:c>
      <x:c r="H8" s="20" t="n">
        <x:v>418</x:v>
      </x:c>
      <x:c r="I8" s="20" t="n">
        <x:v>7500</x:v>
      </x:c>
      <x:c r="J8" s="29" t="n">
        <x:v>1</x:v>
      </x:c>
      <x:c r="K8" s="29" t="n">
        <x:v>5</x:v>
      </x:c>
      <x:c r="L8" s="29" t="n">
        <x:v>5</x:v>
      </x:c>
      <x:c r="M8" s="31" t="str">
        <x:v>対照47場</x:v>
      </x:c>
      <x:c r="N8" s="30" t="n">
        <x:v>385.95</x:v>
      </x:c>
      <x:c r="O8" s="30" t="n">
        <x:v>8.5</x:v>
      </x:c>
      <x:c r="P8" s="26" t="n">
        <x:f>O8/IF(C8="デイ",420,780)</x:f>
        <x:v>0.010897435897435897</x:v>
      </x:c>
      <x:c r="Q8" s="27" t="n">
        <x:v>0.05448717948717949</x:v>
      </x:c>
    </x:row>
    <x:row r="9" ht="22" customHeight="1">
      <x:c r="A9" s="2" t="str">
        <x:v>B5</x:v>
      </x:c>
      <x:c r="B9" s="24" t="d">
        <x:v>2026-09-22T08:45:00.000Z</x:v>
      </x:c>
      <x:c r="C9" s="2" t="str">
        <x:v>デイ</x:v>
      </x:c>
      <x:c r="D9" s="20" t="n">
        <x:v>20584</x:v>
      </x:c>
      <x:c r="E9" s="20" t="n">
        <x:v>20418</x:v>
      </x:c>
      <x:c r="F9" s="20" t="n">
        <x:f>D9-E9</x:f>
        <x:v>166</x:v>
      </x:c>
      <x:c r="G9" s="20" t="n">
        <x:f>SUMIFS($F$7:$F$56,$A$7:$A$56,A9,$B$7:$B$56,"&lt;="&amp;B9)</x:f>
        <x:v>-13170</x:v>
      </x:c>
      <x:c r="H9" s="20" t="n">
        <x:v>834</x:v>
      </x:c>
      <x:c r="I9" s="20" t="n">
        <x:v>1000</x:v>
      </x:c>
      <x:c r="J9" s="29" t="n">
        <x:v>2</x:v>
      </x:c>
      <x:c r="K9" s="29" t="n">
        <x:v>10</x:v>
      </x:c>
      <x:c r="L9" s="29" t="n">
        <x:v>5</x:v>
      </x:c>
      <x:c r="M9" s="31" t="str">
        <x:v>対照47場</x:v>
      </x:c>
      <x:c r="N9" s="30" t="n">
        <x:v>100.41666666666667</x:v>
      </x:c>
      <x:c r="O9" s="30" t="n">
        <x:v>18.416666666666668</x:v>
      </x:c>
      <x:c r="P9" s="26" t="n">
        <x:f>O9/IF(C9="デイ",420,780)</x:f>
        <x:v>0.04384920634920635</x:v>
      </x:c>
      <x:c r="Q9" s="27" t="n">
        <x:v>0.17432539682539683</x:v>
      </x:c>
    </x:row>
    <x:row r="10" ht="22" customHeight="1">
      <x:c r="A10" s="2" t="str">
        <x:v>B5</x:v>
      </x:c>
      <x:c r="B10" s="24" t="d">
        <x:v>2026-09-22T17:00:00.000Z</x:v>
      </x:c>
      <x:c r="C10" s="2" t="str">
        <x:v>ナイト</x:v>
      </x:c>
      <x:c r="D10" s="20" t="n">
        <x:v>0</x:v>
      </x:c>
      <x:c r="E10" s="20" t="n">
        <x:v>53754</x:v>
      </x:c>
      <x:c r="F10" s="20" t="n">
        <x:f>D10-E10</x:f>
        <x:v>-53754</x:v>
      </x:c>
      <x:c r="G10" s="20" t="n">
        <x:f>SUMIFS($F$7:$F$56,$A$7:$A$56,A10,$B$7:$B$56,"&lt;="&amp;B10)</x:f>
        <x:v>-66924</x:v>
      </x:c>
      <x:c r="H10" s="20" t="n">
        <x:v>1254</x:v>
      </x:c>
      <x:c r="I10" s="20" t="n">
        <x:v>-52500</x:v>
      </x:c>
      <x:c r="J10" s="29" t="n">
        <x:v>3</x:v>
      </x:c>
      <x:c r="K10" s="29" t="n">
        <x:v>15</x:v>
      </x:c>
      <x:c r="L10" s="29" t="n">
        <x:v>5</x:v>
      </x:c>
      <x:c r="M10" s="31" t="str">
        <x:v>対照47場</x:v>
      </x:c>
      <x:c r="N10" s="30" t="n">
        <x:v>366.26666666666665</x:v>
      </x:c>
      <x:c r="O10" s="30" t="n">
        <x:v>35.95</x:v>
      </x:c>
      <x:c r="P10" s="26" t="n">
        <x:f>O10/IF(C10="デイ",420,780)</x:f>
        <x:v>0.0460897435897436</x:v>
      </x:c>
      <x:c r="Q10" s="27" t="n">
        <x:v>0.23044871794871793</x:v>
      </x:c>
    </x:row>
    <x:row r="11" ht="22" customHeight="1">
      <x:c r="A11" s="2" t="str">
        <x:v>B5</x:v>
      </x:c>
      <x:c r="B11" s="24" t="d">
        <x:v>2026-09-23T08:45:00.000Z</x:v>
      </x:c>
      <x:c r="C11" s="2" t="str">
        <x:v>デイ</x:v>
      </x:c>
      <x:c r="D11" s="20" t="n">
        <x:v>77584</x:v>
      </x:c>
      <x:c r="E11" s="20" t="n">
        <x:v>0</x:v>
      </x:c>
      <x:c r="F11" s="20" t="n">
        <x:f>D11-E11</x:f>
        <x:v>77584</x:v>
      </x:c>
      <x:c r="G11" s="20" t="n">
        <x:f>SUMIFS($F$7:$F$56,$A$7:$A$56,A11,$B$7:$B$56,"&lt;="&amp;B11)</x:f>
        <x:v>10660</x:v>
      </x:c>
      <x:c r="H11" s="20" t="n">
        <x:v>416</x:v>
      </x:c>
      <x:c r="I11" s="20" t="n">
        <x:v>78000</x:v>
      </x:c>
      <x:c r="J11" s="29" t="n">
        <x:v>1</x:v>
      </x:c>
      <x:c r="K11" s="29" t="n">
        <x:v>5</x:v>
      </x:c>
      <x:c r="L11" s="29" t="n">
        <x:v>5</x:v>
      </x:c>
      <x:c r="M11" s="31" t="str">
        <x:v>対照47場</x:v>
      </x:c>
      <x:c r="N11" s="30" t="n">
        <x:v>68.45</x:v>
      </x:c>
      <x:c r="O11" s="30" t="n">
        <x:v>158.21666666666667</x:v>
      </x:c>
      <x:c r="P11" s="26" t="n">
        <x:f>O11/IF(C11="デイ",420,780)</x:f>
        <x:v>0.3767063492063492</x:v>
      </x:c>
      <x:c r="Q11" s="27" t="n">
        <x:v>0.9761111111111112</x:v>
      </x:c>
    </x:row>
    <x:row r="12" ht="22" customHeight="1">
      <x:c r="A12" s="2" t="str">
        <x:v>B5</x:v>
      </x:c>
      <x:c r="B12" s="24" t="d">
        <x:v>2026-09-23T17:00:00.000Z</x:v>
      </x:c>
      <x:c r="C12" s="2" t="str">
        <x:v>ナイト</x:v>
      </x:c>
      <x:c r="D12" s="20" t="n">
        <x:v>29164</x:v>
      </x:c>
      <x:c r="E12" s="20" t="n">
        <x:v>0</x:v>
      </x:c>
      <x:c r="F12" s="20" t="n">
        <x:f>D12-E12</x:f>
        <x:v>29164</x:v>
      </x:c>
      <x:c r="G12" s="20" t="n">
        <x:f>SUMIFS($F$7:$F$56,$A$7:$A$56,A12,$B$7:$B$56,"&lt;="&amp;B12)</x:f>
        <x:v>39824</x:v>
      </x:c>
      <x:c r="H12" s="20" t="n">
        <x:v>836</x:v>
      </x:c>
      <x:c r="I12" s="20" t="n">
        <x:v>30000</x:v>
      </x:c>
      <x:c r="J12" s="29" t="n">
        <x:v>2</x:v>
      </x:c>
      <x:c r="K12" s="29" t="n">
        <x:v>10</x:v>
      </x:c>
      <x:c r="L12" s="29" t="n">
        <x:v>5</x:v>
      </x:c>
      <x:c r="M12" s="31" t="str">
        <x:v>対照47場</x:v>
      </x:c>
      <x:c r="N12" s="30" t="n">
        <x:v>450.01666666666665</x:v>
      </x:c>
      <x:c r="O12" s="30" t="n">
        <x:v>52.3</x:v>
      </x:c>
      <x:c r="P12" s="26" t="n">
        <x:f>O12/IF(C12="デイ",420,780)</x:f>
        <x:v>0.06705128205128205</x:v>
      </x:c>
      <x:c r="Q12" s="27" t="n">
        <x:v>0.33525641025641023</x:v>
      </x:c>
    </x:row>
    <x:row r="13" ht="22" customHeight="1">
      <x:c r="A13" s="2" t="str">
        <x:v>B5</x:v>
      </x:c>
      <x:c r="B13" s="24" t="d">
        <x:v>2026-09-24T08:45:00.000Z</x:v>
      </x:c>
      <x:c r="C13" s="2" t="str">
        <x:v>デイ</x:v>
      </x:c>
      <x:c r="D13" s="20" t="n">
        <x:v>79583</x:v>
      </x:c>
      <x:c r="E13" s="20" t="n">
        <x:v>0</x:v>
      </x:c>
      <x:c r="F13" s="20" t="n">
        <x:f>D13-E13</x:f>
        <x:v>79583</x:v>
      </x:c>
      <x:c r="G13" s="20" t="n">
        <x:f>SUMIFS($F$7:$F$56,$A$7:$A$56,A13,$B$7:$B$56,"&lt;="&amp;B13)</x:f>
        <x:v>119407</x:v>
      </x:c>
      <x:c r="H13" s="20" t="n">
        <x:v>417</x:v>
      </x:c>
      <x:c r="I13" s="20" t="n">
        <x:v>80000</x:v>
      </x:c>
      <x:c r="J13" s="29" t="n">
        <x:v>1</x:v>
      </x:c>
      <x:c r="K13" s="29" t="n">
        <x:v>5</x:v>
      </x:c>
      <x:c r="L13" s="29" t="n">
        <x:v>5</x:v>
      </x:c>
      <x:c r="M13" s="31" t="str">
        <x:v>対照47場</x:v>
      </x:c>
      <x:c r="N13" s="30" t="n">
        <x:v>149.83333333333334</x:v>
      </x:c>
      <x:c r="O13" s="30" t="n">
        <x:v>256.46666666666664</x:v>
      </x:c>
      <x:c r="P13" s="26" t="n">
        <x:f>O13/IF(C13="デイ",420,780)</x:f>
        <x:v>0.6106349206349205</x:v>
      </x:c>
      <x:c r="Q13" s="27" t="n">
        <x:v>2.934126984126984</x:v>
      </x:c>
    </x:row>
    <x:row r="14" ht="22" customHeight="1">
      <x:c r="A14" s="2" t="str">
        <x:v>B5</x:v>
      </x:c>
      <x:c r="B14" s="24" t="d">
        <x:v>2026-09-24T17:00:00.000Z</x:v>
      </x:c>
      <x:c r="C14" s="2" t="str">
        <x:v>ナイト</x:v>
      </x:c>
      <x:c r="D14" s="20" t="n">
        <x:v>32082</x:v>
      </x:c>
      <x:c r="E14" s="20" t="n">
        <x:v>0</x:v>
      </x:c>
      <x:c r="F14" s="20" t="n">
        <x:f>D14-E14</x:f>
        <x:v>32082</x:v>
      </x:c>
      <x:c r="G14" s="20" t="n">
        <x:f>SUMIFS($F$7:$F$56,$A$7:$A$56,A14,$B$7:$B$56,"&lt;="&amp;B14)</x:f>
        <x:v>151489</x:v>
      </x:c>
      <x:c r="H14" s="20" t="n">
        <x:v>418</x:v>
      </x:c>
      <x:c r="I14" s="20" t="n">
        <x:v>32500</x:v>
      </x:c>
      <x:c r="J14" s="29" t="n">
        <x:v>1</x:v>
      </x:c>
      <x:c r="K14" s="29" t="n">
        <x:v>5</x:v>
      </x:c>
      <x:c r="L14" s="29" t="n">
        <x:v>5</x:v>
      </x:c>
      <x:c r="M14" s="31" t="str">
        <x:v>対照47場</x:v>
      </x:c>
      <x:c r="N14" s="30" t="n">
        <x:v>417.46666666666664</x:v>
      </x:c>
      <x:c r="O14" s="30" t="n">
        <x:v>40.983333333333334</x:v>
      </x:c>
      <x:c r="P14" s="26" t="n">
        <x:f>O14/IF(C14="デイ",420,780)</x:f>
        <x:v>0.052542735042735045</x:v>
      </x:c>
      <x:c r="Q14" s="27" t="n">
        <x:v>0.2627136752136752</x:v>
      </x:c>
    </x:row>
    <x:row r="15" ht="22" customHeight="1">
      <x:c r="A15" s="2" t="str">
        <x:v>B5</x:v>
      </x:c>
      <x:c r="B15" s="24" t="d">
        <x:v>2026-09-25T08:45:00.000Z</x:v>
      </x:c>
      <x:c r="C15" s="2" t="str">
        <x:v>デイ</x:v>
      </x:c>
      <x:c r="D15" s="20" t="n">
        <x:v>80583</x:v>
      </x:c>
      <x:c r="E15" s="20" t="n">
        <x:v>0</x:v>
      </x:c>
      <x:c r="F15" s="20" t="n">
        <x:f>D15-E15</x:f>
        <x:v>80583</x:v>
      </x:c>
      <x:c r="G15" s="20" t="n">
        <x:f>SUMIFS($F$7:$F$56,$A$7:$A$56,A15,$B$7:$B$56,"&lt;="&amp;B15)</x:f>
        <x:v>232072</x:v>
      </x:c>
      <x:c r="H15" s="20" t="n">
        <x:v>417</x:v>
      </x:c>
      <x:c r="I15" s="20" t="n">
        <x:v>81000</x:v>
      </x:c>
      <x:c r="J15" s="29" t="n">
        <x:v>1</x:v>
      </x:c>
      <x:c r="K15" s="29" t="n">
        <x:v>5</x:v>
      </x:c>
      <x:c r="L15" s="29" t="n">
        <x:v>5</x:v>
      </x:c>
      <x:c r="M15" s="31" t="str">
        <x:v>対照47場</x:v>
      </x:c>
      <x:c r="N15" s="30" t="n">
        <x:v>86.21666666666667</x:v>
      </x:c>
      <x:c r="O15" s="30" t="n">
        <x:v>323.8</x:v>
      </x:c>
      <x:c r="P15" s="26" t="n">
        <x:f>O15/IF(C15="デイ",420,780)</x:f>
        <x:v>0.770952380952381</x:v>
      </x:c>
      <x:c r="Q15" s="27" t="n">
        <x:v>2.3655555555555554</x:v>
      </x:c>
    </x:row>
    <x:row r="16" ht="22" customHeight="1">
      <x:c r="A16" s="2" t="str">
        <x:v>B5</x:v>
      </x:c>
      <x:c r="B16" s="24" t="d">
        <x:v>2026-09-25T17:00:00.000Z</x:v>
      </x:c>
      <x:c r="C16" s="2" t="str">
        <x:v>ナイト</x:v>
      </x:c>
      <x:c r="D16" s="20" t="n">
        <x:v>24582</x:v>
      </x:c>
      <x:c r="E16" s="20" t="n">
        <x:v>20418</x:v>
      </x:c>
      <x:c r="F16" s="20" t="n">
        <x:f>D16-E16</x:f>
        <x:v>4164</x:v>
      </x:c>
      <x:c r="G16" s="20" t="n">
        <x:f>SUMIFS($F$7:$F$56,$A$7:$A$56,A16,$B$7:$B$56,"&lt;="&amp;B16)</x:f>
        <x:v>236236</x:v>
      </x:c>
      <x:c r="H16" s="20" t="n">
        <x:v>836</x:v>
      </x:c>
      <x:c r="I16" s="20" t="n">
        <x:v>5000</x:v>
      </x:c>
      <x:c r="J16" s="29" t="n">
        <x:v>2</x:v>
      </x:c>
      <x:c r="K16" s="29" t="n">
        <x:v>10</x:v>
      </x:c>
      <x:c r="L16" s="29" t="n">
        <x:v>5</x:v>
      </x:c>
      <x:c r="M16" s="31" t="str">
        <x:v>対照47場</x:v>
      </x:c>
      <x:c r="N16" s="30" t="n">
        <x:v>450</x:v>
      </x:c>
      <x:c r="O16" s="30" t="n">
        <x:v>8.316666666666666</x:v>
      </x:c>
      <x:c r="P16" s="26" t="n">
        <x:f>O16/IF(C16="デイ",420,780)</x:f>
        <x:v>0.010662393162393162</x:v>
      </x:c>
      <x:c r="Q16" s="27" t="n">
        <x:v>0.05331196581196581</x:v>
      </x:c>
    </x:row>
    <x:row r="17" ht="22" customHeight="1">
      <x:c r="A17" s="2" t="str">
        <x:v>B5</x:v>
      </x:c>
      <x:c r="B17" s="24" t="d">
        <x:v>2026-09-28T08:45:00.000Z</x:v>
      </x:c>
      <x:c r="C17" s="2" t="str">
        <x:v>デイ</x:v>
      </x:c>
      <x:c r="D17" s="20" t="n">
        <x:v>129083</x:v>
      </x:c>
      <x:c r="E17" s="20" t="n">
        <x:v>35418</x:v>
      </x:c>
      <x:c r="F17" s="20" t="n">
        <x:f>D17-E17</x:f>
        <x:v>93665</x:v>
      </x:c>
      <x:c r="G17" s="20" t="n">
        <x:f>SUMIFS($F$7:$F$56,$A$7:$A$56,A17,$B$7:$B$56,"&lt;="&amp;B17)</x:f>
        <x:v>329901</x:v>
      </x:c>
      <x:c r="H17" s="20" t="n">
        <x:v>835</x:v>
      </x:c>
      <x:c r="I17" s="20" t="n">
        <x:v>94500</x:v>
      </x:c>
      <x:c r="J17" s="29" t="n">
        <x:v>2</x:v>
      </x:c>
      <x:c r="K17" s="29" t="n">
        <x:v>10</x:v>
      </x:c>
      <x:c r="L17" s="29" t="n">
        <x:v>5</x:v>
      </x:c>
      <x:c r="M17" s="31" t="str">
        <x:v>対照47場</x:v>
      </x:c>
      <x:c r="N17" s="30" t="n">
        <x:v>66.76666666666667</x:v>
      </x:c>
      <x:c r="O17" s="30" t="n">
        <x:v>325.05</x:v>
      </x:c>
      <x:c r="P17" s="26" t="n">
        <x:f>O17/IF(C17="デイ",420,780)</x:f>
        <x:v>0.7739285714285714</x:v>
      </x:c>
      <x:c r="Q17" s="27" t="n">
        <x:v>2.88234126984127</x:v>
      </x:c>
    </x:row>
    <x:row r="18" ht="22" customHeight="1">
      <x:c r="A18" s="2" t="str">
        <x:v>B5</x:v>
      </x:c>
      <x:c r="B18" s="24" t="d">
        <x:v>2026-09-28T17:00:00.000Z</x:v>
      </x:c>
      <x:c r="C18" s="2" t="str">
        <x:v>ナイト</x:v>
      </x:c>
      <x:c r="D18" s="20" t="n">
        <x:v>24582</x:v>
      </x:c>
      <x:c r="E18" s="20" t="n">
        <x:v>0</x:v>
      </x:c>
      <x:c r="F18" s="20" t="n">
        <x:f>D18-E18</x:f>
        <x:v>24582</x:v>
      </x:c>
      <x:c r="G18" s="20" t="n">
        <x:f>SUMIFS($F$7:$F$56,$A$7:$A$56,A18,$B$7:$B$56,"&lt;="&amp;B18)</x:f>
        <x:v>354483</x:v>
      </x:c>
      <x:c r="H18" s="20" t="n">
        <x:v>418</x:v>
      </x:c>
      <x:c r="I18" s="20" t="n">
        <x:v>25000</x:v>
      </x:c>
      <x:c r="J18" s="29" t="n">
        <x:v>1</x:v>
      </x:c>
      <x:c r="K18" s="29" t="n">
        <x:v>5</x:v>
      </x:c>
      <x:c r="L18" s="29" t="n">
        <x:v>5</x:v>
      </x:c>
      <x:c r="M18" s="31" t="str">
        <x:v>対照47場</x:v>
      </x:c>
      <x:c r="N18" s="30" t="n">
        <x:v>405.1333333333333</x:v>
      </x:c>
      <x:c r="O18" s="30" t="n">
        <x:v>12.033333333333333</x:v>
      </x:c>
      <x:c r="P18" s="26" t="n">
        <x:f>O18/IF(C18="デイ",420,780)</x:f>
        <x:v>0.015427350427350427</x:v>
      </x:c>
      <x:c r="Q18" s="27" t="n">
        <x:v>0.07713675213675214</x:v>
      </x:c>
    </x:row>
    <x:row r="19" ht="22" customHeight="1">
      <x:c r="A19" s="2" t="str">
        <x:v>B5</x:v>
      </x:c>
      <x:c r="B19" s="24" t="d">
        <x:v>2026-09-29T08:45:00.000Z</x:v>
      </x:c>
      <x:c r="C19" s="2" t="str">
        <x:v>デイ</x:v>
      </x:c>
      <x:c r="D19" s="20" t="n">
        <x:v>12583</x:v>
      </x:c>
      <x:c r="E19" s="20" t="n">
        <x:v>0</x:v>
      </x:c>
      <x:c r="F19" s="20" t="n">
        <x:f>D19-E19</x:f>
        <x:v>12583</x:v>
      </x:c>
      <x:c r="G19" s="20" t="n">
        <x:f>SUMIFS($F$7:$F$56,$A$7:$A$56,A19,$B$7:$B$56,"&lt;="&amp;B19)</x:f>
        <x:v>367066</x:v>
      </x:c>
      <x:c r="H19" s="20" t="n">
        <x:v>417</x:v>
      </x:c>
      <x:c r="I19" s="20" t="n">
        <x:v>13000</x:v>
      </x:c>
      <x:c r="J19" s="29" t="n">
        <x:v>1</x:v>
      </x:c>
      <x:c r="K19" s="29" t="n">
        <x:v>5</x:v>
      </x:c>
      <x:c r="L19" s="29" t="n">
        <x:v>5</x:v>
      </x:c>
      <x:c r="M19" s="31" t="str">
        <x:v>対照47場</x:v>
      </x:c>
      <x:c r="N19" s="30" t="n">
        <x:v>70.43333333333334</x:v>
      </x:c>
      <x:c r="O19" s="30" t="n">
        <x:v>334.48333333333335</x:v>
      </x:c>
      <x:c r="P19" s="26" t="n">
        <x:f>O19/IF(C19="デイ",420,780)</x:f>
        <x:v>0.7963888888888889</x:v>
      </x:c>
      <x:c r="Q19" s="27" t="n">
        <x:v>3.0586904761904763</x:v>
      </x:c>
    </x:row>
    <x:row r="20" ht="22" customHeight="1">
      <x:c r="A20" s="2" t="str">
        <x:v>B5</x:v>
      </x:c>
      <x:c r="B20" s="24" t="d">
        <x:v>2026-09-29T17:00:00.000Z</x:v>
      </x:c>
      <x:c r="C20" s="2" t="str">
        <x:v>ナイト</x:v>
      </x:c>
      <x:c r="D20" s="20" t="n">
        <x:v>19582</x:v>
      </x:c>
      <x:c r="E20" s="20" t="n">
        <x:v>0</x:v>
      </x:c>
      <x:c r="F20" s="20" t="n">
        <x:f>D20-E20</x:f>
        <x:v>19582</x:v>
      </x:c>
      <x:c r="G20" s="20" t="n">
        <x:f>SUMIFS($F$7:$F$56,$A$7:$A$56,A20,$B$7:$B$56,"&lt;="&amp;B20)</x:f>
        <x:v>386648</x:v>
      </x:c>
      <x:c r="H20" s="20" t="n">
        <x:v>418</x:v>
      </x:c>
      <x:c r="I20" s="20" t="n">
        <x:v>20000</x:v>
      </x:c>
      <x:c r="J20" s="29" t="n">
        <x:v>1</x:v>
      </x:c>
      <x:c r="K20" s="29" t="n">
        <x:v>5</x:v>
      </x:c>
      <x:c r="L20" s="29" t="n">
        <x:v>5</x:v>
      </x:c>
      <x:c r="M20" s="31" t="str">
        <x:v>対照47場</x:v>
      </x:c>
      <x:c r="N20" s="30" t="n">
        <x:v>428.1666666666667</x:v>
      </x:c>
      <x:c r="O20" s="30" t="n">
        <x:v>21.2</x:v>
      </x:c>
      <x:c r="P20" s="26" t="n">
        <x:f>O20/IF(C20="デイ",420,780)</x:f>
        <x:v>0.027179487179487177</x:v>
      </x:c>
      <x:c r="Q20" s="27" t="n">
        <x:v>0.1358974358974359</x:v>
      </x:c>
    </x:row>
    <x:row r="21" ht="22" customHeight="1">
      <x:c r="A21" s="2" t="str">
        <x:v>B5</x:v>
      </x:c>
      <x:c r="B21" s="24" t="d">
        <x:v>2026-09-30T08:45:00.000Z</x:v>
      </x:c>
      <x:c r="C21" s="2" t="str">
        <x:v>デイ</x:v>
      </x:c>
      <x:c r="D21" s="20" t="n">
        <x:v>79083</x:v>
      </x:c>
      <x:c r="E21" s="20" t="n">
        <x:v>65836</x:v>
      </x:c>
      <x:c r="F21" s="20" t="n">
        <x:f>D21-E21</x:f>
        <x:v>13247</x:v>
      </x:c>
      <x:c r="G21" s="20" t="n">
        <x:f>SUMIFS($F$7:$F$56,$A$7:$A$56,A21,$B$7:$B$56,"&lt;="&amp;B21)</x:f>
        <x:v>399895</x:v>
      </x:c>
      <x:c r="H21" s="20" t="n">
        <x:v>1253</x:v>
      </x:c>
      <x:c r="I21" s="20" t="n">
        <x:v>14500</x:v>
      </x:c>
      <x:c r="J21" s="29" t="n">
        <x:v>3</x:v>
      </x:c>
      <x:c r="K21" s="29" t="n">
        <x:v>15</x:v>
      </x:c>
      <x:c r="L21" s="29" t="n">
        <x:v>5</x:v>
      </x:c>
      <x:c r="M21" s="31" t="str">
        <x:v>対照47場</x:v>
      </x:c>
      <x:c r="N21" s="30" t="n">
        <x:v>70.08333333333333</x:v>
      </x:c>
      <x:c r="O21" s="30" t="n">
        <x:v>119.16666666666667</x:v>
      </x:c>
      <x:c r="P21" s="26" t="n">
        <x:f>O21/IF(C21="デイ",420,780)</x:f>
        <x:v>0.2837301587301587</x:v>
      </x:c>
      <x:c r="Q21" s="27" t="n">
        <x:v>1.393015873015873</x:v>
      </x:c>
    </x:row>
    <x:row r="22" ht="22" customHeight="1">
      <x:c r="A22" s="2" t="str">
        <x:v>B5</x:v>
      </x:c>
      <x:c r="B22" s="24" t="d">
        <x:v>2026-09-30T17:00:00.000Z</x:v>
      </x:c>
      <x:c r="C22" s="2" t="str">
        <x:v>ナイト</x:v>
      </x:c>
      <x:c r="D22" s="20" t="n">
        <x:v>21664</x:v>
      </x:c>
      <x:c r="E22" s="20" t="n">
        <x:v>15418</x:v>
      </x:c>
      <x:c r="F22" s="20" t="n">
        <x:f>D22-E22</x:f>
        <x:v>6246</x:v>
      </x:c>
      <x:c r="G22" s="20" t="n">
        <x:f>SUMIFS($F$7:$F$56,$A$7:$A$56,A22,$B$7:$B$56,"&lt;="&amp;B22)</x:f>
        <x:v>406141</x:v>
      </x:c>
      <x:c r="H22" s="20" t="n">
        <x:v>1254</x:v>
      </x:c>
      <x:c r="I22" s="20" t="n">
        <x:v>7500</x:v>
      </x:c>
      <x:c r="J22" s="29" t="n">
        <x:v>3</x:v>
      </x:c>
      <x:c r="K22" s="29" t="n">
        <x:v>15</x:v>
      </x:c>
      <x:c r="L22" s="29" t="n">
        <x:v>5</x:v>
      </x:c>
      <x:c r="M22" s="31" t="str">
        <x:v>対照47場</x:v>
      </x:c>
      <x:c r="N22" s="30" t="n">
        <x:v>368.18333333333334</x:v>
      </x:c>
      <x:c r="O22" s="30" t="n">
        <x:v>56.5</x:v>
      </x:c>
      <x:c r="P22" s="26" t="n">
        <x:f>O22/IF(C22="デイ",420,780)</x:f>
        <x:v>0.07243589743589744</x:v>
      </x:c>
      <x:c r="Q22" s="27" t="n">
        <x:v>0.36217948717948717</x:v>
      </x:c>
    </x:row>
    <x:row r="23" ht="22" customHeight="1">
      <x:c r="A23" s="2" t="str">
        <x:v>B5</x:v>
      </x:c>
      <x:c r="B23" s="24" t="d">
        <x:v>2026-10-01T08:45:00.000Z</x:v>
      </x:c>
      <x:c r="C23" s="2" t="str">
        <x:v>デイ</x:v>
      </x:c>
      <x:c r="D23" s="20" t="n">
        <x:v>94084</x:v>
      </x:c>
      <x:c r="E23" s="20" t="n">
        <x:v>0</x:v>
      </x:c>
      <x:c r="F23" s="20" t="n">
        <x:f>D23-E23</x:f>
        <x:v>94084</x:v>
      </x:c>
      <x:c r="G23" s="20" t="n">
        <x:f>SUMIFS($F$7:$F$56,$A$7:$A$56,A23,$B$7:$B$56,"&lt;="&amp;B23)</x:f>
        <x:v>500225</x:v>
      </x:c>
      <x:c r="H23" s="20" t="n">
        <x:v>416</x:v>
      </x:c>
      <x:c r="I23" s="20" t="n">
        <x:v>94500</x:v>
      </x:c>
      <x:c r="J23" s="29" t="n">
        <x:v>1</x:v>
      </x:c>
      <x:c r="K23" s="29" t="n">
        <x:v>5</x:v>
      </x:c>
      <x:c r="L23" s="29" t="n">
        <x:v>5</x:v>
      </x:c>
      <x:c r="M23" s="31" t="str">
        <x:v>対照47場</x:v>
      </x:c>
      <x:c r="N23" s="30" t="n">
        <x:v>87.7</x:v>
      </x:c>
      <x:c r="O23" s="30" t="n">
        <x:v>211.43333333333334</x:v>
      </x:c>
      <x:c r="P23" s="26" t="n">
        <x:f>O23/IF(C23="デイ",420,780)</x:f>
        <x:v>0.5034126984126984</x:v>
      </x:c>
      <x:c r="Q23" s="27" t="n">
        <x:v>1.4172619047619048</x:v>
      </x:c>
    </x:row>
    <x:row r="24" ht="22" customHeight="1">
      <x:c r="A24" s="2" t="str">
        <x:v>B5</x:v>
      </x:c>
      <x:c r="B24" s="24" t="d">
        <x:v>2026-10-01T17:00:00.000Z</x:v>
      </x:c>
      <x:c r="C24" s="2" t="str">
        <x:v>ナイト</x:v>
      </x:c>
      <x:c r="D24" s="20" t="n">
        <x:v>66246</x:v>
      </x:c>
      <x:c r="E24" s="20" t="n">
        <x:v>45836</x:v>
      </x:c>
      <x:c r="F24" s="20" t="n">
        <x:f>D24-E24</x:f>
        <x:v>20410</x:v>
      </x:c>
      <x:c r="G24" s="20" t="n">
        <x:f>SUMIFS($F$7:$F$56,$A$7:$A$56,A24,$B$7:$B$56,"&lt;="&amp;B24)</x:f>
        <x:v>520635</x:v>
      </x:c>
      <x:c r="H24" s="20" t="n">
        <x:v>2090</x:v>
      </x:c>
      <x:c r="I24" s="20" t="n">
        <x:v>22500</x:v>
      </x:c>
      <x:c r="J24" s="29" t="n">
        <x:v>5</x:v>
      </x:c>
      <x:c r="K24" s="29" t="n">
        <x:v>25</x:v>
      </x:c>
      <x:c r="L24" s="29" t="n">
        <x:v>5</x:v>
      </x:c>
      <x:c r="M24" s="31" t="str">
        <x:v>対照47場</x:v>
      </x:c>
      <x:c r="N24" s="30" t="n">
        <x:v>382.01666666666665</x:v>
      </x:c>
      <x:c r="O24" s="30" t="n">
        <x:v>96.8</x:v>
      </x:c>
      <x:c r="P24" s="26" t="n">
        <x:f>O24/IF(C24="デイ",420,780)</x:f>
        <x:v>0.1241025641025641</x:v>
      </x:c>
      <x:c r="Q24" s="27" t="n">
        <x:v>0.6205128205128205</x:v>
      </x:c>
    </x:row>
    <x:row r="25" ht="22" customHeight="1">
      <x:c r="A25" s="2" t="str">
        <x:v>B5</x:v>
      </x:c>
      <x:c r="B25" s="24" t="d">
        <x:v>2026-10-02T08:45:00.000Z</x:v>
      </x:c>
      <x:c r="C25" s="2" t="str">
        <x:v>デイ</x:v>
      </x:c>
      <x:c r="D25" s="20" t="n">
        <x:v>0</x:v>
      </x:c>
      <x:c r="E25" s="20" t="n">
        <x:v>53336</x:v>
      </x:c>
      <x:c r="F25" s="20" t="n">
        <x:f>D25-E25</x:f>
        <x:v>-53336</x:v>
      </x:c>
      <x:c r="G25" s="20" t="n">
        <x:f>SUMIFS($F$7:$F$56,$A$7:$A$56,A25,$B$7:$B$56,"&lt;="&amp;B25)</x:f>
        <x:v>467299</x:v>
      </x:c>
      <x:c r="H25" s="20" t="n">
        <x:v>836</x:v>
      </x:c>
      <x:c r="I25" s="20" t="n">
        <x:v>-52500</x:v>
      </x:c>
      <x:c r="J25" s="29" t="n">
        <x:v>2</x:v>
      </x:c>
      <x:c r="K25" s="29" t="n">
        <x:v>10</x:v>
      </x:c>
      <x:c r="L25" s="29" t="n">
        <x:v>5</x:v>
      </x:c>
      <x:c r="M25" s="31" t="str">
        <x:v>対照47場</x:v>
      </x:c>
      <x:c r="N25" s="30" t="n">
        <x:v>72.7</x:v>
      </x:c>
      <x:c r="O25" s="30" t="n">
        <x:v>175.25</x:v>
      </x:c>
      <x:c r="P25" s="26" t="n">
        <x:f>O25/IF(C25="デイ",420,780)</x:f>
        <x:v>0.4172619047619048</x:v>
      </x:c>
      <x:c r="Q25" s="27" t="n">
        <x:v>2.0863095238095237</x:v>
      </x:c>
    </x:row>
    <x:row r="26" ht="22" customHeight="1">
      <x:c r="A26" s="2" t="str">
        <x:v>B5</x:v>
      </x:c>
      <x:c r="B26" s="24" t="d">
        <x:v>2026-10-02T17:00:00.000Z</x:v>
      </x:c>
      <x:c r="C26" s="2" t="str">
        <x:v>ナイト</x:v>
      </x:c>
      <x:c r="D26" s="20" t="n">
        <x:v>97082</x:v>
      </x:c>
      <x:c r="E26" s="20" t="n">
        <x:v>43336</x:v>
      </x:c>
      <x:c r="F26" s="20" t="n">
        <x:f>D26-E26</x:f>
        <x:v>53746</x:v>
      </x:c>
      <x:c r="G26" s="20" t="n">
        <x:f>SUMIFS($F$7:$F$56,$A$7:$A$56,A26,$B$7:$B$56,"&lt;="&amp;B26)</x:f>
        <x:v>521045</x:v>
      </x:c>
      <x:c r="H26" s="20" t="n">
        <x:v>1254</x:v>
      </x:c>
      <x:c r="I26" s="20" t="n">
        <x:v>55000</x:v>
      </x:c>
      <x:c r="J26" s="29" t="n">
        <x:v>3</x:v>
      </x:c>
      <x:c r="K26" s="29" t="n">
        <x:v>15</x:v>
      </x:c>
      <x:c r="L26" s="29" t="n">
        <x:v>5</x:v>
      </x:c>
      <x:c r="M26" s="31" t="str">
        <x:v>対照47場</x:v>
      </x:c>
      <x:c r="N26" s="30" t="n">
        <x:v>371.03333333333336</x:v>
      </x:c>
      <x:c r="O26" s="30" t="n">
        <x:v>60.8</x:v>
      </x:c>
      <x:c r="P26" s="26" t="n">
        <x:f>O26/IF(C26="デイ",420,780)</x:f>
        <x:v>0.07794871794871794</x:v>
      </x:c>
      <x:c r="Q26" s="27" t="n">
        <x:v>0.38974358974358975</x:v>
      </x:c>
    </x:row>
    <x:row r="27" ht="22" customHeight="1">
      <x:c r="A27" s="2" t="str">
        <x:v>B5</x:v>
      </x:c>
      <x:c r="B27" s="24" t="d">
        <x:v>2026-10-05T08:45:00.000Z</x:v>
      </x:c>
      <x:c r="C27" s="2" t="str">
        <x:v>デイ</x:v>
      </x:c>
      <x:c r="D27" s="20" t="n">
        <x:v>25583</x:v>
      </x:c>
      <x:c r="E27" s="20" t="n">
        <x:v>81672</x:v>
      </x:c>
      <x:c r="F27" s="20" t="n">
        <x:f>D27-E27</x:f>
        <x:v>-56089</x:v>
      </x:c>
      <x:c r="G27" s="20" t="n">
        <x:f>SUMIFS($F$7:$F$56,$A$7:$A$56,A27,$B$7:$B$56,"&lt;="&amp;B27)</x:f>
        <x:v>464956</x:v>
      </x:c>
      <x:c r="H27" s="20" t="n">
        <x:v>2089</x:v>
      </x:c>
      <x:c r="I27" s="20" t="n">
        <x:v>-54000</x:v>
      </x:c>
      <x:c r="J27" s="29" t="n">
        <x:v>5</x:v>
      </x:c>
      <x:c r="K27" s="29" t="n">
        <x:v>25</x:v>
      </x:c>
      <x:c r="L27" s="29" t="n">
        <x:v>5</x:v>
      </x:c>
      <x:c r="M27" s="31" t="str">
        <x:v>対照47場</x:v>
      </x:c>
      <x:c r="N27" s="30" t="n">
        <x:v>106</x:v>
      </x:c>
      <x:c r="O27" s="30" t="n">
        <x:v>81.85</x:v>
      </x:c>
      <x:c r="P27" s="26" t="n">
        <x:f>O27/IF(C27="デイ",420,780)</x:f>
        <x:v>0.19488095238095238</x:v>
      </x:c>
      <x:c r="Q27" s="27" t="n">
        <x:v>0.9279761904761905</x:v>
      </x:c>
    </x:row>
    <x:row r="28" ht="22" customHeight="1">
      <x:c r="A28" s="2" t="str">
        <x:v>B5</x:v>
      </x:c>
      <x:c r="B28" s="24" t="d">
        <x:v>2026-10-05T17:00:00.000Z</x:v>
      </x:c>
      <x:c r="C28" s="2" t="str">
        <x:v>ナイト</x:v>
      </x:c>
      <x:c r="D28" s="20" t="n">
        <x:v>0</x:v>
      </x:c>
      <x:c r="E28" s="20" t="n">
        <x:v>53754</x:v>
      </x:c>
      <x:c r="F28" s="20" t="n">
        <x:f>D28-E28</x:f>
        <x:v>-53754</x:v>
      </x:c>
      <x:c r="G28" s="20" t="n">
        <x:f>SUMIFS($F$7:$F$56,$A$7:$A$56,A28,$B$7:$B$56,"&lt;="&amp;B28)</x:f>
        <x:v>411202</x:v>
      </x:c>
      <x:c r="H28" s="20" t="n">
        <x:v>1254</x:v>
      </x:c>
      <x:c r="I28" s="20" t="n">
        <x:v>-52500</x:v>
      </x:c>
      <x:c r="J28" s="29" t="n">
        <x:v>3</x:v>
      </x:c>
      <x:c r="K28" s="29" t="n">
        <x:v>15</x:v>
      </x:c>
      <x:c r="L28" s="29" t="n">
        <x:v>5</x:v>
      </x:c>
      <x:c r="M28" s="31" t="str">
        <x:v>対照47場</x:v>
      </x:c>
      <x:c r="N28" s="30" t="n">
        <x:v>371.4</x:v>
      </x:c>
      <x:c r="O28" s="30" t="n">
        <x:v>76.26666666666667</x:v>
      </x:c>
      <x:c r="P28" s="26" t="n">
        <x:f>O28/IF(C28="デイ",420,780)</x:f>
        <x:v>0.09777777777777778</x:v>
      </x:c>
      <x:c r="Q28" s="27" t="n">
        <x:v>0.4888888888888889</x:v>
      </x:c>
    </x:row>
    <x:row r="29" ht="22" customHeight="1">
      <x:c r="A29" s="2" t="str">
        <x:v>B5</x:v>
      </x:c>
      <x:c r="B29" s="24" t="d">
        <x:v>2026-10-06T08:45:00.000Z</x:v>
      </x:c>
      <x:c r="C29" s="2" t="str">
        <x:v>デイ</x:v>
      </x:c>
      <x:c r="D29" s="20" t="n">
        <x:v>0</x:v>
      </x:c>
      <x:c r="E29" s="20" t="n">
        <x:v>12918</x:v>
      </x:c>
      <x:c r="F29" s="20" t="n">
        <x:f>D29-E29</x:f>
        <x:v>-12918</x:v>
      </x:c>
      <x:c r="G29" s="20" t="n">
        <x:f>SUMIFS($F$7:$F$56,$A$7:$A$56,A29,$B$7:$B$56,"&lt;="&amp;B29)</x:f>
        <x:v>398284</x:v>
      </x:c>
      <x:c r="H29" s="20" t="n">
        <x:v>418</x:v>
      </x:c>
      <x:c r="I29" s="20" t="n">
        <x:v>-12500</x:v>
      </x:c>
      <x:c r="J29" s="29" t="n">
        <x:v>1</x:v>
      </x:c>
      <x:c r="K29" s="29" t="n">
        <x:v>5</x:v>
      </x:c>
      <x:c r="L29" s="29" t="n">
        <x:v>5</x:v>
      </x:c>
      <x:c r="M29" s="31" t="str">
        <x:v>対照47場</x:v>
      </x:c>
      <x:c r="N29" s="30" t="n">
        <x:v>81.3</x:v>
      </x:c>
      <x:c r="O29" s="30" t="n">
        <x:v>15.183333333333334</x:v>
      </x:c>
      <x:c r="P29" s="26" t="n">
        <x:f>O29/IF(C29="デイ",420,780)</x:f>
        <x:v>0.03615079365079365</x:v>
      </x:c>
      <x:c r="Q29" s="27" t="n">
        <x:v>0.18075396825396825</x:v>
      </x:c>
    </x:row>
    <x:row r="30" ht="22" customHeight="1">
      <x:c r="A30" s="2" t="str">
        <x:v>B5</x:v>
      </x:c>
      <x:c r="B30" s="24" t="d">
        <x:v>2026-10-06T17:00:00.000Z</x:v>
      </x:c>
      <x:c r="C30" s="2" t="str">
        <x:v>ナイト</x:v>
      </x:c>
      <x:c r="D30" s="20" t="n">
        <x:v>0</x:v>
      </x:c>
      <x:c r="E30" s="20" t="n">
        <x:v>40836</x:v>
      </x:c>
      <x:c r="F30" s="20" t="n">
        <x:f>D30-E30</x:f>
        <x:v>-40836</x:v>
      </x:c>
      <x:c r="G30" s="20" t="n">
        <x:f>SUMIFS($F$7:$F$56,$A$7:$A$56,A30,$B$7:$B$56,"&lt;="&amp;B30)</x:f>
        <x:v>357448</x:v>
      </x:c>
      <x:c r="H30" s="20" t="n">
        <x:v>836</x:v>
      </x:c>
      <x:c r="I30" s="20" t="n">
        <x:v>-40000</x:v>
      </x:c>
      <x:c r="J30" s="29" t="n">
        <x:v>2</x:v>
      </x:c>
      <x:c r="K30" s="29" t="n">
        <x:v>10</x:v>
      </x:c>
      <x:c r="L30" s="29" t="n">
        <x:v>5</x:v>
      </x:c>
      <x:c r="M30" s="31" t="str">
        <x:v>対照47場</x:v>
      </x:c>
      <x:c r="N30" s="30" t="n">
        <x:v>367.5</x:v>
      </x:c>
      <x:c r="O30" s="30" t="n">
        <x:v>23.283333333333335</x:v>
      </x:c>
      <x:c r="P30" s="26" t="n">
        <x:f>O30/IF(C30="デイ",420,780)</x:f>
        <x:v>0.029850427350427353</x:v>
      </x:c>
      <x:c r="Q30" s="27" t="n">
        <x:v>0.14925213675213675</x:v>
      </x:c>
    </x:row>
    <x:row r="31" ht="22" customHeight="1">
      <x:c r="A31" s="2" t="str">
        <x:v>B5</x:v>
      </x:c>
      <x:c r="B31" s="24" t="d">
        <x:v>2026-10-07T08:45:00.000Z</x:v>
      </x:c>
      <x:c r="C31" s="2" t="str">
        <x:v>デイ</x:v>
      </x:c>
      <x:c r="D31" s="20" t="n">
        <x:v>70083</x:v>
      </x:c>
      <x:c r="E31" s="20" t="n">
        <x:v>0</x:v>
      </x:c>
      <x:c r="F31" s="20" t="n">
        <x:f>D31-E31</x:f>
        <x:v>70083</x:v>
      </x:c>
      <x:c r="G31" s="20" t="n">
        <x:f>SUMIFS($F$7:$F$56,$A$7:$A$56,A31,$B$7:$B$56,"&lt;="&amp;B31)</x:f>
        <x:v>427531</x:v>
      </x:c>
      <x:c r="H31" s="20" t="n">
        <x:v>417</x:v>
      </x:c>
      <x:c r="I31" s="20" t="n">
        <x:v>70500</x:v>
      </x:c>
      <x:c r="J31" s="29" t="n">
        <x:v>1</x:v>
      </x:c>
      <x:c r="K31" s="29" t="n">
        <x:v>5</x:v>
      </x:c>
      <x:c r="L31" s="29" t="n">
        <x:v>5</x:v>
      </x:c>
      <x:c r="M31" s="31" t="str">
        <x:v>対照47場</x:v>
      </x:c>
      <x:c r="N31" s="30" t="n">
        <x:v>70.5</x:v>
      </x:c>
      <x:c r="O31" s="30" t="n">
        <x:v>77.45</x:v>
      </x:c>
      <x:c r="P31" s="26" t="n">
        <x:f>O31/IF(C31="デイ",420,780)</x:f>
        <x:v>0.1844047619047619</x:v>
      </x:c>
      <x:c r="Q31" s="27" t="n">
        <x:v>0.8486111111111111</x:v>
      </x:c>
    </x:row>
    <x:row r="32" ht="22" customHeight="1">
      <x:c r="A32" s="2" t="str">
        <x:v>B5</x:v>
      </x:c>
      <x:c r="B32" s="24" t="d">
        <x:v>2026-10-07T17:00:00.000Z</x:v>
      </x:c>
      <x:c r="C32" s="2" t="str">
        <x:v>ナイト</x:v>
      </x:c>
      <x:c r="D32" s="20" t="n">
        <x:v>9582</x:v>
      </x:c>
      <x:c r="E32" s="20" t="n">
        <x:v>0</x:v>
      </x:c>
      <x:c r="F32" s="20" t="n">
        <x:f>D32-E32</x:f>
        <x:v>9582</x:v>
      </x:c>
      <x:c r="G32" s="20" t="n">
        <x:f>SUMIFS($F$7:$F$56,$A$7:$A$56,A32,$B$7:$B$56,"&lt;="&amp;B32)</x:f>
        <x:v>437113</x:v>
      </x:c>
      <x:c r="H32" s="20" t="n">
        <x:v>418</x:v>
      </x:c>
      <x:c r="I32" s="20" t="n">
        <x:v>10000</x:v>
      </x:c>
      <x:c r="J32" s="29" t="n">
        <x:v>1</x:v>
      </x:c>
      <x:c r="K32" s="29" t="n">
        <x:v>5</x:v>
      </x:c>
      <x:c r="L32" s="29" t="n">
        <x:v>5</x:v>
      </x:c>
      <x:c r="M32" s="31" t="str">
        <x:v>対照47場</x:v>
      </x:c>
      <x:c r="N32" s="30" t="n">
        <x:v>392.71666666666664</x:v>
      </x:c>
      <x:c r="O32" s="30" t="n">
        <x:v>27.966666666666665</x:v>
      </x:c>
      <x:c r="P32" s="26" t="n">
        <x:f>O32/IF(C32="デイ",420,780)</x:f>
        <x:v>0.035854700854700855</x:v>
      </x:c>
      <x:c r="Q32" s="27" t="n">
        <x:v>0.17927350427350427</x:v>
      </x:c>
    </x:row>
    <x:row r="33" ht="22" customHeight="1">
      <x:c r="A33" s="2" t="str">
        <x:v>B5</x:v>
      </x:c>
      <x:c r="B33" s="24" t="d">
        <x:v>2026-10-08T08:45:00.000Z</x:v>
      </x:c>
      <x:c r="C33" s="2" t="str">
        <x:v>デイ</x:v>
      </x:c>
      <x:c r="D33" s="20" t="n">
        <x:v>84167</x:v>
      </x:c>
      <x:c r="E33" s="20" t="n">
        <x:v>43336</x:v>
      </x:c>
      <x:c r="F33" s="20" t="n">
        <x:f>D33-E33</x:f>
        <x:v>40831</x:v>
      </x:c>
      <x:c r="G33" s="20" t="n">
        <x:f>SUMIFS($F$7:$F$56,$A$7:$A$56,A33,$B$7:$B$56,"&lt;="&amp;B33)</x:f>
        <x:v>477944</x:v>
      </x:c>
      <x:c r="H33" s="20" t="n">
        <x:v>1669</x:v>
      </x:c>
      <x:c r="I33" s="20" t="n">
        <x:v>42500</x:v>
      </x:c>
      <x:c r="J33" s="29" t="n">
        <x:v>4</x:v>
      </x:c>
      <x:c r="K33" s="29" t="n">
        <x:v>20</x:v>
      </x:c>
      <x:c r="L33" s="29" t="n">
        <x:v>5</x:v>
      </x:c>
      <x:c r="M33" s="31" t="str">
        <x:v>対照47場</x:v>
      </x:c>
      <x:c r="N33" s="30" t="n">
        <x:v>70.2</x:v>
      </x:c>
      <x:c r="O33" s="30" t="n">
        <x:v>169.25</x:v>
      </x:c>
      <x:c r="P33" s="26" t="n">
        <x:f>O33/IF(C33="デイ",420,780)</x:f>
        <x:v>0.4029761904761905</x:v>
      </x:c>
      <x:c r="Q33" s="27" t="n">
        <x:v>1.7932936507936508</x:v>
      </x:c>
    </x:row>
    <x:row r="34" ht="22" customHeight="1">
      <x:c r="A34" s="2" t="str">
        <x:v>B5</x:v>
      </x:c>
      <x:c r="B34" s="24" t="d">
        <x:v>2026-10-08T17:00:00.000Z</x:v>
      </x:c>
      <x:c r="C34" s="2" t="str">
        <x:v>ナイト</x:v>
      </x:c>
      <x:c r="D34" s="20" t="n">
        <x:v>59164</x:v>
      </x:c>
      <x:c r="E34" s="20" t="n">
        <x:v>17918</x:v>
      </x:c>
      <x:c r="F34" s="20" t="n">
        <x:f>D34-E34</x:f>
        <x:v>41246</x:v>
      </x:c>
      <x:c r="G34" s="20" t="n">
        <x:f>SUMIFS($F$7:$F$56,$A$7:$A$56,A34,$B$7:$B$56,"&lt;="&amp;B34)</x:f>
        <x:v>519190</x:v>
      </x:c>
      <x:c r="H34" s="20" t="n">
        <x:v>1254</x:v>
      </x:c>
      <x:c r="I34" s="20" t="n">
        <x:v>42500</x:v>
      </x:c>
      <x:c r="J34" s="29" t="n">
        <x:v>3</x:v>
      </x:c>
      <x:c r="K34" s="29" t="n">
        <x:v>15</x:v>
      </x:c>
      <x:c r="L34" s="29" t="n">
        <x:v>5</x:v>
      </x:c>
      <x:c r="M34" s="31" t="str">
        <x:v>対照47場</x:v>
      </x:c>
      <x:c r="N34" s="30" t="n">
        <x:v>413.2</x:v>
      </x:c>
      <x:c r="O34" s="30" t="n">
        <x:v>72.38333333333334</x:v>
      </x:c>
      <x:c r="P34" s="26" t="n">
        <x:f>O34/IF(C34="デイ",420,780)</x:f>
        <x:v>0.0927991452991453</x:v>
      </x:c>
      <x:c r="Q34" s="27" t="n">
        <x:v>0.4639957264957265</x:v>
      </x:c>
    </x:row>
    <x:row r="35" ht="22" customHeight="1">
      <x:c r="A35" s="2" t="str">
        <x:v>B5</x:v>
      </x:c>
      <x:c r="B35" s="24" t="d">
        <x:v>2026-10-09T08:45:00.000Z</x:v>
      </x:c>
      <x:c r="C35" s="2" t="str">
        <x:v>デイ</x:v>
      </x:c>
      <x:c r="D35" s="20" t="n">
        <x:v>69084</x:v>
      </x:c>
      <x:c r="E35" s="20" t="n">
        <x:v>30418</x:v>
      </x:c>
      <x:c r="F35" s="20" t="n">
        <x:f>D35-E35</x:f>
        <x:v>38666</x:v>
      </x:c>
      <x:c r="G35" s="20" t="n">
        <x:f>SUMIFS($F$7:$F$56,$A$7:$A$56,A35,$B$7:$B$56,"&lt;="&amp;B35)</x:f>
        <x:v>557856</x:v>
      </x:c>
      <x:c r="H35" s="20" t="n">
        <x:v>834</x:v>
      </x:c>
      <x:c r="I35" s="20" t="n">
        <x:v>39500</x:v>
      </x:c>
      <x:c r="J35" s="29" t="n">
        <x:v>2</x:v>
      </x:c>
      <x:c r="K35" s="29" t="n">
        <x:v>10</x:v>
      </x:c>
      <x:c r="L35" s="29" t="n">
        <x:v>5</x:v>
      </x:c>
      <x:c r="M35" s="31" t="str">
        <x:v>対照47場</x:v>
      </x:c>
      <x:c r="N35" s="30" t="n">
        <x:v>85.61666666666666</x:v>
      </x:c>
      <x:c r="O35" s="30" t="n">
        <x:v>292.01666666666665</x:v>
      </x:c>
      <x:c r="P35" s="26" t="n">
        <x:f>O35/IF(C35="デイ",420,780)</x:f>
        <x:v>0.6952777777777778</x:v>
      </x:c>
      <x:c r="Q35" s="27" t="n">
        <x:v>1.9541269841269842</x:v>
      </x:c>
    </x:row>
    <x:row r="36" ht="22" customHeight="1">
      <x:c r="A36" s="2" t="str">
        <x:v>B5</x:v>
      </x:c>
      <x:c r="B36" s="24" t="d">
        <x:v>2026-10-09T17:00:00.000Z</x:v>
      </x:c>
      <x:c r="C36" s="2" t="str">
        <x:v>ナイト</x:v>
      </x:c>
      <x:c r="D36" s="20" t="n">
        <x:v>14582</x:v>
      </x:c>
      <x:c r="E36" s="20" t="n">
        <x:v>0</x:v>
      </x:c>
      <x:c r="F36" s="20" t="n">
        <x:f>D36-E36</x:f>
        <x:v>14582</x:v>
      </x:c>
      <x:c r="G36" s="20" t="n">
        <x:f>SUMIFS($F$7:$F$56,$A$7:$A$56,A36,$B$7:$B$56,"&lt;="&amp;B36)</x:f>
        <x:v>572438</x:v>
      </x:c>
      <x:c r="H36" s="20" t="n">
        <x:v>418</x:v>
      </x:c>
      <x:c r="I36" s="20" t="n">
        <x:v>15000</x:v>
      </x:c>
      <x:c r="J36" s="29" t="n">
        <x:v>1</x:v>
      </x:c>
      <x:c r="K36" s="29" t="n">
        <x:v>5</x:v>
      </x:c>
      <x:c r="L36" s="29" t="n">
        <x:v>5</x:v>
      </x:c>
      <x:c r="M36" s="31" t="str">
        <x:v>対照47場</x:v>
      </x:c>
      <x:c r="N36" s="30" t="n">
        <x:v>450</x:v>
      </x:c>
      <x:c r="O36" s="30" t="n">
        <x:v>52.56666666666667</x:v>
      </x:c>
      <x:c r="P36" s="26" t="n">
        <x:f>O36/IF(C36="デイ",420,780)</x:f>
        <x:v>0.0673931623931624</x:v>
      </x:c>
      <x:c r="Q36" s="27" t="n">
        <x:v>0.336965811965812</x:v>
      </x:c>
    </x:row>
    <x:row r="37" ht="22" customHeight="1">
      <x:c r="A37" s="2" t="str">
        <x:v>B5</x:v>
      </x:c>
      <x:c r="B37" s="24" t="d">
        <x:v>2026-10-12T08:45:00.000Z</x:v>
      </x:c>
      <x:c r="C37" s="2" t="str">
        <x:v>デイ</x:v>
      </x:c>
      <x:c r="D37" s="20" t="n">
        <x:v>19582</x:v>
      </x:c>
      <x:c r="E37" s="20" t="n">
        <x:v>0</x:v>
      </x:c>
      <x:c r="F37" s="20" t="n">
        <x:f>D37-E37</x:f>
        <x:v>19582</x:v>
      </x:c>
      <x:c r="G37" s="20" t="n">
        <x:f>SUMIFS($F$7:$F$56,$A$7:$A$56,A37,$B$7:$B$56,"&lt;="&amp;B37)</x:f>
        <x:v>592020</x:v>
      </x:c>
      <x:c r="H37" s="20" t="n">
        <x:v>418</x:v>
      </x:c>
      <x:c r="I37" s="20" t="n">
        <x:v>20000</x:v>
      </x:c>
      <x:c r="J37" s="29" t="n">
        <x:v>1</x:v>
      </x:c>
      <x:c r="K37" s="29" t="n">
        <x:v>5</x:v>
      </x:c>
      <x:c r="L37" s="29" t="n">
        <x:v>5</x:v>
      </x:c>
      <x:c r="M37" s="31" t="str">
        <x:v>対照47場</x:v>
      </x:c>
      <x:c r="N37" s="30" t="n">
        <x:v>256</x:v>
      </x:c>
      <x:c r="O37" s="30" t="n">
        <x:v>107</x:v>
      </x:c>
      <x:c r="P37" s="26" t="n">
        <x:f>O37/IF(C37="デイ",420,780)</x:f>
        <x:v>0.25476190476190474</x:v>
      </x:c>
      <x:c r="Q37" s="27" t="n">
        <x:v>1.2738095238095237</x:v>
      </x:c>
    </x:row>
    <x:row r="38" ht="22" customHeight="1">
      <x:c r="A38" s="2" t="str">
        <x:v>B5</x:v>
      </x:c>
      <x:c r="B38" s="24" t="d">
        <x:v>2026-10-12T17:00:00.000Z</x:v>
      </x:c>
      <x:c r="C38" s="2" t="str">
        <x:v>ナイト</x:v>
      </x:c>
      <x:c r="D38" s="20" t="n">
        <x:v>2082</x:v>
      </x:c>
      <x:c r="E38" s="20" t="n">
        <x:v>0</x:v>
      </x:c>
      <x:c r="F38" s="20" t="n">
        <x:f>D38-E38</x:f>
        <x:v>2082</x:v>
      </x:c>
      <x:c r="G38" s="20" t="n">
        <x:f>SUMIFS($F$7:$F$56,$A$7:$A$56,A38,$B$7:$B$56,"&lt;="&amp;B38)</x:f>
        <x:v>594102</x:v>
      </x:c>
      <x:c r="H38" s="20" t="n">
        <x:v>418</x:v>
      </x:c>
      <x:c r="I38" s="20" t="n">
        <x:v>2500</x:v>
      </x:c>
      <x:c r="J38" s="29" t="n">
        <x:v>1</x:v>
      </x:c>
      <x:c r="K38" s="29" t="n">
        <x:v>5</x:v>
      </x:c>
      <x:c r="L38" s="29" t="n">
        <x:v>5</x:v>
      </x:c>
      <x:c r="M38" s="31" t="str">
        <x:v>対照47場</x:v>
      </x:c>
      <x:c r="N38" s="30" t="n">
        <x:v>369.23333333333335</x:v>
      </x:c>
      <x:c r="O38" s="30" t="n">
        <x:v>4.55</x:v>
      </x:c>
      <x:c r="P38" s="26" t="n">
        <x:f>O38/IF(C38="デイ",420,780)</x:f>
        <x:v>0.005833333333333333</x:v>
      </x:c>
      <x:c r="Q38" s="27" t="n">
        <x:v>0.029166666666666667</x:v>
      </x:c>
    </x:row>
    <x:row r="39" ht="22" customHeight="1">
      <x:c r="A39" s="2" t="str">
        <x:v>B5</x:v>
      </x:c>
      <x:c r="B39" s="24" t="d">
        <x:v>2026-10-13T08:45:00.000Z</x:v>
      </x:c>
      <x:c r="C39" s="2" t="str">
        <x:v>デイ</x:v>
      </x:c>
      <x:c r="D39" s="20" t="n">
        <x:v>43084</x:v>
      </x:c>
      <x:c r="E39" s="20" t="n">
        <x:v>42918</x:v>
      </x:c>
      <x:c r="F39" s="20" t="n">
        <x:f>D39-E39</x:f>
        <x:v>166</x:v>
      </x:c>
      <x:c r="G39" s="20" t="n">
        <x:f>SUMIFS($F$7:$F$56,$A$7:$A$56,A39,$B$7:$B$56,"&lt;="&amp;B39)</x:f>
        <x:v>594268</x:v>
      </x:c>
      <x:c r="H39" s="20" t="n">
        <x:v>834</x:v>
      </x:c>
      <x:c r="I39" s="20" t="n">
        <x:v>1000</x:v>
      </x:c>
      <x:c r="J39" s="29" t="n">
        <x:v>2</x:v>
      </x:c>
      <x:c r="K39" s="29" t="n">
        <x:v>10</x:v>
      </x:c>
      <x:c r="L39" s="29" t="n">
        <x:v>5</x:v>
      </x:c>
      <x:c r="M39" s="31" t="str">
        <x:v>対照47場</x:v>
      </x:c>
      <x:c r="N39" s="30" t="n">
        <x:v>66.41666666666667</x:v>
      </x:c>
      <x:c r="O39" s="30" t="n">
        <x:v>307.93333333333334</x:v>
      </x:c>
      <x:c r="P39" s="26" t="n">
        <x:f>O39/IF(C39="デイ",420,780)</x:f>
        <x:v>0.7331746031746031</x:v>
      </x:c>
      <x:c r="Q39" s="27" t="n">
        <x:v>3.1273809523809524</x:v>
      </x:c>
    </x:row>
    <x:row r="40" ht="22" customHeight="1">
      <x:c r="A40" s="2" t="str">
        <x:v>B5</x:v>
      </x:c>
      <x:c r="B40" s="24" t="d">
        <x:v>2026-10-13T17:00:00.000Z</x:v>
      </x:c>
      <x:c r="C40" s="2" t="str">
        <x:v>ナイト</x:v>
      </x:c>
      <x:c r="D40" s="20" t="n">
        <x:v>4582</x:v>
      </x:c>
      <x:c r="E40" s="20" t="n">
        <x:v>0</x:v>
      </x:c>
      <x:c r="F40" s="20" t="n">
        <x:f>D40-E40</x:f>
        <x:v>4582</x:v>
      </x:c>
      <x:c r="G40" s="20" t="n">
        <x:f>SUMIFS($F$7:$F$56,$A$7:$A$56,A40,$B$7:$B$56,"&lt;="&amp;B40)</x:f>
        <x:v>598850</x:v>
      </x:c>
      <x:c r="H40" s="20" t="n">
        <x:v>418</x:v>
      </x:c>
      <x:c r="I40" s="20" t="n">
        <x:v>5000</x:v>
      </x:c>
      <x:c r="J40" s="29" t="n">
        <x:v>1</x:v>
      </x:c>
      <x:c r="K40" s="29" t="n">
        <x:v>5</x:v>
      </x:c>
      <x:c r="L40" s="29" t="n">
        <x:v>5</x:v>
      </x:c>
      <x:c r="M40" s="31" t="str">
        <x:v>対照47場</x:v>
      </x:c>
      <x:c r="N40" s="30" t="n">
        <x:v>362.95</x:v>
      </x:c>
      <x:c r="O40" s="30" t="n">
        <x:v>60.78333333333333</x:v>
      </x:c>
      <x:c r="P40" s="26" t="n">
        <x:f>O40/IF(C40="デイ",420,780)</x:f>
        <x:v>0.07792735042735043</x:v>
      </x:c>
      <x:c r="Q40" s="27" t="n">
        <x:v>0.38963675213675214</x:v>
      </x:c>
    </x:row>
    <x:row r="41" ht="22" customHeight="1">
      <x:c r="A41" s="2" t="str">
        <x:v>B5</x:v>
      </x:c>
      <x:c r="B41" s="24" t="d">
        <x:v>2026-10-14T08:45:00.000Z</x:v>
      </x:c>
      <x:c r="C41" s="2" t="str">
        <x:v>デイ</x:v>
      </x:c>
      <x:c r="D41" s="20" t="n">
        <x:v>1083</x:v>
      </x:c>
      <x:c r="E41" s="20" t="n">
        <x:v>20335</x:v>
      </x:c>
      <x:c r="F41" s="20" t="n">
        <x:f>D41-E41</x:f>
        <x:v>-19252</x:v>
      </x:c>
      <x:c r="G41" s="20" t="n">
        <x:f>SUMIFS($F$7:$F$56,$A$7:$A$56,A41,$B$7:$B$56,"&lt;="&amp;B41)</x:f>
        <x:v>579598</x:v>
      </x:c>
      <x:c r="H41" s="20" t="n">
        <x:v>1252</x:v>
      </x:c>
      <x:c r="I41" s="20" t="n">
        <x:v>-18000</x:v>
      </x:c>
      <x:c r="J41" s="29" t="n">
        <x:v>3</x:v>
      </x:c>
      <x:c r="K41" s="29" t="n">
        <x:v>15</x:v>
      </x:c>
      <x:c r="L41" s="29" t="n">
        <x:v>5</x:v>
      </x:c>
      <x:c r="M41" s="31" t="str">
        <x:v>対照47場</x:v>
      </x:c>
      <x:c r="N41" s="30" t="n">
        <x:v>132.93333333333334</x:v>
      </x:c>
      <x:c r="O41" s="30" t="n">
        <x:v>260.25</x:v>
      </x:c>
      <x:c r="P41" s="26" t="n">
        <x:f>O41/IF(C41="デイ",420,780)</x:f>
        <x:v>0.6196428571428572</x:v>
      </x:c>
      <x:c r="Q41" s="27" t="n">
        <x:v>2.2172619047619047</x:v>
      </x:c>
    </x:row>
    <x:row r="42" ht="22" customHeight="1">
      <x:c r="A42" s="2" t="str">
        <x:v>B5</x:v>
      </x:c>
      <x:c r="B42" s="24" t="d">
        <x:v>2026-10-14T17:00:00.000Z</x:v>
      </x:c>
      <x:c r="C42" s="2" t="str">
        <x:v>ナイト</x:v>
      </x:c>
      <x:c r="D42" s="20" t="n">
        <x:v>64164</x:v>
      </x:c>
      <x:c r="E42" s="20" t="n">
        <x:v>63754</x:v>
      </x:c>
      <x:c r="F42" s="20" t="n">
        <x:f>D42-E42</x:f>
        <x:v>410</x:v>
      </x:c>
      <x:c r="G42" s="20" t="n">
        <x:f>SUMIFS($F$7:$F$56,$A$7:$A$56,A42,$B$7:$B$56,"&lt;="&amp;B42)</x:f>
        <x:v>580008</x:v>
      </x:c>
      <x:c r="H42" s="20" t="n">
        <x:v>2090</x:v>
      </x:c>
      <x:c r="I42" s="20" t="n">
        <x:v>2500</x:v>
      </x:c>
      <x:c r="J42" s="29" t="n">
        <x:v>5</x:v>
      </x:c>
      <x:c r="K42" s="29" t="n">
        <x:v>25</x:v>
      </x:c>
      <x:c r="L42" s="29" t="n">
        <x:v>5</x:v>
      </x:c>
      <x:c r="M42" s="31" t="str">
        <x:v>対照47場</x:v>
      </x:c>
      <x:c r="N42" s="30" t="n">
        <x:v>360.01666666666665</x:v>
      </x:c>
      <x:c r="O42" s="30" t="n">
        <x:v>152.31666666666666</x:v>
      </x:c>
      <x:c r="P42" s="26" t="n">
        <x:f>O42/IF(C42="デイ",420,780)</x:f>
        <x:v>0.19527777777777777</x:v>
      </x:c>
      <x:c r="Q42" s="27" t="n">
        <x:v>0.9763888888888889</x:v>
      </x:c>
    </x:row>
    <x:row r="43" ht="22" customHeight="1">
      <x:c r="A43" s="2" t="str">
        <x:v>B5</x:v>
      </x:c>
      <x:c r="B43" s="24" t="d">
        <x:v>2026-10-15T08:45:00.000Z</x:v>
      </x:c>
      <x:c r="C43" s="2" t="str">
        <x:v>デイ</x:v>
      </x:c>
      <x:c r="D43" s="20" t="n">
        <x:v>132083</x:v>
      </x:c>
      <x:c r="E43" s="20" t="n">
        <x:v>43336</x:v>
      </x:c>
      <x:c r="F43" s="20" t="n">
        <x:f>D43-E43</x:f>
        <x:v>88747</x:v>
      </x:c>
      <x:c r="G43" s="20" t="n">
        <x:f>SUMIFS($F$7:$F$56,$A$7:$A$56,A43,$B$7:$B$56,"&lt;="&amp;B43)</x:f>
        <x:v>668755</x:v>
      </x:c>
      <x:c r="H43" s="20" t="n">
        <x:v>1253</x:v>
      </x:c>
      <x:c r="I43" s="20" t="n">
        <x:v>90000</x:v>
      </x:c>
      <x:c r="J43" s="29" t="n">
        <x:v>3</x:v>
      </x:c>
      <x:c r="K43" s="29" t="n">
        <x:v>15</x:v>
      </x:c>
      <x:c r="L43" s="29" t="n">
        <x:v>5</x:v>
      </x:c>
      <x:c r="M43" s="31" t="str">
        <x:v>対照47場</x:v>
      </x:c>
      <x:c r="N43" s="30" t="n">
        <x:v>67.7</x:v>
      </x:c>
      <x:c r="O43" s="30" t="n">
        <x:v>210.13333333333333</x:v>
      </x:c>
      <x:c r="P43" s="26" t="n">
        <x:f>O43/IF(C43="デイ",420,780)</x:f>
        <x:v>0.5003174603174603</x:v>
      </x:c>
      <x:c r="Q43" s="27" t="n">
        <x:v>1.8596031746031747</x:v>
      </x:c>
    </x:row>
    <x:row r="44" ht="22" customHeight="1">
      <x:c r="A44" s="2" t="str">
        <x:v>B5</x:v>
      </x:c>
      <x:c r="B44" s="24" t="d">
        <x:v>2026-10-15T17:00:00.000Z</x:v>
      </x:c>
      <x:c r="C44" s="2" t="str">
        <x:v>ナイト</x:v>
      </x:c>
      <x:c r="D44" s="20" t="n">
        <x:v>61664</x:v>
      </x:c>
      <x:c r="E44" s="20" t="n">
        <x:v>33754</x:v>
      </x:c>
      <x:c r="F44" s="20" t="n">
        <x:f>D44-E44</x:f>
        <x:v>27910</x:v>
      </x:c>
      <x:c r="G44" s="20" t="n">
        <x:f>SUMIFS($F$7:$F$56,$A$7:$A$56,A44,$B$7:$B$56,"&lt;="&amp;B44)</x:f>
        <x:v>696665</x:v>
      </x:c>
      <x:c r="H44" s="20" t="n">
        <x:v>2090</x:v>
      </x:c>
      <x:c r="I44" s="20" t="n">
        <x:v>30000</x:v>
      </x:c>
      <x:c r="J44" s="29" t="n">
        <x:v>5</x:v>
      </x:c>
      <x:c r="K44" s="29" t="n">
        <x:v>25</x:v>
      </x:c>
      <x:c r="L44" s="29" t="n">
        <x:v>5</x:v>
      </x:c>
      <x:c r="M44" s="31" t="str">
        <x:v>対照47場</x:v>
      </x:c>
      <x:c r="N44" s="30" t="n">
        <x:v>400.05</x:v>
      </x:c>
      <x:c r="O44" s="30" t="n">
        <x:v>80.65</x:v>
      </x:c>
      <x:c r="P44" s="26" t="n">
        <x:f>O44/IF(C44="デイ",420,780)</x:f>
        <x:v>0.1033974358974359</x:v>
      </x:c>
      <x:c r="Q44" s="27" t="n">
        <x:v>0.5169871794871795</x:v>
      </x:c>
    </x:row>
    <x:row r="45" ht="22" customHeight="1">
      <x:c r="A45" s="2" t="str">
        <x:v>B5</x:v>
      </x:c>
      <x:c r="B45" s="24" t="d">
        <x:v>2026-10-16T08:45:00.000Z</x:v>
      </x:c>
      <x:c r="C45" s="2" t="str">
        <x:v>デイ</x:v>
      </x:c>
      <x:c r="D45" s="20" t="n">
        <x:v>0</x:v>
      </x:c>
      <x:c r="E45" s="20" t="n">
        <x:v>79172</x:v>
      </x:c>
      <x:c r="F45" s="20" t="n">
        <x:f>D45-E45</x:f>
        <x:v>-79172</x:v>
      </x:c>
      <x:c r="G45" s="20" t="n">
        <x:f>SUMIFS($F$7:$F$56,$A$7:$A$56,A45,$B$7:$B$56,"&lt;="&amp;B45)</x:f>
        <x:v>617493</x:v>
      </x:c>
      <x:c r="H45" s="20" t="n">
        <x:v>1672</x:v>
      </x:c>
      <x:c r="I45" s="20" t="n">
        <x:v>-77500</x:v>
      </x:c>
      <x:c r="J45" s="29" t="n">
        <x:v>4</x:v>
      </x:c>
      <x:c r="K45" s="29" t="n">
        <x:v>20</x:v>
      </x:c>
      <x:c r="L45" s="29" t="n">
        <x:v>5</x:v>
      </x:c>
      <x:c r="M45" s="31" t="str">
        <x:v>対照47場</x:v>
      </x:c>
      <x:c r="N45" s="30" t="n">
        <x:v>67.33333333333333</x:v>
      </x:c>
      <x:c r="O45" s="30" t="n">
        <x:v>155.38333333333333</x:v>
      </x:c>
      <x:c r="P45" s="26" t="n">
        <x:f>O45/IF(C45="デイ",420,780)</x:f>
        <x:v>0.36996031746031743</x:v>
      </x:c>
      <x:c r="Q45" s="27" t="n">
        <x:v>1.8498015873015874</x:v>
      </x:c>
    </x:row>
    <x:row r="46" ht="22" customHeight="1">
      <x:c r="A46" s="2" t="str">
        <x:v>B5</x:v>
      </x:c>
      <x:c r="B46" s="24" t="d">
        <x:v>2026-10-16T17:00:00.000Z</x:v>
      </x:c>
      <x:c r="C46" s="2" t="str">
        <x:v>ナイト</x:v>
      </x:c>
      <x:c r="D46" s="20" t="n">
        <x:v>151664</x:v>
      </x:c>
      <x:c r="E46" s="20" t="n">
        <x:v>38336</x:v>
      </x:c>
      <x:c r="F46" s="20" t="n">
        <x:f>D46-E46</x:f>
        <x:v>113328</x:v>
      </x:c>
      <x:c r="G46" s="20" t="n">
        <x:f>SUMIFS($F$7:$F$56,$A$7:$A$56,A46,$B$7:$B$56,"&lt;="&amp;B46)</x:f>
        <x:v>730821</x:v>
      </x:c>
      <x:c r="H46" s="20" t="n">
        <x:v>1672</x:v>
      </x:c>
      <x:c r="I46" s="20" t="n">
        <x:v>115000</x:v>
      </x:c>
      <x:c r="J46" s="29" t="n">
        <x:v>4</x:v>
      </x:c>
      <x:c r="K46" s="29" t="n">
        <x:v>20</x:v>
      </x:c>
      <x:c r="L46" s="29" t="n">
        <x:v>5</x:v>
      </x:c>
      <x:c r="M46" s="31" t="str">
        <x:v>対照47場</x:v>
      </x:c>
      <x:c r="N46" s="30" t="n">
        <x:v>409.15</x:v>
      </x:c>
      <x:c r="O46" s="30" t="n">
        <x:v>95.31666666666666</x:v>
      </x:c>
      <x:c r="P46" s="26" t="n">
        <x:f>O46/IF(C46="デイ",420,780)</x:f>
        <x:v>0.12220085470085469</x:v>
      </x:c>
      <x:c r="Q46" s="27" t="n">
        <x:v>0.6110042735042736</x:v>
      </x:c>
    </x:row>
    <x:row r="47" ht="22" customHeight="1">
      <x:c r="A47" s="2" t="str">
        <x:v>B5</x:v>
      </x:c>
      <x:c r="B47" s="24" t="d">
        <x:v>2026-10-19T08:45:00.000Z</x:v>
      </x:c>
      <x:c r="C47" s="2" t="str">
        <x:v>デイ</x:v>
      </x:c>
      <x:c r="D47" s="20" t="n">
        <x:v>118083</x:v>
      </x:c>
      <x:c r="E47" s="20" t="n">
        <x:v>47918</x:v>
      </x:c>
      <x:c r="F47" s="20" t="n">
        <x:f>D47-E47</x:f>
        <x:v>70165</x:v>
      </x:c>
      <x:c r="G47" s="20" t="n">
        <x:f>SUMIFS($F$7:$F$56,$A$7:$A$56,A47,$B$7:$B$56,"&lt;="&amp;B47)</x:f>
        <x:v>800986</x:v>
      </x:c>
      <x:c r="H47" s="20" t="n">
        <x:v>835</x:v>
      </x:c>
      <x:c r="I47" s="20" t="n">
        <x:v>71000</x:v>
      </x:c>
      <x:c r="J47" s="29" t="n">
        <x:v>2</x:v>
      </x:c>
      <x:c r="K47" s="29" t="n">
        <x:v>10</x:v>
      </x:c>
      <x:c r="L47" s="29" t="n">
        <x:v>5</x:v>
      </x:c>
      <x:c r="M47" s="31" t="str">
        <x:v>対照47場</x:v>
      </x:c>
      <x:c r="N47" s="30" t="n">
        <x:v>66.71666666666667</x:v>
      </x:c>
      <x:c r="O47" s="30" t="n">
        <x:v>321.96666666666664</x:v>
      </x:c>
      <x:c r="P47" s="26" t="n">
        <x:f>O47/IF(C47="デイ",420,780)</x:f>
        <x:v>0.7665873015873015</x:v>
      </x:c>
      <x:c r="Q47" s="27" t="n">
        <x:v>2.483730158730159</x:v>
      </x:c>
    </x:row>
    <x:row r="48" ht="22" customHeight="1">
      <x:c r="A48" s="2" t="str">
        <x:v>B5</x:v>
      </x:c>
      <x:c r="B48" s="24" t="d">
        <x:v>2026-10-19T17:00:00.000Z</x:v>
      </x:c>
      <x:c r="C48" s="2" t="str">
        <x:v>ナイト</x:v>
      </x:c>
      <x:c r="D48" s="20" t="n">
        <x:v>41664</x:v>
      </x:c>
      <x:c r="E48" s="20" t="n">
        <x:v>38336</x:v>
      </x:c>
      <x:c r="F48" s="20" t="n">
        <x:f>D48-E48</x:f>
        <x:v>3328</x:v>
      </x:c>
      <x:c r="G48" s="20" t="n">
        <x:f>SUMIFS($F$7:$F$56,$A$7:$A$56,A48,$B$7:$B$56,"&lt;="&amp;B48)</x:f>
        <x:v>804314</x:v>
      </x:c>
      <x:c r="H48" s="20" t="n">
        <x:v>1672</x:v>
      </x:c>
      <x:c r="I48" s="20" t="n">
        <x:v>5000</x:v>
      </x:c>
      <x:c r="J48" s="29" t="n">
        <x:v>4</x:v>
      </x:c>
      <x:c r="K48" s="29" t="n">
        <x:v>20</x:v>
      </x:c>
      <x:c r="L48" s="29" t="n">
        <x:v>5</x:v>
      </x:c>
      <x:c r="M48" s="31" t="str">
        <x:v>対照47場</x:v>
      </x:c>
      <x:c r="N48" s="30" t="n">
        <x:v>397.3333333333333</x:v>
      </x:c>
      <x:c r="O48" s="30" t="n">
        <x:v>96.4</x:v>
      </x:c>
      <x:c r="P48" s="26" t="n">
        <x:f>O48/IF(C48="デイ",420,780)</x:f>
        <x:v>0.1235897435897436</x:v>
      </x:c>
      <x:c r="Q48" s="27" t="n">
        <x:v>0.617948717948718</x:v>
      </x:c>
    </x:row>
    <x:row r="49" ht="22" customHeight="1">
      <x:c r="A49" s="2" t="str">
        <x:v>B5</x:v>
      </x:c>
      <x:c r="B49" s="24" t="d">
        <x:v>2026-10-20T08:45:00.000Z</x:v>
      </x:c>
      <x:c r="C49" s="2" t="str">
        <x:v>デイ</x:v>
      </x:c>
      <x:c r="D49" s="20" t="n">
        <x:v>41583</x:v>
      </x:c>
      <x:c r="E49" s="20" t="n">
        <x:v>58336</x:v>
      </x:c>
      <x:c r="F49" s="20" t="n">
        <x:f>D49-E49</x:f>
        <x:v>-16753</x:v>
      </x:c>
      <x:c r="G49" s="20" t="n">
        <x:f>SUMIFS($F$7:$F$56,$A$7:$A$56,A49,$B$7:$B$56,"&lt;="&amp;B49)</x:f>
        <x:v>787561</x:v>
      </x:c>
      <x:c r="H49" s="20" t="n">
        <x:v>1253</x:v>
      </x:c>
      <x:c r="I49" s="20" t="n">
        <x:v>-15500</x:v>
      </x:c>
      <x:c r="J49" s="29" t="n">
        <x:v>3</x:v>
      </x:c>
      <x:c r="K49" s="29" t="n">
        <x:v>15</x:v>
      </x:c>
      <x:c r="L49" s="29" t="n">
        <x:v>5</x:v>
      </x:c>
      <x:c r="M49" s="31" t="str">
        <x:v>対照47場</x:v>
      </x:c>
      <x:c r="N49" s="30" t="n">
        <x:v>69.8</x:v>
      </x:c>
      <x:c r="O49" s="30" t="n">
        <x:v>73.86666666666666</x:v>
      </x:c>
      <x:c r="P49" s="26" t="n">
        <x:f>O49/IF(C49="デイ",420,780)</x:f>
        <x:v>0.17587301587301585</x:v>
      </x:c>
      <x:c r="Q49" s="27" t="n">
        <x:v>0.6125396825396825</x:v>
      </x:c>
    </x:row>
    <x:row r="50" ht="22" customHeight="1">
      <x:c r="A50" s="2" t="str">
        <x:v>B5</x:v>
      </x:c>
      <x:c r="B50" s="24" t="d">
        <x:v>2026-10-20T17:00:00.000Z</x:v>
      </x:c>
      <x:c r="C50" s="2" t="str">
        <x:v>ナイト</x:v>
      </x:c>
      <x:c r="D50" s="20" t="n">
        <x:v>84582</x:v>
      </x:c>
      <x:c r="E50" s="20" t="n">
        <x:v>53336</x:v>
      </x:c>
      <x:c r="F50" s="20" t="n">
        <x:f>D50-E50</x:f>
        <x:v>31246</x:v>
      </x:c>
      <x:c r="G50" s="20" t="n">
        <x:f>SUMIFS($F$7:$F$56,$A$7:$A$56,A50,$B$7:$B$56,"&lt;="&amp;B50)</x:f>
        <x:v>818807</x:v>
      </x:c>
      <x:c r="H50" s="20" t="n">
        <x:v>1254</x:v>
      </x:c>
      <x:c r="I50" s="20" t="n">
        <x:v>32500</x:v>
      </x:c>
      <x:c r="J50" s="29" t="n">
        <x:v>3</x:v>
      </x:c>
      <x:c r="K50" s="29" t="n">
        <x:v>15</x:v>
      </x:c>
      <x:c r="L50" s="29" t="n">
        <x:v>5</x:v>
      </x:c>
      <x:c r="M50" s="31" t="str">
        <x:v>対照47場</x:v>
      </x:c>
      <x:c r="N50" s="30" t="n">
        <x:v>367.26666666666665</x:v>
      </x:c>
      <x:c r="O50" s="30" t="n">
        <x:v>55.166666666666664</x:v>
      </x:c>
      <x:c r="P50" s="26" t="n">
        <x:f>O50/IF(C50="デイ",420,780)</x:f>
        <x:v>0.07072649572649573</x:v>
      </x:c>
      <x:c r="Q50" s="27" t="n">
        <x:v>0.35363247863247865</x:v>
      </x:c>
    </x:row>
    <x:row r="51" ht="22" customHeight="1">
      <x:c r="A51" s="2" t="str">
        <x:v>B5</x:v>
      </x:c>
      <x:c r="B51" s="24" t="d">
        <x:v>2026-10-21T08:45:00.000Z</x:v>
      </x:c>
      <x:c r="C51" s="2" t="str">
        <x:v>デイ</x:v>
      </x:c>
      <x:c r="D51" s="20" t="n">
        <x:v>28083</x:v>
      </x:c>
      <x:c r="E51" s="20" t="n">
        <x:v>71254</x:v>
      </x:c>
      <x:c r="F51" s="20" t="n">
        <x:f>D51-E51</x:f>
        <x:v>-43171</x:v>
      </x:c>
      <x:c r="G51" s="20" t="n">
        <x:f>SUMIFS($F$7:$F$56,$A$7:$A$56,A51,$B$7:$B$56,"&lt;="&amp;B51)</x:f>
        <x:v>775636</x:v>
      </x:c>
      <x:c r="H51" s="20" t="n">
        <x:v>1671</x:v>
      </x:c>
      <x:c r="I51" s="20" t="n">
        <x:v>-41500</x:v>
      </x:c>
      <x:c r="J51" s="29" t="n">
        <x:v>4</x:v>
      </x:c>
      <x:c r="K51" s="29" t="n">
        <x:v>20</x:v>
      </x:c>
      <x:c r="L51" s="29" t="n">
        <x:v>5</x:v>
      </x:c>
      <x:c r="M51" s="31" t="str">
        <x:v>対照47場</x:v>
      </x:c>
      <x:c r="N51" s="30" t="n">
        <x:v>133.28333333333333</x:v>
      </x:c>
      <x:c r="O51" s="30" t="n">
        <x:v>72.51666666666667</x:v>
      </x:c>
      <x:c r="P51" s="26" t="n">
        <x:f>O51/IF(C51="デイ",420,780)</x:f>
        <x:v>0.17265873015873015</x:v>
      </x:c>
      <x:c r="Q51" s="27" t="n">
        <x:v>0.7201984126984127</x:v>
      </x:c>
    </x:row>
    <x:row r="52" ht="22" customHeight="1">
      <x:c r="A52" s="2" t="str">
        <x:v>B5</x:v>
      </x:c>
      <x:c r="B52" s="24" t="d">
        <x:v>2026-10-21T17:00:00.000Z</x:v>
      </x:c>
      <x:c r="C52" s="2" t="str">
        <x:v>ナイト</x:v>
      </x:c>
      <x:c r="D52" s="20" t="n">
        <x:v>24164</x:v>
      </x:c>
      <x:c r="E52" s="20" t="n">
        <x:v>22918</x:v>
      </x:c>
      <x:c r="F52" s="20" t="n">
        <x:f>D52-E52</x:f>
        <x:v>1246</x:v>
      </x:c>
      <x:c r="G52" s="20" t="n">
        <x:f>SUMIFS($F$7:$F$56,$A$7:$A$56,A52,$B$7:$B$56,"&lt;="&amp;B52)</x:f>
        <x:v>776882</x:v>
      </x:c>
      <x:c r="H52" s="20" t="n">
        <x:v>1254</x:v>
      </x:c>
      <x:c r="I52" s="20" t="n">
        <x:v>2500</x:v>
      </x:c>
      <x:c r="J52" s="29" t="n">
        <x:v>3</x:v>
      </x:c>
      <x:c r="K52" s="29" t="n">
        <x:v>15</x:v>
      </x:c>
      <x:c r="L52" s="29" t="n">
        <x:v>5</x:v>
      </x:c>
      <x:c r="M52" s="31" t="str">
        <x:v>対照47場</x:v>
      </x:c>
      <x:c r="N52" s="30" t="n">
        <x:v>393.3</x:v>
      </x:c>
      <x:c r="O52" s="30" t="n">
        <x:v>121.51666666666667</x:v>
      </x:c>
      <x:c r="P52" s="26" t="n">
        <x:f>O52/IF(C52="デイ",420,780)</x:f>
        <x:v>0.1557905982905983</x:v>
      </x:c>
      <x:c r="Q52" s="27" t="n">
        <x:v>0.7789529914529915</x:v>
      </x:c>
    </x:row>
    <x:row r="53" ht="22" customHeight="1">
      <x:c r="A53" s="2" t="str">
        <x:v>B5</x:v>
      </x:c>
      <x:c r="B53" s="24" t="d">
        <x:v>2026-10-22T08:45:00.000Z</x:v>
      </x:c>
      <x:c r="C53" s="2" t="str">
        <x:v>デイ</x:v>
      </x:c>
      <x:c r="D53" s="20" t="n">
        <x:v>77583</x:v>
      </x:c>
      <x:c r="E53" s="20" t="n">
        <x:v>30418</x:v>
      </x:c>
      <x:c r="F53" s="20" t="n">
        <x:f>D53-E53</x:f>
        <x:v>47165</x:v>
      </x:c>
      <x:c r="G53" s="20" t="n">
        <x:f>SUMIFS($F$7:$F$56,$A$7:$A$56,A53,$B$7:$B$56,"&lt;="&amp;B53)</x:f>
        <x:v>824047</x:v>
      </x:c>
      <x:c r="H53" s="20" t="n">
        <x:v>835</x:v>
      </x:c>
      <x:c r="I53" s="20" t="n">
        <x:v>48000</x:v>
      </x:c>
      <x:c r="J53" s="29" t="n">
        <x:v>2</x:v>
      </x:c>
      <x:c r="K53" s="29" t="n">
        <x:v>10</x:v>
      </x:c>
      <x:c r="L53" s="29" t="n">
        <x:v>5</x:v>
      </x:c>
      <x:c r="M53" s="31" t="str">
        <x:v>対照47場</x:v>
      </x:c>
      <x:c r="N53" s="30" t="n">
        <x:v>79.76666666666667</x:v>
      </x:c>
      <x:c r="O53" s="30" t="n">
        <x:v>134.06666666666666</x:v>
      </x:c>
      <x:c r="P53" s="26" t="n">
        <x:f>O53/IF(C53="デイ",420,780)</x:f>
        <x:v>0.3192063492063492</x:v>
      </x:c>
      <x:c r="Q53" s="27" t="n">
        <x:v>1.228888888888889</x:v>
      </x:c>
    </x:row>
    <x:row r="54" ht="22" customHeight="1">
      <x:c r="A54" s="2" t="str">
        <x:v>B5</x:v>
      </x:c>
      <x:c r="B54" s="24" t="d">
        <x:v>2026-10-22T17:00:00.000Z</x:v>
      </x:c>
      <x:c r="C54" s="2" t="str">
        <x:v>ナイト</x:v>
      </x:c>
      <x:c r="D54" s="20" t="n">
        <x:v>66246</x:v>
      </x:c>
      <x:c r="E54" s="20" t="n">
        <x:v>35836</x:v>
      </x:c>
      <x:c r="F54" s="20" t="n">
        <x:f>D54-E54</x:f>
        <x:v>30410</x:v>
      </x:c>
      <x:c r="G54" s="20" t="n">
        <x:f>SUMIFS($F$7:$F$56,$A$7:$A$56,A54,$B$7:$B$56,"&lt;="&amp;B54)</x:f>
        <x:v>854457</x:v>
      </x:c>
      <x:c r="H54" s="20" t="n">
        <x:v>2090</x:v>
      </x:c>
      <x:c r="I54" s="20" t="n">
        <x:v>32500</x:v>
      </x:c>
      <x:c r="J54" s="29" t="n">
        <x:v>5</x:v>
      </x:c>
      <x:c r="K54" s="29" t="n">
        <x:v>25</x:v>
      </x:c>
      <x:c r="L54" s="29" t="n">
        <x:v>5</x:v>
      </x:c>
      <x:c r="M54" s="31" t="str">
        <x:v>診断3場</x:v>
      </x:c>
      <x:c r="N54" s="30" t="n">
        <x:v>384.01666666666665</x:v>
      </x:c>
      <x:c r="O54" s="30" t="n">
        <x:v>44.15</x:v>
      </x:c>
      <x:c r="P54" s="26" t="n">
        <x:f>O54/IF(C54="デイ",420,780)</x:f>
        <x:v>0.056602564102564104</x:v>
      </x:c>
      <x:c r="Q54" s="27" t="n">
        <x:v>0.2830128205128205</x:v>
      </x:c>
    </x:row>
    <x:row r="55" ht="22" customHeight="1">
      <x:c r="A55" s="2" t="str">
        <x:v>B5</x:v>
      </x:c>
      <x:c r="B55" s="24" t="d">
        <x:v>2026-10-23T08:45:00.000Z</x:v>
      </x:c>
      <x:c r="C55" s="2" t="str">
        <x:v>デイ</x:v>
      </x:c>
      <x:c r="D55" s="20" t="n">
        <x:v>0</x:v>
      </x:c>
      <x:c r="E55" s="20" t="n">
        <x:v>131254</x:v>
      </x:c>
      <x:c r="F55" s="20" t="n">
        <x:f>D55-E55</x:f>
        <x:v>-131254</x:v>
      </x:c>
      <x:c r="G55" s="20" t="n">
        <x:f>SUMIFS($F$7:$F$56,$A$7:$A$56,A55,$B$7:$B$56,"&lt;="&amp;B55)</x:f>
        <x:v>723203</x:v>
      </x:c>
      <x:c r="H55" s="20" t="n">
        <x:v>1254</x:v>
      </x:c>
      <x:c r="I55" s="20" t="n">
        <x:v>-130000</x:v>
      </x:c>
      <x:c r="J55" s="29" t="n">
        <x:v>3</x:v>
      </x:c>
      <x:c r="K55" s="29" t="n">
        <x:v>15</x:v>
      </x:c>
      <x:c r="L55" s="29" t="n">
        <x:v>5</x:v>
      </x:c>
      <x:c r="M55" s="31" t="str">
        <x:v>診断3場</x:v>
      </x:c>
      <x:c r="N55" s="30" t="n">
        <x:v>92.38333333333334</x:v>
      </x:c>
      <x:c r="O55" s="30" t="n">
        <x:v>54</x:v>
      </x:c>
      <x:c r="P55" s="26" t="n">
        <x:f>O55/IF(C55="デイ",420,780)</x:f>
        <x:v>0.12857142857142856</x:v>
      </x:c>
      <x:c r="Q55" s="27" t="n">
        <x:v>0.6428571428571429</x:v>
      </x:c>
    </x:row>
    <x:row r="56" ht="22" customHeight="1">
      <x:c r="A56" s="2" t="str">
        <x:v>B5</x:v>
      </x:c>
      <x:c r="B56" s="24" t="d">
        <x:v>2026-10-23T17:00:00.000Z</x:v>
      </x:c>
      <x:c r="C56" s="2" t="str">
        <x:v>ナイト</x:v>
      </x:c>
      <x:c r="D56" s="20" t="n">
        <x:v>32082</x:v>
      </x:c>
      <x:c r="E56" s="20" t="n">
        <x:v>0</x:v>
      </x:c>
      <x:c r="F56" s="20" t="n">
        <x:f>D56-E56</x:f>
        <x:v>32082</x:v>
      </x:c>
      <x:c r="G56" s="20" t="n">
        <x:f>SUMIFS($F$7:$F$56,$A$7:$A$56,A56,$B$7:$B$56,"&lt;="&amp;B56)</x:f>
        <x:v>755285</x:v>
      </x:c>
      <x:c r="H56" s="20" t="n">
        <x:v>418</x:v>
      </x:c>
      <x:c r="I56" s="20" t="n">
        <x:v>32500</x:v>
      </x:c>
      <x:c r="J56" s="29" t="n">
        <x:v>1</x:v>
      </x:c>
      <x:c r="K56" s="29" t="n">
        <x:v>5</x:v>
      </x:c>
      <x:c r="L56" s="29" t="n">
        <x:v>5</x:v>
      </x:c>
      <x:c r="M56" s="31" t="str">
        <x:v>診断3場</x:v>
      </x:c>
      <x:c r="N56" s="30" t="n">
        <x:v>399.23333333333335</x:v>
      </x:c>
      <x:c r="O56" s="30" t="n">
        <x:v>58.11666666666667</x:v>
      </x:c>
      <x:c r="P56" s="26" t="n">
        <x:f>O56/IF(C56="デイ",420,780)</x:f>
        <x:v>0.074508547008547</x:v>
      </x:c>
      <x:c r="Q56" s="27" t="n">
        <x:v>0.37254273504273505</x:v>
      </x:c>
    </x:row>
  </x:sheetData>
  <x:conditionalFormatting sqref="D7:I56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e88dfc71e3488a"/>
  </x:tableParts>
</x:worksheet>
</file>

<file path=xl/worksheets/sheet9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TOPIXmini M1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片方向上限10枚。金額は円・手数料後。保有率は昼420分・夜780分が分母。平均保有枚数も公式時間全体で平均し、両建ては合計枚数で数えます。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昼：M1（G06）／夜：M1（H02）。対照47場：9/21～10/22デイ。診断3場：10/22ナイト～10/23ナイト。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00141の昼夜別固定案。出典：00142保存会計。診断3場は原因分析と改善に使用した期間です。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7" t="str">
        <x:v>保有（分）</x:v>
      </x:c>
      <x:c r="P6" s="17" t="str">
        <x:v>保有率</x:v>
      </x:c>
      <x:c r="Q6" s="18" t="str">
        <x:v>平均保有枚数</x:v>
      </x:c>
    </x:row>
    <x:row r="7" ht="22" customHeight="1">
      <x:c r="A7" s="2" t="str">
        <x:v>M1</x:v>
      </x:c>
      <x:c r="B7" s="24" t="d">
        <x:v>2026-09-21T08:45:00.000Z</x:v>
      </x:c>
      <x:c r="C7" s="2" t="str">
        <x:v>デイ</x:v>
      </x:c>
      <x:c r="D7" s="20" t="n">
        <x:v>0</x:v>
      </x:c>
      <x:c r="E7" s="20" t="n">
        <x:v>20418</x:v>
      </x:c>
      <x:c r="F7" s="20" t="n">
        <x:f>D7-E7</x:f>
        <x:v>-20418</x:v>
      </x:c>
      <x:c r="G7" s="20" t="n">
        <x:f>SUMIFS($F$7:$F$56,$A$7:$A$56,A7,$B$7:$B$56,"&lt;="&amp;B7)</x:f>
        <x:v>-20418</x:v>
      </x:c>
      <x:c r="H7" s="20" t="n">
        <x:v>418</x:v>
      </x:c>
      <x:c r="I7" s="20" t="n">
        <x:v>-20000</x:v>
      </x:c>
      <x:c r="J7" s="29" t="n">
        <x:v>1</x:v>
      </x:c>
      <x:c r="K7" s="29" t="n">
        <x:v>5</x:v>
      </x:c>
      <x:c r="L7" s="29" t="n">
        <x:v>5</x:v>
      </x:c>
      <x:c r="M7" s="31" t="str">
        <x:v>対照47場</x:v>
      </x:c>
      <x:c r="N7" s="30" t="n">
        <x:v>363.18333333333334</x:v>
      </x:c>
      <x:c r="O7" s="30" t="n">
        <x:v>9.033333333333333</x:v>
      </x:c>
      <x:c r="P7" s="26" t="n">
        <x:f>O7/IF(C7="デイ",420,780)</x:f>
        <x:v>0.021507936507936507</x:v>
      </x:c>
      <x:c r="Q7" s="27" t="n">
        <x:v>0.10753968253968255</x:v>
      </x:c>
    </x:row>
    <x:row r="8" ht="22" customHeight="1">
      <x:c r="A8" s="2" t="str">
        <x:v>M1</x:v>
      </x:c>
      <x:c r="B8" s="24" t="d">
        <x:v>2026-09-21T17:00:00.000Z</x:v>
      </x:c>
      <x:c r="C8" s="2" t="str">
        <x:v>ナイト</x:v>
      </x:c>
      <x:c r="D8" s="20" t="n">
        <x:v>7082</x:v>
      </x:c>
      <x:c r="E8" s="20" t="n">
        <x:v>0</x:v>
      </x:c>
      <x:c r="F8" s="20" t="n">
        <x:f>D8-E8</x:f>
        <x:v>7082</x:v>
      </x:c>
      <x:c r="G8" s="20" t="n">
        <x:f>SUMIFS($F$7:$F$56,$A$7:$A$56,A8,$B$7:$B$56,"&lt;="&amp;B8)</x:f>
        <x:v>-13336</x:v>
      </x:c>
      <x:c r="H8" s="20" t="n">
        <x:v>418</x:v>
      </x:c>
      <x:c r="I8" s="20" t="n">
        <x:v>7500</x:v>
      </x:c>
      <x:c r="J8" s="29" t="n">
        <x:v>1</x:v>
      </x:c>
      <x:c r="K8" s="29" t="n">
        <x:v>5</x:v>
      </x:c>
      <x:c r="L8" s="29" t="n">
        <x:v>5</x:v>
      </x:c>
      <x:c r="M8" s="31" t="str">
        <x:v>対照47場</x:v>
      </x:c>
      <x:c r="N8" s="30" t="n">
        <x:v>385.95</x:v>
      </x:c>
      <x:c r="O8" s="30" t="n">
        <x:v>8.5</x:v>
      </x:c>
      <x:c r="P8" s="26" t="n">
        <x:f>O8/IF(C8="デイ",420,780)</x:f>
        <x:v>0.010897435897435897</x:v>
      </x:c>
      <x:c r="Q8" s="27" t="n">
        <x:v>0.05448717948717949</x:v>
      </x:c>
    </x:row>
    <x:row r="9" ht="22" customHeight="1">
      <x:c r="A9" s="2" t="str">
        <x:v>M1</x:v>
      </x:c>
      <x:c r="B9" s="24" t="d">
        <x:v>2026-09-22T08:45:00.000Z</x:v>
      </x:c>
      <x:c r="C9" s="2" t="str">
        <x:v>デイ</x:v>
      </x:c>
      <x:c r="D9" s="20" t="n">
        <x:v>20584</x:v>
      </x:c>
      <x:c r="E9" s="20" t="n">
        <x:v>20418</x:v>
      </x:c>
      <x:c r="F9" s="20" t="n">
        <x:f>D9-E9</x:f>
        <x:v>166</x:v>
      </x:c>
      <x:c r="G9" s="20" t="n">
        <x:f>SUMIFS($F$7:$F$56,$A$7:$A$56,A9,$B$7:$B$56,"&lt;="&amp;B9)</x:f>
        <x:v>-13170</x:v>
      </x:c>
      <x:c r="H9" s="20" t="n">
        <x:v>834</x:v>
      </x:c>
      <x:c r="I9" s="20" t="n">
        <x:v>1000</x:v>
      </x:c>
      <x:c r="J9" s="29" t="n">
        <x:v>2</x:v>
      </x:c>
      <x:c r="K9" s="29" t="n">
        <x:v>10</x:v>
      </x:c>
      <x:c r="L9" s="29" t="n">
        <x:v>5</x:v>
      </x:c>
      <x:c r="M9" s="31" t="str">
        <x:v>対照47場</x:v>
      </x:c>
      <x:c r="N9" s="30" t="n">
        <x:v>100.41666666666667</x:v>
      </x:c>
      <x:c r="O9" s="30" t="n">
        <x:v>18.416666666666668</x:v>
      </x:c>
      <x:c r="P9" s="26" t="n">
        <x:f>O9/IF(C9="デイ",420,780)</x:f>
        <x:v>0.04384920634920635</x:v>
      </x:c>
      <x:c r="Q9" s="27" t="n">
        <x:v>0.17432539682539683</x:v>
      </x:c>
    </x:row>
    <x:row r="10" ht="22" customHeight="1">
      <x:c r="A10" s="2" t="str">
        <x:v>M1</x:v>
      </x:c>
      <x:c r="B10" s="24" t="d">
        <x:v>2026-09-22T17:00:00.000Z</x:v>
      </x:c>
      <x:c r="C10" s="2" t="str">
        <x:v>ナイト</x:v>
      </x:c>
      <x:c r="D10" s="20" t="n">
        <x:v>13834</x:v>
      </x:c>
      <x:c r="E10" s="20" t="n">
        <x:v>53754</x:v>
      </x:c>
      <x:c r="F10" s="20" t="n">
        <x:f>D10-E10</x:f>
        <x:v>-39920</x:v>
      </x:c>
      <x:c r="G10" s="20" t="n">
        <x:f>SUMIFS($F$7:$F$56,$A$7:$A$56,A10,$B$7:$B$56,"&lt;="&amp;B10)</x:f>
        <x:v>-53090</x:v>
      </x:c>
      <x:c r="H10" s="20" t="n">
        <x:v>1420</x:v>
      </x:c>
      <x:c r="I10" s="20" t="n">
        <x:v>-38500</x:v>
      </x:c>
      <x:c r="J10" s="29" t="n">
        <x:v>4</x:v>
      </x:c>
      <x:c r="K10" s="29" t="n">
        <x:v>17</x:v>
      </x:c>
      <x:c r="L10" s="29" t="n">
        <x:v>5</x:v>
      </x:c>
      <x:c r="M10" s="31" t="str">
        <x:v>対照47場</x:v>
      </x:c>
      <x:c r="N10" s="30" t="n">
        <x:v>43.68333333333333</x:v>
      </x:c>
      <x:c r="O10" s="30" t="n">
        <x:v>50.81666666666667</x:v>
      </x:c>
      <x:c r="P10" s="26" t="n">
        <x:f>O10/IF(C10="デイ",420,780)</x:f>
        <x:v>0.06514957264957265</x:v>
      </x:c>
      <x:c r="Q10" s="27" t="n">
        <x:v>0.2685683760683761</x:v>
      </x:c>
    </x:row>
    <x:row r="11" ht="22" customHeight="1">
      <x:c r="A11" s="2" t="str">
        <x:v>M1</x:v>
      </x:c>
      <x:c r="B11" s="24" t="d">
        <x:v>2026-09-23T08:45:00.000Z</x:v>
      </x:c>
      <x:c r="C11" s="2" t="str">
        <x:v>デイ</x:v>
      </x:c>
      <x:c r="D11" s="20" t="n">
        <x:v>77584</x:v>
      </x:c>
      <x:c r="E11" s="20" t="n">
        <x:v>0</x:v>
      </x:c>
      <x:c r="F11" s="20" t="n">
        <x:f>D11-E11</x:f>
        <x:v>77584</x:v>
      </x:c>
      <x:c r="G11" s="20" t="n">
        <x:f>SUMIFS($F$7:$F$56,$A$7:$A$56,A11,$B$7:$B$56,"&lt;="&amp;B11)</x:f>
        <x:v>24494</x:v>
      </x:c>
      <x:c r="H11" s="20" t="n">
        <x:v>416</x:v>
      </x:c>
      <x:c r="I11" s="20" t="n">
        <x:v>78000</x:v>
      </x:c>
      <x:c r="J11" s="29" t="n">
        <x:v>1</x:v>
      </x:c>
      <x:c r="K11" s="29" t="n">
        <x:v>5</x:v>
      </x:c>
      <x:c r="L11" s="29" t="n">
        <x:v>5</x:v>
      </x:c>
      <x:c r="M11" s="31" t="str">
        <x:v>対照47場</x:v>
      </x:c>
      <x:c r="N11" s="30" t="n">
        <x:v>68.45</x:v>
      </x:c>
      <x:c r="O11" s="30" t="n">
        <x:v>158.21666666666667</x:v>
      </x:c>
      <x:c r="P11" s="26" t="n">
        <x:f>O11/IF(C11="デイ",420,780)</x:f>
        <x:v>0.3767063492063492</x:v>
      </x:c>
      <x:c r="Q11" s="27" t="n">
        <x:v>0.9761111111111112</x:v>
      </x:c>
    </x:row>
    <x:row r="12" ht="22" customHeight="1">
      <x:c r="A12" s="2" t="str">
        <x:v>M1</x:v>
      </x:c>
      <x:c r="B12" s="24" t="d">
        <x:v>2026-09-23T17:00:00.000Z</x:v>
      </x:c>
      <x:c r="C12" s="2" t="str">
        <x:v>ナイト</x:v>
      </x:c>
      <x:c r="D12" s="20" t="n">
        <x:v>29164</x:v>
      </x:c>
      <x:c r="E12" s="20" t="n">
        <x:v>0</x:v>
      </x:c>
      <x:c r="F12" s="20" t="n">
        <x:f>D12-E12</x:f>
        <x:v>29164</x:v>
      </x:c>
      <x:c r="G12" s="20" t="n">
        <x:f>SUMIFS($F$7:$F$56,$A$7:$A$56,A12,$B$7:$B$56,"&lt;="&amp;B12)</x:f>
        <x:v>53658</x:v>
      </x:c>
      <x:c r="H12" s="20" t="n">
        <x:v>836</x:v>
      </x:c>
      <x:c r="I12" s="20" t="n">
        <x:v>30000</x:v>
      </x:c>
      <x:c r="J12" s="29" t="n">
        <x:v>2</x:v>
      </x:c>
      <x:c r="K12" s="29" t="n">
        <x:v>10</x:v>
      </x:c>
      <x:c r="L12" s="29" t="n">
        <x:v>5</x:v>
      </x:c>
      <x:c r="M12" s="31" t="str">
        <x:v>対照47場</x:v>
      </x:c>
      <x:c r="N12" s="30" t="n">
        <x:v>450.01666666666665</x:v>
      </x:c>
      <x:c r="O12" s="30" t="n">
        <x:v>52.3</x:v>
      </x:c>
      <x:c r="P12" s="26" t="n">
        <x:f>O12/IF(C12="デイ",420,780)</x:f>
        <x:v>0.06705128205128205</x:v>
      </x:c>
      <x:c r="Q12" s="27" t="n">
        <x:v>0.33525641025641023</x:v>
      </x:c>
    </x:row>
    <x:row r="13" ht="22" customHeight="1">
      <x:c r="A13" s="2" t="str">
        <x:v>M1</x:v>
      </x:c>
      <x:c r="B13" s="24" t="d">
        <x:v>2026-09-24T08:45:00.000Z</x:v>
      </x:c>
      <x:c r="C13" s="2" t="str">
        <x:v>デイ</x:v>
      </x:c>
      <x:c r="D13" s="20" t="n">
        <x:v>83417</x:v>
      </x:c>
      <x:c r="E13" s="20" t="n">
        <x:v>166</x:v>
      </x:c>
      <x:c r="F13" s="20" t="n">
        <x:f>D13-E13</x:f>
        <x:v>83251</x:v>
      </x:c>
      <x:c r="G13" s="20" t="n">
        <x:f>SUMIFS($F$7:$F$56,$A$7:$A$56,A13,$B$7:$B$56,"&lt;="&amp;B13)</x:f>
        <x:v>136909</x:v>
      </x:c>
      <x:c r="H13" s="20" t="n">
        <x:v>749</x:v>
      </x:c>
      <x:c r="I13" s="20" t="n">
        <x:v>84000</x:v>
      </x:c>
      <x:c r="J13" s="29" t="n">
        <x:v>3</x:v>
      </x:c>
      <x:c r="K13" s="29" t="n">
        <x:v>9</x:v>
      </x:c>
      <x:c r="L13" s="29" t="n">
        <x:v>5</x:v>
      </x:c>
      <x:c r="M13" s="31" t="str">
        <x:v>対照47場</x:v>
      </x:c>
      <x:c r="N13" s="30" t="n">
        <x:v>55.5</x:v>
      </x:c>
      <x:c r="O13" s="30" t="n">
        <x:v>309.56666666666666</x:v>
      </x:c>
      <x:c r="P13" s="26" t="n">
        <x:f>O13/IF(C13="デイ",420,780)</x:f>
        <x:v>0.7370634920634921</x:v>
      </x:c>
      <x:c r="Q13" s="27" t="n">
        <x:v>3.186984126984127</x:v>
      </x:c>
    </x:row>
    <x:row r="14" ht="22" customHeight="1">
      <x:c r="A14" s="2" t="str">
        <x:v>M1</x:v>
      </x:c>
      <x:c r="B14" s="24" t="d">
        <x:v>2026-09-24T17:00:00.000Z</x:v>
      </x:c>
      <x:c r="C14" s="2" t="str">
        <x:v>ナイト</x:v>
      </x:c>
      <x:c r="D14" s="20" t="n">
        <x:v>32082</x:v>
      </x:c>
      <x:c r="E14" s="20" t="n">
        <x:v>0</x:v>
      </x:c>
      <x:c r="F14" s="20" t="n">
        <x:f>D14-E14</x:f>
        <x:v>32082</x:v>
      </x:c>
      <x:c r="G14" s="20" t="n">
        <x:f>SUMIFS($F$7:$F$56,$A$7:$A$56,A14,$B$7:$B$56,"&lt;="&amp;B14)</x:f>
        <x:v>168991</x:v>
      </x:c>
      <x:c r="H14" s="20" t="n">
        <x:v>418</x:v>
      </x:c>
      <x:c r="I14" s="20" t="n">
        <x:v>32500</x:v>
      </x:c>
      <x:c r="J14" s="29" t="n">
        <x:v>1</x:v>
      </x:c>
      <x:c r="K14" s="29" t="n">
        <x:v>5</x:v>
      </x:c>
      <x:c r="L14" s="29" t="n">
        <x:v>5</x:v>
      </x:c>
      <x:c r="M14" s="31" t="str">
        <x:v>対照47場</x:v>
      </x:c>
      <x:c r="N14" s="30" t="n">
        <x:v>417.46666666666664</x:v>
      </x:c>
      <x:c r="O14" s="30" t="n">
        <x:v>40.983333333333334</x:v>
      </x:c>
      <x:c r="P14" s="26" t="n">
        <x:f>O14/IF(C14="デイ",420,780)</x:f>
        <x:v>0.052542735042735045</x:v>
      </x:c>
      <x:c r="Q14" s="27" t="n">
        <x:v>0.2627136752136752</x:v>
      </x:c>
    </x:row>
    <x:row r="15" ht="22" customHeight="1">
      <x:c r="A15" s="2" t="str">
        <x:v>M1</x:v>
      </x:c>
      <x:c r="B15" s="24" t="d">
        <x:v>2026-09-25T08:45:00.000Z</x:v>
      </x:c>
      <x:c r="C15" s="2" t="str">
        <x:v>デイ</x:v>
      </x:c>
      <x:c r="D15" s="20" t="n">
        <x:v>80583</x:v>
      </x:c>
      <x:c r="E15" s="20" t="n">
        <x:v>0</x:v>
      </x:c>
      <x:c r="F15" s="20" t="n">
        <x:f>D15-E15</x:f>
        <x:v>80583</x:v>
      </x:c>
      <x:c r="G15" s="20" t="n">
        <x:f>SUMIFS($F$7:$F$56,$A$7:$A$56,A15,$B$7:$B$56,"&lt;="&amp;B15)</x:f>
        <x:v>249574</x:v>
      </x:c>
      <x:c r="H15" s="20" t="n">
        <x:v>417</x:v>
      </x:c>
      <x:c r="I15" s="20" t="n">
        <x:v>81000</x:v>
      </x:c>
      <x:c r="J15" s="29" t="n">
        <x:v>1</x:v>
      </x:c>
      <x:c r="K15" s="29" t="n">
        <x:v>5</x:v>
      </x:c>
      <x:c r="L15" s="29" t="n">
        <x:v>5</x:v>
      </x:c>
      <x:c r="M15" s="31" t="str">
        <x:v>対照47場</x:v>
      </x:c>
      <x:c r="N15" s="30" t="n">
        <x:v>86.21666666666667</x:v>
      </x:c>
      <x:c r="O15" s="30" t="n">
        <x:v>323.8</x:v>
      </x:c>
      <x:c r="P15" s="26" t="n">
        <x:f>O15/IF(C15="デイ",420,780)</x:f>
        <x:v>0.770952380952381</x:v>
      </x:c>
      <x:c r="Q15" s="27" t="n">
        <x:v>2.3655555555555554</x:v>
      </x:c>
    </x:row>
    <x:row r="16" ht="22" customHeight="1">
      <x:c r="A16" s="2" t="str">
        <x:v>M1</x:v>
      </x:c>
      <x:c r="B16" s="24" t="d">
        <x:v>2026-09-25T17:00:00.000Z</x:v>
      </x:c>
      <x:c r="C16" s="2" t="str">
        <x:v>ナイト</x:v>
      </x:c>
      <x:c r="D16" s="20" t="n">
        <x:v>24582</x:v>
      </x:c>
      <x:c r="E16" s="20" t="n">
        <x:v>20418</x:v>
      </x:c>
      <x:c r="F16" s="20" t="n">
        <x:f>D16-E16</x:f>
        <x:v>4164</x:v>
      </x:c>
      <x:c r="G16" s="20" t="n">
        <x:f>SUMIFS($F$7:$F$56,$A$7:$A$56,A16,$B$7:$B$56,"&lt;="&amp;B16)</x:f>
        <x:v>253738</x:v>
      </x:c>
      <x:c r="H16" s="20" t="n">
        <x:v>836</x:v>
      </x:c>
      <x:c r="I16" s="20" t="n">
        <x:v>5000</x:v>
      </x:c>
      <x:c r="J16" s="29" t="n">
        <x:v>2</x:v>
      </x:c>
      <x:c r="K16" s="29" t="n">
        <x:v>10</x:v>
      </x:c>
      <x:c r="L16" s="29" t="n">
        <x:v>5</x:v>
      </x:c>
      <x:c r="M16" s="31" t="str">
        <x:v>対照47場</x:v>
      </x:c>
      <x:c r="N16" s="30" t="n">
        <x:v>450</x:v>
      </x:c>
      <x:c r="O16" s="30" t="n">
        <x:v>8.316666666666666</x:v>
      </x:c>
      <x:c r="P16" s="26" t="n">
        <x:f>O16/IF(C16="デイ",420,780)</x:f>
        <x:v>0.010662393162393162</x:v>
      </x:c>
      <x:c r="Q16" s="27" t="n">
        <x:v>0.05331196581196581</x:v>
      </x:c>
    </x:row>
    <x:row r="17" ht="22" customHeight="1">
      <x:c r="A17" s="2" t="str">
        <x:v>M1</x:v>
      </x:c>
      <x:c r="B17" s="24" t="d">
        <x:v>2026-09-28T08:45:00.000Z</x:v>
      </x:c>
      <x:c r="C17" s="2" t="str">
        <x:v>デイ</x:v>
      </x:c>
      <x:c r="D17" s="20" t="n">
        <x:v>144917</x:v>
      </x:c>
      <x:c r="E17" s="20" t="n">
        <x:v>6166</x:v>
      </x:c>
      <x:c r="F17" s="20" t="n">
        <x:f>D17-E17</x:f>
        <x:v>138751</x:v>
      </x:c>
      <x:c r="G17" s="20" t="n">
        <x:f>SUMIFS($F$7:$F$56,$A$7:$A$56,A17,$B$7:$B$56,"&lt;="&amp;B17)</x:f>
        <x:v>392489</x:v>
      </x:c>
      <x:c r="H17" s="20" t="n">
        <x:v>749</x:v>
      </x:c>
      <x:c r="I17" s="20" t="n">
        <x:v>139500</x:v>
      </x:c>
      <x:c r="J17" s="29" t="n">
        <x:v>3</x:v>
      </x:c>
      <x:c r="K17" s="29" t="n">
        <x:v>9</x:v>
      </x:c>
      <x:c r="L17" s="29" t="n">
        <x:v>5</x:v>
      </x:c>
      <x:c r="M17" s="31" t="str">
        <x:v>対照47場</x:v>
      </x:c>
      <x:c r="N17" s="30" t="n">
        <x:v>48.45</x:v>
      </x:c>
      <x:c r="O17" s="30" t="n">
        <x:v>340.1333333333333</x:v>
      </x:c>
      <x:c r="P17" s="26" t="n">
        <x:f>O17/IF(C17="デイ",420,780)</x:f>
        <x:v>0.8098412698412698</x:v>
      </x:c>
      <x:c r="Q17" s="27" t="n">
        <x:v>2.89</x:v>
      </x:c>
    </x:row>
    <x:row r="18" ht="22" customHeight="1">
      <x:c r="A18" s="2" t="str">
        <x:v>M1</x:v>
      </x:c>
      <x:c r="B18" s="24" t="d">
        <x:v>2026-09-28T17:00:00.000Z</x:v>
      </x:c>
      <x:c r="C18" s="2" t="str">
        <x:v>ナイト</x:v>
      </x:c>
      <x:c r="D18" s="20" t="n">
        <x:v>24582</x:v>
      </x:c>
      <x:c r="E18" s="20" t="n">
        <x:v>14831</x:v>
      </x:c>
      <x:c r="F18" s="20" t="n">
        <x:f>D18-E18</x:f>
        <x:v>9751</x:v>
      </x:c>
      <x:c r="G18" s="20" t="n">
        <x:f>SUMIFS($F$7:$F$56,$A$7:$A$56,A18,$B$7:$B$56,"&lt;="&amp;B18)</x:f>
        <x:v>402240</x:v>
      </x:c>
      <x:c r="H18" s="20" t="n">
        <x:v>749</x:v>
      </x:c>
      <x:c r="I18" s="20" t="n">
        <x:v>10500</x:v>
      </x:c>
      <x:c r="J18" s="29" t="n">
        <x:v>3</x:v>
      </x:c>
      <x:c r="K18" s="29" t="n">
        <x:v>9</x:v>
      </x:c>
      <x:c r="L18" s="29" t="n">
        <x:v>5</x:v>
      </x:c>
      <x:c r="M18" s="31" t="str">
        <x:v>対照47場</x:v>
      </x:c>
      <x:c r="N18" s="30" t="n">
        <x:v>351.8333333333333</x:v>
      </x:c>
      <x:c r="O18" s="30" t="n">
        <x:v>16.516666666666666</x:v>
      </x:c>
      <x:c r="P18" s="26" t="n">
        <x:f>O18/IF(C18="デイ",420,780)</x:f>
        <x:v>0.021175213675213675</x:v>
      </x:c>
      <x:c r="Q18" s="27" t="n">
        <x:v>0.08767094017094017</x:v>
      </x:c>
    </x:row>
    <x:row r="19" ht="22" customHeight="1">
      <x:c r="A19" s="2" t="str">
        <x:v>M1</x:v>
      </x:c>
      <x:c r="B19" s="24" t="d">
        <x:v>2026-09-29T08:45:00.000Z</x:v>
      </x:c>
      <x:c r="C19" s="2" t="str">
        <x:v>デイ</x:v>
      </x:c>
      <x:c r="D19" s="20" t="n">
        <x:v>12583</x:v>
      </x:c>
      <x:c r="E19" s="20" t="n">
        <x:v>0</x:v>
      </x:c>
      <x:c r="F19" s="20" t="n">
        <x:f>D19-E19</x:f>
        <x:v>12583</x:v>
      </x:c>
      <x:c r="G19" s="20" t="n">
        <x:f>SUMIFS($F$7:$F$56,$A$7:$A$56,A19,$B$7:$B$56,"&lt;="&amp;B19)</x:f>
        <x:v>414823</x:v>
      </x:c>
      <x:c r="H19" s="20" t="n">
        <x:v>417</x:v>
      </x:c>
      <x:c r="I19" s="20" t="n">
        <x:v>13000</x:v>
      </x:c>
      <x:c r="J19" s="29" t="n">
        <x:v>1</x:v>
      </x:c>
      <x:c r="K19" s="29" t="n">
        <x:v>5</x:v>
      </x:c>
      <x:c r="L19" s="29" t="n">
        <x:v>5</x:v>
      </x:c>
      <x:c r="M19" s="31" t="str">
        <x:v>対照47場</x:v>
      </x:c>
      <x:c r="N19" s="30" t="n">
        <x:v>70.43333333333334</x:v>
      </x:c>
      <x:c r="O19" s="30" t="n">
        <x:v>334.48333333333335</x:v>
      </x:c>
      <x:c r="P19" s="26" t="n">
        <x:f>O19/IF(C19="デイ",420,780)</x:f>
        <x:v>0.7963888888888889</x:v>
      </x:c>
      <x:c r="Q19" s="27" t="n">
        <x:v>3.0586904761904763</x:v>
      </x:c>
    </x:row>
    <x:row r="20" ht="22" customHeight="1">
      <x:c r="A20" s="2" t="str">
        <x:v>M1</x:v>
      </x:c>
      <x:c r="B20" s="24" t="d">
        <x:v>2026-09-29T17:00:00.000Z</x:v>
      </x:c>
      <x:c r="C20" s="2" t="str">
        <x:v>ナイト</x:v>
      </x:c>
      <x:c r="D20" s="20" t="n">
        <x:v>18834</x:v>
      </x:c>
      <x:c r="E20" s="20" t="n">
        <x:v>0</x:v>
      </x:c>
      <x:c r="F20" s="20" t="n">
        <x:f>D20-E20</x:f>
        <x:v>18834</x:v>
      </x:c>
      <x:c r="G20" s="20" t="n">
        <x:f>SUMIFS($F$7:$F$56,$A$7:$A$56,A20,$B$7:$B$56,"&lt;="&amp;B20)</x:f>
        <x:v>433657</x:v>
      </x:c>
      <x:c r="H20" s="20" t="n">
        <x:v>166</x:v>
      </x:c>
      <x:c r="I20" s="20" t="n">
        <x:v>19000</x:v>
      </x:c>
      <x:c r="J20" s="29" t="n">
        <x:v>1</x:v>
      </x:c>
      <x:c r="K20" s="29" t="n">
        <x:v>2</x:v>
      </x:c>
      <x:c r="L20" s="29" t="n">
        <x:v>2</x:v>
      </x:c>
      <x:c r="M20" s="31" t="str">
        <x:v>対照47場</x:v>
      </x:c>
      <x:c r="N20" s="30" t="n">
        <x:v>416.1</x:v>
      </x:c>
      <x:c r="O20" s="30" t="n">
        <x:v>18.866666666666667</x:v>
      </x:c>
      <x:c r="P20" s="26" t="n">
        <x:f>O20/IF(C20="デイ",420,780)</x:f>
        <x:v>0.02418803418803419</x:v>
      </x:c>
      <x:c r="Q20" s="27" t="n">
        <x:v>0.04837606837606838</x:v>
      </x:c>
    </x:row>
    <x:row r="21" ht="22" customHeight="1">
      <x:c r="A21" s="2" t="str">
        <x:v>M1</x:v>
      </x:c>
      <x:c r="B21" s="24" t="d">
        <x:v>2026-09-30T08:45:00.000Z</x:v>
      </x:c>
      <x:c r="C21" s="2" t="str">
        <x:v>デイ</x:v>
      </x:c>
      <x:c r="D21" s="20" t="n">
        <x:v>79083</x:v>
      </x:c>
      <x:c r="E21" s="20" t="n">
        <x:v>81168</x:v>
      </x:c>
      <x:c r="F21" s="20" t="n">
        <x:f>D21-E21</x:f>
        <x:v>-2085</x:v>
      </x:c>
      <x:c r="G21" s="20" t="n">
        <x:f>SUMIFS($F$7:$F$56,$A$7:$A$56,A21,$B$7:$B$56,"&lt;="&amp;B21)</x:f>
        <x:v>431572</x:v>
      </x:c>
      <x:c r="H21" s="20" t="n">
        <x:v>1585</x:v>
      </x:c>
      <x:c r="I21" s="20" t="n">
        <x:v>-500</x:v>
      </x:c>
      <x:c r="J21" s="29" t="n">
        <x:v>5</x:v>
      </x:c>
      <x:c r="K21" s="29" t="n">
        <x:v>19</x:v>
      </x:c>
      <x:c r="L21" s="29" t="n">
        <x:v>5</x:v>
      </x:c>
      <x:c r="M21" s="31" t="str">
        <x:v>対照47場</x:v>
      </x:c>
      <x:c r="N21" s="30" t="n">
        <x:v>70.08333333333333</x:v>
      </x:c>
      <x:c r="O21" s="30" t="n">
        <x:v>143.15</x:v>
      </x:c>
      <x:c r="P21" s="26" t="n">
        <x:f>O21/IF(C21="デイ",420,780)</x:f>
        <x:v>0.3408333333333333</x:v>
      </x:c>
      <x:c r="Q21" s="27" t="n">
        <x:v>1.5072222222222222</x:v>
      </x:c>
    </x:row>
    <x:row r="22" ht="22" customHeight="1">
      <x:c r="A22" s="2" t="str">
        <x:v>M1</x:v>
      </x:c>
      <x:c r="B22" s="24" t="d">
        <x:v>2026-09-30T17:00:00.000Z</x:v>
      </x:c>
      <x:c r="C22" s="2" t="str">
        <x:v>ナイト</x:v>
      </x:c>
      <x:c r="D22" s="20" t="n">
        <x:v>21664</x:v>
      </x:c>
      <x:c r="E22" s="20" t="n">
        <x:v>15418</x:v>
      </x:c>
      <x:c r="F22" s="20" t="n">
        <x:f>D22-E22</x:f>
        <x:v>6246</x:v>
      </x:c>
      <x:c r="G22" s="20" t="n">
        <x:f>SUMIFS($F$7:$F$56,$A$7:$A$56,A22,$B$7:$B$56,"&lt;="&amp;B22)</x:f>
        <x:v>437818</x:v>
      </x:c>
      <x:c r="H22" s="20" t="n">
        <x:v>1254</x:v>
      </x:c>
      <x:c r="I22" s="20" t="n">
        <x:v>7500</x:v>
      </x:c>
      <x:c r="J22" s="29" t="n">
        <x:v>3</x:v>
      </x:c>
      <x:c r="K22" s="29" t="n">
        <x:v>15</x:v>
      </x:c>
      <x:c r="L22" s="29" t="n">
        <x:v>5</x:v>
      </x:c>
      <x:c r="M22" s="31" t="str">
        <x:v>対照47場</x:v>
      </x:c>
      <x:c r="N22" s="30" t="n">
        <x:v>368.18333333333334</x:v>
      </x:c>
      <x:c r="O22" s="30" t="n">
        <x:v>56.5</x:v>
      </x:c>
      <x:c r="P22" s="26" t="n">
        <x:f>O22/IF(C22="デイ",420,780)</x:f>
        <x:v>0.07243589743589744</x:v>
      </x:c>
      <x:c r="Q22" s="27" t="n">
        <x:v>0.36217948717948717</x:v>
      </x:c>
    </x:row>
    <x:row r="23" ht="22" customHeight="1">
      <x:c r="A23" s="2" t="str">
        <x:v>M1</x:v>
      </x:c>
      <x:c r="B23" s="24" t="d">
        <x:v>2026-10-01T08:45:00.000Z</x:v>
      </x:c>
      <x:c r="C23" s="2" t="str">
        <x:v>デイ</x:v>
      </x:c>
      <x:c r="D23" s="20" t="n">
        <x:v>94084</x:v>
      </x:c>
      <x:c r="E23" s="20" t="n">
        <x:v>13332</x:v>
      </x:c>
      <x:c r="F23" s="20" t="n">
        <x:f>D23-E23</x:f>
        <x:v>80752</x:v>
      </x:c>
      <x:c r="G23" s="20" t="n">
        <x:f>SUMIFS($F$7:$F$56,$A$7:$A$56,A23,$B$7:$B$56,"&lt;="&amp;B23)</x:f>
        <x:v>518570</x:v>
      </x:c>
      <x:c r="H23" s="20" t="n">
        <x:v>748</x:v>
      </x:c>
      <x:c r="I23" s="20" t="n">
        <x:v>81500</x:v>
      </x:c>
      <x:c r="J23" s="29" t="n">
        <x:v>3</x:v>
      </x:c>
      <x:c r="K23" s="29" t="n">
        <x:v>9</x:v>
      </x:c>
      <x:c r="L23" s="29" t="n">
        <x:v>5</x:v>
      </x:c>
      <x:c r="M23" s="31" t="str">
        <x:v>対照47場</x:v>
      </x:c>
      <x:c r="N23" s="30" t="n">
        <x:v>87.7</x:v>
      </x:c>
      <x:c r="O23" s="30" t="n">
        <x:v>218.9</x:v>
      </x:c>
      <x:c r="P23" s="26" t="n">
        <x:f>O23/IF(C23="デイ",420,780)</x:f>
        <x:v>0.5211904761904762</x:v>
      </x:c>
      <x:c r="Q23" s="27" t="n">
        <x:v>1.4528174603174604</x:v>
      </x:c>
    </x:row>
    <x:row r="24" ht="22" customHeight="1">
      <x:c r="A24" s="2" t="str">
        <x:v>M1</x:v>
      </x:c>
      <x:c r="B24" s="24" t="d">
        <x:v>2026-10-01T17:00:00.000Z</x:v>
      </x:c>
      <x:c r="C24" s="2" t="str">
        <x:v>ナイト</x:v>
      </x:c>
      <x:c r="D24" s="20" t="n">
        <x:v>69080</x:v>
      </x:c>
      <x:c r="E24" s="20" t="n">
        <x:v>45836</x:v>
      </x:c>
      <x:c r="F24" s="20" t="n">
        <x:f>D24-E24</x:f>
        <x:v>23244</x:v>
      </x:c>
      <x:c r="G24" s="20" t="n">
        <x:f>SUMIFS($F$7:$F$56,$A$7:$A$56,A24,$B$7:$B$56,"&lt;="&amp;B24)</x:f>
        <x:v>541814</x:v>
      </x:c>
      <x:c r="H24" s="20" t="n">
        <x:v>2256</x:v>
      </x:c>
      <x:c r="I24" s="20" t="n">
        <x:v>25500</x:v>
      </x:c>
      <x:c r="J24" s="29" t="n">
        <x:v>6</x:v>
      </x:c>
      <x:c r="K24" s="29" t="n">
        <x:v>27</x:v>
      </x:c>
      <x:c r="L24" s="29" t="n">
        <x:v>5</x:v>
      </x:c>
      <x:c r="M24" s="31" t="str">
        <x:v>対照47場</x:v>
      </x:c>
      <x:c r="N24" s="30" t="n">
        <x:v>127.45</x:v>
      </x:c>
      <x:c r="O24" s="30" t="n">
        <x:v>105.16666666666667</x:v>
      </x:c>
      <x:c r="P24" s="26" t="n">
        <x:f>O24/IF(C24="デイ",420,780)</x:f>
        <x:v>0.13482905982905982</x:v>
      </x:c>
      <x:c r="Q24" s="27" t="n">
        <x:v>0.6419658119658119</x:v>
      </x:c>
    </x:row>
    <x:row r="25" ht="22" customHeight="1">
      <x:c r="A25" s="2" t="str">
        <x:v>M1</x:v>
      </x:c>
      <x:c r="B25" s="24" t="d">
        <x:v>2026-10-02T08:45:00.000Z</x:v>
      </x:c>
      <x:c r="C25" s="2" t="str">
        <x:v>デイ</x:v>
      </x:c>
      <x:c r="D25" s="20" t="n">
        <x:v>15502</x:v>
      </x:c>
      <x:c r="E25" s="20" t="n">
        <x:v>30416</x:v>
      </x:c>
      <x:c r="F25" s="20" t="n">
        <x:f>D25-E25</x:f>
        <x:v>-14914</x:v>
      </x:c>
      <x:c r="G25" s="20" t="n">
        <x:f>SUMIFS($F$7:$F$56,$A$7:$A$56,A25,$B$7:$B$56,"&lt;="&amp;B25)</x:f>
        <x:v>526900</x:v>
      </x:c>
      <x:c r="H25" s="20" t="n">
        <x:v>1414</x:v>
      </x:c>
      <x:c r="I25" s="20" t="n">
        <x:v>-13500</x:v>
      </x:c>
      <x:c r="J25" s="29" t="n">
        <x:v>7</x:v>
      </x:c>
      <x:c r="K25" s="29" t="n">
        <x:v>17</x:v>
      </x:c>
      <x:c r="L25" s="29" t="n">
        <x:v>5</x:v>
      </x:c>
      <x:c r="M25" s="31" t="str">
        <x:v>対照47場</x:v>
      </x:c>
      <x:c r="N25" s="30" t="n">
        <x:v>68.03333333333333</x:v>
      </x:c>
      <x:c r="O25" s="30" t="n">
        <x:v>218.68333333333334</x:v>
      </x:c>
      <x:c r="P25" s="26" t="n">
        <x:f>O25/IF(C25="デイ",420,780)</x:f>
        <x:v>0.5206746031746032</x:v>
      </x:c>
      <x:c r="Q25" s="27" t="n">
        <x:v>2.166706349206349</x:v>
      </x:c>
    </x:row>
    <x:row r="26" ht="22" customHeight="1">
      <x:c r="A26" s="2" t="str">
        <x:v>M1</x:v>
      </x:c>
      <x:c r="B26" s="24" t="d">
        <x:v>2026-10-02T17:00:00.000Z</x:v>
      </x:c>
      <x:c r="C26" s="2" t="str">
        <x:v>ナイト</x:v>
      </x:c>
      <x:c r="D26" s="20" t="n">
        <x:v>97082</x:v>
      </x:c>
      <x:c r="E26" s="20" t="n">
        <x:v>66167</x:v>
      </x:c>
      <x:c r="F26" s="20" t="n">
        <x:f>D26-E26</x:f>
        <x:v>30915</x:v>
      </x:c>
      <x:c r="G26" s="20" t="n">
        <x:f>SUMIFS($F$7:$F$56,$A$7:$A$56,A26,$B$7:$B$56,"&lt;="&amp;B26)</x:f>
        <x:v>557815</x:v>
      </x:c>
      <x:c r="H26" s="20" t="n">
        <x:v>1585</x:v>
      </x:c>
      <x:c r="I26" s="20" t="n">
        <x:v>32500</x:v>
      </x:c>
      <x:c r="J26" s="29" t="n">
        <x:v>5</x:v>
      </x:c>
      <x:c r="K26" s="29" t="n">
        <x:v>19</x:v>
      </x:c>
      <x:c r="L26" s="29" t="n">
        <x:v>5</x:v>
      </x:c>
      <x:c r="M26" s="31" t="str">
        <x:v>対照47場</x:v>
      </x:c>
      <x:c r="N26" s="30" t="n">
        <x:v>104.26666666666667</x:v>
      </x:c>
      <x:c r="O26" s="30" t="n">
        <x:v>73.05</x:v>
      </x:c>
      <x:c r="P26" s="26" t="n">
        <x:f>O26/IF(C26="デイ",420,780)</x:f>
        <x:v>0.09365384615384616</x:v>
      </x:c>
      <x:c r="Q26" s="27" t="n">
        <x:v>0.4183974358974359</x:v>
      </x:c>
    </x:row>
    <x:row r="27" ht="22" customHeight="1">
      <x:c r="A27" s="2" t="str">
        <x:v>M1</x:v>
      </x:c>
      <x:c r="B27" s="24" t="d">
        <x:v>2026-10-05T08:45:00.000Z</x:v>
      </x:c>
      <x:c r="C27" s="2" t="str">
        <x:v>デイ</x:v>
      </x:c>
      <x:c r="D27" s="20" t="n">
        <x:v>39251</x:v>
      </x:c>
      <x:c r="E27" s="20" t="n">
        <x:v>93170</x:v>
      </x:c>
      <x:c r="F27" s="20" t="n">
        <x:f>D27-E27</x:f>
        <x:v>-53919</x:v>
      </x:c>
      <x:c r="G27" s="20" t="n">
        <x:f>SUMIFS($F$7:$F$56,$A$7:$A$56,A27,$B$7:$B$56,"&lt;="&amp;B27)</x:f>
        <x:v>503896</x:v>
      </x:c>
      <x:c r="H27" s="20" t="n">
        <x:v>2919</x:v>
      </x:c>
      <x:c r="I27" s="20" t="n">
        <x:v>-51000</x:v>
      </x:c>
      <x:c r="J27" s="29" t="n">
        <x:v>10</x:v>
      </x:c>
      <x:c r="K27" s="29" t="n">
        <x:v>35</x:v>
      </x:c>
      <x:c r="L27" s="29" t="n">
        <x:v>5</x:v>
      </x:c>
      <x:c r="M27" s="31" t="str">
        <x:v>対照47場</x:v>
      </x:c>
      <x:c r="N27" s="30" t="n">
        <x:v>81.33333333333333</x:v>
      </x:c>
      <x:c r="O27" s="30" t="n">
        <x:v>128.53333333333333</x:v>
      </x:c>
      <x:c r="P27" s="26" t="n">
        <x:f>O27/IF(C27="デイ",420,780)</x:f>
        <x:v>0.30603174603174604</x:v>
      </x:c>
      <x:c r="Q27" s="27" t="n">
        <x:v>1.1502777777777777</x:v>
      </x:c>
    </x:row>
    <x:row r="28" ht="22" customHeight="1">
      <x:c r="A28" s="2" t="str">
        <x:v>M1</x:v>
      </x:c>
      <x:c r="B28" s="24" t="d">
        <x:v>2026-10-05T17:00:00.000Z</x:v>
      </x:c>
      <x:c r="C28" s="2" t="str">
        <x:v>ナイト</x:v>
      </x:c>
      <x:c r="D28" s="20" t="n">
        <x:v>18834</x:v>
      </x:c>
      <x:c r="E28" s="20" t="n">
        <x:v>53754</x:v>
      </x:c>
      <x:c r="F28" s="20" t="n">
        <x:f>D28-E28</x:f>
        <x:v>-34920</x:v>
      </x:c>
      <x:c r="G28" s="20" t="n">
        <x:f>SUMIFS($F$7:$F$56,$A$7:$A$56,A28,$B$7:$B$56,"&lt;="&amp;B28)</x:f>
        <x:v>468976</x:v>
      </x:c>
      <x:c r="H28" s="20" t="n">
        <x:v>1420</x:v>
      </x:c>
      <x:c r="I28" s="20" t="n">
        <x:v>-33500</x:v>
      </x:c>
      <x:c r="J28" s="29" t="n">
        <x:v>4</x:v>
      </x:c>
      <x:c r="K28" s="29" t="n">
        <x:v>17</x:v>
      </x:c>
      <x:c r="L28" s="29" t="n">
        <x:v>5</x:v>
      </x:c>
      <x:c r="M28" s="31" t="str">
        <x:v>対照47場</x:v>
      </x:c>
      <x:c r="N28" s="30" t="n">
        <x:v>49.68333333333333</x:v>
      </x:c>
      <x:c r="O28" s="30" t="n">
        <x:v>234.81666666666666</x:v>
      </x:c>
      <x:c r="P28" s="26" t="n">
        <x:f>O28/IF(C28="デイ",420,780)</x:f>
        <x:v>0.30104700854700855</x:v>
      </x:c>
      <x:c r="Q28" s="27" t="n">
        <x:v>0.8954273504273504</x:v>
      </x:c>
    </x:row>
    <x:row r="29" ht="22" customHeight="1">
      <x:c r="A29" s="2" t="str">
        <x:v>M1</x:v>
      </x:c>
      <x:c r="B29" s="24" t="d">
        <x:v>2026-10-06T08:45:00.000Z</x:v>
      </x:c>
      <x:c r="C29" s="2" t="str">
        <x:v>デイ</x:v>
      </x:c>
      <x:c r="D29" s="20" t="n">
        <x:v>3668</x:v>
      </x:c>
      <x:c r="E29" s="20" t="n">
        <x:v>42914</x:v>
      </x:c>
      <x:c r="F29" s="20" t="n">
        <x:f>D29-E29</x:f>
        <x:v>-39246</x:v>
      </x:c>
      <x:c r="G29" s="20" t="n">
        <x:f>SUMIFS($F$7:$F$56,$A$7:$A$56,A29,$B$7:$B$56,"&lt;="&amp;B29)</x:f>
        <x:v>429730</x:v>
      </x:c>
      <x:c r="H29" s="20" t="n">
        <x:v>1746</x:v>
      </x:c>
      <x:c r="I29" s="20" t="n">
        <x:v>-37500</x:v>
      </x:c>
      <x:c r="J29" s="29" t="n">
        <x:v>9</x:v>
      </x:c>
      <x:c r="K29" s="29" t="n">
        <x:v>21</x:v>
      </x:c>
      <x:c r="L29" s="29" t="n">
        <x:v>5</x:v>
      </x:c>
      <x:c r="M29" s="31" t="str">
        <x:v>対照47場</x:v>
      </x:c>
      <x:c r="N29" s="30" t="n">
        <x:v>49.166666666666664</x:v>
      </x:c>
      <x:c r="O29" s="30" t="n">
        <x:v>73.38333333333334</x:v>
      </x:c>
      <x:c r="P29" s="26" t="n">
        <x:f>O29/IF(C29="デイ",420,780)</x:f>
        <x:v>0.17472222222222225</x:v>
      </x:c>
      <x:c r="Q29" s="27" t="n">
        <x:v>0.4578968253968254</x:v>
      </x:c>
    </x:row>
    <x:row r="30" ht="22" customHeight="1">
      <x:c r="A30" s="2" t="str">
        <x:v>M1</x:v>
      </x:c>
      <x:c r="B30" s="24" t="d">
        <x:v>2026-10-06T17:00:00.000Z</x:v>
      </x:c>
      <x:c r="C30" s="2" t="str">
        <x:v>ナイト</x:v>
      </x:c>
      <x:c r="D30" s="20" t="n">
        <x:v>0</x:v>
      </x:c>
      <x:c r="E30" s="20" t="n">
        <x:v>40836</x:v>
      </x:c>
      <x:c r="F30" s="20" t="n">
        <x:f>D30-E30</x:f>
        <x:v>-40836</x:v>
      </x:c>
      <x:c r="G30" s="20" t="n">
        <x:f>SUMIFS($F$7:$F$56,$A$7:$A$56,A30,$B$7:$B$56,"&lt;="&amp;B30)</x:f>
        <x:v>388894</x:v>
      </x:c>
      <x:c r="H30" s="20" t="n">
        <x:v>836</x:v>
      </x:c>
      <x:c r="I30" s="20" t="n">
        <x:v>-40000</x:v>
      </x:c>
      <x:c r="J30" s="29" t="n">
        <x:v>2</x:v>
      </x:c>
      <x:c r="K30" s="29" t="n">
        <x:v>10</x:v>
      </x:c>
      <x:c r="L30" s="29" t="n">
        <x:v>5</x:v>
      </x:c>
      <x:c r="M30" s="31" t="str">
        <x:v>対照47場</x:v>
      </x:c>
      <x:c r="N30" s="30" t="n">
        <x:v>367.5</x:v>
      </x:c>
      <x:c r="O30" s="30" t="n">
        <x:v>23.283333333333335</x:v>
      </x:c>
      <x:c r="P30" s="26" t="n">
        <x:f>O30/IF(C30="デイ",420,780)</x:f>
        <x:v>0.029850427350427353</x:v>
      </x:c>
      <x:c r="Q30" s="27" t="n">
        <x:v>0.14925213675213675</x:v>
      </x:c>
    </x:row>
    <x:row r="31" ht="22" customHeight="1">
      <x:c r="A31" s="2" t="str">
        <x:v>M1</x:v>
      </x:c>
      <x:c r="B31" s="24" t="d">
        <x:v>2026-10-07T08:45:00.000Z</x:v>
      </x:c>
      <x:c r="C31" s="2" t="str">
        <x:v>デイ</x:v>
      </x:c>
      <x:c r="D31" s="20" t="n">
        <x:v>72917</x:v>
      </x:c>
      <x:c r="E31" s="20" t="n">
        <x:v>2332</x:v>
      </x:c>
      <x:c r="F31" s="20" t="n">
        <x:f>D31-E31</x:f>
        <x:v>70585</x:v>
      </x:c>
      <x:c r="G31" s="20" t="n">
        <x:f>SUMIFS($F$7:$F$56,$A$7:$A$56,A31,$B$7:$B$56,"&lt;="&amp;B31)</x:f>
        <x:v>459479</x:v>
      </x:c>
      <x:c r="H31" s="20" t="n">
        <x:v>915</x:v>
      </x:c>
      <x:c r="I31" s="20" t="n">
        <x:v>71500</x:v>
      </x:c>
      <x:c r="J31" s="29" t="n">
        <x:v>4</x:v>
      </x:c>
      <x:c r="K31" s="29" t="n">
        <x:v>11</x:v>
      </x:c>
      <x:c r="L31" s="29" t="n">
        <x:v>5</x:v>
      </x:c>
      <x:c r="M31" s="31" t="str">
        <x:v>対照47場</x:v>
      </x:c>
      <x:c r="N31" s="30" t="n">
        <x:v>70.5</x:v>
      </x:c>
      <x:c r="O31" s="30" t="n">
        <x:v>109.18333333333334</x:v>
      </x:c>
      <x:c r="P31" s="26" t="n">
        <x:f>O31/IF(C31="デイ",420,780)</x:f>
        <x:v>0.25996031746031745</x:v>
      </x:c>
      <x:c r="Q31" s="27" t="n">
        <x:v>0.9997222222222222</x:v>
      </x:c>
    </x:row>
    <x:row r="32" ht="22" customHeight="1">
      <x:c r="A32" s="2" t="str">
        <x:v>M1</x:v>
      </x:c>
      <x:c r="B32" s="24" t="d">
        <x:v>2026-10-07T17:00:00.000Z</x:v>
      </x:c>
      <x:c r="C32" s="2" t="str">
        <x:v>ナイト</x:v>
      </x:c>
      <x:c r="D32" s="20" t="n">
        <x:v>20250</x:v>
      </x:c>
      <x:c r="E32" s="20" t="n">
        <x:v>0</x:v>
      </x:c>
      <x:c r="F32" s="20" t="n">
        <x:f>D32-E32</x:f>
        <x:v>20250</x:v>
      </x:c>
      <x:c r="G32" s="20" t="n">
        <x:f>SUMIFS($F$7:$F$56,$A$7:$A$56,A32,$B$7:$B$56,"&lt;="&amp;B32)</x:f>
        <x:v>479729</x:v>
      </x:c>
      <x:c r="H32" s="20" t="n">
        <x:v>750</x:v>
      </x:c>
      <x:c r="I32" s="20" t="n">
        <x:v>21000</x:v>
      </x:c>
      <x:c r="J32" s="29" t="n">
        <x:v>3</x:v>
      </x:c>
      <x:c r="K32" s="29" t="n">
        <x:v>9</x:v>
      </x:c>
      <x:c r="L32" s="29" t="n">
        <x:v>5</x:v>
      </x:c>
      <x:c r="M32" s="31" t="str">
        <x:v>対照47場</x:v>
      </x:c>
      <x:c r="N32" s="30" t="n">
        <x:v>270.65</x:v>
      </x:c>
      <x:c r="O32" s="30" t="n">
        <x:v>41.5</x:v>
      </x:c>
      <x:c r="P32" s="26" t="n">
        <x:f>O32/IF(C32="デイ",420,780)</x:f>
        <x:v>0.0532051282051282</x:v>
      </x:c>
      <x:c r="Q32" s="27" t="n">
        <x:v>0.21397435897435899</x:v>
      </x:c>
    </x:row>
    <x:row r="33" ht="22" customHeight="1">
      <x:c r="A33" s="2" t="str">
        <x:v>M1</x:v>
      </x:c>
      <x:c r="B33" s="24" t="d">
        <x:v>2026-10-08T08:45:00.000Z</x:v>
      </x:c>
      <x:c r="C33" s="2" t="str">
        <x:v>デイ</x:v>
      </x:c>
      <x:c r="D33" s="20" t="n">
        <x:v>94669</x:v>
      </x:c>
      <x:c r="E33" s="20" t="n">
        <x:v>22584</x:v>
      </x:c>
      <x:c r="F33" s="20" t="n">
        <x:f>D33-E33</x:f>
        <x:v>72085</x:v>
      </x:c>
      <x:c r="G33" s="20" t="n">
        <x:f>SUMIFS($F$7:$F$56,$A$7:$A$56,A33,$B$7:$B$56,"&lt;="&amp;B33)</x:f>
        <x:v>551814</x:v>
      </x:c>
      <x:c r="H33" s="20" t="n">
        <x:v>1915</x:v>
      </x:c>
      <x:c r="I33" s="20" t="n">
        <x:v>74000</x:v>
      </x:c>
      <x:c r="J33" s="29" t="n">
        <x:v>7</x:v>
      </x:c>
      <x:c r="K33" s="29" t="n">
        <x:v>23</x:v>
      </x:c>
      <x:c r="L33" s="29" t="n">
        <x:v>5</x:v>
      </x:c>
      <x:c r="M33" s="31" t="str">
        <x:v>対照47場</x:v>
      </x:c>
      <x:c r="N33" s="30" t="n">
        <x:v>68.13333333333334</x:v>
      </x:c>
      <x:c r="O33" s="30" t="n">
        <x:v>105.61666666666666</x:v>
      </x:c>
      <x:c r="P33" s="26" t="n">
        <x:f>O33/IF(C33="デイ",420,780)</x:f>
        <x:v>0.25146825396825395</x:v>
      </x:c>
      <x:c r="Q33" s="27" t="n">
        <x:v>0.7768253968253969</x:v>
      </x:c>
    </x:row>
    <x:row r="34" ht="22" customHeight="1">
      <x:c r="A34" s="2" t="str">
        <x:v>M1</x:v>
      </x:c>
      <x:c r="B34" s="24" t="d">
        <x:v>2026-10-08T17:00:00.000Z</x:v>
      </x:c>
      <x:c r="C34" s="2" t="str">
        <x:v>ナイト</x:v>
      </x:c>
      <x:c r="D34" s="20" t="n">
        <x:v>59164</x:v>
      </x:c>
      <x:c r="E34" s="20" t="n">
        <x:v>17918</x:v>
      </x:c>
      <x:c r="F34" s="20" t="n">
        <x:f>D34-E34</x:f>
        <x:v>41246</x:v>
      </x:c>
      <x:c r="G34" s="20" t="n">
        <x:f>SUMIFS($F$7:$F$56,$A$7:$A$56,A34,$B$7:$B$56,"&lt;="&amp;B34)</x:f>
        <x:v>593060</x:v>
      </x:c>
      <x:c r="H34" s="20" t="n">
        <x:v>1254</x:v>
      </x:c>
      <x:c r="I34" s="20" t="n">
        <x:v>42500</x:v>
      </x:c>
      <x:c r="J34" s="29" t="n">
        <x:v>3</x:v>
      </x:c>
      <x:c r="K34" s="29" t="n">
        <x:v>15</x:v>
      </x:c>
      <x:c r="L34" s="29" t="n">
        <x:v>5</x:v>
      </x:c>
      <x:c r="M34" s="31" t="str">
        <x:v>対照47場</x:v>
      </x:c>
      <x:c r="N34" s="30" t="n">
        <x:v>413.2</x:v>
      </x:c>
      <x:c r="O34" s="30" t="n">
        <x:v>72.38333333333334</x:v>
      </x:c>
      <x:c r="P34" s="26" t="n">
        <x:f>O34/IF(C34="デイ",420,780)</x:f>
        <x:v>0.0927991452991453</x:v>
      </x:c>
      <x:c r="Q34" s="27" t="n">
        <x:v>0.4639957264957265</x:v>
      </x:c>
    </x:row>
    <x:row r="35" ht="22" customHeight="1">
      <x:c r="A35" s="2" t="str">
        <x:v>M1</x:v>
      </x:c>
      <x:c r="B35" s="24" t="d">
        <x:v>2026-10-09T08:45:00.000Z</x:v>
      </x:c>
      <x:c r="C35" s="2" t="str">
        <x:v>デイ</x:v>
      </x:c>
      <x:c r="D35" s="20" t="n">
        <x:v>69084</x:v>
      </x:c>
      <x:c r="E35" s="20" t="n">
        <x:v>36584</x:v>
      </x:c>
      <x:c r="F35" s="20" t="n">
        <x:f>D35-E35</x:f>
        <x:v>32500</x:v>
      </x:c>
      <x:c r="G35" s="20" t="n">
        <x:f>SUMIFS($F$7:$F$56,$A$7:$A$56,A35,$B$7:$B$56,"&lt;="&amp;B35)</x:f>
        <x:v>625560</x:v>
      </x:c>
      <x:c r="H35" s="20" t="n">
        <x:v>1000</x:v>
      </x:c>
      <x:c r="I35" s="20" t="n">
        <x:v>33500</x:v>
      </x:c>
      <x:c r="J35" s="29" t="n">
        <x:v>3</x:v>
      </x:c>
      <x:c r="K35" s="29" t="n">
        <x:v>12</x:v>
      </x:c>
      <x:c r="L35" s="29" t="n">
        <x:v>5</x:v>
      </x:c>
      <x:c r="M35" s="31" t="str">
        <x:v>対照47場</x:v>
      </x:c>
      <x:c r="N35" s="30" t="n">
        <x:v>85.61666666666666</x:v>
      </x:c>
      <x:c r="O35" s="30" t="n">
        <x:v>296.76666666666665</x:v>
      </x:c>
      <x:c r="P35" s="26" t="n">
        <x:f>O35/IF(C35="デイ",420,780)</x:f>
        <x:v>0.7065873015873015</x:v>
      </x:c>
      <x:c r="Q35" s="27" t="n">
        <x:v>1.9767460317460317</x:v>
      </x:c>
    </x:row>
    <x:row r="36" ht="22" customHeight="1">
      <x:c r="A36" s="2" t="str">
        <x:v>M1</x:v>
      </x:c>
      <x:c r="B36" s="24" t="d">
        <x:v>2026-10-09T17:00:00.000Z</x:v>
      </x:c>
      <x:c r="C36" s="2" t="str">
        <x:v>ナイト</x:v>
      </x:c>
      <x:c r="D36" s="20" t="n">
        <x:v>14582</x:v>
      </x:c>
      <x:c r="E36" s="20" t="n">
        <x:v>0</x:v>
      </x:c>
      <x:c r="F36" s="20" t="n">
        <x:f>D36-E36</x:f>
        <x:v>14582</x:v>
      </x:c>
      <x:c r="G36" s="20" t="n">
        <x:f>SUMIFS($F$7:$F$56,$A$7:$A$56,A36,$B$7:$B$56,"&lt;="&amp;B36)</x:f>
        <x:v>640142</x:v>
      </x:c>
      <x:c r="H36" s="20" t="n">
        <x:v>418</x:v>
      </x:c>
      <x:c r="I36" s="20" t="n">
        <x:v>15000</x:v>
      </x:c>
      <x:c r="J36" s="29" t="n">
        <x:v>1</x:v>
      </x:c>
      <x:c r="K36" s="29" t="n">
        <x:v>5</x:v>
      </x:c>
      <x:c r="L36" s="29" t="n">
        <x:v>5</x:v>
      </x:c>
      <x:c r="M36" s="31" t="str">
        <x:v>対照47場</x:v>
      </x:c>
      <x:c r="N36" s="30" t="n">
        <x:v>450</x:v>
      </x:c>
      <x:c r="O36" s="30" t="n">
        <x:v>52.56666666666667</x:v>
      </x:c>
      <x:c r="P36" s="26" t="n">
        <x:f>O36/IF(C36="デイ",420,780)</x:f>
        <x:v>0.0673931623931624</x:v>
      </x:c>
      <x:c r="Q36" s="27" t="n">
        <x:v>0.336965811965812</x:v>
      </x:c>
    </x:row>
    <x:row r="37" ht="22" customHeight="1">
      <x:c r="A37" s="2" t="str">
        <x:v>M1</x:v>
      </x:c>
      <x:c r="B37" s="24" t="d">
        <x:v>2026-10-12T08:45:00.000Z</x:v>
      </x:c>
      <x:c r="C37" s="2" t="str">
        <x:v>デイ</x:v>
      </x:c>
      <x:c r="D37" s="20" t="n">
        <x:v>19582</x:v>
      </x:c>
      <x:c r="E37" s="20" t="n">
        <x:v>0</x:v>
      </x:c>
      <x:c r="F37" s="20" t="n">
        <x:f>D37-E37</x:f>
        <x:v>19582</x:v>
      </x:c>
      <x:c r="G37" s="20" t="n">
        <x:f>SUMIFS($F$7:$F$56,$A$7:$A$56,A37,$B$7:$B$56,"&lt;="&amp;B37)</x:f>
        <x:v>659724</x:v>
      </x:c>
      <x:c r="H37" s="20" t="n">
        <x:v>418</x:v>
      </x:c>
      <x:c r="I37" s="20" t="n">
        <x:v>20000</x:v>
      </x:c>
      <x:c r="J37" s="29" t="n">
        <x:v>1</x:v>
      </x:c>
      <x:c r="K37" s="29" t="n">
        <x:v>5</x:v>
      </x:c>
      <x:c r="L37" s="29" t="n">
        <x:v>5</x:v>
      </x:c>
      <x:c r="M37" s="31" t="str">
        <x:v>対照47場</x:v>
      </x:c>
      <x:c r="N37" s="30" t="n">
        <x:v>256</x:v>
      </x:c>
      <x:c r="O37" s="30" t="n">
        <x:v>107</x:v>
      </x:c>
      <x:c r="P37" s="26" t="n">
        <x:f>O37/IF(C37="デイ",420,780)</x:f>
        <x:v>0.25476190476190474</x:v>
      </x:c>
      <x:c r="Q37" s="27" t="n">
        <x:v>1.2738095238095237</x:v>
      </x:c>
    </x:row>
    <x:row r="38" ht="22" customHeight="1">
      <x:c r="A38" s="2" t="str">
        <x:v>M1</x:v>
      </x:c>
      <x:c r="B38" s="24" t="d">
        <x:v>2026-10-12T17:00:00.000Z</x:v>
      </x:c>
      <x:c r="C38" s="2" t="str">
        <x:v>ナイト</x:v>
      </x:c>
      <x:c r="D38" s="20" t="n">
        <x:v>2082</x:v>
      </x:c>
      <x:c r="E38" s="20" t="n">
        <x:v>0</x:v>
      </x:c>
      <x:c r="F38" s="20" t="n">
        <x:f>D38-E38</x:f>
        <x:v>2082</x:v>
      </x:c>
      <x:c r="G38" s="20" t="n">
        <x:f>SUMIFS($F$7:$F$56,$A$7:$A$56,A38,$B$7:$B$56,"&lt;="&amp;B38)</x:f>
        <x:v>661806</x:v>
      </x:c>
      <x:c r="H38" s="20" t="n">
        <x:v>418</x:v>
      </x:c>
      <x:c r="I38" s="20" t="n">
        <x:v>2500</x:v>
      </x:c>
      <x:c r="J38" s="29" t="n">
        <x:v>1</x:v>
      </x:c>
      <x:c r="K38" s="29" t="n">
        <x:v>5</x:v>
      </x:c>
      <x:c r="L38" s="29" t="n">
        <x:v>5</x:v>
      </x:c>
      <x:c r="M38" s="31" t="str">
        <x:v>対照47場</x:v>
      </x:c>
      <x:c r="N38" s="30" t="n">
        <x:v>369.23333333333335</x:v>
      </x:c>
      <x:c r="O38" s="30" t="n">
        <x:v>4.55</x:v>
      </x:c>
      <x:c r="P38" s="26" t="n">
        <x:f>O38/IF(C38="デイ",420,780)</x:f>
        <x:v>0.005833333333333333</x:v>
      </x:c>
      <x:c r="Q38" s="27" t="n">
        <x:v>0.029166666666666667</x:v>
      </x:c>
    </x:row>
    <x:row r="39" ht="22" customHeight="1">
      <x:c r="A39" s="2" t="str">
        <x:v>M1</x:v>
      </x:c>
      <x:c r="B39" s="24" t="d">
        <x:v>2026-10-13T08:45:00.000Z</x:v>
      </x:c>
      <x:c r="C39" s="2" t="str">
        <x:v>デイ</x:v>
      </x:c>
      <x:c r="D39" s="20" t="n">
        <x:v>43084</x:v>
      </x:c>
      <x:c r="E39" s="20" t="n">
        <x:v>42918</x:v>
      </x:c>
      <x:c r="F39" s="20" t="n">
        <x:f>D39-E39</x:f>
        <x:v>166</x:v>
      </x:c>
      <x:c r="G39" s="20" t="n">
        <x:f>SUMIFS($F$7:$F$56,$A$7:$A$56,A39,$B$7:$B$56,"&lt;="&amp;B39)</x:f>
        <x:v>661972</x:v>
      </x:c>
      <x:c r="H39" s="20" t="n">
        <x:v>834</x:v>
      </x:c>
      <x:c r="I39" s="20" t="n">
        <x:v>1000</x:v>
      </x:c>
      <x:c r="J39" s="29" t="n">
        <x:v>2</x:v>
      </x:c>
      <x:c r="K39" s="29" t="n">
        <x:v>10</x:v>
      </x:c>
      <x:c r="L39" s="29" t="n">
        <x:v>5</x:v>
      </x:c>
      <x:c r="M39" s="31" t="str">
        <x:v>対照47場</x:v>
      </x:c>
      <x:c r="N39" s="30" t="n">
        <x:v>66.41666666666667</x:v>
      </x:c>
      <x:c r="O39" s="30" t="n">
        <x:v>307.93333333333334</x:v>
      </x:c>
      <x:c r="P39" s="26" t="n">
        <x:f>O39/IF(C39="デイ",420,780)</x:f>
        <x:v>0.7331746031746031</x:v>
      </x:c>
      <x:c r="Q39" s="27" t="n">
        <x:v>3.1273809523809524</x:v>
      </x:c>
    </x:row>
    <x:row r="40" ht="22" customHeight="1">
      <x:c r="A40" s="2" t="str">
        <x:v>M1</x:v>
      </x:c>
      <x:c r="B40" s="24" t="d">
        <x:v>2026-10-13T17:00:00.000Z</x:v>
      </x:c>
      <x:c r="C40" s="2" t="str">
        <x:v>ナイト</x:v>
      </x:c>
      <x:c r="D40" s="20" t="n">
        <x:v>4582</x:v>
      </x:c>
      <x:c r="E40" s="20" t="n">
        <x:v>0</x:v>
      </x:c>
      <x:c r="F40" s="20" t="n">
        <x:f>D40-E40</x:f>
        <x:v>4582</x:v>
      </x:c>
      <x:c r="G40" s="20" t="n">
        <x:f>SUMIFS($F$7:$F$56,$A$7:$A$56,A40,$B$7:$B$56,"&lt;="&amp;B40)</x:f>
        <x:v>666554</x:v>
      </x:c>
      <x:c r="H40" s="20" t="n">
        <x:v>418</x:v>
      </x:c>
      <x:c r="I40" s="20" t="n">
        <x:v>5000</x:v>
      </x:c>
      <x:c r="J40" s="29" t="n">
        <x:v>1</x:v>
      </x:c>
      <x:c r="K40" s="29" t="n">
        <x:v>5</x:v>
      </x:c>
      <x:c r="L40" s="29" t="n">
        <x:v>5</x:v>
      </x:c>
      <x:c r="M40" s="31" t="str">
        <x:v>対照47場</x:v>
      </x:c>
      <x:c r="N40" s="30" t="n">
        <x:v>362.95</x:v>
      </x:c>
      <x:c r="O40" s="30" t="n">
        <x:v>60.78333333333333</x:v>
      </x:c>
      <x:c r="P40" s="26" t="n">
        <x:f>O40/IF(C40="デイ",420,780)</x:f>
        <x:v>0.07792735042735043</x:v>
      </x:c>
      <x:c r="Q40" s="27" t="n">
        <x:v>0.38963675213675214</x:v>
      </x:c>
    </x:row>
    <x:row r="41" ht="22" customHeight="1">
      <x:c r="A41" s="2" t="str">
        <x:v>M1</x:v>
      </x:c>
      <x:c r="B41" s="24" t="d">
        <x:v>2026-10-14T08:45:00.000Z</x:v>
      </x:c>
      <x:c r="C41" s="2" t="str">
        <x:v>デイ</x:v>
      </x:c>
      <x:c r="D41" s="20" t="n">
        <x:v>16585</x:v>
      </x:c>
      <x:c r="E41" s="20" t="n">
        <x:v>46748</x:v>
      </x:c>
      <x:c r="F41" s="20" t="n">
        <x:f>D41-E41</x:f>
        <x:v>-30163</x:v>
      </x:c>
      <x:c r="G41" s="20" t="n">
        <x:f>SUMIFS($F$7:$F$56,$A$7:$A$56,A41,$B$7:$B$56,"&lt;="&amp;B41)</x:f>
        <x:v>636391</x:v>
      </x:c>
      <x:c r="H41" s="20" t="n">
        <x:v>2163</x:v>
      </x:c>
      <x:c r="I41" s="20" t="n">
        <x:v>-28000</x:v>
      </x:c>
      <x:c r="J41" s="29" t="n">
        <x:v>10</x:v>
      </x:c>
      <x:c r="K41" s="29" t="n">
        <x:v>26</x:v>
      </x:c>
      <x:c r="L41" s="29" t="n">
        <x:v>5</x:v>
      </x:c>
      <x:c r="M41" s="31" t="str">
        <x:v>対照47場</x:v>
      </x:c>
      <x:c r="N41" s="30" t="n">
        <x:v>44.916666666666664</x:v>
      </x:c>
      <x:c r="O41" s="30" t="n">
        <x:v>118.65</x:v>
      </x:c>
      <x:c r="P41" s="26" t="n">
        <x:f>O41/IF(C41="デイ",420,780)</x:f>
        <x:v>0.28250000000000003</x:v>
      </x:c>
      <x:c r="Q41" s="27" t="n">
        <x:v>0.6907539682539683</x:v>
      </x:c>
    </x:row>
    <x:row r="42" ht="22" customHeight="1">
      <x:c r="A42" s="2" t="str">
        <x:v>M1</x:v>
      </x:c>
      <x:c r="B42" s="24" t="d">
        <x:v>2026-10-14T17:00:00.000Z</x:v>
      </x:c>
      <x:c r="C42" s="2" t="str">
        <x:v>ナイト</x:v>
      </x:c>
      <x:c r="D42" s="20" t="n">
        <x:v>64164</x:v>
      </x:c>
      <x:c r="E42" s="20" t="n">
        <x:v>63754</x:v>
      </x:c>
      <x:c r="F42" s="20" t="n">
        <x:f>D42-E42</x:f>
        <x:v>410</x:v>
      </x:c>
      <x:c r="G42" s="20" t="n">
        <x:f>SUMIFS($F$7:$F$56,$A$7:$A$56,A42,$B$7:$B$56,"&lt;="&amp;B42)</x:f>
        <x:v>636801</x:v>
      </x:c>
      <x:c r="H42" s="20" t="n">
        <x:v>2090</x:v>
      </x:c>
      <x:c r="I42" s="20" t="n">
        <x:v>2500</x:v>
      </x:c>
      <x:c r="J42" s="29" t="n">
        <x:v>5</x:v>
      </x:c>
      <x:c r="K42" s="29" t="n">
        <x:v>25</x:v>
      </x:c>
      <x:c r="L42" s="29" t="n">
        <x:v>5</x:v>
      </x:c>
      <x:c r="M42" s="31" t="str">
        <x:v>対照47場</x:v>
      </x:c>
      <x:c r="N42" s="30" t="n">
        <x:v>360.01666666666665</x:v>
      </x:c>
      <x:c r="O42" s="30" t="n">
        <x:v>152.31666666666666</x:v>
      </x:c>
      <x:c r="P42" s="26" t="n">
        <x:f>O42/IF(C42="デイ",420,780)</x:f>
        <x:v>0.19527777777777777</x:v>
      </x:c>
      <x:c r="Q42" s="27" t="n">
        <x:v>0.9763888888888889</x:v>
      </x:c>
    </x:row>
    <x:row r="43" ht="22" customHeight="1">
      <x:c r="A43" s="2" t="str">
        <x:v>M1</x:v>
      </x:c>
      <x:c r="B43" s="24" t="d">
        <x:v>2026-10-15T08:45:00.000Z</x:v>
      </x:c>
      <x:c r="C43" s="2" t="str">
        <x:v>デイ</x:v>
      </x:c>
      <x:c r="D43" s="20" t="n">
        <x:v>132083</x:v>
      </x:c>
      <x:c r="E43" s="20" t="n">
        <x:v>58668</x:v>
      </x:c>
      <x:c r="F43" s="20" t="n">
        <x:f>D43-E43</x:f>
        <x:v>73415</x:v>
      </x:c>
      <x:c r="G43" s="20" t="n">
        <x:f>SUMIFS($F$7:$F$56,$A$7:$A$56,A43,$B$7:$B$56,"&lt;="&amp;B43)</x:f>
        <x:v>710216</x:v>
      </x:c>
      <x:c r="H43" s="20" t="n">
        <x:v>1585</x:v>
      </x:c>
      <x:c r="I43" s="20" t="n">
        <x:v>75000</x:v>
      </x:c>
      <x:c r="J43" s="29" t="n">
        <x:v>5</x:v>
      </x:c>
      <x:c r="K43" s="29" t="n">
        <x:v>19</x:v>
      </x:c>
      <x:c r="L43" s="29" t="n">
        <x:v>5</x:v>
      </x:c>
      <x:c r="M43" s="31" t="str">
        <x:v>対照47場</x:v>
      </x:c>
      <x:c r="N43" s="30" t="n">
        <x:v>67.7</x:v>
      </x:c>
      <x:c r="O43" s="30" t="n">
        <x:v>217.33333333333334</x:v>
      </x:c>
      <x:c r="P43" s="26" t="n">
        <x:f>O43/IF(C43="デイ",420,780)</x:f>
        <x:v>0.5174603174603175</x:v>
      </x:c>
      <x:c r="Q43" s="27" t="n">
        <x:v>1.893888888888889</x:v>
      </x:c>
    </x:row>
    <x:row r="44" ht="22" customHeight="1">
      <x:c r="A44" s="2" t="str">
        <x:v>M1</x:v>
      </x:c>
      <x:c r="B44" s="24" t="d">
        <x:v>2026-10-15T17:00:00.000Z</x:v>
      </x:c>
      <x:c r="C44" s="2" t="str">
        <x:v>ナイト</x:v>
      </x:c>
      <x:c r="D44" s="20" t="n">
        <x:v>80498</x:v>
      </x:c>
      <x:c r="E44" s="20" t="n">
        <x:v>33754</x:v>
      </x:c>
      <x:c r="F44" s="20" t="n">
        <x:f>D44-E44</x:f>
        <x:v>46744</x:v>
      </x:c>
      <x:c r="G44" s="20" t="n">
        <x:f>SUMIFS($F$7:$F$56,$A$7:$A$56,A44,$B$7:$B$56,"&lt;="&amp;B44)</x:f>
        <x:v>756960</x:v>
      </x:c>
      <x:c r="H44" s="20" t="n">
        <x:v>2256</x:v>
      </x:c>
      <x:c r="I44" s="20" t="n">
        <x:v>49000</x:v>
      </x:c>
      <x:c r="J44" s="29" t="n">
        <x:v>6</x:v>
      </x:c>
      <x:c r="K44" s="29" t="n">
        <x:v>27</x:v>
      </x:c>
      <x:c r="L44" s="29" t="n">
        <x:v>5</x:v>
      </x:c>
      <x:c r="M44" s="31" t="str">
        <x:v>対照47場</x:v>
      </x:c>
      <x:c r="N44" s="30" t="n">
        <x:v>361.3333333333333</x:v>
      </x:c>
      <x:c r="O44" s="30" t="n">
        <x:v>87.93333333333334</x:v>
      </x:c>
      <x:c r="P44" s="26" t="n">
        <x:f>O44/IF(C44="デイ",420,780)</x:f>
        <x:v>0.11273504273504274</x:v>
      </x:c>
      <x:c r="Q44" s="27" t="n">
        <x:v>0.5356623931623932</x:v>
      </x:c>
    </x:row>
    <x:row r="45" ht="22" customHeight="1">
      <x:c r="A45" s="2" t="str">
        <x:v>M1</x:v>
      </x:c>
      <x:c r="B45" s="24" t="d">
        <x:v>2026-10-16T08:45:00.000Z</x:v>
      </x:c>
      <x:c r="C45" s="2" t="str">
        <x:v>デイ</x:v>
      </x:c>
      <x:c r="D45" s="20" t="n">
        <x:v>17336</x:v>
      </x:c>
      <x:c r="E45" s="20" t="n">
        <x:v>59832</x:v>
      </x:c>
      <x:c r="F45" s="20" t="n">
        <x:f>D45-E45</x:f>
        <x:v>-42496</x:v>
      </x:c>
      <x:c r="G45" s="20" t="n">
        <x:f>SUMIFS($F$7:$F$56,$A$7:$A$56,A45,$B$7:$B$56,"&lt;="&amp;B45)</x:f>
        <x:v>714464</x:v>
      </x:c>
      <x:c r="H45" s="20" t="n">
        <x:v>2496</x:v>
      </x:c>
      <x:c r="I45" s="20" t="n">
        <x:v>-40000</x:v>
      </x:c>
      <x:c r="J45" s="29" t="n">
        <x:v>12</x:v>
      </x:c>
      <x:c r="K45" s="29" t="n">
        <x:v>30</x:v>
      </x:c>
      <x:c r="L45" s="29" t="n">
        <x:v>5</x:v>
      </x:c>
      <x:c r="M45" s="31" t="str">
        <x:v>対照47場</x:v>
      </x:c>
      <x:c r="N45" s="30" t="n">
        <x:v>55.86666666666667</x:v>
      </x:c>
      <x:c r="O45" s="30" t="n">
        <x:v>234.18333333333334</x:v>
      </x:c>
      <x:c r="P45" s="26" t="n">
        <x:f>O45/IF(C45="デイ",420,780)</x:f>
        <x:v>0.5575793650793651</x:v>
      </x:c>
      <x:c r="Q45" s="27" t="n">
        <x:v>1.9062301587301587</x:v>
      </x:c>
    </x:row>
    <x:row r="46" ht="22" customHeight="1">
      <x:c r="A46" s="2" t="str">
        <x:v>M1</x:v>
      </x:c>
      <x:c r="B46" s="24" t="d">
        <x:v>2026-10-16T17:00:00.000Z</x:v>
      </x:c>
      <x:c r="C46" s="2" t="str">
        <x:v>ナイト</x:v>
      </x:c>
      <x:c r="D46" s="20" t="n">
        <x:v>151664</x:v>
      </x:c>
      <x:c r="E46" s="20" t="n">
        <x:v>38249</x:v>
      </x:c>
      <x:c r="F46" s="20" t="n">
        <x:f>D46-E46</x:f>
        <x:v>113415</x:v>
      </x:c>
      <x:c r="G46" s="20" t="n">
        <x:f>SUMIFS($F$7:$F$56,$A$7:$A$56,A46,$B$7:$B$56,"&lt;="&amp;B46)</x:f>
        <x:v>827879</x:v>
      </x:c>
      <x:c r="H46" s="20" t="n">
        <x:v>1585</x:v>
      </x:c>
      <x:c r="I46" s="20" t="n">
        <x:v>115000</x:v>
      </x:c>
      <x:c r="J46" s="29" t="n">
        <x:v>5</x:v>
      </x:c>
      <x:c r="K46" s="29" t="n">
        <x:v>19</x:v>
      </x:c>
      <x:c r="L46" s="29" t="n">
        <x:v>5</x:v>
      </x:c>
      <x:c r="M46" s="31" t="str">
        <x:v>対照47場</x:v>
      </x:c>
      <x:c r="N46" s="30" t="n">
        <x:v>355.5833333333333</x:v>
      </x:c>
      <x:c r="O46" s="30" t="n">
        <x:v>131.03333333333333</x:v>
      </x:c>
      <x:c r="P46" s="26" t="n">
        <x:f>O46/IF(C46="デイ",420,780)</x:f>
        <x:v>0.167991452991453</x:v>
      </x:c>
      <x:c r="Q46" s="27" t="n">
        <x:v>0.5800213675213676</x:v>
      </x:c>
    </x:row>
    <x:row r="47" ht="22" customHeight="1">
      <x:c r="A47" s="2" t="str">
        <x:v>M1</x:v>
      </x:c>
      <x:c r="B47" s="24" t="d">
        <x:v>2026-10-19T08:45:00.000Z</x:v>
      </x:c>
      <x:c r="C47" s="2" t="str">
        <x:v>デイ</x:v>
      </x:c>
      <x:c r="D47" s="20" t="n">
        <x:v>118083</x:v>
      </x:c>
      <x:c r="E47" s="20" t="n">
        <x:v>47918</x:v>
      </x:c>
      <x:c r="F47" s="20" t="n">
        <x:f>D47-E47</x:f>
        <x:v>70165</x:v>
      </x:c>
      <x:c r="G47" s="20" t="n">
        <x:f>SUMIFS($F$7:$F$56,$A$7:$A$56,A47,$B$7:$B$56,"&lt;="&amp;B47)</x:f>
        <x:v>898044</x:v>
      </x:c>
      <x:c r="H47" s="20" t="n">
        <x:v>835</x:v>
      </x:c>
      <x:c r="I47" s="20" t="n">
        <x:v>71000</x:v>
      </x:c>
      <x:c r="J47" s="29" t="n">
        <x:v>2</x:v>
      </x:c>
      <x:c r="K47" s="29" t="n">
        <x:v>10</x:v>
      </x:c>
      <x:c r="L47" s="29" t="n">
        <x:v>5</x:v>
      </x:c>
      <x:c r="M47" s="31" t="str">
        <x:v>対照47場</x:v>
      </x:c>
      <x:c r="N47" s="30" t="n">
        <x:v>66.71666666666667</x:v>
      </x:c>
      <x:c r="O47" s="30" t="n">
        <x:v>321.96666666666664</x:v>
      </x:c>
      <x:c r="P47" s="26" t="n">
        <x:f>O47/IF(C47="デイ",420,780)</x:f>
        <x:v>0.7665873015873015</x:v>
      </x:c>
      <x:c r="Q47" s="27" t="n">
        <x:v>2.483730158730159</x:v>
      </x:c>
    </x:row>
    <x:row r="48" ht="22" customHeight="1">
      <x:c r="A48" s="2" t="str">
        <x:v>M1</x:v>
      </x:c>
      <x:c r="B48" s="24" t="d">
        <x:v>2026-10-19T17:00:00.000Z</x:v>
      </x:c>
      <x:c r="C48" s="2" t="str">
        <x:v>ナイト</x:v>
      </x:c>
      <x:c r="D48" s="20" t="n">
        <x:v>42499</x:v>
      </x:c>
      <x:c r="E48" s="20" t="n">
        <x:v>38336</x:v>
      </x:c>
      <x:c r="F48" s="20" t="n">
        <x:f>D48-E48</x:f>
        <x:v>4163</x:v>
      </x:c>
      <x:c r="G48" s="20" t="n">
        <x:f>SUMIFS($F$7:$F$56,$A$7:$A$56,A48,$B$7:$B$56,"&lt;="&amp;B48)</x:f>
        <x:v>902207</x:v>
      </x:c>
      <x:c r="H48" s="20" t="n">
        <x:v>1837</x:v>
      </x:c>
      <x:c r="I48" s="20" t="n">
        <x:v>6000</x:v>
      </x:c>
      <x:c r="J48" s="29" t="n">
        <x:v>5</x:v>
      </x:c>
      <x:c r="K48" s="29" t="n">
        <x:v>22</x:v>
      </x:c>
      <x:c r="L48" s="29" t="n">
        <x:v>5</x:v>
      </x:c>
      <x:c r="M48" s="31" t="str">
        <x:v>対照47場</x:v>
      </x:c>
      <x:c r="N48" s="30" t="n">
        <x:v>352.01666666666665</x:v>
      </x:c>
      <x:c r="O48" s="30" t="n">
        <x:v>109.6</x:v>
      </x:c>
      <x:c r="P48" s="26" t="n">
        <x:f>O48/IF(C48="デイ",420,780)</x:f>
        <x:v>0.14051282051282052</x:v>
      </x:c>
      <x:c r="Q48" s="27" t="n">
        <x:v>0.6407264957264958</x:v>
      </x:c>
    </x:row>
    <x:row r="49" ht="22" customHeight="1">
      <x:c r="A49" s="2" t="str">
        <x:v>M1</x:v>
      </x:c>
      <x:c r="B49" s="24" t="d">
        <x:v>2026-10-20T08:45:00.000Z</x:v>
      </x:c>
      <x:c r="C49" s="2" t="str">
        <x:v>デイ</x:v>
      </x:c>
      <x:c r="D49" s="20" t="n">
        <x:v>56251</x:v>
      </x:c>
      <x:c r="E49" s="20" t="n">
        <x:v>86000</x:v>
      </x:c>
      <x:c r="F49" s="20" t="n">
        <x:f>D49-E49</x:f>
        <x:v>-29749</x:v>
      </x:c>
      <x:c r="G49" s="20" t="n">
        <x:f>SUMIFS($F$7:$F$56,$A$7:$A$56,A49,$B$7:$B$56,"&lt;="&amp;B49)</x:f>
        <x:v>872458</x:v>
      </x:c>
      <x:c r="H49" s="20" t="n">
        <x:v>2249</x:v>
      </x:c>
      <x:c r="I49" s="20" t="n">
        <x:v>-27500</x:v>
      </x:c>
      <x:c r="J49" s="29" t="n">
        <x:v>9</x:v>
      </x:c>
      <x:c r="K49" s="29" t="n">
        <x:v>27</x:v>
      </x:c>
      <x:c r="L49" s="29" t="n">
        <x:v>5</x:v>
      </x:c>
      <x:c r="M49" s="31" t="str">
        <x:v>対照47場</x:v>
      </x:c>
      <x:c r="N49" s="30" t="n">
        <x:v>69.8</x:v>
      </x:c>
      <x:c r="O49" s="30" t="n">
        <x:v>100.71666666666667</x:v>
      </x:c>
      <x:c r="P49" s="26" t="n">
        <x:f>O49/IF(C49="デイ",420,780)</x:f>
        <x:v>0.2398015873015873</x:v>
      </x:c>
      <x:c r="Q49" s="27" t="n">
        <x:v>0.7403968253968254</x:v>
      </x:c>
    </x:row>
    <x:row r="50" ht="22" customHeight="1">
      <x:c r="A50" s="2" t="str">
        <x:v>M1</x:v>
      </x:c>
      <x:c r="B50" s="24" t="d">
        <x:v>2026-10-20T17:00:00.000Z</x:v>
      </x:c>
      <x:c r="C50" s="2" t="str">
        <x:v>ナイト</x:v>
      </x:c>
      <x:c r="D50" s="20" t="n">
        <x:v>84582</x:v>
      </x:c>
      <x:c r="E50" s="20" t="n">
        <x:v>61001</x:v>
      </x:c>
      <x:c r="F50" s="20" t="n">
        <x:f>D50-E50</x:f>
        <x:v>23581</x:v>
      </x:c>
      <x:c r="G50" s="20" t="n">
        <x:f>SUMIFS($F$7:$F$56,$A$7:$A$56,A50,$B$7:$B$56,"&lt;="&amp;B50)</x:f>
        <x:v>896039</x:v>
      </x:c>
      <x:c r="H50" s="20" t="n">
        <x:v>1419</x:v>
      </x:c>
      <x:c r="I50" s="20" t="n">
        <x:v>25000</x:v>
      </x:c>
      <x:c r="J50" s="29" t="n">
        <x:v>4</x:v>
      </x:c>
      <x:c r="K50" s="29" t="n">
        <x:v>17</x:v>
      </x:c>
      <x:c r="L50" s="29" t="n">
        <x:v>5</x:v>
      </x:c>
      <x:c r="M50" s="31" t="str">
        <x:v>対照47場</x:v>
      </x:c>
      <x:c r="N50" s="30" t="n">
        <x:v>367.26666666666665</x:v>
      </x:c>
      <x:c r="O50" s="30" t="n">
        <x:v>66.35</x:v>
      </x:c>
      <x:c r="P50" s="26" t="n">
        <x:f>O50/IF(C50="デイ",420,780)</x:f>
        <x:v>0.08506410256410256</x:v>
      </x:c>
      <x:c r="Q50" s="27" t="n">
        <x:v>0.37666666666666665</x:v>
      </x:c>
    </x:row>
    <x:row r="51" ht="22" customHeight="1">
      <x:c r="A51" s="2" t="str">
        <x:v>M1</x:v>
      </x:c>
      <x:c r="B51" s="24" t="d">
        <x:v>2026-10-21T08:45:00.000Z</x:v>
      </x:c>
      <x:c r="C51" s="2" t="str">
        <x:v>デイ</x:v>
      </x:c>
      <x:c r="D51" s="20" t="n">
        <x:v>48585</x:v>
      </x:c>
      <x:c r="E51" s="20" t="n">
        <x:v>38748</x:v>
      </x:c>
      <x:c r="F51" s="20" t="n">
        <x:f>D51-E51</x:f>
        <x:v>9837</x:v>
      </x:c>
      <x:c r="G51" s="20" t="n">
        <x:f>SUMIFS($F$7:$F$56,$A$7:$A$56,A51,$B$7:$B$56,"&lt;="&amp;B51)</x:f>
        <x:v>905876</x:v>
      </x:c>
      <x:c r="H51" s="20" t="n">
        <x:v>2163</x:v>
      </x:c>
      <x:c r="I51" s="20" t="n">
        <x:v>12000</x:v>
      </x:c>
      <x:c r="J51" s="29" t="n">
        <x:v>10</x:v>
      </x:c>
      <x:c r="K51" s="29" t="n">
        <x:v>26</x:v>
      </x:c>
      <x:c r="L51" s="29" t="n">
        <x:v>5</x:v>
      </x:c>
      <x:c r="M51" s="31" t="str">
        <x:v>対照47場</x:v>
      </x:c>
      <x:c r="N51" s="30" t="n">
        <x:v>50.083333333333336</x:v>
      </x:c>
      <x:c r="O51" s="30" t="n">
        <x:v>126.01666666666667</x:v>
      </x:c>
      <x:c r="P51" s="26" t="n">
        <x:f>O51/IF(C51="デイ",420,780)</x:f>
        <x:v>0.30003968253968255</x:v>
      </x:c>
      <x:c r="Q51" s="27" t="n">
        <x:v>0.9138888888888889</x:v>
      </x:c>
    </x:row>
    <x:row r="52" ht="22" customHeight="1">
      <x:c r="A52" s="2" t="str">
        <x:v>M1</x:v>
      </x:c>
      <x:c r="B52" s="24" t="d">
        <x:v>2026-10-21T17:00:00.000Z</x:v>
      </x:c>
      <x:c r="C52" s="2" t="str">
        <x:v>ナイト</x:v>
      </x:c>
      <x:c r="D52" s="20" t="n">
        <x:v>24164</x:v>
      </x:c>
      <x:c r="E52" s="20" t="n">
        <x:v>22918</x:v>
      </x:c>
      <x:c r="F52" s="20" t="n">
        <x:f>D52-E52</x:f>
        <x:v>1246</x:v>
      </x:c>
      <x:c r="G52" s="20" t="n">
        <x:f>SUMIFS($F$7:$F$56,$A$7:$A$56,A52,$B$7:$B$56,"&lt;="&amp;B52)</x:f>
        <x:v>907122</x:v>
      </x:c>
      <x:c r="H52" s="20" t="n">
        <x:v>1254</x:v>
      </x:c>
      <x:c r="I52" s="20" t="n">
        <x:v>2500</x:v>
      </x:c>
      <x:c r="J52" s="29" t="n">
        <x:v>3</x:v>
      </x:c>
      <x:c r="K52" s="29" t="n">
        <x:v>15</x:v>
      </x:c>
      <x:c r="L52" s="29" t="n">
        <x:v>5</x:v>
      </x:c>
      <x:c r="M52" s="31" t="str">
        <x:v>対照47場</x:v>
      </x:c>
      <x:c r="N52" s="30" t="n">
        <x:v>393.3</x:v>
      </x:c>
      <x:c r="O52" s="30" t="n">
        <x:v>121.51666666666667</x:v>
      </x:c>
      <x:c r="P52" s="26" t="n">
        <x:f>O52/IF(C52="デイ",420,780)</x:f>
        <x:v>0.1557905982905983</x:v>
      </x:c>
      <x:c r="Q52" s="27" t="n">
        <x:v>0.7789529914529915</x:v>
      </x:c>
    </x:row>
    <x:row r="53" ht="22" customHeight="1">
      <x:c r="A53" s="2" t="str">
        <x:v>M1</x:v>
      </x:c>
      <x:c r="B53" s="24" t="d">
        <x:v>2026-10-22T08:45:00.000Z</x:v>
      </x:c>
      <x:c r="C53" s="2" t="str">
        <x:v>デイ</x:v>
      </x:c>
      <x:c r="D53" s="20" t="n">
        <x:v>96251</x:v>
      </x:c>
      <x:c r="E53" s="20" t="n">
        <x:v>48082</x:v>
      </x:c>
      <x:c r="F53" s="20" t="n">
        <x:f>D53-E53</x:f>
        <x:v>48169</x:v>
      </x:c>
      <x:c r="G53" s="20" t="n">
        <x:f>SUMIFS($F$7:$F$56,$A$7:$A$56,A53,$B$7:$B$56,"&lt;="&amp;B53)</x:f>
        <x:v>955291</x:v>
      </x:c>
      <x:c r="H53" s="20" t="n">
        <x:v>1831</x:v>
      </x:c>
      <x:c r="I53" s="20" t="n">
        <x:v>50000</x:v>
      </x:c>
      <x:c r="J53" s="29" t="n">
        <x:v>8</x:v>
      </x:c>
      <x:c r="K53" s="29" t="n">
        <x:v>22</x:v>
      </x:c>
      <x:c r="L53" s="29" t="n">
        <x:v>5</x:v>
      </x:c>
      <x:c r="M53" s="31" t="str">
        <x:v>対照47場</x:v>
      </x:c>
      <x:c r="N53" s="30" t="n">
        <x:v>79.76666666666667</x:v>
      </x:c>
      <x:c r="O53" s="30" t="n">
        <x:v>173.68333333333334</x:v>
      </x:c>
      <x:c r="P53" s="26" t="n">
        <x:f>O53/IF(C53="デイ",420,780)</x:f>
        <x:v>0.41353174603174603</x:v>
      </x:c>
      <x:c r="Q53" s="27" t="n">
        <x:v>1.4175396825396824</x:v>
      </x:c>
    </x:row>
    <x:row r="54" ht="22" customHeight="1">
      <x:c r="A54" s="2" t="str">
        <x:v>M1</x:v>
      </x:c>
      <x:c r="B54" s="24" t="d">
        <x:v>2026-10-22T17:00:00.000Z</x:v>
      </x:c>
      <x:c r="C54" s="2" t="str">
        <x:v>ナイト</x:v>
      </x:c>
      <x:c r="D54" s="20" t="n">
        <x:v>77915</x:v>
      </x:c>
      <x:c r="E54" s="20" t="n">
        <x:v>43501</x:v>
      </x:c>
      <x:c r="F54" s="20" t="n">
        <x:f>D54-E54</x:f>
        <x:v>34414</x:v>
      </x:c>
      <x:c r="G54" s="20" t="n">
        <x:f>SUMIFS($F$7:$F$56,$A$7:$A$56,A54,$B$7:$B$56,"&lt;="&amp;B54)</x:f>
        <x:v>989705</x:v>
      </x:c>
      <x:c r="H54" s="20" t="n">
        <x:v>2586</x:v>
      </x:c>
      <x:c r="I54" s="20" t="n">
        <x:v>37000</x:v>
      </x:c>
      <x:c r="J54" s="29" t="n">
        <x:v>8</x:v>
      </x:c>
      <x:c r="K54" s="29" t="n">
        <x:v>31</x:v>
      </x:c>
      <x:c r="L54" s="29" t="n">
        <x:v>5</x:v>
      </x:c>
      <x:c r="M54" s="31" t="str">
        <x:v>診断3場</x:v>
      </x:c>
      <x:c r="N54" s="30" t="n">
        <x:v>71.33333333333333</x:v>
      </x:c>
      <x:c r="O54" s="30" t="n">
        <x:v>83.48333333333333</x:v>
      </x:c>
      <x:c r="P54" s="26" t="n">
        <x:f>O54/IF(C54="デイ",420,780)</x:f>
        <x:v>0.10702991452991453</x:v>
      </x:c>
      <x:c r="Q54" s="27" t="n">
        <x:v>0.34807692307692306</x:v>
      </x:c>
    </x:row>
    <x:row r="55" ht="22" customHeight="1">
      <x:c r="A55" s="2" t="str">
        <x:v>M1</x:v>
      </x:c>
      <x:c r="B55" s="24" t="d">
        <x:v>2026-10-23T08:45:00.000Z</x:v>
      </x:c>
      <x:c r="C55" s="2" t="str">
        <x:v>デイ</x:v>
      </x:c>
      <x:c r="D55" s="20" t="n">
        <x:v>82422</x:v>
      </x:c>
      <x:c r="E55" s="20" t="n">
        <x:v>109996</x:v>
      </x:c>
      <x:c r="F55" s="20" t="n">
        <x:f>D55-E55</x:f>
        <x:v>-27574</x:v>
      </x:c>
      <x:c r="G55" s="20" t="n">
        <x:f>SUMIFS($F$7:$F$56,$A$7:$A$56,A55,$B$7:$B$56,"&lt;="&amp;B55)</x:f>
        <x:v>962131</x:v>
      </x:c>
      <x:c r="H55" s="20" t="n">
        <x:v>2574</x:v>
      </x:c>
      <x:c r="I55" s="20" t="n">
        <x:v>-25000</x:v>
      </x:c>
      <x:c r="J55" s="29" t="n">
        <x:v>15</x:v>
      </x:c>
      <x:c r="K55" s="29" t="n">
        <x:v>31</x:v>
      </x:c>
      <x:c r="L55" s="29" t="n">
        <x:v>5</x:v>
      </x:c>
      <x:c r="M55" s="31" t="str">
        <x:v>診断3場</x:v>
      </x:c>
      <x:c r="N55" s="30" t="n">
        <x:v>43.95</x:v>
      </x:c>
      <x:c r="O55" s="30" t="n">
        <x:v>122.2</x:v>
      </x:c>
      <x:c r="P55" s="26" t="n">
        <x:f>O55/IF(C55="デイ",420,780)</x:f>
        <x:v>0.29095238095238096</x:v>
      </x:c>
      <x:c r="Q55" s="27" t="n">
        <x:v>0.5518253968253968</x:v>
      </x:c>
    </x:row>
    <x:row r="56" ht="22" customHeight="1">
      <x:c r="A56" s="2" t="str">
        <x:v>M1</x:v>
      </x:c>
      <x:c r="B56" s="24" t="d">
        <x:v>2026-10-23T17:00:00.000Z</x:v>
      </x:c>
      <x:c r="C56" s="2" t="str">
        <x:v>ナイト</x:v>
      </x:c>
      <x:c r="D56" s="20" t="n">
        <x:v>39750</x:v>
      </x:c>
      <x:c r="E56" s="20" t="n">
        <x:v>12165</x:v>
      </x:c>
      <x:c r="F56" s="20" t="n">
        <x:f>D56-E56</x:f>
        <x:v>27585</x:v>
      </x:c>
      <x:c r="G56" s="20" t="n">
        <x:f>SUMIFS($F$7:$F$56,$A$7:$A$56,A56,$B$7:$B$56,"&lt;="&amp;B56)</x:f>
        <x:v>989716</x:v>
      </x:c>
      <x:c r="H56" s="20" t="n">
        <x:v>915</x:v>
      </x:c>
      <x:c r="I56" s="20" t="n">
        <x:v>28500</x:v>
      </x:c>
      <x:c r="J56" s="29" t="n">
        <x:v>4</x:v>
      </x:c>
      <x:c r="K56" s="29" t="n">
        <x:v>11</x:v>
      </x:c>
      <x:c r="L56" s="29" t="n">
        <x:v>5</x:v>
      </x:c>
      <x:c r="M56" s="31" t="str">
        <x:v>診断3場</x:v>
      </x:c>
      <x:c r="N56" s="30" t="n">
        <x:v>125.96666666666667</x:v>
      </x:c>
      <x:c r="O56" s="30" t="n">
        <x:v>74.86666666666666</x:v>
      </x:c>
      <x:c r="P56" s="26" t="n">
        <x:f>O56/IF(C56="デイ",420,780)</x:f>
        <x:v>0.09598290598290597</x:v>
      </x:c>
      <x:c r="Q56" s="27" t="n">
        <x:v>0.41083333333333333</x:v>
      </x:c>
    </x:row>
  </x:sheetData>
  <x:conditionalFormatting sqref="D7:I56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b87282cc264c48"/>
  </x:tableParts>
</x:worksheet>
</file>

<file path=xl/worksheets/sheet10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TOPIXmini F1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片方向上限10枚。金額は円・手数料後。保有率は昼420分・夜780分が分母。平均保有枚数も公式時間全体で平均し、両建ては合計枚数で数えます。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昼：C06／夜：C13。対照47場：9/21～10/22デイ。診断3場：10/22ナイト～10/23ナイト。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赤字場数を重視した条件切替案。出典：00142保存会計。診断3場は原因分析と改善に使用した期間です。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7" t="str">
        <x:v>保有（分）</x:v>
      </x:c>
      <x:c r="P6" s="17" t="str">
        <x:v>保有率</x:v>
      </x:c>
      <x:c r="Q6" s="18" t="str">
        <x:v>平均保有枚数</x:v>
      </x:c>
    </x:row>
    <x:row r="7" ht="22" customHeight="1">
      <x:c r="A7" s="2" t="str">
        <x:v>F1</x:v>
      </x:c>
      <x:c r="B7" s="24" t="d">
        <x:v>2026-09-21T08:45:00.000Z</x:v>
      </x:c>
      <x:c r="C7" s="2" t="str">
        <x:v>デイ</x:v>
      </x:c>
      <x:c r="D7" s="20" t="n">
        <x:v>0</x:v>
      </x:c>
      <x:c r="E7" s="20" t="n">
        <x:v>20418</x:v>
      </x:c>
      <x:c r="F7" s="20" t="n">
        <x:f>D7-E7</x:f>
        <x:v>-20418</x:v>
      </x:c>
      <x:c r="G7" s="20" t="n">
        <x:f>SUMIFS($F$7:$F$56,$A$7:$A$56,A7,$B$7:$B$56,"&lt;="&amp;B7)</x:f>
        <x:v>-20418</x:v>
      </x:c>
      <x:c r="H7" s="20" t="n">
        <x:v>418</x:v>
      </x:c>
      <x:c r="I7" s="20" t="n">
        <x:v>-20000</x:v>
      </x:c>
      <x:c r="J7" s="29" t="n">
        <x:v>1</x:v>
      </x:c>
      <x:c r="K7" s="29" t="n">
        <x:v>5</x:v>
      </x:c>
      <x:c r="L7" s="29" t="n">
        <x:v>5</x:v>
      </x:c>
      <x:c r="M7" s="31" t="str">
        <x:v>対照47場</x:v>
      </x:c>
      <x:c r="N7" s="30" t="n">
        <x:v>363.18333333333334</x:v>
      </x:c>
      <x:c r="O7" s="30" t="n">
        <x:v>9.033333333333333</x:v>
      </x:c>
      <x:c r="P7" s="26" t="n">
        <x:f>O7/IF(C7="デイ",420,780)</x:f>
        <x:v>0.021507936507936507</x:v>
      </x:c>
      <x:c r="Q7" s="27" t="n">
        <x:v>0.10753968253968255</x:v>
      </x:c>
    </x:row>
    <x:row r="8" ht="22" customHeight="1">
      <x:c r="A8" s="2" t="str">
        <x:v>F1</x:v>
      </x:c>
      <x:c r="B8" s="24" t="d">
        <x:v>2026-09-21T17:00:00.000Z</x:v>
      </x:c>
      <x:c r="C8" s="2" t="str">
        <x:v>ナイト</x:v>
      </x:c>
      <x:c r="D8" s="20" t="n">
        <x:v>7082</x:v>
      </x:c>
      <x:c r="E8" s="20" t="n">
        <x:v>0</x:v>
      </x:c>
      <x:c r="F8" s="20" t="n">
        <x:f>D8-E8</x:f>
        <x:v>7082</x:v>
      </x:c>
      <x:c r="G8" s="20" t="n">
        <x:f>SUMIFS($F$7:$F$56,$A$7:$A$56,A8,$B$7:$B$56,"&lt;="&amp;B8)</x:f>
        <x:v>-13336</x:v>
      </x:c>
      <x:c r="H8" s="20" t="n">
        <x:v>418</x:v>
      </x:c>
      <x:c r="I8" s="20" t="n">
        <x:v>7500</x:v>
      </x:c>
      <x:c r="J8" s="29" t="n">
        <x:v>1</x:v>
      </x:c>
      <x:c r="K8" s="29" t="n">
        <x:v>5</x:v>
      </x:c>
      <x:c r="L8" s="29" t="n">
        <x:v>5</x:v>
      </x:c>
      <x:c r="M8" s="31" t="str">
        <x:v>対照47場</x:v>
      </x:c>
      <x:c r="N8" s="30" t="n">
        <x:v>385.95</x:v>
      </x:c>
      <x:c r="O8" s="30" t="n">
        <x:v>8.5</x:v>
      </x:c>
      <x:c r="P8" s="26" t="n">
        <x:f>O8/IF(C8="デイ",420,780)</x:f>
        <x:v>0.010897435897435897</x:v>
      </x:c>
      <x:c r="Q8" s="27" t="n">
        <x:v>0.05448717948717949</x:v>
      </x:c>
    </x:row>
    <x:row r="9" ht="22" customHeight="1">
      <x:c r="A9" s="2" t="str">
        <x:v>F1</x:v>
      </x:c>
      <x:c r="B9" s="24" t="d">
        <x:v>2026-09-22T08:45:00.000Z</x:v>
      </x:c>
      <x:c r="C9" s="2" t="str">
        <x:v>デイ</x:v>
      </x:c>
      <x:c r="D9" s="20" t="n">
        <x:v>20584</x:v>
      </x:c>
      <x:c r="E9" s="20" t="n">
        <x:v>20418</x:v>
      </x:c>
      <x:c r="F9" s="20" t="n">
        <x:f>D9-E9</x:f>
        <x:v>166</x:v>
      </x:c>
      <x:c r="G9" s="20" t="n">
        <x:f>SUMIFS($F$7:$F$56,$A$7:$A$56,A9,$B$7:$B$56,"&lt;="&amp;B9)</x:f>
        <x:v>-13170</x:v>
      </x:c>
      <x:c r="H9" s="20" t="n">
        <x:v>834</x:v>
      </x:c>
      <x:c r="I9" s="20" t="n">
        <x:v>1000</x:v>
      </x:c>
      <x:c r="J9" s="29" t="n">
        <x:v>2</x:v>
      </x:c>
      <x:c r="K9" s="29" t="n">
        <x:v>10</x:v>
      </x:c>
      <x:c r="L9" s="29" t="n">
        <x:v>5</x:v>
      </x:c>
      <x:c r="M9" s="31" t="str">
        <x:v>対照47場</x:v>
      </x:c>
      <x:c r="N9" s="30" t="n">
        <x:v>100.41666666666667</x:v>
      </x:c>
      <x:c r="O9" s="30" t="n">
        <x:v>18.416666666666668</x:v>
      </x:c>
      <x:c r="P9" s="26" t="n">
        <x:f>O9/IF(C9="デイ",420,780)</x:f>
        <x:v>0.04384920634920635</x:v>
      </x:c>
      <x:c r="Q9" s="27" t="n">
        <x:v>0.17432539682539683</x:v>
      </x:c>
    </x:row>
    <x:row r="10" ht="22" customHeight="1">
      <x:c r="A10" s="2" t="str">
        <x:v>F1</x:v>
      </x:c>
      <x:c r="B10" s="24" t="d">
        <x:v>2026-09-22T17:00:00.000Z</x:v>
      </x:c>
      <x:c r="C10" s="2" t="str">
        <x:v>ナイト</x:v>
      </x:c>
      <x:c r="D10" s="20" t="n">
        <x:v>13834</x:v>
      </x:c>
      <x:c r="E10" s="20" t="n">
        <x:v>53754</x:v>
      </x:c>
      <x:c r="F10" s="20" t="n">
        <x:f>D10-E10</x:f>
        <x:v>-39920</x:v>
      </x:c>
      <x:c r="G10" s="20" t="n">
        <x:f>SUMIFS($F$7:$F$56,$A$7:$A$56,A10,$B$7:$B$56,"&lt;="&amp;B10)</x:f>
        <x:v>-53090</x:v>
      </x:c>
      <x:c r="H10" s="20" t="n">
        <x:v>1420</x:v>
      </x:c>
      <x:c r="I10" s="20" t="n">
        <x:v>-38500</x:v>
      </x:c>
      <x:c r="J10" s="29" t="n">
        <x:v>4</x:v>
      </x:c>
      <x:c r="K10" s="29" t="n">
        <x:v>17</x:v>
      </x:c>
      <x:c r="L10" s="29" t="n">
        <x:v>5</x:v>
      </x:c>
      <x:c r="M10" s="31" t="str">
        <x:v>対照47場</x:v>
      </x:c>
      <x:c r="N10" s="30" t="n">
        <x:v>43.68333333333333</x:v>
      </x:c>
      <x:c r="O10" s="30" t="n">
        <x:v>50.81666666666667</x:v>
      </x:c>
      <x:c r="P10" s="26" t="n">
        <x:f>O10/IF(C10="デイ",420,780)</x:f>
        <x:v>0.06514957264957265</x:v>
      </x:c>
      <x:c r="Q10" s="27" t="n">
        <x:v>0.2685683760683761</x:v>
      </x:c>
    </x:row>
    <x:row r="11" ht="22" customHeight="1">
      <x:c r="A11" s="2" t="str">
        <x:v>F1</x:v>
      </x:c>
      <x:c r="B11" s="24" t="d">
        <x:v>2026-09-23T08:45:00.000Z</x:v>
      </x:c>
      <x:c r="C11" s="2" t="str">
        <x:v>デイ</x:v>
      </x:c>
      <x:c r="D11" s="20" t="n">
        <x:v>77584</x:v>
      </x:c>
      <x:c r="E11" s="20" t="n">
        <x:v>0</x:v>
      </x:c>
      <x:c r="F11" s="20" t="n">
        <x:f>D11-E11</x:f>
        <x:v>77584</x:v>
      </x:c>
      <x:c r="G11" s="20" t="n">
        <x:f>SUMIFS($F$7:$F$56,$A$7:$A$56,A11,$B$7:$B$56,"&lt;="&amp;B11)</x:f>
        <x:v>24494</x:v>
      </x:c>
      <x:c r="H11" s="20" t="n">
        <x:v>416</x:v>
      </x:c>
      <x:c r="I11" s="20" t="n">
        <x:v>78000</x:v>
      </x:c>
      <x:c r="J11" s="29" t="n">
        <x:v>1</x:v>
      </x:c>
      <x:c r="K11" s="29" t="n">
        <x:v>5</x:v>
      </x:c>
      <x:c r="L11" s="29" t="n">
        <x:v>5</x:v>
      </x:c>
      <x:c r="M11" s="31" t="str">
        <x:v>対照47場</x:v>
      </x:c>
      <x:c r="N11" s="30" t="n">
        <x:v>68.45</x:v>
      </x:c>
      <x:c r="O11" s="30" t="n">
        <x:v>158.21666666666667</x:v>
      </x:c>
      <x:c r="P11" s="26" t="n">
        <x:f>O11/IF(C11="デイ",420,780)</x:f>
        <x:v>0.3767063492063492</x:v>
      </x:c>
      <x:c r="Q11" s="27" t="n">
        <x:v>0.9761111111111112</x:v>
      </x:c>
    </x:row>
    <x:row r="12" ht="22" customHeight="1">
      <x:c r="A12" s="2" t="str">
        <x:v>F1</x:v>
      </x:c>
      <x:c r="B12" s="24" t="d">
        <x:v>2026-09-23T17:00:00.000Z</x:v>
      </x:c>
      <x:c r="C12" s="2" t="str">
        <x:v>ナイト</x:v>
      </x:c>
      <x:c r="D12" s="20" t="n">
        <x:v>29164</x:v>
      </x:c>
      <x:c r="E12" s="20" t="n">
        <x:v>0</x:v>
      </x:c>
      <x:c r="F12" s="20" t="n">
        <x:f>D12-E12</x:f>
        <x:v>29164</x:v>
      </x:c>
      <x:c r="G12" s="20" t="n">
        <x:f>SUMIFS($F$7:$F$56,$A$7:$A$56,A12,$B$7:$B$56,"&lt;="&amp;B12)</x:f>
        <x:v>53658</x:v>
      </x:c>
      <x:c r="H12" s="20" t="n">
        <x:v>836</x:v>
      </x:c>
      <x:c r="I12" s="20" t="n">
        <x:v>30000</x:v>
      </x:c>
      <x:c r="J12" s="29" t="n">
        <x:v>2</x:v>
      </x:c>
      <x:c r="K12" s="29" t="n">
        <x:v>10</x:v>
      </x:c>
      <x:c r="L12" s="29" t="n">
        <x:v>5</x:v>
      </x:c>
      <x:c r="M12" s="31" t="str">
        <x:v>対照47場</x:v>
      </x:c>
      <x:c r="N12" s="30" t="n">
        <x:v>450.01666666666665</x:v>
      </x:c>
      <x:c r="O12" s="30" t="n">
        <x:v>52.3</x:v>
      </x:c>
      <x:c r="P12" s="26" t="n">
        <x:f>O12/IF(C12="デイ",420,780)</x:f>
        <x:v>0.06705128205128205</x:v>
      </x:c>
      <x:c r="Q12" s="27" t="n">
        <x:v>0.33525641025641023</x:v>
      </x:c>
    </x:row>
    <x:row r="13" ht="22" customHeight="1">
      <x:c r="A13" s="2" t="str">
        <x:v>F1</x:v>
      </x:c>
      <x:c r="B13" s="24" t="d">
        <x:v>2026-09-24T08:45:00.000Z</x:v>
      </x:c>
      <x:c r="C13" s="2" t="str">
        <x:v>デイ</x:v>
      </x:c>
      <x:c r="D13" s="20" t="n">
        <x:v>27668</x:v>
      </x:c>
      <x:c r="E13" s="20" t="n">
        <x:v>2165</x:v>
      </x:c>
      <x:c r="F13" s="20" t="n">
        <x:f>D13-E13</x:f>
        <x:v>25503</x:v>
      </x:c>
      <x:c r="G13" s="20" t="n">
        <x:f>SUMIFS($F$7:$F$56,$A$7:$A$56,A13,$B$7:$B$56,"&lt;="&amp;B13)</x:f>
        <x:v>79161</x:v>
      </x:c>
      <x:c r="H13" s="20" t="n">
        <x:v>497</x:v>
      </x:c>
      <x:c r="I13" s="20" t="n">
        <x:v>26000</x:v>
      </x:c>
      <x:c r="J13" s="29" t="n">
        <x:v>3</x:v>
      </x:c>
      <x:c r="K13" s="29" t="n">
        <x:v>6</x:v>
      </x:c>
      <x:c r="L13" s="29" t="n">
        <x:v>2</x:v>
      </x:c>
      <x:c r="M13" s="31" t="str">
        <x:v>対照47場</x:v>
      </x:c>
      <x:c r="N13" s="30" t="n">
        <x:v>55.5</x:v>
      </x:c>
      <x:c r="O13" s="30" t="n">
        <x:v>253</x:v>
      </x:c>
      <x:c r="P13" s="26" t="n">
        <x:f>O13/IF(C13="デイ",420,780)</x:f>
        <x:v>0.6023809523809524</x:v>
      </x:c>
      <x:c r="Q13" s="27" t="n">
        <x:v>0.9134126984126985</x:v>
      </x:c>
    </x:row>
    <x:row r="14" ht="22" customHeight="1">
      <x:c r="A14" s="2" t="str">
        <x:v>F1</x:v>
      </x:c>
      <x:c r="B14" s="24" t="d">
        <x:v>2026-09-24T17:00:00.000Z</x:v>
      </x:c>
      <x:c r="C14" s="2" t="str">
        <x:v>ナイト</x:v>
      </x:c>
      <x:c r="D14" s="20" t="n">
        <x:v>32082</x:v>
      </x:c>
      <x:c r="E14" s="20" t="n">
        <x:v>0</x:v>
      </x:c>
      <x:c r="F14" s="20" t="n">
        <x:f>D14-E14</x:f>
        <x:v>32082</x:v>
      </x:c>
      <x:c r="G14" s="20" t="n">
        <x:f>SUMIFS($F$7:$F$56,$A$7:$A$56,A14,$B$7:$B$56,"&lt;="&amp;B14)</x:f>
        <x:v>111243</x:v>
      </x:c>
      <x:c r="H14" s="20" t="n">
        <x:v>418</x:v>
      </x:c>
      <x:c r="I14" s="20" t="n">
        <x:v>32500</x:v>
      </x:c>
      <x:c r="J14" s="29" t="n">
        <x:v>1</x:v>
      </x:c>
      <x:c r="K14" s="29" t="n">
        <x:v>5</x:v>
      </x:c>
      <x:c r="L14" s="29" t="n">
        <x:v>5</x:v>
      </x:c>
      <x:c r="M14" s="31" t="str">
        <x:v>対照47場</x:v>
      </x:c>
      <x:c r="N14" s="30" t="n">
        <x:v>417.46666666666664</x:v>
      </x:c>
      <x:c r="O14" s="30" t="n">
        <x:v>40.983333333333334</x:v>
      </x:c>
      <x:c r="P14" s="26" t="n">
        <x:f>O14/IF(C14="デイ",420,780)</x:f>
        <x:v>0.052542735042735045</x:v>
      </x:c>
      <x:c r="Q14" s="27" t="n">
        <x:v>0.2627136752136752</x:v>
      </x:c>
    </x:row>
    <x:row r="15" ht="22" customHeight="1">
      <x:c r="A15" s="2" t="str">
        <x:v>F1</x:v>
      </x:c>
      <x:c r="B15" s="24" t="d">
        <x:v>2026-09-25T08:45:00.000Z</x:v>
      </x:c>
      <x:c r="C15" s="2" t="str">
        <x:v>デイ</x:v>
      </x:c>
      <x:c r="D15" s="20" t="n">
        <x:v>80583</x:v>
      </x:c>
      <x:c r="E15" s="20" t="n">
        <x:v>0</x:v>
      </x:c>
      <x:c r="F15" s="20" t="n">
        <x:f>D15-E15</x:f>
        <x:v>80583</x:v>
      </x:c>
      <x:c r="G15" s="20" t="n">
        <x:f>SUMIFS($F$7:$F$56,$A$7:$A$56,A15,$B$7:$B$56,"&lt;="&amp;B15)</x:f>
        <x:v>191826</x:v>
      </x:c>
      <x:c r="H15" s="20" t="n">
        <x:v>417</x:v>
      </x:c>
      <x:c r="I15" s="20" t="n">
        <x:v>81000</x:v>
      </x:c>
      <x:c r="J15" s="29" t="n">
        <x:v>1</x:v>
      </x:c>
      <x:c r="K15" s="29" t="n">
        <x:v>5</x:v>
      </x:c>
      <x:c r="L15" s="29" t="n">
        <x:v>5</x:v>
      </x:c>
      <x:c r="M15" s="31" t="str">
        <x:v>対照47場</x:v>
      </x:c>
      <x:c r="N15" s="30" t="n">
        <x:v>86.21666666666667</x:v>
      </x:c>
      <x:c r="O15" s="30" t="n">
        <x:v>323.8</x:v>
      </x:c>
      <x:c r="P15" s="26" t="n">
        <x:f>O15/IF(C15="デイ",420,780)</x:f>
        <x:v>0.770952380952381</x:v>
      </x:c>
      <x:c r="Q15" s="27" t="n">
        <x:v>2.3655555555555554</x:v>
      </x:c>
    </x:row>
    <x:row r="16" ht="22" customHeight="1">
      <x:c r="A16" s="2" t="str">
        <x:v>F1</x:v>
      </x:c>
      <x:c r="B16" s="24" t="d">
        <x:v>2026-09-25T17:00:00.000Z</x:v>
      </x:c>
      <x:c r="C16" s="2" t="str">
        <x:v>ナイト</x:v>
      </x:c>
      <x:c r="D16" s="20" t="n">
        <x:v>24582</x:v>
      </x:c>
      <x:c r="E16" s="20" t="n">
        <x:v>20418</x:v>
      </x:c>
      <x:c r="F16" s="20" t="n">
        <x:f>D16-E16</x:f>
        <x:v>4164</x:v>
      </x:c>
      <x:c r="G16" s="20" t="n">
        <x:f>SUMIFS($F$7:$F$56,$A$7:$A$56,A16,$B$7:$B$56,"&lt;="&amp;B16)</x:f>
        <x:v>195990</x:v>
      </x:c>
      <x:c r="H16" s="20" t="n">
        <x:v>836</x:v>
      </x:c>
      <x:c r="I16" s="20" t="n">
        <x:v>5000</x:v>
      </x:c>
      <x:c r="J16" s="29" t="n">
        <x:v>2</x:v>
      </x:c>
      <x:c r="K16" s="29" t="n">
        <x:v>10</x:v>
      </x:c>
      <x:c r="L16" s="29" t="n">
        <x:v>5</x:v>
      </x:c>
      <x:c r="M16" s="31" t="str">
        <x:v>対照47場</x:v>
      </x:c>
      <x:c r="N16" s="30" t="n">
        <x:v>450</x:v>
      </x:c>
      <x:c r="O16" s="30" t="n">
        <x:v>8.316666666666666</x:v>
      </x:c>
      <x:c r="P16" s="26" t="n">
        <x:f>O16/IF(C16="デイ",420,780)</x:f>
        <x:v>0.010662393162393162</x:v>
      </x:c>
      <x:c r="Q16" s="27" t="n">
        <x:v>0.05331196581196581</x:v>
      </x:c>
    </x:row>
    <x:row r="17" ht="22" customHeight="1">
      <x:c r="A17" s="2" t="str">
        <x:v>F1</x:v>
      </x:c>
      <x:c r="B17" s="24" t="d">
        <x:v>2026-09-28T08:45:00.000Z</x:v>
      </x:c>
      <x:c r="C17" s="2" t="str">
        <x:v>デイ</x:v>
      </x:c>
      <x:c r="D17" s="20" t="n">
        <x:v>129083</x:v>
      </x:c>
      <x:c r="E17" s="20" t="n">
        <x:v>1165</x:v>
      </x:c>
      <x:c r="F17" s="20" t="n">
        <x:f>D17-E17</x:f>
        <x:v>127918</x:v>
      </x:c>
      <x:c r="G17" s="20" t="n">
        <x:f>SUMIFS($F$7:$F$56,$A$7:$A$56,A17,$B$7:$B$56,"&lt;="&amp;B17)</x:f>
        <x:v>323908</x:v>
      </x:c>
      <x:c r="H17" s="20" t="n">
        <x:v>582</x:v>
      </x:c>
      <x:c r="I17" s="20" t="n">
        <x:v>128500</x:v>
      </x:c>
      <x:c r="J17" s="29" t="n">
        <x:v>2</x:v>
      </x:c>
      <x:c r="K17" s="29" t="n">
        <x:v>7</x:v>
      </x:c>
      <x:c r="L17" s="29" t="n">
        <x:v>5</x:v>
      </x:c>
      <x:c r="M17" s="31" t="str">
        <x:v>対照47場</x:v>
      </x:c>
      <x:c r="N17" s="30" t="n">
        <x:v>48.45</x:v>
      </x:c>
      <x:c r="O17" s="30" t="n">
        <x:v>350.31666666666666</x:v>
      </x:c>
      <x:c r="P17" s="26" t="n">
        <x:f>O17/IF(C17="デイ",420,780)</x:f>
        <x:v>0.8340873015873016</x:v>
      </x:c>
      <x:c r="Q17" s="27" t="n">
        <x:v>2.881468253968254</x:v>
      </x:c>
    </x:row>
    <x:row r="18" ht="22" customHeight="1">
      <x:c r="A18" s="2" t="str">
        <x:v>F1</x:v>
      </x:c>
      <x:c r="B18" s="24" t="d">
        <x:v>2026-09-28T17:00:00.000Z</x:v>
      </x:c>
      <x:c r="C18" s="2" t="str">
        <x:v>ナイト</x:v>
      </x:c>
      <x:c r="D18" s="20" t="n">
        <x:v>24582</x:v>
      </x:c>
      <x:c r="E18" s="20" t="n">
        <x:v>14831</x:v>
      </x:c>
      <x:c r="F18" s="20" t="n">
        <x:f>D18-E18</x:f>
        <x:v>9751</x:v>
      </x:c>
      <x:c r="G18" s="20" t="n">
        <x:f>SUMIFS($F$7:$F$56,$A$7:$A$56,A18,$B$7:$B$56,"&lt;="&amp;B18)</x:f>
        <x:v>333659</x:v>
      </x:c>
      <x:c r="H18" s="20" t="n">
        <x:v>749</x:v>
      </x:c>
      <x:c r="I18" s="20" t="n">
        <x:v>10500</x:v>
      </x:c>
      <x:c r="J18" s="29" t="n">
        <x:v>3</x:v>
      </x:c>
      <x:c r="K18" s="29" t="n">
        <x:v>9</x:v>
      </x:c>
      <x:c r="L18" s="29" t="n">
        <x:v>5</x:v>
      </x:c>
      <x:c r="M18" s="31" t="str">
        <x:v>対照47場</x:v>
      </x:c>
      <x:c r="N18" s="30" t="n">
        <x:v>351.8333333333333</x:v>
      </x:c>
      <x:c r="O18" s="30" t="n">
        <x:v>16.516666666666666</x:v>
      </x:c>
      <x:c r="P18" s="26" t="n">
        <x:f>O18/IF(C18="デイ",420,780)</x:f>
        <x:v>0.021175213675213675</x:v>
      </x:c>
      <x:c r="Q18" s="27" t="n">
        <x:v>0.08767094017094017</x:v>
      </x:c>
    </x:row>
    <x:row r="19" ht="22" customHeight="1">
      <x:c r="A19" s="2" t="str">
        <x:v>F1</x:v>
      </x:c>
      <x:c r="B19" s="24" t="d">
        <x:v>2026-09-29T08:45:00.000Z</x:v>
      </x:c>
      <x:c r="C19" s="2" t="str">
        <x:v>デイ</x:v>
      </x:c>
      <x:c r="D19" s="20" t="n">
        <x:v>12583</x:v>
      </x:c>
      <x:c r="E19" s="20" t="n">
        <x:v>0</x:v>
      </x:c>
      <x:c r="F19" s="20" t="n">
        <x:f>D19-E19</x:f>
        <x:v>12583</x:v>
      </x:c>
      <x:c r="G19" s="20" t="n">
        <x:f>SUMIFS($F$7:$F$56,$A$7:$A$56,A19,$B$7:$B$56,"&lt;="&amp;B19)</x:f>
        <x:v>346242</x:v>
      </x:c>
      <x:c r="H19" s="20" t="n">
        <x:v>417</x:v>
      </x:c>
      <x:c r="I19" s="20" t="n">
        <x:v>13000</x:v>
      </x:c>
      <x:c r="J19" s="29" t="n">
        <x:v>1</x:v>
      </x:c>
      <x:c r="K19" s="29" t="n">
        <x:v>5</x:v>
      </x:c>
      <x:c r="L19" s="29" t="n">
        <x:v>5</x:v>
      </x:c>
      <x:c r="M19" s="31" t="str">
        <x:v>対照47場</x:v>
      </x:c>
      <x:c r="N19" s="30" t="n">
        <x:v>70.43333333333334</x:v>
      </x:c>
      <x:c r="O19" s="30" t="n">
        <x:v>334.48333333333335</x:v>
      </x:c>
      <x:c r="P19" s="26" t="n">
        <x:f>O19/IF(C19="デイ",420,780)</x:f>
        <x:v>0.7963888888888889</x:v>
      </x:c>
      <x:c r="Q19" s="27" t="n">
        <x:v>3.0586904761904763</x:v>
      </x:c>
    </x:row>
    <x:row r="20" ht="22" customHeight="1">
      <x:c r="A20" s="2" t="str">
        <x:v>F1</x:v>
      </x:c>
      <x:c r="B20" s="24" t="d">
        <x:v>2026-09-29T17:00:00.000Z</x:v>
      </x:c>
      <x:c r="C20" s="2" t="str">
        <x:v>ナイト</x:v>
      </x:c>
      <x:c r="D20" s="20" t="n">
        <x:v>18834</x:v>
      </x:c>
      <x:c r="E20" s="20" t="n">
        <x:v>0</x:v>
      </x:c>
      <x:c r="F20" s="20" t="n">
        <x:f>D20-E20</x:f>
        <x:v>18834</x:v>
      </x:c>
      <x:c r="G20" s="20" t="n">
        <x:f>SUMIFS($F$7:$F$56,$A$7:$A$56,A20,$B$7:$B$56,"&lt;="&amp;B20)</x:f>
        <x:v>365076</x:v>
      </x:c>
      <x:c r="H20" s="20" t="n">
        <x:v>166</x:v>
      </x:c>
      <x:c r="I20" s="20" t="n">
        <x:v>19000</x:v>
      </x:c>
      <x:c r="J20" s="29" t="n">
        <x:v>1</x:v>
      </x:c>
      <x:c r="K20" s="29" t="n">
        <x:v>2</x:v>
      </x:c>
      <x:c r="L20" s="29" t="n">
        <x:v>2</x:v>
      </x:c>
      <x:c r="M20" s="31" t="str">
        <x:v>対照47場</x:v>
      </x:c>
      <x:c r="N20" s="30" t="n">
        <x:v>416.1</x:v>
      </x:c>
      <x:c r="O20" s="30" t="n">
        <x:v>18.866666666666667</x:v>
      </x:c>
      <x:c r="P20" s="26" t="n">
        <x:f>O20/IF(C20="デイ",420,780)</x:f>
        <x:v>0.02418803418803419</x:v>
      </x:c>
      <x:c r="Q20" s="27" t="n">
        <x:v>0.04837606837606838</x:v>
      </x:c>
    </x:row>
    <x:row r="21" ht="22" customHeight="1">
      <x:c r="A21" s="2" t="str">
        <x:v>F1</x:v>
      </x:c>
      <x:c r="B21" s="24" t="d">
        <x:v>2026-09-30T08:45:00.000Z</x:v>
      </x:c>
      <x:c r="C21" s="2" t="str">
        <x:v>デイ</x:v>
      </x:c>
      <x:c r="D21" s="20" t="n">
        <x:v>80917</x:v>
      </x:c>
      <x:c r="E21" s="20" t="n">
        <x:v>78002</x:v>
      </x:c>
      <x:c r="F21" s="20" t="n">
        <x:f>D21-E21</x:f>
        <x:v>2915</x:v>
      </x:c>
      <x:c r="G21" s="20" t="n">
        <x:f>SUMIFS($F$7:$F$56,$A$7:$A$56,A21,$B$7:$B$56,"&lt;="&amp;B21)</x:f>
        <x:v>367991</x:v>
      </x:c>
      <x:c r="H21" s="20" t="n">
        <x:v>1585</x:v>
      </x:c>
      <x:c r="I21" s="20" t="n">
        <x:v>4500</x:v>
      </x:c>
      <x:c r="J21" s="29" t="n">
        <x:v>5</x:v>
      </x:c>
      <x:c r="K21" s="29" t="n">
        <x:v>19</x:v>
      </x:c>
      <x:c r="L21" s="29" t="n">
        <x:v>5</x:v>
      </x:c>
      <x:c r="M21" s="31" t="str">
        <x:v>対照47場</x:v>
      </x:c>
      <x:c r="N21" s="30" t="n">
        <x:v>70.08333333333333</x:v>
      </x:c>
      <x:c r="O21" s="30" t="n">
        <x:v>162.26666666666668</x:v>
      </x:c>
      <x:c r="P21" s="26" t="n">
        <x:f>O21/IF(C21="デイ",420,780)</x:f>
        <x:v>0.3863492063492064</x:v>
      </x:c>
      <x:c r="Q21" s="27" t="n">
        <x:v>1.5982539682539683</x:v>
      </x:c>
    </x:row>
    <x:row r="22" ht="22" customHeight="1">
      <x:c r="A22" s="2" t="str">
        <x:v>F1</x:v>
      </x:c>
      <x:c r="B22" s="24" t="d">
        <x:v>2026-09-30T17:00:00.000Z</x:v>
      </x:c>
      <x:c r="C22" s="2" t="str">
        <x:v>ナイト</x:v>
      </x:c>
      <x:c r="D22" s="20" t="n">
        <x:v>21664</x:v>
      </x:c>
      <x:c r="E22" s="20" t="n">
        <x:v>15418</x:v>
      </x:c>
      <x:c r="F22" s="20" t="n">
        <x:f>D22-E22</x:f>
        <x:v>6246</x:v>
      </x:c>
      <x:c r="G22" s="20" t="n">
        <x:f>SUMIFS($F$7:$F$56,$A$7:$A$56,A22,$B$7:$B$56,"&lt;="&amp;B22)</x:f>
        <x:v>374237</x:v>
      </x:c>
      <x:c r="H22" s="20" t="n">
        <x:v>1254</x:v>
      </x:c>
      <x:c r="I22" s="20" t="n">
        <x:v>7500</x:v>
      </x:c>
      <x:c r="J22" s="29" t="n">
        <x:v>3</x:v>
      </x:c>
      <x:c r="K22" s="29" t="n">
        <x:v>15</x:v>
      </x:c>
      <x:c r="L22" s="29" t="n">
        <x:v>5</x:v>
      </x:c>
      <x:c r="M22" s="31" t="str">
        <x:v>対照47場</x:v>
      </x:c>
      <x:c r="N22" s="30" t="n">
        <x:v>368.18333333333334</x:v>
      </x:c>
      <x:c r="O22" s="30" t="n">
        <x:v>56.5</x:v>
      </x:c>
      <x:c r="P22" s="26" t="n">
        <x:f>O22/IF(C22="デイ",420,780)</x:f>
        <x:v>0.07243589743589744</x:v>
      </x:c>
      <x:c r="Q22" s="27" t="n">
        <x:v>0.36217948717948717</x:v>
      </x:c>
    </x:row>
    <x:row r="23" ht="22" customHeight="1">
      <x:c r="A23" s="2" t="str">
        <x:v>F1</x:v>
      </x:c>
      <x:c r="B23" s="24" t="d">
        <x:v>2026-10-01T08:45:00.000Z</x:v>
      </x:c>
      <x:c r="C23" s="2" t="str">
        <x:v>デイ</x:v>
      </x:c>
      <x:c r="D23" s="20" t="n">
        <x:v>94084</x:v>
      </x:c>
      <x:c r="E23" s="20" t="n">
        <x:v>8166</x:v>
      </x:c>
      <x:c r="F23" s="20" t="n">
        <x:f>D23-E23</x:f>
        <x:v>85918</x:v>
      </x:c>
      <x:c r="G23" s="20" t="n">
        <x:f>SUMIFS($F$7:$F$56,$A$7:$A$56,A23,$B$7:$B$56,"&lt;="&amp;B23)</x:f>
        <x:v>460155</x:v>
      </x:c>
      <x:c r="H23" s="20" t="n">
        <x:v>582</x:v>
      </x:c>
      <x:c r="I23" s="20" t="n">
        <x:v>86500</x:v>
      </x:c>
      <x:c r="J23" s="29" t="n">
        <x:v>2</x:v>
      </x:c>
      <x:c r="K23" s="29" t="n">
        <x:v>7</x:v>
      </x:c>
      <x:c r="L23" s="29" t="n">
        <x:v>5</x:v>
      </x:c>
      <x:c r="M23" s="31" t="str">
        <x:v>対照47場</x:v>
      </x:c>
      <x:c r="N23" s="30" t="n">
        <x:v>87.7</x:v>
      </x:c>
      <x:c r="O23" s="30" t="n">
        <x:v>216.85</x:v>
      </x:c>
      <x:c r="P23" s="26" t="n">
        <x:f>O23/IF(C23="デイ",420,780)</x:f>
        <x:v>0.5163095238095238</x:v>
      </x:c>
      <x:c r="Q23" s="27" t="n">
        <x:v>1.4430555555555555</x:v>
      </x:c>
    </x:row>
    <x:row r="24" ht="22" customHeight="1">
      <x:c r="A24" s="2" t="str">
        <x:v>F1</x:v>
      </x:c>
      <x:c r="B24" s="24" t="d">
        <x:v>2026-10-01T17:00:00.000Z</x:v>
      </x:c>
      <x:c r="C24" s="2" t="str">
        <x:v>ナイト</x:v>
      </x:c>
      <x:c r="D24" s="20" t="n">
        <x:v>69080</x:v>
      </x:c>
      <x:c r="E24" s="20" t="n">
        <x:v>45836</x:v>
      </x:c>
      <x:c r="F24" s="20" t="n">
        <x:f>D24-E24</x:f>
        <x:v>23244</x:v>
      </x:c>
      <x:c r="G24" s="20" t="n">
        <x:f>SUMIFS($F$7:$F$56,$A$7:$A$56,A24,$B$7:$B$56,"&lt;="&amp;B24)</x:f>
        <x:v>483399</x:v>
      </x:c>
      <x:c r="H24" s="20" t="n">
        <x:v>2256</x:v>
      </x:c>
      <x:c r="I24" s="20" t="n">
        <x:v>25500</x:v>
      </x:c>
      <x:c r="J24" s="29" t="n">
        <x:v>6</x:v>
      </x:c>
      <x:c r="K24" s="29" t="n">
        <x:v>27</x:v>
      </x:c>
      <x:c r="L24" s="29" t="n">
        <x:v>5</x:v>
      </x:c>
      <x:c r="M24" s="31" t="str">
        <x:v>対照47場</x:v>
      </x:c>
      <x:c r="N24" s="30" t="n">
        <x:v>127.45</x:v>
      </x:c>
      <x:c r="O24" s="30" t="n">
        <x:v>105.16666666666667</x:v>
      </x:c>
      <x:c r="P24" s="26" t="n">
        <x:f>O24/IF(C24="デイ",420,780)</x:f>
        <x:v>0.13482905982905982</x:v>
      </x:c>
      <x:c r="Q24" s="27" t="n">
        <x:v>0.6419658119658119</x:v>
      </x:c>
    </x:row>
    <x:row r="25" ht="22" customHeight="1">
      <x:c r="A25" s="2" t="str">
        <x:v>F1</x:v>
      </x:c>
      <x:c r="B25" s="24" t="d">
        <x:v>2026-10-02T08:45:00.000Z</x:v>
      </x:c>
      <x:c r="C25" s="2" t="str">
        <x:v>デイ</x:v>
      </x:c>
      <x:c r="D25" s="20" t="n">
        <x:v>6834</x:v>
      </x:c>
      <x:c r="E25" s="20" t="n">
        <x:v>28083</x:v>
      </x:c>
      <x:c r="F25" s="20" t="n">
        <x:f>D25-E25</x:f>
        <x:v>-21249</x:v>
      </x:c>
      <x:c r="G25" s="20" t="n">
        <x:f>SUMIFS($F$7:$F$56,$A$7:$A$56,A25,$B$7:$B$56,"&lt;="&amp;B25)</x:f>
        <x:v>462150</x:v>
      </x:c>
      <x:c r="H25" s="20" t="n">
        <x:v>749</x:v>
      </x:c>
      <x:c r="I25" s="20" t="n">
        <x:v>-20500</x:v>
      </x:c>
      <x:c r="J25" s="29" t="n">
        <x:v>3</x:v>
      </x:c>
      <x:c r="K25" s="29" t="n">
        <x:v>9</x:v>
      </x:c>
      <x:c r="L25" s="29" t="n">
        <x:v>5</x:v>
      </x:c>
      <x:c r="M25" s="31" t="str">
        <x:v>対照47場</x:v>
      </x:c>
      <x:c r="N25" s="30" t="n">
        <x:v>68.03333333333333</x:v>
      </x:c>
      <x:c r="O25" s="30" t="n">
        <x:v>205.75</x:v>
      </x:c>
      <x:c r="P25" s="26" t="n">
        <x:f>O25/IF(C25="デイ",420,780)</x:f>
        <x:v>0.48988095238095236</x:v>
      </x:c>
      <x:c r="Q25" s="27" t="n">
        <x:v>2.0942857142857143</x:v>
      </x:c>
    </x:row>
    <x:row r="26" ht="22" customHeight="1">
      <x:c r="A26" s="2" t="str">
        <x:v>F1</x:v>
      </x:c>
      <x:c r="B26" s="24" t="d">
        <x:v>2026-10-02T17:00:00.000Z</x:v>
      </x:c>
      <x:c r="C26" s="2" t="str">
        <x:v>ナイト</x:v>
      </x:c>
      <x:c r="D26" s="20" t="n">
        <x:v>97082</x:v>
      </x:c>
      <x:c r="E26" s="20" t="n">
        <x:v>66167</x:v>
      </x:c>
      <x:c r="F26" s="20" t="n">
        <x:f>D26-E26</x:f>
        <x:v>30915</x:v>
      </x:c>
      <x:c r="G26" s="20" t="n">
        <x:f>SUMIFS($F$7:$F$56,$A$7:$A$56,A26,$B$7:$B$56,"&lt;="&amp;B26)</x:f>
        <x:v>493065</x:v>
      </x:c>
      <x:c r="H26" s="20" t="n">
        <x:v>1585</x:v>
      </x:c>
      <x:c r="I26" s="20" t="n">
        <x:v>32500</x:v>
      </x:c>
      <x:c r="J26" s="29" t="n">
        <x:v>5</x:v>
      </x:c>
      <x:c r="K26" s="29" t="n">
        <x:v>19</x:v>
      </x:c>
      <x:c r="L26" s="29" t="n">
        <x:v>5</x:v>
      </x:c>
      <x:c r="M26" s="31" t="str">
        <x:v>対照47場</x:v>
      </x:c>
      <x:c r="N26" s="30" t="n">
        <x:v>104.26666666666667</x:v>
      </x:c>
      <x:c r="O26" s="30" t="n">
        <x:v>73.05</x:v>
      </x:c>
      <x:c r="P26" s="26" t="n">
        <x:f>O26/IF(C26="デイ",420,780)</x:f>
        <x:v>0.09365384615384616</x:v>
      </x:c>
      <x:c r="Q26" s="27" t="n">
        <x:v>0.4183974358974359</x:v>
      </x:c>
    </x:row>
    <x:row r="27" ht="22" customHeight="1">
      <x:c r="A27" s="2" t="str">
        <x:v>F1</x:v>
      </x:c>
      <x:c r="B27" s="24" t="d">
        <x:v>2026-10-05T08:45:00.000Z</x:v>
      </x:c>
      <x:c r="C27" s="2" t="str">
        <x:v>デイ</x:v>
      </x:c>
      <x:c r="D27" s="20" t="n">
        <x:v>25583</x:v>
      </x:c>
      <x:c r="E27" s="20" t="n">
        <x:v>34166</x:v>
      </x:c>
      <x:c r="F27" s="20" t="n">
        <x:f>D27-E27</x:f>
        <x:v>-8583</x:v>
      </x:c>
      <x:c r="G27" s="20" t="n">
        <x:f>SUMIFS($F$7:$F$56,$A$7:$A$56,A27,$B$7:$B$56,"&lt;="&amp;B27)</x:f>
        <x:v>484482</x:v>
      </x:c>
      <x:c r="H27" s="20" t="n">
        <x:v>1583</x:v>
      </x:c>
      <x:c r="I27" s="20" t="n">
        <x:v>-7000</x:v>
      </x:c>
      <x:c r="J27" s="29" t="n">
        <x:v>5</x:v>
      </x:c>
      <x:c r="K27" s="29" t="n">
        <x:v>19</x:v>
      </x:c>
      <x:c r="L27" s="29" t="n">
        <x:v>5</x:v>
      </x:c>
      <x:c r="M27" s="31" t="str">
        <x:v>対照47場</x:v>
      </x:c>
      <x:c r="N27" s="30" t="n">
        <x:v>81.33333333333333</x:v>
      </x:c>
      <x:c r="O27" s="30" t="n">
        <x:v>178.61666666666667</x:v>
      </x:c>
      <x:c r="P27" s="26" t="n">
        <x:f>O27/IF(C27="デイ",420,780)</x:f>
        <x:v>0.4252777777777778</x:v>
      </x:c>
      <x:c r="Q27" s="27" t="n">
        <x:v>1.0530555555555556</x:v>
      </x:c>
    </x:row>
    <x:row r="28" ht="22" customHeight="1">
      <x:c r="A28" s="2" t="str">
        <x:v>F1</x:v>
      </x:c>
      <x:c r="B28" s="24" t="d">
        <x:v>2026-10-05T17:00:00.000Z</x:v>
      </x:c>
      <x:c r="C28" s="2" t="str">
        <x:v>ナイト</x:v>
      </x:c>
      <x:c r="D28" s="20" t="n">
        <x:v>18834</x:v>
      </x:c>
      <x:c r="E28" s="20" t="n">
        <x:v>53754</x:v>
      </x:c>
      <x:c r="F28" s="20" t="n">
        <x:f>D28-E28</x:f>
        <x:v>-34920</x:v>
      </x:c>
      <x:c r="G28" s="20" t="n">
        <x:f>SUMIFS($F$7:$F$56,$A$7:$A$56,A28,$B$7:$B$56,"&lt;="&amp;B28)</x:f>
        <x:v>449562</x:v>
      </x:c>
      <x:c r="H28" s="20" t="n">
        <x:v>1420</x:v>
      </x:c>
      <x:c r="I28" s="20" t="n">
        <x:v>-33500</x:v>
      </x:c>
      <x:c r="J28" s="29" t="n">
        <x:v>4</x:v>
      </x:c>
      <x:c r="K28" s="29" t="n">
        <x:v>17</x:v>
      </x:c>
      <x:c r="L28" s="29" t="n">
        <x:v>5</x:v>
      </x:c>
      <x:c r="M28" s="31" t="str">
        <x:v>対照47場</x:v>
      </x:c>
      <x:c r="N28" s="30" t="n">
        <x:v>49.68333333333333</x:v>
      </x:c>
      <x:c r="O28" s="30" t="n">
        <x:v>234.81666666666666</x:v>
      </x:c>
      <x:c r="P28" s="26" t="n">
        <x:f>O28/IF(C28="デイ",420,780)</x:f>
        <x:v>0.30104700854700855</x:v>
      </x:c>
      <x:c r="Q28" s="27" t="n">
        <x:v>0.8954273504273504</x:v>
      </x:c>
    </x:row>
    <x:row r="29" ht="22" customHeight="1">
      <x:c r="A29" s="2" t="str">
        <x:v>F1</x:v>
      </x:c>
      <x:c r="B29" s="24" t="d">
        <x:v>2026-10-06T08:45:00.000Z</x:v>
      </x:c>
      <x:c r="C29" s="2" t="str">
        <x:v>デイ</x:v>
      </x:c>
      <x:c r="D29" s="20" t="n">
        <x:v>12502</x:v>
      </x:c>
      <x:c r="E29" s="20" t="n">
        <x:v>50581</x:v>
      </x:c>
      <x:c r="F29" s="20" t="n">
        <x:f>D29-E29</x:f>
        <x:v>-38079</x:v>
      </x:c>
      <x:c r="G29" s="20" t="n">
        <x:f>SUMIFS($F$7:$F$56,$A$7:$A$56,A29,$B$7:$B$56,"&lt;="&amp;B29)</x:f>
        <x:v>411483</x:v>
      </x:c>
      <x:c r="H29" s="20" t="n">
        <x:v>1579</x:v>
      </x:c>
      <x:c r="I29" s="20" t="n">
        <x:v>-36500</x:v>
      </x:c>
      <x:c r="J29" s="29" t="n">
        <x:v>8</x:v>
      </x:c>
      <x:c r="K29" s="29" t="n">
        <x:v>19</x:v>
      </x:c>
      <x:c r="L29" s="29" t="n">
        <x:v>5</x:v>
      </x:c>
      <x:c r="M29" s="31" t="str">
        <x:v>対照47場</x:v>
      </x:c>
      <x:c r="N29" s="30" t="n">
        <x:v>49.166666666666664</x:v>
      </x:c>
      <x:c r="O29" s="30" t="n">
        <x:v>115.73333333333333</x:v>
      </x:c>
      <x:c r="P29" s="26" t="n">
        <x:f>O29/IF(C29="デイ",420,780)</x:f>
        <x:v>0.27555555555555555</x:v>
      </x:c>
      <x:c r="Q29" s="27" t="n">
        <x:v>0.6567857142857143</x:v>
      </x:c>
    </x:row>
    <x:row r="30" ht="22" customHeight="1">
      <x:c r="A30" s="2" t="str">
        <x:v>F1</x:v>
      </x:c>
      <x:c r="B30" s="24" t="d">
        <x:v>2026-10-06T17:00:00.000Z</x:v>
      </x:c>
      <x:c r="C30" s="2" t="str">
        <x:v>ナイト</x:v>
      </x:c>
      <x:c r="D30" s="20" t="n">
        <x:v>0</x:v>
      </x:c>
      <x:c r="E30" s="20" t="n">
        <x:v>40836</x:v>
      </x:c>
      <x:c r="F30" s="20" t="n">
        <x:f>D30-E30</x:f>
        <x:v>-40836</x:v>
      </x:c>
      <x:c r="G30" s="20" t="n">
        <x:f>SUMIFS($F$7:$F$56,$A$7:$A$56,A30,$B$7:$B$56,"&lt;="&amp;B30)</x:f>
        <x:v>370647</x:v>
      </x:c>
      <x:c r="H30" s="20" t="n">
        <x:v>836</x:v>
      </x:c>
      <x:c r="I30" s="20" t="n">
        <x:v>-40000</x:v>
      </x:c>
      <x:c r="J30" s="29" t="n">
        <x:v>2</x:v>
      </x:c>
      <x:c r="K30" s="29" t="n">
        <x:v>10</x:v>
      </x:c>
      <x:c r="L30" s="29" t="n">
        <x:v>5</x:v>
      </x:c>
      <x:c r="M30" s="31" t="str">
        <x:v>対照47場</x:v>
      </x:c>
      <x:c r="N30" s="30" t="n">
        <x:v>367.5</x:v>
      </x:c>
      <x:c r="O30" s="30" t="n">
        <x:v>23.283333333333335</x:v>
      </x:c>
      <x:c r="P30" s="26" t="n">
        <x:f>O30/IF(C30="デイ",420,780)</x:f>
        <x:v>0.029850427350427353</x:v>
      </x:c>
      <x:c r="Q30" s="27" t="n">
        <x:v>0.14925213675213675</x:v>
      </x:c>
    </x:row>
    <x:row r="31" ht="22" customHeight="1">
      <x:c r="A31" s="2" t="str">
        <x:v>F1</x:v>
      </x:c>
      <x:c r="B31" s="24" t="d">
        <x:v>2026-10-07T08:45:00.000Z</x:v>
      </x:c>
      <x:c r="C31" s="2" t="str">
        <x:v>デイ</x:v>
      </x:c>
      <x:c r="D31" s="20" t="n">
        <x:v>80751</x:v>
      </x:c>
      <x:c r="E31" s="20" t="n">
        <x:v>0</x:v>
      </x:c>
      <x:c r="F31" s="20" t="n">
        <x:f>D31-E31</x:f>
        <x:v>80751</x:v>
      </x:c>
      <x:c r="G31" s="20" t="n">
        <x:f>SUMIFS($F$7:$F$56,$A$7:$A$56,A31,$B$7:$B$56,"&lt;="&amp;B31)</x:f>
        <x:v>451398</x:v>
      </x:c>
      <x:c r="H31" s="20" t="n">
        <x:v>749</x:v>
      </x:c>
      <x:c r="I31" s="20" t="n">
        <x:v>81500</x:v>
      </x:c>
      <x:c r="J31" s="29" t="n">
        <x:v>3</x:v>
      </x:c>
      <x:c r="K31" s="29" t="n">
        <x:v>9</x:v>
      </x:c>
      <x:c r="L31" s="29" t="n">
        <x:v>5</x:v>
      </x:c>
      <x:c r="M31" s="31" t="str">
        <x:v>対照47場</x:v>
      </x:c>
      <x:c r="N31" s="30" t="n">
        <x:v>70.5</x:v>
      </x:c>
      <x:c r="O31" s="30" t="n">
        <x:v>194.3</x:v>
      </x:c>
      <x:c r="P31" s="26" t="n">
        <x:f>O31/IF(C31="デイ",420,780)</x:f>
        <x:v>0.46261904761904765</x:v>
      </x:c>
      <x:c r="Q31" s="27" t="n">
        <x:v>1.4050396825396825</x:v>
      </x:c>
    </x:row>
    <x:row r="32" ht="22" customHeight="1">
      <x:c r="A32" s="2" t="str">
        <x:v>F1</x:v>
      </x:c>
      <x:c r="B32" s="24" t="d">
        <x:v>2026-10-07T17:00:00.000Z</x:v>
      </x:c>
      <x:c r="C32" s="2" t="str">
        <x:v>ナイト</x:v>
      </x:c>
      <x:c r="D32" s="20" t="n">
        <x:v>20250</x:v>
      </x:c>
      <x:c r="E32" s="20" t="n">
        <x:v>0</x:v>
      </x:c>
      <x:c r="F32" s="20" t="n">
        <x:f>D32-E32</x:f>
        <x:v>20250</x:v>
      </x:c>
      <x:c r="G32" s="20" t="n">
        <x:f>SUMIFS($F$7:$F$56,$A$7:$A$56,A32,$B$7:$B$56,"&lt;="&amp;B32)</x:f>
        <x:v>471648</x:v>
      </x:c>
      <x:c r="H32" s="20" t="n">
        <x:v>750</x:v>
      </x:c>
      <x:c r="I32" s="20" t="n">
        <x:v>21000</x:v>
      </x:c>
      <x:c r="J32" s="29" t="n">
        <x:v>3</x:v>
      </x:c>
      <x:c r="K32" s="29" t="n">
        <x:v>9</x:v>
      </x:c>
      <x:c r="L32" s="29" t="n">
        <x:v>5</x:v>
      </x:c>
      <x:c r="M32" s="31" t="str">
        <x:v>対照47場</x:v>
      </x:c>
      <x:c r="N32" s="30" t="n">
        <x:v>270.65</x:v>
      </x:c>
      <x:c r="O32" s="30" t="n">
        <x:v>41.5</x:v>
      </x:c>
      <x:c r="P32" s="26" t="n">
        <x:f>O32/IF(C32="デイ",420,780)</x:f>
        <x:v>0.0532051282051282</x:v>
      </x:c>
      <x:c r="Q32" s="27" t="n">
        <x:v>0.21397435897435899</x:v>
      </x:c>
    </x:row>
    <x:row r="33" ht="22" customHeight="1">
      <x:c r="A33" s="2" t="str">
        <x:v>F1</x:v>
      </x:c>
      <x:c r="B33" s="24" t="d">
        <x:v>2026-10-08T08:45:00.000Z</x:v>
      </x:c>
      <x:c r="C33" s="2" t="str">
        <x:v>デイ</x:v>
      </x:c>
      <x:c r="D33" s="20" t="n">
        <x:v>94669</x:v>
      </x:c>
      <x:c r="E33" s="20" t="n">
        <x:v>32584</x:v>
      </x:c>
      <x:c r="F33" s="20" t="n">
        <x:f>D33-E33</x:f>
        <x:v>62085</x:v>
      </x:c>
      <x:c r="G33" s="20" t="n">
        <x:f>SUMIFS($F$7:$F$56,$A$7:$A$56,A33,$B$7:$B$56,"&lt;="&amp;B33)</x:f>
        <x:v>533733</x:v>
      </x:c>
      <x:c r="H33" s="20" t="n">
        <x:v>1915</x:v>
      </x:c>
      <x:c r="I33" s="20" t="n">
        <x:v>64000</x:v>
      </x:c>
      <x:c r="J33" s="29" t="n">
        <x:v>7</x:v>
      </x:c>
      <x:c r="K33" s="29" t="n">
        <x:v>23</x:v>
      </x:c>
      <x:c r="L33" s="29" t="n">
        <x:v>5</x:v>
      </x:c>
      <x:c r="M33" s="31" t="str">
        <x:v>対照47場</x:v>
      </x:c>
      <x:c r="N33" s="30" t="n">
        <x:v>68.13333333333334</x:v>
      </x:c>
      <x:c r="O33" s="30" t="n">
        <x:v>115.66666666666667</x:v>
      </x:c>
      <x:c r="P33" s="26" t="n">
        <x:f>O33/IF(C33="デイ",420,780)</x:f>
        <x:v>0.2753968253968254</x:v>
      </x:c>
      <x:c r="Q33" s="27" t="n">
        <x:v>0.8246825396825397</x:v>
      </x:c>
    </x:row>
    <x:row r="34" ht="22" customHeight="1">
      <x:c r="A34" s="2" t="str">
        <x:v>F1</x:v>
      </x:c>
      <x:c r="B34" s="24" t="d">
        <x:v>2026-10-08T17:00:00.000Z</x:v>
      </x:c>
      <x:c r="C34" s="2" t="str">
        <x:v>ナイト</x:v>
      </x:c>
      <x:c r="D34" s="20" t="n">
        <x:v>59164</x:v>
      </x:c>
      <x:c r="E34" s="20" t="n">
        <x:v>17918</x:v>
      </x:c>
      <x:c r="F34" s="20" t="n">
        <x:f>D34-E34</x:f>
        <x:v>41246</x:v>
      </x:c>
      <x:c r="G34" s="20" t="n">
        <x:f>SUMIFS($F$7:$F$56,$A$7:$A$56,A34,$B$7:$B$56,"&lt;="&amp;B34)</x:f>
        <x:v>574979</x:v>
      </x:c>
      <x:c r="H34" s="20" t="n">
        <x:v>1254</x:v>
      </x:c>
      <x:c r="I34" s="20" t="n">
        <x:v>42500</x:v>
      </x:c>
      <x:c r="J34" s="29" t="n">
        <x:v>3</x:v>
      </x:c>
      <x:c r="K34" s="29" t="n">
        <x:v>15</x:v>
      </x:c>
      <x:c r="L34" s="29" t="n">
        <x:v>5</x:v>
      </x:c>
      <x:c r="M34" s="31" t="str">
        <x:v>対照47場</x:v>
      </x:c>
      <x:c r="N34" s="30" t="n">
        <x:v>413.2</x:v>
      </x:c>
      <x:c r="O34" s="30" t="n">
        <x:v>72.38333333333334</x:v>
      </x:c>
      <x:c r="P34" s="26" t="n">
        <x:f>O34/IF(C34="デイ",420,780)</x:f>
        <x:v>0.0927991452991453</x:v>
      </x:c>
      <x:c r="Q34" s="27" t="n">
        <x:v>0.4639957264957265</x:v>
      </x:c>
    </x:row>
    <x:row r="35" ht="22" customHeight="1">
      <x:c r="A35" s="2" t="str">
        <x:v>F1</x:v>
      </x:c>
      <x:c r="B35" s="24" t="d">
        <x:v>2026-10-09T08:45:00.000Z</x:v>
      </x:c>
      <x:c r="C35" s="2" t="str">
        <x:v>デイ</x:v>
      </x:c>
      <x:c r="D35" s="20" t="n">
        <x:v>69084</x:v>
      </x:c>
      <x:c r="E35" s="20" t="n">
        <x:v>30418</x:v>
      </x:c>
      <x:c r="F35" s="20" t="n">
        <x:f>D35-E35</x:f>
        <x:v>38666</x:v>
      </x:c>
      <x:c r="G35" s="20" t="n">
        <x:f>SUMIFS($F$7:$F$56,$A$7:$A$56,A35,$B$7:$B$56,"&lt;="&amp;B35)</x:f>
        <x:v>613645</x:v>
      </x:c>
      <x:c r="H35" s="20" t="n">
        <x:v>834</x:v>
      </x:c>
      <x:c r="I35" s="20" t="n">
        <x:v>39500</x:v>
      </x:c>
      <x:c r="J35" s="29" t="n">
        <x:v>2</x:v>
      </x:c>
      <x:c r="K35" s="29" t="n">
        <x:v>10</x:v>
      </x:c>
      <x:c r="L35" s="29" t="n">
        <x:v>5</x:v>
      </x:c>
      <x:c r="M35" s="31" t="str">
        <x:v>対照47場</x:v>
      </x:c>
      <x:c r="N35" s="30" t="n">
        <x:v>85.61666666666666</x:v>
      </x:c>
      <x:c r="O35" s="30" t="n">
        <x:v>292.01666666666665</x:v>
      </x:c>
      <x:c r="P35" s="26" t="n">
        <x:f>O35/IF(C35="デイ",420,780)</x:f>
        <x:v>0.6952777777777778</x:v>
      </x:c>
      <x:c r="Q35" s="27" t="n">
        <x:v>1.9541269841269842</x:v>
      </x:c>
    </x:row>
    <x:row r="36" ht="22" customHeight="1">
      <x:c r="A36" s="2" t="str">
        <x:v>F1</x:v>
      </x:c>
      <x:c r="B36" s="24" t="d">
        <x:v>2026-10-09T17:00:00.000Z</x:v>
      </x:c>
      <x:c r="C36" s="2" t="str">
        <x:v>ナイト</x:v>
      </x:c>
      <x:c r="D36" s="20" t="n">
        <x:v>14582</x:v>
      </x:c>
      <x:c r="E36" s="20" t="n">
        <x:v>0</x:v>
      </x:c>
      <x:c r="F36" s="20" t="n">
        <x:f>D36-E36</x:f>
        <x:v>14582</x:v>
      </x:c>
      <x:c r="G36" s="20" t="n">
        <x:f>SUMIFS($F$7:$F$56,$A$7:$A$56,A36,$B$7:$B$56,"&lt;="&amp;B36)</x:f>
        <x:v>628227</x:v>
      </x:c>
      <x:c r="H36" s="20" t="n">
        <x:v>418</x:v>
      </x:c>
      <x:c r="I36" s="20" t="n">
        <x:v>15000</x:v>
      </x:c>
      <x:c r="J36" s="29" t="n">
        <x:v>1</x:v>
      </x:c>
      <x:c r="K36" s="29" t="n">
        <x:v>5</x:v>
      </x:c>
      <x:c r="L36" s="29" t="n">
        <x:v>5</x:v>
      </x:c>
      <x:c r="M36" s="31" t="str">
        <x:v>対照47場</x:v>
      </x:c>
      <x:c r="N36" s="30" t="n">
        <x:v>450</x:v>
      </x:c>
      <x:c r="O36" s="30" t="n">
        <x:v>52.56666666666667</x:v>
      </x:c>
      <x:c r="P36" s="26" t="n">
        <x:f>O36/IF(C36="デイ",420,780)</x:f>
        <x:v>0.0673931623931624</x:v>
      </x:c>
      <x:c r="Q36" s="27" t="n">
        <x:v>0.336965811965812</x:v>
      </x:c>
    </x:row>
    <x:row r="37" ht="22" customHeight="1">
      <x:c r="A37" s="2" t="str">
        <x:v>F1</x:v>
      </x:c>
      <x:c r="B37" s="24" t="d">
        <x:v>2026-10-12T08:45:00.000Z</x:v>
      </x:c>
      <x:c r="C37" s="2" t="str">
        <x:v>デイ</x:v>
      </x:c>
      <x:c r="D37" s="20" t="n">
        <x:v>19582</x:v>
      </x:c>
      <x:c r="E37" s="20" t="n">
        <x:v>0</x:v>
      </x:c>
      <x:c r="F37" s="20" t="n">
        <x:f>D37-E37</x:f>
        <x:v>19582</x:v>
      </x:c>
      <x:c r="G37" s="20" t="n">
        <x:f>SUMIFS($F$7:$F$56,$A$7:$A$56,A37,$B$7:$B$56,"&lt;="&amp;B37)</x:f>
        <x:v>647809</x:v>
      </x:c>
      <x:c r="H37" s="20" t="n">
        <x:v>418</x:v>
      </x:c>
      <x:c r="I37" s="20" t="n">
        <x:v>20000</x:v>
      </x:c>
      <x:c r="J37" s="29" t="n">
        <x:v>1</x:v>
      </x:c>
      <x:c r="K37" s="29" t="n">
        <x:v>5</x:v>
      </x:c>
      <x:c r="L37" s="29" t="n">
        <x:v>5</x:v>
      </x:c>
      <x:c r="M37" s="31" t="str">
        <x:v>対照47場</x:v>
      </x:c>
      <x:c r="N37" s="30" t="n">
        <x:v>256</x:v>
      </x:c>
      <x:c r="O37" s="30" t="n">
        <x:v>107</x:v>
      </x:c>
      <x:c r="P37" s="26" t="n">
        <x:f>O37/IF(C37="デイ",420,780)</x:f>
        <x:v>0.25476190476190474</x:v>
      </x:c>
      <x:c r="Q37" s="27" t="n">
        <x:v>1.2738095238095237</x:v>
      </x:c>
    </x:row>
    <x:row r="38" ht="22" customHeight="1">
      <x:c r="A38" s="2" t="str">
        <x:v>F1</x:v>
      </x:c>
      <x:c r="B38" s="24" t="d">
        <x:v>2026-10-12T17:00:00.000Z</x:v>
      </x:c>
      <x:c r="C38" s="2" t="str">
        <x:v>ナイト</x:v>
      </x:c>
      <x:c r="D38" s="20" t="n">
        <x:v>2082</x:v>
      </x:c>
      <x:c r="E38" s="20" t="n">
        <x:v>0</x:v>
      </x:c>
      <x:c r="F38" s="20" t="n">
        <x:f>D38-E38</x:f>
        <x:v>2082</x:v>
      </x:c>
      <x:c r="G38" s="20" t="n">
        <x:f>SUMIFS($F$7:$F$56,$A$7:$A$56,A38,$B$7:$B$56,"&lt;="&amp;B38)</x:f>
        <x:v>649891</x:v>
      </x:c>
      <x:c r="H38" s="20" t="n">
        <x:v>418</x:v>
      </x:c>
      <x:c r="I38" s="20" t="n">
        <x:v>2500</x:v>
      </x:c>
      <x:c r="J38" s="29" t="n">
        <x:v>1</x:v>
      </x:c>
      <x:c r="K38" s="29" t="n">
        <x:v>5</x:v>
      </x:c>
      <x:c r="L38" s="29" t="n">
        <x:v>5</x:v>
      </x:c>
      <x:c r="M38" s="31" t="str">
        <x:v>対照47場</x:v>
      </x:c>
      <x:c r="N38" s="30" t="n">
        <x:v>369.23333333333335</x:v>
      </x:c>
      <x:c r="O38" s="30" t="n">
        <x:v>4.55</x:v>
      </x:c>
      <x:c r="P38" s="26" t="n">
        <x:f>O38/IF(C38="デイ",420,780)</x:f>
        <x:v>0.005833333333333333</x:v>
      </x:c>
      <x:c r="Q38" s="27" t="n">
        <x:v>0.029166666666666667</x:v>
      </x:c>
    </x:row>
    <x:row r="39" ht="22" customHeight="1">
      <x:c r="A39" s="2" t="str">
        <x:v>F1</x:v>
      </x:c>
      <x:c r="B39" s="24" t="d">
        <x:v>2026-10-13T08:45:00.000Z</x:v>
      </x:c>
      <x:c r="C39" s="2" t="str">
        <x:v>デイ</x:v>
      </x:c>
      <x:c r="D39" s="20" t="n">
        <x:v>43084</x:v>
      </x:c>
      <x:c r="E39" s="20" t="n">
        <x:v>42918</x:v>
      </x:c>
      <x:c r="F39" s="20" t="n">
        <x:f>D39-E39</x:f>
        <x:v>166</x:v>
      </x:c>
      <x:c r="G39" s="20" t="n">
        <x:f>SUMIFS($F$7:$F$56,$A$7:$A$56,A39,$B$7:$B$56,"&lt;="&amp;B39)</x:f>
        <x:v>650057</x:v>
      </x:c>
      <x:c r="H39" s="20" t="n">
        <x:v>834</x:v>
      </x:c>
      <x:c r="I39" s="20" t="n">
        <x:v>1000</x:v>
      </x:c>
      <x:c r="J39" s="29" t="n">
        <x:v>2</x:v>
      </x:c>
      <x:c r="K39" s="29" t="n">
        <x:v>10</x:v>
      </x:c>
      <x:c r="L39" s="29" t="n">
        <x:v>5</x:v>
      </x:c>
      <x:c r="M39" s="31" t="str">
        <x:v>対照47場</x:v>
      </x:c>
      <x:c r="N39" s="30" t="n">
        <x:v>66.41666666666667</x:v>
      </x:c>
      <x:c r="O39" s="30" t="n">
        <x:v>307.93333333333334</x:v>
      </x:c>
      <x:c r="P39" s="26" t="n">
        <x:f>O39/IF(C39="デイ",420,780)</x:f>
        <x:v>0.7331746031746031</x:v>
      </x:c>
      <x:c r="Q39" s="27" t="n">
        <x:v>3.1273809523809524</x:v>
      </x:c>
    </x:row>
    <x:row r="40" ht="22" customHeight="1">
      <x:c r="A40" s="2" t="str">
        <x:v>F1</x:v>
      </x:c>
      <x:c r="B40" s="24" t="d">
        <x:v>2026-10-13T17:00:00.000Z</x:v>
      </x:c>
      <x:c r="C40" s="2" t="str">
        <x:v>ナイト</x:v>
      </x:c>
      <x:c r="D40" s="20" t="n">
        <x:v>4582</x:v>
      </x:c>
      <x:c r="E40" s="20" t="n">
        <x:v>0</x:v>
      </x:c>
      <x:c r="F40" s="20" t="n">
        <x:f>D40-E40</x:f>
        <x:v>4582</x:v>
      </x:c>
      <x:c r="G40" s="20" t="n">
        <x:f>SUMIFS($F$7:$F$56,$A$7:$A$56,A40,$B$7:$B$56,"&lt;="&amp;B40)</x:f>
        <x:v>654639</x:v>
      </x:c>
      <x:c r="H40" s="20" t="n">
        <x:v>418</x:v>
      </x:c>
      <x:c r="I40" s="20" t="n">
        <x:v>5000</x:v>
      </x:c>
      <x:c r="J40" s="29" t="n">
        <x:v>1</x:v>
      </x:c>
      <x:c r="K40" s="29" t="n">
        <x:v>5</x:v>
      </x:c>
      <x:c r="L40" s="29" t="n">
        <x:v>5</x:v>
      </x:c>
      <x:c r="M40" s="31" t="str">
        <x:v>対照47場</x:v>
      </x:c>
      <x:c r="N40" s="30" t="n">
        <x:v>362.95</x:v>
      </x:c>
      <x:c r="O40" s="30" t="n">
        <x:v>60.78333333333333</x:v>
      </x:c>
      <x:c r="P40" s="26" t="n">
        <x:f>O40/IF(C40="デイ",420,780)</x:f>
        <x:v>0.07792735042735043</x:v>
      </x:c>
      <x:c r="Q40" s="27" t="n">
        <x:v>0.38963675213675214</x:v>
      </x:c>
    </x:row>
    <x:row r="41" ht="22" customHeight="1">
      <x:c r="A41" s="2" t="str">
        <x:v>F1</x:v>
      </x:c>
      <x:c r="B41" s="24" t="d">
        <x:v>2026-10-14T08:45:00.000Z</x:v>
      </x:c>
      <x:c r="C41" s="2" t="str">
        <x:v>デイ</x:v>
      </x:c>
      <x:c r="D41" s="20" t="n">
        <x:v>9920</x:v>
      </x:c>
      <x:c r="E41" s="20" t="n">
        <x:v>17918</x:v>
      </x:c>
      <x:c r="F41" s="20" t="n">
        <x:f>D41-E41</x:f>
        <x:v>-7998</x:v>
      </x:c>
      <x:c r="G41" s="20" t="n">
        <x:f>SUMIFS($F$7:$F$56,$A$7:$A$56,A41,$B$7:$B$56,"&lt;="&amp;B41)</x:f>
        <x:v>646641</x:v>
      </x:c>
      <x:c r="H41" s="20" t="n">
        <x:v>1498</x:v>
      </x:c>
      <x:c r="I41" s="20" t="n">
        <x:v>-6500</x:v>
      </x:c>
      <x:c r="J41" s="29" t="n">
        <x:v>6</x:v>
      </x:c>
      <x:c r="K41" s="29" t="n">
        <x:v>18</x:v>
      </x:c>
      <x:c r="L41" s="29" t="n">
        <x:v>5</x:v>
      </x:c>
      <x:c r="M41" s="31" t="str">
        <x:v>対照47場</x:v>
      </x:c>
      <x:c r="N41" s="30" t="n">
        <x:v>44.916666666666664</x:v>
      </x:c>
      <x:c r="O41" s="30" t="n">
        <x:v>285.0833333333333</x:v>
      </x:c>
      <x:c r="P41" s="26" t="n">
        <x:f>O41/IF(C41="デイ",420,780)</x:f>
        <x:v>0.6787698412698412</x:v>
      </x:c>
      <x:c r="Q41" s="27" t="n">
        <x:v>1.0336507936507937</x:v>
      </x:c>
    </x:row>
    <x:row r="42" ht="22" customHeight="1">
      <x:c r="A42" s="2" t="str">
        <x:v>F1</x:v>
      </x:c>
      <x:c r="B42" s="24" t="d">
        <x:v>2026-10-14T17:00:00.000Z</x:v>
      </x:c>
      <x:c r="C42" s="2" t="str">
        <x:v>ナイト</x:v>
      </x:c>
      <x:c r="D42" s="20" t="n">
        <x:v>64164</x:v>
      </x:c>
      <x:c r="E42" s="20" t="n">
        <x:v>63754</x:v>
      </x:c>
      <x:c r="F42" s="20" t="n">
        <x:f>D42-E42</x:f>
        <x:v>410</x:v>
      </x:c>
      <x:c r="G42" s="20" t="n">
        <x:f>SUMIFS($F$7:$F$56,$A$7:$A$56,A42,$B$7:$B$56,"&lt;="&amp;B42)</x:f>
        <x:v>647051</x:v>
      </x:c>
      <x:c r="H42" s="20" t="n">
        <x:v>2090</x:v>
      </x:c>
      <x:c r="I42" s="20" t="n">
        <x:v>2500</x:v>
      </x:c>
      <x:c r="J42" s="29" t="n">
        <x:v>5</x:v>
      </x:c>
      <x:c r="K42" s="29" t="n">
        <x:v>25</x:v>
      </x:c>
      <x:c r="L42" s="29" t="n">
        <x:v>5</x:v>
      </x:c>
      <x:c r="M42" s="31" t="str">
        <x:v>対照47場</x:v>
      </x:c>
      <x:c r="N42" s="30" t="n">
        <x:v>360.01666666666665</x:v>
      </x:c>
      <x:c r="O42" s="30" t="n">
        <x:v>152.31666666666666</x:v>
      </x:c>
      <x:c r="P42" s="26" t="n">
        <x:f>O42/IF(C42="デイ",420,780)</x:f>
        <x:v>0.19527777777777777</x:v>
      </x:c>
      <x:c r="Q42" s="27" t="n">
        <x:v>0.9763888888888889</x:v>
      </x:c>
    </x:row>
    <x:row r="43" ht="22" customHeight="1">
      <x:c r="A43" s="2" t="str">
        <x:v>F1</x:v>
      </x:c>
      <x:c r="B43" s="24" t="d">
        <x:v>2026-10-15T08:45:00.000Z</x:v>
      </x:c>
      <x:c r="C43" s="2" t="str">
        <x:v>デイ</x:v>
      </x:c>
      <x:c r="D43" s="20" t="n">
        <x:v>132083</x:v>
      </x:c>
      <x:c r="E43" s="20" t="n">
        <x:v>63668</x:v>
      </x:c>
      <x:c r="F43" s="20" t="n">
        <x:f>D43-E43</x:f>
        <x:v>68415</x:v>
      </x:c>
      <x:c r="G43" s="20" t="n">
        <x:f>SUMIFS($F$7:$F$56,$A$7:$A$56,A43,$B$7:$B$56,"&lt;="&amp;B43)</x:f>
        <x:v>715466</x:v>
      </x:c>
      <x:c r="H43" s="20" t="n">
        <x:v>1585</x:v>
      </x:c>
      <x:c r="I43" s="20" t="n">
        <x:v>70000</x:v>
      </x:c>
      <x:c r="J43" s="29" t="n">
        <x:v>5</x:v>
      </x:c>
      <x:c r="K43" s="29" t="n">
        <x:v>19</x:v>
      </x:c>
      <x:c r="L43" s="29" t="n">
        <x:v>5</x:v>
      </x:c>
      <x:c r="M43" s="31" t="str">
        <x:v>対照47場</x:v>
      </x:c>
      <x:c r="N43" s="30" t="n">
        <x:v>67.7</x:v>
      </x:c>
      <x:c r="O43" s="30" t="n">
        <x:v>218.95</x:v>
      </x:c>
      <x:c r="P43" s="26" t="n">
        <x:f>O43/IF(C43="デイ",420,780)</x:f>
        <x:v>0.5213095238095238</x:v>
      </x:c>
      <x:c r="Q43" s="27" t="n">
        <x:v>1.9015873015873015</x:v>
      </x:c>
    </x:row>
    <x:row r="44" ht="22" customHeight="1">
      <x:c r="A44" s="2" t="str">
        <x:v>F1</x:v>
      </x:c>
      <x:c r="B44" s="24" t="d">
        <x:v>2026-10-15T17:00:00.000Z</x:v>
      </x:c>
      <x:c r="C44" s="2" t="str">
        <x:v>ナイト</x:v>
      </x:c>
      <x:c r="D44" s="20" t="n">
        <x:v>80498</x:v>
      </x:c>
      <x:c r="E44" s="20" t="n">
        <x:v>33754</x:v>
      </x:c>
      <x:c r="F44" s="20" t="n">
        <x:f>D44-E44</x:f>
        <x:v>46744</x:v>
      </x:c>
      <x:c r="G44" s="20" t="n">
        <x:f>SUMIFS($F$7:$F$56,$A$7:$A$56,A44,$B$7:$B$56,"&lt;="&amp;B44)</x:f>
        <x:v>762210</x:v>
      </x:c>
      <x:c r="H44" s="20" t="n">
        <x:v>2256</x:v>
      </x:c>
      <x:c r="I44" s="20" t="n">
        <x:v>49000</x:v>
      </x:c>
      <x:c r="J44" s="29" t="n">
        <x:v>6</x:v>
      </x:c>
      <x:c r="K44" s="29" t="n">
        <x:v>27</x:v>
      </x:c>
      <x:c r="L44" s="29" t="n">
        <x:v>5</x:v>
      </x:c>
      <x:c r="M44" s="31" t="str">
        <x:v>対照47場</x:v>
      </x:c>
      <x:c r="N44" s="30" t="n">
        <x:v>361.3333333333333</x:v>
      </x:c>
      <x:c r="O44" s="30" t="n">
        <x:v>87.93333333333334</x:v>
      </x:c>
      <x:c r="P44" s="26" t="n">
        <x:f>O44/IF(C44="デイ",420,780)</x:f>
        <x:v>0.11273504273504274</x:v>
      </x:c>
      <x:c r="Q44" s="27" t="n">
        <x:v>0.5356623931623932</x:v>
      </x:c>
    </x:row>
    <x:row r="45" ht="22" customHeight="1">
      <x:c r="A45" s="2" t="str">
        <x:v>F1</x:v>
      </x:c>
      <x:c r="B45" s="24" t="d">
        <x:v>2026-10-16T08:45:00.000Z</x:v>
      </x:c>
      <x:c r="C45" s="2" t="str">
        <x:v>デイ</x:v>
      </x:c>
      <x:c r="D45" s="20" t="n">
        <x:v>25668</x:v>
      </x:c>
      <x:c r="E45" s="20" t="n">
        <x:v>14830</x:v>
      </x:c>
      <x:c r="F45" s="20" t="n">
        <x:f>D45-E45</x:f>
        <x:v>10838</x:v>
      </x:c>
      <x:c r="G45" s="20" t="n">
        <x:f>SUMIFS($F$7:$F$56,$A$7:$A$56,A45,$B$7:$B$56,"&lt;="&amp;B45)</x:f>
        <x:v>773048</x:v>
      </x:c>
      <x:c r="H45" s="20" t="n">
        <x:v>662</x:v>
      </x:c>
      <x:c r="I45" s="20" t="n">
        <x:v>11500</x:v>
      </x:c>
      <x:c r="J45" s="29" t="n">
        <x:v>4</x:v>
      </x:c>
      <x:c r="K45" s="29" t="n">
        <x:v>8</x:v>
      </x:c>
      <x:c r="L45" s="29" t="n">
        <x:v>2</x:v>
      </x:c>
      <x:c r="M45" s="31" t="str">
        <x:v>対照47場</x:v>
      </x:c>
      <x:c r="N45" s="30" t="n">
        <x:v>55.86666666666667</x:v>
      </x:c>
      <x:c r="O45" s="30" t="n">
        <x:v>319.01666666666665</x:v>
      </x:c>
      <x:c r="P45" s="26" t="n">
        <x:f>O45/IF(C45="デイ",420,780)</x:f>
        <x:v>0.759563492063492</x:v>
      </x:c>
      <x:c r="Q45" s="27" t="n">
        <x:v>1.061547619047619</x:v>
      </x:c>
    </x:row>
    <x:row r="46" ht="22" customHeight="1">
      <x:c r="A46" s="2" t="str">
        <x:v>F1</x:v>
      </x:c>
      <x:c r="B46" s="24" t="d">
        <x:v>2026-10-16T17:00:00.000Z</x:v>
      </x:c>
      <x:c r="C46" s="2" t="str">
        <x:v>ナイト</x:v>
      </x:c>
      <x:c r="D46" s="20" t="n">
        <x:v>158498</x:v>
      </x:c>
      <x:c r="E46" s="20" t="n">
        <x:v>46249</x:v>
      </x:c>
      <x:c r="F46" s="20" t="n">
        <x:f>D46-E46</x:f>
        <x:v>112249</x:v>
      </x:c>
      <x:c r="G46" s="20" t="n">
        <x:f>SUMIFS($F$7:$F$56,$A$7:$A$56,A46,$B$7:$B$56,"&lt;="&amp;B46)</x:f>
        <x:v>885297</x:v>
      </x:c>
      <x:c r="H46" s="20" t="n">
        <x:v>1751</x:v>
      </x:c>
      <x:c r="I46" s="20" t="n">
        <x:v>114000</x:v>
      </x:c>
      <x:c r="J46" s="29" t="n">
        <x:v>6</x:v>
      </x:c>
      <x:c r="K46" s="29" t="n">
        <x:v>21</x:v>
      </x:c>
      <x:c r="L46" s="29" t="n">
        <x:v>5</x:v>
      </x:c>
      <x:c r="M46" s="31" t="str">
        <x:v>対照47場</x:v>
      </x:c>
      <x:c r="N46" s="30" t="n">
        <x:v>355.5833333333333</x:v>
      </x:c>
      <x:c r="O46" s="30" t="n">
        <x:v>108.78333333333333</x:v>
      </x:c>
      <x:c r="P46" s="26" t="n">
        <x:f>O46/IF(C46="デイ",420,780)</x:f>
        <x:v>0.13946581196581195</x:v>
      </x:c>
      <x:c r="Q46" s="27" t="n">
        <x:v>0.5752777777777778</x:v>
      </x:c>
    </x:row>
    <x:row r="47" ht="22" customHeight="1">
      <x:c r="A47" s="2" t="str">
        <x:v>F1</x:v>
      </x:c>
      <x:c r="B47" s="24" t="d">
        <x:v>2026-10-19T08:45:00.000Z</x:v>
      </x:c>
      <x:c r="C47" s="2" t="str">
        <x:v>デイ</x:v>
      </x:c>
      <x:c r="D47" s="20" t="n">
        <x:v>118083</x:v>
      </x:c>
      <x:c r="E47" s="20" t="n">
        <x:v>47918</x:v>
      </x:c>
      <x:c r="F47" s="20" t="n">
        <x:f>D47-E47</x:f>
        <x:v>70165</x:v>
      </x:c>
      <x:c r="G47" s="20" t="n">
        <x:f>SUMIFS($F$7:$F$56,$A$7:$A$56,A47,$B$7:$B$56,"&lt;="&amp;B47)</x:f>
        <x:v>955462</x:v>
      </x:c>
      <x:c r="H47" s="20" t="n">
        <x:v>835</x:v>
      </x:c>
      <x:c r="I47" s="20" t="n">
        <x:v>71000</x:v>
      </x:c>
      <x:c r="J47" s="29" t="n">
        <x:v>2</x:v>
      </x:c>
      <x:c r="K47" s="29" t="n">
        <x:v>10</x:v>
      </x:c>
      <x:c r="L47" s="29" t="n">
        <x:v>5</x:v>
      </x:c>
      <x:c r="M47" s="31" t="str">
        <x:v>対照47場</x:v>
      </x:c>
      <x:c r="N47" s="30" t="n">
        <x:v>66.71666666666667</x:v>
      </x:c>
      <x:c r="O47" s="30" t="n">
        <x:v>321.96666666666664</x:v>
      </x:c>
      <x:c r="P47" s="26" t="n">
        <x:f>O47/IF(C47="デイ",420,780)</x:f>
        <x:v>0.7665873015873015</x:v>
      </x:c>
      <x:c r="Q47" s="27" t="n">
        <x:v>2.483730158730159</x:v>
      </x:c>
    </x:row>
    <x:row r="48" ht="22" customHeight="1">
      <x:c r="A48" s="2" t="str">
        <x:v>F1</x:v>
      </x:c>
      <x:c r="B48" s="24" t="d">
        <x:v>2026-10-19T17:00:00.000Z</x:v>
      </x:c>
      <x:c r="C48" s="2" t="str">
        <x:v>ナイト</x:v>
      </x:c>
      <x:c r="D48" s="20" t="n">
        <x:v>42499</x:v>
      </x:c>
      <x:c r="E48" s="20" t="n">
        <x:v>38336</x:v>
      </x:c>
      <x:c r="F48" s="20" t="n">
        <x:f>D48-E48</x:f>
        <x:v>4163</x:v>
      </x:c>
      <x:c r="G48" s="20" t="n">
        <x:f>SUMIFS($F$7:$F$56,$A$7:$A$56,A48,$B$7:$B$56,"&lt;="&amp;B48)</x:f>
        <x:v>959625</x:v>
      </x:c>
      <x:c r="H48" s="20" t="n">
        <x:v>1837</x:v>
      </x:c>
      <x:c r="I48" s="20" t="n">
        <x:v>6000</x:v>
      </x:c>
      <x:c r="J48" s="29" t="n">
        <x:v>5</x:v>
      </x:c>
      <x:c r="K48" s="29" t="n">
        <x:v>22</x:v>
      </x:c>
      <x:c r="L48" s="29" t="n">
        <x:v>5</x:v>
      </x:c>
      <x:c r="M48" s="31" t="str">
        <x:v>対照47場</x:v>
      </x:c>
      <x:c r="N48" s="30" t="n">
        <x:v>352.01666666666665</x:v>
      </x:c>
      <x:c r="O48" s="30" t="n">
        <x:v>109.6</x:v>
      </x:c>
      <x:c r="P48" s="26" t="n">
        <x:f>O48/IF(C48="デイ",420,780)</x:f>
        <x:v>0.14051282051282052</x:v>
      </x:c>
      <x:c r="Q48" s="27" t="n">
        <x:v>0.6407264957264958</x:v>
      </x:c>
    </x:row>
    <x:row r="49" ht="22" customHeight="1">
      <x:c r="A49" s="2" t="str">
        <x:v>F1</x:v>
      </x:c>
      <x:c r="B49" s="24" t="d">
        <x:v>2026-10-20T08:45:00.000Z</x:v>
      </x:c>
      <x:c r="C49" s="2" t="str">
        <x:v>デイ</x:v>
      </x:c>
      <x:c r="D49" s="20" t="n">
        <x:v>56251</x:v>
      </x:c>
      <x:c r="E49" s="20" t="n">
        <x:v>87000</x:v>
      </x:c>
      <x:c r="F49" s="20" t="n">
        <x:f>D49-E49</x:f>
        <x:v>-30749</x:v>
      </x:c>
      <x:c r="G49" s="20" t="n">
        <x:f>SUMIFS($F$7:$F$56,$A$7:$A$56,A49,$B$7:$B$56,"&lt;="&amp;B49)</x:f>
        <x:v>928876</x:v>
      </x:c>
      <x:c r="H49" s="20" t="n">
        <x:v>2249</x:v>
      </x:c>
      <x:c r="I49" s="20" t="n">
        <x:v>-28500</x:v>
      </x:c>
      <x:c r="J49" s="29" t="n">
        <x:v>9</x:v>
      </x:c>
      <x:c r="K49" s="29" t="n">
        <x:v>27</x:v>
      </x:c>
      <x:c r="L49" s="29" t="n">
        <x:v>5</x:v>
      </x:c>
      <x:c r="M49" s="31" t="str">
        <x:v>対照47場</x:v>
      </x:c>
      <x:c r="N49" s="30" t="n">
        <x:v>69.8</x:v>
      </x:c>
      <x:c r="O49" s="30" t="n">
        <x:v>103.16666666666667</x:v>
      </x:c>
      <x:c r="P49" s="26" t="n">
        <x:f>O49/IF(C49="デイ",420,780)</x:f>
        <x:v>0.24563492063492065</x:v>
      </x:c>
      <x:c r="Q49" s="27" t="n">
        <x:v>0.7520634920634921</x:v>
      </x:c>
    </x:row>
    <x:row r="50" ht="22" customHeight="1">
      <x:c r="A50" s="2" t="str">
        <x:v>F1</x:v>
      </x:c>
      <x:c r="B50" s="24" t="d">
        <x:v>2026-10-20T17:00:00.000Z</x:v>
      </x:c>
      <x:c r="C50" s="2" t="str">
        <x:v>ナイト</x:v>
      </x:c>
      <x:c r="D50" s="20" t="n">
        <x:v>84582</x:v>
      </x:c>
      <x:c r="E50" s="20" t="n">
        <x:v>60501</x:v>
      </x:c>
      <x:c r="F50" s="20" t="n">
        <x:f>D50-E50</x:f>
        <x:v>24081</x:v>
      </x:c>
      <x:c r="G50" s="20" t="n">
        <x:f>SUMIFS($F$7:$F$56,$A$7:$A$56,A50,$B$7:$B$56,"&lt;="&amp;B50)</x:f>
        <x:v>952957</x:v>
      </x:c>
      <x:c r="H50" s="20" t="n">
        <x:v>1419</x:v>
      </x:c>
      <x:c r="I50" s="20" t="n">
        <x:v>25500</x:v>
      </x:c>
      <x:c r="J50" s="29" t="n">
        <x:v>4</x:v>
      </x:c>
      <x:c r="K50" s="29" t="n">
        <x:v>17</x:v>
      </x:c>
      <x:c r="L50" s="29" t="n">
        <x:v>5</x:v>
      </x:c>
      <x:c r="M50" s="31" t="str">
        <x:v>対照47場</x:v>
      </x:c>
      <x:c r="N50" s="30" t="n">
        <x:v>367.26666666666665</x:v>
      </x:c>
      <x:c r="O50" s="30" t="n">
        <x:v>66.31666666666666</x:v>
      </x:c>
      <x:c r="P50" s="26" t="n">
        <x:f>O50/IF(C50="デイ",420,780)</x:f>
        <x:v>0.08502136752136752</x:v>
      </x:c>
      <x:c r="Q50" s="27" t="n">
        <x:v>0.37662393162393165</x:v>
      </x:c>
    </x:row>
    <x:row r="51" ht="22" customHeight="1">
      <x:c r="A51" s="2" t="str">
        <x:v>F1</x:v>
      </x:c>
      <x:c r="B51" s="24" t="d">
        <x:v>2026-10-21T08:45:00.000Z</x:v>
      </x:c>
      <x:c r="C51" s="2" t="str">
        <x:v>デイ</x:v>
      </x:c>
      <x:c r="D51" s="20" t="n">
        <x:v>47419</x:v>
      </x:c>
      <x:c r="E51" s="20" t="n">
        <x:v>102251</x:v>
      </x:c>
      <x:c r="F51" s="20" t="n">
        <x:f>D51-E51</x:f>
        <x:v>-54832</x:v>
      </x:c>
      <x:c r="G51" s="20" t="n">
        <x:f>SUMIFS($F$7:$F$56,$A$7:$A$56,A51,$B$7:$B$56,"&lt;="&amp;B51)</x:f>
        <x:v>898125</x:v>
      </x:c>
      <x:c r="H51" s="20" t="n">
        <x:v>2832</x:v>
      </x:c>
      <x:c r="I51" s="20" t="n">
        <x:v>-52000</x:v>
      </x:c>
      <x:c r="J51" s="29" t="n">
        <x:v>11</x:v>
      </x:c>
      <x:c r="K51" s="29" t="n">
        <x:v>34</x:v>
      </x:c>
      <x:c r="L51" s="29" t="n">
        <x:v>5</x:v>
      </x:c>
      <x:c r="M51" s="31" t="str">
        <x:v>対照47場</x:v>
      </x:c>
      <x:c r="N51" s="30" t="n">
        <x:v>50.083333333333336</x:v>
      </x:c>
      <x:c r="O51" s="30" t="n">
        <x:v>160.41666666666666</x:v>
      </x:c>
      <x:c r="P51" s="26" t="n">
        <x:f>O51/IF(C51="デイ",420,780)</x:f>
        <x:v>0.3819444444444444</x:v>
      </x:c>
      <x:c r="Q51" s="27" t="n">
        <x:v>1.1</x:v>
      </x:c>
    </x:row>
    <x:row r="52" ht="22" customHeight="1">
      <x:c r="A52" s="2" t="str">
        <x:v>F1</x:v>
      </x:c>
      <x:c r="B52" s="24" t="d">
        <x:v>2026-10-21T17:00:00.000Z</x:v>
      </x:c>
      <x:c r="C52" s="2" t="str">
        <x:v>ナイト</x:v>
      </x:c>
      <x:c r="D52" s="20" t="n">
        <x:v>24164</x:v>
      </x:c>
      <x:c r="E52" s="20" t="n">
        <x:v>22918</x:v>
      </x:c>
      <x:c r="F52" s="20" t="n">
        <x:f>D52-E52</x:f>
        <x:v>1246</x:v>
      </x:c>
      <x:c r="G52" s="20" t="n">
        <x:f>SUMIFS($F$7:$F$56,$A$7:$A$56,A52,$B$7:$B$56,"&lt;="&amp;B52)</x:f>
        <x:v>899371</x:v>
      </x:c>
      <x:c r="H52" s="20" t="n">
        <x:v>1254</x:v>
      </x:c>
      <x:c r="I52" s="20" t="n">
        <x:v>2500</x:v>
      </x:c>
      <x:c r="J52" s="29" t="n">
        <x:v>3</x:v>
      </x:c>
      <x:c r="K52" s="29" t="n">
        <x:v>15</x:v>
      </x:c>
      <x:c r="L52" s="29" t="n">
        <x:v>5</x:v>
      </x:c>
      <x:c r="M52" s="31" t="str">
        <x:v>対照47場</x:v>
      </x:c>
      <x:c r="N52" s="30" t="n">
        <x:v>393.3</x:v>
      </x:c>
      <x:c r="O52" s="30" t="n">
        <x:v>121.51666666666667</x:v>
      </x:c>
      <x:c r="P52" s="26" t="n">
        <x:f>O52/IF(C52="デイ",420,780)</x:f>
        <x:v>0.1557905982905983</x:v>
      </x:c>
      <x:c r="Q52" s="27" t="n">
        <x:v>0.7789529914529915</x:v>
      </x:c>
    </x:row>
    <x:row r="53" ht="22" customHeight="1">
      <x:c r="A53" s="2" t="str">
        <x:v>F1</x:v>
      </x:c>
      <x:c r="B53" s="24" t="d">
        <x:v>2026-10-22T08:45:00.000Z</x:v>
      </x:c>
      <x:c r="C53" s="2" t="str">
        <x:v>デイ</x:v>
      </x:c>
      <x:c r="D53" s="20" t="n">
        <x:v>87417</x:v>
      </x:c>
      <x:c r="E53" s="20" t="n">
        <x:v>53249</x:v>
      </x:c>
      <x:c r="F53" s="20" t="n">
        <x:f>D53-E53</x:f>
        <x:v>34168</x:v>
      </x:c>
      <x:c r="G53" s="20" t="n">
        <x:f>SUMIFS($F$7:$F$56,$A$7:$A$56,A53,$B$7:$B$56,"&lt;="&amp;B53)</x:f>
        <x:v>933539</x:v>
      </x:c>
      <x:c r="H53" s="20" t="n">
        <x:v>1332</x:v>
      </x:c>
      <x:c r="I53" s="20" t="n">
        <x:v>35500</x:v>
      </x:c>
      <x:c r="J53" s="29" t="n">
        <x:v>5</x:v>
      </x:c>
      <x:c r="K53" s="29" t="n">
        <x:v>16</x:v>
      </x:c>
      <x:c r="L53" s="29" t="n">
        <x:v>5</x:v>
      </x:c>
      <x:c r="M53" s="31" t="str">
        <x:v>対照47場</x:v>
      </x:c>
      <x:c r="N53" s="30" t="n">
        <x:v>79.76666666666667</x:v>
      </x:c>
      <x:c r="O53" s="30" t="n">
        <x:v>212.26666666666668</x:v>
      </x:c>
      <x:c r="P53" s="26" t="n">
        <x:f>O53/IF(C53="デイ",420,780)</x:f>
        <x:v>0.5053968253968254</x:v>
      </x:c>
      <x:c r="Q53" s="27" t="n">
        <x:v>1.5748809523809524</x:v>
      </x:c>
    </x:row>
    <x:row r="54" ht="22" customHeight="1">
      <x:c r="A54" s="2" t="str">
        <x:v>F1</x:v>
      </x:c>
      <x:c r="B54" s="24" t="d">
        <x:v>2026-10-22T17:00:00.000Z</x:v>
      </x:c>
      <x:c r="C54" s="2" t="str">
        <x:v>ナイト</x:v>
      </x:c>
      <x:c r="D54" s="20" t="n">
        <x:v>77915</x:v>
      </x:c>
      <x:c r="E54" s="20" t="n">
        <x:v>43501</x:v>
      </x:c>
      <x:c r="F54" s="20" t="n">
        <x:f>D54-E54</x:f>
        <x:v>34414</x:v>
      </x:c>
      <x:c r="G54" s="20" t="n">
        <x:f>SUMIFS($F$7:$F$56,$A$7:$A$56,A54,$B$7:$B$56,"&lt;="&amp;B54)</x:f>
        <x:v>967953</x:v>
      </x:c>
      <x:c r="H54" s="20" t="n">
        <x:v>2586</x:v>
      </x:c>
      <x:c r="I54" s="20" t="n">
        <x:v>37000</x:v>
      </x:c>
      <x:c r="J54" s="29" t="n">
        <x:v>8</x:v>
      </x:c>
      <x:c r="K54" s="29" t="n">
        <x:v>31</x:v>
      </x:c>
      <x:c r="L54" s="29" t="n">
        <x:v>5</x:v>
      </x:c>
      <x:c r="M54" s="31" t="str">
        <x:v>診断3場</x:v>
      </x:c>
      <x:c r="N54" s="30" t="n">
        <x:v>71.33333333333333</x:v>
      </x:c>
      <x:c r="O54" s="30" t="n">
        <x:v>83.48333333333333</x:v>
      </x:c>
      <x:c r="P54" s="26" t="n">
        <x:f>O54/IF(C54="デイ",420,780)</x:f>
        <x:v>0.10702991452991453</x:v>
      </x:c>
      <x:c r="Q54" s="27" t="n">
        <x:v>0.34807692307692306</x:v>
      </x:c>
    </x:row>
    <x:row r="55" ht="22" customHeight="1">
      <x:c r="A55" s="2" t="str">
        <x:v>F1</x:v>
      </x:c>
      <x:c r="B55" s="24" t="d">
        <x:v>2026-10-23T08:45:00.000Z</x:v>
      </x:c>
      <x:c r="C55" s="2" t="str">
        <x:v>デイ</x:v>
      </x:c>
      <x:c r="D55" s="20" t="n">
        <x:v>45006</x:v>
      </x:c>
      <x:c r="E55" s="20" t="n">
        <x:v>113580</x:v>
      </x:c>
      <x:c r="F55" s="20" t="n">
        <x:f>D55-E55</x:f>
        <x:v>-68574</x:v>
      </x:c>
      <x:c r="G55" s="20" t="n">
        <x:f>SUMIFS($F$7:$F$56,$A$7:$A$56,A55,$B$7:$B$56,"&lt;="&amp;B55)</x:f>
        <x:v>899379</x:v>
      </x:c>
      <x:c r="H55" s="20" t="n">
        <x:v>2074</x:v>
      </x:c>
      <x:c r="I55" s="20" t="n">
        <x:v>-66500</x:v>
      </x:c>
      <x:c r="J55" s="29" t="n">
        <x:v>13</x:v>
      </x:c>
      <x:c r="K55" s="29" t="n">
        <x:v>25</x:v>
      </x:c>
      <x:c r="L55" s="29" t="n">
        <x:v>5</x:v>
      </x:c>
      <x:c r="M55" s="31" t="str">
        <x:v>診断3場</x:v>
      </x:c>
      <x:c r="N55" s="30" t="n">
        <x:v>43.95</x:v>
      </x:c>
      <x:c r="O55" s="30" t="n">
        <x:v>228.3</x:v>
      </x:c>
      <x:c r="P55" s="26" t="n">
        <x:f>O55/IF(C55="デイ",420,780)</x:f>
        <x:v>0.5435714285714286</x:v>
      </x:c>
      <x:c r="Q55" s="27" t="n">
        <x:v>0.7346428571428572</x:v>
      </x:c>
    </x:row>
    <x:row r="56" ht="22" customHeight="1">
      <x:c r="A56" s="2" t="str">
        <x:v>F1</x:v>
      </x:c>
      <x:c r="B56" s="24" t="d">
        <x:v>2026-10-23T17:00:00.000Z</x:v>
      </x:c>
      <x:c r="C56" s="2" t="str">
        <x:v>ナイト</x:v>
      </x:c>
      <x:c r="D56" s="20" t="n">
        <x:v>39750</x:v>
      </x:c>
      <x:c r="E56" s="20" t="n">
        <x:v>9665</x:v>
      </x:c>
      <x:c r="F56" s="20" t="n">
        <x:f>D56-E56</x:f>
        <x:v>30085</x:v>
      </x:c>
      <x:c r="G56" s="20" t="n">
        <x:f>SUMIFS($F$7:$F$56,$A$7:$A$56,A56,$B$7:$B$56,"&lt;="&amp;B56)</x:f>
        <x:v>929464</x:v>
      </x:c>
      <x:c r="H56" s="20" t="n">
        <x:v>915</x:v>
      </x:c>
      <x:c r="I56" s="20" t="n">
        <x:v>31000</x:v>
      </x:c>
      <x:c r="J56" s="29" t="n">
        <x:v>4</x:v>
      </x:c>
      <x:c r="K56" s="29" t="n">
        <x:v>11</x:v>
      </x:c>
      <x:c r="L56" s="29" t="n">
        <x:v>5</x:v>
      </x:c>
      <x:c r="M56" s="31" t="str">
        <x:v>診断3場</x:v>
      </x:c>
      <x:c r="N56" s="30" t="n">
        <x:v>125.96666666666667</x:v>
      </x:c>
      <x:c r="O56" s="30" t="n">
        <x:v>73.66666666666667</x:v>
      </x:c>
      <x:c r="P56" s="26" t="n">
        <x:f>O56/IF(C56="デイ",420,780)</x:f>
        <x:v>0.09444444444444446</x:v>
      </x:c>
      <x:c r="Q56" s="27" t="n">
        <x:v>0.4092948717948718</x:v>
      </x:c>
    </x:row>
  </x:sheetData>
  <x:conditionalFormatting sqref="D7:I56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1c744b958749ce"/>
  </x:tableParts>
</x:worksheet>
</file>

<file path=xl/worksheets/sheet11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TOPIXmini V04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片方向上限10枚。金額は円・手数料後。保有率は昼420分・夜780分が分母。平均保有枚数も公式時間全体で平均し、両建ては合計枚数で数えます。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昼：V04／夜：V04。対照47場：9/21～10/22デイ。診断3場：10/22ナイト～10/23ナイト。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参加拡大の比較対照・安定性は悪化。出典：00142保存会計。診断3場は原因分析と改善に使用した期間です。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7" t="str">
        <x:v>保有（分）</x:v>
      </x:c>
      <x:c r="P6" s="17" t="str">
        <x:v>保有率</x:v>
      </x:c>
      <x:c r="Q6" s="18" t="str">
        <x:v>平均保有枚数</x:v>
      </x:c>
    </x:row>
    <x:row r="7" ht="22" customHeight="1">
      <x:c r="A7" s="2" t="str">
        <x:v>V04</x:v>
      </x:c>
      <x:c r="B7" s="24" t="d">
        <x:v>2026-09-21T08:45:00.000Z</x:v>
      </x:c>
      <x:c r="C7" s="2" t="str">
        <x:v>デイ</x:v>
      </x:c>
      <x:c r="D7" s="20" t="n">
        <x:v>0</x:v>
      </x:c>
      <x:c r="E7" s="20" t="n">
        <x:v>20418</x:v>
      </x:c>
      <x:c r="F7" s="20" t="n">
        <x:f>D7-E7</x:f>
        <x:v>-20418</x:v>
      </x:c>
      <x:c r="G7" s="20" t="n">
        <x:f>SUMIFS($F$7:$F$56,$A$7:$A$56,A7,$B$7:$B$56,"&lt;="&amp;B7)</x:f>
        <x:v>-20418</x:v>
      </x:c>
      <x:c r="H7" s="20" t="n">
        <x:v>418</x:v>
      </x:c>
      <x:c r="I7" s="20" t="n">
        <x:v>-20000</x:v>
      </x:c>
      <x:c r="J7" s="29" t="n">
        <x:v>1</x:v>
      </x:c>
      <x:c r="K7" s="29" t="n">
        <x:v>5</x:v>
      </x:c>
      <x:c r="L7" s="29" t="n">
        <x:v>5</x:v>
      </x:c>
      <x:c r="M7" s="31" t="str">
        <x:v>対照47場</x:v>
      </x:c>
      <x:c r="N7" s="30" t="n">
        <x:v>363.18333333333334</x:v>
      </x:c>
      <x:c r="O7" s="30" t="n">
        <x:v>9.033333333333333</x:v>
      </x:c>
      <x:c r="P7" s="26" t="n">
        <x:f>O7/IF(C7="デイ",420,780)</x:f>
        <x:v>0.021507936507936507</x:v>
      </x:c>
      <x:c r="Q7" s="27" t="n">
        <x:v>0.10753968253968255</x:v>
      </x:c>
    </x:row>
    <x:row r="8" ht="22" customHeight="1">
      <x:c r="A8" s="2" t="str">
        <x:v>V04</x:v>
      </x:c>
      <x:c r="B8" s="24" t="d">
        <x:v>2026-09-21T17:00:00.000Z</x:v>
      </x:c>
      <x:c r="C8" s="2" t="str">
        <x:v>ナイト</x:v>
      </x:c>
      <x:c r="D8" s="20" t="n">
        <x:v>7082</x:v>
      </x:c>
      <x:c r="E8" s="20" t="n">
        <x:v>0</x:v>
      </x:c>
      <x:c r="F8" s="20" t="n">
        <x:f>D8-E8</x:f>
        <x:v>7082</x:v>
      </x:c>
      <x:c r="G8" s="20" t="n">
        <x:f>SUMIFS($F$7:$F$56,$A$7:$A$56,A8,$B$7:$B$56,"&lt;="&amp;B8)</x:f>
        <x:v>-13336</x:v>
      </x:c>
      <x:c r="H8" s="20" t="n">
        <x:v>418</x:v>
      </x:c>
      <x:c r="I8" s="20" t="n">
        <x:v>7500</x:v>
      </x:c>
      <x:c r="J8" s="29" t="n">
        <x:v>1</x:v>
      </x:c>
      <x:c r="K8" s="29" t="n">
        <x:v>5</x:v>
      </x:c>
      <x:c r="L8" s="29" t="n">
        <x:v>5</x:v>
      </x:c>
      <x:c r="M8" s="31" t="str">
        <x:v>対照47場</x:v>
      </x:c>
      <x:c r="N8" s="30" t="n">
        <x:v>385.95</x:v>
      </x:c>
      <x:c r="O8" s="30" t="n">
        <x:v>8.5</x:v>
      </x:c>
      <x:c r="P8" s="26" t="n">
        <x:f>O8/IF(C8="デイ",420,780)</x:f>
        <x:v>0.010897435897435897</x:v>
      </x:c>
      <x:c r="Q8" s="27" t="n">
        <x:v>0.05448717948717949</x:v>
      </x:c>
    </x:row>
    <x:row r="9" ht="22" customHeight="1">
      <x:c r="A9" s="2" t="str">
        <x:v>V04</x:v>
      </x:c>
      <x:c r="B9" s="24" t="d">
        <x:v>2026-09-22T08:45:00.000Z</x:v>
      </x:c>
      <x:c r="C9" s="2" t="str">
        <x:v>デイ</x:v>
      </x:c>
      <x:c r="D9" s="20" t="n">
        <x:v>20584</x:v>
      </x:c>
      <x:c r="E9" s="20" t="n">
        <x:v>20584</x:v>
      </x:c>
      <x:c r="F9" s="20" t="n">
        <x:f>D9-E9</x:f>
        <x:v>0</x:v>
      </x:c>
      <x:c r="G9" s="20" t="n">
        <x:f>SUMIFS($F$7:$F$56,$A$7:$A$56,A9,$B$7:$B$56,"&lt;="&amp;B9)</x:f>
        <x:v>-13336</x:v>
      </x:c>
      <x:c r="H9" s="20" t="n">
        <x:v>1000</x:v>
      </x:c>
      <x:c r="I9" s="20" t="n">
        <x:v>1000</x:v>
      </x:c>
      <x:c r="J9" s="29" t="n">
        <x:v>3</x:v>
      </x:c>
      <x:c r="K9" s="29" t="n">
        <x:v>12</x:v>
      </x:c>
      <x:c r="L9" s="29" t="n">
        <x:v>7</x:v>
      </x:c>
      <x:c r="M9" s="31" t="str">
        <x:v>対照47場</x:v>
      </x:c>
      <x:c r="N9" s="30" t="n">
        <x:v>100.41666666666667</x:v>
      </x:c>
      <x:c r="O9" s="30" t="n">
        <x:v>72.33333333333333</x:v>
      </x:c>
      <x:c r="P9" s="26" t="n">
        <x:f>O9/IF(C9="デイ",420,780)</x:f>
        <x:v>0.17222222222222222</x:v>
      </x:c>
      <x:c r="Q9" s="27" t="n">
        <x:v>0.49662698412698414</x:v>
      </x:c>
    </x:row>
    <x:row r="10" ht="22" customHeight="1">
      <x:c r="A10" s="2" t="str">
        <x:v>V04</x:v>
      </x:c>
      <x:c r="B10" s="24" t="d">
        <x:v>2026-09-22T17:00:00.000Z</x:v>
      </x:c>
      <x:c r="C10" s="2" t="str">
        <x:v>ナイト</x:v>
      </x:c>
      <x:c r="D10" s="20" t="n">
        <x:v>57336</x:v>
      </x:c>
      <x:c r="E10" s="20" t="n">
        <x:v>53754</x:v>
      </x:c>
      <x:c r="F10" s="20" t="n">
        <x:f>D10-E10</x:f>
        <x:v>3582</x:v>
      </x:c>
      <x:c r="G10" s="20" t="n">
        <x:f>SUMIFS($F$7:$F$56,$A$7:$A$56,A10,$B$7:$B$56,"&lt;="&amp;B10)</x:f>
        <x:v>-9754</x:v>
      </x:c>
      <x:c r="H10" s="20" t="n">
        <x:v>1918</x:v>
      </x:c>
      <x:c r="I10" s="20" t="n">
        <x:v>5500</x:v>
      </x:c>
      <x:c r="J10" s="29" t="n">
        <x:v>7</x:v>
      </x:c>
      <x:c r="K10" s="29" t="n">
        <x:v>23</x:v>
      </x:c>
      <x:c r="L10" s="29" t="n">
        <x:v>7</x:v>
      </x:c>
      <x:c r="M10" s="31" t="str">
        <x:v>対照47場</x:v>
      </x:c>
      <x:c r="N10" s="30" t="n">
        <x:v>43.68333333333333</x:v>
      </x:c>
      <x:c r="O10" s="30" t="n">
        <x:v>496.1166666666667</x:v>
      </x:c>
      <x:c r="P10" s="26" t="n">
        <x:f>O10/IF(C10="デイ",420,780)</x:f>
        <x:v>0.6360470085470086</x:v>
      </x:c>
      <x:c r="Q10" s="27" t="n">
        <x:v>1.4725427350427351</x:v>
      </x:c>
    </x:row>
    <x:row r="11" ht="22" customHeight="1">
      <x:c r="A11" s="2" t="str">
        <x:v>V04</x:v>
      </x:c>
      <x:c r="B11" s="24" t="d">
        <x:v>2026-09-23T08:45:00.000Z</x:v>
      </x:c>
      <x:c r="C11" s="2" t="str">
        <x:v>デイ</x:v>
      </x:c>
      <x:c r="D11" s="20" t="n">
        <x:v>77584</x:v>
      </x:c>
      <x:c r="E11" s="20" t="n">
        <x:v>0</x:v>
      </x:c>
      <x:c r="F11" s="20" t="n">
        <x:f>D11-E11</x:f>
        <x:v>77584</x:v>
      </x:c>
      <x:c r="G11" s="20" t="n">
        <x:f>SUMIFS($F$7:$F$56,$A$7:$A$56,A11,$B$7:$B$56,"&lt;="&amp;B11)</x:f>
        <x:v>67830</x:v>
      </x:c>
      <x:c r="H11" s="20" t="n">
        <x:v>416</x:v>
      </x:c>
      <x:c r="I11" s="20" t="n">
        <x:v>78000</x:v>
      </x:c>
      <x:c r="J11" s="29" t="n">
        <x:v>1</x:v>
      </x:c>
      <x:c r="K11" s="29" t="n">
        <x:v>5</x:v>
      </x:c>
      <x:c r="L11" s="29" t="n">
        <x:v>5</x:v>
      </x:c>
      <x:c r="M11" s="31" t="str">
        <x:v>対照47場</x:v>
      </x:c>
      <x:c r="N11" s="30" t="n">
        <x:v>68.45</x:v>
      </x:c>
      <x:c r="O11" s="30" t="n">
        <x:v>158.21666666666667</x:v>
      </x:c>
      <x:c r="P11" s="26" t="n">
        <x:f>O11/IF(C11="デイ",420,780)</x:f>
        <x:v>0.3767063492063492</x:v>
      </x:c>
      <x:c r="Q11" s="27" t="n">
        <x:v>0.9761111111111112</x:v>
      </x:c>
    </x:row>
    <x:row r="12" ht="22" customHeight="1">
      <x:c r="A12" s="2" t="str">
        <x:v>V04</x:v>
      </x:c>
      <x:c r="B12" s="24" t="d">
        <x:v>2026-09-23T17:00:00.000Z</x:v>
      </x:c>
      <x:c r="C12" s="2" t="str">
        <x:v>ナイト</x:v>
      </x:c>
      <x:c r="D12" s="20" t="n">
        <x:v>32832</x:v>
      </x:c>
      <x:c r="E12" s="20" t="n">
        <x:v>1166</x:v>
      </x:c>
      <x:c r="F12" s="20" t="n">
        <x:f>D12-E12</x:f>
        <x:v>31666</x:v>
      </x:c>
      <x:c r="G12" s="20" t="n">
        <x:f>SUMIFS($F$7:$F$56,$A$7:$A$56,A12,$B$7:$B$56,"&lt;="&amp;B12)</x:f>
        <x:v>99496</x:v>
      </x:c>
      <x:c r="H12" s="20" t="n">
        <x:v>1334</x:v>
      </x:c>
      <x:c r="I12" s="20" t="n">
        <x:v>33000</x:v>
      </x:c>
      <x:c r="J12" s="29" t="n">
        <x:v>5</x:v>
      </x:c>
      <x:c r="K12" s="29" t="n">
        <x:v>16</x:v>
      </x:c>
      <x:c r="L12" s="29" t="n">
        <x:v>7</x:v>
      </x:c>
      <x:c r="M12" s="31" t="str">
        <x:v>対照47場</x:v>
      </x:c>
      <x:c r="N12" s="30" t="n">
        <x:v>346.53333333333336</x:v>
      </x:c>
      <x:c r="O12" s="30" t="n">
        <x:v>156.25</x:v>
      </x:c>
      <x:c r="P12" s="26" t="n">
        <x:f>O12/IF(C12="デイ",420,780)</x:f>
        <x:v>0.20032051282051283</x:v>
      </x:c>
      <x:c r="Q12" s="27" t="n">
        <x:v>0.6269658119658119</x:v>
      </x:c>
    </x:row>
    <x:row r="13" ht="22" customHeight="1">
      <x:c r="A13" s="2" t="str">
        <x:v>V04</x:v>
      </x:c>
      <x:c r="B13" s="24" t="d">
        <x:v>2026-09-24T08:45:00.000Z</x:v>
      </x:c>
      <x:c r="C13" s="2" t="str">
        <x:v>デイ</x:v>
      </x:c>
      <x:c r="D13" s="20" t="n">
        <x:v>89919</x:v>
      </x:c>
      <x:c r="E13" s="20" t="n">
        <x:v>44830</x:v>
      </x:c>
      <x:c r="F13" s="20" t="n">
        <x:f>D13-E13</x:f>
        <x:v>45089</x:v>
      </x:c>
      <x:c r="G13" s="20" t="n">
        <x:f>SUMIFS($F$7:$F$56,$A$7:$A$56,A13,$B$7:$B$56,"&lt;="&amp;B13)</x:f>
        <x:v>144585</x:v>
      </x:c>
      <x:c r="H13" s="20" t="n">
        <x:v>1911</x:v>
      </x:c>
      <x:c r="I13" s="20" t="n">
        <x:v>47000</x:v>
      </x:c>
      <x:c r="J13" s="29" t="n">
        <x:v>10</x:v>
      </x:c>
      <x:c r="K13" s="29" t="n">
        <x:v>23</x:v>
      </x:c>
      <x:c r="L13" s="29" t="n">
        <x:v>7</x:v>
      </x:c>
      <x:c r="M13" s="31" t="str">
        <x:v>対照47場</x:v>
      </x:c>
      <x:c r="N13" s="30" t="n">
        <x:v>27.45</x:v>
      </x:c>
      <x:c r="O13" s="30" t="n">
        <x:v>326.26666666666665</x:v>
      </x:c>
      <x:c r="P13" s="26" t="n">
        <x:f>O13/IF(C13="デイ",420,780)</x:f>
        <x:v>0.7768253968253968</x:v>
      </x:c>
      <x:c r="Q13" s="27" t="n">
        <x:v>3.615793650793651</x:v>
      </x:c>
    </x:row>
    <x:row r="14" ht="22" customHeight="1">
      <x:c r="A14" s="2" t="str">
        <x:v>V04</x:v>
      </x:c>
      <x:c r="B14" s="24" t="d">
        <x:v>2026-09-24T17:00:00.000Z</x:v>
      </x:c>
      <x:c r="C14" s="2" t="str">
        <x:v>ナイト</x:v>
      </x:c>
      <x:c r="D14" s="20" t="n">
        <x:v>43916</x:v>
      </x:c>
      <x:c r="E14" s="20" t="n">
        <x:v>101660</x:v>
      </x:c>
      <x:c r="F14" s="20" t="n">
        <x:f>D14-E14</x:f>
        <x:v>-57744</x:v>
      </x:c>
      <x:c r="G14" s="20" t="n">
        <x:f>SUMIFS($F$7:$F$56,$A$7:$A$56,A14,$B$7:$B$56,"&lt;="&amp;B14)</x:f>
        <x:v>86841</x:v>
      </x:c>
      <x:c r="H14" s="20" t="n">
        <x:v>2244</x:v>
      </x:c>
      <x:c r="I14" s="20" t="n">
        <x:v>-55500</x:v>
      </x:c>
      <x:c r="J14" s="29" t="n">
        <x:v>12</x:v>
      </x:c>
      <x:c r="K14" s="29" t="n">
        <x:v>27</x:v>
      </x:c>
      <x:c r="L14" s="29" t="n">
        <x:v>7</x:v>
      </x:c>
      <x:c r="M14" s="31" t="str">
        <x:v>対照47場</x:v>
      </x:c>
      <x:c r="N14" s="30" t="n">
        <x:v>101.91666666666667</x:v>
      </x:c>
      <x:c r="O14" s="30" t="n">
        <x:v>169.4</x:v>
      </x:c>
      <x:c r="P14" s="26" t="n">
        <x:f>O14/IF(C14="デイ",420,780)</x:f>
        <x:v>0.21717948717948718</x:v>
      </x:c>
      <x:c r="Q14" s="27" t="n">
        <x:v>0.6970726495726496</x:v>
      </x:c>
    </x:row>
    <x:row r="15" ht="22" customHeight="1">
      <x:c r="A15" s="2" t="str">
        <x:v>V04</x:v>
      </x:c>
      <x:c r="B15" s="24" t="d">
        <x:v>2026-09-25T08:45:00.000Z</x:v>
      </x:c>
      <x:c r="C15" s="2" t="str">
        <x:v>デイ</x:v>
      </x:c>
      <x:c r="D15" s="20" t="n">
        <x:v>114251</x:v>
      </x:c>
      <x:c r="E15" s="20" t="n">
        <x:v>52996</x:v>
      </x:c>
      <x:c r="F15" s="20" t="n">
        <x:f>D15-E15</x:f>
        <x:v>61255</x:v>
      </x:c>
      <x:c r="G15" s="20" t="n">
        <x:f>SUMIFS($F$7:$F$56,$A$7:$A$56,A15,$B$7:$B$56,"&lt;="&amp;B15)</x:f>
        <x:v>148096</x:v>
      </x:c>
      <x:c r="H15" s="20" t="n">
        <x:v>1745</x:v>
      </x:c>
      <x:c r="I15" s="20" t="n">
        <x:v>63000</x:v>
      </x:c>
      <x:c r="J15" s="29" t="n">
        <x:v>9</x:v>
      </x:c>
      <x:c r="K15" s="29" t="n">
        <x:v>21</x:v>
      </x:c>
      <x:c r="L15" s="29" t="n">
        <x:v>7</x:v>
      </x:c>
      <x:c r="M15" s="31" t="str">
        <x:v>対照47場</x:v>
      </x:c>
      <x:c r="N15" s="30" t="n">
        <x:v>27.166666666666668</x:v>
      </x:c>
      <x:c r="O15" s="30" t="n">
        <x:v>335.85</x:v>
      </x:c>
      <x:c r="P15" s="26" t="n">
        <x:f>O15/IF(C15="デイ",420,780)</x:f>
        <x:v>0.7996428571428572</x:v>
      </x:c>
      <x:c r="Q15" s="27" t="n">
        <x:v>3.0256349206349205</x:v>
      </x:c>
    </x:row>
    <x:row r="16" ht="22" customHeight="1">
      <x:c r="A16" s="2" t="str">
        <x:v>V04</x:v>
      </x:c>
      <x:c r="B16" s="24" t="d">
        <x:v>2026-09-25T17:00:00.000Z</x:v>
      </x:c>
      <x:c r="C16" s="2" t="str">
        <x:v>ナイト</x:v>
      </x:c>
      <x:c r="D16" s="20" t="n">
        <x:v>45250</x:v>
      </x:c>
      <x:c r="E16" s="20" t="n">
        <x:v>29750</x:v>
      </x:c>
      <x:c r="F16" s="20" t="n">
        <x:f>D16-E16</x:f>
        <x:v>15500</x:v>
      </x:c>
      <x:c r="G16" s="20" t="n">
        <x:f>SUMIFS($F$7:$F$56,$A$7:$A$56,A16,$B$7:$B$56,"&lt;="&amp;B16)</x:f>
        <x:v>163596</x:v>
      </x:c>
      <x:c r="H16" s="20" t="n">
        <x:v>1500</x:v>
      </x:c>
      <x:c r="I16" s="20" t="n">
        <x:v>17000</x:v>
      </x:c>
      <x:c r="J16" s="29" t="n">
        <x:v>6</x:v>
      </x:c>
      <x:c r="K16" s="29" t="n">
        <x:v>18</x:v>
      </x:c>
      <x:c r="L16" s="29" t="n">
        <x:v>7</x:v>
      </x:c>
      <x:c r="M16" s="31" t="str">
        <x:v>対照47場</x:v>
      </x:c>
      <x:c r="N16" s="30" t="n">
        <x:v>321.1166666666667</x:v>
      </x:c>
      <x:c r="O16" s="30" t="n">
        <x:v>102.7</x:v>
      </x:c>
      <x:c r="P16" s="26" t="n">
        <x:f>O16/IF(C16="デイ",420,780)</x:f>
        <x:v>0.13166666666666668</x:v>
      </x:c>
      <x:c r="Q16" s="27" t="n">
        <x:v>0.31664529914529915</x:v>
      </x:c>
    </x:row>
    <x:row r="17" ht="22" customHeight="1">
      <x:c r="A17" s="2" t="str">
        <x:v>V04</x:v>
      </x:c>
      <x:c r="B17" s="24" t="d">
        <x:v>2026-09-28T08:45:00.000Z</x:v>
      </x:c>
      <x:c r="C17" s="2" t="str">
        <x:v>デイ</x:v>
      </x:c>
      <x:c r="D17" s="20" t="n">
        <x:v>171253</x:v>
      </x:c>
      <x:c r="E17" s="20" t="n">
        <x:v>69162</x:v>
      </x:c>
      <x:c r="F17" s="20" t="n">
        <x:f>D17-E17</x:f>
        <x:v>102091</x:v>
      </x:c>
      <x:c r="G17" s="20" t="n">
        <x:f>SUMIFS($F$7:$F$56,$A$7:$A$56,A17,$B$7:$B$56,"&lt;="&amp;B17)</x:f>
        <x:v>265687</x:v>
      </x:c>
      <x:c r="H17" s="20" t="n">
        <x:v>2409</x:v>
      </x:c>
      <x:c r="I17" s="20" t="n">
        <x:v>104500</x:v>
      </x:c>
      <x:c r="J17" s="29" t="n">
        <x:v>13</x:v>
      </x:c>
      <x:c r="K17" s="29" t="n">
        <x:v>29</x:v>
      </x:c>
      <x:c r="L17" s="29" t="n">
        <x:v>7</x:v>
      </x:c>
      <x:c r="M17" s="31" t="str">
        <x:v>対照47場</x:v>
      </x:c>
      <x:c r="N17" s="30" t="n">
        <x:v>28.766666666666666</x:v>
      </x:c>
      <x:c r="O17" s="30" t="n">
        <x:v>371.8666666666667</x:v>
      </x:c>
      <x:c r="P17" s="26" t="n">
        <x:f>O17/IF(C17="デイ",420,780)</x:f>
        <x:v>0.8853968253968254</x:v>
      </x:c>
      <x:c r="Q17" s="27" t="n">
        <x:v>3.661984126984127</x:v>
      </x:c>
    </x:row>
    <x:row r="18" ht="22" customHeight="1">
      <x:c r="A18" s="2" t="str">
        <x:v>V04</x:v>
      </x:c>
      <x:c r="B18" s="24" t="d">
        <x:v>2026-09-28T17:00:00.000Z</x:v>
      </x:c>
      <x:c r="C18" s="2" t="str">
        <x:v>ナイト</x:v>
      </x:c>
      <x:c r="D18" s="20" t="n">
        <x:v>45250</x:v>
      </x:c>
      <x:c r="E18" s="20" t="n">
        <x:v>50329</x:v>
      </x:c>
      <x:c r="F18" s="20" t="n">
        <x:f>D18-E18</x:f>
        <x:v>-5079</x:v>
      </x:c>
      <x:c r="G18" s="20" t="n">
        <x:f>SUMIFS($F$7:$F$56,$A$7:$A$56,A18,$B$7:$B$56,"&lt;="&amp;B18)</x:f>
        <x:v>260608</x:v>
      </x:c>
      <x:c r="H18" s="20" t="n">
        <x:v>1579</x:v>
      </x:c>
      <x:c r="I18" s="20" t="n">
        <x:v>-3500</x:v>
      </x:c>
      <x:c r="J18" s="29" t="n">
        <x:v>8</x:v>
      </x:c>
      <x:c r="K18" s="29" t="n">
        <x:v>19</x:v>
      </x:c>
      <x:c r="L18" s="29" t="n">
        <x:v>7</x:v>
      </x:c>
      <x:c r="M18" s="31" t="str">
        <x:v>対照47場</x:v>
      </x:c>
      <x:c r="N18" s="30" t="n">
        <x:v>131.78333333333333</x:v>
      </x:c>
      <x:c r="O18" s="30" t="n">
        <x:v>155.45</x:v>
      </x:c>
      <x:c r="P18" s="26" t="n">
        <x:f>O18/IF(C18="デイ",420,780)</x:f>
        <x:v>0.1992948717948718</x:v>
      </x:c>
      <x:c r="Q18" s="27" t="n">
        <x:v>0.47476495726495727</x:v>
      </x:c>
    </x:row>
    <x:row r="19" ht="22" customHeight="1">
      <x:c r="A19" s="2" t="str">
        <x:v>V04</x:v>
      </x:c>
      <x:c r="B19" s="24" t="d">
        <x:v>2026-09-29T08:45:00.000Z</x:v>
      </x:c>
      <x:c r="C19" s="2" t="str">
        <x:v>デイ</x:v>
      </x:c>
      <x:c r="D19" s="20" t="n">
        <x:v>34919</x:v>
      </x:c>
      <x:c r="E19" s="20" t="n">
        <x:v>33830</x:v>
      </x:c>
      <x:c r="F19" s="20" t="n">
        <x:f>D19-E19</x:f>
        <x:v>1089</x:v>
      </x:c>
      <x:c r="G19" s="20" t="n">
        <x:f>SUMIFS($F$7:$F$56,$A$7:$A$56,A19,$B$7:$B$56,"&lt;="&amp;B19)</x:f>
        <x:v>261697</x:v>
      </x:c>
      <x:c r="H19" s="20" t="n">
        <x:v>1911</x:v>
      </x:c>
      <x:c r="I19" s="20" t="n">
        <x:v>3000</x:v>
      </x:c>
      <x:c r="J19" s="29" t="n">
        <x:v>10</x:v>
      </x:c>
      <x:c r="K19" s="29" t="n">
        <x:v>23</x:v>
      </x:c>
      <x:c r="L19" s="29" t="n">
        <x:v>7</x:v>
      </x:c>
      <x:c r="M19" s="31" t="str">
        <x:v>対照47場</x:v>
      </x:c>
      <x:c r="N19" s="30" t="n">
        <x:v>33.583333333333336</x:v>
      </x:c>
      <x:c r="O19" s="30" t="n">
        <x:v>360.6666666666667</x:v>
      </x:c>
      <x:c r="P19" s="26" t="n">
        <x:f>O19/IF(C19="デイ",420,780)</x:f>
        <x:v>0.8587301587301588</x:v>
      </x:c>
      <x:c r="Q19" s="27" t="n">
        <x:v>3.8753571428571427</x:v>
      </x:c>
    </x:row>
    <x:row r="20" ht="22" customHeight="1">
      <x:c r="A20" s="2" t="str">
        <x:v>V04</x:v>
      </x:c>
      <x:c r="B20" s="24" t="d">
        <x:v>2026-09-29T17:00:00.000Z</x:v>
      </x:c>
      <x:c r="C20" s="2" t="str">
        <x:v>ナイト</x:v>
      </x:c>
      <x:c r="D20" s="20" t="n">
        <x:v>23668</x:v>
      </x:c>
      <x:c r="E20" s="20" t="n">
        <x:v>26664</x:v>
      </x:c>
      <x:c r="F20" s="20" t="n">
        <x:f>D20-E20</x:f>
        <x:v>-2996</x:v>
      </x:c>
      <x:c r="G20" s="20" t="n">
        <x:f>SUMIFS($F$7:$F$56,$A$7:$A$56,A20,$B$7:$B$56,"&lt;="&amp;B20)</x:f>
        <x:v>258701</x:v>
      </x:c>
      <x:c r="H20" s="20" t="n">
        <x:v>996</x:v>
      </x:c>
      <x:c r="I20" s="20" t="n">
        <x:v>-2000</x:v>
      </x:c>
      <x:c r="J20" s="29" t="n">
        <x:v>6</x:v>
      </x:c>
      <x:c r="K20" s="29" t="n">
        <x:v>12</x:v>
      </x:c>
      <x:c r="L20" s="29" t="n">
        <x:v>4</x:v>
      </x:c>
      <x:c r="M20" s="31" t="str">
        <x:v>対照47場</x:v>
      </x:c>
      <x:c r="N20" s="30" t="n">
        <x:v>340.6333333333333</x:v>
      </x:c>
      <x:c r="O20" s="30" t="n">
        <x:v>100.2</x:v>
      </x:c>
      <x:c r="P20" s="26" t="n">
        <x:f>O20/IF(C20="デイ",420,780)</x:f>
        <x:v>0.12846153846153846</x:v>
      </x:c>
      <x:c r="Q20" s="27" t="n">
        <x:v>0.2967948717948718</x:v>
      </x:c>
    </x:row>
    <x:row r="21" ht="22" customHeight="1">
      <x:c r="A21" s="2" t="str">
        <x:v>V04</x:v>
      </x:c>
      <x:c r="B21" s="24" t="d">
        <x:v>2026-09-30T08:45:00.000Z</x:v>
      </x:c>
      <x:c r="C21" s="2" t="str">
        <x:v>デイ</x:v>
      </x:c>
      <x:c r="D21" s="20" t="n">
        <x:v>104917</x:v>
      </x:c>
      <x:c r="E21" s="20" t="n">
        <x:v>118832</x:v>
      </x:c>
      <x:c r="F21" s="20" t="n">
        <x:f>D21-E21</x:f>
        <x:v>-13915</x:v>
      </x:c>
      <x:c r="G21" s="20" t="n">
        <x:f>SUMIFS($F$7:$F$56,$A$7:$A$56,A21,$B$7:$B$56,"&lt;="&amp;B21)</x:f>
        <x:v>244786</x:v>
      </x:c>
      <x:c r="H21" s="20" t="n">
        <x:v>2415</x:v>
      </x:c>
      <x:c r="I21" s="20" t="n">
        <x:v>-11500</x:v>
      </x:c>
      <x:c r="J21" s="29" t="n">
        <x:v>10</x:v>
      </x:c>
      <x:c r="K21" s="29" t="n">
        <x:v>29</x:v>
      </x:c>
      <x:c r="L21" s="29" t="n">
        <x:v>5</x:v>
      </x:c>
      <x:c r="M21" s="31" t="str">
        <x:v>対照47場</x:v>
      </x:c>
      <x:c r="N21" s="30" t="n">
        <x:v>70.08333333333333</x:v>
      </x:c>
      <x:c r="O21" s="30" t="n">
        <x:v>254.63333333333333</x:v>
      </x:c>
      <x:c r="P21" s="26" t="n">
        <x:f>O21/IF(C21="デイ",420,780)</x:f>
        <x:v>0.6062698412698413</x:v>
      </x:c>
      <x:c r="Q21" s="27" t="n">
        <x:v>2.0742063492063494</x:v>
      </x:c>
    </x:row>
    <x:row r="22" ht="22" customHeight="1">
      <x:c r="A22" s="2" t="str">
        <x:v>V04</x:v>
      </x:c>
      <x:c r="B22" s="24" t="d">
        <x:v>2026-09-30T17:00:00.000Z</x:v>
      </x:c>
      <x:c r="C22" s="2" t="str">
        <x:v>ナイト</x:v>
      </x:c>
      <x:c r="D22" s="20" t="n">
        <x:v>36166</x:v>
      </x:c>
      <x:c r="E22" s="20" t="n">
        <x:v>51082</x:v>
      </x:c>
      <x:c r="F22" s="20" t="n">
        <x:f>D22-E22</x:f>
        <x:v>-14916</x:v>
      </x:c>
      <x:c r="G22" s="20" t="n">
        <x:f>SUMIFS($F$7:$F$56,$A$7:$A$56,A22,$B$7:$B$56,"&lt;="&amp;B22)</x:f>
        <x:v>229870</x:v>
      </x:c>
      <x:c r="H22" s="20" t="n">
        <x:v>2416</x:v>
      </x:c>
      <x:c r="I22" s="20" t="n">
        <x:v>-12500</x:v>
      </x:c>
      <x:c r="J22" s="29" t="n">
        <x:v>10</x:v>
      </x:c>
      <x:c r="K22" s="29" t="n">
        <x:v>29</x:v>
      </x:c>
      <x:c r="L22" s="29" t="n">
        <x:v>7</x:v>
      </x:c>
      <x:c r="M22" s="31" t="str">
        <x:v>対照47場</x:v>
      </x:c>
      <x:c r="N22" s="30" t="n">
        <x:v>190.98333333333332</x:v>
      </x:c>
      <x:c r="O22" s="30" t="n">
        <x:v>174.41666666666666</x:v>
      </x:c>
      <x:c r="P22" s="26" t="n">
        <x:f>O22/IF(C22="デイ",420,780)</x:f>
        <x:v>0.2236111111111111</x:v>
      </x:c>
      <x:c r="Q22" s="27" t="n">
        <x:v>0.7020940170940171</x:v>
      </x:c>
    </x:row>
    <x:row r="23" ht="22" customHeight="1">
      <x:c r="A23" s="2" t="str">
        <x:v>V04</x:v>
      </x:c>
      <x:c r="B23" s="24" t="d">
        <x:v>2026-10-01T08:45:00.000Z</x:v>
      </x:c>
      <x:c r="C23" s="2" t="str">
        <x:v>デイ</x:v>
      </x:c>
      <x:c r="D23" s="20" t="n">
        <x:v>145420</x:v>
      </x:c>
      <x:c r="E23" s="20" t="n">
        <x:v>47664</x:v>
      </x:c>
      <x:c r="F23" s="20" t="n">
        <x:f>D23-E23</x:f>
        <x:v>97756</x:v>
      </x:c>
      <x:c r="G23" s="20" t="n">
        <x:f>SUMIFS($F$7:$F$56,$A$7:$A$56,A23,$B$7:$B$56,"&lt;="&amp;B23)</x:f>
        <x:v>327626</x:v>
      </x:c>
      <x:c r="H23" s="20" t="n">
        <x:v>1744</x:v>
      </x:c>
      <x:c r="I23" s="20" t="n">
        <x:v>99500</x:v>
      </x:c>
      <x:c r="J23" s="29" t="n">
        <x:v>9</x:v>
      </x:c>
      <x:c r="K23" s="29" t="n">
        <x:v>21</x:v>
      </x:c>
      <x:c r="L23" s="29" t="n">
        <x:v>7</x:v>
      </x:c>
      <x:c r="M23" s="31" t="str">
        <x:v>対照47場</x:v>
      </x:c>
      <x:c r="N23" s="30" t="n">
        <x:v>51.15</x:v>
      </x:c>
      <x:c r="O23" s="30" t="n">
        <x:v>320.98333333333335</x:v>
      </x:c>
      <x:c r="P23" s="26" t="n">
        <x:f>O23/IF(C23="デイ",420,780)</x:f>
        <x:v>0.7642460317460318</x:v>
      </x:c>
      <x:c r="Q23" s="27" t="n">
        <x:v>2.7061507936507936</x:v>
      </x:c>
    </x:row>
    <x:row r="24" ht="22" customHeight="1">
      <x:c r="A24" s="2" t="str">
        <x:v>V04</x:v>
      </x:c>
      <x:c r="B24" s="24" t="d">
        <x:v>2026-10-01T17:00:00.000Z</x:v>
      </x:c>
      <x:c r="C24" s="2" t="str">
        <x:v>ナイト</x:v>
      </x:c>
      <x:c r="D24" s="20" t="n">
        <x:v>123084</x:v>
      </x:c>
      <x:c r="E24" s="20" t="n">
        <x:v>70666</x:v>
      </x:c>
      <x:c r="F24" s="20" t="n">
        <x:f>D24-E24</x:f>
        <x:v>52418</x:v>
      </x:c>
      <x:c r="G24" s="20" t="n">
        <x:f>SUMIFS($F$7:$F$56,$A$7:$A$56,A24,$B$7:$B$56,"&lt;="&amp;B24)</x:f>
        <x:v>380044</x:v>
      </x:c>
      <x:c r="H24" s="20" t="n">
        <x:v>4082</x:v>
      </x:c>
      <x:c r="I24" s="20" t="n">
        <x:v>56500</x:v>
      </x:c>
      <x:c r="J24" s="29" t="n">
        <x:v>17</x:v>
      </x:c>
      <x:c r="K24" s="29" t="n">
        <x:v>49</x:v>
      </x:c>
      <x:c r="L24" s="29" t="n">
        <x:v>7</x:v>
      </x:c>
      <x:c r="M24" s="31" t="str">
        <x:v>対照47場</x:v>
      </x:c>
      <x:c r="N24" s="30" t="n">
        <x:v>25.6</x:v>
      </x:c>
      <x:c r="O24" s="30" t="n">
        <x:v>427.46666666666664</x:v>
      </x:c>
      <x:c r="P24" s="26" t="n">
        <x:f>O24/IF(C24="デイ",420,780)</x:f>
        <x:v>0.548034188034188</x:v>
      </x:c>
      <x:c r="Q24" s="27" t="n">
        <x:v>1.5857692307692308</x:v>
      </x:c>
    </x:row>
    <x:row r="25" ht="22" customHeight="1">
      <x:c r="A25" s="2" t="str">
        <x:v>V04</x:v>
      </x:c>
      <x:c r="B25" s="24" t="d">
        <x:v>2026-10-02T08:45:00.000Z</x:v>
      </x:c>
      <x:c r="C25" s="2" t="str">
        <x:v>デイ</x:v>
      </x:c>
      <x:c r="D25" s="20" t="n">
        <x:v>24170</x:v>
      </x:c>
      <x:c r="E25" s="20" t="n">
        <x:v>98744</x:v>
      </x:c>
      <x:c r="F25" s="20" t="n">
        <x:f>D25-E25</x:f>
        <x:v>-74574</x:v>
      </x:c>
      <x:c r="G25" s="20" t="n">
        <x:f>SUMIFS($F$7:$F$56,$A$7:$A$56,A25,$B$7:$B$56,"&lt;="&amp;B25)</x:f>
        <x:v>305470</x:v>
      </x:c>
      <x:c r="H25" s="20" t="n">
        <x:v>3074</x:v>
      </x:c>
      <x:c r="I25" s="20" t="n">
        <x:v>-71500</x:v>
      </x:c>
      <x:c r="J25" s="29" t="n">
        <x:v>17</x:v>
      </x:c>
      <x:c r="K25" s="29" t="n">
        <x:v>37</x:v>
      </x:c>
      <x:c r="L25" s="29" t="n">
        <x:v>7</x:v>
      </x:c>
      <x:c r="M25" s="31" t="str">
        <x:v>対照47場</x:v>
      </x:c>
      <x:c r="N25" s="30" t="n">
        <x:v>33.833333333333336</x:v>
      </x:c>
      <x:c r="O25" s="30" t="n">
        <x:v>281.23333333333335</x:v>
      </x:c>
      <x:c r="P25" s="26" t="n">
        <x:f>O25/IF(C25="デイ",420,780)</x:f>
        <x:v>0.6696031746031746</x:v>
      </x:c>
      <x:c r="Q25" s="27" t="n">
        <x:v>2.925595238095238</x:v>
      </x:c>
    </x:row>
    <x:row r="26" ht="22" customHeight="1">
      <x:c r="A26" s="2" t="str">
        <x:v>V04</x:v>
      </x:c>
      <x:c r="B26" s="24" t="d">
        <x:v>2026-10-02T17:00:00.000Z</x:v>
      </x:c>
      <x:c r="C26" s="2" t="str">
        <x:v>ナイト</x:v>
      </x:c>
      <x:c r="D26" s="20" t="n">
        <x:v>136750</x:v>
      </x:c>
      <x:c r="E26" s="20" t="n">
        <x:v>196159</x:v>
      </x:c>
      <x:c r="F26" s="20" t="n">
        <x:f>D26-E26</x:f>
        <x:v>-59409</x:v>
      </x:c>
      <x:c r="G26" s="20" t="n">
        <x:f>SUMIFS($F$7:$F$56,$A$7:$A$56,A26,$B$7:$B$56,"&lt;="&amp;B26)</x:f>
        <x:v>246061</x:v>
      </x:c>
      <x:c r="H26" s="20" t="n">
        <x:v>3909</x:v>
      </x:c>
      <x:c r="I26" s="20" t="n">
        <x:v>-55500</x:v>
      </x:c>
      <x:c r="J26" s="29" t="n">
        <x:v>19</x:v>
      </x:c>
      <x:c r="K26" s="29" t="n">
        <x:v>47</x:v>
      </x:c>
      <x:c r="L26" s="29" t="n">
        <x:v>7</x:v>
      </x:c>
      <x:c r="M26" s="31" t="str">
        <x:v>対照47場</x:v>
      </x:c>
      <x:c r="N26" s="30" t="n">
        <x:v>24.25</x:v>
      </x:c>
      <x:c r="O26" s="30" t="n">
        <x:v>316.53333333333336</x:v>
      </x:c>
      <x:c r="P26" s="26" t="n">
        <x:f>O26/IF(C26="デイ",420,780)</x:f>
        <x:v>0.4058119658119658</x:v>
      </x:c>
      <x:c r="Q26" s="27" t="n">
        <x:v>1.1959615384615385</x:v>
      </x:c>
    </x:row>
    <x:row r="27" ht="22" customHeight="1">
      <x:c r="A27" s="2" t="str">
        <x:v>V04</x:v>
      </x:c>
      <x:c r="B27" s="24" t="d">
        <x:v>2026-10-05T08:45:00.000Z</x:v>
      </x:c>
      <x:c r="C27" s="2" t="str">
        <x:v>デイ</x:v>
      </x:c>
      <x:c r="D27" s="20" t="n">
        <x:v>41085</x:v>
      </x:c>
      <x:c r="E27" s="20" t="n">
        <x:v>149166</x:v>
      </x:c>
      <x:c r="F27" s="20" t="n">
        <x:f>D27-E27</x:f>
        <x:v>-108081</x:v>
      </x:c>
      <x:c r="G27" s="20" t="n">
        <x:f>SUMIFS($F$7:$F$56,$A$7:$A$56,A27,$B$7:$B$56,"&lt;="&amp;B27)</x:f>
        <x:v>137980</x:v>
      </x:c>
      <x:c r="H27" s="20" t="n">
        <x:v>4081</x:v>
      </x:c>
      <x:c r="I27" s="20" t="n">
        <x:v>-104000</x:v>
      </x:c>
      <x:c r="J27" s="29" t="n">
        <x:v>17</x:v>
      </x:c>
      <x:c r="K27" s="29" t="n">
        <x:v>49</x:v>
      </x:c>
      <x:c r="L27" s="29" t="n">
        <x:v>7</x:v>
      </x:c>
      <x:c r="M27" s="31" t="str">
        <x:v>対照47場</x:v>
      </x:c>
      <x:c r="N27" s="30" t="n">
        <x:v>37.95</x:v>
      </x:c>
      <x:c r="O27" s="30" t="n">
        <x:v>246.75</x:v>
      </x:c>
      <x:c r="P27" s="26" t="n">
        <x:f>O27/IF(C27="デイ",420,780)</x:f>
        <x:v>0.5875</x:v>
      </x:c>
      <x:c r="Q27" s="27" t="n">
        <x:v>1.8723412698412698</x:v>
      </x:c>
    </x:row>
    <x:row r="28" ht="22" customHeight="1">
      <x:c r="A28" s="2" t="str">
        <x:v>V04</x:v>
      </x:c>
      <x:c r="B28" s="24" t="d">
        <x:v>2026-10-05T17:00:00.000Z</x:v>
      </x:c>
      <x:c r="C28" s="2" t="str">
        <x:v>ナイト</x:v>
      </x:c>
      <x:c r="D28" s="20" t="n">
        <x:v>37502</x:v>
      </x:c>
      <x:c r="E28" s="20" t="n">
        <x:v>68920</x:v>
      </x:c>
      <x:c r="F28" s="20" t="n">
        <x:f>D28-E28</x:f>
        <x:v>-31418</x:v>
      </x:c>
      <x:c r="G28" s="20" t="n">
        <x:f>SUMIFS($F$7:$F$56,$A$7:$A$56,A28,$B$7:$B$56,"&lt;="&amp;B28)</x:f>
        <x:v>106562</x:v>
      </x:c>
      <x:c r="H28" s="20" t="n">
        <x:v>1918</x:v>
      </x:c>
      <x:c r="I28" s="20" t="n">
        <x:v>-29500</x:v>
      </x:c>
      <x:c r="J28" s="29" t="n">
        <x:v>7</x:v>
      </x:c>
      <x:c r="K28" s="29" t="n">
        <x:v>23</x:v>
      </x:c>
      <x:c r="L28" s="29" t="n">
        <x:v>7</x:v>
      </x:c>
      <x:c r="M28" s="31" t="str">
        <x:v>対照47場</x:v>
      </x:c>
      <x:c r="N28" s="30" t="n">
        <x:v>49.68333333333333</x:v>
      </x:c>
      <x:c r="O28" s="30" t="n">
        <x:v>275.3833333333333</x:v>
      </x:c>
      <x:c r="P28" s="26" t="n">
        <x:f>O28/IF(C28="デイ",420,780)</x:f>
        <x:v>0.35305555555555557</x:v>
      </x:c>
      <x:c r="Q28" s="27" t="n">
        <x:v>1.1053846153846154</x:v>
      </x:c>
    </x:row>
    <x:row r="29" ht="22" customHeight="1">
      <x:c r="A29" s="2" t="str">
        <x:v>V04</x:v>
      </x:c>
      <x:c r="B29" s="24" t="d">
        <x:v>2026-10-06T08:45:00.000Z</x:v>
      </x:c>
      <x:c r="C29" s="2" t="str">
        <x:v>デイ</x:v>
      </x:c>
      <x:c r="D29" s="20" t="n">
        <x:v>13336</x:v>
      </x:c>
      <x:c r="E29" s="20" t="n">
        <x:v>65578</x:v>
      </x:c>
      <x:c r="F29" s="20" t="n">
        <x:f>D29-E29</x:f>
        <x:v>-52242</x:v>
      </x:c>
      <x:c r="G29" s="20" t="n">
        <x:f>SUMIFS($F$7:$F$56,$A$7:$A$56,A29,$B$7:$B$56,"&lt;="&amp;B29)</x:f>
        <x:v>54320</x:v>
      </x:c>
      <x:c r="H29" s="20" t="n">
        <x:v>2742</x:v>
      </x:c>
      <x:c r="I29" s="20" t="n">
        <x:v>-49500</x:v>
      </x:c>
      <x:c r="J29" s="29" t="n">
        <x:v>15</x:v>
      </x:c>
      <x:c r="K29" s="29" t="n">
        <x:v>33</x:v>
      </x:c>
      <x:c r="L29" s="29" t="n">
        <x:v>7</x:v>
      </x:c>
      <x:c r="M29" s="31" t="str">
        <x:v>対照47場</x:v>
      </x:c>
      <x:c r="N29" s="30" t="n">
        <x:v>32.46666666666667</x:v>
      </x:c>
      <x:c r="O29" s="30" t="n">
        <x:v>193.18333333333334</x:v>
      </x:c>
      <x:c r="P29" s="26" t="n">
        <x:f>O29/IF(C29="デイ",420,780)</x:f>
        <x:v>0.45996031746031746</x:v>
      </x:c>
      <x:c r="Q29" s="27" t="n">
        <x:v>1.2097222222222221</x:v>
      </x:c>
    </x:row>
    <x:row r="30" ht="22" customHeight="1">
      <x:c r="A30" s="2" t="str">
        <x:v>V04</x:v>
      </x:c>
      <x:c r="B30" s="24" t="d">
        <x:v>2026-10-06T17:00:00.000Z</x:v>
      </x:c>
      <x:c r="C30" s="2" t="str">
        <x:v>ナイト</x:v>
      </x:c>
      <x:c r="D30" s="20" t="n">
        <x:v>18668</x:v>
      </x:c>
      <x:c r="E30" s="20" t="n">
        <x:v>56334</x:v>
      </x:c>
      <x:c r="F30" s="20" t="n">
        <x:f>D30-E30</x:f>
        <x:v>-37666</x:v>
      </x:c>
      <x:c r="G30" s="20" t="n">
        <x:f>SUMIFS($F$7:$F$56,$A$7:$A$56,A30,$B$7:$B$56,"&lt;="&amp;B30)</x:f>
        <x:v>16654</x:v>
      </x:c>
      <x:c r="H30" s="20" t="n">
        <x:v>1666</x:v>
      </x:c>
      <x:c r="I30" s="20" t="n">
        <x:v>-36000</x:v>
      </x:c>
      <x:c r="J30" s="29" t="n">
        <x:v>7</x:v>
      </x:c>
      <x:c r="K30" s="29" t="n">
        <x:v>20</x:v>
      </x:c>
      <x:c r="L30" s="29" t="n">
        <x:v>7</x:v>
      </x:c>
      <x:c r="M30" s="31" t="str">
        <x:v>対照47場</x:v>
      </x:c>
      <x:c r="N30" s="30" t="n">
        <x:v>270.6666666666667</x:v>
      </x:c>
      <x:c r="O30" s="30" t="n">
        <x:v>415.1666666666667</x:v>
      </x:c>
      <x:c r="P30" s="26" t="n">
        <x:f>O30/IF(C30="デイ",420,780)</x:f>
        <x:v>0.5322649572649573</x:v>
      </x:c>
      <x:c r="Q30" s="27" t="n">
        <x:v>1.2137820512820512</x:v>
      </x:c>
    </x:row>
    <x:row r="31" ht="22" customHeight="1">
      <x:c r="A31" s="2" t="str">
        <x:v>V04</x:v>
      </x:c>
      <x:c r="B31" s="24" t="d">
        <x:v>2026-10-07T08:45:00.000Z</x:v>
      </x:c>
      <x:c r="C31" s="2" t="str">
        <x:v>デイ</x:v>
      </x:c>
      <x:c r="D31" s="20" t="n">
        <x:v>145585</x:v>
      </x:c>
      <x:c r="E31" s="20" t="n">
        <x:v>14664</x:v>
      </x:c>
      <x:c r="F31" s="20" t="n">
        <x:f>D31-E31</x:f>
        <x:v>130921</x:v>
      </x:c>
      <x:c r="G31" s="20" t="n">
        <x:f>SUMIFS($F$7:$F$56,$A$7:$A$56,A31,$B$7:$B$56,"&lt;="&amp;B31)</x:f>
        <x:v>147575</x:v>
      </x:c>
      <x:c r="H31" s="20" t="n">
        <x:v>1579</x:v>
      </x:c>
      <x:c r="I31" s="20" t="n">
        <x:v>132500</x:v>
      </x:c>
      <x:c r="J31" s="29" t="n">
        <x:v>8</x:v>
      </x:c>
      <x:c r="K31" s="29" t="n">
        <x:v>19</x:v>
      </x:c>
      <x:c r="L31" s="29" t="n">
        <x:v>7</x:v>
      </x:c>
      <x:c r="M31" s="31" t="str">
        <x:v>対照47場</x:v>
      </x:c>
      <x:c r="N31" s="30" t="n">
        <x:v>57.86666666666667</x:v>
      </x:c>
      <x:c r="O31" s="30" t="n">
        <x:v>208.8</x:v>
      </x:c>
      <x:c r="P31" s="26" t="n">
        <x:f>O31/IF(C31="デイ",420,780)</x:f>
        <x:v>0.49714285714285716</x:v>
      </x:c>
      <x:c r="Q31" s="27" t="n">
        <x:v>1.8598015873015874</x:v>
      </x:c>
    </x:row>
    <x:row r="32" ht="22" customHeight="1">
      <x:c r="A32" s="2" t="str">
        <x:v>V04</x:v>
      </x:c>
      <x:c r="B32" s="24" t="d">
        <x:v>2026-10-07T17:00:00.000Z</x:v>
      </x:c>
      <x:c r="C32" s="2" t="str">
        <x:v>ナイト</x:v>
      </x:c>
      <x:c r="D32" s="20" t="n">
        <x:v>38918</x:v>
      </x:c>
      <x:c r="E32" s="20" t="n">
        <x:v>31498</x:v>
      </x:c>
      <x:c r="F32" s="20" t="n">
        <x:f>D32-E32</x:f>
        <x:v>7420</x:v>
      </x:c>
      <x:c r="G32" s="20" t="n">
        <x:f>SUMIFS($F$7:$F$56,$A$7:$A$56,A32,$B$7:$B$56,"&lt;="&amp;B32)</x:f>
        <x:v>154995</x:v>
      </x:c>
      <x:c r="H32" s="20" t="n">
        <x:v>1580</x:v>
      </x:c>
      <x:c r="I32" s="20" t="n">
        <x:v>9000</x:v>
      </x:c>
      <x:c r="J32" s="29" t="n">
        <x:v>8</x:v>
      </x:c>
      <x:c r="K32" s="29" t="n">
        <x:v>19</x:v>
      </x:c>
      <x:c r="L32" s="29" t="n">
        <x:v>7</x:v>
      </x:c>
      <x:c r="M32" s="31" t="str">
        <x:v>対照47場</x:v>
      </x:c>
      <x:c r="N32" s="30" t="n">
        <x:v>243.18333333333334</x:v>
      </x:c>
      <x:c r="O32" s="30" t="n">
        <x:v>117.48333333333333</x:v>
      </x:c>
      <x:c r="P32" s="26" t="n">
        <x:f>O32/IF(C32="デイ",420,780)</x:f>
        <x:v>0.15061965811965813</x:v>
      </x:c>
      <x:c r="Q32" s="27" t="n">
        <x:v>0.4957692307692308</x:v>
      </x:c>
    </x:row>
    <x:row r="33" ht="22" customHeight="1">
      <x:c r="A33" s="2" t="str">
        <x:v>V04</x:v>
      </x:c>
      <x:c r="B33" s="24" t="d">
        <x:v>2026-10-08T08:45:00.000Z</x:v>
      </x:c>
      <x:c r="C33" s="2" t="str">
        <x:v>デイ</x:v>
      </x:c>
      <x:c r="D33" s="20" t="n">
        <x:v>161171</x:v>
      </x:c>
      <x:c r="E33" s="20" t="n">
        <x:v>56248</x:v>
      </x:c>
      <x:c r="F33" s="20" t="n">
        <x:f>D33-E33</x:f>
        <x:v>104923</x:v>
      </x:c>
      <x:c r="G33" s="20" t="n">
        <x:f>SUMIFS($F$7:$F$56,$A$7:$A$56,A33,$B$7:$B$56,"&lt;="&amp;B33)</x:f>
        <x:v>259918</x:v>
      </x:c>
      <x:c r="H33" s="20" t="n">
        <x:v>3077</x:v>
      </x:c>
      <x:c r="I33" s="20" t="n">
        <x:v>108000</x:v>
      </x:c>
      <x:c r="J33" s="29" t="n">
        <x:v>14</x:v>
      </x:c>
      <x:c r="K33" s="29" t="n">
        <x:v>37</x:v>
      </x:c>
      <x:c r="L33" s="29" t="n">
        <x:v>7</x:v>
      </x:c>
      <x:c r="M33" s="31" t="str">
        <x:v>対照47場</x:v>
      </x:c>
      <x:c r="N33" s="30" t="n">
        <x:v>29.25</x:v>
      </x:c>
      <x:c r="O33" s="30" t="n">
        <x:v>261.1333333333333</x:v>
      </x:c>
      <x:c r="P33" s="26" t="n">
        <x:f>O33/IF(C33="デイ",420,780)</x:f>
        <x:v>0.6217460317460317</x:v>
      </x:c>
      <x:c r="Q33" s="27" t="n">
        <x:v>1.8797619047619047</x:v>
      </x:c>
    </x:row>
    <x:row r="34" ht="22" customHeight="1">
      <x:c r="A34" s="2" t="str">
        <x:v>V04</x:v>
      </x:c>
      <x:c r="B34" s="24" t="d">
        <x:v>2026-10-08T17:00:00.000Z</x:v>
      </x:c>
      <x:c r="C34" s="2" t="str">
        <x:v>ナイト</x:v>
      </x:c>
      <x:c r="D34" s="20" t="n">
        <x:v>90832</x:v>
      </x:c>
      <x:c r="E34" s="20" t="n">
        <x:v>75246</x:v>
      </x:c>
      <x:c r="F34" s="20" t="n">
        <x:f>D34-E34</x:f>
        <x:v>15586</x:v>
      </x:c>
      <x:c r="G34" s="20" t="n">
        <x:f>SUMIFS($F$7:$F$56,$A$7:$A$56,A34,$B$7:$B$56,"&lt;="&amp;B34)</x:f>
        <x:v>275504</x:v>
      </x:c>
      <x:c r="H34" s="20" t="n">
        <x:v>2914</x:v>
      </x:c>
      <x:c r="I34" s="20" t="n">
        <x:v>18500</x:v>
      </x:c>
      <x:c r="J34" s="29" t="n">
        <x:v>13</x:v>
      </x:c>
      <x:c r="K34" s="29" t="n">
        <x:v>35</x:v>
      </x:c>
      <x:c r="L34" s="29" t="n">
        <x:v>7</x:v>
      </x:c>
      <x:c r="M34" s="31" t="str">
        <x:v>対照47場</x:v>
      </x:c>
      <x:c r="N34" s="30" t="n">
        <x:v>149.35</x:v>
      </x:c>
      <x:c r="O34" s="30" t="n">
        <x:v>233.38333333333333</x:v>
      </x:c>
      <x:c r="P34" s="26" t="n">
        <x:f>O34/IF(C34="デイ",420,780)</x:f>
        <x:v>0.2992094017094017</x:v>
      </x:c>
      <x:c r="Q34" s="27" t="n">
        <x:v>1.06241452991453</x:v>
      </x:c>
    </x:row>
    <x:row r="35" ht="22" customHeight="1">
      <x:c r="A35" s="2" t="str">
        <x:v>V04</x:v>
      </x:c>
      <x:c r="B35" s="24" t="d">
        <x:v>2026-10-09T08:45:00.000Z</x:v>
      </x:c>
      <x:c r="C35" s="2" t="str">
        <x:v>デイ</x:v>
      </x:c>
      <x:c r="D35" s="20" t="n">
        <x:v>79918</x:v>
      </x:c>
      <x:c r="E35" s="20" t="n">
        <x:v>72248</x:v>
      </x:c>
      <x:c r="F35" s="20" t="n">
        <x:f>D35-E35</x:f>
        <x:v>7670</x:v>
      </x:c>
      <x:c r="G35" s="20" t="n">
        <x:f>SUMIFS($F$7:$F$56,$A$7:$A$56,A35,$B$7:$B$56,"&lt;="&amp;B35)</x:f>
        <x:v>283174</x:v>
      </x:c>
      <x:c r="H35" s="20" t="n">
        <x:v>1830</x:v>
      </x:c>
      <x:c r="I35" s="20" t="n">
        <x:v>9500</x:v>
      </x:c>
      <x:c r="J35" s="29" t="n">
        <x:v>8</x:v>
      </x:c>
      <x:c r="K35" s="29" t="n">
        <x:v>22</x:v>
      </x:c>
      <x:c r="L35" s="29" t="n">
        <x:v>7</x:v>
      </x:c>
      <x:c r="M35" s="31" t="str">
        <x:v>対照47場</x:v>
      </x:c>
      <x:c r="N35" s="30" t="n">
        <x:v>57.21666666666667</x:v>
      </x:c>
      <x:c r="O35" s="30" t="n">
        <x:v>310.78333333333336</x:v>
      </x:c>
      <x:c r="P35" s="26" t="n">
        <x:f>O35/IF(C35="デイ",420,780)</x:f>
        <x:v>0.7399603174603175</x:v>
      </x:c>
      <x:c r="Q35" s="27" t="n">
        <x:v>2.625714285714286</x:v>
      </x:c>
    </x:row>
    <x:row r="36" ht="22" customHeight="1">
      <x:c r="A36" s="2" t="str">
        <x:v>V04</x:v>
      </x:c>
      <x:c r="B36" s="24" t="d">
        <x:v>2026-10-09T17:00:00.000Z</x:v>
      </x:c>
      <x:c r="C36" s="2" t="str">
        <x:v>ナイト</x:v>
      </x:c>
      <x:c r="D36" s="20" t="n">
        <x:v>14582</x:v>
      </x:c>
      <x:c r="E36" s="20" t="n">
        <x:v>23332</x:v>
      </x:c>
      <x:c r="F36" s="20" t="n">
        <x:f>D36-E36</x:f>
        <x:v>-8750</x:v>
      </x:c>
      <x:c r="G36" s="20" t="n">
        <x:f>SUMIFS($F$7:$F$56,$A$7:$A$56,A36,$B$7:$B$56,"&lt;="&amp;B36)</x:f>
        <x:v>274424</x:v>
      </x:c>
      <x:c r="H36" s="20" t="n">
        <x:v>750</x:v>
      </x:c>
      <x:c r="I36" s="20" t="n">
        <x:v>-8000</x:v>
      </x:c>
      <x:c r="J36" s="29" t="n">
        <x:v>3</x:v>
      </x:c>
      <x:c r="K36" s="29" t="n">
        <x:v>9</x:v>
      </x:c>
      <x:c r="L36" s="29" t="n">
        <x:v>5</x:v>
      </x:c>
      <x:c r="M36" s="31" t="str">
        <x:v>対照47場</x:v>
      </x:c>
      <x:c r="N36" s="30" t="n">
        <x:v>293.48333333333335</x:v>
      </x:c>
      <x:c r="O36" s="30" t="n">
        <x:v>65.21666666666667</x:v>
      </x:c>
      <x:c r="P36" s="26" t="n">
        <x:f>O36/IF(C36="デイ",420,780)</x:f>
        <x:v>0.08361111111111111</x:v>
      </x:c>
      <x:c r="Q36" s="27" t="n">
        <x:v>0.3694017094017094</x:v>
      </x:c>
    </x:row>
    <x:row r="37" ht="22" customHeight="1">
      <x:c r="A37" s="2" t="str">
        <x:v>V04</x:v>
      </x:c>
      <x:c r="B37" s="24" t="d">
        <x:v>2026-10-12T08:45:00.000Z</x:v>
      </x:c>
      <x:c r="C37" s="2" t="str">
        <x:v>デイ</x:v>
      </x:c>
      <x:c r="D37" s="20" t="n">
        <x:v>19582</x:v>
      </x:c>
      <x:c r="E37" s="20" t="n">
        <x:v>0</x:v>
      </x:c>
      <x:c r="F37" s="20" t="n">
        <x:f>D37-E37</x:f>
        <x:v>19582</x:v>
      </x:c>
      <x:c r="G37" s="20" t="n">
        <x:f>SUMIFS($F$7:$F$56,$A$7:$A$56,A37,$B$7:$B$56,"&lt;="&amp;B37)</x:f>
        <x:v>294006</x:v>
      </x:c>
      <x:c r="H37" s="20" t="n">
        <x:v>418</x:v>
      </x:c>
      <x:c r="I37" s="20" t="n">
        <x:v>20000</x:v>
      </x:c>
      <x:c r="J37" s="29" t="n">
        <x:v>1</x:v>
      </x:c>
      <x:c r="K37" s="29" t="n">
        <x:v>5</x:v>
      </x:c>
      <x:c r="L37" s="29" t="n">
        <x:v>5</x:v>
      </x:c>
      <x:c r="M37" s="31" t="str">
        <x:v>対照47場</x:v>
      </x:c>
      <x:c r="N37" s="30" t="n">
        <x:v>256</x:v>
      </x:c>
      <x:c r="O37" s="30" t="n">
        <x:v>107</x:v>
      </x:c>
      <x:c r="P37" s="26" t="n">
        <x:f>O37/IF(C37="デイ",420,780)</x:f>
        <x:v>0.25476190476190474</x:v>
      </x:c>
      <x:c r="Q37" s="27" t="n">
        <x:v>1.2738095238095237</x:v>
      </x:c>
    </x:row>
    <x:row r="38" ht="22" customHeight="1">
      <x:c r="A38" s="2" t="str">
        <x:v>V04</x:v>
      </x:c>
      <x:c r="B38" s="24" t="d">
        <x:v>2026-10-12T17:00:00.000Z</x:v>
      </x:c>
      <x:c r="C38" s="2" t="str">
        <x:v>ナイト</x:v>
      </x:c>
      <x:c r="D38" s="20" t="n">
        <x:v>5916</x:v>
      </x:c>
      <x:c r="E38" s="20" t="n">
        <x:v>12166</x:v>
      </x:c>
      <x:c r="F38" s="20" t="n">
        <x:f>D38-E38</x:f>
        <x:v>-6250</x:v>
      </x:c>
      <x:c r="G38" s="20" t="n">
        <x:f>SUMIFS($F$7:$F$56,$A$7:$A$56,A38,$B$7:$B$56,"&lt;="&amp;B38)</x:f>
        <x:v>287756</x:v>
      </x:c>
      <x:c r="H38" s="20" t="n">
        <x:v>750</x:v>
      </x:c>
      <x:c r="I38" s="20" t="n">
        <x:v>-5500</x:v>
      </x:c>
      <x:c r="J38" s="29" t="n">
        <x:v>3</x:v>
      </x:c>
      <x:c r="K38" s="29" t="n">
        <x:v>9</x:v>
      </x:c>
      <x:c r="L38" s="29" t="n">
        <x:v>7</x:v>
      </x:c>
      <x:c r="M38" s="31" t="str">
        <x:v>対照47場</x:v>
      </x:c>
      <x:c r="N38" s="30" t="n">
        <x:v>103.56666666666666</x:v>
      </x:c>
      <x:c r="O38" s="30" t="n">
        <x:v>85.35</x:v>
      </x:c>
      <x:c r="P38" s="26" t="n">
        <x:f>O38/IF(C38="デイ",420,780)</x:f>
        <x:v>0.10942307692307691</x:v>
      </x:c>
      <x:c r="Q38" s="27" t="n">
        <x:v>0.2480128205128205</x:v>
      </x:c>
    </x:row>
    <x:row r="39" ht="22" customHeight="1">
      <x:c r="A39" s="2" t="str">
        <x:v>V04</x:v>
      </x:c>
      <x:c r="B39" s="24" t="d">
        <x:v>2026-10-13T08:45:00.000Z</x:v>
      </x:c>
      <x:c r="C39" s="2" t="str">
        <x:v>デイ</x:v>
      </x:c>
      <x:c r="D39" s="20" t="n">
        <x:v>59918</x:v>
      </x:c>
      <x:c r="E39" s="20" t="n">
        <x:v>63748</x:v>
      </x:c>
      <x:c r="F39" s="20" t="n">
        <x:f>D39-E39</x:f>
        <x:v>-3830</x:v>
      </x:c>
      <x:c r="G39" s="20" t="n">
        <x:f>SUMIFS($F$7:$F$56,$A$7:$A$56,A39,$B$7:$B$56,"&lt;="&amp;B39)</x:f>
        <x:v>283926</x:v>
      </x:c>
      <x:c r="H39" s="20" t="n">
        <x:v>1830</x:v>
      </x:c>
      <x:c r="I39" s="20" t="n">
        <x:v>-2000</x:v>
      </x:c>
      <x:c r="J39" s="29" t="n">
        <x:v>8</x:v>
      </x:c>
      <x:c r="K39" s="29" t="n">
        <x:v>22</x:v>
      </x:c>
      <x:c r="L39" s="29" t="n">
        <x:v>7</x:v>
      </x:c>
      <x:c r="M39" s="31" t="str">
        <x:v>対照47場</x:v>
      </x:c>
      <x:c r="N39" s="30" t="n">
        <x:v>62.233333333333334</x:v>
      </x:c>
      <x:c r="O39" s="30" t="n">
        <x:v>347.45</x:v>
      </x:c>
      <x:c r="P39" s="26" t="n">
        <x:f>O39/IF(C39="デイ",420,780)</x:f>
        <x:v>0.8272619047619048</x:v>
      </x:c>
      <x:c r="Q39" s="27" t="n">
        <x:v>4.136269841269841</x:v>
      </x:c>
    </x:row>
    <x:row r="40" ht="22" customHeight="1">
      <x:c r="A40" s="2" t="str">
        <x:v>V04</x:v>
      </x:c>
      <x:c r="B40" s="24" t="d">
        <x:v>2026-10-13T17:00:00.000Z</x:v>
      </x:c>
      <x:c r="C40" s="2" t="str">
        <x:v>ナイト</x:v>
      </x:c>
      <x:c r="D40" s="20" t="n">
        <x:v>4582</x:v>
      </x:c>
      <x:c r="E40" s="20" t="n">
        <x:v>25498</x:v>
      </x:c>
      <x:c r="F40" s="20" t="n">
        <x:f>D40-E40</x:f>
        <x:v>-20916</x:v>
      </x:c>
      <x:c r="G40" s="20" t="n">
        <x:f>SUMIFS($F$7:$F$56,$A$7:$A$56,A40,$B$7:$B$56,"&lt;="&amp;B40)</x:f>
        <x:v>263010</x:v>
      </x:c>
      <x:c r="H40" s="20" t="n">
        <x:v>916</x:v>
      </x:c>
      <x:c r="I40" s="20" t="n">
        <x:v>-20000</x:v>
      </x:c>
      <x:c r="J40" s="29" t="n">
        <x:v>4</x:v>
      </x:c>
      <x:c r="K40" s="29" t="n">
        <x:v>11</x:v>
      </x:c>
      <x:c r="L40" s="29" t="n">
        <x:v>7</x:v>
      </x:c>
      <x:c r="M40" s="31" t="str">
        <x:v>対照47場</x:v>
      </x:c>
      <x:c r="N40" s="30" t="n">
        <x:v>77.3</x:v>
      </x:c>
      <x:c r="O40" s="30" t="n">
        <x:v>152.61666666666667</x:v>
      </x:c>
      <x:c r="P40" s="26" t="n">
        <x:f>O40/IF(C40="デイ",420,780)</x:f>
        <x:v>0.19566239316239317</x:v>
      </x:c>
      <x:c r="Q40" s="27" t="n">
        <x:v>0.63241452991453</x:v>
      </x:c>
    </x:row>
    <x:row r="41" ht="22" customHeight="1">
      <x:c r="A41" s="2" t="str">
        <x:v>V04</x:v>
      </x:c>
      <x:c r="B41" s="24" t="d">
        <x:v>2026-10-14T08:45:00.000Z</x:v>
      </x:c>
      <x:c r="C41" s="2" t="str">
        <x:v>デイ</x:v>
      </x:c>
      <x:c r="D41" s="20" t="n">
        <x:v>26419</x:v>
      </x:c>
      <x:c r="E41" s="20" t="n">
        <x:v>51914</x:v>
      </x:c>
      <x:c r="F41" s="20" t="n">
        <x:f>D41-E41</x:f>
        <x:v>-25495</x:v>
      </x:c>
      <x:c r="G41" s="20" t="n">
        <x:f>SUMIFS($F$7:$F$56,$A$7:$A$56,A41,$B$7:$B$56,"&lt;="&amp;B41)</x:f>
        <x:v>237515</x:v>
      </x:c>
      <x:c r="H41" s="20" t="n">
        <x:v>2495</x:v>
      </x:c>
      <x:c r="I41" s="20" t="n">
        <x:v>-23000</x:v>
      </x:c>
      <x:c r="J41" s="29" t="n">
        <x:v>12</x:v>
      </x:c>
      <x:c r="K41" s="29" t="n">
        <x:v>30</x:v>
      </x:c>
      <x:c r="L41" s="29" t="n">
        <x:v>7</x:v>
      </x:c>
      <x:c r="M41" s="31" t="str">
        <x:v>対照47場</x:v>
      </x:c>
      <x:c r="N41" s="30" t="n">
        <x:v>44.916666666666664</x:v>
      </x:c>
      <x:c r="O41" s="30" t="n">
        <x:v>129.86666666666667</x:v>
      </x:c>
      <x:c r="P41" s="26" t="n">
        <x:f>O41/IF(C41="デイ",420,780)</x:f>
        <x:v>0.3092063492063492</x:v>
      </x:c>
      <x:c r="Q41" s="27" t="n">
        <x:v>0.8294047619047619</x:v>
      </x:c>
    </x:row>
    <x:row r="42" ht="22" customHeight="1">
      <x:c r="A42" s="2" t="str">
        <x:v>V04</x:v>
      </x:c>
      <x:c r="B42" s="24" t="d">
        <x:v>2026-10-14T17:00:00.000Z</x:v>
      </x:c>
      <x:c r="C42" s="2" t="str">
        <x:v>ナイト</x:v>
      </x:c>
      <x:c r="D42" s="20" t="n">
        <x:v>72998</x:v>
      </x:c>
      <x:c r="E42" s="20" t="n">
        <x:v>193746</x:v>
      </x:c>
      <x:c r="F42" s="20" t="n">
        <x:f>D42-E42</x:f>
        <x:v>-120748</x:v>
      </x:c>
      <x:c r="G42" s="20" t="n">
        <x:f>SUMIFS($F$7:$F$56,$A$7:$A$56,A42,$B$7:$B$56,"&lt;="&amp;B42)</x:f>
        <x:v>116767</x:v>
      </x:c>
      <x:c r="H42" s="20" t="n">
        <x:v>4248</x:v>
      </x:c>
      <x:c r="I42" s="20" t="n">
        <x:v>-116500</x:v>
      </x:c>
      <x:c r="J42" s="29" t="n">
        <x:v>18</x:v>
      </x:c>
      <x:c r="K42" s="29" t="n">
        <x:v>51</x:v>
      </x:c>
      <x:c r="L42" s="29" t="n">
        <x:v>7</x:v>
      </x:c>
      <x:c r="M42" s="31" t="str">
        <x:v>対照47場</x:v>
      </x:c>
      <x:c r="N42" s="30" t="n">
        <x:v>165.78333333333333</x:v>
      </x:c>
      <x:c r="O42" s="30" t="n">
        <x:v>366.7</x:v>
      </x:c>
      <x:c r="P42" s="26" t="n">
        <x:f>O42/IF(C42="デイ",420,780)</x:f>
        <x:v>0.47012820512820513</x:v>
      </x:c>
      <x:c r="Q42" s="27" t="n">
        <x:v>1.6976282051282052</x:v>
      </x:c>
    </x:row>
    <x:row r="43" ht="22" customHeight="1">
      <x:c r="A43" s="2" t="str">
        <x:v>V04</x:v>
      </x:c>
      <x:c r="B43" s="24" t="d">
        <x:v>2026-10-15T08:45:00.000Z</x:v>
      </x:c>
      <x:c r="C43" s="2" t="str">
        <x:v>デイ</x:v>
      </x:c>
      <x:c r="D43" s="20" t="n">
        <x:v>263087</x:v>
      </x:c>
      <x:c r="E43" s="20" t="n">
        <x:v>84000</x:v>
      </x:c>
      <x:c r="F43" s="20" t="n">
        <x:f>D43-E43</x:f>
        <x:v>179087</x:v>
      </x:c>
      <x:c r="G43" s="20" t="n">
        <x:f>SUMIFS($F$7:$F$56,$A$7:$A$56,A43,$B$7:$B$56,"&lt;="&amp;B43)</x:f>
        <x:v>295854</x:v>
      </x:c>
      <x:c r="H43" s="20" t="n">
        <x:v>2913</x:v>
      </x:c>
      <x:c r="I43" s="20" t="n">
        <x:v>182000</x:v>
      </x:c>
      <x:c r="J43" s="29" t="n">
        <x:v>13</x:v>
      </x:c>
      <x:c r="K43" s="29" t="n">
        <x:v>35</x:v>
      </x:c>
      <x:c r="L43" s="29" t="n">
        <x:v>7</x:v>
      </x:c>
      <x:c r="M43" s="31" t="str">
        <x:v>対照47場</x:v>
      </x:c>
      <x:c r="N43" s="30" t="n">
        <x:v>34.43333333333333</x:v>
      </x:c>
      <x:c r="O43" s="30" t="n">
        <x:v>342.56666666666666</x:v>
      </x:c>
      <x:c r="P43" s="26" t="n">
        <x:f>O43/IF(C43="デイ",420,780)</x:f>
        <x:v>0.8156349206349206</x:v>
      </x:c>
      <x:c r="Q43" s="27" t="n">
        <x:v>3.2696031746031746</x:v>
      </x:c>
    </x:row>
    <x:row r="44" ht="22" customHeight="1">
      <x:c r="A44" s="2" t="str">
        <x:v>V04</x:v>
      </x:c>
      <x:c r="B44" s="24" t="d">
        <x:v>2026-10-15T17:00:00.000Z</x:v>
      </x:c>
      <x:c r="C44" s="2" t="str">
        <x:v>ナイト</x:v>
      </x:c>
      <x:c r="D44" s="20" t="n">
        <x:v>128166</x:v>
      </x:c>
      <x:c r="E44" s="20" t="n">
        <x:v>90584</x:v>
      </x:c>
      <x:c r="F44" s="20" t="n">
        <x:f>D44-E44</x:f>
        <x:v>37582</x:v>
      </x:c>
      <x:c r="G44" s="20" t="n">
        <x:f>SUMIFS($F$7:$F$56,$A$7:$A$56,A44,$B$7:$B$56,"&lt;="&amp;B44)</x:f>
        <x:v>333436</x:v>
      </x:c>
      <x:c r="H44" s="20" t="n">
        <x:v>3418</x:v>
      </x:c>
      <x:c r="I44" s="20" t="n">
        <x:v>41000</x:v>
      </x:c>
      <x:c r="J44" s="29" t="n">
        <x:v>13</x:v>
      </x:c>
      <x:c r="K44" s="29" t="n">
        <x:v>41</x:v>
      </x:c>
      <x:c r="L44" s="29" t="n">
        <x:v>7</x:v>
      </x:c>
      <x:c r="M44" s="31" t="str">
        <x:v>対照47場</x:v>
      </x:c>
      <x:c r="N44" s="30" t="n">
        <x:v>217.91666666666666</x:v>
      </x:c>
      <x:c r="O44" s="30" t="n">
        <x:v>278.1</x:v>
      </x:c>
      <x:c r="P44" s="26" t="n">
        <x:f>O44/IF(C44="デイ",420,780)</x:f>
        <x:v>0.3565384615384616</x:v>
      </x:c>
      <x:c r="Q44" s="27" t="n">
        <x:v>1.1789529914529915</x:v>
      </x:c>
    </x:row>
    <x:row r="45" ht="22" customHeight="1">
      <x:c r="A45" s="2" t="str">
        <x:v>V04</x:v>
      </x:c>
      <x:c r="B45" s="24" t="d">
        <x:v>2026-10-16T08:45:00.000Z</x:v>
      </x:c>
      <x:c r="C45" s="2" t="str">
        <x:v>デイ</x:v>
      </x:c>
      <x:c r="D45" s="20" t="n">
        <x:v>41004</x:v>
      </x:c>
      <x:c r="E45" s="20" t="n">
        <x:v>108994</x:v>
      </x:c>
      <x:c r="F45" s="20" t="n">
        <x:f>D45-E45</x:f>
        <x:v>-67990</x:v>
      </x:c>
      <x:c r="G45" s="20" t="n">
        <x:f>SUMIFS($F$7:$F$56,$A$7:$A$56,A45,$B$7:$B$56,"&lt;="&amp;B45)</x:f>
        <x:v>265446</x:v>
      </x:c>
      <x:c r="H45" s="20" t="n">
        <x:v>3990</x:v>
      </x:c>
      <x:c r="I45" s="20" t="n">
        <x:v>-64000</x:v>
      </x:c>
      <x:c r="J45" s="29" t="n">
        <x:v>21</x:v>
      </x:c>
      <x:c r="K45" s="29" t="n">
        <x:v>48</x:v>
      </x:c>
      <x:c r="L45" s="29" t="n">
        <x:v>7</x:v>
      </x:c>
      <x:c r="M45" s="31" t="str">
        <x:v>対照47場</x:v>
      </x:c>
      <x:c r="N45" s="30" t="n">
        <x:v>48.13333333333333</x:v>
      </x:c>
      <x:c r="O45" s="30" t="n">
        <x:v>302.25</x:v>
      </x:c>
      <x:c r="P45" s="26" t="n">
        <x:f>O45/IF(C45="デイ",420,780)</x:f>
        <x:v>0.7196428571428571</x:v>
      </x:c>
      <x:c r="Q45" s="27" t="n">
        <x:v>2.606468253968254</x:v>
      </x:c>
    </x:row>
    <x:row r="46" ht="22" customHeight="1">
      <x:c r="A46" s="2" t="str">
        <x:v>V04</x:v>
      </x:c>
      <x:c r="B46" s="24" t="d">
        <x:v>2026-10-16T17:00:00.000Z</x:v>
      </x:c>
      <x:c r="C46" s="2" t="str">
        <x:v>ナイト</x:v>
      </x:c>
      <x:c r="D46" s="20" t="n">
        <x:v>207834</x:v>
      </x:c>
      <x:c r="E46" s="20" t="n">
        <x:v>108411</x:v>
      </x:c>
      <x:c r="F46" s="20" t="n">
        <x:f>D46-E46</x:f>
        <x:v>99423</x:v>
      </x:c>
      <x:c r="G46" s="20" t="n">
        <x:f>SUMIFS($F$7:$F$56,$A$7:$A$56,A46,$B$7:$B$56,"&lt;="&amp;B46)</x:f>
        <x:v>364869</x:v>
      </x:c>
      <x:c r="H46" s="20" t="n">
        <x:v>3577</x:v>
      </x:c>
      <x:c r="I46" s="20" t="n">
        <x:v>103000</x:v>
      </x:c>
      <x:c r="J46" s="29" t="n">
        <x:v>17</x:v>
      </x:c>
      <x:c r="K46" s="29" t="n">
        <x:v>43</x:v>
      </x:c>
      <x:c r="L46" s="29" t="n">
        <x:v>7</x:v>
      </x:c>
      <x:c r="M46" s="31" t="str">
        <x:v>対照47場</x:v>
      </x:c>
      <x:c r="N46" s="30" t="n">
        <x:v>63.766666666666666</x:v>
      </x:c>
      <x:c r="O46" s="30" t="n">
        <x:v>296.4</x:v>
      </x:c>
      <x:c r="P46" s="26" t="n">
        <x:f>O46/IF(C46="デイ",420,780)</x:f>
        <x:v>0.37999999999999995</x:v>
      </x:c>
      <x:c r="Q46" s="27" t="n">
        <x:v>1.2352350427350427</x:v>
      </x:c>
    </x:row>
    <x:row r="47" ht="22" customHeight="1">
      <x:c r="A47" s="2" t="str">
        <x:v>V04</x:v>
      </x:c>
      <x:c r="B47" s="24" t="d">
        <x:v>2026-10-19T08:45:00.000Z</x:v>
      </x:c>
      <x:c r="C47" s="2" t="str">
        <x:v>デイ</x:v>
      </x:c>
      <x:c r="D47" s="20" t="n">
        <x:v>137751</x:v>
      </x:c>
      <x:c r="E47" s="20" t="n">
        <x:v>109914</x:v>
      </x:c>
      <x:c r="F47" s="20" t="n">
        <x:f>D47-E47</x:f>
        <x:v>27837</x:v>
      </x:c>
      <x:c r="G47" s="20" t="n">
        <x:f>SUMIFS($F$7:$F$56,$A$7:$A$56,A47,$B$7:$B$56,"&lt;="&amp;B47)</x:f>
        <x:v>392706</x:v>
      </x:c>
      <x:c r="H47" s="20" t="n">
        <x:v>2163</x:v>
      </x:c>
      <x:c r="I47" s="20" t="n">
        <x:v>30000</x:v>
      </x:c>
      <x:c r="J47" s="29" t="n">
        <x:v>10</x:v>
      </x:c>
      <x:c r="K47" s="29" t="n">
        <x:v>26</x:v>
      </x:c>
      <x:c r="L47" s="29" t="n">
        <x:v>7</x:v>
      </x:c>
      <x:c r="M47" s="31" t="str">
        <x:v>対照47場</x:v>
      </x:c>
      <x:c r="N47" s="30" t="n">
        <x:v>66.33333333333333</x:v>
      </x:c>
      <x:c r="O47" s="30" t="n">
        <x:v>328.73333333333335</x:v>
      </x:c>
      <x:c r="P47" s="26" t="n">
        <x:f>O47/IF(C47="デイ",420,780)</x:f>
        <x:v>0.7826984126984128</x:v>
      </x:c>
      <x:c r="Q47" s="27" t="n">
        <x:v>3.16015873015873</x:v>
      </x:c>
    </x:row>
    <x:row r="48" ht="22" customHeight="1">
      <x:c r="A48" s="2" t="str">
        <x:v>V04</x:v>
      </x:c>
      <x:c r="B48" s="24" t="d">
        <x:v>2026-10-19T17:00:00.000Z</x:v>
      </x:c>
      <x:c r="C48" s="2" t="str">
        <x:v>ナイト</x:v>
      </x:c>
      <x:c r="D48" s="20" t="n">
        <x:v>86167</x:v>
      </x:c>
      <x:c r="E48" s="20" t="n">
        <x:v>67834</x:v>
      </x:c>
      <x:c r="F48" s="20" t="n">
        <x:f>D48-E48</x:f>
        <x:v>18333</x:v>
      </x:c>
      <x:c r="G48" s="20" t="n">
        <x:f>SUMIFS($F$7:$F$56,$A$7:$A$56,A48,$B$7:$B$56,"&lt;="&amp;B48)</x:f>
        <x:v>411039</x:v>
      </x:c>
      <x:c r="H48" s="20" t="n">
        <x:v>2667</x:v>
      </x:c>
      <x:c r="I48" s="20" t="n">
        <x:v>21000</x:v>
      </x:c>
      <x:c r="J48" s="29" t="n">
        <x:v>10</x:v>
      </x:c>
      <x:c r="K48" s="29" t="n">
        <x:v>32</x:v>
      </x:c>
      <x:c r="L48" s="29" t="n">
        <x:v>7</x:v>
      </x:c>
      <x:c r="M48" s="31" t="str">
        <x:v>対照47場</x:v>
      </x:c>
      <x:c r="N48" s="30" t="n">
        <x:v>337.6333333333333</x:v>
      </x:c>
      <x:c r="O48" s="30" t="n">
        <x:v>248.8</x:v>
      </x:c>
      <x:c r="P48" s="26" t="n">
        <x:f>O48/IF(C48="デイ",420,780)</x:f>
        <x:v>0.318974358974359</x:v>
      </x:c>
      <x:c r="Q48" s="27" t="n">
        <x:v>1.1941880341880342</x:v>
      </x:c>
    </x:row>
    <x:row r="49" ht="22" customHeight="1">
      <x:c r="A49" s="2" t="str">
        <x:v>V04</x:v>
      </x:c>
      <x:c r="B49" s="24" t="d">
        <x:v>2026-10-20T08:45:00.000Z</x:v>
      </x:c>
      <x:c r="C49" s="2" t="str">
        <x:v>デイ</x:v>
      </x:c>
      <x:c r="D49" s="20" t="n">
        <x:v>108421</x:v>
      </x:c>
      <x:c r="E49" s="20" t="n">
        <x:v>144830</x:v>
      </x:c>
      <x:c r="F49" s="20" t="n">
        <x:f>D49-E49</x:f>
        <x:v>-36409</x:v>
      </x:c>
      <x:c r="G49" s="20" t="n">
        <x:f>SUMIFS($F$7:$F$56,$A$7:$A$56,A49,$B$7:$B$56,"&lt;="&amp;B49)</x:f>
        <x:v>374630</x:v>
      </x:c>
      <x:c r="H49" s="20" t="n">
        <x:v>3909</x:v>
      </x:c>
      <x:c r="I49" s="20" t="n">
        <x:v>-32500</x:v>
      </x:c>
      <x:c r="J49" s="29" t="n">
        <x:v>19</x:v>
      </x:c>
      <x:c r="K49" s="29" t="n">
        <x:v>47</x:v>
      </x:c>
      <x:c r="L49" s="29" t="n">
        <x:v>7</x:v>
      </x:c>
      <x:c r="M49" s="31" t="str">
        <x:v>対照47場</x:v>
      </x:c>
      <x:c r="N49" s="30" t="n">
        <x:v>33.666666666666664</x:v>
      </x:c>
      <x:c r="O49" s="30" t="n">
        <x:v>279.1</x:v>
      </x:c>
      <x:c r="P49" s="26" t="n">
        <x:f>O49/IF(C49="デイ",420,780)</x:f>
        <x:v>0.6645238095238096</x:v>
      </x:c>
      <x:c r="Q49" s="27" t="n">
        <x:v>1.8622222222222222</x:v>
      </x:c>
    </x:row>
    <x:row r="50" ht="22" customHeight="1">
      <x:c r="A50" s="2" t="str">
        <x:v>V04</x:v>
      </x:c>
      <x:c r="B50" s="24" t="d">
        <x:v>2026-10-20T17:00:00.000Z</x:v>
      </x:c>
      <x:c r="C50" s="2" t="str">
        <x:v>ナイト</x:v>
      </x:c>
      <x:c r="D50" s="20" t="n">
        <x:v>138416</x:v>
      </x:c>
      <x:c r="E50" s="20" t="n">
        <x:v>94997</x:v>
      </x:c>
      <x:c r="F50" s="20" t="n">
        <x:f>D50-E50</x:f>
        <x:v>43419</x:v>
      </x:c>
      <x:c r="G50" s="20" t="n">
        <x:f>SUMIFS($F$7:$F$56,$A$7:$A$56,A50,$B$7:$B$56,"&lt;="&amp;B50)</x:f>
        <x:v>418049</x:v>
      </x:c>
      <x:c r="H50" s="20" t="n">
        <x:v>2581</x:v>
      </x:c>
      <x:c r="I50" s="20" t="n">
        <x:v>46000</x:v>
      </x:c>
      <x:c r="J50" s="29" t="n">
        <x:v>11</x:v>
      </x:c>
      <x:c r="K50" s="29" t="n">
        <x:v>31</x:v>
      </x:c>
      <x:c r="L50" s="29" t="n">
        <x:v>7</x:v>
      </x:c>
      <x:c r="M50" s="31" t="str">
        <x:v>対照47場</x:v>
      </x:c>
      <x:c r="N50" s="30" t="n">
        <x:v>50.6</x:v>
      </x:c>
      <x:c r="O50" s="30" t="n">
        <x:v>206.01666666666668</x:v>
      </x:c>
      <x:c r="P50" s="26" t="n">
        <x:f>O50/IF(C50="デイ",420,780)</x:f>
        <x:v>0.26412393162393166</x:v>
      </x:c>
      <x:c r="Q50" s="27" t="n">
        <x:v>0.9049145299145299</x:v>
      </x:c>
    </x:row>
    <x:row r="51" ht="22" customHeight="1">
      <x:c r="A51" s="2" t="str">
        <x:v>V04</x:v>
      </x:c>
      <x:c r="B51" s="24" t="d">
        <x:v>2026-10-21T08:45:00.000Z</x:v>
      </x:c>
      <x:c r="C51" s="2" t="str">
        <x:v>デイ</x:v>
      </x:c>
      <x:c r="D51" s="20" t="n">
        <x:v>59419</x:v>
      </x:c>
      <x:c r="E51" s="20" t="n">
        <x:v>88744</x:v>
      </x:c>
      <x:c r="F51" s="20" t="n">
        <x:f>D51-E51</x:f>
        <x:v>-29325</x:v>
      </x:c>
      <x:c r="G51" s="20" t="n">
        <x:f>SUMIFS($F$7:$F$56,$A$7:$A$56,A51,$B$7:$B$56,"&lt;="&amp;B51)</x:f>
        <x:v>388724</x:v>
      </x:c>
      <x:c r="H51" s="20" t="n">
        <x:v>3325</x:v>
      </x:c>
      <x:c r="I51" s="20" t="n">
        <x:v>-26000</x:v>
      </x:c>
      <x:c r="J51" s="29" t="n">
        <x:v>17</x:v>
      </x:c>
      <x:c r="K51" s="29" t="n">
        <x:v>40</x:v>
      </x:c>
      <x:c r="L51" s="29" t="n">
        <x:v>7</x:v>
      </x:c>
      <x:c r="M51" s="31" t="str">
        <x:v>対照47場</x:v>
      </x:c>
      <x:c r="N51" s="30" t="n">
        <x:v>50.083333333333336</x:v>
      </x:c>
      <x:c r="O51" s="30" t="n">
        <x:v>219.76666666666668</x:v>
      </x:c>
      <x:c r="P51" s="26" t="n">
        <x:f>O51/IF(C51="デイ",420,780)</x:f>
        <x:v>0.5232539682539683</x:v>
      </x:c>
      <x:c r="Q51" s="27" t="n">
        <x:v>1.6273015873015872</x:v>
      </x:c>
    </x:row>
    <x:row r="52" ht="22" customHeight="1">
      <x:c r="A52" s="2" t="str">
        <x:v>V04</x:v>
      </x:c>
      <x:c r="B52" s="24" t="d">
        <x:v>2026-10-21T17:00:00.000Z</x:v>
      </x:c>
      <x:c r="C52" s="2" t="str">
        <x:v>ナイト</x:v>
      </x:c>
      <x:c r="D52" s="20" t="n">
        <x:v>51500</x:v>
      </x:c>
      <x:c r="E52" s="20" t="n">
        <x:v>27416</x:v>
      </x:c>
      <x:c r="F52" s="20" t="n">
        <x:f>D52-E52</x:f>
        <x:v>24084</x:v>
      </x:c>
      <x:c r="G52" s="20" t="n">
        <x:f>SUMIFS($F$7:$F$56,$A$7:$A$56,A52,$B$7:$B$56,"&lt;="&amp;B52)</x:f>
        <x:v>412808</x:v>
      </x:c>
      <x:c r="H52" s="20" t="n">
        <x:v>2416</x:v>
      </x:c>
      <x:c r="I52" s="20" t="n">
        <x:v>26500</x:v>
      </x:c>
      <x:c r="J52" s="29" t="n">
        <x:v>10</x:v>
      </x:c>
      <x:c r="K52" s="29" t="n">
        <x:v>29</x:v>
      </x:c>
      <x:c r="L52" s="29" t="n">
        <x:v>7</x:v>
      </x:c>
      <x:c r="M52" s="31" t="str">
        <x:v>対照47場</x:v>
      </x:c>
      <x:c r="N52" s="30" t="n">
        <x:v>33.333333333333336</x:v>
      </x:c>
      <x:c r="O52" s="30" t="n">
        <x:v>348.81666666666666</x:v>
      </x:c>
      <x:c r="P52" s="26" t="n">
        <x:f>O52/IF(C52="デイ",420,780)</x:f>
        <x:v>0.4472008547008547</x:v>
      </x:c>
      <x:c r="Q52" s="27" t="n">
        <x:v>1.611559829059829</x:v>
      </x:c>
    </x:row>
    <x:row r="53" ht="22" customHeight="1">
      <x:c r="A53" s="2" t="str">
        <x:v>V04</x:v>
      </x:c>
      <x:c r="B53" s="24" t="d">
        <x:v>2026-10-22T08:45:00.000Z</x:v>
      </x:c>
      <x:c r="C53" s="2" t="str">
        <x:v>デイ</x:v>
      </x:c>
      <x:c r="D53" s="20" t="n">
        <x:v>138753</x:v>
      </x:c>
      <x:c r="E53" s="20" t="n">
        <x:v>101078</x:v>
      </x:c>
      <x:c r="F53" s="20" t="n">
        <x:f>D53-E53</x:f>
        <x:v>37675</x:v>
      </x:c>
      <x:c r="G53" s="20" t="n">
        <x:f>SUMIFS($F$7:$F$56,$A$7:$A$56,A53,$B$7:$B$56,"&lt;="&amp;B53)</x:f>
        <x:v>450483</x:v>
      </x:c>
      <x:c r="H53" s="20" t="n">
        <x:v>3325</x:v>
      </x:c>
      <x:c r="I53" s="20" t="n">
        <x:v>41000</x:v>
      </x:c>
      <x:c r="J53" s="29" t="n">
        <x:v>17</x:v>
      </x:c>
      <x:c r="K53" s="29" t="n">
        <x:v>40</x:v>
      </x:c>
      <x:c r="L53" s="29" t="n">
        <x:v>7</x:v>
      </x:c>
      <x:c r="M53" s="31" t="str">
        <x:v>対照47場</x:v>
      </x:c>
      <x:c r="N53" s="30" t="n">
        <x:v>46.3</x:v>
      </x:c>
      <x:c r="O53" s="30" t="n">
        <x:v>273.06666666666666</x:v>
      </x:c>
      <x:c r="P53" s="26" t="n">
        <x:f>O53/IF(C53="デイ",420,780)</x:f>
        <x:v>0.6501587301587302</x:v>
      </x:c>
      <x:c r="Q53" s="27" t="n">
        <x:v>2.4144444444444444</x:v>
      </x:c>
    </x:row>
    <x:row r="54" ht="22" customHeight="1">
      <x:c r="A54" s="2" t="str">
        <x:v>V04</x:v>
      </x:c>
      <x:c r="B54" s="24" t="d">
        <x:v>2026-10-22T17:00:00.000Z</x:v>
      </x:c>
      <x:c r="C54" s="2" t="str">
        <x:v>ナイト</x:v>
      </x:c>
      <x:c r="D54" s="20" t="n">
        <x:v>103583</x:v>
      </x:c>
      <x:c r="E54" s="20" t="n">
        <x:v>138995</x:v>
      </x:c>
      <x:c r="F54" s="20" t="n">
        <x:f>D54-E54</x:f>
        <x:v>-35412</x:v>
      </x:c>
      <x:c r="G54" s="20" t="n">
        <x:f>SUMIFS($F$7:$F$56,$A$7:$A$56,A54,$B$7:$B$56,"&lt;="&amp;B54)</x:f>
        <x:v>415071</x:v>
      </x:c>
      <x:c r="H54" s="20" t="n">
        <x:v>4412</x:v>
      </x:c>
      <x:c r="I54" s="20" t="n">
        <x:v>-31000</x:v>
      </x:c>
      <x:c r="J54" s="29" t="n">
        <x:v>19</x:v>
      </x:c>
      <x:c r="K54" s="29" t="n">
        <x:v>53</x:v>
      </x:c>
      <x:c r="L54" s="29" t="n">
        <x:v>7</x:v>
      </x:c>
      <x:c r="M54" s="31" t="str">
        <x:v>診断3場</x:v>
      </x:c>
      <x:c r="N54" s="30" t="n">
        <x:v>71.33333333333333</x:v>
      </x:c>
      <x:c r="O54" s="30" t="n">
        <x:v>258.55</x:v>
      </x:c>
      <x:c r="P54" s="26" t="n">
        <x:f>O54/IF(C54="デイ",420,780)</x:f>
        <x:v>0.331474358974359</x:v>
      </x:c>
      <x:c r="Q54" s="27" t="n">
        <x:v>0.8673504273504273</x:v>
      </x:c>
    </x:row>
    <x:row r="55" ht="22" customHeight="1">
      <x:c r="A55" s="2" t="str">
        <x:v>V04</x:v>
      </x:c>
      <x:c r="B55" s="24" t="d">
        <x:v>2026-10-23T08:45:00.000Z</x:v>
      </x:c>
      <x:c r="C55" s="2" t="str">
        <x:v>デイ</x:v>
      </x:c>
      <x:c r="D55" s="20" t="n">
        <x:v>121592</x:v>
      </x:c>
      <x:c r="E55" s="20" t="n">
        <x:v>198992</x:v>
      </x:c>
      <x:c r="F55" s="20" t="n">
        <x:f>D55-E55</x:f>
        <x:v>-77400</x:v>
      </x:c>
      <x:c r="G55" s="20" t="n">
        <x:f>SUMIFS($F$7:$F$56,$A$7:$A$56,A55,$B$7:$B$56,"&lt;="&amp;B55)</x:f>
        <x:v>337671</x:v>
      </x:c>
      <x:c r="H55" s="20" t="n">
        <x:v>4400</x:v>
      </x:c>
      <x:c r="I55" s="20" t="n">
        <x:v>-73000</x:v>
      </x:c>
      <x:c r="J55" s="29" t="n">
        <x:v>26</x:v>
      </x:c>
      <x:c r="K55" s="29" t="n">
        <x:v>53</x:v>
      </x:c>
      <x:c r="L55" s="29" t="n">
        <x:v>7</x:v>
      </x:c>
      <x:c r="M55" s="31" t="str">
        <x:v>診断3場</x:v>
      </x:c>
      <x:c r="N55" s="30" t="n">
        <x:v>23.883333333333333</x:v>
      </x:c>
      <x:c r="O55" s="30" t="n">
        <x:v>287.1</x:v>
      </x:c>
      <x:c r="P55" s="26" t="n">
        <x:f>O55/IF(C55="デイ",420,780)</x:f>
        <x:v>0.6835714285714286</x:v>
      </x:c>
      <x:c r="Q55" s="27" t="n">
        <x:v>1.6965079365079365</x:v>
      </x:c>
    </x:row>
    <x:row r="56" ht="22" customHeight="1">
      <x:c r="A56" s="2" t="str">
        <x:v>V04</x:v>
      </x:c>
      <x:c r="B56" s="24" t="d">
        <x:v>2026-10-23T17:00:00.000Z</x:v>
      </x:c>
      <x:c r="C56" s="2" t="str">
        <x:v>ナイト</x:v>
      </x:c>
      <x:c r="D56" s="20" t="n">
        <x:v>78252</x:v>
      </x:c>
      <x:c r="E56" s="20" t="n">
        <x:v>56327</x:v>
      </x:c>
      <x:c r="F56" s="20" t="n">
        <x:f>D56-E56</x:f>
        <x:v>21925</x:v>
      </x:c>
      <x:c r="G56" s="20" t="n">
        <x:f>SUMIFS($F$7:$F$56,$A$7:$A$56,A56,$B$7:$B$56,"&lt;="&amp;B56)</x:f>
        <x:v>359596</x:v>
      </x:c>
      <x:c r="H56" s="20" t="n">
        <x:v>2575</x:v>
      </x:c>
      <x:c r="I56" s="20" t="n">
        <x:v>24500</x:v>
      </x:c>
      <x:c r="J56" s="29" t="n">
        <x:v>14</x:v>
      </x:c>
      <x:c r="K56" s="29" t="n">
        <x:v>31</x:v>
      </x:c>
      <x:c r="L56" s="29" t="n">
        <x:v>7</x:v>
      </x:c>
      <x:c r="M56" s="31" t="str">
        <x:v>診断3場</x:v>
      </x:c>
      <x:c r="N56" s="30" t="n">
        <x:v>88.13333333333334</x:v>
      </x:c>
      <x:c r="O56" s="30" t="n">
        <x:v>302.73333333333335</x:v>
      </x:c>
      <x:c r="P56" s="26" t="n">
        <x:f>O56/IF(C56="デイ",420,780)</x:f>
        <x:v>0.38811965811965815</x:v>
      </x:c>
      <x:c r="Q56" s="27" t="n">
        <x:v>1.104551282051282</x:v>
      </x:c>
    </x:row>
  </x:sheetData>
  <x:conditionalFormatting sqref="D7:I56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93f7bf7f2940f5"/>
  </x:tableParts>
</x:worksheet>
</file>