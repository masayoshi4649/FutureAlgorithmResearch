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23feb9b4c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c8dac5f352e54052"/>
    <x:sheet xmlns:r="http://schemas.openxmlformats.org/officeDocument/2006/relationships" name="日経_B00" sheetId="2" r:id="Ra741dfcf9c054757"/>
    <x:sheet xmlns:r="http://schemas.openxmlformats.org/officeDocument/2006/relationships" name="日経_F00" sheetId="3" r:id="R5df07421274e483b"/>
    <x:sheet xmlns:r="http://schemas.openxmlformats.org/officeDocument/2006/relationships" name="日経_C50" sheetId="4" r:id="R283177362b384e23"/>
    <x:sheet xmlns:r="http://schemas.openxmlformats.org/officeDocument/2006/relationships" name="日経_D40" sheetId="5" r:id="R16f3fead1137473d"/>
    <x:sheet xmlns:r="http://schemas.openxmlformats.org/officeDocument/2006/relationships" name="日経_D80" sheetId="6" r:id="R583a3d8772b84458"/>
    <x:sheet xmlns:r="http://schemas.openxmlformats.org/officeDocument/2006/relationships" name="日経_G40" sheetId="7" r:id="Re92e455238684bae"/>
    <x:sheet xmlns:r="http://schemas.openxmlformats.org/officeDocument/2006/relationships" name="日経_G80" sheetId="8" r:id="Rfa5990f4597f4c21"/>
    <x:sheet xmlns:r="http://schemas.openxmlformats.org/officeDocument/2006/relationships" name="日経_R40" sheetId="9" r:id="Rd8993780050a482f"/>
    <x:sheet xmlns:r="http://schemas.openxmlformats.org/officeDocument/2006/relationships" name="日経_R80" sheetId="10" r:id="Rd9eb516470dc4929"/>
    <x:sheet xmlns:r="http://schemas.openxmlformats.org/officeDocument/2006/relationships" name="日経_E40" sheetId="11" r:id="R276ca300bef34cc7"/>
    <x:sheet xmlns:r="http://schemas.openxmlformats.org/officeDocument/2006/relationships" name="日経_E80" sheetId="12" r:id="R6e421616320d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0"/>
  </x:numFmts>
  <x:fonts count="6">
    <x:font>
      <x:sz val="11"/>
      <x:name val="Carlito"/>
    </x:font>
    <x:font>
      <x:sz val="10"/>
      <x:color rgb="FF20384D"/>
      <x:name val="Yu Gothic"/>
    </x:font>
    <x:font>
      <x:b/>
      <x:sz val="14"/>
      <x:color rgb="FF20384D"/>
      <x:name val="Yu Gothic"/>
    </x:font>
    <x:font>
      <x:sz val="10"/>
      <x:color rgb="FF536B80"/>
      <x:name val="Yu Gothic"/>
    </x:font>
    <x:font>
      <x:b/>
      <x:sz val="10"/>
      <x:color rgb="FFFFFFFF"/>
      <x:name val="Yu Gothic"/>
    </x:font>
    <x:font>
      <x:b/>
      <x:sz val="10"/>
      <x:color rgb="FF20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3AABD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4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ed297cc064c96" /><Relationship Type="http://schemas.openxmlformats.org/officeDocument/2006/relationships/theme" Target="/xl/theme/theme1.xml" Id="Rca53103a36d745f8" /><Relationship Type="http://schemas.openxmlformats.org/officeDocument/2006/relationships/sharedStrings" Target="/xl/sharedStrings.xml" Id="R12b856b73e6b41b7" /><Relationship Type="http://schemas.openxmlformats.org/officeDocument/2006/relationships/worksheet" Target="/xl/worksheets/sheet1.xml" Id="Rc8dac5f352e54052" /><Relationship Type="http://schemas.openxmlformats.org/officeDocument/2006/relationships/worksheet" Target="/xl/worksheets/sheet2.xml" Id="Ra741dfcf9c054757" /><Relationship Type="http://schemas.openxmlformats.org/officeDocument/2006/relationships/worksheet" Target="/xl/worksheets/sheet3.xml" Id="R5df07421274e483b" /><Relationship Type="http://schemas.openxmlformats.org/officeDocument/2006/relationships/worksheet" Target="/xl/worksheets/sheet4.xml" Id="R283177362b384e23" /><Relationship Type="http://schemas.openxmlformats.org/officeDocument/2006/relationships/worksheet" Target="/xl/worksheets/sheet5.xml" Id="R16f3fead1137473d" /><Relationship Type="http://schemas.openxmlformats.org/officeDocument/2006/relationships/worksheet" Target="/xl/worksheets/sheet6.xml" Id="R583a3d8772b84458" /><Relationship Type="http://schemas.openxmlformats.org/officeDocument/2006/relationships/worksheet" Target="/xl/worksheets/sheet7.xml" Id="Re92e455238684bae" /><Relationship Type="http://schemas.openxmlformats.org/officeDocument/2006/relationships/worksheet" Target="/xl/worksheets/sheet8.xml" Id="Rfa5990f4597f4c21" /><Relationship Type="http://schemas.openxmlformats.org/officeDocument/2006/relationships/worksheet" Target="/xl/worksheets/sheet9.xml" Id="Rd8993780050a482f" /><Relationship Type="http://schemas.openxmlformats.org/officeDocument/2006/relationships/worksheet" Target="/xl/worksheets/sheet10.xml" Id="Rd9eb516470dc4929" /><Relationship Type="http://schemas.openxmlformats.org/officeDocument/2006/relationships/worksheet" Target="/xl/worksheets/sheet11.xml" Id="R276ca300bef34cc7" /><Relationship Type="http://schemas.openxmlformats.org/officeDocument/2006/relationships/worksheet" Target="/xl/worksheets/sheet12.xml" Id="R6e421616320d47f1" /></Relationships>
</file>

<file path=xl/tables/table1.xml><?xml version="1.0" encoding="utf-8"?>
<x:table xmlns:x="http://schemas.openxmlformats.org/spreadsheetml/2006/main" id="12" name="R163_comparison" displayName="R163_comparison" ref="A5:M104" headerRowCount="1" totalsRowCount="0" totalsRowShown="0">
  <x:autoFilter ref="A5:M104"/>
  <x:tableColumns count="13">
    <x:tableColumn id="1" name="対象"/>
    <x:tableColumn id="2" name="手法"/>
    <x:tableColumn id="3" name="事前選択"/>
    <x:tableColumn id="4" name="利益（円）"/>
    <x:tableColumn id="5" name="損失（円）"/>
    <x:tableColumn id="6" name="収支（円）"/>
    <x:tableColumn id="7" name="赤字場数"/>
    <x:tableColumn id="8" name="無取引場数"/>
    <x:tableColumn id="9" name="平均赤字（円）"/>
    <x:tableColumn id="10" name="最大赤字（円）"/>
    <x:tableColumn id="11" name="場内最悪収支（円）"/>
    <x:tableColumn id="12" name="最大下落額（円）"/>
    <x:tableColumn id="13" name="大勝ち3場除外収支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163_B00" displayName="R163_B0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163_F00" displayName="R163_F0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163_C50" displayName="R163_C5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163_D40" displayName="R163_D4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163_D80" displayName="R163_D8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163_G40" displayName="R163_G4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R163_G80" displayName="R163_G8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R163_R40" displayName="R163_R4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R163_R80" displayName="R163_R8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R163_E40" displayName="R163_E4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R163_E80" displayName="R163_E80" ref="A5:J58" headerRowCount="1" totalsRowCount="0" totalsRowShown="0">
  <x:autoFilter ref="A5:J58"/>
  <x:tableColumns count="10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実行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11bec0111548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f9a5ee65fb47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965a64dbb4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9d734448f8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471cb0d7844a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f126d902f04d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f2b41392b546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23c0b7e8d6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6533322eb249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1886ba0eb694e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847438742bc48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31f6650d36f4f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元手法の局所減枚と復元の比較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片側micro100枚＝mini10枚相当／費用0。場内最悪は確定＋全玉含み、最大下落は当場ピークから。C50は一律半量の対照。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前40場で昼D80・夜D80を固定しF00へ連結。後13場も既知資料。運用採用を意味しない。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5" customHeight="1">
      <x:c r="A5" s="10" t="str">
        <x:v>対象</x:v>
      </x:c>
      <x:c r="B5" s="10" t="str">
        <x:v>手法</x:v>
      </x:c>
      <x:c r="C5" s="10" t="str">
        <x:v>事前選択</x:v>
      </x:c>
      <x:c r="D5" s="10" t="str">
        <x:v>利益（円）</x:v>
      </x:c>
      <x:c r="E5" s="10" t="str">
        <x:v>損失（円）</x:v>
      </x:c>
      <x:c r="F5" s="10" t="str">
        <x:v>収支（円）</x:v>
      </x:c>
      <x:c r="G5" s="10" t="str">
        <x:v>赤字場数</x:v>
      </x:c>
      <x:c r="H5" s="10" t="str">
        <x:v>無取引場数</x:v>
      </x:c>
      <x:c r="I5" s="10" t="str">
        <x:v>平均赤字（円）</x:v>
      </x:c>
      <x:c r="J5" s="10" t="str">
        <x:v>最大赤字（円）</x:v>
      </x:c>
      <x:c r="K5" s="10" t="str">
        <x:v>場内最悪収支（円）</x:v>
      </x:c>
      <x:c r="L5" s="10" t="str">
        <x:v>最大下落額（円）</x:v>
      </x:c>
      <x:c r="M5" s="10" t="str">
        <x:v>大勝ち3場除外収支（円）</x:v>
      </x:c>
    </x:row>
    <x:row r="6" ht="25" customHeight="1">
      <x:c r="A6" s="19" t="str">
        <x:v>全53場</x:v>
      </x:c>
      <x:c r="B6" s="19" t="str">
        <x:v>B00</x:v>
      </x:c>
      <x:c r="C6" s="12" t="str"/>
      <x:c r="D6" s="6" t="n">
        <x:f>SUM('日経_B00'!C6:C58)</x:f>
        <x:v>7227000</x:v>
      </x:c>
      <x:c r="E6" s="6" t="n">
        <x:f>SUM('日経_B00'!D6:D58)</x:f>
        <x:v>3946000</x:v>
      </x:c>
      <x:c r="F6" s="6" t="n">
        <x:f>D6-E6</x:f>
        <x:v>3281000</x:v>
      </x:c>
      <x:c r="G6" s="11" t="n">
        <x:v>17</x:v>
      </x:c>
      <x:c r="H6" s="11" t="n">
        <x:v>0</x:v>
      </x:c>
      <x:c r="I6" s="6" t="n">
        <x:v>45058.82352941176</x:v>
      </x:c>
      <x:c r="J6" s="6" t="n">
        <x:v>115000</x:v>
      </x:c>
      <x:c r="K6" s="6" t="n">
        <x:v>-203000</x:v>
      </x:c>
      <x:c r="L6" s="6" t="n">
        <x:v>294000</x:v>
      </x:c>
      <x:c r="M6" s="6" t="n">
        <x:v>2239000</x:v>
      </x:c>
    </x:row>
    <x:row r="7" ht="25" customHeight="1">
      <x:c r="A7" s="19" t="str">
        <x:v>全53場</x:v>
      </x:c>
      <x:c r="B7" s="19" t="str">
        <x:v>F00</x:v>
      </x:c>
      <x:c r="C7" s="12" t="str">
        <x:v>固定昼夜合成</x:v>
      </x:c>
      <x:c r="D7" s="6" t="n">
        <x:f>SUM('日経_F00'!C6:C58)</x:f>
        <x:v>6462500</x:v>
      </x:c>
      <x:c r="E7" s="6" t="n">
        <x:f>SUM('日経_F00'!D6:D58)</x:f>
        <x:v>3957000</x:v>
      </x:c>
      <x:c r="F7" s="6" t="n">
        <x:f>D7-E7</x:f>
        <x:v>2505500</x:v>
      </x:c>
      <x:c r="G7" s="11" t="n">
        <x:v>16</x:v>
      </x:c>
      <x:c r="H7" s="11" t="n">
        <x:v>0</x:v>
      </x:c>
      <x:c r="I7" s="6" t="n">
        <x:v>47906.25</x:v>
      </x:c>
      <x:c r="J7" s="6" t="n">
        <x:v>109000</x:v>
      </x:c>
      <x:c r="K7" s="6" t="n">
        <x:v>-199000</x:v>
      </x:c>
      <x:c r="L7" s="6" t="n">
        <x:v>277000</x:v>
      </x:c>
      <x:c r="M7" s="6" t="n">
        <x:v>1733000</x:v>
      </x:c>
    </x:row>
    <x:row r="8" ht="25" customHeight="1">
      <x:c r="A8" s="19" t="str">
        <x:v>全53場</x:v>
      </x:c>
      <x:c r="B8" s="19" t="str">
        <x:v>C50</x:v>
      </x:c>
      <x:c r="C8" s="12" t="str"/>
      <x:c r="D8" s="6" t="n">
        <x:f>SUM('日経_C50'!C6:C58)</x:f>
        <x:v>3613500</x:v>
      </x:c>
      <x:c r="E8" s="6" t="n">
        <x:f>SUM('日経_C50'!D6:D58)</x:f>
        <x:v>1973000</x:v>
      </x:c>
      <x:c r="F8" s="6" t="n">
        <x:f>D8-E8</x:f>
        <x:v>1640500</x:v>
      </x:c>
      <x:c r="G8" s="11" t="n">
        <x:v>17</x:v>
      </x:c>
      <x:c r="H8" s="11" t="n">
        <x:v>0</x:v>
      </x:c>
      <x:c r="I8" s="6" t="n">
        <x:v>22529.41176470588</x:v>
      </x:c>
      <x:c r="J8" s="6" t="n">
        <x:v>57500</x:v>
      </x:c>
      <x:c r="K8" s="6" t="n">
        <x:v>-101500</x:v>
      </x:c>
      <x:c r="L8" s="6" t="n">
        <x:v>147000</x:v>
      </x:c>
      <x:c r="M8" s="6" t="n">
        <x:v>1119500</x:v>
      </x:c>
    </x:row>
    <x:row r="9" ht="25" customHeight="1">
      <x:c r="A9" s="19" t="str">
        <x:v>全53場</x:v>
      </x:c>
      <x:c r="B9" s="19" t="str">
        <x:v>D40</x:v>
      </x:c>
      <x:c r="C9" s="12" t="str"/>
      <x:c r="D9" s="6" t="n">
        <x:f>SUM('日経_D40'!C6:C58)</x:f>
        <x:v>5475000</x:v>
      </x:c>
      <x:c r="E9" s="6" t="n">
        <x:f>SUM('日経_D40'!D6:D58)</x:f>
        <x:v>3720000</x:v>
      </x:c>
      <x:c r="F9" s="6" t="n">
        <x:f>D9-E9</x:f>
        <x:v>1755000</x:v>
      </x:c>
      <x:c r="G9" s="11" t="n">
        <x:v>22</x:v>
      </x:c>
      <x:c r="H9" s="11" t="n">
        <x:v>0</x:v>
      </x:c>
      <x:c r="I9" s="6" t="n">
        <x:v>37250</x:v>
      </x:c>
      <x:c r="J9" s="6" t="n">
        <x:v>108500</x:v>
      </x:c>
      <x:c r="K9" s="6" t="n">
        <x:v>-165000</x:v>
      </x:c>
      <x:c r="L9" s="6" t="n">
        <x:v>249000</x:v>
      </x:c>
      <x:c r="M9" s="6" t="n">
        <x:v>1037500</x:v>
      </x:c>
    </x:row>
    <x:row r="10" ht="25" customHeight="1">
      <x:c r="A10" s="19" t="str">
        <x:v>全53場</x:v>
      </x:c>
      <x:c r="B10" s="19" t="str">
        <x:v>D80</x:v>
      </x:c>
      <x:c r="C10" s="12" t="str">
        <x:v>昼選択・夜選択</x:v>
      </x:c>
      <x:c r="D10" s="6" t="n">
        <x:f>SUM('日経_D80'!C6:C58)</x:f>
        <x:v>6462500</x:v>
      </x:c>
      <x:c r="E10" s="6" t="n">
        <x:f>SUM('日経_D80'!D6:D58)</x:f>
        <x:v>3957000</x:v>
      </x:c>
      <x:c r="F10" s="6" t="n">
        <x:f>D10-E10</x:f>
        <x:v>2505500</x:v>
      </x:c>
      <x:c r="G10" s="11" t="n">
        <x:v>16</x:v>
      </x:c>
      <x:c r="H10" s="11" t="n">
        <x:v>0</x:v>
      </x:c>
      <x:c r="I10" s="6" t="n">
        <x:v>47906.25</x:v>
      </x:c>
      <x:c r="J10" s="6" t="n">
        <x:v>109000</x:v>
      </x:c>
      <x:c r="K10" s="6" t="n">
        <x:v>-199000</x:v>
      </x:c>
      <x:c r="L10" s="6" t="n">
        <x:v>277000</x:v>
      </x:c>
      <x:c r="M10" s="6" t="n">
        <x:v>1733000</x:v>
      </x:c>
    </x:row>
    <x:row r="11" ht="25" customHeight="1">
      <x:c r="A11" s="19" t="str">
        <x:v>全53場</x:v>
      </x:c>
      <x:c r="B11" s="19" t="str">
        <x:v>G40</x:v>
      </x:c>
      <x:c r="C11" s="12" t="str"/>
      <x:c r="D11" s="6" t="n">
        <x:f>SUM('日経_G40'!C6:C58)</x:f>
        <x:v>6067000</x:v>
      </x:c>
      <x:c r="E11" s="6" t="n">
        <x:f>SUM('日経_G40'!D6:D58)</x:f>
        <x:v>3744000</x:v>
      </x:c>
      <x:c r="F11" s="6" t="n">
        <x:f>D11-E11</x:f>
        <x:v>2323000</x:v>
      </x:c>
      <x:c r="G11" s="11" t="n">
        <x:v>20</x:v>
      </x:c>
      <x:c r="H11" s="11" t="n">
        <x:v>0</x:v>
      </x:c>
      <x:c r="I11" s="6" t="n">
        <x:v>40050</x:v>
      </x:c>
      <x:c r="J11" s="6" t="n">
        <x:v>106000</x:v>
      </x:c>
      <x:c r="K11" s="6" t="n">
        <x:v>-174000</x:v>
      </x:c>
      <x:c r="L11" s="6" t="n">
        <x:v>261500</x:v>
      </x:c>
      <x:c r="M11" s="6" t="n">
        <x:v>1609000</x:v>
      </x:c>
    </x:row>
    <x:row r="12" ht="25" customHeight="1">
      <x:c r="A12" s="19" t="str">
        <x:v>全53場</x:v>
      </x:c>
      <x:c r="B12" s="19" t="str">
        <x:v>G80</x:v>
      </x:c>
      <x:c r="C12" s="12" t="str"/>
      <x:c r="D12" s="6" t="n">
        <x:f>SUM('日経_G80'!C6:C58)</x:f>
        <x:v>6619500</x:v>
      </x:c>
      <x:c r="E12" s="6" t="n">
        <x:f>SUM('日経_G80'!D6:D58)</x:f>
        <x:v>3946000</x:v>
      </x:c>
      <x:c r="F12" s="6" t="n">
        <x:f>D12-E12</x:f>
        <x:v>2673500</x:v>
      </x:c>
      <x:c r="G12" s="11" t="n">
        <x:v>17</x:v>
      </x:c>
      <x:c r="H12" s="11" t="n">
        <x:v>0</x:v>
      </x:c>
      <x:c r="I12" s="6" t="n">
        <x:v>46882.35294117647</x:v>
      </x:c>
      <x:c r="J12" s="6" t="n">
        <x:v>111000</x:v>
      </x:c>
      <x:c r="K12" s="6" t="n">
        <x:v>-201000</x:v>
      </x:c>
      <x:c r="L12" s="6" t="n">
        <x:v>281000</x:v>
      </x:c>
      <x:c r="M12" s="6" t="n">
        <x:v>1835500</x:v>
      </x:c>
    </x:row>
    <x:row r="13" ht="25" customHeight="1">
      <x:c r="A13" s="19" t="str">
        <x:v>全53場</x:v>
      </x:c>
      <x:c r="B13" s="19" t="str">
        <x:v>R40</x:v>
      </x:c>
      <x:c r="C13" s="12" t="str"/>
      <x:c r="D13" s="6" t="n">
        <x:f>SUM('日経_R40'!C6:C58)</x:f>
        <x:v>7395500</x:v>
      </x:c>
      <x:c r="E13" s="6" t="n">
        <x:f>SUM('日経_R40'!D6:D58)</x:f>
        <x:v>4323000</x:v>
      </x:c>
      <x:c r="F13" s="6" t="n">
        <x:f>D13-E13</x:f>
        <x:v>3072500</x:v>
      </x:c>
      <x:c r="G13" s="11" t="n">
        <x:v>19</x:v>
      </x:c>
      <x:c r="H13" s="11" t="n">
        <x:v>0</x:v>
      </x:c>
      <x:c r="I13" s="6" t="n">
        <x:v>45552.63157894737</x:v>
      </x:c>
      <x:c r="J13" s="6" t="n">
        <x:v>132500</x:v>
      </x:c>
      <x:c r="K13" s="6" t="n">
        <x:v>-204000</x:v>
      </x:c>
      <x:c r="L13" s="6" t="n">
        <x:v>274500</x:v>
      </x:c>
      <x:c r="M13" s="6" t="n">
        <x:v>2049000</x:v>
      </x:c>
    </x:row>
    <x:row r="14" ht="25" customHeight="1">
      <x:c r="A14" s="19" t="str">
        <x:v>全53場</x:v>
      </x:c>
      <x:c r="B14" s="19" t="str">
        <x:v>R80</x:v>
      </x:c>
      <x:c r="C14" s="12" t="str"/>
      <x:c r="D14" s="6" t="n">
        <x:f>SUM('日経_R80'!C6:C58)</x:f>
        <x:v>7379500</x:v>
      </x:c>
      <x:c r="E14" s="6" t="n">
        <x:f>SUM('日経_R80'!D6:D58)</x:f>
        <x:v>4223000</x:v>
      </x:c>
      <x:c r="F14" s="6" t="n">
        <x:f>D14-E14</x:f>
        <x:v>3156500</x:v>
      </x:c>
      <x:c r="G14" s="11" t="n">
        <x:v>18</x:v>
      </x:c>
      <x:c r="H14" s="11" t="n">
        <x:v>0</x:v>
      </x:c>
      <x:c r="I14" s="6" t="n">
        <x:v>45222.22222222222</x:v>
      </x:c>
      <x:c r="J14" s="6" t="n">
        <x:v>119500</x:v>
      </x:c>
      <x:c r="K14" s="6" t="n">
        <x:v>-196000</x:v>
      </x:c>
      <x:c r="L14" s="6" t="n">
        <x:v>294000</x:v>
      </x:c>
      <x:c r="M14" s="6" t="n">
        <x:v>2149500</x:v>
      </x:c>
    </x:row>
    <x:row r="15" ht="25" customHeight="1">
      <x:c r="A15" s="19" t="str">
        <x:v>全53場</x:v>
      </x:c>
      <x:c r="B15" s="19" t="str">
        <x:v>E40</x:v>
      </x:c>
      <x:c r="C15" s="12" t="str"/>
      <x:c r="D15" s="6" t="n">
        <x:f>SUM('日経_E40'!C6:C58)</x:f>
        <x:v>7143000</x:v>
      </x:c>
      <x:c r="E15" s="6" t="n">
        <x:f>SUM('日経_E40'!D6:D58)</x:f>
        <x:v>4323500</x:v>
      </x:c>
      <x:c r="F15" s="6" t="n">
        <x:f>D15-E15</x:f>
        <x:v>2819500</x:v>
      </x:c>
      <x:c r="G15" s="11" t="n">
        <x:v>18</x:v>
      </x:c>
      <x:c r="H15" s="11" t="n">
        <x:v>0</x:v>
      </x:c>
      <x:c r="I15" s="6" t="n">
        <x:v>52861.11111111111</x:v>
      </x:c>
      <x:c r="J15" s="6" t="n">
        <x:v>140500</x:v>
      </x:c>
      <x:c r="K15" s="6" t="n">
        <x:v>-209000</x:v>
      </x:c>
      <x:c r="L15" s="6" t="n">
        <x:v>285500</x:v>
      </x:c>
      <x:c r="M15" s="6" t="n">
        <x:v>1832000</x:v>
      </x:c>
    </x:row>
    <x:row r="16" ht="25" customHeight="1">
      <x:c r="A16" s="19" t="str">
        <x:v>全53場</x:v>
      </x:c>
      <x:c r="B16" s="19" t="str">
        <x:v>E80</x:v>
      </x:c>
      <x:c r="C16" s="12" t="str"/>
      <x:c r="D16" s="6" t="n">
        <x:f>SUM('日経_E80'!C6:C58)</x:f>
        <x:v>7206500</x:v>
      </x:c>
      <x:c r="E16" s="6" t="n">
        <x:f>SUM('日経_E80'!D6:D58)</x:f>
        <x:v>4195000</x:v>
      </x:c>
      <x:c r="F16" s="6" t="n">
        <x:f>D16-E16</x:f>
        <x:v>3011500</x:v>
      </x:c>
      <x:c r="G16" s="11" t="n">
        <x:v>17</x:v>
      </x:c>
      <x:c r="H16" s="11" t="n">
        <x:v>0</x:v>
      </x:c>
      <x:c r="I16" s="6" t="n">
        <x:v>51294.117647058825</x:v>
      </x:c>
      <x:c r="J16" s="6" t="n">
        <x:v>116500</x:v>
      </x:c>
      <x:c r="K16" s="6" t="n">
        <x:v>-201000</x:v>
      </x:c>
      <x:c r="L16" s="6" t="n">
        <x:v>305000</x:v>
      </x:c>
      <x:c r="M16" s="6" t="n">
        <x:v>2033000</x:v>
      </x:c>
    </x:row>
    <x:row r="17" ht="25" customHeight="1">
      <x:c r="A17" s="19" t="str">
        <x:v>日中27場</x:v>
      </x:c>
      <x:c r="B17" s="19" t="str">
        <x:v>B00</x:v>
      </x:c>
      <x:c r="C17" s="12" t="str"/>
      <x:c r="D17" s="6" t="n">
        <x:f>SUM('日経_B00'!C6,'日経_B00'!C8,'日経_B00'!C10,'日経_B00'!C12,'日経_B00'!C14,'日経_B00'!C16,'日経_B00'!C18,'日経_B00'!C20,'日経_B00'!C22,'日経_B00'!C24,'日経_B00'!C26,'日経_B00'!C28,'日経_B00'!C30,'日経_B00'!C32,'日経_B00'!C34,'日経_B00'!C36,'日経_B00'!C38,'日経_B00'!C40,'日経_B00'!C42,'日経_B00'!C44,'日経_B00'!C46,'日経_B00'!C48,'日経_B00'!C50,'日経_B00'!C52,'日経_B00'!C54,'日経_B00'!C56,'日経_B00'!C58)</x:f>
        <x:v>4485000</x:v>
      </x:c>
      <x:c r="E17" s="6" t="n">
        <x:f>SUM('日経_B00'!D6,'日経_B00'!D8,'日経_B00'!D10,'日経_B00'!D12,'日経_B00'!D14,'日経_B00'!D16,'日経_B00'!D18,'日経_B00'!D20,'日経_B00'!D22,'日経_B00'!D24,'日経_B00'!D26,'日経_B00'!D28,'日経_B00'!D30,'日経_B00'!D32,'日経_B00'!D34,'日経_B00'!D36,'日経_B00'!D38,'日経_B00'!D40,'日経_B00'!D42,'日経_B00'!D44,'日経_B00'!D46,'日経_B00'!D48,'日経_B00'!D50,'日経_B00'!D52,'日経_B00'!D54,'日経_B00'!D56,'日経_B00'!D58)</x:f>
        <x:v>2665000</x:v>
      </x:c>
      <x:c r="F17" s="6" t="n">
        <x:f>D17-E17</x:f>
        <x:v>1820000</x:v>
      </x:c>
      <x:c r="G17" s="11" t="n">
        <x:v>9</x:v>
      </x:c>
      <x:c r="H17" s="11" t="n">
        <x:v>0</x:v>
      </x:c>
      <x:c r="I17" s="6" t="n">
        <x:v>60333.333333333336</x:v>
      </x:c>
      <x:c r="J17" s="6" t="n">
        <x:v>115000</x:v>
      </x:c>
      <x:c r="K17" s="6" t="n">
        <x:v>-203000</x:v>
      </x:c>
      <x:c r="L17" s="6" t="n">
        <x:v>294000</x:v>
      </x:c>
      <x:c r="M17" s="6" t="n">
        <x:v>804000</x:v>
      </x:c>
    </x:row>
    <x:row r="18" ht="25" customHeight="1">
      <x:c r="A18" s="19" t="str">
        <x:v>日中27場</x:v>
      </x:c>
      <x:c r="B18" s="19" t="str">
        <x:v>F00</x:v>
      </x:c>
      <x:c r="C18" s="12" t="str">
        <x:v>固定昼夜合成</x:v>
      </x:c>
      <x:c r="D18" s="6" t="n">
        <x:f>SUM('日経_F00'!C6,'日経_F00'!C8,'日経_F00'!C10,'日経_F00'!C12,'日経_F00'!C14,'日経_F00'!C16,'日経_F00'!C18,'日経_F00'!C20,'日経_F00'!C22,'日経_F00'!C24,'日経_F00'!C26,'日経_F00'!C28,'日経_F00'!C30,'日経_F00'!C32,'日経_F00'!C34,'日経_F00'!C36,'日経_F00'!C38,'日経_F00'!C40,'日経_F00'!C42,'日経_F00'!C44,'日経_F00'!C46,'日経_F00'!C48,'日経_F00'!C50,'日経_F00'!C52,'日経_F00'!C54,'日経_F00'!C56,'日経_F00'!C58)</x:f>
        <x:v>3898500</x:v>
      </x:c>
      <x:c r="E18" s="6" t="n">
        <x:f>SUM('日経_F00'!D6,'日経_F00'!D8,'日経_F00'!D10,'日経_F00'!D12,'日経_F00'!D14,'日経_F00'!D16,'日経_F00'!D18,'日経_F00'!D20,'日経_F00'!D22,'日経_F00'!D24,'日経_F00'!D26,'日経_F00'!D28,'日経_F00'!D30,'日経_F00'!D32,'日経_F00'!D34,'日経_F00'!D36,'日経_F00'!D38,'日経_F00'!D40,'日経_F00'!D42,'日経_F00'!D44,'日経_F00'!D46,'日経_F00'!D48,'日経_F00'!D50,'日経_F00'!D52,'日経_F00'!D54,'日経_F00'!D56,'日経_F00'!D58)</x:f>
        <x:v>2641500</x:v>
      </x:c>
      <x:c r="F18" s="6" t="n">
        <x:f>D18-E18</x:f>
        <x:v>1257000</x:v>
      </x:c>
      <x:c r="G18" s="11" t="n">
        <x:v>8</x:v>
      </x:c>
      <x:c r="H18" s="11" t="n">
        <x:v>0</x:v>
      </x:c>
      <x:c r="I18" s="6" t="n">
        <x:v>63250</x:v>
      </x:c>
      <x:c r="J18" s="6" t="n">
        <x:v>109000</x:v>
      </x:c>
      <x:c r="K18" s="6" t="n">
        <x:v>-199000</x:v>
      </x:c>
      <x:c r="L18" s="6" t="n">
        <x:v>277000</x:v>
      </x:c>
      <x:c r="M18" s="6" t="n">
        <x:v>647500</x:v>
      </x:c>
    </x:row>
    <x:row r="19" ht="25" customHeight="1">
      <x:c r="A19" s="19" t="str">
        <x:v>日中27場</x:v>
      </x:c>
      <x:c r="B19" s="19" t="str">
        <x:v>C50</x:v>
      </x:c>
      <x:c r="C19" s="12" t="str"/>
      <x:c r="D19" s="6" t="n">
        <x:f>SUM('日経_C50'!C6,'日経_C50'!C8,'日経_C50'!C10,'日経_C50'!C12,'日経_C50'!C14,'日経_C50'!C16,'日経_C50'!C18,'日経_C50'!C20,'日経_C50'!C22,'日経_C50'!C24,'日経_C50'!C26,'日経_C50'!C28,'日経_C50'!C30,'日経_C50'!C32,'日経_C50'!C34,'日経_C50'!C36,'日経_C50'!C38,'日経_C50'!C40,'日経_C50'!C42,'日経_C50'!C44,'日経_C50'!C46,'日経_C50'!C48,'日経_C50'!C50,'日経_C50'!C52,'日経_C50'!C54,'日経_C50'!C56,'日経_C50'!C58)</x:f>
        <x:v>2242500</x:v>
      </x:c>
      <x:c r="E19" s="6" t="n">
        <x:f>SUM('日経_C50'!D6,'日経_C50'!D8,'日経_C50'!D10,'日経_C50'!D12,'日経_C50'!D14,'日経_C50'!D16,'日経_C50'!D18,'日経_C50'!D20,'日経_C50'!D22,'日経_C50'!D24,'日経_C50'!D26,'日経_C50'!D28,'日経_C50'!D30,'日経_C50'!D32,'日経_C50'!D34,'日経_C50'!D36,'日経_C50'!D38,'日経_C50'!D40,'日経_C50'!D42,'日経_C50'!D44,'日経_C50'!D46,'日経_C50'!D48,'日経_C50'!D50,'日経_C50'!D52,'日経_C50'!D54,'日経_C50'!D56,'日経_C50'!D58)</x:f>
        <x:v>1332500</x:v>
      </x:c>
      <x:c r="F19" s="6" t="n">
        <x:f>D19-E19</x:f>
        <x:v>910000</x:v>
      </x:c>
      <x:c r="G19" s="11" t="n">
        <x:v>9</x:v>
      </x:c>
      <x:c r="H19" s="11" t="n">
        <x:v>0</x:v>
      </x:c>
      <x:c r="I19" s="6" t="n">
        <x:v>30166.666666666668</x:v>
      </x:c>
      <x:c r="J19" s="6" t="n">
        <x:v>57500</x:v>
      </x:c>
      <x:c r="K19" s="6" t="n">
        <x:v>-101500</x:v>
      </x:c>
      <x:c r="L19" s="6" t="n">
        <x:v>147000</x:v>
      </x:c>
      <x:c r="M19" s="6" t="n">
        <x:v>402000</x:v>
      </x:c>
    </x:row>
    <x:row r="20" ht="25" customHeight="1">
      <x:c r="A20" s="19" t="str">
        <x:v>日中27場</x:v>
      </x:c>
      <x:c r="B20" s="19" t="str">
        <x:v>D40</x:v>
      </x:c>
      <x:c r="C20" s="12" t="str"/>
      <x:c r="D20" s="6" t="n">
        <x:f>SUM('日経_D40'!C6,'日経_D40'!C8,'日経_D40'!C10,'日経_D40'!C12,'日経_D40'!C14,'日経_D40'!C16,'日経_D40'!C18,'日経_D40'!C20,'日経_D40'!C22,'日経_D40'!C24,'日経_D40'!C26,'日経_D40'!C28,'日経_D40'!C30,'日経_D40'!C32,'日経_D40'!C34,'日経_D40'!C36,'日経_D40'!C38,'日経_D40'!C40,'日経_D40'!C42,'日経_D40'!C44,'日経_D40'!C46,'日経_D40'!C48,'日経_D40'!C50,'日経_D40'!C52,'日経_D40'!C54,'日経_D40'!C56,'日経_D40'!C58)</x:f>
        <x:v>3396000</x:v>
      </x:c>
      <x:c r="E20" s="6" t="n">
        <x:f>SUM('日経_D40'!D6,'日経_D40'!D8,'日経_D40'!D10,'日経_D40'!D12,'日経_D40'!D14,'日経_D40'!D16,'日経_D40'!D18,'日経_D40'!D20,'日経_D40'!D22,'日経_D40'!D24,'日経_D40'!D26,'日経_D40'!D28,'日経_D40'!D30,'日経_D40'!D32,'日経_D40'!D34,'日経_D40'!D36,'日経_D40'!D38,'日経_D40'!D40,'日経_D40'!D42,'日経_D40'!D44,'日経_D40'!D46,'日経_D40'!D48,'日経_D40'!D50,'日経_D40'!D52,'日経_D40'!D54,'日経_D40'!D56,'日経_D40'!D58)</x:f>
        <x:v>2409000</x:v>
      </x:c>
      <x:c r="F20" s="6" t="n">
        <x:f>D20-E20</x:f>
        <x:v>987000</x:v>
      </x:c>
      <x:c r="G20" s="11" t="n">
        <x:v>10</x:v>
      </x:c>
      <x:c r="H20" s="11" t="n">
        <x:v>0</x:v>
      </x:c>
      <x:c r="I20" s="6" t="n">
        <x:v>54000</x:v>
      </x:c>
      <x:c r="J20" s="6" t="n">
        <x:v>108500</x:v>
      </x:c>
      <x:c r="K20" s="6" t="n">
        <x:v>-165000</x:v>
      </x:c>
      <x:c r="L20" s="6" t="n">
        <x:v>249000</x:v>
      </x:c>
      <x:c r="M20" s="6" t="n">
        <x:v>366500</x:v>
      </x:c>
    </x:row>
    <x:row r="21" ht="25" customHeight="1">
      <x:c r="A21" s="19" t="str">
        <x:v>日中27場</x:v>
      </x:c>
      <x:c r="B21" s="19" t="str">
        <x:v>D80</x:v>
      </x:c>
      <x:c r="C21" s="12" t="str">
        <x:v>昼選択・夜選択</x:v>
      </x:c>
      <x:c r="D21" s="6" t="n">
        <x:f>SUM('日経_D80'!C6,'日経_D80'!C8,'日経_D80'!C10,'日経_D80'!C12,'日経_D80'!C14,'日経_D80'!C16,'日経_D80'!C18,'日経_D80'!C20,'日経_D80'!C22,'日経_D80'!C24,'日経_D80'!C26,'日経_D80'!C28,'日経_D80'!C30,'日経_D80'!C32,'日経_D80'!C34,'日経_D80'!C36,'日経_D80'!C38,'日経_D80'!C40,'日経_D80'!C42,'日経_D80'!C44,'日経_D80'!C46,'日経_D80'!C48,'日経_D80'!C50,'日経_D80'!C52,'日経_D80'!C54,'日経_D80'!C56,'日経_D80'!C58)</x:f>
        <x:v>3898500</x:v>
      </x:c>
      <x:c r="E21" s="6" t="n">
        <x:f>SUM('日経_D80'!D6,'日経_D80'!D8,'日経_D80'!D10,'日経_D80'!D12,'日経_D80'!D14,'日経_D80'!D16,'日経_D80'!D18,'日経_D80'!D20,'日経_D80'!D22,'日経_D80'!D24,'日経_D80'!D26,'日経_D80'!D28,'日経_D80'!D30,'日経_D80'!D32,'日経_D80'!D34,'日経_D80'!D36,'日経_D80'!D38,'日経_D80'!D40,'日経_D80'!D42,'日経_D80'!D44,'日経_D80'!D46,'日経_D80'!D48,'日経_D80'!D50,'日経_D80'!D52,'日経_D80'!D54,'日経_D80'!D56,'日経_D80'!D58)</x:f>
        <x:v>2641500</x:v>
      </x:c>
      <x:c r="F21" s="6" t="n">
        <x:f>D21-E21</x:f>
        <x:v>1257000</x:v>
      </x:c>
      <x:c r="G21" s="11" t="n">
        <x:v>8</x:v>
      </x:c>
      <x:c r="H21" s="11" t="n">
        <x:v>0</x:v>
      </x:c>
      <x:c r="I21" s="6" t="n">
        <x:v>63250</x:v>
      </x:c>
      <x:c r="J21" s="6" t="n">
        <x:v>109000</x:v>
      </x:c>
      <x:c r="K21" s="6" t="n">
        <x:v>-199000</x:v>
      </x:c>
      <x:c r="L21" s="6" t="n">
        <x:v>277000</x:v>
      </x:c>
      <x:c r="M21" s="6" t="n">
        <x:v>647500</x:v>
      </x:c>
    </x:row>
    <x:row r="22" ht="25" customHeight="1">
      <x:c r="A22" s="19" t="str">
        <x:v>日中27場</x:v>
      </x:c>
      <x:c r="B22" s="19" t="str">
        <x:v>G40</x:v>
      </x:c>
      <x:c r="C22" s="12" t="str"/>
      <x:c r="D22" s="6" t="n">
        <x:f>SUM('日経_G40'!C6,'日経_G40'!C8,'日経_G40'!C10,'日経_G40'!C12,'日経_G40'!C14,'日経_G40'!C16,'日経_G40'!C18,'日経_G40'!C20,'日経_G40'!C22,'日経_G40'!C24,'日経_G40'!C26,'日経_G40'!C28,'日経_G40'!C30,'日経_G40'!C32,'日経_G40'!C34,'日経_G40'!C36,'日経_G40'!C38,'日経_G40'!C40,'日経_G40'!C42,'日経_G40'!C44,'日経_G40'!C46,'日経_G40'!C48,'日経_G40'!C50,'日経_G40'!C52,'日経_G40'!C54,'日経_G40'!C56,'日経_G40'!C58)</x:f>
        <x:v>3660000</x:v>
      </x:c>
      <x:c r="E22" s="6" t="n">
        <x:f>SUM('日経_G40'!D6,'日経_G40'!D8,'日経_G40'!D10,'日経_G40'!D12,'日経_G40'!D14,'日経_G40'!D16,'日経_G40'!D18,'日経_G40'!D20,'日経_G40'!D22,'日経_G40'!D24,'日経_G40'!D26,'日経_G40'!D28,'日経_G40'!D30,'日経_G40'!D32,'日経_G40'!D34,'日経_G40'!D36,'日経_G40'!D38,'日経_G40'!D40,'日経_G40'!D42,'日経_G40'!D44,'日経_G40'!D46,'日経_G40'!D48,'日経_G40'!D50,'日経_G40'!D52,'日経_G40'!D54,'日経_G40'!D56,'日経_G40'!D58)</x:f>
        <x:v>2470500</x:v>
      </x:c>
      <x:c r="F22" s="6" t="n">
        <x:f>D22-E22</x:f>
        <x:v>1189500</x:v>
      </x:c>
      <x:c r="G22" s="11" t="n">
        <x:v>9</x:v>
      </x:c>
      <x:c r="H22" s="11" t="n">
        <x:v>0</x:v>
      </x:c>
      <x:c r="I22" s="6" t="n">
        <x:v>58111.11111111111</x:v>
      </x:c>
      <x:c r="J22" s="6" t="n">
        <x:v>106000</x:v>
      </x:c>
      <x:c r="K22" s="6" t="n">
        <x:v>-174000</x:v>
      </x:c>
      <x:c r="L22" s="6" t="n">
        <x:v>261500</x:v>
      </x:c>
      <x:c r="M22" s="6" t="n">
        <x:v>572000</x:v>
      </x:c>
    </x:row>
    <x:row r="23" ht="25" customHeight="1">
      <x:c r="A23" s="19" t="str">
        <x:v>日中27場</x:v>
      </x:c>
      <x:c r="B23" s="19" t="str">
        <x:v>G80</x:v>
      </x:c>
      <x:c r="C23" s="12" t="str"/>
      <x:c r="D23" s="6" t="n">
        <x:f>SUM('日経_G80'!C6,'日経_G80'!C8,'日経_G80'!C10,'日経_G80'!C12,'日経_G80'!C14,'日経_G80'!C16,'日経_G80'!C18,'日経_G80'!C20,'日経_G80'!C22,'日経_G80'!C24,'日経_G80'!C26,'日経_G80'!C28,'日経_G80'!C30,'日経_G80'!C32,'日経_G80'!C34,'日経_G80'!C36,'日経_G80'!C38,'日経_G80'!C40,'日経_G80'!C42,'日経_G80'!C44,'日経_G80'!C46,'日経_G80'!C48,'日経_G80'!C50,'日経_G80'!C52,'日経_G80'!C54,'日経_G80'!C56,'日経_G80'!C58)</x:f>
        <x:v>3937500</x:v>
      </x:c>
      <x:c r="E23" s="6" t="n">
        <x:f>SUM('日経_G80'!D6,'日経_G80'!D8,'日経_G80'!D10,'日経_G80'!D12,'日経_G80'!D14,'日経_G80'!D16,'日経_G80'!D18,'日経_G80'!D20,'日経_G80'!D22,'日経_G80'!D24,'日経_G80'!D26,'日経_G80'!D28,'日経_G80'!D30,'日経_G80'!D32,'日経_G80'!D34,'日経_G80'!D36,'日経_G80'!D38,'日経_G80'!D40,'日経_G80'!D42,'日経_G80'!D44,'日経_G80'!D46,'日経_G80'!D48,'日経_G80'!D50,'日経_G80'!D52,'日経_G80'!D54,'日経_G80'!D56,'日経_G80'!D58)</x:f>
        <x:v>2687500</x:v>
      </x:c>
      <x:c r="F23" s="6" t="n">
        <x:f>D23-E23</x:f>
        <x:v>1250000</x:v>
      </x:c>
      <x:c r="G23" s="11" t="n">
        <x:v>9</x:v>
      </x:c>
      <x:c r="H23" s="11" t="n">
        <x:v>0</x:v>
      </x:c>
      <x:c r="I23" s="6" t="n">
        <x:v>58833.333333333336</x:v>
      </x:c>
      <x:c r="J23" s="6" t="n">
        <x:v>111000</x:v>
      </x:c>
      <x:c r="K23" s="6" t="n">
        <x:v>-201000</x:v>
      </x:c>
      <x:c r="L23" s="6" t="n">
        <x:v>281000</x:v>
      </x:c>
      <x:c r="M23" s="6" t="n">
        <x:v>646000</x:v>
      </x:c>
    </x:row>
    <x:row r="24" ht="25" customHeight="1">
      <x:c r="A24" s="19" t="str">
        <x:v>日中27場</x:v>
      </x:c>
      <x:c r="B24" s="19" t="str">
        <x:v>R40</x:v>
      </x:c>
      <x:c r="C24" s="12" t="str"/>
      <x:c r="D24" s="6" t="n">
        <x:f>SUM('日経_R40'!C6,'日経_R40'!C8,'日経_R40'!C10,'日経_R40'!C12,'日経_R40'!C14,'日経_R40'!C16,'日経_R40'!C18,'日経_R40'!C20,'日経_R40'!C22,'日経_R40'!C24,'日経_R40'!C26,'日経_R40'!C28,'日経_R40'!C30,'日経_R40'!C32,'日経_R40'!C34,'日経_R40'!C36,'日経_R40'!C38,'日経_R40'!C40,'日経_R40'!C42,'日経_R40'!C44,'日経_R40'!C46,'日経_R40'!C48,'日経_R40'!C50,'日経_R40'!C52,'日経_R40'!C54,'日経_R40'!C56,'日経_R40'!C58)</x:f>
        <x:v>4578500</x:v>
      </x:c>
      <x:c r="E24" s="6" t="n">
        <x:f>SUM('日経_R40'!D6,'日経_R40'!D8,'日経_R40'!D10,'日経_R40'!D12,'日経_R40'!D14,'日経_R40'!D16,'日経_R40'!D18,'日経_R40'!D20,'日経_R40'!D22,'日経_R40'!D24,'日経_R40'!D26,'日経_R40'!D28,'日経_R40'!D30,'日経_R40'!D32,'日経_R40'!D34,'日経_R40'!D36,'日経_R40'!D38,'日経_R40'!D40,'日経_R40'!D42,'日経_R40'!D44,'日経_R40'!D46,'日経_R40'!D48,'日経_R40'!D50,'日経_R40'!D52,'日経_R40'!D54,'日経_R40'!D56,'日経_R40'!D58)</x:f>
        <x:v>2881000</x:v>
      </x:c>
      <x:c r="F24" s="6" t="n">
        <x:f>D24-E24</x:f>
        <x:v>1697500</x:v>
      </x:c>
      <x:c r="G24" s="11" t="n">
        <x:v>9</x:v>
      </x:c>
      <x:c r="H24" s="11" t="n">
        <x:v>0</x:v>
      </x:c>
      <x:c r="I24" s="6" t="n">
        <x:v>68500</x:v>
      </x:c>
      <x:c r="J24" s="6" t="n">
        <x:v>132500</x:v>
      </x:c>
      <x:c r="K24" s="6" t="n">
        <x:v>-204000</x:v>
      </x:c>
      <x:c r="L24" s="6" t="n">
        <x:v>274500</x:v>
      </x:c>
      <x:c r="M24" s="6" t="n">
        <x:v>718000</x:v>
      </x:c>
    </x:row>
    <x:row r="25" ht="25" customHeight="1">
      <x:c r="A25" s="19" t="str">
        <x:v>日中27場</x:v>
      </x:c>
      <x:c r="B25" s="19" t="str">
        <x:v>R80</x:v>
      </x:c>
      <x:c r="C25" s="12" t="str"/>
      <x:c r="D25" s="6" t="n">
        <x:f>SUM('日経_R80'!C6,'日経_R80'!C8,'日経_R80'!C10,'日経_R80'!C12,'日経_R80'!C14,'日経_R80'!C16,'日経_R80'!C18,'日経_R80'!C20,'日経_R80'!C22,'日経_R80'!C24,'日経_R80'!C26,'日経_R80'!C28,'日経_R80'!C30,'日経_R80'!C32,'日経_R80'!C34,'日経_R80'!C36,'日経_R80'!C38,'日経_R80'!C40,'日経_R80'!C42,'日経_R80'!C44,'日経_R80'!C46,'日経_R80'!C48,'日経_R80'!C50,'日経_R80'!C52,'日経_R80'!C54,'日経_R80'!C56,'日経_R80'!C58)</x:f>
        <x:v>4589500</x:v>
      </x:c>
      <x:c r="E25" s="6" t="n">
        <x:f>SUM('日経_R80'!D6,'日経_R80'!D8,'日経_R80'!D10,'日経_R80'!D12,'日経_R80'!D14,'日経_R80'!D16,'日経_R80'!D18,'日経_R80'!D20,'日経_R80'!D22,'日経_R80'!D24,'日経_R80'!D26,'日経_R80'!D28,'日経_R80'!D30,'日経_R80'!D32,'日経_R80'!D34,'日経_R80'!D36,'日経_R80'!D38,'日経_R80'!D40,'日経_R80'!D42,'日経_R80'!D44,'日経_R80'!D46,'日経_R80'!D48,'日経_R80'!D50,'日経_R80'!D52,'日経_R80'!D54,'日経_R80'!D56,'日経_R80'!D58)</x:f>
        <x:v>2853500</x:v>
      </x:c>
      <x:c r="F25" s="6" t="n">
        <x:f>D25-E25</x:f>
        <x:v>1736000</x:v>
      </x:c>
      <x:c r="G25" s="11" t="n">
        <x:v>9</x:v>
      </x:c>
      <x:c r="H25" s="11" t="n">
        <x:v>0</x:v>
      </x:c>
      <x:c r="I25" s="6" t="n">
        <x:v>61277.77777777778</x:v>
      </x:c>
      <x:c r="J25" s="6" t="n">
        <x:v>119500</x:v>
      </x:c>
      <x:c r="K25" s="6" t="n">
        <x:v>-196000</x:v>
      </x:c>
      <x:c r="L25" s="6" t="n">
        <x:v>294000</x:v>
      </x:c>
      <x:c r="M25" s="6" t="n">
        <x:v>779000</x:v>
      </x:c>
    </x:row>
    <x:row r="26" ht="25" customHeight="1">
      <x:c r="A26" s="19" t="str">
        <x:v>日中27場</x:v>
      </x:c>
      <x:c r="B26" s="19" t="str">
        <x:v>E40</x:v>
      </x:c>
      <x:c r="C26" s="12" t="str"/>
      <x:c r="D26" s="6" t="n">
        <x:f>SUM('日経_E40'!C6,'日経_E40'!C8,'日経_E40'!C10,'日経_E40'!C12,'日経_E40'!C14,'日経_E40'!C16,'日経_E40'!C18,'日経_E40'!C20,'日経_E40'!C22,'日経_E40'!C24,'日経_E40'!C26,'日経_E40'!C28,'日経_E40'!C30,'日経_E40'!C32,'日経_E40'!C34,'日経_E40'!C36,'日経_E40'!C38,'日経_E40'!C40,'日経_E40'!C42,'日経_E40'!C44,'日経_E40'!C46,'日経_E40'!C48,'日経_E40'!C50,'日経_E40'!C52,'日経_E40'!C54,'日経_E40'!C56,'日経_E40'!C58)</x:f>
        <x:v>4457500</x:v>
      </x:c>
      <x:c r="E26" s="6" t="n">
        <x:f>SUM('日経_E40'!D6,'日経_E40'!D8,'日経_E40'!D10,'日経_E40'!D12,'日経_E40'!D14,'日経_E40'!D16,'日経_E40'!D18,'日経_E40'!D20,'日経_E40'!D22,'日経_E40'!D24,'日経_E40'!D26,'日経_E40'!D28,'日経_E40'!D30,'日経_E40'!D32,'日経_E40'!D34,'日経_E40'!D36,'日経_E40'!D38,'日経_E40'!D40,'日経_E40'!D42,'日経_E40'!D44,'日経_E40'!D46,'日経_E40'!D48,'日経_E40'!D50,'日経_E40'!D52,'日経_E40'!D54,'日経_E40'!D56,'日経_E40'!D58)</x:f>
        <x:v>2873000</x:v>
      </x:c>
      <x:c r="F26" s="6" t="n">
        <x:f>D26-E26</x:f>
        <x:v>1584500</x:v>
      </x:c>
      <x:c r="G26" s="11" t="n">
        <x:v>9</x:v>
      </x:c>
      <x:c r="H26" s="11" t="n">
        <x:v>0</x:v>
      </x:c>
      <x:c r="I26" s="6" t="n">
        <x:v>74833.33333333333</x:v>
      </x:c>
      <x:c r="J26" s="6" t="n">
        <x:v>140500</x:v>
      </x:c>
      <x:c r="K26" s="6" t="n">
        <x:v>-209000</x:v>
      </x:c>
      <x:c r="L26" s="6" t="n">
        <x:v>285500</x:v>
      </x:c>
      <x:c r="M26" s="6" t="n">
        <x:v>645000</x:v>
      </x:c>
    </x:row>
    <x:row r="27" ht="25" customHeight="1">
      <x:c r="A27" s="19" t="str">
        <x:v>日中27場</x:v>
      </x:c>
      <x:c r="B27" s="19" t="str">
        <x:v>E80</x:v>
      </x:c>
      <x:c r="C27" s="12" t="str"/>
      <x:c r="D27" s="6" t="n">
        <x:f>SUM('日経_E80'!C6,'日経_E80'!C8,'日経_E80'!C10,'日経_E80'!C12,'日経_E80'!C14,'日経_E80'!C16,'日経_E80'!C18,'日経_E80'!C20,'日経_E80'!C22,'日経_E80'!C24,'日経_E80'!C26,'日経_E80'!C28,'日経_E80'!C30,'日経_E80'!C32,'日経_E80'!C34,'日経_E80'!C36,'日経_E80'!C38,'日経_E80'!C40,'日経_E80'!C42,'日経_E80'!C44,'日経_E80'!C46,'日経_E80'!C48,'日経_E80'!C50,'日経_E80'!C52,'日経_E80'!C54,'日経_E80'!C56,'日経_E80'!C58)</x:f>
        <x:v>4482500</x:v>
      </x:c>
      <x:c r="E27" s="6" t="n">
        <x:f>SUM('日経_E80'!D6,'日経_E80'!D8,'日経_E80'!D10,'日経_E80'!D12,'日経_E80'!D14,'日経_E80'!D16,'日経_E80'!D18,'日経_E80'!D20,'日経_E80'!D22,'日経_E80'!D24,'日経_E80'!D26,'日経_E80'!D28,'日経_E80'!D30,'日経_E80'!D32,'日経_E80'!D34,'日経_E80'!D36,'日経_E80'!D38,'日経_E80'!D40,'日経_E80'!D42,'日経_E80'!D44,'日経_E80'!D46,'日経_E80'!D48,'日経_E80'!D50,'日経_E80'!D52,'日経_E80'!D54,'日経_E80'!D56,'日経_E80'!D58)</x:f>
        <x:v>2860500</x:v>
      </x:c>
      <x:c r="F27" s="6" t="n">
        <x:f>D27-E27</x:f>
        <x:v>1622000</x:v>
      </x:c>
      <x:c r="G27" s="11" t="n">
        <x:v>9</x:v>
      </x:c>
      <x:c r="H27" s="11" t="n">
        <x:v>0</x:v>
      </x:c>
      <x:c r="I27" s="6" t="n">
        <x:v>67500</x:v>
      </x:c>
      <x:c r="J27" s="6" t="n">
        <x:v>116500</x:v>
      </x:c>
      <x:c r="K27" s="6" t="n">
        <x:v>-201000</x:v>
      </x:c>
      <x:c r="L27" s="6" t="n">
        <x:v>305000</x:v>
      </x:c>
      <x:c r="M27" s="6" t="n">
        <x:v>697500</x:v>
      </x:c>
    </x:row>
    <x:row r="28" ht="25" customHeight="1">
      <x:c r="A28" s="19" t="str">
        <x:v>夜間26場</x:v>
      </x:c>
      <x:c r="B28" s="19" t="str">
        <x:v>B00</x:v>
      </x:c>
      <x:c r="C28" s="12" t="str"/>
      <x:c r="D28" s="6" t="n">
        <x:f>SUM('日経_B00'!C7,'日経_B00'!C9,'日経_B00'!C11,'日経_B00'!C13,'日経_B00'!C15,'日経_B00'!C17,'日経_B00'!C19,'日経_B00'!C21,'日経_B00'!C23,'日経_B00'!C25,'日経_B00'!C27,'日経_B00'!C29,'日経_B00'!C31,'日経_B00'!C33,'日経_B00'!C35,'日経_B00'!C37,'日経_B00'!C39,'日経_B00'!C41,'日経_B00'!C43,'日経_B00'!C45,'日経_B00'!C47,'日経_B00'!C49,'日経_B00'!C51,'日経_B00'!C53,'日経_B00'!C55,'日経_B00'!C57)</x:f>
        <x:v>2742000</x:v>
      </x:c>
      <x:c r="E28" s="6" t="n">
        <x:f>SUM('日経_B00'!D7,'日経_B00'!D9,'日経_B00'!D11,'日経_B00'!D13,'日経_B00'!D15,'日経_B00'!D17,'日経_B00'!D19,'日経_B00'!D21,'日経_B00'!D23,'日経_B00'!D25,'日経_B00'!D27,'日経_B00'!D29,'日経_B00'!D31,'日経_B00'!D33,'日経_B00'!D35,'日経_B00'!D37,'日経_B00'!D39,'日経_B00'!D41,'日経_B00'!D43,'日経_B00'!D45,'日経_B00'!D47,'日経_B00'!D49,'日経_B00'!D51,'日経_B00'!D53,'日経_B00'!D55,'日経_B00'!D57)</x:f>
        <x:v>1281000</x:v>
      </x:c>
      <x:c r="F28" s="6" t="n">
        <x:f>D28-E28</x:f>
        <x:v>1461000</x:v>
      </x:c>
      <x:c r="G28" s="11" t="n">
        <x:v>8</x:v>
      </x:c>
      <x:c r="H28" s="11" t="n">
        <x:v>0</x:v>
      </x:c>
      <x:c r="I28" s="6" t="n">
        <x:v>27875</x:v>
      </x:c>
      <x:c r="J28" s="6" t="n">
        <x:v>45000</x:v>
      </x:c>
      <x:c r="K28" s="6" t="n">
        <x:v>-105000</x:v>
      </x:c>
      <x:c r="L28" s="6" t="n">
        <x:v>162000</x:v>
      </x:c>
      <x:c r="M28" s="6" t="n">
        <x:v>720000</x:v>
      </x:c>
    </x:row>
    <x:row r="29" ht="25" customHeight="1">
      <x:c r="A29" s="19" t="str">
        <x:v>夜間26場</x:v>
      </x:c>
      <x:c r="B29" s="19" t="str">
        <x:v>F00</x:v>
      </x:c>
      <x:c r="C29" s="12" t="str">
        <x:v>固定昼夜合成</x:v>
      </x:c>
      <x:c r="D29" s="6" t="n">
        <x:f>SUM('日経_F00'!C7,'日経_F00'!C9,'日経_F00'!C11,'日経_F00'!C13,'日経_F00'!C15,'日経_F00'!C17,'日経_F00'!C19,'日経_F00'!C21,'日経_F00'!C23,'日経_F00'!C25,'日経_F00'!C27,'日経_F00'!C29,'日経_F00'!C31,'日経_F00'!C33,'日経_F00'!C35,'日経_F00'!C37,'日経_F00'!C39,'日経_F00'!C41,'日経_F00'!C43,'日経_F00'!C45,'日経_F00'!C47,'日経_F00'!C49,'日経_F00'!C51,'日経_F00'!C53,'日経_F00'!C55,'日経_F00'!C57)</x:f>
        <x:v>2564000</x:v>
      </x:c>
      <x:c r="E29" s="6" t="n">
        <x:f>SUM('日経_F00'!D7,'日経_F00'!D9,'日経_F00'!D11,'日経_F00'!D13,'日経_F00'!D15,'日経_F00'!D17,'日経_F00'!D19,'日経_F00'!D21,'日経_F00'!D23,'日経_F00'!D25,'日経_F00'!D27,'日経_F00'!D29,'日経_F00'!D31,'日経_F00'!D33,'日経_F00'!D35,'日経_F00'!D37,'日経_F00'!D39,'日経_F00'!D41,'日経_F00'!D43,'日経_F00'!D45,'日経_F00'!D47,'日経_F00'!D49,'日経_F00'!D51,'日経_F00'!D53,'日経_F00'!D55,'日経_F00'!D57)</x:f>
        <x:v>1315500</x:v>
      </x:c>
      <x:c r="F29" s="6" t="n">
        <x:f>D29-E29</x:f>
        <x:v>1248500</x:v>
      </x:c>
      <x:c r="G29" s="11" t="n">
        <x:v>8</x:v>
      </x:c>
      <x:c r="H29" s="11" t="n">
        <x:v>0</x:v>
      </x:c>
      <x:c r="I29" s="6" t="n">
        <x:v>32562.5</x:v>
      </x:c>
      <x:c r="J29" s="6" t="n">
        <x:v>69500</x:v>
      </x:c>
      <x:c r="K29" s="6" t="n">
        <x:v>-96000</x:v>
      </x:c>
      <x:c r="L29" s="6" t="n">
        <x:v>133500</x:v>
      </x:c>
      <x:c r="M29" s="6" t="n">
        <x:v>572500</x:v>
      </x:c>
    </x:row>
    <x:row r="30" ht="25" customHeight="1">
      <x:c r="A30" s="19" t="str">
        <x:v>夜間26場</x:v>
      </x:c>
      <x:c r="B30" s="19" t="str">
        <x:v>C50</x:v>
      </x:c>
      <x:c r="C30" s="12" t="str"/>
      <x:c r="D30" s="6" t="n">
        <x:f>SUM('日経_C50'!C7,'日経_C50'!C9,'日経_C50'!C11,'日経_C50'!C13,'日経_C50'!C15,'日経_C50'!C17,'日経_C50'!C19,'日経_C50'!C21,'日経_C50'!C23,'日経_C50'!C25,'日経_C50'!C27,'日経_C50'!C29,'日経_C50'!C31,'日経_C50'!C33,'日経_C50'!C35,'日経_C50'!C37,'日経_C50'!C39,'日経_C50'!C41,'日経_C50'!C43,'日経_C50'!C45,'日経_C50'!C47,'日経_C50'!C49,'日経_C50'!C51,'日経_C50'!C53,'日経_C50'!C55,'日経_C50'!C57)</x:f>
        <x:v>1371000</x:v>
      </x:c>
      <x:c r="E30" s="6" t="n">
        <x:f>SUM('日経_C50'!D7,'日経_C50'!D9,'日経_C50'!D11,'日経_C50'!D13,'日経_C50'!D15,'日経_C50'!D17,'日経_C50'!D19,'日経_C50'!D21,'日経_C50'!D23,'日経_C50'!D25,'日経_C50'!D27,'日経_C50'!D29,'日経_C50'!D31,'日経_C50'!D33,'日経_C50'!D35,'日経_C50'!D37,'日経_C50'!D39,'日経_C50'!D41,'日経_C50'!D43,'日経_C50'!D45,'日経_C50'!D47,'日経_C50'!D49,'日経_C50'!D51,'日経_C50'!D53,'日経_C50'!D55,'日経_C50'!D57)</x:f>
        <x:v>640500</x:v>
      </x:c>
      <x:c r="F30" s="6" t="n">
        <x:f>D30-E30</x:f>
        <x:v>730500</x:v>
      </x:c>
      <x:c r="G30" s="11" t="n">
        <x:v>8</x:v>
      </x:c>
      <x:c r="H30" s="11" t="n">
        <x:v>0</x:v>
      </x:c>
      <x:c r="I30" s="6" t="n">
        <x:v>13937.5</x:v>
      </x:c>
      <x:c r="J30" s="6" t="n">
        <x:v>22500</x:v>
      </x:c>
      <x:c r="K30" s="6" t="n">
        <x:v>-52500</x:v>
      </x:c>
      <x:c r="L30" s="6" t="n">
        <x:v>81000</x:v>
      </x:c>
      <x:c r="M30" s="6" t="n">
        <x:v>360000</x:v>
      </x:c>
    </x:row>
    <x:row r="31" ht="25" customHeight="1">
      <x:c r="A31" s="19" t="str">
        <x:v>夜間26場</x:v>
      </x:c>
      <x:c r="B31" s="19" t="str">
        <x:v>D40</x:v>
      </x:c>
      <x:c r="C31" s="12" t="str"/>
      <x:c r="D31" s="6" t="n">
        <x:f>SUM('日経_D40'!C7,'日経_D40'!C9,'日経_D40'!C11,'日経_D40'!C13,'日経_D40'!C15,'日経_D40'!C17,'日経_D40'!C19,'日経_D40'!C21,'日経_D40'!C23,'日経_D40'!C25,'日経_D40'!C27,'日経_D40'!C29,'日経_D40'!C31,'日経_D40'!C33,'日経_D40'!C35,'日経_D40'!C37,'日経_D40'!C39,'日経_D40'!C41,'日経_D40'!C43,'日経_D40'!C45,'日経_D40'!C47,'日経_D40'!C49,'日経_D40'!C51,'日経_D40'!C53,'日経_D40'!C55,'日経_D40'!C57)</x:f>
        <x:v>2079000</x:v>
      </x:c>
      <x:c r="E31" s="6" t="n">
        <x:f>SUM('日経_D40'!D7,'日経_D40'!D9,'日経_D40'!D11,'日経_D40'!D13,'日経_D40'!D15,'日経_D40'!D17,'日経_D40'!D19,'日経_D40'!D21,'日経_D40'!D23,'日経_D40'!D25,'日経_D40'!D27,'日経_D40'!D29,'日経_D40'!D31,'日経_D40'!D33,'日経_D40'!D35,'日経_D40'!D37,'日経_D40'!D39,'日経_D40'!D41,'日経_D40'!D43,'日経_D40'!D45,'日経_D40'!D47,'日経_D40'!D49,'日経_D40'!D51,'日経_D40'!D53,'日経_D40'!D55,'日経_D40'!D57)</x:f>
        <x:v>1311000</x:v>
      </x:c>
      <x:c r="F31" s="6" t="n">
        <x:f>D31-E31</x:f>
        <x:v>768000</x:v>
      </x:c>
      <x:c r="G31" s="11" t="n">
        <x:v>12</x:v>
      </x:c>
      <x:c r="H31" s="11" t="n">
        <x:v>0</x:v>
      </x:c>
      <x:c r="I31" s="6" t="n">
        <x:v>23291.666666666668</x:v>
      </x:c>
      <x:c r="J31" s="6" t="n">
        <x:v>37500</x:v>
      </x:c>
      <x:c r="K31" s="6" t="n">
        <x:v>-78500</x:v>
      </x:c>
      <x:c r="L31" s="6" t="n">
        <x:v>116500</x:v>
      </x:c>
      <x:c r="M31" s="6" t="n">
        <x:v>219500</x:v>
      </x:c>
    </x:row>
    <x:row r="32" ht="25" customHeight="1">
      <x:c r="A32" s="19" t="str">
        <x:v>夜間26場</x:v>
      </x:c>
      <x:c r="B32" s="19" t="str">
        <x:v>D80</x:v>
      </x:c>
      <x:c r="C32" s="12" t="str">
        <x:v>昼選択・夜選択</x:v>
      </x:c>
      <x:c r="D32" s="6" t="n">
        <x:f>SUM('日経_D80'!C7,'日経_D80'!C9,'日経_D80'!C11,'日経_D80'!C13,'日経_D80'!C15,'日経_D80'!C17,'日経_D80'!C19,'日経_D80'!C21,'日経_D80'!C23,'日経_D80'!C25,'日経_D80'!C27,'日経_D80'!C29,'日経_D80'!C31,'日経_D80'!C33,'日経_D80'!C35,'日経_D80'!C37,'日経_D80'!C39,'日経_D80'!C41,'日経_D80'!C43,'日経_D80'!C45,'日経_D80'!C47,'日経_D80'!C49,'日経_D80'!C51,'日経_D80'!C53,'日経_D80'!C55,'日経_D80'!C57)</x:f>
        <x:v>2564000</x:v>
      </x:c>
      <x:c r="E32" s="6" t="n">
        <x:f>SUM('日経_D80'!D7,'日経_D80'!D9,'日経_D80'!D11,'日経_D80'!D13,'日経_D80'!D15,'日経_D80'!D17,'日経_D80'!D19,'日経_D80'!D21,'日経_D80'!D23,'日経_D80'!D25,'日経_D80'!D27,'日経_D80'!D29,'日経_D80'!D31,'日経_D80'!D33,'日経_D80'!D35,'日経_D80'!D37,'日経_D80'!D39,'日経_D80'!D41,'日経_D80'!D43,'日経_D80'!D45,'日経_D80'!D47,'日経_D80'!D49,'日経_D80'!D51,'日経_D80'!D53,'日経_D80'!D55,'日経_D80'!D57)</x:f>
        <x:v>1315500</x:v>
      </x:c>
      <x:c r="F32" s="6" t="n">
        <x:f>D32-E32</x:f>
        <x:v>1248500</x:v>
      </x:c>
      <x:c r="G32" s="11" t="n">
        <x:v>8</x:v>
      </x:c>
      <x:c r="H32" s="11" t="n">
        <x:v>0</x:v>
      </x:c>
      <x:c r="I32" s="6" t="n">
        <x:v>32562.5</x:v>
      </x:c>
      <x:c r="J32" s="6" t="n">
        <x:v>69500</x:v>
      </x:c>
      <x:c r="K32" s="6" t="n">
        <x:v>-96000</x:v>
      </x:c>
      <x:c r="L32" s="6" t="n">
        <x:v>133500</x:v>
      </x:c>
      <x:c r="M32" s="6" t="n">
        <x:v>572500</x:v>
      </x:c>
    </x:row>
    <x:row r="33" ht="25" customHeight="1">
      <x:c r="A33" s="19" t="str">
        <x:v>夜間26場</x:v>
      </x:c>
      <x:c r="B33" s="19" t="str">
        <x:v>G40</x:v>
      </x:c>
      <x:c r="C33" s="12" t="str"/>
      <x:c r="D33" s="6" t="n">
        <x:f>SUM('日経_G40'!C7,'日経_G40'!C9,'日経_G40'!C11,'日経_G40'!C13,'日経_G40'!C15,'日経_G40'!C17,'日経_G40'!C19,'日経_G40'!C21,'日経_G40'!C23,'日経_G40'!C25,'日経_G40'!C27,'日経_G40'!C29,'日経_G40'!C31,'日経_G40'!C33,'日経_G40'!C35,'日経_G40'!C37,'日経_G40'!C39,'日経_G40'!C41,'日経_G40'!C43,'日経_G40'!C45,'日経_G40'!C47,'日経_G40'!C49,'日経_G40'!C51,'日経_G40'!C53,'日経_G40'!C55,'日経_G40'!C57)</x:f>
        <x:v>2407000</x:v>
      </x:c>
      <x:c r="E33" s="6" t="n">
        <x:f>SUM('日経_G40'!D7,'日経_G40'!D9,'日経_G40'!D11,'日経_G40'!D13,'日経_G40'!D15,'日経_G40'!D17,'日経_G40'!D19,'日経_G40'!D21,'日経_G40'!D23,'日経_G40'!D25,'日経_G40'!D27,'日経_G40'!D29,'日経_G40'!D31,'日経_G40'!D33,'日経_G40'!D35,'日経_G40'!D37,'日経_G40'!D39,'日経_G40'!D41,'日経_G40'!D43,'日経_G40'!D45,'日経_G40'!D47,'日経_G40'!D49,'日経_G40'!D51,'日経_G40'!D53,'日経_G40'!D55,'日経_G40'!D57)</x:f>
        <x:v>1273500</x:v>
      </x:c>
      <x:c r="F33" s="6" t="n">
        <x:f>D33-E33</x:f>
        <x:v>1133500</x:v>
      </x:c>
      <x:c r="G33" s="11" t="n">
        <x:v>11</x:v>
      </x:c>
      <x:c r="H33" s="11" t="n">
        <x:v>0</x:v>
      </x:c>
      <x:c r="I33" s="6" t="n">
        <x:v>25272.727272727272</x:v>
      </x:c>
      <x:c r="J33" s="6" t="n">
        <x:v>62000</x:v>
      </x:c>
      <x:c r="K33" s="6" t="n">
        <x:v>-92500</x:v>
      </x:c>
      <x:c r="L33" s="6" t="n">
        <x:v>121500</x:v>
      </x:c>
      <x:c r="M33" s="6" t="n">
        <x:v>508500</x:v>
      </x:c>
    </x:row>
    <x:row r="34" ht="25" customHeight="1">
      <x:c r="A34" s="19" t="str">
        <x:v>夜間26場</x:v>
      </x:c>
      <x:c r="B34" s="19" t="str">
        <x:v>G80</x:v>
      </x:c>
      <x:c r="C34" s="12" t="str"/>
      <x:c r="D34" s="6" t="n">
        <x:f>SUM('日経_G80'!C7,'日経_G80'!C9,'日経_G80'!C11,'日経_G80'!C13,'日経_G80'!C15,'日経_G80'!C17,'日経_G80'!C19,'日経_G80'!C21,'日経_G80'!C23,'日経_G80'!C25,'日経_G80'!C27,'日経_G80'!C29,'日経_G80'!C31,'日経_G80'!C33,'日経_G80'!C35,'日経_G80'!C37,'日経_G80'!C39,'日経_G80'!C41,'日経_G80'!C43,'日経_G80'!C45,'日経_G80'!C47,'日経_G80'!C49,'日経_G80'!C51,'日経_G80'!C53,'日経_G80'!C55,'日経_G80'!C57)</x:f>
        <x:v>2682000</x:v>
      </x:c>
      <x:c r="E34" s="6" t="n">
        <x:f>SUM('日経_G80'!D7,'日経_G80'!D9,'日経_G80'!D11,'日経_G80'!D13,'日経_G80'!D15,'日経_G80'!D17,'日経_G80'!D19,'日経_G80'!D21,'日経_G80'!D23,'日経_G80'!D25,'日経_G80'!D27,'日経_G80'!D29,'日経_G80'!D31,'日経_G80'!D33,'日経_G80'!D35,'日経_G80'!D37,'日経_G80'!D39,'日経_G80'!D41,'日経_G80'!D43,'日経_G80'!D45,'日経_G80'!D47,'日経_G80'!D49,'日経_G80'!D51,'日経_G80'!D53,'日経_G80'!D55,'日経_G80'!D57)</x:f>
        <x:v>1258500</x:v>
      </x:c>
      <x:c r="F34" s="6" t="n">
        <x:f>D34-E34</x:f>
        <x:v>1423500</x:v>
      </x:c>
      <x:c r="G34" s="11" t="n">
        <x:v>8</x:v>
      </x:c>
      <x:c r="H34" s="11" t="n">
        <x:v>0</x:v>
      </x:c>
      <x:c r="I34" s="6" t="n">
        <x:v>33437.5</x:v>
      </x:c>
      <x:c r="J34" s="6" t="n">
        <x:v>72000</x:v>
      </x:c>
      <x:c r="K34" s="6" t="n">
        <x:v>-100500</x:v>
      </x:c>
      <x:c r="L34" s="6" t="n">
        <x:v>154000</x:v>
      </x:c>
      <x:c r="M34" s="6" t="n">
        <x:v>667000</x:v>
      </x:c>
    </x:row>
    <x:row r="35" ht="25" customHeight="1">
      <x:c r="A35" s="19" t="str">
        <x:v>夜間26場</x:v>
      </x:c>
      <x:c r="B35" s="19" t="str">
        <x:v>R40</x:v>
      </x:c>
      <x:c r="C35" s="12" t="str"/>
      <x:c r="D35" s="6" t="n">
        <x:f>SUM('日経_R40'!C7,'日経_R40'!C9,'日経_R40'!C11,'日経_R40'!C13,'日経_R40'!C15,'日経_R40'!C17,'日経_R40'!C19,'日経_R40'!C21,'日経_R40'!C23,'日経_R40'!C25,'日経_R40'!C27,'日経_R40'!C29,'日経_R40'!C31,'日経_R40'!C33,'日経_R40'!C35,'日経_R40'!C37,'日経_R40'!C39,'日経_R40'!C41,'日経_R40'!C43,'日経_R40'!C45,'日経_R40'!C47,'日経_R40'!C49,'日経_R40'!C51,'日経_R40'!C53,'日経_R40'!C55,'日経_R40'!C57)</x:f>
        <x:v>2817000</x:v>
      </x:c>
      <x:c r="E35" s="6" t="n">
        <x:f>SUM('日経_R40'!D7,'日経_R40'!D9,'日経_R40'!D11,'日経_R40'!D13,'日経_R40'!D15,'日経_R40'!D17,'日経_R40'!D19,'日経_R40'!D21,'日経_R40'!D23,'日経_R40'!D25,'日経_R40'!D27,'日経_R40'!D29,'日経_R40'!D31,'日経_R40'!D33,'日経_R40'!D35,'日経_R40'!D37,'日経_R40'!D39,'日経_R40'!D41,'日経_R40'!D43,'日経_R40'!D45,'日経_R40'!D47,'日経_R40'!D49,'日経_R40'!D51,'日経_R40'!D53,'日経_R40'!D55,'日経_R40'!D57)</x:f>
        <x:v>1442000</x:v>
      </x:c>
      <x:c r="F35" s="6" t="n">
        <x:f>D35-E35</x:f>
        <x:v>1375000</x:v>
      </x:c>
      <x:c r="G35" s="11" t="n">
        <x:v>10</x:v>
      </x:c>
      <x:c r="H35" s="11" t="n">
        <x:v>0</x:v>
      </x:c>
      <x:c r="I35" s="6" t="n">
        <x:v>24900</x:v>
      </x:c>
      <x:c r="J35" s="6" t="n">
        <x:v>45000</x:v>
      </x:c>
      <x:c r="K35" s="6" t="n">
        <x:v>-102500</x:v>
      </x:c>
      <x:c r="L35" s="6" t="n">
        <x:v>165000</x:v>
      </x:c>
      <x:c r="M35" s="6" t="n">
        <x:v>643500</x:v>
      </x:c>
    </x:row>
    <x:row r="36" ht="25" customHeight="1">
      <x:c r="A36" s="19" t="str">
        <x:v>夜間26場</x:v>
      </x:c>
      <x:c r="B36" s="19" t="str">
        <x:v>R80</x:v>
      </x:c>
      <x:c r="C36" s="12" t="str"/>
      <x:c r="D36" s="6" t="n">
        <x:f>SUM('日経_R80'!C7,'日経_R80'!C9,'日経_R80'!C11,'日経_R80'!C13,'日経_R80'!C15,'日経_R80'!C17,'日経_R80'!C19,'日経_R80'!C21,'日経_R80'!C23,'日経_R80'!C25,'日経_R80'!C27,'日経_R80'!C29,'日経_R80'!C31,'日経_R80'!C33,'日経_R80'!C35,'日経_R80'!C37,'日経_R80'!C39,'日経_R80'!C41,'日経_R80'!C43,'日経_R80'!C45,'日経_R80'!C47,'日経_R80'!C49,'日経_R80'!C51,'日経_R80'!C53,'日経_R80'!C55,'日経_R80'!C57)</x:f>
        <x:v>2790000</x:v>
      </x:c>
      <x:c r="E36" s="6" t="n">
        <x:f>SUM('日経_R80'!D7,'日経_R80'!D9,'日経_R80'!D11,'日経_R80'!D13,'日経_R80'!D15,'日経_R80'!D17,'日経_R80'!D19,'日経_R80'!D21,'日経_R80'!D23,'日経_R80'!D25,'日経_R80'!D27,'日経_R80'!D29,'日経_R80'!D31,'日経_R80'!D33,'日経_R80'!D35,'日経_R80'!D37,'日経_R80'!D39,'日経_R80'!D41,'日経_R80'!D43,'日経_R80'!D45,'日経_R80'!D47,'日経_R80'!D49,'日経_R80'!D51,'日経_R80'!D53,'日経_R80'!D55,'日経_R80'!D57)</x:f>
        <x:v>1369500</x:v>
      </x:c>
      <x:c r="F36" s="6" t="n">
        <x:f>D36-E36</x:f>
        <x:v>1420500</x:v>
      </x:c>
      <x:c r="G36" s="11" t="n">
        <x:v>9</x:v>
      </x:c>
      <x:c r="H36" s="11" t="n">
        <x:v>0</x:v>
      </x:c>
      <x:c r="I36" s="6" t="n">
        <x:v>29166.666666666668</x:v>
      </x:c>
      <x:c r="J36" s="6" t="n">
        <x:v>45000</x:v>
      </x:c>
      <x:c r="K36" s="6" t="n">
        <x:v>-104000</x:v>
      </x:c>
      <x:c r="L36" s="6" t="n">
        <x:v>165000</x:v>
      </x:c>
      <x:c r="M36" s="6" t="n">
        <x:v>685500</x:v>
      </x:c>
    </x:row>
    <x:row r="37" ht="25" customHeight="1">
      <x:c r="A37" s="19" t="str">
        <x:v>夜間26場</x:v>
      </x:c>
      <x:c r="B37" s="19" t="str">
        <x:v>E40</x:v>
      </x:c>
      <x:c r="C37" s="12" t="str"/>
      <x:c r="D37" s="6" t="n">
        <x:f>SUM('日経_E40'!C7,'日経_E40'!C9,'日経_E40'!C11,'日経_E40'!C13,'日経_E40'!C15,'日経_E40'!C17,'日経_E40'!C19,'日経_E40'!C21,'日経_E40'!C23,'日経_E40'!C25,'日経_E40'!C27,'日経_E40'!C29,'日経_E40'!C31,'日経_E40'!C33,'日経_E40'!C35,'日経_E40'!C37,'日経_E40'!C39,'日経_E40'!C41,'日経_E40'!C43,'日経_E40'!C45,'日経_E40'!C47,'日経_E40'!C49,'日経_E40'!C51,'日経_E40'!C53,'日経_E40'!C55,'日経_E40'!C57)</x:f>
        <x:v>2685500</x:v>
      </x:c>
      <x:c r="E37" s="6" t="n">
        <x:f>SUM('日経_E40'!D7,'日経_E40'!D9,'日経_E40'!D11,'日経_E40'!D13,'日経_E40'!D15,'日経_E40'!D17,'日経_E40'!D19,'日経_E40'!D21,'日経_E40'!D23,'日経_E40'!D25,'日経_E40'!D27,'日経_E40'!D29,'日経_E40'!D31,'日経_E40'!D33,'日経_E40'!D35,'日経_E40'!D37,'日経_E40'!D39,'日経_E40'!D41,'日経_E40'!D43,'日経_E40'!D45,'日経_E40'!D47,'日経_E40'!D49,'日経_E40'!D51,'日経_E40'!D53,'日経_E40'!D55,'日経_E40'!D57)</x:f>
        <x:v>1450500</x:v>
      </x:c>
      <x:c r="F37" s="6" t="n">
        <x:f>D37-E37</x:f>
        <x:v>1235000</x:v>
      </x:c>
      <x:c r="G37" s="11" t="n">
        <x:v>9</x:v>
      </x:c>
      <x:c r="H37" s="11" t="n">
        <x:v>0</x:v>
      </x:c>
      <x:c r="I37" s="6" t="n">
        <x:v>30888.88888888889</x:v>
      </x:c>
      <x:c r="J37" s="6" t="n">
        <x:v>59000</x:v>
      </x:c>
      <x:c r="K37" s="6" t="n">
        <x:v>-113500</x:v>
      </x:c>
      <x:c r="L37" s="6" t="n">
        <x:v>168500</x:v>
      </x:c>
      <x:c r="M37" s="6" t="n">
        <x:v>547500</x:v>
      </x:c>
    </x:row>
    <x:row r="38" ht="25" customHeight="1">
      <x:c r="A38" s="19" t="str">
        <x:v>夜間26場</x:v>
      </x:c>
      <x:c r="B38" s="19" t="str">
        <x:v>E80</x:v>
      </x:c>
      <x:c r="C38" s="12" t="str"/>
      <x:c r="D38" s="6" t="n">
        <x:f>SUM('日経_E80'!C7,'日経_E80'!C9,'日経_E80'!C11,'日経_E80'!C13,'日経_E80'!C15,'日経_E80'!C17,'日経_E80'!C19,'日経_E80'!C21,'日経_E80'!C23,'日経_E80'!C25,'日経_E80'!C27,'日経_E80'!C29,'日経_E80'!C31,'日経_E80'!C33,'日経_E80'!C35,'日経_E80'!C37,'日経_E80'!C39,'日経_E80'!C41,'日経_E80'!C43,'日経_E80'!C45,'日経_E80'!C47,'日経_E80'!C49,'日経_E80'!C51,'日経_E80'!C53,'日経_E80'!C55,'日経_E80'!C57)</x:f>
        <x:v>2724000</x:v>
      </x:c>
      <x:c r="E38" s="6" t="n">
        <x:f>SUM('日経_E80'!D7,'日経_E80'!D9,'日経_E80'!D11,'日経_E80'!D13,'日経_E80'!D15,'日経_E80'!D17,'日経_E80'!D19,'日経_E80'!D21,'日経_E80'!D23,'日経_E80'!D25,'日経_E80'!D27,'日経_E80'!D29,'日経_E80'!D31,'日経_E80'!D33,'日経_E80'!D35,'日経_E80'!D37,'日経_E80'!D39,'日経_E80'!D41,'日経_E80'!D43,'日経_E80'!D45,'日経_E80'!D47,'日経_E80'!D49,'日経_E80'!D51,'日経_E80'!D53,'日経_E80'!D55,'日経_E80'!D57)</x:f>
        <x:v>1334500</x:v>
      </x:c>
      <x:c r="F38" s="6" t="n">
        <x:f>D38-E38</x:f>
        <x:v>1389500</x:v>
      </x:c>
      <x:c r="G38" s="11" t="n">
        <x:v>8</x:v>
      </x:c>
      <x:c r="H38" s="11" t="n">
        <x:v>0</x:v>
      </x:c>
      <x:c r="I38" s="6" t="n">
        <x:v>33062.5</x:v>
      </x:c>
      <x:c r="J38" s="6" t="n">
        <x:v>69000</x:v>
      </x:c>
      <x:c r="K38" s="6" t="n">
        <x:v>-108500</x:v>
      </x:c>
      <x:c r="L38" s="6" t="n">
        <x:v>168500</x:v>
      </x:c>
      <x:c r="M38" s="6" t="n">
        <x:v>647500</x:v>
      </x:c>
    </x:row>
    <x:row r="39" ht="25" customHeight="1">
      <x:c r="A39" s="19" t="str">
        <x:v>前40場</x:v>
      </x:c>
      <x:c r="B39" s="19" t="str">
        <x:v>B00</x:v>
      </x:c>
      <x:c r="C39" s="12" t="str"/>
      <x:c r="D39" s="6" t="n">
        <x:f>SUM('日経_B00'!C6,'日経_B00'!C7,'日経_B00'!C8,'日経_B00'!C9,'日経_B00'!C10,'日経_B00'!C11,'日経_B00'!C12,'日経_B00'!C13,'日経_B00'!C14,'日経_B00'!C15,'日経_B00'!C16,'日経_B00'!C17,'日経_B00'!C18,'日経_B00'!C19,'日経_B00'!C20,'日経_B00'!C21,'日経_B00'!C22,'日経_B00'!C23,'日経_B00'!C24,'日経_B00'!C25,'日経_B00'!C26,'日経_B00'!C27,'日経_B00'!C28,'日経_B00'!C29,'日経_B00'!C30,'日経_B00'!C31,'日経_B00'!C32,'日経_B00'!C33,'日経_B00'!C34,'日経_B00'!C35,'日経_B00'!C36,'日経_B00'!C37,'日経_B00'!C38,'日経_B00'!C39,'日経_B00'!C40,'日経_B00'!C41,'日経_B00'!C42,'日経_B00'!C43,'日経_B00'!C44,'日経_B00'!C45)</x:f>
        <x:v>4871000</x:v>
      </x:c>
      <x:c r="E39" s="6" t="n">
        <x:f>SUM('日経_B00'!D6,'日経_B00'!D7,'日経_B00'!D8,'日経_B00'!D9,'日経_B00'!D10,'日経_B00'!D11,'日経_B00'!D12,'日経_B00'!D13,'日経_B00'!D14,'日経_B00'!D15,'日経_B00'!D16,'日経_B00'!D17,'日経_B00'!D18,'日経_B00'!D19,'日経_B00'!D20,'日経_B00'!D21,'日経_B00'!D22,'日経_B00'!D23,'日経_B00'!D24,'日経_B00'!D25,'日経_B00'!D26,'日経_B00'!D27,'日経_B00'!D28,'日経_B00'!D29,'日経_B00'!D30,'日経_B00'!D31,'日経_B00'!D32,'日経_B00'!D33,'日経_B00'!D34,'日経_B00'!D35,'日経_B00'!D36,'日経_B00'!D37,'日経_B00'!D38,'日経_B00'!D39,'日経_B00'!D40,'日経_B00'!D41,'日経_B00'!D42,'日経_B00'!D43,'日経_B00'!D44,'日経_B00'!D45)</x:f>
        <x:v>2643000</x:v>
      </x:c>
      <x:c r="F39" s="6" t="n">
        <x:f>D39-E39</x:f>
        <x:v>2228000</x:v>
      </x:c>
      <x:c r="G39" s="11" t="n">
        <x:v>12</x:v>
      </x:c>
      <x:c r="H39" s="11" t="n">
        <x:v>0</x:v>
      </x:c>
      <x:c r="I39" s="6" t="n">
        <x:v>38583.333333333336</x:v>
      </x:c>
      <x:c r="J39" s="6" t="n">
        <x:v>73000</x:v>
      </x:c>
      <x:c r="K39" s="6" t="n">
        <x:v>-140000</x:v>
      </x:c>
      <x:c r="L39" s="6" t="n">
        <x:v>218000</x:v>
      </x:c>
      <x:c r="M39" s="6" t="n">
        <x:v>1422000</x:v>
      </x:c>
    </x:row>
    <x:row r="40" ht="25" customHeight="1">
      <x:c r="A40" s="19" t="str">
        <x:v>前40場</x:v>
      </x:c>
      <x:c r="B40" s="19" t="str">
        <x:v>F00</x:v>
      </x:c>
      <x:c r="C40" s="12" t="str">
        <x:v>固定昼夜合成</x:v>
      </x:c>
      <x:c r="D40" s="6" t="n">
        <x:f>SUM('日経_F00'!C6,'日経_F00'!C7,'日経_F00'!C8,'日経_F00'!C9,'日経_F00'!C10,'日経_F00'!C11,'日経_F00'!C12,'日経_F00'!C13,'日経_F00'!C14,'日経_F00'!C15,'日経_F00'!C16,'日経_F00'!C17,'日経_F00'!C18,'日経_F00'!C19,'日経_F00'!C20,'日経_F00'!C21,'日経_F00'!C22,'日経_F00'!C23,'日経_F00'!C24,'日経_F00'!C25,'日経_F00'!C26,'日経_F00'!C27,'日経_F00'!C28,'日経_F00'!C29,'日経_F00'!C30,'日経_F00'!C31,'日経_F00'!C32,'日経_F00'!C33,'日経_F00'!C34,'日経_F00'!C35,'日経_F00'!C36,'日経_F00'!C37,'日経_F00'!C38,'日経_F00'!C39,'日経_F00'!C40,'日経_F00'!C41,'日経_F00'!C42,'日経_F00'!C43,'日経_F00'!C44,'日経_F00'!C45)</x:f>
        <x:v>4644500</x:v>
      </x:c>
      <x:c r="E40" s="6" t="n">
        <x:f>SUM('日経_F00'!D6,'日経_F00'!D7,'日経_F00'!D8,'日経_F00'!D9,'日経_F00'!D10,'日経_F00'!D11,'日経_F00'!D12,'日経_F00'!D13,'日経_F00'!D14,'日経_F00'!D15,'日経_F00'!D16,'日経_F00'!D17,'日経_F00'!D18,'日経_F00'!D19,'日経_F00'!D20,'日経_F00'!D21,'日経_F00'!D22,'日経_F00'!D23,'日経_F00'!D24,'日経_F00'!D25,'日経_F00'!D26,'日経_F00'!D27,'日経_F00'!D28,'日経_F00'!D29,'日経_F00'!D30,'日経_F00'!D31,'日経_F00'!D32,'日経_F00'!D33,'日経_F00'!D34,'日経_F00'!D35,'日経_F00'!D36,'日経_F00'!D37,'日経_F00'!D38,'日経_F00'!D39,'日経_F00'!D40,'日経_F00'!D41,'日経_F00'!D42,'日経_F00'!D43,'日経_F00'!D44,'日経_F00'!D45)</x:f>
        <x:v>2586000</x:v>
      </x:c>
      <x:c r="F40" s="6" t="n">
        <x:f>D40-E40</x:f>
        <x:v>2058500</x:v>
      </x:c>
      <x:c r="G40" s="11" t="n">
        <x:v>11</x:v>
      </x:c>
      <x:c r="H40" s="11" t="n">
        <x:v>0</x:v>
      </x:c>
      <x:c r="I40" s="6" t="n">
        <x:v>39818.181818181816</x:v>
      </x:c>
      <x:c r="J40" s="6" t="n">
        <x:v>78000</x:v>
      </x:c>
      <x:c r="K40" s="6" t="n">
        <x:v>-145000</x:v>
      </x:c>
      <x:c r="L40" s="6" t="n">
        <x:v>209000</x:v>
      </x:c>
      <x:c r="M40" s="6" t="n">
        <x:v>1286000</x:v>
      </x:c>
    </x:row>
    <x:row r="41" ht="25" customHeight="1">
      <x:c r="A41" s="19" t="str">
        <x:v>前40場</x:v>
      </x:c>
      <x:c r="B41" s="19" t="str">
        <x:v>C50</x:v>
      </x:c>
      <x:c r="C41" s="12" t="str"/>
      <x:c r="D41" s="6" t="n">
        <x:f>SUM('日経_C50'!C6,'日経_C50'!C7,'日経_C50'!C8,'日経_C50'!C9,'日経_C50'!C10,'日経_C50'!C11,'日経_C50'!C12,'日経_C50'!C13,'日経_C50'!C14,'日経_C50'!C15,'日経_C50'!C16,'日経_C50'!C17,'日経_C50'!C18,'日経_C50'!C19,'日経_C50'!C20,'日経_C50'!C21,'日経_C50'!C22,'日経_C50'!C23,'日経_C50'!C24,'日経_C50'!C25,'日経_C50'!C26,'日経_C50'!C27,'日経_C50'!C28,'日経_C50'!C29,'日経_C50'!C30,'日経_C50'!C31,'日経_C50'!C32,'日経_C50'!C33,'日経_C50'!C34,'日経_C50'!C35,'日経_C50'!C36,'日経_C50'!C37,'日経_C50'!C38,'日経_C50'!C39,'日経_C50'!C40,'日経_C50'!C41,'日経_C50'!C42,'日経_C50'!C43,'日経_C50'!C44,'日経_C50'!C45)</x:f>
        <x:v>2435500</x:v>
      </x:c>
      <x:c r="E41" s="6" t="n">
        <x:f>SUM('日経_C50'!D6,'日経_C50'!D7,'日経_C50'!D8,'日経_C50'!D9,'日経_C50'!D10,'日経_C50'!D11,'日経_C50'!D12,'日経_C50'!D13,'日経_C50'!D14,'日経_C50'!D15,'日経_C50'!D16,'日経_C50'!D17,'日経_C50'!D18,'日経_C50'!D19,'日経_C50'!D20,'日経_C50'!D21,'日経_C50'!D22,'日経_C50'!D23,'日経_C50'!D24,'日経_C50'!D25,'日経_C50'!D26,'日経_C50'!D27,'日経_C50'!D28,'日経_C50'!D29,'日経_C50'!D30,'日経_C50'!D31,'日経_C50'!D32,'日経_C50'!D33,'日経_C50'!D34,'日経_C50'!D35,'日経_C50'!D36,'日経_C50'!D37,'日経_C50'!D38,'日経_C50'!D39,'日経_C50'!D40,'日経_C50'!D41,'日経_C50'!D42,'日経_C50'!D43,'日経_C50'!D44,'日経_C50'!D45)</x:f>
        <x:v>1321500</x:v>
      </x:c>
      <x:c r="F41" s="6" t="n">
        <x:f>D41-E41</x:f>
        <x:v>1114000</x:v>
      </x:c>
      <x:c r="G41" s="11" t="n">
        <x:v>12</x:v>
      </x:c>
      <x:c r="H41" s="11" t="n">
        <x:v>0</x:v>
      </x:c>
      <x:c r="I41" s="6" t="n">
        <x:v>19291.666666666668</x:v>
      </x:c>
      <x:c r="J41" s="6" t="n">
        <x:v>36500</x:v>
      </x:c>
      <x:c r="K41" s="6" t="n">
        <x:v>-70000</x:v>
      </x:c>
      <x:c r="L41" s="6" t="n">
        <x:v>109000</x:v>
      </x:c>
      <x:c r="M41" s="6" t="n">
        <x:v>711000</x:v>
      </x:c>
    </x:row>
    <x:row r="42" ht="25" customHeight="1">
      <x:c r="A42" s="19" t="str">
        <x:v>前40場</x:v>
      </x:c>
      <x:c r="B42" s="19" t="str">
        <x:v>D40</x:v>
      </x:c>
      <x:c r="C42" s="12" t="str"/>
      <x:c r="D42" s="6" t="n">
        <x:f>SUM('日経_D40'!C6,'日経_D40'!C7,'日経_D40'!C8,'日経_D40'!C9,'日経_D40'!C10,'日経_D40'!C11,'日経_D40'!C12,'日経_D40'!C13,'日経_D40'!C14,'日経_D40'!C15,'日経_D40'!C16,'日経_D40'!C17,'日経_D40'!C18,'日経_D40'!C19,'日経_D40'!C20,'日経_D40'!C21,'日経_D40'!C22,'日経_D40'!C23,'日経_D40'!C24,'日経_D40'!C25,'日経_D40'!C26,'日経_D40'!C27,'日経_D40'!C28,'日経_D40'!C29,'日経_D40'!C30,'日経_D40'!C31,'日経_D40'!C32,'日経_D40'!C33,'日経_D40'!C34,'日経_D40'!C35,'日経_D40'!C36,'日経_D40'!C37,'日経_D40'!C38,'日経_D40'!C39,'日経_D40'!C40,'日経_D40'!C41,'日経_D40'!C42,'日経_D40'!C43,'日経_D40'!C44,'日経_D40'!C45)</x:f>
        <x:v>3766500</x:v>
      </x:c>
      <x:c r="E42" s="6" t="n">
        <x:f>SUM('日経_D40'!D6,'日経_D40'!D7,'日経_D40'!D8,'日経_D40'!D9,'日経_D40'!D10,'日経_D40'!D11,'日経_D40'!D12,'日経_D40'!D13,'日経_D40'!D14,'日経_D40'!D15,'日経_D40'!D16,'日経_D40'!D17,'日経_D40'!D18,'日経_D40'!D19,'日経_D40'!D20,'日経_D40'!D21,'日経_D40'!D22,'日経_D40'!D23,'日経_D40'!D24,'日経_D40'!D25,'日経_D40'!D26,'日経_D40'!D27,'日経_D40'!D28,'日経_D40'!D29,'日経_D40'!D30,'日経_D40'!D31,'日経_D40'!D32,'日経_D40'!D33,'日経_D40'!D34,'日経_D40'!D35,'日経_D40'!D36,'日経_D40'!D37,'日経_D40'!D38,'日経_D40'!D39,'日経_D40'!D40,'日経_D40'!D41,'日経_D40'!D42,'日経_D40'!D43,'日経_D40'!D44,'日経_D40'!D45)</x:f>
        <x:v>2528500</x:v>
      </x:c>
      <x:c r="F42" s="6" t="n">
        <x:f>D42-E42</x:f>
        <x:v>1238000</x:v>
      </x:c>
      <x:c r="G42" s="11" t="n">
        <x:v>17</x:v>
      </x:c>
      <x:c r="H42" s="11" t="n">
        <x:v>0</x:v>
      </x:c>
      <x:c r="I42" s="6" t="n">
        <x:v>33411.76470588235</x:v>
      </x:c>
      <x:c r="J42" s="6" t="n">
        <x:v>108500</x:v>
      </x:c>
      <x:c r="K42" s="6" t="n">
        <x:v>-121500</x:v>
      </x:c>
      <x:c r="L42" s="6" t="n">
        <x:v>170500</x:v>
      </x:c>
      <x:c r="M42" s="6" t="n">
        <x:v>556000</x:v>
      </x:c>
    </x:row>
    <x:row r="43" ht="25" customHeight="1">
      <x:c r="A43" s="19" t="str">
        <x:v>前40場</x:v>
      </x:c>
      <x:c r="B43" s="19" t="str">
        <x:v>D80</x:v>
      </x:c>
      <x:c r="C43" s="12" t="str">
        <x:v>昼選択・夜選択</x:v>
      </x:c>
      <x:c r="D43" s="6" t="n">
        <x:f>SUM('日経_D80'!C6,'日経_D80'!C7,'日経_D80'!C8,'日経_D80'!C9,'日経_D80'!C10,'日経_D80'!C11,'日経_D80'!C12,'日経_D80'!C13,'日経_D80'!C14,'日経_D80'!C15,'日経_D80'!C16,'日経_D80'!C17,'日経_D80'!C18,'日経_D80'!C19,'日経_D80'!C20,'日経_D80'!C21,'日経_D80'!C22,'日経_D80'!C23,'日経_D80'!C24,'日経_D80'!C25,'日経_D80'!C26,'日経_D80'!C27,'日経_D80'!C28,'日経_D80'!C29,'日経_D80'!C30,'日経_D80'!C31,'日経_D80'!C32,'日経_D80'!C33,'日経_D80'!C34,'日経_D80'!C35,'日経_D80'!C36,'日経_D80'!C37,'日経_D80'!C38,'日経_D80'!C39,'日経_D80'!C40,'日経_D80'!C41,'日経_D80'!C42,'日経_D80'!C43,'日経_D80'!C44,'日経_D80'!C45)</x:f>
        <x:v>4644500</x:v>
      </x:c>
      <x:c r="E43" s="6" t="n">
        <x:f>SUM('日経_D80'!D6,'日経_D80'!D7,'日経_D80'!D8,'日経_D80'!D9,'日経_D80'!D10,'日経_D80'!D11,'日経_D80'!D12,'日経_D80'!D13,'日経_D80'!D14,'日経_D80'!D15,'日経_D80'!D16,'日経_D80'!D17,'日経_D80'!D18,'日経_D80'!D19,'日経_D80'!D20,'日経_D80'!D21,'日経_D80'!D22,'日経_D80'!D23,'日経_D80'!D24,'日経_D80'!D25,'日経_D80'!D26,'日経_D80'!D27,'日経_D80'!D28,'日経_D80'!D29,'日経_D80'!D30,'日経_D80'!D31,'日経_D80'!D32,'日経_D80'!D33,'日経_D80'!D34,'日経_D80'!D35,'日経_D80'!D36,'日経_D80'!D37,'日経_D80'!D38,'日経_D80'!D39,'日経_D80'!D40,'日経_D80'!D41,'日経_D80'!D42,'日経_D80'!D43,'日経_D80'!D44,'日経_D80'!D45)</x:f>
        <x:v>2586000</x:v>
      </x:c>
      <x:c r="F43" s="6" t="n">
        <x:f>D43-E43</x:f>
        <x:v>2058500</x:v>
      </x:c>
      <x:c r="G43" s="11" t="n">
        <x:v>11</x:v>
      </x:c>
      <x:c r="H43" s="11" t="n">
        <x:v>0</x:v>
      </x:c>
      <x:c r="I43" s="6" t="n">
        <x:v>39818.181818181816</x:v>
      </x:c>
      <x:c r="J43" s="6" t="n">
        <x:v>78000</x:v>
      </x:c>
      <x:c r="K43" s="6" t="n">
        <x:v>-145000</x:v>
      </x:c>
      <x:c r="L43" s="6" t="n">
        <x:v>209000</x:v>
      </x:c>
      <x:c r="M43" s="6" t="n">
        <x:v>1286000</x:v>
      </x:c>
    </x:row>
    <x:row r="44" ht="25" customHeight="1">
      <x:c r="A44" s="19" t="str">
        <x:v>前40場</x:v>
      </x:c>
      <x:c r="B44" s="19" t="str">
        <x:v>G40</x:v>
      </x:c>
      <x:c r="C44" s="12" t="str"/>
      <x:c r="D44" s="6" t="n">
        <x:f>SUM('日経_G40'!C6,'日経_G40'!C7,'日経_G40'!C8,'日経_G40'!C9,'日経_G40'!C10,'日経_G40'!C11,'日経_G40'!C12,'日経_G40'!C13,'日経_G40'!C14,'日経_G40'!C15,'日経_G40'!C16,'日経_G40'!C17,'日経_G40'!C18,'日経_G40'!C19,'日経_G40'!C20,'日経_G40'!C21,'日経_G40'!C22,'日経_G40'!C23,'日経_G40'!C24,'日経_G40'!C25,'日経_G40'!C26,'日経_G40'!C27,'日経_G40'!C28,'日経_G40'!C29,'日経_G40'!C30,'日経_G40'!C31,'日経_G40'!C32,'日経_G40'!C33,'日経_G40'!C34,'日経_G40'!C35,'日経_G40'!C36,'日経_G40'!C37,'日経_G40'!C38,'日経_G40'!C39,'日経_G40'!C40,'日経_G40'!C41,'日経_G40'!C42,'日経_G40'!C43,'日経_G40'!C44,'日経_G40'!C45)</x:f>
        <x:v>4276000</x:v>
      </x:c>
      <x:c r="E44" s="6" t="n">
        <x:f>SUM('日経_G40'!D6,'日経_G40'!D7,'日経_G40'!D8,'日経_G40'!D9,'日経_G40'!D10,'日経_G40'!D11,'日経_G40'!D12,'日経_G40'!D13,'日経_G40'!D14,'日経_G40'!D15,'日経_G40'!D16,'日経_G40'!D17,'日経_G40'!D18,'日経_G40'!D19,'日経_G40'!D20,'日経_G40'!D21,'日経_G40'!D22,'日経_G40'!D23,'日経_G40'!D24,'日経_G40'!D25,'日経_G40'!D26,'日経_G40'!D27,'日経_G40'!D28,'日経_G40'!D29,'日経_G40'!D30,'日経_G40'!D31,'日経_G40'!D32,'日経_G40'!D33,'日経_G40'!D34,'日経_G40'!D35,'日経_G40'!D36,'日経_G40'!D37,'日経_G40'!D38,'日経_G40'!D39,'日経_G40'!D40,'日経_G40'!D41,'日経_G40'!D42,'日経_G40'!D43,'日経_G40'!D44,'日経_G40'!D45)</x:f>
        <x:v>2516000</x:v>
      </x:c>
      <x:c r="F44" s="6" t="n">
        <x:f>D44-E44</x:f>
        <x:v>1760000</x:v>
      </x:c>
      <x:c r="G44" s="11" t="n">
        <x:v>14</x:v>
      </x:c>
      <x:c r="H44" s="11" t="n">
        <x:v>0</x:v>
      </x:c>
      <x:c r="I44" s="6" t="n">
        <x:v>36714.28571428572</x:v>
      </x:c>
      <x:c r="J44" s="6" t="n">
        <x:v>70000</x:v>
      </x:c>
      <x:c r="K44" s="6" t="n">
        <x:v>-135000</x:v>
      </x:c>
      <x:c r="L44" s="6" t="n">
        <x:v>162500</x:v>
      </x:c>
      <x:c r="M44" s="6" t="n">
        <x:v>1057000</x:v>
      </x:c>
    </x:row>
    <x:row r="45" ht="25" customHeight="1">
      <x:c r="A45" s="19" t="str">
        <x:v>前40場</x:v>
      </x:c>
      <x:c r="B45" s="19" t="str">
        <x:v>G80</x:v>
      </x:c>
      <x:c r="C45" s="12" t="str"/>
      <x:c r="D45" s="6" t="n">
        <x:f>SUM('日経_G80'!C6,'日経_G80'!C7,'日経_G80'!C8,'日経_G80'!C9,'日経_G80'!C10,'日経_G80'!C11,'日経_G80'!C12,'日経_G80'!C13,'日経_G80'!C14,'日経_G80'!C15,'日経_G80'!C16,'日経_G80'!C17,'日経_G80'!C18,'日経_G80'!C19,'日経_G80'!C20,'日経_G80'!C21,'日経_G80'!C22,'日経_G80'!C23,'日経_G80'!C24,'日経_G80'!C25,'日経_G80'!C26,'日経_G80'!C27,'日経_G80'!C28,'日経_G80'!C29,'日経_G80'!C30,'日経_G80'!C31,'日経_G80'!C32,'日経_G80'!C33,'日経_G80'!C34,'日経_G80'!C35,'日経_G80'!C36,'日経_G80'!C37,'日経_G80'!C38,'日経_G80'!C39,'日経_G80'!C40,'日経_G80'!C41,'日経_G80'!C42,'日経_G80'!C43,'日経_G80'!C44,'日経_G80'!C45)</x:f>
        <x:v>4784500</x:v>
      </x:c>
      <x:c r="E45" s="6" t="n">
        <x:f>SUM('日経_G80'!D6,'日経_G80'!D7,'日経_G80'!D8,'日経_G80'!D9,'日経_G80'!D10,'日経_G80'!D11,'日経_G80'!D12,'日経_G80'!D13,'日経_G80'!D14,'日経_G80'!D15,'日経_G80'!D16,'日経_G80'!D17,'日経_G80'!D18,'日経_G80'!D19,'日経_G80'!D20,'日経_G80'!D21,'日経_G80'!D22,'日経_G80'!D23,'日経_G80'!D24,'日経_G80'!D25,'日経_G80'!D26,'日経_G80'!D27,'日経_G80'!D28,'日経_G80'!D29,'日経_G80'!D30,'日経_G80'!D31,'日経_G80'!D32,'日経_G80'!D33,'日経_G80'!D34,'日経_G80'!D35,'日経_G80'!D36,'日経_G80'!D37,'日経_G80'!D38,'日経_G80'!D39,'日経_G80'!D40,'日経_G80'!D41,'日経_G80'!D42,'日経_G80'!D43,'日経_G80'!D44,'日経_G80'!D45)</x:f>
        <x:v>2576000</x:v>
      </x:c>
      <x:c r="F45" s="6" t="n">
        <x:f>D45-E45</x:f>
        <x:v>2208500</x:v>
      </x:c>
      <x:c r="G45" s="11" t="n">
        <x:v>12</x:v>
      </x:c>
      <x:c r="H45" s="11" t="n">
        <x:v>0</x:v>
      </x:c>
      <x:c r="I45" s="6" t="n">
        <x:v>38083.333333333336</x:v>
      </x:c>
      <x:c r="J45" s="6" t="n">
        <x:v>78000</x:v>
      </x:c>
      <x:c r="K45" s="6" t="n">
        <x:v>-145000</x:v>
      </x:c>
      <x:c r="L45" s="6" t="n">
        <x:v>218000</x:v>
      </x:c>
      <x:c r="M45" s="6" t="n">
        <x:v>1370500</x:v>
      </x:c>
    </x:row>
    <x:row r="46" ht="25" customHeight="1">
      <x:c r="A46" s="19" t="str">
        <x:v>前40場</x:v>
      </x:c>
      <x:c r="B46" s="19" t="str">
        <x:v>R40</x:v>
      </x:c>
      <x:c r="C46" s="12" t="str"/>
      <x:c r="D46" s="6" t="n">
        <x:f>SUM('日経_R40'!C6,'日経_R40'!C7,'日経_R40'!C8,'日経_R40'!C9,'日経_R40'!C10,'日経_R40'!C11,'日経_R40'!C12,'日経_R40'!C13,'日経_R40'!C14,'日経_R40'!C15,'日経_R40'!C16,'日経_R40'!C17,'日経_R40'!C18,'日経_R40'!C19,'日経_R40'!C20,'日経_R40'!C21,'日経_R40'!C22,'日経_R40'!C23,'日経_R40'!C24,'日経_R40'!C25,'日経_R40'!C26,'日経_R40'!C27,'日経_R40'!C28,'日経_R40'!C29,'日経_R40'!C30,'日経_R40'!C31,'日経_R40'!C32,'日経_R40'!C33,'日経_R40'!C34,'日経_R40'!C35,'日経_R40'!C36,'日経_R40'!C37,'日経_R40'!C38,'日経_R40'!C39,'日経_R40'!C40,'日経_R40'!C41,'日経_R40'!C42,'日経_R40'!C43,'日経_R40'!C44,'日経_R40'!C45)</x:f>
        <x:v>4979500</x:v>
      </x:c>
      <x:c r="E46" s="6" t="n">
        <x:f>SUM('日経_R40'!D6,'日経_R40'!D7,'日経_R40'!D8,'日経_R40'!D9,'日経_R40'!D10,'日経_R40'!D11,'日経_R40'!D12,'日経_R40'!D13,'日経_R40'!D14,'日経_R40'!D15,'日経_R40'!D16,'日経_R40'!D17,'日経_R40'!D18,'日経_R40'!D19,'日経_R40'!D20,'日経_R40'!D21,'日経_R40'!D22,'日経_R40'!D23,'日経_R40'!D24,'日経_R40'!D25,'日経_R40'!D26,'日経_R40'!D27,'日経_R40'!D28,'日経_R40'!D29,'日経_R40'!D30,'日経_R40'!D31,'日経_R40'!D32,'日経_R40'!D33,'日経_R40'!D34,'日経_R40'!D35,'日経_R40'!D36,'日経_R40'!D37,'日経_R40'!D38,'日経_R40'!D39,'日経_R40'!D40,'日経_R40'!D41,'日経_R40'!D42,'日経_R40'!D43,'日経_R40'!D44,'日経_R40'!D45)</x:f>
        <x:v>2842500</x:v>
      </x:c>
      <x:c r="F46" s="6" t="n">
        <x:f>D46-E46</x:f>
        <x:v>2137000</x:v>
      </x:c>
      <x:c r="G46" s="11" t="n">
        <x:v>13</x:v>
      </x:c>
      <x:c r="H46" s="11" t="n">
        <x:v>0</x:v>
      </x:c>
      <x:c r="I46" s="6" t="n">
        <x:v>37961.53846153846</x:v>
      </x:c>
      <x:c r="J46" s="6" t="n">
        <x:v>96000</x:v>
      </x:c>
      <x:c r="K46" s="6" t="n">
        <x:v>-163000</x:v>
      </x:c>
      <x:c r="L46" s="6" t="n">
        <x:v>207500</x:v>
      </x:c>
      <x:c r="M46" s="6" t="n">
        <x:v>1342500</x:v>
      </x:c>
    </x:row>
    <x:row r="47" ht="25" customHeight="1">
      <x:c r="A47" s="19" t="str">
        <x:v>前40場</x:v>
      </x:c>
      <x:c r="B47" s="19" t="str">
        <x:v>R80</x:v>
      </x:c>
      <x:c r="C47" s="12" t="str"/>
      <x:c r="D47" s="6" t="n">
        <x:f>SUM('日経_R80'!C6,'日経_R80'!C7,'日経_R80'!C8,'日経_R80'!C9,'日経_R80'!C10,'日経_R80'!C11,'日経_R80'!C12,'日経_R80'!C13,'日経_R80'!C14,'日経_R80'!C15,'日経_R80'!C16,'日経_R80'!C17,'日経_R80'!C18,'日経_R80'!C19,'日経_R80'!C20,'日経_R80'!C21,'日経_R80'!C22,'日経_R80'!C23,'日経_R80'!C24,'日経_R80'!C25,'日経_R80'!C26,'日経_R80'!C27,'日経_R80'!C28,'日経_R80'!C29,'日経_R80'!C30,'日経_R80'!C31,'日経_R80'!C32,'日経_R80'!C33,'日経_R80'!C34,'日経_R80'!C35,'日経_R80'!C36,'日経_R80'!C37,'日経_R80'!C38,'日経_R80'!C39,'日経_R80'!C40,'日経_R80'!C41,'日経_R80'!C42,'日経_R80'!C43,'日経_R80'!C44,'日経_R80'!C45)</x:f>
        <x:v>4951500</x:v>
      </x:c>
      <x:c r="E47" s="6" t="n">
        <x:f>SUM('日経_R80'!D6,'日経_R80'!D7,'日経_R80'!D8,'日経_R80'!D9,'日経_R80'!D10,'日経_R80'!D11,'日経_R80'!D12,'日経_R80'!D13,'日経_R80'!D14,'日経_R80'!D15,'日経_R80'!D16,'日経_R80'!D17,'日経_R80'!D18,'日経_R80'!D19,'日経_R80'!D20,'日経_R80'!D21,'日経_R80'!D22,'日経_R80'!D23,'日経_R80'!D24,'日経_R80'!D25,'日経_R80'!D26,'日経_R80'!D27,'日経_R80'!D28,'日経_R80'!D29,'日経_R80'!D30,'日経_R80'!D31,'日経_R80'!D32,'日経_R80'!D33,'日経_R80'!D34,'日経_R80'!D35,'日経_R80'!D36,'日経_R80'!D37,'日経_R80'!D38,'日経_R80'!D39,'日経_R80'!D40,'日経_R80'!D41,'日経_R80'!D42,'日経_R80'!D43,'日経_R80'!D44,'日経_R80'!D45)</x:f>
        <x:v>2718500</x:v>
      </x:c>
      <x:c r="F47" s="6" t="n">
        <x:f>D47-E47</x:f>
        <x:v>2233000</x:v>
      </x:c>
      <x:c r="G47" s="11" t="n">
        <x:v>13</x:v>
      </x:c>
      <x:c r="H47" s="11" t="n">
        <x:v>0</x:v>
      </x:c>
      <x:c r="I47" s="6" t="n">
        <x:v>35538.46153846154</x:v>
      </x:c>
      <x:c r="J47" s="6" t="n">
        <x:v>83000</x:v>
      </x:c>
      <x:c r="K47" s="6" t="n">
        <x:v>-150000</x:v>
      </x:c>
      <x:c r="L47" s="6" t="n">
        <x:v>218000</x:v>
      </x:c>
      <x:c r="M47" s="6" t="n">
        <x:v>1421000</x:v>
      </x:c>
    </x:row>
    <x:row r="48" ht="25" customHeight="1">
      <x:c r="A48" s="19" t="str">
        <x:v>前40場</x:v>
      </x:c>
      <x:c r="B48" s="19" t="str">
        <x:v>E40</x:v>
      </x:c>
      <x:c r="C48" s="12" t="str"/>
      <x:c r="D48" s="6" t="n">
        <x:f>SUM('日経_E40'!C6,'日経_E40'!C7,'日経_E40'!C8,'日経_E40'!C9,'日経_E40'!C10,'日経_E40'!C11,'日経_E40'!C12,'日経_E40'!C13,'日経_E40'!C14,'日経_E40'!C15,'日経_E40'!C16,'日経_E40'!C17,'日経_E40'!C18,'日経_E40'!C19,'日経_E40'!C20,'日経_E40'!C21,'日経_E40'!C22,'日経_E40'!C23,'日経_E40'!C24,'日経_E40'!C25,'日経_E40'!C26,'日経_E40'!C27,'日経_E40'!C28,'日経_E40'!C29,'日経_E40'!C30,'日経_E40'!C31,'日経_E40'!C32,'日経_E40'!C33,'日経_E40'!C34,'日経_E40'!C35,'日経_E40'!C36,'日経_E40'!C37,'日経_E40'!C38,'日経_E40'!C39,'日経_E40'!C40,'日経_E40'!C41,'日経_E40'!C42,'日経_E40'!C43,'日経_E40'!C44,'日経_E40'!C45)</x:f>
        <x:v>4804000</x:v>
      </x:c>
      <x:c r="E48" s="6" t="n">
        <x:f>SUM('日経_E40'!D6,'日経_E40'!D7,'日経_E40'!D8,'日経_E40'!D9,'日経_E40'!D10,'日経_E40'!D11,'日経_E40'!D12,'日経_E40'!D13,'日経_E40'!D14,'日経_E40'!D15,'日経_E40'!D16,'日経_E40'!D17,'日経_E40'!D18,'日経_E40'!D19,'日経_E40'!D20,'日経_E40'!D21,'日経_E40'!D22,'日経_E40'!D23,'日経_E40'!D24,'日経_E40'!D25,'日経_E40'!D26,'日経_E40'!D27,'日経_E40'!D28,'日経_E40'!D29,'日経_E40'!D30,'日経_E40'!D31,'日経_E40'!D32,'日経_E40'!D33,'日経_E40'!D34,'日経_E40'!D35,'日経_E40'!D36,'日経_E40'!D37,'日経_E40'!D38,'日経_E40'!D39,'日経_E40'!D40,'日経_E40'!D41,'日経_E40'!D42,'日経_E40'!D43,'日経_E40'!D44,'日経_E40'!D45)</x:f>
        <x:v>2826500</x:v>
      </x:c>
      <x:c r="F48" s="6" t="n">
        <x:f>D48-E48</x:f>
        <x:v>1977500</x:v>
      </x:c>
      <x:c r="G48" s="11" t="n">
        <x:v>12</x:v>
      </x:c>
      <x:c r="H48" s="11" t="n">
        <x:v>0</x:v>
      </x:c>
      <x:c r="I48" s="6" t="n">
        <x:v>44458.333333333336</x:v>
      </x:c>
      <x:c r="J48" s="6" t="n">
        <x:v>108500</x:v>
      </x:c>
      <x:c r="K48" s="6" t="n">
        <x:v>-175500</x:v>
      </x:c>
      <x:c r="L48" s="6" t="n">
        <x:v>207500</x:v>
      </x:c>
      <x:c r="M48" s="6" t="n">
        <x:v>1194000</x:v>
      </x:c>
    </x:row>
    <x:row r="49" ht="25" customHeight="1">
      <x:c r="A49" s="19" t="str">
        <x:v>前40場</x:v>
      </x:c>
      <x:c r="B49" s="19" t="str">
        <x:v>E80</x:v>
      </x:c>
      <x:c r="C49" s="12" t="str"/>
      <x:c r="D49" s="6" t="n">
        <x:f>SUM('日経_E80'!C6,'日経_E80'!C7,'日経_E80'!C8,'日経_E80'!C9,'日経_E80'!C10,'日経_E80'!C11,'日経_E80'!C12,'日経_E80'!C13,'日経_E80'!C14,'日経_E80'!C15,'日経_E80'!C16,'日経_E80'!C17,'日経_E80'!C18,'日経_E80'!C19,'日経_E80'!C20,'日経_E80'!C21,'日経_E80'!C22,'日経_E80'!C23,'日経_E80'!C24,'日経_E80'!C25,'日経_E80'!C26,'日経_E80'!C27,'日経_E80'!C28,'日経_E80'!C29,'日経_E80'!C30,'日経_E80'!C31,'日経_E80'!C32,'日経_E80'!C33,'日経_E80'!C34,'日経_E80'!C35,'日経_E80'!C36,'日経_E80'!C37,'日経_E80'!C38,'日経_E80'!C39,'日経_E80'!C40,'日経_E80'!C41,'日経_E80'!C42,'日経_E80'!C43,'日経_E80'!C44,'日経_E80'!C45)</x:f>
        <x:v>4859500</x:v>
      </x:c>
      <x:c r="E49" s="6" t="n">
        <x:f>SUM('日経_E80'!D6,'日経_E80'!D7,'日経_E80'!D8,'日経_E80'!D9,'日経_E80'!D10,'日経_E80'!D11,'日経_E80'!D12,'日経_E80'!D13,'日経_E80'!D14,'日経_E80'!D15,'日経_E80'!D16,'日経_E80'!D17,'日経_E80'!D18,'日経_E80'!D19,'日経_E80'!D20,'日経_E80'!D21,'日経_E80'!D22,'日経_E80'!D23,'日経_E80'!D24,'日経_E80'!D25,'日経_E80'!D26,'日経_E80'!D27,'日経_E80'!D28,'日経_E80'!D29,'日経_E80'!D30,'日経_E80'!D31,'日経_E80'!D32,'日経_E80'!D33,'日経_E80'!D34,'日経_E80'!D35,'日経_E80'!D36,'日経_E80'!D37,'日経_E80'!D38,'日経_E80'!D39,'日経_E80'!D40,'日経_E80'!D41,'日経_E80'!D42,'日経_E80'!D43,'日経_E80'!D44,'日経_E80'!D45)</x:f>
        <x:v>2698000</x:v>
      </x:c>
      <x:c r="F49" s="6" t="n">
        <x:f>D49-E49</x:f>
        <x:v>2161500</x:v>
      </x:c>
      <x:c r="G49" s="11" t="n">
        <x:v>12</x:v>
      </x:c>
      <x:c r="H49" s="11" t="n">
        <x:v>0</x:v>
      </x:c>
      <x:c r="I49" s="6" t="n">
        <x:v>40916.666666666664</x:v>
      </x:c>
      <x:c r="J49" s="6" t="n">
        <x:v>95500</x:v>
      </x:c>
      <x:c r="K49" s="6" t="n">
        <x:v>-162500</x:v>
      </x:c>
      <x:c r="L49" s="6" t="n">
        <x:v>218000</x:v>
      </x:c>
      <x:c r="M49" s="6" t="n">
        <x:v>1338000</x:v>
      </x:c>
    </x:row>
    <x:row r="50" ht="25" customHeight="1">
      <x:c r="A50" s="19" t="str">
        <x:v>前40の日中</x:v>
      </x:c>
      <x:c r="B50" s="19" t="str">
        <x:v>B00</x:v>
      </x:c>
      <x:c r="C50" s="12" t="str"/>
      <x:c r="D50" s="6" t="n">
        <x:f>SUM('日経_B00'!C6,'日経_B00'!C8,'日経_B00'!C10,'日経_B00'!C12,'日経_B00'!C14,'日経_B00'!C16,'日経_B00'!C18,'日経_B00'!C20,'日経_B00'!C22,'日経_B00'!C24,'日経_B00'!C26,'日経_B00'!C28,'日経_B00'!C30,'日経_B00'!C32,'日経_B00'!C34,'日経_B00'!C36,'日経_B00'!C38,'日経_B00'!C40,'日経_B00'!C42,'日経_B00'!C44)</x:f>
        <x:v>2816000</x:v>
      </x:c>
      <x:c r="E50" s="6" t="n">
        <x:f>SUM('日経_B00'!D6,'日経_B00'!D8,'日経_B00'!D10,'日経_B00'!D12,'日経_B00'!D14,'日経_B00'!D16,'日経_B00'!D18,'日経_B00'!D20,'日経_B00'!D22,'日経_B00'!D24,'日経_B00'!D26,'日経_B00'!D28,'日経_B00'!D30,'日経_B00'!D32,'日経_B00'!D34,'日経_B00'!D36,'日経_B00'!D38,'日経_B00'!D40,'日経_B00'!D42,'日経_B00'!D44)</x:f>
        <x:v>1779000</x:v>
      </x:c>
      <x:c r="F50" s="6" t="n">
        <x:f>D50-E50</x:f>
        <x:v>1037000</x:v>
      </x:c>
      <x:c r="G50" s="11" t="n">
        <x:v>6</x:v>
      </x:c>
      <x:c r="H50" s="11" t="n">
        <x:v>0</x:v>
      </x:c>
      <x:c r="I50" s="6" t="n">
        <x:v>47500</x:v>
      </x:c>
      <x:c r="J50" s="6" t="n">
        <x:v>73000</x:v>
      </x:c>
      <x:c r="K50" s="6" t="n">
        <x:v>-140000</x:v>
      </x:c>
      <x:c r="L50" s="6" t="n">
        <x:v>218000</x:v>
      </x:c>
      <x:c r="M50" s="6" t="n">
        <x:v>528000</x:v>
      </x:c>
    </x:row>
    <x:row r="51" ht="25" customHeight="1">
      <x:c r="A51" s="19" t="str">
        <x:v>前40の日中</x:v>
      </x:c>
      <x:c r="B51" s="19" t="str">
        <x:v>F00</x:v>
      </x:c>
      <x:c r="C51" s="12" t="str">
        <x:v>固定昼夜合成</x:v>
      </x:c>
      <x:c r="D51" s="6" t="n">
        <x:f>SUM('日経_F00'!C6,'日経_F00'!C8,'日経_F00'!C10,'日経_F00'!C12,'日経_F00'!C14,'日経_F00'!C16,'日経_F00'!C18,'日経_F00'!C20,'日経_F00'!C22,'日経_F00'!C24,'日経_F00'!C26,'日経_F00'!C28,'日経_F00'!C30,'日経_F00'!C32,'日経_F00'!C34,'日経_F00'!C36,'日経_F00'!C38,'日経_F00'!C40,'日経_F00'!C42,'日経_F00'!C44)</x:f>
        <x:v>2708500</x:v>
      </x:c>
      <x:c r="E51" s="6" t="n">
        <x:f>SUM('日経_F00'!D6,'日経_F00'!D8,'日経_F00'!D10,'日経_F00'!D12,'日経_F00'!D14,'日経_F00'!D16,'日経_F00'!D18,'日経_F00'!D20,'日経_F00'!D22,'日経_F00'!D24,'日経_F00'!D26,'日経_F00'!D28,'日経_F00'!D30,'日経_F00'!D32,'日経_F00'!D34,'日経_F00'!D36,'日経_F00'!D38,'日経_F00'!D40,'日経_F00'!D42,'日経_F00'!D44)</x:f>
        <x:v>1716000</x:v>
      </x:c>
      <x:c r="F51" s="6" t="n">
        <x:f>D51-E51</x:f>
        <x:v>992500</x:v>
      </x:c>
      <x:c r="G51" s="11" t="n">
        <x:v>5</x:v>
      </x:c>
      <x:c r="H51" s="11" t="n">
        <x:v>0</x:v>
      </x:c>
      <x:c r="I51" s="6" t="n">
        <x:v>53400</x:v>
      </x:c>
      <x:c r="J51" s="6" t="n">
        <x:v>78000</x:v>
      </x:c>
      <x:c r="K51" s="6" t="n">
        <x:v>-145000</x:v>
      </x:c>
      <x:c r="L51" s="6" t="n">
        <x:v>209000</x:v>
      </x:c>
      <x:c r="M51" s="6" t="n">
        <x:v>455000</x:v>
      </x:c>
    </x:row>
    <x:row r="52" ht="25" customHeight="1">
      <x:c r="A52" s="19" t="str">
        <x:v>前40の日中</x:v>
      </x:c>
      <x:c r="B52" s="19" t="str">
        <x:v>C50</x:v>
      </x:c>
      <x:c r="C52" s="12" t="str"/>
      <x:c r="D52" s="6" t="n">
        <x:f>SUM('日経_C50'!C6,'日経_C50'!C8,'日経_C50'!C10,'日経_C50'!C12,'日経_C50'!C14,'日経_C50'!C16,'日経_C50'!C18,'日経_C50'!C20,'日経_C50'!C22,'日経_C50'!C24,'日経_C50'!C26,'日経_C50'!C28,'日経_C50'!C30,'日経_C50'!C32,'日経_C50'!C34,'日経_C50'!C36,'日経_C50'!C38,'日経_C50'!C40,'日経_C50'!C42,'日経_C50'!C44)</x:f>
        <x:v>1408000</x:v>
      </x:c>
      <x:c r="E52" s="6" t="n">
        <x:f>SUM('日経_C50'!D6,'日経_C50'!D8,'日経_C50'!D10,'日経_C50'!D12,'日経_C50'!D14,'日経_C50'!D16,'日経_C50'!D18,'日経_C50'!D20,'日経_C50'!D22,'日経_C50'!D24,'日経_C50'!D26,'日経_C50'!D28,'日経_C50'!D30,'日経_C50'!D32,'日経_C50'!D34,'日経_C50'!D36,'日経_C50'!D38,'日経_C50'!D40,'日経_C50'!D42,'日経_C50'!D44)</x:f>
        <x:v>889500</x:v>
      </x:c>
      <x:c r="F52" s="6" t="n">
        <x:f>D52-E52</x:f>
        <x:v>518500</x:v>
      </x:c>
      <x:c r="G52" s="11" t="n">
        <x:v>6</x:v>
      </x:c>
      <x:c r="H52" s="11" t="n">
        <x:v>0</x:v>
      </x:c>
      <x:c r="I52" s="6" t="n">
        <x:v>23750</x:v>
      </x:c>
      <x:c r="J52" s="6" t="n">
        <x:v>36500</x:v>
      </x:c>
      <x:c r="K52" s="6" t="n">
        <x:v>-70000</x:v>
      </x:c>
      <x:c r="L52" s="6" t="n">
        <x:v>109000</x:v>
      </x:c>
      <x:c r="M52" s="6" t="n">
        <x:v>264000</x:v>
      </x:c>
    </x:row>
    <x:row r="53" ht="25" customHeight="1">
      <x:c r="A53" s="19" t="str">
        <x:v>前40の日中</x:v>
      </x:c>
      <x:c r="B53" s="19" t="str">
        <x:v>D40</x:v>
      </x:c>
      <x:c r="C53" s="12" t="str"/>
      <x:c r="D53" s="6" t="n">
        <x:f>SUM('日経_D40'!C6,'日経_D40'!C8,'日経_D40'!C10,'日経_D40'!C12,'日経_D40'!C14,'日経_D40'!C16,'日経_D40'!C18,'日経_D40'!C20,'日経_D40'!C22,'日経_D40'!C24,'日経_D40'!C26,'日経_D40'!C28,'日経_D40'!C30,'日経_D40'!C32,'日経_D40'!C34,'日経_D40'!C36,'日経_D40'!C38,'日経_D40'!C40,'日経_D40'!C42,'日経_D40'!C44)</x:f>
        <x:v>2279000</x:v>
      </x:c>
      <x:c r="E53" s="6" t="n">
        <x:f>SUM('日経_D40'!D6,'日経_D40'!D8,'日経_D40'!D10,'日経_D40'!D12,'日経_D40'!D14,'日経_D40'!D16,'日経_D40'!D18,'日経_D40'!D20,'日経_D40'!D22,'日経_D40'!D24,'日経_D40'!D26,'日経_D40'!D28,'日経_D40'!D30,'日経_D40'!D32,'日経_D40'!D34,'日経_D40'!D36,'日経_D40'!D38,'日経_D40'!D40,'日経_D40'!D42,'日経_D40'!D44)</x:f>
        <x:v>1628500</x:v>
      </x:c>
      <x:c r="F53" s="6" t="n">
        <x:f>D53-E53</x:f>
        <x:v>650500</x:v>
      </x:c>
      <x:c r="G53" s="11" t="n">
        <x:v>8</x:v>
      </x:c>
      <x:c r="H53" s="11" t="n">
        <x:v>0</x:v>
      </x:c>
      <x:c r="I53" s="6" t="n">
        <x:v>45562.5</x:v>
      </x:c>
      <x:c r="J53" s="6" t="n">
        <x:v>108500</x:v>
      </x:c>
      <x:c r="K53" s="6" t="n">
        <x:v>-121500</x:v>
      </x:c>
      <x:c r="L53" s="6" t="n">
        <x:v>170500</x:v>
      </x:c>
      <x:c r="M53" s="6" t="n">
        <x:v>108000</x:v>
      </x:c>
    </x:row>
    <x:row r="54" ht="25" customHeight="1">
      <x:c r="A54" s="19" t="str">
        <x:v>前40の日中</x:v>
      </x:c>
      <x:c r="B54" s="19" t="str">
        <x:v>D80</x:v>
      </x:c>
      <x:c r="C54" s="12" t="str">
        <x:v>昼選択・夜選択</x:v>
      </x:c>
      <x:c r="D54" s="6" t="n">
        <x:f>SUM('日経_D80'!C6,'日経_D80'!C8,'日経_D80'!C10,'日経_D80'!C12,'日経_D80'!C14,'日経_D80'!C16,'日経_D80'!C18,'日経_D80'!C20,'日経_D80'!C22,'日経_D80'!C24,'日経_D80'!C26,'日経_D80'!C28,'日経_D80'!C30,'日経_D80'!C32,'日経_D80'!C34,'日経_D80'!C36,'日経_D80'!C38,'日経_D80'!C40,'日経_D80'!C42,'日経_D80'!C44)</x:f>
        <x:v>2708500</x:v>
      </x:c>
      <x:c r="E54" s="6" t="n">
        <x:f>SUM('日経_D80'!D6,'日経_D80'!D8,'日経_D80'!D10,'日経_D80'!D12,'日経_D80'!D14,'日経_D80'!D16,'日経_D80'!D18,'日経_D80'!D20,'日経_D80'!D22,'日経_D80'!D24,'日経_D80'!D26,'日経_D80'!D28,'日経_D80'!D30,'日経_D80'!D32,'日経_D80'!D34,'日経_D80'!D36,'日経_D80'!D38,'日経_D80'!D40,'日経_D80'!D42,'日経_D80'!D44)</x:f>
        <x:v>1716000</x:v>
      </x:c>
      <x:c r="F54" s="6" t="n">
        <x:f>D54-E54</x:f>
        <x:v>992500</x:v>
      </x:c>
      <x:c r="G54" s="11" t="n">
        <x:v>5</x:v>
      </x:c>
      <x:c r="H54" s="11" t="n">
        <x:v>0</x:v>
      </x:c>
      <x:c r="I54" s="6" t="n">
        <x:v>53400</x:v>
      </x:c>
      <x:c r="J54" s="6" t="n">
        <x:v>78000</x:v>
      </x:c>
      <x:c r="K54" s="6" t="n">
        <x:v>-145000</x:v>
      </x:c>
      <x:c r="L54" s="6" t="n">
        <x:v>209000</x:v>
      </x:c>
      <x:c r="M54" s="6" t="n">
        <x:v>455000</x:v>
      </x:c>
    </x:row>
    <x:row r="55" ht="25" customHeight="1">
      <x:c r="A55" s="19" t="str">
        <x:v>前40の日中</x:v>
      </x:c>
      <x:c r="B55" s="19" t="str">
        <x:v>G40</x:v>
      </x:c>
      <x:c r="C55" s="12" t="str"/>
      <x:c r="D55" s="6" t="n">
        <x:f>SUM('日経_G40'!C6,'日経_G40'!C8,'日経_G40'!C10,'日経_G40'!C12,'日経_G40'!C14,'日経_G40'!C16,'日経_G40'!C18,'日経_G40'!C20,'日経_G40'!C22,'日経_G40'!C24,'日経_G40'!C26,'日経_G40'!C28,'日経_G40'!C30,'日経_G40'!C32,'日経_G40'!C34,'日経_G40'!C36,'日経_G40'!C38,'日経_G40'!C40,'日経_G40'!C42,'日経_G40'!C44)</x:f>
        <x:v>2500000</x:v>
      </x:c>
      <x:c r="E55" s="6" t="n">
        <x:f>SUM('日経_G40'!D6,'日経_G40'!D8,'日経_G40'!D10,'日経_G40'!D12,'日経_G40'!D14,'日経_G40'!D16,'日経_G40'!D18,'日経_G40'!D20,'日経_G40'!D22,'日経_G40'!D24,'日経_G40'!D26,'日経_G40'!D28,'日経_G40'!D30,'日経_G40'!D32,'日経_G40'!D34,'日経_G40'!D36,'日経_G40'!D38,'日経_G40'!D40,'日経_G40'!D42,'日経_G40'!D44)</x:f>
        <x:v>1641500</x:v>
      </x:c>
      <x:c r="F55" s="6" t="n">
        <x:f>D55-E55</x:f>
        <x:v>858500</x:v>
      </x:c>
      <x:c r="G55" s="11" t="n">
        <x:v>6</x:v>
      </x:c>
      <x:c r="H55" s="11" t="n">
        <x:v>0</x:v>
      </x:c>
      <x:c r="I55" s="6" t="n">
        <x:v>53333.333333333336</x:v>
      </x:c>
      <x:c r="J55" s="6" t="n">
        <x:v>70000</x:v>
      </x:c>
      <x:c r="K55" s="6" t="n">
        <x:v>-135000</x:v>
      </x:c>
      <x:c r="L55" s="6" t="n">
        <x:v>162500</x:v>
      </x:c>
      <x:c r="M55" s="6" t="n">
        <x:v>319000</x:v>
      </x:c>
    </x:row>
    <x:row r="56" ht="25" customHeight="1">
      <x:c r="A56" s="19" t="str">
        <x:v>前40の日中</x:v>
      </x:c>
      <x:c r="B56" s="19" t="str">
        <x:v>G80</x:v>
      </x:c>
      <x:c r="C56" s="12" t="str"/>
      <x:c r="D56" s="6" t="n">
        <x:f>SUM('日経_G80'!C6,'日経_G80'!C8,'日経_G80'!C10,'日経_G80'!C12,'日経_G80'!C14,'日経_G80'!C16,'日経_G80'!C18,'日経_G80'!C20,'日経_G80'!C22,'日経_G80'!C24,'日経_G80'!C26,'日経_G80'!C28,'日経_G80'!C30,'日経_G80'!C32,'日経_G80'!C34,'日経_G80'!C36,'日経_G80'!C38,'日経_G80'!C40,'日経_G80'!C42,'日経_G80'!C44)</x:f>
        <x:v>2747500</x:v>
      </x:c>
      <x:c r="E56" s="6" t="n">
        <x:f>SUM('日経_G80'!D6,'日経_G80'!D8,'日経_G80'!D10,'日経_G80'!D12,'日経_G80'!D14,'日経_G80'!D16,'日経_G80'!D18,'日経_G80'!D20,'日経_G80'!D22,'日経_G80'!D24,'日経_G80'!D26,'日経_G80'!D28,'日経_G80'!D30,'日経_G80'!D32,'日経_G80'!D34,'日経_G80'!D36,'日経_G80'!D38,'日経_G80'!D40,'日経_G80'!D42,'日経_G80'!D44)</x:f>
        <x:v>1744000</x:v>
      </x:c>
      <x:c r="F56" s="6" t="n">
        <x:f>D56-E56</x:f>
        <x:v>1003500</x:v>
      </x:c>
      <x:c r="G56" s="11" t="n">
        <x:v>6</x:v>
      </x:c>
      <x:c r="H56" s="11" t="n">
        <x:v>0</x:v>
      </x:c>
      <x:c r="I56" s="6" t="n">
        <x:v>47416.666666666664</x:v>
      </x:c>
      <x:c r="J56" s="6" t="n">
        <x:v>78000</x:v>
      </x:c>
      <x:c r="K56" s="6" t="n">
        <x:v>-145000</x:v>
      </x:c>
      <x:c r="L56" s="6" t="n">
        <x:v>218000</x:v>
      </x:c>
      <x:c r="M56" s="6" t="n">
        <x:v>472000</x:v>
      </x:c>
    </x:row>
    <x:row r="57" ht="25" customHeight="1">
      <x:c r="A57" s="19" t="str">
        <x:v>前40の日中</x:v>
      </x:c>
      <x:c r="B57" s="19" t="str">
        <x:v>R40</x:v>
      </x:c>
      <x:c r="C57" s="12" t="str"/>
      <x:c r="D57" s="6" t="n">
        <x:f>SUM('日経_R40'!C6,'日経_R40'!C8,'日経_R40'!C10,'日経_R40'!C12,'日経_R40'!C14,'日経_R40'!C16,'日経_R40'!C18,'日経_R40'!C20,'日経_R40'!C22,'日経_R40'!C24,'日経_R40'!C26,'日経_R40'!C28,'日経_R40'!C30,'日経_R40'!C32,'日経_R40'!C34,'日経_R40'!C36,'日経_R40'!C38,'日経_R40'!C40,'日経_R40'!C42,'日経_R40'!C44)</x:f>
        <x:v>2865000</x:v>
      </x:c>
      <x:c r="E57" s="6" t="n">
        <x:f>SUM('日経_R40'!D6,'日経_R40'!D8,'日経_R40'!D10,'日経_R40'!D12,'日経_R40'!D14,'日経_R40'!D16,'日経_R40'!D18,'日経_R40'!D20,'日経_R40'!D22,'日経_R40'!D24,'日経_R40'!D26,'日経_R40'!D28,'日経_R40'!D30,'日経_R40'!D32,'日経_R40'!D34,'日経_R40'!D36,'日経_R40'!D38,'日経_R40'!D40,'日経_R40'!D42,'日経_R40'!D44)</x:f>
        <x:v>1883500</x:v>
      </x:c>
      <x:c r="F57" s="6" t="n">
        <x:f>D57-E57</x:f>
        <x:v>981500</x:v>
      </x:c>
      <x:c r="G57" s="11" t="n">
        <x:v>6</x:v>
      </x:c>
      <x:c r="H57" s="11" t="n">
        <x:v>0</x:v>
      </x:c>
      <x:c r="I57" s="6" t="n">
        <x:v>53583.333333333336</x:v>
      </x:c>
      <x:c r="J57" s="6" t="n">
        <x:v>96000</x:v>
      </x:c>
      <x:c r="K57" s="6" t="n">
        <x:v>-163000</x:v>
      </x:c>
      <x:c r="L57" s="6" t="n">
        <x:v>207500</x:v>
      </x:c>
      <x:c r="M57" s="6" t="n">
        <x:v>450500</x:v>
      </x:c>
    </x:row>
    <x:row r="58" ht="25" customHeight="1">
      <x:c r="A58" s="19" t="str">
        <x:v>前40の日中</x:v>
      </x:c>
      <x:c r="B58" s="19" t="str">
        <x:v>R80</x:v>
      </x:c>
      <x:c r="C58" s="12" t="str"/>
      <x:c r="D58" s="6" t="n">
        <x:f>SUM('日経_R80'!C6,'日経_R80'!C8,'日経_R80'!C10,'日経_R80'!C12,'日経_R80'!C14,'日経_R80'!C16,'日経_R80'!C18,'日経_R80'!C20,'日経_R80'!C22,'日経_R80'!C24,'日経_R80'!C26,'日経_R80'!C28,'日経_R80'!C30,'日経_R80'!C32,'日経_R80'!C34,'日経_R80'!C36,'日経_R80'!C38,'日経_R80'!C40,'日経_R80'!C42,'日経_R80'!C44)</x:f>
        <x:v>2864000</x:v>
      </x:c>
      <x:c r="E58" s="6" t="n">
        <x:f>SUM('日経_R80'!D6,'日経_R80'!D8,'日経_R80'!D10,'日経_R80'!D12,'日経_R80'!D14,'日経_R80'!D16,'日経_R80'!D18,'日経_R80'!D20,'日経_R80'!D22,'日経_R80'!D24,'日経_R80'!D26,'日経_R80'!D28,'日経_R80'!D30,'日経_R80'!D32,'日経_R80'!D34,'日経_R80'!D36,'日経_R80'!D38,'日経_R80'!D40,'日経_R80'!D42,'日経_R80'!D44)</x:f>
        <x:v>1826500</x:v>
      </x:c>
      <x:c r="F58" s="6" t="n">
        <x:f>D58-E58</x:f>
        <x:v>1037500</x:v>
      </x:c>
      <x:c r="G58" s="11" t="n">
        <x:v>6</x:v>
      </x:c>
      <x:c r="H58" s="11" t="n">
        <x:v>0</x:v>
      </x:c>
      <x:c r="I58" s="6" t="n">
        <x:v>47000</x:v>
      </x:c>
      <x:c r="J58" s="6" t="n">
        <x:v>83000</x:v>
      </x:c>
      <x:c r="K58" s="6" t="n">
        <x:v>-150000</x:v>
      </x:c>
      <x:c r="L58" s="6" t="n">
        <x:v>218000</x:v>
      </x:c>
      <x:c r="M58" s="6" t="n">
        <x:v>519000</x:v>
      </x:c>
    </x:row>
    <x:row r="59" ht="25" customHeight="1">
      <x:c r="A59" s="19" t="str">
        <x:v>前40の日中</x:v>
      </x:c>
      <x:c r="B59" s="19" t="str">
        <x:v>E40</x:v>
      </x:c>
      <x:c r="C59" s="12" t="str"/>
      <x:c r="D59" s="6" t="n">
        <x:f>SUM('日経_E40'!C6,'日経_E40'!C8,'日経_E40'!C10,'日経_E40'!C12,'日経_E40'!C14,'日経_E40'!C16,'日経_E40'!C18,'日経_E40'!C20,'日経_E40'!C22,'日経_E40'!C24,'日経_E40'!C26,'日経_E40'!C28,'日経_E40'!C30,'日経_E40'!C32,'日経_E40'!C34,'日経_E40'!C36,'日経_E40'!C38,'日経_E40'!C40,'日経_E40'!C42,'日経_E40'!C44)</x:f>
        <x:v>2798000</x:v>
      </x:c>
      <x:c r="E59" s="6" t="n">
        <x:f>SUM('日経_E40'!D6,'日経_E40'!D8,'日経_E40'!D10,'日経_E40'!D12,'日経_E40'!D14,'日経_E40'!D16,'日経_E40'!D18,'日経_E40'!D20,'日経_E40'!D22,'日経_E40'!D24,'日経_E40'!D26,'日経_E40'!D28,'日経_E40'!D30,'日経_E40'!D32,'日経_E40'!D34,'日経_E40'!D36,'日経_E40'!D38,'日経_E40'!D40,'日経_E40'!D42,'日経_E40'!D44)</x:f>
        <x:v>1879000</x:v>
      </x:c>
      <x:c r="F59" s="6" t="n">
        <x:f>D59-E59</x:f>
        <x:v>919000</x:v>
      </x:c>
      <x:c r="G59" s="11" t="n">
        <x:v>6</x:v>
      </x:c>
      <x:c r="H59" s="11" t="n">
        <x:v>0</x:v>
      </x:c>
      <x:c r="I59" s="6" t="n">
        <x:v>61500</x:v>
      </x:c>
      <x:c r="J59" s="6" t="n">
        <x:v>108500</x:v>
      </x:c>
      <x:c r="K59" s="6" t="n">
        <x:v>-175500</x:v>
      </x:c>
      <x:c r="L59" s="6" t="n">
        <x:v>207500</x:v>
      </x:c>
      <x:c r="M59" s="6" t="n">
        <x:v>393500</x:v>
      </x:c>
    </x:row>
    <x:row r="60" ht="25" customHeight="1">
      <x:c r="A60" s="19" t="str">
        <x:v>前40の日中</x:v>
      </x:c>
      <x:c r="B60" s="19" t="str">
        <x:v>E80</x:v>
      </x:c>
      <x:c r="C60" s="12" t="str"/>
      <x:c r="D60" s="6" t="n">
        <x:f>SUM('日経_E80'!C6,'日経_E80'!C8,'日経_E80'!C10,'日経_E80'!C12,'日経_E80'!C14,'日経_E80'!C16,'日経_E80'!C18,'日経_E80'!C20,'日経_E80'!C22,'日経_E80'!C24,'日経_E80'!C26,'日経_E80'!C28,'日経_E80'!C30,'日経_E80'!C32,'日経_E80'!C34,'日経_E80'!C36,'日経_E80'!C38,'日経_E80'!C40,'日経_E80'!C42,'日経_E80'!C44)</x:f>
        <x:v>2815000</x:v>
      </x:c>
      <x:c r="E60" s="6" t="n">
        <x:f>SUM('日経_E80'!D6,'日経_E80'!D8,'日経_E80'!D10,'日経_E80'!D12,'日経_E80'!D14,'日経_E80'!D16,'日経_E80'!D18,'日経_E80'!D20,'日経_E80'!D22,'日経_E80'!D24,'日経_E80'!D26,'日経_E80'!D28,'日経_E80'!D30,'日経_E80'!D32,'日経_E80'!D34,'日経_E80'!D36,'日経_E80'!D38,'日経_E80'!D40,'日経_E80'!D42,'日経_E80'!D44)</x:f>
        <x:v>1825000</x:v>
      </x:c>
      <x:c r="F60" s="6" t="n">
        <x:f>D60-E60</x:f>
        <x:v>990000</x:v>
      </x:c>
      <x:c r="G60" s="11" t="n">
        <x:v>6</x:v>
      </x:c>
      <x:c r="H60" s="11" t="n">
        <x:v>0</x:v>
      </x:c>
      <x:c r="I60" s="6" t="n">
        <x:v>53083.333333333336</x:v>
      </x:c>
      <x:c r="J60" s="6" t="n">
        <x:v>95500</x:v>
      </x:c>
      <x:c r="K60" s="6" t="n">
        <x:v>-162500</x:v>
      </x:c>
      <x:c r="L60" s="6" t="n">
        <x:v>218000</x:v>
      </x:c>
      <x:c r="M60" s="6" t="n">
        <x:v>469500</x:v>
      </x:c>
    </x:row>
    <x:row r="61" ht="25" customHeight="1">
      <x:c r="A61" s="19" t="str">
        <x:v>前40の夜間</x:v>
      </x:c>
      <x:c r="B61" s="19" t="str">
        <x:v>B00</x:v>
      </x:c>
      <x:c r="C61" s="12" t="str"/>
      <x:c r="D61" s="6" t="n">
        <x:f>SUM('日経_B00'!C7,'日経_B00'!C9,'日経_B00'!C11,'日経_B00'!C13,'日経_B00'!C15,'日経_B00'!C17,'日経_B00'!C19,'日経_B00'!C21,'日経_B00'!C23,'日経_B00'!C25,'日経_B00'!C27,'日経_B00'!C29,'日経_B00'!C31,'日経_B00'!C33,'日経_B00'!C35,'日経_B00'!C37,'日経_B00'!C39,'日経_B00'!C41,'日経_B00'!C43,'日経_B00'!C45)</x:f>
        <x:v>2055000</x:v>
      </x:c>
      <x:c r="E61" s="6" t="n">
        <x:f>SUM('日経_B00'!D7,'日経_B00'!D9,'日経_B00'!D11,'日経_B00'!D13,'日経_B00'!D15,'日経_B00'!D17,'日経_B00'!D19,'日経_B00'!D21,'日経_B00'!D23,'日経_B00'!D25,'日経_B00'!D27,'日経_B00'!D29,'日経_B00'!D31,'日経_B00'!D33,'日経_B00'!D35,'日経_B00'!D37,'日経_B00'!D39,'日経_B00'!D41,'日経_B00'!D43,'日経_B00'!D45)</x:f>
        <x:v>864000</x:v>
      </x:c>
      <x:c r="F61" s="6" t="n">
        <x:f>D61-E61</x:f>
        <x:v>1191000</x:v>
      </x:c>
      <x:c r="G61" s="11" t="n">
        <x:v>6</x:v>
      </x:c>
      <x:c r="H61" s="11" t="n">
        <x:v>0</x:v>
      </x:c>
      <x:c r="I61" s="6" t="n">
        <x:v>29666.666666666668</x:v>
      </x:c>
      <x:c r="J61" s="6" t="n">
        <x:v>45000</x:v>
      </x:c>
      <x:c r="K61" s="6" t="n">
        <x:v>-105000</x:v>
      </x:c>
      <x:c r="L61" s="6" t="n">
        <x:v>162000</x:v>
      </x:c>
      <x:c r="M61" s="6" t="n">
        <x:v>450000</x:v>
      </x:c>
    </x:row>
    <x:row r="62" ht="25" customHeight="1">
      <x:c r="A62" s="19" t="str">
        <x:v>前40の夜間</x:v>
      </x:c>
      <x:c r="B62" s="19" t="str">
        <x:v>F00</x:v>
      </x:c>
      <x:c r="C62" s="12" t="str">
        <x:v>固定昼夜合成</x:v>
      </x:c>
      <x:c r="D62" s="6" t="n">
        <x:f>SUM('日経_F00'!C7,'日経_F00'!C9,'日経_F00'!C11,'日経_F00'!C13,'日経_F00'!C15,'日経_F00'!C17,'日経_F00'!C19,'日経_F00'!C21,'日経_F00'!C23,'日経_F00'!C25,'日経_F00'!C27,'日経_F00'!C29,'日経_F00'!C31,'日経_F00'!C33,'日経_F00'!C35,'日経_F00'!C37,'日経_F00'!C39,'日経_F00'!C41,'日経_F00'!C43,'日経_F00'!C45)</x:f>
        <x:v>1936000</x:v>
      </x:c>
      <x:c r="E62" s="6" t="n">
        <x:f>SUM('日経_F00'!D7,'日経_F00'!D9,'日経_F00'!D11,'日経_F00'!D13,'日経_F00'!D15,'日経_F00'!D17,'日経_F00'!D19,'日経_F00'!D21,'日経_F00'!D23,'日経_F00'!D25,'日経_F00'!D27,'日経_F00'!D29,'日経_F00'!D31,'日経_F00'!D33,'日経_F00'!D35,'日経_F00'!D37,'日経_F00'!D39,'日経_F00'!D41,'日経_F00'!D43,'日経_F00'!D45)</x:f>
        <x:v>870000</x:v>
      </x:c>
      <x:c r="F62" s="6" t="n">
        <x:f>D62-E62</x:f>
        <x:v>1066000</x:v>
      </x:c>
      <x:c r="G62" s="11" t="n">
        <x:v>6</x:v>
      </x:c>
      <x:c r="H62" s="11" t="n">
        <x:v>0</x:v>
      </x:c>
      <x:c r="I62" s="6" t="n">
        <x:v>28500</x:v>
      </x:c>
      <x:c r="J62" s="6" t="n">
        <x:v>45000</x:v>
      </x:c>
      <x:c r="K62" s="6" t="n">
        <x:v>-96000</x:v>
      </x:c>
      <x:c r="L62" s="6" t="n">
        <x:v>133500</x:v>
      </x:c>
      <x:c r="M62" s="6" t="n">
        <x:v>390000</x:v>
      </x:c>
    </x:row>
    <x:row r="63" ht="25" customHeight="1">
      <x:c r="A63" s="19" t="str">
        <x:v>前40の夜間</x:v>
      </x:c>
      <x:c r="B63" s="19" t="str">
        <x:v>C50</x:v>
      </x:c>
      <x:c r="C63" s="12" t="str"/>
      <x:c r="D63" s="6" t="n">
        <x:f>SUM('日経_C50'!C7,'日経_C50'!C9,'日経_C50'!C11,'日経_C50'!C13,'日経_C50'!C15,'日経_C50'!C17,'日経_C50'!C19,'日経_C50'!C21,'日経_C50'!C23,'日経_C50'!C25,'日経_C50'!C27,'日経_C50'!C29,'日経_C50'!C31,'日経_C50'!C33,'日経_C50'!C35,'日経_C50'!C37,'日経_C50'!C39,'日経_C50'!C41,'日経_C50'!C43,'日経_C50'!C45)</x:f>
        <x:v>1027500</x:v>
      </x:c>
      <x:c r="E63" s="6" t="n">
        <x:f>SUM('日経_C50'!D7,'日経_C50'!D9,'日経_C50'!D11,'日経_C50'!D13,'日経_C50'!D15,'日経_C50'!D17,'日経_C50'!D19,'日経_C50'!D21,'日経_C50'!D23,'日経_C50'!D25,'日経_C50'!D27,'日経_C50'!D29,'日経_C50'!D31,'日経_C50'!D33,'日経_C50'!D35,'日経_C50'!D37,'日経_C50'!D39,'日経_C50'!D41,'日経_C50'!D43,'日経_C50'!D45)</x:f>
        <x:v>432000</x:v>
      </x:c>
      <x:c r="F63" s="6" t="n">
        <x:f>D63-E63</x:f>
        <x:v>595500</x:v>
      </x:c>
      <x:c r="G63" s="11" t="n">
        <x:v>6</x:v>
      </x:c>
      <x:c r="H63" s="11" t="n">
        <x:v>0</x:v>
      </x:c>
      <x:c r="I63" s="6" t="n">
        <x:v>14833.333333333334</x:v>
      </x:c>
      <x:c r="J63" s="6" t="n">
        <x:v>22500</x:v>
      </x:c>
      <x:c r="K63" s="6" t="n">
        <x:v>-52500</x:v>
      </x:c>
      <x:c r="L63" s="6" t="n">
        <x:v>81000</x:v>
      </x:c>
      <x:c r="M63" s="6" t="n">
        <x:v>225000</x:v>
      </x:c>
    </x:row>
    <x:row r="64" ht="25" customHeight="1">
      <x:c r="A64" s="19" t="str">
        <x:v>前40の夜間</x:v>
      </x:c>
      <x:c r="B64" s="19" t="str">
        <x:v>D40</x:v>
      </x:c>
      <x:c r="C64" s="12" t="str"/>
      <x:c r="D64" s="6" t="n">
        <x:f>SUM('日経_D40'!C7,'日経_D40'!C9,'日経_D40'!C11,'日経_D40'!C13,'日経_D40'!C15,'日経_D40'!C17,'日経_D40'!C19,'日経_D40'!C21,'日経_D40'!C23,'日経_D40'!C25,'日経_D40'!C27,'日経_D40'!C29,'日経_D40'!C31,'日経_D40'!C33,'日経_D40'!C35,'日経_D40'!C37,'日経_D40'!C39,'日経_D40'!C41,'日経_D40'!C43,'日経_D40'!C45)</x:f>
        <x:v>1487500</x:v>
      </x:c>
      <x:c r="E64" s="6" t="n">
        <x:f>SUM('日経_D40'!D7,'日経_D40'!D9,'日経_D40'!D11,'日経_D40'!D13,'日経_D40'!D15,'日経_D40'!D17,'日経_D40'!D19,'日経_D40'!D21,'日経_D40'!D23,'日経_D40'!D25,'日経_D40'!D27,'日経_D40'!D29,'日経_D40'!D31,'日経_D40'!D33,'日経_D40'!D35,'日経_D40'!D37,'日経_D40'!D39,'日経_D40'!D41,'日経_D40'!D43,'日経_D40'!D45)</x:f>
        <x:v>900000</x:v>
      </x:c>
      <x:c r="F64" s="6" t="n">
        <x:f>D64-E64</x:f>
        <x:v>587500</x:v>
      </x:c>
      <x:c r="G64" s="11" t="n">
        <x:v>9</x:v>
      </x:c>
      <x:c r="H64" s="11" t="n">
        <x:v>0</x:v>
      </x:c>
      <x:c r="I64" s="6" t="n">
        <x:v>22611.11111111111</x:v>
      </x:c>
      <x:c r="J64" s="6" t="n">
        <x:v>37500</x:v>
      </x:c>
      <x:c r="K64" s="6" t="n">
        <x:v>-78500</x:v>
      </x:c>
      <x:c r="L64" s="6" t="n">
        <x:v>116500</x:v>
      </x:c>
      <x:c r="M64" s="6" t="n">
        <x:v>111000</x:v>
      </x:c>
    </x:row>
    <x:row r="65" ht="25" customHeight="1">
      <x:c r="A65" s="19" t="str">
        <x:v>前40の夜間</x:v>
      </x:c>
      <x:c r="B65" s="19" t="str">
        <x:v>D80</x:v>
      </x:c>
      <x:c r="C65" s="12" t="str">
        <x:v>昼選択・夜選択</x:v>
      </x:c>
      <x:c r="D65" s="6" t="n">
        <x:f>SUM('日経_D80'!C7,'日経_D80'!C9,'日経_D80'!C11,'日経_D80'!C13,'日経_D80'!C15,'日経_D80'!C17,'日経_D80'!C19,'日経_D80'!C21,'日経_D80'!C23,'日経_D80'!C25,'日経_D80'!C27,'日経_D80'!C29,'日経_D80'!C31,'日経_D80'!C33,'日経_D80'!C35,'日経_D80'!C37,'日経_D80'!C39,'日経_D80'!C41,'日経_D80'!C43,'日経_D80'!C45)</x:f>
        <x:v>1936000</x:v>
      </x:c>
      <x:c r="E65" s="6" t="n">
        <x:f>SUM('日経_D80'!D7,'日経_D80'!D9,'日経_D80'!D11,'日経_D80'!D13,'日経_D80'!D15,'日経_D80'!D17,'日経_D80'!D19,'日経_D80'!D21,'日経_D80'!D23,'日経_D80'!D25,'日経_D80'!D27,'日経_D80'!D29,'日経_D80'!D31,'日経_D80'!D33,'日経_D80'!D35,'日経_D80'!D37,'日経_D80'!D39,'日経_D80'!D41,'日経_D80'!D43,'日経_D80'!D45)</x:f>
        <x:v>870000</x:v>
      </x:c>
      <x:c r="F65" s="6" t="n">
        <x:f>D65-E65</x:f>
        <x:v>1066000</x:v>
      </x:c>
      <x:c r="G65" s="11" t="n">
        <x:v>6</x:v>
      </x:c>
      <x:c r="H65" s="11" t="n">
        <x:v>0</x:v>
      </x:c>
      <x:c r="I65" s="6" t="n">
        <x:v>28500</x:v>
      </x:c>
      <x:c r="J65" s="6" t="n">
        <x:v>45000</x:v>
      </x:c>
      <x:c r="K65" s="6" t="n">
        <x:v>-96000</x:v>
      </x:c>
      <x:c r="L65" s="6" t="n">
        <x:v>133500</x:v>
      </x:c>
      <x:c r="M65" s="6" t="n">
        <x:v>390000</x:v>
      </x:c>
    </x:row>
    <x:row r="66" ht="25" customHeight="1">
      <x:c r="A66" s="19" t="str">
        <x:v>前40の夜間</x:v>
      </x:c>
      <x:c r="B66" s="19" t="str">
        <x:v>G40</x:v>
      </x:c>
      <x:c r="C66" s="12" t="str"/>
      <x:c r="D66" s="6" t="n">
        <x:f>SUM('日経_G40'!C7,'日経_G40'!C9,'日経_G40'!C11,'日経_G40'!C13,'日経_G40'!C15,'日経_G40'!C17,'日経_G40'!C19,'日経_G40'!C21,'日経_G40'!C23,'日経_G40'!C25,'日経_G40'!C27,'日経_G40'!C29,'日経_G40'!C31,'日経_G40'!C33,'日経_G40'!C35,'日経_G40'!C37,'日経_G40'!C39,'日経_G40'!C41,'日経_G40'!C43,'日経_G40'!C45)</x:f>
        <x:v>1776000</x:v>
      </x:c>
      <x:c r="E66" s="6" t="n">
        <x:f>SUM('日経_G40'!D7,'日経_G40'!D9,'日経_G40'!D11,'日経_G40'!D13,'日経_G40'!D15,'日経_G40'!D17,'日経_G40'!D19,'日経_G40'!D21,'日経_G40'!D23,'日経_G40'!D25,'日経_G40'!D27,'日経_G40'!D29,'日経_G40'!D31,'日経_G40'!D33,'日経_G40'!D35,'日経_G40'!D37,'日経_G40'!D39,'日経_G40'!D41,'日経_G40'!D43,'日経_G40'!D45)</x:f>
        <x:v>874500</x:v>
      </x:c>
      <x:c r="F66" s="6" t="n">
        <x:f>D66-E66</x:f>
        <x:v>901500</x:v>
      </x:c>
      <x:c r="G66" s="11" t="n">
        <x:v>8</x:v>
      </x:c>
      <x:c r="H66" s="11" t="n">
        <x:v>0</x:v>
      </x:c>
      <x:c r="I66" s="6" t="n">
        <x:v>24250</x:v>
      </x:c>
      <x:c r="J66" s="6" t="n">
        <x:v>45000</x:v>
      </x:c>
      <x:c r="K66" s="6" t="n">
        <x:v>-92500</x:v>
      </x:c>
      <x:c r="L66" s="6" t="n">
        <x:v>121500</x:v>
      </x:c>
      <x:c r="M66" s="6" t="n">
        <x:v>276500</x:v>
      </x:c>
    </x:row>
    <x:row r="67" ht="25" customHeight="1">
      <x:c r="A67" s="19" t="str">
        <x:v>前40の夜間</x:v>
      </x:c>
      <x:c r="B67" s="19" t="str">
        <x:v>G80</x:v>
      </x:c>
      <x:c r="C67" s="12" t="str"/>
      <x:c r="D67" s="6" t="n">
        <x:f>SUM('日経_G80'!C7,'日経_G80'!C9,'日経_G80'!C11,'日経_G80'!C13,'日経_G80'!C15,'日経_G80'!C17,'日経_G80'!C19,'日経_G80'!C21,'日経_G80'!C23,'日経_G80'!C25,'日経_G80'!C27,'日経_G80'!C29,'日経_G80'!C31,'日経_G80'!C33,'日経_G80'!C35,'日経_G80'!C37,'日経_G80'!C39,'日経_G80'!C41,'日経_G80'!C43,'日経_G80'!C45)</x:f>
        <x:v>2037000</x:v>
      </x:c>
      <x:c r="E67" s="6" t="n">
        <x:f>SUM('日経_G80'!D7,'日経_G80'!D9,'日経_G80'!D11,'日経_G80'!D13,'日経_G80'!D15,'日経_G80'!D17,'日経_G80'!D19,'日経_G80'!D21,'日経_G80'!D23,'日経_G80'!D25,'日経_G80'!D27,'日経_G80'!D29,'日経_G80'!D31,'日経_G80'!D33,'日経_G80'!D35,'日経_G80'!D37,'日経_G80'!D39,'日経_G80'!D41,'日経_G80'!D43,'日経_G80'!D45)</x:f>
        <x:v>832000</x:v>
      </x:c>
      <x:c r="F67" s="6" t="n">
        <x:f>D67-E67</x:f>
        <x:v>1205000</x:v>
      </x:c>
      <x:c r="G67" s="11" t="n">
        <x:v>6</x:v>
      </x:c>
      <x:c r="H67" s="11" t="n">
        <x:v>0</x:v>
      </x:c>
      <x:c r="I67" s="6" t="n">
        <x:v>28750</x:v>
      </x:c>
      <x:c r="J67" s="6" t="n">
        <x:v>45000</x:v>
      </x:c>
      <x:c r="K67" s="6" t="n">
        <x:v>-100500</x:v>
      </x:c>
      <x:c r="L67" s="6" t="n">
        <x:v>154000</x:v>
      </x:c>
      <x:c r="M67" s="6" t="n">
        <x:v>448500</x:v>
      </x:c>
    </x:row>
    <x:row r="68" ht="25" customHeight="1">
      <x:c r="A68" s="19" t="str">
        <x:v>前40の夜間</x:v>
      </x:c>
      <x:c r="B68" s="19" t="str">
        <x:v>R40</x:v>
      </x:c>
      <x:c r="C68" s="12" t="str"/>
      <x:c r="D68" s="6" t="n">
        <x:f>SUM('日経_R40'!C7,'日経_R40'!C9,'日経_R40'!C11,'日経_R40'!C13,'日経_R40'!C15,'日経_R40'!C17,'日経_R40'!C19,'日経_R40'!C21,'日経_R40'!C23,'日経_R40'!C25,'日経_R40'!C27,'日経_R40'!C29,'日経_R40'!C31,'日経_R40'!C33,'日経_R40'!C35,'日経_R40'!C37,'日経_R40'!C39,'日経_R40'!C41,'日経_R40'!C43,'日経_R40'!C45)</x:f>
        <x:v>2114500</x:v>
      </x:c>
      <x:c r="E68" s="6" t="n">
        <x:f>SUM('日経_R40'!D7,'日経_R40'!D9,'日経_R40'!D11,'日経_R40'!D13,'日経_R40'!D15,'日経_R40'!D17,'日経_R40'!D19,'日経_R40'!D21,'日経_R40'!D23,'日経_R40'!D25,'日経_R40'!D27,'日経_R40'!D29,'日経_R40'!D31,'日経_R40'!D33,'日経_R40'!D35,'日経_R40'!D37,'日経_R40'!D39,'日経_R40'!D41,'日経_R40'!D43,'日経_R40'!D45)</x:f>
        <x:v>959000</x:v>
      </x:c>
      <x:c r="F68" s="6" t="n">
        <x:f>D68-E68</x:f>
        <x:v>1155500</x:v>
      </x:c>
      <x:c r="G68" s="11" t="n">
        <x:v>7</x:v>
      </x:c>
      <x:c r="H68" s="11" t="n">
        <x:v>0</x:v>
      </x:c>
      <x:c r="I68" s="6" t="n">
        <x:v>24571.428571428572</x:v>
      </x:c>
      <x:c r="J68" s="6" t="n">
        <x:v>45000</x:v>
      </x:c>
      <x:c r="K68" s="6" t="n">
        <x:v>-102500</x:v>
      </x:c>
      <x:c r="L68" s="6" t="n">
        <x:v>165000</x:v>
      </x:c>
      <x:c r="M68" s="6" t="n">
        <x:v>424000</x:v>
      </x:c>
    </x:row>
    <x:row r="69" ht="25" customHeight="1">
      <x:c r="A69" s="19" t="str">
        <x:v>前40の夜間</x:v>
      </x:c>
      <x:c r="B69" s="19" t="str">
        <x:v>R80</x:v>
      </x:c>
      <x:c r="C69" s="12" t="str"/>
      <x:c r="D69" s="6" t="n">
        <x:f>SUM('日経_R80'!C7,'日経_R80'!C9,'日経_R80'!C11,'日経_R80'!C13,'日経_R80'!C15,'日経_R80'!C17,'日経_R80'!C19,'日経_R80'!C21,'日経_R80'!C23,'日経_R80'!C25,'日経_R80'!C27,'日経_R80'!C29,'日経_R80'!C31,'日経_R80'!C33,'日経_R80'!C35,'日経_R80'!C37,'日経_R80'!C39,'日経_R80'!C41,'日経_R80'!C43,'日経_R80'!C45)</x:f>
        <x:v>2087500</x:v>
      </x:c>
      <x:c r="E69" s="6" t="n">
        <x:f>SUM('日経_R80'!D7,'日経_R80'!D9,'日経_R80'!D11,'日経_R80'!D13,'日経_R80'!D15,'日経_R80'!D17,'日経_R80'!D19,'日経_R80'!D21,'日経_R80'!D23,'日経_R80'!D25,'日経_R80'!D27,'日経_R80'!D29,'日経_R80'!D31,'日経_R80'!D33,'日経_R80'!D35,'日経_R80'!D37,'日経_R80'!D39,'日経_R80'!D41,'日経_R80'!D43,'日経_R80'!D45)</x:f>
        <x:v>892000</x:v>
      </x:c>
      <x:c r="F69" s="6" t="n">
        <x:f>D69-E69</x:f>
        <x:v>1195500</x:v>
      </x:c>
      <x:c r="G69" s="11" t="n">
        <x:v>7</x:v>
      </x:c>
      <x:c r="H69" s="11" t="n">
        <x:v>0</x:v>
      </x:c>
      <x:c r="I69" s="6" t="n">
        <x:v>25714.285714285714</x:v>
      </x:c>
      <x:c r="J69" s="6" t="n">
        <x:v>45000</x:v>
      </x:c>
      <x:c r="K69" s="6" t="n">
        <x:v>-104000</x:v>
      </x:c>
      <x:c r="L69" s="6" t="n">
        <x:v>165000</x:v>
      </x:c>
      <x:c r="M69" s="6" t="n">
        <x:v>460500</x:v>
      </x:c>
    </x:row>
    <x:row r="70" ht="25" customHeight="1">
      <x:c r="A70" s="19" t="str">
        <x:v>前40の夜間</x:v>
      </x:c>
      <x:c r="B70" s="19" t="str">
        <x:v>E40</x:v>
      </x:c>
      <x:c r="C70" s="12" t="str"/>
      <x:c r="D70" s="6" t="n">
        <x:f>SUM('日経_E40'!C7,'日経_E40'!C9,'日経_E40'!C11,'日経_E40'!C13,'日経_E40'!C15,'日経_E40'!C17,'日経_E40'!C19,'日経_E40'!C21,'日経_E40'!C23,'日経_E40'!C25,'日経_E40'!C27,'日経_E40'!C29,'日経_E40'!C31,'日経_E40'!C33,'日経_E40'!C35,'日経_E40'!C37,'日経_E40'!C39,'日経_E40'!C41,'日経_E40'!C43,'日経_E40'!C45)</x:f>
        <x:v>2006000</x:v>
      </x:c>
      <x:c r="E70" s="6" t="n">
        <x:f>SUM('日経_E40'!D7,'日経_E40'!D9,'日経_E40'!D11,'日経_E40'!D13,'日経_E40'!D15,'日経_E40'!D17,'日経_E40'!D19,'日経_E40'!D21,'日経_E40'!D23,'日経_E40'!D25,'日経_E40'!D27,'日経_E40'!D29,'日経_E40'!D31,'日経_E40'!D33,'日経_E40'!D35,'日経_E40'!D37,'日経_E40'!D39,'日経_E40'!D41,'日経_E40'!D43,'日経_E40'!D45)</x:f>
        <x:v>947500</x:v>
      </x:c>
      <x:c r="F70" s="6" t="n">
        <x:f>D70-E70</x:f>
        <x:v>1058500</x:v>
      </x:c>
      <x:c r="G70" s="11" t="n">
        <x:v>6</x:v>
      </x:c>
      <x:c r="H70" s="11" t="n">
        <x:v>0</x:v>
      </x:c>
      <x:c r="I70" s="6" t="n">
        <x:v>27416.666666666668</x:v>
      </x:c>
      <x:c r="J70" s="6" t="n">
        <x:v>45000</x:v>
      </x:c>
      <x:c r="K70" s="6" t="n">
        <x:v>-113500</x:v>
      </x:c>
      <x:c r="L70" s="6" t="n">
        <x:v>168500</x:v>
      </x:c>
      <x:c r="M70" s="6" t="n">
        <x:v>374000</x:v>
      </x:c>
    </x:row>
    <x:row r="71" ht="25" customHeight="1">
      <x:c r="A71" s="19" t="str">
        <x:v>前40の夜間</x:v>
      </x:c>
      <x:c r="B71" s="19" t="str">
        <x:v>E80</x:v>
      </x:c>
      <x:c r="C71" s="12" t="str"/>
      <x:c r="D71" s="6" t="n">
        <x:f>SUM('日経_E80'!C7,'日経_E80'!C9,'日経_E80'!C11,'日経_E80'!C13,'日経_E80'!C15,'日経_E80'!C17,'日経_E80'!C19,'日経_E80'!C21,'日経_E80'!C23,'日経_E80'!C25,'日経_E80'!C27,'日経_E80'!C29,'日経_E80'!C31,'日経_E80'!C33,'日経_E80'!C35,'日経_E80'!C37,'日経_E80'!C39,'日経_E80'!C41,'日経_E80'!C43,'日経_E80'!C45)</x:f>
        <x:v>2044500</x:v>
      </x:c>
      <x:c r="E71" s="6" t="n">
        <x:f>SUM('日経_E80'!D7,'日経_E80'!D9,'日経_E80'!D11,'日経_E80'!D13,'日経_E80'!D15,'日経_E80'!D17,'日経_E80'!D19,'日経_E80'!D21,'日経_E80'!D23,'日経_E80'!D25,'日経_E80'!D27,'日経_E80'!D29,'日経_E80'!D31,'日経_E80'!D33,'日経_E80'!D35,'日経_E80'!D37,'日経_E80'!D39,'日経_E80'!D41,'日経_E80'!D43,'日経_E80'!D45)</x:f>
        <x:v>873000</x:v>
      </x:c>
      <x:c r="F71" s="6" t="n">
        <x:f>D71-E71</x:f>
        <x:v>1171500</x:v>
      </x:c>
      <x:c r="G71" s="11" t="n">
        <x:v>6</x:v>
      </x:c>
      <x:c r="H71" s="11" t="n">
        <x:v>0</x:v>
      </x:c>
      <x:c r="I71" s="6" t="n">
        <x:v>28750</x:v>
      </x:c>
      <x:c r="J71" s="6" t="n">
        <x:v>45000</x:v>
      </x:c>
      <x:c r="K71" s="6" t="n">
        <x:v>-108500</x:v>
      </x:c>
      <x:c r="L71" s="6" t="n">
        <x:v>168500</x:v>
      </x:c>
      <x:c r="M71" s="6" t="n">
        <x:v>429500</x:v>
      </x:c>
    </x:row>
    <x:row r="72" ht="25" customHeight="1">
      <x:c r="A72" s="19" t="str">
        <x:v>後13場</x:v>
      </x:c>
      <x:c r="B72" s="19" t="str">
        <x:v>B00</x:v>
      </x:c>
      <x:c r="C72" s="12" t="str"/>
      <x:c r="D72" s="6" t="n">
        <x:f>SUM('日経_B00'!C46,'日経_B00'!C47,'日経_B00'!C48,'日経_B00'!C49,'日経_B00'!C50,'日経_B00'!C51,'日経_B00'!C52,'日経_B00'!C53,'日経_B00'!C54,'日経_B00'!C55,'日経_B00'!C56,'日経_B00'!C57,'日経_B00'!C58)</x:f>
        <x:v>2356000</x:v>
      </x:c>
      <x:c r="E72" s="6" t="n">
        <x:f>SUM('日経_B00'!D46,'日経_B00'!D47,'日経_B00'!D48,'日経_B00'!D49,'日経_B00'!D50,'日経_B00'!D51,'日経_B00'!D52,'日経_B00'!D53,'日経_B00'!D54,'日経_B00'!D55,'日経_B00'!D56,'日経_B00'!D57,'日経_B00'!D58)</x:f>
        <x:v>1303000</x:v>
      </x:c>
      <x:c r="F72" s="6" t="n">
        <x:f>D72-E72</x:f>
        <x:v>1053000</x:v>
      </x:c>
      <x:c r="G72" s="11" t="n">
        <x:v>5</x:v>
      </x:c>
      <x:c r="H72" s="11" t="n">
        <x:v>0</x:v>
      </x:c>
      <x:c r="I72" s="6" t="n">
        <x:v>60600</x:v>
      </x:c>
      <x:c r="J72" s="6" t="n">
        <x:v>115000</x:v>
      </x:c>
      <x:c r="K72" s="6" t="n">
        <x:v>-203000</x:v>
      </x:c>
      <x:c r="L72" s="6" t="n">
        <x:v>294000</x:v>
      </x:c>
      <x:c r="M72" s="6" t="n">
        <x:v>37000</x:v>
      </x:c>
    </x:row>
    <x:row r="73" ht="25" customHeight="1">
      <x:c r="A73" s="19" t="str">
        <x:v>後13場</x:v>
      </x:c>
      <x:c r="B73" s="19" t="str">
        <x:v>F00</x:v>
      </x:c>
      <x:c r="C73" s="12" t="str">
        <x:v>固定昼夜合成</x:v>
      </x:c>
      <x:c r="D73" s="6" t="n">
        <x:f>SUM('日経_F00'!C46,'日経_F00'!C47,'日経_F00'!C48,'日経_F00'!C49,'日経_F00'!C50,'日経_F00'!C51,'日経_F00'!C52,'日経_F00'!C53,'日経_F00'!C54,'日経_F00'!C55,'日経_F00'!C56,'日経_F00'!C57,'日経_F00'!C58)</x:f>
        <x:v>1818000</x:v>
      </x:c>
      <x:c r="E73" s="6" t="n">
        <x:f>SUM('日経_F00'!D46,'日経_F00'!D47,'日経_F00'!D48,'日経_F00'!D49,'日経_F00'!D50,'日経_F00'!D51,'日経_F00'!D52,'日経_F00'!D53,'日経_F00'!D54,'日経_F00'!D55,'日経_F00'!D56,'日経_F00'!D57,'日経_F00'!D58)</x:f>
        <x:v>1371000</x:v>
      </x:c>
      <x:c r="F73" s="6" t="n">
        <x:f>D73-E73</x:f>
        <x:v>447000</x:v>
      </x:c>
      <x:c r="G73" s="11" t="n">
        <x:v>5</x:v>
      </x:c>
      <x:c r="H73" s="11" t="n">
        <x:v>0</x:v>
      </x:c>
      <x:c r="I73" s="6" t="n">
        <x:v>65700</x:v>
      </x:c>
      <x:c r="J73" s="6" t="n">
        <x:v>109000</x:v>
      </x:c>
      <x:c r="K73" s="6" t="n">
        <x:v>-199000</x:v>
      </x:c>
      <x:c r="L73" s="6" t="n">
        <x:v>277000</x:v>
      </x:c>
      <x:c r="M73" s="6" t="n">
        <x:v>-50500</x:v>
      </x:c>
    </x:row>
    <x:row r="74" ht="25" customHeight="1">
      <x:c r="A74" s="19" t="str">
        <x:v>後13場</x:v>
      </x:c>
      <x:c r="B74" s="19" t="str">
        <x:v>C50</x:v>
      </x:c>
      <x:c r="C74" s="12" t="str"/>
      <x:c r="D74" s="6" t="n">
        <x:f>SUM('日経_C50'!C46,'日経_C50'!C47,'日経_C50'!C48,'日経_C50'!C49,'日経_C50'!C50,'日経_C50'!C51,'日経_C50'!C52,'日経_C50'!C53,'日経_C50'!C54,'日経_C50'!C55,'日経_C50'!C56,'日経_C50'!C57,'日経_C50'!C58)</x:f>
        <x:v>1178000</x:v>
      </x:c>
      <x:c r="E74" s="6" t="n">
        <x:f>SUM('日経_C50'!D46,'日経_C50'!D47,'日経_C50'!D48,'日経_C50'!D49,'日経_C50'!D50,'日経_C50'!D51,'日経_C50'!D52,'日経_C50'!D53,'日経_C50'!D54,'日経_C50'!D55,'日経_C50'!D56,'日経_C50'!D57,'日経_C50'!D58)</x:f>
        <x:v>651500</x:v>
      </x:c>
      <x:c r="F74" s="6" t="n">
        <x:f>D74-E74</x:f>
        <x:v>526500</x:v>
      </x:c>
      <x:c r="G74" s="11" t="n">
        <x:v>5</x:v>
      </x:c>
      <x:c r="H74" s="11" t="n">
        <x:v>0</x:v>
      </x:c>
      <x:c r="I74" s="6" t="n">
        <x:v>30300</x:v>
      </x:c>
      <x:c r="J74" s="6" t="n">
        <x:v>57500</x:v>
      </x:c>
      <x:c r="K74" s="6" t="n">
        <x:v>-101500</x:v>
      </x:c>
      <x:c r="L74" s="6" t="n">
        <x:v>147000</x:v>
      </x:c>
      <x:c r="M74" s="6" t="n">
        <x:v>18500</x:v>
      </x:c>
    </x:row>
    <x:row r="75" ht="25" customHeight="1">
      <x:c r="A75" s="19" t="str">
        <x:v>後13場</x:v>
      </x:c>
      <x:c r="B75" s="19" t="str">
        <x:v>D40</x:v>
      </x:c>
      <x:c r="C75" s="12" t="str"/>
      <x:c r="D75" s="6" t="n">
        <x:f>SUM('日経_D40'!C46,'日経_D40'!C47,'日経_D40'!C48,'日経_D40'!C49,'日経_D40'!C50,'日経_D40'!C51,'日経_D40'!C52,'日経_D40'!C53,'日経_D40'!C54,'日経_D40'!C55,'日経_D40'!C56,'日経_D40'!C57,'日経_D40'!C58)</x:f>
        <x:v>1708500</x:v>
      </x:c>
      <x:c r="E75" s="6" t="n">
        <x:f>SUM('日経_D40'!D46,'日経_D40'!D47,'日経_D40'!D48,'日経_D40'!D49,'日経_D40'!D50,'日経_D40'!D51,'日経_D40'!D52,'日経_D40'!D53,'日経_D40'!D54,'日経_D40'!D55,'日経_D40'!D56,'日経_D40'!D57,'日経_D40'!D58)</x:f>
        <x:v>1191500</x:v>
      </x:c>
      <x:c r="F75" s="6" t="n">
        <x:f>D75-E75</x:f>
        <x:v>517000</x:v>
      </x:c>
      <x:c r="G75" s="11" t="n">
        <x:v>5</x:v>
      </x:c>
      <x:c r="H75" s="11" t="n">
        <x:v>0</x:v>
      </x:c>
      <x:c r="I75" s="6" t="n">
        <x:v>50300</x:v>
      </x:c>
      <x:c r="J75" s="6" t="n">
        <x:v>96000</x:v>
      </x:c>
      <x:c r="K75" s="6" t="n">
        <x:v>-165000</x:v>
      </x:c>
      <x:c r="L75" s="6" t="n">
        <x:v>249000</x:v>
      </x:c>
      <x:c r="M75" s="6" t="n">
        <x:v>-5500</x:v>
      </x:c>
    </x:row>
    <x:row r="76" ht="25" customHeight="1">
      <x:c r="A76" s="19" t="str">
        <x:v>後13場</x:v>
      </x:c>
      <x:c r="B76" s="19" t="str">
        <x:v>D80</x:v>
      </x:c>
      <x:c r="C76" s="12" t="str">
        <x:v>昼選択・夜選択</x:v>
      </x:c>
      <x:c r="D76" s="6" t="n">
        <x:f>SUM('日経_D80'!C46,'日経_D80'!C47,'日経_D80'!C48,'日経_D80'!C49,'日経_D80'!C50,'日経_D80'!C51,'日経_D80'!C52,'日経_D80'!C53,'日経_D80'!C54,'日経_D80'!C55,'日経_D80'!C56,'日経_D80'!C57,'日経_D80'!C58)</x:f>
        <x:v>1818000</x:v>
      </x:c>
      <x:c r="E76" s="6" t="n">
        <x:f>SUM('日経_D80'!D46,'日経_D80'!D47,'日経_D80'!D48,'日経_D80'!D49,'日経_D80'!D50,'日経_D80'!D51,'日経_D80'!D52,'日経_D80'!D53,'日経_D80'!D54,'日経_D80'!D55,'日経_D80'!D56,'日経_D80'!D57,'日経_D80'!D58)</x:f>
        <x:v>1371000</x:v>
      </x:c>
      <x:c r="F76" s="6" t="n">
        <x:f>D76-E76</x:f>
        <x:v>447000</x:v>
      </x:c>
      <x:c r="G76" s="11" t="n">
        <x:v>5</x:v>
      </x:c>
      <x:c r="H76" s="11" t="n">
        <x:v>0</x:v>
      </x:c>
      <x:c r="I76" s="6" t="n">
        <x:v>65700</x:v>
      </x:c>
      <x:c r="J76" s="6" t="n">
        <x:v>109000</x:v>
      </x:c>
      <x:c r="K76" s="6" t="n">
        <x:v>-199000</x:v>
      </x:c>
      <x:c r="L76" s="6" t="n">
        <x:v>277000</x:v>
      </x:c>
      <x:c r="M76" s="6" t="n">
        <x:v>-50500</x:v>
      </x:c>
    </x:row>
    <x:row r="77" ht="25" customHeight="1">
      <x:c r="A77" s="19" t="str">
        <x:v>後13場</x:v>
      </x:c>
      <x:c r="B77" s="19" t="str">
        <x:v>G40</x:v>
      </x:c>
      <x:c r="C77" s="12" t="str"/>
      <x:c r="D77" s="6" t="n">
        <x:f>SUM('日経_G40'!C46,'日経_G40'!C47,'日経_G40'!C48,'日経_G40'!C49,'日経_G40'!C50,'日経_G40'!C51,'日経_G40'!C52,'日経_G40'!C53,'日経_G40'!C54,'日経_G40'!C55,'日経_G40'!C56,'日経_G40'!C57,'日経_G40'!C58)</x:f>
        <x:v>1791000</x:v>
      </x:c>
      <x:c r="E77" s="6" t="n">
        <x:f>SUM('日経_G40'!D46,'日経_G40'!D47,'日経_G40'!D48,'日経_G40'!D49,'日経_G40'!D50,'日経_G40'!D51,'日経_G40'!D52,'日経_G40'!D53,'日経_G40'!D54,'日経_G40'!D55,'日経_G40'!D56,'日経_G40'!D57,'日経_G40'!D58)</x:f>
        <x:v>1228000</x:v>
      </x:c>
      <x:c r="F77" s="6" t="n">
        <x:f>D77-E77</x:f>
        <x:v>563000</x:v>
      </x:c>
      <x:c r="G77" s="11" t="n">
        <x:v>6</x:v>
      </x:c>
      <x:c r="H77" s="11" t="n">
        <x:v>0</x:v>
      </x:c>
      <x:c r="I77" s="6" t="n">
        <x:v>47833.333333333336</x:v>
      </x:c>
      <x:c r="J77" s="6" t="n">
        <x:v>106000</x:v>
      </x:c>
      <x:c r="K77" s="6" t="n">
        <x:v>-174000</x:v>
      </x:c>
      <x:c r="L77" s="6" t="n">
        <x:v>261500</x:v>
      </x:c>
      <x:c r="M77" s="6" t="n">
        <x:v>53000</x:v>
      </x:c>
    </x:row>
    <x:row r="78" ht="25" customHeight="1">
      <x:c r="A78" s="19" t="str">
        <x:v>後13場</x:v>
      </x:c>
      <x:c r="B78" s="19" t="str">
        <x:v>G80</x:v>
      </x:c>
      <x:c r="C78" s="12" t="str"/>
      <x:c r="D78" s="6" t="n">
        <x:f>SUM('日経_G80'!C46,'日経_G80'!C47,'日経_G80'!C48,'日経_G80'!C49,'日経_G80'!C50,'日経_G80'!C51,'日経_G80'!C52,'日経_G80'!C53,'日経_G80'!C54,'日経_G80'!C55,'日経_G80'!C56,'日経_G80'!C57,'日経_G80'!C58)</x:f>
        <x:v>1835000</x:v>
      </x:c>
      <x:c r="E78" s="6" t="n">
        <x:f>SUM('日経_G80'!D46,'日経_G80'!D47,'日経_G80'!D48,'日経_G80'!D49,'日経_G80'!D50,'日経_G80'!D51,'日経_G80'!D52,'日経_G80'!D53,'日経_G80'!D54,'日経_G80'!D55,'日経_G80'!D56,'日経_G80'!D57,'日経_G80'!D58)</x:f>
        <x:v>1370000</x:v>
      </x:c>
      <x:c r="F78" s="6" t="n">
        <x:f>D78-E78</x:f>
        <x:v>465000</x:v>
      </x:c>
      <x:c r="G78" s="11" t="n">
        <x:v>5</x:v>
      </x:c>
      <x:c r="H78" s="11" t="n">
        <x:v>0</x:v>
      </x:c>
      <x:c r="I78" s="6" t="n">
        <x:v>68000</x:v>
      </x:c>
      <x:c r="J78" s="6" t="n">
        <x:v>111000</x:v>
      </x:c>
      <x:c r="K78" s="6" t="n">
        <x:v>-201000</x:v>
      </x:c>
      <x:c r="L78" s="6" t="n">
        <x:v>281000</x:v>
      </x:c>
      <x:c r="M78" s="6" t="n">
        <x:v>-27500</x:v>
      </x:c>
    </x:row>
    <x:row r="79" ht="25" customHeight="1">
      <x:c r="A79" s="19" t="str">
        <x:v>後13場</x:v>
      </x:c>
      <x:c r="B79" s="19" t="str">
        <x:v>R40</x:v>
      </x:c>
      <x:c r="C79" s="12" t="str"/>
      <x:c r="D79" s="6" t="n">
        <x:f>SUM('日経_R40'!C46,'日経_R40'!C47,'日経_R40'!C48,'日経_R40'!C49,'日経_R40'!C50,'日経_R40'!C51,'日経_R40'!C52,'日経_R40'!C53,'日経_R40'!C54,'日経_R40'!C55,'日経_R40'!C56,'日経_R40'!C57,'日経_R40'!C58)</x:f>
        <x:v>2416000</x:v>
      </x:c>
      <x:c r="E79" s="6" t="n">
        <x:f>SUM('日経_R40'!D46,'日経_R40'!D47,'日経_R40'!D48,'日経_R40'!D49,'日経_R40'!D50,'日経_R40'!D51,'日経_R40'!D52,'日経_R40'!D53,'日経_R40'!D54,'日経_R40'!D55,'日経_R40'!D56,'日経_R40'!D57,'日経_R40'!D58)</x:f>
        <x:v>1480500</x:v>
      </x:c>
      <x:c r="F79" s="6" t="n">
        <x:f>D79-E79</x:f>
        <x:v>935500</x:v>
      </x:c>
      <x:c r="G79" s="11" t="n">
        <x:v>6</x:v>
      </x:c>
      <x:c r="H79" s="11" t="n">
        <x:v>0</x:v>
      </x:c>
      <x:c r="I79" s="6" t="n">
        <x:v>62000</x:v>
      </x:c>
      <x:c r="J79" s="6" t="n">
        <x:v>132500</x:v>
      </x:c>
      <x:c r="K79" s="6" t="n">
        <x:v>-204000</x:v>
      </x:c>
      <x:c r="L79" s="6" t="n">
        <x:v>274500</x:v>
      </x:c>
      <x:c r="M79" s="6" t="n">
        <x:v>-44000</x:v>
      </x:c>
    </x:row>
    <x:row r="80" ht="25" customHeight="1">
      <x:c r="A80" s="19" t="str">
        <x:v>後13場</x:v>
      </x:c>
      <x:c r="B80" s="19" t="str">
        <x:v>R80</x:v>
      </x:c>
      <x:c r="C80" s="12" t="str"/>
      <x:c r="D80" s="6" t="n">
        <x:f>SUM('日経_R80'!C46,'日経_R80'!C47,'日経_R80'!C48,'日経_R80'!C49,'日経_R80'!C50,'日経_R80'!C51,'日経_R80'!C52,'日経_R80'!C53,'日経_R80'!C54,'日経_R80'!C55,'日経_R80'!C56,'日経_R80'!C57,'日経_R80'!C58)</x:f>
        <x:v>2428000</x:v>
      </x:c>
      <x:c r="E80" s="6" t="n">
        <x:f>SUM('日経_R80'!D46,'日経_R80'!D47,'日経_R80'!D48,'日経_R80'!D49,'日経_R80'!D50,'日経_R80'!D51,'日経_R80'!D52,'日経_R80'!D53,'日経_R80'!D54,'日経_R80'!D55,'日経_R80'!D56,'日経_R80'!D57,'日経_R80'!D58)</x:f>
        <x:v>1504500</x:v>
      </x:c>
      <x:c r="F80" s="6" t="n">
        <x:f>D80-E80</x:f>
        <x:v>923500</x:v>
      </x:c>
      <x:c r="G80" s="11" t="n">
        <x:v>5</x:v>
      </x:c>
      <x:c r="H80" s="11" t="n">
        <x:v>0</x:v>
      </x:c>
      <x:c r="I80" s="6" t="n">
        <x:v>70400</x:v>
      </x:c>
      <x:c r="J80" s="6" t="n">
        <x:v>119500</x:v>
      </x:c>
      <x:c r="K80" s="6" t="n">
        <x:v>-196000</x:v>
      </x:c>
      <x:c r="L80" s="6" t="n">
        <x:v>294000</x:v>
      </x:c>
      <x:c r="M80" s="6" t="n">
        <x:v>-33500</x:v>
      </x:c>
    </x:row>
    <x:row r="81" ht="25" customHeight="1">
      <x:c r="A81" s="19" t="str">
        <x:v>後13場</x:v>
      </x:c>
      <x:c r="B81" s="19" t="str">
        <x:v>E40</x:v>
      </x:c>
      <x:c r="C81" s="12" t="str"/>
      <x:c r="D81" s="6" t="n">
        <x:f>SUM('日経_E40'!C46,'日経_E40'!C47,'日経_E40'!C48,'日経_E40'!C49,'日経_E40'!C50,'日経_E40'!C51,'日経_E40'!C52,'日経_E40'!C53,'日経_E40'!C54,'日経_E40'!C55,'日経_E40'!C56,'日経_E40'!C57,'日経_E40'!C58)</x:f>
        <x:v>2339000</x:v>
      </x:c>
      <x:c r="E81" s="6" t="n">
        <x:f>SUM('日経_E40'!D46,'日経_E40'!D47,'日経_E40'!D48,'日経_E40'!D49,'日経_E40'!D50,'日経_E40'!D51,'日経_E40'!D52,'日経_E40'!D53,'日経_E40'!D54,'日経_E40'!D55,'日経_E40'!D56,'日経_E40'!D57,'日経_E40'!D58)</x:f>
        <x:v>1497000</x:v>
      </x:c>
      <x:c r="F81" s="6" t="n">
        <x:f>D81-E81</x:f>
        <x:v>842000</x:v>
      </x:c>
      <x:c r="G81" s="11" t="n">
        <x:v>6</x:v>
      </x:c>
      <x:c r="H81" s="11" t="n">
        <x:v>0</x:v>
      </x:c>
      <x:c r="I81" s="6" t="n">
        <x:v>69666.66666666667</x:v>
      </x:c>
      <x:c r="J81" s="6" t="n">
        <x:v>140500</x:v>
      </x:c>
      <x:c r="K81" s="6" t="n">
        <x:v>-209000</x:v>
      </x:c>
      <x:c r="L81" s="6" t="n">
        <x:v>285500</x:v>
      </x:c>
      <x:c r="M81" s="6" t="n">
        <x:v>-97500</x:v>
      </x:c>
    </x:row>
    <x:row r="82" ht="25" customHeight="1">
      <x:c r="A82" s="19" t="str">
        <x:v>後13場</x:v>
      </x:c>
      <x:c r="B82" s="19" t="str">
        <x:v>E80</x:v>
      </x:c>
      <x:c r="C82" s="12" t="str"/>
      <x:c r="D82" s="6" t="n">
        <x:f>SUM('日経_E80'!C46,'日経_E80'!C47,'日経_E80'!C48,'日経_E80'!C49,'日経_E80'!C50,'日経_E80'!C51,'日経_E80'!C52,'日経_E80'!C53,'日経_E80'!C54,'日経_E80'!C55,'日経_E80'!C56,'日経_E80'!C57,'日経_E80'!C58)</x:f>
        <x:v>2347000</x:v>
      </x:c>
      <x:c r="E82" s="6" t="n">
        <x:f>SUM('日経_E80'!D46,'日経_E80'!D47,'日経_E80'!D48,'日経_E80'!D49,'日経_E80'!D50,'日経_E80'!D51,'日経_E80'!D52,'日経_E80'!D53,'日経_E80'!D54,'日経_E80'!D55,'日経_E80'!D56,'日経_E80'!D57,'日経_E80'!D58)</x:f>
        <x:v>1497000</x:v>
      </x:c>
      <x:c r="F82" s="6" t="n">
        <x:f>D82-E82</x:f>
        <x:v>850000</x:v>
      </x:c>
      <x:c r="G82" s="11" t="n">
        <x:v>5</x:v>
      </x:c>
      <x:c r="H82" s="11" t="n">
        <x:v>0</x:v>
      </x:c>
      <x:c r="I82" s="6" t="n">
        <x:v>76200</x:v>
      </x:c>
      <x:c r="J82" s="6" t="n">
        <x:v>116500</x:v>
      </x:c>
      <x:c r="K82" s="6" t="n">
        <x:v>-201000</x:v>
      </x:c>
      <x:c r="L82" s="6" t="n">
        <x:v>305000</x:v>
      </x:c>
      <x:c r="M82" s="6" t="n">
        <x:v>-63000</x:v>
      </x:c>
    </x:row>
    <x:row r="83" ht="25" customHeight="1">
      <x:c r="A83" s="19" t="str">
        <x:v>後13の日中</x:v>
      </x:c>
      <x:c r="B83" s="19" t="str">
        <x:v>B00</x:v>
      </x:c>
      <x:c r="C83" s="12" t="str"/>
      <x:c r="D83" s="6" t="n">
        <x:f>SUM('日経_B00'!C46,'日経_B00'!C48,'日経_B00'!C50,'日経_B00'!C52,'日経_B00'!C54,'日経_B00'!C56,'日経_B00'!C58)</x:f>
        <x:v>1669000</x:v>
      </x:c>
      <x:c r="E83" s="6" t="n">
        <x:f>SUM('日経_B00'!D46,'日経_B00'!D48,'日経_B00'!D50,'日経_B00'!D52,'日経_B00'!D54,'日経_B00'!D56,'日経_B00'!D58)</x:f>
        <x:v>886000</x:v>
      </x:c>
      <x:c r="F83" s="6" t="n">
        <x:f>D83-E83</x:f>
        <x:v>783000</x:v>
      </x:c>
      <x:c r="G83" s="11" t="n">
        <x:v>3</x:v>
      </x:c>
      <x:c r="H83" s="11" t="n">
        <x:v>0</x:v>
      </x:c>
      <x:c r="I83" s="6" t="n">
        <x:v>86000</x:v>
      </x:c>
      <x:c r="J83" s="6" t="n">
        <x:v>115000</x:v>
      </x:c>
      <x:c r="K83" s="6" t="n">
        <x:v>-203000</x:v>
      </x:c>
      <x:c r="L83" s="6" t="n">
        <x:v>294000</x:v>
      </x:c>
      <x:c r="M83" s="6" t="n">
        <x:v>-233000</x:v>
      </x:c>
    </x:row>
    <x:row r="84" ht="25" customHeight="1">
      <x:c r="A84" s="19" t="str">
        <x:v>後13の日中</x:v>
      </x:c>
      <x:c r="B84" s="19" t="str">
        <x:v>F00</x:v>
      </x:c>
      <x:c r="C84" s="12" t="str">
        <x:v>固定昼夜合成</x:v>
      </x:c>
      <x:c r="D84" s="6" t="n">
        <x:f>SUM('日経_F00'!C46,'日経_F00'!C48,'日経_F00'!C50,'日経_F00'!C52,'日経_F00'!C54,'日経_F00'!C56,'日経_F00'!C58)</x:f>
        <x:v>1190000</x:v>
      </x:c>
      <x:c r="E84" s="6" t="n">
        <x:f>SUM('日経_F00'!D46,'日経_F00'!D48,'日経_F00'!D50,'日経_F00'!D52,'日経_F00'!D54,'日経_F00'!D56,'日経_F00'!D58)</x:f>
        <x:v>925500</x:v>
      </x:c>
      <x:c r="F84" s="6" t="n">
        <x:f>D84-E84</x:f>
        <x:v>264500</x:v>
      </x:c>
      <x:c r="G84" s="11" t="n">
        <x:v>3</x:v>
      </x:c>
      <x:c r="H84" s="11" t="n">
        <x:v>0</x:v>
      </x:c>
      <x:c r="I84" s="6" t="n">
        <x:v>79666.66666666667</x:v>
      </x:c>
      <x:c r="J84" s="6" t="n">
        <x:v>109000</x:v>
      </x:c>
      <x:c r="K84" s="6" t="n">
        <x:v>-199000</x:v>
      </x:c>
      <x:c r="L84" s="6" t="n">
        <x:v>277000</x:v>
      </x:c>
      <x:c r="M84" s="6" t="n">
        <x:v>-208000</x:v>
      </x:c>
    </x:row>
    <x:row r="85" ht="25" customHeight="1">
      <x:c r="A85" s="19" t="str">
        <x:v>後13の日中</x:v>
      </x:c>
      <x:c r="B85" s="19" t="str">
        <x:v>C50</x:v>
      </x:c>
      <x:c r="C85" s="12" t="str"/>
      <x:c r="D85" s="6" t="n">
        <x:f>SUM('日経_C50'!C46,'日経_C50'!C48,'日経_C50'!C50,'日経_C50'!C52,'日経_C50'!C54,'日経_C50'!C56,'日経_C50'!C58)</x:f>
        <x:v>834500</x:v>
      </x:c>
      <x:c r="E85" s="6" t="n">
        <x:f>SUM('日経_C50'!D46,'日経_C50'!D48,'日経_C50'!D50,'日経_C50'!D52,'日経_C50'!D54,'日経_C50'!D56,'日経_C50'!D58)</x:f>
        <x:v>443000</x:v>
      </x:c>
      <x:c r="F85" s="6" t="n">
        <x:f>D85-E85</x:f>
        <x:v>391500</x:v>
      </x:c>
      <x:c r="G85" s="11" t="n">
        <x:v>3</x:v>
      </x:c>
      <x:c r="H85" s="11" t="n">
        <x:v>0</x:v>
      </x:c>
      <x:c r="I85" s="6" t="n">
        <x:v>43000</x:v>
      </x:c>
      <x:c r="J85" s="6" t="n">
        <x:v>57500</x:v>
      </x:c>
      <x:c r="K85" s="6" t="n">
        <x:v>-101500</x:v>
      </x:c>
      <x:c r="L85" s="6" t="n">
        <x:v>147000</x:v>
      </x:c>
      <x:c r="M85" s="6" t="n">
        <x:v>-116500</x:v>
      </x:c>
    </x:row>
    <x:row r="86" ht="25" customHeight="1">
      <x:c r="A86" s="19" t="str">
        <x:v>後13の日中</x:v>
      </x:c>
      <x:c r="B86" s="19" t="str">
        <x:v>D40</x:v>
      </x:c>
      <x:c r="C86" s="12" t="str"/>
      <x:c r="D86" s="6" t="n">
        <x:f>SUM('日経_D40'!C46,'日経_D40'!C48,'日経_D40'!C50,'日経_D40'!C52,'日経_D40'!C54,'日経_D40'!C56,'日経_D40'!C58)</x:f>
        <x:v>1117000</x:v>
      </x:c>
      <x:c r="E86" s="6" t="n">
        <x:f>SUM('日経_D40'!D46,'日経_D40'!D48,'日経_D40'!D50,'日経_D40'!D52,'日経_D40'!D54,'日経_D40'!D56,'日経_D40'!D58)</x:f>
        <x:v>780500</x:v>
      </x:c>
      <x:c r="F86" s="6" t="n">
        <x:f>D86-E86</x:f>
        <x:v>336500</x:v>
      </x:c>
      <x:c r="G86" s="11" t="n">
        <x:v>2</x:v>
      </x:c>
      <x:c r="H86" s="11" t="n">
        <x:v>0</x:v>
      </x:c>
      <x:c r="I86" s="6" t="n">
        <x:v>87750</x:v>
      </x:c>
      <x:c r="J86" s="6" t="n">
        <x:v>96000</x:v>
      </x:c>
      <x:c r="K86" s="6" t="n">
        <x:v>-165000</x:v>
      </x:c>
      <x:c r="L86" s="6" t="n">
        <x:v>249000</x:v>
      </x:c>
      <x:c r="M86" s="6" t="n">
        <x:v>-164500</x:v>
      </x:c>
    </x:row>
    <x:row r="87" ht="25" customHeight="1">
      <x:c r="A87" s="19" t="str">
        <x:v>後13の日中</x:v>
      </x:c>
      <x:c r="B87" s="19" t="str">
        <x:v>D80</x:v>
      </x:c>
      <x:c r="C87" s="12" t="str">
        <x:v>昼選択・夜選択</x:v>
      </x:c>
      <x:c r="D87" s="6" t="n">
        <x:f>SUM('日経_D80'!C46,'日経_D80'!C48,'日経_D80'!C50,'日経_D80'!C52,'日経_D80'!C54,'日経_D80'!C56,'日経_D80'!C58)</x:f>
        <x:v>1190000</x:v>
      </x:c>
      <x:c r="E87" s="6" t="n">
        <x:f>SUM('日経_D80'!D46,'日経_D80'!D48,'日経_D80'!D50,'日経_D80'!D52,'日経_D80'!D54,'日経_D80'!D56,'日経_D80'!D58)</x:f>
        <x:v>925500</x:v>
      </x:c>
      <x:c r="F87" s="6" t="n">
        <x:f>D87-E87</x:f>
        <x:v>264500</x:v>
      </x:c>
      <x:c r="G87" s="11" t="n">
        <x:v>3</x:v>
      </x:c>
      <x:c r="H87" s="11" t="n">
        <x:v>0</x:v>
      </x:c>
      <x:c r="I87" s="6" t="n">
        <x:v>79666.66666666667</x:v>
      </x:c>
      <x:c r="J87" s="6" t="n">
        <x:v>109000</x:v>
      </x:c>
      <x:c r="K87" s="6" t="n">
        <x:v>-199000</x:v>
      </x:c>
      <x:c r="L87" s="6" t="n">
        <x:v>277000</x:v>
      </x:c>
      <x:c r="M87" s="6" t="n">
        <x:v>-208000</x:v>
      </x:c>
    </x:row>
    <x:row r="88" ht="25" customHeight="1">
      <x:c r="A88" s="19" t="str">
        <x:v>後13の日中</x:v>
      </x:c>
      <x:c r="B88" s="19" t="str">
        <x:v>G40</x:v>
      </x:c>
      <x:c r="C88" s="12" t="str"/>
      <x:c r="D88" s="6" t="n">
        <x:f>SUM('日経_G40'!C46,'日経_G40'!C48,'日経_G40'!C50,'日経_G40'!C52,'日経_G40'!C54,'日経_G40'!C56,'日経_G40'!C58)</x:f>
        <x:v>1160000</x:v>
      </x:c>
      <x:c r="E88" s="6" t="n">
        <x:f>SUM('日経_G40'!D46,'日経_G40'!D48,'日経_G40'!D50,'日経_G40'!D52,'日経_G40'!D54,'日経_G40'!D56,'日経_G40'!D58)</x:f>
        <x:v>829000</x:v>
      </x:c>
      <x:c r="F88" s="6" t="n">
        <x:f>D88-E88</x:f>
        <x:v>331000</x:v>
      </x:c>
      <x:c r="G88" s="11" t="n">
        <x:v>3</x:v>
      </x:c>
      <x:c r="H88" s="11" t="n">
        <x:v>0</x:v>
      </x:c>
      <x:c r="I88" s="6" t="n">
        <x:v>67666.66666666667</x:v>
      </x:c>
      <x:c r="J88" s="6" t="n">
        <x:v>106000</x:v>
      </x:c>
      <x:c r="K88" s="6" t="n">
        <x:v>-174000</x:v>
      </x:c>
      <x:c r="L88" s="6" t="n">
        <x:v>261500</x:v>
      </x:c>
      <x:c r="M88" s="6" t="n">
        <x:v>-154500</x:v>
      </x:c>
    </x:row>
    <x:row r="89" ht="25" customHeight="1">
      <x:c r="A89" s="19" t="str">
        <x:v>後13の日中</x:v>
      </x:c>
      <x:c r="B89" s="19" t="str">
        <x:v>G80</x:v>
      </x:c>
      <x:c r="C89" s="12" t="str"/>
      <x:c r="D89" s="6" t="n">
        <x:f>SUM('日経_G80'!C46,'日経_G80'!C48,'日経_G80'!C50,'日経_G80'!C52,'日経_G80'!C54,'日経_G80'!C56,'日経_G80'!C58)</x:f>
        <x:v>1190000</x:v>
      </x:c>
      <x:c r="E89" s="6" t="n">
        <x:f>SUM('日経_G80'!D46,'日経_G80'!D48,'日経_G80'!D50,'日経_G80'!D52,'日経_G80'!D54,'日経_G80'!D56,'日経_G80'!D58)</x:f>
        <x:v>943500</x:v>
      </x:c>
      <x:c r="F89" s="6" t="n">
        <x:f>D89-E89</x:f>
        <x:v>246500</x:v>
      </x:c>
      <x:c r="G89" s="11" t="n">
        <x:v>3</x:v>
      </x:c>
      <x:c r="H89" s="11" t="n">
        <x:v>0</x:v>
      </x:c>
      <x:c r="I89" s="6" t="n">
        <x:v>81666.66666666667</x:v>
      </x:c>
      <x:c r="J89" s="6" t="n">
        <x:v>111000</x:v>
      </x:c>
      <x:c r="K89" s="6" t="n">
        <x:v>-201000</x:v>
      </x:c>
      <x:c r="L89" s="6" t="n">
        <x:v>281000</x:v>
      </x:c>
      <x:c r="M89" s="6" t="n">
        <x:v>-219000</x:v>
      </x:c>
    </x:row>
    <x:row r="90" ht="25" customHeight="1">
      <x:c r="A90" s="19" t="str">
        <x:v>後13の日中</x:v>
      </x:c>
      <x:c r="B90" s="19" t="str">
        <x:v>R40</x:v>
      </x:c>
      <x:c r="C90" s="12" t="str"/>
      <x:c r="D90" s="6" t="n">
        <x:f>SUM('日経_R40'!C46,'日経_R40'!C48,'日経_R40'!C50,'日経_R40'!C52,'日経_R40'!C54,'日経_R40'!C56,'日経_R40'!C58)</x:f>
        <x:v>1713500</x:v>
      </x:c>
      <x:c r="E90" s="6" t="n">
        <x:f>SUM('日経_R40'!D46,'日経_R40'!D48,'日経_R40'!D50,'日経_R40'!D52,'日経_R40'!D54,'日経_R40'!D56,'日経_R40'!D58)</x:f>
        <x:v>997500</x:v>
      </x:c>
      <x:c r="F90" s="6" t="n">
        <x:f>D90-E90</x:f>
        <x:v>716000</x:v>
      </x:c>
      <x:c r="G90" s="11" t="n">
        <x:v>3</x:v>
      </x:c>
      <x:c r="H90" s="11" t="n">
        <x:v>0</x:v>
      </x:c>
      <x:c r="I90" s="6" t="n">
        <x:v>98333.33333333333</x:v>
      </x:c>
      <x:c r="J90" s="6" t="n">
        <x:v>132500</x:v>
      </x:c>
      <x:c r="K90" s="6" t="n">
        <x:v>-204000</x:v>
      </x:c>
      <x:c r="L90" s="6" t="n">
        <x:v>274500</x:v>
      </x:c>
      <x:c r="M90" s="6" t="n">
        <x:v>-263500</x:v>
      </x:c>
    </x:row>
    <x:row r="91" ht="25" customHeight="1">
      <x:c r="A91" s="19" t="str">
        <x:v>後13の日中</x:v>
      </x:c>
      <x:c r="B91" s="19" t="str">
        <x:v>R80</x:v>
      </x:c>
      <x:c r="C91" s="12" t="str"/>
      <x:c r="D91" s="6" t="n">
        <x:f>SUM('日経_R80'!C46,'日経_R80'!C48,'日経_R80'!C50,'日経_R80'!C52,'日経_R80'!C54,'日経_R80'!C56,'日経_R80'!C58)</x:f>
        <x:v>1725500</x:v>
      </x:c>
      <x:c r="E91" s="6" t="n">
        <x:f>SUM('日経_R80'!D46,'日経_R80'!D48,'日経_R80'!D50,'日経_R80'!D52,'日経_R80'!D54,'日経_R80'!D56,'日経_R80'!D58)</x:f>
        <x:v>1027000</x:v>
      </x:c>
      <x:c r="F91" s="6" t="n">
        <x:f>D91-E91</x:f>
        <x:v>698500</x:v>
      </x:c>
      <x:c r="G91" s="11" t="n">
        <x:v>3</x:v>
      </x:c>
      <x:c r="H91" s="11" t="n">
        <x:v>0</x:v>
      </x:c>
      <x:c r="I91" s="6" t="n">
        <x:v>89833.33333333333</x:v>
      </x:c>
      <x:c r="J91" s="6" t="n">
        <x:v>119500</x:v>
      </x:c>
      <x:c r="K91" s="6" t="n">
        <x:v>-196000</x:v>
      </x:c>
      <x:c r="L91" s="6" t="n">
        <x:v>294000</x:v>
      </x:c>
      <x:c r="M91" s="6" t="n">
        <x:v>-258500</x:v>
      </x:c>
    </x:row>
    <x:row r="92" ht="25" customHeight="1">
      <x:c r="A92" s="19" t="str">
        <x:v>後13の日中</x:v>
      </x:c>
      <x:c r="B92" s="19" t="str">
        <x:v>E40</x:v>
      </x:c>
      <x:c r="C92" s="12" t="str"/>
      <x:c r="D92" s="6" t="n">
        <x:f>SUM('日経_E40'!C46,'日経_E40'!C48,'日経_E40'!C50,'日経_E40'!C52,'日経_E40'!C54,'日経_E40'!C56,'日経_E40'!C58)</x:f>
        <x:v>1659500</x:v>
      </x:c>
      <x:c r="E92" s="6" t="n">
        <x:f>SUM('日経_E40'!D46,'日経_E40'!D48,'日経_E40'!D50,'日経_E40'!D52,'日経_E40'!D54,'日経_E40'!D56,'日経_E40'!D58)</x:f>
        <x:v>994000</x:v>
      </x:c>
      <x:c r="F92" s="6" t="n">
        <x:f>D92-E92</x:f>
        <x:v>665500</x:v>
      </x:c>
      <x:c r="G92" s="11" t="n">
        <x:v>3</x:v>
      </x:c>
      <x:c r="H92" s="11" t="n">
        <x:v>0</x:v>
      </x:c>
      <x:c r="I92" s="6" t="n">
        <x:v>101500</x:v>
      </x:c>
      <x:c r="J92" s="6" t="n">
        <x:v>140500</x:v>
      </x:c>
      <x:c r="K92" s="6" t="n">
        <x:v>-209000</x:v>
      </x:c>
      <x:c r="L92" s="6" t="n">
        <x:v>285500</x:v>
      </x:c>
      <x:c r="M92" s="6" t="n">
        <x:v>-274000</x:v>
      </x:c>
    </x:row>
    <x:row r="93" ht="25" customHeight="1">
      <x:c r="A93" s="19" t="str">
        <x:v>後13の日中</x:v>
      </x:c>
      <x:c r="B93" s="19" t="str">
        <x:v>E80</x:v>
      </x:c>
      <x:c r="C93" s="12" t="str"/>
      <x:c r="D93" s="6" t="n">
        <x:f>SUM('日経_E80'!C46,'日経_E80'!C48,'日経_E80'!C50,'日経_E80'!C52,'日経_E80'!C54,'日経_E80'!C56,'日経_E80'!C58)</x:f>
        <x:v>1667500</x:v>
      </x:c>
      <x:c r="E93" s="6" t="n">
        <x:f>SUM('日経_E80'!D46,'日経_E80'!D48,'日経_E80'!D50,'日経_E80'!D52,'日経_E80'!D54,'日経_E80'!D56,'日経_E80'!D58)</x:f>
        <x:v>1035500</x:v>
      </x:c>
      <x:c r="F93" s="6" t="n">
        <x:f>D93-E93</x:f>
        <x:v>632000</x:v>
      </x:c>
      <x:c r="G93" s="11" t="n">
        <x:v>3</x:v>
      </x:c>
      <x:c r="H93" s="11" t="n">
        <x:v>0</x:v>
      </x:c>
      <x:c r="I93" s="6" t="n">
        <x:v>96333.33333333333</x:v>
      </x:c>
      <x:c r="J93" s="6" t="n">
        <x:v>116500</x:v>
      </x:c>
      <x:c r="K93" s="6" t="n">
        <x:v>-201000</x:v>
      </x:c>
      <x:c r="L93" s="6" t="n">
        <x:v>305000</x:v>
      </x:c>
      <x:c r="M93" s="6" t="n">
        <x:v>-281000</x:v>
      </x:c>
    </x:row>
    <x:row r="94" ht="25" customHeight="1">
      <x:c r="A94" s="19" t="str">
        <x:v>後13の夜間</x:v>
      </x:c>
      <x:c r="B94" s="19" t="str">
        <x:v>B00</x:v>
      </x:c>
      <x:c r="C94" s="12" t="str"/>
      <x:c r="D94" s="6" t="n">
        <x:f>SUM('日経_B00'!C47,'日経_B00'!C49,'日経_B00'!C51,'日経_B00'!C53,'日経_B00'!C55,'日経_B00'!C57)</x:f>
        <x:v>687000</x:v>
      </x:c>
      <x:c r="E94" s="6" t="n">
        <x:f>SUM('日経_B00'!D47,'日経_B00'!D49,'日経_B00'!D51,'日経_B00'!D53,'日経_B00'!D55,'日経_B00'!D57)</x:f>
        <x:v>417000</x:v>
      </x:c>
      <x:c r="F94" s="6" t="n">
        <x:f>D94-E94</x:f>
        <x:v>270000</x:v>
      </x:c>
      <x:c r="G94" s="11" t="n">
        <x:v>2</x:v>
      </x:c>
      <x:c r="H94" s="11" t="n">
        <x:v>0</x:v>
      </x:c>
      <x:c r="I94" s="6" t="n">
        <x:v>22500</x:v>
      </x:c>
      <x:c r="J94" s="6" t="n">
        <x:v>36000</x:v>
      </x:c>
      <x:c r="K94" s="6" t="n">
        <x:v>-40000</x:v>
      </x:c>
      <x:c r="L94" s="6" t="n">
        <x:v>131000</x:v>
      </x:c>
      <x:c r="M94" s="6" t="n">
        <x:v>-36000</x:v>
      </x:c>
    </x:row>
    <x:row r="95" ht="25" customHeight="1">
      <x:c r="A95" s="19" t="str">
        <x:v>後13の夜間</x:v>
      </x:c>
      <x:c r="B95" s="19" t="str">
        <x:v>F00</x:v>
      </x:c>
      <x:c r="C95" s="12" t="str">
        <x:v>固定昼夜合成</x:v>
      </x:c>
      <x:c r="D95" s="6" t="n">
        <x:f>SUM('日経_F00'!C47,'日経_F00'!C49,'日経_F00'!C51,'日経_F00'!C53,'日経_F00'!C55,'日経_F00'!C57)</x:f>
        <x:v>628000</x:v>
      </x:c>
      <x:c r="E95" s="6" t="n">
        <x:f>SUM('日経_F00'!D47,'日経_F00'!D49,'日経_F00'!D51,'日経_F00'!D53,'日経_F00'!D55,'日経_F00'!D57)</x:f>
        <x:v>445500</x:v>
      </x:c>
      <x:c r="F95" s="6" t="n">
        <x:f>D95-E95</x:f>
        <x:v>182500</x:v>
      </x:c>
      <x:c r="G95" s="11" t="n">
        <x:v>2</x:v>
      </x:c>
      <x:c r="H95" s="11" t="n">
        <x:v>0</x:v>
      </x:c>
      <x:c r="I95" s="6" t="n">
        <x:v>44750</x:v>
      </x:c>
      <x:c r="J95" s="6" t="n">
        <x:v>69500</x:v>
      </x:c>
      <x:c r="K95" s="6" t="n">
        <x:v>-69500</x:v>
      </x:c>
      <x:c r="L95" s="6" t="n">
        <x:v>120000</x:v>
      </x:c>
      <x:c r="M95" s="6" t="n">
        <x:v>-87500</x:v>
      </x:c>
    </x:row>
    <x:row r="96" ht="25" customHeight="1">
      <x:c r="A96" s="19" t="str">
        <x:v>後13の夜間</x:v>
      </x:c>
      <x:c r="B96" s="19" t="str">
        <x:v>C50</x:v>
      </x:c>
      <x:c r="C96" s="12" t="str"/>
      <x:c r="D96" s="6" t="n">
        <x:f>SUM('日経_C50'!C47,'日経_C50'!C49,'日経_C50'!C51,'日経_C50'!C53,'日経_C50'!C55,'日経_C50'!C57)</x:f>
        <x:v>343500</x:v>
      </x:c>
      <x:c r="E96" s="6" t="n">
        <x:f>SUM('日経_C50'!D47,'日経_C50'!D49,'日経_C50'!D51,'日経_C50'!D53,'日経_C50'!D55,'日経_C50'!D57)</x:f>
        <x:v>208500</x:v>
      </x:c>
      <x:c r="F96" s="6" t="n">
        <x:f>D96-E96</x:f>
        <x:v>135000</x:v>
      </x:c>
      <x:c r="G96" s="11" t="n">
        <x:v>2</x:v>
      </x:c>
      <x:c r="H96" s="11" t="n">
        <x:v>0</x:v>
      </x:c>
      <x:c r="I96" s="6" t="n">
        <x:v>11250</x:v>
      </x:c>
      <x:c r="J96" s="6" t="n">
        <x:v>18000</x:v>
      </x:c>
      <x:c r="K96" s="6" t="n">
        <x:v>-20000</x:v>
      </x:c>
      <x:c r="L96" s="6" t="n">
        <x:v>65500</x:v>
      </x:c>
      <x:c r="M96" s="6" t="n">
        <x:v>-18000</x:v>
      </x:c>
    </x:row>
    <x:row r="97" ht="25" customHeight="1">
      <x:c r="A97" s="19" t="str">
        <x:v>後13の夜間</x:v>
      </x:c>
      <x:c r="B97" s="19" t="str">
        <x:v>D40</x:v>
      </x:c>
      <x:c r="C97" s="12" t="str"/>
      <x:c r="D97" s="6" t="n">
        <x:f>SUM('日経_D40'!C47,'日経_D40'!C49,'日経_D40'!C51,'日経_D40'!C53,'日経_D40'!C55,'日経_D40'!C57)</x:f>
        <x:v>591500</x:v>
      </x:c>
      <x:c r="E97" s="6" t="n">
        <x:f>SUM('日経_D40'!D47,'日経_D40'!D49,'日経_D40'!D51,'日経_D40'!D53,'日経_D40'!D55,'日経_D40'!D57)</x:f>
        <x:v>411000</x:v>
      </x:c>
      <x:c r="F97" s="6" t="n">
        <x:f>D97-E97</x:f>
        <x:v>180500</x:v>
      </x:c>
      <x:c r="G97" s="11" t="n">
        <x:v>3</x:v>
      </x:c>
      <x:c r="H97" s="11" t="n">
        <x:v>0</x:v>
      </x:c>
      <x:c r="I97" s="6" t="n">
        <x:v>25333.333333333332</x:v>
      </x:c>
      <x:c r="J97" s="6" t="n">
        <x:v>37500</x:v>
      </x:c>
      <x:c r="K97" s="6" t="n">
        <x:v>-57500</x:v>
      </x:c>
      <x:c r="L97" s="6" t="n">
        <x:v>109000</x:v>
      </x:c>
      <x:c r="M97" s="6" t="n">
        <x:v>-76000</x:v>
      </x:c>
    </x:row>
    <x:row r="98" ht="25" customHeight="1">
      <x:c r="A98" s="19" t="str">
        <x:v>後13の夜間</x:v>
      </x:c>
      <x:c r="B98" s="19" t="str">
        <x:v>D80</x:v>
      </x:c>
      <x:c r="C98" s="12" t="str">
        <x:v>昼選択・夜選択</x:v>
      </x:c>
      <x:c r="D98" s="6" t="n">
        <x:f>SUM('日経_D80'!C47,'日経_D80'!C49,'日経_D80'!C51,'日経_D80'!C53,'日経_D80'!C55,'日経_D80'!C57)</x:f>
        <x:v>628000</x:v>
      </x:c>
      <x:c r="E98" s="6" t="n">
        <x:f>SUM('日経_D80'!D47,'日経_D80'!D49,'日経_D80'!D51,'日経_D80'!D53,'日経_D80'!D55,'日経_D80'!D57)</x:f>
        <x:v>445500</x:v>
      </x:c>
      <x:c r="F98" s="6" t="n">
        <x:f>D98-E98</x:f>
        <x:v>182500</x:v>
      </x:c>
      <x:c r="G98" s="11" t="n">
        <x:v>2</x:v>
      </x:c>
      <x:c r="H98" s="11" t="n">
        <x:v>0</x:v>
      </x:c>
      <x:c r="I98" s="6" t="n">
        <x:v>44750</x:v>
      </x:c>
      <x:c r="J98" s="6" t="n">
        <x:v>69500</x:v>
      </x:c>
      <x:c r="K98" s="6" t="n">
        <x:v>-69500</x:v>
      </x:c>
      <x:c r="L98" s="6" t="n">
        <x:v>120000</x:v>
      </x:c>
      <x:c r="M98" s="6" t="n">
        <x:v>-87500</x:v>
      </x:c>
    </x:row>
    <x:row r="99" ht="25" customHeight="1">
      <x:c r="A99" s="19" t="str">
        <x:v>後13の夜間</x:v>
      </x:c>
      <x:c r="B99" s="19" t="str">
        <x:v>G40</x:v>
      </x:c>
      <x:c r="C99" s="12" t="str"/>
      <x:c r="D99" s="6" t="n">
        <x:f>SUM('日経_G40'!C47,'日経_G40'!C49,'日経_G40'!C51,'日経_G40'!C53,'日経_G40'!C55,'日経_G40'!C57)</x:f>
        <x:v>631000</x:v>
      </x:c>
      <x:c r="E99" s="6" t="n">
        <x:f>SUM('日経_G40'!D47,'日経_G40'!D49,'日経_G40'!D51,'日経_G40'!D53,'日経_G40'!D55,'日経_G40'!D57)</x:f>
        <x:v>399000</x:v>
      </x:c>
      <x:c r="F99" s="6" t="n">
        <x:f>D99-E99</x:f>
        <x:v>232000</x:v>
      </x:c>
      <x:c r="G99" s="11" t="n">
        <x:v>3</x:v>
      </x:c>
      <x:c r="H99" s="11" t="n">
        <x:v>0</x:v>
      </x:c>
      <x:c r="I99" s="6" t="n">
        <x:v>28000</x:v>
      </x:c>
      <x:c r="J99" s="6" t="n">
        <x:v>62000</x:v>
      </x:c>
      <x:c r="K99" s="6" t="n">
        <x:v>-62000</x:v>
      </x:c>
      <x:c r="L99" s="6" t="n">
        <x:v>121000</x:v>
      </x:c>
      <x:c r="M99" s="6" t="n">
        <x:v>-84000</x:v>
      </x:c>
    </x:row>
    <x:row r="100" ht="25" customHeight="1">
      <x:c r="A100" s="19" t="str">
        <x:v>後13の夜間</x:v>
      </x:c>
      <x:c r="B100" s="19" t="str">
        <x:v>G80</x:v>
      </x:c>
      <x:c r="C100" s="12" t="str"/>
      <x:c r="D100" s="6" t="n">
        <x:f>SUM('日経_G80'!C47,'日経_G80'!C49,'日経_G80'!C51,'日経_G80'!C53,'日経_G80'!C55,'日経_G80'!C57)</x:f>
        <x:v>645000</x:v>
      </x:c>
      <x:c r="E100" s="6" t="n">
        <x:f>SUM('日経_G80'!D47,'日経_G80'!D49,'日経_G80'!D51,'日経_G80'!D53,'日経_G80'!D55,'日経_G80'!D57)</x:f>
        <x:v>426500</x:v>
      </x:c>
      <x:c r="F100" s="6" t="n">
        <x:f>D100-E100</x:f>
        <x:v>218500</x:v>
      </x:c>
      <x:c r="G100" s="11" t="n">
        <x:v>2</x:v>
      </x:c>
      <x:c r="H100" s="11" t="n">
        <x:v>0</x:v>
      </x:c>
      <x:c r="I100" s="6" t="n">
        <x:v>47500</x:v>
      </x:c>
      <x:c r="J100" s="6" t="n">
        <x:v>72000</x:v>
      </x:c>
      <x:c r="K100" s="6" t="n">
        <x:v>-72000</x:v>
      </x:c>
      <x:c r="L100" s="6" t="n">
        <x:v>121000</x:v>
      </x:c>
      <x:c r="M100" s="6" t="n">
        <x:v>-78000</x:v>
      </x:c>
    </x:row>
    <x:row r="101" ht="25" customHeight="1">
      <x:c r="A101" s="19" t="str">
        <x:v>後13の夜間</x:v>
      </x:c>
      <x:c r="B101" s="19" t="str">
        <x:v>R40</x:v>
      </x:c>
      <x:c r="C101" s="12" t="str"/>
      <x:c r="D101" s="6" t="n">
        <x:f>SUM('日経_R40'!C47,'日経_R40'!C49,'日経_R40'!C51,'日経_R40'!C53,'日経_R40'!C55,'日経_R40'!C57)</x:f>
        <x:v>702500</x:v>
      </x:c>
      <x:c r="E101" s="6" t="n">
        <x:f>SUM('日経_R40'!D47,'日経_R40'!D49,'日経_R40'!D51,'日経_R40'!D53,'日経_R40'!D55,'日経_R40'!D57)</x:f>
        <x:v>483000</x:v>
      </x:c>
      <x:c r="F101" s="6" t="n">
        <x:f>D101-E101</x:f>
        <x:v>219500</x:v>
      </x:c>
      <x:c r="G101" s="11" t="n">
        <x:v>3</x:v>
      </x:c>
      <x:c r="H101" s="11" t="n">
        <x:v>0</x:v>
      </x:c>
      <x:c r="I101" s="6" t="n">
        <x:v>25666.666666666668</x:v>
      </x:c>
      <x:c r="J101" s="6" t="n">
        <x:v>38500</x:v>
      </x:c>
      <x:c r="K101" s="6" t="n">
        <x:v>-47000</x:v>
      </x:c>
      <x:c r="L101" s="6" t="n">
        <x:v>131000</x:v>
      </x:c>
      <x:c r="M101" s="6" t="n">
        <x:v>-77000</x:v>
      </x:c>
    </x:row>
    <x:row r="102" ht="25" customHeight="1">
      <x:c r="A102" s="19" t="str">
        <x:v>後13の夜間</x:v>
      </x:c>
      <x:c r="B102" s="19" t="str">
        <x:v>R80</x:v>
      </x:c>
      <x:c r="C102" s="12" t="str"/>
      <x:c r="D102" s="6" t="n">
        <x:f>SUM('日経_R80'!C47,'日経_R80'!C49,'日経_R80'!C51,'日経_R80'!C53,'日経_R80'!C55,'日経_R80'!C57)</x:f>
        <x:v>702500</x:v>
      </x:c>
      <x:c r="E102" s="6" t="n">
        <x:f>SUM('日経_R80'!D47,'日経_R80'!D49,'日経_R80'!D51,'日経_R80'!D53,'日経_R80'!D55,'日経_R80'!D57)</x:f>
        <x:v>477500</x:v>
      </x:c>
      <x:c r="F102" s="6" t="n">
        <x:f>D102-E102</x:f>
        <x:v>225000</x:v>
      </x:c>
      <x:c r="G102" s="11" t="n">
        <x:v>2</x:v>
      </x:c>
      <x:c r="H102" s="11" t="n">
        <x:v>0</x:v>
      </x:c>
      <x:c r="I102" s="6" t="n">
        <x:v>41250</x:v>
      </x:c>
      <x:c r="J102" s="6" t="n">
        <x:v>42000</x:v>
      </x:c>
      <x:c r="K102" s="6" t="n">
        <x:v>-43000</x:v>
      </x:c>
      <x:c r="L102" s="6" t="n">
        <x:v>131000</x:v>
      </x:c>
      <x:c r="M102" s="6" t="n">
        <x:v>-78500</x:v>
      </x:c>
    </x:row>
    <x:row r="103" ht="25" customHeight="1">
      <x:c r="A103" s="19" t="str">
        <x:v>後13の夜間</x:v>
      </x:c>
      <x:c r="B103" s="19" t="str">
        <x:v>E40</x:v>
      </x:c>
      <x:c r="C103" s="12" t="str"/>
      <x:c r="D103" s="6" t="n">
        <x:f>SUM('日経_E40'!C47,'日経_E40'!C49,'日経_E40'!C51,'日経_E40'!C53,'日経_E40'!C55,'日経_E40'!C57)</x:f>
        <x:v>679500</x:v>
      </x:c>
      <x:c r="E103" s="6" t="n">
        <x:f>SUM('日経_E40'!D47,'日経_E40'!D49,'日経_E40'!D51,'日経_E40'!D53,'日経_E40'!D55,'日経_E40'!D57)</x:f>
        <x:v>503000</x:v>
      </x:c>
      <x:c r="F103" s="6" t="n">
        <x:f>D103-E103</x:f>
        <x:v>176500</x:v>
      </x:c>
      <x:c r="G103" s="11" t="n">
        <x:v>3</x:v>
      </x:c>
      <x:c r="H103" s="11" t="n">
        <x:v>0</x:v>
      </x:c>
      <x:c r="I103" s="6" t="n">
        <x:v>37833.333333333336</x:v>
      </x:c>
      <x:c r="J103" s="6" t="n">
        <x:v>59000</x:v>
      </x:c>
      <x:c r="K103" s="6" t="n">
        <x:v>-59000</x:v>
      </x:c>
      <x:c r="L103" s="6" t="n">
        <x:v>131000</x:v>
      </x:c>
      <x:c r="M103" s="6" t="n">
        <x:v>-113500</x:v>
      </x:c>
    </x:row>
    <x:row r="104" ht="25" customHeight="1">
      <x:c r="A104" s="19" t="str">
        <x:v>後13の夜間</x:v>
      </x:c>
      <x:c r="B104" s="19" t="str">
        <x:v>E80</x:v>
      </x:c>
      <x:c r="C104" s="12" t="str"/>
      <x:c r="D104" s="6" t="n">
        <x:f>SUM('日経_E80'!C47,'日経_E80'!C49,'日経_E80'!C51,'日経_E80'!C53,'日経_E80'!C55,'日経_E80'!C57)</x:f>
        <x:v>679500</x:v>
      </x:c>
      <x:c r="E104" s="6" t="n">
        <x:f>SUM('日経_E80'!D47,'日経_E80'!D49,'日経_E80'!D51,'日経_E80'!D53,'日経_E80'!D55,'日経_E80'!D57)</x:f>
        <x:v>461500</x:v>
      </x:c>
      <x:c r="F104" s="6" t="n">
        <x:f>D104-E104</x:f>
        <x:v>218000</x:v>
      </x:c>
      <x:c r="G104" s="11" t="n">
        <x:v>2</x:v>
      </x:c>
      <x:c r="H104" s="11" t="n">
        <x:v>0</x:v>
      </x:c>
      <x:c r="I104" s="6" t="n">
        <x:v>46000</x:v>
      </x:c>
      <x:c r="J104" s="6" t="n">
        <x:v>69000</x:v>
      </x:c>
      <x:c r="K104" s="6" t="n">
        <x:v>-69000</x:v>
      </x:c>
      <x:c r="L104" s="6" t="n">
        <x:v>131500</x:v>
      </x:c>
      <x:c r="M104" s="6" t="n">
        <x:v>-88000</x:v>
      </x:c>
    </x:row>
  </x:sheetData>
  <x:conditionalFormatting sqref="F6:F104">
    <x:cfRule type="cellIs" dxfId="11" priority="1" operator="lessThan">
      <x:formula>0</x:formula>
    </x:cfRule>
  </x:conditionalFormatting>
  <x:conditionalFormatting sqref="K6:K104">
    <x:cfRule type="cellIs" dxfId="12" priority="2" operator="lessThan">
      <x:formula>0</x:formula>
    </x:cfRule>
  </x:conditionalFormatting>
  <x:conditionalFormatting sqref="M6:M104">
    <x:cfRule type="cellIs" dxfId="13" priority="3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11bec01115489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B00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元S01/P05/D07の全数量と出口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B00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B00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B00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-46000</x:v>
      </x:c>
      <x:c r="G9" s="6" t="n">
        <x:v>-45000</x:v>
      </x:c>
      <x:c r="H9" s="6" t="n">
        <x:v>55000</x:v>
      </x:c>
      <x:c r="I9" s="11" t="n">
        <x:v>2</x:v>
      </x:c>
      <x:c r="J9" s="12" t="str">
        <x:v>B00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4000</x:v>
      </x:c>
      <x:c r="G10" s="6" t="n">
        <x:v>-15000</x:v>
      </x:c>
      <x:c r="H10" s="6" t="n">
        <x:v>40000</x:v>
      </x:c>
      <x:c r="I10" s="11" t="n">
        <x:v>1</x:v>
      </x:c>
      <x:c r="J10" s="12" t="str">
        <x:v>B00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-32000</x:v>
      </x:c>
      <x:c r="G11" s="6" t="n">
        <x:v>-44000</x:v>
      </x:c>
      <x:c r="H11" s="6" t="n">
        <x:v>44000</x:v>
      </x:c>
      <x:c r="I11" s="11" t="n">
        <x:v>3</x:v>
      </x:c>
      <x:c r="J11" s="12" t="str">
        <x:v>B00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175000</x:v>
      </x:c>
      <x:c r="D12" s="6" t="n">
        <x:v>60000</x:v>
      </x:c>
      <x:c r="E12" s="6" t="n">
        <x:f>C12-D12</x:f>
        <x:v>115000</x:v>
      </x:c>
      <x:c r="F12" s="6" t="n">
        <x:f>F11+E12</x:f>
        <x:v>83000</x:v>
      </x:c>
      <x:c r="G12" s="6" t="n">
        <x:v>-14000</x:v>
      </x:c>
      <x:c r="H12" s="6" t="n">
        <x:v>143000</x:v>
      </x:c>
      <x:c r="I12" s="11" t="n">
        <x:v>8</x:v>
      </x:c>
      <x:c r="J12" s="12" t="str">
        <x:v>B00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133000</x:v>
      </x:c>
      <x:c r="G13" s="6" t="n">
        <x:v>-85000</x:v>
      </x:c>
      <x:c r="H13" s="6" t="n">
        <x:v>90000</x:v>
      </x:c>
      <x:c r="I13" s="11" t="n">
        <x:v>4</x:v>
      </x:c>
      <x:c r="J13" s="12" t="str">
        <x:v>B00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151000</x:v>
      </x:c>
      <x:c r="D14" s="6" t="n">
        <x:v>16000</x:v>
      </x:c>
      <x:c r="E14" s="6" t="n">
        <x:f>C14-D14</x:f>
        <x:v>135000</x:v>
      </x:c>
      <x:c r="F14" s="6" t="n">
        <x:f>F13+E14</x:f>
        <x:v>268000</x:v>
      </x:c>
      <x:c r="G14" s="6" t="n">
        <x:v>-10000</x:v>
      </x:c>
      <x:c r="H14" s="6" t="n">
        <x:v>81000</x:v>
      </x:c>
      <x:c r="I14" s="11" t="n">
        <x:v>5</x:v>
      </x:c>
      <x:c r="J14" s="12" t="str">
        <x:v>B00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16000</x:v>
      </x:c>
      <x:c r="E15" s="6" t="n">
        <x:f>C15-D15</x:f>
        <x:v>1000</x:v>
      </x:c>
      <x:c r="F15" s="6" t="n">
        <x:f>F14+E15</x:f>
        <x:v>269000</x:v>
      </x:c>
      <x:c r="G15" s="6" t="n">
        <x:v>-16000</x:v>
      </x:c>
      <x:c r="H15" s="6" t="n">
        <x:v>24000</x:v>
      </x:c>
      <x:c r="I15" s="11" t="n">
        <x:v>2</x:v>
      </x:c>
      <x:c r="J15" s="12" t="str">
        <x:v>B00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136000</x:v>
      </x:c>
      <x:c r="D16" s="6" t="n">
        <x:v>148000</x:v>
      </x:c>
      <x:c r="E16" s="6" t="n">
        <x:f>C16-D16</x:f>
        <x:v>-12000</x:v>
      </x:c>
      <x:c r="F16" s="6" t="n">
        <x:f>F15+E16</x:f>
        <x:v>257000</x:v>
      </x:c>
      <x:c r="G16" s="6" t="n">
        <x:v>-101000</x:v>
      </x:c>
      <x:c r="H16" s="6" t="n">
        <x:v>145000</x:v>
      </x:c>
      <x:c r="I16" s="11" t="n">
        <x:v>9</x:v>
      </x:c>
      <x:c r="J16" s="12" t="str">
        <x:v>B00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232000</x:v>
      </x:c>
      <x:c r="G17" s="6" t="n">
        <x:v>-36000</x:v>
      </x:c>
      <x:c r="H17" s="6" t="n">
        <x:v>43000</x:v>
      </x:c>
      <x:c r="I17" s="11" t="n">
        <x:v>5</x:v>
      </x:c>
      <x:c r="J17" s="12" t="str">
        <x:v>B00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225000</x:v>
      </x:c>
      <x:c r="D18" s="6" t="n">
        <x:v>144000</x:v>
      </x:c>
      <x:c r="E18" s="6" t="n">
        <x:f>C18-D18</x:f>
        <x:v>81000</x:v>
      </x:c>
      <x:c r="F18" s="6" t="n">
        <x:f>F17+E18</x:f>
        <x:v>313000</x:v>
      </x:c>
      <x:c r="G18" s="6" t="n">
        <x:v>-125000</x:v>
      </x:c>
      <x:c r="H18" s="6" t="n">
        <x:v>218000</x:v>
      </x:c>
      <x:c r="I18" s="11" t="n">
        <x:v>14</x:v>
      </x:c>
      <x:c r="J18" s="12" t="str">
        <x:v>B00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25000</x:v>
      </x:c>
      <x:c r="E19" s="6" t="n">
        <x:f>C19-D19</x:f>
        <x:v>65000</x:v>
      </x:c>
      <x:c r="F19" s="6" t="n">
        <x:f>F18+E19</x:f>
        <x:v>378000</x:v>
      </x:c>
      <x:c r="G19" s="6" t="n">
        <x:v>-30000</x:v>
      </x:c>
      <x:c r="H19" s="6" t="n">
        <x:v>70000</x:v>
      </x:c>
      <x:c r="I19" s="11" t="n">
        <x:v>6</x:v>
      </x:c>
      <x:c r="J19" s="12" t="str">
        <x:v>B00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497000</x:v>
      </x:c>
      <x:c r="G20" s="6" t="n">
        <x:v>-72000</x:v>
      </x:c>
      <x:c r="H20" s="6" t="n">
        <x:v>91000</x:v>
      </x:c>
      <x:c r="I20" s="11" t="n">
        <x:v>6</x:v>
      </x:c>
      <x:c r="J20" s="12" t="str">
        <x:v>B00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109000</x:v>
      </x:c>
      <x:c r="D21" s="6" t="n">
        <x:v>6000</x:v>
      </x:c>
      <x:c r="E21" s="6" t="n">
        <x:f>C21-D21</x:f>
        <x:v>103000</x:v>
      </x:c>
      <x:c r="F21" s="6" t="n">
        <x:f>F20+E21</x:f>
        <x:v>600000</x:v>
      </x:c>
      <x:c r="G21" s="6" t="n">
        <x:v>-75000</x:v>
      </x:c>
      <x:c r="H21" s="6" t="n">
        <x:v>95000</x:v>
      </x:c>
      <x:c r="I21" s="11" t="n">
        <x:v>6</x:v>
      </x:c>
      <x:c r="J21" s="12" t="str">
        <x:v>B00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110000</x:v>
      </x:c>
      <x:c r="E22" s="6" t="n">
        <x:f>C22-D22</x:f>
        <x:v>138000</x:v>
      </x:c>
      <x:c r="F22" s="6" t="n">
        <x:f>F21+E22</x:f>
        <x:v>738000</x:v>
      </x:c>
      <x:c r="G22" s="6" t="n">
        <x:v>-72000</x:v>
      </x:c>
      <x:c r="H22" s="6" t="n">
        <x:v>90000</x:v>
      </x:c>
      <x:c r="I22" s="11" t="n">
        <x:v>5</x:v>
      </x:c>
      <x:c r="J22" s="12" t="str">
        <x:v>B00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263000</x:v>
      </x:c>
      <x:c r="D23" s="6" t="n">
        <x:v>92000</x:v>
      </x:c>
      <x:c r="E23" s="6" t="n">
        <x:f>C23-D23</x:f>
        <x:v>171000</x:v>
      </x:c>
      <x:c r="F23" s="6" t="n">
        <x:f>F22+E23</x:f>
        <x:v>909000</x:v>
      </x:c>
      <x:c r="G23" s="6" t="n">
        <x:v>-25000</x:v>
      </x:c>
      <x:c r="H23" s="6" t="n">
        <x:v>145000</x:v>
      </x:c>
      <x:c r="I23" s="11" t="n">
        <x:v>16</x:v>
      </x:c>
      <x:c r="J23" s="12" t="str">
        <x:v>B00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78000</x:v>
      </x:c>
      <x:c r="E24" s="6" t="n">
        <x:f>C24-D24</x:f>
        <x:v>-42000</x:v>
      </x:c>
      <x:c r="F24" s="6" t="n">
        <x:f>F23+E24</x:f>
        <x:v>867000</x:v>
      </x:c>
      <x:c r="G24" s="6" t="n">
        <x:v>-81000</x:v>
      </x:c>
      <x:c r="H24" s="6" t="n">
        <x:v>159000</x:v>
      </x:c>
      <x:c r="I24" s="11" t="n">
        <x:v>9</x:v>
      </x:c>
      <x:c r="J24" s="12" t="str">
        <x:v>B00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313000</x:v>
      </x:c>
      <x:c r="D25" s="6" t="n">
        <x:v>57000</x:v>
      </x:c>
      <x:c r="E25" s="6" t="n">
        <x:f>C25-D25</x:f>
        <x:v>256000</x:v>
      </x:c>
      <x:c r="F25" s="6" t="n">
        <x:f>F24+E25</x:f>
        <x:v>1123000</x:v>
      </x:c>
      <x:c r="G25" s="6" t="n">
        <x:v>-34000</x:v>
      </x:c>
      <x:c r="H25" s="6" t="n">
        <x:v>162000</x:v>
      </x:c>
      <x:c r="I25" s="11" t="n">
        <x:v>15</x:v>
      </x:c>
      <x:c r="J25" s="12" t="str">
        <x:v>B00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1053000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B00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64000</x:v>
      </x:c>
      <x:c r="E27" s="6" t="n">
        <x:f>C27-D27</x:f>
        <x:v>49000</x:v>
      </x:c>
      <x:c r="F27" s="6" t="n">
        <x:f>F26+E27</x:f>
        <x:v>1102000</x:v>
      </x:c>
      <x:c r="G27" s="6" t="n">
        <x:v>-23000</x:v>
      </x:c>
      <x:c r="H27" s="6" t="n">
        <x:v>128000</x:v>
      </x:c>
      <x:c r="I27" s="11" t="n">
        <x:v>8</x:v>
      </x:c>
      <x:c r="J27" s="12" t="str">
        <x:v>B00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167000</x:v>
      </x:c>
      <x:c r="E28" s="6" t="n">
        <x:f>C28-D28</x:f>
        <x:v>-18000</x:v>
      </x:c>
      <x:c r="F28" s="6" t="n">
        <x:f>F27+E28</x:f>
        <x:v>1084000</x:v>
      </x:c>
      <x:c r="G28" s="6" t="n">
        <x:v>-74000</x:v>
      </x:c>
      <x:c r="H28" s="6" t="n">
        <x:v>98000</x:v>
      </x:c>
      <x:c r="I28" s="11" t="n">
        <x:v>10</x:v>
      </x:c>
      <x:c r="J28" s="12" t="str">
        <x:v>B00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1074000</x:v>
      </x:c>
      <x:c r="G29" s="6" t="n">
        <x:v>-56000</x:v>
      </x:c>
      <x:c r="H29" s="6" t="n">
        <x:v>56000</x:v>
      </x:c>
      <x:c r="I29" s="11" t="n">
        <x:v>4</x:v>
      </x:c>
      <x:c r="J29" s="12" t="str">
        <x:v>B00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46000</x:v>
      </x:c>
      <x:c r="E30" s="6" t="n">
        <x:f>C30-D30</x:f>
        <x:v>121000</x:v>
      </x:c>
      <x:c r="F30" s="6" t="n">
        <x:f>F29+E30</x:f>
        <x:v>1195000</x:v>
      </x:c>
      <x:c r="G30" s="6" t="n">
        <x:v>-6000</x:v>
      </x:c>
      <x:c r="H30" s="6" t="n">
        <x:v>62000</x:v>
      </x:c>
      <x:c r="I30" s="11" t="n">
        <x:v>7</x:v>
      </x:c>
      <x:c r="J30" s="12" t="str">
        <x:v>B00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47000</x:v>
      </x:c>
      <x:c r="E31" s="6" t="n">
        <x:f>C31-D31</x:f>
        <x:v>-24000</x:v>
      </x:c>
      <x:c r="F31" s="6" t="n">
        <x:f>F30+E31</x:f>
        <x:v>1171000</x:v>
      </x:c>
      <x:c r="G31" s="6" t="n">
        <x:v>-30000</x:v>
      </x:c>
      <x:c r="H31" s="6" t="n">
        <x:v>50000</x:v>
      </x:c>
      <x:c r="I31" s="11" t="n">
        <x:v>5</x:v>
      </x:c>
      <x:c r="J31" s="12" t="str">
        <x:v>B00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126000</x:v>
      </x:c>
      <x:c r="D32" s="6" t="n">
        <x:v>90000</x:v>
      </x:c>
      <x:c r="E32" s="6" t="n">
        <x:f>C32-D32</x:f>
        <x:v>36000</x:v>
      </x:c>
      <x:c r="F32" s="6" t="n">
        <x:f>F31+E32</x:f>
        <x:v>1207000</x:v>
      </x:c>
      <x:c r="G32" s="6" t="n">
        <x:v>-78000</x:v>
      </x:c>
      <x:c r="H32" s="6" t="n">
        <x:v>119000</x:v>
      </x:c>
      <x:c r="I32" s="11" t="n">
        <x:v>7</x:v>
      </x:c>
      <x:c r="J32" s="12" t="str">
        <x:v>B00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350000</x:v>
      </x:c>
      <x:c r="D33" s="6" t="n">
        <x:v>36000</x:v>
      </x:c>
      <x:c r="E33" s="6" t="n">
        <x:f>C33-D33</x:f>
        <x:v>314000</x:v>
      </x:c>
      <x:c r="F33" s="6" t="n">
        <x:f>F32+E33</x:f>
        <x:v>1521000</x:v>
      </x:c>
      <x:c r="G33" s="6" t="n">
        <x:v>-34000</x:v>
      </x:c>
      <x:c r="H33" s="6" t="n">
        <x:v>102000</x:v>
      </x:c>
      <x:c r="I33" s="11" t="n">
        <x:v>17</x:v>
      </x:c>
      <x:c r="J33" s="12" t="str">
        <x:v>B00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133000</x:v>
      </x:c>
      <x:c r="D34" s="6" t="n">
        <x:v>70000</x:v>
      </x:c>
      <x:c r="E34" s="6" t="n">
        <x:f>C34-D34</x:f>
        <x:v>63000</x:v>
      </x:c>
      <x:c r="F34" s="6" t="n">
        <x:f>F33+E34</x:f>
        <x:v>1584000</x:v>
      </x:c>
      <x:c r="G34" s="6" t="n">
        <x:v>-33000</x:v>
      </x:c>
      <x:c r="H34" s="6" t="n">
        <x:v>98000</x:v>
      </x:c>
      <x:c r="I34" s="11" t="n">
        <x:v>9</x:v>
      </x:c>
      <x:c r="J34" s="12" t="str">
        <x:v>B00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1638000</x:v>
      </x:c>
      <x:c r="G35" s="6" t="n">
        <x:v>-10000</x:v>
      </x:c>
      <x:c r="H35" s="6" t="n">
        <x:v>60000</x:v>
      </x:c>
      <x:c r="I35" s="11" t="n">
        <x:v>3</x:v>
      </x:c>
      <x:c r="J35" s="12" t="str">
        <x:v>B00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1678000</x:v>
      </x:c>
      <x:c r="G36" s="6" t="n">
        <x:v>-31000</x:v>
      </x:c>
      <x:c r="H36" s="6" t="n">
        <x:v>70000</x:v>
      </x:c>
      <x:c r="I36" s="11" t="n">
        <x:v>3</x:v>
      </x:c>
      <x:c r="J36" s="12" t="str">
        <x:v>B00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1760000</x:v>
      </x:c>
      <x:c r="G37" s="6" t="n">
        <x:v>-10000</x:v>
      </x:c>
      <x:c r="H37" s="6" t="n">
        <x:v>33000</x:v>
      </x:c>
      <x:c r="I37" s="11" t="n">
        <x:v>1</x:v>
      </x:c>
      <x:c r="J37" s="12" t="str">
        <x:v>B00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217000</x:v>
      </x:c>
      <x:c r="D38" s="6" t="n">
        <x:v>160000</x:v>
      </x:c>
      <x:c r="E38" s="6" t="n">
        <x:f>C38-D38</x:f>
        <x:v>57000</x:v>
      </x:c>
      <x:c r="F38" s="6" t="n">
        <x:f>F37+E38</x:f>
        <x:v>1817000</x:v>
      </x:c>
      <x:c r="G38" s="6" t="n">
        <x:v>-36000</x:v>
      </x:c>
      <x:c r="H38" s="6" t="n">
        <x:v>113000</x:v>
      </x:c>
      <x:c r="I38" s="11" t="n">
        <x:v>15</x:v>
      </x:c>
      <x:c r="J38" s="12" t="str">
        <x:v>B00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1779000</x:v>
      </x:c>
      <x:c r="G39" s="6" t="n">
        <x:v>-38000</x:v>
      </x:c>
      <x:c r="H39" s="6" t="n">
        <x:v>58000</x:v>
      </x:c>
      <x:c r="I39" s="11" t="n">
        <x:v>3</x:v>
      </x:c>
      <x:c r="J39" s="12" t="str">
        <x:v>B00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60000</x:v>
      </x:c>
      <x:c r="E40" s="6" t="n">
        <x:f>C40-D40</x:f>
        <x:v>101000</x:v>
      </x:c>
      <x:c r="F40" s="6" t="n">
        <x:f>F39+E40</x:f>
        <x:v>1880000</x:v>
      </x:c>
      <x:c r="G40" s="6" t="n">
        <x:v>-58000</x:v>
      </x:c>
      <x:c r="H40" s="6" t="n">
        <x:v>75000</x:v>
      </x:c>
      <x:c r="I40" s="11" t="n">
        <x:v>5</x:v>
      </x:c>
      <x:c r="J40" s="12" t="str">
        <x:v>B00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61000</x:v>
      </x:c>
      <x:c r="E41" s="6" t="n">
        <x:f>C41-D41</x:f>
        <x:v>151000</x:v>
      </x:c>
      <x:c r="F41" s="6" t="n">
        <x:f>F40+E41</x:f>
        <x:v>2031000</x:v>
      </x:c>
      <x:c r="G41" s="6" t="n">
        <x:v>-45000</x:v>
      </x:c>
      <x:c r="H41" s="6" t="n">
        <x:v>65000</x:v>
      </x:c>
      <x:c r="I41" s="11" t="n">
        <x:v>5</x:v>
      </x:c>
      <x:c r="J41" s="12" t="str">
        <x:v>B00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70000</x:v>
      </x:c>
      <x:c r="E42" s="6" t="n">
        <x:f>C42-D42</x:f>
        <x:v>236000</x:v>
      </x:c>
      <x:c r="F42" s="6" t="n">
        <x:f>F41+E42</x:f>
        <x:v>2267000</x:v>
      </x:c>
      <x:c r="G42" s="6" t="n">
        <x:v>-68000</x:v>
      </x:c>
      <x:c r="H42" s="6" t="n">
        <x:v>118000</x:v>
      </x:c>
      <x:c r="I42" s="11" t="n">
        <x:v>6</x:v>
      </x:c>
      <x:c r="J42" s="12" t="str">
        <x:v>B00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64000</x:v>
      </x:c>
      <x:c r="E43" s="6" t="n">
        <x:f>C43-D43</x:f>
        <x:v>22000</x:v>
      </x:c>
      <x:c r="F43" s="6" t="n">
        <x:f>F42+E43</x:f>
        <x:v>2289000</x:v>
      </x:c>
      <x:c r="G43" s="6" t="n">
        <x:v>-48000</x:v>
      </x:c>
      <x:c r="H43" s="6" t="n">
        <x:v>90000</x:v>
      </x:c>
      <x:c r="I43" s="11" t="n">
        <x:v>7</x:v>
      </x:c>
      <x:c r="J43" s="12" t="str">
        <x:v>B00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225000</x:v>
      </x:c>
      <x:c r="E44" s="6" t="n">
        <x:f>C44-D44</x:f>
        <x:v>-73000</x:v>
      </x:c>
      <x:c r="F44" s="6" t="n">
        <x:f>F43+E44</x:f>
        <x:v>2216000</x:v>
      </x:c>
      <x:c r="G44" s="6" t="n">
        <x:v>-140000</x:v>
      </x:c>
      <x:c r="H44" s="6" t="n">
        <x:v>162000</x:v>
      </x:c>
      <x:c r="I44" s="11" t="n">
        <x:v>14</x:v>
      </x:c>
      <x:c r="J44" s="12" t="str">
        <x:v>B00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177000</x:v>
      </x:c>
      <x:c r="D45" s="6" t="n">
        <x:v>165000</x:v>
      </x:c>
      <x:c r="E45" s="6" t="n">
        <x:f>C45-D45</x:f>
        <x:v>12000</x:v>
      </x:c>
      <x:c r="F45" s="6" t="n">
        <x:f>F44+E45</x:f>
        <x:v>2228000</x:v>
      </x:c>
      <x:c r="G45" s="6" t="n">
        <x:v>-105000</x:v>
      </x:c>
      <x:c r="H45" s="6" t="n">
        <x:v>121000</x:v>
      </x:c>
      <x:c r="I45" s="11" t="n">
        <x:v>14</x:v>
      </x:c>
      <x:c r="J45" s="12" t="str">
        <x:v>B00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329000</x:v>
      </x:c>
      <x:c r="D46" s="6" t="n">
        <x:v>0</x:v>
      </x:c>
      <x:c r="E46" s="6" t="n">
        <x:f>C46-D46</x:f>
        <x:v>329000</x:v>
      </x:c>
      <x:c r="F46" s="6" t="n">
        <x:f>F45+E46</x:f>
        <x:v>2557000</x:v>
      </x:c>
      <x:c r="G46" s="6" t="n">
        <x:v>-8000</x:v>
      </x:c>
      <x:c r="H46" s="6" t="n">
        <x:v>192000</x:v>
      </x:c>
      <x:c r="I46" s="11" t="n">
        <x:v>4</x:v>
      </x:c>
      <x:c r="J46" s="12" t="str">
        <x:v>B00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105000</x:v>
      </x:c>
      <x:c r="E47" s="6" t="n">
        <x:f>C47-D47</x:f>
        <x:v>27000</x:v>
      </x:c>
      <x:c r="F47" s="6" t="n">
        <x:f>F46+E47</x:f>
        <x:v>2584000</x:v>
      </x:c>
      <x:c r="G47" s="6" t="n">
        <x:v>-40000</x:v>
      </x:c>
      <x:c r="H47" s="6" t="n">
        <x:v>97000</x:v>
      </x:c>
      <x:c r="I47" s="11" t="n">
        <x:v>14</x:v>
      </x:c>
      <x:c r="J47" s="12" t="str">
        <x:v>B00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208000</x:v>
      </x:c>
      <x:c r="D48" s="6" t="n">
        <x:v>183000</x:v>
      </x:c>
      <x:c r="E48" s="6" t="n">
        <x:f>C48-D48</x:f>
        <x:v>25000</x:v>
      </x:c>
      <x:c r="F48" s="6" t="n">
        <x:f>F47+E48</x:f>
        <x:v>2609000</x:v>
      </x:c>
      <x:c r="G48" s="6" t="n">
        <x:v>-60000</x:v>
      </x:c>
      <x:c r="H48" s="6" t="n">
        <x:v>294000</x:v>
      </x:c>
      <x:c r="I48" s="11" t="n">
        <x:v>13</x:v>
      </x:c>
      <x:c r="J48" s="12" t="str">
        <x:v>B00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156000</x:v>
      </x:c>
      <x:c r="D49" s="6" t="n">
        <x:v>33000</x:v>
      </x:c>
      <x:c r="E49" s="6" t="n">
        <x:f>C49-D49</x:f>
        <x:v>123000</x:v>
      </x:c>
      <x:c r="F49" s="6" t="n">
        <x:f>F48+E49</x:f>
        <x:v>2732000</x:v>
      </x:c>
      <x:c r="G49" s="6" t="n">
        <x:v>-10000</x:v>
      </x:c>
      <x:c r="H49" s="6" t="n">
        <x:v>53000</x:v>
      </x:c>
      <x:c r="I49" s="11" t="n">
        <x:v>11</x:v>
      </x:c>
      <x:c r="J49" s="12" t="str">
        <x:v>B00</x:v>
      </x:c>
    </x:row>
    <x:row r="50" ht="25" customHeight="1">
      <x:c r="A50" s="2" t="str">
        <x:v>2026-10-21_Day</x:v>
      </x:c>
      <x:c r="B50" s="2" t="str">
        <x:v>後13場</x:v>
      </x:c>
      <x:c r="C50" s="6" t="n">
        <x:v>90000</x:v>
      </x:c>
      <x:c r="D50" s="6" t="n">
        <x:v>203000</x:v>
      </x:c>
      <x:c r="E50" s="6" t="n">
        <x:f>C50-D50</x:f>
        <x:v>-113000</x:v>
      </x:c>
      <x:c r="F50" s="6" t="n">
        <x:f>F49+E50</x:f>
        <x:v>2619000</x:v>
      </x:c>
      <x:c r="G50" s="6" t="n">
        <x:v>-203000</x:v>
      </x:c>
      <x:c r="H50" s="6" t="n">
        <x:v>216000</x:v>
      </x:c>
      <x:c r="I50" s="11" t="n">
        <x:v>13</x:v>
      </x:c>
      <x:c r="J50" s="12" t="str">
        <x:v>B00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80000</x:v>
      </x:c>
      <x:c r="D51" s="6" t="n">
        <x:v>89000</x:v>
      </x:c>
      <x:c r="E51" s="6" t="n">
        <x:f>C51-D51</x:f>
        <x:v>-9000</x:v>
      </x:c>
      <x:c r="F51" s="6" t="n">
        <x:f>F50+E51</x:f>
        <x:v>2610000</x:v>
      </x:c>
      <x:c r="G51" s="6" t="n">
        <x:v>-35000</x:v>
      </x:c>
      <x:c r="H51" s="6" t="n">
        <x:v>131000</x:v>
      </x:c>
      <x:c r="I51" s="11" t="n">
        <x:v>6</x:v>
      </x:c>
      <x:c r="J51" s="12" t="str">
        <x:v>B00</x:v>
      </x:c>
    </x:row>
    <x:row r="52" ht="25" customHeight="1">
      <x:c r="A52" s="2" t="str">
        <x:v>2026-10-22_Day</x:v>
      </x:c>
      <x:c r="B52" s="2" t="str">
        <x:v>後13場</x:v>
      </x:c>
      <x:c r="C52" s="6" t="n">
        <x:v>407000</x:v>
      </x:c>
      <x:c r="D52" s="6" t="n">
        <x:v>8000</x:v>
      </x:c>
      <x:c r="E52" s="6" t="n">
        <x:f>C52-D52</x:f>
        <x:v>399000</x:v>
      </x:c>
      <x:c r="F52" s="6" t="n">
        <x:f>F51+E52</x:f>
        <x:v>3009000</x:v>
      </x:c>
      <x:c r="G52" s="6" t="n">
        <x:v>-17000</x:v>
      </x:c>
      <x:c r="H52" s="6" t="n">
        <x:v>93000</x:v>
      </x:c>
      <x:c r="I52" s="11" t="n">
        <x:v>3</x:v>
      </x:c>
      <x:c r="J52" s="12" t="str">
        <x:v>B00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3165000</x:v>
      </x:c>
      <x:c r="G53" s="6" t="n">
        <x:v>-2000</x:v>
      </x:c>
      <x:c r="H53" s="6" t="n">
        <x:v>64000</x:v>
      </x:c>
      <x:c r="I53" s="11" t="n">
        <x:v>3</x:v>
      </x:c>
      <x:c r="J53" s="12" t="str">
        <x:v>B00</x:v>
      </x:c>
    </x:row>
    <x:row r="54" ht="25" customHeight="1">
      <x:c r="A54" s="2" t="str">
        <x:v>2026-10-23_Day</x:v>
      </x:c>
      <x:c r="B54" s="2" t="str">
        <x:v>後13場</x:v>
      </x:c>
      <x:c r="C54" s="6" t="n">
        <x:v>345000</x:v>
      </x:c>
      <x:c r="D54" s="6" t="n">
        <x:v>57000</x:v>
      </x:c>
      <x:c r="E54" s="6" t="n">
        <x:f>C54-D54</x:f>
        <x:v>288000</x:v>
      </x:c>
      <x:c r="F54" s="6" t="n">
        <x:f>F53+E54</x:f>
        <x:v>3453000</x:v>
      </x:c>
      <x:c r="G54" s="6" t="n">
        <x:v>-24000</x:v>
      </x:c>
      <x:c r="H54" s="6" t="n">
        <x:v>82000</x:v>
      </x:c>
      <x:c r="I54" s="11" t="n">
        <x:v>15</x:v>
      </x:c>
      <x:c r="J54" s="12" t="str">
        <x:v>B00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66000</x:v>
      </x:c>
      <x:c r="E55" s="6" t="n">
        <x:f>C55-D55</x:f>
        <x:v>9000</x:v>
      </x:c>
      <x:c r="F55" s="6" t="n">
        <x:f>F54+E55</x:f>
        <x:v>3462000</x:v>
      </x:c>
      <x:c r="G55" s="6" t="n">
        <x:v>-36000</x:v>
      </x:c>
      <x:c r="H55" s="6" t="n">
        <x:v>89000</x:v>
      </x:c>
      <x:c r="I55" s="11" t="n">
        <x:v>11</x:v>
      </x:c>
      <x:c r="J55" s="12" t="str">
        <x:v>B00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166000</x:v>
      </x:c>
      <x:c r="D56" s="6" t="n">
        <x:v>196000</x:v>
      </x:c>
      <x:c r="E56" s="6" t="n">
        <x:f>C56-D56</x:f>
        <x:v>-30000</x:v>
      </x:c>
      <x:c r="F56" s="6" t="n">
        <x:f>F55+E56</x:f>
        <x:v>3432000</x:v>
      </x:c>
      <x:c r="G56" s="6" t="n">
        <x:v>-126000</x:v>
      </x:c>
      <x:c r="H56" s="6" t="n">
        <x:v>254000</x:v>
      </x:c>
      <x:c r="I56" s="11" t="n">
        <x:v>7</x:v>
      </x:c>
      <x:c r="J56" s="12" t="str">
        <x:v>B00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124000</x:v>
      </x:c>
      <x:c r="E57" s="6" t="n">
        <x:f>C57-D57</x:f>
        <x:v>-36000</x:v>
      </x:c>
      <x:c r="F57" s="6" t="n">
        <x:f>F56+E57</x:f>
        <x:v>3396000</x:v>
      </x:c>
      <x:c r="G57" s="6" t="n">
        <x:v>-37000</x:v>
      </x:c>
      <x:c r="H57" s="6" t="n">
        <x:v>121000</x:v>
      </x:c>
      <x:c r="I57" s="11" t="n">
        <x:v>12</x:v>
      </x:c>
      <x:c r="J57" s="12" t="str">
        <x:v>B00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239000</x:v>
      </x:c>
      <x:c r="E58" s="6" t="n">
        <x:f>C58-D58</x:f>
        <x:v>-115000</x:v>
      </x:c>
      <x:c r="F58" s="6" t="n">
        <x:f>F57+E58</x:f>
        <x:v>3281000</x:v>
      </x:c>
      <x:c r="G58" s="6" t="n">
        <x:v>-133000</x:v>
      </x:c>
      <x:c r="H58" s="6" t="n">
        <x:v>193000</x:v>
      </x:c>
      <x:c r="I58" s="11" t="n">
        <x:v>15</x:v>
      </x:c>
      <x:c r="J58" s="12" t="str">
        <x:v>B00</x:v>
      </x:c>
    </x:row>
    <x:row r="59" ht="25" customHeight="1">
      <x:c r="A59" s="16" t="str">
        <x:v>累計／場内最悪値</x:v>
      </x:c>
      <x:c r="B59" s="16"/>
      <x:c r="C59" s="17" t="n">
        <x:f>SUM(C6:C58)</x:f>
        <x:v>7227000</x:v>
      </x:c>
      <x:c r="D59" s="17" t="n">
        <x:f>SUM(D6:D58)</x:f>
        <x:v>3946000</x:v>
      </x:c>
      <x:c r="E59" s="17" t="n">
        <x:f>C59-D59</x:f>
        <x:v>3281000</x:v>
      </x:c>
      <x:c r="F59" s="17" t="n">
        <x:f>F58</x:f>
        <x:v>3281000</x:v>
      </x:c>
      <x:c r="G59" s="17" t="n">
        <x:f>MIN(G6:G58)</x:f>
        <x:v>-203000</x:v>
      </x:c>
      <x:c r="H59" s="17" t="n">
        <x:f>MAX(H6:H58)</x:f>
        <x:v>294000</x:v>
      </x:c>
      <x:c r="I59" s="18" t="n">
        <x:f>SUM(I6:I58)</x:f>
        <x:v>403</x:v>
      </x:c>
      <x:c r="J59" s="17"/>
    </x:row>
  </x:sheetData>
  <x:conditionalFormatting sqref="E6:G58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f9a5ee65fb478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F00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前40場で固定した昼D80・夜D80の組合せ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28000</x:v>
      </x:c>
      <x:c r="D6" s="6" t="n">
        <x:v>10000</x:v>
      </x:c>
      <x:c r="E6" s="6" t="n">
        <x:f>C6-D6</x:f>
        <x:v>18000</x:v>
      </x:c>
      <x:c r="F6" s="6" t="n">
        <x:f>E6</x:f>
        <x:v>18000</x:v>
      </x:c>
      <x:c r="G6" s="6" t="n">
        <x:v>-23000</x:v>
      </x:c>
      <x:c r="H6" s="6" t="n">
        <x:v>60000</x:v>
      </x:c>
      <x:c r="I6" s="11" t="n">
        <x:v>2</x:v>
      </x:c>
      <x:c r="J6" s="12" t="str">
        <x:v>D80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-27000</x:v>
      </x:c>
      <x:c r="G7" s="6" t="n">
        <x:v>-45000</x:v>
      </x:c>
      <x:c r="H7" s="6" t="n">
        <x:v>65000</x:v>
      </x:c>
      <x:c r="I7" s="11" t="n">
        <x:v>1</x:v>
      </x:c>
      <x:c r="J7" s="12" t="str">
        <x:v>D80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-97000</x:v>
      </x:c>
      <x:c r="G8" s="6" t="n">
        <x:v>-70000</x:v>
      </x:c>
      <x:c r="H8" s="6" t="n">
        <x:v>80000</x:v>
      </x:c>
      <x:c r="I8" s="11" t="n">
        <x:v>2</x:v>
      </x:c>
      <x:c r="J8" s="12" t="str">
        <x:v>D80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-58000</x:v>
      </x:c>
      <x:c r="G9" s="6" t="n">
        <x:v>-45000</x:v>
      </x:c>
      <x:c r="H9" s="6" t="n">
        <x:v>55000</x:v>
      </x:c>
      <x:c r="I9" s="11" t="n">
        <x:v>2</x:v>
      </x:c>
      <x:c r="J9" s="12" t="str">
        <x:v>D80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-8000</x:v>
      </x:c>
      <x:c r="G10" s="6" t="n">
        <x:v>-15000</x:v>
      </x:c>
      <x:c r="H10" s="6" t="n">
        <x:v>40000</x:v>
      </x:c>
      <x:c r="I10" s="11" t="n">
        <x:v>1</x:v>
      </x:c>
      <x:c r="J10" s="12" t="str">
        <x:v>D80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-44000</x:v>
      </x:c>
      <x:c r="G11" s="6" t="n">
        <x:v>-44000</x:v>
      </x:c>
      <x:c r="H11" s="6" t="n">
        <x:v>44000</x:v>
      </x:c>
      <x:c r="I11" s="11" t="n">
        <x:v>3</x:v>
      </x:c>
      <x:c r="J11" s="12" t="str">
        <x:v>D80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143500</x:v>
      </x:c>
      <x:c r="D12" s="6" t="n">
        <x:v>64000</x:v>
      </x:c>
      <x:c r="E12" s="6" t="n">
        <x:f>C12-D12</x:f>
        <x:v>79500</x:v>
      </x:c>
      <x:c r="F12" s="6" t="n">
        <x:f>F11+E12</x:f>
        <x:v>35500</x:v>
      </x:c>
      <x:c r="G12" s="6" t="n">
        <x:v>-17500</x:v>
      </x:c>
      <x:c r="H12" s="6" t="n">
        <x:v>106500</x:v>
      </x:c>
      <x:c r="I12" s="11" t="n">
        <x:v>8</x:v>
      </x:c>
      <x:c r="J12" s="12" t="str">
        <x:v>D80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42500</x:v>
      </x:c>
      <x:c r="D13" s="6" t="n">
        <x:v>22500</x:v>
      </x:c>
      <x:c r="E13" s="6" t="n">
        <x:f>C13-D13</x:f>
        <x:v>20000</x:v>
      </x:c>
      <x:c r="F13" s="6" t="n">
        <x:f>F12+E13</x:f>
        <x:v>55500</x:v>
      </x:c>
      <x:c r="G13" s="6" t="n">
        <x:v>-65000</x:v>
      </x:c>
      <x:c r="H13" s="6" t="n">
        <x:v>65000</x:v>
      </x:c>
      <x:c r="I13" s="11" t="n">
        <x:v>4</x:v>
      </x:c>
      <x:c r="J13" s="12" t="str">
        <x:v>D80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113500</x:v>
      </x:c>
      <x:c r="D14" s="6" t="n">
        <x:v>50000</x:v>
      </x:c>
      <x:c r="E14" s="6" t="n">
        <x:f>C14-D14</x:f>
        <x:v>63500</x:v>
      </x:c>
      <x:c r="F14" s="6" t="n">
        <x:f>F13+E14</x:f>
        <x:v>119000</x:v>
      </x:c>
      <x:c r="G14" s="6" t="n">
        <x:v>-10000</x:v>
      </x:c>
      <x:c r="H14" s="6" t="n">
        <x:v>77000</x:v>
      </x:c>
      <x:c r="I14" s="11" t="n">
        <x:v>5</x:v>
      </x:c>
      <x:c r="J14" s="12" t="str">
        <x:v>D80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12500</x:v>
      </x:c>
      <x:c r="E15" s="6" t="n">
        <x:f>C15-D15</x:f>
        <x:v>4500</x:v>
      </x:c>
      <x:c r="F15" s="6" t="n">
        <x:f>F14+E15</x:f>
        <x:v>123500</x:v>
      </x:c>
      <x:c r="G15" s="6" t="n">
        <x:v>-20000</x:v>
      </x:c>
      <x:c r="H15" s="6" t="n">
        <x:v>21000</x:v>
      </x:c>
      <x:c r="I15" s="11" t="n">
        <x:v>2</x:v>
      </x:c>
      <x:c r="J15" s="12" t="str">
        <x:v>D80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122000</x:v>
      </x:c>
      <x:c r="D16" s="6" t="n">
        <x:v>136500</x:v>
      </x:c>
      <x:c r="E16" s="6" t="n">
        <x:f>C16-D16</x:f>
        <x:v>-14500</x:v>
      </x:c>
      <x:c r="F16" s="6" t="n">
        <x:f>F15+E16</x:f>
        <x:v>109000</x:v>
      </x:c>
      <x:c r="G16" s="6" t="n">
        <x:v>-105500</x:v>
      </x:c>
      <x:c r="H16" s="6" t="n">
        <x:v>145000</x:v>
      </x:c>
      <x:c r="I16" s="11" t="n">
        <x:v>9</x:v>
      </x:c>
      <x:c r="J16" s="12" t="str">
        <x:v>D80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37500</x:v>
      </x:c>
      <x:c r="E17" s="6" t="n">
        <x:f>C17-D17</x:f>
        <x:v>-23500</x:v>
      </x:c>
      <x:c r="F17" s="6" t="n">
        <x:f>F16+E17</x:f>
        <x:v>85500</x:v>
      </x:c>
      <x:c r="G17" s="6" t="n">
        <x:v>-34500</x:v>
      </x:c>
      <x:c r="H17" s="6" t="n">
        <x:v>41500</x:v>
      </x:c>
      <x:c r="I17" s="11" t="n">
        <x:v>5</x:v>
      </x:c>
      <x:c r="J17" s="12" t="str">
        <x:v>D80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220500</x:v>
      </x:c>
      <x:c r="D18" s="6" t="n">
        <x:v>129500</x:v>
      </x:c>
      <x:c r="E18" s="6" t="n">
        <x:f>C18-D18</x:f>
        <x:v>91000</x:v>
      </x:c>
      <x:c r="F18" s="6" t="n">
        <x:f>F17+E18</x:f>
        <x:v>176500</x:v>
      </x:c>
      <x:c r="G18" s="6" t="n">
        <x:v>-115000</x:v>
      </x:c>
      <x:c r="H18" s="6" t="n">
        <x:v>209000</x:v>
      </x:c>
      <x:c r="I18" s="11" t="n">
        <x:v>14</x:v>
      </x:c>
      <x:c r="J18" s="12" t="str">
        <x:v>D80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22500</x:v>
      </x:c>
      <x:c r="E19" s="6" t="n">
        <x:f>C19-D19</x:f>
        <x:v>67500</x:v>
      </x:c>
      <x:c r="F19" s="6" t="n">
        <x:f>F18+E19</x:f>
        <x:v>244000</x:v>
      </x:c>
      <x:c r="G19" s="6" t="n">
        <x:v>-30000</x:v>
      </x:c>
      <x:c r="H19" s="6" t="n">
        <x:v>70000</x:v>
      </x:c>
      <x:c r="I19" s="11" t="n">
        <x:v>6</x:v>
      </x:c>
      <x:c r="J19" s="12" t="str">
        <x:v>D80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73500</x:v>
      </x:c>
      <x:c r="E20" s="6" t="n">
        <x:f>C20-D20</x:f>
        <x:v>122500</x:v>
      </x:c>
      <x:c r="F20" s="6" t="n">
        <x:f>F19+E20</x:f>
        <x:v>366500</x:v>
      </x:c>
      <x:c r="G20" s="6" t="n">
        <x:v>-69500</x:v>
      </x:c>
      <x:c r="H20" s="6" t="n">
        <x:v>88500</x:v>
      </x:c>
      <x:c r="I20" s="11" t="n">
        <x:v>6</x:v>
      </x:c>
      <x:c r="J20" s="12" t="str">
        <x:v>D80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99000</x:v>
      </x:c>
      <x:c r="D21" s="6" t="n">
        <x:v>28500</x:v>
      </x:c>
      <x:c r="E21" s="6" t="n">
        <x:f>C21-D21</x:f>
        <x:v>70500</x:v>
      </x:c>
      <x:c r="F21" s="6" t="n">
        <x:f>F20+E21</x:f>
        <x:v>437000</x:v>
      </x:c>
      <x:c r="G21" s="6" t="n">
        <x:v>-52500</x:v>
      </x:c>
      <x:c r="H21" s="6" t="n">
        <x:v>72500</x:v>
      </x:c>
      <x:c r="I21" s="11" t="n">
        <x:v>6</x:v>
      </x:c>
      <x:c r="J21" s="12" t="str">
        <x:v>D80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94500</x:v>
      </x:c>
      <x:c r="E22" s="6" t="n">
        <x:f>C22-D22</x:f>
        <x:v>153500</x:v>
      </x:c>
      <x:c r="F22" s="6" t="n">
        <x:f>F21+E22</x:f>
        <x:v>590500</x:v>
      </x:c>
      <x:c r="G22" s="6" t="n">
        <x:v>-64500</x:v>
      </x:c>
      <x:c r="H22" s="6" t="n">
        <x:v>90000</x:v>
      </x:c>
      <x:c r="I22" s="11" t="n">
        <x:v>5</x:v>
      </x:c>
      <x:c r="J22" s="12" t="str">
        <x:v>D80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218500</x:v>
      </x:c>
      <x:c r="D23" s="6" t="n">
        <x:v>106500</x:v>
      </x:c>
      <x:c r="E23" s="6" t="n">
        <x:f>C23-D23</x:f>
        <x:v>112000</x:v>
      </x:c>
      <x:c r="F23" s="6" t="n">
        <x:f>F22+E23</x:f>
        <x:v>702500</x:v>
      </x:c>
      <x:c r="G23" s="6" t="n">
        <x:v>-25000</x:v>
      </x:c>
      <x:c r="H23" s="6" t="n">
        <x:v>125500</x:v>
      </x:c>
      <x:c r="I23" s="11" t="n">
        <x:v>16</x:v>
      </x:c>
      <x:c r="J23" s="12" t="str">
        <x:v>D80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70500</x:v>
      </x:c>
      <x:c r="E24" s="6" t="n">
        <x:f>C24-D24</x:f>
        <x:v>-34500</x:v>
      </x:c>
      <x:c r="F24" s="6" t="n">
        <x:f>F23+E24</x:f>
        <x:v>668000</x:v>
      </x:c>
      <x:c r="G24" s="6" t="n">
        <x:v>-73500</x:v>
      </x:c>
      <x:c r="H24" s="6" t="n">
        <x:v>151500</x:v>
      </x:c>
      <x:c r="I24" s="11" t="n">
        <x:v>9</x:v>
      </x:c>
      <x:c r="J24" s="12" t="str">
        <x:v>D80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305000</x:v>
      </x:c>
      <x:c r="D25" s="6" t="n">
        <x:v>52000</x:v>
      </x:c>
      <x:c r="E25" s="6" t="n">
        <x:f>C25-D25</x:f>
        <x:v>253000</x:v>
      </x:c>
      <x:c r="F25" s="6" t="n">
        <x:f>F24+E25</x:f>
        <x:v>921000</x:v>
      </x:c>
      <x:c r="G25" s="6" t="n">
        <x:v>-34000</x:v>
      </x:c>
      <x:c r="H25" s="6" t="n">
        <x:v>133500</x:v>
      </x:c>
      <x:c r="I25" s="11" t="n">
        <x:v>15</x:v>
      </x:c>
      <x:c r="J25" s="12" t="str">
        <x:v>D80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851000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D80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59000</x:v>
      </x:c>
      <x:c r="E27" s="6" t="n">
        <x:f>C27-D27</x:f>
        <x:v>54000</x:v>
      </x:c>
      <x:c r="F27" s="6" t="n">
        <x:f>F26+E27</x:f>
        <x:v>905000</x:v>
      </x:c>
      <x:c r="G27" s="6" t="n">
        <x:v>-23000</x:v>
      </x:c>
      <x:c r="H27" s="6" t="n">
        <x:v>123000</x:v>
      </x:c>
      <x:c r="I27" s="11" t="n">
        <x:v>8</x:v>
      </x:c>
      <x:c r="J27" s="12" t="str">
        <x:v>D80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144500</x:v>
      </x:c>
      <x:c r="E28" s="6" t="n">
        <x:f>C28-D28</x:f>
        <x:v>4500</x:v>
      </x:c>
      <x:c r="F28" s="6" t="n">
        <x:f>F27+E28</x:f>
        <x:v>909500</x:v>
      </x:c>
      <x:c r="G28" s="6" t="n">
        <x:v>-70500</x:v>
      </x:c>
      <x:c r="H28" s="6" t="n">
        <x:v>94500</x:v>
      </x:c>
      <x:c r="I28" s="11" t="n">
        <x:v>10</x:v>
      </x:c>
      <x:c r="J28" s="12" t="str">
        <x:v>D80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899500</x:v>
      </x:c>
      <x:c r="G29" s="6" t="n">
        <x:v>-56000</x:v>
      </x:c>
      <x:c r="H29" s="6" t="n">
        <x:v>56000</x:v>
      </x:c>
      <x:c r="I29" s="11" t="n">
        <x:v>4</x:v>
      </x:c>
      <x:c r="J29" s="12" t="str">
        <x:v>D80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43000</x:v>
      </x:c>
      <x:c r="E30" s="6" t="n">
        <x:f>C30-D30</x:f>
        <x:v>124000</x:v>
      </x:c>
      <x:c r="F30" s="6" t="n">
        <x:f>F29+E30</x:f>
        <x:v>1023500</x:v>
      </x:c>
      <x:c r="G30" s="6" t="n">
        <x:v>-6000</x:v>
      </x:c>
      <x:c r="H30" s="6" t="n">
        <x:v>62000</x:v>
      </x:c>
      <x:c r="I30" s="11" t="n">
        <x:v>7</x:v>
      </x:c>
      <x:c r="J30" s="12" t="str">
        <x:v>D80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1005000</x:v>
      </x:c>
      <x:c r="G31" s="6" t="n">
        <x:v>-30000</x:v>
      </x:c>
      <x:c r="H31" s="6" t="n">
        <x:v>44500</x:v>
      </x:c>
      <x:c r="I31" s="11" t="n">
        <x:v>5</x:v>
      </x:c>
      <x:c r="J31" s="12" t="str">
        <x:v>D80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123000</x:v>
      </x:c>
      <x:c r="D32" s="6" t="n">
        <x:v>99000</x:v>
      </x:c>
      <x:c r="E32" s="6" t="n">
        <x:f>C32-D32</x:f>
        <x:v>24000</x:v>
      </x:c>
      <x:c r="F32" s="6" t="n">
        <x:f>F31+E32</x:f>
        <x:v>1029000</x:v>
      </x:c>
      <x:c r="G32" s="6" t="n">
        <x:v>-90000</x:v>
      </x:c>
      <x:c r="H32" s="6" t="n">
        <x:v>119000</x:v>
      </x:c>
      <x:c r="I32" s="11" t="n">
        <x:v>7</x:v>
      </x:c>
      <x:c r="J32" s="12" t="str">
        <x:v>D80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309000</x:v>
      </x:c>
      <x:c r="D33" s="6" t="n">
        <x:v>49500</x:v>
      </x:c>
      <x:c r="E33" s="6" t="n">
        <x:f>C33-D33</x:f>
        <x:v>259500</x:v>
      </x:c>
      <x:c r="F33" s="6" t="n">
        <x:f>F32+E33</x:f>
        <x:v>1288500</x:v>
      </x:c>
      <x:c r="G33" s="6" t="n">
        <x:v>-34000</x:v>
      </x:c>
      <x:c r="H33" s="6" t="n">
        <x:v>70000</x:v>
      </x:c>
      <x:c r="I33" s="11" t="n">
        <x:v>17</x:v>
      </x:c>
      <x:c r="J33" s="12" t="str">
        <x:v>D80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128500</x:v>
      </x:c>
      <x:c r="D34" s="6" t="n">
        <x:v>77000</x:v>
      </x:c>
      <x:c r="E34" s="6" t="n">
        <x:f>C34-D34</x:f>
        <x:v>51500</x:v>
      </x:c>
      <x:c r="F34" s="6" t="n">
        <x:f>F33+E34</x:f>
        <x:v>1340000</x:v>
      </x:c>
      <x:c r="G34" s="6" t="n">
        <x:v>-44500</x:v>
      </x:c>
      <x:c r="H34" s="6" t="n">
        <x:v>76500</x:v>
      </x:c>
      <x:c r="I34" s="11" t="n">
        <x:v>9</x:v>
      </x:c>
      <x:c r="J34" s="12" t="str">
        <x:v>D80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1394000</x:v>
      </x:c>
      <x:c r="G35" s="6" t="n">
        <x:v>-10000</x:v>
      </x:c>
      <x:c r="H35" s="6" t="n">
        <x:v>60000</x:v>
      </x:c>
      <x:c r="I35" s="11" t="n">
        <x:v>3</x:v>
      </x:c>
      <x:c r="J35" s="12" t="str">
        <x:v>D80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1434000</x:v>
      </x:c>
      <x:c r="G36" s="6" t="n">
        <x:v>-31000</x:v>
      </x:c>
      <x:c r="H36" s="6" t="n">
        <x:v>70000</x:v>
      </x:c>
      <x:c r="I36" s="11" t="n">
        <x:v>3</x:v>
      </x:c>
      <x:c r="J36" s="12" t="str">
        <x:v>D80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1516000</x:v>
      </x:c>
      <x:c r="G37" s="6" t="n">
        <x:v>-10000</x:v>
      </x:c>
      <x:c r="H37" s="6" t="n">
        <x:v>33000</x:v>
      </x:c>
      <x:c r="I37" s="11" t="n">
        <x:v>1</x:v>
      </x:c>
      <x:c r="J37" s="12" t="str">
        <x:v>D80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206500</x:v>
      </x:c>
      <x:c r="D38" s="6" t="n">
        <x:v>144000</x:v>
      </x:c>
      <x:c r="E38" s="6" t="n">
        <x:f>C38-D38</x:f>
        <x:v>62500</x:v>
      </x:c>
      <x:c r="F38" s="6" t="n">
        <x:f>F37+E38</x:f>
        <x:v>1578500</x:v>
      </x:c>
      <x:c r="G38" s="6" t="n">
        <x:v>-54500</x:v>
      </x:c>
      <x:c r="H38" s="6" t="n">
        <x:v>109000</x:v>
      </x:c>
      <x:c r="I38" s="11" t="n">
        <x:v>15</x:v>
      </x:c>
      <x:c r="J38" s="12" t="str">
        <x:v>D80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1540500</x:v>
      </x:c>
      <x:c r="G39" s="6" t="n">
        <x:v>-38000</x:v>
      </x:c>
      <x:c r="H39" s="6" t="n">
        <x:v>58000</x:v>
      </x:c>
      <x:c r="I39" s="11" t="n">
        <x:v>3</x:v>
      </x:c>
      <x:c r="J39" s="12" t="str">
        <x:v>D80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46000</x:v>
      </x:c>
      <x:c r="E40" s="6" t="n">
        <x:f>C40-D40</x:f>
        <x:v>115000</x:v>
      </x:c>
      <x:c r="F40" s="6" t="n">
        <x:f>F39+E40</x:f>
        <x:v>1655500</x:v>
      </x:c>
      <x:c r="G40" s="6" t="n">
        <x:v>-45500</x:v>
      </x:c>
      <x:c r="H40" s="6" t="n">
        <x:v>70000</x:v>
      </x:c>
      <x:c r="I40" s="11" t="n">
        <x:v>5</x:v>
      </x:c>
      <x:c r="J40" s="12" t="str">
        <x:v>D80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48500</x:v>
      </x:c>
      <x:c r="E41" s="6" t="n">
        <x:f>C41-D41</x:f>
        <x:v>163500</x:v>
      </x:c>
      <x:c r="F41" s="6" t="n">
        <x:f>F40+E41</x:f>
        <x:v>1819000</x:v>
      </x:c>
      <x:c r="G41" s="6" t="n">
        <x:v>-38500</x:v>
      </x:c>
      <x:c r="H41" s="6" t="n">
        <x:v>58500</x:v>
      </x:c>
      <x:c r="I41" s="11" t="n">
        <x:v>5</x:v>
      </x:c>
      <x:c r="J41" s="12" t="str">
        <x:v>D80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46000</x:v>
      </x:c>
      <x:c r="E42" s="6" t="n">
        <x:f>C42-D42</x:f>
        <x:v>260000</x:v>
      </x:c>
      <x:c r="F42" s="6" t="n">
        <x:f>F41+E42</x:f>
        <x:v>2079000</x:v>
      </x:c>
      <x:c r="G42" s="6" t="n">
        <x:v>-44000</x:v>
      </x:c>
      <x:c r="H42" s="6" t="n">
        <x:v>118000</x:v>
      </x:c>
      <x:c r="I42" s="11" t="n">
        <x:v>6</x:v>
      </x:c>
      <x:c r="J42" s="12" t="str">
        <x:v>D80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52500</x:v>
      </x:c>
      <x:c r="E43" s="6" t="n">
        <x:f>C43-D43</x:f>
        <x:v>33500</x:v>
      </x:c>
      <x:c r="F43" s="6" t="n">
        <x:f>F42+E43</x:f>
        <x:v>2112500</x:v>
      </x:c>
      <x:c r="G43" s="6" t="n">
        <x:v>-37500</x:v>
      </x:c>
      <x:c r="H43" s="6" t="n">
        <x:v>79500</x:v>
      </x:c>
      <x:c r="I43" s="11" t="n">
        <x:v>7</x:v>
      </x:c>
      <x:c r="J43" s="12" t="str">
        <x:v>D80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230000</x:v>
      </x:c>
      <x:c r="E44" s="6" t="n">
        <x:f>C44-D44</x:f>
        <x:v>-78000</x:v>
      </x:c>
      <x:c r="F44" s="6" t="n">
        <x:f>F43+E44</x:f>
        <x:v>2034500</x:v>
      </x:c>
      <x:c r="G44" s="6" t="n">
        <x:v>-145000</x:v>
      </x:c>
      <x:c r="H44" s="6" t="n">
        <x:v>160000</x:v>
      </x:c>
      <x:c r="I44" s="11" t="n">
        <x:v>14</x:v>
      </x:c>
      <x:c r="J44" s="12" t="str">
        <x:v>D80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169000</x:v>
      </x:c>
      <x:c r="D45" s="6" t="n">
        <x:v>145000</x:v>
      </x:c>
      <x:c r="E45" s="6" t="n">
        <x:f>C45-D45</x:f>
        <x:v>24000</x:v>
      </x:c>
      <x:c r="F45" s="6" t="n">
        <x:f>F44+E45</x:f>
        <x:v>2058500</x:v>
      </x:c>
      <x:c r="G45" s="6" t="n">
        <x:v>-96000</x:v>
      </x:c>
      <x:c r="H45" s="6" t="n">
        <x:v>108500</x:v>
      </x:c>
      <x:c r="I45" s="11" t="n">
        <x:v>14</x:v>
      </x:c>
      <x:c r="J45" s="12" t="str">
        <x:v>D80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179000</x:v>
      </x:c>
      <x:c r="D46" s="6" t="n">
        <x:v>33500</x:v>
      </x:c>
      <x:c r="E46" s="6" t="n">
        <x:f>C46-D46</x:f>
        <x:v>145500</x:v>
      </x:c>
      <x:c r="F46" s="6" t="n">
        <x:f>F45+E46</x:f>
        <x:v>2204000</x:v>
      </x:c>
      <x:c r="G46" s="6" t="n">
        <x:v>-8000</x:v>
      </x:c>
      <x:c r="H46" s="6" t="n">
        <x:v>171000</x:v>
      </x:c>
      <x:c r="I46" s="11" t="n">
        <x:v>4</x:v>
      </x:c>
      <x:c r="J46" s="12" t="str">
        <x:v>D80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122000</x:v>
      </x:c>
      <x:c r="D47" s="6" t="n">
        <x:v>120000</x:v>
      </x:c>
      <x:c r="E47" s="6" t="n">
        <x:f>C47-D47</x:f>
        <x:v>2000</x:v>
      </x:c>
      <x:c r="F47" s="6" t="n">
        <x:f>F46+E47</x:f>
        <x:v>2206000</x:v>
      </x:c>
      <x:c r="G47" s="6" t="n">
        <x:v>-58000</x:v>
      </x:c>
      <x:c r="H47" s="6" t="n">
        <x:v>90000</x:v>
      </x:c>
      <x:c r="I47" s="11" t="n">
        <x:v>14</x:v>
      </x:c>
      <x:c r="J47" s="12" t="str">
        <x:v>D80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203000</x:v>
      </x:c>
      <x:c r="D48" s="6" t="n">
        <x:v>172000</x:v>
      </x:c>
      <x:c r="E48" s="6" t="n">
        <x:f>C48-D48</x:f>
        <x:v>31000</x:v>
      </x:c>
      <x:c r="F48" s="6" t="n">
        <x:f>F47+E48</x:f>
        <x:v>2237000</x:v>
      </x:c>
      <x:c r="G48" s="6" t="n">
        <x:v>-58000</x:v>
      </x:c>
      <x:c r="H48" s="6" t="n">
        <x:v>277000</x:v>
      </x:c>
      <x:c r="I48" s="11" t="n">
        <x:v>13</x:v>
      </x:c>
      <x:c r="J48" s="12" t="str">
        <x:v>D80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146500</x:v>
      </x:c>
      <x:c r="D49" s="6" t="n">
        <x:v>34500</x:v>
      </x:c>
      <x:c r="E49" s="6" t="n">
        <x:f>C49-D49</x:f>
        <x:v>112000</x:v>
      </x:c>
      <x:c r="F49" s="6" t="n">
        <x:f>F48+E49</x:f>
        <x:v>2349000</x:v>
      </x:c>
      <x:c r="G49" s="6" t="n">
        <x:v>-10000</x:v>
      </x:c>
      <x:c r="H49" s="6" t="n">
        <x:v>62500</x:v>
      </x:c>
      <x:c r="I49" s="11" t="n">
        <x:v>11</x:v>
      </x:c>
      <x:c r="J49" s="12" t="str">
        <x:v>D80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86500</x:v>
      </x:c>
      <x:c r="D50" s="6" t="n">
        <x:v>195500</x:v>
      </x:c>
      <x:c r="E50" s="6" t="n">
        <x:f>C50-D50</x:f>
        <x:v>-109000</x:v>
      </x:c>
      <x:c r="F50" s="6" t="n">
        <x:f>F49+E50</x:f>
        <x:v>2240000</x:v>
      </x:c>
      <x:c r="G50" s="6" t="n">
        <x:v>-199000</x:v>
      </x:c>
      <x:c r="H50" s="6" t="n">
        <x:v>199000</x:v>
      </x:c>
      <x:c r="I50" s="11" t="n">
        <x:v>13</x:v>
      </x:c>
      <x:c r="J50" s="12" t="str">
        <x:v>D80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47500</x:v>
      </x:c>
      <x:c r="D51" s="6" t="n">
        <x:v>117000</x:v>
      </x:c>
      <x:c r="E51" s="6" t="n">
        <x:f>C51-D51</x:f>
        <x:v>-69500</x:v>
      </x:c>
      <x:c r="F51" s="6" t="n">
        <x:f>F50+E51</x:f>
        <x:v>2170500</x:v>
      </x:c>
      <x:c r="G51" s="6" t="n">
        <x:v>-69500</x:v>
      </x:c>
      <x:c r="H51" s="6" t="n">
        <x:v>113000</x:v>
      </x:c>
      <x:c r="I51" s="11" t="n">
        <x:v>6</x:v>
      </x:c>
      <x:c r="J51" s="12" t="str">
        <x:v>D80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226500</x:v>
      </x:c>
      <x:c r="D52" s="6" t="n">
        <x:v>30500</x:v>
      </x:c>
      <x:c r="E52" s="6" t="n">
        <x:f>C52-D52</x:f>
        <x:v>196000</x:v>
      </x:c>
      <x:c r="F52" s="6" t="n">
        <x:f>F51+E52</x:f>
        <x:v>2366500</x:v>
      </x:c>
      <x:c r="G52" s="6" t="n">
        <x:v>-12000</x:v>
      </x:c>
      <x:c r="H52" s="6" t="n">
        <x:v>88000</x:v>
      </x:c>
      <x:c r="I52" s="11" t="n">
        <x:v>3</x:v>
      </x:c>
      <x:c r="J52" s="12" t="str">
        <x:v>D80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2522500</x:v>
      </x:c>
      <x:c r="G53" s="6" t="n">
        <x:v>-2000</x:v>
      </x:c>
      <x:c r="H53" s="6" t="n">
        <x:v>64000</x:v>
      </x:c>
      <x:c r="I53" s="11" t="n">
        <x:v>3</x:v>
      </x:c>
      <x:c r="J53" s="12" t="str">
        <x:v>D80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223000</x:v>
      </x:c>
      <x:c r="D54" s="6" t="n">
        <x:v>92000</x:v>
      </x:c>
      <x:c r="E54" s="6" t="n">
        <x:f>C54-D54</x:f>
        <x:v>131000</x:v>
      </x:c>
      <x:c r="F54" s="6" t="n">
        <x:f>F53+E54</x:f>
        <x:v>2653500</x:v>
      </x:c>
      <x:c r="G54" s="6" t="n">
        <x:v>-21000</x:v>
      </x:c>
      <x:c r="H54" s="6" t="n">
        <x:v>73000</x:v>
      </x:c>
      <x:c r="I54" s="11" t="n">
        <x:v>15</x:v>
      </x:c>
      <x:c r="J54" s="12" t="str">
        <x:v>D80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68000</x:v>
      </x:c>
      <x:c r="D55" s="6" t="n">
        <x:v>66000</x:v>
      </x:c>
      <x:c r="E55" s="6" t="n">
        <x:f>C55-D55</x:f>
        <x:v>2000</x:v>
      </x:c>
      <x:c r="F55" s="6" t="n">
        <x:f>F54+E55</x:f>
        <x:v>2655500</x:v>
      </x:c>
      <x:c r="G55" s="6" t="n">
        <x:v>-30000</x:v>
      </x:c>
      <x:c r="H55" s="6" t="n">
        <x:v>86500</x:v>
      </x:c>
      <x:c r="I55" s="11" t="n">
        <x:v>11</x:v>
      </x:c>
      <x:c r="J55" s="12" t="str">
        <x:v>D80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148000</x:v>
      </x:c>
      <x:c r="D56" s="6" t="n">
        <x:v>184500</x:v>
      </x:c>
      <x:c r="E56" s="6" t="n">
        <x:f>C56-D56</x:f>
        <x:v>-36500</x:v>
      </x:c>
      <x:c r="F56" s="6" t="n">
        <x:f>F55+E56</x:f>
        <x:v>2619000</x:v>
      </x:c>
      <x:c r="G56" s="6" t="n">
        <x:v>-132500</x:v>
      </x:c>
      <x:c r="H56" s="6" t="n">
        <x:v>214500</x:v>
      </x:c>
      <x:c r="I56" s="11" t="n">
        <x:v>7</x:v>
      </x:c>
      <x:c r="J56" s="12" t="str">
        <x:v>D80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108000</x:v>
      </x:c>
      <x:c r="E57" s="6" t="n">
        <x:f>C57-D57</x:f>
        <x:v>-20000</x:v>
      </x:c>
      <x:c r="F57" s="6" t="n">
        <x:f>F56+E57</x:f>
        <x:v>2599000</x:v>
      </x:c>
      <x:c r="G57" s="6" t="n">
        <x:v>-22000</x:v>
      </x:c>
      <x:c r="H57" s="6" t="n">
        <x:v>120000</x:v>
      </x:c>
      <x:c r="I57" s="11" t="n">
        <x:v>12</x:v>
      </x:c>
      <x:c r="J57" s="12" t="str">
        <x:v>D80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217500</x:v>
      </x:c>
      <x:c r="E58" s="6" t="n">
        <x:f>C58-D58</x:f>
        <x:v>-93500</x:v>
      </x:c>
      <x:c r="F58" s="6" t="n">
        <x:f>F57+E58</x:f>
        <x:v>2505500</x:v>
      </x:c>
      <x:c r="G58" s="6" t="n">
        <x:v>-111500</x:v>
      </x:c>
      <x:c r="H58" s="6" t="n">
        <x:v>179500</x:v>
      </x:c>
      <x:c r="I58" s="11" t="n">
        <x:v>15</x:v>
      </x:c>
      <x:c r="J58" s="12" t="str">
        <x:v>D80</x:v>
      </x:c>
    </x:row>
    <x:row r="59" ht="25" customHeight="1">
      <x:c r="A59" s="16" t="str">
        <x:v>累計／場内最悪値</x:v>
      </x:c>
      <x:c r="B59" s="16"/>
      <x:c r="C59" s="17" t="n">
        <x:f>SUM(C6:C58)</x:f>
        <x:v>6462500</x:v>
      </x:c>
      <x:c r="D59" s="17" t="n">
        <x:f>SUM(D6:D58)</x:f>
        <x:v>3957000</x:v>
      </x:c>
      <x:c r="E59" s="17" t="n">
        <x:f>C59-D59</x:f>
        <x:v>2505500</x:v>
      </x:c>
      <x:c r="F59" s="17" t="n">
        <x:f>F58</x:f>
        <x:v>2505500</x:v>
      </x:c>
      <x:c r="G59" s="17" t="n">
        <x:f>MIN(G6:G58)</x:f>
        <x:v>-199000</x:v>
      </x:c>
      <x:c r="H59" s="17" t="n">
        <x:f>MAX(H6:H58)</x:f>
        <x:v>277000</x:v>
      </x:c>
      <x:c r="I59" s="18" t="n">
        <x:f>SUM(I6:I58)</x:f>
        <x:v>403</x:v>
      </x:c>
      <x:c r="J59" s="17"/>
    </x:row>
  </x:sheetData>
  <x:conditionalFormatting sqref="E6:G58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965a64dbb443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C50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元の全通知数量を厳密1/2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15000</x:v>
      </x:c>
      <x:c r="D6" s="6" t="n">
        <x:v>0</x:v>
      </x:c>
      <x:c r="E6" s="6" t="n">
        <x:f>C6-D6</x:f>
        <x:v>15000</x:v>
      </x:c>
      <x:c r="F6" s="6" t="n">
        <x:f>E6</x:f>
        <x:v>15000</x:v>
      </x:c>
      <x:c r="G6" s="6" t="n">
        <x:v>-12000</x:v>
      </x:c>
      <x:c r="H6" s="6" t="n">
        <x:v>30000</x:v>
      </x:c>
      <x:c r="I6" s="11" t="n">
        <x:v>2</x:v>
      </x:c>
      <x:c r="J6" s="12" t="str">
        <x:v>C50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22500</x:v>
      </x:c>
      <x:c r="E7" s="6" t="n">
        <x:f>C7-D7</x:f>
        <x:v>-22500</x:v>
      </x:c>
      <x:c r="F7" s="6" t="n">
        <x:f>F6+E7</x:f>
        <x:v>-7500</x:v>
      </x:c>
      <x:c r="G7" s="6" t="n">
        <x:v>-22500</x:v>
      </x:c>
      <x:c r="H7" s="6" t="n">
        <x:v>32500</x:v>
      </x:c>
      <x:c r="I7" s="11" t="n">
        <x:v>1</x:v>
      </x:c>
      <x:c r="J7" s="12" t="str">
        <x:v>C50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35000</x:v>
      </x:c>
      <x:c r="E8" s="6" t="n">
        <x:f>C8-D8</x:f>
        <x:v>-35000</x:v>
      </x:c>
      <x:c r="F8" s="6" t="n">
        <x:f>F7+E8</x:f>
        <x:v>-42500</x:v>
      </x:c>
      <x:c r="G8" s="6" t="n">
        <x:v>-35000</x:v>
      </x:c>
      <x:c r="H8" s="6" t="n">
        <x:v>40000</x:v>
      </x:c>
      <x:c r="I8" s="11" t="n">
        <x:v>2</x:v>
      </x:c>
      <x:c r="J8" s="12" t="str">
        <x:v>C50</x:v>
      </x:c>
    </x:row>
    <x:row r="9" ht="25" customHeight="1">
      <x:c r="A9" s="2" t="str">
        <x:v>2026-09-22_Night</x:v>
      </x:c>
      <x:c r="B9" s="2" t="str">
        <x:v>前30場</x:v>
      </x:c>
      <x:c r="C9" s="6" t="n">
        <x:v>23500</x:v>
      </x:c>
      <x:c r="D9" s="6" t="n">
        <x:v>4000</x:v>
      </x:c>
      <x:c r="E9" s="6" t="n">
        <x:f>C9-D9</x:f>
        <x:v>19500</x:v>
      </x:c>
      <x:c r="F9" s="6" t="n">
        <x:f>F8+E9</x:f>
        <x:v>-23000</x:v>
      </x:c>
      <x:c r="G9" s="6" t="n">
        <x:v>-22500</x:v>
      </x:c>
      <x:c r="H9" s="6" t="n">
        <x:v>27500</x:v>
      </x:c>
      <x:c r="I9" s="11" t="n">
        <x:v>2</x:v>
      </x:c>
      <x:c r="J9" s="12" t="str">
        <x:v>C50</x:v>
      </x:c>
    </x:row>
    <x:row r="10" ht="25" customHeight="1">
      <x:c r="A10" s="2" t="str">
        <x:v>2026-09-23_Day</x:v>
      </x:c>
      <x:c r="B10" s="2" t="str">
        <x:v>前30場</x:v>
      </x:c>
      <x:c r="C10" s="6" t="n">
        <x:v>25000</x:v>
      </x:c>
      <x:c r="D10" s="6" t="n">
        <x:v>0</x:v>
      </x:c>
      <x:c r="E10" s="6" t="n">
        <x:f>C10-D10</x:f>
        <x:v>25000</x:v>
      </x:c>
      <x:c r="F10" s="6" t="n">
        <x:f>F9+E10</x:f>
        <x:v>2000</x:v>
      </x:c>
      <x:c r="G10" s="6" t="n">
        <x:v>-7500</x:v>
      </x:c>
      <x:c r="H10" s="6" t="n">
        <x:v>20000</x:v>
      </x:c>
      <x:c r="I10" s="11" t="n">
        <x:v>1</x:v>
      </x:c>
      <x:c r="J10" s="12" t="str">
        <x:v>C50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2500</x:v>
      </x:c>
      <x:c r="D11" s="6" t="n">
        <x:v>20500</x:v>
      </x:c>
      <x:c r="E11" s="6" t="n">
        <x:f>C11-D11</x:f>
        <x:v>-18000</x:v>
      </x:c>
      <x:c r="F11" s="6" t="n">
        <x:f>F10+E11</x:f>
        <x:v>-16000</x:v>
      </x:c>
      <x:c r="G11" s="6" t="n">
        <x:v>-22000</x:v>
      </x:c>
      <x:c r="H11" s="6" t="n">
        <x:v>22000</x:v>
      </x:c>
      <x:c r="I11" s="11" t="n">
        <x:v>3</x:v>
      </x:c>
      <x:c r="J11" s="12" t="str">
        <x:v>C50</x:v>
      </x:c>
    </x:row>
    <x:row r="12" ht="25" customHeight="1">
      <x:c r="A12" s="2" t="str">
        <x:v>2026-09-24_Day</x:v>
      </x:c>
      <x:c r="B12" s="2" t="str">
        <x:v>前30場</x:v>
      </x:c>
      <x:c r="C12" s="6" t="n">
        <x:v>87500</x:v>
      </x:c>
      <x:c r="D12" s="6" t="n">
        <x:v>30000</x:v>
      </x:c>
      <x:c r="E12" s="6" t="n">
        <x:f>C12-D12</x:f>
        <x:v>57500</x:v>
      </x:c>
      <x:c r="F12" s="6" t="n">
        <x:f>F11+E12</x:f>
        <x:v>41500</x:v>
      </x:c>
      <x:c r="G12" s="6" t="n">
        <x:v>-7000</x:v>
      </x:c>
      <x:c r="H12" s="6" t="n">
        <x:v>71500</x:v>
      </x:c>
      <x:c r="I12" s="11" t="n">
        <x:v>8</x:v>
      </x:c>
      <x:c r="J12" s="12" t="str">
        <x:v>C50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25000</x:v>
      </x:c>
      <x:c r="D13" s="6" t="n">
        <x:v>0</x:v>
      </x:c>
      <x:c r="E13" s="6" t="n">
        <x:f>C13-D13</x:f>
        <x:v>25000</x:v>
      </x:c>
      <x:c r="F13" s="6" t="n">
        <x:f>F12+E13</x:f>
        <x:v>66500</x:v>
      </x:c>
      <x:c r="G13" s="6" t="n">
        <x:v>-42500</x:v>
      </x:c>
      <x:c r="H13" s="6" t="n">
        <x:v>45000</x:v>
      </x:c>
      <x:c r="I13" s="11" t="n">
        <x:v>4</x:v>
      </x:c>
      <x:c r="J13" s="12" t="str">
        <x:v>C50</x:v>
      </x:c>
    </x:row>
    <x:row r="14" ht="25" customHeight="1">
      <x:c r="A14" s="2" t="str">
        <x:v>2026-09-25_Day</x:v>
      </x:c>
      <x:c r="B14" s="2" t="str">
        <x:v>前30場</x:v>
      </x:c>
      <x:c r="C14" s="6" t="n">
        <x:v>75500</x:v>
      </x:c>
      <x:c r="D14" s="6" t="n">
        <x:v>8000</x:v>
      </x:c>
      <x:c r="E14" s="6" t="n">
        <x:f>C14-D14</x:f>
        <x:v>67500</x:v>
      </x:c>
      <x:c r="F14" s="6" t="n">
        <x:f>F13+E14</x:f>
        <x:v>134000</x:v>
      </x:c>
      <x:c r="G14" s="6" t="n">
        <x:v>-5000</x:v>
      </x:c>
      <x:c r="H14" s="6" t="n">
        <x:v>40500</x:v>
      </x:c>
      <x:c r="I14" s="11" t="n">
        <x:v>5</x:v>
      </x:c>
      <x:c r="J14" s="12" t="str">
        <x:v>C50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8500</x:v>
      </x:c>
      <x:c r="D15" s="6" t="n">
        <x:v>8000</x:v>
      </x:c>
      <x:c r="E15" s="6" t="n">
        <x:f>C15-D15</x:f>
        <x:v>500</x:v>
      </x:c>
      <x:c r="F15" s="6" t="n">
        <x:f>F14+E15</x:f>
        <x:v>134500</x:v>
      </x:c>
      <x:c r="G15" s="6" t="n">
        <x:v>-8000</x:v>
      </x:c>
      <x:c r="H15" s="6" t="n">
        <x:v>12000</x:v>
      </x:c>
      <x:c r="I15" s="11" t="n">
        <x:v>2</x:v>
      </x:c>
      <x:c r="J15" s="12" t="str">
        <x:v>C50</x:v>
      </x:c>
    </x:row>
    <x:row r="16" ht="25" customHeight="1">
      <x:c r="A16" s="2" t="str">
        <x:v>2026-09-28_Day</x:v>
      </x:c>
      <x:c r="B16" s="2" t="str">
        <x:v>前30場</x:v>
      </x:c>
      <x:c r="C16" s="6" t="n">
        <x:v>68000</x:v>
      </x:c>
      <x:c r="D16" s="6" t="n">
        <x:v>74000</x:v>
      </x:c>
      <x:c r="E16" s="6" t="n">
        <x:f>C16-D16</x:f>
        <x:v>-6000</x:v>
      </x:c>
      <x:c r="F16" s="6" t="n">
        <x:f>F15+E16</x:f>
        <x:v>128500</x:v>
      </x:c>
      <x:c r="G16" s="6" t="n">
        <x:v>-50500</x:v>
      </x:c>
      <x:c r="H16" s="6" t="n">
        <x:v>72500</x:v>
      </x:c>
      <x:c r="I16" s="11" t="n">
        <x:v>9</x:v>
      </x:c>
      <x:c r="J16" s="12" t="str">
        <x:v>C50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7000</x:v>
      </x:c>
      <x:c r="D17" s="6" t="n">
        <x:v>19500</x:v>
      </x:c>
      <x:c r="E17" s="6" t="n">
        <x:f>C17-D17</x:f>
        <x:v>-12500</x:v>
      </x:c>
      <x:c r="F17" s="6" t="n">
        <x:f>F16+E17</x:f>
        <x:v>116000</x:v>
      </x:c>
      <x:c r="G17" s="6" t="n">
        <x:v>-18000</x:v>
      </x:c>
      <x:c r="H17" s="6" t="n">
        <x:v>21500</x:v>
      </x:c>
      <x:c r="I17" s="11" t="n">
        <x:v>5</x:v>
      </x:c>
      <x:c r="J17" s="12" t="str">
        <x:v>C50</x:v>
      </x:c>
    </x:row>
    <x:row r="18" ht="25" customHeight="1">
      <x:c r="A18" s="2" t="str">
        <x:v>2026-09-29_Day</x:v>
      </x:c>
      <x:c r="B18" s="2" t="str">
        <x:v>前30場</x:v>
      </x:c>
      <x:c r="C18" s="6" t="n">
        <x:v>112500</x:v>
      </x:c>
      <x:c r="D18" s="6" t="n">
        <x:v>72000</x:v>
      </x:c>
      <x:c r="E18" s="6" t="n">
        <x:f>C18-D18</x:f>
        <x:v>40500</x:v>
      </x:c>
      <x:c r="F18" s="6" t="n">
        <x:f>F17+E18</x:f>
        <x:v>156500</x:v>
      </x:c>
      <x:c r="G18" s="6" t="n">
        <x:v>-62500</x:v>
      </x:c>
      <x:c r="H18" s="6" t="n">
        <x:v>109000</x:v>
      </x:c>
      <x:c r="I18" s="11" t="n">
        <x:v>14</x:v>
      </x:c>
      <x:c r="J18" s="12" t="str">
        <x:v>C50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45000</x:v>
      </x:c>
      <x:c r="D19" s="6" t="n">
        <x:v>12500</x:v>
      </x:c>
      <x:c r="E19" s="6" t="n">
        <x:f>C19-D19</x:f>
        <x:v>32500</x:v>
      </x:c>
      <x:c r="F19" s="6" t="n">
        <x:f>F18+E19</x:f>
        <x:v>189000</x:v>
      </x:c>
      <x:c r="G19" s="6" t="n">
        <x:v>-15000</x:v>
      </x:c>
      <x:c r="H19" s="6" t="n">
        <x:v>35000</x:v>
      </x:c>
      <x:c r="I19" s="11" t="n">
        <x:v>6</x:v>
      </x:c>
      <x:c r="J19" s="12" t="str">
        <x:v>C50</x:v>
      </x:c>
    </x:row>
    <x:row r="20" ht="25" customHeight="1">
      <x:c r="A20" s="2" t="str">
        <x:v>2026-09-30_Day</x:v>
      </x:c>
      <x:c r="B20" s="2" t="str">
        <x:v>前30場</x:v>
      </x:c>
      <x:c r="C20" s="6" t="n">
        <x:v>98000</x:v>
      </x:c>
      <x:c r="D20" s="6" t="n">
        <x:v>38500</x:v>
      </x:c>
      <x:c r="E20" s="6" t="n">
        <x:f>C20-D20</x:f>
        <x:v>59500</x:v>
      </x:c>
      <x:c r="F20" s="6" t="n">
        <x:f>F19+E20</x:f>
        <x:v>248500</x:v>
      </x:c>
      <x:c r="G20" s="6" t="n">
        <x:v>-36000</x:v>
      </x:c>
      <x:c r="H20" s="6" t="n">
        <x:v>45500</x:v>
      </x:c>
      <x:c r="I20" s="11" t="n">
        <x:v>6</x:v>
      </x:c>
      <x:c r="J20" s="12" t="str">
        <x:v>C50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54500</x:v>
      </x:c>
      <x:c r="D21" s="6" t="n">
        <x:v>3000</x:v>
      </x:c>
      <x:c r="E21" s="6" t="n">
        <x:f>C21-D21</x:f>
        <x:v>51500</x:v>
      </x:c>
      <x:c r="F21" s="6" t="n">
        <x:f>F20+E21</x:f>
        <x:v>300000</x:v>
      </x:c>
      <x:c r="G21" s="6" t="n">
        <x:v>-37500</x:v>
      </x:c>
      <x:c r="H21" s="6" t="n">
        <x:v>47500</x:v>
      </x:c>
      <x:c r="I21" s="11" t="n">
        <x:v>6</x:v>
      </x:c>
      <x:c r="J21" s="12" t="str">
        <x:v>C50</x:v>
      </x:c>
    </x:row>
    <x:row r="22" ht="25" customHeight="1">
      <x:c r="A22" s="2" t="str">
        <x:v>2026-10-01_Day</x:v>
      </x:c>
      <x:c r="B22" s="2" t="str">
        <x:v>前30場</x:v>
      </x:c>
      <x:c r="C22" s="6" t="n">
        <x:v>124000</x:v>
      </x:c>
      <x:c r="D22" s="6" t="n">
        <x:v>55000</x:v>
      </x:c>
      <x:c r="E22" s="6" t="n">
        <x:f>C22-D22</x:f>
        <x:v>69000</x:v>
      </x:c>
      <x:c r="F22" s="6" t="n">
        <x:f>F21+E22</x:f>
        <x:v>369000</x:v>
      </x:c>
      <x:c r="G22" s="6" t="n">
        <x:v>-36000</x:v>
      </x:c>
      <x:c r="H22" s="6" t="n">
        <x:v>45000</x:v>
      </x:c>
      <x:c r="I22" s="11" t="n">
        <x:v>5</x:v>
      </x:c>
      <x:c r="J22" s="12" t="str">
        <x:v>C50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131500</x:v>
      </x:c>
      <x:c r="D23" s="6" t="n">
        <x:v>46000</x:v>
      </x:c>
      <x:c r="E23" s="6" t="n">
        <x:f>C23-D23</x:f>
        <x:v>85500</x:v>
      </x:c>
      <x:c r="F23" s="6" t="n">
        <x:f>F22+E23</x:f>
        <x:v>454500</x:v>
      </x:c>
      <x:c r="G23" s="6" t="n">
        <x:v>-12500</x:v>
      </x:c>
      <x:c r="H23" s="6" t="n">
        <x:v>72500</x:v>
      </x:c>
      <x:c r="I23" s="11" t="n">
        <x:v>16</x:v>
      </x:c>
      <x:c r="J23" s="12" t="str">
        <x:v>C50</x:v>
      </x:c>
    </x:row>
    <x:row r="24" ht="25" customHeight="1">
      <x:c r="A24" s="2" t="str">
        <x:v>2026-10-02_Day</x:v>
      </x:c>
      <x:c r="B24" s="2" t="str">
        <x:v>前30場</x:v>
      </x:c>
      <x:c r="C24" s="6" t="n">
        <x:v>18000</x:v>
      </x:c>
      <x:c r="D24" s="6" t="n">
        <x:v>39000</x:v>
      </x:c>
      <x:c r="E24" s="6" t="n">
        <x:f>C24-D24</x:f>
        <x:v>-21000</x:v>
      </x:c>
      <x:c r="F24" s="6" t="n">
        <x:f>F23+E24</x:f>
        <x:v>433500</x:v>
      </x:c>
      <x:c r="G24" s="6" t="n">
        <x:v>-40500</x:v>
      </x:c>
      <x:c r="H24" s="6" t="n">
        <x:v>79500</x:v>
      </x:c>
      <x:c r="I24" s="11" t="n">
        <x:v>9</x:v>
      </x:c>
      <x:c r="J24" s="12" t="str">
        <x:v>C50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156500</x:v>
      </x:c>
      <x:c r="D25" s="6" t="n">
        <x:v>28500</x:v>
      </x:c>
      <x:c r="E25" s="6" t="n">
        <x:f>C25-D25</x:f>
        <x:v>128000</x:v>
      </x:c>
      <x:c r="F25" s="6" t="n">
        <x:f>F24+E25</x:f>
        <x:v>561500</x:v>
      </x:c>
      <x:c r="G25" s="6" t="n">
        <x:v>-17000</x:v>
      </x:c>
      <x:c r="H25" s="6" t="n">
        <x:v>81000</x:v>
      </x:c>
      <x:c r="I25" s="11" t="n">
        <x:v>15</x:v>
      </x:c>
      <x:c r="J25" s="12" t="str">
        <x:v>C50</x:v>
      </x:c>
    </x:row>
    <x:row r="26" ht="25" customHeight="1">
      <x:c r="A26" s="2" t="str">
        <x:v>2026-10-05_Day</x:v>
      </x:c>
      <x:c r="B26" s="2" t="str">
        <x:v>前30場</x:v>
      </x:c>
      <x:c r="C26" s="6" t="n">
        <x:v>46500</x:v>
      </x:c>
      <x:c r="D26" s="6" t="n">
        <x:v>81500</x:v>
      </x:c>
      <x:c r="E26" s="6" t="n">
        <x:f>C26-D26</x:f>
        <x:v>-35000</x:v>
      </x:c>
      <x:c r="F26" s="6" t="n">
        <x:f>F25+E26</x:f>
        <x:v>526500</x:v>
      </x:c>
      <x:c r="G26" s="6" t="n">
        <x:v>-57500</x:v>
      </x:c>
      <x:c r="H26" s="6" t="n">
        <x:v>82500</x:v>
      </x:c>
      <x:c r="I26" s="11" t="n">
        <x:v>12</x:v>
      </x:c>
      <x:c r="J26" s="12" t="str">
        <x:v>C50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56500</x:v>
      </x:c>
      <x:c r="D27" s="6" t="n">
        <x:v>32000</x:v>
      </x:c>
      <x:c r="E27" s="6" t="n">
        <x:f>C27-D27</x:f>
        <x:v>24500</x:v>
      </x:c>
      <x:c r="F27" s="6" t="n">
        <x:f>F26+E27</x:f>
        <x:v>551000</x:v>
      </x:c>
      <x:c r="G27" s="6" t="n">
        <x:v>-11500</x:v>
      </x:c>
      <x:c r="H27" s="6" t="n">
        <x:v>64000</x:v>
      </x:c>
      <x:c r="I27" s="11" t="n">
        <x:v>8</x:v>
      </x:c>
      <x:c r="J27" s="12" t="str">
        <x:v>C50</x:v>
      </x:c>
    </x:row>
    <x:row r="28" ht="25" customHeight="1">
      <x:c r="A28" s="2" t="str">
        <x:v>2026-10-06_Day</x:v>
      </x:c>
      <x:c r="B28" s="2" t="str">
        <x:v>前30場</x:v>
      </x:c>
      <x:c r="C28" s="6" t="n">
        <x:v>74500</x:v>
      </x:c>
      <x:c r="D28" s="6" t="n">
        <x:v>83500</x:v>
      </x:c>
      <x:c r="E28" s="6" t="n">
        <x:f>C28-D28</x:f>
        <x:v>-9000</x:v>
      </x:c>
      <x:c r="F28" s="6" t="n">
        <x:f>F27+E28</x:f>
        <x:v>542000</x:v>
      </x:c>
      <x:c r="G28" s="6" t="n">
        <x:v>-37000</x:v>
      </x:c>
      <x:c r="H28" s="6" t="n">
        <x:v>49000</x:v>
      </x:c>
      <x:c r="I28" s="11" t="n">
        <x:v>10</x:v>
      </x:c>
      <x:c r="J28" s="12" t="str">
        <x:v>C50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16500</x:v>
      </x:c>
      <x:c r="D29" s="6" t="n">
        <x:v>21500</x:v>
      </x:c>
      <x:c r="E29" s="6" t="n">
        <x:f>C29-D29</x:f>
        <x:v>-5000</x:v>
      </x:c>
      <x:c r="F29" s="6" t="n">
        <x:f>F28+E29</x:f>
        <x:v>537000</x:v>
      </x:c>
      <x:c r="G29" s="6" t="n">
        <x:v>-28000</x:v>
      </x:c>
      <x:c r="H29" s="6" t="n">
        <x:v>28000</x:v>
      </x:c>
      <x:c r="I29" s="11" t="n">
        <x:v>4</x:v>
      </x:c>
      <x:c r="J29" s="12" t="str">
        <x:v>C50</x:v>
      </x:c>
    </x:row>
    <x:row r="30" ht="25" customHeight="1">
      <x:c r="A30" s="2" t="str">
        <x:v>2026-10-07_Day</x:v>
      </x:c>
      <x:c r="B30" s="2" t="str">
        <x:v>前30場</x:v>
      </x:c>
      <x:c r="C30" s="6" t="n">
        <x:v>83500</x:v>
      </x:c>
      <x:c r="D30" s="6" t="n">
        <x:v>23000</x:v>
      </x:c>
      <x:c r="E30" s="6" t="n">
        <x:f>C30-D30</x:f>
        <x:v>60500</x:v>
      </x:c>
      <x:c r="F30" s="6" t="n">
        <x:f>F29+E30</x:f>
        <x:v>597500</x:v>
      </x:c>
      <x:c r="G30" s="6" t="n">
        <x:v>-3000</x:v>
      </x:c>
      <x:c r="H30" s="6" t="n">
        <x:v>31000</x:v>
      </x:c>
      <x:c r="I30" s="11" t="n">
        <x:v>7</x:v>
      </x:c>
      <x:c r="J30" s="12" t="str">
        <x:v>C50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11500</x:v>
      </x:c>
      <x:c r="D31" s="6" t="n">
        <x:v>23500</x:v>
      </x:c>
      <x:c r="E31" s="6" t="n">
        <x:f>C31-D31</x:f>
        <x:v>-12000</x:v>
      </x:c>
      <x:c r="F31" s="6" t="n">
        <x:f>F30+E31</x:f>
        <x:v>585500</x:v>
      </x:c>
      <x:c r="G31" s="6" t="n">
        <x:v>-15000</x:v>
      </x:c>
      <x:c r="H31" s="6" t="n">
        <x:v>25000</x:v>
      </x:c>
      <x:c r="I31" s="11" t="n">
        <x:v>5</x:v>
      </x:c>
      <x:c r="J31" s="12" t="str">
        <x:v>C50</x:v>
      </x:c>
    </x:row>
    <x:row r="32" ht="25" customHeight="1">
      <x:c r="A32" s="2" t="str">
        <x:v>2026-10-08_Day</x:v>
      </x:c>
      <x:c r="B32" s="2" t="str">
        <x:v>前30場</x:v>
      </x:c>
      <x:c r="C32" s="6" t="n">
        <x:v>63000</x:v>
      </x:c>
      <x:c r="D32" s="6" t="n">
        <x:v>45000</x:v>
      </x:c>
      <x:c r="E32" s="6" t="n">
        <x:f>C32-D32</x:f>
        <x:v>18000</x:v>
      </x:c>
      <x:c r="F32" s="6" t="n">
        <x:f>F31+E32</x:f>
        <x:v>603500</x:v>
      </x:c>
      <x:c r="G32" s="6" t="n">
        <x:v>-39000</x:v>
      </x:c>
      <x:c r="H32" s="6" t="n">
        <x:v>59500</x:v>
      </x:c>
      <x:c r="I32" s="11" t="n">
        <x:v>7</x:v>
      </x:c>
      <x:c r="J32" s="12" t="str">
        <x:v>C50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175000</x:v>
      </x:c>
      <x:c r="D33" s="6" t="n">
        <x:v>18000</x:v>
      </x:c>
      <x:c r="E33" s="6" t="n">
        <x:f>C33-D33</x:f>
        <x:v>157000</x:v>
      </x:c>
      <x:c r="F33" s="6" t="n">
        <x:f>F32+E33</x:f>
        <x:v>760500</x:v>
      </x:c>
      <x:c r="G33" s="6" t="n">
        <x:v>-17000</x:v>
      </x:c>
      <x:c r="H33" s="6" t="n">
        <x:v>51000</x:v>
      </x:c>
      <x:c r="I33" s="11" t="n">
        <x:v>17</x:v>
      </x:c>
      <x:c r="J33" s="12" t="str">
        <x:v>C50</x:v>
      </x:c>
    </x:row>
    <x:row r="34" ht="25" customHeight="1">
      <x:c r="A34" s="2" t="str">
        <x:v>2026-10-09_Day</x:v>
      </x:c>
      <x:c r="B34" s="2" t="str">
        <x:v>前30場</x:v>
      </x:c>
      <x:c r="C34" s="6" t="n">
        <x:v>66500</x:v>
      </x:c>
      <x:c r="D34" s="6" t="n">
        <x:v>35000</x:v>
      </x:c>
      <x:c r="E34" s="6" t="n">
        <x:f>C34-D34</x:f>
        <x:v>31500</x:v>
      </x:c>
      <x:c r="F34" s="6" t="n">
        <x:f>F33+E34</x:f>
        <x:v>792000</x:v>
      </x:c>
      <x:c r="G34" s="6" t="n">
        <x:v>-16500</x:v>
      </x:c>
      <x:c r="H34" s="6" t="n">
        <x:v>49000</x:v>
      </x:c>
      <x:c r="I34" s="11" t="n">
        <x:v>9</x:v>
      </x:c>
      <x:c r="J34" s="12" t="str">
        <x:v>C50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28000</x:v>
      </x:c>
      <x:c r="D35" s="6" t="n">
        <x:v>1000</x:v>
      </x:c>
      <x:c r="E35" s="6" t="n">
        <x:f>C35-D35</x:f>
        <x:v>27000</x:v>
      </x:c>
      <x:c r="F35" s="6" t="n">
        <x:f>F34+E35</x:f>
        <x:v>819000</x:v>
      </x:c>
      <x:c r="G35" s="6" t="n">
        <x:v>-5000</x:v>
      </x:c>
      <x:c r="H35" s="6" t="n">
        <x:v>30000</x:v>
      </x:c>
      <x:c r="I35" s="11" t="n">
        <x:v>3</x:v>
      </x:c>
      <x:c r="J35" s="12" t="str">
        <x:v>C50</x:v>
      </x:c>
    </x:row>
    <x:row r="36" ht="25" customHeight="1">
      <x:c r="A36" s="2" t="str">
        <x:v>2026-10-12_Day</x:v>
      </x:c>
      <x:c r="B36" s="2" t="str">
        <x:v>次10場</x:v>
      </x:c>
      <x:c r="C36" s="6" t="n">
        <x:v>32500</x:v>
      </x:c>
      <x:c r="D36" s="6" t="n">
        <x:v>12500</x:v>
      </x:c>
      <x:c r="E36" s="6" t="n">
        <x:f>C36-D36</x:f>
        <x:v>20000</x:v>
      </x:c>
      <x:c r="F36" s="6" t="n">
        <x:f>F35+E36</x:f>
        <x:v>839000</x:v>
      </x:c>
      <x:c r="G36" s="6" t="n">
        <x:v>-15500</x:v>
      </x:c>
      <x:c r="H36" s="6" t="n">
        <x:v>35000</x:v>
      </x:c>
      <x:c r="I36" s="11" t="n">
        <x:v>3</x:v>
      </x:c>
      <x:c r="J36" s="12" t="str">
        <x:v>C50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41000</x:v>
      </x:c>
      <x:c r="D37" s="6" t="n">
        <x:v>0</x:v>
      </x:c>
      <x:c r="E37" s="6" t="n">
        <x:f>C37-D37</x:f>
        <x:v>41000</x:v>
      </x:c>
      <x:c r="F37" s="6" t="n">
        <x:f>F36+E37</x:f>
        <x:v>880000</x:v>
      </x:c>
      <x:c r="G37" s="6" t="n">
        <x:v>-5000</x:v>
      </x:c>
      <x:c r="H37" s="6" t="n">
        <x:v>16500</x:v>
      </x:c>
      <x:c r="I37" s="11" t="n">
        <x:v>1</x:v>
      </x:c>
      <x:c r="J37" s="12" t="str">
        <x:v>C50</x:v>
      </x:c>
    </x:row>
    <x:row r="38" ht="25" customHeight="1">
      <x:c r="A38" s="2" t="str">
        <x:v>2026-10-13_Day</x:v>
      </x:c>
      <x:c r="B38" s="2" t="str">
        <x:v>次10場</x:v>
      </x:c>
      <x:c r="C38" s="6" t="n">
        <x:v>108500</x:v>
      </x:c>
      <x:c r="D38" s="6" t="n">
        <x:v>80000</x:v>
      </x:c>
      <x:c r="E38" s="6" t="n">
        <x:f>C38-D38</x:f>
        <x:v>28500</x:v>
      </x:c>
      <x:c r="F38" s="6" t="n">
        <x:f>F37+E38</x:f>
        <x:v>908500</x:v>
      </x:c>
      <x:c r="G38" s="6" t="n">
        <x:v>-18000</x:v>
      </x:c>
      <x:c r="H38" s="6" t="n">
        <x:v>56500</x:v>
      </x:c>
      <x:c r="I38" s="11" t="n">
        <x:v>15</x:v>
      </x:c>
      <x:c r="J38" s="12" t="str">
        <x:v>C50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7500</x:v>
      </x:c>
      <x:c r="D39" s="6" t="n">
        <x:v>26500</x:v>
      </x:c>
      <x:c r="E39" s="6" t="n">
        <x:f>C39-D39</x:f>
        <x:v>-19000</x:v>
      </x:c>
      <x:c r="F39" s="6" t="n">
        <x:f>F38+E39</x:f>
        <x:v>889500</x:v>
      </x:c>
      <x:c r="G39" s="6" t="n">
        <x:v>-19000</x:v>
      </x:c>
      <x:c r="H39" s="6" t="n">
        <x:v>29000</x:v>
      </x:c>
      <x:c r="I39" s="11" t="n">
        <x:v>3</x:v>
      </x:c>
      <x:c r="J39" s="12" t="str">
        <x:v>C50</x:v>
      </x:c>
    </x:row>
    <x:row r="40" ht="25" customHeight="1">
      <x:c r="A40" s="2" t="str">
        <x:v>2026-10-14_Day</x:v>
      </x:c>
      <x:c r="B40" s="2" t="str">
        <x:v>次10場</x:v>
      </x:c>
      <x:c r="C40" s="6" t="n">
        <x:v>80500</x:v>
      </x:c>
      <x:c r="D40" s="6" t="n">
        <x:v>30000</x:v>
      </x:c>
      <x:c r="E40" s="6" t="n">
        <x:f>C40-D40</x:f>
        <x:v>50500</x:v>
      </x:c>
      <x:c r="F40" s="6" t="n">
        <x:f>F39+E40</x:f>
        <x:v>940000</x:v>
      </x:c>
      <x:c r="G40" s="6" t="n">
        <x:v>-29000</x:v>
      </x:c>
      <x:c r="H40" s="6" t="n">
        <x:v>37500</x:v>
      </x:c>
      <x:c r="I40" s="11" t="n">
        <x:v>5</x:v>
      </x:c>
      <x:c r="J40" s="12" t="str">
        <x:v>C50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106000</x:v>
      </x:c>
      <x:c r="D41" s="6" t="n">
        <x:v>30500</x:v>
      </x:c>
      <x:c r="E41" s="6" t="n">
        <x:f>C41-D41</x:f>
        <x:v>75500</x:v>
      </x:c>
      <x:c r="F41" s="6" t="n">
        <x:f>F40+E41</x:f>
        <x:v>1015500</x:v>
      </x:c>
      <x:c r="G41" s="6" t="n">
        <x:v>-22500</x:v>
      </x:c>
      <x:c r="H41" s="6" t="n">
        <x:v>32500</x:v>
      </x:c>
      <x:c r="I41" s="11" t="n">
        <x:v>5</x:v>
      </x:c>
      <x:c r="J41" s="12" t="str">
        <x:v>C50</x:v>
      </x:c>
    </x:row>
    <x:row r="42" ht="25" customHeight="1">
      <x:c r="A42" s="2" t="str">
        <x:v>2026-10-15_Day</x:v>
      </x:c>
      <x:c r="B42" s="2" t="str">
        <x:v>次10場</x:v>
      </x:c>
      <x:c r="C42" s="6" t="n">
        <x:v>153000</x:v>
      </x:c>
      <x:c r="D42" s="6" t="n">
        <x:v>35000</x:v>
      </x:c>
      <x:c r="E42" s="6" t="n">
        <x:f>C42-D42</x:f>
        <x:v>118000</x:v>
      </x:c>
      <x:c r="F42" s="6" t="n">
        <x:f>F41+E42</x:f>
        <x:v>1133500</x:v>
      </x:c>
      <x:c r="G42" s="6" t="n">
        <x:v>-34000</x:v>
      </x:c>
      <x:c r="H42" s="6" t="n">
        <x:v>59000</x:v>
      </x:c>
      <x:c r="I42" s="11" t="n">
        <x:v>6</x:v>
      </x:c>
      <x:c r="J42" s="12" t="str">
        <x:v>C50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43000</x:v>
      </x:c>
      <x:c r="D43" s="6" t="n">
        <x:v>32000</x:v>
      </x:c>
      <x:c r="E43" s="6" t="n">
        <x:f>C43-D43</x:f>
        <x:v>11000</x:v>
      </x:c>
      <x:c r="F43" s="6" t="n">
        <x:f>F42+E43</x:f>
        <x:v>1144500</x:v>
      </x:c>
      <x:c r="G43" s="6" t="n">
        <x:v>-24000</x:v>
      </x:c>
      <x:c r="H43" s="6" t="n">
        <x:v>45000</x:v>
      </x:c>
      <x:c r="I43" s="11" t="n">
        <x:v>7</x:v>
      </x:c>
      <x:c r="J43" s="12" t="str">
        <x:v>C50</x:v>
      </x:c>
    </x:row>
    <x:row r="44" ht="25" customHeight="1">
      <x:c r="A44" s="2" t="str">
        <x:v>2026-10-16_Day</x:v>
      </x:c>
      <x:c r="B44" s="2" t="str">
        <x:v>次10場</x:v>
      </x:c>
      <x:c r="C44" s="6" t="n">
        <x:v>76000</x:v>
      </x:c>
      <x:c r="D44" s="6" t="n">
        <x:v>112500</x:v>
      </x:c>
      <x:c r="E44" s="6" t="n">
        <x:f>C44-D44</x:f>
        <x:v>-36500</x:v>
      </x:c>
      <x:c r="F44" s="6" t="n">
        <x:f>F43+E44</x:f>
        <x:v>1108000</x:v>
      </x:c>
      <x:c r="G44" s="6" t="n">
        <x:v>-70000</x:v>
      </x:c>
      <x:c r="H44" s="6" t="n">
        <x:v>81000</x:v>
      </x:c>
      <x:c r="I44" s="11" t="n">
        <x:v>14</x:v>
      </x:c>
      <x:c r="J44" s="12" t="str">
        <x:v>C50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88500</x:v>
      </x:c>
      <x:c r="D45" s="6" t="n">
        <x:v>82500</x:v>
      </x:c>
      <x:c r="E45" s="6" t="n">
        <x:f>C45-D45</x:f>
        <x:v>6000</x:v>
      </x:c>
      <x:c r="F45" s="6" t="n">
        <x:f>F44+E45</x:f>
        <x:v>1114000</x:v>
      </x:c>
      <x:c r="G45" s="6" t="n">
        <x:v>-52500</x:v>
      </x:c>
      <x:c r="H45" s="6" t="n">
        <x:v>60500</x:v>
      </x:c>
      <x:c r="I45" s="11" t="n">
        <x:v>14</x:v>
      </x:c>
      <x:c r="J45" s="12" t="str">
        <x:v>C50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164500</x:v>
      </x:c>
      <x:c r="D46" s="6" t="n">
        <x:v>0</x:v>
      </x:c>
      <x:c r="E46" s="6" t="n">
        <x:f>C46-D46</x:f>
        <x:v>164500</x:v>
      </x:c>
      <x:c r="F46" s="6" t="n">
        <x:f>F45+E46</x:f>
        <x:v>1278500</x:v>
      </x:c>
      <x:c r="G46" s="6" t="n">
        <x:v>-4000</x:v>
      </x:c>
      <x:c r="H46" s="6" t="n">
        <x:v>96000</x:v>
      </x:c>
      <x:c r="I46" s="11" t="n">
        <x:v>4</x:v>
      </x:c>
      <x:c r="J46" s="12" t="str">
        <x:v>C50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66000</x:v>
      </x:c>
      <x:c r="D47" s="6" t="n">
        <x:v>52500</x:v>
      </x:c>
      <x:c r="E47" s="6" t="n">
        <x:f>C47-D47</x:f>
        <x:v>13500</x:v>
      </x:c>
      <x:c r="F47" s="6" t="n">
        <x:f>F46+E47</x:f>
        <x:v>1292000</x:v>
      </x:c>
      <x:c r="G47" s="6" t="n">
        <x:v>-20000</x:v>
      </x:c>
      <x:c r="H47" s="6" t="n">
        <x:v>48500</x:v>
      </x:c>
      <x:c r="I47" s="11" t="n">
        <x:v>14</x:v>
      </x:c>
      <x:c r="J47" s="12" t="str">
        <x:v>C50</x:v>
      </x:c>
    </x:row>
    <x:row r="48" ht="25" customHeight="1">
      <x:c r="A48" s="2" t="str">
        <x:v>2026-10-20_Day</x:v>
      </x:c>
      <x:c r="B48" s="2" t="str">
        <x:v>後13場</x:v>
      </x:c>
      <x:c r="C48" s="6" t="n">
        <x:v>104000</x:v>
      </x:c>
      <x:c r="D48" s="6" t="n">
        <x:v>91500</x:v>
      </x:c>
      <x:c r="E48" s="6" t="n">
        <x:f>C48-D48</x:f>
        <x:v>12500</x:v>
      </x:c>
      <x:c r="F48" s="6" t="n">
        <x:f>F47+E48</x:f>
        <x:v>1304500</x:v>
      </x:c>
      <x:c r="G48" s="6" t="n">
        <x:v>-30000</x:v>
      </x:c>
      <x:c r="H48" s="6" t="n">
        <x:v>147000</x:v>
      </x:c>
      <x:c r="I48" s="11" t="n">
        <x:v>13</x:v>
      </x:c>
      <x:c r="J48" s="12" t="str">
        <x:v>C50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78000</x:v>
      </x:c>
      <x:c r="D49" s="6" t="n">
        <x:v>16500</x:v>
      </x:c>
      <x:c r="E49" s="6" t="n">
        <x:f>C49-D49</x:f>
        <x:v>61500</x:v>
      </x:c>
      <x:c r="F49" s="6" t="n">
        <x:f>F48+E49</x:f>
        <x:v>1366000</x:v>
      </x:c>
      <x:c r="G49" s="6" t="n">
        <x:v>-5000</x:v>
      </x:c>
      <x:c r="H49" s="6" t="n">
        <x:v>26500</x:v>
      </x:c>
      <x:c r="I49" s="11" t="n">
        <x:v>11</x:v>
      </x:c>
      <x:c r="J49" s="12" t="str">
        <x:v>C50</x:v>
      </x:c>
    </x:row>
    <x:row r="50" ht="25" customHeight="1">
      <x:c r="A50" s="2" t="str">
        <x:v>2026-10-21_Day</x:v>
      </x:c>
      <x:c r="B50" s="2" t="str">
        <x:v>後13場</x:v>
      </x:c>
      <x:c r="C50" s="6" t="n">
        <x:v>45000</x:v>
      </x:c>
      <x:c r="D50" s="6" t="n">
        <x:v>101500</x:v>
      </x:c>
      <x:c r="E50" s="6" t="n">
        <x:f>C50-D50</x:f>
        <x:v>-56500</x:v>
      </x:c>
      <x:c r="F50" s="6" t="n">
        <x:f>F49+E50</x:f>
        <x:v>1309500</x:v>
      </x:c>
      <x:c r="G50" s="6" t="n">
        <x:v>-101500</x:v>
      </x:c>
      <x:c r="H50" s="6" t="n">
        <x:v>108000</x:v>
      </x:c>
      <x:c r="I50" s="11" t="n">
        <x:v>13</x:v>
      </x:c>
      <x:c r="J50" s="12" t="str">
        <x:v>C50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40000</x:v>
      </x:c>
      <x:c r="D51" s="6" t="n">
        <x:v>44500</x:v>
      </x:c>
      <x:c r="E51" s="6" t="n">
        <x:f>C51-D51</x:f>
        <x:v>-4500</x:v>
      </x:c>
      <x:c r="F51" s="6" t="n">
        <x:f>F50+E51</x:f>
        <x:v>1305000</x:v>
      </x:c>
      <x:c r="G51" s="6" t="n">
        <x:v>-17500</x:v>
      </x:c>
      <x:c r="H51" s="6" t="n">
        <x:v>65500</x:v>
      </x:c>
      <x:c r="I51" s="11" t="n">
        <x:v>6</x:v>
      </x:c>
      <x:c r="J51" s="12" t="str">
        <x:v>C50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203500</x:v>
      </x:c>
      <x:c r="D52" s="6" t="n">
        <x:v>4000</x:v>
      </x:c>
      <x:c r="E52" s="6" t="n">
        <x:f>C52-D52</x:f>
        <x:v>199500</x:v>
      </x:c>
      <x:c r="F52" s="6" t="n">
        <x:f>F51+E52</x:f>
        <x:v>1504500</x:v>
      </x:c>
      <x:c r="G52" s="6" t="n">
        <x:v>-8500</x:v>
      </x:c>
      <x:c r="H52" s="6" t="n">
        <x:v>46500</x:v>
      </x:c>
      <x:c r="I52" s="11" t="n">
        <x:v>3</x:v>
      </x:c>
      <x:c r="J52" s="12" t="str">
        <x:v>C50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78000</x:v>
      </x:c>
      <x:c r="D53" s="6" t="n">
        <x:v>0</x:v>
      </x:c>
      <x:c r="E53" s="6" t="n">
        <x:f>C53-D53</x:f>
        <x:v>78000</x:v>
      </x:c>
      <x:c r="F53" s="6" t="n">
        <x:f>F52+E53</x:f>
        <x:v>1582500</x:v>
      </x:c>
      <x:c r="G53" s="6" t="n">
        <x:v>-1000</x:v>
      </x:c>
      <x:c r="H53" s="6" t="n">
        <x:v>32000</x:v>
      </x:c>
      <x:c r="I53" s="11" t="n">
        <x:v>3</x:v>
      </x:c>
      <x:c r="J53" s="12" t="str">
        <x:v>C50</x:v>
      </x:c>
    </x:row>
    <x:row r="54" ht="25" customHeight="1">
      <x:c r="A54" s="2" t="str">
        <x:v>2026-10-23_Day</x:v>
      </x:c>
      <x:c r="B54" s="2" t="str">
        <x:v>後13場</x:v>
      </x:c>
      <x:c r="C54" s="6" t="n">
        <x:v>172500</x:v>
      </x:c>
      <x:c r="D54" s="6" t="n">
        <x:v>28500</x:v>
      </x:c>
      <x:c r="E54" s="6" t="n">
        <x:f>C54-D54</x:f>
        <x:v>144000</x:v>
      </x:c>
      <x:c r="F54" s="6" t="n">
        <x:f>F53+E54</x:f>
        <x:v>1726500</x:v>
      </x:c>
      <x:c r="G54" s="6" t="n">
        <x:v>-12000</x:v>
      </x:c>
      <x:c r="H54" s="6" t="n">
        <x:v>41000</x:v>
      </x:c>
      <x:c r="I54" s="11" t="n">
        <x:v>15</x:v>
      </x:c>
      <x:c r="J54" s="12" t="str">
        <x:v>C50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37500</x:v>
      </x:c>
      <x:c r="D55" s="6" t="n">
        <x:v>33000</x:v>
      </x:c>
      <x:c r="E55" s="6" t="n">
        <x:f>C55-D55</x:f>
        <x:v>4500</x:v>
      </x:c>
      <x:c r="F55" s="6" t="n">
        <x:f>F54+E55</x:f>
        <x:v>1731000</x:v>
      </x:c>
      <x:c r="G55" s="6" t="n">
        <x:v>-18000</x:v>
      </x:c>
      <x:c r="H55" s="6" t="n">
        <x:v>44500</x:v>
      </x:c>
      <x:c r="I55" s="11" t="n">
        <x:v>11</x:v>
      </x:c>
      <x:c r="J55" s="12" t="str">
        <x:v>C50</x:v>
      </x:c>
    </x:row>
    <x:row r="56" ht="25" customHeight="1">
      <x:c r="A56" s="2" t="str">
        <x:v>2026-10-26_Day</x:v>
      </x:c>
      <x:c r="B56" s="2" t="str">
        <x:v>後13場</x:v>
      </x:c>
      <x:c r="C56" s="6" t="n">
        <x:v>83000</x:v>
      </x:c>
      <x:c r="D56" s="6" t="n">
        <x:v>98000</x:v>
      </x:c>
      <x:c r="E56" s="6" t="n">
        <x:f>C56-D56</x:f>
        <x:v>-15000</x:v>
      </x:c>
      <x:c r="F56" s="6" t="n">
        <x:f>F55+E56</x:f>
        <x:v>1716000</x:v>
      </x:c>
      <x:c r="G56" s="6" t="n">
        <x:v>-63000</x:v>
      </x:c>
      <x:c r="H56" s="6" t="n">
        <x:v>127000</x:v>
      </x:c>
      <x:c r="I56" s="11" t="n">
        <x:v>7</x:v>
      </x:c>
      <x:c r="J56" s="12" t="str">
        <x:v>C50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44000</x:v>
      </x:c>
      <x:c r="D57" s="6" t="n">
        <x:v>62000</x:v>
      </x:c>
      <x:c r="E57" s="6" t="n">
        <x:f>C57-D57</x:f>
        <x:v>-18000</x:v>
      </x:c>
      <x:c r="F57" s="6" t="n">
        <x:f>F56+E57</x:f>
        <x:v>1698000</x:v>
      </x:c>
      <x:c r="G57" s="6" t="n">
        <x:v>-18500</x:v>
      </x:c>
      <x:c r="H57" s="6" t="n">
        <x:v>60500</x:v>
      </x:c>
      <x:c r="I57" s="11" t="n">
        <x:v>12</x:v>
      </x:c>
      <x:c r="J57" s="12" t="str">
        <x:v>C50</x:v>
      </x:c>
    </x:row>
    <x:row r="58" ht="25" customHeight="1">
      <x:c r="A58" s="2" t="str">
        <x:v>2026-10-27_Day</x:v>
      </x:c>
      <x:c r="B58" s="2" t="str">
        <x:v>後13場</x:v>
      </x:c>
      <x:c r="C58" s="6" t="n">
        <x:v>62000</x:v>
      </x:c>
      <x:c r="D58" s="6" t="n">
        <x:v>119500</x:v>
      </x:c>
      <x:c r="E58" s="6" t="n">
        <x:f>C58-D58</x:f>
        <x:v>-57500</x:v>
      </x:c>
      <x:c r="F58" s="6" t="n">
        <x:f>F57+E58</x:f>
        <x:v>1640500</x:v>
      </x:c>
      <x:c r="G58" s="6" t="n">
        <x:v>-66500</x:v>
      </x:c>
      <x:c r="H58" s="6" t="n">
        <x:v>96500</x:v>
      </x:c>
      <x:c r="I58" s="11" t="n">
        <x:v>15</x:v>
      </x:c>
      <x:c r="J58" s="12" t="str">
        <x:v>C50</x:v>
      </x:c>
    </x:row>
    <x:row r="59" ht="25" customHeight="1">
      <x:c r="A59" s="16" t="str">
        <x:v>累計／場内最悪値</x:v>
      </x:c>
      <x:c r="B59" s="16"/>
      <x:c r="C59" s="17" t="n">
        <x:f>SUM(C6:C58)</x:f>
        <x:v>3613500</x:v>
      </x:c>
      <x:c r="D59" s="17" t="n">
        <x:f>SUM(D6:D58)</x:f>
        <x:v>1973000</x:v>
      </x:c>
      <x:c r="E59" s="17" t="n">
        <x:f>C59-D59</x:f>
        <x:v>1640500</x:v>
      </x:c>
      <x:c r="F59" s="17" t="n">
        <x:f>F58</x:f>
        <x:v>1640500</x:v>
      </x:c>
      <x:c r="G59" s="17" t="n">
        <x:f>MIN(G6:G58)</x:f>
        <x:v>-101500</x:v>
      </x:c>
      <x:c r="H59" s="17" t="n">
        <x:f>MAX(H6:H58)</x:f>
        <x:v>147000</x:v>
      </x:c>
      <x:c r="I59" s="18" t="n">
        <x:f>SUM(I6:I58)</x:f>
        <x:v>403</x:v>
      </x:c>
      <x:c r="J59" s="17"/>
    </x:row>
  </x:sheetData>
  <x:conditionalFormatting sqref="E6:G58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9d734448f84a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D40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初回中値から40円逆行で一度半量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28000</x:v>
      </x:c>
      <x:c r="D6" s="6" t="n">
        <x:v>6000</x:v>
      </x:c>
      <x:c r="E6" s="6" t="n">
        <x:f>C6-D6</x:f>
        <x:v>22000</x:v>
      </x:c>
      <x:c r="F6" s="6" t="n">
        <x:f>E6</x:f>
        <x:v>22000</x:v>
      </x:c>
      <x:c r="G6" s="6" t="n">
        <x:v>-19000</x:v>
      </x:c>
      <x:c r="H6" s="6" t="n">
        <x:v>60000</x:v>
      </x:c>
      <x:c r="I6" s="11" t="n">
        <x:v>2</x:v>
      </x:c>
      <x:c r="J6" s="12" t="str">
        <x:v>D40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37500</x:v>
      </x:c>
      <x:c r="E7" s="6" t="n">
        <x:f>C7-D7</x:f>
        <x:v>-37500</x:v>
      </x:c>
      <x:c r="F7" s="6" t="n">
        <x:f>F6+E7</x:f>
        <x:v>-15500</x:v>
      </x:c>
      <x:c r="G7" s="6" t="n">
        <x:v>-37500</x:v>
      </x:c>
      <x:c r="H7" s="6" t="n">
        <x:v>57500</x:v>
      </x:c>
      <x:c r="I7" s="11" t="n">
        <x:v>1</x:v>
      </x:c>
      <x:c r="J7" s="12" t="str">
        <x:v>D40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65000</x:v>
      </x:c>
      <x:c r="E8" s="6" t="n">
        <x:f>C8-D8</x:f>
        <x:v>-65000</x:v>
      </x:c>
      <x:c r="F8" s="6" t="n">
        <x:f>F7+E8</x:f>
        <x:v>-80500</x:v>
      </x:c>
      <x:c r="G8" s="6" t="n">
        <x:v>-65000</x:v>
      </x:c>
      <x:c r="H8" s="6" t="n">
        <x:v>75000</x:v>
      </x:c>
      <x:c r="I8" s="11" t="n">
        <x:v>2</x:v>
      </x:c>
      <x:c r="J8" s="12" t="str">
        <x:v>D40</x:v>
      </x:c>
    </x:row>
    <x:row r="9" ht="25" customHeight="1">
      <x:c r="A9" s="2" t="str">
        <x:v>2026-09-22_Night</x:v>
      </x:c>
      <x:c r="B9" s="2" t="str">
        <x:v>前30場</x:v>
      </x:c>
      <x:c r="C9" s="6" t="n">
        <x:v>23500</x:v>
      </x:c>
      <x:c r="D9" s="6" t="n">
        <x:v>31500</x:v>
      </x:c>
      <x:c r="E9" s="6" t="n">
        <x:f>C9-D9</x:f>
        <x:v>-8000</x:v>
      </x:c>
      <x:c r="F9" s="6" t="n">
        <x:f>F8+E9</x:f>
        <x:v>-88500</x:v>
      </x:c>
      <x:c r="G9" s="6" t="n">
        <x:v>-37500</x:v>
      </x:c>
      <x:c r="H9" s="6" t="n">
        <x:v>37500</x:v>
      </x:c>
      <x:c r="I9" s="11" t="n">
        <x:v>2</x:v>
      </x:c>
      <x:c r="J9" s="12" t="str">
        <x:v>D40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-38500</x:v>
      </x:c>
      <x:c r="G10" s="6" t="n">
        <x:v>-15000</x:v>
      </x:c>
      <x:c r="H10" s="6" t="n">
        <x:v>40000</x:v>
      </x:c>
      <x:c r="I10" s="11" t="n">
        <x:v>1</x:v>
      </x:c>
      <x:c r="J10" s="12" t="str">
        <x:v>D40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33500</x:v>
      </x:c>
      <x:c r="E11" s="6" t="n">
        <x:f>C11-D11</x:f>
        <x:v>-28500</x:v>
      </x:c>
      <x:c r="F11" s="6" t="n">
        <x:f>F10+E11</x:f>
        <x:v>-67000</x:v>
      </x:c>
      <x:c r="G11" s="6" t="n">
        <x:v>-36500</x:v>
      </x:c>
      <x:c r="H11" s="6" t="n">
        <x:v>36500</x:v>
      </x:c>
      <x:c r="I11" s="11" t="n">
        <x:v>3</x:v>
      </x:c>
      <x:c r="J11" s="12" t="str">
        <x:v>D40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121500</x:v>
      </x:c>
      <x:c r="D12" s="6" t="n">
        <x:v>55000</x:v>
      </x:c>
      <x:c r="E12" s="6" t="n">
        <x:f>C12-D12</x:f>
        <x:v>66500</x:v>
      </x:c>
      <x:c r="F12" s="6" t="n">
        <x:f>F11+E12</x:f>
        <x:v>-500</x:v>
      </x:c>
      <x:c r="G12" s="6" t="n">
        <x:v>-30500</x:v>
      </x:c>
      <x:c r="H12" s="6" t="n">
        <x:v>71500</x:v>
      </x:c>
      <x:c r="I12" s="11" t="n">
        <x:v>8</x:v>
      </x:c>
      <x:c r="J12" s="12" t="str">
        <x:v>D40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42500</x:v>
      </x:c>
      <x:c r="D13" s="6" t="n">
        <x:v>12500</x:v>
      </x:c>
      <x:c r="E13" s="6" t="n">
        <x:f>C13-D13</x:f>
        <x:v>30000</x:v>
      </x:c>
      <x:c r="F13" s="6" t="n">
        <x:f>F12+E13</x:f>
        <x:v>29500</x:v>
      </x:c>
      <x:c r="G13" s="6" t="n">
        <x:v>-55000</x:v>
      </x:c>
      <x:c r="H13" s="6" t="n">
        <x:v>55000</x:v>
      </x:c>
      <x:c r="I13" s="11" t="n">
        <x:v>4</x:v>
      </x:c>
      <x:c r="J13" s="12" t="str">
        <x:v>D40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113500</x:v>
      </x:c>
      <x:c r="D14" s="6" t="n">
        <x:v>34000</x:v>
      </x:c>
      <x:c r="E14" s="6" t="n">
        <x:f>C14-D14</x:f>
        <x:v>79500</x:v>
      </x:c>
      <x:c r="F14" s="6" t="n">
        <x:f>F13+E14</x:f>
        <x:v>109000</x:v>
      </x:c>
      <x:c r="G14" s="6" t="n">
        <x:v>-4000</x:v>
      </x:c>
      <x:c r="H14" s="6" t="n">
        <x:v>69500</x:v>
      </x:c>
      <x:c r="I14" s="11" t="n">
        <x:v>5</x:v>
      </x:c>
      <x:c r="J14" s="12" t="str">
        <x:v>D40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10500</x:v>
      </x:c>
      <x:c r="E15" s="6" t="n">
        <x:f>C15-D15</x:f>
        <x:v>6500</x:v>
      </x:c>
      <x:c r="F15" s="6" t="n">
        <x:f>F14+E15</x:f>
        <x:v>115500</x:v>
      </x:c>
      <x:c r="G15" s="6" t="n">
        <x:v>-18000</x:v>
      </x:c>
      <x:c r="H15" s="6" t="n">
        <x:v>21000</x:v>
      </x:c>
      <x:c r="I15" s="11" t="n">
        <x:v>2</x:v>
      </x:c>
      <x:c r="J15" s="12" t="str">
        <x:v>D40</x:v>
      </x:c>
    </x:row>
    <x:row r="16" ht="25" customHeight="1">
      <x:c r="A16" s="2" t="str">
        <x:v>2026-09-28_Day</x:v>
      </x:c>
      <x:c r="B16" s="2" t="str">
        <x:v>前30場</x:v>
      </x:c>
      <x:c r="C16" s="6" t="n">
        <x:v>68000</x:v>
      </x:c>
      <x:c r="D16" s="6" t="n">
        <x:v>131500</x:v>
      </x:c>
      <x:c r="E16" s="6" t="n">
        <x:f>C16-D16</x:f>
        <x:v>-63500</x:v>
      </x:c>
      <x:c r="F16" s="6" t="n">
        <x:f>F15+E16</x:f>
        <x:v>52000</x:v>
      </x:c>
      <x:c r="G16" s="6" t="n">
        <x:v>-84000</x:v>
      </x:c>
      <x:c r="H16" s="6" t="n">
        <x:v>97500</x:v>
      </x:c>
      <x:c r="I16" s="11" t="n">
        <x:v>9</x:v>
      </x:c>
      <x:c r="J16" s="12" t="str">
        <x:v>D40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7000</x:v>
      </x:c>
      <x:c r="D17" s="6" t="n">
        <x:v>34500</x:v>
      </x:c>
      <x:c r="E17" s="6" t="n">
        <x:f>C17-D17</x:f>
        <x:v>-27500</x:v>
      </x:c>
      <x:c r="F17" s="6" t="n">
        <x:f>F16+E17</x:f>
        <x:v>24500</x:v>
      </x:c>
      <x:c r="G17" s="6" t="n">
        <x:v>-33000</x:v>
      </x:c>
      <x:c r="H17" s="6" t="n">
        <x:v>35500</x:v>
      </x:c>
      <x:c r="I17" s="11" t="n">
        <x:v>5</x:v>
      </x:c>
      <x:c r="J17" s="12" t="str">
        <x:v>D40</x:v>
      </x:c>
    </x:row>
    <x:row r="18" ht="25" customHeight="1">
      <x:c r="A18" s="2" t="str">
        <x:v>2026-09-29_Day</x:v>
      </x:c>
      <x:c r="B18" s="2" t="str">
        <x:v>前30場</x:v>
      </x:c>
      <x:c r="C18" s="6" t="n">
        <x:v>174500</x:v>
      </x:c>
      <x:c r="D18" s="6" t="n">
        <x:v>119500</x:v>
      </x:c>
      <x:c r="E18" s="6" t="n">
        <x:f>C18-D18</x:f>
        <x:v>55000</x:v>
      </x:c>
      <x:c r="F18" s="6" t="n">
        <x:f>F17+E18</x:f>
        <x:v>79500</x:v>
      </x:c>
      <x:c r="G18" s="6" t="n">
        <x:v>-98500</x:v>
      </x:c>
      <x:c r="H18" s="6" t="n">
        <x:v>133000</x:v>
      </x:c>
      <x:c r="I18" s="11" t="n">
        <x:v>14</x:v>
      </x:c>
      <x:c r="J18" s="12" t="str">
        <x:v>D40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58000</x:v>
      </x:c>
      <x:c r="D19" s="6" t="n">
        <x:v>32000</x:v>
      </x:c>
      <x:c r="E19" s="6" t="n">
        <x:f>C19-D19</x:f>
        <x:v>26000</x:v>
      </x:c>
      <x:c r="F19" s="6" t="n">
        <x:f>F18+E19</x:f>
        <x:v>105500</x:v>
      </x:c>
      <x:c r="G19" s="6" t="n">
        <x:v>-22000</x:v>
      </x:c>
      <x:c r="H19" s="6" t="n">
        <x:v>60000</x:v>
      </x:c>
      <x:c r="I19" s="11" t="n">
        <x:v>6</x:v>
      </x:c>
      <x:c r="J19" s="12" t="str">
        <x:v>D40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103000</x:v>
      </x:c>
      <x:c r="D20" s="6" t="n">
        <x:v>76000</x:v>
      </x:c>
      <x:c r="E20" s="6" t="n">
        <x:f>C20-D20</x:f>
        <x:v>27000</x:v>
      </x:c>
      <x:c r="F20" s="6" t="n">
        <x:f>F19+E20</x:f>
        <x:v>132500</x:v>
      </x:c>
      <x:c r="G20" s="6" t="n">
        <x:v>-73500</x:v>
      </x:c>
      <x:c r="H20" s="6" t="n">
        <x:v>78000</x:v>
      </x:c>
      <x:c r="I20" s="11" t="n">
        <x:v>6</x:v>
      </x:c>
      <x:c r="J20" s="12" t="str">
        <x:v>D40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74500</x:v>
      </x:c>
      <x:c r="D21" s="6" t="n">
        <x:v>30500</x:v>
      </x:c>
      <x:c r="E21" s="6" t="n">
        <x:f>C21-D21</x:f>
        <x:v>44000</x:v>
      </x:c>
      <x:c r="F21" s="6" t="n">
        <x:f>F20+E21</x:f>
        <x:v>176500</x:v>
      </x:c>
      <x:c r="G21" s="6" t="n">
        <x:v>-42500</x:v>
      </x:c>
      <x:c r="H21" s="6" t="n">
        <x:v>62500</x:v>
      </x:c>
      <x:c r="I21" s="11" t="n">
        <x:v>6</x:v>
      </x:c>
      <x:c r="J21" s="12" t="str">
        <x:v>D40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77500</x:v>
      </x:c>
      <x:c r="E22" s="6" t="n">
        <x:f>C22-D22</x:f>
        <x:v>170500</x:v>
      </x:c>
      <x:c r="F22" s="6" t="n">
        <x:f>F21+E22</x:f>
        <x:v>347000</x:v>
      </x:c>
      <x:c r="G22" s="6" t="n">
        <x:v>-54500</x:v>
      </x:c>
      <x:c r="H22" s="6" t="n">
        <x:v>90000</x:v>
      </x:c>
      <x:c r="I22" s="11" t="n">
        <x:v>5</x:v>
      </x:c>
      <x:c r="J22" s="12" t="str">
        <x:v>D40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181500</x:v>
      </x:c>
      <x:c r="D23" s="6" t="n">
        <x:v>97500</x:v>
      </x:c>
      <x:c r="E23" s="6" t="n">
        <x:f>C23-D23</x:f>
        <x:v>84000</x:v>
      </x:c>
      <x:c r="F23" s="6" t="n">
        <x:f>F22+E23</x:f>
        <x:v>431000</x:v>
      </x:c>
      <x:c r="G23" s="6" t="n">
        <x:v>-25000</x:v>
      </x:c>
      <x:c r="H23" s="6" t="n">
        <x:v>116500</x:v>
      </x:c>
      <x:c r="I23" s="11" t="n">
        <x:v>16</x:v>
      </x:c>
      <x:c r="J23" s="12" t="str">
        <x:v>D40</x:v>
      </x:c>
    </x:row>
    <x:row r="24" ht="25" customHeight="1">
      <x:c r="A24" s="2" t="str">
        <x:v>2026-10-02_Day</x:v>
      </x:c>
      <x:c r="B24" s="2" t="str">
        <x:v>前30場</x:v>
      </x:c>
      <x:c r="C24" s="6" t="n">
        <x:v>18000</x:v>
      </x:c>
      <x:c r="D24" s="6" t="n">
        <x:v>82500</x:v>
      </x:c>
      <x:c r="E24" s="6" t="n">
        <x:f>C24-D24</x:f>
        <x:v>-64500</x:v>
      </x:c>
      <x:c r="F24" s="6" t="n">
        <x:f>F23+E24</x:f>
        <x:v>366500</x:v>
      </x:c>
      <x:c r="G24" s="6" t="n">
        <x:v>-74000</x:v>
      </x:c>
      <x:c r="H24" s="6" t="n">
        <x:v>93000</x:v>
      </x:c>
      <x:c r="I24" s="11" t="n">
        <x:v>9</x:v>
      </x:c>
      <x:c r="J24" s="12" t="str">
        <x:v>D40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204000</x:v>
      </x:c>
      <x:c r="D25" s="6" t="n">
        <x:v>79000</x:v>
      </x:c>
      <x:c r="E25" s="6" t="n">
        <x:f>C25-D25</x:f>
        <x:v>125000</x:v>
      </x:c>
      <x:c r="F25" s="6" t="n">
        <x:f>F24+E25</x:f>
        <x:v>491500</x:v>
      </x:c>
      <x:c r="G25" s="6" t="n">
        <x:v>-41000</x:v>
      </x:c>
      <x:c r="H25" s="6" t="n">
        <x:v>87000</x:v>
      </x:c>
      <x:c r="I25" s="11" t="n">
        <x:v>15</x:v>
      </x:c>
      <x:c r="J25" s="12" t="str">
        <x:v>D40</x:v>
      </x:c>
    </x:row>
    <x:row r="26" ht="25" customHeight="1">
      <x:c r="A26" s="2" t="str">
        <x:v>2026-10-05_Day</x:v>
      </x:c>
      <x:c r="B26" s="2" t="str">
        <x:v>前30場</x:v>
      </x:c>
      <x:c r="C26" s="6" t="n">
        <x:v>60500</x:v>
      </x:c>
      <x:c r="D26" s="6" t="n">
        <x:v>169000</x:v>
      </x:c>
      <x:c r="E26" s="6" t="n">
        <x:f>C26-D26</x:f>
        <x:v>-108500</x:v>
      </x:c>
      <x:c r="F26" s="6" t="n">
        <x:f>F25+E26</x:f>
        <x:v>383000</x:v>
      </x:c>
      <x:c r="G26" s="6" t="n">
        <x:v>-118500</x:v>
      </x:c>
      <x:c r="H26" s="6" t="n">
        <x:v>170500</x:v>
      </x:c>
      <x:c r="I26" s="11" t="n">
        <x:v>12</x:v>
      </x:c>
      <x:c r="J26" s="12" t="str">
        <x:v>D40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64000</x:v>
      </x:c>
      <x:c r="D27" s="6" t="n">
        <x:v>67000</x:v>
      </x:c>
      <x:c r="E27" s="6" t="n">
        <x:f>C27-D27</x:f>
        <x:v>-3000</x:v>
      </x:c>
      <x:c r="F27" s="6" t="n">
        <x:f>F26+E27</x:f>
        <x:v>380000</x:v>
      </x:c>
      <x:c r="G27" s="6" t="n">
        <x:v>-18000</x:v>
      </x:c>
      <x:c r="H27" s="6" t="n">
        <x:v>85000</x:v>
      </x:c>
      <x:c r="I27" s="11" t="n">
        <x:v>8</x:v>
      </x:c>
      <x:c r="J27" s="12" t="str">
        <x:v>D40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119500</x:v>
      </x:c>
      <x:c r="E28" s="6" t="n">
        <x:f>C28-D28</x:f>
        <x:v>29500</x:v>
      </x:c>
      <x:c r="F28" s="6" t="n">
        <x:f>F27+E28</x:f>
        <x:v>409500</x:v>
      </x:c>
      <x:c r="G28" s="6" t="n">
        <x:v>-54000</x:v>
      </x:c>
      <x:c r="H28" s="6" t="n">
        <x:v>68000</x:v>
      </x:c>
      <x:c r="I28" s="11" t="n">
        <x:v>10</x:v>
      </x:c>
      <x:c r="J28" s="12" t="str">
        <x:v>D40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16500</x:v>
      </x:c>
      <x:c r="D29" s="6" t="n">
        <x:v>42000</x:v>
      </x:c>
      <x:c r="E29" s="6" t="n">
        <x:f>C29-D29</x:f>
        <x:v>-25500</x:v>
      </x:c>
      <x:c r="F29" s="6" t="n">
        <x:f>F28+E29</x:f>
        <x:v>384000</x:v>
      </x:c>
      <x:c r="G29" s="6" t="n">
        <x:v>-48500</x:v>
      </x:c>
      <x:c r="H29" s="6" t="n">
        <x:v>48500</x:v>
      </x:c>
      <x:c r="I29" s="11" t="n">
        <x:v>4</x:v>
      </x:c>
      <x:c r="J29" s="12" t="str">
        <x:v>D40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39000</x:v>
      </x:c>
      <x:c r="E30" s="6" t="n">
        <x:f>C30-D30</x:f>
        <x:v>128000</x:v>
      </x:c>
      <x:c r="F30" s="6" t="n">
        <x:f>F29+E30</x:f>
        <x:v>512000</x:v>
      </x:c>
      <x:c r="G30" s="6" t="n">
        <x:v>-6000</x:v>
      </x:c>
      <x:c r="H30" s="6" t="n">
        <x:v>62000</x:v>
      </x:c>
      <x:c r="I30" s="11" t="n">
        <x:v>7</x:v>
      </x:c>
      <x:c r="J30" s="12" t="str">
        <x:v>D40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13000</x:v>
      </x:c>
      <x:c r="D31" s="6" t="n">
        <x:v>50000</x:v>
      </x:c>
      <x:c r="E31" s="6" t="n">
        <x:f>C31-D31</x:f>
        <x:v>-37000</x:v>
      </x:c>
      <x:c r="F31" s="6" t="n">
        <x:f>F30+E31</x:f>
        <x:v>475000</x:v>
      </x:c>
      <x:c r="G31" s="6" t="n">
        <x:v>-38000</x:v>
      </x:c>
      <x:c r="H31" s="6" t="n">
        <x:v>39500</x:v>
      </x:c>
      <x:c r="I31" s="11" t="n">
        <x:v>5</x:v>
      </x:c>
      <x:c r="J31" s="12" t="str">
        <x:v>D40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123000</x:v>
      </x:c>
      <x:c r="D32" s="6" t="n">
        <x:v>90000</x:v>
      </x:c>
      <x:c r="E32" s="6" t="n">
        <x:f>C32-D32</x:f>
        <x:v>33000</x:v>
      </x:c>
      <x:c r="F32" s="6" t="n">
        <x:f>F31+E32</x:f>
        <x:v>508000</x:v>
      </x:c>
      <x:c r="G32" s="6" t="n">
        <x:v>-81000</x:v>
      </x:c>
      <x:c r="H32" s="6" t="n">
        <x:v>114000</x:v>
      </x:c>
      <x:c r="I32" s="11" t="n">
        <x:v>7</x:v>
      </x:c>
      <x:c r="J32" s="12" t="str">
        <x:v>D40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309000</x:v>
      </x:c>
      <x:c r="D33" s="6" t="n">
        <x:v>41500</x:v>
      </x:c>
      <x:c r="E33" s="6" t="n">
        <x:f>C33-D33</x:f>
        <x:v>267500</x:v>
      </x:c>
      <x:c r="F33" s="6" t="n">
        <x:f>F32+E33</x:f>
        <x:v>775500</x:v>
      </x:c>
      <x:c r="G33" s="6" t="n">
        <x:v>-28000</x:v>
      </x:c>
      <x:c r="H33" s="6" t="n">
        <x:v>68500</x:v>
      </x:c>
      <x:c r="I33" s="11" t="n">
        <x:v>17</x:v>
      </x:c>
      <x:c r="J33" s="12" t="str">
        <x:v>D40</x:v>
      </x:c>
    </x:row>
    <x:row r="34" ht="25" customHeight="1">
      <x:c r="A34" s="2" t="str">
        <x:v>2026-10-09_Day</x:v>
      </x:c>
      <x:c r="B34" s="2" t="str">
        <x:v>前30場</x:v>
      </x:c>
      <x:c r="C34" s="6" t="n">
        <x:v>76500</x:v>
      </x:c>
      <x:c r="D34" s="6" t="n">
        <x:v>78000</x:v>
      </x:c>
      <x:c r="E34" s="6" t="n">
        <x:f>C34-D34</x:f>
        <x:v>-1500</x:v>
      </x:c>
      <x:c r="F34" s="6" t="n">
        <x:f>F33+E34</x:f>
        <x:v>774000</x:v>
      </x:c>
      <x:c r="G34" s="6" t="n">
        <x:v>-34000</x:v>
      </x:c>
      <x:c r="H34" s="6" t="n">
        <x:v>70000</x:v>
      </x:c>
      <x:c r="I34" s="11" t="n">
        <x:v>9</x:v>
      </x:c>
      <x:c r="J34" s="12" t="str">
        <x:v>D40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48000</x:v>
      </x:c>
      <x:c r="D35" s="6" t="n">
        <x:v>13500</x:v>
      </x:c>
      <x:c r="E35" s="6" t="n">
        <x:f>C35-D35</x:f>
        <x:v>34500</x:v>
      </x:c>
      <x:c r="F35" s="6" t="n">
        <x:f>F34+E35</x:f>
        <x:v>808500</x:v>
      </x:c>
      <x:c r="G35" s="6" t="n">
        <x:v>-10000</x:v>
      </x:c>
      <x:c r="H35" s="6" t="n">
        <x:v>55000</x:v>
      </x:c>
      <x:c r="I35" s="11" t="n">
        <x:v>3</x:v>
      </x:c>
      <x:c r="J35" s="12" t="str">
        <x:v>D40</x:v>
      </x:c>
    </x:row>
    <x:row r="36" ht="25" customHeight="1">
      <x:c r="A36" s="2" t="str">
        <x:v>2026-10-12_Day</x:v>
      </x:c>
      <x:c r="B36" s="2" t="str">
        <x:v>次10場</x:v>
      </x:c>
      <x:c r="C36" s="6" t="n">
        <x:v>34500</x:v>
      </x:c>
      <x:c r="D36" s="6" t="n">
        <x:v>37500</x:v>
      </x:c>
      <x:c r="E36" s="6" t="n">
        <x:f>C36-D36</x:f>
        <x:v>-3000</x:v>
      </x:c>
      <x:c r="F36" s="6" t="n">
        <x:f>F35+E36</x:f>
        <x:v>805500</x:v>
      </x:c>
      <x:c r="G36" s="6" t="n">
        <x:v>-26000</x:v>
      </x:c>
      <x:c r="H36" s="6" t="n">
        <x:v>45000</x:v>
      </x:c>
      <x:c r="I36" s="11" t="n">
        <x:v>3</x:v>
      </x:c>
      <x:c r="J36" s="12" t="str">
        <x:v>D40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887500</x:v>
      </x:c>
      <x:c r="G37" s="6" t="n">
        <x:v>-10000</x:v>
      </x:c>
      <x:c r="H37" s="6" t="n">
        <x:v>33000</x:v>
      </x:c>
      <x:c r="I37" s="11" t="n">
        <x:v>1</x:v>
      </x:c>
      <x:c r="J37" s="12" t="str">
        <x:v>D40</x:v>
      </x:c>
    </x:row>
    <x:row r="38" ht="25" customHeight="1">
      <x:c r="A38" s="2" t="str">
        <x:v>2026-10-13_Day</x:v>
      </x:c>
      <x:c r="B38" s="2" t="str">
        <x:v>次10場</x:v>
      </x:c>
      <x:c r="C38" s="6" t="n">
        <x:v>144000</x:v>
      </x:c>
      <x:c r="D38" s="6" t="n">
        <x:v>148000</x:v>
      </x:c>
      <x:c r="E38" s="6" t="n">
        <x:f>C38-D38</x:f>
        <x:v>-4000</x:v>
      </x:c>
      <x:c r="F38" s="6" t="n">
        <x:f>F37+E38</x:f>
        <x:v>883500</x:v>
      </x:c>
      <x:c r="G38" s="6" t="n">
        <x:v>-47500</x:v>
      </x:c>
      <x:c r="H38" s="6" t="n">
        <x:v>81000</x:v>
      </x:c>
      <x:c r="I38" s="11" t="n">
        <x:v>15</x:v>
      </x:c>
      <x:c r="J38" s="12" t="str">
        <x:v>D40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44000</x:v>
      </x:c>
      <x:c r="E39" s="6" t="n">
        <x:f>C39-D39</x:f>
        <x:v>-29000</x:v>
      </x:c>
      <x:c r="F39" s="6" t="n">
        <x:f>F38+E39</x:f>
        <x:v>854500</x:v>
      </x:c>
      <x:c r="G39" s="6" t="n">
        <x:v>-29000</x:v>
      </x:c>
      <x:c r="H39" s="6" t="n">
        <x:v>49000</x:v>
      </x:c>
      <x:c r="I39" s="11" t="n">
        <x:v>3</x:v>
      </x:c>
      <x:c r="J39" s="12" t="str">
        <x:v>D40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51000</x:v>
      </x:c>
      <x:c r="E40" s="6" t="n">
        <x:f>C40-D40</x:f>
        <x:v>110000</x:v>
      </x:c>
      <x:c r="F40" s="6" t="n">
        <x:f>F39+E40</x:f>
        <x:v>964500</x:v>
      </x:c>
      <x:c r="G40" s="6" t="n">
        <x:v>-42500</x:v>
      </x:c>
      <x:c r="H40" s="6" t="n">
        <x:v>70000</x:v>
      </x:c>
      <x:c r="I40" s="11" t="n">
        <x:v>5</x:v>
      </x:c>
      <x:c r="J40" s="12" t="str">
        <x:v>D40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113500</x:v>
      </x:c>
      <x:c r="D41" s="6" t="n">
        <x:v>53500</x:v>
      </x:c>
      <x:c r="E41" s="6" t="n">
        <x:f>C41-D41</x:f>
        <x:v>60000</x:v>
      </x:c>
      <x:c r="F41" s="6" t="n">
        <x:f>F40+E41</x:f>
        <x:v>1024500</x:v>
      </x:c>
      <x:c r="G41" s="6" t="n">
        <x:v>-33500</x:v>
      </x:c>
      <x:c r="H41" s="6" t="n">
        <x:v>53500</x:v>
      </x:c>
      <x:c r="I41" s="11" t="n">
        <x:v>5</x:v>
      </x:c>
      <x:c r="J41" s="12" t="str">
        <x:v>D40</x:v>
      </x:c>
    </x:row>
    <x:row r="42" ht="25" customHeight="1">
      <x:c r="A42" s="2" t="str">
        <x:v>2026-10-15_Day</x:v>
      </x:c>
      <x:c r="B42" s="2" t="str">
        <x:v>次10場</x:v>
      </x:c>
      <x:c r="C42" s="6" t="n">
        <x:v>294000</x:v>
      </x:c>
      <x:c r="D42" s="6" t="n">
        <x:v>50000</x:v>
      </x:c>
      <x:c r="E42" s="6" t="n">
        <x:f>C42-D42</x:f>
        <x:v>244000</x:v>
      </x:c>
      <x:c r="F42" s="6" t="n">
        <x:f>F41+E42</x:f>
        <x:v>1268500</x:v>
      </x:c>
      <x:c r="G42" s="6" t="n">
        <x:v>-54000</x:v>
      </x:c>
      <x:c r="H42" s="6" t="n">
        <x:v>108000</x:v>
      </x:c>
      <x:c r="I42" s="11" t="n">
        <x:v>6</x:v>
      </x:c>
      <x:c r="J42" s="12" t="str">
        <x:v>D40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52500</x:v>
      </x:c>
      <x:c r="D43" s="6" t="n">
        <x:v>60000</x:v>
      </x:c>
      <x:c r="E43" s="6" t="n">
        <x:f>C43-D43</x:f>
        <x:v>-7500</x:v>
      </x:c>
      <x:c r="F43" s="6" t="n">
        <x:f>F42+E43</x:f>
        <x:v>1261000</x:v>
      </x:c>
      <x:c r="G43" s="6" t="n">
        <x:v>-32500</x:v>
      </x:c>
      <x:c r="H43" s="6" t="n">
        <x:v>74500</x:v>
      </x:c>
      <x:c r="I43" s="11" t="n">
        <x:v>7</x:v>
      </x:c>
      <x:c r="J43" s="12" t="str">
        <x:v>D40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145000</x:v>
      </x:c>
      <x:c r="D44" s="6" t="n">
        <x:v>199500</x:v>
      </x:c>
      <x:c r="E44" s="6" t="n">
        <x:f>C44-D44</x:f>
        <x:v>-54500</x:v>
      </x:c>
      <x:c r="F44" s="6" t="n">
        <x:f>F43+E44</x:f>
        <x:v>1206500</x:v>
      </x:c>
      <x:c r="G44" s="6" t="n">
        <x:v>-121500</x:v>
      </x:c>
      <x:c r="H44" s="6" t="n">
        <x:v>136500</x:v>
      </x:c>
      <x:c r="I44" s="11" t="n">
        <x:v>14</x:v>
      </x:c>
      <x:c r="J44" s="12" t="str">
        <x:v>D40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161000</x:v>
      </x:c>
      <x:c r="D45" s="6" t="n">
        <x:v>129500</x:v>
      </x:c>
      <x:c r="E45" s="6" t="n">
        <x:f>C45-D45</x:f>
        <x:v>31500</x:v>
      </x:c>
      <x:c r="F45" s="6" t="n">
        <x:f>F44+E45</x:f>
        <x:v>1238000</x:v>
      </x:c>
      <x:c r="G45" s="6" t="n">
        <x:v>-78500</x:v>
      </x:c>
      <x:c r="H45" s="6" t="n">
        <x:v>98500</x:v>
      </x:c>
      <x:c r="I45" s="11" t="n">
        <x:v>14</x:v>
      </x:c>
      <x:c r="J45" s="12" t="str">
        <x:v>D40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179000</x:v>
      </x:c>
      <x:c r="D46" s="6" t="n">
        <x:v>18500</x:v>
      </x:c>
      <x:c r="E46" s="6" t="n">
        <x:f>C46-D46</x:f>
        <x:v>160500</x:v>
      </x:c>
      <x:c r="F46" s="6" t="n">
        <x:f>F45+E46</x:f>
        <x:v>1398500</x:v>
      </x:c>
      <x:c r="G46" s="6" t="n">
        <x:v>-8000</x:v>
      </x:c>
      <x:c r="H46" s="6" t="n">
        <x:v>161000</x:v>
      </x:c>
      <x:c r="I46" s="11" t="n">
        <x:v>4</x:v>
      </x:c>
      <x:c r="J46" s="12" t="str">
        <x:v>D40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114500</x:v>
      </x:c>
      <x:c r="D47" s="6" t="n">
        <x:v>112000</x:v>
      </x:c>
      <x:c r="E47" s="6" t="n">
        <x:f>C47-D47</x:f>
        <x:v>2500</x:v>
      </x:c>
      <x:c r="F47" s="6" t="n">
        <x:f>F46+E47</x:f>
        <x:v>1401000</x:v>
      </x:c>
      <x:c r="G47" s="6" t="n">
        <x:v>-57500</x:v>
      </x:c>
      <x:c r="H47" s="6" t="n">
        <x:v>82000</x:v>
      </x:c>
      <x:c r="I47" s="11" t="n">
        <x:v>14</x:v>
      </x:c>
      <x:c r="J47" s="12" t="str">
        <x:v>D40</x:v>
      </x:c>
    </x:row>
    <x:row r="48" ht="25" customHeight="1">
      <x:c r="A48" s="2" t="str">
        <x:v>2026-10-20_Day</x:v>
      </x:c>
      <x:c r="B48" s="2" t="str">
        <x:v>後13場</x:v>
      </x:c>
      <x:c r="C48" s="6" t="n">
        <x:v>165000</x:v>
      </x:c>
      <x:c r="D48" s="6" t="n">
        <x:v>156500</x:v>
      </x:c>
      <x:c r="E48" s="6" t="n">
        <x:f>C48-D48</x:f>
        <x:v>8500</x:v>
      </x:c>
      <x:c r="F48" s="6" t="n">
        <x:f>F47+E48</x:f>
        <x:v>1409500</x:v>
      </x:c>
      <x:c r="G48" s="6" t="n">
        <x:v>-28000</x:v>
      </x:c>
      <x:c r="H48" s="6" t="n">
        <x:v>249000</x:v>
      </x:c>
      <x:c r="I48" s="11" t="n">
        <x:v>13</x:v>
      </x:c>
      <x:c r="J48" s="12" t="str">
        <x:v>D40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139000</x:v>
      </x:c>
      <x:c r="D49" s="6" t="n">
        <x:v>41000</x:v>
      </x:c>
      <x:c r="E49" s="6" t="n">
        <x:f>C49-D49</x:f>
        <x:v>98000</x:v>
      </x:c>
      <x:c r="F49" s="6" t="n">
        <x:f>F48+E49</x:f>
        <x:v>1507500</x:v>
      </x:c>
      <x:c r="G49" s="6" t="n">
        <x:v>-10000</x:v>
      </x:c>
      <x:c r="H49" s="6" t="n">
        <x:v>56500</x:v>
      </x:c>
      <x:c r="I49" s="11" t="n">
        <x:v>11</x:v>
      </x:c>
      <x:c r="J49" s="12" t="str">
        <x:v>D40</x:v>
      </x:c>
    </x:row>
    <x:row r="50" ht="25" customHeight="1">
      <x:c r="A50" s="2" t="str">
        <x:v>2026-10-21_Day</x:v>
      </x:c>
      <x:c r="B50" s="2" t="str">
        <x:v>後13場</x:v>
      </x:c>
      <x:c r="C50" s="6" t="n">
        <x:v>74000</x:v>
      </x:c>
      <x:c r="D50" s="6" t="n">
        <x:v>170000</x:v>
      </x:c>
      <x:c r="E50" s="6" t="n">
        <x:f>C50-D50</x:f>
        <x:v>-96000</x:v>
      </x:c>
      <x:c r="F50" s="6" t="n">
        <x:f>F49+E50</x:f>
        <x:v>1411500</x:v>
      </x:c>
      <x:c r="G50" s="6" t="n">
        <x:v>-165000</x:v>
      </x:c>
      <x:c r="H50" s="6" t="n">
        <x:v>166500</x:v>
      </x:c>
      <x:c r="I50" s="11" t="n">
        <x:v>13</x:v>
      </x:c>
      <x:c r="J50" s="12" t="str">
        <x:v>D40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47500</x:v>
      </x:c>
      <x:c r="D51" s="6" t="n">
        <x:v>85000</x:v>
      </x:c>
      <x:c r="E51" s="6" t="n">
        <x:f>C51-D51</x:f>
        <x:v>-37500</x:v>
      </x:c>
      <x:c r="F51" s="6" t="n">
        <x:f>F50+E51</x:f>
        <x:v>1374000</x:v>
      </x:c>
      <x:c r="G51" s="6" t="n">
        <x:v>-37500</x:v>
      </x:c>
      <x:c r="H51" s="6" t="n">
        <x:v>77500</x:v>
      </x:c>
      <x:c r="I51" s="11" t="n">
        <x:v>6</x:v>
      </x:c>
      <x:c r="J51" s="12" t="str">
        <x:v>D40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226500</x:v>
      </x:c>
      <x:c r="D52" s="6" t="n">
        <x:v>20500</x:v>
      </x:c>
      <x:c r="E52" s="6" t="n">
        <x:f>C52-D52</x:f>
        <x:v>206000</x:v>
      </x:c>
      <x:c r="F52" s="6" t="n">
        <x:f>F51+E52</x:f>
        <x:v>1580000</x:v>
      </x:c>
      <x:c r="G52" s="6" t="n">
        <x:v>-6000</x:v>
      </x:c>
      <x:c r="H52" s="6" t="n">
        <x:v>78000</x:v>
      </x:c>
      <x:c r="I52" s="11" t="n">
        <x:v>3</x:v>
      </x:c>
      <x:c r="J52" s="12" t="str">
        <x:v>D40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1736000</x:v>
      </x:c>
      <x:c r="G53" s="6" t="n">
        <x:v>-2000</x:v>
      </x:c>
      <x:c r="H53" s="6" t="n">
        <x:v>64000</x:v>
      </x:c>
      <x:c r="I53" s="11" t="n">
        <x:v>3</x:v>
      </x:c>
      <x:c r="J53" s="12" t="str">
        <x:v>D40</x:v>
      </x:c>
    </x:row>
    <x:row r="54" ht="25" customHeight="1">
      <x:c r="A54" s="2" t="str">
        <x:v>2026-10-23_Day</x:v>
      </x:c>
      <x:c r="B54" s="2" t="str">
        <x:v>後13場</x:v>
      </x:c>
      <x:c r="C54" s="6" t="n">
        <x:v>205500</x:v>
      </x:c>
      <x:c r="D54" s="6" t="n">
        <x:v>71000</x:v>
      </x:c>
      <x:c r="E54" s="6" t="n">
        <x:f>C54-D54</x:f>
        <x:v>134500</x:v>
      </x:c>
      <x:c r="F54" s="6" t="n">
        <x:f>F53+E54</x:f>
        <x:v>1870500</x:v>
      </x:c>
      <x:c r="G54" s="6" t="n">
        <x:v>-17000</x:v>
      </x:c>
      <x:c r="H54" s="6" t="n">
        <x:v>52000</x:v>
      </x:c>
      <x:c r="I54" s="11" t="n">
        <x:v>15</x:v>
      </x:c>
      <x:c r="J54" s="12" t="str">
        <x:v>D40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46500</x:v>
      </x:c>
      <x:c r="D55" s="6" t="n">
        <x:v>83000</x:v>
      </x:c>
      <x:c r="E55" s="6" t="n">
        <x:f>C55-D55</x:f>
        <x:v>-36500</x:v>
      </x:c>
      <x:c r="F55" s="6" t="n">
        <x:f>F54+E55</x:f>
        <x:v>1834000</x:v>
      </x:c>
      <x:c r="G55" s="6" t="n">
        <x:v>-56000</x:v>
      </x:c>
      <x:c r="H55" s="6" t="n">
        <x:v>71000</x:v>
      </x:c>
      <x:c r="I55" s="11" t="n">
        <x:v>11</x:v>
      </x:c>
      <x:c r="J55" s="12" t="str">
        <x:v>D40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148000</x:v>
      </x:c>
      <x:c r="D56" s="6" t="n">
        <x:v>145500</x:v>
      </x:c>
      <x:c r="E56" s="6" t="n">
        <x:f>C56-D56</x:f>
        <x:v>2500</x:v>
      </x:c>
      <x:c r="F56" s="6" t="n">
        <x:f>F55+E56</x:f>
        <x:v>1836500</x:v>
      </x:c>
      <x:c r="G56" s="6" t="n">
        <x:v>-93500</x:v>
      </x:c>
      <x:c r="H56" s="6" t="n">
        <x:v>179500</x:v>
      </x:c>
      <x:c r="I56" s="11" t="n">
        <x:v>7</x:v>
      </x:c>
      <x:c r="J56" s="12" t="str">
        <x:v>D40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90000</x:v>
      </x:c>
      <x:c r="E57" s="6" t="n">
        <x:f>C57-D57</x:f>
        <x:v>-2000</x:v>
      </x:c>
      <x:c r="F57" s="6" t="n">
        <x:f>F56+E57</x:f>
        <x:v>1834500</x:v>
      </x:c>
      <x:c r="G57" s="6" t="n">
        <x:v>-15000</x:v>
      </x:c>
      <x:c r="H57" s="6" t="n">
        <x:v>109000</x:v>
      </x:c>
      <x:c r="I57" s="11" t="n">
        <x:v>12</x:v>
      </x:c>
      <x:c r="J57" s="12" t="str">
        <x:v>D40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119000</x:v>
      </x:c>
      <x:c r="D58" s="6" t="n">
        <x:v>198500</x:v>
      </x:c>
      <x:c r="E58" s="6" t="n">
        <x:f>C58-D58</x:f>
        <x:v>-79500</x:v>
      </x:c>
      <x:c r="F58" s="6" t="n">
        <x:f>F57+E58</x:f>
        <x:v>1755000</x:v>
      </x:c>
      <x:c r="G58" s="6" t="n">
        <x:v>-95000</x:v>
      </x:c>
      <x:c r="H58" s="6" t="n">
        <x:v>138000</x:v>
      </x:c>
      <x:c r="I58" s="11" t="n">
        <x:v>15</x:v>
      </x:c>
      <x:c r="J58" s="12" t="str">
        <x:v>D40</x:v>
      </x:c>
    </x:row>
    <x:row r="59" ht="25" customHeight="1">
      <x:c r="A59" s="16" t="str">
        <x:v>累計／場内最悪値</x:v>
      </x:c>
      <x:c r="B59" s="16"/>
      <x:c r="C59" s="17" t="n">
        <x:f>SUM(C6:C58)</x:f>
        <x:v>5475000</x:v>
      </x:c>
      <x:c r="D59" s="17" t="n">
        <x:f>SUM(D6:D58)</x:f>
        <x:v>3720000</x:v>
      </x:c>
      <x:c r="E59" s="17" t="n">
        <x:f>C59-D59</x:f>
        <x:v>1755000</x:v>
      </x:c>
      <x:c r="F59" s="17" t="n">
        <x:f>F58</x:f>
        <x:v>1755000</x:v>
      </x:c>
      <x:c r="G59" s="17" t="n">
        <x:f>MIN(G6:G58)</x:f>
        <x:v>-165000</x:v>
      </x:c>
      <x:c r="H59" s="17" t="n">
        <x:f>MAX(H6:H58)</x:f>
        <x:v>249000</x:v>
      </x:c>
      <x:c r="I59" s="18" t="n">
        <x:f>SUM(I6:I58)</x:f>
        <x:v>403</x:v>
      </x:c>
      <x:c r="J59" s="17"/>
    </x:row>
  </x:sheetData>
  <x:conditionalFormatting sqref="E6:G58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471cb0d7844a1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D80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初回中値から80円逆行で一度半量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28000</x:v>
      </x:c>
      <x:c r="D6" s="6" t="n">
        <x:v>10000</x:v>
      </x:c>
      <x:c r="E6" s="6" t="n">
        <x:f>C6-D6</x:f>
        <x:v>18000</x:v>
      </x:c>
      <x:c r="F6" s="6" t="n">
        <x:f>E6</x:f>
        <x:v>18000</x:v>
      </x:c>
      <x:c r="G6" s="6" t="n">
        <x:v>-23000</x:v>
      </x:c>
      <x:c r="H6" s="6" t="n">
        <x:v>60000</x:v>
      </x:c>
      <x:c r="I6" s="11" t="n">
        <x:v>2</x:v>
      </x:c>
      <x:c r="J6" s="12" t="str">
        <x:v>D80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-27000</x:v>
      </x:c>
      <x:c r="G7" s="6" t="n">
        <x:v>-45000</x:v>
      </x:c>
      <x:c r="H7" s="6" t="n">
        <x:v>65000</x:v>
      </x:c>
      <x:c r="I7" s="11" t="n">
        <x:v>1</x:v>
      </x:c>
      <x:c r="J7" s="12" t="str">
        <x:v>D80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-97000</x:v>
      </x:c>
      <x:c r="G8" s="6" t="n">
        <x:v>-70000</x:v>
      </x:c>
      <x:c r="H8" s="6" t="n">
        <x:v>80000</x:v>
      </x:c>
      <x:c r="I8" s="11" t="n">
        <x:v>2</x:v>
      </x:c>
      <x:c r="J8" s="12" t="str">
        <x:v>D80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-58000</x:v>
      </x:c>
      <x:c r="G9" s="6" t="n">
        <x:v>-45000</x:v>
      </x:c>
      <x:c r="H9" s="6" t="n">
        <x:v>55000</x:v>
      </x:c>
      <x:c r="I9" s="11" t="n">
        <x:v>2</x:v>
      </x:c>
      <x:c r="J9" s="12" t="str">
        <x:v>D80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-8000</x:v>
      </x:c>
      <x:c r="G10" s="6" t="n">
        <x:v>-15000</x:v>
      </x:c>
      <x:c r="H10" s="6" t="n">
        <x:v>40000</x:v>
      </x:c>
      <x:c r="I10" s="11" t="n">
        <x:v>1</x:v>
      </x:c>
      <x:c r="J10" s="12" t="str">
        <x:v>D80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-44000</x:v>
      </x:c>
      <x:c r="G11" s="6" t="n">
        <x:v>-44000</x:v>
      </x:c>
      <x:c r="H11" s="6" t="n">
        <x:v>44000</x:v>
      </x:c>
      <x:c r="I11" s="11" t="n">
        <x:v>3</x:v>
      </x:c>
      <x:c r="J11" s="12" t="str">
        <x:v>D80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143500</x:v>
      </x:c>
      <x:c r="D12" s="6" t="n">
        <x:v>64000</x:v>
      </x:c>
      <x:c r="E12" s="6" t="n">
        <x:f>C12-D12</x:f>
        <x:v>79500</x:v>
      </x:c>
      <x:c r="F12" s="6" t="n">
        <x:f>F11+E12</x:f>
        <x:v>35500</x:v>
      </x:c>
      <x:c r="G12" s="6" t="n">
        <x:v>-17500</x:v>
      </x:c>
      <x:c r="H12" s="6" t="n">
        <x:v>106500</x:v>
      </x:c>
      <x:c r="I12" s="11" t="n">
        <x:v>8</x:v>
      </x:c>
      <x:c r="J12" s="12" t="str">
        <x:v>D80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42500</x:v>
      </x:c>
      <x:c r="D13" s="6" t="n">
        <x:v>22500</x:v>
      </x:c>
      <x:c r="E13" s="6" t="n">
        <x:f>C13-D13</x:f>
        <x:v>20000</x:v>
      </x:c>
      <x:c r="F13" s="6" t="n">
        <x:f>F12+E13</x:f>
        <x:v>55500</x:v>
      </x:c>
      <x:c r="G13" s="6" t="n">
        <x:v>-65000</x:v>
      </x:c>
      <x:c r="H13" s="6" t="n">
        <x:v>65000</x:v>
      </x:c>
      <x:c r="I13" s="11" t="n">
        <x:v>4</x:v>
      </x:c>
      <x:c r="J13" s="12" t="str">
        <x:v>D80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113500</x:v>
      </x:c>
      <x:c r="D14" s="6" t="n">
        <x:v>50000</x:v>
      </x:c>
      <x:c r="E14" s="6" t="n">
        <x:f>C14-D14</x:f>
        <x:v>63500</x:v>
      </x:c>
      <x:c r="F14" s="6" t="n">
        <x:f>F13+E14</x:f>
        <x:v>119000</x:v>
      </x:c>
      <x:c r="G14" s="6" t="n">
        <x:v>-10000</x:v>
      </x:c>
      <x:c r="H14" s="6" t="n">
        <x:v>77000</x:v>
      </x:c>
      <x:c r="I14" s="11" t="n">
        <x:v>5</x:v>
      </x:c>
      <x:c r="J14" s="12" t="str">
        <x:v>D80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12500</x:v>
      </x:c>
      <x:c r="E15" s="6" t="n">
        <x:f>C15-D15</x:f>
        <x:v>4500</x:v>
      </x:c>
      <x:c r="F15" s="6" t="n">
        <x:f>F14+E15</x:f>
        <x:v>123500</x:v>
      </x:c>
      <x:c r="G15" s="6" t="n">
        <x:v>-20000</x:v>
      </x:c>
      <x:c r="H15" s="6" t="n">
        <x:v>21000</x:v>
      </x:c>
      <x:c r="I15" s="11" t="n">
        <x:v>2</x:v>
      </x:c>
      <x:c r="J15" s="12" t="str">
        <x:v>D80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122000</x:v>
      </x:c>
      <x:c r="D16" s="6" t="n">
        <x:v>136500</x:v>
      </x:c>
      <x:c r="E16" s="6" t="n">
        <x:f>C16-D16</x:f>
        <x:v>-14500</x:v>
      </x:c>
      <x:c r="F16" s="6" t="n">
        <x:f>F15+E16</x:f>
        <x:v>109000</x:v>
      </x:c>
      <x:c r="G16" s="6" t="n">
        <x:v>-105500</x:v>
      </x:c>
      <x:c r="H16" s="6" t="n">
        <x:v>145000</x:v>
      </x:c>
      <x:c r="I16" s="11" t="n">
        <x:v>9</x:v>
      </x:c>
      <x:c r="J16" s="12" t="str">
        <x:v>D80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37500</x:v>
      </x:c>
      <x:c r="E17" s="6" t="n">
        <x:f>C17-D17</x:f>
        <x:v>-23500</x:v>
      </x:c>
      <x:c r="F17" s="6" t="n">
        <x:f>F16+E17</x:f>
        <x:v>85500</x:v>
      </x:c>
      <x:c r="G17" s="6" t="n">
        <x:v>-34500</x:v>
      </x:c>
      <x:c r="H17" s="6" t="n">
        <x:v>41500</x:v>
      </x:c>
      <x:c r="I17" s="11" t="n">
        <x:v>5</x:v>
      </x:c>
      <x:c r="J17" s="12" t="str">
        <x:v>D80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220500</x:v>
      </x:c>
      <x:c r="D18" s="6" t="n">
        <x:v>129500</x:v>
      </x:c>
      <x:c r="E18" s="6" t="n">
        <x:f>C18-D18</x:f>
        <x:v>91000</x:v>
      </x:c>
      <x:c r="F18" s="6" t="n">
        <x:f>F17+E18</x:f>
        <x:v>176500</x:v>
      </x:c>
      <x:c r="G18" s="6" t="n">
        <x:v>-115000</x:v>
      </x:c>
      <x:c r="H18" s="6" t="n">
        <x:v>209000</x:v>
      </x:c>
      <x:c r="I18" s="11" t="n">
        <x:v>14</x:v>
      </x:c>
      <x:c r="J18" s="12" t="str">
        <x:v>D80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22500</x:v>
      </x:c>
      <x:c r="E19" s="6" t="n">
        <x:f>C19-D19</x:f>
        <x:v>67500</x:v>
      </x:c>
      <x:c r="F19" s="6" t="n">
        <x:f>F18+E19</x:f>
        <x:v>244000</x:v>
      </x:c>
      <x:c r="G19" s="6" t="n">
        <x:v>-30000</x:v>
      </x:c>
      <x:c r="H19" s="6" t="n">
        <x:v>70000</x:v>
      </x:c>
      <x:c r="I19" s="11" t="n">
        <x:v>6</x:v>
      </x:c>
      <x:c r="J19" s="12" t="str">
        <x:v>D80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73500</x:v>
      </x:c>
      <x:c r="E20" s="6" t="n">
        <x:f>C20-D20</x:f>
        <x:v>122500</x:v>
      </x:c>
      <x:c r="F20" s="6" t="n">
        <x:f>F19+E20</x:f>
        <x:v>366500</x:v>
      </x:c>
      <x:c r="G20" s="6" t="n">
        <x:v>-69500</x:v>
      </x:c>
      <x:c r="H20" s="6" t="n">
        <x:v>88500</x:v>
      </x:c>
      <x:c r="I20" s="11" t="n">
        <x:v>6</x:v>
      </x:c>
      <x:c r="J20" s="12" t="str">
        <x:v>D80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99000</x:v>
      </x:c>
      <x:c r="D21" s="6" t="n">
        <x:v>28500</x:v>
      </x:c>
      <x:c r="E21" s="6" t="n">
        <x:f>C21-D21</x:f>
        <x:v>70500</x:v>
      </x:c>
      <x:c r="F21" s="6" t="n">
        <x:f>F20+E21</x:f>
        <x:v>437000</x:v>
      </x:c>
      <x:c r="G21" s="6" t="n">
        <x:v>-52500</x:v>
      </x:c>
      <x:c r="H21" s="6" t="n">
        <x:v>72500</x:v>
      </x:c>
      <x:c r="I21" s="11" t="n">
        <x:v>6</x:v>
      </x:c>
      <x:c r="J21" s="12" t="str">
        <x:v>D80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94500</x:v>
      </x:c>
      <x:c r="E22" s="6" t="n">
        <x:f>C22-D22</x:f>
        <x:v>153500</x:v>
      </x:c>
      <x:c r="F22" s="6" t="n">
        <x:f>F21+E22</x:f>
        <x:v>590500</x:v>
      </x:c>
      <x:c r="G22" s="6" t="n">
        <x:v>-64500</x:v>
      </x:c>
      <x:c r="H22" s="6" t="n">
        <x:v>90000</x:v>
      </x:c>
      <x:c r="I22" s="11" t="n">
        <x:v>5</x:v>
      </x:c>
      <x:c r="J22" s="12" t="str">
        <x:v>D80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218500</x:v>
      </x:c>
      <x:c r="D23" s="6" t="n">
        <x:v>106500</x:v>
      </x:c>
      <x:c r="E23" s="6" t="n">
        <x:f>C23-D23</x:f>
        <x:v>112000</x:v>
      </x:c>
      <x:c r="F23" s="6" t="n">
        <x:f>F22+E23</x:f>
        <x:v>702500</x:v>
      </x:c>
      <x:c r="G23" s="6" t="n">
        <x:v>-25000</x:v>
      </x:c>
      <x:c r="H23" s="6" t="n">
        <x:v>125500</x:v>
      </x:c>
      <x:c r="I23" s="11" t="n">
        <x:v>16</x:v>
      </x:c>
      <x:c r="J23" s="12" t="str">
        <x:v>D80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70500</x:v>
      </x:c>
      <x:c r="E24" s="6" t="n">
        <x:f>C24-D24</x:f>
        <x:v>-34500</x:v>
      </x:c>
      <x:c r="F24" s="6" t="n">
        <x:f>F23+E24</x:f>
        <x:v>668000</x:v>
      </x:c>
      <x:c r="G24" s="6" t="n">
        <x:v>-73500</x:v>
      </x:c>
      <x:c r="H24" s="6" t="n">
        <x:v>151500</x:v>
      </x:c>
      <x:c r="I24" s="11" t="n">
        <x:v>9</x:v>
      </x:c>
      <x:c r="J24" s="12" t="str">
        <x:v>D80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305000</x:v>
      </x:c>
      <x:c r="D25" s="6" t="n">
        <x:v>52000</x:v>
      </x:c>
      <x:c r="E25" s="6" t="n">
        <x:f>C25-D25</x:f>
        <x:v>253000</x:v>
      </x:c>
      <x:c r="F25" s="6" t="n">
        <x:f>F24+E25</x:f>
        <x:v>921000</x:v>
      </x:c>
      <x:c r="G25" s="6" t="n">
        <x:v>-34000</x:v>
      </x:c>
      <x:c r="H25" s="6" t="n">
        <x:v>133500</x:v>
      </x:c>
      <x:c r="I25" s="11" t="n">
        <x:v>15</x:v>
      </x:c>
      <x:c r="J25" s="12" t="str">
        <x:v>D80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851000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D80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59000</x:v>
      </x:c>
      <x:c r="E27" s="6" t="n">
        <x:f>C27-D27</x:f>
        <x:v>54000</x:v>
      </x:c>
      <x:c r="F27" s="6" t="n">
        <x:f>F26+E27</x:f>
        <x:v>905000</x:v>
      </x:c>
      <x:c r="G27" s="6" t="n">
        <x:v>-23000</x:v>
      </x:c>
      <x:c r="H27" s="6" t="n">
        <x:v>123000</x:v>
      </x:c>
      <x:c r="I27" s="11" t="n">
        <x:v>8</x:v>
      </x:c>
      <x:c r="J27" s="12" t="str">
        <x:v>D80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144500</x:v>
      </x:c>
      <x:c r="E28" s="6" t="n">
        <x:f>C28-D28</x:f>
        <x:v>4500</x:v>
      </x:c>
      <x:c r="F28" s="6" t="n">
        <x:f>F27+E28</x:f>
        <x:v>909500</x:v>
      </x:c>
      <x:c r="G28" s="6" t="n">
        <x:v>-70500</x:v>
      </x:c>
      <x:c r="H28" s="6" t="n">
        <x:v>94500</x:v>
      </x:c>
      <x:c r="I28" s="11" t="n">
        <x:v>10</x:v>
      </x:c>
      <x:c r="J28" s="12" t="str">
        <x:v>D80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899500</x:v>
      </x:c>
      <x:c r="G29" s="6" t="n">
        <x:v>-56000</x:v>
      </x:c>
      <x:c r="H29" s="6" t="n">
        <x:v>56000</x:v>
      </x:c>
      <x:c r="I29" s="11" t="n">
        <x:v>4</x:v>
      </x:c>
      <x:c r="J29" s="12" t="str">
        <x:v>D80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43000</x:v>
      </x:c>
      <x:c r="E30" s="6" t="n">
        <x:f>C30-D30</x:f>
        <x:v>124000</x:v>
      </x:c>
      <x:c r="F30" s="6" t="n">
        <x:f>F29+E30</x:f>
        <x:v>1023500</x:v>
      </x:c>
      <x:c r="G30" s="6" t="n">
        <x:v>-6000</x:v>
      </x:c>
      <x:c r="H30" s="6" t="n">
        <x:v>62000</x:v>
      </x:c>
      <x:c r="I30" s="11" t="n">
        <x:v>7</x:v>
      </x:c>
      <x:c r="J30" s="12" t="str">
        <x:v>D80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1005000</x:v>
      </x:c>
      <x:c r="G31" s="6" t="n">
        <x:v>-30000</x:v>
      </x:c>
      <x:c r="H31" s="6" t="n">
        <x:v>44500</x:v>
      </x:c>
      <x:c r="I31" s="11" t="n">
        <x:v>5</x:v>
      </x:c>
      <x:c r="J31" s="12" t="str">
        <x:v>D80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123000</x:v>
      </x:c>
      <x:c r="D32" s="6" t="n">
        <x:v>99000</x:v>
      </x:c>
      <x:c r="E32" s="6" t="n">
        <x:f>C32-D32</x:f>
        <x:v>24000</x:v>
      </x:c>
      <x:c r="F32" s="6" t="n">
        <x:f>F31+E32</x:f>
        <x:v>1029000</x:v>
      </x:c>
      <x:c r="G32" s="6" t="n">
        <x:v>-90000</x:v>
      </x:c>
      <x:c r="H32" s="6" t="n">
        <x:v>119000</x:v>
      </x:c>
      <x:c r="I32" s="11" t="n">
        <x:v>7</x:v>
      </x:c>
      <x:c r="J32" s="12" t="str">
        <x:v>D80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309000</x:v>
      </x:c>
      <x:c r="D33" s="6" t="n">
        <x:v>49500</x:v>
      </x:c>
      <x:c r="E33" s="6" t="n">
        <x:f>C33-D33</x:f>
        <x:v>259500</x:v>
      </x:c>
      <x:c r="F33" s="6" t="n">
        <x:f>F32+E33</x:f>
        <x:v>1288500</x:v>
      </x:c>
      <x:c r="G33" s="6" t="n">
        <x:v>-34000</x:v>
      </x:c>
      <x:c r="H33" s="6" t="n">
        <x:v>70000</x:v>
      </x:c>
      <x:c r="I33" s="11" t="n">
        <x:v>17</x:v>
      </x:c>
      <x:c r="J33" s="12" t="str">
        <x:v>D80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128500</x:v>
      </x:c>
      <x:c r="D34" s="6" t="n">
        <x:v>77000</x:v>
      </x:c>
      <x:c r="E34" s="6" t="n">
        <x:f>C34-D34</x:f>
        <x:v>51500</x:v>
      </x:c>
      <x:c r="F34" s="6" t="n">
        <x:f>F33+E34</x:f>
        <x:v>1340000</x:v>
      </x:c>
      <x:c r="G34" s="6" t="n">
        <x:v>-44500</x:v>
      </x:c>
      <x:c r="H34" s="6" t="n">
        <x:v>76500</x:v>
      </x:c>
      <x:c r="I34" s="11" t="n">
        <x:v>9</x:v>
      </x:c>
      <x:c r="J34" s="12" t="str">
        <x:v>D80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1394000</x:v>
      </x:c>
      <x:c r="G35" s="6" t="n">
        <x:v>-10000</x:v>
      </x:c>
      <x:c r="H35" s="6" t="n">
        <x:v>60000</x:v>
      </x:c>
      <x:c r="I35" s="11" t="n">
        <x:v>3</x:v>
      </x:c>
      <x:c r="J35" s="12" t="str">
        <x:v>D80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1434000</x:v>
      </x:c>
      <x:c r="G36" s="6" t="n">
        <x:v>-31000</x:v>
      </x:c>
      <x:c r="H36" s="6" t="n">
        <x:v>70000</x:v>
      </x:c>
      <x:c r="I36" s="11" t="n">
        <x:v>3</x:v>
      </x:c>
      <x:c r="J36" s="12" t="str">
        <x:v>D80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1516000</x:v>
      </x:c>
      <x:c r="G37" s="6" t="n">
        <x:v>-10000</x:v>
      </x:c>
      <x:c r="H37" s="6" t="n">
        <x:v>33000</x:v>
      </x:c>
      <x:c r="I37" s="11" t="n">
        <x:v>1</x:v>
      </x:c>
      <x:c r="J37" s="12" t="str">
        <x:v>D80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206500</x:v>
      </x:c>
      <x:c r="D38" s="6" t="n">
        <x:v>144000</x:v>
      </x:c>
      <x:c r="E38" s="6" t="n">
        <x:f>C38-D38</x:f>
        <x:v>62500</x:v>
      </x:c>
      <x:c r="F38" s="6" t="n">
        <x:f>F37+E38</x:f>
        <x:v>1578500</x:v>
      </x:c>
      <x:c r="G38" s="6" t="n">
        <x:v>-54500</x:v>
      </x:c>
      <x:c r="H38" s="6" t="n">
        <x:v>109000</x:v>
      </x:c>
      <x:c r="I38" s="11" t="n">
        <x:v>15</x:v>
      </x:c>
      <x:c r="J38" s="12" t="str">
        <x:v>D80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1540500</x:v>
      </x:c>
      <x:c r="G39" s="6" t="n">
        <x:v>-38000</x:v>
      </x:c>
      <x:c r="H39" s="6" t="n">
        <x:v>58000</x:v>
      </x:c>
      <x:c r="I39" s="11" t="n">
        <x:v>3</x:v>
      </x:c>
      <x:c r="J39" s="12" t="str">
        <x:v>D80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46000</x:v>
      </x:c>
      <x:c r="E40" s="6" t="n">
        <x:f>C40-D40</x:f>
        <x:v>115000</x:v>
      </x:c>
      <x:c r="F40" s="6" t="n">
        <x:f>F39+E40</x:f>
        <x:v>1655500</x:v>
      </x:c>
      <x:c r="G40" s="6" t="n">
        <x:v>-45500</x:v>
      </x:c>
      <x:c r="H40" s="6" t="n">
        <x:v>70000</x:v>
      </x:c>
      <x:c r="I40" s="11" t="n">
        <x:v>5</x:v>
      </x:c>
      <x:c r="J40" s="12" t="str">
        <x:v>D80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48500</x:v>
      </x:c>
      <x:c r="E41" s="6" t="n">
        <x:f>C41-D41</x:f>
        <x:v>163500</x:v>
      </x:c>
      <x:c r="F41" s="6" t="n">
        <x:f>F40+E41</x:f>
        <x:v>1819000</x:v>
      </x:c>
      <x:c r="G41" s="6" t="n">
        <x:v>-38500</x:v>
      </x:c>
      <x:c r="H41" s="6" t="n">
        <x:v>58500</x:v>
      </x:c>
      <x:c r="I41" s="11" t="n">
        <x:v>5</x:v>
      </x:c>
      <x:c r="J41" s="12" t="str">
        <x:v>D80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46000</x:v>
      </x:c>
      <x:c r="E42" s="6" t="n">
        <x:f>C42-D42</x:f>
        <x:v>260000</x:v>
      </x:c>
      <x:c r="F42" s="6" t="n">
        <x:f>F41+E42</x:f>
        <x:v>2079000</x:v>
      </x:c>
      <x:c r="G42" s="6" t="n">
        <x:v>-44000</x:v>
      </x:c>
      <x:c r="H42" s="6" t="n">
        <x:v>118000</x:v>
      </x:c>
      <x:c r="I42" s="11" t="n">
        <x:v>6</x:v>
      </x:c>
      <x:c r="J42" s="12" t="str">
        <x:v>D80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52500</x:v>
      </x:c>
      <x:c r="E43" s="6" t="n">
        <x:f>C43-D43</x:f>
        <x:v>33500</x:v>
      </x:c>
      <x:c r="F43" s="6" t="n">
        <x:f>F42+E43</x:f>
        <x:v>2112500</x:v>
      </x:c>
      <x:c r="G43" s="6" t="n">
        <x:v>-37500</x:v>
      </x:c>
      <x:c r="H43" s="6" t="n">
        <x:v>79500</x:v>
      </x:c>
      <x:c r="I43" s="11" t="n">
        <x:v>7</x:v>
      </x:c>
      <x:c r="J43" s="12" t="str">
        <x:v>D80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230000</x:v>
      </x:c>
      <x:c r="E44" s="6" t="n">
        <x:f>C44-D44</x:f>
        <x:v>-78000</x:v>
      </x:c>
      <x:c r="F44" s="6" t="n">
        <x:f>F43+E44</x:f>
        <x:v>2034500</x:v>
      </x:c>
      <x:c r="G44" s="6" t="n">
        <x:v>-145000</x:v>
      </x:c>
      <x:c r="H44" s="6" t="n">
        <x:v>160000</x:v>
      </x:c>
      <x:c r="I44" s="11" t="n">
        <x:v>14</x:v>
      </x:c>
      <x:c r="J44" s="12" t="str">
        <x:v>D80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169000</x:v>
      </x:c>
      <x:c r="D45" s="6" t="n">
        <x:v>145000</x:v>
      </x:c>
      <x:c r="E45" s="6" t="n">
        <x:f>C45-D45</x:f>
        <x:v>24000</x:v>
      </x:c>
      <x:c r="F45" s="6" t="n">
        <x:f>F44+E45</x:f>
        <x:v>2058500</x:v>
      </x:c>
      <x:c r="G45" s="6" t="n">
        <x:v>-96000</x:v>
      </x:c>
      <x:c r="H45" s="6" t="n">
        <x:v>108500</x:v>
      </x:c>
      <x:c r="I45" s="11" t="n">
        <x:v>14</x:v>
      </x:c>
      <x:c r="J45" s="12" t="str">
        <x:v>D80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179000</x:v>
      </x:c>
      <x:c r="D46" s="6" t="n">
        <x:v>33500</x:v>
      </x:c>
      <x:c r="E46" s="6" t="n">
        <x:f>C46-D46</x:f>
        <x:v>145500</x:v>
      </x:c>
      <x:c r="F46" s="6" t="n">
        <x:f>F45+E46</x:f>
        <x:v>2204000</x:v>
      </x:c>
      <x:c r="G46" s="6" t="n">
        <x:v>-8000</x:v>
      </x:c>
      <x:c r="H46" s="6" t="n">
        <x:v>171000</x:v>
      </x:c>
      <x:c r="I46" s="11" t="n">
        <x:v>4</x:v>
      </x:c>
      <x:c r="J46" s="12" t="str">
        <x:v>D80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122000</x:v>
      </x:c>
      <x:c r="D47" s="6" t="n">
        <x:v>120000</x:v>
      </x:c>
      <x:c r="E47" s="6" t="n">
        <x:f>C47-D47</x:f>
        <x:v>2000</x:v>
      </x:c>
      <x:c r="F47" s="6" t="n">
        <x:f>F46+E47</x:f>
        <x:v>2206000</x:v>
      </x:c>
      <x:c r="G47" s="6" t="n">
        <x:v>-58000</x:v>
      </x:c>
      <x:c r="H47" s="6" t="n">
        <x:v>90000</x:v>
      </x:c>
      <x:c r="I47" s="11" t="n">
        <x:v>14</x:v>
      </x:c>
      <x:c r="J47" s="12" t="str">
        <x:v>D80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203000</x:v>
      </x:c>
      <x:c r="D48" s="6" t="n">
        <x:v>172000</x:v>
      </x:c>
      <x:c r="E48" s="6" t="n">
        <x:f>C48-D48</x:f>
        <x:v>31000</x:v>
      </x:c>
      <x:c r="F48" s="6" t="n">
        <x:f>F47+E48</x:f>
        <x:v>2237000</x:v>
      </x:c>
      <x:c r="G48" s="6" t="n">
        <x:v>-58000</x:v>
      </x:c>
      <x:c r="H48" s="6" t="n">
        <x:v>277000</x:v>
      </x:c>
      <x:c r="I48" s="11" t="n">
        <x:v>13</x:v>
      </x:c>
      <x:c r="J48" s="12" t="str">
        <x:v>D80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146500</x:v>
      </x:c>
      <x:c r="D49" s="6" t="n">
        <x:v>34500</x:v>
      </x:c>
      <x:c r="E49" s="6" t="n">
        <x:f>C49-D49</x:f>
        <x:v>112000</x:v>
      </x:c>
      <x:c r="F49" s="6" t="n">
        <x:f>F48+E49</x:f>
        <x:v>2349000</x:v>
      </x:c>
      <x:c r="G49" s="6" t="n">
        <x:v>-10000</x:v>
      </x:c>
      <x:c r="H49" s="6" t="n">
        <x:v>62500</x:v>
      </x:c>
      <x:c r="I49" s="11" t="n">
        <x:v>11</x:v>
      </x:c>
      <x:c r="J49" s="12" t="str">
        <x:v>D80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86500</x:v>
      </x:c>
      <x:c r="D50" s="6" t="n">
        <x:v>195500</x:v>
      </x:c>
      <x:c r="E50" s="6" t="n">
        <x:f>C50-D50</x:f>
        <x:v>-109000</x:v>
      </x:c>
      <x:c r="F50" s="6" t="n">
        <x:f>F49+E50</x:f>
        <x:v>2240000</x:v>
      </x:c>
      <x:c r="G50" s="6" t="n">
        <x:v>-199000</x:v>
      </x:c>
      <x:c r="H50" s="6" t="n">
        <x:v>199000</x:v>
      </x:c>
      <x:c r="I50" s="11" t="n">
        <x:v>13</x:v>
      </x:c>
      <x:c r="J50" s="12" t="str">
        <x:v>D80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47500</x:v>
      </x:c>
      <x:c r="D51" s="6" t="n">
        <x:v>117000</x:v>
      </x:c>
      <x:c r="E51" s="6" t="n">
        <x:f>C51-D51</x:f>
        <x:v>-69500</x:v>
      </x:c>
      <x:c r="F51" s="6" t="n">
        <x:f>F50+E51</x:f>
        <x:v>2170500</x:v>
      </x:c>
      <x:c r="G51" s="6" t="n">
        <x:v>-69500</x:v>
      </x:c>
      <x:c r="H51" s="6" t="n">
        <x:v>113000</x:v>
      </x:c>
      <x:c r="I51" s="11" t="n">
        <x:v>6</x:v>
      </x:c>
      <x:c r="J51" s="12" t="str">
        <x:v>D80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226500</x:v>
      </x:c>
      <x:c r="D52" s="6" t="n">
        <x:v>30500</x:v>
      </x:c>
      <x:c r="E52" s="6" t="n">
        <x:f>C52-D52</x:f>
        <x:v>196000</x:v>
      </x:c>
      <x:c r="F52" s="6" t="n">
        <x:f>F51+E52</x:f>
        <x:v>2366500</x:v>
      </x:c>
      <x:c r="G52" s="6" t="n">
        <x:v>-12000</x:v>
      </x:c>
      <x:c r="H52" s="6" t="n">
        <x:v>88000</x:v>
      </x:c>
      <x:c r="I52" s="11" t="n">
        <x:v>3</x:v>
      </x:c>
      <x:c r="J52" s="12" t="str">
        <x:v>D80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2522500</x:v>
      </x:c>
      <x:c r="G53" s="6" t="n">
        <x:v>-2000</x:v>
      </x:c>
      <x:c r="H53" s="6" t="n">
        <x:v>64000</x:v>
      </x:c>
      <x:c r="I53" s="11" t="n">
        <x:v>3</x:v>
      </x:c>
      <x:c r="J53" s="12" t="str">
        <x:v>D80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223000</x:v>
      </x:c>
      <x:c r="D54" s="6" t="n">
        <x:v>92000</x:v>
      </x:c>
      <x:c r="E54" s="6" t="n">
        <x:f>C54-D54</x:f>
        <x:v>131000</x:v>
      </x:c>
      <x:c r="F54" s="6" t="n">
        <x:f>F53+E54</x:f>
        <x:v>2653500</x:v>
      </x:c>
      <x:c r="G54" s="6" t="n">
        <x:v>-21000</x:v>
      </x:c>
      <x:c r="H54" s="6" t="n">
        <x:v>73000</x:v>
      </x:c>
      <x:c r="I54" s="11" t="n">
        <x:v>15</x:v>
      </x:c>
      <x:c r="J54" s="12" t="str">
        <x:v>D80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68000</x:v>
      </x:c>
      <x:c r="D55" s="6" t="n">
        <x:v>66000</x:v>
      </x:c>
      <x:c r="E55" s="6" t="n">
        <x:f>C55-D55</x:f>
        <x:v>2000</x:v>
      </x:c>
      <x:c r="F55" s="6" t="n">
        <x:f>F54+E55</x:f>
        <x:v>2655500</x:v>
      </x:c>
      <x:c r="G55" s="6" t="n">
        <x:v>-30000</x:v>
      </x:c>
      <x:c r="H55" s="6" t="n">
        <x:v>86500</x:v>
      </x:c>
      <x:c r="I55" s="11" t="n">
        <x:v>11</x:v>
      </x:c>
      <x:c r="J55" s="12" t="str">
        <x:v>D80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148000</x:v>
      </x:c>
      <x:c r="D56" s="6" t="n">
        <x:v>184500</x:v>
      </x:c>
      <x:c r="E56" s="6" t="n">
        <x:f>C56-D56</x:f>
        <x:v>-36500</x:v>
      </x:c>
      <x:c r="F56" s="6" t="n">
        <x:f>F55+E56</x:f>
        <x:v>2619000</x:v>
      </x:c>
      <x:c r="G56" s="6" t="n">
        <x:v>-132500</x:v>
      </x:c>
      <x:c r="H56" s="6" t="n">
        <x:v>214500</x:v>
      </x:c>
      <x:c r="I56" s="11" t="n">
        <x:v>7</x:v>
      </x:c>
      <x:c r="J56" s="12" t="str">
        <x:v>D80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108000</x:v>
      </x:c>
      <x:c r="E57" s="6" t="n">
        <x:f>C57-D57</x:f>
        <x:v>-20000</x:v>
      </x:c>
      <x:c r="F57" s="6" t="n">
        <x:f>F56+E57</x:f>
        <x:v>2599000</x:v>
      </x:c>
      <x:c r="G57" s="6" t="n">
        <x:v>-22000</x:v>
      </x:c>
      <x:c r="H57" s="6" t="n">
        <x:v>120000</x:v>
      </x:c>
      <x:c r="I57" s="11" t="n">
        <x:v>12</x:v>
      </x:c>
      <x:c r="J57" s="12" t="str">
        <x:v>D80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217500</x:v>
      </x:c>
      <x:c r="E58" s="6" t="n">
        <x:f>C58-D58</x:f>
        <x:v>-93500</x:v>
      </x:c>
      <x:c r="F58" s="6" t="n">
        <x:f>F57+E58</x:f>
        <x:v>2505500</x:v>
      </x:c>
      <x:c r="G58" s="6" t="n">
        <x:v>-111500</x:v>
      </x:c>
      <x:c r="H58" s="6" t="n">
        <x:v>179500</x:v>
      </x:c>
      <x:c r="I58" s="11" t="n">
        <x:v>15</x:v>
      </x:c>
      <x:c r="J58" s="12" t="str">
        <x:v>D80</x:v>
      </x:c>
    </x:row>
    <x:row r="59" ht="25" customHeight="1">
      <x:c r="A59" s="16" t="str">
        <x:v>累計／場内最悪値</x:v>
      </x:c>
      <x:c r="B59" s="16"/>
      <x:c r="C59" s="17" t="n">
        <x:f>SUM(C6:C58)</x:f>
        <x:v>6462500</x:v>
      </x:c>
      <x:c r="D59" s="17" t="n">
        <x:f>SUM(D6:D58)</x:f>
        <x:v>3957000</x:v>
      </x:c>
      <x:c r="E59" s="17" t="n">
        <x:f>C59-D59</x:f>
        <x:v>2505500</x:v>
      </x:c>
      <x:c r="F59" s="17" t="n">
        <x:f>F58</x:f>
        <x:v>2505500</x:v>
      </x:c>
      <x:c r="G59" s="17" t="n">
        <x:f>MIN(G6:G58)</x:f>
        <x:v>-199000</x:v>
      </x:c>
      <x:c r="H59" s="17" t="n">
        <x:f>MAX(H6:H58)</x:f>
        <x:v>277000</x:v>
      </x:c>
      <x:c r="I59" s="18" t="n">
        <x:f>SUM(I6:I58)</x:f>
        <x:v>403</x:v>
      </x:c>
      <x:c r="J59" s="17"/>
    </x:row>
  </x:sheetData>
  <x:conditionalFormatting sqref="E6:G58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f126d902f04d9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G40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40円逆行と短期逆進行で一度半量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G40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G40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G40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7000</x:v>
      </x:c>
      <x:c r="E9" s="6" t="n">
        <x:f>C9-D9</x:f>
        <x:v>40000</x:v>
      </x:c>
      <x:c r="F9" s="6" t="n">
        <x:f>F8+E9</x:f>
        <x:v>-45000</x:v>
      </x:c>
      <x:c r="G9" s="6" t="n">
        <x:v>-45000</x:v>
      </x:c>
      <x:c r="H9" s="6" t="n">
        <x:v>55000</x:v>
      </x:c>
      <x:c r="I9" s="11" t="n">
        <x:v>2</x:v>
      </x:c>
      <x:c r="J9" s="12" t="str">
        <x:v>G40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5000</x:v>
      </x:c>
      <x:c r="G10" s="6" t="n">
        <x:v>-15000</x:v>
      </x:c>
      <x:c r="H10" s="6" t="n">
        <x:v>40000</x:v>
      </x:c>
      <x:c r="I10" s="11" t="n">
        <x:v>1</x:v>
      </x:c>
      <x:c r="J10" s="12" t="str">
        <x:v>G40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-31000</x:v>
      </x:c>
      <x:c r="G11" s="6" t="n">
        <x:v>-44000</x:v>
      </x:c>
      <x:c r="H11" s="6" t="n">
        <x:v>44000</x:v>
      </x:c>
      <x:c r="I11" s="11" t="n">
        <x:v>3</x:v>
      </x:c>
      <x:c r="J11" s="12" t="str">
        <x:v>G40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121500</x:v>
      </x:c>
      <x:c r="D12" s="6" t="n">
        <x:v>72000</x:v>
      </x:c>
      <x:c r="E12" s="6" t="n">
        <x:f>C12-D12</x:f>
        <x:v>49500</x:v>
      </x:c>
      <x:c r="F12" s="6" t="n">
        <x:f>F11+E12</x:f>
        <x:v>18500</x:v>
      </x:c>
      <x:c r="G12" s="6" t="n">
        <x:v>-47500</x:v>
      </x:c>
      <x:c r="H12" s="6" t="n">
        <x:v>111500</x:v>
      </x:c>
      <x:c r="I12" s="11" t="n">
        <x:v>8</x:v>
      </x:c>
      <x:c r="J12" s="12" t="str">
        <x:v>G40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68500</x:v>
      </x:c>
      <x:c r="G13" s="6" t="n">
        <x:v>-85000</x:v>
      </x:c>
      <x:c r="H13" s="6" t="n">
        <x:v>90000</x:v>
      </x:c>
      <x:c r="I13" s="11" t="n">
        <x:v>4</x:v>
      </x:c>
      <x:c r="J13" s="12" t="str">
        <x:v>G40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113500</x:v>
      </x:c>
      <x:c r="D14" s="6" t="n">
        <x:v>33000</x:v>
      </x:c>
      <x:c r="E14" s="6" t="n">
        <x:f>C14-D14</x:f>
        <x:v>80500</x:v>
      </x:c>
      <x:c r="F14" s="6" t="n">
        <x:f>F13+E14</x:f>
        <x:v>149000</x:v>
      </x:c>
      <x:c r="G14" s="6" t="n">
        <x:v>-4000</x:v>
      </x:c>
      <x:c r="H14" s="6" t="n">
        <x:v>69500</x:v>
      </x:c>
      <x:c r="I14" s="11" t="n">
        <x:v>5</x:v>
      </x:c>
      <x:c r="J14" s="12" t="str">
        <x:v>G40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13500</x:v>
      </x:c>
      <x:c r="E15" s="6" t="n">
        <x:f>C15-D15</x:f>
        <x:v>3500</x:v>
      </x:c>
      <x:c r="F15" s="6" t="n">
        <x:f>F14+E15</x:f>
        <x:v>152500</x:v>
      </x:c>
      <x:c r="G15" s="6" t="n">
        <x:v>-16000</x:v>
      </x:c>
      <x:c r="H15" s="6" t="n">
        <x:v>23000</x:v>
      </x:c>
      <x:c r="I15" s="11" t="n">
        <x:v>2</x:v>
      </x:c>
      <x:c r="J15" s="12" t="str">
        <x:v>G40</x:v>
      </x:c>
    </x:row>
    <x:row r="16" ht="25" customHeight="1">
      <x:c r="A16" s="2" t="str">
        <x:v>2026-09-28_Day</x:v>
      </x:c>
      <x:c r="B16" s="2" t="str">
        <x:v>前30場</x:v>
      </x:c>
      <x:c r="C16" s="6" t="n">
        <x:v>69000</x:v>
      </x:c>
      <x:c r="D16" s="6" t="n">
        <x:v>138500</x:v>
      </x:c>
      <x:c r="E16" s="6" t="n">
        <x:f>C16-D16</x:f>
        <x:v>-69500</x:v>
      </x:c>
      <x:c r="F16" s="6" t="n">
        <x:f>F15+E16</x:f>
        <x:v>83000</x:v>
      </x:c>
      <x:c r="G16" s="6" t="n">
        <x:v>-89000</x:v>
      </x:c>
      <x:c r="H16" s="6" t="n">
        <x:v>102500</x:v>
      </x:c>
      <x:c r="I16" s="11" t="n">
        <x:v>9</x:v>
      </x:c>
      <x:c r="J16" s="12" t="str">
        <x:v>G40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58000</x:v>
      </x:c>
      <x:c r="G17" s="6" t="n">
        <x:v>-36000</x:v>
      </x:c>
      <x:c r="H17" s="6" t="n">
        <x:v>43000</x:v>
      </x:c>
      <x:c r="I17" s="11" t="n">
        <x:v>5</x:v>
      </x:c>
      <x:c r="J17" s="12" t="str">
        <x:v>G40</x:v>
      </x:c>
    </x:row>
    <x:row r="18" ht="25" customHeight="1">
      <x:c r="A18" s="2" t="str">
        <x:v>2026-09-29_Day</x:v>
      </x:c>
      <x:c r="B18" s="2" t="str">
        <x:v>前30場</x:v>
      </x:c>
      <x:c r="C18" s="6" t="n">
        <x:v>174500</x:v>
      </x:c>
      <x:c r="D18" s="6" t="n">
        <x:v>133000</x:v>
      </x:c>
      <x:c r="E18" s="6" t="n">
        <x:f>C18-D18</x:f>
        <x:v>41500</x:v>
      </x:c>
      <x:c r="F18" s="6" t="n">
        <x:f>F17+E18</x:f>
        <x:v>99500</x:v>
      </x:c>
      <x:c r="G18" s="6" t="n">
        <x:v>-105500</x:v>
      </x:c>
      <x:c r="H18" s="6" t="n">
        <x:v>137500</x:v>
      </x:c>
      <x:c r="I18" s="11" t="n">
        <x:v>14</x:v>
      </x:c>
      <x:c r="J18" s="12" t="str">
        <x:v>G40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58000</x:v>
      </x:c>
      <x:c r="D19" s="6" t="n">
        <x:v>35000</x:v>
      </x:c>
      <x:c r="E19" s="6" t="n">
        <x:f>C19-D19</x:f>
        <x:v>23000</x:v>
      </x:c>
      <x:c r="F19" s="6" t="n">
        <x:f>F18+E19</x:f>
        <x:v>122500</x:v>
      </x:c>
      <x:c r="G19" s="6" t="n">
        <x:v>-22000</x:v>
      </x:c>
      <x:c r="H19" s="6" t="n">
        <x:v>62500</x:v>
      </x:c>
      <x:c r="I19" s="11" t="n">
        <x:v>6</x:v>
      </x:c>
      <x:c r="J19" s="12" t="str">
        <x:v>G40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241500</x:v>
      </x:c>
      <x:c r="G20" s="6" t="n">
        <x:v>-72000</x:v>
      </x:c>
      <x:c r="H20" s="6" t="n">
        <x:v>91000</x:v>
      </x:c>
      <x:c r="I20" s="11" t="n">
        <x:v>6</x:v>
      </x:c>
      <x:c r="J20" s="12" t="str">
        <x:v>G40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89500</x:v>
      </x:c>
      <x:c r="D21" s="6" t="n">
        <x:v>30500</x:v>
      </x:c>
      <x:c r="E21" s="6" t="n">
        <x:f>C21-D21</x:f>
        <x:v>59000</x:v>
      </x:c>
      <x:c r="F21" s="6" t="n">
        <x:f>F20+E21</x:f>
        <x:v>300500</x:v>
      </x:c>
      <x:c r="G21" s="6" t="n">
        <x:v>-55000</x:v>
      </x:c>
      <x:c r="H21" s="6" t="n">
        <x:v>75000</x:v>
      </x:c>
      <x:c r="I21" s="11" t="n">
        <x:v>6</x:v>
      </x:c>
      <x:c r="J21" s="12" t="str">
        <x:v>G40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78500</x:v>
      </x:c>
      <x:c r="E22" s="6" t="n">
        <x:f>C22-D22</x:f>
        <x:v>169500</x:v>
      </x:c>
      <x:c r="F22" s="6" t="n">
        <x:f>F21+E22</x:f>
        <x:v>470000</x:v>
      </x:c>
      <x:c r="G22" s="6" t="n">
        <x:v>-54500</x:v>
      </x:c>
      <x:c r="H22" s="6" t="n">
        <x:v>90000</x:v>
      </x:c>
      <x:c r="I22" s="11" t="n">
        <x:v>5</x:v>
      </x:c>
      <x:c r="J22" s="12" t="str">
        <x:v>G40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226000</x:v>
      </x:c>
      <x:c r="D23" s="6" t="n">
        <x:v>74500</x:v>
      </x:c>
      <x:c r="E23" s="6" t="n">
        <x:f>C23-D23</x:f>
        <x:v>151500</x:v>
      </x:c>
      <x:c r="F23" s="6" t="n">
        <x:f>F22+E23</x:f>
        <x:v>621500</x:v>
      </x:c>
      <x:c r="G23" s="6" t="n">
        <x:v>-25000</x:v>
      </x:c>
      <x:c r="H23" s="6" t="n">
        <x:v>121500</x:v>
      </x:c>
      <x:c r="I23" s="11" t="n">
        <x:v>16</x:v>
      </x:c>
      <x:c r="J23" s="12" t="str">
        <x:v>G40</x:v>
      </x:c>
    </x:row>
    <x:row r="24" ht="25" customHeight="1">
      <x:c r="A24" s="2" t="str">
        <x:v>2026-10-02_Day</x:v>
      </x:c>
      <x:c r="B24" s="2" t="str">
        <x:v>前30場</x:v>
      </x:c>
      <x:c r="C24" s="6" t="n">
        <x:v>28000</x:v>
      </x:c>
      <x:c r="D24" s="6" t="n">
        <x:v>65000</x:v>
      </x:c>
      <x:c r="E24" s="6" t="n">
        <x:f>C24-D24</x:f>
        <x:v>-37000</x:v>
      </x:c>
      <x:c r="F24" s="6" t="n">
        <x:f>F23+E24</x:f>
        <x:v>584500</x:v>
      </x:c>
      <x:c r="G24" s="6" t="n">
        <x:v>-76000</x:v>
      </x:c>
      <x:c r="H24" s="6" t="n">
        <x:v>141500</x:v>
      </x:c>
      <x:c r="I24" s="11" t="n">
        <x:v>9</x:v>
      </x:c>
      <x:c r="J24" s="12" t="str">
        <x:v>G40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262000</x:v>
      </x:c>
      <x:c r="D25" s="6" t="n">
        <x:v>67000</x:v>
      </x:c>
      <x:c r="E25" s="6" t="n">
        <x:f>C25-D25</x:f>
        <x:v>195000</x:v>
      </x:c>
      <x:c r="F25" s="6" t="n">
        <x:f>F24+E25</x:f>
        <x:v>779500</x:v>
      </x:c>
      <x:c r="G25" s="6" t="n">
        <x:v>-29000</x:v>
      </x:c>
      <x:c r="H25" s="6" t="n">
        <x:v>100000</x:v>
      </x:c>
      <x:c r="I25" s="11" t="n">
        <x:v>15</x:v>
      </x:c>
      <x:c r="J25" s="12" t="str">
        <x:v>G40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158500</x:v>
      </x:c>
      <x:c r="E26" s="6" t="n">
        <x:f>C26-D26</x:f>
        <x:v>-65500</x:v>
      </x:c>
      <x:c r="F26" s="6" t="n">
        <x:f>F25+E26</x:f>
        <x:v>714000</x:v>
      </x:c>
      <x:c r="G26" s="6" t="n">
        <x:v>-110500</x:v>
      </x:c>
      <x:c r="H26" s="6" t="n">
        <x:v>162500</x:v>
      </x:c>
      <x:c r="I26" s="11" t="n">
        <x:v>12</x:v>
      </x:c>
      <x:c r="J26" s="12" t="str">
        <x:v>G40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64000</x:v>
      </x:c>
      <x:c r="D27" s="6" t="n">
        <x:v>83000</x:v>
      </x:c>
      <x:c r="E27" s="6" t="n">
        <x:f>C27-D27</x:f>
        <x:v>-19000</x:v>
      </x:c>
      <x:c r="F27" s="6" t="n">
        <x:f>F26+E27</x:f>
        <x:v>695000</x:v>
      </x:c>
      <x:c r="G27" s="6" t="n">
        <x:v>-23000</x:v>
      </x:c>
      <x:c r="H27" s="6" t="n">
        <x:v>96000</x:v>
      </x:c>
      <x:c r="I27" s="11" t="n">
        <x:v>8</x:v>
      </x:c>
      <x:c r="J27" s="12" t="str">
        <x:v>G40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132000</x:v>
      </x:c>
      <x:c r="E28" s="6" t="n">
        <x:f>C28-D28</x:f>
        <x:v>17000</x:v>
      </x:c>
      <x:c r="F28" s="6" t="n">
        <x:f>F27+E28</x:f>
        <x:v>712000</x:v>
      </x:c>
      <x:c r="G28" s="6" t="n">
        <x:v>-58000</x:v>
      </x:c>
      <x:c r="H28" s="6" t="n">
        <x:v>82000</x:v>
      </x:c>
      <x:c r="I28" s="11" t="n">
        <x:v>10</x:v>
      </x:c>
      <x:c r="J28" s="12" t="str">
        <x:v>G40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702000</x:v>
      </x:c>
      <x:c r="G29" s="6" t="n">
        <x:v>-56000</x:v>
      </x:c>
      <x:c r="H29" s="6" t="n">
        <x:v>56000</x:v>
      </x:c>
      <x:c r="I29" s="11" t="n">
        <x:v>4</x:v>
      </x:c>
      <x:c r="J29" s="12" t="str">
        <x:v>G40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39000</x:v>
      </x:c>
      <x:c r="E30" s="6" t="n">
        <x:f>C30-D30</x:f>
        <x:v>128000</x:v>
      </x:c>
      <x:c r="F30" s="6" t="n">
        <x:f>F29+E30</x:f>
        <x:v>830000</x:v>
      </x:c>
      <x:c r="G30" s="6" t="n">
        <x:v>-6000</x:v>
      </x:c>
      <x:c r="H30" s="6" t="n">
        <x:v>62000</x:v>
      </x:c>
      <x:c r="I30" s="11" t="n">
        <x:v>7</x:v>
      </x:c>
      <x:c r="J30" s="12" t="str">
        <x:v>G40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811500</x:v>
      </x:c>
      <x:c r="G31" s="6" t="n">
        <x:v>-30000</x:v>
      </x:c>
      <x:c r="H31" s="6" t="n">
        <x:v>44500</x:v>
      </x:c>
      <x:c r="I31" s="11" t="n">
        <x:v>5</x:v>
      </x:c>
      <x:c r="J31" s="12" t="str">
        <x:v>G40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123000</x:v>
      </x:c>
      <x:c r="D32" s="6" t="n">
        <x:v>95000</x:v>
      </x:c>
      <x:c r="E32" s="6" t="n">
        <x:f>C32-D32</x:f>
        <x:v>28000</x:v>
      </x:c>
      <x:c r="F32" s="6" t="n">
        <x:f>F31+E32</x:f>
        <x:v>839500</x:v>
      </x:c>
      <x:c r="G32" s="6" t="n">
        <x:v>-86000</x:v>
      </x:c>
      <x:c r="H32" s="6" t="n">
        <x:v>119000</x:v>
      </x:c>
      <x:c r="I32" s="11" t="n">
        <x:v>7</x:v>
      </x:c>
      <x:c r="J32" s="12" t="str">
        <x:v>G40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309000</x:v>
      </x:c>
      <x:c r="D33" s="6" t="n">
        <x:v>43000</x:v>
      </x:c>
      <x:c r="E33" s="6" t="n">
        <x:f>C33-D33</x:f>
        <x:v>266000</x:v>
      </x:c>
      <x:c r="F33" s="6" t="n">
        <x:f>F32+E33</x:f>
        <x:v>1105500</x:v>
      </x:c>
      <x:c r="G33" s="6" t="n">
        <x:v>-29500</x:v>
      </x:c>
      <x:c r="H33" s="6" t="n">
        <x:v>68500</x:v>
      </x:c>
      <x:c r="I33" s="11" t="n">
        <x:v>17</x:v>
      </x:c>
      <x:c r="J33" s="12" t="str">
        <x:v>G40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128500</x:v>
      </x:c>
      <x:c r="D34" s="6" t="n">
        <x:v>65000</x:v>
      </x:c>
      <x:c r="E34" s="6" t="n">
        <x:f>C34-D34</x:f>
        <x:v>63500</x:v>
      </x:c>
      <x:c r="F34" s="6" t="n">
        <x:f>F33+E34</x:f>
        <x:v>1169000</x:v>
      </x:c>
      <x:c r="G34" s="6" t="n">
        <x:v>-37500</x:v>
      </x:c>
      <x:c r="H34" s="6" t="n">
        <x:v>73500</x:v>
      </x:c>
      <x:c r="I34" s="11" t="n">
        <x:v>9</x:v>
      </x:c>
      <x:c r="J34" s="12" t="str">
        <x:v>G40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48000</x:v>
      </x:c>
      <x:c r="D35" s="6" t="n">
        <x:v>16000</x:v>
      </x:c>
      <x:c r="E35" s="6" t="n">
        <x:f>C35-D35</x:f>
        <x:v>32000</x:v>
      </x:c>
      <x:c r="F35" s="6" t="n">
        <x:f>F34+E35</x:f>
        <x:v>1201000</x:v>
      </x:c>
      <x:c r="G35" s="6" t="n">
        <x:v>-10000</x:v>
      </x:c>
      <x:c r="H35" s="6" t="n">
        <x:v>60000</x:v>
      </x:c>
      <x:c r="I35" s="11" t="n">
        <x:v>3</x:v>
      </x:c>
      <x:c r="J35" s="12" t="str">
        <x:v>G40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1241000</x:v>
      </x:c>
      <x:c r="G36" s="6" t="n">
        <x:v>-31000</x:v>
      </x:c>
      <x:c r="H36" s="6" t="n">
        <x:v>70000</x:v>
      </x:c>
      <x:c r="I36" s="11" t="n">
        <x:v>3</x:v>
      </x:c>
      <x:c r="J36" s="12" t="str">
        <x:v>G40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1323000</x:v>
      </x:c>
      <x:c r="G37" s="6" t="n">
        <x:v>-10000</x:v>
      </x:c>
      <x:c r="H37" s="6" t="n">
        <x:v>33000</x:v>
      </x:c>
      <x:c r="I37" s="11" t="n">
        <x:v>1</x:v>
      </x:c>
      <x:c r="J37" s="12" t="str">
        <x:v>G40</x:v>
      </x:c>
    </x:row>
    <x:row r="38" ht="25" customHeight="1">
      <x:c r="A38" s="2" t="str">
        <x:v>2026-10-13_Day</x:v>
      </x:c>
      <x:c r="B38" s="2" t="str">
        <x:v>次10場</x:v>
      </x:c>
      <x:c r="C38" s="6" t="n">
        <x:v>144000</x:v>
      </x:c>
      <x:c r="D38" s="6" t="n">
        <x:v>154000</x:v>
      </x:c>
      <x:c r="E38" s="6" t="n">
        <x:f>C38-D38</x:f>
        <x:v>-10000</x:v>
      </x:c>
      <x:c r="F38" s="6" t="n">
        <x:f>F37+E38</x:f>
        <x:v>1313000</x:v>
      </x:c>
      <x:c r="G38" s="6" t="n">
        <x:v>-48500</x:v>
      </x:c>
      <x:c r="H38" s="6" t="n">
        <x:v>76000</x:v>
      </x:c>
      <x:c r="I38" s="11" t="n">
        <x:v>15</x:v>
      </x:c>
      <x:c r="J38" s="12" t="str">
        <x:v>G40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45000</x:v>
      </x:c>
      <x:c r="E39" s="6" t="n">
        <x:f>C39-D39</x:f>
        <x:v>-30000</x:v>
      </x:c>
      <x:c r="F39" s="6" t="n">
        <x:f>F38+E39</x:f>
        <x:v>1283000</x:v>
      </x:c>
      <x:c r="G39" s="6" t="n">
        <x:v>-30000</x:v>
      </x:c>
      <x:c r="H39" s="6" t="n">
        <x:v>50000</x:v>
      </x:c>
      <x:c r="I39" s="11" t="n">
        <x:v>3</x:v>
      </x:c>
      <x:c r="J39" s="12" t="str">
        <x:v>G40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41000</x:v>
      </x:c>
      <x:c r="E40" s="6" t="n">
        <x:f>C40-D40</x:f>
        <x:v>120000</x:v>
      </x:c>
      <x:c r="F40" s="6" t="n">
        <x:f>F39+E40</x:f>
        <x:v>1403000</x:v>
      </x:c>
      <x:c r="G40" s="6" t="n">
        <x:v>-42500</x:v>
      </x:c>
      <x:c r="H40" s="6" t="n">
        <x:v>70000</x:v>
      </x:c>
      <x:c r="I40" s="11" t="n">
        <x:v>5</x:v>
      </x:c>
      <x:c r="J40" s="12" t="str">
        <x:v>G40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48000</x:v>
      </x:c>
      <x:c r="E41" s="6" t="n">
        <x:f>C41-D41</x:f>
        <x:v>164000</x:v>
      </x:c>
      <x:c r="F41" s="6" t="n">
        <x:f>F40+E41</x:f>
        <x:v>1567000</x:v>
      </x:c>
      <x:c r="G41" s="6" t="n">
        <x:v>-34500</x:v>
      </x:c>
      <x:c r="H41" s="6" t="n">
        <x:v>56000</x:v>
      </x:c>
      <x:c r="I41" s="11" t="n">
        <x:v>5</x:v>
      </x:c>
      <x:c r="J41" s="12" t="str">
        <x:v>G40</x:v>
      </x:c>
    </x:row>
    <x:row r="42" ht="25" customHeight="1">
      <x:c r="A42" s="2" t="str">
        <x:v>2026-10-15_Day</x:v>
      </x:c>
      <x:c r="B42" s="2" t="str">
        <x:v>次10場</x:v>
      </x:c>
      <x:c r="C42" s="6" t="n">
        <x:v>294000</x:v>
      </x:c>
      <x:c r="D42" s="6" t="n">
        <x:v>52000</x:v>
      </x:c>
      <x:c r="E42" s="6" t="n">
        <x:f>C42-D42</x:f>
        <x:v>242000</x:v>
      </x:c>
      <x:c r="F42" s="6" t="n">
        <x:f>F41+E42</x:f>
        <x:v>1809000</x:v>
      </x:c>
      <x:c r="G42" s="6" t="n">
        <x:v>-56000</x:v>
      </x:c>
      <x:c r="H42" s="6" t="n">
        <x:v>108000</x:v>
      </x:c>
      <x:c r="I42" s="11" t="n">
        <x:v>6</x:v>
      </x:c>
      <x:c r="J42" s="12" t="str">
        <x:v>G40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52500</x:v>
      </x:c>
      <x:c r="D43" s="6" t="n">
        <x:v>63000</x:v>
      </x:c>
      <x:c r="E43" s="6" t="n">
        <x:f>C43-D43</x:f>
        <x:v>-10500</x:v>
      </x:c>
      <x:c r="F43" s="6" t="n">
        <x:f>F42+E43</x:f>
        <x:v>1798500</x:v>
      </x:c>
      <x:c r="G43" s="6" t="n">
        <x:v>-36500</x:v>
      </x:c>
      <x:c r="H43" s="6" t="n">
        <x:v>78500</x:v>
      </x:c>
      <x:c r="I43" s="11" t="n">
        <x:v>7</x:v>
      </x:c>
      <x:c r="J43" s="12" t="str">
        <x:v>G40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145000</x:v>
      </x:c>
      <x:c r="D44" s="6" t="n">
        <x:v>213000</x:v>
      </x:c>
      <x:c r="E44" s="6" t="n">
        <x:f>C44-D44</x:f>
        <x:v>-68000</x:v>
      </x:c>
      <x:c r="F44" s="6" t="n">
        <x:f>F43+E44</x:f>
        <x:v>1730500</x:v>
      </x:c>
      <x:c r="G44" s="6" t="n">
        <x:v>-135000</x:v>
      </x:c>
      <x:c r="H44" s="6" t="n">
        <x:v>150000</x:v>
      </x:c>
      <x:c r="I44" s="11" t="n">
        <x:v>14</x:v>
      </x:c>
      <x:c r="J44" s="12" t="str">
        <x:v>G40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169000</x:v>
      </x:c>
      <x:c r="D45" s="6" t="n">
        <x:v>139500</x:v>
      </x:c>
      <x:c r="E45" s="6" t="n">
        <x:f>C45-D45</x:f>
        <x:v>29500</x:v>
      </x:c>
      <x:c r="F45" s="6" t="n">
        <x:f>F44+E45</x:f>
        <x:v>1760000</x:v>
      </x:c>
      <x:c r="G45" s="6" t="n">
        <x:v>-92500</x:v>
      </x:c>
      <x:c r="H45" s="6" t="n">
        <x:v>110500</x:v>
      </x:c>
      <x:c r="I45" s="11" t="n">
        <x:v>14</x:v>
      </x:c>
      <x:c r="J45" s="12" t="str">
        <x:v>G40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179000</x:v>
      </x:c>
      <x:c r="D46" s="6" t="n">
        <x:v>31000</x:v>
      </x:c>
      <x:c r="E46" s="6" t="n">
        <x:f>C46-D46</x:f>
        <x:v>148000</x:v>
      </x:c>
      <x:c r="F46" s="6" t="n">
        <x:f>F45+E46</x:f>
        <x:v>1908000</x:v>
      </x:c>
      <x:c r="G46" s="6" t="n">
        <x:v>-8000</x:v>
      </x:c>
      <x:c r="H46" s="6" t="n">
        <x:v>176000</x:v>
      </x:c>
      <x:c r="I46" s="11" t="n">
        <x:v>4</x:v>
      </x:c>
      <x:c r="J46" s="12" t="str">
        <x:v>G40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89000</x:v>
      </x:c>
      <x:c r="E47" s="6" t="n">
        <x:f>C47-D47</x:f>
        <x:v>43000</x:v>
      </x:c>
      <x:c r="F47" s="6" t="n">
        <x:f>F46+E47</x:f>
        <x:v>1951000</x:v>
      </x:c>
      <x:c r="G47" s="6" t="n">
        <x:v>-40000</x:v>
      </x:c>
      <x:c r="H47" s="6" t="n">
        <x:v>82000</x:v>
      </x:c>
      <x:c r="I47" s="11" t="n">
        <x:v>14</x:v>
      </x:c>
      <x:c r="J47" s="12" t="str">
        <x:v>G40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203000</x:v>
      </x:c>
      <x:c r="D48" s="6" t="n">
        <x:v>154500</x:v>
      </x:c>
      <x:c r="E48" s="6" t="n">
        <x:f>C48-D48</x:f>
        <x:v>48500</x:v>
      </x:c>
      <x:c r="F48" s="6" t="n">
        <x:f>F47+E48</x:f>
        <x:v>1999500</x:v>
      </x:c>
      <x:c r="G48" s="6" t="n">
        <x:v>-40500</x:v>
      </x:c>
      <x:c r="H48" s="6" t="n">
        <x:v>261500</x:v>
      </x:c>
      <x:c r="I48" s="11" t="n">
        <x:v>13</x:v>
      </x:c>
      <x:c r="J48" s="12" t="str">
        <x:v>G40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146500</x:v>
      </x:c>
      <x:c r="D49" s="6" t="n">
        <x:v>29500</x:v>
      </x:c>
      <x:c r="E49" s="6" t="n">
        <x:f>C49-D49</x:f>
        <x:v>117000</x:v>
      </x:c>
      <x:c r="F49" s="6" t="n">
        <x:f>F48+E49</x:f>
        <x:v>2116500</x:v>
      </x:c>
      <x:c r="G49" s="6" t="n">
        <x:v>-10000</x:v>
      </x:c>
      <x:c r="H49" s="6" t="n">
        <x:v>57500</x:v>
      </x:c>
      <x:c r="I49" s="11" t="n">
        <x:v>11</x:v>
      </x:c>
      <x:c r="J49" s="12" t="str">
        <x:v>G40</x:v>
      </x:c>
    </x:row>
    <x:row r="50" ht="25" customHeight="1">
      <x:c r="A50" s="2" t="str">
        <x:v>2026-10-21_Day</x:v>
      </x:c>
      <x:c r="B50" s="2" t="str">
        <x:v>後13場</x:v>
      </x:c>
      <x:c r="C50" s="6" t="n">
        <x:v>74000</x:v>
      </x:c>
      <x:c r="D50" s="6" t="n">
        <x:v>180000</x:v>
      </x:c>
      <x:c r="E50" s="6" t="n">
        <x:f>C50-D50</x:f>
        <x:v>-106000</x:v>
      </x:c>
      <x:c r="F50" s="6" t="n">
        <x:f>F49+E50</x:f>
        <x:v>2010500</x:v>
      </x:c>
      <x:c r="G50" s="6" t="n">
        <x:v>-174000</x:v>
      </x:c>
      <x:c r="H50" s="6" t="n">
        <x:v>175500</x:v>
      </x:c>
      <x:c r="I50" s="11" t="n">
        <x:v>13</x:v>
      </x:c>
      <x:c r="J50" s="12" t="str">
        <x:v>G40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47500</x:v>
      </x:c>
      <x:c r="D51" s="6" t="n">
        <x:v>109500</x:v>
      </x:c>
      <x:c r="E51" s="6" t="n">
        <x:f>C51-D51</x:f>
        <x:v>-62000</x:v>
      </x:c>
      <x:c r="F51" s="6" t="n">
        <x:f>F50+E51</x:f>
        <x:v>1948500</x:v>
      </x:c>
      <x:c r="G51" s="6" t="n">
        <x:v>-62000</x:v>
      </x:c>
      <x:c r="H51" s="6" t="n">
        <x:v>113000</x:v>
      </x:c>
      <x:c r="I51" s="11" t="n">
        <x:v>6</x:v>
      </x:c>
      <x:c r="J51" s="12" t="str">
        <x:v>G40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226500</x:v>
      </x:c>
      <x:c r="D52" s="6" t="n">
        <x:v>20500</x:v>
      </x:c>
      <x:c r="E52" s="6" t="n">
        <x:f>C52-D52</x:f>
        <x:v>206000</x:v>
      </x:c>
      <x:c r="F52" s="6" t="n">
        <x:f>F51+E52</x:f>
        <x:v>2154500</x:v>
      </x:c>
      <x:c r="G52" s="6" t="n">
        <x:v>-6000</x:v>
      </x:c>
      <x:c r="H52" s="6" t="n">
        <x:v>78000</x:v>
      </x:c>
      <x:c r="I52" s="11" t="n">
        <x:v>3</x:v>
      </x:c>
      <x:c r="J52" s="12" t="str">
        <x:v>G40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2310500</x:v>
      </x:c>
      <x:c r="G53" s="6" t="n">
        <x:v>-2000</x:v>
      </x:c>
      <x:c r="H53" s="6" t="n">
        <x:v>64000</x:v>
      </x:c>
      <x:c r="I53" s="11" t="n">
        <x:v>3</x:v>
      </x:c>
      <x:c r="J53" s="12" t="str">
        <x:v>G40</x:v>
      </x:c>
    </x:row>
    <x:row r="54" ht="25" customHeight="1">
      <x:c r="A54" s="2" t="str">
        <x:v>2026-10-23_Day</x:v>
      </x:c>
      <x:c r="B54" s="2" t="str">
        <x:v>後13場</x:v>
      </x:c>
      <x:c r="C54" s="6" t="n">
        <x:v>205500</x:v>
      </x:c>
      <x:c r="D54" s="6" t="n">
        <x:v>74000</x:v>
      </x:c>
      <x:c r="E54" s="6" t="n">
        <x:f>C54-D54</x:f>
        <x:v>131500</x:v>
      </x:c>
      <x:c r="F54" s="6" t="n">
        <x:f>F53+E54</x:f>
        <x:v>2442000</x:v>
      </x:c>
      <x:c r="G54" s="6" t="n">
        <x:v>-17000</x:v>
      </x:c>
      <x:c r="H54" s="6" t="n">
        <x:v>52000</x:v>
      </x:c>
      <x:c r="I54" s="11" t="n">
        <x:v>15</x:v>
      </x:c>
      <x:c r="J54" s="12" t="str">
        <x:v>G40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61000</x:v>
      </x:c>
      <x:c r="D55" s="6" t="n">
        <x:v>69000</x:v>
      </x:c>
      <x:c r="E55" s="6" t="n">
        <x:f>C55-D55</x:f>
        <x:v>-8000</x:v>
      </x:c>
      <x:c r="F55" s="6" t="n">
        <x:f>F54+E55</x:f>
        <x:v>2434000</x:v>
      </x:c>
      <x:c r="G55" s="6" t="n">
        <x:v>-47000</x:v>
      </x:c>
      <x:c r="H55" s="6" t="n">
        <x:v>77000</x:v>
      </x:c>
      <x:c r="I55" s="11" t="n">
        <x:v>11</x:v>
      </x:c>
      <x:c r="J55" s="12" t="str">
        <x:v>G40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148000</x:v>
      </x:c>
      <x:c r="D56" s="6" t="n">
        <x:v>164500</x:v>
      </x:c>
      <x:c r="E56" s="6" t="n">
        <x:f>C56-D56</x:f>
        <x:v>-16500</x:v>
      </x:c>
      <x:c r="F56" s="6" t="n">
        <x:f>F55+E56</x:f>
        <x:v>2417500</x:v>
      </x:c>
      <x:c r="G56" s="6" t="n">
        <x:v>-112500</x:v>
      </x:c>
      <x:c r="H56" s="6" t="n">
        <x:v>199500</x:v>
      </x:c>
      <x:c r="I56" s="11" t="n">
        <x:v>7</x:v>
      </x:c>
      <x:c r="J56" s="12" t="str">
        <x:v>G40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102000</x:v>
      </x:c>
      <x:c r="E57" s="6" t="n">
        <x:f>C57-D57</x:f>
        <x:v>-14000</x:v>
      </x:c>
      <x:c r="F57" s="6" t="n">
        <x:f>F56+E57</x:f>
        <x:v>2403500</x:v>
      </x:c>
      <x:c r="G57" s="6" t="n">
        <x:v>-15000</x:v>
      </x:c>
      <x:c r="H57" s="6" t="n">
        <x:v>121000</x:v>
      </x:c>
      <x:c r="I57" s="11" t="n">
        <x:v>12</x:v>
      </x:c>
      <x:c r="J57" s="12" t="str">
        <x:v>G40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204500</x:v>
      </x:c>
      <x:c r="E58" s="6" t="n">
        <x:f>C58-D58</x:f>
        <x:v>-80500</x:v>
      </x:c>
      <x:c r="F58" s="6" t="n">
        <x:f>F57+E58</x:f>
        <x:v>2323000</x:v>
      </x:c>
      <x:c r="G58" s="6" t="n">
        <x:v>-98500</x:v>
      </x:c>
      <x:c r="H58" s="6" t="n">
        <x:v>152500</x:v>
      </x:c>
      <x:c r="I58" s="11" t="n">
        <x:v>15</x:v>
      </x:c>
      <x:c r="J58" s="12" t="str">
        <x:v>G40</x:v>
      </x:c>
    </x:row>
    <x:row r="59" ht="25" customHeight="1">
      <x:c r="A59" s="16" t="str">
        <x:v>累計／場内最悪値</x:v>
      </x:c>
      <x:c r="B59" s="16"/>
      <x:c r="C59" s="17" t="n">
        <x:f>SUM(C6:C58)</x:f>
        <x:v>6067000</x:v>
      </x:c>
      <x:c r="D59" s="17" t="n">
        <x:f>SUM(D6:D58)</x:f>
        <x:v>3744000</x:v>
      </x:c>
      <x:c r="E59" s="17" t="n">
        <x:f>C59-D59</x:f>
        <x:v>2323000</x:v>
      </x:c>
      <x:c r="F59" s="17" t="n">
        <x:f>F58</x:f>
        <x:v>2323000</x:v>
      </x:c>
      <x:c r="G59" s="17" t="n">
        <x:f>MIN(G6:G58)</x:f>
        <x:v>-174000</x:v>
      </x:c>
      <x:c r="H59" s="17" t="n">
        <x:f>MAX(H6:H58)</x:f>
        <x:v>261500</x:v>
      </x:c>
      <x:c r="I59" s="18" t="n">
        <x:f>SUM(I6:I58)</x:f>
        <x:v>403</x:v>
      </x:c>
      <x:c r="J59" s="17"/>
    </x:row>
  </x:sheetData>
  <x:conditionalFormatting sqref="E6:G58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f2b41392b5463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G80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80円逆行と短期逆進行で一度半量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G80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G80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G80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-46000</x:v>
      </x:c>
      <x:c r="G9" s="6" t="n">
        <x:v>-45000</x:v>
      </x:c>
      <x:c r="H9" s="6" t="n">
        <x:v>55000</x:v>
      </x:c>
      <x:c r="I9" s="11" t="n">
        <x:v>2</x:v>
      </x:c>
      <x:c r="J9" s="12" t="str">
        <x:v>G80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4000</x:v>
      </x:c>
      <x:c r="G10" s="6" t="n">
        <x:v>-15000</x:v>
      </x:c>
      <x:c r="H10" s="6" t="n">
        <x:v>40000</x:v>
      </x:c>
      <x:c r="I10" s="11" t="n">
        <x:v>1</x:v>
      </x:c>
      <x:c r="J10" s="12" t="str">
        <x:v>G80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-32000</x:v>
      </x:c>
      <x:c r="G11" s="6" t="n">
        <x:v>-44000</x:v>
      </x:c>
      <x:c r="H11" s="6" t="n">
        <x:v>44000</x:v>
      </x:c>
      <x:c r="I11" s="11" t="n">
        <x:v>3</x:v>
      </x:c>
      <x:c r="J11" s="12" t="str">
        <x:v>G80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143500</x:v>
      </x:c>
      <x:c r="D12" s="6" t="n">
        <x:v>69000</x:v>
      </x:c>
      <x:c r="E12" s="6" t="n">
        <x:f>C12-D12</x:f>
        <x:v>74500</x:v>
      </x:c>
      <x:c r="F12" s="6" t="n">
        <x:f>F11+E12</x:f>
        <x:v>42500</x:v>
      </x:c>
      <x:c r="G12" s="6" t="n">
        <x:v>-22500</x:v>
      </x:c>
      <x:c r="H12" s="6" t="n">
        <x:v>111500</x:v>
      </x:c>
      <x:c r="I12" s="11" t="n">
        <x:v>8</x:v>
      </x:c>
      <x:c r="J12" s="12" t="str">
        <x:v>G80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92500</x:v>
      </x:c>
      <x:c r="G13" s="6" t="n">
        <x:v>-85000</x:v>
      </x:c>
      <x:c r="H13" s="6" t="n">
        <x:v>90000</x:v>
      </x:c>
      <x:c r="I13" s="11" t="n">
        <x:v>4</x:v>
      </x:c>
      <x:c r="J13" s="12" t="str">
        <x:v>G80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146000</x:v>
      </x:c>
      <x:c r="D14" s="6" t="n">
        <x:v>28000</x:v>
      </x:c>
      <x:c r="E14" s="6" t="n">
        <x:f>C14-D14</x:f>
        <x:v>118000</x:v>
      </x:c>
      <x:c r="F14" s="6" t="n">
        <x:f>F13+E14</x:f>
        <x:v>210500</x:v>
      </x:c>
      <x:c r="G14" s="6" t="n">
        <x:v>-10000</x:v>
      </x:c>
      <x:c r="H14" s="6" t="n">
        <x:v>98000</x:v>
      </x:c>
      <x:c r="I14" s="11" t="n">
        <x:v>5</x:v>
      </x:c>
      <x:c r="J14" s="12" t="str">
        <x:v>G80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13500</x:v>
      </x:c>
      <x:c r="E15" s="6" t="n">
        <x:f>C15-D15</x:f>
        <x:v>3500</x:v>
      </x:c>
      <x:c r="F15" s="6" t="n">
        <x:f>F14+E15</x:f>
        <x:v>214000</x:v>
      </x:c>
      <x:c r="G15" s="6" t="n">
        <x:v>-16000</x:v>
      </x:c>
      <x:c r="H15" s="6" t="n">
        <x:v>23000</x:v>
      </x:c>
      <x:c r="I15" s="11" t="n">
        <x:v>2</x:v>
      </x:c>
      <x:c r="J15" s="12" t="str">
        <x:v>G80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122000</x:v>
      </x:c>
      <x:c r="D16" s="6" t="n">
        <x:v>143500</x:v>
      </x:c>
      <x:c r="E16" s="6" t="n">
        <x:f>C16-D16</x:f>
        <x:v>-21500</x:v>
      </x:c>
      <x:c r="F16" s="6" t="n">
        <x:f>F15+E16</x:f>
        <x:v>192500</x:v>
      </x:c>
      <x:c r="G16" s="6" t="n">
        <x:v>-110500</x:v>
      </x:c>
      <x:c r="H16" s="6" t="n">
        <x:v>145000</x:v>
      </x:c>
      <x:c r="I16" s="11" t="n">
        <x:v>9</x:v>
      </x:c>
      <x:c r="J16" s="12" t="str">
        <x:v>G80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167500</x:v>
      </x:c>
      <x:c r="G17" s="6" t="n">
        <x:v>-36000</x:v>
      </x:c>
      <x:c r="H17" s="6" t="n">
        <x:v>43000</x:v>
      </x:c>
      <x:c r="I17" s="11" t="n">
        <x:v>5</x:v>
      </x:c>
      <x:c r="J17" s="12" t="str">
        <x:v>G80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225000</x:v>
      </x:c>
      <x:c r="D18" s="6" t="n">
        <x:v>133000</x:v>
      </x:c>
      <x:c r="E18" s="6" t="n">
        <x:f>C18-D18</x:f>
        <x:v>92000</x:v>
      </x:c>
      <x:c r="F18" s="6" t="n">
        <x:f>F17+E18</x:f>
        <x:v>259500</x:v>
      </x:c>
      <x:c r="G18" s="6" t="n">
        <x:v>-114000</x:v>
      </x:c>
      <x:c r="H18" s="6" t="n">
        <x:v>218000</x:v>
      </x:c>
      <x:c r="I18" s="11" t="n">
        <x:v>14</x:v>
      </x:c>
      <x:c r="J18" s="12" t="str">
        <x:v>G80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22500</x:v>
      </x:c>
      <x:c r="E19" s="6" t="n">
        <x:f>C19-D19</x:f>
        <x:v>67500</x:v>
      </x:c>
      <x:c r="F19" s="6" t="n">
        <x:f>F18+E19</x:f>
        <x:v>327000</x:v>
      </x:c>
      <x:c r="G19" s="6" t="n">
        <x:v>-30000</x:v>
      </x:c>
      <x:c r="H19" s="6" t="n">
        <x:v>70000</x:v>
      </x:c>
      <x:c r="I19" s="11" t="n">
        <x:v>6</x:v>
      </x:c>
      <x:c r="J19" s="12" t="str">
        <x:v>G80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446000</x:v>
      </x:c>
      <x:c r="G20" s="6" t="n">
        <x:v>-72000</x:v>
      </x:c>
      <x:c r="H20" s="6" t="n">
        <x:v>91000</x:v>
      </x:c>
      <x:c r="I20" s="11" t="n">
        <x:v>6</x:v>
      </x:c>
      <x:c r="J20" s="12" t="str">
        <x:v>G80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99000</x:v>
      </x:c>
      <x:c r="D21" s="6" t="n">
        <x:v>31000</x:v>
      </x:c>
      <x:c r="E21" s="6" t="n">
        <x:f>C21-D21</x:f>
        <x:v>68000</x:v>
      </x:c>
      <x:c r="F21" s="6" t="n">
        <x:f>F20+E21</x:f>
        <x:v>514000</x:v>
      </x:c>
      <x:c r="G21" s="6" t="n">
        <x:v>-55000</x:v>
      </x:c>
      <x:c r="H21" s="6" t="n">
        <x:v>75000</x:v>
      </x:c>
      <x:c r="I21" s="11" t="n">
        <x:v>6</x:v>
      </x:c>
      <x:c r="J21" s="12" t="str">
        <x:v>G80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97500</x:v>
      </x:c>
      <x:c r="E22" s="6" t="n">
        <x:f>C22-D22</x:f>
        <x:v>150500</x:v>
      </x:c>
      <x:c r="F22" s="6" t="n">
        <x:f>F21+E22</x:f>
        <x:v>664500</x:v>
      </x:c>
      <x:c r="G22" s="6" t="n">
        <x:v>-64500</x:v>
      </x:c>
      <x:c r="H22" s="6" t="n">
        <x:v>90000</x:v>
      </x:c>
      <x:c r="I22" s="11" t="n">
        <x:v>5</x:v>
      </x:c>
      <x:c r="J22" s="12" t="str">
        <x:v>G80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263000</x:v>
      </x:c>
      <x:c r="D23" s="6" t="n">
        <x:v>84500</x:v>
      </x:c>
      <x:c r="E23" s="6" t="n">
        <x:f>C23-D23</x:f>
        <x:v>178500</x:v>
      </x:c>
      <x:c r="F23" s="6" t="n">
        <x:f>F22+E23</x:f>
        <x:v>843000</x:v>
      </x:c>
      <x:c r="G23" s="6" t="n">
        <x:v>-25000</x:v>
      </x:c>
      <x:c r="H23" s="6" t="n">
        <x:v>137500</x:v>
      </x:c>
      <x:c r="I23" s="11" t="n">
        <x:v>16</x:v>
      </x:c>
      <x:c r="J23" s="12" t="str">
        <x:v>G80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78000</x:v>
      </x:c>
      <x:c r="E24" s="6" t="n">
        <x:f>C24-D24</x:f>
        <x:v>-42000</x:v>
      </x:c>
      <x:c r="F24" s="6" t="n">
        <x:f>F23+E24</x:f>
        <x:v>801000</x:v>
      </x:c>
      <x:c r="G24" s="6" t="n">
        <x:v>-81000</x:v>
      </x:c>
      <x:c r="H24" s="6" t="n">
        <x:v>159000</x:v>
      </x:c>
      <x:c r="I24" s="11" t="n">
        <x:v>9</x:v>
      </x:c>
      <x:c r="J24" s="12" t="str">
        <x:v>G80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313000</x:v>
      </x:c>
      <x:c r="D25" s="6" t="n">
        <x:v>49000</x:v>
      </x:c>
      <x:c r="E25" s="6" t="n">
        <x:f>C25-D25</x:f>
        <x:v>264000</x:v>
      </x:c>
      <x:c r="F25" s="6" t="n">
        <x:f>F24+E25</x:f>
        <x:v>1065000</x:v>
      </x:c>
      <x:c r="G25" s="6" t="n">
        <x:v>-34000</x:v>
      </x:c>
      <x:c r="H25" s="6" t="n">
        <x:v>154000</x:v>
      </x:c>
      <x:c r="I25" s="11" t="n">
        <x:v>15</x:v>
      </x:c>
      <x:c r="J25" s="12" t="str">
        <x:v>G80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995000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G80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64000</x:v>
      </x:c>
      <x:c r="E27" s="6" t="n">
        <x:f>C27-D27</x:f>
        <x:v>49000</x:v>
      </x:c>
      <x:c r="F27" s="6" t="n">
        <x:f>F26+E27</x:f>
        <x:v>1044000</x:v>
      </x:c>
      <x:c r="G27" s="6" t="n">
        <x:v>-23000</x:v>
      </x:c>
      <x:c r="H27" s="6" t="n">
        <x:v>128000</x:v>
      </x:c>
      <x:c r="I27" s="11" t="n">
        <x:v>8</x:v>
      </x:c>
      <x:c r="J27" s="12" t="str">
        <x:v>G80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152000</x:v>
      </x:c>
      <x:c r="E28" s="6" t="n">
        <x:f>C28-D28</x:f>
        <x:v>-3000</x:v>
      </x:c>
      <x:c r="F28" s="6" t="n">
        <x:f>F27+E28</x:f>
        <x:v>1041000</x:v>
      </x:c>
      <x:c r="G28" s="6" t="n">
        <x:v>-76000</x:v>
      </x:c>
      <x:c r="H28" s="6" t="n">
        <x:v>100000</x:v>
      </x:c>
      <x:c r="I28" s="11" t="n">
        <x:v>10</x:v>
      </x:c>
      <x:c r="J28" s="12" t="str">
        <x:v>G80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1031000</x:v>
      </x:c>
      <x:c r="G29" s="6" t="n">
        <x:v>-56000</x:v>
      </x:c>
      <x:c r="H29" s="6" t="n">
        <x:v>56000</x:v>
      </x:c>
      <x:c r="I29" s="11" t="n">
        <x:v>4</x:v>
      </x:c>
      <x:c r="J29" s="12" t="str">
        <x:v>G80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46000</x:v>
      </x:c>
      <x:c r="E30" s="6" t="n">
        <x:f>C30-D30</x:f>
        <x:v>121000</x:v>
      </x:c>
      <x:c r="F30" s="6" t="n">
        <x:f>F29+E30</x:f>
        <x:v>1152000</x:v>
      </x:c>
      <x:c r="G30" s="6" t="n">
        <x:v>-6000</x:v>
      </x:c>
      <x:c r="H30" s="6" t="n">
        <x:v>62000</x:v>
      </x:c>
      <x:c r="I30" s="11" t="n">
        <x:v>7</x:v>
      </x:c>
      <x:c r="J30" s="12" t="str">
        <x:v>G80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1133500</x:v>
      </x:c>
      <x:c r="G31" s="6" t="n">
        <x:v>-30000</x:v>
      </x:c>
      <x:c r="H31" s="6" t="n">
        <x:v>44500</x:v>
      </x:c>
      <x:c r="I31" s="11" t="n">
        <x:v>5</x:v>
      </x:c>
      <x:c r="J31" s="12" t="str">
        <x:v>G80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123000</x:v>
      </x:c>
      <x:c r="D32" s="6" t="n">
        <x:v>100000</x:v>
      </x:c>
      <x:c r="E32" s="6" t="n">
        <x:f>C32-D32</x:f>
        <x:v>23000</x:v>
      </x:c>
      <x:c r="F32" s="6" t="n">
        <x:f>F31+E32</x:f>
        <x:v>1156500</x:v>
      </x:c>
      <x:c r="G32" s="6" t="n">
        <x:v>-91000</x:v>
      </x:c>
      <x:c r="H32" s="6" t="n">
        <x:v>119000</x:v>
      </x:c>
      <x:c r="I32" s="11" t="n">
        <x:v>7</x:v>
      </x:c>
      <x:c r="J32" s="12" t="str">
        <x:v>G80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350000</x:v>
      </x:c>
      <x:c r="D33" s="6" t="n">
        <x:v>36000</x:v>
      </x:c>
      <x:c r="E33" s="6" t="n">
        <x:f>C33-D33</x:f>
        <x:v>314000</x:v>
      </x:c>
      <x:c r="F33" s="6" t="n">
        <x:f>F32+E33</x:f>
        <x:v>1470500</x:v>
      </x:c>
      <x:c r="G33" s="6" t="n">
        <x:v>-34000</x:v>
      </x:c>
      <x:c r="H33" s="6" t="n">
        <x:v>102000</x:v>
      </x:c>
      <x:c r="I33" s="11" t="n">
        <x:v>17</x:v>
      </x:c>
      <x:c r="J33" s="12" t="str">
        <x:v>G80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128500</x:v>
      </x:c>
      <x:c r="D34" s="6" t="n">
        <x:v>77000</x:v>
      </x:c>
      <x:c r="E34" s="6" t="n">
        <x:f>C34-D34</x:f>
        <x:v>51500</x:v>
      </x:c>
      <x:c r="F34" s="6" t="n">
        <x:f>F33+E34</x:f>
        <x:v>1522000</x:v>
      </x:c>
      <x:c r="G34" s="6" t="n">
        <x:v>-44500</x:v>
      </x:c>
      <x:c r="H34" s="6" t="n">
        <x:v>76500</x:v>
      </x:c>
      <x:c r="I34" s="11" t="n">
        <x:v>9</x:v>
      </x:c>
      <x:c r="J34" s="12" t="str">
        <x:v>G80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1576000</x:v>
      </x:c>
      <x:c r="G35" s="6" t="n">
        <x:v>-10000</x:v>
      </x:c>
      <x:c r="H35" s="6" t="n">
        <x:v>60000</x:v>
      </x:c>
      <x:c r="I35" s="11" t="n">
        <x:v>3</x:v>
      </x:c>
      <x:c r="J35" s="12" t="str">
        <x:v>G80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1616000</x:v>
      </x:c>
      <x:c r="G36" s="6" t="n">
        <x:v>-31000</x:v>
      </x:c>
      <x:c r="H36" s="6" t="n">
        <x:v>70000</x:v>
      </x:c>
      <x:c r="I36" s="11" t="n">
        <x:v>3</x:v>
      </x:c>
      <x:c r="J36" s="12" t="str">
        <x:v>G80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1698000</x:v>
      </x:c>
      <x:c r="G37" s="6" t="n">
        <x:v>-10000</x:v>
      </x:c>
      <x:c r="H37" s="6" t="n">
        <x:v>33000</x:v>
      </x:c>
      <x:c r="I37" s="11" t="n">
        <x:v>1</x:v>
      </x:c>
      <x:c r="J37" s="12" t="str">
        <x:v>G80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206500</x:v>
      </x:c>
      <x:c r="D38" s="6" t="n">
        <x:v>151000</x:v>
      </x:c>
      <x:c r="E38" s="6" t="n">
        <x:f>C38-D38</x:f>
        <x:v>55500</x:v>
      </x:c>
      <x:c r="F38" s="6" t="n">
        <x:f>F37+E38</x:f>
        <x:v>1753500</x:v>
      </x:c>
      <x:c r="G38" s="6" t="n">
        <x:v>-57500</x:v>
      </x:c>
      <x:c r="H38" s="6" t="n">
        <x:v>113000</x:v>
      </x:c>
      <x:c r="I38" s="11" t="n">
        <x:v>15</x:v>
      </x:c>
      <x:c r="J38" s="12" t="str">
        <x:v>G80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1715500</x:v>
      </x:c>
      <x:c r="G39" s="6" t="n">
        <x:v>-38000</x:v>
      </x:c>
      <x:c r="H39" s="6" t="n">
        <x:v>58000</x:v>
      </x:c>
      <x:c r="I39" s="11" t="n">
        <x:v>3</x:v>
      </x:c>
      <x:c r="J39" s="12" t="str">
        <x:v>G80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58000</x:v>
      </x:c>
      <x:c r="E40" s="6" t="n">
        <x:f>C40-D40</x:f>
        <x:v>103000</x:v>
      </x:c>
      <x:c r="F40" s="6" t="n">
        <x:f>F39+E40</x:f>
        <x:v>1818500</x:v>
      </x:c>
      <x:c r="G40" s="6" t="n">
        <x:v>-56500</x:v>
      </x:c>
      <x:c r="H40" s="6" t="n">
        <x:v>73500</x:v>
      </x:c>
      <x:c r="I40" s="11" t="n">
        <x:v>5</x:v>
      </x:c>
      <x:c r="J40" s="12" t="str">
        <x:v>G80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53000</x:v>
      </x:c>
      <x:c r="E41" s="6" t="n">
        <x:f>C41-D41</x:f>
        <x:v>159000</x:v>
      </x:c>
      <x:c r="F41" s="6" t="n">
        <x:f>F40+E41</x:f>
        <x:v>1977500</x:v>
      </x:c>
      <x:c r="G41" s="6" t="n">
        <x:v>-39500</x:v>
      </x:c>
      <x:c r="H41" s="6" t="n">
        <x:v>59500</x:v>
      </x:c>
      <x:c r="I41" s="11" t="n">
        <x:v>5</x:v>
      </x:c>
      <x:c r="J41" s="12" t="str">
        <x:v>G80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46000</x:v>
      </x:c>
      <x:c r="E42" s="6" t="n">
        <x:f>C42-D42</x:f>
        <x:v>260000</x:v>
      </x:c>
      <x:c r="F42" s="6" t="n">
        <x:f>F41+E42</x:f>
        <x:v>2237500</x:v>
      </x:c>
      <x:c r="G42" s="6" t="n">
        <x:v>-44000</x:v>
      </x:c>
      <x:c r="H42" s="6" t="n">
        <x:v>118000</x:v>
      </x:c>
      <x:c r="I42" s="11" t="n">
        <x:v>6</x:v>
      </x:c>
      <x:c r="J42" s="12" t="str">
        <x:v>G80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55500</x:v>
      </x:c>
      <x:c r="E43" s="6" t="n">
        <x:f>C43-D43</x:f>
        <x:v>30500</x:v>
      </x:c>
      <x:c r="F43" s="6" t="n">
        <x:f>F42+E43</x:f>
        <x:v>2268000</x:v>
      </x:c>
      <x:c r="G43" s="6" t="n">
        <x:v>-39500</x:v>
      </x:c>
      <x:c r="H43" s="6" t="n">
        <x:v>81500</x:v>
      </x:c>
      <x:c r="I43" s="11" t="n">
        <x:v>7</x:v>
      </x:c>
      <x:c r="J43" s="12" t="str">
        <x:v>G80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230000</x:v>
      </x:c>
      <x:c r="E44" s="6" t="n">
        <x:f>C44-D44</x:f>
        <x:v>-78000</x:v>
      </x:c>
      <x:c r="F44" s="6" t="n">
        <x:f>F43+E44</x:f>
        <x:v>2190000</x:v>
      </x:c>
      <x:c r="G44" s="6" t="n">
        <x:v>-145000</x:v>
      </x:c>
      <x:c r="H44" s="6" t="n">
        <x:v>160000</x:v>
      </x:c>
      <x:c r="I44" s="11" t="n">
        <x:v>14</x:v>
      </x:c>
      <x:c r="J44" s="12" t="str">
        <x:v>G80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169000</x:v>
      </x:c>
      <x:c r="D45" s="6" t="n">
        <x:v>150500</x:v>
      </x:c>
      <x:c r="E45" s="6" t="n">
        <x:f>C45-D45</x:f>
        <x:v>18500</x:v>
      </x:c>
      <x:c r="F45" s="6" t="n">
        <x:f>F44+E45</x:f>
        <x:v>2208500</x:v>
      </x:c>
      <x:c r="G45" s="6" t="n">
        <x:v>-100500</x:v>
      </x:c>
      <x:c r="H45" s="6" t="n">
        <x:v>110500</x:v>
      </x:c>
      <x:c r="I45" s="11" t="n">
        <x:v>14</x:v>
      </x:c>
      <x:c r="J45" s="12" t="str">
        <x:v>G80</x:v>
      </x:c>
    </x:row>
    <x:row r="46" ht="25" customHeight="1">
      <x:c r="A46" s="2" t="str">
        <x:v>2026-10-19_Day</x:v>
      </x:c>
      <x:c r="B46" s="2" t="str">
        <x:v>後13場</x:v>
      </x:c>
      <x:c r="C46" s="6" t="n">
        <x:v>179000</x:v>
      </x:c>
      <x:c r="D46" s="6" t="n">
        <x:v>36000</x:v>
      </x:c>
      <x:c r="E46" s="6" t="n">
        <x:f>C46-D46</x:f>
        <x:v>143000</x:v>
      </x:c>
      <x:c r="F46" s="6" t="n">
        <x:f>F45+E46</x:f>
        <x:v>2351500</x:v>
      </x:c>
      <x:c r="G46" s="6" t="n">
        <x:v>-8000</x:v>
      </x:c>
      <x:c r="H46" s="6" t="n">
        <x:v>176000</x:v>
      </x:c>
      <x:c r="I46" s="11" t="n">
        <x:v>4</x:v>
      </x:c>
      <x:c r="J46" s="12" t="str">
        <x:v>G80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103000</x:v>
      </x:c>
      <x:c r="E47" s="6" t="n">
        <x:f>C47-D47</x:f>
        <x:v>29000</x:v>
      </x:c>
      <x:c r="F47" s="6" t="n">
        <x:f>F46+E47</x:f>
        <x:v>2380500</x:v>
      </x:c>
      <x:c r="G47" s="6" t="n">
        <x:v>-40000</x:v>
      </x:c>
      <x:c r="H47" s="6" t="n">
        <x:v>95000</x:v>
      </x:c>
      <x:c r="I47" s="11" t="n">
        <x:v>14</x:v>
      </x:c>
      <x:c r="J47" s="12" t="str">
        <x:v>G80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203000</x:v>
      </x:c>
      <x:c r="D48" s="6" t="n">
        <x:v>177000</x:v>
      </x:c>
      <x:c r="E48" s="6" t="n">
        <x:f>C48-D48</x:f>
        <x:v>26000</x:v>
      </x:c>
      <x:c r="F48" s="6" t="n">
        <x:f>F47+E48</x:f>
        <x:v>2406500</x:v>
      </x:c>
      <x:c r="G48" s="6" t="n">
        <x:v>-62000</x:v>
      </x:c>
      <x:c r="H48" s="6" t="n">
        <x:v>281000</x:v>
      </x:c>
      <x:c r="I48" s="11" t="n">
        <x:v>13</x:v>
      </x:c>
      <x:c r="J48" s="12" t="str">
        <x:v>G80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146500</x:v>
      </x:c>
      <x:c r="D49" s="6" t="n">
        <x:v>35000</x:v>
      </x:c>
      <x:c r="E49" s="6" t="n">
        <x:f>C49-D49</x:f>
        <x:v>111500</x:v>
      </x:c>
      <x:c r="F49" s="6" t="n">
        <x:f>F48+E49</x:f>
        <x:v>2518000</x:v>
      </x:c>
      <x:c r="G49" s="6" t="n">
        <x:v>-10000</x:v>
      </x:c>
      <x:c r="H49" s="6" t="n">
        <x:v>65000</x:v>
      </x:c>
      <x:c r="I49" s="11" t="n">
        <x:v>11</x:v>
      </x:c>
      <x:c r="J49" s="12" t="str">
        <x:v>G80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86500</x:v>
      </x:c>
      <x:c r="D50" s="6" t="n">
        <x:v>197500</x:v>
      </x:c>
      <x:c r="E50" s="6" t="n">
        <x:f>C50-D50</x:f>
        <x:v>-111000</x:v>
      </x:c>
      <x:c r="F50" s="6" t="n">
        <x:f>F49+E50</x:f>
        <x:v>2407000</x:v>
      </x:c>
      <x:c r="G50" s="6" t="n">
        <x:v>-201000</x:v>
      </x:c>
      <x:c r="H50" s="6" t="n">
        <x:v>201000</x:v>
      </x:c>
      <x:c r="I50" s="11" t="n">
        <x:v>13</x:v>
      </x:c>
      <x:c r="J50" s="12" t="str">
        <x:v>G80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47500</x:v>
      </x:c>
      <x:c r="D51" s="6" t="n">
        <x:v>119500</x:v>
      </x:c>
      <x:c r="E51" s="6" t="n">
        <x:f>C51-D51</x:f>
        <x:v>-72000</x:v>
      </x:c>
      <x:c r="F51" s="6" t="n">
        <x:f>F50+E51</x:f>
        <x:v>2335000</x:v>
      </x:c>
      <x:c r="G51" s="6" t="n">
        <x:v>-72000</x:v>
      </x:c>
      <x:c r="H51" s="6" t="n">
        <x:v>113000</x:v>
      </x:c>
      <x:c r="I51" s="11" t="n">
        <x:v>6</x:v>
      </x:c>
      <x:c r="J51" s="12" t="str">
        <x:v>G80</x:v>
      </x:c>
    </x:row>
    <x:row r="52" ht="25" customHeight="1">
      <x:c r="A52" s="2" t="str">
        <x:v>2026-10-22_Day</x:v>
      </x:c>
      <x:c r="B52" s="2" t="str">
        <x:v>後13場</x:v>
      </x:c>
      <x:c r="C52" s="6" t="n">
        <x:v>226500</x:v>
      </x:c>
      <x:c r="D52" s="6" t="n">
        <x:v>33000</x:v>
      </x:c>
      <x:c r="E52" s="6" t="n">
        <x:f>C52-D52</x:f>
        <x:v>193500</x:v>
      </x:c>
      <x:c r="F52" s="6" t="n">
        <x:f>F51+E52</x:f>
        <x:v>2528500</x:v>
      </x:c>
      <x:c r="G52" s="6" t="n">
        <x:v>-17000</x:v>
      </x:c>
      <x:c r="H52" s="6" t="n">
        <x:v>93000</x:v>
      </x:c>
      <x:c r="I52" s="11" t="n">
        <x:v>3</x:v>
      </x:c>
      <x:c r="J52" s="12" t="str">
        <x:v>G80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2684500</x:v>
      </x:c>
      <x:c r="G53" s="6" t="n">
        <x:v>-2000</x:v>
      </x:c>
      <x:c r="H53" s="6" t="n">
        <x:v>64000</x:v>
      </x:c>
      <x:c r="I53" s="11" t="n">
        <x:v>3</x:v>
      </x:c>
      <x:c r="J53" s="12" t="str">
        <x:v>G80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223000</x:v>
      </x:c>
      <x:c r="D54" s="6" t="n">
        <x:v>94000</x:v>
      </x:c>
      <x:c r="E54" s="6" t="n">
        <x:f>C54-D54</x:f>
        <x:v>129000</x:v>
      </x:c>
      <x:c r="F54" s="6" t="n">
        <x:f>F53+E54</x:f>
        <x:v>2813500</x:v>
      </x:c>
      <x:c r="G54" s="6" t="n">
        <x:v>-21000</x:v>
      </x:c>
      <x:c r="H54" s="6" t="n">
        <x:v>73000</x:v>
      </x:c>
      <x:c r="I54" s="11" t="n">
        <x:v>15</x:v>
      </x:c>
      <x:c r="J54" s="12" t="str">
        <x:v>G80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58000</x:v>
      </x:c>
      <x:c r="E55" s="6" t="n">
        <x:f>C55-D55</x:f>
        <x:v>17000</x:v>
      </x:c>
      <x:c r="F55" s="6" t="n">
        <x:f>F54+E55</x:f>
        <x:v>2830500</x:v>
      </x:c>
      <x:c r="G55" s="6" t="n">
        <x:v>-30000</x:v>
      </x:c>
      <x:c r="H55" s="6" t="n">
        <x:v>89000</x:v>
      </x:c>
      <x:c r="I55" s="11" t="n">
        <x:v>11</x:v>
      </x:c>
      <x:c r="J55" s="12" t="str">
        <x:v>G80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148000</x:v>
      </x:c>
      <x:c r="D56" s="6" t="n">
        <x:v>189500</x:v>
      </x:c>
      <x:c r="E56" s="6" t="n">
        <x:f>C56-D56</x:f>
        <x:v>-41500</x:v>
      </x:c>
      <x:c r="F56" s="6" t="n">
        <x:f>F55+E56</x:f>
        <x:v>2789000</x:v>
      </x:c>
      <x:c r="G56" s="6" t="n">
        <x:v>-137500</x:v>
      </x:c>
      <x:c r="H56" s="6" t="n">
        <x:v>219500</x:v>
      </x:c>
      <x:c r="I56" s="11" t="n">
        <x:v>7</x:v>
      </x:c>
      <x:c r="J56" s="12" t="str">
        <x:v>G80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111000</x:v>
      </x:c>
      <x:c r="E57" s="6" t="n">
        <x:f>C57-D57</x:f>
        <x:v>-23000</x:v>
      </x:c>
      <x:c r="F57" s="6" t="n">
        <x:f>F56+E57</x:f>
        <x:v>2766000</x:v>
      </x:c>
      <x:c r="G57" s="6" t="n">
        <x:v>-24000</x:v>
      </x:c>
      <x:c r="H57" s="6" t="n">
        <x:v>121000</x:v>
      </x:c>
      <x:c r="I57" s="11" t="n">
        <x:v>12</x:v>
      </x:c>
      <x:c r="J57" s="12" t="str">
        <x:v>G80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216500</x:v>
      </x:c>
      <x:c r="E58" s="6" t="n">
        <x:f>C58-D58</x:f>
        <x:v>-92500</x:v>
      </x:c>
      <x:c r="F58" s="6" t="n">
        <x:f>F57+E58</x:f>
        <x:v>2673500</x:v>
      </x:c>
      <x:c r="G58" s="6" t="n">
        <x:v>-110500</x:v>
      </x:c>
      <x:c r="H58" s="6" t="n">
        <x:v>179500</x:v>
      </x:c>
      <x:c r="I58" s="11" t="n">
        <x:v>15</x:v>
      </x:c>
      <x:c r="J58" s="12" t="str">
        <x:v>G80</x:v>
      </x:c>
    </x:row>
    <x:row r="59" ht="25" customHeight="1">
      <x:c r="A59" s="16" t="str">
        <x:v>累計／場内最悪値</x:v>
      </x:c>
      <x:c r="B59" s="16"/>
      <x:c r="C59" s="17" t="n">
        <x:f>SUM(C6:C58)</x:f>
        <x:v>6619500</x:v>
      </x:c>
      <x:c r="D59" s="17" t="n">
        <x:f>SUM(D6:D58)</x:f>
        <x:v>3946000</x:v>
      </x:c>
      <x:c r="E59" s="17" t="n">
        <x:f>C59-D59</x:f>
        <x:v>2673500</x:v>
      </x:c>
      <x:c r="F59" s="17" t="n">
        <x:f>F58</x:f>
        <x:v>2673500</x:v>
      </x:c>
      <x:c r="G59" s="17" t="n">
        <x:f>MIN(G6:G58)</x:f>
        <x:v>-201000</x:v>
      </x:c>
      <x:c r="H59" s="17" t="n">
        <x:f>MAX(H6:H58)</x:f>
        <x:v>281000</x:v>
      </x:c>
      <x:c r="I59" s="18" t="n">
        <x:f>SUM(I6:I58)</x:f>
        <x:v>403</x:v>
      </x:c>
      <x:c r="J59" s="17"/>
    </x:row>
  </x:sheetData>
  <x:conditionalFormatting sqref="E6:G58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23c0b7e8d640b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R40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G40後の不利極値から40円回復で一度復元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R40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R40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R40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7000</x:v>
      </x:c>
      <x:c r="E9" s="6" t="n">
        <x:f>C9-D9</x:f>
        <x:v>40000</x:v>
      </x:c>
      <x:c r="F9" s="6" t="n">
        <x:f>F8+E9</x:f>
        <x:v>-45000</x:v>
      </x:c>
      <x:c r="G9" s="6" t="n">
        <x:v>-45000</x:v>
      </x:c>
      <x:c r="H9" s="6" t="n">
        <x:v>55000</x:v>
      </x:c>
      <x:c r="I9" s="11" t="n">
        <x:v>2</x:v>
      </x:c>
      <x:c r="J9" s="12" t="str">
        <x:v>R40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5000</x:v>
      </x:c>
      <x:c r="G10" s="6" t="n">
        <x:v>-15000</x:v>
      </x:c>
      <x:c r="H10" s="6" t="n">
        <x:v>40000</x:v>
      </x:c>
      <x:c r="I10" s="11" t="n">
        <x:v>1</x:v>
      </x:c>
      <x:c r="J10" s="12" t="str">
        <x:v>R40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-31000</x:v>
      </x:c>
      <x:c r="G11" s="6" t="n">
        <x:v>-44000</x:v>
      </x:c>
      <x:c r="H11" s="6" t="n">
        <x:v>44000</x:v>
      </x:c>
      <x:c r="I11" s="11" t="n">
        <x:v>3</x:v>
      </x:c>
      <x:c r="J11" s="12" t="str">
        <x:v>R40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176000</x:v>
      </x:c>
      <x:c r="D12" s="6" t="n">
        <x:v>72000</x:v>
      </x:c>
      <x:c r="E12" s="6" t="n">
        <x:f>C12-D12</x:f>
        <x:v>104000</x:v>
      </x:c>
      <x:c r="F12" s="6" t="n">
        <x:f>F11+E12</x:f>
        <x:v>73000</x:v>
      </x:c>
      <x:c r="G12" s="6" t="n">
        <x:v>-22000</x:v>
      </x:c>
      <x:c r="H12" s="6" t="n">
        <x:v>143000</x:v>
      </x:c>
      <x:c r="I12" s="11" t="n">
        <x:v>10</x:v>
      </x:c>
      <x:c r="J12" s="12" t="str">
        <x:v>R40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123000</x:v>
      </x:c>
      <x:c r="G13" s="6" t="n">
        <x:v>-85000</x:v>
      </x:c>
      <x:c r="H13" s="6" t="n">
        <x:v>90000</x:v>
      </x:c>
      <x:c r="I13" s="11" t="n">
        <x:v>4</x:v>
      </x:c>
      <x:c r="J13" s="12" t="str">
        <x:v>R40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171500</x:v>
      </x:c>
      <x:c r="D14" s="6" t="n">
        <x:v>33000</x:v>
      </x:c>
      <x:c r="E14" s="6" t="n">
        <x:f>C14-D14</x:f>
        <x:v>138500</x:v>
      </x:c>
      <x:c r="F14" s="6" t="n">
        <x:f>F13+E14</x:f>
        <x:v>261500</x:v>
      </x:c>
      <x:c r="G14" s="6" t="n">
        <x:v>-4000</x:v>
      </x:c>
      <x:c r="H14" s="6" t="n">
        <x:v>76000</x:v>
      </x:c>
      <x:c r="I14" s="11" t="n">
        <x:v>7</x:v>
      </x:c>
      <x:c r="J14" s="12" t="str">
        <x:v>R40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18000</x:v>
      </x:c>
      <x:c r="E15" s="6" t="n">
        <x:f>C15-D15</x:f>
        <x:v>-1000</x:v>
      </x:c>
      <x:c r="F15" s="6" t="n">
        <x:f>F14+E15</x:f>
        <x:v>260500</x:v>
      </x:c>
      <x:c r="G15" s="6" t="n">
        <x:v>-16000</x:v>
      </x:c>
      <x:c r="H15" s="6" t="n">
        <x:v>26000</x:v>
      </x:c>
      <x:c r="I15" s="11" t="n">
        <x:v>3</x:v>
      </x:c>
      <x:c r="J15" s="12" t="str">
        <x:v>R40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150000</x:v>
      </x:c>
      <x:c r="D16" s="6" t="n">
        <x:v>188500</x:v>
      </x:c>
      <x:c r="E16" s="6" t="n">
        <x:f>C16-D16</x:f>
        <x:v>-38500</x:v>
      </x:c>
      <x:c r="F16" s="6" t="n">
        <x:f>F15+E16</x:f>
        <x:v>222000</x:v>
      </x:c>
      <x:c r="G16" s="6" t="n">
        <x:v>-120500</x:v>
      </x:c>
      <x:c r="H16" s="6" t="n">
        <x:v>162500</x:v>
      </x:c>
      <x:c r="I16" s="11" t="n">
        <x:v>14</x:v>
      </x:c>
      <x:c r="J16" s="12" t="str">
        <x:v>R40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197000</x:v>
      </x:c>
      <x:c r="G17" s="6" t="n">
        <x:v>-36000</x:v>
      </x:c>
      <x:c r="H17" s="6" t="n">
        <x:v>43000</x:v>
      </x:c>
      <x:c r="I17" s="11" t="n">
        <x:v>5</x:v>
      </x:c>
      <x:c r="J17" s="12" t="str">
        <x:v>R40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220500</x:v>
      </x:c>
      <x:c r="D18" s="6" t="n">
        <x:v>150500</x:v>
      </x:c>
      <x:c r="E18" s="6" t="n">
        <x:f>C18-D18</x:f>
        <x:v>70000</x:v>
      </x:c>
      <x:c r="F18" s="6" t="n">
        <x:f>F17+E18</x:f>
        <x:v>267000</x:v>
      </x:c>
      <x:c r="G18" s="6" t="n">
        <x:v>-139000</x:v>
      </x:c>
      <x:c r="H18" s="6" t="n">
        <x:v>207500</x:v>
      </x:c>
      <x:c r="I18" s="11" t="n">
        <x:v>18</x:v>
      </x:c>
      <x:c r="J18" s="12" t="str">
        <x:v>R40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97500</x:v>
      </x:c>
      <x:c r="D19" s="6" t="n">
        <x:v>35000</x:v>
      </x:c>
      <x:c r="E19" s="6" t="n">
        <x:f>C19-D19</x:f>
        <x:v>62500</x:v>
      </x:c>
      <x:c r="F19" s="6" t="n">
        <x:f>F18+E19</x:f>
        <x:v>329500</x:v>
      </x:c>
      <x:c r="G19" s="6" t="n">
        <x:v>-29500</x:v>
      </x:c>
      <x:c r="H19" s="6" t="n">
        <x:v>70500</x:v>
      </x:c>
      <x:c r="I19" s="11" t="n">
        <x:v>7</x:v>
      </x:c>
      <x:c r="J19" s="12" t="str">
        <x:v>R40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448500</x:v>
      </x:c>
      <x:c r="G20" s="6" t="n">
        <x:v>-72000</x:v>
      </x:c>
      <x:c r="H20" s="6" t="n">
        <x:v>91000</x:v>
      </x:c>
      <x:c r="I20" s="11" t="n">
        <x:v>6</x:v>
      </x:c>
      <x:c r="J20" s="12" t="str">
        <x:v>R40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138000</x:v>
      </x:c>
      <x:c r="D21" s="6" t="n">
        <x:v>33500</x:v>
      </x:c>
      <x:c r="E21" s="6" t="n">
        <x:f>C21-D21</x:f>
        <x:v>104500</x:v>
      </x:c>
      <x:c r="F21" s="6" t="n">
        <x:f>F20+E21</x:f>
        <x:v>553000</x:v>
      </x:c>
      <x:c r="G21" s="6" t="n">
        <x:v>-70000</x:v>
      </x:c>
      <x:c r="H21" s="6" t="n">
        <x:v>90000</x:v>
      </x:c>
      <x:c r="I21" s="11" t="n">
        <x:v>8</x:v>
      </x:c>
      <x:c r="J21" s="12" t="str">
        <x:v>R40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97500</x:v>
      </x:c>
      <x:c r="E22" s="6" t="n">
        <x:f>C22-D22</x:f>
        <x:v>150500</x:v>
      </x:c>
      <x:c r="F22" s="6" t="n">
        <x:f>F21+E22</x:f>
        <x:v>703500</x:v>
      </x:c>
      <x:c r="G22" s="6" t="n">
        <x:v>-54500</x:v>
      </x:c>
      <x:c r="H22" s="6" t="n">
        <x:v>90000</x:v>
      </x:c>
      <x:c r="I22" s="11" t="n">
        <x:v>7</x:v>
      </x:c>
      <x:c r="J22" s="12" t="str">
        <x:v>R40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264000</x:v>
      </x:c>
      <x:c r="D23" s="6" t="n">
        <x:v>85000</x:v>
      </x:c>
      <x:c r="E23" s="6" t="n">
        <x:f>C23-D23</x:f>
        <x:v>179000</x:v>
      </x:c>
      <x:c r="F23" s="6" t="n">
        <x:f>F22+E23</x:f>
        <x:v>882500</x:v>
      </x:c>
      <x:c r="G23" s="6" t="n">
        <x:v>-25000</x:v>
      </x:c>
      <x:c r="H23" s="6" t="n">
        <x:v>132000</x:v>
      </x:c>
      <x:c r="I23" s="11" t="n">
        <x:v>19</x:v>
      </x:c>
      <x:c r="J23" s="12" t="str">
        <x:v>R40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37000</x:v>
      </x:c>
      <x:c r="D24" s="6" t="n">
        <x:v>66500</x:v>
      </x:c>
      <x:c r="E24" s="6" t="n">
        <x:f>C24-D24</x:f>
        <x:v>-29500</x:v>
      </x:c>
      <x:c r="F24" s="6" t="n">
        <x:f>F23+E24</x:f>
        <x:v>853000</x:v>
      </x:c>
      <x:c r="G24" s="6" t="n">
        <x:v>-68500</x:v>
      </x:c>
      <x:c r="H24" s="6" t="n">
        <x:v>141500</x:v>
      </x:c>
      <x:c r="I24" s="11" t="n">
        <x:v>10</x:v>
      </x:c>
      <x:c r="J24" s="12" t="str">
        <x:v>R40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322500</x:v>
      </x:c>
      <x:c r="D25" s="6" t="n">
        <x:v>83000</x:v>
      </x:c>
      <x:c r="E25" s="6" t="n">
        <x:f>C25-D25</x:f>
        <x:v>239500</x:v>
      </x:c>
      <x:c r="F25" s="6" t="n">
        <x:f>F24+E25</x:f>
        <x:v>1092500</x:v>
      </x:c>
      <x:c r="G25" s="6" t="n">
        <x:v>-29000</x:v>
      </x:c>
      <x:c r="H25" s="6" t="n">
        <x:v>165000</x:v>
      </x:c>
      <x:c r="I25" s="11" t="n">
        <x:v>19</x:v>
      </x:c>
      <x:c r="J25" s="12" t="str">
        <x:v>R40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173500</x:v>
      </x:c>
      <x:c r="E26" s="6" t="n">
        <x:f>C26-D26</x:f>
        <x:v>-80500</x:v>
      </x:c>
      <x:c r="F26" s="6" t="n">
        <x:f>F25+E26</x:f>
        <x:v>1012000</x:v>
      </x:c>
      <x:c r="G26" s="6" t="n">
        <x:v>-110500</x:v>
      </x:c>
      <x:c r="H26" s="6" t="n">
        <x:v>162500</x:v>
      </x:c>
      <x:c r="I26" s="11" t="n">
        <x:v>13</x:v>
      </x:c>
      <x:c r="J26" s="12" t="str">
        <x:v>R40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118000</x:v>
      </x:c>
      <x:c r="D27" s="6" t="n">
        <x:v>83000</x:v>
      </x:c>
      <x:c r="E27" s="6" t="n">
        <x:f>C27-D27</x:f>
        <x:v>35000</x:v>
      </x:c>
      <x:c r="F27" s="6" t="n">
        <x:f>F26+E27</x:f>
        <x:v>1047000</x:v>
      </x:c>
      <x:c r="G27" s="6" t="n">
        <x:v>-23000</x:v>
      </x:c>
      <x:c r="H27" s="6" t="n">
        <x:v>128000</x:v>
      </x:c>
      <x:c r="I27" s="11" t="n">
        <x:v>11</x:v>
      </x:c>
      <x:c r="J27" s="12" t="str">
        <x:v>R40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156000</x:v>
      </x:c>
      <x:c r="E28" s="6" t="n">
        <x:f>C28-D28</x:f>
        <x:v>-7000</x:v>
      </x:c>
      <x:c r="F28" s="6" t="n">
        <x:f>F27+E28</x:f>
        <x:v>1040000</x:v>
      </x:c>
      <x:c r="G28" s="6" t="n">
        <x:v>-69000</x:v>
      </x:c>
      <x:c r="H28" s="6" t="n">
        <x:v>93000</x:v>
      </x:c>
      <x:c r="I28" s="11" t="n">
        <x:v>12</x:v>
      </x:c>
      <x:c r="J28" s="12" t="str">
        <x:v>R40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1030000</x:v>
      </x:c>
      <x:c r="G29" s="6" t="n">
        <x:v>-56000</x:v>
      </x:c>
      <x:c r="H29" s="6" t="n">
        <x:v>56000</x:v>
      </x:c>
      <x:c r="I29" s="11" t="n">
        <x:v>4</x:v>
      </x:c>
      <x:c r="J29" s="12" t="str">
        <x:v>R40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47000</x:v>
      </x:c>
      <x:c r="E30" s="6" t="n">
        <x:f>C30-D30</x:f>
        <x:v>120000</x:v>
      </x:c>
      <x:c r="F30" s="6" t="n">
        <x:f>F29+E30</x:f>
        <x:v>1150000</x:v>
      </x:c>
      <x:c r="G30" s="6" t="n">
        <x:v>-6000</x:v>
      </x:c>
      <x:c r="H30" s="6" t="n">
        <x:v>62000</x:v>
      </x:c>
      <x:c r="I30" s="11" t="n">
        <x:v>8</x:v>
      </x:c>
      <x:c r="J30" s="12" t="str">
        <x:v>R40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48000</x:v>
      </x:c>
      <x:c r="E31" s="6" t="n">
        <x:f>C31-D31</x:f>
        <x:v>-25000</x:v>
      </x:c>
      <x:c r="F31" s="6" t="n">
        <x:f>F30+E31</x:f>
        <x:v>1125000</x:v>
      </x:c>
      <x:c r="G31" s="6" t="n">
        <x:v>-30000</x:v>
      </x:c>
      <x:c r="H31" s="6" t="n">
        <x:v>51000</x:v>
      </x:c>
      <x:c r="I31" s="11" t="n">
        <x:v>6</x:v>
      </x:c>
      <x:c r="J31" s="12" t="str">
        <x:v>R40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131000</x:v>
      </x:c>
      <x:c r="D32" s="6" t="n">
        <x:v>95000</x:v>
      </x:c>
      <x:c r="E32" s="6" t="n">
        <x:f>C32-D32</x:f>
        <x:v>36000</x:v>
      </x:c>
      <x:c r="F32" s="6" t="n">
        <x:f>F31+E32</x:f>
        <x:v>1161000</x:v>
      </x:c>
      <x:c r="G32" s="6" t="n">
        <x:v>-78000</x:v>
      </x:c>
      <x:c r="H32" s="6" t="n">
        <x:v>119000</x:v>
      </x:c>
      <x:c r="I32" s="11" t="n">
        <x:v>8</x:v>
      </x:c>
      <x:c r="J32" s="12" t="str">
        <x:v>R40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356000</x:v>
      </x:c>
      <x:c r="D33" s="6" t="n">
        <x:v>43000</x:v>
      </x:c>
      <x:c r="E33" s="6" t="n">
        <x:f>C33-D33</x:f>
        <x:v>313000</x:v>
      </x:c>
      <x:c r="F33" s="6" t="n">
        <x:f>F32+E33</x:f>
        <x:v>1474000</x:v>
      </x:c>
      <x:c r="G33" s="6" t="n">
        <x:v>-37000</x:v>
      </x:c>
      <x:c r="H33" s="6" t="n">
        <x:v>102000</x:v>
      </x:c>
      <x:c r="I33" s="11" t="n">
        <x:v>19</x:v>
      </x:c>
      <x:c r="J33" s="12" t="str">
        <x:v>R40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144000</x:v>
      </x:c>
      <x:c r="D34" s="6" t="n">
        <x:v>72000</x:v>
      </x:c>
      <x:c r="E34" s="6" t="n">
        <x:f>C34-D34</x:f>
        <x:v>72000</x:v>
      </x:c>
      <x:c r="F34" s="6" t="n">
        <x:f>F33+E34</x:f>
        <x:v>1546000</x:v>
      </x:c>
      <x:c r="G34" s="6" t="n">
        <x:v>-22000</x:v>
      </x:c>
      <x:c r="H34" s="6" t="n">
        <x:v>97000</x:v>
      </x:c>
      <x:c r="I34" s="11" t="n">
        <x:v>11</x:v>
      </x:c>
      <x:c r="J34" s="12" t="str">
        <x:v>R40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50000</x:v>
      </x:c>
      <x:c r="D35" s="6" t="n">
        <x:v>26000</x:v>
      </x:c>
      <x:c r="E35" s="6" t="n">
        <x:f>C35-D35</x:f>
        <x:v>24000</x:v>
      </x:c>
      <x:c r="F35" s="6" t="n">
        <x:f>F34+E35</x:f>
        <x:v>1570000</x:v>
      </x:c>
      <x:c r="G35" s="6" t="n">
        <x:v>-10000</x:v>
      </x:c>
      <x:c r="H35" s="6" t="n">
        <x:v>60000</x:v>
      </x:c>
      <x:c r="I35" s="11" t="n">
        <x:v>4</x:v>
      </x:c>
      <x:c r="J35" s="12" t="str">
        <x:v>R40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1610000</x:v>
      </x:c>
      <x:c r="G36" s="6" t="n">
        <x:v>-31000</x:v>
      </x:c>
      <x:c r="H36" s="6" t="n">
        <x:v>70000</x:v>
      </x:c>
      <x:c r="I36" s="11" t="n">
        <x:v>3</x:v>
      </x:c>
      <x:c r="J36" s="12" t="str">
        <x:v>R40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1692000</x:v>
      </x:c>
      <x:c r="G37" s="6" t="n">
        <x:v>-10000</x:v>
      </x:c>
      <x:c r="H37" s="6" t="n">
        <x:v>33000</x:v>
      </x:c>
      <x:c r="I37" s="11" t="n">
        <x:v>1</x:v>
      </x:c>
      <x:c r="J37" s="12" t="str">
        <x:v>R40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215000</x:v>
      </x:c>
      <x:c r="D38" s="6" t="n">
        <x:v>179500</x:v>
      </x:c>
      <x:c r="E38" s="6" t="n">
        <x:f>C38-D38</x:f>
        <x:v>35500</x:v>
      </x:c>
      <x:c r="F38" s="6" t="n">
        <x:f>F37+E38</x:f>
        <x:v>1727500</x:v>
      </x:c>
      <x:c r="G38" s="6" t="n">
        <x:v>-53500</x:v>
      </x:c>
      <x:c r="H38" s="6" t="n">
        <x:v>112000</x:v>
      </x:c>
      <x:c r="I38" s="11" t="n">
        <x:v>21</x:v>
      </x:c>
      <x:c r="J38" s="12" t="str">
        <x:v>R40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45000</x:v>
      </x:c>
      <x:c r="E39" s="6" t="n">
        <x:f>C39-D39</x:f>
        <x:v>-30000</x:v>
      </x:c>
      <x:c r="F39" s="6" t="n">
        <x:f>F38+E39</x:f>
        <x:v>1697500</x:v>
      </x:c>
      <x:c r="G39" s="6" t="n">
        <x:v>-30000</x:v>
      </x:c>
      <x:c r="H39" s="6" t="n">
        <x:v>50000</x:v>
      </x:c>
      <x:c r="I39" s="11" t="n">
        <x:v>3</x:v>
      </x:c>
      <x:c r="J39" s="12" t="str">
        <x:v>R40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65500</x:v>
      </x:c>
      <x:c r="E40" s="6" t="n">
        <x:f>C40-D40</x:f>
        <x:v>95500</x:v>
      </x:c>
      <x:c r="F40" s="6" t="n">
        <x:f>F39+E40</x:f>
        <x:v>1793000</x:v>
      </x:c>
      <x:c r="G40" s="6" t="n">
        <x:v>-61000</x:v>
      </x:c>
      <x:c r="H40" s="6" t="n">
        <x:v>75000</x:v>
      </x:c>
      <x:c r="I40" s="11" t="n">
        <x:v>7</x:v>
      </x:c>
      <x:c r="J40" s="12" t="str">
        <x:v>R40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61500</x:v>
      </x:c>
      <x:c r="E41" s="6" t="n">
        <x:f>C41-D41</x:f>
        <x:v>150500</x:v>
      </x:c>
      <x:c r="F41" s="6" t="n">
        <x:f>F40+E41</x:f>
        <x:v>1943500</x:v>
      </x:c>
      <x:c r="G41" s="6" t="n">
        <x:v>-48000</x:v>
      </x:c>
      <x:c r="H41" s="6" t="n">
        <x:v>68000</x:v>
      </x:c>
      <x:c r="I41" s="11" t="n">
        <x:v>7</x:v>
      </x:c>
      <x:c r="J41" s="12" t="str">
        <x:v>R40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309000</x:v>
      </x:c>
      <x:c r="D42" s="6" t="n">
        <x:v>67000</x:v>
      </x:c>
      <x:c r="E42" s="6" t="n">
        <x:f>C42-D42</x:f>
        <x:v>242000</x:v>
      </x:c>
      <x:c r="F42" s="6" t="n">
        <x:f>F41+E42</x:f>
        <x:v>2185500</x:v>
      </x:c>
      <x:c r="G42" s="6" t="n">
        <x:v>-59000</x:v>
      </x:c>
      <x:c r="H42" s="6" t="n">
        <x:v>118000</x:v>
      </x:c>
      <x:c r="I42" s="11" t="n">
        <x:v>9</x:v>
      </x:c>
      <x:c r="J42" s="12" t="str">
        <x:v>R40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91000</x:v>
      </x:c>
      <x:c r="D43" s="6" t="n">
        <x:v>63000</x:v>
      </x:c>
      <x:c r="E43" s="6" t="n">
        <x:f>C43-D43</x:f>
        <x:v>28000</x:v>
      </x:c>
      <x:c r="F43" s="6" t="n">
        <x:f>F42+E43</x:f>
        <x:v>2213500</x:v>
      </x:c>
      <x:c r="G43" s="6" t="n">
        <x:v>-44500</x:v>
      </x:c>
      <x:c r="H43" s="6" t="n">
        <x:v>86500</x:v>
      </x:c>
      <x:c r="I43" s="11" t="n">
        <x:v>9</x:v>
      </x:c>
      <x:c r="J43" s="12" t="str">
        <x:v>R40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248000</x:v>
      </x:c>
      <x:c r="E44" s="6" t="n">
        <x:f>C44-D44</x:f>
        <x:v>-96000</x:v>
      </x:c>
      <x:c r="F44" s="6" t="n">
        <x:f>F43+E44</x:f>
        <x:v>2117500</x:v>
      </x:c>
      <x:c r="G44" s="6" t="n">
        <x:v>-163000</x:v>
      </x:c>
      <x:c r="H44" s="6" t="n">
        <x:v>178000</x:v>
      </x:c>
      <x:c r="I44" s="11" t="n">
        <x:v>17</x:v>
      </x:c>
      <x:c r="J44" s="12" t="str">
        <x:v>R40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179500</x:v>
      </x:c>
      <x:c r="D45" s="6" t="n">
        <x:v>160000</x:v>
      </x:c>
      <x:c r="E45" s="6" t="n">
        <x:f>C45-D45</x:f>
        <x:v>19500</x:v>
      </x:c>
      <x:c r="F45" s="6" t="n">
        <x:f>F44+E45</x:f>
        <x:v>2137000</x:v>
      </x:c>
      <x:c r="G45" s="6" t="n">
        <x:v>-102500</x:v>
      </x:c>
      <x:c r="H45" s="6" t="n">
        <x:v>110500</x:v>
      </x:c>
      <x:c r="I45" s="11" t="n">
        <x:v>17</x:v>
      </x:c>
      <x:c r="J45" s="12" t="str">
        <x:v>R40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347500</x:v>
      </x:c>
      <x:c r="D46" s="6" t="n">
        <x:v>31000</x:v>
      </x:c>
      <x:c r="E46" s="6" t="n">
        <x:f>C46-D46</x:f>
        <x:v>316500</x:v>
      </x:c>
      <x:c r="F46" s="6" t="n">
        <x:f>F45+E46</x:f>
        <x:v>2453500</x:v>
      </x:c>
      <x:c r="G46" s="6" t="n">
        <x:v>-8000</x:v>
      </x:c>
      <x:c r="H46" s="6" t="n">
        <x:v>198500</x:v>
      </x:c>
      <x:c r="I46" s="11" t="n">
        <x:v>6</x:v>
      </x:c>
      <x:c r="J46" s="12" t="str">
        <x:v>R40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114000</x:v>
      </x:c>
      <x:c r="E47" s="6" t="n">
        <x:f>C47-D47</x:f>
        <x:v>18000</x:v>
      </x:c>
      <x:c r="F47" s="6" t="n">
        <x:f>F46+E47</x:f>
        <x:v>2471500</x:v>
      </x:c>
      <x:c r="G47" s="6" t="n">
        <x:v>-42000</x:v>
      </x:c>
      <x:c r="H47" s="6" t="n">
        <x:v>101000</x:v>
      </x:c>
      <x:c r="I47" s="11" t="n">
        <x:v>17</x:v>
      </x:c>
      <x:c r="J47" s="12" t="str">
        <x:v>R40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211000</x:v>
      </x:c>
      <x:c r="D48" s="6" t="n">
        <x:v>179500</x:v>
      </x:c>
      <x:c r="E48" s="6" t="n">
        <x:f>C48-D48</x:f>
        <x:v>31500</x:v>
      </x:c>
      <x:c r="F48" s="6" t="n">
        <x:f>F47+E48</x:f>
        <x:v>2503000</x:v>
      </x:c>
      <x:c r="G48" s="6" t="n">
        <x:v>-45500</x:v>
      </x:c>
      <x:c r="H48" s="6" t="n">
        <x:v>274500</x:v>
      </x:c>
      <x:c r="I48" s="11" t="n">
        <x:v>16</x:v>
      </x:c>
      <x:c r="J48" s="12" t="str">
        <x:v>R40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158000</x:v>
      </x:c>
      <x:c r="D49" s="6" t="n">
        <x:v>35500</x:v>
      </x:c>
      <x:c r="E49" s="6" t="n">
        <x:f>C49-D49</x:f>
        <x:v>122500</x:v>
      </x:c>
      <x:c r="F49" s="6" t="n">
        <x:f>F48+E49</x:f>
        <x:v>2625500</x:v>
      </x:c>
      <x:c r="G49" s="6" t="n">
        <x:v>-10000</x:v>
      </x:c>
      <x:c r="H49" s="6" t="n">
        <x:v>53500</x:v>
      </x:c>
      <x:c r="I49" s="11" t="n">
        <x:v>13</x:v>
      </x:c>
      <x:c r="J49" s="12" t="str">
        <x:v>R40</x:v>
      </x:c>
    </x:row>
    <x:row r="50" ht="25" customHeight="1">
      <x:c r="A50" s="2" t="str">
        <x:v>2026-10-21_Day</x:v>
      </x:c>
      <x:c r="B50" s="2" t="str">
        <x:v>後13場</x:v>
      </x:c>
      <x:c r="C50" s="6" t="n">
        <x:v>90000</x:v>
      </x:c>
      <x:c r="D50" s="6" t="n">
        <x:v>222500</x:v>
      </x:c>
      <x:c r="E50" s="6" t="n">
        <x:f>C50-D50</x:f>
        <x:v>-132500</x:v>
      </x:c>
      <x:c r="F50" s="6" t="n">
        <x:f>F49+E50</x:f>
        <x:v>2493000</x:v>
      </x:c>
      <x:c r="G50" s="6" t="n">
        <x:v>-204000</x:v>
      </x:c>
      <x:c r="H50" s="6" t="n">
        <x:v>217000</x:v>
      </x:c>
      <x:c r="I50" s="11" t="n">
        <x:v>18</x:v>
      </x:c>
      <x:c r="J50" s="12" t="str">
        <x:v>R40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93500</x:v>
      </x:c>
      <x:c r="D51" s="6" t="n">
        <x:v>124000</x:v>
      </x:c>
      <x:c r="E51" s="6" t="n">
        <x:f>C51-D51</x:f>
        <x:v>-30500</x:v>
      </x:c>
      <x:c r="F51" s="6" t="n">
        <x:f>F50+E51</x:f>
        <x:v>2462500</x:v>
      </x:c>
      <x:c r="G51" s="6" t="n">
        <x:v>-35000</x:v>
      </x:c>
      <x:c r="H51" s="6" t="n">
        <x:v>131000</x:v>
      </x:c>
      <x:c r="I51" s="11" t="n">
        <x:v>9</x:v>
      </x:c>
      <x:c r="J51" s="12" t="str">
        <x:v>R40</x:v>
      </x:c>
    </x:row>
    <x:row r="52" ht="25" customHeight="1">
      <x:c r="A52" s="2" t="str">
        <x:v>2026-10-22_Day</x:v>
      </x:c>
      <x:c r="B52" s="2" t="str">
        <x:v>後13場</x:v>
      </x:c>
      <x:c r="C52" s="6" t="n">
        <x:v>414500</x:v>
      </x:c>
      <x:c r="D52" s="6" t="n">
        <x:v>20500</x:v>
      </x:c>
      <x:c r="E52" s="6" t="n">
        <x:f>C52-D52</x:f>
        <x:v>394000</x:v>
      </x:c>
      <x:c r="F52" s="6" t="n">
        <x:f>F51+E52</x:f>
        <x:v>2856500</x:v>
      </x:c>
      <x:c r="G52" s="6" t="n">
        <x:v>-17000</x:v>
      </x:c>
      <x:c r="H52" s="6" t="n">
        <x:v>93000</x:v>
      </x:c>
      <x:c r="I52" s="11" t="n">
        <x:v>4</x:v>
      </x:c>
      <x:c r="J52" s="12" t="str">
        <x:v>R40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3012500</x:v>
      </x:c>
      <x:c r="G53" s="6" t="n">
        <x:v>-2000</x:v>
      </x:c>
      <x:c r="H53" s="6" t="n">
        <x:v>64000</x:v>
      </x:c>
      <x:c r="I53" s="11" t="n">
        <x:v>3</x:v>
      </x:c>
      <x:c r="J53" s="12" t="str">
        <x:v>R40</x:v>
      </x:c>
    </x:row>
    <x:row r="54" ht="25" customHeight="1">
      <x:c r="A54" s="2" t="str">
        <x:v>2026-10-23_Day</x:v>
      </x:c>
      <x:c r="B54" s="2" t="str">
        <x:v>後13場</x:v>
      </x:c>
      <x:c r="C54" s="6" t="n">
        <x:v>355500</x:v>
      </x:c>
      <x:c r="D54" s="6" t="n">
        <x:v>86500</x:v>
      </x:c>
      <x:c r="E54" s="6" t="n">
        <x:f>C54-D54</x:f>
        <x:v>269000</x:v>
      </x:c>
      <x:c r="F54" s="6" t="n">
        <x:f>F53+E54</x:f>
        <x:v>3281500</x:v>
      </x:c>
      <x:c r="G54" s="6" t="n">
        <x:v>-17000</x:v>
      </x:c>
      <x:c r="H54" s="6" t="n">
        <x:v>82000</x:v>
      </x:c>
      <x:c r="I54" s="11" t="n">
        <x:v>20</x:v>
      </x:c>
      <x:c r="J54" s="12" t="str">
        <x:v>R40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83000</x:v>
      </x:c>
      <x:c r="E55" s="6" t="n">
        <x:f>C55-D55</x:f>
        <x:v>-8000</x:v>
      </x:c>
      <x:c r="F55" s="6" t="n">
        <x:f>F54+E55</x:f>
        <x:v>3273500</x:v>
      </x:c>
      <x:c r="G55" s="6" t="n">
        <x:v>-47000</x:v>
      </x:c>
      <x:c r="H55" s="6" t="n">
        <x:v>89000</x:v>
      </x:c>
      <x:c r="I55" s="11" t="n">
        <x:v>13</x:v>
      </x:c>
      <x:c r="J55" s="12" t="str">
        <x:v>R40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171000</x:v>
      </x:c>
      <x:c r="D56" s="6" t="n">
        <x:v>202500</x:v>
      </x:c>
      <x:c r="E56" s="6" t="n">
        <x:f>C56-D56</x:f>
        <x:v>-31500</x:v>
      </x:c>
      <x:c r="F56" s="6" t="n">
        <x:f>F55+E56</x:f>
        <x:v>3242000</x:v>
      </x:c>
      <x:c r="G56" s="6" t="n">
        <x:v>-127500</x:v>
      </x:c>
      <x:c r="H56" s="6" t="n">
        <x:v>244000</x:v>
      </x:c>
      <x:c r="I56" s="11" t="n">
        <x:v>9</x:v>
      </x:c>
      <x:c r="J56" s="12" t="str">
        <x:v>R40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126500</x:v>
      </x:c>
      <x:c r="E57" s="6" t="n">
        <x:f>C57-D57</x:f>
        <x:v>-38500</x:v>
      </x:c>
      <x:c r="F57" s="6" t="n">
        <x:f>F56+E57</x:f>
        <x:v>3203500</x:v>
      </x:c>
      <x:c r="G57" s="6" t="n">
        <x:v>-39500</x:v>
      </x:c>
      <x:c r="H57" s="6" t="n">
        <x:v>121000</x:v>
      </x:c>
      <x:c r="I57" s="11" t="n">
        <x:v>14</x:v>
      </x:c>
      <x:c r="J57" s="12" t="str">
        <x:v>R40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255000</x:v>
      </x:c>
      <x:c r="E58" s="6" t="n">
        <x:f>C58-D58</x:f>
        <x:v>-131000</x:v>
      </x:c>
      <x:c r="F58" s="6" t="n">
        <x:f>F57+E58</x:f>
        <x:v>3072500</x:v>
      </x:c>
      <x:c r="G58" s="6" t="n">
        <x:v>-149000</x:v>
      </x:c>
      <x:c r="H58" s="6" t="n">
        <x:v>204500</x:v>
      </x:c>
      <x:c r="I58" s="11" t="n">
        <x:v>19</x:v>
      </x:c>
      <x:c r="J58" s="12" t="str">
        <x:v>R40</x:v>
      </x:c>
    </x:row>
    <x:row r="59" ht="25" customHeight="1">
      <x:c r="A59" s="16" t="str">
        <x:v>累計／場内最悪値</x:v>
      </x:c>
      <x:c r="B59" s="16"/>
      <x:c r="C59" s="17" t="n">
        <x:f>SUM(C6:C58)</x:f>
        <x:v>7395500</x:v>
      </x:c>
      <x:c r="D59" s="17" t="n">
        <x:f>SUM(D6:D58)</x:f>
        <x:v>4323000</x:v>
      </x:c>
      <x:c r="E59" s="17" t="n">
        <x:f>C59-D59</x:f>
        <x:v>3072500</x:v>
      </x:c>
      <x:c r="F59" s="17" t="n">
        <x:f>F58</x:f>
        <x:v>3072500</x:v>
      </x:c>
      <x:c r="G59" s="17" t="n">
        <x:f>MIN(G6:G58)</x:f>
        <x:v>-204000</x:v>
      </x:c>
      <x:c r="H59" s="17" t="n">
        <x:f>MAX(H6:H58)</x:f>
        <x:v>274500</x:v>
      </x:c>
      <x:c r="I59" s="18" t="n">
        <x:f>SUM(I6:I58)</x:f>
        <x:v>499</x:v>
      </x:c>
      <x:c r="J59" s="17"/>
    </x:row>
  </x:sheetData>
  <x:conditionalFormatting sqref="E6:G58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6533322eb2496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R80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G80後の不利極値から40円回復で一度復元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R80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R80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R80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-46000</x:v>
      </x:c>
      <x:c r="G9" s="6" t="n">
        <x:v>-45000</x:v>
      </x:c>
      <x:c r="H9" s="6" t="n">
        <x:v>55000</x:v>
      </x:c>
      <x:c r="I9" s="11" t="n">
        <x:v>2</x:v>
      </x:c>
      <x:c r="J9" s="12" t="str">
        <x:v>R80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4000</x:v>
      </x:c>
      <x:c r="G10" s="6" t="n">
        <x:v>-15000</x:v>
      </x:c>
      <x:c r="H10" s="6" t="n">
        <x:v>40000</x:v>
      </x:c>
      <x:c r="I10" s="11" t="n">
        <x:v>1</x:v>
      </x:c>
      <x:c r="J10" s="12" t="str">
        <x:v>R80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-32000</x:v>
      </x:c>
      <x:c r="G11" s="6" t="n">
        <x:v>-44000</x:v>
      </x:c>
      <x:c r="H11" s="6" t="n">
        <x:v>44000</x:v>
      </x:c>
      <x:c r="I11" s="11" t="n">
        <x:v>3</x:v>
      </x:c>
      <x:c r="J11" s="12" t="str">
        <x:v>R80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184000</x:v>
      </x:c>
      <x:c r="D12" s="6" t="n">
        <x:v>69000</x:v>
      </x:c>
      <x:c r="E12" s="6" t="n">
        <x:f>C12-D12</x:f>
        <x:v>115000</x:v>
      </x:c>
      <x:c r="F12" s="6" t="n">
        <x:f>F11+E12</x:f>
        <x:v>83000</x:v>
      </x:c>
      <x:c r="G12" s="6" t="n">
        <x:v>-14000</x:v>
      </x:c>
      <x:c r="H12" s="6" t="n">
        <x:v>143000</x:v>
      </x:c>
      <x:c r="I12" s="11" t="n">
        <x:v>9</x:v>
      </x:c>
      <x:c r="J12" s="12" t="str">
        <x:v>R80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133000</x:v>
      </x:c>
      <x:c r="G13" s="6" t="n">
        <x:v>-85000</x:v>
      </x:c>
      <x:c r="H13" s="6" t="n">
        <x:v>90000</x:v>
      </x:c>
      <x:c r="I13" s="11" t="n">
        <x:v>4</x:v>
      </x:c>
      <x:c r="J13" s="12" t="str">
        <x:v>R80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159000</x:v>
      </x:c>
      <x:c r="D14" s="6" t="n">
        <x:v>28000</x:v>
      </x:c>
      <x:c r="E14" s="6" t="n">
        <x:f>C14-D14</x:f>
        <x:v>131000</x:v>
      </x:c>
      <x:c r="F14" s="6" t="n">
        <x:f>F13+E14</x:f>
        <x:v>264000</x:v>
      </x:c>
      <x:c r="G14" s="6" t="n">
        <x:v>-10000</x:v>
      </x:c>
      <x:c r="H14" s="6" t="n">
        <x:v>85000</x:v>
      </x:c>
      <x:c r="I14" s="11" t="n">
        <x:v>6</x:v>
      </x:c>
      <x:c r="J14" s="12" t="str">
        <x:v>R80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18000</x:v>
      </x:c>
      <x:c r="E15" s="6" t="n">
        <x:f>C15-D15</x:f>
        <x:v>-1000</x:v>
      </x:c>
      <x:c r="F15" s="6" t="n">
        <x:f>F14+E15</x:f>
        <x:v>263000</x:v>
      </x:c>
      <x:c r="G15" s="6" t="n">
        <x:v>-16000</x:v>
      </x:c>
      <x:c r="H15" s="6" t="n">
        <x:v>26000</x:v>
      </x:c>
      <x:c r="I15" s="11" t="n">
        <x:v>3</x:v>
      </x:c>
      <x:c r="J15" s="12" t="str">
        <x:v>R80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145000</x:v>
      </x:c>
      <x:c r="D16" s="6" t="n">
        <x:v>148000</x:v>
      </x:c>
      <x:c r="E16" s="6" t="n">
        <x:f>C16-D16</x:f>
        <x:v>-3000</x:v>
      </x:c>
      <x:c r="F16" s="6" t="n">
        <x:f>F15+E16</x:f>
        <x:v>260000</x:v>
      </x:c>
      <x:c r="G16" s="6" t="n">
        <x:v>-92000</x:v>
      </x:c>
      <x:c r="H16" s="6" t="n">
        <x:v>145000</x:v>
      </x:c>
      <x:c r="I16" s="11" t="n">
        <x:v>10</x:v>
      </x:c>
      <x:c r="J16" s="12" t="str">
        <x:v>R80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235000</x:v>
      </x:c>
      <x:c r="G17" s="6" t="n">
        <x:v>-36000</x:v>
      </x:c>
      <x:c r="H17" s="6" t="n">
        <x:v>43000</x:v>
      </x:c>
      <x:c r="I17" s="11" t="n">
        <x:v>5</x:v>
      </x:c>
      <x:c r="J17" s="12" t="str">
        <x:v>R80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225000</x:v>
      </x:c>
      <x:c r="D18" s="6" t="n">
        <x:v>143000</x:v>
      </x:c>
      <x:c r="E18" s="6" t="n">
        <x:f>C18-D18</x:f>
        <x:v>82000</x:v>
      </x:c>
      <x:c r="F18" s="6" t="n">
        <x:f>F17+E18</x:f>
        <x:v>317000</x:v>
      </x:c>
      <x:c r="G18" s="6" t="n">
        <x:v>-124000</x:v>
      </x:c>
      <x:c r="H18" s="6" t="n">
        <x:v>218000</x:v>
      </x:c>
      <x:c r="I18" s="11" t="n">
        <x:v>15</x:v>
      </x:c>
      <x:c r="J18" s="12" t="str">
        <x:v>R80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22500</x:v>
      </x:c>
      <x:c r="E19" s="6" t="n">
        <x:f>C19-D19</x:f>
        <x:v>67500</x:v>
      </x:c>
      <x:c r="F19" s="6" t="n">
        <x:f>F18+E19</x:f>
        <x:v>384500</x:v>
      </x:c>
      <x:c r="G19" s="6" t="n">
        <x:v>-30000</x:v>
      </x:c>
      <x:c r="H19" s="6" t="n">
        <x:v>70000</x:v>
      </x:c>
      <x:c r="I19" s="11" t="n">
        <x:v>6</x:v>
      </x:c>
      <x:c r="J19" s="12" t="str">
        <x:v>R80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503500</x:v>
      </x:c>
      <x:c r="G20" s="6" t="n">
        <x:v>-72000</x:v>
      </x:c>
      <x:c r="H20" s="6" t="n">
        <x:v>91000</x:v>
      </x:c>
      <x:c r="I20" s="11" t="n">
        <x:v>6</x:v>
      </x:c>
      <x:c r="J20" s="12" t="str">
        <x:v>R80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139000</x:v>
      </x:c>
      <x:c r="D21" s="6" t="n">
        <x:v>31000</x:v>
      </x:c>
      <x:c r="E21" s="6" t="n">
        <x:f>C21-D21</x:f>
        <x:v>108000</x:v>
      </x:c>
      <x:c r="F21" s="6" t="n">
        <x:f>F20+E21</x:f>
        <x:v>611500</x:v>
      </x:c>
      <x:c r="G21" s="6" t="n">
        <x:v>-70000</x:v>
      </x:c>
      <x:c r="H21" s="6" t="n">
        <x:v>90000</x:v>
      </x:c>
      <x:c r="I21" s="11" t="n">
        <x:v>7</x:v>
      </x:c>
      <x:c r="J21" s="12" t="str">
        <x:v>R80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105500</x:v>
      </x:c>
      <x:c r="E22" s="6" t="n">
        <x:f>C22-D22</x:f>
        <x:v>142500</x:v>
      </x:c>
      <x:c r="F22" s="6" t="n">
        <x:f>F21+E22</x:f>
        <x:v>754000</x:v>
      </x:c>
      <x:c r="G22" s="6" t="n">
        <x:v>-64500</x:v>
      </x:c>
      <x:c r="H22" s="6" t="n">
        <x:v>90000</x:v>
      </x:c>
      <x:c r="I22" s="11" t="n">
        <x:v>6</x:v>
      </x:c>
      <x:c r="J22" s="12" t="str">
        <x:v>R80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263000</x:v>
      </x:c>
      <x:c r="D23" s="6" t="n">
        <x:v>95000</x:v>
      </x:c>
      <x:c r="E23" s="6" t="n">
        <x:f>C23-D23</x:f>
        <x:v>168000</x:v>
      </x:c>
      <x:c r="F23" s="6" t="n">
        <x:f>F22+E23</x:f>
        <x:v>922000</x:v>
      </x:c>
      <x:c r="G23" s="6" t="n">
        <x:v>-25000</x:v>
      </x:c>
      <x:c r="H23" s="6" t="n">
        <x:v>148000</x:v>
      </x:c>
      <x:c r="I23" s="11" t="n">
        <x:v>18</x:v>
      </x:c>
      <x:c r="J23" s="12" t="str">
        <x:v>R80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78000</x:v>
      </x:c>
      <x:c r="E24" s="6" t="n">
        <x:f>C24-D24</x:f>
        <x:v>-42000</x:v>
      </x:c>
      <x:c r="F24" s="6" t="n">
        <x:f>F23+E24</x:f>
        <x:v>880000</x:v>
      </x:c>
      <x:c r="G24" s="6" t="n">
        <x:v>-81000</x:v>
      </x:c>
      <x:c r="H24" s="6" t="n">
        <x:v>159000</x:v>
      </x:c>
      <x:c r="I24" s="11" t="n">
        <x:v>9</x:v>
      </x:c>
      <x:c r="J24" s="12" t="str">
        <x:v>R80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313000</x:v>
      </x:c>
      <x:c r="D25" s="6" t="n">
        <x:v>60000</x:v>
      </x:c>
      <x:c r="E25" s="6" t="n">
        <x:f>C25-D25</x:f>
        <x:v>253000</x:v>
      </x:c>
      <x:c r="F25" s="6" t="n">
        <x:f>F24+E25</x:f>
        <x:v>1133000</x:v>
      </x:c>
      <x:c r="G25" s="6" t="n">
        <x:v>-34000</x:v>
      </x:c>
      <x:c r="H25" s="6" t="n">
        <x:v>165000</x:v>
      </x:c>
      <x:c r="I25" s="11" t="n">
        <x:v>16</x:v>
      </x:c>
      <x:c r="J25" s="12" t="str">
        <x:v>R80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1063000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R80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64000</x:v>
      </x:c>
      <x:c r="E27" s="6" t="n">
        <x:f>C27-D27</x:f>
        <x:v>49000</x:v>
      </x:c>
      <x:c r="F27" s="6" t="n">
        <x:f>F26+E27</x:f>
        <x:v>1112000</x:v>
      </x:c>
      <x:c r="G27" s="6" t="n">
        <x:v>-23000</x:v>
      </x:c>
      <x:c r="H27" s="6" t="n">
        <x:v>128000</x:v>
      </x:c>
      <x:c r="I27" s="11" t="n">
        <x:v>8</x:v>
      </x:c>
      <x:c r="J27" s="12" t="str">
        <x:v>R80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163000</x:v>
      </x:c>
      <x:c r="E28" s="6" t="n">
        <x:f>C28-D28</x:f>
        <x:v>-14000</x:v>
      </x:c>
      <x:c r="F28" s="6" t="n">
        <x:f>F27+E28</x:f>
        <x:v>1098000</x:v>
      </x:c>
      <x:c r="G28" s="6" t="n">
        <x:v>-70000</x:v>
      </x:c>
      <x:c r="H28" s="6" t="n">
        <x:v>94000</x:v>
      </x:c>
      <x:c r="I28" s="11" t="n">
        <x:v>11</x:v>
      </x:c>
      <x:c r="J28" s="12" t="str">
        <x:v>R80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1088000</x:v>
      </x:c>
      <x:c r="G29" s="6" t="n">
        <x:v>-56000</x:v>
      </x:c>
      <x:c r="H29" s="6" t="n">
        <x:v>56000</x:v>
      </x:c>
      <x:c r="I29" s="11" t="n">
        <x:v>4</x:v>
      </x:c>
      <x:c r="J29" s="12" t="str">
        <x:v>R80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46000</x:v>
      </x:c>
      <x:c r="E30" s="6" t="n">
        <x:f>C30-D30</x:f>
        <x:v>121000</x:v>
      </x:c>
      <x:c r="F30" s="6" t="n">
        <x:f>F29+E30</x:f>
        <x:v>1209000</x:v>
      </x:c>
      <x:c r="G30" s="6" t="n">
        <x:v>-6000</x:v>
      </x:c>
      <x:c r="H30" s="6" t="n">
        <x:v>62000</x:v>
      </x:c>
      <x:c r="I30" s="11" t="n">
        <x:v>7</x:v>
      </x:c>
      <x:c r="J30" s="12" t="str">
        <x:v>R80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48000</x:v>
      </x:c>
      <x:c r="E31" s="6" t="n">
        <x:f>C31-D31</x:f>
        <x:v>-25000</x:v>
      </x:c>
      <x:c r="F31" s="6" t="n">
        <x:f>F30+E31</x:f>
        <x:v>1184000</x:v>
      </x:c>
      <x:c r="G31" s="6" t="n">
        <x:v>-30000</x:v>
      </x:c>
      <x:c r="H31" s="6" t="n">
        <x:v>51000</x:v>
      </x:c>
      <x:c r="I31" s="11" t="n">
        <x:v>6</x:v>
      </x:c>
      <x:c r="J31" s="12" t="str">
        <x:v>R80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134000</x:v>
      </x:c>
      <x:c r="D32" s="6" t="n">
        <x:v>100000</x:v>
      </x:c>
      <x:c r="E32" s="6" t="n">
        <x:f>C32-D32</x:f>
        <x:v>34000</x:v>
      </x:c>
      <x:c r="F32" s="6" t="n">
        <x:f>F31+E32</x:f>
        <x:v>1218000</x:v>
      </x:c>
      <x:c r="G32" s="6" t="n">
        <x:v>-80000</x:v>
      </x:c>
      <x:c r="H32" s="6" t="n">
        <x:v>119000</x:v>
      </x:c>
      <x:c r="I32" s="11" t="n">
        <x:v>8</x:v>
      </x:c>
      <x:c r="J32" s="12" t="str">
        <x:v>R80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350000</x:v>
      </x:c>
      <x:c r="D33" s="6" t="n">
        <x:v>36000</x:v>
      </x:c>
      <x:c r="E33" s="6" t="n">
        <x:f>C33-D33</x:f>
        <x:v>314000</x:v>
      </x:c>
      <x:c r="F33" s="6" t="n">
        <x:f>F32+E33</x:f>
        <x:v>1532000</x:v>
      </x:c>
      <x:c r="G33" s="6" t="n">
        <x:v>-34000</x:v>
      </x:c>
      <x:c r="H33" s="6" t="n">
        <x:v>102000</x:v>
      </x:c>
      <x:c r="I33" s="11" t="n">
        <x:v>17</x:v>
      </x:c>
      <x:c r="J33" s="12" t="str">
        <x:v>R80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144000</x:v>
      </x:c>
      <x:c r="D34" s="6" t="n">
        <x:v>77000</x:v>
      </x:c>
      <x:c r="E34" s="6" t="n">
        <x:f>C34-D34</x:f>
        <x:v>67000</x:v>
      </x:c>
      <x:c r="F34" s="6" t="n">
        <x:f>F33+E34</x:f>
        <x:v>1599000</x:v>
      </x:c>
      <x:c r="G34" s="6" t="n">
        <x:v>-29000</x:v>
      </x:c>
      <x:c r="H34" s="6" t="n">
        <x:v>97000</x:v>
      </x:c>
      <x:c r="I34" s="11" t="n">
        <x:v>10</x:v>
      </x:c>
      <x:c r="J34" s="12" t="str">
        <x:v>R80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1653000</x:v>
      </x:c>
      <x:c r="G35" s="6" t="n">
        <x:v>-10000</x:v>
      </x:c>
      <x:c r="H35" s="6" t="n">
        <x:v>60000</x:v>
      </x:c>
      <x:c r="I35" s="11" t="n">
        <x:v>3</x:v>
      </x:c>
      <x:c r="J35" s="12" t="str">
        <x:v>R80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1693000</x:v>
      </x:c>
      <x:c r="G36" s="6" t="n">
        <x:v>-31000</x:v>
      </x:c>
      <x:c r="H36" s="6" t="n">
        <x:v>70000</x:v>
      </x:c>
      <x:c r="I36" s="11" t="n">
        <x:v>3</x:v>
      </x:c>
      <x:c r="J36" s="12" t="str">
        <x:v>R80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1775000</x:v>
      </x:c>
      <x:c r="G37" s="6" t="n">
        <x:v>-10000</x:v>
      </x:c>
      <x:c r="H37" s="6" t="n">
        <x:v>33000</x:v>
      </x:c>
      <x:c r="I37" s="11" t="n">
        <x:v>1</x:v>
      </x:c>
      <x:c r="J37" s="12" t="str">
        <x:v>R80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220000</x:v>
      </x:c>
      <x:c r="D38" s="6" t="n">
        <x:v>180000</x:v>
      </x:c>
      <x:c r="E38" s="6" t="n">
        <x:f>C38-D38</x:f>
        <x:v>40000</x:v>
      </x:c>
      <x:c r="F38" s="6" t="n">
        <x:f>F37+E38</x:f>
        <x:v>1815000</x:v>
      </x:c>
      <x:c r="G38" s="6" t="n">
        <x:v>-53000</x:v>
      </x:c>
      <x:c r="H38" s="6" t="n">
        <x:v>113000</x:v>
      </x:c>
      <x:c r="I38" s="11" t="n">
        <x:v>18</x:v>
      </x:c>
      <x:c r="J38" s="12" t="str">
        <x:v>R80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1777000</x:v>
      </x:c>
      <x:c r="G39" s="6" t="n">
        <x:v>-38000</x:v>
      </x:c>
      <x:c r="H39" s="6" t="n">
        <x:v>58000</x:v>
      </x:c>
      <x:c r="I39" s="11" t="n">
        <x:v>3</x:v>
      </x:c>
      <x:c r="J39" s="12" t="str">
        <x:v>R80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58000</x:v>
      </x:c>
      <x:c r="E40" s="6" t="n">
        <x:f>C40-D40</x:f>
        <x:v>103000</x:v>
      </x:c>
      <x:c r="F40" s="6" t="n">
        <x:f>F39+E40</x:f>
        <x:v>1880000</x:v>
      </x:c>
      <x:c r="G40" s="6" t="n">
        <x:v>-56500</x:v>
      </x:c>
      <x:c r="H40" s="6" t="n">
        <x:v>73500</x:v>
      </x:c>
      <x:c r="I40" s="11" t="n">
        <x:v>5</x:v>
      </x:c>
      <x:c r="J40" s="12" t="str">
        <x:v>R80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66500</x:v>
      </x:c>
      <x:c r="E41" s="6" t="n">
        <x:f>C41-D41</x:f>
        <x:v>145500</x:v>
      </x:c>
      <x:c r="F41" s="6" t="n">
        <x:f>F40+E41</x:f>
        <x:v>2025500</x:v>
      </x:c>
      <x:c r="G41" s="6" t="n">
        <x:v>-53000</x:v>
      </x:c>
      <x:c r="H41" s="6" t="n">
        <x:v>73000</x:v>
      </x:c>
      <x:c r="I41" s="11" t="n">
        <x:v>7</x:v>
      </x:c>
      <x:c r="J41" s="12" t="str">
        <x:v>R80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61000</x:v>
      </x:c>
      <x:c r="E42" s="6" t="n">
        <x:f>C42-D42</x:f>
        <x:v>245000</x:v>
      </x:c>
      <x:c r="F42" s="6" t="n">
        <x:f>F41+E42</x:f>
        <x:v>2270500</x:v>
      </x:c>
      <x:c r="G42" s="6" t="n">
        <x:v>-59000</x:v>
      </x:c>
      <x:c r="H42" s="6" t="n">
        <x:v>118000</x:v>
      </x:c>
      <x:c r="I42" s="11" t="n">
        <x:v>7</x:v>
      </x:c>
      <x:c r="J42" s="12" t="str">
        <x:v>R80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55500</x:v>
      </x:c>
      <x:c r="E43" s="6" t="n">
        <x:f>C43-D43</x:f>
        <x:v>30500</x:v>
      </x:c>
      <x:c r="F43" s="6" t="n">
        <x:f>F42+E43</x:f>
        <x:v>2301000</x:v>
      </x:c>
      <x:c r="G43" s="6" t="n">
        <x:v>-39500</x:v>
      </x:c>
      <x:c r="H43" s="6" t="n">
        <x:v>81500</x:v>
      </x:c>
      <x:c r="I43" s="11" t="n">
        <x:v>7</x:v>
      </x:c>
      <x:c r="J43" s="12" t="str">
        <x:v>R80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235000</x:v>
      </x:c>
      <x:c r="E44" s="6" t="n">
        <x:f>C44-D44</x:f>
        <x:v>-83000</x:v>
      </x:c>
      <x:c r="F44" s="6" t="n">
        <x:f>F43+E44</x:f>
        <x:v>2218000</x:v>
      </x:c>
      <x:c r="G44" s="6" t="n">
        <x:v>-150000</x:v>
      </x:c>
      <x:c r="H44" s="6" t="n">
        <x:v>165000</x:v>
      </x:c>
      <x:c r="I44" s="11" t="n">
        <x:v>15</x:v>
      </x:c>
      <x:c r="J44" s="12" t="str">
        <x:v>R80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179500</x:v>
      </x:c>
      <x:c r="D45" s="6" t="n">
        <x:v>164500</x:v>
      </x:c>
      <x:c r="E45" s="6" t="n">
        <x:f>C45-D45</x:f>
        <x:v>15000</x:v>
      </x:c>
      <x:c r="F45" s="6" t="n">
        <x:f>F44+E45</x:f>
        <x:v>2233000</x:v>
      </x:c>
      <x:c r="G45" s="6" t="n">
        <x:v>-104000</x:v>
      </x:c>
      <x:c r="H45" s="6" t="n">
        <x:v>114000</x:v>
      </x:c>
      <x:c r="I45" s="11" t="n">
        <x:v>17</x:v>
      </x:c>
      <x:c r="J45" s="12" t="str">
        <x:v>R80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347500</x:v>
      </x:c>
      <x:c r="D46" s="6" t="n">
        <x:v>36000</x:v>
      </x:c>
      <x:c r="E46" s="6" t="n">
        <x:f>C46-D46</x:f>
        <x:v>311500</x:v>
      </x:c>
      <x:c r="F46" s="6" t="n">
        <x:f>F45+E46</x:f>
        <x:v>2544500</x:v>
      </x:c>
      <x:c r="G46" s="6" t="n">
        <x:v>-8000</x:v>
      </x:c>
      <x:c r="H46" s="6" t="n">
        <x:v>198500</x:v>
      </x:c>
      <x:c r="I46" s="11" t="n">
        <x:v>6</x:v>
      </x:c>
      <x:c r="J46" s="12" t="str">
        <x:v>R80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103000</x:v>
      </x:c>
      <x:c r="E47" s="6" t="n">
        <x:f>C47-D47</x:f>
        <x:v>29000</x:v>
      </x:c>
      <x:c r="F47" s="6" t="n">
        <x:f>F46+E47</x:f>
        <x:v>2573500</x:v>
      </x:c>
      <x:c r="G47" s="6" t="n">
        <x:v>-40000</x:v>
      </x:c>
      <x:c r="H47" s="6" t="n">
        <x:v>95000</x:v>
      </x:c>
      <x:c r="I47" s="11" t="n">
        <x:v>14</x:v>
      </x:c>
      <x:c r="J47" s="12" t="str">
        <x:v>R80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213000</x:v>
      </x:c>
      <x:c r="D48" s="6" t="n">
        <x:v>202000</x:v>
      </x:c>
      <x:c r="E48" s="6" t="n">
        <x:f>C48-D48</x:f>
        <x:v>11000</x:v>
      </x:c>
      <x:c r="F48" s="6" t="n">
        <x:f>F47+E48</x:f>
        <x:v>2584500</x:v>
      </x:c>
      <x:c r="G48" s="6" t="n">
        <x:v>-65000</x:v>
      </x:c>
      <x:c r="H48" s="6" t="n">
        <x:v>294000</x:v>
      </x:c>
      <x:c r="I48" s="11" t="n">
        <x:v>16</x:v>
      </x:c>
      <x:c r="J48" s="12" t="str">
        <x:v>R80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158000</x:v>
      </x:c>
      <x:c r="D49" s="6" t="n">
        <x:v>39500</x:v>
      </x:c>
      <x:c r="E49" s="6" t="n">
        <x:f>C49-D49</x:f>
        <x:v>118500</x:v>
      </x:c>
      <x:c r="F49" s="6" t="n">
        <x:f>F48+E49</x:f>
        <x:v>2703000</x:v>
      </x:c>
      <x:c r="G49" s="6" t="n">
        <x:v>-10000</x:v>
      </x:c>
      <x:c r="H49" s="6" t="n">
        <x:v>59500</x:v>
      </x:c>
      <x:c r="I49" s="11" t="n">
        <x:v>13</x:v>
      </x:c>
      <x:c r="J49" s="12" t="str">
        <x:v>R80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95000</x:v>
      </x:c>
      <x:c r="D50" s="6" t="n">
        <x:v>201000</x:v>
      </x:c>
      <x:c r="E50" s="6" t="n">
        <x:f>C50-D50</x:f>
        <x:v>-106000</x:v>
      </x:c>
      <x:c r="F50" s="6" t="n">
        <x:f>F49+E50</x:f>
        <x:v>2597000</x:v>
      </x:c>
      <x:c r="G50" s="6" t="n">
        <x:v>-196000</x:v>
      </x:c>
      <x:c r="H50" s="6" t="n">
        <x:v>204000</x:v>
      </x:c>
      <x:c r="I50" s="11" t="n">
        <x:v>14</x:v>
      </x:c>
      <x:c r="J50" s="12" t="str">
        <x:v>R80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93500</x:v>
      </x:c>
      <x:c r="D51" s="6" t="n">
        <x:v>134000</x:v>
      </x:c>
      <x:c r="E51" s="6" t="n">
        <x:f>C51-D51</x:f>
        <x:v>-40500</x:v>
      </x:c>
      <x:c r="F51" s="6" t="n">
        <x:f>F50+E51</x:f>
        <x:v>2556500</x:v>
      </x:c>
      <x:c r="G51" s="6" t="n">
        <x:v>-42500</x:v>
      </x:c>
      <x:c r="H51" s="6" t="n">
        <x:v>131000</x:v>
      </x:c>
      <x:c r="I51" s="11" t="n">
        <x:v>9</x:v>
      </x:c>
      <x:c r="J51" s="12" t="str">
        <x:v>R80</x:v>
      </x:c>
    </x:row>
    <x:row r="52" ht="25" customHeight="1">
      <x:c r="A52" s="2" t="str">
        <x:v>2026-10-22_Day</x:v>
      </x:c>
      <x:c r="B52" s="2" t="str">
        <x:v>後13場</x:v>
      </x:c>
      <x:c r="C52" s="6" t="n">
        <x:v>414500</x:v>
      </x:c>
      <x:c r="D52" s="6" t="n">
        <x:v>33000</x:v>
      </x:c>
      <x:c r="E52" s="6" t="n">
        <x:f>C52-D52</x:f>
        <x:v>381500</x:v>
      </x:c>
      <x:c r="F52" s="6" t="n">
        <x:f>F51+E52</x:f>
        <x:v>2938000</x:v>
      </x:c>
      <x:c r="G52" s="6" t="n">
        <x:v>-29500</x:v>
      </x:c>
      <x:c r="H52" s="6" t="n">
        <x:v>105500</x:v>
      </x:c>
      <x:c r="I52" s="11" t="n">
        <x:v>4</x:v>
      </x:c>
      <x:c r="J52" s="12" t="str">
        <x:v>R80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3094000</x:v>
      </x:c>
      <x:c r="G53" s="6" t="n">
        <x:v>-2000</x:v>
      </x:c>
      <x:c r="H53" s="6" t="n">
        <x:v>64000</x:v>
      </x:c>
      <x:c r="I53" s="11" t="n">
        <x:v>3</x:v>
      </x:c>
      <x:c r="J53" s="12" t="str">
        <x:v>R80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360500</x:v>
      </x:c>
      <x:c r="D54" s="6" t="n">
        <x:v>96500</x:v>
      </x:c>
      <x:c r="E54" s="6" t="n">
        <x:f>C54-D54</x:f>
        <x:v>264000</x:v>
      </x:c>
      <x:c r="F54" s="6" t="n">
        <x:f>F53+E54</x:f>
        <x:v>3358000</x:v>
      </x:c>
      <x:c r="G54" s="6" t="n">
        <x:v>-21000</x:v>
      </x:c>
      <x:c r="H54" s="6" t="n">
        <x:v>88000</x:v>
      </x:c>
      <x:c r="I54" s="11" t="n">
        <x:v>18</x:v>
      </x:c>
      <x:c r="J54" s="12" t="str">
        <x:v>R80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71000</x:v>
      </x:c>
      <x:c r="E55" s="6" t="n">
        <x:f>C55-D55</x:f>
        <x:v>4000</x:v>
      </x:c>
      <x:c r="F55" s="6" t="n">
        <x:f>F54+E55</x:f>
        <x:v>3362000</x:v>
      </x:c>
      <x:c r="G55" s="6" t="n">
        <x:v>-41000</x:v>
      </x:c>
      <x:c r="H55" s="6" t="n">
        <x:v>89000</x:v>
      </x:c>
      <x:c r="I55" s="11" t="n">
        <x:v>12</x:v>
      </x:c>
      <x:c r="J55" s="12" t="str">
        <x:v>R80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171000</x:v>
      </x:c>
      <x:c r="D56" s="6" t="n">
        <x:v>215000</x:v>
      </x:c>
      <x:c r="E56" s="6" t="n">
        <x:f>C56-D56</x:f>
        <x:v>-44000</x:v>
      </x:c>
      <x:c r="F56" s="6" t="n">
        <x:f>F55+E56</x:f>
        <x:v>3318000</x:v>
      </x:c>
      <x:c r="G56" s="6" t="n">
        <x:v>-140000</x:v>
      </x:c>
      <x:c r="H56" s="6" t="n">
        <x:v>254000</x:v>
      </x:c>
      <x:c r="I56" s="11" t="n">
        <x:v>9</x:v>
      </x:c>
      <x:c r="J56" s="12" t="str">
        <x:v>R80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130000</x:v>
      </x:c>
      <x:c r="E57" s="6" t="n">
        <x:f>C57-D57</x:f>
        <x:v>-42000</x:v>
      </x:c>
      <x:c r="F57" s="6" t="n">
        <x:f>F56+E57</x:f>
        <x:v>3276000</x:v>
      </x:c>
      <x:c r="G57" s="6" t="n">
        <x:v>-43000</x:v>
      </x:c>
      <x:c r="H57" s="6" t="n">
        <x:v>121000</x:v>
      </x:c>
      <x:c r="I57" s="11" t="n">
        <x:v>14</x:v>
      </x:c>
      <x:c r="J57" s="12" t="str">
        <x:v>R80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243500</x:v>
      </x:c>
      <x:c r="E58" s="6" t="n">
        <x:f>C58-D58</x:f>
        <x:v>-119500</x:v>
      </x:c>
      <x:c r="F58" s="6" t="n">
        <x:f>F57+E58</x:f>
        <x:v>3156500</x:v>
      </x:c>
      <x:c r="G58" s="6" t="n">
        <x:v>-137500</x:v>
      </x:c>
      <x:c r="H58" s="6" t="n">
        <x:v>197500</x:v>
      </x:c>
      <x:c r="I58" s="11" t="n">
        <x:v>18</x:v>
      </x:c>
      <x:c r="J58" s="12" t="str">
        <x:v>R80</x:v>
      </x:c>
    </x:row>
    <x:row r="59" ht="25" customHeight="1">
      <x:c r="A59" s="16" t="str">
        <x:v>累計／場内最悪値</x:v>
      </x:c>
      <x:c r="B59" s="16"/>
      <x:c r="C59" s="17" t="n">
        <x:f>SUM(C6:C58)</x:f>
        <x:v>7379500</x:v>
      </x:c>
      <x:c r="D59" s="17" t="n">
        <x:f>SUM(D6:D58)</x:f>
        <x:v>4223000</x:v>
      </x:c>
      <x:c r="E59" s="17" t="n">
        <x:f>C59-D59</x:f>
        <x:v>3156500</x:v>
      </x:c>
      <x:c r="F59" s="17" t="n">
        <x:f>F58</x:f>
        <x:v>3156500</x:v>
      </x:c>
      <x:c r="G59" s="17" t="n">
        <x:f>MIN(G6:G58)</x:f>
        <x:v>-196000</x:v>
      </x:c>
      <x:c r="H59" s="17" t="n">
        <x:f>MAX(H6:H58)</x:f>
        <x:v>294000</x:v>
      </x:c>
      <x:c r="I59" s="18" t="n">
        <x:f>SUM(I6:I58)</x:f>
        <x:v>450</x:v>
      </x:c>
      <x:c r="J59" s="17"/>
    </x:row>
  </x:sheetData>
  <x:conditionalFormatting sqref="E6:G58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886ba0eb694ee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E40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G40後に初回中値を回復して一度復元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E40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E40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E40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7000</x:v>
      </x:c>
      <x:c r="E9" s="6" t="n">
        <x:f>C9-D9</x:f>
        <x:v>40000</x:v>
      </x:c>
      <x:c r="F9" s="6" t="n">
        <x:f>F8+E9</x:f>
        <x:v>-45000</x:v>
      </x:c>
      <x:c r="G9" s="6" t="n">
        <x:v>-45000</x:v>
      </x:c>
      <x:c r="H9" s="6" t="n">
        <x:v>55000</x:v>
      </x:c>
      <x:c r="I9" s="11" t="n">
        <x:v>2</x:v>
      </x:c>
      <x:c r="J9" s="12" t="str">
        <x:v>E40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5000</x:v>
      </x:c>
      <x:c r="G10" s="6" t="n">
        <x:v>-15000</x:v>
      </x:c>
      <x:c r="H10" s="6" t="n">
        <x:v>40000</x:v>
      </x:c>
      <x:c r="I10" s="11" t="n">
        <x:v>1</x:v>
      </x:c>
      <x:c r="J10" s="12" t="str">
        <x:v>E40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-31000</x:v>
      </x:c>
      <x:c r="G11" s="6" t="n">
        <x:v>-44000</x:v>
      </x:c>
      <x:c r="H11" s="6" t="n">
        <x:v>44000</x:v>
      </x:c>
      <x:c r="I11" s="11" t="n">
        <x:v>3</x:v>
      </x:c>
      <x:c r="J11" s="12" t="str">
        <x:v>E40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171000</x:v>
      </x:c>
      <x:c r="D12" s="6" t="n">
        <x:v>72000</x:v>
      </x:c>
      <x:c r="E12" s="6" t="n">
        <x:f>C12-D12</x:f>
        <x:v>99000</x:v>
      </x:c>
      <x:c r="F12" s="6" t="n">
        <x:f>F11+E12</x:f>
        <x:v>68000</x:v>
      </x:c>
      <x:c r="G12" s="6" t="n">
        <x:v>-27000</x:v>
      </x:c>
      <x:c r="H12" s="6" t="n">
        <x:v>143000</x:v>
      </x:c>
      <x:c r="I12" s="11" t="n">
        <x:v>10</x:v>
      </x:c>
      <x:c r="J12" s="12" t="str">
        <x:v>E40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118000</x:v>
      </x:c>
      <x:c r="G13" s="6" t="n">
        <x:v>-85000</x:v>
      </x:c>
      <x:c r="H13" s="6" t="n">
        <x:v>90000</x:v>
      </x:c>
      <x:c r="I13" s="11" t="n">
        <x:v>4</x:v>
      </x:c>
      <x:c r="J13" s="12" t="str">
        <x:v>E40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153500</x:v>
      </x:c>
      <x:c r="D14" s="6" t="n">
        <x:v>33000</x:v>
      </x:c>
      <x:c r="E14" s="6" t="n">
        <x:f>C14-D14</x:f>
        <x:v>120500</x:v>
      </x:c>
      <x:c r="F14" s="6" t="n">
        <x:f>F13+E14</x:f>
        <x:v>238500</x:v>
      </x:c>
      <x:c r="G14" s="6" t="n">
        <x:v>-4000</x:v>
      </x:c>
      <x:c r="H14" s="6" t="n">
        <x:v>84000</x:v>
      </x:c>
      <x:c r="I14" s="11" t="n">
        <x:v>7</x:v>
      </x:c>
      <x:c r="J14" s="12" t="str">
        <x:v>E40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13500</x:v>
      </x:c>
      <x:c r="E15" s="6" t="n">
        <x:f>C15-D15</x:f>
        <x:v>3500</x:v>
      </x:c>
      <x:c r="F15" s="6" t="n">
        <x:f>F14+E15</x:f>
        <x:v>242000</x:v>
      </x:c>
      <x:c r="G15" s="6" t="n">
        <x:v>-16000</x:v>
      </x:c>
      <x:c r="H15" s="6" t="n">
        <x:v>23000</x:v>
      </x:c>
      <x:c r="I15" s="11" t="n">
        <x:v>2</x:v>
      </x:c>
      <x:c r="J15" s="12" t="str">
        <x:v>E40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130000</x:v>
      </x:c>
      <x:c r="D16" s="6" t="n">
        <x:v>188500</x:v>
      </x:c>
      <x:c r="E16" s="6" t="n">
        <x:f>C16-D16</x:f>
        <x:v>-58500</x:v>
      </x:c>
      <x:c r="F16" s="6" t="n">
        <x:f>F15+E16</x:f>
        <x:v>183500</x:v>
      </x:c>
      <x:c r="G16" s="6" t="n">
        <x:v>-145500</x:v>
      </x:c>
      <x:c r="H16" s="6" t="n">
        <x:v>177500</x:v>
      </x:c>
      <x:c r="I16" s="11" t="n">
        <x:v>13</x:v>
      </x:c>
      <x:c r="J16" s="12" t="str">
        <x:v>E40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158500</x:v>
      </x:c>
      <x:c r="G17" s="6" t="n">
        <x:v>-36000</x:v>
      </x:c>
      <x:c r="H17" s="6" t="n">
        <x:v>43000</x:v>
      </x:c>
      <x:c r="I17" s="11" t="n">
        <x:v>5</x:v>
      </x:c>
      <x:c r="J17" s="12" t="str">
        <x:v>E40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217500</x:v>
      </x:c>
      <x:c r="D18" s="6" t="n">
        <x:v>140500</x:v>
      </x:c>
      <x:c r="E18" s="6" t="n">
        <x:f>C18-D18</x:f>
        <x:v>77000</x:v>
      </x:c>
      <x:c r="F18" s="6" t="n">
        <x:f>F17+E18</x:f>
        <x:v>235500</x:v>
      </x:c>
      <x:c r="G18" s="6" t="n">
        <x:v>-132000</x:v>
      </x:c>
      <x:c r="H18" s="6" t="n">
        <x:v>207500</x:v>
      </x:c>
      <x:c r="I18" s="11" t="n">
        <x:v>17</x:v>
      </x:c>
      <x:c r="J18" s="12" t="str">
        <x:v>E40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88500</x:v>
      </x:c>
      <x:c r="D19" s="6" t="n">
        <x:v>36000</x:v>
      </x:c>
      <x:c r="E19" s="6" t="n">
        <x:f>C19-D19</x:f>
        <x:v>52500</x:v>
      </x:c>
      <x:c r="F19" s="6" t="n">
        <x:f>F18+E19</x:f>
        <x:v>288000</x:v>
      </x:c>
      <x:c r="G19" s="6" t="n">
        <x:v>-22000</x:v>
      </x:c>
      <x:c r="H19" s="6" t="n">
        <x:v>64000</x:v>
      </x:c>
      <x:c r="I19" s="11" t="n">
        <x:v>7</x:v>
      </x:c>
      <x:c r="J19" s="12" t="str">
        <x:v>E40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407000</x:v>
      </x:c>
      <x:c r="G20" s="6" t="n">
        <x:v>-72000</x:v>
      </x:c>
      <x:c r="H20" s="6" t="n">
        <x:v>91000</x:v>
      </x:c>
      <x:c r="I20" s="11" t="n">
        <x:v>6</x:v>
      </x:c>
      <x:c r="J20" s="12" t="str">
        <x:v>E40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98000</x:v>
      </x:c>
      <x:c r="D21" s="6" t="n">
        <x:v>33500</x:v>
      </x:c>
      <x:c r="E21" s="6" t="n">
        <x:f>C21-D21</x:f>
        <x:v>64500</x:v>
      </x:c>
      <x:c r="F21" s="6" t="n">
        <x:f>F20+E21</x:f>
        <x:v>471500</x:v>
      </x:c>
      <x:c r="G21" s="6" t="n">
        <x:v>-55000</x:v>
      </x:c>
      <x:c r="H21" s="6" t="n">
        <x:v>75000</x:v>
      </x:c>
      <x:c r="I21" s="11" t="n">
        <x:v>7</x:v>
      </x:c>
      <x:c r="J21" s="12" t="str">
        <x:v>E40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102500</x:v>
      </x:c>
      <x:c r="E22" s="6" t="n">
        <x:f>C22-D22</x:f>
        <x:v>145500</x:v>
      </x:c>
      <x:c r="F22" s="6" t="n">
        <x:f>F21+E22</x:f>
        <x:v>617000</x:v>
      </x:c>
      <x:c r="G22" s="6" t="n">
        <x:v>-54500</x:v>
      </x:c>
      <x:c r="H22" s="6" t="n">
        <x:v>90000</x:v>
      </x:c>
      <x:c r="I22" s="11" t="n">
        <x:v>7</x:v>
      </x:c>
      <x:c r="J22" s="12" t="str">
        <x:v>E40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226000</x:v>
      </x:c>
      <x:c r="D23" s="6" t="n">
        <x:v>74500</x:v>
      </x:c>
      <x:c r="E23" s="6" t="n">
        <x:f>C23-D23</x:f>
        <x:v>151500</x:v>
      </x:c>
      <x:c r="F23" s="6" t="n">
        <x:f>F22+E23</x:f>
        <x:v>768500</x:v>
      </x:c>
      <x:c r="G23" s="6" t="n">
        <x:v>-25000</x:v>
      </x:c>
      <x:c r="H23" s="6" t="n">
        <x:v>121500</x:v>
      </x:c>
      <x:c r="I23" s="11" t="n">
        <x:v>16</x:v>
      </x:c>
      <x:c r="J23" s="12" t="str">
        <x:v>E40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66500</x:v>
      </x:c>
      <x:c r="E24" s="6" t="n">
        <x:f>C24-D24</x:f>
        <x:v>-30500</x:v>
      </x:c>
      <x:c r="F24" s="6" t="n">
        <x:f>F23+E24</x:f>
        <x:v>738000</x:v>
      </x:c>
      <x:c r="G24" s="6" t="n">
        <x:v>-69500</x:v>
      </x:c>
      <x:c r="H24" s="6" t="n">
        <x:v>141500</x:v>
      </x:c>
      <x:c r="I24" s="11" t="n">
        <x:v>10</x:v>
      </x:c>
      <x:c r="J24" s="12" t="str">
        <x:v>E40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312500</x:v>
      </x:c>
      <x:c r="D25" s="6" t="n">
        <x:v>86500</x:v>
      </x:c>
      <x:c r="E25" s="6" t="n">
        <x:f>C25-D25</x:f>
        <x:v>226000</x:v>
      </x:c>
      <x:c r="F25" s="6" t="n">
        <x:f>F24+E25</x:f>
        <x:v>964000</x:v>
      </x:c>
      <x:c r="G25" s="6" t="n">
        <x:v>-29000</x:v>
      </x:c>
      <x:c r="H25" s="6" t="n">
        <x:v>168500</x:v>
      </x:c>
      <x:c r="I25" s="11" t="n">
        <x:v>19</x:v>
      </x:c>
      <x:c r="J25" s="12" t="str">
        <x:v>E40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173500</x:v>
      </x:c>
      <x:c r="E26" s="6" t="n">
        <x:f>C26-D26</x:f>
        <x:v>-80500</x:v>
      </x:c>
      <x:c r="F26" s="6" t="n">
        <x:f>F25+E26</x:f>
        <x:v>883500</x:v>
      </x:c>
      <x:c r="G26" s="6" t="n">
        <x:v>-110500</x:v>
      </x:c>
      <x:c r="H26" s="6" t="n">
        <x:v>162500</x:v>
      </x:c>
      <x:c r="I26" s="11" t="n">
        <x:v>13</x:v>
      </x:c>
      <x:c r="J26" s="12" t="str">
        <x:v>E40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118000</x:v>
      </x:c>
      <x:c r="D27" s="6" t="n">
        <x:v>83000</x:v>
      </x:c>
      <x:c r="E27" s="6" t="n">
        <x:f>C27-D27</x:f>
        <x:v>35000</x:v>
      </x:c>
      <x:c r="F27" s="6" t="n">
        <x:f>F26+E27</x:f>
        <x:v>918500</x:v>
      </x:c>
      <x:c r="G27" s="6" t="n">
        <x:v>-23000</x:v>
      </x:c>
      <x:c r="H27" s="6" t="n">
        <x:v>128000</x:v>
      </x:c>
      <x:c r="I27" s="11" t="n">
        <x:v>11</x:v>
      </x:c>
      <x:c r="J27" s="12" t="str">
        <x:v>E40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170000</x:v>
      </x:c>
      <x:c r="E28" s="6" t="n">
        <x:f>C28-D28</x:f>
        <x:v>-21000</x:v>
      </x:c>
      <x:c r="F28" s="6" t="n">
        <x:f>F27+E28</x:f>
        <x:v>897500</x:v>
      </x:c>
      <x:c r="G28" s="6" t="n">
        <x:v>-71000</x:v>
      </x:c>
      <x:c r="H28" s="6" t="n">
        <x:v>95000</x:v>
      </x:c>
      <x:c r="I28" s="11" t="n">
        <x:v>12</x:v>
      </x:c>
      <x:c r="J28" s="12" t="str">
        <x:v>E40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887500</x:v>
      </x:c>
      <x:c r="G29" s="6" t="n">
        <x:v>-56000</x:v>
      </x:c>
      <x:c r="H29" s="6" t="n">
        <x:v>56000</x:v>
      </x:c>
      <x:c r="I29" s="11" t="n">
        <x:v>4</x:v>
      </x:c>
      <x:c r="J29" s="12" t="str">
        <x:v>E40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39000</x:v>
      </x:c>
      <x:c r="E30" s="6" t="n">
        <x:f>C30-D30</x:f>
        <x:v>128000</x:v>
      </x:c>
      <x:c r="F30" s="6" t="n">
        <x:f>F29+E30</x:f>
        <x:v>1015500</x:v>
      </x:c>
      <x:c r="G30" s="6" t="n">
        <x:v>-6000</x:v>
      </x:c>
      <x:c r="H30" s="6" t="n">
        <x:v>62000</x:v>
      </x:c>
      <x:c r="I30" s="11" t="n">
        <x:v>7</x:v>
      </x:c>
      <x:c r="J30" s="12" t="str">
        <x:v>E40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997000</x:v>
      </x:c>
      <x:c r="G31" s="6" t="n">
        <x:v>-30000</x:v>
      </x:c>
      <x:c r="H31" s="6" t="n">
        <x:v>44500</x:v>
      </x:c>
      <x:c r="I31" s="11" t="n">
        <x:v>5</x:v>
      </x:c>
      <x:c r="J31" s="12" t="str">
        <x:v>E40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126000</x:v>
      </x:c>
      <x:c r="D32" s="6" t="n">
        <x:v>95000</x:v>
      </x:c>
      <x:c r="E32" s="6" t="n">
        <x:f>C32-D32</x:f>
        <x:v>31000</x:v>
      </x:c>
      <x:c r="F32" s="6" t="n">
        <x:f>F31+E32</x:f>
        <x:v>1028000</x:v>
      </x:c>
      <x:c r="G32" s="6" t="n">
        <x:v>-83000</x:v>
      </x:c>
      <x:c r="H32" s="6" t="n">
        <x:v>119000</x:v>
      </x:c>
      <x:c r="I32" s="11" t="n">
        <x:v>8</x:v>
      </x:c>
      <x:c r="J32" s="12" t="str">
        <x:v>E40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348500</x:v>
      </x:c>
      <x:c r="D33" s="6" t="n">
        <x:v>43000</x:v>
      </x:c>
      <x:c r="E33" s="6" t="n">
        <x:f>C33-D33</x:f>
        <x:v>305500</x:v>
      </x:c>
      <x:c r="F33" s="6" t="n">
        <x:f>F32+E33</x:f>
        <x:v>1333500</x:v>
      </x:c>
      <x:c r="G33" s="6" t="n">
        <x:v>-29500</x:v>
      </x:c>
      <x:c r="H33" s="6" t="n">
        <x:v>102000</x:v>
      </x:c>
      <x:c r="I33" s="11" t="n">
        <x:v>19</x:v>
      </x:c>
      <x:c r="J33" s="12" t="str">
        <x:v>E40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133000</x:v>
      </x:c>
      <x:c r="D34" s="6" t="n">
        <x:v>66000</x:v>
      </x:c>
      <x:c r="E34" s="6" t="n">
        <x:f>C34-D34</x:f>
        <x:v>67000</x:v>
      </x:c>
      <x:c r="F34" s="6" t="n">
        <x:f>F33+E34</x:f>
        <x:v>1400500</x:v>
      </x:c>
      <x:c r="G34" s="6" t="n">
        <x:v>-34000</x:v>
      </x:c>
      <x:c r="H34" s="6" t="n">
        <x:v>97000</x:v>
      </x:c>
      <x:c r="I34" s="11" t="n">
        <x:v>10</x:v>
      </x:c>
      <x:c r="J34" s="12" t="str">
        <x:v>E40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50000</x:v>
      </x:c>
      <x:c r="D35" s="6" t="n">
        <x:v>26000</x:v>
      </x:c>
      <x:c r="E35" s="6" t="n">
        <x:f>C35-D35</x:f>
        <x:v>24000</x:v>
      </x:c>
      <x:c r="F35" s="6" t="n">
        <x:f>F34+E35</x:f>
        <x:v>1424500</x:v>
      </x:c>
      <x:c r="G35" s="6" t="n">
        <x:v>-10000</x:v>
      </x:c>
      <x:c r="H35" s="6" t="n">
        <x:v>60000</x:v>
      </x:c>
      <x:c r="I35" s="11" t="n">
        <x:v>4</x:v>
      </x:c>
      <x:c r="J35" s="12" t="str">
        <x:v>E40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1464500</x:v>
      </x:c>
      <x:c r="G36" s="6" t="n">
        <x:v>-31000</x:v>
      </x:c>
      <x:c r="H36" s="6" t="n">
        <x:v>70000</x:v>
      </x:c>
      <x:c r="I36" s="11" t="n">
        <x:v>3</x:v>
      </x:c>
      <x:c r="J36" s="12" t="str">
        <x:v>E40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1546500</x:v>
      </x:c>
      <x:c r="G37" s="6" t="n">
        <x:v>-10000</x:v>
      </x:c>
      <x:c r="H37" s="6" t="n">
        <x:v>33000</x:v>
      </x:c>
      <x:c r="I37" s="11" t="n">
        <x:v>1</x:v>
      </x:c>
      <x:c r="J37" s="12" t="str">
        <x:v>E40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214000</x:v>
      </x:c>
      <x:c r="D38" s="6" t="n">
        <x:v>175500</x:v>
      </x:c>
      <x:c r="E38" s="6" t="n">
        <x:f>C38-D38</x:f>
        <x:v>38500</x:v>
      </x:c>
      <x:c r="F38" s="6" t="n">
        <x:f>F37+E38</x:f>
        <x:v>1585000</x:v>
      </x:c>
      <x:c r="G38" s="6" t="n">
        <x:v>-49500</x:v>
      </x:c>
      <x:c r="H38" s="6" t="n">
        <x:v>113000</x:v>
      </x:c>
      <x:c r="I38" s="11" t="n">
        <x:v>20</x:v>
      </x:c>
      <x:c r="J38" s="12" t="str">
        <x:v>E40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45000</x:v>
      </x:c>
      <x:c r="E39" s="6" t="n">
        <x:f>C39-D39</x:f>
        <x:v>-30000</x:v>
      </x:c>
      <x:c r="F39" s="6" t="n">
        <x:f>F38+E39</x:f>
        <x:v>1555000</x:v>
      </x:c>
      <x:c r="G39" s="6" t="n">
        <x:v>-30000</x:v>
      </x:c>
      <x:c r="H39" s="6" t="n">
        <x:v>50000</x:v>
      </x:c>
      <x:c r="I39" s="11" t="n">
        <x:v>3</x:v>
      </x:c>
      <x:c r="J39" s="12" t="str">
        <x:v>E40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70500</x:v>
      </x:c>
      <x:c r="E40" s="6" t="n">
        <x:f>C40-D40</x:f>
        <x:v>90500</x:v>
      </x:c>
      <x:c r="F40" s="6" t="n">
        <x:f>F39+E40</x:f>
        <x:v>1645500</x:v>
      </x:c>
      <x:c r="G40" s="6" t="n">
        <x:v>-66000</x:v>
      </x:c>
      <x:c r="H40" s="6" t="n">
        <x:v>75000</x:v>
      </x:c>
      <x:c r="I40" s="11" t="n">
        <x:v>7</x:v>
      </x:c>
      <x:c r="J40" s="12" t="str">
        <x:v>E40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59000</x:v>
      </x:c>
      <x:c r="E41" s="6" t="n">
        <x:f>C41-D41</x:f>
        <x:v>153000</x:v>
      </x:c>
      <x:c r="F41" s="6" t="n">
        <x:f>F40+E41</x:f>
        <x:v>1798500</x:v>
      </x:c>
      <x:c r="G41" s="6" t="n">
        <x:v>-45500</x:v>
      </x:c>
      <x:c r="H41" s="6" t="n">
        <x:v>65500</x:v>
      </x:c>
      <x:c r="I41" s="11" t="n">
        <x:v>6</x:v>
      </x:c>
      <x:c r="J41" s="12" t="str">
        <x:v>E40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54000</x:v>
      </x:c>
      <x:c r="E42" s="6" t="n">
        <x:f>C42-D42</x:f>
        <x:v>252000</x:v>
      </x:c>
      <x:c r="F42" s="6" t="n">
        <x:f>F41+E42</x:f>
        <x:v>2050500</x:v>
      </x:c>
      <x:c r="G42" s="6" t="n">
        <x:v>-47000</x:v>
      </x:c>
      <x:c r="H42" s="6" t="n">
        <x:v>118000</x:v>
      </x:c>
      <x:c r="I42" s="11" t="n">
        <x:v>8</x:v>
      </x:c>
      <x:c r="J42" s="12" t="str">
        <x:v>E40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90000</x:v>
      </x:c>
      <x:c r="D43" s="6" t="n">
        <x:v>63000</x:v>
      </x:c>
      <x:c r="E43" s="6" t="n">
        <x:f>C43-D43</x:f>
        <x:v>27000</x:v>
      </x:c>
      <x:c r="F43" s="6" t="n">
        <x:f>F42+E43</x:f>
        <x:v>2077500</x:v>
      </x:c>
      <x:c r="G43" s="6" t="n">
        <x:v>-45500</x:v>
      </x:c>
      <x:c r="H43" s="6" t="n">
        <x:v>87500</x:v>
      </x:c>
      <x:c r="I43" s="11" t="n">
        <x:v>9</x:v>
      </x:c>
      <x:c r="J43" s="12" t="str">
        <x:v>E40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260500</x:v>
      </x:c>
      <x:c r="E44" s="6" t="n">
        <x:f>C44-D44</x:f>
        <x:v>-108500</x:v>
      </x:c>
      <x:c r="F44" s="6" t="n">
        <x:f>F43+E44</x:f>
        <x:v>1969000</x:v>
      </x:c>
      <x:c r="G44" s="6" t="n">
        <x:v>-175500</x:v>
      </x:c>
      <x:c r="H44" s="6" t="n">
        <x:v>190500</x:v>
      </x:c>
      <x:c r="I44" s="11" t="n">
        <x:v>17</x:v>
      </x:c>
      <x:c r="J44" s="12" t="str">
        <x:v>E40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176500</x:v>
      </x:c>
      <x:c r="D45" s="6" t="n">
        <x:v>168000</x:v>
      </x:c>
      <x:c r="E45" s="6" t="n">
        <x:f>C45-D45</x:f>
        <x:v>8500</x:v>
      </x:c>
      <x:c r="F45" s="6" t="n">
        <x:f>F44+E45</x:f>
        <x:v>1977500</x:v>
      </x:c>
      <x:c r="G45" s="6" t="n">
        <x:v>-113500</x:v>
      </x:c>
      <x:c r="H45" s="6" t="n">
        <x:v>113500</x:v>
      </x:c>
      <x:c r="I45" s="11" t="n">
        <x:v>17</x:v>
      </x:c>
      <x:c r="J45" s="12" t="str">
        <x:v>E40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329000</x:v>
      </x:c>
      <x:c r="D46" s="6" t="n">
        <x:v>31000</x:v>
      </x:c>
      <x:c r="E46" s="6" t="n">
        <x:f>C46-D46</x:f>
        <x:v>298000</x:v>
      </x:c>
      <x:c r="F46" s="6" t="n">
        <x:f>F45+E46</x:f>
        <x:v>2275500</x:v>
      </x:c>
      <x:c r="G46" s="6" t="n">
        <x:v>-8000</x:v>
      </x:c>
      <x:c r="H46" s="6" t="n">
        <x:v>192000</x:v>
      </x:c>
      <x:c r="I46" s="11" t="n">
        <x:v>6</x:v>
      </x:c>
      <x:c r="J46" s="12" t="str">
        <x:v>E40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117000</x:v>
      </x:c>
      <x:c r="E47" s="6" t="n">
        <x:f>C47-D47</x:f>
        <x:v>15000</x:v>
      </x:c>
      <x:c r="F47" s="6" t="n">
        <x:f>F46+E47</x:f>
        <x:v>2290500</x:v>
      </x:c>
      <x:c r="G47" s="6" t="n">
        <x:v>-45000</x:v>
      </x:c>
      <x:c r="H47" s="6" t="n">
        <x:v>101000</x:v>
      </x:c>
      <x:c r="I47" s="11" t="n">
        <x:v>17</x:v>
      </x:c>
      <x:c r="J47" s="12" t="str">
        <x:v>E40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209000</x:v>
      </x:c>
      <x:c r="D48" s="6" t="n">
        <x:v>178500</x:v>
      </x:c>
      <x:c r="E48" s="6" t="n">
        <x:f>C48-D48</x:f>
        <x:v>30500</x:v>
      </x:c>
      <x:c r="F48" s="6" t="n">
        <x:f>F47+E48</x:f>
        <x:v>2321000</x:v>
      </x:c>
      <x:c r="G48" s="6" t="n">
        <x:v>-58500</x:v>
      </x:c>
      <x:c r="H48" s="6" t="n">
        <x:v>285500</x:v>
      </x:c>
      <x:c r="I48" s="11" t="n">
        <x:v>15</x:v>
      </x:c>
      <x:c r="J48" s="12" t="str">
        <x:v>E40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156000</x:v>
      </x:c>
      <x:c r="D49" s="6" t="n">
        <x:v>37000</x:v>
      </x:c>
      <x:c r="E49" s="6" t="n">
        <x:f>C49-D49</x:f>
        <x:v>119000</x:v>
      </x:c>
      <x:c r="F49" s="6" t="n">
        <x:f>F48+E49</x:f>
        <x:v>2440000</x:v>
      </x:c>
      <x:c r="G49" s="6" t="n">
        <x:v>-10000</x:v>
      </x:c>
      <x:c r="H49" s="6" t="n">
        <x:v>57000</x:v>
      </x:c>
      <x:c r="I49" s="11" t="n">
        <x:v>13</x:v>
      </x:c>
      <x:c r="J49" s="12" t="str">
        <x:v>E40</x:v>
      </x:c>
    </x:row>
    <x:row r="50" ht="25" customHeight="1">
      <x:c r="A50" s="2" t="str">
        <x:v>2026-10-21_Day</x:v>
      </x:c>
      <x:c r="B50" s="2" t="str">
        <x:v>後13場</x:v>
      </x:c>
      <x:c r="C50" s="6" t="n">
        <x:v>82000</x:v>
      </x:c>
      <x:c r="D50" s="6" t="n">
        <x:v>222500</x:v>
      </x:c>
      <x:c r="E50" s="6" t="n">
        <x:f>C50-D50</x:f>
        <x:v>-140500</x:v>
      </x:c>
      <x:c r="F50" s="6" t="n">
        <x:f>F49+E50</x:f>
        <x:v>2299500</x:v>
      </x:c>
      <x:c r="G50" s="6" t="n">
        <x:v>-209000</x:v>
      </x:c>
      <x:c r="H50" s="6" t="n">
        <x:v>217000</x:v>
      </x:c>
      <x:c r="I50" s="11" t="n">
        <x:v>18</x:v>
      </x:c>
      <x:c r="J50" s="12" t="str">
        <x:v>E40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72500</x:v>
      </x:c>
      <x:c r="D51" s="6" t="n">
        <x:v>131500</x:v>
      </x:c>
      <x:c r="E51" s="6" t="n">
        <x:f>C51-D51</x:f>
        <x:v>-59000</x:v>
      </x:c>
      <x:c r="F51" s="6" t="n">
        <x:f>F50+E51</x:f>
        <x:v>2240500</x:v>
      </x:c>
      <x:c r="G51" s="6" t="n">
        <x:v>-59000</x:v>
      </x:c>
      <x:c r="H51" s="6" t="n">
        <x:v>131000</x:v>
      </x:c>
      <x:c r="I51" s="11" t="n">
        <x:v>9</x:v>
      </x:c>
      <x:c r="J51" s="12" t="str">
        <x:v>E40</x:v>
      </x:c>
    </x:row>
    <x:row r="52" ht="25" customHeight="1">
      <x:c r="A52" s="2" t="str">
        <x:v>2026-10-22_Day</x:v>
      </x:c>
      <x:c r="B52" s="2" t="str">
        <x:v>後13場</x:v>
      </x:c>
      <x:c r="C52" s="6" t="n">
        <x:v>404500</x:v>
      </x:c>
      <x:c r="D52" s="6" t="n">
        <x:v>20500</x:v>
      </x:c>
      <x:c r="E52" s="6" t="n">
        <x:f>C52-D52</x:f>
        <x:v>384000</x:v>
      </x:c>
      <x:c r="F52" s="6" t="n">
        <x:f>F51+E52</x:f>
        <x:v>2624500</x:v>
      </x:c>
      <x:c r="G52" s="6" t="n">
        <x:v>-27000</x:v>
      </x:c>
      <x:c r="H52" s="6" t="n">
        <x:v>103000</x:v>
      </x:c>
      <x:c r="I52" s="11" t="n">
        <x:v>4</x:v>
      </x:c>
      <x:c r="J52" s="12" t="str">
        <x:v>E40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2780500</x:v>
      </x:c>
      <x:c r="G53" s="6" t="n">
        <x:v>-2000</x:v>
      </x:c>
      <x:c r="H53" s="6" t="n">
        <x:v>64000</x:v>
      </x:c>
      <x:c r="I53" s="11" t="n">
        <x:v>3</x:v>
      </x:c>
      <x:c r="J53" s="12" t="str">
        <x:v>E40</x:v>
      </x:c>
    </x:row>
    <x:row r="54" ht="25" customHeight="1">
      <x:c r="A54" s="2" t="str">
        <x:v>2026-10-23_Day</x:v>
      </x:c>
      <x:c r="B54" s="2" t="str">
        <x:v>後13場</x:v>
      </x:c>
      <x:c r="C54" s="6" t="n">
        <x:v>345000</x:v>
      </x:c>
      <x:c r="D54" s="6" t="n">
        <x:v>87500</x:v>
      </x:c>
      <x:c r="E54" s="6" t="n">
        <x:f>C54-D54</x:f>
        <x:v>257500</x:v>
      </x:c>
      <x:c r="F54" s="6" t="n">
        <x:f>F53+E54</x:f>
        <x:v>3038000</x:v>
      </x:c>
      <x:c r="G54" s="6" t="n">
        <x:v>-17000</x:v>
      </x:c>
      <x:c r="H54" s="6" t="n">
        <x:v>82000</x:v>
      </x:c>
      <x:c r="I54" s="11" t="n">
        <x:v>20</x:v>
      </x:c>
      <x:c r="J54" s="12" t="str">
        <x:v>E40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83000</x:v>
      </x:c>
      <x:c r="E55" s="6" t="n">
        <x:f>C55-D55</x:f>
        <x:v>-8000</x:v>
      </x:c>
      <x:c r="F55" s="6" t="n">
        <x:f>F54+E55</x:f>
        <x:v>3030000</x:v>
      </x:c>
      <x:c r="G55" s="6" t="n">
        <x:v>-47000</x:v>
      </x:c>
      <x:c r="H55" s="6" t="n">
        <x:v>89000</x:v>
      </x:c>
      <x:c r="I55" s="11" t="n">
        <x:v>13</x:v>
      </x:c>
      <x:c r="J55" s="12" t="str">
        <x:v>E40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166000</x:v>
      </x:c>
      <x:c r="D56" s="6" t="n">
        <x:v>200000</x:v>
      </x:c>
      <x:c r="E56" s="6" t="n">
        <x:f>C56-D56</x:f>
        <x:v>-34000</x:v>
      </x:c>
      <x:c r="F56" s="6" t="n">
        <x:f>F55+E56</x:f>
        <x:v>2996000</x:v>
      </x:c>
      <x:c r="G56" s="6" t="n">
        <x:v>-130000</x:v>
      </x:c>
      <x:c r="H56" s="6" t="n">
        <x:v>244000</x:v>
      </x:c>
      <x:c r="I56" s="11" t="n">
        <x:v>9</x:v>
      </x:c>
      <x:c r="J56" s="12" t="str">
        <x:v>E40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134500</x:v>
      </x:c>
      <x:c r="E57" s="6" t="n">
        <x:f>C57-D57</x:f>
        <x:v>-46500</x:v>
      </x:c>
      <x:c r="F57" s="6" t="n">
        <x:f>F56+E57</x:f>
        <x:v>2949500</x:v>
      </x:c>
      <x:c r="G57" s="6" t="n">
        <x:v>-47500</x:v>
      </x:c>
      <x:c r="H57" s="6" t="n">
        <x:v>121000</x:v>
      </x:c>
      <x:c r="I57" s="11" t="n">
        <x:v>14</x:v>
      </x:c>
      <x:c r="J57" s="12" t="str">
        <x:v>E40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254000</x:v>
      </x:c>
      <x:c r="E58" s="6" t="n">
        <x:f>C58-D58</x:f>
        <x:v>-130000</x:v>
      </x:c>
      <x:c r="F58" s="6" t="n">
        <x:f>F57+E58</x:f>
        <x:v>2819500</x:v>
      </x:c>
      <x:c r="G58" s="6" t="n">
        <x:v>-148000</x:v>
      </x:c>
      <x:c r="H58" s="6" t="n">
        <x:v>207500</x:v>
      </x:c>
      <x:c r="I58" s="11" t="n">
        <x:v>18</x:v>
      </x:c>
      <x:c r="J58" s="12" t="str">
        <x:v>E40</x:v>
      </x:c>
    </x:row>
    <x:row r="59" ht="25" customHeight="1">
      <x:c r="A59" s="16" t="str">
        <x:v>累計／場内最悪値</x:v>
      </x:c>
      <x:c r="B59" s="16"/>
      <x:c r="C59" s="17" t="n">
        <x:f>SUM(C6:C58)</x:f>
        <x:v>7143000</x:v>
      </x:c>
      <x:c r="D59" s="17" t="n">
        <x:f>SUM(D6:D58)</x:f>
        <x:v>4323500</x:v>
      </x:c>
      <x:c r="E59" s="17" t="n">
        <x:f>C59-D59</x:f>
        <x:v>2819500</x:v>
      </x:c>
      <x:c r="F59" s="17" t="n">
        <x:f>F58</x:f>
        <x:v>2819500</x:v>
      </x:c>
      <x:c r="G59" s="17" t="n">
        <x:f>MIN(G6:G58)</x:f>
        <x:v>-209000</x:v>
      </x:c>
      <x:c r="H59" s="17" t="n">
        <x:f>MAX(H6:H58)</x:f>
        <x:v>285500</x:v>
      </x:c>
      <x:c r="I59" s="18" t="n">
        <x:f>SUM(I6:I58)</x:f>
        <x:v>484</x:v>
      </x:c>
      <x:c r="J59" s="17"/>
    </x:row>
  </x:sheetData>
  <x:conditionalFormatting sqref="E6:G58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47438742bc48a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日経 E80　全セッション損益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G80後に初回中値を回復して一度復元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4" t="str">
        <x:v>片側micro100枚＝mini10枚相当／費用0。利益・損失は返済配賦別。ラージ次気配約定。全53場は既知資料。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45" customHeight="1">
      <x:c r="A5" s="10" t="str">
        <x:v>セッション</x:v>
      </x:c>
      <x:c r="B5" s="10" t="str">
        <x:v>資料区分</x:v>
      </x:c>
      <x:c r="C5" s="10" t="str">
        <x:v>利益（円）</x:v>
      </x:c>
      <x:c r="D5" s="10" t="str">
        <x:v>損失（円）</x:v>
      </x:c>
      <x:c r="E5" s="10" t="str">
        <x:v>収支（円）</x:v>
      </x:c>
      <x:c r="F5" s="10" t="str">
        <x:v>累計（円）</x:v>
      </x:c>
      <x:c r="G5" s="10" t="str">
        <x:v>場内最悪収支（円）</x:v>
      </x:c>
      <x:c r="H5" s="10" t="str">
        <x:v>最大下落額（円）</x:v>
      </x:c>
      <x:c r="I5" s="10" t="str">
        <x:v>新規回数</x:v>
      </x:c>
      <x:c r="J5" s="10" t="str">
        <x:v>実行条件</x:v>
      </x:c>
    </x:row>
    <x:row r="6" ht="25" customHeight="1">
      <x:c r="A6" s="2" t="str">
        <x:v>2026-09-21_Day</x:v>
      </x:c>
      <x:c r="B6" s="2" t="str">
        <x:v>前30場</x:v>
      </x:c>
      <x:c r="C6" s="6" t="n">
        <x:v>30000</x:v>
      </x:c>
      <x:c r="D6" s="6" t="n">
        <x:v>0</x:v>
      </x:c>
      <x:c r="E6" s="6" t="n">
        <x:f>C6-D6</x:f>
        <x:v>30000</x:v>
      </x:c>
      <x:c r="F6" s="6" t="n">
        <x:f>E6</x:f>
        <x:v>30000</x:v>
      </x:c>
      <x:c r="G6" s="6" t="n">
        <x:v>-24000</x:v>
      </x:c>
      <x:c r="H6" s="6" t="n">
        <x:v>60000</x:v>
      </x:c>
      <x:c r="I6" s="11" t="n">
        <x:v>2</x:v>
      </x:c>
      <x:c r="J6" s="12" t="str">
        <x:v>E80</x:v>
      </x:c>
    </x:row>
    <x:row r="7" ht="25" customHeight="1">
      <x:c r="A7" s="2" t="str">
        <x:v>2026-09-21_Night</x:v>
      </x:c>
      <x:c r="B7" s="2" t="str">
        <x:v>前30場</x:v>
      </x:c>
      <x:c r="C7" s="6" t="n">
        <x:v>0</x:v>
      </x:c>
      <x:c r="D7" s="6" t="n">
        <x:v>45000</x:v>
      </x:c>
      <x:c r="E7" s="6" t="n">
        <x:f>C7-D7</x:f>
        <x:v>-45000</x:v>
      </x:c>
      <x:c r="F7" s="6" t="n">
        <x:f>F6+E7</x:f>
        <x:v>-15000</x:v>
      </x:c>
      <x:c r="G7" s="6" t="n">
        <x:v>-45000</x:v>
      </x:c>
      <x:c r="H7" s="6" t="n">
        <x:v>65000</x:v>
      </x:c>
      <x:c r="I7" s="11" t="n">
        <x:v>1</x:v>
      </x:c>
      <x:c r="J7" s="12" t="str">
        <x:v>E80</x:v>
      </x:c>
    </x:row>
    <x:row r="8" ht="25" customHeight="1">
      <x:c r="A8" s="2" t="str">
        <x:v>2026-09-22_Day</x:v>
      </x:c>
      <x:c r="B8" s="2" t="str">
        <x:v>前30場</x:v>
      </x:c>
      <x:c r="C8" s="6" t="n">
        <x:v>0</x:v>
      </x:c>
      <x:c r="D8" s="6" t="n">
        <x:v>70000</x:v>
      </x:c>
      <x:c r="E8" s="6" t="n">
        <x:f>C8-D8</x:f>
        <x:v>-70000</x:v>
      </x:c>
      <x:c r="F8" s="6" t="n">
        <x:f>F7+E8</x:f>
        <x:v>-85000</x:v>
      </x:c>
      <x:c r="G8" s="6" t="n">
        <x:v>-70000</x:v>
      </x:c>
      <x:c r="H8" s="6" t="n">
        <x:v>80000</x:v>
      </x:c>
      <x:c r="I8" s="11" t="n">
        <x:v>2</x:v>
      </x:c>
      <x:c r="J8" s="12" t="str">
        <x:v>E80</x:v>
      </x:c>
    </x:row>
    <x:row r="9" ht="25" customHeight="1">
      <x:c r="A9" s="2" t="str">
        <x:v>2026-09-22_Night</x:v>
      </x:c>
      <x:c r="B9" s="2" t="str">
        <x:v>前30場</x:v>
      </x:c>
      <x:c r="C9" s="6" t="n">
        <x:v>47000</x:v>
      </x:c>
      <x:c r="D9" s="6" t="n">
        <x:v>8000</x:v>
      </x:c>
      <x:c r="E9" s="6" t="n">
        <x:f>C9-D9</x:f>
        <x:v>39000</x:v>
      </x:c>
      <x:c r="F9" s="6" t="n">
        <x:f>F8+E9</x:f>
        <x:v>-46000</x:v>
      </x:c>
      <x:c r="G9" s="6" t="n">
        <x:v>-45000</x:v>
      </x:c>
      <x:c r="H9" s="6" t="n">
        <x:v>55000</x:v>
      </x:c>
      <x:c r="I9" s="11" t="n">
        <x:v>2</x:v>
      </x:c>
      <x:c r="J9" s="12" t="str">
        <x:v>E80</x:v>
      </x:c>
    </x:row>
    <x:row r="10" ht="25" customHeight="1">
      <x:c r="A10" s="2" t="str">
        <x:v>2026-09-23_Day</x:v>
      </x:c>
      <x:c r="B10" s="2" t="str">
        <x:v>前30場</x:v>
      </x:c>
      <x:c r="C10" s="6" t="n">
        <x:v>50000</x:v>
      </x:c>
      <x:c r="D10" s="6" t="n">
        <x:v>0</x:v>
      </x:c>
      <x:c r="E10" s="6" t="n">
        <x:f>C10-D10</x:f>
        <x:v>50000</x:v>
      </x:c>
      <x:c r="F10" s="6" t="n">
        <x:f>F9+E10</x:f>
        <x:v>4000</x:v>
      </x:c>
      <x:c r="G10" s="6" t="n">
        <x:v>-15000</x:v>
      </x:c>
      <x:c r="H10" s="6" t="n">
        <x:v>40000</x:v>
      </x:c>
      <x:c r="I10" s="11" t="n">
        <x:v>1</x:v>
      </x:c>
      <x:c r="J10" s="12" t="str">
        <x:v>E80</x:v>
      </x:c>
    </x:row>
    <x:row r="11" ht="25" customHeight="1">
      <x:c r="A11" s="2" t="str">
        <x:v>2026-09-23_Night</x:v>
      </x:c>
      <x:c r="B11" s="2" t="str">
        <x:v>前30場</x:v>
      </x:c>
      <x:c r="C11" s="6" t="n">
        <x:v>5000</x:v>
      </x:c>
      <x:c r="D11" s="6" t="n">
        <x:v>41000</x:v>
      </x:c>
      <x:c r="E11" s="6" t="n">
        <x:f>C11-D11</x:f>
        <x:v>-36000</x:v>
      </x:c>
      <x:c r="F11" s="6" t="n">
        <x:f>F10+E11</x:f>
        <x:v>-32000</x:v>
      </x:c>
      <x:c r="G11" s="6" t="n">
        <x:v>-44000</x:v>
      </x:c>
      <x:c r="H11" s="6" t="n">
        <x:v>44000</x:v>
      </x:c>
      <x:c r="I11" s="11" t="n">
        <x:v>3</x:v>
      </x:c>
      <x:c r="J11" s="12" t="str">
        <x:v>E80</x:v>
      </x:c>
    </x:row>
    <x:row r="12" ht="25" customHeight="1">
      <x:c r="A12" s="2" t="str">
        <x:v>2026-09-24_Day</x:v>
      </x:c>
      <x:c r="B12" s="2" t="str">
        <x:v>前30場</x:v>
      </x:c>
      <x:c r="C12" s="6" t="n">
        <x:v>175000</x:v>
      </x:c>
      <x:c r="D12" s="6" t="n">
        <x:v>69000</x:v>
      </x:c>
      <x:c r="E12" s="6" t="n">
        <x:f>C12-D12</x:f>
        <x:v>106000</x:v>
      </x:c>
      <x:c r="F12" s="6" t="n">
        <x:f>F11+E12</x:f>
        <x:v>74000</x:v>
      </x:c>
      <x:c r="G12" s="6" t="n">
        <x:v>-20000</x:v>
      </x:c>
      <x:c r="H12" s="6" t="n">
        <x:v>143000</x:v>
      </x:c>
      <x:c r="I12" s="11" t="n">
        <x:v>9</x:v>
      </x:c>
      <x:c r="J12" s="12" t="str">
        <x:v>E80</x:v>
      </x:c>
    </x:row>
    <x:row r="13" ht="25" customHeight="1">
      <x:c r="A13" s="2" t="str">
        <x:v>2026-09-24_Night</x:v>
      </x:c>
      <x:c r="B13" s="2" t="str">
        <x:v>前30場</x:v>
      </x:c>
      <x:c r="C13" s="6" t="n">
        <x:v>50000</x:v>
      </x:c>
      <x:c r="D13" s="6" t="n">
        <x:v>0</x:v>
      </x:c>
      <x:c r="E13" s="6" t="n">
        <x:f>C13-D13</x:f>
        <x:v>50000</x:v>
      </x:c>
      <x:c r="F13" s="6" t="n">
        <x:f>F12+E13</x:f>
        <x:v>124000</x:v>
      </x:c>
      <x:c r="G13" s="6" t="n">
        <x:v>-85000</x:v>
      </x:c>
      <x:c r="H13" s="6" t="n">
        <x:v>90000</x:v>
      </x:c>
      <x:c r="I13" s="11" t="n">
        <x:v>4</x:v>
      </x:c>
      <x:c r="J13" s="12" t="str">
        <x:v>E80</x:v>
      </x:c>
    </x:row>
    <x:row r="14" ht="25" customHeight="1">
      <x:c r="A14" s="2" t="str">
        <x:v>2026-09-25_Day</x:v>
      </x:c>
      <x:c r="B14" s="2" t="str">
        <x:v>前30場</x:v>
      </x:c>
      <x:c r="C14" s="6" t="n">
        <x:v>151000</x:v>
      </x:c>
      <x:c r="D14" s="6" t="n">
        <x:v>28000</x:v>
      </x:c>
      <x:c r="E14" s="6" t="n">
        <x:f>C14-D14</x:f>
        <x:v>123000</x:v>
      </x:c>
      <x:c r="F14" s="6" t="n">
        <x:f>F13+E14</x:f>
        <x:v>247000</x:v>
      </x:c>
      <x:c r="G14" s="6" t="n">
        <x:v>-10000</x:v>
      </x:c>
      <x:c r="H14" s="6" t="n">
        <x:v>93000</x:v>
      </x:c>
      <x:c r="I14" s="11" t="n">
        <x:v>6</x:v>
      </x:c>
      <x:c r="J14" s="12" t="str">
        <x:v>E80</x:v>
      </x:c>
    </x:row>
    <x:row r="15" ht="25" customHeight="1">
      <x:c r="A15" s="2" t="str">
        <x:v>2026-09-25_Night</x:v>
      </x:c>
      <x:c r="B15" s="2" t="str">
        <x:v>前30場</x:v>
      </x:c>
      <x:c r="C15" s="6" t="n">
        <x:v>17000</x:v>
      </x:c>
      <x:c r="D15" s="6" t="n">
        <x:v>13500</x:v>
      </x:c>
      <x:c r="E15" s="6" t="n">
        <x:f>C15-D15</x:f>
        <x:v>3500</x:v>
      </x:c>
      <x:c r="F15" s="6" t="n">
        <x:f>F14+E15</x:f>
        <x:v>250500</x:v>
      </x:c>
      <x:c r="G15" s="6" t="n">
        <x:v>-16000</x:v>
      </x:c>
      <x:c r="H15" s="6" t="n">
        <x:v>23000</x:v>
      </x:c>
      <x:c r="I15" s="11" t="n">
        <x:v>2</x:v>
      </x:c>
      <x:c r="J15" s="12" t="str">
        <x:v>E80</x:v>
      </x:c>
    </x:row>
    <x:row r="16" ht="25" customHeight="1">
      <x:c r="A16" s="2" t="str">
        <x:v>2026-09-28_Day</x:v>
      </x:c>
      <x:c r="B16" s="2" t="str">
        <x:v>前30場</x:v>
      </x:c>
      <x:c r="C16" s="6" t="n">
        <x:v>135000</x:v>
      </x:c>
      <x:c r="D16" s="6" t="n">
        <x:v>148000</x:v>
      </x:c>
      <x:c r="E16" s="6" t="n">
        <x:f>C16-D16</x:f>
        <x:v>-13000</x:v>
      </x:c>
      <x:c r="F16" s="6" t="n">
        <x:f>F15+E16</x:f>
        <x:v>237500</x:v>
      </x:c>
      <x:c r="G16" s="6" t="n">
        <x:v>-102000</x:v>
      </x:c>
      <x:c r="H16" s="6" t="n">
        <x:v>145000</x:v>
      </x:c>
      <x:c r="I16" s="11" t="n">
        <x:v>10</x:v>
      </x:c>
      <x:c r="J16" s="12" t="str">
        <x:v>E80</x:v>
      </x:c>
    </x:row>
    <x:row r="17" ht="25" customHeight="1">
      <x:c r="A17" s="2" t="str">
        <x:v>2026-09-28_Night</x:v>
      </x:c>
      <x:c r="B17" s="2" t="str">
        <x:v>前30場</x:v>
      </x:c>
      <x:c r="C17" s="6" t="n">
        <x:v>14000</x:v>
      </x:c>
      <x:c r="D17" s="6" t="n">
        <x:v>39000</x:v>
      </x:c>
      <x:c r="E17" s="6" t="n">
        <x:f>C17-D17</x:f>
        <x:v>-25000</x:v>
      </x:c>
      <x:c r="F17" s="6" t="n">
        <x:f>F16+E17</x:f>
        <x:v>212500</x:v>
      </x:c>
      <x:c r="G17" s="6" t="n">
        <x:v>-36000</x:v>
      </x:c>
      <x:c r="H17" s="6" t="n">
        <x:v>43000</x:v>
      </x:c>
      <x:c r="I17" s="11" t="n">
        <x:v>5</x:v>
      </x:c>
      <x:c r="J17" s="12" t="str">
        <x:v>E80</x:v>
      </x:c>
    </x:row>
    <x:row r="18" ht="25" customHeight="1">
      <x:c r="A18" s="2" t="str">
        <x:v>2026-09-29_Day</x:v>
      </x:c>
      <x:c r="B18" s="2" t="str">
        <x:v>前30場</x:v>
      </x:c>
      <x:c r="C18" s="6" t="n">
        <x:v>225000</x:v>
      </x:c>
      <x:c r="D18" s="6" t="n">
        <x:v>133000</x:v>
      </x:c>
      <x:c r="E18" s="6" t="n">
        <x:f>C18-D18</x:f>
        <x:v>92000</x:v>
      </x:c>
      <x:c r="F18" s="6" t="n">
        <x:f>F17+E18</x:f>
        <x:v>304500</x:v>
      </x:c>
      <x:c r="G18" s="6" t="n">
        <x:v>-114000</x:v>
      </x:c>
      <x:c r="H18" s="6" t="n">
        <x:v>218000</x:v>
      </x:c>
      <x:c r="I18" s="11" t="n">
        <x:v>14</x:v>
      </x:c>
      <x:c r="J18" s="12" t="str">
        <x:v>E80</x:v>
      </x:c>
    </x:row>
    <x:row r="19" ht="25" customHeight="1">
      <x:c r="A19" s="2" t="str">
        <x:v>2026-09-29_Night</x:v>
      </x:c>
      <x:c r="B19" s="2" t="str">
        <x:v>前30場</x:v>
      </x:c>
      <x:c r="C19" s="6" t="n">
        <x:v>90000</x:v>
      </x:c>
      <x:c r="D19" s="6" t="n">
        <x:v>22500</x:v>
      </x:c>
      <x:c r="E19" s="6" t="n">
        <x:f>C19-D19</x:f>
        <x:v>67500</x:v>
      </x:c>
      <x:c r="F19" s="6" t="n">
        <x:f>F18+E19</x:f>
        <x:v>372000</x:v>
      </x:c>
      <x:c r="G19" s="6" t="n">
        <x:v>-30000</x:v>
      </x:c>
      <x:c r="H19" s="6" t="n">
        <x:v>70000</x:v>
      </x:c>
      <x:c r="I19" s="11" t="n">
        <x:v>6</x:v>
      </x:c>
      <x:c r="J19" s="12" t="str">
        <x:v>E80</x:v>
      </x:c>
    </x:row>
    <x:row r="20" ht="25" customHeight="1">
      <x:c r="A20" s="2" t="str">
        <x:v>2026-09-30_Day</x:v>
      </x:c>
      <x:c r="B20" s="2" t="str">
        <x:v>前30場</x:v>
      </x:c>
      <x:c r="C20" s="6" t="n">
        <x:v>196000</x:v>
      </x:c>
      <x:c r="D20" s="6" t="n">
        <x:v>77000</x:v>
      </x:c>
      <x:c r="E20" s="6" t="n">
        <x:f>C20-D20</x:f>
        <x:v>119000</x:v>
      </x:c>
      <x:c r="F20" s="6" t="n">
        <x:f>F19+E20</x:f>
        <x:v>491000</x:v>
      </x:c>
      <x:c r="G20" s="6" t="n">
        <x:v>-72000</x:v>
      </x:c>
      <x:c r="H20" s="6" t="n">
        <x:v>91000</x:v>
      </x:c>
      <x:c r="I20" s="11" t="n">
        <x:v>6</x:v>
      </x:c>
      <x:c r="J20" s="12" t="str">
        <x:v>E80</x:v>
      </x:c>
    </x:row>
    <x:row r="21" ht="25" customHeight="1">
      <x:c r="A21" s="2" t="str">
        <x:v>2026-09-30_Night</x:v>
      </x:c>
      <x:c r="B21" s="2" t="str">
        <x:v>前30場</x:v>
      </x:c>
      <x:c r="C21" s="6" t="n">
        <x:v>99000</x:v>
      </x:c>
      <x:c r="D21" s="6" t="n">
        <x:v>31000</x:v>
      </x:c>
      <x:c r="E21" s="6" t="n">
        <x:f>C21-D21</x:f>
        <x:v>68000</x:v>
      </x:c>
      <x:c r="F21" s="6" t="n">
        <x:f>F20+E21</x:f>
        <x:v>559000</x:v>
      </x:c>
      <x:c r="G21" s="6" t="n">
        <x:v>-55000</x:v>
      </x:c>
      <x:c r="H21" s="6" t="n">
        <x:v>75000</x:v>
      </x:c>
      <x:c r="I21" s="11" t="n">
        <x:v>6</x:v>
      </x:c>
      <x:c r="J21" s="12" t="str">
        <x:v>E80</x:v>
      </x:c>
    </x:row>
    <x:row r="22" ht="25" customHeight="1">
      <x:c r="A22" s="2" t="str">
        <x:v>2026-10-01_Day</x:v>
      </x:c>
      <x:c r="B22" s="2" t="str">
        <x:v>前30場</x:v>
      </x:c>
      <x:c r="C22" s="6" t="n">
        <x:v>248000</x:v>
      </x:c>
      <x:c r="D22" s="6" t="n">
        <x:v>110500</x:v>
      </x:c>
      <x:c r="E22" s="6" t="n">
        <x:f>C22-D22</x:f>
        <x:v>137500</x:v>
      </x:c>
      <x:c r="F22" s="6" t="n">
        <x:f>F21+E22</x:f>
        <x:v>696500</x:v>
      </x:c>
      <x:c r="G22" s="6" t="n">
        <x:v>-64500</x:v>
      </x:c>
      <x:c r="H22" s="6" t="n">
        <x:v>90000</x:v>
      </x:c>
      <x:c r="I22" s="11" t="n">
        <x:v>6</x:v>
      </x:c>
      <x:c r="J22" s="12" t="str">
        <x:v>E80</x:v>
      </x:c>
    </x:row>
    <x:row r="23" ht="25" customHeight="1">
      <x:c r="A23" s="2" t="str">
        <x:v>2026-10-01_Night</x:v>
      </x:c>
      <x:c r="B23" s="2" t="str">
        <x:v>前30場</x:v>
      </x:c>
      <x:c r="C23" s="6" t="n">
        <x:v>263000</x:v>
      </x:c>
      <x:c r="D23" s="6" t="n">
        <x:v>84500</x:v>
      </x:c>
      <x:c r="E23" s="6" t="n">
        <x:f>C23-D23</x:f>
        <x:v>178500</x:v>
      </x:c>
      <x:c r="F23" s="6" t="n">
        <x:f>F22+E23</x:f>
        <x:v>875000</x:v>
      </x:c>
      <x:c r="G23" s="6" t="n">
        <x:v>-25000</x:v>
      </x:c>
      <x:c r="H23" s="6" t="n">
        <x:v>137500</x:v>
      </x:c>
      <x:c r="I23" s="11" t="n">
        <x:v>16</x:v>
      </x:c>
      <x:c r="J23" s="12" t="str">
        <x:v>E80</x:v>
      </x:c>
    </x:row>
    <x:row r="24" ht="25" customHeight="1">
      <x:c r="A24" s="2" t="str">
        <x:v>2026-10-02_Day</x:v>
      </x:c>
      <x:c r="B24" s="2" t="str">
        <x:v>前30場</x:v>
      </x:c>
      <x:c r="C24" s="6" t="n">
        <x:v>36000</x:v>
      </x:c>
      <x:c r="D24" s="6" t="n">
        <x:v>78000</x:v>
      </x:c>
      <x:c r="E24" s="6" t="n">
        <x:f>C24-D24</x:f>
        <x:v>-42000</x:v>
      </x:c>
      <x:c r="F24" s="6" t="n">
        <x:f>F23+E24</x:f>
        <x:v>833000</x:v>
      </x:c>
      <x:c r="G24" s="6" t="n">
        <x:v>-81000</x:v>
      </x:c>
      <x:c r="H24" s="6" t="n">
        <x:v>159000</x:v>
      </x:c>
      <x:c r="I24" s="11" t="n">
        <x:v>9</x:v>
      </x:c>
      <x:c r="J24" s="12" t="str">
        <x:v>E80</x:v>
      </x:c>
    </x:row>
    <x:row r="25" ht="25" customHeight="1">
      <x:c r="A25" s="2" t="str">
        <x:v>2026-10-02_Night</x:v>
      </x:c>
      <x:c r="B25" s="2" t="str">
        <x:v>前30場</x:v>
      </x:c>
      <x:c r="C25" s="6" t="n">
        <x:v>313000</x:v>
      </x:c>
      <x:c r="D25" s="6" t="n">
        <x:v>63500</x:v>
      </x:c>
      <x:c r="E25" s="6" t="n">
        <x:f>C25-D25</x:f>
        <x:v>249500</x:v>
      </x:c>
      <x:c r="F25" s="6" t="n">
        <x:f>F24+E25</x:f>
        <x:v>1082500</x:v>
      </x:c>
      <x:c r="G25" s="6" t="n">
        <x:v>-34000</x:v>
      </x:c>
      <x:c r="H25" s="6" t="n">
        <x:v>168500</x:v>
      </x:c>
      <x:c r="I25" s="11" t="n">
        <x:v>16</x:v>
      </x:c>
      <x:c r="J25" s="12" t="str">
        <x:v>E80</x:v>
      </x:c>
    </x:row>
    <x:row r="26" ht="25" customHeight="1">
      <x:c r="A26" s="2" t="str">
        <x:v>2026-10-05_Day</x:v>
      </x:c>
      <x:c r="B26" s="2" t="str">
        <x:v>前30場</x:v>
      </x:c>
      <x:c r="C26" s="6" t="n">
        <x:v>93000</x:v>
      </x:c>
      <x:c r="D26" s="6" t="n">
        <x:v>163000</x:v>
      </x:c>
      <x:c r="E26" s="6" t="n">
        <x:f>C26-D26</x:f>
        <x:v>-70000</x:v>
      </x:c>
      <x:c r="F26" s="6" t="n">
        <x:f>F25+E26</x:f>
        <x:v>1012500</x:v>
      </x:c>
      <x:c r="G26" s="6" t="n">
        <x:v>-115000</x:v>
      </x:c>
      <x:c r="H26" s="6" t="n">
        <x:v>165000</x:v>
      </x:c>
      <x:c r="I26" s="11" t="n">
        <x:v>12</x:v>
      </x:c>
      <x:c r="J26" s="12" t="str">
        <x:v>E80</x:v>
      </x:c>
    </x:row>
    <x:row r="27" ht="25" customHeight="1">
      <x:c r="A27" s="2" t="str">
        <x:v>2026-10-05_Night</x:v>
      </x:c>
      <x:c r="B27" s="2" t="str">
        <x:v>前30場</x:v>
      </x:c>
      <x:c r="C27" s="6" t="n">
        <x:v>113000</x:v>
      </x:c>
      <x:c r="D27" s="6" t="n">
        <x:v>64000</x:v>
      </x:c>
      <x:c r="E27" s="6" t="n">
        <x:f>C27-D27</x:f>
        <x:v>49000</x:v>
      </x:c>
      <x:c r="F27" s="6" t="n">
        <x:f>F26+E27</x:f>
        <x:v>1061500</x:v>
      </x:c>
      <x:c r="G27" s="6" t="n">
        <x:v>-23000</x:v>
      </x:c>
      <x:c r="H27" s="6" t="n">
        <x:v>128000</x:v>
      </x:c>
      <x:c r="I27" s="11" t="n">
        <x:v>8</x:v>
      </x:c>
      <x:c r="J27" s="12" t="str">
        <x:v>E80</x:v>
      </x:c>
    </x:row>
    <x:row r="28" ht="25" customHeight="1">
      <x:c r="A28" s="2" t="str">
        <x:v>2026-10-06_Day</x:v>
      </x:c>
      <x:c r="B28" s="2" t="str">
        <x:v>前30場</x:v>
      </x:c>
      <x:c r="C28" s="6" t="n">
        <x:v>149000</x:v>
      </x:c>
      <x:c r="D28" s="6" t="n">
        <x:v>177000</x:v>
      </x:c>
      <x:c r="E28" s="6" t="n">
        <x:f>C28-D28</x:f>
        <x:v>-28000</x:v>
      </x:c>
      <x:c r="F28" s="6" t="n">
        <x:f>F27+E28</x:f>
        <x:v>1033500</x:v>
      </x:c>
      <x:c r="G28" s="6" t="n">
        <x:v>-76000</x:v>
      </x:c>
      <x:c r="H28" s="6" t="n">
        <x:v>100000</x:v>
      </x:c>
      <x:c r="I28" s="11" t="n">
        <x:v>11</x:v>
      </x:c>
      <x:c r="J28" s="12" t="str">
        <x:v>E80</x:v>
      </x:c>
    </x:row>
    <x:row r="29" ht="25" customHeight="1">
      <x:c r="A29" s="2" t="str">
        <x:v>2026-10-06_Night</x:v>
      </x:c>
      <x:c r="B29" s="2" t="str">
        <x:v>前30場</x:v>
      </x:c>
      <x:c r="C29" s="6" t="n">
        <x:v>33000</x:v>
      </x:c>
      <x:c r="D29" s="6" t="n">
        <x:v>43000</x:v>
      </x:c>
      <x:c r="E29" s="6" t="n">
        <x:f>C29-D29</x:f>
        <x:v>-10000</x:v>
      </x:c>
      <x:c r="F29" s="6" t="n">
        <x:f>F28+E29</x:f>
        <x:v>1023500</x:v>
      </x:c>
      <x:c r="G29" s="6" t="n">
        <x:v>-56000</x:v>
      </x:c>
      <x:c r="H29" s="6" t="n">
        <x:v>56000</x:v>
      </x:c>
      <x:c r="I29" s="11" t="n">
        <x:v>4</x:v>
      </x:c>
      <x:c r="J29" s="12" t="str">
        <x:v>E80</x:v>
      </x:c>
    </x:row>
    <x:row r="30" ht="25" customHeight="1">
      <x:c r="A30" s="2" t="str">
        <x:v>2026-10-07_Day</x:v>
      </x:c>
      <x:c r="B30" s="2" t="str">
        <x:v>前30場</x:v>
      </x:c>
      <x:c r="C30" s="6" t="n">
        <x:v>167000</x:v>
      </x:c>
      <x:c r="D30" s="6" t="n">
        <x:v>46000</x:v>
      </x:c>
      <x:c r="E30" s="6" t="n">
        <x:f>C30-D30</x:f>
        <x:v>121000</x:v>
      </x:c>
      <x:c r="F30" s="6" t="n">
        <x:f>F29+E30</x:f>
        <x:v>1144500</x:v>
      </x:c>
      <x:c r="G30" s="6" t="n">
        <x:v>-6000</x:v>
      </x:c>
      <x:c r="H30" s="6" t="n">
        <x:v>62000</x:v>
      </x:c>
      <x:c r="I30" s="11" t="n">
        <x:v>7</x:v>
      </x:c>
      <x:c r="J30" s="12" t="str">
        <x:v>E80</x:v>
      </x:c>
    </x:row>
    <x:row r="31" ht="25" customHeight="1">
      <x:c r="A31" s="2" t="str">
        <x:v>2026-10-07_Night</x:v>
      </x:c>
      <x:c r="B31" s="2" t="str">
        <x:v>前30場</x:v>
      </x:c>
      <x:c r="C31" s="6" t="n">
        <x:v>23000</x:v>
      </x:c>
      <x:c r="D31" s="6" t="n">
        <x:v>41500</x:v>
      </x:c>
      <x:c r="E31" s="6" t="n">
        <x:f>C31-D31</x:f>
        <x:v>-18500</x:v>
      </x:c>
      <x:c r="F31" s="6" t="n">
        <x:f>F30+E31</x:f>
        <x:v>1126000</x:v>
      </x:c>
      <x:c r="G31" s="6" t="n">
        <x:v>-30000</x:v>
      </x:c>
      <x:c r="H31" s="6" t="n">
        <x:v>44500</x:v>
      </x:c>
      <x:c r="I31" s="11" t="n">
        <x:v>5</x:v>
      </x:c>
      <x:c r="J31" s="12" t="str">
        <x:v>E80</x:v>
      </x:c>
    </x:row>
    <x:row r="32" ht="25" customHeight="1">
      <x:c r="A32" s="2" t="str">
        <x:v>2026-10-08_Day</x:v>
      </x:c>
      <x:c r="B32" s="2" t="str">
        <x:v>前30場</x:v>
      </x:c>
      <x:c r="C32" s="6" t="n">
        <x:v>126000</x:v>
      </x:c>
      <x:c r="D32" s="6" t="n">
        <x:v>100000</x:v>
      </x:c>
      <x:c r="E32" s="6" t="n">
        <x:f>C32-D32</x:f>
        <x:v>26000</x:v>
      </x:c>
      <x:c r="F32" s="6" t="n">
        <x:f>F31+E32</x:f>
        <x:v>1152000</x:v>
      </x:c>
      <x:c r="G32" s="6" t="n">
        <x:v>-88000</x:v>
      </x:c>
      <x:c r="H32" s="6" t="n">
        <x:v>119000</x:v>
      </x:c>
      <x:c r="I32" s="11" t="n">
        <x:v>8</x:v>
      </x:c>
      <x:c r="J32" s="12" t="str">
        <x:v>E80</x:v>
      </x:c>
    </x:row>
    <x:row r="33" ht="25" customHeight="1">
      <x:c r="A33" s="2" t="str">
        <x:v>2026-10-08_Night</x:v>
      </x:c>
      <x:c r="B33" s="2" t="str">
        <x:v>前30場</x:v>
      </x:c>
      <x:c r="C33" s="6" t="n">
        <x:v>350000</x:v>
      </x:c>
      <x:c r="D33" s="6" t="n">
        <x:v>36000</x:v>
      </x:c>
      <x:c r="E33" s="6" t="n">
        <x:f>C33-D33</x:f>
        <x:v>314000</x:v>
      </x:c>
      <x:c r="F33" s="6" t="n">
        <x:f>F32+E33</x:f>
        <x:v>1466000</x:v>
      </x:c>
      <x:c r="G33" s="6" t="n">
        <x:v>-34000</x:v>
      </x:c>
      <x:c r="H33" s="6" t="n">
        <x:v>102000</x:v>
      </x:c>
      <x:c r="I33" s="11" t="n">
        <x:v>17</x:v>
      </x:c>
      <x:c r="J33" s="12" t="str">
        <x:v>E80</x:v>
      </x:c>
    </x:row>
    <x:row r="34" ht="25" customHeight="1">
      <x:c r="A34" s="2" t="str">
        <x:v>2026-10-09_Day</x:v>
      </x:c>
      <x:c r="B34" s="2" t="str">
        <x:v>前30場</x:v>
      </x:c>
      <x:c r="C34" s="6" t="n">
        <x:v>133000</x:v>
      </x:c>
      <x:c r="D34" s="6" t="n">
        <x:v>78000</x:v>
      </x:c>
      <x:c r="E34" s="6" t="n">
        <x:f>C34-D34</x:f>
        <x:v>55000</x:v>
      </x:c>
      <x:c r="F34" s="6" t="n">
        <x:f>F33+E34</x:f>
        <x:v>1521000</x:v>
      </x:c>
      <x:c r="G34" s="6" t="n">
        <x:v>-41000</x:v>
      </x:c>
      <x:c r="H34" s="6" t="n">
        <x:v>97000</x:v>
      </x:c>
      <x:c r="I34" s="11" t="n">
        <x:v>10</x:v>
      </x:c>
      <x:c r="J34" s="12" t="str">
        <x:v>E80</x:v>
      </x:c>
    </x:row>
    <x:row r="35" ht="25" customHeight="1">
      <x:c r="A35" s="2" t="str">
        <x:v>2026-10-09_Night</x:v>
      </x:c>
      <x:c r="B35" s="2" t="str">
        <x:v>前30場</x:v>
      </x:c>
      <x:c r="C35" s="6" t="n">
        <x:v>56000</x:v>
      </x:c>
      <x:c r="D35" s="6" t="n">
        <x:v>2000</x:v>
      </x:c>
      <x:c r="E35" s="6" t="n">
        <x:f>C35-D35</x:f>
        <x:v>54000</x:v>
      </x:c>
      <x:c r="F35" s="6" t="n">
        <x:f>F34+E35</x:f>
        <x:v>1575000</x:v>
      </x:c>
      <x:c r="G35" s="6" t="n">
        <x:v>-10000</x:v>
      </x:c>
      <x:c r="H35" s="6" t="n">
        <x:v>60000</x:v>
      </x:c>
      <x:c r="I35" s="11" t="n">
        <x:v>3</x:v>
      </x:c>
      <x:c r="J35" s="12" t="str">
        <x:v>E80</x:v>
      </x:c>
    </x:row>
    <x:row r="36" ht="25" customHeight="1">
      <x:c r="A36" s="2" t="str">
        <x:v>2026-10-12_Day</x:v>
      </x:c>
      <x:c r="B36" s="2" t="str">
        <x:v>次10場</x:v>
      </x:c>
      <x:c r="C36" s="6" t="n">
        <x:v>65000</x:v>
      </x:c>
      <x:c r="D36" s="6" t="n">
        <x:v>25000</x:v>
      </x:c>
      <x:c r="E36" s="6" t="n">
        <x:f>C36-D36</x:f>
        <x:v>40000</x:v>
      </x:c>
      <x:c r="F36" s="6" t="n">
        <x:f>F35+E36</x:f>
        <x:v>1615000</x:v>
      </x:c>
      <x:c r="G36" s="6" t="n">
        <x:v>-31000</x:v>
      </x:c>
      <x:c r="H36" s="6" t="n">
        <x:v>70000</x:v>
      </x:c>
      <x:c r="I36" s="11" t="n">
        <x:v>3</x:v>
      </x:c>
      <x:c r="J36" s="12" t="str">
        <x:v>E80</x:v>
      </x:c>
    </x:row>
    <x:row r="37" ht="25" customHeight="1">
      <x:c r="A37" s="2" t="str">
        <x:v>2026-10-12_Night</x:v>
      </x:c>
      <x:c r="B37" s="2" t="str">
        <x:v>次10場</x:v>
      </x:c>
      <x:c r="C37" s="6" t="n">
        <x:v>82000</x:v>
      </x:c>
      <x:c r="D37" s="6" t="n">
        <x:v>0</x:v>
      </x:c>
      <x:c r="E37" s="6" t="n">
        <x:f>C37-D37</x:f>
        <x:v>82000</x:v>
      </x:c>
      <x:c r="F37" s="6" t="n">
        <x:f>F36+E37</x:f>
        <x:v>1697000</x:v>
      </x:c>
      <x:c r="G37" s="6" t="n">
        <x:v>-10000</x:v>
      </x:c>
      <x:c r="H37" s="6" t="n">
        <x:v>33000</x:v>
      </x:c>
      <x:c r="I37" s="11" t="n">
        <x:v>1</x:v>
      </x:c>
      <x:c r="J37" s="12" t="str">
        <x:v>E80</x:v>
      </x:c>
    </x:row>
    <x:row r="38" ht="25" customHeight="1">
      <x:c r="A38" s="2" t="str">
        <x:v>2026-10-13_Day</x:v>
      </x:c>
      <x:c r="B38" s="2" t="str">
        <x:v>次10場</x:v>
      </x:c>
      <x:c r="C38" s="6" t="n">
        <x:v>217000</x:v>
      </x:c>
      <x:c r="D38" s="6" t="n">
        <x:v>171000</x:v>
      </x:c>
      <x:c r="E38" s="6" t="n">
        <x:f>C38-D38</x:f>
        <x:v>46000</x:v>
      </x:c>
      <x:c r="F38" s="6" t="n">
        <x:f>F37+E38</x:f>
        <x:v>1743000</x:v>
      </x:c>
      <x:c r="G38" s="6" t="n">
        <x:v>-47000</x:v>
      </x:c>
      <x:c r="H38" s="6" t="n">
        <x:v>113000</x:v>
      </x:c>
      <x:c r="I38" s="11" t="n">
        <x:v>17</x:v>
      </x:c>
      <x:c r="J38" s="12" t="str">
        <x:v>E80</x:v>
      </x:c>
    </x:row>
    <x:row r="39" ht="25" customHeight="1">
      <x:c r="A39" s="2" t="str">
        <x:v>2026-10-13_Night</x:v>
      </x:c>
      <x:c r="B39" s="2" t="str">
        <x:v>次10場</x:v>
      </x:c>
      <x:c r="C39" s="6" t="n">
        <x:v>15000</x:v>
      </x:c>
      <x:c r="D39" s="6" t="n">
        <x:v>53000</x:v>
      </x:c>
      <x:c r="E39" s="6" t="n">
        <x:f>C39-D39</x:f>
        <x:v>-38000</x:v>
      </x:c>
      <x:c r="F39" s="6" t="n">
        <x:f>F38+E39</x:f>
        <x:v>1705000</x:v>
      </x:c>
      <x:c r="G39" s="6" t="n">
        <x:v>-38000</x:v>
      </x:c>
      <x:c r="H39" s="6" t="n">
        <x:v>58000</x:v>
      </x:c>
      <x:c r="I39" s="11" t="n">
        <x:v>3</x:v>
      </x:c>
      <x:c r="J39" s="12" t="str">
        <x:v>E80</x:v>
      </x:c>
    </x:row>
    <x:row r="40" ht="25" customHeight="1">
      <x:c r="A40" s="2" t="str">
        <x:v>2026-10-14_Day</x:v>
      </x:c>
      <x:c r="B40" s="2" t="str">
        <x:v>次10場</x:v>
      </x:c>
      <x:c r="C40" s="6" t="n">
        <x:v>161000</x:v>
      </x:c>
      <x:c r="D40" s="6" t="n">
        <x:v>58000</x:v>
      </x:c>
      <x:c r="E40" s="6" t="n">
        <x:f>C40-D40</x:f>
        <x:v>103000</x:v>
      </x:c>
      <x:c r="F40" s="6" t="n">
        <x:f>F39+E40</x:f>
        <x:v>1808000</x:v>
      </x:c>
      <x:c r="G40" s="6" t="n">
        <x:v>-56500</x:v>
      </x:c>
      <x:c r="H40" s="6" t="n">
        <x:v>73500</x:v>
      </x:c>
      <x:c r="I40" s="11" t="n">
        <x:v>5</x:v>
      </x:c>
      <x:c r="J40" s="12" t="str">
        <x:v>E80</x:v>
      </x:c>
    </x:row>
    <x:row r="41" ht="25" customHeight="1">
      <x:c r="A41" s="2" t="str">
        <x:v>2026-10-14_Night</x:v>
      </x:c>
      <x:c r="B41" s="2" t="str">
        <x:v>次10場</x:v>
      </x:c>
      <x:c r="C41" s="6" t="n">
        <x:v>212000</x:v>
      </x:c>
      <x:c r="D41" s="6" t="n">
        <x:v>64000</x:v>
      </x:c>
      <x:c r="E41" s="6" t="n">
        <x:f>C41-D41</x:f>
        <x:v>148000</x:v>
      </x:c>
      <x:c r="F41" s="6" t="n">
        <x:f>F40+E41</x:f>
        <x:v>1956000</x:v>
      </x:c>
      <x:c r="G41" s="6" t="n">
        <x:v>-50500</x:v>
      </x:c>
      <x:c r="H41" s="6" t="n">
        <x:v>70500</x:v>
      </x:c>
      <x:c r="I41" s="11" t="n">
        <x:v>6</x:v>
      </x:c>
      <x:c r="J41" s="12" t="str">
        <x:v>E80</x:v>
      </x:c>
    </x:row>
    <x:row r="42" ht="25" customHeight="1">
      <x:c r="A42" s="2" t="str">
        <x:v>2026-10-15_Day</x:v>
      </x:c>
      <x:c r="B42" s="2" t="str">
        <x:v>次10場</x:v>
      </x:c>
      <x:c r="C42" s="6" t="n">
        <x:v>306000</x:v>
      </x:c>
      <x:c r="D42" s="6" t="n">
        <x:v>46000</x:v>
      </x:c>
      <x:c r="E42" s="6" t="n">
        <x:f>C42-D42</x:f>
        <x:v>260000</x:v>
      </x:c>
      <x:c r="F42" s="6" t="n">
        <x:f>F41+E42</x:f>
        <x:v>2216000</x:v>
      </x:c>
      <x:c r="G42" s="6" t="n">
        <x:v>-44000</x:v>
      </x:c>
      <x:c r="H42" s="6" t="n">
        <x:v>118000</x:v>
      </x:c>
      <x:c r="I42" s="11" t="n">
        <x:v>6</x:v>
      </x:c>
      <x:c r="J42" s="12" t="str">
        <x:v>E80</x:v>
      </x:c>
    </x:row>
    <x:row r="43" ht="25" customHeight="1">
      <x:c r="A43" s="2" t="str">
        <x:v>2026-10-15_Night</x:v>
      </x:c>
      <x:c r="B43" s="2" t="str">
        <x:v>次10場</x:v>
      </x:c>
      <x:c r="C43" s="6" t="n">
        <x:v>86000</x:v>
      </x:c>
      <x:c r="D43" s="6" t="n">
        <x:v>55500</x:v>
      </x:c>
      <x:c r="E43" s="6" t="n">
        <x:f>C43-D43</x:f>
        <x:v>30500</x:v>
      </x:c>
      <x:c r="F43" s="6" t="n">
        <x:f>F42+E43</x:f>
        <x:v>2246500</x:v>
      </x:c>
      <x:c r="G43" s="6" t="n">
        <x:v>-39500</x:v>
      </x:c>
      <x:c r="H43" s="6" t="n">
        <x:v>81500</x:v>
      </x:c>
      <x:c r="I43" s="11" t="n">
        <x:v>7</x:v>
      </x:c>
      <x:c r="J43" s="12" t="str">
        <x:v>E80</x:v>
      </x:c>
    </x:row>
    <x:row r="44" ht="25" customHeight="1">
      <x:c r="A44" s="2" t="str">
        <x:v>2026-10-16_Day</x:v>
      </x:c>
      <x:c r="B44" s="2" t="str">
        <x:v>次10場</x:v>
      </x:c>
      <x:c r="C44" s="6" t="n">
        <x:v>152000</x:v>
      </x:c>
      <x:c r="D44" s="6" t="n">
        <x:v>247500</x:v>
      </x:c>
      <x:c r="E44" s="6" t="n">
        <x:f>C44-D44</x:f>
        <x:v>-95500</x:v>
      </x:c>
      <x:c r="F44" s="6" t="n">
        <x:f>F43+E44</x:f>
        <x:v>2151000</x:v>
      </x:c>
      <x:c r="G44" s="6" t="n">
        <x:v>-162500</x:v>
      </x:c>
      <x:c r="H44" s="6" t="n">
        <x:v>177500</x:v>
      </x:c>
      <x:c r="I44" s="11" t="n">
        <x:v>15</x:v>
      </x:c>
      <x:c r="J44" s="12" t="str">
        <x:v>E80</x:v>
      </x:c>
    </x:row>
    <x:row r="45" ht="25" customHeight="1">
      <x:c r="A45" s="2" t="str">
        <x:v>2026-10-16_Night</x:v>
      </x:c>
      <x:c r="B45" s="2" t="str">
        <x:v>次10場</x:v>
      </x:c>
      <x:c r="C45" s="6" t="n">
        <x:v>176500</x:v>
      </x:c>
      <x:c r="D45" s="6" t="n">
        <x:v>166000</x:v>
      </x:c>
      <x:c r="E45" s="6" t="n">
        <x:f>C45-D45</x:f>
        <x:v>10500</x:v>
      </x:c>
      <x:c r="F45" s="6" t="n">
        <x:f>F44+E45</x:f>
        <x:v>2161500</x:v>
      </x:c>
      <x:c r="G45" s="6" t="n">
        <x:v>-108500</x:v>
      </x:c>
      <x:c r="H45" s="6" t="n">
        <x:v>118500</x:v>
      </x:c>
      <x:c r="I45" s="11" t="n">
        <x:v>16</x:v>
      </x:c>
      <x:c r="J45" s="12" t="str">
        <x:v>E80</x:v>
      </x:c>
    </x:row>
    <x:row r="46" ht="25" customHeight="1">
      <x:c r="A46" s="2" t="str">
        <x:v>2026-10-19_Day</x:v>
      </x:c>
      <x:c r="B46" s="2" t="str">
        <x:v>後13場</x:v>
      </x:c>
      <x:c r="C46" s="6" t="n">
        <x:v>329000</x:v>
      </x:c>
      <x:c r="D46" s="6" t="n">
        <x:v>36000</x:v>
      </x:c>
      <x:c r="E46" s="6" t="n">
        <x:f>C46-D46</x:f>
        <x:v>293000</x:v>
      </x:c>
      <x:c r="F46" s="6" t="n">
        <x:f>F45+E46</x:f>
        <x:v>2454500</x:v>
      </x:c>
      <x:c r="G46" s="6" t="n">
        <x:v>-8000</x:v>
      </x:c>
      <x:c r="H46" s="6" t="n">
        <x:v>192000</x:v>
      </x:c>
      <x:c r="I46" s="11" t="n">
        <x:v>6</x:v>
      </x:c>
      <x:c r="J46" s="12" t="str">
        <x:v>E80</x:v>
      </x:c>
    </x:row>
    <x:row r="47" ht="25" customHeight="1">
      <x:c r="A47" s="2" t="str">
        <x:v>2026-10-19_Night</x:v>
      </x:c>
      <x:c r="B47" s="2" t="str">
        <x:v>後13場</x:v>
      </x:c>
      <x:c r="C47" s="6" t="n">
        <x:v>132000</x:v>
      </x:c>
      <x:c r="D47" s="6" t="n">
        <x:v>103000</x:v>
      </x:c>
      <x:c r="E47" s="6" t="n">
        <x:f>C47-D47</x:f>
        <x:v>29000</x:v>
      </x:c>
      <x:c r="F47" s="6" t="n">
        <x:f>F46+E47</x:f>
        <x:v>2483500</x:v>
      </x:c>
      <x:c r="G47" s="6" t="n">
        <x:v>-40000</x:v>
      </x:c>
      <x:c r="H47" s="6" t="n">
        <x:v>95000</x:v>
      </x:c>
      <x:c r="I47" s="11" t="n">
        <x:v>14</x:v>
      </x:c>
      <x:c r="J47" s="12" t="str">
        <x:v>E80</x:v>
      </x:c>
    </x:row>
    <x:row r="48" ht="25" customHeight="1">
      <x:c r="A48" s="2" t="str">
        <x:v>2026-10-20_Day</x:v>
      </x:c>
      <x:c r="B48" s="2" t="str">
        <x:v>後13場</x:v>
      </x:c>
      <x:c r="C48" s="6" t="n">
        <x:v>209000</x:v>
      </x:c>
      <x:c r="D48" s="6" t="n">
        <x:v>201000</x:v>
      </x:c>
      <x:c r="E48" s="6" t="n">
        <x:f>C48-D48</x:f>
        <x:v>8000</x:v>
      </x:c>
      <x:c r="F48" s="6" t="n">
        <x:f>F47+E48</x:f>
        <x:v>2491500</x:v>
      </x:c>
      <x:c r="G48" s="6" t="n">
        <x:v>-80000</x:v>
      </x:c>
      <x:c r="H48" s="6" t="n">
        <x:v>305000</x:v>
      </x:c>
      <x:c r="I48" s="11" t="n">
        <x:v>15</x:v>
      </x:c>
      <x:c r="J48" s="12" t="str">
        <x:v>E80</x:v>
      </x:c>
    </x:row>
    <x:row r="49" ht="25" customHeight="1">
      <x:c r="A49" s="2" t="str">
        <x:v>2026-10-20_Night</x:v>
      </x:c>
      <x:c r="B49" s="2" t="str">
        <x:v>後13場</x:v>
      </x:c>
      <x:c r="C49" s="6" t="n">
        <x:v>156000</x:v>
      </x:c>
      <x:c r="D49" s="6" t="n">
        <x:v>35000</x:v>
      </x:c>
      <x:c r="E49" s="6" t="n">
        <x:f>C49-D49</x:f>
        <x:v>121000</x:v>
      </x:c>
      <x:c r="F49" s="6" t="n">
        <x:f>F48+E49</x:f>
        <x:v>2612500</x:v>
      </x:c>
      <x:c r="G49" s="6" t="n">
        <x:v>-10000</x:v>
      </x:c>
      <x:c r="H49" s="6" t="n">
        <x:v>64000</x:v>
      </x:c>
      <x:c r="I49" s="11" t="n">
        <x:v>12</x:v>
      </x:c>
      <x:c r="J49" s="12" t="str">
        <x:v>E80</x:v>
      </x:c>
    </x:row>
    <x:row r="50" ht="25" customHeight="1">
      <x:c r="A50" s="2" t="str">
        <x:v>2026-10-21_Day</x:v>
      </x:c>
      <x:c r="B50" s="2" t="str">
        <x:v>後13場</x:v>
      </x:c>
      <x:c r="C50" s="6" t="n">
        <x:v>90000</x:v>
      </x:c>
      <x:c r="D50" s="6" t="n">
        <x:v>201000</x:v>
      </x:c>
      <x:c r="E50" s="6" t="n">
        <x:f>C50-D50</x:f>
        <x:v>-111000</x:v>
      </x:c>
      <x:c r="F50" s="6" t="n">
        <x:f>F49+E50</x:f>
        <x:v>2501500</x:v>
      </x:c>
      <x:c r="G50" s="6" t="n">
        <x:v>-201000</x:v>
      </x:c>
      <x:c r="H50" s="6" t="n">
        <x:v>204000</x:v>
      </x:c>
      <x:c r="I50" s="11" t="n">
        <x:v>14</x:v>
      </x:c>
      <x:c r="J50" s="12" t="str">
        <x:v>E80</x:v>
      </x:c>
    </x:row>
    <x:row r="51" ht="25" customHeight="1">
      <x:c r="A51" s="2" t="str">
        <x:v>2026-10-21_Night</x:v>
      </x:c>
      <x:c r="B51" s="2" t="str">
        <x:v>後13場</x:v>
      </x:c>
      <x:c r="C51" s="6" t="n">
        <x:v>72500</x:v>
      </x:c>
      <x:c r="D51" s="6" t="n">
        <x:v>141500</x:v>
      </x:c>
      <x:c r="E51" s="6" t="n">
        <x:f>C51-D51</x:f>
        <x:v>-69000</x:v>
      </x:c>
      <x:c r="F51" s="6" t="n">
        <x:f>F50+E51</x:f>
        <x:v>2432500</x:v>
      </x:c>
      <x:c r="G51" s="6" t="n">
        <x:v>-69000</x:v>
      </x:c>
      <x:c r="H51" s="6" t="n">
        <x:v>131500</x:v>
      </x:c>
      <x:c r="I51" s="11" t="n">
        <x:v>9</x:v>
      </x:c>
      <x:c r="J51" s="12" t="str">
        <x:v>E80</x:v>
      </x:c>
    </x:row>
    <x:row r="52" ht="25" customHeight="1">
      <x:c r="A52" s="2" t="str">
        <x:v>2026-10-22_Day</x:v>
      </x:c>
      <x:c r="B52" s="2" t="str">
        <x:v>後13場</x:v>
      </x:c>
      <x:c r="C52" s="6" t="n">
        <x:v>404500</x:v>
      </x:c>
      <x:c r="D52" s="6" t="n">
        <x:v>33000</x:v>
      </x:c>
      <x:c r="E52" s="6" t="n">
        <x:f>C52-D52</x:f>
        <x:v>371500</x:v>
      </x:c>
      <x:c r="F52" s="6" t="n">
        <x:f>F51+E52</x:f>
        <x:v>2804000</x:v>
      </x:c>
      <x:c r="G52" s="6" t="n">
        <x:v>-39500</x:v>
      </x:c>
      <x:c r="H52" s="6" t="n">
        <x:v>115500</x:v>
      </x:c>
      <x:c r="I52" s="11" t="n">
        <x:v>4</x:v>
      </x:c>
      <x:c r="J52" s="12" t="str">
        <x:v>E80</x:v>
      </x:c>
    </x:row>
    <x:row r="53" ht="25" customHeight="1">
      <x:c r="A53" s="2" t="str">
        <x:v>2026-10-22_Night</x:v>
      </x:c>
      <x:c r="B53" s="2" t="str">
        <x:v>後13場</x:v>
      </x:c>
      <x:c r="C53" s="6" t="n">
        <x:v>156000</x:v>
      </x:c>
      <x:c r="D53" s="6" t="n">
        <x:v>0</x:v>
      </x:c>
      <x:c r="E53" s="6" t="n">
        <x:f>C53-D53</x:f>
        <x:v>156000</x:v>
      </x:c>
      <x:c r="F53" s="6" t="n">
        <x:f>F52+E53</x:f>
        <x:v>2960000</x:v>
      </x:c>
      <x:c r="G53" s="6" t="n">
        <x:v>-2000</x:v>
      </x:c>
      <x:c r="H53" s="6" t="n">
        <x:v>64000</x:v>
      </x:c>
      <x:c r="I53" s="11" t="n">
        <x:v>3</x:v>
      </x:c>
      <x:c r="J53" s="12" t="str">
        <x:v>E80</x:v>
      </x:c>
    </x:row>
    <x:row r="54" ht="25" customHeight="1">
      <x:c r="A54" s="2" t="str">
        <x:v>2026-10-23_Day</x:v>
      </x:c>
      <x:c r="B54" s="2" t="str">
        <x:v>後13場</x:v>
      </x:c>
      <x:c r="C54" s="6" t="n">
        <x:v>345000</x:v>
      </x:c>
      <x:c r="D54" s="6" t="n">
        <x:v>96500</x:v>
      </x:c>
      <x:c r="E54" s="6" t="n">
        <x:f>C54-D54</x:f>
        <x:v>248500</x:v>
      </x:c>
      <x:c r="F54" s="6" t="n">
        <x:f>F53+E54</x:f>
        <x:v>3208500</x:v>
      </x:c>
      <x:c r="G54" s="6" t="n">
        <x:v>-21000</x:v>
      </x:c>
      <x:c r="H54" s="6" t="n">
        <x:v>92000</x:v>
      </x:c>
      <x:c r="I54" s="11" t="n">
        <x:v>18</x:v>
      </x:c>
      <x:c r="J54" s="12" t="str">
        <x:v>E80</x:v>
      </x:c>
    </x:row>
    <x:row r="55" ht="25" customHeight="1">
      <x:c r="A55" s="2" t="str">
        <x:v>2026-10-23_Night</x:v>
      </x:c>
      <x:c r="B55" s="2" t="str">
        <x:v>後13場</x:v>
      </x:c>
      <x:c r="C55" s="6" t="n">
        <x:v>75000</x:v>
      </x:c>
      <x:c r="D55" s="6" t="n">
        <x:v>71000</x:v>
      </x:c>
      <x:c r="E55" s="6" t="n">
        <x:f>C55-D55</x:f>
        <x:v>4000</x:v>
      </x:c>
      <x:c r="F55" s="6" t="n">
        <x:f>F54+E55</x:f>
        <x:v>3212500</x:v>
      </x:c>
      <x:c r="G55" s="6" t="n">
        <x:v>-41000</x:v>
      </x:c>
      <x:c r="H55" s="6" t="n">
        <x:v>89000</x:v>
      </x:c>
      <x:c r="I55" s="11" t="n">
        <x:v>12</x:v>
      </x:c>
      <x:c r="J55" s="12" t="str">
        <x:v>E80</x:v>
      </x:c>
    </x:row>
    <x:row r="56" ht="25" customHeight="1">
      <x:c r="A56" s="2" t="str">
        <x:v>2026-10-26_Day</x:v>
      </x:c>
      <x:c r="B56" s="2" t="str">
        <x:v>後13場</x:v>
      </x:c>
      <x:c r="C56" s="6" t="n">
        <x:v>166000</x:v>
      </x:c>
      <x:c r="D56" s="6" t="n">
        <x:v>227500</x:v>
      </x:c>
      <x:c r="E56" s="6" t="n">
        <x:f>C56-D56</x:f>
        <x:v>-61500</x:v>
      </x:c>
      <x:c r="F56" s="6" t="n">
        <x:f>F55+E56</x:f>
        <x:v>3151000</x:v>
      </x:c>
      <x:c r="G56" s="6" t="n">
        <x:v>-157500</x:v>
      </x:c>
      <x:c r="H56" s="6" t="n">
        <x:v>254500</x:v>
      </x:c>
      <x:c r="I56" s="11" t="n">
        <x:v>9</x:v>
      </x:c>
      <x:c r="J56" s="12" t="str">
        <x:v>E80</x:v>
      </x:c>
    </x:row>
    <x:row r="57" ht="25" customHeight="1">
      <x:c r="A57" s="2" t="str">
        <x:v>2026-10-26_Night</x:v>
      </x:c>
      <x:c r="B57" s="2" t="str">
        <x:v>後13場</x:v>
      </x:c>
      <x:c r="C57" s="6" t="n">
        <x:v>88000</x:v>
      </x:c>
      <x:c r="D57" s="6" t="n">
        <x:v>111000</x:v>
      </x:c>
      <x:c r="E57" s="6" t="n">
        <x:f>C57-D57</x:f>
        <x:v>-23000</x:v>
      </x:c>
      <x:c r="F57" s="6" t="n">
        <x:f>F56+E57</x:f>
        <x:v>3128000</x:v>
      </x:c>
      <x:c r="G57" s="6" t="n">
        <x:v>-24000</x:v>
      </x:c>
      <x:c r="H57" s="6" t="n">
        <x:v>121000</x:v>
      </x:c>
      <x:c r="I57" s="11" t="n">
        <x:v>12</x:v>
      </x:c>
      <x:c r="J57" s="12" t="str">
        <x:v>E80</x:v>
      </x:c>
    </x:row>
    <x:row r="58" ht="25" customHeight="1">
      <x:c r="A58" s="2" t="str">
        <x:v>2026-10-27_Day</x:v>
      </x:c>
      <x:c r="B58" s="2" t="str">
        <x:v>後13場</x:v>
      </x:c>
      <x:c r="C58" s="6" t="n">
        <x:v>124000</x:v>
      </x:c>
      <x:c r="D58" s="6" t="n">
        <x:v>240500</x:v>
      </x:c>
      <x:c r="E58" s="6" t="n">
        <x:f>C58-D58</x:f>
        <x:v>-116500</x:v>
      </x:c>
      <x:c r="F58" s="6" t="n">
        <x:f>F57+E58</x:f>
        <x:v>3011500</x:v>
      </x:c>
      <x:c r="G58" s="6" t="n">
        <x:v>-134500</x:v>
      </x:c>
      <x:c r="H58" s="6" t="n">
        <x:v>203500</x:v>
      </x:c>
      <x:c r="I58" s="11" t="n">
        <x:v>17</x:v>
      </x:c>
      <x:c r="J58" s="12" t="str">
        <x:v>E80</x:v>
      </x:c>
    </x:row>
    <x:row r="59" ht="25" customHeight="1">
      <x:c r="A59" s="16" t="str">
        <x:v>累計／場内最悪値</x:v>
      </x:c>
      <x:c r="B59" s="16"/>
      <x:c r="C59" s="17" t="n">
        <x:f>SUM(C6:C58)</x:f>
        <x:v>7206500</x:v>
      </x:c>
      <x:c r="D59" s="17" t="n">
        <x:f>SUM(D6:D58)</x:f>
        <x:v>4195000</x:v>
      </x:c>
      <x:c r="E59" s="17" t="n">
        <x:f>C59-D59</x:f>
        <x:v>3011500</x:v>
      </x:c>
      <x:c r="F59" s="17" t="n">
        <x:f>F58</x:f>
        <x:v>3011500</x:v>
      </x:c>
      <x:c r="G59" s="17" t="n">
        <x:f>MIN(G6:G58)</x:f>
        <x:v>-201000</x:v>
      </x:c>
      <x:c r="H59" s="17" t="n">
        <x:f>MAX(H6:H58)</x:f>
        <x:v>305000</x:v>
      </x:c>
      <x:c r="I59" s="18" t="n">
        <x:f>SUM(I6:I58)</x:f>
        <x:v>435</x:v>
      </x:c>
      <x:c r="J59" s="17"/>
    </x:row>
  </x:sheetData>
  <x:conditionalFormatting sqref="E6:G58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1f6650d36f4f24"/>
  </x:tableParts>
</x:worksheet>
</file>