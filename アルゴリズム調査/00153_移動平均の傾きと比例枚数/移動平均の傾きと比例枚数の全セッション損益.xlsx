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  <Override PartName="/xl/worksheets/sheet26.xml" ContentType="application/vnd.openxmlformats-officedocument.spreadsheetml.worksheet+xml"/>
  <Override PartName="/xl/tables/table26.xml" ContentType="application/vnd.openxmlformats-officedocument.spreadsheetml.table+xml"/>
  <Override PartName="/xl/worksheets/sheet27.xml" ContentType="application/vnd.openxmlformats-officedocument.spreadsheetml.worksheet+xml"/>
  <Override PartName="/xl/tables/table27.xml" ContentType="application/vnd.openxmlformats-officedocument.spreadsheetml.table+xml"/>
  <Override PartName="/xl/worksheets/sheet28.xml" ContentType="application/vnd.openxmlformats-officedocument.spreadsheetml.worksheet+xml"/>
  <Override PartName="/xl/tables/table28.xml" ContentType="application/vnd.openxmlformats-officedocument.spreadsheetml.table+xml"/>
  <Override PartName="/xl/worksheets/sheet29.xml" ContentType="application/vnd.openxmlformats-officedocument.spreadsheetml.worksheet+xml"/>
  <Override PartName="/xl/tables/table29.xml" ContentType="application/vnd.openxmlformats-officedocument.spreadsheetml.table+xml"/>
  <Override PartName="/xl/worksheets/sheet30.xml" ContentType="application/vnd.openxmlformats-officedocument.spreadsheetml.worksheet+xml"/>
  <Override PartName="/xl/tables/table30.xml" ContentType="application/vnd.openxmlformats-officedocument.spreadsheetml.table+xml"/>
  <Override PartName="/xl/worksheets/sheet31.xml" ContentType="application/vnd.openxmlformats-officedocument.spreadsheetml.worksheet+xml"/>
  <Override PartName="/xl/tables/table31.xml" ContentType="application/vnd.openxmlformats-officedocument.spreadsheetml.table+xml"/>
  <Override PartName="/xl/worksheets/sheet32.xml" ContentType="application/vnd.openxmlformats-officedocument.spreadsheetml.worksheet+xml"/>
  <Override PartName="/xl/tables/table32.xml" ContentType="application/vnd.openxmlformats-officedocument.spreadsheetml.table+xml"/>
  <Override PartName="/xl/worksheets/sheet33.xml" ContentType="application/vnd.openxmlformats-officedocument.spreadsheetml.worksheet+xml"/>
  <Override PartName="/xl/tables/table33.xml" ContentType="application/vnd.openxmlformats-officedocument.spreadsheetml.table+xml"/>
  <Override PartName="/xl/worksheets/sheet34.xml" ContentType="application/vnd.openxmlformats-officedocument.spreadsheetml.worksheet+xml"/>
  <Override PartName="/xl/tables/table34.xml" ContentType="application/vnd.openxmlformats-officedocument.spreadsheetml.table+xml"/>
  <Override PartName="/xl/worksheets/sheet35.xml" ContentType="application/vnd.openxmlformats-officedocument.spreadsheetml.worksheet+xml"/>
  <Override PartName="/xl/tables/table35.xml" ContentType="application/vnd.openxmlformats-officedocument.spreadsheetml.table+xml"/>
  <Override PartName="/xl/worksheets/sheet36.xml" ContentType="application/vnd.openxmlformats-officedocument.spreadsheetml.worksheet+xml"/>
  <Override PartName="/xl/tables/table36.xml" ContentType="application/vnd.openxmlformats-officedocument.spreadsheetml.table+xml"/>
  <Override PartName="/xl/worksheets/sheet37.xml" ContentType="application/vnd.openxmlformats-officedocument.spreadsheetml.worksheet+xml"/>
  <Override PartName="/xl/tables/table37.xml" ContentType="application/vnd.openxmlformats-officedocument.spreadsheetml.table+xml"/>
  <Override PartName="/xl/worksheets/sheet38.xml" ContentType="application/vnd.openxmlformats-officedocument.spreadsheetml.worksheet+xml"/>
  <Override PartName="/xl/tables/table38.xml" ContentType="application/vnd.openxmlformats-officedocument.spreadsheetml.table+xml"/>
  <Override PartName="/xl/worksheets/sheet39.xml" ContentType="application/vnd.openxmlformats-officedocument.spreadsheetml.worksheet+xml"/>
  <Override PartName="/xl/tables/table39.xml" ContentType="application/vnd.openxmlformats-officedocument.spreadsheetml.table+xml"/>
  <Override PartName="/xl/worksheets/sheet40.xml" ContentType="application/vnd.openxmlformats-officedocument.spreadsheetml.worksheet+xml"/>
  <Override PartName="/xl/tables/table40.xml" ContentType="application/vnd.openxmlformats-officedocument.spreadsheetml.table+xml"/>
  <Override PartName="/xl/worksheets/sheet41.xml" ContentType="application/vnd.openxmlformats-officedocument.spreadsheetml.worksheet+xml"/>
  <Override PartName="/xl/tables/table41.xml" ContentType="application/vnd.openxmlformats-officedocument.spreadsheetml.table+xml"/>
  <Override PartName="/xl/worksheets/sheet42.xml" ContentType="application/vnd.openxmlformats-officedocument.spreadsheetml.worksheet+xml"/>
  <Override PartName="/xl/tables/table42.xml" ContentType="application/vnd.openxmlformats-officedocument.spreadsheetml.table+xml"/>
  <Override PartName="/xl/worksheets/sheet43.xml" ContentType="application/vnd.openxmlformats-officedocument.spreadsheetml.worksheet+xml"/>
  <Override PartName="/xl/tables/table43.xml" ContentType="application/vnd.openxmlformats-officedocument.spreadsheetml.table+xml"/>
  <Override PartName="/xl/worksheets/sheet44.xml" ContentType="application/vnd.openxmlformats-officedocument.spreadsheetml.worksheet+xml"/>
  <Override PartName="/xl/tables/table44.xml" ContentType="application/vnd.openxmlformats-officedocument.spreadsheetml.table+xml"/>
  <Override PartName="/xl/worksheets/sheet45.xml" ContentType="application/vnd.openxmlformats-officedocument.spreadsheetml.worksheet+xml"/>
  <Override PartName="/xl/tables/table45.xml" ContentType="application/vnd.openxmlformats-officedocument.spreadsheetml.table+xml"/>
  <Override PartName="/xl/worksheets/sheet46.xml" ContentType="application/vnd.openxmlformats-officedocument.spreadsheetml.worksheet+xml"/>
  <Override PartName="/xl/tables/table46.xml" ContentType="application/vnd.openxmlformats-officedocument.spreadsheetml.table+xml"/>
  <Override PartName="/xl/worksheets/sheet47.xml" ContentType="application/vnd.openxmlformats-officedocument.spreadsheetml.worksheet+xml"/>
  <Override PartName="/xl/tables/table47.xml" ContentType="application/vnd.openxmlformats-officedocument.spreadsheetml.table+xml"/>
  <Override PartName="/xl/worksheets/sheet48.xml" ContentType="application/vnd.openxmlformats-officedocument.spreadsheetml.worksheet+xml"/>
  <Override PartName="/xl/tables/table48.xml" ContentType="application/vnd.openxmlformats-officedocument.spreadsheetml.table+xml"/>
  <Override PartName="/xl/worksheets/sheet49.xml" ContentType="application/vnd.openxmlformats-officedocument.spreadsheetml.worksheet+xml"/>
  <Override PartName="/xl/tables/table49.xml" ContentType="application/vnd.openxmlformats-officedocument.spreadsheetml.table+xml"/>
  <Override PartName="/xl/worksheets/sheet50.xml" ContentType="application/vnd.openxmlformats-officedocument.spreadsheetml.worksheet+xml"/>
  <Override PartName="/xl/tables/table50.xml" ContentType="application/vnd.openxmlformats-officedocument.spreadsheetml.table+xml"/>
  <Override PartName="/xl/worksheets/sheet51.xml" ContentType="application/vnd.openxmlformats-officedocument.spreadsheetml.worksheet+xml"/>
  <Override PartName="/xl/tables/table51.xml" ContentType="application/vnd.openxmlformats-officedocument.spreadsheetml.table+xml"/>
  <Override PartName="/xl/worksheets/sheet52.xml" ContentType="application/vnd.openxmlformats-officedocument.spreadsheetml.worksheet+xml"/>
  <Override PartName="/xl/tables/table52.xml" ContentType="application/vnd.openxmlformats-officedocument.spreadsheetml.table+xml"/>
  <Override PartName="/xl/worksheets/sheet53.xml" ContentType="application/vnd.openxmlformats-officedocument.spreadsheetml.worksheet+xml"/>
  <Override PartName="/xl/tables/table53.xml" ContentType="application/vnd.openxmlformats-officedocument.spreadsheetml.table+xml"/>
  <Override PartName="/xl/worksheets/sheet54.xml" ContentType="application/vnd.openxmlformats-officedocument.spreadsheetml.worksheet+xml"/>
  <Override PartName="/xl/tables/table54.xml" ContentType="application/vnd.openxmlformats-officedocument.spreadsheetml.table+xml"/>
  <Override PartName="/xl/worksheets/sheet55.xml" ContentType="application/vnd.openxmlformats-officedocument.spreadsheetml.worksheet+xml"/>
  <Override PartName="/xl/tables/table55.xml" ContentType="application/vnd.openxmlformats-officedocument.spreadsheetml.table+xml"/>
  <Override PartName="/xl/worksheets/sheet56.xml" ContentType="application/vnd.openxmlformats-officedocument.spreadsheetml.worksheet+xml"/>
  <Override PartName="/xl/tables/table56.xml" ContentType="application/vnd.openxmlformats-officedocument.spreadsheetml.table+xml"/>
  <Override PartName="/xl/worksheets/sheet57.xml" ContentType="application/vnd.openxmlformats-officedocument.spreadsheetml.worksheet+xml"/>
  <Override PartName="/xl/tables/table57.xml" ContentType="application/vnd.openxmlformats-officedocument.spreadsheetml.table+xml"/>
  <Override PartName="/xl/worksheets/sheet58.xml" ContentType="application/vnd.openxmlformats-officedocument.spreadsheetml.worksheet+xml"/>
  <Override PartName="/xl/tables/table58.xml" ContentType="application/vnd.openxmlformats-officedocument.spreadsheetml.table+xml"/>
  <Override PartName="/xl/worksheets/sheet59.xml" ContentType="application/vnd.openxmlformats-officedocument.spreadsheetml.worksheet+xml"/>
  <Override PartName="/xl/tables/table59.xml" ContentType="application/vnd.openxmlformats-officedocument.spreadsheetml.table+xml"/>
  <Override PartName="/xl/worksheets/sheet60.xml" ContentType="application/vnd.openxmlformats-officedocument.spreadsheetml.worksheet+xml"/>
  <Override PartName="/xl/tables/table60.xml" ContentType="application/vnd.openxmlformats-officedocument.spreadsheetml.table+xml"/>
  <Override PartName="/xl/worksheets/sheet61.xml" ContentType="application/vnd.openxmlformats-officedocument.spreadsheetml.worksheet+xml"/>
  <Override PartName="/xl/tables/table61.xml" ContentType="application/vnd.openxmlformats-officedocument.spreadsheetml.table+xml"/>
  <Override PartName="/xl/worksheets/sheet62.xml" ContentType="application/vnd.openxmlformats-officedocument.spreadsheetml.worksheet+xml"/>
  <Override PartName="/xl/tables/table62.xml" ContentType="application/vnd.openxmlformats-officedocument.spreadsheetml.table+xml"/>
  <Override PartName="/xl/worksheets/sheet63.xml" ContentType="application/vnd.openxmlformats-officedocument.spreadsheetml.worksheet+xml"/>
  <Override PartName="/xl/tables/table63.xml" ContentType="application/vnd.openxmlformats-officedocument.spreadsheetml.table+xml"/>
  <Override PartName="/xl/worksheets/sheet64.xml" ContentType="application/vnd.openxmlformats-officedocument.spreadsheetml.worksheet+xml"/>
  <Override PartName="/xl/tables/table64.xml" ContentType="application/vnd.openxmlformats-officedocument.spreadsheetml.table+xml"/>
  <Override PartName="/xl/worksheets/sheet65.xml" ContentType="application/vnd.openxmlformats-officedocument.spreadsheetml.worksheet+xml"/>
  <Override PartName="/xl/tables/table65.xml" ContentType="application/vnd.openxmlformats-officedocument.spreadsheetml.table+xml"/>
  <Override PartName="/xl/worksheets/sheet66.xml" ContentType="application/vnd.openxmlformats-officedocument.spreadsheetml.worksheet+xml"/>
  <Override PartName="/xl/tables/table66.xml" ContentType="application/vnd.openxmlformats-officedocument.spreadsheetml.table+xml"/>
  <Override PartName="/xl/worksheets/sheet67.xml" ContentType="application/vnd.openxmlformats-officedocument.spreadsheetml.worksheet+xml"/>
  <Override PartName="/xl/tables/table67.xml" ContentType="application/vnd.openxmlformats-officedocument.spreadsheetml.table+xml"/>
  <Override PartName="/xl/worksheets/sheet68.xml" ContentType="application/vnd.openxmlformats-officedocument.spreadsheetml.worksheet+xml"/>
  <Override PartName="/xl/tables/table68.xml" ContentType="application/vnd.openxmlformats-officedocument.spreadsheetml.table+xml"/>
  <Override PartName="/xl/worksheets/sheet69.xml" ContentType="application/vnd.openxmlformats-officedocument.spreadsheetml.worksheet+xml"/>
  <Override PartName="/xl/tables/table69.xml" ContentType="application/vnd.openxmlformats-officedocument.spreadsheetml.table+xml"/>
  <Override PartName="/xl/worksheets/sheet70.xml" ContentType="application/vnd.openxmlformats-officedocument.spreadsheetml.worksheet+xml"/>
  <Override PartName="/xl/tables/table7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901650d0a546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比較" sheetId="1" r:id="Rcc59562234c9458a"/>
    <x:sheet xmlns:r="http://schemas.openxmlformats.org/officeDocument/2006/relationships" name="日経_R01" sheetId="2" r:id="R4c4953072a7b408a"/>
    <x:sheet xmlns:r="http://schemas.openxmlformats.org/officeDocument/2006/relationships" name="日経_R02" sheetId="3" r:id="R4f23cf2e2ec44e3e"/>
    <x:sheet xmlns:r="http://schemas.openxmlformats.org/officeDocument/2006/relationships" name="日経_R03" sheetId="4" r:id="Raa149630be72460f"/>
    <x:sheet xmlns:r="http://schemas.openxmlformats.org/officeDocument/2006/relationships" name="日経_R04" sheetId="5" r:id="R77b37e9deac345d0"/>
    <x:sheet xmlns:r="http://schemas.openxmlformats.org/officeDocument/2006/relationships" name="日経_R05" sheetId="6" r:id="Rcefed94a5f8b466a"/>
    <x:sheet xmlns:r="http://schemas.openxmlformats.org/officeDocument/2006/relationships" name="日経_R06" sheetId="7" r:id="R3bd9586effe04d4c"/>
    <x:sheet xmlns:r="http://schemas.openxmlformats.org/officeDocument/2006/relationships" name="日経_R07" sheetId="8" r:id="R52a82b7dc2ff4d0b"/>
    <x:sheet xmlns:r="http://schemas.openxmlformats.org/officeDocument/2006/relationships" name="日経_R08" sheetId="9" r:id="R77a63ed877eb497d"/>
    <x:sheet xmlns:r="http://schemas.openxmlformats.org/officeDocument/2006/relationships" name="日経_M01" sheetId="10" r:id="R356d863edaaf41a3"/>
    <x:sheet xmlns:r="http://schemas.openxmlformats.org/officeDocument/2006/relationships" name="日経_M02" sheetId="11" r:id="R2c2c41ee3f7346f2"/>
    <x:sheet xmlns:r="http://schemas.openxmlformats.org/officeDocument/2006/relationships" name="日経_M03" sheetId="12" r:id="R54282718177e4720"/>
    <x:sheet xmlns:r="http://schemas.openxmlformats.org/officeDocument/2006/relationships" name="日経_M04" sheetId="13" r:id="R0aaaeac017994028"/>
    <x:sheet xmlns:r="http://schemas.openxmlformats.org/officeDocument/2006/relationships" name="日経_M05" sheetId="14" r:id="Rac3a0d978b294b10"/>
    <x:sheet xmlns:r="http://schemas.openxmlformats.org/officeDocument/2006/relationships" name="日経_M06" sheetId="15" r:id="Rd8427b08fa8049a9"/>
    <x:sheet xmlns:r="http://schemas.openxmlformats.org/officeDocument/2006/relationships" name="日経_M07" sheetId="16" r:id="R83fda21163ea439f"/>
    <x:sheet xmlns:r="http://schemas.openxmlformats.org/officeDocument/2006/relationships" name="日経_M08" sheetId="17" r:id="Rcc7231c1bba74609"/>
    <x:sheet xmlns:r="http://schemas.openxmlformats.org/officeDocument/2006/relationships" name="日経_M09" sheetId="18" r:id="R1c0fa80904fa4ecf"/>
    <x:sheet xmlns:r="http://schemas.openxmlformats.org/officeDocument/2006/relationships" name="日経_M10" sheetId="19" r:id="R70ea3d57004b48ad"/>
    <x:sheet xmlns:r="http://schemas.openxmlformats.org/officeDocument/2006/relationships" name="日経_M11" sheetId="20" r:id="R7028763ddb274eb3"/>
    <x:sheet xmlns:r="http://schemas.openxmlformats.org/officeDocument/2006/relationships" name="日経_M12" sheetId="21" r:id="R72ec52eb3f624927"/>
    <x:sheet xmlns:r="http://schemas.openxmlformats.org/officeDocument/2006/relationships" name="日経_M13" sheetId="22" r:id="Rf019ab813a4f4482"/>
    <x:sheet xmlns:r="http://schemas.openxmlformats.org/officeDocument/2006/relationships" name="日経_M14" sheetId="23" r:id="R55dca256d76c40df"/>
    <x:sheet xmlns:r="http://schemas.openxmlformats.org/officeDocument/2006/relationships" name="日経_M15" sheetId="24" r:id="R614585d614314ded"/>
    <x:sheet xmlns:r="http://schemas.openxmlformats.org/officeDocument/2006/relationships" name="日経_M16" sheetId="25" r:id="R34368ebbbf6d4e7c"/>
    <x:sheet xmlns:r="http://schemas.openxmlformats.org/officeDocument/2006/relationships" name="日経_M17" sheetId="26" r:id="Rc72b15de7d5c4291"/>
    <x:sheet xmlns:r="http://schemas.openxmlformats.org/officeDocument/2006/relationships" name="日経_M18" sheetId="27" r:id="R71773a4377474327"/>
    <x:sheet xmlns:r="http://schemas.openxmlformats.org/officeDocument/2006/relationships" name="日経_M19" sheetId="28" r:id="R3b600a773ddf4f9c"/>
    <x:sheet xmlns:r="http://schemas.openxmlformats.org/officeDocument/2006/relationships" name="日経_M20" sheetId="29" r:id="Rcf92e2ddb8534e7d"/>
    <x:sheet xmlns:r="http://schemas.openxmlformats.org/officeDocument/2006/relationships" name="日経_M21" sheetId="30" r:id="Rbeb45a9932c04a67"/>
    <x:sheet xmlns:r="http://schemas.openxmlformats.org/officeDocument/2006/relationships" name="日経_M22" sheetId="31" r:id="Ree43f1ad772b4b84"/>
    <x:sheet xmlns:r="http://schemas.openxmlformats.org/officeDocument/2006/relationships" name="日経_M23" sheetId="32" r:id="R5cf3fc11d612432c"/>
    <x:sheet xmlns:r="http://schemas.openxmlformats.org/officeDocument/2006/relationships" name="日経_M24" sheetId="33" r:id="R48bb64b3e6064079"/>
    <x:sheet xmlns:r="http://schemas.openxmlformats.org/officeDocument/2006/relationships" name="日経_F01" sheetId="34" r:id="Rcb220b45d06b45cb"/>
    <x:sheet xmlns:r="http://schemas.openxmlformats.org/officeDocument/2006/relationships" name="日経_F10" sheetId="35" r:id="R3fe59eeb08aa4205"/>
    <x:sheet xmlns:r="http://schemas.openxmlformats.org/officeDocument/2006/relationships" name="TOPIX_R01" sheetId="36" r:id="Rd0d1ff893a4346fe"/>
    <x:sheet xmlns:r="http://schemas.openxmlformats.org/officeDocument/2006/relationships" name="TOPIX_R02" sheetId="37" r:id="R3b4c57e649b74a79"/>
    <x:sheet xmlns:r="http://schemas.openxmlformats.org/officeDocument/2006/relationships" name="TOPIX_R03" sheetId="38" r:id="R6a52414e206b4abe"/>
    <x:sheet xmlns:r="http://schemas.openxmlformats.org/officeDocument/2006/relationships" name="TOPIX_R04" sheetId="39" r:id="R48db2cc80cf34e15"/>
    <x:sheet xmlns:r="http://schemas.openxmlformats.org/officeDocument/2006/relationships" name="TOPIX_R05" sheetId="40" r:id="R71ef14993a494270"/>
    <x:sheet xmlns:r="http://schemas.openxmlformats.org/officeDocument/2006/relationships" name="TOPIX_R06" sheetId="41" r:id="R281c5ec9824f4e2e"/>
    <x:sheet xmlns:r="http://schemas.openxmlformats.org/officeDocument/2006/relationships" name="TOPIX_R07" sheetId="42" r:id="R303d2a40726e4c7e"/>
    <x:sheet xmlns:r="http://schemas.openxmlformats.org/officeDocument/2006/relationships" name="TOPIX_R08" sheetId="43" r:id="Rea0242a5dda6463c"/>
    <x:sheet xmlns:r="http://schemas.openxmlformats.org/officeDocument/2006/relationships" name="TOPIX_M01" sheetId="44" r:id="R6144bdf801e14649"/>
    <x:sheet xmlns:r="http://schemas.openxmlformats.org/officeDocument/2006/relationships" name="TOPIX_M02" sheetId="45" r:id="Rd3a2d220c8a74da9"/>
    <x:sheet xmlns:r="http://schemas.openxmlformats.org/officeDocument/2006/relationships" name="TOPIX_M03" sheetId="46" r:id="Rb0ecfb64ef214cd9"/>
    <x:sheet xmlns:r="http://schemas.openxmlformats.org/officeDocument/2006/relationships" name="TOPIX_M04" sheetId="47" r:id="Rc3f28853e6824c1f"/>
    <x:sheet xmlns:r="http://schemas.openxmlformats.org/officeDocument/2006/relationships" name="TOPIX_M05" sheetId="48" r:id="Rb0139b971c564a83"/>
    <x:sheet xmlns:r="http://schemas.openxmlformats.org/officeDocument/2006/relationships" name="TOPIX_M06" sheetId="49" r:id="Rf6ec91f4be504e95"/>
    <x:sheet xmlns:r="http://schemas.openxmlformats.org/officeDocument/2006/relationships" name="TOPIX_M07" sheetId="50" r:id="R36aeb353da344f60"/>
    <x:sheet xmlns:r="http://schemas.openxmlformats.org/officeDocument/2006/relationships" name="TOPIX_M08" sheetId="51" r:id="R00d59c4d28c6492f"/>
    <x:sheet xmlns:r="http://schemas.openxmlformats.org/officeDocument/2006/relationships" name="TOPIX_M09" sheetId="52" r:id="R11f4c56ca2f3428d"/>
    <x:sheet xmlns:r="http://schemas.openxmlformats.org/officeDocument/2006/relationships" name="TOPIX_M10" sheetId="53" r:id="R81c576ddd5b84af7"/>
    <x:sheet xmlns:r="http://schemas.openxmlformats.org/officeDocument/2006/relationships" name="TOPIX_M11" sheetId="54" r:id="Rb41d67aee1f44dd0"/>
    <x:sheet xmlns:r="http://schemas.openxmlformats.org/officeDocument/2006/relationships" name="TOPIX_M12" sheetId="55" r:id="R2967d7e05235497f"/>
    <x:sheet xmlns:r="http://schemas.openxmlformats.org/officeDocument/2006/relationships" name="TOPIX_M13" sheetId="56" r:id="R44743ccc4dc84d90"/>
    <x:sheet xmlns:r="http://schemas.openxmlformats.org/officeDocument/2006/relationships" name="TOPIX_M14" sheetId="57" r:id="Ra0b032d22add4671"/>
    <x:sheet xmlns:r="http://schemas.openxmlformats.org/officeDocument/2006/relationships" name="TOPIX_M15" sheetId="58" r:id="R97a71f54cb024076"/>
    <x:sheet xmlns:r="http://schemas.openxmlformats.org/officeDocument/2006/relationships" name="TOPIX_M16" sheetId="59" r:id="R96716827cf524da3"/>
    <x:sheet xmlns:r="http://schemas.openxmlformats.org/officeDocument/2006/relationships" name="TOPIX_M17" sheetId="60" r:id="R1b0d4e997cb14ca4"/>
    <x:sheet xmlns:r="http://schemas.openxmlformats.org/officeDocument/2006/relationships" name="TOPIX_M18" sheetId="61" r:id="R9f95979ec3cf481a"/>
    <x:sheet xmlns:r="http://schemas.openxmlformats.org/officeDocument/2006/relationships" name="TOPIX_M19" sheetId="62" r:id="R6b0dbc871ddf4755"/>
    <x:sheet xmlns:r="http://schemas.openxmlformats.org/officeDocument/2006/relationships" name="TOPIX_M20" sheetId="63" r:id="R4fab8b799b764172"/>
    <x:sheet xmlns:r="http://schemas.openxmlformats.org/officeDocument/2006/relationships" name="TOPIX_M21" sheetId="64" r:id="Rcd9e496f898c4234"/>
    <x:sheet xmlns:r="http://schemas.openxmlformats.org/officeDocument/2006/relationships" name="TOPIX_M22" sheetId="65" r:id="Ra675ab13a5f84919"/>
    <x:sheet xmlns:r="http://schemas.openxmlformats.org/officeDocument/2006/relationships" name="TOPIX_M23" sheetId="66" r:id="Re0c00fd471b84e69"/>
    <x:sheet xmlns:r="http://schemas.openxmlformats.org/officeDocument/2006/relationships" name="TOPIX_M24" sheetId="67" r:id="Rd655abe6dcc845ea"/>
    <x:sheet xmlns:r="http://schemas.openxmlformats.org/officeDocument/2006/relationships" name="TOPIX_F01" sheetId="68" r:id="R4f69ecab82ab4dba"/>
    <x:sheet xmlns:r="http://schemas.openxmlformats.org/officeDocument/2006/relationships" name="TOPIX_F10" sheetId="69" r:id="R56149d9e6c104c85"/>
    <x:sheet xmlns:r="http://schemas.openxmlformats.org/officeDocument/2006/relationships" name="10月26日ナイト途中" sheetId="70" r:id="R4aad24f7f27748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;[Red](#,##0);&quot;—&quot;"/>
    <x:numFmt numFmtId="201" formatCode="0.0%"/>
    <x:numFmt numFmtId="202" formatCode="0.00"/>
  </x:numFmts>
  <x:fonts count="6">
    <x:font>
      <x:sz val="11"/>
      <x:name val="Carlito"/>
    </x:font>
    <x:font>
      <x:sz val="10"/>
      <x:color rgb="FF20364A"/>
      <x:name val="Yu Gothic"/>
    </x:font>
    <x:font>
      <x:b/>
      <x:sz val="14"/>
      <x:color rgb="FF20364A"/>
      <x:name val="Yu Gothic"/>
    </x:font>
    <x:font>
      <x:i/>
      <x:sz val="10"/>
      <x:color rgb="FF52677C"/>
      <x:name val="Yu Gothic"/>
    </x:font>
    <x:font>
      <x:b/>
      <x:sz val="10"/>
      <x:color rgb="FFFFFFFF"/>
      <x:name val="Yu Gothic"/>
    </x:font>
    <x:font>
      <x:b/>
      <x:sz val="10"/>
      <x:color rgb="FF20364A"/>
      <x:name val="Yu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244A70"/>
      </x:patternFill>
    </x:fill>
  </x:fills>
  <x:borders count="2">
    <x:border>
      <x:left/>
      <x:right/>
      <x:top/>
      <x:bottom/>
      <x:diagonal/>
    </x:border>
    <x:border>
      <x:left/>
      <x:right/>
      <x:top style="thin">
        <x:color rgb="FF9EAFBF"/>
      </x:top>
      <x:bottom/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horizontal="right" vertical="center"/>
    </x:xf>
    <x:xf numFmtId="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horizontal="right" vertical="center"/>
    </x:xf>
    <x:xf numFmtId="201" fontId="5" fillId="0" borderId="0" xfId="0" applyNumberFormat="1" applyFont="1" applyFill="1" applyBorder="1" applyAlignment="1">
      <x:alignment horizontal="right" vertical="center"/>
    </x:xf>
    <x:xf numFmtId="0" fontId="5" fillId="0" borderId="1" xfId="0" applyNumberFormat="1" applyFont="1" applyFill="1" applyBorder="1" applyAlignment="1">
      <x:alignment vertical="center"/>
    </x:xf>
    <x:xf numFmtId="200" fontId="5" fillId="0" borderId="1" xfId="0" applyNumberFormat="1" applyFont="1" applyFill="1" applyBorder="1" applyAlignment="1">
      <x:alignment horizontal="right" vertical="center"/>
    </x:xf>
    <x:xf numFmtId="201" fontId="5" fillId="0" borderId="1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 wrapText="1"/>
    </x:xf>
    <x:xf numFmtId="200" fontId="1" fillId="0" borderId="0" xfId="0" applyNumberFormat="1" applyFont="1" applyFill="1" applyBorder="1" applyAlignment="1">
      <x:alignment horizontal="left" vertical="center" wrapText="1"/>
    </x:xf>
    <x:xf numFmtId="202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  <x:dxfs count="69"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79afdcd6f4431e" /><Relationship Type="http://schemas.openxmlformats.org/officeDocument/2006/relationships/theme" Target="/xl/theme/theme1.xml" Id="Ra96e16232a6d4f2e" /><Relationship Type="http://schemas.openxmlformats.org/officeDocument/2006/relationships/sharedStrings" Target="/xl/sharedStrings.xml" Id="R0cdf93a37d23476d" /><Relationship Type="http://schemas.openxmlformats.org/officeDocument/2006/relationships/worksheet" Target="/xl/worksheets/sheet1.xml" Id="Rcc59562234c9458a" /><Relationship Type="http://schemas.openxmlformats.org/officeDocument/2006/relationships/worksheet" Target="/xl/worksheets/sheet2.xml" Id="R4c4953072a7b408a" /><Relationship Type="http://schemas.openxmlformats.org/officeDocument/2006/relationships/worksheet" Target="/xl/worksheets/sheet3.xml" Id="R4f23cf2e2ec44e3e" /><Relationship Type="http://schemas.openxmlformats.org/officeDocument/2006/relationships/worksheet" Target="/xl/worksheets/sheet4.xml" Id="Raa149630be72460f" /><Relationship Type="http://schemas.openxmlformats.org/officeDocument/2006/relationships/worksheet" Target="/xl/worksheets/sheet5.xml" Id="R77b37e9deac345d0" /><Relationship Type="http://schemas.openxmlformats.org/officeDocument/2006/relationships/worksheet" Target="/xl/worksheets/sheet6.xml" Id="Rcefed94a5f8b466a" /><Relationship Type="http://schemas.openxmlformats.org/officeDocument/2006/relationships/worksheet" Target="/xl/worksheets/sheet7.xml" Id="R3bd9586effe04d4c" /><Relationship Type="http://schemas.openxmlformats.org/officeDocument/2006/relationships/worksheet" Target="/xl/worksheets/sheet8.xml" Id="R52a82b7dc2ff4d0b" /><Relationship Type="http://schemas.openxmlformats.org/officeDocument/2006/relationships/worksheet" Target="/xl/worksheets/sheet9.xml" Id="R77a63ed877eb497d" /><Relationship Type="http://schemas.openxmlformats.org/officeDocument/2006/relationships/worksheet" Target="/xl/worksheets/sheet10.xml" Id="R356d863edaaf41a3" /><Relationship Type="http://schemas.openxmlformats.org/officeDocument/2006/relationships/worksheet" Target="/xl/worksheets/sheet11.xml" Id="R2c2c41ee3f7346f2" /><Relationship Type="http://schemas.openxmlformats.org/officeDocument/2006/relationships/worksheet" Target="/xl/worksheets/sheet12.xml" Id="R54282718177e4720" /><Relationship Type="http://schemas.openxmlformats.org/officeDocument/2006/relationships/worksheet" Target="/xl/worksheets/sheet13.xml" Id="R0aaaeac017994028" /><Relationship Type="http://schemas.openxmlformats.org/officeDocument/2006/relationships/worksheet" Target="/xl/worksheets/sheet14.xml" Id="Rac3a0d978b294b10" /><Relationship Type="http://schemas.openxmlformats.org/officeDocument/2006/relationships/worksheet" Target="/xl/worksheets/sheet15.xml" Id="Rd8427b08fa8049a9" /><Relationship Type="http://schemas.openxmlformats.org/officeDocument/2006/relationships/worksheet" Target="/xl/worksheets/sheet16.xml" Id="R83fda21163ea439f" /><Relationship Type="http://schemas.openxmlformats.org/officeDocument/2006/relationships/worksheet" Target="/xl/worksheets/sheet17.xml" Id="Rcc7231c1bba74609" /><Relationship Type="http://schemas.openxmlformats.org/officeDocument/2006/relationships/worksheet" Target="/xl/worksheets/sheet18.xml" Id="R1c0fa80904fa4ecf" /><Relationship Type="http://schemas.openxmlformats.org/officeDocument/2006/relationships/worksheet" Target="/xl/worksheets/sheet19.xml" Id="R70ea3d57004b48ad" /><Relationship Type="http://schemas.openxmlformats.org/officeDocument/2006/relationships/worksheet" Target="/xl/worksheets/sheet20.xml" Id="R7028763ddb274eb3" /><Relationship Type="http://schemas.openxmlformats.org/officeDocument/2006/relationships/worksheet" Target="/xl/worksheets/sheet21.xml" Id="R72ec52eb3f624927" /><Relationship Type="http://schemas.openxmlformats.org/officeDocument/2006/relationships/worksheet" Target="/xl/worksheets/sheet22.xml" Id="Rf019ab813a4f4482" /><Relationship Type="http://schemas.openxmlformats.org/officeDocument/2006/relationships/worksheet" Target="/xl/worksheets/sheet23.xml" Id="R55dca256d76c40df" /><Relationship Type="http://schemas.openxmlformats.org/officeDocument/2006/relationships/worksheet" Target="/xl/worksheets/sheet24.xml" Id="R614585d614314ded" /><Relationship Type="http://schemas.openxmlformats.org/officeDocument/2006/relationships/worksheet" Target="/xl/worksheets/sheet25.xml" Id="R34368ebbbf6d4e7c" /><Relationship Type="http://schemas.openxmlformats.org/officeDocument/2006/relationships/worksheet" Target="/xl/worksheets/sheet26.xml" Id="Rc72b15de7d5c4291" /><Relationship Type="http://schemas.openxmlformats.org/officeDocument/2006/relationships/worksheet" Target="/xl/worksheets/sheet27.xml" Id="R71773a4377474327" /><Relationship Type="http://schemas.openxmlformats.org/officeDocument/2006/relationships/worksheet" Target="/xl/worksheets/sheet28.xml" Id="R3b600a773ddf4f9c" /><Relationship Type="http://schemas.openxmlformats.org/officeDocument/2006/relationships/worksheet" Target="/xl/worksheets/sheet29.xml" Id="Rcf92e2ddb8534e7d" /><Relationship Type="http://schemas.openxmlformats.org/officeDocument/2006/relationships/worksheet" Target="/xl/worksheets/sheet30.xml" Id="Rbeb45a9932c04a67" /><Relationship Type="http://schemas.openxmlformats.org/officeDocument/2006/relationships/worksheet" Target="/xl/worksheets/sheet31.xml" Id="Ree43f1ad772b4b84" /><Relationship Type="http://schemas.openxmlformats.org/officeDocument/2006/relationships/worksheet" Target="/xl/worksheets/sheet32.xml" Id="R5cf3fc11d612432c" /><Relationship Type="http://schemas.openxmlformats.org/officeDocument/2006/relationships/worksheet" Target="/xl/worksheets/sheet33.xml" Id="R48bb64b3e6064079" /><Relationship Type="http://schemas.openxmlformats.org/officeDocument/2006/relationships/worksheet" Target="/xl/worksheets/sheet34.xml" Id="Rcb220b45d06b45cb" /><Relationship Type="http://schemas.openxmlformats.org/officeDocument/2006/relationships/worksheet" Target="/xl/worksheets/sheet35.xml" Id="R3fe59eeb08aa4205" /><Relationship Type="http://schemas.openxmlformats.org/officeDocument/2006/relationships/worksheet" Target="/xl/worksheets/sheet36.xml" Id="Rd0d1ff893a4346fe" /><Relationship Type="http://schemas.openxmlformats.org/officeDocument/2006/relationships/worksheet" Target="/xl/worksheets/sheet37.xml" Id="R3b4c57e649b74a79" /><Relationship Type="http://schemas.openxmlformats.org/officeDocument/2006/relationships/worksheet" Target="/xl/worksheets/sheet38.xml" Id="R6a52414e206b4abe" /><Relationship Type="http://schemas.openxmlformats.org/officeDocument/2006/relationships/worksheet" Target="/xl/worksheets/sheet39.xml" Id="R48db2cc80cf34e15" /><Relationship Type="http://schemas.openxmlformats.org/officeDocument/2006/relationships/worksheet" Target="/xl/worksheets/sheet40.xml" Id="R71ef14993a494270" /><Relationship Type="http://schemas.openxmlformats.org/officeDocument/2006/relationships/worksheet" Target="/xl/worksheets/sheet41.xml" Id="R281c5ec9824f4e2e" /><Relationship Type="http://schemas.openxmlformats.org/officeDocument/2006/relationships/worksheet" Target="/xl/worksheets/sheet42.xml" Id="R303d2a40726e4c7e" /><Relationship Type="http://schemas.openxmlformats.org/officeDocument/2006/relationships/worksheet" Target="/xl/worksheets/sheet43.xml" Id="Rea0242a5dda6463c" /><Relationship Type="http://schemas.openxmlformats.org/officeDocument/2006/relationships/worksheet" Target="/xl/worksheets/sheet44.xml" Id="R6144bdf801e14649" /><Relationship Type="http://schemas.openxmlformats.org/officeDocument/2006/relationships/worksheet" Target="/xl/worksheets/sheet45.xml" Id="Rd3a2d220c8a74da9" /><Relationship Type="http://schemas.openxmlformats.org/officeDocument/2006/relationships/worksheet" Target="/xl/worksheets/sheet46.xml" Id="Rb0ecfb64ef214cd9" /><Relationship Type="http://schemas.openxmlformats.org/officeDocument/2006/relationships/worksheet" Target="/xl/worksheets/sheet47.xml" Id="Rc3f28853e6824c1f" /><Relationship Type="http://schemas.openxmlformats.org/officeDocument/2006/relationships/worksheet" Target="/xl/worksheets/sheet48.xml" Id="Rb0139b971c564a83" /><Relationship Type="http://schemas.openxmlformats.org/officeDocument/2006/relationships/worksheet" Target="/xl/worksheets/sheet49.xml" Id="Rf6ec91f4be504e95" /><Relationship Type="http://schemas.openxmlformats.org/officeDocument/2006/relationships/worksheet" Target="/xl/worksheets/sheet50.xml" Id="R36aeb353da344f60" /><Relationship Type="http://schemas.openxmlformats.org/officeDocument/2006/relationships/worksheet" Target="/xl/worksheets/sheet51.xml" Id="R00d59c4d28c6492f" /><Relationship Type="http://schemas.openxmlformats.org/officeDocument/2006/relationships/worksheet" Target="/xl/worksheets/sheet52.xml" Id="R11f4c56ca2f3428d" /><Relationship Type="http://schemas.openxmlformats.org/officeDocument/2006/relationships/worksheet" Target="/xl/worksheets/sheet53.xml" Id="R81c576ddd5b84af7" /><Relationship Type="http://schemas.openxmlformats.org/officeDocument/2006/relationships/worksheet" Target="/xl/worksheets/sheet54.xml" Id="Rb41d67aee1f44dd0" /><Relationship Type="http://schemas.openxmlformats.org/officeDocument/2006/relationships/worksheet" Target="/xl/worksheets/sheet55.xml" Id="R2967d7e05235497f" /><Relationship Type="http://schemas.openxmlformats.org/officeDocument/2006/relationships/worksheet" Target="/xl/worksheets/sheet56.xml" Id="R44743ccc4dc84d90" /><Relationship Type="http://schemas.openxmlformats.org/officeDocument/2006/relationships/worksheet" Target="/xl/worksheets/sheet57.xml" Id="Ra0b032d22add4671" /><Relationship Type="http://schemas.openxmlformats.org/officeDocument/2006/relationships/worksheet" Target="/xl/worksheets/sheet58.xml" Id="R97a71f54cb024076" /><Relationship Type="http://schemas.openxmlformats.org/officeDocument/2006/relationships/worksheet" Target="/xl/worksheets/sheet59.xml" Id="R96716827cf524da3" /><Relationship Type="http://schemas.openxmlformats.org/officeDocument/2006/relationships/worksheet" Target="/xl/worksheets/sheet60.xml" Id="R1b0d4e997cb14ca4" /><Relationship Type="http://schemas.openxmlformats.org/officeDocument/2006/relationships/worksheet" Target="/xl/worksheets/sheet61.xml" Id="R9f95979ec3cf481a" /><Relationship Type="http://schemas.openxmlformats.org/officeDocument/2006/relationships/worksheet" Target="/xl/worksheets/sheet62.xml" Id="R6b0dbc871ddf4755" /><Relationship Type="http://schemas.openxmlformats.org/officeDocument/2006/relationships/worksheet" Target="/xl/worksheets/sheet63.xml" Id="R4fab8b799b764172" /><Relationship Type="http://schemas.openxmlformats.org/officeDocument/2006/relationships/worksheet" Target="/xl/worksheets/sheet64.xml" Id="Rcd9e496f898c4234" /><Relationship Type="http://schemas.openxmlformats.org/officeDocument/2006/relationships/worksheet" Target="/xl/worksheets/sheet65.xml" Id="Ra675ab13a5f84919" /><Relationship Type="http://schemas.openxmlformats.org/officeDocument/2006/relationships/worksheet" Target="/xl/worksheets/sheet66.xml" Id="Re0c00fd471b84e69" /><Relationship Type="http://schemas.openxmlformats.org/officeDocument/2006/relationships/worksheet" Target="/xl/worksheets/sheet67.xml" Id="Rd655abe6dcc845ea" /><Relationship Type="http://schemas.openxmlformats.org/officeDocument/2006/relationships/worksheet" Target="/xl/worksheets/sheet68.xml" Id="R4f69ecab82ab4dba" /><Relationship Type="http://schemas.openxmlformats.org/officeDocument/2006/relationships/worksheet" Target="/xl/worksheets/sheet69.xml" Id="R56149d9e6c104c85" /><Relationship Type="http://schemas.openxmlformats.org/officeDocument/2006/relationships/worksheet" Target="/xl/worksheets/sheet70.xml" Id="R4aad24f7f27748b9" /></Relationships>
</file>

<file path=xl/tables/table1.xml><?xml version="1.0" encoding="utf-8"?>
<x:table xmlns:x="http://schemas.openxmlformats.org/spreadsheetml/2006/main" id="69" name="MA153_comparison" displayName="MA153_comparison" ref="A5:P73" headerRowCount="1" totalsRowCount="0" totalsRowShown="0">
  <x:autoFilter ref="A5:P73"/>
  <x:tableColumns count="16">
    <x:tableColumn id="1" name="銘柄・手法"/>
    <x:tableColumn id="2" name="簡単な説明"/>
    <x:tableColumn id="3" name="総利益（円）"/>
    <x:tableColumn id="4" name="総損失（円）"/>
    <x:tableColumn id="5" name="収支（円）"/>
    <x:tableColumn id="6" name="利益／損失"/>
    <x:tableColumn id="7" name="黒字場数"/>
    <x:tableColumn id="8" name="赤字場数"/>
    <x:tableColumn id="9" name="無取引場数"/>
    <x:tableColumn id="10" name="最大赤字（円）"/>
    <x:tableColumn id="11" name="平均赤字（円）"/>
    <x:tableColumn id="12" name="赤字中央値（円）"/>
    <x:tableColumn id="13" name="上位3黒字除外"/>
    <x:tableColumn id="14" name="デイ収支（円）"/>
    <x:tableColumn id="15" name="ナイト収支（円）"/>
    <x:tableColumn id="16" name="初回件数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MA153_NK225_R01" displayName="MA153_NK225_R01" ref="A5:N56" headerRowCount="1" totalsRowCount="0" totalsRowShown="0">
  <x:autoFilter ref="A5:N56"/>
  <x:tableColumns count="14">
    <x:tableColumn id="1" name="セッション"/>
    <x:tableColumn id="2" name="区分"/>
    <x:tableColumn id="3" name="利益（円）"/>
    <x:tableColumn id="4" name="損失（円）"/>
    <x:tableColumn id="5" name="収支（円）"/>
    <x:tableColumn id="6" name="累計（円）"/>
    <x:tableColumn id="7" name="親利益（円）"/>
    <x:tableColumn id="8" name="親損失（円）"/>
    <x:tableColumn id="9" name="初回件数"/>
    <x:tableColumn id="10" name="追加件数"/>
    <x:tableColumn id="11" name="縮小件数"/>
    <x:tableColumn id="12" name="最大保有枚数"/>
    <x:tableColumn id="13" name="保有時間率"/>
    <x:tableColumn id="14" name="時価最大DD（円）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MA153_NK225_R02" displayName="MA153_NK225_R02" ref="A5:N56" headerRowCount="1" totalsRowCount="0" totalsRowShown="0">
  <x:autoFilter ref="A5:N56"/>
  <x:tableColumns count="14">
    <x:tableColumn id="1" name="セッション"/>
    <x:tableColumn id="2" name="区分"/>
    <x:tableColumn id="3" name="利益（円）"/>
    <x:tableColumn id="4" name="損失（円）"/>
    <x:tableColumn id="5" name="収支（円）"/>
    <x:tableColumn id="6" name="累計（円）"/>
    <x:tableColumn id="7" name="親利益（円）"/>
    <x:tableColumn id="8" name="親損失（円）"/>
    <x:tableColumn id="9" name="初回件数"/>
    <x:tableColumn id="10" name="追加件数"/>
    <x:tableColumn id="11" name="縮小件数"/>
    <x:tableColumn id="12" name="最大保有枚数"/>
    <x:tableColumn id="13" name="保有時間率"/>
    <x:tableColumn id="14" name="時価最大DD（円）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MA153_NK225_R03" displayName="MA153_NK225_R03" ref="A5:N56" headerRowCount="1" totalsRowCount="0" totalsRowShown="0">
  <x:autoFilter ref="A5:N56"/>
  <x:tableColumns count="14">
    <x:tableColumn id="1" name="セッション"/>
    <x:tableColumn id="2" name="区分"/>
    <x:tableColumn id="3" name="利益（円）"/>
    <x:tableColumn id="4" name="損失（円）"/>
    <x:tableColumn id="5" name="収支（円）"/>
    <x:tableColumn id="6" name="累計（円）"/>
    <x:tableColumn id="7" name="親利益（円）"/>
    <x:tableColumn id="8" name="親損失（円）"/>
    <x:tableColumn id="9" name="初回件数"/>
    <x:tableColumn id="10" name="追加件数"/>
    <x:tableColumn id="11" name="縮小件数"/>
    <x:tableColumn id="12" name="最大保有枚数"/>
    <x:tableColumn id="13" name="保有時間率"/>
    <x:tableColumn id="14" name="時価最大DD（円）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MA153_NK225_R04" displayName="MA153_NK225_R04" ref="A5:N56" headerRowCount="1" totalsRowCount="0" totalsRowShown="0">
  <x:autoFilter ref="A5:N56"/>
  <x:tableColumns count="14">
    <x:tableColumn id="1" name="セッション"/>
    <x:tableColumn id="2" name="区分"/>
    <x:tableColumn id="3" name="利益（円）"/>
    <x:tableColumn id="4" name="損失（円）"/>
    <x:tableColumn id="5" name="収支（円）"/>
    <x:tableColumn id="6" name="累計（円）"/>
    <x:tableColumn id="7" name="親利益（円）"/>
    <x:tableColumn id="8" name="親損失（円）"/>
    <x:tableColumn id="9" name="初回件数"/>
    <x:tableColumn id="10" name="追加件数"/>
    <x:tableColumn id="11" name="縮小件数"/>
    <x:tableColumn id="12" name="最大保有枚数"/>
    <x:tableColumn id="13" name="保有時間率"/>
    <x:tableColumn id="14" name="時価最大DD（円）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5" name="MA153_NK225_R05" displayName="MA153_NK225_R05" ref="A5:N56" headerRowCount="1" totalsRowCount="0" totalsRowShown="0">
  <x:autoFilter ref="A5:N56"/>
  <x:tableColumns count="14">
    <x:tableColumn id="1" name="セッション"/>
    <x:tableColumn id="2" name="区分"/>
    <x:tableColumn id="3" name="利益（円）"/>
    <x:tableColumn id="4" name="損失（円）"/>
    <x:tableColumn id="5" name="収支（円）"/>
    <x:tableColumn id="6" name="累計（円）"/>
    <x:tableColumn id="7" name="親利益（円）"/>
    <x:tableColumn id="8" name="親損失（円）"/>
    <x:tableColumn id="9" name="初回件数"/>
    <x:tableColumn id="10" name="追加件数"/>
    <x:tableColumn id="11" name="縮小件数"/>
    <x:tableColumn id="12" name="最大保有枚数"/>
    <x:tableColumn id="13" name="保有時間率"/>
    <x:tableColumn id="14" name="時価最大DD（円）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6" name="MA153_NK225_R06" displayName="MA153_NK225_R06" ref="A5:N56" headerRowCount="1" totalsRowCount="0" totalsRowShown="0">
  <x:autoFilter ref="A5:N56"/>
  <x:tableColumns count="14">
    <x:tableColumn id="1" name="セッション"/>
    <x:tableColumn id="2" name="区分"/>
    <x:tableColumn id="3" name="利益（円）"/>
    <x:tableColumn id="4" name="損失（円）"/>
    <x:tableColumn id="5" name="収支（円）"/>
    <x:tableColumn id="6" name="累計（円）"/>
    <x:tableColumn id="7" name="親利益（円）"/>
    <x:tableColumn id="8" name="親損失（円）"/>
    <x:tableColumn id="9" name="初回件数"/>
    <x:tableColumn id="10" name="追加件数"/>
    <x:tableColumn id="11" name="縮小件数"/>
    <x:tableColumn id="12" name="最大保有枚数"/>
    <x:tableColumn id="13" name="保有時間率"/>
    <x:tableColumn id="14" name="時価最大DD（円）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7" name="MA153_NK225_R07" displayName="MA153_NK225_R07" ref="A5:N56" headerRowCount="1" totalsRowCount="0" totalsRowShown="0">
  <x:autoFilter ref="A5:N56"/>
  <x:tableColumns count="14">
    <x:tableColumn id="1" name="セッション"/>
    <x:tableColumn id="2" name="区分"/>
    <x:tableColumn id="3" name="利益（円）"/>
    <x:tableColumn id="4" name="損失（円）"/>
    <x:tableColumn id="5" name="収支（円）"/>
    <x:tableColumn id="6" name="累計（円）"/>
    <x:tableColumn id="7" name="親利益（円）"/>
    <x:tableColumn id="8" name="親損失（円）"/>
    <x:tableColumn id="9" name="初回件数"/>
    <x:tableColumn id="10" name="追加件数"/>
    <x:tableColumn id="11" name="縮小件数"/>
    <x:tableColumn id="12" name="最大保有枚数"/>
    <x:tableColumn id="13" name="保有時間率"/>
    <x:tableColumn id="14" name="時価最大DD（円）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8" name="MA153_NK225_R08" displayName="MA153_NK225_R08" ref="A5:N56" headerRowCount="1" totalsRowCount="0" totalsRowShown="0">
  <x:autoFilter ref="A5:N56"/>
  <x:tableColumns count="14">
    <x:tableColumn id="1" name="セッション"/>
    <x:tableColumn id="2" name="区分"/>
    <x:tableColumn id="3" name="利益（円）"/>
    <x:tableColumn id="4" name="損失（円）"/>
    <x:tableColumn id="5" name="収支（円）"/>
    <x:tableColumn id="6" name="累計（円）"/>
    <x:tableColumn id="7" name="親利益（円）"/>
    <x:tableColumn id="8" name="親損失（円）"/>
    <x:tableColumn id="9" name="初回件数"/>
    <x:tableColumn id="10" name="追加件数"/>
    <x:tableColumn id="11" name="縮小件数"/>
    <x:tableColumn id="12" name="最大保有枚数"/>
    <x:tableColumn id="13" name="保有時間率"/>
    <x:tableColumn id="14" name="時価最大DD（円）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9" name="MA153_NK225_M01" displayName="MA153_NK225_M01" ref="A5:N56" headerRowCount="1" totalsRowCount="0" totalsRowShown="0">
  <x:autoFilter ref="A5:N56"/>
  <x:tableColumns count="14">
    <x:tableColumn id="1" name="セッション"/>
    <x:tableColumn id="2" name="区分"/>
    <x:tableColumn id="3" name="利益（円）"/>
    <x:tableColumn id="4" name="損失（円）"/>
    <x:tableColumn id="5" name="収支（円）"/>
    <x:tableColumn id="6" name="累計（円）"/>
    <x:tableColumn id="7" name="親利益（円）"/>
    <x:tableColumn id="8" name="親損失（円）"/>
    <x:tableColumn id="9" name="初回件数"/>
    <x:tableColumn id="10" name="追加件数"/>
    <x:tableColumn id="11" name="縮小件数"/>
    <x:tableColumn id="12" name="最大保有枚数"/>
    <x:tableColumn id="13" name="保有時間率"/>
    <x:tableColumn id="14" name="時価最大DD（円）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0" name="MA153_NK225_M02" displayName="MA153_NK225_M02" ref="A5:N56" headerRowCount="1" totalsRowCount="0" totalsRowShown="0">
  <x:autoFilter ref="A5:N56"/>
  <x:tableColumns count="14">
    <x:tableColumn id="1" name="セッション"/>
    <x:tableColumn id="2" name="区分"/>
    <x:tableColumn id="3" name="利益（円）"/>
    <x:tableColumn id="4" name="損失（円）"/>
    <x:tableColumn id="5" name="収支（円）"/>
    <x:tableColumn id="6" name="累計（円）"/>
    <x:tableColumn id="7" name="親利益（円）"/>
    <x:tableColumn id="8" name="親損失（円）"/>
    <x:tableColumn id="9" name="初回件数"/>
    <x:tableColumn id="10" name="追加件数"/>
    <x:tableColumn id="11" name="縮小件数"/>
    <x:tableColumn id="12" name="最大保有枚数"/>
    <x:tableColumn id="13" name="保有時間率"/>
    <x:tableColumn id="14" name="時価最大DD（円）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1" name="MA153_NK225_M03" displayName="MA153_NK225_M03" ref="A5:N56" headerRowCount="1" totalsRowCount="0" totalsRowShown="0">
  <x:autoFilter ref="A5:N56"/>
  <x:tableColumns count="14">
    <x:tableColumn id="1" name="セッション"/>
    <x:tableColumn id="2" name="区分"/>
    <x:tableColumn id="3" name="利益（円）"/>
    <x:tableColumn id="4" name="損失（円）"/>
    <x:tableColumn id="5" name="収支（円）"/>
    <x:tableColumn id="6" name="累計（円）"/>
    <x:tableColumn id="7" name="親利益（円）"/>
    <x:tableColumn id="8" name="親損失（円）"/>
    <x:tableColumn id="9" name="初回件数"/>
    <x:tableColumn id="10" name="追加件数"/>
    <x:tableColumn id="11" name="縮小件数"/>
    <x:tableColumn id="12" name="最大保有枚数"/>
    <x:tableColumn id="13" name="保有時間率"/>
    <x:tableColumn id="14" name="時価最大DD（円）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2" name="MA153_NK225_M04" displayName="MA153_NK225_M04" ref="A5:N56" headerRowCount="1" totalsRowCount="0" totalsRowShown="0">
  <x:autoFilter ref="A5:N56"/>
  <x:tableColumns count="14">
    <x:tableColumn id="1" name="セッション"/>
    <x:tableColumn id="2" name="区分"/>
    <x:tableColumn id="3" name="利益（円）"/>
    <x:tableColumn id="4" name="損失（円）"/>
    <x:tableColumn id="5" name="収支（円）"/>
    <x:tableColumn id="6" name="累計（円）"/>
    <x:tableColumn id="7" name="親利益（円）"/>
    <x:tableColumn id="8" name="親損失（円）"/>
    <x:tableColumn id="9" name="初回件数"/>
    <x:tableColumn id="10" name="追加件数"/>
    <x:tableColumn id="11" name="縮小件数"/>
    <x:tableColumn id="12" name="最大保有枚数"/>
    <x:tableColumn id="13" name="保有時間率"/>
    <x:tableColumn id="14" name="時価最大DD（円）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3" name="MA153_NK225_M05" displayName="MA153_NK225_M05" ref="A5:N56" headerRowCount="1" totalsRowCount="0" totalsRowShown="0">
  <x:autoFilter ref="A5:N56"/>
  <x:tableColumns count="14">
    <x:tableColumn id="1" name="セッション"/>
    <x:tableColumn id="2" name="区分"/>
    <x:tableColumn id="3" name="利益（円）"/>
    <x:tableColumn id="4" name="損失（円）"/>
    <x:tableColumn id="5" name="収支（円）"/>
    <x:tableColumn id="6" name="累計（円）"/>
    <x:tableColumn id="7" name="親利益（円）"/>
    <x:tableColumn id="8" name="親損失（円）"/>
    <x:tableColumn id="9" name="初回件数"/>
    <x:tableColumn id="10" name="追加件数"/>
    <x:tableColumn id="11" name="縮小件数"/>
    <x:tableColumn id="12" name="最大保有枚数"/>
    <x:tableColumn id="13" name="保有時間率"/>
    <x:tableColumn id="14" name="時価最大DD（円）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4" name="MA153_NK225_M06" displayName="MA153_NK225_M06" ref="A5:N56" headerRowCount="1" totalsRowCount="0" totalsRowShown="0">
  <x:autoFilter ref="A5:N56"/>
  <x:tableColumns count="14">
    <x:tableColumn id="1" name="セッション"/>
    <x:tableColumn id="2" name="区分"/>
    <x:tableColumn id="3" name="利益（円）"/>
    <x:tableColumn id="4" name="損失（円）"/>
    <x:tableColumn id="5" name="収支（円）"/>
    <x:tableColumn id="6" name="累計（円）"/>
    <x:tableColumn id="7" name="親利益（円）"/>
    <x:tableColumn id="8" name="親損失（円）"/>
    <x:tableColumn id="9" name="初回件数"/>
    <x:tableColumn id="10" name="追加件数"/>
    <x:tableColumn id="11" name="縮小件数"/>
    <x:tableColumn id="12" name="最大保有枚数"/>
    <x:tableColumn id="13" name="保有時間率"/>
    <x:tableColumn id="14" name="時価最大DD（円）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5" name="MA153_NK225_M07" displayName="MA153_NK225_M07" ref="A5:N56" headerRowCount="1" totalsRowCount="0" totalsRowShown="0">
  <x:autoFilter ref="A5:N56"/>
  <x:tableColumns count="14">
    <x:tableColumn id="1" name="セッション"/>
    <x:tableColumn id="2" name="区分"/>
    <x:tableColumn id="3" name="利益（円）"/>
    <x:tableColumn id="4" name="損失（円）"/>
    <x:tableColumn id="5" name="収支（円）"/>
    <x:tableColumn id="6" name="累計（円）"/>
    <x:tableColumn id="7" name="親利益（円）"/>
    <x:tableColumn id="8" name="親損失（円）"/>
    <x:tableColumn id="9" name="初回件数"/>
    <x:tableColumn id="10" name="追加件数"/>
    <x:tableColumn id="11" name="縮小件数"/>
    <x:tableColumn id="12" name="最大保有枚数"/>
    <x:tableColumn id="13" name="保有時間率"/>
    <x:tableColumn id="14" name="時価最大DD（円）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6" name="MA153_NK225_M08" displayName="MA153_NK225_M08" ref="A5:N56" headerRowCount="1" totalsRowCount="0" totalsRowShown="0">
  <x:autoFilter ref="A5:N56"/>
  <x:tableColumns count="14">
    <x:tableColumn id="1" name="セッション"/>
    <x:tableColumn id="2" name="区分"/>
    <x:tableColumn id="3" name="利益（円）"/>
    <x:tableColumn id="4" name="損失（円）"/>
    <x:tableColumn id="5" name="収支（円）"/>
    <x:tableColumn id="6" name="累計（円）"/>
    <x:tableColumn id="7" name="親利益（円）"/>
    <x:tableColumn id="8" name="親損失（円）"/>
    <x:tableColumn id="9" name="初回件数"/>
    <x:tableColumn id="10" name="追加件数"/>
    <x:tableColumn id="11" name="縮小件数"/>
    <x:tableColumn id="12" name="最大保有枚数"/>
    <x:tableColumn id="13" name="保有時間率"/>
    <x:tableColumn id="14" name="時価最大DD（円）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7" name="MA153_NK225_M09" displayName="MA153_NK225_M09" ref="A5:N56" headerRowCount="1" totalsRowCount="0" totalsRowShown="0">
  <x:autoFilter ref="A5:N56"/>
  <x:tableColumns count="14">
    <x:tableColumn id="1" name="セッション"/>
    <x:tableColumn id="2" name="区分"/>
    <x:tableColumn id="3" name="利益（円）"/>
    <x:tableColumn id="4" name="損失（円）"/>
    <x:tableColumn id="5" name="収支（円）"/>
    <x:tableColumn id="6" name="累計（円）"/>
    <x:tableColumn id="7" name="親利益（円）"/>
    <x:tableColumn id="8" name="親損失（円）"/>
    <x:tableColumn id="9" name="初回件数"/>
    <x:tableColumn id="10" name="追加件数"/>
    <x:tableColumn id="11" name="縮小件数"/>
    <x:tableColumn id="12" name="最大保有枚数"/>
    <x:tableColumn id="13" name="保有時間率"/>
    <x:tableColumn id="14" name="時価最大DD（円）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8" name="MA153_NK225_M10" displayName="MA153_NK225_M10" ref="A5:N56" headerRowCount="1" totalsRowCount="0" totalsRowShown="0">
  <x:autoFilter ref="A5:N56"/>
  <x:tableColumns count="14">
    <x:tableColumn id="1" name="セッション"/>
    <x:tableColumn id="2" name="区分"/>
    <x:tableColumn id="3" name="利益（円）"/>
    <x:tableColumn id="4" name="損失（円）"/>
    <x:tableColumn id="5" name="収支（円）"/>
    <x:tableColumn id="6" name="累計（円）"/>
    <x:tableColumn id="7" name="親利益（円）"/>
    <x:tableColumn id="8" name="親損失（円）"/>
    <x:tableColumn id="9" name="初回件数"/>
    <x:tableColumn id="10" name="追加件数"/>
    <x:tableColumn id="11" name="縮小件数"/>
    <x:tableColumn id="12" name="最大保有枚数"/>
    <x:tableColumn id="13" name="保有時間率"/>
    <x:tableColumn id="14" name="時価最大DD（円）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19" name="MA153_NK225_M11" displayName="MA153_NK225_M11" ref="A5:N56" headerRowCount="1" totalsRowCount="0" totalsRowShown="0">
  <x:autoFilter ref="A5:N56"/>
  <x:tableColumns count="14">
    <x:tableColumn id="1" name="セッション"/>
    <x:tableColumn id="2" name="区分"/>
    <x:tableColumn id="3" name="利益（円）"/>
    <x:tableColumn id="4" name="損失（円）"/>
    <x:tableColumn id="5" name="収支（円）"/>
    <x:tableColumn id="6" name="累計（円）"/>
    <x:tableColumn id="7" name="親利益（円）"/>
    <x:tableColumn id="8" name="親損失（円）"/>
    <x:tableColumn id="9" name="初回件数"/>
    <x:tableColumn id="10" name="追加件数"/>
    <x:tableColumn id="11" name="縮小件数"/>
    <x:tableColumn id="12" name="最大保有枚数"/>
    <x:tableColumn id="13" name="保有時間率"/>
    <x:tableColumn id="14" name="時価最大DD（円）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0" name="MA153_NK225_M12" displayName="MA153_NK225_M12" ref="A5:N56" headerRowCount="1" totalsRowCount="0" totalsRowShown="0">
  <x:autoFilter ref="A5:N56"/>
  <x:tableColumns count="14">
    <x:tableColumn id="1" name="セッション"/>
    <x:tableColumn id="2" name="区分"/>
    <x:tableColumn id="3" name="利益（円）"/>
    <x:tableColumn id="4" name="損失（円）"/>
    <x:tableColumn id="5" name="収支（円）"/>
    <x:tableColumn id="6" name="累計（円）"/>
    <x:tableColumn id="7" name="親利益（円）"/>
    <x:tableColumn id="8" name="親損失（円）"/>
    <x:tableColumn id="9" name="初回件数"/>
    <x:tableColumn id="10" name="追加件数"/>
    <x:tableColumn id="11" name="縮小件数"/>
    <x:tableColumn id="12" name="最大保有枚数"/>
    <x:tableColumn id="13" name="保有時間率"/>
    <x:tableColumn id="14" name="時価最大DD（円）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1" name="MA153_NK225_M13" displayName="MA153_NK225_M13" ref="A5:N56" headerRowCount="1" totalsRowCount="0" totalsRowShown="0">
  <x:autoFilter ref="A5:N56"/>
  <x:tableColumns count="14">
    <x:tableColumn id="1" name="セッション"/>
    <x:tableColumn id="2" name="区分"/>
    <x:tableColumn id="3" name="利益（円）"/>
    <x:tableColumn id="4" name="損失（円）"/>
    <x:tableColumn id="5" name="収支（円）"/>
    <x:tableColumn id="6" name="累計（円）"/>
    <x:tableColumn id="7" name="親利益（円）"/>
    <x:tableColumn id="8" name="親損失（円）"/>
    <x:tableColumn id="9" name="初回件数"/>
    <x:tableColumn id="10" name="追加件数"/>
    <x:tableColumn id="11" name="縮小件数"/>
    <x:tableColumn id="12" name="最大保有枚数"/>
    <x:tableColumn id="13" name="保有時間率"/>
    <x:tableColumn id="14" name="時価最大DD（円）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2" name="MA153_NK225_M14" displayName="MA153_NK225_M14" ref="A5:N56" headerRowCount="1" totalsRowCount="0" totalsRowShown="0">
  <x:autoFilter ref="A5:N56"/>
  <x:tableColumns count="14">
    <x:tableColumn id="1" name="セッション"/>
    <x:tableColumn id="2" name="区分"/>
    <x:tableColumn id="3" name="利益（円）"/>
    <x:tableColumn id="4" name="損失（円）"/>
    <x:tableColumn id="5" name="収支（円）"/>
    <x:tableColumn id="6" name="累計（円）"/>
    <x:tableColumn id="7" name="親利益（円）"/>
    <x:tableColumn id="8" name="親損失（円）"/>
    <x:tableColumn id="9" name="初回件数"/>
    <x:tableColumn id="10" name="追加件数"/>
    <x:tableColumn id="11" name="縮小件数"/>
    <x:tableColumn id="12" name="最大保有枚数"/>
    <x:tableColumn id="13" name="保有時間率"/>
    <x:tableColumn id="14" name="時価最大DD（円）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3" name="MA153_NK225_M15" displayName="MA153_NK225_M15" ref="A5:N56" headerRowCount="1" totalsRowCount="0" totalsRowShown="0">
  <x:autoFilter ref="A5:N56"/>
  <x:tableColumns count="14">
    <x:tableColumn id="1" name="セッション"/>
    <x:tableColumn id="2" name="区分"/>
    <x:tableColumn id="3" name="利益（円）"/>
    <x:tableColumn id="4" name="損失（円）"/>
    <x:tableColumn id="5" name="収支（円）"/>
    <x:tableColumn id="6" name="累計（円）"/>
    <x:tableColumn id="7" name="親利益（円）"/>
    <x:tableColumn id="8" name="親損失（円）"/>
    <x:tableColumn id="9" name="初回件数"/>
    <x:tableColumn id="10" name="追加件数"/>
    <x:tableColumn id="11" name="縮小件数"/>
    <x:tableColumn id="12" name="最大保有枚数"/>
    <x:tableColumn id="13" name="保有時間率"/>
    <x:tableColumn id="14" name="時価最大DD（円）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4" name="MA153_NK225_M16" displayName="MA153_NK225_M16" ref="A5:N56" headerRowCount="1" totalsRowCount="0" totalsRowShown="0">
  <x:autoFilter ref="A5:N56"/>
  <x:tableColumns count="14">
    <x:tableColumn id="1" name="セッション"/>
    <x:tableColumn id="2" name="区分"/>
    <x:tableColumn id="3" name="利益（円）"/>
    <x:tableColumn id="4" name="損失（円）"/>
    <x:tableColumn id="5" name="収支（円）"/>
    <x:tableColumn id="6" name="累計（円）"/>
    <x:tableColumn id="7" name="親利益（円）"/>
    <x:tableColumn id="8" name="親損失（円）"/>
    <x:tableColumn id="9" name="初回件数"/>
    <x:tableColumn id="10" name="追加件数"/>
    <x:tableColumn id="11" name="縮小件数"/>
    <x:tableColumn id="12" name="最大保有枚数"/>
    <x:tableColumn id="13" name="保有時間率"/>
    <x:tableColumn id="14" name="時価最大DD（円）"/>
  </x:tableColumns>
  <x:tableStyleInfo name="TableStyleMedium2" showFirstColumn="0" showLastColumn="0" showRowStripes="1" showColumnStripes="0"/>
</x:table>
</file>

<file path=xl/tables/table26.xml><?xml version="1.0" encoding="utf-8"?>
<x:table xmlns:x="http://schemas.openxmlformats.org/spreadsheetml/2006/main" id="25" name="MA153_NK225_M17" displayName="MA153_NK225_M17" ref="A5:N56" headerRowCount="1" totalsRowCount="0" totalsRowShown="0">
  <x:autoFilter ref="A5:N56"/>
  <x:tableColumns count="14">
    <x:tableColumn id="1" name="セッション"/>
    <x:tableColumn id="2" name="区分"/>
    <x:tableColumn id="3" name="利益（円）"/>
    <x:tableColumn id="4" name="損失（円）"/>
    <x:tableColumn id="5" name="収支（円）"/>
    <x:tableColumn id="6" name="累計（円）"/>
    <x:tableColumn id="7" name="親利益（円）"/>
    <x:tableColumn id="8" name="親損失（円）"/>
    <x:tableColumn id="9" name="初回件数"/>
    <x:tableColumn id="10" name="追加件数"/>
    <x:tableColumn id="11" name="縮小件数"/>
    <x:tableColumn id="12" name="最大保有枚数"/>
    <x:tableColumn id="13" name="保有時間率"/>
    <x:tableColumn id="14" name="時価最大DD（円）"/>
  </x:tableColumns>
  <x:tableStyleInfo name="TableStyleMedium2" showFirstColumn="0" showLastColumn="0" showRowStripes="1" showColumnStripes="0"/>
</x:table>
</file>

<file path=xl/tables/table27.xml><?xml version="1.0" encoding="utf-8"?>
<x:table xmlns:x="http://schemas.openxmlformats.org/spreadsheetml/2006/main" id="26" name="MA153_NK225_M18" displayName="MA153_NK225_M18" ref="A5:N56" headerRowCount="1" totalsRowCount="0" totalsRowShown="0">
  <x:autoFilter ref="A5:N56"/>
  <x:tableColumns count="14">
    <x:tableColumn id="1" name="セッション"/>
    <x:tableColumn id="2" name="区分"/>
    <x:tableColumn id="3" name="利益（円）"/>
    <x:tableColumn id="4" name="損失（円）"/>
    <x:tableColumn id="5" name="収支（円）"/>
    <x:tableColumn id="6" name="累計（円）"/>
    <x:tableColumn id="7" name="親利益（円）"/>
    <x:tableColumn id="8" name="親損失（円）"/>
    <x:tableColumn id="9" name="初回件数"/>
    <x:tableColumn id="10" name="追加件数"/>
    <x:tableColumn id="11" name="縮小件数"/>
    <x:tableColumn id="12" name="最大保有枚数"/>
    <x:tableColumn id="13" name="保有時間率"/>
    <x:tableColumn id="14" name="時価最大DD（円）"/>
  </x:tableColumns>
  <x:tableStyleInfo name="TableStyleMedium2" showFirstColumn="0" showLastColumn="0" showRowStripes="1" showColumnStripes="0"/>
</x:table>
</file>

<file path=xl/tables/table28.xml><?xml version="1.0" encoding="utf-8"?>
<x:table xmlns:x="http://schemas.openxmlformats.org/spreadsheetml/2006/main" id="27" name="MA153_NK225_M19" displayName="MA153_NK225_M19" ref="A5:N56" headerRowCount="1" totalsRowCount="0" totalsRowShown="0">
  <x:autoFilter ref="A5:N56"/>
  <x:tableColumns count="14">
    <x:tableColumn id="1" name="セッション"/>
    <x:tableColumn id="2" name="区分"/>
    <x:tableColumn id="3" name="利益（円）"/>
    <x:tableColumn id="4" name="損失（円）"/>
    <x:tableColumn id="5" name="収支（円）"/>
    <x:tableColumn id="6" name="累計（円）"/>
    <x:tableColumn id="7" name="親利益（円）"/>
    <x:tableColumn id="8" name="親損失（円）"/>
    <x:tableColumn id="9" name="初回件数"/>
    <x:tableColumn id="10" name="追加件数"/>
    <x:tableColumn id="11" name="縮小件数"/>
    <x:tableColumn id="12" name="最大保有枚数"/>
    <x:tableColumn id="13" name="保有時間率"/>
    <x:tableColumn id="14" name="時価最大DD（円）"/>
  </x:tableColumns>
  <x:tableStyleInfo name="TableStyleMedium2" showFirstColumn="0" showLastColumn="0" showRowStripes="1" showColumnStripes="0"/>
</x:table>
</file>

<file path=xl/tables/table29.xml><?xml version="1.0" encoding="utf-8"?>
<x:table xmlns:x="http://schemas.openxmlformats.org/spreadsheetml/2006/main" id="28" name="MA153_NK225_M20" displayName="MA153_NK225_M20" ref="A5:N56" headerRowCount="1" totalsRowCount="0" totalsRowShown="0">
  <x:autoFilter ref="A5:N56"/>
  <x:tableColumns count="14">
    <x:tableColumn id="1" name="セッション"/>
    <x:tableColumn id="2" name="区分"/>
    <x:tableColumn id="3" name="利益（円）"/>
    <x:tableColumn id="4" name="損失（円）"/>
    <x:tableColumn id="5" name="収支（円）"/>
    <x:tableColumn id="6" name="累計（円）"/>
    <x:tableColumn id="7" name="親利益（円）"/>
    <x:tableColumn id="8" name="親損失（円）"/>
    <x:tableColumn id="9" name="初回件数"/>
    <x:tableColumn id="10" name="追加件数"/>
    <x:tableColumn id="11" name="縮小件数"/>
    <x:tableColumn id="12" name="最大保有枚数"/>
    <x:tableColumn id="13" name="保有時間率"/>
    <x:tableColumn id="14" name="時価最大DD（円）"/>
  </x:tableColumns>
  <x:tableStyleInfo name="TableStyleMedium2" showFirstColumn="0" showLastColumn="0" showRowStripes="1" showColumnStripes="0"/>
</x:table>
</file>

<file path=xl/tables/table30.xml><?xml version="1.0" encoding="utf-8"?>
<x:table xmlns:x="http://schemas.openxmlformats.org/spreadsheetml/2006/main" id="29" name="MA153_NK225_M21" displayName="MA153_NK225_M21" ref="A5:N56" headerRowCount="1" totalsRowCount="0" totalsRowShown="0">
  <x:autoFilter ref="A5:N56"/>
  <x:tableColumns count="14">
    <x:tableColumn id="1" name="セッション"/>
    <x:tableColumn id="2" name="区分"/>
    <x:tableColumn id="3" name="利益（円）"/>
    <x:tableColumn id="4" name="損失（円）"/>
    <x:tableColumn id="5" name="収支（円）"/>
    <x:tableColumn id="6" name="累計（円）"/>
    <x:tableColumn id="7" name="親利益（円）"/>
    <x:tableColumn id="8" name="親損失（円）"/>
    <x:tableColumn id="9" name="初回件数"/>
    <x:tableColumn id="10" name="追加件数"/>
    <x:tableColumn id="11" name="縮小件数"/>
    <x:tableColumn id="12" name="最大保有枚数"/>
    <x:tableColumn id="13" name="保有時間率"/>
    <x:tableColumn id="14" name="時価最大DD（円）"/>
  </x:tableColumns>
  <x:tableStyleInfo name="TableStyleMedium2" showFirstColumn="0" showLastColumn="0" showRowStripes="1" showColumnStripes="0"/>
</x:table>
</file>

<file path=xl/tables/table31.xml><?xml version="1.0" encoding="utf-8"?>
<x:table xmlns:x="http://schemas.openxmlformats.org/spreadsheetml/2006/main" id="30" name="MA153_NK225_M22" displayName="MA153_NK225_M22" ref="A5:N56" headerRowCount="1" totalsRowCount="0" totalsRowShown="0">
  <x:autoFilter ref="A5:N56"/>
  <x:tableColumns count="14">
    <x:tableColumn id="1" name="セッション"/>
    <x:tableColumn id="2" name="区分"/>
    <x:tableColumn id="3" name="利益（円）"/>
    <x:tableColumn id="4" name="損失（円）"/>
    <x:tableColumn id="5" name="収支（円）"/>
    <x:tableColumn id="6" name="累計（円）"/>
    <x:tableColumn id="7" name="親利益（円）"/>
    <x:tableColumn id="8" name="親損失（円）"/>
    <x:tableColumn id="9" name="初回件数"/>
    <x:tableColumn id="10" name="追加件数"/>
    <x:tableColumn id="11" name="縮小件数"/>
    <x:tableColumn id="12" name="最大保有枚数"/>
    <x:tableColumn id="13" name="保有時間率"/>
    <x:tableColumn id="14" name="時価最大DD（円）"/>
  </x:tableColumns>
  <x:tableStyleInfo name="TableStyleMedium2" showFirstColumn="0" showLastColumn="0" showRowStripes="1" showColumnStripes="0"/>
</x:table>
</file>

<file path=xl/tables/table32.xml><?xml version="1.0" encoding="utf-8"?>
<x:table xmlns:x="http://schemas.openxmlformats.org/spreadsheetml/2006/main" id="31" name="MA153_NK225_M23" displayName="MA153_NK225_M23" ref="A5:N56" headerRowCount="1" totalsRowCount="0" totalsRowShown="0">
  <x:autoFilter ref="A5:N56"/>
  <x:tableColumns count="14">
    <x:tableColumn id="1" name="セッション"/>
    <x:tableColumn id="2" name="区分"/>
    <x:tableColumn id="3" name="利益（円）"/>
    <x:tableColumn id="4" name="損失（円）"/>
    <x:tableColumn id="5" name="収支（円）"/>
    <x:tableColumn id="6" name="累計（円）"/>
    <x:tableColumn id="7" name="親利益（円）"/>
    <x:tableColumn id="8" name="親損失（円）"/>
    <x:tableColumn id="9" name="初回件数"/>
    <x:tableColumn id="10" name="追加件数"/>
    <x:tableColumn id="11" name="縮小件数"/>
    <x:tableColumn id="12" name="最大保有枚数"/>
    <x:tableColumn id="13" name="保有時間率"/>
    <x:tableColumn id="14" name="時価最大DD（円）"/>
  </x:tableColumns>
  <x:tableStyleInfo name="TableStyleMedium2" showFirstColumn="0" showLastColumn="0" showRowStripes="1" showColumnStripes="0"/>
</x:table>
</file>

<file path=xl/tables/table33.xml><?xml version="1.0" encoding="utf-8"?>
<x:table xmlns:x="http://schemas.openxmlformats.org/spreadsheetml/2006/main" id="32" name="MA153_NK225_M24" displayName="MA153_NK225_M24" ref="A5:N56" headerRowCount="1" totalsRowCount="0" totalsRowShown="0">
  <x:autoFilter ref="A5:N56"/>
  <x:tableColumns count="14">
    <x:tableColumn id="1" name="セッション"/>
    <x:tableColumn id="2" name="区分"/>
    <x:tableColumn id="3" name="利益（円）"/>
    <x:tableColumn id="4" name="損失（円）"/>
    <x:tableColumn id="5" name="収支（円）"/>
    <x:tableColumn id="6" name="累計（円）"/>
    <x:tableColumn id="7" name="親利益（円）"/>
    <x:tableColumn id="8" name="親損失（円）"/>
    <x:tableColumn id="9" name="初回件数"/>
    <x:tableColumn id="10" name="追加件数"/>
    <x:tableColumn id="11" name="縮小件数"/>
    <x:tableColumn id="12" name="最大保有枚数"/>
    <x:tableColumn id="13" name="保有時間率"/>
    <x:tableColumn id="14" name="時価最大DD（円）"/>
  </x:tableColumns>
  <x:tableStyleInfo name="TableStyleMedium2" showFirstColumn="0" showLastColumn="0" showRowStripes="1" showColumnStripes="0"/>
</x:table>
</file>

<file path=xl/tables/table34.xml><?xml version="1.0" encoding="utf-8"?>
<x:table xmlns:x="http://schemas.openxmlformats.org/spreadsheetml/2006/main" id="33" name="MA153_NK225_F01" displayName="MA153_NK225_F01" ref="A5:N56" headerRowCount="1" totalsRowCount="0" totalsRowShown="0">
  <x:autoFilter ref="A5:N56"/>
  <x:tableColumns count="14">
    <x:tableColumn id="1" name="セッション"/>
    <x:tableColumn id="2" name="区分"/>
    <x:tableColumn id="3" name="利益（円）"/>
    <x:tableColumn id="4" name="損失（円）"/>
    <x:tableColumn id="5" name="収支（円）"/>
    <x:tableColumn id="6" name="累計（円）"/>
    <x:tableColumn id="7" name="親利益（円）"/>
    <x:tableColumn id="8" name="親損失（円）"/>
    <x:tableColumn id="9" name="初回件数"/>
    <x:tableColumn id="10" name="追加件数"/>
    <x:tableColumn id="11" name="縮小件数"/>
    <x:tableColumn id="12" name="最大保有枚数"/>
    <x:tableColumn id="13" name="保有時間率"/>
    <x:tableColumn id="14" name="時価最大DD（円）"/>
  </x:tableColumns>
  <x:tableStyleInfo name="TableStyleMedium2" showFirstColumn="0" showLastColumn="0" showRowStripes="1" showColumnStripes="0"/>
</x:table>
</file>

<file path=xl/tables/table35.xml><?xml version="1.0" encoding="utf-8"?>
<x:table xmlns:x="http://schemas.openxmlformats.org/spreadsheetml/2006/main" id="34" name="MA153_NK225_F10" displayName="MA153_NK225_F10" ref="A5:N56" headerRowCount="1" totalsRowCount="0" totalsRowShown="0">
  <x:autoFilter ref="A5:N56"/>
  <x:tableColumns count="14">
    <x:tableColumn id="1" name="セッション"/>
    <x:tableColumn id="2" name="区分"/>
    <x:tableColumn id="3" name="利益（円）"/>
    <x:tableColumn id="4" name="損失（円）"/>
    <x:tableColumn id="5" name="収支（円）"/>
    <x:tableColumn id="6" name="累計（円）"/>
    <x:tableColumn id="7" name="親利益（円）"/>
    <x:tableColumn id="8" name="親損失（円）"/>
    <x:tableColumn id="9" name="初回件数"/>
    <x:tableColumn id="10" name="追加件数"/>
    <x:tableColumn id="11" name="縮小件数"/>
    <x:tableColumn id="12" name="最大保有枚数"/>
    <x:tableColumn id="13" name="保有時間率"/>
    <x:tableColumn id="14" name="時価最大DD（円）"/>
  </x:tableColumns>
  <x:tableStyleInfo name="TableStyleMedium2" showFirstColumn="0" showLastColumn="0" showRowStripes="1" showColumnStripes="0"/>
</x:table>
</file>

<file path=xl/tables/table36.xml><?xml version="1.0" encoding="utf-8"?>
<x:table xmlns:x="http://schemas.openxmlformats.org/spreadsheetml/2006/main" id="35" name="MA153_TOPIX_R01" displayName="MA153_TOPIX_R01" ref="A5:N56" headerRowCount="1" totalsRowCount="0" totalsRowShown="0">
  <x:autoFilter ref="A5:N56"/>
  <x:tableColumns count="14">
    <x:tableColumn id="1" name="セッション"/>
    <x:tableColumn id="2" name="区分"/>
    <x:tableColumn id="3" name="利益（円）"/>
    <x:tableColumn id="4" name="損失（円）"/>
    <x:tableColumn id="5" name="収支（円）"/>
    <x:tableColumn id="6" name="累計（円）"/>
    <x:tableColumn id="7" name="親利益（円）"/>
    <x:tableColumn id="8" name="親損失（円）"/>
    <x:tableColumn id="9" name="初回件数"/>
    <x:tableColumn id="10" name="追加件数"/>
    <x:tableColumn id="11" name="縮小件数"/>
    <x:tableColumn id="12" name="最大保有枚数"/>
    <x:tableColumn id="13" name="保有時間率"/>
    <x:tableColumn id="14" name="時価最大DD（円）"/>
  </x:tableColumns>
  <x:tableStyleInfo name="TableStyleMedium2" showFirstColumn="0" showLastColumn="0" showRowStripes="1" showColumnStripes="0"/>
</x:table>
</file>

<file path=xl/tables/table37.xml><?xml version="1.0" encoding="utf-8"?>
<x:table xmlns:x="http://schemas.openxmlformats.org/spreadsheetml/2006/main" id="36" name="MA153_TOPIX_R02" displayName="MA153_TOPIX_R02" ref="A5:N56" headerRowCount="1" totalsRowCount="0" totalsRowShown="0">
  <x:autoFilter ref="A5:N56"/>
  <x:tableColumns count="14">
    <x:tableColumn id="1" name="セッション"/>
    <x:tableColumn id="2" name="区分"/>
    <x:tableColumn id="3" name="利益（円）"/>
    <x:tableColumn id="4" name="損失（円）"/>
    <x:tableColumn id="5" name="収支（円）"/>
    <x:tableColumn id="6" name="累計（円）"/>
    <x:tableColumn id="7" name="親利益（円）"/>
    <x:tableColumn id="8" name="親損失（円）"/>
    <x:tableColumn id="9" name="初回件数"/>
    <x:tableColumn id="10" name="追加件数"/>
    <x:tableColumn id="11" name="縮小件数"/>
    <x:tableColumn id="12" name="最大保有枚数"/>
    <x:tableColumn id="13" name="保有時間率"/>
    <x:tableColumn id="14" name="時価最大DD（円）"/>
  </x:tableColumns>
  <x:tableStyleInfo name="TableStyleMedium2" showFirstColumn="0" showLastColumn="0" showRowStripes="1" showColumnStripes="0"/>
</x:table>
</file>

<file path=xl/tables/table38.xml><?xml version="1.0" encoding="utf-8"?>
<x:table xmlns:x="http://schemas.openxmlformats.org/spreadsheetml/2006/main" id="37" name="MA153_TOPIX_R03" displayName="MA153_TOPIX_R03" ref="A5:N56" headerRowCount="1" totalsRowCount="0" totalsRowShown="0">
  <x:autoFilter ref="A5:N56"/>
  <x:tableColumns count="14">
    <x:tableColumn id="1" name="セッション"/>
    <x:tableColumn id="2" name="区分"/>
    <x:tableColumn id="3" name="利益（円）"/>
    <x:tableColumn id="4" name="損失（円）"/>
    <x:tableColumn id="5" name="収支（円）"/>
    <x:tableColumn id="6" name="累計（円）"/>
    <x:tableColumn id="7" name="親利益（円）"/>
    <x:tableColumn id="8" name="親損失（円）"/>
    <x:tableColumn id="9" name="初回件数"/>
    <x:tableColumn id="10" name="追加件数"/>
    <x:tableColumn id="11" name="縮小件数"/>
    <x:tableColumn id="12" name="最大保有枚数"/>
    <x:tableColumn id="13" name="保有時間率"/>
    <x:tableColumn id="14" name="時価最大DD（円）"/>
  </x:tableColumns>
  <x:tableStyleInfo name="TableStyleMedium2" showFirstColumn="0" showLastColumn="0" showRowStripes="1" showColumnStripes="0"/>
</x:table>
</file>

<file path=xl/tables/table39.xml><?xml version="1.0" encoding="utf-8"?>
<x:table xmlns:x="http://schemas.openxmlformats.org/spreadsheetml/2006/main" id="38" name="MA153_TOPIX_R04" displayName="MA153_TOPIX_R04" ref="A5:N56" headerRowCount="1" totalsRowCount="0" totalsRowShown="0">
  <x:autoFilter ref="A5:N56"/>
  <x:tableColumns count="14">
    <x:tableColumn id="1" name="セッション"/>
    <x:tableColumn id="2" name="区分"/>
    <x:tableColumn id="3" name="利益（円）"/>
    <x:tableColumn id="4" name="損失（円）"/>
    <x:tableColumn id="5" name="収支（円）"/>
    <x:tableColumn id="6" name="累計（円）"/>
    <x:tableColumn id="7" name="親利益（円）"/>
    <x:tableColumn id="8" name="親損失（円）"/>
    <x:tableColumn id="9" name="初回件数"/>
    <x:tableColumn id="10" name="追加件数"/>
    <x:tableColumn id="11" name="縮小件数"/>
    <x:tableColumn id="12" name="最大保有枚数"/>
    <x:tableColumn id="13" name="保有時間率"/>
    <x:tableColumn id="14" name="時価最大DD（円）"/>
  </x:tableColumns>
  <x:tableStyleInfo name="TableStyleMedium2" showFirstColumn="0" showLastColumn="0" showRowStripes="1" showColumnStripes="0"/>
</x:table>
</file>

<file path=xl/tables/table40.xml><?xml version="1.0" encoding="utf-8"?>
<x:table xmlns:x="http://schemas.openxmlformats.org/spreadsheetml/2006/main" id="39" name="MA153_TOPIX_R05" displayName="MA153_TOPIX_R05" ref="A5:N56" headerRowCount="1" totalsRowCount="0" totalsRowShown="0">
  <x:autoFilter ref="A5:N56"/>
  <x:tableColumns count="14">
    <x:tableColumn id="1" name="セッション"/>
    <x:tableColumn id="2" name="区分"/>
    <x:tableColumn id="3" name="利益（円）"/>
    <x:tableColumn id="4" name="損失（円）"/>
    <x:tableColumn id="5" name="収支（円）"/>
    <x:tableColumn id="6" name="累計（円）"/>
    <x:tableColumn id="7" name="親利益（円）"/>
    <x:tableColumn id="8" name="親損失（円）"/>
    <x:tableColumn id="9" name="初回件数"/>
    <x:tableColumn id="10" name="追加件数"/>
    <x:tableColumn id="11" name="縮小件数"/>
    <x:tableColumn id="12" name="最大保有枚数"/>
    <x:tableColumn id="13" name="保有時間率"/>
    <x:tableColumn id="14" name="時価最大DD（円）"/>
  </x:tableColumns>
  <x:tableStyleInfo name="TableStyleMedium2" showFirstColumn="0" showLastColumn="0" showRowStripes="1" showColumnStripes="0"/>
</x:table>
</file>

<file path=xl/tables/table41.xml><?xml version="1.0" encoding="utf-8"?>
<x:table xmlns:x="http://schemas.openxmlformats.org/spreadsheetml/2006/main" id="40" name="MA153_TOPIX_R06" displayName="MA153_TOPIX_R06" ref="A5:N56" headerRowCount="1" totalsRowCount="0" totalsRowShown="0">
  <x:autoFilter ref="A5:N56"/>
  <x:tableColumns count="14">
    <x:tableColumn id="1" name="セッション"/>
    <x:tableColumn id="2" name="区分"/>
    <x:tableColumn id="3" name="利益（円）"/>
    <x:tableColumn id="4" name="損失（円）"/>
    <x:tableColumn id="5" name="収支（円）"/>
    <x:tableColumn id="6" name="累計（円）"/>
    <x:tableColumn id="7" name="親利益（円）"/>
    <x:tableColumn id="8" name="親損失（円）"/>
    <x:tableColumn id="9" name="初回件数"/>
    <x:tableColumn id="10" name="追加件数"/>
    <x:tableColumn id="11" name="縮小件数"/>
    <x:tableColumn id="12" name="最大保有枚数"/>
    <x:tableColumn id="13" name="保有時間率"/>
    <x:tableColumn id="14" name="時価最大DD（円）"/>
  </x:tableColumns>
  <x:tableStyleInfo name="TableStyleMedium2" showFirstColumn="0" showLastColumn="0" showRowStripes="1" showColumnStripes="0"/>
</x:table>
</file>

<file path=xl/tables/table42.xml><?xml version="1.0" encoding="utf-8"?>
<x:table xmlns:x="http://schemas.openxmlformats.org/spreadsheetml/2006/main" id="41" name="MA153_TOPIX_R07" displayName="MA153_TOPIX_R07" ref="A5:N56" headerRowCount="1" totalsRowCount="0" totalsRowShown="0">
  <x:autoFilter ref="A5:N56"/>
  <x:tableColumns count="14">
    <x:tableColumn id="1" name="セッション"/>
    <x:tableColumn id="2" name="区分"/>
    <x:tableColumn id="3" name="利益（円）"/>
    <x:tableColumn id="4" name="損失（円）"/>
    <x:tableColumn id="5" name="収支（円）"/>
    <x:tableColumn id="6" name="累計（円）"/>
    <x:tableColumn id="7" name="親利益（円）"/>
    <x:tableColumn id="8" name="親損失（円）"/>
    <x:tableColumn id="9" name="初回件数"/>
    <x:tableColumn id="10" name="追加件数"/>
    <x:tableColumn id="11" name="縮小件数"/>
    <x:tableColumn id="12" name="最大保有枚数"/>
    <x:tableColumn id="13" name="保有時間率"/>
    <x:tableColumn id="14" name="時価最大DD（円）"/>
  </x:tableColumns>
  <x:tableStyleInfo name="TableStyleMedium2" showFirstColumn="0" showLastColumn="0" showRowStripes="1" showColumnStripes="0"/>
</x:table>
</file>

<file path=xl/tables/table43.xml><?xml version="1.0" encoding="utf-8"?>
<x:table xmlns:x="http://schemas.openxmlformats.org/spreadsheetml/2006/main" id="42" name="MA153_TOPIX_R08" displayName="MA153_TOPIX_R08" ref="A5:N56" headerRowCount="1" totalsRowCount="0" totalsRowShown="0">
  <x:autoFilter ref="A5:N56"/>
  <x:tableColumns count="14">
    <x:tableColumn id="1" name="セッション"/>
    <x:tableColumn id="2" name="区分"/>
    <x:tableColumn id="3" name="利益（円）"/>
    <x:tableColumn id="4" name="損失（円）"/>
    <x:tableColumn id="5" name="収支（円）"/>
    <x:tableColumn id="6" name="累計（円）"/>
    <x:tableColumn id="7" name="親利益（円）"/>
    <x:tableColumn id="8" name="親損失（円）"/>
    <x:tableColumn id="9" name="初回件数"/>
    <x:tableColumn id="10" name="追加件数"/>
    <x:tableColumn id="11" name="縮小件数"/>
    <x:tableColumn id="12" name="最大保有枚数"/>
    <x:tableColumn id="13" name="保有時間率"/>
    <x:tableColumn id="14" name="時価最大DD（円）"/>
  </x:tableColumns>
  <x:tableStyleInfo name="TableStyleMedium2" showFirstColumn="0" showLastColumn="0" showRowStripes="1" showColumnStripes="0"/>
</x:table>
</file>

<file path=xl/tables/table44.xml><?xml version="1.0" encoding="utf-8"?>
<x:table xmlns:x="http://schemas.openxmlformats.org/spreadsheetml/2006/main" id="43" name="MA153_TOPIX_M01" displayName="MA153_TOPIX_M01" ref="A5:N56" headerRowCount="1" totalsRowCount="0" totalsRowShown="0">
  <x:autoFilter ref="A5:N56"/>
  <x:tableColumns count="14">
    <x:tableColumn id="1" name="セッション"/>
    <x:tableColumn id="2" name="区分"/>
    <x:tableColumn id="3" name="利益（円）"/>
    <x:tableColumn id="4" name="損失（円）"/>
    <x:tableColumn id="5" name="収支（円）"/>
    <x:tableColumn id="6" name="累計（円）"/>
    <x:tableColumn id="7" name="親利益（円）"/>
    <x:tableColumn id="8" name="親損失（円）"/>
    <x:tableColumn id="9" name="初回件数"/>
    <x:tableColumn id="10" name="追加件数"/>
    <x:tableColumn id="11" name="縮小件数"/>
    <x:tableColumn id="12" name="最大保有枚数"/>
    <x:tableColumn id="13" name="保有時間率"/>
    <x:tableColumn id="14" name="時価最大DD（円）"/>
  </x:tableColumns>
  <x:tableStyleInfo name="TableStyleMedium2" showFirstColumn="0" showLastColumn="0" showRowStripes="1" showColumnStripes="0"/>
</x:table>
</file>

<file path=xl/tables/table45.xml><?xml version="1.0" encoding="utf-8"?>
<x:table xmlns:x="http://schemas.openxmlformats.org/spreadsheetml/2006/main" id="44" name="MA153_TOPIX_M02" displayName="MA153_TOPIX_M02" ref="A5:N56" headerRowCount="1" totalsRowCount="0" totalsRowShown="0">
  <x:autoFilter ref="A5:N56"/>
  <x:tableColumns count="14">
    <x:tableColumn id="1" name="セッション"/>
    <x:tableColumn id="2" name="区分"/>
    <x:tableColumn id="3" name="利益（円）"/>
    <x:tableColumn id="4" name="損失（円）"/>
    <x:tableColumn id="5" name="収支（円）"/>
    <x:tableColumn id="6" name="累計（円）"/>
    <x:tableColumn id="7" name="親利益（円）"/>
    <x:tableColumn id="8" name="親損失（円）"/>
    <x:tableColumn id="9" name="初回件数"/>
    <x:tableColumn id="10" name="追加件数"/>
    <x:tableColumn id="11" name="縮小件数"/>
    <x:tableColumn id="12" name="最大保有枚数"/>
    <x:tableColumn id="13" name="保有時間率"/>
    <x:tableColumn id="14" name="時価最大DD（円）"/>
  </x:tableColumns>
  <x:tableStyleInfo name="TableStyleMedium2" showFirstColumn="0" showLastColumn="0" showRowStripes="1" showColumnStripes="0"/>
</x:table>
</file>

<file path=xl/tables/table46.xml><?xml version="1.0" encoding="utf-8"?>
<x:table xmlns:x="http://schemas.openxmlformats.org/spreadsheetml/2006/main" id="45" name="MA153_TOPIX_M03" displayName="MA153_TOPIX_M03" ref="A5:N56" headerRowCount="1" totalsRowCount="0" totalsRowShown="0">
  <x:autoFilter ref="A5:N56"/>
  <x:tableColumns count="14">
    <x:tableColumn id="1" name="セッション"/>
    <x:tableColumn id="2" name="区分"/>
    <x:tableColumn id="3" name="利益（円）"/>
    <x:tableColumn id="4" name="損失（円）"/>
    <x:tableColumn id="5" name="収支（円）"/>
    <x:tableColumn id="6" name="累計（円）"/>
    <x:tableColumn id="7" name="親利益（円）"/>
    <x:tableColumn id="8" name="親損失（円）"/>
    <x:tableColumn id="9" name="初回件数"/>
    <x:tableColumn id="10" name="追加件数"/>
    <x:tableColumn id="11" name="縮小件数"/>
    <x:tableColumn id="12" name="最大保有枚数"/>
    <x:tableColumn id="13" name="保有時間率"/>
    <x:tableColumn id="14" name="時価最大DD（円）"/>
  </x:tableColumns>
  <x:tableStyleInfo name="TableStyleMedium2" showFirstColumn="0" showLastColumn="0" showRowStripes="1" showColumnStripes="0"/>
</x:table>
</file>

<file path=xl/tables/table47.xml><?xml version="1.0" encoding="utf-8"?>
<x:table xmlns:x="http://schemas.openxmlformats.org/spreadsheetml/2006/main" id="46" name="MA153_TOPIX_M04" displayName="MA153_TOPIX_M04" ref="A5:N56" headerRowCount="1" totalsRowCount="0" totalsRowShown="0">
  <x:autoFilter ref="A5:N56"/>
  <x:tableColumns count="14">
    <x:tableColumn id="1" name="セッション"/>
    <x:tableColumn id="2" name="区分"/>
    <x:tableColumn id="3" name="利益（円）"/>
    <x:tableColumn id="4" name="損失（円）"/>
    <x:tableColumn id="5" name="収支（円）"/>
    <x:tableColumn id="6" name="累計（円）"/>
    <x:tableColumn id="7" name="親利益（円）"/>
    <x:tableColumn id="8" name="親損失（円）"/>
    <x:tableColumn id="9" name="初回件数"/>
    <x:tableColumn id="10" name="追加件数"/>
    <x:tableColumn id="11" name="縮小件数"/>
    <x:tableColumn id="12" name="最大保有枚数"/>
    <x:tableColumn id="13" name="保有時間率"/>
    <x:tableColumn id="14" name="時価最大DD（円）"/>
  </x:tableColumns>
  <x:tableStyleInfo name="TableStyleMedium2" showFirstColumn="0" showLastColumn="0" showRowStripes="1" showColumnStripes="0"/>
</x:table>
</file>

<file path=xl/tables/table48.xml><?xml version="1.0" encoding="utf-8"?>
<x:table xmlns:x="http://schemas.openxmlformats.org/spreadsheetml/2006/main" id="47" name="MA153_TOPIX_M05" displayName="MA153_TOPIX_M05" ref="A5:N56" headerRowCount="1" totalsRowCount="0" totalsRowShown="0">
  <x:autoFilter ref="A5:N56"/>
  <x:tableColumns count="14">
    <x:tableColumn id="1" name="セッション"/>
    <x:tableColumn id="2" name="区分"/>
    <x:tableColumn id="3" name="利益（円）"/>
    <x:tableColumn id="4" name="損失（円）"/>
    <x:tableColumn id="5" name="収支（円）"/>
    <x:tableColumn id="6" name="累計（円）"/>
    <x:tableColumn id="7" name="親利益（円）"/>
    <x:tableColumn id="8" name="親損失（円）"/>
    <x:tableColumn id="9" name="初回件数"/>
    <x:tableColumn id="10" name="追加件数"/>
    <x:tableColumn id="11" name="縮小件数"/>
    <x:tableColumn id="12" name="最大保有枚数"/>
    <x:tableColumn id="13" name="保有時間率"/>
    <x:tableColumn id="14" name="時価最大DD（円）"/>
  </x:tableColumns>
  <x:tableStyleInfo name="TableStyleMedium2" showFirstColumn="0" showLastColumn="0" showRowStripes="1" showColumnStripes="0"/>
</x:table>
</file>

<file path=xl/tables/table49.xml><?xml version="1.0" encoding="utf-8"?>
<x:table xmlns:x="http://schemas.openxmlformats.org/spreadsheetml/2006/main" id="48" name="MA153_TOPIX_M06" displayName="MA153_TOPIX_M06" ref="A5:N56" headerRowCount="1" totalsRowCount="0" totalsRowShown="0">
  <x:autoFilter ref="A5:N56"/>
  <x:tableColumns count="14">
    <x:tableColumn id="1" name="セッション"/>
    <x:tableColumn id="2" name="区分"/>
    <x:tableColumn id="3" name="利益（円）"/>
    <x:tableColumn id="4" name="損失（円）"/>
    <x:tableColumn id="5" name="収支（円）"/>
    <x:tableColumn id="6" name="累計（円）"/>
    <x:tableColumn id="7" name="親利益（円）"/>
    <x:tableColumn id="8" name="親損失（円）"/>
    <x:tableColumn id="9" name="初回件数"/>
    <x:tableColumn id="10" name="追加件数"/>
    <x:tableColumn id="11" name="縮小件数"/>
    <x:tableColumn id="12" name="最大保有枚数"/>
    <x:tableColumn id="13" name="保有時間率"/>
    <x:tableColumn id="14" name="時価最大DD（円）"/>
  </x:tableColumns>
  <x:tableStyleInfo name="TableStyleMedium2" showFirstColumn="0" showLastColumn="0" showRowStripes="1" showColumnStripes="0"/>
</x:table>
</file>

<file path=xl/tables/table50.xml><?xml version="1.0" encoding="utf-8"?>
<x:table xmlns:x="http://schemas.openxmlformats.org/spreadsheetml/2006/main" id="49" name="MA153_TOPIX_M07" displayName="MA153_TOPIX_M07" ref="A5:N56" headerRowCount="1" totalsRowCount="0" totalsRowShown="0">
  <x:autoFilter ref="A5:N56"/>
  <x:tableColumns count="14">
    <x:tableColumn id="1" name="セッション"/>
    <x:tableColumn id="2" name="区分"/>
    <x:tableColumn id="3" name="利益（円）"/>
    <x:tableColumn id="4" name="損失（円）"/>
    <x:tableColumn id="5" name="収支（円）"/>
    <x:tableColumn id="6" name="累計（円）"/>
    <x:tableColumn id="7" name="親利益（円）"/>
    <x:tableColumn id="8" name="親損失（円）"/>
    <x:tableColumn id="9" name="初回件数"/>
    <x:tableColumn id="10" name="追加件数"/>
    <x:tableColumn id="11" name="縮小件数"/>
    <x:tableColumn id="12" name="最大保有枚数"/>
    <x:tableColumn id="13" name="保有時間率"/>
    <x:tableColumn id="14" name="時価最大DD（円）"/>
  </x:tableColumns>
  <x:tableStyleInfo name="TableStyleMedium2" showFirstColumn="0" showLastColumn="0" showRowStripes="1" showColumnStripes="0"/>
</x:table>
</file>

<file path=xl/tables/table51.xml><?xml version="1.0" encoding="utf-8"?>
<x:table xmlns:x="http://schemas.openxmlformats.org/spreadsheetml/2006/main" id="50" name="MA153_TOPIX_M08" displayName="MA153_TOPIX_M08" ref="A5:N56" headerRowCount="1" totalsRowCount="0" totalsRowShown="0">
  <x:autoFilter ref="A5:N56"/>
  <x:tableColumns count="14">
    <x:tableColumn id="1" name="セッション"/>
    <x:tableColumn id="2" name="区分"/>
    <x:tableColumn id="3" name="利益（円）"/>
    <x:tableColumn id="4" name="損失（円）"/>
    <x:tableColumn id="5" name="収支（円）"/>
    <x:tableColumn id="6" name="累計（円）"/>
    <x:tableColumn id="7" name="親利益（円）"/>
    <x:tableColumn id="8" name="親損失（円）"/>
    <x:tableColumn id="9" name="初回件数"/>
    <x:tableColumn id="10" name="追加件数"/>
    <x:tableColumn id="11" name="縮小件数"/>
    <x:tableColumn id="12" name="最大保有枚数"/>
    <x:tableColumn id="13" name="保有時間率"/>
    <x:tableColumn id="14" name="時価最大DD（円）"/>
  </x:tableColumns>
  <x:tableStyleInfo name="TableStyleMedium2" showFirstColumn="0" showLastColumn="0" showRowStripes="1" showColumnStripes="0"/>
</x:table>
</file>

<file path=xl/tables/table52.xml><?xml version="1.0" encoding="utf-8"?>
<x:table xmlns:x="http://schemas.openxmlformats.org/spreadsheetml/2006/main" id="51" name="MA153_TOPIX_M09" displayName="MA153_TOPIX_M09" ref="A5:N56" headerRowCount="1" totalsRowCount="0" totalsRowShown="0">
  <x:autoFilter ref="A5:N56"/>
  <x:tableColumns count="14">
    <x:tableColumn id="1" name="セッション"/>
    <x:tableColumn id="2" name="区分"/>
    <x:tableColumn id="3" name="利益（円）"/>
    <x:tableColumn id="4" name="損失（円）"/>
    <x:tableColumn id="5" name="収支（円）"/>
    <x:tableColumn id="6" name="累計（円）"/>
    <x:tableColumn id="7" name="親利益（円）"/>
    <x:tableColumn id="8" name="親損失（円）"/>
    <x:tableColumn id="9" name="初回件数"/>
    <x:tableColumn id="10" name="追加件数"/>
    <x:tableColumn id="11" name="縮小件数"/>
    <x:tableColumn id="12" name="最大保有枚数"/>
    <x:tableColumn id="13" name="保有時間率"/>
    <x:tableColumn id="14" name="時価最大DD（円）"/>
  </x:tableColumns>
  <x:tableStyleInfo name="TableStyleMedium2" showFirstColumn="0" showLastColumn="0" showRowStripes="1" showColumnStripes="0"/>
</x:table>
</file>

<file path=xl/tables/table53.xml><?xml version="1.0" encoding="utf-8"?>
<x:table xmlns:x="http://schemas.openxmlformats.org/spreadsheetml/2006/main" id="52" name="MA153_TOPIX_M10" displayName="MA153_TOPIX_M10" ref="A5:N56" headerRowCount="1" totalsRowCount="0" totalsRowShown="0">
  <x:autoFilter ref="A5:N56"/>
  <x:tableColumns count="14">
    <x:tableColumn id="1" name="セッション"/>
    <x:tableColumn id="2" name="区分"/>
    <x:tableColumn id="3" name="利益（円）"/>
    <x:tableColumn id="4" name="損失（円）"/>
    <x:tableColumn id="5" name="収支（円）"/>
    <x:tableColumn id="6" name="累計（円）"/>
    <x:tableColumn id="7" name="親利益（円）"/>
    <x:tableColumn id="8" name="親損失（円）"/>
    <x:tableColumn id="9" name="初回件数"/>
    <x:tableColumn id="10" name="追加件数"/>
    <x:tableColumn id="11" name="縮小件数"/>
    <x:tableColumn id="12" name="最大保有枚数"/>
    <x:tableColumn id="13" name="保有時間率"/>
    <x:tableColumn id="14" name="時価最大DD（円）"/>
  </x:tableColumns>
  <x:tableStyleInfo name="TableStyleMedium2" showFirstColumn="0" showLastColumn="0" showRowStripes="1" showColumnStripes="0"/>
</x:table>
</file>

<file path=xl/tables/table54.xml><?xml version="1.0" encoding="utf-8"?>
<x:table xmlns:x="http://schemas.openxmlformats.org/spreadsheetml/2006/main" id="53" name="MA153_TOPIX_M11" displayName="MA153_TOPIX_M11" ref="A5:N56" headerRowCount="1" totalsRowCount="0" totalsRowShown="0">
  <x:autoFilter ref="A5:N56"/>
  <x:tableColumns count="14">
    <x:tableColumn id="1" name="セッション"/>
    <x:tableColumn id="2" name="区分"/>
    <x:tableColumn id="3" name="利益（円）"/>
    <x:tableColumn id="4" name="損失（円）"/>
    <x:tableColumn id="5" name="収支（円）"/>
    <x:tableColumn id="6" name="累計（円）"/>
    <x:tableColumn id="7" name="親利益（円）"/>
    <x:tableColumn id="8" name="親損失（円）"/>
    <x:tableColumn id="9" name="初回件数"/>
    <x:tableColumn id="10" name="追加件数"/>
    <x:tableColumn id="11" name="縮小件数"/>
    <x:tableColumn id="12" name="最大保有枚数"/>
    <x:tableColumn id="13" name="保有時間率"/>
    <x:tableColumn id="14" name="時価最大DD（円）"/>
  </x:tableColumns>
  <x:tableStyleInfo name="TableStyleMedium2" showFirstColumn="0" showLastColumn="0" showRowStripes="1" showColumnStripes="0"/>
</x:table>
</file>

<file path=xl/tables/table55.xml><?xml version="1.0" encoding="utf-8"?>
<x:table xmlns:x="http://schemas.openxmlformats.org/spreadsheetml/2006/main" id="54" name="MA153_TOPIX_M12" displayName="MA153_TOPIX_M12" ref="A5:N56" headerRowCount="1" totalsRowCount="0" totalsRowShown="0">
  <x:autoFilter ref="A5:N56"/>
  <x:tableColumns count="14">
    <x:tableColumn id="1" name="セッション"/>
    <x:tableColumn id="2" name="区分"/>
    <x:tableColumn id="3" name="利益（円）"/>
    <x:tableColumn id="4" name="損失（円）"/>
    <x:tableColumn id="5" name="収支（円）"/>
    <x:tableColumn id="6" name="累計（円）"/>
    <x:tableColumn id="7" name="親利益（円）"/>
    <x:tableColumn id="8" name="親損失（円）"/>
    <x:tableColumn id="9" name="初回件数"/>
    <x:tableColumn id="10" name="追加件数"/>
    <x:tableColumn id="11" name="縮小件数"/>
    <x:tableColumn id="12" name="最大保有枚数"/>
    <x:tableColumn id="13" name="保有時間率"/>
    <x:tableColumn id="14" name="時価最大DD（円）"/>
  </x:tableColumns>
  <x:tableStyleInfo name="TableStyleMedium2" showFirstColumn="0" showLastColumn="0" showRowStripes="1" showColumnStripes="0"/>
</x:table>
</file>

<file path=xl/tables/table56.xml><?xml version="1.0" encoding="utf-8"?>
<x:table xmlns:x="http://schemas.openxmlformats.org/spreadsheetml/2006/main" id="55" name="MA153_TOPIX_M13" displayName="MA153_TOPIX_M13" ref="A5:N56" headerRowCount="1" totalsRowCount="0" totalsRowShown="0">
  <x:autoFilter ref="A5:N56"/>
  <x:tableColumns count="14">
    <x:tableColumn id="1" name="セッション"/>
    <x:tableColumn id="2" name="区分"/>
    <x:tableColumn id="3" name="利益（円）"/>
    <x:tableColumn id="4" name="損失（円）"/>
    <x:tableColumn id="5" name="収支（円）"/>
    <x:tableColumn id="6" name="累計（円）"/>
    <x:tableColumn id="7" name="親利益（円）"/>
    <x:tableColumn id="8" name="親損失（円）"/>
    <x:tableColumn id="9" name="初回件数"/>
    <x:tableColumn id="10" name="追加件数"/>
    <x:tableColumn id="11" name="縮小件数"/>
    <x:tableColumn id="12" name="最大保有枚数"/>
    <x:tableColumn id="13" name="保有時間率"/>
    <x:tableColumn id="14" name="時価最大DD（円）"/>
  </x:tableColumns>
  <x:tableStyleInfo name="TableStyleMedium2" showFirstColumn="0" showLastColumn="0" showRowStripes="1" showColumnStripes="0"/>
</x:table>
</file>

<file path=xl/tables/table57.xml><?xml version="1.0" encoding="utf-8"?>
<x:table xmlns:x="http://schemas.openxmlformats.org/spreadsheetml/2006/main" id="56" name="MA153_TOPIX_M14" displayName="MA153_TOPIX_M14" ref="A5:N56" headerRowCount="1" totalsRowCount="0" totalsRowShown="0">
  <x:autoFilter ref="A5:N56"/>
  <x:tableColumns count="14">
    <x:tableColumn id="1" name="セッション"/>
    <x:tableColumn id="2" name="区分"/>
    <x:tableColumn id="3" name="利益（円）"/>
    <x:tableColumn id="4" name="損失（円）"/>
    <x:tableColumn id="5" name="収支（円）"/>
    <x:tableColumn id="6" name="累計（円）"/>
    <x:tableColumn id="7" name="親利益（円）"/>
    <x:tableColumn id="8" name="親損失（円）"/>
    <x:tableColumn id="9" name="初回件数"/>
    <x:tableColumn id="10" name="追加件数"/>
    <x:tableColumn id="11" name="縮小件数"/>
    <x:tableColumn id="12" name="最大保有枚数"/>
    <x:tableColumn id="13" name="保有時間率"/>
    <x:tableColumn id="14" name="時価最大DD（円）"/>
  </x:tableColumns>
  <x:tableStyleInfo name="TableStyleMedium2" showFirstColumn="0" showLastColumn="0" showRowStripes="1" showColumnStripes="0"/>
</x:table>
</file>

<file path=xl/tables/table58.xml><?xml version="1.0" encoding="utf-8"?>
<x:table xmlns:x="http://schemas.openxmlformats.org/spreadsheetml/2006/main" id="57" name="MA153_TOPIX_M15" displayName="MA153_TOPIX_M15" ref="A5:N56" headerRowCount="1" totalsRowCount="0" totalsRowShown="0">
  <x:autoFilter ref="A5:N56"/>
  <x:tableColumns count="14">
    <x:tableColumn id="1" name="セッション"/>
    <x:tableColumn id="2" name="区分"/>
    <x:tableColumn id="3" name="利益（円）"/>
    <x:tableColumn id="4" name="損失（円）"/>
    <x:tableColumn id="5" name="収支（円）"/>
    <x:tableColumn id="6" name="累計（円）"/>
    <x:tableColumn id="7" name="親利益（円）"/>
    <x:tableColumn id="8" name="親損失（円）"/>
    <x:tableColumn id="9" name="初回件数"/>
    <x:tableColumn id="10" name="追加件数"/>
    <x:tableColumn id="11" name="縮小件数"/>
    <x:tableColumn id="12" name="最大保有枚数"/>
    <x:tableColumn id="13" name="保有時間率"/>
    <x:tableColumn id="14" name="時価最大DD（円）"/>
  </x:tableColumns>
  <x:tableStyleInfo name="TableStyleMedium2" showFirstColumn="0" showLastColumn="0" showRowStripes="1" showColumnStripes="0"/>
</x:table>
</file>

<file path=xl/tables/table59.xml><?xml version="1.0" encoding="utf-8"?>
<x:table xmlns:x="http://schemas.openxmlformats.org/spreadsheetml/2006/main" id="58" name="MA153_TOPIX_M16" displayName="MA153_TOPIX_M16" ref="A5:N56" headerRowCount="1" totalsRowCount="0" totalsRowShown="0">
  <x:autoFilter ref="A5:N56"/>
  <x:tableColumns count="14">
    <x:tableColumn id="1" name="セッション"/>
    <x:tableColumn id="2" name="区分"/>
    <x:tableColumn id="3" name="利益（円）"/>
    <x:tableColumn id="4" name="損失（円）"/>
    <x:tableColumn id="5" name="収支（円）"/>
    <x:tableColumn id="6" name="累計（円）"/>
    <x:tableColumn id="7" name="親利益（円）"/>
    <x:tableColumn id="8" name="親損失（円）"/>
    <x:tableColumn id="9" name="初回件数"/>
    <x:tableColumn id="10" name="追加件数"/>
    <x:tableColumn id="11" name="縮小件数"/>
    <x:tableColumn id="12" name="最大保有枚数"/>
    <x:tableColumn id="13" name="保有時間率"/>
    <x:tableColumn id="14" name="時価最大DD（円）"/>
  </x:tableColumns>
  <x:tableStyleInfo name="TableStyleMedium2" showFirstColumn="0" showLastColumn="0" showRowStripes="1" showColumnStripes="0"/>
</x:table>
</file>

<file path=xl/tables/table60.xml><?xml version="1.0" encoding="utf-8"?>
<x:table xmlns:x="http://schemas.openxmlformats.org/spreadsheetml/2006/main" id="59" name="MA153_TOPIX_M17" displayName="MA153_TOPIX_M17" ref="A5:N56" headerRowCount="1" totalsRowCount="0" totalsRowShown="0">
  <x:autoFilter ref="A5:N56"/>
  <x:tableColumns count="14">
    <x:tableColumn id="1" name="セッション"/>
    <x:tableColumn id="2" name="区分"/>
    <x:tableColumn id="3" name="利益（円）"/>
    <x:tableColumn id="4" name="損失（円）"/>
    <x:tableColumn id="5" name="収支（円）"/>
    <x:tableColumn id="6" name="累計（円）"/>
    <x:tableColumn id="7" name="親利益（円）"/>
    <x:tableColumn id="8" name="親損失（円）"/>
    <x:tableColumn id="9" name="初回件数"/>
    <x:tableColumn id="10" name="追加件数"/>
    <x:tableColumn id="11" name="縮小件数"/>
    <x:tableColumn id="12" name="最大保有枚数"/>
    <x:tableColumn id="13" name="保有時間率"/>
    <x:tableColumn id="14" name="時価最大DD（円）"/>
  </x:tableColumns>
  <x:tableStyleInfo name="TableStyleMedium2" showFirstColumn="0" showLastColumn="0" showRowStripes="1" showColumnStripes="0"/>
</x:table>
</file>

<file path=xl/tables/table61.xml><?xml version="1.0" encoding="utf-8"?>
<x:table xmlns:x="http://schemas.openxmlformats.org/spreadsheetml/2006/main" id="60" name="MA153_TOPIX_M18" displayName="MA153_TOPIX_M18" ref="A5:N56" headerRowCount="1" totalsRowCount="0" totalsRowShown="0">
  <x:autoFilter ref="A5:N56"/>
  <x:tableColumns count="14">
    <x:tableColumn id="1" name="セッション"/>
    <x:tableColumn id="2" name="区分"/>
    <x:tableColumn id="3" name="利益（円）"/>
    <x:tableColumn id="4" name="損失（円）"/>
    <x:tableColumn id="5" name="収支（円）"/>
    <x:tableColumn id="6" name="累計（円）"/>
    <x:tableColumn id="7" name="親利益（円）"/>
    <x:tableColumn id="8" name="親損失（円）"/>
    <x:tableColumn id="9" name="初回件数"/>
    <x:tableColumn id="10" name="追加件数"/>
    <x:tableColumn id="11" name="縮小件数"/>
    <x:tableColumn id="12" name="最大保有枚数"/>
    <x:tableColumn id="13" name="保有時間率"/>
    <x:tableColumn id="14" name="時価最大DD（円）"/>
  </x:tableColumns>
  <x:tableStyleInfo name="TableStyleMedium2" showFirstColumn="0" showLastColumn="0" showRowStripes="1" showColumnStripes="0"/>
</x:table>
</file>

<file path=xl/tables/table62.xml><?xml version="1.0" encoding="utf-8"?>
<x:table xmlns:x="http://schemas.openxmlformats.org/spreadsheetml/2006/main" id="61" name="MA153_TOPIX_M19" displayName="MA153_TOPIX_M19" ref="A5:N56" headerRowCount="1" totalsRowCount="0" totalsRowShown="0">
  <x:autoFilter ref="A5:N56"/>
  <x:tableColumns count="14">
    <x:tableColumn id="1" name="セッション"/>
    <x:tableColumn id="2" name="区分"/>
    <x:tableColumn id="3" name="利益（円）"/>
    <x:tableColumn id="4" name="損失（円）"/>
    <x:tableColumn id="5" name="収支（円）"/>
    <x:tableColumn id="6" name="累計（円）"/>
    <x:tableColumn id="7" name="親利益（円）"/>
    <x:tableColumn id="8" name="親損失（円）"/>
    <x:tableColumn id="9" name="初回件数"/>
    <x:tableColumn id="10" name="追加件数"/>
    <x:tableColumn id="11" name="縮小件数"/>
    <x:tableColumn id="12" name="最大保有枚数"/>
    <x:tableColumn id="13" name="保有時間率"/>
    <x:tableColumn id="14" name="時価最大DD（円）"/>
  </x:tableColumns>
  <x:tableStyleInfo name="TableStyleMedium2" showFirstColumn="0" showLastColumn="0" showRowStripes="1" showColumnStripes="0"/>
</x:table>
</file>

<file path=xl/tables/table63.xml><?xml version="1.0" encoding="utf-8"?>
<x:table xmlns:x="http://schemas.openxmlformats.org/spreadsheetml/2006/main" id="62" name="MA153_TOPIX_M20" displayName="MA153_TOPIX_M20" ref="A5:N56" headerRowCount="1" totalsRowCount="0" totalsRowShown="0">
  <x:autoFilter ref="A5:N56"/>
  <x:tableColumns count="14">
    <x:tableColumn id="1" name="セッション"/>
    <x:tableColumn id="2" name="区分"/>
    <x:tableColumn id="3" name="利益（円）"/>
    <x:tableColumn id="4" name="損失（円）"/>
    <x:tableColumn id="5" name="収支（円）"/>
    <x:tableColumn id="6" name="累計（円）"/>
    <x:tableColumn id="7" name="親利益（円）"/>
    <x:tableColumn id="8" name="親損失（円）"/>
    <x:tableColumn id="9" name="初回件数"/>
    <x:tableColumn id="10" name="追加件数"/>
    <x:tableColumn id="11" name="縮小件数"/>
    <x:tableColumn id="12" name="最大保有枚数"/>
    <x:tableColumn id="13" name="保有時間率"/>
    <x:tableColumn id="14" name="時価最大DD（円）"/>
  </x:tableColumns>
  <x:tableStyleInfo name="TableStyleMedium2" showFirstColumn="0" showLastColumn="0" showRowStripes="1" showColumnStripes="0"/>
</x:table>
</file>

<file path=xl/tables/table64.xml><?xml version="1.0" encoding="utf-8"?>
<x:table xmlns:x="http://schemas.openxmlformats.org/spreadsheetml/2006/main" id="63" name="MA153_TOPIX_M21" displayName="MA153_TOPIX_M21" ref="A5:N56" headerRowCount="1" totalsRowCount="0" totalsRowShown="0">
  <x:autoFilter ref="A5:N56"/>
  <x:tableColumns count="14">
    <x:tableColumn id="1" name="セッション"/>
    <x:tableColumn id="2" name="区分"/>
    <x:tableColumn id="3" name="利益（円）"/>
    <x:tableColumn id="4" name="損失（円）"/>
    <x:tableColumn id="5" name="収支（円）"/>
    <x:tableColumn id="6" name="累計（円）"/>
    <x:tableColumn id="7" name="親利益（円）"/>
    <x:tableColumn id="8" name="親損失（円）"/>
    <x:tableColumn id="9" name="初回件数"/>
    <x:tableColumn id="10" name="追加件数"/>
    <x:tableColumn id="11" name="縮小件数"/>
    <x:tableColumn id="12" name="最大保有枚数"/>
    <x:tableColumn id="13" name="保有時間率"/>
    <x:tableColumn id="14" name="時価最大DD（円）"/>
  </x:tableColumns>
  <x:tableStyleInfo name="TableStyleMedium2" showFirstColumn="0" showLastColumn="0" showRowStripes="1" showColumnStripes="0"/>
</x:table>
</file>

<file path=xl/tables/table65.xml><?xml version="1.0" encoding="utf-8"?>
<x:table xmlns:x="http://schemas.openxmlformats.org/spreadsheetml/2006/main" id="64" name="MA153_TOPIX_M22" displayName="MA153_TOPIX_M22" ref="A5:N56" headerRowCount="1" totalsRowCount="0" totalsRowShown="0">
  <x:autoFilter ref="A5:N56"/>
  <x:tableColumns count="14">
    <x:tableColumn id="1" name="セッション"/>
    <x:tableColumn id="2" name="区分"/>
    <x:tableColumn id="3" name="利益（円）"/>
    <x:tableColumn id="4" name="損失（円）"/>
    <x:tableColumn id="5" name="収支（円）"/>
    <x:tableColumn id="6" name="累計（円）"/>
    <x:tableColumn id="7" name="親利益（円）"/>
    <x:tableColumn id="8" name="親損失（円）"/>
    <x:tableColumn id="9" name="初回件数"/>
    <x:tableColumn id="10" name="追加件数"/>
    <x:tableColumn id="11" name="縮小件数"/>
    <x:tableColumn id="12" name="最大保有枚数"/>
    <x:tableColumn id="13" name="保有時間率"/>
    <x:tableColumn id="14" name="時価最大DD（円）"/>
  </x:tableColumns>
  <x:tableStyleInfo name="TableStyleMedium2" showFirstColumn="0" showLastColumn="0" showRowStripes="1" showColumnStripes="0"/>
</x:table>
</file>

<file path=xl/tables/table66.xml><?xml version="1.0" encoding="utf-8"?>
<x:table xmlns:x="http://schemas.openxmlformats.org/spreadsheetml/2006/main" id="65" name="MA153_TOPIX_M23" displayName="MA153_TOPIX_M23" ref="A5:N56" headerRowCount="1" totalsRowCount="0" totalsRowShown="0">
  <x:autoFilter ref="A5:N56"/>
  <x:tableColumns count="14">
    <x:tableColumn id="1" name="セッション"/>
    <x:tableColumn id="2" name="区分"/>
    <x:tableColumn id="3" name="利益（円）"/>
    <x:tableColumn id="4" name="損失（円）"/>
    <x:tableColumn id="5" name="収支（円）"/>
    <x:tableColumn id="6" name="累計（円）"/>
    <x:tableColumn id="7" name="親利益（円）"/>
    <x:tableColumn id="8" name="親損失（円）"/>
    <x:tableColumn id="9" name="初回件数"/>
    <x:tableColumn id="10" name="追加件数"/>
    <x:tableColumn id="11" name="縮小件数"/>
    <x:tableColumn id="12" name="最大保有枚数"/>
    <x:tableColumn id="13" name="保有時間率"/>
    <x:tableColumn id="14" name="時価最大DD（円）"/>
  </x:tableColumns>
  <x:tableStyleInfo name="TableStyleMedium2" showFirstColumn="0" showLastColumn="0" showRowStripes="1" showColumnStripes="0"/>
</x:table>
</file>

<file path=xl/tables/table67.xml><?xml version="1.0" encoding="utf-8"?>
<x:table xmlns:x="http://schemas.openxmlformats.org/spreadsheetml/2006/main" id="66" name="MA153_TOPIX_M24" displayName="MA153_TOPIX_M24" ref="A5:N56" headerRowCount="1" totalsRowCount="0" totalsRowShown="0">
  <x:autoFilter ref="A5:N56"/>
  <x:tableColumns count="14">
    <x:tableColumn id="1" name="セッション"/>
    <x:tableColumn id="2" name="区分"/>
    <x:tableColumn id="3" name="利益（円）"/>
    <x:tableColumn id="4" name="損失（円）"/>
    <x:tableColumn id="5" name="収支（円）"/>
    <x:tableColumn id="6" name="累計（円）"/>
    <x:tableColumn id="7" name="親利益（円）"/>
    <x:tableColumn id="8" name="親損失（円）"/>
    <x:tableColumn id="9" name="初回件数"/>
    <x:tableColumn id="10" name="追加件数"/>
    <x:tableColumn id="11" name="縮小件数"/>
    <x:tableColumn id="12" name="最大保有枚数"/>
    <x:tableColumn id="13" name="保有時間率"/>
    <x:tableColumn id="14" name="時価最大DD（円）"/>
  </x:tableColumns>
  <x:tableStyleInfo name="TableStyleMedium2" showFirstColumn="0" showLastColumn="0" showRowStripes="1" showColumnStripes="0"/>
</x:table>
</file>

<file path=xl/tables/table68.xml><?xml version="1.0" encoding="utf-8"?>
<x:table xmlns:x="http://schemas.openxmlformats.org/spreadsheetml/2006/main" id="67" name="MA153_TOPIX_F01" displayName="MA153_TOPIX_F01" ref="A5:N56" headerRowCount="1" totalsRowCount="0" totalsRowShown="0">
  <x:autoFilter ref="A5:N56"/>
  <x:tableColumns count="14">
    <x:tableColumn id="1" name="セッション"/>
    <x:tableColumn id="2" name="区分"/>
    <x:tableColumn id="3" name="利益（円）"/>
    <x:tableColumn id="4" name="損失（円）"/>
    <x:tableColumn id="5" name="収支（円）"/>
    <x:tableColumn id="6" name="累計（円）"/>
    <x:tableColumn id="7" name="親利益（円）"/>
    <x:tableColumn id="8" name="親損失（円）"/>
    <x:tableColumn id="9" name="初回件数"/>
    <x:tableColumn id="10" name="追加件数"/>
    <x:tableColumn id="11" name="縮小件数"/>
    <x:tableColumn id="12" name="最大保有枚数"/>
    <x:tableColumn id="13" name="保有時間率"/>
    <x:tableColumn id="14" name="時価最大DD（円）"/>
  </x:tableColumns>
  <x:tableStyleInfo name="TableStyleMedium2" showFirstColumn="0" showLastColumn="0" showRowStripes="1" showColumnStripes="0"/>
</x:table>
</file>

<file path=xl/tables/table69.xml><?xml version="1.0" encoding="utf-8"?>
<x:table xmlns:x="http://schemas.openxmlformats.org/spreadsheetml/2006/main" id="68" name="MA153_TOPIX_F10" displayName="MA153_TOPIX_F10" ref="A5:N56" headerRowCount="1" totalsRowCount="0" totalsRowShown="0">
  <x:autoFilter ref="A5:N56"/>
  <x:tableColumns count="14">
    <x:tableColumn id="1" name="セッション"/>
    <x:tableColumn id="2" name="区分"/>
    <x:tableColumn id="3" name="利益（円）"/>
    <x:tableColumn id="4" name="損失（円）"/>
    <x:tableColumn id="5" name="収支（円）"/>
    <x:tableColumn id="6" name="累計（円）"/>
    <x:tableColumn id="7" name="親利益（円）"/>
    <x:tableColumn id="8" name="親損失（円）"/>
    <x:tableColumn id="9" name="初回件数"/>
    <x:tableColumn id="10" name="追加件数"/>
    <x:tableColumn id="11" name="縮小件数"/>
    <x:tableColumn id="12" name="最大保有枚数"/>
    <x:tableColumn id="13" name="保有時間率"/>
    <x:tableColumn id="14" name="時価最大DD（円）"/>
  </x:tableColumns>
  <x:tableStyleInfo name="TableStyleMedium2" showFirstColumn="0" showLastColumn="0" showRowStripes="1" showColumnStripes="0"/>
</x:table>
</file>

<file path=xl/tables/table70.xml><?xml version="1.0" encoding="utf-8"?>
<x:table xmlns:x="http://schemas.openxmlformats.org/spreadsheetml/2006/main" id="70" name="MA153_partial" displayName="MA153_partial" ref="A5:H73" headerRowCount="1" totalsRowCount="0" totalsRowShown="0">
  <x:autoFilter ref="A5:H73"/>
  <x:tableColumns count="8">
    <x:tableColumn id="1" name="銘柄・手法"/>
    <x:tableColumn id="2" name="実現利益（円）"/>
    <x:tableColumn id="3" name="実現損失（円）"/>
    <x:tableColumn id="4" name="実現収支（円）"/>
    <x:tableColumn id="5" name="未返済含み（円）"/>
    <x:tableColumn id="6" name="時価収支（円）"/>
    <x:tableColumn id="7" name="初回件数"/>
    <x:tableColumn id="8" name="未返済枚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57012fa97094f9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a684e0da4f64c7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9c4a0d781f3496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ba5074f3aee4bd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23ae673377748c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5f58cbf650645c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45e020b7babc49c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b2c482a33ff2484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d0ae85e1e41f48a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4d2946ce200d420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9fcc9f0041c04f0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cb137f9ede3e4fa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d4d31c701ef34285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940dcd542edd44b6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252f23f3dd054ad8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2e238518dfb848a1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56f23dfc279a4e03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86e0d9be67b14009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c03a6b9015f94d7b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a7aa6d8da58b43bd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25c4fd7ec9744705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913ba8d0c69e4591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613bced73abc4af9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3cc846b00bd34838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95109cc10c5c4000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6.xml" Id="R66e069b6436145a3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7.xml" Id="R246fcd56f3dd41ed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28.xml" Id="R37e50e0b194e45a7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29.xml" Id="Ra3e826066d4f4f91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table" Target="/xl/tables/table30.xml" Id="R8f9bbe6f83224cd8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table" Target="/xl/tables/table31.xml" Id="R2951dce556344085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table" Target="/xl/tables/table32.xml" Id="Rb3e83e53c4814756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table" Target="/xl/tables/table33.xml" Id="Rda75a1aa26564715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table" Target="/xl/tables/table34.xml" Id="Rcbd4a7583b6a47ef" /></Relationships>
</file>

<file path=xl/worksheets/_rels/sheet35.xml.rels>&#65279;<?xml version="1.0" encoding="utf-8"?><Relationships xmlns="http://schemas.openxmlformats.org/package/2006/relationships"><Relationship Type="http://schemas.openxmlformats.org/officeDocument/2006/relationships/table" Target="/xl/tables/table35.xml" Id="Rbeba4ea01f0e4f8f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table" Target="/xl/tables/table36.xml" Id="R93f3ff8307d94b37" /></Relationships>
</file>

<file path=xl/worksheets/_rels/sheet37.xml.rels>&#65279;<?xml version="1.0" encoding="utf-8"?><Relationships xmlns="http://schemas.openxmlformats.org/package/2006/relationships"><Relationship Type="http://schemas.openxmlformats.org/officeDocument/2006/relationships/table" Target="/xl/tables/table37.xml" Id="Rd1b43c290d504508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table" Target="/xl/tables/table38.xml" Id="Rdc0c46015f3e43a7" /></Relationships>
</file>

<file path=xl/worksheets/_rels/sheet39.xml.rels>&#65279;<?xml version="1.0" encoding="utf-8"?><Relationships xmlns="http://schemas.openxmlformats.org/package/2006/relationships"><Relationship Type="http://schemas.openxmlformats.org/officeDocument/2006/relationships/table" Target="/xl/tables/table39.xml" Id="R38009b8d0ed44bf9" /></Relationships>
</file>

<file path=xl/worksheets/_rels/sheet40.xml.rels>&#65279;<?xml version="1.0" encoding="utf-8"?><Relationships xmlns="http://schemas.openxmlformats.org/package/2006/relationships"><Relationship Type="http://schemas.openxmlformats.org/officeDocument/2006/relationships/table" Target="/xl/tables/table40.xml" Id="R41fca51e680b4b2a" /></Relationships>
</file>

<file path=xl/worksheets/_rels/sheet41.xml.rels>&#65279;<?xml version="1.0" encoding="utf-8"?><Relationships xmlns="http://schemas.openxmlformats.org/package/2006/relationships"><Relationship Type="http://schemas.openxmlformats.org/officeDocument/2006/relationships/table" Target="/xl/tables/table41.xml" Id="Rcb1bcd8c7d7e4005" /></Relationships>
</file>

<file path=xl/worksheets/_rels/sheet42.xml.rels>&#65279;<?xml version="1.0" encoding="utf-8"?><Relationships xmlns="http://schemas.openxmlformats.org/package/2006/relationships"><Relationship Type="http://schemas.openxmlformats.org/officeDocument/2006/relationships/table" Target="/xl/tables/table42.xml" Id="R3765e5e6b03b40f9" /></Relationships>
</file>

<file path=xl/worksheets/_rels/sheet43.xml.rels>&#65279;<?xml version="1.0" encoding="utf-8"?><Relationships xmlns="http://schemas.openxmlformats.org/package/2006/relationships"><Relationship Type="http://schemas.openxmlformats.org/officeDocument/2006/relationships/table" Target="/xl/tables/table43.xml" Id="R31bbdc3c56ec4822" /></Relationships>
</file>

<file path=xl/worksheets/_rels/sheet44.xml.rels>&#65279;<?xml version="1.0" encoding="utf-8"?><Relationships xmlns="http://schemas.openxmlformats.org/package/2006/relationships"><Relationship Type="http://schemas.openxmlformats.org/officeDocument/2006/relationships/table" Target="/xl/tables/table44.xml" Id="R9bf5d175f85e4ac7" /></Relationships>
</file>

<file path=xl/worksheets/_rels/sheet45.xml.rels>&#65279;<?xml version="1.0" encoding="utf-8"?><Relationships xmlns="http://schemas.openxmlformats.org/package/2006/relationships"><Relationship Type="http://schemas.openxmlformats.org/officeDocument/2006/relationships/table" Target="/xl/tables/table45.xml" Id="Rdad06cfb68df4e5a" /></Relationships>
</file>

<file path=xl/worksheets/_rels/sheet46.xml.rels>&#65279;<?xml version="1.0" encoding="utf-8"?><Relationships xmlns="http://schemas.openxmlformats.org/package/2006/relationships"><Relationship Type="http://schemas.openxmlformats.org/officeDocument/2006/relationships/table" Target="/xl/tables/table46.xml" Id="Rc55741319b9a43e6" /></Relationships>
</file>

<file path=xl/worksheets/_rels/sheet47.xml.rels>&#65279;<?xml version="1.0" encoding="utf-8"?><Relationships xmlns="http://schemas.openxmlformats.org/package/2006/relationships"><Relationship Type="http://schemas.openxmlformats.org/officeDocument/2006/relationships/table" Target="/xl/tables/table47.xml" Id="R809653f863df41ee" /></Relationships>
</file>

<file path=xl/worksheets/_rels/sheet48.xml.rels>&#65279;<?xml version="1.0" encoding="utf-8"?><Relationships xmlns="http://schemas.openxmlformats.org/package/2006/relationships"><Relationship Type="http://schemas.openxmlformats.org/officeDocument/2006/relationships/table" Target="/xl/tables/table48.xml" Id="Rc946c8560d8c4b1c" /></Relationships>
</file>

<file path=xl/worksheets/_rels/sheet49.xml.rels>&#65279;<?xml version="1.0" encoding="utf-8"?><Relationships xmlns="http://schemas.openxmlformats.org/package/2006/relationships"><Relationship Type="http://schemas.openxmlformats.org/officeDocument/2006/relationships/table" Target="/xl/tables/table49.xml" Id="R9b67aec99f2e4d35" /></Relationships>
</file>

<file path=xl/worksheets/_rels/sheet50.xml.rels>&#65279;<?xml version="1.0" encoding="utf-8"?><Relationships xmlns="http://schemas.openxmlformats.org/package/2006/relationships"><Relationship Type="http://schemas.openxmlformats.org/officeDocument/2006/relationships/table" Target="/xl/tables/table50.xml" Id="R94bffd7e74674c6a" /></Relationships>
</file>

<file path=xl/worksheets/_rels/sheet51.xml.rels>&#65279;<?xml version="1.0" encoding="utf-8"?><Relationships xmlns="http://schemas.openxmlformats.org/package/2006/relationships"><Relationship Type="http://schemas.openxmlformats.org/officeDocument/2006/relationships/table" Target="/xl/tables/table51.xml" Id="Rd36dc81ad01c423f" /></Relationships>
</file>

<file path=xl/worksheets/_rels/sheet52.xml.rels>&#65279;<?xml version="1.0" encoding="utf-8"?><Relationships xmlns="http://schemas.openxmlformats.org/package/2006/relationships"><Relationship Type="http://schemas.openxmlformats.org/officeDocument/2006/relationships/table" Target="/xl/tables/table52.xml" Id="Rb31fcd2975924581" /></Relationships>
</file>

<file path=xl/worksheets/_rels/sheet53.xml.rels>&#65279;<?xml version="1.0" encoding="utf-8"?><Relationships xmlns="http://schemas.openxmlformats.org/package/2006/relationships"><Relationship Type="http://schemas.openxmlformats.org/officeDocument/2006/relationships/table" Target="/xl/tables/table53.xml" Id="Rc3425ff29c2f4406" /></Relationships>
</file>

<file path=xl/worksheets/_rels/sheet54.xml.rels>&#65279;<?xml version="1.0" encoding="utf-8"?><Relationships xmlns="http://schemas.openxmlformats.org/package/2006/relationships"><Relationship Type="http://schemas.openxmlformats.org/officeDocument/2006/relationships/table" Target="/xl/tables/table54.xml" Id="Rf1c911db80b74145" /></Relationships>
</file>

<file path=xl/worksheets/_rels/sheet55.xml.rels>&#65279;<?xml version="1.0" encoding="utf-8"?><Relationships xmlns="http://schemas.openxmlformats.org/package/2006/relationships"><Relationship Type="http://schemas.openxmlformats.org/officeDocument/2006/relationships/table" Target="/xl/tables/table55.xml" Id="R191baa27db4644de" /></Relationships>
</file>

<file path=xl/worksheets/_rels/sheet56.xml.rels>&#65279;<?xml version="1.0" encoding="utf-8"?><Relationships xmlns="http://schemas.openxmlformats.org/package/2006/relationships"><Relationship Type="http://schemas.openxmlformats.org/officeDocument/2006/relationships/table" Target="/xl/tables/table56.xml" Id="Raaf63880df8143b5" /></Relationships>
</file>

<file path=xl/worksheets/_rels/sheet57.xml.rels>&#65279;<?xml version="1.0" encoding="utf-8"?><Relationships xmlns="http://schemas.openxmlformats.org/package/2006/relationships"><Relationship Type="http://schemas.openxmlformats.org/officeDocument/2006/relationships/table" Target="/xl/tables/table57.xml" Id="R01e7261bbd864c90" /></Relationships>
</file>

<file path=xl/worksheets/_rels/sheet58.xml.rels>&#65279;<?xml version="1.0" encoding="utf-8"?><Relationships xmlns="http://schemas.openxmlformats.org/package/2006/relationships"><Relationship Type="http://schemas.openxmlformats.org/officeDocument/2006/relationships/table" Target="/xl/tables/table58.xml" Id="R6c3fac3507fa4830" /></Relationships>
</file>

<file path=xl/worksheets/_rels/sheet59.xml.rels>&#65279;<?xml version="1.0" encoding="utf-8"?><Relationships xmlns="http://schemas.openxmlformats.org/package/2006/relationships"><Relationship Type="http://schemas.openxmlformats.org/officeDocument/2006/relationships/table" Target="/xl/tables/table59.xml" Id="R24c5c9c6858b4a46" /></Relationships>
</file>

<file path=xl/worksheets/_rels/sheet60.xml.rels>&#65279;<?xml version="1.0" encoding="utf-8"?><Relationships xmlns="http://schemas.openxmlformats.org/package/2006/relationships"><Relationship Type="http://schemas.openxmlformats.org/officeDocument/2006/relationships/table" Target="/xl/tables/table60.xml" Id="R3f1ebe8008c845a9" /></Relationships>
</file>

<file path=xl/worksheets/_rels/sheet61.xml.rels>&#65279;<?xml version="1.0" encoding="utf-8"?><Relationships xmlns="http://schemas.openxmlformats.org/package/2006/relationships"><Relationship Type="http://schemas.openxmlformats.org/officeDocument/2006/relationships/table" Target="/xl/tables/table61.xml" Id="R8da9311b22504bc7" /></Relationships>
</file>

<file path=xl/worksheets/_rels/sheet62.xml.rels>&#65279;<?xml version="1.0" encoding="utf-8"?><Relationships xmlns="http://schemas.openxmlformats.org/package/2006/relationships"><Relationship Type="http://schemas.openxmlformats.org/officeDocument/2006/relationships/table" Target="/xl/tables/table62.xml" Id="Ree1526ed523149d2" /></Relationships>
</file>

<file path=xl/worksheets/_rels/sheet63.xml.rels>&#65279;<?xml version="1.0" encoding="utf-8"?><Relationships xmlns="http://schemas.openxmlformats.org/package/2006/relationships"><Relationship Type="http://schemas.openxmlformats.org/officeDocument/2006/relationships/table" Target="/xl/tables/table63.xml" Id="Ree39216419ec45b7" /></Relationships>
</file>

<file path=xl/worksheets/_rels/sheet64.xml.rels>&#65279;<?xml version="1.0" encoding="utf-8"?><Relationships xmlns="http://schemas.openxmlformats.org/package/2006/relationships"><Relationship Type="http://schemas.openxmlformats.org/officeDocument/2006/relationships/table" Target="/xl/tables/table64.xml" Id="Rf3d457bb880e4844" /></Relationships>
</file>

<file path=xl/worksheets/_rels/sheet65.xml.rels>&#65279;<?xml version="1.0" encoding="utf-8"?><Relationships xmlns="http://schemas.openxmlformats.org/package/2006/relationships"><Relationship Type="http://schemas.openxmlformats.org/officeDocument/2006/relationships/table" Target="/xl/tables/table65.xml" Id="R7ef1ccd4c9e74946" /></Relationships>
</file>

<file path=xl/worksheets/_rels/sheet66.xml.rels>&#65279;<?xml version="1.0" encoding="utf-8"?><Relationships xmlns="http://schemas.openxmlformats.org/package/2006/relationships"><Relationship Type="http://schemas.openxmlformats.org/officeDocument/2006/relationships/table" Target="/xl/tables/table66.xml" Id="Rdc0226d0b77d43ee" /></Relationships>
</file>

<file path=xl/worksheets/_rels/sheet67.xml.rels>&#65279;<?xml version="1.0" encoding="utf-8"?><Relationships xmlns="http://schemas.openxmlformats.org/package/2006/relationships"><Relationship Type="http://schemas.openxmlformats.org/officeDocument/2006/relationships/table" Target="/xl/tables/table67.xml" Id="R30654eeb52d3441a" /></Relationships>
</file>

<file path=xl/worksheets/_rels/sheet68.xml.rels>&#65279;<?xml version="1.0" encoding="utf-8"?><Relationships xmlns="http://schemas.openxmlformats.org/package/2006/relationships"><Relationship Type="http://schemas.openxmlformats.org/officeDocument/2006/relationships/table" Target="/xl/tables/table68.xml" Id="R7d8e8defa09e42d0" /></Relationships>
</file>

<file path=xl/worksheets/_rels/sheet69.xml.rels>&#65279;<?xml version="1.0" encoding="utf-8"?><Relationships xmlns="http://schemas.openxmlformats.org/package/2006/relationships"><Relationship Type="http://schemas.openxmlformats.org/officeDocument/2006/relationships/table" Target="/xl/tables/table69.xml" Id="Rc348f46083c249ea" /></Relationships>
</file>

<file path=xl/worksheets/_rels/sheet70.xml.rels>&#65279;<?xml version="1.0" encoding="utf-8"?><Relationships xmlns="http://schemas.openxmlformats.org/package/2006/relationships"><Relationship Type="http://schemas.openxmlformats.org/officeDocument/2006/relationships/table" Target="/xl/tables/table70.xml" Id="R7dc309374abe44a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5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</x:cols>
  <x:sheetData>
    <x:row r="1" ht="24" customHeight="1">
      <x:c r="A1" s="3" t="str">
        <x:v>傾きに比例する枚数配分の比較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4" customHeight="1">
      <x:c r="A2" s="4" t="str">
        <x:v>2026/09/21〜10/26デイ・51完了場。日経mini／TOPIXmini各上限10枚・手数料0。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4" customHeight="1">
      <x:c r="A3" s="4" t="str">
        <x:v>同じ入口・出口で数量だけを比較できるのはM09／F01／F10。M12は途中増減も変更。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24" customHeight="1">
      <x:c r="A4" s="4" t="str">
        <x:v>利益・損失＝FIFO返済配賦別。親＝初回から全返済まで。ラージ気配による模型で、mini実約定の検証ではありません。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42" customHeight="1">
      <x:c r="A5" s="10" t="str">
        <x:v>銘柄・手法</x:v>
      </x:c>
      <x:c r="B5" s="10" t="str">
        <x:v>簡単な説明</x:v>
      </x:c>
      <x:c r="C5" s="10" t="str">
        <x:v>総利益（円）</x:v>
      </x:c>
      <x:c r="D5" s="10" t="str">
        <x:v>総損失（円）</x:v>
      </x:c>
      <x:c r="E5" s="10" t="str">
        <x:v>収支（円）</x:v>
      </x:c>
      <x:c r="F5" s="10" t="str">
        <x:v>利益／損失</x:v>
      </x:c>
      <x:c r="G5" s="10" t="str">
        <x:v>黒字場数</x:v>
      </x:c>
      <x:c r="H5" s="10" t="str">
        <x:v>赤字場数</x:v>
      </x:c>
      <x:c r="I5" s="10" t="str">
        <x:v>無取引場数</x:v>
      </x:c>
      <x:c r="J5" s="10" t="str">
        <x:v>最大赤字（円）</x:v>
      </x:c>
      <x:c r="K5" s="10" t="str">
        <x:v>平均赤字（円）</x:v>
      </x:c>
      <x:c r="L5" s="10" t="str">
        <x:v>赤字中央値（円）</x:v>
      </x:c>
      <x:c r="M5" s="10" t="str">
        <x:v>上位3黒字除外</x:v>
      </x:c>
      <x:c r="N5" s="10" t="str">
        <x:v>デイ収支（円）</x:v>
      </x:c>
      <x:c r="O5" s="10" t="str">
        <x:v>ナイト収支（円）</x:v>
      </x:c>
      <x:c r="P5" s="10" t="str">
        <x:v>初回件数</x:v>
      </x:c>
    </x:row>
    <x:row r="6" ht="44" customHeight="1">
      <x:c r="A6" s="2" t="str">
        <x:v>日経_R01</x:v>
      </x:c>
      <x:c r="B6" s="19" t="str">
        <x:v>3分MA・初回は傾き比例枚数・返済後は冷却して再参加・利益の伸びを追尾／D出口</x:v>
      </x:c>
      <x:c r="C6" s="6" t="n">
        <x:f>'日経_R01'!C57</x:f>
        <x:v>17279000</x:v>
      </x:c>
      <x:c r="D6" s="6" t="n">
        <x:f>'日経_R01'!D57</x:f>
        <x:v>50151000</x:v>
      </x:c>
      <x:c r="E6" s="6" t="n">
        <x:f>'日経_R01'!E57</x:f>
        <x:v>-32872000</x:v>
      </x:c>
      <x:c r="F6" s="20" t="n">
        <x:f>IF(D6=0,"",C6/D6)</x:f>
        <x:v>0.3445394907379713</x:v>
      </x:c>
      <x:c r="G6" s="6" t="n">
        <x:f>COUNTIFS('日経_R01'!$E$6:$E$56,"&gt;0")</x:f>
        <x:v>0</x:v>
      </x:c>
      <x:c r="H6" s="6" t="n">
        <x:f>COUNTIFS('日経_R01'!$E$6:$E$56,"&lt;0")</x:f>
        <x:v>51</x:v>
      </x:c>
      <x:c r="I6" s="6" t="n">
        <x:f>COUNTIFS('日経_R01'!$I$6:$I$56,0)</x:f>
        <x:v>0</x:v>
      </x:c>
      <x:c r="J6" s="6" t="n">
        <x:f>MAX(0,-MIN('日経_R01'!$E$6:$E$56))</x:f>
        <x:v>1646000</x:v>
      </x:c>
      <x:c r="K6" s="6" t="n">
        <x:f>IF(H6=0,"",-SUMIFS('日経_R01'!$E$6:$E$56,'日経_R01'!$E$6:$E$56,"&lt;0")/H6)</x:f>
        <x:v>644549.0196078431</x:v>
      </x:c>
      <x:c r="L6" s="6" t="n">
        <x:v>580000</x:v>
      </x:c>
      <x:c r="M6" s="6" t="n">
        <x:f>E6-MAX(0,LARGE('日経_R01'!$E$6:$E$56,1))-MAX(0,LARGE('日経_R01'!$E$6:$E$56,2))-MAX(0,LARGE('日経_R01'!$E$6:$E$56,3))</x:f>
        <x:v>-32872000</x:v>
      </x:c>
      <x:c r="N6" s="6" t="n">
        <x:f>SUMIFS('日経_R01'!$E$6:$E$56,'日経_R01'!$B$6:$B$56,"デイ")</x:f>
        <x:v>-11777000</x:v>
      </x:c>
      <x:c r="O6" s="6" t="n">
        <x:f>SUMIFS('日経_R01'!$E$6:$E$56,'日経_R01'!$B$6:$B$56,"ナイト")</x:f>
        <x:v>-21095000</x:v>
      </x:c>
      <x:c r="P6" s="6" t="n">
        <x:f>'日経_R01'!I57</x:f>
        <x:v>8015</x:v>
      </x:c>
    </x:row>
    <x:row r="7" ht="44" customHeight="1">
      <x:c r="A7" s="2" t="str">
        <x:v>日経_R02</x:v>
      </x:c>
      <x:c r="B7" s="19" t="str">
        <x:v>3分MA・冷却後に再参加・価格位置と1分傾きも確認・初回比例枚数／D出口</x:v>
      </x:c>
      <x:c r="C7" s="6" t="n">
        <x:f>'日経_R02'!C57</x:f>
        <x:v>17945000</x:v>
      </x:c>
      <x:c r="D7" s="6" t="n">
        <x:f>'日経_R02'!D57</x:f>
        <x:v>50469000</x:v>
      </x:c>
      <x:c r="E7" s="6" t="n">
        <x:f>'日経_R02'!E57</x:f>
        <x:v>-32524000</x:v>
      </x:c>
      <x:c r="F7" s="20" t="n">
        <x:f>IF(D7=0,"",C7/D7)</x:f>
        <x:v>0.3555648021557788</x:v>
      </x:c>
      <x:c r="G7" s="6" t="n">
        <x:f>COUNTIFS('日経_R02'!$E$6:$E$56,"&gt;0")</x:f>
        <x:v>0</x:v>
      </x:c>
      <x:c r="H7" s="6" t="n">
        <x:f>COUNTIFS('日経_R02'!$E$6:$E$56,"&lt;0")</x:f>
        <x:v>51</x:v>
      </x:c>
      <x:c r="I7" s="6" t="n">
        <x:f>COUNTIFS('日経_R02'!$I$6:$I$56,0)</x:f>
        <x:v>0</x:v>
      </x:c>
      <x:c r="J7" s="6" t="n">
        <x:f>MAX(0,-MIN('日経_R02'!$E$6:$E$56))</x:f>
        <x:v>1477000</x:v>
      </x:c>
      <x:c r="K7" s="6" t="n">
        <x:f>IF(H7=0,"",-SUMIFS('日経_R02'!$E$6:$E$56,'日経_R02'!$E$6:$E$56,"&lt;0")/H7)</x:f>
        <x:v>637725.4901960784</x:v>
      </x:c>
      <x:c r="L7" s="6" t="n">
        <x:v>621000</x:v>
      </x:c>
      <x:c r="M7" s="6" t="n">
        <x:f>E7-MAX(0,LARGE('日経_R02'!$E$6:$E$56,1))-MAX(0,LARGE('日経_R02'!$E$6:$E$56,2))-MAX(0,LARGE('日経_R02'!$E$6:$E$56,3))</x:f>
        <x:v>-32524000</x:v>
      </x:c>
      <x:c r="N7" s="6" t="n">
        <x:f>SUMIFS('日経_R02'!$E$6:$E$56,'日経_R02'!$B$6:$B$56,"デイ")</x:f>
        <x:v>-12375000</x:v>
      </x:c>
      <x:c r="O7" s="6" t="n">
        <x:f>SUMIFS('日経_R02'!$E$6:$E$56,'日経_R02'!$B$6:$B$56,"ナイト")</x:f>
        <x:v>-20149000</x:v>
      </x:c>
      <x:c r="P7" s="6" t="n">
        <x:f>'日経_R02'!I57</x:f>
        <x:v>7196</x:v>
      </x:c>
    </x:row>
    <x:row r="8" ht="44" customHeight="1">
      <x:c r="A8" s="2" t="str">
        <x:v>日経_R03</x:v>
      </x:c>
      <x:c r="B8" s="19" t="str">
        <x:v>3分MA・冷却後に再参加・価格と1分傾き確認・保有中も比例枚数へ増減／D出口</x:v>
      </x:c>
      <x:c r="C8" s="6" t="n">
        <x:f>'日経_R03'!C57</x:f>
        <x:v>33994000</x:v>
      </x:c>
      <x:c r="D8" s="6" t="n">
        <x:f>'日経_R03'!D57</x:f>
        <x:v>114686000</x:v>
      </x:c>
      <x:c r="E8" s="6" t="n">
        <x:f>'日経_R03'!E57</x:f>
        <x:v>-80692000</x:v>
      </x:c>
      <x:c r="F8" s="20" t="n">
        <x:f>IF(D8=0,"",C8/D8)</x:f>
        <x:v>0.2964093263345134</x:v>
      </x:c>
      <x:c r="G8" s="6" t="n">
        <x:f>COUNTIFS('日経_R03'!$E$6:$E$56,"&gt;0")</x:f>
        <x:v>0</x:v>
      </x:c>
      <x:c r="H8" s="6" t="n">
        <x:f>COUNTIFS('日経_R03'!$E$6:$E$56,"&lt;0")</x:f>
        <x:v>51</x:v>
      </x:c>
      <x:c r="I8" s="6" t="n">
        <x:f>COUNTIFS('日経_R03'!$I$6:$I$56,0)</x:f>
        <x:v>0</x:v>
      </x:c>
      <x:c r="J8" s="6" t="n">
        <x:f>MAX(0,-MIN('日経_R03'!$E$6:$E$56))</x:f>
        <x:v>2842000</x:v>
      </x:c>
      <x:c r="K8" s="6" t="n">
        <x:f>IF(H8=0,"",-SUMIFS('日経_R03'!$E$6:$E$56,'日経_R03'!$E$6:$E$56,"&lt;0")/H8)</x:f>
        <x:v>1582196.0784313725</x:v>
      </x:c>
      <x:c r="L8" s="6" t="n">
        <x:v>1513000</x:v>
      </x:c>
      <x:c r="M8" s="6" t="n">
        <x:f>E8-MAX(0,LARGE('日経_R03'!$E$6:$E$56,1))-MAX(0,LARGE('日経_R03'!$E$6:$E$56,2))-MAX(0,LARGE('日経_R03'!$E$6:$E$56,3))</x:f>
        <x:v>-80692000</x:v>
      </x:c>
      <x:c r="N8" s="6" t="n">
        <x:f>SUMIFS('日経_R03'!$E$6:$E$56,'日経_R03'!$B$6:$B$56,"デイ")</x:f>
        <x:v>-35920000</x:v>
      </x:c>
      <x:c r="O8" s="6" t="n">
        <x:f>SUMIFS('日経_R03'!$E$6:$E$56,'日経_R03'!$B$6:$B$56,"ナイト")</x:f>
        <x:v>-44772000</x:v>
      </x:c>
      <x:c r="P8" s="6" t="n">
        <x:f>'日経_R03'!I57</x:f>
        <x:v>7196</x:v>
      </x:c>
    </x:row>
    <x:row r="9" ht="44" customHeight="1">
      <x:c r="A9" s="2" t="str">
        <x:v>日経_R04</x:v>
      </x:c>
      <x:c r="B9" s="19" t="str">
        <x:v>3分MA・冷却後に再参加・価格と1分傾き確認・利益方向だけ追加・2枚差で増減／D出口</x:v>
      </x:c>
      <x:c r="C9" s="6" t="n">
        <x:f>'日経_R04'!C57</x:f>
        <x:v>25719000</x:v>
      </x:c>
      <x:c r="D9" s="6" t="n">
        <x:f>'日経_R04'!D57</x:f>
        <x:v>85263000</x:v>
      </x:c>
      <x:c r="E9" s="6" t="n">
        <x:f>'日経_R04'!E57</x:f>
        <x:v>-59544000</x:v>
      </x:c>
      <x:c r="F9" s="20" t="n">
        <x:f>IF(D9=0,"",C9/D9)</x:f>
        <x:v>0.3016431511910207</x:v>
      </x:c>
      <x:c r="G9" s="6" t="n">
        <x:f>COUNTIFS('日経_R04'!$E$6:$E$56,"&gt;0")</x:f>
        <x:v>0</x:v>
      </x:c>
      <x:c r="H9" s="6" t="n">
        <x:f>COUNTIFS('日経_R04'!$E$6:$E$56,"&lt;0")</x:f>
        <x:v>51</x:v>
      </x:c>
      <x:c r="I9" s="6" t="n">
        <x:f>COUNTIFS('日経_R04'!$I$6:$I$56,0)</x:f>
        <x:v>0</x:v>
      </x:c>
      <x:c r="J9" s="6" t="n">
        <x:f>MAX(0,-MIN('日経_R04'!$E$6:$E$56))</x:f>
        <x:v>2168000</x:v>
      </x:c>
      <x:c r="K9" s="6" t="n">
        <x:f>IF(H9=0,"",-SUMIFS('日経_R04'!$E$6:$E$56,'日経_R04'!$E$6:$E$56,"&lt;0")/H9)</x:f>
        <x:v>1167529.4117647058</x:v>
      </x:c>
      <x:c r="L9" s="6" t="n">
        <x:v>1130000</x:v>
      </x:c>
      <x:c r="M9" s="6" t="n">
        <x:f>E9-MAX(0,LARGE('日経_R04'!$E$6:$E$56,1))-MAX(0,LARGE('日経_R04'!$E$6:$E$56,2))-MAX(0,LARGE('日経_R04'!$E$6:$E$56,3))</x:f>
        <x:v>-59544000</x:v>
      </x:c>
      <x:c r="N9" s="6" t="n">
        <x:f>SUMIFS('日経_R04'!$E$6:$E$56,'日経_R04'!$B$6:$B$56,"デイ")</x:f>
        <x:v>-25260000</x:v>
      </x:c>
      <x:c r="O9" s="6" t="n">
        <x:f>SUMIFS('日経_R04'!$E$6:$E$56,'日経_R04'!$B$6:$B$56,"ナイト")</x:f>
        <x:v>-34284000</x:v>
      </x:c>
      <x:c r="P9" s="6" t="n">
        <x:f>'日経_R04'!I57</x:f>
        <x:v>7196</x:v>
      </x:c>
    </x:row>
    <x:row r="10" ht="44" customHeight="1">
      <x:c r="A10" s="2" t="str">
        <x:v>日経_R05</x:v>
      </x:c>
      <x:c r="B10" s="19" t="str">
        <x:v>10分MA・初回は傾き比例枚数・返済後は冷却して再参加・利益の伸びを追尾／T出口</x:v>
      </x:c>
      <x:c r="C10" s="6" t="n">
        <x:f>'日経_R05'!C57</x:f>
        <x:v>6025000</x:v>
      </x:c>
      <x:c r="D10" s="6" t="n">
        <x:f>'日経_R05'!D57</x:f>
        <x:v>11045000</x:v>
      </x:c>
      <x:c r="E10" s="6" t="n">
        <x:f>'日経_R05'!E57</x:f>
        <x:v>-5020000</x:v>
      </x:c>
      <x:c r="F10" s="20" t="n">
        <x:f>IF(D10=0,"",C10/D10)</x:f>
        <x:v>0.5454956994114984</x:v>
      </x:c>
      <x:c r="G10" s="6" t="n">
        <x:f>COUNTIFS('日経_R05'!$E$6:$E$56,"&gt;0")</x:f>
        <x:v>7</x:v>
      </x:c>
      <x:c r="H10" s="6" t="n">
        <x:f>COUNTIFS('日経_R05'!$E$6:$E$56,"&lt;0")</x:f>
        <x:v>44</x:v>
      </x:c>
      <x:c r="I10" s="6" t="n">
        <x:f>COUNTIFS('日経_R05'!$I$6:$I$56,0)</x:f>
        <x:v>0</x:v>
      </x:c>
      <x:c r="J10" s="6" t="n">
        <x:f>MAX(0,-MIN('日経_R05'!$E$6:$E$56))</x:f>
        <x:v>322000</x:v>
      </x:c>
      <x:c r="K10" s="6" t="n">
        <x:f>IF(H10=0,"",-SUMIFS('日経_R05'!$E$6:$E$56,'日経_R05'!$E$6:$E$56,"&lt;0")/H10)</x:f>
        <x:v>119886.36363636363</x:v>
      </x:c>
      <x:c r="L10" s="6" t="n">
        <x:v>98500</x:v>
      </x:c>
      <x:c r="M10" s="6" t="n">
        <x:f>E10-MAX(0,LARGE('日経_R05'!$E$6:$E$56,1))-MAX(0,LARGE('日経_R05'!$E$6:$E$56,2))-MAX(0,LARGE('日経_R05'!$E$6:$E$56,3))</x:f>
        <x:v>-5175000</x:v>
      </x:c>
      <x:c r="N10" s="6" t="n">
        <x:f>SUMIFS('日経_R05'!$E$6:$E$56,'日経_R05'!$B$6:$B$56,"デイ")</x:f>
        <x:v>-2295000</x:v>
      </x:c>
      <x:c r="O10" s="6" t="n">
        <x:f>SUMIFS('日経_R05'!$E$6:$E$56,'日経_R05'!$B$6:$B$56,"ナイト")</x:f>
        <x:v>-2725000</x:v>
      </x:c>
      <x:c r="P10" s="6" t="n">
        <x:f>'日経_R05'!I57</x:f>
        <x:v>1861</x:v>
      </x:c>
    </x:row>
    <x:row r="11" ht="44" customHeight="1">
      <x:c r="A11" s="2" t="str">
        <x:v>日経_R06</x:v>
      </x:c>
      <x:c r="B11" s="19" t="str">
        <x:v>10分MA・冷却後に再参加・価格位置と1分傾きも確認・初回比例枚数／T出口</x:v>
      </x:c>
      <x:c r="C11" s="6" t="n">
        <x:f>'日経_R06'!C57</x:f>
        <x:v>5684000</x:v>
      </x:c>
      <x:c r="D11" s="6" t="n">
        <x:f>'日経_R06'!D57</x:f>
        <x:v>10372000</x:v>
      </x:c>
      <x:c r="E11" s="6" t="n">
        <x:f>'日経_R06'!E57</x:f>
        <x:v>-4688000</x:v>
      </x:c>
      <x:c r="F11" s="20" t="n">
        <x:f>IF(D11=0,"",C11/D11)</x:f>
        <x:v>0.5480138835325877</x:v>
      </x:c>
      <x:c r="G11" s="6" t="n">
        <x:f>COUNTIFS('日経_R06'!$E$6:$E$56,"&gt;0")</x:f>
        <x:v>6</x:v>
      </x:c>
      <x:c r="H11" s="6" t="n">
        <x:f>COUNTIFS('日経_R06'!$E$6:$E$56,"&lt;0")</x:f>
        <x:v>44</x:v>
      </x:c>
      <x:c r="I11" s="6" t="n">
        <x:f>COUNTIFS('日経_R06'!$I$6:$I$56,0)</x:f>
        <x:v>0</x:v>
      </x:c>
      <x:c r="J11" s="6" t="n">
        <x:f>MAX(0,-MIN('日経_R06'!$E$6:$E$56))</x:f>
        <x:v>279000</x:v>
      </x:c>
      <x:c r="K11" s="6" t="n">
        <x:f>IF(H11=0,"",-SUMIFS('日経_R06'!$E$6:$E$56,'日経_R06'!$E$6:$E$56,"&lt;0")/H11)</x:f>
        <x:v>111022.72727272728</x:v>
      </x:c>
      <x:c r="L11" s="6" t="n">
        <x:v>101500</x:v>
      </x:c>
      <x:c r="M11" s="6" t="n">
        <x:f>E11-MAX(0,LARGE('日経_R06'!$E$6:$E$56,1))-MAX(0,LARGE('日経_R06'!$E$6:$E$56,2))-MAX(0,LARGE('日経_R06'!$E$6:$E$56,3))</x:f>
        <x:v>-4826000</x:v>
      </x:c>
      <x:c r="N11" s="6" t="n">
        <x:f>SUMIFS('日経_R06'!$E$6:$E$56,'日経_R06'!$B$6:$B$56,"デイ")</x:f>
        <x:v>-2244000</x:v>
      </x:c>
      <x:c r="O11" s="6" t="n">
        <x:f>SUMIFS('日経_R06'!$E$6:$E$56,'日経_R06'!$B$6:$B$56,"ナイト")</x:f>
        <x:v>-2444000</x:v>
      </x:c>
      <x:c r="P11" s="6" t="n">
        <x:f>'日経_R06'!I57</x:f>
        <x:v>1778</x:v>
      </x:c>
    </x:row>
    <x:row r="12" ht="44" customHeight="1">
      <x:c r="A12" s="2" t="str">
        <x:v>日経_R07</x:v>
      </x:c>
      <x:c r="B12" s="19" t="str">
        <x:v>10分MA・冷却後に再参加・価格と1分傾き確認・保有中も比例枚数へ増減／T出口</x:v>
      </x:c>
      <x:c r="C12" s="6" t="n">
        <x:f>'日経_R07'!C57</x:f>
        <x:v>9915000</x:v>
      </x:c>
      <x:c r="D12" s="6" t="n">
        <x:f>'日経_R07'!D57</x:f>
        <x:v>23256000</x:v>
      </x:c>
      <x:c r="E12" s="6" t="n">
        <x:f>'日経_R07'!E57</x:f>
        <x:v>-13341000</x:v>
      </x:c>
      <x:c r="F12" s="20" t="n">
        <x:f>IF(D12=0,"",C12/D12)</x:f>
        <x:v>0.4263415892672859</x:v>
      </x:c>
      <x:c r="G12" s="6" t="n">
        <x:f>COUNTIFS('日経_R07'!$E$6:$E$56,"&gt;0")</x:f>
        <x:v>0</x:v>
      </x:c>
      <x:c r="H12" s="6" t="n">
        <x:f>COUNTIFS('日経_R07'!$E$6:$E$56,"&lt;0")</x:f>
        <x:v>51</x:v>
      </x:c>
      <x:c r="I12" s="6" t="n">
        <x:f>COUNTIFS('日経_R07'!$I$6:$I$56,0)</x:f>
        <x:v>0</x:v>
      </x:c>
      <x:c r="J12" s="6" t="n">
        <x:f>MAX(0,-MIN('日経_R07'!$E$6:$E$56))</x:f>
        <x:v>570000</x:v>
      </x:c>
      <x:c r="K12" s="6" t="n">
        <x:f>IF(H12=0,"",-SUMIFS('日経_R07'!$E$6:$E$56,'日経_R07'!$E$6:$E$56,"&lt;0")/H12)</x:f>
        <x:v>261588.23529411765</x:v>
      </x:c>
      <x:c r="L12" s="6" t="n">
        <x:v>260000</x:v>
      </x:c>
      <x:c r="M12" s="6" t="n">
        <x:f>E12-MAX(0,LARGE('日経_R07'!$E$6:$E$56,1))-MAX(0,LARGE('日経_R07'!$E$6:$E$56,2))-MAX(0,LARGE('日経_R07'!$E$6:$E$56,3))</x:f>
        <x:v>-13341000</x:v>
      </x:c>
      <x:c r="N12" s="6" t="n">
        <x:f>SUMIFS('日経_R07'!$E$6:$E$56,'日経_R07'!$B$6:$B$56,"デイ")</x:f>
        <x:v>-6104000</x:v>
      </x:c>
      <x:c r="O12" s="6" t="n">
        <x:f>SUMIFS('日経_R07'!$E$6:$E$56,'日経_R07'!$B$6:$B$56,"ナイト")</x:f>
        <x:v>-7237000</x:v>
      </x:c>
      <x:c r="P12" s="6" t="n">
        <x:f>'日経_R07'!I57</x:f>
        <x:v>1778</x:v>
      </x:c>
    </x:row>
    <x:row r="13" ht="44" customHeight="1">
      <x:c r="A13" s="2" t="str">
        <x:v>日経_R08</x:v>
      </x:c>
      <x:c r="B13" s="19" t="str">
        <x:v>10分MA・冷却後に再参加・価格と1分傾き確認・利益方向だけ追加・2枚差で増減／T出口</x:v>
      </x:c>
      <x:c r="C13" s="6" t="n">
        <x:f>'日経_R08'!C57</x:f>
        <x:v>7613000</x:v>
      </x:c>
      <x:c r="D13" s="6" t="n">
        <x:f>'日経_R08'!D57</x:f>
        <x:v>16672000</x:v>
      </x:c>
      <x:c r="E13" s="6" t="n">
        <x:f>'日経_R08'!E57</x:f>
        <x:v>-9059000</x:v>
      </x:c>
      <x:c r="F13" s="20" t="n">
        <x:f>IF(D13=0,"",C13/D13)</x:f>
        <x:v>0.45663387715930903</x:v>
      </x:c>
      <x:c r="G13" s="6" t="n">
        <x:f>COUNTIFS('日経_R08'!$E$6:$E$56,"&gt;0")</x:f>
        <x:v>2</x:v>
      </x:c>
      <x:c r="H13" s="6" t="n">
        <x:f>COUNTIFS('日経_R08'!$E$6:$E$56,"&lt;0")</x:f>
        <x:v>49</x:v>
      </x:c>
      <x:c r="I13" s="6" t="n">
        <x:f>COUNTIFS('日経_R08'!$I$6:$I$56,0)</x:f>
        <x:v>0</x:v>
      </x:c>
      <x:c r="J13" s="6" t="n">
        <x:f>MAX(0,-MIN('日経_R08'!$E$6:$E$56))</x:f>
        <x:v>470000</x:v>
      </x:c>
      <x:c r="K13" s="6" t="n">
        <x:f>IF(H13=0,"",-SUMIFS('日経_R08'!$E$6:$E$56,'日経_R08'!$E$6:$E$56,"&lt;0")/H13)</x:f>
        <x:v>186367.3469387755</x:v>
      </x:c>
      <x:c r="L13" s="6" t="n">
        <x:v>177000</x:v>
      </x:c>
      <x:c r="M13" s="6" t="n">
        <x:f>E13-MAX(0,LARGE('日経_R08'!$E$6:$E$56,1))-MAX(0,LARGE('日経_R08'!$E$6:$E$56,2))-MAX(0,LARGE('日経_R08'!$E$6:$E$56,3))</x:f>
        <x:v>-9132000</x:v>
      </x:c>
      <x:c r="N13" s="6" t="n">
        <x:f>SUMIFS('日経_R08'!$E$6:$E$56,'日経_R08'!$B$6:$B$56,"デイ")</x:f>
        <x:v>-4071000</x:v>
      </x:c>
      <x:c r="O13" s="6" t="n">
        <x:f>SUMIFS('日経_R08'!$E$6:$E$56,'日経_R08'!$B$6:$B$56,"ナイト")</x:f>
        <x:v>-4988000</x:v>
      </x:c>
      <x:c r="P13" s="6" t="n">
        <x:f>'日経_R08'!I57</x:f>
        <x:v>1778</x:v>
      </x:c>
    </x:row>
    <x:row r="14" ht="44" customHeight="1">
      <x:c r="A14" s="2" t="str">
        <x:v>日経_M01</x:v>
      </x:c>
      <x:c r="B14" s="19" t="str">
        <x:v>60秒の時間加重平均を30秒前と比較。入口だけ傾き比例枚数、利益追尾で返済。</x:v>
      </x:c>
      <x:c r="C14" s="6" t="n">
        <x:f>'日経_M01'!C57</x:f>
        <x:v>95431000</x:v>
      </x:c>
      <x:c r="D14" s="6" t="n">
        <x:f>'日経_M01'!D57</x:f>
        <x:v>171290000</x:v>
      </x:c>
      <x:c r="E14" s="6" t="n">
        <x:f>'日経_M01'!E57</x:f>
        <x:v>-75859000</x:v>
      </x:c>
      <x:c r="F14" s="20" t="n">
        <x:f>IF(D14=0,"",C14/D14)</x:f>
        <x:v>0.5571311810380057</x:v>
      </x:c>
      <x:c r="G14" s="6" t="n">
        <x:f>COUNTIFS('日経_M01'!$E$6:$E$56,"&gt;0")</x:f>
        <x:v>2</x:v>
      </x:c>
      <x:c r="H14" s="6" t="n">
        <x:f>COUNTIFS('日経_M01'!$E$6:$E$56,"&lt;0")</x:f>
        <x:v>49</x:v>
      </x:c>
      <x:c r="I14" s="6" t="n">
        <x:f>COUNTIFS('日経_M01'!$I$6:$I$56,0)</x:f>
        <x:v>0</x:v>
      </x:c>
      <x:c r="J14" s="6" t="n">
        <x:f>MAX(0,-MIN('日経_M01'!$E$6:$E$56))</x:f>
        <x:v>4700000</x:v>
      </x:c>
      <x:c r="K14" s="6" t="n">
        <x:f>IF(H14=0,"",-SUMIFS('日経_M01'!$E$6:$E$56,'日経_M01'!$E$6:$E$56,"&lt;0")/H14)</x:f>
        <x:v>1562285.7142857143</x:v>
      </x:c>
      <x:c r="L14" s="6" t="n">
        <x:v>1352000</x:v>
      </x:c>
      <x:c r="M14" s="6" t="n">
        <x:f>E14-MAX(0,LARGE('日経_M01'!$E$6:$E$56,1))-MAX(0,LARGE('日経_M01'!$E$6:$E$56,2))-MAX(0,LARGE('日経_M01'!$E$6:$E$56,3))</x:f>
        <x:v>-76552000</x:v>
      </x:c>
      <x:c r="N14" s="6" t="n">
        <x:f>SUMIFS('日経_M01'!$E$6:$E$56,'日経_M01'!$B$6:$B$56,"デイ")</x:f>
        <x:v>-40895000</x:v>
      </x:c>
      <x:c r="O14" s="6" t="n">
        <x:f>SUMIFS('日経_M01'!$E$6:$E$56,'日経_M01'!$B$6:$B$56,"ナイト")</x:f>
        <x:v>-34964000</x:v>
      </x:c>
      <x:c r="P14" s="6" t="n">
        <x:f>'日経_M01'!I57</x:f>
        <x:v>5251</x:v>
      </x:c>
    </x:row>
    <x:row r="15" ht="44" customHeight="1">
      <x:c r="A15" s="2" t="str">
        <x:v>日経_M02</x:v>
      </x:c>
      <x:c r="B15" s="19" t="str">
        <x:v>60秒の時間加重平均を30秒前と比較。入口だけ傾き比例枚数、利益追尾＋傾き反転で返済。</x:v>
      </x:c>
      <x:c r="C15" s="6" t="n">
        <x:f>'日経_M02'!C57</x:f>
        <x:v>93940000</x:v>
      </x:c>
      <x:c r="D15" s="6" t="n">
        <x:f>'日経_M02'!D57</x:f>
        <x:v>272863000</x:v>
      </x:c>
      <x:c r="E15" s="6" t="n">
        <x:f>'日経_M02'!E57</x:f>
        <x:v>-178923000</x:v>
      </x:c>
      <x:c r="F15" s="20" t="n">
        <x:f>IF(D15=0,"",C15/D15)</x:f>
        <x:v>0.3442753323096206</x:v>
      </x:c>
      <x:c r="G15" s="6" t="n">
        <x:f>COUNTIFS('日経_M02'!$E$6:$E$56,"&gt;0")</x:f>
        <x:v>0</x:v>
      </x:c>
      <x:c r="H15" s="6" t="n">
        <x:f>COUNTIFS('日経_M02'!$E$6:$E$56,"&lt;0")</x:f>
        <x:v>51</x:v>
      </x:c>
      <x:c r="I15" s="6" t="n">
        <x:f>COUNTIFS('日経_M02'!$I$6:$I$56,0)</x:f>
        <x:v>0</x:v>
      </x:c>
      <x:c r="J15" s="6" t="n">
        <x:f>MAX(0,-MIN('日経_M02'!$E$6:$E$56))</x:f>
        <x:v>6050000</x:v>
      </x:c>
      <x:c r="K15" s="6" t="n">
        <x:f>IF(H15=0,"",-SUMIFS('日経_M02'!$E$6:$E$56,'日経_M02'!$E$6:$E$56,"&lt;0")/H15)</x:f>
        <x:v>3508294.117647059</x:v>
      </x:c>
      <x:c r="L15" s="6" t="n">
        <x:v>3335000</x:v>
      </x:c>
      <x:c r="M15" s="6" t="n">
        <x:f>E15-MAX(0,LARGE('日経_M02'!$E$6:$E$56,1))-MAX(0,LARGE('日経_M02'!$E$6:$E$56,2))-MAX(0,LARGE('日経_M02'!$E$6:$E$56,3))</x:f>
        <x:v>-178923000</x:v>
      </x:c>
      <x:c r="N15" s="6" t="n">
        <x:f>SUMIFS('日経_M02'!$E$6:$E$56,'日経_M02'!$B$6:$B$56,"デイ")</x:f>
        <x:v>-85310000</x:v>
      </x:c>
      <x:c r="O15" s="6" t="n">
        <x:f>SUMIFS('日経_M02'!$E$6:$E$56,'日経_M02'!$B$6:$B$56,"ナイト")</x:f>
        <x:v>-93613000</x:v>
      </x:c>
      <x:c r="P15" s="6" t="n">
        <x:f>'日経_M02'!I57</x:f>
        <x:v>17457</x:v>
      </x:c>
    </x:row>
    <x:row r="16" ht="44" customHeight="1">
      <x:c r="A16" s="2" t="str">
        <x:v>日経_M03</x:v>
      </x:c>
      <x:c r="B16" s="19" t="str">
        <x:v>60秒の時間加重平均を30秒前と比較。入口だけ傾き比例枚数、利益追尾＋傾き反転・増勢後の半減で返済。</x:v>
      </x:c>
      <x:c r="C16" s="6" t="n">
        <x:f>'日経_M03'!C57</x:f>
        <x:v>90780000</x:v>
      </x:c>
      <x:c r="D16" s="6" t="n">
        <x:f>'日経_M03'!D57</x:f>
        <x:v>271591000</x:v>
      </x:c>
      <x:c r="E16" s="6" t="n">
        <x:f>'日経_M03'!E57</x:f>
        <x:v>-180811000</x:v>
      </x:c>
      <x:c r="F16" s="20" t="n">
        <x:f>IF(D16=0,"",C16/D16)</x:f>
        <x:v>0.33425260778155386</x:v>
      </x:c>
      <x:c r="G16" s="6" t="n">
        <x:f>COUNTIFS('日経_M03'!$E$6:$E$56,"&gt;0")</x:f>
        <x:v>0</x:v>
      </x:c>
      <x:c r="H16" s="6" t="n">
        <x:f>COUNTIFS('日経_M03'!$E$6:$E$56,"&lt;0")</x:f>
        <x:v>51</x:v>
      </x:c>
      <x:c r="I16" s="6" t="n">
        <x:f>COUNTIFS('日経_M03'!$I$6:$I$56,0)</x:f>
        <x:v>0</x:v>
      </x:c>
      <x:c r="J16" s="6" t="n">
        <x:f>MAX(0,-MIN('日経_M03'!$E$6:$E$56))</x:f>
        <x:v>6037000</x:v>
      </x:c>
      <x:c r="K16" s="6" t="n">
        <x:f>IF(H16=0,"",-SUMIFS('日経_M03'!$E$6:$E$56,'日経_M03'!$E$6:$E$56,"&lt;0")/H16)</x:f>
        <x:v>3545313.725490196</x:v>
      </x:c>
      <x:c r="L16" s="6" t="n">
        <x:v>3500000</x:v>
      </x:c>
      <x:c r="M16" s="6" t="n">
        <x:f>E16-MAX(0,LARGE('日経_M03'!$E$6:$E$56,1))-MAX(0,LARGE('日経_M03'!$E$6:$E$56,2))-MAX(0,LARGE('日経_M03'!$E$6:$E$56,3))</x:f>
        <x:v>-180811000</x:v>
      </x:c>
      <x:c r="N16" s="6" t="n">
        <x:f>SUMIFS('日経_M03'!$E$6:$E$56,'日経_M03'!$B$6:$B$56,"デイ")</x:f>
        <x:v>-85923000</x:v>
      </x:c>
      <x:c r="O16" s="6" t="n">
        <x:f>SUMIFS('日経_M03'!$E$6:$E$56,'日経_M03'!$B$6:$B$56,"ナイト")</x:f>
        <x:v>-94888000</x:v>
      </x:c>
      <x:c r="P16" s="6" t="n">
        <x:f>'日経_M03'!I57</x:f>
        <x:v>18896</x:v>
      </x:c>
    </x:row>
    <x:row r="17" ht="44" customHeight="1">
      <x:c r="A17" s="2" t="str">
        <x:v>日経_M04</x:v>
      </x:c>
      <x:c r="B17" s="19" t="str">
        <x:v>60秒の時間加重平均を30秒前と比較。保有中も傾き比例で増減、利益追尾で返済。</x:v>
      </x:c>
      <x:c r="C17" s="6" t="n">
        <x:f>'日経_M04'!C57</x:f>
        <x:v>69251000</x:v>
      </x:c>
      <x:c r="D17" s="6" t="n">
        <x:f>'日経_M04'!D57</x:f>
        <x:v>220618000</x:v>
      </x:c>
      <x:c r="E17" s="6" t="n">
        <x:f>'日経_M04'!E57</x:f>
        <x:v>-151367000</x:v>
      </x:c>
      <x:c r="F17" s="20" t="n">
        <x:f>IF(D17=0,"",C17/D17)</x:f>
        <x:v>0.31389551169895474</x:v>
      </x:c>
      <x:c r="G17" s="6" t="n">
        <x:f>COUNTIFS('日経_M04'!$E$6:$E$56,"&gt;0")</x:f>
        <x:v>0</x:v>
      </x:c>
      <x:c r="H17" s="6" t="n">
        <x:f>COUNTIFS('日経_M04'!$E$6:$E$56,"&lt;0")</x:f>
        <x:v>51</x:v>
      </x:c>
      <x:c r="I17" s="6" t="n">
        <x:f>COUNTIFS('日経_M04'!$I$6:$I$56,0)</x:f>
        <x:v>0</x:v>
      </x:c>
      <x:c r="J17" s="6" t="n">
        <x:f>MAX(0,-MIN('日経_M04'!$E$6:$E$56))</x:f>
        <x:v>5241000</x:v>
      </x:c>
      <x:c r="K17" s="6" t="n">
        <x:f>IF(H17=0,"",-SUMIFS('日経_M04'!$E$6:$E$56,'日経_M04'!$E$6:$E$56,"&lt;0")/H17)</x:f>
        <x:v>2967980.3921568627</x:v>
      </x:c>
      <x:c r="L17" s="6" t="n">
        <x:v>2950000</x:v>
      </x:c>
      <x:c r="M17" s="6" t="n">
        <x:f>E17-MAX(0,LARGE('日経_M04'!$E$6:$E$56,1))-MAX(0,LARGE('日経_M04'!$E$6:$E$56,2))-MAX(0,LARGE('日経_M04'!$E$6:$E$56,3))</x:f>
        <x:v>-151367000</x:v>
      </x:c>
      <x:c r="N17" s="6" t="n">
        <x:f>SUMIFS('日経_M04'!$E$6:$E$56,'日経_M04'!$B$6:$B$56,"デイ")</x:f>
        <x:v>-72302000</x:v>
      </x:c>
      <x:c r="O17" s="6" t="n">
        <x:f>SUMIFS('日経_M04'!$E$6:$E$56,'日経_M04'!$B$6:$B$56,"ナイト")</x:f>
        <x:v>-79065000</x:v>
      </x:c>
      <x:c r="P17" s="6" t="n">
        <x:f>'日経_M04'!I57</x:f>
        <x:v>5251</x:v>
      </x:c>
    </x:row>
    <x:row r="18" ht="44" customHeight="1">
      <x:c r="A18" s="2" t="str">
        <x:v>日経_M05</x:v>
      </x:c>
      <x:c r="B18" s="19" t="str">
        <x:v>60秒の時間加重平均を30秒前と比較。保有中も傾き比例で増減、利益追尾＋傾き反転で返済。</x:v>
      </x:c>
      <x:c r="C18" s="6" t="n">
        <x:f>'日経_M05'!C57</x:f>
        <x:v>96672000</x:v>
      </x:c>
      <x:c r="D18" s="6" t="n">
        <x:f>'日経_M05'!D57</x:f>
        <x:v>326125000</x:v>
      </x:c>
      <x:c r="E18" s="6" t="n">
        <x:f>'日経_M05'!E57</x:f>
        <x:v>-229453000</x:v>
      </x:c>
      <x:c r="F18" s="20" t="n">
        <x:f>IF(D18=0,"",C18/D18)</x:f>
        <x:v>0.29642621694135685</x:v>
      </x:c>
      <x:c r="G18" s="6" t="n">
        <x:f>COUNTIFS('日経_M05'!$E$6:$E$56,"&gt;0")</x:f>
        <x:v>0</x:v>
      </x:c>
      <x:c r="H18" s="6" t="n">
        <x:f>COUNTIFS('日経_M05'!$E$6:$E$56,"&lt;0")</x:f>
        <x:v>51</x:v>
      </x:c>
      <x:c r="I18" s="6" t="n">
        <x:f>COUNTIFS('日経_M05'!$I$6:$I$56,0)</x:f>
        <x:v>0</x:v>
      </x:c>
      <x:c r="J18" s="6" t="n">
        <x:f>MAX(0,-MIN('日経_M05'!$E$6:$E$56))</x:f>
        <x:v>7659000</x:v>
      </x:c>
      <x:c r="K18" s="6" t="n">
        <x:f>IF(H18=0,"",-SUMIFS('日経_M05'!$E$6:$E$56,'日経_M05'!$E$6:$E$56,"&lt;0")/H18)</x:f>
        <x:v>4499078.431372549</x:v>
      </x:c>
      <x:c r="L18" s="6" t="n">
        <x:v>4408000</x:v>
      </x:c>
      <x:c r="M18" s="6" t="n">
        <x:f>E18-MAX(0,LARGE('日経_M05'!$E$6:$E$56,1))-MAX(0,LARGE('日経_M05'!$E$6:$E$56,2))-MAX(0,LARGE('日経_M05'!$E$6:$E$56,3))</x:f>
        <x:v>-229453000</x:v>
      </x:c>
      <x:c r="N18" s="6" t="n">
        <x:f>SUMIFS('日経_M05'!$E$6:$E$56,'日経_M05'!$B$6:$B$56,"デイ")</x:f>
        <x:v>-107612000</x:v>
      </x:c>
      <x:c r="O18" s="6" t="n">
        <x:f>SUMIFS('日経_M05'!$E$6:$E$56,'日経_M05'!$B$6:$B$56,"ナイト")</x:f>
        <x:v>-121841000</x:v>
      </x:c>
      <x:c r="P18" s="6" t="n">
        <x:f>'日経_M05'!I57</x:f>
        <x:v>17457</x:v>
      </x:c>
    </x:row>
    <x:row r="19" ht="44" customHeight="1">
      <x:c r="A19" s="2" t="str">
        <x:v>日経_M06</x:v>
      </x:c>
      <x:c r="B19" s="19" t="str">
        <x:v>60秒の時間加重平均を30秒前と比較。保有中も傾き比例で増減、利益追尾＋傾き反転・増勢後の半減で返済。</x:v>
      </x:c>
      <x:c r="C19" s="6" t="n">
        <x:f>'日経_M06'!C57</x:f>
        <x:v>95806000</x:v>
      </x:c>
      <x:c r="D19" s="6" t="n">
        <x:f>'日経_M06'!D57</x:f>
        <x:v>332580000</x:v>
      </x:c>
      <x:c r="E19" s="6" t="n">
        <x:f>'日経_M06'!E57</x:f>
        <x:v>-236774000</x:v>
      </x:c>
      <x:c r="F19" s="20" t="n">
        <x:f>IF(D19=0,"",C19/D19)</x:f>
        <x:v>0.2880690360214084</x:v>
      </x:c>
      <x:c r="G19" s="6" t="n">
        <x:f>COUNTIFS('日経_M06'!$E$6:$E$56,"&gt;0")</x:f>
        <x:v>0</x:v>
      </x:c>
      <x:c r="H19" s="6" t="n">
        <x:f>COUNTIFS('日経_M06'!$E$6:$E$56,"&lt;0")</x:f>
        <x:v>51</x:v>
      </x:c>
      <x:c r="I19" s="6" t="n">
        <x:f>COUNTIFS('日経_M06'!$I$6:$I$56,0)</x:f>
        <x:v>0</x:v>
      </x:c>
      <x:c r="J19" s="6" t="n">
        <x:f>MAX(0,-MIN('日経_M06'!$E$6:$E$56))</x:f>
        <x:v>7727000</x:v>
      </x:c>
      <x:c r="K19" s="6" t="n">
        <x:f>IF(H19=0,"",-SUMIFS('日経_M06'!$E$6:$E$56,'日経_M06'!$E$6:$E$56,"&lt;0")/H19)</x:f>
        <x:v>4642627.450980392</x:v>
      </x:c>
      <x:c r="L19" s="6" t="n">
        <x:v>4597000</x:v>
      </x:c>
      <x:c r="M19" s="6" t="n">
        <x:f>E19-MAX(0,LARGE('日経_M06'!$E$6:$E$56,1))-MAX(0,LARGE('日経_M06'!$E$6:$E$56,2))-MAX(0,LARGE('日経_M06'!$E$6:$E$56,3))</x:f>
        <x:v>-236774000</x:v>
      </x:c>
      <x:c r="N19" s="6" t="n">
        <x:f>SUMIFS('日経_M06'!$E$6:$E$56,'日経_M06'!$B$6:$B$56,"デイ")</x:f>
        <x:v>-112099000</x:v>
      </x:c>
      <x:c r="O19" s="6" t="n">
        <x:f>SUMIFS('日経_M06'!$E$6:$E$56,'日経_M06'!$B$6:$B$56,"ナイト")</x:f>
        <x:v>-124675000</x:v>
      </x:c>
      <x:c r="P19" s="6" t="n">
        <x:f>'日経_M06'!I57</x:f>
        <x:v>18896</x:v>
      </x:c>
    </x:row>
    <x:row r="20" ht="44" customHeight="1">
      <x:c r="A20" s="2" t="str">
        <x:v>日経_M07</x:v>
      </x:c>
      <x:c r="B20" s="19" t="str">
        <x:v>180秒の時間加重平均を30秒前と比較。入口だけ傾き比例枚数、利益追尾で返済。</x:v>
      </x:c>
      <x:c r="C20" s="6" t="n">
        <x:f>'日経_M07'!C57</x:f>
        <x:v>81517000</x:v>
      </x:c>
      <x:c r="D20" s="6" t="n">
        <x:f>'日経_M07'!D57</x:f>
        <x:v>145516000</x:v>
      </x:c>
      <x:c r="E20" s="6" t="n">
        <x:f>'日経_M07'!E57</x:f>
        <x:v>-63999000</x:v>
      </x:c>
      <x:c r="F20" s="20" t="n">
        <x:f>IF(D20=0,"",C20/D20)</x:f>
        <x:v>0.5601926935869596</x:v>
      </x:c>
      <x:c r="G20" s="6" t="n">
        <x:f>COUNTIFS('日経_M07'!$E$6:$E$56,"&gt;0")</x:f>
        <x:v>1</x:v>
      </x:c>
      <x:c r="H20" s="6" t="n">
        <x:f>COUNTIFS('日経_M07'!$E$6:$E$56,"&lt;0")</x:f>
        <x:v>50</x:v>
      </x:c>
      <x:c r="I20" s="6" t="n">
        <x:f>COUNTIFS('日経_M07'!$I$6:$I$56,0)</x:f>
        <x:v>0</x:v>
      </x:c>
      <x:c r="J20" s="6" t="n">
        <x:f>MAX(0,-MIN('日経_M07'!$E$6:$E$56))</x:f>
        <x:v>2759000</x:v>
      </x:c>
      <x:c r="K20" s="6" t="n">
        <x:f>IF(H20=0,"",-SUMIFS('日経_M07'!$E$6:$E$56,'日経_M07'!$E$6:$E$56,"&lt;0")/H20)</x:f>
        <x:v>1280440</x:v>
      </x:c>
      <x:c r="L20" s="6" t="n">
        <x:v>1191500</x:v>
      </x:c>
      <x:c r="M20" s="6" t="n">
        <x:f>E20-MAX(0,LARGE('日経_M07'!$E$6:$E$56,1))-MAX(0,LARGE('日経_M07'!$E$6:$E$56,2))-MAX(0,LARGE('日経_M07'!$E$6:$E$56,3))</x:f>
        <x:v>-64022000</x:v>
      </x:c>
      <x:c r="N20" s="6" t="n">
        <x:f>SUMIFS('日経_M07'!$E$6:$E$56,'日経_M07'!$B$6:$B$56,"デイ")</x:f>
        <x:v>-33877000</x:v>
      </x:c>
      <x:c r="O20" s="6" t="n">
        <x:f>SUMIFS('日経_M07'!$E$6:$E$56,'日経_M07'!$B$6:$B$56,"ナイト")</x:f>
        <x:v>-30122000</x:v>
      </x:c>
      <x:c r="P20" s="6" t="n">
        <x:f>'日経_M07'!I57</x:f>
        <x:v>5146</x:v>
      </x:c>
    </x:row>
    <x:row r="21" ht="44" customHeight="1">
      <x:c r="A21" s="2" t="str">
        <x:v>日経_M08</x:v>
      </x:c>
      <x:c r="B21" s="19" t="str">
        <x:v>180秒の時間加重平均を30秒前と比較。入口だけ傾き比例枚数、利益追尾＋傾き反転で返済。</x:v>
      </x:c>
      <x:c r="C21" s="6" t="n">
        <x:f>'日経_M08'!C57</x:f>
        <x:v>65875000</x:v>
      </x:c>
      <x:c r="D21" s="6" t="n">
        <x:f>'日経_M08'!D57</x:f>
        <x:v>151263000</x:v>
      </x:c>
      <x:c r="E21" s="6" t="n">
        <x:f>'日経_M08'!E57</x:f>
        <x:v>-85388000</x:v>
      </x:c>
      <x:c r="F21" s="20" t="n">
        <x:f>IF(D21=0,"",C21/D21)</x:f>
        <x:v>0.43549975869842594</x:v>
      </x:c>
      <x:c r="G21" s="6" t="n">
        <x:f>COUNTIFS('日経_M08'!$E$6:$E$56,"&gt;0")</x:f>
        <x:v>0</x:v>
      </x:c>
      <x:c r="H21" s="6" t="n">
        <x:f>COUNTIFS('日経_M08'!$E$6:$E$56,"&lt;0")</x:f>
        <x:v>51</x:v>
      </x:c>
      <x:c r="I21" s="6" t="n">
        <x:f>COUNTIFS('日経_M08'!$I$6:$I$56,0)</x:f>
        <x:v>0</x:v>
      </x:c>
      <x:c r="J21" s="6" t="n">
        <x:f>MAX(0,-MIN('日経_M08'!$E$6:$E$56))</x:f>
        <x:v>3340000</x:v>
      </x:c>
      <x:c r="K21" s="6" t="n">
        <x:f>IF(H21=0,"",-SUMIFS('日経_M08'!$E$6:$E$56,'日経_M08'!$E$6:$E$56,"&lt;0")/H21)</x:f>
        <x:v>1674274.5098039217</x:v>
      </x:c>
      <x:c r="L21" s="6" t="n">
        <x:v>1462000</x:v>
      </x:c>
      <x:c r="M21" s="6" t="n">
        <x:f>E21-MAX(0,LARGE('日経_M08'!$E$6:$E$56,1))-MAX(0,LARGE('日経_M08'!$E$6:$E$56,2))-MAX(0,LARGE('日経_M08'!$E$6:$E$56,3))</x:f>
        <x:v>-85388000</x:v>
      </x:c>
      <x:c r="N21" s="6" t="n">
        <x:f>SUMIFS('日経_M08'!$E$6:$E$56,'日経_M08'!$B$6:$B$56,"デイ")</x:f>
        <x:v>-42567000</x:v>
      </x:c>
      <x:c r="O21" s="6" t="n">
        <x:f>SUMIFS('日経_M08'!$E$6:$E$56,'日経_M08'!$B$6:$B$56,"ナイト")</x:f>
        <x:v>-42821000</x:v>
      </x:c>
      <x:c r="P21" s="6" t="n">
        <x:f>'日経_M08'!I57</x:f>
        <x:v>11016</x:v>
      </x:c>
    </x:row>
    <x:row r="22" ht="44" customHeight="1">
      <x:c r="A22" s="2" t="str">
        <x:v>日経_M09</x:v>
      </x:c>
      <x:c r="B22" s="19" t="str">
        <x:v>180秒の時間加重平均を30秒前と比較。入口だけ傾き比例枚数、利益追尾＋傾き反転・増勢後の半減で返済。</x:v>
      </x:c>
      <x:c r="C22" s="6" t="n">
        <x:f>'日経_M09'!C57</x:f>
        <x:v>65788000</x:v>
      </x:c>
      <x:c r="D22" s="6" t="n">
        <x:f>'日経_M09'!D57</x:f>
        <x:v>156114000</x:v>
      </x:c>
      <x:c r="E22" s="6" t="n">
        <x:f>'日経_M09'!E57</x:f>
        <x:v>-90326000</x:v>
      </x:c>
      <x:c r="F22" s="20" t="n">
        <x:f>IF(D22=0,"",C22/D22)</x:f>
        <x:v>0.4214099952598742</x:v>
      </x:c>
      <x:c r="G22" s="6" t="n">
        <x:f>COUNTIFS('日経_M09'!$E$6:$E$56,"&gt;0")</x:f>
        <x:v>0</x:v>
      </x:c>
      <x:c r="H22" s="6" t="n">
        <x:f>COUNTIFS('日経_M09'!$E$6:$E$56,"&lt;0")</x:f>
        <x:v>51</x:v>
      </x:c>
      <x:c r="I22" s="6" t="n">
        <x:f>COUNTIFS('日経_M09'!$I$6:$I$56,0)</x:f>
        <x:v>0</x:v>
      </x:c>
      <x:c r="J22" s="6" t="n">
        <x:f>MAX(0,-MIN('日経_M09'!$E$6:$E$56))</x:f>
        <x:v>3335000</x:v>
      </x:c>
      <x:c r="K22" s="6" t="n">
        <x:f>IF(H22=0,"",-SUMIFS('日経_M09'!$E$6:$E$56,'日経_M09'!$E$6:$E$56,"&lt;0")/H22)</x:f>
        <x:v>1771098.0392156863</x:v>
      </x:c>
      <x:c r="L22" s="6" t="n">
        <x:v>1620000</x:v>
      </x:c>
      <x:c r="M22" s="6" t="n">
        <x:f>E22-MAX(0,LARGE('日経_M09'!$E$6:$E$56,1))-MAX(0,LARGE('日経_M09'!$E$6:$E$56,2))-MAX(0,LARGE('日経_M09'!$E$6:$E$56,3))</x:f>
        <x:v>-90326000</x:v>
      </x:c>
      <x:c r="N22" s="6" t="n">
        <x:f>SUMIFS('日経_M09'!$E$6:$E$56,'日経_M09'!$B$6:$B$56,"デイ")</x:f>
        <x:v>-44845000</x:v>
      </x:c>
      <x:c r="O22" s="6" t="n">
        <x:f>SUMIFS('日経_M09'!$E$6:$E$56,'日経_M09'!$B$6:$B$56,"ナイト")</x:f>
        <x:v>-45481000</x:v>
      </x:c>
      <x:c r="P22" s="6" t="n">
        <x:f>'日経_M09'!I57</x:f>
        <x:v>12436</x:v>
      </x:c>
    </x:row>
    <x:row r="23" ht="44" customHeight="1">
      <x:c r="A23" s="2" t="str">
        <x:v>日経_M10</x:v>
      </x:c>
      <x:c r="B23" s="19" t="str">
        <x:v>180秒の時間加重平均を30秒前と比較。保有中も傾き比例で増減、利益追尾で返済。</x:v>
      </x:c>
      <x:c r="C23" s="6" t="n">
        <x:f>'日経_M10'!C57</x:f>
        <x:v>62761000</x:v>
      </x:c>
      <x:c r="D23" s="6" t="n">
        <x:f>'日経_M10'!D57</x:f>
        <x:v>167786000</x:v>
      </x:c>
      <x:c r="E23" s="6" t="n">
        <x:f>'日経_M10'!E57</x:f>
        <x:v>-105025000</x:v>
      </x:c>
      <x:c r="F23" s="20" t="n">
        <x:f>IF(D23=0,"",C23/D23)</x:f>
        <x:v>0.37405385431442434</x:v>
      </x:c>
      <x:c r="G23" s="6" t="n">
        <x:f>COUNTIFS('日経_M10'!$E$6:$E$56,"&gt;0")</x:f>
        <x:v>0</x:v>
      </x:c>
      <x:c r="H23" s="6" t="n">
        <x:f>COUNTIFS('日経_M10'!$E$6:$E$56,"&lt;0")</x:f>
        <x:v>51</x:v>
      </x:c>
      <x:c r="I23" s="6" t="n">
        <x:f>COUNTIFS('日経_M10'!$I$6:$I$56,0)</x:f>
        <x:v>0</x:v>
      </x:c>
      <x:c r="J23" s="6" t="n">
        <x:f>MAX(0,-MIN('日経_M10'!$E$6:$E$56))</x:f>
        <x:v>4125000</x:v>
      </x:c>
      <x:c r="K23" s="6" t="n">
        <x:f>IF(H23=0,"",-SUMIFS('日経_M10'!$E$6:$E$56,'日経_M10'!$E$6:$E$56,"&lt;0")/H23)</x:f>
        <x:v>2059313.7254901961</x:v>
      </x:c>
      <x:c r="L23" s="6" t="n">
        <x:v>1990000</x:v>
      </x:c>
      <x:c r="M23" s="6" t="n">
        <x:f>E23-MAX(0,LARGE('日経_M10'!$E$6:$E$56,1))-MAX(0,LARGE('日経_M10'!$E$6:$E$56,2))-MAX(0,LARGE('日経_M10'!$E$6:$E$56,3))</x:f>
        <x:v>-105025000</x:v>
      </x:c>
      <x:c r="N23" s="6" t="n">
        <x:f>SUMIFS('日経_M10'!$E$6:$E$56,'日経_M10'!$B$6:$B$56,"デイ")</x:f>
        <x:v>-52953000</x:v>
      </x:c>
      <x:c r="O23" s="6" t="n">
        <x:f>SUMIFS('日経_M10'!$E$6:$E$56,'日経_M10'!$B$6:$B$56,"ナイト")</x:f>
        <x:v>-52072000</x:v>
      </x:c>
      <x:c r="P23" s="6" t="n">
        <x:f>'日経_M10'!I57</x:f>
        <x:v>5146</x:v>
      </x:c>
    </x:row>
    <x:row r="24" ht="44" customHeight="1">
      <x:c r="A24" s="2" t="str">
        <x:v>日経_M11</x:v>
      </x:c>
      <x:c r="B24" s="19" t="str">
        <x:v>180秒の時間加重平均を30秒前と比較。保有中も傾き比例で増減、利益追尾＋傾き反転で返済。</x:v>
      </x:c>
      <x:c r="C24" s="6" t="n">
        <x:f>'日経_M11'!C57</x:f>
        <x:v>74953000</x:v>
      </x:c>
      <x:c r="D24" s="6" t="n">
        <x:f>'日経_M11'!D57</x:f>
        <x:v>214354000</x:v>
      </x:c>
      <x:c r="E24" s="6" t="n">
        <x:f>'日経_M11'!E57</x:f>
        <x:v>-139401000</x:v>
      </x:c>
      <x:c r="F24" s="20" t="n">
        <x:f>IF(D24=0,"",C24/D24)</x:f>
        <x:v>0.3496692387359228</x:v>
      </x:c>
      <x:c r="G24" s="6" t="n">
        <x:f>COUNTIFS('日経_M11'!$E$6:$E$56,"&gt;0")</x:f>
        <x:v>0</x:v>
      </x:c>
      <x:c r="H24" s="6" t="n">
        <x:f>COUNTIFS('日経_M11'!$E$6:$E$56,"&lt;0")</x:f>
        <x:v>51</x:v>
      </x:c>
      <x:c r="I24" s="6" t="n">
        <x:f>COUNTIFS('日経_M11'!$I$6:$I$56,0)</x:f>
        <x:v>0</x:v>
      </x:c>
      <x:c r="J24" s="6" t="n">
        <x:f>MAX(0,-MIN('日経_M11'!$E$6:$E$56))</x:f>
        <x:v>4928000</x:v>
      </x:c>
      <x:c r="K24" s="6" t="n">
        <x:f>IF(H24=0,"",-SUMIFS('日経_M11'!$E$6:$E$56,'日経_M11'!$E$6:$E$56,"&lt;0")/H24)</x:f>
        <x:v>2733352.9411764704</x:v>
      </x:c>
      <x:c r="L24" s="6" t="n">
        <x:v>2753000</x:v>
      </x:c>
      <x:c r="M24" s="6" t="n">
        <x:f>E24-MAX(0,LARGE('日経_M11'!$E$6:$E$56,1))-MAX(0,LARGE('日経_M11'!$E$6:$E$56,2))-MAX(0,LARGE('日経_M11'!$E$6:$E$56,3))</x:f>
        <x:v>-139401000</x:v>
      </x:c>
      <x:c r="N24" s="6" t="n">
        <x:f>SUMIFS('日経_M11'!$E$6:$E$56,'日経_M11'!$B$6:$B$56,"デイ")</x:f>
        <x:v>-68412000</x:v>
      </x:c>
      <x:c r="O24" s="6" t="n">
        <x:f>SUMIFS('日経_M11'!$E$6:$E$56,'日経_M11'!$B$6:$B$56,"ナイト")</x:f>
        <x:v>-70989000</x:v>
      </x:c>
      <x:c r="P24" s="6" t="n">
        <x:f>'日経_M11'!I57</x:f>
        <x:v>11016</x:v>
      </x:c>
    </x:row>
    <x:row r="25" ht="44" customHeight="1">
      <x:c r="A25" s="2" t="str">
        <x:v>日経_M12</x:v>
      </x:c>
      <x:c r="B25" s="19" t="str">
        <x:v>180秒の時間加重平均を30秒前と比較。保有中も傾き比例で増減、利益追尾＋傾き反転・増勢後の半減で返済。</x:v>
      </x:c>
      <x:c r="C25" s="6" t="n">
        <x:f>'日経_M12'!C57</x:f>
        <x:v>74893000</x:v>
      </x:c>
      <x:c r="D25" s="6" t="n">
        <x:f>'日経_M12'!D57</x:f>
        <x:v>219539000</x:v>
      </x:c>
      <x:c r="E25" s="6" t="n">
        <x:f>'日経_M12'!E57</x:f>
        <x:v>-144646000</x:v>
      </x:c>
      <x:c r="F25" s="20" t="n">
        <x:f>IF(D25=0,"",C25/D25)</x:f>
        <x:v>0.341137565535053</x:v>
      </x:c>
      <x:c r="G25" s="6" t="n">
        <x:f>COUNTIFS('日経_M12'!$E$6:$E$56,"&gt;0")</x:f>
        <x:v>0</x:v>
      </x:c>
      <x:c r="H25" s="6" t="n">
        <x:f>COUNTIFS('日経_M12'!$E$6:$E$56,"&lt;0")</x:f>
        <x:v>51</x:v>
      </x:c>
      <x:c r="I25" s="6" t="n">
        <x:f>COUNTIFS('日経_M12'!$I$6:$I$56,0)</x:f>
        <x:v>0</x:v>
      </x:c>
      <x:c r="J25" s="6" t="n">
        <x:f>MAX(0,-MIN('日経_M12'!$E$6:$E$56))</x:f>
        <x:v>4967000</x:v>
      </x:c>
      <x:c r="K25" s="6" t="n">
        <x:f>IF(H25=0,"",-SUMIFS('日経_M12'!$E$6:$E$56,'日経_M12'!$E$6:$E$56,"&lt;0")/H25)</x:f>
        <x:v>2836196.0784313725</x:v>
      </x:c>
      <x:c r="L25" s="6" t="n">
        <x:v>2878000</x:v>
      </x:c>
      <x:c r="M25" s="6" t="n">
        <x:f>E25-MAX(0,LARGE('日経_M12'!$E$6:$E$56,1))-MAX(0,LARGE('日経_M12'!$E$6:$E$56,2))-MAX(0,LARGE('日経_M12'!$E$6:$E$56,3))</x:f>
        <x:v>-144646000</x:v>
      </x:c>
      <x:c r="N25" s="6" t="n">
        <x:f>SUMIFS('日経_M12'!$E$6:$E$56,'日経_M12'!$B$6:$B$56,"デイ")</x:f>
        <x:v>-71030000</x:v>
      </x:c>
      <x:c r="O25" s="6" t="n">
        <x:f>SUMIFS('日経_M12'!$E$6:$E$56,'日経_M12'!$B$6:$B$56,"ナイト")</x:f>
        <x:v>-73616000</x:v>
      </x:c>
      <x:c r="P25" s="6" t="n">
        <x:f>'日経_M12'!I57</x:f>
        <x:v>12436</x:v>
      </x:c>
    </x:row>
    <x:row r="26" ht="44" customHeight="1">
      <x:c r="A26" s="2" t="str">
        <x:v>日経_M13</x:v>
      </x:c>
      <x:c r="B26" s="19" t="str">
        <x:v>300秒の時間加重平均を60秒前と比較。入口だけ傾き比例枚数、利益追尾で返済。</x:v>
      </x:c>
      <x:c r="C26" s="6" t="n">
        <x:f>'日経_M13'!C57</x:f>
        <x:v>65309000</x:v>
      </x:c>
      <x:c r="D26" s="6" t="n">
        <x:f>'日経_M13'!D57</x:f>
        <x:v>113677000</x:v>
      </x:c>
      <x:c r="E26" s="6" t="n">
        <x:f>'日経_M13'!E57</x:f>
        <x:v>-48368000</x:v>
      </x:c>
      <x:c r="F26" s="20" t="n">
        <x:f>IF(D26=0,"",C26/D26)</x:f>
        <x:v>0.574513753881612</x:v>
      </x:c>
      <x:c r="G26" s="6" t="n">
        <x:f>COUNTIFS('日経_M13'!$E$6:$E$56,"&gt;0")</x:f>
        <x:v>0</x:v>
      </x:c>
      <x:c r="H26" s="6" t="n">
        <x:f>COUNTIFS('日経_M13'!$E$6:$E$56,"&lt;0")</x:f>
        <x:v>51</x:v>
      </x:c>
      <x:c r="I26" s="6" t="n">
        <x:f>COUNTIFS('日経_M13'!$I$6:$I$56,0)</x:f>
        <x:v>0</x:v>
      </x:c>
      <x:c r="J26" s="6" t="n">
        <x:f>MAX(0,-MIN('日経_M13'!$E$6:$E$56))</x:f>
        <x:v>2929000</x:v>
      </x:c>
      <x:c r="K26" s="6" t="n">
        <x:f>IF(H26=0,"",-SUMIFS('日経_M13'!$E$6:$E$56,'日経_M13'!$E$6:$E$56,"&lt;0")/H26)</x:f>
        <x:v>948392.1568627451</x:v>
      </x:c>
      <x:c r="L26" s="6" t="n">
        <x:v>814000</x:v>
      </x:c>
      <x:c r="M26" s="6" t="n">
        <x:f>E26-MAX(0,LARGE('日経_M13'!$E$6:$E$56,1))-MAX(0,LARGE('日経_M13'!$E$6:$E$56,2))-MAX(0,LARGE('日経_M13'!$E$6:$E$56,3))</x:f>
        <x:v>-48368000</x:v>
      </x:c>
      <x:c r="N26" s="6" t="n">
        <x:f>SUMIFS('日経_M13'!$E$6:$E$56,'日経_M13'!$B$6:$B$56,"デイ")</x:f>
        <x:v>-25490000</x:v>
      </x:c>
      <x:c r="O26" s="6" t="n">
        <x:f>SUMIFS('日経_M13'!$E$6:$E$56,'日経_M13'!$B$6:$B$56,"ナイト")</x:f>
        <x:v>-22878000</x:v>
      </x:c>
      <x:c r="P26" s="6" t="n">
        <x:f>'日経_M13'!I57</x:f>
        <x:v>5007</x:v>
      </x:c>
    </x:row>
    <x:row r="27" ht="44" customHeight="1">
      <x:c r="A27" s="2" t="str">
        <x:v>日経_M14</x:v>
      </x:c>
      <x:c r="B27" s="19" t="str">
        <x:v>300秒の時間加重平均を60秒前と比較。入口だけ傾き比例枚数、利益追尾＋傾き反転で返済。</x:v>
      </x:c>
      <x:c r="C27" s="6" t="n">
        <x:f>'日経_M14'!C57</x:f>
        <x:v>54872000</x:v>
      </x:c>
      <x:c r="D27" s="6" t="n">
        <x:f>'日経_M14'!D57</x:f>
        <x:v>109111000</x:v>
      </x:c>
      <x:c r="E27" s="6" t="n">
        <x:f>'日経_M14'!E57</x:f>
        <x:v>-54239000</x:v>
      </x:c>
      <x:c r="F27" s="20" t="n">
        <x:f>IF(D27=0,"",C27/D27)</x:f>
        <x:v>0.502900715784843</x:v>
      </x:c>
      <x:c r="G27" s="6" t="n">
        <x:f>COUNTIFS('日経_M14'!$E$6:$E$56,"&gt;0")</x:f>
        <x:v>0</x:v>
      </x:c>
      <x:c r="H27" s="6" t="n">
        <x:f>COUNTIFS('日経_M14'!$E$6:$E$56,"&lt;0")</x:f>
        <x:v>51</x:v>
      </x:c>
      <x:c r="I27" s="6" t="n">
        <x:f>COUNTIFS('日経_M14'!$I$6:$I$56,0)</x:f>
        <x:v>0</x:v>
      </x:c>
      <x:c r="J27" s="6" t="n">
        <x:f>MAX(0,-MIN('日経_M14'!$E$6:$E$56))</x:f>
        <x:v>3316000</x:v>
      </x:c>
      <x:c r="K27" s="6" t="n">
        <x:f>IF(H27=0,"",-SUMIFS('日経_M14'!$E$6:$E$56,'日経_M14'!$E$6:$E$56,"&lt;0")/H27)</x:f>
        <x:v>1063509.8039215687</x:v>
      </x:c>
      <x:c r="L27" s="6" t="n">
        <x:v>887000</x:v>
      </x:c>
      <x:c r="M27" s="6" t="n">
        <x:f>E27-MAX(0,LARGE('日経_M14'!$E$6:$E$56,1))-MAX(0,LARGE('日経_M14'!$E$6:$E$56,2))-MAX(0,LARGE('日経_M14'!$E$6:$E$56,3))</x:f>
        <x:v>-54239000</x:v>
      </x:c>
      <x:c r="N27" s="6" t="n">
        <x:f>SUMIFS('日経_M14'!$E$6:$E$56,'日経_M14'!$B$6:$B$56,"デイ")</x:f>
        <x:v>-28125000</x:v>
      </x:c>
      <x:c r="O27" s="6" t="n">
        <x:f>SUMIFS('日経_M14'!$E$6:$E$56,'日経_M14'!$B$6:$B$56,"ナイト")</x:f>
        <x:v>-26114000</x:v>
      </x:c>
      <x:c r="P27" s="6" t="n">
        <x:f>'日経_M14'!I57</x:f>
        <x:v>7964</x:v>
      </x:c>
    </x:row>
    <x:row r="28" ht="44" customHeight="1">
      <x:c r="A28" s="2" t="str">
        <x:v>日経_M15</x:v>
      </x:c>
      <x:c r="B28" s="19" t="str">
        <x:v>300秒の時間加重平均を60秒前と比較。入口だけ傾き比例枚数、利益追尾＋傾き反転・増勢後の半減で返済。</x:v>
      </x:c>
      <x:c r="C28" s="6" t="n">
        <x:f>'日経_M15'!C57</x:f>
        <x:v>55300000</x:v>
      </x:c>
      <x:c r="D28" s="6" t="n">
        <x:f>'日経_M15'!D57</x:f>
        <x:v>111805000</x:v>
      </x:c>
      <x:c r="E28" s="6" t="n">
        <x:f>'日経_M15'!E57</x:f>
        <x:v>-56505000</x:v>
      </x:c>
      <x:c r="F28" s="20" t="n">
        <x:f>IF(D28=0,"",C28/D28)</x:f>
        <x:v>0.49461115334734584</x:v>
      </x:c>
      <x:c r="G28" s="6" t="n">
        <x:f>COUNTIFS('日経_M15'!$E$6:$E$56,"&gt;0")</x:f>
        <x:v>0</x:v>
      </x:c>
      <x:c r="H28" s="6" t="n">
        <x:f>COUNTIFS('日経_M15'!$E$6:$E$56,"&lt;0")</x:f>
        <x:v>51</x:v>
      </x:c>
      <x:c r="I28" s="6" t="n">
        <x:f>COUNTIFS('日経_M15'!$I$6:$I$56,0)</x:f>
        <x:v>0</x:v>
      </x:c>
      <x:c r="J28" s="6" t="n">
        <x:f>MAX(0,-MIN('日経_M15'!$E$6:$E$56))</x:f>
        <x:v>3297000</x:v>
      </x:c>
      <x:c r="K28" s="6" t="n">
        <x:f>IF(H28=0,"",-SUMIFS('日経_M15'!$E$6:$E$56,'日経_M15'!$E$6:$E$56,"&lt;0")/H28)</x:f>
        <x:v>1107941.1764705882</x:v>
      </x:c>
      <x:c r="L28" s="6" t="n">
        <x:v>914000</x:v>
      </x:c>
      <x:c r="M28" s="6" t="n">
        <x:f>E28-MAX(0,LARGE('日経_M15'!$E$6:$E$56,1))-MAX(0,LARGE('日経_M15'!$E$6:$E$56,2))-MAX(0,LARGE('日経_M15'!$E$6:$E$56,3))</x:f>
        <x:v>-56505000</x:v>
      </x:c>
      <x:c r="N28" s="6" t="n">
        <x:f>SUMIFS('日経_M15'!$E$6:$E$56,'日経_M15'!$B$6:$B$56,"デイ")</x:f>
        <x:v>-29214000</x:v>
      </x:c>
      <x:c r="O28" s="6" t="n">
        <x:f>SUMIFS('日経_M15'!$E$6:$E$56,'日経_M15'!$B$6:$B$56,"ナイト")</x:f>
        <x:v>-27291000</x:v>
      </x:c>
      <x:c r="P28" s="6" t="n">
        <x:f>'日経_M15'!I57</x:f>
        <x:v>8882</x:v>
      </x:c>
    </x:row>
    <x:row r="29" ht="44" customHeight="1">
      <x:c r="A29" s="2" t="str">
        <x:v>日経_M16</x:v>
      </x:c>
      <x:c r="B29" s="19" t="str">
        <x:v>300秒の時間加重平均を60秒前と比較。保有中も傾き比例で増減、利益追尾で返済。</x:v>
      </x:c>
      <x:c r="C29" s="6" t="n">
        <x:f>'日経_M16'!C57</x:f>
        <x:v>55597000</x:v>
      </x:c>
      <x:c r="D29" s="6" t="n">
        <x:f>'日経_M16'!D57</x:f>
        <x:v>130340000</x:v>
      </x:c>
      <x:c r="E29" s="6" t="n">
        <x:f>'日経_M16'!E57</x:f>
        <x:v>-74743000</x:v>
      </x:c>
      <x:c r="F29" s="20" t="n">
        <x:f>IF(D29=0,"",C29/D29)</x:f>
        <x:v>0.4265536289703851</x:v>
      </x:c>
      <x:c r="G29" s="6" t="n">
        <x:f>COUNTIFS('日経_M16'!$E$6:$E$56,"&gt;0")</x:f>
        <x:v>0</x:v>
      </x:c>
      <x:c r="H29" s="6" t="n">
        <x:f>COUNTIFS('日経_M16'!$E$6:$E$56,"&lt;0")</x:f>
        <x:v>51</x:v>
      </x:c>
      <x:c r="I29" s="6" t="n">
        <x:f>COUNTIFS('日経_M16'!$I$6:$I$56,0)</x:f>
        <x:v>0</x:v>
      </x:c>
      <x:c r="J29" s="6" t="n">
        <x:f>MAX(0,-MIN('日経_M16'!$E$6:$E$56))</x:f>
        <x:v>3473000</x:v>
      </x:c>
      <x:c r="K29" s="6" t="n">
        <x:f>IF(H29=0,"",-SUMIFS('日経_M16'!$E$6:$E$56,'日経_M16'!$E$6:$E$56,"&lt;0")/H29)</x:f>
        <x:v>1465549.0196078431</x:v>
      </x:c>
      <x:c r="L29" s="6" t="n">
        <x:v>1396000</x:v>
      </x:c>
      <x:c r="M29" s="6" t="n">
        <x:f>E29-MAX(0,LARGE('日経_M16'!$E$6:$E$56,1))-MAX(0,LARGE('日経_M16'!$E$6:$E$56,2))-MAX(0,LARGE('日経_M16'!$E$6:$E$56,3))</x:f>
        <x:v>-74743000</x:v>
      </x:c>
      <x:c r="N29" s="6" t="n">
        <x:f>SUMIFS('日経_M16'!$E$6:$E$56,'日経_M16'!$B$6:$B$56,"デイ")</x:f>
        <x:v>-36894000</x:v>
      </x:c>
      <x:c r="O29" s="6" t="n">
        <x:f>SUMIFS('日経_M16'!$E$6:$E$56,'日経_M16'!$B$6:$B$56,"ナイト")</x:f>
        <x:v>-37849000</x:v>
      </x:c>
      <x:c r="P29" s="6" t="n">
        <x:f>'日経_M16'!I57</x:f>
        <x:v>5007</x:v>
      </x:c>
    </x:row>
    <x:row r="30" ht="44" customHeight="1">
      <x:c r="A30" s="2" t="str">
        <x:v>日経_M17</x:v>
      </x:c>
      <x:c r="B30" s="19" t="str">
        <x:v>300秒の時間加重平均を60秒前と比較。保有中も傾き比例で増減、利益追尾＋傾き反転で返済。</x:v>
      </x:c>
      <x:c r="C30" s="6" t="n">
        <x:f>'日経_M17'!C57</x:f>
        <x:v>61171000</x:v>
      </x:c>
      <x:c r="D30" s="6" t="n">
        <x:f>'日経_M17'!D57</x:f>
        <x:v>151851000</x:v>
      </x:c>
      <x:c r="E30" s="6" t="n">
        <x:f>'日経_M17'!E57</x:f>
        <x:v>-90680000</x:v>
      </x:c>
      <x:c r="F30" s="20" t="n">
        <x:f>IF(D30=0,"",C30/D30)</x:f>
        <x:v>0.40283567444402735</x:v>
      </x:c>
      <x:c r="G30" s="6" t="n">
        <x:f>COUNTIFS('日経_M17'!$E$6:$E$56,"&gt;0")</x:f>
        <x:v>0</x:v>
      </x:c>
      <x:c r="H30" s="6" t="n">
        <x:f>COUNTIFS('日経_M17'!$E$6:$E$56,"&lt;0")</x:f>
        <x:v>51</x:v>
      </x:c>
      <x:c r="I30" s="6" t="n">
        <x:f>COUNTIFS('日経_M17'!$I$6:$I$56,0)</x:f>
        <x:v>0</x:v>
      </x:c>
      <x:c r="J30" s="6" t="n">
        <x:f>MAX(0,-MIN('日経_M17'!$E$6:$E$56))</x:f>
        <x:v>4021000</x:v>
      </x:c>
      <x:c r="K30" s="6" t="n">
        <x:f>IF(H30=0,"",-SUMIFS('日経_M17'!$E$6:$E$56,'日経_M17'!$E$6:$E$56,"&lt;0")/H30)</x:f>
        <x:v>1778039.2156862745</x:v>
      </x:c>
      <x:c r="L30" s="6" t="n">
        <x:v>1681000</x:v>
      </x:c>
      <x:c r="M30" s="6" t="n">
        <x:f>E30-MAX(0,LARGE('日経_M17'!$E$6:$E$56,1))-MAX(0,LARGE('日経_M17'!$E$6:$E$56,2))-MAX(0,LARGE('日経_M17'!$E$6:$E$56,3))</x:f>
        <x:v>-90680000</x:v>
      </x:c>
      <x:c r="N30" s="6" t="n">
        <x:f>SUMIFS('日経_M17'!$E$6:$E$56,'日経_M17'!$B$6:$B$56,"デイ")</x:f>
        <x:v>-44608000</x:v>
      </x:c>
      <x:c r="O30" s="6" t="n">
        <x:f>SUMIFS('日経_M17'!$E$6:$E$56,'日経_M17'!$B$6:$B$56,"ナイト")</x:f>
        <x:v>-46072000</x:v>
      </x:c>
      <x:c r="P30" s="6" t="n">
        <x:f>'日経_M17'!I57</x:f>
        <x:v>7964</x:v>
      </x:c>
    </x:row>
    <x:row r="31" ht="44" customHeight="1">
      <x:c r="A31" s="2" t="str">
        <x:v>日経_M18</x:v>
      </x:c>
      <x:c r="B31" s="19" t="str">
        <x:v>300秒の時間加重平均を60秒前と比較。保有中も傾き比例で増減、利益追尾＋傾き反転・増勢後の半減で返済。</x:v>
      </x:c>
      <x:c r="C31" s="6" t="n">
        <x:f>'日経_M18'!C57</x:f>
        <x:v>61157000</x:v>
      </x:c>
      <x:c r="D31" s="6" t="n">
        <x:f>'日経_M18'!D57</x:f>
        <x:v>154619000</x:v>
      </x:c>
      <x:c r="E31" s="6" t="n">
        <x:f>'日経_M18'!E57</x:f>
        <x:v>-93462000</x:v>
      </x:c>
      <x:c r="F31" s="20" t="n">
        <x:f>IF(D31=0,"",C31/D31)</x:f>
        <x:v>0.39553353727549656</x:v>
      </x:c>
      <x:c r="G31" s="6" t="n">
        <x:f>COUNTIFS('日経_M18'!$E$6:$E$56,"&gt;0")</x:f>
        <x:v>0</x:v>
      </x:c>
      <x:c r="H31" s="6" t="n">
        <x:f>COUNTIFS('日経_M18'!$E$6:$E$56,"&lt;0")</x:f>
        <x:v>51</x:v>
      </x:c>
      <x:c r="I31" s="6" t="n">
        <x:f>COUNTIFS('日経_M18'!$I$6:$I$56,0)</x:f>
        <x:v>0</x:v>
      </x:c>
      <x:c r="J31" s="6" t="n">
        <x:f>MAX(0,-MIN('日経_M18'!$E$6:$E$56))</x:f>
        <x:v>4078000</x:v>
      </x:c>
      <x:c r="K31" s="6" t="n">
        <x:f>IF(H31=0,"",-SUMIFS('日経_M18'!$E$6:$E$56,'日経_M18'!$E$6:$E$56,"&lt;0")/H31)</x:f>
        <x:v>1832588.2352941176</x:v>
      </x:c>
      <x:c r="L31" s="6" t="n">
        <x:v>1729000</x:v>
      </x:c>
      <x:c r="M31" s="6" t="n">
        <x:f>E31-MAX(0,LARGE('日経_M18'!$E$6:$E$56,1))-MAX(0,LARGE('日経_M18'!$E$6:$E$56,2))-MAX(0,LARGE('日経_M18'!$E$6:$E$56,3))</x:f>
        <x:v>-93462000</x:v>
      </x:c>
      <x:c r="N31" s="6" t="n">
        <x:f>SUMIFS('日経_M18'!$E$6:$E$56,'日経_M18'!$B$6:$B$56,"デイ")</x:f>
        <x:v>-46090000</x:v>
      </x:c>
      <x:c r="O31" s="6" t="n">
        <x:f>SUMIFS('日経_M18'!$E$6:$E$56,'日経_M18'!$B$6:$B$56,"ナイト")</x:f>
        <x:v>-47372000</x:v>
      </x:c>
      <x:c r="P31" s="6" t="n">
        <x:f>'日経_M18'!I57</x:f>
        <x:v>8882</x:v>
      </x:c>
    </x:row>
    <x:row r="32" ht="44" customHeight="1">
      <x:c r="A32" s="2" t="str">
        <x:v>日経_M19</x:v>
      </x:c>
      <x:c r="B32" s="19" t="str">
        <x:v>600秒の時間加重平均を60秒前と比較。入口だけ傾き比例枚数、利益追尾で返済。</x:v>
      </x:c>
      <x:c r="C32" s="6" t="n">
        <x:f>'日経_M19'!C57</x:f>
        <x:v>48208000</x:v>
      </x:c>
      <x:c r="D32" s="6" t="n">
        <x:f>'日経_M19'!D57</x:f>
        <x:v>83969000</x:v>
      </x:c>
      <x:c r="E32" s="6" t="n">
        <x:f>'日経_M19'!E57</x:f>
        <x:v>-35761000</x:v>
      </x:c>
      <x:c r="F32" s="20" t="n">
        <x:f>IF(D32=0,"",C32/D32)</x:f>
        <x:v>0.5741166382831759</x:v>
      </x:c>
      <x:c r="G32" s="6" t="n">
        <x:f>COUNTIFS('日経_M19'!$E$6:$E$56,"&gt;0")</x:f>
        <x:v>1</x:v>
      </x:c>
      <x:c r="H32" s="6" t="n">
        <x:f>COUNTIFS('日経_M19'!$E$6:$E$56,"&lt;0")</x:f>
        <x:v>50</x:v>
      </x:c>
      <x:c r="I32" s="6" t="n">
        <x:f>COUNTIFS('日経_M19'!$I$6:$I$56,0)</x:f>
        <x:v>0</x:v>
      </x:c>
      <x:c r="J32" s="6" t="n">
        <x:f>MAX(0,-MIN('日経_M19'!$E$6:$E$56))</x:f>
        <x:v>3065000</x:v>
      </x:c>
      <x:c r="K32" s="6" t="n">
        <x:f>IF(H32=0,"",-SUMIFS('日経_M19'!$E$6:$E$56,'日経_M19'!$E$6:$E$56,"&lt;0")/H32)</x:f>
        <x:v>715240</x:v>
      </x:c>
      <x:c r="L32" s="6" t="n">
        <x:v>630000</x:v>
      </x:c>
      <x:c r="M32" s="6" t="n">
        <x:f>E32-MAX(0,LARGE('日経_M19'!$E$6:$E$56,1))-MAX(0,LARGE('日経_M19'!$E$6:$E$56,2))-MAX(0,LARGE('日経_M19'!$E$6:$E$56,3))</x:f>
        <x:v>-35762000</x:v>
      </x:c>
      <x:c r="N32" s="6" t="n">
        <x:f>SUMIFS('日経_M19'!$E$6:$E$56,'日経_M19'!$B$6:$B$56,"デイ")</x:f>
        <x:v>-20182000</x:v>
      </x:c>
      <x:c r="O32" s="6" t="n">
        <x:f>SUMIFS('日経_M19'!$E$6:$E$56,'日経_M19'!$B$6:$B$56,"ナイト")</x:f>
        <x:v>-15579000</x:v>
      </x:c>
      <x:c r="P32" s="6" t="n">
        <x:f>'日経_M19'!I57</x:f>
        <x:v>4720</x:v>
      </x:c>
    </x:row>
    <x:row r="33" ht="44" customHeight="1">
      <x:c r="A33" s="2" t="str">
        <x:v>日経_M20</x:v>
      </x:c>
      <x:c r="B33" s="19" t="str">
        <x:v>600秒の時間加重平均を60秒前と比較。入口だけ傾き比例枚数、利益追尾＋傾き反転で返済。</x:v>
      </x:c>
      <x:c r="C33" s="6" t="n">
        <x:f>'日経_M20'!C57</x:f>
        <x:v>44386000</x:v>
      </x:c>
      <x:c r="D33" s="6" t="n">
        <x:f>'日経_M20'!D57</x:f>
        <x:v>82758000</x:v>
      </x:c>
      <x:c r="E33" s="6" t="n">
        <x:f>'日経_M20'!E57</x:f>
        <x:v>-38372000</x:v>
      </x:c>
      <x:c r="F33" s="20" t="n">
        <x:f>IF(D33=0,"",C33/D33)</x:f>
        <x:v>0.5363348558447522</x:v>
      </x:c>
      <x:c r="G33" s="6" t="n">
        <x:f>COUNTIFS('日経_M20'!$E$6:$E$56,"&gt;0")</x:f>
        <x:v>0</x:v>
      </x:c>
      <x:c r="H33" s="6" t="n">
        <x:f>COUNTIFS('日経_M20'!$E$6:$E$56,"&lt;0")</x:f>
        <x:v>51</x:v>
      </x:c>
      <x:c r="I33" s="6" t="n">
        <x:f>COUNTIFS('日経_M20'!$I$6:$I$56,0)</x:f>
        <x:v>0</x:v>
      </x:c>
      <x:c r="J33" s="6" t="n">
        <x:f>MAX(0,-MIN('日経_M20'!$E$6:$E$56))</x:f>
        <x:v>2893000</x:v>
      </x:c>
      <x:c r="K33" s="6" t="n">
        <x:f>IF(H33=0,"",-SUMIFS('日経_M20'!$E$6:$E$56,'日経_M20'!$E$6:$E$56,"&lt;0")/H33)</x:f>
        <x:v>752392.1568627451</x:v>
      </x:c>
      <x:c r="L33" s="6" t="n">
        <x:v>636000</x:v>
      </x:c>
      <x:c r="M33" s="6" t="n">
        <x:f>E33-MAX(0,LARGE('日経_M20'!$E$6:$E$56,1))-MAX(0,LARGE('日経_M20'!$E$6:$E$56,2))-MAX(0,LARGE('日経_M20'!$E$6:$E$56,3))</x:f>
        <x:v>-38372000</x:v>
      </x:c>
      <x:c r="N33" s="6" t="n">
        <x:f>SUMIFS('日経_M20'!$E$6:$E$56,'日経_M20'!$B$6:$B$56,"デイ")</x:f>
        <x:v>-20549000</x:v>
      </x:c>
      <x:c r="O33" s="6" t="n">
        <x:f>SUMIFS('日経_M20'!$E$6:$E$56,'日経_M20'!$B$6:$B$56,"ナイト")</x:f>
        <x:v>-17823000</x:v>
      </x:c>
      <x:c r="P33" s="6" t="n">
        <x:f>'日経_M20'!I57</x:f>
        <x:v>6111</x:v>
      </x:c>
    </x:row>
    <x:row r="34" ht="44" customHeight="1">
      <x:c r="A34" s="2" t="str">
        <x:v>日経_M21</x:v>
      </x:c>
      <x:c r="B34" s="19" t="str">
        <x:v>600秒の時間加重平均を60秒前と比較。入口だけ傾き比例枚数、利益追尾＋傾き反転・増勢後の半減で返済。</x:v>
      </x:c>
      <x:c r="C34" s="6" t="n">
        <x:f>'日経_M21'!C57</x:f>
        <x:v>44541000</x:v>
      </x:c>
      <x:c r="D34" s="6" t="n">
        <x:f>'日経_M21'!D57</x:f>
        <x:v>83849000</x:v>
      </x:c>
      <x:c r="E34" s="6" t="n">
        <x:f>'日経_M21'!E57</x:f>
        <x:v>-39308000</x:v>
      </x:c>
      <x:c r="F34" s="20" t="n">
        <x:f>IF(D34=0,"",C34/D34)</x:f>
        <x:v>0.5312049040537156</x:v>
      </x:c>
      <x:c r="G34" s="6" t="n">
        <x:f>COUNTIFS('日経_M21'!$E$6:$E$56,"&gt;0")</x:f>
        <x:v>0</x:v>
      </x:c>
      <x:c r="H34" s="6" t="n">
        <x:f>COUNTIFS('日経_M21'!$E$6:$E$56,"&lt;0")</x:f>
        <x:v>51</x:v>
      </x:c>
      <x:c r="I34" s="6" t="n">
        <x:f>COUNTIFS('日経_M21'!$I$6:$I$56,0)</x:f>
        <x:v>0</x:v>
      </x:c>
      <x:c r="J34" s="6" t="n">
        <x:f>MAX(0,-MIN('日経_M21'!$E$6:$E$56))</x:f>
        <x:v>2921000</x:v>
      </x:c>
      <x:c r="K34" s="6" t="n">
        <x:f>IF(H34=0,"",-SUMIFS('日経_M21'!$E$6:$E$56,'日経_M21'!$E$6:$E$56,"&lt;0")/H34)</x:f>
        <x:v>770745.0980392157</x:v>
      </x:c>
      <x:c r="L34" s="6" t="n">
        <x:v>647000</x:v>
      </x:c>
      <x:c r="M34" s="6" t="n">
        <x:f>E34-MAX(0,LARGE('日経_M21'!$E$6:$E$56,1))-MAX(0,LARGE('日経_M21'!$E$6:$E$56,2))-MAX(0,LARGE('日経_M21'!$E$6:$E$56,3))</x:f>
        <x:v>-39308000</x:v>
      </x:c>
      <x:c r="N34" s="6" t="n">
        <x:f>SUMIFS('日経_M21'!$E$6:$E$56,'日経_M21'!$B$6:$B$56,"デイ")</x:f>
        <x:v>-21002000</x:v>
      </x:c>
      <x:c r="O34" s="6" t="n">
        <x:f>SUMIFS('日経_M21'!$E$6:$E$56,'日経_M21'!$B$6:$B$56,"ナイト")</x:f>
        <x:v>-18306000</x:v>
      </x:c>
      <x:c r="P34" s="6" t="n">
        <x:f>'日経_M21'!I57</x:f>
        <x:v>6562</x:v>
      </x:c>
    </x:row>
    <x:row r="35" ht="44" customHeight="1">
      <x:c r="A35" s="2" t="str">
        <x:v>日経_M22</x:v>
      </x:c>
      <x:c r="B35" s="19" t="str">
        <x:v>600秒の時間加重平均を60秒前と比較。保有中も傾き比例で増減、利益追尾で返済。</x:v>
      </x:c>
      <x:c r="C35" s="6" t="n">
        <x:f>'日経_M22'!C57</x:f>
        <x:v>44659000</x:v>
      </x:c>
      <x:c r="D35" s="6" t="n">
        <x:f>'日経_M22'!D57</x:f>
        <x:v>95359000</x:v>
      </x:c>
      <x:c r="E35" s="6" t="n">
        <x:f>'日経_M22'!E57</x:f>
        <x:v>-50700000</x:v>
      </x:c>
      <x:c r="F35" s="20" t="n">
        <x:f>IF(D35=0,"",C35/D35)</x:f>
        <x:v>0.4683249614614247</x:v>
      </x:c>
      <x:c r="G35" s="6" t="n">
        <x:f>COUNTIFS('日経_M22'!$E$6:$E$56,"&gt;0")</x:f>
        <x:v>0</x:v>
      </x:c>
      <x:c r="H35" s="6" t="n">
        <x:f>COUNTIFS('日経_M22'!$E$6:$E$56,"&lt;0")</x:f>
        <x:v>51</x:v>
      </x:c>
      <x:c r="I35" s="6" t="n">
        <x:f>COUNTIFS('日経_M22'!$I$6:$I$56,0)</x:f>
        <x:v>0</x:v>
      </x:c>
      <x:c r="J35" s="6" t="n">
        <x:f>MAX(0,-MIN('日経_M22'!$E$6:$E$56))</x:f>
        <x:v>3415000</x:v>
      </x:c>
      <x:c r="K35" s="6" t="n">
        <x:f>IF(H35=0,"",-SUMIFS('日経_M22'!$E$6:$E$56,'日経_M22'!$E$6:$E$56,"&lt;0")/H35)</x:f>
        <x:v>994117.6470588235</x:v>
      </x:c>
      <x:c r="L35" s="6" t="n">
        <x:v>926000</x:v>
      </x:c>
      <x:c r="M35" s="6" t="n">
        <x:f>E35-MAX(0,LARGE('日経_M22'!$E$6:$E$56,1))-MAX(0,LARGE('日経_M22'!$E$6:$E$56,2))-MAX(0,LARGE('日経_M22'!$E$6:$E$56,3))</x:f>
        <x:v>-50700000</x:v>
      </x:c>
      <x:c r="N35" s="6" t="n">
        <x:f>SUMIFS('日経_M22'!$E$6:$E$56,'日経_M22'!$B$6:$B$56,"デイ")</x:f>
        <x:v>-26932000</x:v>
      </x:c>
      <x:c r="O35" s="6" t="n">
        <x:f>SUMIFS('日経_M22'!$E$6:$E$56,'日経_M22'!$B$6:$B$56,"ナイト")</x:f>
        <x:v>-23768000</x:v>
      </x:c>
      <x:c r="P35" s="6" t="n">
        <x:f>'日経_M22'!I57</x:f>
        <x:v>4720</x:v>
      </x:c>
    </x:row>
    <x:row r="36" ht="44" customHeight="1">
      <x:c r="A36" s="2" t="str">
        <x:v>日経_M23</x:v>
      </x:c>
      <x:c r="B36" s="19" t="str">
        <x:v>600秒の時間加重平均を60秒前と比較。保有中も傾き比例で増減、利益追尾＋傾き反転で返済。</x:v>
      </x:c>
      <x:c r="C36" s="6" t="n">
        <x:f>'日経_M23'!C57</x:f>
        <x:v>46410000</x:v>
      </x:c>
      <x:c r="D36" s="6" t="n">
        <x:f>'日経_M23'!D57</x:f>
        <x:v>101806000</x:v>
      </x:c>
      <x:c r="E36" s="6" t="n">
        <x:f>'日経_M23'!E57</x:f>
        <x:v>-55396000</x:v>
      </x:c>
      <x:c r="F36" s="20" t="n">
        <x:f>IF(D36=0,"",C36/D36)</x:f>
        <x:v>0.45586704123529065</x:v>
      </x:c>
      <x:c r="G36" s="6" t="n">
        <x:f>COUNTIFS('日経_M23'!$E$6:$E$56,"&gt;0")</x:f>
        <x:v>0</x:v>
      </x:c>
      <x:c r="H36" s="6" t="n">
        <x:f>COUNTIFS('日経_M23'!$E$6:$E$56,"&lt;0")</x:f>
        <x:v>51</x:v>
      </x:c>
      <x:c r="I36" s="6" t="n">
        <x:f>COUNTIFS('日経_M23'!$I$6:$I$56,0)</x:f>
        <x:v>0</x:v>
      </x:c>
      <x:c r="J36" s="6" t="n">
        <x:f>MAX(0,-MIN('日経_M23'!$E$6:$E$56))</x:f>
        <x:v>3433000</x:v>
      </x:c>
      <x:c r="K36" s="6" t="n">
        <x:f>IF(H36=0,"",-SUMIFS('日経_M23'!$E$6:$E$56,'日経_M23'!$E$6:$E$56,"&lt;0")/H36)</x:f>
        <x:v>1086196.0784313725</x:v>
      </x:c>
      <x:c r="L36" s="6" t="n">
        <x:v>981000</x:v>
      </x:c>
      <x:c r="M36" s="6" t="n">
        <x:f>E36-MAX(0,LARGE('日経_M23'!$E$6:$E$56,1))-MAX(0,LARGE('日経_M23'!$E$6:$E$56,2))-MAX(0,LARGE('日経_M23'!$E$6:$E$56,3))</x:f>
        <x:v>-55396000</x:v>
      </x:c>
      <x:c r="N36" s="6" t="n">
        <x:f>SUMIFS('日経_M23'!$E$6:$E$56,'日経_M23'!$B$6:$B$56,"デイ")</x:f>
        <x:v>-28800000</x:v>
      </x:c>
      <x:c r="O36" s="6" t="n">
        <x:f>SUMIFS('日経_M23'!$E$6:$E$56,'日経_M23'!$B$6:$B$56,"ナイト")</x:f>
        <x:v>-26596000</x:v>
      </x:c>
      <x:c r="P36" s="6" t="n">
        <x:f>'日経_M23'!I57</x:f>
        <x:v>6111</x:v>
      </x:c>
    </x:row>
    <x:row r="37" ht="44" customHeight="1">
      <x:c r="A37" s="2" t="str">
        <x:v>日経_M24</x:v>
      </x:c>
      <x:c r="B37" s="19" t="str">
        <x:v>600秒の時間加重平均を60秒前と比較。保有中も傾き比例で増減、利益追尾＋傾き反転・増勢後の半減で返済。</x:v>
      </x:c>
      <x:c r="C37" s="6" t="n">
        <x:f>'日経_M24'!C57</x:f>
        <x:v>46568000</x:v>
      </x:c>
      <x:c r="D37" s="6" t="n">
        <x:f>'日経_M24'!D57</x:f>
        <x:v>102619000</x:v>
      </x:c>
      <x:c r="E37" s="6" t="n">
        <x:f>'日経_M24'!E57</x:f>
        <x:v>-56051000</x:v>
      </x:c>
      <x:c r="F37" s="20" t="n">
        <x:f>IF(D37=0,"",C37/D37)</x:f>
        <x:v>0.4537951061694228</x:v>
      </x:c>
      <x:c r="G37" s="6" t="n">
        <x:f>COUNTIFS('日経_M24'!$E$6:$E$56,"&gt;0")</x:f>
        <x:v>0</x:v>
      </x:c>
      <x:c r="H37" s="6" t="n">
        <x:f>COUNTIFS('日経_M24'!$E$6:$E$56,"&lt;0")</x:f>
        <x:v>51</x:v>
      </x:c>
      <x:c r="I37" s="6" t="n">
        <x:f>COUNTIFS('日経_M24'!$I$6:$I$56,0)</x:f>
        <x:v>0</x:v>
      </x:c>
      <x:c r="J37" s="6" t="n">
        <x:f>MAX(0,-MIN('日経_M24'!$E$6:$E$56))</x:f>
        <x:v>3475000</x:v>
      </x:c>
      <x:c r="K37" s="6" t="n">
        <x:f>IF(H37=0,"",-SUMIFS('日経_M24'!$E$6:$E$56,'日経_M24'!$E$6:$E$56,"&lt;0")/H37)</x:f>
        <x:v>1099039.2156862745</x:v>
      </x:c>
      <x:c r="L37" s="6" t="n">
        <x:v>991000</x:v>
      </x:c>
      <x:c r="M37" s="6" t="n">
        <x:f>E37-MAX(0,LARGE('日経_M24'!$E$6:$E$56,1))-MAX(0,LARGE('日経_M24'!$E$6:$E$56,2))-MAX(0,LARGE('日経_M24'!$E$6:$E$56,3))</x:f>
        <x:v>-56051000</x:v>
      </x:c>
      <x:c r="N37" s="6" t="n">
        <x:f>SUMIFS('日経_M24'!$E$6:$E$56,'日経_M24'!$B$6:$B$56,"デイ")</x:f>
        <x:v>-29074000</x:v>
      </x:c>
      <x:c r="O37" s="6" t="n">
        <x:f>SUMIFS('日経_M24'!$E$6:$E$56,'日経_M24'!$B$6:$B$56,"ナイト")</x:f>
        <x:v>-26977000</x:v>
      </x:c>
      <x:c r="P37" s="6" t="n">
        <x:f>'日経_M24'!I57</x:f>
        <x:v>6562</x:v>
      </x:c>
    </x:row>
    <x:row r="38" ht="44" customHeight="1">
      <x:c r="A38" s="2" t="str">
        <x:v>日経_F01</x:v>
      </x:c>
      <x:c r="B38" s="19" t="str">
        <x:v>180秒の時間加重平均を30秒前と比較。固定1枚、利益追尾＋傾き反転・増勢後の半減で返済。</x:v>
      </x:c>
      <x:c r="C38" s="6" t="n">
        <x:f>'日経_F01'!C57</x:f>
        <x:v>11610000</x:v>
      </x:c>
      <x:c r="D38" s="6" t="n">
        <x:f>'日経_F01'!D57</x:f>
        <x:v>31077000</x:v>
      </x:c>
      <x:c r="E38" s="6" t="n">
        <x:f>'日経_F01'!E57</x:f>
        <x:v>-19467000</x:v>
      </x:c>
      <x:c r="F38" s="20" t="n">
        <x:f>IF(D38=0,"",C38/D38)</x:f>
        <x:v>0.3735881841876629</x:v>
      </x:c>
      <x:c r="G38" s="6" t="n">
        <x:f>COUNTIFS('日経_F01'!$E$6:$E$56,"&gt;0")</x:f>
        <x:v>0</x:v>
      </x:c>
      <x:c r="H38" s="6" t="n">
        <x:f>COUNTIFS('日経_F01'!$E$6:$E$56,"&lt;0")</x:f>
        <x:v>51</x:v>
      </x:c>
      <x:c r="I38" s="6" t="n">
        <x:f>COUNTIFS('日経_F01'!$I$6:$I$56,0)</x:f>
        <x:v>0</x:v>
      </x:c>
      <x:c r="J38" s="6" t="n">
        <x:f>MAX(0,-MIN('日経_F01'!$E$6:$E$56))</x:f>
        <x:v>585000</x:v>
      </x:c>
      <x:c r="K38" s="6" t="n">
        <x:f>IF(H38=0,"",-SUMIFS('日経_F01'!$E$6:$E$56,'日経_F01'!$E$6:$E$56,"&lt;0")/H38)</x:f>
        <x:v>381705.8823529412</x:v>
      </x:c>
      <x:c r="L38" s="6" t="n">
        <x:v>370000</x:v>
      </x:c>
      <x:c r="M38" s="6" t="n">
        <x:f>E38-MAX(0,LARGE('日経_F01'!$E$6:$E$56,1))-MAX(0,LARGE('日経_F01'!$E$6:$E$56,2))-MAX(0,LARGE('日経_F01'!$E$6:$E$56,3))</x:f>
        <x:v>-19467000</x:v>
      </x:c>
      <x:c r="N38" s="6" t="n">
        <x:f>SUMIFS('日経_F01'!$E$6:$E$56,'日経_F01'!$B$6:$B$56,"デイ")</x:f>
        <x:v>-9293000</x:v>
      </x:c>
      <x:c r="O38" s="6" t="n">
        <x:f>SUMIFS('日経_F01'!$E$6:$E$56,'日経_F01'!$B$6:$B$56,"ナイト")</x:f>
        <x:v>-10174000</x:v>
      </x:c>
      <x:c r="P38" s="6" t="n">
        <x:f>'日経_F01'!I57</x:f>
        <x:v>12436</x:v>
      </x:c>
    </x:row>
    <x:row r="39" ht="44" customHeight="1">
      <x:c r="A39" s="2" t="str">
        <x:v>日経_F10</x:v>
      </x:c>
      <x:c r="B39" s="19" t="str">
        <x:v>180秒の時間加重平均を30秒前と比較。固定10枚、利益追尾＋傾き反転・増勢後の半減で返済。</x:v>
      </x:c>
      <x:c r="C39" s="6" t="n">
        <x:f>'日経_F10'!C57</x:f>
        <x:v>116100000</x:v>
      </x:c>
      <x:c r="D39" s="6" t="n">
        <x:f>'日経_F10'!D57</x:f>
        <x:v>310770000</x:v>
      </x:c>
      <x:c r="E39" s="6" t="n">
        <x:f>'日経_F10'!E57</x:f>
        <x:v>-194670000</x:v>
      </x:c>
      <x:c r="F39" s="20" t="n">
        <x:f>IF(D39=0,"",C39/D39)</x:f>
        <x:v>0.3735881841876629</x:v>
      </x:c>
      <x:c r="G39" s="6" t="n">
        <x:f>COUNTIFS('日経_F10'!$E$6:$E$56,"&gt;0")</x:f>
        <x:v>0</x:v>
      </x:c>
      <x:c r="H39" s="6" t="n">
        <x:f>COUNTIFS('日経_F10'!$E$6:$E$56,"&lt;0")</x:f>
        <x:v>51</x:v>
      </x:c>
      <x:c r="I39" s="6" t="n">
        <x:f>COUNTIFS('日経_F10'!$I$6:$I$56,0)</x:f>
        <x:v>0</x:v>
      </x:c>
      <x:c r="J39" s="6" t="n">
        <x:f>MAX(0,-MIN('日経_F10'!$E$6:$E$56))</x:f>
        <x:v>5850000</x:v>
      </x:c>
      <x:c r="K39" s="6" t="n">
        <x:f>IF(H39=0,"",-SUMIFS('日経_F10'!$E$6:$E$56,'日経_F10'!$E$6:$E$56,"&lt;0")/H39)</x:f>
        <x:v>3817058.8235294116</x:v>
      </x:c>
      <x:c r="L39" s="6" t="n">
        <x:v>3700000</x:v>
      </x:c>
      <x:c r="M39" s="6" t="n">
        <x:f>E39-MAX(0,LARGE('日経_F10'!$E$6:$E$56,1))-MAX(0,LARGE('日経_F10'!$E$6:$E$56,2))-MAX(0,LARGE('日経_F10'!$E$6:$E$56,3))</x:f>
        <x:v>-194670000</x:v>
      </x:c>
      <x:c r="N39" s="6" t="n">
        <x:f>SUMIFS('日経_F10'!$E$6:$E$56,'日経_F10'!$B$6:$B$56,"デイ")</x:f>
        <x:v>-92930000</x:v>
      </x:c>
      <x:c r="O39" s="6" t="n">
        <x:f>SUMIFS('日経_F10'!$E$6:$E$56,'日経_F10'!$B$6:$B$56,"ナイト")</x:f>
        <x:v>-101740000</x:v>
      </x:c>
      <x:c r="P39" s="6" t="n">
        <x:f>'日経_F10'!I57</x:f>
        <x:v>12436</x:v>
      </x:c>
    </x:row>
    <x:row r="40" ht="44" customHeight="1">
      <x:c r="A40" s="2" t="str">
        <x:v>TOPIX_R01</x:v>
      </x:c>
      <x:c r="B40" s="19" t="str">
        <x:v>3分MA・初回は傾き比例枚数・返済後は冷却して再参加・利益の伸びを追尾／D出口</x:v>
      </x:c>
      <x:c r="C40" s="6" t="n">
        <x:f>'TOPIX_R01'!C57</x:f>
        <x:v>5490500</x:v>
      </x:c>
      <x:c r="D40" s="6" t="n">
        <x:f>'TOPIX_R01'!D57</x:f>
        <x:v>16948000</x:v>
      </x:c>
      <x:c r="E40" s="6" t="n">
        <x:f>'TOPIX_R01'!E57</x:f>
        <x:v>-11457500</x:v>
      </x:c>
      <x:c r="F40" s="20" t="n">
        <x:f>IF(D40=0,"",C40/D40)</x:f>
        <x:v>0.32396152938399814</x:v>
      </x:c>
      <x:c r="G40" s="6" t="n">
        <x:f>COUNTIFS('TOPIX_R01'!$E$6:$E$56,"&gt;0")</x:f>
        <x:v>0</x:v>
      </x:c>
      <x:c r="H40" s="6" t="n">
        <x:f>COUNTIFS('TOPIX_R01'!$E$6:$E$56,"&lt;0")</x:f>
        <x:v>51</x:v>
      </x:c>
      <x:c r="I40" s="6" t="n">
        <x:f>COUNTIFS('TOPIX_R01'!$I$6:$I$56,0)</x:f>
        <x:v>0</x:v>
      </x:c>
      <x:c r="J40" s="6" t="n">
        <x:f>MAX(0,-MIN('TOPIX_R01'!$E$6:$E$56))</x:f>
        <x:v>567000</x:v>
      </x:c>
      <x:c r="K40" s="6" t="n">
        <x:f>IF(H40=0,"",-SUMIFS('TOPIX_R01'!$E$6:$E$56,'TOPIX_R01'!$E$6:$E$56,"&lt;0")/H40)</x:f>
        <x:v>224656.86274509804</x:v>
      </x:c>
      <x:c r="L40" s="6" t="n">
        <x:v>215500</x:v>
      </x:c>
      <x:c r="M40" s="6" t="n">
        <x:f>E40-MAX(0,LARGE('TOPIX_R01'!$E$6:$E$56,1))-MAX(0,LARGE('TOPIX_R01'!$E$6:$E$56,2))-MAX(0,LARGE('TOPIX_R01'!$E$6:$E$56,3))</x:f>
        <x:v>-11457500</x:v>
      </x:c>
      <x:c r="N40" s="6" t="n">
        <x:f>SUMIFS('TOPIX_R01'!$E$6:$E$56,'TOPIX_R01'!$B$6:$B$56,"デイ")</x:f>
        <x:v>-4433000</x:v>
      </x:c>
      <x:c r="O40" s="6" t="n">
        <x:f>SUMIFS('TOPIX_R01'!$E$6:$E$56,'TOPIX_R01'!$B$6:$B$56,"ナイト")</x:f>
        <x:v>-7024500</x:v>
      </x:c>
      <x:c r="P40" s="6" t="n">
        <x:f>'TOPIX_R01'!I57</x:f>
        <x:v>8580</x:v>
      </x:c>
    </x:row>
    <x:row r="41" ht="44" customHeight="1">
      <x:c r="A41" s="2" t="str">
        <x:v>TOPIX_R02</x:v>
      </x:c>
      <x:c r="B41" s="19" t="str">
        <x:v>3分MA・冷却後に再参加・価格位置と1分傾きも確認・初回比例枚数／D出口</x:v>
      </x:c>
      <x:c r="C41" s="6" t="n">
        <x:f>'TOPIX_R02'!C57</x:f>
        <x:v>5987500</x:v>
      </x:c>
      <x:c r="D41" s="6" t="n">
        <x:f>'TOPIX_R02'!D57</x:f>
        <x:v>17428000</x:v>
      </x:c>
      <x:c r="E41" s="6" t="n">
        <x:f>'TOPIX_R02'!E57</x:f>
        <x:v>-11440500</x:v>
      </x:c>
      <x:c r="F41" s="20" t="n">
        <x:f>IF(D41=0,"",C41/D41)</x:f>
        <x:v>0.34355634610970853</x:v>
      </x:c>
      <x:c r="G41" s="6" t="n">
        <x:f>COUNTIFS('TOPIX_R02'!$E$6:$E$56,"&gt;0")</x:f>
        <x:v>0</x:v>
      </x:c>
      <x:c r="H41" s="6" t="n">
        <x:f>COUNTIFS('TOPIX_R02'!$E$6:$E$56,"&lt;0")</x:f>
        <x:v>51</x:v>
      </x:c>
      <x:c r="I41" s="6" t="n">
        <x:f>COUNTIFS('TOPIX_R02'!$I$6:$I$56,0)</x:f>
        <x:v>0</x:v>
      </x:c>
      <x:c r="J41" s="6" t="n">
        <x:f>MAX(0,-MIN('TOPIX_R02'!$E$6:$E$56))</x:f>
        <x:v>558000</x:v>
      </x:c>
      <x:c r="K41" s="6" t="n">
        <x:f>IF(H41=0,"",-SUMIFS('TOPIX_R02'!$E$6:$E$56,'TOPIX_R02'!$E$6:$E$56,"&lt;0")/H41)</x:f>
        <x:v>224323.5294117647</x:v>
      </x:c>
      <x:c r="L41" s="6" t="n">
        <x:v>211500</x:v>
      </x:c>
      <x:c r="M41" s="6" t="n">
        <x:f>E41-MAX(0,LARGE('TOPIX_R02'!$E$6:$E$56,1))-MAX(0,LARGE('TOPIX_R02'!$E$6:$E$56,2))-MAX(0,LARGE('TOPIX_R02'!$E$6:$E$56,3))</x:f>
        <x:v>-11440500</x:v>
      </x:c>
      <x:c r="N41" s="6" t="n">
        <x:f>SUMIFS('TOPIX_R02'!$E$6:$E$56,'TOPIX_R02'!$B$6:$B$56,"デイ")</x:f>
        <x:v>-4528500</x:v>
      </x:c>
      <x:c r="O41" s="6" t="n">
        <x:f>SUMIFS('TOPIX_R02'!$E$6:$E$56,'TOPIX_R02'!$B$6:$B$56,"ナイト")</x:f>
        <x:v>-6912000</x:v>
      </x:c>
      <x:c r="P41" s="6" t="n">
        <x:f>'TOPIX_R02'!I57</x:f>
        <x:v>7794</x:v>
      </x:c>
    </x:row>
    <x:row r="42" ht="44" customHeight="1">
      <x:c r="A42" s="2" t="str">
        <x:v>TOPIX_R03</x:v>
      </x:c>
      <x:c r="B42" s="19" t="str">
        <x:v>3分MA・冷却後に再参加・価格と1分傾き確認・保有中も比例枚数へ増減／D出口</x:v>
      </x:c>
      <x:c r="C42" s="6" t="n">
        <x:f>'TOPIX_R03'!C57</x:f>
        <x:v>13936000</x:v>
      </x:c>
      <x:c r="D42" s="6" t="n">
        <x:f>'TOPIX_R03'!D57</x:f>
        <x:v>47799500</x:v>
      </x:c>
      <x:c r="E42" s="6" t="n">
        <x:f>'TOPIX_R03'!E57</x:f>
        <x:v>-33863500</x:v>
      </x:c>
      <x:c r="F42" s="20" t="n">
        <x:f>IF(D42=0,"",C42/D42)</x:f>
        <x:v>0.29155116685320975</x:v>
      </x:c>
      <x:c r="G42" s="6" t="n">
        <x:f>COUNTIFS('TOPIX_R03'!$E$6:$E$56,"&gt;0")</x:f>
        <x:v>0</x:v>
      </x:c>
      <x:c r="H42" s="6" t="n">
        <x:f>COUNTIFS('TOPIX_R03'!$E$6:$E$56,"&lt;0")</x:f>
        <x:v>51</x:v>
      </x:c>
      <x:c r="I42" s="6" t="n">
        <x:f>COUNTIFS('TOPIX_R03'!$I$6:$I$56,0)</x:f>
        <x:v>0</x:v>
      </x:c>
      <x:c r="J42" s="6" t="n">
        <x:f>MAX(0,-MIN('TOPIX_R03'!$E$6:$E$56))</x:f>
        <x:v>1255500</x:v>
      </x:c>
      <x:c r="K42" s="6" t="n">
        <x:f>IF(H42=0,"",-SUMIFS('TOPIX_R03'!$E$6:$E$56,'TOPIX_R03'!$E$6:$E$56,"&lt;0")/H42)</x:f>
        <x:v>663990.1960784313</x:v>
      </x:c>
      <x:c r="L42" s="6" t="n">
        <x:v>668000</x:v>
      </x:c>
      <x:c r="M42" s="6" t="n">
        <x:f>E42-MAX(0,LARGE('TOPIX_R03'!$E$6:$E$56,1))-MAX(0,LARGE('TOPIX_R03'!$E$6:$E$56,2))-MAX(0,LARGE('TOPIX_R03'!$E$6:$E$56,3))</x:f>
        <x:v>-33863500</x:v>
      </x:c>
      <x:c r="N42" s="6" t="n">
        <x:f>SUMIFS('TOPIX_R03'!$E$6:$E$56,'TOPIX_R03'!$B$6:$B$56,"デイ")</x:f>
        <x:v>-14390500</x:v>
      </x:c>
      <x:c r="O42" s="6" t="n">
        <x:f>SUMIFS('TOPIX_R03'!$E$6:$E$56,'TOPIX_R03'!$B$6:$B$56,"ナイト")</x:f>
        <x:v>-19473000</x:v>
      </x:c>
      <x:c r="P42" s="6" t="n">
        <x:f>'TOPIX_R03'!I57</x:f>
        <x:v>7794</x:v>
      </x:c>
    </x:row>
    <x:row r="43" ht="44" customHeight="1">
      <x:c r="A43" s="2" t="str">
        <x:v>TOPIX_R04</x:v>
      </x:c>
      <x:c r="B43" s="19" t="str">
        <x:v>3分MA・冷却後に再参加・価格と1分傾き確認・利益方向だけ追加・2枚差で増減／D出口</x:v>
      </x:c>
      <x:c r="C43" s="6" t="n">
        <x:f>'TOPIX_R04'!C57</x:f>
        <x:v>10635500</x:v>
      </x:c>
      <x:c r="D43" s="6" t="n">
        <x:f>'TOPIX_R04'!D57</x:f>
        <x:v>33807500</x:v>
      </x:c>
      <x:c r="E43" s="6" t="n">
        <x:f>'TOPIX_R04'!E57</x:f>
        <x:v>-23172000</x:v>
      </x:c>
      <x:c r="F43" s="20" t="n">
        <x:f>IF(D43=0,"",C43/D43)</x:f>
        <x:v>0.3145899578495896</x:v>
      </x:c>
      <x:c r="G43" s="6" t="n">
        <x:f>COUNTIFS('TOPIX_R04'!$E$6:$E$56,"&gt;0")</x:f>
        <x:v>0</x:v>
      </x:c>
      <x:c r="H43" s="6" t="n">
        <x:f>COUNTIFS('TOPIX_R04'!$E$6:$E$56,"&lt;0")</x:f>
        <x:v>51</x:v>
      </x:c>
      <x:c r="I43" s="6" t="n">
        <x:f>COUNTIFS('TOPIX_R04'!$I$6:$I$56,0)</x:f>
        <x:v>0</x:v>
      </x:c>
      <x:c r="J43" s="6" t="n">
        <x:f>MAX(0,-MIN('TOPIX_R04'!$E$6:$E$56))</x:f>
        <x:v>950000</x:v>
      </x:c>
      <x:c r="K43" s="6" t="n">
        <x:f>IF(H43=0,"",-SUMIFS('TOPIX_R04'!$E$6:$E$56,'TOPIX_R04'!$E$6:$E$56,"&lt;0")/H43)</x:f>
        <x:v>454352.9411764706</x:v>
      </x:c>
      <x:c r="L43" s="6" t="n">
        <x:v>440000</x:v>
      </x:c>
      <x:c r="M43" s="6" t="n">
        <x:f>E43-MAX(0,LARGE('TOPIX_R04'!$E$6:$E$56,1))-MAX(0,LARGE('TOPIX_R04'!$E$6:$E$56,2))-MAX(0,LARGE('TOPIX_R04'!$E$6:$E$56,3))</x:f>
        <x:v>-23172000</x:v>
      </x:c>
      <x:c r="N43" s="6" t="n">
        <x:f>SUMIFS('TOPIX_R04'!$E$6:$E$56,'TOPIX_R04'!$B$6:$B$56,"デイ")</x:f>
        <x:v>-9914000</x:v>
      </x:c>
      <x:c r="O43" s="6" t="n">
        <x:f>SUMIFS('TOPIX_R04'!$E$6:$E$56,'TOPIX_R04'!$B$6:$B$56,"ナイト")</x:f>
        <x:v>-13258000</x:v>
      </x:c>
      <x:c r="P43" s="6" t="n">
        <x:f>'TOPIX_R04'!I57</x:f>
        <x:v>7794</x:v>
      </x:c>
    </x:row>
    <x:row r="44" ht="44" customHeight="1">
      <x:c r="A44" s="2" t="str">
        <x:v>TOPIX_R05</x:v>
      </x:c>
      <x:c r="B44" s="19" t="str">
        <x:v>10分MA・初回は傾き比例枚数・返済後は冷却して再参加・利益の伸びを追尾／T出口</x:v>
      </x:c>
      <x:c r="C44" s="6" t="n">
        <x:f>'TOPIX_R05'!C57</x:f>
        <x:v>2666000</x:v>
      </x:c>
      <x:c r="D44" s="6" t="n">
        <x:f>'TOPIX_R05'!D57</x:f>
        <x:v>4622000</x:v>
      </x:c>
      <x:c r="E44" s="6" t="n">
        <x:f>'TOPIX_R05'!E57</x:f>
        <x:v>-1956000</x:v>
      </x:c>
      <x:c r="F44" s="20" t="n">
        <x:f>IF(D44=0,"",C44/D44)</x:f>
        <x:v>0.5768065772392903</x:v>
      </x:c>
      <x:c r="G44" s="6" t="n">
        <x:f>COUNTIFS('TOPIX_R05'!$E$6:$E$56,"&gt;0")</x:f>
        <x:v>8</x:v>
      </x:c>
      <x:c r="H44" s="6" t="n">
        <x:f>COUNTIFS('TOPIX_R05'!$E$6:$E$56,"&lt;0")</x:f>
        <x:v>43</x:v>
      </x:c>
      <x:c r="I44" s="6" t="n">
        <x:f>COUNTIFS('TOPIX_R05'!$I$6:$I$56,0)</x:f>
        <x:v>0</x:v>
      </x:c>
      <x:c r="J44" s="6" t="n">
        <x:f>MAX(0,-MIN('TOPIX_R05'!$E$6:$E$56))</x:f>
        <x:v>144000</x:v>
      </x:c>
      <x:c r="K44" s="6" t="n">
        <x:f>IF(H44=0,"",-SUMIFS('TOPIX_R05'!$E$6:$E$56,'TOPIX_R05'!$E$6:$E$56,"&lt;0")/H44)</x:f>
        <x:v>48767.441860465115</x:v>
      </x:c>
      <x:c r="L44" s="6" t="n">
        <x:v>47500</x:v>
      </x:c>
      <x:c r="M44" s="6" t="n">
        <x:f>E44-MAX(0,LARGE('TOPIX_R05'!$E$6:$E$56,1))-MAX(0,LARGE('TOPIX_R05'!$E$6:$E$56,2))-MAX(0,LARGE('TOPIX_R05'!$E$6:$E$56,3))</x:f>
        <x:v>-2035500</x:v>
      </x:c>
      <x:c r="N44" s="6" t="n">
        <x:f>SUMIFS('TOPIX_R05'!$E$6:$E$56,'TOPIX_R05'!$B$6:$B$56,"デイ")</x:f>
        <x:v>-910500</x:v>
      </x:c>
      <x:c r="O44" s="6" t="n">
        <x:f>SUMIFS('TOPIX_R05'!$E$6:$E$56,'TOPIX_R05'!$B$6:$B$56,"ナイト")</x:f>
        <x:v>-1045500</x:v>
      </x:c>
      <x:c r="P44" s="6" t="n">
        <x:f>'TOPIX_R05'!I57</x:f>
        <x:v>1391</x:v>
      </x:c>
    </x:row>
    <x:row r="45" ht="44" customHeight="1">
      <x:c r="A45" s="2" t="str">
        <x:v>TOPIX_R06</x:v>
      </x:c>
      <x:c r="B45" s="19" t="str">
        <x:v>10分MA・冷却後に再参加・価格位置と1分傾きも確認・初回比例枚数／T出口</x:v>
      </x:c>
      <x:c r="C45" s="6" t="n">
        <x:f>'TOPIX_R06'!C57</x:f>
        <x:v>2663000</x:v>
      </x:c>
      <x:c r="D45" s="6" t="n">
        <x:f>'TOPIX_R06'!D57</x:f>
        <x:v>4343500</x:v>
      </x:c>
      <x:c r="E45" s="6" t="n">
        <x:f>'TOPIX_R06'!E57</x:f>
        <x:v>-1680500</x:v>
      </x:c>
      <x:c r="F45" s="20" t="n">
        <x:f>IF(D45=0,"",C45/D45)</x:f>
        <x:v>0.6131000345343617</x:v>
      </x:c>
      <x:c r="G45" s="6" t="n">
        <x:f>COUNTIFS('TOPIX_R06'!$E$6:$E$56,"&gt;0")</x:f>
        <x:v>12</x:v>
      </x:c>
      <x:c r="H45" s="6" t="n">
        <x:f>COUNTIFS('TOPIX_R06'!$E$6:$E$56,"&lt;0")</x:f>
        <x:v>39</x:v>
      </x:c>
      <x:c r="I45" s="6" t="n">
        <x:f>COUNTIFS('TOPIX_R06'!$I$6:$I$56,0)</x:f>
        <x:v>0</x:v>
      </x:c>
      <x:c r="J45" s="6" t="n">
        <x:f>MAX(0,-MIN('TOPIX_R06'!$E$6:$E$56))</x:f>
        <x:v>136000</x:v>
      </x:c>
      <x:c r="K45" s="6" t="n">
        <x:f>IF(H45=0,"",-SUMIFS('TOPIX_R06'!$E$6:$E$56,'TOPIX_R06'!$E$6:$E$56,"&lt;0")/H45)</x:f>
        <x:v>48628.205128205125</x:v>
      </x:c>
      <x:c r="L45" s="6" t="n">
        <x:v>45500</x:v>
      </x:c>
      <x:c r="M45" s="6" t="n">
        <x:f>E45-MAX(0,LARGE('TOPIX_R06'!$E$6:$E$56,1))-MAX(0,LARGE('TOPIX_R06'!$E$6:$E$56,2))-MAX(0,LARGE('TOPIX_R06'!$E$6:$E$56,3))</x:f>
        <x:v>-1784000</x:v>
      </x:c>
      <x:c r="N45" s="6" t="n">
        <x:f>SUMIFS('TOPIX_R06'!$E$6:$E$56,'TOPIX_R06'!$B$6:$B$56,"デイ")</x:f>
        <x:v>-811500</x:v>
      </x:c>
      <x:c r="O45" s="6" t="n">
        <x:f>SUMIFS('TOPIX_R06'!$E$6:$E$56,'TOPIX_R06'!$B$6:$B$56,"ナイト")</x:f>
        <x:v>-869000</x:v>
      </x:c>
      <x:c r="P45" s="6" t="n">
        <x:f>'TOPIX_R06'!I57</x:f>
        <x:v>1359</x:v>
      </x:c>
    </x:row>
    <x:row r="46" ht="44" customHeight="1">
      <x:c r="A46" s="2" t="str">
        <x:v>TOPIX_R07</x:v>
      </x:c>
      <x:c r="B46" s="19" t="str">
        <x:v>10分MA・冷却後に再参加・価格と1分傾き確認・保有中も比例枚数へ増減／T出口</x:v>
      </x:c>
      <x:c r="C46" s="6" t="n">
        <x:f>'TOPIX_R07'!C57</x:f>
        <x:v>4102000</x:v>
      </x:c>
      <x:c r="D46" s="6" t="n">
        <x:f>'TOPIX_R07'!D57</x:f>
        <x:v>9353000</x:v>
      </x:c>
      <x:c r="E46" s="6" t="n">
        <x:f>'TOPIX_R07'!E57</x:f>
        <x:v>-5251000</x:v>
      </x:c>
      <x:c r="F46" s="20" t="n">
        <x:f>IF(D46=0,"",C46/D46)</x:f>
        <x:v>0.4385758580134716</x:v>
      </x:c>
      <x:c r="G46" s="6" t="n">
        <x:f>COUNTIFS('TOPIX_R07'!$E$6:$E$56,"&gt;0")</x:f>
        <x:v>1</x:v>
      </x:c>
      <x:c r="H46" s="6" t="n">
        <x:f>COUNTIFS('TOPIX_R07'!$E$6:$E$56,"&lt;0")</x:f>
        <x:v>50</x:v>
      </x:c>
      <x:c r="I46" s="6" t="n">
        <x:f>COUNTIFS('TOPIX_R07'!$I$6:$I$56,0)</x:f>
        <x:v>0</x:v>
      </x:c>
      <x:c r="J46" s="6" t="n">
        <x:f>MAX(0,-MIN('TOPIX_R07'!$E$6:$E$56))</x:f>
        <x:v>265000</x:v>
      </x:c>
      <x:c r="K46" s="6" t="n">
        <x:f>IF(H46=0,"",-SUMIFS('TOPIX_R07'!$E$6:$E$56,'TOPIX_R07'!$E$6:$E$56,"&lt;0")/H46)</x:f>
        <x:v>105310</x:v>
      </x:c>
      <x:c r="L46" s="6" t="n">
        <x:v>107000</x:v>
      </x:c>
      <x:c r="M46" s="6" t="n">
        <x:f>E46-MAX(0,LARGE('TOPIX_R07'!$E$6:$E$56,1))-MAX(0,LARGE('TOPIX_R07'!$E$6:$E$56,2))-MAX(0,LARGE('TOPIX_R07'!$E$6:$E$56,3))</x:f>
        <x:v>-5265500</x:v>
      </x:c>
      <x:c r="N46" s="6" t="n">
        <x:f>SUMIFS('TOPIX_R07'!$E$6:$E$56,'TOPIX_R07'!$B$6:$B$56,"デイ")</x:f>
        <x:v>-2470500</x:v>
      </x:c>
      <x:c r="O46" s="6" t="n">
        <x:f>SUMIFS('TOPIX_R07'!$E$6:$E$56,'TOPIX_R07'!$B$6:$B$56,"ナイト")</x:f>
        <x:v>-2780500</x:v>
      </x:c>
      <x:c r="P46" s="6" t="n">
        <x:f>'TOPIX_R07'!I57</x:f>
        <x:v>1359</x:v>
      </x:c>
    </x:row>
    <x:row r="47" ht="44" customHeight="1">
      <x:c r="A47" s="2" t="str">
        <x:v>TOPIX_R08</x:v>
      </x:c>
      <x:c r="B47" s="19" t="str">
        <x:v>10分MA・冷却後に再参加・価格と1分傾き確認・利益方向だけ追加・2枚差で増減／T出口</x:v>
      </x:c>
      <x:c r="C47" s="6" t="n">
        <x:f>'TOPIX_R08'!C57</x:f>
        <x:v>3408500</x:v>
      </x:c>
      <x:c r="D47" s="6" t="n">
        <x:f>'TOPIX_R08'!D57</x:f>
        <x:v>6985000</x:v>
      </x:c>
      <x:c r="E47" s="6" t="n">
        <x:f>'TOPIX_R08'!E57</x:f>
        <x:v>-3576500</x:v>
      </x:c>
      <x:c r="F47" s="20" t="n">
        <x:f>IF(D47=0,"",C47/D47)</x:f>
        <x:v>0.48797423049391553</x:v>
      </x:c>
      <x:c r="G47" s="6" t="n">
        <x:f>COUNTIFS('TOPIX_R08'!$E$6:$E$56,"&gt;0")</x:f>
        <x:v>2</x:v>
      </x:c>
      <x:c r="H47" s="6" t="n">
        <x:f>COUNTIFS('TOPIX_R08'!$E$6:$E$56,"&lt;0")</x:f>
        <x:v>49</x:v>
      </x:c>
      <x:c r="I47" s="6" t="n">
        <x:f>COUNTIFS('TOPIX_R08'!$I$6:$I$56,0)</x:f>
        <x:v>0</x:v>
      </x:c>
      <x:c r="J47" s="6" t="n">
        <x:f>MAX(0,-MIN('TOPIX_R08'!$E$6:$E$56))</x:f>
        <x:v>206000</x:v>
      </x:c>
      <x:c r="K47" s="6" t="n">
        <x:f>IF(H47=0,"",-SUMIFS('TOPIX_R08'!$E$6:$E$56,'TOPIX_R08'!$E$6:$E$56,"&lt;0")/H47)</x:f>
        <x:v>73734.69387755102</x:v>
      </x:c>
      <x:c r="L47" s="6" t="n">
        <x:v>68000</x:v>
      </x:c>
      <x:c r="M47" s="6" t="n">
        <x:f>E47-MAX(0,LARGE('TOPIX_R08'!$E$6:$E$56,1))-MAX(0,LARGE('TOPIX_R08'!$E$6:$E$56,2))-MAX(0,LARGE('TOPIX_R08'!$E$6:$E$56,3))</x:f>
        <x:v>-3613000</x:v>
      </x:c>
      <x:c r="N47" s="6" t="n">
        <x:f>SUMIFS('TOPIX_R08'!$E$6:$E$56,'TOPIX_R08'!$B$6:$B$56,"デイ")</x:f>
        <x:v>-1717500</x:v>
      </x:c>
      <x:c r="O47" s="6" t="n">
        <x:f>SUMIFS('TOPIX_R08'!$E$6:$E$56,'TOPIX_R08'!$B$6:$B$56,"ナイト")</x:f>
        <x:v>-1859000</x:v>
      </x:c>
      <x:c r="P47" s="6" t="n">
        <x:f>'TOPIX_R08'!I57</x:f>
        <x:v>1359</x:v>
      </x:c>
    </x:row>
    <x:row r="48" ht="44" customHeight="1">
      <x:c r="A48" s="2" t="str">
        <x:v>TOPIX_M01</x:v>
      </x:c>
      <x:c r="B48" s="19" t="str">
        <x:v>60秒の時間加重平均を30秒前と比較。入口だけ傾き比例枚数、利益追尾で返済。</x:v>
      </x:c>
      <x:c r="C48" s="6" t="n">
        <x:f>'TOPIX_M01'!C57</x:f>
        <x:v>30010000</x:v>
      </x:c>
      <x:c r="D48" s="6" t="n">
        <x:f>'TOPIX_M01'!D57</x:f>
        <x:v>50157000</x:v>
      </x:c>
      <x:c r="E48" s="6" t="n">
        <x:f>'TOPIX_M01'!E57</x:f>
        <x:v>-20147000</x:v>
      </x:c>
      <x:c r="F48" s="20" t="n">
        <x:f>IF(D48=0,"",C48/D48)</x:f>
        <x:v>0.5983212712084056</x:v>
      </x:c>
      <x:c r="G48" s="6" t="n">
        <x:f>COUNTIFS('TOPIX_M01'!$E$6:$E$56,"&gt;0")</x:f>
        <x:v>4</x:v>
      </x:c>
      <x:c r="H48" s="6" t="n">
        <x:f>COUNTIFS('TOPIX_M01'!$E$6:$E$56,"&lt;0")</x:f>
        <x:v>47</x:v>
      </x:c>
      <x:c r="I48" s="6" t="n">
        <x:f>COUNTIFS('TOPIX_M01'!$I$6:$I$56,0)</x:f>
        <x:v>0</x:v>
      </x:c>
      <x:c r="J48" s="6" t="n">
        <x:f>MAX(0,-MIN('TOPIX_M01'!$E$6:$E$56))</x:f>
        <x:v>1223500</x:v>
      </x:c>
      <x:c r="K48" s="6" t="n">
        <x:f>IF(H48=0,"",-SUMIFS('TOPIX_M01'!$E$6:$E$56,'TOPIX_M01'!$E$6:$E$56,"&lt;0")/H48)</x:f>
        <x:v>434372.3404255319</x:v>
      </x:c>
      <x:c r="L48" s="6" t="n">
        <x:v>408000</x:v>
      </x:c>
      <x:c r="M48" s="6" t="n">
        <x:f>E48-MAX(0,LARGE('TOPIX_M01'!$E$6:$E$56,1))-MAX(0,LARGE('TOPIX_M01'!$E$6:$E$56,2))-MAX(0,LARGE('TOPIX_M01'!$E$6:$E$56,3))</x:f>
        <x:v>-20396000</x:v>
      </x:c>
      <x:c r="N48" s="6" t="n">
        <x:f>SUMIFS('TOPIX_M01'!$E$6:$E$56,'TOPIX_M01'!$B$6:$B$56,"デイ")</x:f>
        <x:v>-11582500</x:v>
      </x:c>
      <x:c r="O48" s="6" t="n">
        <x:f>SUMIFS('TOPIX_M01'!$E$6:$E$56,'TOPIX_M01'!$B$6:$B$56,"ナイト")</x:f>
        <x:v>-8564500</x:v>
      </x:c>
      <x:c r="P48" s="6" t="n">
        <x:f>'TOPIX_M01'!I57</x:f>
        <x:v>2940</x:v>
      </x:c>
    </x:row>
    <x:row r="49" ht="44" customHeight="1">
      <x:c r="A49" s="2" t="str">
        <x:v>TOPIX_M02</x:v>
      </x:c>
      <x:c r="B49" s="19" t="str">
        <x:v>60秒の時間加重平均を30秒前と比較。入口だけ傾き比例枚数、利益追尾＋傾き反転で返済。</x:v>
      </x:c>
      <x:c r="C49" s="6" t="n">
        <x:f>'TOPIX_M02'!C57</x:f>
        <x:v>30886000</x:v>
      </x:c>
      <x:c r="D49" s="6" t="n">
        <x:f>'TOPIX_M02'!D57</x:f>
        <x:v>99822500</x:v>
      </x:c>
      <x:c r="E49" s="6" t="n">
        <x:f>'TOPIX_M02'!E57</x:f>
        <x:v>-68936500</x:v>
      </x:c>
      <x:c r="F49" s="20" t="n">
        <x:f>IF(D49=0,"",C49/D49)</x:f>
        <x:v>0.30940920133236494</x:v>
      </x:c>
      <x:c r="G49" s="6" t="n">
        <x:f>COUNTIFS('TOPIX_M02'!$E$6:$E$56,"&gt;0")</x:f>
        <x:v>0</x:v>
      </x:c>
      <x:c r="H49" s="6" t="n">
        <x:f>COUNTIFS('TOPIX_M02'!$E$6:$E$56,"&lt;0")</x:f>
        <x:v>51</x:v>
      </x:c>
      <x:c r="I49" s="6" t="n">
        <x:f>COUNTIFS('TOPIX_M02'!$I$6:$I$56,0)</x:f>
        <x:v>0</x:v>
      </x:c>
      <x:c r="J49" s="6" t="n">
        <x:f>MAX(0,-MIN('TOPIX_M02'!$E$6:$E$56))</x:f>
        <x:v>2375500</x:v>
      </x:c>
      <x:c r="K49" s="6" t="n">
        <x:f>IF(H49=0,"",-SUMIFS('TOPIX_M02'!$E$6:$E$56,'TOPIX_M02'!$E$6:$E$56,"&lt;0")/H49)</x:f>
        <x:v>1351696.0784313725</x:v>
      </x:c>
      <x:c r="L49" s="6" t="n">
        <x:v>1376000</x:v>
      </x:c>
      <x:c r="M49" s="6" t="n">
        <x:f>E49-MAX(0,LARGE('TOPIX_M02'!$E$6:$E$56,1))-MAX(0,LARGE('TOPIX_M02'!$E$6:$E$56,2))-MAX(0,LARGE('TOPIX_M02'!$E$6:$E$56,3))</x:f>
        <x:v>-68936500</x:v>
      </x:c>
      <x:c r="N49" s="6" t="n">
        <x:f>SUMIFS('TOPIX_M02'!$E$6:$E$56,'TOPIX_M02'!$B$6:$B$56,"デイ")</x:f>
        <x:v>-31331500</x:v>
      </x:c>
      <x:c r="O49" s="6" t="n">
        <x:f>SUMIFS('TOPIX_M02'!$E$6:$E$56,'TOPIX_M02'!$B$6:$B$56,"ナイト")</x:f>
        <x:v>-37605000</x:v>
      </x:c>
      <x:c r="P49" s="6" t="n">
        <x:f>'TOPIX_M02'!I57</x:f>
        <x:v>17591</x:v>
      </x:c>
    </x:row>
    <x:row r="50" ht="44" customHeight="1">
      <x:c r="A50" s="2" t="str">
        <x:v>TOPIX_M03</x:v>
      </x:c>
      <x:c r="B50" s="19" t="str">
        <x:v>60秒の時間加重平均を30秒前と比較。入口だけ傾き比例枚数、利益追尾＋傾き反転・増勢後の半減で返済。</x:v>
      </x:c>
      <x:c r="C50" s="6" t="n">
        <x:f>'TOPIX_M03'!C57</x:f>
        <x:v>29699000</x:v>
      </x:c>
      <x:c r="D50" s="6" t="n">
        <x:f>'TOPIX_M03'!D57</x:f>
        <x:v>100254000</x:v>
      </x:c>
      <x:c r="E50" s="6" t="n">
        <x:f>'TOPIX_M03'!E57</x:f>
        <x:v>-70555000</x:v>
      </x:c>
      <x:c r="F50" s="20" t="n">
        <x:f>IF(D50=0,"",C50/D50)</x:f>
        <x:v>0.2962375566062202</x:v>
      </x:c>
      <x:c r="G50" s="6" t="n">
        <x:f>COUNTIFS('TOPIX_M03'!$E$6:$E$56,"&gt;0")</x:f>
        <x:v>0</x:v>
      </x:c>
      <x:c r="H50" s="6" t="n">
        <x:f>COUNTIFS('TOPIX_M03'!$E$6:$E$56,"&lt;0")</x:f>
        <x:v>51</x:v>
      </x:c>
      <x:c r="I50" s="6" t="n">
        <x:f>COUNTIFS('TOPIX_M03'!$I$6:$I$56,0)</x:f>
        <x:v>0</x:v>
      </x:c>
      <x:c r="J50" s="6" t="n">
        <x:f>MAX(0,-MIN('TOPIX_M03'!$E$6:$E$56))</x:f>
        <x:v>2386000</x:v>
      </x:c>
      <x:c r="K50" s="6" t="n">
        <x:f>IF(H50=0,"",-SUMIFS('TOPIX_M03'!$E$6:$E$56,'TOPIX_M03'!$E$6:$E$56,"&lt;0")/H50)</x:f>
        <x:v>1383431.3725490195</x:v>
      </x:c>
      <x:c r="L50" s="6" t="n">
        <x:v>1392500</x:v>
      </x:c>
      <x:c r="M50" s="6" t="n">
        <x:f>E50-MAX(0,LARGE('TOPIX_M03'!$E$6:$E$56,1))-MAX(0,LARGE('TOPIX_M03'!$E$6:$E$56,2))-MAX(0,LARGE('TOPIX_M03'!$E$6:$E$56,3))</x:f>
        <x:v>-70555000</x:v>
      </x:c>
      <x:c r="N50" s="6" t="n">
        <x:f>SUMIFS('TOPIX_M03'!$E$6:$E$56,'TOPIX_M03'!$B$6:$B$56,"デイ")</x:f>
        <x:v>-31457500</x:v>
      </x:c>
      <x:c r="O50" s="6" t="n">
        <x:f>SUMIFS('TOPIX_M03'!$E$6:$E$56,'TOPIX_M03'!$B$6:$B$56,"ナイト")</x:f>
        <x:v>-39097500</x:v>
      </x:c>
      <x:c r="P50" s="6" t="n">
        <x:f>'TOPIX_M03'!I57</x:f>
        <x:v>19866</x:v>
      </x:c>
    </x:row>
    <x:row r="51" ht="44" customHeight="1">
      <x:c r="A51" s="2" t="str">
        <x:v>TOPIX_M04</x:v>
      </x:c>
      <x:c r="B51" s="19" t="str">
        <x:v>60秒の時間加重平均を30秒前と比較。保有中も傾き比例で増減、利益追尾で返済。</x:v>
      </x:c>
      <x:c r="C51" s="6" t="n">
        <x:f>'TOPIX_M04'!C57</x:f>
        <x:v>23037500</x:v>
      </x:c>
      <x:c r="D51" s="6" t="n">
        <x:f>'TOPIX_M04'!D57</x:f>
        <x:v>82194500</x:v>
      </x:c>
      <x:c r="E51" s="6" t="n">
        <x:f>'TOPIX_M04'!E57</x:f>
        <x:v>-59157000</x:v>
      </x:c>
      <x:c r="F51" s="20" t="n">
        <x:f>IF(D51=0,"",C51/D51)</x:f>
        <x:v>0.2802803107263868</x:v>
      </x:c>
      <x:c r="G51" s="6" t="n">
        <x:f>COUNTIFS('TOPIX_M04'!$E$6:$E$56,"&gt;0")</x:f>
        <x:v>0</x:v>
      </x:c>
      <x:c r="H51" s="6" t="n">
        <x:f>COUNTIFS('TOPIX_M04'!$E$6:$E$56,"&lt;0")</x:f>
        <x:v>51</x:v>
      </x:c>
      <x:c r="I51" s="6" t="n">
        <x:f>COUNTIFS('TOPIX_M04'!$I$6:$I$56,0)</x:f>
        <x:v>0</x:v>
      </x:c>
      <x:c r="J51" s="6" t="n">
        <x:f>MAX(0,-MIN('TOPIX_M04'!$E$6:$E$56))</x:f>
        <x:v>1902000</x:v>
      </x:c>
      <x:c r="K51" s="6" t="n">
        <x:f>IF(H51=0,"",-SUMIFS('TOPIX_M04'!$E$6:$E$56,'TOPIX_M04'!$E$6:$E$56,"&lt;0")/H51)</x:f>
        <x:v>1159941.1764705882</x:v>
      </x:c>
      <x:c r="L51" s="6" t="n">
        <x:v>1141500</x:v>
      </x:c>
      <x:c r="M51" s="6" t="n">
        <x:f>E51-MAX(0,LARGE('TOPIX_M04'!$E$6:$E$56,1))-MAX(0,LARGE('TOPIX_M04'!$E$6:$E$56,2))-MAX(0,LARGE('TOPIX_M04'!$E$6:$E$56,3))</x:f>
        <x:v>-59157000</x:v>
      </x:c>
      <x:c r="N51" s="6" t="n">
        <x:f>SUMIFS('TOPIX_M04'!$E$6:$E$56,'TOPIX_M04'!$B$6:$B$56,"デイ")</x:f>
        <x:v>-26659000</x:v>
      </x:c>
      <x:c r="O51" s="6" t="n">
        <x:f>SUMIFS('TOPIX_M04'!$E$6:$E$56,'TOPIX_M04'!$B$6:$B$56,"ナイト")</x:f>
        <x:v>-32498000</x:v>
      </x:c>
      <x:c r="P51" s="6" t="n">
        <x:f>'TOPIX_M04'!I57</x:f>
        <x:v>2940</x:v>
      </x:c>
    </x:row>
    <x:row r="52" ht="44" customHeight="1">
      <x:c r="A52" s="2" t="str">
        <x:v>TOPIX_M05</x:v>
      </x:c>
      <x:c r="B52" s="19" t="str">
        <x:v>60秒の時間加重平均を30秒前と比較。保有中も傾き比例で増減、利益追尾＋傾き反転で返済。</x:v>
      </x:c>
      <x:c r="C52" s="6" t="n">
        <x:f>'TOPIX_M05'!C57</x:f>
        <x:v>34581000</x:v>
      </x:c>
      <x:c r="D52" s="6" t="n">
        <x:f>'TOPIX_M05'!D57</x:f>
        <x:v>135953500</x:v>
      </x:c>
      <x:c r="E52" s="6" t="n">
        <x:f>'TOPIX_M05'!E57</x:f>
        <x:v>-101372500</x:v>
      </x:c>
      <x:c r="F52" s="20" t="n">
        <x:f>IF(D52=0,"",C52/D52)</x:f>
        <x:v>0.25435902716737707</x:v>
      </x:c>
      <x:c r="G52" s="6" t="n">
        <x:f>COUNTIFS('TOPIX_M05'!$E$6:$E$56,"&gt;0")</x:f>
        <x:v>0</x:v>
      </x:c>
      <x:c r="H52" s="6" t="n">
        <x:f>COUNTIFS('TOPIX_M05'!$E$6:$E$56,"&lt;0")</x:f>
        <x:v>51</x:v>
      </x:c>
      <x:c r="I52" s="6" t="n">
        <x:f>COUNTIFS('TOPIX_M05'!$I$6:$I$56,0)</x:f>
        <x:v>0</x:v>
      </x:c>
      <x:c r="J52" s="6" t="n">
        <x:f>MAX(0,-MIN('TOPIX_M05'!$E$6:$E$56))</x:f>
        <x:v>3336000</x:v>
      </x:c>
      <x:c r="K52" s="6" t="n">
        <x:f>IF(H52=0,"",-SUMIFS('TOPIX_M05'!$E$6:$E$56,'TOPIX_M05'!$E$6:$E$56,"&lt;0")/H52)</x:f>
        <x:v>1987696.0784313725</x:v>
      </x:c>
      <x:c r="L52" s="6" t="n">
        <x:v>1924000</x:v>
      </x:c>
      <x:c r="M52" s="6" t="n">
        <x:f>E52-MAX(0,LARGE('TOPIX_M05'!$E$6:$E$56,1))-MAX(0,LARGE('TOPIX_M05'!$E$6:$E$56,2))-MAX(0,LARGE('TOPIX_M05'!$E$6:$E$56,3))</x:f>
        <x:v>-101372500</x:v>
      </x:c>
      <x:c r="N52" s="6" t="n">
        <x:f>SUMIFS('TOPIX_M05'!$E$6:$E$56,'TOPIX_M05'!$B$6:$B$56,"デイ")</x:f>
        <x:v>-44432500</x:v>
      </x:c>
      <x:c r="O52" s="6" t="n">
        <x:f>SUMIFS('TOPIX_M05'!$E$6:$E$56,'TOPIX_M05'!$B$6:$B$56,"ナイト")</x:f>
        <x:v>-56940000</x:v>
      </x:c>
      <x:c r="P52" s="6" t="n">
        <x:f>'TOPIX_M05'!I57</x:f>
        <x:v>17591</x:v>
      </x:c>
    </x:row>
    <x:row r="53" ht="44" customHeight="1">
      <x:c r="A53" s="2" t="str">
        <x:v>TOPIX_M06</x:v>
      </x:c>
      <x:c r="B53" s="19" t="str">
        <x:v>60秒の時間加重平均を30秒前と比較。保有中も傾き比例で増減、利益追尾＋傾き反転・増勢後の半減で返済。</x:v>
      </x:c>
      <x:c r="C53" s="6" t="n">
        <x:f>'TOPIX_M06'!C57</x:f>
        <x:v>34672000</x:v>
      </x:c>
      <x:c r="D53" s="6" t="n">
        <x:f>'TOPIX_M06'!D57</x:f>
        <x:v>141180000</x:v>
      </x:c>
      <x:c r="E53" s="6" t="n">
        <x:f>'TOPIX_M06'!E57</x:f>
        <x:v>-106508000</x:v>
      </x:c>
      <x:c r="F53" s="20" t="n">
        <x:f>IF(D53=0,"",C53/D53)</x:f>
        <x:v>0.245587193653492</x:v>
      </x:c>
      <x:c r="G53" s="6" t="n">
        <x:f>COUNTIFS('TOPIX_M06'!$E$6:$E$56,"&gt;0")</x:f>
        <x:v>0</x:v>
      </x:c>
      <x:c r="H53" s="6" t="n">
        <x:f>COUNTIFS('TOPIX_M06'!$E$6:$E$56,"&lt;0")</x:f>
        <x:v>51</x:v>
      </x:c>
      <x:c r="I53" s="6" t="n">
        <x:f>COUNTIFS('TOPIX_M06'!$I$6:$I$56,0)</x:f>
        <x:v>0</x:v>
      </x:c>
      <x:c r="J53" s="6" t="n">
        <x:f>MAX(0,-MIN('TOPIX_M06'!$E$6:$E$56))</x:f>
        <x:v>3397500</x:v>
      </x:c>
      <x:c r="K53" s="6" t="n">
        <x:f>IF(H53=0,"",-SUMIFS('TOPIX_M06'!$E$6:$E$56,'TOPIX_M06'!$E$6:$E$56,"&lt;0")/H53)</x:f>
        <x:v>2088392.156862745</x:v>
      </x:c>
      <x:c r="L53" s="6" t="n">
        <x:v>1984000</x:v>
      </x:c>
      <x:c r="M53" s="6" t="n">
        <x:f>E53-MAX(0,LARGE('TOPIX_M06'!$E$6:$E$56,1))-MAX(0,LARGE('TOPIX_M06'!$E$6:$E$56,2))-MAX(0,LARGE('TOPIX_M06'!$E$6:$E$56,3))</x:f>
        <x:v>-106508000</x:v>
      </x:c>
      <x:c r="N53" s="6" t="n">
        <x:f>SUMIFS('TOPIX_M06'!$E$6:$E$56,'TOPIX_M06'!$B$6:$B$56,"デイ")</x:f>
        <x:v>-46684000</x:v>
      </x:c>
      <x:c r="O53" s="6" t="n">
        <x:f>SUMIFS('TOPIX_M06'!$E$6:$E$56,'TOPIX_M06'!$B$6:$B$56,"ナイト")</x:f>
        <x:v>-59824000</x:v>
      </x:c>
      <x:c r="P53" s="6" t="n">
        <x:f>'TOPIX_M06'!I57</x:f>
        <x:v>19866</x:v>
      </x:c>
    </x:row>
    <x:row r="54" ht="44" customHeight="1">
      <x:c r="A54" s="2" t="str">
        <x:v>TOPIX_M07</x:v>
      </x:c>
      <x:c r="B54" s="19" t="str">
        <x:v>180秒の時間加重平均を30秒前と比較。入口だけ傾き比例枚数、利益追尾で返済。</x:v>
      </x:c>
      <x:c r="C54" s="6" t="n">
        <x:f>'TOPIX_M07'!C57</x:f>
        <x:v>25114500</x:v>
      </x:c>
      <x:c r="D54" s="6" t="n">
        <x:f>'TOPIX_M07'!D57</x:f>
        <x:v>43114500</x:v>
      </x:c>
      <x:c r="E54" s="6" t="n">
        <x:f>'TOPIX_M07'!E57</x:f>
        <x:v>-18000000</x:v>
      </x:c>
      <x:c r="F54" s="20" t="n">
        <x:f>IF(D54=0,"",C54/D54)</x:f>
        <x:v>0.5825070451936124</x:v>
      </x:c>
      <x:c r="G54" s="6" t="n">
        <x:f>COUNTIFS('TOPIX_M07'!$E$6:$E$56,"&gt;0")</x:f>
        <x:v>0</x:v>
      </x:c>
      <x:c r="H54" s="6" t="n">
        <x:f>COUNTIFS('TOPIX_M07'!$E$6:$E$56,"&lt;0")</x:f>
        <x:v>51</x:v>
      </x:c>
      <x:c r="I54" s="6" t="n">
        <x:f>COUNTIFS('TOPIX_M07'!$I$6:$I$56,0)</x:f>
        <x:v>0</x:v>
      </x:c>
      <x:c r="J54" s="6" t="n">
        <x:f>MAX(0,-MIN('TOPIX_M07'!$E$6:$E$56))</x:f>
        <x:v>920500</x:v>
      </x:c>
      <x:c r="K54" s="6" t="n">
        <x:f>IF(H54=0,"",-SUMIFS('TOPIX_M07'!$E$6:$E$56,'TOPIX_M07'!$E$6:$E$56,"&lt;0")/H54)</x:f>
        <x:v>352941.17647058825</x:v>
      </x:c>
      <x:c r="L54" s="6" t="n">
        <x:v>313500</x:v>
      </x:c>
      <x:c r="M54" s="6" t="n">
        <x:f>E54-MAX(0,LARGE('TOPIX_M07'!$E$6:$E$56,1))-MAX(0,LARGE('TOPIX_M07'!$E$6:$E$56,2))-MAX(0,LARGE('TOPIX_M07'!$E$6:$E$56,3))</x:f>
        <x:v>-18000000</x:v>
      </x:c>
      <x:c r="N54" s="6" t="n">
        <x:f>SUMIFS('TOPIX_M07'!$E$6:$E$56,'TOPIX_M07'!$B$6:$B$56,"デイ")</x:f>
        <x:v>-10711000</x:v>
      </x:c>
      <x:c r="O54" s="6" t="n">
        <x:f>SUMIFS('TOPIX_M07'!$E$6:$E$56,'TOPIX_M07'!$B$6:$B$56,"ナイト")</x:f>
        <x:v>-7289000</x:v>
      </x:c>
      <x:c r="P54" s="6" t="n">
        <x:f>'TOPIX_M07'!I57</x:f>
        <x:v>2907</x:v>
      </x:c>
    </x:row>
    <x:row r="55" ht="44" customHeight="1">
      <x:c r="A55" s="2" t="str">
        <x:v>TOPIX_M08</x:v>
      </x:c>
      <x:c r="B55" s="19" t="str">
        <x:v>180秒の時間加重平均を30秒前と比較。入口だけ傾き比例枚数、利益追尾＋傾き反転で返済。</x:v>
      </x:c>
      <x:c r="C55" s="6" t="n">
        <x:f>'TOPIX_M08'!C57</x:f>
        <x:v>18453500</x:v>
      </x:c>
      <x:c r="D55" s="6" t="n">
        <x:f>'TOPIX_M08'!D57</x:f>
        <x:v>43934500</x:v>
      </x:c>
      <x:c r="E55" s="6" t="n">
        <x:f>'TOPIX_M08'!E57</x:f>
        <x:v>-25481000</x:v>
      </x:c>
      <x:c r="F55" s="20" t="n">
        <x:f>IF(D55=0,"",C55/D55)</x:f>
        <x:v>0.4200229887673696</x:v>
      </x:c>
      <x:c r="G55" s="6" t="n">
        <x:f>COUNTIFS('TOPIX_M08'!$E$6:$E$56,"&gt;0")</x:f>
        <x:v>1</x:v>
      </x:c>
      <x:c r="H55" s="6" t="n">
        <x:f>COUNTIFS('TOPIX_M08'!$E$6:$E$56,"&lt;0")</x:f>
        <x:v>50</x:v>
      </x:c>
      <x:c r="I55" s="6" t="n">
        <x:f>COUNTIFS('TOPIX_M08'!$I$6:$I$56,0)</x:f>
        <x:v>0</x:v>
      </x:c>
      <x:c r="J55" s="6" t="n">
        <x:f>MAX(0,-MIN('TOPIX_M08'!$E$6:$E$56))</x:f>
        <x:v>962500</x:v>
      </x:c>
      <x:c r="K55" s="6" t="n">
        <x:f>IF(H55=0,"",-SUMIFS('TOPIX_M08'!$E$6:$E$56,'TOPIX_M08'!$E$6:$E$56,"&lt;0")/H55)</x:f>
        <x:v>510620</x:v>
      </x:c>
      <x:c r="L55" s="6" t="n">
        <x:v>545500</x:v>
      </x:c>
      <x:c r="M55" s="6" t="n">
        <x:f>E55-MAX(0,LARGE('TOPIX_M08'!$E$6:$E$56,1))-MAX(0,LARGE('TOPIX_M08'!$E$6:$E$56,2))-MAX(0,LARGE('TOPIX_M08'!$E$6:$E$56,3))</x:f>
        <x:v>-25531000</x:v>
      </x:c>
      <x:c r="N55" s="6" t="n">
        <x:f>SUMIFS('TOPIX_M08'!$E$6:$E$56,'TOPIX_M08'!$B$6:$B$56,"デイ")</x:f>
        <x:v>-13146500</x:v>
      </x:c>
      <x:c r="O55" s="6" t="n">
        <x:f>SUMIFS('TOPIX_M08'!$E$6:$E$56,'TOPIX_M08'!$B$6:$B$56,"ナイト")</x:f>
        <x:v>-12334500</x:v>
      </x:c>
      <x:c r="P55" s="6" t="n">
        <x:f>'TOPIX_M08'!I57</x:f>
        <x:v>9981</x:v>
      </x:c>
    </x:row>
    <x:row r="56" ht="44" customHeight="1">
      <x:c r="A56" s="2" t="str">
        <x:v>TOPIX_M09</x:v>
      </x:c>
      <x:c r="B56" s="19" t="str">
        <x:v>180秒の時間加重平均を30秒前と比較。入口だけ傾き比例枚数、利益追尾＋傾き反転・増勢後の半減で返済。</x:v>
      </x:c>
      <x:c r="C56" s="6" t="n">
        <x:f>'TOPIX_M09'!C57</x:f>
        <x:v>18348000</x:v>
      </x:c>
      <x:c r="D56" s="6" t="n">
        <x:f>'TOPIX_M09'!D57</x:f>
        <x:v>46782500</x:v>
      </x:c>
      <x:c r="E56" s="6" t="n">
        <x:f>'TOPIX_M09'!E57</x:f>
        <x:v>-28434500</x:v>
      </x:c>
      <x:c r="F56" s="20" t="n">
        <x:f>IF(D56=0,"",C56/D56)</x:f>
        <x:v>0.3921979372628654</x:v>
      </x:c>
      <x:c r="G56" s="6" t="n">
        <x:f>COUNTIFS('TOPIX_M09'!$E$6:$E$56,"&gt;0")</x:f>
        <x:v>0</x:v>
      </x:c>
      <x:c r="H56" s="6" t="n">
        <x:f>COUNTIFS('TOPIX_M09'!$E$6:$E$56,"&lt;0")</x:f>
        <x:v>51</x:v>
      </x:c>
      <x:c r="I56" s="6" t="n">
        <x:f>COUNTIFS('TOPIX_M09'!$I$6:$I$56,0)</x:f>
        <x:v>0</x:v>
      </x:c>
      <x:c r="J56" s="6" t="n">
        <x:f>MAX(0,-MIN('TOPIX_M09'!$E$6:$E$56))</x:f>
        <x:v>1034000</x:v>
      </x:c>
      <x:c r="K56" s="6" t="n">
        <x:f>IF(H56=0,"",-SUMIFS('TOPIX_M09'!$E$6:$E$56,'TOPIX_M09'!$E$6:$E$56,"&lt;0")/H56)</x:f>
        <x:v>557539.2156862745</x:v>
      </x:c>
      <x:c r="L56" s="6" t="n">
        <x:v>562500</x:v>
      </x:c>
      <x:c r="M56" s="6" t="n">
        <x:f>E56-MAX(0,LARGE('TOPIX_M09'!$E$6:$E$56,1))-MAX(0,LARGE('TOPIX_M09'!$E$6:$E$56,2))-MAX(0,LARGE('TOPIX_M09'!$E$6:$E$56,3))</x:f>
        <x:v>-28434500</x:v>
      </x:c>
      <x:c r="N56" s="6" t="n">
        <x:f>SUMIFS('TOPIX_M09'!$E$6:$E$56,'TOPIX_M09'!$B$6:$B$56,"デイ")</x:f>
        <x:v>-14158000</x:v>
      </x:c>
      <x:c r="O56" s="6" t="n">
        <x:f>SUMIFS('TOPIX_M09'!$E$6:$E$56,'TOPIX_M09'!$B$6:$B$56,"ナイト")</x:f>
        <x:v>-14276500</x:v>
      </x:c>
      <x:c r="P56" s="6" t="n">
        <x:f>'TOPIX_M09'!I57</x:f>
        <x:v>12140</x:v>
      </x:c>
    </x:row>
    <x:row r="57" ht="44" customHeight="1">
      <x:c r="A57" s="2" t="str">
        <x:v>TOPIX_M10</x:v>
      </x:c>
      <x:c r="B57" s="19" t="str">
        <x:v>180秒の時間加重平均を30秒前と比較。保有中も傾き比例で増減、利益追尾で返済。</x:v>
      </x:c>
      <x:c r="C57" s="6" t="n">
        <x:f>'TOPIX_M10'!C57</x:f>
        <x:v>19486000</x:v>
      </x:c>
      <x:c r="D57" s="6" t="n">
        <x:f>'TOPIX_M10'!D57</x:f>
        <x:v>53695500</x:v>
      </x:c>
      <x:c r="E57" s="6" t="n">
        <x:f>'TOPIX_M10'!E57</x:f>
        <x:v>-34209500</x:v>
      </x:c>
      <x:c r="F57" s="20" t="n">
        <x:f>IF(D57=0,"",C57/D57)</x:f>
        <x:v>0.36289819444832433</x:v>
      </x:c>
      <x:c r="G57" s="6" t="n">
        <x:f>COUNTIFS('TOPIX_M10'!$E$6:$E$56,"&gt;0")</x:f>
        <x:v>0</x:v>
      </x:c>
      <x:c r="H57" s="6" t="n">
        <x:f>COUNTIFS('TOPIX_M10'!$E$6:$E$56,"&lt;0")</x:f>
        <x:v>51</x:v>
      </x:c>
      <x:c r="I57" s="6" t="n">
        <x:f>COUNTIFS('TOPIX_M10'!$I$6:$I$56,0)</x:f>
        <x:v>0</x:v>
      </x:c>
      <x:c r="J57" s="6" t="n">
        <x:f>MAX(0,-MIN('TOPIX_M10'!$E$6:$E$56))</x:f>
        <x:v>1265500</x:v>
      </x:c>
      <x:c r="K57" s="6" t="n">
        <x:f>IF(H57=0,"",-SUMIFS('TOPIX_M10'!$E$6:$E$56,'TOPIX_M10'!$E$6:$E$56,"&lt;0")/H57)</x:f>
        <x:v>670774.5098039216</x:v>
      </x:c>
      <x:c r="L57" s="6" t="n">
        <x:v>719000</x:v>
      </x:c>
      <x:c r="M57" s="6" t="n">
        <x:f>E57-MAX(0,LARGE('TOPIX_M10'!$E$6:$E$56,1))-MAX(0,LARGE('TOPIX_M10'!$E$6:$E$56,2))-MAX(0,LARGE('TOPIX_M10'!$E$6:$E$56,3))</x:f>
        <x:v>-34209500</x:v>
      </x:c>
      <x:c r="N57" s="6" t="n">
        <x:f>SUMIFS('TOPIX_M10'!$E$6:$E$56,'TOPIX_M10'!$B$6:$B$56,"デイ")</x:f>
        <x:v>-16719000</x:v>
      </x:c>
      <x:c r="O57" s="6" t="n">
        <x:f>SUMIFS('TOPIX_M10'!$E$6:$E$56,'TOPIX_M10'!$B$6:$B$56,"ナイト")</x:f>
        <x:v>-17490500</x:v>
      </x:c>
      <x:c r="P57" s="6" t="n">
        <x:f>'TOPIX_M10'!I57</x:f>
        <x:v>2907</x:v>
      </x:c>
    </x:row>
    <x:row r="58" ht="44" customHeight="1">
      <x:c r="A58" s="2" t="str">
        <x:v>TOPIX_M11</x:v>
      </x:c>
      <x:c r="B58" s="19" t="str">
        <x:v>180秒の時間加重平均を30秒前と比較。保有中も傾き比例で増減、利益追尾＋傾き反転で返済。</x:v>
      </x:c>
      <x:c r="C58" s="6" t="n">
        <x:f>'TOPIX_M11'!C57</x:f>
        <x:v>25182000</x:v>
      </x:c>
      <x:c r="D58" s="6" t="n">
        <x:f>'TOPIX_M11'!D57</x:f>
        <x:v>76780000</x:v>
      </x:c>
      <x:c r="E58" s="6" t="n">
        <x:f>'TOPIX_M11'!E57</x:f>
        <x:v>-51598000</x:v>
      </x:c>
      <x:c r="F58" s="20" t="n">
        <x:f>IF(D58=0,"",C58/D58)</x:f>
        <x:v>0.32797603542589215</x:v>
      </x:c>
      <x:c r="G58" s="6" t="n">
        <x:f>COUNTIFS('TOPIX_M11'!$E$6:$E$56,"&gt;0")</x:f>
        <x:v>0</x:v>
      </x:c>
      <x:c r="H58" s="6" t="n">
        <x:f>COUNTIFS('TOPIX_M11'!$E$6:$E$56,"&lt;0")</x:f>
        <x:v>51</x:v>
      </x:c>
      <x:c r="I58" s="6" t="n">
        <x:f>COUNTIFS('TOPIX_M11'!$I$6:$I$56,0)</x:f>
        <x:v>0</x:v>
      </x:c>
      <x:c r="J58" s="6" t="n">
        <x:f>MAX(0,-MIN('TOPIX_M11'!$E$6:$E$56))</x:f>
        <x:v>1815000</x:v>
      </x:c>
      <x:c r="K58" s="6" t="n">
        <x:f>IF(H58=0,"",-SUMIFS('TOPIX_M11'!$E$6:$E$56,'TOPIX_M11'!$E$6:$E$56,"&lt;0")/H58)</x:f>
        <x:v>1011725.4901960784</x:v>
      </x:c>
      <x:c r="L58" s="6" t="n">
        <x:v>1014000</x:v>
      </x:c>
      <x:c r="M58" s="6" t="n">
        <x:f>E58-MAX(0,LARGE('TOPIX_M11'!$E$6:$E$56,1))-MAX(0,LARGE('TOPIX_M11'!$E$6:$E$56,2))-MAX(0,LARGE('TOPIX_M11'!$E$6:$E$56,3))</x:f>
        <x:v>-51598000</x:v>
      </x:c>
      <x:c r="N58" s="6" t="n">
        <x:f>SUMIFS('TOPIX_M11'!$E$6:$E$56,'TOPIX_M11'!$B$6:$B$56,"デイ")</x:f>
        <x:v>-24283500</x:v>
      </x:c>
      <x:c r="O58" s="6" t="n">
        <x:f>SUMIFS('TOPIX_M11'!$E$6:$E$56,'TOPIX_M11'!$B$6:$B$56,"ナイト")</x:f>
        <x:v>-27314500</x:v>
      </x:c>
      <x:c r="P58" s="6" t="n">
        <x:f>'TOPIX_M11'!I57</x:f>
        <x:v>9981</x:v>
      </x:c>
    </x:row>
    <x:row r="59" ht="44" customHeight="1">
      <x:c r="A59" s="2" t="str">
        <x:v>TOPIX_M12</x:v>
      </x:c>
      <x:c r="B59" s="19" t="str">
        <x:v>180秒の時間加重平均を30秒前と比較。保有中も傾き比例で増減、利益追尾＋傾き反転・増勢後の半減で返済。</x:v>
      </x:c>
      <x:c r="C59" s="6" t="n">
        <x:f>'TOPIX_M12'!C57</x:f>
        <x:v>25240500</x:v>
      </x:c>
      <x:c r="D59" s="6" t="n">
        <x:f>'TOPIX_M12'!D57</x:f>
        <x:v>79544000</x:v>
      </x:c>
      <x:c r="E59" s="6" t="n">
        <x:f>'TOPIX_M12'!E57</x:f>
        <x:v>-54303500</x:v>
      </x:c>
      <x:c r="F59" s="20" t="n">
        <x:f>IF(D59=0,"",C59/D59)</x:f>
        <x:v>0.31731494518756914</x:v>
      </x:c>
      <x:c r="G59" s="6" t="n">
        <x:f>COUNTIFS('TOPIX_M12'!$E$6:$E$56,"&gt;0")</x:f>
        <x:v>0</x:v>
      </x:c>
      <x:c r="H59" s="6" t="n">
        <x:f>COUNTIFS('TOPIX_M12'!$E$6:$E$56,"&lt;0")</x:f>
        <x:v>51</x:v>
      </x:c>
      <x:c r="I59" s="6" t="n">
        <x:f>COUNTIFS('TOPIX_M12'!$I$6:$I$56,0)</x:f>
        <x:v>0</x:v>
      </x:c>
      <x:c r="J59" s="6" t="n">
        <x:f>MAX(0,-MIN('TOPIX_M12'!$E$6:$E$56))</x:f>
        <x:v>1906500</x:v>
      </x:c>
      <x:c r="K59" s="6" t="n">
        <x:f>IF(H59=0,"",-SUMIFS('TOPIX_M12'!$E$6:$E$56,'TOPIX_M12'!$E$6:$E$56,"&lt;0")/H59)</x:f>
        <x:v>1064774.5098039217</x:v>
      </x:c>
      <x:c r="L59" s="6" t="n">
        <x:v>1062500</x:v>
      </x:c>
      <x:c r="M59" s="6" t="n">
        <x:f>E59-MAX(0,LARGE('TOPIX_M12'!$E$6:$E$56,1))-MAX(0,LARGE('TOPIX_M12'!$E$6:$E$56,2))-MAX(0,LARGE('TOPIX_M12'!$E$6:$E$56,3))</x:f>
        <x:v>-54303500</x:v>
      </x:c>
      <x:c r="N59" s="6" t="n">
        <x:f>SUMIFS('TOPIX_M12'!$E$6:$E$56,'TOPIX_M12'!$B$6:$B$56,"デイ")</x:f>
        <x:v>-25428000</x:v>
      </x:c>
      <x:c r="O59" s="6" t="n">
        <x:f>SUMIFS('TOPIX_M12'!$E$6:$E$56,'TOPIX_M12'!$B$6:$B$56,"ナイト")</x:f>
        <x:v>-28875500</x:v>
      </x:c>
      <x:c r="P59" s="6" t="n">
        <x:f>'TOPIX_M12'!I57</x:f>
        <x:v>12140</x:v>
      </x:c>
    </x:row>
    <x:row r="60" ht="44" customHeight="1">
      <x:c r="A60" s="2" t="str">
        <x:v>TOPIX_M13</x:v>
      </x:c>
      <x:c r="B60" s="19" t="str">
        <x:v>300秒の時間加重平均を60秒前と比較。入口だけ傾き比例枚数、利益追尾で返済。</x:v>
      </x:c>
      <x:c r="C60" s="6" t="n">
        <x:f>'TOPIX_M13'!C57</x:f>
        <x:v>19790000</x:v>
      </x:c>
      <x:c r="D60" s="6" t="n">
        <x:f>'TOPIX_M13'!D57</x:f>
        <x:v>32305500</x:v>
      </x:c>
      <x:c r="E60" s="6" t="n">
        <x:f>'TOPIX_M13'!E57</x:f>
        <x:v>-12515500</x:v>
      </x:c>
      <x:c r="F60" s="20" t="n">
        <x:f>IF(D60=0,"",C60/D60)</x:f>
        <x:v>0.6125891875996348</x:v>
      </x:c>
      <x:c r="G60" s="6" t="n">
        <x:f>COUNTIFS('TOPIX_M13'!$E$6:$E$56,"&gt;0")</x:f>
        <x:v>3</x:v>
      </x:c>
      <x:c r="H60" s="6" t="n">
        <x:f>COUNTIFS('TOPIX_M13'!$E$6:$E$56,"&lt;0")</x:f>
        <x:v>48</x:v>
      </x:c>
      <x:c r="I60" s="6" t="n">
        <x:f>COUNTIFS('TOPIX_M13'!$I$6:$I$56,0)</x:f>
        <x:v>0</x:v>
      </x:c>
      <x:c r="J60" s="6" t="n">
        <x:f>MAX(0,-MIN('TOPIX_M13'!$E$6:$E$56))</x:f>
        <x:v>651000</x:v>
      </x:c>
      <x:c r="K60" s="6" t="n">
        <x:f>IF(H60=0,"",-SUMIFS('TOPIX_M13'!$E$6:$E$56,'TOPIX_M13'!$E$6:$E$56,"&lt;0")/H60)</x:f>
        <x:v>265677.0833333333</x:v>
      </x:c>
      <x:c r="L60" s="6" t="n">
        <x:v>260500</x:v>
      </x:c>
      <x:c r="M60" s="6" t="n">
        <x:f>E60-MAX(0,LARGE('TOPIX_M13'!$E$6:$E$56,1))-MAX(0,LARGE('TOPIX_M13'!$E$6:$E$56,2))-MAX(0,LARGE('TOPIX_M13'!$E$6:$E$56,3))</x:f>
        <x:v>-12752500</x:v>
      </x:c>
      <x:c r="N60" s="6" t="n">
        <x:f>SUMIFS('TOPIX_M13'!$E$6:$E$56,'TOPIX_M13'!$B$6:$B$56,"デイ")</x:f>
        <x:v>-6455000</x:v>
      </x:c>
      <x:c r="O60" s="6" t="n">
        <x:f>SUMIFS('TOPIX_M13'!$E$6:$E$56,'TOPIX_M13'!$B$6:$B$56,"ナイト")</x:f>
        <x:v>-6060500</x:v>
      </x:c>
      <x:c r="P60" s="6" t="n">
        <x:f>'TOPIX_M13'!I57</x:f>
        <x:v>2796</x:v>
      </x:c>
    </x:row>
    <x:row r="61" ht="44" customHeight="1">
      <x:c r="A61" s="2" t="str">
        <x:v>TOPIX_M14</x:v>
      </x:c>
      <x:c r="B61" s="19" t="str">
        <x:v>300秒の時間加重平均を60秒前と比較。入口だけ傾き比例枚数、利益追尾＋傾き反転で返済。</x:v>
      </x:c>
      <x:c r="C61" s="6" t="n">
        <x:f>'TOPIX_M14'!C57</x:f>
        <x:v>15705500</x:v>
      </x:c>
      <x:c r="D61" s="6" t="n">
        <x:f>'TOPIX_M14'!D57</x:f>
        <x:v>29748000</x:v>
      </x:c>
      <x:c r="E61" s="6" t="n">
        <x:f>'TOPIX_M14'!E57</x:f>
        <x:v>-14042500</x:v>
      </x:c>
      <x:c r="F61" s="20" t="n">
        <x:f>IF(D61=0,"",C61/D61)</x:f>
        <x:v>0.5279514589216082</x:v>
      </x:c>
      <x:c r="G61" s="6" t="n">
        <x:f>COUNTIFS('TOPIX_M14'!$E$6:$E$56,"&gt;0")</x:f>
        <x:v>1</x:v>
      </x:c>
      <x:c r="H61" s="6" t="n">
        <x:f>COUNTIFS('TOPIX_M14'!$E$6:$E$56,"&lt;0")</x:f>
        <x:v>50</x:v>
      </x:c>
      <x:c r="I61" s="6" t="n">
        <x:f>COUNTIFS('TOPIX_M14'!$I$6:$I$56,0)</x:f>
        <x:v>0</x:v>
      </x:c>
      <x:c r="J61" s="6" t="n">
        <x:f>MAX(0,-MIN('TOPIX_M14'!$E$6:$E$56))</x:f>
        <x:v>719500</x:v>
      </x:c>
      <x:c r="K61" s="6" t="n">
        <x:f>IF(H61=0,"",-SUMIFS('TOPIX_M14'!$E$6:$E$56,'TOPIX_M14'!$E$6:$E$56,"&lt;0")/H61)</x:f>
        <x:v>285590</x:v>
      </x:c>
      <x:c r="L61" s="6" t="n">
        <x:v>246500</x:v>
      </x:c>
      <x:c r="M61" s="6" t="n">
        <x:f>E61-MAX(0,LARGE('TOPIX_M14'!$E$6:$E$56,1))-MAX(0,LARGE('TOPIX_M14'!$E$6:$E$56,2))-MAX(0,LARGE('TOPIX_M14'!$E$6:$E$56,3))</x:f>
        <x:v>-14279500</x:v>
      </x:c>
      <x:c r="N61" s="6" t="n">
        <x:f>SUMIFS('TOPIX_M14'!$E$6:$E$56,'TOPIX_M14'!$B$6:$B$56,"デイ")</x:f>
        <x:v>-7472500</x:v>
      </x:c>
      <x:c r="O61" s="6" t="n">
        <x:f>SUMIFS('TOPIX_M14'!$E$6:$E$56,'TOPIX_M14'!$B$6:$B$56,"ナイト")</x:f>
        <x:v>-6570000</x:v>
      </x:c>
      <x:c r="P61" s="6" t="n">
        <x:f>'TOPIX_M14'!I57</x:f>
        <x:v>6353</x:v>
      </x:c>
    </x:row>
    <x:row r="62" ht="44" customHeight="1">
      <x:c r="A62" s="2" t="str">
        <x:v>TOPIX_M15</x:v>
      </x:c>
      <x:c r="B62" s="19" t="str">
        <x:v>300秒の時間加重平均を60秒前と比較。入口だけ傾き比例枚数、利益追尾＋傾き反転・増勢後の半減で返済。</x:v>
      </x:c>
      <x:c r="C62" s="6" t="n">
        <x:f>'TOPIX_M15'!C57</x:f>
        <x:v>15763000</x:v>
      </x:c>
      <x:c r="D62" s="6" t="n">
        <x:f>'TOPIX_M15'!D57</x:f>
        <x:v>31449000</x:v>
      </x:c>
      <x:c r="E62" s="6" t="n">
        <x:f>'TOPIX_M15'!E57</x:f>
        <x:v>-15686000</x:v>
      </x:c>
      <x:c r="F62" s="20" t="n">
        <x:f>IF(D62=0,"",C62/D62)</x:f>
        <x:v>0.5012242042672262</x:v>
      </x:c>
      <x:c r="G62" s="6" t="n">
        <x:f>COUNTIFS('TOPIX_M15'!$E$6:$E$56,"&gt;0")</x:f>
        <x:v>1</x:v>
      </x:c>
      <x:c r="H62" s="6" t="n">
        <x:f>COUNTIFS('TOPIX_M15'!$E$6:$E$56,"&lt;0")</x:f>
        <x:v>50</x:v>
      </x:c>
      <x:c r="I62" s="6" t="n">
        <x:f>COUNTIFS('TOPIX_M15'!$I$6:$I$56,0)</x:f>
        <x:v>0</x:v>
      </x:c>
      <x:c r="J62" s="6" t="n">
        <x:f>MAX(0,-MIN('TOPIX_M15'!$E$6:$E$56))</x:f>
        <x:v>760500</x:v>
      </x:c>
      <x:c r="K62" s="6" t="n">
        <x:f>IF(H62=0,"",-SUMIFS('TOPIX_M15'!$E$6:$E$56,'TOPIX_M15'!$E$6:$E$56,"&lt;0")/H62)</x:f>
        <x:v>318100</x:v>
      </x:c>
      <x:c r="L62" s="6" t="n">
        <x:v>282750</x:v>
      </x:c>
      <x:c r="M62" s="6" t="n">
        <x:f>E62-MAX(0,LARGE('TOPIX_M15'!$E$6:$E$56,1))-MAX(0,LARGE('TOPIX_M15'!$E$6:$E$56,2))-MAX(0,LARGE('TOPIX_M15'!$E$6:$E$56,3))</x:f>
        <x:v>-15905000</x:v>
      </x:c>
      <x:c r="N62" s="6" t="n">
        <x:f>SUMIFS('TOPIX_M15'!$E$6:$E$56,'TOPIX_M15'!$B$6:$B$56,"デイ")</x:f>
        <x:v>-8163000</x:v>
      </x:c>
      <x:c r="O62" s="6" t="n">
        <x:f>SUMIFS('TOPIX_M15'!$E$6:$E$56,'TOPIX_M15'!$B$6:$B$56,"ナイト")</x:f>
        <x:v>-7523000</x:v>
      </x:c>
      <x:c r="P62" s="6" t="n">
        <x:f>'TOPIX_M15'!I57</x:f>
        <x:v>7682</x:v>
      </x:c>
    </x:row>
    <x:row r="63" ht="44" customHeight="1">
      <x:c r="A63" s="2" t="str">
        <x:v>TOPIX_M16</x:v>
      </x:c>
      <x:c r="B63" s="19" t="str">
        <x:v>300秒の時間加重平均を60秒前と比較。保有中も傾き比例で増減、利益追尾で返済。</x:v>
      </x:c>
      <x:c r="C63" s="6" t="n">
        <x:f>'TOPIX_M16'!C57</x:f>
        <x:v>15944000</x:v>
      </x:c>
      <x:c r="D63" s="6" t="n">
        <x:f>'TOPIX_M16'!D57</x:f>
        <x:v>37914000</x:v>
      </x:c>
      <x:c r="E63" s="6" t="n">
        <x:f>'TOPIX_M16'!E57</x:f>
        <x:v>-21970000</x:v>
      </x:c>
      <x:c r="F63" s="20" t="n">
        <x:f>IF(D63=0,"",C63/D63)</x:f>
        <x:v>0.420530674684813</x:v>
      </x:c>
      <x:c r="G63" s="6" t="n">
        <x:f>COUNTIFS('TOPIX_M16'!$E$6:$E$56,"&gt;0")</x:f>
        <x:v>1</x:v>
      </x:c>
      <x:c r="H63" s="6" t="n">
        <x:f>COUNTIFS('TOPIX_M16'!$E$6:$E$56,"&lt;0")</x:f>
        <x:v>50</x:v>
      </x:c>
      <x:c r="I63" s="6" t="n">
        <x:f>COUNTIFS('TOPIX_M16'!$I$6:$I$56,0)</x:f>
        <x:v>0</x:v>
      </x:c>
      <x:c r="J63" s="6" t="n">
        <x:f>MAX(0,-MIN('TOPIX_M16'!$E$6:$E$56))</x:f>
        <x:v>783500</x:v>
      </x:c>
      <x:c r="K63" s="6" t="n">
        <x:f>IF(H63=0,"",-SUMIFS('TOPIX_M16'!$E$6:$E$56,'TOPIX_M16'!$E$6:$E$56,"&lt;0")/H63)</x:f>
        <x:v>439750</x:v>
      </x:c>
      <x:c r="L63" s="6" t="n">
        <x:v>437000</x:v>
      </x:c>
      <x:c r="M63" s="6" t="n">
        <x:f>E63-MAX(0,LARGE('TOPIX_M16'!$E$6:$E$56,1))-MAX(0,LARGE('TOPIX_M16'!$E$6:$E$56,2))-MAX(0,LARGE('TOPIX_M16'!$E$6:$E$56,3))</x:f>
        <x:v>-21987500</x:v>
      </x:c>
      <x:c r="N63" s="6" t="n">
        <x:f>SUMIFS('TOPIX_M16'!$E$6:$E$56,'TOPIX_M16'!$B$6:$B$56,"デイ")</x:f>
        <x:v>-10616500</x:v>
      </x:c>
      <x:c r="O63" s="6" t="n">
        <x:f>SUMIFS('TOPIX_M16'!$E$6:$E$56,'TOPIX_M16'!$B$6:$B$56,"ナイト")</x:f>
        <x:v>-11353500</x:v>
      </x:c>
      <x:c r="P63" s="6" t="n">
        <x:f>'TOPIX_M16'!I57</x:f>
        <x:v>2796</x:v>
      </x:c>
    </x:row>
    <x:row r="64" ht="44" customHeight="1">
      <x:c r="A64" s="2" t="str">
        <x:v>TOPIX_M17</x:v>
      </x:c>
      <x:c r="B64" s="19" t="str">
        <x:v>300秒の時間加重平均を60秒前と比較。保有中も傾き比例で増減、利益追尾＋傾き反転で返済。</x:v>
      </x:c>
      <x:c r="C64" s="6" t="n">
        <x:f>'TOPIX_M17'!C57</x:f>
        <x:v>18821500</x:v>
      </x:c>
      <x:c r="D64" s="6" t="n">
        <x:f>'TOPIX_M17'!D57</x:f>
        <x:v>48026000</x:v>
      </x:c>
      <x:c r="E64" s="6" t="n">
        <x:f>'TOPIX_M17'!E57</x:f>
        <x:v>-29204500</x:v>
      </x:c>
      <x:c r="F64" s="20" t="n">
        <x:f>IF(D64=0,"",C64/D64)</x:f>
        <x:v>0.3919023029192521</x:v>
      </x:c>
      <x:c r="G64" s="6" t="n">
        <x:f>COUNTIFS('TOPIX_M17'!$E$6:$E$56,"&gt;0")</x:f>
        <x:v>0</x:v>
      </x:c>
      <x:c r="H64" s="6" t="n">
        <x:f>COUNTIFS('TOPIX_M17'!$E$6:$E$56,"&lt;0")</x:f>
        <x:v>51</x:v>
      </x:c>
      <x:c r="I64" s="6" t="n">
        <x:f>COUNTIFS('TOPIX_M17'!$I$6:$I$56,0)</x:f>
        <x:v>0</x:v>
      </x:c>
      <x:c r="J64" s="6" t="n">
        <x:f>MAX(0,-MIN('TOPIX_M17'!$E$6:$E$56))</x:f>
        <x:v>983500</x:v>
      </x:c>
      <x:c r="K64" s="6" t="n">
        <x:f>IF(H64=0,"",-SUMIFS('TOPIX_M17'!$E$6:$E$56,'TOPIX_M17'!$E$6:$E$56,"&lt;0")/H64)</x:f>
        <x:v>572637.2549019608</x:v>
      </x:c>
      <x:c r="L64" s="6" t="n">
        <x:v>568000</x:v>
      </x:c>
      <x:c r="M64" s="6" t="n">
        <x:f>E64-MAX(0,LARGE('TOPIX_M17'!$E$6:$E$56,1))-MAX(0,LARGE('TOPIX_M17'!$E$6:$E$56,2))-MAX(0,LARGE('TOPIX_M17'!$E$6:$E$56,3))</x:f>
        <x:v>-29204500</x:v>
      </x:c>
      <x:c r="N64" s="6" t="n">
        <x:f>SUMIFS('TOPIX_M17'!$E$6:$E$56,'TOPIX_M17'!$B$6:$B$56,"デイ")</x:f>
        <x:v>-14054000</x:v>
      </x:c>
      <x:c r="O64" s="6" t="n">
        <x:f>SUMIFS('TOPIX_M17'!$E$6:$E$56,'TOPIX_M17'!$B$6:$B$56,"ナイト")</x:f>
        <x:v>-15150500</x:v>
      </x:c>
      <x:c r="P64" s="6" t="n">
        <x:f>'TOPIX_M17'!I57</x:f>
        <x:v>6353</x:v>
      </x:c>
    </x:row>
    <x:row r="65" ht="44" customHeight="1">
      <x:c r="A65" s="2" t="str">
        <x:v>TOPIX_M18</x:v>
      </x:c>
      <x:c r="B65" s="19" t="str">
        <x:v>300秒の時間加重平均を60秒前と比較。保有中も傾き比例で増減、利益追尾＋傾き反転・増勢後の半減で返済。</x:v>
      </x:c>
      <x:c r="C65" s="6" t="n">
        <x:f>'TOPIX_M18'!C57</x:f>
        <x:v>18856500</x:v>
      </x:c>
      <x:c r="D65" s="6" t="n">
        <x:f>'TOPIX_M18'!D57</x:f>
        <x:v>49328500</x:v>
      </x:c>
      <x:c r="E65" s="6" t="n">
        <x:f>'TOPIX_M18'!E57</x:f>
        <x:v>-30472000</x:v>
      </x:c>
      <x:c r="F65" s="20" t="n">
        <x:f>IF(D65=0,"",C65/D65)</x:f>
        <x:v>0.3822638028725787</x:v>
      </x:c>
      <x:c r="G65" s="6" t="n">
        <x:f>COUNTIFS('TOPIX_M18'!$E$6:$E$56,"&gt;0")</x:f>
        <x:v>0</x:v>
      </x:c>
      <x:c r="H65" s="6" t="n">
        <x:f>COUNTIFS('TOPIX_M18'!$E$6:$E$56,"&lt;0")</x:f>
        <x:v>51</x:v>
      </x:c>
      <x:c r="I65" s="6" t="n">
        <x:f>COUNTIFS('TOPIX_M18'!$I$6:$I$56,0)</x:f>
        <x:v>0</x:v>
      </x:c>
      <x:c r="J65" s="6" t="n">
        <x:f>MAX(0,-MIN('TOPIX_M18'!$E$6:$E$56))</x:f>
        <x:v>1018500</x:v>
      </x:c>
      <x:c r="K65" s="6" t="n">
        <x:f>IF(H65=0,"",-SUMIFS('TOPIX_M18'!$E$6:$E$56,'TOPIX_M18'!$E$6:$E$56,"&lt;0")/H65)</x:f>
        <x:v>597490.1960784313</x:v>
      </x:c>
      <x:c r="L65" s="6" t="n">
        <x:v>603000</x:v>
      </x:c>
      <x:c r="M65" s="6" t="n">
        <x:f>E65-MAX(0,LARGE('TOPIX_M18'!$E$6:$E$56,1))-MAX(0,LARGE('TOPIX_M18'!$E$6:$E$56,2))-MAX(0,LARGE('TOPIX_M18'!$E$6:$E$56,3))</x:f>
        <x:v>-30472000</x:v>
      </x:c>
      <x:c r="N65" s="6" t="n">
        <x:f>SUMIFS('TOPIX_M18'!$E$6:$E$56,'TOPIX_M18'!$B$6:$B$56,"デイ")</x:f>
        <x:v>-14571000</x:v>
      </x:c>
      <x:c r="O65" s="6" t="n">
        <x:f>SUMIFS('TOPIX_M18'!$E$6:$E$56,'TOPIX_M18'!$B$6:$B$56,"ナイト")</x:f>
        <x:v>-15901000</x:v>
      </x:c>
      <x:c r="P65" s="6" t="n">
        <x:f>'TOPIX_M18'!I57</x:f>
        <x:v>7682</x:v>
      </x:c>
    </x:row>
    <x:row r="66" ht="44" customHeight="1">
      <x:c r="A66" s="2" t="str">
        <x:v>TOPIX_M19</x:v>
      </x:c>
      <x:c r="B66" s="19" t="str">
        <x:v>600秒の時間加重平均を60秒前と比較。入口だけ傾き比例枚数、利益追尾で返済。</x:v>
      </x:c>
      <x:c r="C66" s="6" t="n">
        <x:f>'TOPIX_M19'!C57</x:f>
        <x:v>13690000</x:v>
      </x:c>
      <x:c r="D66" s="6" t="n">
        <x:f>'TOPIX_M19'!D57</x:f>
        <x:v>21913500</x:v>
      </x:c>
      <x:c r="E66" s="6" t="n">
        <x:f>'TOPIX_M19'!E57</x:f>
        <x:v>-8223500</x:v>
      </x:c>
      <x:c r="F66" s="20" t="n">
        <x:f>IF(D66=0,"",C66/D66)</x:f>
        <x:v>0.6247290483035571</x:v>
      </x:c>
      <x:c r="G66" s="6" t="n">
        <x:f>COUNTIFS('TOPIX_M19'!$E$6:$E$56,"&gt;0")</x:f>
        <x:v>6</x:v>
      </x:c>
      <x:c r="H66" s="6" t="n">
        <x:f>COUNTIFS('TOPIX_M19'!$E$6:$E$56,"&lt;0")</x:f>
        <x:v>45</x:v>
      </x:c>
      <x:c r="I66" s="6" t="n">
        <x:f>COUNTIFS('TOPIX_M19'!$I$6:$I$56,0)</x:f>
        <x:v>0</x:v>
      </x:c>
      <x:c r="J66" s="6" t="n">
        <x:f>MAX(0,-MIN('TOPIX_M19'!$E$6:$E$56))</x:f>
        <x:v>621000</x:v>
      </x:c>
      <x:c r="K66" s="6" t="n">
        <x:f>IF(H66=0,"",-SUMIFS('TOPIX_M19'!$E$6:$E$56,'TOPIX_M19'!$E$6:$E$56,"&lt;0")/H66)</x:f>
        <x:v>189344.44444444444</x:v>
      </x:c>
      <x:c r="L66" s="6" t="n">
        <x:v>164500</x:v>
      </x:c>
      <x:c r="M66" s="6" t="n">
        <x:f>E66-MAX(0,LARGE('TOPIX_M19'!$E$6:$E$56,1))-MAX(0,LARGE('TOPIX_M19'!$E$6:$E$56,2))-MAX(0,LARGE('TOPIX_M19'!$E$6:$E$56,3))</x:f>
        <x:v>-8465500</x:v>
      </x:c>
      <x:c r="N66" s="6" t="n">
        <x:f>SUMIFS('TOPIX_M19'!$E$6:$E$56,'TOPIX_M19'!$B$6:$B$56,"デイ")</x:f>
        <x:v>-4428500</x:v>
      </x:c>
      <x:c r="O66" s="6" t="n">
        <x:f>SUMIFS('TOPIX_M19'!$E$6:$E$56,'TOPIX_M19'!$B$6:$B$56,"ナイト")</x:f>
        <x:v>-3795000</x:v>
      </x:c>
      <x:c r="P66" s="6" t="n">
        <x:f>'TOPIX_M19'!I57</x:f>
        <x:v>2631</x:v>
      </x:c>
    </x:row>
    <x:row r="67" ht="44" customHeight="1">
      <x:c r="A67" s="2" t="str">
        <x:v>TOPIX_M20</x:v>
      </x:c>
      <x:c r="B67" s="19" t="str">
        <x:v>600秒の時間加重平均を60秒前と比較。入口だけ傾き比例枚数、利益追尾＋傾き反転で返済。</x:v>
      </x:c>
      <x:c r="C67" s="6" t="n">
        <x:f>'TOPIX_M20'!C57</x:f>
        <x:v>11850500</x:v>
      </x:c>
      <x:c r="D67" s="6" t="n">
        <x:f>'TOPIX_M20'!D57</x:f>
        <x:v>21584000</x:v>
      </x:c>
      <x:c r="E67" s="6" t="n">
        <x:f>'TOPIX_M20'!E57</x:f>
        <x:v>-9733500</x:v>
      </x:c>
      <x:c r="F67" s="20" t="n">
        <x:f>IF(D67=0,"",C67/D67)</x:f>
        <x:v>0.5490409562638991</x:v>
      </x:c>
      <x:c r="G67" s="6" t="n">
        <x:f>COUNTIFS('TOPIX_M20'!$E$6:$E$56,"&gt;0")</x:f>
        <x:v>2</x:v>
      </x:c>
      <x:c r="H67" s="6" t="n">
        <x:f>COUNTIFS('TOPIX_M20'!$E$6:$E$56,"&lt;0")</x:f>
        <x:v>49</x:v>
      </x:c>
      <x:c r="I67" s="6" t="n">
        <x:f>COUNTIFS('TOPIX_M20'!$I$6:$I$56,0)</x:f>
        <x:v>0</x:v>
      </x:c>
      <x:c r="J67" s="6" t="n">
        <x:f>MAX(0,-MIN('TOPIX_M20'!$E$6:$E$56))</x:f>
        <x:v>572500</x:v>
      </x:c>
      <x:c r="K67" s="6" t="n">
        <x:f>IF(H67=0,"",-SUMIFS('TOPIX_M20'!$E$6:$E$56,'TOPIX_M20'!$E$6:$E$56,"&lt;0")/H67)</x:f>
        <x:v>200571.42857142858</x:v>
      </x:c>
      <x:c r="L67" s="6" t="n">
        <x:v>153500</x:v>
      </x:c>
      <x:c r="M67" s="6" t="n">
        <x:f>E67-MAX(0,LARGE('TOPIX_M20'!$E$6:$E$56,1))-MAX(0,LARGE('TOPIX_M20'!$E$6:$E$56,2))-MAX(0,LARGE('TOPIX_M20'!$E$6:$E$56,3))</x:f>
        <x:v>-9828000</x:v>
      </x:c>
      <x:c r="N67" s="6" t="n">
        <x:f>SUMIFS('TOPIX_M20'!$E$6:$E$56,'TOPIX_M20'!$B$6:$B$56,"デイ")</x:f>
        <x:v>-5374000</x:v>
      </x:c>
      <x:c r="O67" s="6" t="n">
        <x:f>SUMIFS('TOPIX_M20'!$E$6:$E$56,'TOPIX_M20'!$B$6:$B$56,"ナイト")</x:f>
        <x:v>-4359500</x:v>
      </x:c>
      <x:c r="P67" s="6" t="n">
        <x:f>'TOPIX_M20'!I57</x:f>
        <x:v>4337</x:v>
      </x:c>
    </x:row>
    <x:row r="68" ht="44" customHeight="1">
      <x:c r="A68" s="2" t="str">
        <x:v>TOPIX_M21</x:v>
      </x:c>
      <x:c r="B68" s="19" t="str">
        <x:v>600秒の時間加重平均を60秒前と比較。入口だけ傾き比例枚数、利益追尾＋傾き反転・増勢後の半減で返済。</x:v>
      </x:c>
      <x:c r="C68" s="6" t="n">
        <x:f>'TOPIX_M21'!C57</x:f>
        <x:v>11987500</x:v>
      </x:c>
      <x:c r="D68" s="6" t="n">
        <x:f>'TOPIX_M21'!D57</x:f>
        <x:v>22037500</x:v>
      </x:c>
      <x:c r="E68" s="6" t="n">
        <x:f>'TOPIX_M21'!E57</x:f>
        <x:v>-10050000</x:v>
      </x:c>
      <x:c r="F68" s="20" t="n">
        <x:f>IF(D68=0,"",C68/D68)</x:f>
        <x:v>0.5439591605218378</x:v>
      </x:c>
      <x:c r="G68" s="6" t="n">
        <x:f>COUNTIFS('TOPIX_M21'!$E$6:$E$56,"&gt;0")</x:f>
        <x:v>1</x:v>
      </x:c>
      <x:c r="H68" s="6" t="n">
        <x:f>COUNTIFS('TOPIX_M21'!$E$6:$E$56,"&lt;0")</x:f>
        <x:v>50</x:v>
      </x:c>
      <x:c r="I68" s="6" t="n">
        <x:f>COUNTIFS('TOPIX_M21'!$I$6:$I$56,0)</x:f>
        <x:v>0</x:v>
      </x:c>
      <x:c r="J68" s="6" t="n">
        <x:f>MAX(0,-MIN('TOPIX_M21'!$E$6:$E$56))</x:f>
        <x:v>578500</x:v>
      </x:c>
      <x:c r="K68" s="6" t="n">
        <x:f>IF(H68=0,"",-SUMIFS('TOPIX_M21'!$E$6:$E$56,'TOPIX_M21'!$E$6:$E$56,"&lt;0")/H68)</x:f>
        <x:v>202670</x:v>
      </x:c>
      <x:c r="L68" s="6" t="n">
        <x:v>161000</x:v>
      </x:c>
      <x:c r="M68" s="6" t="n">
        <x:f>E68-MAX(0,LARGE('TOPIX_M21'!$E$6:$E$56,1))-MAX(0,LARGE('TOPIX_M21'!$E$6:$E$56,2))-MAX(0,LARGE('TOPIX_M21'!$E$6:$E$56,3))</x:f>
        <x:v>-10133500</x:v>
      </x:c>
      <x:c r="N68" s="6" t="n">
        <x:f>SUMIFS('TOPIX_M21'!$E$6:$E$56,'TOPIX_M21'!$B$6:$B$56,"デイ")</x:f>
        <x:v>-5537000</x:v>
      </x:c>
      <x:c r="O68" s="6" t="n">
        <x:f>SUMIFS('TOPIX_M21'!$E$6:$E$56,'TOPIX_M21'!$B$6:$B$56,"ナイト")</x:f>
        <x:v>-4513000</x:v>
      </x:c>
      <x:c r="P68" s="6" t="n">
        <x:f>'TOPIX_M21'!I57</x:f>
        <x:v>4922</x:v>
      </x:c>
    </x:row>
    <x:row r="69" ht="44" customHeight="1">
      <x:c r="A69" s="2" t="str">
        <x:v>TOPIX_M22</x:v>
      </x:c>
      <x:c r="B69" s="19" t="str">
        <x:v>600秒の時間加重平均を60秒前と比較。保有中も傾き比例で増減、利益追尾で返済。</x:v>
      </x:c>
      <x:c r="C69" s="6" t="n">
        <x:f>'TOPIX_M22'!C57</x:f>
        <x:v>12066500</x:v>
      </x:c>
      <x:c r="D69" s="6" t="n">
        <x:f>'TOPIX_M22'!D57</x:f>
        <x:v>25541000</x:v>
      </x:c>
      <x:c r="E69" s="6" t="n">
        <x:f>'TOPIX_M22'!E57</x:f>
        <x:v>-13474500</x:v>
      </x:c>
      <x:c r="F69" s="20" t="n">
        <x:f>IF(D69=0,"",C69/D69)</x:f>
        <x:v>0.47243647468775696</x:v>
      </x:c>
      <x:c r="G69" s="6" t="n">
        <x:f>COUNTIFS('TOPIX_M22'!$E$6:$E$56,"&gt;0")</x:f>
        <x:v>1</x:v>
      </x:c>
      <x:c r="H69" s="6" t="n">
        <x:f>COUNTIFS('TOPIX_M22'!$E$6:$E$56,"&lt;0")</x:f>
        <x:v>50</x:v>
      </x:c>
      <x:c r="I69" s="6" t="n">
        <x:f>COUNTIFS('TOPIX_M22'!$I$6:$I$56,0)</x:f>
        <x:v>0</x:v>
      </x:c>
      <x:c r="J69" s="6" t="n">
        <x:f>MAX(0,-MIN('TOPIX_M22'!$E$6:$E$56))</x:f>
        <x:v>645500</x:v>
      </x:c>
      <x:c r="K69" s="6" t="n">
        <x:f>IF(H69=0,"",-SUMIFS('TOPIX_M22'!$E$6:$E$56,'TOPIX_M22'!$E$6:$E$56,"&lt;0")/H69)</x:f>
        <x:v>269850</x:v>
      </x:c>
      <x:c r="L69" s="6" t="n">
        <x:v>266000</x:v>
      </x:c>
      <x:c r="M69" s="6" t="n">
        <x:f>E69-MAX(0,LARGE('TOPIX_M22'!$E$6:$E$56,1))-MAX(0,LARGE('TOPIX_M22'!$E$6:$E$56,2))-MAX(0,LARGE('TOPIX_M22'!$E$6:$E$56,3))</x:f>
        <x:v>-13492500</x:v>
      </x:c>
      <x:c r="N69" s="6" t="n">
        <x:f>SUMIFS('TOPIX_M22'!$E$6:$E$56,'TOPIX_M22'!$B$6:$B$56,"デイ")</x:f>
        <x:v>-6760000</x:v>
      </x:c>
      <x:c r="O69" s="6" t="n">
        <x:f>SUMIFS('TOPIX_M22'!$E$6:$E$56,'TOPIX_M22'!$B$6:$B$56,"ナイト")</x:f>
        <x:v>-6714500</x:v>
      </x:c>
      <x:c r="P69" s="6" t="n">
        <x:f>'TOPIX_M22'!I57</x:f>
        <x:v>2631</x:v>
      </x:c>
    </x:row>
    <x:row r="70" ht="44" customHeight="1">
      <x:c r="A70" s="2" t="str">
        <x:v>TOPIX_M23</x:v>
      </x:c>
      <x:c r="B70" s="19" t="str">
        <x:v>600秒の時間加重平均を60秒前と比較。保有中も傾き比例で増減、利益追尾＋傾き反転で返済。</x:v>
      </x:c>
      <x:c r="C70" s="6" t="n">
        <x:f>'TOPIX_M23'!C57</x:f>
        <x:v>12974000</x:v>
      </x:c>
      <x:c r="D70" s="6" t="n">
        <x:f>'TOPIX_M23'!D57</x:f>
        <x:v>28934000</x:v>
      </x:c>
      <x:c r="E70" s="6" t="n">
        <x:f>'TOPIX_M23'!E57</x:f>
        <x:v>-15960000</x:v>
      </x:c>
      <x:c r="F70" s="20" t="n">
        <x:f>IF(D70=0,"",C70/D70)</x:f>
        <x:v>0.4483998064560724</x:v>
      </x:c>
      <x:c r="G70" s="6" t="n">
        <x:f>COUNTIFS('TOPIX_M23'!$E$6:$E$56,"&gt;0")</x:f>
        <x:v>1</x:v>
      </x:c>
      <x:c r="H70" s="6" t="n">
        <x:f>COUNTIFS('TOPIX_M23'!$E$6:$E$56,"&lt;0")</x:f>
        <x:v>50</x:v>
      </x:c>
      <x:c r="I70" s="6" t="n">
        <x:f>COUNTIFS('TOPIX_M23'!$I$6:$I$56,0)</x:f>
        <x:v>0</x:v>
      </x:c>
      <x:c r="J70" s="6" t="n">
        <x:f>MAX(0,-MIN('TOPIX_M23'!$E$6:$E$56))</x:f>
        <x:v>678500</x:v>
      </x:c>
      <x:c r="K70" s="6" t="n">
        <x:f>IF(H70=0,"",-SUMIFS('TOPIX_M23'!$E$6:$E$56,'TOPIX_M23'!$E$6:$E$56,"&lt;0")/H70)</x:f>
        <x:v>320240</x:v>
      </x:c>
      <x:c r="L70" s="6" t="n">
        <x:v>313500</x:v>
      </x:c>
      <x:c r="M70" s="6" t="n">
        <x:f>E70-MAX(0,LARGE('TOPIX_M23'!$E$6:$E$56,1))-MAX(0,LARGE('TOPIX_M23'!$E$6:$E$56,2))-MAX(0,LARGE('TOPIX_M23'!$E$6:$E$56,3))</x:f>
        <x:v>-16012000</x:v>
      </x:c>
      <x:c r="N70" s="6" t="n">
        <x:f>SUMIFS('TOPIX_M23'!$E$6:$E$56,'TOPIX_M23'!$B$6:$B$56,"デイ")</x:f>
        <x:v>-8157500</x:v>
      </x:c>
      <x:c r="O70" s="6" t="n">
        <x:f>SUMIFS('TOPIX_M23'!$E$6:$E$56,'TOPIX_M23'!$B$6:$B$56,"ナイト")</x:f>
        <x:v>-7802500</x:v>
      </x:c>
      <x:c r="P70" s="6" t="n">
        <x:f>'TOPIX_M23'!I57</x:f>
        <x:v>4337</x:v>
      </x:c>
    </x:row>
    <x:row r="71" ht="44" customHeight="1">
      <x:c r="A71" s="2" t="str">
        <x:v>TOPIX_M24</x:v>
      </x:c>
      <x:c r="B71" s="19" t="str">
        <x:v>600秒の時間加重平均を60秒前と比較。保有中も傾き比例で増減、利益追尾＋傾き反転・増勢後の半減で返済。</x:v>
      </x:c>
      <x:c r="C71" s="6" t="n">
        <x:f>'TOPIX_M24'!C57</x:f>
        <x:v>13079500</x:v>
      </x:c>
      <x:c r="D71" s="6" t="n">
        <x:f>'TOPIX_M24'!D57</x:f>
        <x:v>29445500</x:v>
      </x:c>
      <x:c r="E71" s="6" t="n">
        <x:f>'TOPIX_M24'!E57</x:f>
        <x:v>-16366000</x:v>
      </x:c>
      <x:c r="F71" s="20" t="n">
        <x:f>IF(D71=0,"",C71/D71)</x:f>
        <x:v>0.44419351004397956</x:v>
      </x:c>
      <x:c r="G71" s="6" t="n">
        <x:f>COUNTIFS('TOPIX_M24'!$E$6:$E$56,"&gt;0")</x:f>
        <x:v>1</x:v>
      </x:c>
      <x:c r="H71" s="6" t="n">
        <x:f>COUNTIFS('TOPIX_M24'!$E$6:$E$56,"&lt;0")</x:f>
        <x:v>50</x:v>
      </x:c>
      <x:c r="I71" s="6" t="n">
        <x:f>COUNTIFS('TOPIX_M24'!$I$6:$I$56,0)</x:f>
        <x:v>0</x:v>
      </x:c>
      <x:c r="J71" s="6" t="n">
        <x:f>MAX(0,-MIN('TOPIX_M24'!$E$6:$E$56))</x:f>
        <x:v>686000</x:v>
      </x:c>
      <x:c r="K71" s="6" t="n">
        <x:f>IF(H71=0,"",-SUMIFS('TOPIX_M24'!$E$6:$E$56,'TOPIX_M24'!$E$6:$E$56,"&lt;0")/H71)</x:f>
        <x:v>328190</x:v>
      </x:c>
      <x:c r="L71" s="6" t="n">
        <x:v>309250</x:v>
      </x:c>
      <x:c r="M71" s="6" t="n">
        <x:f>E71-MAX(0,LARGE('TOPIX_M24'!$E$6:$E$56,1))-MAX(0,LARGE('TOPIX_M24'!$E$6:$E$56,2))-MAX(0,LARGE('TOPIX_M24'!$E$6:$E$56,3))</x:f>
        <x:v>-16409500</x:v>
      </x:c>
      <x:c r="N71" s="6" t="n">
        <x:f>SUMIFS('TOPIX_M24'!$E$6:$E$56,'TOPIX_M24'!$B$6:$B$56,"デイ")</x:f>
        <x:v>-8346000</x:v>
      </x:c>
      <x:c r="O71" s="6" t="n">
        <x:f>SUMIFS('TOPIX_M24'!$E$6:$E$56,'TOPIX_M24'!$B$6:$B$56,"ナイト")</x:f>
        <x:v>-8020000</x:v>
      </x:c>
      <x:c r="P71" s="6" t="n">
        <x:f>'TOPIX_M24'!I57</x:f>
        <x:v>4922</x:v>
      </x:c>
    </x:row>
    <x:row r="72" ht="44" customHeight="1">
      <x:c r="A72" s="2" t="str">
        <x:v>TOPIX_F01</x:v>
      </x:c>
      <x:c r="B72" s="19" t="str">
        <x:v>180秒の時間加重平均を30秒前と比較。固定1枚、利益追尾＋傾き反転・増勢後の半減で返済。</x:v>
      </x:c>
      <x:c r="C72" s="6" t="n">
        <x:f>'TOPIX_F01'!C57</x:f>
        <x:v>4515500</x:v>
      </x:c>
      <x:c r="D72" s="6" t="n">
        <x:f>'TOPIX_F01'!D57</x:f>
        <x:v>13299000</x:v>
      </x:c>
      <x:c r="E72" s="6" t="n">
        <x:f>'TOPIX_F01'!E57</x:f>
        <x:v>-8783500</x:v>
      </x:c>
      <x:c r="F72" s="20" t="n">
        <x:f>IF(D72=0,"",C72/D72)</x:f>
        <x:v>0.33953680727874275</x:v>
      </x:c>
      <x:c r="G72" s="6" t="n">
        <x:f>COUNTIFS('TOPIX_F01'!$E$6:$E$56,"&gt;0")</x:f>
        <x:v>0</x:v>
      </x:c>
      <x:c r="H72" s="6" t="n">
        <x:f>COUNTIFS('TOPIX_F01'!$E$6:$E$56,"&lt;0")</x:f>
        <x:v>51</x:v>
      </x:c>
      <x:c r="I72" s="6" t="n">
        <x:f>COUNTIFS('TOPIX_F01'!$I$6:$I$56,0)</x:f>
        <x:v>0</x:v>
      </x:c>
      <x:c r="J72" s="6" t="n">
        <x:f>MAX(0,-MIN('TOPIX_F01'!$E$6:$E$56))</x:f>
        <x:v>275500</x:v>
      </x:c>
      <x:c r="K72" s="6" t="n">
        <x:f>IF(H72=0,"",-SUMIFS('TOPIX_F01'!$E$6:$E$56,'TOPIX_F01'!$E$6:$E$56,"&lt;0")/H72)</x:f>
        <x:v>172225.49019607843</x:v>
      </x:c>
      <x:c r="L72" s="6" t="n">
        <x:v>173500</x:v>
      </x:c>
      <x:c r="M72" s="6" t="n">
        <x:f>E72-MAX(0,LARGE('TOPIX_F01'!$E$6:$E$56,1))-MAX(0,LARGE('TOPIX_F01'!$E$6:$E$56,2))-MAX(0,LARGE('TOPIX_F01'!$E$6:$E$56,3))</x:f>
        <x:v>-8783500</x:v>
      </x:c>
      <x:c r="N72" s="6" t="n">
        <x:f>SUMIFS('TOPIX_F01'!$E$6:$E$56,'TOPIX_F01'!$B$6:$B$56,"デイ")</x:f>
        <x:v>-3879500</x:v>
      </x:c>
      <x:c r="O72" s="6" t="n">
        <x:f>SUMIFS('TOPIX_F01'!$E$6:$E$56,'TOPIX_F01'!$B$6:$B$56,"ナイト")</x:f>
        <x:v>-4904000</x:v>
      </x:c>
      <x:c r="P72" s="6" t="n">
        <x:f>'TOPIX_F01'!I57</x:f>
        <x:v>12140</x:v>
      </x:c>
    </x:row>
    <x:row r="73" ht="44" customHeight="1">
      <x:c r="A73" s="2" t="str">
        <x:v>TOPIX_F10</x:v>
      </x:c>
      <x:c r="B73" s="19" t="str">
        <x:v>180秒の時間加重平均を30秒前と比較。固定10枚、利益追尾＋傾き反転・増勢後の半減で返済。</x:v>
      </x:c>
      <x:c r="C73" s="6" t="n">
        <x:f>'TOPIX_F10'!C57</x:f>
        <x:v>45155000</x:v>
      </x:c>
      <x:c r="D73" s="6" t="n">
        <x:f>'TOPIX_F10'!D57</x:f>
        <x:v>132990000</x:v>
      </x:c>
      <x:c r="E73" s="6" t="n">
        <x:f>'TOPIX_F10'!E57</x:f>
        <x:v>-87835000</x:v>
      </x:c>
      <x:c r="F73" s="20" t="n">
        <x:f>IF(D73=0,"",C73/D73)</x:f>
        <x:v>0.33953680727874275</x:v>
      </x:c>
      <x:c r="G73" s="6" t="n">
        <x:f>COUNTIFS('TOPIX_F10'!$E$6:$E$56,"&gt;0")</x:f>
        <x:v>0</x:v>
      </x:c>
      <x:c r="H73" s="6" t="n">
        <x:f>COUNTIFS('TOPIX_F10'!$E$6:$E$56,"&lt;0")</x:f>
        <x:v>51</x:v>
      </x:c>
      <x:c r="I73" s="6" t="n">
        <x:f>COUNTIFS('TOPIX_F10'!$I$6:$I$56,0)</x:f>
        <x:v>0</x:v>
      </x:c>
      <x:c r="J73" s="6" t="n">
        <x:f>MAX(0,-MIN('TOPIX_F10'!$E$6:$E$56))</x:f>
        <x:v>2755000</x:v>
      </x:c>
      <x:c r="K73" s="6" t="n">
        <x:f>IF(H73=0,"",-SUMIFS('TOPIX_F10'!$E$6:$E$56,'TOPIX_F10'!$E$6:$E$56,"&lt;0")/H73)</x:f>
        <x:v>1722254.9019607843</x:v>
      </x:c>
      <x:c r="L73" s="6" t="n">
        <x:v>1735000</x:v>
      </x:c>
      <x:c r="M73" s="6" t="n">
        <x:f>E73-MAX(0,LARGE('TOPIX_F10'!$E$6:$E$56,1))-MAX(0,LARGE('TOPIX_F10'!$E$6:$E$56,2))-MAX(0,LARGE('TOPIX_F10'!$E$6:$E$56,3))</x:f>
        <x:v>-87835000</x:v>
      </x:c>
      <x:c r="N73" s="6" t="n">
        <x:f>SUMIFS('TOPIX_F10'!$E$6:$E$56,'TOPIX_F10'!$B$6:$B$56,"デイ")</x:f>
        <x:v>-38795000</x:v>
      </x:c>
      <x:c r="O73" s="6" t="n">
        <x:f>SUMIFS('TOPIX_F10'!$E$6:$E$56,'TOPIX_F10'!$B$6:$B$56,"ナイト")</x:f>
        <x:v>-49040000</x:v>
      </x:c>
      <x:c r="P73" s="6" t="n">
        <x:f>'TOPIX_F10'!I57</x:f>
        <x:v>12140</x:v>
      </x:c>
    </x:row>
  </x:sheetData>
  <x:conditionalFormatting sqref="E6:E73">
    <x:cfRule type="cellIs" dxfId="68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57012fa97094f9d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1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4" customHeight="1">
      <x:c r="A1" s="3" t="str">
        <x:v>日経 R01　各セッションの利益・損失・収支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A2" s="4" t="str">
        <x:v>2026/09/21〜10/26デイ・51完了場。日経mini／TOPIXmini各上限10枚・手数料0。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4" customHeight="1">
      <x:c r="A3" s="4" t="str">
        <x:v>3分MA・初回は傾き比例枚数・返済後は冷却して再参加・利益の伸びを追尾／D出口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4" customHeight="1">
      <x:c r="A4" s="4" t="str">
        <x:v>利益・損失＝FIFO返済配賦別。親＝初回から全返済まで。ラージ気配による模型で、mini実約定の検証ではありません。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42" customHeight="1">
      <x:c r="A5" s="10" t="str">
        <x:v>セッション</x:v>
      </x:c>
      <x:c r="B5" s="10" t="str">
        <x:v>区分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親利益（円）</x:v>
      </x:c>
      <x:c r="H5" s="10" t="str">
        <x:v>親損失（円）</x:v>
      </x:c>
      <x:c r="I5" s="10" t="str">
        <x:v>初回件数</x:v>
      </x:c>
      <x:c r="J5" s="10" t="str">
        <x:v>追加件数</x:v>
      </x:c>
      <x:c r="K5" s="10" t="str">
        <x:v>縮小件数</x:v>
      </x:c>
      <x:c r="L5" s="10" t="str">
        <x:v>最大保有枚数</x:v>
      </x:c>
      <x:c r="M5" s="10" t="str">
        <x:v>保有時間率</x:v>
      </x:c>
      <x:c r="N5" s="10" t="str">
        <x:v>時価最大DD（円）</x:v>
      </x:c>
    </x:row>
    <x:row r="6" ht="24" customHeight="1">
      <x:c r="A6" s="2" t="str">
        <x:v>2026-09-21_Day</x:v>
      </x:c>
      <x:c r="B6" s="6" t="str">
        <x:v>デイ</x:v>
      </x:c>
      <x:c r="C6" s="6" t="n">
        <x:v>333000</x:v>
      </x:c>
      <x:c r="D6" s="6" t="n">
        <x:v>758000</x:v>
      </x:c>
      <x:c r="E6" s="6" t="n">
        <x:f>C6-D6</x:f>
        <x:v>-425000</x:v>
      </x:c>
      <x:c r="F6" s="6" t="n">
        <x:f>E6</x:f>
        <x:v>-425000</x:v>
      </x:c>
      <x:c r="G6" s="6" t="n">
        <x:v>333000</x:v>
      </x:c>
      <x:c r="H6" s="6" t="n">
        <x:v>758000</x:v>
      </x:c>
      <x:c r="I6" s="6" t="n">
        <x:v>89</x:v>
      </x:c>
      <x:c r="J6" s="6" t="n">
        <x:v>0</x:v>
      </x:c>
      <x:c r="K6" s="6" t="n">
        <x:v>0</x:v>
      </x:c>
      <x:c r="L6" s="6" t="n">
        <x:v>10</x:v>
      </x:c>
      <x:c r="M6" s="11" t="n">
        <x:v>0.6448412698412699</x:v>
      </x:c>
      <x:c r="N6" s="6" t="n">
        <x:v>524000</x:v>
      </x:c>
    </x:row>
    <x:row r="7" ht="24" customHeight="1">
      <x:c r="A7" s="2" t="str">
        <x:v>2026-09-21_Night</x:v>
      </x:c>
      <x:c r="B7" s="6" t="str">
        <x:v>ナイト</x:v>
      </x:c>
      <x:c r="C7" s="6" t="n">
        <x:v>205000</x:v>
      </x:c>
      <x:c r="D7" s="6" t="n">
        <x:v>568000</x:v>
      </x:c>
      <x:c r="E7" s="6" t="n">
        <x:f>C7-D7</x:f>
        <x:v>-363000</x:v>
      </x:c>
      <x:c r="F7" s="6" t="n">
        <x:f>F6+E7</x:f>
        <x:v>-788000</x:v>
      </x:c>
      <x:c r="G7" s="6" t="n">
        <x:v>205000</x:v>
      </x:c>
      <x:c r="H7" s="6" t="n">
        <x:v>568000</x:v>
      </x:c>
      <x:c r="I7" s="6" t="n">
        <x:v>112</x:v>
      </x:c>
      <x:c r="J7" s="6" t="n">
        <x:v>0</x:v>
      </x:c>
      <x:c r="K7" s="6" t="n">
        <x:v>0</x:v>
      </x:c>
      <x:c r="L7" s="6" t="n">
        <x:v>10</x:v>
      </x:c>
      <x:c r="M7" s="11" t="n">
        <x:v>0.5155555555555555</x:v>
      </x:c>
      <x:c r="N7" s="6" t="n">
        <x:v>388000</x:v>
      </x:c>
    </x:row>
    <x:row r="8" ht="24" customHeight="1">
      <x:c r="A8" s="2" t="str">
        <x:v>2026-09-22_Day</x:v>
      </x:c>
      <x:c r="B8" s="6" t="str">
        <x:v>デイ</x:v>
      </x:c>
      <x:c r="C8" s="6" t="n">
        <x:v>281000</x:v>
      </x:c>
      <x:c r="D8" s="6" t="n">
        <x:v>768000</x:v>
      </x:c>
      <x:c r="E8" s="6" t="n">
        <x:f>C8-D8</x:f>
        <x:v>-487000</x:v>
      </x:c>
      <x:c r="F8" s="6" t="n">
        <x:f>F7+E8</x:f>
        <x:v>-1275000</x:v>
      </x:c>
      <x:c r="G8" s="6" t="n">
        <x:v>281000</x:v>
      </x:c>
      <x:c r="H8" s="6" t="n">
        <x:v>768000</x:v>
      </x:c>
      <x:c r="I8" s="6" t="n">
        <x:v>103</x:v>
      </x:c>
      <x:c r="J8" s="6" t="n">
        <x:v>0</x:v>
      </x:c>
      <x:c r="K8" s="6" t="n">
        <x:v>0</x:v>
      </x:c>
      <x:c r="L8" s="6" t="n">
        <x:v>10</x:v>
      </x:c>
      <x:c r="M8" s="11" t="n">
        <x:v>0.5337301587301587</x:v>
      </x:c>
      <x:c r="N8" s="6" t="n">
        <x:v>573000</x:v>
      </x:c>
    </x:row>
    <x:row r="9" ht="24" customHeight="1">
      <x:c r="A9" s="2" t="str">
        <x:v>2026-09-22_Night</x:v>
      </x:c>
      <x:c r="B9" s="6" t="str">
        <x:v>ナイト</x:v>
      </x:c>
      <x:c r="C9" s="6" t="n">
        <x:v>443000</x:v>
      </x:c>
      <x:c r="D9" s="6" t="n">
        <x:v>1023000</x:v>
      </x:c>
      <x:c r="E9" s="6" t="n">
        <x:f>C9-D9</x:f>
        <x:v>-580000</x:v>
      </x:c>
      <x:c r="F9" s="6" t="n">
        <x:f>F8+E9</x:f>
        <x:v>-1855000</x:v>
      </x:c>
      <x:c r="G9" s="6" t="n">
        <x:v>443000</x:v>
      </x:c>
      <x:c r="H9" s="6" t="n">
        <x:v>1023000</x:v>
      </x:c>
      <x:c r="I9" s="6" t="n">
        <x:v>136</x:v>
      </x:c>
      <x:c r="J9" s="6" t="n">
        <x:v>0</x:v>
      </x:c>
      <x:c r="K9" s="6" t="n">
        <x:v>0</x:v>
      </x:c>
      <x:c r="L9" s="6" t="n">
        <x:v>10</x:v>
      </x:c>
      <x:c r="M9" s="11" t="n">
        <x:v>0.5567094017094018</x:v>
      </x:c>
      <x:c r="N9" s="6" t="n">
        <x:v>717000</x:v>
      </x:c>
    </x:row>
    <x:row r="10" ht="24" customHeight="1">
      <x:c r="A10" s="2" t="str">
        <x:v>2026-09-23_Day</x:v>
      </x:c>
      <x:c r="B10" s="6" t="str">
        <x:v>デイ</x:v>
      </x:c>
      <x:c r="C10" s="6" t="n">
        <x:v>185000</x:v>
      </x:c>
      <x:c r="D10" s="6" t="n">
        <x:v>740000</x:v>
      </x:c>
      <x:c r="E10" s="6" t="n">
        <x:f>C10-D10</x:f>
        <x:v>-555000</x:v>
      </x:c>
      <x:c r="F10" s="6" t="n">
        <x:f>F9+E10</x:f>
        <x:v>-2410000</x:v>
      </x:c>
      <x:c r="G10" s="6" t="n">
        <x:v>185000</x:v>
      </x:c>
      <x:c r="H10" s="6" t="n">
        <x:v>740000</x:v>
      </x:c>
      <x:c r="I10" s="6" t="n">
        <x:v>107</x:v>
      </x:c>
      <x:c r="J10" s="6" t="n">
        <x:v>0</x:v>
      </x:c>
      <x:c r="K10" s="6" t="n">
        <x:v>0</x:v>
      </x:c>
      <x:c r="L10" s="6" t="n">
        <x:v>10</x:v>
      </x:c>
      <x:c r="M10" s="11" t="n">
        <x:v>0.628452380952381</x:v>
      </x:c>
      <x:c r="N10" s="6" t="n">
        <x:v>663000</x:v>
      </x:c>
    </x:row>
    <x:row r="11" ht="24" customHeight="1">
      <x:c r="A11" s="2" t="str">
        <x:v>2026-09-23_Night</x:v>
      </x:c>
      <x:c r="B11" s="6" t="str">
        <x:v>ナイト</x:v>
      </x:c>
      <x:c r="C11" s="6" t="n">
        <x:v>324000</x:v>
      </x:c>
      <x:c r="D11" s="6" t="n">
        <x:v>976000</x:v>
      </x:c>
      <x:c r="E11" s="6" t="n">
        <x:f>C11-D11</x:f>
        <x:v>-652000</x:v>
      </x:c>
      <x:c r="F11" s="6" t="n">
        <x:f>F10+E11</x:f>
        <x:v>-3062000</x:v>
      </x:c>
      <x:c r="G11" s="6" t="n">
        <x:v>324000</x:v>
      </x:c>
      <x:c r="H11" s="6" t="n">
        <x:v>976000</x:v>
      </x:c>
      <x:c r="I11" s="6" t="n">
        <x:v>140</x:v>
      </x:c>
      <x:c r="J11" s="6" t="n">
        <x:v>0</x:v>
      </x:c>
      <x:c r="K11" s="6" t="n">
        <x:v>0</x:v>
      </x:c>
      <x:c r="L11" s="6" t="n">
        <x:v>10</x:v>
      </x:c>
      <x:c r="M11" s="11" t="n">
        <x:v>0.6513247863247863</x:v>
      </x:c>
      <x:c r="N11" s="6" t="n">
        <x:v>658000</x:v>
      </x:c>
    </x:row>
    <x:row r="12" ht="24" customHeight="1">
      <x:c r="A12" s="2" t="str">
        <x:v>2026-09-24_Day</x:v>
      </x:c>
      <x:c r="B12" s="6" t="str">
        <x:v>デイ</x:v>
      </x:c>
      <x:c r="C12" s="6" t="n">
        <x:v>327000</x:v>
      </x:c>
      <x:c r="D12" s="6" t="n">
        <x:v>486000</x:v>
      </x:c>
      <x:c r="E12" s="6" t="n">
        <x:f>C12-D12</x:f>
        <x:v>-159000</x:v>
      </x:c>
      <x:c r="F12" s="6" t="n">
        <x:f>F11+E12</x:f>
        <x:v>-3221000</x:v>
      </x:c>
      <x:c r="G12" s="6" t="n">
        <x:v>327000</x:v>
      </x:c>
      <x:c r="H12" s="6" t="n">
        <x:v>486000</x:v>
      </x:c>
      <x:c r="I12" s="6" t="n">
        <x:v>129</x:v>
      </x:c>
      <x:c r="J12" s="6" t="n">
        <x:v>0</x:v>
      </x:c>
      <x:c r="K12" s="6" t="n">
        <x:v>0</x:v>
      </x:c>
      <x:c r="L12" s="6" t="n">
        <x:v>10</x:v>
      </x:c>
      <x:c r="M12" s="11" t="n">
        <x:v>0.47928571428571426</x:v>
      </x:c>
      <x:c r="N12" s="6" t="n">
        <x:v>306000</x:v>
      </x:c>
    </x:row>
    <x:row r="13" ht="24" customHeight="1">
      <x:c r="A13" s="2" t="str">
        <x:v>2026-09-24_Night</x:v>
      </x:c>
      <x:c r="B13" s="6" t="str">
        <x:v>ナイト</x:v>
      </x:c>
      <x:c r="C13" s="6" t="n">
        <x:v>555000</x:v>
      </x:c>
      <x:c r="D13" s="6" t="n">
        <x:v>1269000</x:v>
      </x:c>
      <x:c r="E13" s="6" t="n">
        <x:f>C13-D13</x:f>
        <x:v>-714000</x:v>
      </x:c>
      <x:c r="F13" s="6" t="n">
        <x:f>F12+E13</x:f>
        <x:v>-3935000</x:v>
      </x:c>
      <x:c r="G13" s="6" t="n">
        <x:v>555000</x:v>
      </x:c>
      <x:c r="H13" s="6" t="n">
        <x:v>1269000</x:v>
      </x:c>
      <x:c r="I13" s="6" t="n">
        <x:v>180</x:v>
      </x:c>
      <x:c r="J13" s="6" t="n">
        <x:v>0</x:v>
      </x:c>
      <x:c r="K13" s="6" t="n">
        <x:v>0</x:v>
      </x:c>
      <x:c r="L13" s="6" t="n">
        <x:v>10</x:v>
      </x:c>
      <x:c r="M13" s="11" t="n">
        <x:v>0.48057692307692307</x:v>
      </x:c>
      <x:c r="N13" s="6" t="n">
        <x:v>752000</x:v>
      </x:c>
    </x:row>
    <x:row r="14" ht="24" customHeight="1">
      <x:c r="A14" s="2" t="str">
        <x:v>2026-09-25_Day</x:v>
      </x:c>
      <x:c r="B14" s="6" t="str">
        <x:v>デイ</x:v>
      </x:c>
      <x:c r="C14" s="6" t="n">
        <x:v>171000</x:v>
      </x:c>
      <x:c r="D14" s="6" t="n">
        <x:v>837000</x:v>
      </x:c>
      <x:c r="E14" s="6" t="n">
        <x:f>C14-D14</x:f>
        <x:v>-666000</x:v>
      </x:c>
      <x:c r="F14" s="6" t="n">
        <x:f>F13+E14</x:f>
        <x:v>-4601000</x:v>
      </x:c>
      <x:c r="G14" s="6" t="n">
        <x:v>171000</x:v>
      </x:c>
      <x:c r="H14" s="6" t="n">
        <x:v>837000</x:v>
      </x:c>
      <x:c r="I14" s="6" t="n">
        <x:v>150</x:v>
      </x:c>
      <x:c r="J14" s="6" t="n">
        <x:v>0</x:v>
      </x:c>
      <x:c r="K14" s="6" t="n">
        <x:v>0</x:v>
      </x:c>
      <x:c r="L14" s="6" t="n">
        <x:v>9</x:v>
      </x:c>
      <x:c r="M14" s="11" t="n">
        <x:v>0.5167857142857143</x:v>
      </x:c>
      <x:c r="N14" s="6" t="n">
        <x:v>680000</x:v>
      </x:c>
    </x:row>
    <x:row r="15" ht="24" customHeight="1">
      <x:c r="A15" s="2" t="str">
        <x:v>2026-09-25_Night</x:v>
      </x:c>
      <x:c r="B15" s="6" t="str">
        <x:v>ナイト</x:v>
      </x:c>
      <x:c r="C15" s="6" t="n">
        <x:v>371000</x:v>
      </x:c>
      <x:c r="D15" s="6" t="n">
        <x:v>1018000</x:v>
      </x:c>
      <x:c r="E15" s="6" t="n">
        <x:f>C15-D15</x:f>
        <x:v>-647000</x:v>
      </x:c>
      <x:c r="F15" s="6" t="n">
        <x:f>F14+E15</x:f>
        <x:v>-5248000</x:v>
      </x:c>
      <x:c r="G15" s="6" t="n">
        <x:v>371000</x:v>
      </x:c>
      <x:c r="H15" s="6" t="n">
        <x:v>1018000</x:v>
      </x:c>
      <x:c r="I15" s="6" t="n">
        <x:v>144</x:v>
      </x:c>
      <x:c r="J15" s="6" t="n">
        <x:v>0</x:v>
      </x:c>
      <x:c r="K15" s="6" t="n">
        <x:v>0</x:v>
      </x:c>
      <x:c r="L15" s="6" t="n">
        <x:v>10</x:v>
      </x:c>
      <x:c r="M15" s="11" t="n">
        <x:v>0.4491880341880342</x:v>
      </x:c>
      <x:c r="N15" s="6" t="n">
        <x:v>677000</x:v>
      </x:c>
    </x:row>
    <x:row r="16" ht="24" customHeight="1">
      <x:c r="A16" s="2" t="str">
        <x:v>2026-09-28_Day</x:v>
      </x:c>
      <x:c r="B16" s="6" t="str">
        <x:v>デイ</x:v>
      </x:c>
      <x:c r="C16" s="6" t="n">
        <x:v>210000</x:v>
      </x:c>
      <x:c r="D16" s="6" t="n">
        <x:v>999000</x:v>
      </x:c>
      <x:c r="E16" s="6" t="n">
        <x:f>C16-D16</x:f>
        <x:v>-789000</x:v>
      </x:c>
      <x:c r="F16" s="6" t="n">
        <x:f>F15+E16</x:f>
        <x:v>-6037000</x:v>
      </x:c>
      <x:c r="G16" s="6" t="n">
        <x:v>210000</x:v>
      </x:c>
      <x:c r="H16" s="6" t="n">
        <x:v>999000</x:v>
      </x:c>
      <x:c r="I16" s="6" t="n">
        <x:v>161</x:v>
      </x:c>
      <x:c r="J16" s="6" t="n">
        <x:v>0</x:v>
      </x:c>
      <x:c r="K16" s="6" t="n">
        <x:v>0</x:v>
      </x:c>
      <x:c r="L16" s="6" t="n">
        <x:v>10</x:v>
      </x:c>
      <x:c r="M16" s="11" t="n">
        <x:v>0.5102380952380953</x:v>
      </x:c>
      <x:c r="N16" s="6" t="n">
        <x:v>861000</x:v>
      </x:c>
    </x:row>
    <x:row r="17" ht="24" customHeight="1">
      <x:c r="A17" s="2" t="str">
        <x:v>2026-09-28_Night</x:v>
      </x:c>
      <x:c r="B17" s="6" t="str">
        <x:v>ナイト</x:v>
      </x:c>
      <x:c r="C17" s="6" t="n">
        <x:v>627000</x:v>
      </x:c>
      <x:c r="D17" s="6" t="n">
        <x:v>1354000</x:v>
      </x:c>
      <x:c r="E17" s="6" t="n">
        <x:f>C17-D17</x:f>
        <x:v>-727000</x:v>
      </x:c>
      <x:c r="F17" s="6" t="n">
        <x:f>F16+E17</x:f>
        <x:v>-6764000</x:v>
      </x:c>
      <x:c r="G17" s="6" t="n">
        <x:v>627000</x:v>
      </x:c>
      <x:c r="H17" s="6" t="n">
        <x:v>1354000</x:v>
      </x:c>
      <x:c r="I17" s="6" t="n">
        <x:v>189</x:v>
      </x:c>
      <x:c r="J17" s="6" t="n">
        <x:v>0</x:v>
      </x:c>
      <x:c r="K17" s="6" t="n">
        <x:v>0</x:v>
      </x:c>
      <x:c r="L17" s="6" t="n">
        <x:v>10</x:v>
      </x:c>
      <x:c r="M17" s="11" t="n">
        <x:v>0.5536965811965812</x:v>
      </x:c>
      <x:c r="N17" s="6" t="n">
        <x:v>752000</x:v>
      </x:c>
    </x:row>
    <x:row r="18" ht="24" customHeight="1">
      <x:c r="A18" s="2" t="str">
        <x:v>2026-09-29_Day</x:v>
      </x:c>
      <x:c r="B18" s="6" t="str">
        <x:v>デイ</x:v>
      </x:c>
      <x:c r="C18" s="6" t="n">
        <x:v>194000</x:v>
      </x:c>
      <x:c r="D18" s="6" t="n">
        <x:v>969000</x:v>
      </x:c>
      <x:c r="E18" s="6" t="n">
        <x:f>C18-D18</x:f>
        <x:v>-775000</x:v>
      </x:c>
      <x:c r="F18" s="6" t="n">
        <x:f>F17+E18</x:f>
        <x:v>-7539000</x:v>
      </x:c>
      <x:c r="G18" s="6" t="n">
        <x:v>194000</x:v>
      </x:c>
      <x:c r="H18" s="6" t="n">
        <x:v>969000</x:v>
      </x:c>
      <x:c r="I18" s="6" t="n">
        <x:v>146</x:v>
      </x:c>
      <x:c r="J18" s="6" t="n">
        <x:v>0</x:v>
      </x:c>
      <x:c r="K18" s="6" t="n">
        <x:v>0</x:v>
      </x:c>
      <x:c r="L18" s="6" t="n">
        <x:v>10</x:v>
      </x:c>
      <x:c r="M18" s="11" t="n">
        <x:v>0.4209920634920635</x:v>
      </x:c>
      <x:c r="N18" s="6" t="n">
        <x:v>790000</x:v>
      </x:c>
    </x:row>
    <x:row r="19" ht="24" customHeight="1">
      <x:c r="A19" s="2" t="str">
        <x:v>2026-09-29_Night</x:v>
      </x:c>
      <x:c r="B19" s="6" t="str">
        <x:v>ナイト</x:v>
      </x:c>
      <x:c r="C19" s="6" t="n">
        <x:v>293000</x:v>
      </x:c>
      <x:c r="D19" s="6" t="n">
        <x:v>1334000</x:v>
      </x:c>
      <x:c r="E19" s="6" t="n">
        <x:f>C19-D19</x:f>
        <x:v>-1041000</x:v>
      </x:c>
      <x:c r="F19" s="6" t="n">
        <x:f>F18+E19</x:f>
        <x:v>-8580000</x:v>
      </x:c>
      <x:c r="G19" s="6" t="n">
        <x:v>293000</x:v>
      </x:c>
      <x:c r="H19" s="6" t="n">
        <x:v>1334000</x:v>
      </x:c>
      <x:c r="I19" s="6" t="n">
        <x:v>181</x:v>
      </x:c>
      <x:c r="J19" s="6" t="n">
        <x:v>0</x:v>
      </x:c>
      <x:c r="K19" s="6" t="n">
        <x:v>0</x:v>
      </x:c>
      <x:c r="L19" s="6" t="n">
        <x:v>10</x:v>
      </x:c>
      <x:c r="M19" s="11" t="n">
        <x:v>0.5688247863247863</x:v>
      </x:c>
      <x:c r="N19" s="6" t="n">
        <x:v>1043000</x:v>
      </x:c>
    </x:row>
    <x:row r="20" ht="24" customHeight="1">
      <x:c r="A20" s="2" t="str">
        <x:v>2026-09-30_Day</x:v>
      </x:c>
      <x:c r="B20" s="6" t="str">
        <x:v>デイ</x:v>
      </x:c>
      <x:c r="C20" s="6" t="n">
        <x:v>330000</x:v>
      </x:c>
      <x:c r="D20" s="6" t="n">
        <x:v>718000</x:v>
      </x:c>
      <x:c r="E20" s="6" t="n">
        <x:f>C20-D20</x:f>
        <x:v>-388000</x:v>
      </x:c>
      <x:c r="F20" s="6" t="n">
        <x:f>F19+E20</x:f>
        <x:v>-8968000</x:v>
      </x:c>
      <x:c r="G20" s="6" t="n">
        <x:v>330000</x:v>
      </x:c>
      <x:c r="H20" s="6" t="n">
        <x:v>718000</x:v>
      </x:c>
      <x:c r="I20" s="6" t="n">
        <x:v>131</x:v>
      </x:c>
      <x:c r="J20" s="6" t="n">
        <x:v>0</x:v>
      </x:c>
      <x:c r="K20" s="6" t="n">
        <x:v>0</x:v>
      </x:c>
      <x:c r="L20" s="6" t="n">
        <x:v>10</x:v>
      </x:c>
      <x:c r="M20" s="11" t="n">
        <x:v>0.4871031746031746</x:v>
      </x:c>
      <x:c r="N20" s="6" t="n">
        <x:v>392000</x:v>
      </x:c>
    </x:row>
    <x:row r="21" ht="24" customHeight="1">
      <x:c r="A21" s="2" t="str">
        <x:v>2026-09-30_Night</x:v>
      </x:c>
      <x:c r="B21" s="6" t="str">
        <x:v>ナイト</x:v>
      </x:c>
      <x:c r="C21" s="6" t="n">
        <x:v>432000</x:v>
      </x:c>
      <x:c r="D21" s="6" t="n">
        <x:v>1206000</x:v>
      </x:c>
      <x:c r="E21" s="6" t="n">
        <x:f>C21-D21</x:f>
        <x:v>-774000</x:v>
      </x:c>
      <x:c r="F21" s="6" t="n">
        <x:f>F20+E21</x:f>
        <x:v>-9742000</x:v>
      </x:c>
      <x:c r="G21" s="6" t="n">
        <x:v>432000</x:v>
      </x:c>
      <x:c r="H21" s="6" t="n">
        <x:v>1206000</x:v>
      </x:c>
      <x:c r="I21" s="6" t="n">
        <x:v>184</x:v>
      </x:c>
      <x:c r="J21" s="6" t="n">
        <x:v>0</x:v>
      </x:c>
      <x:c r="K21" s="6" t="n">
        <x:v>0</x:v>
      </x:c>
      <x:c r="L21" s="6" t="n">
        <x:v>10</x:v>
      </x:c>
      <x:c r="M21" s="11" t="n">
        <x:v>0.5077777777777778</x:v>
      </x:c>
      <x:c r="N21" s="6" t="n">
        <x:v>826000</x:v>
      </x:c>
    </x:row>
    <x:row r="22" ht="24" customHeight="1">
      <x:c r="A22" s="2" t="str">
        <x:v>2026-10-01_Day</x:v>
      </x:c>
      <x:c r="B22" s="6" t="str">
        <x:v>デイ</x:v>
      </x:c>
      <x:c r="C22" s="6" t="n">
        <x:v>160000</x:v>
      </x:c>
      <x:c r="D22" s="6" t="n">
        <x:v>661000</x:v>
      </x:c>
      <x:c r="E22" s="6" t="n">
        <x:f>C22-D22</x:f>
        <x:v>-501000</x:v>
      </x:c>
      <x:c r="F22" s="6" t="n">
        <x:f>F21+E22</x:f>
        <x:v>-10243000</x:v>
      </x:c>
      <x:c r="G22" s="6" t="n">
        <x:v>160000</x:v>
      </x:c>
      <x:c r="H22" s="6" t="n">
        <x:v>661000</x:v>
      </x:c>
      <x:c r="I22" s="6" t="n">
        <x:v>122</x:v>
      </x:c>
      <x:c r="J22" s="6" t="n">
        <x:v>0</x:v>
      </x:c>
      <x:c r="K22" s="6" t="n">
        <x:v>0</x:v>
      </x:c>
      <x:c r="L22" s="6" t="n">
        <x:v>10</x:v>
      </x:c>
      <x:c r="M22" s="11" t="n">
        <x:v>0.5043253968253968</x:v>
      </x:c>
      <x:c r="N22" s="6" t="n">
        <x:v>513000</x:v>
      </x:c>
    </x:row>
    <x:row r="23" ht="24" customHeight="1">
      <x:c r="A23" s="2" t="str">
        <x:v>2026-10-01_Night</x:v>
      </x:c>
      <x:c r="B23" s="6" t="str">
        <x:v>ナイト</x:v>
      </x:c>
      <x:c r="C23" s="6" t="n">
        <x:v>648000</x:v>
      </x:c>
      <x:c r="D23" s="6" t="n">
        <x:v>1917000</x:v>
      </x:c>
      <x:c r="E23" s="6" t="n">
        <x:f>C23-D23</x:f>
        <x:v>-1269000</x:v>
      </x:c>
      <x:c r="F23" s="6" t="n">
        <x:f>F22+E23</x:f>
        <x:v>-11512000</x:v>
      </x:c>
      <x:c r="G23" s="6" t="n">
        <x:v>648000</x:v>
      </x:c>
      <x:c r="H23" s="6" t="n">
        <x:v>1917000</x:v>
      </x:c>
      <x:c r="I23" s="6" t="n">
        <x:v>213</x:v>
      </x:c>
      <x:c r="J23" s="6" t="n">
        <x:v>0</x:v>
      </x:c>
      <x:c r="K23" s="6" t="n">
        <x:v>0</x:v>
      </x:c>
      <x:c r="L23" s="6" t="n">
        <x:v>10</x:v>
      </x:c>
      <x:c r="M23" s="11" t="n">
        <x:v>0.5147222222222222</x:v>
      </x:c>
      <x:c r="N23" s="6" t="n">
        <x:v>1303000</x:v>
      </x:c>
    </x:row>
    <x:row r="24" ht="24" customHeight="1">
      <x:c r="A24" s="2" t="str">
        <x:v>2026-10-02_Day</x:v>
      </x:c>
      <x:c r="B24" s="6" t="str">
        <x:v>デイ</x:v>
      </x:c>
      <x:c r="C24" s="6" t="n">
        <x:v>194000</x:v>
      </x:c>
      <x:c r="D24" s="6" t="n">
        <x:v>636000</x:v>
      </x:c>
      <x:c r="E24" s="6" t="n">
        <x:f>C24-D24</x:f>
        <x:v>-442000</x:v>
      </x:c>
      <x:c r="F24" s="6" t="n">
        <x:f>F23+E24</x:f>
        <x:v>-11954000</x:v>
      </x:c>
      <x:c r="G24" s="6" t="n">
        <x:v>194000</x:v>
      </x:c>
      <x:c r="H24" s="6" t="n">
        <x:v>636000</x:v>
      </x:c>
      <x:c r="I24" s="6" t="n">
        <x:v>125</x:v>
      </x:c>
      <x:c r="J24" s="6" t="n">
        <x:v>0</x:v>
      </x:c>
      <x:c r="K24" s="6" t="n">
        <x:v>0</x:v>
      </x:c>
      <x:c r="L24" s="6" t="n">
        <x:v>10</x:v>
      </x:c>
      <x:c r="M24" s="11" t="n">
        <x:v>0.5272619047619047</x:v>
      </x:c>
      <x:c r="N24" s="6" t="n">
        <x:v>524000</x:v>
      </x:c>
    </x:row>
    <x:row r="25" ht="24" customHeight="1">
      <x:c r="A25" s="2" t="str">
        <x:v>2026-10-02_Night</x:v>
      </x:c>
      <x:c r="B25" s="6" t="str">
        <x:v>ナイト</x:v>
      </x:c>
      <x:c r="C25" s="6" t="n">
        <x:v>594000</x:v>
      </x:c>
      <x:c r="D25" s="6" t="n">
        <x:v>1397000</x:v>
      </x:c>
      <x:c r="E25" s="6" t="n">
        <x:f>C25-D25</x:f>
        <x:v>-803000</x:v>
      </x:c>
      <x:c r="F25" s="6" t="n">
        <x:f>F24+E25</x:f>
        <x:v>-12757000</x:v>
      </x:c>
      <x:c r="G25" s="6" t="n">
        <x:v>594000</x:v>
      </x:c>
      <x:c r="H25" s="6" t="n">
        <x:v>1397000</x:v>
      </x:c>
      <x:c r="I25" s="6" t="n">
        <x:v>204</x:v>
      </x:c>
      <x:c r="J25" s="6" t="n">
        <x:v>0</x:v>
      </x:c>
      <x:c r="K25" s="6" t="n">
        <x:v>0</x:v>
      </x:c>
      <x:c r="L25" s="6" t="n">
        <x:v>10</x:v>
      </x:c>
      <x:c r="M25" s="11" t="n">
        <x:v>0.5944658119658119</x:v>
      </x:c>
      <x:c r="N25" s="6" t="n">
        <x:v>803000</x:v>
      </x:c>
    </x:row>
    <x:row r="26" ht="24" customHeight="1">
      <x:c r="A26" s="2" t="str">
        <x:v>2026-10-05_Day</x:v>
      </x:c>
      <x:c r="B26" s="6" t="str">
        <x:v>デイ</x:v>
      </x:c>
      <x:c r="C26" s="6" t="n">
        <x:v>266000</x:v>
      </x:c>
      <x:c r="D26" s="6" t="n">
        <x:v>625000</x:v>
      </x:c>
      <x:c r="E26" s="6" t="n">
        <x:f>C26-D26</x:f>
        <x:v>-359000</x:v>
      </x:c>
      <x:c r="F26" s="6" t="n">
        <x:f>F25+E26</x:f>
        <x:v>-13116000</x:v>
      </x:c>
      <x:c r="G26" s="6" t="n">
        <x:v>266000</x:v>
      </x:c>
      <x:c r="H26" s="6" t="n">
        <x:v>625000</x:v>
      </x:c>
      <x:c r="I26" s="6" t="n">
        <x:v>134</x:v>
      </x:c>
      <x:c r="J26" s="6" t="n">
        <x:v>0</x:v>
      </x:c>
      <x:c r="K26" s="6" t="n">
        <x:v>0</x:v>
      </x:c>
      <x:c r="L26" s="6" t="n">
        <x:v>10</x:v>
      </x:c>
      <x:c r="M26" s="11" t="n">
        <x:v>0.5696031746031746</x:v>
      </x:c>
      <x:c r="N26" s="6" t="n">
        <x:v>471000</x:v>
      </x:c>
    </x:row>
    <x:row r="27" ht="24" customHeight="1">
      <x:c r="A27" s="2" t="str">
        <x:v>2026-10-05_Night</x:v>
      </x:c>
      <x:c r="B27" s="6" t="str">
        <x:v>ナイト</x:v>
      </x:c>
      <x:c r="C27" s="6" t="n">
        <x:v>250000</x:v>
      </x:c>
      <x:c r="D27" s="6" t="n">
        <x:v>902000</x:v>
      </x:c>
      <x:c r="E27" s="6" t="n">
        <x:f>C27-D27</x:f>
        <x:v>-652000</x:v>
      </x:c>
      <x:c r="F27" s="6" t="n">
        <x:f>F26+E27</x:f>
        <x:v>-13768000</x:v>
      </x:c>
      <x:c r="G27" s="6" t="n">
        <x:v>250000</x:v>
      </x:c>
      <x:c r="H27" s="6" t="n">
        <x:v>902000</x:v>
      </x:c>
      <x:c r="I27" s="6" t="n">
        <x:v>187</x:v>
      </x:c>
      <x:c r="J27" s="6" t="n">
        <x:v>0</x:v>
      </x:c>
      <x:c r="K27" s="6" t="n">
        <x:v>0</x:v>
      </x:c>
      <x:c r="L27" s="6" t="n">
        <x:v>10</x:v>
      </x:c>
      <x:c r="M27" s="11" t="n">
        <x:v>0.6043376068376068</x:v>
      </x:c>
      <x:c r="N27" s="6" t="n">
        <x:v>683000</x:v>
      </x:c>
    </x:row>
    <x:row r="28" ht="24" customHeight="1">
      <x:c r="A28" s="2" t="str">
        <x:v>2026-10-06_Day</x:v>
      </x:c>
      <x:c r="B28" s="6" t="str">
        <x:v>デイ</x:v>
      </x:c>
      <x:c r="C28" s="6" t="n">
        <x:v>213000</x:v>
      </x:c>
      <x:c r="D28" s="6" t="n">
        <x:v>790000</x:v>
      </x:c>
      <x:c r="E28" s="6" t="n">
        <x:f>C28-D28</x:f>
        <x:v>-577000</x:v>
      </x:c>
      <x:c r="F28" s="6" t="n">
        <x:f>F27+E28</x:f>
        <x:v>-14345000</x:v>
      </x:c>
      <x:c r="G28" s="6" t="n">
        <x:v>213000</x:v>
      </x:c>
      <x:c r="H28" s="6" t="n">
        <x:v>790000</x:v>
      </x:c>
      <x:c r="I28" s="6" t="n">
        <x:v>138</x:v>
      </x:c>
      <x:c r="J28" s="6" t="n">
        <x:v>0</x:v>
      </x:c>
      <x:c r="K28" s="6" t="n">
        <x:v>0</x:v>
      </x:c>
      <x:c r="L28" s="6" t="n">
        <x:v>10</x:v>
      </x:c>
      <x:c r="M28" s="11" t="n">
        <x:v>0.5832539682539682</x:v>
      </x:c>
      <x:c r="N28" s="6" t="n">
        <x:v>577000</x:v>
      </x:c>
    </x:row>
    <x:row r="29" ht="24" customHeight="1">
      <x:c r="A29" s="2" t="str">
        <x:v>2026-10-06_Night</x:v>
      </x:c>
      <x:c r="B29" s="6" t="str">
        <x:v>ナイト</x:v>
      </x:c>
      <x:c r="C29" s="6" t="n">
        <x:v>204000</x:v>
      </x:c>
      <x:c r="D29" s="6" t="n">
        <x:v>784000</x:v>
      </x:c>
      <x:c r="E29" s="6" t="n">
        <x:f>C29-D29</x:f>
        <x:v>-580000</x:v>
      </x:c>
      <x:c r="F29" s="6" t="n">
        <x:f>F28+E29</x:f>
        <x:v>-14925000</x:v>
      </x:c>
      <x:c r="G29" s="6" t="n">
        <x:v>204000</x:v>
      </x:c>
      <x:c r="H29" s="6" t="n">
        <x:v>784000</x:v>
      </x:c>
      <x:c r="I29" s="6" t="n">
        <x:v>161</x:v>
      </x:c>
      <x:c r="J29" s="6" t="n">
        <x:v>0</x:v>
      </x:c>
      <x:c r="K29" s="6" t="n">
        <x:v>0</x:v>
      </x:c>
      <x:c r="L29" s="6" t="n">
        <x:v>10</x:v>
      </x:c>
      <x:c r="M29" s="11" t="n">
        <x:v>0.5886965811965812</x:v>
      </x:c>
      <x:c r="N29" s="6" t="n">
        <x:v>597000</x:v>
      </x:c>
    </x:row>
    <x:row r="30" ht="24" customHeight="1">
      <x:c r="A30" s="2" t="str">
        <x:v>2026-10-07_Day</x:v>
      </x:c>
      <x:c r="B30" s="6" t="str">
        <x:v>デイ</x:v>
      </x:c>
      <x:c r="C30" s="6" t="n">
        <x:v>153000</x:v>
      </x:c>
      <x:c r="D30" s="6" t="n">
        <x:v>473000</x:v>
      </x:c>
      <x:c r="E30" s="6" t="n">
        <x:f>C30-D30</x:f>
        <x:v>-320000</x:v>
      </x:c>
      <x:c r="F30" s="6" t="n">
        <x:f>F29+E30</x:f>
        <x:v>-15245000</x:v>
      </x:c>
      <x:c r="G30" s="6" t="n">
        <x:v>153000</x:v>
      </x:c>
      <x:c r="H30" s="6" t="n">
        <x:v>473000</x:v>
      </x:c>
      <x:c r="I30" s="6" t="n">
        <x:v>127</x:v>
      </x:c>
      <x:c r="J30" s="6" t="n">
        <x:v>0</x:v>
      </x:c>
      <x:c r="K30" s="6" t="n">
        <x:v>0</x:v>
      </x:c>
      <x:c r="L30" s="6" t="n">
        <x:v>6</x:v>
      </x:c>
      <x:c r="M30" s="11" t="n">
        <x:v>0.5784920634920635</x:v>
      </x:c>
      <x:c r="N30" s="6" t="n">
        <x:v>337000</x:v>
      </x:c>
    </x:row>
    <x:row r="31" ht="24" customHeight="1">
      <x:c r="A31" s="2" t="str">
        <x:v>2026-10-07_Night</x:v>
      </x:c>
      <x:c r="B31" s="6" t="str">
        <x:v>ナイト</x:v>
      </x:c>
      <x:c r="C31" s="6" t="n">
        <x:v>199000</x:v>
      </x:c>
      <x:c r="D31" s="6" t="n">
        <x:v>1010000</x:v>
      </x:c>
      <x:c r="E31" s="6" t="n">
        <x:f>C31-D31</x:f>
        <x:v>-811000</x:v>
      </x:c>
      <x:c r="F31" s="6" t="n">
        <x:f>F30+E31</x:f>
        <x:v>-16056000</x:v>
      </x:c>
      <x:c r="G31" s="6" t="n">
        <x:v>199000</x:v>
      </x:c>
      <x:c r="H31" s="6" t="n">
        <x:v>1010000</x:v>
      </x:c>
      <x:c r="I31" s="6" t="n">
        <x:v>199</x:v>
      </x:c>
      <x:c r="J31" s="6" t="n">
        <x:v>0</x:v>
      </x:c>
      <x:c r="K31" s="6" t="n">
        <x:v>0</x:v>
      </x:c>
      <x:c r="L31" s="6" t="n">
        <x:v>10</x:v>
      </x:c>
      <x:c r="M31" s="11" t="n">
        <x:v>0.5835470085470086</x:v>
      </x:c>
      <x:c r="N31" s="6" t="n">
        <x:v>820000</x:v>
      </x:c>
    </x:row>
    <x:row r="32" ht="24" customHeight="1">
      <x:c r="A32" s="2" t="str">
        <x:v>2026-10-08_Day</x:v>
      </x:c>
      <x:c r="B32" s="6" t="str">
        <x:v>デイ</x:v>
      </x:c>
      <x:c r="C32" s="6" t="n">
        <x:v>273000</x:v>
      </x:c>
      <x:c r="D32" s="6" t="n">
        <x:v>530000</x:v>
      </x:c>
      <x:c r="E32" s="6" t="n">
        <x:f>C32-D32</x:f>
        <x:v>-257000</x:v>
      </x:c>
      <x:c r="F32" s="6" t="n">
        <x:f>F31+E32</x:f>
        <x:v>-16313000</x:v>
      </x:c>
      <x:c r="G32" s="6" t="n">
        <x:v>273000</x:v>
      </x:c>
      <x:c r="H32" s="6" t="n">
        <x:v>530000</x:v>
      </x:c>
      <x:c r="I32" s="6" t="n">
        <x:v>124</x:v>
      </x:c>
      <x:c r="J32" s="6" t="n">
        <x:v>0</x:v>
      </x:c>
      <x:c r="K32" s="6" t="n">
        <x:v>0</x:v>
      </x:c>
      <x:c r="L32" s="6" t="n">
        <x:v>10</x:v>
      </x:c>
      <x:c r="M32" s="11" t="n">
        <x:v>0.4662698412698413</x:v>
      </x:c>
      <x:c r="N32" s="6" t="n">
        <x:v>284000</x:v>
      </x:c>
    </x:row>
    <x:row r="33" ht="24" customHeight="1">
      <x:c r="A33" s="2" t="str">
        <x:v>2026-10-08_Night</x:v>
      </x:c>
      <x:c r="B33" s="6" t="str">
        <x:v>ナイト</x:v>
      </x:c>
      <x:c r="C33" s="6" t="n">
        <x:v>412000</x:v>
      </x:c>
      <x:c r="D33" s="6" t="n">
        <x:v>2058000</x:v>
      </x:c>
      <x:c r="E33" s="6" t="n">
        <x:f>C33-D33</x:f>
        <x:v>-1646000</x:v>
      </x:c>
      <x:c r="F33" s="6" t="n">
        <x:f>F32+E33</x:f>
        <x:v>-17959000</x:v>
      </x:c>
      <x:c r="G33" s="6" t="n">
        <x:v>412000</x:v>
      </x:c>
      <x:c r="H33" s="6" t="n">
        <x:v>2058000</x:v>
      </x:c>
      <x:c r="I33" s="6" t="n">
        <x:v>227</x:v>
      </x:c>
      <x:c r="J33" s="6" t="n">
        <x:v>0</x:v>
      </x:c>
      <x:c r="K33" s="6" t="n">
        <x:v>0</x:v>
      </x:c>
      <x:c r="L33" s="6" t="n">
        <x:v>10</x:v>
      </x:c>
      <x:c r="M33" s="11" t="n">
        <x:v>0.5013675213675214</x:v>
      </x:c>
      <x:c r="N33" s="6" t="n">
        <x:v>1646000</x:v>
      </x:c>
    </x:row>
    <x:row r="34" ht="24" customHeight="1">
      <x:c r="A34" s="2" t="str">
        <x:v>2026-10-09_Day</x:v>
      </x:c>
      <x:c r="B34" s="6" t="str">
        <x:v>デイ</x:v>
      </x:c>
      <x:c r="C34" s="6" t="n">
        <x:v>208000</x:v>
      </x:c>
      <x:c r="D34" s="6" t="n">
        <x:v>776000</x:v>
      </x:c>
      <x:c r="E34" s="6" t="n">
        <x:f>C34-D34</x:f>
        <x:v>-568000</x:v>
      </x:c>
      <x:c r="F34" s="6" t="n">
        <x:f>F33+E34</x:f>
        <x:v>-18527000</x:v>
      </x:c>
      <x:c r="G34" s="6" t="n">
        <x:v>208000</x:v>
      </x:c>
      <x:c r="H34" s="6" t="n">
        <x:v>776000</x:v>
      </x:c>
      <x:c r="I34" s="6" t="n">
        <x:v>123</x:v>
      </x:c>
      <x:c r="J34" s="6" t="n">
        <x:v>0</x:v>
      </x:c>
      <x:c r="K34" s="6" t="n">
        <x:v>0</x:v>
      </x:c>
      <x:c r="L34" s="6" t="n">
        <x:v>10</x:v>
      </x:c>
      <x:c r="M34" s="11" t="n">
        <x:v>0.540515873015873</x:v>
      </x:c>
      <x:c r="N34" s="6" t="n">
        <x:v>606000</x:v>
      </x:c>
    </x:row>
    <x:row r="35" ht="24" customHeight="1">
      <x:c r="A35" s="2" t="str">
        <x:v>2026-10-09_Night</x:v>
      </x:c>
      <x:c r="B35" s="6" t="str">
        <x:v>ナイト</x:v>
      </x:c>
      <x:c r="C35" s="6" t="n">
        <x:v>307000</x:v>
      </x:c>
      <x:c r="D35" s="6" t="n">
        <x:v>1331000</x:v>
      </x:c>
      <x:c r="E35" s="6" t="n">
        <x:f>C35-D35</x:f>
        <x:v>-1024000</x:v>
      </x:c>
      <x:c r="F35" s="6" t="n">
        <x:f>F34+E35</x:f>
        <x:v>-19551000</x:v>
      </x:c>
      <x:c r="G35" s="6" t="n">
        <x:v>307000</x:v>
      </x:c>
      <x:c r="H35" s="6" t="n">
        <x:v>1331000</x:v>
      </x:c>
      <x:c r="I35" s="6" t="n">
        <x:v>171</x:v>
      </x:c>
      <x:c r="J35" s="6" t="n">
        <x:v>0</x:v>
      </x:c>
      <x:c r="K35" s="6" t="n">
        <x:v>0</x:v>
      </x:c>
      <x:c r="L35" s="6" t="n">
        <x:v>10</x:v>
      </x:c>
      <x:c r="M35" s="11" t="n">
        <x:v>0.6401709401709401</x:v>
      </x:c>
      <x:c r="N35" s="6" t="n">
        <x:v>1047000</x:v>
      </x:c>
    </x:row>
    <x:row r="36" ht="24" customHeight="1">
      <x:c r="A36" s="2" t="str">
        <x:v>2026-10-12_Day</x:v>
      </x:c>
      <x:c r="B36" s="6" t="str">
        <x:v>デイ</x:v>
      </x:c>
      <x:c r="C36" s="6" t="n">
        <x:v>151000</x:v>
      </x:c>
      <x:c r="D36" s="6" t="n">
        <x:v>532000</x:v>
      </x:c>
      <x:c r="E36" s="6" t="n">
        <x:f>C36-D36</x:f>
        <x:v>-381000</x:v>
      </x:c>
      <x:c r="F36" s="6" t="n">
        <x:f>F35+E36</x:f>
        <x:v>-19932000</x:v>
      </x:c>
      <x:c r="G36" s="6" t="n">
        <x:v>151000</x:v>
      </x:c>
      <x:c r="H36" s="6" t="n">
        <x:v>532000</x:v>
      </x:c>
      <x:c r="I36" s="6" t="n">
        <x:v>87</x:v>
      </x:c>
      <x:c r="J36" s="6" t="n">
        <x:v>0</x:v>
      </x:c>
      <x:c r="K36" s="6" t="n">
        <x:v>0</x:v>
      </x:c>
      <x:c r="L36" s="6" t="n">
        <x:v>10</x:v>
      </x:c>
      <x:c r="M36" s="11" t="n">
        <x:v>0.6024603174603175</x:v>
      </x:c>
      <x:c r="N36" s="6" t="n">
        <x:v>382000</x:v>
      </x:c>
    </x:row>
    <x:row r="37" ht="24" customHeight="1">
      <x:c r="A37" s="2" t="str">
        <x:v>2026-10-12_Night</x:v>
      </x:c>
      <x:c r="B37" s="6" t="str">
        <x:v>ナイト</x:v>
      </x:c>
      <x:c r="C37" s="6" t="n">
        <x:v>273000</x:v>
      </x:c>
      <x:c r="D37" s="6" t="n">
        <x:v>772000</x:v>
      </x:c>
      <x:c r="E37" s="6" t="n">
        <x:f>C37-D37</x:f>
        <x:v>-499000</x:v>
      </x:c>
      <x:c r="F37" s="6" t="n">
        <x:f>F36+E37</x:f>
        <x:v>-20431000</x:v>
      </x:c>
      <x:c r="G37" s="6" t="n">
        <x:v>273000</x:v>
      </x:c>
      <x:c r="H37" s="6" t="n">
        <x:v>772000</x:v>
      </x:c>
      <x:c r="I37" s="6" t="n">
        <x:v>138</x:v>
      </x:c>
      <x:c r="J37" s="6" t="n">
        <x:v>0</x:v>
      </x:c>
      <x:c r="K37" s="6" t="n">
        <x:v>0</x:v>
      </x:c>
      <x:c r="L37" s="6" t="n">
        <x:v>10</x:v>
      </x:c>
      <x:c r="M37" s="11" t="n">
        <x:v>0.6411965811965812</x:v>
      </x:c>
      <x:c r="N37" s="6" t="n">
        <x:v>517000</x:v>
      </x:c>
    </x:row>
    <x:row r="38" ht="24" customHeight="1">
      <x:c r="A38" s="2" t="str">
        <x:v>2026-10-13_Day</x:v>
      </x:c>
      <x:c r="B38" s="6" t="str">
        <x:v>デイ</x:v>
      </x:c>
      <x:c r="C38" s="6" t="n">
        <x:v>303000</x:v>
      </x:c>
      <x:c r="D38" s="6" t="n">
        <x:v>901000</x:v>
      </x:c>
      <x:c r="E38" s="6" t="n">
        <x:f>C38-D38</x:f>
        <x:v>-598000</x:v>
      </x:c>
      <x:c r="F38" s="6" t="n">
        <x:f>F37+E38</x:f>
        <x:v>-21029000</x:v>
      </x:c>
      <x:c r="G38" s="6" t="n">
        <x:v>303000</x:v>
      </x:c>
      <x:c r="H38" s="6" t="n">
        <x:v>901000</x:v>
      </x:c>
      <x:c r="I38" s="6" t="n">
        <x:v>156</x:v>
      </x:c>
      <x:c r="J38" s="6" t="n">
        <x:v>0</x:v>
      </x:c>
      <x:c r="K38" s="6" t="n">
        <x:v>0</x:v>
      </x:c>
      <x:c r="L38" s="6" t="n">
        <x:v>8</x:v>
      </x:c>
      <x:c r="M38" s="11" t="n">
        <x:v>0.5505952380952381</x:v>
      </x:c>
      <x:c r="N38" s="6" t="n">
        <x:v>617000</x:v>
      </x:c>
    </x:row>
    <x:row r="39" ht="24" customHeight="1">
      <x:c r="A39" s="2" t="str">
        <x:v>2026-10-13_Night</x:v>
      </x:c>
      <x:c r="B39" s="6" t="str">
        <x:v>ナイト</x:v>
      </x:c>
      <x:c r="C39" s="6" t="n">
        <x:v>175000</x:v>
      </x:c>
      <x:c r="D39" s="6" t="n">
        <x:v>1035000</x:v>
      </x:c>
      <x:c r="E39" s="6" t="n">
        <x:f>C39-D39</x:f>
        <x:v>-860000</x:v>
      </x:c>
      <x:c r="F39" s="6" t="n">
        <x:f>F38+E39</x:f>
        <x:v>-21889000</x:v>
      </x:c>
      <x:c r="G39" s="6" t="n">
        <x:v>175000</x:v>
      </x:c>
      <x:c r="H39" s="6" t="n">
        <x:v>1035000</x:v>
      </x:c>
      <x:c r="I39" s="6" t="n">
        <x:v>173</x:v>
      </x:c>
      <x:c r="J39" s="6" t="n">
        <x:v>0</x:v>
      </x:c>
      <x:c r="K39" s="6" t="n">
        <x:v>0</x:v>
      </x:c>
      <x:c r="L39" s="6" t="n">
        <x:v>10</x:v>
      </x:c>
      <x:c r="M39" s="11" t="n">
        <x:v>0.6256837606837606</x:v>
      </x:c>
      <x:c r="N39" s="6" t="n">
        <x:v>867000</x:v>
      </x:c>
    </x:row>
    <x:row r="40" ht="24" customHeight="1">
      <x:c r="A40" s="2" t="str">
        <x:v>2026-10-14_Day</x:v>
      </x:c>
      <x:c r="B40" s="6" t="str">
        <x:v>デイ</x:v>
      </x:c>
      <x:c r="C40" s="6" t="n">
        <x:v>279000</x:v>
      </x:c>
      <x:c r="D40" s="6" t="n">
        <x:v>701000</x:v>
      </x:c>
      <x:c r="E40" s="6" t="n">
        <x:f>C40-D40</x:f>
        <x:v>-422000</x:v>
      </x:c>
      <x:c r="F40" s="6" t="n">
        <x:f>F39+E40</x:f>
        <x:v>-22311000</x:v>
      </x:c>
      <x:c r="G40" s="6" t="n">
        <x:v>279000</x:v>
      </x:c>
      <x:c r="H40" s="6" t="n">
        <x:v>701000</x:v>
      </x:c>
      <x:c r="I40" s="6" t="n">
        <x:v>148</x:v>
      </x:c>
      <x:c r="J40" s="6" t="n">
        <x:v>0</x:v>
      </x:c>
      <x:c r="K40" s="6" t="n">
        <x:v>0</x:v>
      </x:c>
      <x:c r="L40" s="6" t="n">
        <x:v>10</x:v>
      </x:c>
      <x:c r="M40" s="11" t="n">
        <x:v>0.5278174603174604</x:v>
      </x:c>
      <x:c r="N40" s="6" t="n">
        <x:v>454000</x:v>
      </x:c>
    </x:row>
    <x:row r="41" ht="24" customHeight="1">
      <x:c r="A41" s="2" t="str">
        <x:v>2026-10-14_Night</x:v>
      </x:c>
      <x:c r="B41" s="6" t="str">
        <x:v>ナイト</x:v>
      </x:c>
      <x:c r="C41" s="6" t="n">
        <x:v>536000</x:v>
      </x:c>
      <x:c r="D41" s="6" t="n">
        <x:v>1258000</x:v>
      </x:c>
      <x:c r="E41" s="6" t="n">
        <x:f>C41-D41</x:f>
        <x:v>-722000</x:v>
      </x:c>
      <x:c r="F41" s="6" t="n">
        <x:f>F40+E41</x:f>
        <x:v>-23033000</x:v>
      </x:c>
      <x:c r="G41" s="6" t="n">
        <x:v>536000</x:v>
      </x:c>
      <x:c r="H41" s="6" t="n">
        <x:v>1258000</x:v>
      </x:c>
      <x:c r="I41" s="6" t="n">
        <x:v>207</x:v>
      </x:c>
      <x:c r="J41" s="6" t="n">
        <x:v>0</x:v>
      </x:c>
      <x:c r="K41" s="6" t="n">
        <x:v>0</x:v>
      </x:c>
      <x:c r="L41" s="6" t="n">
        <x:v>10</x:v>
      </x:c>
      <x:c r="M41" s="11" t="n">
        <x:v>0.575448717948718</x:v>
      </x:c>
      <x:c r="N41" s="6" t="n">
        <x:v>749000</x:v>
      </x:c>
    </x:row>
    <x:row r="42" ht="24" customHeight="1">
      <x:c r="A42" s="2" t="str">
        <x:v>2026-10-15_Day</x:v>
      </x:c>
      <x:c r="B42" s="6" t="str">
        <x:v>デイ</x:v>
      </x:c>
      <x:c r="C42" s="6" t="n">
        <x:v>368000</x:v>
      </x:c>
      <x:c r="D42" s="6" t="n">
        <x:v>731000</x:v>
      </x:c>
      <x:c r="E42" s="6" t="n">
        <x:f>C42-D42</x:f>
        <x:v>-363000</x:v>
      </x:c>
      <x:c r="F42" s="6" t="n">
        <x:f>F41+E42</x:f>
        <x:v>-23396000</x:v>
      </x:c>
      <x:c r="G42" s="6" t="n">
        <x:v>368000</x:v>
      </x:c>
      <x:c r="H42" s="6" t="n">
        <x:v>731000</x:v>
      </x:c>
      <x:c r="I42" s="6" t="n">
        <x:v>143</x:v>
      </x:c>
      <x:c r="J42" s="6" t="n">
        <x:v>0</x:v>
      </x:c>
      <x:c r="K42" s="6" t="n">
        <x:v>0</x:v>
      </x:c>
      <x:c r="L42" s="6" t="n">
        <x:v>10</x:v>
      </x:c>
      <x:c r="M42" s="11" t="n">
        <x:v>0.37226190476190474</x:v>
      </x:c>
      <x:c r="N42" s="6" t="n">
        <x:v>495000</x:v>
      </x:c>
    </x:row>
    <x:row r="43" ht="24" customHeight="1">
      <x:c r="A43" s="2" t="str">
        <x:v>2026-10-15_Night</x:v>
      </x:c>
      <x:c r="B43" s="6" t="str">
        <x:v>ナイト</x:v>
      </x:c>
      <x:c r="C43" s="6" t="n">
        <x:v>583000</x:v>
      </x:c>
      <x:c r="D43" s="6" t="n">
        <x:v>1794000</x:v>
      </x:c>
      <x:c r="E43" s="6" t="n">
        <x:f>C43-D43</x:f>
        <x:v>-1211000</x:v>
      </x:c>
      <x:c r="F43" s="6" t="n">
        <x:f>F42+E43</x:f>
        <x:v>-24607000</x:v>
      </x:c>
      <x:c r="G43" s="6" t="n">
        <x:v>583000</x:v>
      </x:c>
      <x:c r="H43" s="6" t="n">
        <x:v>1794000</x:v>
      </x:c>
      <x:c r="I43" s="6" t="n">
        <x:v>220</x:v>
      </x:c>
      <x:c r="J43" s="6" t="n">
        <x:v>0</x:v>
      </x:c>
      <x:c r="K43" s="6" t="n">
        <x:v>0</x:v>
      </x:c>
      <x:c r="L43" s="6" t="n">
        <x:v>10</x:v>
      </x:c>
      <x:c r="M43" s="11" t="n">
        <x:v>0.48433760683760685</x:v>
      </x:c>
      <x:c r="N43" s="6" t="n">
        <x:v>1252000</x:v>
      </x:c>
    </x:row>
    <x:row r="44" ht="24" customHeight="1">
      <x:c r="A44" s="2" t="str">
        <x:v>2026-10-16_Day</x:v>
      </x:c>
      <x:c r="B44" s="6" t="str">
        <x:v>デイ</x:v>
      </x:c>
      <x:c r="C44" s="6" t="n">
        <x:v>292000</x:v>
      </x:c>
      <x:c r="D44" s="6" t="n">
        <x:v>828000</x:v>
      </x:c>
      <x:c r="E44" s="6" t="n">
        <x:f>C44-D44</x:f>
        <x:v>-536000</x:v>
      </x:c>
      <x:c r="F44" s="6" t="n">
        <x:f>F43+E44</x:f>
        <x:v>-25143000</x:v>
      </x:c>
      <x:c r="G44" s="6" t="n">
        <x:v>292000</x:v>
      </x:c>
      <x:c r="H44" s="6" t="n">
        <x:v>828000</x:v>
      </x:c>
      <x:c r="I44" s="6" t="n">
        <x:v>135</x:v>
      </x:c>
      <x:c r="J44" s="6" t="n">
        <x:v>0</x:v>
      </x:c>
      <x:c r="K44" s="6" t="n">
        <x:v>0</x:v>
      </x:c>
      <x:c r="L44" s="6" t="n">
        <x:v>10</x:v>
      </x:c>
      <x:c r="M44" s="11" t="n">
        <x:v>0.4037698412698413</x:v>
      </x:c>
      <x:c r="N44" s="6" t="n">
        <x:v>544000</x:v>
      </x:c>
    </x:row>
    <x:row r="45" ht="24" customHeight="1">
      <x:c r="A45" s="2" t="str">
        <x:v>2026-10-16_Night</x:v>
      </x:c>
      <x:c r="B45" s="6" t="str">
        <x:v>ナイト</x:v>
      </x:c>
      <x:c r="C45" s="6" t="n">
        <x:v>746000</x:v>
      </x:c>
      <x:c r="D45" s="6" t="n">
        <x:v>1445000</x:v>
      </x:c>
      <x:c r="E45" s="6" t="n">
        <x:f>C45-D45</x:f>
        <x:v>-699000</x:v>
      </x:c>
      <x:c r="F45" s="6" t="n">
        <x:f>F44+E45</x:f>
        <x:v>-25842000</x:v>
      </x:c>
      <x:c r="G45" s="6" t="n">
        <x:v>746000</x:v>
      </x:c>
      <x:c r="H45" s="6" t="n">
        <x:v>1445000</x:v>
      </x:c>
      <x:c r="I45" s="6" t="n">
        <x:v>222</x:v>
      </x:c>
      <x:c r="J45" s="6" t="n">
        <x:v>0</x:v>
      </x:c>
      <x:c r="K45" s="6" t="n">
        <x:v>0</x:v>
      </x:c>
      <x:c r="L45" s="6" t="n">
        <x:v>10</x:v>
      </x:c>
      <x:c r="M45" s="11" t="n">
        <x:v>0.4872863247863248</x:v>
      </x:c>
      <x:c r="N45" s="6" t="n">
        <x:v>725000</x:v>
      </x:c>
    </x:row>
    <x:row r="46" ht="24" customHeight="1">
      <x:c r="A46" s="2" t="str">
        <x:v>2026-10-19_Day</x:v>
      </x:c>
      <x:c r="B46" s="6" t="str">
        <x:v>デイ</x:v>
      </x:c>
      <x:c r="C46" s="6" t="n">
        <x:v>359000</x:v>
      </x:c>
      <x:c r="D46" s="6" t="n">
        <x:v>683000</x:v>
      </x:c>
      <x:c r="E46" s="6" t="n">
        <x:f>C46-D46</x:f>
        <x:v>-324000</x:v>
      </x:c>
      <x:c r="F46" s="6" t="n">
        <x:f>F45+E46</x:f>
        <x:v>-26166000</x:v>
      </x:c>
      <x:c r="G46" s="6" t="n">
        <x:v>359000</x:v>
      </x:c>
      <x:c r="H46" s="6" t="n">
        <x:v>683000</x:v>
      </x:c>
      <x:c r="I46" s="6" t="n">
        <x:v>141</x:v>
      </x:c>
      <x:c r="J46" s="6" t="n">
        <x:v>0</x:v>
      </x:c>
      <x:c r="K46" s="6" t="n">
        <x:v>0</x:v>
      </x:c>
      <x:c r="L46" s="6" t="n">
        <x:v>10</x:v>
      </x:c>
      <x:c r="M46" s="11" t="n">
        <x:v>0.43234126984126986</x:v>
      </x:c>
      <x:c r="N46" s="6" t="n">
        <x:v>513000</x:v>
      </x:c>
    </x:row>
    <x:row r="47" ht="24" customHeight="1">
      <x:c r="A47" s="2" t="str">
        <x:v>2026-10-19_Night</x:v>
      </x:c>
      <x:c r="B47" s="6" t="str">
        <x:v>ナイト</x:v>
      </x:c>
      <x:c r="C47" s="6" t="n">
        <x:v>367000</x:v>
      </x:c>
      <x:c r="D47" s="6" t="n">
        <x:v>1549000</x:v>
      </x:c>
      <x:c r="E47" s="6" t="n">
        <x:f>C47-D47</x:f>
        <x:v>-1182000</x:v>
      </x:c>
      <x:c r="F47" s="6" t="n">
        <x:f>F46+E47</x:f>
        <x:v>-27348000</x:v>
      </x:c>
      <x:c r="G47" s="6" t="n">
        <x:v>367000</x:v>
      </x:c>
      <x:c r="H47" s="6" t="n">
        <x:v>1549000</x:v>
      </x:c>
      <x:c r="I47" s="6" t="n">
        <x:v>200</x:v>
      </x:c>
      <x:c r="J47" s="6" t="n">
        <x:v>0</x:v>
      </x:c>
      <x:c r="K47" s="6" t="n">
        <x:v>0</x:v>
      </x:c>
      <x:c r="L47" s="6" t="n">
        <x:v>10</x:v>
      </x:c>
      <x:c r="M47" s="11" t="n">
        <x:v>0.5406196581196581</x:v>
      </x:c>
      <x:c r="N47" s="6" t="n">
        <x:v>1240000</x:v>
      </x:c>
    </x:row>
    <x:row r="48" ht="24" customHeight="1">
      <x:c r="A48" s="2" t="str">
        <x:v>2026-10-20_Day</x:v>
      </x:c>
      <x:c r="B48" s="6" t="str">
        <x:v>デイ</x:v>
      </x:c>
      <x:c r="C48" s="6" t="n">
        <x:v>311000</x:v>
      </x:c>
      <x:c r="D48" s="6" t="n">
        <x:v>611000</x:v>
      </x:c>
      <x:c r="E48" s="6" t="n">
        <x:f>C48-D48</x:f>
        <x:v>-300000</x:v>
      </x:c>
      <x:c r="F48" s="6" t="n">
        <x:f>F47+E48</x:f>
        <x:v>-27648000</x:v>
      </x:c>
      <x:c r="G48" s="6" t="n">
        <x:v>311000</x:v>
      </x:c>
      <x:c r="H48" s="6" t="n">
        <x:v>611000</x:v>
      </x:c>
      <x:c r="I48" s="6" t="n">
        <x:v>126</x:v>
      </x:c>
      <x:c r="J48" s="6" t="n">
        <x:v>0</x:v>
      </x:c>
      <x:c r="K48" s="6" t="n">
        <x:v>0</x:v>
      </x:c>
      <x:c r="L48" s="6" t="n">
        <x:v>10</x:v>
      </x:c>
      <x:c r="M48" s="11" t="n">
        <x:v>0.341031746031746</x:v>
      </x:c>
      <x:c r="N48" s="6" t="n">
        <x:v>357000</x:v>
      </x:c>
    </x:row>
    <x:row r="49" ht="24" customHeight="1">
      <x:c r="A49" s="2" t="str">
        <x:v>2026-10-20_Night</x:v>
      </x:c>
      <x:c r="B49" s="6" t="str">
        <x:v>ナイト</x:v>
      </x:c>
      <x:c r="C49" s="6" t="n">
        <x:v>469000</x:v>
      </x:c>
      <x:c r="D49" s="6" t="n">
        <x:v>1307000</x:v>
      </x:c>
      <x:c r="E49" s="6" t="n">
        <x:f>C49-D49</x:f>
        <x:v>-838000</x:v>
      </x:c>
      <x:c r="F49" s="6" t="n">
        <x:f>F48+E49</x:f>
        <x:v>-28486000</x:v>
      </x:c>
      <x:c r="G49" s="6" t="n">
        <x:v>469000</x:v>
      </x:c>
      <x:c r="H49" s="6" t="n">
        <x:v>1307000</x:v>
      </x:c>
      <x:c r="I49" s="6" t="n">
        <x:v>191</x:v>
      </x:c>
      <x:c r="J49" s="6" t="n">
        <x:v>0</x:v>
      </x:c>
      <x:c r="K49" s="6" t="n">
        <x:v>0</x:v>
      </x:c>
      <x:c r="L49" s="6" t="n">
        <x:v>10</x:v>
      </x:c>
      <x:c r="M49" s="11" t="n">
        <x:v>0.47333333333333333</x:v>
      </x:c>
      <x:c r="N49" s="6" t="n">
        <x:v>860000</x:v>
      </x:c>
    </x:row>
    <x:row r="50" ht="24" customHeight="1">
      <x:c r="A50" s="2" t="str">
        <x:v>2026-10-21_Day</x:v>
      </x:c>
      <x:c r="B50" s="6" t="str">
        <x:v>デイ</x:v>
      </x:c>
      <x:c r="C50" s="6" t="n">
        <x:v>168000</x:v>
      </x:c>
      <x:c r="D50" s="6" t="n">
        <x:v>572000</x:v>
      </x:c>
      <x:c r="E50" s="6" t="n">
        <x:f>C50-D50</x:f>
        <x:v>-404000</x:v>
      </x:c>
      <x:c r="F50" s="6" t="n">
        <x:f>F49+E50</x:f>
        <x:v>-28890000</x:v>
      </x:c>
      <x:c r="G50" s="6" t="n">
        <x:v>168000</x:v>
      </x:c>
      <x:c r="H50" s="6" t="n">
        <x:v>572000</x:v>
      </x:c>
      <x:c r="I50" s="6" t="n">
        <x:v>143</x:v>
      </x:c>
      <x:c r="J50" s="6" t="n">
        <x:v>0</x:v>
      </x:c>
      <x:c r="K50" s="6" t="n">
        <x:v>0</x:v>
      </x:c>
      <x:c r="L50" s="6" t="n">
        <x:v>10</x:v>
      </x:c>
      <x:c r="M50" s="11" t="n">
        <x:v>0.43317460317460316</x:v>
      </x:c>
      <x:c r="N50" s="6" t="n">
        <x:v>440000</x:v>
      </x:c>
    </x:row>
    <x:row r="51" ht="24" customHeight="1">
      <x:c r="A51" s="2" t="str">
        <x:v>2026-10-21_Night</x:v>
      </x:c>
      <x:c r="B51" s="6" t="str">
        <x:v>ナイト</x:v>
      </x:c>
      <x:c r="C51" s="6" t="n">
        <x:v>418000</x:v>
      </x:c>
      <x:c r="D51" s="6" t="n">
        <x:v>1067000</x:v>
      </x:c>
      <x:c r="E51" s="6" t="n">
        <x:f>C51-D51</x:f>
        <x:v>-649000</x:v>
      </x:c>
      <x:c r="F51" s="6" t="n">
        <x:f>F50+E51</x:f>
        <x:v>-29539000</x:v>
      </x:c>
      <x:c r="G51" s="6" t="n">
        <x:v>418000</x:v>
      </x:c>
      <x:c r="H51" s="6" t="n">
        <x:v>1067000</x:v>
      </x:c>
      <x:c r="I51" s="6" t="n">
        <x:v>167</x:v>
      </x:c>
      <x:c r="J51" s="6" t="n">
        <x:v>0</x:v>
      </x:c>
      <x:c r="K51" s="6" t="n">
        <x:v>0</x:v>
      </x:c>
      <x:c r="L51" s="6" t="n">
        <x:v>10</x:v>
      </x:c>
      <x:c r="M51" s="11" t="n">
        <x:v>0.47794871794871796</x:v>
      </x:c>
      <x:c r="N51" s="6" t="n">
        <x:v>673000</x:v>
      </x:c>
    </x:row>
    <x:row r="52" ht="24" customHeight="1">
      <x:c r="A52" s="2" t="str">
        <x:v>2026-10-22_Day</x:v>
      </x:c>
      <x:c r="B52" s="6" t="str">
        <x:v>デイ</x:v>
      </x:c>
      <x:c r="C52" s="6" t="n">
        <x:v>316000</x:v>
      </x:c>
      <x:c r="D52" s="6" t="n">
        <x:v>786000</x:v>
      </x:c>
      <x:c r="E52" s="6" t="n">
        <x:f>C52-D52</x:f>
        <x:v>-470000</x:v>
      </x:c>
      <x:c r="F52" s="6" t="n">
        <x:f>F51+E52</x:f>
        <x:v>-30009000</x:v>
      </x:c>
      <x:c r="G52" s="6" t="n">
        <x:v>316000</x:v>
      </x:c>
      <x:c r="H52" s="6" t="n">
        <x:v>786000</x:v>
      </x:c>
      <x:c r="I52" s="6" t="n">
        <x:v>141</x:v>
      </x:c>
      <x:c r="J52" s="6" t="n">
        <x:v>0</x:v>
      </x:c>
      <x:c r="K52" s="6" t="n">
        <x:v>0</x:v>
      </x:c>
      <x:c r="L52" s="6" t="n">
        <x:v>10</x:v>
      </x:c>
      <x:c r="M52" s="11" t="n">
        <x:v>0.40273809523809523</x:v>
      </x:c>
      <x:c r="N52" s="6" t="n">
        <x:v>549000</x:v>
      </x:c>
    </x:row>
    <x:row r="53" ht="24" customHeight="1">
      <x:c r="A53" s="2" t="str">
        <x:v>2026-10-22_Night</x:v>
      </x:c>
      <x:c r="B53" s="6" t="str">
        <x:v>ナイト</x:v>
      </x:c>
      <x:c r="C53" s="6" t="n">
        <x:v>751000</x:v>
      </x:c>
      <x:c r="D53" s="6" t="n">
        <x:v>1585000</x:v>
      </x:c>
      <x:c r="E53" s="6" t="n">
        <x:f>C53-D53</x:f>
        <x:v>-834000</x:v>
      </x:c>
      <x:c r="F53" s="6" t="n">
        <x:f>F52+E53</x:f>
        <x:v>-30843000</x:v>
      </x:c>
      <x:c r="G53" s="6" t="n">
        <x:v>751000</x:v>
      </x:c>
      <x:c r="H53" s="6" t="n">
        <x:v>1585000</x:v>
      </x:c>
      <x:c r="I53" s="6" t="n">
        <x:v>218</x:v>
      </x:c>
      <x:c r="J53" s="6" t="n">
        <x:v>0</x:v>
      </x:c>
      <x:c r="K53" s="6" t="n">
        <x:v>0</x:v>
      </x:c>
      <x:c r="L53" s="6" t="n">
        <x:v>10</x:v>
      </x:c>
      <x:c r="M53" s="11" t="n">
        <x:v>0.4560897435897436</x:v>
      </x:c>
      <x:c r="N53" s="6" t="n">
        <x:v>934000</x:v>
      </x:c>
    </x:row>
    <x:row r="54" ht="24" customHeight="1">
      <x:c r="A54" s="2" t="str">
        <x:v>2026-10-23_Day</x:v>
      </x:c>
      <x:c r="B54" s="6" t="str">
        <x:v>デイ</x:v>
      </x:c>
      <x:c r="C54" s="6" t="n">
        <x:v>325000</x:v>
      </x:c>
      <x:c r="D54" s="6" t="n">
        <x:v>693000</x:v>
      </x:c>
      <x:c r="E54" s="6" t="n">
        <x:f>C54-D54</x:f>
        <x:v>-368000</x:v>
      </x:c>
      <x:c r="F54" s="6" t="n">
        <x:f>F53+E54</x:f>
        <x:v>-31211000</x:v>
      </x:c>
      <x:c r="G54" s="6" t="n">
        <x:v>325000</x:v>
      </x:c>
      <x:c r="H54" s="6" t="n">
        <x:v>693000</x:v>
      </x:c>
      <x:c r="I54" s="6" t="n">
        <x:v>158</x:v>
      </x:c>
      <x:c r="J54" s="6" t="n">
        <x:v>0</x:v>
      </x:c>
      <x:c r="K54" s="6" t="n">
        <x:v>0</x:v>
      </x:c>
      <x:c r="L54" s="6" t="n">
        <x:v>10</x:v>
      </x:c>
      <x:c r="M54" s="11" t="n">
        <x:v>0.30674603174603177</x:v>
      </x:c>
      <x:c r="N54" s="6" t="n">
        <x:v>372000</x:v>
      </x:c>
    </x:row>
    <x:row r="55" ht="24" customHeight="1">
      <x:c r="A55" s="2" t="str">
        <x:v>2026-10-23_Night</x:v>
      </x:c>
      <x:c r="B55" s="6" t="str">
        <x:v>ナイト</x:v>
      </x:c>
      <x:c r="C55" s="6" t="n">
        <x:v>408000</x:v>
      </x:c>
      <x:c r="D55" s="6" t="n">
        <x:v>1726000</x:v>
      </x:c>
      <x:c r="E55" s="6" t="n">
        <x:f>C55-D55</x:f>
        <x:v>-1318000</x:v>
      </x:c>
      <x:c r="F55" s="6" t="n">
        <x:f>F54+E55</x:f>
        <x:v>-32529000</x:v>
      </x:c>
      <x:c r="G55" s="6" t="n">
        <x:v>408000</x:v>
      </x:c>
      <x:c r="H55" s="6" t="n">
        <x:v>1726000</x:v>
      </x:c>
      <x:c r="I55" s="6" t="n">
        <x:v>236</x:v>
      </x:c>
      <x:c r="J55" s="6" t="n">
        <x:v>0</x:v>
      </x:c>
      <x:c r="K55" s="6" t="n">
        <x:v>0</x:v>
      </x:c>
      <x:c r="L55" s="6" t="n">
        <x:v>10</x:v>
      </x:c>
      <x:c r="M55" s="11" t="n">
        <x:v>0.5435470085470085</x:v>
      </x:c>
      <x:c r="N55" s="6" t="n">
        <x:v>1321000</x:v>
      </x:c>
    </x:row>
    <x:row r="56" ht="24" customHeight="1">
      <x:c r="A56" s="2" t="str">
        <x:v>2026-10-26_Day</x:v>
      </x:c>
      <x:c r="B56" s="6" t="str">
        <x:v>デイ</x:v>
      </x:c>
      <x:c r="C56" s="6" t="n">
        <x:v>319000</x:v>
      </x:c>
      <x:c r="D56" s="6" t="n">
        <x:v>662000</x:v>
      </x:c>
      <x:c r="E56" s="6" t="n">
        <x:f>C56-D56</x:f>
        <x:v>-343000</x:v>
      </x:c>
      <x:c r="F56" s="6" t="n">
        <x:f>F55+E56</x:f>
        <x:v>-32872000</x:v>
      </x:c>
      <x:c r="G56" s="6" t="n">
        <x:v>319000</x:v>
      </x:c>
      <x:c r="H56" s="6" t="n">
        <x:v>662000</x:v>
      </x:c>
      <x:c r="I56" s="6" t="n">
        <x:v>128</x:v>
      </x:c>
      <x:c r="J56" s="6" t="n">
        <x:v>0</x:v>
      </x:c>
      <x:c r="K56" s="6" t="n">
        <x:v>0</x:v>
      </x:c>
      <x:c r="L56" s="6" t="n">
        <x:v>10</x:v>
      </x:c>
      <x:c r="M56" s="11" t="n">
        <x:v>0.3809126984126984</x:v>
      </x:c>
      <x:c r="N56" s="6" t="n">
        <x:v>400000</x:v>
      </x:c>
    </x:row>
    <x:row r="57" ht="24" customHeight="1">
      <x:c r="A57" s="15" t="str">
        <x:v>累計／平均／最大</x:v>
      </x:c>
      <x:c r="B57" s="16"/>
      <x:c r="C57" s="16" t="n">
        <x:f>SUM(C6:C56)</x:f>
        <x:v>17279000</x:v>
      </x:c>
      <x:c r="D57" s="16" t="n">
        <x:f>SUM(D6:D56)</x:f>
        <x:v>50151000</x:v>
      </x:c>
      <x:c r="E57" s="16" t="n">
        <x:f>C57-D57</x:f>
        <x:v>-32872000</x:v>
      </x:c>
      <x:c r="F57" s="16" t="n">
        <x:f>F56</x:f>
        <x:v>-32872000</x:v>
      </x:c>
      <x:c r="G57" s="16" t="n">
        <x:f>SUM(G6:G56)</x:f>
        <x:v>17279000</x:v>
      </x:c>
      <x:c r="H57" s="16" t="n">
        <x:f>SUM(H6:H56)</x:f>
        <x:v>50151000</x:v>
      </x:c>
      <x:c r="I57" s="16" t="n">
        <x:f>SUM(I6:I56)</x:f>
        <x:v>8015</x:v>
      </x:c>
      <x:c r="J57" s="16" t="n">
        <x:f>SUM(J6:J56)</x:f>
        <x:v>0</x:v>
      </x:c>
      <x:c r="K57" s="16" t="n">
        <x:f>SUM(K6:K56)</x:f>
        <x:v>0</x:v>
      </x:c>
      <x:c r="L57" s="16" t="n">
        <x:f>MAX(L6:L56)</x:f>
        <x:v>10</x:v>
      </x:c>
      <x:c r="M57" s="17" t="n">
        <x:f>AVERAGE(M6:M56)</x:f>
        <x:v>0.5168912351265292</x:v>
      </x:c>
      <x:c r="N57" s="16" t="n">
        <x:f>MAX(N6:N56)</x:f>
        <x:v>1646000</x:v>
      </x:c>
    </x:row>
  </x:sheetData>
  <x:conditionalFormatting sqref="E6:F56">
    <x:cfRule type="cellIs" dxfId="0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a684e0da4f64c7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1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4" customHeight="1">
      <x:c r="A1" s="3" t="str">
        <x:v>日経 R02　各セッションの利益・損失・収支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A2" s="4" t="str">
        <x:v>2026/09/21〜10/26デイ・51完了場。日経mini／TOPIXmini各上限10枚・手数料0。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4" customHeight="1">
      <x:c r="A3" s="4" t="str">
        <x:v>3分MA・冷却後に再参加・価格位置と1分傾きも確認・初回比例枚数／D出口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4" customHeight="1">
      <x:c r="A4" s="4" t="str">
        <x:v>利益・損失＝FIFO返済配賦別。親＝初回から全返済まで。ラージ気配による模型で、mini実約定の検証ではありません。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42" customHeight="1">
      <x:c r="A5" s="10" t="str">
        <x:v>セッション</x:v>
      </x:c>
      <x:c r="B5" s="10" t="str">
        <x:v>区分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親利益（円）</x:v>
      </x:c>
      <x:c r="H5" s="10" t="str">
        <x:v>親損失（円）</x:v>
      </x:c>
      <x:c r="I5" s="10" t="str">
        <x:v>初回件数</x:v>
      </x:c>
      <x:c r="J5" s="10" t="str">
        <x:v>追加件数</x:v>
      </x:c>
      <x:c r="K5" s="10" t="str">
        <x:v>縮小件数</x:v>
      </x:c>
      <x:c r="L5" s="10" t="str">
        <x:v>最大保有枚数</x:v>
      </x:c>
      <x:c r="M5" s="10" t="str">
        <x:v>保有時間率</x:v>
      </x:c>
      <x:c r="N5" s="10" t="str">
        <x:v>時価最大DD（円）</x:v>
      </x:c>
    </x:row>
    <x:row r="6" ht="24" customHeight="1">
      <x:c r="A6" s="2" t="str">
        <x:v>2026-09-21_Day</x:v>
      </x:c>
      <x:c r="B6" s="6" t="str">
        <x:v>デイ</x:v>
      </x:c>
      <x:c r="C6" s="6" t="n">
        <x:v>282000</x:v>
      </x:c>
      <x:c r="D6" s="6" t="n">
        <x:v>795000</x:v>
      </x:c>
      <x:c r="E6" s="6" t="n">
        <x:f>C6-D6</x:f>
        <x:v>-513000</x:v>
      </x:c>
      <x:c r="F6" s="6" t="n">
        <x:f>E6</x:f>
        <x:v>-513000</x:v>
      </x:c>
      <x:c r="G6" s="6" t="n">
        <x:v>282000</x:v>
      </x:c>
      <x:c r="H6" s="6" t="n">
        <x:v>795000</x:v>
      </x:c>
      <x:c r="I6" s="6" t="n">
        <x:v>79</x:v>
      </x:c>
      <x:c r="J6" s="6" t="n">
        <x:v>0</x:v>
      </x:c>
      <x:c r="K6" s="6" t="n">
        <x:v>0</x:v>
      </x:c>
      <x:c r="L6" s="6" t="n">
        <x:v>10</x:v>
      </x:c>
      <x:c r="M6" s="11" t="n">
        <x:v>0.6190873015873016</x:v>
      </x:c>
      <x:c r="N6" s="6" t="n">
        <x:v>566000</x:v>
      </x:c>
    </x:row>
    <x:row r="7" ht="24" customHeight="1">
      <x:c r="A7" s="2" t="str">
        <x:v>2026-09-21_Night</x:v>
      </x:c>
      <x:c r="B7" s="6" t="str">
        <x:v>ナイト</x:v>
      </x:c>
      <x:c r="C7" s="6" t="n">
        <x:v>227000</x:v>
      </x:c>
      <x:c r="D7" s="6" t="n">
        <x:v>526000</x:v>
      </x:c>
      <x:c r="E7" s="6" t="n">
        <x:f>C7-D7</x:f>
        <x:v>-299000</x:v>
      </x:c>
      <x:c r="F7" s="6" t="n">
        <x:f>F6+E7</x:f>
        <x:v>-812000</x:v>
      </x:c>
      <x:c r="G7" s="6" t="n">
        <x:v>227000</x:v>
      </x:c>
      <x:c r="H7" s="6" t="n">
        <x:v>526000</x:v>
      </x:c>
      <x:c r="I7" s="6" t="n">
        <x:v>99</x:v>
      </x:c>
      <x:c r="J7" s="6" t="n">
        <x:v>0</x:v>
      </x:c>
      <x:c r="K7" s="6" t="n">
        <x:v>0</x:v>
      </x:c>
      <x:c r="L7" s="6" t="n">
        <x:v>10</x:v>
      </x:c>
      <x:c r="M7" s="11" t="n">
        <x:v>0.4757051282051282</x:v>
      </x:c>
      <x:c r="N7" s="6" t="n">
        <x:v>345000</x:v>
      </x:c>
    </x:row>
    <x:row r="8" ht="24" customHeight="1">
      <x:c r="A8" s="2" t="str">
        <x:v>2026-09-22_Day</x:v>
      </x:c>
      <x:c r="B8" s="6" t="str">
        <x:v>デイ</x:v>
      </x:c>
      <x:c r="C8" s="6" t="n">
        <x:v>266000</x:v>
      </x:c>
      <x:c r="D8" s="6" t="n">
        <x:v>678000</x:v>
      </x:c>
      <x:c r="E8" s="6" t="n">
        <x:f>C8-D8</x:f>
        <x:v>-412000</x:v>
      </x:c>
      <x:c r="F8" s="6" t="n">
        <x:f>F7+E8</x:f>
        <x:v>-1224000</x:v>
      </x:c>
      <x:c r="G8" s="6" t="n">
        <x:v>266000</x:v>
      </x:c>
      <x:c r="H8" s="6" t="n">
        <x:v>678000</x:v>
      </x:c>
      <x:c r="I8" s="6" t="n">
        <x:v>90</x:v>
      </x:c>
      <x:c r="J8" s="6" t="n">
        <x:v>0</x:v>
      </x:c>
      <x:c r="K8" s="6" t="n">
        <x:v>0</x:v>
      </x:c>
      <x:c r="L8" s="6" t="n">
        <x:v>10</x:v>
      </x:c>
      <x:c r="M8" s="11" t="n">
        <x:v>0.48833333333333334</x:v>
      </x:c>
      <x:c r="N8" s="6" t="n">
        <x:v>512000</x:v>
      </x:c>
    </x:row>
    <x:row r="9" ht="24" customHeight="1">
      <x:c r="A9" s="2" t="str">
        <x:v>2026-09-22_Night</x:v>
      </x:c>
      <x:c r="B9" s="6" t="str">
        <x:v>ナイト</x:v>
      </x:c>
      <x:c r="C9" s="6" t="n">
        <x:v>426000</x:v>
      </x:c>
      <x:c r="D9" s="6" t="n">
        <x:v>1157000</x:v>
      </x:c>
      <x:c r="E9" s="6" t="n">
        <x:f>C9-D9</x:f>
        <x:v>-731000</x:v>
      </x:c>
      <x:c r="F9" s="6" t="n">
        <x:f>F8+E9</x:f>
        <x:v>-1955000</x:v>
      </x:c>
      <x:c r="G9" s="6" t="n">
        <x:v>426000</x:v>
      </x:c>
      <x:c r="H9" s="6" t="n">
        <x:v>1157000</x:v>
      </x:c>
      <x:c r="I9" s="6" t="n">
        <x:v>114</x:v>
      </x:c>
      <x:c r="J9" s="6" t="n">
        <x:v>0</x:v>
      </x:c>
      <x:c r="K9" s="6" t="n">
        <x:v>0</x:v>
      </x:c>
      <x:c r="L9" s="6" t="n">
        <x:v>10</x:v>
      </x:c>
      <x:c r="M9" s="11" t="n">
        <x:v>0.517008547008547</x:v>
      </x:c>
      <x:c r="N9" s="6" t="n">
        <x:v>864000</x:v>
      </x:c>
    </x:row>
    <x:row r="10" ht="24" customHeight="1">
      <x:c r="A10" s="2" t="str">
        <x:v>2026-09-23_Day</x:v>
      </x:c>
      <x:c r="B10" s="6" t="str">
        <x:v>デイ</x:v>
      </x:c>
      <x:c r="C10" s="6" t="n">
        <x:v>175000</x:v>
      </x:c>
      <x:c r="D10" s="6" t="n">
        <x:v>621000</x:v>
      </x:c>
      <x:c r="E10" s="6" t="n">
        <x:f>C10-D10</x:f>
        <x:v>-446000</x:v>
      </x:c>
      <x:c r="F10" s="6" t="n">
        <x:f>F9+E10</x:f>
        <x:v>-2401000</x:v>
      </x:c>
      <x:c r="G10" s="6" t="n">
        <x:v>175000</x:v>
      </x:c>
      <x:c r="H10" s="6" t="n">
        <x:v>621000</x:v>
      </x:c>
      <x:c r="I10" s="6" t="n">
        <x:v>92</x:v>
      </x:c>
      <x:c r="J10" s="6" t="n">
        <x:v>0</x:v>
      </x:c>
      <x:c r="K10" s="6" t="n">
        <x:v>0</x:v>
      </x:c>
      <x:c r="L10" s="6" t="n">
        <x:v>10</x:v>
      </x:c>
      <x:c r="M10" s="11" t="n">
        <x:v>0.5832142857142857</x:v>
      </x:c>
      <x:c r="N10" s="6" t="n">
        <x:v>554000</x:v>
      </x:c>
    </x:row>
    <x:row r="11" ht="24" customHeight="1">
      <x:c r="A11" s="2" t="str">
        <x:v>2026-09-23_Night</x:v>
      </x:c>
      <x:c r="B11" s="6" t="str">
        <x:v>ナイト</x:v>
      </x:c>
      <x:c r="C11" s="6" t="n">
        <x:v>360000</x:v>
      </x:c>
      <x:c r="D11" s="6" t="n">
        <x:v>970000</x:v>
      </x:c>
      <x:c r="E11" s="6" t="n">
        <x:f>C11-D11</x:f>
        <x:v>-610000</x:v>
      </x:c>
      <x:c r="F11" s="6" t="n">
        <x:f>F10+E11</x:f>
        <x:v>-3011000</x:v>
      </x:c>
      <x:c r="G11" s="6" t="n">
        <x:v>360000</x:v>
      </x:c>
      <x:c r="H11" s="6" t="n">
        <x:v>970000</x:v>
      </x:c>
      <x:c r="I11" s="6" t="n">
        <x:v>123</x:v>
      </x:c>
      <x:c r="J11" s="6" t="n">
        <x:v>0</x:v>
      </x:c>
      <x:c r="K11" s="6" t="n">
        <x:v>0</x:v>
      </x:c>
      <x:c r="L11" s="6" t="n">
        <x:v>10</x:v>
      </x:c>
      <x:c r="M11" s="11" t="n">
        <x:v>0.603525641025641</x:v>
      </x:c>
      <x:c r="N11" s="6" t="n">
        <x:v>635000</x:v>
      </x:c>
    </x:row>
    <x:row r="12" ht="24" customHeight="1">
      <x:c r="A12" s="2" t="str">
        <x:v>2026-09-24_Day</x:v>
      </x:c>
      <x:c r="B12" s="6" t="str">
        <x:v>デイ</x:v>
      </x:c>
      <x:c r="C12" s="6" t="n">
        <x:v>371000</x:v>
      </x:c>
      <x:c r="D12" s="6" t="n">
        <x:v>528000</x:v>
      </x:c>
      <x:c r="E12" s="6" t="n">
        <x:f>C12-D12</x:f>
        <x:v>-157000</x:v>
      </x:c>
      <x:c r="F12" s="6" t="n">
        <x:f>F11+E12</x:f>
        <x:v>-3168000</x:v>
      </x:c>
      <x:c r="G12" s="6" t="n">
        <x:v>371000</x:v>
      </x:c>
      <x:c r="H12" s="6" t="n">
        <x:v>528000</x:v>
      </x:c>
      <x:c r="I12" s="6" t="n">
        <x:v>119</x:v>
      </x:c>
      <x:c r="J12" s="6" t="n">
        <x:v>0</x:v>
      </x:c>
      <x:c r="K12" s="6" t="n">
        <x:v>0</x:v>
      </x:c>
      <x:c r="L12" s="6" t="n">
        <x:v>10</x:v>
      </x:c>
      <x:c r="M12" s="11" t="n">
        <x:v>0.4394047619047619</x:v>
      </x:c>
      <x:c r="N12" s="6" t="n">
        <x:v>305000</x:v>
      </x:c>
    </x:row>
    <x:row r="13" ht="24" customHeight="1">
      <x:c r="A13" s="2" t="str">
        <x:v>2026-09-24_Night</x:v>
      </x:c>
      <x:c r="B13" s="6" t="str">
        <x:v>ナイト</x:v>
      </x:c>
      <x:c r="C13" s="6" t="n">
        <x:v>565000</x:v>
      </x:c>
      <x:c r="D13" s="6" t="n">
        <x:v>1188000</x:v>
      </x:c>
      <x:c r="E13" s="6" t="n">
        <x:f>C13-D13</x:f>
        <x:v>-623000</x:v>
      </x:c>
      <x:c r="F13" s="6" t="n">
        <x:f>F12+E13</x:f>
        <x:v>-3791000</x:v>
      </x:c>
      <x:c r="G13" s="6" t="n">
        <x:v>565000</x:v>
      </x:c>
      <x:c r="H13" s="6" t="n">
        <x:v>1188000</x:v>
      </x:c>
      <x:c r="I13" s="6" t="n">
        <x:v>165</x:v>
      </x:c>
      <x:c r="J13" s="6" t="n">
        <x:v>0</x:v>
      </x:c>
      <x:c r="K13" s="6" t="n">
        <x:v>0</x:v>
      </x:c>
      <x:c r="L13" s="6" t="n">
        <x:v>10</x:v>
      </x:c>
      <x:c r="M13" s="11" t="n">
        <x:v>0.45952991452991454</x:v>
      </x:c>
      <x:c r="N13" s="6" t="n">
        <x:v>752000</x:v>
      </x:c>
    </x:row>
    <x:row r="14" ht="24" customHeight="1">
      <x:c r="A14" s="2" t="str">
        <x:v>2026-09-25_Day</x:v>
      </x:c>
      <x:c r="B14" s="6" t="str">
        <x:v>デイ</x:v>
      </x:c>
      <x:c r="C14" s="6" t="n">
        <x:v>220000</x:v>
      </x:c>
      <x:c r="D14" s="6" t="n">
        <x:v>805000</x:v>
      </x:c>
      <x:c r="E14" s="6" t="n">
        <x:f>C14-D14</x:f>
        <x:v>-585000</x:v>
      </x:c>
      <x:c r="F14" s="6" t="n">
        <x:f>F13+E14</x:f>
        <x:v>-4376000</x:v>
      </x:c>
      <x:c r="G14" s="6" t="n">
        <x:v>220000</x:v>
      </x:c>
      <x:c r="H14" s="6" t="n">
        <x:v>805000</x:v>
      </x:c>
      <x:c r="I14" s="6" t="n">
        <x:v>128</x:v>
      </x:c>
      <x:c r="J14" s="6" t="n">
        <x:v>0</x:v>
      </x:c>
      <x:c r="K14" s="6" t="n">
        <x:v>0</x:v>
      </x:c>
      <x:c r="L14" s="6" t="n">
        <x:v>10</x:v>
      </x:c>
      <x:c r="M14" s="11" t="n">
        <x:v>0.4776190476190476</x:v>
      </x:c>
      <x:c r="N14" s="6" t="n">
        <x:v>592000</x:v>
      </x:c>
    </x:row>
    <x:row r="15" ht="24" customHeight="1">
      <x:c r="A15" s="2" t="str">
        <x:v>2026-09-25_Night</x:v>
      </x:c>
      <x:c r="B15" s="6" t="str">
        <x:v>ナイト</x:v>
      </x:c>
      <x:c r="C15" s="6" t="n">
        <x:v>389000</x:v>
      </x:c>
      <x:c r="D15" s="6" t="n">
        <x:v>807000</x:v>
      </x:c>
      <x:c r="E15" s="6" t="n">
        <x:f>C15-D15</x:f>
        <x:v>-418000</x:v>
      </x:c>
      <x:c r="F15" s="6" t="n">
        <x:f>F14+E15</x:f>
        <x:v>-4794000</x:v>
      </x:c>
      <x:c r="G15" s="6" t="n">
        <x:v>389000</x:v>
      </x:c>
      <x:c r="H15" s="6" t="n">
        <x:v>807000</x:v>
      </x:c>
      <x:c r="I15" s="6" t="n">
        <x:v>128</x:v>
      </x:c>
      <x:c r="J15" s="6" t="n">
        <x:v>0</x:v>
      </x:c>
      <x:c r="K15" s="6" t="n">
        <x:v>0</x:v>
      </x:c>
      <x:c r="L15" s="6" t="n">
        <x:v>10</x:v>
      </x:c>
      <x:c r="M15" s="11" t="n">
        <x:v>0.4443162393162393</x:v>
      </x:c>
      <x:c r="N15" s="6" t="n">
        <x:v>509000</x:v>
      </x:c>
    </x:row>
    <x:row r="16" ht="24" customHeight="1">
      <x:c r="A16" s="2" t="str">
        <x:v>2026-09-28_Day</x:v>
      </x:c>
      <x:c r="B16" s="6" t="str">
        <x:v>デイ</x:v>
      </x:c>
      <x:c r="C16" s="6" t="n">
        <x:v>228000</x:v>
      </x:c>
      <x:c r="D16" s="6" t="n">
        <x:v>1108000</x:v>
      </x:c>
      <x:c r="E16" s="6" t="n">
        <x:f>C16-D16</x:f>
        <x:v>-880000</x:v>
      </x:c>
      <x:c r="F16" s="6" t="n">
        <x:f>F15+E16</x:f>
        <x:v>-5674000</x:v>
      </x:c>
      <x:c r="G16" s="6" t="n">
        <x:v>228000</x:v>
      </x:c>
      <x:c r="H16" s="6" t="n">
        <x:v>1108000</x:v>
      </x:c>
      <x:c r="I16" s="6" t="n">
        <x:v>144</x:v>
      </x:c>
      <x:c r="J16" s="6" t="n">
        <x:v>0</x:v>
      </x:c>
      <x:c r="K16" s="6" t="n">
        <x:v>0</x:v>
      </x:c>
      <x:c r="L16" s="6" t="n">
        <x:v>10</x:v>
      </x:c>
      <x:c r="M16" s="11" t="n">
        <x:v>0.4859126984126984</x:v>
      </x:c>
      <x:c r="N16" s="6" t="n">
        <x:v>980000</x:v>
      </x:c>
    </x:row>
    <x:row r="17" ht="24" customHeight="1">
      <x:c r="A17" s="2" t="str">
        <x:v>2026-09-28_Night</x:v>
      </x:c>
      <x:c r="B17" s="6" t="str">
        <x:v>ナイト</x:v>
      </x:c>
      <x:c r="C17" s="6" t="n">
        <x:v>538000</x:v>
      </x:c>
      <x:c r="D17" s="6" t="n">
        <x:v>1527000</x:v>
      </x:c>
      <x:c r="E17" s="6" t="n">
        <x:f>C17-D17</x:f>
        <x:v>-989000</x:v>
      </x:c>
      <x:c r="F17" s="6" t="n">
        <x:f>F16+E17</x:f>
        <x:v>-6663000</x:v>
      </x:c>
      <x:c r="G17" s="6" t="n">
        <x:v>538000</x:v>
      </x:c>
      <x:c r="H17" s="6" t="n">
        <x:v>1527000</x:v>
      </x:c>
      <x:c r="I17" s="6" t="n">
        <x:v>167</x:v>
      </x:c>
      <x:c r="J17" s="6" t="n">
        <x:v>0</x:v>
      </x:c>
      <x:c r="K17" s="6" t="n">
        <x:v>0</x:v>
      </x:c>
      <x:c r="L17" s="6" t="n">
        <x:v>10</x:v>
      </x:c>
      <x:c r="M17" s="11" t="n">
        <x:v>0.5104273504273504</x:v>
      </x:c>
      <x:c r="N17" s="6" t="n">
        <x:v>1014000</x:v>
      </x:c>
    </x:row>
    <x:row r="18" ht="24" customHeight="1">
      <x:c r="A18" s="2" t="str">
        <x:v>2026-09-29_Day</x:v>
      </x:c>
      <x:c r="B18" s="6" t="str">
        <x:v>デイ</x:v>
      </x:c>
      <x:c r="C18" s="6" t="n">
        <x:v>198000</x:v>
      </x:c>
      <x:c r="D18" s="6" t="n">
        <x:v>968000</x:v>
      </x:c>
      <x:c r="E18" s="6" t="n">
        <x:f>C18-D18</x:f>
        <x:v>-770000</x:v>
      </x:c>
      <x:c r="F18" s="6" t="n">
        <x:f>F17+E18</x:f>
        <x:v>-7433000</x:v>
      </x:c>
      <x:c r="G18" s="6" t="n">
        <x:v>198000</x:v>
      </x:c>
      <x:c r="H18" s="6" t="n">
        <x:v>968000</x:v>
      </x:c>
      <x:c r="I18" s="6" t="n">
        <x:v>130</x:v>
      </x:c>
      <x:c r="J18" s="6" t="n">
        <x:v>0</x:v>
      </x:c>
      <x:c r="K18" s="6" t="n">
        <x:v>0</x:v>
      </x:c>
      <x:c r="L18" s="6" t="n">
        <x:v>10</x:v>
      </x:c>
      <x:c r="M18" s="11" t="n">
        <x:v>0.4003968253968254</x:v>
      </x:c>
      <x:c r="N18" s="6" t="n">
        <x:v>798000</x:v>
      </x:c>
    </x:row>
    <x:row r="19" ht="24" customHeight="1">
      <x:c r="A19" s="2" t="str">
        <x:v>2026-09-29_Night</x:v>
      </x:c>
      <x:c r="B19" s="6" t="str">
        <x:v>ナイト</x:v>
      </x:c>
      <x:c r="C19" s="6" t="n">
        <x:v>282000</x:v>
      </x:c>
      <x:c r="D19" s="6" t="n">
        <x:v>1407000</x:v>
      </x:c>
      <x:c r="E19" s="6" t="n">
        <x:f>C19-D19</x:f>
        <x:v>-1125000</x:v>
      </x:c>
      <x:c r="F19" s="6" t="n">
        <x:f>F18+E19</x:f>
        <x:v>-8558000</x:v>
      </x:c>
      <x:c r="G19" s="6" t="n">
        <x:v>282000</x:v>
      </x:c>
      <x:c r="H19" s="6" t="n">
        <x:v>1407000</x:v>
      </x:c>
      <x:c r="I19" s="6" t="n">
        <x:v>170</x:v>
      </x:c>
      <x:c r="J19" s="6" t="n">
        <x:v>0</x:v>
      </x:c>
      <x:c r="K19" s="6" t="n">
        <x:v>0</x:v>
      </x:c>
      <x:c r="L19" s="6" t="n">
        <x:v>10</x:v>
      </x:c>
      <x:c r="M19" s="11" t="n">
        <x:v>0.5513034188034188</x:v>
      </x:c>
      <x:c r="N19" s="6" t="n">
        <x:v>1127000</x:v>
      </x:c>
    </x:row>
    <x:row r="20" ht="24" customHeight="1">
      <x:c r="A20" s="2" t="str">
        <x:v>2026-09-30_Day</x:v>
      </x:c>
      <x:c r="B20" s="6" t="str">
        <x:v>デイ</x:v>
      </x:c>
      <x:c r="C20" s="6" t="n">
        <x:v>310000</x:v>
      </x:c>
      <x:c r="D20" s="6" t="n">
        <x:v>758000</x:v>
      </x:c>
      <x:c r="E20" s="6" t="n">
        <x:f>C20-D20</x:f>
        <x:v>-448000</x:v>
      </x:c>
      <x:c r="F20" s="6" t="n">
        <x:f>F19+E20</x:f>
        <x:v>-9006000</x:v>
      </x:c>
      <x:c r="G20" s="6" t="n">
        <x:v>310000</x:v>
      </x:c>
      <x:c r="H20" s="6" t="n">
        <x:v>758000</x:v>
      </x:c>
      <x:c r="I20" s="6" t="n">
        <x:v>118</x:v>
      </x:c>
      <x:c r="J20" s="6" t="n">
        <x:v>0</x:v>
      </x:c>
      <x:c r="K20" s="6" t="n">
        <x:v>0</x:v>
      </x:c>
      <x:c r="L20" s="6" t="n">
        <x:v>10</x:v>
      </x:c>
      <x:c r="M20" s="11" t="n">
        <x:v>0.47515873015873017</x:v>
      </x:c>
      <x:c r="N20" s="6" t="n">
        <x:v>452000</x:v>
      </x:c>
    </x:row>
    <x:row r="21" ht="24" customHeight="1">
      <x:c r="A21" s="2" t="str">
        <x:v>2026-09-30_Night</x:v>
      </x:c>
      <x:c r="B21" s="6" t="str">
        <x:v>ナイト</x:v>
      </x:c>
      <x:c r="C21" s="6" t="n">
        <x:v>409000</x:v>
      </x:c>
      <x:c r="D21" s="6" t="n">
        <x:v>1337000</x:v>
      </x:c>
      <x:c r="E21" s="6" t="n">
        <x:f>C21-D21</x:f>
        <x:v>-928000</x:v>
      </x:c>
      <x:c r="F21" s="6" t="n">
        <x:f>F20+E21</x:f>
        <x:v>-9934000</x:v>
      </x:c>
      <x:c r="G21" s="6" t="n">
        <x:v>409000</x:v>
      </x:c>
      <x:c r="H21" s="6" t="n">
        <x:v>1337000</x:v>
      </x:c>
      <x:c r="I21" s="6" t="n">
        <x:v>171</x:v>
      </x:c>
      <x:c r="J21" s="6" t="n">
        <x:v>0</x:v>
      </x:c>
      <x:c r="K21" s="6" t="n">
        <x:v>0</x:v>
      </x:c>
      <x:c r="L21" s="6" t="n">
        <x:v>10</x:v>
      </x:c>
      <x:c r="M21" s="11" t="n">
        <x:v>0.48047008547008546</x:v>
      </x:c>
      <x:c r="N21" s="6" t="n">
        <x:v>980000</x:v>
      </x:c>
    </x:row>
    <x:row r="22" ht="24" customHeight="1">
      <x:c r="A22" s="2" t="str">
        <x:v>2026-10-01_Day</x:v>
      </x:c>
      <x:c r="B22" s="6" t="str">
        <x:v>デイ</x:v>
      </x:c>
      <x:c r="C22" s="6" t="n">
        <x:v>167000</x:v>
      </x:c>
      <x:c r="D22" s="6" t="n">
        <x:v>701000</x:v>
      </x:c>
      <x:c r="E22" s="6" t="n">
        <x:f>C22-D22</x:f>
        <x:v>-534000</x:v>
      </x:c>
      <x:c r="F22" s="6" t="n">
        <x:f>F21+E22</x:f>
        <x:v>-10468000</x:v>
      </x:c>
      <x:c r="G22" s="6" t="n">
        <x:v>167000</x:v>
      </x:c>
      <x:c r="H22" s="6" t="n">
        <x:v>701000</x:v>
      </x:c>
      <x:c r="I22" s="6" t="n">
        <x:v>110</x:v>
      </x:c>
      <x:c r="J22" s="6" t="n">
        <x:v>0</x:v>
      </x:c>
      <x:c r="K22" s="6" t="n">
        <x:v>0</x:v>
      </x:c>
      <x:c r="L22" s="6" t="n">
        <x:v>10</x:v>
      </x:c>
      <x:c r="M22" s="11" t="n">
        <x:v>0.4851984126984127</x:v>
      </x:c>
      <x:c r="N22" s="6" t="n">
        <x:v>551000</x:v>
      </x:c>
    </x:row>
    <x:row r="23" ht="24" customHeight="1">
      <x:c r="A23" s="2" t="str">
        <x:v>2026-10-01_Night</x:v>
      </x:c>
      <x:c r="B23" s="6" t="str">
        <x:v>ナイト</x:v>
      </x:c>
      <x:c r="C23" s="6" t="n">
        <x:v>751000</x:v>
      </x:c>
      <x:c r="D23" s="6" t="n">
        <x:v>1906000</x:v>
      </x:c>
      <x:c r="E23" s="6" t="n">
        <x:f>C23-D23</x:f>
        <x:v>-1155000</x:v>
      </x:c>
      <x:c r="F23" s="6" t="n">
        <x:f>F22+E23</x:f>
        <x:v>-11623000</x:v>
      </x:c>
      <x:c r="G23" s="6" t="n">
        <x:v>751000</x:v>
      </x:c>
      <x:c r="H23" s="6" t="n">
        <x:v>1906000</x:v>
      </x:c>
      <x:c r="I23" s="6" t="n">
        <x:v>195</x:v>
      </x:c>
      <x:c r="J23" s="6" t="n">
        <x:v>0</x:v>
      </x:c>
      <x:c r="K23" s="6" t="n">
        <x:v>0</x:v>
      </x:c>
      <x:c r="L23" s="6" t="n">
        <x:v>10</x:v>
      </x:c>
      <x:c r="M23" s="11" t="n">
        <x:v>0.4881623931623932</x:v>
      </x:c>
      <x:c r="N23" s="6" t="n">
        <x:v>1191000</x:v>
      </x:c>
    </x:row>
    <x:row r="24" ht="24" customHeight="1">
      <x:c r="A24" s="2" t="str">
        <x:v>2026-10-02_Day</x:v>
      </x:c>
      <x:c r="B24" s="6" t="str">
        <x:v>デイ</x:v>
      </x:c>
      <x:c r="C24" s="6" t="n">
        <x:v>259000</x:v>
      </x:c>
      <x:c r="D24" s="6" t="n">
        <x:v>667000</x:v>
      </x:c>
      <x:c r="E24" s="6" t="n">
        <x:f>C24-D24</x:f>
        <x:v>-408000</x:v>
      </x:c>
      <x:c r="F24" s="6" t="n">
        <x:f>F23+E24</x:f>
        <x:v>-12031000</x:v>
      </x:c>
      <x:c r="G24" s="6" t="n">
        <x:v>259000</x:v>
      </x:c>
      <x:c r="H24" s="6" t="n">
        <x:v>667000</x:v>
      </x:c>
      <x:c r="I24" s="6" t="n">
        <x:v>111</x:v>
      </x:c>
      <x:c r="J24" s="6" t="n">
        <x:v>0</x:v>
      </x:c>
      <x:c r="K24" s="6" t="n">
        <x:v>0</x:v>
      </x:c>
      <x:c r="L24" s="6" t="n">
        <x:v>10</x:v>
      </x:c>
      <x:c r="M24" s="11" t="n">
        <x:v>0.5207936507936508</x:v>
      </x:c>
      <x:c r="N24" s="6" t="n">
        <x:v>543000</x:v>
      </x:c>
    </x:row>
    <x:row r="25" ht="24" customHeight="1">
      <x:c r="A25" s="2" t="str">
        <x:v>2026-10-02_Night</x:v>
      </x:c>
      <x:c r="B25" s="6" t="str">
        <x:v>ナイト</x:v>
      </x:c>
      <x:c r="C25" s="6" t="n">
        <x:v>653000</x:v>
      </x:c>
      <x:c r="D25" s="6" t="n">
        <x:v>1357000</x:v>
      </x:c>
      <x:c r="E25" s="6" t="n">
        <x:f>C25-D25</x:f>
        <x:v>-704000</x:v>
      </x:c>
      <x:c r="F25" s="6" t="n">
        <x:f>F24+E25</x:f>
        <x:v>-12735000</x:v>
      </x:c>
      <x:c r="G25" s="6" t="n">
        <x:v>653000</x:v>
      </x:c>
      <x:c r="H25" s="6" t="n">
        <x:v>1357000</x:v>
      </x:c>
      <x:c r="I25" s="6" t="n">
        <x:v>179</x:v>
      </x:c>
      <x:c r="J25" s="6" t="n">
        <x:v>0</x:v>
      </x:c>
      <x:c r="K25" s="6" t="n">
        <x:v>0</x:v>
      </x:c>
      <x:c r="L25" s="6" t="n">
        <x:v>10</x:v>
      </x:c>
      <x:c r="M25" s="11" t="n">
        <x:v>0.5702991452991453</x:v>
      </x:c>
      <x:c r="N25" s="6" t="n">
        <x:v>704000</x:v>
      </x:c>
    </x:row>
    <x:row r="26" ht="24" customHeight="1">
      <x:c r="A26" s="2" t="str">
        <x:v>2026-10-05_Day</x:v>
      </x:c>
      <x:c r="B26" s="6" t="str">
        <x:v>デイ</x:v>
      </x:c>
      <x:c r="C26" s="6" t="n">
        <x:v>249000</x:v>
      </x:c>
      <x:c r="D26" s="6" t="n">
        <x:v>606000</x:v>
      </x:c>
      <x:c r="E26" s="6" t="n">
        <x:f>C26-D26</x:f>
        <x:v>-357000</x:v>
      </x:c>
      <x:c r="F26" s="6" t="n">
        <x:f>F25+E26</x:f>
        <x:v>-13092000</x:v>
      </x:c>
      <x:c r="G26" s="6" t="n">
        <x:v>249000</x:v>
      </x:c>
      <x:c r="H26" s="6" t="n">
        <x:v>606000</x:v>
      </x:c>
      <x:c r="I26" s="6" t="n">
        <x:v>124</x:v>
      </x:c>
      <x:c r="J26" s="6" t="n">
        <x:v>0</x:v>
      </x:c>
      <x:c r="K26" s="6" t="n">
        <x:v>0</x:v>
      </x:c>
      <x:c r="L26" s="6" t="n">
        <x:v>10</x:v>
      </x:c>
      <x:c r="M26" s="11" t="n">
        <x:v>0.5528571428571428</x:v>
      </x:c>
      <x:c r="N26" s="6" t="n">
        <x:v>451000</x:v>
      </x:c>
    </x:row>
    <x:row r="27" ht="24" customHeight="1">
      <x:c r="A27" s="2" t="str">
        <x:v>2026-10-05_Night</x:v>
      </x:c>
      <x:c r="B27" s="6" t="str">
        <x:v>ナイト</x:v>
      </x:c>
      <x:c r="C27" s="6" t="n">
        <x:v>233000</x:v>
      </x:c>
      <x:c r="D27" s="6" t="n">
        <x:v>999000</x:v>
      </x:c>
      <x:c r="E27" s="6" t="n">
        <x:f>C27-D27</x:f>
        <x:v>-766000</x:v>
      </x:c>
      <x:c r="F27" s="6" t="n">
        <x:f>F26+E27</x:f>
        <x:v>-13858000</x:v>
      </x:c>
      <x:c r="G27" s="6" t="n">
        <x:v>233000</x:v>
      </x:c>
      <x:c r="H27" s="6" t="n">
        <x:v>999000</x:v>
      </x:c>
      <x:c r="I27" s="6" t="n">
        <x:v>173</x:v>
      </x:c>
      <x:c r="J27" s="6" t="n">
        <x:v>0</x:v>
      </x:c>
      <x:c r="K27" s="6" t="n">
        <x:v>0</x:v>
      </x:c>
      <x:c r="L27" s="6" t="n">
        <x:v>10</x:v>
      </x:c>
      <x:c r="M27" s="11" t="n">
        <x:v>0.5784188034188035</x:v>
      </x:c>
      <x:c r="N27" s="6" t="n">
        <x:v>797000</x:v>
      </x:c>
    </x:row>
    <x:row r="28" ht="24" customHeight="1">
      <x:c r="A28" s="2" t="str">
        <x:v>2026-10-06_Day</x:v>
      </x:c>
      <x:c r="B28" s="6" t="str">
        <x:v>デイ</x:v>
      </x:c>
      <x:c r="C28" s="6" t="n">
        <x:v>176000</x:v>
      </x:c>
      <x:c r="D28" s="6" t="n">
        <x:v>797000</x:v>
      </x:c>
      <x:c r="E28" s="6" t="n">
        <x:f>C28-D28</x:f>
        <x:v>-621000</x:v>
      </x:c>
      <x:c r="F28" s="6" t="n">
        <x:f>F27+E28</x:f>
        <x:v>-14479000</x:v>
      </x:c>
      <x:c r="G28" s="6" t="n">
        <x:v>176000</x:v>
      </x:c>
      <x:c r="H28" s="6" t="n">
        <x:v>797000</x:v>
      </x:c>
      <x:c r="I28" s="6" t="n">
        <x:v>129</x:v>
      </x:c>
      <x:c r="J28" s="6" t="n">
        <x:v>0</x:v>
      </x:c>
      <x:c r="K28" s="6" t="n">
        <x:v>0</x:v>
      </x:c>
      <x:c r="L28" s="6" t="n">
        <x:v>10</x:v>
      </x:c>
      <x:c r="M28" s="11" t="n">
        <x:v>0.5663095238095238</x:v>
      </x:c>
      <x:c r="N28" s="6" t="n">
        <x:v>621000</x:v>
      </x:c>
    </x:row>
    <x:row r="29" ht="24" customHeight="1">
      <x:c r="A29" s="2" t="str">
        <x:v>2026-10-06_Night</x:v>
      </x:c>
      <x:c r="B29" s="6" t="str">
        <x:v>ナイト</x:v>
      </x:c>
      <x:c r="C29" s="6" t="n">
        <x:v>221000</x:v>
      </x:c>
      <x:c r="D29" s="6" t="n">
        <x:v>744000</x:v>
      </x:c>
      <x:c r="E29" s="6" t="n">
        <x:f>C29-D29</x:f>
        <x:v>-523000</x:v>
      </x:c>
      <x:c r="F29" s="6" t="n">
        <x:f>F28+E29</x:f>
        <x:v>-15002000</x:v>
      </x:c>
      <x:c r="G29" s="6" t="n">
        <x:v>221000</x:v>
      </x:c>
      <x:c r="H29" s="6" t="n">
        <x:v>744000</x:v>
      </x:c>
      <x:c r="I29" s="6" t="n">
        <x:v>144</x:v>
      </x:c>
      <x:c r="J29" s="6" t="n">
        <x:v>0</x:v>
      </x:c>
      <x:c r="K29" s="6" t="n">
        <x:v>0</x:v>
      </x:c>
      <x:c r="L29" s="6" t="n">
        <x:v>9</x:v>
      </x:c>
      <x:c r="M29" s="11" t="n">
        <x:v>0.5856410256410256</x:v>
      </x:c>
      <x:c r="N29" s="6" t="n">
        <x:v>535000</x:v>
      </x:c>
    </x:row>
    <x:row r="30" ht="24" customHeight="1">
      <x:c r="A30" s="2" t="str">
        <x:v>2026-10-07_Day</x:v>
      </x:c>
      <x:c r="B30" s="6" t="str">
        <x:v>デイ</x:v>
      </x:c>
      <x:c r="C30" s="6" t="n">
        <x:v>143000</x:v>
      </x:c>
      <x:c r="D30" s="6" t="n">
        <x:v>487000</x:v>
      </x:c>
      <x:c r="E30" s="6" t="n">
        <x:f>C30-D30</x:f>
        <x:v>-344000</x:v>
      </x:c>
      <x:c r="F30" s="6" t="n">
        <x:f>F29+E30</x:f>
        <x:v>-15346000</x:v>
      </x:c>
      <x:c r="G30" s="6" t="n">
        <x:v>143000</x:v>
      </x:c>
      <x:c r="H30" s="6" t="n">
        <x:v>487000</x:v>
      </x:c>
      <x:c r="I30" s="6" t="n">
        <x:v>116</x:v>
      </x:c>
      <x:c r="J30" s="6" t="n">
        <x:v>0</x:v>
      </x:c>
      <x:c r="K30" s="6" t="n">
        <x:v>0</x:v>
      </x:c>
      <x:c r="L30" s="6" t="n">
        <x:v>6</x:v>
      </x:c>
      <x:c r="M30" s="11" t="n">
        <x:v>0.560952380952381</x:v>
      </x:c>
      <x:c r="N30" s="6" t="n">
        <x:v>361000</x:v>
      </x:c>
    </x:row>
    <x:row r="31" ht="24" customHeight="1">
      <x:c r="A31" s="2" t="str">
        <x:v>2026-10-07_Night</x:v>
      </x:c>
      <x:c r="B31" s="6" t="str">
        <x:v>ナイト</x:v>
      </x:c>
      <x:c r="C31" s="6" t="n">
        <x:v>241000</x:v>
      </x:c>
      <x:c r="D31" s="6" t="n">
        <x:v>998000</x:v>
      </x:c>
      <x:c r="E31" s="6" t="n">
        <x:f>C31-D31</x:f>
        <x:v>-757000</x:v>
      </x:c>
      <x:c r="F31" s="6" t="n">
        <x:f>F30+E31</x:f>
        <x:v>-16103000</x:v>
      </x:c>
      <x:c r="G31" s="6" t="n">
        <x:v>241000</x:v>
      </x:c>
      <x:c r="H31" s="6" t="n">
        <x:v>998000</x:v>
      </x:c>
      <x:c r="I31" s="6" t="n">
        <x:v>179</x:v>
      </x:c>
      <x:c r="J31" s="6" t="n">
        <x:v>0</x:v>
      </x:c>
      <x:c r="K31" s="6" t="n">
        <x:v>0</x:v>
      </x:c>
      <x:c r="L31" s="6" t="n">
        <x:v>10</x:v>
      </x:c>
      <x:c r="M31" s="11" t="n">
        <x:v>0.5905128205128205</x:v>
      </x:c>
      <x:c r="N31" s="6" t="n">
        <x:v>793000</x:v>
      </x:c>
    </x:row>
    <x:row r="32" ht="24" customHeight="1">
      <x:c r="A32" s="2" t="str">
        <x:v>2026-10-08_Day</x:v>
      </x:c>
      <x:c r="B32" s="6" t="str">
        <x:v>デイ</x:v>
      </x:c>
      <x:c r="C32" s="6" t="n">
        <x:v>299000</x:v>
      </x:c>
      <x:c r="D32" s="6" t="n">
        <x:v>629000</x:v>
      </x:c>
      <x:c r="E32" s="6" t="n">
        <x:f>C32-D32</x:f>
        <x:v>-330000</x:v>
      </x:c>
      <x:c r="F32" s="6" t="n">
        <x:f>F31+E32</x:f>
        <x:v>-16433000</x:v>
      </x:c>
      <x:c r="G32" s="6" t="n">
        <x:v>299000</x:v>
      </x:c>
      <x:c r="H32" s="6" t="n">
        <x:v>629000</x:v>
      </x:c>
      <x:c r="I32" s="6" t="n">
        <x:v>110</x:v>
      </x:c>
      <x:c r="J32" s="6" t="n">
        <x:v>0</x:v>
      </x:c>
      <x:c r="K32" s="6" t="n">
        <x:v>0</x:v>
      </x:c>
      <x:c r="L32" s="6" t="n">
        <x:v>10</x:v>
      </x:c>
      <x:c r="M32" s="11" t="n">
        <x:v>0.45325396825396824</x:v>
      </x:c>
      <x:c r="N32" s="6" t="n">
        <x:v>372000</x:v>
      </x:c>
    </x:row>
    <x:row r="33" ht="24" customHeight="1">
      <x:c r="A33" s="2" t="str">
        <x:v>2026-10-08_Night</x:v>
      </x:c>
      <x:c r="B33" s="6" t="str">
        <x:v>ナイト</x:v>
      </x:c>
      <x:c r="C33" s="6" t="n">
        <x:v>539000</x:v>
      </x:c>
      <x:c r="D33" s="6" t="n">
        <x:v>2016000</x:v>
      </x:c>
      <x:c r="E33" s="6" t="n">
        <x:f>C33-D33</x:f>
        <x:v>-1477000</x:v>
      </x:c>
      <x:c r="F33" s="6" t="n">
        <x:f>F32+E33</x:f>
        <x:v>-17910000</x:v>
      </x:c>
      <x:c r="G33" s="6" t="n">
        <x:v>539000</x:v>
      </x:c>
      <x:c r="H33" s="6" t="n">
        <x:v>2016000</x:v>
      </x:c>
      <x:c r="I33" s="6" t="n">
        <x:v>199</x:v>
      </x:c>
      <x:c r="J33" s="6" t="n">
        <x:v>0</x:v>
      </x:c>
      <x:c r="K33" s="6" t="n">
        <x:v>0</x:v>
      </x:c>
      <x:c r="L33" s="6" t="n">
        <x:v>10</x:v>
      </x:c>
      <x:c r="M33" s="11" t="n">
        <x:v>0.47102564102564104</x:v>
      </x:c>
      <x:c r="N33" s="6" t="n">
        <x:v>1477000</x:v>
      </x:c>
    </x:row>
    <x:row r="34" ht="24" customHeight="1">
      <x:c r="A34" s="2" t="str">
        <x:v>2026-10-09_Day</x:v>
      </x:c>
      <x:c r="B34" s="6" t="str">
        <x:v>デイ</x:v>
      </x:c>
      <x:c r="C34" s="6" t="n">
        <x:v>210000</x:v>
      </x:c>
      <x:c r="D34" s="6" t="n">
        <x:v>892000</x:v>
      </x:c>
      <x:c r="E34" s="6" t="n">
        <x:f>C34-D34</x:f>
        <x:v>-682000</x:v>
      </x:c>
      <x:c r="F34" s="6" t="n">
        <x:f>F33+E34</x:f>
        <x:v>-18592000</x:v>
      </x:c>
      <x:c r="G34" s="6" t="n">
        <x:v>210000</x:v>
      </x:c>
      <x:c r="H34" s="6" t="n">
        <x:v>892000</x:v>
      </x:c>
      <x:c r="I34" s="6" t="n">
        <x:v>117</x:v>
      </x:c>
      <x:c r="J34" s="6" t="n">
        <x:v>0</x:v>
      </x:c>
      <x:c r="K34" s="6" t="n">
        <x:v>0</x:v>
      </x:c>
      <x:c r="L34" s="6" t="n">
        <x:v>10</x:v>
      </x:c>
      <x:c r="M34" s="11" t="n">
        <x:v>0.5261507936507936</x:v>
      </x:c>
      <x:c r="N34" s="6" t="n">
        <x:v>690000</x:v>
      </x:c>
    </x:row>
    <x:row r="35" ht="24" customHeight="1">
      <x:c r="A35" s="2" t="str">
        <x:v>2026-10-09_Night</x:v>
      </x:c>
      <x:c r="B35" s="6" t="str">
        <x:v>ナイト</x:v>
      </x:c>
      <x:c r="C35" s="6" t="n">
        <x:v>311000</x:v>
      </x:c>
      <x:c r="D35" s="6" t="n">
        <x:v>1377000</x:v>
      </x:c>
      <x:c r="E35" s="6" t="n">
        <x:f>C35-D35</x:f>
        <x:v>-1066000</x:v>
      </x:c>
      <x:c r="F35" s="6" t="n">
        <x:f>F34+E35</x:f>
        <x:v>-19658000</x:v>
      </x:c>
      <x:c r="G35" s="6" t="n">
        <x:v>311000</x:v>
      </x:c>
      <x:c r="H35" s="6" t="n">
        <x:v>1377000</x:v>
      </x:c>
      <x:c r="I35" s="6" t="n">
        <x:v>155</x:v>
      </x:c>
      <x:c r="J35" s="6" t="n">
        <x:v>0</x:v>
      </x:c>
      <x:c r="K35" s="6" t="n">
        <x:v>0</x:v>
      </x:c>
      <x:c r="L35" s="6" t="n">
        <x:v>10</x:v>
      </x:c>
      <x:c r="M35" s="11" t="n">
        <x:v>0.6648076923076923</x:v>
      </x:c>
      <x:c r="N35" s="6" t="n">
        <x:v>1089000</x:v>
      </x:c>
    </x:row>
    <x:row r="36" ht="24" customHeight="1">
      <x:c r="A36" s="2" t="str">
        <x:v>2026-10-12_Day</x:v>
      </x:c>
      <x:c r="B36" s="6" t="str">
        <x:v>デイ</x:v>
      </x:c>
      <x:c r="C36" s="6" t="n">
        <x:v>142000</x:v>
      </x:c>
      <x:c r="D36" s="6" t="n">
        <x:v>430000</x:v>
      </x:c>
      <x:c r="E36" s="6" t="n">
        <x:f>C36-D36</x:f>
        <x:v>-288000</x:v>
      </x:c>
      <x:c r="F36" s="6" t="n">
        <x:f>F35+E36</x:f>
        <x:v>-19946000</x:v>
      </x:c>
      <x:c r="G36" s="6" t="n">
        <x:v>142000</x:v>
      </x:c>
      <x:c r="H36" s="6" t="n">
        <x:v>430000</x:v>
      </x:c>
      <x:c r="I36" s="6" t="n">
        <x:v>77</x:v>
      </x:c>
      <x:c r="J36" s="6" t="n">
        <x:v>0</x:v>
      </x:c>
      <x:c r="K36" s="6" t="n">
        <x:v>0</x:v>
      </x:c>
      <x:c r="L36" s="6" t="n">
        <x:v>10</x:v>
      </x:c>
      <x:c r="M36" s="11" t="n">
        <x:v>0.5605952380952381</x:v>
      </x:c>
      <x:c r="N36" s="6" t="n">
        <x:v>289000</x:v>
      </x:c>
    </x:row>
    <x:row r="37" ht="24" customHeight="1">
      <x:c r="A37" s="2" t="str">
        <x:v>2026-10-12_Night</x:v>
      </x:c>
      <x:c r="B37" s="6" t="str">
        <x:v>ナイト</x:v>
      </x:c>
      <x:c r="C37" s="6" t="n">
        <x:v>290000</x:v>
      </x:c>
      <x:c r="D37" s="6" t="n">
        <x:v>779000</x:v>
      </x:c>
      <x:c r="E37" s="6" t="n">
        <x:f>C37-D37</x:f>
        <x:v>-489000</x:v>
      </x:c>
      <x:c r="F37" s="6" t="n">
        <x:f>F36+E37</x:f>
        <x:v>-20435000</x:v>
      </x:c>
      <x:c r="G37" s="6" t="n">
        <x:v>290000</x:v>
      </x:c>
      <x:c r="H37" s="6" t="n">
        <x:v>779000</x:v>
      </x:c>
      <x:c r="I37" s="6" t="n">
        <x:v>119</x:v>
      </x:c>
      <x:c r="J37" s="6" t="n">
        <x:v>0</x:v>
      </x:c>
      <x:c r="K37" s="6" t="n">
        <x:v>0</x:v>
      </x:c>
      <x:c r="L37" s="6" t="n">
        <x:v>10</x:v>
      </x:c>
      <x:c r="M37" s="11" t="n">
        <x:v>0.6214102564102564</x:v>
      </x:c>
      <x:c r="N37" s="6" t="n">
        <x:v>513000</x:v>
      </x:c>
    </x:row>
    <x:row r="38" ht="24" customHeight="1">
      <x:c r="A38" s="2" t="str">
        <x:v>2026-10-13_Day</x:v>
      </x:c>
      <x:c r="B38" s="6" t="str">
        <x:v>デイ</x:v>
      </x:c>
      <x:c r="C38" s="6" t="n">
        <x:v>382000</x:v>
      </x:c>
      <x:c r="D38" s="6" t="n">
        <x:v>1013000</x:v>
      </x:c>
      <x:c r="E38" s="6" t="n">
        <x:f>C38-D38</x:f>
        <x:v>-631000</x:v>
      </x:c>
      <x:c r="F38" s="6" t="n">
        <x:f>F37+E38</x:f>
        <x:v>-21066000</x:v>
      </x:c>
      <x:c r="G38" s="6" t="n">
        <x:v>382000</x:v>
      </x:c>
      <x:c r="H38" s="6" t="n">
        <x:v>1013000</x:v>
      </x:c>
      <x:c r="I38" s="6" t="n">
        <x:v>143</x:v>
      </x:c>
      <x:c r="J38" s="6" t="n">
        <x:v>0</x:v>
      </x:c>
      <x:c r="K38" s="6" t="n">
        <x:v>0</x:v>
      </x:c>
      <x:c r="L38" s="6" t="n">
        <x:v>10</x:v>
      </x:c>
      <x:c r="M38" s="11" t="n">
        <x:v>0.556984126984127</x:v>
      </x:c>
      <x:c r="N38" s="6" t="n">
        <x:v>664000</x:v>
      </x:c>
    </x:row>
    <x:row r="39" ht="24" customHeight="1">
      <x:c r="A39" s="2" t="str">
        <x:v>2026-10-13_Night</x:v>
      </x:c>
      <x:c r="B39" s="6" t="str">
        <x:v>ナイト</x:v>
      </x:c>
      <x:c r="C39" s="6" t="n">
        <x:v>179000</x:v>
      </x:c>
      <x:c r="D39" s="6" t="n">
        <x:v>910000</x:v>
      </x:c>
      <x:c r="E39" s="6" t="n">
        <x:f>C39-D39</x:f>
        <x:v>-731000</x:v>
      </x:c>
      <x:c r="F39" s="6" t="n">
        <x:f>F38+E39</x:f>
        <x:v>-21797000</x:v>
      </x:c>
      <x:c r="G39" s="6" t="n">
        <x:v>179000</x:v>
      </x:c>
      <x:c r="H39" s="6" t="n">
        <x:v>910000</x:v>
      </x:c>
      <x:c r="I39" s="6" t="n">
        <x:v>156</x:v>
      </x:c>
      <x:c r="J39" s="6" t="n">
        <x:v>0</x:v>
      </x:c>
      <x:c r="K39" s="6" t="n">
        <x:v>0</x:v>
      </x:c>
      <x:c r="L39" s="6" t="n">
        <x:v>9</x:v>
      </x:c>
      <x:c r="M39" s="11" t="n">
        <x:v>0.5865811965811966</x:v>
      </x:c>
      <x:c r="N39" s="6" t="n">
        <x:v>736000</x:v>
      </x:c>
    </x:row>
    <x:row r="40" ht="24" customHeight="1">
      <x:c r="A40" s="2" t="str">
        <x:v>2026-10-14_Day</x:v>
      </x:c>
      <x:c r="B40" s="6" t="str">
        <x:v>デイ</x:v>
      </x:c>
      <x:c r="C40" s="6" t="n">
        <x:v>341000</x:v>
      </x:c>
      <x:c r="D40" s="6" t="n">
        <x:v>619000</x:v>
      </x:c>
      <x:c r="E40" s="6" t="n">
        <x:f>C40-D40</x:f>
        <x:v>-278000</x:v>
      </x:c>
      <x:c r="F40" s="6" t="n">
        <x:f>F39+E40</x:f>
        <x:v>-22075000</x:v>
      </x:c>
      <x:c r="G40" s="6" t="n">
        <x:v>341000</x:v>
      </x:c>
      <x:c r="H40" s="6" t="n">
        <x:v>619000</x:v>
      </x:c>
      <x:c r="I40" s="6" t="n">
        <x:v>136</x:v>
      </x:c>
      <x:c r="J40" s="6" t="n">
        <x:v>0</x:v>
      </x:c>
      <x:c r="K40" s="6" t="n">
        <x:v>0</x:v>
      </x:c>
      <x:c r="L40" s="6" t="n">
        <x:v>10</x:v>
      </x:c>
      <x:c r="M40" s="11" t="n">
        <x:v>0.5003174603174603</x:v>
      </x:c>
      <x:c r="N40" s="6" t="n">
        <x:v>361000</x:v>
      </x:c>
    </x:row>
    <x:row r="41" ht="24" customHeight="1">
      <x:c r="A41" s="2" t="str">
        <x:v>2026-10-14_Night</x:v>
      </x:c>
      <x:c r="B41" s="6" t="str">
        <x:v>ナイト</x:v>
      </x:c>
      <x:c r="C41" s="6" t="n">
        <x:v>520000</x:v>
      </x:c>
      <x:c r="D41" s="6" t="n">
        <x:v>1246000</x:v>
      </x:c>
      <x:c r="E41" s="6" t="n">
        <x:f>C41-D41</x:f>
        <x:v>-726000</x:v>
      </x:c>
      <x:c r="F41" s="6" t="n">
        <x:f>F40+E41</x:f>
        <x:v>-22801000</x:v>
      </x:c>
      <x:c r="G41" s="6" t="n">
        <x:v>520000</x:v>
      </x:c>
      <x:c r="H41" s="6" t="n">
        <x:v>1246000</x:v>
      </x:c>
      <x:c r="I41" s="6" t="n">
        <x:v>181</x:v>
      </x:c>
      <x:c r="J41" s="6" t="n">
        <x:v>0</x:v>
      </x:c>
      <x:c r="K41" s="6" t="n">
        <x:v>0</x:v>
      </x:c>
      <x:c r="L41" s="6" t="n">
        <x:v>10</x:v>
      </x:c>
      <x:c r="M41" s="11" t="n">
        <x:v>0.534508547008547</x:v>
      </x:c>
      <x:c r="N41" s="6" t="n">
        <x:v>751000</x:v>
      </x:c>
    </x:row>
    <x:row r="42" ht="24" customHeight="1">
      <x:c r="A42" s="2" t="str">
        <x:v>2026-10-15_Day</x:v>
      </x:c>
      <x:c r="B42" s="6" t="str">
        <x:v>デイ</x:v>
      </x:c>
      <x:c r="C42" s="6" t="n">
        <x:v>336000</x:v>
      </x:c>
      <x:c r="D42" s="6" t="n">
        <x:v>749000</x:v>
      </x:c>
      <x:c r="E42" s="6" t="n">
        <x:f>C42-D42</x:f>
        <x:v>-413000</x:v>
      </x:c>
      <x:c r="F42" s="6" t="n">
        <x:f>F41+E42</x:f>
        <x:v>-23214000</x:v>
      </x:c>
      <x:c r="G42" s="6" t="n">
        <x:v>336000</x:v>
      </x:c>
      <x:c r="H42" s="6" t="n">
        <x:v>749000</x:v>
      </x:c>
      <x:c r="I42" s="6" t="n">
        <x:v>129</x:v>
      </x:c>
      <x:c r="J42" s="6" t="n">
        <x:v>0</x:v>
      </x:c>
      <x:c r="K42" s="6" t="n">
        <x:v>0</x:v>
      </x:c>
      <x:c r="L42" s="6" t="n">
        <x:v>10</x:v>
      </x:c>
      <x:c r="M42" s="11" t="n">
        <x:v>0.3459126984126984</x:v>
      </x:c>
      <x:c r="N42" s="6" t="n">
        <x:v>423000</x:v>
      </x:c>
    </x:row>
    <x:row r="43" ht="24" customHeight="1">
      <x:c r="A43" s="2" t="str">
        <x:v>2026-10-15_Night</x:v>
      </x:c>
      <x:c r="B43" s="6" t="str">
        <x:v>ナイト</x:v>
      </x:c>
      <x:c r="C43" s="6" t="n">
        <x:v>574000</x:v>
      </x:c>
      <x:c r="D43" s="6" t="n">
        <x:v>1577000</x:v>
      </x:c>
      <x:c r="E43" s="6" t="n">
        <x:f>C43-D43</x:f>
        <x:v>-1003000</x:v>
      </x:c>
      <x:c r="F43" s="6" t="n">
        <x:f>F42+E43</x:f>
        <x:v>-24217000</x:v>
      </x:c>
      <x:c r="G43" s="6" t="n">
        <x:v>574000</x:v>
      </x:c>
      <x:c r="H43" s="6" t="n">
        <x:v>1577000</x:v>
      </x:c>
      <x:c r="I43" s="6" t="n">
        <x:v>194</x:v>
      </x:c>
      <x:c r="J43" s="6" t="n">
        <x:v>0</x:v>
      </x:c>
      <x:c r="K43" s="6" t="n">
        <x:v>0</x:v>
      </x:c>
      <x:c r="L43" s="6" t="n">
        <x:v>10</x:v>
      </x:c>
      <x:c r="M43" s="11" t="n">
        <x:v>0.4604059829059829</x:v>
      </x:c>
      <x:c r="N43" s="6" t="n">
        <x:v>1058000</x:v>
      </x:c>
    </x:row>
    <x:row r="44" ht="24" customHeight="1">
      <x:c r="A44" s="2" t="str">
        <x:v>2026-10-16_Day</x:v>
      </x:c>
      <x:c r="B44" s="6" t="str">
        <x:v>デイ</x:v>
      </x:c>
      <x:c r="C44" s="6" t="n">
        <x:v>277000</x:v>
      </x:c>
      <x:c r="D44" s="6" t="n">
        <x:v>836000</x:v>
      </x:c>
      <x:c r="E44" s="6" t="n">
        <x:f>C44-D44</x:f>
        <x:v>-559000</x:v>
      </x:c>
      <x:c r="F44" s="6" t="n">
        <x:f>F43+E44</x:f>
        <x:v>-24776000</x:v>
      </x:c>
      <x:c r="G44" s="6" t="n">
        <x:v>277000</x:v>
      </x:c>
      <x:c r="H44" s="6" t="n">
        <x:v>836000</x:v>
      </x:c>
      <x:c r="I44" s="6" t="n">
        <x:v>115</x:v>
      </x:c>
      <x:c r="J44" s="6" t="n">
        <x:v>0</x:v>
      </x:c>
      <x:c r="K44" s="6" t="n">
        <x:v>0</x:v>
      </x:c>
      <x:c r="L44" s="6" t="n">
        <x:v>10</x:v>
      </x:c>
      <x:c r="M44" s="11" t="n">
        <x:v>0.37896825396825395</x:v>
      </x:c>
      <x:c r="N44" s="6" t="n">
        <x:v>567000</x:v>
      </x:c>
    </x:row>
    <x:row r="45" ht="24" customHeight="1">
      <x:c r="A45" s="2" t="str">
        <x:v>2026-10-16_Night</x:v>
      </x:c>
      <x:c r="B45" s="6" t="str">
        <x:v>ナイト</x:v>
      </x:c>
      <x:c r="C45" s="6" t="n">
        <x:v>756000</x:v>
      </x:c>
      <x:c r="D45" s="6" t="n">
        <x:v>1549000</x:v>
      </x:c>
      <x:c r="E45" s="6" t="n">
        <x:f>C45-D45</x:f>
        <x:v>-793000</x:v>
      </x:c>
      <x:c r="F45" s="6" t="n">
        <x:f>F44+E45</x:f>
        <x:v>-25569000</x:v>
      </x:c>
      <x:c r="G45" s="6" t="n">
        <x:v>756000</x:v>
      </x:c>
      <x:c r="H45" s="6" t="n">
        <x:v>1549000</x:v>
      </x:c>
      <x:c r="I45" s="6" t="n">
        <x:v>207</x:v>
      </x:c>
      <x:c r="J45" s="6" t="n">
        <x:v>0</x:v>
      </x:c>
      <x:c r="K45" s="6" t="n">
        <x:v>0</x:v>
      </x:c>
      <x:c r="L45" s="6" t="n">
        <x:v>10</x:v>
      </x:c>
      <x:c r="M45" s="11" t="n">
        <x:v>0.4837179487179487</x:v>
      </x:c>
      <x:c r="N45" s="6" t="n">
        <x:v>819000</x:v>
      </x:c>
    </x:row>
    <x:row r="46" ht="24" customHeight="1">
      <x:c r="A46" s="2" t="str">
        <x:v>2026-10-19_Day</x:v>
      </x:c>
      <x:c r="B46" s="6" t="str">
        <x:v>デイ</x:v>
      </x:c>
      <x:c r="C46" s="6" t="n">
        <x:v>375000</x:v>
      </x:c>
      <x:c r="D46" s="6" t="n">
        <x:v>758000</x:v>
      </x:c>
      <x:c r="E46" s="6" t="n">
        <x:f>C46-D46</x:f>
        <x:v>-383000</x:v>
      </x:c>
      <x:c r="F46" s="6" t="n">
        <x:f>F45+E46</x:f>
        <x:v>-25952000</x:v>
      </x:c>
      <x:c r="G46" s="6" t="n">
        <x:v>375000</x:v>
      </x:c>
      <x:c r="H46" s="6" t="n">
        <x:v>758000</x:v>
      </x:c>
      <x:c r="I46" s="6" t="n">
        <x:v>127</x:v>
      </x:c>
      <x:c r="J46" s="6" t="n">
        <x:v>0</x:v>
      </x:c>
      <x:c r="K46" s="6" t="n">
        <x:v>0</x:v>
      </x:c>
      <x:c r="L46" s="6" t="n">
        <x:v>10</x:v>
      </x:c>
      <x:c r="M46" s="11" t="n">
        <x:v>0.4282936507936508</x:v>
      </x:c>
      <x:c r="N46" s="6" t="n">
        <x:v>589000</x:v>
      </x:c>
    </x:row>
    <x:row r="47" ht="24" customHeight="1">
      <x:c r="A47" s="2" t="str">
        <x:v>2026-10-19_Night</x:v>
      </x:c>
      <x:c r="B47" s="6" t="str">
        <x:v>ナイト</x:v>
      </x:c>
      <x:c r="C47" s="6" t="n">
        <x:v>337000</x:v>
      </x:c>
      <x:c r="D47" s="6" t="n">
        <x:v>1352000</x:v>
      </x:c>
      <x:c r="E47" s="6" t="n">
        <x:f>C47-D47</x:f>
        <x:v>-1015000</x:v>
      </x:c>
      <x:c r="F47" s="6" t="n">
        <x:f>F46+E47</x:f>
        <x:v>-26967000</x:v>
      </x:c>
      <x:c r="G47" s="6" t="n">
        <x:v>337000</x:v>
      </x:c>
      <x:c r="H47" s="6" t="n">
        <x:v>1352000</x:v>
      </x:c>
      <x:c r="I47" s="6" t="n">
        <x:v>175</x:v>
      </x:c>
      <x:c r="J47" s="6" t="n">
        <x:v>0</x:v>
      </x:c>
      <x:c r="K47" s="6" t="n">
        <x:v>0</x:v>
      </x:c>
      <x:c r="L47" s="6" t="n">
        <x:v>10</x:v>
      </x:c>
      <x:c r="M47" s="11" t="n">
        <x:v>0.4999145299145299</x:v>
      </x:c>
      <x:c r="N47" s="6" t="n">
        <x:v>1046000</x:v>
      </x:c>
    </x:row>
    <x:row r="48" ht="24" customHeight="1">
      <x:c r="A48" s="2" t="str">
        <x:v>2026-10-20_Day</x:v>
      </x:c>
      <x:c r="B48" s="6" t="str">
        <x:v>デイ</x:v>
      </x:c>
      <x:c r="C48" s="6" t="n">
        <x:v>379000</x:v>
      </x:c>
      <x:c r="D48" s="6" t="n">
        <x:v>662000</x:v>
      </x:c>
      <x:c r="E48" s="6" t="n">
        <x:f>C48-D48</x:f>
        <x:v>-283000</x:v>
      </x:c>
      <x:c r="F48" s="6" t="n">
        <x:f>F47+E48</x:f>
        <x:v>-27250000</x:v>
      </x:c>
      <x:c r="G48" s="6" t="n">
        <x:v>379000</x:v>
      </x:c>
      <x:c r="H48" s="6" t="n">
        <x:v>662000</x:v>
      </x:c>
      <x:c r="I48" s="6" t="n">
        <x:v>115</x:v>
      </x:c>
      <x:c r="J48" s="6" t="n">
        <x:v>0</x:v>
      </x:c>
      <x:c r="K48" s="6" t="n">
        <x:v>0</x:v>
      </x:c>
      <x:c r="L48" s="6" t="n">
        <x:v>10</x:v>
      </x:c>
      <x:c r="M48" s="11" t="n">
        <x:v>0.33555555555555555</x:v>
      </x:c>
      <x:c r="N48" s="6" t="n">
        <x:v>348000</x:v>
      </x:c>
    </x:row>
    <x:row r="49" ht="24" customHeight="1">
      <x:c r="A49" s="2" t="str">
        <x:v>2026-10-20_Night</x:v>
      </x:c>
      <x:c r="B49" s="6" t="str">
        <x:v>ナイト</x:v>
      </x:c>
      <x:c r="C49" s="6" t="n">
        <x:v>499000</x:v>
      </x:c>
      <x:c r="D49" s="6" t="n">
        <x:v>1214000</x:v>
      </x:c>
      <x:c r="E49" s="6" t="n">
        <x:f>C49-D49</x:f>
        <x:v>-715000</x:v>
      </x:c>
      <x:c r="F49" s="6" t="n">
        <x:f>F48+E49</x:f>
        <x:v>-27965000</x:v>
      </x:c>
      <x:c r="G49" s="6" t="n">
        <x:v>499000</x:v>
      </x:c>
      <x:c r="H49" s="6" t="n">
        <x:v>1214000</x:v>
      </x:c>
      <x:c r="I49" s="6" t="n">
        <x:v>170</x:v>
      </x:c>
      <x:c r="J49" s="6" t="n">
        <x:v>0</x:v>
      </x:c>
      <x:c r="K49" s="6" t="n">
        <x:v>0</x:v>
      </x:c>
      <x:c r="L49" s="6" t="n">
        <x:v>10</x:v>
      </x:c>
      <x:c r="M49" s="11" t="n">
        <x:v>0.45465811965811964</x:v>
      </x:c>
      <x:c r="N49" s="6" t="n">
        <x:v>741000</x:v>
      </x:c>
    </x:row>
    <x:row r="50" ht="24" customHeight="1">
      <x:c r="A50" s="2" t="str">
        <x:v>2026-10-21_Day</x:v>
      </x:c>
      <x:c r="B50" s="6" t="str">
        <x:v>デイ</x:v>
      </x:c>
      <x:c r="C50" s="6" t="n">
        <x:v>233000</x:v>
      </x:c>
      <x:c r="D50" s="6" t="n">
        <x:v>718000</x:v>
      </x:c>
      <x:c r="E50" s="6" t="n">
        <x:f>C50-D50</x:f>
        <x:v>-485000</x:v>
      </x:c>
      <x:c r="F50" s="6" t="n">
        <x:f>F49+E50</x:f>
        <x:v>-28450000</x:v>
      </x:c>
      <x:c r="G50" s="6" t="n">
        <x:v>233000</x:v>
      </x:c>
      <x:c r="H50" s="6" t="n">
        <x:v>718000</x:v>
      </x:c>
      <x:c r="I50" s="6" t="n">
        <x:v>134</x:v>
      </x:c>
      <x:c r="J50" s="6" t="n">
        <x:v>0</x:v>
      </x:c>
      <x:c r="K50" s="6" t="n">
        <x:v>0</x:v>
      </x:c>
      <x:c r="L50" s="6" t="n">
        <x:v>10</x:v>
      </x:c>
      <x:c r="M50" s="11" t="n">
        <x:v>0.43956349206349205</x:v>
      </x:c>
      <x:c r="N50" s="6" t="n">
        <x:v>509000</x:v>
      </x:c>
    </x:row>
    <x:row r="51" ht="24" customHeight="1">
      <x:c r="A51" s="2" t="str">
        <x:v>2026-10-21_Night</x:v>
      </x:c>
      <x:c r="B51" s="6" t="str">
        <x:v>ナイト</x:v>
      </x:c>
      <x:c r="C51" s="6" t="n">
        <x:v>400000</x:v>
      </x:c>
      <x:c r="D51" s="6" t="n">
        <x:v>1032000</x:v>
      </x:c>
      <x:c r="E51" s="6" t="n">
        <x:f>C51-D51</x:f>
        <x:v>-632000</x:v>
      </x:c>
      <x:c r="F51" s="6" t="n">
        <x:f>F50+E51</x:f>
        <x:v>-29082000</x:v>
      </x:c>
      <x:c r="G51" s="6" t="n">
        <x:v>400000</x:v>
      </x:c>
      <x:c r="H51" s="6" t="n">
        <x:v>1032000</x:v>
      </x:c>
      <x:c r="I51" s="6" t="n">
        <x:v>153</x:v>
      </x:c>
      <x:c r="J51" s="6" t="n">
        <x:v>0</x:v>
      </x:c>
      <x:c r="K51" s="6" t="n">
        <x:v>0</x:v>
      </x:c>
      <x:c r="L51" s="6" t="n">
        <x:v>10</x:v>
      </x:c>
      <x:c r="M51" s="11" t="n">
        <x:v>0.44166666666666665</x:v>
      </x:c>
      <x:c r="N51" s="6" t="n">
        <x:v>656000</x:v>
      </x:c>
    </x:row>
    <x:row r="52" ht="24" customHeight="1">
      <x:c r="A52" s="2" t="str">
        <x:v>2026-10-22_Day</x:v>
      </x:c>
      <x:c r="B52" s="6" t="str">
        <x:v>デイ</x:v>
      </x:c>
      <x:c r="C52" s="6" t="n">
        <x:v>282000</x:v>
      </x:c>
      <x:c r="D52" s="6" t="n">
        <x:v>769000</x:v>
      </x:c>
      <x:c r="E52" s="6" t="n">
        <x:f>C52-D52</x:f>
        <x:v>-487000</x:v>
      </x:c>
      <x:c r="F52" s="6" t="n">
        <x:f>F51+E52</x:f>
        <x:v>-29569000</x:v>
      </x:c>
      <x:c r="G52" s="6" t="n">
        <x:v>282000</x:v>
      </x:c>
      <x:c r="H52" s="6" t="n">
        <x:v>769000</x:v>
      </x:c>
      <x:c r="I52" s="6" t="n">
        <x:v>126</x:v>
      </x:c>
      <x:c r="J52" s="6" t="n">
        <x:v>0</x:v>
      </x:c>
      <x:c r="K52" s="6" t="n">
        <x:v>0</x:v>
      </x:c>
      <x:c r="L52" s="6" t="n">
        <x:v>10</x:v>
      </x:c>
      <x:c r="M52" s="11" t="n">
        <x:v>0.3690079365079365</x:v>
      </x:c>
      <x:c r="N52" s="6" t="n">
        <x:v>570000</x:v>
      </x:c>
    </x:row>
    <x:row r="53" ht="24" customHeight="1">
      <x:c r="A53" s="2" t="str">
        <x:v>2026-10-22_Night</x:v>
      </x:c>
      <x:c r="B53" s="6" t="str">
        <x:v>ナイト</x:v>
      </x:c>
      <x:c r="C53" s="6" t="n">
        <x:v>764000</x:v>
      </x:c>
      <x:c r="D53" s="6" t="n">
        <x:v>1489000</x:v>
      </x:c>
      <x:c r="E53" s="6" t="n">
        <x:f>C53-D53</x:f>
        <x:v>-725000</x:v>
      </x:c>
      <x:c r="F53" s="6" t="n">
        <x:f>F52+E53</x:f>
        <x:v>-30294000</x:v>
      </x:c>
      <x:c r="G53" s="6" t="n">
        <x:v>764000</x:v>
      </x:c>
      <x:c r="H53" s="6" t="n">
        <x:v>1489000</x:v>
      </x:c>
      <x:c r="I53" s="6" t="n">
        <x:v>190</x:v>
      </x:c>
      <x:c r="J53" s="6" t="n">
        <x:v>0</x:v>
      </x:c>
      <x:c r="K53" s="6" t="n">
        <x:v>0</x:v>
      </x:c>
      <x:c r="L53" s="6" t="n">
        <x:v>10</x:v>
      </x:c>
      <x:c r="M53" s="11" t="n">
        <x:v>0.42604700854700855</x:v>
      </x:c>
      <x:c r="N53" s="6" t="n">
        <x:v>885000</x:v>
      </x:c>
    </x:row>
    <x:row r="54" ht="24" customHeight="1">
      <x:c r="A54" s="2" t="str">
        <x:v>2026-10-23_Day</x:v>
      </x:c>
      <x:c r="B54" s="6" t="str">
        <x:v>デイ</x:v>
      </x:c>
      <x:c r="C54" s="6" t="n">
        <x:v>402000</x:v>
      </x:c>
      <x:c r="D54" s="6" t="n">
        <x:v>1070000</x:v>
      </x:c>
      <x:c r="E54" s="6" t="n">
        <x:f>C54-D54</x:f>
        <x:v>-668000</x:v>
      </x:c>
      <x:c r="F54" s="6" t="n">
        <x:f>F53+E54</x:f>
        <x:v>-30962000</x:v>
      </x:c>
      <x:c r="G54" s="6" t="n">
        <x:v>402000</x:v>
      </x:c>
      <x:c r="H54" s="6" t="n">
        <x:v>1070000</x:v>
      </x:c>
      <x:c r="I54" s="6" t="n">
        <x:v>139</x:v>
      </x:c>
      <x:c r="J54" s="6" t="n">
        <x:v>0</x:v>
      </x:c>
      <x:c r="K54" s="6" t="n">
        <x:v>0</x:v>
      </x:c>
      <x:c r="L54" s="6" t="n">
        <x:v>10</x:v>
      </x:c>
      <x:c r="M54" s="11" t="n">
        <x:v>0.3159920634920635</x:v>
      </x:c>
      <x:c r="N54" s="6" t="n">
        <x:v>670000</x:v>
      </x:c>
    </x:row>
    <x:row r="55" ht="24" customHeight="1">
      <x:c r="A55" s="2" t="str">
        <x:v>2026-10-23_Night</x:v>
      </x:c>
      <x:c r="B55" s="6" t="str">
        <x:v>ナイト</x:v>
      </x:c>
      <x:c r="C55" s="6" t="n">
        <x:v>468000</x:v>
      </x:c>
      <x:c r="D55" s="6" t="n">
        <x:v>1617000</x:v>
      </x:c>
      <x:c r="E55" s="6" t="n">
        <x:f>C55-D55</x:f>
        <x:v>-1149000</x:v>
      </x:c>
      <x:c r="F55" s="6" t="n">
        <x:f>F54+E55</x:f>
        <x:v>-32111000</x:v>
      </x:c>
      <x:c r="G55" s="6" t="n">
        <x:v>468000</x:v>
      </x:c>
      <x:c r="H55" s="6" t="n">
        <x:v>1617000</x:v>
      </x:c>
      <x:c r="I55" s="6" t="n">
        <x:v>215</x:v>
      </x:c>
      <x:c r="J55" s="6" t="n">
        <x:v>0</x:v>
      </x:c>
      <x:c r="K55" s="6" t="n">
        <x:v>0</x:v>
      </x:c>
      <x:c r="L55" s="6" t="n">
        <x:v>10</x:v>
      </x:c>
      <x:c r="M55" s="11" t="n">
        <x:v>0.5058760683760684</x:v>
      </x:c>
      <x:c r="N55" s="6" t="n">
        <x:v>1154000</x:v>
      </x:c>
    </x:row>
    <x:row r="56" ht="24" customHeight="1">
      <x:c r="A56" s="2" t="str">
        <x:v>2026-10-26_Day</x:v>
      </x:c>
      <x:c r="B56" s="6" t="str">
        <x:v>デイ</x:v>
      </x:c>
      <x:c r="C56" s="6" t="n">
        <x:v>311000</x:v>
      </x:c>
      <x:c r="D56" s="6" t="n">
        <x:v>724000</x:v>
      </x:c>
      <x:c r="E56" s="6" t="n">
        <x:f>C56-D56</x:f>
        <x:v>-413000</x:v>
      </x:c>
      <x:c r="F56" s="6" t="n">
        <x:f>F55+E56</x:f>
        <x:v>-32524000</x:v>
      </x:c>
      <x:c r="G56" s="6" t="n">
        <x:v>311000</x:v>
      </x:c>
      <x:c r="H56" s="6" t="n">
        <x:v>724000</x:v>
      </x:c>
      <x:c r="I56" s="6" t="n">
        <x:v>117</x:v>
      </x:c>
      <x:c r="J56" s="6" t="n">
        <x:v>0</x:v>
      </x:c>
      <x:c r="K56" s="6" t="n">
        <x:v>0</x:v>
      </x:c>
      <x:c r="L56" s="6" t="n">
        <x:v>10</x:v>
      </x:c>
      <x:c r="M56" s="11" t="n">
        <x:v>0.35015873015873017</x:v>
      </x:c>
      <x:c r="N56" s="6" t="n">
        <x:v>466000</x:v>
      </x:c>
    </x:row>
    <x:row r="57" ht="24" customHeight="1">
      <x:c r="A57" s="15" t="str">
        <x:v>累計／平均／最大</x:v>
      </x:c>
      <x:c r="B57" s="16"/>
      <x:c r="C57" s="16" t="n">
        <x:f>SUM(C6:C56)</x:f>
        <x:v>17945000</x:v>
      </x:c>
      <x:c r="D57" s="16" t="n">
        <x:f>SUM(D6:D56)</x:f>
        <x:v>50469000</x:v>
      </x:c>
      <x:c r="E57" s="16" t="n">
        <x:f>C57-D57</x:f>
        <x:v>-32524000</x:v>
      </x:c>
      <x:c r="F57" s="16" t="n">
        <x:f>F56</x:f>
        <x:v>-32524000</x:v>
      </x:c>
      <x:c r="G57" s="16" t="n">
        <x:f>SUM(G6:G56)</x:f>
        <x:v>17945000</x:v>
      </x:c>
      <x:c r="H57" s="16" t="n">
        <x:f>SUM(H6:H56)</x:f>
        <x:v>50469000</x:v>
      </x:c>
      <x:c r="I57" s="16" t="n">
        <x:f>SUM(I6:I56)</x:f>
        <x:v>7196</x:v>
      </x:c>
      <x:c r="J57" s="16" t="n">
        <x:f>SUM(J6:J56)</x:f>
        <x:v>0</x:v>
      </x:c>
      <x:c r="K57" s="16" t="n">
        <x:f>SUM(K6:K56)</x:f>
        <x:v>0</x:v>
      </x:c>
      <x:c r="L57" s="16" t="n">
        <x:f>MAX(L6:L56)</x:f>
        <x:v>10</x:v>
      </x:c>
      <x:c r="M57" s="17" t="n">
        <x:f>AVERAGE(M6:M56)</x:f>
        <x:v>0.4945476908712202</x:v>
      </x:c>
      <x:c r="N57" s="16" t="n">
        <x:f>MAX(N6:N56)</x:f>
        <x:v>1477000</x:v>
      </x:c>
    </x:row>
  </x:sheetData>
  <x:conditionalFormatting sqref="E6:F56">
    <x:cfRule type="cellIs" dxfId="1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9c4a0d781f3496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1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4" customHeight="1">
      <x:c r="A1" s="3" t="str">
        <x:v>日経 R03　各セッションの利益・損失・収支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A2" s="4" t="str">
        <x:v>2026/09/21〜10/26デイ・51完了場。日経mini／TOPIXmini各上限10枚・手数料0。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4" customHeight="1">
      <x:c r="A3" s="4" t="str">
        <x:v>3分MA・冷却後に再参加・価格と1分傾き確認・保有中も比例枚数へ増減／D出口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4" customHeight="1">
      <x:c r="A4" s="4" t="str">
        <x:v>利益・損失＝FIFO返済配賦別。親＝初回から全返済まで。ラージ気配による模型で、mini実約定の検証ではありません。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42" customHeight="1">
      <x:c r="A5" s="10" t="str">
        <x:v>セッション</x:v>
      </x:c>
      <x:c r="B5" s="10" t="str">
        <x:v>区分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親利益（円）</x:v>
      </x:c>
      <x:c r="H5" s="10" t="str">
        <x:v>親損失（円）</x:v>
      </x:c>
      <x:c r="I5" s="10" t="str">
        <x:v>初回件数</x:v>
      </x:c>
      <x:c r="J5" s="10" t="str">
        <x:v>追加件数</x:v>
      </x:c>
      <x:c r="K5" s="10" t="str">
        <x:v>縮小件数</x:v>
      </x:c>
      <x:c r="L5" s="10" t="str">
        <x:v>最大保有枚数</x:v>
      </x:c>
      <x:c r="M5" s="10" t="str">
        <x:v>保有時間率</x:v>
      </x:c>
      <x:c r="N5" s="10" t="str">
        <x:v>時価最大DD（円）</x:v>
      </x:c>
    </x:row>
    <x:row r="6" ht="24" customHeight="1">
      <x:c r="A6" s="2" t="str">
        <x:v>2026-09-21_Day</x:v>
      </x:c>
      <x:c r="B6" s="6" t="str">
        <x:v>デイ</x:v>
      </x:c>
      <x:c r="C6" s="6" t="n">
        <x:v>517000</x:v>
      </x:c>
      <x:c r="D6" s="6" t="n">
        <x:v>1241000</x:v>
      </x:c>
      <x:c r="E6" s="6" t="n">
        <x:f>C6-D6</x:f>
        <x:v>-724000</x:v>
      </x:c>
      <x:c r="F6" s="6" t="n">
        <x:f>E6</x:f>
        <x:v>-724000</x:v>
      </x:c>
      <x:c r="G6" s="6" t="n">
        <x:v>481000</x:v>
      </x:c>
      <x:c r="H6" s="6" t="n">
        <x:v>1205000</x:v>
      </x:c>
      <x:c r="I6" s="6" t="n">
        <x:v>79</x:v>
      </x:c>
      <x:c r="J6" s="6" t="n">
        <x:v>104</x:v>
      </x:c>
      <x:c r="K6" s="6" t="n">
        <x:v>75</x:v>
      </x:c>
      <x:c r="L6" s="6" t="n">
        <x:v>10</x:v>
      </x:c>
      <x:c r="M6" s="11" t="n">
        <x:v>0.6190873015873016</x:v>
      </x:c>
      <x:c r="N6" s="6" t="n">
        <x:v>841000</x:v>
      </x:c>
    </x:row>
    <x:row r="7" ht="24" customHeight="1">
      <x:c r="A7" s="2" t="str">
        <x:v>2026-09-21_Night</x:v>
      </x:c>
      <x:c r="B7" s="6" t="str">
        <x:v>ナイト</x:v>
      </x:c>
      <x:c r="C7" s="6" t="n">
        <x:v>247000</x:v>
      </x:c>
      <x:c r="D7" s="6" t="n">
        <x:v>967000</x:v>
      </x:c>
      <x:c r="E7" s="6" t="n">
        <x:f>C7-D7</x:f>
        <x:v>-720000</x:v>
      </x:c>
      <x:c r="F7" s="6" t="n">
        <x:f>F6+E7</x:f>
        <x:v>-1444000</x:v>
      </x:c>
      <x:c r="G7" s="6" t="n">
        <x:v>175000</x:v>
      </x:c>
      <x:c r="H7" s="6" t="n">
        <x:v>895000</x:v>
      </x:c>
      <x:c r="I7" s="6" t="n">
        <x:v>99</x:v>
      </x:c>
      <x:c r="J7" s="6" t="n">
        <x:v>181</x:v>
      </x:c>
      <x:c r="K7" s="6" t="n">
        <x:v>138</x:v>
      </x:c>
      <x:c r="L7" s="6" t="n">
        <x:v>10</x:v>
      </x:c>
      <x:c r="M7" s="11" t="n">
        <x:v>0.4757051282051282</x:v>
      </x:c>
      <x:c r="N7" s="6" t="n">
        <x:v>736000</x:v>
      </x:c>
    </x:row>
    <x:row r="8" ht="24" customHeight="1">
      <x:c r="A8" s="2" t="str">
        <x:v>2026-09-22_Day</x:v>
      </x:c>
      <x:c r="B8" s="6" t="str">
        <x:v>デイ</x:v>
      </x:c>
      <x:c r="C8" s="6" t="n">
        <x:v>346000</x:v>
      </x:c>
      <x:c r="D8" s="6" t="n">
        <x:v>1538000</x:v>
      </x:c>
      <x:c r="E8" s="6" t="n">
        <x:f>C8-D8</x:f>
        <x:v>-1192000</x:v>
      </x:c>
      <x:c r="F8" s="6" t="n">
        <x:f>F7+E8</x:f>
        <x:v>-2636000</x:v>
      </x:c>
      <x:c r="G8" s="6" t="n">
        <x:v>244000</x:v>
      </x:c>
      <x:c r="H8" s="6" t="n">
        <x:v>1436000</x:v>
      </x:c>
      <x:c r="I8" s="6" t="n">
        <x:v>90</x:v>
      </x:c>
      <x:c r="J8" s="6" t="n">
        <x:v>171</x:v>
      </x:c>
      <x:c r="K8" s="6" t="n">
        <x:v>99</x:v>
      </x:c>
      <x:c r="L8" s="6" t="n">
        <x:v>10</x:v>
      </x:c>
      <x:c r="M8" s="11" t="n">
        <x:v>0.48833333333333334</x:v>
      </x:c>
      <x:c r="N8" s="6" t="n">
        <x:v>1242000</x:v>
      </x:c>
    </x:row>
    <x:row r="9" ht="24" customHeight="1">
      <x:c r="A9" s="2" t="str">
        <x:v>2026-09-22_Night</x:v>
      </x:c>
      <x:c r="B9" s="6" t="str">
        <x:v>ナイト</x:v>
      </x:c>
      <x:c r="C9" s="6" t="n">
        <x:v>535000</x:v>
      </x:c>
      <x:c r="D9" s="6" t="n">
        <x:v>2028000</x:v>
      </x:c>
      <x:c r="E9" s="6" t="n">
        <x:f>C9-D9</x:f>
        <x:v>-1493000</x:v>
      </x:c>
      <x:c r="F9" s="6" t="n">
        <x:f>F8+E9</x:f>
        <x:v>-4129000</x:v>
      </x:c>
      <x:c r="G9" s="6" t="n">
        <x:v>425000</x:v>
      </x:c>
      <x:c r="H9" s="6" t="n">
        <x:v>1918000</x:v>
      </x:c>
      <x:c r="I9" s="6" t="n">
        <x:v>114</x:v>
      </x:c>
      <x:c r="J9" s="6" t="n">
        <x:v>184</x:v>
      </x:c>
      <x:c r="K9" s="6" t="n">
        <x:v>147</x:v>
      </x:c>
      <x:c r="L9" s="6" t="n">
        <x:v>10</x:v>
      </x:c>
      <x:c r="M9" s="11" t="n">
        <x:v>0.517008547008547</x:v>
      </x:c>
      <x:c r="N9" s="6" t="n">
        <x:v>1567000</x:v>
      </x:c>
    </x:row>
    <x:row r="10" ht="24" customHeight="1">
      <x:c r="A10" s="2" t="str">
        <x:v>2026-09-23_Day</x:v>
      </x:c>
      <x:c r="B10" s="6" t="str">
        <x:v>デイ</x:v>
      </x:c>
      <x:c r="C10" s="6" t="n">
        <x:v>282000</x:v>
      </x:c>
      <x:c r="D10" s="6" t="n">
        <x:v>1126000</x:v>
      </x:c>
      <x:c r="E10" s="6" t="n">
        <x:f>C10-D10</x:f>
        <x:v>-844000</x:v>
      </x:c>
      <x:c r="F10" s="6" t="n">
        <x:f>F9+E10</x:f>
        <x:v>-4973000</x:v>
      </x:c>
      <x:c r="G10" s="6" t="n">
        <x:v>232000</x:v>
      </x:c>
      <x:c r="H10" s="6" t="n">
        <x:v>1076000</x:v>
      </x:c>
      <x:c r="I10" s="6" t="n">
        <x:v>92</x:v>
      </x:c>
      <x:c r="J10" s="6" t="n">
        <x:v>118</x:v>
      </x:c>
      <x:c r="K10" s="6" t="n">
        <x:v>75</x:v>
      </x:c>
      <x:c r="L10" s="6" t="n">
        <x:v>10</x:v>
      </x:c>
      <x:c r="M10" s="11" t="n">
        <x:v>0.5832142857142857</x:v>
      </x:c>
      <x:c r="N10" s="6" t="n">
        <x:v>917000</x:v>
      </x:c>
    </x:row>
    <x:row r="11" ht="24" customHeight="1">
      <x:c r="A11" s="2" t="str">
        <x:v>2026-09-23_Night</x:v>
      </x:c>
      <x:c r="B11" s="6" t="str">
        <x:v>ナイト</x:v>
      </x:c>
      <x:c r="C11" s="6" t="n">
        <x:v>557000</x:v>
      </x:c>
      <x:c r="D11" s="6" t="n">
        <x:v>1709000</x:v>
      </x:c>
      <x:c r="E11" s="6" t="n">
        <x:f>C11-D11</x:f>
        <x:v>-1152000</x:v>
      </x:c>
      <x:c r="F11" s="6" t="n">
        <x:f>F10+E11</x:f>
        <x:v>-6125000</x:v>
      </x:c>
      <x:c r="G11" s="6" t="n">
        <x:v>425000</x:v>
      </x:c>
      <x:c r="H11" s="6" t="n">
        <x:v>1577000</x:v>
      </x:c>
      <x:c r="I11" s="6" t="n">
        <x:v>123</x:v>
      </x:c>
      <x:c r="J11" s="6" t="n">
        <x:v>240</x:v>
      </x:c>
      <x:c r="K11" s="6" t="n">
        <x:v>173</x:v>
      </x:c>
      <x:c r="L11" s="6" t="n">
        <x:v>10</x:v>
      </x:c>
      <x:c r="M11" s="11" t="n">
        <x:v>0.603525641025641</x:v>
      </x:c>
      <x:c r="N11" s="6" t="n">
        <x:v>1157000</x:v>
      </x:c>
    </x:row>
    <x:row r="12" ht="24" customHeight="1">
      <x:c r="A12" s="2" t="str">
        <x:v>2026-09-24_Day</x:v>
      </x:c>
      <x:c r="B12" s="6" t="str">
        <x:v>デイ</x:v>
      </x:c>
      <x:c r="C12" s="6" t="n">
        <x:v>706000</x:v>
      </x:c>
      <x:c r="D12" s="6" t="n">
        <x:v>1364000</x:v>
      </x:c>
      <x:c r="E12" s="6" t="n">
        <x:f>C12-D12</x:f>
        <x:v>-658000</x:v>
      </x:c>
      <x:c r="F12" s="6" t="n">
        <x:f>F11+E12</x:f>
        <x:v>-6783000</x:v>
      </x:c>
      <x:c r="G12" s="6" t="n">
        <x:v>570000</x:v>
      </x:c>
      <x:c r="H12" s="6" t="n">
        <x:v>1228000</x:v>
      </x:c>
      <x:c r="I12" s="6" t="n">
        <x:v>119</x:v>
      </x:c>
      <x:c r="J12" s="6" t="n">
        <x:v>270</x:v>
      </x:c>
      <x:c r="K12" s="6" t="n">
        <x:v>153</x:v>
      </x:c>
      <x:c r="L12" s="6" t="n">
        <x:v>10</x:v>
      </x:c>
      <x:c r="M12" s="11" t="n">
        <x:v>0.4394047619047619</x:v>
      </x:c>
      <x:c r="N12" s="6" t="n">
        <x:v>817000</x:v>
      </x:c>
    </x:row>
    <x:row r="13" ht="24" customHeight="1">
      <x:c r="A13" s="2" t="str">
        <x:v>2026-09-24_Night</x:v>
      </x:c>
      <x:c r="B13" s="6" t="str">
        <x:v>ナイト</x:v>
      </x:c>
      <x:c r="C13" s="6" t="n">
        <x:v>906000</x:v>
      </x:c>
      <x:c r="D13" s="6" t="n">
        <x:v>2253000</x:v>
      </x:c>
      <x:c r="E13" s="6" t="n">
        <x:f>C13-D13</x:f>
        <x:v>-1347000</x:v>
      </x:c>
      <x:c r="F13" s="6" t="n">
        <x:f>F12+E13</x:f>
        <x:v>-8130000</x:v>
      </x:c>
      <x:c r="G13" s="6" t="n">
        <x:v>725000</x:v>
      </x:c>
      <x:c r="H13" s="6" t="n">
        <x:v>2072000</x:v>
      </x:c>
      <x:c r="I13" s="6" t="n">
        <x:v>165</x:v>
      </x:c>
      <x:c r="J13" s="6" t="n">
        <x:v>307</x:v>
      </x:c>
      <x:c r="K13" s="6" t="n">
        <x:v>182</x:v>
      </x:c>
      <x:c r="L13" s="6" t="n">
        <x:v>10</x:v>
      </x:c>
      <x:c r="M13" s="11" t="n">
        <x:v>0.45952991452991454</x:v>
      </x:c>
      <x:c r="N13" s="6" t="n">
        <x:v>1491000</x:v>
      </x:c>
    </x:row>
    <x:row r="14" ht="24" customHeight="1">
      <x:c r="A14" s="2" t="str">
        <x:v>2026-09-25_Day</x:v>
      </x:c>
      <x:c r="B14" s="6" t="str">
        <x:v>デイ</x:v>
      </x:c>
      <x:c r="C14" s="6" t="n">
        <x:v>268000</x:v>
      </x:c>
      <x:c r="D14" s="6" t="n">
        <x:v>2034000</x:v>
      </x:c>
      <x:c r="E14" s="6" t="n">
        <x:f>C14-D14</x:f>
        <x:v>-1766000</x:v>
      </x:c>
      <x:c r="F14" s="6" t="n">
        <x:f>F13+E14</x:f>
        <x:v>-9896000</x:v>
      </x:c>
      <x:c r="G14" s="6" t="n">
        <x:v>168000</x:v>
      </x:c>
      <x:c r="H14" s="6" t="n">
        <x:v>1934000</x:v>
      </x:c>
      <x:c r="I14" s="6" t="n">
        <x:v>128</x:v>
      </x:c>
      <x:c r="J14" s="6" t="n">
        <x:v>293</x:v>
      </x:c>
      <x:c r="K14" s="6" t="n">
        <x:v>192</x:v>
      </x:c>
      <x:c r="L14" s="6" t="n">
        <x:v>10</x:v>
      </x:c>
      <x:c r="M14" s="11" t="n">
        <x:v>0.4776190476190476</x:v>
      </x:c>
      <x:c r="N14" s="6" t="n">
        <x:v>1775000</x:v>
      </x:c>
    </x:row>
    <x:row r="15" ht="24" customHeight="1">
      <x:c r="A15" s="2" t="str">
        <x:v>2026-09-25_Night</x:v>
      </x:c>
      <x:c r="B15" s="6" t="str">
        <x:v>ナイト</x:v>
      </x:c>
      <x:c r="C15" s="6" t="n">
        <x:v>626000</x:v>
      </x:c>
      <x:c r="D15" s="6" t="n">
        <x:v>1931000</x:v>
      </x:c>
      <x:c r="E15" s="6" t="n">
        <x:f>C15-D15</x:f>
        <x:v>-1305000</x:v>
      </x:c>
      <x:c r="F15" s="6" t="n">
        <x:f>F14+E15</x:f>
        <x:v>-11201000</x:v>
      </x:c>
      <x:c r="G15" s="6" t="n">
        <x:v>486000</x:v>
      </x:c>
      <x:c r="H15" s="6" t="n">
        <x:v>1791000</x:v>
      </x:c>
      <x:c r="I15" s="6" t="n">
        <x:v>128</x:v>
      </x:c>
      <x:c r="J15" s="6" t="n">
        <x:v>253</x:v>
      </x:c>
      <x:c r="K15" s="6" t="n">
        <x:v>153</x:v>
      </x:c>
      <x:c r="L15" s="6" t="n">
        <x:v>10</x:v>
      </x:c>
      <x:c r="M15" s="11" t="n">
        <x:v>0.4443162393162393</x:v>
      </x:c>
      <x:c r="N15" s="6" t="n">
        <x:v>1343000</x:v>
      </x:c>
    </x:row>
    <x:row r="16" ht="24" customHeight="1">
      <x:c r="A16" s="2" t="str">
        <x:v>2026-09-28_Day</x:v>
      </x:c>
      <x:c r="B16" s="6" t="str">
        <x:v>デイ</x:v>
      </x:c>
      <x:c r="C16" s="6" t="n">
        <x:v>470000</x:v>
      </x:c>
      <x:c r="D16" s="6" t="n">
        <x:v>2492000</x:v>
      </x:c>
      <x:c r="E16" s="6" t="n">
        <x:f>C16-D16</x:f>
        <x:v>-2022000</x:v>
      </x:c>
      <x:c r="F16" s="6" t="n">
        <x:f>F15+E16</x:f>
        <x:v>-13223000</x:v>
      </x:c>
      <x:c r="G16" s="6" t="n">
        <x:v>379000</x:v>
      </x:c>
      <x:c r="H16" s="6" t="n">
        <x:v>2401000</x:v>
      </x:c>
      <x:c r="I16" s="6" t="n">
        <x:v>144</x:v>
      </x:c>
      <x:c r="J16" s="6" t="n">
        <x:v>304</x:v>
      </x:c>
      <x:c r="K16" s="6" t="n">
        <x:v>198</x:v>
      </x:c>
      <x:c r="L16" s="6" t="n">
        <x:v>10</x:v>
      </x:c>
      <x:c r="M16" s="11" t="n">
        <x:v>0.4859126984126984</x:v>
      </x:c>
      <x:c r="N16" s="6" t="n">
        <x:v>2112000</x:v>
      </x:c>
    </x:row>
    <x:row r="17" ht="24" customHeight="1">
      <x:c r="A17" s="2" t="str">
        <x:v>2026-09-28_Night</x:v>
      </x:c>
      <x:c r="B17" s="6" t="str">
        <x:v>ナイト</x:v>
      </x:c>
      <x:c r="C17" s="6" t="n">
        <x:v>933000</x:v>
      </x:c>
      <x:c r="D17" s="6" t="n">
        <x:v>2594000</x:v>
      </x:c>
      <x:c r="E17" s="6" t="n">
        <x:f>C17-D17</x:f>
        <x:v>-1661000</x:v>
      </x:c>
      <x:c r="F17" s="6" t="n">
        <x:f>F16+E17</x:f>
        <x:v>-14884000</x:v>
      </x:c>
      <x:c r="G17" s="6" t="n">
        <x:v>795000</x:v>
      </x:c>
      <x:c r="H17" s="6" t="n">
        <x:v>2456000</x:v>
      </x:c>
      <x:c r="I17" s="6" t="n">
        <x:v>167</x:v>
      </x:c>
      <x:c r="J17" s="6" t="n">
        <x:v>271</x:v>
      </x:c>
      <x:c r="K17" s="6" t="n">
        <x:v>178</x:v>
      </x:c>
      <x:c r="L17" s="6" t="n">
        <x:v>10</x:v>
      </x:c>
      <x:c r="M17" s="11" t="n">
        <x:v>0.5104273504273504</x:v>
      </x:c>
      <x:c r="N17" s="6" t="n">
        <x:v>1692000</x:v>
      </x:c>
    </x:row>
    <x:row r="18" ht="24" customHeight="1">
      <x:c r="A18" s="2" t="str">
        <x:v>2026-09-29_Day</x:v>
      </x:c>
      <x:c r="B18" s="6" t="str">
        <x:v>デイ</x:v>
      </x:c>
      <x:c r="C18" s="6" t="n">
        <x:v>576000</x:v>
      </x:c>
      <x:c r="D18" s="6" t="n">
        <x:v>2448000</x:v>
      </x:c>
      <x:c r="E18" s="6" t="n">
        <x:f>C18-D18</x:f>
        <x:v>-1872000</x:v>
      </x:c>
      <x:c r="F18" s="6" t="n">
        <x:f>F17+E18</x:f>
        <x:v>-16756000</x:v>
      </x:c>
      <x:c r="G18" s="6" t="n">
        <x:v>453000</x:v>
      </x:c>
      <x:c r="H18" s="6" t="n">
        <x:v>2325000</x:v>
      </x:c>
      <x:c r="I18" s="6" t="n">
        <x:v>130</x:v>
      </x:c>
      <x:c r="J18" s="6" t="n">
        <x:v>284</x:v>
      </x:c>
      <x:c r="K18" s="6" t="n">
        <x:v>159</x:v>
      </x:c>
      <x:c r="L18" s="6" t="n">
        <x:v>10</x:v>
      </x:c>
      <x:c r="M18" s="11" t="n">
        <x:v>0.4003968253968254</x:v>
      </x:c>
      <x:c r="N18" s="6" t="n">
        <x:v>1950000</x:v>
      </x:c>
    </x:row>
    <x:row r="19" ht="24" customHeight="1">
      <x:c r="A19" s="2" t="str">
        <x:v>2026-09-29_Night</x:v>
      </x:c>
      <x:c r="B19" s="6" t="str">
        <x:v>ナイト</x:v>
      </x:c>
      <x:c r="C19" s="6" t="n">
        <x:v>522000</x:v>
      </x:c>
      <x:c r="D19" s="6" t="n">
        <x:v>2647000</x:v>
      </x:c>
      <x:c r="E19" s="6" t="n">
        <x:f>C19-D19</x:f>
        <x:v>-2125000</x:v>
      </x:c>
      <x:c r="F19" s="6" t="n">
        <x:f>F18+E19</x:f>
        <x:v>-18881000</x:v>
      </x:c>
      <x:c r="G19" s="6" t="n">
        <x:v>381000</x:v>
      </x:c>
      <x:c r="H19" s="6" t="n">
        <x:v>2506000</x:v>
      </x:c>
      <x:c r="I19" s="6" t="n">
        <x:v>170</x:v>
      </x:c>
      <x:c r="J19" s="6" t="n">
        <x:v>295</x:v>
      </x:c>
      <x:c r="K19" s="6" t="n">
        <x:v>228</x:v>
      </x:c>
      <x:c r="L19" s="6" t="n">
        <x:v>10</x:v>
      </x:c>
      <x:c r="M19" s="11" t="n">
        <x:v>0.5513034188034188</x:v>
      </x:c>
      <x:c r="N19" s="6" t="n">
        <x:v>2131000</x:v>
      </x:c>
    </x:row>
    <x:row r="20" ht="24" customHeight="1">
      <x:c r="A20" s="2" t="str">
        <x:v>2026-09-30_Day</x:v>
      </x:c>
      <x:c r="B20" s="6" t="str">
        <x:v>デイ</x:v>
      </x:c>
      <x:c r="C20" s="6" t="n">
        <x:v>772000</x:v>
      </x:c>
      <x:c r="D20" s="6" t="n">
        <x:v>2041000</x:v>
      </x:c>
      <x:c r="E20" s="6" t="n">
        <x:f>C20-D20</x:f>
        <x:v>-1269000</x:v>
      </x:c>
      <x:c r="F20" s="6" t="n">
        <x:f>F19+E20</x:f>
        <x:v>-20150000</x:v>
      </x:c>
      <x:c r="G20" s="6" t="n">
        <x:v>653000</x:v>
      </x:c>
      <x:c r="H20" s="6" t="n">
        <x:v>1922000</x:v>
      </x:c>
      <x:c r="I20" s="6" t="n">
        <x:v>118</x:v>
      </x:c>
      <x:c r="J20" s="6" t="n">
        <x:v>314</x:v>
      </x:c>
      <x:c r="K20" s="6" t="n">
        <x:v>177</x:v>
      </x:c>
      <x:c r="L20" s="6" t="n">
        <x:v>10</x:v>
      </x:c>
      <x:c r="M20" s="11" t="n">
        <x:v>0.47515873015873017</x:v>
      </x:c>
      <x:c r="N20" s="6" t="n">
        <x:v>1306000</x:v>
      </x:c>
    </x:row>
    <x:row r="21" ht="24" customHeight="1">
      <x:c r="A21" s="2" t="str">
        <x:v>2026-09-30_Night</x:v>
      </x:c>
      <x:c r="B21" s="6" t="str">
        <x:v>ナイト</x:v>
      </x:c>
      <x:c r="C21" s="6" t="n">
        <x:v>869000</x:v>
      </x:c>
      <x:c r="D21" s="6" t="n">
        <x:v>2827000</x:v>
      </x:c>
      <x:c r="E21" s="6" t="n">
        <x:f>C21-D21</x:f>
        <x:v>-1958000</x:v>
      </x:c>
      <x:c r="F21" s="6" t="n">
        <x:f>F20+E21</x:f>
        <x:v>-22108000</x:v>
      </x:c>
      <x:c r="G21" s="6" t="n">
        <x:v>641000</x:v>
      </x:c>
      <x:c r="H21" s="6" t="n">
        <x:v>2599000</x:v>
      </x:c>
      <x:c r="I21" s="6" t="n">
        <x:v>171</x:v>
      </x:c>
      <x:c r="J21" s="6" t="n">
        <x:v>350</x:v>
      </x:c>
      <x:c r="K21" s="6" t="n">
        <x:v>213</x:v>
      </x:c>
      <x:c r="L21" s="6" t="n">
        <x:v>10</x:v>
      </x:c>
      <x:c r="M21" s="11" t="n">
        <x:v>0.48047008547008546</x:v>
      </x:c>
      <x:c r="N21" s="6" t="n">
        <x:v>2016000</x:v>
      </x:c>
    </x:row>
    <x:row r="22" ht="24" customHeight="1">
      <x:c r="A22" s="2" t="str">
        <x:v>2026-10-01_Day</x:v>
      </x:c>
      <x:c r="B22" s="6" t="str">
        <x:v>デイ</x:v>
      </x:c>
      <x:c r="C22" s="6" t="n">
        <x:v>545000</x:v>
      </x:c>
      <x:c r="D22" s="6" t="n">
        <x:v>1968000</x:v>
      </x:c>
      <x:c r="E22" s="6" t="n">
        <x:f>C22-D22</x:f>
        <x:v>-1423000</x:v>
      </x:c>
      <x:c r="F22" s="6" t="n">
        <x:f>F21+E22</x:f>
        <x:v>-23531000</x:v>
      </x:c>
      <x:c r="G22" s="6" t="n">
        <x:v>423000</x:v>
      </x:c>
      <x:c r="H22" s="6" t="n">
        <x:v>1846000</x:v>
      </x:c>
      <x:c r="I22" s="6" t="n">
        <x:v>110</x:v>
      </x:c>
      <x:c r="J22" s="6" t="n">
        <x:v>300</x:v>
      </x:c>
      <x:c r="K22" s="6" t="n">
        <x:v>181</x:v>
      </x:c>
      <x:c r="L22" s="6" t="n">
        <x:v>10</x:v>
      </x:c>
      <x:c r="M22" s="11" t="n">
        <x:v>0.4851984126984127</x:v>
      </x:c>
      <x:c r="N22" s="6" t="n">
        <x:v>1457000</x:v>
      </x:c>
    </x:row>
    <x:row r="23" ht="24" customHeight="1">
      <x:c r="A23" s="2" t="str">
        <x:v>2026-10-01_Night</x:v>
      </x:c>
      <x:c r="B23" s="6" t="str">
        <x:v>ナイト</x:v>
      </x:c>
      <x:c r="C23" s="6" t="n">
        <x:v>1221000</x:v>
      </x:c>
      <x:c r="D23" s="6" t="n">
        <x:v>3867000</x:v>
      </x:c>
      <x:c r="E23" s="6" t="n">
        <x:f>C23-D23</x:f>
        <x:v>-2646000</x:v>
      </x:c>
      <x:c r="F23" s="6" t="n">
        <x:f>F22+E23</x:f>
        <x:v>-26177000</x:v>
      </x:c>
      <x:c r="G23" s="6" t="n">
        <x:v>1021000</x:v>
      </x:c>
      <x:c r="H23" s="6" t="n">
        <x:v>3667000</x:v>
      </x:c>
      <x:c r="I23" s="6" t="n">
        <x:v>195</x:v>
      </x:c>
      <x:c r="J23" s="6" t="n">
        <x:v>376</x:v>
      </x:c>
      <x:c r="K23" s="6" t="n">
        <x:v>235</x:v>
      </x:c>
      <x:c r="L23" s="6" t="n">
        <x:v>10</x:v>
      </x:c>
      <x:c r="M23" s="11" t="n">
        <x:v>0.4881623931623932</x:v>
      </x:c>
      <x:c r="N23" s="6" t="n">
        <x:v>2672000</x:v>
      </x:c>
    </x:row>
    <x:row r="24" ht="24" customHeight="1">
      <x:c r="A24" s="2" t="str">
        <x:v>2026-10-02_Day</x:v>
      </x:c>
      <x:c r="B24" s="6" t="str">
        <x:v>デイ</x:v>
      </x:c>
      <x:c r="C24" s="6" t="n">
        <x:v>645000</x:v>
      </x:c>
      <x:c r="D24" s="6" t="n">
        <x:v>2158000</x:v>
      </x:c>
      <x:c r="E24" s="6" t="n">
        <x:f>C24-D24</x:f>
        <x:v>-1513000</x:v>
      </x:c>
      <x:c r="F24" s="6" t="n">
        <x:f>F23+E24</x:f>
        <x:v>-27690000</x:v>
      </x:c>
      <x:c r="G24" s="6" t="n">
        <x:v>553000</x:v>
      </x:c>
      <x:c r="H24" s="6" t="n">
        <x:v>2066000</x:v>
      </x:c>
      <x:c r="I24" s="6" t="n">
        <x:v>111</x:v>
      </x:c>
      <x:c r="J24" s="6" t="n">
        <x:v>312</x:v>
      </x:c>
      <x:c r="K24" s="6" t="n">
        <x:v>207</x:v>
      </x:c>
      <x:c r="L24" s="6" t="n">
        <x:v>10</x:v>
      </x:c>
      <x:c r="M24" s="11" t="n">
        <x:v>0.5207936507936508</x:v>
      </x:c>
      <x:c r="N24" s="6" t="n">
        <x:v>1674000</x:v>
      </x:c>
    </x:row>
    <x:row r="25" ht="24" customHeight="1">
      <x:c r="A25" s="2" t="str">
        <x:v>2026-10-02_Night</x:v>
      </x:c>
      <x:c r="B25" s="6" t="str">
        <x:v>ナイト</x:v>
      </x:c>
      <x:c r="C25" s="6" t="n">
        <x:v>1037000</x:v>
      </x:c>
      <x:c r="D25" s="6" t="n">
        <x:v>2906000</x:v>
      </x:c>
      <x:c r="E25" s="6" t="n">
        <x:f>C25-D25</x:f>
        <x:v>-1869000</x:v>
      </x:c>
      <x:c r="F25" s="6" t="n">
        <x:f>F24+E25</x:f>
        <x:v>-29559000</x:v>
      </x:c>
      <x:c r="G25" s="6" t="n">
        <x:v>843000</x:v>
      </x:c>
      <x:c r="H25" s="6" t="n">
        <x:v>2712000</x:v>
      </x:c>
      <x:c r="I25" s="6" t="n">
        <x:v>179</x:v>
      </x:c>
      <x:c r="J25" s="6" t="n">
        <x:v>371</x:v>
      </x:c>
      <x:c r="K25" s="6" t="n">
        <x:v>264</x:v>
      </x:c>
      <x:c r="L25" s="6" t="n">
        <x:v>10</x:v>
      </x:c>
      <x:c r="M25" s="11" t="n">
        <x:v>0.5702991452991453</x:v>
      </x:c>
      <x:c r="N25" s="6" t="n">
        <x:v>1871000</x:v>
      </x:c>
    </x:row>
    <x:row r="26" ht="24" customHeight="1">
      <x:c r="A26" s="2" t="str">
        <x:v>2026-10-05_Day</x:v>
      </x:c>
      <x:c r="B26" s="6" t="str">
        <x:v>デイ</x:v>
      </x:c>
      <x:c r="C26" s="6" t="n">
        <x:v>485000</x:v>
      </x:c>
      <x:c r="D26" s="6" t="n">
        <x:v>1907000</x:v>
      </x:c>
      <x:c r="E26" s="6" t="n">
        <x:f>C26-D26</x:f>
        <x:v>-1422000</x:v>
      </x:c>
      <x:c r="F26" s="6" t="n">
        <x:f>F25+E26</x:f>
        <x:v>-30981000</x:v>
      </x:c>
      <x:c r="G26" s="6" t="n">
        <x:v>360000</x:v>
      </x:c>
      <x:c r="H26" s="6" t="n">
        <x:v>1782000</x:v>
      </x:c>
      <x:c r="I26" s="6" t="n">
        <x:v>124</x:v>
      </x:c>
      <x:c r="J26" s="6" t="n">
        <x:v>354</x:v>
      </x:c>
      <x:c r="K26" s="6" t="n">
        <x:v>205</x:v>
      </x:c>
      <x:c r="L26" s="6" t="n">
        <x:v>10</x:v>
      </x:c>
      <x:c r="M26" s="11" t="n">
        <x:v>0.5528571428571428</x:v>
      </x:c>
      <x:c r="N26" s="6" t="n">
        <x:v>1537000</x:v>
      </x:c>
    </x:row>
    <x:row r="27" ht="24" customHeight="1">
      <x:c r="A27" s="2" t="str">
        <x:v>2026-10-05_Night</x:v>
      </x:c>
      <x:c r="B27" s="6" t="str">
        <x:v>ナイト</x:v>
      </x:c>
      <x:c r="C27" s="6" t="n">
        <x:v>589000</x:v>
      </x:c>
      <x:c r="D27" s="6" t="n">
        <x:v>2380000</x:v>
      </x:c>
      <x:c r="E27" s="6" t="n">
        <x:f>C27-D27</x:f>
        <x:v>-1791000</x:v>
      </x:c>
      <x:c r="F27" s="6" t="n">
        <x:f>F26+E27</x:f>
        <x:v>-32772000</x:v>
      </x:c>
      <x:c r="G27" s="6" t="n">
        <x:v>503000</x:v>
      </x:c>
      <x:c r="H27" s="6" t="n">
        <x:v>2294000</x:v>
      </x:c>
      <x:c r="I27" s="6" t="n">
        <x:v>173</x:v>
      </x:c>
      <x:c r="J27" s="6" t="n">
        <x:v>310</x:v>
      </x:c>
      <x:c r="K27" s="6" t="n">
        <x:v>217</x:v>
      </x:c>
      <x:c r="L27" s="6" t="n">
        <x:v>10</x:v>
      </x:c>
      <x:c r="M27" s="11" t="n">
        <x:v>0.5784188034188035</x:v>
      </x:c>
      <x:c r="N27" s="6" t="n">
        <x:v>1874000</x:v>
      </x:c>
    </x:row>
    <x:row r="28" ht="24" customHeight="1">
      <x:c r="A28" s="2" t="str">
        <x:v>2026-10-06_Day</x:v>
      </x:c>
      <x:c r="B28" s="6" t="str">
        <x:v>デイ</x:v>
      </x:c>
      <x:c r="C28" s="6" t="n">
        <x:v>413000</x:v>
      </x:c>
      <x:c r="D28" s="6" t="n">
        <x:v>1853000</x:v>
      </x:c>
      <x:c r="E28" s="6" t="n">
        <x:f>C28-D28</x:f>
        <x:v>-1440000</x:v>
      </x:c>
      <x:c r="F28" s="6" t="n">
        <x:f>F27+E28</x:f>
        <x:v>-34212000</x:v>
      </x:c>
      <x:c r="G28" s="6" t="n">
        <x:v>324000</x:v>
      </x:c>
      <x:c r="H28" s="6" t="n">
        <x:v>1764000</x:v>
      </x:c>
      <x:c r="I28" s="6" t="n">
        <x:v>129</x:v>
      </x:c>
      <x:c r="J28" s="6" t="n">
        <x:v>294</x:v>
      </x:c>
      <x:c r="K28" s="6" t="n">
        <x:v>212</x:v>
      </x:c>
      <x:c r="L28" s="6" t="n">
        <x:v>10</x:v>
      </x:c>
      <x:c r="M28" s="11" t="n">
        <x:v>0.5663095238095238</x:v>
      </x:c>
      <x:c r="N28" s="6" t="n">
        <x:v>1440000</x:v>
      </x:c>
    </x:row>
    <x:row r="29" ht="24" customHeight="1">
      <x:c r="A29" s="2" t="str">
        <x:v>2026-10-06_Night</x:v>
      </x:c>
      <x:c r="B29" s="6" t="str">
        <x:v>ナイト</x:v>
      </x:c>
      <x:c r="C29" s="6" t="n">
        <x:v>503000</x:v>
      </x:c>
      <x:c r="D29" s="6" t="n">
        <x:v>1769000</x:v>
      </x:c>
      <x:c r="E29" s="6" t="n">
        <x:f>C29-D29</x:f>
        <x:v>-1266000</x:v>
      </x:c>
      <x:c r="F29" s="6" t="n">
        <x:f>F28+E29</x:f>
        <x:v>-35478000</x:v>
      </x:c>
      <x:c r="G29" s="6" t="n">
        <x:v>395000</x:v>
      </x:c>
      <x:c r="H29" s="6" t="n">
        <x:v>1661000</x:v>
      </x:c>
      <x:c r="I29" s="6" t="n">
        <x:v>144</x:v>
      </x:c>
      <x:c r="J29" s="6" t="n">
        <x:v>313</x:v>
      </x:c>
      <x:c r="K29" s="6" t="n">
        <x:v>219</x:v>
      </x:c>
      <x:c r="L29" s="6" t="n">
        <x:v>10</x:v>
      </x:c>
      <x:c r="M29" s="11" t="n">
        <x:v>0.5856410256410256</x:v>
      </x:c>
      <x:c r="N29" s="6" t="n">
        <x:v>1288000</x:v>
      </x:c>
    </x:row>
    <x:row r="30" ht="24" customHeight="1">
      <x:c r="A30" s="2" t="str">
        <x:v>2026-10-07_Day</x:v>
      </x:c>
      <x:c r="B30" s="6" t="str">
        <x:v>デイ</x:v>
      </x:c>
      <x:c r="C30" s="6" t="n">
        <x:v>445000</x:v>
      </x:c>
      <x:c r="D30" s="6" t="n">
        <x:v>1711000</x:v>
      </x:c>
      <x:c r="E30" s="6" t="n">
        <x:f>C30-D30</x:f>
        <x:v>-1266000</x:v>
      </x:c>
      <x:c r="F30" s="6" t="n">
        <x:f>F29+E30</x:f>
        <x:v>-36744000</x:v>
      </x:c>
      <x:c r="G30" s="6" t="n">
        <x:v>340000</x:v>
      </x:c>
      <x:c r="H30" s="6" t="n">
        <x:v>1606000</x:v>
      </x:c>
      <x:c r="I30" s="6" t="n">
        <x:v>116</x:v>
      </x:c>
      <x:c r="J30" s="6" t="n">
        <x:v>304</x:v>
      </x:c>
      <x:c r="K30" s="6" t="n">
        <x:v>207</x:v>
      </x:c>
      <x:c r="L30" s="6" t="n">
        <x:v>10</x:v>
      </x:c>
      <x:c r="M30" s="11" t="n">
        <x:v>0.560952380952381</x:v>
      </x:c>
      <x:c r="N30" s="6" t="n">
        <x:v>1289000</x:v>
      </x:c>
    </x:row>
    <x:row r="31" ht="24" customHeight="1">
      <x:c r="A31" s="2" t="str">
        <x:v>2026-10-07_Night</x:v>
      </x:c>
      <x:c r="B31" s="6" t="str">
        <x:v>ナイト</x:v>
      </x:c>
      <x:c r="C31" s="6" t="n">
        <x:v>445000</x:v>
      </x:c>
      <x:c r="D31" s="6" t="n">
        <x:v>2423000</x:v>
      </x:c>
      <x:c r="E31" s="6" t="n">
        <x:f>C31-D31</x:f>
        <x:v>-1978000</x:v>
      </x:c>
      <x:c r="F31" s="6" t="n">
        <x:f>F30+E31</x:f>
        <x:v>-38722000</x:v>
      </x:c>
      <x:c r="G31" s="6" t="n">
        <x:v>293000</x:v>
      </x:c>
      <x:c r="H31" s="6" t="n">
        <x:v>2271000</x:v>
      </x:c>
      <x:c r="I31" s="6" t="n">
        <x:v>179</x:v>
      </x:c>
      <x:c r="J31" s="6" t="n">
        <x:v>371</x:v>
      </x:c>
      <x:c r="K31" s="6" t="n">
        <x:v>306</x:v>
      </x:c>
      <x:c r="L31" s="6" t="n">
        <x:v>10</x:v>
      </x:c>
      <x:c r="M31" s="11" t="n">
        <x:v>0.5905128205128205</x:v>
      </x:c>
      <x:c r="N31" s="6" t="n">
        <x:v>2002000</x:v>
      </x:c>
    </x:row>
    <x:row r="32" ht="24" customHeight="1">
      <x:c r="A32" s="2" t="str">
        <x:v>2026-10-08_Day</x:v>
      </x:c>
      <x:c r="B32" s="6" t="str">
        <x:v>デイ</x:v>
      </x:c>
      <x:c r="C32" s="6" t="n">
        <x:v>592000</x:v>
      </x:c>
      <x:c r="D32" s="6" t="n">
        <x:v>1929000</x:v>
      </x:c>
      <x:c r="E32" s="6" t="n">
        <x:f>C32-D32</x:f>
        <x:v>-1337000</x:v>
      </x:c>
      <x:c r="F32" s="6" t="n">
        <x:f>F31+E32</x:f>
        <x:v>-40059000</x:v>
      </x:c>
      <x:c r="G32" s="6" t="n">
        <x:v>460000</x:v>
      </x:c>
      <x:c r="H32" s="6" t="n">
        <x:v>1797000</x:v>
      </x:c>
      <x:c r="I32" s="6" t="n">
        <x:v>110</x:v>
      </x:c>
      <x:c r="J32" s="6" t="n">
        <x:v>281</x:v>
      </x:c>
      <x:c r="K32" s="6" t="n">
        <x:v>161</x:v>
      </x:c>
      <x:c r="L32" s="6" t="n">
        <x:v>10</x:v>
      </x:c>
      <x:c r="M32" s="11" t="n">
        <x:v>0.45325396825396824</x:v>
      </x:c>
      <x:c r="N32" s="6" t="n">
        <x:v>1408000</x:v>
      </x:c>
    </x:row>
    <x:row r="33" ht="24" customHeight="1">
      <x:c r="A33" s="2" t="str">
        <x:v>2026-10-08_Night</x:v>
      </x:c>
      <x:c r="B33" s="6" t="str">
        <x:v>ナイト</x:v>
      </x:c>
      <x:c r="C33" s="6" t="n">
        <x:v>860000</x:v>
      </x:c>
      <x:c r="D33" s="6" t="n">
        <x:v>3702000</x:v>
      </x:c>
      <x:c r="E33" s="6" t="n">
        <x:f>C33-D33</x:f>
        <x:v>-2842000</x:v>
      </x:c>
      <x:c r="F33" s="6" t="n">
        <x:f>F32+E33</x:f>
        <x:v>-42901000</x:v>
      </x:c>
      <x:c r="G33" s="6" t="n">
        <x:v>675000</x:v>
      </x:c>
      <x:c r="H33" s="6" t="n">
        <x:v>3517000</x:v>
      </x:c>
      <x:c r="I33" s="6" t="n">
        <x:v>199</x:v>
      </x:c>
      <x:c r="J33" s="6" t="n">
        <x:v>358</x:v>
      </x:c>
      <x:c r="K33" s="6" t="n">
        <x:v>240</x:v>
      </x:c>
      <x:c r="L33" s="6" t="n">
        <x:v>10</x:v>
      </x:c>
      <x:c r="M33" s="11" t="n">
        <x:v>0.47102564102564104</x:v>
      </x:c>
      <x:c r="N33" s="6" t="n">
        <x:v>2842000</x:v>
      </x:c>
    </x:row>
    <x:row r="34" ht="24" customHeight="1">
      <x:c r="A34" s="2" t="str">
        <x:v>2026-10-09_Day</x:v>
      </x:c>
      <x:c r="B34" s="6" t="str">
        <x:v>デイ</x:v>
      </x:c>
      <x:c r="C34" s="6" t="n">
        <x:v>647000</x:v>
      </x:c>
      <x:c r="D34" s="6" t="n">
        <x:v>2039000</x:v>
      </x:c>
      <x:c r="E34" s="6" t="n">
        <x:f>C34-D34</x:f>
        <x:v>-1392000</x:v>
      </x:c>
      <x:c r="F34" s="6" t="n">
        <x:f>F33+E34</x:f>
        <x:v>-44293000</x:v>
      </x:c>
      <x:c r="G34" s="6" t="n">
        <x:v>553000</x:v>
      </x:c>
      <x:c r="H34" s="6" t="n">
        <x:v>1945000</x:v>
      </x:c>
      <x:c r="I34" s="6" t="n">
        <x:v>117</x:v>
      </x:c>
      <x:c r="J34" s="6" t="n">
        <x:v>286</x:v>
      </x:c>
      <x:c r="K34" s="6" t="n">
        <x:v>173</x:v>
      </x:c>
      <x:c r="L34" s="6" t="n">
        <x:v>10</x:v>
      </x:c>
      <x:c r="M34" s="11" t="n">
        <x:v>0.5261507936507936</x:v>
      </x:c>
      <x:c r="N34" s="6" t="n">
        <x:v>1508000</x:v>
      </x:c>
    </x:row>
    <x:row r="35" ht="24" customHeight="1">
      <x:c r="A35" s="2" t="str">
        <x:v>2026-10-09_Night</x:v>
      </x:c>
      <x:c r="B35" s="6" t="str">
        <x:v>ナイト</x:v>
      </x:c>
      <x:c r="C35" s="6" t="n">
        <x:v>419000</x:v>
      </x:c>
      <x:c r="D35" s="6" t="n">
        <x:v>2505000</x:v>
      </x:c>
      <x:c r="E35" s="6" t="n">
        <x:f>C35-D35</x:f>
        <x:v>-2086000</x:v>
      </x:c>
      <x:c r="F35" s="6" t="n">
        <x:f>F34+E35</x:f>
        <x:v>-46379000</x:v>
      </x:c>
      <x:c r="G35" s="6" t="n">
        <x:v>311000</x:v>
      </x:c>
      <x:c r="H35" s="6" t="n">
        <x:v>2397000</x:v>
      </x:c>
      <x:c r="I35" s="6" t="n">
        <x:v>155</x:v>
      </x:c>
      <x:c r="J35" s="6" t="n">
        <x:v>258</x:v>
      </x:c>
      <x:c r="K35" s="6" t="n">
        <x:v>216</x:v>
      </x:c>
      <x:c r="L35" s="6" t="n">
        <x:v>10</x:v>
      </x:c>
      <x:c r="M35" s="11" t="n">
        <x:v>0.6648076923076923</x:v>
      </x:c>
      <x:c r="N35" s="6" t="n">
        <x:v>2118000</x:v>
      </x:c>
    </x:row>
    <x:row r="36" ht="24" customHeight="1">
      <x:c r="A36" s="2" t="str">
        <x:v>2026-10-12_Day</x:v>
      </x:c>
      <x:c r="B36" s="6" t="str">
        <x:v>デイ</x:v>
      </x:c>
      <x:c r="C36" s="6" t="n">
        <x:v>196000</x:v>
      </x:c>
      <x:c r="D36" s="6" t="n">
        <x:v>1232000</x:v>
      </x:c>
      <x:c r="E36" s="6" t="n">
        <x:f>C36-D36</x:f>
        <x:v>-1036000</x:v>
      </x:c>
      <x:c r="F36" s="6" t="n">
        <x:f>F35+E36</x:f>
        <x:v>-47415000</x:v>
      </x:c>
      <x:c r="G36" s="6" t="n">
        <x:v>91000</x:v>
      </x:c>
      <x:c r="H36" s="6" t="n">
        <x:v>1127000</x:v>
      </x:c>
      <x:c r="I36" s="6" t="n">
        <x:v>77</x:v>
      </x:c>
      <x:c r="J36" s="6" t="n">
        <x:v>143</x:v>
      </x:c>
      <x:c r="K36" s="6" t="n">
        <x:v>102</x:v>
      </x:c>
      <x:c r="L36" s="6" t="n">
        <x:v>10</x:v>
      </x:c>
      <x:c r="M36" s="11" t="n">
        <x:v>0.5605952380952381</x:v>
      </x:c>
      <x:c r="N36" s="6" t="n">
        <x:v>1038000</x:v>
      </x:c>
    </x:row>
    <x:row r="37" ht="24" customHeight="1">
      <x:c r="A37" s="2" t="str">
        <x:v>2026-10-12_Night</x:v>
      </x:c>
      <x:c r="B37" s="6" t="str">
        <x:v>ナイト</x:v>
      </x:c>
      <x:c r="C37" s="6" t="n">
        <x:v>466000</x:v>
      </x:c>
      <x:c r="D37" s="6" t="n">
        <x:v>1374000</x:v>
      </x:c>
      <x:c r="E37" s="6" t="n">
        <x:f>C37-D37</x:f>
        <x:v>-908000</x:v>
      </x:c>
      <x:c r="F37" s="6" t="n">
        <x:f>F36+E37</x:f>
        <x:v>-48323000</x:v>
      </x:c>
      <x:c r="G37" s="6" t="n">
        <x:v>343000</x:v>
      </x:c>
      <x:c r="H37" s="6" t="n">
        <x:v>1251000</x:v>
      </x:c>
      <x:c r="I37" s="6" t="n">
        <x:v>119</x:v>
      </x:c>
      <x:c r="J37" s="6" t="n">
        <x:v>166</x:v>
      </x:c>
      <x:c r="K37" s="6" t="n">
        <x:v>143</x:v>
      </x:c>
      <x:c r="L37" s="6" t="n">
        <x:v>10</x:v>
      </x:c>
      <x:c r="M37" s="11" t="n">
        <x:v>0.6214102564102564</x:v>
      </x:c>
      <x:c r="N37" s="6" t="n">
        <x:v>939000</x:v>
      </x:c>
    </x:row>
    <x:row r="38" ht="24" customHeight="1">
      <x:c r="A38" s="2" t="str">
        <x:v>2026-10-13_Day</x:v>
      </x:c>
      <x:c r="B38" s="6" t="str">
        <x:v>デイ</x:v>
      </x:c>
      <x:c r="C38" s="6" t="n">
        <x:v>865000</x:v>
      </x:c>
      <x:c r="D38" s="6" t="n">
        <x:v>2604000</x:v>
      </x:c>
      <x:c r="E38" s="6" t="n">
        <x:f>C38-D38</x:f>
        <x:v>-1739000</x:v>
      </x:c>
      <x:c r="F38" s="6" t="n">
        <x:f>F37+E38</x:f>
        <x:v>-50062000</x:v>
      </x:c>
      <x:c r="G38" s="6" t="n">
        <x:v>719000</x:v>
      </x:c>
      <x:c r="H38" s="6" t="n">
        <x:v>2458000</x:v>
      </x:c>
      <x:c r="I38" s="6" t="n">
        <x:v>143</x:v>
      </x:c>
      <x:c r="J38" s="6" t="n">
        <x:v>341</x:v>
      </x:c>
      <x:c r="K38" s="6" t="n">
        <x:v>226</x:v>
      </x:c>
      <x:c r="L38" s="6" t="n">
        <x:v>10</x:v>
      </x:c>
      <x:c r="M38" s="11" t="n">
        <x:v>0.556984126984127</x:v>
      </x:c>
      <x:c r="N38" s="6" t="n">
        <x:v>1809000</x:v>
      </x:c>
    </x:row>
    <x:row r="39" ht="24" customHeight="1">
      <x:c r="A39" s="2" t="str">
        <x:v>2026-10-13_Night</x:v>
      </x:c>
      <x:c r="B39" s="6" t="str">
        <x:v>ナイト</x:v>
      </x:c>
      <x:c r="C39" s="6" t="n">
        <x:v>366000</x:v>
      </x:c>
      <x:c r="D39" s="6" t="n">
        <x:v>2083000</x:v>
      </x:c>
      <x:c r="E39" s="6" t="n">
        <x:f>C39-D39</x:f>
        <x:v>-1717000</x:v>
      </x:c>
      <x:c r="F39" s="6" t="n">
        <x:f>F38+E39</x:f>
        <x:v>-51779000</x:v>
      </x:c>
      <x:c r="G39" s="6" t="n">
        <x:v>222000</x:v>
      </x:c>
      <x:c r="H39" s="6" t="n">
        <x:v>1939000</x:v>
      </x:c>
      <x:c r="I39" s="6" t="n">
        <x:v>156</x:v>
      </x:c>
      <x:c r="J39" s="6" t="n">
        <x:v>292</x:v>
      </x:c>
      <x:c r="K39" s="6" t="n">
        <x:v>216</x:v>
      </x:c>
      <x:c r="L39" s="6" t="n">
        <x:v>10</x:v>
      </x:c>
      <x:c r="M39" s="11" t="n">
        <x:v>0.5865811965811966</x:v>
      </x:c>
      <x:c r="N39" s="6" t="n">
        <x:v>1721000</x:v>
      </x:c>
    </x:row>
    <x:row r="40" ht="24" customHeight="1">
      <x:c r="A40" s="2" t="str">
        <x:v>2026-10-14_Day</x:v>
      </x:c>
      <x:c r="B40" s="6" t="str">
        <x:v>デイ</x:v>
      </x:c>
      <x:c r="C40" s="6" t="n">
        <x:v>689000</x:v>
      </x:c>
      <x:c r="D40" s="6" t="n">
        <x:v>2260000</x:v>
      </x:c>
      <x:c r="E40" s="6" t="n">
        <x:f>C40-D40</x:f>
        <x:v>-1571000</x:v>
      </x:c>
      <x:c r="F40" s="6" t="n">
        <x:f>F39+E40</x:f>
        <x:v>-53350000</x:v>
      </x:c>
      <x:c r="G40" s="6" t="n">
        <x:v>558000</x:v>
      </x:c>
      <x:c r="H40" s="6" t="n">
        <x:v>2129000</x:v>
      </x:c>
      <x:c r="I40" s="6" t="n">
        <x:v>136</x:v>
      </x:c>
      <x:c r="J40" s="6" t="n">
        <x:v>292</x:v>
      </x:c>
      <x:c r="K40" s="6" t="n">
        <x:v>177</x:v>
      </x:c>
      <x:c r="L40" s="6" t="n">
        <x:v>10</x:v>
      </x:c>
      <x:c r="M40" s="11" t="n">
        <x:v>0.5003174603174603</x:v>
      </x:c>
      <x:c r="N40" s="6" t="n">
        <x:v>1613000</x:v>
      </x:c>
    </x:row>
    <x:row r="41" ht="24" customHeight="1">
      <x:c r="A41" s="2" t="str">
        <x:v>2026-10-14_Night</x:v>
      </x:c>
      <x:c r="B41" s="6" t="str">
        <x:v>ナイト</x:v>
      </x:c>
      <x:c r="C41" s="6" t="n">
        <x:v>899000</x:v>
      </x:c>
      <x:c r="D41" s="6" t="n">
        <x:v>2820000</x:v>
      </x:c>
      <x:c r="E41" s="6" t="n">
        <x:f>C41-D41</x:f>
        <x:v>-1921000</x:v>
      </x:c>
      <x:c r="F41" s="6" t="n">
        <x:f>F40+E41</x:f>
        <x:v>-55271000</x:v>
      </x:c>
      <x:c r="G41" s="6" t="n">
        <x:v>733000</x:v>
      </x:c>
      <x:c r="H41" s="6" t="n">
        <x:v>2654000</x:v>
      </x:c>
      <x:c r="I41" s="6" t="n">
        <x:v>181</x:v>
      </x:c>
      <x:c r="J41" s="6" t="n">
        <x:v>403</x:v>
      </x:c>
      <x:c r="K41" s="6" t="n">
        <x:v>249</x:v>
      </x:c>
      <x:c r="L41" s="6" t="n">
        <x:v>10</x:v>
      </x:c>
      <x:c r="M41" s="11" t="n">
        <x:v>0.534508547008547</x:v>
      </x:c>
      <x:c r="N41" s="6" t="n">
        <x:v>1941000</x:v>
      </x:c>
    </x:row>
    <x:row r="42" ht="24" customHeight="1">
      <x:c r="A42" s="2" t="str">
        <x:v>2026-10-15_Day</x:v>
      </x:c>
      <x:c r="B42" s="6" t="str">
        <x:v>デイ</x:v>
      </x:c>
      <x:c r="C42" s="6" t="n">
        <x:v>1070000</x:v>
      </x:c>
      <x:c r="D42" s="6" t="n">
        <x:v>2176000</x:v>
      </x:c>
      <x:c r="E42" s="6" t="n">
        <x:f>C42-D42</x:f>
        <x:v>-1106000</x:v>
      </x:c>
      <x:c r="F42" s="6" t="n">
        <x:f>F41+E42</x:f>
        <x:v>-56377000</x:v>
      </x:c>
      <x:c r="G42" s="6" t="n">
        <x:v>887000</x:v>
      </x:c>
      <x:c r="H42" s="6" t="n">
        <x:v>1993000</x:v>
      </x:c>
      <x:c r="I42" s="6" t="n">
        <x:v>129</x:v>
      </x:c>
      <x:c r="J42" s="6" t="n">
        <x:v>289</x:v>
      </x:c>
      <x:c r="K42" s="6" t="n">
        <x:v>148</x:v>
      </x:c>
      <x:c r="L42" s="6" t="n">
        <x:v>10</x:v>
      </x:c>
      <x:c r="M42" s="11" t="n">
        <x:v>0.3459126984126984</x:v>
      </x:c>
      <x:c r="N42" s="6" t="n">
        <x:v>1409000</x:v>
      </x:c>
    </x:row>
    <x:row r="43" ht="24" customHeight="1">
      <x:c r="A43" s="2" t="str">
        <x:v>2026-10-15_Night</x:v>
      </x:c>
      <x:c r="B43" s="6" t="str">
        <x:v>ナイト</x:v>
      </x:c>
      <x:c r="C43" s="6" t="n">
        <x:v>978000</x:v>
      </x:c>
      <x:c r="D43" s="6" t="n">
        <x:v>3579000</x:v>
      </x:c>
      <x:c r="E43" s="6" t="n">
        <x:f>C43-D43</x:f>
        <x:v>-2601000</x:v>
      </x:c>
      <x:c r="F43" s="6" t="n">
        <x:f>F42+E43</x:f>
        <x:v>-58978000</x:v>
      </x:c>
      <x:c r="G43" s="6" t="n">
        <x:v>788000</x:v>
      </x:c>
      <x:c r="H43" s="6" t="n">
        <x:v>3389000</x:v>
      </x:c>
      <x:c r="I43" s="6" t="n">
        <x:v>194</x:v>
      </x:c>
      <x:c r="J43" s="6" t="n">
        <x:v>378</x:v>
      </x:c>
      <x:c r="K43" s="6" t="n">
        <x:v>236</x:v>
      </x:c>
      <x:c r="L43" s="6" t="n">
        <x:v>10</x:v>
      </x:c>
      <x:c r="M43" s="11" t="n">
        <x:v>0.4604059829059829</x:v>
      </x:c>
      <x:c r="N43" s="6" t="n">
        <x:v>2642000</x:v>
      </x:c>
    </x:row>
    <x:row r="44" ht="24" customHeight="1">
      <x:c r="A44" s="2" t="str">
        <x:v>2026-10-16_Day</x:v>
      </x:c>
      <x:c r="B44" s="6" t="str">
        <x:v>デイ</x:v>
      </x:c>
      <x:c r="C44" s="6" t="n">
        <x:v>498000</x:v>
      </x:c>
      <x:c r="D44" s="6" t="n">
        <x:v>2117000</x:v>
      </x:c>
      <x:c r="E44" s="6" t="n">
        <x:f>C44-D44</x:f>
        <x:v>-1619000</x:v>
      </x:c>
      <x:c r="F44" s="6" t="n">
        <x:f>F43+E44</x:f>
        <x:v>-60597000</x:v>
      </x:c>
      <x:c r="G44" s="6" t="n">
        <x:v>373000</x:v>
      </x:c>
      <x:c r="H44" s="6" t="n">
        <x:v>1992000</x:v>
      </x:c>
      <x:c r="I44" s="6" t="n">
        <x:v>115</x:v>
      </x:c>
      <x:c r="J44" s="6" t="n">
        <x:v>254</x:v>
      </x:c>
      <x:c r="K44" s="6" t="n">
        <x:v>138</x:v>
      </x:c>
      <x:c r="L44" s="6" t="n">
        <x:v>10</x:v>
      </x:c>
      <x:c r="M44" s="11" t="n">
        <x:v>0.37896825396825395</x:v>
      </x:c>
      <x:c r="N44" s="6" t="n">
        <x:v>1646000</x:v>
      </x:c>
    </x:row>
    <x:row r="45" ht="24" customHeight="1">
      <x:c r="A45" s="2" t="str">
        <x:v>2026-10-16_Night</x:v>
      </x:c>
      <x:c r="B45" s="6" t="str">
        <x:v>ナイト</x:v>
      </x:c>
      <x:c r="C45" s="6" t="n">
        <x:v>1406000</x:v>
      </x:c>
      <x:c r="D45" s="6" t="n">
        <x:v>3429000</x:v>
      </x:c>
      <x:c r="E45" s="6" t="n">
        <x:f>C45-D45</x:f>
        <x:v>-2023000</x:v>
      </x:c>
      <x:c r="F45" s="6" t="n">
        <x:f>F44+E45</x:f>
        <x:v>-62620000</x:v>
      </x:c>
      <x:c r="G45" s="6" t="n">
        <x:v>1194000</x:v>
      </x:c>
      <x:c r="H45" s="6" t="n">
        <x:v>3217000</x:v>
      </x:c>
      <x:c r="I45" s="6" t="n">
        <x:v>207</x:v>
      </x:c>
      <x:c r="J45" s="6" t="n">
        <x:v>398</x:v>
      </x:c>
      <x:c r="K45" s="6" t="n">
        <x:v>241</x:v>
      </x:c>
      <x:c r="L45" s="6" t="n">
        <x:v>10</x:v>
      </x:c>
      <x:c r="M45" s="11" t="n">
        <x:v>0.4837179487179487</x:v>
      </x:c>
      <x:c r="N45" s="6" t="n">
        <x:v>2024000</x:v>
      </x:c>
    </x:row>
    <x:row r="46" ht="24" customHeight="1">
      <x:c r="A46" s="2" t="str">
        <x:v>2026-10-19_Day</x:v>
      </x:c>
      <x:c r="B46" s="6" t="str">
        <x:v>デイ</x:v>
      </x:c>
      <x:c r="C46" s="6" t="n">
        <x:v>809000</x:v>
      </x:c>
      <x:c r="D46" s="6" t="n">
        <x:v>1981000</x:v>
      </x:c>
      <x:c r="E46" s="6" t="n">
        <x:f>C46-D46</x:f>
        <x:v>-1172000</x:v>
      </x:c>
      <x:c r="F46" s="6" t="n">
        <x:f>F45+E46</x:f>
        <x:v>-63792000</x:v>
      </x:c>
      <x:c r="G46" s="6" t="n">
        <x:v>701000</x:v>
      </x:c>
      <x:c r="H46" s="6" t="n">
        <x:v>1873000</x:v>
      </x:c>
      <x:c r="I46" s="6" t="n">
        <x:v>127</x:v>
      </x:c>
      <x:c r="J46" s="6" t="n">
        <x:v>275</x:v>
      </x:c>
      <x:c r="K46" s="6" t="n">
        <x:v>172</x:v>
      </x:c>
      <x:c r="L46" s="6" t="n">
        <x:v>10</x:v>
      </x:c>
      <x:c r="M46" s="11" t="n">
        <x:v>0.4282936507936508</x:v>
      </x:c>
      <x:c r="N46" s="6" t="n">
        <x:v>1446000</x:v>
      </x:c>
    </x:row>
    <x:row r="47" ht="24" customHeight="1">
      <x:c r="A47" s="2" t="str">
        <x:v>2026-10-19_Night</x:v>
      </x:c>
      <x:c r="B47" s="6" t="str">
        <x:v>ナイト</x:v>
      </x:c>
      <x:c r="C47" s="6" t="n">
        <x:v>697000</x:v>
      </x:c>
      <x:c r="D47" s="6" t="n">
        <x:v>2716000</x:v>
      </x:c>
      <x:c r="E47" s="6" t="n">
        <x:f>C47-D47</x:f>
        <x:v>-2019000</x:v>
      </x:c>
      <x:c r="F47" s="6" t="n">
        <x:f>F46+E47</x:f>
        <x:v>-65811000</x:v>
      </x:c>
      <x:c r="G47" s="6" t="n">
        <x:v>545000</x:v>
      </x:c>
      <x:c r="H47" s="6" t="n">
        <x:v>2564000</x:v>
      </x:c>
      <x:c r="I47" s="6" t="n">
        <x:v>175</x:v>
      </x:c>
      <x:c r="J47" s="6" t="n">
        <x:v>357</x:v>
      </x:c>
      <x:c r="K47" s="6" t="n">
        <x:v>258</x:v>
      </x:c>
      <x:c r="L47" s="6" t="n">
        <x:v>10</x:v>
      </x:c>
      <x:c r="M47" s="11" t="n">
        <x:v>0.4999145299145299</x:v>
      </x:c>
      <x:c r="N47" s="6" t="n">
        <x:v>2052000</x:v>
      </x:c>
    </x:row>
    <x:row r="48" ht="24" customHeight="1">
      <x:c r="A48" s="2" t="str">
        <x:v>2026-10-20_Day</x:v>
      </x:c>
      <x:c r="B48" s="6" t="str">
        <x:v>デイ</x:v>
      </x:c>
      <x:c r="C48" s="6" t="n">
        <x:v>792000</x:v>
      </x:c>
      <x:c r="D48" s="6" t="n">
        <x:v>1860000</x:v>
      </x:c>
      <x:c r="E48" s="6" t="n">
        <x:f>C48-D48</x:f>
        <x:v>-1068000</x:v>
      </x:c>
      <x:c r="F48" s="6" t="n">
        <x:f>F47+E48</x:f>
        <x:v>-66879000</x:v>
      </x:c>
      <x:c r="G48" s="6" t="n">
        <x:v>642000</x:v>
      </x:c>
      <x:c r="H48" s="6" t="n">
        <x:v>1710000</x:v>
      </x:c>
      <x:c r="I48" s="6" t="n">
        <x:v>115</x:v>
      </x:c>
      <x:c r="J48" s="6" t="n">
        <x:v>250</x:v>
      </x:c>
      <x:c r="K48" s="6" t="n">
        <x:v>122</x:v>
      </x:c>
      <x:c r="L48" s="6" t="n">
        <x:v>10</x:v>
      </x:c>
      <x:c r="M48" s="11" t="n">
        <x:v>0.33555555555555555</x:v>
      </x:c>
      <x:c r="N48" s="6" t="n">
        <x:v>1123000</x:v>
      </x:c>
    </x:row>
    <x:row r="49" ht="24" customHeight="1">
      <x:c r="A49" s="2" t="str">
        <x:v>2026-10-20_Night</x:v>
      </x:c>
      <x:c r="B49" s="6" t="str">
        <x:v>ナイト</x:v>
      </x:c>
      <x:c r="C49" s="6" t="n">
        <x:v>913000</x:v>
      </x:c>
      <x:c r="D49" s="6" t="n">
        <x:v>2740000</x:v>
      </x:c>
      <x:c r="E49" s="6" t="n">
        <x:f>C49-D49</x:f>
        <x:v>-1827000</x:v>
      </x:c>
      <x:c r="F49" s="6" t="n">
        <x:f>F48+E49</x:f>
        <x:v>-68706000</x:v>
      </x:c>
      <x:c r="G49" s="6" t="n">
        <x:v>692000</x:v>
      </x:c>
      <x:c r="H49" s="6" t="n">
        <x:v>2519000</x:v>
      </x:c>
      <x:c r="I49" s="6" t="n">
        <x:v>170</x:v>
      </x:c>
      <x:c r="J49" s="6" t="n">
        <x:v>336</x:v>
      </x:c>
      <x:c r="K49" s="6" t="n">
        <x:v>186</x:v>
      </x:c>
      <x:c r="L49" s="6" t="n">
        <x:v>10</x:v>
      </x:c>
      <x:c r="M49" s="11" t="n">
        <x:v>0.45465811965811964</x:v>
      </x:c>
      <x:c r="N49" s="6" t="n">
        <x:v>1930000</x:v>
      </x:c>
    </x:row>
    <x:row r="50" ht="24" customHeight="1">
      <x:c r="A50" s="2" t="str">
        <x:v>2026-10-21_Day</x:v>
      </x:c>
      <x:c r="B50" s="6" t="str">
        <x:v>デイ</x:v>
      </x:c>
      <x:c r="C50" s="6" t="n">
        <x:v>357000</x:v>
      </x:c>
      <x:c r="D50" s="6" t="n">
        <x:v>2464000</x:v>
      </x:c>
      <x:c r="E50" s="6" t="n">
        <x:f>C50-D50</x:f>
        <x:v>-2107000</x:v>
      </x:c>
      <x:c r="F50" s="6" t="n">
        <x:f>F49+E50</x:f>
        <x:v>-70813000</x:v>
      </x:c>
      <x:c r="G50" s="6" t="n">
        <x:v>253000</x:v>
      </x:c>
      <x:c r="H50" s="6" t="n">
        <x:v>2360000</x:v>
      </x:c>
      <x:c r="I50" s="6" t="n">
        <x:v>134</x:v>
      </x:c>
      <x:c r="J50" s="6" t="n">
        <x:v>327</x:v>
      </x:c>
      <x:c r="K50" s="6" t="n">
        <x:v>185</x:v>
      </x:c>
      <x:c r="L50" s="6" t="n">
        <x:v>10</x:v>
      </x:c>
      <x:c r="M50" s="11" t="n">
        <x:v>0.43956349206349205</x:v>
      </x:c>
      <x:c r="N50" s="6" t="n">
        <x:v>2113000</x:v>
      </x:c>
    </x:row>
    <x:row r="51" ht="24" customHeight="1">
      <x:c r="A51" s="2" t="str">
        <x:v>2026-10-21_Night</x:v>
      </x:c>
      <x:c r="B51" s="6" t="str">
        <x:v>ナイト</x:v>
      </x:c>
      <x:c r="C51" s="6" t="n">
        <x:v>736000</x:v>
      </x:c>
      <x:c r="D51" s="6" t="n">
        <x:v>2212000</x:v>
      </x:c>
      <x:c r="E51" s="6" t="n">
        <x:f>C51-D51</x:f>
        <x:v>-1476000</x:v>
      </x:c>
      <x:c r="F51" s="6" t="n">
        <x:f>F50+E51</x:f>
        <x:v>-72289000</x:v>
      </x:c>
      <x:c r="G51" s="6" t="n">
        <x:v>587000</x:v>
      </x:c>
      <x:c r="H51" s="6" t="n">
        <x:v>2063000</x:v>
      </x:c>
      <x:c r="I51" s="6" t="n">
        <x:v>153</x:v>
      </x:c>
      <x:c r="J51" s="6" t="n">
        <x:v>298</x:v>
      </x:c>
      <x:c r="K51" s="6" t="n">
        <x:v>186</x:v>
      </x:c>
      <x:c r="L51" s="6" t="n">
        <x:v>10</x:v>
      </x:c>
      <x:c r="M51" s="11" t="n">
        <x:v>0.44166666666666665</x:v>
      </x:c>
      <x:c r="N51" s="6" t="n">
        <x:v>1535000</x:v>
      </x:c>
    </x:row>
    <x:row r="52" ht="24" customHeight="1">
      <x:c r="A52" s="2" t="str">
        <x:v>2026-10-22_Day</x:v>
      </x:c>
      <x:c r="B52" s="6" t="str">
        <x:v>デイ</x:v>
      </x:c>
      <x:c r="C52" s="6" t="n">
        <x:v>734000</x:v>
      </x:c>
      <x:c r="D52" s="6" t="n">
        <x:v>2074000</x:v>
      </x:c>
      <x:c r="E52" s="6" t="n">
        <x:f>C52-D52</x:f>
        <x:v>-1340000</x:v>
      </x:c>
      <x:c r="F52" s="6" t="n">
        <x:f>F51+E52</x:f>
        <x:v>-73629000</x:v>
      </x:c>
      <x:c r="G52" s="6" t="n">
        <x:v>628000</x:v>
      </x:c>
      <x:c r="H52" s="6" t="n">
        <x:v>1968000</x:v>
      </x:c>
      <x:c r="I52" s="6" t="n">
        <x:v>126</x:v>
      </x:c>
      <x:c r="J52" s="6" t="n">
        <x:v>270</x:v>
      </x:c>
      <x:c r="K52" s="6" t="n">
        <x:v>147</x:v>
      </x:c>
      <x:c r="L52" s="6" t="n">
        <x:v>10</x:v>
      </x:c>
      <x:c r="M52" s="11" t="n">
        <x:v>0.3690079365079365</x:v>
      </x:c>
      <x:c r="N52" s="6" t="n">
        <x:v>1504000</x:v>
      </x:c>
    </x:row>
    <x:row r="53" ht="24" customHeight="1">
      <x:c r="A53" s="2" t="str">
        <x:v>2026-10-22_Night</x:v>
      </x:c>
      <x:c r="B53" s="6" t="str">
        <x:v>ナイト</x:v>
      </x:c>
      <x:c r="C53" s="6" t="n">
        <x:v>1037000</x:v>
      </x:c>
      <x:c r="D53" s="6" t="n">
        <x:v>2869000</x:v>
      </x:c>
      <x:c r="E53" s="6" t="n">
        <x:f>C53-D53</x:f>
        <x:v>-1832000</x:v>
      </x:c>
      <x:c r="F53" s="6" t="n">
        <x:f>F52+E53</x:f>
        <x:v>-75461000</x:v>
      </x:c>
      <x:c r="G53" s="6" t="n">
        <x:v>865000</x:v>
      </x:c>
      <x:c r="H53" s="6" t="n">
        <x:v>2697000</x:v>
      </x:c>
      <x:c r="I53" s="6" t="n">
        <x:v>190</x:v>
      </x:c>
      <x:c r="J53" s="6" t="n">
        <x:v>339</x:v>
      </x:c>
      <x:c r="K53" s="6" t="n">
        <x:v>238</x:v>
      </x:c>
      <x:c r="L53" s="6" t="n">
        <x:v>10</x:v>
      </x:c>
      <x:c r="M53" s="11" t="n">
        <x:v>0.42604700854700855</x:v>
      </x:c>
      <x:c r="N53" s="6" t="n">
        <x:v>1929000</x:v>
      </x:c>
    </x:row>
    <x:row r="54" ht="24" customHeight="1">
      <x:c r="A54" s="2" t="str">
        <x:v>2026-10-23_Day</x:v>
      </x:c>
      <x:c r="B54" s="6" t="str">
        <x:v>デイ</x:v>
      </x:c>
      <x:c r="C54" s="6" t="n">
        <x:v>935000</x:v>
      </x:c>
      <x:c r="D54" s="6" t="n">
        <x:v>2476000</x:v>
      </x:c>
      <x:c r="E54" s="6" t="n">
        <x:f>C54-D54</x:f>
        <x:v>-1541000</x:v>
      </x:c>
      <x:c r="F54" s="6" t="n">
        <x:f>F53+E54</x:f>
        <x:v>-77002000</x:v>
      </x:c>
      <x:c r="G54" s="6" t="n">
        <x:v>777000</x:v>
      </x:c>
      <x:c r="H54" s="6" t="n">
        <x:v>2318000</x:v>
      </x:c>
      <x:c r="I54" s="6" t="n">
        <x:v>139</x:v>
      </x:c>
      <x:c r="J54" s="6" t="n">
        <x:v>241</x:v>
      </x:c>
      <x:c r="K54" s="6" t="n">
        <x:v>133</x:v>
      </x:c>
      <x:c r="L54" s="6" t="n">
        <x:v>10</x:v>
      </x:c>
      <x:c r="M54" s="11" t="n">
        <x:v>0.3159920634920635</x:v>
      </x:c>
      <x:c r="N54" s="6" t="n">
        <x:v>1571000</x:v>
      </x:c>
    </x:row>
    <x:row r="55" ht="24" customHeight="1">
      <x:c r="A55" s="2" t="str">
        <x:v>2026-10-23_Night</x:v>
      </x:c>
      <x:c r="B55" s="6" t="str">
        <x:v>ナイト</x:v>
      </x:c>
      <x:c r="C55" s="6" t="n">
        <x:v>968000</x:v>
      </x:c>
      <x:c r="D55" s="6" t="n">
        <x:v>3177000</x:v>
      </x:c>
      <x:c r="E55" s="6" t="n">
        <x:f>C55-D55</x:f>
        <x:v>-2209000</x:v>
      </x:c>
      <x:c r="F55" s="6" t="n">
        <x:f>F54+E55</x:f>
        <x:v>-79211000</x:v>
      </x:c>
      <x:c r="G55" s="6" t="n">
        <x:v>792000</x:v>
      </x:c>
      <x:c r="H55" s="6" t="n">
        <x:v>3001000</x:v>
      </x:c>
      <x:c r="I55" s="6" t="n">
        <x:v>215</x:v>
      </x:c>
      <x:c r="J55" s="6" t="n">
        <x:v>380</x:v>
      </x:c>
      <x:c r="K55" s="6" t="n">
        <x:v>264</x:v>
      </x:c>
      <x:c r="L55" s="6" t="n">
        <x:v>10</x:v>
      </x:c>
      <x:c r="M55" s="11" t="n">
        <x:v>0.5058760683760684</x:v>
      </x:c>
      <x:c r="N55" s="6" t="n">
        <x:v>2258000</x:v>
      </x:c>
    </x:row>
    <x:row r="56" ht="24" customHeight="1">
      <x:c r="A56" s="2" t="str">
        <x:v>2026-10-26_Day</x:v>
      </x:c>
      <x:c r="B56" s="6" t="str">
        <x:v>デイ</x:v>
      </x:c>
      <x:c r="C56" s="6" t="n">
        <x:v>605000</x:v>
      </x:c>
      <x:c r="D56" s="6" t="n">
        <x:v>2086000</x:v>
      </x:c>
      <x:c r="E56" s="6" t="n">
        <x:f>C56-D56</x:f>
        <x:v>-1481000</x:v>
      </x:c>
      <x:c r="F56" s="6" t="n">
        <x:f>F55+E56</x:f>
        <x:v>-80692000</x:v>
      </x:c>
      <x:c r="G56" s="6" t="n">
        <x:v>468000</x:v>
      </x:c>
      <x:c r="H56" s="6" t="n">
        <x:v>1949000</x:v>
      </x:c>
      <x:c r="I56" s="6" t="n">
        <x:v>117</x:v>
      </x:c>
      <x:c r="J56" s="6" t="n">
        <x:v>253</x:v>
      </x:c>
      <x:c r="K56" s="6" t="n">
        <x:v>139</x:v>
      </x:c>
      <x:c r="L56" s="6" t="n">
        <x:v>10</x:v>
      </x:c>
      <x:c r="M56" s="11" t="n">
        <x:v>0.35015873015873017</x:v>
      </x:c>
      <x:c r="N56" s="6" t="n">
        <x:v>1530000</x:v>
      </x:c>
    </x:row>
    <x:row r="57" ht="24" customHeight="1">
      <x:c r="A57" s="15" t="str">
        <x:v>累計／平均／最大</x:v>
      </x:c>
      <x:c r="B57" s="16"/>
      <x:c r="C57" s="16" t="n">
        <x:f>SUM(C6:C56)</x:f>
        <x:v>33994000</x:v>
      </x:c>
      <x:c r="D57" s="16" t="n">
        <x:f>SUM(D6:D56)</x:f>
        <x:v>114686000</x:v>
      </x:c>
      <x:c r="E57" s="16" t="n">
        <x:f>C57-D57</x:f>
        <x:v>-80692000</x:v>
      </x:c>
      <x:c r="F57" s="16" t="n">
        <x:f>F56</x:f>
        <x:v>-80692000</x:v>
      </x:c>
      <x:c r="G57" s="16" t="n">
        <x:f>SUM(G6:G56)</x:f>
        <x:v>27145000</x:v>
      </x:c>
      <x:c r="H57" s="16" t="n">
        <x:f>SUM(H6:H56)</x:f>
        <x:v>107837000</x:v>
      </x:c>
      <x:c r="I57" s="16" t="n">
        <x:f>SUM(I6:I56)</x:f>
        <x:v>7196</x:v>
      </x:c>
      <x:c r="J57" s="16" t="n">
        <x:f>SUM(J6:J56)</x:f>
        <x:v>14709</x:v>
      </x:c>
      <x:c r="K57" s="16" t="n">
        <x:f>SUM(K6:K56)</x:f>
        <x:v>9489</x:v>
      </x:c>
      <x:c r="L57" s="16" t="n">
        <x:f>MAX(L6:L56)</x:f>
        <x:v>10</x:v>
      </x:c>
      <x:c r="M57" s="17" t="n">
        <x:f>AVERAGE(M6:M56)</x:f>
        <x:v>0.4945476908712202</x:v>
      </x:c>
      <x:c r="N57" s="16" t="n">
        <x:f>MAX(N6:N56)</x:f>
        <x:v>2842000</x:v>
      </x:c>
    </x:row>
  </x:sheetData>
  <x:conditionalFormatting sqref="E6:F56">
    <x:cfRule type="cellIs" dxfId="2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ba5074f3aee4bd5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1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4" customHeight="1">
      <x:c r="A1" s="3" t="str">
        <x:v>日経 R04　各セッションの利益・損失・収支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A2" s="4" t="str">
        <x:v>2026/09/21〜10/26デイ・51完了場。日経mini／TOPIXmini各上限10枚・手数料0。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4" customHeight="1">
      <x:c r="A3" s="4" t="str">
        <x:v>3分MA・冷却後に再参加・価格と1分傾き確認・利益方向だけ追加・2枚差で増減／D出口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4" customHeight="1">
      <x:c r="A4" s="4" t="str">
        <x:v>利益・損失＝FIFO返済配賦別。親＝初回から全返済まで。ラージ気配による模型で、mini実約定の検証ではありません。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42" customHeight="1">
      <x:c r="A5" s="10" t="str">
        <x:v>セッション</x:v>
      </x:c>
      <x:c r="B5" s="10" t="str">
        <x:v>区分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親利益（円）</x:v>
      </x:c>
      <x:c r="H5" s="10" t="str">
        <x:v>親損失（円）</x:v>
      </x:c>
      <x:c r="I5" s="10" t="str">
        <x:v>初回件数</x:v>
      </x:c>
      <x:c r="J5" s="10" t="str">
        <x:v>追加件数</x:v>
      </x:c>
      <x:c r="K5" s="10" t="str">
        <x:v>縮小件数</x:v>
      </x:c>
      <x:c r="L5" s="10" t="str">
        <x:v>最大保有枚数</x:v>
      </x:c>
      <x:c r="M5" s="10" t="str">
        <x:v>保有時間率</x:v>
      </x:c>
      <x:c r="N5" s="10" t="str">
        <x:v>時価最大DD（円）</x:v>
      </x:c>
    </x:row>
    <x:row r="6" ht="24" customHeight="1">
      <x:c r="A6" s="2" t="str">
        <x:v>2026-09-21_Day</x:v>
      </x:c>
      <x:c r="B6" s="6" t="str">
        <x:v>デイ</x:v>
      </x:c>
      <x:c r="C6" s="6" t="n">
        <x:v>425000</x:v>
      </x:c>
      <x:c r="D6" s="6" t="n">
        <x:v>1035000</x:v>
      </x:c>
      <x:c r="E6" s="6" t="n">
        <x:f>C6-D6</x:f>
        <x:v>-610000</x:v>
      </x:c>
      <x:c r="F6" s="6" t="n">
        <x:f>E6</x:f>
        <x:v>-610000</x:v>
      </x:c>
      <x:c r="G6" s="6" t="n">
        <x:v>404000</x:v>
      </x:c>
      <x:c r="H6" s="6" t="n">
        <x:v>1014000</x:v>
      </x:c>
      <x:c r="I6" s="6" t="n">
        <x:v>79</x:v>
      </x:c>
      <x:c r="J6" s="6" t="n">
        <x:v>33</x:v>
      </x:c>
      <x:c r="K6" s="6" t="n">
        <x:v>33</x:v>
      </x:c>
      <x:c r="L6" s="6" t="n">
        <x:v>10</x:v>
      </x:c>
      <x:c r="M6" s="11" t="n">
        <x:v>0.6190873015873016</x:v>
      </x:c>
      <x:c r="N6" s="6" t="n">
        <x:v>701000</x:v>
      </x:c>
    </x:row>
    <x:row r="7" ht="24" customHeight="1">
      <x:c r="A7" s="2" t="str">
        <x:v>2026-09-21_Night</x:v>
      </x:c>
      <x:c r="B7" s="6" t="str">
        <x:v>ナイト</x:v>
      </x:c>
      <x:c r="C7" s="6" t="n">
        <x:v>207000</x:v>
      </x:c>
      <x:c r="D7" s="6" t="n">
        <x:v>780000</x:v>
      </x:c>
      <x:c r="E7" s="6" t="n">
        <x:f>C7-D7</x:f>
        <x:v>-573000</x:v>
      </x:c>
      <x:c r="F7" s="6" t="n">
        <x:f>F6+E7</x:f>
        <x:v>-1183000</x:v>
      </x:c>
      <x:c r="G7" s="6" t="n">
        <x:v>129000</x:v>
      </x:c>
      <x:c r="H7" s="6" t="n">
        <x:v>702000</x:v>
      </x:c>
      <x:c r="I7" s="6" t="n">
        <x:v>99</x:v>
      </x:c>
      <x:c r="J7" s="6" t="n">
        <x:v>54</x:v>
      </x:c>
      <x:c r="K7" s="6" t="n">
        <x:v>44</x:v>
      </x:c>
      <x:c r="L7" s="6" t="n">
        <x:v>10</x:v>
      </x:c>
      <x:c r="M7" s="11" t="n">
        <x:v>0.4757051282051282</x:v>
      </x:c>
      <x:c r="N7" s="6" t="n">
        <x:v>594000</x:v>
      </x:c>
    </x:row>
    <x:row r="8" ht="24" customHeight="1">
      <x:c r="A8" s="2" t="str">
        <x:v>2026-09-22_Day</x:v>
      </x:c>
      <x:c r="B8" s="6" t="str">
        <x:v>デイ</x:v>
      </x:c>
      <x:c r="C8" s="6" t="n">
        <x:v>266000</x:v>
      </x:c>
      <x:c r="D8" s="6" t="n">
        <x:v>1083000</x:v>
      </x:c>
      <x:c r="E8" s="6" t="n">
        <x:f>C8-D8</x:f>
        <x:v>-817000</x:v>
      </x:c>
      <x:c r="F8" s="6" t="n">
        <x:f>F7+E8</x:f>
        <x:v>-2000000</x:v>
      </x:c>
      <x:c r="G8" s="6" t="n">
        <x:v>194000</x:v>
      </x:c>
      <x:c r="H8" s="6" t="n">
        <x:v>1011000</x:v>
      </x:c>
      <x:c r="I8" s="6" t="n">
        <x:v>90</x:v>
      </x:c>
      <x:c r="J8" s="6" t="n">
        <x:v>52</x:v>
      </x:c>
      <x:c r="K8" s="6" t="n">
        <x:v>35</x:v>
      </x:c>
      <x:c r="L8" s="6" t="n">
        <x:v>10</x:v>
      </x:c>
      <x:c r="M8" s="11" t="n">
        <x:v>0.48833333333333334</x:v>
      </x:c>
      <x:c r="N8" s="6" t="n">
        <x:v>871000</x:v>
      </x:c>
    </x:row>
    <x:row r="9" ht="24" customHeight="1">
      <x:c r="A9" s="2" t="str">
        <x:v>2026-09-22_Night</x:v>
      </x:c>
      <x:c r="B9" s="6" t="str">
        <x:v>ナイト</x:v>
      </x:c>
      <x:c r="C9" s="6" t="n">
        <x:v>463000</x:v>
      </x:c>
      <x:c r="D9" s="6" t="n">
        <x:v>1593000</x:v>
      </x:c>
      <x:c r="E9" s="6" t="n">
        <x:f>C9-D9</x:f>
        <x:v>-1130000</x:v>
      </x:c>
      <x:c r="F9" s="6" t="n">
        <x:f>F8+E9</x:f>
        <x:v>-3130000</x:v>
      </x:c>
      <x:c r="G9" s="6" t="n">
        <x:v>356000</x:v>
      </x:c>
      <x:c r="H9" s="6" t="n">
        <x:v>1486000</x:v>
      </x:c>
      <x:c r="I9" s="6" t="n">
        <x:v>114</x:v>
      </x:c>
      <x:c r="J9" s="6" t="n">
        <x:v>70</x:v>
      </x:c>
      <x:c r="K9" s="6" t="n">
        <x:v>60</x:v>
      </x:c>
      <x:c r="L9" s="6" t="n">
        <x:v>10</x:v>
      </x:c>
      <x:c r="M9" s="11" t="n">
        <x:v>0.517008547008547</x:v>
      </x:c>
      <x:c r="N9" s="6" t="n">
        <x:v>1194000</x:v>
      </x:c>
    </x:row>
    <x:row r="10" ht="24" customHeight="1">
      <x:c r="A10" s="2" t="str">
        <x:v>2026-09-23_Day</x:v>
      </x:c>
      <x:c r="B10" s="6" t="str">
        <x:v>デイ</x:v>
      </x:c>
      <x:c r="C10" s="6" t="n">
        <x:v>210000</x:v>
      </x:c>
      <x:c r="D10" s="6" t="n">
        <x:v>873000</x:v>
      </x:c>
      <x:c r="E10" s="6" t="n">
        <x:f>C10-D10</x:f>
        <x:v>-663000</x:v>
      </x:c>
      <x:c r="F10" s="6" t="n">
        <x:f>F9+E10</x:f>
        <x:v>-3793000</x:v>
      </x:c>
      <x:c r="G10" s="6" t="n">
        <x:v>185000</x:v>
      </x:c>
      <x:c r="H10" s="6" t="n">
        <x:v>848000</x:v>
      </x:c>
      <x:c r="I10" s="6" t="n">
        <x:v>92</x:v>
      </x:c>
      <x:c r="J10" s="6" t="n">
        <x:v>31</x:v>
      </x:c>
      <x:c r="K10" s="6" t="n">
        <x:v>30</x:v>
      </x:c>
      <x:c r="L10" s="6" t="n">
        <x:v>10</x:v>
      </x:c>
      <x:c r="M10" s="11" t="n">
        <x:v>0.5832142857142857</x:v>
      </x:c>
      <x:c r="N10" s="6" t="n">
        <x:v>722000</x:v>
      </x:c>
    </x:row>
    <x:row r="11" ht="24" customHeight="1">
      <x:c r="A11" s="2" t="str">
        <x:v>2026-09-23_Night</x:v>
      </x:c>
      <x:c r="B11" s="6" t="str">
        <x:v>ナイト</x:v>
      </x:c>
      <x:c r="C11" s="6" t="n">
        <x:v>449000</x:v>
      </x:c>
      <x:c r="D11" s="6" t="n">
        <x:v>1379000</x:v>
      </x:c>
      <x:c r="E11" s="6" t="n">
        <x:f>C11-D11</x:f>
        <x:v>-930000</x:v>
      </x:c>
      <x:c r="F11" s="6" t="n">
        <x:f>F10+E11</x:f>
        <x:v>-4723000</x:v>
      </x:c>
      <x:c r="G11" s="6" t="n">
        <x:v>357000</x:v>
      </x:c>
      <x:c r="H11" s="6" t="n">
        <x:v>1287000</x:v>
      </x:c>
      <x:c r="I11" s="6" t="n">
        <x:v>123</x:v>
      </x:c>
      <x:c r="J11" s="6" t="n">
        <x:v>80</x:v>
      </x:c>
      <x:c r="K11" s="6" t="n">
        <x:v>73</x:v>
      </x:c>
      <x:c r="L11" s="6" t="n">
        <x:v>10</x:v>
      </x:c>
      <x:c r="M11" s="11" t="n">
        <x:v>0.603525641025641</x:v>
      </x:c>
      <x:c r="N11" s="6" t="n">
        <x:v>939000</x:v>
      </x:c>
    </x:row>
    <x:row r="12" ht="24" customHeight="1">
      <x:c r="A12" s="2" t="str">
        <x:v>2026-09-24_Day</x:v>
      </x:c>
      <x:c r="B12" s="6" t="str">
        <x:v>デイ</x:v>
      </x:c>
      <x:c r="C12" s="6" t="n">
        <x:v>490000</x:v>
      </x:c>
      <x:c r="D12" s="6" t="n">
        <x:v>906000</x:v>
      </x:c>
      <x:c r="E12" s="6" t="n">
        <x:f>C12-D12</x:f>
        <x:v>-416000</x:v>
      </x:c>
      <x:c r="F12" s="6" t="n">
        <x:f>F11+E12</x:f>
        <x:v>-5139000</x:v>
      </x:c>
      <x:c r="G12" s="6" t="n">
        <x:v>390000</x:v>
      </x:c>
      <x:c r="H12" s="6" t="n">
        <x:v>806000</x:v>
      </x:c>
      <x:c r="I12" s="6" t="n">
        <x:v>119</x:v>
      </x:c>
      <x:c r="J12" s="6" t="n">
        <x:v>79</x:v>
      </x:c>
      <x:c r="K12" s="6" t="n">
        <x:v>36</x:v>
      </x:c>
      <x:c r="L12" s="6" t="n">
        <x:v>10</x:v>
      </x:c>
      <x:c r="M12" s="11" t="n">
        <x:v>0.4394047619047619</x:v>
      </x:c>
      <x:c r="N12" s="6" t="n">
        <x:v>525000</x:v>
      </x:c>
    </x:row>
    <x:row r="13" ht="24" customHeight="1">
      <x:c r="A13" s="2" t="str">
        <x:v>2026-09-24_Night</x:v>
      </x:c>
      <x:c r="B13" s="6" t="str">
        <x:v>ナイト</x:v>
      </x:c>
      <x:c r="C13" s="6" t="n">
        <x:v>673000</x:v>
      </x:c>
      <x:c r="D13" s="6" t="n">
        <x:v>1845000</x:v>
      </x:c>
      <x:c r="E13" s="6" t="n">
        <x:f>C13-D13</x:f>
        <x:v>-1172000</x:v>
      </x:c>
      <x:c r="F13" s="6" t="n">
        <x:f>F12+E13</x:f>
        <x:v>-6311000</x:v>
      </x:c>
      <x:c r="G13" s="6" t="n">
        <x:v>540000</x:v>
      </x:c>
      <x:c r="H13" s="6" t="n">
        <x:v>1712000</x:v>
      </x:c>
      <x:c r="I13" s="6" t="n">
        <x:v>165</x:v>
      </x:c>
      <x:c r="J13" s="6" t="n">
        <x:v>120</x:v>
      </x:c>
      <x:c r="K13" s="6" t="n">
        <x:v>73</x:v>
      </x:c>
      <x:c r="L13" s="6" t="n">
        <x:v>10</x:v>
      </x:c>
      <x:c r="M13" s="11" t="n">
        <x:v>0.45952991452991454</x:v>
      </x:c>
      <x:c r="N13" s="6" t="n">
        <x:v>1265000</x:v>
      </x:c>
    </x:row>
    <x:row r="14" ht="24" customHeight="1">
      <x:c r="A14" s="2" t="str">
        <x:v>2026-09-25_Day</x:v>
      </x:c>
      <x:c r="B14" s="6" t="str">
        <x:v>デイ</x:v>
      </x:c>
      <x:c r="C14" s="6" t="n">
        <x:v>212000</x:v>
      </x:c>
      <x:c r="D14" s="6" t="n">
        <x:v>1345000</x:v>
      </x:c>
      <x:c r="E14" s="6" t="n">
        <x:f>C14-D14</x:f>
        <x:v>-1133000</x:v>
      </x:c>
      <x:c r="F14" s="6" t="n">
        <x:f>F13+E14</x:f>
        <x:v>-7444000</x:v>
      </x:c>
      <x:c r="G14" s="6" t="n">
        <x:v>105000</x:v>
      </x:c>
      <x:c r="H14" s="6" t="n">
        <x:v>1238000</x:v>
      </x:c>
      <x:c r="I14" s="6" t="n">
        <x:v>128</x:v>
      </x:c>
      <x:c r="J14" s="6" t="n">
        <x:v>72</x:v>
      </x:c>
      <x:c r="K14" s="6" t="n">
        <x:v>44</x:v>
      </x:c>
      <x:c r="L14" s="6" t="n">
        <x:v>10</x:v>
      </x:c>
      <x:c r="M14" s="11" t="n">
        <x:v>0.4776190476190476</x:v>
      </x:c>
      <x:c r="N14" s="6" t="n">
        <x:v>1133000</x:v>
      </x:c>
    </x:row>
    <x:row r="15" ht="24" customHeight="1">
      <x:c r="A15" s="2" t="str">
        <x:v>2026-09-25_Night</x:v>
      </x:c>
      <x:c r="B15" s="6" t="str">
        <x:v>ナイト</x:v>
      </x:c>
      <x:c r="C15" s="6" t="n">
        <x:v>486000</x:v>
      </x:c>
      <x:c r="D15" s="6" t="n">
        <x:v>1456000</x:v>
      </x:c>
      <x:c r="E15" s="6" t="n">
        <x:f>C15-D15</x:f>
        <x:v>-970000</x:v>
      </x:c>
      <x:c r="F15" s="6" t="n">
        <x:f>F14+E15</x:f>
        <x:v>-8414000</x:v>
      </x:c>
      <x:c r="G15" s="6" t="n">
        <x:v>376000</x:v>
      </x:c>
      <x:c r="H15" s="6" t="n">
        <x:v>1346000</x:v>
      </x:c>
      <x:c r="I15" s="6" t="n">
        <x:v>128</x:v>
      </x:c>
      <x:c r="J15" s="6" t="n">
        <x:v>96</x:v>
      </x:c>
      <x:c r="K15" s="6" t="n">
        <x:v>54</x:v>
      </x:c>
      <x:c r="L15" s="6" t="n">
        <x:v>10</x:v>
      </x:c>
      <x:c r="M15" s="11" t="n">
        <x:v>0.4443162393162393</x:v>
      </x:c>
      <x:c r="N15" s="6" t="n">
        <x:v>1008000</x:v>
      </x:c>
    </x:row>
    <x:row r="16" ht="24" customHeight="1">
      <x:c r="A16" s="2" t="str">
        <x:v>2026-09-28_Day</x:v>
      </x:c>
      <x:c r="B16" s="6" t="str">
        <x:v>デイ</x:v>
      </x:c>
      <x:c r="C16" s="6" t="n">
        <x:v>319000</x:v>
      </x:c>
      <x:c r="D16" s="6" t="n">
        <x:v>1607000</x:v>
      </x:c>
      <x:c r="E16" s="6" t="n">
        <x:f>C16-D16</x:f>
        <x:v>-1288000</x:v>
      </x:c>
      <x:c r="F16" s="6" t="n">
        <x:f>F15+E16</x:f>
        <x:v>-9702000</x:v>
      </x:c>
      <x:c r="G16" s="6" t="n">
        <x:v>243000</x:v>
      </x:c>
      <x:c r="H16" s="6" t="n">
        <x:v>1531000</x:v>
      </x:c>
      <x:c r="I16" s="6" t="n">
        <x:v>144</x:v>
      </x:c>
      <x:c r="J16" s="6" t="n">
        <x:v>78</x:v>
      </x:c>
      <x:c r="K16" s="6" t="n">
        <x:v>58</x:v>
      </x:c>
      <x:c r="L16" s="6" t="n">
        <x:v>10</x:v>
      </x:c>
      <x:c r="M16" s="11" t="n">
        <x:v>0.4859126984126984</x:v>
      </x:c>
      <x:c r="N16" s="6" t="n">
        <x:v>1378000</x:v>
      </x:c>
    </x:row>
    <x:row r="17" ht="24" customHeight="1">
      <x:c r="A17" s="2" t="str">
        <x:v>2026-09-28_Night</x:v>
      </x:c>
      <x:c r="B17" s="6" t="str">
        <x:v>ナイト</x:v>
      </x:c>
      <x:c r="C17" s="6" t="n">
        <x:v>788000</x:v>
      </x:c>
      <x:c r="D17" s="6" t="n">
        <x:v>1974000</x:v>
      </x:c>
      <x:c r="E17" s="6" t="n">
        <x:f>C17-D17</x:f>
        <x:v>-1186000</x:v>
      </x:c>
      <x:c r="F17" s="6" t="n">
        <x:f>F16+E17</x:f>
        <x:v>-10888000</x:v>
      </x:c>
      <x:c r="G17" s="6" t="n">
        <x:v>668000</x:v>
      </x:c>
      <x:c r="H17" s="6" t="n">
        <x:v>1854000</x:v>
      </x:c>
      <x:c r="I17" s="6" t="n">
        <x:v>167</x:v>
      </x:c>
      <x:c r="J17" s="6" t="n">
        <x:v>97</x:v>
      </x:c>
      <x:c r="K17" s="6" t="n">
        <x:v>77</x:v>
      </x:c>
      <x:c r="L17" s="6" t="n">
        <x:v>10</x:v>
      </x:c>
      <x:c r="M17" s="11" t="n">
        <x:v>0.5104273504273504</x:v>
      </x:c>
      <x:c r="N17" s="6" t="n">
        <x:v>1211000</x:v>
      </x:c>
    </x:row>
    <x:row r="18" ht="24" customHeight="1">
      <x:c r="A18" s="2" t="str">
        <x:v>2026-09-29_Day</x:v>
      </x:c>
      <x:c r="B18" s="6" t="str">
        <x:v>デイ</x:v>
      </x:c>
      <x:c r="C18" s="6" t="n">
        <x:v>366000</x:v>
      </x:c>
      <x:c r="D18" s="6" t="n">
        <x:v>1715000</x:v>
      </x:c>
      <x:c r="E18" s="6" t="n">
        <x:f>C18-D18</x:f>
        <x:v>-1349000</x:v>
      </x:c>
      <x:c r="F18" s="6" t="n">
        <x:f>F17+E18</x:f>
        <x:v>-12237000</x:v>
      </x:c>
      <x:c r="G18" s="6" t="n">
        <x:v>284000</x:v>
      </x:c>
      <x:c r="H18" s="6" t="n">
        <x:v>1633000</x:v>
      </x:c>
      <x:c r="I18" s="6" t="n">
        <x:v>130</x:v>
      </x:c>
      <x:c r="J18" s="6" t="n">
        <x:v>80</x:v>
      </x:c>
      <x:c r="K18" s="6" t="n">
        <x:v>39</x:v>
      </x:c>
      <x:c r="L18" s="6" t="n">
        <x:v>10</x:v>
      </x:c>
      <x:c r="M18" s="11" t="n">
        <x:v>0.4003968253968254</x:v>
      </x:c>
      <x:c r="N18" s="6" t="n">
        <x:v>1420000</x:v>
      </x:c>
    </x:row>
    <x:row r="19" ht="24" customHeight="1">
      <x:c r="A19" s="2" t="str">
        <x:v>2026-09-29_Night</x:v>
      </x:c>
      <x:c r="B19" s="6" t="str">
        <x:v>ナイト</x:v>
      </x:c>
      <x:c r="C19" s="6" t="n">
        <x:v>421000</x:v>
      </x:c>
      <x:c r="D19" s="6" t="n">
        <x:v>1878000</x:v>
      </x:c>
      <x:c r="E19" s="6" t="n">
        <x:f>C19-D19</x:f>
        <x:v>-1457000</x:v>
      </x:c>
      <x:c r="F19" s="6" t="n">
        <x:f>F18+E19</x:f>
        <x:v>-13694000</x:v>
      </x:c>
      <x:c r="G19" s="6" t="n">
        <x:v>301000</x:v>
      </x:c>
      <x:c r="H19" s="6" t="n">
        <x:v>1758000</x:v>
      </x:c>
      <x:c r="I19" s="6" t="n">
        <x:v>170</x:v>
      </x:c>
      <x:c r="J19" s="6" t="n">
        <x:v>93</x:v>
      </x:c>
      <x:c r="K19" s="6" t="n">
        <x:v>82</x:v>
      </x:c>
      <x:c r="L19" s="6" t="n">
        <x:v>10</x:v>
      </x:c>
      <x:c r="M19" s="11" t="n">
        <x:v>0.5513034188034188</x:v>
      </x:c>
      <x:c r="N19" s="6" t="n">
        <x:v>1462000</x:v>
      </x:c>
    </x:row>
    <x:row r="20" ht="24" customHeight="1">
      <x:c r="A20" s="2" t="str">
        <x:v>2026-09-30_Day</x:v>
      </x:c>
      <x:c r="B20" s="6" t="str">
        <x:v>デイ</x:v>
      </x:c>
      <x:c r="C20" s="6" t="n">
        <x:v>552000</x:v>
      </x:c>
      <x:c r="D20" s="6" t="n">
        <x:v>1340000</x:v>
      </x:c>
      <x:c r="E20" s="6" t="n">
        <x:f>C20-D20</x:f>
        <x:v>-788000</x:v>
      </x:c>
      <x:c r="F20" s="6" t="n">
        <x:f>F19+E20</x:f>
        <x:v>-14482000</x:v>
      </x:c>
      <x:c r="G20" s="6" t="n">
        <x:v>497000</x:v>
      </x:c>
      <x:c r="H20" s="6" t="n">
        <x:v>1285000</x:v>
      </x:c>
      <x:c r="I20" s="6" t="n">
        <x:v>118</x:v>
      </x:c>
      <x:c r="J20" s="6" t="n">
        <x:v>77</x:v>
      </x:c>
      <x:c r="K20" s="6" t="n">
        <x:v>37</x:v>
      </x:c>
      <x:c r="L20" s="6" t="n">
        <x:v>10</x:v>
      </x:c>
      <x:c r="M20" s="11" t="n">
        <x:v>0.47515873015873017</x:v>
      </x:c>
      <x:c r="N20" s="6" t="n">
        <x:v>800000</x:v>
      </x:c>
    </x:row>
    <x:row r="21" ht="24" customHeight="1">
      <x:c r="A21" s="2" t="str">
        <x:v>2026-09-30_Night</x:v>
      </x:c>
      <x:c r="B21" s="6" t="str">
        <x:v>ナイト</x:v>
      </x:c>
      <x:c r="C21" s="6" t="n">
        <x:v>672000</x:v>
      </x:c>
      <x:c r="D21" s="6" t="n">
        <x:v>2247000</x:v>
      </x:c>
      <x:c r="E21" s="6" t="n">
        <x:f>C21-D21</x:f>
        <x:v>-1575000</x:v>
      </x:c>
      <x:c r="F21" s="6" t="n">
        <x:f>F20+E21</x:f>
        <x:v>-16057000</x:v>
      </x:c>
      <x:c r="G21" s="6" t="n">
        <x:v>516000</x:v>
      </x:c>
      <x:c r="H21" s="6" t="n">
        <x:v>2091000</x:v>
      </x:c>
      <x:c r="I21" s="6" t="n">
        <x:v>171</x:v>
      </x:c>
      <x:c r="J21" s="6" t="n">
        <x:v>118</x:v>
      </x:c>
      <x:c r="K21" s="6" t="n">
        <x:v>70</x:v>
      </x:c>
      <x:c r="L21" s="6" t="n">
        <x:v>10</x:v>
      </x:c>
      <x:c r="M21" s="11" t="n">
        <x:v>0.48047008547008546</x:v>
      </x:c>
      <x:c r="N21" s="6" t="n">
        <x:v>1627000</x:v>
      </x:c>
    </x:row>
    <x:row r="22" ht="24" customHeight="1">
      <x:c r="A22" s="2" t="str">
        <x:v>2026-10-01_Day</x:v>
      </x:c>
      <x:c r="B22" s="6" t="str">
        <x:v>デイ</x:v>
      </x:c>
      <x:c r="C22" s="6" t="n">
        <x:v>327000</x:v>
      </x:c>
      <x:c r="D22" s="6" t="n">
        <x:v>1366000</x:v>
      </x:c>
      <x:c r="E22" s="6" t="n">
        <x:f>C22-D22</x:f>
        <x:v>-1039000</x:v>
      </x:c>
      <x:c r="F22" s="6" t="n">
        <x:f>F21+E22</x:f>
        <x:v>-17096000</x:v>
      </x:c>
      <x:c r="G22" s="6" t="n">
        <x:v>251000</x:v>
      </x:c>
      <x:c r="H22" s="6" t="n">
        <x:v>1290000</x:v>
      </x:c>
      <x:c r="I22" s="6" t="n">
        <x:v>110</x:v>
      </x:c>
      <x:c r="J22" s="6" t="n">
        <x:v>81</x:v>
      </x:c>
      <x:c r="K22" s="6" t="n">
        <x:v>35</x:v>
      </x:c>
      <x:c r="L22" s="6" t="n">
        <x:v>10</x:v>
      </x:c>
      <x:c r="M22" s="11" t="n">
        <x:v>0.4851984126984127</x:v>
      </x:c>
      <x:c r="N22" s="6" t="n">
        <x:v>1063000</x:v>
      </x:c>
    </x:row>
    <x:row r="23" ht="24" customHeight="1">
      <x:c r="A23" s="2" t="str">
        <x:v>2026-10-01_Night</x:v>
      </x:c>
      <x:c r="B23" s="6" t="str">
        <x:v>ナイト</x:v>
      </x:c>
      <x:c r="C23" s="6" t="n">
        <x:v>1012000</x:v>
      </x:c>
      <x:c r="D23" s="6" t="n">
        <x:v>3059000</x:v>
      </x:c>
      <x:c r="E23" s="6" t="n">
        <x:f>C23-D23</x:f>
        <x:v>-2047000</x:v>
      </x:c>
      <x:c r="F23" s="6" t="n">
        <x:f>F22+E23</x:f>
        <x:v>-19143000</x:v>
      </x:c>
      <x:c r="G23" s="6" t="n">
        <x:v>857000</x:v>
      </x:c>
      <x:c r="H23" s="6" t="n">
        <x:v>2904000</x:v>
      </x:c>
      <x:c r="I23" s="6" t="n">
        <x:v>195</x:v>
      </x:c>
      <x:c r="J23" s="6" t="n">
        <x:v>129</x:v>
      </x:c>
      <x:c r="K23" s="6" t="n">
        <x:v>75</x:v>
      </x:c>
      <x:c r="L23" s="6" t="n">
        <x:v>10</x:v>
      </x:c>
      <x:c r="M23" s="11" t="n">
        <x:v>0.4881623931623932</x:v>
      </x:c>
      <x:c r="N23" s="6" t="n">
        <x:v>2091000</x:v>
      </x:c>
    </x:row>
    <x:row r="24" ht="24" customHeight="1">
      <x:c r="A24" s="2" t="str">
        <x:v>2026-10-02_Day</x:v>
      </x:c>
      <x:c r="B24" s="6" t="str">
        <x:v>デイ</x:v>
      </x:c>
      <x:c r="C24" s="6" t="n">
        <x:v>439000</x:v>
      </x:c>
      <x:c r="D24" s="6" t="n">
        <x:v>1568000</x:v>
      </x:c>
      <x:c r="E24" s="6" t="n">
        <x:f>C24-D24</x:f>
        <x:v>-1129000</x:v>
      </x:c>
      <x:c r="F24" s="6" t="n">
        <x:f>F23+E24</x:f>
        <x:v>-20272000</x:v>
      </x:c>
      <x:c r="G24" s="6" t="n">
        <x:v>379000</x:v>
      </x:c>
      <x:c r="H24" s="6" t="n">
        <x:v>1508000</x:v>
      </x:c>
      <x:c r="I24" s="6" t="n">
        <x:v>111</x:v>
      </x:c>
      <x:c r="J24" s="6" t="n">
        <x:v>90</x:v>
      </x:c>
      <x:c r="K24" s="6" t="n">
        <x:v>49</x:v>
      </x:c>
      <x:c r="L24" s="6" t="n">
        <x:v>10</x:v>
      </x:c>
      <x:c r="M24" s="11" t="n">
        <x:v>0.5207936507936508</x:v>
      </x:c>
      <x:c r="N24" s="6" t="n">
        <x:v>1339000</x:v>
      </x:c>
    </x:row>
    <x:row r="25" ht="24" customHeight="1">
      <x:c r="A25" s="2" t="str">
        <x:v>2026-10-02_Night</x:v>
      </x:c>
      <x:c r="B25" s="6" t="str">
        <x:v>ナイト</x:v>
      </x:c>
      <x:c r="C25" s="6" t="n">
        <x:v>853000</x:v>
      </x:c>
      <x:c r="D25" s="6" t="n">
        <x:v>2148000</x:v>
      </x:c>
      <x:c r="E25" s="6" t="n">
        <x:f>C25-D25</x:f>
        <x:v>-1295000</x:v>
      </x:c>
      <x:c r="F25" s="6" t="n">
        <x:f>F24+E25</x:f>
        <x:v>-21567000</x:v>
      </x:c>
      <x:c r="G25" s="6" t="n">
        <x:v>643000</x:v>
      </x:c>
      <x:c r="H25" s="6" t="n">
        <x:v>1938000</x:v>
      </x:c>
      <x:c r="I25" s="6" t="n">
        <x:v>179</x:v>
      </x:c>
      <x:c r="J25" s="6" t="n">
        <x:v>125</x:v>
      </x:c>
      <x:c r="K25" s="6" t="n">
        <x:v>102</x:v>
      </x:c>
      <x:c r="L25" s="6" t="n">
        <x:v>10</x:v>
      </x:c>
      <x:c r="M25" s="11" t="n">
        <x:v>0.5702991452991453</x:v>
      </x:c>
      <x:c r="N25" s="6" t="n">
        <x:v>1337000</x:v>
      </x:c>
    </x:row>
    <x:row r="26" ht="24" customHeight="1">
      <x:c r="A26" s="2" t="str">
        <x:v>2026-10-05_Day</x:v>
      </x:c>
      <x:c r="B26" s="6" t="str">
        <x:v>デイ</x:v>
      </x:c>
      <x:c r="C26" s="6" t="n">
        <x:v>327000</x:v>
      </x:c>
      <x:c r="D26" s="6" t="n">
        <x:v>1474000</x:v>
      </x:c>
      <x:c r="E26" s="6" t="n">
        <x:f>C26-D26</x:f>
        <x:v>-1147000</x:v>
      </x:c>
      <x:c r="F26" s="6" t="n">
        <x:f>F25+E26</x:f>
        <x:v>-22714000</x:v>
      </x:c>
      <x:c r="G26" s="6" t="n">
        <x:v>240000</x:v>
      </x:c>
      <x:c r="H26" s="6" t="n">
        <x:v>1387000</x:v>
      </x:c>
      <x:c r="I26" s="6" t="n">
        <x:v>124</x:v>
      </x:c>
      <x:c r="J26" s="6" t="n">
        <x:v>92</x:v>
      </x:c>
      <x:c r="K26" s="6" t="n">
        <x:v>50</x:v>
      </x:c>
      <x:c r="L26" s="6" t="n">
        <x:v>10</x:v>
      </x:c>
      <x:c r="M26" s="11" t="n">
        <x:v>0.5528571428571428</x:v>
      </x:c>
      <x:c r="N26" s="6" t="n">
        <x:v>1182000</x:v>
      </x:c>
    </x:row>
    <x:row r="27" ht="24" customHeight="1">
      <x:c r="A27" s="2" t="str">
        <x:v>2026-10-05_Night</x:v>
      </x:c>
      <x:c r="B27" s="6" t="str">
        <x:v>ナイト</x:v>
      </x:c>
      <x:c r="C27" s="6" t="n">
        <x:v>461000</x:v>
      </x:c>
      <x:c r="D27" s="6" t="n">
        <x:v>1810000</x:v>
      </x:c>
      <x:c r="E27" s="6" t="n">
        <x:f>C27-D27</x:f>
        <x:v>-1349000</x:v>
      </x:c>
      <x:c r="F27" s="6" t="n">
        <x:f>F26+E27</x:f>
        <x:v>-24063000</x:v>
      </x:c>
      <x:c r="G27" s="6" t="n">
        <x:v>409000</x:v>
      </x:c>
      <x:c r="H27" s="6" t="n">
        <x:v>1758000</x:v>
      </x:c>
      <x:c r="I27" s="6" t="n">
        <x:v>173</x:v>
      </x:c>
      <x:c r="J27" s="6" t="n">
        <x:v>100</x:v>
      </x:c>
      <x:c r="K27" s="6" t="n">
        <x:v>71</x:v>
      </x:c>
      <x:c r="L27" s="6" t="n">
        <x:v>10</x:v>
      </x:c>
      <x:c r="M27" s="11" t="n">
        <x:v>0.5784188034188035</x:v>
      </x:c>
      <x:c r="N27" s="6" t="n">
        <x:v>1419000</x:v>
      </x:c>
    </x:row>
    <x:row r="28" ht="24" customHeight="1">
      <x:c r="A28" s="2" t="str">
        <x:v>2026-10-06_Day</x:v>
      </x:c>
      <x:c r="B28" s="6" t="str">
        <x:v>デイ</x:v>
      </x:c>
      <x:c r="C28" s="6" t="n">
        <x:v>317000</x:v>
      </x:c>
      <x:c r="D28" s="6" t="n">
        <x:v>1317000</x:v>
      </x:c>
      <x:c r="E28" s="6" t="n">
        <x:f>C28-D28</x:f>
        <x:v>-1000000</x:v>
      </x:c>
      <x:c r="F28" s="6" t="n">
        <x:f>F27+E28</x:f>
        <x:v>-25063000</x:v>
      </x:c>
      <x:c r="G28" s="6" t="n">
        <x:v>234000</x:v>
      </x:c>
      <x:c r="H28" s="6" t="n">
        <x:v>1234000</x:v>
      </x:c>
      <x:c r="I28" s="6" t="n">
        <x:v>129</x:v>
      </x:c>
      <x:c r="J28" s="6" t="n">
        <x:v>75</x:v>
      </x:c>
      <x:c r="K28" s="6" t="n">
        <x:v>43</x:v>
      </x:c>
      <x:c r="L28" s="6" t="n">
        <x:v>10</x:v>
      </x:c>
      <x:c r="M28" s="11" t="n">
        <x:v>0.5663095238095238</x:v>
      </x:c>
      <x:c r="N28" s="6" t="n">
        <x:v>1020000</x:v>
      </x:c>
    </x:row>
    <x:row r="29" ht="24" customHeight="1">
      <x:c r="A29" s="2" t="str">
        <x:v>2026-10-06_Night</x:v>
      </x:c>
      <x:c r="B29" s="6" t="str">
        <x:v>ナイト</x:v>
      </x:c>
      <x:c r="C29" s="6" t="n">
        <x:v>432000</x:v>
      </x:c>
      <x:c r="D29" s="6" t="n">
        <x:v>1258000</x:v>
      </x:c>
      <x:c r="E29" s="6" t="n">
        <x:f>C29-D29</x:f>
        <x:v>-826000</x:v>
      </x:c>
      <x:c r="F29" s="6" t="n">
        <x:f>F28+E29</x:f>
        <x:v>-25889000</x:v>
      </x:c>
      <x:c r="G29" s="6" t="n">
        <x:v>356000</x:v>
      </x:c>
      <x:c r="H29" s="6" t="n">
        <x:v>1182000</x:v>
      </x:c>
      <x:c r="I29" s="6" t="n">
        <x:v>144</x:v>
      </x:c>
      <x:c r="J29" s="6" t="n">
        <x:v>82</x:v>
      </x:c>
      <x:c r="K29" s="6" t="n">
        <x:v>54</x:v>
      </x:c>
      <x:c r="L29" s="6" t="n">
        <x:v>10</x:v>
      </x:c>
      <x:c r="M29" s="11" t="n">
        <x:v>0.5856410256410256</x:v>
      </x:c>
      <x:c r="N29" s="6" t="n">
        <x:v>840000</x:v>
      </x:c>
    </x:row>
    <x:row r="30" ht="24" customHeight="1">
      <x:c r="A30" s="2" t="str">
        <x:v>2026-10-07_Day</x:v>
      </x:c>
      <x:c r="B30" s="6" t="str">
        <x:v>デイ</x:v>
      </x:c>
      <x:c r="C30" s="6" t="n">
        <x:v>320000</x:v>
      </x:c>
      <x:c r="D30" s="6" t="n">
        <x:v>1077000</x:v>
      </x:c>
      <x:c r="E30" s="6" t="n">
        <x:f>C30-D30</x:f>
        <x:v>-757000</x:v>
      </x:c>
      <x:c r="F30" s="6" t="n">
        <x:f>F29+E30</x:f>
        <x:v>-26646000</x:v>
      </x:c>
      <x:c r="G30" s="6" t="n">
        <x:v>266000</x:v>
      </x:c>
      <x:c r="H30" s="6" t="n">
        <x:v>1023000</x:v>
      </x:c>
      <x:c r="I30" s="6" t="n">
        <x:v>116</x:v>
      </x:c>
      <x:c r="J30" s="6" t="n">
        <x:v>77</x:v>
      </x:c>
      <x:c r="K30" s="6" t="n">
        <x:v>37</x:v>
      </x:c>
      <x:c r="L30" s="6" t="n">
        <x:v>10</x:v>
      </x:c>
      <x:c r="M30" s="11" t="n">
        <x:v>0.560952380952381</x:v>
      </x:c>
      <x:c r="N30" s="6" t="n">
        <x:v>773000</x:v>
      </x:c>
    </x:row>
    <x:row r="31" ht="24" customHeight="1">
      <x:c r="A31" s="2" t="str">
        <x:v>2026-10-07_Night</x:v>
      </x:c>
      <x:c r="B31" s="6" t="str">
        <x:v>ナイト</x:v>
      </x:c>
      <x:c r="C31" s="6" t="n">
        <x:v>348000</x:v>
      </x:c>
      <x:c r="D31" s="6" t="n">
        <x:v>1965000</x:v>
      </x:c>
      <x:c r="E31" s="6" t="n">
        <x:f>C31-D31</x:f>
        <x:v>-1617000</x:v>
      </x:c>
      <x:c r="F31" s="6" t="n">
        <x:f>F30+E31</x:f>
        <x:v>-28263000</x:v>
      </x:c>
      <x:c r="G31" s="6" t="n">
        <x:v>244000</x:v>
      </x:c>
      <x:c r="H31" s="6" t="n">
        <x:v>1861000</x:v>
      </x:c>
      <x:c r="I31" s="6" t="n">
        <x:v>179</x:v>
      </x:c>
      <x:c r="J31" s="6" t="n">
        <x:v>106</x:v>
      </x:c>
      <x:c r="K31" s="6" t="n">
        <x:v>95</x:v>
      </x:c>
      <x:c r="L31" s="6" t="n">
        <x:v>10</x:v>
      </x:c>
      <x:c r="M31" s="11" t="n">
        <x:v>0.5905128205128205</x:v>
      </x:c>
      <x:c r="N31" s="6" t="n">
        <x:v>1624000</x:v>
      </x:c>
    </x:row>
    <x:row r="32" ht="24" customHeight="1">
      <x:c r="A32" s="2" t="str">
        <x:v>2026-10-08_Day</x:v>
      </x:c>
      <x:c r="B32" s="6" t="str">
        <x:v>デイ</x:v>
      </x:c>
      <x:c r="C32" s="6" t="n">
        <x:v>482000</x:v>
      </x:c>
      <x:c r="D32" s="6" t="n">
        <x:v>1368000</x:v>
      </x:c>
      <x:c r="E32" s="6" t="n">
        <x:f>C32-D32</x:f>
        <x:v>-886000</x:v>
      </x:c>
      <x:c r="F32" s="6" t="n">
        <x:f>F31+E32</x:f>
        <x:v>-29149000</x:v>
      </x:c>
      <x:c r="G32" s="6" t="n">
        <x:v>405000</x:v>
      </x:c>
      <x:c r="H32" s="6" t="n">
        <x:v>1291000</x:v>
      </x:c>
      <x:c r="I32" s="6" t="n">
        <x:v>110</x:v>
      </x:c>
      <x:c r="J32" s="6" t="n">
        <x:v>85</x:v>
      </x:c>
      <x:c r="K32" s="6" t="n">
        <x:v>43</x:v>
      </x:c>
      <x:c r="L32" s="6" t="n">
        <x:v>10</x:v>
      </x:c>
      <x:c r="M32" s="11" t="n">
        <x:v>0.45325396825396824</x:v>
      </x:c>
      <x:c r="N32" s="6" t="n">
        <x:v>988000</x:v>
      </x:c>
    </x:row>
    <x:row r="33" ht="24" customHeight="1">
      <x:c r="A33" s="2" t="str">
        <x:v>2026-10-08_Night</x:v>
      </x:c>
      <x:c r="B33" s="6" t="str">
        <x:v>ナイト</x:v>
      </x:c>
      <x:c r="C33" s="6" t="n">
        <x:v>696000</x:v>
      </x:c>
      <x:c r="D33" s="6" t="n">
        <x:v>2864000</x:v>
      </x:c>
      <x:c r="E33" s="6" t="n">
        <x:f>C33-D33</x:f>
        <x:v>-2168000</x:v>
      </x:c>
      <x:c r="F33" s="6" t="n">
        <x:f>F32+E33</x:f>
        <x:v>-31317000</x:v>
      </x:c>
      <x:c r="G33" s="6" t="n">
        <x:v>573000</x:v>
      </x:c>
      <x:c r="H33" s="6" t="n">
        <x:v>2741000</x:v>
      </x:c>
      <x:c r="I33" s="6" t="n">
        <x:v>199</x:v>
      </x:c>
      <x:c r="J33" s="6" t="n">
        <x:v>123</x:v>
      </x:c>
      <x:c r="K33" s="6" t="n">
        <x:v>85</x:v>
      </x:c>
      <x:c r="L33" s="6" t="n">
        <x:v>10</x:v>
      </x:c>
      <x:c r="M33" s="11" t="n">
        <x:v>0.47102564102564104</x:v>
      </x:c>
      <x:c r="N33" s="6" t="n">
        <x:v>2168000</x:v>
      </x:c>
    </x:row>
    <x:row r="34" ht="24" customHeight="1">
      <x:c r="A34" s="2" t="str">
        <x:v>2026-10-09_Day</x:v>
      </x:c>
      <x:c r="B34" s="6" t="str">
        <x:v>デイ</x:v>
      </x:c>
      <x:c r="C34" s="6" t="n">
        <x:v>431000</x:v>
      </x:c>
      <x:c r="D34" s="6" t="n">
        <x:v>1518000</x:v>
      </x:c>
      <x:c r="E34" s="6" t="n">
        <x:f>C34-D34</x:f>
        <x:v>-1087000</x:v>
      </x:c>
      <x:c r="F34" s="6" t="n">
        <x:f>F33+E34</x:f>
        <x:v>-32404000</x:v>
      </x:c>
      <x:c r="G34" s="6" t="n">
        <x:v>362000</x:v>
      </x:c>
      <x:c r="H34" s="6" t="n">
        <x:v>1449000</x:v>
      </x:c>
      <x:c r="I34" s="6" t="n">
        <x:v>117</x:v>
      </x:c>
      <x:c r="J34" s="6" t="n">
        <x:v>89</x:v>
      </x:c>
      <x:c r="K34" s="6" t="n">
        <x:v>38</x:v>
      </x:c>
      <x:c r="L34" s="6" t="n">
        <x:v>10</x:v>
      </x:c>
      <x:c r="M34" s="11" t="n">
        <x:v>0.5261507936507936</x:v>
      </x:c>
      <x:c r="N34" s="6" t="n">
        <x:v>1113000</x:v>
      </x:c>
    </x:row>
    <x:row r="35" ht="24" customHeight="1">
      <x:c r="A35" s="2" t="str">
        <x:v>2026-10-09_Night</x:v>
      </x:c>
      <x:c r="B35" s="6" t="str">
        <x:v>ナイト</x:v>
      </x:c>
      <x:c r="C35" s="6" t="n">
        <x:v>387000</x:v>
      </x:c>
      <x:c r="D35" s="6" t="n">
        <x:v>1933000</x:v>
      </x:c>
      <x:c r="E35" s="6" t="n">
        <x:f>C35-D35</x:f>
        <x:v>-1546000</x:v>
      </x:c>
      <x:c r="F35" s="6" t="n">
        <x:f>F34+E35</x:f>
        <x:v>-33950000</x:v>
      </x:c>
      <x:c r="G35" s="6" t="n">
        <x:v>295000</x:v>
      </x:c>
      <x:c r="H35" s="6" t="n">
        <x:v>1841000</x:v>
      </x:c>
      <x:c r="I35" s="6" t="n">
        <x:v>155</x:v>
      </x:c>
      <x:c r="J35" s="6" t="n">
        <x:v>76</x:v>
      </x:c>
      <x:c r="K35" s="6" t="n">
        <x:v>80</x:v>
      </x:c>
      <x:c r="L35" s="6" t="n">
        <x:v>10</x:v>
      </x:c>
      <x:c r="M35" s="11" t="n">
        <x:v>0.6648076923076923</x:v>
      </x:c>
      <x:c r="N35" s="6" t="n">
        <x:v>1569000</x:v>
      </x:c>
    </x:row>
    <x:row r="36" ht="24" customHeight="1">
      <x:c r="A36" s="2" t="str">
        <x:v>2026-10-12_Day</x:v>
      </x:c>
      <x:c r="B36" s="6" t="str">
        <x:v>デイ</x:v>
      </x:c>
      <x:c r="C36" s="6" t="n">
        <x:v>159000</x:v>
      </x:c>
      <x:c r="D36" s="6" t="n">
        <x:v>839000</x:v>
      </x:c>
      <x:c r="E36" s="6" t="n">
        <x:f>C36-D36</x:f>
        <x:v>-680000</x:v>
      </x:c>
      <x:c r="F36" s="6" t="n">
        <x:f>F35+E36</x:f>
        <x:v>-34630000</x:v>
      </x:c>
      <x:c r="G36" s="6" t="n">
        <x:v>64000</x:v>
      </x:c>
      <x:c r="H36" s="6" t="n">
        <x:v>744000</x:v>
      </x:c>
      <x:c r="I36" s="6" t="n">
        <x:v>77</x:v>
      </x:c>
      <x:c r="J36" s="6" t="n">
        <x:v>51</x:v>
      </x:c>
      <x:c r="K36" s="6" t="n">
        <x:v>34</x:v>
      </x:c>
      <x:c r="L36" s="6" t="n">
        <x:v>10</x:v>
      </x:c>
      <x:c r="M36" s="11" t="n">
        <x:v>0.5605952380952381</x:v>
      </x:c>
      <x:c r="N36" s="6" t="n">
        <x:v>681000</x:v>
      </x:c>
    </x:row>
    <x:row r="37" ht="24" customHeight="1">
      <x:c r="A37" s="2" t="str">
        <x:v>2026-10-12_Night</x:v>
      </x:c>
      <x:c r="B37" s="6" t="str">
        <x:v>ナイト</x:v>
      </x:c>
      <x:c r="C37" s="6" t="n">
        <x:v>338000</x:v>
      </x:c>
      <x:c r="D37" s="6" t="n">
        <x:v>1186000</x:v>
      </x:c>
      <x:c r="E37" s="6" t="n">
        <x:f>C37-D37</x:f>
        <x:v>-848000</x:v>
      </x:c>
      <x:c r="F37" s="6" t="n">
        <x:f>F36+E37</x:f>
        <x:v>-35478000</x:v>
      </x:c>
      <x:c r="G37" s="6" t="n">
        <x:v>266000</x:v>
      </x:c>
      <x:c r="H37" s="6" t="n">
        <x:v>1114000</x:v>
      </x:c>
      <x:c r="I37" s="6" t="n">
        <x:v>119</x:v>
      </x:c>
      <x:c r="J37" s="6" t="n">
        <x:v>60</x:v>
      </x:c>
      <x:c r="K37" s="6" t="n">
        <x:v>65</x:v>
      </x:c>
      <x:c r="L37" s="6" t="n">
        <x:v>10</x:v>
      </x:c>
      <x:c r="M37" s="11" t="n">
        <x:v>0.6214102564102564</x:v>
      </x:c>
      <x:c r="N37" s="6" t="n">
        <x:v>872000</x:v>
      </x:c>
    </x:row>
    <x:row r="38" ht="24" customHeight="1">
      <x:c r="A38" s="2" t="str">
        <x:v>2026-10-13_Day</x:v>
      </x:c>
      <x:c r="B38" s="6" t="str">
        <x:v>デイ</x:v>
      </x:c>
      <x:c r="C38" s="6" t="n">
        <x:v>639000</x:v>
      </x:c>
      <x:c r="D38" s="6" t="n">
        <x:v>1743000</x:v>
      </x:c>
      <x:c r="E38" s="6" t="n">
        <x:f>C38-D38</x:f>
        <x:v>-1104000</x:v>
      </x:c>
      <x:c r="F38" s="6" t="n">
        <x:f>F37+E38</x:f>
        <x:v>-36582000</x:v>
      </x:c>
      <x:c r="G38" s="6" t="n">
        <x:v>523000</x:v>
      </x:c>
      <x:c r="H38" s="6" t="n">
        <x:v>1627000</x:v>
      </x:c>
      <x:c r="I38" s="6" t="n">
        <x:v>143</x:v>
      </x:c>
      <x:c r="J38" s="6" t="n">
        <x:v>94</x:v>
      </x:c>
      <x:c r="K38" s="6" t="n">
        <x:v>51</x:v>
      </x:c>
      <x:c r="L38" s="6" t="n">
        <x:v>10</x:v>
      </x:c>
      <x:c r="M38" s="11" t="n">
        <x:v>0.556984126984127</x:v>
      </x:c>
      <x:c r="N38" s="6" t="n">
        <x:v>1142000</x:v>
      </x:c>
    </x:row>
    <x:row r="39" ht="24" customHeight="1">
      <x:c r="A39" s="2" t="str">
        <x:v>2026-10-13_Night</x:v>
      </x:c>
      <x:c r="B39" s="6" t="str">
        <x:v>ナイト</x:v>
      </x:c>
      <x:c r="C39" s="6" t="n">
        <x:v>251000</x:v>
      </x:c>
      <x:c r="D39" s="6" t="n">
        <x:v>1582000</x:v>
      </x:c>
      <x:c r="E39" s="6" t="n">
        <x:f>C39-D39</x:f>
        <x:v>-1331000</x:v>
      </x:c>
      <x:c r="F39" s="6" t="n">
        <x:f>F38+E39</x:f>
        <x:v>-37913000</x:v>
      </x:c>
      <x:c r="G39" s="6" t="n">
        <x:v>134000</x:v>
      </x:c>
      <x:c r="H39" s="6" t="n">
        <x:v>1465000</x:v>
      </x:c>
      <x:c r="I39" s="6" t="n">
        <x:v>156</x:v>
      </x:c>
      <x:c r="J39" s="6" t="n">
        <x:v>88</x:v>
      </x:c>
      <x:c r="K39" s="6" t="n">
        <x:v>57</x:v>
      </x:c>
      <x:c r="L39" s="6" t="n">
        <x:v>10</x:v>
      </x:c>
      <x:c r="M39" s="11" t="n">
        <x:v>0.5865811965811966</x:v>
      </x:c>
      <x:c r="N39" s="6" t="n">
        <x:v>1336000</x:v>
      </x:c>
    </x:row>
    <x:row r="40" ht="24" customHeight="1">
      <x:c r="A40" s="2" t="str">
        <x:v>2026-10-14_Day</x:v>
      </x:c>
      <x:c r="B40" s="6" t="str">
        <x:v>デイ</x:v>
      </x:c>
      <x:c r="C40" s="6" t="n">
        <x:v>533000</x:v>
      </x:c>
      <x:c r="D40" s="6" t="n">
        <x:v>1606000</x:v>
      </x:c>
      <x:c r="E40" s="6" t="n">
        <x:f>C40-D40</x:f>
        <x:v>-1073000</x:v>
      </x:c>
      <x:c r="F40" s="6" t="n">
        <x:f>F39+E40</x:f>
        <x:v>-38986000</x:v>
      </x:c>
      <x:c r="G40" s="6" t="n">
        <x:v>408000</x:v>
      </x:c>
      <x:c r="H40" s="6" t="n">
        <x:v>1481000</x:v>
      </x:c>
      <x:c r="I40" s="6" t="n">
        <x:v>136</x:v>
      </x:c>
      <x:c r="J40" s="6" t="n">
        <x:v>85</x:v>
      </x:c>
      <x:c r="K40" s="6" t="n">
        <x:v>41</x:v>
      </x:c>
      <x:c r="L40" s="6" t="n">
        <x:v>10</x:v>
      </x:c>
      <x:c r="M40" s="11" t="n">
        <x:v>0.5003174603174603</x:v>
      </x:c>
      <x:c r="N40" s="6" t="n">
        <x:v>1116000</x:v>
      </x:c>
    </x:row>
    <x:row r="41" ht="24" customHeight="1">
      <x:c r="A41" s="2" t="str">
        <x:v>2026-10-14_Night</x:v>
      </x:c>
      <x:c r="B41" s="6" t="str">
        <x:v>ナイト</x:v>
      </x:c>
      <x:c r="C41" s="6" t="n">
        <x:v>755000</x:v>
      </x:c>
      <x:c r="D41" s="6" t="n">
        <x:v>2150000</x:v>
      </x:c>
      <x:c r="E41" s="6" t="n">
        <x:f>C41-D41</x:f>
        <x:v>-1395000</x:v>
      </x:c>
      <x:c r="F41" s="6" t="n">
        <x:f>F40+E41</x:f>
        <x:v>-40381000</x:v>
      </x:c>
      <x:c r="G41" s="6" t="n">
        <x:v>633000</x:v>
      </x:c>
      <x:c r="H41" s="6" t="n">
        <x:v>2028000</x:v>
      </x:c>
      <x:c r="I41" s="6" t="n">
        <x:v>181</x:v>
      </x:c>
      <x:c r="J41" s="6" t="n">
        <x:v>138</x:v>
      </x:c>
      <x:c r="K41" s="6" t="n">
        <x:v>78</x:v>
      </x:c>
      <x:c r="L41" s="6" t="n">
        <x:v>10</x:v>
      </x:c>
      <x:c r="M41" s="11" t="n">
        <x:v>0.534508547008547</x:v>
      </x:c>
      <x:c r="N41" s="6" t="n">
        <x:v>1418000</x:v>
      </x:c>
    </x:row>
    <x:row r="42" ht="24" customHeight="1">
      <x:c r="A42" s="2" t="str">
        <x:v>2026-10-15_Day</x:v>
      </x:c>
      <x:c r="B42" s="6" t="str">
        <x:v>デイ</x:v>
      </x:c>
      <x:c r="C42" s="6" t="n">
        <x:v>774000</x:v>
      </x:c>
      <x:c r="D42" s="6" t="n">
        <x:v>1726000</x:v>
      </x:c>
      <x:c r="E42" s="6" t="n">
        <x:f>C42-D42</x:f>
        <x:v>-952000</x:v>
      </x:c>
      <x:c r="F42" s="6" t="n">
        <x:f>F41+E42</x:f>
        <x:v>-41333000</x:v>
      </x:c>
      <x:c r="G42" s="6" t="n">
        <x:v>657000</x:v>
      </x:c>
      <x:c r="H42" s="6" t="n">
        <x:v>1609000</x:v>
      </x:c>
      <x:c r="I42" s="6" t="n">
        <x:v>129</x:v>
      </x:c>
      <x:c r="J42" s="6" t="n">
        <x:v>107</x:v>
      </x:c>
      <x:c r="K42" s="6" t="n">
        <x:v>39</x:v>
      </x:c>
      <x:c r="L42" s="6" t="n">
        <x:v>10</x:v>
      </x:c>
      <x:c r="M42" s="11" t="n">
        <x:v>0.3459126984126984</x:v>
      </x:c>
      <x:c r="N42" s="6" t="n">
        <x:v>1160000</x:v>
      </x:c>
    </x:row>
    <x:row r="43" ht="24" customHeight="1">
      <x:c r="A43" s="2" t="str">
        <x:v>2026-10-15_Night</x:v>
      </x:c>
      <x:c r="B43" s="6" t="str">
        <x:v>ナイト</x:v>
      </x:c>
      <x:c r="C43" s="6" t="n">
        <x:v>781000</x:v>
      </x:c>
      <x:c r="D43" s="6" t="n">
        <x:v>2725000</x:v>
      </x:c>
      <x:c r="E43" s="6" t="n">
        <x:f>C43-D43</x:f>
        <x:v>-1944000</x:v>
      </x:c>
      <x:c r="F43" s="6" t="n">
        <x:f>F42+E43</x:f>
        <x:v>-43277000</x:v>
      </x:c>
      <x:c r="G43" s="6" t="n">
        <x:v>620000</x:v>
      </x:c>
      <x:c r="H43" s="6" t="n">
        <x:v>2564000</x:v>
      </x:c>
      <x:c r="I43" s="6" t="n">
        <x:v>194</x:v>
      </x:c>
      <x:c r="J43" s="6" t="n">
        <x:v>137</x:v>
      </x:c>
      <x:c r="K43" s="6" t="n">
        <x:v>86</x:v>
      </x:c>
      <x:c r="L43" s="6" t="n">
        <x:v>10</x:v>
      </x:c>
      <x:c r="M43" s="11" t="n">
        <x:v>0.4604059829059829</x:v>
      </x:c>
      <x:c r="N43" s="6" t="n">
        <x:v>1990000</x:v>
      </x:c>
    </x:row>
    <x:row r="44" ht="24" customHeight="1">
      <x:c r="A44" s="2" t="str">
        <x:v>2026-10-16_Day</x:v>
      </x:c>
      <x:c r="B44" s="6" t="str">
        <x:v>デイ</x:v>
      </x:c>
      <x:c r="C44" s="6" t="n">
        <x:v>343000</x:v>
      </x:c>
      <x:c r="D44" s="6" t="n">
        <x:v>1404000</x:v>
      </x:c>
      <x:c r="E44" s="6" t="n">
        <x:f>C44-D44</x:f>
        <x:v>-1061000</x:v>
      </x:c>
      <x:c r="F44" s="6" t="n">
        <x:f>F43+E44</x:f>
        <x:v>-44338000</x:v>
      </x:c>
      <x:c r="G44" s="6" t="n">
        <x:v>252000</x:v>
      </x:c>
      <x:c r="H44" s="6" t="n">
        <x:v>1313000</x:v>
      </x:c>
      <x:c r="I44" s="6" t="n">
        <x:v>115</x:v>
      </x:c>
      <x:c r="J44" s="6" t="n">
        <x:v>72</x:v>
      </x:c>
      <x:c r="K44" s="6" t="n">
        <x:v>29</x:v>
      </x:c>
      <x:c r="L44" s="6" t="n">
        <x:v>10</x:v>
      </x:c>
      <x:c r="M44" s="11" t="n">
        <x:v>0.37896825396825395</x:v>
      </x:c>
      <x:c r="N44" s="6" t="n">
        <x:v>1081000</x:v>
      </x:c>
    </x:row>
    <x:row r="45" ht="24" customHeight="1">
      <x:c r="A45" s="2" t="str">
        <x:v>2026-10-16_Night</x:v>
      </x:c>
      <x:c r="B45" s="6" t="str">
        <x:v>ナイト</x:v>
      </x:c>
      <x:c r="C45" s="6" t="n">
        <x:v>1133000</x:v>
      </x:c>
      <x:c r="D45" s="6" t="n">
        <x:v>2546000</x:v>
      </x:c>
      <x:c r="E45" s="6" t="n">
        <x:f>C45-D45</x:f>
        <x:v>-1413000</x:v>
      </x:c>
      <x:c r="F45" s="6" t="n">
        <x:f>F44+E45</x:f>
        <x:v>-45751000</x:v>
      </x:c>
      <x:c r="G45" s="6" t="n">
        <x:v>954000</x:v>
      </x:c>
      <x:c r="H45" s="6" t="n">
        <x:v>2367000</x:v>
      </x:c>
      <x:c r="I45" s="6" t="n">
        <x:v>207</x:v>
      </x:c>
      <x:c r="J45" s="6" t="n">
        <x:v>154</x:v>
      </x:c>
      <x:c r="K45" s="6" t="n">
        <x:v>90</x:v>
      </x:c>
      <x:c r="L45" s="6" t="n">
        <x:v>10</x:v>
      </x:c>
      <x:c r="M45" s="11" t="n">
        <x:v>0.4837179487179487</x:v>
      </x:c>
      <x:c r="N45" s="6" t="n">
        <x:v>1413000</x:v>
      </x:c>
    </x:row>
    <x:row r="46" ht="24" customHeight="1">
      <x:c r="A46" s="2" t="str">
        <x:v>2026-10-19_Day</x:v>
      </x:c>
      <x:c r="B46" s="6" t="str">
        <x:v>デイ</x:v>
      </x:c>
      <x:c r="C46" s="6" t="n">
        <x:v>572000</x:v>
      </x:c>
      <x:c r="D46" s="6" t="n">
        <x:v>1419000</x:v>
      </x:c>
      <x:c r="E46" s="6" t="n">
        <x:f>C46-D46</x:f>
        <x:v>-847000</x:v>
      </x:c>
      <x:c r="F46" s="6" t="n">
        <x:f>F45+E46</x:f>
        <x:v>-46598000</x:v>
      </x:c>
      <x:c r="G46" s="6" t="n">
        <x:v>485000</x:v>
      </x:c>
      <x:c r="H46" s="6" t="n">
        <x:v>1332000</x:v>
      </x:c>
      <x:c r="I46" s="6" t="n">
        <x:v>127</x:v>
      </x:c>
      <x:c r="J46" s="6" t="n">
        <x:v>82</x:v>
      </x:c>
      <x:c r="K46" s="6" t="n">
        <x:v>40</x:v>
      </x:c>
      <x:c r="L46" s="6" t="n">
        <x:v>10</x:v>
      </x:c>
      <x:c r="M46" s="11" t="n">
        <x:v>0.4282936507936508</x:v>
      </x:c>
      <x:c r="N46" s="6" t="n">
        <x:v>1065000</x:v>
      </x:c>
    </x:row>
    <x:row r="47" ht="24" customHeight="1">
      <x:c r="A47" s="2" t="str">
        <x:v>2026-10-19_Night</x:v>
      </x:c>
      <x:c r="B47" s="6" t="str">
        <x:v>ナイト</x:v>
      </x:c>
      <x:c r="C47" s="6" t="n">
        <x:v>480000</x:v>
      </x:c>
      <x:c r="D47" s="6" t="n">
        <x:v>2142000</x:v>
      </x:c>
      <x:c r="E47" s="6" t="n">
        <x:f>C47-D47</x:f>
        <x:v>-1662000</x:v>
      </x:c>
      <x:c r="F47" s="6" t="n">
        <x:f>F46+E47</x:f>
        <x:v>-48260000</x:v>
      </x:c>
      <x:c r="G47" s="6" t="n">
        <x:v>359000</x:v>
      </x:c>
      <x:c r="H47" s="6" t="n">
        <x:v>2021000</x:v>
      </x:c>
      <x:c r="I47" s="6" t="n">
        <x:v>175</x:v>
      </x:c>
      <x:c r="J47" s="6" t="n">
        <x:v>114</x:v>
      </x:c>
      <x:c r="K47" s="6" t="n">
        <x:v>95</x:v>
      </x:c>
      <x:c r="L47" s="6" t="n">
        <x:v>10</x:v>
      </x:c>
      <x:c r="M47" s="11" t="n">
        <x:v>0.4999145299145299</x:v>
      </x:c>
      <x:c r="N47" s="6" t="n">
        <x:v>1690000</x:v>
      </x:c>
    </x:row>
    <x:row r="48" ht="24" customHeight="1">
      <x:c r="A48" s="2" t="str">
        <x:v>2026-10-20_Day</x:v>
      </x:c>
      <x:c r="B48" s="6" t="str">
        <x:v>デイ</x:v>
      </x:c>
      <x:c r="C48" s="6" t="n">
        <x:v>541000</x:v>
      </x:c>
      <x:c r="D48" s="6" t="n">
        <x:v>1332000</x:v>
      </x:c>
      <x:c r="E48" s="6" t="n">
        <x:f>C48-D48</x:f>
        <x:v>-791000</x:v>
      </x:c>
      <x:c r="F48" s="6" t="n">
        <x:f>F47+E48</x:f>
        <x:v>-49051000</x:v>
      </x:c>
      <x:c r="G48" s="6" t="n">
        <x:v>412000</x:v>
      </x:c>
      <x:c r="H48" s="6" t="n">
        <x:v>1203000</x:v>
      </x:c>
      <x:c r="I48" s="6" t="n">
        <x:v>115</x:v>
      </x:c>
      <x:c r="J48" s="6" t="n">
        <x:v>88</x:v>
      </x:c>
      <x:c r="K48" s="6" t="n">
        <x:v>31</x:v>
      </x:c>
      <x:c r="L48" s="6" t="n">
        <x:v>10</x:v>
      </x:c>
      <x:c r="M48" s="11" t="n">
        <x:v>0.33555555555555555</x:v>
      </x:c>
      <x:c r="N48" s="6" t="n">
        <x:v>837000</x:v>
      </x:c>
    </x:row>
    <x:row r="49" ht="24" customHeight="1">
      <x:c r="A49" s="2" t="str">
        <x:v>2026-10-20_Night</x:v>
      </x:c>
      <x:c r="B49" s="6" t="str">
        <x:v>ナイト</x:v>
      </x:c>
      <x:c r="C49" s="6" t="n">
        <x:v>662000</x:v>
      </x:c>
      <x:c r="D49" s="6" t="n">
        <x:v>2106000</x:v>
      </x:c>
      <x:c r="E49" s="6" t="n">
        <x:f>C49-D49</x:f>
        <x:v>-1444000</x:v>
      </x:c>
      <x:c r="F49" s="6" t="n">
        <x:f>F48+E49</x:f>
        <x:v>-50495000</x:v>
      </x:c>
      <x:c r="G49" s="6" t="n">
        <x:v>512000</x:v>
      </x:c>
      <x:c r="H49" s="6" t="n">
        <x:v>1956000</x:v>
      </x:c>
      <x:c r="I49" s="6" t="n">
        <x:v>170</x:v>
      </x:c>
      <x:c r="J49" s="6" t="n">
        <x:v>118</x:v>
      </x:c>
      <x:c r="K49" s="6" t="n">
        <x:v>61</x:v>
      </x:c>
      <x:c r="L49" s="6" t="n">
        <x:v>10</x:v>
      </x:c>
      <x:c r="M49" s="11" t="n">
        <x:v>0.45465811965811964</x:v>
      </x:c>
      <x:c r="N49" s="6" t="n">
        <x:v>1512000</x:v>
      </x:c>
    </x:row>
    <x:row r="50" ht="24" customHeight="1">
      <x:c r="A50" s="2" t="str">
        <x:v>2026-10-21_Day</x:v>
      </x:c>
      <x:c r="B50" s="6" t="str">
        <x:v>デイ</x:v>
      </x:c>
      <x:c r="C50" s="6" t="n">
        <x:v>269000</x:v>
      </x:c>
      <x:c r="D50" s="6" t="n">
        <x:v>1556000</x:v>
      </x:c>
      <x:c r="E50" s="6" t="n">
        <x:f>C50-D50</x:f>
        <x:v>-1287000</x:v>
      </x:c>
      <x:c r="F50" s="6" t="n">
        <x:f>F49+E50</x:f>
        <x:v>-51782000</x:v>
      </x:c>
      <x:c r="G50" s="6" t="n">
        <x:v>171000</x:v>
      </x:c>
      <x:c r="H50" s="6" t="n">
        <x:v>1458000</x:v>
      </x:c>
      <x:c r="I50" s="6" t="n">
        <x:v>134</x:v>
      </x:c>
      <x:c r="J50" s="6" t="n">
        <x:v>86</x:v>
      </x:c>
      <x:c r="K50" s="6" t="n">
        <x:v>42</x:v>
      </x:c>
      <x:c r="L50" s="6" t="n">
        <x:v>10</x:v>
      </x:c>
      <x:c r="M50" s="11" t="n">
        <x:v>0.43956349206349205</x:v>
      </x:c>
      <x:c r="N50" s="6" t="n">
        <x:v>1289000</x:v>
      </x:c>
    </x:row>
    <x:row r="51" ht="24" customHeight="1">
      <x:c r="A51" s="2" t="str">
        <x:v>2026-10-21_Night</x:v>
      </x:c>
      <x:c r="B51" s="6" t="str">
        <x:v>ナイト</x:v>
      </x:c>
      <x:c r="C51" s="6" t="n">
        <x:v>567000</x:v>
      </x:c>
      <x:c r="D51" s="6" t="n">
        <x:v>1762000</x:v>
      </x:c>
      <x:c r="E51" s="6" t="n">
        <x:f>C51-D51</x:f>
        <x:v>-1195000</x:v>
      </x:c>
      <x:c r="F51" s="6" t="n">
        <x:f>F50+E51</x:f>
        <x:v>-52977000</x:v>
      </x:c>
      <x:c r="G51" s="6" t="n">
        <x:v>449000</x:v>
      </x:c>
      <x:c r="H51" s="6" t="n">
        <x:v>1644000</x:v>
      </x:c>
      <x:c r="I51" s="6" t="n">
        <x:v>153</x:v>
      </x:c>
      <x:c r="J51" s="6" t="n">
        <x:v>101</x:v>
      </x:c>
      <x:c r="K51" s="6" t="n">
        <x:v>60</x:v>
      </x:c>
      <x:c r="L51" s="6" t="n">
        <x:v>10</x:v>
      </x:c>
      <x:c r="M51" s="11" t="n">
        <x:v>0.44166666666666665</x:v>
      </x:c>
      <x:c r="N51" s="6" t="n">
        <x:v>1248000</x:v>
      </x:c>
    </x:row>
    <x:row r="52" ht="24" customHeight="1">
      <x:c r="A52" s="2" t="str">
        <x:v>2026-10-22_Day</x:v>
      </x:c>
      <x:c r="B52" s="6" t="str">
        <x:v>デイ</x:v>
      </x:c>
      <x:c r="C52" s="6" t="n">
        <x:v>509000</x:v>
      </x:c>
      <x:c r="D52" s="6" t="n">
        <x:v>1462000</x:v>
      </x:c>
      <x:c r="E52" s="6" t="n">
        <x:f>C52-D52</x:f>
        <x:v>-953000</x:v>
      </x:c>
      <x:c r="F52" s="6" t="n">
        <x:f>F51+E52</x:f>
        <x:v>-53930000</x:v>
      </x:c>
      <x:c r="G52" s="6" t="n">
        <x:v>444000</x:v>
      </x:c>
      <x:c r="H52" s="6" t="n">
        <x:v>1397000</x:v>
      </x:c>
      <x:c r="I52" s="6" t="n">
        <x:v>126</x:v>
      </x:c>
      <x:c r="J52" s="6" t="n">
        <x:v>87</x:v>
      </x:c>
      <x:c r="K52" s="6" t="n">
        <x:v>35</x:v>
      </x:c>
      <x:c r="L52" s="6" t="n">
        <x:v>10</x:v>
      </x:c>
      <x:c r="M52" s="11" t="n">
        <x:v>0.3690079365079365</x:v>
      </x:c>
      <x:c r="N52" s="6" t="n">
        <x:v>1081000</x:v>
      </x:c>
    </x:row>
    <x:row r="53" ht="24" customHeight="1">
      <x:c r="A53" s="2" t="str">
        <x:v>2026-10-22_Night</x:v>
      </x:c>
      <x:c r="B53" s="6" t="str">
        <x:v>ナイト</x:v>
      </x:c>
      <x:c r="C53" s="6" t="n">
        <x:v>880000</x:v>
      </x:c>
      <x:c r="D53" s="6" t="n">
        <x:v>2238000</x:v>
      </x:c>
      <x:c r="E53" s="6" t="n">
        <x:f>C53-D53</x:f>
        <x:v>-1358000</x:v>
      </x:c>
      <x:c r="F53" s="6" t="n">
        <x:f>F52+E53</x:f>
        <x:v>-55288000</x:v>
      </x:c>
      <x:c r="G53" s="6" t="n">
        <x:v>732000</x:v>
      </x:c>
      <x:c r="H53" s="6" t="n">
        <x:v>2090000</x:v>
      </x:c>
      <x:c r="I53" s="6" t="n">
        <x:v>190</x:v>
      </x:c>
      <x:c r="J53" s="6" t="n">
        <x:v>124</x:v>
      </x:c>
      <x:c r="K53" s="6" t="n">
        <x:v>87</x:v>
      </x:c>
      <x:c r="L53" s="6" t="n">
        <x:v>10</x:v>
      </x:c>
      <x:c r="M53" s="11" t="n">
        <x:v>0.42604700854700855</x:v>
      </x:c>
      <x:c r="N53" s="6" t="n">
        <x:v>1484000</x:v>
      </x:c>
    </x:row>
    <x:row r="54" ht="24" customHeight="1">
      <x:c r="A54" s="2" t="str">
        <x:v>2026-10-23_Day</x:v>
      </x:c>
      <x:c r="B54" s="6" t="str">
        <x:v>デイ</x:v>
      </x:c>
      <x:c r="C54" s="6" t="n">
        <x:v>557000</x:v>
      </x:c>
      <x:c r="D54" s="6" t="n">
        <x:v>1938000</x:v>
      </x:c>
      <x:c r="E54" s="6" t="n">
        <x:f>C54-D54</x:f>
        <x:v>-1381000</x:v>
      </x:c>
      <x:c r="F54" s="6" t="n">
        <x:f>F53+E54</x:f>
        <x:v>-56669000</x:v>
      </x:c>
      <x:c r="G54" s="6" t="n">
        <x:v>454000</x:v>
      </x:c>
      <x:c r="H54" s="6" t="n">
        <x:v>1835000</x:v>
      </x:c>
      <x:c r="I54" s="6" t="n">
        <x:v>139</x:v>
      </x:c>
      <x:c r="J54" s="6" t="n">
        <x:v>91</x:v>
      </x:c>
      <x:c r="K54" s="6" t="n">
        <x:v>53</x:v>
      </x:c>
      <x:c r="L54" s="6" t="n">
        <x:v>10</x:v>
      </x:c>
      <x:c r="M54" s="11" t="n">
        <x:v>0.3159920634920635</x:v>
      </x:c>
      <x:c r="N54" s="6" t="n">
        <x:v>1425000</x:v>
      </x:c>
    </x:row>
    <x:row r="55" ht="24" customHeight="1">
      <x:c r="A55" s="2" t="str">
        <x:v>2026-10-23_Night</x:v>
      </x:c>
      <x:c r="B55" s="6" t="str">
        <x:v>ナイト</x:v>
      </x:c>
      <x:c r="C55" s="6" t="n">
        <x:v>723000</x:v>
      </x:c>
      <x:c r="D55" s="6" t="n">
        <x:v>2576000</x:v>
      </x:c>
      <x:c r="E55" s="6" t="n">
        <x:f>C55-D55</x:f>
        <x:v>-1853000</x:v>
      </x:c>
      <x:c r="F55" s="6" t="n">
        <x:f>F54+E55</x:f>
        <x:v>-58522000</x:v>
      </x:c>
      <x:c r="G55" s="6" t="n">
        <x:v>587000</x:v>
      </x:c>
      <x:c r="H55" s="6" t="n">
        <x:v>2440000</x:v>
      </x:c>
      <x:c r="I55" s="6" t="n">
        <x:v>215</x:v>
      </x:c>
      <x:c r="J55" s="6" t="n">
        <x:v>133</x:v>
      </x:c>
      <x:c r="K55" s="6" t="n">
        <x:v>92</x:v>
      </x:c>
      <x:c r="L55" s="6" t="n">
        <x:v>10</x:v>
      </x:c>
      <x:c r="M55" s="11" t="n">
        <x:v>0.5058760683760684</x:v>
      </x:c>
      <x:c r="N55" s="6" t="n">
        <x:v>1898000</x:v>
      </x:c>
    </x:row>
    <x:row r="56" ht="24" customHeight="1">
      <x:c r="A56" s="2" t="str">
        <x:v>2026-10-26_Day</x:v>
      </x:c>
      <x:c r="B56" s="6" t="str">
        <x:v>デイ</x:v>
      </x:c>
      <x:c r="C56" s="6" t="n">
        <x:v>422000</x:v>
      </x:c>
      <x:c r="D56" s="6" t="n">
        <x:v>1444000</x:v>
      </x:c>
      <x:c r="E56" s="6" t="n">
        <x:f>C56-D56</x:f>
        <x:v>-1022000</x:v>
      </x:c>
      <x:c r="F56" s="6" t="n">
        <x:f>F55+E56</x:f>
        <x:v>-59544000</x:v>
      </x:c>
      <x:c r="G56" s="6" t="n">
        <x:v>317000</x:v>
      </x:c>
      <x:c r="H56" s="6" t="n">
        <x:v>1339000</x:v>
      </x:c>
      <x:c r="I56" s="6" t="n">
        <x:v>117</x:v>
      </x:c>
      <x:c r="J56" s="6" t="n">
        <x:v>80</x:v>
      </x:c>
      <x:c r="K56" s="6" t="n">
        <x:v>38</x:v>
      </x:c>
      <x:c r="L56" s="6" t="n">
        <x:v>10</x:v>
      </x:c>
      <x:c r="M56" s="11" t="n">
        <x:v>0.35015873015873017</x:v>
      </x:c>
      <x:c r="N56" s="6" t="n">
        <x:v>1063000</x:v>
      </x:c>
    </x:row>
    <x:row r="57" ht="24" customHeight="1">
      <x:c r="A57" s="15" t="str">
        <x:v>累計／平均／最大</x:v>
      </x:c>
      <x:c r="B57" s="16"/>
      <x:c r="C57" s="16" t="n">
        <x:f>SUM(C6:C56)</x:f>
        <x:v>25719000</x:v>
      </x:c>
      <x:c r="D57" s="16" t="n">
        <x:f>SUM(D6:D56)</x:f>
        <x:v>85263000</x:v>
      </x:c>
      <x:c r="E57" s="16" t="n">
        <x:f>C57-D57</x:f>
        <x:v>-59544000</x:v>
      </x:c>
      <x:c r="F57" s="16" t="n">
        <x:f>F56</x:f>
        <x:v>-59544000</x:v>
      </x:c>
      <x:c r="G57" s="16" t="n">
        <x:f>SUM(G6:G56)</x:f>
        <x:v>20492000</x:v>
      </x:c>
      <x:c r="H57" s="16" t="n">
        <x:f>SUM(H6:H56)</x:f>
        <x:v>80036000</x:v>
      </x:c>
      <x:c r="I57" s="16" t="n">
        <x:f>SUM(I6:I56)</x:f>
        <x:v>7196</x:v>
      </x:c>
      <x:c r="J57" s="16" t="n">
        <x:f>SUM(J6:J56)</x:f>
        <x:v>4650</x:v>
      </x:c>
      <x:c r="K57" s="16" t="n">
        <x:f>SUM(K6:K56)</x:f>
        <x:v>2906</x:v>
      </x:c>
      <x:c r="L57" s="16" t="n">
        <x:f>MAX(L6:L56)</x:f>
        <x:v>10</x:v>
      </x:c>
      <x:c r="M57" s="17" t="n">
        <x:f>AVERAGE(M6:M56)</x:f>
        <x:v>0.4945476908712202</x:v>
      </x:c>
      <x:c r="N57" s="16" t="n">
        <x:f>MAX(N6:N56)</x:f>
        <x:v>2168000</x:v>
      </x:c>
    </x:row>
  </x:sheetData>
  <x:conditionalFormatting sqref="E6:F56">
    <x:cfRule type="cellIs" dxfId="3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23ae673377748c7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1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4" customHeight="1">
      <x:c r="A1" s="3" t="str">
        <x:v>日経 R05　各セッションの利益・損失・収支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A2" s="4" t="str">
        <x:v>2026/09/21〜10/26デイ・51完了場。日経mini／TOPIXmini各上限10枚・手数料0。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4" customHeight="1">
      <x:c r="A3" s="4" t="str">
        <x:v>10分MA・初回は傾き比例枚数・返済後は冷却して再参加・利益の伸びを追尾／T出口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4" customHeight="1">
      <x:c r="A4" s="4" t="str">
        <x:v>利益・損失＝FIFO返済配賦別。親＝初回から全返済まで。ラージ気配による模型で、mini実約定の検証ではありません。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42" customHeight="1">
      <x:c r="A5" s="10" t="str">
        <x:v>セッション</x:v>
      </x:c>
      <x:c r="B5" s="10" t="str">
        <x:v>区分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親利益（円）</x:v>
      </x:c>
      <x:c r="H5" s="10" t="str">
        <x:v>親損失（円）</x:v>
      </x:c>
      <x:c r="I5" s="10" t="str">
        <x:v>初回件数</x:v>
      </x:c>
      <x:c r="J5" s="10" t="str">
        <x:v>追加件数</x:v>
      </x:c>
      <x:c r="K5" s="10" t="str">
        <x:v>縮小件数</x:v>
      </x:c>
      <x:c r="L5" s="10" t="str">
        <x:v>最大保有枚数</x:v>
      </x:c>
      <x:c r="M5" s="10" t="str">
        <x:v>保有時間率</x:v>
      </x:c>
      <x:c r="N5" s="10" t="str">
        <x:v>時価最大DD（円）</x:v>
      </x:c>
    </x:row>
    <x:row r="6" ht="24" customHeight="1">
      <x:c r="A6" s="2" t="str">
        <x:v>2026-09-21_Day</x:v>
      </x:c>
      <x:c r="B6" s="6" t="str">
        <x:v>デイ</x:v>
      </x:c>
      <x:c r="C6" s="6" t="n">
        <x:v>53000</x:v>
      </x:c>
      <x:c r="D6" s="6" t="n">
        <x:v>135000</x:v>
      </x:c>
      <x:c r="E6" s="6" t="n">
        <x:f>C6-D6</x:f>
        <x:v>-82000</x:v>
      </x:c>
      <x:c r="F6" s="6" t="n">
        <x:f>E6</x:f>
        <x:v>-82000</x:v>
      </x:c>
      <x:c r="G6" s="6" t="n">
        <x:v>53000</x:v>
      </x:c>
      <x:c r="H6" s="6" t="n">
        <x:v>135000</x:v>
      </x:c>
      <x:c r="I6" s="6" t="n">
        <x:v>18</x:v>
      </x:c>
      <x:c r="J6" s="6" t="n">
        <x:v>0</x:v>
      </x:c>
      <x:c r="K6" s="6" t="n">
        <x:v>0</x:v>
      </x:c>
      <x:c r="L6" s="6" t="n">
        <x:v>7</x:v>
      </x:c>
      <x:c r="M6" s="11" t="n">
        <x:v>0.43424603174603177</x:v>
      </x:c>
      <x:c r="N6" s="6" t="n">
        <x:v>106000</x:v>
      </x:c>
    </x:row>
    <x:row r="7" ht="24" customHeight="1">
      <x:c r="A7" s="2" t="str">
        <x:v>2026-09-21_Night</x:v>
      </x:c>
      <x:c r="B7" s="6" t="str">
        <x:v>ナイト</x:v>
      </x:c>
      <x:c r="C7" s="6" t="n">
        <x:v>89000</x:v>
      </x:c>
      <x:c r="D7" s="6" t="n">
        <x:v>55000</x:v>
      </x:c>
      <x:c r="E7" s="6" t="n">
        <x:f>C7-D7</x:f>
        <x:v>34000</x:v>
      </x:c>
      <x:c r="F7" s="6" t="n">
        <x:f>F6+E7</x:f>
        <x:v>-48000</x:v>
      </x:c>
      <x:c r="G7" s="6" t="n">
        <x:v>89000</x:v>
      </x:c>
      <x:c r="H7" s="6" t="n">
        <x:v>55000</x:v>
      </x:c>
      <x:c r="I7" s="6" t="n">
        <x:v>20</x:v>
      </x:c>
      <x:c r="J7" s="6" t="n">
        <x:v>0</x:v>
      </x:c>
      <x:c r="K7" s="6" t="n">
        <x:v>0</x:v>
      </x:c>
      <x:c r="L7" s="6" t="n">
        <x:v>5</x:v>
      </x:c>
      <x:c r="M7" s="11" t="n">
        <x:v>0.3348290598290598</x:v>
      </x:c>
      <x:c r="N7" s="6" t="n">
        <x:v>41000</x:v>
      </x:c>
    </x:row>
    <x:row r="8" ht="24" customHeight="1">
      <x:c r="A8" s="2" t="str">
        <x:v>2026-09-22_Day</x:v>
      </x:c>
      <x:c r="B8" s="6" t="str">
        <x:v>デイ</x:v>
      </x:c>
      <x:c r="C8" s="6" t="n">
        <x:v>57000</x:v>
      </x:c>
      <x:c r="D8" s="6" t="n">
        <x:v>137000</x:v>
      </x:c>
      <x:c r="E8" s="6" t="n">
        <x:f>C8-D8</x:f>
        <x:v>-80000</x:v>
      </x:c>
      <x:c r="F8" s="6" t="n">
        <x:f>F7+E8</x:f>
        <x:v>-128000</x:v>
      </x:c>
      <x:c r="G8" s="6" t="n">
        <x:v>57000</x:v>
      </x:c>
      <x:c r="H8" s="6" t="n">
        <x:v>137000</x:v>
      </x:c>
      <x:c r="I8" s="6" t="n">
        <x:v>28</x:v>
      </x:c>
      <x:c r="J8" s="6" t="n">
        <x:v>0</x:v>
      </x:c>
      <x:c r="K8" s="6" t="n">
        <x:v>0</x:v>
      </x:c>
      <x:c r="L8" s="6" t="n">
        <x:v>6</x:v>
      </x:c>
      <x:c r="M8" s="11" t="n">
        <x:v>0.3682936507936508</x:v>
      </x:c>
      <x:c r="N8" s="6" t="n">
        <x:v>111000</x:v>
      </x:c>
    </x:row>
    <x:row r="9" ht="24" customHeight="1">
      <x:c r="A9" s="2" t="str">
        <x:v>2026-09-22_Night</x:v>
      </x:c>
      <x:c r="B9" s="6" t="str">
        <x:v>ナイト</x:v>
      </x:c>
      <x:c r="C9" s="6" t="n">
        <x:v>111000</x:v>
      </x:c>
      <x:c r="D9" s="6" t="n">
        <x:v>160000</x:v>
      </x:c>
      <x:c r="E9" s="6" t="n">
        <x:f>C9-D9</x:f>
        <x:v>-49000</x:v>
      </x:c>
      <x:c r="F9" s="6" t="n">
        <x:f>F8+E9</x:f>
        <x:v>-177000</x:v>
      </x:c>
      <x:c r="G9" s="6" t="n">
        <x:v>111000</x:v>
      </x:c>
      <x:c r="H9" s="6" t="n">
        <x:v>160000</x:v>
      </x:c>
      <x:c r="I9" s="6" t="n">
        <x:v>27</x:v>
      </x:c>
      <x:c r="J9" s="6" t="n">
        <x:v>0</x:v>
      </x:c>
      <x:c r="K9" s="6" t="n">
        <x:v>0</x:v>
      </x:c>
      <x:c r="L9" s="6" t="n">
        <x:v>7</x:v>
      </x:c>
      <x:c r="M9" s="11" t="n">
        <x:v>0.2793803418803419</x:v>
      </x:c>
      <x:c r="N9" s="6" t="n">
        <x:v>89000</x:v>
      </x:c>
    </x:row>
    <x:row r="10" ht="24" customHeight="1">
      <x:c r="A10" s="2" t="str">
        <x:v>2026-09-23_Day</x:v>
      </x:c>
      <x:c r="B10" s="6" t="str">
        <x:v>デイ</x:v>
      </x:c>
      <x:c r="C10" s="6" t="n">
        <x:v>35000</x:v>
      </x:c>
      <x:c r="D10" s="6" t="n">
        <x:v>77000</x:v>
      </x:c>
      <x:c r="E10" s="6" t="n">
        <x:f>C10-D10</x:f>
        <x:v>-42000</x:v>
      </x:c>
      <x:c r="F10" s="6" t="n">
        <x:f>F9+E10</x:f>
        <x:v>-219000</x:v>
      </x:c>
      <x:c r="G10" s="6" t="n">
        <x:v>35000</x:v>
      </x:c>
      <x:c r="H10" s="6" t="n">
        <x:v>77000</x:v>
      </x:c>
      <x:c r="I10" s="6" t="n">
        <x:v>14</x:v>
      </x:c>
      <x:c r="J10" s="6" t="n">
        <x:v>0</x:v>
      </x:c>
      <x:c r="K10" s="6" t="n">
        <x:v>0</x:v>
      </x:c>
      <x:c r="L10" s="6" t="n">
        <x:v>4</x:v>
      </x:c>
      <x:c r="M10" s="11" t="n">
        <x:v>0.6023015873015873</x:v>
      </x:c>
      <x:c r="N10" s="6" t="n">
        <x:v>64000</x:v>
      </x:c>
    </x:row>
    <x:row r="11" ht="24" customHeight="1">
      <x:c r="A11" s="2" t="str">
        <x:v>2026-09-23_Night</x:v>
      </x:c>
      <x:c r="B11" s="6" t="str">
        <x:v>ナイト</x:v>
      </x:c>
      <x:c r="C11" s="6" t="n">
        <x:v>74000</x:v>
      </x:c>
      <x:c r="D11" s="6" t="n">
        <x:v>251000</x:v>
      </x:c>
      <x:c r="E11" s="6" t="n">
        <x:f>C11-D11</x:f>
        <x:v>-177000</x:v>
      </x:c>
      <x:c r="F11" s="6" t="n">
        <x:f>F10+E11</x:f>
        <x:v>-396000</x:v>
      </x:c>
      <x:c r="G11" s="6" t="n">
        <x:v>74000</x:v>
      </x:c>
      <x:c r="H11" s="6" t="n">
        <x:v>251000</x:v>
      </x:c>
      <x:c r="I11" s="6" t="n">
        <x:v>29</x:v>
      </x:c>
      <x:c r="J11" s="6" t="n">
        <x:v>0</x:v>
      </x:c>
      <x:c r="K11" s="6" t="n">
        <x:v>0</x:v>
      </x:c>
      <x:c r="L11" s="6" t="n">
        <x:v>4</x:v>
      </x:c>
      <x:c r="M11" s="11" t="n">
        <x:v>0.5597222222222222</x:v>
      </x:c>
      <x:c r="N11" s="6" t="n">
        <x:v>180000</x:v>
      </x:c>
    </x:row>
    <x:row r="12" ht="24" customHeight="1">
      <x:c r="A12" s="2" t="str">
        <x:v>2026-09-24_Day</x:v>
      </x:c>
      <x:c r="B12" s="6" t="str">
        <x:v>デイ</x:v>
      </x:c>
      <x:c r="C12" s="6" t="n">
        <x:v>87000</x:v>
      </x:c>
      <x:c r="D12" s="6" t="n">
        <x:v>237000</x:v>
      </x:c>
      <x:c r="E12" s="6" t="n">
        <x:f>C12-D12</x:f>
        <x:v>-150000</x:v>
      </x:c>
      <x:c r="F12" s="6" t="n">
        <x:f>F11+E12</x:f>
        <x:v>-546000</x:v>
      </x:c>
      <x:c r="G12" s="6" t="n">
        <x:v>87000</x:v>
      </x:c>
      <x:c r="H12" s="6" t="n">
        <x:v>237000</x:v>
      </x:c>
      <x:c r="I12" s="6" t="n">
        <x:v>38</x:v>
      </x:c>
      <x:c r="J12" s="6" t="n">
        <x:v>0</x:v>
      </x:c>
      <x:c r="K12" s="6" t="n">
        <x:v>0</x:v>
      </x:c>
      <x:c r="L12" s="6" t="n">
        <x:v>6</x:v>
      </x:c>
      <x:c r="M12" s="11" t="n">
        <x:v>0.42365079365079367</x:v>
      </x:c>
      <x:c r="N12" s="6" t="n">
        <x:v>176000</x:v>
      </x:c>
    </x:row>
    <x:row r="13" ht="24" customHeight="1">
      <x:c r="A13" s="2" t="str">
        <x:v>2026-09-24_Night</x:v>
      </x:c>
      <x:c r="B13" s="6" t="str">
        <x:v>ナイト</x:v>
      </x:c>
      <x:c r="C13" s="6" t="n">
        <x:v>195000</x:v>
      </x:c>
      <x:c r="D13" s="6" t="n">
        <x:v>470000</x:v>
      </x:c>
      <x:c r="E13" s="6" t="n">
        <x:f>C13-D13</x:f>
        <x:v>-275000</x:v>
      </x:c>
      <x:c r="F13" s="6" t="n">
        <x:f>F12+E13</x:f>
        <x:v>-821000</x:v>
      </x:c>
      <x:c r="G13" s="6" t="n">
        <x:v>195000</x:v>
      </x:c>
      <x:c r="H13" s="6" t="n">
        <x:v>470000</x:v>
      </x:c>
      <x:c r="I13" s="6" t="n">
        <x:v>65</x:v>
      </x:c>
      <x:c r="J13" s="6" t="n">
        <x:v>0</x:v>
      </x:c>
      <x:c r="K13" s="6" t="n">
        <x:v>0</x:v>
      </x:c>
      <x:c r="L13" s="6" t="n">
        <x:v>7</x:v>
      </x:c>
      <x:c r="M13" s="11" t="n">
        <x:v>0.37433760683760686</x:v>
      </x:c>
      <x:c r="N13" s="6" t="n">
        <x:v>317000</x:v>
      </x:c>
    </x:row>
    <x:row r="14" ht="24" customHeight="1">
      <x:c r="A14" s="2" t="str">
        <x:v>2026-09-25_Day</x:v>
      </x:c>
      <x:c r="B14" s="6" t="str">
        <x:v>デイ</x:v>
      </x:c>
      <x:c r="C14" s="6" t="n">
        <x:v>75000</x:v>
      </x:c>
      <x:c r="D14" s="6" t="n">
        <x:v>149000</x:v>
      </x:c>
      <x:c r="E14" s="6" t="n">
        <x:f>C14-D14</x:f>
        <x:v>-74000</x:v>
      </x:c>
      <x:c r="F14" s="6" t="n">
        <x:f>F13+E14</x:f>
        <x:v>-895000</x:v>
      </x:c>
      <x:c r="G14" s="6" t="n">
        <x:v>75000</x:v>
      </x:c>
      <x:c r="H14" s="6" t="n">
        <x:v>149000</x:v>
      </x:c>
      <x:c r="I14" s="6" t="n">
        <x:v>33</x:v>
      </x:c>
      <x:c r="J14" s="6" t="n">
        <x:v>0</x:v>
      </x:c>
      <x:c r="K14" s="6" t="n">
        <x:v>0</x:v>
      </x:c>
      <x:c r="L14" s="6" t="n">
        <x:v>3</x:v>
      </x:c>
      <x:c r="M14" s="11" t="n">
        <x:v>0.5473015873015873</x:v>
      </x:c>
      <x:c r="N14" s="6" t="n">
        <x:v>129000</x:v>
      </x:c>
    </x:row>
    <x:row r="15" ht="24" customHeight="1">
      <x:c r="A15" s="2" t="str">
        <x:v>2026-09-25_Night</x:v>
      </x:c>
      <x:c r="B15" s="6" t="str">
        <x:v>ナイト</x:v>
      </x:c>
      <x:c r="C15" s="6" t="n">
        <x:v>78000</x:v>
      </x:c>
      <x:c r="D15" s="6" t="n">
        <x:v>268000</x:v>
      </x:c>
      <x:c r="E15" s="6" t="n">
        <x:f>C15-D15</x:f>
        <x:v>-190000</x:v>
      </x:c>
      <x:c r="F15" s="6" t="n">
        <x:f>F14+E15</x:f>
        <x:v>-1085000</x:v>
      </x:c>
      <x:c r="G15" s="6" t="n">
        <x:v>78000</x:v>
      </x:c>
      <x:c r="H15" s="6" t="n">
        <x:v>268000</x:v>
      </x:c>
      <x:c r="I15" s="6" t="n">
        <x:v>44</x:v>
      </x:c>
      <x:c r="J15" s="6" t="n">
        <x:v>0</x:v>
      </x:c>
      <x:c r="K15" s="6" t="n">
        <x:v>0</x:v>
      </x:c>
      <x:c r="L15" s="6" t="n">
        <x:v>3</x:v>
      </x:c>
      <x:c r="M15" s="11" t="n">
        <x:v>0.4561965811965812</x:v>
      </x:c>
      <x:c r="N15" s="6" t="n">
        <x:v>216000</x:v>
      </x:c>
    </x:row>
    <x:row r="16" ht="24" customHeight="1">
      <x:c r="A16" s="2" t="str">
        <x:v>2026-09-28_Day</x:v>
      </x:c>
      <x:c r="B16" s="6" t="str">
        <x:v>デイ</x:v>
      </x:c>
      <x:c r="C16" s="6" t="n">
        <x:v>89000</x:v>
      </x:c>
      <x:c r="D16" s="6" t="n">
        <x:v>209000</x:v>
      </x:c>
      <x:c r="E16" s="6" t="n">
        <x:f>C16-D16</x:f>
        <x:v>-120000</x:v>
      </x:c>
      <x:c r="F16" s="6" t="n">
        <x:f>F15+E16</x:f>
        <x:v>-1205000</x:v>
      </x:c>
      <x:c r="G16" s="6" t="n">
        <x:v>89000</x:v>
      </x:c>
      <x:c r="H16" s="6" t="n">
        <x:v>209000</x:v>
      </x:c>
      <x:c r="I16" s="6" t="n">
        <x:v>32</x:v>
      </x:c>
      <x:c r="J16" s="6" t="n">
        <x:v>0</x:v>
      </x:c>
      <x:c r="K16" s="6" t="n">
        <x:v>0</x:v>
      </x:c>
      <x:c r="L16" s="6" t="n">
        <x:v>10</x:v>
      </x:c>
      <x:c r="M16" s="11" t="n">
        <x:v>0.44285714285714284</x:v>
      </x:c>
      <x:c r="N16" s="6" t="n">
        <x:v>185000</x:v>
      </x:c>
    </x:row>
    <x:row r="17" ht="24" customHeight="1">
      <x:c r="A17" s="2" t="str">
        <x:v>2026-09-28_Night</x:v>
      </x:c>
      <x:c r="B17" s="6" t="str">
        <x:v>ナイト</x:v>
      </x:c>
      <x:c r="C17" s="6" t="n">
        <x:v>189000</x:v>
      </x:c>
      <x:c r="D17" s="6" t="n">
        <x:v>157000</x:v>
      </x:c>
      <x:c r="E17" s="6" t="n">
        <x:f>C17-D17</x:f>
        <x:v>32000</x:v>
      </x:c>
      <x:c r="F17" s="6" t="n">
        <x:f>F16+E17</x:f>
        <x:v>-1173000</x:v>
      </x:c>
      <x:c r="G17" s="6" t="n">
        <x:v>189000</x:v>
      </x:c>
      <x:c r="H17" s="6" t="n">
        <x:v>157000</x:v>
      </x:c>
      <x:c r="I17" s="6" t="n">
        <x:v>46</x:v>
      </x:c>
      <x:c r="J17" s="6" t="n">
        <x:v>0</x:v>
      </x:c>
      <x:c r="K17" s="6" t="n">
        <x:v>0</x:v>
      </x:c>
      <x:c r="L17" s="6" t="n">
        <x:v>6</x:v>
      </x:c>
      <x:c r="M17" s="11" t="n">
        <x:v>0.44677350427350426</x:v>
      </x:c>
      <x:c r="N17" s="6" t="n">
        <x:v>62000</x:v>
      </x:c>
    </x:row>
    <x:row r="18" ht="24" customHeight="1">
      <x:c r="A18" s="2" t="str">
        <x:v>2026-09-29_Day</x:v>
      </x:c>
      <x:c r="B18" s="6" t="str">
        <x:v>デイ</x:v>
      </x:c>
      <x:c r="C18" s="6" t="n">
        <x:v>70000</x:v>
      </x:c>
      <x:c r="D18" s="6" t="n">
        <x:v>109000</x:v>
      </x:c>
      <x:c r="E18" s="6" t="n">
        <x:f>C18-D18</x:f>
        <x:v>-39000</x:v>
      </x:c>
      <x:c r="F18" s="6" t="n">
        <x:f>F17+E18</x:f>
        <x:v>-1212000</x:v>
      </x:c>
      <x:c r="G18" s="6" t="n">
        <x:v>70000</x:v>
      </x:c>
      <x:c r="H18" s="6" t="n">
        <x:v>109000</x:v>
      </x:c>
      <x:c r="I18" s="6" t="n">
        <x:v>31</x:v>
      </x:c>
      <x:c r="J18" s="6" t="n">
        <x:v>0</x:v>
      </x:c>
      <x:c r="K18" s="6" t="n">
        <x:v>0</x:v>
      </x:c>
      <x:c r="L18" s="6" t="n">
        <x:v>2</x:v>
      </x:c>
      <x:c r="M18" s="11" t="n">
        <x:v>0.34273809523809523</x:v>
      </x:c>
      <x:c r="N18" s="6" t="n">
        <x:v>70000</x:v>
      </x:c>
    </x:row>
    <x:row r="19" ht="24" customHeight="1">
      <x:c r="A19" s="2" t="str">
        <x:v>2026-09-29_Night</x:v>
      </x:c>
      <x:c r="B19" s="6" t="str">
        <x:v>ナイト</x:v>
      </x:c>
      <x:c r="C19" s="6" t="n">
        <x:v>93000</x:v>
      </x:c>
      <x:c r="D19" s="6" t="n">
        <x:v>415000</x:v>
      </x:c>
      <x:c r="E19" s="6" t="n">
        <x:f>C19-D19</x:f>
        <x:v>-322000</x:v>
      </x:c>
      <x:c r="F19" s="6" t="n">
        <x:f>F18+E19</x:f>
        <x:v>-1534000</x:v>
      </x:c>
      <x:c r="G19" s="6" t="n">
        <x:v>93000</x:v>
      </x:c>
      <x:c r="H19" s="6" t="n">
        <x:v>415000</x:v>
      </x:c>
      <x:c r="I19" s="6" t="n">
        <x:v>50</x:v>
      </x:c>
      <x:c r="J19" s="6" t="n">
        <x:v>0</x:v>
      </x:c>
      <x:c r="K19" s="6" t="n">
        <x:v>0</x:v>
      </x:c>
      <x:c r="L19" s="6" t="n">
        <x:v>6</x:v>
      </x:c>
      <x:c r="M19" s="11" t="n">
        <x:v>0.44963675213675214</x:v>
      </x:c>
      <x:c r="N19" s="6" t="n">
        <x:v>322000</x:v>
      </x:c>
    </x:row>
    <x:row r="20" ht="24" customHeight="1">
      <x:c r="A20" s="2" t="str">
        <x:v>2026-09-30_Day</x:v>
      </x:c>
      <x:c r="B20" s="6" t="str">
        <x:v>デイ</x:v>
      </x:c>
      <x:c r="C20" s="6" t="n">
        <x:v>152000</x:v>
      </x:c>
      <x:c r="D20" s="6" t="n">
        <x:v>95000</x:v>
      </x:c>
      <x:c r="E20" s="6" t="n">
        <x:f>C20-D20</x:f>
        <x:v>57000</x:v>
      </x:c>
      <x:c r="F20" s="6" t="n">
        <x:f>F19+E20</x:f>
        <x:v>-1477000</x:v>
      </x:c>
      <x:c r="G20" s="6" t="n">
        <x:v>152000</x:v>
      </x:c>
      <x:c r="H20" s="6" t="n">
        <x:v>95000</x:v>
      </x:c>
      <x:c r="I20" s="6" t="n">
        <x:v>31</x:v>
      </x:c>
      <x:c r="J20" s="6" t="n">
        <x:v>0</x:v>
      </x:c>
      <x:c r="K20" s="6" t="n">
        <x:v>0</x:v>
      </x:c>
      <x:c r="L20" s="6" t="n">
        <x:v>10</x:v>
      </x:c>
      <x:c r="M20" s="11" t="n">
        <x:v>0.36253968253968255</x:v>
      </x:c>
      <x:c r="N20" s="6" t="n">
        <x:v>60000</x:v>
      </x:c>
    </x:row>
    <x:row r="21" ht="24" customHeight="1">
      <x:c r="A21" s="2" t="str">
        <x:v>2026-09-30_Night</x:v>
      </x:c>
      <x:c r="B21" s="6" t="str">
        <x:v>ナイト</x:v>
      </x:c>
      <x:c r="C21" s="6" t="n">
        <x:v>156000</x:v>
      </x:c>
      <x:c r="D21" s="6" t="n">
        <x:v>339000</x:v>
      </x:c>
      <x:c r="E21" s="6" t="n">
        <x:f>C21-D21</x:f>
        <x:v>-183000</x:v>
      </x:c>
      <x:c r="F21" s="6" t="n">
        <x:f>F20+E21</x:f>
        <x:v>-1660000</x:v>
      </x:c>
      <x:c r="G21" s="6" t="n">
        <x:v>156000</x:v>
      </x:c>
      <x:c r="H21" s="6" t="n">
        <x:v>339000</x:v>
      </x:c>
      <x:c r="I21" s="6" t="n">
        <x:v>54</x:v>
      </x:c>
      <x:c r="J21" s="6" t="n">
        <x:v>0</x:v>
      </x:c>
      <x:c r="K21" s="6" t="n">
        <x:v>0</x:v>
      </x:c>
      <x:c r="L21" s="6" t="n">
        <x:v>10</x:v>
      </x:c>
      <x:c r="M21" s="11" t="n">
        <x:v>0.4630982905982906</x:v>
      </x:c>
      <x:c r="N21" s="6" t="n">
        <x:v>247000</x:v>
      </x:c>
    </x:row>
    <x:row r="22" ht="24" customHeight="1">
      <x:c r="A22" s="2" t="str">
        <x:v>2026-10-01_Day</x:v>
      </x:c>
      <x:c r="B22" s="6" t="str">
        <x:v>デイ</x:v>
      </x:c>
      <x:c r="C22" s="6" t="n">
        <x:v>83000</x:v>
      </x:c>
      <x:c r="D22" s="6" t="n">
        <x:v>172000</x:v>
      </x:c>
      <x:c r="E22" s="6" t="n">
        <x:f>C22-D22</x:f>
        <x:v>-89000</x:v>
      </x:c>
      <x:c r="F22" s="6" t="n">
        <x:f>F21+E22</x:f>
        <x:v>-1749000</x:v>
      </x:c>
      <x:c r="G22" s="6" t="n">
        <x:v>83000</x:v>
      </x:c>
      <x:c r="H22" s="6" t="n">
        <x:v>172000</x:v>
      </x:c>
      <x:c r="I22" s="6" t="n">
        <x:v>29</x:v>
      </x:c>
      <x:c r="J22" s="6" t="n">
        <x:v>0</x:v>
      </x:c>
      <x:c r="K22" s="6" t="n">
        <x:v>0</x:v>
      </x:c>
      <x:c r="L22" s="6" t="n">
        <x:v>4</x:v>
      </x:c>
      <x:c r="M22" s="11" t="n">
        <x:v>0.47793650793650794</x:v>
      </x:c>
      <x:c r="N22" s="6" t="n">
        <x:v>106000</x:v>
      </x:c>
    </x:row>
    <x:row r="23" ht="24" customHeight="1">
      <x:c r="A23" s="2" t="str">
        <x:v>2026-10-01_Night</x:v>
      </x:c>
      <x:c r="B23" s="6" t="str">
        <x:v>ナイト</x:v>
      </x:c>
      <x:c r="C23" s="6" t="n">
        <x:v>242000</x:v>
      </x:c>
      <x:c r="D23" s="6" t="n">
        <x:v>211000</x:v>
      </x:c>
      <x:c r="E23" s="6" t="n">
        <x:f>C23-D23</x:f>
        <x:v>31000</x:v>
      </x:c>
      <x:c r="F23" s="6" t="n">
        <x:f>F22+E23</x:f>
        <x:v>-1718000</x:v>
      </x:c>
      <x:c r="G23" s="6" t="n">
        <x:v>242000</x:v>
      </x:c>
      <x:c r="H23" s="6" t="n">
        <x:v>211000</x:v>
      </x:c>
      <x:c r="I23" s="6" t="n">
        <x:v>47</x:v>
      </x:c>
      <x:c r="J23" s="6" t="n">
        <x:v>0</x:v>
      </x:c>
      <x:c r="K23" s="6" t="n">
        <x:v>0</x:v>
      </x:c>
      <x:c r="L23" s="6" t="n">
        <x:v>9</x:v>
      </x:c>
      <x:c r="M23" s="11" t="n">
        <x:v>0.40264957264957263</x:v>
      </x:c>
      <x:c r="N23" s="6" t="n">
        <x:v>99000</x:v>
      </x:c>
    </x:row>
    <x:row r="24" ht="24" customHeight="1">
      <x:c r="A24" s="2" t="str">
        <x:v>2026-10-02_Day</x:v>
      </x:c>
      <x:c r="B24" s="6" t="str">
        <x:v>デイ</x:v>
      </x:c>
      <x:c r="C24" s="6" t="n">
        <x:v>170000</x:v>
      </x:c>
      <x:c r="D24" s="6" t="n">
        <x:v>202000</x:v>
      </x:c>
      <x:c r="E24" s="6" t="n">
        <x:f>C24-D24</x:f>
        <x:v>-32000</x:v>
      </x:c>
      <x:c r="F24" s="6" t="n">
        <x:f>F23+E24</x:f>
        <x:v>-1750000</x:v>
      </x:c>
      <x:c r="G24" s="6" t="n">
        <x:v>170000</x:v>
      </x:c>
      <x:c r="H24" s="6" t="n">
        <x:v>202000</x:v>
      </x:c>
      <x:c r="I24" s="6" t="n">
        <x:v>34</x:v>
      </x:c>
      <x:c r="J24" s="6" t="n">
        <x:v>0</x:v>
      </x:c>
      <x:c r="K24" s="6" t="n">
        <x:v>0</x:v>
      </x:c>
      <x:c r="L24" s="6" t="n">
        <x:v>8</x:v>
      </x:c>
      <x:c r="M24" s="11" t="n">
        <x:v>0.5584920634920635</x:v>
      </x:c>
      <x:c r="N24" s="6" t="n">
        <x:v>178000</x:v>
      </x:c>
    </x:row>
    <x:row r="25" ht="24" customHeight="1">
      <x:c r="A25" s="2" t="str">
        <x:v>2026-10-02_Night</x:v>
      </x:c>
      <x:c r="B25" s="6" t="str">
        <x:v>ナイト</x:v>
      </x:c>
      <x:c r="C25" s="6" t="n">
        <x:v>179000</x:v>
      </x:c>
      <x:c r="D25" s="6" t="n">
        <x:v>197000</x:v>
      </x:c>
      <x:c r="E25" s="6" t="n">
        <x:f>C25-D25</x:f>
        <x:v>-18000</x:v>
      </x:c>
      <x:c r="F25" s="6" t="n">
        <x:f>F24+E25</x:f>
        <x:v>-1768000</x:v>
      </x:c>
      <x:c r="G25" s="6" t="n">
        <x:v>179000</x:v>
      </x:c>
      <x:c r="H25" s="6" t="n">
        <x:v>197000</x:v>
      </x:c>
      <x:c r="I25" s="6" t="n">
        <x:v>38</x:v>
      </x:c>
      <x:c r="J25" s="6" t="n">
        <x:v>0</x:v>
      </x:c>
      <x:c r="K25" s="6" t="n">
        <x:v>0</x:v>
      </x:c>
      <x:c r="L25" s="6" t="n">
        <x:v>10</x:v>
      </x:c>
      <x:c r="M25" s="11" t="n">
        <x:v>0.5463675213675213</x:v>
      </x:c>
      <x:c r="N25" s="6" t="n">
        <x:v>165000</x:v>
      </x:c>
    </x:row>
    <x:row r="26" ht="24" customHeight="1">
      <x:c r="A26" s="2" t="str">
        <x:v>2026-10-05_Day</x:v>
      </x:c>
      <x:c r="B26" s="6" t="str">
        <x:v>デイ</x:v>
      </x:c>
      <x:c r="C26" s="6" t="n">
        <x:v>78000</x:v>
      </x:c>
      <x:c r="D26" s="6" t="n">
        <x:v>238000</x:v>
      </x:c>
      <x:c r="E26" s="6" t="n">
        <x:f>C26-D26</x:f>
        <x:v>-160000</x:v>
      </x:c>
      <x:c r="F26" s="6" t="n">
        <x:f>F25+E26</x:f>
        <x:v>-1928000</x:v>
      </x:c>
      <x:c r="G26" s="6" t="n">
        <x:v>78000</x:v>
      </x:c>
      <x:c r="H26" s="6" t="n">
        <x:v>238000</x:v>
      </x:c>
      <x:c r="I26" s="6" t="n">
        <x:v>30</x:v>
      </x:c>
      <x:c r="J26" s="6" t="n">
        <x:v>0</x:v>
      </x:c>
      <x:c r="K26" s="6" t="n">
        <x:v>0</x:v>
      </x:c>
      <x:c r="L26" s="6" t="n">
        <x:v>8</x:v>
      </x:c>
      <x:c r="M26" s="11" t="n">
        <x:v>0.5388095238095238</x:v>
      </x:c>
      <x:c r="N26" s="6" t="n">
        <x:v>184000</x:v>
      </x:c>
    </x:row>
    <x:row r="27" ht="24" customHeight="1">
      <x:c r="A27" s="2" t="str">
        <x:v>2026-10-05_Night</x:v>
      </x:c>
      <x:c r="B27" s="6" t="str">
        <x:v>ナイト</x:v>
      </x:c>
      <x:c r="C27" s="6" t="n">
        <x:v>114000</x:v>
      </x:c>
      <x:c r="D27" s="6" t="n">
        <x:v>226000</x:v>
      </x:c>
      <x:c r="E27" s="6" t="n">
        <x:f>C27-D27</x:f>
        <x:v>-112000</x:v>
      </x:c>
      <x:c r="F27" s="6" t="n">
        <x:f>F26+E27</x:f>
        <x:v>-2040000</x:v>
      </x:c>
      <x:c r="G27" s="6" t="n">
        <x:v>114000</x:v>
      </x:c>
      <x:c r="H27" s="6" t="n">
        <x:v>226000</x:v>
      </x:c>
      <x:c r="I27" s="6" t="n">
        <x:v>32</x:v>
      </x:c>
      <x:c r="J27" s="6" t="n">
        <x:v>0</x:v>
      </x:c>
      <x:c r="K27" s="6" t="n">
        <x:v>0</x:v>
      </x:c>
      <x:c r="L27" s="6" t="n">
        <x:v>5</x:v>
      </x:c>
      <x:c r="M27" s="11" t="n">
        <x:v>0.7007264957264957</x:v>
      </x:c>
      <x:c r="N27" s="6" t="n">
        <x:v>148000</x:v>
      </x:c>
    </x:row>
    <x:row r="28" ht="24" customHeight="1">
      <x:c r="A28" s="2" t="str">
        <x:v>2026-10-06_Day</x:v>
      </x:c>
      <x:c r="B28" s="6" t="str">
        <x:v>デイ</x:v>
      </x:c>
      <x:c r="C28" s="6" t="n">
        <x:v>139000</x:v>
      </x:c>
      <x:c r="D28" s="6" t="n">
        <x:v>179000</x:v>
      </x:c>
      <x:c r="E28" s="6" t="n">
        <x:f>C28-D28</x:f>
        <x:v>-40000</x:v>
      </x:c>
      <x:c r="F28" s="6" t="n">
        <x:f>F27+E28</x:f>
        <x:v>-2080000</x:v>
      </x:c>
      <x:c r="G28" s="6" t="n">
        <x:v>139000</x:v>
      </x:c>
      <x:c r="H28" s="6" t="n">
        <x:v>179000</x:v>
      </x:c>
      <x:c r="I28" s="6" t="n">
        <x:v>25</x:v>
      </x:c>
      <x:c r="J28" s="6" t="n">
        <x:v>0</x:v>
      </x:c>
      <x:c r="K28" s="6" t="n">
        <x:v>0</x:v>
      </x:c>
      <x:c r="L28" s="6" t="n">
        <x:v>7</x:v>
      </x:c>
      <x:c r="M28" s="11" t="n">
        <x:v>0.621547619047619</x:v>
      </x:c>
      <x:c r="N28" s="6" t="n">
        <x:v>122000</x:v>
      </x:c>
    </x:row>
    <x:row r="29" ht="24" customHeight="1">
      <x:c r="A29" s="2" t="str">
        <x:v>2026-10-06_Night</x:v>
      </x:c>
      <x:c r="B29" s="6" t="str">
        <x:v>ナイト</x:v>
      </x:c>
      <x:c r="C29" s="6" t="n">
        <x:v>112000</x:v>
      </x:c>
      <x:c r="D29" s="6" t="n">
        <x:v>195000</x:v>
      </x:c>
      <x:c r="E29" s="6" t="n">
        <x:f>C29-D29</x:f>
        <x:v>-83000</x:v>
      </x:c>
      <x:c r="F29" s="6" t="n">
        <x:f>F28+E29</x:f>
        <x:v>-2163000</x:v>
      </x:c>
      <x:c r="G29" s="6" t="n">
        <x:v>112000</x:v>
      </x:c>
      <x:c r="H29" s="6" t="n">
        <x:v>195000</x:v>
      </x:c>
      <x:c r="I29" s="6" t="n">
        <x:v>30</x:v>
      </x:c>
      <x:c r="J29" s="6" t="n">
        <x:v>0</x:v>
      </x:c>
      <x:c r="K29" s="6" t="n">
        <x:v>0</x:v>
      </x:c>
      <x:c r="L29" s="6" t="n">
        <x:v>4</x:v>
      </x:c>
      <x:c r="M29" s="11" t="n">
        <x:v>0.6161111111111112</x:v>
      </x:c>
      <x:c r="N29" s="6" t="n">
        <x:v>107000</x:v>
      </x:c>
    </x:row>
    <x:row r="30" ht="24" customHeight="1">
      <x:c r="A30" s="2" t="str">
        <x:v>2026-10-07_Day</x:v>
      </x:c>
      <x:c r="B30" s="6" t="str">
        <x:v>デイ</x:v>
      </x:c>
      <x:c r="C30" s="6" t="n">
        <x:v>84000</x:v>
      </x:c>
      <x:c r="D30" s="6" t="n">
        <x:v>196000</x:v>
      </x:c>
      <x:c r="E30" s="6" t="n">
        <x:f>C30-D30</x:f>
        <x:v>-112000</x:v>
      </x:c>
      <x:c r="F30" s="6" t="n">
        <x:f>F29+E30</x:f>
        <x:v>-2275000</x:v>
      </x:c>
      <x:c r="G30" s="6" t="n">
        <x:v>84000</x:v>
      </x:c>
      <x:c r="H30" s="6" t="n">
        <x:v>196000</x:v>
      </x:c>
      <x:c r="I30" s="6" t="n">
        <x:v>26</x:v>
      </x:c>
      <x:c r="J30" s="6" t="n">
        <x:v>0</x:v>
      </x:c>
      <x:c r="K30" s="6" t="n">
        <x:v>0</x:v>
      </x:c>
      <x:c r="L30" s="6" t="n">
        <x:v>5</x:v>
      </x:c>
      <x:c r="M30" s="11" t="n">
        <x:v>0.5936904761904762</x:v>
      </x:c>
      <x:c r="N30" s="6" t="n">
        <x:v>133000</x:v>
      </x:c>
    </x:row>
    <x:row r="31" ht="24" customHeight="1">
      <x:c r="A31" s="2" t="str">
        <x:v>2026-10-07_Night</x:v>
      </x:c>
      <x:c r="B31" s="6" t="str">
        <x:v>ナイト</x:v>
      </x:c>
      <x:c r="C31" s="6" t="n">
        <x:v>85000</x:v>
      </x:c>
      <x:c r="D31" s="6" t="n">
        <x:v>258000</x:v>
      </x:c>
      <x:c r="E31" s="6" t="n">
        <x:f>C31-D31</x:f>
        <x:v>-173000</x:v>
      </x:c>
      <x:c r="F31" s="6" t="n">
        <x:f>F30+E31</x:f>
        <x:v>-2448000</x:v>
      </x:c>
      <x:c r="G31" s="6" t="n">
        <x:v>85000</x:v>
      </x:c>
      <x:c r="H31" s="6" t="n">
        <x:v>258000</x:v>
      </x:c>
      <x:c r="I31" s="6" t="n">
        <x:v>39</x:v>
      </x:c>
      <x:c r="J31" s="6" t="n">
        <x:v>0</x:v>
      </x:c>
      <x:c r="K31" s="6" t="n">
        <x:v>0</x:v>
      </x:c>
      <x:c r="L31" s="6" t="n">
        <x:v>4</x:v>
      </x:c>
      <x:c r="M31" s="11" t="n">
        <x:v>0.6975</x:v>
      </x:c>
      <x:c r="N31" s="6" t="n">
        <x:v>196000</x:v>
      </x:c>
    </x:row>
    <x:row r="32" ht="24" customHeight="1">
      <x:c r="A32" s="2" t="str">
        <x:v>2026-10-08_Day</x:v>
      </x:c>
      <x:c r="B32" s="6" t="str">
        <x:v>デイ</x:v>
      </x:c>
      <x:c r="C32" s="6" t="n">
        <x:v>100000</x:v>
      </x:c>
      <x:c r="D32" s="6" t="n">
        <x:v>162000</x:v>
      </x:c>
      <x:c r="E32" s="6" t="n">
        <x:f>C32-D32</x:f>
        <x:v>-62000</x:v>
      </x:c>
      <x:c r="F32" s="6" t="n">
        <x:f>F31+E32</x:f>
        <x:v>-2510000</x:v>
      </x:c>
      <x:c r="G32" s="6" t="n">
        <x:v>100000</x:v>
      </x:c>
      <x:c r="H32" s="6" t="n">
        <x:v>162000</x:v>
      </x:c>
      <x:c r="I32" s="6" t="n">
        <x:v>25</x:v>
      </x:c>
      <x:c r="J32" s="6" t="n">
        <x:v>0</x:v>
      </x:c>
      <x:c r="K32" s="6" t="n">
        <x:v>0</x:v>
      </x:c>
      <x:c r="L32" s="6" t="n">
        <x:v>6</x:v>
      </x:c>
      <x:c r="M32" s="11" t="n">
        <x:v>0.3850396825396825</x:v>
      </x:c>
      <x:c r="N32" s="6" t="n">
        <x:v>100000</x:v>
      </x:c>
    </x:row>
    <x:row r="33" ht="24" customHeight="1">
      <x:c r="A33" s="2" t="str">
        <x:v>2026-10-08_Night</x:v>
      </x:c>
      <x:c r="B33" s="6" t="str">
        <x:v>ナイト</x:v>
      </x:c>
      <x:c r="C33" s="6" t="n">
        <x:v>255000</x:v>
      </x:c>
      <x:c r="D33" s="6" t="n">
        <x:v>249000</x:v>
      </x:c>
      <x:c r="E33" s="6" t="n">
        <x:f>C33-D33</x:f>
        <x:v>6000</x:v>
      </x:c>
      <x:c r="F33" s="6" t="n">
        <x:f>F32+E33</x:f>
        <x:v>-2504000</x:v>
      </x:c>
      <x:c r="G33" s="6" t="n">
        <x:v>255000</x:v>
      </x:c>
      <x:c r="H33" s="6" t="n">
        <x:v>249000</x:v>
      </x:c>
      <x:c r="I33" s="6" t="n">
        <x:v>45</x:v>
      </x:c>
      <x:c r="J33" s="6" t="n">
        <x:v>0</x:v>
      </x:c>
      <x:c r="K33" s="6" t="n">
        <x:v>0</x:v>
      </x:c>
      <x:c r="L33" s="6" t="n">
        <x:v>10</x:v>
      </x:c>
      <x:c r="M33" s="11" t="n">
        <x:v>0.5351068376068376</x:v>
      </x:c>
      <x:c r="N33" s="6" t="n">
        <x:v>118000</x:v>
      </x:c>
    </x:row>
    <x:row r="34" ht="24" customHeight="1">
      <x:c r="A34" s="2" t="str">
        <x:v>2026-10-09_Day</x:v>
      </x:c>
      <x:c r="B34" s="6" t="str">
        <x:v>デイ</x:v>
      </x:c>
      <x:c r="C34" s="6" t="n">
        <x:v>125000</x:v>
      </x:c>
      <x:c r="D34" s="6" t="n">
        <x:v>61000</x:v>
      </x:c>
      <x:c r="E34" s="6" t="n">
        <x:f>C34-D34</x:f>
        <x:v>64000</x:v>
      </x:c>
      <x:c r="F34" s="6" t="n">
        <x:f>F33+E34</x:f>
        <x:v>-2440000</x:v>
      </x:c>
      <x:c r="G34" s="6" t="n">
        <x:v>125000</x:v>
      </x:c>
      <x:c r="H34" s="6" t="n">
        <x:v>61000</x:v>
      </x:c>
      <x:c r="I34" s="6" t="n">
        <x:v>20</x:v>
      </x:c>
      <x:c r="J34" s="6" t="n">
        <x:v>0</x:v>
      </x:c>
      <x:c r="K34" s="6" t="n">
        <x:v>0</x:v>
      </x:c>
      <x:c r="L34" s="6" t="n">
        <x:v>10</x:v>
      </x:c>
      <x:c r="M34" s="11" t="n">
        <x:v>0.4818253968253968</x:v>
      </x:c>
      <x:c r="N34" s="6" t="n">
        <x:v>60000</x:v>
      </x:c>
    </x:row>
    <x:row r="35" ht="24" customHeight="1">
      <x:c r="A35" s="2" t="str">
        <x:v>2026-10-09_Night</x:v>
      </x:c>
      <x:c r="B35" s="6" t="str">
        <x:v>ナイト</x:v>
      </x:c>
      <x:c r="C35" s="6" t="n">
        <x:v>113000</x:v>
      </x:c>
      <x:c r="D35" s="6" t="n">
        <x:v>257000</x:v>
      </x:c>
      <x:c r="E35" s="6" t="n">
        <x:f>C35-D35</x:f>
        <x:v>-144000</x:v>
      </x:c>
      <x:c r="F35" s="6" t="n">
        <x:f>F34+E35</x:f>
        <x:v>-2584000</x:v>
      </x:c>
      <x:c r="G35" s="6" t="n">
        <x:v>113000</x:v>
      </x:c>
      <x:c r="H35" s="6" t="n">
        <x:v>257000</x:v>
      </x:c>
      <x:c r="I35" s="6" t="n">
        <x:v>30</x:v>
      </x:c>
      <x:c r="J35" s="6" t="n">
        <x:v>0</x:v>
      </x:c>
      <x:c r="K35" s="6" t="n">
        <x:v>0</x:v>
      </x:c>
      <x:c r="L35" s="6" t="n">
        <x:v>7</x:v>
      </x:c>
      <x:c r="M35" s="11" t="n">
        <x:v>0.6351068376068376</x:v>
      </x:c>
      <x:c r="N35" s="6" t="n">
        <x:v>169000</x:v>
      </x:c>
    </x:row>
    <x:row r="36" ht="24" customHeight="1">
      <x:c r="A36" s="2" t="str">
        <x:v>2026-10-12_Day</x:v>
      </x:c>
      <x:c r="B36" s="6" t="str">
        <x:v>デイ</x:v>
      </x:c>
      <x:c r="C36" s="6" t="n">
        <x:v>41000</x:v>
      </x:c>
      <x:c r="D36" s="6" t="n">
        <x:v>233000</x:v>
      </x:c>
      <x:c r="E36" s="6" t="n">
        <x:f>C36-D36</x:f>
        <x:v>-192000</x:v>
      </x:c>
      <x:c r="F36" s="6" t="n">
        <x:f>F35+E36</x:f>
        <x:v>-2776000</x:v>
      </x:c>
      <x:c r="G36" s="6" t="n">
        <x:v>41000</x:v>
      </x:c>
      <x:c r="H36" s="6" t="n">
        <x:v>233000</x:v>
      </x:c>
      <x:c r="I36" s="6" t="n">
        <x:v>20</x:v>
      </x:c>
      <x:c r="J36" s="6" t="n">
        <x:v>0</x:v>
      </x:c>
      <x:c r="K36" s="6" t="n">
        <x:v>0</x:v>
      </x:c>
      <x:c r="L36" s="6" t="n">
        <x:v>6</x:v>
      </x:c>
      <x:c r="M36" s="11" t="n">
        <x:v>0.5711904761904761</x:v>
      </x:c>
      <x:c r="N36" s="6" t="n">
        <x:v>220000</x:v>
      </x:c>
    </x:row>
    <x:row r="37" ht="24" customHeight="1">
      <x:c r="A37" s="2" t="str">
        <x:v>2026-10-12_Night</x:v>
      </x:c>
      <x:c r="B37" s="6" t="str">
        <x:v>ナイト</x:v>
      </x:c>
      <x:c r="C37" s="6" t="n">
        <x:v>122000</x:v>
      </x:c>
      <x:c r="D37" s="6" t="n">
        <x:v>179000</x:v>
      </x:c>
      <x:c r="E37" s="6" t="n">
        <x:f>C37-D37</x:f>
        <x:v>-57000</x:v>
      </x:c>
      <x:c r="F37" s="6" t="n">
        <x:f>F36+E37</x:f>
        <x:v>-2833000</x:v>
      </x:c>
      <x:c r="G37" s="6" t="n">
        <x:v>122000</x:v>
      </x:c>
      <x:c r="H37" s="6" t="n">
        <x:v>179000</x:v>
      </x:c>
      <x:c r="I37" s="6" t="n">
        <x:v>22</x:v>
      </x:c>
      <x:c r="J37" s="6" t="n">
        <x:v>0</x:v>
      </x:c>
      <x:c r="K37" s="6" t="n">
        <x:v>0</x:v>
      </x:c>
      <x:c r="L37" s="6" t="n">
        <x:v>5</x:v>
      </x:c>
      <x:c r="M37" s="11" t="n">
        <x:v>0.5210683760683761</x:v>
      </x:c>
      <x:c r="N37" s="6" t="n">
        <x:v>147000</x:v>
      </x:c>
    </x:row>
    <x:row r="38" ht="24" customHeight="1">
      <x:c r="A38" s="2" t="str">
        <x:v>2026-10-13_Day</x:v>
      </x:c>
      <x:c r="B38" s="6" t="str">
        <x:v>デイ</x:v>
      </x:c>
      <x:c r="C38" s="6" t="n">
        <x:v>113000</x:v>
      </x:c>
      <x:c r="D38" s="6" t="n">
        <x:v>208000</x:v>
      </x:c>
      <x:c r="E38" s="6" t="n">
        <x:f>C38-D38</x:f>
        <x:v>-95000</x:v>
      </x:c>
      <x:c r="F38" s="6" t="n">
        <x:f>F37+E38</x:f>
        <x:v>-2928000</x:v>
      </x:c>
      <x:c r="G38" s="6" t="n">
        <x:v>113000</x:v>
      </x:c>
      <x:c r="H38" s="6" t="n">
        <x:v>208000</x:v>
      </x:c>
      <x:c r="I38" s="6" t="n">
        <x:v>37</x:v>
      </x:c>
      <x:c r="J38" s="6" t="n">
        <x:v>0</x:v>
      </x:c>
      <x:c r="K38" s="6" t="n">
        <x:v>0</x:v>
      </x:c>
      <x:c r="L38" s="6" t="n">
        <x:v>8</x:v>
      </x:c>
      <x:c r="M38" s="11" t="n">
        <x:v>0.4546031746031746</x:v>
      </x:c>
      <x:c r="N38" s="6" t="n">
        <x:v>135000</x:v>
      </x:c>
    </x:row>
    <x:row r="39" ht="24" customHeight="1">
      <x:c r="A39" s="2" t="str">
        <x:v>2026-10-13_Night</x:v>
      </x:c>
      <x:c r="B39" s="6" t="str">
        <x:v>ナイト</x:v>
      </x:c>
      <x:c r="C39" s="6" t="n">
        <x:v>108000</x:v>
      </x:c>
      <x:c r="D39" s="6" t="n">
        <x:v>181000</x:v>
      </x:c>
      <x:c r="E39" s="6" t="n">
        <x:f>C39-D39</x:f>
        <x:v>-73000</x:v>
      </x:c>
      <x:c r="F39" s="6" t="n">
        <x:f>F38+E39</x:f>
        <x:v>-3001000</x:v>
      </x:c>
      <x:c r="G39" s="6" t="n">
        <x:v>108000</x:v>
      </x:c>
      <x:c r="H39" s="6" t="n">
        <x:v>181000</x:v>
      </x:c>
      <x:c r="I39" s="6" t="n">
        <x:v>25</x:v>
      </x:c>
      <x:c r="J39" s="6" t="n">
        <x:v>0</x:v>
      </x:c>
      <x:c r="K39" s="6" t="n">
        <x:v>0</x:v>
      </x:c>
      <x:c r="L39" s="6" t="n">
        <x:v>7</x:v>
      </x:c>
      <x:c r="M39" s="11" t="n">
        <x:v>0.5993803418803418</x:v>
      </x:c>
      <x:c r="N39" s="6" t="n">
        <x:v>125000</x:v>
      </x:c>
    </x:row>
    <x:row r="40" ht="24" customHeight="1">
      <x:c r="A40" s="2" t="str">
        <x:v>2026-10-14_Day</x:v>
      </x:c>
      <x:c r="B40" s="6" t="str">
        <x:v>デイ</x:v>
      </x:c>
      <x:c r="C40" s="6" t="n">
        <x:v>90000</x:v>
      </x:c>
      <x:c r="D40" s="6" t="n">
        <x:v>190000</x:v>
      </x:c>
      <x:c r="E40" s="6" t="n">
        <x:f>C40-D40</x:f>
        <x:v>-100000</x:v>
      </x:c>
      <x:c r="F40" s="6" t="n">
        <x:f>F39+E40</x:f>
        <x:v>-3101000</x:v>
      </x:c>
      <x:c r="G40" s="6" t="n">
        <x:v>90000</x:v>
      </x:c>
      <x:c r="H40" s="6" t="n">
        <x:v>190000</x:v>
      </x:c>
      <x:c r="I40" s="6" t="n">
        <x:v>33</x:v>
      </x:c>
      <x:c r="J40" s="6" t="n">
        <x:v>0</x:v>
      </x:c>
      <x:c r="K40" s="6" t="n">
        <x:v>0</x:v>
      </x:c>
      <x:c r="L40" s="6" t="n">
        <x:v>4</x:v>
      </x:c>
      <x:c r="M40" s="11" t="n">
        <x:v>0.5502380952380952</x:v>
      </x:c>
      <x:c r="N40" s="6" t="n">
        <x:v>155000</x:v>
      </x:c>
    </x:row>
    <x:row r="41" ht="24" customHeight="1">
      <x:c r="A41" s="2" t="str">
        <x:v>2026-10-14_Night</x:v>
      </x:c>
      <x:c r="B41" s="6" t="str">
        <x:v>ナイト</x:v>
      </x:c>
      <x:c r="C41" s="6" t="n">
        <x:v>157000</x:v>
      </x:c>
      <x:c r="D41" s="6" t="n">
        <x:v>189000</x:v>
      </x:c>
      <x:c r="E41" s="6" t="n">
        <x:f>C41-D41</x:f>
        <x:v>-32000</x:v>
      </x:c>
      <x:c r="F41" s="6" t="n">
        <x:f>F40+E41</x:f>
        <x:v>-3133000</x:v>
      </x:c>
      <x:c r="G41" s="6" t="n">
        <x:v>157000</x:v>
      </x:c>
      <x:c r="H41" s="6" t="n">
        <x:v>189000</x:v>
      </x:c>
      <x:c r="I41" s="6" t="n">
        <x:v>42</x:v>
      </x:c>
      <x:c r="J41" s="6" t="n">
        <x:v>0</x:v>
      </x:c>
      <x:c r="K41" s="6" t="n">
        <x:v>0</x:v>
      </x:c>
      <x:c r="L41" s="6" t="n">
        <x:v>7</x:v>
      </x:c>
      <x:c r="M41" s="11" t="n">
        <x:v>0.43525641025641026</x:v>
      </x:c>
      <x:c r="N41" s="6" t="n">
        <x:v>115000</x:v>
      </x:c>
    </x:row>
    <x:row r="42" ht="24" customHeight="1">
      <x:c r="A42" s="2" t="str">
        <x:v>2026-10-15_Day</x:v>
      </x:c>
      <x:c r="B42" s="6" t="str">
        <x:v>デイ</x:v>
      </x:c>
      <x:c r="C42" s="6" t="n">
        <x:v>58000</x:v>
      </x:c>
      <x:c r="D42" s="6" t="n">
        <x:v>213000</x:v>
      </x:c>
      <x:c r="E42" s="6" t="n">
        <x:f>C42-D42</x:f>
        <x:v>-155000</x:v>
      </x:c>
      <x:c r="F42" s="6" t="n">
        <x:f>F41+E42</x:f>
        <x:v>-3288000</x:v>
      </x:c>
      <x:c r="G42" s="6" t="n">
        <x:v>58000</x:v>
      </x:c>
      <x:c r="H42" s="6" t="n">
        <x:v>213000</x:v>
      </x:c>
      <x:c r="I42" s="6" t="n">
        <x:v>32</x:v>
      </x:c>
      <x:c r="J42" s="6" t="n">
        <x:v>0</x:v>
      </x:c>
      <x:c r="K42" s="6" t="n">
        <x:v>0</x:v>
      </x:c>
      <x:c r="L42" s="6" t="n">
        <x:v>10</x:v>
      </x:c>
      <x:c r="M42" s="11" t="n">
        <x:v>0.135</x:v>
      </x:c>
      <x:c r="N42" s="6" t="n">
        <x:v>167000</x:v>
      </x:c>
    </x:row>
    <x:row r="43" ht="24" customHeight="1">
      <x:c r="A43" s="2" t="str">
        <x:v>2026-10-15_Night</x:v>
      </x:c>
      <x:c r="B43" s="6" t="str">
        <x:v>ナイト</x:v>
      </x:c>
      <x:c r="C43" s="6" t="n">
        <x:v>149000</x:v>
      </x:c>
      <x:c r="D43" s="6" t="n">
        <x:v>416000</x:v>
      </x:c>
      <x:c r="E43" s="6" t="n">
        <x:f>C43-D43</x:f>
        <x:v>-267000</x:v>
      </x:c>
      <x:c r="F43" s="6" t="n">
        <x:f>F42+E43</x:f>
        <x:v>-3555000</x:v>
      </x:c>
      <x:c r="G43" s="6" t="n">
        <x:v>149000</x:v>
      </x:c>
      <x:c r="H43" s="6" t="n">
        <x:v>416000</x:v>
      </x:c>
      <x:c r="I43" s="6" t="n">
        <x:v>58</x:v>
      </x:c>
      <x:c r="J43" s="6" t="n">
        <x:v>0</x:v>
      </x:c>
      <x:c r="K43" s="6" t="n">
        <x:v>0</x:v>
      </x:c>
      <x:c r="L43" s="6" t="n">
        <x:v>10</x:v>
      </x:c>
      <x:c r="M43" s="11" t="n">
        <x:v>0.3620940170940171</x:v>
      </x:c>
      <x:c r="N43" s="6" t="n">
        <x:v>302000</x:v>
      </x:c>
    </x:row>
    <x:row r="44" ht="24" customHeight="1">
      <x:c r="A44" s="2" t="str">
        <x:v>2026-10-16_Day</x:v>
      </x:c>
      <x:c r="B44" s="6" t="str">
        <x:v>デイ</x:v>
      </x:c>
      <x:c r="C44" s="6" t="n">
        <x:v>89000</x:v>
      </x:c>
      <x:c r="D44" s="6" t="n">
        <x:v>222000</x:v>
      </x:c>
      <x:c r="E44" s="6" t="n">
        <x:f>C44-D44</x:f>
        <x:v>-133000</x:v>
      </x:c>
      <x:c r="F44" s="6" t="n">
        <x:f>F43+E44</x:f>
        <x:v>-3688000</x:v>
      </x:c>
      <x:c r="G44" s="6" t="n">
        <x:v>89000</x:v>
      </x:c>
      <x:c r="H44" s="6" t="n">
        <x:v>222000</x:v>
      </x:c>
      <x:c r="I44" s="6" t="n">
        <x:v>31</x:v>
      </x:c>
      <x:c r="J44" s="6" t="n">
        <x:v>0</x:v>
      </x:c>
      <x:c r="K44" s="6" t="n">
        <x:v>0</x:v>
      </x:c>
      <x:c r="L44" s="6" t="n">
        <x:v>8</x:v>
      </x:c>
      <x:c r="M44" s="11" t="n">
        <x:v>0.2995634920634921</x:v>
      </x:c>
      <x:c r="N44" s="6" t="n">
        <x:v>175000</x:v>
      </x:c>
    </x:row>
    <x:row r="45" ht="24" customHeight="1">
      <x:c r="A45" s="2" t="str">
        <x:v>2026-10-16_Night</x:v>
      </x:c>
      <x:c r="B45" s="6" t="str">
        <x:v>ナイト</x:v>
      </x:c>
      <x:c r="C45" s="6" t="n">
        <x:v>172000</x:v>
      </x:c>
      <x:c r="D45" s="6" t="n">
        <x:v>417000</x:v>
      </x:c>
      <x:c r="E45" s="6" t="n">
        <x:f>C45-D45</x:f>
        <x:v>-245000</x:v>
      </x:c>
      <x:c r="F45" s="6" t="n">
        <x:f>F44+E45</x:f>
        <x:v>-3933000</x:v>
      </x:c>
      <x:c r="G45" s="6" t="n">
        <x:v>172000</x:v>
      </x:c>
      <x:c r="H45" s="6" t="n">
        <x:v>417000</x:v>
      </x:c>
      <x:c r="I45" s="6" t="n">
        <x:v>67</x:v>
      </x:c>
      <x:c r="J45" s="6" t="n">
        <x:v>0</x:v>
      </x:c>
      <x:c r="K45" s="6" t="n">
        <x:v>0</x:v>
      </x:c>
      <x:c r="L45" s="6" t="n">
        <x:v>10</x:v>
      </x:c>
      <x:c r="M45" s="11" t="n">
        <x:v>0.36126068376068377</x:v>
      </x:c>
      <x:c r="N45" s="6" t="n">
        <x:v>288000</x:v>
      </x:c>
    </x:row>
    <x:row r="46" ht="24" customHeight="1">
      <x:c r="A46" s="2" t="str">
        <x:v>2026-10-19_Day</x:v>
      </x:c>
      <x:c r="B46" s="6" t="str">
        <x:v>デイ</x:v>
      </x:c>
      <x:c r="C46" s="6" t="n">
        <x:v>151000</x:v>
      </x:c>
      <x:c r="D46" s="6" t="n">
        <x:v>194000</x:v>
      </x:c>
      <x:c r="E46" s="6" t="n">
        <x:f>C46-D46</x:f>
        <x:v>-43000</x:v>
      </x:c>
      <x:c r="F46" s="6" t="n">
        <x:f>F45+E46</x:f>
        <x:v>-3976000</x:v>
      </x:c>
      <x:c r="G46" s="6" t="n">
        <x:v>151000</x:v>
      </x:c>
      <x:c r="H46" s="6" t="n">
        <x:v>194000</x:v>
      </x:c>
      <x:c r="I46" s="6" t="n">
        <x:v>35</x:v>
      </x:c>
      <x:c r="J46" s="6" t="n">
        <x:v>0</x:v>
      </x:c>
      <x:c r="K46" s="6" t="n">
        <x:v>0</x:v>
      </x:c>
      <x:c r="L46" s="6" t="n">
        <x:v>10</x:v>
      </x:c>
      <x:c r="M46" s="11" t="n">
        <x:v>0.4469047619047619</x:v>
      </x:c>
      <x:c r="N46" s="6" t="n">
        <x:v>161000</x:v>
      </x:c>
    </x:row>
    <x:row r="47" ht="24" customHeight="1">
      <x:c r="A47" s="2" t="str">
        <x:v>2026-10-19_Night</x:v>
      </x:c>
      <x:c r="B47" s="6" t="str">
        <x:v>ナイト</x:v>
      </x:c>
      <x:c r="C47" s="6" t="n">
        <x:v>102000</x:v>
      </x:c>
      <x:c r="D47" s="6" t="n">
        <x:v>332000</x:v>
      </x:c>
      <x:c r="E47" s="6" t="n">
        <x:f>C47-D47</x:f>
        <x:v>-230000</x:v>
      </x:c>
      <x:c r="F47" s="6" t="n">
        <x:f>F46+E47</x:f>
        <x:v>-4206000</x:v>
      </x:c>
      <x:c r="G47" s="6" t="n">
        <x:v>102000</x:v>
      </x:c>
      <x:c r="H47" s="6" t="n">
        <x:v>332000</x:v>
      </x:c>
      <x:c r="I47" s="6" t="n">
        <x:v>47</x:v>
      </x:c>
      <x:c r="J47" s="6" t="n">
        <x:v>0</x:v>
      </x:c>
      <x:c r="K47" s="6" t="n">
        <x:v>0</x:v>
      </x:c>
      <x:c r="L47" s="6" t="n">
        <x:v>7</x:v>
      </x:c>
      <x:c r="M47" s="11" t="n">
        <x:v>0.4258760683760684</x:v>
      </x:c>
      <x:c r="N47" s="6" t="n">
        <x:v>251000</x:v>
      </x:c>
    </x:row>
    <x:row r="48" ht="24" customHeight="1">
      <x:c r="A48" s="2" t="str">
        <x:v>2026-10-20_Day</x:v>
      </x:c>
      <x:c r="B48" s="6" t="str">
        <x:v>デイ</x:v>
      </x:c>
      <x:c r="C48" s="6" t="n">
        <x:v>80000</x:v>
      </x:c>
      <x:c r="D48" s="6" t="n">
        <x:v>133000</x:v>
      </x:c>
      <x:c r="E48" s="6" t="n">
        <x:f>C48-D48</x:f>
        <x:v>-53000</x:v>
      </x:c>
      <x:c r="F48" s="6" t="n">
        <x:f>F47+E48</x:f>
        <x:v>-4259000</x:v>
      </x:c>
      <x:c r="G48" s="6" t="n">
        <x:v>80000</x:v>
      </x:c>
      <x:c r="H48" s="6" t="n">
        <x:v>133000</x:v>
      </x:c>
      <x:c r="I48" s="6" t="n">
        <x:v>35</x:v>
      </x:c>
      <x:c r="J48" s="6" t="n">
        <x:v>0</x:v>
      </x:c>
      <x:c r="K48" s="6" t="n">
        <x:v>0</x:v>
      </x:c>
      <x:c r="L48" s="6" t="n">
        <x:v>4</x:v>
      </x:c>
      <x:c r="M48" s="11" t="n">
        <x:v>0.21472222222222223</x:v>
      </x:c>
      <x:c r="N48" s="6" t="n">
        <x:v>108000</x:v>
      </x:c>
    </x:row>
    <x:row r="49" ht="24" customHeight="1">
      <x:c r="A49" s="2" t="str">
        <x:v>2026-10-20_Night</x:v>
      </x:c>
      <x:c r="B49" s="6" t="str">
        <x:v>ナイト</x:v>
      </x:c>
      <x:c r="C49" s="6" t="n">
        <x:v>173000</x:v>
      </x:c>
      <x:c r="D49" s="6" t="n">
        <x:v>223000</x:v>
      </x:c>
      <x:c r="E49" s="6" t="n">
        <x:f>C49-D49</x:f>
        <x:v>-50000</x:v>
      </x:c>
      <x:c r="F49" s="6" t="n">
        <x:f>F48+E49</x:f>
        <x:v>-4309000</x:v>
      </x:c>
      <x:c r="G49" s="6" t="n">
        <x:v>173000</x:v>
      </x:c>
      <x:c r="H49" s="6" t="n">
        <x:v>223000</x:v>
      </x:c>
      <x:c r="I49" s="6" t="n">
        <x:v>48</x:v>
      </x:c>
      <x:c r="J49" s="6" t="n">
        <x:v>0</x:v>
      </x:c>
      <x:c r="K49" s="6" t="n">
        <x:v>0</x:v>
      </x:c>
      <x:c r="L49" s="6" t="n">
        <x:v>7</x:v>
      </x:c>
      <x:c r="M49" s="11" t="n">
        <x:v>0.24927350427350428</x:v>
      </x:c>
      <x:c r="N49" s="6" t="n">
        <x:v>122000</x:v>
      </x:c>
    </x:row>
    <x:row r="50" ht="24" customHeight="1">
      <x:c r="A50" s="2" t="str">
        <x:v>2026-10-21_Day</x:v>
      </x:c>
      <x:c r="B50" s="6" t="str">
        <x:v>デイ</x:v>
      </x:c>
      <x:c r="C50" s="6" t="n">
        <x:v>67000</x:v>
      </x:c>
      <x:c r="D50" s="6" t="n">
        <x:v>141000</x:v>
      </x:c>
      <x:c r="E50" s="6" t="n">
        <x:f>C50-D50</x:f>
        <x:v>-74000</x:v>
      </x:c>
      <x:c r="F50" s="6" t="n">
        <x:f>F49+E50</x:f>
        <x:v>-4383000</x:v>
      </x:c>
      <x:c r="G50" s="6" t="n">
        <x:v>67000</x:v>
      </x:c>
      <x:c r="H50" s="6" t="n">
        <x:v>141000</x:v>
      </x:c>
      <x:c r="I50" s="6" t="n">
        <x:v>37</x:v>
      </x:c>
      <x:c r="J50" s="6" t="n">
        <x:v>0</x:v>
      </x:c>
      <x:c r="K50" s="6" t="n">
        <x:v>0</x:v>
      </x:c>
      <x:c r="L50" s="6" t="n">
        <x:v>3</x:v>
      </x:c>
      <x:c r="M50" s="11" t="n">
        <x:v>0.3357142857142857</x:v>
      </x:c>
      <x:c r="N50" s="6" t="n">
        <x:v>75000</x:v>
      </x:c>
    </x:row>
    <x:row r="51" ht="24" customHeight="1">
      <x:c r="A51" s="2" t="str">
        <x:v>2026-10-21_Night</x:v>
      </x:c>
      <x:c r="B51" s="6" t="str">
        <x:v>ナイト</x:v>
      </x:c>
      <x:c r="C51" s="6" t="n">
        <x:v>212000</x:v>
      </x:c>
      <x:c r="D51" s="6" t="n">
        <x:v>360000</x:v>
      </x:c>
      <x:c r="E51" s="6" t="n">
        <x:f>C51-D51</x:f>
        <x:v>-148000</x:v>
      </x:c>
      <x:c r="F51" s="6" t="n">
        <x:f>F50+E51</x:f>
        <x:v>-4531000</x:v>
      </x:c>
      <x:c r="G51" s="6" t="n">
        <x:v>212000</x:v>
      </x:c>
      <x:c r="H51" s="6" t="n">
        <x:v>360000</x:v>
      </x:c>
      <x:c r="I51" s="6" t="n">
        <x:v>53</x:v>
      </x:c>
      <x:c r="J51" s="6" t="n">
        <x:v>0</x:v>
      </x:c>
      <x:c r="K51" s="6" t="n">
        <x:v>0</x:v>
      </x:c>
      <x:c r="L51" s="6" t="n">
        <x:v>8</x:v>
      </x:c>
      <x:c r="M51" s="11" t="n">
        <x:v>0.470491452991453</x:v>
      </x:c>
      <x:c r="N51" s="6" t="n">
        <x:v>228000</x:v>
      </x:c>
    </x:row>
    <x:row r="52" ht="24" customHeight="1">
      <x:c r="A52" s="2" t="str">
        <x:v>2026-10-22_Day</x:v>
      </x:c>
      <x:c r="B52" s="6" t="str">
        <x:v>デイ</x:v>
      </x:c>
      <x:c r="C52" s="6" t="n">
        <x:v>110000</x:v>
      </x:c>
      <x:c r="D52" s="6" t="n">
        <x:v>207000</x:v>
      </x:c>
      <x:c r="E52" s="6" t="n">
        <x:f>C52-D52</x:f>
        <x:v>-97000</x:v>
      </x:c>
      <x:c r="F52" s="6" t="n">
        <x:f>F51+E52</x:f>
        <x:v>-4628000</x:v>
      </x:c>
      <x:c r="G52" s="6" t="n">
        <x:v>110000</x:v>
      </x:c>
      <x:c r="H52" s="6" t="n">
        <x:v>207000</x:v>
      </x:c>
      <x:c r="I52" s="6" t="n">
        <x:v>43</x:v>
      </x:c>
      <x:c r="J52" s="6" t="n">
        <x:v>0</x:v>
      </x:c>
      <x:c r="K52" s="6" t="n">
        <x:v>0</x:v>
      </x:c>
      <x:c r="L52" s="6" t="n">
        <x:v>6</x:v>
      </x:c>
      <x:c r="M52" s="11" t="n">
        <x:v>0.3188888888888889</x:v>
      </x:c>
      <x:c r="N52" s="6" t="n">
        <x:v>123000</x:v>
      </x:c>
    </x:row>
    <x:row r="53" ht="24" customHeight="1">
      <x:c r="A53" s="2" t="str">
        <x:v>2026-10-22_Night</x:v>
      </x:c>
      <x:c r="B53" s="6" t="str">
        <x:v>ナイト</x:v>
      </x:c>
      <x:c r="C53" s="6" t="n">
        <x:v>220000</x:v>
      </x:c>
      <x:c r="D53" s="6" t="n">
        <x:v>189000</x:v>
      </x:c>
      <x:c r="E53" s="6" t="n">
        <x:f>C53-D53</x:f>
        <x:v>31000</x:v>
      </x:c>
      <x:c r="F53" s="6" t="n">
        <x:f>F52+E53</x:f>
        <x:v>-4597000</x:v>
      </x:c>
      <x:c r="G53" s="6" t="n">
        <x:v>220000</x:v>
      </x:c>
      <x:c r="H53" s="6" t="n">
        <x:v>189000</x:v>
      </x:c>
      <x:c r="I53" s="6" t="n">
        <x:v>54</x:v>
      </x:c>
      <x:c r="J53" s="6" t="n">
        <x:v>0</x:v>
      </x:c>
      <x:c r="K53" s="6" t="n">
        <x:v>0</x:v>
      </x:c>
      <x:c r="L53" s="6" t="n">
        <x:v>10</x:v>
      </x:c>
      <x:c r="M53" s="11" t="n">
        <x:v>0.3866025641025641</x:v>
      </x:c>
      <x:c r="N53" s="6" t="n">
        <x:v>117000</x:v>
      </x:c>
    </x:row>
    <x:row r="54" ht="24" customHeight="1">
      <x:c r="A54" s="2" t="str">
        <x:v>2026-10-23_Day</x:v>
      </x:c>
      <x:c r="B54" s="6" t="str">
        <x:v>デイ</x:v>
      </x:c>
      <x:c r="C54" s="6" t="n">
        <x:v>107000</x:v>
      </x:c>
      <x:c r="D54" s="6" t="n">
        <x:v>311000</x:v>
      </x:c>
      <x:c r="E54" s="6" t="n">
        <x:f>C54-D54</x:f>
        <x:v>-204000</x:v>
      </x:c>
      <x:c r="F54" s="6" t="n">
        <x:f>F53+E54</x:f>
        <x:v>-4801000</x:v>
      </x:c>
      <x:c r="G54" s="6" t="n">
        <x:v>107000</x:v>
      </x:c>
      <x:c r="H54" s="6" t="n">
        <x:v>311000</x:v>
      </x:c>
      <x:c r="I54" s="6" t="n">
        <x:v>51</x:v>
      </x:c>
      <x:c r="J54" s="6" t="n">
        <x:v>0</x:v>
      </x:c>
      <x:c r="K54" s="6" t="n">
        <x:v>0</x:v>
      </x:c>
      <x:c r="L54" s="6" t="n">
        <x:v>10</x:v>
      </x:c>
      <x:c r="M54" s="11" t="n">
        <x:v>0.24075396825396825</x:v>
      </x:c>
      <x:c r="N54" s="6" t="n">
        <x:v>244000</x:v>
      </x:c>
    </x:row>
    <x:row r="55" ht="24" customHeight="1">
      <x:c r="A55" s="2" t="str">
        <x:v>2026-10-23_Night</x:v>
      </x:c>
      <x:c r="B55" s="6" t="str">
        <x:v>ナイト</x:v>
      </x:c>
      <x:c r="C55" s="6" t="n">
        <x:v>148000</x:v>
      </x:c>
      <x:c r="D55" s="6" t="n">
        <x:v>179000</x:v>
      </x:c>
      <x:c r="E55" s="6" t="n">
        <x:f>C55-D55</x:f>
        <x:v>-31000</x:v>
      </x:c>
      <x:c r="F55" s="6" t="n">
        <x:f>F54+E55</x:f>
        <x:v>-4832000</x:v>
      </x:c>
      <x:c r="G55" s="6" t="n">
        <x:v>148000</x:v>
      </x:c>
      <x:c r="H55" s="6" t="n">
        <x:v>179000</x:v>
      </x:c>
      <x:c r="I55" s="6" t="n">
        <x:v>47</x:v>
      </x:c>
      <x:c r="J55" s="6" t="n">
        <x:v>0</x:v>
      </x:c>
      <x:c r="K55" s="6" t="n">
        <x:v>0</x:v>
      </x:c>
      <x:c r="L55" s="6" t="n">
        <x:v>4</x:v>
      </x:c>
      <x:c r="M55" s="11" t="n">
        <x:v>0.5338247863247864</x:v>
      </x:c>
      <x:c r="N55" s="6" t="n">
        <x:v>91000</x:v>
      </x:c>
    </x:row>
    <x:row r="56" ht="24" customHeight="1">
      <x:c r="A56" s="2" t="str">
        <x:v>2026-10-26_Day</x:v>
      </x:c>
      <x:c r="B56" s="6" t="str">
        <x:v>デイ</x:v>
      </x:c>
      <x:c r="C56" s="6" t="n">
        <x:v>74000</x:v>
      </x:c>
      <x:c r="D56" s="6" t="n">
        <x:v>262000</x:v>
      </x:c>
      <x:c r="E56" s="6" t="n">
        <x:f>C56-D56</x:f>
        <x:v>-188000</x:v>
      </x:c>
      <x:c r="F56" s="6" t="n">
        <x:f>F55+E56</x:f>
        <x:v>-5020000</x:v>
      </x:c>
      <x:c r="G56" s="6" t="n">
        <x:v>74000</x:v>
      </x:c>
      <x:c r="H56" s="6" t="n">
        <x:v>262000</x:v>
      </x:c>
      <x:c r="I56" s="6" t="n">
        <x:v>34</x:v>
      </x:c>
      <x:c r="J56" s="6" t="n">
        <x:v>0</x:v>
      </x:c>
      <x:c r="K56" s="6" t="n">
        <x:v>0</x:v>
      </x:c>
      <x:c r="L56" s="6" t="n">
        <x:v>10</x:v>
      </x:c>
      <x:c r="M56" s="11" t="n">
        <x:v>0.30373015873015874</x:v>
      </x:c>
      <x:c r="N56" s="6" t="n">
        <x:v>212000</x:v>
      </x:c>
    </x:row>
    <x:row r="57" ht="24" customHeight="1">
      <x:c r="A57" s="15" t="str">
        <x:v>累計／平均／最大</x:v>
      </x:c>
      <x:c r="B57" s="16"/>
      <x:c r="C57" s="16" t="n">
        <x:f>SUM(C6:C56)</x:f>
        <x:v>6025000</x:v>
      </x:c>
      <x:c r="D57" s="16" t="n">
        <x:f>SUM(D6:D56)</x:f>
        <x:v>11045000</x:v>
      </x:c>
      <x:c r="E57" s="16" t="n">
        <x:f>C57-D57</x:f>
        <x:v>-5020000</x:v>
      </x:c>
      <x:c r="F57" s="16" t="n">
        <x:f>F56</x:f>
        <x:v>-5020000</x:v>
      </x:c>
      <x:c r="G57" s="16" t="n">
        <x:f>SUM(G6:G56)</x:f>
        <x:v>6025000</x:v>
      </x:c>
      <x:c r="H57" s="16" t="n">
        <x:f>SUM(H6:H56)</x:f>
        <x:v>11045000</x:v>
      </x:c>
      <x:c r="I57" s="16" t="n">
        <x:f>SUM(I6:I56)</x:f>
        <x:v>1861</x:v>
      </x:c>
      <x:c r="J57" s="16" t="n">
        <x:f>SUM(J6:J56)</x:f>
        <x:v>0</x:v>
      </x:c>
      <x:c r="K57" s="16" t="n">
        <x:f>SUM(K6:K56)</x:f>
        <x:v>0</x:v>
      </x:c>
      <x:c r="L57" s="16" t="n">
        <x:f>MAX(L6:L56)</x:f>
        <x:v>10</x:v>
      </x:c>
      <x:c r="M57" s="17" t="n">
        <x:f>AVERAGE(M6:M56)</x:f>
        <x:v>0.44892647657353546</x:v>
      </x:c>
      <x:c r="N57" s="16" t="n">
        <x:f>MAX(N6:N56)</x:f>
        <x:v>322000</x:v>
      </x:c>
    </x:row>
  </x:sheetData>
  <x:conditionalFormatting sqref="E6:F56">
    <x:cfRule type="cellIs" dxfId="4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5f58cbf650645c3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1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4" customHeight="1">
      <x:c r="A1" s="3" t="str">
        <x:v>日経 R06　各セッションの利益・損失・収支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A2" s="4" t="str">
        <x:v>2026/09/21〜10/26デイ・51完了場。日経mini／TOPIXmini各上限10枚・手数料0。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4" customHeight="1">
      <x:c r="A3" s="4" t="str">
        <x:v>10分MA・冷却後に再参加・価格位置と1分傾きも確認・初回比例枚数／T出口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4" customHeight="1">
      <x:c r="A4" s="4" t="str">
        <x:v>利益・損失＝FIFO返済配賦別。親＝初回から全返済まで。ラージ気配による模型で、mini実約定の検証ではありません。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42" customHeight="1">
      <x:c r="A5" s="10" t="str">
        <x:v>セッション</x:v>
      </x:c>
      <x:c r="B5" s="10" t="str">
        <x:v>区分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親利益（円）</x:v>
      </x:c>
      <x:c r="H5" s="10" t="str">
        <x:v>親損失（円）</x:v>
      </x:c>
      <x:c r="I5" s="10" t="str">
        <x:v>初回件数</x:v>
      </x:c>
      <x:c r="J5" s="10" t="str">
        <x:v>追加件数</x:v>
      </x:c>
      <x:c r="K5" s="10" t="str">
        <x:v>縮小件数</x:v>
      </x:c>
      <x:c r="L5" s="10" t="str">
        <x:v>最大保有枚数</x:v>
      </x:c>
      <x:c r="M5" s="10" t="str">
        <x:v>保有時間率</x:v>
      </x:c>
      <x:c r="N5" s="10" t="str">
        <x:v>時価最大DD（円）</x:v>
      </x:c>
    </x:row>
    <x:row r="6" ht="24" customHeight="1">
      <x:c r="A6" s="2" t="str">
        <x:v>2026-09-21_Day</x:v>
      </x:c>
      <x:c r="B6" s="6" t="str">
        <x:v>デイ</x:v>
      </x:c>
      <x:c r="C6" s="6" t="n">
        <x:v>73000</x:v>
      </x:c>
      <x:c r="D6" s="6" t="n">
        <x:v>104000</x:v>
      </x:c>
      <x:c r="E6" s="6" t="n">
        <x:f>C6-D6</x:f>
        <x:v>-31000</x:v>
      </x:c>
      <x:c r="F6" s="6" t="n">
        <x:f>E6</x:f>
        <x:v>-31000</x:v>
      </x:c>
      <x:c r="G6" s="6" t="n">
        <x:v>73000</x:v>
      </x:c>
      <x:c r="H6" s="6" t="n">
        <x:v>104000</x:v>
      </x:c>
      <x:c r="I6" s="6" t="n">
        <x:v>17</x:v>
      </x:c>
      <x:c r="J6" s="6" t="n">
        <x:v>0</x:v>
      </x:c>
      <x:c r="K6" s="6" t="n">
        <x:v>0</x:v>
      </x:c>
      <x:c r="L6" s="6" t="n">
        <x:v>8</x:v>
      </x:c>
      <x:c r="M6" s="11" t="n">
        <x:v>0.4011904761904762</x:v>
      </x:c>
      <x:c r="N6" s="6" t="n">
        <x:v>79000</x:v>
      </x:c>
    </x:row>
    <x:row r="7" ht="24" customHeight="1">
      <x:c r="A7" s="2" t="str">
        <x:v>2026-09-21_Night</x:v>
      </x:c>
      <x:c r="B7" s="6" t="str">
        <x:v>ナイト</x:v>
      </x:c>
      <x:c r="C7" s="6" t="n">
        <x:v>80000</x:v>
      </x:c>
      <x:c r="D7" s="6" t="n">
        <x:v>63000</x:v>
      </x:c>
      <x:c r="E7" s="6" t="n">
        <x:f>C7-D7</x:f>
        <x:v>17000</x:v>
      </x:c>
      <x:c r="F7" s="6" t="n">
        <x:f>F6+E7</x:f>
        <x:v>-14000</x:v>
      </x:c>
      <x:c r="G7" s="6" t="n">
        <x:v>80000</x:v>
      </x:c>
      <x:c r="H7" s="6" t="n">
        <x:v>63000</x:v>
      </x:c>
      <x:c r="I7" s="6" t="n">
        <x:v>20</x:v>
      </x:c>
      <x:c r="J7" s="6" t="n">
        <x:v>0</x:v>
      </x:c>
      <x:c r="K7" s="6" t="n">
        <x:v>0</x:v>
      </x:c>
      <x:c r="L7" s="6" t="n">
        <x:v>5</x:v>
      </x:c>
      <x:c r="M7" s="11" t="n">
        <x:v>0.3266239316239316</x:v>
      </x:c>
      <x:c r="N7" s="6" t="n">
        <x:v>44000</x:v>
      </x:c>
    </x:row>
    <x:row r="8" ht="24" customHeight="1">
      <x:c r="A8" s="2" t="str">
        <x:v>2026-09-22_Day</x:v>
      </x:c>
      <x:c r="B8" s="6" t="str">
        <x:v>デイ</x:v>
      </x:c>
      <x:c r="C8" s="6" t="n">
        <x:v>63000</x:v>
      </x:c>
      <x:c r="D8" s="6" t="n">
        <x:v>137000</x:v>
      </x:c>
      <x:c r="E8" s="6" t="n">
        <x:f>C8-D8</x:f>
        <x:v>-74000</x:v>
      </x:c>
      <x:c r="F8" s="6" t="n">
        <x:f>F7+E8</x:f>
        <x:v>-88000</x:v>
      </x:c>
      <x:c r="G8" s="6" t="n">
        <x:v>63000</x:v>
      </x:c>
      <x:c r="H8" s="6" t="n">
        <x:v>137000</x:v>
      </x:c>
      <x:c r="I8" s="6" t="n">
        <x:v>27</x:v>
      </x:c>
      <x:c r="J8" s="6" t="n">
        <x:v>0</x:v>
      </x:c>
      <x:c r="K8" s="6" t="n">
        <x:v>0</x:v>
      </x:c>
      <x:c r="L8" s="6" t="n">
        <x:v>6</x:v>
      </x:c>
      <x:c r="M8" s="11" t="n">
        <x:v>0.3811904761904762</x:v>
      </x:c>
      <x:c r="N8" s="6" t="n">
        <x:v>112000</x:v>
      </x:c>
    </x:row>
    <x:row r="9" ht="24" customHeight="1">
      <x:c r="A9" s="2" t="str">
        <x:v>2026-09-22_Night</x:v>
      </x:c>
      <x:c r="B9" s="6" t="str">
        <x:v>ナイト</x:v>
      </x:c>
      <x:c r="C9" s="6" t="n">
        <x:v>99000</x:v>
      </x:c>
      <x:c r="D9" s="6" t="n">
        <x:v>119000</x:v>
      </x:c>
      <x:c r="E9" s="6" t="n">
        <x:f>C9-D9</x:f>
        <x:v>-20000</x:v>
      </x:c>
      <x:c r="F9" s="6" t="n">
        <x:f>F8+E9</x:f>
        <x:v>-108000</x:v>
      </x:c>
      <x:c r="G9" s="6" t="n">
        <x:v>99000</x:v>
      </x:c>
      <x:c r="H9" s="6" t="n">
        <x:v>119000</x:v>
      </x:c>
      <x:c r="I9" s="6" t="n">
        <x:v>25</x:v>
      </x:c>
      <x:c r="J9" s="6" t="n">
        <x:v>0</x:v>
      </x:c>
      <x:c r="K9" s="6" t="n">
        <x:v>0</x:v>
      </x:c>
      <x:c r="L9" s="6" t="n">
        <x:v>7</x:v>
      </x:c>
      <x:c r="M9" s="11" t="n">
        <x:v>0.27895299145299146</x:v>
      </x:c>
      <x:c r="N9" s="6" t="n">
        <x:v>89000</x:v>
      </x:c>
    </x:row>
    <x:row r="10" ht="24" customHeight="1">
      <x:c r="A10" s="2" t="str">
        <x:v>2026-09-23_Day</x:v>
      </x:c>
      <x:c r="B10" s="6" t="str">
        <x:v>デイ</x:v>
      </x:c>
      <x:c r="C10" s="6" t="n">
        <x:v>23000</x:v>
      </x:c>
      <x:c r="D10" s="6" t="n">
        <x:v>179000</x:v>
      </x:c>
      <x:c r="E10" s="6" t="n">
        <x:f>C10-D10</x:f>
        <x:v>-156000</x:v>
      </x:c>
      <x:c r="F10" s="6" t="n">
        <x:f>F9+E10</x:f>
        <x:v>-264000</x:v>
      </x:c>
      <x:c r="G10" s="6" t="n">
        <x:v>23000</x:v>
      </x:c>
      <x:c r="H10" s="6" t="n">
        <x:v>179000</x:v>
      </x:c>
      <x:c r="I10" s="6" t="n">
        <x:v>15</x:v>
      </x:c>
      <x:c r="J10" s="6" t="n">
        <x:v>0</x:v>
      </x:c>
      <x:c r="K10" s="6" t="n">
        <x:v>0</x:v>
      </x:c>
      <x:c r="L10" s="6" t="n">
        <x:v>4</x:v>
      </x:c>
      <x:c r="M10" s="11" t="n">
        <x:v>0.4498809523809524</x:v>
      </x:c>
      <x:c r="N10" s="6" t="n">
        <x:v>160000</x:v>
      </x:c>
    </x:row>
    <x:row r="11" ht="24" customHeight="1">
      <x:c r="A11" s="2" t="str">
        <x:v>2026-09-23_Night</x:v>
      </x:c>
      <x:c r="B11" s="6" t="str">
        <x:v>ナイト</x:v>
      </x:c>
      <x:c r="C11" s="6" t="n">
        <x:v>76000</x:v>
      </x:c>
      <x:c r="D11" s="6" t="n">
        <x:v>197000</x:v>
      </x:c>
      <x:c r="E11" s="6" t="n">
        <x:f>C11-D11</x:f>
        <x:v>-121000</x:v>
      </x:c>
      <x:c r="F11" s="6" t="n">
        <x:f>F10+E11</x:f>
        <x:v>-385000</x:v>
      </x:c>
      <x:c r="G11" s="6" t="n">
        <x:v>76000</x:v>
      </x:c>
      <x:c r="H11" s="6" t="n">
        <x:v>197000</x:v>
      </x:c>
      <x:c r="I11" s="6" t="n">
        <x:v>26</x:v>
      </x:c>
      <x:c r="J11" s="6" t="n">
        <x:v>0</x:v>
      </x:c>
      <x:c r="K11" s="6" t="n">
        <x:v>0</x:v>
      </x:c>
      <x:c r="L11" s="6" t="n">
        <x:v>4</x:v>
      </x:c>
      <x:c r="M11" s="11" t="n">
        <x:v>0.5613888888888889</x:v>
      </x:c>
      <x:c r="N11" s="6" t="n">
        <x:v>123000</x:v>
      </x:c>
    </x:row>
    <x:row r="12" ht="24" customHeight="1">
      <x:c r="A12" s="2" t="str">
        <x:v>2026-09-24_Day</x:v>
      </x:c>
      <x:c r="B12" s="6" t="str">
        <x:v>デイ</x:v>
      </x:c>
      <x:c r="C12" s="6" t="n">
        <x:v>87000</x:v>
      </x:c>
      <x:c r="D12" s="6" t="n">
        <x:v>151000</x:v>
      </x:c>
      <x:c r="E12" s="6" t="n">
        <x:f>C12-D12</x:f>
        <x:v>-64000</x:v>
      </x:c>
      <x:c r="F12" s="6" t="n">
        <x:f>F11+E12</x:f>
        <x:v>-449000</x:v>
      </x:c>
      <x:c r="G12" s="6" t="n">
        <x:v>87000</x:v>
      </x:c>
      <x:c r="H12" s="6" t="n">
        <x:v>151000</x:v>
      </x:c>
      <x:c r="I12" s="6" t="n">
        <x:v>33</x:v>
      </x:c>
      <x:c r="J12" s="6" t="n">
        <x:v>0</x:v>
      </x:c>
      <x:c r="K12" s="6" t="n">
        <x:v>0</x:v>
      </x:c>
      <x:c r="L12" s="6" t="n">
        <x:v>3</x:v>
      </x:c>
      <x:c r="M12" s="11" t="n">
        <x:v>0.41698412698412696</x:v>
      </x:c>
      <x:c r="N12" s="6" t="n">
        <x:v>85000</x:v>
      </x:c>
    </x:row>
    <x:row r="13" ht="24" customHeight="1">
      <x:c r="A13" s="2" t="str">
        <x:v>2026-09-24_Night</x:v>
      </x:c>
      <x:c r="B13" s="6" t="str">
        <x:v>ナイト</x:v>
      </x:c>
      <x:c r="C13" s="6" t="n">
        <x:v>167000</x:v>
      </x:c>
      <x:c r="D13" s="6" t="n">
        <x:v>446000</x:v>
      </x:c>
      <x:c r="E13" s="6" t="n">
        <x:f>C13-D13</x:f>
        <x:v>-279000</x:v>
      </x:c>
      <x:c r="F13" s="6" t="n">
        <x:f>F12+E13</x:f>
        <x:v>-728000</x:v>
      </x:c>
      <x:c r="G13" s="6" t="n">
        <x:v>167000</x:v>
      </x:c>
      <x:c r="H13" s="6" t="n">
        <x:v>446000</x:v>
      </x:c>
      <x:c r="I13" s="6" t="n">
        <x:v>63</x:v>
      </x:c>
      <x:c r="J13" s="6" t="n">
        <x:v>0</x:v>
      </x:c>
      <x:c r="K13" s="6" t="n">
        <x:v>0</x:v>
      </x:c>
      <x:c r="L13" s="6" t="n">
        <x:v>7</x:v>
      </x:c>
      <x:c r="M13" s="11" t="n">
        <x:v>0.3574786324786325</x:v>
      </x:c>
      <x:c r="N13" s="6" t="n">
        <x:v>321000</x:v>
      </x:c>
    </x:row>
    <x:row r="14" ht="24" customHeight="1">
      <x:c r="A14" s="2" t="str">
        <x:v>2026-09-25_Day</x:v>
      </x:c>
      <x:c r="B14" s="6" t="str">
        <x:v>デイ</x:v>
      </x:c>
      <x:c r="C14" s="6" t="n">
        <x:v>66000</x:v>
      </x:c>
      <x:c r="D14" s="6" t="n">
        <x:v>138000</x:v>
      </x:c>
      <x:c r="E14" s="6" t="n">
        <x:f>C14-D14</x:f>
        <x:v>-72000</x:v>
      </x:c>
      <x:c r="F14" s="6" t="n">
        <x:f>F13+E14</x:f>
        <x:v>-800000</x:v>
      </x:c>
      <x:c r="G14" s="6" t="n">
        <x:v>66000</x:v>
      </x:c>
      <x:c r="H14" s="6" t="n">
        <x:v>138000</x:v>
      </x:c>
      <x:c r="I14" s="6" t="n">
        <x:v>31</x:v>
      </x:c>
      <x:c r="J14" s="6" t="n">
        <x:v>0</x:v>
      </x:c>
      <x:c r="K14" s="6" t="n">
        <x:v>0</x:v>
      </x:c>
      <x:c r="L14" s="6" t="n">
        <x:v>3</x:v>
      </x:c>
      <x:c r="M14" s="11" t="n">
        <x:v>0.5576984126984127</x:v>
      </x:c>
      <x:c r="N14" s="6" t="n">
        <x:v>122000</x:v>
      </x:c>
    </x:row>
    <x:row r="15" ht="24" customHeight="1">
      <x:c r="A15" s="2" t="str">
        <x:v>2026-09-25_Night</x:v>
      </x:c>
      <x:c r="B15" s="6" t="str">
        <x:v>ナイト</x:v>
      </x:c>
      <x:c r="C15" s="6" t="n">
        <x:v>81000</x:v>
      </x:c>
      <x:c r="D15" s="6" t="n">
        <x:v>215000</x:v>
      </x:c>
      <x:c r="E15" s="6" t="n">
        <x:f>C15-D15</x:f>
        <x:v>-134000</x:v>
      </x:c>
      <x:c r="F15" s="6" t="n">
        <x:f>F14+E15</x:f>
        <x:v>-934000</x:v>
      </x:c>
      <x:c r="G15" s="6" t="n">
        <x:v>81000</x:v>
      </x:c>
      <x:c r="H15" s="6" t="n">
        <x:v>215000</x:v>
      </x:c>
      <x:c r="I15" s="6" t="n">
        <x:v>40</x:v>
      </x:c>
      <x:c r="J15" s="6" t="n">
        <x:v>0</x:v>
      </x:c>
      <x:c r="K15" s="6" t="n">
        <x:v>0</x:v>
      </x:c>
      <x:c r="L15" s="6" t="n">
        <x:v>3</x:v>
      </x:c>
      <x:c r="M15" s="11" t="n">
        <x:v>0.4378632478632479</x:v>
      </x:c>
      <x:c r="N15" s="6" t="n">
        <x:v>160000</x:v>
      </x:c>
    </x:row>
    <x:row r="16" ht="24" customHeight="1">
      <x:c r="A16" s="2" t="str">
        <x:v>2026-09-28_Day</x:v>
      </x:c>
      <x:c r="B16" s="6" t="str">
        <x:v>デイ</x:v>
      </x:c>
      <x:c r="C16" s="6" t="n">
        <x:v>58000</x:v>
      </x:c>
      <x:c r="D16" s="6" t="n">
        <x:v>206000</x:v>
      </x:c>
      <x:c r="E16" s="6" t="n">
        <x:f>C16-D16</x:f>
        <x:v>-148000</x:v>
      </x:c>
      <x:c r="F16" s="6" t="n">
        <x:f>F15+E16</x:f>
        <x:v>-1082000</x:v>
      </x:c>
      <x:c r="G16" s="6" t="n">
        <x:v>58000</x:v>
      </x:c>
      <x:c r="H16" s="6" t="n">
        <x:v>206000</x:v>
      </x:c>
      <x:c r="I16" s="6" t="n">
        <x:v>31</x:v>
      </x:c>
      <x:c r="J16" s="6" t="n">
        <x:v>0</x:v>
      </x:c>
      <x:c r="K16" s="6" t="n">
        <x:v>0</x:v>
      </x:c>
      <x:c r="L16" s="6" t="n">
        <x:v>9</x:v>
      </x:c>
      <x:c r="M16" s="11" t="n">
        <x:v>0.43785714285714283</x:v>
      </x:c>
      <x:c r="N16" s="6" t="n">
        <x:v>167000</x:v>
      </x:c>
    </x:row>
    <x:row r="17" ht="24" customHeight="1">
      <x:c r="A17" s="2" t="str">
        <x:v>2026-09-28_Night</x:v>
      </x:c>
      <x:c r="B17" s="6" t="str">
        <x:v>ナイト</x:v>
      </x:c>
      <x:c r="C17" s="6" t="n">
        <x:v>152000</x:v>
      </x:c>
      <x:c r="D17" s="6" t="n">
        <x:v>291000</x:v>
      </x:c>
      <x:c r="E17" s="6" t="n">
        <x:f>C17-D17</x:f>
        <x:v>-139000</x:v>
      </x:c>
      <x:c r="F17" s="6" t="n">
        <x:f>F16+E17</x:f>
        <x:v>-1221000</x:v>
      </x:c>
      <x:c r="G17" s="6" t="n">
        <x:v>152000</x:v>
      </x:c>
      <x:c r="H17" s="6" t="n">
        <x:v>291000</x:v>
      </x:c>
      <x:c r="I17" s="6" t="n">
        <x:v>46</x:v>
      </x:c>
      <x:c r="J17" s="6" t="n">
        <x:v>0</x:v>
      </x:c>
      <x:c r="K17" s="6" t="n">
        <x:v>0</x:v>
      </x:c>
      <x:c r="L17" s="6" t="n">
        <x:v>5</x:v>
      </x:c>
      <x:c r="M17" s="11" t="n">
        <x:v>0.48465811965811967</x:v>
      </x:c>
      <x:c r="N17" s="6" t="n">
        <x:v>170000</x:v>
      </x:c>
    </x:row>
    <x:row r="18" ht="24" customHeight="1">
      <x:c r="A18" s="2" t="str">
        <x:v>2026-09-29_Day</x:v>
      </x:c>
      <x:c r="B18" s="6" t="str">
        <x:v>デイ</x:v>
      </x:c>
      <x:c r="C18" s="6" t="n">
        <x:v>71000</x:v>
      </x:c>
      <x:c r="D18" s="6" t="n">
        <x:v>140000</x:v>
      </x:c>
      <x:c r="E18" s="6" t="n">
        <x:f>C18-D18</x:f>
        <x:v>-69000</x:v>
      </x:c>
      <x:c r="F18" s="6" t="n">
        <x:f>F17+E18</x:f>
        <x:v>-1290000</x:v>
      </x:c>
      <x:c r="G18" s="6" t="n">
        <x:v>71000</x:v>
      </x:c>
      <x:c r="H18" s="6" t="n">
        <x:v>140000</x:v>
      </x:c>
      <x:c r="I18" s="6" t="n">
        <x:v>31</x:v>
      </x:c>
      <x:c r="J18" s="6" t="n">
        <x:v>0</x:v>
      </x:c>
      <x:c r="K18" s="6" t="n">
        <x:v>0</x:v>
      </x:c>
      <x:c r="L18" s="6" t="n">
        <x:v>5</x:v>
      </x:c>
      <x:c r="M18" s="11" t="n">
        <x:v>0.33361111111111114</x:v>
      </x:c>
      <x:c r="N18" s="6" t="n">
        <x:v>88000</x:v>
      </x:c>
    </x:row>
    <x:row r="19" ht="24" customHeight="1">
      <x:c r="A19" s="2" t="str">
        <x:v>2026-09-29_Night</x:v>
      </x:c>
      <x:c r="B19" s="6" t="str">
        <x:v>ナイト</x:v>
      </x:c>
      <x:c r="C19" s="6" t="n">
        <x:v>115000</x:v>
      </x:c>
      <x:c r="D19" s="6" t="n">
        <x:v>327000</x:v>
      </x:c>
      <x:c r="E19" s="6" t="n">
        <x:f>C19-D19</x:f>
        <x:v>-212000</x:v>
      </x:c>
      <x:c r="F19" s="6" t="n">
        <x:f>F18+E19</x:f>
        <x:v>-1502000</x:v>
      </x:c>
      <x:c r="G19" s="6" t="n">
        <x:v>115000</x:v>
      </x:c>
      <x:c r="H19" s="6" t="n">
        <x:v>327000</x:v>
      </x:c>
      <x:c r="I19" s="6" t="n">
        <x:v>47</x:v>
      </x:c>
      <x:c r="J19" s="6" t="n">
        <x:v>0</x:v>
      </x:c>
      <x:c r="K19" s="6" t="n">
        <x:v>0</x:v>
      </x:c>
      <x:c r="L19" s="6" t="n">
        <x:v>6</x:v>
      </x:c>
      <x:c r="M19" s="11" t="n">
        <x:v>0.4545726495726496</x:v>
      </x:c>
      <x:c r="N19" s="6" t="n">
        <x:v>231000</x:v>
      </x:c>
    </x:row>
    <x:row r="20" ht="24" customHeight="1">
      <x:c r="A20" s="2" t="str">
        <x:v>2026-09-30_Day</x:v>
      </x:c>
      <x:c r="B20" s="6" t="str">
        <x:v>デイ</x:v>
      </x:c>
      <x:c r="C20" s="6" t="n">
        <x:v>142000</x:v>
      </x:c>
      <x:c r="D20" s="6" t="n">
        <x:v>103000</x:v>
      </x:c>
      <x:c r="E20" s="6" t="n">
        <x:f>C20-D20</x:f>
        <x:v>39000</x:v>
      </x:c>
      <x:c r="F20" s="6" t="n">
        <x:f>F19+E20</x:f>
        <x:v>-1463000</x:v>
      </x:c>
      <x:c r="G20" s="6" t="n">
        <x:v>142000</x:v>
      </x:c>
      <x:c r="H20" s="6" t="n">
        <x:v>103000</x:v>
      </x:c>
      <x:c r="I20" s="6" t="n">
        <x:v>30</x:v>
      </x:c>
      <x:c r="J20" s="6" t="n">
        <x:v>0</x:v>
      </x:c>
      <x:c r="K20" s="6" t="n">
        <x:v>0</x:v>
      </x:c>
      <x:c r="L20" s="6" t="n">
        <x:v>10</x:v>
      </x:c>
      <x:c r="M20" s="11" t="n">
        <x:v>0.35615079365079366</x:v>
      </x:c>
      <x:c r="N20" s="6" t="n">
        <x:v>60000</x:v>
      </x:c>
    </x:row>
    <x:row r="21" ht="24" customHeight="1">
      <x:c r="A21" s="2" t="str">
        <x:v>2026-09-30_Night</x:v>
      </x:c>
      <x:c r="B21" s="6" t="str">
        <x:v>ナイト</x:v>
      </x:c>
      <x:c r="C21" s="6" t="n">
        <x:v>163000</x:v>
      </x:c>
      <x:c r="D21" s="6" t="n">
        <x:v>209000</x:v>
      </x:c>
      <x:c r="E21" s="6" t="n">
        <x:f>C21-D21</x:f>
        <x:v>-46000</x:v>
      </x:c>
      <x:c r="F21" s="6" t="n">
        <x:f>F20+E21</x:f>
        <x:v>-1509000</x:v>
      </x:c>
      <x:c r="G21" s="6" t="n">
        <x:v>163000</x:v>
      </x:c>
      <x:c r="H21" s="6" t="n">
        <x:v>209000</x:v>
      </x:c>
      <x:c r="I21" s="6" t="n">
        <x:v>50</x:v>
      </x:c>
      <x:c r="J21" s="6" t="n">
        <x:v>0</x:v>
      </x:c>
      <x:c r="K21" s="6" t="n">
        <x:v>0</x:v>
      </x:c>
      <x:c r="L21" s="6" t="n">
        <x:v>6</x:v>
      </x:c>
      <x:c r="M21" s="11" t="n">
        <x:v>0.4326068376068376</x:v>
      </x:c>
      <x:c r="N21" s="6" t="n">
        <x:v>135000</x:v>
      </x:c>
    </x:row>
    <x:row r="22" ht="24" customHeight="1">
      <x:c r="A22" s="2" t="str">
        <x:v>2026-10-01_Day</x:v>
      </x:c>
      <x:c r="B22" s="6" t="str">
        <x:v>デイ</x:v>
      </x:c>
      <x:c r="C22" s="6" t="n">
        <x:v>83000</x:v>
      </x:c>
      <x:c r="D22" s="6" t="n">
        <x:v>180000</x:v>
      </x:c>
      <x:c r="E22" s="6" t="n">
        <x:f>C22-D22</x:f>
        <x:v>-97000</x:v>
      </x:c>
      <x:c r="F22" s="6" t="n">
        <x:f>F21+E22</x:f>
        <x:v>-1606000</x:v>
      </x:c>
      <x:c r="G22" s="6" t="n">
        <x:v>83000</x:v>
      </x:c>
      <x:c r="H22" s="6" t="n">
        <x:v>180000</x:v>
      </x:c>
      <x:c r="I22" s="6" t="n">
        <x:v>28</x:v>
      </x:c>
      <x:c r="J22" s="6" t="n">
        <x:v>0</x:v>
      </x:c>
      <x:c r="K22" s="6" t="n">
        <x:v>0</x:v>
      </x:c>
      <x:c r="L22" s="6" t="n">
        <x:v>4</x:v>
      </x:c>
      <x:c r="M22" s="11" t="n">
        <x:v>0.4726984126984127</x:v>
      </x:c>
      <x:c r="N22" s="6" t="n">
        <x:v>114000</x:v>
      </x:c>
    </x:row>
    <x:row r="23" ht="24" customHeight="1">
      <x:c r="A23" s="2" t="str">
        <x:v>2026-10-01_Night</x:v>
      </x:c>
      <x:c r="B23" s="6" t="str">
        <x:v>ナイト</x:v>
      </x:c>
      <x:c r="C23" s="6" t="n">
        <x:v>193000</x:v>
      </x:c>
      <x:c r="D23" s="6" t="n">
        <x:v>168000</x:v>
      </x:c>
      <x:c r="E23" s="6" t="n">
        <x:f>C23-D23</x:f>
        <x:v>25000</x:v>
      </x:c>
      <x:c r="F23" s="6" t="n">
        <x:f>F22+E23</x:f>
        <x:v>-1581000</x:v>
      </x:c>
      <x:c r="G23" s="6" t="n">
        <x:v>193000</x:v>
      </x:c>
      <x:c r="H23" s="6" t="n">
        <x:v>168000</x:v>
      </x:c>
      <x:c r="I23" s="6" t="n">
        <x:v>45</x:v>
      </x:c>
      <x:c r="J23" s="6" t="n">
        <x:v>0</x:v>
      </x:c>
      <x:c r="K23" s="6" t="n">
        <x:v>0</x:v>
      </x:c>
      <x:c r="L23" s="6" t="n">
        <x:v>9</x:v>
      </x:c>
      <x:c r="M23" s="11" t="n">
        <x:v>0.400491452991453</x:v>
      </x:c>
      <x:c r="N23" s="6" t="n">
        <x:v>76000</x:v>
      </x:c>
    </x:row>
    <x:row r="24" ht="24" customHeight="1">
      <x:c r="A24" s="2" t="str">
        <x:v>2026-10-02_Day</x:v>
      </x:c>
      <x:c r="B24" s="6" t="str">
        <x:v>デイ</x:v>
      </x:c>
      <x:c r="C24" s="6" t="n">
        <x:v>177000</x:v>
      </x:c>
      <x:c r="D24" s="6" t="n">
        <x:v>211000</x:v>
      </x:c>
      <x:c r="E24" s="6" t="n">
        <x:f>C24-D24</x:f>
        <x:v>-34000</x:v>
      </x:c>
      <x:c r="F24" s="6" t="n">
        <x:f>F23+E24</x:f>
        <x:v>-1615000</x:v>
      </x:c>
      <x:c r="G24" s="6" t="n">
        <x:v>177000</x:v>
      </x:c>
      <x:c r="H24" s="6" t="n">
        <x:v>211000</x:v>
      </x:c>
      <x:c r="I24" s="6" t="n">
        <x:v>34</x:v>
      </x:c>
      <x:c r="J24" s="6" t="n">
        <x:v>0</x:v>
      </x:c>
      <x:c r="K24" s="6" t="n">
        <x:v>0</x:v>
      </x:c>
      <x:c r="L24" s="6" t="n">
        <x:v>8</x:v>
      </x:c>
      <x:c r="M24" s="11" t="n">
        <x:v>0.5696825396825397</x:v>
      </x:c>
      <x:c r="N24" s="6" t="n">
        <x:v>188000</x:v>
      </x:c>
    </x:row>
    <x:row r="25" ht="24" customHeight="1">
      <x:c r="A25" s="2" t="str">
        <x:v>2026-10-02_Night</x:v>
      </x:c>
      <x:c r="B25" s="6" t="str">
        <x:v>ナイト</x:v>
      </x:c>
      <x:c r="C25" s="6" t="n">
        <x:v>125000</x:v>
      </x:c>
      <x:c r="D25" s="6" t="n">
        <x:v>251000</x:v>
      </x:c>
      <x:c r="E25" s="6" t="n">
        <x:f>C25-D25</x:f>
        <x:v>-126000</x:v>
      </x:c>
      <x:c r="F25" s="6" t="n">
        <x:f>F24+E25</x:f>
        <x:v>-1741000</x:v>
      </x:c>
      <x:c r="G25" s="6" t="n">
        <x:v>125000</x:v>
      </x:c>
      <x:c r="H25" s="6" t="n">
        <x:v>251000</x:v>
      </x:c>
      <x:c r="I25" s="6" t="n">
        <x:v>40</x:v>
      </x:c>
      <x:c r="J25" s="6" t="n">
        <x:v>0</x:v>
      </x:c>
      <x:c r="K25" s="6" t="n">
        <x:v>0</x:v>
      </x:c>
      <x:c r="L25" s="6" t="n">
        <x:v>10</x:v>
      </x:c>
      <x:c r="M25" s="11" t="n">
        <x:v>0.5308974358974359</x:v>
      </x:c>
      <x:c r="N25" s="6" t="n">
        <x:v>202000</x:v>
      </x:c>
    </x:row>
    <x:row r="26" ht="24" customHeight="1">
      <x:c r="A26" s="2" t="str">
        <x:v>2026-10-05_Day</x:v>
      </x:c>
      <x:c r="B26" s="6" t="str">
        <x:v>デイ</x:v>
      </x:c>
      <x:c r="C26" s="6" t="n">
        <x:v>80000</x:v>
      </x:c>
      <x:c r="D26" s="6" t="n">
        <x:v>290000</x:v>
      </x:c>
      <x:c r="E26" s="6" t="n">
        <x:f>C26-D26</x:f>
        <x:v>-210000</x:v>
      </x:c>
      <x:c r="F26" s="6" t="n">
        <x:f>F25+E26</x:f>
        <x:v>-1951000</x:v>
      </x:c>
      <x:c r="G26" s="6" t="n">
        <x:v>80000</x:v>
      </x:c>
      <x:c r="H26" s="6" t="n">
        <x:v>290000</x:v>
      </x:c>
      <x:c r="I26" s="6" t="n">
        <x:v>30</x:v>
      </x:c>
      <x:c r="J26" s="6" t="n">
        <x:v>0</x:v>
      </x:c>
      <x:c r="K26" s="6" t="n">
        <x:v>0</x:v>
      </x:c>
      <x:c r="L26" s="6" t="n">
        <x:v>8</x:v>
      </x:c>
      <x:c r="M26" s="11" t="n">
        <x:v>0.539484126984127</x:v>
      </x:c>
      <x:c r="N26" s="6" t="n">
        <x:v>210000</x:v>
      </x:c>
    </x:row>
    <x:row r="27" ht="24" customHeight="1">
      <x:c r="A27" s="2" t="str">
        <x:v>2026-10-05_Night</x:v>
      </x:c>
      <x:c r="B27" s="6" t="str">
        <x:v>ナイト</x:v>
      </x:c>
      <x:c r="C27" s="6" t="n">
        <x:v>105000</x:v>
      </x:c>
      <x:c r="D27" s="6" t="n">
        <x:v>118000</x:v>
      </x:c>
      <x:c r="E27" s="6" t="n">
        <x:f>C27-D27</x:f>
        <x:v>-13000</x:v>
      </x:c>
      <x:c r="F27" s="6" t="n">
        <x:f>F26+E27</x:f>
        <x:v>-1964000</x:v>
      </x:c>
      <x:c r="G27" s="6" t="n">
        <x:v>105000</x:v>
      </x:c>
      <x:c r="H27" s="6" t="n">
        <x:v>118000</x:v>
      </x:c>
      <x:c r="I27" s="6" t="n">
        <x:v>26</x:v>
      </x:c>
      <x:c r="J27" s="6" t="n">
        <x:v>0</x:v>
      </x:c>
      <x:c r="K27" s="6" t="n">
        <x:v>0</x:v>
      </x:c>
      <x:c r="L27" s="6" t="n">
        <x:v>5</x:v>
      </x:c>
      <x:c r="M27" s="11" t="n">
        <x:v>0.6844230769230769</x:v>
      </x:c>
      <x:c r="N27" s="6" t="n">
        <x:v>57000</x:v>
      </x:c>
    </x:row>
    <x:row r="28" ht="24" customHeight="1">
      <x:c r="A28" s="2" t="str">
        <x:v>2026-10-06_Day</x:v>
      </x:c>
      <x:c r="B28" s="6" t="str">
        <x:v>デイ</x:v>
      </x:c>
      <x:c r="C28" s="6" t="n">
        <x:v>123000</x:v>
      </x:c>
      <x:c r="D28" s="6" t="n">
        <x:v>170000</x:v>
      </x:c>
      <x:c r="E28" s="6" t="n">
        <x:f>C28-D28</x:f>
        <x:v>-47000</x:v>
      </x:c>
      <x:c r="F28" s="6" t="n">
        <x:f>F27+E28</x:f>
        <x:v>-2011000</x:v>
      </x:c>
      <x:c r="G28" s="6" t="n">
        <x:v>123000</x:v>
      </x:c>
      <x:c r="H28" s="6" t="n">
        <x:v>170000</x:v>
      </x:c>
      <x:c r="I28" s="6" t="n">
        <x:v>25</x:v>
      </x:c>
      <x:c r="J28" s="6" t="n">
        <x:v>0</x:v>
      </x:c>
      <x:c r="K28" s="6" t="n">
        <x:v>0</x:v>
      </x:c>
      <x:c r="L28" s="6" t="n">
        <x:v>7</x:v>
      </x:c>
      <x:c r="M28" s="11" t="n">
        <x:v>0.5560714285714285</x:v>
      </x:c>
      <x:c r="N28" s="6" t="n">
        <x:v>107000</x:v>
      </x:c>
    </x:row>
    <x:row r="29" ht="24" customHeight="1">
      <x:c r="A29" s="2" t="str">
        <x:v>2026-10-06_Night</x:v>
      </x:c>
      <x:c r="B29" s="6" t="str">
        <x:v>ナイト</x:v>
      </x:c>
      <x:c r="C29" s="6" t="n">
        <x:v>99000</x:v>
      </x:c>
      <x:c r="D29" s="6" t="n">
        <x:v>123000</x:v>
      </x:c>
      <x:c r="E29" s="6" t="n">
        <x:f>C29-D29</x:f>
        <x:v>-24000</x:v>
      </x:c>
      <x:c r="F29" s="6" t="n">
        <x:f>F28+E29</x:f>
        <x:v>-2035000</x:v>
      </x:c>
      <x:c r="G29" s="6" t="n">
        <x:v>99000</x:v>
      </x:c>
      <x:c r="H29" s="6" t="n">
        <x:v>123000</x:v>
      </x:c>
      <x:c r="I29" s="6" t="n">
        <x:v>28</x:v>
      </x:c>
      <x:c r="J29" s="6" t="n">
        <x:v>0</x:v>
      </x:c>
      <x:c r="K29" s="6" t="n">
        <x:v>0</x:v>
      </x:c>
      <x:c r="L29" s="6" t="n">
        <x:v>3</x:v>
      </x:c>
      <x:c r="M29" s="11" t="n">
        <x:v>0.48993589743589744</x:v>
      </x:c>
      <x:c r="N29" s="6" t="n">
        <x:v>83000</x:v>
      </x:c>
    </x:row>
    <x:row r="30" ht="24" customHeight="1">
      <x:c r="A30" s="2" t="str">
        <x:v>2026-10-07_Day</x:v>
      </x:c>
      <x:c r="B30" s="6" t="str">
        <x:v>デイ</x:v>
      </x:c>
      <x:c r="C30" s="6" t="n">
        <x:v>85000</x:v>
      </x:c>
      <x:c r="D30" s="6" t="n">
        <x:v>143000</x:v>
      </x:c>
      <x:c r="E30" s="6" t="n">
        <x:f>C30-D30</x:f>
        <x:v>-58000</x:v>
      </x:c>
      <x:c r="F30" s="6" t="n">
        <x:f>F29+E30</x:f>
        <x:v>-2093000</x:v>
      </x:c>
      <x:c r="G30" s="6" t="n">
        <x:v>85000</x:v>
      </x:c>
      <x:c r="H30" s="6" t="n">
        <x:v>143000</x:v>
      </x:c>
      <x:c r="I30" s="6" t="n">
        <x:v>25</x:v>
      </x:c>
      <x:c r="J30" s="6" t="n">
        <x:v>0</x:v>
      </x:c>
      <x:c r="K30" s="6" t="n">
        <x:v>0</x:v>
      </x:c>
      <x:c r="L30" s="6" t="n">
        <x:v>4</x:v>
      </x:c>
      <x:c r="M30" s="11" t="n">
        <x:v>0.5735714285714286</x:v>
      </x:c>
      <x:c r="N30" s="6" t="n">
        <x:v>79000</x:v>
      </x:c>
    </x:row>
    <x:row r="31" ht="24" customHeight="1">
      <x:c r="A31" s="2" t="str">
        <x:v>2026-10-07_Night</x:v>
      </x:c>
      <x:c r="B31" s="6" t="str">
        <x:v>ナイト</x:v>
      </x:c>
      <x:c r="C31" s="6" t="n">
        <x:v>81000</x:v>
      </x:c>
      <x:c r="D31" s="6" t="n">
        <x:v>269000</x:v>
      </x:c>
      <x:c r="E31" s="6" t="n">
        <x:f>C31-D31</x:f>
        <x:v>-188000</x:v>
      </x:c>
      <x:c r="F31" s="6" t="n">
        <x:f>F30+E31</x:f>
        <x:v>-2281000</x:v>
      </x:c>
      <x:c r="G31" s="6" t="n">
        <x:v>81000</x:v>
      </x:c>
      <x:c r="H31" s="6" t="n">
        <x:v>269000</x:v>
      </x:c>
      <x:c r="I31" s="6" t="n">
        <x:v>40</x:v>
      </x:c>
      <x:c r="J31" s="6" t="n">
        <x:v>0</x:v>
      </x:c>
      <x:c r="K31" s="6" t="n">
        <x:v>0</x:v>
      </x:c>
      <x:c r="L31" s="6" t="n">
        <x:v>4</x:v>
      </x:c>
      <x:c r="M31" s="11" t="n">
        <x:v>0.6855128205128205</x:v>
      </x:c>
      <x:c r="N31" s="6" t="n">
        <x:v>206000</x:v>
      </x:c>
    </x:row>
    <x:row r="32" ht="24" customHeight="1">
      <x:c r="A32" s="2" t="str">
        <x:v>2026-10-08_Day</x:v>
      </x:c>
      <x:c r="B32" s="6" t="str">
        <x:v>デイ</x:v>
      </x:c>
      <x:c r="C32" s="6" t="n">
        <x:v>112000</x:v>
      </x:c>
      <x:c r="D32" s="6" t="n">
        <x:v>158000</x:v>
      </x:c>
      <x:c r="E32" s="6" t="n">
        <x:f>C32-D32</x:f>
        <x:v>-46000</x:v>
      </x:c>
      <x:c r="F32" s="6" t="n">
        <x:f>F31+E32</x:f>
        <x:v>-2327000</x:v>
      </x:c>
      <x:c r="G32" s="6" t="n">
        <x:v>112000</x:v>
      </x:c>
      <x:c r="H32" s="6" t="n">
        <x:v>158000</x:v>
      </x:c>
      <x:c r="I32" s="6" t="n">
        <x:v>25</x:v>
      </x:c>
      <x:c r="J32" s="6" t="n">
        <x:v>0</x:v>
      </x:c>
      <x:c r="K32" s="6" t="n">
        <x:v>0</x:v>
      </x:c>
      <x:c r="L32" s="6" t="n">
        <x:v>4</x:v>
      </x:c>
      <x:c r="M32" s="11" t="n">
        <x:v>0.36642857142857144</x:v>
      </x:c>
      <x:c r="N32" s="6" t="n">
        <x:v>75000</x:v>
      </x:c>
    </x:row>
    <x:row r="33" ht="24" customHeight="1">
      <x:c r="A33" s="2" t="str">
        <x:v>2026-10-08_Night</x:v>
      </x:c>
      <x:c r="B33" s="6" t="str">
        <x:v>ナイト</x:v>
      </x:c>
      <x:c r="C33" s="6" t="n">
        <x:v>252000</x:v>
      </x:c>
      <x:c r="D33" s="6" t="n">
        <x:v>252000</x:v>
      </x:c>
      <x:c r="E33" s="6" t="n">
        <x:f>C33-D33</x:f>
        <x:v>0</x:v>
      </x:c>
      <x:c r="F33" s="6" t="n">
        <x:f>F32+E33</x:f>
        <x:v>-2327000</x:v>
      </x:c>
      <x:c r="G33" s="6" t="n">
        <x:v>252000</x:v>
      </x:c>
      <x:c r="H33" s="6" t="n">
        <x:v>252000</x:v>
      </x:c>
      <x:c r="I33" s="6" t="n">
        <x:v>45</x:v>
      </x:c>
      <x:c r="J33" s="6" t="n">
        <x:v>0</x:v>
      </x:c>
      <x:c r="K33" s="6" t="n">
        <x:v>0</x:v>
      </x:c>
      <x:c r="L33" s="6" t="n">
        <x:v>9</x:v>
      </x:c>
      <x:c r="M33" s="11" t="n">
        <x:v>0.504508547008547</x:v>
      </x:c>
      <x:c r="N33" s="6" t="n">
        <x:v>106000</x:v>
      </x:c>
    </x:row>
    <x:row r="34" ht="24" customHeight="1">
      <x:c r="A34" s="2" t="str">
        <x:v>2026-10-09_Day</x:v>
      </x:c>
      <x:c r="B34" s="6" t="str">
        <x:v>デイ</x:v>
      </x:c>
      <x:c r="C34" s="6" t="n">
        <x:v>137000</x:v>
      </x:c>
      <x:c r="D34" s="6" t="n">
        <x:v>70000</x:v>
      </x:c>
      <x:c r="E34" s="6" t="n">
        <x:f>C34-D34</x:f>
        <x:v>67000</x:v>
      </x:c>
      <x:c r="F34" s="6" t="n">
        <x:f>F33+E34</x:f>
        <x:v>-2260000</x:v>
      </x:c>
      <x:c r="G34" s="6" t="n">
        <x:v>137000</x:v>
      </x:c>
      <x:c r="H34" s="6" t="n">
        <x:v>70000</x:v>
      </x:c>
      <x:c r="I34" s="6" t="n">
        <x:v>18</x:v>
      </x:c>
      <x:c r="J34" s="6" t="n">
        <x:v>0</x:v>
      </x:c>
      <x:c r="K34" s="6" t="n">
        <x:v>0</x:v>
      </x:c>
      <x:c r="L34" s="6" t="n">
        <x:v>10</x:v>
      </x:c>
      <x:c r="M34" s="11" t="n">
        <x:v>0.49067460317460315</x:v>
      </x:c>
      <x:c r="N34" s="6" t="n">
        <x:v>69000</x:v>
      </x:c>
    </x:row>
    <x:row r="35" ht="24" customHeight="1">
      <x:c r="A35" s="2" t="str">
        <x:v>2026-10-09_Night</x:v>
      </x:c>
      <x:c r="B35" s="6" t="str">
        <x:v>ナイト</x:v>
      </x:c>
      <x:c r="C35" s="6" t="n">
        <x:v>107000</x:v>
      </x:c>
      <x:c r="D35" s="6" t="n">
        <x:v>248000</x:v>
      </x:c>
      <x:c r="E35" s="6" t="n">
        <x:f>C35-D35</x:f>
        <x:v>-141000</x:v>
      </x:c>
      <x:c r="F35" s="6" t="n">
        <x:f>F34+E35</x:f>
        <x:v>-2401000</x:v>
      </x:c>
      <x:c r="G35" s="6" t="n">
        <x:v>107000</x:v>
      </x:c>
      <x:c r="H35" s="6" t="n">
        <x:v>248000</x:v>
      </x:c>
      <x:c r="I35" s="6" t="n">
        <x:v>30</x:v>
      </x:c>
      <x:c r="J35" s="6" t="n">
        <x:v>0</x:v>
      </x:c>
      <x:c r="K35" s="6" t="n">
        <x:v>0</x:v>
      </x:c>
      <x:c r="L35" s="6" t="n">
        <x:v>7</x:v>
      </x:c>
      <x:c r="M35" s="11" t="n">
        <x:v>0.633482905982906</x:v>
      </x:c>
      <x:c r="N35" s="6" t="n">
        <x:v>166000</x:v>
      </x:c>
    </x:row>
    <x:row r="36" ht="24" customHeight="1">
      <x:c r="A36" s="2" t="str">
        <x:v>2026-10-12_Day</x:v>
      </x:c>
      <x:c r="B36" s="6" t="str">
        <x:v>デイ</x:v>
      </x:c>
      <x:c r="C36" s="6" t="n">
        <x:v>70000</x:v>
      </x:c>
      <x:c r="D36" s="6" t="n">
        <x:v>170000</x:v>
      </x:c>
      <x:c r="E36" s="6" t="n">
        <x:f>C36-D36</x:f>
        <x:v>-100000</x:v>
      </x:c>
      <x:c r="F36" s="6" t="n">
        <x:f>F35+E36</x:f>
        <x:v>-2501000</x:v>
      </x:c>
      <x:c r="G36" s="6" t="n">
        <x:v>70000</x:v>
      </x:c>
      <x:c r="H36" s="6" t="n">
        <x:v>170000</x:v>
      </x:c>
      <x:c r="I36" s="6" t="n">
        <x:v>19</x:v>
      </x:c>
      <x:c r="J36" s="6" t="n">
        <x:v>0</x:v>
      </x:c>
      <x:c r="K36" s="6" t="n">
        <x:v>0</x:v>
      </x:c>
      <x:c r="L36" s="6" t="n">
        <x:v>5</x:v>
      </x:c>
      <x:c r="M36" s="11" t="n">
        <x:v>0.611984126984127</x:v>
      </x:c>
      <x:c r="N36" s="6" t="n">
        <x:v>158000</x:v>
      </x:c>
    </x:row>
    <x:row r="37" ht="24" customHeight="1">
      <x:c r="A37" s="2" t="str">
        <x:v>2026-10-12_Night</x:v>
      </x:c>
      <x:c r="B37" s="6" t="str">
        <x:v>ナイト</x:v>
      </x:c>
      <x:c r="C37" s="6" t="n">
        <x:v>59000</x:v>
      </x:c>
      <x:c r="D37" s="6" t="n">
        <x:v>162000</x:v>
      </x:c>
      <x:c r="E37" s="6" t="n">
        <x:f>C37-D37</x:f>
        <x:v>-103000</x:v>
      </x:c>
      <x:c r="F37" s="6" t="n">
        <x:f>F36+E37</x:f>
        <x:v>-2604000</x:v>
      </x:c>
      <x:c r="G37" s="6" t="n">
        <x:v>59000</x:v>
      </x:c>
      <x:c r="H37" s="6" t="n">
        <x:v>162000</x:v>
      </x:c>
      <x:c r="I37" s="6" t="n">
        <x:v>21</x:v>
      </x:c>
      <x:c r="J37" s="6" t="n">
        <x:v>0</x:v>
      </x:c>
      <x:c r="K37" s="6" t="n">
        <x:v>0</x:v>
      </x:c>
      <x:c r="L37" s="6" t="n">
        <x:v>5</x:v>
      </x:c>
      <x:c r="M37" s="11" t="n">
        <x:v>0.5148717948717949</x:v>
      </x:c>
      <x:c r="N37" s="6" t="n">
        <x:v>138000</x:v>
      </x:c>
    </x:row>
    <x:row r="38" ht="24" customHeight="1">
      <x:c r="A38" s="2" t="str">
        <x:v>2026-10-13_Day</x:v>
      </x:c>
      <x:c r="B38" s="6" t="str">
        <x:v>デイ</x:v>
      </x:c>
      <x:c r="C38" s="6" t="n">
        <x:v>101000</x:v>
      </x:c>
      <x:c r="D38" s="6" t="n">
        <x:v>197000</x:v>
      </x:c>
      <x:c r="E38" s="6" t="n">
        <x:f>C38-D38</x:f>
        <x:v>-96000</x:v>
      </x:c>
      <x:c r="F38" s="6" t="n">
        <x:f>F37+E38</x:f>
        <x:v>-2700000</x:v>
      </x:c>
      <x:c r="G38" s="6" t="n">
        <x:v>101000</x:v>
      </x:c>
      <x:c r="H38" s="6" t="n">
        <x:v>197000</x:v>
      </x:c>
      <x:c r="I38" s="6" t="n">
        <x:v>36</x:v>
      </x:c>
      <x:c r="J38" s="6" t="n">
        <x:v>0</x:v>
      </x:c>
      <x:c r="K38" s="6" t="n">
        <x:v>0</x:v>
      </x:c>
      <x:c r="L38" s="6" t="n">
        <x:v>8</x:v>
      </x:c>
      <x:c r="M38" s="11" t="n">
        <x:v>0.45305555555555554</x:v>
      </x:c>
      <x:c r="N38" s="6" t="n">
        <x:v>134000</x:v>
      </x:c>
    </x:row>
    <x:row r="39" ht="24" customHeight="1">
      <x:c r="A39" s="2" t="str">
        <x:v>2026-10-13_Night</x:v>
      </x:c>
      <x:c r="B39" s="6" t="str">
        <x:v>ナイト</x:v>
      </x:c>
      <x:c r="C39" s="6" t="n">
        <x:v>114000</x:v>
      </x:c>
      <x:c r="D39" s="6" t="n">
        <x:v>226000</x:v>
      </x:c>
      <x:c r="E39" s="6" t="n">
        <x:f>C39-D39</x:f>
        <x:v>-112000</x:v>
      </x:c>
      <x:c r="F39" s="6" t="n">
        <x:f>F38+E39</x:f>
        <x:v>-2812000</x:v>
      </x:c>
      <x:c r="G39" s="6" t="n">
        <x:v>114000</x:v>
      </x:c>
      <x:c r="H39" s="6" t="n">
        <x:v>226000</x:v>
      </x:c>
      <x:c r="I39" s="6" t="n">
        <x:v>28</x:v>
      </x:c>
      <x:c r="J39" s="6" t="n">
        <x:v>0</x:v>
      </x:c>
      <x:c r="K39" s="6" t="n">
        <x:v>0</x:v>
      </x:c>
      <x:c r="L39" s="6" t="n">
        <x:v>7</x:v>
      </x:c>
      <x:c r="M39" s="11" t="n">
        <x:v>0.5906410256410256</x:v>
      </x:c>
      <x:c r="N39" s="6" t="n">
        <x:v>147000</x:v>
      </x:c>
    </x:row>
    <x:row r="40" ht="24" customHeight="1">
      <x:c r="A40" s="2" t="str">
        <x:v>2026-10-14_Day</x:v>
      </x:c>
      <x:c r="B40" s="6" t="str">
        <x:v>デイ</x:v>
      </x:c>
      <x:c r="C40" s="6" t="n">
        <x:v>107000</x:v>
      </x:c>
      <x:c r="D40" s="6" t="n">
        <x:v>216000</x:v>
      </x:c>
      <x:c r="E40" s="6" t="n">
        <x:f>C40-D40</x:f>
        <x:v>-109000</x:v>
      </x:c>
      <x:c r="F40" s="6" t="n">
        <x:f>F39+E40</x:f>
        <x:v>-2921000</x:v>
      </x:c>
      <x:c r="G40" s="6" t="n">
        <x:v>107000</x:v>
      </x:c>
      <x:c r="H40" s="6" t="n">
        <x:v>216000</x:v>
      </x:c>
      <x:c r="I40" s="6" t="n">
        <x:v>32</x:v>
      </x:c>
      <x:c r="J40" s="6" t="n">
        <x:v>0</x:v>
      </x:c>
      <x:c r="K40" s="6" t="n">
        <x:v>0</x:v>
      </x:c>
      <x:c r="L40" s="6" t="n">
        <x:v>4</x:v>
      </x:c>
      <x:c r="M40" s="11" t="n">
        <x:v>0.5378174603174604</x:v>
      </x:c>
      <x:c r="N40" s="6" t="n">
        <x:v>180000</x:v>
      </x:c>
    </x:row>
    <x:row r="41" ht="24" customHeight="1">
      <x:c r="A41" s="2" t="str">
        <x:v>2026-10-14_Night</x:v>
      </x:c>
      <x:c r="B41" s="6" t="str">
        <x:v>ナイト</x:v>
      </x:c>
      <x:c r="C41" s="6" t="n">
        <x:v>149000</x:v>
      </x:c>
      <x:c r="D41" s="6" t="n">
        <x:v>190000</x:v>
      </x:c>
      <x:c r="E41" s="6" t="n">
        <x:f>C41-D41</x:f>
        <x:v>-41000</x:v>
      </x:c>
      <x:c r="F41" s="6" t="n">
        <x:f>F40+E41</x:f>
        <x:v>-2962000</x:v>
      </x:c>
      <x:c r="G41" s="6" t="n">
        <x:v>149000</x:v>
      </x:c>
      <x:c r="H41" s="6" t="n">
        <x:v>190000</x:v>
      </x:c>
      <x:c r="I41" s="6" t="n">
        <x:v>42</x:v>
      </x:c>
      <x:c r="J41" s="6" t="n">
        <x:v>0</x:v>
      </x:c>
      <x:c r="K41" s="6" t="n">
        <x:v>0</x:v>
      </x:c>
      <x:c r="L41" s="6" t="n">
        <x:v>7</x:v>
      </x:c>
      <x:c r="M41" s="11" t="n">
        <x:v>0.4082264957264957</x:v>
      </x:c>
      <x:c r="N41" s="6" t="n">
        <x:v>112000</x:v>
      </x:c>
    </x:row>
    <x:row r="42" ht="24" customHeight="1">
      <x:c r="A42" s="2" t="str">
        <x:v>2026-10-15_Day</x:v>
      </x:c>
      <x:c r="B42" s="6" t="str">
        <x:v>デイ</x:v>
      </x:c>
      <x:c r="C42" s="6" t="n">
        <x:v>55000</x:v>
      </x:c>
      <x:c r="D42" s="6" t="n">
        <x:v>109000</x:v>
      </x:c>
      <x:c r="E42" s="6" t="n">
        <x:f>C42-D42</x:f>
        <x:v>-54000</x:v>
      </x:c>
      <x:c r="F42" s="6" t="n">
        <x:f>F41+E42</x:f>
        <x:v>-3016000</x:v>
      </x:c>
      <x:c r="G42" s="6" t="n">
        <x:v>55000</x:v>
      </x:c>
      <x:c r="H42" s="6" t="n">
        <x:v>109000</x:v>
      </x:c>
      <x:c r="I42" s="6" t="n">
        <x:v>28</x:v>
      </x:c>
      <x:c r="J42" s="6" t="n">
        <x:v>0</x:v>
      </x:c>
      <x:c r="K42" s="6" t="n">
        <x:v>0</x:v>
      </x:c>
      <x:c r="L42" s="6" t="n">
        <x:v>2</x:v>
      </x:c>
      <x:c r="M42" s="11" t="n">
        <x:v>0.12765873015873017</x:v>
      </x:c>
      <x:c r="N42" s="6" t="n">
        <x:v>69000</x:v>
      </x:c>
    </x:row>
    <x:row r="43" ht="24" customHeight="1">
      <x:c r="A43" s="2" t="str">
        <x:v>2026-10-15_Night</x:v>
      </x:c>
      <x:c r="B43" s="6" t="str">
        <x:v>ナイト</x:v>
      </x:c>
      <x:c r="C43" s="6" t="n">
        <x:v>138000</x:v>
      </x:c>
      <x:c r="D43" s="6" t="n">
        <x:v>409000</x:v>
      </x:c>
      <x:c r="E43" s="6" t="n">
        <x:f>C43-D43</x:f>
        <x:v>-271000</x:v>
      </x:c>
      <x:c r="F43" s="6" t="n">
        <x:f>F42+E43</x:f>
        <x:v>-3287000</x:v>
      </x:c>
      <x:c r="G43" s="6" t="n">
        <x:v>138000</x:v>
      </x:c>
      <x:c r="H43" s="6" t="n">
        <x:v>409000</x:v>
      </x:c>
      <x:c r="I43" s="6" t="n">
        <x:v>55</x:v>
      </x:c>
      <x:c r="J43" s="6" t="n">
        <x:v>0</x:v>
      </x:c>
      <x:c r="K43" s="6" t="n">
        <x:v>0</x:v>
      </x:c>
      <x:c r="L43" s="6" t="n">
        <x:v>10</x:v>
      </x:c>
      <x:c r="M43" s="11" t="n">
        <x:v>0.34566239316239317</x:v>
      </x:c>
      <x:c r="N43" s="6" t="n">
        <x:v>308000</x:v>
      </x:c>
    </x:row>
    <x:row r="44" ht="24" customHeight="1">
      <x:c r="A44" s="2" t="str">
        <x:v>2026-10-16_Day</x:v>
      </x:c>
      <x:c r="B44" s="6" t="str">
        <x:v>デイ</x:v>
      </x:c>
      <x:c r="C44" s="6" t="n">
        <x:v>80000</x:v>
      </x:c>
      <x:c r="D44" s="6" t="n">
        <x:v>197000</x:v>
      </x:c>
      <x:c r="E44" s="6" t="n">
        <x:f>C44-D44</x:f>
        <x:v>-117000</x:v>
      </x:c>
      <x:c r="F44" s="6" t="n">
        <x:f>F43+E44</x:f>
        <x:v>-3404000</x:v>
      </x:c>
      <x:c r="G44" s="6" t="n">
        <x:v>80000</x:v>
      </x:c>
      <x:c r="H44" s="6" t="n">
        <x:v>197000</x:v>
      </x:c>
      <x:c r="I44" s="6" t="n">
        <x:v>31</x:v>
      </x:c>
      <x:c r="J44" s="6" t="n">
        <x:v>0</x:v>
      </x:c>
      <x:c r="K44" s="6" t="n">
        <x:v>0</x:v>
      </x:c>
      <x:c r="L44" s="6" t="n">
        <x:v>5</x:v>
      </x:c>
      <x:c r="M44" s="11" t="n">
        <x:v>0.29888888888888887</x:v>
      </x:c>
      <x:c r="N44" s="6" t="n">
        <x:v>151000</x:v>
      </x:c>
    </x:row>
    <x:row r="45" ht="24" customHeight="1">
      <x:c r="A45" s="2" t="str">
        <x:v>2026-10-16_Night</x:v>
      </x:c>
      <x:c r="B45" s="6" t="str">
        <x:v>ナイト</x:v>
      </x:c>
      <x:c r="C45" s="6" t="n">
        <x:v>184000</x:v>
      </x:c>
      <x:c r="D45" s="6" t="n">
        <x:v>389000</x:v>
      </x:c>
      <x:c r="E45" s="6" t="n">
        <x:f>C45-D45</x:f>
        <x:v>-205000</x:v>
      </x:c>
      <x:c r="F45" s="6" t="n">
        <x:f>F44+E45</x:f>
        <x:v>-3609000</x:v>
      </x:c>
      <x:c r="G45" s="6" t="n">
        <x:v>184000</x:v>
      </x:c>
      <x:c r="H45" s="6" t="n">
        <x:v>389000</x:v>
      </x:c>
      <x:c r="I45" s="6" t="n">
        <x:v>62</x:v>
      </x:c>
      <x:c r="J45" s="6" t="n">
        <x:v>0</x:v>
      </x:c>
      <x:c r="K45" s="6" t="n">
        <x:v>0</x:v>
      </x:c>
      <x:c r="L45" s="6" t="n">
        <x:v>10</x:v>
      </x:c>
      <x:c r="M45" s="11" t="n">
        <x:v>0.36662393162393164</x:v>
      </x:c>
      <x:c r="N45" s="6" t="n">
        <x:v>290000</x:v>
      </x:c>
    </x:row>
    <x:row r="46" ht="24" customHeight="1">
      <x:c r="A46" s="2" t="str">
        <x:v>2026-10-19_Day</x:v>
      </x:c>
      <x:c r="B46" s="6" t="str">
        <x:v>デイ</x:v>
      </x:c>
      <x:c r="C46" s="6" t="n">
        <x:v>78000</x:v>
      </x:c>
      <x:c r="D46" s="6" t="n">
        <x:v>317000</x:v>
      </x:c>
      <x:c r="E46" s="6" t="n">
        <x:f>C46-D46</x:f>
        <x:v>-239000</x:v>
      </x:c>
      <x:c r="F46" s="6" t="n">
        <x:f>F45+E46</x:f>
        <x:v>-3848000</x:v>
      </x:c>
      <x:c r="G46" s="6" t="n">
        <x:v>78000</x:v>
      </x:c>
      <x:c r="H46" s="6" t="n">
        <x:v>317000</x:v>
      </x:c>
      <x:c r="I46" s="6" t="n">
        <x:v>37</x:v>
      </x:c>
      <x:c r="J46" s="6" t="n">
        <x:v>0</x:v>
      </x:c>
      <x:c r="K46" s="6" t="n">
        <x:v>0</x:v>
      </x:c>
      <x:c r="L46" s="6" t="n">
        <x:v>10</x:v>
      </x:c>
      <x:c r="M46" s="11" t="n">
        <x:v>0.3437301587301587</x:v>
      </x:c>
      <x:c r="N46" s="6" t="n">
        <x:v>288000</x:v>
      </x:c>
    </x:row>
    <x:row r="47" ht="24" customHeight="1">
      <x:c r="A47" s="2" t="str">
        <x:v>2026-10-19_Night</x:v>
      </x:c>
      <x:c r="B47" s="6" t="str">
        <x:v>ナイト</x:v>
      </x:c>
      <x:c r="C47" s="6" t="n">
        <x:v>100000</x:v>
      </x:c>
      <x:c r="D47" s="6" t="n">
        <x:v>293000</x:v>
      </x:c>
      <x:c r="E47" s="6" t="n">
        <x:f>C47-D47</x:f>
        <x:v>-193000</x:v>
      </x:c>
      <x:c r="F47" s="6" t="n">
        <x:f>F46+E47</x:f>
        <x:v>-4041000</x:v>
      </x:c>
      <x:c r="G47" s="6" t="n">
        <x:v>100000</x:v>
      </x:c>
      <x:c r="H47" s="6" t="n">
        <x:v>293000</x:v>
      </x:c>
      <x:c r="I47" s="6" t="n">
        <x:v>45</x:v>
      </x:c>
      <x:c r="J47" s="6" t="n">
        <x:v>0</x:v>
      </x:c>
      <x:c r="K47" s="6" t="n">
        <x:v>0</x:v>
      </x:c>
      <x:c r="L47" s="6" t="n">
        <x:v>5</x:v>
      </x:c>
      <x:c r="M47" s="11" t="n">
        <x:v>0.40275641025641024</x:v>
      </x:c>
      <x:c r="N47" s="6" t="n">
        <x:v>198000</x:v>
      </x:c>
    </x:row>
    <x:row r="48" ht="24" customHeight="1">
      <x:c r="A48" s="2" t="str">
        <x:v>2026-10-20_Day</x:v>
      </x:c>
      <x:c r="B48" s="6" t="str">
        <x:v>デイ</x:v>
      </x:c>
      <x:c r="C48" s="6" t="n">
        <x:v>84000</x:v>
      </x:c>
      <x:c r="D48" s="6" t="n">
        <x:v>127000</x:v>
      </x:c>
      <x:c r="E48" s="6" t="n">
        <x:f>C48-D48</x:f>
        <x:v>-43000</x:v>
      </x:c>
      <x:c r="F48" s="6" t="n">
        <x:f>F47+E48</x:f>
        <x:v>-4084000</x:v>
      </x:c>
      <x:c r="G48" s="6" t="n">
        <x:v>84000</x:v>
      </x:c>
      <x:c r="H48" s="6" t="n">
        <x:v>127000</x:v>
      </x:c>
      <x:c r="I48" s="6" t="n">
        <x:v>34</x:v>
      </x:c>
      <x:c r="J48" s="6" t="n">
        <x:v>0</x:v>
      </x:c>
      <x:c r="K48" s="6" t="n">
        <x:v>0</x:v>
      </x:c>
      <x:c r="L48" s="6" t="n">
        <x:v>4</x:v>
      </x:c>
      <x:c r="M48" s="11" t="n">
        <x:v>0.20742063492063492</x:v>
      </x:c>
      <x:c r="N48" s="6" t="n">
        <x:v>83000</x:v>
      </x:c>
    </x:row>
    <x:row r="49" ht="24" customHeight="1">
      <x:c r="A49" s="2" t="str">
        <x:v>2026-10-20_Night</x:v>
      </x:c>
      <x:c r="B49" s="6" t="str">
        <x:v>ナイト</x:v>
      </x:c>
      <x:c r="C49" s="6" t="n">
        <x:v>174000</x:v>
      </x:c>
      <x:c r="D49" s="6" t="n">
        <x:v>210000</x:v>
      </x:c>
      <x:c r="E49" s="6" t="n">
        <x:f>C49-D49</x:f>
        <x:v>-36000</x:v>
      </x:c>
      <x:c r="F49" s="6" t="n">
        <x:f>F48+E49</x:f>
        <x:v>-4120000</x:v>
      </x:c>
      <x:c r="G49" s="6" t="n">
        <x:v>174000</x:v>
      </x:c>
      <x:c r="H49" s="6" t="n">
        <x:v>210000</x:v>
      </x:c>
      <x:c r="I49" s="6" t="n">
        <x:v>44</x:v>
      </x:c>
      <x:c r="J49" s="6" t="n">
        <x:v>0</x:v>
      </x:c>
      <x:c r="K49" s="6" t="n">
        <x:v>0</x:v>
      </x:c>
      <x:c r="L49" s="6" t="n">
        <x:v>7</x:v>
      </x:c>
      <x:c r="M49" s="11" t="n">
        <x:v>0.27100427350427353</x:v>
      </x:c>
      <x:c r="N49" s="6" t="n">
        <x:v>163000</x:v>
      </x:c>
    </x:row>
    <x:row r="50" ht="24" customHeight="1">
      <x:c r="A50" s="2" t="str">
        <x:v>2026-10-21_Day</x:v>
      </x:c>
      <x:c r="B50" s="6" t="str">
        <x:v>デイ</x:v>
      </x:c>
      <x:c r="C50" s="6" t="n">
        <x:v>66000</x:v>
      </x:c>
      <x:c r="D50" s="6" t="n">
        <x:v>157000</x:v>
      </x:c>
      <x:c r="E50" s="6" t="n">
        <x:f>C50-D50</x:f>
        <x:v>-91000</x:v>
      </x:c>
      <x:c r="F50" s="6" t="n">
        <x:f>F49+E50</x:f>
        <x:v>-4211000</x:v>
      </x:c>
      <x:c r="G50" s="6" t="n">
        <x:v>66000</x:v>
      </x:c>
      <x:c r="H50" s="6" t="n">
        <x:v>157000</x:v>
      </x:c>
      <x:c r="I50" s="6" t="n">
        <x:v>36</x:v>
      </x:c>
      <x:c r="J50" s="6" t="n">
        <x:v>0</x:v>
      </x:c>
      <x:c r="K50" s="6" t="n">
        <x:v>0</x:v>
      </x:c>
      <x:c r="L50" s="6" t="n">
        <x:v>4</x:v>
      </x:c>
      <x:c r="M50" s="11" t="n">
        <x:v>0.33031746031746034</x:v>
      </x:c>
      <x:c r="N50" s="6" t="n">
        <x:v>104000</x:v>
      </x:c>
    </x:row>
    <x:row r="51" ht="24" customHeight="1">
      <x:c r="A51" s="2" t="str">
        <x:v>2026-10-21_Night</x:v>
      </x:c>
      <x:c r="B51" s="6" t="str">
        <x:v>ナイト</x:v>
      </x:c>
      <x:c r="C51" s="6" t="n">
        <x:v>168000</x:v>
      </x:c>
      <x:c r="D51" s="6" t="n">
        <x:v>299000</x:v>
      </x:c>
      <x:c r="E51" s="6" t="n">
        <x:f>C51-D51</x:f>
        <x:v>-131000</x:v>
      </x:c>
      <x:c r="F51" s="6" t="n">
        <x:f>F50+E51</x:f>
        <x:v>-4342000</x:v>
      </x:c>
      <x:c r="G51" s="6" t="n">
        <x:v>168000</x:v>
      </x:c>
      <x:c r="H51" s="6" t="n">
        <x:v>299000</x:v>
      </x:c>
      <x:c r="I51" s="6" t="n">
        <x:v>47</x:v>
      </x:c>
      <x:c r="J51" s="6" t="n">
        <x:v>0</x:v>
      </x:c>
      <x:c r="K51" s="6" t="n">
        <x:v>0</x:v>
      </x:c>
      <x:c r="L51" s="6" t="n">
        <x:v>8</x:v>
      </x:c>
      <x:c r="M51" s="11" t="n">
        <x:v>0.42414529914529914</x:v>
      </x:c>
      <x:c r="N51" s="6" t="n">
        <x:v>199000</x:v>
      </x:c>
    </x:row>
    <x:row r="52" ht="24" customHeight="1">
      <x:c r="A52" s="2" t="str">
        <x:v>2026-10-22_Day</x:v>
      </x:c>
      <x:c r="B52" s="6" t="str">
        <x:v>デイ</x:v>
      </x:c>
      <x:c r="C52" s="6" t="n">
        <x:v>130000</x:v>
      </x:c>
      <x:c r="D52" s="6" t="n">
        <x:v>191000</x:v>
      </x:c>
      <x:c r="E52" s="6" t="n">
        <x:f>C52-D52</x:f>
        <x:v>-61000</x:v>
      </x:c>
      <x:c r="F52" s="6" t="n">
        <x:f>F51+E52</x:f>
        <x:v>-4403000</x:v>
      </x:c>
      <x:c r="G52" s="6" t="n">
        <x:v>130000</x:v>
      </x:c>
      <x:c r="H52" s="6" t="n">
        <x:v>191000</x:v>
      </x:c>
      <x:c r="I52" s="6" t="n">
        <x:v>40</x:v>
      </x:c>
      <x:c r="J52" s="6" t="n">
        <x:v>0</x:v>
      </x:c>
      <x:c r="K52" s="6" t="n">
        <x:v>0</x:v>
      </x:c>
      <x:c r="L52" s="6" t="n">
        <x:v>6</x:v>
      </x:c>
      <x:c r="M52" s="11" t="n">
        <x:v>0.3121031746031746</x:v>
      </x:c>
      <x:c r="N52" s="6" t="n">
        <x:v>120000</x:v>
      </x:c>
    </x:row>
    <x:row r="53" ht="24" customHeight="1">
      <x:c r="A53" s="2" t="str">
        <x:v>2026-10-22_Night</x:v>
      </x:c>
      <x:c r="B53" s="6" t="str">
        <x:v>ナイト</x:v>
      </x:c>
      <x:c r="C53" s="6" t="n">
        <x:v>222000</x:v>
      </x:c>
      <x:c r="D53" s="6" t="n">
        <x:v>205000</x:v>
      </x:c>
      <x:c r="E53" s="6" t="n">
        <x:f>C53-D53</x:f>
        <x:v>17000</x:v>
      </x:c>
      <x:c r="F53" s="6" t="n">
        <x:f>F52+E53</x:f>
        <x:v>-4386000</x:v>
      </x:c>
      <x:c r="G53" s="6" t="n">
        <x:v>222000</x:v>
      </x:c>
      <x:c r="H53" s="6" t="n">
        <x:v>205000</x:v>
      </x:c>
      <x:c r="I53" s="6" t="n">
        <x:v>53</x:v>
      </x:c>
      <x:c r="J53" s="6" t="n">
        <x:v>0</x:v>
      </x:c>
      <x:c r="K53" s="6" t="n">
        <x:v>0</x:v>
      </x:c>
      <x:c r="L53" s="6" t="n">
        <x:v>10</x:v>
      </x:c>
      <x:c r="M53" s="11" t="n">
        <x:v>0.3766025641025641</x:v>
      </x:c>
      <x:c r="N53" s="6" t="n">
        <x:v>121000</x:v>
      </x:c>
    </x:row>
    <x:row r="54" ht="24" customHeight="1">
      <x:c r="A54" s="2" t="str">
        <x:v>2026-10-23_Day</x:v>
      </x:c>
      <x:c r="B54" s="6" t="str">
        <x:v>デイ</x:v>
      </x:c>
      <x:c r="C54" s="6" t="n">
        <x:v>95000</x:v>
      </x:c>
      <x:c r="D54" s="6" t="n">
        <x:v>281000</x:v>
      </x:c>
      <x:c r="E54" s="6" t="n">
        <x:f>C54-D54</x:f>
        <x:v>-186000</x:v>
      </x:c>
      <x:c r="F54" s="6" t="n">
        <x:f>F53+E54</x:f>
        <x:v>-4572000</x:v>
      </x:c>
      <x:c r="G54" s="6" t="n">
        <x:v>95000</x:v>
      </x:c>
      <x:c r="H54" s="6" t="n">
        <x:v>281000</x:v>
      </x:c>
      <x:c r="I54" s="6" t="n">
        <x:v>42</x:v>
      </x:c>
      <x:c r="J54" s="6" t="n">
        <x:v>0</x:v>
      </x:c>
      <x:c r="K54" s="6" t="n">
        <x:v>0</x:v>
      </x:c>
      <x:c r="L54" s="6" t="n">
        <x:v>10</x:v>
      </x:c>
      <x:c r="M54" s="11" t="n">
        <x:v>0.18452380952380953</x:v>
      </x:c>
      <x:c r="N54" s="6" t="n">
        <x:v>204000</x:v>
      </x:c>
    </x:row>
    <x:row r="55" ht="24" customHeight="1">
      <x:c r="A55" s="2" t="str">
        <x:v>2026-10-23_Night</x:v>
      </x:c>
      <x:c r="B55" s="6" t="str">
        <x:v>ナイト</x:v>
      </x:c>
      <x:c r="C55" s="6" t="n">
        <x:v>161000</x:v>
      </x:c>
      <x:c r="D55" s="6" t="n">
        <x:v>129000</x:v>
      </x:c>
      <x:c r="E55" s="6" t="n">
        <x:f>C55-D55</x:f>
        <x:v>32000</x:v>
      </x:c>
      <x:c r="F55" s="6" t="n">
        <x:f>F54+E55</x:f>
        <x:v>-4540000</x:v>
      </x:c>
      <x:c r="G55" s="6" t="n">
        <x:v>161000</x:v>
      </x:c>
      <x:c r="H55" s="6" t="n">
        <x:v>129000</x:v>
      </x:c>
      <x:c r="I55" s="6" t="n">
        <x:v>44</x:v>
      </x:c>
      <x:c r="J55" s="6" t="n">
        <x:v>0</x:v>
      </x:c>
      <x:c r="K55" s="6" t="n">
        <x:v>0</x:v>
      </x:c>
      <x:c r="L55" s="6" t="n">
        <x:v>4</x:v>
      </x:c>
      <x:c r="M55" s="11" t="n">
        <x:v>0.5132051282051282</x:v>
      </x:c>
      <x:c r="N55" s="6" t="n">
        <x:v>56000</x:v>
      </x:c>
    </x:row>
    <x:row r="56" ht="24" customHeight="1">
      <x:c r="A56" s="2" t="str">
        <x:v>2026-10-26_Day</x:v>
      </x:c>
      <x:c r="B56" s="6" t="str">
        <x:v>デイ</x:v>
      </x:c>
      <x:c r="C56" s="6" t="n">
        <x:v>74000</x:v>
      </x:c>
      <x:c r="D56" s="6" t="n">
        <x:v>222000</x:v>
      </x:c>
      <x:c r="E56" s="6" t="n">
        <x:f>C56-D56</x:f>
        <x:v>-148000</x:v>
      </x:c>
      <x:c r="F56" s="6" t="n">
        <x:f>F55+E56</x:f>
        <x:v>-4688000</x:v>
      </x:c>
      <x:c r="G56" s="6" t="n">
        <x:v>74000</x:v>
      </x:c>
      <x:c r="H56" s="6" t="n">
        <x:v>222000</x:v>
      </x:c>
      <x:c r="I56" s="6" t="n">
        <x:v>31</x:v>
      </x:c>
      <x:c r="J56" s="6" t="n">
        <x:v>0</x:v>
      </x:c>
      <x:c r="K56" s="6" t="n">
        <x:v>0</x:v>
      </x:c>
      <x:c r="L56" s="6" t="n">
        <x:v>8</x:v>
      </x:c>
      <x:c r="M56" s="11" t="n">
        <x:v>0.3252777777777778</x:v>
      </x:c>
      <x:c r="N56" s="6" t="n">
        <x:v>193000</x:v>
      </x:c>
    </x:row>
    <x:row r="57" ht="24" customHeight="1">
      <x:c r="A57" s="15" t="str">
        <x:v>累計／平均／最大</x:v>
      </x:c>
      <x:c r="B57" s="16"/>
      <x:c r="C57" s="16" t="n">
        <x:f>SUM(C6:C56)</x:f>
        <x:v>5684000</x:v>
      </x:c>
      <x:c r="D57" s="16" t="n">
        <x:f>SUM(D6:D56)</x:f>
        <x:v>10372000</x:v>
      </x:c>
      <x:c r="E57" s="16" t="n">
        <x:f>C57-D57</x:f>
        <x:v>-4688000</x:v>
      </x:c>
      <x:c r="F57" s="16" t="n">
        <x:f>F56</x:f>
        <x:v>-4688000</x:v>
      </x:c>
      <x:c r="G57" s="16" t="n">
        <x:f>SUM(G6:G56)</x:f>
        <x:v>5684000</x:v>
      </x:c>
      <x:c r="H57" s="16" t="n">
        <x:f>SUM(H6:H56)</x:f>
        <x:v>10372000</x:v>
      </x:c>
      <x:c r="I57" s="16" t="n">
        <x:f>SUM(I6:I56)</x:f>
        <x:v>1778</x:v>
      </x:c>
      <x:c r="J57" s="16" t="n">
        <x:f>SUM(J6:J56)</x:f>
        <x:v>0</x:v>
      </x:c>
      <x:c r="K57" s="16" t="n">
        <x:f>SUM(K6:K56)</x:f>
        <x:v>0</x:v>
      </x:c>
      <x:c r="L57" s="16" t="n">
        <x:f>MAX(L6:L56)</x:f>
        <x:v>10</x:v>
      </x:c>
      <x:c r="M57" s="17" t="n">
        <x:f>AVERAGE(M6:M56)</x:f>
        <x:v>0.43358998300174756</x:v>
      </x:c>
      <x:c r="N57" s="16" t="n">
        <x:f>MAX(N6:N56)</x:f>
        <x:v>321000</x:v>
      </x:c>
    </x:row>
  </x:sheetData>
  <x:conditionalFormatting sqref="E6:F56">
    <x:cfRule type="cellIs" dxfId="5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5e020b7babc49cc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1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4" customHeight="1">
      <x:c r="A1" s="3" t="str">
        <x:v>日経 R07　各セッションの利益・損失・収支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A2" s="4" t="str">
        <x:v>2026/09/21〜10/26デイ・51完了場。日経mini／TOPIXmini各上限10枚・手数料0。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4" customHeight="1">
      <x:c r="A3" s="4" t="str">
        <x:v>10分MA・冷却後に再参加・価格と1分傾き確認・保有中も比例枚数へ増減／T出口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4" customHeight="1">
      <x:c r="A4" s="4" t="str">
        <x:v>利益・損失＝FIFO返済配賦別。親＝初回から全返済まで。ラージ気配による模型で、mini実約定の検証ではありません。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42" customHeight="1">
      <x:c r="A5" s="10" t="str">
        <x:v>セッション</x:v>
      </x:c>
      <x:c r="B5" s="10" t="str">
        <x:v>区分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親利益（円）</x:v>
      </x:c>
      <x:c r="H5" s="10" t="str">
        <x:v>親損失（円）</x:v>
      </x:c>
      <x:c r="I5" s="10" t="str">
        <x:v>初回件数</x:v>
      </x:c>
      <x:c r="J5" s="10" t="str">
        <x:v>追加件数</x:v>
      </x:c>
      <x:c r="K5" s="10" t="str">
        <x:v>縮小件数</x:v>
      </x:c>
      <x:c r="L5" s="10" t="str">
        <x:v>最大保有枚数</x:v>
      </x:c>
      <x:c r="M5" s="10" t="str">
        <x:v>保有時間率</x:v>
      </x:c>
      <x:c r="N5" s="10" t="str">
        <x:v>時価最大DD（円）</x:v>
      </x:c>
    </x:row>
    <x:row r="6" ht="24" customHeight="1">
      <x:c r="A6" s="2" t="str">
        <x:v>2026-09-21_Day</x:v>
      </x:c>
      <x:c r="B6" s="6" t="str">
        <x:v>デイ</x:v>
      </x:c>
      <x:c r="C6" s="6" t="n">
        <x:v>92000</x:v>
      </x:c>
      <x:c r="D6" s="6" t="n">
        <x:v>139000</x:v>
      </x:c>
      <x:c r="E6" s="6" t="n">
        <x:f>C6-D6</x:f>
        <x:v>-47000</x:v>
      </x:c>
      <x:c r="F6" s="6" t="n">
        <x:f>E6</x:f>
        <x:v>-47000</x:v>
      </x:c>
      <x:c r="G6" s="6" t="n">
        <x:v>70000</x:v>
      </x:c>
      <x:c r="H6" s="6" t="n">
        <x:v>117000</x:v>
      </x:c>
      <x:c r="I6" s="6" t="n">
        <x:v>17</x:v>
      </x:c>
      <x:c r="J6" s="6" t="n">
        <x:v>31</x:v>
      </x:c>
      <x:c r="K6" s="6" t="n">
        <x:v>21</x:v>
      </x:c>
      <x:c r="L6" s="6" t="n">
        <x:v>10</x:v>
      </x:c>
      <x:c r="M6" s="11" t="n">
        <x:v>0.4011904761904762</x:v>
      </x:c>
      <x:c r="N6" s="6" t="n">
        <x:v>88000</x:v>
      </x:c>
    </x:row>
    <x:row r="7" ht="24" customHeight="1">
      <x:c r="A7" s="2" t="str">
        <x:v>2026-09-21_Night</x:v>
      </x:c>
      <x:c r="B7" s="6" t="str">
        <x:v>ナイト</x:v>
      </x:c>
      <x:c r="C7" s="6" t="n">
        <x:v>72000</x:v>
      </x:c>
      <x:c r="D7" s="6" t="n">
        <x:v>141000</x:v>
      </x:c>
      <x:c r="E7" s="6" t="n">
        <x:f>C7-D7</x:f>
        <x:v>-69000</x:v>
      </x:c>
      <x:c r="F7" s="6" t="n">
        <x:f>F6+E7</x:f>
        <x:v>-116000</x:v>
      </x:c>
      <x:c r="G7" s="6" t="n">
        <x:v>40000</x:v>
      </x:c>
      <x:c r="H7" s="6" t="n">
        <x:v>109000</x:v>
      </x:c>
      <x:c r="I7" s="6" t="n">
        <x:v>20</x:v>
      </x:c>
      <x:c r="J7" s="6" t="n">
        <x:v>45</x:v>
      </x:c>
      <x:c r="K7" s="6" t="n">
        <x:v>26</x:v>
      </x:c>
      <x:c r="L7" s="6" t="n">
        <x:v>6</x:v>
      </x:c>
      <x:c r="M7" s="11" t="n">
        <x:v>0.3266239316239316</x:v>
      </x:c>
      <x:c r="N7" s="6" t="n">
        <x:v>86000</x:v>
      </x:c>
    </x:row>
    <x:row r="8" ht="24" customHeight="1">
      <x:c r="A8" s="2" t="str">
        <x:v>2026-09-22_Day</x:v>
      </x:c>
      <x:c r="B8" s="6" t="str">
        <x:v>デイ</x:v>
      </x:c>
      <x:c r="C8" s="6" t="n">
        <x:v>77000</x:v>
      </x:c>
      <x:c r="D8" s="6" t="n">
        <x:v>240000</x:v>
      </x:c>
      <x:c r="E8" s="6" t="n">
        <x:f>C8-D8</x:f>
        <x:v>-163000</x:v>
      </x:c>
      <x:c r="F8" s="6" t="n">
        <x:f>F7+E8</x:f>
        <x:v>-279000</x:v>
      </x:c>
      <x:c r="G8" s="6" t="n">
        <x:v>39000</x:v>
      </x:c>
      <x:c r="H8" s="6" t="n">
        <x:v>202000</x:v>
      </x:c>
      <x:c r="I8" s="6" t="n">
        <x:v>27</x:v>
      </x:c>
      <x:c r="J8" s="6" t="n">
        <x:v>59</x:v>
      </x:c>
      <x:c r="K8" s="6" t="n">
        <x:v>41</x:v>
      </x:c>
      <x:c r="L8" s="6" t="n">
        <x:v>9</x:v>
      </x:c>
      <x:c r="M8" s="11" t="n">
        <x:v>0.3811904761904762</x:v>
      </x:c>
      <x:c r="N8" s="6" t="n">
        <x:v>191000</x:v>
      </x:c>
    </x:row>
    <x:row r="9" ht="24" customHeight="1">
      <x:c r="A9" s="2" t="str">
        <x:v>2026-09-22_Night</x:v>
      </x:c>
      <x:c r="B9" s="6" t="str">
        <x:v>ナイト</x:v>
      </x:c>
      <x:c r="C9" s="6" t="n">
        <x:v>135000</x:v>
      </x:c>
      <x:c r="D9" s="6" t="n">
        <x:v>253000</x:v>
      </x:c>
      <x:c r="E9" s="6" t="n">
        <x:f>C9-D9</x:f>
        <x:v>-118000</x:v>
      </x:c>
      <x:c r="F9" s="6" t="n">
        <x:f>F8+E9</x:f>
        <x:v>-397000</x:v>
      </x:c>
      <x:c r="G9" s="6" t="n">
        <x:v>85000</x:v>
      </x:c>
      <x:c r="H9" s="6" t="n">
        <x:v>203000</x:v>
      </x:c>
      <x:c r="I9" s="6" t="n">
        <x:v>25</x:v>
      </x:c>
      <x:c r="J9" s="6" t="n">
        <x:v>76</x:v>
      </x:c>
      <x:c r="K9" s="6" t="n">
        <x:v>45</x:v>
      </x:c>
      <x:c r="L9" s="6" t="n">
        <x:v>8</x:v>
      </x:c>
      <x:c r="M9" s="11" t="n">
        <x:v>0.27895299145299146</x:v>
      </x:c>
      <x:c r="N9" s="6" t="n">
        <x:v>175000</x:v>
      </x:c>
    </x:row>
    <x:row r="10" ht="24" customHeight="1">
      <x:c r="A10" s="2" t="str">
        <x:v>2026-09-23_Day</x:v>
      </x:c>
      <x:c r="B10" s="6" t="str">
        <x:v>デイ</x:v>
      </x:c>
      <x:c r="C10" s="6" t="n">
        <x:v>62000</x:v>
      </x:c>
      <x:c r="D10" s="6" t="n">
        <x:v>273000</x:v>
      </x:c>
      <x:c r="E10" s="6" t="n">
        <x:f>C10-D10</x:f>
        <x:v>-211000</x:v>
      </x:c>
      <x:c r="F10" s="6" t="n">
        <x:f>F9+E10</x:f>
        <x:v>-608000</x:v>
      </x:c>
      <x:c r="G10" s="6" t="n">
        <x:v>53000</x:v>
      </x:c>
      <x:c r="H10" s="6" t="n">
        <x:v>264000</x:v>
      </x:c>
      <x:c r="I10" s="6" t="n">
        <x:v>15</x:v>
      </x:c>
      <x:c r="J10" s="6" t="n">
        <x:v>38</x:v>
      </x:c>
      <x:c r="K10" s="6" t="n">
        <x:v>28</x:v>
      </x:c>
      <x:c r="L10" s="6" t="n">
        <x:v>10</x:v>
      </x:c>
      <x:c r="M10" s="11" t="n">
        <x:v>0.4498809523809524</x:v>
      </x:c>
      <x:c r="N10" s="6" t="n">
        <x:v>214000</x:v>
      </x:c>
    </x:row>
    <x:row r="11" ht="24" customHeight="1">
      <x:c r="A11" s="2" t="str">
        <x:v>2026-09-23_Night</x:v>
      </x:c>
      <x:c r="B11" s="6" t="str">
        <x:v>ナイト</x:v>
      </x:c>
      <x:c r="C11" s="6" t="n">
        <x:v>140000</x:v>
      </x:c>
      <x:c r="D11" s="6" t="n">
        <x:v>431000</x:v>
      </x:c>
      <x:c r="E11" s="6" t="n">
        <x:f>C11-D11</x:f>
        <x:v>-291000</x:v>
      </x:c>
      <x:c r="F11" s="6" t="n">
        <x:f>F10+E11</x:f>
        <x:v>-899000</x:v>
      </x:c>
      <x:c r="G11" s="6" t="n">
        <x:v>94000</x:v>
      </x:c>
      <x:c r="H11" s="6" t="n">
        <x:v>385000</x:v>
      </x:c>
      <x:c r="I11" s="6" t="n">
        <x:v>26</x:v>
      </x:c>
      <x:c r="J11" s="6" t="n">
        <x:v>93</x:v>
      </x:c>
      <x:c r="K11" s="6" t="n">
        <x:v>56</x:v>
      </x:c>
      <x:c r="L11" s="6" t="n">
        <x:v>10</x:v>
      </x:c>
      <x:c r="M11" s="11" t="n">
        <x:v>0.5613888888888889</x:v>
      </x:c>
      <x:c r="N11" s="6" t="n">
        <x:v>293000</x:v>
      </x:c>
    </x:row>
    <x:row r="12" ht="24" customHeight="1">
      <x:c r="A12" s="2" t="str">
        <x:v>2026-09-24_Day</x:v>
      </x:c>
      <x:c r="B12" s="6" t="str">
        <x:v>デイ</x:v>
      </x:c>
      <x:c r="C12" s="6" t="n">
        <x:v>125000</x:v>
      </x:c>
      <x:c r="D12" s="6" t="n">
        <x:v>404000</x:v>
      </x:c>
      <x:c r="E12" s="6" t="n">
        <x:f>C12-D12</x:f>
        <x:v>-279000</x:v>
      </x:c>
      <x:c r="F12" s="6" t="n">
        <x:f>F11+E12</x:f>
        <x:v>-1178000</x:v>
      </x:c>
      <x:c r="G12" s="6" t="n">
        <x:v>69000</x:v>
      </x:c>
      <x:c r="H12" s="6" t="n">
        <x:v>348000</x:v>
      </x:c>
      <x:c r="I12" s="6" t="n">
        <x:v>33</x:v>
      </x:c>
      <x:c r="J12" s="6" t="n">
        <x:v>116</x:v>
      </x:c>
      <x:c r="K12" s="6" t="n">
        <x:v>57</x:v>
      </x:c>
      <x:c r="L12" s="6" t="n">
        <x:v>8</x:v>
      </x:c>
      <x:c r="M12" s="11" t="n">
        <x:v>0.41698412698412696</x:v>
      </x:c>
      <x:c r="N12" s="6" t="n">
        <x:v>297000</x:v>
      </x:c>
    </x:row>
    <x:row r="13" ht="24" customHeight="1">
      <x:c r="A13" s="2" t="str">
        <x:v>2026-09-24_Night</x:v>
      </x:c>
      <x:c r="B13" s="6" t="str">
        <x:v>ナイト</x:v>
      </x:c>
      <x:c r="C13" s="6" t="n">
        <x:v>247000</x:v>
      </x:c>
      <x:c r="D13" s="6" t="n">
        <x:v>646000</x:v>
      </x:c>
      <x:c r="E13" s="6" t="n">
        <x:f>C13-D13</x:f>
        <x:v>-399000</x:v>
      </x:c>
      <x:c r="F13" s="6" t="n">
        <x:f>F12+E13</x:f>
        <x:v>-1577000</x:v>
      </x:c>
      <x:c r="G13" s="6" t="n">
        <x:v>186000</x:v>
      </x:c>
      <x:c r="H13" s="6" t="n">
        <x:v>585000</x:v>
      </x:c>
      <x:c r="I13" s="6" t="n">
        <x:v>63</x:v>
      </x:c>
      <x:c r="J13" s="6" t="n">
        <x:v>116</x:v>
      </x:c>
      <x:c r="K13" s="6" t="n">
        <x:v>58</x:v>
      </x:c>
      <x:c r="L13" s="6" t="n">
        <x:v>10</x:v>
      </x:c>
      <x:c r="M13" s="11" t="n">
        <x:v>0.3574786324786325</x:v>
      </x:c>
      <x:c r="N13" s="6" t="n">
        <x:v>439000</x:v>
      </x:c>
    </x:row>
    <x:row r="14" ht="24" customHeight="1">
      <x:c r="A14" s="2" t="str">
        <x:v>2026-09-25_Day</x:v>
      </x:c>
      <x:c r="B14" s="6" t="str">
        <x:v>デイ</x:v>
      </x:c>
      <x:c r="C14" s="6" t="n">
        <x:v>88000</x:v>
      </x:c>
      <x:c r="D14" s="6" t="n">
        <x:v>350000</x:v>
      </x:c>
      <x:c r="E14" s="6" t="n">
        <x:f>C14-D14</x:f>
        <x:v>-262000</x:v>
      </x:c>
      <x:c r="F14" s="6" t="n">
        <x:f>F13+E14</x:f>
        <x:v>-1839000</x:v>
      </x:c>
      <x:c r="G14" s="6" t="n">
        <x:v>33000</x:v>
      </x:c>
      <x:c r="H14" s="6" t="n">
        <x:v>295000</x:v>
      </x:c>
      <x:c r="I14" s="6" t="n">
        <x:v>31</x:v>
      </x:c>
      <x:c r="J14" s="6" t="n">
        <x:v>102</x:v>
      </x:c>
      <x:c r="K14" s="6" t="n">
        <x:v>74</x:v>
      </x:c>
      <x:c r="L14" s="6" t="n">
        <x:v>9</x:v>
      </x:c>
      <x:c r="M14" s="11" t="n">
        <x:v>0.5576984126984127</x:v>
      </x:c>
      <x:c r="N14" s="6" t="n">
        <x:v>289000</x:v>
      </x:c>
    </x:row>
    <x:row r="15" ht="24" customHeight="1">
      <x:c r="A15" s="2" t="str">
        <x:v>2026-09-25_Night</x:v>
      </x:c>
      <x:c r="B15" s="6" t="str">
        <x:v>ナイト</x:v>
      </x:c>
      <x:c r="C15" s="6" t="n">
        <x:v>152000</x:v>
      </x:c>
      <x:c r="D15" s="6" t="n">
        <x:v>539000</x:v>
      </x:c>
      <x:c r="E15" s="6" t="n">
        <x:f>C15-D15</x:f>
        <x:v>-387000</x:v>
      </x:c>
      <x:c r="F15" s="6" t="n">
        <x:f>F14+E15</x:f>
        <x:v>-2226000</x:v>
      </x:c>
      <x:c r="G15" s="6" t="n">
        <x:v>109000</x:v>
      </x:c>
      <x:c r="H15" s="6" t="n">
        <x:v>496000</x:v>
      </x:c>
      <x:c r="I15" s="6" t="n">
        <x:v>40</x:v>
      </x:c>
      <x:c r="J15" s="6" t="n">
        <x:v>120</x:v>
      </x:c>
      <x:c r="K15" s="6" t="n">
        <x:v>56</x:v>
      </x:c>
      <x:c r="L15" s="6" t="n">
        <x:v>10</x:v>
      </x:c>
      <x:c r="M15" s="11" t="n">
        <x:v>0.4378632478632479</x:v>
      </x:c>
      <x:c r="N15" s="6" t="n">
        <x:v>397000</x:v>
      </x:c>
    </x:row>
    <x:row r="16" ht="24" customHeight="1">
      <x:c r="A16" s="2" t="str">
        <x:v>2026-09-28_Day</x:v>
      </x:c>
      <x:c r="B16" s="6" t="str">
        <x:v>デイ</x:v>
      </x:c>
      <x:c r="C16" s="6" t="n">
        <x:v>108000</x:v>
      </x:c>
      <x:c r="D16" s="6" t="n">
        <x:v>355000</x:v>
      </x:c>
      <x:c r="E16" s="6" t="n">
        <x:f>C16-D16</x:f>
        <x:v>-247000</x:v>
      </x:c>
      <x:c r="F16" s="6" t="n">
        <x:f>F15+E16</x:f>
        <x:v>-2473000</x:v>
      </x:c>
      <x:c r="G16" s="6" t="n">
        <x:v>60000</x:v>
      </x:c>
      <x:c r="H16" s="6" t="n">
        <x:v>307000</x:v>
      </x:c>
      <x:c r="I16" s="6" t="n">
        <x:v>31</x:v>
      </x:c>
      <x:c r="J16" s="6" t="n">
        <x:v>103</x:v>
      </x:c>
      <x:c r="K16" s="6" t="n">
        <x:v>69</x:v>
      </x:c>
      <x:c r="L16" s="6" t="n">
        <x:v>9</x:v>
      </x:c>
      <x:c r="M16" s="11" t="n">
        <x:v>0.43785714285714283</x:v>
      </x:c>
      <x:c r="N16" s="6" t="n">
        <x:v>260000</x:v>
      </x:c>
    </x:row>
    <x:row r="17" ht="24" customHeight="1">
      <x:c r="A17" s="2" t="str">
        <x:v>2026-09-28_Night</x:v>
      </x:c>
      <x:c r="B17" s="6" t="str">
        <x:v>ナイト</x:v>
      </x:c>
      <x:c r="C17" s="6" t="n">
        <x:v>313000</x:v>
      </x:c>
      <x:c r="D17" s="6" t="n">
        <x:v>455000</x:v>
      </x:c>
      <x:c r="E17" s="6" t="n">
        <x:f>C17-D17</x:f>
        <x:v>-142000</x:v>
      </x:c>
      <x:c r="F17" s="6" t="n">
        <x:f>F16+E17</x:f>
        <x:v>-2615000</x:v>
      </x:c>
      <x:c r="G17" s="6" t="n">
        <x:v>225000</x:v>
      </x:c>
      <x:c r="H17" s="6" t="n">
        <x:v>367000</x:v>
      </x:c>
      <x:c r="I17" s="6" t="n">
        <x:v>46</x:v>
      </x:c>
      <x:c r="J17" s="6" t="n">
        <x:v>119</x:v>
      </x:c>
      <x:c r="K17" s="6" t="n">
        <x:v>66</x:v>
      </x:c>
      <x:c r="L17" s="6" t="n">
        <x:v>10</x:v>
      </x:c>
      <x:c r="M17" s="11" t="n">
        <x:v>0.48465811965811967</x:v>
      </x:c>
      <x:c r="N17" s="6" t="n">
        <x:v>189000</x:v>
      </x:c>
    </x:row>
    <x:row r="18" ht="24" customHeight="1">
      <x:c r="A18" s="2" t="str">
        <x:v>2026-09-29_Day</x:v>
      </x:c>
      <x:c r="B18" s="6" t="str">
        <x:v>デイ</x:v>
      </x:c>
      <x:c r="C18" s="6" t="n">
        <x:v>209000</x:v>
      </x:c>
      <x:c r="D18" s="6" t="n">
        <x:v>372000</x:v>
      </x:c>
      <x:c r="E18" s="6" t="n">
        <x:f>C18-D18</x:f>
        <x:v>-163000</x:v>
      </x:c>
      <x:c r="F18" s="6" t="n">
        <x:f>F17+E18</x:f>
        <x:v>-2778000</x:v>
      </x:c>
      <x:c r="G18" s="6" t="n">
        <x:v>163000</x:v>
      </x:c>
      <x:c r="H18" s="6" t="n">
        <x:v>326000</x:v>
      </x:c>
      <x:c r="I18" s="6" t="n">
        <x:v>31</x:v>
      </x:c>
      <x:c r="J18" s="6" t="n">
        <x:v>117</x:v>
      </x:c>
      <x:c r="K18" s="6" t="n">
        <x:v>39</x:v>
      </x:c>
      <x:c r="L18" s="6" t="n">
        <x:v>10</x:v>
      </x:c>
      <x:c r="M18" s="11" t="n">
        <x:v>0.33361111111111114</x:v>
      </x:c>
      <x:c r="N18" s="6" t="n">
        <x:v>263000</x:v>
      </x:c>
    </x:row>
    <x:row r="19" ht="24" customHeight="1">
      <x:c r="A19" s="2" t="str">
        <x:v>2026-09-29_Night</x:v>
      </x:c>
      <x:c r="B19" s="6" t="str">
        <x:v>ナイト</x:v>
      </x:c>
      <x:c r="C19" s="6" t="n">
        <x:v>140000</x:v>
      </x:c>
      <x:c r="D19" s="6" t="n">
        <x:v>500000</x:v>
      </x:c>
      <x:c r="E19" s="6" t="n">
        <x:f>C19-D19</x:f>
        <x:v>-360000</x:v>
      </x:c>
      <x:c r="F19" s="6" t="n">
        <x:f>F18+E19</x:f>
        <x:v>-3138000</x:v>
      </x:c>
      <x:c r="G19" s="6" t="n">
        <x:v>84000</x:v>
      </x:c>
      <x:c r="H19" s="6" t="n">
        <x:v>444000</x:v>
      </x:c>
      <x:c r="I19" s="6" t="n">
        <x:v>47</x:v>
      </x:c>
      <x:c r="J19" s="6" t="n">
        <x:v>113</x:v>
      </x:c>
      <x:c r="K19" s="6" t="n">
        <x:v>74</x:v>
      </x:c>
      <x:c r="L19" s="6" t="n">
        <x:v>8</x:v>
      </x:c>
      <x:c r="M19" s="11" t="n">
        <x:v>0.4545726495726496</x:v>
      </x:c>
      <x:c r="N19" s="6" t="n">
        <x:v>366000</x:v>
      </x:c>
    </x:row>
    <x:row r="20" ht="24" customHeight="1">
      <x:c r="A20" s="2" t="str">
        <x:v>2026-09-30_Day</x:v>
      </x:c>
      <x:c r="B20" s="6" t="str">
        <x:v>デイ</x:v>
      </x:c>
      <x:c r="C20" s="6" t="n">
        <x:v>258000</x:v>
      </x:c>
      <x:c r="D20" s="6" t="n">
        <x:v>347000</x:v>
      </x:c>
      <x:c r="E20" s="6" t="n">
        <x:f>C20-D20</x:f>
        <x:v>-89000</x:v>
      </x:c>
      <x:c r="F20" s="6" t="n">
        <x:f>F19+E20</x:f>
        <x:v>-3227000</x:v>
      </x:c>
      <x:c r="G20" s="6" t="n">
        <x:v>195000</x:v>
      </x:c>
      <x:c r="H20" s="6" t="n">
        <x:v>284000</x:v>
      </x:c>
      <x:c r="I20" s="6" t="n">
        <x:v>30</x:v>
      </x:c>
      <x:c r="J20" s="6" t="n">
        <x:v>127</x:v>
      </x:c>
      <x:c r="K20" s="6" t="n">
        <x:v>51</x:v>
      </x:c>
      <x:c r="L20" s="6" t="n">
        <x:v>10</x:v>
      </x:c>
      <x:c r="M20" s="11" t="n">
        <x:v>0.35615079365079366</x:v>
      </x:c>
      <x:c r="N20" s="6" t="n">
        <x:v>164000</x:v>
      </x:c>
    </x:row>
    <x:row r="21" ht="24" customHeight="1">
      <x:c r="A21" s="2" t="str">
        <x:v>2026-09-30_Night</x:v>
      </x:c>
      <x:c r="B21" s="6" t="str">
        <x:v>ナイト</x:v>
      </x:c>
      <x:c r="C21" s="6" t="n">
        <x:v>257000</x:v>
      </x:c>
      <x:c r="D21" s="6" t="n">
        <x:v>659000</x:v>
      </x:c>
      <x:c r="E21" s="6" t="n">
        <x:f>C21-D21</x:f>
        <x:v>-402000</x:v>
      </x:c>
      <x:c r="F21" s="6" t="n">
        <x:f>F20+E21</x:f>
        <x:v>-3629000</x:v>
      </x:c>
      <x:c r="G21" s="6" t="n">
        <x:v>134000</x:v>
      </x:c>
      <x:c r="H21" s="6" t="n">
        <x:v>536000</x:v>
      </x:c>
      <x:c r="I21" s="6" t="n">
        <x:v>50</x:v>
      </x:c>
      <x:c r="J21" s="6" t="n">
        <x:v>170</x:v>
      </x:c>
      <x:c r="K21" s="6" t="n">
        <x:v>78</x:v>
      </x:c>
      <x:c r="L21" s="6" t="n">
        <x:v>10</x:v>
      </x:c>
      <x:c r="M21" s="11" t="n">
        <x:v>0.4326068376068376</x:v>
      </x:c>
      <x:c r="N21" s="6" t="n">
        <x:v>497000</x:v>
      </x:c>
    </x:row>
    <x:row r="22" ht="24" customHeight="1">
      <x:c r="A22" s="2" t="str">
        <x:v>2026-10-01_Day</x:v>
      </x:c>
      <x:c r="B22" s="6" t="str">
        <x:v>デイ</x:v>
      </x:c>
      <x:c r="C22" s="6" t="n">
        <x:v>155000</x:v>
      </x:c>
      <x:c r="D22" s="6" t="n">
        <x:v>506000</x:v>
      </x:c>
      <x:c r="E22" s="6" t="n">
        <x:f>C22-D22</x:f>
        <x:v>-351000</x:v>
      </x:c>
      <x:c r="F22" s="6" t="n">
        <x:f>F21+E22</x:f>
        <x:v>-3980000</x:v>
      </x:c>
      <x:c r="G22" s="6" t="n">
        <x:v>99000</x:v>
      </x:c>
      <x:c r="H22" s="6" t="n">
        <x:v>450000</x:v>
      </x:c>
      <x:c r="I22" s="6" t="n">
        <x:v>28</x:v>
      </x:c>
      <x:c r="J22" s="6" t="n">
        <x:v>124</x:v>
      </x:c>
      <x:c r="K22" s="6" t="n">
        <x:v>67</x:v>
      </x:c>
      <x:c r="L22" s="6" t="n">
        <x:v>10</x:v>
      </x:c>
      <x:c r="M22" s="11" t="n">
        <x:v>0.4726984126984127</x:v>
      </x:c>
      <x:c r="N22" s="6" t="n">
        <x:v>353000</x:v>
      </x:c>
    </x:row>
    <x:row r="23" ht="24" customHeight="1">
      <x:c r="A23" s="2" t="str">
        <x:v>2026-10-01_Night</x:v>
      </x:c>
      <x:c r="B23" s="6" t="str">
        <x:v>ナイト</x:v>
      </x:c>
      <x:c r="C23" s="6" t="n">
        <x:v>329000</x:v>
      </x:c>
      <x:c r="D23" s="6" t="n">
        <x:v>679000</x:v>
      </x:c>
      <x:c r="E23" s="6" t="n">
        <x:f>C23-D23</x:f>
        <x:v>-350000</x:v>
      </x:c>
      <x:c r="F23" s="6" t="n">
        <x:f>F22+E23</x:f>
        <x:v>-4330000</x:v>
      </x:c>
      <x:c r="G23" s="6" t="n">
        <x:v>160000</x:v>
      </x:c>
      <x:c r="H23" s="6" t="n">
        <x:v>510000</x:v>
      </x:c>
      <x:c r="I23" s="6" t="n">
        <x:v>45</x:v>
      </x:c>
      <x:c r="J23" s="6" t="n">
        <x:v>186</x:v>
      </x:c>
      <x:c r="K23" s="6" t="n">
        <x:v>94</x:v>
      </x:c>
      <x:c r="L23" s="6" t="n">
        <x:v>10</x:v>
      </x:c>
      <x:c r="M23" s="11" t="n">
        <x:v>0.400491452991453</x:v>
      </x:c>
      <x:c r="N23" s="6" t="n">
        <x:v>431000</x:v>
      </x:c>
    </x:row>
    <x:row r="24" ht="24" customHeight="1">
      <x:c r="A24" s="2" t="str">
        <x:v>2026-10-02_Day</x:v>
      </x:c>
      <x:c r="B24" s="6" t="str">
        <x:v>デイ</x:v>
      </x:c>
      <x:c r="C24" s="6" t="n">
        <x:v>283000</x:v>
      </x:c>
      <x:c r="D24" s="6" t="n">
        <x:v>546000</x:v>
      </x:c>
      <x:c r="E24" s="6" t="n">
        <x:f>C24-D24</x:f>
        <x:v>-263000</x:v>
      </x:c>
      <x:c r="F24" s="6" t="n">
        <x:f>F23+E24</x:f>
        <x:v>-4593000</x:v>
      </x:c>
      <x:c r="G24" s="6" t="n">
        <x:v>201000</x:v>
      </x:c>
      <x:c r="H24" s="6" t="n">
        <x:v>464000</x:v>
      </x:c>
      <x:c r="I24" s="6" t="n">
        <x:v>34</x:v>
      </x:c>
      <x:c r="J24" s="6" t="n">
        <x:v>127</x:v>
      </x:c>
      <x:c r="K24" s="6" t="n">
        <x:v>71</x:v>
      </x:c>
      <x:c r="L24" s="6" t="n">
        <x:v>10</x:v>
      </x:c>
      <x:c r="M24" s="11" t="n">
        <x:v>0.5696825396825397</x:v>
      </x:c>
      <x:c r="N24" s="6" t="n">
        <x:v>463000</x:v>
      </x:c>
    </x:row>
    <x:row r="25" ht="24" customHeight="1">
      <x:c r="A25" s="2" t="str">
        <x:v>2026-10-02_Night</x:v>
      </x:c>
      <x:c r="B25" s="6" t="str">
        <x:v>ナイト</x:v>
      </x:c>
      <x:c r="C25" s="6" t="n">
        <x:v>243000</x:v>
      </x:c>
      <x:c r="D25" s="6" t="n">
        <x:v>456000</x:v>
      </x:c>
      <x:c r="E25" s="6" t="n">
        <x:f>C25-D25</x:f>
        <x:v>-213000</x:v>
      </x:c>
      <x:c r="F25" s="6" t="n">
        <x:f>F24+E25</x:f>
        <x:v>-4806000</x:v>
      </x:c>
      <x:c r="G25" s="6" t="n">
        <x:v>160000</x:v>
      </x:c>
      <x:c r="H25" s="6" t="n">
        <x:v>373000</x:v>
      </x:c>
      <x:c r="I25" s="6" t="n">
        <x:v>40</x:v>
      </x:c>
      <x:c r="J25" s="6" t="n">
        <x:v>128</x:v>
      </x:c>
      <x:c r="K25" s="6" t="n">
        <x:v>57</x:v>
      </x:c>
      <x:c r="L25" s="6" t="n">
        <x:v>10</x:v>
      </x:c>
      <x:c r="M25" s="11" t="n">
        <x:v>0.5308974358974359</x:v>
      </x:c>
      <x:c r="N25" s="6" t="n">
        <x:v>272000</x:v>
      </x:c>
    </x:row>
    <x:row r="26" ht="24" customHeight="1">
      <x:c r="A26" s="2" t="str">
        <x:v>2026-10-05_Day</x:v>
      </x:c>
      <x:c r="B26" s="6" t="str">
        <x:v>デイ</x:v>
      </x:c>
      <x:c r="C26" s="6" t="n">
        <x:v>164000</x:v>
      </x:c>
      <x:c r="D26" s="6" t="n">
        <x:v>469000</x:v>
      </x:c>
      <x:c r="E26" s="6" t="n">
        <x:f>C26-D26</x:f>
        <x:v>-305000</x:v>
      </x:c>
      <x:c r="F26" s="6" t="n">
        <x:f>F25+E26</x:f>
        <x:v>-5111000</x:v>
      </x:c>
      <x:c r="G26" s="6" t="n">
        <x:v>88000</x:v>
      </x:c>
      <x:c r="H26" s="6" t="n">
        <x:v>393000</x:v>
      </x:c>
      <x:c r="I26" s="6" t="n">
        <x:v>30</x:v>
      </x:c>
      <x:c r="J26" s="6" t="n">
        <x:v>114</x:v>
      </x:c>
      <x:c r="K26" s="6" t="n">
        <x:v>69</x:v>
      </x:c>
      <x:c r="L26" s="6" t="n">
        <x:v>10</x:v>
      </x:c>
      <x:c r="M26" s="11" t="n">
        <x:v>0.539484126984127</x:v>
      </x:c>
      <x:c r="N26" s="6" t="n">
        <x:v>305000</x:v>
      </x:c>
    </x:row>
    <x:row r="27" ht="24" customHeight="1">
      <x:c r="A27" s="2" t="str">
        <x:v>2026-10-05_Night</x:v>
      </x:c>
      <x:c r="B27" s="6" t="str">
        <x:v>ナイト</x:v>
      </x:c>
      <x:c r="C27" s="6" t="n">
        <x:v>233000</x:v>
      </x:c>
      <x:c r="D27" s="6" t="n">
        <x:v>386000</x:v>
      </x:c>
      <x:c r="E27" s="6" t="n">
        <x:f>C27-D27</x:f>
        <x:v>-153000</x:v>
      </x:c>
      <x:c r="F27" s="6" t="n">
        <x:f>F26+E27</x:f>
        <x:v>-5264000</x:v>
      </x:c>
      <x:c r="G27" s="6" t="n">
        <x:v>189000</x:v>
      </x:c>
      <x:c r="H27" s="6" t="n">
        <x:v>342000</x:v>
      </x:c>
      <x:c r="I27" s="6" t="n">
        <x:v>26</x:v>
      </x:c>
      <x:c r="J27" s="6" t="n">
        <x:v>111</x:v>
      </x:c>
      <x:c r="K27" s="6" t="n">
        <x:v>65</x:v>
      </x:c>
      <x:c r="L27" s="6" t="n">
        <x:v>10</x:v>
      </x:c>
      <x:c r="M27" s="11" t="n">
        <x:v>0.6844230769230769</x:v>
      </x:c>
      <x:c r="N27" s="6" t="n">
        <x:v>195000</x:v>
      </x:c>
    </x:row>
    <x:row r="28" ht="24" customHeight="1">
      <x:c r="A28" s="2" t="str">
        <x:v>2026-10-06_Day</x:v>
      </x:c>
      <x:c r="B28" s="6" t="str">
        <x:v>デイ</x:v>
      </x:c>
      <x:c r="C28" s="6" t="n">
        <x:v>335000</x:v>
      </x:c>
      <x:c r="D28" s="6" t="n">
        <x:v>357000</x:v>
      </x:c>
      <x:c r="E28" s="6" t="n">
        <x:f>C28-D28</x:f>
        <x:v>-22000</x:v>
      </x:c>
      <x:c r="F28" s="6" t="n">
        <x:f>F27+E28</x:f>
        <x:v>-5286000</x:v>
      </x:c>
      <x:c r="G28" s="6" t="n">
        <x:v>275000</x:v>
      </x:c>
      <x:c r="H28" s="6" t="n">
        <x:v>297000</x:v>
      </x:c>
      <x:c r="I28" s="6" t="n">
        <x:v>25</x:v>
      </x:c>
      <x:c r="J28" s="6" t="n">
        <x:v>98</x:v>
      </x:c>
      <x:c r="K28" s="6" t="n">
        <x:v>52</x:v>
      </x:c>
      <x:c r="L28" s="6" t="n">
        <x:v>10</x:v>
      </x:c>
      <x:c r="M28" s="11" t="n">
        <x:v>0.5560714285714285</x:v>
      </x:c>
      <x:c r="N28" s="6" t="n">
        <x:v>249000</x:v>
      </x:c>
    </x:row>
    <x:row r="29" ht="24" customHeight="1">
      <x:c r="A29" s="2" t="str">
        <x:v>2026-10-06_Night</x:v>
      </x:c>
      <x:c r="B29" s="6" t="str">
        <x:v>ナイト</x:v>
      </x:c>
      <x:c r="C29" s="6" t="n">
        <x:v>199000</x:v>
      </x:c>
      <x:c r="D29" s="6" t="n">
        <x:v>371000</x:v>
      </x:c>
      <x:c r="E29" s="6" t="n">
        <x:f>C29-D29</x:f>
        <x:v>-172000</x:v>
      </x:c>
      <x:c r="F29" s="6" t="n">
        <x:f>F28+E29</x:f>
        <x:v>-5458000</x:v>
      </x:c>
      <x:c r="G29" s="6" t="n">
        <x:v>77000</x:v>
      </x:c>
      <x:c r="H29" s="6" t="n">
        <x:v>249000</x:v>
      </x:c>
      <x:c r="I29" s="6" t="n">
        <x:v>28</x:v>
      </x:c>
      <x:c r="J29" s="6" t="n">
        <x:v>117</x:v>
      </x:c>
      <x:c r="K29" s="6" t="n">
        <x:v>72</x:v>
      </x:c>
      <x:c r="L29" s="6" t="n">
        <x:v>9</x:v>
      </x:c>
      <x:c r="M29" s="11" t="n">
        <x:v>0.48993589743589744</x:v>
      </x:c>
      <x:c r="N29" s="6" t="n">
        <x:v>204000</x:v>
      </x:c>
    </x:row>
    <x:row r="30" ht="24" customHeight="1">
      <x:c r="A30" s="2" t="str">
        <x:v>2026-10-07_Day</x:v>
      </x:c>
      <x:c r="B30" s="6" t="str">
        <x:v>デイ</x:v>
      </x:c>
      <x:c r="C30" s="6" t="n">
        <x:v>162000</x:v>
      </x:c>
      <x:c r="D30" s="6" t="n">
        <x:v>328000</x:v>
      </x:c>
      <x:c r="E30" s="6" t="n">
        <x:f>C30-D30</x:f>
        <x:v>-166000</x:v>
      </x:c>
      <x:c r="F30" s="6" t="n">
        <x:f>F29+E30</x:f>
        <x:v>-5624000</x:v>
      </x:c>
      <x:c r="G30" s="6" t="n">
        <x:v>96000</x:v>
      </x:c>
      <x:c r="H30" s="6" t="n">
        <x:v>262000</x:v>
      </x:c>
      <x:c r="I30" s="6" t="n">
        <x:v>25</x:v>
      </x:c>
      <x:c r="J30" s="6" t="n">
        <x:v>100</x:v>
      </x:c>
      <x:c r="K30" s="6" t="n">
        <x:v>65</x:v>
      </x:c>
      <x:c r="L30" s="6" t="n">
        <x:v>10</x:v>
      </x:c>
      <x:c r="M30" s="11" t="n">
        <x:v>0.5735714285714286</x:v>
      </x:c>
      <x:c r="N30" s="6" t="n">
        <x:v>177000</x:v>
      </x:c>
    </x:row>
    <x:row r="31" ht="24" customHeight="1">
      <x:c r="A31" s="2" t="str">
        <x:v>2026-10-07_Night</x:v>
      </x:c>
      <x:c r="B31" s="6" t="str">
        <x:v>ナイト</x:v>
      </x:c>
      <x:c r="C31" s="6" t="n">
        <x:v>126000</x:v>
      </x:c>
      <x:c r="D31" s="6" t="n">
        <x:v>665000</x:v>
      </x:c>
      <x:c r="E31" s="6" t="n">
        <x:f>C31-D31</x:f>
        <x:v>-539000</x:v>
      </x:c>
      <x:c r="F31" s="6" t="n">
        <x:f>F30+E31</x:f>
        <x:v>-6163000</x:v>
      </x:c>
      <x:c r="G31" s="6" t="n">
        <x:v>70000</x:v>
      </x:c>
      <x:c r="H31" s="6" t="n">
        <x:v>609000</x:v>
      </x:c>
      <x:c r="I31" s="6" t="n">
        <x:v>40</x:v>
      </x:c>
      <x:c r="J31" s="6" t="n">
        <x:v>145</x:v>
      </x:c>
      <x:c r="K31" s="6" t="n">
        <x:v>115</x:v>
      </x:c>
      <x:c r="L31" s="6" t="n">
        <x:v>8</x:v>
      </x:c>
      <x:c r="M31" s="11" t="n">
        <x:v>0.6855128205128205</x:v>
      </x:c>
      <x:c r="N31" s="6" t="n">
        <x:v>542000</x:v>
      </x:c>
    </x:row>
    <x:row r="32" ht="24" customHeight="1">
      <x:c r="A32" s="2" t="str">
        <x:v>2026-10-08_Day</x:v>
      </x:c>
      <x:c r="B32" s="6" t="str">
        <x:v>デイ</x:v>
      </x:c>
      <x:c r="C32" s="6" t="n">
        <x:v>166000</x:v>
      </x:c>
      <x:c r="D32" s="6" t="n">
        <x:v>366000</x:v>
      </x:c>
      <x:c r="E32" s="6" t="n">
        <x:f>C32-D32</x:f>
        <x:v>-200000</x:v>
      </x:c>
      <x:c r="F32" s="6" t="n">
        <x:f>F31+E32</x:f>
        <x:v>-6363000</x:v>
      </x:c>
      <x:c r="G32" s="6" t="n">
        <x:v>112000</x:v>
      </x:c>
      <x:c r="H32" s="6" t="n">
        <x:v>312000</x:v>
      </x:c>
      <x:c r="I32" s="6" t="n">
        <x:v>25</x:v>
      </x:c>
      <x:c r="J32" s="6" t="n">
        <x:v>104</x:v>
      </x:c>
      <x:c r="K32" s="6" t="n">
        <x:v>52</x:v>
      </x:c>
      <x:c r="L32" s="6" t="n">
        <x:v>9</x:v>
      </x:c>
      <x:c r="M32" s="11" t="n">
        <x:v>0.36642857142857144</x:v>
      </x:c>
      <x:c r="N32" s="6" t="n">
        <x:v>252000</x:v>
      </x:c>
    </x:row>
    <x:row r="33" ht="24" customHeight="1">
      <x:c r="A33" s="2" t="str">
        <x:v>2026-10-08_Night</x:v>
      </x:c>
      <x:c r="B33" s="6" t="str">
        <x:v>ナイト</x:v>
      </x:c>
      <x:c r="C33" s="6" t="n">
        <x:v>368000</x:v>
      </x:c>
      <x:c r="D33" s="6" t="n">
        <x:v>734000</x:v>
      </x:c>
      <x:c r="E33" s="6" t="n">
        <x:f>C33-D33</x:f>
        <x:v>-366000</x:v>
      </x:c>
      <x:c r="F33" s="6" t="n">
        <x:f>F32+E33</x:f>
        <x:v>-6729000</x:v>
      </x:c>
      <x:c r="G33" s="6" t="n">
        <x:v>265000</x:v>
      </x:c>
      <x:c r="H33" s="6" t="n">
        <x:v>631000</x:v>
      </x:c>
      <x:c r="I33" s="6" t="n">
        <x:v>45</x:v>
      </x:c>
      <x:c r="J33" s="6" t="n">
        <x:v>167</x:v>
      </x:c>
      <x:c r="K33" s="6" t="n">
        <x:v>99</x:v>
      </x:c>
      <x:c r="L33" s="6" t="n">
        <x:v>10</x:v>
      </x:c>
      <x:c r="M33" s="11" t="n">
        <x:v>0.504508547008547</x:v>
      </x:c>
      <x:c r="N33" s="6" t="n">
        <x:v>410000</x:v>
      </x:c>
    </x:row>
    <x:row r="34" ht="24" customHeight="1">
      <x:c r="A34" s="2" t="str">
        <x:v>2026-10-09_Day</x:v>
      </x:c>
      <x:c r="B34" s="6" t="str">
        <x:v>デイ</x:v>
      </x:c>
      <x:c r="C34" s="6" t="n">
        <x:v>261000</x:v>
      </x:c>
      <x:c r="D34" s="6" t="n">
        <x:v>325000</x:v>
      </x:c>
      <x:c r="E34" s="6" t="n">
        <x:f>C34-D34</x:f>
        <x:v>-64000</x:v>
      </x:c>
      <x:c r="F34" s="6" t="n">
        <x:f>F33+E34</x:f>
        <x:v>-6793000</x:v>
      </x:c>
      <x:c r="G34" s="6" t="n">
        <x:v>181000</x:v>
      </x:c>
      <x:c r="H34" s="6" t="n">
        <x:v>245000</x:v>
      </x:c>
      <x:c r="I34" s="6" t="n">
        <x:v>18</x:v>
      </x:c>
      <x:c r="J34" s="6" t="n">
        <x:v>112</x:v>
      </x:c>
      <x:c r="K34" s="6" t="n">
        <x:v>54</x:v>
      </x:c>
      <x:c r="L34" s="6" t="n">
        <x:v>10</x:v>
      </x:c>
      <x:c r="M34" s="11" t="n">
        <x:v>0.49067460317460315</x:v>
      </x:c>
      <x:c r="N34" s="6" t="n">
        <x:v>242000</x:v>
      </x:c>
    </x:row>
    <x:row r="35" ht="24" customHeight="1">
      <x:c r="A35" s="2" t="str">
        <x:v>2026-10-09_Night</x:v>
      </x:c>
      <x:c r="B35" s="6" t="str">
        <x:v>ナイト</x:v>
      </x:c>
      <x:c r="C35" s="6" t="n">
        <x:v>109000</x:v>
      </x:c>
      <x:c r="D35" s="6" t="n">
        <x:v>420000</x:v>
      </x:c>
      <x:c r="E35" s="6" t="n">
        <x:f>C35-D35</x:f>
        <x:v>-311000</x:v>
      </x:c>
      <x:c r="F35" s="6" t="n">
        <x:f>F34+E35</x:f>
        <x:v>-7104000</x:v>
      </x:c>
      <x:c r="G35" s="6" t="n">
        <x:v>54000</x:v>
      </x:c>
      <x:c r="H35" s="6" t="n">
        <x:v>365000</x:v>
      </x:c>
      <x:c r="I35" s="6" t="n">
        <x:v>30</x:v>
      </x:c>
      <x:c r="J35" s="6" t="n">
        <x:v>101</x:v>
      </x:c>
      <x:c r="K35" s="6" t="n">
        <x:v>80</x:v>
      </x:c>
      <x:c r="L35" s="6" t="n">
        <x:v>9</x:v>
      </x:c>
      <x:c r="M35" s="11" t="n">
        <x:v>0.633482905982906</x:v>
      </x:c>
      <x:c r="N35" s="6" t="n">
        <x:v>336000</x:v>
      </x:c>
    </x:row>
    <x:row r="36" ht="24" customHeight="1">
      <x:c r="A36" s="2" t="str">
        <x:v>2026-10-12_Day</x:v>
      </x:c>
      <x:c r="B36" s="6" t="str">
        <x:v>デイ</x:v>
      </x:c>
      <x:c r="C36" s="6" t="n">
        <x:v>90000</x:v>
      </x:c>
      <x:c r="D36" s="6" t="n">
        <x:v>321000</x:v>
      </x:c>
      <x:c r="E36" s="6" t="n">
        <x:f>C36-D36</x:f>
        <x:v>-231000</x:v>
      </x:c>
      <x:c r="F36" s="6" t="n">
        <x:f>F35+E36</x:f>
        <x:v>-7335000</x:v>
      </x:c>
      <x:c r="G36" s="6" t="n">
        <x:v>38000</x:v>
      </x:c>
      <x:c r="H36" s="6" t="n">
        <x:v>269000</x:v>
      </x:c>
      <x:c r="I36" s="6" t="n">
        <x:v>19</x:v>
      </x:c>
      <x:c r="J36" s="6" t="n">
        <x:v>51</x:v>
      </x:c>
      <x:c r="K36" s="6" t="n">
        <x:v>48</x:v>
      </x:c>
      <x:c r="L36" s="6" t="n">
        <x:v>8</x:v>
      </x:c>
      <x:c r="M36" s="11" t="n">
        <x:v>0.611984126984127</x:v>
      </x:c>
      <x:c r="N36" s="6" t="n">
        <x:v>267000</x:v>
      </x:c>
    </x:row>
    <x:row r="37" ht="24" customHeight="1">
      <x:c r="A37" s="2" t="str">
        <x:v>2026-10-12_Night</x:v>
      </x:c>
      <x:c r="B37" s="6" t="str">
        <x:v>ナイト</x:v>
      </x:c>
      <x:c r="C37" s="6" t="n">
        <x:v>93000</x:v>
      </x:c>
      <x:c r="D37" s="6" t="n">
        <x:v>353000</x:v>
      </x:c>
      <x:c r="E37" s="6" t="n">
        <x:f>C37-D37</x:f>
        <x:v>-260000</x:v>
      </x:c>
      <x:c r="F37" s="6" t="n">
        <x:f>F36+E37</x:f>
        <x:v>-7595000</x:v>
      </x:c>
      <x:c r="G37" s="6" t="n">
        <x:v>43000</x:v>
      </x:c>
      <x:c r="H37" s="6" t="n">
        <x:v>303000</x:v>
      </x:c>
      <x:c r="I37" s="6" t="n">
        <x:v>21</x:v>
      </x:c>
      <x:c r="J37" s="6" t="n">
        <x:v>73</x:v>
      </x:c>
      <x:c r="K37" s="6" t="n">
        <x:v>55</x:v>
      </x:c>
      <x:c r="L37" s="6" t="n">
        <x:v>8</x:v>
      </x:c>
      <x:c r="M37" s="11" t="n">
        <x:v>0.5148717948717949</x:v>
      </x:c>
      <x:c r="N37" s="6" t="n">
        <x:v>280000</x:v>
      </x:c>
    </x:row>
    <x:row r="38" ht="24" customHeight="1">
      <x:c r="A38" s="2" t="str">
        <x:v>2026-10-13_Day</x:v>
      </x:c>
      <x:c r="B38" s="6" t="str">
        <x:v>デイ</x:v>
      </x:c>
      <x:c r="C38" s="6" t="n">
        <x:v>242000</x:v>
      </x:c>
      <x:c r="D38" s="6" t="n">
        <x:v>585000</x:v>
      </x:c>
      <x:c r="E38" s="6" t="n">
        <x:f>C38-D38</x:f>
        <x:v>-343000</x:v>
      </x:c>
      <x:c r="F38" s="6" t="n">
        <x:f>F37+E38</x:f>
        <x:v>-7938000</x:v>
      </x:c>
      <x:c r="G38" s="6" t="n">
        <x:v>159000</x:v>
      </x:c>
      <x:c r="H38" s="6" t="n">
        <x:v>502000</x:v>
      </x:c>
      <x:c r="I38" s="6" t="n">
        <x:v>36</x:v>
      </x:c>
      <x:c r="J38" s="6" t="n">
        <x:v>139</x:v>
      </x:c>
      <x:c r="K38" s="6" t="n">
        <x:v>85</x:v>
      </x:c>
      <x:c r="L38" s="6" t="n">
        <x:v>10</x:v>
      </x:c>
      <x:c r="M38" s="11" t="n">
        <x:v>0.45305555555555554</x:v>
      </x:c>
      <x:c r="N38" s="6" t="n">
        <x:v>432000</x:v>
      </x:c>
    </x:row>
    <x:row r="39" ht="24" customHeight="1">
      <x:c r="A39" s="2" t="str">
        <x:v>2026-10-13_Night</x:v>
      </x:c>
      <x:c r="B39" s="6" t="str">
        <x:v>ナイト</x:v>
      </x:c>
      <x:c r="C39" s="6" t="n">
        <x:v>194000</x:v>
      </x:c>
      <x:c r="D39" s="6" t="n">
        <x:v>359000</x:v>
      </x:c>
      <x:c r="E39" s="6" t="n">
        <x:f>C39-D39</x:f>
        <x:v>-165000</x:v>
      </x:c>
      <x:c r="F39" s="6" t="n">
        <x:f>F38+E39</x:f>
        <x:v>-8103000</x:v>
      </x:c>
      <x:c r="G39" s="6" t="n">
        <x:v>109000</x:v>
      </x:c>
      <x:c r="H39" s="6" t="n">
        <x:v>274000</x:v>
      </x:c>
      <x:c r="I39" s="6" t="n">
        <x:v>28</x:v>
      </x:c>
      <x:c r="J39" s="6" t="n">
        <x:v>100</x:v>
      </x:c>
      <x:c r="K39" s="6" t="n">
        <x:v>63</x:v>
      </x:c>
      <x:c r="L39" s="6" t="n">
        <x:v>10</x:v>
      </x:c>
      <x:c r="M39" s="11" t="n">
        <x:v>0.5906410256410256</x:v>
      </x:c>
      <x:c r="N39" s="6" t="n">
        <x:v>195000</x:v>
      </x:c>
    </x:row>
    <x:row r="40" ht="24" customHeight="1">
      <x:c r="A40" s="2" t="str">
        <x:v>2026-10-14_Day</x:v>
      </x:c>
      <x:c r="B40" s="6" t="str">
        <x:v>デイ</x:v>
      </x:c>
      <x:c r="C40" s="6" t="n">
        <x:v>301000</x:v>
      </x:c>
      <x:c r="D40" s="6" t="n">
        <x:v>554000</x:v>
      </x:c>
      <x:c r="E40" s="6" t="n">
        <x:f>C40-D40</x:f>
        <x:v>-253000</x:v>
      </x:c>
      <x:c r="F40" s="6" t="n">
        <x:f>F39+E40</x:f>
        <x:v>-8356000</x:v>
      </x:c>
      <x:c r="G40" s="6" t="n">
        <x:v>220000</x:v>
      </x:c>
      <x:c r="H40" s="6" t="n">
        <x:v>473000</x:v>
      </x:c>
      <x:c r="I40" s="6" t="n">
        <x:v>32</x:v>
      </x:c>
      <x:c r="J40" s="6" t="n">
        <x:v>135</x:v>
      </x:c>
      <x:c r="K40" s="6" t="n">
        <x:v>73</x:v>
      </x:c>
      <x:c r="L40" s="6" t="n">
        <x:v>10</x:v>
      </x:c>
      <x:c r="M40" s="11" t="n">
        <x:v>0.5378174603174604</x:v>
      </x:c>
      <x:c r="N40" s="6" t="n">
        <x:v>436000</x:v>
      </x:c>
    </x:row>
    <x:row r="41" ht="24" customHeight="1">
      <x:c r="A41" s="2" t="str">
        <x:v>2026-10-14_Night</x:v>
      </x:c>
      <x:c r="B41" s="6" t="str">
        <x:v>ナイト</x:v>
      </x:c>
      <x:c r="C41" s="6" t="n">
        <x:v>311000</x:v>
      </x:c>
      <x:c r="D41" s="6" t="n">
        <x:v>509000</x:v>
      </x:c>
      <x:c r="E41" s="6" t="n">
        <x:f>C41-D41</x:f>
        <x:v>-198000</x:v>
      </x:c>
      <x:c r="F41" s="6" t="n">
        <x:f>F40+E41</x:f>
        <x:v>-8554000</x:v>
      </x:c>
      <x:c r="G41" s="6" t="n">
        <x:v>169000</x:v>
      </x:c>
      <x:c r="H41" s="6" t="n">
        <x:v>367000</x:v>
      </x:c>
      <x:c r="I41" s="6" t="n">
        <x:v>42</x:v>
      </x:c>
      <x:c r="J41" s="6" t="n">
        <x:v>171</x:v>
      </x:c>
      <x:c r="K41" s="6" t="n">
        <x:v>90</x:v>
      </x:c>
      <x:c r="L41" s="6" t="n">
        <x:v>10</x:v>
      </x:c>
      <x:c r="M41" s="11" t="n">
        <x:v>0.4082264957264957</x:v>
      </x:c>
      <x:c r="N41" s="6" t="n">
        <x:v>247000</x:v>
      </x:c>
    </x:row>
    <x:row r="42" ht="24" customHeight="1">
      <x:c r="A42" s="2" t="str">
        <x:v>2026-10-15_Day</x:v>
      </x:c>
      <x:c r="B42" s="6" t="str">
        <x:v>デイ</x:v>
      </x:c>
      <x:c r="C42" s="6" t="n">
        <x:v>208000</x:v>
      </x:c>
      <x:c r="D42" s="6" t="n">
        <x:v>381000</x:v>
      </x:c>
      <x:c r="E42" s="6" t="n">
        <x:f>C42-D42</x:f>
        <x:v>-173000</x:v>
      </x:c>
      <x:c r="F42" s="6" t="n">
        <x:f>F41+E42</x:f>
        <x:v>-8727000</x:v>
      </x:c>
      <x:c r="G42" s="6" t="n">
        <x:v>179000</x:v>
      </x:c>
      <x:c r="H42" s="6" t="n">
        <x:v>352000</x:v>
      </x:c>
      <x:c r="I42" s="6" t="n">
        <x:v>28</x:v>
      </x:c>
      <x:c r="J42" s="6" t="n">
        <x:v>90</x:v>
      </x:c>
      <x:c r="K42" s="6" t="n">
        <x:v>25</x:v>
      </x:c>
      <x:c r="L42" s="6" t="n">
        <x:v>9</x:v>
      </x:c>
      <x:c r="M42" s="11" t="n">
        <x:v>0.12765873015873017</x:v>
      </x:c>
      <x:c r="N42" s="6" t="n">
        <x:v>228000</x:v>
      </x:c>
    </x:row>
    <x:row r="43" ht="24" customHeight="1">
      <x:c r="A43" s="2" t="str">
        <x:v>2026-10-15_Night</x:v>
      </x:c>
      <x:c r="B43" s="6" t="str">
        <x:v>ナイト</x:v>
      </x:c>
      <x:c r="C43" s="6" t="n">
        <x:v>294000</x:v>
      </x:c>
      <x:c r="D43" s="6" t="n">
        <x:v>792000</x:v>
      </x:c>
      <x:c r="E43" s="6" t="n">
        <x:f>C43-D43</x:f>
        <x:v>-498000</x:v>
      </x:c>
      <x:c r="F43" s="6" t="n">
        <x:f>F42+E43</x:f>
        <x:v>-9225000</x:v>
      </x:c>
      <x:c r="G43" s="6" t="n">
        <x:v>207000</x:v>
      </x:c>
      <x:c r="H43" s="6" t="n">
        <x:v>705000</x:v>
      </x:c>
      <x:c r="I43" s="6" t="n">
        <x:v>55</x:v>
      </x:c>
      <x:c r="J43" s="6" t="n">
        <x:v>149</x:v>
      </x:c>
      <x:c r="K43" s="6" t="n">
        <x:v>78</x:v>
      </x:c>
      <x:c r="L43" s="6" t="n">
        <x:v>10</x:v>
      </x:c>
      <x:c r="M43" s="11" t="n">
        <x:v>0.34566239316239317</x:v>
      </x:c>
      <x:c r="N43" s="6" t="n">
        <x:v>533000</x:v>
      </x:c>
    </x:row>
    <x:row r="44" ht="24" customHeight="1">
      <x:c r="A44" s="2" t="str">
        <x:v>2026-10-16_Day</x:v>
      </x:c>
      <x:c r="B44" s="6" t="str">
        <x:v>デイ</x:v>
      </x:c>
      <x:c r="C44" s="6" t="n">
        <x:v>126000</x:v>
      </x:c>
      <x:c r="D44" s="6" t="n">
        <x:v>500000</x:v>
      </x:c>
      <x:c r="E44" s="6" t="n">
        <x:f>C44-D44</x:f>
        <x:v>-374000</x:v>
      </x:c>
      <x:c r="F44" s="6" t="n">
        <x:f>F43+E44</x:f>
        <x:v>-9599000</x:v>
      </x:c>
      <x:c r="G44" s="6" t="n">
        <x:v>56000</x:v>
      </x:c>
      <x:c r="H44" s="6" t="n">
        <x:v>430000</x:v>
      </x:c>
      <x:c r="I44" s="6" t="n">
        <x:v>31</x:v>
      </x:c>
      <x:c r="J44" s="6" t="n">
        <x:v>103</x:v>
      </x:c>
      <x:c r="K44" s="6" t="n">
        <x:v>50</x:v>
      </x:c>
      <x:c r="L44" s="6" t="n">
        <x:v>10</x:v>
      </x:c>
      <x:c r="M44" s="11" t="n">
        <x:v>0.29888888888888887</x:v>
      </x:c>
      <x:c r="N44" s="6" t="n">
        <x:v>384000</x:v>
      </x:c>
    </x:row>
    <x:row r="45" ht="24" customHeight="1">
      <x:c r="A45" s="2" t="str">
        <x:v>2026-10-16_Night</x:v>
      </x:c>
      <x:c r="B45" s="6" t="str">
        <x:v>ナイト</x:v>
      </x:c>
      <x:c r="C45" s="6" t="n">
        <x:v>212000</x:v>
      </x:c>
      <x:c r="D45" s="6" t="n">
        <x:v>782000</x:v>
      </x:c>
      <x:c r="E45" s="6" t="n">
        <x:f>C45-D45</x:f>
        <x:v>-570000</x:v>
      </x:c>
      <x:c r="F45" s="6" t="n">
        <x:f>F44+E45</x:f>
        <x:v>-10169000</x:v>
      </x:c>
      <x:c r="G45" s="6" t="n">
        <x:v>82000</x:v>
      </x:c>
      <x:c r="H45" s="6" t="n">
        <x:v>652000</x:v>
      </x:c>
      <x:c r="I45" s="6" t="n">
        <x:v>62</x:v>
      </x:c>
      <x:c r="J45" s="6" t="n">
        <x:v>171</x:v>
      </x:c>
      <x:c r="K45" s="6" t="n">
        <x:v>108</x:v>
      </x:c>
      <x:c r="L45" s="6" t="n">
        <x:v>10</x:v>
      </x:c>
      <x:c r="M45" s="11" t="n">
        <x:v>0.36662393162393164</x:v>
      </x:c>
      <x:c r="N45" s="6" t="n">
        <x:v>585000</x:v>
      </x:c>
    </x:row>
    <x:row r="46" ht="24" customHeight="1">
      <x:c r="A46" s="2" t="str">
        <x:v>2026-10-19_Day</x:v>
      </x:c>
      <x:c r="B46" s="6" t="str">
        <x:v>デイ</x:v>
      </x:c>
      <x:c r="C46" s="6" t="n">
        <x:v>169000</x:v>
      </x:c>
      <x:c r="D46" s="6" t="n">
        <x:v>605000</x:v>
      </x:c>
      <x:c r="E46" s="6" t="n">
        <x:f>C46-D46</x:f>
        <x:v>-436000</x:v>
      </x:c>
      <x:c r="F46" s="6" t="n">
        <x:f>F45+E46</x:f>
        <x:v>-10605000</x:v>
      </x:c>
      <x:c r="G46" s="6" t="n">
        <x:v>113000</x:v>
      </x:c>
      <x:c r="H46" s="6" t="n">
        <x:v>549000</x:v>
      </x:c>
      <x:c r="I46" s="6" t="n">
        <x:v>37</x:v>
      </x:c>
      <x:c r="J46" s="6" t="n">
        <x:v>111</x:v>
      </x:c>
      <x:c r="K46" s="6" t="n">
        <x:v>52</x:v>
      </x:c>
      <x:c r="L46" s="6" t="n">
        <x:v>10</x:v>
      </x:c>
      <x:c r="M46" s="11" t="n">
        <x:v>0.3437301587301587</x:v>
      </x:c>
      <x:c r="N46" s="6" t="n">
        <x:v>478000</x:v>
      </x:c>
    </x:row>
    <x:row r="47" ht="24" customHeight="1">
      <x:c r="A47" s="2" t="str">
        <x:v>2026-10-19_Night</x:v>
      </x:c>
      <x:c r="B47" s="6" t="str">
        <x:v>ナイト</x:v>
      </x:c>
      <x:c r="C47" s="6" t="n">
        <x:v>160000</x:v>
      </x:c>
      <x:c r="D47" s="6" t="n">
        <x:v>577000</x:v>
      </x:c>
      <x:c r="E47" s="6" t="n">
        <x:f>C47-D47</x:f>
        <x:v>-417000</x:v>
      </x:c>
      <x:c r="F47" s="6" t="n">
        <x:f>F46+E47</x:f>
        <x:v>-11022000</x:v>
      </x:c>
      <x:c r="G47" s="6" t="n">
        <x:v>86000</x:v>
      </x:c>
      <x:c r="H47" s="6" t="n">
        <x:v>503000</x:v>
      </x:c>
      <x:c r="I47" s="6" t="n">
        <x:v>45</x:v>
      </x:c>
      <x:c r="J47" s="6" t="n">
        <x:v>139</x:v>
      </x:c>
      <x:c r="K47" s="6" t="n">
        <x:v>90</x:v>
      </x:c>
      <x:c r="L47" s="6" t="n">
        <x:v>9</x:v>
      </x:c>
      <x:c r="M47" s="11" t="n">
        <x:v>0.40275641025641024</x:v>
      </x:c>
      <x:c r="N47" s="6" t="n">
        <x:v>423000</x:v>
      </x:c>
    </x:row>
    <x:row r="48" ht="24" customHeight="1">
      <x:c r="A48" s="2" t="str">
        <x:v>2026-10-20_Day</x:v>
      </x:c>
      <x:c r="B48" s="6" t="str">
        <x:v>デイ</x:v>
      </x:c>
      <x:c r="C48" s="6" t="n">
        <x:v>148000</x:v>
      </x:c>
      <x:c r="D48" s="6" t="n">
        <x:v>458000</x:v>
      </x:c>
      <x:c r="E48" s="6" t="n">
        <x:f>C48-D48</x:f>
        <x:v>-310000</x:v>
      </x:c>
      <x:c r="F48" s="6" t="n">
        <x:f>F47+E48</x:f>
        <x:v>-11332000</x:v>
      </x:c>
      <x:c r="G48" s="6" t="n">
        <x:v>101000</x:v>
      </x:c>
      <x:c r="H48" s="6" t="n">
        <x:v>411000</x:v>
      </x:c>
      <x:c r="I48" s="6" t="n">
        <x:v>34</x:v>
      </x:c>
      <x:c r="J48" s="6" t="n">
        <x:v>102</x:v>
      </x:c>
      <x:c r="K48" s="6" t="n">
        <x:v>35</x:v>
      </x:c>
      <x:c r="L48" s="6" t="n">
        <x:v>10</x:v>
      </x:c>
      <x:c r="M48" s="11" t="n">
        <x:v>0.20742063492063492</x:v>
      </x:c>
      <x:c r="N48" s="6" t="n">
        <x:v>323000</x:v>
      </x:c>
    </x:row>
    <x:row r="49" ht="24" customHeight="1">
      <x:c r="A49" s="2" t="str">
        <x:v>2026-10-20_Night</x:v>
      </x:c>
      <x:c r="B49" s="6" t="str">
        <x:v>ナイト</x:v>
      </x:c>
      <x:c r="C49" s="6" t="n">
        <x:v>249000</x:v>
      </x:c>
      <x:c r="D49" s="6" t="n">
        <x:v>469000</x:v>
      </x:c>
      <x:c r="E49" s="6" t="n">
        <x:f>C49-D49</x:f>
        <x:v>-220000</x:v>
      </x:c>
      <x:c r="F49" s="6" t="n">
        <x:f>F48+E49</x:f>
        <x:v>-11552000</x:v>
      </x:c>
      <x:c r="G49" s="6" t="n">
        <x:v>169000</x:v>
      </x:c>
      <x:c r="H49" s="6" t="n">
        <x:v>389000</x:v>
      </x:c>
      <x:c r="I49" s="6" t="n">
        <x:v>44</x:v>
      </x:c>
      <x:c r="J49" s="6" t="n">
        <x:v>132</x:v>
      </x:c>
      <x:c r="K49" s="6" t="n">
        <x:v>66</x:v>
      </x:c>
      <x:c r="L49" s="6" t="n">
        <x:v>10</x:v>
      </x:c>
      <x:c r="M49" s="11" t="n">
        <x:v>0.27100427350427353</x:v>
      </x:c>
      <x:c r="N49" s="6" t="n">
        <x:v>326000</x:v>
      </x:c>
    </x:row>
    <x:row r="50" ht="24" customHeight="1">
      <x:c r="A50" s="2" t="str">
        <x:v>2026-10-21_Day</x:v>
      </x:c>
      <x:c r="B50" s="6" t="str">
        <x:v>デイ</x:v>
      </x:c>
      <x:c r="C50" s="6" t="n">
        <x:v>113000</x:v>
      </x:c>
      <x:c r="D50" s="6" t="n">
        <x:v>394000</x:v>
      </x:c>
      <x:c r="E50" s="6" t="n">
        <x:f>C50-D50</x:f>
        <x:v>-281000</x:v>
      </x:c>
      <x:c r="F50" s="6" t="n">
        <x:f>F49+E50</x:f>
        <x:v>-11833000</x:v>
      </x:c>
      <x:c r="G50" s="6" t="n">
        <x:v>61000</x:v>
      </x:c>
      <x:c r="H50" s="6" t="n">
        <x:v>342000</x:v>
      </x:c>
      <x:c r="I50" s="6" t="n">
        <x:v>36</x:v>
      </x:c>
      <x:c r="J50" s="6" t="n">
        <x:v>113</x:v>
      </x:c>
      <x:c r="K50" s="6" t="n">
        <x:v>54</x:v>
      </x:c>
      <x:c r="L50" s="6" t="n">
        <x:v>9</x:v>
      </x:c>
      <x:c r="M50" s="11" t="n">
        <x:v>0.33031746031746034</x:v>
      </x:c>
      <x:c r="N50" s="6" t="n">
        <x:v>301000</x:v>
      </x:c>
    </x:row>
    <x:row r="51" ht="24" customHeight="1">
      <x:c r="A51" s="2" t="str">
        <x:v>2026-10-21_Night</x:v>
      </x:c>
      <x:c r="B51" s="6" t="str">
        <x:v>ナイト</x:v>
      </x:c>
      <x:c r="C51" s="6" t="n">
        <x:v>196000</x:v>
      </x:c>
      <x:c r="D51" s="6" t="n">
        <x:v>523000</x:v>
      </x:c>
      <x:c r="E51" s="6" t="n">
        <x:f>C51-D51</x:f>
        <x:v>-327000</x:v>
      </x:c>
      <x:c r="F51" s="6" t="n">
        <x:f>F50+E51</x:f>
        <x:v>-12160000</x:v>
      </x:c>
      <x:c r="G51" s="6" t="n">
        <x:v>113000</x:v>
      </x:c>
      <x:c r="H51" s="6" t="n">
        <x:v>440000</x:v>
      </x:c>
      <x:c r="I51" s="6" t="n">
        <x:v>47</x:v>
      </x:c>
      <x:c r="J51" s="6" t="n">
        <x:v>113</x:v>
      </x:c>
      <x:c r="K51" s="6" t="n">
        <x:v>67</x:v>
      </x:c>
      <x:c r="L51" s="6" t="n">
        <x:v>10</x:v>
      </x:c>
      <x:c r="M51" s="11" t="n">
        <x:v>0.42414529914529914</x:v>
      </x:c>
      <x:c r="N51" s="6" t="n">
        <x:v>404000</x:v>
      </x:c>
    </x:row>
    <x:row r="52" ht="24" customHeight="1">
      <x:c r="A52" s="2" t="str">
        <x:v>2026-10-22_Day</x:v>
      </x:c>
      <x:c r="B52" s="6" t="str">
        <x:v>デイ</x:v>
      </x:c>
      <x:c r="C52" s="6" t="n">
        <x:v>248000</x:v>
      </x:c>
      <x:c r="D52" s="6" t="n">
        <x:v>424000</x:v>
      </x:c>
      <x:c r="E52" s="6" t="n">
        <x:f>C52-D52</x:f>
        <x:v>-176000</x:v>
      </x:c>
      <x:c r="F52" s="6" t="n">
        <x:f>F51+E52</x:f>
        <x:v>-12336000</x:v>
      </x:c>
      <x:c r="G52" s="6" t="n">
        <x:v>182000</x:v>
      </x:c>
      <x:c r="H52" s="6" t="n">
        <x:v>358000</x:v>
      </x:c>
      <x:c r="I52" s="6" t="n">
        <x:v>40</x:v>
      </x:c>
      <x:c r="J52" s="6" t="n">
        <x:v>130</x:v>
      </x:c>
      <x:c r="K52" s="6" t="n">
        <x:v>57</x:v>
      </x:c>
      <x:c r="L52" s="6" t="n">
        <x:v>10</x:v>
      </x:c>
      <x:c r="M52" s="11" t="n">
        <x:v>0.3121031746031746</x:v>
      </x:c>
      <x:c r="N52" s="6" t="n">
        <x:v>303000</x:v>
      </x:c>
    </x:row>
    <x:row r="53" ht="24" customHeight="1">
      <x:c r="A53" s="2" t="str">
        <x:v>2026-10-22_Night</x:v>
      </x:c>
      <x:c r="B53" s="6" t="str">
        <x:v>ナイト</x:v>
      </x:c>
      <x:c r="C53" s="6" t="n">
        <x:v>313000</x:v>
      </x:c>
      <x:c r="D53" s="6" t="n">
        <x:v>481000</x:v>
      </x:c>
      <x:c r="E53" s="6" t="n">
        <x:f>C53-D53</x:f>
        <x:v>-168000</x:v>
      </x:c>
      <x:c r="F53" s="6" t="n">
        <x:f>F52+E53</x:f>
        <x:v>-12504000</x:v>
      </x:c>
      <x:c r="G53" s="6" t="n">
        <x:v>200000</x:v>
      </x:c>
      <x:c r="H53" s="6" t="n">
        <x:v>368000</x:v>
      </x:c>
      <x:c r="I53" s="6" t="n">
        <x:v>53</x:v>
      </x:c>
      <x:c r="J53" s="6" t="n">
        <x:v>147</x:v>
      </x:c>
      <x:c r="K53" s="6" t="n">
        <x:v>81</x:v>
      </x:c>
      <x:c r="L53" s="6" t="n">
        <x:v>10</x:v>
      </x:c>
      <x:c r="M53" s="11" t="n">
        <x:v>0.3766025641025641</x:v>
      </x:c>
      <x:c r="N53" s="6" t="n">
        <x:v>254000</x:v>
      </x:c>
    </x:row>
    <x:row r="54" ht="24" customHeight="1">
      <x:c r="A54" s="2" t="str">
        <x:v>2026-10-23_Day</x:v>
      </x:c>
      <x:c r="B54" s="6" t="str">
        <x:v>デイ</x:v>
      </x:c>
      <x:c r="C54" s="6" t="n">
        <x:v>247000</x:v>
      </x:c>
      <x:c r="D54" s="6" t="n">
        <x:v>659000</x:v>
      </x:c>
      <x:c r="E54" s="6" t="n">
        <x:f>C54-D54</x:f>
        <x:v>-412000</x:v>
      </x:c>
      <x:c r="F54" s="6" t="n">
        <x:f>F53+E54</x:f>
        <x:v>-12916000</x:v>
      </x:c>
      <x:c r="G54" s="6" t="n">
        <x:v>185000</x:v>
      </x:c>
      <x:c r="H54" s="6" t="n">
        <x:v>597000</x:v>
      </x:c>
      <x:c r="I54" s="6" t="n">
        <x:v>42</x:v>
      </x:c>
      <x:c r="J54" s="6" t="n">
        <x:v>126</x:v>
      </x:c>
      <x:c r="K54" s="6" t="n">
        <x:v>34</x:v>
      </x:c>
      <x:c r="L54" s="6" t="n">
        <x:v>10</x:v>
      </x:c>
      <x:c r="M54" s="11" t="n">
        <x:v>0.18452380952380953</x:v>
      </x:c>
      <x:c r="N54" s="6" t="n">
        <x:v>440000</x:v>
      </x:c>
    </x:row>
    <x:row r="55" ht="24" customHeight="1">
      <x:c r="A55" s="2" t="str">
        <x:v>2026-10-23_Night</x:v>
      </x:c>
      <x:c r="B55" s="6" t="str">
        <x:v>ナイト</x:v>
      </x:c>
      <x:c r="C55" s="6" t="n">
        <x:v>261000</x:v>
      </x:c>
      <x:c r="D55" s="6" t="n">
        <x:v>403000</x:v>
      </x:c>
      <x:c r="E55" s="6" t="n">
        <x:f>C55-D55</x:f>
        <x:v>-142000</x:v>
      </x:c>
      <x:c r="F55" s="6" t="n">
        <x:f>F54+E55</x:f>
        <x:v>-13058000</x:v>
      </x:c>
      <x:c r="G55" s="6" t="n">
        <x:v>175000</x:v>
      </x:c>
      <x:c r="H55" s="6" t="n">
        <x:v>317000</x:v>
      </x:c>
      <x:c r="I55" s="6" t="n">
        <x:v>44</x:v>
      </x:c>
      <x:c r="J55" s="6" t="n">
        <x:v>140</x:v>
      </x:c>
      <x:c r="K55" s="6" t="n">
        <x:v>72</x:v>
      </x:c>
      <x:c r="L55" s="6" t="n">
        <x:v>10</x:v>
      </x:c>
      <x:c r="M55" s="11" t="n">
        <x:v>0.5132051282051282</x:v>
      </x:c>
      <x:c r="N55" s="6" t="n">
        <x:v>212000</x:v>
      </x:c>
    </x:row>
    <x:row r="56" ht="24" customHeight="1">
      <x:c r="A56" s="2" t="str">
        <x:v>2026-10-26_Day</x:v>
      </x:c>
      <x:c r="B56" s="6" t="str">
        <x:v>デイ</x:v>
      </x:c>
      <x:c r="C56" s="6" t="n">
        <x:v>132000</x:v>
      </x:c>
      <x:c r="D56" s="6" t="n">
        <x:v>415000</x:v>
      </x:c>
      <x:c r="E56" s="6" t="n">
        <x:f>C56-D56</x:f>
        <x:v>-283000</x:v>
      </x:c>
      <x:c r="F56" s="6" t="n">
        <x:f>F55+E56</x:f>
        <x:v>-13341000</x:v>
      </x:c>
      <x:c r="G56" s="6" t="n">
        <x:v>74000</x:v>
      </x:c>
      <x:c r="H56" s="6" t="n">
        <x:v>357000</x:v>
      </x:c>
      <x:c r="I56" s="6" t="n">
        <x:v>31</x:v>
      </x:c>
      <x:c r="J56" s="6" t="n">
        <x:v>87</x:v>
      </x:c>
      <x:c r="K56" s="6" t="n">
        <x:v>48</x:v>
      </x:c>
      <x:c r="L56" s="6" t="n">
        <x:v>10</x:v>
      </x:c>
      <x:c r="M56" s="11" t="n">
        <x:v>0.3252777777777778</x:v>
      </x:c>
      <x:c r="N56" s="6" t="n">
        <x:v>318000</x:v>
      </x:c>
    </x:row>
    <x:row r="57" ht="24" customHeight="1">
      <x:c r="A57" s="15" t="str">
        <x:v>累計／平均／最大</x:v>
      </x:c>
      <x:c r="B57" s="16"/>
      <x:c r="C57" s="16" t="n">
        <x:f>SUM(C6:C56)</x:f>
        <x:v>9915000</x:v>
      </x:c>
      <x:c r="D57" s="16" t="n">
        <x:f>SUM(D6:D56)</x:f>
        <x:v>23256000</x:v>
      </x:c>
      <x:c r="E57" s="16" t="n">
        <x:f>C57-D57</x:f>
        <x:v>-13341000</x:v>
      </x:c>
      <x:c r="F57" s="16" t="n">
        <x:f>F56</x:f>
        <x:v>-13341000</x:v>
      </x:c>
      <x:c r="G57" s="16" t="n">
        <x:f>SUM(G6:G56)</x:f>
        <x:v>6387000</x:v>
      </x:c>
      <x:c r="H57" s="16" t="n">
        <x:f>SUM(H6:H56)</x:f>
        <x:v>19728000</x:v>
      </x:c>
      <x:c r="I57" s="16" t="n">
        <x:f>SUM(I6:I56)</x:f>
        <x:v>1778</x:v>
      </x:c>
      <x:c r="J57" s="16" t="n">
        <x:f>SUM(J6:J56)</x:f>
        <x:v>5801</x:v>
      </x:c>
      <x:c r="K57" s="16" t="n">
        <x:f>SUM(K6:K56)</x:f>
        <x:v>3182</x:v>
      </x:c>
      <x:c r="L57" s="16" t="n">
        <x:f>MAX(L6:L56)</x:f>
        <x:v>10</x:v>
      </x:c>
      <x:c r="M57" s="17" t="n">
        <x:f>AVERAGE(M6:M56)</x:f>
        <x:v>0.43358998300174756</x:v>
      </x:c>
      <x:c r="N57" s="16" t="n">
        <x:f>MAX(N6:N56)</x:f>
        <x:v>585000</x:v>
      </x:c>
    </x:row>
  </x:sheetData>
  <x:conditionalFormatting sqref="E6:F56">
    <x:cfRule type="cellIs" dxfId="6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2c482a33ff2484a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1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4" customHeight="1">
      <x:c r="A1" s="3" t="str">
        <x:v>日経 R08　各セッションの利益・損失・収支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A2" s="4" t="str">
        <x:v>2026/09/21〜10/26デイ・51完了場。日経mini／TOPIXmini各上限10枚・手数料0。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4" customHeight="1">
      <x:c r="A3" s="4" t="str">
        <x:v>10分MA・冷却後に再参加・価格と1分傾き確認・利益方向だけ追加・2枚差で増減／T出口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4" customHeight="1">
      <x:c r="A4" s="4" t="str">
        <x:v>利益・損失＝FIFO返済配賦別。親＝初回から全返済まで。ラージ気配による模型で、mini実約定の検証ではありません。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42" customHeight="1">
      <x:c r="A5" s="10" t="str">
        <x:v>セッション</x:v>
      </x:c>
      <x:c r="B5" s="10" t="str">
        <x:v>区分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親利益（円）</x:v>
      </x:c>
      <x:c r="H5" s="10" t="str">
        <x:v>親損失（円）</x:v>
      </x:c>
      <x:c r="I5" s="10" t="str">
        <x:v>初回件数</x:v>
      </x:c>
      <x:c r="J5" s="10" t="str">
        <x:v>追加件数</x:v>
      </x:c>
      <x:c r="K5" s="10" t="str">
        <x:v>縮小件数</x:v>
      </x:c>
      <x:c r="L5" s="10" t="str">
        <x:v>最大保有枚数</x:v>
      </x:c>
      <x:c r="M5" s="10" t="str">
        <x:v>保有時間率</x:v>
      </x:c>
      <x:c r="N5" s="10" t="str">
        <x:v>時価最大DD（円）</x:v>
      </x:c>
    </x:row>
    <x:row r="6" ht="24" customHeight="1">
      <x:c r="A6" s="2" t="str">
        <x:v>2026-09-21_Day</x:v>
      </x:c>
      <x:c r="B6" s="6" t="str">
        <x:v>デイ</x:v>
      </x:c>
      <x:c r="C6" s="6" t="n">
        <x:v>81000</x:v>
      </x:c>
      <x:c r="D6" s="6" t="n">
        <x:v>159000</x:v>
      </x:c>
      <x:c r="E6" s="6" t="n">
        <x:f>C6-D6</x:f>
        <x:v>-78000</x:v>
      </x:c>
      <x:c r="F6" s="6" t="n">
        <x:f>E6</x:f>
        <x:v>-78000</x:v>
      </x:c>
      <x:c r="G6" s="6" t="n">
        <x:v>71000</x:v>
      </x:c>
      <x:c r="H6" s="6" t="n">
        <x:v>149000</x:v>
      </x:c>
      <x:c r="I6" s="6" t="n">
        <x:v>17</x:v>
      </x:c>
      <x:c r="J6" s="6" t="n">
        <x:v>12</x:v>
      </x:c>
      <x:c r="K6" s="6" t="n">
        <x:v>5</x:v>
      </x:c>
      <x:c r="L6" s="6" t="n">
        <x:v>10</x:v>
      </x:c>
      <x:c r="M6" s="11" t="n">
        <x:v>0.4011904761904762</x:v>
      </x:c>
      <x:c r="N6" s="6" t="n">
        <x:v>99000</x:v>
      </x:c>
    </x:row>
    <x:row r="7" ht="24" customHeight="1">
      <x:c r="A7" s="2" t="str">
        <x:v>2026-09-21_Night</x:v>
      </x:c>
      <x:c r="B7" s="6" t="str">
        <x:v>ナイト</x:v>
      </x:c>
      <x:c r="C7" s="6" t="n">
        <x:v>69000</x:v>
      </x:c>
      <x:c r="D7" s="6" t="n">
        <x:v>90000</x:v>
      </x:c>
      <x:c r="E7" s="6" t="n">
        <x:f>C7-D7</x:f>
        <x:v>-21000</x:v>
      </x:c>
      <x:c r="F7" s="6" t="n">
        <x:f>F6+E7</x:f>
        <x:v>-99000</x:v>
      </x:c>
      <x:c r="G7" s="6" t="n">
        <x:v>44000</x:v>
      </x:c>
      <x:c r="H7" s="6" t="n">
        <x:v>65000</x:v>
      </x:c>
      <x:c r="I7" s="6" t="n">
        <x:v>20</x:v>
      </x:c>
      <x:c r="J7" s="6" t="n">
        <x:v>14</x:v>
      </x:c>
      <x:c r="K7" s="6" t="n">
        <x:v>7</x:v>
      </x:c>
      <x:c r="L7" s="6" t="n">
        <x:v>6</x:v>
      </x:c>
      <x:c r="M7" s="11" t="n">
        <x:v>0.3266239316239316</x:v>
      </x:c>
      <x:c r="N7" s="6" t="n">
        <x:v>47000</x:v>
      </x:c>
    </x:row>
    <x:row r="8" ht="24" customHeight="1">
      <x:c r="A8" s="2" t="str">
        <x:v>2026-09-22_Day</x:v>
      </x:c>
      <x:c r="B8" s="6" t="str">
        <x:v>デイ</x:v>
      </x:c>
      <x:c r="C8" s="6" t="n">
        <x:v>65000</x:v>
      </x:c>
      <x:c r="D8" s="6" t="n">
        <x:v>202000</x:v>
      </x:c>
      <x:c r="E8" s="6" t="n">
        <x:f>C8-D8</x:f>
        <x:v>-137000</x:v>
      </x:c>
      <x:c r="F8" s="6" t="n">
        <x:f>F7+E8</x:f>
        <x:v>-236000</x:v>
      </x:c>
      <x:c r="G8" s="6" t="n">
        <x:v>45000</x:v>
      </x:c>
      <x:c r="H8" s="6" t="n">
        <x:v>182000</x:v>
      </x:c>
      <x:c r="I8" s="6" t="n">
        <x:v>27</x:v>
      </x:c>
      <x:c r="J8" s="6" t="n">
        <x:v>18</x:v>
      </x:c>
      <x:c r="K8" s="6" t="n">
        <x:v>10</x:v>
      </x:c>
      <x:c r="L8" s="6" t="n">
        <x:v>8</x:v>
      </x:c>
      <x:c r="M8" s="11" t="n">
        <x:v>0.3811904761904762</x:v>
      </x:c>
      <x:c r="N8" s="6" t="n">
        <x:v>181000</x:v>
      </x:c>
    </x:row>
    <x:row r="9" ht="24" customHeight="1">
      <x:c r="A9" s="2" t="str">
        <x:v>2026-09-22_Night</x:v>
      </x:c>
      <x:c r="B9" s="6" t="str">
        <x:v>ナイト</x:v>
      </x:c>
      <x:c r="C9" s="6" t="n">
        <x:v>108000</x:v>
      </x:c>
      <x:c r="D9" s="6" t="n">
        <x:v>177000</x:v>
      </x:c>
      <x:c r="E9" s="6" t="n">
        <x:f>C9-D9</x:f>
        <x:v>-69000</x:v>
      </x:c>
      <x:c r="F9" s="6" t="n">
        <x:f>F8+E9</x:f>
        <x:v>-305000</x:v>
      </x:c>
      <x:c r="G9" s="6" t="n">
        <x:v>79000</x:v>
      </x:c>
      <x:c r="H9" s="6" t="n">
        <x:v>148000</x:v>
      </x:c>
      <x:c r="I9" s="6" t="n">
        <x:v>25</x:v>
      </x:c>
      <x:c r="J9" s="6" t="n">
        <x:v>20</x:v>
      </x:c>
      <x:c r="K9" s="6" t="n">
        <x:v>9</x:v>
      </x:c>
      <x:c r="L9" s="6" t="n">
        <x:v>7</x:v>
      </x:c>
      <x:c r="M9" s="11" t="n">
        <x:v>0.27895299145299146</x:v>
      </x:c>
      <x:c r="N9" s="6" t="n">
        <x:v>120000</x:v>
      </x:c>
    </x:row>
    <x:row r="10" ht="24" customHeight="1">
      <x:c r="A10" s="2" t="str">
        <x:v>2026-09-23_Day</x:v>
      </x:c>
      <x:c r="B10" s="6" t="str">
        <x:v>デイ</x:v>
      </x:c>
      <x:c r="C10" s="6" t="n">
        <x:v>49000</x:v>
      </x:c>
      <x:c r="D10" s="6" t="n">
        <x:v>202000</x:v>
      </x:c>
      <x:c r="E10" s="6" t="n">
        <x:f>C10-D10</x:f>
        <x:v>-153000</x:v>
      </x:c>
      <x:c r="F10" s="6" t="n">
        <x:f>F9+E10</x:f>
        <x:v>-458000</x:v>
      </x:c>
      <x:c r="G10" s="6" t="n">
        <x:v>49000</x:v>
      </x:c>
      <x:c r="H10" s="6" t="n">
        <x:v>202000</x:v>
      </x:c>
      <x:c r="I10" s="6" t="n">
        <x:v>15</x:v>
      </x:c>
      <x:c r="J10" s="6" t="n">
        <x:v>8</x:v>
      </x:c>
      <x:c r="K10" s="6" t="n">
        <x:v>5</x:v>
      </x:c>
      <x:c r="L10" s="6" t="n">
        <x:v>9</x:v>
      </x:c>
      <x:c r="M10" s="11" t="n">
        <x:v>0.4498809523809524</x:v>
      </x:c>
      <x:c r="N10" s="6" t="n">
        <x:v>157000</x:v>
      </x:c>
    </x:row>
    <x:row r="11" ht="24" customHeight="1">
      <x:c r="A11" s="2" t="str">
        <x:v>2026-09-23_Night</x:v>
      </x:c>
      <x:c r="B11" s="6" t="str">
        <x:v>ナイト</x:v>
      </x:c>
      <x:c r="C11" s="6" t="n">
        <x:v>128000</x:v>
      </x:c>
      <x:c r="D11" s="6" t="n">
        <x:v>294000</x:v>
      </x:c>
      <x:c r="E11" s="6" t="n">
        <x:f>C11-D11</x:f>
        <x:v>-166000</x:v>
      </x:c>
      <x:c r="F11" s="6" t="n">
        <x:f>F10+E11</x:f>
        <x:v>-624000</x:v>
      </x:c>
      <x:c r="G11" s="6" t="n">
        <x:v>103000</x:v>
      </x:c>
      <x:c r="H11" s="6" t="n">
        <x:v>269000</x:v>
      </x:c>
      <x:c r="I11" s="6" t="n">
        <x:v>26</x:v>
      </x:c>
      <x:c r="J11" s="6" t="n">
        <x:v>23</x:v>
      </x:c>
      <x:c r="K11" s="6" t="n">
        <x:v>11</x:v>
      </x:c>
      <x:c r="L11" s="6" t="n">
        <x:v>10</x:v>
      </x:c>
      <x:c r="M11" s="11" t="n">
        <x:v>0.5613888888888889</x:v>
      </x:c>
      <x:c r="N11" s="6" t="n">
        <x:v>174000</x:v>
      </x:c>
    </x:row>
    <x:row r="12" ht="24" customHeight="1">
      <x:c r="A12" s="2" t="str">
        <x:v>2026-09-24_Day</x:v>
      </x:c>
      <x:c r="B12" s="6" t="str">
        <x:v>デイ</x:v>
      </x:c>
      <x:c r="C12" s="6" t="n">
        <x:v>86000</x:v>
      </x:c>
      <x:c r="D12" s="6" t="n">
        <x:v>298000</x:v>
      </x:c>
      <x:c r="E12" s="6" t="n">
        <x:f>C12-D12</x:f>
        <x:v>-212000</x:v>
      </x:c>
      <x:c r="F12" s="6" t="n">
        <x:f>F11+E12</x:f>
        <x:v>-836000</x:v>
      </x:c>
      <x:c r="G12" s="6" t="n">
        <x:v>52000</x:v>
      </x:c>
      <x:c r="H12" s="6" t="n">
        <x:v>264000</x:v>
      </x:c>
      <x:c r="I12" s="6" t="n">
        <x:v>33</x:v>
      </x:c>
      <x:c r="J12" s="6" t="n">
        <x:v>32</x:v>
      </x:c>
      <x:c r="K12" s="6" t="n">
        <x:v>11</x:v>
      </x:c>
      <x:c r="L12" s="6" t="n">
        <x:v>8</x:v>
      </x:c>
      <x:c r="M12" s="11" t="n">
        <x:v>0.41698412698412696</x:v>
      </x:c>
      <x:c r="N12" s="6" t="n">
        <x:v>221000</x:v>
      </x:c>
    </x:row>
    <x:row r="13" ht="24" customHeight="1">
      <x:c r="A13" s="2" t="str">
        <x:v>2026-09-24_Night</x:v>
      </x:c>
      <x:c r="B13" s="6" t="str">
        <x:v>ナイト</x:v>
      </x:c>
      <x:c r="C13" s="6" t="n">
        <x:v>201000</x:v>
      </x:c>
      <x:c r="D13" s="6" t="n">
        <x:v>559000</x:v>
      </x:c>
      <x:c r="E13" s="6" t="n">
        <x:f>C13-D13</x:f>
        <x:v>-358000</x:v>
      </x:c>
      <x:c r="F13" s="6" t="n">
        <x:f>F12+E13</x:f>
        <x:v>-1194000</x:v>
      </x:c>
      <x:c r="G13" s="6" t="n">
        <x:v>151000</x:v>
      </x:c>
      <x:c r="H13" s="6" t="n">
        <x:v>509000</x:v>
      </x:c>
      <x:c r="I13" s="6" t="n">
        <x:v>63</x:v>
      </x:c>
      <x:c r="J13" s="6" t="n">
        <x:v>37</x:v>
      </x:c>
      <x:c r="K13" s="6" t="n">
        <x:v>9</x:v>
      </x:c>
      <x:c r="L13" s="6" t="n">
        <x:v>9</x:v>
      </x:c>
      <x:c r="M13" s="11" t="n">
        <x:v>0.3574786324786325</x:v>
      </x:c>
      <x:c r="N13" s="6" t="n">
        <x:v>399000</x:v>
      </x:c>
    </x:row>
    <x:row r="14" ht="24" customHeight="1">
      <x:c r="A14" s="2" t="str">
        <x:v>2026-09-25_Day</x:v>
      </x:c>
      <x:c r="B14" s="6" t="str">
        <x:v>デイ</x:v>
      </x:c>
      <x:c r="C14" s="6" t="n">
        <x:v>61000</x:v>
      </x:c>
      <x:c r="D14" s="6" t="n">
        <x:v>238000</x:v>
      </x:c>
      <x:c r="E14" s="6" t="n">
        <x:f>C14-D14</x:f>
        <x:v>-177000</x:v>
      </x:c>
      <x:c r="F14" s="6" t="n">
        <x:f>F13+E14</x:f>
        <x:v>-1371000</x:v>
      </x:c>
      <x:c r="G14" s="6" t="n">
        <x:v>38000</x:v>
      </x:c>
      <x:c r="H14" s="6" t="n">
        <x:v>215000</x:v>
      </x:c>
      <x:c r="I14" s="6" t="n">
        <x:v>31</x:v>
      </x:c>
      <x:c r="J14" s="6" t="n">
        <x:v>18</x:v>
      </x:c>
      <x:c r="K14" s="6" t="n">
        <x:v>9</x:v>
      </x:c>
      <x:c r="L14" s="6" t="n">
        <x:v>6</x:v>
      </x:c>
      <x:c r="M14" s="11" t="n">
        <x:v>0.5576984126984127</x:v>
      </x:c>
      <x:c r="N14" s="6" t="n">
        <x:v>194000</x:v>
      </x:c>
    </x:row>
    <x:row r="15" ht="24" customHeight="1">
      <x:c r="A15" s="2" t="str">
        <x:v>2026-09-25_Night</x:v>
      </x:c>
      <x:c r="B15" s="6" t="str">
        <x:v>ナイト</x:v>
      </x:c>
      <x:c r="C15" s="6" t="n">
        <x:v>113000</x:v>
      </x:c>
      <x:c r="D15" s="6" t="n">
        <x:v>395000</x:v>
      </x:c>
      <x:c r="E15" s="6" t="n">
        <x:f>C15-D15</x:f>
        <x:v>-282000</x:v>
      </x:c>
      <x:c r="F15" s="6" t="n">
        <x:f>F14+E15</x:f>
        <x:v>-1653000</x:v>
      </x:c>
      <x:c r="G15" s="6" t="n">
        <x:v>85000</x:v>
      </x:c>
      <x:c r="H15" s="6" t="n">
        <x:v>367000</x:v>
      </x:c>
      <x:c r="I15" s="6" t="n">
        <x:v>40</x:v>
      </x:c>
      <x:c r="J15" s="6" t="n">
        <x:v>30</x:v>
      </x:c>
      <x:c r="K15" s="6" t="n">
        <x:v>8</x:v>
      </x:c>
      <x:c r="L15" s="6" t="n">
        <x:v>10</x:v>
      </x:c>
      <x:c r="M15" s="11" t="n">
        <x:v>0.4378632478632479</x:v>
      </x:c>
      <x:c r="N15" s="6" t="n">
        <x:v>295000</x:v>
      </x:c>
    </x:row>
    <x:row r="16" ht="24" customHeight="1">
      <x:c r="A16" s="2" t="str">
        <x:v>2026-09-28_Day</x:v>
      </x:c>
      <x:c r="B16" s="6" t="str">
        <x:v>デイ</x:v>
      </x:c>
      <x:c r="C16" s="6" t="n">
        <x:v>66000</x:v>
      </x:c>
      <x:c r="D16" s="6" t="n">
        <x:v>270000</x:v>
      </x:c>
      <x:c r="E16" s="6" t="n">
        <x:f>C16-D16</x:f>
        <x:v>-204000</x:v>
      </x:c>
      <x:c r="F16" s="6" t="n">
        <x:f>F15+E16</x:f>
        <x:v>-1857000</x:v>
      </x:c>
      <x:c r="G16" s="6" t="n">
        <x:v>44000</x:v>
      </x:c>
      <x:c r="H16" s="6" t="n">
        <x:v>248000</x:v>
      </x:c>
      <x:c r="I16" s="6" t="n">
        <x:v>31</x:v>
      </x:c>
      <x:c r="J16" s="6" t="n">
        <x:v>25</x:v>
      </x:c>
      <x:c r="K16" s="6" t="n">
        <x:v>11</x:v>
      </x:c>
      <x:c r="L16" s="6" t="n">
        <x:v>9</x:v>
      </x:c>
      <x:c r="M16" s="11" t="n">
        <x:v>0.43785714285714283</x:v>
      </x:c>
      <x:c r="N16" s="6" t="n">
        <x:v>217000</x:v>
      </x:c>
    </x:row>
    <x:row r="17" ht="24" customHeight="1">
      <x:c r="A17" s="2" t="str">
        <x:v>2026-09-28_Night</x:v>
      </x:c>
      <x:c r="B17" s="6" t="str">
        <x:v>ナイト</x:v>
      </x:c>
      <x:c r="C17" s="6" t="n">
        <x:v>227000</x:v>
      </x:c>
      <x:c r="D17" s="6" t="n">
        <x:v>373000</x:v>
      </x:c>
      <x:c r="E17" s="6" t="n">
        <x:f>C17-D17</x:f>
        <x:v>-146000</x:v>
      </x:c>
      <x:c r="F17" s="6" t="n">
        <x:f>F16+E17</x:f>
        <x:v>-2003000</x:v>
      </x:c>
      <x:c r="G17" s="6" t="n">
        <x:v>179000</x:v>
      </x:c>
      <x:c r="H17" s="6" t="n">
        <x:v>325000</x:v>
      </x:c>
      <x:c r="I17" s="6" t="n">
        <x:v>46</x:v>
      </x:c>
      <x:c r="J17" s="6" t="n">
        <x:v>34</x:v>
      </x:c>
      <x:c r="K17" s="6" t="n">
        <x:v>15</x:v>
      </x:c>
      <x:c r="L17" s="6" t="n">
        <x:v>10</x:v>
      </x:c>
      <x:c r="M17" s="11" t="n">
        <x:v>0.48465811965811967</x:v>
      </x:c>
      <x:c r="N17" s="6" t="n">
        <x:v>171000</x:v>
      </x:c>
    </x:row>
    <x:row r="18" ht="24" customHeight="1">
      <x:c r="A18" s="2" t="str">
        <x:v>2026-09-29_Day</x:v>
      </x:c>
      <x:c r="B18" s="6" t="str">
        <x:v>デイ</x:v>
      </x:c>
      <x:c r="C18" s="6" t="n">
        <x:v>107000</x:v>
      </x:c>
      <x:c r="D18" s="6" t="n">
        <x:v>254000</x:v>
      </x:c>
      <x:c r="E18" s="6" t="n">
        <x:f>C18-D18</x:f>
        <x:v>-147000</x:v>
      </x:c>
      <x:c r="F18" s="6" t="n">
        <x:f>F17+E18</x:f>
        <x:v>-2150000</x:v>
      </x:c>
      <x:c r="G18" s="6" t="n">
        <x:v>76000</x:v>
      </x:c>
      <x:c r="H18" s="6" t="n">
        <x:v>223000</x:v>
      </x:c>
      <x:c r="I18" s="6" t="n">
        <x:v>31</x:v>
      </x:c>
      <x:c r="J18" s="6" t="n">
        <x:v>31</x:v>
      </x:c>
      <x:c r="K18" s="6" t="n">
        <x:v>6</x:v>
      </x:c>
      <x:c r="L18" s="6" t="n">
        <x:v>10</x:v>
      </x:c>
      <x:c r="M18" s="11" t="n">
        <x:v>0.33361111111111114</x:v>
      </x:c>
      <x:c r="N18" s="6" t="n">
        <x:v>195000</x:v>
      </x:c>
    </x:row>
    <x:row r="19" ht="24" customHeight="1">
      <x:c r="A19" s="2" t="str">
        <x:v>2026-09-29_Night</x:v>
      </x:c>
      <x:c r="B19" s="6" t="str">
        <x:v>ナイト</x:v>
      </x:c>
      <x:c r="C19" s="6" t="n">
        <x:v>123000</x:v>
      </x:c>
      <x:c r="D19" s="6" t="n">
        <x:v>434000</x:v>
      </x:c>
      <x:c r="E19" s="6" t="n">
        <x:f>C19-D19</x:f>
        <x:v>-311000</x:v>
      </x:c>
      <x:c r="F19" s="6" t="n">
        <x:f>F18+E19</x:f>
        <x:v>-2461000</x:v>
      </x:c>
      <x:c r="G19" s="6" t="n">
        <x:v>85000</x:v>
      </x:c>
      <x:c r="H19" s="6" t="n">
        <x:v>396000</x:v>
      </x:c>
      <x:c r="I19" s="6" t="n">
        <x:v>47</x:v>
      </x:c>
      <x:c r="J19" s="6" t="n">
        <x:v>30</x:v>
      </x:c>
      <x:c r="K19" s="6" t="n">
        <x:v>12</x:v>
      </x:c>
      <x:c r="L19" s="6" t="n">
        <x:v>6</x:v>
      </x:c>
      <x:c r="M19" s="11" t="n">
        <x:v>0.4545726495726496</x:v>
      </x:c>
      <x:c r="N19" s="6" t="n">
        <x:v>313000</x:v>
      </x:c>
    </x:row>
    <x:row r="20" ht="24" customHeight="1">
      <x:c r="A20" s="2" t="str">
        <x:v>2026-09-30_Day</x:v>
      </x:c>
      <x:c r="B20" s="6" t="str">
        <x:v>デイ</x:v>
      </x:c>
      <x:c r="C20" s="6" t="n">
        <x:v>181000</x:v>
      </x:c>
      <x:c r="D20" s="6" t="n">
        <x:v>253000</x:v>
      </x:c>
      <x:c r="E20" s="6" t="n">
        <x:f>C20-D20</x:f>
        <x:v>-72000</x:v>
      </x:c>
      <x:c r="F20" s="6" t="n">
        <x:f>F19+E20</x:f>
        <x:v>-2533000</x:v>
      </x:c>
      <x:c r="G20" s="6" t="n">
        <x:v>132000</x:v>
      </x:c>
      <x:c r="H20" s="6" t="n">
        <x:v>204000</x:v>
      </x:c>
      <x:c r="I20" s="6" t="n">
        <x:v>30</x:v>
      </x:c>
      <x:c r="J20" s="6" t="n">
        <x:v>37</x:v>
      </x:c>
      <x:c r="K20" s="6" t="n">
        <x:v>8</x:v>
      </x:c>
      <x:c r="L20" s="6" t="n">
        <x:v>10</x:v>
      </x:c>
      <x:c r="M20" s="11" t="n">
        <x:v>0.35615079365079366</x:v>
      </x:c>
      <x:c r="N20" s="6" t="n">
        <x:v>110000</x:v>
      </x:c>
    </x:row>
    <x:row r="21" ht="24" customHeight="1">
      <x:c r="A21" s="2" t="str">
        <x:v>2026-09-30_Night</x:v>
      </x:c>
      <x:c r="B21" s="6" t="str">
        <x:v>ナイト</x:v>
      </x:c>
      <x:c r="C21" s="6" t="n">
        <x:v>200000</x:v>
      </x:c>
      <x:c r="D21" s="6" t="n">
        <x:v>487000</x:v>
      </x:c>
      <x:c r="E21" s="6" t="n">
        <x:f>C21-D21</x:f>
        <x:v>-287000</x:v>
      </x:c>
      <x:c r="F21" s="6" t="n">
        <x:f>F20+E21</x:f>
        <x:v>-2820000</x:v>
      </x:c>
      <x:c r="G21" s="6" t="n">
        <x:v>102000</x:v>
      </x:c>
      <x:c r="H21" s="6" t="n">
        <x:v>389000</x:v>
      </x:c>
      <x:c r="I21" s="6" t="n">
        <x:v>50</x:v>
      </x:c>
      <x:c r="J21" s="6" t="n">
        <x:v>55</x:v>
      </x:c>
      <x:c r="K21" s="6" t="n">
        <x:v>16</x:v>
      </x:c>
      <x:c r="L21" s="6" t="n">
        <x:v>9</x:v>
      </x:c>
      <x:c r="M21" s="11" t="n">
        <x:v>0.4326068376068376</x:v>
      </x:c>
      <x:c r="N21" s="6" t="n">
        <x:v>365000</x:v>
      </x:c>
    </x:row>
    <x:row r="22" ht="24" customHeight="1">
      <x:c r="A22" s="2" t="str">
        <x:v>2026-10-01_Day</x:v>
      </x:c>
      <x:c r="B22" s="6" t="str">
        <x:v>デイ</x:v>
      </x:c>
      <x:c r="C22" s="6" t="n">
        <x:v>141000</x:v>
      </x:c>
      <x:c r="D22" s="6" t="n">
        <x:v>366000</x:v>
      </x:c>
      <x:c r="E22" s="6" t="n">
        <x:f>C22-D22</x:f>
        <x:v>-225000</x:v>
      </x:c>
      <x:c r="F22" s="6" t="n">
        <x:f>F21+E22</x:f>
        <x:v>-3045000</x:v>
      </x:c>
      <x:c r="G22" s="6" t="n">
        <x:v>109000</x:v>
      </x:c>
      <x:c r="H22" s="6" t="n">
        <x:v>334000</x:v>
      </x:c>
      <x:c r="I22" s="6" t="n">
        <x:v>28</x:v>
      </x:c>
      <x:c r="J22" s="6" t="n">
        <x:v>30</x:v>
      </x:c>
      <x:c r="K22" s="6" t="n">
        <x:v>10</x:v>
      </x:c>
      <x:c r="L22" s="6" t="n">
        <x:v>9</x:v>
      </x:c>
      <x:c r="M22" s="11" t="n">
        <x:v>0.4726984126984127</x:v>
      </x:c>
      <x:c r="N22" s="6" t="n">
        <x:v>228000</x:v>
      </x:c>
    </x:row>
    <x:row r="23" ht="24" customHeight="1">
      <x:c r="A23" s="2" t="str">
        <x:v>2026-10-01_Night</x:v>
      </x:c>
      <x:c r="B23" s="6" t="str">
        <x:v>ナイト</x:v>
      </x:c>
      <x:c r="C23" s="6" t="n">
        <x:v>222000</x:v>
      </x:c>
      <x:c r="D23" s="6" t="n">
        <x:v>436000</x:v>
      </x:c>
      <x:c r="E23" s="6" t="n">
        <x:f>C23-D23</x:f>
        <x:v>-214000</x:v>
      </x:c>
      <x:c r="F23" s="6" t="n">
        <x:f>F22+E23</x:f>
        <x:v>-3259000</x:v>
      </x:c>
      <x:c r="G23" s="6" t="n">
        <x:v>147000</x:v>
      </x:c>
      <x:c r="H23" s="6" t="n">
        <x:v>361000</x:v>
      </x:c>
      <x:c r="I23" s="6" t="n">
        <x:v>45</x:v>
      </x:c>
      <x:c r="J23" s="6" t="n">
        <x:v>58</x:v>
      </x:c>
      <x:c r="K23" s="6" t="n">
        <x:v>22</x:v>
      </x:c>
      <x:c r="L23" s="6" t="n">
        <x:v>10</x:v>
      </x:c>
      <x:c r="M23" s="11" t="n">
        <x:v>0.400491452991453</x:v>
      </x:c>
      <x:c r="N23" s="6" t="n">
        <x:v>294000</x:v>
      </x:c>
    </x:row>
    <x:row r="24" ht="24" customHeight="1">
      <x:c r="A24" s="2" t="str">
        <x:v>2026-10-02_Day</x:v>
      </x:c>
      <x:c r="B24" s="6" t="str">
        <x:v>デイ</x:v>
      </x:c>
      <x:c r="C24" s="6" t="n">
        <x:v>234000</x:v>
      </x:c>
      <x:c r="D24" s="6" t="n">
        <x:v>368000</x:v>
      </x:c>
      <x:c r="E24" s="6" t="n">
        <x:f>C24-D24</x:f>
        <x:v>-134000</x:v>
      </x:c>
      <x:c r="F24" s="6" t="n">
        <x:f>F23+E24</x:f>
        <x:v>-3393000</x:v>
      </x:c>
      <x:c r="G24" s="6" t="n">
        <x:v>192000</x:v>
      </x:c>
      <x:c r="H24" s="6" t="n">
        <x:v>326000</x:v>
      </x:c>
      <x:c r="I24" s="6" t="n">
        <x:v>34</x:v>
      </x:c>
      <x:c r="J24" s="6" t="n">
        <x:v>33</x:v>
      </x:c>
      <x:c r="K24" s="6" t="n">
        <x:v>11</x:v>
      </x:c>
      <x:c r="L24" s="6" t="n">
        <x:v>10</x:v>
      </x:c>
      <x:c r="M24" s="11" t="n">
        <x:v>0.5696825396825397</x:v>
      </x:c>
      <x:c r="N24" s="6" t="n">
        <x:v>320000</x:v>
      </x:c>
    </x:row>
    <x:row r="25" ht="24" customHeight="1">
      <x:c r="A25" s="2" t="str">
        <x:v>2026-10-02_Night</x:v>
      </x:c>
      <x:c r="B25" s="6" t="str">
        <x:v>ナイト</x:v>
      </x:c>
      <x:c r="C25" s="6" t="n">
        <x:v>176000</x:v>
      </x:c>
      <x:c r="D25" s="6" t="n">
        <x:v>340000</x:v>
      </x:c>
      <x:c r="E25" s="6" t="n">
        <x:f>C25-D25</x:f>
        <x:v>-164000</x:v>
      </x:c>
      <x:c r="F25" s="6" t="n">
        <x:f>F24+E25</x:f>
        <x:v>-3557000</x:v>
      </x:c>
      <x:c r="G25" s="6" t="n">
        <x:v>135000</x:v>
      </x:c>
      <x:c r="H25" s="6" t="n">
        <x:v>299000</x:v>
      </x:c>
      <x:c r="I25" s="6" t="n">
        <x:v>40</x:v>
      </x:c>
      <x:c r="J25" s="6" t="n">
        <x:v>38</x:v>
      </x:c>
      <x:c r="K25" s="6" t="n">
        <x:v>10</x:v>
      </x:c>
      <x:c r="L25" s="6" t="n">
        <x:v>10</x:v>
      </x:c>
      <x:c r="M25" s="11" t="n">
        <x:v>0.5308974358974359</x:v>
      </x:c>
      <x:c r="N25" s="6" t="n">
        <x:v>232000</x:v>
      </x:c>
    </x:row>
    <x:row r="26" ht="24" customHeight="1">
      <x:c r="A26" s="2" t="str">
        <x:v>2026-10-05_Day</x:v>
      </x:c>
      <x:c r="B26" s="6" t="str">
        <x:v>デイ</x:v>
      </x:c>
      <x:c r="C26" s="6" t="n">
        <x:v>114000</x:v>
      </x:c>
      <x:c r="D26" s="6" t="n">
        <x:v>395000</x:v>
      </x:c>
      <x:c r="E26" s="6" t="n">
        <x:f>C26-D26</x:f>
        <x:v>-281000</x:v>
      </x:c>
      <x:c r="F26" s="6" t="n">
        <x:f>F25+E26</x:f>
        <x:v>-3838000</x:v>
      </x:c>
      <x:c r="G26" s="6" t="n">
        <x:v>65000</x:v>
      </x:c>
      <x:c r="H26" s="6" t="n">
        <x:v>346000</x:v>
      </x:c>
      <x:c r="I26" s="6" t="n">
        <x:v>30</x:v>
      </x:c>
      <x:c r="J26" s="6" t="n">
        <x:v>36</x:v>
      </x:c>
      <x:c r="K26" s="6" t="n">
        <x:v>15</x:v>
      </x:c>
      <x:c r="L26" s="6" t="n">
        <x:v>10</x:v>
      </x:c>
      <x:c r="M26" s="11" t="n">
        <x:v>0.539484126984127</x:v>
      </x:c>
      <x:c r="N26" s="6" t="n">
        <x:v>281000</x:v>
      </x:c>
    </x:row>
    <x:row r="27" ht="24" customHeight="1">
      <x:c r="A27" s="2" t="str">
        <x:v>2026-10-05_Night</x:v>
      </x:c>
      <x:c r="B27" s="6" t="str">
        <x:v>ナイト</x:v>
      </x:c>
      <x:c r="C27" s="6" t="n">
        <x:v>213000</x:v>
      </x:c>
      <x:c r="D27" s="6" t="n">
        <x:v>270000</x:v>
      </x:c>
      <x:c r="E27" s="6" t="n">
        <x:f>C27-D27</x:f>
        <x:v>-57000</x:v>
      </x:c>
      <x:c r="F27" s="6" t="n">
        <x:f>F26+E27</x:f>
        <x:v>-3895000</x:v>
      </x:c>
      <x:c r="G27" s="6" t="n">
        <x:v>193000</x:v>
      </x:c>
      <x:c r="H27" s="6" t="n">
        <x:v>250000</x:v>
      </x:c>
      <x:c r="I27" s="6" t="n">
        <x:v>26</x:v>
      </x:c>
      <x:c r="J27" s="6" t="n">
        <x:v>30</x:v>
      </x:c>
      <x:c r="K27" s="6" t="n">
        <x:v>12</x:v>
      </x:c>
      <x:c r="L27" s="6" t="n">
        <x:v>9</x:v>
      </x:c>
      <x:c r="M27" s="11" t="n">
        <x:v>0.6844230769230769</x:v>
      </x:c>
      <x:c r="N27" s="6" t="n">
        <x:v>129000</x:v>
      </x:c>
    </x:row>
    <x:row r="28" ht="24" customHeight="1">
      <x:c r="A28" s="2" t="str">
        <x:v>2026-10-06_Day</x:v>
      </x:c>
      <x:c r="B28" s="6" t="str">
        <x:v>デイ</x:v>
      </x:c>
      <x:c r="C28" s="6" t="n">
        <x:v>277000</x:v>
      </x:c>
      <x:c r="D28" s="6" t="n">
        <x:v>211000</x:v>
      </x:c>
      <x:c r="E28" s="6" t="n">
        <x:f>C28-D28</x:f>
        <x:v>66000</x:v>
      </x:c>
      <x:c r="F28" s="6" t="n">
        <x:f>F27+E28</x:f>
        <x:v>-3829000</x:v>
      </x:c>
      <x:c r="G28" s="6" t="n">
        <x:v>239000</x:v>
      </x:c>
      <x:c r="H28" s="6" t="n">
        <x:v>173000</x:v>
      </x:c>
      <x:c r="I28" s="6" t="n">
        <x:v>25</x:v>
      </x:c>
      <x:c r="J28" s="6" t="n">
        <x:v>20</x:v>
      </x:c>
      <x:c r="K28" s="6" t="n">
        <x:v>3</x:v>
      </x:c>
      <x:c r="L28" s="6" t="n">
        <x:v>10</x:v>
      </x:c>
      <x:c r="M28" s="11" t="n">
        <x:v>0.5560714285714285</x:v>
      </x:c>
      <x:c r="N28" s="6" t="n">
        <x:v>145000</x:v>
      </x:c>
    </x:row>
    <x:row r="29" ht="24" customHeight="1">
      <x:c r="A29" s="2" t="str">
        <x:v>2026-10-06_Night</x:v>
      </x:c>
      <x:c r="B29" s="6" t="str">
        <x:v>ナイト</x:v>
      </x:c>
      <x:c r="C29" s="6" t="n">
        <x:v>159000</x:v>
      </x:c>
      <x:c r="D29" s="6" t="n">
        <x:v>265000</x:v>
      </x:c>
      <x:c r="E29" s="6" t="n">
        <x:f>C29-D29</x:f>
        <x:v>-106000</x:v>
      </x:c>
      <x:c r="F29" s="6" t="n">
        <x:f>F28+E29</x:f>
        <x:v>-3935000</x:v>
      </x:c>
      <x:c r="G29" s="6" t="n">
        <x:v>90000</x:v>
      </x:c>
      <x:c r="H29" s="6" t="n">
        <x:v>196000</x:v>
      </x:c>
      <x:c r="I29" s="6" t="n">
        <x:v>28</x:v>
      </x:c>
      <x:c r="J29" s="6" t="n">
        <x:v>34</x:v>
      </x:c>
      <x:c r="K29" s="6" t="n">
        <x:v>16</x:v>
      </x:c>
      <x:c r="L29" s="6" t="n">
        <x:v>9</x:v>
      </x:c>
      <x:c r="M29" s="11" t="n">
        <x:v>0.48993589743589744</x:v>
      </x:c>
      <x:c r="N29" s="6" t="n">
        <x:v>140000</x:v>
      </x:c>
    </x:row>
    <x:row r="30" ht="24" customHeight="1">
      <x:c r="A30" s="2" t="str">
        <x:v>2026-10-07_Day</x:v>
      </x:c>
      <x:c r="B30" s="6" t="str">
        <x:v>デイ</x:v>
      </x:c>
      <x:c r="C30" s="6" t="n">
        <x:v>125000</x:v>
      </x:c>
      <x:c r="D30" s="6" t="n">
        <x:v>208000</x:v>
      </x:c>
      <x:c r="E30" s="6" t="n">
        <x:f>C30-D30</x:f>
        <x:v>-83000</x:v>
      </x:c>
      <x:c r="F30" s="6" t="n">
        <x:f>F29+E30</x:f>
        <x:v>-4018000</x:v>
      </x:c>
      <x:c r="G30" s="6" t="n">
        <x:v>101000</x:v>
      </x:c>
      <x:c r="H30" s="6" t="n">
        <x:v>184000</x:v>
      </x:c>
      <x:c r="I30" s="6" t="n">
        <x:v>25</x:v>
      </x:c>
      <x:c r="J30" s="6" t="n">
        <x:v>21</x:v>
      </x:c>
      <x:c r="K30" s="6" t="n">
        <x:v>10</x:v>
      </x:c>
      <x:c r="L30" s="6" t="n">
        <x:v>9</x:v>
      </x:c>
      <x:c r="M30" s="11" t="n">
        <x:v>0.5735714285714286</x:v>
      </x:c>
      <x:c r="N30" s="6" t="n">
        <x:v>99000</x:v>
      </x:c>
    </x:row>
    <x:row r="31" ht="24" customHeight="1">
      <x:c r="A31" s="2" t="str">
        <x:v>2026-10-07_Night</x:v>
      </x:c>
      <x:c r="B31" s="6" t="str">
        <x:v>ナイト</x:v>
      </x:c>
      <x:c r="C31" s="6" t="n">
        <x:v>97000</x:v>
      </x:c>
      <x:c r="D31" s="6" t="n">
        <x:v>465000</x:v>
      </x:c>
      <x:c r="E31" s="6" t="n">
        <x:f>C31-D31</x:f>
        <x:v>-368000</x:v>
      </x:c>
      <x:c r="F31" s="6" t="n">
        <x:f>F30+E31</x:f>
        <x:v>-4386000</x:v>
      </x:c>
      <x:c r="G31" s="6" t="n">
        <x:v>62000</x:v>
      </x:c>
      <x:c r="H31" s="6" t="n">
        <x:v>430000</x:v>
      </x:c>
      <x:c r="I31" s="6" t="n">
        <x:v>40</x:v>
      </x:c>
      <x:c r="J31" s="6" t="n">
        <x:v>36</x:v>
      </x:c>
      <x:c r="K31" s="6" t="n">
        <x:v>24</x:v>
      </x:c>
      <x:c r="L31" s="6" t="n">
        <x:v>7</x:v>
      </x:c>
      <x:c r="M31" s="11" t="n">
        <x:v>0.6855128205128205</x:v>
      </x:c>
      <x:c r="N31" s="6" t="n">
        <x:v>375000</x:v>
      </x:c>
    </x:row>
    <x:row r="32" ht="24" customHeight="1">
      <x:c r="A32" s="2" t="str">
        <x:v>2026-10-08_Day</x:v>
      </x:c>
      <x:c r="B32" s="6" t="str">
        <x:v>デイ</x:v>
      </x:c>
      <x:c r="C32" s="6" t="n">
        <x:v>134000</x:v>
      </x:c>
      <x:c r="D32" s="6" t="n">
        <x:v>269000</x:v>
      </x:c>
      <x:c r="E32" s="6" t="n">
        <x:f>C32-D32</x:f>
        <x:v>-135000</x:v>
      </x:c>
      <x:c r="F32" s="6" t="n">
        <x:f>F31+E32</x:f>
        <x:v>-4521000</x:v>
      </x:c>
      <x:c r="G32" s="6" t="n">
        <x:v>83000</x:v>
      </x:c>
      <x:c r="H32" s="6" t="n">
        <x:v>218000</x:v>
      </x:c>
      <x:c r="I32" s="6" t="n">
        <x:v>25</x:v>
      </x:c>
      <x:c r="J32" s="6" t="n">
        <x:v>30</x:v>
      </x:c>
      <x:c r="K32" s="6" t="n">
        <x:v>13</x:v>
      </x:c>
      <x:c r="L32" s="6" t="n">
        <x:v>8</x:v>
      </x:c>
      <x:c r="M32" s="11" t="n">
        <x:v>0.36642857142857144</x:v>
      </x:c>
      <x:c r="N32" s="6" t="n">
        <x:v>172000</x:v>
      </x:c>
    </x:row>
    <x:row r="33" ht="24" customHeight="1">
      <x:c r="A33" s="2" t="str">
        <x:v>2026-10-08_Night</x:v>
      </x:c>
      <x:c r="B33" s="6" t="str">
        <x:v>ナイト</x:v>
      </x:c>
      <x:c r="C33" s="6" t="n">
        <x:v>299000</x:v>
      </x:c>
      <x:c r="D33" s="6" t="n">
        <x:v>531000</x:v>
      </x:c>
      <x:c r="E33" s="6" t="n">
        <x:f>C33-D33</x:f>
        <x:v>-232000</x:v>
      </x:c>
      <x:c r="F33" s="6" t="n">
        <x:f>F32+E33</x:f>
        <x:v>-4753000</x:v>
      </x:c>
      <x:c r="G33" s="6" t="n">
        <x:v>228000</x:v>
      </x:c>
      <x:c r="H33" s="6" t="n">
        <x:v>460000</x:v>
      </x:c>
      <x:c r="I33" s="6" t="n">
        <x:v>45</x:v>
      </x:c>
      <x:c r="J33" s="6" t="n">
        <x:v>46</x:v>
      </x:c>
      <x:c r="K33" s="6" t="n">
        <x:v>19</x:v>
      </x:c>
      <x:c r="L33" s="6" t="n">
        <x:v>10</x:v>
      </x:c>
      <x:c r="M33" s="11" t="n">
        <x:v>0.504508547008547</x:v>
      </x:c>
      <x:c r="N33" s="6" t="n">
        <x:v>286000</x:v>
      </x:c>
    </x:row>
    <x:row r="34" ht="24" customHeight="1">
      <x:c r="A34" s="2" t="str">
        <x:v>2026-10-09_Day</x:v>
      </x:c>
      <x:c r="B34" s="6" t="str">
        <x:v>デイ</x:v>
      </x:c>
      <x:c r="C34" s="6" t="n">
        <x:v>217000</x:v>
      </x:c>
      <x:c r="D34" s="6" t="n">
        <x:v>210000</x:v>
      </x:c>
      <x:c r="E34" s="6" t="n">
        <x:f>C34-D34</x:f>
        <x:v>7000</x:v>
      </x:c>
      <x:c r="F34" s="6" t="n">
        <x:f>F33+E34</x:f>
        <x:v>-4746000</x:v>
      </x:c>
      <x:c r="G34" s="6" t="n">
        <x:v>168000</x:v>
      </x:c>
      <x:c r="H34" s="6" t="n">
        <x:v>161000</x:v>
      </x:c>
      <x:c r="I34" s="6" t="n">
        <x:v>18</x:v>
      </x:c>
      <x:c r="J34" s="6" t="n">
        <x:v>33</x:v>
      </x:c>
      <x:c r="K34" s="6" t="n">
        <x:v>11</x:v>
      </x:c>
      <x:c r="L34" s="6" t="n">
        <x:v>10</x:v>
      </x:c>
      <x:c r="M34" s="11" t="n">
        <x:v>0.49067460317460315</x:v>
      </x:c>
      <x:c r="N34" s="6" t="n">
        <x:v>140000</x:v>
      </x:c>
    </x:row>
    <x:row r="35" ht="24" customHeight="1">
      <x:c r="A35" s="2" t="str">
        <x:v>2026-10-09_Night</x:v>
      </x:c>
      <x:c r="B35" s="6" t="str">
        <x:v>ナイト</x:v>
      </x:c>
      <x:c r="C35" s="6" t="n">
        <x:v>110000</x:v>
      </x:c>
      <x:c r="D35" s="6" t="n">
        <x:v>326000</x:v>
      </x:c>
      <x:c r="E35" s="6" t="n">
        <x:f>C35-D35</x:f>
        <x:v>-216000</x:v>
      </x:c>
      <x:c r="F35" s="6" t="n">
        <x:f>F34+E35</x:f>
        <x:v>-4962000</x:v>
      </x:c>
      <x:c r="G35" s="6" t="n">
        <x:v>62000</x:v>
      </x:c>
      <x:c r="H35" s="6" t="n">
        <x:v>278000</x:v>
      </x:c>
      <x:c r="I35" s="6" t="n">
        <x:v>30</x:v>
      </x:c>
      <x:c r="J35" s="6" t="n">
        <x:v>27</x:v>
      </x:c>
      <x:c r="K35" s="6" t="n">
        <x:v>18</x:v>
      </x:c>
      <x:c r="L35" s="6" t="n">
        <x:v>9</x:v>
      </x:c>
      <x:c r="M35" s="11" t="n">
        <x:v>0.633482905982906</x:v>
      </x:c>
      <x:c r="N35" s="6" t="n">
        <x:v>241000</x:v>
      </x:c>
    </x:row>
    <x:row r="36" ht="24" customHeight="1">
      <x:c r="A36" s="2" t="str">
        <x:v>2026-10-12_Day</x:v>
      </x:c>
      <x:c r="B36" s="6" t="str">
        <x:v>デイ</x:v>
      </x:c>
      <x:c r="C36" s="6" t="n">
        <x:v>67000</x:v>
      </x:c>
      <x:c r="D36" s="6" t="n">
        <x:v>319000</x:v>
      </x:c>
      <x:c r="E36" s="6" t="n">
        <x:f>C36-D36</x:f>
        <x:v>-252000</x:v>
      </x:c>
      <x:c r="F36" s="6" t="n">
        <x:f>F35+E36</x:f>
        <x:v>-5214000</x:v>
      </x:c>
      <x:c r="G36" s="6" t="n">
        <x:v>42000</x:v>
      </x:c>
      <x:c r="H36" s="6" t="n">
        <x:v>294000</x:v>
      </x:c>
      <x:c r="I36" s="6" t="n">
        <x:v>19</x:v>
      </x:c>
      <x:c r="J36" s="6" t="n">
        <x:v>15</x:v>
      </x:c>
      <x:c r="K36" s="6" t="n">
        <x:v>14</x:v>
      </x:c>
      <x:c r="L36" s="6" t="n">
        <x:v>7</x:v>
      </x:c>
      <x:c r="M36" s="11" t="n">
        <x:v>0.611984126984127</x:v>
      </x:c>
      <x:c r="N36" s="6" t="n">
        <x:v>282000</x:v>
      </x:c>
    </x:row>
    <x:row r="37" ht="24" customHeight="1">
      <x:c r="A37" s="2" t="str">
        <x:v>2026-10-12_Night</x:v>
      </x:c>
      <x:c r="B37" s="6" t="str">
        <x:v>ナイト</x:v>
      </x:c>
      <x:c r="C37" s="6" t="n">
        <x:v>64000</x:v>
      </x:c>
      <x:c r="D37" s="6" t="n">
        <x:v>256000</x:v>
      </x:c>
      <x:c r="E37" s="6" t="n">
        <x:f>C37-D37</x:f>
        <x:v>-192000</x:v>
      </x:c>
      <x:c r="F37" s="6" t="n">
        <x:f>F36+E37</x:f>
        <x:v>-5406000</x:v>
      </x:c>
      <x:c r="G37" s="6" t="n">
        <x:v>53000</x:v>
      </x:c>
      <x:c r="H37" s="6" t="n">
        <x:v>245000</x:v>
      </x:c>
      <x:c r="I37" s="6" t="n">
        <x:v>21</x:v>
      </x:c>
      <x:c r="J37" s="6" t="n">
        <x:v>17</x:v>
      </x:c>
      <x:c r="K37" s="6" t="n">
        <x:v>12</x:v>
      </x:c>
      <x:c r="L37" s="6" t="n">
        <x:v>8</x:v>
      </x:c>
      <x:c r="M37" s="11" t="n">
        <x:v>0.5148717948717949</x:v>
      </x:c>
      <x:c r="N37" s="6" t="n">
        <x:v>220000</x:v>
      </x:c>
    </x:row>
    <x:row r="38" ht="24" customHeight="1">
      <x:c r="A38" s="2" t="str">
        <x:v>2026-10-13_Day</x:v>
      </x:c>
      <x:c r="B38" s="6" t="str">
        <x:v>デイ</x:v>
      </x:c>
      <x:c r="C38" s="6" t="n">
        <x:v>182000</x:v>
      </x:c>
      <x:c r="D38" s="6" t="n">
        <x:v>322000</x:v>
      </x:c>
      <x:c r="E38" s="6" t="n">
        <x:f>C38-D38</x:f>
        <x:v>-140000</x:v>
      </x:c>
      <x:c r="F38" s="6" t="n">
        <x:f>F37+E38</x:f>
        <x:v>-5546000</x:v>
      </x:c>
      <x:c r="G38" s="6" t="n">
        <x:v>138000</x:v>
      </x:c>
      <x:c r="H38" s="6" t="n">
        <x:v>278000</x:v>
      </x:c>
      <x:c r="I38" s="6" t="n">
        <x:v>36</x:v>
      </x:c>
      <x:c r="J38" s="6" t="n">
        <x:v>28</x:v>
      </x:c>
      <x:c r="K38" s="6" t="n">
        <x:v>7</x:v>
      </x:c>
      <x:c r="L38" s="6" t="n">
        <x:v>10</x:v>
      </x:c>
      <x:c r="M38" s="11" t="n">
        <x:v>0.45305555555555554</x:v>
      </x:c>
      <x:c r="N38" s="6" t="n">
        <x:v>220000</x:v>
      </x:c>
    </x:row>
    <x:row r="39" ht="24" customHeight="1">
      <x:c r="A39" s="2" t="str">
        <x:v>2026-10-13_Night</x:v>
      </x:c>
      <x:c r="B39" s="6" t="str">
        <x:v>ナイト</x:v>
      </x:c>
      <x:c r="C39" s="6" t="n">
        <x:v>201000</x:v>
      </x:c>
      <x:c r="D39" s="6" t="n">
        <x:v>275000</x:v>
      </x:c>
      <x:c r="E39" s="6" t="n">
        <x:f>C39-D39</x:f>
        <x:v>-74000</x:v>
      </x:c>
      <x:c r="F39" s="6" t="n">
        <x:f>F38+E39</x:f>
        <x:v>-5620000</x:v>
      </x:c>
      <x:c r="G39" s="6" t="n">
        <x:v>162000</x:v>
      </x:c>
      <x:c r="H39" s="6" t="n">
        <x:v>236000</x:v>
      </x:c>
      <x:c r="I39" s="6" t="n">
        <x:v>28</x:v>
      </x:c>
      <x:c r="J39" s="6" t="n">
        <x:v>27</x:v>
      </x:c>
      <x:c r="K39" s="6" t="n">
        <x:v>10</x:v>
      </x:c>
      <x:c r="L39" s="6" t="n">
        <x:v>10</x:v>
      </x:c>
      <x:c r="M39" s="11" t="n">
        <x:v>0.5906410256410256</x:v>
      </x:c>
      <x:c r="N39" s="6" t="n">
        <x:v>138000</x:v>
      </x:c>
    </x:row>
    <x:row r="40" ht="24" customHeight="1">
      <x:c r="A40" s="2" t="str">
        <x:v>2026-10-14_Day</x:v>
      </x:c>
      <x:c r="B40" s="6" t="str">
        <x:v>デイ</x:v>
      </x:c>
      <x:c r="C40" s="6" t="n">
        <x:v>256000</x:v>
      </x:c>
      <x:c r="D40" s="6" t="n">
        <x:v>381000</x:v>
      </x:c>
      <x:c r="E40" s="6" t="n">
        <x:f>C40-D40</x:f>
        <x:v>-125000</x:v>
      </x:c>
      <x:c r="F40" s="6" t="n">
        <x:f>F39+E40</x:f>
        <x:v>-5745000</x:v>
      </x:c>
      <x:c r="G40" s="6" t="n">
        <x:v>217000</x:v>
      </x:c>
      <x:c r="H40" s="6" t="n">
        <x:v>342000</x:v>
      </x:c>
      <x:c r="I40" s="6" t="n">
        <x:v>32</x:v>
      </x:c>
      <x:c r="J40" s="6" t="n">
        <x:v>35</x:v>
      </x:c>
      <x:c r="K40" s="6" t="n">
        <x:v>11</x:v>
      </x:c>
      <x:c r="L40" s="6" t="n">
        <x:v>10</x:v>
      </x:c>
      <x:c r="M40" s="11" t="n">
        <x:v>0.5378174603174604</x:v>
      </x:c>
      <x:c r="N40" s="6" t="n">
        <x:v>340000</x:v>
      </x:c>
    </x:row>
    <x:row r="41" ht="24" customHeight="1">
      <x:c r="A41" s="2" t="str">
        <x:v>2026-10-14_Night</x:v>
      </x:c>
      <x:c r="B41" s="6" t="str">
        <x:v>ナイト</x:v>
      </x:c>
      <x:c r="C41" s="6" t="n">
        <x:v>232000</x:v>
      </x:c>
      <x:c r="D41" s="6" t="n">
        <x:v>375000</x:v>
      </x:c>
      <x:c r="E41" s="6" t="n">
        <x:f>C41-D41</x:f>
        <x:v>-143000</x:v>
      </x:c>
      <x:c r="F41" s="6" t="n">
        <x:f>F40+E41</x:f>
        <x:v>-5888000</x:v>
      </x:c>
      <x:c r="G41" s="6" t="n">
        <x:v>154000</x:v>
      </x:c>
      <x:c r="H41" s="6" t="n">
        <x:v>297000</x:v>
      </x:c>
      <x:c r="I41" s="6" t="n">
        <x:v>42</x:v>
      </x:c>
      <x:c r="J41" s="6" t="n">
        <x:v>47</x:v>
      </x:c>
      <x:c r="K41" s="6" t="n">
        <x:v>14</x:v>
      </x:c>
      <x:c r="L41" s="6" t="n">
        <x:v>9</x:v>
      </x:c>
      <x:c r="M41" s="11" t="n">
        <x:v>0.4082264957264957</x:v>
      </x:c>
      <x:c r="N41" s="6" t="n">
        <x:v>200000</x:v>
      </x:c>
    </x:row>
    <x:row r="42" ht="24" customHeight="1">
      <x:c r="A42" s="2" t="str">
        <x:v>2026-10-15_Day</x:v>
      </x:c>
      <x:c r="B42" s="6" t="str">
        <x:v>デイ</x:v>
      </x:c>
      <x:c r="C42" s="6" t="n">
        <x:v>133000</x:v>
      </x:c>
      <x:c r="D42" s="6" t="n">
        <x:v>229000</x:v>
      </x:c>
      <x:c r="E42" s="6" t="n">
        <x:f>C42-D42</x:f>
        <x:v>-96000</x:v>
      </x:c>
      <x:c r="F42" s="6" t="n">
        <x:f>F41+E42</x:f>
        <x:v>-5984000</x:v>
      </x:c>
      <x:c r="G42" s="6" t="n">
        <x:v>113000</x:v>
      </x:c>
      <x:c r="H42" s="6" t="n">
        <x:v>209000</x:v>
      </x:c>
      <x:c r="I42" s="6" t="n">
        <x:v>28</x:v>
      </x:c>
      <x:c r="J42" s="6" t="n">
        <x:v>27</x:v>
      </x:c>
      <x:c r="K42" s="6" t="n">
        <x:v>2</x:v>
      </x:c>
      <x:c r="L42" s="6" t="n">
        <x:v>9</x:v>
      </x:c>
      <x:c r="M42" s="11" t="n">
        <x:v>0.12765873015873017</x:v>
      </x:c>
      <x:c r="N42" s="6" t="n">
        <x:v>160000</x:v>
      </x:c>
    </x:row>
    <x:row r="43" ht="24" customHeight="1">
      <x:c r="A43" s="2" t="str">
        <x:v>2026-10-15_Night</x:v>
      </x:c>
      <x:c r="B43" s="6" t="str">
        <x:v>ナイト</x:v>
      </x:c>
      <x:c r="C43" s="6" t="n">
        <x:v>212000</x:v>
      </x:c>
      <x:c r="D43" s="6" t="n">
        <x:v>563000</x:v>
      </x:c>
      <x:c r="E43" s="6" t="n">
        <x:f>C43-D43</x:f>
        <x:v>-351000</x:v>
      </x:c>
      <x:c r="F43" s="6" t="n">
        <x:f>F42+E43</x:f>
        <x:v>-6335000</x:v>
      </x:c>
      <x:c r="G43" s="6" t="n">
        <x:v>168000</x:v>
      </x:c>
      <x:c r="H43" s="6" t="n">
        <x:v>519000</x:v>
      </x:c>
      <x:c r="I43" s="6" t="n">
        <x:v>55</x:v>
      </x:c>
      <x:c r="J43" s="6" t="n">
        <x:v>42</x:v>
      </x:c>
      <x:c r="K43" s="6" t="n">
        <x:v>14</x:v>
      </x:c>
      <x:c r="L43" s="6" t="n">
        <x:v>10</x:v>
      </x:c>
      <x:c r="M43" s="11" t="n">
        <x:v>0.34566239316239317</x:v>
      </x:c>
      <x:c r="N43" s="6" t="n">
        <x:v>374000</x:v>
      </x:c>
    </x:row>
    <x:row r="44" ht="24" customHeight="1">
      <x:c r="A44" s="2" t="str">
        <x:v>2026-10-16_Day</x:v>
      </x:c>
      <x:c r="B44" s="6" t="str">
        <x:v>デイ</x:v>
      </x:c>
      <x:c r="C44" s="6" t="n">
        <x:v>94000</x:v>
      </x:c>
      <x:c r="D44" s="6" t="n">
        <x:v>272000</x:v>
      </x:c>
      <x:c r="E44" s="6" t="n">
        <x:f>C44-D44</x:f>
        <x:v>-178000</x:v>
      </x:c>
      <x:c r="F44" s="6" t="n">
        <x:f>F43+E44</x:f>
        <x:v>-6513000</x:v>
      </x:c>
      <x:c r="G44" s="6" t="n">
        <x:v>75000</x:v>
      </x:c>
      <x:c r="H44" s="6" t="n">
        <x:v>253000</x:v>
      </x:c>
      <x:c r="I44" s="6" t="n">
        <x:v>31</x:v>
      </x:c>
      <x:c r="J44" s="6" t="n">
        <x:v>21</x:v>
      </x:c>
      <x:c r="K44" s="6" t="n">
        <x:v>5</x:v>
      </x:c>
      <x:c r="L44" s="6" t="n">
        <x:v>7</x:v>
      </x:c>
      <x:c r="M44" s="11" t="n">
        <x:v>0.29888888888888887</x:v>
      </x:c>
      <x:c r="N44" s="6" t="n">
        <x:v>203000</x:v>
      </x:c>
    </x:row>
    <x:row r="45" ht="24" customHeight="1">
      <x:c r="A45" s="2" t="str">
        <x:v>2026-10-16_Night</x:v>
      </x:c>
      <x:c r="B45" s="6" t="str">
        <x:v>ナイト</x:v>
      </x:c>
      <x:c r="C45" s="6" t="n">
        <x:v>162000</x:v>
      </x:c>
      <x:c r="D45" s="6" t="n">
        <x:v>632000</x:v>
      </x:c>
      <x:c r="E45" s="6" t="n">
        <x:f>C45-D45</x:f>
        <x:v>-470000</x:v>
      </x:c>
      <x:c r="F45" s="6" t="n">
        <x:f>F44+E45</x:f>
        <x:v>-6983000</x:v>
      </x:c>
      <x:c r="G45" s="6" t="n">
        <x:v>89000</x:v>
      </x:c>
      <x:c r="H45" s="6" t="n">
        <x:v>559000</x:v>
      </x:c>
      <x:c r="I45" s="6" t="n">
        <x:v>62</x:v>
      </x:c>
      <x:c r="J45" s="6" t="n">
        <x:v>49</x:v>
      </x:c>
      <x:c r="K45" s="6" t="n">
        <x:v>23</x:v>
      </x:c>
      <x:c r="L45" s="6" t="n">
        <x:v>10</x:v>
      </x:c>
      <x:c r="M45" s="11" t="n">
        <x:v>0.36662393162393164</x:v>
      </x:c>
      <x:c r="N45" s="6" t="n">
        <x:v>485000</x:v>
      </x:c>
    </x:row>
    <x:row r="46" ht="24" customHeight="1">
      <x:c r="A46" s="2" t="str">
        <x:v>2026-10-19_Day</x:v>
      </x:c>
      <x:c r="B46" s="6" t="str">
        <x:v>デイ</x:v>
      </x:c>
      <x:c r="C46" s="6" t="n">
        <x:v>98000</x:v>
      </x:c>
      <x:c r="D46" s="6" t="n">
        <x:v>409000</x:v>
      </x:c>
      <x:c r="E46" s="6" t="n">
        <x:f>C46-D46</x:f>
        <x:v>-311000</x:v>
      </x:c>
      <x:c r="F46" s="6" t="n">
        <x:f>F45+E46</x:f>
        <x:v>-7294000</x:v>
      </x:c>
      <x:c r="G46" s="6" t="n">
        <x:v>57000</x:v>
      </x:c>
      <x:c r="H46" s="6" t="n">
        <x:v>368000</x:v>
      </x:c>
      <x:c r="I46" s="6" t="n">
        <x:v>37</x:v>
      </x:c>
      <x:c r="J46" s="6" t="n">
        <x:v>25</x:v>
      </x:c>
      <x:c r="K46" s="6" t="n">
        <x:v>5</x:v>
      </x:c>
      <x:c r="L46" s="6" t="n">
        <x:v>10</x:v>
      </x:c>
      <x:c r="M46" s="11" t="n">
        <x:v>0.3437301587301587</x:v>
      </x:c>
      <x:c r="N46" s="6" t="n">
        <x:v>338000</x:v>
      </x:c>
    </x:row>
    <x:row r="47" ht="24" customHeight="1">
      <x:c r="A47" s="2" t="str">
        <x:v>2026-10-19_Night</x:v>
      </x:c>
      <x:c r="B47" s="6" t="str">
        <x:v>ナイト</x:v>
      </x:c>
      <x:c r="C47" s="6" t="n">
        <x:v>116000</x:v>
      </x:c>
      <x:c r="D47" s="6" t="n">
        <x:v>334000</x:v>
      </x:c>
      <x:c r="E47" s="6" t="n">
        <x:f>C47-D47</x:f>
        <x:v>-218000</x:v>
      </x:c>
      <x:c r="F47" s="6" t="n">
        <x:f>F46+E47</x:f>
        <x:v>-7512000</x:v>
      </x:c>
      <x:c r="G47" s="6" t="n">
        <x:v>84000</x:v>
      </x:c>
      <x:c r="H47" s="6" t="n">
        <x:v>302000</x:v>
      </x:c>
      <x:c r="I47" s="6" t="n">
        <x:v>45</x:v>
      </x:c>
      <x:c r="J47" s="6" t="n">
        <x:v>31</x:v>
      </x:c>
      <x:c r="K47" s="6" t="n">
        <x:v>16</x:v>
      </x:c>
      <x:c r="L47" s="6" t="n">
        <x:v>8</x:v>
      </x:c>
      <x:c r="M47" s="11" t="n">
        <x:v>0.40275641025641024</x:v>
      </x:c>
      <x:c r="N47" s="6" t="n">
        <x:v>223000</x:v>
      </x:c>
    </x:row>
    <x:row r="48" ht="24" customHeight="1">
      <x:c r="A48" s="2" t="str">
        <x:v>2026-10-20_Day</x:v>
      </x:c>
      <x:c r="B48" s="6" t="str">
        <x:v>デイ</x:v>
      </x:c>
      <x:c r="C48" s="6" t="n">
        <x:v>113000</x:v>
      </x:c>
      <x:c r="D48" s="6" t="n">
        <x:v>250000</x:v>
      </x:c>
      <x:c r="E48" s="6" t="n">
        <x:f>C48-D48</x:f>
        <x:v>-137000</x:v>
      </x:c>
      <x:c r="F48" s="6" t="n">
        <x:f>F47+E48</x:f>
        <x:v>-7649000</x:v>
      </x:c>
      <x:c r="G48" s="6" t="n">
        <x:v>84000</x:v>
      </x:c>
      <x:c r="H48" s="6" t="n">
        <x:v>221000</x:v>
      </x:c>
      <x:c r="I48" s="6" t="n">
        <x:v>34</x:v>
      </x:c>
      <x:c r="J48" s="6" t="n">
        <x:v>22</x:v>
      </x:c>
      <x:c r="K48" s="6" t="n">
        <x:v>4</x:v>
      </x:c>
      <x:c r="L48" s="6" t="n">
        <x:v>10</x:v>
      </x:c>
      <x:c r="M48" s="11" t="n">
        <x:v>0.20742063492063492</x:v>
      </x:c>
      <x:c r="N48" s="6" t="n">
        <x:v>159000</x:v>
      </x:c>
    </x:row>
    <x:row r="49" ht="24" customHeight="1">
      <x:c r="A49" s="2" t="str">
        <x:v>2026-10-20_Night</x:v>
      </x:c>
      <x:c r="B49" s="6" t="str">
        <x:v>ナイト</x:v>
      </x:c>
      <x:c r="C49" s="6" t="n">
        <x:v>182000</x:v>
      </x:c>
      <x:c r="D49" s="6" t="n">
        <x:v>348000</x:v>
      </x:c>
      <x:c r="E49" s="6" t="n">
        <x:f>C49-D49</x:f>
        <x:v>-166000</x:v>
      </x:c>
      <x:c r="F49" s="6" t="n">
        <x:f>F48+E49</x:f>
        <x:v>-7815000</x:v>
      </x:c>
      <x:c r="G49" s="6" t="n">
        <x:v>151000</x:v>
      </x:c>
      <x:c r="H49" s="6" t="n">
        <x:v>317000</x:v>
      </x:c>
      <x:c r="I49" s="6" t="n">
        <x:v>44</x:v>
      </x:c>
      <x:c r="J49" s="6" t="n">
        <x:v>37</x:v>
      </x:c>
      <x:c r="K49" s="6" t="n">
        <x:v>13</x:v>
      </x:c>
      <x:c r="L49" s="6" t="n">
        <x:v>10</x:v>
      </x:c>
      <x:c r="M49" s="11" t="n">
        <x:v>0.27100427350427353</x:v>
      </x:c>
      <x:c r="N49" s="6" t="n">
        <x:v>229000</x:v>
      </x:c>
    </x:row>
    <x:row r="50" ht="24" customHeight="1">
      <x:c r="A50" s="2" t="str">
        <x:v>2026-10-21_Day</x:v>
      </x:c>
      <x:c r="B50" s="6" t="str">
        <x:v>デイ</x:v>
      </x:c>
      <x:c r="C50" s="6" t="n">
        <x:v>72000</x:v>
      </x:c>
      <x:c r="D50" s="6" t="n">
        <x:v>292000</x:v>
      </x:c>
      <x:c r="E50" s="6" t="n">
        <x:f>C50-D50</x:f>
        <x:v>-220000</x:v>
      </x:c>
      <x:c r="F50" s="6" t="n">
        <x:f>F49+E50</x:f>
        <x:v>-8035000</x:v>
      </x:c>
      <x:c r="G50" s="6" t="n">
        <x:v>42000</x:v>
      </x:c>
      <x:c r="H50" s="6" t="n">
        <x:v>262000</x:v>
      </x:c>
      <x:c r="I50" s="6" t="n">
        <x:v>36</x:v>
      </x:c>
      <x:c r="J50" s="6" t="n">
        <x:v>29</x:v>
      </x:c>
      <x:c r="K50" s="6" t="n">
        <x:v>9</x:v>
      </x:c>
      <x:c r="L50" s="6" t="n">
        <x:v>9</x:v>
      </x:c>
      <x:c r="M50" s="11" t="n">
        <x:v>0.33031746031746034</x:v>
      </x:c>
      <x:c r="N50" s="6" t="n">
        <x:v>243000</x:v>
      </x:c>
    </x:row>
    <x:row r="51" ht="24" customHeight="1">
      <x:c r="A51" s="2" t="str">
        <x:v>2026-10-21_Night</x:v>
      </x:c>
      <x:c r="B51" s="6" t="str">
        <x:v>ナイト</x:v>
      </x:c>
      <x:c r="C51" s="6" t="n">
        <x:v>165000</x:v>
      </x:c>
      <x:c r="D51" s="6" t="n">
        <x:v>386000</x:v>
      </x:c>
      <x:c r="E51" s="6" t="n">
        <x:f>C51-D51</x:f>
        <x:v>-221000</x:v>
      </x:c>
      <x:c r="F51" s="6" t="n">
        <x:f>F50+E51</x:f>
        <x:v>-8256000</x:v>
      </x:c>
      <x:c r="G51" s="6" t="n">
        <x:v>123000</x:v>
      </x:c>
      <x:c r="H51" s="6" t="n">
        <x:v>344000</x:v>
      </x:c>
      <x:c r="I51" s="6" t="n">
        <x:v>47</x:v>
      </x:c>
      <x:c r="J51" s="6" t="n">
        <x:v>28</x:v>
      </x:c>
      <x:c r="K51" s="6" t="n">
        <x:v>11</x:v>
      </x:c>
      <x:c r="L51" s="6" t="n">
        <x:v>9</x:v>
      </x:c>
      <x:c r="M51" s="11" t="n">
        <x:v>0.42414529914529914</x:v>
      </x:c>
      <x:c r="N51" s="6" t="n">
        <x:v>285000</x:v>
      </x:c>
    </x:row>
    <x:row r="52" ht="24" customHeight="1">
      <x:c r="A52" s="2" t="str">
        <x:v>2026-10-22_Day</x:v>
      </x:c>
      <x:c r="B52" s="6" t="str">
        <x:v>デイ</x:v>
      </x:c>
      <x:c r="C52" s="6" t="n">
        <x:v>177000</x:v>
      </x:c>
      <x:c r="D52" s="6" t="n">
        <x:v>360000</x:v>
      </x:c>
      <x:c r="E52" s="6" t="n">
        <x:f>C52-D52</x:f>
        <x:v>-183000</x:v>
      </x:c>
      <x:c r="F52" s="6" t="n">
        <x:f>F51+E52</x:f>
        <x:v>-8439000</x:v>
      </x:c>
      <x:c r="G52" s="6" t="n">
        <x:v>137000</x:v>
      </x:c>
      <x:c r="H52" s="6" t="n">
        <x:v>320000</x:v>
      </x:c>
      <x:c r="I52" s="6" t="n">
        <x:v>40</x:v>
      </x:c>
      <x:c r="J52" s="6" t="n">
        <x:v>38</x:v>
      </x:c>
      <x:c r="K52" s="6" t="n">
        <x:v>11</x:v>
      </x:c>
      <x:c r="L52" s="6" t="n">
        <x:v>9</x:v>
      </x:c>
      <x:c r="M52" s="11" t="n">
        <x:v>0.3121031746031746</x:v>
      </x:c>
      <x:c r="N52" s="6" t="n">
        <x:v>245000</x:v>
      </x:c>
    </x:row>
    <x:row r="53" ht="24" customHeight="1">
      <x:c r="A53" s="2" t="str">
        <x:v>2026-10-22_Night</x:v>
      </x:c>
      <x:c r="B53" s="6" t="str">
        <x:v>ナイト</x:v>
      </x:c>
      <x:c r="C53" s="6" t="n">
        <x:v>238000</x:v>
      </x:c>
      <x:c r="D53" s="6" t="n">
        <x:v>347000</x:v>
      </x:c>
      <x:c r="E53" s="6" t="n">
        <x:f>C53-D53</x:f>
        <x:v>-109000</x:v>
      </x:c>
      <x:c r="F53" s="6" t="n">
        <x:f>F52+E53</x:f>
        <x:v>-8548000</x:v>
      </x:c>
      <x:c r="G53" s="6" t="n">
        <x:v>181000</x:v>
      </x:c>
      <x:c r="H53" s="6" t="n">
        <x:v>290000</x:v>
      </x:c>
      <x:c r="I53" s="6" t="n">
        <x:v>53</x:v>
      </x:c>
      <x:c r="J53" s="6" t="n">
        <x:v>46</x:v>
      </x:c>
      <x:c r="K53" s="6" t="n">
        <x:v>17</x:v>
      </x:c>
      <x:c r="L53" s="6" t="n">
        <x:v>10</x:v>
      </x:c>
      <x:c r="M53" s="11" t="n">
        <x:v>0.3766025641025641</x:v>
      </x:c>
      <x:c r="N53" s="6" t="n">
        <x:v>209000</x:v>
      </x:c>
    </x:row>
    <x:row r="54" ht="24" customHeight="1">
      <x:c r="A54" s="2" t="str">
        <x:v>2026-10-23_Day</x:v>
      </x:c>
      <x:c r="B54" s="6" t="str">
        <x:v>デイ</x:v>
      </x:c>
      <x:c r="C54" s="6" t="n">
        <x:v>166000</x:v>
      </x:c>
      <x:c r="D54" s="6" t="n">
        <x:v>449000</x:v>
      </x:c>
      <x:c r="E54" s="6" t="n">
        <x:f>C54-D54</x:f>
        <x:v>-283000</x:v>
      </x:c>
      <x:c r="F54" s="6" t="n">
        <x:f>F53+E54</x:f>
        <x:v>-8831000</x:v>
      </x:c>
      <x:c r="G54" s="6" t="n">
        <x:v>119000</x:v>
      </x:c>
      <x:c r="H54" s="6" t="n">
        <x:v>402000</x:v>
      </x:c>
      <x:c r="I54" s="6" t="n">
        <x:v>42</x:v>
      </x:c>
      <x:c r="J54" s="6" t="n">
        <x:v>38</x:v>
      </x:c>
      <x:c r="K54" s="6" t="n">
        <x:v>3</x:v>
      </x:c>
      <x:c r="L54" s="6" t="n">
        <x:v>10</x:v>
      </x:c>
      <x:c r="M54" s="11" t="n">
        <x:v>0.18452380952380953</x:v>
      </x:c>
      <x:c r="N54" s="6" t="n">
        <x:v>299000</x:v>
      </x:c>
    </x:row>
    <x:row r="55" ht="24" customHeight="1">
      <x:c r="A55" s="2" t="str">
        <x:v>2026-10-23_Night</x:v>
      </x:c>
      <x:c r="B55" s="6" t="str">
        <x:v>ナイト</x:v>
      </x:c>
      <x:c r="C55" s="6" t="n">
        <x:v>206000</x:v>
      </x:c>
      <x:c r="D55" s="6" t="n">
        <x:v>253000</x:v>
      </x:c>
      <x:c r="E55" s="6" t="n">
        <x:f>C55-D55</x:f>
        <x:v>-47000</x:v>
      </x:c>
      <x:c r="F55" s="6" t="n">
        <x:f>F54+E55</x:f>
        <x:v>-8878000</x:v>
      </x:c>
      <x:c r="G55" s="6" t="n">
        <x:v>169000</x:v>
      </x:c>
      <x:c r="H55" s="6" t="n">
        <x:v>216000</x:v>
      </x:c>
      <x:c r="I55" s="6" t="n">
        <x:v>44</x:v>
      </x:c>
      <x:c r="J55" s="6" t="n">
        <x:v>38</x:v>
      </x:c>
      <x:c r="K55" s="6" t="n">
        <x:v>14</x:v>
      </x:c>
      <x:c r="L55" s="6" t="n">
        <x:v>9</x:v>
      </x:c>
      <x:c r="M55" s="11" t="n">
        <x:v>0.5132051282051282</x:v>
      </x:c>
      <x:c r="N55" s="6" t="n">
        <x:v>118000</x:v>
      </x:c>
    </x:row>
    <x:row r="56" ht="24" customHeight="1">
      <x:c r="A56" s="2" t="str">
        <x:v>2026-10-26_Day</x:v>
      </x:c>
      <x:c r="B56" s="6" t="str">
        <x:v>デイ</x:v>
      </x:c>
      <x:c r="C56" s="6" t="n">
        <x:v>94000</x:v>
      </x:c>
      <x:c r="D56" s="6" t="n">
        <x:v>275000</x:v>
      </x:c>
      <x:c r="E56" s="6" t="n">
        <x:f>C56-D56</x:f>
        <x:v>-181000</x:v>
      </x:c>
      <x:c r="F56" s="6" t="n">
        <x:f>F55+E56</x:f>
        <x:v>-9059000</x:v>
      </x:c>
      <x:c r="G56" s="6" t="n">
        <x:v>56000</x:v>
      </x:c>
      <x:c r="H56" s="6" t="n">
        <x:v>237000</x:v>
      </x:c>
      <x:c r="I56" s="6" t="n">
        <x:v>31</x:v>
      </x:c>
      <x:c r="J56" s="6" t="n">
        <x:v>25</x:v>
      </x:c>
      <x:c r="K56" s="6" t="n">
        <x:v>10</x:v>
      </x:c>
      <x:c r="L56" s="6" t="n">
        <x:v>9</x:v>
      </x:c>
      <x:c r="M56" s="11" t="n">
        <x:v>0.3252777777777778</x:v>
      </x:c>
      <x:c r="N56" s="6" t="n">
        <x:v>207000</x:v>
      </x:c>
    </x:row>
    <x:row r="57" ht="24" customHeight="1">
      <x:c r="A57" s="15" t="str">
        <x:v>累計／平均／最大</x:v>
      </x:c>
      <x:c r="B57" s="16"/>
      <x:c r="C57" s="16" t="n">
        <x:f>SUM(C6:C56)</x:f>
        <x:v>7613000</x:v>
      </x:c>
      <x:c r="D57" s="16" t="n">
        <x:f>SUM(D6:D56)</x:f>
        <x:v>16672000</x:v>
      </x:c>
      <x:c r="E57" s="16" t="n">
        <x:f>C57-D57</x:f>
        <x:v>-9059000</x:v>
      </x:c>
      <x:c r="F57" s="16" t="n">
        <x:f>F56</x:f>
        <x:v>-9059000</x:v>
      </x:c>
      <x:c r="G57" s="16" t="n">
        <x:f>SUM(G6:G56)</x:f>
        <x:v>5623000</x:v>
      </x:c>
      <x:c r="H57" s="16" t="n">
        <x:f>SUM(H6:H56)</x:f>
        <x:v>14682000</x:v>
      </x:c>
      <x:c r="I57" s="16" t="n">
        <x:f>SUM(I6:I56)</x:f>
        <x:v>1778</x:v>
      </x:c>
      <x:c r="J57" s="16" t="n">
        <x:f>SUM(J6:J56)</x:f>
        <x:v>1561</x:v>
      </x:c>
      <x:c r="K57" s="16" t="n">
        <x:f>SUM(K6:K56)</x:f>
        <x:v>571</x:v>
      </x:c>
      <x:c r="L57" s="16" t="n">
        <x:f>MAX(L6:L56)</x:f>
        <x:v>10</x:v>
      </x:c>
      <x:c r="M57" s="17" t="n">
        <x:f>AVERAGE(M6:M56)</x:f>
        <x:v>0.43358998300174756</x:v>
      </x:c>
      <x:c r="N57" s="16" t="n">
        <x:f>MAX(N6:N56)</x:f>
        <x:v>485000</x:v>
      </x:c>
    </x:row>
  </x:sheetData>
  <x:conditionalFormatting sqref="E6:F56">
    <x:cfRule type="cellIs" dxfId="7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0ae85e1e41f48a8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1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4" customHeight="1">
      <x:c r="A1" s="3" t="str">
        <x:v>日経 M01　各セッションの利益・損失・収支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A2" s="4" t="str">
        <x:v>2026/09/21〜10/26デイ・51完了場。日経mini／TOPIXmini各上限10枚・手数料0。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4" customHeight="1">
      <x:c r="A3" s="4" t="str">
        <x:v>60秒の時間加重平均を30秒前と比較。入口だけ傾き比例枚数、利益追尾で返済。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4" customHeight="1">
      <x:c r="A4" s="4" t="str">
        <x:v>利益・損失＝FIFO返済配賦別。親＝初回から全返済まで。ラージ気配による模型で、mini実約定の検証ではありません。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42" customHeight="1">
      <x:c r="A5" s="10" t="str">
        <x:v>セッション</x:v>
      </x:c>
      <x:c r="B5" s="10" t="str">
        <x:v>区分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親利益（円）</x:v>
      </x:c>
      <x:c r="H5" s="10" t="str">
        <x:v>親損失（円）</x:v>
      </x:c>
      <x:c r="I5" s="10" t="str">
        <x:v>初回件数</x:v>
      </x:c>
      <x:c r="J5" s="10" t="str">
        <x:v>追加件数</x:v>
      </x:c>
      <x:c r="K5" s="10" t="str">
        <x:v>縮小件数</x:v>
      </x:c>
      <x:c r="L5" s="10" t="str">
        <x:v>最大保有枚数</x:v>
      </x:c>
      <x:c r="M5" s="10" t="str">
        <x:v>保有時間率</x:v>
      </x:c>
      <x:c r="N5" s="10" t="str">
        <x:v>時価最大DD（円）</x:v>
      </x:c>
    </x:row>
    <x:row r="6" ht="24" customHeight="1">
      <x:c r="A6" s="2" t="str">
        <x:v>2026-09-21_Day</x:v>
      </x:c>
      <x:c r="B6" s="6" t="str">
        <x:v>デイ</x:v>
      </x:c>
      <x:c r="C6" s="6" t="n">
        <x:v>1032000</x:v>
      </x:c>
      <x:c r="D6" s="6" t="n">
        <x:v>1262000</x:v>
      </x:c>
      <x:c r="E6" s="6" t="n">
        <x:f>C6-D6</x:f>
        <x:v>-230000</x:v>
      </x:c>
      <x:c r="F6" s="6" t="n">
        <x:f>E6</x:f>
        <x:v>-230000</x:v>
      </x:c>
      <x:c r="G6" s="6" t="n">
        <x:v>1032000</x:v>
      </x:c>
      <x:c r="H6" s="6" t="n">
        <x:v>1262000</x:v>
      </x:c>
      <x:c r="I6" s="6" t="n">
        <x:v>46</x:v>
      </x:c>
      <x:c r="J6" s="6" t="n">
        <x:v>0</x:v>
      </x:c>
      <x:c r="K6" s="6" t="n">
        <x:v>0</x:v>
      </x:c>
      <x:c r="L6" s="6" t="n">
        <x:v>10</x:v>
      </x:c>
      <x:c r="M6" s="11" t="n">
        <x:v>0.9023809523809524</x:v>
      </x:c>
      <x:c r="N6" s="6" t="n">
        <x:v>520000</x:v>
      </x:c>
    </x:row>
    <x:row r="7" ht="24" customHeight="1">
      <x:c r="A7" s="2" t="str">
        <x:v>2026-09-21_Night</x:v>
      </x:c>
      <x:c r="B7" s="6" t="str">
        <x:v>ナイト</x:v>
      </x:c>
      <x:c r="C7" s="6" t="n">
        <x:v>811000</x:v>
      </x:c>
      <x:c r="D7" s="6" t="n">
        <x:v>514000</x:v>
      </x:c>
      <x:c r="E7" s="6" t="n">
        <x:f>C7-D7</x:f>
        <x:v>297000</x:v>
      </x:c>
      <x:c r="F7" s="6" t="n">
        <x:f>F6+E7</x:f>
        <x:v>67000</x:v>
      </x:c>
      <x:c r="G7" s="6" t="n">
        <x:v>811000</x:v>
      </x:c>
      <x:c r="H7" s="6" t="n">
        <x:v>514000</x:v>
      </x:c>
      <x:c r="I7" s="6" t="n">
        <x:v>48</x:v>
      </x:c>
      <x:c r="J7" s="6" t="n">
        <x:v>0</x:v>
      </x:c>
      <x:c r="K7" s="6" t="n">
        <x:v>0</x:v>
      </x:c>
      <x:c r="L7" s="6" t="n">
        <x:v>10</x:v>
      </x:c>
      <x:c r="M7" s="11" t="n">
        <x:v>0.8641025641025641</x:v>
      </x:c>
      <x:c r="N7" s="6" t="n">
        <x:v>198000</x:v>
      </x:c>
    </x:row>
    <x:row r="8" ht="24" customHeight="1">
      <x:c r="A8" s="2" t="str">
        <x:v>2026-09-22_Day</x:v>
      </x:c>
      <x:c r="B8" s="6" t="str">
        <x:v>デイ</x:v>
      </x:c>
      <x:c r="C8" s="6" t="n">
        <x:v>917000</x:v>
      </x:c>
      <x:c r="D8" s="6" t="n">
        <x:v>2048000</x:v>
      </x:c>
      <x:c r="E8" s="6" t="n">
        <x:f>C8-D8</x:f>
        <x:v>-1131000</x:v>
      </x:c>
      <x:c r="F8" s="6" t="n">
        <x:f>F7+E8</x:f>
        <x:v>-1064000</x:v>
      </x:c>
      <x:c r="G8" s="6" t="n">
        <x:v>917000</x:v>
      </x:c>
      <x:c r="H8" s="6" t="n">
        <x:v>2048000</x:v>
      </x:c>
      <x:c r="I8" s="6" t="n">
        <x:v>63</x:v>
      </x:c>
      <x:c r="J8" s="6" t="n">
        <x:v>0</x:v>
      </x:c>
      <x:c r="K8" s="6" t="n">
        <x:v>0</x:v>
      </x:c>
      <x:c r="L8" s="6" t="n">
        <x:v>10</x:v>
      </x:c>
      <x:c r="M8" s="11" t="n">
        <x:v>0.905079365079365</x:v>
      </x:c>
      <x:c r="N8" s="6" t="n">
        <x:v>1442000</x:v>
      </x:c>
    </x:row>
    <x:row r="9" ht="24" customHeight="1">
      <x:c r="A9" s="2" t="str">
        <x:v>2026-09-22_Night</x:v>
      </x:c>
      <x:c r="B9" s="6" t="str">
        <x:v>ナイト</x:v>
      </x:c>
      <x:c r="C9" s="6" t="n">
        <x:v>1503000</x:v>
      </x:c>
      <x:c r="D9" s="6" t="n">
        <x:v>2758000</x:v>
      </x:c>
      <x:c r="E9" s="6" t="n">
        <x:f>C9-D9</x:f>
        <x:v>-1255000</x:v>
      </x:c>
      <x:c r="F9" s="6" t="n">
        <x:f>F8+E9</x:f>
        <x:v>-2319000</x:v>
      </x:c>
      <x:c r="G9" s="6" t="n">
        <x:v>1503000</x:v>
      </x:c>
      <x:c r="H9" s="6" t="n">
        <x:v>2758000</x:v>
      </x:c>
      <x:c r="I9" s="6" t="n">
        <x:v>95</x:v>
      </x:c>
      <x:c r="J9" s="6" t="n">
        <x:v>0</x:v>
      </x:c>
      <x:c r="K9" s="6" t="n">
        <x:v>0</x:v>
      </x:c>
      <x:c r="L9" s="6" t="n">
        <x:v>10</x:v>
      </x:c>
      <x:c r="M9" s="11" t="n">
        <x:v>0.8761752136752137</x:v>
      </x:c>
      <x:c r="N9" s="6" t="n">
        <x:v>1654000</x:v>
      </x:c>
    </x:row>
    <x:row r="10" ht="24" customHeight="1">
      <x:c r="A10" s="2" t="str">
        <x:v>2026-09-23_Day</x:v>
      </x:c>
      <x:c r="B10" s="6" t="str">
        <x:v>デイ</x:v>
      </x:c>
      <x:c r="C10" s="6" t="n">
        <x:v>336000</x:v>
      </x:c>
      <x:c r="D10" s="6" t="n">
        <x:v>1402000</x:v>
      </x:c>
      <x:c r="E10" s="6" t="n">
        <x:f>C10-D10</x:f>
        <x:v>-1066000</x:v>
      </x:c>
      <x:c r="F10" s="6" t="n">
        <x:f>F9+E10</x:f>
        <x:v>-3385000</x:v>
      </x:c>
      <x:c r="G10" s="6" t="n">
        <x:v>336000</x:v>
      </x:c>
      <x:c r="H10" s="6" t="n">
        <x:v>1402000</x:v>
      </x:c>
      <x:c r="I10" s="6" t="n">
        <x:v>30</x:v>
      </x:c>
      <x:c r="J10" s="6" t="n">
        <x:v>0</x:v>
      </x:c>
      <x:c r="K10" s="6" t="n">
        <x:v>0</x:v>
      </x:c>
      <x:c r="L10" s="6" t="n">
        <x:v>10</x:v>
      </x:c>
      <x:c r="M10" s="11" t="n">
        <x:v>0.9446825396825397</x:v>
      </x:c>
      <x:c r="N10" s="6" t="n">
        <x:v>1092000</x:v>
      </x:c>
    </x:row>
    <x:row r="11" ht="24" customHeight="1">
      <x:c r="A11" s="2" t="str">
        <x:v>2026-09-23_Night</x:v>
      </x:c>
      <x:c r="B11" s="6" t="str">
        <x:v>ナイト</x:v>
      </x:c>
      <x:c r="C11" s="6" t="n">
        <x:v>964000</x:v>
      </x:c>
      <x:c r="D11" s="6" t="n">
        <x:v>1753000</x:v>
      </x:c>
      <x:c r="E11" s="6" t="n">
        <x:f>C11-D11</x:f>
        <x:v>-789000</x:v>
      </x:c>
      <x:c r="F11" s="6" t="n">
        <x:f>F10+E11</x:f>
        <x:v>-4174000</x:v>
      </x:c>
      <x:c r="G11" s="6" t="n">
        <x:v>964000</x:v>
      </x:c>
      <x:c r="H11" s="6" t="n">
        <x:v>1753000</x:v>
      </x:c>
      <x:c r="I11" s="6" t="n">
        <x:v>51</x:v>
      </x:c>
      <x:c r="J11" s="6" t="n">
        <x:v>0</x:v>
      </x:c>
      <x:c r="K11" s="6" t="n">
        <x:v>0</x:v>
      </x:c>
      <x:c r="L11" s="6" t="n">
        <x:v>10</x:v>
      </x:c>
      <x:c r="M11" s="11" t="n">
        <x:v>0.9551068376068376</x:v>
      </x:c>
      <x:c r="N11" s="6" t="n">
        <x:v>928000</x:v>
      </x:c>
    </x:row>
    <x:row r="12" ht="24" customHeight="1">
      <x:c r="A12" s="2" t="str">
        <x:v>2026-09-24_Day</x:v>
      </x:c>
      <x:c r="B12" s="6" t="str">
        <x:v>デイ</x:v>
      </x:c>
      <x:c r="C12" s="6" t="n">
        <x:v>1862000</x:v>
      </x:c>
      <x:c r="D12" s="6" t="n">
        <x:v>3009000</x:v>
      </x:c>
      <x:c r="E12" s="6" t="n">
        <x:f>C12-D12</x:f>
        <x:v>-1147000</x:v>
      </x:c>
      <x:c r="F12" s="6" t="n">
        <x:f>F11+E12</x:f>
        <x:v>-5321000</x:v>
      </x:c>
      <x:c r="G12" s="6" t="n">
        <x:v>1862000</x:v>
      </x:c>
      <x:c r="H12" s="6" t="n">
        <x:v>3009000</x:v>
      </x:c>
      <x:c r="I12" s="6" t="n">
        <x:v>101</x:v>
      </x:c>
      <x:c r="J12" s="6" t="n">
        <x:v>0</x:v>
      </x:c>
      <x:c r="K12" s="6" t="n">
        <x:v>0</x:v>
      </x:c>
      <x:c r="L12" s="6" t="n">
        <x:v>10</x:v>
      </x:c>
      <x:c r="M12" s="11" t="n">
        <x:v>0.9207142857142857</x:v>
      </x:c>
      <x:c r="N12" s="6" t="n">
        <x:v>1418000</x:v>
      </x:c>
    </x:row>
    <x:row r="13" ht="24" customHeight="1">
      <x:c r="A13" s="2" t="str">
        <x:v>2026-09-24_Night</x:v>
      </x:c>
      <x:c r="B13" s="6" t="str">
        <x:v>ナイト</x:v>
      </x:c>
      <x:c r="C13" s="6" t="n">
        <x:v>2047000</x:v>
      </x:c>
      <x:c r="D13" s="6" t="n">
        <x:v>4739000</x:v>
      </x:c>
      <x:c r="E13" s="6" t="n">
        <x:f>C13-D13</x:f>
        <x:v>-2692000</x:v>
      </x:c>
      <x:c r="F13" s="6" t="n">
        <x:f>F12+E13</x:f>
        <x:v>-8013000</x:v>
      </x:c>
      <x:c r="G13" s="6" t="n">
        <x:v>2047000</x:v>
      </x:c>
      <x:c r="H13" s="6" t="n">
        <x:v>4739000</x:v>
      </x:c>
      <x:c r="I13" s="6" t="n">
        <x:v>134</x:v>
      </x:c>
      <x:c r="J13" s="6" t="n">
        <x:v>0</x:v>
      </x:c>
      <x:c r="K13" s="6" t="n">
        <x:v>0</x:v>
      </x:c>
      <x:c r="L13" s="6" t="n">
        <x:v>10</x:v>
      </x:c>
      <x:c r="M13" s="11" t="n">
        <x:v>0.9117521367521367</x:v>
      </x:c>
      <x:c r="N13" s="6" t="n">
        <x:v>2867000</x:v>
      </x:c>
    </x:row>
    <x:row r="14" ht="24" customHeight="1">
      <x:c r="A14" s="2" t="str">
        <x:v>2026-09-25_Day</x:v>
      </x:c>
      <x:c r="B14" s="6" t="str">
        <x:v>デイ</x:v>
      </x:c>
      <x:c r="C14" s="6" t="n">
        <x:v>1325000</x:v>
      </x:c>
      <x:c r="D14" s="6" t="n">
        <x:v>3194000</x:v>
      </x:c>
      <x:c r="E14" s="6" t="n">
        <x:f>C14-D14</x:f>
        <x:v>-1869000</x:v>
      </x:c>
      <x:c r="F14" s="6" t="n">
        <x:f>F13+E14</x:f>
        <x:v>-9882000</x:v>
      </x:c>
      <x:c r="G14" s="6" t="n">
        <x:v>1325000</x:v>
      </x:c>
      <x:c r="H14" s="6" t="n">
        <x:v>3194000</x:v>
      </x:c>
      <x:c r="I14" s="6" t="n">
        <x:v>87</x:v>
      </x:c>
      <x:c r="J14" s="6" t="n">
        <x:v>0</x:v>
      </x:c>
      <x:c r="K14" s="6" t="n">
        <x:v>0</x:v>
      </x:c>
      <x:c r="L14" s="6" t="n">
        <x:v>10</x:v>
      </x:c>
      <x:c r="M14" s="11" t="n">
        <x:v>0.9230952380952381</x:v>
      </x:c>
      <x:c r="N14" s="6" t="n">
        <x:v>1929000</x:v>
      </x:c>
    </x:row>
    <x:row r="15" ht="24" customHeight="1">
      <x:c r="A15" s="2" t="str">
        <x:v>2026-09-25_Night</x:v>
      </x:c>
      <x:c r="B15" s="6" t="str">
        <x:v>ナイト</x:v>
      </x:c>
      <x:c r="C15" s="6" t="n">
        <x:v>1617000</x:v>
      </x:c>
      <x:c r="D15" s="6" t="n">
        <x:v>2501000</x:v>
      </x:c>
      <x:c r="E15" s="6" t="n">
        <x:f>C15-D15</x:f>
        <x:v>-884000</x:v>
      </x:c>
      <x:c r="F15" s="6" t="n">
        <x:f>F14+E15</x:f>
        <x:v>-10766000</x:v>
      </x:c>
      <x:c r="G15" s="6" t="n">
        <x:v>1617000</x:v>
      </x:c>
      <x:c r="H15" s="6" t="n">
        <x:v>2501000</x:v>
      </x:c>
      <x:c r="I15" s="6" t="n">
        <x:v>104</x:v>
      </x:c>
      <x:c r="J15" s="6" t="n">
        <x:v>0</x:v>
      </x:c>
      <x:c r="K15" s="6" t="n">
        <x:v>0</x:v>
      </x:c>
      <x:c r="L15" s="6" t="n">
        <x:v>10</x:v>
      </x:c>
      <x:c r="M15" s="11" t="n">
        <x:v>0.904465811965812</x:v>
      </x:c>
      <x:c r="N15" s="6" t="n">
        <x:v>1025000</x:v>
      </x:c>
    </x:row>
    <x:row r="16" ht="24" customHeight="1">
      <x:c r="A16" s="2" t="str">
        <x:v>2026-09-28_Day</x:v>
      </x:c>
      <x:c r="B16" s="6" t="str">
        <x:v>デイ</x:v>
      </x:c>
      <x:c r="C16" s="6" t="n">
        <x:v>1832000</x:v>
      </x:c>
      <x:c r="D16" s="6" t="n">
        <x:v>3227000</x:v>
      </x:c>
      <x:c r="E16" s="6" t="n">
        <x:f>C16-D16</x:f>
        <x:v>-1395000</x:v>
      </x:c>
      <x:c r="F16" s="6" t="n">
        <x:f>F15+E16</x:f>
        <x:v>-12161000</x:v>
      </x:c>
      <x:c r="G16" s="6" t="n">
        <x:v>1832000</x:v>
      </x:c>
      <x:c r="H16" s="6" t="n">
        <x:v>3227000</x:v>
      </x:c>
      <x:c r="I16" s="6" t="n">
        <x:v>101</x:v>
      </x:c>
      <x:c r="J16" s="6" t="n">
        <x:v>0</x:v>
      </x:c>
      <x:c r="K16" s="6" t="n">
        <x:v>0</x:v>
      </x:c>
      <x:c r="L16" s="6" t="n">
        <x:v>10</x:v>
      </x:c>
      <x:c r="M16" s="11" t="n">
        <x:v>0.9225</x:v>
      </x:c>
      <x:c r="N16" s="6" t="n">
        <x:v>1644000</x:v>
      </x:c>
    </x:row>
    <x:row r="17" ht="24" customHeight="1">
      <x:c r="A17" s="2" t="str">
        <x:v>2026-09-28_Night</x:v>
      </x:c>
      <x:c r="B17" s="6" t="str">
        <x:v>ナイト</x:v>
      </x:c>
      <x:c r="C17" s="6" t="n">
        <x:v>2221000</x:v>
      </x:c>
      <x:c r="D17" s="6" t="n">
        <x:v>4025000</x:v>
      </x:c>
      <x:c r="E17" s="6" t="n">
        <x:f>C17-D17</x:f>
        <x:v>-1804000</x:v>
      </x:c>
      <x:c r="F17" s="6" t="n">
        <x:f>F16+E17</x:f>
        <x:v>-13965000</x:v>
      </x:c>
      <x:c r="G17" s="6" t="n">
        <x:v>2221000</x:v>
      </x:c>
      <x:c r="H17" s="6" t="n">
        <x:v>4025000</x:v>
      </x:c>
      <x:c r="I17" s="6" t="n">
        <x:v>128</x:v>
      </x:c>
      <x:c r="J17" s="6" t="n">
        <x:v>0</x:v>
      </x:c>
      <x:c r="K17" s="6" t="n">
        <x:v>0</x:v>
      </x:c>
      <x:c r="L17" s="6" t="n">
        <x:v>10</x:v>
      </x:c>
      <x:c r="M17" s="11" t="n">
        <x:v>0.8919017094017094</x:v>
      </x:c>
      <x:c r="N17" s="6" t="n">
        <x:v>1840000</x:v>
      </x:c>
    </x:row>
    <x:row r="18" ht="24" customHeight="1">
      <x:c r="A18" s="2" t="str">
        <x:v>2026-09-29_Day</x:v>
      </x:c>
      <x:c r="B18" s="6" t="str">
        <x:v>デイ</x:v>
      </x:c>
      <x:c r="C18" s="6" t="n">
        <x:v>2247000</x:v>
      </x:c>
      <x:c r="D18" s="6" t="n">
        <x:v>3479000</x:v>
      </x:c>
      <x:c r="E18" s="6" t="n">
        <x:f>C18-D18</x:f>
        <x:v>-1232000</x:v>
      </x:c>
      <x:c r="F18" s="6" t="n">
        <x:f>F17+E18</x:f>
        <x:v>-15197000</x:v>
      </x:c>
      <x:c r="G18" s="6" t="n">
        <x:v>2247000</x:v>
      </x:c>
      <x:c r="H18" s="6" t="n">
        <x:v>3479000</x:v>
      </x:c>
      <x:c r="I18" s="6" t="n">
        <x:v>120</x:v>
      </x:c>
      <x:c r="J18" s="6" t="n">
        <x:v>0</x:v>
      </x:c>
      <x:c r="K18" s="6" t="n">
        <x:v>0</x:v>
      </x:c>
      <x:c r="L18" s="6" t="n">
        <x:v>10</x:v>
      </x:c>
      <x:c r="M18" s="11" t="n">
        <x:v>0.9123809523809524</x:v>
      </x:c>
      <x:c r="N18" s="6" t="n">
        <x:v>1544000</x:v>
      </x:c>
    </x:row>
    <x:row r="19" ht="24" customHeight="1">
      <x:c r="A19" s="2" t="str">
        <x:v>2026-09-29_Night</x:v>
      </x:c>
      <x:c r="B19" s="6" t="str">
        <x:v>ナイト</x:v>
      </x:c>
      <x:c r="C19" s="6" t="n">
        <x:v>1667000</x:v>
      </x:c>
      <x:c r="D19" s="6" t="n">
        <x:v>3322000</x:v>
      </x:c>
      <x:c r="E19" s="6" t="n">
        <x:f>C19-D19</x:f>
        <x:v>-1655000</x:v>
      </x:c>
      <x:c r="F19" s="6" t="n">
        <x:f>F18+E19</x:f>
        <x:v>-16852000</x:v>
      </x:c>
      <x:c r="G19" s="6" t="n">
        <x:v>1667000</x:v>
      </x:c>
      <x:c r="H19" s="6" t="n">
        <x:v>3322000</x:v>
      </x:c>
      <x:c r="I19" s="6" t="n">
        <x:v>105</x:v>
      </x:c>
      <x:c r="J19" s="6" t="n">
        <x:v>0</x:v>
      </x:c>
      <x:c r="K19" s="6" t="n">
        <x:v>0</x:v>
      </x:c>
      <x:c r="L19" s="6" t="n">
        <x:v>10</x:v>
      </x:c>
      <x:c r="M19" s="11" t="n">
        <x:v>0.9314957264957265</x:v>
      </x:c>
      <x:c r="N19" s="6" t="n">
        <x:v>1705000</x:v>
      </x:c>
    </x:row>
    <x:row r="20" ht="24" customHeight="1">
      <x:c r="A20" s="2" t="str">
        <x:v>2026-09-30_Day</x:v>
      </x:c>
      <x:c r="B20" s="6" t="str">
        <x:v>デイ</x:v>
      </x:c>
      <x:c r="C20" s="6" t="n">
        <x:v>2098000</x:v>
      </x:c>
      <x:c r="D20" s="6" t="n">
        <x:v>3255000</x:v>
      </x:c>
      <x:c r="E20" s="6" t="n">
        <x:f>C20-D20</x:f>
        <x:v>-1157000</x:v>
      </x:c>
      <x:c r="F20" s="6" t="n">
        <x:f>F19+E20</x:f>
        <x:v>-18009000</x:v>
      </x:c>
      <x:c r="G20" s="6" t="n">
        <x:v>2098000</x:v>
      </x:c>
      <x:c r="H20" s="6" t="n">
        <x:v>3255000</x:v>
      </x:c>
      <x:c r="I20" s="6" t="n">
        <x:v>103</x:v>
      </x:c>
      <x:c r="J20" s="6" t="n">
        <x:v>0</x:v>
      </x:c>
      <x:c r="K20" s="6" t="n">
        <x:v>0</x:v>
      </x:c>
      <x:c r="L20" s="6" t="n">
        <x:v>10</x:v>
      </x:c>
      <x:c r="M20" s="11" t="n">
        <x:v>0.9188888888888889</x:v>
      </x:c>
      <x:c r="N20" s="6" t="n">
        <x:v>1277000</x:v>
      </x:c>
    </x:row>
    <x:row r="21" ht="24" customHeight="1">
      <x:c r="A21" s="2" t="str">
        <x:v>2026-09-30_Night</x:v>
      </x:c>
      <x:c r="B21" s="6" t="str">
        <x:v>ナイト</x:v>
      </x:c>
      <x:c r="C21" s="6" t="n">
        <x:v>1911000</x:v>
      </x:c>
      <x:c r="D21" s="6" t="n">
        <x:v>3964000</x:v>
      </x:c>
      <x:c r="E21" s="6" t="n">
        <x:f>C21-D21</x:f>
        <x:v>-2053000</x:v>
      </x:c>
      <x:c r="F21" s="6" t="n">
        <x:f>F20+E21</x:f>
        <x:v>-20062000</x:v>
      </x:c>
      <x:c r="G21" s="6" t="n">
        <x:v>1911000</x:v>
      </x:c>
      <x:c r="H21" s="6" t="n">
        <x:v>3964000</x:v>
      </x:c>
      <x:c r="I21" s="6" t="n">
        <x:v>119</x:v>
      </x:c>
      <x:c r="J21" s="6" t="n">
        <x:v>0</x:v>
      </x:c>
      <x:c r="K21" s="6" t="n">
        <x:v>0</x:v>
      </x:c>
      <x:c r="L21" s="6" t="n">
        <x:v>10</x:v>
      </x:c>
      <x:c r="M21" s="11" t="n">
        <x:v>0.9134615384615384</x:v>
      </x:c>
      <x:c r="N21" s="6" t="n">
        <x:v>2204000</x:v>
      </x:c>
    </x:row>
    <x:row r="22" ht="24" customHeight="1">
      <x:c r="A22" s="2" t="str">
        <x:v>2026-10-01_Day</x:v>
      </x:c>
      <x:c r="B22" s="6" t="str">
        <x:v>デイ</x:v>
      </x:c>
      <x:c r="C22" s="6" t="n">
        <x:v>1607000</x:v>
      </x:c>
      <x:c r="D22" s="6" t="n">
        <x:v>2948000</x:v>
      </x:c>
      <x:c r="E22" s="6" t="n">
        <x:f>C22-D22</x:f>
        <x:v>-1341000</x:v>
      </x:c>
      <x:c r="F22" s="6" t="n">
        <x:f>F21+E22</x:f>
        <x:v>-21403000</x:v>
      </x:c>
      <x:c r="G22" s="6" t="n">
        <x:v>1607000</x:v>
      </x:c>
      <x:c r="H22" s="6" t="n">
        <x:v>2948000</x:v>
      </x:c>
      <x:c r="I22" s="6" t="n">
        <x:v>74</x:v>
      </x:c>
      <x:c r="J22" s="6" t="n">
        <x:v>0</x:v>
      </x:c>
      <x:c r="K22" s="6" t="n">
        <x:v>0</x:v>
      </x:c>
      <x:c r="L22" s="6" t="n">
        <x:v>10</x:v>
      </x:c>
      <x:c r="M22" s="11" t="n">
        <x:v>0.9369444444444445</x:v>
      </x:c>
      <x:c r="N22" s="6" t="n">
        <x:v>1418000</x:v>
      </x:c>
    </x:row>
    <x:row r="23" ht="24" customHeight="1">
      <x:c r="A23" s="2" t="str">
        <x:v>2026-10-01_Night</x:v>
      </x:c>
      <x:c r="B23" s="6" t="str">
        <x:v>ナイト</x:v>
      </x:c>
      <x:c r="C23" s="6" t="n">
        <x:v>2376000</x:v>
      </x:c>
      <x:c r="D23" s="6" t="n">
        <x:v>4612000</x:v>
      </x:c>
      <x:c r="E23" s="6" t="n">
        <x:f>C23-D23</x:f>
        <x:v>-2236000</x:v>
      </x:c>
      <x:c r="F23" s="6" t="n">
        <x:f>F22+E23</x:f>
        <x:v>-23639000</x:v>
      </x:c>
      <x:c r="G23" s="6" t="n">
        <x:v>2376000</x:v>
      </x:c>
      <x:c r="H23" s="6" t="n">
        <x:v>4612000</x:v>
      </x:c>
      <x:c r="I23" s="6" t="n">
        <x:v>126</x:v>
      </x:c>
      <x:c r="J23" s="6" t="n">
        <x:v>0</x:v>
      </x:c>
      <x:c r="K23" s="6" t="n">
        <x:v>0</x:v>
      </x:c>
      <x:c r="L23" s="6" t="n">
        <x:v>10</x:v>
      </x:c>
      <x:c r="M23" s="11" t="n">
        <x:v>0.9350641025641026</x:v>
      </x:c>
      <x:c r="N23" s="6" t="n">
        <x:v>2356000</x:v>
      </x:c>
    </x:row>
    <x:row r="24" ht="24" customHeight="1">
      <x:c r="A24" s="2" t="str">
        <x:v>2026-10-02_Day</x:v>
      </x:c>
      <x:c r="B24" s="6" t="str">
        <x:v>デイ</x:v>
      </x:c>
      <x:c r="C24" s="6" t="n">
        <x:v>1594000</x:v>
      </x:c>
      <x:c r="D24" s="6" t="n">
        <x:v>2946000</x:v>
      </x:c>
      <x:c r="E24" s="6" t="n">
        <x:f>C24-D24</x:f>
        <x:v>-1352000</x:v>
      </x:c>
      <x:c r="F24" s="6" t="n">
        <x:f>F23+E24</x:f>
        <x:v>-24991000</x:v>
      </x:c>
      <x:c r="G24" s="6" t="n">
        <x:v>1594000</x:v>
      </x:c>
      <x:c r="H24" s="6" t="n">
        <x:v>2946000</x:v>
      </x:c>
      <x:c r="I24" s="6" t="n">
        <x:v>78</x:v>
      </x:c>
      <x:c r="J24" s="6" t="n">
        <x:v>0</x:v>
      </x:c>
      <x:c r="K24" s="6" t="n">
        <x:v>0</x:v>
      </x:c>
      <x:c r="L24" s="6" t="n">
        <x:v>10</x:v>
      </x:c>
      <x:c r="M24" s="11" t="n">
        <x:v>0.935</x:v>
      </x:c>
      <x:c r="N24" s="6" t="n">
        <x:v>1682000</x:v>
      </x:c>
    </x:row>
    <x:row r="25" ht="24" customHeight="1">
      <x:c r="A25" s="2" t="str">
        <x:v>2026-10-02_Night</x:v>
      </x:c>
      <x:c r="B25" s="6" t="str">
        <x:v>ナイト</x:v>
      </x:c>
      <x:c r="C25" s="6" t="n">
        <x:v>2363000</x:v>
      </x:c>
      <x:c r="D25" s="6" t="n">
        <x:v>1967000</x:v>
      </x:c>
      <x:c r="E25" s="6" t="n">
        <x:f>C25-D25</x:f>
        <x:v>396000</x:v>
      </x:c>
      <x:c r="F25" s="6" t="n">
        <x:f>F24+E25</x:f>
        <x:v>-24595000</x:v>
      </x:c>
      <x:c r="G25" s="6" t="n">
        <x:v>2363000</x:v>
      </x:c>
      <x:c r="H25" s="6" t="n">
        <x:v>1967000</x:v>
      </x:c>
      <x:c r="I25" s="6" t="n">
        <x:v>95</x:v>
      </x:c>
      <x:c r="J25" s="6" t="n">
        <x:v>0</x:v>
      </x:c>
      <x:c r="K25" s="6" t="n">
        <x:v>0</x:v>
      </x:c>
      <x:c r="L25" s="6" t="n">
        <x:v>10</x:v>
      </x:c>
      <x:c r="M25" s="11" t="n">
        <x:v>0.9400213675213676</x:v>
      </x:c>
      <x:c r="N25" s="6" t="n">
        <x:v>519000</x:v>
      </x:c>
    </x:row>
    <x:row r="26" ht="24" customHeight="1">
      <x:c r="A26" s="2" t="str">
        <x:v>2026-10-05_Day</x:v>
      </x:c>
      <x:c r="B26" s="6" t="str">
        <x:v>デイ</x:v>
      </x:c>
      <x:c r="C26" s="6" t="n">
        <x:v>1236000</x:v>
      </x:c>
      <x:c r="D26" s="6" t="n">
        <x:v>1949000</x:v>
      </x:c>
      <x:c r="E26" s="6" t="n">
        <x:f>C26-D26</x:f>
        <x:v>-713000</x:v>
      </x:c>
      <x:c r="F26" s="6" t="n">
        <x:f>F25+E26</x:f>
        <x:v>-25308000</x:v>
      </x:c>
      <x:c r="G26" s="6" t="n">
        <x:v>1236000</x:v>
      </x:c>
      <x:c r="H26" s="6" t="n">
        <x:v>1949000</x:v>
      </x:c>
      <x:c r="I26" s="6" t="n">
        <x:v>60</x:v>
      </x:c>
      <x:c r="J26" s="6" t="n">
        <x:v>0</x:v>
      </x:c>
      <x:c r="K26" s="6" t="n">
        <x:v>0</x:v>
      </x:c>
      <x:c r="L26" s="6" t="n">
        <x:v>10</x:v>
      </x:c>
      <x:c r="M26" s="11" t="n">
        <x:v>0.941984126984127</x:v>
      </x:c>
      <x:c r="N26" s="6" t="n">
        <x:v>847000</x:v>
      </x:c>
    </x:row>
    <x:row r="27" ht="24" customHeight="1">
      <x:c r="A27" s="2" t="str">
        <x:v>2026-10-05_Night</x:v>
      </x:c>
      <x:c r="B27" s="6" t="str">
        <x:v>ナイト</x:v>
      </x:c>
      <x:c r="C27" s="6" t="n">
        <x:v>1170000</x:v>
      </x:c>
      <x:c r="D27" s="6" t="n">
        <x:v>1785000</x:v>
      </x:c>
      <x:c r="E27" s="6" t="n">
        <x:f>C27-D27</x:f>
        <x:v>-615000</x:v>
      </x:c>
      <x:c r="F27" s="6" t="n">
        <x:f>F26+E27</x:f>
        <x:v>-25923000</x:v>
      </x:c>
      <x:c r="G27" s="6" t="n">
        <x:v>1170000</x:v>
      </x:c>
      <x:c r="H27" s="6" t="n">
        <x:v>1785000</x:v>
      </x:c>
      <x:c r="I27" s="6" t="n">
        <x:v>66</x:v>
      </x:c>
      <x:c r="J27" s="6" t="n">
        <x:v>0</x:v>
      </x:c>
      <x:c r="K27" s="6" t="n">
        <x:v>0</x:v>
      </x:c>
      <x:c r="L27" s="6" t="n">
        <x:v>10</x:v>
      </x:c>
      <x:c r="M27" s="11" t="n">
        <x:v>0.9288247863247864</x:v>
      </x:c>
      <x:c r="N27" s="6" t="n">
        <x:v>888000</x:v>
      </x:c>
    </x:row>
    <x:row r="28" ht="24" customHeight="1">
      <x:c r="A28" s="2" t="str">
        <x:v>2026-10-06_Day</x:v>
      </x:c>
      <x:c r="B28" s="6" t="str">
        <x:v>デイ</x:v>
      </x:c>
      <x:c r="C28" s="6" t="n">
        <x:v>1115000</x:v>
      </x:c>
      <x:c r="D28" s="6" t="n">
        <x:v>1354000</x:v>
      </x:c>
      <x:c r="E28" s="6" t="n">
        <x:f>C28-D28</x:f>
        <x:v>-239000</x:v>
      </x:c>
      <x:c r="F28" s="6" t="n">
        <x:f>F27+E28</x:f>
        <x:v>-26162000</x:v>
      </x:c>
      <x:c r="G28" s="6" t="n">
        <x:v>1115000</x:v>
      </x:c>
      <x:c r="H28" s="6" t="n">
        <x:v>1354000</x:v>
      </x:c>
      <x:c r="I28" s="6" t="n">
        <x:v>46</x:v>
      </x:c>
      <x:c r="J28" s="6" t="n">
        <x:v>0</x:v>
      </x:c>
      <x:c r="K28" s="6" t="n">
        <x:v>0</x:v>
      </x:c>
      <x:c r="L28" s="6" t="n">
        <x:v>10</x:v>
      </x:c>
      <x:c r="M28" s="11" t="n">
        <x:v>0.9465079365079365</x:v>
      </x:c>
      <x:c r="N28" s="6" t="n">
        <x:v>572000</x:v>
      </x:c>
    </x:row>
    <x:row r="29" ht="24" customHeight="1">
      <x:c r="A29" s="2" t="str">
        <x:v>2026-10-06_Night</x:v>
      </x:c>
      <x:c r="B29" s="6" t="str">
        <x:v>ナイト</x:v>
      </x:c>
      <x:c r="C29" s="6" t="n">
        <x:v>571000</x:v>
      </x:c>
      <x:c r="D29" s="6" t="n">
        <x:v>1708000</x:v>
      </x:c>
      <x:c r="E29" s="6" t="n">
        <x:f>C29-D29</x:f>
        <x:v>-1137000</x:v>
      </x:c>
      <x:c r="F29" s="6" t="n">
        <x:f>F28+E29</x:f>
        <x:v>-27299000</x:v>
      </x:c>
      <x:c r="G29" s="6" t="n">
        <x:v>571000</x:v>
      </x:c>
      <x:c r="H29" s="6" t="n">
        <x:v>1708000</x:v>
      </x:c>
      <x:c r="I29" s="6" t="n">
        <x:v>48</x:v>
      </x:c>
      <x:c r="J29" s="6" t="n">
        <x:v>0</x:v>
      </x:c>
      <x:c r="K29" s="6" t="n">
        <x:v>0</x:v>
      </x:c>
      <x:c r="L29" s="6" t="n">
        <x:v>10</x:v>
      </x:c>
      <x:c r="M29" s="11" t="n">
        <x:v>0.9456410256410256</x:v>
      </x:c>
      <x:c r="N29" s="6" t="n">
        <x:v>1242000</x:v>
      </x:c>
    </x:row>
    <x:row r="30" ht="24" customHeight="1">
      <x:c r="A30" s="2" t="str">
        <x:v>2026-10-07_Day</x:v>
      </x:c>
      <x:c r="B30" s="6" t="str">
        <x:v>デイ</x:v>
      </x:c>
      <x:c r="C30" s="6" t="n">
        <x:v>749000</x:v>
      </x:c>
      <x:c r="D30" s="6" t="n">
        <x:v>1662000</x:v>
      </x:c>
      <x:c r="E30" s="6" t="n">
        <x:f>C30-D30</x:f>
        <x:v>-913000</x:v>
      </x:c>
      <x:c r="F30" s="6" t="n">
        <x:f>F29+E30</x:f>
        <x:v>-28212000</x:v>
      </x:c>
      <x:c r="G30" s="6" t="n">
        <x:v>749000</x:v>
      </x:c>
      <x:c r="H30" s="6" t="n">
        <x:v>1662000</x:v>
      </x:c>
      <x:c r="I30" s="6" t="n">
        <x:v>42</x:v>
      </x:c>
      <x:c r="J30" s="6" t="n">
        <x:v>0</x:v>
      </x:c>
      <x:c r="K30" s="6" t="n">
        <x:v>0</x:v>
      </x:c>
      <x:c r="L30" s="6" t="n">
        <x:v>10</x:v>
      </x:c>
      <x:c r="M30" s="11" t="n">
        <x:v>0.9483333333333334</x:v>
      </x:c>
      <x:c r="N30" s="6" t="n">
        <x:v>1058000</x:v>
      </x:c>
    </x:row>
    <x:row r="31" ht="24" customHeight="1">
      <x:c r="A31" s="2" t="str">
        <x:v>2026-10-07_Night</x:v>
      </x:c>
      <x:c r="B31" s="6" t="str">
        <x:v>ナイト</x:v>
      </x:c>
      <x:c r="C31" s="6" t="n">
        <x:v>942000</x:v>
      </x:c>
      <x:c r="D31" s="6" t="n">
        <x:v>2053000</x:v>
      </x:c>
      <x:c r="E31" s="6" t="n">
        <x:f>C31-D31</x:f>
        <x:v>-1111000</x:v>
      </x:c>
      <x:c r="F31" s="6" t="n">
        <x:f>F30+E31</x:f>
        <x:v>-29323000</x:v>
      </x:c>
      <x:c r="G31" s="6" t="n">
        <x:v>942000</x:v>
      </x:c>
      <x:c r="H31" s="6" t="n">
        <x:v>2053000</x:v>
      </x:c>
      <x:c r="I31" s="6" t="n">
        <x:v>58</x:v>
      </x:c>
      <x:c r="J31" s="6" t="n">
        <x:v>0</x:v>
      </x:c>
      <x:c r="K31" s="6" t="n">
        <x:v>0</x:v>
      </x:c>
      <x:c r="L31" s="6" t="n">
        <x:v>10</x:v>
      </x:c>
      <x:c r="M31" s="11" t="n">
        <x:v>0.9646367521367522</x:v>
      </x:c>
      <x:c r="N31" s="6" t="n">
        <x:v>1269000</x:v>
      </x:c>
    </x:row>
    <x:row r="32" ht="24" customHeight="1">
      <x:c r="A32" s="2" t="str">
        <x:v>2026-10-08_Day</x:v>
      </x:c>
      <x:c r="B32" s="6" t="str">
        <x:v>デイ</x:v>
      </x:c>
      <x:c r="C32" s="6" t="n">
        <x:v>1819000</x:v>
      </x:c>
      <x:c r="D32" s="6" t="n">
        <x:v>2641000</x:v>
      </x:c>
      <x:c r="E32" s="6" t="n">
        <x:f>C32-D32</x:f>
        <x:v>-822000</x:v>
      </x:c>
      <x:c r="F32" s="6" t="n">
        <x:f>F31+E32</x:f>
        <x:v>-30145000</x:v>
      </x:c>
      <x:c r="G32" s="6" t="n">
        <x:v>1819000</x:v>
      </x:c>
      <x:c r="H32" s="6" t="n">
        <x:v>2641000</x:v>
      </x:c>
      <x:c r="I32" s="6" t="n">
        <x:v>85</x:v>
      </x:c>
      <x:c r="J32" s="6" t="n">
        <x:v>0</x:v>
      </x:c>
      <x:c r="K32" s="6" t="n">
        <x:v>0</x:v>
      </x:c>
      <x:c r="L32" s="6" t="n">
        <x:v>10</x:v>
      </x:c>
      <x:c r="M32" s="11" t="n">
        <x:v>0.9297619047619048</x:v>
      </x:c>
      <x:c r="N32" s="6" t="n">
        <x:v>1299000</x:v>
      </x:c>
    </x:row>
    <x:row r="33" ht="24" customHeight="1">
      <x:c r="A33" s="2" t="str">
        <x:v>2026-10-08_Night</x:v>
      </x:c>
      <x:c r="B33" s="6" t="str">
        <x:v>ナイト</x:v>
      </x:c>
      <x:c r="C33" s="6" t="n">
        <x:v>2080000</x:v>
      </x:c>
      <x:c r="D33" s="6" t="n">
        <x:v>4276000</x:v>
      </x:c>
      <x:c r="E33" s="6" t="n">
        <x:f>C33-D33</x:f>
        <x:v>-2196000</x:v>
      </x:c>
      <x:c r="F33" s="6" t="n">
        <x:f>F32+E33</x:f>
        <x:v>-32341000</x:v>
      </x:c>
      <x:c r="G33" s="6" t="n">
        <x:v>2080000</x:v>
      </x:c>
      <x:c r="H33" s="6" t="n">
        <x:v>4276000</x:v>
      </x:c>
      <x:c r="I33" s="6" t="n">
        <x:v>117</x:v>
      </x:c>
      <x:c r="J33" s="6" t="n">
        <x:v>0</x:v>
      </x:c>
      <x:c r="K33" s="6" t="n">
        <x:v>0</x:v>
      </x:c>
      <x:c r="L33" s="6" t="n">
        <x:v>10</x:v>
      </x:c>
      <x:c r="M33" s="11" t="n">
        <x:v>0.9311111111111111</x:v>
      </x:c>
      <x:c r="N33" s="6" t="n">
        <x:v>2378000</x:v>
      </x:c>
    </x:row>
    <x:row r="34" ht="24" customHeight="1">
      <x:c r="A34" s="2" t="str">
        <x:v>2026-10-09_Day</x:v>
      </x:c>
      <x:c r="B34" s="6" t="str">
        <x:v>デイ</x:v>
      </x:c>
      <x:c r="C34" s="6" t="n">
        <x:v>1793000</x:v>
      </x:c>
      <x:c r="D34" s="6" t="n">
        <x:v>2738000</x:v>
      </x:c>
      <x:c r="E34" s="6" t="n">
        <x:f>C34-D34</x:f>
        <x:v>-945000</x:v>
      </x:c>
      <x:c r="F34" s="6" t="n">
        <x:f>F33+E34</x:f>
        <x:v>-33286000</x:v>
      </x:c>
      <x:c r="G34" s="6" t="n">
        <x:v>1793000</x:v>
      </x:c>
      <x:c r="H34" s="6" t="n">
        <x:v>2738000</x:v>
      </x:c>
      <x:c r="I34" s="6" t="n">
        <x:v>72</x:v>
      </x:c>
      <x:c r="J34" s="6" t="n">
        <x:v>0</x:v>
      </x:c>
      <x:c r="K34" s="6" t="n">
        <x:v>0</x:v>
      </x:c>
      <x:c r="L34" s="6" t="n">
        <x:v>10</x:v>
      </x:c>
      <x:c r="M34" s="11" t="n">
        <x:v>0.9326587301587301</x:v>
      </x:c>
      <x:c r="N34" s="6" t="n">
        <x:v>1195000</x:v>
      </x:c>
    </x:row>
    <x:row r="35" ht="24" customHeight="1">
      <x:c r="A35" s="2" t="str">
        <x:v>2026-10-09_Night</x:v>
      </x:c>
      <x:c r="B35" s="6" t="str">
        <x:v>ナイト</x:v>
      </x:c>
      <x:c r="C35" s="6" t="n">
        <x:v>840000</x:v>
      </x:c>
      <x:c r="D35" s="6" t="n">
        <x:v>1457000</x:v>
      </x:c>
      <x:c r="E35" s="6" t="n">
        <x:f>C35-D35</x:f>
        <x:v>-617000</x:v>
      </x:c>
      <x:c r="F35" s="6" t="n">
        <x:f>F34+E35</x:f>
        <x:v>-33903000</x:v>
      </x:c>
      <x:c r="G35" s="6" t="n">
        <x:v>840000</x:v>
      </x:c>
      <x:c r="H35" s="6" t="n">
        <x:v>1457000</x:v>
      </x:c>
      <x:c r="I35" s="6" t="n">
        <x:v>49</x:v>
      </x:c>
      <x:c r="J35" s="6" t="n">
        <x:v>0</x:v>
      </x:c>
      <x:c r="K35" s="6" t="n">
        <x:v>0</x:v>
      </x:c>
      <x:c r="L35" s="6" t="n">
        <x:v>10</x:v>
      </x:c>
      <x:c r="M35" s="11" t="n">
        <x:v>0.9231196581196581</x:v>
      </x:c>
      <x:c r="N35" s="6" t="n">
        <x:v>719000</x:v>
      </x:c>
    </x:row>
    <x:row r="36" ht="24" customHeight="1">
      <x:c r="A36" s="2" t="str">
        <x:v>2026-10-12_Day</x:v>
      </x:c>
      <x:c r="B36" s="6" t="str">
        <x:v>デイ</x:v>
      </x:c>
      <x:c r="C36" s="6" t="n">
        <x:v>602000</x:v>
      </x:c>
      <x:c r="D36" s="6" t="n">
        <x:v>1125000</x:v>
      </x:c>
      <x:c r="E36" s="6" t="n">
        <x:f>C36-D36</x:f>
        <x:v>-523000</x:v>
      </x:c>
      <x:c r="F36" s="6" t="n">
        <x:f>F35+E36</x:f>
        <x:v>-34426000</x:v>
      </x:c>
      <x:c r="G36" s="6" t="n">
        <x:v>602000</x:v>
      </x:c>
      <x:c r="H36" s="6" t="n">
        <x:v>1125000</x:v>
      </x:c>
      <x:c r="I36" s="6" t="n">
        <x:v>33</x:v>
      </x:c>
      <x:c r="J36" s="6" t="n">
        <x:v>0</x:v>
      </x:c>
      <x:c r="K36" s="6" t="n">
        <x:v>0</x:v>
      </x:c>
      <x:c r="L36" s="6" t="n">
        <x:v>10</x:v>
      </x:c>
      <x:c r="M36" s="11" t="n">
        <x:v>0.9187698412698413</x:v>
      </x:c>
      <x:c r="N36" s="6" t="n">
        <x:v>675000</x:v>
      </x:c>
    </x:row>
    <x:row r="37" ht="24" customHeight="1">
      <x:c r="A37" s="2" t="str">
        <x:v>2026-10-12_Night</x:v>
      </x:c>
      <x:c r="B37" s="6" t="str">
        <x:v>ナイト</x:v>
      </x:c>
      <x:c r="C37" s="6" t="n">
        <x:v>736000</x:v>
      </x:c>
      <x:c r="D37" s="6" t="n">
        <x:v>864000</x:v>
      </x:c>
      <x:c r="E37" s="6" t="n">
        <x:f>C37-D37</x:f>
        <x:v>-128000</x:v>
      </x:c>
      <x:c r="F37" s="6" t="n">
        <x:f>F36+E37</x:f>
        <x:v>-34554000</x:v>
      </x:c>
      <x:c r="G37" s="6" t="n">
        <x:v>736000</x:v>
      </x:c>
      <x:c r="H37" s="6" t="n">
        <x:v>864000</x:v>
      </x:c>
      <x:c r="I37" s="6" t="n">
        <x:v>37</x:v>
      </x:c>
      <x:c r="J37" s="6" t="n">
        <x:v>0</x:v>
      </x:c>
      <x:c r="K37" s="6" t="n">
        <x:v>0</x:v>
      </x:c>
      <x:c r="L37" s="6" t="n">
        <x:v>10</x:v>
      </x:c>
      <x:c r="M37" s="11" t="n">
        <x:v>0.9258760683760684</x:v>
      </x:c>
      <x:c r="N37" s="6" t="n">
        <x:v>446000</x:v>
      </x:c>
    </x:row>
    <x:row r="38" ht="24" customHeight="1">
      <x:c r="A38" s="2" t="str">
        <x:v>2026-10-13_Day</x:v>
      </x:c>
      <x:c r="B38" s="6" t="str">
        <x:v>デイ</x:v>
      </x:c>
      <x:c r="C38" s="6" t="n">
        <x:v>1549000</x:v>
      </x:c>
      <x:c r="D38" s="6" t="n">
        <x:v>3706000</x:v>
      </x:c>
      <x:c r="E38" s="6" t="n">
        <x:f>C38-D38</x:f>
        <x:v>-2157000</x:v>
      </x:c>
      <x:c r="F38" s="6" t="n">
        <x:f>F37+E38</x:f>
        <x:v>-36711000</x:v>
      </x:c>
      <x:c r="G38" s="6" t="n">
        <x:v>1549000</x:v>
      </x:c>
      <x:c r="H38" s="6" t="n">
        <x:v>3706000</x:v>
      </x:c>
      <x:c r="I38" s="6" t="n">
        <x:v>93</x:v>
      </x:c>
      <x:c r="J38" s="6" t="n">
        <x:v>0</x:v>
      </x:c>
      <x:c r="K38" s="6" t="n">
        <x:v>0</x:v>
      </x:c>
      <x:c r="L38" s="6" t="n">
        <x:v>10</x:v>
      </x:c>
      <x:c r="M38" s="11" t="n">
        <x:v>0.9264682539682539</x:v>
      </x:c>
      <x:c r="N38" s="6" t="n">
        <x:v>2287000</x:v>
      </x:c>
    </x:row>
    <x:row r="39" ht="24" customHeight="1">
      <x:c r="A39" s="2" t="str">
        <x:v>2026-10-13_Night</x:v>
      </x:c>
      <x:c r="B39" s="6" t="str">
        <x:v>ナイト</x:v>
      </x:c>
      <x:c r="C39" s="6" t="n">
        <x:v>830000</x:v>
      </x:c>
      <x:c r="D39" s="6" t="n">
        <x:v>1521000</x:v>
      </x:c>
      <x:c r="E39" s="6" t="n">
        <x:f>C39-D39</x:f>
        <x:v>-691000</x:v>
      </x:c>
      <x:c r="F39" s="6" t="n">
        <x:f>F38+E39</x:f>
        <x:v>-37402000</x:v>
      </x:c>
      <x:c r="G39" s="6" t="n">
        <x:v>830000</x:v>
      </x:c>
      <x:c r="H39" s="6" t="n">
        <x:v>1521000</x:v>
      </x:c>
      <x:c r="I39" s="6" t="n">
        <x:v>48</x:v>
      </x:c>
      <x:c r="J39" s="6" t="n">
        <x:v>0</x:v>
      </x:c>
      <x:c r="K39" s="6" t="n">
        <x:v>0</x:v>
      </x:c>
      <x:c r="L39" s="6" t="n">
        <x:v>10</x:v>
      </x:c>
      <x:c r="M39" s="11" t="n">
        <x:v>0.9050854700854701</x:v>
      </x:c>
      <x:c r="N39" s="6" t="n">
        <x:v>808000</x:v>
      </x:c>
    </x:row>
    <x:row r="40" ht="24" customHeight="1">
      <x:c r="A40" s="2" t="str">
        <x:v>2026-10-14_Day</x:v>
      </x:c>
      <x:c r="B40" s="6" t="str">
        <x:v>デイ</x:v>
      </x:c>
      <x:c r="C40" s="6" t="n">
        <x:v>1436000</x:v>
      </x:c>
      <x:c r="D40" s="6" t="n">
        <x:v>3618000</x:v>
      </x:c>
      <x:c r="E40" s="6" t="n">
        <x:f>C40-D40</x:f>
        <x:v>-2182000</x:v>
      </x:c>
      <x:c r="F40" s="6" t="n">
        <x:f>F39+E40</x:f>
        <x:v>-39584000</x:v>
      </x:c>
      <x:c r="G40" s="6" t="n">
        <x:v>1436000</x:v>
      </x:c>
      <x:c r="H40" s="6" t="n">
        <x:v>3618000</x:v>
      </x:c>
      <x:c r="I40" s="6" t="n">
        <x:v>76</x:v>
      </x:c>
      <x:c r="J40" s="6" t="n">
        <x:v>0</x:v>
      </x:c>
      <x:c r="K40" s="6" t="n">
        <x:v>0</x:v>
      </x:c>
      <x:c r="L40" s="6" t="n">
        <x:v>10</x:v>
      </x:c>
      <x:c r="M40" s="11" t="n">
        <x:v>0.9369444444444445</x:v>
      </x:c>
      <x:c r="N40" s="6" t="n">
        <x:v>2372000</x:v>
      </x:c>
    </x:row>
    <x:row r="41" ht="24" customHeight="1">
      <x:c r="A41" s="2" t="str">
        <x:v>2026-10-14_Night</x:v>
      </x:c>
      <x:c r="B41" s="6" t="str">
        <x:v>ナイト</x:v>
      </x:c>
      <x:c r="C41" s="6" t="n">
        <x:v>2036000</x:v>
      </x:c>
      <x:c r="D41" s="6" t="n">
        <x:v>4365000</x:v>
      </x:c>
      <x:c r="E41" s="6" t="n">
        <x:f>C41-D41</x:f>
        <x:v>-2329000</x:v>
      </x:c>
      <x:c r="F41" s="6" t="n">
        <x:f>F40+E41</x:f>
        <x:v>-41913000</x:v>
      </x:c>
      <x:c r="G41" s="6" t="n">
        <x:v>2036000</x:v>
      </x:c>
      <x:c r="H41" s="6" t="n">
        <x:v>4365000</x:v>
      </x:c>
      <x:c r="I41" s="6" t="n">
        <x:v>102</x:v>
      </x:c>
      <x:c r="J41" s="6" t="n">
        <x:v>0</x:v>
      </x:c>
      <x:c r="K41" s="6" t="n">
        <x:v>0</x:v>
      </x:c>
      <x:c r="L41" s="6" t="n">
        <x:v>10</x:v>
      </x:c>
      <x:c r="M41" s="11" t="n">
        <x:v>0.9451495726495727</x:v>
      </x:c>
      <x:c r="N41" s="6" t="n">
        <x:v>2369000</x:v>
      </x:c>
    </x:row>
    <x:row r="42" ht="24" customHeight="1">
      <x:c r="A42" s="2" t="str">
        <x:v>2026-10-15_Day</x:v>
      </x:c>
      <x:c r="B42" s="6" t="str">
        <x:v>デイ</x:v>
      </x:c>
      <x:c r="C42" s="6" t="n">
        <x:v>3724000</x:v>
      </x:c>
      <x:c r="D42" s="6" t="n">
        <x:v>5889000</x:v>
      </x:c>
      <x:c r="E42" s="6" t="n">
        <x:f>C42-D42</x:f>
        <x:v>-2165000</x:v>
      </x:c>
      <x:c r="F42" s="6" t="n">
        <x:f>F41+E42</x:f>
        <x:v>-44078000</x:v>
      </x:c>
      <x:c r="G42" s="6" t="n">
        <x:v>3724000</x:v>
      </x:c>
      <x:c r="H42" s="6" t="n">
        <x:v>5889000</x:v>
      </x:c>
      <x:c r="I42" s="6" t="n">
        <x:v>183</x:v>
      </x:c>
      <x:c r="J42" s="6" t="n">
        <x:v>0</x:v>
      </x:c>
      <x:c r="K42" s="6" t="n">
        <x:v>0</x:v>
      </x:c>
      <x:c r="L42" s="6" t="n">
        <x:v>10</x:v>
      </x:c>
      <x:c r="M42" s="11" t="n">
        <x:v>0.8892063492063492</x:v>
      </x:c>
      <x:c r="N42" s="6" t="n">
        <x:v>2393000</x:v>
      </x:c>
    </x:row>
    <x:row r="43" ht="24" customHeight="1">
      <x:c r="A43" s="2" t="str">
        <x:v>2026-10-15_Night</x:v>
      </x:c>
      <x:c r="B43" s="6" t="str">
        <x:v>ナイト</x:v>
      </x:c>
      <x:c r="C43" s="6" t="n">
        <x:v>3416000</x:v>
      </x:c>
      <x:c r="D43" s="6" t="n">
        <x:v>6255000</x:v>
      </x:c>
      <x:c r="E43" s="6" t="n">
        <x:f>C43-D43</x:f>
        <x:v>-2839000</x:v>
      </x:c>
      <x:c r="F43" s="6" t="n">
        <x:f>F42+E43</x:f>
        <x:v>-46917000</x:v>
      </x:c>
      <x:c r="G43" s="6" t="n">
        <x:v>3416000</x:v>
      </x:c>
      <x:c r="H43" s="6" t="n">
        <x:v>6255000</x:v>
      </x:c>
      <x:c r="I43" s="6" t="n">
        <x:v>196</x:v>
      </x:c>
      <x:c r="J43" s="6" t="n">
        <x:v>0</x:v>
      </x:c>
      <x:c r="K43" s="6" t="n">
        <x:v>0</x:v>
      </x:c>
      <x:c r="L43" s="6" t="n">
        <x:v>10</x:v>
      </x:c>
      <x:c r="M43" s="11" t="n">
        <x:v>0.8926923076923077</x:v>
      </x:c>
      <x:c r="N43" s="6" t="n">
        <x:v>3003000</x:v>
      </x:c>
    </x:row>
    <x:row r="44" ht="24" customHeight="1">
      <x:c r="A44" s="2" t="str">
        <x:v>2026-10-16_Day</x:v>
      </x:c>
      <x:c r="B44" s="6" t="str">
        <x:v>デイ</x:v>
      </x:c>
      <x:c r="C44" s="6" t="n">
        <x:v>2135000</x:v>
      </x:c>
      <x:c r="D44" s="6" t="n">
        <x:v>5436000</x:v>
      </x:c>
      <x:c r="E44" s="6" t="n">
        <x:f>C44-D44</x:f>
        <x:v>-3301000</x:v>
      </x:c>
      <x:c r="F44" s="6" t="n">
        <x:f>F43+E44</x:f>
        <x:v>-50218000</x:v>
      </x:c>
      <x:c r="G44" s="6" t="n">
        <x:v>2135000</x:v>
      </x:c>
      <x:c r="H44" s="6" t="n">
        <x:v>5436000</x:v>
      </x:c>
      <x:c r="I44" s="6" t="n">
        <x:v>142</x:v>
      </x:c>
      <x:c r="J44" s="6" t="n">
        <x:v>0</x:v>
      </x:c>
      <x:c r="K44" s="6" t="n">
        <x:v>0</x:v>
      </x:c>
      <x:c r="L44" s="6" t="n">
        <x:v>10</x:v>
      </x:c>
      <x:c r="M44" s="11" t="n">
        <x:v>0.9057936507936508</x:v>
      </x:c>
      <x:c r="N44" s="6" t="n">
        <x:v>3341000</x:v>
      </x:c>
    </x:row>
    <x:row r="45" ht="24" customHeight="1">
      <x:c r="A45" s="2" t="str">
        <x:v>2026-10-16_Night</x:v>
      </x:c>
      <x:c r="B45" s="6" t="str">
        <x:v>ナイト</x:v>
      </x:c>
      <x:c r="C45" s="6" t="n">
        <x:v>3191000</x:v>
      </x:c>
      <x:c r="D45" s="6" t="n">
        <x:v>5925000</x:v>
      </x:c>
      <x:c r="E45" s="6" t="n">
        <x:f>C45-D45</x:f>
        <x:v>-2734000</x:v>
      </x:c>
      <x:c r="F45" s="6" t="n">
        <x:f>F44+E45</x:f>
        <x:v>-52952000</x:v>
      </x:c>
      <x:c r="G45" s="6" t="n">
        <x:v>3191000</x:v>
      </x:c>
      <x:c r="H45" s="6" t="n">
        <x:v>5925000</x:v>
      </x:c>
      <x:c r="I45" s="6" t="n">
        <x:v>180</x:v>
      </x:c>
      <x:c r="J45" s="6" t="n">
        <x:v>0</x:v>
      </x:c>
      <x:c r="K45" s="6" t="n">
        <x:v>0</x:v>
      </x:c>
      <x:c r="L45" s="6" t="n">
        <x:v>10</x:v>
      </x:c>
      <x:c r="M45" s="11" t="n">
        <x:v>0.9116239316239316</x:v>
      </x:c>
      <x:c r="N45" s="6" t="n">
        <x:v>2907000</x:v>
      </x:c>
    </x:row>
    <x:row r="46" ht="24" customHeight="1">
      <x:c r="A46" s="2" t="str">
        <x:v>2026-10-19_Day</x:v>
      </x:c>
      <x:c r="B46" s="6" t="str">
        <x:v>デイ</x:v>
      </x:c>
      <x:c r="C46" s="6" t="n">
        <x:v>2841000</x:v>
      </x:c>
      <x:c r="D46" s="6" t="n">
        <x:v>4628000</x:v>
      </x:c>
      <x:c r="E46" s="6" t="n">
        <x:f>C46-D46</x:f>
        <x:v>-1787000</x:v>
      </x:c>
      <x:c r="F46" s="6" t="n">
        <x:f>F45+E46</x:f>
        <x:v>-54739000</x:v>
      </x:c>
      <x:c r="G46" s="6" t="n">
        <x:v>2841000</x:v>
      </x:c>
      <x:c r="H46" s="6" t="n">
        <x:v>4628000</x:v>
      </x:c>
      <x:c r="I46" s="6" t="n">
        <x:v>143</x:v>
      </x:c>
      <x:c r="J46" s="6" t="n">
        <x:v>0</x:v>
      </x:c>
      <x:c r="K46" s="6" t="n">
        <x:v>0</x:v>
      </x:c>
      <x:c r="L46" s="6" t="n">
        <x:v>10</x:v>
      </x:c>
      <x:c r="M46" s="11" t="n">
        <x:v>0.8982936507936508</x:v>
      </x:c>
      <x:c r="N46" s="6" t="n">
        <x:v>1985000</x:v>
      </x:c>
    </x:row>
    <x:row r="47" ht="24" customHeight="1">
      <x:c r="A47" s="2" t="str">
        <x:v>2026-10-19_Night</x:v>
      </x:c>
      <x:c r="B47" s="6" t="str">
        <x:v>ナイト</x:v>
      </x:c>
      <x:c r="C47" s="6" t="n">
        <x:v>2296000</x:v>
      </x:c>
      <x:c r="D47" s="6" t="n">
        <x:v>4545000</x:v>
      </x:c>
      <x:c r="E47" s="6" t="n">
        <x:f>C47-D47</x:f>
        <x:v>-2249000</x:v>
      </x:c>
      <x:c r="F47" s="6" t="n">
        <x:f>F46+E47</x:f>
        <x:v>-56988000</x:v>
      </x:c>
      <x:c r="G47" s="6" t="n">
        <x:v>2296000</x:v>
      </x:c>
      <x:c r="H47" s="6" t="n">
        <x:v>4545000</x:v>
      </x:c>
      <x:c r="I47" s="6" t="n">
        <x:v>134</x:v>
      </x:c>
      <x:c r="J47" s="6" t="n">
        <x:v>0</x:v>
      </x:c>
      <x:c r="K47" s="6" t="n">
        <x:v>0</x:v>
      </x:c>
      <x:c r="L47" s="6" t="n">
        <x:v>10</x:v>
      </x:c>
      <x:c r="M47" s="11" t="n">
        <x:v>0.9236965811965812</x:v>
      </x:c>
      <x:c r="N47" s="6" t="n">
        <x:v>2313000</x:v>
      </x:c>
    </x:row>
    <x:row r="48" ht="24" customHeight="1">
      <x:c r="A48" s="2" t="str">
        <x:v>2026-10-20_Day</x:v>
      </x:c>
      <x:c r="B48" s="6" t="str">
        <x:v>デイ</x:v>
      </x:c>
      <x:c r="C48" s="6" t="n">
        <x:v>2710000</x:v>
      </x:c>
      <x:c r="D48" s="6" t="n">
        <x:v>5003000</x:v>
      </x:c>
      <x:c r="E48" s="6" t="n">
        <x:f>C48-D48</x:f>
        <x:v>-2293000</x:v>
      </x:c>
      <x:c r="F48" s="6" t="n">
        <x:f>F47+E48</x:f>
        <x:v>-59281000</x:v>
      </x:c>
      <x:c r="G48" s="6" t="n">
        <x:v>2710000</x:v>
      </x:c>
      <x:c r="H48" s="6" t="n">
        <x:v>5003000</x:v>
      </x:c>
      <x:c r="I48" s="6" t="n">
        <x:v>154</x:v>
      </x:c>
      <x:c r="J48" s="6" t="n">
        <x:v>0</x:v>
      </x:c>
      <x:c r="K48" s="6" t="n">
        <x:v>0</x:v>
      </x:c>
      <x:c r="L48" s="6" t="n">
        <x:v>10</x:v>
      </x:c>
      <x:c r="M48" s="11" t="n">
        <x:v>0.8982539682539683</x:v>
      </x:c>
      <x:c r="N48" s="6" t="n">
        <x:v>2453000</x:v>
      </x:c>
    </x:row>
    <x:row r="49" ht="24" customHeight="1">
      <x:c r="A49" s="2" t="str">
        <x:v>2026-10-20_Night</x:v>
      </x:c>
      <x:c r="B49" s="6" t="str">
        <x:v>ナイト</x:v>
      </x:c>
      <x:c r="C49" s="6" t="n">
        <x:v>3036000</x:v>
      </x:c>
      <x:c r="D49" s="6" t="n">
        <x:v>3988000</x:v>
      </x:c>
      <x:c r="E49" s="6" t="n">
        <x:f>C49-D49</x:f>
        <x:v>-952000</x:v>
      </x:c>
      <x:c r="F49" s="6" t="n">
        <x:f>F48+E49</x:f>
        <x:v>-60233000</x:v>
      </x:c>
      <x:c r="G49" s="6" t="n">
        <x:v>3036000</x:v>
      </x:c>
      <x:c r="H49" s="6" t="n">
        <x:v>3988000</x:v>
      </x:c>
      <x:c r="I49" s="6" t="n">
        <x:v>150</x:v>
      </x:c>
      <x:c r="J49" s="6" t="n">
        <x:v>0</x:v>
      </x:c>
      <x:c r="K49" s="6" t="n">
        <x:v>0</x:v>
      </x:c>
      <x:c r="L49" s="6" t="n">
        <x:v>10</x:v>
      </x:c>
      <x:c r="M49" s="11" t="n">
        <x:v>0.8893376068376069</x:v>
      </x:c>
      <x:c r="N49" s="6" t="n">
        <x:v>1280000</x:v>
      </x:c>
    </x:row>
    <x:row r="50" ht="24" customHeight="1">
      <x:c r="A50" s="2" t="str">
        <x:v>2026-10-21_Day</x:v>
      </x:c>
      <x:c r="B50" s="6" t="str">
        <x:v>デイ</x:v>
      </x:c>
      <x:c r="C50" s="6" t="n">
        <x:v>2347000</x:v>
      </x:c>
      <x:c r="D50" s="6" t="n">
        <x:v>4098000</x:v>
      </x:c>
      <x:c r="E50" s="6" t="n">
        <x:f>C50-D50</x:f>
        <x:v>-1751000</x:v>
      </x:c>
      <x:c r="F50" s="6" t="n">
        <x:f>F49+E50</x:f>
        <x:v>-61984000</x:v>
      </x:c>
      <x:c r="G50" s="6" t="n">
        <x:v>2347000</x:v>
      </x:c>
      <x:c r="H50" s="6" t="n">
        <x:v>4098000</x:v>
      </x:c>
      <x:c r="I50" s="6" t="n">
        <x:v>126</x:v>
      </x:c>
      <x:c r="J50" s="6" t="n">
        <x:v>0</x:v>
      </x:c>
      <x:c r="K50" s="6" t="n">
        <x:v>0</x:v>
      </x:c>
      <x:c r="L50" s="6" t="n">
        <x:v>10</x:v>
      </x:c>
      <x:c r="M50" s="11" t="n">
        <x:v>0.9111507936507937</x:v>
      </x:c>
      <x:c r="N50" s="6" t="n">
        <x:v>1831000</x:v>
      </x:c>
    </x:row>
    <x:row r="51" ht="24" customHeight="1">
      <x:c r="A51" s="2" t="str">
        <x:v>2026-10-21_Night</x:v>
      </x:c>
      <x:c r="B51" s="6" t="str">
        <x:v>ナイト</x:v>
      </x:c>
      <x:c r="C51" s="6" t="n">
        <x:v>2469000</x:v>
      </x:c>
      <x:c r="D51" s="6" t="n">
        <x:v>3499000</x:v>
      </x:c>
      <x:c r="E51" s="6" t="n">
        <x:f>C51-D51</x:f>
        <x:v>-1030000</x:v>
      </x:c>
      <x:c r="F51" s="6" t="n">
        <x:f>F50+E51</x:f>
        <x:v>-63014000</x:v>
      </x:c>
      <x:c r="G51" s="6" t="n">
        <x:v>2469000</x:v>
      </x:c>
      <x:c r="H51" s="6" t="n">
        <x:v>3499000</x:v>
      </x:c>
      <x:c r="I51" s="6" t="n">
        <x:v>128</x:v>
      </x:c>
      <x:c r="J51" s="6" t="n">
        <x:v>0</x:v>
      </x:c>
      <x:c r="K51" s="6" t="n">
        <x:v>0</x:v>
      </x:c>
      <x:c r="L51" s="6" t="n">
        <x:v>10</x:v>
      </x:c>
      <x:c r="M51" s="11" t="n">
        <x:v>0.9188461538461539</x:v>
      </x:c>
      <x:c r="N51" s="6" t="n">
        <x:v>1304000</x:v>
      </x:c>
    </x:row>
    <x:row r="52" ht="24" customHeight="1">
      <x:c r="A52" s="2" t="str">
        <x:v>2026-10-22_Day</x:v>
      </x:c>
      <x:c r="B52" s="6" t="str">
        <x:v>デイ</x:v>
      </x:c>
      <x:c r="C52" s="6" t="n">
        <x:v>2513000</x:v>
      </x:c>
      <x:c r="D52" s="6" t="n">
        <x:v>4842000</x:v>
      </x:c>
      <x:c r="E52" s="6" t="n">
        <x:f>C52-D52</x:f>
        <x:v>-2329000</x:v>
      </x:c>
      <x:c r="F52" s="6" t="n">
        <x:f>F51+E52</x:f>
        <x:v>-65343000</x:v>
      </x:c>
      <x:c r="G52" s="6" t="n">
        <x:v>2513000</x:v>
      </x:c>
      <x:c r="H52" s="6" t="n">
        <x:v>4842000</x:v>
      </x:c>
      <x:c r="I52" s="6" t="n">
        <x:v>150</x:v>
      </x:c>
      <x:c r="J52" s="6" t="n">
        <x:v>0</x:v>
      </x:c>
      <x:c r="K52" s="6" t="n">
        <x:v>0</x:v>
      </x:c>
      <x:c r="L52" s="6" t="n">
        <x:v>10</x:v>
      </x:c>
      <x:c r="M52" s="11" t="n">
        <x:v>0.8961507936507936</x:v>
      </x:c>
      <x:c r="N52" s="6" t="n">
        <x:v>2713000</x:v>
      </x:c>
    </x:row>
    <x:row r="53" ht="24" customHeight="1">
      <x:c r="A53" s="2" t="str">
        <x:v>2026-10-22_Night</x:v>
      </x:c>
      <x:c r="B53" s="6" t="str">
        <x:v>ナイト</x:v>
      </x:c>
      <x:c r="C53" s="6" t="n">
        <x:v>2948000</x:v>
      </x:c>
      <x:c r="D53" s="6" t="n">
        <x:v>4863000</x:v>
      </x:c>
      <x:c r="E53" s="6" t="n">
        <x:f>C53-D53</x:f>
        <x:v>-1915000</x:v>
      </x:c>
      <x:c r="F53" s="6" t="n">
        <x:f>F52+E53</x:f>
        <x:v>-67258000</x:v>
      </x:c>
      <x:c r="G53" s="6" t="n">
        <x:v>2948000</x:v>
      </x:c>
      <x:c r="H53" s="6" t="n">
        <x:v>4863000</x:v>
      </x:c>
      <x:c r="I53" s="6" t="n">
        <x:v>159</x:v>
      </x:c>
      <x:c r="J53" s="6" t="n">
        <x:v>0</x:v>
      </x:c>
      <x:c r="K53" s="6" t="n">
        <x:v>0</x:v>
      </x:c>
      <x:c r="L53" s="6" t="n">
        <x:v>10</x:v>
      </x:c>
      <x:c r="M53" s="11" t="n">
        <x:v>0.9108547008547009</x:v>
      </x:c>
      <x:c r="N53" s="6" t="n">
        <x:v>2128000</x:v>
      </x:c>
    </x:row>
    <x:row r="54" ht="24" customHeight="1">
      <x:c r="A54" s="2" t="str">
        <x:v>2026-10-23_Day</x:v>
      </x:c>
      <x:c r="B54" s="6" t="str">
        <x:v>デイ</x:v>
      </x:c>
      <x:c r="C54" s="6" t="n">
        <x:v>4320000</x:v>
      </x:c>
      <x:c r="D54" s="6" t="n">
        <x:v>9020000</x:v>
      </x:c>
      <x:c r="E54" s="6" t="n">
        <x:f>C54-D54</x:f>
        <x:v>-4700000</x:v>
      </x:c>
      <x:c r="F54" s="6" t="n">
        <x:f>F53+E54</x:f>
        <x:v>-71958000</x:v>
      </x:c>
      <x:c r="G54" s="6" t="n">
        <x:v>4320000</x:v>
      </x:c>
      <x:c r="H54" s="6" t="n">
        <x:v>9020000</x:v>
      </x:c>
      <x:c r="I54" s="6" t="n">
        <x:v>248</x:v>
      </x:c>
      <x:c r="J54" s="6" t="n">
        <x:v>0</x:v>
      </x:c>
      <x:c r="K54" s="6" t="n">
        <x:v>0</x:v>
      </x:c>
      <x:c r="L54" s="6" t="n">
        <x:v>10</x:v>
      </x:c>
      <x:c r="M54" s="11" t="n">
        <x:v>0.8633730158730158</x:v>
      </x:c>
      <x:c r="N54" s="6" t="n">
        <x:v>4960000</x:v>
      </x:c>
    </x:row>
    <x:row r="55" ht="24" customHeight="1">
      <x:c r="A55" s="2" t="str">
        <x:v>2026-10-23_Night</x:v>
      </x:c>
      <x:c r="B55" s="6" t="str">
        <x:v>ナイト</x:v>
      </x:c>
      <x:c r="C55" s="6" t="n">
        <x:v>2427000</x:v>
      </x:c>
      <x:c r="D55" s="6" t="n">
        <x:v>4173000</x:v>
      </x:c>
      <x:c r="E55" s="6" t="n">
        <x:f>C55-D55</x:f>
        <x:v>-1746000</x:v>
      </x:c>
      <x:c r="F55" s="6" t="n">
        <x:f>F54+E55</x:f>
        <x:v>-73704000</x:v>
      </x:c>
      <x:c r="G55" s="6" t="n">
        <x:v>2427000</x:v>
      </x:c>
      <x:c r="H55" s="6" t="n">
        <x:v>4173000</x:v>
      </x:c>
      <x:c r="I55" s="6" t="n">
        <x:v>142</x:v>
      </x:c>
      <x:c r="J55" s="6" t="n">
        <x:v>0</x:v>
      </x:c>
      <x:c r="K55" s="6" t="n">
        <x:v>0</x:v>
      </x:c>
      <x:c r="L55" s="6" t="n">
        <x:v>10</x:v>
      </x:c>
      <x:c r="M55" s="11" t="n">
        <x:v>0.9264743589743589</x:v>
      </x:c>
      <x:c r="N55" s="6" t="n">
        <x:v>1849000</x:v>
      </x:c>
    </x:row>
    <x:row r="56" ht="24" customHeight="1">
      <x:c r="A56" s="2" t="str">
        <x:v>2026-10-26_Day</x:v>
      </x:c>
      <x:c r="B56" s="6" t="str">
        <x:v>デイ</x:v>
      </x:c>
      <x:c r="C56" s="6" t="n">
        <x:v>3224000</x:v>
      </x:c>
      <x:c r="D56" s="6" t="n">
        <x:v>5379000</x:v>
      </x:c>
      <x:c r="E56" s="6" t="n">
        <x:f>C56-D56</x:f>
        <x:v>-2155000</x:v>
      </x:c>
      <x:c r="F56" s="6" t="n">
        <x:f>F55+E56</x:f>
        <x:v>-75859000</x:v>
      </x:c>
      <x:c r="G56" s="6" t="n">
        <x:v>3224000</x:v>
      </x:c>
      <x:c r="H56" s="6" t="n">
        <x:v>5379000</x:v>
      </x:c>
      <x:c r="I56" s="6" t="n">
        <x:v>176</x:v>
      </x:c>
      <x:c r="J56" s="6" t="n">
        <x:v>0</x:v>
      </x:c>
      <x:c r="K56" s="6" t="n">
        <x:v>0</x:v>
      </x:c>
      <x:c r="L56" s="6" t="n">
        <x:v>10</x:v>
      </x:c>
      <x:c r="M56" s="11" t="n">
        <x:v>0.8852380952380953</x:v>
      </x:c>
      <x:c r="N56" s="6" t="n">
        <x:v>2438000</x:v>
      </x:c>
    </x:row>
    <x:row r="57" ht="24" customHeight="1">
      <x:c r="A57" s="15" t="str">
        <x:v>累計／平均／最大</x:v>
      </x:c>
      <x:c r="B57" s="16"/>
      <x:c r="C57" s="16" t="n">
        <x:f>SUM(C6:C56)</x:f>
        <x:v>95431000</x:v>
      </x:c>
      <x:c r="D57" s="16" t="n">
        <x:f>SUM(D6:D56)</x:f>
        <x:v>171290000</x:v>
      </x:c>
      <x:c r="E57" s="16" t="n">
        <x:f>C57-D57</x:f>
        <x:v>-75859000</x:v>
      </x:c>
      <x:c r="F57" s="16" t="n">
        <x:f>F56</x:f>
        <x:v>-75859000</x:v>
      </x:c>
      <x:c r="G57" s="16" t="n">
        <x:f>SUM(G6:G56)</x:f>
        <x:v>95431000</x:v>
      </x:c>
      <x:c r="H57" s="16" t="n">
        <x:f>SUM(H6:H56)</x:f>
        <x:v>171290000</x:v>
      </x:c>
      <x:c r="I57" s="16" t="n">
        <x:f>SUM(I6:I56)</x:f>
        <x:v>5251</x:v>
      </x:c>
      <x:c r="J57" s="16" t="n">
        <x:f>SUM(J6:J56)</x:f>
        <x:v>0</x:v>
      </x:c>
      <x:c r="K57" s="16" t="n">
        <x:f>SUM(K6:K56)</x:f>
        <x:v>0</x:v>
      </x:c>
      <x:c r="L57" s="16" t="n">
        <x:f>MAX(L6:L56)</x:f>
        <x:v>10</x:v>
      </x:c>
      <x:c r="M57" s="17" t="n">
        <x:f>AVERAGE(M6:M56)</x:f>
        <x:v>0.917981816658287</x:v>
      </x:c>
      <x:c r="N57" s="16" t="n">
        <x:f>MAX(N6:N56)</x:f>
        <x:v>4960000</x:v>
      </x:c>
    </x:row>
  </x:sheetData>
  <x:conditionalFormatting sqref="E6:F56">
    <x:cfRule type="cellIs" dxfId="8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d2946ce200d4207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1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4" customHeight="1">
      <x:c r="A1" s="3" t="str">
        <x:v>日経 M02　各セッションの利益・損失・収支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A2" s="4" t="str">
        <x:v>2026/09/21〜10/26デイ・51完了場。日経mini／TOPIXmini各上限10枚・手数料0。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4" customHeight="1">
      <x:c r="A3" s="4" t="str">
        <x:v>60秒の時間加重平均を30秒前と比較。入口だけ傾き比例枚数、利益追尾＋傾き反転で返済。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4" customHeight="1">
      <x:c r="A4" s="4" t="str">
        <x:v>利益・損失＝FIFO返済配賦別。親＝初回から全返済まで。ラージ気配による模型で、mini実約定の検証ではありません。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42" customHeight="1">
      <x:c r="A5" s="10" t="str">
        <x:v>セッション</x:v>
      </x:c>
      <x:c r="B5" s="10" t="str">
        <x:v>区分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親利益（円）</x:v>
      </x:c>
      <x:c r="H5" s="10" t="str">
        <x:v>親損失（円）</x:v>
      </x:c>
      <x:c r="I5" s="10" t="str">
        <x:v>初回件数</x:v>
      </x:c>
      <x:c r="J5" s="10" t="str">
        <x:v>追加件数</x:v>
      </x:c>
      <x:c r="K5" s="10" t="str">
        <x:v>縮小件数</x:v>
      </x:c>
      <x:c r="L5" s="10" t="str">
        <x:v>最大保有枚数</x:v>
      </x:c>
      <x:c r="M5" s="10" t="str">
        <x:v>保有時間率</x:v>
      </x:c>
      <x:c r="N5" s="10" t="str">
        <x:v>時価最大DD（円）</x:v>
      </x:c>
    </x:row>
    <x:row r="6" ht="24" customHeight="1">
      <x:c r="A6" s="2" t="str">
        <x:v>2026-09-21_Day</x:v>
      </x:c>
      <x:c r="B6" s="6" t="str">
        <x:v>デイ</x:v>
      </x:c>
      <x:c r="C6" s="6" t="n">
        <x:v>815000</x:v>
      </x:c>
      <x:c r="D6" s="6" t="n">
        <x:v>2588000</x:v>
      </x:c>
      <x:c r="E6" s="6" t="n">
        <x:f>C6-D6</x:f>
        <x:v>-1773000</x:v>
      </x:c>
      <x:c r="F6" s="6" t="n">
        <x:f>E6</x:f>
        <x:v>-1773000</x:v>
      </x:c>
      <x:c r="G6" s="6" t="n">
        <x:v>815000</x:v>
      </x:c>
      <x:c r="H6" s="6" t="n">
        <x:v>2588000</x:v>
      </x:c>
      <x:c r="I6" s="6" t="n">
        <x:v>167</x:v>
      </x:c>
      <x:c r="J6" s="6" t="n">
        <x:v>0</x:v>
      </x:c>
      <x:c r="K6" s="6" t="n">
        <x:v>0</x:v>
      </x:c>
      <x:c r="L6" s="6" t="n">
        <x:v>10</x:v>
      </x:c>
      <x:c r="M6" s="11" t="n">
        <x:v>0.6392460317460318</x:v>
      </x:c>
      <x:c r="N6" s="6" t="n">
        <x:v>1785000</x:v>
      </x:c>
    </x:row>
    <x:row r="7" ht="24" customHeight="1">
      <x:c r="A7" s="2" t="str">
        <x:v>2026-09-21_Night</x:v>
      </x:c>
      <x:c r="B7" s="6" t="str">
        <x:v>ナイト</x:v>
      </x:c>
      <x:c r="C7" s="6" t="n">
        <x:v>430000</x:v>
      </x:c>
      <x:c r="D7" s="6" t="n">
        <x:v>2415000</x:v>
      </x:c>
      <x:c r="E7" s="6" t="n">
        <x:f>C7-D7</x:f>
        <x:v>-1985000</x:v>
      </x:c>
      <x:c r="F7" s="6" t="n">
        <x:f>F6+E7</x:f>
        <x:v>-3758000</x:v>
      </x:c>
      <x:c r="G7" s="6" t="n">
        <x:v>430000</x:v>
      </x:c>
      <x:c r="H7" s="6" t="n">
        <x:v>2415000</x:v>
      </x:c>
      <x:c r="I7" s="6" t="n">
        <x:v>247</x:v>
      </x:c>
      <x:c r="J7" s="6" t="n">
        <x:v>0</x:v>
      </x:c>
      <x:c r="K7" s="6" t="n">
        <x:v>0</x:v>
      </x:c>
      <x:c r="L7" s="6" t="n">
        <x:v>10</x:v>
      </x:c>
      <x:c r="M7" s="11" t="n">
        <x:v>0.612948717948718</x:v>
      </x:c>
      <x:c r="N7" s="6" t="n">
        <x:v>2049000</x:v>
      </x:c>
    </x:row>
    <x:row r="8" ht="24" customHeight="1">
      <x:c r="A8" s="2" t="str">
        <x:v>2026-09-22_Day</x:v>
      </x:c>
      <x:c r="B8" s="6" t="str">
        <x:v>デイ</x:v>
      </x:c>
      <x:c r="C8" s="6" t="n">
        <x:v>785000</x:v>
      </x:c>
      <x:c r="D8" s="6" t="n">
        <x:v>3638000</x:v>
      </x:c>
      <x:c r="E8" s="6" t="n">
        <x:f>C8-D8</x:f>
        <x:v>-2853000</x:v>
      </x:c>
      <x:c r="F8" s="6" t="n">
        <x:f>F7+E8</x:f>
        <x:v>-6611000</x:v>
      </x:c>
      <x:c r="G8" s="6" t="n">
        <x:v>785000</x:v>
      </x:c>
      <x:c r="H8" s="6" t="n">
        <x:v>3638000</x:v>
      </x:c>
      <x:c r="I8" s="6" t="n">
        <x:v>210</x:v>
      </x:c>
      <x:c r="J8" s="6" t="n">
        <x:v>0</x:v>
      </x:c>
      <x:c r="K8" s="6" t="n">
        <x:v>0</x:v>
      </x:c>
      <x:c r="L8" s="6" t="n">
        <x:v>10</x:v>
      </x:c>
      <x:c r="M8" s="11" t="n">
        <x:v>0.6765476190476191</x:v>
      </x:c>
      <x:c r="N8" s="6" t="n">
        <x:v>2868000</x:v>
      </x:c>
    </x:row>
    <x:row r="9" ht="24" customHeight="1">
      <x:c r="A9" s="2" t="str">
        <x:v>2026-09-22_Night</x:v>
      </x:c>
      <x:c r="B9" s="6" t="str">
        <x:v>ナイト</x:v>
      </x:c>
      <x:c r="C9" s="6" t="n">
        <x:v>1188000</x:v>
      </x:c>
      <x:c r="D9" s="6" t="n">
        <x:v>4591000</x:v>
      </x:c>
      <x:c r="E9" s="6" t="n">
        <x:f>C9-D9</x:f>
        <x:v>-3403000</x:v>
      </x:c>
      <x:c r="F9" s="6" t="n">
        <x:f>F8+E9</x:f>
        <x:v>-10014000</x:v>
      </x:c>
      <x:c r="G9" s="6" t="n">
        <x:v>1188000</x:v>
      </x:c>
      <x:c r="H9" s="6" t="n">
        <x:v>4591000</x:v>
      </x:c>
      <x:c r="I9" s="6" t="n">
        <x:v>317</x:v>
      </x:c>
      <x:c r="J9" s="6" t="n">
        <x:v>0</x:v>
      </x:c>
      <x:c r="K9" s="6" t="n">
        <x:v>0</x:v>
      </x:c>
      <x:c r="L9" s="6" t="n">
        <x:v>10</x:v>
      </x:c>
      <x:c r="M9" s="11" t="n">
        <x:v>0.6098076923076923</x:v>
      </x:c>
      <x:c r="N9" s="6" t="n">
        <x:v>3417000</x:v>
      </x:c>
    </x:row>
    <x:row r="10" ht="24" customHeight="1">
      <x:c r="A10" s="2" t="str">
        <x:v>2026-09-23_Day</x:v>
      </x:c>
      <x:c r="B10" s="6" t="str">
        <x:v>デイ</x:v>
      </x:c>
      <x:c r="C10" s="6" t="n">
        <x:v>377000</x:v>
      </x:c>
      <x:c r="D10" s="6" t="n">
        <x:v>2393000</x:v>
      </x:c>
      <x:c r="E10" s="6" t="n">
        <x:f>C10-D10</x:f>
        <x:v>-2016000</x:v>
      </x:c>
      <x:c r="F10" s="6" t="n">
        <x:f>F9+E10</x:f>
        <x:v>-12030000</x:v>
      </x:c>
      <x:c r="G10" s="6" t="n">
        <x:v>377000</x:v>
      </x:c>
      <x:c r="H10" s="6" t="n">
        <x:v>2393000</x:v>
      </x:c>
      <x:c r="I10" s="6" t="n">
        <x:v>172</x:v>
      </x:c>
      <x:c r="J10" s="6" t="n">
        <x:v>0</x:v>
      </x:c>
      <x:c r="K10" s="6" t="n">
        <x:v>0</x:v>
      </x:c>
      <x:c r="L10" s="6" t="n">
        <x:v>10</x:v>
      </x:c>
      <x:c r="M10" s="11" t="n">
        <x:v>0.6196825396825397</x:v>
      </x:c>
      <x:c r="N10" s="6" t="n">
        <x:v>2029000</x:v>
      </x:c>
    </x:row>
    <x:row r="11" ht="24" customHeight="1">
      <x:c r="A11" s="2" t="str">
        <x:v>2026-09-23_Night</x:v>
      </x:c>
      <x:c r="B11" s="6" t="str">
        <x:v>ナイト</x:v>
      </x:c>
      <x:c r="C11" s="6" t="n">
        <x:v>1073000</x:v>
      </x:c>
      <x:c r="D11" s="6" t="n">
        <x:v>3216000</x:v>
      </x:c>
      <x:c r="E11" s="6" t="n">
        <x:f>C11-D11</x:f>
        <x:v>-2143000</x:v>
      </x:c>
      <x:c r="F11" s="6" t="n">
        <x:f>F10+E11</x:f>
        <x:v>-14173000</x:v>
      </x:c>
      <x:c r="G11" s="6" t="n">
        <x:v>1073000</x:v>
      </x:c>
      <x:c r="H11" s="6" t="n">
        <x:v>3216000</x:v>
      </x:c>
      <x:c r="I11" s="6" t="n">
        <x:v>270</x:v>
      </x:c>
      <x:c r="J11" s="6" t="n">
        <x:v>0</x:v>
      </x:c>
      <x:c r="K11" s="6" t="n">
        <x:v>0</x:v>
      </x:c>
      <x:c r="L11" s="6" t="n">
        <x:v>10</x:v>
      </x:c>
      <x:c r="M11" s="11" t="n">
        <x:v>0.6332905982905983</x:v>
      </x:c>
      <x:c r="N11" s="6" t="n">
        <x:v>2179000</x:v>
      </x:c>
    </x:row>
    <x:row r="12" ht="24" customHeight="1">
      <x:c r="A12" s="2" t="str">
        <x:v>2026-09-24_Day</x:v>
      </x:c>
      <x:c r="B12" s="6" t="str">
        <x:v>デイ</x:v>
      </x:c>
      <x:c r="C12" s="6" t="n">
        <x:v>1622000</x:v>
      </x:c>
      <x:c r="D12" s="6" t="n">
        <x:v>4956000</x:v>
      </x:c>
      <x:c r="E12" s="6" t="n">
        <x:f>C12-D12</x:f>
        <x:v>-3334000</x:v>
      </x:c>
      <x:c r="F12" s="6" t="n">
        <x:f>F11+E12</x:f>
        <x:v>-17507000</x:v>
      </x:c>
      <x:c r="G12" s="6" t="n">
        <x:v>1622000</x:v>
      </x:c>
      <x:c r="H12" s="6" t="n">
        <x:v>4956000</x:v>
      </x:c>
      <x:c r="I12" s="6" t="n">
        <x:v>319</x:v>
      </x:c>
      <x:c r="J12" s="6" t="n">
        <x:v>0</x:v>
      </x:c>
      <x:c r="K12" s="6" t="n">
        <x:v>0</x:v>
      </x:c>
      <x:c r="L12" s="6" t="n">
        <x:v>10</x:v>
      </x:c>
      <x:c r="M12" s="11" t="n">
        <x:v>0.7719047619047619</x:v>
      </x:c>
      <x:c r="N12" s="6" t="n">
        <x:v>3414000</x:v>
      </x:c>
    </x:row>
    <x:row r="13" ht="24" customHeight="1">
      <x:c r="A13" s="2" t="str">
        <x:v>2026-09-24_Night</x:v>
      </x:c>
      <x:c r="B13" s="6" t="str">
        <x:v>ナイト</x:v>
      </x:c>
      <x:c r="C13" s="6" t="n">
        <x:v>2226000</x:v>
      </x:c>
      <x:c r="D13" s="6" t="n">
        <x:v>5967000</x:v>
      </x:c>
      <x:c r="E13" s="6" t="n">
        <x:f>C13-D13</x:f>
        <x:v>-3741000</x:v>
      </x:c>
      <x:c r="F13" s="6" t="n">
        <x:f>F12+E13</x:f>
        <x:v>-21248000</x:v>
      </x:c>
      <x:c r="G13" s="6" t="n">
        <x:v>2226000</x:v>
      </x:c>
      <x:c r="H13" s="6" t="n">
        <x:v>5967000</x:v>
      </x:c>
      <x:c r="I13" s="6" t="n">
        <x:v>411</x:v>
      </x:c>
      <x:c r="J13" s="6" t="n">
        <x:v>0</x:v>
      </x:c>
      <x:c r="K13" s="6" t="n">
        <x:v>0</x:v>
      </x:c>
      <x:c r="L13" s="6" t="n">
        <x:v>10</x:v>
      </x:c>
      <x:c r="M13" s="11" t="n">
        <x:v>0.6936111111111111</x:v>
      </x:c>
      <x:c r="N13" s="6" t="n">
        <x:v>3761000</x:v>
      </x:c>
    </x:row>
    <x:row r="14" ht="24" customHeight="1">
      <x:c r="A14" s="2" t="str">
        <x:v>2026-09-25_Day</x:v>
      </x:c>
      <x:c r="B14" s="6" t="str">
        <x:v>デイ</x:v>
      </x:c>
      <x:c r="C14" s="6" t="n">
        <x:v>1277000</x:v>
      </x:c>
      <x:c r="D14" s="6" t="n">
        <x:v>4396000</x:v>
      </x:c>
      <x:c r="E14" s="6" t="n">
        <x:f>C14-D14</x:f>
        <x:v>-3119000</x:v>
      </x:c>
      <x:c r="F14" s="6" t="n">
        <x:f>F13+E14</x:f>
        <x:v>-24367000</x:v>
      </x:c>
      <x:c r="G14" s="6" t="n">
        <x:v>1277000</x:v>
      </x:c>
      <x:c r="H14" s="6" t="n">
        <x:v>4396000</x:v>
      </x:c>
      <x:c r="I14" s="6" t="n">
        <x:v>286</x:v>
      </x:c>
      <x:c r="J14" s="6" t="n">
        <x:v>0</x:v>
      </x:c>
      <x:c r="K14" s="6" t="n">
        <x:v>0</x:v>
      </x:c>
      <x:c r="L14" s="6" t="n">
        <x:v>10</x:v>
      </x:c>
      <x:c r="M14" s="11" t="n">
        <x:v>0.7869047619047619</x:v>
      </x:c>
      <x:c r="N14" s="6" t="n">
        <x:v>3141000</x:v>
      </x:c>
    </x:row>
    <x:row r="15" ht="24" customHeight="1">
      <x:c r="A15" s="2" t="str">
        <x:v>2026-09-25_Night</x:v>
      </x:c>
      <x:c r="B15" s="6" t="str">
        <x:v>ナイト</x:v>
      </x:c>
      <x:c r="C15" s="6" t="n">
        <x:v>1520000</x:v>
      </x:c>
      <x:c r="D15" s="6" t="n">
        <x:v>4427000</x:v>
      </x:c>
      <x:c r="E15" s="6" t="n">
        <x:f>C15-D15</x:f>
        <x:v>-2907000</x:v>
      </x:c>
      <x:c r="F15" s="6" t="n">
        <x:f>F14+E15</x:f>
        <x:v>-27274000</x:v>
      </x:c>
      <x:c r="G15" s="6" t="n">
        <x:v>1520000</x:v>
      </x:c>
      <x:c r="H15" s="6" t="n">
        <x:v>4427000</x:v>
      </x:c>
      <x:c r="I15" s="6" t="n">
        <x:v>333</x:v>
      </x:c>
      <x:c r="J15" s="6" t="n">
        <x:v>0</x:v>
      </x:c>
      <x:c r="K15" s="6" t="n">
        <x:v>0</x:v>
      </x:c>
      <x:c r="L15" s="6" t="n">
        <x:v>10</x:v>
      </x:c>
      <x:c r="M15" s="11" t="n">
        <x:v>0.6444871794871795</x:v>
      </x:c>
      <x:c r="N15" s="6" t="n">
        <x:v>2993000</x:v>
      </x:c>
    </x:row>
    <x:row r="16" ht="24" customHeight="1">
      <x:c r="A16" s="2" t="str">
        <x:v>2026-09-28_Day</x:v>
      </x:c>
      <x:c r="B16" s="6" t="str">
        <x:v>デイ</x:v>
      </x:c>
      <x:c r="C16" s="6" t="n">
        <x:v>1724000</x:v>
      </x:c>
      <x:c r="D16" s="6" t="n">
        <x:v>6167000</x:v>
      </x:c>
      <x:c r="E16" s="6" t="n">
        <x:f>C16-D16</x:f>
        <x:v>-4443000</x:v>
      </x:c>
      <x:c r="F16" s="6" t="n">
        <x:f>F15+E16</x:f>
        <x:v>-31717000</x:v>
      </x:c>
      <x:c r="G16" s="6" t="n">
        <x:v>1724000</x:v>
      </x:c>
      <x:c r="H16" s="6" t="n">
        <x:v>6167000</x:v>
      </x:c>
      <x:c r="I16" s="6" t="n">
        <x:v>315</x:v>
      </x:c>
      <x:c r="J16" s="6" t="n">
        <x:v>0</x:v>
      </x:c>
      <x:c r="K16" s="6" t="n">
        <x:v>0</x:v>
      </x:c>
      <x:c r="L16" s="6" t="n">
        <x:v>10</x:v>
      </x:c>
      <x:c r="M16" s="11" t="n">
        <x:v>0.7783333333333333</x:v>
      </x:c>
      <x:c r="N16" s="6" t="n">
        <x:v>4597000</x:v>
      </x:c>
    </x:row>
    <x:row r="17" ht="24" customHeight="1">
      <x:c r="A17" s="2" t="str">
        <x:v>2026-09-28_Night</x:v>
      </x:c>
      <x:c r="B17" s="6" t="str">
        <x:v>ナイト</x:v>
      </x:c>
      <x:c r="C17" s="6" t="n">
        <x:v>2465000</x:v>
      </x:c>
      <x:c r="D17" s="6" t="n">
        <x:v>5211000</x:v>
      </x:c>
      <x:c r="E17" s="6" t="n">
        <x:f>C17-D17</x:f>
        <x:v>-2746000</x:v>
      </x:c>
      <x:c r="F17" s="6" t="n">
        <x:f>F16+E17</x:f>
        <x:v>-34463000</x:v>
      </x:c>
      <x:c r="G17" s="6" t="n">
        <x:v>2465000</x:v>
      </x:c>
      <x:c r="H17" s="6" t="n">
        <x:v>5211000</x:v>
      </x:c>
      <x:c r="I17" s="6" t="n">
        <x:v>375</x:v>
      </x:c>
      <x:c r="J17" s="6" t="n">
        <x:v>0</x:v>
      </x:c>
      <x:c r="K17" s="6" t="n">
        <x:v>0</x:v>
      </x:c>
      <x:c r="L17" s="6" t="n">
        <x:v>10</x:v>
      </x:c>
      <x:c r="M17" s="11" t="n">
        <x:v>0.6811538461538461</x:v>
      </x:c>
      <x:c r="N17" s="6" t="n">
        <x:v>2759000</x:v>
      </x:c>
    </x:row>
    <x:row r="18" ht="24" customHeight="1">
      <x:c r="A18" s="2" t="str">
        <x:v>2026-09-29_Day</x:v>
      </x:c>
      <x:c r="B18" s="6" t="str">
        <x:v>デイ</x:v>
      </x:c>
      <x:c r="C18" s="6" t="n">
        <x:v>2106000</x:v>
      </x:c>
      <x:c r="D18" s="6" t="n">
        <x:v>5924000</x:v>
      </x:c>
      <x:c r="E18" s="6" t="n">
        <x:f>C18-D18</x:f>
        <x:v>-3818000</x:v>
      </x:c>
      <x:c r="F18" s="6" t="n">
        <x:f>F17+E18</x:f>
        <x:v>-38281000</x:v>
      </x:c>
      <x:c r="G18" s="6" t="n">
        <x:v>2106000</x:v>
      </x:c>
      <x:c r="H18" s="6" t="n">
        <x:v>5924000</x:v>
      </x:c>
      <x:c r="I18" s="6" t="n">
        <x:v>338</x:v>
      </x:c>
      <x:c r="J18" s="6" t="n">
        <x:v>0</x:v>
      </x:c>
      <x:c r="K18" s="6" t="n">
        <x:v>0</x:v>
      </x:c>
      <x:c r="L18" s="6" t="n">
        <x:v>10</x:v>
      </x:c>
      <x:c r="M18" s="11" t="n">
        <x:v>0.7903968253968254</x:v>
      </x:c>
      <x:c r="N18" s="6" t="n">
        <x:v>3830000</x:v>
      </x:c>
    </x:row>
    <x:row r="19" ht="24" customHeight="1">
      <x:c r="A19" s="2" t="str">
        <x:v>2026-09-29_Night</x:v>
      </x:c>
      <x:c r="B19" s="6" t="str">
        <x:v>ナイト</x:v>
      </x:c>
      <x:c r="C19" s="6" t="n">
        <x:v>1411000</x:v>
      </x:c>
      <x:c r="D19" s="6" t="n">
        <x:v>5224000</x:v>
      </x:c>
      <x:c r="E19" s="6" t="n">
        <x:f>C19-D19</x:f>
        <x:v>-3813000</x:v>
      </x:c>
      <x:c r="F19" s="6" t="n">
        <x:f>F18+E19</x:f>
        <x:v>-42094000</x:v>
      </x:c>
      <x:c r="G19" s="6" t="n">
        <x:v>1411000</x:v>
      </x:c>
      <x:c r="H19" s="6" t="n">
        <x:v>5224000</x:v>
      </x:c>
      <x:c r="I19" s="6" t="n">
        <x:v>377</x:v>
      </x:c>
      <x:c r="J19" s="6" t="n">
        <x:v>0</x:v>
      </x:c>
      <x:c r="K19" s="6" t="n">
        <x:v>0</x:v>
      </x:c>
      <x:c r="L19" s="6" t="n">
        <x:v>10</x:v>
      </x:c>
      <x:c r="M19" s="11" t="n">
        <x:v>0.6633547008547008</x:v>
      </x:c>
      <x:c r="N19" s="6" t="n">
        <x:v>3814000</x:v>
      </x:c>
    </x:row>
    <x:row r="20" ht="24" customHeight="1">
      <x:c r="A20" s="2" t="str">
        <x:v>2026-09-30_Day</x:v>
      </x:c>
      <x:c r="B20" s="6" t="str">
        <x:v>デイ</x:v>
      </x:c>
      <x:c r="C20" s="6" t="n">
        <x:v>1617000</x:v>
      </x:c>
      <x:c r="D20" s="6" t="n">
        <x:v>4807000</x:v>
      </x:c>
      <x:c r="E20" s="6" t="n">
        <x:f>C20-D20</x:f>
        <x:v>-3190000</x:v>
      </x:c>
      <x:c r="F20" s="6" t="n">
        <x:f>F19+E20</x:f>
        <x:v>-45284000</x:v>
      </x:c>
      <x:c r="G20" s="6" t="n">
        <x:v>1617000</x:v>
      </x:c>
      <x:c r="H20" s="6" t="n">
        <x:v>4807000</x:v>
      </x:c>
      <x:c r="I20" s="6" t="n">
        <x:v>291</x:v>
      </x:c>
      <x:c r="J20" s="6" t="n">
        <x:v>0</x:v>
      </x:c>
      <x:c r="K20" s="6" t="n">
        <x:v>0</x:v>
      </x:c>
      <x:c r="L20" s="6" t="n">
        <x:v>10</x:v>
      </x:c>
      <x:c r="M20" s="11" t="n">
        <x:v>0.8065476190476191</x:v>
      </x:c>
      <x:c r="N20" s="6" t="n">
        <x:v>3290000</x:v>
      </x:c>
    </x:row>
    <x:row r="21" ht="24" customHeight="1">
      <x:c r="A21" s="2" t="str">
        <x:v>2026-09-30_Night</x:v>
      </x:c>
      <x:c r="B21" s="6" t="str">
        <x:v>ナイト</x:v>
      </x:c>
      <x:c r="C21" s="6" t="n">
        <x:v>1963000</x:v>
      </x:c>
      <x:c r="D21" s="6" t="n">
        <x:v>5964000</x:v>
      </x:c>
      <x:c r="E21" s="6" t="n">
        <x:f>C21-D21</x:f>
        <x:v>-4001000</x:v>
      </x:c>
      <x:c r="F21" s="6" t="n">
        <x:f>F20+E21</x:f>
        <x:v>-49285000</x:v>
      </x:c>
      <x:c r="G21" s="6" t="n">
        <x:v>1963000</x:v>
      </x:c>
      <x:c r="H21" s="6" t="n">
        <x:v>5964000</x:v>
      </x:c>
      <x:c r="I21" s="6" t="n">
        <x:v>399</x:v>
      </x:c>
      <x:c r="J21" s="6" t="n">
        <x:v>0</x:v>
      </x:c>
      <x:c r="K21" s="6" t="n">
        <x:v>0</x:v>
      </x:c>
      <x:c r="L21" s="6" t="n">
        <x:v>10</x:v>
      </x:c>
      <x:c r="M21" s="11" t="n">
        <x:v>0.7361965811965812</x:v>
      </x:c>
      <x:c r="N21" s="6" t="n">
        <x:v>4116000</x:v>
      </x:c>
    </x:row>
    <x:row r="22" ht="24" customHeight="1">
      <x:c r="A22" s="2" t="str">
        <x:v>2026-10-01_Day</x:v>
      </x:c>
      <x:c r="B22" s="6" t="str">
        <x:v>デイ</x:v>
      </x:c>
      <x:c r="C22" s="6" t="n">
        <x:v>1903000</x:v>
      </x:c>
      <x:c r="D22" s="6" t="n">
        <x:v>4142000</x:v>
      </x:c>
      <x:c r="E22" s="6" t="n">
        <x:f>C22-D22</x:f>
        <x:v>-2239000</x:v>
      </x:c>
      <x:c r="F22" s="6" t="n">
        <x:f>F21+E22</x:f>
        <x:v>-51524000</x:v>
      </x:c>
      <x:c r="G22" s="6" t="n">
        <x:v>1903000</x:v>
      </x:c>
      <x:c r="H22" s="6" t="n">
        <x:v>4142000</x:v>
      </x:c>
      <x:c r="I22" s="6" t="n">
        <x:v>290</x:v>
      </x:c>
      <x:c r="J22" s="6" t="n">
        <x:v>0</x:v>
      </x:c>
      <x:c r="K22" s="6" t="n">
        <x:v>0</x:v>
      </x:c>
      <x:c r="L22" s="6" t="n">
        <x:v>10</x:v>
      </x:c>
      <x:c r="M22" s="11" t="n">
        <x:v>0.8090873015873016</x:v>
      </x:c>
      <x:c r="N22" s="6" t="n">
        <x:v>2319000</x:v>
      </x:c>
    </x:row>
    <x:row r="23" ht="24" customHeight="1">
      <x:c r="A23" s="2" t="str">
        <x:v>2026-10-01_Night</x:v>
      </x:c>
      <x:c r="B23" s="6" t="str">
        <x:v>ナイト</x:v>
      </x:c>
      <x:c r="C23" s="6" t="n">
        <x:v>2503000</x:v>
      </x:c>
      <x:c r="D23" s="6" t="n">
        <x:v>8167000</x:v>
      </x:c>
      <x:c r="E23" s="6" t="n">
        <x:f>C23-D23</x:f>
        <x:v>-5664000</x:v>
      </x:c>
      <x:c r="F23" s="6" t="n">
        <x:f>F22+E23</x:f>
        <x:v>-57188000</x:v>
      </x:c>
      <x:c r="G23" s="6" t="n">
        <x:v>2503000</x:v>
      </x:c>
      <x:c r="H23" s="6" t="n">
        <x:v>8167000</x:v>
      </x:c>
      <x:c r="I23" s="6" t="n">
        <x:v>466</x:v>
      </x:c>
      <x:c r="J23" s="6" t="n">
        <x:v>0</x:v>
      </x:c>
      <x:c r="K23" s="6" t="n">
        <x:v>0</x:v>
      </x:c>
      <x:c r="L23" s="6" t="n">
        <x:v>10</x:v>
      </x:c>
      <x:c r="M23" s="11" t="n">
        <x:v>0.724465811965812</x:v>
      </x:c>
      <x:c r="N23" s="6" t="n">
        <x:v>5683000</x:v>
      </x:c>
    </x:row>
    <x:row r="24" ht="24" customHeight="1">
      <x:c r="A24" s="2" t="str">
        <x:v>2026-10-02_Day</x:v>
      </x:c>
      <x:c r="B24" s="6" t="str">
        <x:v>デイ</x:v>
      </x:c>
      <x:c r="C24" s="6" t="n">
        <x:v>1499000</x:v>
      </x:c>
      <x:c r="D24" s="6" t="n">
        <x:v>4722000</x:v>
      </x:c>
      <x:c r="E24" s="6" t="n">
        <x:f>C24-D24</x:f>
        <x:v>-3223000</x:v>
      </x:c>
      <x:c r="F24" s="6" t="n">
        <x:f>F23+E24</x:f>
        <x:v>-60411000</x:v>
      </x:c>
      <x:c r="G24" s="6" t="n">
        <x:v>1499000</x:v>
      </x:c>
      <x:c r="H24" s="6" t="n">
        <x:v>4722000</x:v>
      </x:c>
      <x:c r="I24" s="6" t="n">
        <x:v>272</x:v>
      </x:c>
      <x:c r="J24" s="6" t="n">
        <x:v>0</x:v>
      </x:c>
      <x:c r="K24" s="6" t="n">
        <x:v>0</x:v>
      </x:c>
      <x:c r="L24" s="6" t="n">
        <x:v>10</x:v>
      </x:c>
      <x:c r="M24" s="11" t="n">
        <x:v>0.8075793650793651</x:v>
      </x:c>
      <x:c r="N24" s="6" t="n">
        <x:v>3240000</x:v>
      </x:c>
    </x:row>
    <x:row r="25" ht="24" customHeight="1">
      <x:c r="A25" s="2" t="str">
        <x:v>2026-10-02_Night</x:v>
      </x:c>
      <x:c r="B25" s="6" t="str">
        <x:v>ナイト</x:v>
      </x:c>
      <x:c r="C25" s="6" t="n">
        <x:v>1925000</x:v>
      </x:c>
      <x:c r="D25" s="6" t="n">
        <x:v>6689000</x:v>
      </x:c>
      <x:c r="E25" s="6" t="n">
        <x:f>C25-D25</x:f>
        <x:v>-4764000</x:v>
      </x:c>
      <x:c r="F25" s="6" t="n">
        <x:f>F24+E25</x:f>
        <x:v>-65175000</x:v>
      </x:c>
      <x:c r="G25" s="6" t="n">
        <x:v>1925000</x:v>
      </x:c>
      <x:c r="H25" s="6" t="n">
        <x:v>6689000</x:v>
      </x:c>
      <x:c r="I25" s="6" t="n">
        <x:v>456</x:v>
      </x:c>
      <x:c r="J25" s="6" t="n">
        <x:v>0</x:v>
      </x:c>
      <x:c r="K25" s="6" t="n">
        <x:v>0</x:v>
      </x:c>
      <x:c r="L25" s="6" t="n">
        <x:v>10</x:v>
      </x:c>
      <x:c r="M25" s="11" t="n">
        <x:v>0.7143376068376068</x:v>
      </x:c>
      <x:c r="N25" s="6" t="n">
        <x:v>4764000</x:v>
      </x:c>
    </x:row>
    <x:row r="26" ht="24" customHeight="1">
      <x:c r="A26" s="2" t="str">
        <x:v>2026-10-05_Day</x:v>
      </x:c>
      <x:c r="B26" s="6" t="str">
        <x:v>デイ</x:v>
      </x:c>
      <x:c r="C26" s="6" t="n">
        <x:v>1028000</x:v>
      </x:c>
      <x:c r="D26" s="6" t="n">
        <x:v>4363000</x:v>
      </x:c>
      <x:c r="E26" s="6" t="n">
        <x:f>C26-D26</x:f>
        <x:v>-3335000</x:v>
      </x:c>
      <x:c r="F26" s="6" t="n">
        <x:f>F25+E26</x:f>
        <x:v>-68510000</x:v>
      </x:c>
      <x:c r="G26" s="6" t="n">
        <x:v>1028000</x:v>
      </x:c>
      <x:c r="H26" s="6" t="n">
        <x:v>4363000</x:v>
      </x:c>
      <x:c r="I26" s="6" t="n">
        <x:v>281</x:v>
      </x:c>
      <x:c r="J26" s="6" t="n">
        <x:v>0</x:v>
      </x:c>
      <x:c r="K26" s="6" t="n">
        <x:v>0</x:v>
      </x:c>
      <x:c r="L26" s="6" t="n">
        <x:v>10</x:v>
      </x:c>
      <x:c r="M26" s="11" t="n">
        <x:v>0.7999603174603175</x:v>
      </x:c>
      <x:c r="N26" s="6" t="n">
        <x:v>3354000</x:v>
      </x:c>
    </x:row>
    <x:row r="27" ht="24" customHeight="1">
      <x:c r="A27" s="2" t="str">
        <x:v>2026-10-05_Night</x:v>
      </x:c>
      <x:c r="B27" s="6" t="str">
        <x:v>ナイト</x:v>
      </x:c>
      <x:c r="C27" s="6" t="n">
        <x:v>1055000</x:v>
      </x:c>
      <x:c r="D27" s="6" t="n">
        <x:v>3949000</x:v>
      </x:c>
      <x:c r="E27" s="6" t="n">
        <x:f>C27-D27</x:f>
        <x:v>-2894000</x:v>
      </x:c>
      <x:c r="F27" s="6" t="n">
        <x:f>F26+E27</x:f>
        <x:v>-71404000</x:v>
      </x:c>
      <x:c r="G27" s="6" t="n">
        <x:v>1055000</x:v>
      </x:c>
      <x:c r="H27" s="6" t="n">
        <x:v>3949000</x:v>
      </x:c>
      <x:c r="I27" s="6" t="n">
        <x:v>370</x:v>
      </x:c>
      <x:c r="J27" s="6" t="n">
        <x:v>0</x:v>
      </x:c>
      <x:c r="K27" s="6" t="n">
        <x:v>0</x:v>
      </x:c>
      <x:c r="L27" s="6" t="n">
        <x:v>10</x:v>
      </x:c>
      <x:c r="M27" s="11" t="n">
        <x:v>0.7009401709401709</x:v>
      </x:c>
      <x:c r="N27" s="6" t="n">
        <x:v>2988000</x:v>
      </x:c>
    </x:row>
    <x:row r="28" ht="24" customHeight="1">
      <x:c r="A28" s="2" t="str">
        <x:v>2026-10-06_Day</x:v>
      </x:c>
      <x:c r="B28" s="6" t="str">
        <x:v>デイ</x:v>
      </x:c>
      <x:c r="C28" s="6" t="n">
        <x:v>1092000</x:v>
      </x:c>
      <x:c r="D28" s="6" t="n">
        <x:v>3427000</x:v>
      </x:c>
      <x:c r="E28" s="6" t="n">
        <x:f>C28-D28</x:f>
        <x:v>-2335000</x:v>
      </x:c>
      <x:c r="F28" s="6" t="n">
        <x:f>F27+E28</x:f>
        <x:v>-73739000</x:v>
      </x:c>
      <x:c r="G28" s="6" t="n">
        <x:v>1092000</x:v>
      </x:c>
      <x:c r="H28" s="6" t="n">
        <x:v>3427000</x:v>
      </x:c>
      <x:c r="I28" s="6" t="n">
        <x:v>266</x:v>
      </x:c>
      <x:c r="J28" s="6" t="n">
        <x:v>0</x:v>
      </x:c>
      <x:c r="K28" s="6" t="n">
        <x:v>0</x:v>
      </x:c>
      <x:c r="L28" s="6" t="n">
        <x:v>10</x:v>
      </x:c>
      <x:c r="M28" s="11" t="n">
        <x:v>0.7941666666666667</x:v>
      </x:c>
      <x:c r="N28" s="6" t="n">
        <x:v>2425000</x:v>
      </x:c>
    </x:row>
    <x:row r="29" ht="24" customHeight="1">
      <x:c r="A29" s="2" t="str">
        <x:v>2026-10-06_Night</x:v>
      </x:c>
      <x:c r="B29" s="6" t="str">
        <x:v>ナイト</x:v>
      </x:c>
      <x:c r="C29" s="6" t="n">
        <x:v>802000</x:v>
      </x:c>
      <x:c r="D29" s="6" t="n">
        <x:v>3217000</x:v>
      </x:c>
      <x:c r="E29" s="6" t="n">
        <x:f>C29-D29</x:f>
        <x:v>-2415000</x:v>
      </x:c>
      <x:c r="F29" s="6" t="n">
        <x:f>F28+E29</x:f>
        <x:v>-76154000</x:v>
      </x:c>
      <x:c r="G29" s="6" t="n">
        <x:v>802000</x:v>
      </x:c>
      <x:c r="H29" s="6" t="n">
        <x:v>3217000</x:v>
      </x:c>
      <x:c r="I29" s="6" t="n">
        <x:v>310</x:v>
      </x:c>
      <x:c r="J29" s="6" t="n">
        <x:v>0</x:v>
      </x:c>
      <x:c r="K29" s="6" t="n">
        <x:v>0</x:v>
      </x:c>
      <x:c r="L29" s="6" t="n">
        <x:v>10</x:v>
      </x:c>
      <x:c r="M29" s="11" t="n">
        <x:v>0.6582478632478632</x:v>
      </x:c>
      <x:c r="N29" s="6" t="n">
        <x:v>2435000</x:v>
      </x:c>
    </x:row>
    <x:row r="30" ht="24" customHeight="1">
      <x:c r="A30" s="2" t="str">
        <x:v>2026-10-07_Day</x:v>
      </x:c>
      <x:c r="B30" s="6" t="str">
        <x:v>デイ</x:v>
      </x:c>
      <x:c r="C30" s="6" t="n">
        <x:v>798000</x:v>
      </x:c>
      <x:c r="D30" s="6" t="n">
        <x:v>3202000</x:v>
      </x:c>
      <x:c r="E30" s="6" t="n">
        <x:f>C30-D30</x:f>
        <x:v>-2404000</x:v>
      </x:c>
      <x:c r="F30" s="6" t="n">
        <x:f>F29+E30</x:f>
        <x:v>-78558000</x:v>
      </x:c>
      <x:c r="G30" s="6" t="n">
        <x:v>798000</x:v>
      </x:c>
      <x:c r="H30" s="6" t="n">
        <x:v>3202000</x:v>
      </x:c>
      <x:c r="I30" s="6" t="n">
        <x:v>265</x:v>
      </x:c>
      <x:c r="J30" s="6" t="n">
        <x:v>0</x:v>
      </x:c>
      <x:c r="K30" s="6" t="n">
        <x:v>0</x:v>
      </x:c>
      <x:c r="L30" s="6" t="n">
        <x:v>10</x:v>
      </x:c>
      <x:c r="M30" s="11" t="n">
        <x:v>0.7864285714285715</x:v>
      </x:c>
      <x:c r="N30" s="6" t="n">
        <x:v>2476000</x:v>
      </x:c>
    </x:row>
    <x:row r="31" ht="24" customHeight="1">
      <x:c r="A31" s="2" t="str">
        <x:v>2026-10-07_Night</x:v>
      </x:c>
      <x:c r="B31" s="6" t="str">
        <x:v>ナイト</x:v>
      </x:c>
      <x:c r="C31" s="6" t="n">
        <x:v>1100000</x:v>
      </x:c>
      <x:c r="D31" s="6" t="n">
        <x:v>4431000</x:v>
      </x:c>
      <x:c r="E31" s="6" t="n">
        <x:f>C31-D31</x:f>
        <x:v>-3331000</x:v>
      </x:c>
      <x:c r="F31" s="6" t="n">
        <x:f>F30+E31</x:f>
        <x:v>-81889000</x:v>
      </x:c>
      <x:c r="G31" s="6" t="n">
        <x:v>1100000</x:v>
      </x:c>
      <x:c r="H31" s="6" t="n">
        <x:v>4431000</x:v>
      </x:c>
      <x:c r="I31" s="6" t="n">
        <x:v>384</x:v>
      </x:c>
      <x:c r="J31" s="6" t="n">
        <x:v>0</x:v>
      </x:c>
      <x:c r="K31" s="6" t="n">
        <x:v>0</x:v>
      </x:c>
      <x:c r="L31" s="6" t="n">
        <x:v>10</x:v>
      </x:c>
      <x:c r="M31" s="11" t="n">
        <x:v>0.6956196581196581</x:v>
      </x:c>
      <x:c r="N31" s="6" t="n">
        <x:v>3372000</x:v>
      </x:c>
    </x:row>
    <x:row r="32" ht="24" customHeight="1">
      <x:c r="A32" s="2" t="str">
        <x:v>2026-10-08_Day</x:v>
      </x:c>
      <x:c r="B32" s="6" t="str">
        <x:v>デイ</x:v>
      </x:c>
      <x:c r="C32" s="6" t="n">
        <x:v>1628000</x:v>
      </x:c>
      <x:c r="D32" s="6" t="n">
        <x:v>4346000</x:v>
      </x:c>
      <x:c r="E32" s="6" t="n">
        <x:f>C32-D32</x:f>
        <x:v>-2718000</x:v>
      </x:c>
      <x:c r="F32" s="6" t="n">
        <x:f>F31+E32</x:f>
        <x:v>-84607000</x:v>
      </x:c>
      <x:c r="G32" s="6" t="n">
        <x:v>1628000</x:v>
      </x:c>
      <x:c r="H32" s="6" t="n">
        <x:v>4346000</x:v>
      </x:c>
      <x:c r="I32" s="6" t="n">
        <x:v>273</x:v>
      </x:c>
      <x:c r="J32" s="6" t="n">
        <x:v>0</x:v>
      </x:c>
      <x:c r="K32" s="6" t="n">
        <x:v>0</x:v>
      </x:c>
      <x:c r="L32" s="6" t="n">
        <x:v>10</x:v>
      </x:c>
      <x:c r="M32" s="11" t="n">
        <x:v>0.8026587301587301</x:v>
      </x:c>
      <x:c r="N32" s="6" t="n">
        <x:v>2736000</x:v>
      </x:c>
    </x:row>
    <x:row r="33" ht="24" customHeight="1">
      <x:c r="A33" s="2" t="str">
        <x:v>2026-10-08_Night</x:v>
      </x:c>
      <x:c r="B33" s="6" t="str">
        <x:v>ナイト</x:v>
      </x:c>
      <x:c r="C33" s="6" t="n">
        <x:v>2404000</x:v>
      </x:c>
      <x:c r="D33" s="6" t="n">
        <x:v>7614000</x:v>
      </x:c>
      <x:c r="E33" s="6" t="n">
        <x:f>C33-D33</x:f>
        <x:v>-5210000</x:v>
      </x:c>
      <x:c r="F33" s="6" t="n">
        <x:f>F32+E33</x:f>
        <x:v>-89817000</x:v>
      </x:c>
      <x:c r="G33" s="6" t="n">
        <x:v>2404000</x:v>
      </x:c>
      <x:c r="H33" s="6" t="n">
        <x:v>7614000</x:v>
      </x:c>
      <x:c r="I33" s="6" t="n">
        <x:v>453</x:v>
      </x:c>
      <x:c r="J33" s="6" t="n">
        <x:v>0</x:v>
      </x:c>
      <x:c r="K33" s="6" t="n">
        <x:v>0</x:v>
      </x:c>
      <x:c r="L33" s="6" t="n">
        <x:v>10</x:v>
      </x:c>
      <x:c r="M33" s="11" t="n">
        <x:v>0.7492307692307693</x:v>
      </x:c>
      <x:c r="N33" s="6" t="n">
        <x:v>5302000</x:v>
      </x:c>
    </x:row>
    <x:row r="34" ht="24" customHeight="1">
      <x:c r="A34" s="2" t="str">
        <x:v>2026-10-09_Day</x:v>
      </x:c>
      <x:c r="B34" s="6" t="str">
        <x:v>デイ</x:v>
      </x:c>
      <x:c r="C34" s="6" t="n">
        <x:v>1995000</x:v>
      </x:c>
      <x:c r="D34" s="6" t="n">
        <x:v>4454000</x:v>
      </x:c>
      <x:c r="E34" s="6" t="n">
        <x:f>C34-D34</x:f>
        <x:v>-2459000</x:v>
      </x:c>
      <x:c r="F34" s="6" t="n">
        <x:f>F33+E34</x:f>
        <x:v>-92276000</x:v>
      </x:c>
      <x:c r="G34" s="6" t="n">
        <x:v>1995000</x:v>
      </x:c>
      <x:c r="H34" s="6" t="n">
        <x:v>4454000</x:v>
      </x:c>
      <x:c r="I34" s="6" t="n">
        <x:v>259</x:v>
      </x:c>
      <x:c r="J34" s="6" t="n">
        <x:v>0</x:v>
      </x:c>
      <x:c r="K34" s="6" t="n">
        <x:v>0</x:v>
      </x:c>
      <x:c r="L34" s="6" t="n">
        <x:v>10</x:v>
      </x:c>
      <x:c r="M34" s="11" t="n">
        <x:v>0.8028174603174603</x:v>
      </x:c>
      <x:c r="N34" s="6" t="n">
        <x:v>2475000</x:v>
      </x:c>
    </x:row>
    <x:row r="35" ht="24" customHeight="1">
      <x:c r="A35" s="2" t="str">
        <x:v>2026-10-09_Night</x:v>
      </x:c>
      <x:c r="B35" s="6" t="str">
        <x:v>ナイト</x:v>
      </x:c>
      <x:c r="C35" s="6" t="n">
        <x:v>1013000</x:v>
      </x:c>
      <x:c r="D35" s="6" t="n">
        <x:v>3837000</x:v>
      </x:c>
      <x:c r="E35" s="6" t="n">
        <x:f>C35-D35</x:f>
        <x:v>-2824000</x:v>
      </x:c>
      <x:c r="F35" s="6" t="n">
        <x:f>F34+E35</x:f>
        <x:v>-95100000</x:v>
      </x:c>
      <x:c r="G35" s="6" t="n">
        <x:v>1013000</x:v>
      </x:c>
      <x:c r="H35" s="6" t="n">
        <x:v>3837000</x:v>
      </x:c>
      <x:c r="I35" s="6" t="n">
        <x:v>303</x:v>
      </x:c>
      <x:c r="J35" s="6" t="n">
        <x:v>0</x:v>
      </x:c>
      <x:c r="K35" s="6" t="n">
        <x:v>0</x:v>
      </x:c>
      <x:c r="L35" s="6" t="n">
        <x:v>10</x:v>
      </x:c>
      <x:c r="M35" s="11" t="n">
        <x:v>0.6921581196581197</x:v>
      </x:c>
      <x:c r="N35" s="6" t="n">
        <x:v>2862000</x:v>
      </x:c>
    </x:row>
    <x:row r="36" ht="24" customHeight="1">
      <x:c r="A36" s="2" t="str">
        <x:v>2026-10-12_Day</x:v>
      </x:c>
      <x:c r="B36" s="6" t="str">
        <x:v>デイ</x:v>
      </x:c>
      <x:c r="C36" s="6" t="n">
        <x:v>503000</x:v>
      </x:c>
      <x:c r="D36" s="6" t="n">
        <x:v>1932000</x:v>
      </x:c>
      <x:c r="E36" s="6" t="n">
        <x:f>C36-D36</x:f>
        <x:v>-1429000</x:v>
      </x:c>
      <x:c r="F36" s="6" t="n">
        <x:f>F35+E36</x:f>
        <x:v>-96529000</x:v>
      </x:c>
      <x:c r="G36" s="6" t="n">
        <x:v>503000</x:v>
      </x:c>
      <x:c r="H36" s="6" t="n">
        <x:v>1932000</x:v>
      </x:c>
      <x:c r="I36" s="6" t="n">
        <x:v>169</x:v>
      </x:c>
      <x:c r="J36" s="6" t="n">
        <x:v>0</x:v>
      </x:c>
      <x:c r="K36" s="6" t="n">
        <x:v>0</x:v>
      </x:c>
      <x:c r="L36" s="6" t="n">
        <x:v>10</x:v>
      </x:c>
      <x:c r="M36" s="11" t="n">
        <x:v>0.700515873015873</x:v>
      </x:c>
      <x:c r="N36" s="6" t="n">
        <x:v>1468000</x:v>
      </x:c>
    </x:row>
    <x:row r="37" ht="24" customHeight="1">
      <x:c r="A37" s="2" t="str">
        <x:v>2026-10-12_Night</x:v>
      </x:c>
      <x:c r="B37" s="6" t="str">
        <x:v>ナイト</x:v>
      </x:c>
      <x:c r="C37" s="6" t="n">
        <x:v>650000</x:v>
      </x:c>
      <x:c r="D37" s="6" t="n">
        <x:v>2868000</x:v>
      </x:c>
      <x:c r="E37" s="6" t="n">
        <x:f>C37-D37</x:f>
        <x:v>-2218000</x:v>
      </x:c>
      <x:c r="F37" s="6" t="n">
        <x:f>F36+E37</x:f>
        <x:v>-98747000</x:v>
      </x:c>
      <x:c r="G37" s="6" t="n">
        <x:v>650000</x:v>
      </x:c>
      <x:c r="H37" s="6" t="n">
        <x:v>2868000</x:v>
      </x:c>
      <x:c r="I37" s="6" t="n">
        <x:v>236</x:v>
      </x:c>
      <x:c r="J37" s="6" t="n">
        <x:v>0</x:v>
      </x:c>
      <x:c r="K37" s="6" t="n">
        <x:v>0</x:v>
      </x:c>
      <x:c r="L37" s="6" t="n">
        <x:v>10</x:v>
      </x:c>
      <x:c r="M37" s="11" t="n">
        <x:v>0.64241452991453</x:v>
      </x:c>
      <x:c r="N37" s="6" t="n">
        <x:v>2257000</x:v>
      </x:c>
    </x:row>
    <x:row r="38" ht="24" customHeight="1">
      <x:c r="A38" s="2" t="str">
        <x:v>2026-10-13_Day</x:v>
      </x:c>
      <x:c r="B38" s="6" t="str">
        <x:v>デイ</x:v>
      </x:c>
      <x:c r="C38" s="6" t="n">
        <x:v>2184000</x:v>
      </x:c>
      <x:c r="D38" s="6" t="n">
        <x:v>5274000</x:v>
      </x:c>
      <x:c r="E38" s="6" t="n">
        <x:f>C38-D38</x:f>
        <x:v>-3090000</x:v>
      </x:c>
      <x:c r="F38" s="6" t="n">
        <x:f>F37+E38</x:f>
        <x:v>-101837000</x:v>
      </x:c>
      <x:c r="G38" s="6" t="n">
        <x:v>2184000</x:v>
      </x:c>
      <x:c r="H38" s="6" t="n">
        <x:v>5274000</x:v>
      </x:c>
      <x:c r="I38" s="6" t="n">
        <x:v>308</x:v>
      </x:c>
      <x:c r="J38" s="6" t="n">
        <x:v>0</x:v>
      </x:c>
      <x:c r="K38" s="6" t="n">
        <x:v>0</x:v>
      </x:c>
      <x:c r="L38" s="6" t="n">
        <x:v>10</x:v>
      </x:c>
      <x:c r="M38" s="11" t="n">
        <x:v>0.8047619047619048</x:v>
      </x:c>
      <x:c r="N38" s="6" t="n">
        <x:v>3090000</x:v>
      </x:c>
    </x:row>
    <x:row r="39" ht="24" customHeight="1">
      <x:c r="A39" s="2" t="str">
        <x:v>2026-10-13_Night</x:v>
      </x:c>
      <x:c r="B39" s="6" t="str">
        <x:v>ナイト</x:v>
      </x:c>
      <x:c r="C39" s="6" t="n">
        <x:v>682000</x:v>
      </x:c>
      <x:c r="D39" s="6" t="n">
        <x:v>4197000</x:v>
      </x:c>
      <x:c r="E39" s="6" t="n">
        <x:f>C39-D39</x:f>
        <x:v>-3515000</x:v>
      </x:c>
      <x:c r="F39" s="6" t="n">
        <x:f>F38+E39</x:f>
        <x:v>-105352000</x:v>
      </x:c>
      <x:c r="G39" s="6" t="n">
        <x:v>682000</x:v>
      </x:c>
      <x:c r="H39" s="6" t="n">
        <x:v>4197000</x:v>
      </x:c>
      <x:c r="I39" s="6" t="n">
        <x:v>337</x:v>
      </x:c>
      <x:c r="J39" s="6" t="n">
        <x:v>0</x:v>
      </x:c>
      <x:c r="K39" s="6" t="n">
        <x:v>0</x:v>
      </x:c>
      <x:c r="L39" s="6" t="n">
        <x:v>10</x:v>
      </x:c>
      <x:c r="M39" s="11" t="n">
        <x:v>0.6539102564102565</x:v>
      </x:c>
      <x:c r="N39" s="6" t="n">
        <x:v>3535000</x:v>
      </x:c>
    </x:row>
    <x:row r="40" ht="24" customHeight="1">
      <x:c r="A40" s="2" t="str">
        <x:v>2026-10-14_Day</x:v>
      </x:c>
      <x:c r="B40" s="6" t="str">
        <x:v>デイ</x:v>
      </x:c>
      <x:c r="C40" s="6" t="n">
        <x:v>1757000</x:v>
      </x:c>
      <x:c r="D40" s="6" t="n">
        <x:v>4772000</x:v>
      </x:c>
      <x:c r="E40" s="6" t="n">
        <x:f>C40-D40</x:f>
        <x:v>-3015000</x:v>
      </x:c>
      <x:c r="F40" s="6" t="n">
        <x:f>F39+E40</x:f>
        <x:v>-108367000</x:v>
      </x:c>
      <x:c r="G40" s="6" t="n">
        <x:v>1757000</x:v>
      </x:c>
      <x:c r="H40" s="6" t="n">
        <x:v>4772000</x:v>
      </x:c>
      <x:c r="I40" s="6" t="n">
        <x:v>298</x:v>
      </x:c>
      <x:c r="J40" s="6" t="n">
        <x:v>0</x:v>
      </x:c>
      <x:c r="K40" s="6" t="n">
        <x:v>0</x:v>
      </x:c>
      <x:c r="L40" s="6" t="n">
        <x:v>10</x:v>
      </x:c>
      <x:c r="M40" s="11" t="n">
        <x:v>0.7760317460317461</x:v>
      </x:c>
      <x:c r="N40" s="6" t="n">
        <x:v>3045000</x:v>
      </x:c>
    </x:row>
    <x:row r="41" ht="24" customHeight="1">
      <x:c r="A41" s="2" t="str">
        <x:v>2026-10-14_Night</x:v>
      </x:c>
      <x:c r="B41" s="6" t="str">
        <x:v>ナイト</x:v>
      </x:c>
      <x:c r="C41" s="6" t="n">
        <x:v>2338000</x:v>
      </x:c>
      <x:c r="D41" s="6" t="n">
        <x:v>6312000</x:v>
      </x:c>
      <x:c r="E41" s="6" t="n">
        <x:f>C41-D41</x:f>
        <x:v>-3974000</x:v>
      </x:c>
      <x:c r="F41" s="6" t="n">
        <x:f>F40+E41</x:f>
        <x:v>-112341000</x:v>
      </x:c>
      <x:c r="G41" s="6" t="n">
        <x:v>2338000</x:v>
      </x:c>
      <x:c r="H41" s="6" t="n">
        <x:v>6312000</x:v>
      </x:c>
      <x:c r="I41" s="6" t="n">
        <x:v>423</x:v>
      </x:c>
      <x:c r="J41" s="6" t="n">
        <x:v>0</x:v>
      </x:c>
      <x:c r="K41" s="6" t="n">
        <x:v>0</x:v>
      </x:c>
      <x:c r="L41" s="6" t="n">
        <x:v>10</x:v>
      </x:c>
      <x:c r="M41" s="11" t="n">
        <x:v>0.7490811965811965</x:v>
      </x:c>
      <x:c r="N41" s="6" t="n">
        <x:v>3977000</x:v>
      </x:c>
    </x:row>
    <x:row r="42" ht="24" customHeight="1">
      <x:c r="A42" s="2" t="str">
        <x:v>2026-10-15_Day</x:v>
      </x:c>
      <x:c r="B42" s="6" t="str">
        <x:v>デイ</x:v>
      </x:c>
      <x:c r="C42" s="6" t="n">
        <x:v>3830000</x:v>
      </x:c>
      <x:c r="D42" s="6" t="n">
        <x:v>7548000</x:v>
      </x:c>
      <x:c r="E42" s="6" t="n">
        <x:f>C42-D42</x:f>
        <x:v>-3718000</x:v>
      </x:c>
      <x:c r="F42" s="6" t="n">
        <x:f>F41+E42</x:f>
        <x:v>-116059000</x:v>
      </x:c>
      <x:c r="G42" s="6" t="n">
        <x:v>3830000</x:v>
      </x:c>
      <x:c r="H42" s="6" t="n">
        <x:v>7548000</x:v>
      </x:c>
      <x:c r="I42" s="6" t="n">
        <x:v>386</x:v>
      </x:c>
      <x:c r="J42" s="6" t="n">
        <x:v>0</x:v>
      </x:c>
      <x:c r="K42" s="6" t="n">
        <x:v>0</x:v>
      </x:c>
      <x:c r="L42" s="6" t="n">
        <x:v>10</x:v>
      </x:c>
      <x:c r="M42" s="11" t="n">
        <x:v>0.7852777777777777</x:v>
      </x:c>
      <x:c r="N42" s="6" t="n">
        <x:v>3808000</x:v>
      </x:c>
    </x:row>
    <x:row r="43" ht="24" customHeight="1">
      <x:c r="A43" s="2" t="str">
        <x:v>2026-10-15_Night</x:v>
      </x:c>
      <x:c r="B43" s="6" t="str">
        <x:v>ナイト</x:v>
      </x:c>
      <x:c r="C43" s="6" t="n">
        <x:v>3040000</x:v>
      </x:c>
      <x:c r="D43" s="6" t="n">
        <x:v>7941000</x:v>
      </x:c>
      <x:c r="E43" s="6" t="n">
        <x:f>C43-D43</x:f>
        <x:v>-4901000</x:v>
      </x:c>
      <x:c r="F43" s="6" t="n">
        <x:f>F42+E43</x:f>
        <x:v>-120960000</x:v>
      </x:c>
      <x:c r="G43" s="6" t="n">
        <x:v>3040000</x:v>
      </x:c>
      <x:c r="H43" s="6" t="n">
        <x:v>7941000</x:v>
      </x:c>
      <x:c r="I43" s="6" t="n">
        <x:v>499</x:v>
      </x:c>
      <x:c r="J43" s="6" t="n">
        <x:v>0</x:v>
      </x:c>
      <x:c r="K43" s="6" t="n">
        <x:v>0</x:v>
      </x:c>
      <x:c r="L43" s="6" t="n">
        <x:v>10</x:v>
      </x:c>
      <x:c r="M43" s="11" t="n">
        <x:v>0.7255769230769231</x:v>
      </x:c>
      <x:c r="N43" s="6" t="n">
        <x:v>4956000</x:v>
      </x:c>
    </x:row>
    <x:row r="44" ht="24" customHeight="1">
      <x:c r="A44" s="2" t="str">
        <x:v>2026-10-16_Day</x:v>
      </x:c>
      <x:c r="B44" s="6" t="str">
        <x:v>デイ</x:v>
      </x:c>
      <x:c r="C44" s="6" t="n">
        <x:v>2379000</x:v>
      </x:c>
      <x:c r="D44" s="6" t="n">
        <x:v>6255000</x:v>
      </x:c>
      <x:c r="E44" s="6" t="n">
        <x:f>C44-D44</x:f>
        <x:v>-3876000</x:v>
      </x:c>
      <x:c r="F44" s="6" t="n">
        <x:f>F43+E44</x:f>
        <x:v>-124836000</x:v>
      </x:c>
      <x:c r="G44" s="6" t="n">
        <x:v>2379000</x:v>
      </x:c>
      <x:c r="H44" s="6" t="n">
        <x:v>6255000</x:v>
      </x:c>
      <x:c r="I44" s="6" t="n">
        <x:v>334</x:v>
      </x:c>
      <x:c r="J44" s="6" t="n">
        <x:v>0</x:v>
      </x:c>
      <x:c r="K44" s="6" t="n">
        <x:v>0</x:v>
      </x:c>
      <x:c r="L44" s="6" t="n">
        <x:v>10</x:v>
      </x:c>
      <x:c r="M44" s="11" t="n">
        <x:v>0.7858333333333334</x:v>
      </x:c>
      <x:c r="N44" s="6" t="n">
        <x:v>4128000</x:v>
      </x:c>
    </x:row>
    <x:row r="45" ht="24" customHeight="1">
      <x:c r="A45" s="2" t="str">
        <x:v>2026-10-16_Night</x:v>
      </x:c>
      <x:c r="B45" s="6" t="str">
        <x:v>ナイト</x:v>
      </x:c>
      <x:c r="C45" s="6" t="n">
        <x:v>3110000</x:v>
      </x:c>
      <x:c r="D45" s="6" t="n">
        <x:v>9160000</x:v>
      </x:c>
      <x:c r="E45" s="6" t="n">
        <x:f>C45-D45</x:f>
        <x:v>-6050000</x:v>
      </x:c>
      <x:c r="F45" s="6" t="n">
        <x:f>F44+E45</x:f>
        <x:v>-130886000</x:v>
      </x:c>
      <x:c r="G45" s="6" t="n">
        <x:v>3110000</x:v>
      </x:c>
      <x:c r="H45" s="6" t="n">
        <x:v>9160000</x:v>
      </x:c>
      <x:c r="I45" s="6" t="n">
        <x:v>517</x:v>
      </x:c>
      <x:c r="J45" s="6" t="n">
        <x:v>0</x:v>
      </x:c>
      <x:c r="K45" s="6" t="n">
        <x:v>0</x:v>
      </x:c>
      <x:c r="L45" s="6" t="n">
        <x:v>10</x:v>
      </x:c>
      <x:c r="M45" s="11" t="n">
        <x:v>0.7403632478632478</x:v>
      </x:c>
      <x:c r="N45" s="6" t="n">
        <x:v>6140000</x:v>
      </x:c>
    </x:row>
    <x:row r="46" ht="24" customHeight="1">
      <x:c r="A46" s="2" t="str">
        <x:v>2026-10-19_Day</x:v>
      </x:c>
      <x:c r="B46" s="6" t="str">
        <x:v>デイ</x:v>
      </x:c>
      <x:c r="C46" s="6" t="n">
        <x:v>2830000</x:v>
      </x:c>
      <x:c r="D46" s="6" t="n">
        <x:v>6779000</x:v>
      </x:c>
      <x:c r="E46" s="6" t="n">
        <x:f>C46-D46</x:f>
        <x:v>-3949000</x:v>
      </x:c>
      <x:c r="F46" s="6" t="n">
        <x:f>F45+E46</x:f>
        <x:v>-134835000</x:v>
      </x:c>
      <x:c r="G46" s="6" t="n">
        <x:v>2830000</x:v>
      </x:c>
      <x:c r="H46" s="6" t="n">
        <x:v>6779000</x:v>
      </x:c>
      <x:c r="I46" s="6" t="n">
        <x:v>356</x:v>
      </x:c>
      <x:c r="J46" s="6" t="n">
        <x:v>0</x:v>
      </x:c>
      <x:c r="K46" s="6" t="n">
        <x:v>0</x:v>
      </x:c>
      <x:c r="L46" s="6" t="n">
        <x:v>10</x:v>
      </x:c>
      <x:c r="M46" s="11" t="n">
        <x:v>0.7771031746031746</x:v>
      </x:c>
      <x:c r="N46" s="6" t="n">
        <x:v>4154000</x:v>
      </x:c>
    </x:row>
    <x:row r="47" ht="24" customHeight="1">
      <x:c r="A47" s="2" t="str">
        <x:v>2026-10-19_Night</x:v>
      </x:c>
      <x:c r="B47" s="6" t="str">
        <x:v>ナイト</x:v>
      </x:c>
      <x:c r="C47" s="6" t="n">
        <x:v>2096000</x:v>
      </x:c>
      <x:c r="D47" s="6" t="n">
        <x:v>6669000</x:v>
      </x:c>
      <x:c r="E47" s="6" t="n">
        <x:f>C47-D47</x:f>
        <x:v>-4573000</x:v>
      </x:c>
      <x:c r="F47" s="6" t="n">
        <x:f>F46+E47</x:f>
        <x:v>-139408000</x:v>
      </x:c>
      <x:c r="G47" s="6" t="n">
        <x:v>2096000</x:v>
      </x:c>
      <x:c r="H47" s="6" t="n">
        <x:v>6669000</x:v>
      </x:c>
      <x:c r="I47" s="6" t="n">
        <x:v>448</x:v>
      </x:c>
      <x:c r="J47" s="6" t="n">
        <x:v>0</x:v>
      </x:c>
      <x:c r="K47" s="6" t="n">
        <x:v>0</x:v>
      </x:c>
      <x:c r="L47" s="6" t="n">
        <x:v>10</x:v>
      </x:c>
      <x:c r="M47" s="11" t="n">
        <x:v>0.7092521367521367</x:v>
      </x:c>
      <x:c r="N47" s="6" t="n">
        <x:v>4597000</x:v>
      </x:c>
    </x:row>
    <x:row r="48" ht="24" customHeight="1">
      <x:c r="A48" s="2" t="str">
        <x:v>2026-10-20_Day</x:v>
      </x:c>
      <x:c r="B48" s="6" t="str">
        <x:v>デイ</x:v>
      </x:c>
      <x:c r="C48" s="6" t="n">
        <x:v>2804000</x:v>
      </x:c>
      <x:c r="D48" s="6" t="n">
        <x:v>7444000</x:v>
      </x:c>
      <x:c r="E48" s="6" t="n">
        <x:f>C48-D48</x:f>
        <x:v>-4640000</x:v>
      </x:c>
      <x:c r="F48" s="6" t="n">
        <x:f>F47+E48</x:f>
        <x:v>-144048000</x:v>
      </x:c>
      <x:c r="G48" s="6" t="n">
        <x:v>2804000</x:v>
      </x:c>
      <x:c r="H48" s="6" t="n">
        <x:v>7444000</x:v>
      </x:c>
      <x:c r="I48" s="6" t="n">
        <x:v>362</x:v>
      </x:c>
      <x:c r="J48" s="6" t="n">
        <x:v>0</x:v>
      </x:c>
      <x:c r="K48" s="6" t="n">
        <x:v>0</x:v>
      </x:c>
      <x:c r="L48" s="6" t="n">
        <x:v>10</x:v>
      </x:c>
      <x:c r="M48" s="11" t="n">
        <x:v>0.780952380952381</x:v>
      </x:c>
      <x:c r="N48" s="6" t="n">
        <x:v>4643000</x:v>
      </x:c>
    </x:row>
    <x:row r="49" ht="24" customHeight="1">
      <x:c r="A49" s="2" t="str">
        <x:v>2026-10-20_Night</x:v>
      </x:c>
      <x:c r="B49" s="6" t="str">
        <x:v>ナイト</x:v>
      </x:c>
      <x:c r="C49" s="6" t="n">
        <x:v>2904000</x:v>
      </x:c>
      <x:c r="D49" s="6" t="n">
        <x:v>7161000</x:v>
      </x:c>
      <x:c r="E49" s="6" t="n">
        <x:f>C49-D49</x:f>
        <x:v>-4257000</x:v>
      </x:c>
      <x:c r="F49" s="6" t="n">
        <x:f>F48+E49</x:f>
        <x:v>-148305000</x:v>
      </x:c>
      <x:c r="G49" s="6" t="n">
        <x:v>2904000</x:v>
      </x:c>
      <x:c r="H49" s="6" t="n">
        <x:v>7161000</x:v>
      </x:c>
      <x:c r="I49" s="6" t="n">
        <x:v>463</x:v>
      </x:c>
      <x:c r="J49" s="6" t="n">
        <x:v>0</x:v>
      </x:c>
      <x:c r="K49" s="6" t="n">
        <x:v>0</x:v>
      </x:c>
      <x:c r="L49" s="6" t="n">
        <x:v>10</x:v>
      </x:c>
      <x:c r="M49" s="11" t="n">
        <x:v>0.7233119658119658</x:v>
      </x:c>
      <x:c r="N49" s="6" t="n">
        <x:v>4273000</x:v>
      </x:c>
    </x:row>
    <x:row r="50" ht="24" customHeight="1">
      <x:c r="A50" s="2" t="str">
        <x:v>2026-10-21_Day</x:v>
      </x:c>
      <x:c r="B50" s="6" t="str">
        <x:v>デイ</x:v>
      </x:c>
      <x:c r="C50" s="6" t="n">
        <x:v>2205000</x:v>
      </x:c>
      <x:c r="D50" s="6" t="n">
        <x:v>6686000</x:v>
      </x:c>
      <x:c r="E50" s="6" t="n">
        <x:f>C50-D50</x:f>
        <x:v>-4481000</x:v>
      </x:c>
      <x:c r="F50" s="6" t="n">
        <x:f>F49+E50</x:f>
        <x:v>-152786000</x:v>
      </x:c>
      <x:c r="G50" s="6" t="n">
        <x:v>2205000</x:v>
      </x:c>
      <x:c r="H50" s="6" t="n">
        <x:v>6686000</x:v>
      </x:c>
      <x:c r="I50" s="6" t="n">
        <x:v>348</x:v>
      </x:c>
      <x:c r="J50" s="6" t="n">
        <x:v>0</x:v>
      </x:c>
      <x:c r="K50" s="6" t="n">
        <x:v>0</x:v>
      </x:c>
      <x:c r="L50" s="6" t="n">
        <x:v>10</x:v>
      </x:c>
      <x:c r="M50" s="11" t="n">
        <x:v>0.788531746031746</x:v>
      </x:c>
      <x:c r="N50" s="6" t="n">
        <x:v>4531000</x:v>
      </x:c>
    </x:row>
    <x:row r="51" ht="24" customHeight="1">
      <x:c r="A51" s="2" t="str">
        <x:v>2026-10-21_Night</x:v>
      </x:c>
      <x:c r="B51" s="6" t="str">
        <x:v>ナイト</x:v>
      </x:c>
      <x:c r="C51" s="6" t="n">
        <x:v>2102000</x:v>
      </x:c>
      <x:c r="D51" s="6" t="n">
        <x:v>5310000</x:v>
      </x:c>
      <x:c r="E51" s="6" t="n">
        <x:f>C51-D51</x:f>
        <x:v>-3208000</x:v>
      </x:c>
      <x:c r="F51" s="6" t="n">
        <x:f>F50+E51</x:f>
        <x:v>-155994000</x:v>
      </x:c>
      <x:c r="G51" s="6" t="n">
        <x:v>2102000</x:v>
      </x:c>
      <x:c r="H51" s="6" t="n">
        <x:v>5310000</x:v>
      </x:c>
      <x:c r="I51" s="6" t="n">
        <x:v>398</x:v>
      </x:c>
      <x:c r="J51" s="6" t="n">
        <x:v>0</x:v>
      </x:c>
      <x:c r="K51" s="6" t="n">
        <x:v>0</x:v>
      </x:c>
      <x:c r="L51" s="6" t="n">
        <x:v>10</x:v>
      </x:c>
      <x:c r="M51" s="11" t="n">
        <x:v>0.6993803418803419</x:v>
      </x:c>
      <x:c r="N51" s="6" t="n">
        <x:v>3249000</x:v>
      </x:c>
    </x:row>
    <x:row r="52" ht="24" customHeight="1">
      <x:c r="A52" s="2" t="str">
        <x:v>2026-10-22_Day</x:v>
      </x:c>
      <x:c r="B52" s="6" t="str">
        <x:v>デイ</x:v>
      </x:c>
      <x:c r="C52" s="6" t="n">
        <x:v>2730000</x:v>
      </x:c>
      <x:c r="D52" s="6" t="n">
        <x:v>6546000</x:v>
      </x:c>
      <x:c r="E52" s="6" t="n">
        <x:f>C52-D52</x:f>
        <x:v>-3816000</x:v>
      </x:c>
      <x:c r="F52" s="6" t="n">
        <x:f>F51+E52</x:f>
        <x:v>-159810000</x:v>
      </x:c>
      <x:c r="G52" s="6" t="n">
        <x:v>2730000</x:v>
      </x:c>
      <x:c r="H52" s="6" t="n">
        <x:v>6546000</x:v>
      </x:c>
      <x:c r="I52" s="6" t="n">
        <x:v>348</x:v>
      </x:c>
      <x:c r="J52" s="6" t="n">
        <x:v>0</x:v>
      </x:c>
      <x:c r="K52" s="6" t="n">
        <x:v>0</x:v>
      </x:c>
      <x:c r="L52" s="6" t="n">
        <x:v>10</x:v>
      </x:c>
      <x:c r="M52" s="11" t="n">
        <x:v>0.7931349206349206</x:v>
      </x:c>
      <x:c r="N52" s="6" t="n">
        <x:v>4099000</x:v>
      </x:c>
    </x:row>
    <x:row r="53" ht="24" customHeight="1">
      <x:c r="A53" s="2" t="str">
        <x:v>2026-10-22_Night</x:v>
      </x:c>
      <x:c r="B53" s="6" t="str">
        <x:v>ナイト</x:v>
      </x:c>
      <x:c r="C53" s="6" t="n">
        <x:v>2847000</x:v>
      </x:c>
      <x:c r="D53" s="6" t="n">
        <x:v>7466000</x:v>
      </x:c>
      <x:c r="E53" s="6" t="n">
        <x:f>C53-D53</x:f>
        <x:v>-4619000</x:v>
      </x:c>
      <x:c r="F53" s="6" t="n">
        <x:f>F52+E53</x:f>
        <x:v>-164429000</x:v>
      </x:c>
      <x:c r="G53" s="6" t="n">
        <x:v>2847000</x:v>
      </x:c>
      <x:c r="H53" s="6" t="n">
        <x:v>7466000</x:v>
      </x:c>
      <x:c r="I53" s="6" t="n">
        <x:v>484</x:v>
      </x:c>
      <x:c r="J53" s="6" t="n">
        <x:v>0</x:v>
      </x:c>
      <x:c r="K53" s="6" t="n">
        <x:v>0</x:v>
      </x:c>
      <x:c r="L53" s="6" t="n">
        <x:v>10</x:v>
      </x:c>
      <x:c r="M53" s="11" t="n">
        <x:v>0.7301495726495727</x:v>
      </x:c>
      <x:c r="N53" s="6" t="n">
        <x:v>4659000</x:v>
      </x:c>
    </x:row>
    <x:row r="54" ht="24" customHeight="1">
      <x:c r="A54" s="2" t="str">
        <x:v>2026-10-23_Day</x:v>
      </x:c>
      <x:c r="B54" s="6" t="str">
        <x:v>デイ</x:v>
      </x:c>
      <x:c r="C54" s="6" t="n">
        <x:v>4284000</x:v>
      </x:c>
      <x:c r="D54" s="6" t="n">
        <x:v>9670000</x:v>
      </x:c>
      <x:c r="E54" s="6" t="n">
        <x:f>C54-D54</x:f>
        <x:v>-5386000</x:v>
      </x:c>
      <x:c r="F54" s="6" t="n">
        <x:f>F53+E54</x:f>
        <x:v>-169815000</x:v>
      </x:c>
      <x:c r="G54" s="6" t="n">
        <x:v>4284000</x:v>
      </x:c>
      <x:c r="H54" s="6" t="n">
        <x:v>9670000</x:v>
      </x:c>
      <x:c r="I54" s="6" t="n">
        <x:v>430</x:v>
      </x:c>
      <x:c r="J54" s="6" t="n">
        <x:v>0</x:v>
      </x:c>
      <x:c r="K54" s="6" t="n">
        <x:v>0</x:v>
      </x:c>
      <x:c r="L54" s="6" t="n">
        <x:v>10</x:v>
      </x:c>
      <x:c r="M54" s="11" t="n">
        <x:v>0.7757142857142857</x:v>
      </x:c>
      <x:c r="N54" s="6" t="n">
        <x:v>5530000</x:v>
      </x:c>
    </x:row>
    <x:row r="55" ht="24" customHeight="1">
      <x:c r="A55" s="2" t="str">
        <x:v>2026-10-23_Night</x:v>
      </x:c>
      <x:c r="B55" s="6" t="str">
        <x:v>ナイト</x:v>
      </x:c>
      <x:c r="C55" s="6" t="n">
        <x:v>2593000</x:v>
      </x:c>
      <x:c r="D55" s="6" t="n">
        <x:v>7050000</x:v>
      </x:c>
      <x:c r="E55" s="6" t="n">
        <x:f>C55-D55</x:f>
        <x:v>-4457000</x:v>
      </x:c>
      <x:c r="F55" s="6" t="n">
        <x:f>F54+E55</x:f>
        <x:v>-174272000</x:v>
      </x:c>
      <x:c r="G55" s="6" t="n">
        <x:v>2593000</x:v>
      </x:c>
      <x:c r="H55" s="6" t="n">
        <x:v>7050000</x:v>
      </x:c>
      <x:c r="I55" s="6" t="n">
        <x:v>476</x:v>
      </x:c>
      <x:c r="J55" s="6" t="n">
        <x:v>0</x:v>
      </x:c>
      <x:c r="K55" s="6" t="n">
        <x:v>0</x:v>
      </x:c>
      <x:c r="L55" s="6" t="n">
        <x:v>10</x:v>
      </x:c>
      <x:c r="M55" s="11" t="n">
        <x:v>0.7515598290598291</x:v>
      </x:c>
      <x:c r="N55" s="6" t="n">
        <x:v>4457000</x:v>
      </x:c>
    </x:row>
    <x:row r="56" ht="24" customHeight="1">
      <x:c r="A56" s="2" t="str">
        <x:v>2026-10-26_Day</x:v>
      </x:c>
      <x:c r="B56" s="6" t="str">
        <x:v>デイ</x:v>
      </x:c>
      <x:c r="C56" s="6" t="n">
        <x:v>2728000</x:v>
      </x:c>
      <x:c r="D56" s="6" t="n">
        <x:v>7379000</x:v>
      </x:c>
      <x:c r="E56" s="6" t="n">
        <x:f>C56-D56</x:f>
        <x:v>-4651000</x:v>
      </x:c>
      <x:c r="F56" s="6" t="n">
        <x:f>F55+E56</x:f>
        <x:v>-178923000</x:v>
      </x:c>
      <x:c r="G56" s="6" t="n">
        <x:v>2728000</x:v>
      </x:c>
      <x:c r="H56" s="6" t="n">
        <x:v>7379000</x:v>
      </x:c>
      <x:c r="I56" s="6" t="n">
        <x:v>362</x:v>
      </x:c>
      <x:c r="J56" s="6" t="n">
        <x:v>0</x:v>
      </x:c>
      <x:c r="K56" s="6" t="n">
        <x:v>0</x:v>
      </x:c>
      <x:c r="L56" s="6" t="n">
        <x:v>10</x:v>
      </x:c>
      <x:c r="M56" s="11" t="n">
        <x:v>0.7773809523809524</x:v>
      </x:c>
      <x:c r="N56" s="6" t="n">
        <x:v>4801000</x:v>
      </x:c>
    </x:row>
    <x:row r="57" ht="24" customHeight="1">
      <x:c r="A57" s="15" t="str">
        <x:v>累計／平均／最大</x:v>
      </x:c>
      <x:c r="B57" s="16"/>
      <x:c r="C57" s="16" t="n">
        <x:f>SUM(C6:C56)</x:f>
        <x:v>93940000</x:v>
      </x:c>
      <x:c r="D57" s="16" t="n">
        <x:f>SUM(D6:D56)</x:f>
        <x:v>272863000</x:v>
      </x:c>
      <x:c r="E57" s="16" t="n">
        <x:f>C57-D57</x:f>
        <x:v>-178923000</x:v>
      </x:c>
      <x:c r="F57" s="16" t="n">
        <x:f>F56</x:f>
        <x:v>-178923000</x:v>
      </x:c>
      <x:c r="G57" s="16" t="n">
        <x:f>SUM(G6:G56)</x:f>
        <x:v>93940000</x:v>
      </x:c>
      <x:c r="H57" s="16" t="n">
        <x:f>SUM(H6:H56)</x:f>
        <x:v>272863000</x:v>
      </x:c>
      <x:c r="I57" s="16" t="n">
        <x:f>SUM(I6:I56)</x:f>
        <x:v>17457</x:v>
      </x:c>
      <x:c r="J57" s="16" t="n">
        <x:f>SUM(J6:J56)</x:f>
        <x:v>0</x:v>
      </x:c>
      <x:c r="K57" s="16" t="n">
        <x:f>SUM(K6:K56)</x:f>
        <x:v>0</x:v>
      </x:c>
      <x:c r="L57" s="16" t="n">
        <x:f>MAX(L6:L56)</x:f>
        <x:v>10</x:v>
      </x:c>
      <x:c r="M57" s="17" t="n">
        <x:f>AVERAGE(M6:M56)</x:f>
        <x:v>0.7323990279872631</x:v>
      </x:c>
      <x:c r="N57" s="16" t="n">
        <x:f>MAX(N6:N56)</x:f>
        <x:v>6140000</x:v>
      </x:c>
    </x:row>
  </x:sheetData>
  <x:conditionalFormatting sqref="E6:F56">
    <x:cfRule type="cellIs" dxfId="9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fcc9f0041c04f0c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1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4" customHeight="1">
      <x:c r="A1" s="3" t="str">
        <x:v>日経 M03　各セッションの利益・損失・収支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A2" s="4" t="str">
        <x:v>2026/09/21〜10/26デイ・51完了場。日経mini／TOPIXmini各上限10枚・手数料0。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4" customHeight="1">
      <x:c r="A3" s="4" t="str">
        <x:v>60秒の時間加重平均を30秒前と比較。入口だけ傾き比例枚数、利益追尾＋傾き反転・増勢後の半減で返済。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4" customHeight="1">
      <x:c r="A4" s="4" t="str">
        <x:v>利益・損失＝FIFO返済配賦別。親＝初回から全返済まで。ラージ気配による模型で、mini実約定の検証ではありません。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42" customHeight="1">
      <x:c r="A5" s="10" t="str">
        <x:v>セッション</x:v>
      </x:c>
      <x:c r="B5" s="10" t="str">
        <x:v>区分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親利益（円）</x:v>
      </x:c>
      <x:c r="H5" s="10" t="str">
        <x:v>親損失（円）</x:v>
      </x:c>
      <x:c r="I5" s="10" t="str">
        <x:v>初回件数</x:v>
      </x:c>
      <x:c r="J5" s="10" t="str">
        <x:v>追加件数</x:v>
      </x:c>
      <x:c r="K5" s="10" t="str">
        <x:v>縮小件数</x:v>
      </x:c>
      <x:c r="L5" s="10" t="str">
        <x:v>最大保有枚数</x:v>
      </x:c>
      <x:c r="M5" s="10" t="str">
        <x:v>保有時間率</x:v>
      </x:c>
      <x:c r="N5" s="10" t="str">
        <x:v>時価最大DD（円）</x:v>
      </x:c>
    </x:row>
    <x:row r="6" ht="24" customHeight="1">
      <x:c r="A6" s="2" t="str">
        <x:v>2026-09-21_Day</x:v>
      </x:c>
      <x:c r="B6" s="6" t="str">
        <x:v>デイ</x:v>
      </x:c>
      <x:c r="C6" s="6" t="n">
        <x:v>785000</x:v>
      </x:c>
      <x:c r="D6" s="6" t="n">
        <x:v>2520000</x:v>
      </x:c>
      <x:c r="E6" s="6" t="n">
        <x:f>C6-D6</x:f>
        <x:v>-1735000</x:v>
      </x:c>
      <x:c r="F6" s="6" t="n">
        <x:f>E6</x:f>
        <x:v>-1735000</x:v>
      </x:c>
      <x:c r="G6" s="6" t="n">
        <x:v>785000</x:v>
      </x:c>
      <x:c r="H6" s="6" t="n">
        <x:v>2520000</x:v>
      </x:c>
      <x:c r="I6" s="6" t="n">
        <x:v>168</x:v>
      </x:c>
      <x:c r="J6" s="6" t="n">
        <x:v>0</x:v>
      </x:c>
      <x:c r="K6" s="6" t="n">
        <x:v>0</x:v>
      </x:c>
      <x:c r="L6" s="6" t="n">
        <x:v>10</x:v>
      </x:c>
      <x:c r="M6" s="11" t="n">
        <x:v>0.6358333333333334</x:v>
      </x:c>
      <x:c r="N6" s="6" t="n">
        <x:v>1747000</x:v>
      </x:c>
    </x:row>
    <x:row r="7" ht="24" customHeight="1">
      <x:c r="A7" s="2" t="str">
        <x:v>2026-09-21_Night</x:v>
      </x:c>
      <x:c r="B7" s="6" t="str">
        <x:v>ナイト</x:v>
      </x:c>
      <x:c r="C7" s="6" t="n">
        <x:v>434000</x:v>
      </x:c>
      <x:c r="D7" s="6" t="n">
        <x:v>2509000</x:v>
      </x:c>
      <x:c r="E7" s="6" t="n">
        <x:f>C7-D7</x:f>
        <x:v>-2075000</x:v>
      </x:c>
      <x:c r="F7" s="6" t="n">
        <x:f>F6+E7</x:f>
        <x:v>-3810000</x:v>
      </x:c>
      <x:c r="G7" s="6" t="n">
        <x:v>434000</x:v>
      </x:c>
      <x:c r="H7" s="6" t="n">
        <x:v>2509000</x:v>
      </x:c>
      <x:c r="I7" s="6" t="n">
        <x:v>262</x:v>
      </x:c>
      <x:c r="J7" s="6" t="n">
        <x:v>0</x:v>
      </x:c>
      <x:c r="K7" s="6" t="n">
        <x:v>0</x:v>
      </x:c>
      <x:c r="L7" s="6" t="n">
        <x:v>10</x:v>
      </x:c>
      <x:c r="M7" s="11" t="n">
        <x:v>0.5947863247863248</x:v>
      </x:c>
      <x:c r="N7" s="6" t="n">
        <x:v>2129000</x:v>
      </x:c>
    </x:row>
    <x:row r="8" ht="24" customHeight="1">
      <x:c r="A8" s="2" t="str">
        <x:v>2026-09-22_Day</x:v>
      </x:c>
      <x:c r="B8" s="6" t="str">
        <x:v>デイ</x:v>
      </x:c>
      <x:c r="C8" s="6" t="n">
        <x:v>765000</x:v>
      </x:c>
      <x:c r="D8" s="6" t="n">
        <x:v>3647000</x:v>
      </x:c>
      <x:c r="E8" s="6" t="n">
        <x:f>C8-D8</x:f>
        <x:v>-2882000</x:v>
      </x:c>
      <x:c r="F8" s="6" t="n">
        <x:f>F7+E8</x:f>
        <x:v>-6692000</x:v>
      </x:c>
      <x:c r="G8" s="6" t="n">
        <x:v>765000</x:v>
      </x:c>
      <x:c r="H8" s="6" t="n">
        <x:v>3647000</x:v>
      </x:c>
      <x:c r="I8" s="6" t="n">
        <x:v>216</x:v>
      </x:c>
      <x:c r="J8" s="6" t="n">
        <x:v>0</x:v>
      </x:c>
      <x:c r="K8" s="6" t="n">
        <x:v>0</x:v>
      </x:c>
      <x:c r="L8" s="6" t="n">
        <x:v>10</x:v>
      </x:c>
      <x:c r="M8" s="11" t="n">
        <x:v>0.6751587301587302</x:v>
      </x:c>
      <x:c r="N8" s="6" t="n">
        <x:v>2897000</x:v>
      </x:c>
    </x:row>
    <x:row r="9" ht="24" customHeight="1">
      <x:c r="A9" s="2" t="str">
        <x:v>2026-09-22_Night</x:v>
      </x:c>
      <x:c r="B9" s="6" t="str">
        <x:v>ナイト</x:v>
      </x:c>
      <x:c r="C9" s="6" t="n">
        <x:v>1127000</x:v>
      </x:c>
      <x:c r="D9" s="6" t="n">
        <x:v>4657000</x:v>
      </x:c>
      <x:c r="E9" s="6" t="n">
        <x:f>C9-D9</x:f>
        <x:v>-3530000</x:v>
      </x:c>
      <x:c r="F9" s="6" t="n">
        <x:f>F8+E9</x:f>
        <x:v>-10222000</x:v>
      </x:c>
      <x:c r="G9" s="6" t="n">
        <x:v>1127000</x:v>
      </x:c>
      <x:c r="H9" s="6" t="n">
        <x:v>4657000</x:v>
      </x:c>
      <x:c r="I9" s="6" t="n">
        <x:v>327</x:v>
      </x:c>
      <x:c r="J9" s="6" t="n">
        <x:v>0</x:v>
      </x:c>
      <x:c r="K9" s="6" t="n">
        <x:v>0</x:v>
      </x:c>
      <x:c r="L9" s="6" t="n">
        <x:v>10</x:v>
      </x:c>
      <x:c r="M9" s="11" t="n">
        <x:v>0.591965811965812</x:v>
      </x:c>
      <x:c r="N9" s="6" t="n">
        <x:v>3544000</x:v>
      </x:c>
    </x:row>
    <x:row r="10" ht="24" customHeight="1">
      <x:c r="A10" s="2" t="str">
        <x:v>2026-09-23_Day</x:v>
      </x:c>
      <x:c r="B10" s="6" t="str">
        <x:v>デイ</x:v>
      </x:c>
      <x:c r="C10" s="6" t="n">
        <x:v>384000</x:v>
      </x:c>
      <x:c r="D10" s="6" t="n">
        <x:v>2476000</x:v>
      </x:c>
      <x:c r="E10" s="6" t="n">
        <x:f>C10-D10</x:f>
        <x:v>-2092000</x:v>
      </x:c>
      <x:c r="F10" s="6" t="n">
        <x:f>F9+E10</x:f>
        <x:v>-12314000</x:v>
      </x:c>
      <x:c r="G10" s="6" t="n">
        <x:v>384000</x:v>
      </x:c>
      <x:c r="H10" s="6" t="n">
        <x:v>2476000</x:v>
      </x:c>
      <x:c r="I10" s="6" t="n">
        <x:v>180</x:v>
      </x:c>
      <x:c r="J10" s="6" t="n">
        <x:v>0</x:v>
      </x:c>
      <x:c r="K10" s="6" t="n">
        <x:v>0</x:v>
      </x:c>
      <x:c r="L10" s="6" t="n">
        <x:v>10</x:v>
      </x:c>
      <x:c r="M10" s="11" t="n">
        <x:v>0.6211111111111111</x:v>
      </x:c>
      <x:c r="N10" s="6" t="n">
        <x:v>2115000</x:v>
      </x:c>
    </x:row>
    <x:row r="11" ht="24" customHeight="1">
      <x:c r="A11" s="2" t="str">
        <x:v>2026-09-23_Night</x:v>
      </x:c>
      <x:c r="B11" s="6" t="str">
        <x:v>ナイト</x:v>
      </x:c>
      <x:c r="C11" s="6" t="n">
        <x:v>1124000</x:v>
      </x:c>
      <x:c r="D11" s="6" t="n">
        <x:v>3336000</x:v>
      </x:c>
      <x:c r="E11" s="6" t="n">
        <x:f>C11-D11</x:f>
        <x:v>-2212000</x:v>
      </x:c>
      <x:c r="F11" s="6" t="n">
        <x:f>F10+E11</x:f>
        <x:v>-14526000</x:v>
      </x:c>
      <x:c r="G11" s="6" t="n">
        <x:v>1124000</x:v>
      </x:c>
      <x:c r="H11" s="6" t="n">
        <x:v>3336000</x:v>
      </x:c>
      <x:c r="I11" s="6" t="n">
        <x:v>295</x:v>
      </x:c>
      <x:c r="J11" s="6" t="n">
        <x:v>0</x:v>
      </x:c>
      <x:c r="K11" s="6" t="n">
        <x:v>0</x:v>
      </x:c>
      <x:c r="L11" s="6" t="n">
        <x:v>10</x:v>
      </x:c>
      <x:c r="M11" s="11" t="n">
        <x:v>0.6023076923076923</x:v>
      </x:c>
      <x:c r="N11" s="6" t="n">
        <x:v>2248000</x:v>
      </x:c>
    </x:row>
    <x:row r="12" ht="24" customHeight="1">
      <x:c r="A12" s="2" t="str">
        <x:v>2026-09-24_Day</x:v>
      </x:c>
      <x:c r="B12" s="6" t="str">
        <x:v>デイ</x:v>
      </x:c>
      <x:c r="C12" s="6" t="n">
        <x:v>1615000</x:v>
      </x:c>
      <x:c r="D12" s="6" t="n">
        <x:v>4874000</x:v>
      </x:c>
      <x:c r="E12" s="6" t="n">
        <x:f>C12-D12</x:f>
        <x:v>-3259000</x:v>
      </x:c>
      <x:c r="F12" s="6" t="n">
        <x:f>F11+E12</x:f>
        <x:v>-17785000</x:v>
      </x:c>
      <x:c r="G12" s="6" t="n">
        <x:v>1615000</x:v>
      </x:c>
      <x:c r="H12" s="6" t="n">
        <x:v>4874000</x:v>
      </x:c>
      <x:c r="I12" s="6" t="n">
        <x:v>349</x:v>
      </x:c>
      <x:c r="J12" s="6" t="n">
        <x:v>0</x:v>
      </x:c>
      <x:c r="K12" s="6" t="n">
        <x:v>0</x:v>
      </x:c>
      <x:c r="L12" s="6" t="n">
        <x:v>10</x:v>
      </x:c>
      <x:c r="M12" s="11" t="n">
        <x:v>0.7548412698412699</x:v>
      </x:c>
      <x:c r="N12" s="6" t="n">
        <x:v>3339000</x:v>
      </x:c>
    </x:row>
    <x:row r="13" ht="24" customHeight="1">
      <x:c r="A13" s="2" t="str">
        <x:v>2026-09-24_Night</x:v>
      </x:c>
      <x:c r="B13" s="6" t="str">
        <x:v>ナイト</x:v>
      </x:c>
      <x:c r="C13" s="6" t="n">
        <x:v>2129000</x:v>
      </x:c>
      <x:c r="D13" s="6" t="n">
        <x:v>6208000</x:v>
      </x:c>
      <x:c r="E13" s="6" t="n">
        <x:f>C13-D13</x:f>
        <x:v>-4079000</x:v>
      </x:c>
      <x:c r="F13" s="6" t="n">
        <x:f>F12+E13</x:f>
        <x:v>-21864000</x:v>
      </x:c>
      <x:c r="G13" s="6" t="n">
        <x:v>2129000</x:v>
      </x:c>
      <x:c r="H13" s="6" t="n">
        <x:v>6208000</x:v>
      </x:c>
      <x:c r="I13" s="6" t="n">
        <x:v>437</x:v>
      </x:c>
      <x:c r="J13" s="6" t="n">
        <x:v>0</x:v>
      </x:c>
      <x:c r="K13" s="6" t="n">
        <x:v>0</x:v>
      </x:c>
      <x:c r="L13" s="6" t="n">
        <x:v>10</x:v>
      </x:c>
      <x:c r="M13" s="11" t="n">
        <x:v>0.6823290598290598</x:v>
      </x:c>
      <x:c r="N13" s="6" t="n">
        <x:v>4099000</x:v>
      </x:c>
    </x:row>
    <x:row r="14" ht="24" customHeight="1">
      <x:c r="A14" s="2" t="str">
        <x:v>2026-09-25_Day</x:v>
      </x:c>
      <x:c r="B14" s="6" t="str">
        <x:v>デイ</x:v>
      </x:c>
      <x:c r="C14" s="6" t="n">
        <x:v>1232000</x:v>
      </x:c>
      <x:c r="D14" s="6" t="n">
        <x:v>4526000</x:v>
      </x:c>
      <x:c r="E14" s="6" t="n">
        <x:f>C14-D14</x:f>
        <x:v>-3294000</x:v>
      </x:c>
      <x:c r="F14" s="6" t="n">
        <x:f>F13+E14</x:f>
        <x:v>-25158000</x:v>
      </x:c>
      <x:c r="G14" s="6" t="n">
        <x:v>1232000</x:v>
      </x:c>
      <x:c r="H14" s="6" t="n">
        <x:v>4526000</x:v>
      </x:c>
      <x:c r="I14" s="6" t="n">
        <x:v>323</x:v>
      </x:c>
      <x:c r="J14" s="6" t="n">
        <x:v>0</x:v>
      </x:c>
      <x:c r="K14" s="6" t="n">
        <x:v>0</x:v>
      </x:c>
      <x:c r="L14" s="6" t="n">
        <x:v>10</x:v>
      </x:c>
      <x:c r="M14" s="11" t="n">
        <x:v>0.7617857142857143</x:v>
      </x:c>
      <x:c r="N14" s="6" t="n">
        <x:v>3316000</x:v>
      </x:c>
    </x:row>
    <x:row r="15" ht="24" customHeight="1">
      <x:c r="A15" s="2" t="str">
        <x:v>2026-09-25_Night</x:v>
      </x:c>
      <x:c r="B15" s="6" t="str">
        <x:v>ナイト</x:v>
      </x:c>
      <x:c r="C15" s="6" t="n">
        <x:v>1512000</x:v>
      </x:c>
      <x:c r="D15" s="6" t="n">
        <x:v>4599000</x:v>
      </x:c>
      <x:c r="E15" s="6" t="n">
        <x:f>C15-D15</x:f>
        <x:v>-3087000</x:v>
      </x:c>
      <x:c r="F15" s="6" t="n">
        <x:f>F14+E15</x:f>
        <x:v>-28245000</x:v>
      </x:c>
      <x:c r="G15" s="6" t="n">
        <x:v>1512000</x:v>
      </x:c>
      <x:c r="H15" s="6" t="n">
        <x:v>4599000</x:v>
      </x:c>
      <x:c r="I15" s="6" t="n">
        <x:v>356</x:v>
      </x:c>
      <x:c r="J15" s="6" t="n">
        <x:v>0</x:v>
      </x:c>
      <x:c r="K15" s="6" t="n">
        <x:v>0</x:v>
      </x:c>
      <x:c r="L15" s="6" t="n">
        <x:v>10</x:v>
      </x:c>
      <x:c r="M15" s="11" t="n">
        <x:v>0.6110470085470086</x:v>
      </x:c>
      <x:c r="N15" s="6" t="n">
        <x:v>3170000</x:v>
      </x:c>
    </x:row>
    <x:row r="16" ht="24" customHeight="1">
      <x:c r="A16" s="2" t="str">
        <x:v>2026-09-28_Day</x:v>
      </x:c>
      <x:c r="B16" s="6" t="str">
        <x:v>デイ</x:v>
      </x:c>
      <x:c r="C16" s="6" t="n">
        <x:v>1578000</x:v>
      </x:c>
      <x:c r="D16" s="6" t="n">
        <x:v>5932000</x:v>
      </x:c>
      <x:c r="E16" s="6" t="n">
        <x:f>C16-D16</x:f>
        <x:v>-4354000</x:v>
      </x:c>
      <x:c r="F16" s="6" t="n">
        <x:f>F15+E16</x:f>
        <x:v>-32599000</x:v>
      </x:c>
      <x:c r="G16" s="6" t="n">
        <x:v>1578000</x:v>
      </x:c>
      <x:c r="H16" s="6" t="n">
        <x:v>5932000</x:v>
      </x:c>
      <x:c r="I16" s="6" t="n">
        <x:v>345</x:v>
      </x:c>
      <x:c r="J16" s="6" t="n">
        <x:v>0</x:v>
      </x:c>
      <x:c r="K16" s="6" t="n">
        <x:v>0</x:v>
      </x:c>
      <x:c r="L16" s="6" t="n">
        <x:v>10</x:v>
      </x:c>
      <x:c r="M16" s="11" t="n">
        <x:v>0.7615873015873016</x:v>
      </x:c>
      <x:c r="N16" s="6" t="n">
        <x:v>4517000</x:v>
      </x:c>
    </x:row>
    <x:row r="17" ht="24" customHeight="1">
      <x:c r="A17" s="2" t="str">
        <x:v>2026-09-28_Night</x:v>
      </x:c>
      <x:c r="B17" s="6" t="str">
        <x:v>ナイト</x:v>
      </x:c>
      <x:c r="C17" s="6" t="n">
        <x:v>2536000</x:v>
      </x:c>
      <x:c r="D17" s="6" t="n">
        <x:v>5159000</x:v>
      </x:c>
      <x:c r="E17" s="6" t="n">
        <x:f>C17-D17</x:f>
        <x:v>-2623000</x:v>
      </x:c>
      <x:c r="F17" s="6" t="n">
        <x:f>F16+E17</x:f>
        <x:v>-35222000</x:v>
      </x:c>
      <x:c r="G17" s="6" t="n">
        <x:v>2536000</x:v>
      </x:c>
      <x:c r="H17" s="6" t="n">
        <x:v>5159000</x:v>
      </x:c>
      <x:c r="I17" s="6" t="n">
        <x:v>392</x:v>
      </x:c>
      <x:c r="J17" s="6" t="n">
        <x:v>0</x:v>
      </x:c>
      <x:c r="K17" s="6" t="n">
        <x:v>0</x:v>
      </x:c>
      <x:c r="L17" s="6" t="n">
        <x:v>10</x:v>
      </x:c>
      <x:c r="M17" s="11" t="n">
        <x:v>0.6673931623931624</x:v>
      </x:c>
      <x:c r="N17" s="6" t="n">
        <x:v>2636000</x:v>
      </x:c>
    </x:row>
    <x:row r="18" ht="24" customHeight="1">
      <x:c r="A18" s="2" t="str">
        <x:v>2026-09-29_Day</x:v>
      </x:c>
      <x:c r="B18" s="6" t="str">
        <x:v>デイ</x:v>
      </x:c>
      <x:c r="C18" s="6" t="n">
        <x:v>2098000</x:v>
      </x:c>
      <x:c r="D18" s="6" t="n">
        <x:v>5887000</x:v>
      </x:c>
      <x:c r="E18" s="6" t="n">
        <x:f>C18-D18</x:f>
        <x:v>-3789000</x:v>
      </x:c>
      <x:c r="F18" s="6" t="n">
        <x:f>F17+E18</x:f>
        <x:v>-39011000</x:v>
      </x:c>
      <x:c r="G18" s="6" t="n">
        <x:v>2098000</x:v>
      </x:c>
      <x:c r="H18" s="6" t="n">
        <x:v>5887000</x:v>
      </x:c>
      <x:c r="I18" s="6" t="n">
        <x:v>368</x:v>
      </x:c>
      <x:c r="J18" s="6" t="n">
        <x:v>0</x:v>
      </x:c>
      <x:c r="K18" s="6" t="n">
        <x:v>0</x:v>
      </x:c>
      <x:c r="L18" s="6" t="n">
        <x:v>10</x:v>
      </x:c>
      <x:c r="M18" s="11" t="n">
        <x:v>0.7677380952380952</x:v>
      </x:c>
      <x:c r="N18" s="6" t="n">
        <x:v>3801000</x:v>
      </x:c>
    </x:row>
    <x:row r="19" ht="24" customHeight="1">
      <x:c r="A19" s="2" t="str">
        <x:v>2026-09-29_Night</x:v>
      </x:c>
      <x:c r="B19" s="6" t="str">
        <x:v>ナイト</x:v>
      </x:c>
      <x:c r="C19" s="6" t="n">
        <x:v>1446000</x:v>
      </x:c>
      <x:c r="D19" s="6" t="n">
        <x:v>5162000</x:v>
      </x:c>
      <x:c r="E19" s="6" t="n">
        <x:f>C19-D19</x:f>
        <x:v>-3716000</x:v>
      </x:c>
      <x:c r="F19" s="6" t="n">
        <x:f>F18+E19</x:f>
        <x:v>-42727000</x:v>
      </x:c>
      <x:c r="G19" s="6" t="n">
        <x:v>1446000</x:v>
      </x:c>
      <x:c r="H19" s="6" t="n">
        <x:v>5162000</x:v>
      </x:c>
      <x:c r="I19" s="6" t="n">
        <x:v>397</x:v>
      </x:c>
      <x:c r="J19" s="6" t="n">
        <x:v>0</x:v>
      </x:c>
      <x:c r="K19" s="6" t="n">
        <x:v>0</x:v>
      </x:c>
      <x:c r="L19" s="6" t="n">
        <x:v>10</x:v>
      </x:c>
      <x:c r="M19" s="11" t="n">
        <x:v>0.6452777777777777</x:v>
      </x:c>
      <x:c r="N19" s="6" t="n">
        <x:v>3717000</x:v>
      </x:c>
    </x:row>
    <x:row r="20" ht="24" customHeight="1">
      <x:c r="A20" s="2" t="str">
        <x:v>2026-09-30_Day</x:v>
      </x:c>
      <x:c r="B20" s="6" t="str">
        <x:v>デイ</x:v>
      </x:c>
      <x:c r="C20" s="6" t="n">
        <x:v>1619000</x:v>
      </x:c>
      <x:c r="D20" s="6" t="n">
        <x:v>4623000</x:v>
      </x:c>
      <x:c r="E20" s="6" t="n">
        <x:f>C20-D20</x:f>
        <x:v>-3004000</x:v>
      </x:c>
      <x:c r="F20" s="6" t="n">
        <x:f>F19+E20</x:f>
        <x:v>-45731000</x:v>
      </x:c>
      <x:c r="G20" s="6" t="n">
        <x:v>1619000</x:v>
      </x:c>
      <x:c r="H20" s="6" t="n">
        <x:v>4623000</x:v>
      </x:c>
      <x:c r="I20" s="6" t="n">
        <x:v>326</x:v>
      </x:c>
      <x:c r="J20" s="6" t="n">
        <x:v>0</x:v>
      </x:c>
      <x:c r="K20" s="6" t="n">
        <x:v>0</x:v>
      </x:c>
      <x:c r="L20" s="6" t="n">
        <x:v>10</x:v>
      </x:c>
      <x:c r="M20" s="11" t="n">
        <x:v>0.7805952380952381</x:v>
      </x:c>
      <x:c r="N20" s="6" t="n">
        <x:v>3104000</x:v>
      </x:c>
    </x:row>
    <x:row r="21" ht="24" customHeight="1">
      <x:c r="A21" s="2" t="str">
        <x:v>2026-09-30_Night</x:v>
      </x:c>
      <x:c r="B21" s="6" t="str">
        <x:v>ナイト</x:v>
      </x:c>
      <x:c r="C21" s="6" t="n">
        <x:v>1899000</x:v>
      </x:c>
      <x:c r="D21" s="6" t="n">
        <x:v>6092000</x:v>
      </x:c>
      <x:c r="E21" s="6" t="n">
        <x:f>C21-D21</x:f>
        <x:v>-4193000</x:v>
      </x:c>
      <x:c r="F21" s="6" t="n">
        <x:f>F20+E21</x:f>
        <x:v>-49924000</x:v>
      </x:c>
      <x:c r="G21" s="6" t="n">
        <x:v>1899000</x:v>
      </x:c>
      <x:c r="H21" s="6" t="n">
        <x:v>6092000</x:v>
      </x:c>
      <x:c r="I21" s="6" t="n">
        <x:v>437</x:v>
      </x:c>
      <x:c r="J21" s="6" t="n">
        <x:v>0</x:v>
      </x:c>
      <x:c r="K21" s="6" t="n">
        <x:v>0</x:v>
      </x:c>
      <x:c r="L21" s="6" t="n">
        <x:v>10</x:v>
      </x:c>
      <x:c r="M21" s="11" t="n">
        <x:v>0.7094017094017094</x:v>
      </x:c>
      <x:c r="N21" s="6" t="n">
        <x:v>4308000</x:v>
      </x:c>
    </x:row>
    <x:row r="22" ht="24" customHeight="1">
      <x:c r="A22" s="2" t="str">
        <x:v>2026-10-01_Day</x:v>
      </x:c>
      <x:c r="B22" s="6" t="str">
        <x:v>デイ</x:v>
      </x:c>
      <x:c r="C22" s="6" t="n">
        <x:v>1833000</x:v>
      </x:c>
      <x:c r="D22" s="6" t="n">
        <x:v>3955000</x:v>
      </x:c>
      <x:c r="E22" s="6" t="n">
        <x:f>C22-D22</x:f>
        <x:v>-2122000</x:v>
      </x:c>
      <x:c r="F22" s="6" t="n">
        <x:f>F21+E22</x:f>
        <x:v>-52046000</x:v>
      </x:c>
      <x:c r="G22" s="6" t="n">
        <x:v>1833000</x:v>
      </x:c>
      <x:c r="H22" s="6" t="n">
        <x:v>3955000</x:v>
      </x:c>
      <x:c r="I22" s="6" t="n">
        <x:v>328</x:v>
      </x:c>
      <x:c r="J22" s="6" t="n">
        <x:v>0</x:v>
      </x:c>
      <x:c r="K22" s="6" t="n">
        <x:v>0</x:v>
      </x:c>
      <x:c r="L22" s="6" t="n">
        <x:v>10</x:v>
      </x:c>
      <x:c r="M22" s="11" t="n">
        <x:v>0.7797222222222222</x:v>
      </x:c>
      <x:c r="N22" s="6" t="n">
        <x:v>2202000</x:v>
      </x:c>
    </x:row>
    <x:row r="23" ht="24" customHeight="1">
      <x:c r="A23" s="2" t="str">
        <x:v>2026-10-01_Night</x:v>
      </x:c>
      <x:c r="B23" s="6" t="str">
        <x:v>ナイト</x:v>
      </x:c>
      <x:c r="C23" s="6" t="n">
        <x:v>2453000</x:v>
      </x:c>
      <x:c r="D23" s="6" t="n">
        <x:v>7828000</x:v>
      </x:c>
      <x:c r="E23" s="6" t="n">
        <x:f>C23-D23</x:f>
        <x:v>-5375000</x:v>
      </x:c>
      <x:c r="F23" s="6" t="n">
        <x:f>F22+E23</x:f>
        <x:v>-57421000</x:v>
      </x:c>
      <x:c r="G23" s="6" t="n">
        <x:v>2453000</x:v>
      </x:c>
      <x:c r="H23" s="6" t="n">
        <x:v>7828000</x:v>
      </x:c>
      <x:c r="I23" s="6" t="n">
        <x:v>498</x:v>
      </x:c>
      <x:c r="J23" s="6" t="n">
        <x:v>0</x:v>
      </x:c>
      <x:c r="K23" s="6" t="n">
        <x:v>0</x:v>
      </x:c>
      <x:c r="L23" s="6" t="n">
        <x:v>10</x:v>
      </x:c>
      <x:c r="M23" s="11" t="n">
        <x:v>0.709551282051282</x:v>
      </x:c>
      <x:c r="N23" s="6" t="n">
        <x:v>5394000</x:v>
      </x:c>
    </x:row>
    <x:row r="24" ht="24" customHeight="1">
      <x:c r="A24" s="2" t="str">
        <x:v>2026-10-02_Day</x:v>
      </x:c>
      <x:c r="B24" s="6" t="str">
        <x:v>デイ</x:v>
      </x:c>
      <x:c r="C24" s="6" t="n">
        <x:v>1148000</x:v>
      </x:c>
      <x:c r="D24" s="6" t="n">
        <x:v>4911000</x:v>
      </x:c>
      <x:c r="E24" s="6" t="n">
        <x:f>C24-D24</x:f>
        <x:v>-3763000</x:v>
      </x:c>
      <x:c r="F24" s="6" t="n">
        <x:f>F23+E24</x:f>
        <x:v>-61184000</x:v>
      </x:c>
      <x:c r="G24" s="6" t="n">
        <x:v>1148000</x:v>
      </x:c>
      <x:c r="H24" s="6" t="n">
        <x:v>4911000</x:v>
      </x:c>
      <x:c r="I24" s="6" t="n">
        <x:v>318</x:v>
      </x:c>
      <x:c r="J24" s="6" t="n">
        <x:v>0</x:v>
      </x:c>
      <x:c r="K24" s="6" t="n">
        <x:v>0</x:v>
      </x:c>
      <x:c r="L24" s="6" t="n">
        <x:v>10</x:v>
      </x:c>
      <x:c r="M24" s="11" t="n">
        <x:v>0.7690476190476191</x:v>
      </x:c>
      <x:c r="N24" s="6" t="n">
        <x:v>3775000</x:v>
      </x:c>
    </x:row>
    <x:row r="25" ht="24" customHeight="1">
      <x:c r="A25" s="2" t="str">
        <x:v>2026-10-02_Night</x:v>
      </x:c>
      <x:c r="B25" s="6" t="str">
        <x:v>ナイト</x:v>
      </x:c>
      <x:c r="C25" s="6" t="n">
        <x:v>1927000</x:v>
      </x:c>
      <x:c r="D25" s="6" t="n">
        <x:v>6748000</x:v>
      </x:c>
      <x:c r="E25" s="6" t="n">
        <x:f>C25-D25</x:f>
        <x:v>-4821000</x:v>
      </x:c>
      <x:c r="F25" s="6" t="n">
        <x:f>F24+E25</x:f>
        <x:v>-66005000</x:v>
      </x:c>
      <x:c r="G25" s="6" t="n">
        <x:v>1927000</x:v>
      </x:c>
      <x:c r="H25" s="6" t="n">
        <x:v>6748000</x:v>
      </x:c>
      <x:c r="I25" s="6" t="n">
        <x:v>480</x:v>
      </x:c>
      <x:c r="J25" s="6" t="n">
        <x:v>0</x:v>
      </x:c>
      <x:c r="K25" s="6" t="n">
        <x:v>0</x:v>
      </x:c>
      <x:c r="L25" s="6" t="n">
        <x:v>10</x:v>
      </x:c>
      <x:c r="M25" s="11" t="n">
        <x:v>0.7115811965811966</x:v>
      </x:c>
      <x:c r="N25" s="6" t="n">
        <x:v>4821000</x:v>
      </x:c>
    </x:row>
    <x:row r="26" ht="24" customHeight="1">
      <x:c r="A26" s="2" t="str">
        <x:v>2026-10-05_Day</x:v>
      </x:c>
      <x:c r="B26" s="6" t="str">
        <x:v>デイ</x:v>
      </x:c>
      <x:c r="C26" s="6" t="n">
        <x:v>1002000</x:v>
      </x:c>
      <x:c r="D26" s="6" t="n">
        <x:v>4224000</x:v>
      </x:c>
      <x:c r="E26" s="6" t="n">
        <x:f>C26-D26</x:f>
        <x:v>-3222000</x:v>
      </x:c>
      <x:c r="F26" s="6" t="n">
        <x:f>F25+E26</x:f>
        <x:v>-69227000</x:v>
      </x:c>
      <x:c r="G26" s="6" t="n">
        <x:v>1002000</x:v>
      </x:c>
      <x:c r="H26" s="6" t="n">
        <x:v>4224000</x:v>
      </x:c>
      <x:c r="I26" s="6" t="n">
        <x:v>326</x:v>
      </x:c>
      <x:c r="J26" s="6" t="n">
        <x:v>0</x:v>
      </x:c>
      <x:c r="K26" s="6" t="n">
        <x:v>0</x:v>
      </x:c>
      <x:c r="L26" s="6" t="n">
        <x:v>10</x:v>
      </x:c>
      <x:c r="M26" s="11" t="n">
        <x:v>0.7696428571428572</x:v>
      </x:c>
      <x:c r="N26" s="6" t="n">
        <x:v>3235000</x:v>
      </x:c>
    </x:row>
    <x:row r="27" ht="24" customHeight="1">
      <x:c r="A27" s="2" t="str">
        <x:v>2026-10-05_Night</x:v>
      </x:c>
      <x:c r="B27" s="6" t="str">
        <x:v>ナイト</x:v>
      </x:c>
      <x:c r="C27" s="6" t="n">
        <x:v>1044000</x:v>
      </x:c>
      <x:c r="D27" s="6" t="n">
        <x:v>4013000</x:v>
      </x:c>
      <x:c r="E27" s="6" t="n">
        <x:f>C27-D27</x:f>
        <x:v>-2969000</x:v>
      </x:c>
      <x:c r="F27" s="6" t="n">
        <x:f>F26+E27</x:f>
        <x:v>-72196000</x:v>
      </x:c>
      <x:c r="G27" s="6" t="n">
        <x:v>1044000</x:v>
      </x:c>
      <x:c r="H27" s="6" t="n">
        <x:v>4013000</x:v>
      </x:c>
      <x:c r="I27" s="6" t="n">
        <x:v>394</x:v>
      </x:c>
      <x:c r="J27" s="6" t="n">
        <x:v>0</x:v>
      </x:c>
      <x:c r="K27" s="6" t="n">
        <x:v>0</x:v>
      </x:c>
      <x:c r="L27" s="6" t="n">
        <x:v>10</x:v>
      </x:c>
      <x:c r="M27" s="11" t="n">
        <x:v>0.6943376068376068</x:v>
      </x:c>
      <x:c r="N27" s="6" t="n">
        <x:v>3047000</x:v>
      </x:c>
    </x:row>
    <x:row r="28" ht="24" customHeight="1">
      <x:c r="A28" s="2" t="str">
        <x:v>2026-10-06_Day</x:v>
      </x:c>
      <x:c r="B28" s="6" t="str">
        <x:v>デイ</x:v>
      </x:c>
      <x:c r="C28" s="6" t="n">
        <x:v>978000</x:v>
      </x:c>
      <x:c r="D28" s="6" t="n">
        <x:v>3338000</x:v>
      </x:c>
      <x:c r="E28" s="6" t="n">
        <x:f>C28-D28</x:f>
        <x:v>-2360000</x:v>
      </x:c>
      <x:c r="F28" s="6" t="n">
        <x:f>F27+E28</x:f>
        <x:v>-74556000</x:v>
      </x:c>
      <x:c r="G28" s="6" t="n">
        <x:v>978000</x:v>
      </x:c>
      <x:c r="H28" s="6" t="n">
        <x:v>3338000</x:v>
      </x:c>
      <x:c r="I28" s="6" t="n">
        <x:v>301</x:v>
      </x:c>
      <x:c r="J28" s="6" t="n">
        <x:v>0</x:v>
      </x:c>
      <x:c r="K28" s="6" t="n">
        <x:v>0</x:v>
      </x:c>
      <x:c r="L28" s="6" t="n">
        <x:v>10</x:v>
      </x:c>
      <x:c r="M28" s="11" t="n">
        <x:v>0.7631746031746032</x:v>
      </x:c>
      <x:c r="N28" s="6" t="n">
        <x:v>2448000</x:v>
      </x:c>
    </x:row>
    <x:row r="29" ht="24" customHeight="1">
      <x:c r="A29" s="2" t="str">
        <x:v>2026-10-06_Night</x:v>
      </x:c>
      <x:c r="B29" s="6" t="str">
        <x:v>ナイト</x:v>
      </x:c>
      <x:c r="C29" s="6" t="n">
        <x:v>743000</x:v>
      </x:c>
      <x:c r="D29" s="6" t="n">
        <x:v>3241000</x:v>
      </x:c>
      <x:c r="E29" s="6" t="n">
        <x:f>C29-D29</x:f>
        <x:v>-2498000</x:v>
      </x:c>
      <x:c r="F29" s="6" t="n">
        <x:f>F28+E29</x:f>
        <x:v>-77054000</x:v>
      </x:c>
      <x:c r="G29" s="6" t="n">
        <x:v>743000</x:v>
      </x:c>
      <x:c r="H29" s="6" t="n">
        <x:v>3241000</x:v>
      </x:c>
      <x:c r="I29" s="6" t="n">
        <x:v>336</x:v>
      </x:c>
      <x:c r="J29" s="6" t="n">
        <x:v>0</x:v>
      </x:c>
      <x:c r="K29" s="6" t="n">
        <x:v>0</x:v>
      </x:c>
      <x:c r="L29" s="6" t="n">
        <x:v>10</x:v>
      </x:c>
      <x:c r="M29" s="11" t="n">
        <x:v>0.6430555555555556</x:v>
      </x:c>
      <x:c r="N29" s="6" t="n">
        <x:v>2518000</x:v>
      </x:c>
    </x:row>
    <x:row r="30" ht="24" customHeight="1">
      <x:c r="A30" s="2" t="str">
        <x:v>2026-10-07_Day</x:v>
      </x:c>
      <x:c r="B30" s="6" t="str">
        <x:v>デイ</x:v>
      </x:c>
      <x:c r="C30" s="6" t="n">
        <x:v>856000</x:v>
      </x:c>
      <x:c r="D30" s="6" t="n">
        <x:v>3400000</x:v>
      </x:c>
      <x:c r="E30" s="6" t="n">
        <x:f>C30-D30</x:f>
        <x:v>-2544000</x:v>
      </x:c>
      <x:c r="F30" s="6" t="n">
        <x:f>F29+E30</x:f>
        <x:v>-79598000</x:v>
      </x:c>
      <x:c r="G30" s="6" t="n">
        <x:v>856000</x:v>
      </x:c>
      <x:c r="H30" s="6" t="n">
        <x:v>3400000</x:v>
      </x:c>
      <x:c r="I30" s="6" t="n">
        <x:v>307</x:v>
      </x:c>
      <x:c r="J30" s="6" t="n">
        <x:v>0</x:v>
      </x:c>
      <x:c r="K30" s="6" t="n">
        <x:v>0</x:v>
      </x:c>
      <x:c r="L30" s="6" t="n">
        <x:v>10</x:v>
      </x:c>
      <x:c r="M30" s="11" t="n">
        <x:v>0.7534920634920635</x:v>
      </x:c>
      <x:c r="N30" s="6" t="n">
        <x:v>2582000</x:v>
      </x:c>
    </x:row>
    <x:row r="31" ht="24" customHeight="1">
      <x:c r="A31" s="2" t="str">
        <x:v>2026-10-07_Night</x:v>
      </x:c>
      <x:c r="B31" s="6" t="str">
        <x:v>ナイト</x:v>
      </x:c>
      <x:c r="C31" s="6" t="n">
        <x:v>1050000</x:v>
      </x:c>
      <x:c r="D31" s="6" t="n">
        <x:v>4185000</x:v>
      </x:c>
      <x:c r="E31" s="6" t="n">
        <x:f>C31-D31</x:f>
        <x:v>-3135000</x:v>
      </x:c>
      <x:c r="F31" s="6" t="n">
        <x:f>F30+E31</x:f>
        <x:v>-82733000</x:v>
      </x:c>
      <x:c r="G31" s="6" t="n">
        <x:v>1050000</x:v>
      </x:c>
      <x:c r="H31" s="6" t="n">
        <x:v>4185000</x:v>
      </x:c>
      <x:c r="I31" s="6" t="n">
        <x:v>415</x:v>
      </x:c>
      <x:c r="J31" s="6" t="n">
        <x:v>0</x:v>
      </x:c>
      <x:c r="K31" s="6" t="n">
        <x:v>0</x:v>
      </x:c>
      <x:c r="L31" s="6" t="n">
        <x:v>10</x:v>
      </x:c>
      <x:c r="M31" s="11" t="n">
        <x:v>0.6802350427350428</x:v>
      </x:c>
      <x:c r="N31" s="6" t="n">
        <x:v>3157000</x:v>
      </x:c>
    </x:row>
    <x:row r="32" ht="24" customHeight="1">
      <x:c r="A32" s="2" t="str">
        <x:v>2026-10-08_Day</x:v>
      </x:c>
      <x:c r="B32" s="6" t="str">
        <x:v>デイ</x:v>
      </x:c>
      <x:c r="C32" s="6" t="n">
        <x:v>1411000</x:v>
      </x:c>
      <x:c r="D32" s="6" t="n">
        <x:v>4383000</x:v>
      </x:c>
      <x:c r="E32" s="6" t="n">
        <x:f>C32-D32</x:f>
        <x:v>-2972000</x:v>
      </x:c>
      <x:c r="F32" s="6" t="n">
        <x:f>F31+E32</x:f>
        <x:v>-85705000</x:v>
      </x:c>
      <x:c r="G32" s="6" t="n">
        <x:v>1411000</x:v>
      </x:c>
      <x:c r="H32" s="6" t="n">
        <x:v>4383000</x:v>
      </x:c>
      <x:c r="I32" s="6" t="n">
        <x:v>311</x:v>
      </x:c>
      <x:c r="J32" s="6" t="n">
        <x:v>0</x:v>
      </x:c>
      <x:c r="K32" s="6" t="n">
        <x:v>0</x:v>
      </x:c>
      <x:c r="L32" s="6" t="n">
        <x:v>10</x:v>
      </x:c>
      <x:c r="M32" s="11" t="n">
        <x:v>0.776547619047619</x:v>
      </x:c>
      <x:c r="N32" s="6" t="n">
        <x:v>2996000</x:v>
      </x:c>
    </x:row>
    <x:row r="33" ht="24" customHeight="1">
      <x:c r="A33" s="2" t="str">
        <x:v>2026-10-08_Night</x:v>
      </x:c>
      <x:c r="B33" s="6" t="str">
        <x:v>ナイト</x:v>
      </x:c>
      <x:c r="C33" s="6" t="n">
        <x:v>2439000</x:v>
      </x:c>
      <x:c r="D33" s="6" t="n">
        <x:v>7886000</x:v>
      </x:c>
      <x:c r="E33" s="6" t="n">
        <x:f>C33-D33</x:f>
        <x:v>-5447000</x:v>
      </x:c>
      <x:c r="F33" s="6" t="n">
        <x:f>F32+E33</x:f>
        <x:v>-91152000</x:v>
      </x:c>
      <x:c r="G33" s="6" t="n">
        <x:v>2439000</x:v>
      </x:c>
      <x:c r="H33" s="6" t="n">
        <x:v>7886000</x:v>
      </x:c>
      <x:c r="I33" s="6" t="n">
        <x:v>487</x:v>
      </x:c>
      <x:c r="J33" s="6" t="n">
        <x:v>0</x:v>
      </x:c>
      <x:c r="K33" s="6" t="n">
        <x:v>0</x:v>
      </x:c>
      <x:c r="L33" s="6" t="n">
        <x:v>10</x:v>
      </x:c>
      <x:c r="M33" s="11" t="n">
        <x:v>0.705982905982906</x:v>
      </x:c>
      <x:c r="N33" s="6" t="n">
        <x:v>5543000</x:v>
      </x:c>
    </x:row>
    <x:row r="34" ht="24" customHeight="1">
      <x:c r="A34" s="2" t="str">
        <x:v>2026-10-09_Day</x:v>
      </x:c>
      <x:c r="B34" s="6" t="str">
        <x:v>デイ</x:v>
      </x:c>
      <x:c r="C34" s="6" t="n">
        <x:v>1983000</x:v>
      </x:c>
      <x:c r="D34" s="6" t="n">
        <x:v>4540000</x:v>
      </x:c>
      <x:c r="E34" s="6" t="n">
        <x:f>C34-D34</x:f>
        <x:v>-2557000</x:v>
      </x:c>
      <x:c r="F34" s="6" t="n">
        <x:f>F33+E34</x:f>
        <x:v>-93709000</x:v>
      </x:c>
      <x:c r="G34" s="6" t="n">
        <x:v>1983000</x:v>
      </x:c>
      <x:c r="H34" s="6" t="n">
        <x:v>4540000</x:v>
      </x:c>
      <x:c r="I34" s="6" t="n">
        <x:v>292</x:v>
      </x:c>
      <x:c r="J34" s="6" t="n">
        <x:v>0</x:v>
      </x:c>
      <x:c r="K34" s="6" t="n">
        <x:v>0</x:v>
      </x:c>
      <x:c r="L34" s="6" t="n">
        <x:v>10</x:v>
      </x:c>
      <x:c r="M34" s="11" t="n">
        <x:v>0.7773809523809524</x:v>
      </x:c>
      <x:c r="N34" s="6" t="n">
        <x:v>2563000</x:v>
      </x:c>
    </x:row>
    <x:row r="35" ht="24" customHeight="1">
      <x:c r="A35" s="2" t="str">
        <x:v>2026-10-09_Night</x:v>
      </x:c>
      <x:c r="B35" s="6" t="str">
        <x:v>ナイト</x:v>
      </x:c>
      <x:c r="C35" s="6" t="n">
        <x:v>986000</x:v>
      </x:c>
      <x:c r="D35" s="6" t="n">
        <x:v>3802000</x:v>
      </x:c>
      <x:c r="E35" s="6" t="n">
        <x:f>C35-D35</x:f>
        <x:v>-2816000</x:v>
      </x:c>
      <x:c r="F35" s="6" t="n">
        <x:f>F34+E35</x:f>
        <x:v>-96525000</x:v>
      </x:c>
      <x:c r="G35" s="6" t="n">
        <x:v>986000</x:v>
      </x:c>
      <x:c r="H35" s="6" t="n">
        <x:v>3802000</x:v>
      </x:c>
      <x:c r="I35" s="6" t="n">
        <x:v>321</x:v>
      </x:c>
      <x:c r="J35" s="6" t="n">
        <x:v>0</x:v>
      </x:c>
      <x:c r="K35" s="6" t="n">
        <x:v>0</x:v>
      </x:c>
      <x:c r="L35" s="6" t="n">
        <x:v>10</x:v>
      </x:c>
      <x:c r="M35" s="11" t="n">
        <x:v>0.6729487179487179</x:v>
      </x:c>
      <x:c r="N35" s="6" t="n">
        <x:v>2854000</x:v>
      </x:c>
    </x:row>
    <x:row r="36" ht="24" customHeight="1">
      <x:c r="A36" s="2" t="str">
        <x:v>2026-10-12_Day</x:v>
      </x:c>
      <x:c r="B36" s="6" t="str">
        <x:v>デイ</x:v>
      </x:c>
      <x:c r="C36" s="6" t="n">
        <x:v>525000</x:v>
      </x:c>
      <x:c r="D36" s="6" t="n">
        <x:v>1908000</x:v>
      </x:c>
      <x:c r="E36" s="6" t="n">
        <x:f>C36-D36</x:f>
        <x:v>-1383000</x:v>
      </x:c>
      <x:c r="F36" s="6" t="n">
        <x:f>F35+E36</x:f>
        <x:v>-97908000</x:v>
      </x:c>
      <x:c r="G36" s="6" t="n">
        <x:v>525000</x:v>
      </x:c>
      <x:c r="H36" s="6" t="n">
        <x:v>1908000</x:v>
      </x:c>
      <x:c r="I36" s="6" t="n">
        <x:v>179</x:v>
      </x:c>
      <x:c r="J36" s="6" t="n">
        <x:v>0</x:v>
      </x:c>
      <x:c r="K36" s="6" t="n">
        <x:v>0</x:v>
      </x:c>
      <x:c r="L36" s="6" t="n">
        <x:v>10</x:v>
      </x:c>
      <x:c r="M36" s="11" t="n">
        <x:v>0.6768253968253968</x:v>
      </x:c>
      <x:c r="N36" s="6" t="n">
        <x:v>1422000</x:v>
      </x:c>
    </x:row>
    <x:row r="37" ht="24" customHeight="1">
      <x:c r="A37" s="2" t="str">
        <x:v>2026-10-12_Night</x:v>
      </x:c>
      <x:c r="B37" s="6" t="str">
        <x:v>ナイト</x:v>
      </x:c>
      <x:c r="C37" s="6" t="n">
        <x:v>624000</x:v>
      </x:c>
      <x:c r="D37" s="6" t="n">
        <x:v>2812000</x:v>
      </x:c>
      <x:c r="E37" s="6" t="n">
        <x:f>C37-D37</x:f>
        <x:v>-2188000</x:v>
      </x:c>
      <x:c r="F37" s="6" t="n">
        <x:f>F36+E37</x:f>
        <x:v>-100096000</x:v>
      </x:c>
      <x:c r="G37" s="6" t="n">
        <x:v>624000</x:v>
      </x:c>
      <x:c r="H37" s="6" t="n">
        <x:v>2812000</x:v>
      </x:c>
      <x:c r="I37" s="6" t="n">
        <x:v>257</x:v>
      </x:c>
      <x:c r="J37" s="6" t="n">
        <x:v>0</x:v>
      </x:c>
      <x:c r="K37" s="6" t="n">
        <x:v>0</x:v>
      </x:c>
      <x:c r="L37" s="6" t="n">
        <x:v>10</x:v>
      </x:c>
      <x:c r="M37" s="11" t="n">
        <x:v>0.6263034188034188</x:v>
      </x:c>
      <x:c r="N37" s="6" t="n">
        <x:v>2221000</x:v>
      </x:c>
    </x:row>
    <x:row r="38" ht="24" customHeight="1">
      <x:c r="A38" s="2" t="str">
        <x:v>2026-10-13_Day</x:v>
      </x:c>
      <x:c r="B38" s="6" t="str">
        <x:v>デイ</x:v>
      </x:c>
      <x:c r="C38" s="6" t="n">
        <x:v>2171000</x:v>
      </x:c>
      <x:c r="D38" s="6" t="n">
        <x:v>5501000</x:v>
      </x:c>
      <x:c r="E38" s="6" t="n">
        <x:f>C38-D38</x:f>
        <x:v>-3330000</x:v>
      </x:c>
      <x:c r="F38" s="6" t="n">
        <x:f>F37+E38</x:f>
        <x:v>-103426000</x:v>
      </x:c>
      <x:c r="G38" s="6" t="n">
        <x:v>2171000</x:v>
      </x:c>
      <x:c r="H38" s="6" t="n">
        <x:v>5501000</x:v>
      </x:c>
      <x:c r="I38" s="6" t="n">
        <x:v>354</x:v>
      </x:c>
      <x:c r="J38" s="6" t="n">
        <x:v>0</x:v>
      </x:c>
      <x:c r="K38" s="6" t="n">
        <x:v>0</x:v>
      </x:c>
      <x:c r="L38" s="6" t="n">
        <x:v>10</x:v>
      </x:c>
      <x:c r="M38" s="11" t="n">
        <x:v>0.7791269841269841</x:v>
      </x:c>
      <x:c r="N38" s="6" t="n">
        <x:v>3334000</x:v>
      </x:c>
    </x:row>
    <x:row r="39" ht="24" customHeight="1">
      <x:c r="A39" s="2" t="str">
        <x:v>2026-10-13_Night</x:v>
      </x:c>
      <x:c r="B39" s="6" t="str">
        <x:v>ナイト</x:v>
      </x:c>
      <x:c r="C39" s="6" t="n">
        <x:v>687000</x:v>
      </x:c>
      <x:c r="D39" s="6" t="n">
        <x:v>4388000</x:v>
      </x:c>
      <x:c r="E39" s="6" t="n">
        <x:f>C39-D39</x:f>
        <x:v>-3701000</x:v>
      </x:c>
      <x:c r="F39" s="6" t="n">
        <x:f>F38+E39</x:f>
        <x:v>-107127000</x:v>
      </x:c>
      <x:c r="G39" s="6" t="n">
        <x:v>687000</x:v>
      </x:c>
      <x:c r="H39" s="6" t="n">
        <x:v>4388000</x:v>
      </x:c>
      <x:c r="I39" s="6" t="n">
        <x:v>366</x:v>
      </x:c>
      <x:c r="J39" s="6" t="n">
        <x:v>0</x:v>
      </x:c>
      <x:c r="K39" s="6" t="n">
        <x:v>0</x:v>
      </x:c>
      <x:c r="L39" s="6" t="n">
        <x:v>10</x:v>
      </x:c>
      <x:c r="M39" s="11" t="n">
        <x:v>0.6379700854700855</x:v>
      </x:c>
      <x:c r="N39" s="6" t="n">
        <x:v>3721000</x:v>
      </x:c>
    </x:row>
    <x:row r="40" ht="24" customHeight="1">
      <x:c r="A40" s="2" t="str">
        <x:v>2026-10-14_Day</x:v>
      </x:c>
      <x:c r="B40" s="6" t="str">
        <x:v>デイ</x:v>
      </x:c>
      <x:c r="C40" s="6" t="n">
        <x:v>1605000</x:v>
      </x:c>
      <x:c r="D40" s="6" t="n">
        <x:v>4586000</x:v>
      </x:c>
      <x:c r="E40" s="6" t="n">
        <x:f>C40-D40</x:f>
        <x:v>-2981000</x:v>
      </x:c>
      <x:c r="F40" s="6" t="n">
        <x:f>F39+E40</x:f>
        <x:v>-110108000</x:v>
      </x:c>
      <x:c r="G40" s="6" t="n">
        <x:v>1605000</x:v>
      </x:c>
      <x:c r="H40" s="6" t="n">
        <x:v>4586000</x:v>
      </x:c>
      <x:c r="I40" s="6" t="n">
        <x:v>331</x:v>
      </x:c>
      <x:c r="J40" s="6" t="n">
        <x:v>0</x:v>
      </x:c>
      <x:c r="K40" s="6" t="n">
        <x:v>0</x:v>
      </x:c>
      <x:c r="L40" s="6" t="n">
        <x:v>10</x:v>
      </x:c>
      <x:c r="M40" s="11" t="n">
        <x:v>0.7503968253968254</x:v>
      </x:c>
      <x:c r="N40" s="6" t="n">
        <x:v>3011000</x:v>
      </x:c>
    </x:row>
    <x:row r="41" ht="24" customHeight="1">
      <x:c r="A41" s="2" t="str">
        <x:v>2026-10-14_Night</x:v>
      </x:c>
      <x:c r="B41" s="6" t="str">
        <x:v>ナイト</x:v>
      </x:c>
      <x:c r="C41" s="6" t="n">
        <x:v>2426000</x:v>
      </x:c>
      <x:c r="D41" s="6" t="n">
        <x:v>6481000</x:v>
      </x:c>
      <x:c r="E41" s="6" t="n">
        <x:f>C41-D41</x:f>
        <x:v>-4055000</x:v>
      </x:c>
      <x:c r="F41" s="6" t="n">
        <x:f>F40+E41</x:f>
        <x:v>-114163000</x:v>
      </x:c>
      <x:c r="G41" s="6" t="n">
        <x:v>2426000</x:v>
      </x:c>
      <x:c r="H41" s="6" t="n">
        <x:v>6481000</x:v>
      </x:c>
      <x:c r="I41" s="6" t="n">
        <x:v>465</x:v>
      </x:c>
      <x:c r="J41" s="6" t="n">
        <x:v>0</x:v>
      </x:c>
      <x:c r="K41" s="6" t="n">
        <x:v>0</x:v>
      </x:c>
      <x:c r="L41" s="6" t="n">
        <x:v>10</x:v>
      </x:c>
      <x:c r="M41" s="11" t="n">
        <x:v>0.7277777777777777</x:v>
      </x:c>
      <x:c r="N41" s="6" t="n">
        <x:v>4058000</x:v>
      </x:c>
    </x:row>
    <x:row r="42" ht="24" customHeight="1">
      <x:c r="A42" s="2" t="str">
        <x:v>2026-10-15_Day</x:v>
      </x:c>
      <x:c r="B42" s="6" t="str">
        <x:v>デイ</x:v>
      </x:c>
      <x:c r="C42" s="6" t="n">
        <x:v>3718000</x:v>
      </x:c>
      <x:c r="D42" s="6" t="n">
        <x:v>7218000</x:v>
      </x:c>
      <x:c r="E42" s="6" t="n">
        <x:f>C42-D42</x:f>
        <x:v>-3500000</x:v>
      </x:c>
      <x:c r="F42" s="6" t="n">
        <x:f>F41+E42</x:f>
        <x:v>-117663000</x:v>
      </x:c>
      <x:c r="G42" s="6" t="n">
        <x:v>3718000</x:v>
      </x:c>
      <x:c r="H42" s="6" t="n">
        <x:v>7218000</x:v>
      </x:c>
      <x:c r="I42" s="6" t="n">
        <x:v>414</x:v>
      </x:c>
      <x:c r="J42" s="6" t="n">
        <x:v>0</x:v>
      </x:c>
      <x:c r="K42" s="6" t="n">
        <x:v>0</x:v>
      </x:c>
      <x:c r="L42" s="6" t="n">
        <x:v>10</x:v>
      </x:c>
      <x:c r="M42" s="11" t="n">
        <x:v>0.7711111111111111</x:v>
      </x:c>
      <x:c r="N42" s="6" t="n">
        <x:v>3720000</x:v>
      </x:c>
    </x:row>
    <x:row r="43" ht="24" customHeight="1">
      <x:c r="A43" s="2" t="str">
        <x:v>2026-10-15_Night</x:v>
      </x:c>
      <x:c r="B43" s="6" t="str">
        <x:v>ナイト</x:v>
      </x:c>
      <x:c r="C43" s="6" t="n">
        <x:v>3004000</x:v>
      </x:c>
      <x:c r="D43" s="6" t="n">
        <x:v>7769000</x:v>
      </x:c>
      <x:c r="E43" s="6" t="n">
        <x:f>C43-D43</x:f>
        <x:v>-4765000</x:v>
      </x:c>
      <x:c r="F43" s="6" t="n">
        <x:f>F42+E43</x:f>
        <x:v>-122428000</x:v>
      </x:c>
      <x:c r="G43" s="6" t="n">
        <x:v>3004000</x:v>
      </x:c>
      <x:c r="H43" s="6" t="n">
        <x:v>7769000</x:v>
      </x:c>
      <x:c r="I43" s="6" t="n">
        <x:v>530</x:v>
      </x:c>
      <x:c r="J43" s="6" t="n">
        <x:v>0</x:v>
      </x:c>
      <x:c r="K43" s="6" t="n">
        <x:v>0</x:v>
      </x:c>
      <x:c r="L43" s="6" t="n">
        <x:v>10</x:v>
      </x:c>
      <x:c r="M43" s="11" t="n">
        <x:v>0.7141452991452991</x:v>
      </x:c>
      <x:c r="N43" s="6" t="n">
        <x:v>4820000</x:v>
      </x:c>
    </x:row>
    <x:row r="44" ht="24" customHeight="1">
      <x:c r="A44" s="2" t="str">
        <x:v>2026-10-16_Day</x:v>
      </x:c>
      <x:c r="B44" s="6" t="str">
        <x:v>デイ</x:v>
      </x:c>
      <x:c r="C44" s="6" t="n">
        <x:v>2320000</x:v>
      </x:c>
      <x:c r="D44" s="6" t="n">
        <x:v>6237000</x:v>
      </x:c>
      <x:c r="E44" s="6" t="n">
        <x:f>C44-D44</x:f>
        <x:v>-3917000</x:v>
      </x:c>
      <x:c r="F44" s="6" t="n">
        <x:f>F43+E44</x:f>
        <x:v>-126345000</x:v>
      </x:c>
      <x:c r="G44" s="6" t="n">
        <x:v>2320000</x:v>
      </x:c>
      <x:c r="H44" s="6" t="n">
        <x:v>6237000</x:v>
      </x:c>
      <x:c r="I44" s="6" t="n">
        <x:v>357</x:v>
      </x:c>
      <x:c r="J44" s="6" t="n">
        <x:v>0</x:v>
      </x:c>
      <x:c r="K44" s="6" t="n">
        <x:v>0</x:v>
      </x:c>
      <x:c r="L44" s="6" t="n">
        <x:v>10</x:v>
      </x:c>
      <x:c r="M44" s="11" t="n">
        <x:v>0.770079365079365</x:v>
      </x:c>
      <x:c r="N44" s="6" t="n">
        <x:v>4138000</x:v>
      </x:c>
    </x:row>
    <x:row r="45" ht="24" customHeight="1">
      <x:c r="A45" s="2" t="str">
        <x:v>2026-10-16_Night</x:v>
      </x:c>
      <x:c r="B45" s="6" t="str">
        <x:v>ナイト</x:v>
      </x:c>
      <x:c r="C45" s="6" t="n">
        <x:v>2956000</x:v>
      </x:c>
      <x:c r="D45" s="6" t="n">
        <x:v>8993000</x:v>
      </x:c>
      <x:c r="E45" s="6" t="n">
        <x:f>C45-D45</x:f>
        <x:v>-6037000</x:v>
      </x:c>
      <x:c r="F45" s="6" t="n">
        <x:f>F44+E45</x:f>
        <x:v>-132382000</x:v>
      </x:c>
      <x:c r="G45" s="6" t="n">
        <x:v>2956000</x:v>
      </x:c>
      <x:c r="H45" s="6" t="n">
        <x:v>8993000</x:v>
      </x:c>
      <x:c r="I45" s="6" t="n">
        <x:v>545</x:v>
      </x:c>
      <x:c r="J45" s="6" t="n">
        <x:v>0</x:v>
      </x:c>
      <x:c r="K45" s="6" t="n">
        <x:v>0</x:v>
      </x:c>
      <x:c r="L45" s="6" t="n">
        <x:v>10</x:v>
      </x:c>
      <x:c r="M45" s="11" t="n">
        <x:v>0.7291880341880342</x:v>
      </x:c>
      <x:c r="N45" s="6" t="n">
        <x:v>6127000</x:v>
      </x:c>
    </x:row>
    <x:row r="46" ht="24" customHeight="1">
      <x:c r="A46" s="2" t="str">
        <x:v>2026-10-19_Day</x:v>
      </x:c>
      <x:c r="B46" s="6" t="str">
        <x:v>デイ</x:v>
      </x:c>
      <x:c r="C46" s="6" t="n">
        <x:v>2706000</x:v>
      </x:c>
      <x:c r="D46" s="6" t="n">
        <x:v>6558000</x:v>
      </x:c>
      <x:c r="E46" s="6" t="n">
        <x:f>C46-D46</x:f>
        <x:v>-3852000</x:v>
      </x:c>
      <x:c r="F46" s="6" t="n">
        <x:f>F45+E46</x:f>
        <x:v>-136234000</x:v>
      </x:c>
      <x:c r="G46" s="6" t="n">
        <x:v>2706000</x:v>
      </x:c>
      <x:c r="H46" s="6" t="n">
        <x:v>6558000</x:v>
      </x:c>
      <x:c r="I46" s="6" t="n">
        <x:v>398</x:v>
      </x:c>
      <x:c r="J46" s="6" t="n">
        <x:v>0</x:v>
      </x:c>
      <x:c r="K46" s="6" t="n">
        <x:v>0</x:v>
      </x:c>
      <x:c r="L46" s="6" t="n">
        <x:v>10</x:v>
      </x:c>
      <x:c r="M46" s="11" t="n">
        <x:v>0.7522619047619048</x:v>
      </x:c>
      <x:c r="N46" s="6" t="n">
        <x:v>4057000</x:v>
      </x:c>
    </x:row>
    <x:row r="47" ht="24" customHeight="1">
      <x:c r="A47" s="2" t="str">
        <x:v>2026-10-19_Night</x:v>
      </x:c>
      <x:c r="B47" s="6" t="str">
        <x:v>ナイト</x:v>
      </x:c>
      <x:c r="C47" s="6" t="n">
        <x:v>2059000</x:v>
      </x:c>
      <x:c r="D47" s="6" t="n">
        <x:v>6487000</x:v>
      </x:c>
      <x:c r="E47" s="6" t="n">
        <x:f>C47-D47</x:f>
        <x:v>-4428000</x:v>
      </x:c>
      <x:c r="F47" s="6" t="n">
        <x:f>F46+E47</x:f>
        <x:v>-140662000</x:v>
      </x:c>
      <x:c r="G47" s="6" t="n">
        <x:v>2059000</x:v>
      </x:c>
      <x:c r="H47" s="6" t="n">
        <x:v>6487000</x:v>
      </x:c>
      <x:c r="I47" s="6" t="n">
        <x:v>472</x:v>
      </x:c>
      <x:c r="J47" s="6" t="n">
        <x:v>0</x:v>
      </x:c>
      <x:c r="K47" s="6" t="n">
        <x:v>0</x:v>
      </x:c>
      <x:c r="L47" s="6" t="n">
        <x:v>10</x:v>
      </x:c>
      <x:c r="M47" s="11" t="n">
        <x:v>0.6941880341880342</x:v>
      </x:c>
      <x:c r="N47" s="6" t="n">
        <x:v>4452000</x:v>
      </x:c>
    </x:row>
    <x:row r="48" ht="24" customHeight="1">
      <x:c r="A48" s="2" t="str">
        <x:v>2026-10-20_Day</x:v>
      </x:c>
      <x:c r="B48" s="6" t="str">
        <x:v>デイ</x:v>
      </x:c>
      <x:c r="C48" s="6" t="n">
        <x:v>2694000</x:v>
      </x:c>
      <x:c r="D48" s="6" t="n">
        <x:v>7453000</x:v>
      </x:c>
      <x:c r="E48" s="6" t="n">
        <x:f>C48-D48</x:f>
        <x:v>-4759000</x:v>
      </x:c>
      <x:c r="F48" s="6" t="n">
        <x:f>F47+E48</x:f>
        <x:v>-145421000</x:v>
      </x:c>
      <x:c r="G48" s="6" t="n">
        <x:v>2694000</x:v>
      </x:c>
      <x:c r="H48" s="6" t="n">
        <x:v>7453000</x:v>
      </x:c>
      <x:c r="I48" s="6" t="n">
        <x:v>390</x:v>
      </x:c>
      <x:c r="J48" s="6" t="n">
        <x:v>0</x:v>
      </x:c>
      <x:c r="K48" s="6" t="n">
        <x:v>0</x:v>
      </x:c>
      <x:c r="L48" s="6" t="n">
        <x:v>10</x:v>
      </x:c>
      <x:c r="M48" s="11" t="n">
        <x:v>0.7665873015873016</x:v>
      </x:c>
      <x:c r="N48" s="6" t="n">
        <x:v>4769000</x:v>
      </x:c>
    </x:row>
    <x:row r="49" ht="24" customHeight="1">
      <x:c r="A49" s="2" t="str">
        <x:v>2026-10-20_Night</x:v>
      </x:c>
      <x:c r="B49" s="6" t="str">
        <x:v>ナイト</x:v>
      </x:c>
      <x:c r="C49" s="6" t="n">
        <x:v>2587000</x:v>
      </x:c>
      <x:c r="D49" s="6" t="n">
        <x:v>7017000</x:v>
      </x:c>
      <x:c r="E49" s="6" t="n">
        <x:f>C49-D49</x:f>
        <x:v>-4430000</x:v>
      </x:c>
      <x:c r="F49" s="6" t="n">
        <x:f>F48+E49</x:f>
        <x:v>-149851000</x:v>
      </x:c>
      <x:c r="G49" s="6" t="n">
        <x:v>2587000</x:v>
      </x:c>
      <x:c r="H49" s="6" t="n">
        <x:v>7017000</x:v>
      </x:c>
      <x:c r="I49" s="6" t="n">
        <x:v>488</x:v>
      </x:c>
      <x:c r="J49" s="6" t="n">
        <x:v>0</x:v>
      </x:c>
      <x:c r="K49" s="6" t="n">
        <x:v>0</x:v>
      </x:c>
      <x:c r="L49" s="6" t="n">
        <x:v>10</x:v>
      </x:c>
      <x:c r="M49" s="11" t="n">
        <x:v>0.7148290598290599</x:v>
      </x:c>
      <x:c r="N49" s="6" t="n">
        <x:v>4446000</x:v>
      </x:c>
    </x:row>
    <x:row r="50" ht="24" customHeight="1">
      <x:c r="A50" s="2" t="str">
        <x:v>2026-10-21_Day</x:v>
      </x:c>
      <x:c r="B50" s="6" t="str">
        <x:v>デイ</x:v>
      </x:c>
      <x:c r="C50" s="6" t="n">
        <x:v>2081000</x:v>
      </x:c>
      <x:c r="D50" s="6" t="n">
        <x:v>6735000</x:v>
      </x:c>
      <x:c r="E50" s="6" t="n">
        <x:f>C50-D50</x:f>
        <x:v>-4654000</x:v>
      </x:c>
      <x:c r="F50" s="6" t="n">
        <x:f>F49+E50</x:f>
        <x:v>-154505000</x:v>
      </x:c>
      <x:c r="G50" s="6" t="n">
        <x:v>2081000</x:v>
      </x:c>
      <x:c r="H50" s="6" t="n">
        <x:v>6735000</x:v>
      </x:c>
      <x:c r="I50" s="6" t="n">
        <x:v>378</x:v>
      </x:c>
      <x:c r="J50" s="6" t="n">
        <x:v>0</x:v>
      </x:c>
      <x:c r="K50" s="6" t="n">
        <x:v>0</x:v>
      </x:c>
      <x:c r="L50" s="6" t="n">
        <x:v>10</x:v>
      </x:c>
      <x:c r="M50" s="11" t="n">
        <x:v>0.7699603174603175</x:v>
      </x:c>
      <x:c r="N50" s="6" t="n">
        <x:v>4704000</x:v>
      </x:c>
    </x:row>
    <x:row r="51" ht="24" customHeight="1">
      <x:c r="A51" s="2" t="str">
        <x:v>2026-10-21_Night</x:v>
      </x:c>
      <x:c r="B51" s="6" t="str">
        <x:v>ナイト</x:v>
      </x:c>
      <x:c r="C51" s="6" t="n">
        <x:v>1998000</x:v>
      </x:c>
      <x:c r="D51" s="6" t="n">
        <x:v>5376000</x:v>
      </x:c>
      <x:c r="E51" s="6" t="n">
        <x:f>C51-D51</x:f>
        <x:v>-3378000</x:v>
      </x:c>
      <x:c r="F51" s="6" t="n">
        <x:f>F50+E51</x:f>
        <x:v>-157883000</x:v>
      </x:c>
      <x:c r="G51" s="6" t="n">
        <x:v>1998000</x:v>
      </x:c>
      <x:c r="H51" s="6" t="n">
        <x:v>5376000</x:v>
      </x:c>
      <x:c r="I51" s="6" t="n">
        <x:v>426</x:v>
      </x:c>
      <x:c r="J51" s="6" t="n">
        <x:v>0</x:v>
      </x:c>
      <x:c r="K51" s="6" t="n">
        <x:v>0</x:v>
      </x:c>
      <x:c r="L51" s="6" t="n">
        <x:v>10</x:v>
      </x:c>
      <x:c r="M51" s="11" t="n">
        <x:v>0.6874145299145299</x:v>
      </x:c>
      <x:c r="N51" s="6" t="n">
        <x:v>3398000</x:v>
      </x:c>
    </x:row>
    <x:row r="52" ht="24" customHeight="1">
      <x:c r="A52" s="2" t="str">
        <x:v>2026-10-22_Day</x:v>
      </x:c>
      <x:c r="B52" s="6" t="str">
        <x:v>デイ</x:v>
      </x:c>
      <x:c r="C52" s="6" t="n">
        <x:v>2514000</x:v>
      </x:c>
      <x:c r="D52" s="6" t="n">
        <x:v>6294000</x:v>
      </x:c>
      <x:c r="E52" s="6" t="n">
        <x:f>C52-D52</x:f>
        <x:v>-3780000</x:v>
      </x:c>
      <x:c r="F52" s="6" t="n">
        <x:f>F51+E52</x:f>
        <x:v>-161663000</x:v>
      </x:c>
      <x:c r="G52" s="6" t="n">
        <x:v>2514000</x:v>
      </x:c>
      <x:c r="H52" s="6" t="n">
        <x:v>6294000</x:v>
      </x:c>
      <x:c r="I52" s="6" t="n">
        <x:v>376</x:v>
      </x:c>
      <x:c r="J52" s="6" t="n">
        <x:v>0</x:v>
      </x:c>
      <x:c r="K52" s="6" t="n">
        <x:v>0</x:v>
      </x:c>
      <x:c r="L52" s="6" t="n">
        <x:v>10</x:v>
      </x:c>
      <x:c r="M52" s="11" t="n">
        <x:v>0.7778571428571428</x:v>
      </x:c>
      <x:c r="N52" s="6" t="n">
        <x:v>4049000</x:v>
      </x:c>
    </x:row>
    <x:row r="53" ht="24" customHeight="1">
      <x:c r="A53" s="2" t="str">
        <x:v>2026-10-22_Night</x:v>
      </x:c>
      <x:c r="B53" s="6" t="str">
        <x:v>ナイト</x:v>
      </x:c>
      <x:c r="C53" s="6" t="n">
        <x:v>2692000</x:v>
      </x:c>
      <x:c r="D53" s="6" t="n">
        <x:v>7482000</x:v>
      </x:c>
      <x:c r="E53" s="6" t="n">
        <x:f>C53-D53</x:f>
        <x:v>-4790000</x:v>
      </x:c>
      <x:c r="F53" s="6" t="n">
        <x:f>F52+E53</x:f>
        <x:v>-166453000</x:v>
      </x:c>
      <x:c r="G53" s="6" t="n">
        <x:v>2692000</x:v>
      </x:c>
      <x:c r="H53" s="6" t="n">
        <x:v>7482000</x:v>
      </x:c>
      <x:c r="I53" s="6" t="n">
        <x:v>509</x:v>
      </x:c>
      <x:c r="J53" s="6" t="n">
        <x:v>0</x:v>
      </x:c>
      <x:c r="K53" s="6" t="n">
        <x:v>0</x:v>
      </x:c>
      <x:c r="L53" s="6" t="n">
        <x:v>10</x:v>
      </x:c>
      <x:c r="M53" s="11" t="n">
        <x:v>0.7153205128205128</x:v>
      </x:c>
      <x:c r="N53" s="6" t="n">
        <x:v>4830000</x:v>
      </x:c>
    </x:row>
    <x:row r="54" ht="24" customHeight="1">
      <x:c r="A54" s="2" t="str">
        <x:v>2026-10-23_Day</x:v>
      </x:c>
      <x:c r="B54" s="6" t="str">
        <x:v>デイ</x:v>
      </x:c>
      <x:c r="C54" s="6" t="n">
        <x:v>4119000</x:v>
      </x:c>
      <x:c r="D54" s="6" t="n">
        <x:v>9560000</x:v>
      </x:c>
      <x:c r="E54" s="6" t="n">
        <x:f>C54-D54</x:f>
        <x:v>-5441000</x:v>
      </x:c>
      <x:c r="F54" s="6" t="n">
        <x:f>F53+E54</x:f>
        <x:v>-171894000</x:v>
      </x:c>
      <x:c r="G54" s="6" t="n">
        <x:v>4119000</x:v>
      </x:c>
      <x:c r="H54" s="6" t="n">
        <x:v>9560000</x:v>
      </x:c>
      <x:c r="I54" s="6" t="n">
        <x:v>468</x:v>
      </x:c>
      <x:c r="J54" s="6" t="n">
        <x:v>0</x:v>
      </x:c>
      <x:c r="K54" s="6" t="n">
        <x:v>0</x:v>
      </x:c>
      <x:c r="L54" s="6" t="n">
        <x:v>10</x:v>
      </x:c>
      <x:c r="M54" s="11" t="n">
        <x:v>0.758015873015873</x:v>
      </x:c>
      <x:c r="N54" s="6" t="n">
        <x:v>5585000</x:v>
      </x:c>
    </x:row>
    <x:row r="55" ht="24" customHeight="1">
      <x:c r="A55" s="2" t="str">
        <x:v>2026-10-23_Night</x:v>
      </x:c>
      <x:c r="B55" s="6" t="str">
        <x:v>ナイト</x:v>
      </x:c>
      <x:c r="C55" s="6" t="n">
        <x:v>2402000</x:v>
      </x:c>
      <x:c r="D55" s="6" t="n">
        <x:v>6942000</x:v>
      </x:c>
      <x:c r="E55" s="6" t="n">
        <x:f>C55-D55</x:f>
        <x:v>-4540000</x:v>
      </x:c>
      <x:c r="F55" s="6" t="n">
        <x:f>F54+E55</x:f>
        <x:v>-176434000</x:v>
      </x:c>
      <x:c r="G55" s="6" t="n">
        <x:v>2402000</x:v>
      </x:c>
      <x:c r="H55" s="6" t="n">
        <x:v>6942000</x:v>
      </x:c>
      <x:c r="I55" s="6" t="n">
        <x:v>503</x:v>
      </x:c>
      <x:c r="J55" s="6" t="n">
        <x:v>0</x:v>
      </x:c>
      <x:c r="K55" s="6" t="n">
        <x:v>0</x:v>
      </x:c>
      <x:c r="L55" s="6" t="n">
        <x:v>10</x:v>
      </x:c>
      <x:c r="M55" s="11" t="n">
        <x:v>0.7381196581196581</x:v>
      </x:c>
      <x:c r="N55" s="6" t="n">
        <x:v>4540000</x:v>
      </x:c>
    </x:row>
    <x:row r="56" ht="24" customHeight="1">
      <x:c r="A56" s="2" t="str">
        <x:v>2026-10-26_Day</x:v>
      </x:c>
      <x:c r="B56" s="6" t="str">
        <x:v>デイ</x:v>
      </x:c>
      <x:c r="C56" s="6" t="n">
        <x:v>2756000</x:v>
      </x:c>
      <x:c r="D56" s="6" t="n">
        <x:v>7133000</x:v>
      </x:c>
      <x:c r="E56" s="6" t="n">
        <x:f>C56-D56</x:f>
        <x:v>-4377000</x:v>
      </x:c>
      <x:c r="F56" s="6" t="n">
        <x:f>F55+E56</x:f>
        <x:v>-180811000</x:v>
      </x:c>
      <x:c r="G56" s="6" t="n">
        <x:v>2756000</x:v>
      </x:c>
      <x:c r="H56" s="6" t="n">
        <x:v>7133000</x:v>
      </x:c>
      <x:c r="I56" s="6" t="n">
        <x:v>398</x:v>
      </x:c>
      <x:c r="J56" s="6" t="n">
        <x:v>0</x:v>
      </x:c>
      <x:c r="K56" s="6" t="n">
        <x:v>0</x:v>
      </x:c>
      <x:c r="L56" s="6" t="n">
        <x:v>10</x:v>
      </x:c>
      <x:c r="M56" s="11" t="n">
        <x:v>0.758095238095238</x:v>
      </x:c>
      <x:c r="N56" s="6" t="n">
        <x:v>4527000</x:v>
      </x:c>
    </x:row>
    <x:row r="57" ht="24" customHeight="1">
      <x:c r="A57" s="15" t="str">
        <x:v>累計／平均／最大</x:v>
      </x:c>
      <x:c r="B57" s="16"/>
      <x:c r="C57" s="16" t="n">
        <x:f>SUM(C6:C56)</x:f>
        <x:v>90780000</x:v>
      </x:c>
      <x:c r="D57" s="16" t="n">
        <x:f>SUM(D6:D56)</x:f>
        <x:v>271591000</x:v>
      </x:c>
      <x:c r="E57" s="16" t="n">
        <x:f>C57-D57</x:f>
        <x:v>-180811000</x:v>
      </x:c>
      <x:c r="F57" s="16" t="n">
        <x:f>F56</x:f>
        <x:v>-180811000</x:v>
      </x:c>
      <x:c r="G57" s="16" t="n">
        <x:f>SUM(G6:G56)</x:f>
        <x:v>90780000</x:v>
      </x:c>
      <x:c r="H57" s="16" t="n">
        <x:f>SUM(H6:H56)</x:f>
        <x:v>271591000</x:v>
      </x:c>
      <x:c r="I57" s="16" t="n">
        <x:f>SUM(I6:I56)</x:f>
        <x:v>18896</x:v>
      </x:c>
      <x:c r="J57" s="16" t="n">
        <x:f>SUM(J6:J56)</x:f>
        <x:v>0</x:v>
      </x:c>
      <x:c r="K57" s="16" t="n">
        <x:f>SUM(K6:K56)</x:f>
        <x:v>0</x:v>
      </x:c>
      <x:c r="L57" s="16" t="n">
        <x:f>MAX(L6:L56)</x:f>
        <x:v>10</x:v>
      </x:c>
      <x:c r="M57" s="17" t="n">
        <x:f>AVERAGE(M6:M56)</x:f>
        <x:v>0.7134398716751659</x:v>
      </x:c>
      <x:c r="N57" s="16" t="n">
        <x:f>MAX(N6:N56)</x:f>
        <x:v>6127000</x:v>
      </x:c>
    </x:row>
  </x:sheetData>
  <x:conditionalFormatting sqref="E6:F56">
    <x:cfRule type="cellIs" dxfId="10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b137f9ede3e4fa1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1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4" customHeight="1">
      <x:c r="A1" s="3" t="str">
        <x:v>日経 M04　各セッションの利益・損失・収支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A2" s="4" t="str">
        <x:v>2026/09/21〜10/26デイ・51完了場。日経mini／TOPIXmini各上限10枚・手数料0。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4" customHeight="1">
      <x:c r="A3" s="4" t="str">
        <x:v>60秒の時間加重平均を30秒前と比較。保有中も傾き比例で増減、利益追尾で返済。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4" customHeight="1">
      <x:c r="A4" s="4" t="str">
        <x:v>利益・損失＝FIFO返済配賦別。親＝初回から全返済まで。ラージ気配による模型で、mini実約定の検証ではありません。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42" customHeight="1">
      <x:c r="A5" s="10" t="str">
        <x:v>セッション</x:v>
      </x:c>
      <x:c r="B5" s="10" t="str">
        <x:v>区分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親利益（円）</x:v>
      </x:c>
      <x:c r="H5" s="10" t="str">
        <x:v>親損失（円）</x:v>
      </x:c>
      <x:c r="I5" s="10" t="str">
        <x:v>初回件数</x:v>
      </x:c>
      <x:c r="J5" s="10" t="str">
        <x:v>追加件数</x:v>
      </x:c>
      <x:c r="K5" s="10" t="str">
        <x:v>縮小件数</x:v>
      </x:c>
      <x:c r="L5" s="10" t="str">
        <x:v>最大保有枚数</x:v>
      </x:c>
      <x:c r="M5" s="10" t="str">
        <x:v>保有時間率</x:v>
      </x:c>
      <x:c r="N5" s="10" t="str">
        <x:v>時価最大DD（円）</x:v>
      </x:c>
    </x:row>
    <x:row r="6" ht="24" customHeight="1">
      <x:c r="A6" s="2" t="str">
        <x:v>2026-09-21_Day</x:v>
      </x:c>
      <x:c r="B6" s="6" t="str">
        <x:v>デイ</x:v>
      </x:c>
      <x:c r="C6" s="6" t="n">
        <x:v>758000</x:v>
      </x:c>
      <x:c r="D6" s="6" t="n">
        <x:v>2051000</x:v>
      </x:c>
      <x:c r="E6" s="6" t="n">
        <x:f>C6-D6</x:f>
        <x:v>-1293000</x:v>
      </x:c>
      <x:c r="F6" s="6" t="n">
        <x:f>E6</x:f>
        <x:v>-1293000</x:v>
      </x:c>
      <x:c r="G6" s="6" t="n">
        <x:v>495000</x:v>
      </x:c>
      <x:c r="H6" s="6" t="n">
        <x:v>1788000</x:v>
      </x:c>
      <x:c r="I6" s="6" t="n">
        <x:v>46</x:v>
      </x:c>
      <x:c r="J6" s="6" t="n">
        <x:v>132</x:v>
      </x:c>
      <x:c r="K6" s="6" t="n">
        <x:v>140</x:v>
      </x:c>
      <x:c r="L6" s="6" t="n">
        <x:v>10</x:v>
      </x:c>
      <x:c r="M6" s="11" t="n">
        <x:v>0.9023809523809524</x:v>
      </x:c>
      <x:c r="N6" s="6" t="n">
        <x:v>1314000</x:v>
      </x:c>
    </x:row>
    <x:row r="7" ht="24" customHeight="1">
      <x:c r="A7" s="2" t="str">
        <x:v>2026-09-21_Night</x:v>
      </x:c>
      <x:c r="B7" s="6" t="str">
        <x:v>ナイト</x:v>
      </x:c>
      <x:c r="C7" s="6" t="n">
        <x:v>379000</x:v>
      </x:c>
      <x:c r="D7" s="6" t="n">
        <x:v>1652000</x:v>
      </x:c>
      <x:c r="E7" s="6" t="n">
        <x:f>C7-D7</x:f>
        <x:v>-1273000</x:v>
      </x:c>
      <x:c r="F7" s="6" t="n">
        <x:f>F6+E7</x:f>
        <x:v>-2566000</x:v>
      </x:c>
      <x:c r="G7" s="6" t="n">
        <x:v>75000</x:v>
      </x:c>
      <x:c r="H7" s="6" t="n">
        <x:v>1348000</x:v>
      </x:c>
      <x:c r="I7" s="6" t="n">
        <x:v>48</x:v>
      </x:c>
      <x:c r="J7" s="6" t="n">
        <x:v>215</x:v>
      </x:c>
      <x:c r="K7" s="6" t="n">
        <x:v>230</x:v>
      </x:c>
      <x:c r="L7" s="6" t="n">
        <x:v>10</x:v>
      </x:c>
      <x:c r="M7" s="11" t="n">
        <x:v>0.8641025641025641</x:v>
      </x:c>
      <x:c r="N7" s="6" t="n">
        <x:v>1323000</x:v>
      </x:c>
    </x:row>
    <x:row r="8" ht="24" customHeight="1">
      <x:c r="A8" s="2" t="str">
        <x:v>2026-09-22_Day</x:v>
      </x:c>
      <x:c r="B8" s="6" t="str">
        <x:v>デイ</x:v>
      </x:c>
      <x:c r="C8" s="6" t="n">
        <x:v>490000</x:v>
      </x:c>
      <x:c r="D8" s="6" t="n">
        <x:v>2821000</x:v>
      </x:c>
      <x:c r="E8" s="6" t="n">
        <x:f>C8-D8</x:f>
        <x:v>-2331000</x:v>
      </x:c>
      <x:c r="F8" s="6" t="n">
        <x:f>F7+E8</x:f>
        <x:v>-4897000</x:v>
      </x:c>
      <x:c r="G8" s="6" t="n">
        <x:v>241000</x:v>
      </x:c>
      <x:c r="H8" s="6" t="n">
        <x:v>2572000</x:v>
      </x:c>
      <x:c r="I8" s="6" t="n">
        <x:v>63</x:v>
      </x:c>
      <x:c r="J8" s="6" t="n">
        <x:v>168</x:v>
      </x:c>
      <x:c r="K8" s="6" t="n">
        <x:v>191</x:v>
      </x:c>
      <x:c r="L8" s="6" t="n">
        <x:v>10</x:v>
      </x:c>
      <x:c r="M8" s="11" t="n">
        <x:v>0.905079365079365</x:v>
      </x:c>
      <x:c r="N8" s="6" t="n">
        <x:v>2332000</x:v>
      </x:c>
    </x:row>
    <x:row r="9" ht="24" customHeight="1">
      <x:c r="A9" s="2" t="str">
        <x:v>2026-09-22_Night</x:v>
      </x:c>
      <x:c r="B9" s="6" t="str">
        <x:v>ナイト</x:v>
      </x:c>
      <x:c r="C9" s="6" t="n">
        <x:v>843000</x:v>
      </x:c>
      <x:c r="D9" s="6" t="n">
        <x:v>3705000</x:v>
      </x:c>
      <x:c r="E9" s="6" t="n">
        <x:f>C9-D9</x:f>
        <x:v>-2862000</x:v>
      </x:c>
      <x:c r="F9" s="6" t="n">
        <x:f>F8+E9</x:f>
        <x:v>-7759000</x:v>
      </x:c>
      <x:c r="G9" s="6" t="n">
        <x:v>413000</x:v>
      </x:c>
      <x:c r="H9" s="6" t="n">
        <x:v>3275000</x:v>
      </x:c>
      <x:c r="I9" s="6" t="n">
        <x:v>95</x:v>
      </x:c>
      <x:c r="J9" s="6" t="n">
        <x:v>256</x:v>
      </x:c>
      <x:c r="K9" s="6" t="n">
        <x:v>300</x:v>
      </x:c>
      <x:c r="L9" s="6" t="n">
        <x:v>10</x:v>
      </x:c>
      <x:c r="M9" s="11" t="n">
        <x:v>0.8761752136752137</x:v>
      </x:c>
      <x:c r="N9" s="6" t="n">
        <x:v>2874000</x:v>
      </x:c>
    </x:row>
    <x:row r="10" ht="24" customHeight="1">
      <x:c r="A10" s="2" t="str">
        <x:v>2026-09-23_Day</x:v>
      </x:c>
      <x:c r="B10" s="6" t="str">
        <x:v>デイ</x:v>
      </x:c>
      <x:c r="C10" s="6" t="n">
        <x:v>227000</x:v>
      </x:c>
      <x:c r="D10" s="6" t="n">
        <x:v>1957000</x:v>
      </x:c>
      <x:c r="E10" s="6" t="n">
        <x:f>C10-D10</x:f>
        <x:v>-1730000</x:v>
      </x:c>
      <x:c r="F10" s="6" t="n">
        <x:f>F9+E10</x:f>
        <x:v>-9489000</x:v>
      </x:c>
      <x:c r="G10" s="6" t="n">
        <x:v>134000</x:v>
      </x:c>
      <x:c r="H10" s="6" t="n">
        <x:v>1864000</x:v>
      </x:c>
      <x:c r="I10" s="6" t="n">
        <x:v>30</x:v>
      </x:c>
      <x:c r="J10" s="6" t="n">
        <x:v>127</x:v>
      </x:c>
      <x:c r="K10" s="6" t="n">
        <x:v>152</x:v>
      </x:c>
      <x:c r="L10" s="6" t="n">
        <x:v>10</x:v>
      </x:c>
      <x:c r="M10" s="11" t="n">
        <x:v>0.9446825396825397</x:v>
      </x:c>
      <x:c r="N10" s="6" t="n">
        <x:v>1734000</x:v>
      </x:c>
    </x:row>
    <x:row r="11" ht="24" customHeight="1">
      <x:c r="A11" s="2" t="str">
        <x:v>2026-09-23_Night</x:v>
      </x:c>
      <x:c r="B11" s="6" t="str">
        <x:v>ナイト</x:v>
      </x:c>
      <x:c r="C11" s="6" t="n">
        <x:v>765000</x:v>
      </x:c>
      <x:c r="D11" s="6" t="n">
        <x:v>2698000</x:v>
      </x:c>
      <x:c r="E11" s="6" t="n">
        <x:f>C11-D11</x:f>
        <x:v>-1933000</x:v>
      </x:c>
      <x:c r="F11" s="6" t="n">
        <x:f>F10+E11</x:f>
        <x:v>-11422000</x:v>
      </x:c>
      <x:c r="G11" s="6" t="n">
        <x:v>426000</x:v>
      </x:c>
      <x:c r="H11" s="6" t="n">
        <x:v>2359000</x:v>
      </x:c>
      <x:c r="I11" s="6" t="n">
        <x:v>51</x:v>
      </x:c>
      <x:c r="J11" s="6" t="n">
        <x:v>234</x:v>
      </x:c>
      <x:c r="K11" s="6" t="n">
        <x:v>273</x:v>
      </x:c>
      <x:c r="L11" s="6" t="n">
        <x:v>10</x:v>
      </x:c>
      <x:c r="M11" s="11" t="n">
        <x:v>0.9551068376068376</x:v>
      </x:c>
      <x:c r="N11" s="6" t="n">
        <x:v>1937000</x:v>
      </x:c>
    </x:row>
    <x:row r="12" ht="24" customHeight="1">
      <x:c r="A12" s="2" t="str">
        <x:v>2026-09-24_Day</x:v>
      </x:c>
      <x:c r="B12" s="6" t="str">
        <x:v>デイ</x:v>
      </x:c>
      <x:c r="C12" s="6" t="n">
        <x:v>1358000</x:v>
      </x:c>
      <x:c r="D12" s="6" t="n">
        <x:v>3754000</x:v>
      </x:c>
      <x:c r="E12" s="6" t="n">
        <x:f>C12-D12</x:f>
        <x:v>-2396000</x:v>
      </x:c>
      <x:c r="F12" s="6" t="n">
        <x:f>F11+E12</x:f>
        <x:v>-13818000</x:v>
      </x:c>
      <x:c r="G12" s="6" t="n">
        <x:v>880000</x:v>
      </x:c>
      <x:c r="H12" s="6" t="n">
        <x:v>3276000</x:v>
      </x:c>
      <x:c r="I12" s="6" t="n">
        <x:v>101</x:v>
      </x:c>
      <x:c r="J12" s="6" t="n">
        <x:v>282</x:v>
      </x:c>
      <x:c r="K12" s="6" t="n">
        <x:v>348</x:v>
      </x:c>
      <x:c r="L12" s="6" t="n">
        <x:v>10</x:v>
      </x:c>
      <x:c r="M12" s="11" t="n">
        <x:v>0.9207142857142857</x:v>
      </x:c>
      <x:c r="N12" s="6" t="n">
        <x:v>2435000</x:v>
      </x:c>
    </x:row>
    <x:row r="13" ht="24" customHeight="1">
      <x:c r="A13" s="2" t="str">
        <x:v>2026-09-24_Night</x:v>
      </x:c>
      <x:c r="B13" s="6" t="str">
        <x:v>ナイト</x:v>
      </x:c>
      <x:c r="C13" s="6" t="n">
        <x:v>1274000</x:v>
      </x:c>
      <x:c r="D13" s="6" t="n">
        <x:v>5148000</x:v>
      </x:c>
      <x:c r="E13" s="6" t="n">
        <x:f>C13-D13</x:f>
        <x:v>-3874000</x:v>
      </x:c>
      <x:c r="F13" s="6" t="n">
        <x:f>F12+E13</x:f>
        <x:v>-17692000</x:v>
      </x:c>
      <x:c r="G13" s="6" t="n">
        <x:v>837000</x:v>
      </x:c>
      <x:c r="H13" s="6" t="n">
        <x:v>4711000</x:v>
      </x:c>
      <x:c r="I13" s="6" t="n">
        <x:v>134</x:v>
      </x:c>
      <x:c r="J13" s="6" t="n">
        <x:v>328</x:v>
      </x:c>
      <x:c r="K13" s="6" t="n">
        <x:v>432</x:v>
      </x:c>
      <x:c r="L13" s="6" t="n">
        <x:v>10</x:v>
      </x:c>
      <x:c r="M13" s="11" t="n">
        <x:v>0.9117521367521367</x:v>
      </x:c>
      <x:c r="N13" s="6" t="n">
        <x:v>3927000</x:v>
      </x:c>
    </x:row>
    <x:row r="14" ht="24" customHeight="1">
      <x:c r="A14" s="2" t="str">
        <x:v>2026-09-25_Day</x:v>
      </x:c>
      <x:c r="B14" s="6" t="str">
        <x:v>デイ</x:v>
      </x:c>
      <x:c r="C14" s="6" t="n">
        <x:v>936000</x:v>
      </x:c>
      <x:c r="D14" s="6" t="n">
        <x:v>3817000</x:v>
      </x:c>
      <x:c r="E14" s="6" t="n">
        <x:f>C14-D14</x:f>
        <x:v>-2881000</x:v>
      </x:c>
      <x:c r="F14" s="6" t="n">
        <x:f>F13+E14</x:f>
        <x:v>-20573000</x:v>
      </x:c>
      <x:c r="G14" s="6" t="n">
        <x:v>708000</x:v>
      </x:c>
      <x:c r="H14" s="6" t="n">
        <x:v>3589000</x:v>
      </x:c>
      <x:c r="I14" s="6" t="n">
        <x:v>87</x:v>
      </x:c>
      <x:c r="J14" s="6" t="n">
        <x:v>250</x:v>
      </x:c>
      <x:c r="K14" s="6" t="n">
        <x:v>308</x:v>
      </x:c>
      <x:c r="L14" s="6" t="n">
        <x:v>10</x:v>
      </x:c>
      <x:c r="M14" s="11" t="n">
        <x:v>0.9230952380952381</x:v>
      </x:c>
      <x:c r="N14" s="6" t="n">
        <x:v>2903000</x:v>
      </x:c>
    </x:row>
    <x:row r="15" ht="24" customHeight="1">
      <x:c r="A15" s="2" t="str">
        <x:v>2026-09-25_Night</x:v>
      </x:c>
      <x:c r="B15" s="6" t="str">
        <x:v>ナイト</x:v>
      </x:c>
      <x:c r="C15" s="6" t="n">
        <x:v>982000</x:v>
      </x:c>
      <x:c r="D15" s="6" t="n">
        <x:v>3629000</x:v>
      </x:c>
      <x:c r="E15" s="6" t="n">
        <x:f>C15-D15</x:f>
        <x:v>-2647000</x:v>
      </x:c>
      <x:c r="F15" s="6" t="n">
        <x:f>F14+E15</x:f>
        <x:v>-23220000</x:v>
      </x:c>
      <x:c r="G15" s="6" t="n">
        <x:v>606000</x:v>
      </x:c>
      <x:c r="H15" s="6" t="n">
        <x:v>3253000</x:v>
      </x:c>
      <x:c r="I15" s="6" t="n">
        <x:v>104</x:v>
      </x:c>
      <x:c r="J15" s="6" t="n">
        <x:v>286</x:v>
      </x:c>
      <x:c r="K15" s="6" t="n">
        <x:v>329</x:v>
      </x:c>
      <x:c r="L15" s="6" t="n">
        <x:v>10</x:v>
      </x:c>
      <x:c r="M15" s="11" t="n">
        <x:v>0.904465811965812</x:v>
      </x:c>
      <x:c r="N15" s="6" t="n">
        <x:v>2718000</x:v>
      </x:c>
    </x:row>
    <x:row r="16" ht="24" customHeight="1">
      <x:c r="A16" s="2" t="str">
        <x:v>2026-09-28_Day</x:v>
      </x:c>
      <x:c r="B16" s="6" t="str">
        <x:v>デイ</x:v>
      </x:c>
      <x:c r="C16" s="6" t="n">
        <x:v>1259000</x:v>
      </x:c>
      <x:c r="D16" s="6" t="n">
        <x:v>4333000</x:v>
      </x:c>
      <x:c r="E16" s="6" t="n">
        <x:f>C16-D16</x:f>
        <x:v>-3074000</x:v>
      </x:c>
      <x:c r="F16" s="6" t="n">
        <x:f>F15+E16</x:f>
        <x:v>-26294000</x:v>
      </x:c>
      <x:c r="G16" s="6" t="n">
        <x:v>828000</x:v>
      </x:c>
      <x:c r="H16" s="6" t="n">
        <x:v>3902000</x:v>
      </x:c>
      <x:c r="I16" s="6" t="n">
        <x:v>101</x:v>
      </x:c>
      <x:c r="J16" s="6" t="n">
        <x:v>266</x:v>
      </x:c>
      <x:c r="K16" s="6" t="n">
        <x:v>309</x:v>
      </x:c>
      <x:c r="L16" s="6" t="n">
        <x:v>10</x:v>
      </x:c>
      <x:c r="M16" s="11" t="n">
        <x:v>0.9225</x:v>
      </x:c>
      <x:c r="N16" s="6" t="n">
        <x:v>3175000</x:v>
      </x:c>
    </x:row>
    <x:row r="17" ht="24" customHeight="1">
      <x:c r="A17" s="2" t="str">
        <x:v>2026-09-28_Night</x:v>
      </x:c>
      <x:c r="B17" s="6" t="str">
        <x:v>ナイト</x:v>
      </x:c>
      <x:c r="C17" s="6" t="n">
        <x:v>1731000</x:v>
      </x:c>
      <x:c r="D17" s="6" t="n">
        <x:v>4361000</x:v>
      </x:c>
      <x:c r="E17" s="6" t="n">
        <x:f>C17-D17</x:f>
        <x:v>-2630000</x:v>
      </x:c>
      <x:c r="F17" s="6" t="n">
        <x:f>F16+E17</x:f>
        <x:v>-28924000</x:v>
      </x:c>
      <x:c r="G17" s="6" t="n">
        <x:v>1242000</x:v>
      </x:c>
      <x:c r="H17" s="6" t="n">
        <x:v>3872000</x:v>
      </x:c>
      <x:c r="I17" s="6" t="n">
        <x:v>128</x:v>
      </x:c>
      <x:c r="J17" s="6" t="n">
        <x:v>269</x:v>
      </x:c>
      <x:c r="K17" s="6" t="n">
        <x:v>358</x:v>
      </x:c>
      <x:c r="L17" s="6" t="n">
        <x:v>10</x:v>
      </x:c>
      <x:c r="M17" s="11" t="n">
        <x:v>0.8919017094017094</x:v>
      </x:c>
      <x:c r="N17" s="6" t="n">
        <x:v>2663000</x:v>
      </x:c>
    </x:row>
    <x:row r="18" ht="24" customHeight="1">
      <x:c r="A18" s="2" t="str">
        <x:v>2026-09-29_Day</x:v>
      </x:c>
      <x:c r="B18" s="6" t="str">
        <x:v>デイ</x:v>
      </x:c>
      <x:c r="C18" s="6" t="n">
        <x:v>1667000</x:v>
      </x:c>
      <x:c r="D18" s="6" t="n">
        <x:v>4641000</x:v>
      </x:c>
      <x:c r="E18" s="6" t="n">
        <x:f>C18-D18</x:f>
        <x:v>-2974000</x:v>
      </x:c>
      <x:c r="F18" s="6" t="n">
        <x:f>F17+E18</x:f>
        <x:v>-31898000</x:v>
      </x:c>
      <x:c r="G18" s="6" t="n">
        <x:v>1194000</x:v>
      </x:c>
      <x:c r="H18" s="6" t="n">
        <x:v>4168000</x:v>
      </x:c>
      <x:c r="I18" s="6" t="n">
        <x:v>120</x:v>
      </x:c>
      <x:c r="J18" s="6" t="n">
        <x:v>298</x:v>
      </x:c>
      <x:c r="K18" s="6" t="n">
        <x:v>363</x:v>
      </x:c>
      <x:c r="L18" s="6" t="n">
        <x:v>10</x:v>
      </x:c>
      <x:c r="M18" s="11" t="n">
        <x:v>0.9123809523809524</x:v>
      </x:c>
      <x:c r="N18" s="6" t="n">
        <x:v>2979000</x:v>
      </x:c>
    </x:row>
    <x:row r="19" ht="24" customHeight="1">
      <x:c r="A19" s="2" t="str">
        <x:v>2026-09-29_Night</x:v>
      </x:c>
      <x:c r="B19" s="6" t="str">
        <x:v>ナイト</x:v>
      </x:c>
      <x:c r="C19" s="6" t="n">
        <x:v>1063000</x:v>
      </x:c>
      <x:c r="D19" s="6" t="n">
        <x:v>4297000</x:v>
      </x:c>
      <x:c r="E19" s="6" t="n">
        <x:f>C19-D19</x:f>
        <x:v>-3234000</x:v>
      </x:c>
      <x:c r="F19" s="6" t="n">
        <x:f>F18+E19</x:f>
        <x:v>-35132000</x:v>
      </x:c>
      <x:c r="G19" s="6" t="n">
        <x:v>634000</x:v>
      </x:c>
      <x:c r="H19" s="6" t="n">
        <x:v>3868000</x:v>
      </x:c>
      <x:c r="I19" s="6" t="n">
        <x:v>105</x:v>
      </x:c>
      <x:c r="J19" s="6" t="n">
        <x:v>322</x:v>
      </x:c>
      <x:c r="K19" s="6" t="n">
        <x:v>375</x:v>
      </x:c>
      <x:c r="L19" s="6" t="n">
        <x:v>10</x:v>
      </x:c>
      <x:c r="M19" s="11" t="n">
        <x:v>0.9314957264957265</x:v>
      </x:c>
      <x:c r="N19" s="6" t="n">
        <x:v>3234000</x:v>
      </x:c>
    </x:row>
    <x:row r="20" ht="24" customHeight="1">
      <x:c r="A20" s="2" t="str">
        <x:v>2026-09-30_Day</x:v>
      </x:c>
      <x:c r="B20" s="6" t="str">
        <x:v>デイ</x:v>
      </x:c>
      <x:c r="C20" s="6" t="n">
        <x:v>1278000</x:v>
      </x:c>
      <x:c r="D20" s="6" t="n">
        <x:v>3960000</x:v>
      </x:c>
      <x:c r="E20" s="6" t="n">
        <x:f>C20-D20</x:f>
        <x:v>-2682000</x:v>
      </x:c>
      <x:c r="F20" s="6" t="n">
        <x:f>F19+E20</x:f>
        <x:v>-37814000</x:v>
      </x:c>
      <x:c r="G20" s="6" t="n">
        <x:v>875000</x:v>
      </x:c>
      <x:c r="H20" s="6" t="n">
        <x:v>3557000</x:v>
      </x:c>
      <x:c r="I20" s="6" t="n">
        <x:v>103</x:v>
      </x:c>
      <x:c r="J20" s="6" t="n">
        <x:v>258</x:v>
      </x:c>
      <x:c r="K20" s="6" t="n">
        <x:v>337</x:v>
      </x:c>
      <x:c r="L20" s="6" t="n">
        <x:v>10</x:v>
      </x:c>
      <x:c r="M20" s="11" t="n">
        <x:v>0.9188888888888889</x:v>
      </x:c>
      <x:c r="N20" s="6" t="n">
        <x:v>2707000</x:v>
      </x:c>
    </x:row>
    <x:row r="21" ht="24" customHeight="1">
      <x:c r="A21" s="2" t="str">
        <x:v>2026-09-30_Night</x:v>
      </x:c>
      <x:c r="B21" s="6" t="str">
        <x:v>ナイト</x:v>
      </x:c>
      <x:c r="C21" s="6" t="n">
        <x:v>1487000</x:v>
      </x:c>
      <x:c r="D21" s="6" t="n">
        <x:v>4984000</x:v>
      </x:c>
      <x:c r="E21" s="6" t="n">
        <x:f>C21-D21</x:f>
        <x:v>-3497000</x:v>
      </x:c>
      <x:c r="F21" s="6" t="n">
        <x:f>F20+E21</x:f>
        <x:v>-41311000</x:v>
      </x:c>
      <x:c r="G21" s="6" t="n">
        <x:v>891000</x:v>
      </x:c>
      <x:c r="H21" s="6" t="n">
        <x:v>4388000</x:v>
      </x:c>
      <x:c r="I21" s="6" t="n">
        <x:v>119</x:v>
      </x:c>
      <x:c r="J21" s="6" t="n">
        <x:v>347</x:v>
      </x:c>
      <x:c r="K21" s="6" t="n">
        <x:v>417</x:v>
      </x:c>
      <x:c r="L21" s="6" t="n">
        <x:v>10</x:v>
      </x:c>
      <x:c r="M21" s="11" t="n">
        <x:v>0.9134615384615384</x:v>
      </x:c>
      <x:c r="N21" s="6" t="n">
        <x:v>3599000</x:v>
      </x:c>
    </x:row>
    <x:row r="22" ht="24" customHeight="1">
      <x:c r="A22" s="2" t="str">
        <x:v>2026-10-01_Day</x:v>
      </x:c>
      <x:c r="B22" s="6" t="str">
        <x:v>デイ</x:v>
      </x:c>
      <x:c r="C22" s="6" t="n">
        <x:v>1322000</x:v>
      </x:c>
      <x:c r="D22" s="6" t="n">
        <x:v>3531000</x:v>
      </x:c>
      <x:c r="E22" s="6" t="n">
        <x:f>C22-D22</x:f>
        <x:v>-2209000</x:v>
      </x:c>
      <x:c r="F22" s="6" t="n">
        <x:f>F21+E22</x:f>
        <x:v>-43520000</x:v>
      </x:c>
      <x:c r="G22" s="6" t="n">
        <x:v>791000</x:v>
      </x:c>
      <x:c r="H22" s="6" t="n">
        <x:v>3000000</x:v>
      </x:c>
      <x:c r="I22" s="6" t="n">
        <x:v>74</x:v>
      </x:c>
      <x:c r="J22" s="6" t="n">
        <x:v>298</x:v>
      </x:c>
      <x:c r="K22" s="6" t="n">
        <x:v>349</x:v>
      </x:c>
      <x:c r="L22" s="6" t="n">
        <x:v>10</x:v>
      </x:c>
      <x:c r="M22" s="11" t="n">
        <x:v>0.9369444444444445</x:v>
      </x:c>
      <x:c r="N22" s="6" t="n">
        <x:v>2269000</x:v>
      </x:c>
    </x:row>
    <x:row r="23" ht="24" customHeight="1">
      <x:c r="A23" s="2" t="str">
        <x:v>2026-10-01_Night</x:v>
      </x:c>
      <x:c r="B23" s="6" t="str">
        <x:v>ナイト</x:v>
      </x:c>
      <x:c r="C23" s="6" t="n">
        <x:v>1744000</x:v>
      </x:c>
      <x:c r="D23" s="6" t="n">
        <x:v>6523000</x:v>
      </x:c>
      <x:c r="E23" s="6" t="n">
        <x:f>C23-D23</x:f>
        <x:v>-4779000</x:v>
      </x:c>
      <x:c r="F23" s="6" t="n">
        <x:f>F22+E23</x:f>
        <x:v>-48299000</x:v>
      </x:c>
      <x:c r="G23" s="6" t="n">
        <x:v>1146000</x:v>
      </x:c>
      <x:c r="H23" s="6" t="n">
        <x:v>5925000</x:v>
      </x:c>
      <x:c r="I23" s="6" t="n">
        <x:v>126</x:v>
      </x:c>
      <x:c r="J23" s="6" t="n">
        <x:v>415</x:v>
      </x:c>
      <x:c r="K23" s="6" t="n">
        <x:v>466</x:v>
      </x:c>
      <x:c r="L23" s="6" t="n">
        <x:v>10</x:v>
      </x:c>
      <x:c r="M23" s="11" t="n">
        <x:v>0.9350641025641026</x:v>
      </x:c>
      <x:c r="N23" s="6" t="n">
        <x:v>4785000</x:v>
      </x:c>
    </x:row>
    <x:row r="24" ht="24" customHeight="1">
      <x:c r="A24" s="2" t="str">
        <x:v>2026-10-02_Day</x:v>
      </x:c>
      <x:c r="B24" s="6" t="str">
        <x:v>デイ</x:v>
      </x:c>
      <x:c r="C24" s="6" t="n">
        <x:v>1120000</x:v>
      </x:c>
      <x:c r="D24" s="6" t="n">
        <x:v>3892000</x:v>
      </x:c>
      <x:c r="E24" s="6" t="n">
        <x:f>C24-D24</x:f>
        <x:v>-2772000</x:v>
      </x:c>
      <x:c r="F24" s="6" t="n">
        <x:f>F23+E24</x:f>
        <x:v>-51071000</x:v>
      </x:c>
      <x:c r="G24" s="6" t="n">
        <x:v>718000</x:v>
      </x:c>
      <x:c r="H24" s="6" t="n">
        <x:v>3490000</x:v>
      </x:c>
      <x:c r="I24" s="6" t="n">
        <x:v>78</x:v>
      </x:c>
      <x:c r="J24" s="6" t="n">
        <x:v>260</x:v>
      </x:c>
      <x:c r="K24" s="6" t="n">
        <x:v>321</x:v>
      </x:c>
      <x:c r="L24" s="6" t="n">
        <x:v>10</x:v>
      </x:c>
      <x:c r="M24" s="11" t="n">
        <x:v>0.935</x:v>
      </x:c>
      <x:c r="N24" s="6" t="n">
        <x:v>2891000</x:v>
      </x:c>
    </x:row>
    <x:row r="25" ht="24" customHeight="1">
      <x:c r="A25" s="2" t="str">
        <x:v>2026-10-02_Night</x:v>
      </x:c>
      <x:c r="B25" s="6" t="str">
        <x:v>ナイト</x:v>
      </x:c>
      <x:c r="C25" s="6" t="n">
        <x:v>1690000</x:v>
      </x:c>
      <x:c r="D25" s="6" t="n">
        <x:v>4799000</x:v>
      </x:c>
      <x:c r="E25" s="6" t="n">
        <x:f>C25-D25</x:f>
        <x:v>-3109000</x:v>
      </x:c>
      <x:c r="F25" s="6" t="n">
        <x:f>F24+E25</x:f>
        <x:v>-54180000</x:v>
      </x:c>
      <x:c r="G25" s="6" t="n">
        <x:v>766000</x:v>
      </x:c>
      <x:c r="H25" s="6" t="n">
        <x:v>3875000</x:v>
      </x:c>
      <x:c r="I25" s="6" t="n">
        <x:v>95</x:v>
      </x:c>
      <x:c r="J25" s="6" t="n">
        <x:v>437</x:v>
      </x:c>
      <x:c r="K25" s="6" t="n">
        <x:v>435</x:v>
      </x:c>
      <x:c r="L25" s="6" t="n">
        <x:v>10</x:v>
      </x:c>
      <x:c r="M25" s="11" t="n">
        <x:v>0.9400213675213676</x:v>
      </x:c>
      <x:c r="N25" s="6" t="n">
        <x:v>3190000</x:v>
      </x:c>
    </x:row>
    <x:row r="26" ht="24" customHeight="1">
      <x:c r="A26" s="2" t="str">
        <x:v>2026-10-05_Day</x:v>
      </x:c>
      <x:c r="B26" s="6" t="str">
        <x:v>デイ</x:v>
      </x:c>
      <x:c r="C26" s="6" t="n">
        <x:v>721000</x:v>
      </x:c>
      <x:c r="D26" s="6" t="n">
        <x:v>3309000</x:v>
      </x:c>
      <x:c r="E26" s="6" t="n">
        <x:f>C26-D26</x:f>
        <x:v>-2588000</x:v>
      </x:c>
      <x:c r="F26" s="6" t="n">
        <x:f>F25+E26</x:f>
        <x:v>-56768000</x:v>
      </x:c>
      <x:c r="G26" s="6" t="n">
        <x:v>276000</x:v>
      </x:c>
      <x:c r="H26" s="6" t="n">
        <x:v>2864000</x:v>
      </x:c>
      <x:c r="I26" s="6" t="n">
        <x:v>60</x:v>
      </x:c>
      <x:c r="J26" s="6" t="n">
        <x:v>287</x:v>
      </x:c>
      <x:c r="K26" s="6" t="n">
        <x:v>333</x:v>
      </x:c>
      <x:c r="L26" s="6" t="n">
        <x:v>10</x:v>
      </x:c>
      <x:c r="M26" s="11" t="n">
        <x:v>0.941984126984127</x:v>
      </x:c>
      <x:c r="N26" s="6" t="n">
        <x:v>2588000</x:v>
      </x:c>
    </x:row>
    <x:row r="27" ht="24" customHeight="1">
      <x:c r="A27" s="2" t="str">
        <x:v>2026-10-05_Night</x:v>
      </x:c>
      <x:c r="B27" s="6" t="str">
        <x:v>ナイト</x:v>
      </x:c>
      <x:c r="C27" s="6" t="n">
        <x:v>845000</x:v>
      </x:c>
      <x:c r="D27" s="6" t="n">
        <x:v>3329000</x:v>
      </x:c>
      <x:c r="E27" s="6" t="n">
        <x:f>C27-D27</x:f>
        <x:v>-2484000</x:v>
      </x:c>
      <x:c r="F27" s="6" t="n">
        <x:f>F26+E27</x:f>
        <x:v>-59252000</x:v>
      </x:c>
      <x:c r="G27" s="6" t="n">
        <x:v>397000</x:v>
      </x:c>
      <x:c r="H27" s="6" t="n">
        <x:v>2881000</x:v>
      </x:c>
      <x:c r="I27" s="6" t="n">
        <x:v>66</x:v>
      </x:c>
      <x:c r="J27" s="6" t="n">
        <x:v>337</x:v>
      </x:c>
      <x:c r="K27" s="6" t="n">
        <x:v>367</x:v>
      </x:c>
      <x:c r="L27" s="6" t="n">
        <x:v>10</x:v>
      </x:c>
      <x:c r="M27" s="11" t="n">
        <x:v>0.9288247863247864</x:v>
      </x:c>
      <x:c r="N27" s="6" t="n">
        <x:v>2524000</x:v>
      </x:c>
    </x:row>
    <x:row r="28" ht="24" customHeight="1">
      <x:c r="A28" s="2" t="str">
        <x:v>2026-10-06_Day</x:v>
      </x:c>
      <x:c r="B28" s="6" t="str">
        <x:v>デイ</x:v>
      </x:c>
      <x:c r="C28" s="6" t="n">
        <x:v>796000</x:v>
      </x:c>
      <x:c r="D28" s="6" t="n">
        <x:v>2582000</x:v>
      </x:c>
      <x:c r="E28" s="6" t="n">
        <x:f>C28-D28</x:f>
        <x:v>-1786000</x:v>
      </x:c>
      <x:c r="F28" s="6" t="n">
        <x:f>F27+E28</x:f>
        <x:v>-61038000</x:v>
      </x:c>
      <x:c r="G28" s="6" t="n">
        <x:v>298000</x:v>
      </x:c>
      <x:c r="H28" s="6" t="n">
        <x:v>2084000</x:v>
      </x:c>
      <x:c r="I28" s="6" t="n">
        <x:v>46</x:v>
      </x:c>
      <x:c r="J28" s="6" t="n">
        <x:v>298</x:v>
      </x:c>
      <x:c r="K28" s="6" t="n">
        <x:v>316</x:v>
      </x:c>
      <x:c r="L28" s="6" t="n">
        <x:v>10</x:v>
      </x:c>
      <x:c r="M28" s="11" t="n">
        <x:v>0.9465079365079365</x:v>
      </x:c>
      <x:c r="N28" s="6" t="n">
        <x:v>1860000</x:v>
      </x:c>
    </x:row>
    <x:row r="29" ht="24" customHeight="1">
      <x:c r="A29" s="2" t="str">
        <x:v>2026-10-06_Night</x:v>
      </x:c>
      <x:c r="B29" s="6" t="str">
        <x:v>ナイト</x:v>
      </x:c>
      <x:c r="C29" s="6" t="n">
        <x:v>538000</x:v>
      </x:c>
      <x:c r="D29" s="6" t="n">
        <x:v>2914000</x:v>
      </x:c>
      <x:c r="E29" s="6" t="n">
        <x:f>C29-D29</x:f>
        <x:v>-2376000</x:v>
      </x:c>
      <x:c r="F29" s="6" t="n">
        <x:f>F28+E29</x:f>
        <x:v>-63414000</x:v>
      </x:c>
      <x:c r="G29" s="6" t="n">
        <x:v>212000</x:v>
      </x:c>
      <x:c r="H29" s="6" t="n">
        <x:v>2588000</x:v>
      </x:c>
      <x:c r="I29" s="6" t="n">
        <x:v>48</x:v>
      </x:c>
      <x:c r="J29" s="6" t="n">
        <x:v>325</x:v>
      </x:c>
      <x:c r="K29" s="6" t="n">
        <x:v>338</x:v>
      </x:c>
      <x:c r="L29" s="6" t="n">
        <x:v>10</x:v>
      </x:c>
      <x:c r="M29" s="11" t="n">
        <x:v>0.9456410256410256</x:v>
      </x:c>
      <x:c r="N29" s="6" t="n">
        <x:v>2396000</x:v>
      </x:c>
    </x:row>
    <x:row r="30" ht="24" customHeight="1">
      <x:c r="A30" s="2" t="str">
        <x:v>2026-10-07_Day</x:v>
      </x:c>
      <x:c r="B30" s="6" t="str">
        <x:v>デイ</x:v>
      </x:c>
      <x:c r="C30" s="6" t="n">
        <x:v>552000</x:v>
      </x:c>
      <x:c r="D30" s="6" t="n">
        <x:v>2601000</x:v>
      </x:c>
      <x:c r="E30" s="6" t="n">
        <x:f>C30-D30</x:f>
        <x:v>-2049000</x:v>
      </x:c>
      <x:c r="F30" s="6" t="n">
        <x:f>F29+E30</x:f>
        <x:v>-65463000</x:v>
      </x:c>
      <x:c r="G30" s="6" t="n">
        <x:v>183000</x:v>
      </x:c>
      <x:c r="H30" s="6" t="n">
        <x:v>2232000</x:v>
      </x:c>
      <x:c r="I30" s="6" t="n">
        <x:v>42</x:v>
      </x:c>
      <x:c r="J30" s="6" t="n">
        <x:v>306</x:v>
      </x:c>
      <x:c r="K30" s="6" t="n">
        <x:v>322</x:v>
      </x:c>
      <x:c r="L30" s="6" t="n">
        <x:v>10</x:v>
      </x:c>
      <x:c r="M30" s="11" t="n">
        <x:v>0.9483333333333334</x:v>
      </x:c>
      <x:c r="N30" s="6" t="n">
        <x:v>2061000</x:v>
      </x:c>
    </x:row>
    <x:row r="31" ht="24" customHeight="1">
      <x:c r="A31" s="2" t="str">
        <x:v>2026-10-07_Night</x:v>
      </x:c>
      <x:c r="B31" s="6" t="str">
        <x:v>ナイト</x:v>
      </x:c>
      <x:c r="C31" s="6" t="n">
        <x:v>654000</x:v>
      </x:c>
      <x:c r="D31" s="6" t="n">
        <x:v>3604000</x:v>
      </x:c>
      <x:c r="E31" s="6" t="n">
        <x:f>C31-D31</x:f>
        <x:v>-2950000</x:v>
      </x:c>
      <x:c r="F31" s="6" t="n">
        <x:f>F30+E31</x:f>
        <x:v>-68413000</x:v>
      </x:c>
      <x:c r="G31" s="6" t="n">
        <x:v>133000</x:v>
      </x:c>
      <x:c r="H31" s="6" t="n">
        <x:v>3083000</x:v>
      </x:c>
      <x:c r="I31" s="6" t="n">
        <x:v>58</x:v>
      </x:c>
      <x:c r="J31" s="6" t="n">
        <x:v>380</x:v>
      </x:c>
      <x:c r="K31" s="6" t="n">
        <x:v>428</x:v>
      </x:c>
      <x:c r="L31" s="6" t="n">
        <x:v>10</x:v>
      </x:c>
      <x:c r="M31" s="11" t="n">
        <x:v>0.9646367521367522</x:v>
      </x:c>
      <x:c r="N31" s="6" t="n">
        <x:v>2960000</x:v>
      </x:c>
    </x:row>
    <x:row r="32" ht="24" customHeight="1">
      <x:c r="A32" s="2" t="str">
        <x:v>2026-10-08_Day</x:v>
      </x:c>
      <x:c r="B32" s="6" t="str">
        <x:v>デイ</x:v>
      </x:c>
      <x:c r="C32" s="6" t="n">
        <x:v>1119000</x:v>
      </x:c>
      <x:c r="D32" s="6" t="n">
        <x:v>3761000</x:v>
      </x:c>
      <x:c r="E32" s="6" t="n">
        <x:f>C32-D32</x:f>
        <x:v>-2642000</x:v>
      </x:c>
      <x:c r="F32" s="6" t="n">
        <x:f>F31+E32</x:f>
        <x:v>-71055000</x:v>
      </x:c>
      <x:c r="G32" s="6" t="n">
        <x:v>685000</x:v>
      </x:c>
      <x:c r="H32" s="6" t="n">
        <x:v>3327000</x:v>
      </x:c>
      <x:c r="I32" s="6" t="n">
        <x:v>85</x:v>
      </x:c>
      <x:c r="J32" s="6" t="n">
        <x:v>294</x:v>
      </x:c>
      <x:c r="K32" s="6" t="n">
        <x:v>337</x:v>
      </x:c>
      <x:c r="L32" s="6" t="n">
        <x:v>10</x:v>
      </x:c>
      <x:c r="M32" s="11" t="n">
        <x:v>0.9297619047619048</x:v>
      </x:c>
      <x:c r="N32" s="6" t="n">
        <x:v>2672000</x:v>
      </x:c>
    </x:row>
    <x:row r="33" ht="24" customHeight="1">
      <x:c r="A33" s="2" t="str">
        <x:v>2026-10-08_Night</x:v>
      </x:c>
      <x:c r="B33" s="6" t="str">
        <x:v>ナイト</x:v>
      </x:c>
      <x:c r="C33" s="6" t="n">
        <x:v>1738000</x:v>
      </x:c>
      <x:c r="D33" s="6" t="n">
        <x:v>5575000</x:v>
      </x:c>
      <x:c r="E33" s="6" t="n">
        <x:f>C33-D33</x:f>
        <x:v>-3837000</x:v>
      </x:c>
      <x:c r="F33" s="6" t="n">
        <x:f>F32+E33</x:f>
        <x:v>-74892000</x:v>
      </x:c>
      <x:c r="G33" s="6" t="n">
        <x:v>1091000</x:v>
      </x:c>
      <x:c r="H33" s="6" t="n">
        <x:v>4928000</x:v>
      </x:c>
      <x:c r="I33" s="6" t="n">
        <x:v>117</x:v>
      </x:c>
      <x:c r="J33" s="6" t="n">
        <x:v>382</x:v>
      </x:c>
      <x:c r="K33" s="6" t="n">
        <x:v>442</x:v>
      </x:c>
      <x:c r="L33" s="6" t="n">
        <x:v>10</x:v>
      </x:c>
      <x:c r="M33" s="11" t="n">
        <x:v>0.9311111111111111</x:v>
      </x:c>
      <x:c r="N33" s="6" t="n">
        <x:v>3937000</x:v>
      </x:c>
    </x:row>
    <x:row r="34" ht="24" customHeight="1">
      <x:c r="A34" s="2" t="str">
        <x:v>2026-10-09_Day</x:v>
      </x:c>
      <x:c r="B34" s="6" t="str">
        <x:v>デイ</x:v>
      </x:c>
      <x:c r="C34" s="6" t="n">
        <x:v>1556000</x:v>
      </x:c>
      <x:c r="D34" s="6" t="n">
        <x:v>3687000</x:v>
      </x:c>
      <x:c r="E34" s="6" t="n">
        <x:f>C34-D34</x:f>
        <x:v>-2131000</x:v>
      </x:c>
      <x:c r="F34" s="6" t="n">
        <x:f>F33+E34</x:f>
        <x:v>-77023000</x:v>
      </x:c>
      <x:c r="G34" s="6" t="n">
        <x:v>996000</x:v>
      </x:c>
      <x:c r="H34" s="6" t="n">
        <x:v>3127000</x:v>
      </x:c>
      <x:c r="I34" s="6" t="n">
        <x:v>72</x:v>
      </x:c>
      <x:c r="J34" s="6" t="n">
        <x:v>271</x:v>
      </x:c>
      <x:c r="K34" s="6" t="n">
        <x:v>313</x:v>
      </x:c>
      <x:c r="L34" s="6" t="n">
        <x:v>10</x:v>
      </x:c>
      <x:c r="M34" s="11" t="n">
        <x:v>0.9326587301587301</x:v>
      </x:c>
      <x:c r="N34" s="6" t="n">
        <x:v>2191000</x:v>
      </x:c>
    </x:row>
    <x:row r="35" ht="24" customHeight="1">
      <x:c r="A35" s="2" t="str">
        <x:v>2026-10-09_Night</x:v>
      </x:c>
      <x:c r="B35" s="6" t="str">
        <x:v>ナイト</x:v>
      </x:c>
      <x:c r="C35" s="6" t="n">
        <x:v>600000</x:v>
      </x:c>
      <x:c r="D35" s="6" t="n">
        <x:v>2794000</x:v>
      </x:c>
      <x:c r="E35" s="6" t="n">
        <x:f>C35-D35</x:f>
        <x:v>-2194000</x:v>
      </x:c>
      <x:c r="F35" s="6" t="n">
        <x:f>F34+E35</x:f>
        <x:v>-79217000</x:v>
      </x:c>
      <x:c r="G35" s="6" t="n">
        <x:v>261000</x:v>
      </x:c>
      <x:c r="H35" s="6" t="n">
        <x:v>2455000</x:v>
      </x:c>
      <x:c r="I35" s="6" t="n">
        <x:v>49</x:v>
      </x:c>
      <x:c r="J35" s="6" t="n">
        <x:v>291</x:v>
      </x:c>
      <x:c r="K35" s="6" t="n">
        <x:v>295</x:v>
      </x:c>
      <x:c r="L35" s="6" t="n">
        <x:v>10</x:v>
      </x:c>
      <x:c r="M35" s="11" t="n">
        <x:v>0.9231196581196581</x:v>
      </x:c>
      <x:c r="N35" s="6" t="n">
        <x:v>2242000</x:v>
      </x:c>
    </x:row>
    <x:row r="36" ht="24" customHeight="1">
      <x:c r="A36" s="2" t="str">
        <x:v>2026-10-12_Day</x:v>
      </x:c>
      <x:c r="B36" s="6" t="str">
        <x:v>デイ</x:v>
      </x:c>
      <x:c r="C36" s="6" t="n">
        <x:v>322000</x:v>
      </x:c>
      <x:c r="D36" s="6" t="n">
        <x:v>1754000</x:v>
      </x:c>
      <x:c r="E36" s="6" t="n">
        <x:f>C36-D36</x:f>
        <x:v>-1432000</x:v>
      </x:c>
      <x:c r="F36" s="6" t="n">
        <x:f>F35+E36</x:f>
        <x:v>-80649000</x:v>
      </x:c>
      <x:c r="G36" s="6" t="n">
        <x:v>94000</x:v>
      </x:c>
      <x:c r="H36" s="6" t="n">
        <x:v>1526000</x:v>
      </x:c>
      <x:c r="I36" s="6" t="n">
        <x:v>33</x:v>
      </x:c>
      <x:c r="J36" s="6" t="n">
        <x:v>143</x:v>
      </x:c>
      <x:c r="K36" s="6" t="n">
        <x:v>169</x:v>
      </x:c>
      <x:c r="L36" s="6" t="n">
        <x:v>10</x:v>
      </x:c>
      <x:c r="M36" s="11" t="n">
        <x:v>0.9187698412698413</x:v>
      </x:c>
      <x:c r="N36" s="6" t="n">
        <x:v>1464000</x:v>
      </x:c>
    </x:row>
    <x:row r="37" ht="24" customHeight="1">
      <x:c r="A37" s="2" t="str">
        <x:v>2026-10-12_Night</x:v>
      </x:c>
      <x:c r="B37" s="6" t="str">
        <x:v>ナイト</x:v>
      </x:c>
      <x:c r="C37" s="6" t="n">
        <x:v>576000</x:v>
      </x:c>
      <x:c r="D37" s="6" t="n">
        <x:v>2108000</x:v>
      </x:c>
      <x:c r="E37" s="6" t="n">
        <x:f>C37-D37</x:f>
        <x:v>-1532000</x:v>
      </x:c>
      <x:c r="F37" s="6" t="n">
        <x:f>F36+E37</x:f>
        <x:v>-82181000</x:v>
      </x:c>
      <x:c r="G37" s="6" t="n">
        <x:v>171000</x:v>
      </x:c>
      <x:c r="H37" s="6" t="n">
        <x:v>1703000</x:v>
      </x:c>
      <x:c r="I37" s="6" t="n">
        <x:v>37</x:v>
      </x:c>
      <x:c r="J37" s="6" t="n">
        <x:v>222</x:v>
      </x:c>
      <x:c r="K37" s="6" t="n">
        <x:v>241</x:v>
      </x:c>
      <x:c r="L37" s="6" t="n">
        <x:v>10</x:v>
      </x:c>
      <x:c r="M37" s="11" t="n">
        <x:v>0.9258760683760684</x:v>
      </x:c>
      <x:c r="N37" s="6" t="n">
        <x:v>1582000</x:v>
      </x:c>
    </x:row>
    <x:row r="38" ht="24" customHeight="1">
      <x:c r="A38" s="2" t="str">
        <x:v>2026-10-13_Day</x:v>
      </x:c>
      <x:c r="B38" s="6" t="str">
        <x:v>デイ</x:v>
      </x:c>
      <x:c r="C38" s="6" t="n">
        <x:v>1315000</x:v>
      </x:c>
      <x:c r="D38" s="6" t="n">
        <x:v>4270000</x:v>
      </x:c>
      <x:c r="E38" s="6" t="n">
        <x:f>C38-D38</x:f>
        <x:v>-2955000</x:v>
      </x:c>
      <x:c r="F38" s="6" t="n">
        <x:f>F37+E38</x:f>
        <x:v>-85136000</x:v>
      </x:c>
      <x:c r="G38" s="6" t="n">
        <x:v>889000</x:v>
      </x:c>
      <x:c r="H38" s="6" t="n">
        <x:v>3844000</x:v>
      </x:c>
      <x:c r="I38" s="6" t="n">
        <x:v>93</x:v>
      </x:c>
      <x:c r="J38" s="6" t="n">
        <x:v>269</x:v>
      </x:c>
      <x:c r="K38" s="6" t="n">
        <x:v>343</x:v>
      </x:c>
      <x:c r="L38" s="6" t="n">
        <x:v>10</x:v>
      </x:c>
      <x:c r="M38" s="11" t="n">
        <x:v>0.9264682539682539</x:v>
      </x:c>
      <x:c r="N38" s="6" t="n">
        <x:v>2975000</x:v>
      </x:c>
    </x:row>
    <x:row r="39" ht="24" customHeight="1">
      <x:c r="A39" s="2" t="str">
        <x:v>2026-10-13_Night</x:v>
      </x:c>
      <x:c r="B39" s="6" t="str">
        <x:v>ナイト</x:v>
      </x:c>
      <x:c r="C39" s="6" t="n">
        <x:v>535000</x:v>
      </x:c>
      <x:c r="D39" s="6" t="n">
        <x:v>2922000</x:v>
      </x:c>
      <x:c r="E39" s="6" t="n">
        <x:f>C39-D39</x:f>
        <x:v>-2387000</x:v>
      </x:c>
      <x:c r="F39" s="6" t="n">
        <x:f>F38+E39</x:f>
        <x:v>-87523000</x:v>
      </x:c>
      <x:c r="G39" s="6" t="n">
        <x:v>244000</x:v>
      </x:c>
      <x:c r="H39" s="6" t="n">
        <x:v>2631000</x:v>
      </x:c>
      <x:c r="I39" s="6" t="n">
        <x:v>48</x:v>
      </x:c>
      <x:c r="J39" s="6" t="n">
        <x:v>311</x:v>
      </x:c>
      <x:c r="K39" s="6" t="n">
        <x:v>321</x:v>
      </x:c>
      <x:c r="L39" s="6" t="n">
        <x:v>10</x:v>
      </x:c>
      <x:c r="M39" s="11" t="n">
        <x:v>0.9050854700854701</x:v>
      </x:c>
      <x:c r="N39" s="6" t="n">
        <x:v>2394000</x:v>
      </x:c>
    </x:row>
    <x:row r="40" ht="24" customHeight="1">
      <x:c r="A40" s="2" t="str">
        <x:v>2026-10-14_Day</x:v>
      </x:c>
      <x:c r="B40" s="6" t="str">
        <x:v>デイ</x:v>
      </x:c>
      <x:c r="C40" s="6" t="n">
        <x:v>1166000</x:v>
      </x:c>
      <x:c r="D40" s="6" t="n">
        <x:v>4198000</x:v>
      </x:c>
      <x:c r="E40" s="6" t="n">
        <x:f>C40-D40</x:f>
        <x:v>-3032000</x:v>
      </x:c>
      <x:c r="F40" s="6" t="n">
        <x:f>F39+E40</x:f>
        <x:v>-90555000</x:v>
      </x:c>
      <x:c r="G40" s="6" t="n">
        <x:v>714000</x:v>
      </x:c>
      <x:c r="H40" s="6" t="n">
        <x:v>3746000</x:v>
      </x:c>
      <x:c r="I40" s="6" t="n">
        <x:v>76</x:v>
      </x:c>
      <x:c r="J40" s="6" t="n">
        <x:v>277</x:v>
      </x:c>
      <x:c r="K40" s="6" t="n">
        <x:v>341</x:v>
      </x:c>
      <x:c r="L40" s="6" t="n">
        <x:v>10</x:v>
      </x:c>
      <x:c r="M40" s="11" t="n">
        <x:v>0.9369444444444445</x:v>
      </x:c>
      <x:c r="N40" s="6" t="n">
        <x:v>3094000</x:v>
      </x:c>
    </x:row>
    <x:row r="41" ht="24" customHeight="1">
      <x:c r="A41" s="2" t="str">
        <x:v>2026-10-14_Night</x:v>
      </x:c>
      <x:c r="B41" s="6" t="str">
        <x:v>ナイト</x:v>
      </x:c>
      <x:c r="C41" s="6" t="n">
        <x:v>1632000</x:v>
      </x:c>
      <x:c r="D41" s="6" t="n">
        <x:v>5675000</x:v>
      </x:c>
      <x:c r="E41" s="6" t="n">
        <x:f>C41-D41</x:f>
        <x:v>-4043000</x:v>
      </x:c>
      <x:c r="F41" s="6" t="n">
        <x:f>F40+E41</x:f>
        <x:v>-94598000</x:v>
      </x:c>
      <x:c r="G41" s="6" t="n">
        <x:v>1029000</x:v>
      </x:c>
      <x:c r="H41" s="6" t="n">
        <x:v>5072000</x:v>
      </x:c>
      <x:c r="I41" s="6" t="n">
        <x:v>102</x:v>
      </x:c>
      <x:c r="J41" s="6" t="n">
        <x:v>403</x:v>
      </x:c>
      <x:c r="K41" s="6" t="n">
        <x:v>466</x:v>
      </x:c>
      <x:c r="L41" s="6" t="n">
        <x:v>10</x:v>
      </x:c>
      <x:c r="M41" s="11" t="n">
        <x:v>0.9451495726495727</x:v>
      </x:c>
      <x:c r="N41" s="6" t="n">
        <x:v>4065000</x:v>
      </x:c>
    </x:row>
    <x:row r="42" ht="24" customHeight="1">
      <x:c r="A42" s="2" t="str">
        <x:v>2026-10-15_Day</x:v>
      </x:c>
      <x:c r="B42" s="6" t="str">
        <x:v>デイ</x:v>
      </x:c>
      <x:c r="C42" s="6" t="n">
        <x:v>3002000</x:v>
      </x:c>
      <x:c r="D42" s="6" t="n">
        <x:v>6344000</x:v>
      </x:c>
      <x:c r="E42" s="6" t="n">
        <x:f>C42-D42</x:f>
        <x:v>-3342000</x:v>
      </x:c>
      <x:c r="F42" s="6" t="n">
        <x:f>F41+E42</x:f>
        <x:v>-97940000</x:v>
      </x:c>
      <x:c r="G42" s="6" t="n">
        <x:v>2495000</x:v>
      </x:c>
      <x:c r="H42" s="6" t="n">
        <x:v>5837000</x:v>
      </x:c>
      <x:c r="I42" s="6" t="n">
        <x:v>183</x:v>
      </x:c>
      <x:c r="J42" s="6" t="n">
        <x:v>264</x:v>
      </x:c>
      <x:c r="K42" s="6" t="n">
        <x:v>384</x:v>
      </x:c>
      <x:c r="L42" s="6" t="n">
        <x:v>10</x:v>
      </x:c>
      <x:c r="M42" s="11" t="n">
        <x:v>0.8892063492063492</x:v>
      </x:c>
      <x:c r="N42" s="6" t="n">
        <x:v>3456000</x:v>
      </x:c>
    </x:row>
    <x:row r="43" ht="24" customHeight="1">
      <x:c r="A43" s="2" t="str">
        <x:v>2026-10-15_Night</x:v>
      </x:c>
      <x:c r="B43" s="6" t="str">
        <x:v>ナイト</x:v>
      </x:c>
      <x:c r="C43" s="6" t="n">
        <x:v>2440000</x:v>
      </x:c>
      <x:c r="D43" s="6" t="n">
        <x:v>6959000</x:v>
      </x:c>
      <x:c r="E43" s="6" t="n">
        <x:f>C43-D43</x:f>
        <x:v>-4519000</x:v>
      </x:c>
      <x:c r="F43" s="6" t="n">
        <x:f>F42+E43</x:f>
        <x:v>-102459000</x:v>
      </x:c>
      <x:c r="G43" s="6" t="n">
        <x:v>1717000</x:v>
      </x:c>
      <x:c r="H43" s="6" t="n">
        <x:v>6236000</x:v>
      </x:c>
      <x:c r="I43" s="6" t="n">
        <x:v>196</x:v>
      </x:c>
      <x:c r="J43" s="6" t="n">
        <x:v>383</x:v>
      </x:c>
      <x:c r="K43" s="6" t="n">
        <x:v>485</x:v>
      </x:c>
      <x:c r="L43" s="6" t="n">
        <x:v>10</x:v>
      </x:c>
      <x:c r="M43" s="11" t="n">
        <x:v>0.8926923076923077</x:v>
      </x:c>
      <x:c r="N43" s="6" t="n">
        <x:v>4618000</x:v>
      </x:c>
    </x:row>
    <x:row r="44" ht="24" customHeight="1">
      <x:c r="A44" s="2" t="str">
        <x:v>2026-10-16_Day</x:v>
      </x:c>
      <x:c r="B44" s="6" t="str">
        <x:v>デイ</x:v>
      </x:c>
      <x:c r="C44" s="6" t="n">
        <x:v>1689000</x:v>
      </x:c>
      <x:c r="D44" s="6" t="n">
        <x:v>5247000</x:v>
      </x:c>
      <x:c r="E44" s="6" t="n">
        <x:f>C44-D44</x:f>
        <x:v>-3558000</x:v>
      </x:c>
      <x:c r="F44" s="6" t="n">
        <x:f>F43+E44</x:f>
        <x:v>-106017000</x:v>
      </x:c>
      <x:c r="G44" s="6" t="n">
        <x:v>1283000</x:v>
      </x:c>
      <x:c r="H44" s="6" t="n">
        <x:v>4841000</x:v>
      </x:c>
      <x:c r="I44" s="6" t="n">
        <x:v>142</x:v>
      </x:c>
      <x:c r="J44" s="6" t="n">
        <x:v>256</x:v>
      </x:c>
      <x:c r="K44" s="6" t="n">
        <x:v>342</x:v>
      </x:c>
      <x:c r="L44" s="6" t="n">
        <x:v>10</x:v>
      </x:c>
      <x:c r="M44" s="11" t="n">
        <x:v>0.9057936507936508</x:v>
      </x:c>
      <x:c r="N44" s="6" t="n">
        <x:v>3658000</x:v>
      </x:c>
    </x:row>
    <x:row r="45" ht="24" customHeight="1">
      <x:c r="A45" s="2" t="str">
        <x:v>2026-10-16_Night</x:v>
      </x:c>
      <x:c r="B45" s="6" t="str">
        <x:v>ナイト</x:v>
      </x:c>
      <x:c r="C45" s="6" t="n">
        <x:v>2081000</x:v>
      </x:c>
      <x:c r="D45" s="6" t="n">
        <x:v>7322000</x:v>
      </x:c>
      <x:c r="E45" s="6" t="n">
        <x:f>C45-D45</x:f>
        <x:v>-5241000</x:v>
      </x:c>
      <x:c r="F45" s="6" t="n">
        <x:f>F44+E45</x:f>
        <x:v>-111258000</x:v>
      </x:c>
      <x:c r="G45" s="6" t="n">
        <x:v>1473000</x:v>
      </x:c>
      <x:c r="H45" s="6" t="n">
        <x:v>6714000</x:v>
      </x:c>
      <x:c r="I45" s="6" t="n">
        <x:v>180</x:v>
      </x:c>
      <x:c r="J45" s="6" t="n">
        <x:v>398</x:v>
      </x:c>
      <x:c r="K45" s="6" t="n">
        <x:v>515</x:v>
      </x:c>
      <x:c r="L45" s="6" t="n">
        <x:v>10</x:v>
      </x:c>
      <x:c r="M45" s="11" t="n">
        <x:v>0.9116239316239316</x:v>
      </x:c>
      <x:c r="N45" s="6" t="n">
        <x:v>5301000</x:v>
      </x:c>
    </x:row>
    <x:row r="46" ht="24" customHeight="1">
      <x:c r="A46" s="2" t="str">
        <x:v>2026-10-19_Day</x:v>
      </x:c>
      <x:c r="B46" s="6" t="str">
        <x:v>デイ</x:v>
      </x:c>
      <x:c r="C46" s="6" t="n">
        <x:v>2358000</x:v>
      </x:c>
      <x:c r="D46" s="6" t="n">
        <x:v>5595000</x:v>
      </x:c>
      <x:c r="E46" s="6" t="n">
        <x:f>C46-D46</x:f>
        <x:v>-3237000</x:v>
      </x:c>
      <x:c r="F46" s="6" t="n">
        <x:f>F45+E46</x:f>
        <x:v>-114495000</x:v>
      </x:c>
      <x:c r="G46" s="6" t="n">
        <x:v>1847000</x:v>
      </x:c>
      <x:c r="H46" s="6" t="n">
        <x:v>5084000</x:v>
      </x:c>
      <x:c r="I46" s="6" t="n">
        <x:v>143</x:v>
      </x:c>
      <x:c r="J46" s="6" t="n">
        <x:v>293</x:v>
      </x:c>
      <x:c r="K46" s="6" t="n">
        <x:v>346</x:v>
      </x:c>
      <x:c r="L46" s="6" t="n">
        <x:v>10</x:v>
      </x:c>
      <x:c r="M46" s="11" t="n">
        <x:v>0.8982936507936508</x:v>
      </x:c>
      <x:c r="N46" s="6" t="n">
        <x:v>3381000</x:v>
      </x:c>
    </x:row>
    <x:row r="47" ht="24" customHeight="1">
      <x:c r="A47" s="2" t="str">
        <x:v>2026-10-19_Night</x:v>
      </x:c>
      <x:c r="B47" s="6" t="str">
        <x:v>ナイト</x:v>
      </x:c>
      <x:c r="C47" s="6" t="n">
        <x:v>1364000</x:v>
      </x:c>
      <x:c r="D47" s="6" t="n">
        <x:v>5377000</x:v>
      </x:c>
      <x:c r="E47" s="6" t="n">
        <x:f>C47-D47</x:f>
        <x:v>-4013000</x:v>
      </x:c>
      <x:c r="F47" s="6" t="n">
        <x:f>F46+E47</x:f>
        <x:v>-118508000</x:v>
      </x:c>
      <x:c r="G47" s="6" t="n">
        <x:v>756000</x:v>
      </x:c>
      <x:c r="H47" s="6" t="n">
        <x:v>4769000</x:v>
      </x:c>
      <x:c r="I47" s="6" t="n">
        <x:v>134</x:v>
      </x:c>
      <x:c r="J47" s="6" t="n">
        <x:v>349</x:v>
      </x:c>
      <x:c r="K47" s="6" t="n">
        <x:v>441</x:v>
      </x:c>
      <x:c r="L47" s="6" t="n">
        <x:v>10</x:v>
      </x:c>
      <x:c r="M47" s="11" t="n">
        <x:v>0.9236965811965812</x:v>
      </x:c>
      <x:c r="N47" s="6" t="n">
        <x:v>4028000</x:v>
      </x:c>
    </x:row>
    <x:row r="48" ht="24" customHeight="1">
      <x:c r="A48" s="2" t="str">
        <x:v>2026-10-20_Day</x:v>
      </x:c>
      <x:c r="B48" s="6" t="str">
        <x:v>デイ</x:v>
      </x:c>
      <x:c r="C48" s="6" t="n">
        <x:v>2103000</x:v>
      </x:c>
      <x:c r="D48" s="6" t="n">
        <x:v>5905000</x:v>
      </x:c>
      <x:c r="E48" s="6" t="n">
        <x:f>C48-D48</x:f>
        <x:v>-3802000</x:v>
      </x:c>
      <x:c r="F48" s="6" t="n">
        <x:f>F47+E48</x:f>
        <x:v>-122310000</x:v>
      </x:c>
      <x:c r="G48" s="6" t="n">
        <x:v>1427000</x:v>
      </x:c>
      <x:c r="H48" s="6" t="n">
        <x:v>5229000</x:v>
      </x:c>
      <x:c r="I48" s="6" t="n">
        <x:v>154</x:v>
      </x:c>
      <x:c r="J48" s="6" t="n">
        <x:v>253</x:v>
      </x:c>
      <x:c r="K48" s="6" t="n">
        <x:v>342</x:v>
      </x:c>
      <x:c r="L48" s="6" t="n">
        <x:v>10</x:v>
      </x:c>
      <x:c r="M48" s="11" t="n">
        <x:v>0.8982539682539683</x:v>
      </x:c>
      <x:c r="N48" s="6" t="n">
        <x:v>3817000</x:v>
      </x:c>
    </x:row>
    <x:row r="49" ht="24" customHeight="1">
      <x:c r="A49" s="2" t="str">
        <x:v>2026-10-20_Night</x:v>
      </x:c>
      <x:c r="B49" s="6" t="str">
        <x:v>ナイト</x:v>
      </x:c>
      <x:c r="C49" s="6" t="n">
        <x:v>2144000</x:v>
      </x:c>
      <x:c r="D49" s="6" t="n">
        <x:v>5389000</x:v>
      </x:c>
      <x:c r="E49" s="6" t="n">
        <x:f>C49-D49</x:f>
        <x:v>-3245000</x:v>
      </x:c>
      <x:c r="F49" s="6" t="n">
        <x:f>F48+E49</x:f>
        <x:v>-125555000</x:v>
      </x:c>
      <x:c r="G49" s="6" t="n">
        <x:v>1404000</x:v>
      </x:c>
      <x:c r="H49" s="6" t="n">
        <x:v>4649000</x:v>
      </x:c>
      <x:c r="I49" s="6" t="n">
        <x:v>150</x:v>
      </x:c>
      <x:c r="J49" s="6" t="n">
        <x:v>372</x:v>
      </x:c>
      <x:c r="K49" s="6" t="n">
        <x:v>436</x:v>
      </x:c>
      <x:c r="L49" s="6" t="n">
        <x:v>10</x:v>
      </x:c>
      <x:c r="M49" s="11" t="n">
        <x:v>0.8893376068376069</x:v>
      </x:c>
      <x:c r="N49" s="6" t="n">
        <x:v>3258000</x:v>
      </x:c>
    </x:row>
    <x:row r="50" ht="24" customHeight="1">
      <x:c r="A50" s="2" t="str">
        <x:v>2026-10-21_Day</x:v>
      </x:c>
      <x:c r="B50" s="6" t="str">
        <x:v>デイ</x:v>
      </x:c>
      <x:c r="C50" s="6" t="n">
        <x:v>1517000</x:v>
      </x:c>
      <x:c r="D50" s="6" t="n">
        <x:v>4726000</x:v>
      </x:c>
      <x:c r="E50" s="6" t="n">
        <x:f>C50-D50</x:f>
        <x:v>-3209000</x:v>
      </x:c>
      <x:c r="F50" s="6" t="n">
        <x:f>F49+E50</x:f>
        <x:v>-128764000</x:v>
      </x:c>
      <x:c r="G50" s="6" t="n">
        <x:v>1140000</x:v>
      </x:c>
      <x:c r="H50" s="6" t="n">
        <x:v>4349000</x:v>
      </x:c>
      <x:c r="I50" s="6" t="n">
        <x:v>126</x:v>
      </x:c>
      <x:c r="J50" s="6" t="n">
        <x:v>263</x:v>
      </x:c>
      <x:c r="K50" s="6" t="n">
        <x:v>354</x:v>
      </x:c>
      <x:c r="L50" s="6" t="n">
        <x:v>10</x:v>
      </x:c>
      <x:c r="M50" s="11" t="n">
        <x:v>0.9111507936507937</x:v>
      </x:c>
      <x:c r="N50" s="6" t="n">
        <x:v>3232000</x:v>
      </x:c>
    </x:row>
    <x:row r="51" ht="24" customHeight="1">
      <x:c r="A51" s="2" t="str">
        <x:v>2026-10-21_Night</x:v>
      </x:c>
      <x:c r="B51" s="6" t="str">
        <x:v>ナイト</x:v>
      </x:c>
      <x:c r="C51" s="6" t="n">
        <x:v>1725000</x:v>
      </x:c>
      <x:c r="D51" s="6" t="n">
        <x:v>4672000</x:v>
      </x:c>
      <x:c r="E51" s="6" t="n">
        <x:f>C51-D51</x:f>
        <x:v>-2947000</x:v>
      </x:c>
      <x:c r="F51" s="6" t="n">
        <x:f>F50+E51</x:f>
        <x:v>-131711000</x:v>
      </x:c>
      <x:c r="G51" s="6" t="n">
        <x:v>1167000</x:v>
      </x:c>
      <x:c r="H51" s="6" t="n">
        <x:v>4114000</x:v>
      </x:c>
      <x:c r="I51" s="6" t="n">
        <x:v>128</x:v>
      </x:c>
      <x:c r="J51" s="6" t="n">
        <x:v>354</x:v>
      </x:c>
      <x:c r="K51" s="6" t="n">
        <x:v>416</x:v>
      </x:c>
      <x:c r="L51" s="6" t="n">
        <x:v>10</x:v>
      </x:c>
      <x:c r="M51" s="11" t="n">
        <x:v>0.9188461538461539</x:v>
      </x:c>
      <x:c r="N51" s="6" t="n">
        <x:v>2968000</x:v>
      </x:c>
    </x:row>
    <x:row r="52" ht="24" customHeight="1">
      <x:c r="A52" s="2" t="str">
        <x:v>2026-10-22_Day</x:v>
      </x:c>
      <x:c r="B52" s="6" t="str">
        <x:v>デイ</x:v>
      </x:c>
      <x:c r="C52" s="6" t="n">
        <x:v>2045000</x:v>
      </x:c>
      <x:c r="D52" s="6" t="n">
        <x:v>5290000</x:v>
      </x:c>
      <x:c r="E52" s="6" t="n">
        <x:f>C52-D52</x:f>
        <x:v>-3245000</x:v>
      </x:c>
      <x:c r="F52" s="6" t="n">
        <x:f>F51+E52</x:f>
        <x:v>-134956000</x:v>
      </x:c>
      <x:c r="G52" s="6" t="n">
        <x:v>1569000</x:v>
      </x:c>
      <x:c r="H52" s="6" t="n">
        <x:v>4814000</x:v>
      </x:c>
      <x:c r="I52" s="6" t="n">
        <x:v>150</x:v>
      </x:c>
      <x:c r="J52" s="6" t="n">
        <x:v>268</x:v>
      </x:c>
      <x:c r="K52" s="6" t="n">
        <x:v>358</x:v>
      </x:c>
      <x:c r="L52" s="6" t="n">
        <x:v>10</x:v>
      </x:c>
      <x:c r="M52" s="11" t="n">
        <x:v>0.8961507936507936</x:v>
      </x:c>
      <x:c r="N52" s="6" t="n">
        <x:v>3461000</x:v>
      </x:c>
    </x:row>
    <x:row r="53" ht="24" customHeight="1">
      <x:c r="A53" s="2" t="str">
        <x:v>2026-10-22_Night</x:v>
      </x:c>
      <x:c r="B53" s="6" t="str">
        <x:v>ナイト</x:v>
      </x:c>
      <x:c r="C53" s="6" t="n">
        <x:v>2111000</x:v>
      </x:c>
      <x:c r="D53" s="6" t="n">
        <x:v>5868000</x:v>
      </x:c>
      <x:c r="E53" s="6" t="n">
        <x:f>C53-D53</x:f>
        <x:v>-3757000</x:v>
      </x:c>
      <x:c r="F53" s="6" t="n">
        <x:f>F52+E53</x:f>
        <x:v>-138713000</x:v>
      </x:c>
      <x:c r="G53" s="6" t="n">
        <x:v>1252000</x:v>
      </x:c>
      <x:c r="H53" s="6" t="n">
        <x:v>5009000</x:v>
      </x:c>
      <x:c r="I53" s="6" t="n">
        <x:v>159</x:v>
      </x:c>
      <x:c r="J53" s="6" t="n">
        <x:v>396</x:v>
      </x:c>
      <x:c r="K53" s="6" t="n">
        <x:v>480</x:v>
      </x:c>
      <x:c r="L53" s="6" t="n">
        <x:v>10</x:v>
      </x:c>
      <x:c r="M53" s="11" t="n">
        <x:v>0.9108547008547009</x:v>
      </x:c>
      <x:c r="N53" s="6" t="n">
        <x:v>3797000</x:v>
      </x:c>
    </x:row>
    <x:row r="54" ht="24" customHeight="1">
      <x:c r="A54" s="2" t="str">
        <x:v>2026-10-23_Day</x:v>
      </x:c>
      <x:c r="B54" s="6" t="str">
        <x:v>デイ</x:v>
      </x:c>
      <x:c r="C54" s="6" t="n">
        <x:v>3368000</x:v>
      </x:c>
      <x:c r="D54" s="6" t="n">
        <x:v>8501000</x:v>
      </x:c>
      <x:c r="E54" s="6" t="n">
        <x:f>C54-D54</x:f>
        <x:v>-5133000</x:v>
      </x:c>
      <x:c r="F54" s="6" t="n">
        <x:f>F53+E54</x:f>
        <x:v>-143846000</x:v>
      </x:c>
      <x:c r="G54" s="6" t="n">
        <x:v>2893000</x:v>
      </x:c>
      <x:c r="H54" s="6" t="n">
        <x:v>8026000</x:v>
      </x:c>
      <x:c r="I54" s="6" t="n">
        <x:v>248</x:v>
      </x:c>
      <x:c r="J54" s="6" t="n">
        <x:v>209</x:v>
      </x:c>
      <x:c r="K54" s="6" t="n">
        <x:v>347</x:v>
      </x:c>
      <x:c r="L54" s="6" t="n">
        <x:v>10</x:v>
      </x:c>
      <x:c r="M54" s="11" t="n">
        <x:v>0.8633730158730158</x:v>
      </x:c>
      <x:c r="N54" s="6" t="n">
        <x:v>5265000</x:v>
      </x:c>
    </x:row>
    <x:row r="55" ht="24" customHeight="1">
      <x:c r="A55" s="2" t="str">
        <x:v>2026-10-23_Night</x:v>
      </x:c>
      <x:c r="B55" s="6" t="str">
        <x:v>ナイト</x:v>
      </x:c>
      <x:c r="C55" s="6" t="n">
        <x:v>1888000</x:v>
      </x:c>
      <x:c r="D55" s="6" t="n">
        <x:v>5590000</x:v>
      </x:c>
      <x:c r="E55" s="6" t="n">
        <x:f>C55-D55</x:f>
        <x:v>-3702000</x:v>
      </x:c>
      <x:c r="F55" s="6" t="n">
        <x:f>F54+E55</x:f>
        <x:v>-147548000</x:v>
      </x:c>
      <x:c r="G55" s="6" t="n">
        <x:v>1175000</x:v>
      </x:c>
      <x:c r="H55" s="6" t="n">
        <x:v>4877000</x:v>
      </x:c>
      <x:c r="I55" s="6" t="n">
        <x:v>142</x:v>
      </x:c>
      <x:c r="J55" s="6" t="n">
        <x:v>402</x:v>
      </x:c>
      <x:c r="K55" s="6" t="n">
        <x:v>472</x:v>
      </x:c>
      <x:c r="L55" s="6" t="n">
        <x:v>10</x:v>
      </x:c>
      <x:c r="M55" s="11" t="n">
        <x:v>0.9264743589743589</x:v>
      </x:c>
      <x:c r="N55" s="6" t="n">
        <x:v>3719000</x:v>
      </x:c>
    </x:row>
    <x:row r="56" ht="24" customHeight="1">
      <x:c r="A56" s="2" t="str">
        <x:v>2026-10-26_Day</x:v>
      </x:c>
      <x:c r="B56" s="6" t="str">
        <x:v>デイ</x:v>
      </x:c>
      <x:c r="C56" s="6" t="n">
        <x:v>2378000</x:v>
      </x:c>
      <x:c r="D56" s="6" t="n">
        <x:v>6197000</x:v>
      </x:c>
      <x:c r="E56" s="6" t="n">
        <x:f>C56-D56</x:f>
        <x:v>-3819000</x:v>
      </x:c>
      <x:c r="F56" s="6" t="n">
        <x:f>F55+E56</x:f>
        <x:v>-151367000</x:v>
      </x:c>
      <x:c r="G56" s="6" t="n">
        <x:v>1975000</x:v>
      </x:c>
      <x:c r="H56" s="6" t="n">
        <x:v>5794000</x:v>
      </x:c>
      <x:c r="I56" s="6" t="n">
        <x:v>176</x:v>
      </x:c>
      <x:c r="J56" s="6" t="n">
        <x:v>244</x:v>
      </x:c>
      <x:c r="K56" s="6" t="n">
        <x:v>318</x:v>
      </x:c>
      <x:c r="L56" s="6" t="n">
        <x:v>10</x:v>
      </x:c>
      <x:c r="M56" s="11" t="n">
        <x:v>0.8852380952380953</x:v>
      </x:c>
      <x:c r="N56" s="6" t="n">
        <x:v>3976000</x:v>
      </x:c>
    </x:row>
    <x:row r="57" ht="24" customHeight="1">
      <x:c r="A57" s="15" t="str">
        <x:v>累計／平均／最大</x:v>
      </x:c>
      <x:c r="B57" s="16"/>
      <x:c r="C57" s="16" t="n">
        <x:f>SUM(C6:C56)</x:f>
        <x:v>69251000</x:v>
      </x:c>
      <x:c r="D57" s="16" t="n">
        <x:f>SUM(D6:D56)</x:f>
        <x:v>220618000</x:v>
      </x:c>
      <x:c r="E57" s="16" t="n">
        <x:f>C57-D57</x:f>
        <x:v>-151367000</x:v>
      </x:c>
      <x:c r="F57" s="16" t="n">
        <x:f>F56</x:f>
        <x:v>-151367000</x:v>
      </x:c>
      <x:c r="G57" s="16" t="n">
        <x:f>SUM(G6:G56)</x:f>
        <x:v>45146000</x:v>
      </x:c>
      <x:c r="H57" s="16" t="n">
        <x:f>SUM(H6:H56)</x:f>
        <x:v>196513000</x:v>
      </x:c>
      <x:c r="I57" s="16" t="n">
        <x:f>SUM(I6:I56)</x:f>
        <x:v>5251</x:v>
      </x:c>
      <x:c r="J57" s="16" t="n">
        <x:f>SUM(J6:J56)</x:f>
        <x:v>14948</x:v>
      </x:c>
      <x:c r="K57" s="16" t="n">
        <x:f>SUM(K6:K56)</x:f>
        <x:v>17841</x:v>
      </x:c>
      <x:c r="L57" s="16" t="n">
        <x:f>MAX(L6:L56)</x:f>
        <x:v>10</x:v>
      </x:c>
      <x:c r="M57" s="17" t="n">
        <x:f>AVERAGE(M6:M56)</x:f>
        <x:v>0.917981816658287</x:v>
      </x:c>
      <x:c r="N57" s="16" t="n">
        <x:f>MAX(N6:N56)</x:f>
        <x:v>5301000</x:v>
      </x:c>
    </x:row>
  </x:sheetData>
  <x:conditionalFormatting sqref="E6:F56">
    <x:cfRule type="cellIs" dxfId="11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4d31c701ef34285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1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4" customHeight="1">
      <x:c r="A1" s="3" t="str">
        <x:v>日経 M05　各セッションの利益・損失・収支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A2" s="4" t="str">
        <x:v>2026/09/21〜10/26デイ・51完了場。日経mini／TOPIXmini各上限10枚・手数料0。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4" customHeight="1">
      <x:c r="A3" s="4" t="str">
        <x:v>60秒の時間加重平均を30秒前と比較。保有中も傾き比例で増減、利益追尾＋傾き反転で返済。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4" customHeight="1">
      <x:c r="A4" s="4" t="str">
        <x:v>利益・損失＝FIFO返済配賦別。親＝初回から全返済まで。ラージ気配による模型で、mini実約定の検証ではありません。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42" customHeight="1">
      <x:c r="A5" s="10" t="str">
        <x:v>セッション</x:v>
      </x:c>
      <x:c r="B5" s="10" t="str">
        <x:v>区分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親利益（円）</x:v>
      </x:c>
      <x:c r="H5" s="10" t="str">
        <x:v>親損失（円）</x:v>
      </x:c>
      <x:c r="I5" s="10" t="str">
        <x:v>初回件数</x:v>
      </x:c>
      <x:c r="J5" s="10" t="str">
        <x:v>追加件数</x:v>
      </x:c>
      <x:c r="K5" s="10" t="str">
        <x:v>縮小件数</x:v>
      </x:c>
      <x:c r="L5" s="10" t="str">
        <x:v>最大保有枚数</x:v>
      </x:c>
      <x:c r="M5" s="10" t="str">
        <x:v>保有時間率</x:v>
      </x:c>
      <x:c r="N5" s="10" t="str">
        <x:v>時価最大DD（円）</x:v>
      </x:c>
    </x:row>
    <x:row r="6" ht="24" customHeight="1">
      <x:c r="A6" s="2" t="str">
        <x:v>2026-09-21_Day</x:v>
      </x:c>
      <x:c r="B6" s="6" t="str">
        <x:v>デイ</x:v>
      </x:c>
      <x:c r="C6" s="6" t="n">
        <x:v>791000</x:v>
      </x:c>
      <x:c r="D6" s="6" t="n">
        <x:v>3099000</x:v>
      </x:c>
      <x:c r="E6" s="6" t="n">
        <x:f>C6-D6</x:f>
        <x:v>-2308000</x:v>
      </x:c>
      <x:c r="F6" s="6" t="n">
        <x:f>E6</x:f>
        <x:v>-2308000</x:v>
      </x:c>
      <x:c r="G6" s="6" t="n">
        <x:v>705000</x:v>
      </x:c>
      <x:c r="H6" s="6" t="n">
        <x:v>3013000</x:v>
      </x:c>
      <x:c r="I6" s="6" t="n">
        <x:v>167</x:v>
      </x:c>
      <x:c r="J6" s="6" t="n">
        <x:v>69</x:v>
      </x:c>
      <x:c r="K6" s="6" t="n">
        <x:v>94</x:v>
      </x:c>
      <x:c r="L6" s="6" t="n">
        <x:v>10</x:v>
      </x:c>
      <x:c r="M6" s="11" t="n">
        <x:v>0.6392460317460318</x:v>
      </x:c>
      <x:c r="N6" s="6" t="n">
        <x:v>2330000</x:v>
      </x:c>
    </x:row>
    <x:row r="7" ht="24" customHeight="1">
      <x:c r="A7" s="2" t="str">
        <x:v>2026-09-21_Night</x:v>
      </x:c>
      <x:c r="B7" s="6" t="str">
        <x:v>ナイト</x:v>
      </x:c>
      <x:c r="C7" s="6" t="n">
        <x:v>412000</x:v>
      </x:c>
      <x:c r="D7" s="6" t="n">
        <x:v>3079000</x:v>
      </x:c>
      <x:c r="E7" s="6" t="n">
        <x:f>C7-D7</x:f>
        <x:v>-2667000</x:v>
      </x:c>
      <x:c r="F7" s="6" t="n">
        <x:f>F6+E7</x:f>
        <x:v>-4975000</x:v>
      </x:c>
      <x:c r="G7" s="6" t="n">
        <x:v>251000</x:v>
      </x:c>
      <x:c r="H7" s="6" t="n">
        <x:v>2918000</x:v>
      </x:c>
      <x:c r="I7" s="6" t="n">
        <x:v>247</x:v>
      </x:c>
      <x:c r="J7" s="6" t="n">
        <x:v>162</x:v>
      </x:c>
      <x:c r="K7" s="6" t="n">
        <x:v>208</x:v>
      </x:c>
      <x:c r="L7" s="6" t="n">
        <x:v>10</x:v>
      </x:c>
      <x:c r="M7" s="11" t="n">
        <x:v>0.612948717948718</x:v>
      </x:c>
      <x:c r="N7" s="6" t="n">
        <x:v>2721000</x:v>
      </x:c>
    </x:row>
    <x:row r="8" ht="24" customHeight="1">
      <x:c r="A8" s="2" t="str">
        <x:v>2026-09-22_Day</x:v>
      </x:c>
      <x:c r="B8" s="6" t="str">
        <x:v>デイ</x:v>
      </x:c>
      <x:c r="C8" s="6" t="n">
        <x:v>822000</x:v>
      </x:c>
      <x:c r="D8" s="6" t="n">
        <x:v>4049000</x:v>
      </x:c>
      <x:c r="E8" s="6" t="n">
        <x:f>C8-D8</x:f>
        <x:v>-3227000</x:v>
      </x:c>
      <x:c r="F8" s="6" t="n">
        <x:f>F7+E8</x:f>
        <x:v>-8202000</x:v>
      </x:c>
      <x:c r="G8" s="6" t="n">
        <x:v>680000</x:v>
      </x:c>
      <x:c r="H8" s="6" t="n">
        <x:v>3907000</x:v>
      </x:c>
      <x:c r="I8" s="6" t="n">
        <x:v>210</x:v>
      </x:c>
      <x:c r="J8" s="6" t="n">
        <x:v>113</x:v>
      </x:c>
      <x:c r="K8" s="6" t="n">
        <x:v>149</x:v>
      </x:c>
      <x:c r="L8" s="6" t="n">
        <x:v>10</x:v>
      </x:c>
      <x:c r="M8" s="11" t="n">
        <x:v>0.6765476190476191</x:v>
      </x:c>
      <x:c r="N8" s="6" t="n">
        <x:v>3242000</x:v>
      </x:c>
    </x:row>
    <x:row r="9" ht="24" customHeight="1">
      <x:c r="A9" s="2" t="str">
        <x:v>2026-09-22_Night</x:v>
      </x:c>
      <x:c r="B9" s="6" t="str">
        <x:v>ナイト</x:v>
      </x:c>
      <x:c r="C9" s="6" t="n">
        <x:v>1230000</x:v>
      </x:c>
      <x:c r="D9" s="6" t="n">
        <x:v>5341000</x:v>
      </x:c>
      <x:c r="E9" s="6" t="n">
        <x:f>C9-D9</x:f>
        <x:v>-4111000</x:v>
      </x:c>
      <x:c r="F9" s="6" t="n">
        <x:f>F8+E9</x:f>
        <x:v>-12313000</x:v>
      </x:c>
      <x:c r="G9" s="6" t="n">
        <x:v>1044000</x:v>
      </x:c>
      <x:c r="H9" s="6" t="n">
        <x:v>5155000</x:v>
      </x:c>
      <x:c r="I9" s="6" t="n">
        <x:v>317</x:v>
      </x:c>
      <x:c r="J9" s="6" t="n">
        <x:v>167</x:v>
      </x:c>
      <x:c r="K9" s="6" t="n">
        <x:v>242</x:v>
      </x:c>
      <x:c r="L9" s="6" t="n">
        <x:v>10</x:v>
      </x:c>
      <x:c r="M9" s="11" t="n">
        <x:v>0.6098076923076923</x:v>
      </x:c>
      <x:c r="N9" s="6" t="n">
        <x:v>4125000</x:v>
      </x:c>
    </x:row>
    <x:row r="10" ht="24" customHeight="1">
      <x:c r="A10" s="2" t="str">
        <x:v>2026-09-23_Day</x:v>
      </x:c>
      <x:c r="B10" s="6" t="str">
        <x:v>デイ</x:v>
      </x:c>
      <x:c r="C10" s="6" t="n">
        <x:v>447000</x:v>
      </x:c>
      <x:c r="D10" s="6" t="n">
        <x:v>2775000</x:v>
      </x:c>
      <x:c r="E10" s="6" t="n">
        <x:f>C10-D10</x:f>
        <x:v>-2328000</x:v>
      </x:c>
      <x:c r="F10" s="6" t="n">
        <x:f>F9+E10</x:f>
        <x:v>-14641000</x:v>
      </x:c>
      <x:c r="G10" s="6" t="n">
        <x:v>403000</x:v>
      </x:c>
      <x:c r="H10" s="6" t="n">
        <x:v>2731000</x:v>
      </x:c>
      <x:c r="I10" s="6" t="n">
        <x:v>172</x:v>
      </x:c>
      <x:c r="J10" s="6" t="n">
        <x:v>72</x:v>
      </x:c>
      <x:c r="K10" s="6" t="n">
        <x:v>115</x:v>
      </x:c>
      <x:c r="L10" s="6" t="n">
        <x:v>10</x:v>
      </x:c>
      <x:c r="M10" s="11" t="n">
        <x:v>0.6196825396825397</x:v>
      </x:c>
      <x:c r="N10" s="6" t="n">
        <x:v>2388000</x:v>
      </x:c>
    </x:row>
    <x:row r="11" ht="24" customHeight="1">
      <x:c r="A11" s="2" t="str">
        <x:v>2026-09-23_Night</x:v>
      </x:c>
      <x:c r="B11" s="6" t="str">
        <x:v>ナイト</x:v>
      </x:c>
      <x:c r="C11" s="6" t="n">
        <x:v>1268000</x:v>
      </x:c>
      <x:c r="D11" s="6" t="n">
        <x:v>4002000</x:v>
      </x:c>
      <x:c r="E11" s="6" t="n">
        <x:f>C11-D11</x:f>
        <x:v>-2734000</x:v>
      </x:c>
      <x:c r="F11" s="6" t="n">
        <x:f>F10+E11</x:f>
        <x:v>-17375000</x:v>
      </x:c>
      <x:c r="G11" s="6" t="n">
        <x:v>1104000</x:v>
      </x:c>
      <x:c r="H11" s="6" t="n">
        <x:v>3838000</x:v>
      </x:c>
      <x:c r="I11" s="6" t="n">
        <x:v>270</x:v>
      </x:c>
      <x:c r="J11" s="6" t="n">
        <x:v>177</x:v>
      </x:c>
      <x:c r="K11" s="6" t="n">
        <x:v>213</x:v>
      </x:c>
      <x:c r="L11" s="6" t="n">
        <x:v>10</x:v>
      </x:c>
      <x:c r="M11" s="11" t="n">
        <x:v>0.6332905982905983</x:v>
      </x:c>
      <x:c r="N11" s="6" t="n">
        <x:v>2737000</x:v>
      </x:c>
    </x:row>
    <x:row r="12" ht="24" customHeight="1">
      <x:c r="A12" s="2" t="str">
        <x:v>2026-09-24_Day</x:v>
      </x:c>
      <x:c r="B12" s="6" t="str">
        <x:v>デイ</x:v>
      </x:c>
      <x:c r="C12" s="6" t="n">
        <x:v>1734000</x:v>
      </x:c>
      <x:c r="D12" s="6" t="n">
        <x:v>5719000</x:v>
      </x:c>
      <x:c r="E12" s="6" t="n">
        <x:f>C12-D12</x:f>
        <x:v>-3985000</x:v>
      </x:c>
      <x:c r="F12" s="6" t="n">
        <x:f>F11+E12</x:f>
        <x:v>-21360000</x:v>
      </x:c>
      <x:c r="G12" s="6" t="n">
        <x:v>1534000</x:v>
      </x:c>
      <x:c r="H12" s="6" t="n">
        <x:v>5519000</x:v>
      </x:c>
      <x:c r="I12" s="6" t="n">
        <x:v>319</x:v>
      </x:c>
      <x:c r="J12" s="6" t="n">
        <x:v>233</x:v>
      </x:c>
      <x:c r="K12" s="6" t="n">
        <x:v>356</x:v>
      </x:c>
      <x:c r="L12" s="6" t="n">
        <x:v>10</x:v>
      </x:c>
      <x:c r="M12" s="11" t="n">
        <x:v>0.7719047619047619</x:v>
      </x:c>
      <x:c r="N12" s="6" t="n">
        <x:v>4018000</x:v>
      </x:c>
    </x:row>
    <x:row r="13" ht="24" customHeight="1">
      <x:c r="A13" s="2" t="str">
        <x:v>2026-09-24_Night</x:v>
      </x:c>
      <x:c r="B13" s="6" t="str">
        <x:v>ナイト</x:v>
      </x:c>
      <x:c r="C13" s="6" t="n">
        <x:v>2220000</x:v>
      </x:c>
      <x:c r="D13" s="6" t="n">
        <x:v>7117000</x:v>
      </x:c>
      <x:c r="E13" s="6" t="n">
        <x:f>C13-D13</x:f>
        <x:v>-4897000</x:v>
      </x:c>
      <x:c r="F13" s="6" t="n">
        <x:f>F12+E13</x:f>
        <x:v>-26257000</x:v>
      </x:c>
      <x:c r="G13" s="6" t="n">
        <x:v>1948000</x:v>
      </x:c>
      <x:c r="H13" s="6" t="n">
        <x:v>6845000</x:v>
      </x:c>
      <x:c r="I13" s="6" t="n">
        <x:v>411</x:v>
      </x:c>
      <x:c r="J13" s="6" t="n">
        <x:v>258</x:v>
      </x:c>
      <x:c r="K13" s="6" t="n">
        <x:v>351</x:v>
      </x:c>
      <x:c r="L13" s="6" t="n">
        <x:v>10</x:v>
      </x:c>
      <x:c r="M13" s="11" t="n">
        <x:v>0.6936111111111111</x:v>
      </x:c>
      <x:c r="N13" s="6" t="n">
        <x:v>4917000</x:v>
      </x:c>
    </x:row>
    <x:row r="14" ht="24" customHeight="1">
      <x:c r="A14" s="2" t="str">
        <x:v>2026-09-25_Day</x:v>
      </x:c>
      <x:c r="B14" s="6" t="str">
        <x:v>デイ</x:v>
      </x:c>
      <x:c r="C14" s="6" t="n">
        <x:v>1383000</x:v>
      </x:c>
      <x:c r="D14" s="6" t="n">
        <x:v>5360000</x:v>
      </x:c>
      <x:c r="E14" s="6" t="n">
        <x:f>C14-D14</x:f>
        <x:v>-3977000</x:v>
      </x:c>
      <x:c r="F14" s="6" t="n">
        <x:f>F13+E14</x:f>
        <x:v>-30234000</x:v>
      </x:c>
      <x:c r="G14" s="6" t="n">
        <x:v>1148000</x:v>
      </x:c>
      <x:c r="H14" s="6" t="n">
        <x:v>5125000</x:v>
      </x:c>
      <x:c r="I14" s="6" t="n">
        <x:v>286</x:v>
      </x:c>
      <x:c r="J14" s="6" t="n">
        <x:v>245</x:v>
      </x:c>
      <x:c r="K14" s="6" t="n">
        <x:v>365</x:v>
      </x:c>
      <x:c r="L14" s="6" t="n">
        <x:v>10</x:v>
      </x:c>
      <x:c r="M14" s="11" t="n">
        <x:v>0.7869047619047619</x:v>
      </x:c>
      <x:c r="N14" s="6" t="n">
        <x:v>3999000</x:v>
      </x:c>
    </x:row>
    <x:row r="15" ht="24" customHeight="1">
      <x:c r="A15" s="2" t="str">
        <x:v>2026-09-25_Night</x:v>
      </x:c>
      <x:c r="B15" s="6" t="str">
        <x:v>ナイト</x:v>
      </x:c>
      <x:c r="C15" s="6" t="n">
        <x:v>1415000</x:v>
      </x:c>
      <x:c r="D15" s="6" t="n">
        <x:v>5625000</x:v>
      </x:c>
      <x:c r="E15" s="6" t="n">
        <x:f>C15-D15</x:f>
        <x:v>-4210000</x:v>
      </x:c>
      <x:c r="F15" s="6" t="n">
        <x:f>F14+E15</x:f>
        <x:v>-34444000</x:v>
      </x:c>
      <x:c r="G15" s="6" t="n">
        <x:v>1214000</x:v>
      </x:c>
      <x:c r="H15" s="6" t="n">
        <x:v>5424000</x:v>
      </x:c>
      <x:c r="I15" s="6" t="n">
        <x:v>333</x:v>
      </x:c>
      <x:c r="J15" s="6" t="n">
        <x:v>220</x:v>
      </x:c>
      <x:c r="K15" s="6" t="n">
        <x:v>278</x:v>
      </x:c>
      <x:c r="L15" s="6" t="n">
        <x:v>10</x:v>
      </x:c>
      <x:c r="M15" s="11" t="n">
        <x:v>0.6444871794871795</x:v>
      </x:c>
      <x:c r="N15" s="6" t="n">
        <x:v>4281000</x:v>
      </x:c>
    </x:row>
    <x:row r="16" ht="24" customHeight="1">
      <x:c r="A16" s="2" t="str">
        <x:v>2026-09-28_Day</x:v>
      </x:c>
      <x:c r="B16" s="6" t="str">
        <x:v>デイ</x:v>
      </x:c>
      <x:c r="C16" s="6" t="n">
        <x:v>1596000</x:v>
      </x:c>
      <x:c r="D16" s="6" t="n">
        <x:v>7125000</x:v>
      </x:c>
      <x:c r="E16" s="6" t="n">
        <x:f>C16-D16</x:f>
        <x:v>-5529000</x:v>
      </x:c>
      <x:c r="F16" s="6" t="n">
        <x:f>F15+E16</x:f>
        <x:v>-39973000</x:v>
      </x:c>
      <x:c r="G16" s="6" t="n">
        <x:v>1392000</x:v>
      </x:c>
      <x:c r="H16" s="6" t="n">
        <x:v>6921000</x:v>
      </x:c>
      <x:c r="I16" s="6" t="n">
        <x:v>315</x:v>
      </x:c>
      <x:c r="J16" s="6" t="n">
        <x:v>208</x:v>
      </x:c>
      <x:c r="K16" s="6" t="n">
        <x:v>377</x:v>
      </x:c>
      <x:c r="L16" s="6" t="n">
        <x:v>10</x:v>
      </x:c>
      <x:c r="M16" s="11" t="n">
        <x:v>0.7783333333333333</x:v>
      </x:c>
      <x:c r="N16" s="6" t="n">
        <x:v>5660000</x:v>
      </x:c>
    </x:row>
    <x:row r="17" ht="24" customHeight="1">
      <x:c r="A17" s="2" t="str">
        <x:v>2026-09-28_Night</x:v>
      </x:c>
      <x:c r="B17" s="6" t="str">
        <x:v>ナイト</x:v>
      </x:c>
      <x:c r="C17" s="6" t="n">
        <x:v>2408000</x:v>
      </x:c>
      <x:c r="D17" s="6" t="n">
        <x:v>6204000</x:v>
      </x:c>
      <x:c r="E17" s="6" t="n">
        <x:f>C17-D17</x:f>
        <x:v>-3796000</x:v>
      </x:c>
      <x:c r="F17" s="6" t="n">
        <x:f>F16+E17</x:f>
        <x:v>-43769000</x:v>
      </x:c>
      <x:c r="G17" s="6" t="n">
        <x:v>2191000</x:v>
      </x:c>
      <x:c r="H17" s="6" t="n">
        <x:v>5987000</x:v>
      </x:c>
      <x:c r="I17" s="6" t="n">
        <x:v>375</x:v>
      </x:c>
      <x:c r="J17" s="6" t="n">
        <x:v>218</x:v>
      </x:c>
      <x:c r="K17" s="6" t="n">
        <x:v>289</x:v>
      </x:c>
      <x:c r="L17" s="6" t="n">
        <x:v>10</x:v>
      </x:c>
      <x:c r="M17" s="11" t="n">
        <x:v>0.6811538461538461</x:v>
      </x:c>
      <x:c r="N17" s="6" t="n">
        <x:v>3823000</x:v>
      </x:c>
    </x:row>
    <x:row r="18" ht="24" customHeight="1">
      <x:c r="A18" s="2" t="str">
        <x:v>2026-09-29_Day</x:v>
      </x:c>
      <x:c r="B18" s="6" t="str">
        <x:v>デイ</x:v>
      </x:c>
      <x:c r="C18" s="6" t="n">
        <x:v>2127000</x:v>
      </x:c>
      <x:c r="D18" s="6" t="n">
        <x:v>6899000</x:v>
      </x:c>
      <x:c r="E18" s="6" t="n">
        <x:f>C18-D18</x:f>
        <x:v>-4772000</x:v>
      </x:c>
      <x:c r="F18" s="6" t="n">
        <x:f>F17+E18</x:f>
        <x:v>-48541000</x:v>
      </x:c>
      <x:c r="G18" s="6" t="n">
        <x:v>1904000</x:v>
      </x:c>
      <x:c r="H18" s="6" t="n">
        <x:v>6676000</x:v>
      </x:c>
      <x:c r="I18" s="6" t="n">
        <x:v>338</x:v>
      </x:c>
      <x:c r="J18" s="6" t="n">
        <x:v>227</x:v>
      </x:c>
      <x:c r="K18" s="6" t="n">
        <x:v>390</x:v>
      </x:c>
      <x:c r="L18" s="6" t="n">
        <x:v>10</x:v>
      </x:c>
      <x:c r="M18" s="11" t="n">
        <x:v>0.7903968253968254</x:v>
      </x:c>
      <x:c r="N18" s="6" t="n">
        <x:v>4777000</x:v>
      </x:c>
    </x:row>
    <x:row r="19" ht="24" customHeight="1">
      <x:c r="A19" s="2" t="str">
        <x:v>2026-09-29_Night</x:v>
      </x:c>
      <x:c r="B19" s="6" t="str">
        <x:v>ナイト</x:v>
      </x:c>
      <x:c r="C19" s="6" t="n">
        <x:v>1464000</x:v>
      </x:c>
      <x:c r="D19" s="6" t="n">
        <x:v>6367000</x:v>
      </x:c>
      <x:c r="E19" s="6" t="n">
        <x:f>C19-D19</x:f>
        <x:v>-4903000</x:v>
      </x:c>
      <x:c r="F19" s="6" t="n">
        <x:f>F18+E19</x:f>
        <x:v>-53444000</x:v>
      </x:c>
      <x:c r="G19" s="6" t="n">
        <x:v>1227000</x:v>
      </x:c>
      <x:c r="H19" s="6" t="n">
        <x:v>6130000</x:v>
      </x:c>
      <x:c r="I19" s="6" t="n">
        <x:v>377</x:v>
      </x:c>
      <x:c r="J19" s="6" t="n">
        <x:v>241</x:v>
      </x:c>
      <x:c r="K19" s="6" t="n">
        <x:v>320</x:v>
      </x:c>
      <x:c r="L19" s="6" t="n">
        <x:v>10</x:v>
      </x:c>
      <x:c r="M19" s="11" t="n">
        <x:v>0.6633547008547008</x:v>
      </x:c>
      <x:c r="N19" s="6" t="n">
        <x:v>4904000</x:v>
      </x:c>
    </x:row>
    <x:row r="20" ht="24" customHeight="1">
      <x:c r="A20" s="2" t="str">
        <x:v>2026-09-30_Day</x:v>
      </x:c>
      <x:c r="B20" s="6" t="str">
        <x:v>デイ</x:v>
      </x:c>
      <x:c r="C20" s="6" t="n">
        <x:v>1693000</x:v>
      </x:c>
      <x:c r="D20" s="6" t="n">
        <x:v>5832000</x:v>
      </x:c>
      <x:c r="E20" s="6" t="n">
        <x:f>C20-D20</x:f>
        <x:v>-4139000</x:v>
      </x:c>
      <x:c r="F20" s="6" t="n">
        <x:f>F19+E20</x:f>
        <x:v>-57583000</x:v>
      </x:c>
      <x:c r="G20" s="6" t="n">
        <x:v>1496000</x:v>
      </x:c>
      <x:c r="H20" s="6" t="n">
        <x:v>5635000</x:v>
      </x:c>
      <x:c r="I20" s="6" t="n">
        <x:v>291</x:v>
      </x:c>
      <x:c r="J20" s="6" t="n">
        <x:v>231</x:v>
      </x:c>
      <x:c r="K20" s="6" t="n">
        <x:v>405</x:v>
      </x:c>
      <x:c r="L20" s="6" t="n">
        <x:v>10</x:v>
      </x:c>
      <x:c r="M20" s="11" t="n">
        <x:v>0.8065476190476191</x:v>
      </x:c>
      <x:c r="N20" s="6" t="n">
        <x:v>4188000</x:v>
      </x:c>
    </x:row>
    <x:row r="21" ht="24" customHeight="1">
      <x:c r="A21" s="2" t="str">
        <x:v>2026-09-30_Night</x:v>
      </x:c>
      <x:c r="B21" s="6" t="str">
        <x:v>ナイト</x:v>
      </x:c>
      <x:c r="C21" s="6" t="n">
        <x:v>2023000</x:v>
      </x:c>
      <x:c r="D21" s="6" t="n">
        <x:v>7263000</x:v>
      </x:c>
      <x:c r="E21" s="6" t="n">
        <x:f>C21-D21</x:f>
        <x:v>-5240000</x:v>
      </x:c>
      <x:c r="F21" s="6" t="n">
        <x:f>F20+E21</x:f>
        <x:v>-62823000</x:v>
      </x:c>
      <x:c r="G21" s="6" t="n">
        <x:v>1776000</x:v>
      </x:c>
      <x:c r="H21" s="6" t="n">
        <x:v>7016000</x:v>
      </x:c>
      <x:c r="I21" s="6" t="n">
        <x:v>399</x:v>
      </x:c>
      <x:c r="J21" s="6" t="n">
        <x:v>262</x:v>
      </x:c>
      <x:c r="K21" s="6" t="n">
        <x:v>375</x:v>
      </x:c>
      <x:c r="L21" s="6" t="n">
        <x:v>10</x:v>
      </x:c>
      <x:c r="M21" s="11" t="n">
        <x:v>0.7361965811965812</x:v>
      </x:c>
      <x:c r="N21" s="6" t="n">
        <x:v>5350000</x:v>
      </x:c>
    </x:row>
    <x:row r="22" ht="24" customHeight="1">
      <x:c r="A22" s="2" t="str">
        <x:v>2026-10-01_Day</x:v>
      </x:c>
      <x:c r="B22" s="6" t="str">
        <x:v>デイ</x:v>
      </x:c>
      <x:c r="C22" s="6" t="n">
        <x:v>1995000</x:v>
      </x:c>
      <x:c r="D22" s="6" t="n">
        <x:v>5242000</x:v>
      </x:c>
      <x:c r="E22" s="6" t="n">
        <x:f>C22-D22</x:f>
        <x:v>-3247000</x:v>
      </x:c>
      <x:c r="F22" s="6" t="n">
        <x:f>F21+E22</x:f>
        <x:v>-66070000</x:v>
      </x:c>
      <x:c r="G22" s="6" t="n">
        <x:v>1744000</x:v>
      </x:c>
      <x:c r="H22" s="6" t="n">
        <x:v>4991000</x:v>
      </x:c>
      <x:c r="I22" s="6" t="n">
        <x:v>290</x:v>
      </x:c>
      <x:c r="J22" s="6" t="n">
        <x:v>257</x:v>
      </x:c>
      <x:c r="K22" s="6" t="n">
        <x:v>419</x:v>
      </x:c>
      <x:c r="L22" s="6" t="n">
        <x:v>10</x:v>
      </x:c>
      <x:c r="M22" s="11" t="n">
        <x:v>0.8090873015873016</x:v>
      </x:c>
      <x:c r="N22" s="6" t="n">
        <x:v>3362000</x:v>
      </x:c>
    </x:row>
    <x:row r="23" ht="24" customHeight="1">
      <x:c r="A23" s="2" t="str">
        <x:v>2026-10-01_Night</x:v>
      </x:c>
      <x:c r="B23" s="6" t="str">
        <x:v>ナイト</x:v>
      </x:c>
      <x:c r="C23" s="6" t="n">
        <x:v>2595000</x:v>
      </x:c>
      <x:c r="D23" s="6" t="n">
        <x:v>9709000</x:v>
      </x:c>
      <x:c r="E23" s="6" t="n">
        <x:f>C23-D23</x:f>
        <x:v>-7114000</x:v>
      </x:c>
      <x:c r="F23" s="6" t="n">
        <x:f>F22+E23</x:f>
        <x:v>-73184000</x:v>
      </x:c>
      <x:c r="G23" s="6" t="n">
        <x:v>2365000</x:v>
      </x:c>
      <x:c r="H23" s="6" t="n">
        <x:v>9479000</x:v>
      </x:c>
      <x:c r="I23" s="6" t="n">
        <x:v>466</x:v>
      </x:c>
      <x:c r="J23" s="6" t="n">
        <x:v>262</x:v>
      </x:c>
      <x:c r="K23" s="6" t="n">
        <x:v>415</x:v>
      </x:c>
      <x:c r="L23" s="6" t="n">
        <x:v>10</x:v>
      </x:c>
      <x:c r="M23" s="11" t="n">
        <x:v>0.724465811965812</x:v>
      </x:c>
      <x:c r="N23" s="6" t="n">
        <x:v>7117000</x:v>
      </x:c>
    </x:row>
    <x:row r="24" ht="24" customHeight="1">
      <x:c r="A24" s="2" t="str">
        <x:v>2026-10-02_Day</x:v>
      </x:c>
      <x:c r="B24" s="6" t="str">
        <x:v>デイ</x:v>
      </x:c>
      <x:c r="C24" s="6" t="n">
        <x:v>1635000</x:v>
      </x:c>
      <x:c r="D24" s="6" t="n">
        <x:v>6185000</x:v>
      </x:c>
      <x:c r="E24" s="6" t="n">
        <x:f>C24-D24</x:f>
        <x:v>-4550000</x:v>
      </x:c>
      <x:c r="F24" s="6" t="n">
        <x:f>F23+E24</x:f>
        <x:v>-77734000</x:v>
      </x:c>
      <x:c r="G24" s="6" t="n">
        <x:v>1433000</x:v>
      </x:c>
      <x:c r="H24" s="6" t="n">
        <x:v>5983000</x:v>
      </x:c>
      <x:c r="I24" s="6" t="n">
        <x:v>272</x:v>
      </x:c>
      <x:c r="J24" s="6" t="n">
        <x:v>249</x:v>
      </x:c>
      <x:c r="K24" s="6" t="n">
        <x:v>401</x:v>
      </x:c>
      <x:c r="L24" s="6" t="n">
        <x:v>10</x:v>
      </x:c>
      <x:c r="M24" s="11" t="n">
        <x:v>0.8075793650793651</x:v>
      </x:c>
      <x:c r="N24" s="6" t="n">
        <x:v>4567000</x:v>
      </x:c>
    </x:row>
    <x:row r="25" ht="24" customHeight="1">
      <x:c r="A25" s="2" t="str">
        <x:v>2026-10-02_Night</x:v>
      </x:c>
      <x:c r="B25" s="6" t="str">
        <x:v>ナイト</x:v>
      </x:c>
      <x:c r="C25" s="6" t="n">
        <x:v>2031000</x:v>
      </x:c>
      <x:c r="D25" s="6" t="n">
        <x:v>8086000</x:v>
      </x:c>
      <x:c r="E25" s="6" t="n">
        <x:f>C25-D25</x:f>
        <x:v>-6055000</x:v>
      </x:c>
      <x:c r="F25" s="6" t="n">
        <x:f>F24+E25</x:f>
        <x:v>-83789000</x:v>
      </x:c>
      <x:c r="G25" s="6" t="n">
        <x:v>1739000</x:v>
      </x:c>
      <x:c r="H25" s="6" t="n">
        <x:v>7794000</x:v>
      </x:c>
      <x:c r="I25" s="6" t="n">
        <x:v>456</x:v>
      </x:c>
      <x:c r="J25" s="6" t="n">
        <x:v>303</x:v>
      </x:c>
      <x:c r="K25" s="6" t="n">
        <x:v>418</x:v>
      </x:c>
      <x:c r="L25" s="6" t="n">
        <x:v>10</x:v>
      </x:c>
      <x:c r="M25" s="11" t="n">
        <x:v>0.7143376068376068</x:v>
      </x:c>
      <x:c r="N25" s="6" t="n">
        <x:v>6095000</x:v>
      </x:c>
    </x:row>
    <x:row r="26" ht="24" customHeight="1">
      <x:c r="A26" s="2" t="str">
        <x:v>2026-10-05_Day</x:v>
      </x:c>
      <x:c r="B26" s="6" t="str">
        <x:v>デイ</x:v>
      </x:c>
      <x:c r="C26" s="6" t="n">
        <x:v>1162000</x:v>
      </x:c>
      <x:c r="D26" s="6" t="n">
        <x:v>5570000</x:v>
      </x:c>
      <x:c r="E26" s="6" t="n">
        <x:f>C26-D26</x:f>
        <x:v>-4408000</x:v>
      </x:c>
      <x:c r="F26" s="6" t="n">
        <x:f>F25+E26</x:f>
        <x:v>-88197000</x:v>
      </x:c>
      <x:c r="G26" s="6" t="n">
        <x:v>967000</x:v>
      </x:c>
      <x:c r="H26" s="6" t="n">
        <x:v>5375000</x:v>
      </x:c>
      <x:c r="I26" s="6" t="n">
        <x:v>281</x:v>
      </x:c>
      <x:c r="J26" s="6" t="n">
        <x:v>272</x:v>
      </x:c>
      <x:c r="K26" s="6" t="n">
        <x:v>421</x:v>
      </x:c>
      <x:c r="L26" s="6" t="n">
        <x:v>10</x:v>
      </x:c>
      <x:c r="M26" s="11" t="n">
        <x:v>0.7999603174603175</x:v>
      </x:c>
      <x:c r="N26" s="6" t="n">
        <x:v>4417000</x:v>
      </x:c>
    </x:row>
    <x:row r="27" ht="24" customHeight="1">
      <x:c r="A27" s="2" t="str">
        <x:v>2026-10-05_Night</x:v>
      </x:c>
      <x:c r="B27" s="6" t="str">
        <x:v>ナイト</x:v>
      </x:c>
      <x:c r="C27" s="6" t="n">
        <x:v>1225000</x:v>
      </x:c>
      <x:c r="D27" s="6" t="n">
        <x:v>5280000</x:v>
      </x:c>
      <x:c r="E27" s="6" t="n">
        <x:f>C27-D27</x:f>
        <x:v>-4055000</x:v>
      </x:c>
      <x:c r="F27" s="6" t="n">
        <x:f>F26+E27</x:f>
        <x:v>-92252000</x:v>
      </x:c>
      <x:c r="G27" s="6" t="n">
        <x:v>990000</x:v>
      </x:c>
      <x:c r="H27" s="6" t="n">
        <x:v>5045000</x:v>
      </x:c>
      <x:c r="I27" s="6" t="n">
        <x:v>370</x:v>
      </x:c>
      <x:c r="J27" s="6" t="n">
        <x:v>240</x:v>
      </x:c>
      <x:c r="K27" s="6" t="n">
        <x:v>325</x:v>
      </x:c>
      <x:c r="L27" s="6" t="n">
        <x:v>10</x:v>
      </x:c>
      <x:c r="M27" s="11" t="n">
        <x:v>0.7009401709401709</x:v>
      </x:c>
      <x:c r="N27" s="6" t="n">
        <x:v>4122000</x:v>
      </x:c>
    </x:row>
    <x:row r="28" ht="24" customHeight="1">
      <x:c r="A28" s="2" t="str">
        <x:v>2026-10-06_Day</x:v>
      </x:c>
      <x:c r="B28" s="6" t="str">
        <x:v>デイ</x:v>
      </x:c>
      <x:c r="C28" s="6" t="n">
        <x:v>1170000</x:v>
      </x:c>
      <x:c r="D28" s="6" t="n">
        <x:v>4484000</x:v>
      </x:c>
      <x:c r="E28" s="6" t="n">
        <x:f>C28-D28</x:f>
        <x:v>-3314000</x:v>
      </x:c>
      <x:c r="F28" s="6" t="n">
        <x:f>F27+E28</x:f>
        <x:v>-95566000</x:v>
      </x:c>
      <x:c r="G28" s="6" t="n">
        <x:v>965000</x:v>
      </x:c>
      <x:c r="H28" s="6" t="n">
        <x:v>4279000</x:v>
      </x:c>
      <x:c r="I28" s="6" t="n">
        <x:v>266</x:v>
      </x:c>
      <x:c r="J28" s="6" t="n">
        <x:v>236</x:v>
      </x:c>
      <x:c r="K28" s="6" t="n">
        <x:v>378</x:v>
      </x:c>
      <x:c r="L28" s="6" t="n">
        <x:v>10</x:v>
      </x:c>
      <x:c r="M28" s="11" t="n">
        <x:v>0.7941666666666667</x:v>
      </x:c>
      <x:c r="N28" s="6" t="n">
        <x:v>3398000</x:v>
      </x:c>
    </x:row>
    <x:row r="29" ht="24" customHeight="1">
      <x:c r="A29" s="2" t="str">
        <x:v>2026-10-06_Night</x:v>
      </x:c>
      <x:c r="B29" s="6" t="str">
        <x:v>ナイト</x:v>
      </x:c>
      <x:c r="C29" s="6" t="n">
        <x:v>853000</x:v>
      </x:c>
      <x:c r="D29" s="6" t="n">
        <x:v>4503000</x:v>
      </x:c>
      <x:c r="E29" s="6" t="n">
        <x:f>C29-D29</x:f>
        <x:v>-3650000</x:v>
      </x:c>
      <x:c r="F29" s="6" t="n">
        <x:f>F28+E29</x:f>
        <x:v>-99216000</x:v>
      </x:c>
      <x:c r="G29" s="6" t="n">
        <x:v>611000</x:v>
      </x:c>
      <x:c r="H29" s="6" t="n">
        <x:v>4261000</x:v>
      </x:c>
      <x:c r="I29" s="6" t="n">
        <x:v>310</x:v>
      </x:c>
      <x:c r="J29" s="6" t="n">
        <x:v>276</x:v>
      </x:c>
      <x:c r="K29" s="6" t="n">
        <x:v>323</x:v>
      </x:c>
      <x:c r="L29" s="6" t="n">
        <x:v>10</x:v>
      </x:c>
      <x:c r="M29" s="11" t="n">
        <x:v>0.6582478632478632</x:v>
      </x:c>
      <x:c r="N29" s="6" t="n">
        <x:v>3670000</x:v>
      </x:c>
    </x:row>
    <x:row r="30" ht="24" customHeight="1">
      <x:c r="A30" s="2" t="str">
        <x:v>2026-10-07_Day</x:v>
      </x:c>
      <x:c r="B30" s="6" t="str">
        <x:v>デイ</x:v>
      </x:c>
      <x:c r="C30" s="6" t="n">
        <x:v>872000</x:v>
      </x:c>
      <x:c r="D30" s="6" t="n">
        <x:v>4343000</x:v>
      </x:c>
      <x:c r="E30" s="6" t="n">
        <x:f>C30-D30</x:f>
        <x:v>-3471000</x:v>
      </x:c>
      <x:c r="F30" s="6" t="n">
        <x:f>F29+E30</x:f>
        <x:v>-102687000</x:v>
      </x:c>
      <x:c r="G30" s="6" t="n">
        <x:v>636000</x:v>
      </x:c>
      <x:c r="H30" s="6" t="n">
        <x:v>4107000</x:v>
      </x:c>
      <x:c r="I30" s="6" t="n">
        <x:v>265</x:v>
      </x:c>
      <x:c r="J30" s="6" t="n">
        <x:v>262</x:v>
      </x:c>
      <x:c r="K30" s="6" t="n">
        <x:v>386</x:v>
      </x:c>
      <x:c r="L30" s="6" t="n">
        <x:v>10</x:v>
      </x:c>
      <x:c r="M30" s="11" t="n">
        <x:v>0.7864285714285715</x:v>
      </x:c>
      <x:c r="N30" s="6" t="n">
        <x:v>3481000</x:v>
      </x:c>
    </x:row>
    <x:row r="31" ht="24" customHeight="1">
      <x:c r="A31" s="2" t="str">
        <x:v>2026-10-07_Night</x:v>
      </x:c>
      <x:c r="B31" s="6" t="str">
        <x:v>ナイト</x:v>
      </x:c>
      <x:c r="C31" s="6" t="n">
        <x:v>1167000</x:v>
      </x:c>
      <x:c r="D31" s="6" t="n">
        <x:v>6008000</x:v>
      </x:c>
      <x:c r="E31" s="6" t="n">
        <x:f>C31-D31</x:f>
        <x:v>-4841000</x:v>
      </x:c>
      <x:c r="F31" s="6" t="n">
        <x:f>F30+E31</x:f>
        <x:v>-107528000</x:v>
      </x:c>
      <x:c r="G31" s="6" t="n">
        <x:v>878000</x:v>
      </x:c>
      <x:c r="H31" s="6" t="n">
        <x:v>5719000</x:v>
      </x:c>
      <x:c r="I31" s="6" t="n">
        <x:v>384</x:v>
      </x:c>
      <x:c r="J31" s="6" t="n">
        <x:v>313</x:v>
      </x:c>
      <x:c r="K31" s="6" t="n">
        <x:v>451</x:v>
      </x:c>
      <x:c r="L31" s="6" t="n">
        <x:v>10</x:v>
      </x:c>
      <x:c r="M31" s="11" t="n">
        <x:v>0.6956196581196581</x:v>
      </x:c>
      <x:c r="N31" s="6" t="n">
        <x:v>4851000</x:v>
      </x:c>
    </x:row>
    <x:row r="32" ht="24" customHeight="1">
      <x:c r="A32" s="2" t="str">
        <x:v>2026-10-08_Day</x:v>
      </x:c>
      <x:c r="B32" s="6" t="str">
        <x:v>デイ</x:v>
      </x:c>
      <x:c r="C32" s="6" t="n">
        <x:v>1701000</x:v>
      </x:c>
      <x:c r="D32" s="6" t="n">
        <x:v>5571000</x:v>
      </x:c>
      <x:c r="E32" s="6" t="n">
        <x:f>C32-D32</x:f>
        <x:v>-3870000</x:v>
      </x:c>
      <x:c r="F32" s="6" t="n">
        <x:f>F31+E32</x:f>
        <x:v>-111398000</x:v>
      </x:c>
      <x:c r="G32" s="6" t="n">
        <x:v>1502000</x:v>
      </x:c>
      <x:c r="H32" s="6" t="n">
        <x:v>5372000</x:v>
      </x:c>
      <x:c r="I32" s="6" t="n">
        <x:v>273</x:v>
      </x:c>
      <x:c r="J32" s="6" t="n">
        <x:v>247</x:v>
      </x:c>
      <x:c r="K32" s="6" t="n">
        <x:v>393</x:v>
      </x:c>
      <x:c r="L32" s="6" t="n">
        <x:v>10</x:v>
      </x:c>
      <x:c r="M32" s="11" t="n">
        <x:v>0.8026587301587301</x:v>
      </x:c>
      <x:c r="N32" s="6" t="n">
        <x:v>3882000</x:v>
      </x:c>
    </x:row>
    <x:row r="33" ht="24" customHeight="1">
      <x:c r="A33" s="2" t="str">
        <x:v>2026-10-08_Night</x:v>
      </x:c>
      <x:c r="B33" s="6" t="str">
        <x:v>ナイト</x:v>
      </x:c>
      <x:c r="C33" s="6" t="n">
        <x:v>2713000</x:v>
      </x:c>
      <x:c r="D33" s="6" t="n">
        <x:v>8952000</x:v>
      </x:c>
      <x:c r="E33" s="6" t="n">
        <x:f>C33-D33</x:f>
        <x:v>-6239000</x:v>
      </x:c>
      <x:c r="F33" s="6" t="n">
        <x:f>F32+E33</x:f>
        <x:v>-117637000</x:v>
      </x:c>
      <x:c r="G33" s="6" t="n">
        <x:v>2409000</x:v>
      </x:c>
      <x:c r="H33" s="6" t="n">
        <x:v>8648000</x:v>
      </x:c>
      <x:c r="I33" s="6" t="n">
        <x:v>453</x:v>
      </x:c>
      <x:c r="J33" s="6" t="n">
        <x:v>279</x:v>
      </x:c>
      <x:c r="K33" s="6" t="n">
        <x:v>401</x:v>
      </x:c>
      <x:c r="L33" s="6" t="n">
        <x:v>10</x:v>
      </x:c>
      <x:c r="M33" s="11" t="n">
        <x:v>0.7492307692307693</x:v>
      </x:c>
      <x:c r="N33" s="6" t="n">
        <x:v>6329000</x:v>
      </x:c>
    </x:row>
    <x:row r="34" ht="24" customHeight="1">
      <x:c r="A34" s="2" t="str">
        <x:v>2026-10-09_Day</x:v>
      </x:c>
      <x:c r="B34" s="6" t="str">
        <x:v>デイ</x:v>
      </x:c>
      <x:c r="C34" s="6" t="n">
        <x:v>2081000</x:v>
      </x:c>
      <x:c r="D34" s="6" t="n">
        <x:v>5468000</x:v>
      </x:c>
      <x:c r="E34" s="6" t="n">
        <x:f>C34-D34</x:f>
        <x:v>-3387000</x:v>
      </x:c>
      <x:c r="F34" s="6" t="n">
        <x:f>F33+E34</x:f>
        <x:v>-121024000</x:v>
      </x:c>
      <x:c r="G34" s="6" t="n">
        <x:v>1870000</x:v>
      </x:c>
      <x:c r="H34" s="6" t="n">
        <x:v>5257000</x:v>
      </x:c>
      <x:c r="I34" s="6" t="n">
        <x:v>259</x:v>
      </x:c>
      <x:c r="J34" s="6" t="n">
        <x:v>233</x:v>
      </x:c>
      <x:c r="K34" s="6" t="n">
        <x:v>364</x:v>
      </x:c>
      <x:c r="L34" s="6" t="n">
        <x:v>10</x:v>
      </x:c>
      <x:c r="M34" s="11" t="n">
        <x:v>0.8028174603174603</x:v>
      </x:c>
      <x:c r="N34" s="6" t="n">
        <x:v>3387000</x:v>
      </x:c>
    </x:row>
    <x:row r="35" ht="24" customHeight="1">
      <x:c r="A35" s="2" t="str">
        <x:v>2026-10-09_Night</x:v>
      </x:c>
      <x:c r="B35" s="6" t="str">
        <x:v>ナイト</x:v>
      </x:c>
      <x:c r="C35" s="6" t="n">
        <x:v>1000000</x:v>
      </x:c>
      <x:c r="D35" s="6" t="n">
        <x:v>4665000</x:v>
      </x:c>
      <x:c r="E35" s="6" t="n">
        <x:f>C35-D35</x:f>
        <x:v>-3665000</x:v>
      </x:c>
      <x:c r="F35" s="6" t="n">
        <x:f>F34+E35</x:f>
        <x:v>-124689000</x:v>
      </x:c>
      <x:c r="G35" s="6" t="n">
        <x:v>816000</x:v>
      </x:c>
      <x:c r="H35" s="6" t="n">
        <x:v>4481000</x:v>
      </x:c>
      <x:c r="I35" s="6" t="n">
        <x:v>303</x:v>
      </x:c>
      <x:c r="J35" s="6" t="n">
        <x:v>212</x:v>
      </x:c>
      <x:c r="K35" s="6" t="n">
        <x:v>254</x:v>
      </x:c>
      <x:c r="L35" s="6" t="n">
        <x:v>10</x:v>
      </x:c>
      <x:c r="M35" s="11" t="n">
        <x:v>0.6921581196581197</x:v>
      </x:c>
      <x:c r="N35" s="6" t="n">
        <x:v>3752000</x:v>
      </x:c>
    </x:row>
    <x:row r="36" ht="24" customHeight="1">
      <x:c r="A36" s="2" t="str">
        <x:v>2026-10-12_Day</x:v>
      </x:c>
      <x:c r="B36" s="6" t="str">
        <x:v>デイ</x:v>
      </x:c>
      <x:c r="C36" s="6" t="n">
        <x:v>492000</x:v>
      </x:c>
      <x:c r="D36" s="6" t="n">
        <x:v>2628000</x:v>
      </x:c>
      <x:c r="E36" s="6" t="n">
        <x:f>C36-D36</x:f>
        <x:v>-2136000</x:v>
      </x:c>
      <x:c r="F36" s="6" t="n">
        <x:f>F35+E36</x:f>
        <x:v>-126825000</x:v>
      </x:c>
      <x:c r="G36" s="6" t="n">
        <x:v>389000</x:v>
      </x:c>
      <x:c r="H36" s="6" t="n">
        <x:v>2525000</x:v>
      </x:c>
      <x:c r="I36" s="6" t="n">
        <x:v>169</x:v>
      </x:c>
      <x:c r="J36" s="6" t="n">
        <x:v>98</x:v>
      </x:c>
      <x:c r="K36" s="6" t="n">
        <x:v>141</x:v>
      </x:c>
      <x:c r="L36" s="6" t="n">
        <x:v>10</x:v>
      </x:c>
      <x:c r="M36" s="11" t="n">
        <x:v>0.700515873015873</x:v>
      </x:c>
      <x:c r="N36" s="6" t="n">
        <x:v>2167000</x:v>
      </x:c>
    </x:row>
    <x:row r="37" ht="24" customHeight="1">
      <x:c r="A37" s="2" t="str">
        <x:v>2026-10-12_Night</x:v>
      </x:c>
      <x:c r="B37" s="6" t="str">
        <x:v>ナイト</x:v>
      </x:c>
      <x:c r="C37" s="6" t="n">
        <x:v>788000</x:v>
      </x:c>
      <x:c r="D37" s="6" t="n">
        <x:v>3456000</x:v>
      </x:c>
      <x:c r="E37" s="6" t="n">
        <x:f>C37-D37</x:f>
        <x:v>-2668000</x:v>
      </x:c>
      <x:c r="F37" s="6" t="n">
        <x:f>F36+E37</x:f>
        <x:v>-129493000</x:v>
      </x:c>
      <x:c r="G37" s="6" t="n">
        <x:v>647000</x:v>
      </x:c>
      <x:c r="H37" s="6" t="n">
        <x:v>3315000</x:v>
      </x:c>
      <x:c r="I37" s="6" t="n">
        <x:v>236</x:v>
      </x:c>
      <x:c r="J37" s="6" t="n">
        <x:v>154</x:v>
      </x:c>
      <x:c r="K37" s="6" t="n">
        <x:v>206</x:v>
      </x:c>
      <x:c r="L37" s="6" t="n">
        <x:v>10</x:v>
      </x:c>
      <x:c r="M37" s="11" t="n">
        <x:v>0.64241452991453</x:v>
      </x:c>
      <x:c r="N37" s="6" t="n">
        <x:v>2706000</x:v>
      </x:c>
    </x:row>
    <x:row r="38" ht="24" customHeight="1">
      <x:c r="A38" s="2" t="str">
        <x:v>2026-10-13_Day</x:v>
      </x:c>
      <x:c r="B38" s="6" t="str">
        <x:v>デイ</x:v>
      </x:c>
      <x:c r="C38" s="6" t="n">
        <x:v>2287000</x:v>
      </x:c>
      <x:c r="D38" s="6" t="n">
        <x:v>6543000</x:v>
      </x:c>
      <x:c r="E38" s="6" t="n">
        <x:f>C38-D38</x:f>
        <x:v>-4256000</x:v>
      </x:c>
      <x:c r="F38" s="6" t="n">
        <x:f>F37+E38</x:f>
        <x:v>-133749000</x:v>
      </x:c>
      <x:c r="G38" s="6" t="n">
        <x:v>2040000</x:v>
      </x:c>
      <x:c r="H38" s="6" t="n">
        <x:v>6296000</x:v>
      </x:c>
      <x:c r="I38" s="6" t="n">
        <x:v>308</x:v>
      </x:c>
      <x:c r="J38" s="6" t="n">
        <x:v>233</x:v>
      </x:c>
      <x:c r="K38" s="6" t="n">
        <x:v>416</x:v>
      </x:c>
      <x:c r="L38" s="6" t="n">
        <x:v>10</x:v>
      </x:c>
      <x:c r="M38" s="11" t="n">
        <x:v>0.8047619047619048</x:v>
      </x:c>
      <x:c r="N38" s="6" t="n">
        <x:v>4263000</x:v>
      </x:c>
    </x:row>
    <x:row r="39" ht="24" customHeight="1">
      <x:c r="A39" s="2" t="str">
        <x:v>2026-10-13_Night</x:v>
      </x:c>
      <x:c r="B39" s="6" t="str">
        <x:v>ナイト</x:v>
      </x:c>
      <x:c r="C39" s="6" t="n">
        <x:v>856000</x:v>
      </x:c>
      <x:c r="D39" s="6" t="n">
        <x:v>5245000</x:v>
      </x:c>
      <x:c r="E39" s="6" t="n">
        <x:f>C39-D39</x:f>
        <x:v>-4389000</x:v>
      </x:c>
      <x:c r="F39" s="6" t="n">
        <x:f>F38+E39</x:f>
        <x:v>-138138000</x:v>
      </x:c>
      <x:c r="G39" s="6" t="n">
        <x:v>654000</x:v>
      </x:c>
      <x:c r="H39" s="6" t="n">
        <x:v>5043000</x:v>
      </x:c>
      <x:c r="I39" s="6" t="n">
        <x:v>337</x:v>
      </x:c>
      <x:c r="J39" s="6" t="n">
        <x:v>214</x:v>
      </x:c>
      <x:c r="K39" s="6" t="n">
        <x:v>305</x:v>
      </x:c>
      <x:c r="L39" s="6" t="n">
        <x:v>10</x:v>
      </x:c>
      <x:c r="M39" s="11" t="n">
        <x:v>0.6539102564102565</x:v>
      </x:c>
      <x:c r="N39" s="6" t="n">
        <x:v>4389000</x:v>
      </x:c>
    </x:row>
    <x:row r="40" ht="24" customHeight="1">
      <x:c r="A40" s="2" t="str">
        <x:v>2026-10-14_Day</x:v>
      </x:c>
      <x:c r="B40" s="6" t="str">
        <x:v>デイ</x:v>
      </x:c>
      <x:c r="C40" s="6" t="n">
        <x:v>1742000</x:v>
      </x:c>
      <x:c r="D40" s="6" t="n">
        <x:v>5922000</x:v>
      </x:c>
      <x:c r="E40" s="6" t="n">
        <x:f>C40-D40</x:f>
        <x:v>-4180000</x:v>
      </x:c>
      <x:c r="F40" s="6" t="n">
        <x:f>F39+E40</x:f>
        <x:v>-142318000</x:v>
      </x:c>
      <x:c r="G40" s="6" t="n">
        <x:v>1535000</x:v>
      </x:c>
      <x:c r="H40" s="6" t="n">
        <x:v>5715000</x:v>
      </x:c>
      <x:c r="I40" s="6" t="n">
        <x:v>298</x:v>
      </x:c>
      <x:c r="J40" s="6" t="n">
        <x:v>222</x:v>
      </x:c>
      <x:c r="K40" s="6" t="n">
        <x:v>355</x:v>
      </x:c>
      <x:c r="L40" s="6" t="n">
        <x:v>10</x:v>
      </x:c>
      <x:c r="M40" s="11" t="n">
        <x:v>0.7760317460317461</x:v>
      </x:c>
      <x:c r="N40" s="6" t="n">
        <x:v>4210000</x:v>
      </x:c>
    </x:row>
    <x:row r="41" ht="24" customHeight="1">
      <x:c r="A41" s="2" t="str">
        <x:v>2026-10-14_Night</x:v>
      </x:c>
      <x:c r="B41" s="6" t="str">
        <x:v>ナイト</x:v>
      </x:c>
      <x:c r="C41" s="6" t="n">
        <x:v>2256000</x:v>
      </x:c>
      <x:c r="D41" s="6" t="n">
        <x:v>7881000</x:v>
      </x:c>
      <x:c r="E41" s="6" t="n">
        <x:f>C41-D41</x:f>
        <x:v>-5625000</x:v>
      </x:c>
      <x:c r="F41" s="6" t="n">
        <x:f>F40+E41</x:f>
        <x:v>-147943000</x:v>
      </x:c>
      <x:c r="G41" s="6" t="n">
        <x:v>1952000</x:v>
      </x:c>
      <x:c r="H41" s="6" t="n">
        <x:v>7577000</x:v>
      </x:c>
      <x:c r="I41" s="6" t="n">
        <x:v>423</x:v>
      </x:c>
      <x:c r="J41" s="6" t="n">
        <x:v>327</x:v>
      </x:c>
      <x:c r="K41" s="6" t="n">
        <x:v>454</x:v>
      </x:c>
      <x:c r="L41" s="6" t="n">
        <x:v>10</x:v>
      </x:c>
      <x:c r="M41" s="11" t="n">
        <x:v>0.7490811965811965</x:v>
      </x:c>
      <x:c r="N41" s="6" t="n">
        <x:v>5635000</x:v>
      </x:c>
    </x:row>
    <x:row r="42" ht="24" customHeight="1">
      <x:c r="A42" s="2" t="str">
        <x:v>2026-10-15_Day</x:v>
      </x:c>
      <x:c r="B42" s="6" t="str">
        <x:v>デイ</x:v>
      </x:c>
      <x:c r="C42" s="6" t="n">
        <x:v>3901000</x:v>
      </x:c>
      <x:c r="D42" s="6" t="n">
        <x:v>8389000</x:v>
      </x:c>
      <x:c r="E42" s="6" t="n">
        <x:f>C42-D42</x:f>
        <x:v>-4488000</x:v>
      </x:c>
      <x:c r="F42" s="6" t="n">
        <x:f>F41+E42</x:f>
        <x:v>-152431000</x:v>
      </x:c>
      <x:c r="G42" s="6" t="n">
        <x:v>3691000</x:v>
      </x:c>
      <x:c r="H42" s="6" t="n">
        <x:v>8179000</x:v>
      </x:c>
      <x:c r="I42" s="6" t="n">
        <x:v>386</x:v>
      </x:c>
      <x:c r="J42" s="6" t="n">
        <x:v>208</x:v>
      </x:c>
      <x:c r="K42" s="6" t="n">
        <x:v>419</x:v>
      </x:c>
      <x:c r="L42" s="6" t="n">
        <x:v>10</x:v>
      </x:c>
      <x:c r="M42" s="11" t="n">
        <x:v>0.7852777777777777</x:v>
      </x:c>
      <x:c r="N42" s="6" t="n">
        <x:v>4528000</x:v>
      </x:c>
    </x:row>
    <x:row r="43" ht="24" customHeight="1">
      <x:c r="A43" s="2" t="str">
        <x:v>2026-10-15_Night</x:v>
      </x:c>
      <x:c r="B43" s="6" t="str">
        <x:v>ナイト</x:v>
      </x:c>
      <x:c r="C43" s="6" t="n">
        <x:v>3120000</x:v>
      </x:c>
      <x:c r="D43" s="6" t="n">
        <x:v>9227000</x:v>
      </x:c>
      <x:c r="E43" s="6" t="n">
        <x:f>C43-D43</x:f>
        <x:v>-6107000</x:v>
      </x:c>
      <x:c r="F43" s="6" t="n">
        <x:f>F42+E43</x:f>
        <x:v>-158538000</x:v>
      </x:c>
      <x:c r="G43" s="6" t="n">
        <x:v>2909000</x:v>
      </x:c>
      <x:c r="H43" s="6" t="n">
        <x:v>9016000</x:v>
      </x:c>
      <x:c r="I43" s="6" t="n">
        <x:v>499</x:v>
      </x:c>
      <x:c r="J43" s="6" t="n">
        <x:v>267</x:v>
      </x:c>
      <x:c r="K43" s="6" t="n">
        <x:v>427</x:v>
      </x:c>
      <x:c r="L43" s="6" t="n">
        <x:v>10</x:v>
      </x:c>
      <x:c r="M43" s="11" t="n">
        <x:v>0.7255769230769231</x:v>
      </x:c>
      <x:c r="N43" s="6" t="n">
        <x:v>6208000</x:v>
      </x:c>
    </x:row>
    <x:row r="44" ht="24" customHeight="1">
      <x:c r="A44" s="2" t="str">
        <x:v>2026-10-16_Day</x:v>
      </x:c>
      <x:c r="B44" s="6" t="str">
        <x:v>デイ</x:v>
      </x:c>
      <x:c r="C44" s="6" t="n">
        <x:v>2471000</x:v>
      </x:c>
      <x:c r="D44" s="6" t="n">
        <x:v>6944000</x:v>
      </x:c>
      <x:c r="E44" s="6" t="n">
        <x:f>C44-D44</x:f>
        <x:v>-4473000</x:v>
      </x:c>
      <x:c r="F44" s="6" t="n">
        <x:f>F43+E44</x:f>
        <x:v>-163011000</x:v>
      </x:c>
      <x:c r="G44" s="6" t="n">
        <x:v>2258000</x:v>
      </x:c>
      <x:c r="H44" s="6" t="n">
        <x:v>6731000</x:v>
      </x:c>
      <x:c r="I44" s="6" t="n">
        <x:v>334</x:v>
      </x:c>
      <x:c r="J44" s="6" t="n">
        <x:v>229</x:v>
      </x:c>
      <x:c r="K44" s="6" t="n">
        <x:v>376</x:v>
      </x:c>
      <x:c r="L44" s="6" t="n">
        <x:v>10</x:v>
      </x:c>
      <x:c r="M44" s="11" t="n">
        <x:v>0.7858333333333334</x:v>
      </x:c>
      <x:c r="N44" s="6" t="n">
        <x:v>4682000</x:v>
      </x:c>
    </x:row>
    <x:row r="45" ht="24" customHeight="1">
      <x:c r="A45" s="2" t="str">
        <x:v>2026-10-16_Night</x:v>
      </x:c>
      <x:c r="B45" s="6" t="str">
        <x:v>ナイト</x:v>
      </x:c>
      <x:c r="C45" s="6" t="n">
        <x:v>3007000</x:v>
      </x:c>
      <x:c r="D45" s="6" t="n">
        <x:v>10666000</x:v>
      </x:c>
      <x:c r="E45" s="6" t="n">
        <x:f>C45-D45</x:f>
        <x:v>-7659000</x:v>
      </x:c>
      <x:c r="F45" s="6" t="n">
        <x:f>F44+E45</x:f>
        <x:v>-170670000</x:v>
      </x:c>
      <x:c r="G45" s="6" t="n">
        <x:v>2740000</x:v>
      </x:c>
      <x:c r="H45" s="6" t="n">
        <x:v>10399000</x:v>
      </x:c>
      <x:c r="I45" s="6" t="n">
        <x:v>517</x:v>
      </x:c>
      <x:c r="J45" s="6" t="n">
        <x:v>258</x:v>
      </x:c>
      <x:c r="K45" s="6" t="n">
        <x:v>444</x:v>
      </x:c>
      <x:c r="L45" s="6" t="n">
        <x:v>10</x:v>
      </x:c>
      <x:c r="M45" s="11" t="n">
        <x:v>0.7403632478632478</x:v>
      </x:c>
      <x:c r="N45" s="6" t="n">
        <x:v>7749000</x:v>
      </x:c>
    </x:row>
    <x:row r="46" ht="24" customHeight="1">
      <x:c r="A46" s="2" t="str">
        <x:v>2026-10-19_Day</x:v>
      </x:c>
      <x:c r="B46" s="6" t="str">
        <x:v>デイ</x:v>
      </x:c>
      <x:c r="C46" s="6" t="n">
        <x:v>2891000</x:v>
      </x:c>
      <x:c r="D46" s="6" t="n">
        <x:v>7549000</x:v>
      </x:c>
      <x:c r="E46" s="6" t="n">
        <x:f>C46-D46</x:f>
        <x:v>-4658000</x:v>
      </x:c>
      <x:c r="F46" s="6" t="n">
        <x:f>F45+E46</x:f>
        <x:v>-175328000</x:v>
      </x:c>
      <x:c r="G46" s="6" t="n">
        <x:v>2720000</x:v>
      </x:c>
      <x:c r="H46" s="6" t="n">
        <x:v>7378000</x:v>
      </x:c>
      <x:c r="I46" s="6" t="n">
        <x:v>356</x:v>
      </x:c>
      <x:c r="J46" s="6" t="n">
        <x:v>217</x:v>
      </x:c>
      <x:c r="K46" s="6" t="n">
        <x:v>382</x:v>
      </x:c>
      <x:c r="L46" s="6" t="n">
        <x:v>10</x:v>
      </x:c>
      <x:c r="M46" s="11" t="n">
        <x:v>0.7771031746031746</x:v>
      </x:c>
      <x:c r="N46" s="6" t="n">
        <x:v>4881000</x:v>
      </x:c>
    </x:row>
    <x:row r="47" ht="24" customHeight="1">
      <x:c r="A47" s="2" t="str">
        <x:v>2026-10-19_Night</x:v>
      </x:c>
      <x:c r="B47" s="6" t="str">
        <x:v>ナイト</x:v>
      </x:c>
      <x:c r="C47" s="6" t="n">
        <x:v>2145000</x:v>
      </x:c>
      <x:c r="D47" s="6" t="n">
        <x:v>7814000</x:v>
      </x:c>
      <x:c r="E47" s="6" t="n">
        <x:f>C47-D47</x:f>
        <x:v>-5669000</x:v>
      </x:c>
      <x:c r="F47" s="6" t="n">
        <x:f>F46+E47</x:f>
        <x:v>-180997000</x:v>
      </x:c>
      <x:c r="G47" s="6" t="n">
        <x:v>1901000</x:v>
      </x:c>
      <x:c r="H47" s="6" t="n">
        <x:v>7570000</x:v>
      </x:c>
      <x:c r="I47" s="6" t="n">
        <x:v>448</x:v>
      </x:c>
      <x:c r="J47" s="6" t="n">
        <x:v>270</x:v>
      </x:c>
      <x:c r="K47" s="6" t="n">
        <x:v>415</x:v>
      </x:c>
      <x:c r="L47" s="6" t="n">
        <x:v>10</x:v>
      </x:c>
      <x:c r="M47" s="11" t="n">
        <x:v>0.7092521367521367</x:v>
      </x:c>
      <x:c r="N47" s="6" t="n">
        <x:v>5684000</x:v>
      </x:c>
    </x:row>
    <x:row r="48" ht="24" customHeight="1">
      <x:c r="A48" s="2" t="str">
        <x:v>2026-10-20_Day</x:v>
      </x:c>
      <x:c r="B48" s="6" t="str">
        <x:v>デイ</x:v>
      </x:c>
      <x:c r="C48" s="6" t="n">
        <x:v>2892000</x:v>
      </x:c>
      <x:c r="D48" s="6" t="n">
        <x:v>8201000</x:v>
      </x:c>
      <x:c r="E48" s="6" t="n">
        <x:f>C48-D48</x:f>
        <x:v>-5309000</x:v>
      </x:c>
      <x:c r="F48" s="6" t="n">
        <x:f>F47+E48</x:f>
        <x:v>-186306000</x:v>
      </x:c>
      <x:c r="G48" s="6" t="n">
        <x:v>2652000</x:v>
      </x:c>
      <x:c r="H48" s="6" t="n">
        <x:v>7961000</x:v>
      </x:c>
      <x:c r="I48" s="6" t="n">
        <x:v>362</x:v>
      </x:c>
      <x:c r="J48" s="6" t="n">
        <x:v>187</x:v>
      </x:c>
      <x:c r="K48" s="6" t="n">
        <x:v>362</x:v>
      </x:c>
      <x:c r="L48" s="6" t="n">
        <x:v>10</x:v>
      </x:c>
      <x:c r="M48" s="11" t="n">
        <x:v>0.780952380952381</x:v>
      </x:c>
      <x:c r="N48" s="6" t="n">
        <x:v>5329000</x:v>
      </x:c>
    </x:row>
    <x:row r="49" ht="24" customHeight="1">
      <x:c r="A49" s="2" t="str">
        <x:v>2026-10-20_Night</x:v>
      </x:c>
      <x:c r="B49" s="6" t="str">
        <x:v>ナイト</x:v>
      </x:c>
      <x:c r="C49" s="6" t="n">
        <x:v>3041000</x:v>
      </x:c>
      <x:c r="D49" s="6" t="n">
        <x:v>8355000</x:v>
      </x:c>
      <x:c r="E49" s="6" t="n">
        <x:f>C49-D49</x:f>
        <x:v>-5314000</x:v>
      </x:c>
      <x:c r="F49" s="6" t="n">
        <x:f>F48+E49</x:f>
        <x:v>-191620000</x:v>
      </x:c>
      <x:c r="G49" s="6" t="n">
        <x:v>2726000</x:v>
      </x:c>
      <x:c r="H49" s="6" t="n">
        <x:v>8040000</x:v>
      </x:c>
      <x:c r="I49" s="6" t="n">
        <x:v>463</x:v>
      </x:c>
      <x:c r="J49" s="6" t="n">
        <x:v>274</x:v>
      </x:c>
      <x:c r="K49" s="6" t="n">
        <x:v>412</x:v>
      </x:c>
      <x:c r="L49" s="6" t="n">
        <x:v>10</x:v>
      </x:c>
      <x:c r="M49" s="11" t="n">
        <x:v>0.7233119658119658</x:v>
      </x:c>
      <x:c r="N49" s="6" t="n">
        <x:v>5330000</x:v>
      </x:c>
    </x:row>
    <x:row r="50" ht="24" customHeight="1">
      <x:c r="A50" s="2" t="str">
        <x:v>2026-10-21_Day</x:v>
      </x:c>
      <x:c r="B50" s="6" t="str">
        <x:v>デイ</x:v>
      </x:c>
      <x:c r="C50" s="6" t="n">
        <x:v>2329000</x:v>
      </x:c>
      <x:c r="D50" s="6" t="n">
        <x:v>7410000</x:v>
      </x:c>
      <x:c r="E50" s="6" t="n">
        <x:f>C50-D50</x:f>
        <x:v>-5081000</x:v>
      </x:c>
      <x:c r="F50" s="6" t="n">
        <x:f>F49+E50</x:f>
        <x:v>-196701000</x:v>
      </x:c>
      <x:c r="G50" s="6" t="n">
        <x:v>2151000</x:v>
      </x:c>
      <x:c r="H50" s="6" t="n">
        <x:v>7232000</x:v>
      </x:c>
      <x:c r="I50" s="6" t="n">
        <x:v>348</x:v>
      </x:c>
      <x:c r="J50" s="6" t="n">
        <x:v>189</x:v>
      </x:c>
      <x:c r="K50" s="6" t="n">
        <x:v>405</x:v>
      </x:c>
      <x:c r="L50" s="6" t="n">
        <x:v>10</x:v>
      </x:c>
      <x:c r="M50" s="11" t="n">
        <x:v>0.788531746031746</x:v>
      </x:c>
      <x:c r="N50" s="6" t="n">
        <x:v>5131000</x:v>
      </x:c>
    </x:row>
    <x:row r="51" ht="24" customHeight="1">
      <x:c r="A51" s="2" t="str">
        <x:v>2026-10-21_Night</x:v>
      </x:c>
      <x:c r="B51" s="6" t="str">
        <x:v>ナイト</x:v>
      </x:c>
      <x:c r="C51" s="6" t="n">
        <x:v>2184000</x:v>
      </x:c>
      <x:c r="D51" s="6" t="n">
        <x:v>6592000</x:v>
      </x:c>
      <x:c r="E51" s="6" t="n">
        <x:f>C51-D51</x:f>
        <x:v>-4408000</x:v>
      </x:c>
      <x:c r="F51" s="6" t="n">
        <x:f>F50+E51</x:f>
        <x:v>-201109000</x:v>
      </x:c>
      <x:c r="G51" s="6" t="n">
        <x:v>1942000</x:v>
      </x:c>
      <x:c r="H51" s="6" t="n">
        <x:v>6350000</x:v>
      </x:c>
      <x:c r="I51" s="6" t="n">
        <x:v>398</x:v>
      </x:c>
      <x:c r="J51" s="6" t="n">
        <x:v>268</x:v>
      </x:c>
      <x:c r="K51" s="6" t="n">
        <x:v>389</x:v>
      </x:c>
      <x:c r="L51" s="6" t="n">
        <x:v>10</x:v>
      </x:c>
      <x:c r="M51" s="11" t="n">
        <x:v>0.6993803418803419</x:v>
      </x:c>
      <x:c r="N51" s="6" t="n">
        <x:v>4409000</x:v>
      </x:c>
    </x:row>
    <x:row r="52" ht="24" customHeight="1">
      <x:c r="A52" s="2" t="str">
        <x:v>2026-10-22_Day</x:v>
      </x:c>
      <x:c r="B52" s="6" t="str">
        <x:v>デイ</x:v>
      </x:c>
      <x:c r="C52" s="6" t="n">
        <x:v>2557000</x:v>
      </x:c>
      <x:c r="D52" s="6" t="n">
        <x:v>7444000</x:v>
      </x:c>
      <x:c r="E52" s="6" t="n">
        <x:f>C52-D52</x:f>
        <x:v>-4887000</x:v>
      </x:c>
      <x:c r="F52" s="6" t="n">
        <x:f>F51+E52</x:f>
        <x:v>-205996000</x:v>
      </x:c>
      <x:c r="G52" s="6" t="n">
        <x:v>2364000</x:v>
      </x:c>
      <x:c r="H52" s="6" t="n">
        <x:v>7251000</x:v>
      </x:c>
      <x:c r="I52" s="6" t="n">
        <x:v>348</x:v>
      </x:c>
      <x:c r="J52" s="6" t="n">
        <x:v>218</x:v>
      </x:c>
      <x:c r="K52" s="6" t="n">
        <x:v>391</x:v>
      </x:c>
      <x:c r="L52" s="6" t="n">
        <x:v>10</x:v>
      </x:c>
      <x:c r="M52" s="11" t="n">
        <x:v>0.7931349206349206</x:v>
      </x:c>
      <x:c r="N52" s="6" t="n">
        <x:v>5092000</x:v>
      </x:c>
    </x:row>
    <x:row r="53" ht="24" customHeight="1">
      <x:c r="A53" s="2" t="str">
        <x:v>2026-10-22_Night</x:v>
      </x:c>
      <x:c r="B53" s="6" t="str">
        <x:v>ナイト</x:v>
      </x:c>
      <x:c r="C53" s="6" t="n">
        <x:v>2669000</x:v>
      </x:c>
      <x:c r="D53" s="6" t="n">
        <x:v>8716000</x:v>
      </x:c>
      <x:c r="E53" s="6" t="n">
        <x:f>C53-D53</x:f>
        <x:v>-6047000</x:v>
      </x:c>
      <x:c r="F53" s="6" t="n">
        <x:f>F52+E53</x:f>
        <x:v>-212043000</x:v>
      </x:c>
      <x:c r="G53" s="6" t="n">
        <x:v>2296000</x:v>
      </x:c>
      <x:c r="H53" s="6" t="n">
        <x:v>8343000</x:v>
      </x:c>
      <x:c r="I53" s="6" t="n">
        <x:v>484</x:v>
      </x:c>
      <x:c r="J53" s="6" t="n">
        <x:v>264</x:v>
      </x:c>
      <x:c r="K53" s="6" t="n">
        <x:v>459</x:v>
      </x:c>
      <x:c r="L53" s="6" t="n">
        <x:v>10</x:v>
      </x:c>
      <x:c r="M53" s="11" t="n">
        <x:v>0.7301495726495727</x:v>
      </x:c>
      <x:c r="N53" s="6" t="n">
        <x:v>6087000</x:v>
      </x:c>
    </x:row>
    <x:row r="54" ht="24" customHeight="1">
      <x:c r="A54" s="2" t="str">
        <x:v>2026-10-23_Day</x:v>
      </x:c>
      <x:c r="B54" s="6" t="str">
        <x:v>デイ</x:v>
      </x:c>
      <x:c r="C54" s="6" t="n">
        <x:v>4479000</x:v>
      </x:c>
      <x:c r="D54" s="6" t="n">
        <x:v>10520000</x:v>
      </x:c>
      <x:c r="E54" s="6" t="n">
        <x:f>C54-D54</x:f>
        <x:v>-6041000</x:v>
      </x:c>
      <x:c r="F54" s="6" t="n">
        <x:f>F53+E54</x:f>
        <x:v>-218084000</x:v>
      </x:c>
      <x:c r="G54" s="6" t="n">
        <x:v>4274000</x:v>
      </x:c>
      <x:c r="H54" s="6" t="n">
        <x:v>10315000</x:v>
      </x:c>
      <x:c r="I54" s="6" t="n">
        <x:v>430</x:v>
      </x:c>
      <x:c r="J54" s="6" t="n">
        <x:v>183</x:v>
      </x:c>
      <x:c r="K54" s="6" t="n">
        <x:v>347</x:v>
      </x:c>
      <x:c r="L54" s="6" t="n">
        <x:v>10</x:v>
      </x:c>
      <x:c r="M54" s="11" t="n">
        <x:v>0.7757142857142857</x:v>
      </x:c>
      <x:c r="N54" s="6" t="n">
        <x:v>6174000</x:v>
      </x:c>
    </x:row>
    <x:row r="55" ht="24" customHeight="1">
      <x:c r="A55" s="2" t="str">
        <x:v>2026-10-23_Night</x:v>
      </x:c>
      <x:c r="B55" s="6" t="str">
        <x:v>ナイト</x:v>
      </x:c>
      <x:c r="C55" s="6" t="n">
        <x:v>2629000</x:v>
      </x:c>
      <x:c r="D55" s="6" t="n">
        <x:v>8407000</x:v>
      </x:c>
      <x:c r="E55" s="6" t="n">
        <x:f>C55-D55</x:f>
        <x:v>-5778000</x:v>
      </x:c>
      <x:c r="F55" s="6" t="n">
        <x:f>F54+E55</x:f>
        <x:v>-223862000</x:v>
      </x:c>
      <x:c r="G55" s="6" t="n">
        <x:v>2377000</x:v>
      </x:c>
      <x:c r="H55" s="6" t="n">
        <x:v>8155000</x:v>
      </x:c>
      <x:c r="I55" s="6" t="n">
        <x:v>476</x:v>
      </x:c>
      <x:c r="J55" s="6" t="n">
        <x:v>283</x:v>
      </x:c>
      <x:c r="K55" s="6" t="n">
        <x:v>443</x:v>
      </x:c>
      <x:c r="L55" s="6" t="n">
        <x:v>10</x:v>
      </x:c>
      <x:c r="M55" s="11" t="n">
        <x:v>0.7515598290598291</x:v>
      </x:c>
      <x:c r="N55" s="6" t="n">
        <x:v>5778000</x:v>
      </x:c>
    </x:row>
    <x:row r="56" ht="24" customHeight="1">
      <x:c r="A56" s="2" t="str">
        <x:v>2026-10-26_Day</x:v>
      </x:c>
      <x:c r="B56" s="6" t="str">
        <x:v>デイ</x:v>
      </x:c>
      <x:c r="C56" s="6" t="n">
        <x:v>2703000</x:v>
      </x:c>
      <x:c r="D56" s="6" t="n">
        <x:v>8294000</x:v>
      </x:c>
      <x:c r="E56" s="6" t="n">
        <x:f>C56-D56</x:f>
        <x:v>-5591000</x:v>
      </x:c>
      <x:c r="F56" s="6" t="n">
        <x:f>F55+E56</x:f>
        <x:v>-229453000</x:v>
      </x:c>
      <x:c r="G56" s="6" t="n">
        <x:v>2460000</x:v>
      </x:c>
      <x:c r="H56" s="6" t="n">
        <x:v>8051000</x:v>
      </x:c>
      <x:c r="I56" s="6" t="n">
        <x:v>362</x:v>
      </x:c>
      <x:c r="J56" s="6" t="n">
        <x:v>181</x:v>
      </x:c>
      <x:c r="K56" s="6" t="n">
        <x:v>353</x:v>
      </x:c>
      <x:c r="L56" s="6" t="n">
        <x:v>10</x:v>
      </x:c>
      <x:c r="M56" s="11" t="n">
        <x:v>0.7773809523809524</x:v>
      </x:c>
      <x:c r="N56" s="6" t="n">
        <x:v>5742000</x:v>
      </x:c>
    </x:row>
    <x:row r="57" ht="24" customHeight="1">
      <x:c r="A57" s="15" t="str">
        <x:v>累計／平均／最大</x:v>
      </x:c>
      <x:c r="B57" s="16"/>
      <x:c r="C57" s="16" t="n">
        <x:f>SUM(C6:C56)</x:f>
        <x:v>96672000</x:v>
      </x:c>
      <x:c r="D57" s="16" t="n">
        <x:f>SUM(D6:D56)</x:f>
        <x:v>326125000</x:v>
      </x:c>
      <x:c r="E57" s="16" t="n">
        <x:f>C57-D57</x:f>
        <x:v>-229453000</x:v>
      </x:c>
      <x:c r="F57" s="16" t="n">
        <x:f>F56</x:f>
        <x:v>-229453000</x:v>
      </x:c>
      <x:c r="G57" s="16" t="n">
        <x:f>SUM(G6:G56)</x:f>
        <x:v>85620000</x:v>
      </x:c>
      <x:c r="H57" s="16" t="n">
        <x:f>SUM(H6:H56)</x:f>
        <x:v>315073000</x:v>
      </x:c>
      <x:c r="I57" s="16" t="n">
        <x:f>SUM(I6:I56)</x:f>
        <x:v>17457</x:v>
      </x:c>
      <x:c r="J57" s="16" t="n">
        <x:f>SUM(J6:J56)</x:f>
        <x:v>11488</x:v>
      </x:c>
      <x:c r="K57" s="16" t="n">
        <x:f>SUM(K6:K56)</x:f>
        <x:v>17777</x:v>
      </x:c>
      <x:c r="L57" s="16" t="n">
        <x:f>MAX(L6:L56)</x:f>
        <x:v>10</x:v>
      </x:c>
      <x:c r="M57" s="17" t="n">
        <x:f>AVERAGE(M6:M56)</x:f>
        <x:v>0.7323990279872631</x:v>
      </x:c>
      <x:c r="N57" s="16" t="n">
        <x:f>MAX(N6:N56)</x:f>
        <x:v>7749000</x:v>
      </x:c>
    </x:row>
  </x:sheetData>
  <x:conditionalFormatting sqref="E6:F56">
    <x:cfRule type="cellIs" dxfId="12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40dcd542edd44b6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1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4" customHeight="1">
      <x:c r="A1" s="3" t="str">
        <x:v>日経 M06　各セッションの利益・損失・収支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A2" s="4" t="str">
        <x:v>2026/09/21〜10/26デイ・51完了場。日経mini／TOPIXmini各上限10枚・手数料0。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4" customHeight="1">
      <x:c r="A3" s="4" t="str">
        <x:v>60秒の時間加重平均を30秒前と比較。保有中も傾き比例で増減、利益追尾＋傾き反転・増勢後の半減で返済。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4" customHeight="1">
      <x:c r="A4" s="4" t="str">
        <x:v>利益・損失＝FIFO返済配賦別。親＝初回から全返済まで。ラージ気配による模型で、mini実約定の検証ではありません。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42" customHeight="1">
      <x:c r="A5" s="10" t="str">
        <x:v>セッション</x:v>
      </x:c>
      <x:c r="B5" s="10" t="str">
        <x:v>区分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親利益（円）</x:v>
      </x:c>
      <x:c r="H5" s="10" t="str">
        <x:v>親損失（円）</x:v>
      </x:c>
      <x:c r="I5" s="10" t="str">
        <x:v>初回件数</x:v>
      </x:c>
      <x:c r="J5" s="10" t="str">
        <x:v>追加件数</x:v>
      </x:c>
      <x:c r="K5" s="10" t="str">
        <x:v>縮小件数</x:v>
      </x:c>
      <x:c r="L5" s="10" t="str">
        <x:v>最大保有枚数</x:v>
      </x:c>
      <x:c r="M5" s="10" t="str">
        <x:v>保有時間率</x:v>
      </x:c>
      <x:c r="N5" s="10" t="str">
        <x:v>時価最大DD（円）</x:v>
      </x:c>
    </x:row>
    <x:row r="6" ht="24" customHeight="1">
      <x:c r="A6" s="2" t="str">
        <x:v>2026-09-21_Day</x:v>
      </x:c>
      <x:c r="B6" s="6" t="str">
        <x:v>デイ</x:v>
      </x:c>
      <x:c r="C6" s="6" t="n">
        <x:v>779000</x:v>
      </x:c>
      <x:c r="D6" s="6" t="n">
        <x:v>3067000</x:v>
      </x:c>
      <x:c r="E6" s="6" t="n">
        <x:f>C6-D6</x:f>
        <x:v>-2288000</x:v>
      </x:c>
      <x:c r="F6" s="6" t="n">
        <x:f>E6</x:f>
        <x:v>-2288000</x:v>
      </x:c>
      <x:c r="G6" s="6" t="n">
        <x:v>705000</x:v>
      </x:c>
      <x:c r="H6" s="6" t="n">
        <x:v>2993000</x:v>
      </x:c>
      <x:c r="I6" s="6" t="n">
        <x:v>168</x:v>
      </x:c>
      <x:c r="J6" s="6" t="n">
        <x:v>70</x:v>
      </x:c>
      <x:c r="K6" s="6" t="n">
        <x:v>87</x:v>
      </x:c>
      <x:c r="L6" s="6" t="n">
        <x:v>10</x:v>
      </x:c>
      <x:c r="M6" s="11" t="n">
        <x:v>0.6358333333333334</x:v>
      </x:c>
      <x:c r="N6" s="6" t="n">
        <x:v>2310000</x:v>
      </x:c>
    </x:row>
    <x:row r="7" ht="24" customHeight="1">
      <x:c r="A7" s="2" t="str">
        <x:v>2026-09-21_Night</x:v>
      </x:c>
      <x:c r="B7" s="6" t="str">
        <x:v>ナイト</x:v>
      </x:c>
      <x:c r="C7" s="6" t="n">
        <x:v>419000</x:v>
      </x:c>
      <x:c r="D7" s="6" t="n">
        <x:v>3198000</x:v>
      </x:c>
      <x:c r="E7" s="6" t="n">
        <x:f>C7-D7</x:f>
        <x:v>-2779000</x:v>
      </x:c>
      <x:c r="F7" s="6" t="n">
        <x:f>F6+E7</x:f>
        <x:v>-5067000</x:v>
      </x:c>
      <x:c r="G7" s="6" t="n">
        <x:v>303000</x:v>
      </x:c>
      <x:c r="H7" s="6" t="n">
        <x:v>3082000</x:v>
      </x:c>
      <x:c r="I7" s="6" t="n">
        <x:v>262</x:v>
      </x:c>
      <x:c r="J7" s="6" t="n">
        <x:v>160</x:v>
      </x:c>
      <x:c r="K7" s="6" t="n">
        <x:v>177</x:v>
      </x:c>
      <x:c r="L7" s="6" t="n">
        <x:v>10</x:v>
      </x:c>
      <x:c r="M7" s="11" t="n">
        <x:v>0.5947863247863248</x:v>
      </x:c>
      <x:c r="N7" s="6" t="n">
        <x:v>2833000</x:v>
      </x:c>
    </x:row>
    <x:row r="8" ht="24" customHeight="1">
      <x:c r="A8" s="2" t="str">
        <x:v>2026-09-22_Day</x:v>
      </x:c>
      <x:c r="B8" s="6" t="str">
        <x:v>デイ</x:v>
      </x:c>
      <x:c r="C8" s="6" t="n">
        <x:v>784000</x:v>
      </x:c>
      <x:c r="D8" s="6" t="n">
        <x:v>4092000</x:v>
      </x:c>
      <x:c r="E8" s="6" t="n">
        <x:f>C8-D8</x:f>
        <x:v>-3308000</x:v>
      </x:c>
      <x:c r="F8" s="6" t="n">
        <x:f>F7+E8</x:f>
        <x:v>-8375000</x:v>
      </x:c>
      <x:c r="G8" s="6" t="n">
        <x:v>681000</x:v>
      </x:c>
      <x:c r="H8" s="6" t="n">
        <x:v>3989000</x:v>
      </x:c>
      <x:c r="I8" s="6" t="n">
        <x:v>216</x:v>
      </x:c>
      <x:c r="J8" s="6" t="n">
        <x:v>112</x:v>
      </x:c>
      <x:c r="K8" s="6" t="n">
        <x:v>128</x:v>
      </x:c>
      <x:c r="L8" s="6" t="n">
        <x:v>10</x:v>
      </x:c>
      <x:c r="M8" s="11" t="n">
        <x:v>0.6751587301587302</x:v>
      </x:c>
      <x:c r="N8" s="6" t="n">
        <x:v>3323000</x:v>
      </x:c>
    </x:row>
    <x:row r="9" ht="24" customHeight="1">
      <x:c r="A9" s="2" t="str">
        <x:v>2026-09-22_Night</x:v>
      </x:c>
      <x:c r="B9" s="6" t="str">
        <x:v>ナイト</x:v>
      </x:c>
      <x:c r="C9" s="6" t="n">
        <x:v>1211000</x:v>
      </x:c>
      <x:c r="D9" s="6" t="n">
        <x:v>5458000</x:v>
      </x:c>
      <x:c r="E9" s="6" t="n">
        <x:f>C9-D9</x:f>
        <x:v>-4247000</x:v>
      </x:c>
      <x:c r="F9" s="6" t="n">
        <x:f>F8+E9</x:f>
        <x:v>-12622000</x:v>
      </x:c>
      <x:c r="G9" s="6" t="n">
        <x:v>1069000</x:v>
      </x:c>
      <x:c r="H9" s="6" t="n">
        <x:v>5316000</x:v>
      </x:c>
      <x:c r="I9" s="6" t="n">
        <x:v>327</x:v>
      </x:c>
      <x:c r="J9" s="6" t="n">
        <x:v>175</x:v>
      </x:c>
      <x:c r="K9" s="6" t="n">
        <x:v>201</x:v>
      </x:c>
      <x:c r="L9" s="6" t="n">
        <x:v>10</x:v>
      </x:c>
      <x:c r="M9" s="11" t="n">
        <x:v>0.591965811965812</x:v>
      </x:c>
      <x:c r="N9" s="6" t="n">
        <x:v>4261000</x:v>
      </x:c>
    </x:row>
    <x:row r="10" ht="24" customHeight="1">
      <x:c r="A10" s="2" t="str">
        <x:v>2026-09-23_Day</x:v>
      </x:c>
      <x:c r="B10" s="6" t="str">
        <x:v>デイ</x:v>
      </x:c>
      <x:c r="C10" s="6" t="n">
        <x:v>444000</x:v>
      </x:c>
      <x:c r="D10" s="6" t="n">
        <x:v>2875000</x:v>
      </x:c>
      <x:c r="E10" s="6" t="n">
        <x:f>C10-D10</x:f>
        <x:v>-2431000</x:v>
      </x:c>
      <x:c r="F10" s="6" t="n">
        <x:f>F9+E10</x:f>
        <x:v>-15053000</x:v>
      </x:c>
      <x:c r="G10" s="6" t="n">
        <x:v>399000</x:v>
      </x:c>
      <x:c r="H10" s="6" t="n">
        <x:v>2830000</x:v>
      </x:c>
      <x:c r="I10" s="6" t="n">
        <x:v>180</x:v>
      </x:c>
      <x:c r="J10" s="6" t="n">
        <x:v>72</x:v>
      </x:c>
      <x:c r="K10" s="6" t="n">
        <x:v>101</x:v>
      </x:c>
      <x:c r="L10" s="6" t="n">
        <x:v>10</x:v>
      </x:c>
      <x:c r="M10" s="11" t="n">
        <x:v>0.6211111111111111</x:v>
      </x:c>
      <x:c r="N10" s="6" t="n">
        <x:v>2493000</x:v>
      </x:c>
    </x:row>
    <x:row r="11" ht="24" customHeight="1">
      <x:c r="A11" s="2" t="str">
        <x:v>2026-09-23_Night</x:v>
      </x:c>
      <x:c r="B11" s="6" t="str">
        <x:v>ナイト</x:v>
      </x:c>
      <x:c r="C11" s="6" t="n">
        <x:v>1278000</x:v>
      </x:c>
      <x:c r="D11" s="6" t="n">
        <x:v>4127000</x:v>
      </x:c>
      <x:c r="E11" s="6" t="n">
        <x:f>C11-D11</x:f>
        <x:v>-2849000</x:v>
      </x:c>
      <x:c r="F11" s="6" t="n">
        <x:f>F10+E11</x:f>
        <x:v>-17902000</x:v>
      </x:c>
      <x:c r="G11" s="6" t="n">
        <x:v>1169000</x:v>
      </x:c>
      <x:c r="H11" s="6" t="n">
        <x:v>4018000</x:v>
      </x:c>
      <x:c r="I11" s="6" t="n">
        <x:v>295</x:v>
      </x:c>
      <x:c r="J11" s="6" t="n">
        <x:v>172</x:v>
      </x:c>
      <x:c r="K11" s="6" t="n">
        <x:v>161</x:v>
      </x:c>
      <x:c r="L11" s="6" t="n">
        <x:v>10</x:v>
      </x:c>
      <x:c r="M11" s="11" t="n">
        <x:v>0.6023076923076923</x:v>
      </x:c>
      <x:c r="N11" s="6" t="n">
        <x:v>2852000</x:v>
      </x:c>
    </x:row>
    <x:row r="12" ht="24" customHeight="1">
      <x:c r="A12" s="2" t="str">
        <x:v>2026-09-24_Day</x:v>
      </x:c>
      <x:c r="B12" s="6" t="str">
        <x:v>デイ</x:v>
      </x:c>
      <x:c r="C12" s="6" t="n">
        <x:v>1723000</x:v>
      </x:c>
      <x:c r="D12" s="6" t="n">
        <x:v>5779000</x:v>
      </x:c>
      <x:c r="E12" s="6" t="n">
        <x:f>C12-D12</x:f>
        <x:v>-4056000</x:v>
      </x:c>
      <x:c r="F12" s="6" t="n">
        <x:f>F11+E12</x:f>
        <x:v>-21958000</x:v>
      </x:c>
      <x:c r="G12" s="6" t="n">
        <x:v>1564000</x:v>
      </x:c>
      <x:c r="H12" s="6" t="n">
        <x:v>5620000</x:v>
      </x:c>
      <x:c r="I12" s="6" t="n">
        <x:v>349</x:v>
      </x:c>
      <x:c r="J12" s="6" t="n">
        <x:v>248</x:v>
      </x:c>
      <x:c r="K12" s="6" t="n">
        <x:v>290</x:v>
      </x:c>
      <x:c r="L12" s="6" t="n">
        <x:v>10</x:v>
      </x:c>
      <x:c r="M12" s="11" t="n">
        <x:v>0.7548412698412699</x:v>
      </x:c>
      <x:c r="N12" s="6" t="n">
        <x:v>4089000</x:v>
      </x:c>
    </x:row>
    <x:row r="13" ht="24" customHeight="1">
      <x:c r="A13" s="2" t="str">
        <x:v>2026-09-24_Night</x:v>
      </x:c>
      <x:c r="B13" s="6" t="str">
        <x:v>ナイト</x:v>
      </x:c>
      <x:c r="C13" s="6" t="n">
        <x:v>2172000</x:v>
      </x:c>
      <x:c r="D13" s="6" t="n">
        <x:v>7340000</x:v>
      </x:c>
      <x:c r="E13" s="6" t="n">
        <x:f>C13-D13</x:f>
        <x:v>-5168000</x:v>
      </x:c>
      <x:c r="F13" s="6" t="n">
        <x:f>F12+E13</x:f>
        <x:v>-27126000</x:v>
      </x:c>
      <x:c r="G13" s="6" t="n">
        <x:v>1941000</x:v>
      </x:c>
      <x:c r="H13" s="6" t="n">
        <x:v>7109000</x:v>
      </x:c>
      <x:c r="I13" s="6" t="n">
        <x:v>437</x:v>
      </x:c>
      <x:c r="J13" s="6" t="n">
        <x:v>259</x:v>
      </x:c>
      <x:c r="K13" s="6" t="n">
        <x:v>299</x:v>
      </x:c>
      <x:c r="L13" s="6" t="n">
        <x:v>10</x:v>
      </x:c>
      <x:c r="M13" s="11" t="n">
        <x:v>0.6823290598290598</x:v>
      </x:c>
      <x:c r="N13" s="6" t="n">
        <x:v>5188000</x:v>
      </x:c>
    </x:row>
    <x:row r="14" ht="24" customHeight="1">
      <x:c r="A14" s="2" t="str">
        <x:v>2026-09-25_Day</x:v>
      </x:c>
      <x:c r="B14" s="6" t="str">
        <x:v>デイ</x:v>
      </x:c>
      <x:c r="C14" s="6" t="n">
        <x:v>1332000</x:v>
      </x:c>
      <x:c r="D14" s="6" t="n">
        <x:v>5597000</x:v>
      </x:c>
      <x:c r="E14" s="6" t="n">
        <x:f>C14-D14</x:f>
        <x:v>-4265000</x:v>
      </x:c>
      <x:c r="F14" s="6" t="n">
        <x:f>F13+E14</x:f>
        <x:v>-31391000</x:v>
      </x:c>
      <x:c r="G14" s="6" t="n">
        <x:v>1158000</x:v>
      </x:c>
      <x:c r="H14" s="6" t="n">
        <x:v>5423000</x:v>
      </x:c>
      <x:c r="I14" s="6" t="n">
        <x:v>323</x:v>
      </x:c>
      <x:c r="J14" s="6" t="n">
        <x:v>261</x:v>
      </x:c>
      <x:c r="K14" s="6" t="n">
        <x:v>276</x:v>
      </x:c>
      <x:c r="L14" s="6" t="n">
        <x:v>10</x:v>
      </x:c>
      <x:c r="M14" s="11" t="n">
        <x:v>0.7617857142857143</x:v>
      </x:c>
      <x:c r="N14" s="6" t="n">
        <x:v>4287000</x:v>
      </x:c>
    </x:row>
    <x:row r="15" ht="24" customHeight="1">
      <x:c r="A15" s="2" t="str">
        <x:v>2026-09-25_Night</x:v>
      </x:c>
      <x:c r="B15" s="6" t="str">
        <x:v>ナイト</x:v>
      </x:c>
      <x:c r="C15" s="6" t="n">
        <x:v>1358000</x:v>
      </x:c>
      <x:c r="D15" s="6" t="n">
        <x:v>5693000</x:v>
      </x:c>
      <x:c r="E15" s="6" t="n">
        <x:f>C15-D15</x:f>
        <x:v>-4335000</x:v>
      </x:c>
      <x:c r="F15" s="6" t="n">
        <x:f>F14+E15</x:f>
        <x:v>-35726000</x:v>
      </x:c>
      <x:c r="G15" s="6" t="n">
        <x:v>1189000</x:v>
      </x:c>
      <x:c r="H15" s="6" t="n">
        <x:v>5524000</x:v>
      </x:c>
      <x:c r="I15" s="6" t="n">
        <x:v>356</x:v>
      </x:c>
      <x:c r="J15" s="6" t="n">
        <x:v>216</x:v>
      </x:c>
      <x:c r="K15" s="6" t="n">
        <x:v>236</x:v>
      </x:c>
      <x:c r="L15" s="6" t="n">
        <x:v>10</x:v>
      </x:c>
      <x:c r="M15" s="11" t="n">
        <x:v>0.6110470085470086</x:v>
      </x:c>
      <x:c r="N15" s="6" t="n">
        <x:v>4406000</x:v>
      </x:c>
    </x:row>
    <x:row r="16" ht="24" customHeight="1">
      <x:c r="A16" s="2" t="str">
        <x:v>2026-09-28_Day</x:v>
      </x:c>
      <x:c r="B16" s="6" t="str">
        <x:v>デイ</x:v>
      </x:c>
      <x:c r="C16" s="6" t="n">
        <x:v>1558000</x:v>
      </x:c>
      <x:c r="D16" s="6" t="n">
        <x:v>7104000</x:v>
      </x:c>
      <x:c r="E16" s="6" t="n">
        <x:f>C16-D16</x:f>
        <x:v>-5546000</x:v>
      </x:c>
      <x:c r="F16" s="6" t="n">
        <x:f>F15+E16</x:f>
        <x:v>-41272000</x:v>
      </x:c>
      <x:c r="G16" s="6" t="n">
        <x:v>1392000</x:v>
      </x:c>
      <x:c r="H16" s="6" t="n">
        <x:v>6938000</x:v>
      </x:c>
      <x:c r="I16" s="6" t="n">
        <x:v>345</x:v>
      </x:c>
      <x:c r="J16" s="6" t="n">
        <x:v>233</x:v>
      </x:c>
      <x:c r="K16" s="6" t="n">
        <x:v>295</x:v>
      </x:c>
      <x:c r="L16" s="6" t="n">
        <x:v>10</x:v>
      </x:c>
      <x:c r="M16" s="11" t="n">
        <x:v>0.7615873015873016</x:v>
      </x:c>
      <x:c r="N16" s="6" t="n">
        <x:v>5677000</x:v>
      </x:c>
    </x:row>
    <x:row r="17" ht="24" customHeight="1">
      <x:c r="A17" s="2" t="str">
        <x:v>2026-09-28_Night</x:v>
      </x:c>
      <x:c r="B17" s="6" t="str">
        <x:v>ナイト</x:v>
      </x:c>
      <x:c r="C17" s="6" t="n">
        <x:v>2462000</x:v>
      </x:c>
      <x:c r="D17" s="6" t="n">
        <x:v>6177000</x:v>
      </x:c>
      <x:c r="E17" s="6" t="n">
        <x:f>C17-D17</x:f>
        <x:v>-3715000</x:v>
      </x:c>
      <x:c r="F17" s="6" t="n">
        <x:f>F16+E17</x:f>
        <x:v>-44987000</x:v>
      </x:c>
      <x:c r="G17" s="6" t="n">
        <x:v>2275000</x:v>
      </x:c>
      <x:c r="H17" s="6" t="n">
        <x:v>5990000</x:v>
      </x:c>
      <x:c r="I17" s="6" t="n">
        <x:v>392</x:v>
      </x:c>
      <x:c r="J17" s="6" t="n">
        <x:v>224</x:v>
      </x:c>
      <x:c r="K17" s="6" t="n">
        <x:v>244</x:v>
      </x:c>
      <x:c r="L17" s="6" t="n">
        <x:v>10</x:v>
      </x:c>
      <x:c r="M17" s="11" t="n">
        <x:v>0.6673931623931624</x:v>
      </x:c>
      <x:c r="N17" s="6" t="n">
        <x:v>3734000</x:v>
      </x:c>
    </x:row>
    <x:row r="18" ht="24" customHeight="1">
      <x:c r="A18" s="2" t="str">
        <x:v>2026-09-29_Day</x:v>
      </x:c>
      <x:c r="B18" s="6" t="str">
        <x:v>デイ</x:v>
      </x:c>
      <x:c r="C18" s="6" t="n">
        <x:v>2107000</x:v>
      </x:c>
      <x:c r="D18" s="6" t="n">
        <x:v>7173000</x:v>
      </x:c>
      <x:c r="E18" s="6" t="n">
        <x:f>C18-D18</x:f>
        <x:v>-5066000</x:v>
      </x:c>
      <x:c r="F18" s="6" t="n">
        <x:f>F17+E18</x:f>
        <x:v>-50053000</x:v>
      </x:c>
      <x:c r="G18" s="6" t="n">
        <x:v>1958000</x:v>
      </x:c>
      <x:c r="H18" s="6" t="n">
        <x:v>7024000</x:v>
      </x:c>
      <x:c r="I18" s="6" t="n">
        <x:v>368</x:v>
      </x:c>
      <x:c r="J18" s="6" t="n">
        <x:v>244</x:v>
      </x:c>
      <x:c r="K18" s="6" t="n">
        <x:v>311</x:v>
      </x:c>
      <x:c r="L18" s="6" t="n">
        <x:v>10</x:v>
      </x:c>
      <x:c r="M18" s="11" t="n">
        <x:v>0.7677380952380952</x:v>
      </x:c>
      <x:c r="N18" s="6" t="n">
        <x:v>5066000</x:v>
      </x:c>
    </x:row>
    <x:row r="19" ht="24" customHeight="1">
      <x:c r="A19" s="2" t="str">
        <x:v>2026-09-29_Night</x:v>
      </x:c>
      <x:c r="B19" s="6" t="str">
        <x:v>ナイト</x:v>
      </x:c>
      <x:c r="C19" s="6" t="n">
        <x:v>1539000</x:v>
      </x:c>
      <x:c r="D19" s="6" t="n">
        <x:v>6488000</x:v>
      </x:c>
      <x:c r="E19" s="6" t="n">
        <x:f>C19-D19</x:f>
        <x:v>-4949000</x:v>
      </x:c>
      <x:c r="F19" s="6" t="n">
        <x:f>F18+E19</x:f>
        <x:v>-55002000</x:v>
      </x:c>
      <x:c r="G19" s="6" t="n">
        <x:v>1347000</x:v>
      </x:c>
      <x:c r="H19" s="6" t="n">
        <x:v>6296000</x:v>
      </x:c>
      <x:c r="I19" s="6" t="n">
        <x:v>397</x:v>
      </x:c>
      <x:c r="J19" s="6" t="n">
        <x:v>248</x:v>
      </x:c>
      <x:c r="K19" s="6" t="n">
        <x:v>269</x:v>
      </x:c>
      <x:c r="L19" s="6" t="n">
        <x:v>10</x:v>
      </x:c>
      <x:c r="M19" s="11" t="n">
        <x:v>0.6452777777777777</x:v>
      </x:c>
      <x:c r="N19" s="6" t="n">
        <x:v>4950000</x:v>
      </x:c>
    </x:row>
    <x:row r="20" ht="24" customHeight="1">
      <x:c r="A20" s="2" t="str">
        <x:v>2026-09-30_Day</x:v>
      </x:c>
      <x:c r="B20" s="6" t="str">
        <x:v>デイ</x:v>
      </x:c>
      <x:c r="C20" s="6" t="n">
        <x:v>1669000</x:v>
      </x:c>
      <x:c r="D20" s="6" t="n">
        <x:v>5934000</x:v>
      </x:c>
      <x:c r="E20" s="6" t="n">
        <x:f>C20-D20</x:f>
        <x:v>-4265000</x:v>
      </x:c>
      <x:c r="F20" s="6" t="n">
        <x:f>F19+E20</x:f>
        <x:v>-59267000</x:v>
      </x:c>
      <x:c r="G20" s="6" t="n">
        <x:v>1523000</x:v>
      </x:c>
      <x:c r="H20" s="6" t="n">
        <x:v>5788000</x:v>
      </x:c>
      <x:c r="I20" s="6" t="n">
        <x:v>326</x:v>
      </x:c>
      <x:c r="J20" s="6" t="n">
        <x:v>258</x:v>
      </x:c>
      <x:c r="K20" s="6" t="n">
        <x:v>298</x:v>
      </x:c>
      <x:c r="L20" s="6" t="n">
        <x:v>10</x:v>
      </x:c>
      <x:c r="M20" s="11" t="n">
        <x:v>0.7805952380952381</x:v>
      </x:c>
      <x:c r="N20" s="6" t="n">
        <x:v>4314000</x:v>
      </x:c>
    </x:row>
    <x:row r="21" ht="24" customHeight="1">
      <x:c r="A21" s="2" t="str">
        <x:v>2026-09-30_Night</x:v>
      </x:c>
      <x:c r="B21" s="6" t="str">
        <x:v>ナイト</x:v>
      </x:c>
      <x:c r="C21" s="6" t="n">
        <x:v>2034000</x:v>
      </x:c>
      <x:c r="D21" s="6" t="n">
        <x:v>7460000</x:v>
      </x:c>
      <x:c r="E21" s="6" t="n">
        <x:f>C21-D21</x:f>
        <x:v>-5426000</x:v>
      </x:c>
      <x:c r="F21" s="6" t="n">
        <x:f>F20+E21</x:f>
        <x:v>-64693000</x:v>
      </x:c>
      <x:c r="G21" s="6" t="n">
        <x:v>1849000</x:v>
      </x:c>
      <x:c r="H21" s="6" t="n">
        <x:v>7275000</x:v>
      </x:c>
      <x:c r="I21" s="6" t="n">
        <x:v>437</x:v>
      </x:c>
      <x:c r="J21" s="6" t="n">
        <x:v>267</x:v>
      </x:c>
      <x:c r="K21" s="6" t="n">
        <x:v>306</x:v>
      </x:c>
      <x:c r="L21" s="6" t="n">
        <x:v>10</x:v>
      </x:c>
      <x:c r="M21" s="11" t="n">
        <x:v>0.7094017094017094</x:v>
      </x:c>
      <x:c r="N21" s="6" t="n">
        <x:v>5533000</x:v>
      </x:c>
    </x:row>
    <x:row r="22" ht="24" customHeight="1">
      <x:c r="A22" s="2" t="str">
        <x:v>2026-10-01_Day</x:v>
      </x:c>
      <x:c r="B22" s="6" t="str">
        <x:v>デイ</x:v>
      </x:c>
      <x:c r="C22" s="6" t="n">
        <x:v>2016000</x:v>
      </x:c>
      <x:c r="D22" s="6" t="n">
        <x:v>5350000</x:v>
      </x:c>
      <x:c r="E22" s="6" t="n">
        <x:f>C22-D22</x:f>
        <x:v>-3334000</x:v>
      </x:c>
      <x:c r="F22" s="6" t="n">
        <x:f>F21+E22</x:f>
        <x:v>-68027000</x:v>
      </x:c>
      <x:c r="G22" s="6" t="n">
        <x:v>1815000</x:v>
      </x:c>
      <x:c r="H22" s="6" t="n">
        <x:v>5149000</x:v>
      </x:c>
      <x:c r="I22" s="6" t="n">
        <x:v>328</x:v>
      </x:c>
      <x:c r="J22" s="6" t="n">
        <x:v>279</x:v>
      </x:c>
      <x:c r="K22" s="6" t="n">
        <x:v>319</x:v>
      </x:c>
      <x:c r="L22" s="6" t="n">
        <x:v>10</x:v>
      </x:c>
      <x:c r="M22" s="11" t="n">
        <x:v>0.7797222222222222</x:v>
      </x:c>
      <x:c r="N22" s="6" t="n">
        <x:v>3432000</x:v>
      </x:c>
    </x:row>
    <x:row r="23" ht="24" customHeight="1">
      <x:c r="A23" s="2" t="str">
        <x:v>2026-10-01_Night</x:v>
      </x:c>
      <x:c r="B23" s="6" t="str">
        <x:v>ナイト</x:v>
      </x:c>
      <x:c r="C23" s="6" t="n">
        <x:v>2563000</x:v>
      </x:c>
      <x:c r="D23" s="6" t="n">
        <x:v>9479000</x:v>
      </x:c>
      <x:c r="E23" s="6" t="n">
        <x:f>C23-D23</x:f>
        <x:v>-6916000</x:v>
      </x:c>
      <x:c r="F23" s="6" t="n">
        <x:f>F22+E23</x:f>
        <x:v>-74943000</x:v>
      </x:c>
      <x:c r="G23" s="6" t="n">
        <x:v>2348000</x:v>
      </x:c>
      <x:c r="H23" s="6" t="n">
        <x:v>9264000</x:v>
      </x:c>
      <x:c r="I23" s="6" t="n">
        <x:v>498</x:v>
      </x:c>
      <x:c r="J23" s="6" t="n">
        <x:v>279</x:v>
      </x:c>
      <x:c r="K23" s="6" t="n">
        <x:v>327</x:v>
      </x:c>
      <x:c r="L23" s="6" t="n">
        <x:v>10</x:v>
      </x:c>
      <x:c r="M23" s="11" t="n">
        <x:v>0.709551282051282</x:v>
      </x:c>
      <x:c r="N23" s="6" t="n">
        <x:v>6919000</x:v>
      </x:c>
    </x:row>
    <x:row r="24" ht="24" customHeight="1">
      <x:c r="A24" s="2" t="str">
        <x:v>2026-10-02_Day</x:v>
      </x:c>
      <x:c r="B24" s="6" t="str">
        <x:v>デイ</x:v>
      </x:c>
      <x:c r="C24" s="6" t="n">
        <x:v>1332000</x:v>
      </x:c>
      <x:c r="D24" s="6" t="n">
        <x:v>6407000</x:v>
      </x:c>
      <x:c r="E24" s="6" t="n">
        <x:f>C24-D24</x:f>
        <x:v>-5075000</x:v>
      </x:c>
      <x:c r="F24" s="6" t="n">
        <x:f>F23+E24</x:f>
        <x:v>-80018000</x:v>
      </x:c>
      <x:c r="G24" s="6" t="n">
        <x:v>1250000</x:v>
      </x:c>
      <x:c r="H24" s="6" t="n">
        <x:v>6325000</x:v>
      </x:c>
      <x:c r="I24" s="6" t="n">
        <x:v>318</x:v>
      </x:c>
      <x:c r="J24" s="6" t="n">
        <x:v>266</x:v>
      </x:c>
      <x:c r="K24" s="6" t="n">
        <x:v>300</x:v>
      </x:c>
      <x:c r="L24" s="6" t="n">
        <x:v>10</x:v>
      </x:c>
      <x:c r="M24" s="11" t="n">
        <x:v>0.7690476190476191</x:v>
      </x:c>
      <x:c r="N24" s="6" t="n">
        <x:v>5087000</x:v>
      </x:c>
    </x:row>
    <x:row r="25" ht="24" customHeight="1">
      <x:c r="A25" s="2" t="str">
        <x:v>2026-10-02_Night</x:v>
      </x:c>
      <x:c r="B25" s="6" t="str">
        <x:v>ナイト</x:v>
      </x:c>
      <x:c r="C25" s="6" t="n">
        <x:v>2107000</x:v>
      </x:c>
      <x:c r="D25" s="6" t="n">
        <x:v>8247000</x:v>
      </x:c>
      <x:c r="E25" s="6" t="n">
        <x:f>C25-D25</x:f>
        <x:v>-6140000</x:v>
      </x:c>
      <x:c r="F25" s="6" t="n">
        <x:f>F24+E25</x:f>
        <x:v>-86158000</x:v>
      </x:c>
      <x:c r="G25" s="6" t="n">
        <x:v>1917000</x:v>
      </x:c>
      <x:c r="H25" s="6" t="n">
        <x:v>8057000</x:v>
      </x:c>
      <x:c r="I25" s="6" t="n">
        <x:v>480</x:v>
      </x:c>
      <x:c r="J25" s="6" t="n">
        <x:v>310</x:v>
      </x:c>
      <x:c r="K25" s="6" t="n">
        <x:v>353</x:v>
      </x:c>
      <x:c r="L25" s="6" t="n">
        <x:v>10</x:v>
      </x:c>
      <x:c r="M25" s="11" t="n">
        <x:v>0.7115811965811966</x:v>
      </x:c>
      <x:c r="N25" s="6" t="n">
        <x:v>6180000</x:v>
      </x:c>
    </x:row>
    <x:row r="26" ht="24" customHeight="1">
      <x:c r="A26" s="2" t="str">
        <x:v>2026-10-05_Day</x:v>
      </x:c>
      <x:c r="B26" s="6" t="str">
        <x:v>デイ</x:v>
      </x:c>
      <x:c r="C26" s="6" t="n">
        <x:v>1182000</x:v>
      </x:c>
      <x:c r="D26" s="6" t="n">
        <x:v>5643000</x:v>
      </x:c>
      <x:c r="E26" s="6" t="n">
        <x:f>C26-D26</x:f>
        <x:v>-4461000</x:v>
      </x:c>
      <x:c r="F26" s="6" t="n">
        <x:f>F25+E26</x:f>
        <x:v>-90619000</x:v>
      </x:c>
      <x:c r="G26" s="6" t="n">
        <x:v>1035000</x:v>
      </x:c>
      <x:c r="H26" s="6" t="n">
        <x:v>5496000</x:v>
      </x:c>
      <x:c r="I26" s="6" t="n">
        <x:v>326</x:v>
      </x:c>
      <x:c r="J26" s="6" t="n">
        <x:v>290</x:v>
      </x:c>
      <x:c r="K26" s="6" t="n">
        <x:v>308</x:v>
      </x:c>
      <x:c r="L26" s="6" t="n">
        <x:v>10</x:v>
      </x:c>
      <x:c r="M26" s="11" t="n">
        <x:v>0.7696428571428572</x:v>
      </x:c>
      <x:c r="N26" s="6" t="n">
        <x:v>4470000</x:v>
      </x:c>
    </x:row>
    <x:row r="27" ht="24" customHeight="1">
      <x:c r="A27" s="2" t="str">
        <x:v>2026-10-05_Night</x:v>
      </x:c>
      <x:c r="B27" s="6" t="str">
        <x:v>ナイト</x:v>
      </x:c>
      <x:c r="C27" s="6" t="n">
        <x:v>1231000</x:v>
      </x:c>
      <x:c r="D27" s="6" t="n">
        <x:v>5387000</x:v>
      </x:c>
      <x:c r="E27" s="6" t="n">
        <x:f>C27-D27</x:f>
        <x:v>-4156000</x:v>
      </x:c>
      <x:c r="F27" s="6" t="n">
        <x:f>F26+E27</x:f>
        <x:v>-94775000</x:v>
      </x:c>
      <x:c r="G27" s="6" t="n">
        <x:v>1061000</x:v>
      </x:c>
      <x:c r="H27" s="6" t="n">
        <x:v>5217000</x:v>
      </x:c>
      <x:c r="I27" s="6" t="n">
        <x:v>394</x:v>
      </x:c>
      <x:c r="J27" s="6" t="n">
        <x:v>244</x:v>
      </x:c>
      <x:c r="K27" s="6" t="n">
        <x:v>265</x:v>
      </x:c>
      <x:c r="L27" s="6" t="n">
        <x:v>10</x:v>
      </x:c>
      <x:c r="M27" s="11" t="n">
        <x:v>0.6943376068376068</x:v>
      </x:c>
      <x:c r="N27" s="6" t="n">
        <x:v>4196000</x:v>
      </x:c>
    </x:row>
    <x:row r="28" ht="24" customHeight="1">
      <x:c r="A28" s="2" t="str">
        <x:v>2026-10-06_Day</x:v>
      </x:c>
      <x:c r="B28" s="6" t="str">
        <x:v>デイ</x:v>
      </x:c>
      <x:c r="C28" s="6" t="n">
        <x:v>1075000</x:v>
      </x:c>
      <x:c r="D28" s="6" t="n">
        <x:v>4552000</x:v>
      </x:c>
      <x:c r="E28" s="6" t="n">
        <x:f>C28-D28</x:f>
        <x:v>-3477000</x:v>
      </x:c>
      <x:c r="F28" s="6" t="n">
        <x:f>F27+E28</x:f>
        <x:v>-98252000</x:v>
      </x:c>
      <x:c r="G28" s="6" t="n">
        <x:v>963000</x:v>
      </x:c>
      <x:c r="H28" s="6" t="n">
        <x:v>4440000</x:v>
      </x:c>
      <x:c r="I28" s="6" t="n">
        <x:v>301</x:v>
      </x:c>
      <x:c r="J28" s="6" t="n">
        <x:v>253</x:v>
      </x:c>
      <x:c r="K28" s="6" t="n">
        <x:v>290</x:v>
      </x:c>
      <x:c r="L28" s="6" t="n">
        <x:v>10</x:v>
      </x:c>
      <x:c r="M28" s="11" t="n">
        <x:v>0.7631746031746032</x:v>
      </x:c>
      <x:c r="N28" s="6" t="n">
        <x:v>3555000</x:v>
      </x:c>
    </x:row>
    <x:row r="29" ht="24" customHeight="1">
      <x:c r="A29" s="2" t="str">
        <x:v>2026-10-06_Night</x:v>
      </x:c>
      <x:c r="B29" s="6" t="str">
        <x:v>ナイト</x:v>
      </x:c>
      <x:c r="C29" s="6" t="n">
        <x:v>898000</x:v>
      </x:c>
      <x:c r="D29" s="6" t="n">
        <x:v>4531000</x:v>
      </x:c>
      <x:c r="E29" s="6" t="n">
        <x:f>C29-D29</x:f>
        <x:v>-3633000</x:v>
      </x:c>
      <x:c r="F29" s="6" t="n">
        <x:f>F28+E29</x:f>
        <x:v>-101885000</x:v>
      </x:c>
      <x:c r="G29" s="6" t="n">
        <x:v>715000</x:v>
      </x:c>
      <x:c r="H29" s="6" t="n">
        <x:v>4348000</x:v>
      </x:c>
      <x:c r="I29" s="6" t="n">
        <x:v>336</x:v>
      </x:c>
      <x:c r="J29" s="6" t="n">
        <x:v>285</x:v>
      </x:c>
      <x:c r="K29" s="6" t="n">
        <x:v>259</x:v>
      </x:c>
      <x:c r="L29" s="6" t="n">
        <x:v>10</x:v>
      </x:c>
      <x:c r="M29" s="11" t="n">
        <x:v>0.6430555555555556</x:v>
      </x:c>
      <x:c r="N29" s="6" t="n">
        <x:v>3653000</x:v>
      </x:c>
    </x:row>
    <x:row r="30" ht="24" customHeight="1">
      <x:c r="A30" s="2" t="str">
        <x:v>2026-10-07_Day</x:v>
      </x:c>
      <x:c r="B30" s="6" t="str">
        <x:v>デイ</x:v>
      </x:c>
      <x:c r="C30" s="6" t="n">
        <x:v>914000</x:v>
      </x:c>
      <x:c r="D30" s="6" t="n">
        <x:v>4725000</x:v>
      </x:c>
      <x:c r="E30" s="6" t="n">
        <x:f>C30-D30</x:f>
        <x:v>-3811000</x:v>
      </x:c>
      <x:c r="F30" s="6" t="n">
        <x:f>F29+E30</x:f>
        <x:v>-105696000</x:v>
      </x:c>
      <x:c r="G30" s="6" t="n">
        <x:v>793000</x:v>
      </x:c>
      <x:c r="H30" s="6" t="n">
        <x:v>4604000</x:v>
      </x:c>
      <x:c r="I30" s="6" t="n">
        <x:v>307</x:v>
      </x:c>
      <x:c r="J30" s="6" t="n">
        <x:v>276</x:v>
      </x:c>
      <x:c r="K30" s="6" t="n">
        <x:v>300</x:v>
      </x:c>
      <x:c r="L30" s="6" t="n">
        <x:v>10</x:v>
      </x:c>
      <x:c r="M30" s="11" t="n">
        <x:v>0.7534920634920635</x:v>
      </x:c>
      <x:c r="N30" s="6" t="n">
        <x:v>3821000</x:v>
      </x:c>
    </x:row>
    <x:row r="31" ht="24" customHeight="1">
      <x:c r="A31" s="2" t="str">
        <x:v>2026-10-07_Night</x:v>
      </x:c>
      <x:c r="B31" s="6" t="str">
        <x:v>ナイト</x:v>
      </x:c>
      <x:c r="C31" s="6" t="n">
        <x:v>1191000</x:v>
      </x:c>
      <x:c r="D31" s="6" t="n">
        <x:v>6186000</x:v>
      </x:c>
      <x:c r="E31" s="6" t="n">
        <x:f>C31-D31</x:f>
        <x:v>-4995000</x:v>
      </x:c>
      <x:c r="F31" s="6" t="n">
        <x:f>F30+E31</x:f>
        <x:v>-110691000</x:v>
      </x:c>
      <x:c r="G31" s="6" t="n">
        <x:v>934000</x:v>
      </x:c>
      <x:c r="H31" s="6" t="n">
        <x:v>5929000</x:v>
      </x:c>
      <x:c r="I31" s="6" t="n">
        <x:v>415</x:v>
      </x:c>
      <x:c r="J31" s="6" t="n">
        <x:v>339</x:v>
      </x:c>
      <x:c r="K31" s="6" t="n">
        <x:v>364</x:v>
      </x:c>
      <x:c r="L31" s="6" t="n">
        <x:v>10</x:v>
      </x:c>
      <x:c r="M31" s="11" t="n">
        <x:v>0.6802350427350428</x:v>
      </x:c>
      <x:c r="N31" s="6" t="n">
        <x:v>5005000</x:v>
      </x:c>
    </x:row>
    <x:row r="32" ht="24" customHeight="1">
      <x:c r="A32" s="2" t="str">
        <x:v>2026-10-08_Day</x:v>
      </x:c>
      <x:c r="B32" s="6" t="str">
        <x:v>デイ</x:v>
      </x:c>
      <x:c r="C32" s="6" t="n">
        <x:v>1575000</x:v>
      </x:c>
      <x:c r="D32" s="6" t="n">
        <x:v>5833000</x:v>
      </x:c>
      <x:c r="E32" s="6" t="n">
        <x:f>C32-D32</x:f>
        <x:v>-4258000</x:v>
      </x:c>
      <x:c r="F32" s="6" t="n">
        <x:f>F31+E32</x:f>
        <x:v>-114949000</x:v>
      </x:c>
      <x:c r="G32" s="6" t="n">
        <x:v>1407000</x:v>
      </x:c>
      <x:c r="H32" s="6" t="n">
        <x:v>5665000</x:v>
      </x:c>
      <x:c r="I32" s="6" t="n">
        <x:v>311</x:v>
      </x:c>
      <x:c r="J32" s="6" t="n">
        <x:v>270</x:v>
      </x:c>
      <x:c r="K32" s="6" t="n">
        <x:v>304</x:v>
      </x:c>
      <x:c r="L32" s="6" t="n">
        <x:v>10</x:v>
      </x:c>
      <x:c r="M32" s="11" t="n">
        <x:v>0.776547619047619</x:v>
      </x:c>
      <x:c r="N32" s="6" t="n">
        <x:v>4266000</x:v>
      </x:c>
    </x:row>
    <x:row r="33" ht="24" customHeight="1">
      <x:c r="A33" s="2" t="str">
        <x:v>2026-10-08_Night</x:v>
      </x:c>
      <x:c r="B33" s="6" t="str">
        <x:v>ナイト</x:v>
      </x:c>
      <x:c r="C33" s="6" t="n">
        <x:v>2787000</x:v>
      </x:c>
      <x:c r="D33" s="6" t="n">
        <x:v>9256000</x:v>
      </x:c>
      <x:c r="E33" s="6" t="n">
        <x:f>C33-D33</x:f>
        <x:v>-6469000</x:v>
      </x:c>
      <x:c r="F33" s="6" t="n">
        <x:f>F32+E33</x:f>
        <x:v>-121418000</x:v>
      </x:c>
      <x:c r="G33" s="6" t="n">
        <x:v>2605000</x:v>
      </x:c>
      <x:c r="H33" s="6" t="n">
        <x:v>9074000</x:v>
      </x:c>
      <x:c r="I33" s="6" t="n">
        <x:v>487</x:v>
      </x:c>
      <x:c r="J33" s="6" t="n">
        <x:v>290</x:v>
      </x:c>
      <x:c r="K33" s="6" t="n">
        <x:v>316</x:v>
      </x:c>
      <x:c r="L33" s="6" t="n">
        <x:v>10</x:v>
      </x:c>
      <x:c r="M33" s="11" t="n">
        <x:v>0.705982905982906</x:v>
      </x:c>
      <x:c r="N33" s="6" t="n">
        <x:v>6559000</x:v>
      </x:c>
    </x:row>
    <x:row r="34" ht="24" customHeight="1">
      <x:c r="A34" s="2" t="str">
        <x:v>2026-10-09_Day</x:v>
      </x:c>
      <x:c r="B34" s="6" t="str">
        <x:v>デイ</x:v>
      </x:c>
      <x:c r="C34" s="6" t="n">
        <x:v>2045000</x:v>
      </x:c>
      <x:c r="D34" s="6" t="n">
        <x:v>5582000</x:v>
      </x:c>
      <x:c r="E34" s="6" t="n">
        <x:f>C34-D34</x:f>
        <x:v>-3537000</x:v>
      </x:c>
      <x:c r="F34" s="6" t="n">
        <x:f>F33+E34</x:f>
        <x:v>-124955000</x:v>
      </x:c>
      <x:c r="G34" s="6" t="n">
        <x:v>1913000</x:v>
      </x:c>
      <x:c r="H34" s="6" t="n">
        <x:v>5450000</x:v>
      </x:c>
      <x:c r="I34" s="6" t="n">
        <x:v>292</x:v>
      </x:c>
      <x:c r="J34" s="6" t="n">
        <x:v>250</x:v>
      </x:c>
      <x:c r="K34" s="6" t="n">
        <x:v>285</x:v>
      </x:c>
      <x:c r="L34" s="6" t="n">
        <x:v>10</x:v>
      </x:c>
      <x:c r="M34" s="11" t="n">
        <x:v>0.7773809523809524</x:v>
      </x:c>
      <x:c r="N34" s="6" t="n">
        <x:v>3537000</x:v>
      </x:c>
    </x:row>
    <x:row r="35" ht="24" customHeight="1">
      <x:c r="A35" s="2" t="str">
        <x:v>2026-10-09_Night</x:v>
      </x:c>
      <x:c r="B35" s="6" t="str">
        <x:v>ナイト</x:v>
      </x:c>
      <x:c r="C35" s="6" t="n">
        <x:v>1005000</x:v>
      </x:c>
      <x:c r="D35" s="6" t="n">
        <x:v>4668000</x:v>
      </x:c>
      <x:c r="E35" s="6" t="n">
        <x:f>C35-D35</x:f>
        <x:v>-3663000</x:v>
      </x:c>
      <x:c r="F35" s="6" t="n">
        <x:f>F34+E35</x:f>
        <x:v>-128618000</x:v>
      </x:c>
      <x:c r="G35" s="6" t="n">
        <x:v>853000</x:v>
      </x:c>
      <x:c r="H35" s="6" t="n">
        <x:v>4516000</x:v>
      </x:c>
      <x:c r="I35" s="6" t="n">
        <x:v>321</x:v>
      </x:c>
      <x:c r="J35" s="6" t="n">
        <x:v>210</x:v>
      </x:c>
      <x:c r="K35" s="6" t="n">
        <x:v>213</x:v>
      </x:c>
      <x:c r="L35" s="6" t="n">
        <x:v>10</x:v>
      </x:c>
      <x:c r="M35" s="11" t="n">
        <x:v>0.6729487179487179</x:v>
      </x:c>
      <x:c r="N35" s="6" t="n">
        <x:v>3750000</x:v>
      </x:c>
    </x:row>
    <x:row r="36" ht="24" customHeight="1">
      <x:c r="A36" s="2" t="str">
        <x:v>2026-10-12_Day</x:v>
      </x:c>
      <x:c r="B36" s="6" t="str">
        <x:v>デイ</x:v>
      </x:c>
      <x:c r="C36" s="6" t="n">
        <x:v>507000</x:v>
      </x:c>
      <x:c r="D36" s="6" t="n">
        <x:v>2637000</x:v>
      </x:c>
      <x:c r="E36" s="6" t="n">
        <x:f>C36-D36</x:f>
        <x:v>-2130000</x:v>
      </x:c>
      <x:c r="F36" s="6" t="n">
        <x:f>F35+E36</x:f>
        <x:v>-130748000</x:v>
      </x:c>
      <x:c r="G36" s="6" t="n">
        <x:v>423000</x:v>
      </x:c>
      <x:c r="H36" s="6" t="n">
        <x:v>2553000</x:v>
      </x:c>
      <x:c r="I36" s="6" t="n">
        <x:v>179</x:v>
      </x:c>
      <x:c r="J36" s="6" t="n">
        <x:v>100</x:v>
      </x:c>
      <x:c r="K36" s="6" t="n">
        <x:v>115</x:v>
      </x:c>
      <x:c r="L36" s="6" t="n">
        <x:v>10</x:v>
      </x:c>
      <x:c r="M36" s="11" t="n">
        <x:v>0.6768253968253968</x:v>
      </x:c>
      <x:c r="N36" s="6" t="n">
        <x:v>2161000</x:v>
      </x:c>
    </x:row>
    <x:row r="37" ht="24" customHeight="1">
      <x:c r="A37" s="2" t="str">
        <x:v>2026-10-12_Night</x:v>
      </x:c>
      <x:c r="B37" s="6" t="str">
        <x:v>ナイト</x:v>
      </x:c>
      <x:c r="C37" s="6" t="n">
        <x:v>786000</x:v>
      </x:c>
      <x:c r="D37" s="6" t="n">
        <x:v>3557000</x:v>
      </x:c>
      <x:c r="E37" s="6" t="n">
        <x:f>C37-D37</x:f>
        <x:v>-2771000</x:v>
      </x:c>
      <x:c r="F37" s="6" t="n">
        <x:f>F36+E37</x:f>
        <x:v>-133519000</x:v>
      </x:c>
      <x:c r="G37" s="6" t="n">
        <x:v>664000</x:v>
      </x:c>
      <x:c r="H37" s="6" t="n">
        <x:v>3435000</x:v>
      </x:c>
      <x:c r="I37" s="6" t="n">
        <x:v>257</x:v>
      </x:c>
      <x:c r="J37" s="6" t="n">
        <x:v>161</x:v>
      </x:c>
      <x:c r="K37" s="6" t="n">
        <x:v>158</x:v>
      </x:c>
      <x:c r="L37" s="6" t="n">
        <x:v>10</x:v>
      </x:c>
      <x:c r="M37" s="11" t="n">
        <x:v>0.6263034188034188</x:v>
      </x:c>
      <x:c r="N37" s="6" t="n">
        <x:v>2805000</x:v>
      </x:c>
    </x:row>
    <x:row r="38" ht="24" customHeight="1">
      <x:c r="A38" s="2" t="str">
        <x:v>2026-10-13_Day</x:v>
      </x:c>
      <x:c r="B38" s="6" t="str">
        <x:v>デイ</x:v>
      </x:c>
      <x:c r="C38" s="6" t="n">
        <x:v>2264000</x:v>
      </x:c>
      <x:c r="D38" s="6" t="n">
        <x:v>7022000</x:v>
      </x:c>
      <x:c r="E38" s="6" t="n">
        <x:f>C38-D38</x:f>
        <x:v>-4758000</x:v>
      </x:c>
      <x:c r="F38" s="6" t="n">
        <x:f>F37+E38</x:f>
        <x:v>-138277000</x:v>
      </x:c>
      <x:c r="G38" s="6" t="n">
        <x:v>2127000</x:v>
      </x:c>
      <x:c r="H38" s="6" t="n">
        <x:v>6885000</x:v>
      </x:c>
      <x:c r="I38" s="6" t="n">
        <x:v>354</x:v>
      </x:c>
      <x:c r="J38" s="6" t="n">
        <x:v>254</x:v>
      </x:c>
      <x:c r="K38" s="6" t="n">
        <x:v>315</x:v>
      </x:c>
      <x:c r="L38" s="6" t="n">
        <x:v>10</x:v>
      </x:c>
      <x:c r="M38" s="11" t="n">
        <x:v>0.7791269841269841</x:v>
      </x:c>
      <x:c r="N38" s="6" t="n">
        <x:v>4766000</x:v>
      </x:c>
    </x:row>
    <x:row r="39" ht="24" customHeight="1">
      <x:c r="A39" s="2" t="str">
        <x:v>2026-10-13_Night</x:v>
      </x:c>
      <x:c r="B39" s="6" t="str">
        <x:v>ナイト</x:v>
      </x:c>
      <x:c r="C39" s="6" t="n">
        <x:v>836000</x:v>
      </x:c>
      <x:c r="D39" s="6" t="n">
        <x:v>5433000</x:v>
      </x:c>
      <x:c r="E39" s="6" t="n">
        <x:f>C39-D39</x:f>
        <x:v>-4597000</x:v>
      </x:c>
      <x:c r="F39" s="6" t="n">
        <x:f>F38+E39</x:f>
        <x:v>-142874000</x:v>
      </x:c>
      <x:c r="G39" s="6" t="n">
        <x:v>704000</x:v>
      </x:c>
      <x:c r="H39" s="6" t="n">
        <x:v>5301000</x:v>
      </x:c>
      <x:c r="I39" s="6" t="n">
        <x:v>366</x:v>
      </x:c>
      <x:c r="J39" s="6" t="n">
        <x:v>215</x:v>
      </x:c>
      <x:c r="K39" s="6" t="n">
        <x:v>244</x:v>
      </x:c>
      <x:c r="L39" s="6" t="n">
        <x:v>10</x:v>
      </x:c>
      <x:c r="M39" s="11" t="n">
        <x:v>0.6379700854700855</x:v>
      </x:c>
      <x:c r="N39" s="6" t="n">
        <x:v>4597000</x:v>
      </x:c>
    </x:row>
    <x:row r="40" ht="24" customHeight="1">
      <x:c r="A40" s="2" t="str">
        <x:v>2026-10-14_Day</x:v>
      </x:c>
      <x:c r="B40" s="6" t="str">
        <x:v>デイ</x:v>
      </x:c>
      <x:c r="C40" s="6" t="n">
        <x:v>1756000</x:v>
      </x:c>
      <x:c r="D40" s="6" t="n">
        <x:v>6124000</x:v>
      </x:c>
      <x:c r="E40" s="6" t="n">
        <x:f>C40-D40</x:f>
        <x:v>-4368000</x:v>
      </x:c>
      <x:c r="F40" s="6" t="n">
        <x:f>F39+E40</x:f>
        <x:v>-147242000</x:v>
      </x:c>
      <x:c r="G40" s="6" t="n">
        <x:v>1577000</x:v>
      </x:c>
      <x:c r="H40" s="6" t="n">
        <x:v>5945000</x:v>
      </x:c>
      <x:c r="I40" s="6" t="n">
        <x:v>331</x:v>
      </x:c>
      <x:c r="J40" s="6" t="n">
        <x:v>246</x:v>
      </x:c>
      <x:c r="K40" s="6" t="n">
        <x:v>268</x:v>
      </x:c>
      <x:c r="L40" s="6" t="n">
        <x:v>10</x:v>
      </x:c>
      <x:c r="M40" s="11" t="n">
        <x:v>0.7503968253968254</x:v>
      </x:c>
      <x:c r="N40" s="6" t="n">
        <x:v>4398000</x:v>
      </x:c>
    </x:row>
    <x:row r="41" ht="24" customHeight="1">
      <x:c r="A41" s="2" t="str">
        <x:v>2026-10-14_Night</x:v>
      </x:c>
      <x:c r="B41" s="6" t="str">
        <x:v>ナイト</x:v>
      </x:c>
      <x:c r="C41" s="6" t="n">
        <x:v>2317000</x:v>
      </x:c>
      <x:c r="D41" s="6" t="n">
        <x:v>8129000</x:v>
      </x:c>
      <x:c r="E41" s="6" t="n">
        <x:f>C41-D41</x:f>
        <x:v>-5812000</x:v>
      </x:c>
      <x:c r="F41" s="6" t="n">
        <x:f>F40+E41</x:f>
        <x:v>-153054000</x:v>
      </x:c>
      <x:c r="G41" s="6" t="n">
        <x:v>2055000</x:v>
      </x:c>
      <x:c r="H41" s="6" t="n">
        <x:v>7867000</x:v>
      </x:c>
      <x:c r="I41" s="6" t="n">
        <x:v>465</x:v>
      </x:c>
      <x:c r="J41" s="6" t="n">
        <x:v>335</x:v>
      </x:c>
      <x:c r="K41" s="6" t="n">
        <x:v>364</x:v>
      </x:c>
      <x:c r="L41" s="6" t="n">
        <x:v>10</x:v>
      </x:c>
      <x:c r="M41" s="11" t="n">
        <x:v>0.7277777777777777</x:v>
      </x:c>
      <x:c r="N41" s="6" t="n">
        <x:v>5821000</x:v>
      </x:c>
    </x:row>
    <x:row r="42" ht="24" customHeight="1">
      <x:c r="A42" s="2" t="str">
        <x:v>2026-10-15_Day</x:v>
      </x:c>
      <x:c r="B42" s="6" t="str">
        <x:v>デイ</x:v>
      </x:c>
      <x:c r="C42" s="6" t="n">
        <x:v>3938000</x:v>
      </x:c>
      <x:c r="D42" s="6" t="n">
        <x:v>8513000</x:v>
      </x:c>
      <x:c r="E42" s="6" t="n">
        <x:f>C42-D42</x:f>
        <x:v>-4575000</x:v>
      </x:c>
      <x:c r="F42" s="6" t="n">
        <x:f>F41+E42</x:f>
        <x:v>-157629000</x:v>
      </x:c>
      <x:c r="G42" s="6" t="n">
        <x:v>3763000</x:v>
      </x:c>
      <x:c r="H42" s="6" t="n">
        <x:v>8338000</x:v>
      </x:c>
      <x:c r="I42" s="6" t="n">
        <x:v>414</x:v>
      </x:c>
      <x:c r="J42" s="6" t="n">
        <x:v>241</x:v>
      </x:c>
      <x:c r="K42" s="6" t="n">
        <x:v>338</x:v>
      </x:c>
      <x:c r="L42" s="6" t="n">
        <x:v>10</x:v>
      </x:c>
      <x:c r="M42" s="11" t="n">
        <x:v>0.7711111111111111</x:v>
      </x:c>
      <x:c r="N42" s="6" t="n">
        <x:v>4716000</x:v>
      </x:c>
    </x:row>
    <x:row r="43" ht="24" customHeight="1">
      <x:c r="A43" s="2" t="str">
        <x:v>2026-10-15_Night</x:v>
      </x:c>
      <x:c r="B43" s="6" t="str">
        <x:v>ナイト</x:v>
      </x:c>
      <x:c r="C43" s="6" t="n">
        <x:v>3194000</x:v>
      </x:c>
      <x:c r="D43" s="6" t="n">
        <x:v>9273000</x:v>
      </x:c>
      <x:c r="E43" s="6" t="n">
        <x:f>C43-D43</x:f>
        <x:v>-6079000</x:v>
      </x:c>
      <x:c r="F43" s="6" t="n">
        <x:f>F42+E43</x:f>
        <x:v>-163708000</x:v>
      </x:c>
      <x:c r="G43" s="6" t="n">
        <x:v>3009000</x:v>
      </x:c>
      <x:c r="H43" s="6" t="n">
        <x:v>9088000</x:v>
      </x:c>
      <x:c r="I43" s="6" t="n">
        <x:v>530</x:v>
      </x:c>
      <x:c r="J43" s="6" t="n">
        <x:v>284</x:v>
      </x:c>
      <x:c r="K43" s="6" t="n">
        <x:v>351</x:v>
      </x:c>
      <x:c r="L43" s="6" t="n">
        <x:v>10</x:v>
      </x:c>
      <x:c r="M43" s="11" t="n">
        <x:v>0.7141452991452991</x:v>
      </x:c>
      <x:c r="N43" s="6" t="n">
        <x:v>6180000</x:v>
      </x:c>
    </x:row>
    <x:row r="44" ht="24" customHeight="1">
      <x:c r="A44" s="2" t="str">
        <x:v>2026-10-16_Day</x:v>
      </x:c>
      <x:c r="B44" s="6" t="str">
        <x:v>デイ</x:v>
      </x:c>
      <x:c r="C44" s="6" t="n">
        <x:v>2467000</x:v>
      </x:c>
      <x:c r="D44" s="6" t="n">
        <x:v>7018000</x:v>
      </x:c>
      <x:c r="E44" s="6" t="n">
        <x:f>C44-D44</x:f>
        <x:v>-4551000</x:v>
      </x:c>
      <x:c r="F44" s="6" t="n">
        <x:f>F43+E44</x:f>
        <x:v>-168259000</x:v>
      </x:c>
      <x:c r="G44" s="6" t="n">
        <x:v>2263000</x:v>
      </x:c>
      <x:c r="H44" s="6" t="n">
        <x:v>6814000</x:v>
      </x:c>
      <x:c r="I44" s="6" t="n">
        <x:v>357</x:v>
      </x:c>
      <x:c r="J44" s="6" t="n">
        <x:v>243</x:v>
      </x:c>
      <x:c r="K44" s="6" t="n">
        <x:v>329</x:v>
      </x:c>
      <x:c r="L44" s="6" t="n">
        <x:v>10</x:v>
      </x:c>
      <x:c r="M44" s="11" t="n">
        <x:v>0.770079365079365</x:v>
      </x:c>
      <x:c r="N44" s="6" t="n">
        <x:v>4739000</x:v>
      </x:c>
    </x:row>
    <x:row r="45" ht="24" customHeight="1">
      <x:c r="A45" s="2" t="str">
        <x:v>2026-10-16_Night</x:v>
      </x:c>
      <x:c r="B45" s="6" t="str">
        <x:v>ナイト</x:v>
      </x:c>
      <x:c r="C45" s="6" t="n">
        <x:v>2975000</x:v>
      </x:c>
      <x:c r="D45" s="6" t="n">
        <x:v>10702000</x:v>
      </x:c>
      <x:c r="E45" s="6" t="n">
        <x:f>C45-D45</x:f>
        <x:v>-7727000</x:v>
      </x:c>
      <x:c r="F45" s="6" t="n">
        <x:f>F44+E45</x:f>
        <x:v>-175986000</x:v>
      </x:c>
      <x:c r="G45" s="6" t="n">
        <x:v>2724000</x:v>
      </x:c>
      <x:c r="H45" s="6" t="n">
        <x:v>10451000</x:v>
      </x:c>
      <x:c r="I45" s="6" t="n">
        <x:v>545</x:v>
      </x:c>
      <x:c r="J45" s="6" t="n">
        <x:v>276</x:v>
      </x:c>
      <x:c r="K45" s="6" t="n">
        <x:v>365</x:v>
      </x:c>
      <x:c r="L45" s="6" t="n">
        <x:v>10</x:v>
      </x:c>
      <x:c r="M45" s="11" t="n">
        <x:v>0.7291880341880342</x:v>
      </x:c>
      <x:c r="N45" s="6" t="n">
        <x:v>7817000</x:v>
      </x:c>
    </x:row>
    <x:row r="46" ht="24" customHeight="1">
      <x:c r="A46" s="2" t="str">
        <x:v>2026-10-19_Day</x:v>
      </x:c>
      <x:c r="B46" s="6" t="str">
        <x:v>デイ</x:v>
      </x:c>
      <x:c r="C46" s="6" t="n">
        <x:v>2843000</x:v>
      </x:c>
      <x:c r="D46" s="6" t="n">
        <x:v>7656000</x:v>
      </x:c>
      <x:c r="E46" s="6" t="n">
        <x:f>C46-D46</x:f>
        <x:v>-4813000</x:v>
      </x:c>
      <x:c r="F46" s="6" t="n">
        <x:f>F45+E46</x:f>
        <x:v>-180799000</x:v>
      </x:c>
      <x:c r="G46" s="6" t="n">
        <x:v>2728000</x:v>
      </x:c>
      <x:c r="H46" s="6" t="n">
        <x:v>7541000</x:v>
      </x:c>
      <x:c r="I46" s="6" t="n">
        <x:v>398</x:v>
      </x:c>
      <x:c r="J46" s="6" t="n">
        <x:v>241</x:v>
      </x:c>
      <x:c r="K46" s="6" t="n">
        <x:v>279</x:v>
      </x:c>
      <x:c r="L46" s="6" t="n">
        <x:v>10</x:v>
      </x:c>
      <x:c r="M46" s="11" t="n">
        <x:v>0.7522619047619048</x:v>
      </x:c>
      <x:c r="N46" s="6" t="n">
        <x:v>5036000</x:v>
      </x:c>
    </x:row>
    <x:row r="47" ht="24" customHeight="1">
      <x:c r="A47" s="2" t="str">
        <x:v>2026-10-19_Night</x:v>
      </x:c>
      <x:c r="B47" s="6" t="str">
        <x:v>ナイト</x:v>
      </x:c>
      <x:c r="C47" s="6" t="n">
        <x:v>2159000</x:v>
      </x:c>
      <x:c r="D47" s="6" t="n">
        <x:v>7837000</x:v>
      </x:c>
      <x:c r="E47" s="6" t="n">
        <x:f>C47-D47</x:f>
        <x:v>-5678000</x:v>
      </x:c>
      <x:c r="F47" s="6" t="n">
        <x:f>F46+E47</x:f>
        <x:v>-186477000</x:v>
      </x:c>
      <x:c r="G47" s="6" t="n">
        <x:v>1913000</x:v>
      </x:c>
      <x:c r="H47" s="6" t="n">
        <x:v>7591000</x:v>
      </x:c>
      <x:c r="I47" s="6" t="n">
        <x:v>472</x:v>
      </x:c>
      <x:c r="J47" s="6" t="n">
        <x:v>289</x:v>
      </x:c>
      <x:c r="K47" s="6" t="n">
        <x:v>336</x:v>
      </x:c>
      <x:c r="L47" s="6" t="n">
        <x:v>10</x:v>
      </x:c>
      <x:c r="M47" s="11" t="n">
        <x:v>0.6941880341880342</x:v>
      </x:c>
      <x:c r="N47" s="6" t="n">
        <x:v>5693000</x:v>
      </x:c>
    </x:row>
    <x:row r="48" ht="24" customHeight="1">
      <x:c r="A48" s="2" t="str">
        <x:v>2026-10-20_Day</x:v>
      </x:c>
      <x:c r="B48" s="6" t="str">
        <x:v>デイ</x:v>
      </x:c>
      <x:c r="C48" s="6" t="n">
        <x:v>2930000</x:v>
      </x:c>
      <x:c r="D48" s="6" t="n">
        <x:v>8540000</x:v>
      </x:c>
      <x:c r="E48" s="6" t="n">
        <x:f>C48-D48</x:f>
        <x:v>-5610000</x:v>
      </x:c>
      <x:c r="F48" s="6" t="n">
        <x:f>F47+E48</x:f>
        <x:v>-192087000</x:v>
      </x:c>
      <x:c r="G48" s="6" t="n">
        <x:v>2711000</x:v>
      </x:c>
      <x:c r="H48" s="6" t="n">
        <x:v>8321000</x:v>
      </x:c>
      <x:c r="I48" s="6" t="n">
        <x:v>390</x:v>
      </x:c>
      <x:c r="J48" s="6" t="n">
        <x:v>209</x:v>
      </x:c>
      <x:c r="K48" s="6" t="n">
        <x:v>300</x:v>
      </x:c>
      <x:c r="L48" s="6" t="n">
        <x:v>10</x:v>
      </x:c>
      <x:c r="M48" s="11" t="n">
        <x:v>0.7665873015873016</x:v>
      </x:c>
      <x:c r="N48" s="6" t="n">
        <x:v>5630000</x:v>
      </x:c>
    </x:row>
    <x:row r="49" ht="24" customHeight="1">
      <x:c r="A49" s="2" t="str">
        <x:v>2026-10-20_Night</x:v>
      </x:c>
      <x:c r="B49" s="6" t="str">
        <x:v>ナイト</x:v>
      </x:c>
      <x:c r="C49" s="6" t="n">
        <x:v>2867000</x:v>
      </x:c>
      <x:c r="D49" s="6" t="n">
        <x:v>8501000</x:v>
      </x:c>
      <x:c r="E49" s="6" t="n">
        <x:f>C49-D49</x:f>
        <x:v>-5634000</x:v>
      </x:c>
      <x:c r="F49" s="6" t="n">
        <x:f>F48+E49</x:f>
        <x:v>-197721000</x:v>
      </x:c>
      <x:c r="G49" s="6" t="n">
        <x:v>2608000</x:v>
      </x:c>
      <x:c r="H49" s="6" t="n">
        <x:v>8242000</x:v>
      </x:c>
      <x:c r="I49" s="6" t="n">
        <x:v>488</x:v>
      </x:c>
      <x:c r="J49" s="6" t="n">
        <x:v>290</x:v>
      </x:c>
      <x:c r="K49" s="6" t="n">
        <x:v>339</x:v>
      </x:c>
      <x:c r="L49" s="6" t="n">
        <x:v>10</x:v>
      </x:c>
      <x:c r="M49" s="11" t="n">
        <x:v>0.7148290598290599</x:v>
      </x:c>
      <x:c r="N49" s="6" t="n">
        <x:v>5650000</x:v>
      </x:c>
    </x:row>
    <x:row r="50" ht="24" customHeight="1">
      <x:c r="A50" s="2" t="str">
        <x:v>2026-10-21_Day</x:v>
      </x:c>
      <x:c r="B50" s="6" t="str">
        <x:v>デイ</x:v>
      </x:c>
      <x:c r="C50" s="6" t="n">
        <x:v>2247000</x:v>
      </x:c>
      <x:c r="D50" s="6" t="n">
        <x:v>7654000</x:v>
      </x:c>
      <x:c r="E50" s="6" t="n">
        <x:f>C50-D50</x:f>
        <x:v>-5407000</x:v>
      </x:c>
      <x:c r="F50" s="6" t="n">
        <x:f>F49+E50</x:f>
        <x:v>-203128000</x:v>
      </x:c>
      <x:c r="G50" s="6" t="n">
        <x:v>2096000</x:v>
      </x:c>
      <x:c r="H50" s="6" t="n">
        <x:v>7503000</x:v>
      </x:c>
      <x:c r="I50" s="6" t="n">
        <x:v>378</x:v>
      </x:c>
      <x:c r="J50" s="6" t="n">
        <x:v>206</x:v>
      </x:c>
      <x:c r="K50" s="6" t="n">
        <x:v>332</x:v>
      </x:c>
      <x:c r="L50" s="6" t="n">
        <x:v>10</x:v>
      </x:c>
      <x:c r="M50" s="11" t="n">
        <x:v>0.7699603174603175</x:v>
      </x:c>
      <x:c r="N50" s="6" t="n">
        <x:v>5457000</x:v>
      </x:c>
    </x:row>
    <x:row r="51" ht="24" customHeight="1">
      <x:c r="A51" s="2" t="str">
        <x:v>2026-10-21_Night</x:v>
      </x:c>
      <x:c r="B51" s="6" t="str">
        <x:v>ナイト</x:v>
      </x:c>
      <x:c r="C51" s="6" t="n">
        <x:v>2076000</x:v>
      </x:c>
      <x:c r="D51" s="6" t="n">
        <x:v>6755000</x:v>
      </x:c>
      <x:c r="E51" s="6" t="n">
        <x:f>C51-D51</x:f>
        <x:v>-4679000</x:v>
      </x:c>
      <x:c r="F51" s="6" t="n">
        <x:f>F50+E51</x:f>
        <x:v>-207807000</x:v>
      </x:c>
      <x:c r="G51" s="6" t="n">
        <x:v>1897000</x:v>
      </x:c>
      <x:c r="H51" s="6" t="n">
        <x:v>6576000</x:v>
      </x:c>
      <x:c r="I51" s="6" t="n">
        <x:v>426</x:v>
      </x:c>
      <x:c r="J51" s="6" t="n">
        <x:v>275</x:v>
      </x:c>
      <x:c r="K51" s="6" t="n">
        <x:v>325</x:v>
      </x:c>
      <x:c r="L51" s="6" t="n">
        <x:v>10</x:v>
      </x:c>
      <x:c r="M51" s="11" t="n">
        <x:v>0.6874145299145299</x:v>
      </x:c>
      <x:c r="N51" s="6" t="n">
        <x:v>4685000</x:v>
      </x:c>
    </x:row>
    <x:row r="52" ht="24" customHeight="1">
      <x:c r="A52" s="2" t="str">
        <x:v>2026-10-22_Day</x:v>
      </x:c>
      <x:c r="B52" s="6" t="str">
        <x:v>デイ</x:v>
      </x:c>
      <x:c r="C52" s="6" t="n">
        <x:v>2517000</x:v>
      </x:c>
      <x:c r="D52" s="6" t="n">
        <x:v>7475000</x:v>
      </x:c>
      <x:c r="E52" s="6" t="n">
        <x:f>C52-D52</x:f>
        <x:v>-4958000</x:v>
      </x:c>
      <x:c r="F52" s="6" t="n">
        <x:f>F51+E52</x:f>
        <x:v>-212765000</x:v>
      </x:c>
      <x:c r="G52" s="6" t="n">
        <x:v>2345000</x:v>
      </x:c>
      <x:c r="H52" s="6" t="n">
        <x:v>7303000</x:v>
      </x:c>
      <x:c r="I52" s="6" t="n">
        <x:v>376</x:v>
      </x:c>
      <x:c r="J52" s="6" t="n">
        <x:v>237</x:v>
      </x:c>
      <x:c r="K52" s="6" t="n">
        <x:v>324</x:v>
      </x:c>
      <x:c r="L52" s="6" t="n">
        <x:v>10</x:v>
      </x:c>
      <x:c r="M52" s="11" t="n">
        <x:v>0.7778571428571428</x:v>
      </x:c>
      <x:c r="N52" s="6" t="n">
        <x:v>5169000</x:v>
      </x:c>
    </x:row>
    <x:row r="53" ht="24" customHeight="1">
      <x:c r="A53" s="2" t="str">
        <x:v>2026-10-22_Night</x:v>
      </x:c>
      <x:c r="B53" s="6" t="str">
        <x:v>ナイト</x:v>
      </x:c>
      <x:c r="C53" s="6" t="n">
        <x:v>2629000</x:v>
      </x:c>
      <x:c r="D53" s="6" t="n">
        <x:v>8965000</x:v>
      </x:c>
      <x:c r="E53" s="6" t="n">
        <x:f>C53-D53</x:f>
        <x:v>-6336000</x:v>
      </x:c>
      <x:c r="F53" s="6" t="n">
        <x:f>F52+E53</x:f>
        <x:v>-219101000</x:v>
      </x:c>
      <x:c r="G53" s="6" t="n">
        <x:v>2280000</x:v>
      </x:c>
      <x:c r="H53" s="6" t="n">
        <x:v>8616000</x:v>
      </x:c>
      <x:c r="I53" s="6" t="n">
        <x:v>509</x:v>
      </x:c>
      <x:c r="J53" s="6" t="n">
        <x:v>284</x:v>
      </x:c>
      <x:c r="K53" s="6" t="n">
        <x:v>388</x:v>
      </x:c>
      <x:c r="L53" s="6" t="n">
        <x:v>10</x:v>
      </x:c>
      <x:c r="M53" s="11" t="n">
        <x:v>0.7153205128205128</x:v>
      </x:c>
      <x:c r="N53" s="6" t="n">
        <x:v>6376000</x:v>
      </x:c>
    </x:row>
    <x:row r="54" ht="24" customHeight="1">
      <x:c r="A54" s="2" t="str">
        <x:v>2026-10-23_Day</x:v>
      </x:c>
      <x:c r="B54" s="6" t="str">
        <x:v>デイ</x:v>
      </x:c>
      <x:c r="C54" s="6" t="n">
        <x:v>4431000</x:v>
      </x:c>
      <x:c r="D54" s="6" t="n">
        <x:v>10596000</x:v>
      </x:c>
      <x:c r="E54" s="6" t="n">
        <x:f>C54-D54</x:f>
        <x:v>-6165000</x:v>
      </x:c>
      <x:c r="F54" s="6" t="n">
        <x:f>F53+E54</x:f>
        <x:v>-225266000</x:v>
      </x:c>
      <x:c r="G54" s="6" t="n">
        <x:v>4243000</x:v>
      </x:c>
      <x:c r="H54" s="6" t="n">
        <x:v>10408000</x:v>
      </x:c>
      <x:c r="I54" s="6" t="n">
        <x:v>468</x:v>
      </x:c>
      <x:c r="J54" s="6" t="n">
        <x:v>199</x:v>
      </x:c>
      <x:c r="K54" s="6" t="n">
        <x:v>274</x:v>
      </x:c>
      <x:c r="L54" s="6" t="n">
        <x:v>10</x:v>
      </x:c>
      <x:c r="M54" s="11" t="n">
        <x:v>0.758015873015873</x:v>
      </x:c>
      <x:c r="N54" s="6" t="n">
        <x:v>6298000</x:v>
      </x:c>
    </x:row>
    <x:row r="55" ht="24" customHeight="1">
      <x:c r="A55" s="2" t="str">
        <x:v>2026-10-23_Night</x:v>
      </x:c>
      <x:c r="B55" s="6" t="str">
        <x:v>ナイト</x:v>
      </x:c>
      <x:c r="C55" s="6" t="n">
        <x:v>2528000</x:v>
      </x:c>
      <x:c r="D55" s="6" t="n">
        <x:v>8450000</x:v>
      </x:c>
      <x:c r="E55" s="6" t="n">
        <x:f>C55-D55</x:f>
        <x:v>-5922000</x:v>
      </x:c>
      <x:c r="F55" s="6" t="n">
        <x:f>F54+E55</x:f>
        <x:v>-231188000</x:v>
      </x:c>
      <x:c r="G55" s="6" t="n">
        <x:v>2293000</x:v>
      </x:c>
      <x:c r="H55" s="6" t="n">
        <x:v>8215000</x:v>
      </x:c>
      <x:c r="I55" s="6" t="n">
        <x:v>503</x:v>
      </x:c>
      <x:c r="J55" s="6" t="n">
        <x:v>290</x:v>
      </x:c>
      <x:c r="K55" s="6" t="n">
        <x:v>379</x:v>
      </x:c>
      <x:c r="L55" s="6" t="n">
        <x:v>10</x:v>
      </x:c>
      <x:c r="M55" s="11" t="n">
        <x:v>0.7381196581196581</x:v>
      </x:c>
      <x:c r="N55" s="6" t="n">
        <x:v>5922000</x:v>
      </x:c>
    </x:row>
    <x:row r="56" ht="24" customHeight="1">
      <x:c r="A56" s="2" t="str">
        <x:v>2026-10-26_Day</x:v>
      </x:c>
      <x:c r="B56" s="6" t="str">
        <x:v>デイ</x:v>
      </x:c>
      <x:c r="C56" s="6" t="n">
        <x:v>2749000</x:v>
      </x:c>
      <x:c r="D56" s="6" t="n">
        <x:v>8335000</x:v>
      </x:c>
      <x:c r="E56" s="6" t="n">
        <x:f>C56-D56</x:f>
        <x:v>-5586000</x:v>
      </x:c>
      <x:c r="F56" s="6" t="n">
        <x:f>F55+E56</x:f>
        <x:v>-236774000</x:v>
      </x:c>
      <x:c r="G56" s="6" t="n">
        <x:v>2505000</x:v>
      </x:c>
      <x:c r="H56" s="6" t="n">
        <x:v>8091000</x:v>
      </x:c>
      <x:c r="I56" s="6" t="n">
        <x:v>398</x:v>
      </x:c>
      <x:c r="J56" s="6" t="n">
        <x:v>198</x:v>
      </x:c>
      <x:c r="K56" s="6" t="n">
        <x:v>276</x:v>
      </x:c>
      <x:c r="L56" s="6" t="n">
        <x:v>10</x:v>
      </x:c>
      <x:c r="M56" s="11" t="n">
        <x:v>0.758095238095238</x:v>
      </x:c>
      <x:c r="N56" s="6" t="n">
        <x:v>5742000</x:v>
      </x:c>
    </x:row>
    <x:row r="57" ht="24" customHeight="1">
      <x:c r="A57" s="15" t="str">
        <x:v>累計／平均／最大</x:v>
      </x:c>
      <x:c r="B57" s="16"/>
      <x:c r="C57" s="16" t="n">
        <x:f>SUM(C6:C56)</x:f>
        <x:v>95806000</x:v>
      </x:c>
      <x:c r="D57" s="16" t="n">
        <x:f>SUM(D6:D56)</x:f>
        <x:v>332580000</x:v>
      </x:c>
      <x:c r="E57" s="16" t="n">
        <x:f>C57-D57</x:f>
        <x:v>-236774000</x:v>
      </x:c>
      <x:c r="F57" s="16" t="n">
        <x:f>F56</x:f>
        <x:v>-236774000</x:v>
      </x:c>
      <x:c r="G57" s="16" t="n">
        <x:f>SUM(G6:G56)</x:f>
        <x:v>87059000</x:v>
      </x:c>
      <x:c r="H57" s="16" t="n">
        <x:f>SUM(H6:H56)</x:f>
        <x:v>323833000</x:v>
      </x:c>
      <x:c r="I57" s="16" t="n">
        <x:f>SUM(I6:I56)</x:f>
        <x:v>18896</x:v>
      </x:c>
      <x:c r="J57" s="16" t="n">
        <x:f>SUM(J6:J56)</x:f>
        <x:v>12133</x:v>
      </x:c>
      <x:c r="K57" s="16" t="n">
        <x:f>SUM(K6:K56)</x:f>
        <x:v>14281</x:v>
      </x:c>
      <x:c r="L57" s="16" t="n">
        <x:f>MAX(L6:L56)</x:f>
        <x:v>10</x:v>
      </x:c>
      <x:c r="M57" s="17" t="n">
        <x:f>AVERAGE(M6:M56)</x:f>
        <x:v>0.7134398716751659</x:v>
      </x:c>
      <x:c r="N57" s="16" t="n">
        <x:f>MAX(N6:N56)</x:f>
        <x:v>7817000</x:v>
      </x:c>
    </x:row>
  </x:sheetData>
  <x:conditionalFormatting sqref="E6:F56">
    <x:cfRule type="cellIs" dxfId="13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52f23f3dd054ad8"/>
  </x:tableParts>
</x:worksheet>
</file>

<file path=xl/worksheets/sheet1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1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4" customHeight="1">
      <x:c r="A1" s="3" t="str">
        <x:v>日経 M07　各セッションの利益・損失・収支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A2" s="4" t="str">
        <x:v>2026/09/21〜10/26デイ・51完了場。日経mini／TOPIXmini各上限10枚・手数料0。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4" customHeight="1">
      <x:c r="A3" s="4" t="str">
        <x:v>180秒の時間加重平均を30秒前と比較。入口だけ傾き比例枚数、利益追尾で返済。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4" customHeight="1">
      <x:c r="A4" s="4" t="str">
        <x:v>利益・損失＝FIFO返済配賦別。親＝初回から全返済まで。ラージ気配による模型で、mini実約定の検証ではありません。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42" customHeight="1">
      <x:c r="A5" s="10" t="str">
        <x:v>セッション</x:v>
      </x:c>
      <x:c r="B5" s="10" t="str">
        <x:v>区分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親利益（円）</x:v>
      </x:c>
      <x:c r="H5" s="10" t="str">
        <x:v>親損失（円）</x:v>
      </x:c>
      <x:c r="I5" s="10" t="str">
        <x:v>初回件数</x:v>
      </x:c>
      <x:c r="J5" s="10" t="str">
        <x:v>追加件数</x:v>
      </x:c>
      <x:c r="K5" s="10" t="str">
        <x:v>縮小件数</x:v>
      </x:c>
      <x:c r="L5" s="10" t="str">
        <x:v>最大保有枚数</x:v>
      </x:c>
      <x:c r="M5" s="10" t="str">
        <x:v>保有時間率</x:v>
      </x:c>
      <x:c r="N5" s="10" t="str">
        <x:v>時価最大DD（円）</x:v>
      </x:c>
    </x:row>
    <x:row r="6" ht="24" customHeight="1">
      <x:c r="A6" s="2" t="str">
        <x:v>2026-09-21_Day</x:v>
      </x:c>
      <x:c r="B6" s="6" t="str">
        <x:v>デイ</x:v>
      </x:c>
      <x:c r="C6" s="6" t="n">
        <x:v>831000</x:v>
      </x:c>
      <x:c r="D6" s="6" t="n">
        <x:v>1037000</x:v>
      </x:c>
      <x:c r="E6" s="6" t="n">
        <x:f>C6-D6</x:f>
        <x:v>-206000</x:v>
      </x:c>
      <x:c r="F6" s="6" t="n">
        <x:f>E6</x:f>
        <x:v>-206000</x:v>
      </x:c>
      <x:c r="G6" s="6" t="n">
        <x:v>831000</x:v>
      </x:c>
      <x:c r="H6" s="6" t="n">
        <x:v>1037000</x:v>
      </x:c>
      <x:c r="I6" s="6" t="n">
        <x:v>44</x:v>
      </x:c>
      <x:c r="J6" s="6" t="n">
        <x:v>0</x:v>
      </x:c>
      <x:c r="K6" s="6" t="n">
        <x:v>0</x:v>
      </x:c>
      <x:c r="L6" s="6" t="n">
        <x:v>10</x:v>
      </x:c>
      <x:c r="M6" s="11" t="n">
        <x:v>0.9014682539682539</x:v>
      </x:c>
      <x:c r="N6" s="6" t="n">
        <x:v>458000</x:v>
      </x:c>
    </x:row>
    <x:row r="7" ht="24" customHeight="1">
      <x:c r="A7" s="2" t="str">
        <x:v>2026-09-21_Night</x:v>
      </x:c>
      <x:c r="B7" s="6" t="str">
        <x:v>ナイト</x:v>
      </x:c>
      <x:c r="C7" s="6" t="n">
        <x:v>660000</x:v>
      </x:c>
      <x:c r="D7" s="6" t="n">
        <x:v>637000</x:v>
      </x:c>
      <x:c r="E7" s="6" t="n">
        <x:f>C7-D7</x:f>
        <x:v>23000</x:v>
      </x:c>
      <x:c r="F7" s="6" t="n">
        <x:f>F6+E7</x:f>
        <x:v>-183000</x:v>
      </x:c>
      <x:c r="G7" s="6" t="n">
        <x:v>660000</x:v>
      </x:c>
      <x:c r="H7" s="6" t="n">
        <x:v>637000</x:v>
      </x:c>
      <x:c r="I7" s="6" t="n">
        <x:v>44</x:v>
      </x:c>
      <x:c r="J7" s="6" t="n">
        <x:v>0</x:v>
      </x:c>
      <x:c r="K7" s="6" t="n">
        <x:v>0</x:v>
      </x:c>
      <x:c r="L7" s="6" t="n">
        <x:v>10</x:v>
      </x:c>
      <x:c r="M7" s="11" t="n">
        <x:v>0.9211965811965812</x:v>
      </x:c>
      <x:c r="N7" s="6" t="n">
        <x:v>174000</x:v>
      </x:c>
    </x:row>
    <x:row r="8" ht="24" customHeight="1">
      <x:c r="A8" s="2" t="str">
        <x:v>2026-09-22_Day</x:v>
      </x:c>
      <x:c r="B8" s="6" t="str">
        <x:v>デイ</x:v>
      </x:c>
      <x:c r="C8" s="6" t="n">
        <x:v>770000</x:v>
      </x:c>
      <x:c r="D8" s="6" t="n">
        <x:v>1696000</x:v>
      </x:c>
      <x:c r="E8" s="6" t="n">
        <x:f>C8-D8</x:f>
        <x:v>-926000</x:v>
      </x:c>
      <x:c r="F8" s="6" t="n">
        <x:f>F7+E8</x:f>
        <x:v>-1109000</x:v>
      </x:c>
      <x:c r="G8" s="6" t="n">
        <x:v>770000</x:v>
      </x:c>
      <x:c r="H8" s="6" t="n">
        <x:v>1696000</x:v>
      </x:c>
      <x:c r="I8" s="6" t="n">
        <x:v>62</x:v>
      </x:c>
      <x:c r="J8" s="6" t="n">
        <x:v>0</x:v>
      </x:c>
      <x:c r="K8" s="6" t="n">
        <x:v>0</x:v>
      </x:c>
      <x:c r="L8" s="6" t="n">
        <x:v>10</x:v>
      </x:c>
      <x:c r="M8" s="11" t="n">
        <x:v>0.8848412698412699</x:v>
      </x:c>
      <x:c r="N8" s="6" t="n">
        <x:v>1106000</x:v>
      </x:c>
    </x:row>
    <x:row r="9" ht="24" customHeight="1">
      <x:c r="A9" s="2" t="str">
        <x:v>2026-09-22_Night</x:v>
      </x:c>
      <x:c r="B9" s="6" t="str">
        <x:v>ナイト</x:v>
      </x:c>
      <x:c r="C9" s="6" t="n">
        <x:v>1123000</x:v>
      </x:c>
      <x:c r="D9" s="6" t="n">
        <x:v>2080000</x:v>
      </x:c>
      <x:c r="E9" s="6" t="n">
        <x:f>C9-D9</x:f>
        <x:v>-957000</x:v>
      </x:c>
      <x:c r="F9" s="6" t="n">
        <x:f>F8+E9</x:f>
        <x:v>-2066000</x:v>
      </x:c>
      <x:c r="G9" s="6" t="n">
        <x:v>1123000</x:v>
      </x:c>
      <x:c r="H9" s="6" t="n">
        <x:v>2080000</x:v>
      </x:c>
      <x:c r="I9" s="6" t="n">
        <x:v>88</x:v>
      </x:c>
      <x:c r="J9" s="6" t="n">
        <x:v>0</x:v>
      </x:c>
      <x:c r="K9" s="6" t="n">
        <x:v>0</x:v>
      </x:c>
      <x:c r="L9" s="6" t="n">
        <x:v>10</x:v>
      </x:c>
      <x:c r="M9" s="11" t="n">
        <x:v>0.7923290598290599</x:v>
      </x:c>
      <x:c r="N9" s="6" t="n">
        <x:v>1222000</x:v>
      </x:c>
    </x:row>
    <x:row r="10" ht="24" customHeight="1">
      <x:c r="A10" s="2" t="str">
        <x:v>2026-09-23_Day</x:v>
      </x:c>
      <x:c r="B10" s="6" t="str">
        <x:v>デイ</x:v>
      </x:c>
      <x:c r="C10" s="6" t="n">
        <x:v>293000</x:v>
      </x:c>
      <x:c r="D10" s="6" t="n">
        <x:v>844000</x:v>
      </x:c>
      <x:c r="E10" s="6" t="n">
        <x:f>C10-D10</x:f>
        <x:v>-551000</x:v>
      </x:c>
      <x:c r="F10" s="6" t="n">
        <x:f>F9+E10</x:f>
        <x:v>-2617000</x:v>
      </x:c>
      <x:c r="G10" s="6" t="n">
        <x:v>293000</x:v>
      </x:c>
      <x:c r="H10" s="6" t="n">
        <x:v>844000</x:v>
      </x:c>
      <x:c r="I10" s="6" t="n">
        <x:v>29</x:v>
      </x:c>
      <x:c r="J10" s="6" t="n">
        <x:v>0</x:v>
      </x:c>
      <x:c r="K10" s="6" t="n">
        <x:v>0</x:v>
      </x:c>
      <x:c r="L10" s="6" t="n">
        <x:v>10</x:v>
      </x:c>
      <x:c r="M10" s="11" t="n">
        <x:v>0.9356746031746032</x:v>
      </x:c>
      <x:c r="N10" s="6" t="n">
        <x:v>595000</x:v>
      </x:c>
    </x:row>
    <x:row r="11" ht="24" customHeight="1">
      <x:c r="A11" s="2" t="str">
        <x:v>2026-09-23_Night</x:v>
      </x:c>
      <x:c r="B11" s="6" t="str">
        <x:v>ナイト</x:v>
      </x:c>
      <x:c r="C11" s="6" t="n">
        <x:v>701000</x:v>
      </x:c>
      <x:c r="D11" s="6" t="n">
        <x:v>1335000</x:v>
      </x:c>
      <x:c r="E11" s="6" t="n">
        <x:f>C11-D11</x:f>
        <x:v>-634000</x:v>
      </x:c>
      <x:c r="F11" s="6" t="n">
        <x:f>F10+E11</x:f>
        <x:v>-3251000</x:v>
      </x:c>
      <x:c r="G11" s="6" t="n">
        <x:v>701000</x:v>
      </x:c>
      <x:c r="H11" s="6" t="n">
        <x:v>1335000</x:v>
      </x:c>
      <x:c r="I11" s="6" t="n">
        <x:v>44</x:v>
      </x:c>
      <x:c r="J11" s="6" t="n">
        <x:v>0</x:v>
      </x:c>
      <x:c r="K11" s="6" t="n">
        <x:v>0</x:v>
      </x:c>
      <x:c r="L11" s="6" t="n">
        <x:v>10</x:v>
      </x:c>
      <x:c r="M11" s="11" t="n">
        <x:v>0.9472008547008547</x:v>
      </x:c>
      <x:c r="N11" s="6" t="n">
        <x:v>684000</x:v>
      </x:c>
    </x:row>
    <x:row r="12" ht="24" customHeight="1">
      <x:c r="A12" s="2" t="str">
        <x:v>2026-09-24_Day</x:v>
      </x:c>
      <x:c r="B12" s="6" t="str">
        <x:v>デイ</x:v>
      </x:c>
      <x:c r="C12" s="6" t="n">
        <x:v>1481000</x:v>
      </x:c>
      <x:c r="D12" s="6" t="n">
        <x:v>2693000</x:v>
      </x:c>
      <x:c r="E12" s="6" t="n">
        <x:f>C12-D12</x:f>
        <x:v>-1212000</x:v>
      </x:c>
      <x:c r="F12" s="6" t="n">
        <x:f>F11+E12</x:f>
        <x:v>-4463000</x:v>
      </x:c>
      <x:c r="G12" s="6" t="n">
        <x:v>1481000</x:v>
      </x:c>
      <x:c r="H12" s="6" t="n">
        <x:v>2693000</x:v>
      </x:c>
      <x:c r="I12" s="6" t="n">
        <x:v>95</x:v>
      </x:c>
      <x:c r="J12" s="6" t="n">
        <x:v>0</x:v>
      </x:c>
      <x:c r="K12" s="6" t="n">
        <x:v>0</x:v>
      </x:c>
      <x:c r="L12" s="6" t="n">
        <x:v>10</x:v>
      </x:c>
      <x:c r="M12" s="11" t="n">
        <x:v>0.9181746031746032</x:v>
      </x:c>
      <x:c r="N12" s="6" t="n">
        <x:v>1368000</x:v>
      </x:c>
    </x:row>
    <x:row r="13" ht="24" customHeight="1">
      <x:c r="A13" s="2" t="str">
        <x:v>2026-09-24_Night</x:v>
      </x:c>
      <x:c r="B13" s="6" t="str">
        <x:v>ナイト</x:v>
      </x:c>
      <x:c r="C13" s="6" t="n">
        <x:v>1843000</x:v>
      </x:c>
      <x:c r="D13" s="6" t="n">
        <x:v>4602000</x:v>
      </x:c>
      <x:c r="E13" s="6" t="n">
        <x:f>C13-D13</x:f>
        <x:v>-2759000</x:v>
      </x:c>
      <x:c r="F13" s="6" t="n">
        <x:f>F12+E13</x:f>
        <x:v>-7222000</x:v>
      </x:c>
      <x:c r="G13" s="6" t="n">
        <x:v>1843000</x:v>
      </x:c>
      <x:c r="H13" s="6" t="n">
        <x:v>4602000</x:v>
      </x:c>
      <x:c r="I13" s="6" t="n">
        <x:v>145</x:v>
      </x:c>
      <x:c r="J13" s="6" t="n">
        <x:v>0</x:v>
      </x:c>
      <x:c r="K13" s="6" t="n">
        <x:v>0</x:v>
      </x:c>
      <x:c r="L13" s="6" t="n">
        <x:v>10</x:v>
      </x:c>
      <x:c r="M13" s="11" t="n">
        <x:v>0.9017094017094017</x:v>
      </x:c>
      <x:c r="N13" s="6" t="n">
        <x:v>2939000</x:v>
      </x:c>
    </x:row>
    <x:row r="14" ht="24" customHeight="1">
      <x:c r="A14" s="2" t="str">
        <x:v>2026-09-25_Day</x:v>
      </x:c>
      <x:c r="B14" s="6" t="str">
        <x:v>デイ</x:v>
      </x:c>
      <x:c r="C14" s="6" t="n">
        <x:v>1059000</x:v>
      </x:c>
      <x:c r="D14" s="6" t="n">
        <x:v>2939000</x:v>
      </x:c>
      <x:c r="E14" s="6" t="n">
        <x:f>C14-D14</x:f>
        <x:v>-1880000</x:v>
      </x:c>
      <x:c r="F14" s="6" t="n">
        <x:f>F13+E14</x:f>
        <x:v>-9102000</x:v>
      </x:c>
      <x:c r="G14" s="6" t="n">
        <x:v>1059000</x:v>
      </x:c>
      <x:c r="H14" s="6" t="n">
        <x:v>2939000</x:v>
      </x:c>
      <x:c r="I14" s="6" t="n">
        <x:v>89</x:v>
      </x:c>
      <x:c r="J14" s="6" t="n">
        <x:v>0</x:v>
      </x:c>
      <x:c r="K14" s="6" t="n">
        <x:v>0</x:v>
      </x:c>
      <x:c r="L14" s="6" t="n">
        <x:v>10</x:v>
      </x:c>
      <x:c r="M14" s="11" t="n">
        <x:v>0.9107936507936508</x:v>
      </x:c>
      <x:c r="N14" s="6" t="n">
        <x:v>1929000</x:v>
      </x:c>
    </x:row>
    <x:row r="15" ht="24" customHeight="1">
      <x:c r="A15" s="2" t="str">
        <x:v>2026-09-25_Night</x:v>
      </x:c>
      <x:c r="B15" s="6" t="str">
        <x:v>ナイト</x:v>
      </x:c>
      <x:c r="C15" s="6" t="n">
        <x:v>1367000</x:v>
      </x:c>
      <x:c r="D15" s="6" t="n">
        <x:v>2112000</x:v>
      </x:c>
      <x:c r="E15" s="6" t="n">
        <x:f>C15-D15</x:f>
        <x:v>-745000</x:v>
      </x:c>
      <x:c r="F15" s="6" t="n">
        <x:f>F14+E15</x:f>
        <x:v>-9847000</x:v>
      </x:c>
      <x:c r="G15" s="6" t="n">
        <x:v>1367000</x:v>
      </x:c>
      <x:c r="H15" s="6" t="n">
        <x:v>2112000</x:v>
      </x:c>
      <x:c r="I15" s="6" t="n">
        <x:v>102</x:v>
      </x:c>
      <x:c r="J15" s="6" t="n">
        <x:v>0</x:v>
      </x:c>
      <x:c r="K15" s="6" t="n">
        <x:v>0</x:v>
      </x:c>
      <x:c r="L15" s="6" t="n">
        <x:v>10</x:v>
      </x:c>
      <x:c r="M15" s="11" t="n">
        <x:v>0.8810683760683761</x:v>
      </x:c>
      <x:c r="N15" s="6" t="n">
        <x:v>917000</x:v>
      </x:c>
    </x:row>
    <x:row r="16" ht="24" customHeight="1">
      <x:c r="A16" s="2" t="str">
        <x:v>2026-09-28_Day</x:v>
      </x:c>
      <x:c r="B16" s="6" t="str">
        <x:v>デイ</x:v>
      </x:c>
      <x:c r="C16" s="6" t="n">
        <x:v>1530000</x:v>
      </x:c>
      <x:c r="D16" s="6" t="n">
        <x:v>2533000</x:v>
      </x:c>
      <x:c r="E16" s="6" t="n">
        <x:f>C16-D16</x:f>
        <x:v>-1003000</x:v>
      </x:c>
      <x:c r="F16" s="6" t="n">
        <x:f>F15+E16</x:f>
        <x:v>-10850000</x:v>
      </x:c>
      <x:c r="G16" s="6" t="n">
        <x:v>1530000</x:v>
      </x:c>
      <x:c r="H16" s="6" t="n">
        <x:v>2533000</x:v>
      </x:c>
      <x:c r="I16" s="6" t="n">
        <x:v>99</x:v>
      </x:c>
      <x:c r="J16" s="6" t="n">
        <x:v>0</x:v>
      </x:c>
      <x:c r="K16" s="6" t="n">
        <x:v>0</x:v>
      </x:c>
      <x:c r="L16" s="6" t="n">
        <x:v>10</x:v>
      </x:c>
      <x:c r="M16" s="11" t="n">
        <x:v>0.9163492063492064</x:v>
      </x:c>
      <x:c r="N16" s="6" t="n">
        <x:v>1246000</x:v>
      </x:c>
    </x:row>
    <x:row r="17" ht="24" customHeight="1">
      <x:c r="A17" s="2" t="str">
        <x:v>2026-09-28_Night</x:v>
      </x:c>
      <x:c r="B17" s="6" t="str">
        <x:v>ナイト</x:v>
      </x:c>
      <x:c r="C17" s="6" t="n">
        <x:v>1610000</x:v>
      </x:c>
      <x:c r="D17" s="6" t="n">
        <x:v>3737000</x:v>
      </x:c>
      <x:c r="E17" s="6" t="n">
        <x:f>C17-D17</x:f>
        <x:v>-2127000</x:v>
      </x:c>
      <x:c r="F17" s="6" t="n">
        <x:f>F16+E17</x:f>
        <x:v>-12977000</x:v>
      </x:c>
      <x:c r="G17" s="6" t="n">
        <x:v>1610000</x:v>
      </x:c>
      <x:c r="H17" s="6" t="n">
        <x:v>3737000</x:v>
      </x:c>
      <x:c r="I17" s="6" t="n">
        <x:v>118</x:v>
      </x:c>
      <x:c r="J17" s="6" t="n">
        <x:v>0</x:v>
      </x:c>
      <x:c r="K17" s="6" t="n">
        <x:v>0</x:v>
      </x:c>
      <x:c r="L17" s="6" t="n">
        <x:v>10</x:v>
      </x:c>
      <x:c r="M17" s="11" t="n">
        <x:v>0.8913247863247863</x:v>
      </x:c>
      <x:c r="N17" s="6" t="n">
        <x:v>2170000</x:v>
      </x:c>
    </x:row>
    <x:row r="18" ht="24" customHeight="1">
      <x:c r="A18" s="2" t="str">
        <x:v>2026-09-29_Day</x:v>
      </x:c>
      <x:c r="B18" s="6" t="str">
        <x:v>デイ</x:v>
      </x:c>
      <x:c r="C18" s="6" t="n">
        <x:v>1712000</x:v>
      </x:c>
      <x:c r="D18" s="6" t="n">
        <x:v>3173000</x:v>
      </x:c>
      <x:c r="E18" s="6" t="n">
        <x:f>C18-D18</x:f>
        <x:v>-1461000</x:v>
      </x:c>
      <x:c r="F18" s="6" t="n">
        <x:f>F17+E18</x:f>
        <x:v>-14438000</x:v>
      </x:c>
      <x:c r="G18" s="6" t="n">
        <x:v>1712000</x:v>
      </x:c>
      <x:c r="H18" s="6" t="n">
        <x:v>3173000</x:v>
      </x:c>
      <x:c r="I18" s="6" t="n">
        <x:v>125</x:v>
      </x:c>
      <x:c r="J18" s="6" t="n">
        <x:v>0</x:v>
      </x:c>
      <x:c r="K18" s="6" t="n">
        <x:v>0</x:v>
      </x:c>
      <x:c r="L18" s="6" t="n">
        <x:v>10</x:v>
      </x:c>
      <x:c r="M18" s="11" t="n">
        <x:v>0.8980952380952381</x:v>
      </x:c>
      <x:c r="N18" s="6" t="n">
        <x:v>1783000</x:v>
      </x:c>
    </x:row>
    <x:row r="19" ht="24" customHeight="1">
      <x:c r="A19" s="2" t="str">
        <x:v>2026-09-29_Night</x:v>
      </x:c>
      <x:c r="B19" s="6" t="str">
        <x:v>ナイト</x:v>
      </x:c>
      <x:c r="C19" s="6" t="n">
        <x:v>1509000</x:v>
      </x:c>
      <x:c r="D19" s="6" t="n">
        <x:v>2628000</x:v>
      </x:c>
      <x:c r="E19" s="6" t="n">
        <x:f>C19-D19</x:f>
        <x:v>-1119000</x:v>
      </x:c>
      <x:c r="F19" s="6" t="n">
        <x:f>F18+E19</x:f>
        <x:v>-15557000</x:v>
      </x:c>
      <x:c r="G19" s="6" t="n">
        <x:v>1509000</x:v>
      </x:c>
      <x:c r="H19" s="6" t="n">
        <x:v>2628000</x:v>
      </x:c>
      <x:c r="I19" s="6" t="n">
        <x:v>104</x:v>
      </x:c>
      <x:c r="J19" s="6" t="n">
        <x:v>0</x:v>
      </x:c>
      <x:c r="K19" s="6" t="n">
        <x:v>0</x:v>
      </x:c>
      <x:c r="L19" s="6" t="n">
        <x:v>10</x:v>
      </x:c>
      <x:c r="M19" s="11" t="n">
        <x:v>0.9184401709401709</x:v>
      </x:c>
      <x:c r="N19" s="6" t="n">
        <x:v>1191000</x:v>
      </x:c>
    </x:row>
    <x:row r="20" ht="24" customHeight="1">
      <x:c r="A20" s="2" t="str">
        <x:v>2026-09-30_Day</x:v>
      </x:c>
      <x:c r="B20" s="6" t="str">
        <x:v>デイ</x:v>
      </x:c>
      <x:c r="C20" s="6" t="n">
        <x:v>1833000</x:v>
      </x:c>
      <x:c r="D20" s="6" t="n">
        <x:v>2566000</x:v>
      </x:c>
      <x:c r="E20" s="6" t="n">
        <x:f>C20-D20</x:f>
        <x:v>-733000</x:v>
      </x:c>
      <x:c r="F20" s="6" t="n">
        <x:f>F19+E20</x:f>
        <x:v>-16290000</x:v>
      </x:c>
      <x:c r="G20" s="6" t="n">
        <x:v>1833000</x:v>
      </x:c>
      <x:c r="H20" s="6" t="n">
        <x:v>2566000</x:v>
      </x:c>
      <x:c r="I20" s="6" t="n">
        <x:v>101</x:v>
      </x:c>
      <x:c r="J20" s="6" t="n">
        <x:v>0</x:v>
      </x:c>
      <x:c r="K20" s="6" t="n">
        <x:v>0</x:v>
      </x:c>
      <x:c r="L20" s="6" t="n">
        <x:v>10</x:v>
      </x:c>
      <x:c r="M20" s="11" t="n">
        <x:v>0.9148412698412698</x:v>
      </x:c>
      <x:c r="N20" s="6" t="n">
        <x:v>937000</x:v>
      </x:c>
    </x:row>
    <x:row r="21" ht="24" customHeight="1">
      <x:c r="A21" s="2" t="str">
        <x:v>2026-09-30_Night</x:v>
      </x:c>
      <x:c r="B21" s="6" t="str">
        <x:v>ナイト</x:v>
      </x:c>
      <x:c r="C21" s="6" t="n">
        <x:v>1720000</x:v>
      </x:c>
      <x:c r="D21" s="6" t="n">
        <x:v>3310000</x:v>
      </x:c>
      <x:c r="E21" s="6" t="n">
        <x:f>C21-D21</x:f>
        <x:v>-1590000</x:v>
      </x:c>
      <x:c r="F21" s="6" t="n">
        <x:f>F20+E21</x:f>
        <x:v>-17880000</x:v>
      </x:c>
      <x:c r="G21" s="6" t="n">
        <x:v>1720000</x:v>
      </x:c>
      <x:c r="H21" s="6" t="n">
        <x:v>3310000</x:v>
      </x:c>
      <x:c r="I21" s="6" t="n">
        <x:v>114</x:v>
      </x:c>
      <x:c r="J21" s="6" t="n">
        <x:v>0</x:v>
      </x:c>
      <x:c r="K21" s="6" t="n">
        <x:v>0</x:v>
      </x:c>
      <x:c r="L21" s="6" t="n">
        <x:v>10</x:v>
      </x:c>
      <x:c r="M21" s="11" t="n">
        <x:v>0.87758547008547</x:v>
      </x:c>
      <x:c r="N21" s="6" t="n">
        <x:v>1732000</x:v>
      </x:c>
    </x:row>
    <x:row r="22" ht="24" customHeight="1">
      <x:c r="A22" s="2" t="str">
        <x:v>2026-10-01_Day</x:v>
      </x:c>
      <x:c r="B22" s="6" t="str">
        <x:v>デイ</x:v>
      </x:c>
      <x:c r="C22" s="6" t="n">
        <x:v>1596000</x:v>
      </x:c>
      <x:c r="D22" s="6" t="n">
        <x:v>2431000</x:v>
      </x:c>
      <x:c r="E22" s="6" t="n">
        <x:f>C22-D22</x:f>
        <x:v>-835000</x:v>
      </x:c>
      <x:c r="F22" s="6" t="n">
        <x:f>F21+E22</x:f>
        <x:v>-18715000</x:v>
      </x:c>
      <x:c r="G22" s="6" t="n">
        <x:v>1596000</x:v>
      </x:c>
      <x:c r="H22" s="6" t="n">
        <x:v>2431000</x:v>
      </x:c>
      <x:c r="I22" s="6" t="n">
        <x:v>74</x:v>
      </x:c>
      <x:c r="J22" s="6" t="n">
        <x:v>0</x:v>
      </x:c>
      <x:c r="K22" s="6" t="n">
        <x:v>0</x:v>
      </x:c>
      <x:c r="L22" s="6" t="n">
        <x:v>10</x:v>
      </x:c>
      <x:c r="M22" s="11" t="n">
        <x:v>0.9283730158730159</x:v>
      </x:c>
      <x:c r="N22" s="6" t="n">
        <x:v>845000</x:v>
      </x:c>
    </x:row>
    <x:row r="23" ht="24" customHeight="1">
      <x:c r="A23" s="2" t="str">
        <x:v>2026-10-01_Night</x:v>
      </x:c>
      <x:c r="B23" s="6" t="str">
        <x:v>ナイト</x:v>
      </x:c>
      <x:c r="C23" s="6" t="n">
        <x:v>2369000</x:v>
      </x:c>
      <x:c r="D23" s="6" t="n">
        <x:v>3540000</x:v>
      </x:c>
      <x:c r="E23" s="6" t="n">
        <x:f>C23-D23</x:f>
        <x:v>-1171000</x:v>
      </x:c>
      <x:c r="F23" s="6" t="n">
        <x:f>F22+E23</x:f>
        <x:v>-19886000</x:v>
      </x:c>
      <x:c r="G23" s="6" t="n">
        <x:v>2369000</x:v>
      </x:c>
      <x:c r="H23" s="6" t="n">
        <x:v>3540000</x:v>
      </x:c>
      <x:c r="I23" s="6" t="n">
        <x:v>135</x:v>
      </x:c>
      <x:c r="J23" s="6" t="n">
        <x:v>0</x:v>
      </x:c>
      <x:c r="K23" s="6" t="n">
        <x:v>0</x:v>
      </x:c>
      <x:c r="L23" s="6" t="n">
        <x:v>10</x:v>
      </x:c>
      <x:c r="M23" s="11" t="n">
        <x:v>0.9167094017094017</x:v>
      </x:c>
      <x:c r="N23" s="6" t="n">
        <x:v>1327000</x:v>
      </x:c>
    </x:row>
    <x:row r="24" ht="24" customHeight="1">
      <x:c r="A24" s="2" t="str">
        <x:v>2026-10-02_Day</x:v>
      </x:c>
      <x:c r="B24" s="6" t="str">
        <x:v>デイ</x:v>
      </x:c>
      <x:c r="C24" s="6" t="n">
        <x:v>1149000</x:v>
      </x:c>
      <x:c r="D24" s="6" t="n">
        <x:v>3278000</x:v>
      </x:c>
      <x:c r="E24" s="6" t="n">
        <x:f>C24-D24</x:f>
        <x:v>-2129000</x:v>
      </x:c>
      <x:c r="F24" s="6" t="n">
        <x:f>F23+E24</x:f>
        <x:v>-22015000</x:v>
      </x:c>
      <x:c r="G24" s="6" t="n">
        <x:v>1149000</x:v>
      </x:c>
      <x:c r="H24" s="6" t="n">
        <x:v>3278000</x:v>
      </x:c>
      <x:c r="I24" s="6" t="n">
        <x:v>84</x:v>
      </x:c>
      <x:c r="J24" s="6" t="n">
        <x:v>0</x:v>
      </x:c>
      <x:c r="K24" s="6" t="n">
        <x:v>0</x:v>
      </x:c>
      <x:c r="L24" s="6" t="n">
        <x:v>10</x:v>
      </x:c>
      <x:c r="M24" s="11" t="n">
        <x:v>0.9264285714285714</x:v>
      </x:c>
      <x:c r="N24" s="6" t="n">
        <x:v>2477000</x:v>
      </x:c>
    </x:row>
    <x:row r="25" ht="24" customHeight="1">
      <x:c r="A25" s="2" t="str">
        <x:v>2026-10-02_Night</x:v>
      </x:c>
      <x:c r="B25" s="6" t="str">
        <x:v>ナイト</x:v>
      </x:c>
      <x:c r="C25" s="6" t="n">
        <x:v>1787000</x:v>
      </x:c>
      <x:c r="D25" s="6" t="n">
        <x:v>2009000</x:v>
      </x:c>
      <x:c r="E25" s="6" t="n">
        <x:f>C25-D25</x:f>
        <x:v>-222000</x:v>
      </x:c>
      <x:c r="F25" s="6" t="n">
        <x:f>F24+E25</x:f>
        <x:v>-22237000</x:v>
      </x:c>
      <x:c r="G25" s="6" t="n">
        <x:v>1787000</x:v>
      </x:c>
      <x:c r="H25" s="6" t="n">
        <x:v>2009000</x:v>
      </x:c>
      <x:c r="I25" s="6" t="n">
        <x:v>88</x:v>
      </x:c>
      <x:c r="J25" s="6" t="n">
        <x:v>0</x:v>
      </x:c>
      <x:c r="K25" s="6" t="n">
        <x:v>0</x:v>
      </x:c>
      <x:c r="L25" s="6" t="n">
        <x:v>10</x:v>
      </x:c>
      <x:c r="M25" s="11" t="n">
        <x:v>0.9330128205128205</x:v>
      </x:c>
      <x:c r="N25" s="6" t="n">
        <x:v>840000</x:v>
      </x:c>
    </x:row>
    <x:row r="26" ht="24" customHeight="1">
      <x:c r="A26" s="2" t="str">
        <x:v>2026-10-05_Day</x:v>
      </x:c>
      <x:c r="B26" s="6" t="str">
        <x:v>デイ</x:v>
      </x:c>
      <x:c r="C26" s="6" t="n">
        <x:v>1071000</x:v>
      </x:c>
      <x:c r="D26" s="6" t="n">
        <x:v>2030000</x:v>
      </x:c>
      <x:c r="E26" s="6" t="n">
        <x:f>C26-D26</x:f>
        <x:v>-959000</x:v>
      </x:c>
      <x:c r="F26" s="6" t="n">
        <x:f>F25+E26</x:f>
        <x:v>-23196000</x:v>
      </x:c>
      <x:c r="G26" s="6" t="n">
        <x:v>1071000</x:v>
      </x:c>
      <x:c r="H26" s="6" t="n">
        <x:v>2030000</x:v>
      </x:c>
      <x:c r="I26" s="6" t="n">
        <x:v>64</x:v>
      </x:c>
      <x:c r="J26" s="6" t="n">
        <x:v>0</x:v>
      </x:c>
      <x:c r="K26" s="6" t="n">
        <x:v>0</x:v>
      </x:c>
      <x:c r="L26" s="6" t="n">
        <x:v>10</x:v>
      </x:c>
      <x:c r="M26" s="11" t="n">
        <x:v>0.935515873015873</x:v>
      </x:c>
      <x:c r="N26" s="6" t="n">
        <x:v>1029000</x:v>
      </x:c>
    </x:row>
    <x:row r="27" ht="24" customHeight="1">
      <x:c r="A27" s="2" t="str">
        <x:v>2026-10-05_Night</x:v>
      </x:c>
      <x:c r="B27" s="6" t="str">
        <x:v>ナイト</x:v>
      </x:c>
      <x:c r="C27" s="6" t="n">
        <x:v>1174000</x:v>
      </x:c>
      <x:c r="D27" s="6" t="n">
        <x:v>1642000</x:v>
      </x:c>
      <x:c r="E27" s="6" t="n">
        <x:f>C27-D27</x:f>
        <x:v>-468000</x:v>
      </x:c>
      <x:c r="F27" s="6" t="n">
        <x:f>F26+E27</x:f>
        <x:v>-23664000</x:v>
      </x:c>
      <x:c r="G27" s="6" t="n">
        <x:v>1174000</x:v>
      </x:c>
      <x:c r="H27" s="6" t="n">
        <x:v>1642000</x:v>
      </x:c>
      <x:c r="I27" s="6" t="n">
        <x:v>65</x:v>
      </x:c>
      <x:c r="J27" s="6" t="n">
        <x:v>0</x:v>
      </x:c>
      <x:c r="K27" s="6" t="n">
        <x:v>0</x:v>
      </x:c>
      <x:c r="L27" s="6" t="n">
        <x:v>10</x:v>
      </x:c>
      <x:c r="M27" s="11" t="n">
        <x:v>0.9363461538461538</x:v>
      </x:c>
      <x:c r="N27" s="6" t="n">
        <x:v>701000</x:v>
      </x:c>
    </x:row>
    <x:row r="28" ht="24" customHeight="1">
      <x:c r="A28" s="2" t="str">
        <x:v>2026-10-06_Day</x:v>
      </x:c>
      <x:c r="B28" s="6" t="str">
        <x:v>デイ</x:v>
      </x:c>
      <x:c r="C28" s="6" t="n">
        <x:v>879000</x:v>
      </x:c>
      <x:c r="D28" s="6" t="n">
        <x:v>1699000</x:v>
      </x:c>
      <x:c r="E28" s="6" t="n">
        <x:f>C28-D28</x:f>
        <x:v>-820000</x:v>
      </x:c>
      <x:c r="F28" s="6" t="n">
        <x:f>F27+E28</x:f>
        <x:v>-24484000</x:v>
      </x:c>
      <x:c r="G28" s="6" t="n">
        <x:v>879000</x:v>
      </x:c>
      <x:c r="H28" s="6" t="n">
        <x:v>1699000</x:v>
      </x:c>
      <x:c r="I28" s="6" t="n">
        <x:v>50</x:v>
      </x:c>
      <x:c r="J28" s="6" t="n">
        <x:v>0</x:v>
      </x:c>
      <x:c r="K28" s="6" t="n">
        <x:v>0</x:v>
      </x:c>
      <x:c r="L28" s="6" t="n">
        <x:v>10</x:v>
      </x:c>
      <x:c r="M28" s="11" t="n">
        <x:v>0.9295634920634921</x:v>
      </x:c>
      <x:c r="N28" s="6" t="n">
        <x:v>1103000</x:v>
      </x:c>
    </x:row>
    <x:row r="29" ht="24" customHeight="1">
      <x:c r="A29" s="2" t="str">
        <x:v>2026-10-06_Night</x:v>
      </x:c>
      <x:c r="B29" s="6" t="str">
        <x:v>ナイト</x:v>
      </x:c>
      <x:c r="C29" s="6" t="n">
        <x:v>494000</x:v>
      </x:c>
      <x:c r="D29" s="6" t="n">
        <x:v>1043000</x:v>
      </x:c>
      <x:c r="E29" s="6" t="n">
        <x:f>C29-D29</x:f>
        <x:v>-549000</x:v>
      </x:c>
      <x:c r="F29" s="6" t="n">
        <x:f>F28+E29</x:f>
        <x:v>-25033000</x:v>
      </x:c>
      <x:c r="G29" s="6" t="n">
        <x:v>494000</x:v>
      </x:c>
      <x:c r="H29" s="6" t="n">
        <x:v>1043000</x:v>
      </x:c>
      <x:c r="I29" s="6" t="n">
        <x:v>45</x:v>
      </x:c>
      <x:c r="J29" s="6" t="n">
        <x:v>0</x:v>
      </x:c>
      <x:c r="K29" s="6" t="n">
        <x:v>0</x:v>
      </x:c>
      <x:c r="L29" s="6" t="n">
        <x:v>10</x:v>
      </x:c>
      <x:c r="M29" s="11" t="n">
        <x:v>0.9187393162393163</x:v>
      </x:c>
      <x:c r="N29" s="6" t="n">
        <x:v>607000</x:v>
      </x:c>
    </x:row>
    <x:row r="30" ht="24" customHeight="1">
      <x:c r="A30" s="2" t="str">
        <x:v>2026-10-07_Day</x:v>
      </x:c>
      <x:c r="B30" s="6" t="str">
        <x:v>デイ</x:v>
      </x:c>
      <x:c r="C30" s="6" t="n">
        <x:v>767000</x:v>
      </x:c>
      <x:c r="D30" s="6" t="n">
        <x:v>1162000</x:v>
      </x:c>
      <x:c r="E30" s="6" t="n">
        <x:f>C30-D30</x:f>
        <x:v>-395000</x:v>
      </x:c>
      <x:c r="F30" s="6" t="n">
        <x:f>F29+E30</x:f>
        <x:v>-25428000</x:v>
      </x:c>
      <x:c r="G30" s="6" t="n">
        <x:v>767000</x:v>
      </x:c>
      <x:c r="H30" s="6" t="n">
        <x:v>1162000</x:v>
      </x:c>
      <x:c r="I30" s="6" t="n">
        <x:v>45</x:v>
      </x:c>
      <x:c r="J30" s="6" t="n">
        <x:v>0</x:v>
      </x:c>
      <x:c r="K30" s="6" t="n">
        <x:v>0</x:v>
      </x:c>
      <x:c r="L30" s="6" t="n">
        <x:v>10</x:v>
      </x:c>
      <x:c r="M30" s="11" t="n">
        <x:v>0.9373412698412699</x:v>
      </x:c>
      <x:c r="N30" s="6" t="n">
        <x:v>599000</x:v>
      </x:c>
    </x:row>
    <x:row r="31" ht="24" customHeight="1">
      <x:c r="A31" s="2" t="str">
        <x:v>2026-10-07_Night</x:v>
      </x:c>
      <x:c r="B31" s="6" t="str">
        <x:v>ナイト</x:v>
      </x:c>
      <x:c r="C31" s="6" t="n">
        <x:v>786000</x:v>
      </x:c>
      <x:c r="D31" s="6" t="n">
        <x:v>2014000</x:v>
      </x:c>
      <x:c r="E31" s="6" t="n">
        <x:f>C31-D31</x:f>
        <x:v>-1228000</x:v>
      </x:c>
      <x:c r="F31" s="6" t="n">
        <x:f>F30+E31</x:f>
        <x:v>-26656000</x:v>
      </x:c>
      <x:c r="G31" s="6" t="n">
        <x:v>786000</x:v>
      </x:c>
      <x:c r="H31" s="6" t="n">
        <x:v>2014000</x:v>
      </x:c>
      <x:c r="I31" s="6" t="n">
        <x:v>59</x:v>
      </x:c>
      <x:c r="J31" s="6" t="n">
        <x:v>0</x:v>
      </x:c>
      <x:c r="K31" s="6" t="n">
        <x:v>0</x:v>
      </x:c>
      <x:c r="L31" s="6" t="n">
        <x:v>10</x:v>
      </x:c>
      <x:c r="M31" s="11" t="n">
        <x:v>0.9589957264957265</x:v>
      </x:c>
      <x:c r="N31" s="6" t="n">
        <x:v>1240000</x:v>
      </x:c>
    </x:row>
    <x:row r="32" ht="24" customHeight="1">
      <x:c r="A32" s="2" t="str">
        <x:v>2026-10-08_Day</x:v>
      </x:c>
      <x:c r="B32" s="6" t="str">
        <x:v>デイ</x:v>
      </x:c>
      <x:c r="C32" s="6" t="n">
        <x:v>1639000</x:v>
      </x:c>
      <x:c r="D32" s="6" t="n">
        <x:v>2221000</x:v>
      </x:c>
      <x:c r="E32" s="6" t="n">
        <x:f>C32-D32</x:f>
        <x:v>-582000</x:v>
      </x:c>
      <x:c r="F32" s="6" t="n">
        <x:f>F31+E32</x:f>
        <x:v>-27238000</x:v>
      </x:c>
      <x:c r="G32" s="6" t="n">
        <x:v>1639000</x:v>
      </x:c>
      <x:c r="H32" s="6" t="n">
        <x:v>2221000</x:v>
      </x:c>
      <x:c r="I32" s="6" t="n">
        <x:v>81</x:v>
      </x:c>
      <x:c r="J32" s="6" t="n">
        <x:v>0</x:v>
      </x:c>
      <x:c r="K32" s="6" t="n">
        <x:v>0</x:v>
      </x:c>
      <x:c r="L32" s="6" t="n">
        <x:v>10</x:v>
      </x:c>
      <x:c r="M32" s="11" t="n">
        <x:v>0.9232142857142858</x:v>
      </x:c>
      <x:c r="N32" s="6" t="n">
        <x:v>983000</x:v>
      </x:c>
    </x:row>
    <x:row r="33" ht="24" customHeight="1">
      <x:c r="A33" s="2" t="str">
        <x:v>2026-10-08_Night</x:v>
      </x:c>
      <x:c r="B33" s="6" t="str">
        <x:v>ナイト</x:v>
      </x:c>
      <x:c r="C33" s="6" t="n">
        <x:v>2072000</x:v>
      </x:c>
      <x:c r="D33" s="6" t="n">
        <x:v>3321000</x:v>
      </x:c>
      <x:c r="E33" s="6" t="n">
        <x:f>C33-D33</x:f>
        <x:v>-1249000</x:v>
      </x:c>
      <x:c r="F33" s="6" t="n">
        <x:f>F32+E33</x:f>
        <x:v>-28487000</x:v>
      </x:c>
      <x:c r="G33" s="6" t="n">
        <x:v>2072000</x:v>
      </x:c>
      <x:c r="H33" s="6" t="n">
        <x:v>3321000</x:v>
      </x:c>
      <x:c r="I33" s="6" t="n">
        <x:v>115</x:v>
      </x:c>
      <x:c r="J33" s="6" t="n">
        <x:v>0</x:v>
      </x:c>
      <x:c r="K33" s="6" t="n">
        <x:v>0</x:v>
      </x:c>
      <x:c r="L33" s="6" t="n">
        <x:v>10</x:v>
      </x:c>
      <x:c r="M33" s="11" t="n">
        <x:v>0.9229700854700855</x:v>
      </x:c>
      <x:c r="N33" s="6" t="n">
        <x:v>1368000</x:v>
      </x:c>
    </x:row>
    <x:row r="34" ht="24" customHeight="1">
      <x:c r="A34" s="2" t="str">
        <x:v>2026-10-09_Day</x:v>
      </x:c>
      <x:c r="B34" s="6" t="str">
        <x:v>デイ</x:v>
      </x:c>
      <x:c r="C34" s="6" t="n">
        <x:v>1306000</x:v>
      </x:c>
      <x:c r="D34" s="6" t="n">
        <x:v>2265000</x:v>
      </x:c>
      <x:c r="E34" s="6" t="n">
        <x:f>C34-D34</x:f>
        <x:v>-959000</x:v>
      </x:c>
      <x:c r="F34" s="6" t="n">
        <x:f>F33+E34</x:f>
        <x:v>-29446000</x:v>
      </x:c>
      <x:c r="G34" s="6" t="n">
        <x:v>1306000</x:v>
      </x:c>
      <x:c r="H34" s="6" t="n">
        <x:v>2265000</x:v>
      </x:c>
      <x:c r="I34" s="6" t="n">
        <x:v>73</x:v>
      </x:c>
      <x:c r="J34" s="6" t="n">
        <x:v>0</x:v>
      </x:c>
      <x:c r="K34" s="6" t="n">
        <x:v>0</x:v>
      </x:c>
      <x:c r="L34" s="6" t="n">
        <x:v>10</x:v>
      </x:c>
      <x:c r="M34" s="11" t="n">
        <x:v>0.9212698412698412</x:v>
      </x:c>
      <x:c r="N34" s="6" t="n">
        <x:v>1069000</x:v>
      </x:c>
    </x:row>
    <x:row r="35" ht="24" customHeight="1">
      <x:c r="A35" s="2" t="str">
        <x:v>2026-10-09_Night</x:v>
      </x:c>
      <x:c r="B35" s="6" t="str">
        <x:v>ナイト</x:v>
      </x:c>
      <x:c r="C35" s="6" t="n">
        <x:v>513000</x:v>
      </x:c>
      <x:c r="D35" s="6" t="n">
        <x:v>1504000</x:v>
      </x:c>
      <x:c r="E35" s="6" t="n">
        <x:f>C35-D35</x:f>
        <x:v>-991000</x:v>
      </x:c>
      <x:c r="F35" s="6" t="n">
        <x:f>F34+E35</x:f>
        <x:v>-30437000</x:v>
      </x:c>
      <x:c r="G35" s="6" t="n">
        <x:v>513000</x:v>
      </x:c>
      <x:c r="H35" s="6" t="n">
        <x:v>1504000</x:v>
      </x:c>
      <x:c r="I35" s="6" t="n">
        <x:v>48</x:v>
      </x:c>
      <x:c r="J35" s="6" t="n">
        <x:v>0</x:v>
      </x:c>
      <x:c r="K35" s="6" t="n">
        <x:v>0</x:v>
      </x:c>
      <x:c r="L35" s="6" t="n">
        <x:v>10</x:v>
      </x:c>
      <x:c r="M35" s="11" t="n">
        <x:v>0.9087179487179488</x:v>
      </x:c>
      <x:c r="N35" s="6" t="n">
        <x:v>1088000</x:v>
      </x:c>
    </x:row>
    <x:row r="36" ht="24" customHeight="1">
      <x:c r="A36" s="2" t="str">
        <x:v>2026-10-12_Day</x:v>
      </x:c>
      <x:c r="B36" s="6" t="str">
        <x:v>デイ</x:v>
      </x:c>
      <x:c r="C36" s="6" t="n">
        <x:v>528000</x:v>
      </x:c>
      <x:c r="D36" s="6" t="n">
        <x:v>894000</x:v>
      </x:c>
      <x:c r="E36" s="6" t="n">
        <x:f>C36-D36</x:f>
        <x:v>-366000</x:v>
      </x:c>
      <x:c r="F36" s="6" t="n">
        <x:f>F35+E36</x:f>
        <x:v>-30803000</x:v>
      </x:c>
      <x:c r="G36" s="6" t="n">
        <x:v>528000</x:v>
      </x:c>
      <x:c r="H36" s="6" t="n">
        <x:v>894000</x:v>
      </x:c>
      <x:c r="I36" s="6" t="n">
        <x:v>35</x:v>
      </x:c>
      <x:c r="J36" s="6" t="n">
        <x:v>0</x:v>
      </x:c>
      <x:c r="K36" s="6" t="n">
        <x:v>0</x:v>
      </x:c>
      <x:c r="L36" s="6" t="n">
        <x:v>10</x:v>
      </x:c>
      <x:c r="M36" s="11" t="n">
        <x:v>0.9091269841269841</x:v>
      </x:c>
      <x:c r="N36" s="6" t="n">
        <x:v>434000</x:v>
      </x:c>
    </x:row>
    <x:row r="37" ht="24" customHeight="1">
      <x:c r="A37" s="2" t="str">
        <x:v>2026-10-12_Night</x:v>
      </x:c>
      <x:c r="B37" s="6" t="str">
        <x:v>ナイト</x:v>
      </x:c>
      <x:c r="C37" s="6" t="n">
        <x:v>334000</x:v>
      </x:c>
      <x:c r="D37" s="6" t="n">
        <x:v>1123000</x:v>
      </x:c>
      <x:c r="E37" s="6" t="n">
        <x:f>C37-D37</x:f>
        <x:v>-789000</x:v>
      </x:c>
      <x:c r="F37" s="6" t="n">
        <x:f>F36+E37</x:f>
        <x:v>-31592000</x:v>
      </x:c>
      <x:c r="G37" s="6" t="n">
        <x:v>334000</x:v>
      </x:c>
      <x:c r="H37" s="6" t="n">
        <x:v>1123000</x:v>
      </x:c>
      <x:c r="I37" s="6" t="n">
        <x:v>38</x:v>
      </x:c>
      <x:c r="J37" s="6" t="n">
        <x:v>0</x:v>
      </x:c>
      <x:c r="K37" s="6" t="n">
        <x:v>0</x:v>
      </x:c>
      <x:c r="L37" s="6" t="n">
        <x:v>10</x:v>
      </x:c>
      <x:c r="M37" s="11" t="n">
        <x:v>0.8795299145299146</x:v>
      </x:c>
      <x:c r="N37" s="6" t="n">
        <x:v>818000</x:v>
      </x:c>
    </x:row>
    <x:row r="38" ht="24" customHeight="1">
      <x:c r="A38" s="2" t="str">
        <x:v>2026-10-13_Day</x:v>
      </x:c>
      <x:c r="B38" s="6" t="str">
        <x:v>デイ</x:v>
      </x:c>
      <x:c r="C38" s="6" t="n">
        <x:v>1742000</x:v>
      </x:c>
      <x:c r="D38" s="6" t="n">
        <x:v>3028000</x:v>
      </x:c>
      <x:c r="E38" s="6" t="n">
        <x:f>C38-D38</x:f>
        <x:v>-1286000</x:v>
      </x:c>
      <x:c r="F38" s="6" t="n">
        <x:f>F37+E38</x:f>
        <x:v>-32878000</x:v>
      </x:c>
      <x:c r="G38" s="6" t="n">
        <x:v>1742000</x:v>
      </x:c>
      <x:c r="H38" s="6" t="n">
        <x:v>3028000</x:v>
      </x:c>
      <x:c r="I38" s="6" t="n">
        <x:v>91</x:v>
      </x:c>
      <x:c r="J38" s="6" t="n">
        <x:v>0</x:v>
      </x:c>
      <x:c r="K38" s="6" t="n">
        <x:v>0</x:v>
      </x:c>
      <x:c r="L38" s="6" t="n">
        <x:v>10</x:v>
      </x:c>
      <x:c r="M38" s="11" t="n">
        <x:v>0.9183730158730159</x:v>
      </x:c>
      <x:c r="N38" s="6" t="n">
        <x:v>1592000</x:v>
      </x:c>
    </x:row>
    <x:row r="39" ht="24" customHeight="1">
      <x:c r="A39" s="2" t="str">
        <x:v>2026-10-13_Night</x:v>
      </x:c>
      <x:c r="B39" s="6" t="str">
        <x:v>ナイト</x:v>
      </x:c>
      <x:c r="C39" s="6" t="n">
        <x:v>723000</x:v>
      </x:c>
      <x:c r="D39" s="6" t="n">
        <x:v>884000</x:v>
      </x:c>
      <x:c r="E39" s="6" t="n">
        <x:f>C39-D39</x:f>
        <x:v>-161000</x:v>
      </x:c>
      <x:c r="F39" s="6" t="n">
        <x:f>F38+E39</x:f>
        <x:v>-33039000</x:v>
      </x:c>
      <x:c r="G39" s="6" t="n">
        <x:v>723000</x:v>
      </x:c>
      <x:c r="H39" s="6" t="n">
        <x:v>884000</x:v>
      </x:c>
      <x:c r="I39" s="6" t="n">
        <x:v>43</x:v>
      </x:c>
      <x:c r="J39" s="6" t="n">
        <x:v>0</x:v>
      </x:c>
      <x:c r="K39" s="6" t="n">
        <x:v>0</x:v>
      </x:c>
      <x:c r="L39" s="6" t="n">
        <x:v>10</x:v>
      </x:c>
      <x:c r="M39" s="11" t="n">
        <x:v>0.9071153846153847</x:v>
      </x:c>
      <x:c r="N39" s="6" t="n">
        <x:v>402000</x:v>
      </x:c>
    </x:row>
    <x:row r="40" ht="24" customHeight="1">
      <x:c r="A40" s="2" t="str">
        <x:v>2026-10-14_Day</x:v>
      </x:c>
      <x:c r="B40" s="6" t="str">
        <x:v>デイ</x:v>
      </x:c>
      <x:c r="C40" s="6" t="n">
        <x:v>1475000</x:v>
      </x:c>
      <x:c r="D40" s="6" t="n">
        <x:v>2709000</x:v>
      </x:c>
      <x:c r="E40" s="6" t="n">
        <x:f>C40-D40</x:f>
        <x:v>-1234000</x:v>
      </x:c>
      <x:c r="F40" s="6" t="n">
        <x:f>F39+E40</x:f>
        <x:v>-34273000</x:v>
      </x:c>
      <x:c r="G40" s="6" t="n">
        <x:v>1475000</x:v>
      </x:c>
      <x:c r="H40" s="6" t="n">
        <x:v>2709000</x:v>
      </x:c>
      <x:c r="I40" s="6" t="n">
        <x:v>70</x:v>
      </x:c>
      <x:c r="J40" s="6" t="n">
        <x:v>0</x:v>
      </x:c>
      <x:c r="K40" s="6" t="n">
        <x:v>0</x:v>
      </x:c>
      <x:c r="L40" s="6" t="n">
        <x:v>10</x:v>
      </x:c>
      <x:c r="M40" s="11" t="n">
        <x:v>0.9327380952380953</x:v>
      </x:c>
      <x:c r="N40" s="6" t="n">
        <x:v>1579000</x:v>
      </x:c>
    </x:row>
    <x:row r="41" ht="24" customHeight="1">
      <x:c r="A41" s="2" t="str">
        <x:v>2026-10-14_Night</x:v>
      </x:c>
      <x:c r="B41" s="6" t="str">
        <x:v>ナイト</x:v>
      </x:c>
      <x:c r="C41" s="6" t="n">
        <x:v>1934000</x:v>
      </x:c>
      <x:c r="D41" s="6" t="n">
        <x:v>3722000</x:v>
      </x:c>
      <x:c r="E41" s="6" t="n">
        <x:f>C41-D41</x:f>
        <x:v>-1788000</x:v>
      </x:c>
      <x:c r="F41" s="6" t="n">
        <x:f>F40+E41</x:f>
        <x:v>-36061000</x:v>
      </x:c>
      <x:c r="G41" s="6" t="n">
        <x:v>1934000</x:v>
      </x:c>
      <x:c r="H41" s="6" t="n">
        <x:v>3722000</x:v>
      </x:c>
      <x:c r="I41" s="6" t="n">
        <x:v>103</x:v>
      </x:c>
      <x:c r="J41" s="6" t="n">
        <x:v>0</x:v>
      </x:c>
      <x:c r="K41" s="6" t="n">
        <x:v>0</x:v>
      </x:c>
      <x:c r="L41" s="6" t="n">
        <x:v>10</x:v>
      </x:c>
      <x:c r="M41" s="11" t="n">
        <x:v>0.9355769230769231</x:v>
      </x:c>
      <x:c r="N41" s="6" t="n">
        <x:v>1904000</x:v>
      </x:c>
    </x:row>
    <x:row r="42" ht="24" customHeight="1">
      <x:c r="A42" s="2" t="str">
        <x:v>2026-10-15_Day</x:v>
      </x:c>
      <x:c r="B42" s="6" t="str">
        <x:v>デイ</x:v>
      </x:c>
      <x:c r="C42" s="6" t="n">
        <x:v>2807000</x:v>
      </x:c>
      <x:c r="D42" s="6" t="n">
        <x:v>5427000</x:v>
      </x:c>
      <x:c r="E42" s="6" t="n">
        <x:f>C42-D42</x:f>
        <x:v>-2620000</x:v>
      </x:c>
      <x:c r="F42" s="6" t="n">
        <x:f>F41+E42</x:f>
        <x:v>-38681000</x:v>
      </x:c>
      <x:c r="G42" s="6" t="n">
        <x:v>2807000</x:v>
      </x:c>
      <x:c r="H42" s="6" t="n">
        <x:v>5427000</x:v>
      </x:c>
      <x:c r="I42" s="6" t="n">
        <x:v>180</x:v>
      </x:c>
      <x:c r="J42" s="6" t="n">
        <x:v>0</x:v>
      </x:c>
      <x:c r="K42" s="6" t="n">
        <x:v>0</x:v>
      </x:c>
      <x:c r="L42" s="6" t="n">
        <x:v>10</x:v>
      </x:c>
      <x:c r="M42" s="11" t="n">
        <x:v>0.8754761904761905</x:v>
      </x:c>
      <x:c r="N42" s="6" t="n">
        <x:v>2782000</x:v>
      </x:c>
    </x:row>
    <x:row r="43" ht="24" customHeight="1">
      <x:c r="A43" s="2" t="str">
        <x:v>2026-10-15_Night</x:v>
      </x:c>
      <x:c r="B43" s="6" t="str">
        <x:v>ナイト</x:v>
      </x:c>
      <x:c r="C43" s="6" t="n">
        <x:v>2821000</x:v>
      </x:c>
      <x:c r="D43" s="6" t="n">
        <x:v>5338000</x:v>
      </x:c>
      <x:c r="E43" s="6" t="n">
        <x:f>C43-D43</x:f>
        <x:v>-2517000</x:v>
      </x:c>
      <x:c r="F43" s="6" t="n">
        <x:f>F42+E43</x:f>
        <x:v>-41198000</x:v>
      </x:c>
      <x:c r="G43" s="6" t="n">
        <x:v>2821000</x:v>
      </x:c>
      <x:c r="H43" s="6" t="n">
        <x:v>5338000</x:v>
      </x:c>
      <x:c r="I43" s="6" t="n">
        <x:v>194</x:v>
      </x:c>
      <x:c r="J43" s="6" t="n">
        <x:v>0</x:v>
      </x:c>
      <x:c r="K43" s="6" t="n">
        <x:v>0</x:v>
      </x:c>
      <x:c r="L43" s="6" t="n">
        <x:v>10</x:v>
      </x:c>
      <x:c r="M43" s="11" t="n">
        <x:v>0.8722222222222222</x:v>
      </x:c>
      <x:c r="N43" s="6" t="n">
        <x:v>2673000</x:v>
      </x:c>
    </x:row>
    <x:row r="44" ht="24" customHeight="1">
      <x:c r="A44" s="2" t="str">
        <x:v>2026-10-16_Day</x:v>
      </x:c>
      <x:c r="B44" s="6" t="str">
        <x:v>デイ</x:v>
      </x:c>
      <x:c r="C44" s="6" t="n">
        <x:v>1974000</x:v>
      </x:c>
      <x:c r="D44" s="6" t="n">
        <x:v>3837000</x:v>
      </x:c>
      <x:c r="E44" s="6" t="n">
        <x:f>C44-D44</x:f>
        <x:v>-1863000</x:v>
      </x:c>
      <x:c r="F44" s="6" t="n">
        <x:f>F43+E44</x:f>
        <x:v>-43061000</x:v>
      </x:c>
      <x:c r="G44" s="6" t="n">
        <x:v>1974000</x:v>
      </x:c>
      <x:c r="H44" s="6" t="n">
        <x:v>3837000</x:v>
      </x:c>
      <x:c r="I44" s="6" t="n">
        <x:v>133</x:v>
      </x:c>
      <x:c r="J44" s="6" t="n">
        <x:v>0</x:v>
      </x:c>
      <x:c r="K44" s="6" t="n">
        <x:v>0</x:v>
      </x:c>
      <x:c r="L44" s="6" t="n">
        <x:v>10</x:v>
      </x:c>
      <x:c r="M44" s="11" t="n">
        <x:v>0.9047619047619048</x:v>
      </x:c>
      <x:c r="N44" s="6" t="n">
        <x:v>1934000</x:v>
      </x:c>
    </x:row>
    <x:row r="45" ht="24" customHeight="1">
      <x:c r="A45" s="2" t="str">
        <x:v>2026-10-16_Night</x:v>
      </x:c>
      <x:c r="B45" s="6" t="str">
        <x:v>ナイト</x:v>
      </x:c>
      <x:c r="C45" s="6" t="n">
        <x:v>2639000</x:v>
      </x:c>
      <x:c r="D45" s="6" t="n">
        <x:v>5025000</x:v>
      </x:c>
      <x:c r="E45" s="6" t="n">
        <x:f>C45-D45</x:f>
        <x:v>-2386000</x:v>
      </x:c>
      <x:c r="F45" s="6" t="n">
        <x:f>F44+E45</x:f>
        <x:v>-45447000</x:v>
      </x:c>
      <x:c r="G45" s="6" t="n">
        <x:v>2639000</x:v>
      </x:c>
      <x:c r="H45" s="6" t="n">
        <x:v>5025000</x:v>
      </x:c>
      <x:c r="I45" s="6" t="n">
        <x:v>168</x:v>
      </x:c>
      <x:c r="J45" s="6" t="n">
        <x:v>0</x:v>
      </x:c>
      <x:c r="K45" s="6" t="n">
        <x:v>0</x:v>
      </x:c>
      <x:c r="L45" s="6" t="n">
        <x:v>10</x:v>
      </x:c>
      <x:c r="M45" s="11" t="n">
        <x:v>0.9011111111111111</x:v>
      </x:c>
      <x:c r="N45" s="6" t="n">
        <x:v>2609000</x:v>
      </x:c>
    </x:row>
    <x:row r="46" ht="24" customHeight="1">
      <x:c r="A46" s="2" t="str">
        <x:v>2026-10-19_Day</x:v>
      </x:c>
      <x:c r="B46" s="6" t="str">
        <x:v>デイ</x:v>
      </x:c>
      <x:c r="C46" s="6" t="n">
        <x:v>2416000</x:v>
      </x:c>
      <x:c r="D46" s="6" t="n">
        <x:v>3917000</x:v>
      </x:c>
      <x:c r="E46" s="6" t="n">
        <x:f>C46-D46</x:f>
        <x:v>-1501000</x:v>
      </x:c>
      <x:c r="F46" s="6" t="n">
        <x:f>F45+E46</x:f>
        <x:v>-46948000</x:v>
      </x:c>
      <x:c r="G46" s="6" t="n">
        <x:v>2416000</x:v>
      </x:c>
      <x:c r="H46" s="6" t="n">
        <x:v>3917000</x:v>
      </x:c>
      <x:c r="I46" s="6" t="n">
        <x:v>134</x:v>
      </x:c>
      <x:c r="J46" s="6" t="n">
        <x:v>0</x:v>
      </x:c>
      <x:c r="K46" s="6" t="n">
        <x:v>0</x:v>
      </x:c>
      <x:c r="L46" s="6" t="n">
        <x:v>10</x:v>
      </x:c>
      <x:c r="M46" s="11" t="n">
        <x:v>0.8872619047619048</x:v>
      </x:c>
      <x:c r="N46" s="6" t="n">
        <x:v>1641000</x:v>
      </x:c>
    </x:row>
    <x:row r="47" ht="24" customHeight="1">
      <x:c r="A47" s="2" t="str">
        <x:v>2026-10-19_Night</x:v>
      </x:c>
      <x:c r="B47" s="6" t="str">
        <x:v>ナイト</x:v>
      </x:c>
      <x:c r="C47" s="6" t="n">
        <x:v>1724000</x:v>
      </x:c>
      <x:c r="D47" s="6" t="n">
        <x:v>3767000</x:v>
      </x:c>
      <x:c r="E47" s="6" t="n">
        <x:f>C47-D47</x:f>
        <x:v>-2043000</x:v>
      </x:c>
      <x:c r="F47" s="6" t="n">
        <x:f>F46+E47</x:f>
        <x:v>-48991000</x:v>
      </x:c>
      <x:c r="G47" s="6" t="n">
        <x:v>1724000</x:v>
      </x:c>
      <x:c r="H47" s="6" t="n">
        <x:v>3767000</x:v>
      </x:c>
      <x:c r="I47" s="6" t="n">
        <x:v>130</x:v>
      </x:c>
      <x:c r="J47" s="6" t="n">
        <x:v>0</x:v>
      </x:c>
      <x:c r="K47" s="6" t="n">
        <x:v>0</x:v>
      </x:c>
      <x:c r="L47" s="6" t="n">
        <x:v>10</x:v>
      </x:c>
      <x:c r="M47" s="11" t="n">
        <x:v>0.9165384615384615</x:v>
      </x:c>
      <x:c r="N47" s="6" t="n">
        <x:v>2159000</x:v>
      </x:c>
    </x:row>
    <x:row r="48" ht="24" customHeight="1">
      <x:c r="A48" s="2" t="str">
        <x:v>2026-10-20_Day</x:v>
      </x:c>
      <x:c r="B48" s="6" t="str">
        <x:v>デイ</x:v>
      </x:c>
      <x:c r="C48" s="6" t="n">
        <x:v>2496000</x:v>
      </x:c>
      <x:c r="D48" s="6" t="n">
        <x:v>4075000</x:v>
      </x:c>
      <x:c r="E48" s="6" t="n">
        <x:f>C48-D48</x:f>
        <x:v>-1579000</x:v>
      </x:c>
      <x:c r="F48" s="6" t="n">
        <x:f>F47+E48</x:f>
        <x:v>-50570000</x:v>
      </x:c>
      <x:c r="G48" s="6" t="n">
        <x:v>2496000</x:v>
      </x:c>
      <x:c r="H48" s="6" t="n">
        <x:v>4075000</x:v>
      </x:c>
      <x:c r="I48" s="6" t="n">
        <x:v>148</x:v>
      </x:c>
      <x:c r="J48" s="6" t="n">
        <x:v>0</x:v>
      </x:c>
      <x:c r="K48" s="6" t="n">
        <x:v>0</x:v>
      </x:c>
      <x:c r="L48" s="6" t="n">
        <x:v>10</x:v>
      </x:c>
      <x:c r="M48" s="11" t="n">
        <x:v>0.8950396825396826</x:v>
      </x:c>
      <x:c r="N48" s="6" t="n">
        <x:v>1837000</x:v>
      </x:c>
    </x:row>
    <x:row r="49" ht="24" customHeight="1">
      <x:c r="A49" s="2" t="str">
        <x:v>2026-10-20_Night</x:v>
      </x:c>
      <x:c r="B49" s="6" t="str">
        <x:v>ナイト</x:v>
      </x:c>
      <x:c r="C49" s="6" t="n">
        <x:v>2557000</x:v>
      </x:c>
      <x:c r="D49" s="6" t="n">
        <x:v>3843000</x:v>
      </x:c>
      <x:c r="E49" s="6" t="n">
        <x:f>C49-D49</x:f>
        <x:v>-1286000</x:v>
      </x:c>
      <x:c r="F49" s="6" t="n">
        <x:f>F48+E49</x:f>
        <x:v>-51856000</x:v>
      </x:c>
      <x:c r="G49" s="6" t="n">
        <x:v>2557000</x:v>
      </x:c>
      <x:c r="H49" s="6" t="n">
        <x:v>3843000</x:v>
      </x:c>
      <x:c r="I49" s="6" t="n">
        <x:v>150</x:v>
      </x:c>
      <x:c r="J49" s="6" t="n">
        <x:v>0</x:v>
      </x:c>
      <x:c r="K49" s="6" t="n">
        <x:v>0</x:v>
      </x:c>
      <x:c r="L49" s="6" t="n">
        <x:v>10</x:v>
      </x:c>
      <x:c r="M49" s="11" t="n">
        <x:v>0.8421581196581197</x:v>
      </x:c>
      <x:c r="N49" s="6" t="n">
        <x:v>1724000</x:v>
      </x:c>
    </x:row>
    <x:row r="50" ht="24" customHeight="1">
      <x:c r="A50" s="2" t="str">
        <x:v>2026-10-21_Day</x:v>
      </x:c>
      <x:c r="B50" s="6" t="str">
        <x:v>デイ</x:v>
      </x:c>
      <x:c r="C50" s="6" t="n">
        <x:v>1988000</x:v>
      </x:c>
      <x:c r="D50" s="6" t="n">
        <x:v>3398000</x:v>
      </x:c>
      <x:c r="E50" s="6" t="n">
        <x:f>C50-D50</x:f>
        <x:v>-1410000</x:v>
      </x:c>
      <x:c r="F50" s="6" t="n">
        <x:f>F49+E50</x:f>
        <x:v>-53266000</x:v>
      </x:c>
      <x:c r="G50" s="6" t="n">
        <x:v>1988000</x:v>
      </x:c>
      <x:c r="H50" s="6" t="n">
        <x:v>3398000</x:v>
      </x:c>
      <x:c r="I50" s="6" t="n">
        <x:v>132</x:v>
      </x:c>
      <x:c r="J50" s="6" t="n">
        <x:v>0</x:v>
      </x:c>
      <x:c r="K50" s="6" t="n">
        <x:v>0</x:v>
      </x:c>
      <x:c r="L50" s="6" t="n">
        <x:v>10</x:v>
      </x:c>
      <x:c r="M50" s="11" t="n">
        <x:v>0.902063492063492</x:v>
      </x:c>
      <x:c r="N50" s="6" t="n">
        <x:v>1513000</x:v>
      </x:c>
    </x:row>
    <x:row r="51" ht="24" customHeight="1">
      <x:c r="A51" s="2" t="str">
        <x:v>2026-10-21_Night</x:v>
      </x:c>
      <x:c r="B51" s="6" t="str">
        <x:v>ナイト</x:v>
      </x:c>
      <x:c r="C51" s="6" t="n">
        <x:v>2304000</x:v>
      </x:c>
      <x:c r="D51" s="6" t="n">
        <x:v>2948000</x:v>
      </x:c>
      <x:c r="E51" s="6" t="n">
        <x:f>C51-D51</x:f>
        <x:v>-644000</x:v>
      </x:c>
      <x:c r="F51" s="6" t="n">
        <x:f>F50+E51</x:f>
        <x:v>-53910000</x:v>
      </x:c>
      <x:c r="G51" s="6" t="n">
        <x:v>2304000</x:v>
      </x:c>
      <x:c r="H51" s="6" t="n">
        <x:v>2948000</x:v>
      </x:c>
      <x:c r="I51" s="6" t="n">
        <x:v>121</x:v>
      </x:c>
      <x:c r="J51" s="6" t="n">
        <x:v>0</x:v>
      </x:c>
      <x:c r="K51" s="6" t="n">
        <x:v>0</x:v>
      </x:c>
      <x:c r="L51" s="6" t="n">
        <x:v>10</x:v>
      </x:c>
      <x:c r="M51" s="11" t="n">
        <x:v>0.9074786324786325</x:v>
      </x:c>
      <x:c r="N51" s="6" t="n">
        <x:v>1009000</x:v>
      </x:c>
    </x:row>
    <x:row r="52" ht="24" customHeight="1">
      <x:c r="A52" s="2" t="str">
        <x:v>2026-10-22_Day</x:v>
      </x:c>
      <x:c r="B52" s="6" t="str">
        <x:v>デイ</x:v>
      </x:c>
      <x:c r="C52" s="6" t="n">
        <x:v>1785000</x:v>
      </x:c>
      <x:c r="D52" s="6" t="n">
        <x:v>4371000</x:v>
      </x:c>
      <x:c r="E52" s="6" t="n">
        <x:f>C52-D52</x:f>
        <x:v>-2586000</x:v>
      </x:c>
      <x:c r="F52" s="6" t="n">
        <x:f>F51+E52</x:f>
        <x:v>-56496000</x:v>
      </x:c>
      <x:c r="G52" s="6" t="n">
        <x:v>1785000</x:v>
      </x:c>
      <x:c r="H52" s="6" t="n">
        <x:v>4371000</x:v>
      </x:c>
      <x:c r="I52" s="6" t="n">
        <x:v>142</x:v>
      </x:c>
      <x:c r="J52" s="6" t="n">
        <x:v>0</x:v>
      </x:c>
      <x:c r="K52" s="6" t="n">
        <x:v>0</x:v>
      </x:c>
      <x:c r="L52" s="6" t="n">
        <x:v>10</x:v>
      </x:c>
      <x:c r="M52" s="11" t="n">
        <x:v>0.8728174603174603</x:v>
      </x:c>
      <x:c r="N52" s="6" t="n">
        <x:v>2671000</x:v>
      </x:c>
    </x:row>
    <x:row r="53" ht="24" customHeight="1">
      <x:c r="A53" s="2" t="str">
        <x:v>2026-10-22_Night</x:v>
      </x:c>
      <x:c r="B53" s="6" t="str">
        <x:v>ナイト</x:v>
      </x:c>
      <x:c r="C53" s="6" t="n">
        <x:v>2880000</x:v>
      </x:c>
      <x:c r="D53" s="6" t="n">
        <x:v>3505000</x:v>
      </x:c>
      <x:c r="E53" s="6" t="n">
        <x:f>C53-D53</x:f>
        <x:v>-625000</x:v>
      </x:c>
      <x:c r="F53" s="6" t="n">
        <x:f>F52+E53</x:f>
        <x:v>-57121000</x:v>
      </x:c>
      <x:c r="G53" s="6" t="n">
        <x:v>2880000</x:v>
      </x:c>
      <x:c r="H53" s="6" t="n">
        <x:v>3505000</x:v>
      </x:c>
      <x:c r="I53" s="6" t="n">
        <x:v>155</x:v>
      </x:c>
      <x:c r="J53" s="6" t="n">
        <x:v>0</x:v>
      </x:c>
      <x:c r="K53" s="6" t="n">
        <x:v>0</x:v>
      </x:c>
      <x:c r="L53" s="6" t="n">
        <x:v>10</x:v>
      </x:c>
      <x:c r="M53" s="11" t="n">
        <x:v>0.906474358974359</x:v>
      </x:c>
      <x:c r="N53" s="6" t="n">
        <x:v>944000</x:v>
      </x:c>
    </x:row>
    <x:row r="54" ht="24" customHeight="1">
      <x:c r="A54" s="2" t="str">
        <x:v>2026-10-23_Day</x:v>
      </x:c>
      <x:c r="B54" s="6" t="str">
        <x:v>デイ</x:v>
      </x:c>
      <x:c r="C54" s="6" t="n">
        <x:v>4200000</x:v>
      </x:c>
      <x:c r="D54" s="6" t="n">
        <x:v>6660000</x:v>
      </x:c>
      <x:c r="E54" s="6" t="n">
        <x:f>C54-D54</x:f>
        <x:v>-2460000</x:v>
      </x:c>
      <x:c r="F54" s="6" t="n">
        <x:f>F53+E54</x:f>
        <x:v>-59581000</x:v>
      </x:c>
      <x:c r="G54" s="6" t="n">
        <x:v>4200000</x:v>
      </x:c>
      <x:c r="H54" s="6" t="n">
        <x:v>6660000</x:v>
      </x:c>
      <x:c r="I54" s="6" t="n">
        <x:v>242</x:v>
      </x:c>
      <x:c r="J54" s="6" t="n">
        <x:v>0</x:v>
      </x:c>
      <x:c r="K54" s="6" t="n">
        <x:v>0</x:v>
      </x:c>
      <x:c r="L54" s="6" t="n">
        <x:v>10</x:v>
      </x:c>
      <x:c r="M54" s="11" t="n">
        <x:v>0.8567460317460317</x:v>
      </x:c>
      <x:c r="N54" s="6" t="n">
        <x:v>2557000</x:v>
      </x:c>
    </x:row>
    <x:row r="55" ht="24" customHeight="1">
      <x:c r="A55" s="2" t="str">
        <x:v>2026-10-23_Night</x:v>
      </x:c>
      <x:c r="B55" s="6" t="str">
        <x:v>ナイト</x:v>
      </x:c>
      <x:c r="C55" s="6" t="n">
        <x:v>1958000</x:v>
      </x:c>
      <x:c r="D55" s="6" t="n">
        <x:v>4055000</x:v>
      </x:c>
      <x:c r="E55" s="6" t="n">
        <x:f>C55-D55</x:f>
        <x:v>-2097000</x:v>
      </x:c>
      <x:c r="F55" s="6" t="n">
        <x:f>F54+E55</x:f>
        <x:v>-61678000</x:v>
      </x:c>
      <x:c r="G55" s="6" t="n">
        <x:v>1958000</x:v>
      </x:c>
      <x:c r="H55" s="6" t="n">
        <x:v>4055000</x:v>
      </x:c>
      <x:c r="I55" s="6" t="n">
        <x:v>141</x:v>
      </x:c>
      <x:c r="J55" s="6" t="n">
        <x:v>0</x:v>
      </x:c>
      <x:c r="K55" s="6" t="n">
        <x:v>0</x:v>
      </x:c>
      <x:c r="L55" s="6" t="n">
        <x:v>10</x:v>
      </x:c>
      <x:c r="M55" s="11" t="n">
        <x:v>0.92008547008547</x:v>
      </x:c>
      <x:c r="N55" s="6" t="n">
        <x:v>2105000</x:v>
      </x:c>
    </x:row>
    <x:row r="56" ht="24" customHeight="1">
      <x:c r="A56" s="2" t="str">
        <x:v>2026-10-26_Day</x:v>
      </x:c>
      <x:c r="B56" s="6" t="str">
        <x:v>デイ</x:v>
      </x:c>
      <x:c r="C56" s="6" t="n">
        <x:v>2588000</x:v>
      </x:c>
      <x:c r="D56" s="6" t="n">
        <x:v>4909000</x:v>
      </x:c>
      <x:c r="E56" s="6" t="n">
        <x:f>C56-D56</x:f>
        <x:v>-2321000</x:v>
      </x:c>
      <x:c r="F56" s="6" t="n">
        <x:f>F55+E56</x:f>
        <x:v>-63999000</x:v>
      </x:c>
      <x:c r="G56" s="6" t="n">
        <x:v>2588000</x:v>
      </x:c>
      <x:c r="H56" s="6" t="n">
        <x:v>4909000</x:v>
      </x:c>
      <x:c r="I56" s="6" t="n">
        <x:v>167</x:v>
      </x:c>
      <x:c r="J56" s="6" t="n">
        <x:v>0</x:v>
      </x:c>
      <x:c r="K56" s="6" t="n">
        <x:v>0</x:v>
      </x:c>
      <x:c r="L56" s="6" t="n">
        <x:v>10</x:v>
      </x:c>
      <x:c r="M56" s="11" t="n">
        <x:v>0.8786507936507937</x:v>
      </x:c>
      <x:c r="N56" s="6" t="n">
        <x:v>2539000</x:v>
      </x:c>
    </x:row>
    <x:row r="57" ht="24" customHeight="1">
      <x:c r="A57" s="15" t="str">
        <x:v>累計／平均／最大</x:v>
      </x:c>
      <x:c r="B57" s="16"/>
      <x:c r="C57" s="16" t="n">
        <x:f>SUM(C6:C56)</x:f>
        <x:v>81517000</x:v>
      </x:c>
      <x:c r="D57" s="16" t="n">
        <x:f>SUM(D6:D56)</x:f>
        <x:v>145516000</x:v>
      </x:c>
      <x:c r="E57" s="16" t="n">
        <x:f>C57-D57</x:f>
        <x:v>-63999000</x:v>
      </x:c>
      <x:c r="F57" s="16" t="n">
        <x:f>F56</x:f>
        <x:v>-63999000</x:v>
      </x:c>
      <x:c r="G57" s="16" t="n">
        <x:f>SUM(G6:G56)</x:f>
        <x:v>81517000</x:v>
      </x:c>
      <x:c r="H57" s="16" t="n">
        <x:f>SUM(H6:H56)</x:f>
        <x:v>145516000</x:v>
      </x:c>
      <x:c r="I57" s="16" t="n">
        <x:f>SUM(I6:I56)</x:f>
        <x:v>5146</x:v>
      </x:c>
      <x:c r="J57" s="16" t="n">
        <x:f>SUM(J6:J56)</x:f>
        <x:v>0</x:v>
      </x:c>
      <x:c r="K57" s="16" t="n">
        <x:f>SUM(K6:K56)</x:f>
        <x:v>0</x:v>
      </x:c>
      <x:c r="L57" s="16" t="n">
        <x:f>MAX(L6:L56)</x:f>
        <x:v>10</x:v>
      </x:c>
      <x:c r="M57" s="17" t="n">
        <x:f>AVERAGE(M6:M56)</x:f>
        <x:v>0.9064634657281715</x:v>
      </x:c>
      <x:c r="N57" s="16" t="n">
        <x:f>MAX(N6:N56)</x:f>
        <x:v>2939000</x:v>
      </x:c>
    </x:row>
  </x:sheetData>
  <x:conditionalFormatting sqref="E6:F56">
    <x:cfRule type="cellIs" dxfId="14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e238518dfb848a1"/>
  </x:tableParts>
</x:worksheet>
</file>

<file path=xl/worksheets/sheet1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1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4" customHeight="1">
      <x:c r="A1" s="3" t="str">
        <x:v>日経 M08　各セッションの利益・損失・収支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A2" s="4" t="str">
        <x:v>2026/09/21〜10/26デイ・51完了場。日経mini／TOPIXmini各上限10枚・手数料0。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4" customHeight="1">
      <x:c r="A3" s="4" t="str">
        <x:v>180秒の時間加重平均を30秒前と比較。入口だけ傾き比例枚数、利益追尾＋傾き反転で返済。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4" customHeight="1">
      <x:c r="A4" s="4" t="str">
        <x:v>利益・損失＝FIFO返済配賦別。親＝初回から全返済まで。ラージ気配による模型で、mini実約定の検証ではありません。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42" customHeight="1">
      <x:c r="A5" s="10" t="str">
        <x:v>セッション</x:v>
      </x:c>
      <x:c r="B5" s="10" t="str">
        <x:v>区分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親利益（円）</x:v>
      </x:c>
      <x:c r="H5" s="10" t="str">
        <x:v>親損失（円）</x:v>
      </x:c>
      <x:c r="I5" s="10" t="str">
        <x:v>初回件数</x:v>
      </x:c>
      <x:c r="J5" s="10" t="str">
        <x:v>追加件数</x:v>
      </x:c>
      <x:c r="K5" s="10" t="str">
        <x:v>縮小件数</x:v>
      </x:c>
      <x:c r="L5" s="10" t="str">
        <x:v>最大保有枚数</x:v>
      </x:c>
      <x:c r="M5" s="10" t="str">
        <x:v>保有時間率</x:v>
      </x:c>
      <x:c r="N5" s="10" t="str">
        <x:v>時価最大DD（円）</x:v>
      </x:c>
    </x:row>
    <x:row r="6" ht="24" customHeight="1">
      <x:c r="A6" s="2" t="str">
        <x:v>2026-09-21_Day</x:v>
      </x:c>
      <x:c r="B6" s="6" t="str">
        <x:v>デイ</x:v>
      </x:c>
      <x:c r="C6" s="6" t="n">
        <x:v>518000</x:v>
      </x:c>
      <x:c r="D6" s="6" t="n">
        <x:v>1391000</x:v>
      </x:c>
      <x:c r="E6" s="6" t="n">
        <x:f>C6-D6</x:f>
        <x:v>-873000</x:v>
      </x:c>
      <x:c r="F6" s="6" t="n">
        <x:f>E6</x:f>
        <x:v>-873000</x:v>
      </x:c>
      <x:c r="G6" s="6" t="n">
        <x:v>518000</x:v>
      </x:c>
      <x:c r="H6" s="6" t="n">
        <x:v>1391000</x:v>
      </x:c>
      <x:c r="I6" s="6" t="n">
        <x:v>108</x:v>
      </x:c>
      <x:c r="J6" s="6" t="n">
        <x:v>0</x:v>
      </x:c>
      <x:c r="K6" s="6" t="n">
        <x:v>0</x:v>
      </x:c>
      <x:c r="L6" s="6" t="n">
        <x:v>10</x:v>
      </x:c>
      <x:c r="M6" s="11" t="n">
        <x:v>0.7402777777777778</x:v>
      </x:c>
      <x:c r="N6" s="6" t="n">
        <x:v>914000</x:v>
      </x:c>
    </x:row>
    <x:row r="7" ht="24" customHeight="1">
      <x:c r="A7" s="2" t="str">
        <x:v>2026-09-21_Night</x:v>
      </x:c>
      <x:c r="B7" s="6" t="str">
        <x:v>ナイト</x:v>
      </x:c>
      <x:c r="C7" s="6" t="n">
        <x:v>472000</x:v>
      </x:c>
      <x:c r="D7" s="6" t="n">
        <x:v>924000</x:v>
      </x:c>
      <x:c r="E7" s="6" t="n">
        <x:f>C7-D7</x:f>
        <x:v>-452000</x:v>
      </x:c>
      <x:c r="F7" s="6" t="n">
        <x:f>F6+E7</x:f>
        <x:v>-1325000</x:v>
      </x:c>
      <x:c r="G7" s="6" t="n">
        <x:v>472000</x:v>
      </x:c>
      <x:c r="H7" s="6" t="n">
        <x:v>924000</x:v>
      </x:c>
      <x:c r="I7" s="6" t="n">
        <x:v>129</x:v>
      </x:c>
      <x:c r="J7" s="6" t="n">
        <x:v>0</x:v>
      </x:c>
      <x:c r="K7" s="6" t="n">
        <x:v>0</x:v>
      </x:c>
      <x:c r="L7" s="6" t="n">
        <x:v>10</x:v>
      </x:c>
      <x:c r="M7" s="11" t="n">
        <x:v>0.6377136752136752</x:v>
      </x:c>
      <x:c r="N7" s="6" t="n">
        <x:v>477000</x:v>
      </x:c>
    </x:row>
    <x:row r="8" ht="24" customHeight="1">
      <x:c r="A8" s="2" t="str">
        <x:v>2026-09-22_Day</x:v>
      </x:c>
      <x:c r="B8" s="6" t="str">
        <x:v>デイ</x:v>
      </x:c>
      <x:c r="C8" s="6" t="n">
        <x:v>712000</x:v>
      </x:c>
      <x:c r="D8" s="6" t="n">
        <x:v>1780000</x:v>
      </x:c>
      <x:c r="E8" s="6" t="n">
        <x:f>C8-D8</x:f>
        <x:v>-1068000</x:v>
      </x:c>
      <x:c r="F8" s="6" t="n">
        <x:f>F7+E8</x:f>
        <x:v>-2393000</x:v>
      </x:c>
      <x:c r="G8" s="6" t="n">
        <x:v>712000</x:v>
      </x:c>
      <x:c r="H8" s="6" t="n">
        <x:v>1780000</x:v>
      </x:c>
      <x:c r="I8" s="6" t="n">
        <x:v>138</x:v>
      </x:c>
      <x:c r="J8" s="6" t="n">
        <x:v>0</x:v>
      </x:c>
      <x:c r="K8" s="6" t="n">
        <x:v>0</x:v>
      </x:c>
      <x:c r="L8" s="6" t="n">
        <x:v>10</x:v>
      </x:c>
      <x:c r="M8" s="11" t="n">
        <x:v>0.7617460317460317</x:v>
      </x:c>
      <x:c r="N8" s="6" t="n">
        <x:v>1291000</x:v>
      </x:c>
    </x:row>
    <x:row r="9" ht="24" customHeight="1">
      <x:c r="A9" s="2" t="str">
        <x:v>2026-09-22_Night</x:v>
      </x:c>
      <x:c r="B9" s="6" t="str">
        <x:v>ナイト</x:v>
      </x:c>
      <x:c r="C9" s="6" t="n">
        <x:v>1048000</x:v>
      </x:c>
      <x:c r="D9" s="6" t="n">
        <x:v>2355000</x:v>
      </x:c>
      <x:c r="E9" s="6" t="n">
        <x:f>C9-D9</x:f>
        <x:v>-1307000</x:v>
      </x:c>
      <x:c r="F9" s="6" t="n">
        <x:f>F8+E9</x:f>
        <x:v>-3700000</x:v>
      </x:c>
      <x:c r="G9" s="6" t="n">
        <x:v>1048000</x:v>
      </x:c>
      <x:c r="H9" s="6" t="n">
        <x:v>2355000</x:v>
      </x:c>
      <x:c r="I9" s="6" t="n">
        <x:v>193</x:v>
      </x:c>
      <x:c r="J9" s="6" t="n">
        <x:v>0</x:v>
      </x:c>
      <x:c r="K9" s="6" t="n">
        <x:v>0</x:v>
      </x:c>
      <x:c r="L9" s="6" t="n">
        <x:v>10</x:v>
      </x:c>
      <x:c r="M9" s="11" t="n">
        <x:v>0.7028846153846153</x:v>
      </x:c>
      <x:c r="N9" s="6" t="n">
        <x:v>1566000</x:v>
      </x:c>
    </x:row>
    <x:row r="10" ht="24" customHeight="1">
      <x:c r="A10" s="2" t="str">
        <x:v>2026-09-23_Day</x:v>
      </x:c>
      <x:c r="B10" s="6" t="str">
        <x:v>デイ</x:v>
      </x:c>
      <x:c r="C10" s="6" t="n">
        <x:v>261000</x:v>
      </x:c>
      <x:c r="D10" s="6" t="n">
        <x:v>1032000</x:v>
      </x:c>
      <x:c r="E10" s="6" t="n">
        <x:f>C10-D10</x:f>
        <x:v>-771000</x:v>
      </x:c>
      <x:c r="F10" s="6" t="n">
        <x:f>F9+E10</x:f>
        <x:v>-4471000</x:v>
      </x:c>
      <x:c r="G10" s="6" t="n">
        <x:v>261000</x:v>
      </x:c>
      <x:c r="H10" s="6" t="n">
        <x:v>1032000</x:v>
      </x:c>
      <x:c r="I10" s="6" t="n">
        <x:v>108</x:v>
      </x:c>
      <x:c r="J10" s="6" t="n">
        <x:v>0</x:v>
      </x:c>
      <x:c r="K10" s="6" t="n">
        <x:v>0</x:v>
      </x:c>
      <x:c r="L10" s="6" t="n">
        <x:v>10</x:v>
      </x:c>
      <x:c r="M10" s="11" t="n">
        <x:v>0.7376587301587302</x:v>
      </x:c>
      <x:c r="N10" s="6" t="n">
        <x:v>819000</x:v>
      </x:c>
    </x:row>
    <x:row r="11" ht="24" customHeight="1">
      <x:c r="A11" s="2" t="str">
        <x:v>2026-09-23_Night</x:v>
      </x:c>
      <x:c r="B11" s="6" t="str">
        <x:v>ナイト</x:v>
      </x:c>
      <x:c r="C11" s="6" t="n">
        <x:v>474000</x:v>
      </x:c>
      <x:c r="D11" s="6" t="n">
        <x:v>1601000</x:v>
      </x:c>
      <x:c r="E11" s="6" t="n">
        <x:f>C11-D11</x:f>
        <x:v>-1127000</x:v>
      </x:c>
      <x:c r="F11" s="6" t="n">
        <x:f>F10+E11</x:f>
        <x:v>-5598000</x:v>
      </x:c>
      <x:c r="G11" s="6" t="n">
        <x:v>474000</x:v>
      </x:c>
      <x:c r="H11" s="6" t="n">
        <x:v>1601000</x:v>
      </x:c>
      <x:c r="I11" s="6" t="n">
        <x:v>153</x:v>
      </x:c>
      <x:c r="J11" s="6" t="n">
        <x:v>0</x:v>
      </x:c>
      <x:c r="K11" s="6" t="n">
        <x:v>0</x:v>
      </x:c>
      <x:c r="L11" s="6" t="n">
        <x:v>10</x:v>
      </x:c>
      <x:c r="M11" s="11" t="n">
        <x:v>0.7633974358974359</x:v>
      </x:c>
      <x:c r="N11" s="6" t="n">
        <x:v>1132000</x:v>
      </x:c>
    </x:row>
    <x:row r="12" ht="24" customHeight="1">
      <x:c r="A12" s="2" t="str">
        <x:v>2026-09-24_Day</x:v>
      </x:c>
      <x:c r="B12" s="6" t="str">
        <x:v>デイ</x:v>
      </x:c>
      <x:c r="C12" s="6" t="n">
        <x:v>1382000</x:v>
      </x:c>
      <x:c r="D12" s="6" t="n">
        <x:v>2670000</x:v>
      </x:c>
      <x:c r="E12" s="6" t="n">
        <x:f>C12-D12</x:f>
        <x:v>-1288000</x:v>
      </x:c>
      <x:c r="F12" s="6" t="n">
        <x:f>F11+E12</x:f>
        <x:v>-6886000</x:v>
      </x:c>
      <x:c r="G12" s="6" t="n">
        <x:v>1382000</x:v>
      </x:c>
      <x:c r="H12" s="6" t="n">
        <x:v>2670000</x:v>
      </x:c>
      <x:c r="I12" s="6" t="n">
        <x:v>194</x:v>
      </x:c>
      <x:c r="J12" s="6" t="n">
        <x:v>0</x:v>
      </x:c>
      <x:c r="K12" s="6" t="n">
        <x:v>0</x:v>
      </x:c>
      <x:c r="L12" s="6" t="n">
        <x:v>10</x:v>
      </x:c>
      <x:c r="M12" s="11" t="n">
        <x:v>0.8373412698412699</x:v>
      </x:c>
      <x:c r="N12" s="6" t="n">
        <x:v>1441000</x:v>
      </x:c>
    </x:row>
    <x:row r="13" ht="24" customHeight="1">
      <x:c r="A13" s="2" t="str">
        <x:v>2026-09-24_Night</x:v>
      </x:c>
      <x:c r="B13" s="6" t="str">
        <x:v>ナイト</x:v>
      </x:c>
      <x:c r="C13" s="6" t="n">
        <x:v>1668000</x:v>
      </x:c>
      <x:c r="D13" s="6" t="n">
        <x:v>3621000</x:v>
      </x:c>
      <x:c r="E13" s="6" t="n">
        <x:f>C13-D13</x:f>
        <x:v>-1953000</x:v>
      </x:c>
      <x:c r="F13" s="6" t="n">
        <x:f>F12+E13</x:f>
        <x:v>-8839000</x:v>
      </x:c>
      <x:c r="G13" s="6" t="n">
        <x:v>1668000</x:v>
      </x:c>
      <x:c r="H13" s="6" t="n">
        <x:v>3621000</x:v>
      </x:c>
      <x:c r="I13" s="6" t="n">
        <x:v>262</x:v>
      </x:c>
      <x:c r="J13" s="6" t="n">
        <x:v>0</x:v>
      </x:c>
      <x:c r="K13" s="6" t="n">
        <x:v>0</x:v>
      </x:c>
      <x:c r="L13" s="6" t="n">
        <x:v>10</x:v>
      </x:c>
      <x:c r="M13" s="11" t="n">
        <x:v>0.7871367521367522</x:v>
      </x:c>
      <x:c r="N13" s="6" t="n">
        <x:v>2045000</x:v>
      </x:c>
    </x:row>
    <x:row r="14" ht="24" customHeight="1">
      <x:c r="A14" s="2" t="str">
        <x:v>2026-09-25_Day</x:v>
      </x:c>
      <x:c r="B14" s="6" t="str">
        <x:v>デイ</x:v>
      </x:c>
      <x:c r="C14" s="6" t="n">
        <x:v>986000</x:v>
      </x:c>
      <x:c r="D14" s="6" t="n">
        <x:v>2242000</x:v>
      </x:c>
      <x:c r="E14" s="6" t="n">
        <x:f>C14-D14</x:f>
        <x:v>-1256000</x:v>
      </x:c>
      <x:c r="F14" s="6" t="n">
        <x:f>F13+E14</x:f>
        <x:v>-10095000</x:v>
      </x:c>
      <x:c r="G14" s="6" t="n">
        <x:v>986000</x:v>
      </x:c>
      <x:c r="H14" s="6" t="n">
        <x:v>2242000</x:v>
      </x:c>
      <x:c r="I14" s="6" t="n">
        <x:v>198</x:v>
      </x:c>
      <x:c r="J14" s="6" t="n">
        <x:v>0</x:v>
      </x:c>
      <x:c r="K14" s="6" t="n">
        <x:v>0</x:v>
      </x:c>
      <x:c r="L14" s="6" t="n">
        <x:v>10</x:v>
      </x:c>
      <x:c r="M14" s="11" t="n">
        <x:v>0.819484126984127</x:v>
      </x:c>
      <x:c r="N14" s="6" t="n">
        <x:v>1289000</x:v>
      </x:c>
    </x:row>
    <x:row r="15" ht="24" customHeight="1">
      <x:c r="A15" s="2" t="str">
        <x:v>2026-09-25_Night</x:v>
      </x:c>
      <x:c r="B15" s="6" t="str">
        <x:v>ナイト</x:v>
      </x:c>
      <x:c r="C15" s="6" t="n">
        <x:v>1110000</x:v>
      </x:c>
      <x:c r="D15" s="6" t="n">
        <x:v>2198000</x:v>
      </x:c>
      <x:c r="E15" s="6" t="n">
        <x:f>C15-D15</x:f>
        <x:v>-1088000</x:v>
      </x:c>
      <x:c r="F15" s="6" t="n">
        <x:f>F14+E15</x:f>
        <x:v>-11183000</x:v>
      </x:c>
      <x:c r="G15" s="6" t="n">
        <x:v>1110000</x:v>
      </x:c>
      <x:c r="H15" s="6" t="n">
        <x:v>2198000</x:v>
      </x:c>
      <x:c r="I15" s="6" t="n">
        <x:v>200</x:v>
      </x:c>
      <x:c r="J15" s="6" t="n">
        <x:v>0</x:v>
      </x:c>
      <x:c r="K15" s="6" t="n">
        <x:v>0</x:v>
      </x:c>
      <x:c r="L15" s="6" t="n">
        <x:v>10</x:v>
      </x:c>
      <x:c r="M15" s="11" t="n">
        <x:v>0.7434188034188034</x:v>
      </x:c>
      <x:c r="N15" s="6" t="n">
        <x:v>1204000</x:v>
      </x:c>
    </x:row>
    <x:row r="16" ht="24" customHeight="1">
      <x:c r="A16" s="2" t="str">
        <x:v>2026-09-28_Day</x:v>
      </x:c>
      <x:c r="B16" s="6" t="str">
        <x:v>デイ</x:v>
      </x:c>
      <x:c r="C16" s="6" t="n">
        <x:v>1231000</x:v>
      </x:c>
      <x:c r="D16" s="6" t="n">
        <x:v>3245000</x:v>
      </x:c>
      <x:c r="E16" s="6" t="n">
        <x:f>C16-D16</x:f>
        <x:v>-2014000</x:v>
      </x:c>
      <x:c r="F16" s="6" t="n">
        <x:f>F15+E16</x:f>
        <x:v>-13197000</x:v>
      </x:c>
      <x:c r="G16" s="6" t="n">
        <x:v>1231000</x:v>
      </x:c>
      <x:c r="H16" s="6" t="n">
        <x:v>3245000</x:v>
      </x:c>
      <x:c r="I16" s="6" t="n">
        <x:v>233</x:v>
      </x:c>
      <x:c r="J16" s="6" t="n">
        <x:v>0</x:v>
      </x:c>
      <x:c r="K16" s="6" t="n">
        <x:v>0</x:v>
      </x:c>
      <x:c r="L16" s="6" t="n">
        <x:v>10</x:v>
      </x:c>
      <x:c r="M16" s="11" t="n">
        <x:v>0.819484126984127</x:v>
      </x:c>
      <x:c r="N16" s="6" t="n">
        <x:v>2066000</x:v>
      </x:c>
    </x:row>
    <x:row r="17" ht="24" customHeight="1">
      <x:c r="A17" s="2" t="str">
        <x:v>2026-09-28_Night</x:v>
      </x:c>
      <x:c r="B17" s="6" t="str">
        <x:v>ナイト</x:v>
      </x:c>
      <x:c r="C17" s="6" t="n">
        <x:v>1360000</x:v>
      </x:c>
      <x:c r="D17" s="6" t="n">
        <x:v>3504000</x:v>
      </x:c>
      <x:c r="E17" s="6" t="n">
        <x:f>C17-D17</x:f>
        <x:v>-2144000</x:v>
      </x:c>
      <x:c r="F17" s="6" t="n">
        <x:f>F16+E17</x:f>
        <x:v>-15341000</x:v>
      </x:c>
      <x:c r="G17" s="6" t="n">
        <x:v>1360000</x:v>
      </x:c>
      <x:c r="H17" s="6" t="n">
        <x:v>3504000</x:v>
      </x:c>
      <x:c r="I17" s="6" t="n">
        <x:v>250</x:v>
      </x:c>
      <x:c r="J17" s="6" t="n">
        <x:v>0</x:v>
      </x:c>
      <x:c r="K17" s="6" t="n">
        <x:v>0</x:v>
      </x:c>
      <x:c r="L17" s="6" t="n">
        <x:v>10</x:v>
      </x:c>
      <x:c r="M17" s="11" t="n">
        <x:v>0.7632478632478632</x:v>
      </x:c>
      <x:c r="N17" s="6" t="n">
        <x:v>2166000</x:v>
      </x:c>
    </x:row>
    <x:row r="18" ht="24" customHeight="1">
      <x:c r="A18" s="2" t="str">
        <x:v>2026-09-29_Day</x:v>
      </x:c>
      <x:c r="B18" s="6" t="str">
        <x:v>デイ</x:v>
      </x:c>
      <x:c r="C18" s="6" t="n">
        <x:v>1063000</x:v>
      </x:c>
      <x:c r="D18" s="6" t="n">
        <x:v>3619000</x:v>
      </x:c>
      <x:c r="E18" s="6" t="n">
        <x:f>C18-D18</x:f>
        <x:v>-2556000</x:v>
      </x:c>
      <x:c r="F18" s="6" t="n">
        <x:f>F17+E18</x:f>
        <x:v>-17897000</x:v>
      </x:c>
      <x:c r="G18" s="6" t="n">
        <x:v>1063000</x:v>
      </x:c>
      <x:c r="H18" s="6" t="n">
        <x:v>3619000</x:v>
      </x:c>
      <x:c r="I18" s="6" t="n">
        <x:v>223</x:v>
      </x:c>
      <x:c r="J18" s="6" t="n">
        <x:v>0</x:v>
      </x:c>
      <x:c r="K18" s="6" t="n">
        <x:v>0</x:v>
      </x:c>
      <x:c r="L18" s="6" t="n">
        <x:v>10</x:v>
      </x:c>
      <x:c r="M18" s="11" t="n">
        <x:v>0.8216269841269841</x:v>
      </x:c>
      <x:c r="N18" s="6" t="n">
        <x:v>2603000</x:v>
      </x:c>
    </x:row>
    <x:row r="19" ht="24" customHeight="1">
      <x:c r="A19" s="2" t="str">
        <x:v>2026-09-29_Night</x:v>
      </x:c>
      <x:c r="B19" s="6" t="str">
        <x:v>ナイト</x:v>
      </x:c>
      <x:c r="C19" s="6" t="n">
        <x:v>1103000</x:v>
      </x:c>
      <x:c r="D19" s="6" t="n">
        <x:v>2836000</x:v>
      </x:c>
      <x:c r="E19" s="6" t="n">
        <x:f>C19-D19</x:f>
        <x:v>-1733000</x:v>
      </x:c>
      <x:c r="F19" s="6" t="n">
        <x:f>F18+E19</x:f>
        <x:v>-19630000</x:v>
      </x:c>
      <x:c r="G19" s="6" t="n">
        <x:v>1103000</x:v>
      </x:c>
      <x:c r="H19" s="6" t="n">
        <x:v>2836000</x:v>
      </x:c>
      <x:c r="I19" s="6" t="n">
        <x:v>236</x:v>
      </x:c>
      <x:c r="J19" s="6" t="n">
        <x:v>0</x:v>
      </x:c>
      <x:c r="K19" s="6" t="n">
        <x:v>0</x:v>
      </x:c>
      <x:c r="L19" s="6" t="n">
        <x:v>10</x:v>
      </x:c>
      <x:c r="M19" s="11" t="n">
        <x:v>0.8174786324786325</x:v>
      </x:c>
      <x:c r="N19" s="6" t="n">
        <x:v>1755000</x:v>
      </x:c>
    </x:row>
    <x:row r="20" ht="24" customHeight="1">
      <x:c r="A20" s="2" t="str">
        <x:v>2026-09-30_Day</x:v>
      </x:c>
      <x:c r="B20" s="6" t="str">
        <x:v>デイ</x:v>
      </x:c>
      <x:c r="C20" s="6" t="n">
        <x:v>1241000</x:v>
      </x:c>
      <x:c r="D20" s="6" t="n">
        <x:v>2858000</x:v>
      </x:c>
      <x:c r="E20" s="6" t="n">
        <x:f>C20-D20</x:f>
        <x:v>-1617000</x:v>
      </x:c>
      <x:c r="F20" s="6" t="n">
        <x:f>F19+E20</x:f>
        <x:v>-21247000</x:v>
      </x:c>
      <x:c r="G20" s="6" t="n">
        <x:v>1241000</x:v>
      </x:c>
      <x:c r="H20" s="6" t="n">
        <x:v>2858000</x:v>
      </x:c>
      <x:c r="I20" s="6" t="n">
        <x:v>196</x:v>
      </x:c>
      <x:c r="J20" s="6" t="n">
        <x:v>0</x:v>
      </x:c>
      <x:c r="K20" s="6" t="n">
        <x:v>0</x:v>
      </x:c>
      <x:c r="L20" s="6" t="n">
        <x:v>10</x:v>
      </x:c>
      <x:c r="M20" s="11" t="n">
        <x:v>0.8452380952380952</x:v>
      </x:c>
      <x:c r="N20" s="6" t="n">
        <x:v>1639000</x:v>
      </x:c>
    </x:row>
    <x:row r="21" ht="24" customHeight="1">
      <x:c r="A21" s="2" t="str">
        <x:v>2026-09-30_Night</x:v>
      </x:c>
      <x:c r="B21" s="6" t="str">
        <x:v>ナイト</x:v>
      </x:c>
      <x:c r="C21" s="6" t="n">
        <x:v>1430000</x:v>
      </x:c>
      <x:c r="D21" s="6" t="n">
        <x:v>3093000</x:v>
      </x:c>
      <x:c r="E21" s="6" t="n">
        <x:f>C21-D21</x:f>
        <x:v>-1663000</x:v>
      </x:c>
      <x:c r="F21" s="6" t="n">
        <x:f>F20+E21</x:f>
        <x:v>-22910000</x:v>
      </x:c>
      <x:c r="G21" s="6" t="n">
        <x:v>1430000</x:v>
      </x:c>
      <x:c r="H21" s="6" t="n">
        <x:v>3093000</x:v>
      </x:c>
      <x:c r="I21" s="6" t="n">
        <x:v>238</x:v>
      </x:c>
      <x:c r="J21" s="6" t="n">
        <x:v>0</x:v>
      </x:c>
      <x:c r="K21" s="6" t="n">
        <x:v>0</x:v>
      </x:c>
      <x:c r="L21" s="6" t="n">
        <x:v>10</x:v>
      </x:c>
      <x:c r="M21" s="11" t="n">
        <x:v>0.7513247863247863</x:v>
      </x:c>
      <x:c r="N21" s="6" t="n">
        <x:v>1715000</x:v>
      </x:c>
    </x:row>
    <x:row r="22" ht="24" customHeight="1">
      <x:c r="A22" s="2" t="str">
        <x:v>2026-10-01_Day</x:v>
      </x:c>
      <x:c r="B22" s="6" t="str">
        <x:v>デイ</x:v>
      </x:c>
      <x:c r="C22" s="6" t="n">
        <x:v>1042000</x:v>
      </x:c>
      <x:c r="D22" s="6" t="n">
        <x:v>2440000</x:v>
      </x:c>
      <x:c r="E22" s="6" t="n">
        <x:f>C22-D22</x:f>
        <x:v>-1398000</x:v>
      </x:c>
      <x:c r="F22" s="6" t="n">
        <x:f>F21+E22</x:f>
        <x:v>-24308000</x:v>
      </x:c>
      <x:c r="G22" s="6" t="n">
        <x:v>1042000</x:v>
      </x:c>
      <x:c r="H22" s="6" t="n">
        <x:v>2440000</x:v>
      </x:c>
      <x:c r="I22" s="6" t="n">
        <x:v>165</x:v>
      </x:c>
      <x:c r="J22" s="6" t="n">
        <x:v>0</x:v>
      </x:c>
      <x:c r="K22" s="6" t="n">
        <x:v>0</x:v>
      </x:c>
      <x:c r="L22" s="6" t="n">
        <x:v>10</x:v>
      </x:c>
      <x:c r="M22" s="11" t="n">
        <x:v>0.8590079365079365</x:v>
      </x:c>
      <x:c r="N22" s="6" t="n">
        <x:v>1408000</x:v>
      </x:c>
    </x:row>
    <x:row r="23" ht="24" customHeight="1">
      <x:c r="A23" s="2" t="str">
        <x:v>2026-10-01_Night</x:v>
      </x:c>
      <x:c r="B23" s="6" t="str">
        <x:v>ナイト</x:v>
      </x:c>
      <x:c r="C23" s="6" t="n">
        <x:v>1625000</x:v>
      </x:c>
      <x:c r="D23" s="6" t="n">
        <x:v>4187000</x:v>
      </x:c>
      <x:c r="E23" s="6" t="n">
        <x:f>C23-D23</x:f>
        <x:v>-2562000</x:v>
      </x:c>
      <x:c r="F23" s="6" t="n">
        <x:f>F22+E23</x:f>
        <x:v>-26870000</x:v>
      </x:c>
      <x:c r="G23" s="6" t="n">
        <x:v>1625000</x:v>
      </x:c>
      <x:c r="H23" s="6" t="n">
        <x:v>4187000</x:v>
      </x:c>
      <x:c r="I23" s="6" t="n">
        <x:v>285</x:v>
      </x:c>
      <x:c r="J23" s="6" t="n">
        <x:v>0</x:v>
      </x:c>
      <x:c r="K23" s="6" t="n">
        <x:v>0</x:v>
      </x:c>
      <x:c r="L23" s="6" t="n">
        <x:v>10</x:v>
      </x:c>
      <x:c r="M23" s="11" t="n">
        <x:v>0.801559829059829</x:v>
      </x:c>
      <x:c r="N23" s="6" t="n">
        <x:v>2583000</x:v>
      </x:c>
    </x:row>
    <x:row r="24" ht="24" customHeight="1">
      <x:c r="A24" s="2" t="str">
        <x:v>2026-10-02_Day</x:v>
      </x:c>
      <x:c r="B24" s="6" t="str">
        <x:v>デイ</x:v>
      </x:c>
      <x:c r="C24" s="6" t="n">
        <x:v>921000</x:v>
      </x:c>
      <x:c r="D24" s="6" t="n">
        <x:v>2383000</x:v>
      </x:c>
      <x:c r="E24" s="6" t="n">
        <x:f>C24-D24</x:f>
        <x:v>-1462000</x:v>
      </x:c>
      <x:c r="F24" s="6" t="n">
        <x:f>F23+E24</x:f>
        <x:v>-28332000</x:v>
      </x:c>
      <x:c r="G24" s="6" t="n">
        <x:v>921000</x:v>
      </x:c>
      <x:c r="H24" s="6" t="n">
        <x:v>2383000</x:v>
      </x:c>
      <x:c r="I24" s="6" t="n">
        <x:v>167</x:v>
      </x:c>
      <x:c r="J24" s="6" t="n">
        <x:v>0</x:v>
      </x:c>
      <x:c r="K24" s="6" t="n">
        <x:v>0</x:v>
      </x:c>
      <x:c r="L24" s="6" t="n">
        <x:v>10</x:v>
      </x:c>
      <x:c r="M24" s="11" t="n">
        <x:v>0.8507936507936508</x:v>
      </x:c>
      <x:c r="N24" s="6" t="n">
        <x:v>1707000</x:v>
      </x:c>
    </x:row>
    <x:row r="25" ht="24" customHeight="1">
      <x:c r="A25" s="2" t="str">
        <x:v>2026-10-02_Night</x:v>
      </x:c>
      <x:c r="B25" s="6" t="str">
        <x:v>ナイト</x:v>
      </x:c>
      <x:c r="C25" s="6" t="n">
        <x:v>1264000</x:v>
      </x:c>
      <x:c r="D25" s="6" t="n">
        <x:v>3228000</x:v>
      </x:c>
      <x:c r="E25" s="6" t="n">
        <x:f>C25-D25</x:f>
        <x:v>-1964000</x:v>
      </x:c>
      <x:c r="F25" s="6" t="n">
        <x:f>F24+E25</x:f>
        <x:v>-30296000</x:v>
      </x:c>
      <x:c r="G25" s="6" t="n">
        <x:v>1264000</x:v>
      </x:c>
      <x:c r="H25" s="6" t="n">
        <x:v>3228000</x:v>
      </x:c>
      <x:c r="I25" s="6" t="n">
        <x:v>255</x:v>
      </x:c>
      <x:c r="J25" s="6" t="n">
        <x:v>0</x:v>
      </x:c>
      <x:c r="K25" s="6" t="n">
        <x:v>0</x:v>
      </x:c>
      <x:c r="L25" s="6" t="n">
        <x:v>10</x:v>
      </x:c>
      <x:c r="M25" s="11" t="n">
        <x:v>0.8201495726495727</x:v>
      </x:c>
      <x:c r="N25" s="6" t="n">
        <x:v>2003000</x:v>
      </x:c>
    </x:row>
    <x:row r="26" ht="24" customHeight="1">
      <x:c r="A26" s="2" t="str">
        <x:v>2026-10-05_Day</x:v>
      </x:c>
      <x:c r="B26" s="6" t="str">
        <x:v>デイ</x:v>
      </x:c>
      <x:c r="C26" s="6" t="n">
        <x:v>774000</x:v>
      </x:c>
      <x:c r="D26" s="6" t="n">
        <x:v>1654000</x:v>
      </x:c>
      <x:c r="E26" s="6" t="n">
        <x:f>C26-D26</x:f>
        <x:v>-880000</x:v>
      </x:c>
      <x:c r="F26" s="6" t="n">
        <x:f>F25+E26</x:f>
        <x:v>-31176000</x:v>
      </x:c>
      <x:c r="G26" s="6" t="n">
        <x:v>774000</x:v>
      </x:c>
      <x:c r="H26" s="6" t="n">
        <x:v>1654000</x:v>
      </x:c>
      <x:c r="I26" s="6" t="n">
        <x:v>165</x:v>
      </x:c>
      <x:c r="J26" s="6" t="n">
        <x:v>0</x:v>
      </x:c>
      <x:c r="K26" s="6" t="n">
        <x:v>0</x:v>
      </x:c>
      <x:c r="L26" s="6" t="n">
        <x:v>10</x:v>
      </x:c>
      <x:c r="M26" s="11" t="n">
        <x:v>0.844563492063492</x:v>
      </x:c>
      <x:c r="N26" s="6" t="n">
        <x:v>950000</x:v>
      </x:c>
    </x:row>
    <x:row r="27" ht="24" customHeight="1">
      <x:c r="A27" s="2" t="str">
        <x:v>2026-10-05_Night</x:v>
      </x:c>
      <x:c r="B27" s="6" t="str">
        <x:v>ナイト</x:v>
      </x:c>
      <x:c r="C27" s="6" t="n">
        <x:v>633000</x:v>
      </x:c>
      <x:c r="D27" s="6" t="n">
        <x:v>1965000</x:v>
      </x:c>
      <x:c r="E27" s="6" t="n">
        <x:f>C27-D27</x:f>
        <x:v>-1332000</x:v>
      </x:c>
      <x:c r="F27" s="6" t="n">
        <x:f>F26+E27</x:f>
        <x:v>-32508000</x:v>
      </x:c>
      <x:c r="G27" s="6" t="n">
        <x:v>633000</x:v>
      </x:c>
      <x:c r="H27" s="6" t="n">
        <x:v>1965000</x:v>
      </x:c>
      <x:c r="I27" s="6" t="n">
        <x:v>213</x:v>
      </x:c>
      <x:c r="J27" s="6" t="n">
        <x:v>0</x:v>
      </x:c>
      <x:c r="K27" s="6" t="n">
        <x:v>0</x:v>
      </x:c>
      <x:c r="L27" s="6" t="n">
        <x:v>10</x:v>
      </x:c>
      <x:c r="M27" s="11" t="n">
        <x:v>0.7449145299145299</x:v>
      </x:c>
      <x:c r="N27" s="6" t="n">
        <x:v>1399000</x:v>
      </x:c>
    </x:row>
    <x:row r="28" ht="24" customHeight="1">
      <x:c r="A28" s="2" t="str">
        <x:v>2026-10-06_Day</x:v>
      </x:c>
      <x:c r="B28" s="6" t="str">
        <x:v>デイ</x:v>
      </x:c>
      <x:c r="C28" s="6" t="n">
        <x:v>648000</x:v>
      </x:c>
      <x:c r="D28" s="6" t="n">
        <x:v>1588000</x:v>
      </x:c>
      <x:c r="E28" s="6" t="n">
        <x:f>C28-D28</x:f>
        <x:v>-940000</x:v>
      </x:c>
      <x:c r="F28" s="6" t="n">
        <x:f>F27+E28</x:f>
        <x:v>-33448000</x:v>
      </x:c>
      <x:c r="G28" s="6" t="n">
        <x:v>648000</x:v>
      </x:c>
      <x:c r="H28" s="6" t="n">
        <x:v>1588000</x:v>
      </x:c>
      <x:c r="I28" s="6" t="n">
        <x:v>162</x:v>
      </x:c>
      <x:c r="J28" s="6" t="n">
        <x:v>0</x:v>
      </x:c>
      <x:c r="K28" s="6" t="n">
        <x:v>0</x:v>
      </x:c>
      <x:c r="L28" s="6" t="n">
        <x:v>10</x:v>
      </x:c>
      <x:c r="M28" s="11" t="n">
        <x:v>0.8406349206349206</x:v>
      </x:c>
      <x:c r="N28" s="6" t="n">
        <x:v>951000</x:v>
      </x:c>
    </x:row>
    <x:row r="29" ht="24" customHeight="1">
      <x:c r="A29" s="2" t="str">
        <x:v>2026-10-06_Night</x:v>
      </x:c>
      <x:c r="B29" s="6" t="str">
        <x:v>ナイト</x:v>
      </x:c>
      <x:c r="C29" s="6" t="n">
        <x:v>383000</x:v>
      </x:c>
      <x:c r="D29" s="6" t="n">
        <x:v>1372000</x:v>
      </x:c>
      <x:c r="E29" s="6" t="n">
        <x:f>C29-D29</x:f>
        <x:v>-989000</x:v>
      </x:c>
      <x:c r="F29" s="6" t="n">
        <x:f>F28+E29</x:f>
        <x:v>-34437000</x:v>
      </x:c>
      <x:c r="G29" s="6" t="n">
        <x:v>383000</x:v>
      </x:c>
      <x:c r="H29" s="6" t="n">
        <x:v>1372000</x:v>
      </x:c>
      <x:c r="I29" s="6" t="n">
        <x:v>170</x:v>
      </x:c>
      <x:c r="J29" s="6" t="n">
        <x:v>0</x:v>
      </x:c>
      <x:c r="K29" s="6" t="n">
        <x:v>0</x:v>
      </x:c>
      <x:c r="L29" s="6" t="n">
        <x:v>10</x:v>
      </x:c>
      <x:c r="M29" s="11" t="n">
        <x:v>0.7413675213675214</x:v>
      </x:c>
      <x:c r="N29" s="6" t="n">
        <x:v>1006000</x:v>
      </x:c>
    </x:row>
    <x:row r="30" ht="24" customHeight="1">
      <x:c r="A30" s="2" t="str">
        <x:v>2026-10-07_Day</x:v>
      </x:c>
      <x:c r="B30" s="6" t="str">
        <x:v>デイ</x:v>
      </x:c>
      <x:c r="C30" s="6" t="n">
        <x:v>462000</x:v>
      </x:c>
      <x:c r="D30" s="6" t="n">
        <x:v>1110000</x:v>
      </x:c>
      <x:c r="E30" s="6" t="n">
        <x:f>C30-D30</x:f>
        <x:v>-648000</x:v>
      </x:c>
      <x:c r="F30" s="6" t="n">
        <x:f>F29+E30</x:f>
        <x:v>-35085000</x:v>
      </x:c>
      <x:c r="G30" s="6" t="n">
        <x:v>462000</x:v>
      </x:c>
      <x:c r="H30" s="6" t="n">
        <x:v>1110000</x:v>
      </x:c>
      <x:c r="I30" s="6" t="n">
        <x:v>144</x:v>
      </x:c>
      <x:c r="J30" s="6" t="n">
        <x:v>0</x:v>
      </x:c>
      <x:c r="K30" s="6" t="n">
        <x:v>0</x:v>
      </x:c>
      <x:c r="L30" s="6" t="n">
        <x:v>10</x:v>
      </x:c>
      <x:c r="M30" s="11" t="n">
        <x:v>0.8350396825396825</x:v>
      </x:c>
      <x:c r="N30" s="6" t="n">
        <x:v>674000</x:v>
      </x:c>
    </x:row>
    <x:row r="31" ht="24" customHeight="1">
      <x:c r="A31" s="2" t="str">
        <x:v>2026-10-07_Night</x:v>
      </x:c>
      <x:c r="B31" s="6" t="str">
        <x:v>ナイト</x:v>
      </x:c>
      <x:c r="C31" s="6" t="n">
        <x:v>407000</x:v>
      </x:c>
      <x:c r="D31" s="6" t="n">
        <x:v>1771000</x:v>
      </x:c>
      <x:c r="E31" s="6" t="n">
        <x:f>C31-D31</x:f>
        <x:v>-1364000</x:v>
      </x:c>
      <x:c r="F31" s="6" t="n">
        <x:f>F30+E31</x:f>
        <x:v>-36449000</x:v>
      </x:c>
      <x:c r="G31" s="6" t="n">
        <x:v>407000</x:v>
      </x:c>
      <x:c r="H31" s="6" t="n">
        <x:v>1771000</x:v>
      </x:c>
      <x:c r="I31" s="6" t="n">
        <x:v>219</x:v>
      </x:c>
      <x:c r="J31" s="6" t="n">
        <x:v>0</x:v>
      </x:c>
      <x:c r="K31" s="6" t="n">
        <x:v>0</x:v>
      </x:c>
      <x:c r="L31" s="6" t="n">
        <x:v>10</x:v>
      </x:c>
      <x:c r="M31" s="11" t="n">
        <x:v>0.8081410256410256</x:v>
      </x:c>
      <x:c r="N31" s="6" t="n">
        <x:v>1370000</x:v>
      </x:c>
    </x:row>
    <x:row r="32" ht="24" customHeight="1">
      <x:c r="A32" s="2" t="str">
        <x:v>2026-10-08_Day</x:v>
      </x:c>
      <x:c r="B32" s="6" t="str">
        <x:v>デイ</x:v>
      </x:c>
      <x:c r="C32" s="6" t="n">
        <x:v>1277000</x:v>
      </x:c>
      <x:c r="D32" s="6" t="n">
        <x:v>1969000</x:v>
      </x:c>
      <x:c r="E32" s="6" t="n">
        <x:f>C32-D32</x:f>
        <x:v>-692000</x:v>
      </x:c>
      <x:c r="F32" s="6" t="n">
        <x:f>F31+E32</x:f>
        <x:v>-37141000</x:v>
      </x:c>
      <x:c r="G32" s="6" t="n">
        <x:v>1277000</x:v>
      </x:c>
      <x:c r="H32" s="6" t="n">
        <x:v>1969000</x:v>
      </x:c>
      <x:c r="I32" s="6" t="n">
        <x:v>167</x:v>
      </x:c>
      <x:c r="J32" s="6" t="n">
        <x:v>0</x:v>
      </x:c>
      <x:c r="K32" s="6" t="n">
        <x:v>0</x:v>
      </x:c>
      <x:c r="L32" s="6" t="n">
        <x:v>10</x:v>
      </x:c>
      <x:c r="M32" s="11" t="n">
        <x:v>0.8607539682539682</x:v>
      </x:c>
      <x:c r="N32" s="6" t="n">
        <x:v>1008000</x:v>
      </x:c>
    </x:row>
    <x:row r="33" ht="24" customHeight="1">
      <x:c r="A33" s="2" t="str">
        <x:v>2026-10-08_Night</x:v>
      </x:c>
      <x:c r="B33" s="6" t="str">
        <x:v>ナイト</x:v>
      </x:c>
      <x:c r="C33" s="6" t="n">
        <x:v>1607000</x:v>
      </x:c>
      <x:c r="D33" s="6" t="n">
        <x:v>4073000</x:v>
      </x:c>
      <x:c r="E33" s="6" t="n">
        <x:f>C33-D33</x:f>
        <x:v>-2466000</x:v>
      </x:c>
      <x:c r="F33" s="6" t="n">
        <x:f>F32+E33</x:f>
        <x:v>-39607000</x:v>
      </x:c>
      <x:c r="G33" s="6" t="n">
        <x:v>1607000</x:v>
      </x:c>
      <x:c r="H33" s="6" t="n">
        <x:v>4073000</x:v>
      </x:c>
      <x:c r="I33" s="6" t="n">
        <x:v>289</x:v>
      </x:c>
      <x:c r="J33" s="6" t="n">
        <x:v>0</x:v>
      </x:c>
      <x:c r="K33" s="6" t="n">
        <x:v>0</x:v>
      </x:c>
      <x:c r="L33" s="6" t="n">
        <x:v>10</x:v>
      </x:c>
      <x:c r="M33" s="11" t="n">
        <x:v>0.7706196581196582</x:v>
      </x:c>
      <x:c r="N33" s="6" t="n">
        <x:v>2480000</x:v>
      </x:c>
    </x:row>
    <x:row r="34" ht="24" customHeight="1">
      <x:c r="A34" s="2" t="str">
        <x:v>2026-10-09_Day</x:v>
      </x:c>
      <x:c r="B34" s="6" t="str">
        <x:v>デイ</x:v>
      </x:c>
      <x:c r="C34" s="6" t="n">
        <x:v>1219000</x:v>
      </x:c>
      <x:c r="D34" s="6" t="n">
        <x:v>2603000</x:v>
      </x:c>
      <x:c r="E34" s="6" t="n">
        <x:f>C34-D34</x:f>
        <x:v>-1384000</x:v>
      </x:c>
      <x:c r="F34" s="6" t="n">
        <x:f>F33+E34</x:f>
        <x:v>-40991000</x:v>
      </x:c>
      <x:c r="G34" s="6" t="n">
        <x:v>1219000</x:v>
      </x:c>
      <x:c r="H34" s="6" t="n">
        <x:v>2603000</x:v>
      </x:c>
      <x:c r="I34" s="6" t="n">
        <x:v>165</x:v>
      </x:c>
      <x:c r="J34" s="6" t="n">
        <x:v>0</x:v>
      </x:c>
      <x:c r="K34" s="6" t="n">
        <x:v>0</x:v>
      </x:c>
      <x:c r="L34" s="6" t="n">
        <x:v>10</x:v>
      </x:c>
      <x:c r="M34" s="11" t="n">
        <x:v>0.8417063492063492</x:v>
      </x:c>
      <x:c r="N34" s="6" t="n">
        <x:v>1532000</x:v>
      </x:c>
    </x:row>
    <x:row r="35" ht="24" customHeight="1">
      <x:c r="A35" s="2" t="str">
        <x:v>2026-10-09_Night</x:v>
      </x:c>
      <x:c r="B35" s="6" t="str">
        <x:v>ナイト</x:v>
      </x:c>
      <x:c r="C35" s="6" t="n">
        <x:v>390000</x:v>
      </x:c>
      <x:c r="D35" s="6" t="n">
        <x:v>1827000</x:v>
      </x:c>
      <x:c r="E35" s="6" t="n">
        <x:f>C35-D35</x:f>
        <x:v>-1437000</x:v>
      </x:c>
      <x:c r="F35" s="6" t="n">
        <x:f>F34+E35</x:f>
        <x:v>-42428000</x:v>
      </x:c>
      <x:c r="G35" s="6" t="n">
        <x:v>390000</x:v>
      </x:c>
      <x:c r="H35" s="6" t="n">
        <x:v>1827000</x:v>
      </x:c>
      <x:c r="I35" s="6" t="n">
        <x:v>181</x:v>
      </x:c>
      <x:c r="J35" s="6" t="n">
        <x:v>0</x:v>
      </x:c>
      <x:c r="K35" s="6" t="n">
        <x:v>0</x:v>
      </x:c>
      <x:c r="L35" s="6" t="n">
        <x:v>10</x:v>
      </x:c>
      <x:c r="M35" s="11" t="n">
        <x:v>0.7643803418803419</x:v>
      </x:c>
      <x:c r="N35" s="6" t="n">
        <x:v>1460000</x:v>
      </x:c>
    </x:row>
    <x:row r="36" ht="24" customHeight="1">
      <x:c r="A36" s="2" t="str">
        <x:v>2026-10-12_Day</x:v>
      </x:c>
      <x:c r="B36" s="6" t="str">
        <x:v>デイ</x:v>
      </x:c>
      <x:c r="C36" s="6" t="n">
        <x:v>345000</x:v>
      </x:c>
      <x:c r="D36" s="6" t="n">
        <x:v>839000</x:v>
      </x:c>
      <x:c r="E36" s="6" t="n">
        <x:f>C36-D36</x:f>
        <x:v>-494000</x:v>
      </x:c>
      <x:c r="F36" s="6" t="n">
        <x:f>F35+E36</x:f>
        <x:v>-42922000</x:v>
      </x:c>
      <x:c r="G36" s="6" t="n">
        <x:v>345000</x:v>
      </x:c>
      <x:c r="H36" s="6" t="n">
        <x:v>839000</x:v>
      </x:c>
      <x:c r="I36" s="6" t="n">
        <x:v>97</x:v>
      </x:c>
      <x:c r="J36" s="6" t="n">
        <x:v>0</x:v>
      </x:c>
      <x:c r="K36" s="6" t="n">
        <x:v>0</x:v>
      </x:c>
      <x:c r="L36" s="6" t="n">
        <x:v>10</x:v>
      </x:c>
      <x:c r="M36" s="11" t="n">
        <x:v>0.7609126984126984</x:v>
      </x:c>
      <x:c r="N36" s="6" t="n">
        <x:v>497000</x:v>
      </x:c>
    </x:row>
    <x:row r="37" ht="24" customHeight="1">
      <x:c r="A37" s="2" t="str">
        <x:v>2026-10-12_Night</x:v>
      </x:c>
      <x:c r="B37" s="6" t="str">
        <x:v>ナイト</x:v>
      </x:c>
      <x:c r="C37" s="6" t="n">
        <x:v>435000</x:v>
      </x:c>
      <x:c r="D37" s="6" t="n">
        <x:v>1176000</x:v>
      </x:c>
      <x:c r="E37" s="6" t="n">
        <x:f>C37-D37</x:f>
        <x:v>-741000</x:v>
      </x:c>
      <x:c r="F37" s="6" t="n">
        <x:f>F36+E37</x:f>
        <x:v>-43663000</x:v>
      </x:c>
      <x:c r="G37" s="6" t="n">
        <x:v>435000</x:v>
      </x:c>
      <x:c r="H37" s="6" t="n">
        <x:v>1176000</x:v>
      </x:c>
      <x:c r="I37" s="6" t="n">
        <x:v>146</x:v>
      </x:c>
      <x:c r="J37" s="6" t="n">
        <x:v>0</x:v>
      </x:c>
      <x:c r="K37" s="6" t="n">
        <x:v>0</x:v>
      </x:c>
      <x:c r="L37" s="6" t="n">
        <x:v>10</x:v>
      </x:c>
      <x:c r="M37" s="11" t="n">
        <x:v>0.7536752136752137</x:v>
      </x:c>
      <x:c r="N37" s="6" t="n">
        <x:v>759000</x:v>
      </x:c>
    </x:row>
    <x:row r="38" ht="24" customHeight="1">
      <x:c r="A38" s="2" t="str">
        <x:v>2026-10-13_Day</x:v>
      </x:c>
      <x:c r="B38" s="6" t="str">
        <x:v>デイ</x:v>
      </x:c>
      <x:c r="C38" s="6" t="n">
        <x:v>1304000</x:v>
      </x:c>
      <x:c r="D38" s="6" t="n">
        <x:v>3614000</x:v>
      </x:c>
      <x:c r="E38" s="6" t="n">
        <x:f>C38-D38</x:f>
        <x:v>-2310000</x:v>
      </x:c>
      <x:c r="F38" s="6" t="n">
        <x:f>F37+E38</x:f>
        <x:v>-45973000</x:v>
      </x:c>
      <x:c r="G38" s="6" t="n">
        <x:v>1304000</x:v>
      </x:c>
      <x:c r="H38" s="6" t="n">
        <x:v>3614000</x:v>
      </x:c>
      <x:c r="I38" s="6" t="n">
        <x:v>207</x:v>
      </x:c>
      <x:c r="J38" s="6" t="n">
        <x:v>0</x:v>
      </x:c>
      <x:c r="K38" s="6" t="n">
        <x:v>0</x:v>
      </x:c>
      <x:c r="L38" s="6" t="n">
        <x:v>10</x:v>
      </x:c>
      <x:c r="M38" s="11" t="n">
        <x:v>0.8436111111111111</x:v>
      </x:c>
      <x:c r="N38" s="6" t="n">
        <x:v>2435000</x:v>
      </x:c>
    </x:row>
    <x:row r="39" ht="24" customHeight="1">
      <x:c r="A39" s="2" t="str">
        <x:v>2026-10-13_Night</x:v>
      </x:c>
      <x:c r="B39" s="6" t="str">
        <x:v>ナイト</x:v>
      </x:c>
      <x:c r="C39" s="6" t="n">
        <x:v>500000</x:v>
      </x:c>
      <x:c r="D39" s="6" t="n">
        <x:v>1598000</x:v>
      </x:c>
      <x:c r="E39" s="6" t="n">
        <x:f>C39-D39</x:f>
        <x:v>-1098000</x:v>
      </x:c>
      <x:c r="F39" s="6" t="n">
        <x:f>F38+E39</x:f>
        <x:v>-47071000</x:v>
      </x:c>
      <x:c r="G39" s="6" t="n">
        <x:v>500000</x:v>
      </x:c>
      <x:c r="H39" s="6" t="n">
        <x:v>1598000</x:v>
      </x:c>
      <x:c r="I39" s="6" t="n">
        <x:v>190</x:v>
      </x:c>
      <x:c r="J39" s="6" t="n">
        <x:v>0</x:v>
      </x:c>
      <x:c r="K39" s="6" t="n">
        <x:v>0</x:v>
      </x:c>
      <x:c r="L39" s="6" t="n">
        <x:v>10</x:v>
      </x:c>
      <x:c r="M39" s="11" t="n">
        <x:v>0.7572863247863247</x:v>
      </x:c>
      <x:c r="N39" s="6" t="n">
        <x:v>1105000</x:v>
      </x:c>
    </x:row>
    <x:row r="40" ht="24" customHeight="1">
      <x:c r="A40" s="2" t="str">
        <x:v>2026-10-14_Day</x:v>
      </x:c>
      <x:c r="B40" s="6" t="str">
        <x:v>デイ</x:v>
      </x:c>
      <x:c r="C40" s="6" t="n">
        <x:v>874000</x:v>
      </x:c>
      <x:c r="D40" s="6" t="n">
        <x:v>2252000</x:v>
      </x:c>
      <x:c r="E40" s="6" t="n">
        <x:f>C40-D40</x:f>
        <x:v>-1378000</x:v>
      </x:c>
      <x:c r="F40" s="6" t="n">
        <x:f>F39+E40</x:f>
        <x:v>-48449000</x:v>
      </x:c>
      <x:c r="G40" s="6" t="n">
        <x:v>874000</x:v>
      </x:c>
      <x:c r="H40" s="6" t="n">
        <x:v>2252000</x:v>
      </x:c>
      <x:c r="I40" s="6" t="n">
        <x:v>184</x:v>
      </x:c>
      <x:c r="J40" s="6" t="n">
        <x:v>0</x:v>
      </x:c>
      <x:c r="K40" s="6" t="n">
        <x:v>0</x:v>
      </x:c>
      <x:c r="L40" s="6" t="n">
        <x:v>10</x:v>
      </x:c>
      <x:c r="M40" s="11" t="n">
        <x:v>0.8523412698412698</x:v>
      </x:c>
      <x:c r="N40" s="6" t="n">
        <x:v>1503000</x:v>
      </x:c>
    </x:row>
    <x:row r="41" ht="24" customHeight="1">
      <x:c r="A41" s="2" t="str">
        <x:v>2026-10-14_Night</x:v>
      </x:c>
      <x:c r="B41" s="6" t="str">
        <x:v>ナイト</x:v>
      </x:c>
      <x:c r="C41" s="6" t="n">
        <x:v>1731000</x:v>
      </x:c>
      <x:c r="D41" s="6" t="n">
        <x:v>2862000</x:v>
      </x:c>
      <x:c r="E41" s="6" t="n">
        <x:f>C41-D41</x:f>
        <x:v>-1131000</x:v>
      </x:c>
      <x:c r="F41" s="6" t="n">
        <x:f>F40+E41</x:f>
        <x:v>-49580000</x:v>
      </x:c>
      <x:c r="G41" s="6" t="n">
        <x:v>1731000</x:v>
      </x:c>
      <x:c r="H41" s="6" t="n">
        <x:v>2862000</x:v>
      </x:c>
      <x:c r="I41" s="6" t="n">
        <x:v>260</x:v>
      </x:c>
      <x:c r="J41" s="6" t="n">
        <x:v>0</x:v>
      </x:c>
      <x:c r="K41" s="6" t="n">
        <x:v>0</x:v>
      </x:c>
      <x:c r="L41" s="6" t="n">
        <x:v>10</x:v>
      </x:c>
      <x:c r="M41" s="11" t="n">
        <x:v>0.8186752136752137</x:v>
      </x:c>
      <x:c r="N41" s="6" t="n">
        <x:v>1239000</x:v>
      </x:c>
    </x:row>
    <x:row r="42" ht="24" customHeight="1">
      <x:c r="A42" s="2" t="str">
        <x:v>2026-10-15_Day</x:v>
      </x:c>
      <x:c r="B42" s="6" t="str">
        <x:v>デイ</x:v>
      </x:c>
      <x:c r="C42" s="6" t="n">
        <x:v>2501000</x:v>
      </x:c>
      <x:c r="D42" s="6" t="n">
        <x:v>5499000</x:v>
      </x:c>
      <x:c r="E42" s="6" t="n">
        <x:f>C42-D42</x:f>
        <x:v>-2998000</x:v>
      </x:c>
      <x:c r="F42" s="6" t="n">
        <x:f>F41+E42</x:f>
        <x:v>-52578000</x:v>
      </x:c>
      <x:c r="G42" s="6" t="n">
        <x:v>2501000</x:v>
      </x:c>
      <x:c r="H42" s="6" t="n">
        <x:v>5499000</x:v>
      </x:c>
      <x:c r="I42" s="6" t="n">
        <x:v>275</x:v>
      </x:c>
      <x:c r="J42" s="6" t="n">
        <x:v>0</x:v>
      </x:c>
      <x:c r="K42" s="6" t="n">
        <x:v>0</x:v>
      </x:c>
      <x:c r="L42" s="6" t="n">
        <x:v>10</x:v>
      </x:c>
      <x:c r="M42" s="11" t="n">
        <x:v>0.8221428571428572</x:v>
      </x:c>
      <x:c r="N42" s="6" t="n">
        <x:v>3155000</x:v>
      </x:c>
    </x:row>
    <x:row r="43" ht="24" customHeight="1">
      <x:c r="A43" s="2" t="str">
        <x:v>2026-10-15_Night</x:v>
      </x:c>
      <x:c r="B43" s="6" t="str">
        <x:v>ナイト</x:v>
      </x:c>
      <x:c r="C43" s="6" t="n">
        <x:v>2466000</x:v>
      </x:c>
      <x:c r="D43" s="6" t="n">
        <x:v>5544000</x:v>
      </x:c>
      <x:c r="E43" s="6" t="n">
        <x:f>C43-D43</x:f>
        <x:v>-3078000</x:v>
      </x:c>
      <x:c r="F43" s="6" t="n">
        <x:f>F42+E43</x:f>
        <x:v>-55656000</x:v>
      </x:c>
      <x:c r="G43" s="6" t="n">
        <x:v>2466000</x:v>
      </x:c>
      <x:c r="H43" s="6" t="n">
        <x:v>5544000</x:v>
      </x:c>
      <x:c r="I43" s="6" t="n">
        <x:v>330</x:v>
      </x:c>
      <x:c r="J43" s="6" t="n">
        <x:v>0</x:v>
      </x:c>
      <x:c r="K43" s="6" t="n">
        <x:v>0</x:v>
      </x:c>
      <x:c r="L43" s="6" t="n">
        <x:v>10</x:v>
      </x:c>
      <x:c r="M43" s="11" t="n">
        <x:v>0.7641239316239317</x:v>
      </x:c>
      <x:c r="N43" s="6" t="n">
        <x:v>3119000</x:v>
      </x:c>
    </x:row>
    <x:row r="44" ht="24" customHeight="1">
      <x:c r="A44" s="2" t="str">
        <x:v>2026-10-16_Day</x:v>
      </x:c>
      <x:c r="B44" s="6" t="str">
        <x:v>デイ</x:v>
      </x:c>
      <x:c r="C44" s="6" t="n">
        <x:v>1473000</x:v>
      </x:c>
      <x:c r="D44" s="6" t="n">
        <x:v>4119000</x:v>
      </x:c>
      <x:c r="E44" s="6" t="n">
        <x:f>C44-D44</x:f>
        <x:v>-2646000</x:v>
      </x:c>
      <x:c r="F44" s="6" t="n">
        <x:f>F43+E44</x:f>
        <x:v>-58302000</x:v>
      </x:c>
      <x:c r="G44" s="6" t="n">
        <x:v>1473000</x:v>
      </x:c>
      <x:c r="H44" s="6" t="n">
        <x:v>4119000</x:v>
      </x:c>
      <x:c r="I44" s="6" t="n">
        <x:v>223</x:v>
      </x:c>
      <x:c r="J44" s="6" t="n">
        <x:v>0</x:v>
      </x:c>
      <x:c r="K44" s="6" t="n">
        <x:v>0</x:v>
      </x:c>
      <x:c r="L44" s="6" t="n">
        <x:v>10</x:v>
      </x:c>
      <x:c r="M44" s="11" t="n">
        <x:v>0.8405555555555555</x:v>
      </x:c>
      <x:c r="N44" s="6" t="n">
        <x:v>2652000</x:v>
      </x:c>
    </x:row>
    <x:row r="45" ht="24" customHeight="1">
      <x:c r="A45" s="2" t="str">
        <x:v>2026-10-16_Night</x:v>
      </x:c>
      <x:c r="B45" s="6" t="str">
        <x:v>ナイト</x:v>
      </x:c>
      <x:c r="C45" s="6" t="n">
        <x:v>2553000</x:v>
      </x:c>
      <x:c r="D45" s="6" t="n">
        <x:v>5151000</x:v>
      </x:c>
      <x:c r="E45" s="6" t="n">
        <x:f>C45-D45</x:f>
        <x:v>-2598000</x:v>
      </x:c>
      <x:c r="F45" s="6" t="n">
        <x:f>F44+E45</x:f>
        <x:v>-60900000</x:v>
      </x:c>
      <x:c r="G45" s="6" t="n">
        <x:v>2553000</x:v>
      </x:c>
      <x:c r="H45" s="6" t="n">
        <x:v>5151000</x:v>
      </x:c>
      <x:c r="I45" s="6" t="n">
        <x:v>330</x:v>
      </x:c>
      <x:c r="J45" s="6" t="n">
        <x:v>0</x:v>
      </x:c>
      <x:c r="K45" s="6" t="n">
        <x:v>0</x:v>
      </x:c>
      <x:c r="L45" s="6" t="n">
        <x:v>10</x:v>
      </x:c>
      <x:c r="M45" s="11" t="n">
        <x:v>0.8007264957264957</x:v>
      </x:c>
      <x:c r="N45" s="6" t="n">
        <x:v>2658000</x:v>
      </x:c>
    </x:row>
    <x:row r="46" ht="24" customHeight="1">
      <x:c r="A46" s="2" t="str">
        <x:v>2026-10-19_Day</x:v>
      </x:c>
      <x:c r="B46" s="6" t="str">
        <x:v>デイ</x:v>
      </x:c>
      <x:c r="C46" s="6" t="n">
        <x:v>2042000</x:v>
      </x:c>
      <x:c r="D46" s="6" t="n">
        <x:v>4652000</x:v>
      </x:c>
      <x:c r="E46" s="6" t="n">
        <x:f>C46-D46</x:f>
        <x:v>-2610000</x:v>
      </x:c>
      <x:c r="F46" s="6" t="n">
        <x:f>F45+E46</x:f>
        <x:v>-63510000</x:v>
      </x:c>
      <x:c r="G46" s="6" t="n">
        <x:v>2042000</x:v>
      </x:c>
      <x:c r="H46" s="6" t="n">
        <x:v>4652000</x:v>
      </x:c>
      <x:c r="I46" s="6" t="n">
        <x:v>241</x:v>
      </x:c>
      <x:c r="J46" s="6" t="n">
        <x:v>0</x:v>
      </x:c>
      <x:c r="K46" s="6" t="n">
        <x:v>0</x:v>
      </x:c>
      <x:c r="L46" s="6" t="n">
        <x:v>10</x:v>
      </x:c>
      <x:c r="M46" s="11" t="n">
        <x:v>0.8116269841269841</x:v>
      </x:c>
      <x:c r="N46" s="6" t="n">
        <x:v>2800000</x:v>
      </x:c>
    </x:row>
    <x:row r="47" ht="24" customHeight="1">
      <x:c r="A47" s="2" t="str">
        <x:v>2026-10-19_Night</x:v>
      </x:c>
      <x:c r="B47" s="6" t="str">
        <x:v>ナイト</x:v>
      </x:c>
      <x:c r="C47" s="6" t="n">
        <x:v>1275000</x:v>
      </x:c>
      <x:c r="D47" s="6" t="n">
        <x:v>4018000</x:v>
      </x:c>
      <x:c r="E47" s="6" t="n">
        <x:f>C47-D47</x:f>
        <x:v>-2743000</x:v>
      </x:c>
      <x:c r="F47" s="6" t="n">
        <x:f>F46+E47</x:f>
        <x:v>-66253000</x:v>
      </x:c>
      <x:c r="G47" s="6" t="n">
        <x:v>1275000</x:v>
      </x:c>
      <x:c r="H47" s="6" t="n">
        <x:v>4018000</x:v>
      </x:c>
      <x:c r="I47" s="6" t="n">
        <x:v>277</x:v>
      </x:c>
      <x:c r="J47" s="6" t="n">
        <x:v>0</x:v>
      </x:c>
      <x:c r="K47" s="6" t="n">
        <x:v>0</x:v>
      </x:c>
      <x:c r="L47" s="6" t="n">
        <x:v>10</x:v>
      </x:c>
      <x:c r="M47" s="11" t="n">
        <x:v>0.8168162393162394</x:v>
      </x:c>
      <x:c r="N47" s="6" t="n">
        <x:v>2799000</x:v>
      </x:c>
    </x:row>
    <x:row r="48" ht="24" customHeight="1">
      <x:c r="A48" s="2" t="str">
        <x:v>2026-10-20_Day</x:v>
      </x:c>
      <x:c r="B48" s="6" t="str">
        <x:v>デイ</x:v>
      </x:c>
      <x:c r="C48" s="6" t="n">
        <x:v>1983000</x:v>
      </x:c>
      <x:c r="D48" s="6" t="n">
        <x:v>3927000</x:v>
      </x:c>
      <x:c r="E48" s="6" t="n">
        <x:f>C48-D48</x:f>
        <x:v>-1944000</x:v>
      </x:c>
      <x:c r="F48" s="6" t="n">
        <x:f>F47+E48</x:f>
        <x:v>-68197000</x:v>
      </x:c>
      <x:c r="G48" s="6" t="n">
        <x:v>1983000</x:v>
      </x:c>
      <x:c r="H48" s="6" t="n">
        <x:v>3927000</x:v>
      </x:c>
      <x:c r="I48" s="6" t="n">
        <x:v>222</x:v>
      </x:c>
      <x:c r="J48" s="6" t="n">
        <x:v>0</x:v>
      </x:c>
      <x:c r="K48" s="6" t="n">
        <x:v>0</x:v>
      </x:c>
      <x:c r="L48" s="6" t="n">
        <x:v>10</x:v>
      </x:c>
      <x:c r="M48" s="11" t="n">
        <x:v>0.8501984126984127</x:v>
      </x:c>
      <x:c r="N48" s="6" t="n">
        <x:v>1992000</x:v>
      </x:c>
    </x:row>
    <x:row r="49" ht="24" customHeight="1">
      <x:c r="A49" s="2" t="str">
        <x:v>2026-10-20_Night</x:v>
      </x:c>
      <x:c r="B49" s="6" t="str">
        <x:v>ナイト</x:v>
      </x:c>
      <x:c r="C49" s="6" t="n">
        <x:v>2069000</x:v>
      </x:c>
      <x:c r="D49" s="6" t="n">
        <x:v>3914000</x:v>
      </x:c>
      <x:c r="E49" s="6" t="n">
        <x:f>C49-D49</x:f>
        <x:v>-1845000</x:v>
      </x:c>
      <x:c r="F49" s="6" t="n">
        <x:f>F48+E49</x:f>
        <x:v>-70042000</x:v>
      </x:c>
      <x:c r="G49" s="6" t="n">
        <x:v>2069000</x:v>
      </x:c>
      <x:c r="H49" s="6" t="n">
        <x:v>3914000</x:v>
      </x:c>
      <x:c r="I49" s="6" t="n">
        <x:v>286</x:v>
      </x:c>
      <x:c r="J49" s="6" t="n">
        <x:v>0</x:v>
      </x:c>
      <x:c r="K49" s="6" t="n">
        <x:v>0</x:v>
      </x:c>
      <x:c r="L49" s="6" t="n">
        <x:v>10</x:v>
      </x:c>
      <x:c r="M49" s="11" t="n">
        <x:v>0.7604487179487179</x:v>
      </x:c>
      <x:c r="N49" s="6" t="n">
        <x:v>2048000</x:v>
      </x:c>
    </x:row>
    <x:row r="50" ht="24" customHeight="1">
      <x:c r="A50" s="2" t="str">
        <x:v>2026-10-21_Day</x:v>
      </x:c>
      <x:c r="B50" s="6" t="str">
        <x:v>デイ</x:v>
      </x:c>
      <x:c r="C50" s="6" t="n">
        <x:v>1568000</x:v>
      </x:c>
      <x:c r="D50" s="6" t="n">
        <x:v>3077000</x:v>
      </x:c>
      <x:c r="E50" s="6" t="n">
        <x:f>C50-D50</x:f>
        <x:v>-1509000</x:v>
      </x:c>
      <x:c r="F50" s="6" t="n">
        <x:f>F49+E50</x:f>
        <x:v>-71551000</x:v>
      </x:c>
      <x:c r="G50" s="6" t="n">
        <x:v>1568000</x:v>
      </x:c>
      <x:c r="H50" s="6" t="n">
        <x:v>3077000</x:v>
      </x:c>
      <x:c r="I50" s="6" t="n">
        <x:v>225</x:v>
      </x:c>
      <x:c r="J50" s="6" t="n">
        <x:v>0</x:v>
      </x:c>
      <x:c r="K50" s="6" t="n">
        <x:v>0</x:v>
      </x:c>
      <x:c r="L50" s="6" t="n">
        <x:v>10</x:v>
      </x:c>
      <x:c r="M50" s="11" t="n">
        <x:v>0.8321428571428572</x:v>
      </x:c>
      <x:c r="N50" s="6" t="n">
        <x:v>1585000</x:v>
      </x:c>
    </x:row>
    <x:row r="51" ht="24" customHeight="1">
      <x:c r="A51" s="2" t="str">
        <x:v>2026-10-21_Night</x:v>
      </x:c>
      <x:c r="B51" s="6" t="str">
        <x:v>ナイト</x:v>
      </x:c>
      <x:c r="C51" s="6" t="n">
        <x:v>1778000</x:v>
      </x:c>
      <x:c r="D51" s="6" t="n">
        <x:v>3188000</x:v>
      </x:c>
      <x:c r="E51" s="6" t="n">
        <x:f>C51-D51</x:f>
        <x:v>-1410000</x:v>
      </x:c>
      <x:c r="F51" s="6" t="n">
        <x:f>F50+E51</x:f>
        <x:v>-72961000</x:v>
      </x:c>
      <x:c r="G51" s="6" t="n">
        <x:v>1778000</x:v>
      </x:c>
      <x:c r="H51" s="6" t="n">
        <x:v>3188000</x:v>
      </x:c>
      <x:c r="I51" s="6" t="n">
        <x:v>237</x:v>
      </x:c>
      <x:c r="J51" s="6" t="n">
        <x:v>0</x:v>
      </x:c>
      <x:c r="K51" s="6" t="n">
        <x:v>0</x:v>
      </x:c>
      <x:c r="L51" s="6" t="n">
        <x:v>10</x:v>
      </x:c>
      <x:c r="M51" s="11" t="n">
        <x:v>0.8002350427350428</x:v>
      </x:c>
      <x:c r="N51" s="6" t="n">
        <x:v>1667000</x:v>
      </x:c>
    </x:row>
    <x:row r="52" ht="24" customHeight="1">
      <x:c r="A52" s="2" t="str">
        <x:v>2026-10-22_Day</x:v>
      </x:c>
      <x:c r="B52" s="6" t="str">
        <x:v>デイ</x:v>
      </x:c>
      <x:c r="C52" s="6" t="n">
        <x:v>1705000</x:v>
      </x:c>
      <x:c r="D52" s="6" t="n">
        <x:v>3827000</x:v>
      </x:c>
      <x:c r="E52" s="6" t="n">
        <x:f>C52-D52</x:f>
        <x:v>-2122000</x:v>
      </x:c>
      <x:c r="F52" s="6" t="n">
        <x:f>F51+E52</x:f>
        <x:v>-75083000</x:v>
      </x:c>
      <x:c r="G52" s="6" t="n">
        <x:v>1705000</x:v>
      </x:c>
      <x:c r="H52" s="6" t="n">
        <x:v>3827000</x:v>
      </x:c>
      <x:c r="I52" s="6" t="n">
        <x:v>237</x:v>
      </x:c>
      <x:c r="J52" s="6" t="n">
        <x:v>0</x:v>
      </x:c>
      <x:c r="K52" s="6" t="n">
        <x:v>0</x:v>
      </x:c>
      <x:c r="L52" s="6" t="n">
        <x:v>10</x:v>
      </x:c>
      <x:c r="M52" s="11" t="n">
        <x:v>0.828015873015873</x:v>
      </x:c>
      <x:c r="N52" s="6" t="n">
        <x:v>2348000</x:v>
      </x:c>
    </x:row>
    <x:row r="53" ht="24" customHeight="1">
      <x:c r="A53" s="2" t="str">
        <x:v>2026-10-22_Night</x:v>
      </x:c>
      <x:c r="B53" s="6" t="str">
        <x:v>ナイト</x:v>
      </x:c>
      <x:c r="C53" s="6" t="n">
        <x:v>2348000</x:v>
      </x:c>
      <x:c r="D53" s="6" t="n">
        <x:v>3957000</x:v>
      </x:c>
      <x:c r="E53" s="6" t="n">
        <x:f>C53-D53</x:f>
        <x:v>-1609000</x:v>
      </x:c>
      <x:c r="F53" s="6" t="n">
        <x:f>F52+E53</x:f>
        <x:v>-76692000</x:v>
      </x:c>
      <x:c r="G53" s="6" t="n">
        <x:v>2348000</x:v>
      </x:c>
      <x:c r="H53" s="6" t="n">
        <x:v>3957000</x:v>
      </x:c>
      <x:c r="I53" s="6" t="n">
        <x:v>312</x:v>
      </x:c>
      <x:c r="J53" s="6" t="n">
        <x:v>0</x:v>
      </x:c>
      <x:c r="K53" s="6" t="n">
        <x:v>0</x:v>
      </x:c>
      <x:c r="L53" s="6" t="n">
        <x:v>10</x:v>
      </x:c>
      <x:c r="M53" s="11" t="n">
        <x:v>0.800042735042735</x:v>
      </x:c>
      <x:c r="N53" s="6" t="n">
        <x:v>1682000</x:v>
      </x:c>
    </x:row>
    <x:row r="54" ht="24" customHeight="1">
      <x:c r="A54" s="2" t="str">
        <x:v>2026-10-23_Day</x:v>
      </x:c>
      <x:c r="B54" s="6" t="str">
        <x:v>デイ</x:v>
      </x:c>
      <x:c r="C54" s="6" t="n">
        <x:v>3994000</x:v>
      </x:c>
      <x:c r="D54" s="6" t="n">
        <x:v>7334000</x:v>
      </x:c>
      <x:c r="E54" s="6" t="n">
        <x:f>C54-D54</x:f>
        <x:v>-3340000</x:v>
      </x:c>
      <x:c r="F54" s="6" t="n">
        <x:f>F53+E54</x:f>
        <x:v>-80032000</x:v>
      </x:c>
      <x:c r="G54" s="6" t="n">
        <x:v>3994000</x:v>
      </x:c>
      <x:c r="H54" s="6" t="n">
        <x:v>7334000</x:v>
      </x:c>
      <x:c r="I54" s="6" t="n">
        <x:v>357</x:v>
      </x:c>
      <x:c r="J54" s="6" t="n">
        <x:v>0</x:v>
      </x:c>
      <x:c r="K54" s="6" t="n">
        <x:v>0</x:v>
      </x:c>
      <x:c r="L54" s="6" t="n">
        <x:v>10</x:v>
      </x:c>
      <x:c r="M54" s="11" t="n">
        <x:v>0.7966666666666666</x:v>
      </x:c>
      <x:c r="N54" s="6" t="n">
        <x:v>3391000</x:v>
      </x:c>
    </x:row>
    <x:row r="55" ht="24" customHeight="1">
      <x:c r="A55" s="2" t="str">
        <x:v>2026-10-23_Night</x:v>
      </x:c>
      <x:c r="B55" s="6" t="str">
        <x:v>ナイト</x:v>
      </x:c>
      <x:c r="C55" s="6" t="n">
        <x:v>1637000</x:v>
      </x:c>
      <x:c r="D55" s="6" t="n">
        <x:v>4624000</x:v>
      </x:c>
      <x:c r="E55" s="6" t="n">
        <x:f>C55-D55</x:f>
        <x:v>-2987000</x:v>
      </x:c>
      <x:c r="F55" s="6" t="n">
        <x:f>F54+E55</x:f>
        <x:v>-83019000</x:v>
      </x:c>
      <x:c r="G55" s="6" t="n">
        <x:v>1637000</x:v>
      </x:c>
      <x:c r="H55" s="6" t="n">
        <x:v>4624000</x:v>
      </x:c>
      <x:c r="I55" s="6" t="n">
        <x:v>316</x:v>
      </x:c>
      <x:c r="J55" s="6" t="n">
        <x:v>0</x:v>
      </x:c>
      <x:c r="K55" s="6" t="n">
        <x:v>0</x:v>
      </x:c>
      <x:c r="L55" s="6" t="n">
        <x:v>10</x:v>
      </x:c>
      <x:c r="M55" s="11" t="n">
        <x:v>0.7948931623931624</x:v>
      </x:c>
      <x:c r="N55" s="6" t="n">
        <x:v>3026000</x:v>
      </x:c>
    </x:row>
    <x:row r="56" ht="24" customHeight="1">
      <x:c r="A56" s="2" t="str">
        <x:v>2026-10-26_Day</x:v>
      </x:c>
      <x:c r="B56" s="6" t="str">
        <x:v>デイ</x:v>
      </x:c>
      <x:c r="C56" s="6" t="n">
        <x:v>2583000</x:v>
      </x:c>
      <x:c r="D56" s="6" t="n">
        <x:v>4952000</x:v>
      </x:c>
      <x:c r="E56" s="6" t="n">
        <x:f>C56-D56</x:f>
        <x:v>-2369000</x:v>
      </x:c>
      <x:c r="F56" s="6" t="n">
        <x:f>F55+E56</x:f>
        <x:v>-85388000</x:v>
      </x:c>
      <x:c r="G56" s="6" t="n">
        <x:v>2583000</x:v>
      </x:c>
      <x:c r="H56" s="6" t="n">
        <x:v>4952000</x:v>
      </x:c>
      <x:c r="I56" s="6" t="n">
        <x:v>258</x:v>
      </x:c>
      <x:c r="J56" s="6" t="n">
        <x:v>0</x:v>
      </x:c>
      <x:c r="K56" s="6" t="n">
        <x:v>0</x:v>
      </x:c>
      <x:c r="L56" s="6" t="n">
        <x:v>10</x:v>
      </x:c>
      <x:c r="M56" s="11" t="n">
        <x:v>0.8096031746031747</x:v>
      </x:c>
      <x:c r="N56" s="6" t="n">
        <x:v>2539000</x:v>
      </x:c>
    </x:row>
    <x:row r="57" ht="24" customHeight="1">
      <x:c r="A57" s="15" t="str">
        <x:v>累計／平均／最大</x:v>
      </x:c>
      <x:c r="B57" s="16"/>
      <x:c r="C57" s="16" t="n">
        <x:f>SUM(C6:C56)</x:f>
        <x:v>65875000</x:v>
      </x:c>
      <x:c r="D57" s="16" t="n">
        <x:f>SUM(D6:D56)</x:f>
        <x:v>151263000</x:v>
      </x:c>
      <x:c r="E57" s="16" t="n">
        <x:f>C57-D57</x:f>
        <x:v>-85388000</x:v>
      </x:c>
      <x:c r="F57" s="16" t="n">
        <x:f>F56</x:f>
        <x:v>-85388000</x:v>
      </x:c>
      <x:c r="G57" s="16" t="n">
        <x:f>SUM(G6:G56)</x:f>
        <x:v>65875000</x:v>
      </x:c>
      <x:c r="H57" s="16" t="n">
        <x:f>SUM(H6:H56)</x:f>
        <x:v>151263000</x:v>
      </x:c>
      <x:c r="I57" s="16" t="n">
        <x:f>SUM(I6:I56)</x:f>
        <x:v>11016</x:v>
      </x:c>
      <x:c r="J57" s="16" t="n">
        <x:f>SUM(J6:J56)</x:f>
        <x:v>0</x:v>
      </x:c>
      <x:c r="K57" s="16" t="n">
        <x:f>SUM(K6:K56)</x:f>
        <x:v>0</x:v>
      </x:c>
      <x:c r="L57" s="16" t="n">
        <x:f>MAX(L6:L56)</x:f>
        <x:v>10</x:v>
      </x:c>
      <x:c r="M57" s="17" t="n">
        <x:f>AVERAGE(M6:M56)</x:f>
        <x:v>0.7970163278986808</x:v>
      </x:c>
      <x:c r="N57" s="16" t="n">
        <x:f>MAX(N6:N56)</x:f>
        <x:v>3391000</x:v>
      </x:c>
    </x:row>
  </x:sheetData>
  <x:conditionalFormatting sqref="E6:F56">
    <x:cfRule type="cellIs" dxfId="15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6f23dfc279a4e03"/>
  </x:tableParts>
</x:worksheet>
</file>

<file path=xl/worksheets/sheet1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1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4" customHeight="1">
      <x:c r="A1" s="3" t="str">
        <x:v>日経 M09　各セッションの利益・損失・収支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A2" s="4" t="str">
        <x:v>2026/09/21〜10/26デイ・51完了場。日経mini／TOPIXmini各上限10枚・手数料0。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4" customHeight="1">
      <x:c r="A3" s="4" t="str">
        <x:v>180秒の時間加重平均を30秒前と比較。入口だけ傾き比例枚数、利益追尾＋傾き反転・増勢後の半減で返済。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4" customHeight="1">
      <x:c r="A4" s="4" t="str">
        <x:v>利益・損失＝FIFO返済配賦別。親＝初回から全返済まで。ラージ気配による模型で、mini実約定の検証ではありません。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42" customHeight="1">
      <x:c r="A5" s="10" t="str">
        <x:v>セッション</x:v>
      </x:c>
      <x:c r="B5" s="10" t="str">
        <x:v>区分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親利益（円）</x:v>
      </x:c>
      <x:c r="H5" s="10" t="str">
        <x:v>親損失（円）</x:v>
      </x:c>
      <x:c r="I5" s="10" t="str">
        <x:v>初回件数</x:v>
      </x:c>
      <x:c r="J5" s="10" t="str">
        <x:v>追加件数</x:v>
      </x:c>
      <x:c r="K5" s="10" t="str">
        <x:v>縮小件数</x:v>
      </x:c>
      <x:c r="L5" s="10" t="str">
        <x:v>最大保有枚数</x:v>
      </x:c>
      <x:c r="M5" s="10" t="str">
        <x:v>保有時間率</x:v>
      </x:c>
      <x:c r="N5" s="10" t="str">
        <x:v>時価最大DD（円）</x:v>
      </x:c>
    </x:row>
    <x:row r="6" ht="24" customHeight="1">
      <x:c r="A6" s="2" t="str">
        <x:v>2026-09-21_Day</x:v>
      </x:c>
      <x:c r="B6" s="6" t="str">
        <x:v>デイ</x:v>
      </x:c>
      <x:c r="C6" s="6" t="n">
        <x:v>518000</x:v>
      </x:c>
      <x:c r="D6" s="6" t="n">
        <x:v>1443000</x:v>
      </x:c>
      <x:c r="E6" s="6" t="n">
        <x:f>C6-D6</x:f>
        <x:v>-925000</x:v>
      </x:c>
      <x:c r="F6" s="6" t="n">
        <x:f>E6</x:f>
        <x:v>-925000</x:v>
      </x:c>
      <x:c r="G6" s="6" t="n">
        <x:v>518000</x:v>
      </x:c>
      <x:c r="H6" s="6" t="n">
        <x:v>1443000</x:v>
      </x:c>
      <x:c r="I6" s="6" t="n">
        <x:v>115</x:v>
      </x:c>
      <x:c r="J6" s="6" t="n">
        <x:v>0</x:v>
      </x:c>
      <x:c r="K6" s="6" t="n">
        <x:v>0</x:v>
      </x:c>
      <x:c r="L6" s="6" t="n">
        <x:v>10</x:v>
      </x:c>
      <x:c r="M6" s="11" t="n">
        <x:v>0.7277777777777777</x:v>
      </x:c>
      <x:c r="N6" s="6" t="n">
        <x:v>965000</x:v>
      </x:c>
    </x:row>
    <x:row r="7" ht="24" customHeight="1">
      <x:c r="A7" s="2" t="str">
        <x:v>2026-09-21_Night</x:v>
      </x:c>
      <x:c r="B7" s="6" t="str">
        <x:v>ナイト</x:v>
      </x:c>
      <x:c r="C7" s="6" t="n">
        <x:v>484000</x:v>
      </x:c>
      <x:c r="D7" s="6" t="n">
        <x:v>961000</x:v>
      </x:c>
      <x:c r="E7" s="6" t="n">
        <x:f>C7-D7</x:f>
        <x:v>-477000</x:v>
      </x:c>
      <x:c r="F7" s="6" t="n">
        <x:f>F6+E7</x:f>
        <x:v>-1402000</x:v>
      </x:c>
      <x:c r="G7" s="6" t="n">
        <x:v>484000</x:v>
      </x:c>
      <x:c r="H7" s="6" t="n">
        <x:v>961000</x:v>
      </x:c>
      <x:c r="I7" s="6" t="n">
        <x:v>145</x:v>
      </x:c>
      <x:c r="J7" s="6" t="n">
        <x:v>0</x:v>
      </x:c>
      <x:c r="K7" s="6" t="n">
        <x:v>0</x:v>
      </x:c>
      <x:c r="L7" s="6" t="n">
        <x:v>10</x:v>
      </x:c>
      <x:c r="M7" s="11" t="n">
        <x:v>0.5997435897435898</x:v>
      </x:c>
      <x:c r="N7" s="6" t="n">
        <x:v>502000</x:v>
      </x:c>
    </x:row>
    <x:row r="8" ht="24" customHeight="1">
      <x:c r="A8" s="2" t="str">
        <x:v>2026-09-22_Day</x:v>
      </x:c>
      <x:c r="B8" s="6" t="str">
        <x:v>デイ</x:v>
      </x:c>
      <x:c r="C8" s="6" t="n">
        <x:v>738000</x:v>
      </x:c>
      <x:c r="D8" s="6" t="n">
        <x:v>1843000</x:v>
      </x:c>
      <x:c r="E8" s="6" t="n">
        <x:f>C8-D8</x:f>
        <x:v>-1105000</x:v>
      </x:c>
      <x:c r="F8" s="6" t="n">
        <x:f>F7+E8</x:f>
        <x:v>-2507000</x:v>
      </x:c>
      <x:c r="G8" s="6" t="n">
        <x:v>738000</x:v>
      </x:c>
      <x:c r="H8" s="6" t="n">
        <x:v>1843000</x:v>
      </x:c>
      <x:c r="I8" s="6" t="n">
        <x:v>153</x:v>
      </x:c>
      <x:c r="J8" s="6" t="n">
        <x:v>0</x:v>
      </x:c>
      <x:c r="K8" s="6" t="n">
        <x:v>0</x:v>
      </x:c>
      <x:c r="L8" s="6" t="n">
        <x:v>10</x:v>
      </x:c>
      <x:c r="M8" s="11" t="n">
        <x:v>0.736984126984127</x:v>
      </x:c>
      <x:c r="N8" s="6" t="n">
        <x:v>1295000</x:v>
      </x:c>
    </x:row>
    <x:row r="9" ht="24" customHeight="1">
      <x:c r="A9" s="2" t="str">
        <x:v>2026-09-22_Night</x:v>
      </x:c>
      <x:c r="B9" s="6" t="str">
        <x:v>ナイト</x:v>
      </x:c>
      <x:c r="C9" s="6" t="n">
        <x:v>1056000</x:v>
      </x:c>
      <x:c r="D9" s="6" t="n">
        <x:v>2333000</x:v>
      </x:c>
      <x:c r="E9" s="6" t="n">
        <x:f>C9-D9</x:f>
        <x:v>-1277000</x:v>
      </x:c>
      <x:c r="F9" s="6" t="n">
        <x:f>F8+E9</x:f>
        <x:v>-3784000</x:v>
      </x:c>
      <x:c r="G9" s="6" t="n">
        <x:v>1056000</x:v>
      </x:c>
      <x:c r="H9" s="6" t="n">
        <x:v>2333000</x:v>
      </x:c>
      <x:c r="I9" s="6" t="n">
        <x:v>204</x:v>
      </x:c>
      <x:c r="J9" s="6" t="n">
        <x:v>0</x:v>
      </x:c>
      <x:c r="K9" s="6" t="n">
        <x:v>0</x:v>
      </x:c>
      <x:c r="L9" s="6" t="n">
        <x:v>10</x:v>
      </x:c>
      <x:c r="M9" s="11" t="n">
        <x:v>0.7042307692307692</x:v>
      </x:c>
      <x:c r="N9" s="6" t="n">
        <x:v>1542000</x:v>
      </x:c>
    </x:row>
    <x:row r="10" ht="24" customHeight="1">
      <x:c r="A10" s="2" t="str">
        <x:v>2026-09-23_Day</x:v>
      </x:c>
      <x:c r="B10" s="6" t="str">
        <x:v>デイ</x:v>
      </x:c>
      <x:c r="C10" s="6" t="n">
        <x:v>297000</x:v>
      </x:c>
      <x:c r="D10" s="6" t="n">
        <x:v>1186000</x:v>
      </x:c>
      <x:c r="E10" s="6" t="n">
        <x:f>C10-D10</x:f>
        <x:v>-889000</x:v>
      </x:c>
      <x:c r="F10" s="6" t="n">
        <x:f>F9+E10</x:f>
        <x:v>-4673000</x:v>
      </x:c>
      <x:c r="G10" s="6" t="n">
        <x:v>297000</x:v>
      </x:c>
      <x:c r="H10" s="6" t="n">
        <x:v>1186000</x:v>
      </x:c>
      <x:c r="I10" s="6" t="n">
        <x:v>122</x:v>
      </x:c>
      <x:c r="J10" s="6" t="n">
        <x:v>0</x:v>
      </x:c>
      <x:c r="K10" s="6" t="n">
        <x:v>0</x:v>
      </x:c>
      <x:c r="L10" s="6" t="n">
        <x:v>10</x:v>
      </x:c>
      <x:c r="M10" s="11" t="n">
        <x:v>0.6986904761904762</x:v>
      </x:c>
      <x:c r="N10" s="6" t="n">
        <x:v>906000</x:v>
      </x:c>
    </x:row>
    <x:row r="11" ht="24" customHeight="1">
      <x:c r="A11" s="2" t="str">
        <x:v>2026-09-23_Night</x:v>
      </x:c>
      <x:c r="B11" s="6" t="str">
        <x:v>ナイト</x:v>
      </x:c>
      <x:c r="C11" s="6" t="n">
        <x:v>496000</x:v>
      </x:c>
      <x:c r="D11" s="6" t="n">
        <x:v>1713000</x:v>
      </x:c>
      <x:c r="E11" s="6" t="n">
        <x:f>C11-D11</x:f>
        <x:v>-1217000</x:v>
      </x:c>
      <x:c r="F11" s="6" t="n">
        <x:f>F10+E11</x:f>
        <x:v>-5890000</x:v>
      </x:c>
      <x:c r="G11" s="6" t="n">
        <x:v>496000</x:v>
      </x:c>
      <x:c r="H11" s="6" t="n">
        <x:v>1713000</x:v>
      </x:c>
      <x:c r="I11" s="6" t="n">
        <x:v>179</x:v>
      </x:c>
      <x:c r="J11" s="6" t="n">
        <x:v>0</x:v>
      </x:c>
      <x:c r="K11" s="6" t="n">
        <x:v>0</x:v>
      </x:c>
      <x:c r="L11" s="6" t="n">
        <x:v>10</x:v>
      </x:c>
      <x:c r="M11" s="11" t="n">
        <x:v>0.7372435897435897</x:v>
      </x:c>
      <x:c r="N11" s="6" t="n">
        <x:v>1223000</x:v>
      </x:c>
    </x:row>
    <x:row r="12" ht="24" customHeight="1">
      <x:c r="A12" s="2" t="str">
        <x:v>2026-09-24_Day</x:v>
      </x:c>
      <x:c r="B12" s="6" t="str">
        <x:v>デイ</x:v>
      </x:c>
      <x:c r="C12" s="6" t="n">
        <x:v>1382000</x:v>
      </x:c>
      <x:c r="D12" s="6" t="n">
        <x:v>2711000</x:v>
      </x:c>
      <x:c r="E12" s="6" t="n">
        <x:f>C12-D12</x:f>
        <x:v>-1329000</x:v>
      </x:c>
      <x:c r="F12" s="6" t="n">
        <x:f>F11+E12</x:f>
        <x:v>-7219000</x:v>
      </x:c>
      <x:c r="G12" s="6" t="n">
        <x:v>1382000</x:v>
      </x:c>
      <x:c r="H12" s="6" t="n">
        <x:v>2711000</x:v>
      </x:c>
      <x:c r="I12" s="6" t="n">
        <x:v>216</x:v>
      </x:c>
      <x:c r="J12" s="6" t="n">
        <x:v>0</x:v>
      </x:c>
      <x:c r="K12" s="6" t="n">
        <x:v>0</x:v>
      </x:c>
      <x:c r="L12" s="6" t="n">
        <x:v>10</x:v>
      </x:c>
      <x:c r="M12" s="11" t="n">
        <x:v>0.8196031746031746</x:v>
      </x:c>
      <x:c r="N12" s="6" t="n">
        <x:v>1497000</x:v>
      </x:c>
    </x:row>
    <x:row r="13" ht="24" customHeight="1">
      <x:c r="A13" s="2" t="str">
        <x:v>2026-09-24_Night</x:v>
      </x:c>
      <x:c r="B13" s="6" t="str">
        <x:v>ナイト</x:v>
      </x:c>
      <x:c r="C13" s="6" t="n">
        <x:v>1647000</x:v>
      </x:c>
      <x:c r="D13" s="6" t="n">
        <x:v>3686000</x:v>
      </x:c>
      <x:c r="E13" s="6" t="n">
        <x:f>C13-D13</x:f>
        <x:v>-2039000</x:v>
      </x:c>
      <x:c r="F13" s="6" t="n">
        <x:f>F12+E13</x:f>
        <x:v>-9258000</x:v>
      </x:c>
      <x:c r="G13" s="6" t="n">
        <x:v>1647000</x:v>
      </x:c>
      <x:c r="H13" s="6" t="n">
        <x:v>3686000</x:v>
      </x:c>
      <x:c r="I13" s="6" t="n">
        <x:v>285</x:v>
      </x:c>
      <x:c r="J13" s="6" t="n">
        <x:v>0</x:v>
      </x:c>
      <x:c r="K13" s="6" t="n">
        <x:v>0</x:v>
      </x:c>
      <x:c r="L13" s="6" t="n">
        <x:v>10</x:v>
      </x:c>
      <x:c r="M13" s="11" t="n">
        <x:v>0.7750641025641025</x:v>
      </x:c>
      <x:c r="N13" s="6" t="n">
        <x:v>2131000</x:v>
      </x:c>
    </x:row>
    <x:row r="14" ht="24" customHeight="1">
      <x:c r="A14" s="2" t="str">
        <x:v>2026-09-25_Day</x:v>
      </x:c>
      <x:c r="B14" s="6" t="str">
        <x:v>デイ</x:v>
      </x:c>
      <x:c r="C14" s="6" t="n">
        <x:v>963000</x:v>
      </x:c>
      <x:c r="D14" s="6" t="n">
        <x:v>2300000</x:v>
      </x:c>
      <x:c r="E14" s="6" t="n">
        <x:f>C14-D14</x:f>
        <x:v>-1337000</x:v>
      </x:c>
      <x:c r="F14" s="6" t="n">
        <x:f>F13+E14</x:f>
        <x:v>-10595000</x:v>
      </x:c>
      <x:c r="G14" s="6" t="n">
        <x:v>963000</x:v>
      </x:c>
      <x:c r="H14" s="6" t="n">
        <x:v>2300000</x:v>
      </x:c>
      <x:c r="I14" s="6" t="n">
        <x:v>228</x:v>
      </x:c>
      <x:c r="J14" s="6" t="n">
        <x:v>0</x:v>
      </x:c>
      <x:c r="K14" s="6" t="n">
        <x:v>0</x:v>
      </x:c>
      <x:c r="L14" s="6" t="n">
        <x:v>10</x:v>
      </x:c>
      <x:c r="M14" s="11" t="n">
        <x:v>0.794047619047619</x:v>
      </x:c>
      <x:c r="N14" s="6" t="n">
        <x:v>1370000</x:v>
      </x:c>
    </x:row>
    <x:row r="15" ht="24" customHeight="1">
      <x:c r="A15" s="2" t="str">
        <x:v>2026-09-25_Night</x:v>
      </x:c>
      <x:c r="B15" s="6" t="str">
        <x:v>ナイト</x:v>
      </x:c>
      <x:c r="C15" s="6" t="n">
        <x:v>1137000</x:v>
      </x:c>
      <x:c r="D15" s="6" t="n">
        <x:v>2331000</x:v>
      </x:c>
      <x:c r="E15" s="6" t="n">
        <x:f>C15-D15</x:f>
        <x:v>-1194000</x:v>
      </x:c>
      <x:c r="F15" s="6" t="n">
        <x:f>F14+E15</x:f>
        <x:v>-11789000</x:v>
      </x:c>
      <x:c r="G15" s="6" t="n">
        <x:v>1137000</x:v>
      </x:c>
      <x:c r="H15" s="6" t="n">
        <x:v>2331000</x:v>
      </x:c>
      <x:c r="I15" s="6" t="n">
        <x:v>216</x:v>
      </x:c>
      <x:c r="J15" s="6" t="n">
        <x:v>0</x:v>
      </x:c>
      <x:c r="K15" s="6" t="n">
        <x:v>0</x:v>
      </x:c>
      <x:c r="L15" s="6" t="n">
        <x:v>10</x:v>
      </x:c>
      <x:c r="M15" s="11" t="n">
        <x:v>0.7034615384615385</x:v>
      </x:c>
      <x:c r="N15" s="6" t="n">
        <x:v>1339000</x:v>
      </x:c>
    </x:row>
    <x:row r="16" ht="24" customHeight="1">
      <x:c r="A16" s="2" t="str">
        <x:v>2026-09-28_Day</x:v>
      </x:c>
      <x:c r="B16" s="6" t="str">
        <x:v>デイ</x:v>
      </x:c>
      <x:c r="C16" s="6" t="n">
        <x:v>1260000</x:v>
      </x:c>
      <x:c r="D16" s="6" t="n">
        <x:v>3072000</x:v>
      </x:c>
      <x:c r="E16" s="6" t="n">
        <x:f>C16-D16</x:f>
        <x:v>-1812000</x:v>
      </x:c>
      <x:c r="F16" s="6" t="n">
        <x:f>F15+E16</x:f>
        <x:v>-13601000</x:v>
      </x:c>
      <x:c r="G16" s="6" t="n">
        <x:v>1260000</x:v>
      </x:c>
      <x:c r="H16" s="6" t="n">
        <x:v>3072000</x:v>
      </x:c>
      <x:c r="I16" s="6" t="n">
        <x:v>258</x:v>
      </x:c>
      <x:c r="J16" s="6" t="n">
        <x:v>0</x:v>
      </x:c>
      <x:c r="K16" s="6" t="n">
        <x:v>0</x:v>
      </x:c>
      <x:c r="L16" s="6" t="n">
        <x:v>10</x:v>
      </x:c>
      <x:c r="M16" s="11" t="n">
        <x:v>0.7961111111111111</x:v>
      </x:c>
      <x:c r="N16" s="6" t="n">
        <x:v>1914000</x:v>
      </x:c>
    </x:row>
    <x:row r="17" ht="24" customHeight="1">
      <x:c r="A17" s="2" t="str">
        <x:v>2026-09-28_Night</x:v>
      </x:c>
      <x:c r="B17" s="6" t="str">
        <x:v>ナイト</x:v>
      </x:c>
      <x:c r="C17" s="6" t="n">
        <x:v>1343000</x:v>
      </x:c>
      <x:c r="D17" s="6" t="n">
        <x:v>3600000</x:v>
      </x:c>
      <x:c r="E17" s="6" t="n">
        <x:f>C17-D17</x:f>
        <x:v>-2257000</x:v>
      </x:c>
      <x:c r="F17" s="6" t="n">
        <x:f>F16+E17</x:f>
        <x:v>-15858000</x:v>
      </x:c>
      <x:c r="G17" s="6" t="n">
        <x:v>1343000</x:v>
      </x:c>
      <x:c r="H17" s="6" t="n">
        <x:v>3600000</x:v>
      </x:c>
      <x:c r="I17" s="6" t="n">
        <x:v>266</x:v>
      </x:c>
      <x:c r="J17" s="6" t="n">
        <x:v>0</x:v>
      </x:c>
      <x:c r="K17" s="6" t="n">
        <x:v>0</x:v>
      </x:c>
      <x:c r="L17" s="6" t="n">
        <x:v>10</x:v>
      </x:c>
      <x:c r="M17" s="11" t="n">
        <x:v>0.7451495726495726</x:v>
      </x:c>
      <x:c r="N17" s="6" t="n">
        <x:v>2279000</x:v>
      </x:c>
    </x:row>
    <x:row r="18" ht="24" customHeight="1">
      <x:c r="A18" s="2" t="str">
        <x:v>2026-09-29_Day</x:v>
      </x:c>
      <x:c r="B18" s="6" t="str">
        <x:v>デイ</x:v>
      </x:c>
      <x:c r="C18" s="6" t="n">
        <x:v>979000</x:v>
      </x:c>
      <x:c r="D18" s="6" t="n">
        <x:v>3638000</x:v>
      </x:c>
      <x:c r="E18" s="6" t="n">
        <x:f>C18-D18</x:f>
        <x:v>-2659000</x:v>
      </x:c>
      <x:c r="F18" s="6" t="n">
        <x:f>F17+E18</x:f>
        <x:v>-18517000</x:v>
      </x:c>
      <x:c r="G18" s="6" t="n">
        <x:v>979000</x:v>
      </x:c>
      <x:c r="H18" s="6" t="n">
        <x:v>3638000</x:v>
      </x:c>
      <x:c r="I18" s="6" t="n">
        <x:v>249</x:v>
      </x:c>
      <x:c r="J18" s="6" t="n">
        <x:v>0</x:v>
      </x:c>
      <x:c r="K18" s="6" t="n">
        <x:v>0</x:v>
      </x:c>
      <x:c r="L18" s="6" t="n">
        <x:v>10</x:v>
      </x:c>
      <x:c r="M18" s="11" t="n">
        <x:v>0.8007142857142857</x:v>
      </x:c>
      <x:c r="N18" s="6" t="n">
        <x:v>2706000</x:v>
      </x:c>
    </x:row>
    <x:row r="19" ht="24" customHeight="1">
      <x:c r="A19" s="2" t="str">
        <x:v>2026-09-29_Night</x:v>
      </x:c>
      <x:c r="B19" s="6" t="str">
        <x:v>ナイト</x:v>
      </x:c>
      <x:c r="C19" s="6" t="n">
        <x:v>1121000</x:v>
      </x:c>
      <x:c r="D19" s="6" t="n">
        <x:v>2866000</x:v>
      </x:c>
      <x:c r="E19" s="6" t="n">
        <x:f>C19-D19</x:f>
        <x:v>-1745000</x:v>
      </x:c>
      <x:c r="F19" s="6" t="n">
        <x:f>F18+E19</x:f>
        <x:v>-20262000</x:v>
      </x:c>
      <x:c r="G19" s="6" t="n">
        <x:v>1121000</x:v>
      </x:c>
      <x:c r="H19" s="6" t="n">
        <x:v>2866000</x:v>
      </x:c>
      <x:c r="I19" s="6" t="n">
        <x:v>258</x:v>
      </x:c>
      <x:c r="J19" s="6" t="n">
        <x:v>0</x:v>
      </x:c>
      <x:c r="K19" s="6" t="n">
        <x:v>0</x:v>
      </x:c>
      <x:c r="L19" s="6" t="n">
        <x:v>10</x:v>
      </x:c>
      <x:c r="M19" s="11" t="n">
        <x:v>0.7812820512820513</x:v>
      </x:c>
      <x:c r="N19" s="6" t="n">
        <x:v>1761000</x:v>
      </x:c>
    </x:row>
    <x:row r="20" ht="24" customHeight="1">
      <x:c r="A20" s="2" t="str">
        <x:v>2026-09-30_Day</x:v>
      </x:c>
      <x:c r="B20" s="6" t="str">
        <x:v>デイ</x:v>
      </x:c>
      <x:c r="C20" s="6" t="n">
        <x:v>1304000</x:v>
      </x:c>
      <x:c r="D20" s="6" t="n">
        <x:v>2811000</x:v>
      </x:c>
      <x:c r="E20" s="6" t="n">
        <x:f>C20-D20</x:f>
        <x:v>-1507000</x:v>
      </x:c>
      <x:c r="F20" s="6" t="n">
        <x:f>F19+E20</x:f>
        <x:v>-21769000</x:v>
      </x:c>
      <x:c r="G20" s="6" t="n">
        <x:v>1304000</x:v>
      </x:c>
      <x:c r="H20" s="6" t="n">
        <x:v>2811000</x:v>
      </x:c>
      <x:c r="I20" s="6" t="n">
        <x:v>222</x:v>
      </x:c>
      <x:c r="J20" s="6" t="n">
        <x:v>0</x:v>
      </x:c>
      <x:c r="K20" s="6" t="n">
        <x:v>0</x:v>
      </x:c>
      <x:c r="L20" s="6" t="n">
        <x:v>10</x:v>
      </x:c>
      <x:c r="M20" s="11" t="n">
        <x:v>0.828015873015873</x:v>
      </x:c>
      <x:c r="N20" s="6" t="n">
        <x:v>1529000</x:v>
      </x:c>
    </x:row>
    <x:row r="21" ht="24" customHeight="1">
      <x:c r="A21" s="2" t="str">
        <x:v>2026-09-30_Night</x:v>
      </x:c>
      <x:c r="B21" s="6" t="str">
        <x:v>ナイト</x:v>
      </x:c>
      <x:c r="C21" s="6" t="n">
        <x:v>1346000</x:v>
      </x:c>
      <x:c r="D21" s="6" t="n">
        <x:v>3325000</x:v>
      </x:c>
      <x:c r="E21" s="6" t="n">
        <x:f>C21-D21</x:f>
        <x:v>-1979000</x:v>
      </x:c>
      <x:c r="F21" s="6" t="n">
        <x:f>F20+E21</x:f>
        <x:v>-23748000</x:v>
      </x:c>
      <x:c r="G21" s="6" t="n">
        <x:v>1346000</x:v>
      </x:c>
      <x:c r="H21" s="6" t="n">
        <x:v>3325000</x:v>
      </x:c>
      <x:c r="I21" s="6" t="n">
        <x:v>274</x:v>
      </x:c>
      <x:c r="J21" s="6" t="n">
        <x:v>0</x:v>
      </x:c>
      <x:c r="K21" s="6" t="n">
        <x:v>0</x:v>
      </x:c>
      <x:c r="L21" s="6" t="n">
        <x:v>10</x:v>
      </x:c>
      <x:c r="M21" s="11" t="n">
        <x:v>0.7357692307692307</x:v>
      </x:c>
      <x:c r="N21" s="6" t="n">
        <x:v>2031000</x:v>
      </x:c>
    </x:row>
    <x:row r="22" ht="24" customHeight="1">
      <x:c r="A22" s="2" t="str">
        <x:v>2026-10-01_Day</x:v>
      </x:c>
      <x:c r="B22" s="6" t="str">
        <x:v>デイ</x:v>
      </x:c>
      <x:c r="C22" s="6" t="n">
        <x:v>1100000</x:v>
      </x:c>
      <x:c r="D22" s="6" t="n">
        <x:v>2498000</x:v>
      </x:c>
      <x:c r="E22" s="6" t="n">
        <x:f>C22-D22</x:f>
        <x:v>-1398000</x:v>
      </x:c>
      <x:c r="F22" s="6" t="n">
        <x:f>F21+E22</x:f>
        <x:v>-25146000</x:v>
      </x:c>
      <x:c r="G22" s="6" t="n">
        <x:v>1100000</x:v>
      </x:c>
      <x:c r="H22" s="6" t="n">
        <x:v>2498000</x:v>
      </x:c>
      <x:c r="I22" s="6" t="n">
        <x:v>201</x:v>
      </x:c>
      <x:c r="J22" s="6" t="n">
        <x:v>0</x:v>
      </x:c>
      <x:c r="K22" s="6" t="n">
        <x:v>0</x:v>
      </x:c>
      <x:c r="L22" s="6" t="n">
        <x:v>10</x:v>
      </x:c>
      <x:c r="M22" s="11" t="n">
        <x:v>0.8270634920634921</x:v>
      </x:c>
      <x:c r="N22" s="6" t="n">
        <x:v>1408000</x:v>
      </x:c>
    </x:row>
    <x:row r="23" ht="24" customHeight="1">
      <x:c r="A23" s="2" t="str">
        <x:v>2026-10-01_Night</x:v>
      </x:c>
      <x:c r="B23" s="6" t="str">
        <x:v>ナイト</x:v>
      </x:c>
      <x:c r="C23" s="6" t="n">
        <x:v>1576000</x:v>
      </x:c>
      <x:c r="D23" s="6" t="n">
        <x:v>4390000</x:v>
      </x:c>
      <x:c r="E23" s="6" t="n">
        <x:f>C23-D23</x:f>
        <x:v>-2814000</x:v>
      </x:c>
      <x:c r="F23" s="6" t="n">
        <x:f>F22+E23</x:f>
        <x:v>-27960000</x:v>
      </x:c>
      <x:c r="G23" s="6" t="n">
        <x:v>1576000</x:v>
      </x:c>
      <x:c r="H23" s="6" t="n">
        <x:v>4390000</x:v>
      </x:c>
      <x:c r="I23" s="6" t="n">
        <x:v>322</x:v>
      </x:c>
      <x:c r="J23" s="6" t="n">
        <x:v>0</x:v>
      </x:c>
      <x:c r="K23" s="6" t="n">
        <x:v>0</x:v>
      </x:c>
      <x:c r="L23" s="6" t="n">
        <x:v>10</x:v>
      </x:c>
      <x:c r="M23" s="11" t="n">
        <x:v>0.7757051282051282</x:v>
      </x:c>
      <x:c r="N23" s="6" t="n">
        <x:v>2835000</x:v>
      </x:c>
    </x:row>
    <x:row r="24" ht="24" customHeight="1">
      <x:c r="A24" s="2" t="str">
        <x:v>2026-10-02_Day</x:v>
      </x:c>
      <x:c r="B24" s="6" t="str">
        <x:v>デイ</x:v>
      </x:c>
      <x:c r="C24" s="6" t="n">
        <x:v>800000</x:v>
      </x:c>
      <x:c r="D24" s="6" t="n">
        <x:v>2420000</x:v>
      </x:c>
      <x:c r="E24" s="6" t="n">
        <x:f>C24-D24</x:f>
        <x:v>-1620000</x:v>
      </x:c>
      <x:c r="F24" s="6" t="n">
        <x:f>F23+E24</x:f>
        <x:v>-29580000</x:v>
      </x:c>
      <x:c r="G24" s="6" t="n">
        <x:v>800000</x:v>
      </x:c>
      <x:c r="H24" s="6" t="n">
        <x:v>2420000</x:v>
      </x:c>
      <x:c r="I24" s="6" t="n">
        <x:v>206</x:v>
      </x:c>
      <x:c r="J24" s="6" t="n">
        <x:v>0</x:v>
      </x:c>
      <x:c r="K24" s="6" t="n">
        <x:v>0</x:v>
      </x:c>
      <x:c r="L24" s="6" t="n">
        <x:v>10</x:v>
      </x:c>
      <x:c r="M24" s="11" t="n">
        <x:v>0.819047619047619</x:v>
      </x:c>
      <x:c r="N24" s="6" t="n">
        <x:v>1805000</x:v>
      </x:c>
    </x:row>
    <x:row r="25" ht="24" customHeight="1">
      <x:c r="A25" s="2" t="str">
        <x:v>2026-10-02_Night</x:v>
      </x:c>
      <x:c r="B25" s="6" t="str">
        <x:v>ナイト</x:v>
      </x:c>
      <x:c r="C25" s="6" t="n">
        <x:v>1308000</x:v>
      </x:c>
      <x:c r="D25" s="6" t="n">
        <x:v>3537000</x:v>
      </x:c>
      <x:c r="E25" s="6" t="n">
        <x:f>C25-D25</x:f>
        <x:v>-2229000</x:v>
      </x:c>
      <x:c r="F25" s="6" t="n">
        <x:f>F24+E25</x:f>
        <x:v>-31809000</x:v>
      </x:c>
      <x:c r="G25" s="6" t="n">
        <x:v>1308000</x:v>
      </x:c>
      <x:c r="H25" s="6" t="n">
        <x:v>3537000</x:v>
      </x:c>
      <x:c r="I25" s="6" t="n">
        <x:v>293</x:v>
      </x:c>
      <x:c r="J25" s="6" t="n">
        <x:v>0</x:v>
      </x:c>
      <x:c r="K25" s="6" t="n">
        <x:v>0</x:v>
      </x:c>
      <x:c r="L25" s="6" t="n">
        <x:v>10</x:v>
      </x:c>
      <x:c r="M25" s="11" t="n">
        <x:v>0.7909615384615385</x:v>
      </x:c>
      <x:c r="N25" s="6" t="n">
        <x:v>2276000</x:v>
      </x:c>
    </x:row>
    <x:row r="26" ht="24" customHeight="1">
      <x:c r="A26" s="2" t="str">
        <x:v>2026-10-05_Day</x:v>
      </x:c>
      <x:c r="B26" s="6" t="str">
        <x:v>デイ</x:v>
      </x:c>
      <x:c r="C26" s="6" t="n">
        <x:v>758000</x:v>
      </x:c>
      <x:c r="D26" s="6" t="n">
        <x:v>1810000</x:v>
      </x:c>
      <x:c r="E26" s="6" t="n">
        <x:f>C26-D26</x:f>
        <x:v>-1052000</x:v>
      </x:c>
      <x:c r="F26" s="6" t="n">
        <x:f>F25+E26</x:f>
        <x:v>-32861000</x:v>
      </x:c>
      <x:c r="G26" s="6" t="n">
        <x:v>758000</x:v>
      </x:c>
      <x:c r="H26" s="6" t="n">
        <x:v>1810000</x:v>
      </x:c>
      <x:c r="I26" s="6" t="n">
        <x:v>203</x:v>
      </x:c>
      <x:c r="J26" s="6" t="n">
        <x:v>0</x:v>
      </x:c>
      <x:c r="K26" s="6" t="n">
        <x:v>0</x:v>
      </x:c>
      <x:c r="L26" s="6" t="n">
        <x:v>10</x:v>
      </x:c>
      <x:c r="M26" s="11" t="n">
        <x:v>0.8120238095238095</x:v>
      </x:c>
      <x:c r="N26" s="6" t="n">
        <x:v>1126000</x:v>
      </x:c>
    </x:row>
    <x:row r="27" ht="24" customHeight="1">
      <x:c r="A27" s="2" t="str">
        <x:v>2026-10-05_Night</x:v>
      </x:c>
      <x:c r="B27" s="6" t="str">
        <x:v>ナイト</x:v>
      </x:c>
      <x:c r="C27" s="6" t="n">
        <x:v>646000</x:v>
      </x:c>
      <x:c r="D27" s="6" t="n">
        <x:v>2118000</x:v>
      </x:c>
      <x:c r="E27" s="6" t="n">
        <x:f>C27-D27</x:f>
        <x:v>-1472000</x:v>
      </x:c>
      <x:c r="F27" s="6" t="n">
        <x:f>F26+E27</x:f>
        <x:v>-34333000</x:v>
      </x:c>
      <x:c r="G27" s="6" t="n">
        <x:v>646000</x:v>
      </x:c>
      <x:c r="H27" s="6" t="n">
        <x:v>2118000</x:v>
      </x:c>
      <x:c r="I27" s="6" t="n">
        <x:v>249</x:v>
      </x:c>
      <x:c r="J27" s="6" t="n">
        <x:v>0</x:v>
      </x:c>
      <x:c r="K27" s="6" t="n">
        <x:v>0</x:v>
      </x:c>
      <x:c r="L27" s="6" t="n">
        <x:v>10</x:v>
      </x:c>
      <x:c r="M27" s="11" t="n">
        <x:v>0.7591239316239317</x:v>
      </x:c>
      <x:c r="N27" s="6" t="n">
        <x:v>1540000</x:v>
      </x:c>
    </x:row>
    <x:row r="28" ht="24" customHeight="1">
      <x:c r="A28" s="2" t="str">
        <x:v>2026-10-06_Day</x:v>
      </x:c>
      <x:c r="B28" s="6" t="str">
        <x:v>デイ</x:v>
      </x:c>
      <x:c r="C28" s="6" t="n">
        <x:v>717000</x:v>
      </x:c>
      <x:c r="D28" s="6" t="n">
        <x:v>1667000</x:v>
      </x:c>
      <x:c r="E28" s="6" t="n">
        <x:f>C28-D28</x:f>
        <x:v>-950000</x:v>
      </x:c>
      <x:c r="F28" s="6" t="n">
        <x:f>F27+E28</x:f>
        <x:v>-35283000</x:v>
      </x:c>
      <x:c r="G28" s="6" t="n">
        <x:v>717000</x:v>
      </x:c>
      <x:c r="H28" s="6" t="n">
        <x:v>1667000</x:v>
      </x:c>
      <x:c r="I28" s="6" t="n">
        <x:v>191</x:v>
      </x:c>
      <x:c r="J28" s="6" t="n">
        <x:v>0</x:v>
      </x:c>
      <x:c r="K28" s="6" t="n">
        <x:v>0</x:v>
      </x:c>
      <x:c r="L28" s="6" t="n">
        <x:v>10</x:v>
      </x:c>
      <x:c r="M28" s="11" t="n">
        <x:v>0.8190873015873016</x:v>
      </x:c>
      <x:c r="N28" s="6" t="n">
        <x:v>1004000</x:v>
      </x:c>
    </x:row>
    <x:row r="29" ht="24" customHeight="1">
      <x:c r="A29" s="2" t="str">
        <x:v>2026-10-06_Night</x:v>
      </x:c>
      <x:c r="B29" s="6" t="str">
        <x:v>ナイト</x:v>
      </x:c>
      <x:c r="C29" s="6" t="n">
        <x:v>419000</x:v>
      </x:c>
      <x:c r="D29" s="6" t="n">
        <x:v>1500000</x:v>
      </x:c>
      <x:c r="E29" s="6" t="n">
        <x:f>C29-D29</x:f>
        <x:v>-1081000</x:v>
      </x:c>
      <x:c r="F29" s="6" t="n">
        <x:f>F28+E29</x:f>
        <x:v>-36364000</x:v>
      </x:c>
      <x:c r="G29" s="6" t="n">
        <x:v>419000</x:v>
      </x:c>
      <x:c r="H29" s="6" t="n">
        <x:v>1500000</x:v>
      </x:c>
      <x:c r="I29" s="6" t="n">
        <x:v>209</x:v>
      </x:c>
      <x:c r="J29" s="6" t="n">
        <x:v>0</x:v>
      </x:c>
      <x:c r="K29" s="6" t="n">
        <x:v>0</x:v>
      </x:c>
      <x:c r="L29" s="6" t="n">
        <x:v>10</x:v>
      </x:c>
      <x:c r="M29" s="11" t="n">
        <x:v>0.7006196581196581</x:v>
      </x:c>
      <x:c r="N29" s="6" t="n">
        <x:v>1098000</x:v>
      </x:c>
    </x:row>
    <x:row r="30" ht="24" customHeight="1">
      <x:c r="A30" s="2" t="str">
        <x:v>2026-10-07_Day</x:v>
      </x:c>
      <x:c r="B30" s="6" t="str">
        <x:v>デイ</x:v>
      </x:c>
      <x:c r="C30" s="6" t="n">
        <x:v>480000</x:v>
      </x:c>
      <x:c r="D30" s="6" t="n">
        <x:v>1190000</x:v>
      </x:c>
      <x:c r="E30" s="6" t="n">
        <x:f>C30-D30</x:f>
        <x:v>-710000</x:v>
      </x:c>
      <x:c r="F30" s="6" t="n">
        <x:f>F29+E30</x:f>
        <x:v>-37074000</x:v>
      </x:c>
      <x:c r="G30" s="6" t="n">
        <x:v>480000</x:v>
      </x:c>
      <x:c r="H30" s="6" t="n">
        <x:v>1190000</x:v>
      </x:c>
      <x:c r="I30" s="6" t="n">
        <x:v>182</x:v>
      </x:c>
      <x:c r="J30" s="6" t="n">
        <x:v>0</x:v>
      </x:c>
      <x:c r="K30" s="6" t="n">
        <x:v>0</x:v>
      </x:c>
      <x:c r="L30" s="6" t="n">
        <x:v>10</x:v>
      </x:c>
      <x:c r="M30" s="11" t="n">
        <x:v>0.7998809523809524</x:v>
      </x:c>
      <x:c r="N30" s="6" t="n">
        <x:v>716000</x:v>
      </x:c>
    </x:row>
    <x:row r="31" ht="24" customHeight="1">
      <x:c r="A31" s="2" t="str">
        <x:v>2026-10-07_Night</x:v>
      </x:c>
      <x:c r="B31" s="6" t="str">
        <x:v>ナイト</x:v>
      </x:c>
      <x:c r="C31" s="6" t="n">
        <x:v>414000</x:v>
      </x:c>
      <x:c r="D31" s="6" t="n">
        <x:v>1858000</x:v>
      </x:c>
      <x:c r="E31" s="6" t="n">
        <x:f>C31-D31</x:f>
        <x:v>-1444000</x:v>
      </x:c>
      <x:c r="F31" s="6" t="n">
        <x:f>F30+E31</x:f>
        <x:v>-38518000</x:v>
      </x:c>
      <x:c r="G31" s="6" t="n">
        <x:v>414000</x:v>
      </x:c>
      <x:c r="H31" s="6" t="n">
        <x:v>1858000</x:v>
      </x:c>
      <x:c r="I31" s="6" t="n">
        <x:v>258</x:v>
      </x:c>
      <x:c r="J31" s="6" t="n">
        <x:v>0</x:v>
      </x:c>
      <x:c r="K31" s="6" t="n">
        <x:v>0</x:v>
      </x:c>
      <x:c r="L31" s="6" t="n">
        <x:v>10</x:v>
      </x:c>
      <x:c r="M31" s="11" t="n">
        <x:v>0.7810897435897436</x:v>
      </x:c>
      <x:c r="N31" s="6" t="n">
        <x:v>1450000</x:v>
      </x:c>
    </x:row>
    <x:row r="32" ht="24" customHeight="1">
      <x:c r="A32" s="2" t="str">
        <x:v>2026-10-08_Day</x:v>
      </x:c>
      <x:c r="B32" s="6" t="str">
        <x:v>デイ</x:v>
      </x:c>
      <x:c r="C32" s="6" t="n">
        <x:v>1282000</x:v>
      </x:c>
      <x:c r="D32" s="6" t="n">
        <x:v>2084000</x:v>
      </x:c>
      <x:c r="E32" s="6" t="n">
        <x:f>C32-D32</x:f>
        <x:v>-802000</x:v>
      </x:c>
      <x:c r="F32" s="6" t="n">
        <x:f>F31+E32</x:f>
        <x:v>-39320000</x:v>
      </x:c>
      <x:c r="G32" s="6" t="n">
        <x:v>1282000</x:v>
      </x:c>
      <x:c r="H32" s="6" t="n">
        <x:v>2084000</x:v>
      </x:c>
      <x:c r="I32" s="6" t="n">
        <x:v>199</x:v>
      </x:c>
      <x:c r="J32" s="6" t="n">
        <x:v>0</x:v>
      </x:c>
      <x:c r="K32" s="6" t="n">
        <x:v>0</x:v>
      </x:c>
      <x:c r="L32" s="6" t="n">
        <x:v>10</x:v>
      </x:c>
      <x:c r="M32" s="11" t="n">
        <x:v>0.8327777777777777</x:v>
      </x:c>
      <x:c r="N32" s="6" t="n">
        <x:v>1212000</x:v>
      </x:c>
    </x:row>
    <x:row r="33" ht="24" customHeight="1">
      <x:c r="A33" s="2" t="str">
        <x:v>2026-10-08_Night</x:v>
      </x:c>
      <x:c r="B33" s="6" t="str">
        <x:v>ナイト</x:v>
      </x:c>
      <x:c r="C33" s="6" t="n">
        <x:v>1535000</x:v>
      </x:c>
      <x:c r="D33" s="6" t="n">
        <x:v>4202000</x:v>
      </x:c>
      <x:c r="E33" s="6" t="n">
        <x:f>C33-D33</x:f>
        <x:v>-2667000</x:v>
      </x:c>
      <x:c r="F33" s="6" t="n">
        <x:f>F32+E33</x:f>
        <x:v>-41987000</x:v>
      </x:c>
      <x:c r="G33" s="6" t="n">
        <x:v>1535000</x:v>
      </x:c>
      <x:c r="H33" s="6" t="n">
        <x:v>4202000</x:v>
      </x:c>
      <x:c r="I33" s="6" t="n">
        <x:v>330</x:v>
      </x:c>
      <x:c r="J33" s="6" t="n">
        <x:v>0</x:v>
      </x:c>
      <x:c r="K33" s="6" t="n">
        <x:v>0</x:v>
      </x:c>
      <x:c r="L33" s="6" t="n">
        <x:v>10</x:v>
      </x:c>
      <x:c r="M33" s="11" t="n">
        <x:v>0.7441452991452991</x:v>
      </x:c>
      <x:c r="N33" s="6" t="n">
        <x:v>2681000</x:v>
      </x:c>
    </x:row>
    <x:row r="34" ht="24" customHeight="1">
      <x:c r="A34" s="2" t="str">
        <x:v>2026-10-09_Day</x:v>
      </x:c>
      <x:c r="B34" s="6" t="str">
        <x:v>デイ</x:v>
      </x:c>
      <x:c r="C34" s="6" t="n">
        <x:v>1261000</x:v>
      </x:c>
      <x:c r="D34" s="6" t="n">
        <x:v>2885000</x:v>
      </x:c>
      <x:c r="E34" s="6" t="n">
        <x:f>C34-D34</x:f>
        <x:v>-1624000</x:v>
      </x:c>
      <x:c r="F34" s="6" t="n">
        <x:f>F33+E34</x:f>
        <x:v>-43611000</x:v>
      </x:c>
      <x:c r="G34" s="6" t="n">
        <x:v>1261000</x:v>
      </x:c>
      <x:c r="H34" s="6" t="n">
        <x:v>2885000</x:v>
      </x:c>
      <x:c r="I34" s="6" t="n">
        <x:v>202</x:v>
      </x:c>
      <x:c r="J34" s="6" t="n">
        <x:v>0</x:v>
      </x:c>
      <x:c r="K34" s="6" t="n">
        <x:v>0</x:v>
      </x:c>
      <x:c r="L34" s="6" t="n">
        <x:v>10</x:v>
      </x:c>
      <x:c r="M34" s="11" t="n">
        <x:v>0.8100396825396825</x:v>
      </x:c>
      <x:c r="N34" s="6" t="n">
        <x:v>1768000</x:v>
      </x:c>
    </x:row>
    <x:row r="35" ht="24" customHeight="1">
      <x:c r="A35" s="2" t="str">
        <x:v>2026-10-09_Night</x:v>
      </x:c>
      <x:c r="B35" s="6" t="str">
        <x:v>ナイト</x:v>
      </x:c>
      <x:c r="C35" s="6" t="n">
        <x:v>422000</x:v>
      </x:c>
      <x:c r="D35" s="6" t="n">
        <x:v>1958000</x:v>
      </x:c>
      <x:c r="E35" s="6" t="n">
        <x:f>C35-D35</x:f>
        <x:v>-1536000</x:v>
      </x:c>
      <x:c r="F35" s="6" t="n">
        <x:f>F34+E35</x:f>
        <x:v>-45147000</x:v>
      </x:c>
      <x:c r="G35" s="6" t="n">
        <x:v>422000</x:v>
      </x:c>
      <x:c r="H35" s="6" t="n">
        <x:v>1958000</x:v>
      </x:c>
      <x:c r="I35" s="6" t="n">
        <x:v>207</x:v>
      </x:c>
      <x:c r="J35" s="6" t="n">
        <x:v>0</x:v>
      </x:c>
      <x:c r="K35" s="6" t="n">
        <x:v>0</x:v>
      </x:c>
      <x:c r="L35" s="6" t="n">
        <x:v>10</x:v>
      </x:c>
      <x:c r="M35" s="11" t="n">
        <x:v>0.745534188034188</x:v>
      </x:c>
      <x:c r="N35" s="6" t="n">
        <x:v>1559000</x:v>
      </x:c>
    </x:row>
    <x:row r="36" ht="24" customHeight="1">
      <x:c r="A36" s="2" t="str">
        <x:v>2026-10-12_Day</x:v>
      </x:c>
      <x:c r="B36" s="6" t="str">
        <x:v>デイ</x:v>
      </x:c>
      <x:c r="C36" s="6" t="n">
        <x:v>308000</x:v>
      </x:c>
      <x:c r="D36" s="6" t="n">
        <x:v>950000</x:v>
      </x:c>
      <x:c r="E36" s="6" t="n">
        <x:f>C36-D36</x:f>
        <x:v>-642000</x:v>
      </x:c>
      <x:c r="F36" s="6" t="n">
        <x:f>F35+E36</x:f>
        <x:v>-45789000</x:v>
      </x:c>
      <x:c r="G36" s="6" t="n">
        <x:v>308000</x:v>
      </x:c>
      <x:c r="H36" s="6" t="n">
        <x:v>950000</x:v>
      </x:c>
      <x:c r="I36" s="6" t="n">
        <x:v>114</x:v>
      </x:c>
      <x:c r="J36" s="6" t="n">
        <x:v>0</x:v>
      </x:c>
      <x:c r="K36" s="6" t="n">
        <x:v>0</x:v>
      </x:c>
      <x:c r="L36" s="6" t="n">
        <x:v>10</x:v>
      </x:c>
      <x:c r="M36" s="11" t="n">
        <x:v>0.7298015873015873</x:v>
      </x:c>
      <x:c r="N36" s="6" t="n">
        <x:v>644000</x:v>
      </x:c>
    </x:row>
    <x:row r="37" ht="24" customHeight="1">
      <x:c r="A37" s="2" t="str">
        <x:v>2026-10-12_Night</x:v>
      </x:c>
      <x:c r="B37" s="6" t="str">
        <x:v>ナイト</x:v>
      </x:c>
      <x:c r="C37" s="6" t="n">
        <x:v>466000</x:v>
      </x:c>
      <x:c r="D37" s="6" t="n">
        <x:v>1223000</x:v>
      </x:c>
      <x:c r="E37" s="6" t="n">
        <x:f>C37-D37</x:f>
        <x:v>-757000</x:v>
      </x:c>
      <x:c r="F37" s="6" t="n">
        <x:f>F36+E37</x:f>
        <x:v>-46546000</x:v>
      </x:c>
      <x:c r="G37" s="6" t="n">
        <x:v>466000</x:v>
      </x:c>
      <x:c r="H37" s="6" t="n">
        <x:v>1223000</x:v>
      </x:c>
      <x:c r="I37" s="6" t="n">
        <x:v>163</x:v>
      </x:c>
      <x:c r="J37" s="6" t="n">
        <x:v>0</x:v>
      </x:c>
      <x:c r="K37" s="6" t="n">
        <x:v>0</x:v>
      </x:c>
      <x:c r="L37" s="6" t="n">
        <x:v>10</x:v>
      </x:c>
      <x:c r="M37" s="11" t="n">
        <x:v>0.721965811965812</x:v>
      </x:c>
      <x:c r="N37" s="6" t="n">
        <x:v>775000</x:v>
      </x:c>
    </x:row>
    <x:row r="38" ht="24" customHeight="1">
      <x:c r="A38" s="2" t="str">
        <x:v>2026-10-13_Day</x:v>
      </x:c>
      <x:c r="B38" s="6" t="str">
        <x:v>デイ</x:v>
      </x:c>
      <x:c r="C38" s="6" t="n">
        <x:v>1291000</x:v>
      </x:c>
      <x:c r="D38" s="6" t="n">
        <x:v>3853000</x:v>
      </x:c>
      <x:c r="E38" s="6" t="n">
        <x:f>C38-D38</x:f>
        <x:v>-2562000</x:v>
      </x:c>
      <x:c r="F38" s="6" t="n">
        <x:f>F37+E38</x:f>
        <x:v>-49108000</x:v>
      </x:c>
      <x:c r="G38" s="6" t="n">
        <x:v>1291000</x:v>
      </x:c>
      <x:c r="H38" s="6" t="n">
        <x:v>3853000</x:v>
      </x:c>
      <x:c r="I38" s="6" t="n">
        <x:v>247</x:v>
      </x:c>
      <x:c r="J38" s="6" t="n">
        <x:v>0</x:v>
      </x:c>
      <x:c r="K38" s="6" t="n">
        <x:v>0</x:v>
      </x:c>
      <x:c r="L38" s="6" t="n">
        <x:v>10</x:v>
      </x:c>
      <x:c r="M38" s="11" t="n">
        <x:v>0.8118650793650793</x:v>
      </x:c>
      <x:c r="N38" s="6" t="n">
        <x:v>2673000</x:v>
      </x:c>
    </x:row>
    <x:row r="39" ht="24" customHeight="1">
      <x:c r="A39" s="2" t="str">
        <x:v>2026-10-13_Night</x:v>
      </x:c>
      <x:c r="B39" s="6" t="str">
        <x:v>ナイト</x:v>
      </x:c>
      <x:c r="C39" s="6" t="n">
        <x:v>495000</x:v>
      </x:c>
      <x:c r="D39" s="6" t="n">
        <x:v>1712000</x:v>
      </x:c>
      <x:c r="E39" s="6" t="n">
        <x:f>C39-D39</x:f>
        <x:v>-1217000</x:v>
      </x:c>
      <x:c r="F39" s="6" t="n">
        <x:f>F38+E39</x:f>
        <x:v>-50325000</x:v>
      </x:c>
      <x:c r="G39" s="6" t="n">
        <x:v>495000</x:v>
      </x:c>
      <x:c r="H39" s="6" t="n">
        <x:v>1712000</x:v>
      </x:c>
      <x:c r="I39" s="6" t="n">
        <x:v>221</x:v>
      </x:c>
      <x:c r="J39" s="6" t="n">
        <x:v>0</x:v>
      </x:c>
      <x:c r="K39" s="6" t="n">
        <x:v>0</x:v>
      </x:c>
      <x:c r="L39" s="6" t="n">
        <x:v>10</x:v>
      </x:c>
      <x:c r="M39" s="11" t="n">
        <x:v>0.7336752136752137</x:v>
      </x:c>
      <x:c r="N39" s="6" t="n">
        <x:v>1224000</x:v>
      </x:c>
    </x:row>
    <x:row r="40" ht="24" customHeight="1">
      <x:c r="A40" s="2" t="str">
        <x:v>2026-10-14_Day</x:v>
      </x:c>
      <x:c r="B40" s="6" t="str">
        <x:v>デイ</x:v>
      </x:c>
      <x:c r="C40" s="6" t="n">
        <x:v>858000</x:v>
      </x:c>
      <x:c r="D40" s="6" t="n">
        <x:v>2478000</x:v>
      </x:c>
      <x:c r="E40" s="6" t="n">
        <x:f>C40-D40</x:f>
        <x:v>-1620000</x:v>
      </x:c>
      <x:c r="F40" s="6" t="n">
        <x:f>F39+E40</x:f>
        <x:v>-51945000</x:v>
      </x:c>
      <x:c r="G40" s="6" t="n">
        <x:v>858000</x:v>
      </x:c>
      <x:c r="H40" s="6" t="n">
        <x:v>2478000</x:v>
      </x:c>
      <x:c r="I40" s="6" t="n">
        <x:v>227</x:v>
      </x:c>
      <x:c r="J40" s="6" t="n">
        <x:v>0</x:v>
      </x:c>
      <x:c r="K40" s="6" t="n">
        <x:v>0</x:v>
      </x:c>
      <x:c r="L40" s="6" t="n">
        <x:v>10</x:v>
      </x:c>
      <x:c r="M40" s="11" t="n">
        <x:v>0.8174603174603174</x:v>
      </x:c>
      <x:c r="N40" s="6" t="n">
        <x:v>1722000</x:v>
      </x:c>
    </x:row>
    <x:row r="41" ht="24" customHeight="1">
      <x:c r="A41" s="2" t="str">
        <x:v>2026-10-14_Night</x:v>
      </x:c>
      <x:c r="B41" s="6" t="str">
        <x:v>ナイト</x:v>
      </x:c>
      <x:c r="C41" s="6" t="n">
        <x:v>1750000</x:v>
      </x:c>
      <x:c r="D41" s="6" t="n">
        <x:v>2991000</x:v>
      </x:c>
      <x:c r="E41" s="6" t="n">
        <x:f>C41-D41</x:f>
        <x:v>-1241000</x:v>
      </x:c>
      <x:c r="F41" s="6" t="n">
        <x:f>F40+E41</x:f>
        <x:v>-53186000</x:v>
      </x:c>
      <x:c r="G41" s="6" t="n">
        <x:v>1750000</x:v>
      </x:c>
      <x:c r="H41" s="6" t="n">
        <x:v>2991000</x:v>
      </x:c>
      <x:c r="I41" s="6" t="n">
        <x:v>297</x:v>
      </x:c>
      <x:c r="J41" s="6" t="n">
        <x:v>0</x:v>
      </x:c>
      <x:c r="K41" s="6" t="n">
        <x:v>0</x:v>
      </x:c>
      <x:c r="L41" s="6" t="n">
        <x:v>10</x:v>
      </x:c>
      <x:c r="M41" s="11" t="n">
        <x:v>0.8043162393162393</x:v>
      </x:c>
      <x:c r="N41" s="6" t="n">
        <x:v>1329000</x:v>
      </x:c>
    </x:row>
    <x:row r="42" ht="24" customHeight="1">
      <x:c r="A42" s="2" t="str">
        <x:v>2026-10-15_Day</x:v>
      </x:c>
      <x:c r="B42" s="6" t="str">
        <x:v>デイ</x:v>
      </x:c>
      <x:c r="C42" s="6" t="n">
        <x:v>2469000</x:v>
      </x:c>
      <x:c r="D42" s="6" t="n">
        <x:v>5561000</x:v>
      </x:c>
      <x:c r="E42" s="6" t="n">
        <x:f>C42-D42</x:f>
        <x:v>-3092000</x:v>
      </x:c>
      <x:c r="F42" s="6" t="n">
        <x:f>F41+E42</x:f>
        <x:v>-56278000</x:v>
      </x:c>
      <x:c r="G42" s="6" t="n">
        <x:v>2469000</x:v>
      </x:c>
      <x:c r="H42" s="6" t="n">
        <x:v>5561000</x:v>
      </x:c>
      <x:c r="I42" s="6" t="n">
        <x:v>299</x:v>
      </x:c>
      <x:c r="J42" s="6" t="n">
        <x:v>0</x:v>
      </x:c>
      <x:c r="K42" s="6" t="n">
        <x:v>0</x:v>
      </x:c>
      <x:c r="L42" s="6" t="n">
        <x:v>10</x:v>
      </x:c>
      <x:c r="M42" s="11" t="n">
        <x:v>0.8091269841269841</x:v>
      </x:c>
      <x:c r="N42" s="6" t="n">
        <x:v>3249000</x:v>
      </x:c>
    </x:row>
    <x:row r="43" ht="24" customHeight="1">
      <x:c r="A43" s="2" t="str">
        <x:v>2026-10-15_Night</x:v>
      </x:c>
      <x:c r="B43" s="6" t="str">
        <x:v>ナイト</x:v>
      </x:c>
      <x:c r="C43" s="6" t="n">
        <x:v>2482000</x:v>
      </x:c>
      <x:c r="D43" s="6" t="n">
        <x:v>5720000</x:v>
      </x:c>
      <x:c r="E43" s="6" t="n">
        <x:f>C43-D43</x:f>
        <x:v>-3238000</x:v>
      </x:c>
      <x:c r="F43" s="6" t="n">
        <x:f>F42+E43</x:f>
        <x:v>-59516000</x:v>
      </x:c>
      <x:c r="G43" s="6" t="n">
        <x:v>2482000</x:v>
      </x:c>
      <x:c r="H43" s="6" t="n">
        <x:v>5720000</x:v>
      </x:c>
      <x:c r="I43" s="6" t="n">
        <x:v>361</x:v>
      </x:c>
      <x:c r="J43" s="6" t="n">
        <x:v>0</x:v>
      </x:c>
      <x:c r="K43" s="6" t="n">
        <x:v>0</x:v>
      </x:c>
      <x:c r="L43" s="6" t="n">
        <x:v>10</x:v>
      </x:c>
      <x:c r="M43" s="11" t="n">
        <x:v>0.7667735042735043</x:v>
      </x:c>
      <x:c r="N43" s="6" t="n">
        <x:v>3279000</x:v>
      </x:c>
    </x:row>
    <x:row r="44" ht="24" customHeight="1">
      <x:c r="A44" s="2" t="str">
        <x:v>2026-10-16_Day</x:v>
      </x:c>
      <x:c r="B44" s="6" t="str">
        <x:v>デイ</x:v>
      </x:c>
      <x:c r="C44" s="6" t="n">
        <x:v>1457000</x:v>
      </x:c>
      <x:c r="D44" s="6" t="n">
        <x:v>4218000</x:v>
      </x:c>
      <x:c r="E44" s="6" t="n">
        <x:f>C44-D44</x:f>
        <x:v>-2761000</x:v>
      </x:c>
      <x:c r="F44" s="6" t="n">
        <x:f>F43+E44</x:f>
        <x:v>-62277000</x:v>
      </x:c>
      <x:c r="G44" s="6" t="n">
        <x:v>1457000</x:v>
      </x:c>
      <x:c r="H44" s="6" t="n">
        <x:v>4218000</x:v>
      </x:c>
      <x:c r="I44" s="6" t="n">
        <x:v>248</x:v>
      </x:c>
      <x:c r="J44" s="6" t="n">
        <x:v>0</x:v>
      </x:c>
      <x:c r="K44" s="6" t="n">
        <x:v>0</x:v>
      </x:c>
      <x:c r="L44" s="6" t="n">
        <x:v>10</x:v>
      </x:c>
      <x:c r="M44" s="11" t="n">
        <x:v>0.8232539682539682</x:v>
      </x:c>
      <x:c r="N44" s="6" t="n">
        <x:v>2767000</x:v>
      </x:c>
    </x:row>
    <x:row r="45" ht="24" customHeight="1">
      <x:c r="A45" s="2" t="str">
        <x:v>2026-10-16_Night</x:v>
      </x:c>
      <x:c r="B45" s="6" t="str">
        <x:v>ナイト</x:v>
      </x:c>
      <x:c r="C45" s="6" t="n">
        <x:v>2448000</x:v>
      </x:c>
      <x:c r="D45" s="6" t="n">
        <x:v>5180000</x:v>
      </x:c>
      <x:c r="E45" s="6" t="n">
        <x:f>C45-D45</x:f>
        <x:v>-2732000</x:v>
      </x:c>
      <x:c r="F45" s="6" t="n">
        <x:f>F44+E45</x:f>
        <x:v>-65009000</x:v>
      </x:c>
      <x:c r="G45" s="6" t="n">
        <x:v>2448000</x:v>
      </x:c>
      <x:c r="H45" s="6" t="n">
        <x:v>5180000</x:v>
      </x:c>
      <x:c r="I45" s="6" t="n">
        <x:v>364</x:v>
      </x:c>
      <x:c r="J45" s="6" t="n">
        <x:v>0</x:v>
      </x:c>
      <x:c r="K45" s="6" t="n">
        <x:v>0</x:v>
      </x:c>
      <x:c r="L45" s="6" t="n">
        <x:v>10</x:v>
      </x:c>
      <x:c r="M45" s="11" t="n">
        <x:v>0.7823931623931624</x:v>
      </x:c>
      <x:c r="N45" s="6" t="n">
        <x:v>2792000</x:v>
      </x:c>
    </x:row>
    <x:row r="46" ht="24" customHeight="1">
      <x:c r="A46" s="2" t="str">
        <x:v>2026-10-19_Day</x:v>
      </x:c>
      <x:c r="B46" s="6" t="str">
        <x:v>デイ</x:v>
      </x:c>
      <x:c r="C46" s="6" t="n">
        <x:v>2107000</x:v>
      </x:c>
      <x:c r="D46" s="6" t="n">
        <x:v>4724000</x:v>
      </x:c>
      <x:c r="E46" s="6" t="n">
        <x:f>C46-D46</x:f>
        <x:v>-2617000</x:v>
      </x:c>
      <x:c r="F46" s="6" t="n">
        <x:f>F45+E46</x:f>
        <x:v>-67626000</x:v>
      </x:c>
      <x:c r="G46" s="6" t="n">
        <x:v>2107000</x:v>
      </x:c>
      <x:c r="H46" s="6" t="n">
        <x:v>4724000</x:v>
      </x:c>
      <x:c r="I46" s="6" t="n">
        <x:v>269</x:v>
      </x:c>
      <x:c r="J46" s="6" t="n">
        <x:v>0</x:v>
      </x:c>
      <x:c r="K46" s="6" t="n">
        <x:v>0</x:v>
      </x:c>
      <x:c r="L46" s="6" t="n">
        <x:v>10</x:v>
      </x:c>
      <x:c r="M46" s="11" t="n">
        <x:v>0.7884920634920635</x:v>
      </x:c>
      <x:c r="N46" s="6" t="n">
        <x:v>2807000</x:v>
      </x:c>
    </x:row>
    <x:row r="47" ht="24" customHeight="1">
      <x:c r="A47" s="2" t="str">
        <x:v>2026-10-19_Night</x:v>
      </x:c>
      <x:c r="B47" s="6" t="str">
        <x:v>ナイト</x:v>
      </x:c>
      <x:c r="C47" s="6" t="n">
        <x:v>1108000</x:v>
      </x:c>
      <x:c r="D47" s="6" t="n">
        <x:v>3985000</x:v>
      </x:c>
      <x:c r="E47" s="6" t="n">
        <x:f>C47-D47</x:f>
        <x:v>-2877000</x:v>
      </x:c>
      <x:c r="F47" s="6" t="n">
        <x:f>F46+E47</x:f>
        <x:v>-70503000</x:v>
      </x:c>
      <x:c r="G47" s="6" t="n">
        <x:v>1108000</x:v>
      </x:c>
      <x:c r="H47" s="6" t="n">
        <x:v>3985000</x:v>
      </x:c>
      <x:c r="I47" s="6" t="n">
        <x:v>304</x:v>
      </x:c>
      <x:c r="J47" s="6" t="n">
        <x:v>0</x:v>
      </x:c>
      <x:c r="K47" s="6" t="n">
        <x:v>0</x:v>
      </x:c>
      <x:c r="L47" s="6" t="n">
        <x:v>10</x:v>
      </x:c>
      <x:c r="M47" s="11" t="n">
        <x:v>0.8011111111111111</x:v>
      </x:c>
      <x:c r="N47" s="6" t="n">
        <x:v>2933000</x:v>
      </x:c>
    </x:row>
    <x:row r="48" ht="24" customHeight="1">
      <x:c r="A48" s="2" t="str">
        <x:v>2026-10-20_Day</x:v>
      </x:c>
      <x:c r="B48" s="6" t="str">
        <x:v>デイ</x:v>
      </x:c>
      <x:c r="C48" s="6" t="n">
        <x:v>1996000</x:v>
      </x:c>
      <x:c r="D48" s="6" t="n">
        <x:v>4073000</x:v>
      </x:c>
      <x:c r="E48" s="6" t="n">
        <x:f>C48-D48</x:f>
        <x:v>-2077000</x:v>
      </x:c>
      <x:c r="F48" s="6" t="n">
        <x:f>F47+E48</x:f>
        <x:v>-72580000</x:v>
      </x:c>
      <x:c r="G48" s="6" t="n">
        <x:v>1996000</x:v>
      </x:c>
      <x:c r="H48" s="6" t="n">
        <x:v>4073000</x:v>
      </x:c>
      <x:c r="I48" s="6" t="n">
        <x:v>247</x:v>
      </x:c>
      <x:c r="J48" s="6" t="n">
        <x:v>0</x:v>
      </x:c>
      <x:c r="K48" s="6" t="n">
        <x:v>0</x:v>
      </x:c>
      <x:c r="L48" s="6" t="n">
        <x:v>10</x:v>
      </x:c>
      <x:c r="M48" s="11" t="n">
        <x:v>0.8296428571428571</x:v>
      </x:c>
      <x:c r="N48" s="6" t="n">
        <x:v>2125000</x:v>
      </x:c>
    </x:row>
    <x:row r="49" ht="24" customHeight="1">
      <x:c r="A49" s="2" t="str">
        <x:v>2026-10-20_Night</x:v>
      </x:c>
      <x:c r="B49" s="6" t="str">
        <x:v>ナイト</x:v>
      </x:c>
      <x:c r="C49" s="6" t="n">
        <x:v>2061000</x:v>
      </x:c>
      <x:c r="D49" s="6" t="n">
        <x:v>3929000</x:v>
      </x:c>
      <x:c r="E49" s="6" t="n">
        <x:f>C49-D49</x:f>
        <x:v>-1868000</x:v>
      </x:c>
      <x:c r="F49" s="6" t="n">
        <x:f>F48+E49</x:f>
        <x:v>-74448000</x:v>
      </x:c>
      <x:c r="G49" s="6" t="n">
        <x:v>2061000</x:v>
      </x:c>
      <x:c r="H49" s="6" t="n">
        <x:v>3929000</x:v>
      </x:c>
      <x:c r="I49" s="6" t="n">
        <x:v>312</x:v>
      </x:c>
      <x:c r="J49" s="6" t="n">
        <x:v>0</x:v>
      </x:c>
      <x:c r="K49" s="6" t="n">
        <x:v>0</x:v>
      </x:c>
      <x:c r="L49" s="6" t="n">
        <x:v>10</x:v>
      </x:c>
      <x:c r="M49" s="11" t="n">
        <x:v>0.7493589743589744</x:v>
      </x:c>
      <x:c r="N49" s="6" t="n">
        <x:v>2028000</x:v>
      </x:c>
    </x:row>
    <x:row r="50" ht="24" customHeight="1">
      <x:c r="A50" s="2" t="str">
        <x:v>2026-10-21_Day</x:v>
      </x:c>
      <x:c r="B50" s="6" t="str">
        <x:v>デイ</x:v>
      </x:c>
      <x:c r="C50" s="6" t="n">
        <x:v>1518000</x:v>
      </x:c>
      <x:c r="D50" s="6" t="n">
        <x:v>3153000</x:v>
      </x:c>
      <x:c r="E50" s="6" t="n">
        <x:f>C50-D50</x:f>
        <x:v>-1635000</x:v>
      </x:c>
      <x:c r="F50" s="6" t="n">
        <x:f>F49+E50</x:f>
        <x:v>-76083000</x:v>
      </x:c>
      <x:c r="G50" s="6" t="n">
        <x:v>1518000</x:v>
      </x:c>
      <x:c r="H50" s="6" t="n">
        <x:v>3153000</x:v>
      </x:c>
      <x:c r="I50" s="6" t="n">
        <x:v>260</x:v>
      </x:c>
      <x:c r="J50" s="6" t="n">
        <x:v>0</x:v>
      </x:c>
      <x:c r="K50" s="6" t="n">
        <x:v>0</x:v>
      </x:c>
      <x:c r="L50" s="6" t="n">
        <x:v>10</x:v>
      </x:c>
      <x:c r="M50" s="11" t="n">
        <x:v>0.811984126984127</x:v>
      </x:c>
      <x:c r="N50" s="6" t="n">
        <x:v>1675000</x:v>
      </x:c>
    </x:row>
    <x:row r="51" ht="24" customHeight="1">
      <x:c r="A51" s="2" t="str">
        <x:v>2026-10-21_Night</x:v>
      </x:c>
      <x:c r="B51" s="6" t="str">
        <x:v>ナイト</x:v>
      </x:c>
      <x:c r="C51" s="6" t="n">
        <x:v>1799000</x:v>
      </x:c>
      <x:c r="D51" s="6" t="n">
        <x:v>3366000</x:v>
      </x:c>
      <x:c r="E51" s="6" t="n">
        <x:f>C51-D51</x:f>
        <x:v>-1567000</x:v>
      </x:c>
      <x:c r="F51" s="6" t="n">
        <x:f>F50+E51</x:f>
        <x:v>-77650000</x:v>
      </x:c>
      <x:c r="G51" s="6" t="n">
        <x:v>1799000</x:v>
      </x:c>
      <x:c r="H51" s="6" t="n">
        <x:v>3366000</x:v>
      </x:c>
      <x:c r="I51" s="6" t="n">
        <x:v>262</x:v>
      </x:c>
      <x:c r="J51" s="6" t="n">
        <x:v>0</x:v>
      </x:c>
      <x:c r="K51" s="6" t="n">
        <x:v>0</x:v>
      </x:c>
      <x:c r="L51" s="6" t="n">
        <x:v>10</x:v>
      </x:c>
      <x:c r="M51" s="11" t="n">
        <x:v>0.7688034188034188</x:v>
      </x:c>
      <x:c r="N51" s="6" t="n">
        <x:v>1766000</x:v>
      </x:c>
    </x:row>
    <x:row r="52" ht="24" customHeight="1">
      <x:c r="A52" s="2" t="str">
        <x:v>2026-10-22_Day</x:v>
      </x:c>
      <x:c r="B52" s="6" t="str">
        <x:v>デイ</x:v>
      </x:c>
      <x:c r="C52" s="6" t="n">
        <x:v>1742000</x:v>
      </x:c>
      <x:c r="D52" s="6" t="n">
        <x:v>4020000</x:v>
      </x:c>
      <x:c r="E52" s="6" t="n">
        <x:f>C52-D52</x:f>
        <x:v>-2278000</x:v>
      </x:c>
      <x:c r="F52" s="6" t="n">
        <x:f>F51+E52</x:f>
        <x:v>-79928000</x:v>
      </x:c>
      <x:c r="G52" s="6" t="n">
        <x:v>1742000</x:v>
      </x:c>
      <x:c r="H52" s="6" t="n">
        <x:v>4020000</x:v>
      </x:c>
      <x:c r="I52" s="6" t="n">
        <x:v>260</x:v>
      </x:c>
      <x:c r="J52" s="6" t="n">
        <x:v>0</x:v>
      </x:c>
      <x:c r="K52" s="6" t="n">
        <x:v>0</x:v>
      </x:c>
      <x:c r="L52" s="6" t="n">
        <x:v>10</x:v>
      </x:c>
      <x:c r="M52" s="11" t="n">
        <x:v>0.8145634920634921</x:v>
      </x:c>
      <x:c r="N52" s="6" t="n">
        <x:v>2484000</x:v>
      </x:c>
    </x:row>
    <x:row r="53" ht="24" customHeight="1">
      <x:c r="A53" s="2" t="str">
        <x:v>2026-10-22_Night</x:v>
      </x:c>
      <x:c r="B53" s="6" t="str">
        <x:v>ナイト</x:v>
      </x:c>
      <x:c r="C53" s="6" t="n">
        <x:v>2378000</x:v>
      </x:c>
      <x:c r="D53" s="6" t="n">
        <x:v>4041000</x:v>
      </x:c>
      <x:c r="E53" s="6" t="n">
        <x:f>C53-D53</x:f>
        <x:v>-1663000</x:v>
      </x:c>
      <x:c r="F53" s="6" t="n">
        <x:f>F52+E53</x:f>
        <x:v>-81591000</x:v>
      </x:c>
      <x:c r="G53" s="6" t="n">
        <x:v>2378000</x:v>
      </x:c>
      <x:c r="H53" s="6" t="n">
        <x:v>4041000</x:v>
      </x:c>
      <x:c r="I53" s="6" t="n">
        <x:v>341</x:v>
      </x:c>
      <x:c r="J53" s="6" t="n">
        <x:v>0</x:v>
      </x:c>
      <x:c r="K53" s="6" t="n">
        <x:v>0</x:v>
      </x:c>
      <x:c r="L53" s="6" t="n">
        <x:v>10</x:v>
      </x:c>
      <x:c r="M53" s="11" t="n">
        <x:v>0.787051282051282</x:v>
      </x:c>
      <x:c r="N53" s="6" t="n">
        <x:v>1708000</x:v>
      </x:c>
    </x:row>
    <x:row r="54" ht="24" customHeight="1">
      <x:c r="A54" s="2" t="str">
        <x:v>2026-10-23_Day</x:v>
      </x:c>
      <x:c r="B54" s="6" t="str">
        <x:v>デイ</x:v>
      </x:c>
      <x:c r="C54" s="6" t="n">
        <x:v>3989000</x:v>
      </x:c>
      <x:c r="D54" s="6" t="n">
        <x:v>7324000</x:v>
      </x:c>
      <x:c r="E54" s="6" t="n">
        <x:f>C54-D54</x:f>
        <x:v>-3335000</x:v>
      </x:c>
      <x:c r="F54" s="6" t="n">
        <x:f>F53+E54</x:f>
        <x:v>-84926000</x:v>
      </x:c>
      <x:c r="G54" s="6" t="n">
        <x:v>3989000</x:v>
      </x:c>
      <x:c r="H54" s="6" t="n">
        <x:v>7324000</x:v>
      </x:c>
      <x:c r="I54" s="6" t="n">
        <x:v>374</x:v>
      </x:c>
      <x:c r="J54" s="6" t="n">
        <x:v>0</x:v>
      </x:c>
      <x:c r="K54" s="6" t="n">
        <x:v>0</x:v>
      </x:c>
      <x:c r="L54" s="6" t="n">
        <x:v>10</x:v>
      </x:c>
      <x:c r="M54" s="11" t="n">
        <x:v>0.7825</x:v>
      </x:c>
      <x:c r="N54" s="6" t="n">
        <x:v>3384000</x:v>
      </x:c>
    </x:row>
    <x:row r="55" ht="24" customHeight="1">
      <x:c r="A55" s="2" t="str">
        <x:v>2026-10-23_Night</x:v>
      </x:c>
      <x:c r="B55" s="6" t="str">
        <x:v>ナイト</x:v>
      </x:c>
      <x:c r="C55" s="6" t="n">
        <x:v>1781000</x:v>
      </x:c>
      <x:c r="D55" s="6" t="n">
        <x:v>4674000</x:v>
      </x:c>
      <x:c r="E55" s="6" t="n">
        <x:f>C55-D55</x:f>
        <x:v>-2893000</x:v>
      </x:c>
      <x:c r="F55" s="6" t="n">
        <x:f>F54+E55</x:f>
        <x:v>-87819000</x:v>
      </x:c>
      <x:c r="G55" s="6" t="n">
        <x:v>1781000</x:v>
      </x:c>
      <x:c r="H55" s="6" t="n">
        <x:v>4674000</x:v>
      </x:c>
      <x:c r="I55" s="6" t="n">
        <x:v>352</x:v>
      </x:c>
      <x:c r="J55" s="6" t="n">
        <x:v>0</x:v>
      </x:c>
      <x:c r="K55" s="6" t="n">
        <x:v>0</x:v>
      </x:c>
      <x:c r="L55" s="6" t="n">
        <x:v>10</x:v>
      </x:c>
      <x:c r="M55" s="11" t="n">
        <x:v>0.7673504273504274</x:v>
      </x:c>
      <x:c r="N55" s="6" t="n">
        <x:v>2922000</x:v>
      </x:c>
    </x:row>
    <x:row r="56" ht="24" customHeight="1">
      <x:c r="A56" s="2" t="str">
        <x:v>2026-10-26_Day</x:v>
      </x:c>
      <x:c r="B56" s="6" t="str">
        <x:v>デイ</x:v>
      </x:c>
      <x:c r="C56" s="6" t="n">
        <x:v>2496000</x:v>
      </x:c>
      <x:c r="D56" s="6" t="n">
        <x:v>5003000</x:v>
      </x:c>
      <x:c r="E56" s="6" t="n">
        <x:f>C56-D56</x:f>
        <x:v>-2507000</x:v>
      </x:c>
      <x:c r="F56" s="6" t="n">
        <x:f>F55+E56</x:f>
        <x:v>-90326000</x:v>
      </x:c>
      <x:c r="G56" s="6" t="n">
        <x:v>2496000</x:v>
      </x:c>
      <x:c r="H56" s="6" t="n">
        <x:v>5003000</x:v>
      </x:c>
      <x:c r="I56" s="6" t="n">
        <x:v>272</x:v>
      </x:c>
      <x:c r="J56" s="6" t="n">
        <x:v>0</x:v>
      </x:c>
      <x:c r="K56" s="6" t="n">
        <x:v>0</x:v>
      </x:c>
      <x:c r="L56" s="6" t="n">
        <x:v>10</x:v>
      </x:c>
      <x:c r="M56" s="11" t="n">
        <x:v>0.7992063492063493</x:v>
      </x:c>
      <x:c r="N56" s="6" t="n">
        <x:v>2653000</x:v>
      </x:c>
    </x:row>
    <x:row r="57" ht="24" customHeight="1">
      <x:c r="A57" s="15" t="str">
        <x:v>累計／平均／最大</x:v>
      </x:c>
      <x:c r="B57" s="16"/>
      <x:c r="C57" s="16" t="n">
        <x:f>SUM(C6:C56)</x:f>
        <x:v>65788000</x:v>
      </x:c>
      <x:c r="D57" s="16" t="n">
        <x:f>SUM(D6:D56)</x:f>
        <x:v>156114000</x:v>
      </x:c>
      <x:c r="E57" s="16" t="n">
        <x:f>C57-D57</x:f>
        <x:v>-90326000</x:v>
      </x:c>
      <x:c r="F57" s="16" t="n">
        <x:f>F56</x:f>
        <x:v>-90326000</x:v>
      </x:c>
      <x:c r="G57" s="16" t="n">
        <x:f>SUM(G6:G56)</x:f>
        <x:v>65788000</x:v>
      </x:c>
      <x:c r="H57" s="16" t="n">
        <x:f>SUM(H6:H56)</x:f>
        <x:v>156114000</x:v>
      </x:c>
      <x:c r="I57" s="16" t="n">
        <x:f>SUM(I6:I56)</x:f>
        <x:v>12436</x:v>
      </x:c>
      <x:c r="J57" s="16" t="n">
        <x:f>SUM(J6:J56)</x:f>
        <x:v>0</x:v>
      </x:c>
      <x:c r="K57" s="16" t="n">
        <x:f>SUM(K6:K56)</x:f>
        <x:v>0</x:v>
      </x:c>
      <x:c r="L57" s="16" t="n">
        <x:f>MAX(L6:L56)</x:f>
        <x:v>10</x:v>
      </x:c>
      <x:c r="M57" s="17" t="n">
        <x:f>AVERAGE(M6:M56)</x:f>
        <x:v>0.774542842778137</x:v>
      </x:c>
      <x:c r="N57" s="16" t="n">
        <x:f>MAX(N6:N56)</x:f>
        <x:v>3384000</x:v>
      </x:c>
    </x:row>
  </x:sheetData>
  <x:conditionalFormatting sqref="E6:F56">
    <x:cfRule type="cellIs" dxfId="16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6e0d9be67b14009"/>
  </x:tableParts>
</x:worksheet>
</file>

<file path=xl/worksheets/sheet1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1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4" customHeight="1">
      <x:c r="A1" s="3" t="str">
        <x:v>日経 M10　各セッションの利益・損失・収支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A2" s="4" t="str">
        <x:v>2026/09/21〜10/26デイ・51完了場。日経mini／TOPIXmini各上限10枚・手数料0。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4" customHeight="1">
      <x:c r="A3" s="4" t="str">
        <x:v>180秒の時間加重平均を30秒前と比較。保有中も傾き比例で増減、利益追尾で返済。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4" customHeight="1">
      <x:c r="A4" s="4" t="str">
        <x:v>利益・損失＝FIFO返済配賦別。親＝初回から全返済まで。ラージ気配による模型で、mini実約定の検証ではありません。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42" customHeight="1">
      <x:c r="A5" s="10" t="str">
        <x:v>セッション</x:v>
      </x:c>
      <x:c r="B5" s="10" t="str">
        <x:v>区分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親利益（円）</x:v>
      </x:c>
      <x:c r="H5" s="10" t="str">
        <x:v>親損失（円）</x:v>
      </x:c>
      <x:c r="I5" s="10" t="str">
        <x:v>初回件数</x:v>
      </x:c>
      <x:c r="J5" s="10" t="str">
        <x:v>追加件数</x:v>
      </x:c>
      <x:c r="K5" s="10" t="str">
        <x:v>縮小件数</x:v>
      </x:c>
      <x:c r="L5" s="10" t="str">
        <x:v>最大保有枚数</x:v>
      </x:c>
      <x:c r="M5" s="10" t="str">
        <x:v>保有時間率</x:v>
      </x:c>
      <x:c r="N5" s="10" t="str">
        <x:v>時価最大DD（円）</x:v>
      </x:c>
    </x:row>
    <x:row r="6" ht="24" customHeight="1">
      <x:c r="A6" s="2" t="str">
        <x:v>2026-09-21_Day</x:v>
      </x:c>
      <x:c r="B6" s="6" t="str">
        <x:v>デイ</x:v>
      </x:c>
      <x:c r="C6" s="6" t="n">
        <x:v>761000</x:v>
      </x:c>
      <x:c r="D6" s="6" t="n">
        <x:v>1296000</x:v>
      </x:c>
      <x:c r="E6" s="6" t="n">
        <x:f>C6-D6</x:f>
        <x:v>-535000</x:v>
      </x:c>
      <x:c r="F6" s="6" t="n">
        <x:f>E6</x:f>
        <x:v>-535000</x:v>
      </x:c>
      <x:c r="G6" s="6" t="n">
        <x:v>604000</x:v>
      </x:c>
      <x:c r="H6" s="6" t="n">
        <x:v>1139000</x:v>
      </x:c>
      <x:c r="I6" s="6" t="n">
        <x:v>44</x:v>
      </x:c>
      <x:c r="J6" s="6" t="n">
        <x:v>88</x:v>
      </x:c>
      <x:c r="K6" s="6" t="n">
        <x:v>115</x:v>
      </x:c>
      <x:c r="L6" s="6" t="n">
        <x:v>10</x:v>
      </x:c>
      <x:c r="M6" s="11" t="n">
        <x:v>0.9014682539682539</x:v>
      </x:c>
      <x:c r="N6" s="6" t="n">
        <x:v>680000</x:v>
      </x:c>
    </x:row>
    <x:row r="7" ht="24" customHeight="1">
      <x:c r="A7" s="2" t="str">
        <x:v>2026-09-21_Night</x:v>
      </x:c>
      <x:c r="B7" s="6" t="str">
        <x:v>ナイト</x:v>
      </x:c>
      <x:c r="C7" s="6" t="n">
        <x:v>360000</x:v>
      </x:c>
      <x:c r="D7" s="6" t="n">
        <x:v>873000</x:v>
      </x:c>
      <x:c r="E7" s="6" t="n">
        <x:f>C7-D7</x:f>
        <x:v>-513000</x:v>
      </x:c>
      <x:c r="F7" s="6" t="n">
        <x:f>F6+E7</x:f>
        <x:v>-1048000</x:v>
      </x:c>
      <x:c r="G7" s="6" t="n">
        <x:v>177000</x:v>
      </x:c>
      <x:c r="H7" s="6" t="n">
        <x:v>690000</x:v>
      </x:c>
      <x:c r="I7" s="6" t="n">
        <x:v>44</x:v>
      </x:c>
      <x:c r="J7" s="6" t="n">
        <x:v>181</x:v>
      </x:c>
      <x:c r="K7" s="6" t="n">
        <x:v>204</x:v>
      </x:c>
      <x:c r="L7" s="6" t="n">
        <x:v>10</x:v>
      </x:c>
      <x:c r="M7" s="11" t="n">
        <x:v>0.9211965811965812</x:v>
      </x:c>
      <x:c r="N7" s="6" t="n">
        <x:v>530000</x:v>
      </x:c>
    </x:row>
    <x:row r="8" ht="24" customHeight="1">
      <x:c r="A8" s="2" t="str">
        <x:v>2026-09-22_Day</x:v>
      </x:c>
      <x:c r="B8" s="6" t="str">
        <x:v>デイ</x:v>
      </x:c>
      <x:c r="C8" s="6" t="n">
        <x:v>463000</x:v>
      </x:c>
      <x:c r="D8" s="6" t="n">
        <x:v>2082000</x:v>
      </x:c>
      <x:c r="E8" s="6" t="n">
        <x:f>C8-D8</x:f>
        <x:v>-1619000</x:v>
      </x:c>
      <x:c r="F8" s="6" t="n">
        <x:f>F7+E8</x:f>
        <x:v>-2667000</x:v>
      </x:c>
      <x:c r="G8" s="6" t="n">
        <x:v>324000</x:v>
      </x:c>
      <x:c r="H8" s="6" t="n">
        <x:v>1943000</x:v>
      </x:c>
      <x:c r="I8" s="6" t="n">
        <x:v>62</x:v>
      </x:c>
      <x:c r="J8" s="6" t="n">
        <x:v>159</x:v>
      </x:c>
      <x:c r="K8" s="6" t="n">
        <x:v>186</x:v>
      </x:c>
      <x:c r="L8" s="6" t="n">
        <x:v>10</x:v>
      </x:c>
      <x:c r="M8" s="11" t="n">
        <x:v>0.8848412698412699</x:v>
      </x:c>
      <x:c r="N8" s="6" t="n">
        <x:v>1733000</x:v>
      </x:c>
    </x:row>
    <x:row r="9" ht="24" customHeight="1">
      <x:c r="A9" s="2" t="str">
        <x:v>2026-09-22_Night</x:v>
      </x:c>
      <x:c r="B9" s="6" t="str">
        <x:v>ナイト</x:v>
      </x:c>
      <x:c r="C9" s="6" t="n">
        <x:v>744000</x:v>
      </x:c>
      <x:c r="D9" s="6" t="n">
        <x:v>2296000</x:v>
      </x:c>
      <x:c r="E9" s="6" t="n">
        <x:f>C9-D9</x:f>
        <x:v>-1552000</x:v>
      </x:c>
      <x:c r="F9" s="6" t="n">
        <x:f>F8+E9</x:f>
        <x:v>-4219000</x:v>
      </x:c>
      <x:c r="G9" s="6" t="n">
        <x:v>496000</x:v>
      </x:c>
      <x:c r="H9" s="6" t="n">
        <x:v>2048000</x:v>
      </x:c>
      <x:c r="I9" s="6" t="n">
        <x:v>88</x:v>
      </x:c>
      <x:c r="J9" s="6" t="n">
        <x:v>216</x:v>
      </x:c>
      <x:c r="K9" s="6" t="n">
        <x:v>269</x:v>
      </x:c>
      <x:c r="L9" s="6" t="n">
        <x:v>10</x:v>
      </x:c>
      <x:c r="M9" s="11" t="n">
        <x:v>0.7923290598290599</x:v>
      </x:c>
      <x:c r="N9" s="6" t="n">
        <x:v>1612000</x:v>
      </x:c>
    </x:row>
    <x:row r="10" ht="24" customHeight="1">
      <x:c r="A10" s="2" t="str">
        <x:v>2026-09-23_Day</x:v>
      </x:c>
      <x:c r="B10" s="6" t="str">
        <x:v>デイ</x:v>
      </x:c>
      <x:c r="C10" s="6" t="n">
        <x:v>300000</x:v>
      </x:c>
      <x:c r="D10" s="6" t="n">
        <x:v>1039000</x:v>
      </x:c>
      <x:c r="E10" s="6" t="n">
        <x:f>C10-D10</x:f>
        <x:v>-739000</x:v>
      </x:c>
      <x:c r="F10" s="6" t="n">
        <x:f>F9+E10</x:f>
        <x:v>-4958000</x:v>
      </x:c>
      <x:c r="G10" s="6" t="n">
        <x:v>210000</x:v>
      </x:c>
      <x:c r="H10" s="6" t="n">
        <x:v>949000</x:v>
      </x:c>
      <x:c r="I10" s="6" t="n">
        <x:v>29</x:v>
      </x:c>
      <x:c r="J10" s="6" t="n">
        <x:v>115</x:v>
      </x:c>
      <x:c r="K10" s="6" t="n">
        <x:v>121</x:v>
      </x:c>
      <x:c r="L10" s="6" t="n">
        <x:v>10</x:v>
      </x:c>
      <x:c r="M10" s="11" t="n">
        <x:v>0.9356746031746032</x:v>
      </x:c>
      <x:c r="N10" s="6" t="n">
        <x:v>765000</x:v>
      </x:c>
    </x:row>
    <x:row r="11" ht="24" customHeight="1">
      <x:c r="A11" s="2" t="str">
        <x:v>2026-09-23_Night</x:v>
      </x:c>
      <x:c r="B11" s="6" t="str">
        <x:v>ナイト</x:v>
      </x:c>
      <x:c r="C11" s="6" t="n">
        <x:v>576000</x:v>
      </x:c>
      <x:c r="D11" s="6" t="n">
        <x:v>1645000</x:v>
      </x:c>
      <x:c r="E11" s="6" t="n">
        <x:f>C11-D11</x:f>
        <x:v>-1069000</x:v>
      </x:c>
      <x:c r="F11" s="6" t="n">
        <x:f>F10+E11</x:f>
        <x:v>-6027000</x:v>
      </x:c>
      <x:c r="G11" s="6" t="n">
        <x:v>341000</x:v>
      </x:c>
      <x:c r="H11" s="6" t="n">
        <x:v>1410000</x:v>
      </x:c>
      <x:c r="I11" s="6" t="n">
        <x:v>44</x:v>
      </x:c>
      <x:c r="J11" s="6" t="n">
        <x:v>208</x:v>
      </x:c>
      <x:c r="K11" s="6" t="n">
        <x:v>228</x:v>
      </x:c>
      <x:c r="L11" s="6" t="n">
        <x:v>10</x:v>
      </x:c>
      <x:c r="M11" s="11" t="n">
        <x:v>0.9472008547008547</x:v>
      </x:c>
      <x:c r="N11" s="6" t="n">
        <x:v>1074000</x:v>
      </x:c>
    </x:row>
    <x:row r="12" ht="24" customHeight="1">
      <x:c r="A12" s="2" t="str">
        <x:v>2026-09-24_Day</x:v>
      </x:c>
      <x:c r="B12" s="6" t="str">
        <x:v>デイ</x:v>
      </x:c>
      <x:c r="C12" s="6" t="n">
        <x:v>1286000</x:v>
      </x:c>
      <x:c r="D12" s="6" t="n">
        <x:v>3001000</x:v>
      </x:c>
      <x:c r="E12" s="6" t="n">
        <x:f>C12-D12</x:f>
        <x:v>-1715000</x:v>
      </x:c>
      <x:c r="F12" s="6" t="n">
        <x:f>F11+E12</x:f>
        <x:v>-7742000</x:v>
      </x:c>
      <x:c r="G12" s="6" t="n">
        <x:v>1049000</x:v>
      </x:c>
      <x:c r="H12" s="6" t="n">
        <x:v>2764000</x:v>
      </x:c>
      <x:c r="I12" s="6" t="n">
        <x:v>95</x:v>
      </x:c>
      <x:c r="J12" s="6" t="n">
        <x:v>259</x:v>
      </x:c>
      <x:c r="K12" s="6" t="n">
        <x:v>312</x:v>
      </x:c>
      <x:c r="L12" s="6" t="n">
        <x:v>10</x:v>
      </x:c>
      <x:c r="M12" s="11" t="n">
        <x:v>0.9181746031746032</x:v>
      </x:c>
      <x:c r="N12" s="6" t="n">
        <x:v>1783000</x:v>
      </x:c>
    </x:row>
    <x:row r="13" ht="24" customHeight="1">
      <x:c r="A13" s="2" t="str">
        <x:v>2026-09-24_Night</x:v>
      </x:c>
      <x:c r="B13" s="6" t="str">
        <x:v>ナイト</x:v>
      </x:c>
      <x:c r="C13" s="6" t="n">
        <x:v>1196000</x:v>
      </x:c>
      <x:c r="D13" s="6" t="n">
        <x:v>4225000</x:v>
      </x:c>
      <x:c r="E13" s="6" t="n">
        <x:f>C13-D13</x:f>
        <x:v>-3029000</x:v>
      </x:c>
      <x:c r="F13" s="6" t="n">
        <x:f>F12+E13</x:f>
        <x:v>-10771000</x:v>
      </x:c>
      <x:c r="G13" s="6" t="n">
        <x:v>857000</x:v>
      </x:c>
      <x:c r="H13" s="6" t="n">
        <x:v>3886000</x:v>
      </x:c>
      <x:c r="I13" s="6" t="n">
        <x:v>145</x:v>
      </x:c>
      <x:c r="J13" s="6" t="n">
        <x:v>292</x:v>
      </x:c>
      <x:c r="K13" s="6" t="n">
        <x:v>458</x:v>
      </x:c>
      <x:c r="L13" s="6" t="n">
        <x:v>10</x:v>
      </x:c>
      <x:c r="M13" s="11" t="n">
        <x:v>0.9017094017094017</x:v>
      </x:c>
      <x:c r="N13" s="6" t="n">
        <x:v>3160000</x:v>
      </x:c>
    </x:row>
    <x:row r="14" ht="24" customHeight="1">
      <x:c r="A14" s="2" t="str">
        <x:v>2026-09-25_Day</x:v>
      </x:c>
      <x:c r="B14" s="6" t="str">
        <x:v>デイ</x:v>
      </x:c>
      <x:c r="C14" s="6" t="n">
        <x:v>866000</x:v>
      </x:c>
      <x:c r="D14" s="6" t="n">
        <x:v>3079000</x:v>
      </x:c>
      <x:c r="E14" s="6" t="n">
        <x:f>C14-D14</x:f>
        <x:v>-2213000</x:v>
      </x:c>
      <x:c r="F14" s="6" t="n">
        <x:f>F13+E14</x:f>
        <x:v>-12984000</x:v>
      </x:c>
      <x:c r="G14" s="6" t="n">
        <x:v>719000</x:v>
      </x:c>
      <x:c r="H14" s="6" t="n">
        <x:v>2932000</x:v>
      </x:c>
      <x:c r="I14" s="6" t="n">
        <x:v>89</x:v>
      </x:c>
      <x:c r="J14" s="6" t="n">
        <x:v>244</x:v>
      </x:c>
      <x:c r="K14" s="6" t="n">
        <x:v>327</x:v>
      </x:c>
      <x:c r="L14" s="6" t="n">
        <x:v>10</x:v>
      </x:c>
      <x:c r="M14" s="11" t="n">
        <x:v>0.9107936507936508</x:v>
      </x:c>
      <x:c r="N14" s="6" t="n">
        <x:v>2222000</x:v>
      </x:c>
    </x:row>
    <x:row r="15" ht="24" customHeight="1">
      <x:c r="A15" s="2" t="str">
        <x:v>2026-09-25_Night</x:v>
      </x:c>
      <x:c r="B15" s="6" t="str">
        <x:v>ナイト</x:v>
      </x:c>
      <x:c r="C15" s="6" t="n">
        <x:v>1103000</x:v>
      </x:c>
      <x:c r="D15" s="6" t="n">
        <x:v>2447000</x:v>
      </x:c>
      <x:c r="E15" s="6" t="n">
        <x:f>C15-D15</x:f>
        <x:v>-1344000</x:v>
      </x:c>
      <x:c r="F15" s="6" t="n">
        <x:f>F14+E15</x:f>
        <x:v>-14328000</x:v>
      </x:c>
      <x:c r="G15" s="6" t="n">
        <x:v>873000</x:v>
      </x:c>
      <x:c r="H15" s="6" t="n">
        <x:v>2217000</x:v>
      </x:c>
      <x:c r="I15" s="6" t="n">
        <x:v>102</x:v>
      </x:c>
      <x:c r="J15" s="6" t="n">
        <x:v>238</x:v>
      </x:c>
      <x:c r="K15" s="6" t="n">
        <x:v>291</x:v>
      </x:c>
      <x:c r="L15" s="6" t="n">
        <x:v>10</x:v>
      </x:c>
      <x:c r="M15" s="11" t="n">
        <x:v>0.8810683760683761</x:v>
      </x:c>
      <x:c r="N15" s="6" t="n">
        <x:v>1434000</x:v>
      </x:c>
    </x:row>
    <x:row r="16" ht="24" customHeight="1">
      <x:c r="A16" s="2" t="str">
        <x:v>2026-09-28_Day</x:v>
      </x:c>
      <x:c r="B16" s="6" t="str">
        <x:v>デイ</x:v>
      </x:c>
      <x:c r="C16" s="6" t="n">
        <x:v>1219000</x:v>
      </x:c>
      <x:c r="D16" s="6" t="n">
        <x:v>3106000</x:v>
      </x:c>
      <x:c r="E16" s="6" t="n">
        <x:f>C16-D16</x:f>
        <x:v>-1887000</x:v>
      </x:c>
      <x:c r="F16" s="6" t="n">
        <x:f>F15+E16</x:f>
        <x:v>-16215000</x:v>
      </x:c>
      <x:c r="G16" s="6" t="n">
        <x:v>863000</x:v>
      </x:c>
      <x:c r="H16" s="6" t="n">
        <x:v>2750000</x:v>
      </x:c>
      <x:c r="I16" s="6" t="n">
        <x:v>99</x:v>
      </x:c>
      <x:c r="J16" s="6" t="n">
        <x:v>278</x:v>
      </x:c>
      <x:c r="K16" s="6" t="n">
        <x:v>316</x:v>
      </x:c>
      <x:c r="L16" s="6" t="n">
        <x:v>10</x:v>
      </x:c>
      <x:c r="M16" s="11" t="n">
        <x:v>0.9163492063492064</x:v>
      </x:c>
      <x:c r="N16" s="6" t="n">
        <x:v>2021000</x:v>
      </x:c>
    </x:row>
    <x:row r="17" ht="24" customHeight="1">
      <x:c r="A17" s="2" t="str">
        <x:v>2026-09-28_Night</x:v>
      </x:c>
      <x:c r="B17" s="6" t="str">
        <x:v>ナイト</x:v>
      </x:c>
      <x:c r="C17" s="6" t="n">
        <x:v>1261000</x:v>
      </x:c>
      <x:c r="D17" s="6" t="n">
        <x:v>3469000</x:v>
      </x:c>
      <x:c r="E17" s="6" t="n">
        <x:f>C17-D17</x:f>
        <x:v>-2208000</x:v>
      </x:c>
      <x:c r="F17" s="6" t="n">
        <x:f>F16+E17</x:f>
        <x:v>-18423000</x:v>
      </x:c>
      <x:c r="G17" s="6" t="n">
        <x:v>1038000</x:v>
      </x:c>
      <x:c r="H17" s="6" t="n">
        <x:v>3246000</x:v>
      </x:c>
      <x:c r="I17" s="6" t="n">
        <x:v>118</x:v>
      </x:c>
      <x:c r="J17" s="6" t="n">
        <x:v>254</x:v>
      </x:c>
      <x:c r="K17" s="6" t="n">
        <x:v>343</x:v>
      </x:c>
      <x:c r="L17" s="6" t="n">
        <x:v>10</x:v>
      </x:c>
      <x:c r="M17" s="11" t="n">
        <x:v>0.8913247863247863</x:v>
      </x:c>
      <x:c r="N17" s="6" t="n">
        <x:v>2226000</x:v>
      </x:c>
    </x:row>
    <x:row r="18" ht="24" customHeight="1">
      <x:c r="A18" s="2" t="str">
        <x:v>2026-09-29_Day</x:v>
      </x:c>
      <x:c r="B18" s="6" t="str">
        <x:v>デイ</x:v>
      </x:c>
      <x:c r="C18" s="6" t="n">
        <x:v>1224000</x:v>
      </x:c>
      <x:c r="D18" s="6" t="n">
        <x:v>3923000</x:v>
      </x:c>
      <x:c r="E18" s="6" t="n">
        <x:f>C18-D18</x:f>
        <x:v>-2699000</x:v>
      </x:c>
      <x:c r="F18" s="6" t="n">
        <x:f>F17+E18</x:f>
        <x:v>-21122000</x:v>
      </x:c>
      <x:c r="G18" s="6" t="n">
        <x:v>958000</x:v>
      </x:c>
      <x:c r="H18" s="6" t="n">
        <x:v>3657000</x:v>
      </x:c>
      <x:c r="I18" s="6" t="n">
        <x:v>125</x:v>
      </x:c>
      <x:c r="J18" s="6" t="n">
        <x:v>296</x:v>
      </x:c>
      <x:c r="K18" s="6" t="n">
        <x:v>354</x:v>
      </x:c>
      <x:c r="L18" s="6" t="n">
        <x:v>10</x:v>
      </x:c>
      <x:c r="M18" s="11" t="n">
        <x:v>0.8980952380952381</x:v>
      </x:c>
      <x:c r="N18" s="6" t="n">
        <x:v>2763000</x:v>
      </x:c>
    </x:row>
    <x:row r="19" ht="24" customHeight="1">
      <x:c r="A19" s="2" t="str">
        <x:v>2026-09-29_Night</x:v>
      </x:c>
      <x:c r="B19" s="6" t="str">
        <x:v>ナイト</x:v>
      </x:c>
      <x:c r="C19" s="6" t="n">
        <x:v>929000</x:v>
      </x:c>
      <x:c r="D19" s="6" t="n">
        <x:v>3084000</x:v>
      </x:c>
      <x:c r="E19" s="6" t="n">
        <x:f>C19-D19</x:f>
        <x:v>-2155000</x:v>
      </x:c>
      <x:c r="F19" s="6" t="n">
        <x:f>F18+E19</x:f>
        <x:v>-23277000</x:v>
      </x:c>
      <x:c r="G19" s="6" t="n">
        <x:v>652000</x:v>
      </x:c>
      <x:c r="H19" s="6" t="n">
        <x:v>2807000</x:v>
      </x:c>
      <x:c r="I19" s="6" t="n">
        <x:v>104</x:v>
      </x:c>
      <x:c r="J19" s="6" t="n">
        <x:v>274</x:v>
      </x:c>
      <x:c r="K19" s="6" t="n">
        <x:v>352</x:v>
      </x:c>
      <x:c r="L19" s="6" t="n">
        <x:v>10</x:v>
      </x:c>
      <x:c r="M19" s="11" t="n">
        <x:v>0.9184401709401709</x:v>
      </x:c>
      <x:c r="N19" s="6" t="n">
        <x:v>2185000</x:v>
      </x:c>
    </x:row>
    <x:row r="20" ht="24" customHeight="1">
      <x:c r="A20" s="2" t="str">
        <x:v>2026-09-30_Day</x:v>
      </x:c>
      <x:c r="B20" s="6" t="str">
        <x:v>デイ</x:v>
      </x:c>
      <x:c r="C20" s="6" t="n">
        <x:v>1324000</x:v>
      </x:c>
      <x:c r="D20" s="6" t="n">
        <x:v>3314000</x:v>
      </x:c>
      <x:c r="E20" s="6" t="n">
        <x:f>C20-D20</x:f>
        <x:v>-1990000</x:v>
      </x:c>
      <x:c r="F20" s="6" t="n">
        <x:f>F19+E20</x:f>
        <x:v>-25267000</x:v>
      </x:c>
      <x:c r="G20" s="6" t="n">
        <x:v>932000</x:v>
      </x:c>
      <x:c r="H20" s="6" t="n">
        <x:v>2922000</x:v>
      </x:c>
      <x:c r="I20" s="6" t="n">
        <x:v>101</x:v>
      </x:c>
      <x:c r="J20" s="6" t="n">
        <x:v>316</x:v>
      </x:c>
      <x:c r="K20" s="6" t="n">
        <x:v>360</x:v>
      </x:c>
      <x:c r="L20" s="6" t="n">
        <x:v>10</x:v>
      </x:c>
      <x:c r="M20" s="11" t="n">
        <x:v>0.9148412698412698</x:v>
      </x:c>
      <x:c r="N20" s="6" t="n">
        <x:v>2013000</x:v>
      </x:c>
    </x:row>
    <x:row r="21" ht="24" customHeight="1">
      <x:c r="A21" s="2" t="str">
        <x:v>2026-09-30_Night</x:v>
      </x:c>
      <x:c r="B21" s="6" t="str">
        <x:v>ナイト</x:v>
      </x:c>
      <x:c r="C21" s="6" t="n">
        <x:v>1222000</x:v>
      </x:c>
      <x:c r="D21" s="6" t="n">
        <x:v>3863000</x:v>
      </x:c>
      <x:c r="E21" s="6" t="n">
        <x:f>C21-D21</x:f>
        <x:v>-2641000</x:v>
      </x:c>
      <x:c r="F21" s="6" t="n">
        <x:f>F20+E21</x:f>
        <x:v>-27908000</x:v>
      </x:c>
      <x:c r="G21" s="6" t="n">
        <x:v>842000</x:v>
      </x:c>
      <x:c r="H21" s="6" t="n">
        <x:v>3483000</x:v>
      </x:c>
      <x:c r="I21" s="6" t="n">
        <x:v>114</x:v>
      </x:c>
      <x:c r="J21" s="6" t="n">
        <x:v>342</x:v>
      </x:c>
      <x:c r="K21" s="6" t="n">
        <x:v>414</x:v>
      </x:c>
      <x:c r="L21" s="6" t="n">
        <x:v>10</x:v>
      </x:c>
      <x:c r="M21" s="11" t="n">
        <x:v>0.87758547008547</x:v>
      </x:c>
      <x:c r="N21" s="6" t="n">
        <x:v>2743000</x:v>
      </x:c>
    </x:row>
    <x:row r="22" ht="24" customHeight="1">
      <x:c r="A22" s="2" t="str">
        <x:v>2026-10-01_Day</x:v>
      </x:c>
      <x:c r="B22" s="6" t="str">
        <x:v>デイ</x:v>
      </x:c>
      <x:c r="C22" s="6" t="n">
        <x:v>1130000</x:v>
      </x:c>
      <x:c r="D22" s="6" t="n">
        <x:v>2661000</x:v>
      </x:c>
      <x:c r="E22" s="6" t="n">
        <x:f>C22-D22</x:f>
        <x:v>-1531000</x:v>
      </x:c>
      <x:c r="F22" s="6" t="n">
        <x:f>F21+E22</x:f>
        <x:v>-29439000</x:v>
      </x:c>
      <x:c r="G22" s="6" t="n">
        <x:v>783000</x:v>
      </x:c>
      <x:c r="H22" s="6" t="n">
        <x:v>2314000</x:v>
      </x:c>
      <x:c r="I22" s="6" t="n">
        <x:v>74</x:v>
      </x:c>
      <x:c r="J22" s="6" t="n">
        <x:v>271</x:v>
      </x:c>
      <x:c r="K22" s="6" t="n">
        <x:v>339</x:v>
      </x:c>
      <x:c r="L22" s="6" t="n">
        <x:v>10</x:v>
      </x:c>
      <x:c r="M22" s="11" t="n">
        <x:v>0.9283730158730159</x:v>
      </x:c>
      <x:c r="N22" s="6" t="n">
        <x:v>1534000</x:v>
      </x:c>
    </x:row>
    <x:row r="23" ht="24" customHeight="1">
      <x:c r="A23" s="2" t="str">
        <x:v>2026-10-01_Night</x:v>
      </x:c>
      <x:c r="B23" s="6" t="str">
        <x:v>ナイト</x:v>
      </x:c>
      <x:c r="C23" s="6" t="n">
        <x:v>1628000</x:v>
      </x:c>
      <x:c r="D23" s="6" t="n">
        <x:v>4704000</x:v>
      </x:c>
      <x:c r="E23" s="6" t="n">
        <x:f>C23-D23</x:f>
        <x:v>-3076000</x:v>
      </x:c>
      <x:c r="F23" s="6" t="n">
        <x:f>F22+E23</x:f>
        <x:v>-32515000</x:v>
      </x:c>
      <x:c r="G23" s="6" t="n">
        <x:v>1048000</x:v>
      </x:c>
      <x:c r="H23" s="6" t="n">
        <x:v>4124000</x:v>
      </x:c>
      <x:c r="I23" s="6" t="n">
        <x:v>135</x:v>
      </x:c>
      <x:c r="J23" s="6" t="n">
        <x:v>406</x:v>
      </x:c>
      <x:c r="K23" s="6" t="n">
        <x:v>445</x:v>
      </x:c>
      <x:c r="L23" s="6" t="n">
        <x:v>10</x:v>
      </x:c>
      <x:c r="M23" s="11" t="n">
        <x:v>0.9167094017094017</x:v>
      </x:c>
      <x:c r="N23" s="6" t="n">
        <x:v>3086000</x:v>
      </x:c>
    </x:row>
    <x:row r="24" ht="24" customHeight="1">
      <x:c r="A24" s="2" t="str">
        <x:v>2026-10-02_Day</x:v>
      </x:c>
      <x:c r="B24" s="6" t="str">
        <x:v>デイ</x:v>
      </x:c>
      <x:c r="C24" s="6" t="n">
        <x:v>867000</x:v>
      </x:c>
      <x:c r="D24" s="6" t="n">
        <x:v>3262000</x:v>
      </x:c>
      <x:c r="E24" s="6" t="n">
        <x:f>C24-D24</x:f>
        <x:v>-2395000</x:v>
      </x:c>
      <x:c r="F24" s="6" t="n">
        <x:f>F23+E24</x:f>
        <x:v>-34910000</x:v>
      </x:c>
      <x:c r="G24" s="6" t="n">
        <x:v>632000</x:v>
      </x:c>
      <x:c r="H24" s="6" t="n">
        <x:v>3027000</x:v>
      </x:c>
      <x:c r="I24" s="6" t="n">
        <x:v>84</x:v>
      </x:c>
      <x:c r="J24" s="6" t="n">
        <x:v>249</x:v>
      </x:c>
      <x:c r="K24" s="6" t="n">
        <x:v>331</x:v>
      </x:c>
      <x:c r="L24" s="6" t="n">
        <x:v>10</x:v>
      </x:c>
      <x:c r="M24" s="11" t="n">
        <x:v>0.9264285714285714</x:v>
      </x:c>
      <x:c r="N24" s="6" t="n">
        <x:v>2511000</x:v>
      </x:c>
    </x:row>
    <x:row r="25" ht="24" customHeight="1">
      <x:c r="A25" s="2" t="str">
        <x:v>2026-10-02_Night</x:v>
      </x:c>
      <x:c r="B25" s="6" t="str">
        <x:v>ナイト</x:v>
      </x:c>
      <x:c r="C25" s="6" t="n">
        <x:v>1471000</x:v>
      </x:c>
      <x:c r="D25" s="6" t="n">
        <x:v>3169000</x:v>
      </x:c>
      <x:c r="E25" s="6" t="n">
        <x:f>C25-D25</x:f>
        <x:v>-1698000</x:v>
      </x:c>
      <x:c r="F25" s="6" t="n">
        <x:f>F24+E25</x:f>
        <x:v>-36608000</x:v>
      </x:c>
      <x:c r="G25" s="6" t="n">
        <x:v>973000</x:v>
      </x:c>
      <x:c r="H25" s="6" t="n">
        <x:v>2671000</x:v>
      </x:c>
      <x:c r="I25" s="6" t="n">
        <x:v>88</x:v>
      </x:c>
      <x:c r="J25" s="6" t="n">
        <x:v>371</x:v>
      </x:c>
      <x:c r="K25" s="6" t="n">
        <x:v>401</x:v>
      </x:c>
      <x:c r="L25" s="6" t="n">
        <x:v>10</x:v>
      </x:c>
      <x:c r="M25" s="11" t="n">
        <x:v>0.9330128205128205</x:v>
      </x:c>
      <x:c r="N25" s="6" t="n">
        <x:v>1783000</x:v>
      </x:c>
    </x:row>
    <x:row r="26" ht="24" customHeight="1">
      <x:c r="A26" s="2" t="str">
        <x:v>2026-10-05_Day</x:v>
      </x:c>
      <x:c r="B26" s="6" t="str">
        <x:v>デイ</x:v>
      </x:c>
      <x:c r="C26" s="6" t="n">
        <x:v>772000</x:v>
      </x:c>
      <x:c r="D26" s="6" t="n">
        <x:v>2288000</x:v>
      </x:c>
      <x:c r="E26" s="6" t="n">
        <x:f>C26-D26</x:f>
        <x:v>-1516000</x:v>
      </x:c>
      <x:c r="F26" s="6" t="n">
        <x:f>F25+E26</x:f>
        <x:v>-38124000</x:v>
      </x:c>
      <x:c r="G26" s="6" t="n">
        <x:v>482000</x:v>
      </x:c>
      <x:c r="H26" s="6" t="n">
        <x:v>1998000</x:v>
      </x:c>
      <x:c r="I26" s="6" t="n">
        <x:v>64</x:v>
      </x:c>
      <x:c r="J26" s="6" t="n">
        <x:v>275</x:v>
      </x:c>
      <x:c r="K26" s="6" t="n">
        <x:v>327</x:v>
      </x:c>
      <x:c r="L26" s="6" t="n">
        <x:v>10</x:v>
      </x:c>
      <x:c r="M26" s="11" t="n">
        <x:v>0.935515873015873</x:v>
      </x:c>
      <x:c r="N26" s="6" t="n">
        <x:v>1545000</x:v>
      </x:c>
    </x:row>
    <x:row r="27" ht="24" customHeight="1">
      <x:c r="A27" s="2" t="str">
        <x:v>2026-10-05_Night</x:v>
      </x:c>
      <x:c r="B27" s="6" t="str">
        <x:v>ナイト</x:v>
      </x:c>
      <x:c r="C27" s="6" t="n">
        <x:v>867000</x:v>
      </x:c>
      <x:c r="D27" s="6" t="n">
        <x:v>2434000</x:v>
      </x:c>
      <x:c r="E27" s="6" t="n">
        <x:f>C27-D27</x:f>
        <x:v>-1567000</x:v>
      </x:c>
      <x:c r="F27" s="6" t="n">
        <x:f>F26+E27</x:f>
        <x:v>-39691000</x:v>
      </x:c>
      <x:c r="G27" s="6" t="n">
        <x:v>600000</x:v>
      </x:c>
      <x:c r="H27" s="6" t="n">
        <x:v>2167000</x:v>
      </x:c>
      <x:c r="I27" s="6" t="n">
        <x:v>65</x:v>
      </x:c>
      <x:c r="J27" s="6" t="n">
        <x:v>283</x:v>
      </x:c>
      <x:c r="K27" s="6" t="n">
        <x:v>326</x:v>
      </x:c>
      <x:c r="L27" s="6" t="n">
        <x:v>10</x:v>
      </x:c>
      <x:c r="M27" s="11" t="n">
        <x:v>0.9363461538461538</x:v>
      </x:c>
      <x:c r="N27" s="6" t="n">
        <x:v>1644000</x:v>
      </x:c>
    </x:row>
    <x:row r="28" ht="24" customHeight="1">
      <x:c r="A28" s="2" t="str">
        <x:v>2026-10-06_Day</x:v>
      </x:c>
      <x:c r="B28" s="6" t="str">
        <x:v>デイ</x:v>
      </x:c>
      <x:c r="C28" s="6" t="n">
        <x:v>658000</x:v>
      </x:c>
      <x:c r="D28" s="6" t="n">
        <x:v>2100000</x:v>
      </x:c>
      <x:c r="E28" s="6" t="n">
        <x:f>C28-D28</x:f>
        <x:v>-1442000</x:v>
      </x:c>
      <x:c r="F28" s="6" t="n">
        <x:f>F27+E28</x:f>
        <x:v>-41133000</x:v>
      </x:c>
      <x:c r="G28" s="6" t="n">
        <x:v>444000</x:v>
      </x:c>
      <x:c r="H28" s="6" t="n">
        <x:v>1886000</x:v>
      </x:c>
      <x:c r="I28" s="6" t="n">
        <x:v>50</x:v>
      </x:c>
      <x:c r="J28" s="6" t="n">
        <x:v>263</x:v>
      </x:c>
      <x:c r="K28" s="6" t="n">
        <x:v>304</x:v>
      </x:c>
      <x:c r="L28" s="6" t="n">
        <x:v>10</x:v>
      </x:c>
      <x:c r="M28" s="11" t="n">
        <x:v>0.9295634920634921</x:v>
      </x:c>
      <x:c r="N28" s="6" t="n">
        <x:v>1447000</x:v>
      </x:c>
    </x:row>
    <x:row r="29" ht="24" customHeight="1">
      <x:c r="A29" s="2" t="str">
        <x:v>2026-10-06_Night</x:v>
      </x:c>
      <x:c r="B29" s="6" t="str">
        <x:v>ナイト</x:v>
      </x:c>
      <x:c r="C29" s="6" t="n">
        <x:v>437000</x:v>
      </x:c>
      <x:c r="D29" s="6" t="n">
        <x:v>1531000</x:v>
      </x:c>
      <x:c r="E29" s="6" t="n">
        <x:f>C29-D29</x:f>
        <x:v>-1094000</x:v>
      </x:c>
      <x:c r="F29" s="6" t="n">
        <x:f>F28+E29</x:f>
        <x:v>-42227000</x:v>
      </x:c>
      <x:c r="G29" s="6" t="n">
        <x:v>245000</x:v>
      </x:c>
      <x:c r="H29" s="6" t="n">
        <x:v>1339000</x:v>
      </x:c>
      <x:c r="I29" s="6" t="n">
        <x:v>45</x:v>
      </x:c>
      <x:c r="J29" s="6" t="n">
        <x:v>270</x:v>
      </x:c>
      <x:c r="K29" s="6" t="n">
        <x:v>285</x:v>
      </x:c>
      <x:c r="L29" s="6" t="n">
        <x:v>10</x:v>
      </x:c>
      <x:c r="M29" s="11" t="n">
        <x:v>0.9187393162393163</x:v>
      </x:c>
      <x:c r="N29" s="6" t="n">
        <x:v>1102000</x:v>
      </x:c>
    </x:row>
    <x:row r="30" ht="24" customHeight="1">
      <x:c r="A30" s="2" t="str">
        <x:v>2026-10-07_Day</x:v>
      </x:c>
      <x:c r="B30" s="6" t="str">
        <x:v>デイ</x:v>
      </x:c>
      <x:c r="C30" s="6" t="n">
        <x:v>529000</x:v>
      </x:c>
      <x:c r="D30" s="6" t="n">
        <x:v>1794000</x:v>
      </x:c>
      <x:c r="E30" s="6" t="n">
        <x:f>C30-D30</x:f>
        <x:v>-1265000</x:v>
      </x:c>
      <x:c r="F30" s="6" t="n">
        <x:f>F29+E30</x:f>
        <x:v>-43492000</x:v>
      </x:c>
      <x:c r="G30" s="6" t="n">
        <x:v>277000</x:v>
      </x:c>
      <x:c r="H30" s="6" t="n">
        <x:v>1542000</x:v>
      </x:c>
      <x:c r="I30" s="6" t="n">
        <x:v>45</x:v>
      </x:c>
      <x:c r="J30" s="6" t="n">
        <x:v>261</x:v>
      </x:c>
      <x:c r="K30" s="6" t="n">
        <x:v>298</x:v>
      </x:c>
      <x:c r="L30" s="6" t="n">
        <x:v>10</x:v>
      </x:c>
      <x:c r="M30" s="11" t="n">
        <x:v>0.9373412698412699</x:v>
      </x:c>
      <x:c r="N30" s="6" t="n">
        <x:v>1287000</x:v>
      </x:c>
    </x:row>
    <x:row r="31" ht="24" customHeight="1">
      <x:c r="A31" s="2" t="str">
        <x:v>2026-10-07_Night</x:v>
      </x:c>
      <x:c r="B31" s="6" t="str">
        <x:v>ナイト</x:v>
      </x:c>
      <x:c r="C31" s="6" t="n">
        <x:v>530000</x:v>
      </x:c>
      <x:c r="D31" s="6" t="n">
        <x:v>2255000</x:v>
      </x:c>
      <x:c r="E31" s="6" t="n">
        <x:f>C31-D31</x:f>
        <x:v>-1725000</x:v>
      </x:c>
      <x:c r="F31" s="6" t="n">
        <x:f>F30+E31</x:f>
        <x:v>-45217000</x:v>
      </x:c>
      <x:c r="G31" s="6" t="n">
        <x:v>278000</x:v>
      </x:c>
      <x:c r="H31" s="6" t="n">
        <x:v>2003000</x:v>
      </x:c>
      <x:c r="I31" s="6" t="n">
        <x:v>59</x:v>
      </x:c>
      <x:c r="J31" s="6" t="n">
        <x:v>294</x:v>
      </x:c>
      <x:c r="K31" s="6" t="n">
        <x:v>372</x:v>
      </x:c>
      <x:c r="L31" s="6" t="n">
        <x:v>10</x:v>
      </x:c>
      <x:c r="M31" s="11" t="n">
        <x:v>0.9589957264957265</x:v>
      </x:c>
      <x:c r="N31" s="6" t="n">
        <x:v>1753000</x:v>
      </x:c>
    </x:row>
    <x:row r="32" ht="24" customHeight="1">
      <x:c r="A32" s="2" t="str">
        <x:v>2026-10-08_Day</x:v>
      </x:c>
      <x:c r="B32" s="6" t="str">
        <x:v>デイ</x:v>
      </x:c>
      <x:c r="C32" s="6" t="n">
        <x:v>1096000</x:v>
      </x:c>
      <x:c r="D32" s="6" t="n">
        <x:v>2870000</x:v>
      </x:c>
      <x:c r="E32" s="6" t="n">
        <x:f>C32-D32</x:f>
        <x:v>-1774000</x:v>
      </x:c>
      <x:c r="F32" s="6" t="n">
        <x:f>F31+E32</x:f>
        <x:v>-46991000</x:v>
      </x:c>
      <x:c r="G32" s="6" t="n">
        <x:v>825000</x:v>
      </x:c>
      <x:c r="H32" s="6" t="n">
        <x:v>2599000</x:v>
      </x:c>
      <x:c r="I32" s="6" t="n">
        <x:v>81</x:v>
      </x:c>
      <x:c r="J32" s="6" t="n">
        <x:v>309</x:v>
      </x:c>
      <x:c r="K32" s="6" t="n">
        <x:v>371</x:v>
      </x:c>
      <x:c r="L32" s="6" t="n">
        <x:v>10</x:v>
      </x:c>
      <x:c r="M32" s="11" t="n">
        <x:v>0.9232142857142858</x:v>
      </x:c>
      <x:c r="N32" s="6" t="n">
        <x:v>1904000</x:v>
      </x:c>
    </x:row>
    <x:row r="33" ht="24" customHeight="1">
      <x:c r="A33" s="2" t="str">
        <x:v>2026-10-08_Night</x:v>
      </x:c>
      <x:c r="B33" s="6" t="str">
        <x:v>ナイト</x:v>
      </x:c>
      <x:c r="C33" s="6" t="n">
        <x:v>1520000</x:v>
      </x:c>
      <x:c r="D33" s="6" t="n">
        <x:v>4267000</x:v>
      </x:c>
      <x:c r="E33" s="6" t="n">
        <x:f>C33-D33</x:f>
        <x:v>-2747000</x:v>
      </x:c>
      <x:c r="F33" s="6" t="n">
        <x:f>F32+E33</x:f>
        <x:v>-49738000</x:v>
      </x:c>
      <x:c r="G33" s="6" t="n">
        <x:v>1046000</x:v>
      </x:c>
      <x:c r="H33" s="6" t="n">
        <x:v>3793000</x:v>
      </x:c>
      <x:c r="I33" s="6" t="n">
        <x:v>115</x:v>
      </x:c>
      <x:c r="J33" s="6" t="n">
        <x:v>344</x:v>
      </x:c>
      <x:c r="K33" s="6" t="n">
        <x:v>408</x:v>
      </x:c>
      <x:c r="L33" s="6" t="n">
        <x:v>10</x:v>
      </x:c>
      <x:c r="M33" s="11" t="n">
        <x:v>0.9229700854700855</x:v>
      </x:c>
      <x:c r="N33" s="6" t="n">
        <x:v>2770000</x:v>
      </x:c>
    </x:row>
    <x:row r="34" ht="24" customHeight="1">
      <x:c r="A34" s="2" t="str">
        <x:v>2026-10-09_Day</x:v>
      </x:c>
      <x:c r="B34" s="6" t="str">
        <x:v>デイ</x:v>
      </x:c>
      <x:c r="C34" s="6" t="n">
        <x:v>1190000</x:v>
      </x:c>
      <x:c r="D34" s="6" t="n">
        <x:v>2684000</x:v>
      </x:c>
      <x:c r="E34" s="6" t="n">
        <x:f>C34-D34</x:f>
        <x:v>-1494000</x:v>
      </x:c>
      <x:c r="F34" s="6" t="n">
        <x:f>F33+E34</x:f>
        <x:v>-51232000</x:v>
      </x:c>
      <x:c r="G34" s="6" t="n">
        <x:v>1017000</x:v>
      </x:c>
      <x:c r="H34" s="6" t="n">
        <x:v>2511000</x:v>
      </x:c>
      <x:c r="I34" s="6" t="n">
        <x:v>73</x:v>
      </x:c>
      <x:c r="J34" s="6" t="n">
        <x:v>258</x:v>
      </x:c>
      <x:c r="K34" s="6" t="n">
        <x:v>297</x:v>
      </x:c>
      <x:c r="L34" s="6" t="n">
        <x:v>10</x:v>
      </x:c>
      <x:c r="M34" s="11" t="n">
        <x:v>0.9212698412698412</x:v>
      </x:c>
      <x:c r="N34" s="6" t="n">
        <x:v>1687000</x:v>
      </x:c>
    </x:row>
    <x:row r="35" ht="24" customHeight="1">
      <x:c r="A35" s="2" t="str">
        <x:v>2026-10-09_Night</x:v>
      </x:c>
      <x:c r="B35" s="6" t="str">
        <x:v>ナイト</x:v>
      </x:c>
      <x:c r="C35" s="6" t="n">
        <x:v>347000</x:v>
      </x:c>
      <x:c r="D35" s="6" t="n">
        <x:v>1981000</x:v>
      </x:c>
      <x:c r="E35" s="6" t="n">
        <x:f>C35-D35</x:f>
        <x:v>-1634000</x:v>
      </x:c>
      <x:c r="F35" s="6" t="n">
        <x:f>F34+E35</x:f>
        <x:v>-52866000</x:v>
      </x:c>
      <x:c r="G35" s="6" t="n">
        <x:v>204000</x:v>
      </x:c>
      <x:c r="H35" s="6" t="n">
        <x:v>1838000</x:v>
      </x:c>
      <x:c r="I35" s="6" t="n">
        <x:v>48</x:v>
      </x:c>
      <x:c r="J35" s="6" t="n">
        <x:v>241</x:v>
      </x:c>
      <x:c r="K35" s="6" t="n">
        <x:v>261</x:v>
      </x:c>
      <x:c r="L35" s="6" t="n">
        <x:v>10</x:v>
      </x:c>
      <x:c r="M35" s="11" t="n">
        <x:v>0.9087179487179488</x:v>
      </x:c>
      <x:c r="N35" s="6" t="n">
        <x:v>1666000</x:v>
      </x:c>
    </x:row>
    <x:row r="36" ht="24" customHeight="1">
      <x:c r="A36" s="2" t="str">
        <x:v>2026-10-12_Day</x:v>
      </x:c>
      <x:c r="B36" s="6" t="str">
        <x:v>デイ</x:v>
      </x:c>
      <x:c r="C36" s="6" t="n">
        <x:v>329000</x:v>
      </x:c>
      <x:c r="D36" s="6" t="n">
        <x:v>1221000</x:v>
      </x:c>
      <x:c r="E36" s="6" t="n">
        <x:f>C36-D36</x:f>
        <x:v>-892000</x:v>
      </x:c>
      <x:c r="F36" s="6" t="n">
        <x:f>F35+E36</x:f>
        <x:v>-53758000</x:v>
      </x:c>
      <x:c r="G36" s="6" t="n">
        <x:v>138000</x:v>
      </x:c>
      <x:c r="H36" s="6" t="n">
        <x:v>1030000</x:v>
      </x:c>
      <x:c r="I36" s="6" t="n">
        <x:v>35</x:v>
      </x:c>
      <x:c r="J36" s="6" t="n">
        <x:v>143</x:v>
      </x:c>
      <x:c r="K36" s="6" t="n">
        <x:v>150</x:v>
      </x:c>
      <x:c r="L36" s="6" t="n">
        <x:v>10</x:v>
      </x:c>
      <x:c r="M36" s="11" t="n">
        <x:v>0.9091269841269841</x:v>
      </x:c>
      <x:c r="N36" s="6" t="n">
        <x:v>893000</x:v>
      </x:c>
    </x:row>
    <x:row r="37" ht="24" customHeight="1">
      <x:c r="A37" s="2" t="str">
        <x:v>2026-10-12_Night</x:v>
      </x:c>
      <x:c r="B37" s="6" t="str">
        <x:v>ナイト</x:v>
      </x:c>
      <x:c r="C37" s="6" t="n">
        <x:v>376000</x:v>
      </x:c>
      <x:c r="D37" s="6" t="n">
        <x:v>1322000</x:v>
      </x:c>
      <x:c r="E37" s="6" t="n">
        <x:f>C37-D37</x:f>
        <x:v>-946000</x:v>
      </x:c>
      <x:c r="F37" s="6" t="n">
        <x:f>F36+E37</x:f>
        <x:v>-54704000</x:v>
      </x:c>
      <x:c r="G37" s="6" t="n">
        <x:v>253000</x:v>
      </x:c>
      <x:c r="H37" s="6" t="n">
        <x:v>1199000</x:v>
      </x:c>
      <x:c r="I37" s="6" t="n">
        <x:v>38</x:v>
      </x:c>
      <x:c r="J37" s="6" t="n">
        <x:v>151</x:v>
      </x:c>
      <x:c r="K37" s="6" t="n">
        <x:v>176</x:v>
      </x:c>
      <x:c r="L37" s="6" t="n">
        <x:v>10</x:v>
      </x:c>
      <x:c r="M37" s="11" t="n">
        <x:v>0.8795299145299146</x:v>
      </x:c>
      <x:c r="N37" s="6" t="n">
        <x:v>971000</x:v>
      </x:c>
    </x:row>
    <x:row r="38" ht="24" customHeight="1">
      <x:c r="A38" s="2" t="str">
        <x:v>2026-10-13_Day</x:v>
      </x:c>
      <x:c r="B38" s="6" t="str">
        <x:v>デイ</x:v>
      </x:c>
      <x:c r="C38" s="6" t="n">
        <x:v>1336000</x:v>
      </x:c>
      <x:c r="D38" s="6" t="n">
        <x:v>3682000</x:v>
      </x:c>
      <x:c r="E38" s="6" t="n">
        <x:f>C38-D38</x:f>
        <x:v>-2346000</x:v>
      </x:c>
      <x:c r="F38" s="6" t="n">
        <x:f>F37+E38</x:f>
        <x:v>-57050000</x:v>
      </x:c>
      <x:c r="G38" s="6" t="n">
        <x:v>1012000</x:v>
      </x:c>
      <x:c r="H38" s="6" t="n">
        <x:v>3358000</x:v>
      </x:c>
      <x:c r="I38" s="6" t="n">
        <x:v>91</x:v>
      </x:c>
      <x:c r="J38" s="6" t="n">
        <x:v>282</x:v>
      </x:c>
      <x:c r="K38" s="6" t="n">
        <x:v>340</x:v>
      </x:c>
      <x:c r="L38" s="6" t="n">
        <x:v>10</x:v>
      </x:c>
      <x:c r="M38" s="11" t="n">
        <x:v>0.9183730158730159</x:v>
      </x:c>
      <x:c r="N38" s="6" t="n">
        <x:v>2427000</x:v>
      </x:c>
    </x:row>
    <x:row r="39" ht="24" customHeight="1">
      <x:c r="A39" s="2" t="str">
        <x:v>2026-10-13_Night</x:v>
      </x:c>
      <x:c r="B39" s="6" t="str">
        <x:v>ナイト</x:v>
      </x:c>
      <x:c r="C39" s="6" t="n">
        <x:v>538000</x:v>
      </x:c>
      <x:c r="D39" s="6" t="n">
        <x:v>1606000</x:v>
      </x:c>
      <x:c r="E39" s="6" t="n">
        <x:f>C39-D39</x:f>
        <x:v>-1068000</x:v>
      </x:c>
      <x:c r="F39" s="6" t="n">
        <x:f>F38+E39</x:f>
        <x:v>-58118000</x:v>
      </x:c>
      <x:c r="G39" s="6" t="n">
        <x:v>286000</x:v>
      </x:c>
      <x:c r="H39" s="6" t="n">
        <x:v>1354000</x:v>
      </x:c>
      <x:c r="I39" s="6" t="n">
        <x:v>43</x:v>
      </x:c>
      <x:c r="J39" s="6" t="n">
        <x:v>256</x:v>
      </x:c>
      <x:c r="K39" s="6" t="n">
        <x:v>257</x:v>
      </x:c>
      <x:c r="L39" s="6" t="n">
        <x:v>10</x:v>
      </x:c>
      <x:c r="M39" s="11" t="n">
        <x:v>0.9071153846153847</x:v>
      </x:c>
      <x:c r="N39" s="6" t="n">
        <x:v>1071000</x:v>
      </x:c>
    </x:row>
    <x:row r="40" ht="24" customHeight="1">
      <x:c r="A40" s="2" t="str">
        <x:v>2026-10-14_Day</x:v>
      </x:c>
      <x:c r="B40" s="6" t="str">
        <x:v>デイ</x:v>
      </x:c>
      <x:c r="C40" s="6" t="n">
        <x:v>1018000</x:v>
      </x:c>
      <x:c r="D40" s="6" t="n">
        <x:v>2984000</x:v>
      </x:c>
      <x:c r="E40" s="6" t="n">
        <x:f>C40-D40</x:f>
        <x:v>-1966000</x:v>
      </x:c>
      <x:c r="F40" s="6" t="n">
        <x:f>F39+E40</x:f>
        <x:v>-60084000</x:v>
      </x:c>
      <x:c r="G40" s="6" t="n">
        <x:v>718000</x:v>
      </x:c>
      <x:c r="H40" s="6" t="n">
        <x:v>2684000</x:v>
      </x:c>
      <x:c r="I40" s="6" t="n">
        <x:v>70</x:v>
      </x:c>
      <x:c r="J40" s="6" t="n">
        <x:v>262</x:v>
      </x:c>
      <x:c r="K40" s="6" t="n">
        <x:v>320</x:v>
      </x:c>
      <x:c r="L40" s="6" t="n">
        <x:v>10</x:v>
      </x:c>
      <x:c r="M40" s="11" t="n">
        <x:v>0.9327380952380953</x:v>
      </x:c>
      <x:c r="N40" s="6" t="n">
        <x:v>2093000</x:v>
      </x:c>
    </x:row>
    <x:row r="41" ht="24" customHeight="1">
      <x:c r="A41" s="2" t="str">
        <x:v>2026-10-14_Night</x:v>
      </x:c>
      <x:c r="B41" s="6" t="str">
        <x:v>ナイト</x:v>
      </x:c>
      <x:c r="C41" s="6" t="n">
        <x:v>1689000</x:v>
      </x:c>
      <x:c r="D41" s="6" t="n">
        <x:v>3698000</x:v>
      </x:c>
      <x:c r="E41" s="6" t="n">
        <x:f>C41-D41</x:f>
        <x:v>-2009000</x:v>
      </x:c>
      <x:c r="F41" s="6" t="n">
        <x:f>F40+E41</x:f>
        <x:v>-62093000</x:v>
      </x:c>
      <x:c r="G41" s="6" t="n">
        <x:v>1351000</x:v>
      </x:c>
      <x:c r="H41" s="6" t="n">
        <x:v>3360000</x:v>
      </x:c>
      <x:c r="I41" s="6" t="n">
        <x:v>103</x:v>
      </x:c>
      <x:c r="J41" s="6" t="n">
        <x:v>332</x:v>
      </x:c>
      <x:c r="K41" s="6" t="n">
        <x:v>441</x:v>
      </x:c>
      <x:c r="L41" s="6" t="n">
        <x:v>10</x:v>
      </x:c>
      <x:c r="M41" s="11" t="n">
        <x:v>0.9355769230769231</x:v>
      </x:c>
      <x:c r="N41" s="6" t="n">
        <x:v>2076000</x:v>
      </x:c>
    </x:row>
    <x:row r="42" ht="24" customHeight="1">
      <x:c r="A42" s="2" t="str">
        <x:v>2026-10-15_Day</x:v>
      </x:c>
      <x:c r="B42" s="6" t="str">
        <x:v>デイ</x:v>
      </x:c>
      <x:c r="C42" s="6" t="n">
        <x:v>2437000</x:v>
      </x:c>
      <x:c r="D42" s="6" t="n">
        <x:v>5686000</x:v>
      </x:c>
      <x:c r="E42" s="6" t="n">
        <x:f>C42-D42</x:f>
        <x:v>-3249000</x:v>
      </x:c>
      <x:c r="F42" s="6" t="n">
        <x:f>F41+E42</x:f>
        <x:v>-65342000</x:v>
      </x:c>
      <x:c r="G42" s="6" t="n">
        <x:v>2147000</x:v>
      </x:c>
      <x:c r="H42" s="6" t="n">
        <x:v>5396000</x:v>
      </x:c>
      <x:c r="I42" s="6" t="n">
        <x:v>180</x:v>
      </x:c>
      <x:c r="J42" s="6" t="n">
        <x:v>266</x:v>
      </x:c>
      <x:c r="K42" s="6" t="n">
        <x:v>369</x:v>
      </x:c>
      <x:c r="L42" s="6" t="n">
        <x:v>10</x:v>
      </x:c>
      <x:c r="M42" s="11" t="n">
        <x:v>0.8754761904761905</x:v>
      </x:c>
      <x:c r="N42" s="6" t="n">
        <x:v>3387000</x:v>
      </x:c>
    </x:row>
    <x:row r="43" ht="24" customHeight="1">
      <x:c r="A43" s="2" t="str">
        <x:v>2026-10-15_Night</x:v>
      </x:c>
      <x:c r="B43" s="6" t="str">
        <x:v>ナイト</x:v>
      </x:c>
      <x:c r="C43" s="6" t="n">
        <x:v>2125000</x:v>
      </x:c>
      <x:c r="D43" s="6" t="n">
        <x:v>6250000</x:v>
      </x:c>
      <x:c r="E43" s="6" t="n">
        <x:f>C43-D43</x:f>
        <x:v>-4125000</x:v>
      </x:c>
      <x:c r="F43" s="6" t="n">
        <x:f>F42+E43</x:f>
        <x:v>-69467000</x:v>
      </x:c>
      <x:c r="G43" s="6" t="n">
        <x:v>1691000</x:v>
      </x:c>
      <x:c r="H43" s="6" t="n">
        <x:v>5816000</x:v>
      </x:c>
      <x:c r="I43" s="6" t="n">
        <x:v>194</x:v>
      </x:c>
      <x:c r="J43" s="6" t="n">
        <x:v>390</x:v>
      </x:c>
      <x:c r="K43" s="6" t="n">
        <x:v>473</x:v>
      </x:c>
      <x:c r="L43" s="6" t="n">
        <x:v>10</x:v>
      </x:c>
      <x:c r="M43" s="11" t="n">
        <x:v>0.8722222222222222</x:v>
      </x:c>
      <x:c r="N43" s="6" t="n">
        <x:v>4167000</x:v>
      </x:c>
    </x:row>
    <x:row r="44" ht="24" customHeight="1">
      <x:c r="A44" s="2" t="str">
        <x:v>2026-10-16_Day</x:v>
      </x:c>
      <x:c r="B44" s="6" t="str">
        <x:v>デイ</x:v>
      </x:c>
      <x:c r="C44" s="6" t="n">
        <x:v>1407000</x:v>
      </x:c>
      <x:c r="D44" s="6" t="n">
        <x:v>4389000</x:v>
      </x:c>
      <x:c r="E44" s="6" t="n">
        <x:f>C44-D44</x:f>
        <x:v>-2982000</x:v>
      </x:c>
      <x:c r="F44" s="6" t="n">
        <x:f>F43+E44</x:f>
        <x:v>-72449000</x:v>
      </x:c>
      <x:c r="G44" s="6" t="n">
        <x:v>1176000</x:v>
      </x:c>
      <x:c r="H44" s="6" t="n">
        <x:v>4158000</x:v>
      </x:c>
      <x:c r="I44" s="6" t="n">
        <x:v>133</x:v>
      </x:c>
      <x:c r="J44" s="6" t="n">
        <x:v>270</x:v>
      </x:c>
      <x:c r="K44" s="6" t="n">
        <x:v>351</x:v>
      </x:c>
      <x:c r="L44" s="6" t="n">
        <x:v>10</x:v>
      </x:c>
      <x:c r="M44" s="11" t="n">
        <x:v>0.9047619047619048</x:v>
      </x:c>
      <x:c r="N44" s="6" t="n">
        <x:v>3024000</x:v>
      </x:c>
    </x:row>
    <x:row r="45" ht="24" customHeight="1">
      <x:c r="A45" s="2" t="str">
        <x:v>2026-10-16_Night</x:v>
      </x:c>
      <x:c r="B45" s="6" t="str">
        <x:v>ナイト</x:v>
      </x:c>
      <x:c r="C45" s="6" t="n">
        <x:v>2141000</x:v>
      </x:c>
      <x:c r="D45" s="6" t="n">
        <x:v>5422000</x:v>
      </x:c>
      <x:c r="E45" s="6" t="n">
        <x:f>C45-D45</x:f>
        <x:v>-3281000</x:v>
      </x:c>
      <x:c r="F45" s="6" t="n">
        <x:f>F44+E45</x:f>
        <x:v>-75730000</x:v>
      </x:c>
      <x:c r="G45" s="6" t="n">
        <x:v>1730000</x:v>
      </x:c>
      <x:c r="H45" s="6" t="n">
        <x:v>5011000</x:v>
      </x:c>
      <x:c r="I45" s="6" t="n">
        <x:v>168</x:v>
      </x:c>
      <x:c r="J45" s="6" t="n">
        <x:v>375</x:v>
      </x:c>
      <x:c r="K45" s="6" t="n">
        <x:v>512</x:v>
      </x:c>
      <x:c r="L45" s="6" t="n">
        <x:v>10</x:v>
      </x:c>
      <x:c r="M45" s="11" t="n">
        <x:v>0.9011111111111111</x:v>
      </x:c>
      <x:c r="N45" s="6" t="n">
        <x:v>3342000</x:v>
      </x:c>
    </x:row>
    <x:row r="46" ht="24" customHeight="1">
      <x:c r="A46" s="2" t="str">
        <x:v>2026-10-19_Day</x:v>
      </x:c>
      <x:c r="B46" s="6" t="str">
        <x:v>デイ</x:v>
      </x:c>
      <x:c r="C46" s="6" t="n">
        <x:v>2110000</x:v>
      </x:c>
      <x:c r="D46" s="6" t="n">
        <x:v>4237000</x:v>
      </x:c>
      <x:c r="E46" s="6" t="n">
        <x:f>C46-D46</x:f>
        <x:v>-2127000</x:v>
      </x:c>
      <x:c r="F46" s="6" t="n">
        <x:f>F45+E46</x:f>
        <x:v>-77857000</x:v>
      </x:c>
      <x:c r="G46" s="6" t="n">
        <x:v>1821000</x:v>
      </x:c>
      <x:c r="H46" s="6" t="n">
        <x:v>3948000</x:v>
      </x:c>
      <x:c r="I46" s="6" t="n">
        <x:v>134</x:v>
      </x:c>
      <x:c r="J46" s="6" t="n">
        <x:v>244</x:v>
      </x:c>
      <x:c r="K46" s="6" t="n">
        <x:v>314</x:v>
      </x:c>
      <x:c r="L46" s="6" t="n">
        <x:v>10</x:v>
      </x:c>
      <x:c r="M46" s="11" t="n">
        <x:v>0.8872619047619048</x:v>
      </x:c>
      <x:c r="N46" s="6" t="n">
        <x:v>2277000</x:v>
      </x:c>
    </x:row>
    <x:row r="47" ht="24" customHeight="1">
      <x:c r="A47" s="2" t="str">
        <x:v>2026-10-19_Night</x:v>
      </x:c>
      <x:c r="B47" s="6" t="str">
        <x:v>ナイト</x:v>
      </x:c>
      <x:c r="C47" s="6" t="n">
        <x:v>1163000</x:v>
      </x:c>
      <x:c r="D47" s="6" t="n">
        <x:v>4239000</x:v>
      </x:c>
      <x:c r="E47" s="6" t="n">
        <x:f>C47-D47</x:f>
        <x:v>-3076000</x:v>
      </x:c>
      <x:c r="F47" s="6" t="n">
        <x:f>F46+E47</x:f>
        <x:v>-80933000</x:v>
      </x:c>
      <x:c r="G47" s="6" t="n">
        <x:v>799000</x:v>
      </x:c>
      <x:c r="H47" s="6" t="n">
        <x:v>3875000</x:v>
      </x:c>
      <x:c r="I47" s="6" t="n">
        <x:v>130</x:v>
      </x:c>
      <x:c r="J47" s="6" t="n">
        <x:v>329</x:v>
      </x:c>
      <x:c r="K47" s="6" t="n">
        <x:v>458</x:v>
      </x:c>
      <x:c r="L47" s="6" t="n">
        <x:v>10</x:v>
      </x:c>
      <x:c r="M47" s="11" t="n">
        <x:v>0.9165384615384615</x:v>
      </x:c>
      <x:c r="N47" s="6" t="n">
        <x:v>3080000</x:v>
      </x:c>
    </x:row>
    <x:row r="48" ht="24" customHeight="1">
      <x:c r="A48" s="2" t="str">
        <x:v>2026-10-20_Day</x:v>
      </x:c>
      <x:c r="B48" s="6" t="str">
        <x:v>デイ</x:v>
      </x:c>
      <x:c r="C48" s="6" t="n">
        <x:v>1999000</x:v>
      </x:c>
      <x:c r="D48" s="6" t="n">
        <x:v>4613000</x:v>
      </x:c>
      <x:c r="E48" s="6" t="n">
        <x:f>C48-D48</x:f>
        <x:v>-2614000</x:v>
      </x:c>
      <x:c r="F48" s="6" t="n">
        <x:f>F47+E48</x:f>
        <x:v>-83547000</x:v>
      </x:c>
      <x:c r="G48" s="6" t="n">
        <x:v>1646000</x:v>
      </x:c>
      <x:c r="H48" s="6" t="n">
        <x:v>4260000</x:v>
      </x:c>
      <x:c r="I48" s="6" t="n">
        <x:v>148</x:v>
      </x:c>
      <x:c r="J48" s="6" t="n">
        <x:v>272</x:v>
      </x:c>
      <x:c r="K48" s="6" t="n">
        <x:v>365</x:v>
      </x:c>
      <x:c r="L48" s="6" t="n">
        <x:v>10</x:v>
      </x:c>
      <x:c r="M48" s="11" t="n">
        <x:v>0.8950396825396826</x:v>
      </x:c>
      <x:c r="N48" s="6" t="n">
        <x:v>2656000</x:v>
      </x:c>
    </x:row>
    <x:row r="49" ht="24" customHeight="1">
      <x:c r="A49" s="2" t="str">
        <x:v>2026-10-20_Night</x:v>
      </x:c>
      <x:c r="B49" s="6" t="str">
        <x:v>ナイト</x:v>
      </x:c>
      <x:c r="C49" s="6" t="n">
        <x:v>1975000</x:v>
      </x:c>
      <x:c r="D49" s="6" t="n">
        <x:v>4364000</x:v>
      </x:c>
      <x:c r="E49" s="6" t="n">
        <x:f>C49-D49</x:f>
        <x:v>-2389000</x:v>
      </x:c>
      <x:c r="F49" s="6" t="n">
        <x:f>F48+E49</x:f>
        <x:v>-85936000</x:v>
      </x:c>
      <x:c r="G49" s="6" t="n">
        <x:v>1536000</x:v>
      </x:c>
      <x:c r="H49" s="6" t="n">
        <x:v>3925000</x:v>
      </x:c>
      <x:c r="I49" s="6" t="n">
        <x:v>150</x:v>
      </x:c>
      <x:c r="J49" s="6" t="n">
        <x:v>351</x:v>
      </x:c>
      <x:c r="K49" s="6" t="n">
        <x:v>440</x:v>
      </x:c>
      <x:c r="L49" s="6" t="n">
        <x:v>10</x:v>
      </x:c>
      <x:c r="M49" s="11" t="n">
        <x:v>0.8421581196581197</x:v>
      </x:c>
      <x:c r="N49" s="6" t="n">
        <x:v>2482000</x:v>
      </x:c>
    </x:row>
    <x:row r="50" ht="24" customHeight="1">
      <x:c r="A50" s="2" t="str">
        <x:v>2026-10-21_Day</x:v>
      </x:c>
      <x:c r="B50" s="6" t="str">
        <x:v>デイ</x:v>
      </x:c>
      <x:c r="C50" s="6" t="n">
        <x:v>1543000</x:v>
      </x:c>
      <x:c r="D50" s="6" t="n">
        <x:v>3946000</x:v>
      </x:c>
      <x:c r="E50" s="6" t="n">
        <x:f>C50-D50</x:f>
        <x:v>-2403000</x:v>
      </x:c>
      <x:c r="F50" s="6" t="n">
        <x:f>F49+E50</x:f>
        <x:v>-88339000</x:v>
      </x:c>
      <x:c r="G50" s="6" t="n">
        <x:v>1251000</x:v>
      </x:c>
      <x:c r="H50" s="6" t="n">
        <x:v>3654000</x:v>
      </x:c>
      <x:c r="I50" s="6" t="n">
        <x:v>132</x:v>
      </x:c>
      <x:c r="J50" s="6" t="n">
        <x:v>294</x:v>
      </x:c>
      <x:c r="K50" s="6" t="n">
        <x:v>364</x:v>
      </x:c>
      <x:c r="L50" s="6" t="n">
        <x:v>10</x:v>
      </x:c>
      <x:c r="M50" s="11" t="n">
        <x:v>0.902063492063492</x:v>
      </x:c>
      <x:c r="N50" s="6" t="n">
        <x:v>2450000</x:v>
      </x:c>
    </x:row>
    <x:row r="51" ht="24" customHeight="1">
      <x:c r="A51" s="2" t="str">
        <x:v>2026-10-21_Night</x:v>
      </x:c>
      <x:c r="B51" s="6" t="str">
        <x:v>ナイト</x:v>
      </x:c>
      <x:c r="C51" s="6" t="n">
        <x:v>1705000</x:v>
      </x:c>
      <x:c r="D51" s="6" t="n">
        <x:v>3382000</x:v>
      </x:c>
      <x:c r="E51" s="6" t="n">
        <x:f>C51-D51</x:f>
        <x:v>-1677000</x:v>
      </x:c>
      <x:c r="F51" s="6" t="n">
        <x:f>F50+E51</x:f>
        <x:v>-90016000</x:v>
      </x:c>
      <x:c r="G51" s="6" t="n">
        <x:v>1281000</x:v>
      </x:c>
      <x:c r="H51" s="6" t="n">
        <x:v>2958000</x:v>
      </x:c>
      <x:c r="I51" s="6" t="n">
        <x:v>121</x:v>
      </x:c>
      <x:c r="J51" s="6" t="n">
        <x:v>317</x:v>
      </x:c>
      <x:c r="K51" s="6" t="n">
        <x:v>364</x:v>
      </x:c>
      <x:c r="L51" s="6" t="n">
        <x:v>10</x:v>
      </x:c>
      <x:c r="M51" s="11" t="n">
        <x:v>0.9074786324786325</x:v>
      </x:c>
      <x:c r="N51" s="6" t="n">
        <x:v>1738000</x:v>
      </x:c>
    </x:row>
    <x:row r="52" ht="24" customHeight="1">
      <x:c r="A52" s="2" t="str">
        <x:v>2026-10-22_Day</x:v>
      </x:c>
      <x:c r="B52" s="6" t="str">
        <x:v>デイ</x:v>
      </x:c>
      <x:c r="C52" s="6" t="n">
        <x:v>1626000</x:v>
      </x:c>
      <x:c r="D52" s="6" t="n">
        <x:v>4476000</x:v>
      </x:c>
      <x:c r="E52" s="6" t="n">
        <x:f>C52-D52</x:f>
        <x:v>-2850000</x:v>
      </x:c>
      <x:c r="F52" s="6" t="n">
        <x:f>F51+E52</x:f>
        <x:v>-92866000</x:v>
      </x:c>
      <x:c r="G52" s="6" t="n">
        <x:v>1384000</x:v>
      </x:c>
      <x:c r="H52" s="6" t="n">
        <x:v>4234000</x:v>
      </x:c>
      <x:c r="I52" s="6" t="n">
        <x:v>142</x:v>
      </x:c>
      <x:c r="J52" s="6" t="n">
        <x:v>268</x:v>
      </x:c>
      <x:c r="K52" s="6" t="n">
        <x:v>367</x:v>
      </x:c>
      <x:c r="L52" s="6" t="n">
        <x:v>10</x:v>
      </x:c>
      <x:c r="M52" s="11" t="n">
        <x:v>0.8728174603174603</x:v>
      </x:c>
      <x:c r="N52" s="6" t="n">
        <x:v>2950000</x:v>
      </x:c>
    </x:row>
    <x:row r="53" ht="24" customHeight="1">
      <x:c r="A53" s="2" t="str">
        <x:v>2026-10-22_Night</x:v>
      </x:c>
      <x:c r="B53" s="6" t="str">
        <x:v>ナイト</x:v>
      </x:c>
      <x:c r="C53" s="6" t="n">
        <x:v>1933000</x:v>
      </x:c>
      <x:c r="D53" s="6" t="n">
        <x:v>4238000</x:v>
      </x:c>
      <x:c r="E53" s="6" t="n">
        <x:f>C53-D53</x:f>
        <x:v>-2305000</x:v>
      </x:c>
      <x:c r="F53" s="6" t="n">
        <x:f>F52+E53</x:f>
        <x:v>-95171000</x:v>
      </x:c>
      <x:c r="G53" s="6" t="n">
        <x:v>1452000</x:v>
      </x:c>
      <x:c r="H53" s="6" t="n">
        <x:v>3757000</x:v>
      </x:c>
      <x:c r="I53" s="6" t="n">
        <x:v>155</x:v>
      </x:c>
      <x:c r="J53" s="6" t="n">
        <x:v>382</x:v>
      </x:c>
      <x:c r="K53" s="6" t="n">
        <x:v>473</x:v>
      </x:c>
      <x:c r="L53" s="6" t="n">
        <x:v>10</x:v>
      </x:c>
      <x:c r="M53" s="11" t="n">
        <x:v>0.906474358974359</x:v>
      </x:c>
      <x:c r="N53" s="6" t="n">
        <x:v>2362000</x:v>
      </x:c>
    </x:row>
    <x:row r="54" ht="24" customHeight="1">
      <x:c r="A54" s="2" t="str">
        <x:v>2026-10-23_Day</x:v>
      </x:c>
      <x:c r="B54" s="6" t="str">
        <x:v>デイ</x:v>
      </x:c>
      <x:c r="C54" s="6" t="n">
        <x:v>3670000</x:v>
      </x:c>
      <x:c r="D54" s="6" t="n">
        <x:v>7437000</x:v>
      </x:c>
      <x:c r="E54" s="6" t="n">
        <x:f>C54-D54</x:f>
        <x:v>-3767000</x:v>
      </x:c>
      <x:c r="F54" s="6" t="n">
        <x:f>F53+E54</x:f>
        <x:v>-98938000</x:v>
      </x:c>
      <x:c r="G54" s="6" t="n">
        <x:v>3258000</x:v>
      </x:c>
      <x:c r="H54" s="6" t="n">
        <x:v>7025000</x:v>
      </x:c>
      <x:c r="I54" s="6" t="n">
        <x:v>242</x:v>
      </x:c>
      <x:c r="J54" s="6" t="n">
        <x:v>258</x:v>
      </x:c>
      <x:c r="K54" s="6" t="n">
        <x:v>360</x:v>
      </x:c>
      <x:c r="L54" s="6" t="n">
        <x:v>10</x:v>
      </x:c>
      <x:c r="M54" s="11" t="n">
        <x:v>0.8567460317460317</x:v>
      </x:c>
      <x:c r="N54" s="6" t="n">
        <x:v>3843000</x:v>
      </x:c>
    </x:row>
    <x:row r="55" ht="24" customHeight="1">
      <x:c r="A55" s="2" t="str">
        <x:v>2026-10-23_Night</x:v>
      </x:c>
      <x:c r="B55" s="6" t="str">
        <x:v>ナイト</x:v>
      </x:c>
      <x:c r="C55" s="6" t="n">
        <x:v>1530000</x:v>
      </x:c>
      <x:c r="D55" s="6" t="n">
        <x:v>4674000</x:v>
      </x:c>
      <x:c r="E55" s="6" t="n">
        <x:f>C55-D55</x:f>
        <x:v>-3144000</x:v>
      </x:c>
      <x:c r="F55" s="6" t="n">
        <x:f>F54+E55</x:f>
        <x:v>-102082000</x:v>
      </x:c>
      <x:c r="G55" s="6" t="n">
        <x:v>1003000</x:v>
      </x:c>
      <x:c r="H55" s="6" t="n">
        <x:v>4147000</x:v>
      </x:c>
      <x:c r="I55" s="6" t="n">
        <x:v>141</x:v>
      </x:c>
      <x:c r="J55" s="6" t="n">
        <x:v>362</x:v>
      </x:c>
      <x:c r="K55" s="6" t="n">
        <x:v>462</x:v>
      </x:c>
      <x:c r="L55" s="6" t="n">
        <x:v>10</x:v>
      </x:c>
      <x:c r="M55" s="11" t="n">
        <x:v>0.92008547008547</x:v>
      </x:c>
      <x:c r="N55" s="6" t="n">
        <x:v>3145000</x:v>
      </x:c>
    </x:row>
    <x:row r="56" ht="24" customHeight="1">
      <x:c r="A56" s="2" t="str">
        <x:v>2026-10-26_Day</x:v>
      </x:c>
      <x:c r="B56" s="6" t="str">
        <x:v>デイ</x:v>
      </x:c>
      <x:c r="C56" s="6" t="n">
        <x:v>2235000</x:v>
      </x:c>
      <x:c r="D56" s="6" t="n">
        <x:v>5178000</x:v>
      </x:c>
      <x:c r="E56" s="6" t="n">
        <x:f>C56-D56</x:f>
        <x:v>-2943000</x:v>
      </x:c>
      <x:c r="F56" s="6" t="n">
        <x:f>F55+E56</x:f>
        <x:v>-105025000</x:v>
      </x:c>
      <x:c r="G56" s="6" t="n">
        <x:v>1917000</x:v>
      </x:c>
      <x:c r="H56" s="6" t="n">
        <x:v>4860000</x:v>
      </x:c>
      <x:c r="I56" s="6" t="n">
        <x:v>167</x:v>
      </x:c>
      <x:c r="J56" s="6" t="n">
        <x:v>235</x:v>
      </x:c>
      <x:c r="K56" s="6" t="n">
        <x:v>325</x:v>
      </x:c>
      <x:c r="L56" s="6" t="n">
        <x:v>10</x:v>
      </x:c>
      <x:c r="M56" s="11" t="n">
        <x:v>0.8786507936507937</x:v>
      </x:c>
      <x:c r="N56" s="6" t="n">
        <x:v>2978000</x:v>
      </x:c>
    </x:row>
    <x:row r="57" ht="24" customHeight="1">
      <x:c r="A57" s="15" t="str">
        <x:v>累計／平均／最大</x:v>
      </x:c>
      <x:c r="B57" s="16"/>
      <x:c r="C57" s="16" t="n">
        <x:f>SUM(C6:C56)</x:f>
        <x:v>62761000</x:v>
      </x:c>
      <x:c r="D57" s="16" t="n">
        <x:f>SUM(D6:D56)</x:f>
        <x:v>167786000</x:v>
      </x:c>
      <x:c r="E57" s="16" t="n">
        <x:f>C57-D57</x:f>
        <x:v>-105025000</x:v>
      </x:c>
      <x:c r="F57" s="16" t="n">
        <x:f>F56</x:f>
        <x:v>-105025000</x:v>
      </x:c>
      <x:c r="G57" s="16" t="n">
        <x:f>SUM(G6:G56)</x:f>
        <x:v>47639000</x:v>
      </x:c>
      <x:c r="H57" s="16" t="n">
        <x:f>SUM(H6:H56)</x:f>
        <x:v>152664000</x:v>
      </x:c>
      <x:c r="I57" s="16" t="n">
        <x:f>SUM(I6:I56)</x:f>
        <x:v>5146</x:v>
      </x:c>
      <x:c r="J57" s="16" t="n">
        <x:f>SUM(J6:J56)</x:f>
        <x:v>13894</x:v>
      </x:c>
      <x:c r="K57" s="16" t="n">
        <x:f>SUM(K6:K56)</x:f>
        <x:v>17096</x:v>
      </x:c>
      <x:c r="L57" s="16" t="n">
        <x:f>MAX(L6:L56)</x:f>
        <x:v>10</x:v>
      </x:c>
      <x:c r="M57" s="17" t="n">
        <x:f>AVERAGE(M6:M56)</x:f>
        <x:v>0.9064634657281715</x:v>
      </x:c>
      <x:c r="N57" s="16" t="n">
        <x:f>MAX(N6:N56)</x:f>
        <x:v>4167000</x:v>
      </x:c>
    </x:row>
  </x:sheetData>
  <x:conditionalFormatting sqref="E6:F56">
    <x:cfRule type="cellIs" dxfId="17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03a6b9015f94d7b"/>
  </x:tableParts>
</x:worksheet>
</file>

<file path=xl/worksheets/sheet20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1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4" customHeight="1">
      <x:c r="A1" s="3" t="str">
        <x:v>日経 M11　各セッションの利益・損失・収支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A2" s="4" t="str">
        <x:v>2026/09/21〜10/26デイ・51完了場。日経mini／TOPIXmini各上限10枚・手数料0。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4" customHeight="1">
      <x:c r="A3" s="4" t="str">
        <x:v>180秒の時間加重平均を30秒前と比較。保有中も傾き比例で増減、利益追尾＋傾き反転で返済。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4" customHeight="1">
      <x:c r="A4" s="4" t="str">
        <x:v>利益・損失＝FIFO返済配賦別。親＝初回から全返済まで。ラージ気配による模型で、mini実約定の検証ではありません。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42" customHeight="1">
      <x:c r="A5" s="10" t="str">
        <x:v>セッション</x:v>
      </x:c>
      <x:c r="B5" s="10" t="str">
        <x:v>区分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親利益（円）</x:v>
      </x:c>
      <x:c r="H5" s="10" t="str">
        <x:v>親損失（円）</x:v>
      </x:c>
      <x:c r="I5" s="10" t="str">
        <x:v>初回件数</x:v>
      </x:c>
      <x:c r="J5" s="10" t="str">
        <x:v>追加件数</x:v>
      </x:c>
      <x:c r="K5" s="10" t="str">
        <x:v>縮小件数</x:v>
      </x:c>
      <x:c r="L5" s="10" t="str">
        <x:v>最大保有枚数</x:v>
      </x:c>
      <x:c r="M5" s="10" t="str">
        <x:v>保有時間率</x:v>
      </x:c>
      <x:c r="N5" s="10" t="str">
        <x:v>時価最大DD（円）</x:v>
      </x:c>
    </x:row>
    <x:row r="6" ht="24" customHeight="1">
      <x:c r="A6" s="2" t="str">
        <x:v>2026-09-21_Day</x:v>
      </x:c>
      <x:c r="B6" s="6" t="str">
        <x:v>デイ</x:v>
      </x:c>
      <x:c r="C6" s="6" t="n">
        <x:v>723000</x:v>
      </x:c>
      <x:c r="D6" s="6" t="n">
        <x:v>1849000</x:v>
      </x:c>
      <x:c r="E6" s="6" t="n">
        <x:f>C6-D6</x:f>
        <x:v>-1126000</x:v>
      </x:c>
      <x:c r="F6" s="6" t="n">
        <x:f>E6</x:f>
        <x:v>-1126000</x:v>
      </x:c>
      <x:c r="G6" s="6" t="n">
        <x:v>656000</x:v>
      </x:c>
      <x:c r="H6" s="6" t="n">
        <x:v>1782000</x:v>
      </x:c>
      <x:c r="I6" s="6" t="n">
        <x:v>108</x:v>
      </x:c>
      <x:c r="J6" s="6" t="n">
        <x:v>106</x:v>
      </x:c>
      <x:c r="K6" s="6" t="n">
        <x:v>116</x:v>
      </x:c>
      <x:c r="L6" s="6" t="n">
        <x:v>10</x:v>
      </x:c>
      <x:c r="M6" s="11" t="n">
        <x:v>0.7402777777777778</x:v>
      </x:c>
      <x:c r="N6" s="6" t="n">
        <x:v>1232000</x:v>
      </x:c>
    </x:row>
    <x:row r="7" ht="24" customHeight="1">
      <x:c r="A7" s="2" t="str">
        <x:v>2026-09-21_Night</x:v>
      </x:c>
      <x:c r="B7" s="6" t="str">
        <x:v>ナイト</x:v>
      </x:c>
      <x:c r="C7" s="6" t="n">
        <x:v>438000</x:v>
      </x:c>
      <x:c r="D7" s="6" t="n">
        <x:v>1450000</x:v>
      </x:c>
      <x:c r="E7" s="6" t="n">
        <x:f>C7-D7</x:f>
        <x:v>-1012000</x:v>
      </x:c>
      <x:c r="F7" s="6" t="n">
        <x:f>F6+E7</x:f>
        <x:v>-2138000</x:v>
      </x:c>
      <x:c r="G7" s="6" t="n">
        <x:v>286000</x:v>
      </x:c>
      <x:c r="H7" s="6" t="n">
        <x:v>1298000</x:v>
      </x:c>
      <x:c r="I7" s="6" t="n">
        <x:v>129</x:v>
      </x:c>
      <x:c r="J7" s="6" t="n">
        <x:v>220</x:v>
      </x:c>
      <x:c r="K7" s="6" t="n">
        <x:v>251</x:v>
      </x:c>
      <x:c r="L7" s="6" t="n">
        <x:v>10</x:v>
      </x:c>
      <x:c r="M7" s="11" t="n">
        <x:v>0.6377136752136752</x:v>
      </x:c>
      <x:c r="N7" s="6" t="n">
        <x:v>1028000</x:v>
      </x:c>
    </x:row>
    <x:row r="8" ht="24" customHeight="1">
      <x:c r="A8" s="2" t="str">
        <x:v>2026-09-22_Day</x:v>
      </x:c>
      <x:c r="B8" s="6" t="str">
        <x:v>デイ</x:v>
      </x:c>
      <x:c r="C8" s="6" t="n">
        <x:v>674000</x:v>
      </x:c>
      <x:c r="D8" s="6" t="n">
        <x:v>2541000</x:v>
      </x:c>
      <x:c r="E8" s="6" t="n">
        <x:f>C8-D8</x:f>
        <x:v>-1867000</x:v>
      </x:c>
      <x:c r="F8" s="6" t="n">
        <x:f>F7+E8</x:f>
        <x:v>-4005000</x:v>
      </x:c>
      <x:c r="G8" s="6" t="n">
        <x:v>539000</x:v>
      </x:c>
      <x:c r="H8" s="6" t="n">
        <x:v>2406000</x:v>
      </x:c>
      <x:c r="I8" s="6" t="n">
        <x:v>138</x:v>
      </x:c>
      <x:c r="J8" s="6" t="n">
        <x:v>187</x:v>
      </x:c>
      <x:c r="K8" s="6" t="n">
        <x:v>216</x:v>
      </x:c>
      <x:c r="L8" s="6" t="n">
        <x:v>10</x:v>
      </x:c>
      <x:c r="M8" s="11" t="n">
        <x:v>0.7617460317460317</x:v>
      </x:c>
      <x:c r="N8" s="6" t="n">
        <x:v>1986000</x:v>
      </x:c>
    </x:row>
    <x:row r="9" ht="24" customHeight="1">
      <x:c r="A9" s="2" t="str">
        <x:v>2026-09-22_Night</x:v>
      </x:c>
      <x:c r="B9" s="6" t="str">
        <x:v>ナイト</x:v>
      </x:c>
      <x:c r="C9" s="6" t="n">
        <x:v>984000</x:v>
      </x:c>
      <x:c r="D9" s="6" t="n">
        <x:v>3143000</x:v>
      </x:c>
      <x:c r="E9" s="6" t="n">
        <x:f>C9-D9</x:f>
        <x:v>-2159000</x:v>
      </x:c>
      <x:c r="F9" s="6" t="n">
        <x:f>F8+E9</x:f>
        <x:v>-6164000</x:v>
      </x:c>
      <x:c r="G9" s="6" t="n">
        <x:v>760000</x:v>
      </x:c>
      <x:c r="H9" s="6" t="n">
        <x:v>2919000</x:v>
      </x:c>
      <x:c r="I9" s="6" t="n">
        <x:v>193</x:v>
      </x:c>
      <x:c r="J9" s="6" t="n">
        <x:v>259</x:v>
      </x:c>
      <x:c r="K9" s="6" t="n">
        <x:v>307</x:v>
      </x:c>
      <x:c r="L9" s="6" t="n">
        <x:v>10</x:v>
      </x:c>
      <x:c r="M9" s="11" t="n">
        <x:v>0.7028846153846153</x:v>
      </x:c>
      <x:c r="N9" s="6" t="n">
        <x:v>2219000</x:v>
      </x:c>
    </x:row>
    <x:row r="10" ht="24" customHeight="1">
      <x:c r="A10" s="2" t="str">
        <x:v>2026-09-23_Day</x:v>
      </x:c>
      <x:c r="B10" s="6" t="str">
        <x:v>デイ</x:v>
      </x:c>
      <x:c r="C10" s="6" t="n">
        <x:v>390000</x:v>
      </x:c>
      <x:c r="D10" s="6" t="n">
        <x:v>1552000</x:v>
      </x:c>
      <x:c r="E10" s="6" t="n">
        <x:f>C10-D10</x:f>
        <x:v>-1162000</x:v>
      </x:c>
      <x:c r="F10" s="6" t="n">
        <x:f>F9+E10</x:f>
        <x:v>-7326000</x:v>
      </x:c>
      <x:c r="G10" s="6" t="n">
        <x:v>321000</x:v>
      </x:c>
      <x:c r="H10" s="6" t="n">
        <x:v>1483000</x:v>
      </x:c>
      <x:c r="I10" s="6" t="n">
        <x:v>108</x:v>
      </x:c>
      <x:c r="J10" s="6" t="n">
        <x:v>138</x:v>
      </x:c>
      <x:c r="K10" s="6" t="n">
        <x:v>135</x:v>
      </x:c>
      <x:c r="L10" s="6" t="n">
        <x:v>10</x:v>
      </x:c>
      <x:c r="M10" s="11" t="n">
        <x:v>0.7376587301587302</x:v>
      </x:c>
      <x:c r="N10" s="6" t="n">
        <x:v>1194000</x:v>
      </x:c>
    </x:row>
    <x:row r="11" ht="24" customHeight="1">
      <x:c r="A11" s="2" t="str">
        <x:v>2026-09-23_Night</x:v>
      </x:c>
      <x:c r="B11" s="6" t="str">
        <x:v>ナイト</x:v>
      </x:c>
      <x:c r="C11" s="6" t="n">
        <x:v>740000</x:v>
      </x:c>
      <x:c r="D11" s="6" t="n">
        <x:v>2379000</x:v>
      </x:c>
      <x:c r="E11" s="6" t="n">
        <x:f>C11-D11</x:f>
        <x:v>-1639000</x:v>
      </x:c>
      <x:c r="F11" s="6" t="n">
        <x:f>F10+E11</x:f>
        <x:v>-8965000</x:v>
      </x:c>
      <x:c r="G11" s="6" t="n">
        <x:v>582000</x:v>
      </x:c>
      <x:c r="H11" s="6" t="n">
        <x:v>2221000</x:v>
      </x:c>
      <x:c r="I11" s="6" t="n">
        <x:v>153</x:v>
      </x:c>
      <x:c r="J11" s="6" t="n">
        <x:v>267</x:v>
      </x:c>
      <x:c r="K11" s="6" t="n">
        <x:v>281</x:v>
      </x:c>
      <x:c r="L11" s="6" t="n">
        <x:v>10</x:v>
      </x:c>
      <x:c r="M11" s="11" t="n">
        <x:v>0.7633974358974359</x:v>
      </x:c>
      <x:c r="N11" s="6" t="n">
        <x:v>1644000</x:v>
      </x:c>
    </x:row>
    <x:row r="12" ht="24" customHeight="1">
      <x:c r="A12" s="2" t="str">
        <x:v>2026-09-24_Day</x:v>
      </x:c>
      <x:c r="B12" s="6" t="str">
        <x:v>デイ</x:v>
      </x:c>
      <x:c r="C12" s="6" t="n">
        <x:v>1681000</x:v>
      </x:c>
      <x:c r="D12" s="6" t="n">
        <x:v>3620000</x:v>
      </x:c>
      <x:c r="E12" s="6" t="n">
        <x:f>C12-D12</x:f>
        <x:v>-1939000</x:v>
      </x:c>
      <x:c r="F12" s="6" t="n">
        <x:f>F11+E12</x:f>
        <x:v>-10904000</x:v>
      </x:c>
      <x:c r="G12" s="6" t="n">
        <x:v>1425000</x:v>
      </x:c>
      <x:c r="H12" s="6" t="n">
        <x:v>3364000</x:v>
      </x:c>
      <x:c r="I12" s="6" t="n">
        <x:v>194</x:v>
      </x:c>
      <x:c r="J12" s="6" t="n">
        <x:v>363</x:v>
      </x:c>
      <x:c r="K12" s="6" t="n">
        <x:v>392</x:v>
      </x:c>
      <x:c r="L12" s="6" t="n">
        <x:v>10</x:v>
      </x:c>
      <x:c r="M12" s="11" t="n">
        <x:v>0.8373412698412699</x:v>
      </x:c>
      <x:c r="N12" s="6" t="n">
        <x:v>2000000</x:v>
      </x:c>
    </x:row>
    <x:row r="13" ht="24" customHeight="1">
      <x:c r="A13" s="2" t="str">
        <x:v>2026-09-24_Night</x:v>
      </x:c>
      <x:c r="B13" s="6" t="str">
        <x:v>ナイト</x:v>
      </x:c>
      <x:c r="C13" s="6" t="n">
        <x:v>1652000</x:v>
      </x:c>
      <x:c r="D13" s="6" t="n">
        <x:v>4599000</x:v>
      </x:c>
      <x:c r="E13" s="6" t="n">
        <x:f>C13-D13</x:f>
        <x:v>-2947000</x:v>
      </x:c>
      <x:c r="F13" s="6" t="n">
        <x:f>F12+E13</x:f>
        <x:v>-13851000</x:v>
      </x:c>
      <x:c r="G13" s="6" t="n">
        <x:v>1305000</x:v>
      </x:c>
      <x:c r="H13" s="6" t="n">
        <x:v>4252000</x:v>
      </x:c>
      <x:c r="I13" s="6" t="n">
        <x:v>262</x:v>
      </x:c>
      <x:c r="J13" s="6" t="n">
        <x:v>390</x:v>
      </x:c>
      <x:c r="K13" s="6" t="n">
        <x:v>482</x:v>
      </x:c>
      <x:c r="L13" s="6" t="n">
        <x:v>10</x:v>
      </x:c>
      <x:c r="M13" s="11" t="n">
        <x:v>0.7871367521367522</x:v>
      </x:c>
      <x:c r="N13" s="6" t="n">
        <x:v>3065000</x:v>
      </x:c>
    </x:row>
    <x:row r="14" ht="24" customHeight="1">
      <x:c r="A14" s="2" t="str">
        <x:v>2026-09-25_Day</x:v>
      </x:c>
      <x:c r="B14" s="6" t="str">
        <x:v>デイ</x:v>
      </x:c>
      <x:c r="C14" s="6" t="n">
        <x:v>1014000</x:v>
      </x:c>
      <x:c r="D14" s="6" t="n">
        <x:v>3523000</x:v>
      </x:c>
      <x:c r="E14" s="6" t="n">
        <x:f>C14-D14</x:f>
        <x:v>-2509000</x:v>
      </x:c>
      <x:c r="F14" s="6" t="n">
        <x:f>F13+E14</x:f>
        <x:v>-16360000</x:v>
      </x:c>
      <x:c r="G14" s="6" t="n">
        <x:v>817000</x:v>
      </x:c>
      <x:c r="H14" s="6" t="n">
        <x:v>3326000</x:v>
      </x:c>
      <x:c r="I14" s="6" t="n">
        <x:v>198</x:v>
      </x:c>
      <x:c r="J14" s="6" t="n">
        <x:v>363</x:v>
      </x:c>
      <x:c r="K14" s="6" t="n">
        <x:v>435</x:v>
      </x:c>
      <x:c r="L14" s="6" t="n">
        <x:v>10</x:v>
      </x:c>
      <x:c r="M14" s="11" t="n">
        <x:v>0.819484126984127</x:v>
      </x:c>
      <x:c r="N14" s="6" t="n">
        <x:v>2516000</x:v>
      </x:c>
    </x:row>
    <x:row r="15" ht="24" customHeight="1">
      <x:c r="A15" s="2" t="str">
        <x:v>2026-09-25_Night</x:v>
      </x:c>
      <x:c r="B15" s="6" t="str">
        <x:v>ナイト</x:v>
      </x:c>
      <x:c r="C15" s="6" t="n">
        <x:v>1211000</x:v>
      </x:c>
      <x:c r="D15" s="6" t="n">
        <x:v>3366000</x:v>
      </x:c>
      <x:c r="E15" s="6" t="n">
        <x:f>C15-D15</x:f>
        <x:v>-2155000</x:v>
      </x:c>
      <x:c r="F15" s="6" t="n">
        <x:f>F14+E15</x:f>
        <x:v>-18515000</x:v>
      </x:c>
      <x:c r="G15" s="6" t="n">
        <x:v>997000</x:v>
      </x:c>
      <x:c r="H15" s="6" t="n">
        <x:v>3152000</x:v>
      </x:c>
      <x:c r="I15" s="6" t="n">
        <x:v>200</x:v>
      </x:c>
      <x:c r="J15" s="6" t="n">
        <x:v>315</x:v>
      </x:c>
      <x:c r="K15" s="6" t="n">
        <x:v>330</x:v>
      </x:c>
      <x:c r="L15" s="6" t="n">
        <x:v>10</x:v>
      </x:c>
      <x:c r="M15" s="11" t="n">
        <x:v>0.7434188034188034</x:v>
      </x:c>
      <x:c r="N15" s="6" t="n">
        <x:v>2227000</x:v>
      </x:c>
    </x:row>
    <x:row r="16" ht="24" customHeight="1">
      <x:c r="A16" s="2" t="str">
        <x:v>2026-09-28_Day</x:v>
      </x:c>
      <x:c r="B16" s="6" t="str">
        <x:v>デイ</x:v>
      </x:c>
      <x:c r="C16" s="6" t="n">
        <x:v>1442000</x:v>
      </x:c>
      <x:c r="D16" s="6" t="n">
        <x:v>4507000</x:v>
      </x:c>
      <x:c r="E16" s="6" t="n">
        <x:f>C16-D16</x:f>
        <x:v>-3065000</x:v>
      </x:c>
      <x:c r="F16" s="6" t="n">
        <x:f>F15+E16</x:f>
        <x:v>-21580000</x:v>
      </x:c>
      <x:c r="G16" s="6" t="n">
        <x:v>1246000</x:v>
      </x:c>
      <x:c r="H16" s="6" t="n">
        <x:v>4311000</x:v>
      </x:c>
      <x:c r="I16" s="6" t="n">
        <x:v>233</x:v>
      </x:c>
      <x:c r="J16" s="6" t="n">
        <x:v>376</x:v>
      </x:c>
      <x:c r="K16" s="6" t="n">
        <x:v>406</x:v>
      </x:c>
      <x:c r="L16" s="6" t="n">
        <x:v>10</x:v>
      </x:c>
      <x:c r="M16" s="11" t="n">
        <x:v>0.819484126984127</x:v>
      </x:c>
      <x:c r="N16" s="6" t="n">
        <x:v>3175000</x:v>
      </x:c>
    </x:row>
    <x:row r="17" ht="24" customHeight="1">
      <x:c r="A17" s="2" t="str">
        <x:v>2026-09-28_Night</x:v>
      </x:c>
      <x:c r="B17" s="6" t="str">
        <x:v>ナイト</x:v>
      </x:c>
      <x:c r="C17" s="6" t="n">
        <x:v>1590000</x:v>
      </x:c>
      <x:c r="D17" s="6" t="n">
        <x:v>4373000</x:v>
      </x:c>
      <x:c r="E17" s="6" t="n">
        <x:f>C17-D17</x:f>
        <x:v>-2783000</x:v>
      </x:c>
      <x:c r="F17" s="6" t="n">
        <x:f>F16+E17</x:f>
        <x:v>-24363000</x:v>
      </x:c>
      <x:c r="G17" s="6" t="n">
        <x:v>1397000</x:v>
      </x:c>
      <x:c r="H17" s="6" t="n">
        <x:v>4180000</x:v>
      </x:c>
      <x:c r="I17" s="6" t="n">
        <x:v>250</x:v>
      </x:c>
      <x:c r="J17" s="6" t="n">
        <x:v>317</x:v>
      </x:c>
      <x:c r="K17" s="6" t="n">
        <x:v>371</x:v>
      </x:c>
      <x:c r="L17" s="6" t="n">
        <x:v>10</x:v>
      </x:c>
      <x:c r="M17" s="11" t="n">
        <x:v>0.7632478632478632</x:v>
      </x:c>
      <x:c r="N17" s="6" t="n">
        <x:v>2805000</x:v>
      </x:c>
    </x:row>
    <x:row r="18" ht="24" customHeight="1">
      <x:c r="A18" s="2" t="str">
        <x:v>2026-09-29_Day</x:v>
      </x:c>
      <x:c r="B18" s="6" t="str">
        <x:v>デイ</x:v>
      </x:c>
      <x:c r="C18" s="6" t="n">
        <x:v>1291000</x:v>
      </x:c>
      <x:c r="D18" s="6" t="n">
        <x:v>4988000</x:v>
      </x:c>
      <x:c r="E18" s="6" t="n">
        <x:f>C18-D18</x:f>
        <x:v>-3697000</x:v>
      </x:c>
      <x:c r="F18" s="6" t="n">
        <x:f>F17+E18</x:f>
        <x:v>-28060000</x:v>
      </x:c>
      <x:c r="G18" s="6" t="n">
        <x:v>1081000</x:v>
      </x:c>
      <x:c r="H18" s="6" t="n">
        <x:v>4778000</x:v>
      </x:c>
      <x:c r="I18" s="6" t="n">
        <x:v>223</x:v>
      </x:c>
      <x:c r="J18" s="6" t="n">
        <x:v>393</x:v>
      </x:c>
      <x:c r="K18" s="6" t="n">
        <x:v>446</x:v>
      </x:c>
      <x:c r="L18" s="6" t="n">
        <x:v>10</x:v>
      </x:c>
      <x:c r="M18" s="11" t="n">
        <x:v>0.8216269841269841</x:v>
      </x:c>
      <x:c r="N18" s="6" t="n">
        <x:v>3758000</x:v>
      </x:c>
    </x:row>
    <x:row r="19" ht="24" customHeight="1">
      <x:c r="A19" s="2" t="str">
        <x:v>2026-09-29_Night</x:v>
      </x:c>
      <x:c r="B19" s="6" t="str">
        <x:v>ナイト</x:v>
      </x:c>
      <x:c r="C19" s="6" t="n">
        <x:v>1098000</x:v>
      </x:c>
      <x:c r="D19" s="6" t="n">
        <x:v>4209000</x:v>
      </x:c>
      <x:c r="E19" s="6" t="n">
        <x:f>C19-D19</x:f>
        <x:v>-3111000</x:v>
      </x:c>
      <x:c r="F19" s="6" t="n">
        <x:f>F18+E19</x:f>
        <x:v>-31171000</x:v>
      </x:c>
      <x:c r="G19" s="6" t="n">
        <x:v>795000</x:v>
      </x:c>
      <x:c r="H19" s="6" t="n">
        <x:v>3906000</x:v>
      </x:c>
      <x:c r="I19" s="6" t="n">
        <x:v>236</x:v>
      </x:c>
      <x:c r="J19" s="6" t="n">
        <x:v>385</x:v>
      </x:c>
      <x:c r="K19" s="6" t="n">
        <x:v>416</x:v>
      </x:c>
      <x:c r="L19" s="6" t="n">
        <x:v>10</x:v>
      </x:c>
      <x:c r="M19" s="11" t="n">
        <x:v>0.8174786324786325</x:v>
      </x:c>
      <x:c r="N19" s="6" t="n">
        <x:v>3117000</x:v>
      </x:c>
    </x:row>
    <x:row r="20" ht="24" customHeight="1">
      <x:c r="A20" s="2" t="str">
        <x:v>2026-09-30_Day</x:v>
      </x:c>
      <x:c r="B20" s="6" t="str">
        <x:v>デイ</x:v>
      </x:c>
      <x:c r="C20" s="6" t="n">
        <x:v>1460000</x:v>
      </x:c>
      <x:c r="D20" s="6" t="n">
        <x:v>4178000</x:v>
      </x:c>
      <x:c r="E20" s="6" t="n">
        <x:f>C20-D20</x:f>
        <x:v>-2718000</x:v>
      </x:c>
      <x:c r="F20" s="6" t="n">
        <x:f>F19+E20</x:f>
        <x:v>-33889000</x:v>
      </x:c>
      <x:c r="G20" s="6" t="n">
        <x:v>1205000</x:v>
      </x:c>
      <x:c r="H20" s="6" t="n">
        <x:v>3923000</x:v>
      </x:c>
      <x:c r="I20" s="6" t="n">
        <x:v>196</x:v>
      </x:c>
      <x:c r="J20" s="6" t="n">
        <x:v>413</x:v>
      </x:c>
      <x:c r="K20" s="6" t="n">
        <x:v>453</x:v>
      </x:c>
      <x:c r="L20" s="6" t="n">
        <x:v>10</x:v>
      </x:c>
      <x:c r="M20" s="11" t="n">
        <x:v>0.8452380952380952</x:v>
      </x:c>
      <x:c r="N20" s="6" t="n">
        <x:v>2736000</x:v>
      </x:c>
    </x:row>
    <x:row r="21" ht="24" customHeight="1">
      <x:c r="A21" s="2" t="str">
        <x:v>2026-09-30_Night</x:v>
      </x:c>
      <x:c r="B21" s="6" t="str">
        <x:v>ナイト</x:v>
      </x:c>
      <x:c r="C21" s="6" t="n">
        <x:v>1674000</x:v>
      </x:c>
      <x:c r="D21" s="6" t="n">
        <x:v>4802000</x:v>
      </x:c>
      <x:c r="E21" s="6" t="n">
        <x:f>C21-D21</x:f>
        <x:v>-3128000</x:v>
      </x:c>
      <x:c r="F21" s="6" t="n">
        <x:f>F20+E21</x:f>
        <x:v>-37017000</x:v>
      </x:c>
      <x:c r="G21" s="6" t="n">
        <x:v>1237000</x:v>
      </x:c>
      <x:c r="H21" s="6" t="n">
        <x:v>4365000</x:v>
      </x:c>
      <x:c r="I21" s="6" t="n">
        <x:v>238</x:v>
      </x:c>
      <x:c r="J21" s="6" t="n">
        <x:v>449</x:v>
      </x:c>
      <x:c r="K21" s="6" t="n">
        <x:v>478</x:v>
      </x:c>
      <x:c r="L21" s="6" t="n">
        <x:v>10</x:v>
      </x:c>
      <x:c r="M21" s="11" t="n">
        <x:v>0.7513247863247863</x:v>
      </x:c>
      <x:c r="N21" s="6" t="n">
        <x:v>3220000</x:v>
      </x:c>
    </x:row>
    <x:row r="22" ht="24" customHeight="1">
      <x:c r="A22" s="2" t="str">
        <x:v>2026-10-01_Day</x:v>
      </x:c>
      <x:c r="B22" s="6" t="str">
        <x:v>デイ</x:v>
      </x:c>
      <x:c r="C22" s="6" t="n">
        <x:v>1373000</x:v>
      </x:c>
      <x:c r="D22" s="6" t="n">
        <x:v>3466000</x:v>
      </x:c>
      <x:c r="E22" s="6" t="n">
        <x:f>C22-D22</x:f>
        <x:v>-2093000</x:v>
      </x:c>
      <x:c r="F22" s="6" t="n">
        <x:f>F21+E22</x:f>
        <x:v>-39110000</x:v>
      </x:c>
      <x:c r="G22" s="6" t="n">
        <x:v>1099000</x:v>
      </x:c>
      <x:c r="H22" s="6" t="n">
        <x:v>3192000</x:v>
      </x:c>
      <x:c r="I22" s="6" t="n">
        <x:v>165</x:v>
      </x:c>
      <x:c r="J22" s="6" t="n">
        <x:v>408</x:v>
      </x:c>
      <x:c r="K22" s="6" t="n">
        <x:v>457</x:v>
      </x:c>
      <x:c r="L22" s="6" t="n">
        <x:v>10</x:v>
      </x:c>
      <x:c r="M22" s="11" t="n">
        <x:v>0.8590079365079365</x:v>
      </x:c>
      <x:c r="N22" s="6" t="n">
        <x:v>2098000</x:v>
      </x:c>
    </x:row>
    <x:row r="23" ht="24" customHeight="1">
      <x:c r="A23" s="2" t="str">
        <x:v>2026-10-01_Night</x:v>
      </x:c>
      <x:c r="B23" s="6" t="str">
        <x:v>ナイト</x:v>
      </x:c>
      <x:c r="C23" s="6" t="n">
        <x:v>1880000</x:v>
      </x:c>
      <x:c r="D23" s="6" t="n">
        <x:v>6170000</x:v>
      </x:c>
      <x:c r="E23" s="6" t="n">
        <x:f>C23-D23</x:f>
        <x:v>-4290000</x:v>
      </x:c>
      <x:c r="F23" s="6" t="n">
        <x:f>F22+E23</x:f>
        <x:v>-43400000</x:v>
      </x:c>
      <x:c r="G23" s="6" t="n">
        <x:v>1391000</x:v>
      </x:c>
      <x:c r="H23" s="6" t="n">
        <x:v>5681000</x:v>
      </x:c>
      <x:c r="I23" s="6" t="n">
        <x:v>285</x:v>
      </x:c>
      <x:c r="J23" s="6" t="n">
        <x:v>487</x:v>
      </x:c>
      <x:c r="K23" s="6" t="n">
        <x:v>541</x:v>
      </x:c>
      <x:c r="L23" s="6" t="n">
        <x:v>10</x:v>
      </x:c>
      <x:c r="M23" s="11" t="n">
        <x:v>0.801559829059829</x:v>
      </x:c>
      <x:c r="N23" s="6" t="n">
        <x:v>4300000</x:v>
      </x:c>
    </x:row>
    <x:row r="24" ht="24" customHeight="1">
      <x:c r="A24" s="2" t="str">
        <x:v>2026-10-02_Day</x:v>
      </x:c>
      <x:c r="B24" s="6" t="str">
        <x:v>デイ</x:v>
      </x:c>
      <x:c r="C24" s="6" t="n">
        <x:v>1121000</x:v>
      </x:c>
      <x:c r="D24" s="6" t="n">
        <x:v>3952000</x:v>
      </x:c>
      <x:c r="E24" s="6" t="n">
        <x:f>C24-D24</x:f>
        <x:v>-2831000</x:v>
      </x:c>
      <x:c r="F24" s="6" t="n">
        <x:f>F23+E24</x:f>
        <x:v>-46231000</x:v>
      </x:c>
      <x:c r="G24" s="6" t="n">
        <x:v>856000</x:v>
      </x:c>
      <x:c r="H24" s="6" t="n">
        <x:v>3687000</x:v>
      </x:c>
      <x:c r="I24" s="6" t="n">
        <x:v>167</x:v>
      </x:c>
      <x:c r="J24" s="6" t="n">
        <x:v>410</x:v>
      </x:c>
      <x:c r="K24" s="6" t="n">
        <x:v>466</x:v>
      </x:c>
      <x:c r="L24" s="6" t="n">
        <x:v>10</x:v>
      </x:c>
      <x:c r="M24" s="11" t="n">
        <x:v>0.8507936507936508</x:v>
      </x:c>
      <x:c r="N24" s="6" t="n">
        <x:v>2947000</x:v>
      </x:c>
    </x:row>
    <x:row r="25" ht="24" customHeight="1">
      <x:c r="A25" s="2" t="str">
        <x:v>2026-10-02_Night</x:v>
      </x:c>
      <x:c r="B25" s="6" t="str">
        <x:v>ナイト</x:v>
      </x:c>
      <x:c r="C25" s="6" t="n">
        <x:v>1700000</x:v>
      </x:c>
      <x:c r="D25" s="6" t="n">
        <x:v>4809000</x:v>
      </x:c>
      <x:c r="E25" s="6" t="n">
        <x:f>C25-D25</x:f>
        <x:v>-3109000</x:v>
      </x:c>
      <x:c r="F25" s="6" t="n">
        <x:f>F24+E25</x:f>
        <x:v>-49340000</x:v>
      </x:c>
      <x:c r="G25" s="6" t="n">
        <x:v>1381000</x:v>
      </x:c>
      <x:c r="H25" s="6" t="n">
        <x:v>4490000</x:v>
      </x:c>
      <x:c r="I25" s="6" t="n">
        <x:v>255</x:v>
      </x:c>
      <x:c r="J25" s="6" t="n">
        <x:v>477</x:v>
      </x:c>
      <x:c r="K25" s="6" t="n">
        <x:v>507</x:v>
      </x:c>
      <x:c r="L25" s="6" t="n">
        <x:v>10</x:v>
      </x:c>
      <x:c r="M25" s="11" t="n">
        <x:v>0.8201495726495727</x:v>
      </x:c>
      <x:c r="N25" s="6" t="n">
        <x:v>3142000</x:v>
      </x:c>
    </x:row>
    <x:row r="26" ht="24" customHeight="1">
      <x:c r="A26" s="2" t="str">
        <x:v>2026-10-05_Day</x:v>
      </x:c>
      <x:c r="B26" s="6" t="str">
        <x:v>デイ</x:v>
      </x:c>
      <x:c r="C26" s="6" t="n">
        <x:v>969000</x:v>
      </x:c>
      <x:c r="D26" s="6" t="n">
        <x:v>2947000</x:v>
      </x:c>
      <x:c r="E26" s="6" t="n">
        <x:f>C26-D26</x:f>
        <x:v>-1978000</x:v>
      </x:c>
      <x:c r="F26" s="6" t="n">
        <x:f>F25+E26</x:f>
        <x:v>-51318000</x:v>
      </x:c>
      <x:c r="G26" s="6" t="n">
        <x:v>716000</x:v>
      </x:c>
      <x:c r="H26" s="6" t="n">
        <x:v>2694000</x:v>
      </x:c>
      <x:c r="I26" s="6" t="n">
        <x:v>165</x:v>
      </x:c>
      <x:c r="J26" s="6" t="n">
        <x:v>411</x:v>
      </x:c>
      <x:c r="K26" s="6" t="n">
        <x:v>447</x:v>
      </x:c>
      <x:c r="L26" s="6" t="n">
        <x:v>10</x:v>
      </x:c>
      <x:c r="M26" s="11" t="n">
        <x:v>0.844563492063492</x:v>
      </x:c>
      <x:c r="N26" s="6" t="n">
        <x:v>2007000</x:v>
      </x:c>
    </x:row>
    <x:row r="27" ht="24" customHeight="1">
      <x:c r="A27" s="2" t="str">
        <x:v>2026-10-05_Night</x:v>
      </x:c>
      <x:c r="B27" s="6" t="str">
        <x:v>ナイト</x:v>
      </x:c>
      <x:c r="C27" s="6" t="n">
        <x:v>977000</x:v>
      </x:c>
      <x:c r="D27" s="6" t="n">
        <x:v>3302000</x:v>
      </x:c>
      <x:c r="E27" s="6" t="n">
        <x:f>C27-D27</x:f>
        <x:v>-2325000</x:v>
      </x:c>
      <x:c r="F27" s="6" t="n">
        <x:f>F26+E27</x:f>
        <x:v>-53643000</x:v>
      </x:c>
      <x:c r="G27" s="6" t="n">
        <x:v>765000</x:v>
      </x:c>
      <x:c r="H27" s="6" t="n">
        <x:v>3090000</x:v>
      </x:c>
      <x:c r="I27" s="6" t="n">
        <x:v>213</x:v>
      </x:c>
      <x:c r="J27" s="6" t="n">
        <x:v>381</x:v>
      </x:c>
      <x:c r="K27" s="6" t="n">
        <x:v>401</x:v>
      </x:c>
      <x:c r="L27" s="6" t="n">
        <x:v>10</x:v>
      </x:c>
      <x:c r="M27" s="11" t="n">
        <x:v>0.7449145299145299</x:v>
      </x:c>
      <x:c r="N27" s="6" t="n">
        <x:v>2439000</x:v>
      </x:c>
    </x:row>
    <x:row r="28" ht="24" customHeight="1">
      <x:c r="A28" s="2" t="str">
        <x:v>2026-10-06_Day</x:v>
      </x:c>
      <x:c r="B28" s="6" t="str">
        <x:v>デイ</x:v>
      </x:c>
      <x:c r="C28" s="6" t="n">
        <x:v>845000</x:v>
      </x:c>
      <x:c r="D28" s="6" t="n">
        <x:v>2658000</x:v>
      </x:c>
      <x:c r="E28" s="6" t="n">
        <x:f>C28-D28</x:f>
        <x:v>-1813000</x:v>
      </x:c>
      <x:c r="F28" s="6" t="n">
        <x:f>F27+E28</x:f>
        <x:v>-55456000</x:v>
      </x:c>
      <x:c r="G28" s="6" t="n">
        <x:v>652000</x:v>
      </x:c>
      <x:c r="H28" s="6" t="n">
        <x:v>2465000</x:v>
      </x:c>
      <x:c r="I28" s="6" t="n">
        <x:v>162</x:v>
      </x:c>
      <x:c r="J28" s="6" t="n">
        <x:v>351</x:v>
      </x:c>
      <x:c r="K28" s="6" t="n">
        <x:v>420</x:v>
      </x:c>
      <x:c r="L28" s="6" t="n">
        <x:v>10</x:v>
      </x:c>
      <x:c r="M28" s="11" t="n">
        <x:v>0.8406349206349206</x:v>
      </x:c>
      <x:c r="N28" s="6" t="n">
        <x:v>1813000</x:v>
      </x:c>
    </x:row>
    <x:row r="29" ht="24" customHeight="1">
      <x:c r="A29" s="2" t="str">
        <x:v>2026-10-06_Night</x:v>
      </x:c>
      <x:c r="B29" s="6" t="str">
        <x:v>ナイト</x:v>
      </x:c>
      <x:c r="C29" s="6" t="n">
        <x:v>633000</x:v>
      </x:c>
      <x:c r="D29" s="6" t="n">
        <x:v>2506000</x:v>
      </x:c>
      <x:c r="E29" s="6" t="n">
        <x:f>C29-D29</x:f>
        <x:v>-1873000</x:v>
      </x:c>
      <x:c r="F29" s="6" t="n">
        <x:f>F28+E29</x:f>
        <x:v>-57329000</x:v>
      </x:c>
      <x:c r="G29" s="6" t="n">
        <x:v>469000</x:v>
      </x:c>
      <x:c r="H29" s="6" t="n">
        <x:v>2342000</x:v>
      </x:c>
      <x:c r="I29" s="6" t="n">
        <x:v>170</x:v>
      </x:c>
      <x:c r="J29" s="6" t="n">
        <x:v>370</x:v>
      </x:c>
      <x:c r="K29" s="6" t="n">
        <x:v>391</x:v>
      </x:c>
      <x:c r="L29" s="6" t="n">
        <x:v>10</x:v>
      </x:c>
      <x:c r="M29" s="11" t="n">
        <x:v>0.7413675213675214</x:v>
      </x:c>
      <x:c r="N29" s="6" t="n">
        <x:v>1888000</x:v>
      </x:c>
    </x:row>
    <x:row r="30" ht="24" customHeight="1">
      <x:c r="A30" s="2" t="str">
        <x:v>2026-10-07_Day</x:v>
      </x:c>
      <x:c r="B30" s="6" t="str">
        <x:v>デイ</x:v>
      </x:c>
      <x:c r="C30" s="6" t="n">
        <x:v>698000</x:v>
      </x:c>
      <x:c r="D30" s="6" t="n">
        <x:v>2415000</x:v>
      </x:c>
      <x:c r="E30" s="6" t="n">
        <x:f>C30-D30</x:f>
        <x:v>-1717000</x:v>
      </x:c>
      <x:c r="F30" s="6" t="n">
        <x:f>F29+E30</x:f>
        <x:v>-59046000</x:v>
      </x:c>
      <x:c r="G30" s="6" t="n">
        <x:v>531000</x:v>
      </x:c>
      <x:c r="H30" s="6" t="n">
        <x:v>2248000</x:v>
      </x:c>
      <x:c r="I30" s="6" t="n">
        <x:v>144</x:v>
      </x:c>
      <x:c r="J30" s="6" t="n">
        <x:v>373</x:v>
      </x:c>
      <x:c r="K30" s="6" t="n">
        <x:v>414</x:v>
      </x:c>
      <x:c r="L30" s="6" t="n">
        <x:v>10</x:v>
      </x:c>
      <x:c r="M30" s="11" t="n">
        <x:v>0.8350396825396825</x:v>
      </x:c>
      <x:c r="N30" s="6" t="n">
        <x:v>1731000</x:v>
      </x:c>
    </x:row>
    <x:row r="31" ht="24" customHeight="1">
      <x:c r="A31" s="2" t="str">
        <x:v>2026-10-07_Night</x:v>
      </x:c>
      <x:c r="B31" s="6" t="str">
        <x:v>ナイト</x:v>
      </x:c>
      <x:c r="C31" s="6" t="n">
        <x:v>641000</x:v>
      </x:c>
      <x:c r="D31" s="6" t="n">
        <x:v>3375000</x:v>
      </x:c>
      <x:c r="E31" s="6" t="n">
        <x:f>C31-D31</x:f>
        <x:v>-2734000</x:v>
      </x:c>
      <x:c r="F31" s="6" t="n">
        <x:f>F30+E31</x:f>
        <x:v>-61780000</x:v>
      </x:c>
      <x:c r="G31" s="6" t="n">
        <x:v>368000</x:v>
      </x:c>
      <x:c r="H31" s="6" t="n">
        <x:v>3102000</x:v>
      </x:c>
      <x:c r="I31" s="6" t="n">
        <x:v>219</x:v>
      </x:c>
      <x:c r="J31" s="6" t="n">
        <x:v>459</x:v>
      </x:c>
      <x:c r="K31" s="6" t="n">
        <x:v>557</x:v>
      </x:c>
      <x:c r="L31" s="6" t="n">
        <x:v>10</x:v>
      </x:c>
      <x:c r="M31" s="11" t="n">
        <x:v>0.8081410256410256</x:v>
      </x:c>
      <x:c r="N31" s="6" t="n">
        <x:v>2758000</x:v>
      </x:c>
    </x:row>
    <x:row r="32" ht="24" customHeight="1">
      <x:c r="A32" s="2" t="str">
        <x:v>2026-10-08_Day</x:v>
      </x:c>
      <x:c r="B32" s="6" t="str">
        <x:v>デイ</x:v>
      </x:c>
      <x:c r="C32" s="6" t="n">
        <x:v>1331000</x:v>
      </x:c>
      <x:c r="D32" s="6" t="n">
        <x:v>3469000</x:v>
      </x:c>
      <x:c r="E32" s="6" t="n">
        <x:f>C32-D32</x:f>
        <x:v>-2138000</x:v>
      </x:c>
      <x:c r="F32" s="6" t="n">
        <x:f>F31+E32</x:f>
        <x:v>-63918000</x:v>
      </x:c>
      <x:c r="G32" s="6" t="n">
        <x:v>1034000</x:v>
      </x:c>
      <x:c r="H32" s="6" t="n">
        <x:v>3172000</x:v>
      </x:c>
      <x:c r="I32" s="6" t="n">
        <x:v>167</x:v>
      </x:c>
      <x:c r="J32" s="6" t="n">
        <x:v>415</x:v>
      </x:c>
      <x:c r="K32" s="6" t="n">
        <x:v>450</x:v>
      </x:c>
      <x:c r="L32" s="6" t="n">
        <x:v>10</x:v>
      </x:c>
      <x:c r="M32" s="11" t="n">
        <x:v>0.8607539682539682</x:v>
      </x:c>
      <x:c r="N32" s="6" t="n">
        <x:v>2236000</x:v>
      </x:c>
    </x:row>
    <x:row r="33" ht="24" customHeight="1">
      <x:c r="A33" s="2" t="str">
        <x:v>2026-10-08_Night</x:v>
      </x:c>
      <x:c r="B33" s="6" t="str">
        <x:v>ナイト</x:v>
      </x:c>
      <x:c r="C33" s="6" t="n">
        <x:v>1834000</x:v>
      </x:c>
      <x:c r="D33" s="6" t="n">
        <x:v>5940000</x:v>
      </x:c>
      <x:c r="E33" s="6" t="n">
        <x:f>C33-D33</x:f>
        <x:v>-4106000</x:v>
      </x:c>
      <x:c r="F33" s="6" t="n">
        <x:f>F32+E33</x:f>
        <x:v>-68024000</x:v>
      </x:c>
      <x:c r="G33" s="6" t="n">
        <x:v>1412000</x:v>
      </x:c>
      <x:c r="H33" s="6" t="n">
        <x:v>5518000</x:v>
      </x:c>
      <x:c r="I33" s="6" t="n">
        <x:v>289</x:v>
      </x:c>
      <x:c r="J33" s="6" t="n">
        <x:v>470</x:v>
      </x:c>
      <x:c r="K33" s="6" t="n">
        <x:v>537</x:v>
      </x:c>
      <x:c r="L33" s="6" t="n">
        <x:v>10</x:v>
      </x:c>
      <x:c r="M33" s="11" t="n">
        <x:v>0.7706196581196582</x:v>
      </x:c>
      <x:c r="N33" s="6" t="n">
        <x:v>4115000</x:v>
      </x:c>
    </x:row>
    <x:row r="34" ht="24" customHeight="1">
      <x:c r="A34" s="2" t="str">
        <x:v>2026-10-09_Day</x:v>
      </x:c>
      <x:c r="B34" s="6" t="str">
        <x:v>デイ</x:v>
      </x:c>
      <x:c r="C34" s="6" t="n">
        <x:v>1526000</x:v>
      </x:c>
      <x:c r="D34" s="6" t="n">
        <x:v>3774000</x:v>
      </x:c>
      <x:c r="E34" s="6" t="n">
        <x:f>C34-D34</x:f>
        <x:v>-2248000</x:v>
      </x:c>
      <x:c r="F34" s="6" t="n">
        <x:f>F33+E34</x:f>
        <x:v>-70272000</x:v>
      </x:c>
      <x:c r="G34" s="6" t="n">
        <x:v>1318000</x:v>
      </x:c>
      <x:c r="H34" s="6" t="n">
        <x:v>3566000</x:v>
      </x:c>
      <x:c r="I34" s="6" t="n">
        <x:v>165</x:v>
      </x:c>
      <x:c r="J34" s="6" t="n">
        <x:v>352</x:v>
      </x:c>
      <x:c r="K34" s="6" t="n">
        <x:v>394</x:v>
      </x:c>
      <x:c r="L34" s="6" t="n">
        <x:v>10</x:v>
      </x:c>
      <x:c r="M34" s="11" t="n">
        <x:v>0.8417063492063492</x:v>
      </x:c>
      <x:c r="N34" s="6" t="n">
        <x:v>2436000</x:v>
      </x:c>
    </x:row>
    <x:row r="35" ht="24" customHeight="1">
      <x:c r="A35" s="2" t="str">
        <x:v>2026-10-09_Night</x:v>
      </x:c>
      <x:c r="B35" s="6" t="str">
        <x:v>ナイト</x:v>
      </x:c>
      <x:c r="C35" s="6" t="n">
        <x:v>453000</x:v>
      </x:c>
      <x:c r="D35" s="6" t="n">
        <x:v>2933000</x:v>
      </x:c>
      <x:c r="E35" s="6" t="n">
        <x:f>C35-D35</x:f>
        <x:v>-2480000</x:v>
      </x:c>
      <x:c r="F35" s="6" t="n">
        <x:f>F34+E35</x:f>
        <x:v>-72752000</x:v>
      </x:c>
      <x:c r="G35" s="6" t="n">
        <x:v>307000</x:v>
      </x:c>
      <x:c r="H35" s="6" t="n">
        <x:v>2787000</x:v>
      </x:c>
      <x:c r="I35" s="6" t="n">
        <x:v>181</x:v>
      </x:c>
      <x:c r="J35" s="6" t="n">
        <x:v>284</x:v>
      </x:c>
      <x:c r="K35" s="6" t="n">
        <x:v>343</x:v>
      </x:c>
      <x:c r="L35" s="6" t="n">
        <x:v>10</x:v>
      </x:c>
      <x:c r="M35" s="11" t="n">
        <x:v>0.7643803418803419</x:v>
      </x:c>
      <x:c r="N35" s="6" t="n">
        <x:v>2512000</x:v>
      </x:c>
    </x:row>
    <x:row r="36" ht="24" customHeight="1">
      <x:c r="A36" s="2" t="str">
        <x:v>2026-10-12_Day</x:v>
      </x:c>
      <x:c r="B36" s="6" t="str">
        <x:v>デイ</x:v>
      </x:c>
      <x:c r="C36" s="6" t="n">
        <x:v>338000</x:v>
      </x:c>
      <x:c r="D36" s="6" t="n">
        <x:v>1642000</x:v>
      </x:c>
      <x:c r="E36" s="6" t="n">
        <x:f>C36-D36</x:f>
        <x:v>-1304000</x:v>
      </x:c>
      <x:c r="F36" s="6" t="n">
        <x:f>F35+E36</x:f>
        <x:v>-74056000</x:v>
      </x:c>
      <x:c r="G36" s="6" t="n">
        <x:v>170000</x:v>
      </x:c>
      <x:c r="H36" s="6" t="n">
        <x:v>1474000</x:v>
      </x:c>
      <x:c r="I36" s="6" t="n">
        <x:v>97</x:v>
      </x:c>
      <x:c r="J36" s="6" t="n">
        <x:v>161</x:v>
      </x:c>
      <x:c r="K36" s="6" t="n">
        <x:v>183</x:v>
      </x:c>
      <x:c r="L36" s="6" t="n">
        <x:v>10</x:v>
      </x:c>
      <x:c r="M36" s="11" t="n">
        <x:v>0.7609126984126984</x:v>
      </x:c>
      <x:c r="N36" s="6" t="n">
        <x:v>1308000</x:v>
      </x:c>
    </x:row>
    <x:row r="37" ht="24" customHeight="1">
      <x:c r="A37" s="2" t="str">
        <x:v>2026-10-12_Night</x:v>
      </x:c>
      <x:c r="B37" s="6" t="str">
        <x:v>ナイト</x:v>
      </x:c>
      <x:c r="C37" s="6" t="n">
        <x:v>608000</x:v>
      </x:c>
      <x:c r="D37" s="6" t="n">
        <x:v>1791000</x:v>
      </x:c>
      <x:c r="E37" s="6" t="n">
        <x:f>C37-D37</x:f>
        <x:v>-1183000</x:v>
      </x:c>
      <x:c r="F37" s="6" t="n">
        <x:f>F36+E37</x:f>
        <x:v>-75239000</x:v>
      </x:c>
      <x:c r="G37" s="6" t="n">
        <x:v>460000</x:v>
      </x:c>
      <x:c r="H37" s="6" t="n">
        <x:v>1643000</x:v>
      </x:c>
      <x:c r="I37" s="6" t="n">
        <x:v>146</x:v>
      </x:c>
      <x:c r="J37" s="6" t="n">
        <x:v>211</x:v>
      </x:c>
      <x:c r="K37" s="6" t="n">
        <x:v>229</x:v>
      </x:c>
      <x:c r="L37" s="6" t="n">
        <x:v>10</x:v>
      </x:c>
      <x:c r="M37" s="11" t="n">
        <x:v>0.7536752136752137</x:v>
      </x:c>
      <x:c r="N37" s="6" t="n">
        <x:v>1206000</x:v>
      </x:c>
    </x:row>
    <x:row r="38" ht="24" customHeight="1">
      <x:c r="A38" s="2" t="str">
        <x:v>2026-10-13_Day</x:v>
      </x:c>
      <x:c r="B38" s="6" t="str">
        <x:v>デイ</x:v>
      </x:c>
      <x:c r="C38" s="6" t="n">
        <x:v>1751000</x:v>
      </x:c>
      <x:c r="D38" s="6" t="n">
        <x:v>4964000</x:v>
      </x:c>
      <x:c r="E38" s="6" t="n">
        <x:f>C38-D38</x:f>
        <x:v>-3213000</x:v>
      </x:c>
      <x:c r="F38" s="6" t="n">
        <x:f>F37+E38</x:f>
        <x:v>-78452000</x:v>
      </x:c>
      <x:c r="G38" s="6" t="n">
        <x:v>1519000</x:v>
      </x:c>
      <x:c r="H38" s="6" t="n">
        <x:v>4732000</x:v>
      </x:c>
      <x:c r="I38" s="6" t="n">
        <x:v>207</x:v>
      </x:c>
      <x:c r="J38" s="6" t="n">
        <x:v>398</x:v>
      </x:c>
      <x:c r="K38" s="6" t="n">
        <x:v>455</x:v>
      </x:c>
      <x:c r="L38" s="6" t="n">
        <x:v>10</x:v>
      </x:c>
      <x:c r="M38" s="11" t="n">
        <x:v>0.8436111111111111</x:v>
      </x:c>
      <x:c r="N38" s="6" t="n">
        <x:v>3281000</x:v>
      </x:c>
    </x:row>
    <x:row r="39" ht="24" customHeight="1">
      <x:c r="A39" s="2" t="str">
        <x:v>2026-10-13_Night</x:v>
      </x:c>
      <x:c r="B39" s="6" t="str">
        <x:v>ナイト</x:v>
      </x:c>
      <x:c r="C39" s="6" t="n">
        <x:v>682000</x:v>
      </x:c>
      <x:c r="D39" s="6" t="n">
        <x:v>2729000</x:v>
      </x:c>
      <x:c r="E39" s="6" t="n">
        <x:f>C39-D39</x:f>
        <x:v>-2047000</x:v>
      </x:c>
      <x:c r="F39" s="6" t="n">
        <x:f>F38+E39</x:f>
        <x:v>-80499000</x:v>
      </x:c>
      <x:c r="G39" s="6" t="n">
        <x:v>433000</x:v>
      </x:c>
      <x:c r="H39" s="6" t="n">
        <x:v>2480000</x:v>
      </x:c>
      <x:c r="I39" s="6" t="n">
        <x:v>190</x:v>
      </x:c>
      <x:c r="J39" s="6" t="n">
        <x:v>335</x:v>
      </x:c>
      <x:c r="K39" s="6" t="n">
        <x:v>353</x:v>
      </x:c>
      <x:c r="L39" s="6" t="n">
        <x:v>10</x:v>
      </x:c>
      <x:c r="M39" s="11" t="n">
        <x:v>0.7572863247863247</x:v>
      </x:c>
      <x:c r="N39" s="6" t="n">
        <x:v>2054000</x:v>
      </x:c>
    </x:row>
    <x:row r="40" ht="24" customHeight="1">
      <x:c r="A40" s="2" t="str">
        <x:v>2026-10-14_Day</x:v>
      </x:c>
      <x:c r="B40" s="6" t="str">
        <x:v>デイ</x:v>
      </x:c>
      <x:c r="C40" s="6" t="n">
        <x:v>1159000</x:v>
      </x:c>
      <x:c r="D40" s="6" t="n">
        <x:v>3912000</x:v>
      </x:c>
      <x:c r="E40" s="6" t="n">
        <x:f>C40-D40</x:f>
        <x:v>-2753000</x:v>
      </x:c>
      <x:c r="F40" s="6" t="n">
        <x:f>F39+E40</x:f>
        <x:v>-83252000</x:v>
      </x:c>
      <x:c r="G40" s="6" t="n">
        <x:v>990000</x:v>
      </x:c>
      <x:c r="H40" s="6" t="n">
        <x:v>3743000</x:v>
      </x:c>
      <x:c r="I40" s="6" t="n">
        <x:v>184</x:v>
      </x:c>
      <x:c r="J40" s="6" t="n">
        <x:v>367</x:v>
      </x:c>
      <x:c r="K40" s="6" t="n">
        <x:v>432</x:v>
      </x:c>
      <x:c r="L40" s="6" t="n">
        <x:v>10</x:v>
      </x:c>
      <x:c r="M40" s="11" t="n">
        <x:v>0.8523412698412698</x:v>
      </x:c>
      <x:c r="N40" s="6" t="n">
        <x:v>2807000</x:v>
      </x:c>
    </x:row>
    <x:row r="41" ht="24" customHeight="1">
      <x:c r="A41" s="2" t="str">
        <x:v>2026-10-14_Night</x:v>
      </x:c>
      <x:c r="B41" s="6" t="str">
        <x:v>ナイト</x:v>
      </x:c>
      <x:c r="C41" s="6" t="n">
        <x:v>2044000</x:v>
      </x:c>
      <x:c r="D41" s="6" t="n">
        <x:v>4594000</x:v>
      </x:c>
      <x:c r="E41" s="6" t="n">
        <x:f>C41-D41</x:f>
        <x:v>-2550000</x:v>
      </x:c>
      <x:c r="F41" s="6" t="n">
        <x:f>F40+E41</x:f>
        <x:v>-85802000</x:v>
      </x:c>
      <x:c r="G41" s="6" t="n">
        <x:v>1722000</x:v>
      </x:c>
      <x:c r="H41" s="6" t="n">
        <x:v>4272000</x:v>
      </x:c>
      <x:c r="I41" s="6" t="n">
        <x:v>260</x:v>
      </x:c>
      <x:c r="J41" s="6" t="n">
        <x:v>481</x:v>
      </x:c>
      <x:c r="K41" s="6" t="n">
        <x:v>560</x:v>
      </x:c>
      <x:c r="L41" s="6" t="n">
        <x:v>10</x:v>
      </x:c>
      <x:c r="M41" s="11" t="n">
        <x:v>0.8186752136752137</x:v>
      </x:c>
      <x:c r="N41" s="6" t="n">
        <x:v>2617000</x:v>
      </x:c>
    </x:row>
    <x:row r="42" ht="24" customHeight="1">
      <x:c r="A42" s="2" t="str">
        <x:v>2026-10-15_Day</x:v>
      </x:c>
      <x:c r="B42" s="6" t="str">
        <x:v>デイ</x:v>
      </x:c>
      <x:c r="C42" s="6" t="n">
        <x:v>2799000</x:v>
      </x:c>
      <x:c r="D42" s="6" t="n">
        <x:v>6655000</x:v>
      </x:c>
      <x:c r="E42" s="6" t="n">
        <x:f>C42-D42</x:f>
        <x:v>-3856000</x:v>
      </x:c>
      <x:c r="F42" s="6" t="n">
        <x:f>F41+E42</x:f>
        <x:v>-89658000</x:v>
      </x:c>
      <x:c r="G42" s="6" t="n">
        <x:v>2482000</x:v>
      </x:c>
      <x:c r="H42" s="6" t="n">
        <x:v>6338000</x:v>
      </x:c>
      <x:c r="I42" s="6" t="n">
        <x:v>275</x:v>
      </x:c>
      <x:c r="J42" s="6" t="n">
        <x:v>355</x:v>
      </x:c>
      <x:c r="K42" s="6" t="n">
        <x:v>443</x:v>
      </x:c>
      <x:c r="L42" s="6" t="n">
        <x:v>10</x:v>
      </x:c>
      <x:c r="M42" s="11" t="n">
        <x:v>0.8221428571428572</x:v>
      </x:c>
      <x:c r="N42" s="6" t="n">
        <x:v>3990000</x:v>
      </x:c>
    </x:row>
    <x:row r="43" ht="24" customHeight="1">
      <x:c r="A43" s="2" t="str">
        <x:v>2026-10-15_Night</x:v>
      </x:c>
      <x:c r="B43" s="6" t="str">
        <x:v>ナイト</x:v>
      </x:c>
      <x:c r="C43" s="6" t="n">
        <x:v>2408000</x:v>
      </x:c>
      <x:c r="D43" s="6" t="n">
        <x:v>7336000</x:v>
      </x:c>
      <x:c r="E43" s="6" t="n">
        <x:f>C43-D43</x:f>
        <x:v>-4928000</x:v>
      </x:c>
      <x:c r="F43" s="6" t="n">
        <x:f>F42+E43</x:f>
        <x:v>-94586000</x:v>
      </x:c>
      <x:c r="G43" s="6" t="n">
        <x:v>2066000</x:v>
      </x:c>
      <x:c r="H43" s="6" t="n">
        <x:v>6994000</x:v>
      </x:c>
      <x:c r="I43" s="6" t="n">
        <x:v>330</x:v>
      </x:c>
      <x:c r="J43" s="6" t="n">
        <x:v>473</x:v>
      </x:c>
      <x:c r="K43" s="6" t="n">
        <x:v>538</x:v>
      </x:c>
      <x:c r="L43" s="6" t="n">
        <x:v>10</x:v>
      </x:c>
      <x:c r="M43" s="11" t="n">
        <x:v>0.7641239316239317</x:v>
      </x:c>
      <x:c r="N43" s="6" t="n">
        <x:v>4969000</x:v>
      </x:c>
    </x:row>
    <x:row r="44" ht="24" customHeight="1">
      <x:c r="A44" s="2" t="str">
        <x:v>2026-10-16_Day</x:v>
      </x:c>
      <x:c r="B44" s="6" t="str">
        <x:v>デイ</x:v>
      </x:c>
      <x:c r="C44" s="6" t="n">
        <x:v>1547000</x:v>
      </x:c>
      <x:c r="D44" s="6" t="n">
        <x:v>5403000</x:v>
      </x:c>
      <x:c r="E44" s="6" t="n">
        <x:f>C44-D44</x:f>
        <x:v>-3856000</x:v>
      </x:c>
      <x:c r="F44" s="6" t="n">
        <x:f>F43+E44</x:f>
        <x:v>-98442000</x:v>
      </x:c>
      <x:c r="G44" s="6" t="n">
        <x:v>1313000</x:v>
      </x:c>
      <x:c r="H44" s="6" t="n">
        <x:v>5169000</x:v>
      </x:c>
      <x:c r="I44" s="6" t="n">
        <x:v>223</x:v>
      </x:c>
      <x:c r="J44" s="6" t="n">
        <x:v>357</x:v>
      </x:c>
      <x:c r="K44" s="6" t="n">
        <x:v>431</x:v>
      </x:c>
      <x:c r="L44" s="6" t="n">
        <x:v>10</x:v>
      </x:c>
      <x:c r="M44" s="11" t="n">
        <x:v>0.8405555555555555</x:v>
      </x:c>
      <x:c r="N44" s="6" t="n">
        <x:v>3889000</x:v>
      </x:c>
    </x:row>
    <x:row r="45" ht="24" customHeight="1">
      <x:c r="A45" s="2" t="str">
        <x:v>2026-10-16_Night</x:v>
      </x:c>
      <x:c r="B45" s="6" t="str">
        <x:v>ナイト</x:v>
      </x:c>
      <x:c r="C45" s="6" t="n">
        <x:v>2808000</x:v>
      </x:c>
      <x:c r="D45" s="6" t="n">
        <x:v>6867000</x:v>
      </x:c>
      <x:c r="E45" s="6" t="n">
        <x:f>C45-D45</x:f>
        <x:v>-4059000</x:v>
      </x:c>
      <x:c r="F45" s="6" t="n">
        <x:f>F44+E45</x:f>
        <x:v>-102501000</x:v>
      </x:c>
      <x:c r="G45" s="6" t="n">
        <x:v>2435000</x:v>
      </x:c>
      <x:c r="H45" s="6" t="n">
        <x:v>6494000</x:v>
      </x:c>
      <x:c r="I45" s="6" t="n">
        <x:v>330</x:v>
      </x:c>
      <x:c r="J45" s="6" t="n">
        <x:v>480</x:v>
      </x:c>
      <x:c r="K45" s="6" t="n">
        <x:v>561</x:v>
      </x:c>
      <x:c r="L45" s="6" t="n">
        <x:v>10</x:v>
      </x:c>
      <x:c r="M45" s="11" t="n">
        <x:v>0.8007264957264957</x:v>
      </x:c>
      <x:c r="N45" s="6" t="n">
        <x:v>4119000</x:v>
      </x:c>
    </x:row>
    <x:row r="46" ht="24" customHeight="1">
      <x:c r="A46" s="2" t="str">
        <x:v>2026-10-19_Day</x:v>
      </x:c>
      <x:c r="B46" s="6" t="str">
        <x:v>デイ</x:v>
      </x:c>
      <x:c r="C46" s="6" t="n">
        <x:v>2356000</x:v>
      </x:c>
      <x:c r="D46" s="6" t="n">
        <x:v>5433000</x:v>
      </x:c>
      <x:c r="E46" s="6" t="n">
        <x:f>C46-D46</x:f>
        <x:v>-3077000</x:v>
      </x:c>
      <x:c r="F46" s="6" t="n">
        <x:f>F45+E46</x:f>
        <x:v>-105578000</x:v>
      </x:c>
      <x:c r="G46" s="6" t="n">
        <x:v>2120000</x:v>
      </x:c>
      <x:c r="H46" s="6" t="n">
        <x:v>5197000</x:v>
      </x:c>
      <x:c r="I46" s="6" t="n">
        <x:v>241</x:v>
      </x:c>
      <x:c r="J46" s="6" t="n">
        <x:v>342</x:v>
      </x:c>
      <x:c r="K46" s="6" t="n">
        <x:v>409</x:v>
      </x:c>
      <x:c r="L46" s="6" t="n">
        <x:v>10</x:v>
      </x:c>
      <x:c r="M46" s="11" t="n">
        <x:v>0.8116269841269841</x:v>
      </x:c>
      <x:c r="N46" s="6" t="n">
        <x:v>3275000</x:v>
      </x:c>
    </x:row>
    <x:row r="47" ht="24" customHeight="1">
      <x:c r="A47" s="2" t="str">
        <x:v>2026-10-19_Night</x:v>
      </x:c>
      <x:c r="B47" s="6" t="str">
        <x:v>ナイト</x:v>
      </x:c>
      <x:c r="C47" s="6" t="n">
        <x:v>1371000</x:v>
      </x:c>
      <x:c r="D47" s="6" t="n">
        <x:v>5153000</x:v>
      </x:c>
      <x:c r="E47" s="6" t="n">
        <x:f>C47-D47</x:f>
        <x:v>-3782000</x:v>
      </x:c>
      <x:c r="F47" s="6" t="n">
        <x:f>F46+E47</x:f>
        <x:v>-109360000</x:v>
      </x:c>
      <x:c r="G47" s="6" t="n">
        <x:v>1070000</x:v>
      </x:c>
      <x:c r="H47" s="6" t="n">
        <x:v>4852000</x:v>
      </x:c>
      <x:c r="I47" s="6" t="n">
        <x:v>277</x:v>
      </x:c>
      <x:c r="J47" s="6" t="n">
        <x:v>431</x:v>
      </x:c>
      <x:c r="K47" s="6" t="n">
        <x:v>530</x:v>
      </x:c>
      <x:c r="L47" s="6" t="n">
        <x:v>10</x:v>
      </x:c>
      <x:c r="M47" s="11" t="n">
        <x:v>0.8168162393162394</x:v>
      </x:c>
      <x:c r="N47" s="6" t="n">
        <x:v>3801000</x:v>
      </x:c>
    </x:row>
    <x:row r="48" ht="24" customHeight="1">
      <x:c r="A48" s="2" t="str">
        <x:v>2026-10-20_Day</x:v>
      </x:c>
      <x:c r="B48" s="6" t="str">
        <x:v>デイ</x:v>
      </x:c>
      <x:c r="C48" s="6" t="n">
        <x:v>2327000</x:v>
      </x:c>
      <x:c r="D48" s="6" t="n">
        <x:v>5144000</x:v>
      </x:c>
      <x:c r="E48" s="6" t="n">
        <x:f>C48-D48</x:f>
        <x:v>-2817000</x:v>
      </x:c>
      <x:c r="F48" s="6" t="n">
        <x:f>F47+E48</x:f>
        <x:v>-112177000</x:v>
      </x:c>
      <x:c r="G48" s="6" t="n">
        <x:v>2037000</x:v>
      </x:c>
      <x:c r="H48" s="6" t="n">
        <x:v>4854000</x:v>
      </x:c>
      <x:c r="I48" s="6" t="n">
        <x:v>222</x:v>
      </x:c>
      <x:c r="J48" s="6" t="n">
        <x:v>359</x:v>
      </x:c>
      <x:c r="K48" s="6" t="n">
        <x:v>449</x:v>
      </x:c>
      <x:c r="L48" s="6" t="n">
        <x:v>10</x:v>
      </x:c>
      <x:c r="M48" s="11" t="n">
        <x:v>0.8501984126984127</x:v>
      </x:c>
      <x:c r="N48" s="6" t="n">
        <x:v>2827000</x:v>
      </x:c>
    </x:row>
    <x:row r="49" ht="24" customHeight="1">
      <x:c r="A49" s="2" t="str">
        <x:v>2026-10-20_Night</x:v>
      </x:c>
      <x:c r="B49" s="6" t="str">
        <x:v>ナイト</x:v>
      </x:c>
      <x:c r="C49" s="6" t="n">
        <x:v>2294000</x:v>
      </x:c>
      <x:c r="D49" s="6" t="n">
        <x:v>5377000</x:v>
      </x:c>
      <x:c r="E49" s="6" t="n">
        <x:f>C49-D49</x:f>
        <x:v>-3083000</x:v>
      </x:c>
      <x:c r="F49" s="6" t="n">
        <x:f>F48+E49</x:f>
        <x:v>-115260000</x:v>
      </x:c>
      <x:c r="G49" s="6" t="n">
        <x:v>1891000</x:v>
      </x:c>
      <x:c r="H49" s="6" t="n">
        <x:v>4974000</x:v>
      </x:c>
      <x:c r="I49" s="6" t="n">
        <x:v>286</x:v>
      </x:c>
      <x:c r="J49" s="6" t="n">
        <x:v>438</x:v>
      </x:c>
      <x:c r="K49" s="6" t="n">
        <x:v>505</x:v>
      </x:c>
      <x:c r="L49" s="6" t="n">
        <x:v>10</x:v>
      </x:c>
      <x:c r="M49" s="11" t="n">
        <x:v>0.7604487179487179</x:v>
      </x:c>
      <x:c r="N49" s="6" t="n">
        <x:v>3165000</x:v>
      </x:c>
    </x:row>
    <x:row r="50" ht="24" customHeight="1">
      <x:c r="A50" s="2" t="str">
        <x:v>2026-10-21_Day</x:v>
      </x:c>
      <x:c r="B50" s="6" t="str">
        <x:v>デイ</x:v>
      </x:c>
      <x:c r="C50" s="6" t="n">
        <x:v>1584000</x:v>
      </x:c>
      <x:c r="D50" s="6" t="n">
        <x:v>4906000</x:v>
      </x:c>
      <x:c r="E50" s="6" t="n">
        <x:f>C50-D50</x:f>
        <x:v>-3322000</x:v>
      </x:c>
      <x:c r="F50" s="6" t="n">
        <x:f>F49+E50</x:f>
        <x:v>-118582000</x:v>
      </x:c>
      <x:c r="G50" s="6" t="n">
        <x:v>1292000</x:v>
      </x:c>
      <x:c r="H50" s="6" t="n">
        <x:v>4614000</x:v>
      </x:c>
      <x:c r="I50" s="6" t="n">
        <x:v>225</x:v>
      </x:c>
      <x:c r="J50" s="6" t="n">
        <x:v>426</x:v>
      </x:c>
      <x:c r="K50" s="6" t="n">
        <x:v>471</x:v>
      </x:c>
      <x:c r="L50" s="6" t="n">
        <x:v>10</x:v>
      </x:c>
      <x:c r="M50" s="11" t="n">
        <x:v>0.8321428571428572</x:v>
      </x:c>
      <x:c r="N50" s="6" t="n">
        <x:v>3331000</x:v>
      </x:c>
    </x:row>
    <x:row r="51" ht="24" customHeight="1">
      <x:c r="A51" s="2" t="str">
        <x:v>2026-10-21_Night</x:v>
      </x:c>
      <x:c r="B51" s="6" t="str">
        <x:v>ナイト</x:v>
      </x:c>
      <x:c r="C51" s="6" t="n">
        <x:v>1886000</x:v>
      </x:c>
      <x:c r="D51" s="6" t="n">
        <x:v>4397000</x:v>
      </x:c>
      <x:c r="E51" s="6" t="n">
        <x:f>C51-D51</x:f>
        <x:v>-2511000</x:v>
      </x:c>
      <x:c r="F51" s="6" t="n">
        <x:f>F50+E51</x:f>
        <x:v>-121093000</x:v>
      </x:c>
      <x:c r="G51" s="6" t="n">
        <x:v>1476000</x:v>
      </x:c>
      <x:c r="H51" s="6" t="n">
        <x:v>3987000</x:v>
      </x:c>
      <x:c r="I51" s="6" t="n">
        <x:v>237</x:v>
      </x:c>
      <x:c r="J51" s="6" t="n">
        <x:v>404</x:v>
      </x:c>
      <x:c r="K51" s="6" t="n">
        <x:v>449</x:v>
      </x:c>
      <x:c r="L51" s="6" t="n">
        <x:v>10</x:v>
      </x:c>
      <x:c r="M51" s="11" t="n">
        <x:v>0.8002350427350428</x:v>
      </x:c>
      <x:c r="N51" s="6" t="n">
        <x:v>2541000</x:v>
      </x:c>
    </x:row>
    <x:row r="52" ht="24" customHeight="1">
      <x:c r="A52" s="2" t="str">
        <x:v>2026-10-22_Day</x:v>
      </x:c>
      <x:c r="B52" s="6" t="str">
        <x:v>デイ</x:v>
      </x:c>
      <x:c r="C52" s="6" t="n">
        <x:v>1884000</x:v>
      </x:c>
      <x:c r="D52" s="6" t="n">
        <x:v>4985000</x:v>
      </x:c>
      <x:c r="E52" s="6" t="n">
        <x:f>C52-D52</x:f>
        <x:v>-3101000</x:v>
      </x:c>
      <x:c r="F52" s="6" t="n">
        <x:f>F51+E52</x:f>
        <x:v>-124194000</x:v>
      </x:c>
      <x:c r="G52" s="6" t="n">
        <x:v>1606000</x:v>
      </x:c>
      <x:c r="H52" s="6" t="n">
        <x:v>4707000</x:v>
      </x:c>
      <x:c r="I52" s="6" t="n">
        <x:v>237</x:v>
      </x:c>
      <x:c r="J52" s="6" t="n">
        <x:v>381</x:v>
      </x:c>
      <x:c r="K52" s="6" t="n">
        <x:v>457</x:v>
      </x:c>
      <x:c r="L52" s="6" t="n">
        <x:v>10</x:v>
      </x:c>
      <x:c r="M52" s="11" t="n">
        <x:v>0.828015873015873</x:v>
      </x:c>
      <x:c r="N52" s="6" t="n">
        <x:v>3286000</x:v>
      </x:c>
    </x:row>
    <x:row r="53" ht="24" customHeight="1">
      <x:c r="A53" s="2" t="str">
        <x:v>2026-10-22_Night</x:v>
      </x:c>
      <x:c r="B53" s="6" t="str">
        <x:v>ナイト</x:v>
      </x:c>
      <x:c r="C53" s="6" t="n">
        <x:v>2354000</x:v>
      </x:c>
      <x:c r="D53" s="6" t="n">
        <x:v>5442000</x:v>
      </x:c>
      <x:c r="E53" s="6" t="n">
        <x:f>C53-D53</x:f>
        <x:v>-3088000</x:v>
      </x:c>
      <x:c r="F53" s="6" t="n">
        <x:f>F52+E53</x:f>
        <x:v>-127282000</x:v>
      </x:c>
      <x:c r="G53" s="6" t="n">
        <x:v>1906000</x:v>
      </x:c>
      <x:c r="H53" s="6" t="n">
        <x:v>4994000</x:v>
      </x:c>
      <x:c r="I53" s="6" t="n">
        <x:v>312</x:v>
      </x:c>
      <x:c r="J53" s="6" t="n">
        <x:v>484</x:v>
      </x:c>
      <x:c r="K53" s="6" t="n">
        <x:v>540</x:v>
      </x:c>
      <x:c r="L53" s="6" t="n">
        <x:v>10</x:v>
      </x:c>
      <x:c r="M53" s="11" t="n">
        <x:v>0.800042735042735</x:v>
      </x:c>
      <x:c r="N53" s="6" t="n">
        <x:v>3145000</x:v>
      </x:c>
    </x:row>
    <x:row r="54" ht="24" customHeight="1">
      <x:c r="A54" s="2" t="str">
        <x:v>2026-10-23_Day</x:v>
      </x:c>
      <x:c r="B54" s="6" t="str">
        <x:v>デイ</x:v>
      </x:c>
      <x:c r="C54" s="6" t="n">
        <x:v>4228000</x:v>
      </x:c>
      <x:c r="D54" s="6" t="n">
        <x:v>8739000</x:v>
      </x:c>
      <x:c r="E54" s="6" t="n">
        <x:f>C54-D54</x:f>
        <x:v>-4511000</x:v>
      </x:c>
      <x:c r="F54" s="6" t="n">
        <x:f>F53+E54</x:f>
        <x:v>-131793000</x:v>
      </x:c>
      <x:c r="G54" s="6" t="n">
        <x:v>3835000</x:v>
      </x:c>
      <x:c r="H54" s="6" t="n">
        <x:v>8346000</x:v>
      </x:c>
      <x:c r="I54" s="6" t="n">
        <x:v>357</x:v>
      </x:c>
      <x:c r="J54" s="6" t="n">
        <x:v>323</x:v>
      </x:c>
      <x:c r="K54" s="6" t="n">
        <x:v>415</x:v>
      </x:c>
      <x:c r="L54" s="6" t="n">
        <x:v>10</x:v>
      </x:c>
      <x:c r="M54" s="11" t="n">
        <x:v>0.7966666666666666</x:v>
      </x:c>
      <x:c r="N54" s="6" t="n">
        <x:v>4545000</x:v>
      </x:c>
    </x:row>
    <x:row r="55" ht="24" customHeight="1">
      <x:c r="A55" s="2" t="str">
        <x:v>2026-10-23_Night</x:v>
      </x:c>
      <x:c r="B55" s="6" t="str">
        <x:v>ナイト</x:v>
      </x:c>
      <x:c r="C55" s="6" t="n">
        <x:v>1950000</x:v>
      </x:c>
      <x:c r="D55" s="6" t="n">
        <x:v>5857000</x:v>
      </x:c>
      <x:c r="E55" s="6" t="n">
        <x:f>C55-D55</x:f>
        <x:v>-3907000</x:v>
      </x:c>
      <x:c r="F55" s="6" t="n">
        <x:f>F54+E55</x:f>
        <x:v>-135700000</x:v>
      </x:c>
      <x:c r="G55" s="6" t="n">
        <x:v>1626000</x:v>
      </x:c>
      <x:c r="H55" s="6" t="n">
        <x:v>5533000</x:v>
      </x:c>
      <x:c r="I55" s="6" t="n">
        <x:v>316</x:v>
      </x:c>
      <x:c r="J55" s="6" t="n">
        <x:v>447</x:v>
      </x:c>
      <x:c r="K55" s="6" t="n">
        <x:v>539</x:v>
      </x:c>
      <x:c r="L55" s="6" t="n">
        <x:v>10</x:v>
      </x:c>
      <x:c r="M55" s="11" t="n">
        <x:v>0.7948931623931624</x:v>
      </x:c>
      <x:c r="N55" s="6" t="n">
        <x:v>3907000</x:v>
      </x:c>
    </x:row>
    <x:row r="56" ht="24" customHeight="1">
      <x:c r="A56" s="2" t="str">
        <x:v>2026-10-26_Day</x:v>
      </x:c>
      <x:c r="B56" s="6" t="str">
        <x:v>デイ</x:v>
      </x:c>
      <x:c r="C56" s="6" t="n">
        <x:v>2532000</x:v>
      </x:c>
      <x:c r="D56" s="6" t="n">
        <x:v>6233000</x:v>
      </x:c>
      <x:c r="E56" s="6" t="n">
        <x:f>C56-D56</x:f>
        <x:v>-3701000</x:v>
      </x:c>
      <x:c r="F56" s="6" t="n">
        <x:f>F55+E56</x:f>
        <x:v>-139401000</x:v>
      </x:c>
      <x:c r="G56" s="6" t="n">
        <x:v>2214000</x:v>
      </x:c>
      <x:c r="H56" s="6" t="n">
        <x:v>5915000</x:v>
      </x:c>
      <x:c r="I56" s="6" t="n">
        <x:v>258</x:v>
      </x:c>
      <x:c r="J56" s="6" t="n">
        <x:v>345</x:v>
      </x:c>
      <x:c r="K56" s="6" t="n">
        <x:v>410</x:v>
      </x:c>
      <x:c r="L56" s="6" t="n">
        <x:v>10</x:v>
      </x:c>
      <x:c r="M56" s="11" t="n">
        <x:v>0.8096031746031747</x:v>
      </x:c>
      <x:c r="N56" s="6" t="n">
        <x:v>3754000</x:v>
      </x:c>
    </x:row>
    <x:row r="57" ht="24" customHeight="1">
      <x:c r="A57" s="15" t="str">
        <x:v>累計／平均／最大</x:v>
      </x:c>
      <x:c r="B57" s="16"/>
      <x:c r="C57" s="16" t="n">
        <x:f>SUM(C6:C56)</x:f>
        <x:v>74953000</x:v>
      </x:c>
      <x:c r="D57" s="16" t="n">
        <x:f>SUM(D6:D56)</x:f>
        <x:v>214354000</x:v>
      </x:c>
      <x:c r="E57" s="16" t="n">
        <x:f>C57-D57</x:f>
        <x:v>-139401000</x:v>
      </x:c>
      <x:c r="F57" s="16" t="n">
        <x:f>F56</x:f>
        <x:v>-139401000</x:v>
      </x:c>
      <x:c r="G57" s="16" t="n">
        <x:f>SUM(G6:G56)</x:f>
        <x:v>61611000</x:v>
      </x:c>
      <x:c r="H57" s="16" t="n">
        <x:f>SUM(H6:H56)</x:f>
        <x:v>201012000</x:v>
      </x:c>
      <x:c r="I57" s="16" t="n">
        <x:f>SUM(I6:I56)</x:f>
        <x:v>11016</x:v>
      </x:c>
      <x:c r="J57" s="16" t="n">
        <x:f>SUM(J6:J56)</x:f>
        <x:v>18587</x:v>
      </x:c>
      <x:c r="K57" s="16" t="n">
        <x:f>SUM(K6:K56)</x:f>
        <x:v>21199</x:v>
      </x:c>
      <x:c r="L57" s="16" t="n">
        <x:f>MAX(L6:L56)</x:f>
        <x:v>10</x:v>
      </x:c>
      <x:c r="M57" s="17" t="n">
        <x:f>AVERAGE(M6:M56)</x:f>
        <x:v>0.7970163278986808</x:v>
      </x:c>
      <x:c r="N57" s="16" t="n">
        <x:f>MAX(N6:N56)</x:f>
        <x:v>4969000</x:v>
      </x:c>
    </x:row>
  </x:sheetData>
  <x:conditionalFormatting sqref="E6:F56">
    <x:cfRule type="cellIs" dxfId="18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7aa6d8da58b43bd"/>
  </x:tableParts>
</x:worksheet>
</file>

<file path=xl/worksheets/sheet2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1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4" customHeight="1">
      <x:c r="A1" s="3" t="str">
        <x:v>日経 M12　各セッションの利益・損失・収支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A2" s="4" t="str">
        <x:v>2026/09/21〜10/26デイ・51完了場。日経mini／TOPIXmini各上限10枚・手数料0。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4" customHeight="1">
      <x:c r="A3" s="4" t="str">
        <x:v>180秒の時間加重平均を30秒前と比較。保有中も傾き比例で増減、利益追尾＋傾き反転・増勢後の半減で返済。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4" customHeight="1">
      <x:c r="A4" s="4" t="str">
        <x:v>利益・損失＝FIFO返済配賦別。親＝初回から全返済まで。ラージ気配による模型で、mini実約定の検証ではありません。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42" customHeight="1">
      <x:c r="A5" s="10" t="str">
        <x:v>セッション</x:v>
      </x:c>
      <x:c r="B5" s="10" t="str">
        <x:v>区分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親利益（円）</x:v>
      </x:c>
      <x:c r="H5" s="10" t="str">
        <x:v>親損失（円）</x:v>
      </x:c>
      <x:c r="I5" s="10" t="str">
        <x:v>初回件数</x:v>
      </x:c>
      <x:c r="J5" s="10" t="str">
        <x:v>追加件数</x:v>
      </x:c>
      <x:c r="K5" s="10" t="str">
        <x:v>縮小件数</x:v>
      </x:c>
      <x:c r="L5" s="10" t="str">
        <x:v>最大保有枚数</x:v>
      </x:c>
      <x:c r="M5" s="10" t="str">
        <x:v>保有時間率</x:v>
      </x:c>
      <x:c r="N5" s="10" t="str">
        <x:v>時価最大DD（円）</x:v>
      </x:c>
    </x:row>
    <x:row r="6" ht="24" customHeight="1">
      <x:c r="A6" s="2" t="str">
        <x:v>2026-09-21_Day</x:v>
      </x:c>
      <x:c r="B6" s="6" t="str">
        <x:v>デイ</x:v>
      </x:c>
      <x:c r="C6" s="6" t="n">
        <x:v>730000</x:v>
      </x:c>
      <x:c r="D6" s="6" t="n">
        <x:v>1880000</x:v>
      </x:c>
      <x:c r="E6" s="6" t="n">
        <x:f>C6-D6</x:f>
        <x:v>-1150000</x:v>
      </x:c>
      <x:c r="F6" s="6" t="n">
        <x:f>E6</x:f>
        <x:v>-1150000</x:v>
      </x:c>
      <x:c r="G6" s="6" t="n">
        <x:v>660000</x:v>
      </x:c>
      <x:c r="H6" s="6" t="n">
        <x:v>1810000</x:v>
      </x:c>
      <x:c r="I6" s="6" t="n">
        <x:v>115</x:v>
      </x:c>
      <x:c r="J6" s="6" t="n">
        <x:v>109</x:v>
      </x:c>
      <x:c r="K6" s="6" t="n">
        <x:v>100</x:v>
      </x:c>
      <x:c r="L6" s="6" t="n">
        <x:v>10</x:v>
      </x:c>
      <x:c r="M6" s="11" t="n">
        <x:v>0.7277777777777777</x:v>
      </x:c>
      <x:c r="N6" s="6" t="n">
        <x:v>1256000</x:v>
      </x:c>
    </x:row>
    <x:row r="7" ht="24" customHeight="1">
      <x:c r="A7" s="2" t="str">
        <x:v>2026-09-21_Night</x:v>
      </x:c>
      <x:c r="B7" s="6" t="str">
        <x:v>ナイト</x:v>
      </x:c>
      <x:c r="C7" s="6" t="n">
        <x:v>432000</x:v>
      </x:c>
      <x:c r="D7" s="6" t="n">
        <x:v>1489000</x:v>
      </x:c>
      <x:c r="E7" s="6" t="n">
        <x:f>C7-D7</x:f>
        <x:v>-1057000</x:v>
      </x:c>
      <x:c r="F7" s="6" t="n">
        <x:f>F6+E7</x:f>
        <x:v>-2207000</x:v>
      </x:c>
      <x:c r="G7" s="6" t="n">
        <x:v>295000</x:v>
      </x:c>
      <x:c r="H7" s="6" t="n">
        <x:v>1352000</x:v>
      </x:c>
      <x:c r="I7" s="6" t="n">
        <x:v>145</x:v>
      </x:c>
      <x:c r="J7" s="6" t="n">
        <x:v>220</x:v>
      </x:c>
      <x:c r="K7" s="6" t="n">
        <x:v>214</x:v>
      </x:c>
      <x:c r="L7" s="6" t="n">
        <x:v>10</x:v>
      </x:c>
      <x:c r="M7" s="11" t="n">
        <x:v>0.5997435897435898</x:v>
      </x:c>
      <x:c r="N7" s="6" t="n">
        <x:v>1073000</x:v>
      </x:c>
    </x:row>
    <x:row r="8" ht="24" customHeight="1">
      <x:c r="A8" s="2" t="str">
        <x:v>2026-09-22_Day</x:v>
      </x:c>
      <x:c r="B8" s="6" t="str">
        <x:v>デイ</x:v>
      </x:c>
      <x:c r="C8" s="6" t="n">
        <x:v>678000</x:v>
      </x:c>
      <x:c r="D8" s="6" t="n">
        <x:v>2583000</x:v>
      </x:c>
      <x:c r="E8" s="6" t="n">
        <x:f>C8-D8</x:f>
        <x:v>-1905000</x:v>
      </x:c>
      <x:c r="F8" s="6" t="n">
        <x:f>F7+E8</x:f>
        <x:v>-4112000</x:v>
      </x:c>
      <x:c r="G8" s="6" t="n">
        <x:v>548000</x:v>
      </x:c>
      <x:c r="H8" s="6" t="n">
        <x:v>2453000</x:v>
      </x:c>
      <x:c r="I8" s="6" t="n">
        <x:v>153</x:v>
      </x:c>
      <x:c r="J8" s="6" t="n">
        <x:v>190</x:v>
      </x:c>
      <x:c r="K8" s="6" t="n">
        <x:v>176</x:v>
      </x:c>
      <x:c r="L8" s="6" t="n">
        <x:v>10</x:v>
      </x:c>
      <x:c r="M8" s="11" t="n">
        <x:v>0.736984126984127</x:v>
      </x:c>
      <x:c r="N8" s="6" t="n">
        <x:v>2024000</x:v>
      </x:c>
    </x:row>
    <x:row r="9" ht="24" customHeight="1">
      <x:c r="A9" s="2" t="str">
        <x:v>2026-09-22_Night</x:v>
      </x:c>
      <x:c r="B9" s="6" t="str">
        <x:v>ナイト</x:v>
      </x:c>
      <x:c r="C9" s="6" t="n">
        <x:v>996000</x:v>
      </x:c>
      <x:c r="D9" s="6" t="n">
        <x:v>3164000</x:v>
      </x:c>
      <x:c r="E9" s="6" t="n">
        <x:f>C9-D9</x:f>
        <x:v>-2168000</x:v>
      </x:c>
      <x:c r="F9" s="6" t="n">
        <x:f>F8+E9</x:f>
        <x:v>-6280000</x:v>
      </x:c>
      <x:c r="G9" s="6" t="n">
        <x:v>779000</x:v>
      </x:c>
      <x:c r="H9" s="6" t="n">
        <x:v>2947000</x:v>
      </x:c>
      <x:c r="I9" s="6" t="n">
        <x:v>204</x:v>
      </x:c>
      <x:c r="J9" s="6" t="n">
        <x:v>258</x:v>
      </x:c>
      <x:c r="K9" s="6" t="n">
        <x:v>283</x:v>
      </x:c>
      <x:c r="L9" s="6" t="n">
        <x:v>10</x:v>
      </x:c>
      <x:c r="M9" s="11" t="n">
        <x:v>0.7042307692307692</x:v>
      </x:c>
      <x:c r="N9" s="6" t="n">
        <x:v>2228000</x:v>
      </x:c>
    </x:row>
    <x:row r="10" ht="24" customHeight="1">
      <x:c r="A10" s="2" t="str">
        <x:v>2026-09-23_Day</x:v>
      </x:c>
      <x:c r="B10" s="6" t="str">
        <x:v>デイ</x:v>
      </x:c>
      <x:c r="C10" s="6" t="n">
        <x:v>376000</x:v>
      </x:c>
      <x:c r="D10" s="6" t="n">
        <x:v>1639000</x:v>
      </x:c>
      <x:c r="E10" s="6" t="n">
        <x:f>C10-D10</x:f>
        <x:v>-1263000</x:v>
      </x:c>
      <x:c r="F10" s="6" t="n">
        <x:f>F9+E10</x:f>
        <x:v>-7543000</x:v>
      </x:c>
      <x:c r="G10" s="6" t="n">
        <x:v>315000</x:v>
      </x:c>
      <x:c r="H10" s="6" t="n">
        <x:v>1578000</x:v>
      </x:c>
      <x:c r="I10" s="6" t="n">
        <x:v>122</x:v>
      </x:c>
      <x:c r="J10" s="6" t="n">
        <x:v>134</x:v>
      </x:c>
      <x:c r="K10" s="6" t="n">
        <x:v>109</x:v>
      </x:c>
      <x:c r="L10" s="6" t="n">
        <x:v>10</x:v>
      </x:c>
      <x:c r="M10" s="11" t="n">
        <x:v>0.6986904761904762</x:v>
      </x:c>
      <x:c r="N10" s="6" t="n">
        <x:v>1292000</x:v>
      </x:c>
    </x:row>
    <x:row r="11" ht="24" customHeight="1">
      <x:c r="A11" s="2" t="str">
        <x:v>2026-09-23_Night</x:v>
      </x:c>
      <x:c r="B11" s="6" t="str">
        <x:v>ナイト</x:v>
      </x:c>
      <x:c r="C11" s="6" t="n">
        <x:v>710000</x:v>
      </x:c>
      <x:c r="D11" s="6" t="n">
        <x:v>2450000</x:v>
      </x:c>
      <x:c r="E11" s="6" t="n">
        <x:f>C11-D11</x:f>
        <x:v>-1740000</x:v>
      </x:c>
      <x:c r="F11" s="6" t="n">
        <x:f>F10+E11</x:f>
        <x:v>-9283000</x:v>
      </x:c>
      <x:c r="G11" s="6" t="n">
        <x:v>569000</x:v>
      </x:c>
      <x:c r="H11" s="6" t="n">
        <x:v>2309000</x:v>
      </x:c>
      <x:c r="I11" s="6" t="n">
        <x:v>179</x:v>
      </x:c>
      <x:c r="J11" s="6" t="n">
        <x:v>263</x:v>
      </x:c>
      <x:c r="K11" s="6" t="n">
        <x:v>230</x:v>
      </x:c>
      <x:c r="L11" s="6" t="n">
        <x:v>10</x:v>
      </x:c>
      <x:c r="M11" s="11" t="n">
        <x:v>0.7372435897435897</x:v>
      </x:c>
      <x:c r="N11" s="6" t="n">
        <x:v>1745000</x:v>
      </x:c>
    </x:row>
    <x:row r="12" ht="24" customHeight="1">
      <x:c r="A12" s="2" t="str">
        <x:v>2026-09-24_Day</x:v>
      </x:c>
      <x:c r="B12" s="6" t="str">
        <x:v>デイ</x:v>
      </x:c>
      <x:c r="C12" s="6" t="n">
        <x:v>1677000</x:v>
      </x:c>
      <x:c r="D12" s="6" t="n">
        <x:v>3651000</x:v>
      </x:c>
      <x:c r="E12" s="6" t="n">
        <x:f>C12-D12</x:f>
        <x:v>-1974000</x:v>
      </x:c>
      <x:c r="F12" s="6" t="n">
        <x:f>F11+E12</x:f>
        <x:v>-11257000</x:v>
      </x:c>
      <x:c r="G12" s="6" t="n">
        <x:v>1434000</x:v>
      </x:c>
      <x:c r="H12" s="6" t="n">
        <x:v>3408000</x:v>
      </x:c>
      <x:c r="I12" s="6" t="n">
        <x:v>216</x:v>
      </x:c>
      <x:c r="J12" s="6" t="n">
        <x:v>361</x:v>
      </x:c>
      <x:c r="K12" s="6" t="n">
        <x:v>349</x:v>
      </x:c>
      <x:c r="L12" s="6" t="n">
        <x:v>10</x:v>
      </x:c>
      <x:c r="M12" s="11" t="n">
        <x:v>0.8196031746031746</x:v>
      </x:c>
      <x:c r="N12" s="6" t="n">
        <x:v>2035000</x:v>
      </x:c>
    </x:row>
    <x:row r="13" ht="24" customHeight="1">
      <x:c r="A13" s="2" t="str">
        <x:v>2026-09-24_Night</x:v>
      </x:c>
      <x:c r="B13" s="6" t="str">
        <x:v>ナイト</x:v>
      </x:c>
      <x:c r="C13" s="6" t="n">
        <x:v>1652000</x:v>
      </x:c>
      <x:c r="D13" s="6" t="n">
        <x:v>4689000</x:v>
      </x:c>
      <x:c r="E13" s="6" t="n">
        <x:f>C13-D13</x:f>
        <x:v>-3037000</x:v>
      </x:c>
      <x:c r="F13" s="6" t="n">
        <x:f>F12+E13</x:f>
        <x:v>-14294000</x:v>
      </x:c>
      <x:c r="G13" s="6" t="n">
        <x:v>1322000</x:v>
      </x:c>
      <x:c r="H13" s="6" t="n">
        <x:v>4359000</x:v>
      </x:c>
      <x:c r="I13" s="6" t="n">
        <x:v>285</x:v>
      </x:c>
      <x:c r="J13" s="6" t="n">
        <x:v>388</x:v>
      </x:c>
      <x:c r="K13" s="6" t="n">
        <x:v>427</x:v>
      </x:c>
      <x:c r="L13" s="6" t="n">
        <x:v>10</x:v>
      </x:c>
      <x:c r="M13" s="11" t="n">
        <x:v>0.7750641025641025</x:v>
      </x:c>
      <x:c r="N13" s="6" t="n">
        <x:v>3155000</x:v>
      </x:c>
    </x:row>
    <x:row r="14" ht="24" customHeight="1">
      <x:c r="A14" s="2" t="str">
        <x:v>2026-09-25_Day</x:v>
      </x:c>
      <x:c r="B14" s="6" t="str">
        <x:v>デイ</x:v>
      </x:c>
      <x:c r="C14" s="6" t="n">
        <x:v>1038000</x:v>
      </x:c>
      <x:c r="D14" s="6" t="n">
        <x:v>3583000</x:v>
      </x:c>
      <x:c r="E14" s="6" t="n">
        <x:f>C14-D14</x:f>
        <x:v>-2545000</x:v>
      </x:c>
      <x:c r="F14" s="6" t="n">
        <x:f>F13+E14</x:f>
        <x:v>-16839000</x:v>
      </x:c>
      <x:c r="G14" s="6" t="n">
        <x:v>854000</x:v>
      </x:c>
      <x:c r="H14" s="6" t="n">
        <x:v>3399000</x:v>
      </x:c>
      <x:c r="I14" s="6" t="n">
        <x:v>228</x:v>
      </x:c>
      <x:c r="J14" s="6" t="n">
        <x:v>362</x:v>
      </x:c>
      <x:c r="K14" s="6" t="n">
        <x:v>376</x:v>
      </x:c>
      <x:c r="L14" s="6" t="n">
        <x:v>10</x:v>
      </x:c>
      <x:c r="M14" s="11" t="n">
        <x:v>0.794047619047619</x:v>
      </x:c>
      <x:c r="N14" s="6" t="n">
        <x:v>2552000</x:v>
      </x:c>
    </x:row>
    <x:row r="15" ht="24" customHeight="1">
      <x:c r="A15" s="2" t="str">
        <x:v>2026-09-25_Night</x:v>
      </x:c>
      <x:c r="B15" s="6" t="str">
        <x:v>ナイト</x:v>
      </x:c>
      <x:c r="C15" s="6" t="n">
        <x:v>1246000</x:v>
      </x:c>
      <x:c r="D15" s="6" t="n">
        <x:v>3458000</x:v>
      </x:c>
      <x:c r="E15" s="6" t="n">
        <x:f>C15-D15</x:f>
        <x:v>-2212000</x:v>
      </x:c>
      <x:c r="F15" s="6" t="n">
        <x:f>F14+E15</x:f>
        <x:v>-19051000</x:v>
      </x:c>
      <x:c r="G15" s="6" t="n">
        <x:v>1015000</x:v>
      </x:c>
      <x:c r="H15" s="6" t="n">
        <x:v>3227000</x:v>
      </x:c>
      <x:c r="I15" s="6" t="n">
        <x:v>216</x:v>
      </x:c>
      <x:c r="J15" s="6" t="n">
        <x:v>312</x:v>
      </x:c>
      <x:c r="K15" s="6" t="n">
        <x:v>303</x:v>
      </x:c>
      <x:c r="L15" s="6" t="n">
        <x:v>10</x:v>
      </x:c>
      <x:c r="M15" s="11" t="n">
        <x:v>0.7034615384615385</x:v>
      </x:c>
      <x:c r="N15" s="6" t="n">
        <x:v>2282000</x:v>
      </x:c>
    </x:row>
    <x:row r="16" ht="24" customHeight="1">
      <x:c r="A16" s="2" t="str">
        <x:v>2026-09-28_Day</x:v>
      </x:c>
      <x:c r="B16" s="6" t="str">
        <x:v>デイ</x:v>
      </x:c>
      <x:c r="C16" s="6" t="n">
        <x:v>1429000</x:v>
      </x:c>
      <x:c r="D16" s="6" t="n">
        <x:v>4397000</x:v>
      </x:c>
      <x:c r="E16" s="6" t="n">
        <x:f>C16-D16</x:f>
        <x:v>-2968000</x:v>
      </x:c>
      <x:c r="F16" s="6" t="n">
        <x:f>F15+E16</x:f>
        <x:v>-22019000</x:v>
      </x:c>
      <x:c r="G16" s="6" t="n">
        <x:v>1191000</x:v>
      </x:c>
      <x:c r="H16" s="6" t="n">
        <x:v>4159000</x:v>
      </x:c>
      <x:c r="I16" s="6" t="n">
        <x:v>258</x:v>
      </x:c>
      <x:c r="J16" s="6" t="n">
        <x:v>382</x:v>
      </x:c>
      <x:c r="K16" s="6" t="n">
        <x:v>349</x:v>
      </x:c>
      <x:c r="L16" s="6" t="n">
        <x:v>10</x:v>
      </x:c>
      <x:c r="M16" s="11" t="n">
        <x:v>0.7961111111111111</x:v>
      </x:c>
      <x:c r="N16" s="6" t="n">
        <x:v>3053000</x:v>
      </x:c>
    </x:row>
    <x:row r="17" ht="24" customHeight="1">
      <x:c r="A17" s="2" t="str">
        <x:v>2026-09-28_Night</x:v>
      </x:c>
      <x:c r="B17" s="6" t="str">
        <x:v>ナイト</x:v>
      </x:c>
      <x:c r="C17" s="6" t="n">
        <x:v>1576000</x:v>
      </x:c>
      <x:c r="D17" s="6" t="n">
        <x:v>4458000</x:v>
      </x:c>
      <x:c r="E17" s="6" t="n">
        <x:f>C17-D17</x:f>
        <x:v>-2882000</x:v>
      </x:c>
      <x:c r="F17" s="6" t="n">
        <x:f>F16+E17</x:f>
        <x:v>-24901000</x:v>
      </x:c>
      <x:c r="G17" s="6" t="n">
        <x:v>1381000</x:v>
      </x:c>
      <x:c r="H17" s="6" t="n">
        <x:v>4263000</x:v>
      </x:c>
      <x:c r="I17" s="6" t="n">
        <x:v>266</x:v>
      </x:c>
      <x:c r="J17" s="6" t="n">
        <x:v>318</x:v>
      </x:c>
      <x:c r="K17" s="6" t="n">
        <x:v>331</x:v>
      </x:c>
      <x:c r="L17" s="6" t="n">
        <x:v>10</x:v>
      </x:c>
      <x:c r="M17" s="11" t="n">
        <x:v>0.7451495726495726</x:v>
      </x:c>
      <x:c r="N17" s="6" t="n">
        <x:v>2904000</x:v>
      </x:c>
    </x:row>
    <x:row r="18" ht="24" customHeight="1">
      <x:c r="A18" s="2" t="str">
        <x:v>2026-09-29_Day</x:v>
      </x:c>
      <x:c r="B18" s="6" t="str">
        <x:v>デイ</x:v>
      </x:c>
      <x:c r="C18" s="6" t="n">
        <x:v>1276000</x:v>
      </x:c>
      <x:c r="D18" s="6" t="n">
        <x:v>5105000</x:v>
      </x:c>
      <x:c r="E18" s="6" t="n">
        <x:f>C18-D18</x:f>
        <x:v>-3829000</x:v>
      </x:c>
      <x:c r="F18" s="6" t="n">
        <x:f>F17+E18</x:f>
        <x:v>-28730000</x:v>
      </x:c>
      <x:c r="G18" s="6" t="n">
        <x:v>1076000</x:v>
      </x:c>
      <x:c r="H18" s="6" t="n">
        <x:v>4905000</x:v>
      </x:c>
      <x:c r="I18" s="6" t="n">
        <x:v>249</x:v>
      </x:c>
      <x:c r="J18" s="6" t="n">
        <x:v>395</x:v>
      </x:c>
      <x:c r="K18" s="6" t="n">
        <x:v>383</x:v>
      </x:c>
      <x:c r="L18" s="6" t="n">
        <x:v>10</x:v>
      </x:c>
      <x:c r="M18" s="11" t="n">
        <x:v>0.8007142857142857</x:v>
      </x:c>
      <x:c r="N18" s="6" t="n">
        <x:v>3890000</x:v>
      </x:c>
    </x:row>
    <x:row r="19" ht="24" customHeight="1">
      <x:c r="A19" s="2" t="str">
        <x:v>2026-09-29_Night</x:v>
      </x:c>
      <x:c r="B19" s="6" t="str">
        <x:v>ナイト</x:v>
      </x:c>
      <x:c r="C19" s="6" t="n">
        <x:v>1124000</x:v>
      </x:c>
      <x:c r="D19" s="6" t="n">
        <x:v>4206000</x:v>
      </x:c>
      <x:c r="E19" s="6" t="n">
        <x:f>C19-D19</x:f>
        <x:v>-3082000</x:v>
      </x:c>
      <x:c r="F19" s="6" t="n">
        <x:f>F18+E19</x:f>
        <x:v>-31812000</x:v>
      </x:c>
      <x:c r="G19" s="6" t="n">
        <x:v>822000</x:v>
      </x:c>
      <x:c r="H19" s="6" t="n">
        <x:v>3904000</x:v>
      </x:c>
      <x:c r="I19" s="6" t="n">
        <x:v>258</x:v>
      </x:c>
      <x:c r="J19" s="6" t="n">
        <x:v>384</x:v>
      </x:c>
      <x:c r="K19" s="6" t="n">
        <x:v>382</x:v>
      </x:c>
      <x:c r="L19" s="6" t="n">
        <x:v>10</x:v>
      </x:c>
      <x:c r="M19" s="11" t="n">
        <x:v>0.7812820512820513</x:v>
      </x:c>
      <x:c r="N19" s="6" t="n">
        <x:v>3103000</x:v>
      </x:c>
    </x:row>
    <x:row r="20" ht="24" customHeight="1">
      <x:c r="A20" s="2" t="str">
        <x:v>2026-09-30_Day</x:v>
      </x:c>
      <x:c r="B20" s="6" t="str">
        <x:v>デイ</x:v>
      </x:c>
      <x:c r="C20" s="6" t="n">
        <x:v>1492000</x:v>
      </x:c>
      <x:c r="D20" s="6" t="n">
        <x:v>4264000</x:v>
      </x:c>
      <x:c r="E20" s="6" t="n">
        <x:f>C20-D20</x:f>
        <x:v>-2772000</x:v>
      </x:c>
      <x:c r="F20" s="6" t="n">
        <x:f>F19+E20</x:f>
        <x:v>-34584000</x:v>
      </x:c>
      <x:c r="G20" s="6" t="n">
        <x:v>1239000</x:v>
      </x:c>
      <x:c r="H20" s="6" t="n">
        <x:v>4011000</x:v>
      </x:c>
      <x:c r="I20" s="6" t="n">
        <x:v>222</x:v>
      </x:c>
      <x:c r="J20" s="6" t="n">
        <x:v>416</x:v>
      </x:c>
      <x:c r="K20" s="6" t="n">
        <x:v>392</x:v>
      </x:c>
      <x:c r="L20" s="6" t="n">
        <x:v>10</x:v>
      </x:c>
      <x:c r="M20" s="11" t="n">
        <x:v>0.828015873015873</x:v>
      </x:c>
      <x:c r="N20" s="6" t="n">
        <x:v>2790000</x:v>
      </x:c>
    </x:row>
    <x:row r="21" ht="24" customHeight="1">
      <x:c r="A21" s="2" t="str">
        <x:v>2026-09-30_Night</x:v>
      </x:c>
      <x:c r="B21" s="6" t="str">
        <x:v>ナイト</x:v>
      </x:c>
      <x:c r="C21" s="6" t="n">
        <x:v>1657000</x:v>
      </x:c>
      <x:c r="D21" s="6" t="n">
        <x:v>4876000</x:v>
      </x:c>
      <x:c r="E21" s="6" t="n">
        <x:f>C21-D21</x:f>
        <x:v>-3219000</x:v>
      </x:c>
      <x:c r="F21" s="6" t="n">
        <x:f>F20+E21</x:f>
        <x:v>-37803000</x:v>
      </x:c>
      <x:c r="G21" s="6" t="n">
        <x:v>1281000</x:v>
      </x:c>
      <x:c r="H21" s="6" t="n">
        <x:v>4500000</x:v>
      </x:c>
      <x:c r="I21" s="6" t="n">
        <x:v>274</x:v>
      </x:c>
      <x:c r="J21" s="6" t="n">
        <x:v>447</x:v>
      </x:c>
      <x:c r="K21" s="6" t="n">
        <x:v>406</x:v>
      </x:c>
      <x:c r="L21" s="6" t="n">
        <x:v>10</x:v>
      </x:c>
      <x:c r="M21" s="11" t="n">
        <x:v>0.7357692307692307</x:v>
      </x:c>
      <x:c r="N21" s="6" t="n">
        <x:v>3307000</x:v>
      </x:c>
    </x:row>
    <x:row r="22" ht="24" customHeight="1">
      <x:c r="A22" s="2" t="str">
        <x:v>2026-10-01_Day</x:v>
      </x:c>
      <x:c r="B22" s="6" t="str">
        <x:v>デイ</x:v>
      </x:c>
      <x:c r="C22" s="6" t="n">
        <x:v>1358000</x:v>
      </x:c>
      <x:c r="D22" s="6" t="n">
        <x:v>3601000</x:v>
      </x:c>
      <x:c r="E22" s="6" t="n">
        <x:f>C22-D22</x:f>
        <x:v>-2243000</x:v>
      </x:c>
      <x:c r="F22" s="6" t="n">
        <x:f>F21+E22</x:f>
        <x:v>-40046000</x:v>
      </x:c>
      <x:c r="G22" s="6" t="n">
        <x:v>1132000</x:v>
      </x:c>
      <x:c r="H22" s="6" t="n">
        <x:v>3375000</x:v>
      </x:c>
      <x:c r="I22" s="6" t="n">
        <x:v>201</x:v>
      </x:c>
      <x:c r="J22" s="6" t="n">
        <x:v>408</x:v>
      </x:c>
      <x:c r="K22" s="6" t="n">
        <x:v>394</x:v>
      </x:c>
      <x:c r="L22" s="6" t="n">
        <x:v>10</x:v>
      </x:c>
      <x:c r="M22" s="11" t="n">
        <x:v>0.8270634920634921</x:v>
      </x:c>
      <x:c r="N22" s="6" t="n">
        <x:v>2248000</x:v>
      </x:c>
    </x:row>
    <x:row r="23" ht="24" customHeight="1">
      <x:c r="A23" s="2" t="str">
        <x:v>2026-10-01_Night</x:v>
      </x:c>
      <x:c r="B23" s="6" t="str">
        <x:v>ナイト</x:v>
      </x:c>
      <x:c r="C23" s="6" t="n">
        <x:v>1841000</x:v>
      </x:c>
      <x:c r="D23" s="6" t="n">
        <x:v>6273000</x:v>
      </x:c>
      <x:c r="E23" s="6" t="n">
        <x:f>C23-D23</x:f>
        <x:v>-4432000</x:v>
      </x:c>
      <x:c r="F23" s="6" t="n">
        <x:f>F22+E23</x:f>
        <x:v>-44478000</x:v>
      </x:c>
      <x:c r="G23" s="6" t="n">
        <x:v>1412000</x:v>
      </x:c>
      <x:c r="H23" s="6" t="n">
        <x:v>5844000</x:v>
      </x:c>
      <x:c r="I23" s="6" t="n">
        <x:v>322</x:v>
      </x:c>
      <x:c r="J23" s="6" t="n">
        <x:v>483</x:v>
      </x:c>
      <x:c r="K23" s="6" t="n">
        <x:v>466</x:v>
      </x:c>
      <x:c r="L23" s="6" t="n">
        <x:v>10</x:v>
      </x:c>
      <x:c r="M23" s="11" t="n">
        <x:v>0.7757051282051282</x:v>
      </x:c>
      <x:c r="N23" s="6" t="n">
        <x:v>4442000</x:v>
      </x:c>
    </x:row>
    <x:row r="24" ht="24" customHeight="1">
      <x:c r="A24" s="2" t="str">
        <x:v>2026-10-02_Day</x:v>
      </x:c>
      <x:c r="B24" s="6" t="str">
        <x:v>デイ</x:v>
      </x:c>
      <x:c r="C24" s="6" t="n">
        <x:v>1131000</x:v>
      </x:c>
      <x:c r="D24" s="6" t="n">
        <x:v>4001000</x:v>
      </x:c>
      <x:c r="E24" s="6" t="n">
        <x:f>C24-D24</x:f>
        <x:v>-2870000</x:v>
      </x:c>
      <x:c r="F24" s="6" t="n">
        <x:f>F23+E24</x:f>
        <x:v>-47348000</x:v>
      </x:c>
      <x:c r="G24" s="6" t="n">
        <x:v>908000</x:v>
      </x:c>
      <x:c r="H24" s="6" t="n">
        <x:v>3778000</x:v>
      </x:c>
      <x:c r="I24" s="6" t="n">
        <x:v>206</x:v>
      </x:c>
      <x:c r="J24" s="6" t="n">
        <x:v>411</x:v>
      </x:c>
      <x:c r="K24" s="6" t="n">
        <x:v>388</x:v>
      </x:c>
      <x:c r="L24" s="6" t="n">
        <x:v>10</x:v>
      </x:c>
      <x:c r="M24" s="11" t="n">
        <x:v>0.819047619047619</x:v>
      </x:c>
      <x:c r="N24" s="6" t="n">
        <x:v>2986000</x:v>
      </x:c>
    </x:row>
    <x:row r="25" ht="24" customHeight="1">
      <x:c r="A25" s="2" t="str">
        <x:v>2026-10-02_Night</x:v>
      </x:c>
      <x:c r="B25" s="6" t="str">
        <x:v>ナイト</x:v>
      </x:c>
      <x:c r="C25" s="6" t="n">
        <x:v>1653000</x:v>
      </x:c>
      <x:c r="D25" s="6" t="n">
        <x:v>5051000</x:v>
      </x:c>
      <x:c r="E25" s="6" t="n">
        <x:f>C25-D25</x:f>
        <x:v>-3398000</x:v>
      </x:c>
      <x:c r="F25" s="6" t="n">
        <x:f>F24+E25</x:f>
        <x:v>-50746000</x:v>
      </x:c>
      <x:c r="G25" s="6" t="n">
        <x:v>1382000</x:v>
      </x:c>
      <x:c r="H25" s="6" t="n">
        <x:v>4780000</x:v>
      </x:c>
      <x:c r="I25" s="6" t="n">
        <x:v>293</x:v>
      </x:c>
      <x:c r="J25" s="6" t="n">
        <x:v>468</x:v>
      </x:c>
      <x:c r="K25" s="6" t="n">
        <x:v>449</x:v>
      </x:c>
      <x:c r="L25" s="6" t="n">
        <x:v>10</x:v>
      </x:c>
      <x:c r="M25" s="11" t="n">
        <x:v>0.7909615384615385</x:v>
      </x:c>
      <x:c r="N25" s="6" t="n">
        <x:v>3440000</x:v>
      </x:c>
    </x:row>
    <x:row r="26" ht="24" customHeight="1">
      <x:c r="A26" s="2" t="str">
        <x:v>2026-10-05_Day</x:v>
      </x:c>
      <x:c r="B26" s="6" t="str">
        <x:v>デイ</x:v>
      </x:c>
      <x:c r="C26" s="6" t="n">
        <x:v>936000</x:v>
      </x:c>
      <x:c r="D26" s="6" t="n">
        <x:v>3061000</x:v>
      </x:c>
      <x:c r="E26" s="6" t="n">
        <x:f>C26-D26</x:f>
        <x:v>-2125000</x:v>
      </x:c>
      <x:c r="F26" s="6" t="n">
        <x:f>F25+E26</x:f>
        <x:v>-52871000</x:v>
      </x:c>
      <x:c r="G26" s="6" t="n">
        <x:v>695000</x:v>
      </x:c>
      <x:c r="H26" s="6" t="n">
        <x:v>2820000</x:v>
      </x:c>
      <x:c r="I26" s="6" t="n">
        <x:v>203</x:v>
      </x:c>
      <x:c r="J26" s="6" t="n">
        <x:v>416</x:v>
      </x:c>
      <x:c r="K26" s="6" t="n">
        <x:v>373</x:v>
      </x:c>
      <x:c r="L26" s="6" t="n">
        <x:v>10</x:v>
      </x:c>
      <x:c r="M26" s="11" t="n">
        <x:v>0.8120238095238095</x:v>
      </x:c>
      <x:c r="N26" s="6" t="n">
        <x:v>2159000</x:v>
      </x:c>
    </x:row>
    <x:row r="27" ht="24" customHeight="1">
      <x:c r="A27" s="2" t="str">
        <x:v>2026-10-05_Night</x:v>
      </x:c>
      <x:c r="B27" s="6" t="str">
        <x:v>ナイト</x:v>
      </x:c>
      <x:c r="C27" s="6" t="n">
        <x:v>948000</x:v>
      </x:c>
      <x:c r="D27" s="6" t="n">
        <x:v>3417000</x:v>
      </x:c>
      <x:c r="E27" s="6" t="n">
        <x:f>C27-D27</x:f>
        <x:v>-2469000</x:v>
      </x:c>
      <x:c r="F27" s="6" t="n">
        <x:f>F26+E27</x:f>
        <x:v>-55340000</x:v>
      </x:c>
      <x:c r="G27" s="6" t="n">
        <x:v>789000</x:v>
      </x:c>
      <x:c r="H27" s="6" t="n">
        <x:v>3258000</x:v>
      </x:c>
      <x:c r="I27" s="6" t="n">
        <x:v>249</x:v>
      </x:c>
      <x:c r="J27" s="6" t="n">
        <x:v>375</x:v>
      </x:c>
      <x:c r="K27" s="6" t="n">
        <x:v>328</x:v>
      </x:c>
      <x:c r="L27" s="6" t="n">
        <x:v>10</x:v>
      </x:c>
      <x:c r="M27" s="11" t="n">
        <x:v>0.7591239316239317</x:v>
      </x:c>
      <x:c r="N27" s="6" t="n">
        <x:v>2578000</x:v>
      </x:c>
    </x:row>
    <x:row r="28" ht="24" customHeight="1">
      <x:c r="A28" s="2" t="str">
        <x:v>2026-10-06_Day</x:v>
      </x:c>
      <x:c r="B28" s="6" t="str">
        <x:v>デイ</x:v>
      </x:c>
      <x:c r="C28" s="6" t="n">
        <x:v>873000</x:v>
      </x:c>
      <x:c r="D28" s="6" t="n">
        <x:v>2746000</x:v>
      </x:c>
      <x:c r="E28" s="6" t="n">
        <x:f>C28-D28</x:f>
        <x:v>-1873000</x:v>
      </x:c>
      <x:c r="F28" s="6" t="n">
        <x:f>F27+E28</x:f>
        <x:v>-57213000</x:v>
      </x:c>
      <x:c r="G28" s="6" t="n">
        <x:v>703000</x:v>
      </x:c>
      <x:c r="H28" s="6" t="n">
        <x:v>2576000</x:v>
      </x:c>
      <x:c r="I28" s="6" t="n">
        <x:v>191</x:v>
      </x:c>
      <x:c r="J28" s="6" t="n">
        <x:v>350</x:v>
      </x:c>
      <x:c r="K28" s="6" t="n">
        <x:v>362</x:v>
      </x:c>
      <x:c r="L28" s="6" t="n">
        <x:v>10</x:v>
      </x:c>
      <x:c r="M28" s="11" t="n">
        <x:v>0.8190873015873016</x:v>
      </x:c>
      <x:c r="N28" s="6" t="n">
        <x:v>1873000</x:v>
      </x:c>
    </x:row>
    <x:row r="29" ht="24" customHeight="1">
      <x:c r="A29" s="2" t="str">
        <x:v>2026-10-06_Night</x:v>
      </x:c>
      <x:c r="B29" s="6" t="str">
        <x:v>ナイト</x:v>
      </x:c>
      <x:c r="C29" s="6" t="n">
        <x:v>623000</x:v>
      </x:c>
      <x:c r="D29" s="6" t="n">
        <x:v>2600000</x:v>
      </x:c>
      <x:c r="E29" s="6" t="n">
        <x:f>C29-D29</x:f>
        <x:v>-1977000</x:v>
      </x:c>
      <x:c r="F29" s="6" t="n">
        <x:f>F28+E29</x:f>
        <x:v>-59190000</x:v>
      </x:c>
      <x:c r="G29" s="6" t="n">
        <x:v>489000</x:v>
      </x:c>
      <x:c r="H29" s="6" t="n">
        <x:v>2466000</x:v>
      </x:c>
      <x:c r="I29" s="6" t="n">
        <x:v>209</x:v>
      </x:c>
      <x:c r="J29" s="6" t="n">
        <x:v>366</x:v>
      </x:c>
      <x:c r="K29" s="6" t="n">
        <x:v>322</x:v>
      </x:c>
      <x:c r="L29" s="6" t="n">
        <x:v>10</x:v>
      </x:c>
      <x:c r="M29" s="11" t="n">
        <x:v>0.7006196581196581</x:v>
      </x:c>
      <x:c r="N29" s="6" t="n">
        <x:v>1992000</x:v>
      </x:c>
    </x:row>
    <x:row r="30" ht="24" customHeight="1">
      <x:c r="A30" s="2" t="str">
        <x:v>2026-10-07_Day</x:v>
      </x:c>
      <x:c r="B30" s="6" t="str">
        <x:v>デイ</x:v>
      </x:c>
      <x:c r="C30" s="6" t="n">
        <x:v>681000</x:v>
      </x:c>
      <x:c r="D30" s="6" t="n">
        <x:v>2572000</x:v>
      </x:c>
      <x:c r="E30" s="6" t="n">
        <x:f>C30-D30</x:f>
        <x:v>-1891000</x:v>
      </x:c>
      <x:c r="F30" s="6" t="n">
        <x:f>F29+E30</x:f>
        <x:v>-61081000</x:v>
      </x:c>
      <x:c r="G30" s="6" t="n">
        <x:v>541000</x:v>
      </x:c>
      <x:c r="H30" s="6" t="n">
        <x:v>2432000</x:v>
      </x:c>
      <x:c r="I30" s="6" t="n">
        <x:v>182</x:v>
      </x:c>
      <x:c r="J30" s="6" t="n">
        <x:v>376</x:v>
      </x:c>
      <x:c r="K30" s="6" t="n">
        <x:v>328</x:v>
      </x:c>
      <x:c r="L30" s="6" t="n">
        <x:v>10</x:v>
      </x:c>
      <x:c r="M30" s="11" t="n">
        <x:v>0.7998809523809524</x:v>
      </x:c>
      <x:c r="N30" s="6" t="n">
        <x:v>1904000</x:v>
      </x:c>
    </x:row>
    <x:row r="31" ht="24" customHeight="1">
      <x:c r="A31" s="2" t="str">
        <x:v>2026-10-07_Night</x:v>
      </x:c>
      <x:c r="B31" s="6" t="str">
        <x:v>ナイト</x:v>
      </x:c>
      <x:c r="C31" s="6" t="n">
        <x:v>628000</x:v>
      </x:c>
      <x:c r="D31" s="6" t="n">
        <x:v>3506000</x:v>
      </x:c>
      <x:c r="E31" s="6" t="n">
        <x:f>C31-D31</x:f>
        <x:v>-2878000</x:v>
      </x:c>
      <x:c r="F31" s="6" t="n">
        <x:f>F30+E31</x:f>
        <x:v>-63959000</x:v>
      </x:c>
      <x:c r="G31" s="6" t="n">
        <x:v>404000</x:v>
      </x:c>
      <x:c r="H31" s="6" t="n">
        <x:v>3282000</x:v>
      </x:c>
      <x:c r="I31" s="6" t="n">
        <x:v>258</x:v>
      </x:c>
      <x:c r="J31" s="6" t="n">
        <x:v>453</x:v>
      </x:c>
      <x:c r="K31" s="6" t="n">
        <x:v>470</x:v>
      </x:c>
      <x:c r="L31" s="6" t="n">
        <x:v>10</x:v>
      </x:c>
      <x:c r="M31" s="11" t="n">
        <x:v>0.7810897435897436</x:v>
      </x:c>
      <x:c r="N31" s="6" t="n">
        <x:v>2902000</x:v>
      </x:c>
    </x:row>
    <x:row r="32" ht="24" customHeight="1">
      <x:c r="A32" s="2" t="str">
        <x:v>2026-10-08_Day</x:v>
      </x:c>
      <x:c r="B32" s="6" t="str">
        <x:v>デイ</x:v>
      </x:c>
      <x:c r="C32" s="6" t="n">
        <x:v>1397000</x:v>
      </x:c>
      <x:c r="D32" s="6" t="n">
        <x:v>3581000</x:v>
      </x:c>
      <x:c r="E32" s="6" t="n">
        <x:f>C32-D32</x:f>
        <x:v>-2184000</x:v>
      </x:c>
      <x:c r="F32" s="6" t="n">
        <x:f>F31+E32</x:f>
        <x:v>-66143000</x:v>
      </x:c>
      <x:c r="G32" s="6" t="n">
        <x:v>1095000</x:v>
      </x:c>
      <x:c r="H32" s="6" t="n">
        <x:v>3279000</x:v>
      </x:c>
      <x:c r="I32" s="6" t="n">
        <x:v>199</x:v>
      </x:c>
      <x:c r="J32" s="6" t="n">
        <x:v>408</x:v>
      </x:c>
      <x:c r="K32" s="6" t="n">
        <x:v>388</x:v>
      </x:c>
      <x:c r="L32" s="6" t="n">
        <x:v>10</x:v>
      </x:c>
      <x:c r="M32" s="11" t="n">
        <x:v>0.8327777777777777</x:v>
      </x:c>
      <x:c r="N32" s="6" t="n">
        <x:v>2377000</x:v>
      </x:c>
    </x:row>
    <x:row r="33" ht="24" customHeight="1">
      <x:c r="A33" s="2" t="str">
        <x:v>2026-10-08_Night</x:v>
      </x:c>
      <x:c r="B33" s="6" t="str">
        <x:v>ナイト</x:v>
      </x:c>
      <x:c r="C33" s="6" t="n">
        <x:v>1787000</x:v>
      </x:c>
      <x:c r="D33" s="6" t="n">
        <x:v>6025000</x:v>
      </x:c>
      <x:c r="E33" s="6" t="n">
        <x:f>C33-D33</x:f>
        <x:v>-4238000</x:v>
      </x:c>
      <x:c r="F33" s="6" t="n">
        <x:f>F32+E33</x:f>
        <x:v>-70381000</x:v>
      </x:c>
      <x:c r="G33" s="6" t="n">
        <x:v>1397000</x:v>
      </x:c>
      <x:c r="H33" s="6" t="n">
        <x:v>5635000</x:v>
      </x:c>
      <x:c r="I33" s="6" t="n">
        <x:v>330</x:v>
      </x:c>
      <x:c r="J33" s="6" t="n">
        <x:v>461</x:v>
      </x:c>
      <x:c r="K33" s="6" t="n">
        <x:v>462</x:v>
      </x:c>
      <x:c r="L33" s="6" t="n">
        <x:v>10</x:v>
      </x:c>
      <x:c r="M33" s="11" t="n">
        <x:v>0.7441452991452991</x:v>
      </x:c>
      <x:c r="N33" s="6" t="n">
        <x:v>4247000</x:v>
      </x:c>
    </x:row>
    <x:row r="34" ht="24" customHeight="1">
      <x:c r="A34" s="2" t="str">
        <x:v>2026-10-09_Day</x:v>
      </x:c>
      <x:c r="B34" s="6" t="str">
        <x:v>デイ</x:v>
      </x:c>
      <x:c r="C34" s="6" t="n">
        <x:v>1560000</x:v>
      </x:c>
      <x:c r="D34" s="6" t="n">
        <x:v>3998000</x:v>
      </x:c>
      <x:c r="E34" s="6" t="n">
        <x:f>C34-D34</x:f>
        <x:v>-2438000</x:v>
      </x:c>
      <x:c r="F34" s="6" t="n">
        <x:f>F33+E34</x:f>
        <x:v>-72819000</x:v>
      </x:c>
      <x:c r="G34" s="6" t="n">
        <x:v>1416000</x:v>
      </x:c>
      <x:c r="H34" s="6" t="n">
        <x:v>3854000</x:v>
      </x:c>
      <x:c r="I34" s="6" t="n">
        <x:v>202</x:v>
      </x:c>
      <x:c r="J34" s="6" t="n">
        <x:v>352</x:v>
      </x:c>
      <x:c r="K34" s="6" t="n">
        <x:v>328</x:v>
      </x:c>
      <x:c r="L34" s="6" t="n">
        <x:v>10</x:v>
      </x:c>
      <x:c r="M34" s="11" t="n">
        <x:v>0.8100396825396825</x:v>
      </x:c>
      <x:c r="N34" s="6" t="n">
        <x:v>2621000</x:v>
      </x:c>
    </x:row>
    <x:row r="35" ht="24" customHeight="1">
      <x:c r="A35" s="2" t="str">
        <x:v>2026-10-09_Night</x:v>
      </x:c>
      <x:c r="B35" s="6" t="str">
        <x:v>ナイト</x:v>
      </x:c>
      <x:c r="C35" s="6" t="n">
        <x:v>461000</x:v>
      </x:c>
      <x:c r="D35" s="6" t="n">
        <x:v>3076000</x:v>
      </x:c>
      <x:c r="E35" s="6" t="n">
        <x:f>C35-D35</x:f>
        <x:v>-2615000</x:v>
      </x:c>
      <x:c r="F35" s="6" t="n">
        <x:f>F34+E35</x:f>
        <x:v>-75434000</x:v>
      </x:c>
      <x:c r="G35" s="6" t="n">
        <x:v>337000</x:v>
      </x:c>
      <x:c r="H35" s="6" t="n">
        <x:v>2952000</x:v>
      </x:c>
      <x:c r="I35" s="6" t="n">
        <x:v>207</x:v>
      </x:c>
      <x:c r="J35" s="6" t="n">
        <x:v>285</x:v>
      </x:c>
      <x:c r="K35" s="6" t="n">
        <x:v>290</x:v>
      </x:c>
      <x:c r="L35" s="6" t="n">
        <x:v>10</x:v>
      </x:c>
      <x:c r="M35" s="11" t="n">
        <x:v>0.745534188034188</x:v>
      </x:c>
      <x:c r="N35" s="6" t="n">
        <x:v>2647000</x:v>
      </x:c>
    </x:row>
    <x:row r="36" ht="24" customHeight="1">
      <x:c r="A36" s="2" t="str">
        <x:v>2026-10-12_Day</x:v>
      </x:c>
      <x:c r="B36" s="6" t="str">
        <x:v>デイ</x:v>
      </x:c>
      <x:c r="C36" s="6" t="n">
        <x:v>334000</x:v>
      </x:c>
      <x:c r="D36" s="6" t="n">
        <x:v>1729000</x:v>
      </x:c>
      <x:c r="E36" s="6" t="n">
        <x:f>C36-D36</x:f>
        <x:v>-1395000</x:v>
      </x:c>
      <x:c r="F36" s="6" t="n">
        <x:f>F35+E36</x:f>
        <x:v>-76829000</x:v>
      </x:c>
      <x:c r="G36" s="6" t="n">
        <x:v>203000</x:v>
      </x:c>
      <x:c r="H36" s="6" t="n">
        <x:v>1598000</x:v>
      </x:c>
      <x:c r="I36" s="6" t="n">
        <x:v>114</x:v>
      </x:c>
      <x:c r="J36" s="6" t="n">
        <x:v>158</x:v>
      </x:c>
      <x:c r="K36" s="6" t="n">
        <x:v>148</x:v>
      </x:c>
      <x:c r="L36" s="6" t="n">
        <x:v>10</x:v>
      </x:c>
      <x:c r="M36" s="11" t="n">
        <x:v>0.7298015873015873</x:v>
      </x:c>
      <x:c r="N36" s="6" t="n">
        <x:v>1397000</x:v>
      </x:c>
    </x:row>
    <x:row r="37" ht="24" customHeight="1">
      <x:c r="A37" s="2" t="str">
        <x:v>2026-10-12_Night</x:v>
      </x:c>
      <x:c r="B37" s="6" t="str">
        <x:v>ナイト</x:v>
      </x:c>
      <x:c r="C37" s="6" t="n">
        <x:v>663000</x:v>
      </x:c>
      <x:c r="D37" s="6" t="n">
        <x:v>1857000</x:v>
      </x:c>
      <x:c r="E37" s="6" t="n">
        <x:f>C37-D37</x:f>
        <x:v>-1194000</x:v>
      </x:c>
      <x:c r="F37" s="6" t="n">
        <x:f>F36+E37</x:f>
        <x:v>-78023000</x:v>
      </x:c>
      <x:c r="G37" s="6" t="n">
        <x:v>503000</x:v>
      </x:c>
      <x:c r="H37" s="6" t="n">
        <x:v>1697000</x:v>
      </x:c>
      <x:c r="I37" s="6" t="n">
        <x:v>163</x:v>
      </x:c>
      <x:c r="J37" s="6" t="n">
        <x:v>213</x:v>
      </x:c>
      <x:c r="K37" s="6" t="n">
        <x:v>190</x:v>
      </x:c>
      <x:c r="L37" s="6" t="n">
        <x:v>10</x:v>
      </x:c>
      <x:c r="M37" s="11" t="n">
        <x:v>0.721965811965812</x:v>
      </x:c>
      <x:c r="N37" s="6" t="n">
        <x:v>1217000</x:v>
      </x:c>
    </x:row>
    <x:row r="38" ht="24" customHeight="1">
      <x:c r="A38" s="2" t="str">
        <x:v>2026-10-13_Day</x:v>
      </x:c>
      <x:c r="B38" s="6" t="str">
        <x:v>デイ</x:v>
      </x:c>
      <x:c r="C38" s="6" t="n">
        <x:v>1788000</x:v>
      </x:c>
      <x:c r="D38" s="6" t="n">
        <x:v>5264000</x:v>
      </x:c>
      <x:c r="E38" s="6" t="n">
        <x:f>C38-D38</x:f>
        <x:v>-3476000</x:v>
      </x:c>
      <x:c r="F38" s="6" t="n">
        <x:f>F37+E38</x:f>
        <x:v>-81499000</x:v>
      </x:c>
      <x:c r="G38" s="6" t="n">
        <x:v>1608000</x:v>
      </x:c>
      <x:c r="H38" s="6" t="n">
        <x:v>5084000</x:v>
      </x:c>
      <x:c r="I38" s="6" t="n">
        <x:v>247</x:v>
      </x:c>
      <x:c r="J38" s="6" t="n">
        <x:v>397</x:v>
      </x:c>
      <x:c r="K38" s="6" t="n">
        <x:v>378</x:v>
      </x:c>
      <x:c r="L38" s="6" t="n">
        <x:v>10</x:v>
      </x:c>
      <x:c r="M38" s="11" t="n">
        <x:v>0.8118650793650793</x:v>
      </x:c>
      <x:c r="N38" s="6" t="n">
        <x:v>3524000</x:v>
      </x:c>
    </x:row>
    <x:row r="39" ht="24" customHeight="1">
      <x:c r="A39" s="2" t="str">
        <x:v>2026-10-13_Night</x:v>
      </x:c>
      <x:c r="B39" s="6" t="str">
        <x:v>ナイト</x:v>
      </x:c>
      <x:c r="C39" s="6" t="n">
        <x:v>696000</x:v>
      </x:c>
      <x:c r="D39" s="6" t="n">
        <x:v>2856000</x:v>
      </x:c>
      <x:c r="E39" s="6" t="n">
        <x:f>C39-D39</x:f>
        <x:v>-2160000</x:v>
      </x:c>
      <x:c r="F39" s="6" t="n">
        <x:f>F38+E39</x:f>
        <x:v>-83659000</x:v>
      </x:c>
      <x:c r="G39" s="6" t="n">
        <x:v>498000</x:v>
      </x:c>
      <x:c r="H39" s="6" t="n">
        <x:v>2658000</x:v>
      </x:c>
      <x:c r="I39" s="6" t="n">
        <x:v>221</x:v>
      </x:c>
      <x:c r="J39" s="6" t="n">
        <x:v>334</x:v>
      </x:c>
      <x:c r="K39" s="6" t="n">
        <x:v>298</x:v>
      </x:c>
      <x:c r="L39" s="6" t="n">
        <x:v>10</x:v>
      </x:c>
      <x:c r="M39" s="11" t="n">
        <x:v>0.7336752136752137</x:v>
      </x:c>
      <x:c r="N39" s="6" t="n">
        <x:v>2167000</x:v>
      </x:c>
    </x:row>
    <x:row r="40" ht="24" customHeight="1">
      <x:c r="A40" s="2" t="str">
        <x:v>2026-10-14_Day</x:v>
      </x:c>
      <x:c r="B40" s="6" t="str">
        <x:v>デイ</x:v>
      </x:c>
      <x:c r="C40" s="6" t="n">
        <x:v>1158000</x:v>
      </x:c>
      <x:c r="D40" s="6" t="n">
        <x:v>4102000</x:v>
      </x:c>
      <x:c r="E40" s="6" t="n">
        <x:f>C40-D40</x:f>
        <x:v>-2944000</x:v>
      </x:c>
      <x:c r="F40" s="6" t="n">
        <x:f>F39+E40</x:f>
        <x:v>-86603000</x:v>
      </x:c>
      <x:c r="G40" s="6" t="n">
        <x:v>993000</x:v>
      </x:c>
      <x:c r="H40" s="6" t="n">
        <x:v>3937000</x:v>
      </x:c>
      <x:c r="I40" s="6" t="n">
        <x:v>227</x:v>
      </x:c>
      <x:c r="J40" s="6" t="n">
        <x:v>368</x:v>
      </x:c>
      <x:c r="K40" s="6" t="n">
        <x:v>349</x:v>
      </x:c>
      <x:c r="L40" s="6" t="n">
        <x:v>10</x:v>
      </x:c>
      <x:c r="M40" s="11" t="n">
        <x:v>0.8174603174603174</x:v>
      </x:c>
      <x:c r="N40" s="6" t="n">
        <x:v>2992000</x:v>
      </x:c>
    </x:row>
    <x:row r="41" ht="24" customHeight="1">
      <x:c r="A41" s="2" t="str">
        <x:v>2026-10-14_Night</x:v>
      </x:c>
      <x:c r="B41" s="6" t="str">
        <x:v>ナイト</x:v>
      </x:c>
      <x:c r="C41" s="6" t="n">
        <x:v>2028000</x:v>
      </x:c>
      <x:c r="D41" s="6" t="n">
        <x:v>4701000</x:v>
      </x:c>
      <x:c r="E41" s="6" t="n">
        <x:f>C41-D41</x:f>
        <x:v>-2673000</x:v>
      </x:c>
      <x:c r="F41" s="6" t="n">
        <x:f>F40+E41</x:f>
        <x:v>-89276000</x:v>
      </x:c>
      <x:c r="G41" s="6" t="n">
        <x:v>1741000</x:v>
      </x:c>
      <x:c r="H41" s="6" t="n">
        <x:v>4414000</x:v>
      </x:c>
      <x:c r="I41" s="6" t="n">
        <x:v>297</x:v>
      </x:c>
      <x:c r="J41" s="6" t="n">
        <x:v>487</x:v>
      </x:c>
      <x:c r="K41" s="6" t="n">
        <x:v>487</x:v>
      </x:c>
      <x:c r="L41" s="6" t="n">
        <x:v>10</x:v>
      </x:c>
      <x:c r="M41" s="11" t="n">
        <x:v>0.8043162393162393</x:v>
      </x:c>
      <x:c r="N41" s="6" t="n">
        <x:v>2740000</x:v>
      </x:c>
    </x:row>
    <x:row r="42" ht="24" customHeight="1">
      <x:c r="A42" s="2" t="str">
        <x:v>2026-10-15_Day</x:v>
      </x:c>
      <x:c r="B42" s="6" t="str">
        <x:v>デイ</x:v>
      </x:c>
      <x:c r="C42" s="6" t="n">
        <x:v>2803000</x:v>
      </x:c>
      <x:c r="D42" s="6" t="n">
        <x:v>6697000</x:v>
      </x:c>
      <x:c r="E42" s="6" t="n">
        <x:f>C42-D42</x:f>
        <x:v>-3894000</x:v>
      </x:c>
      <x:c r="F42" s="6" t="n">
        <x:f>F41+E42</x:f>
        <x:v>-93170000</x:v>
      </x:c>
      <x:c r="G42" s="6" t="n">
        <x:v>2512000</x:v>
      </x:c>
      <x:c r="H42" s="6" t="n">
        <x:v>6406000</x:v>
      </x:c>
      <x:c r="I42" s="6" t="n">
        <x:v>299</x:v>
      </x:c>
      <x:c r="J42" s="6" t="n">
        <x:v>356</x:v>
      </x:c>
      <x:c r="K42" s="6" t="n">
        <x:v>398</x:v>
      </x:c>
      <x:c r="L42" s="6" t="n">
        <x:v>10</x:v>
      </x:c>
      <x:c r="M42" s="11" t="n">
        <x:v>0.8091269841269841</x:v>
      </x:c>
      <x:c r="N42" s="6" t="n">
        <x:v>4028000</x:v>
      </x:c>
    </x:row>
    <x:row r="43" ht="24" customHeight="1">
      <x:c r="A43" s="2" t="str">
        <x:v>2026-10-15_Night</x:v>
      </x:c>
      <x:c r="B43" s="6" t="str">
        <x:v>ナイト</x:v>
      </x:c>
      <x:c r="C43" s="6" t="n">
        <x:v>2459000</x:v>
      </x:c>
      <x:c r="D43" s="6" t="n">
        <x:v>7426000</x:v>
      </x:c>
      <x:c r="E43" s="6" t="n">
        <x:f>C43-D43</x:f>
        <x:v>-4967000</x:v>
      </x:c>
      <x:c r="F43" s="6" t="n">
        <x:f>F42+E43</x:f>
        <x:v>-98137000</x:v>
      </x:c>
      <x:c r="G43" s="6" t="n">
        <x:v>2114000</x:v>
      </x:c>
      <x:c r="H43" s="6" t="n">
        <x:v>7081000</x:v>
      </x:c>
      <x:c r="I43" s="6" t="n">
        <x:v>361</x:v>
      </x:c>
      <x:c r="J43" s="6" t="n">
        <x:v>474</x:v>
      </x:c>
      <x:c r="K43" s="6" t="n">
        <x:v>481</x:v>
      </x:c>
      <x:c r="L43" s="6" t="n">
        <x:v>10</x:v>
      </x:c>
      <x:c r="M43" s="11" t="n">
        <x:v>0.7667735042735043</x:v>
      </x:c>
      <x:c r="N43" s="6" t="n">
        <x:v>5008000</x:v>
      </x:c>
    </x:row>
    <x:row r="44" ht="24" customHeight="1">
      <x:c r="A44" s="2" t="str">
        <x:v>2026-10-16_Day</x:v>
      </x:c>
      <x:c r="B44" s="6" t="str">
        <x:v>デイ</x:v>
      </x:c>
      <x:c r="C44" s="6" t="n">
        <x:v>1534000</x:v>
      </x:c>
      <x:c r="D44" s="6" t="n">
        <x:v>5460000</x:v>
      </x:c>
      <x:c r="E44" s="6" t="n">
        <x:f>C44-D44</x:f>
        <x:v>-3926000</x:v>
      </x:c>
      <x:c r="F44" s="6" t="n">
        <x:f>F43+E44</x:f>
        <x:v>-102063000</x:v>
      </x:c>
      <x:c r="G44" s="6" t="n">
        <x:v>1324000</x:v>
      </x:c>
      <x:c r="H44" s="6" t="n">
        <x:v>5250000</x:v>
      </x:c>
      <x:c r="I44" s="6" t="n">
        <x:v>248</x:v>
      </x:c>
      <x:c r="J44" s="6" t="n">
        <x:v>357</x:v>
      </x:c>
      <x:c r="K44" s="6" t="n">
        <x:v>387</x:v>
      </x:c>
      <x:c r="L44" s="6" t="n">
        <x:v>10</x:v>
      </x:c>
      <x:c r="M44" s="11" t="n">
        <x:v>0.8232539682539682</x:v>
      </x:c>
      <x:c r="N44" s="6" t="n">
        <x:v>3959000</x:v>
      </x:c>
    </x:row>
    <x:row r="45" ht="24" customHeight="1">
      <x:c r="A45" s="2" t="str">
        <x:v>2026-10-16_Night</x:v>
      </x:c>
      <x:c r="B45" s="6" t="str">
        <x:v>ナイト</x:v>
      </x:c>
      <x:c r="C45" s="6" t="n">
        <x:v>2777000</x:v>
      </x:c>
      <x:c r="D45" s="6" t="n">
        <x:v>7023000</x:v>
      </x:c>
      <x:c r="E45" s="6" t="n">
        <x:f>C45-D45</x:f>
        <x:v>-4246000</x:v>
      </x:c>
      <x:c r="F45" s="6" t="n">
        <x:f>F44+E45</x:f>
        <x:v>-106309000</x:v>
      </x:c>
      <x:c r="G45" s="6" t="n">
        <x:v>2409000</x:v>
      </x:c>
      <x:c r="H45" s="6" t="n">
        <x:v>6655000</x:v>
      </x:c>
      <x:c r="I45" s="6" t="n">
        <x:v>364</x:v>
      </x:c>
      <x:c r="J45" s="6" t="n">
        <x:v>480</x:v>
      </x:c>
      <x:c r="K45" s="6" t="n">
        <x:v>489</x:v>
      </x:c>
      <x:c r="L45" s="6" t="n">
        <x:v>10</x:v>
      </x:c>
      <x:c r="M45" s="11" t="n">
        <x:v>0.7823931623931624</x:v>
      </x:c>
      <x:c r="N45" s="6" t="n">
        <x:v>4306000</x:v>
      </x:c>
    </x:row>
    <x:row r="46" ht="24" customHeight="1">
      <x:c r="A46" s="2" t="str">
        <x:v>2026-10-19_Day</x:v>
      </x:c>
      <x:c r="B46" s="6" t="str">
        <x:v>デイ</x:v>
      </x:c>
      <x:c r="C46" s="6" t="n">
        <x:v>2366000</x:v>
      </x:c>
      <x:c r="D46" s="6" t="n">
        <x:v>5502000</x:v>
      </x:c>
      <x:c r="E46" s="6" t="n">
        <x:f>C46-D46</x:f>
        <x:v>-3136000</x:v>
      </x:c>
      <x:c r="F46" s="6" t="n">
        <x:f>F45+E46</x:f>
        <x:v>-109445000</x:v>
      </x:c>
      <x:c r="G46" s="6" t="n">
        <x:v>2181000</x:v>
      </x:c>
      <x:c r="H46" s="6" t="n">
        <x:v>5317000</x:v>
      </x:c>
      <x:c r="I46" s="6" t="n">
        <x:v>269</x:v>
      </x:c>
      <x:c r="J46" s="6" t="n">
        <x:v>340</x:v>
      </x:c>
      <x:c r="K46" s="6" t="n">
        <x:v>361</x:v>
      </x:c>
      <x:c r="L46" s="6" t="n">
        <x:v>10</x:v>
      </x:c>
      <x:c r="M46" s="11" t="n">
        <x:v>0.7884920634920635</x:v>
      </x:c>
      <x:c r="N46" s="6" t="n">
        <x:v>3334000</x:v>
      </x:c>
    </x:row>
    <x:row r="47" ht="24" customHeight="1">
      <x:c r="A47" s="2" t="str">
        <x:v>2026-10-19_Night</x:v>
      </x:c>
      <x:c r="B47" s="6" t="str">
        <x:v>ナイト</x:v>
      </x:c>
      <x:c r="C47" s="6" t="n">
        <x:v>1366000</x:v>
      </x:c>
      <x:c r="D47" s="6" t="n">
        <x:v>5240000</x:v>
      </x:c>
      <x:c r="E47" s="6" t="n">
        <x:f>C47-D47</x:f>
        <x:v>-3874000</x:v>
      </x:c>
      <x:c r="F47" s="6" t="n">
        <x:f>F46+E47</x:f>
        <x:v>-113319000</x:v>
      </x:c>
      <x:c r="G47" s="6" t="n">
        <x:v>1071000</x:v>
      </x:c>
      <x:c r="H47" s="6" t="n">
        <x:v>4945000</x:v>
      </x:c>
      <x:c r="I47" s="6" t="n">
        <x:v>304</x:v>
      </x:c>
      <x:c r="J47" s="6" t="n">
        <x:v>437</x:v>
      </x:c>
      <x:c r="K47" s="6" t="n">
        <x:v>468</x:v>
      </x:c>
      <x:c r="L47" s="6" t="n">
        <x:v>10</x:v>
      </x:c>
      <x:c r="M47" s="11" t="n">
        <x:v>0.8011111111111111</x:v>
      </x:c>
      <x:c r="N47" s="6" t="n">
        <x:v>3890000</x:v>
      </x:c>
    </x:row>
    <x:row r="48" ht="24" customHeight="1">
      <x:c r="A48" s="2" t="str">
        <x:v>2026-10-20_Day</x:v>
      </x:c>
      <x:c r="B48" s="6" t="str">
        <x:v>デイ</x:v>
      </x:c>
      <x:c r="C48" s="6" t="n">
        <x:v>2348000</x:v>
      </x:c>
      <x:c r="D48" s="6" t="n">
        <x:v>5406000</x:v>
      </x:c>
      <x:c r="E48" s="6" t="n">
        <x:f>C48-D48</x:f>
        <x:v>-3058000</x:v>
      </x:c>
      <x:c r="F48" s="6" t="n">
        <x:f>F47+E48</x:f>
        <x:v>-116377000</x:v>
      </x:c>
      <x:c r="G48" s="6" t="n">
        <x:v>2074000</x:v>
      </x:c>
      <x:c r="H48" s="6" t="n">
        <x:v>5132000</x:v>
      </x:c>
      <x:c r="I48" s="6" t="n">
        <x:v>247</x:v>
      </x:c>
      <x:c r="J48" s="6" t="n">
        <x:v>366</x:v>
      </x:c>
      <x:c r="K48" s="6" t="n">
        <x:v>392</x:v>
      </x:c>
      <x:c r="L48" s="6" t="n">
        <x:v>10</x:v>
      </x:c>
      <x:c r="M48" s="11" t="n">
        <x:v>0.8296428571428571</x:v>
      </x:c>
      <x:c r="N48" s="6" t="n">
        <x:v>3068000</x:v>
      </x:c>
    </x:row>
    <x:row r="49" ht="24" customHeight="1">
      <x:c r="A49" s="2" t="str">
        <x:v>2026-10-20_Night</x:v>
      </x:c>
      <x:c r="B49" s="6" t="str">
        <x:v>ナイト</x:v>
      </x:c>
      <x:c r="C49" s="6" t="n">
        <x:v>2271000</x:v>
      </x:c>
      <x:c r="D49" s="6" t="n">
        <x:v>5522000</x:v>
      </x:c>
      <x:c r="E49" s="6" t="n">
        <x:f>C49-D49</x:f>
        <x:v>-3251000</x:v>
      </x:c>
      <x:c r="F49" s="6" t="n">
        <x:f>F48+E49</x:f>
        <x:v>-119628000</x:v>
      </x:c>
      <x:c r="G49" s="6" t="n">
        <x:v>1899000</x:v>
      </x:c>
      <x:c r="H49" s="6" t="n">
        <x:v>5150000</x:v>
      </x:c>
      <x:c r="I49" s="6" t="n">
        <x:v>312</x:v>
      </x:c>
      <x:c r="J49" s="6" t="n">
        <x:v>435</x:v>
      </x:c>
      <x:c r="K49" s="6" t="n">
        <x:v>452</x:v>
      </x:c>
      <x:c r="L49" s="6" t="n">
        <x:v>10</x:v>
      </x:c>
      <x:c r="M49" s="11" t="n">
        <x:v>0.7493589743589744</x:v>
      </x:c>
      <x:c r="N49" s="6" t="n">
        <x:v>3333000</x:v>
      </x:c>
    </x:row>
    <x:row r="50" ht="24" customHeight="1">
      <x:c r="A50" s="2" t="str">
        <x:v>2026-10-21_Day</x:v>
      </x:c>
      <x:c r="B50" s="6" t="str">
        <x:v>デイ</x:v>
      </x:c>
      <x:c r="C50" s="6" t="n">
        <x:v>1574000</x:v>
      </x:c>
      <x:c r="D50" s="6" t="n">
        <x:v>4983000</x:v>
      </x:c>
      <x:c r="E50" s="6" t="n">
        <x:f>C50-D50</x:f>
        <x:v>-3409000</x:v>
      </x:c>
      <x:c r="F50" s="6" t="n">
        <x:f>F49+E50</x:f>
        <x:v>-123037000</x:v>
      </x:c>
      <x:c r="G50" s="6" t="n">
        <x:v>1301000</x:v>
      </x:c>
      <x:c r="H50" s="6" t="n">
        <x:v>4710000</x:v>
      </x:c>
      <x:c r="I50" s="6" t="n">
        <x:v>260</x:v>
      </x:c>
      <x:c r="J50" s="6" t="n">
        <x:v>425</x:v>
      </x:c>
      <x:c r="K50" s="6" t="n">
        <x:v>399</x:v>
      </x:c>
      <x:c r="L50" s="6" t="n">
        <x:v>10</x:v>
      </x:c>
      <x:c r="M50" s="11" t="n">
        <x:v>0.811984126984127</x:v>
      </x:c>
      <x:c r="N50" s="6" t="n">
        <x:v>3418000</x:v>
      </x:c>
    </x:row>
    <x:row r="51" ht="24" customHeight="1">
      <x:c r="A51" s="2" t="str">
        <x:v>2026-10-21_Night</x:v>
      </x:c>
      <x:c r="B51" s="6" t="str">
        <x:v>ナイト</x:v>
      </x:c>
      <x:c r="C51" s="6" t="n">
        <x:v>1914000</x:v>
      </x:c>
      <x:c r="D51" s="6" t="n">
        <x:v>4527000</x:v>
      </x:c>
      <x:c r="E51" s="6" t="n">
        <x:f>C51-D51</x:f>
        <x:v>-2613000</x:v>
      </x:c>
      <x:c r="F51" s="6" t="n">
        <x:f>F50+E51</x:f>
        <x:v>-125650000</x:v>
      </x:c>
      <x:c r="G51" s="6" t="n">
        <x:v>1573000</x:v>
      </x:c>
      <x:c r="H51" s="6" t="n">
        <x:v>4186000</x:v>
      </x:c>
      <x:c r="I51" s="6" t="n">
        <x:v>262</x:v>
      </x:c>
      <x:c r="J51" s="6" t="n">
        <x:v>401</x:v>
      </x:c>
      <x:c r="K51" s="6" t="n">
        <x:v>397</x:v>
      </x:c>
      <x:c r="L51" s="6" t="n">
        <x:v>10</x:v>
      </x:c>
      <x:c r="M51" s="11" t="n">
        <x:v>0.7688034188034188</x:v>
      </x:c>
      <x:c r="N51" s="6" t="n">
        <x:v>2640000</x:v>
      </x:c>
    </x:row>
    <x:row r="52" ht="24" customHeight="1">
      <x:c r="A52" s="2" t="str">
        <x:v>2026-10-22_Day</x:v>
      </x:c>
      <x:c r="B52" s="6" t="str">
        <x:v>デイ</x:v>
      </x:c>
      <x:c r="C52" s="6" t="n">
        <x:v>1870000</x:v>
      </x:c>
      <x:c r="D52" s="6" t="n">
        <x:v>5187000</x:v>
      </x:c>
      <x:c r="E52" s="6" t="n">
        <x:f>C52-D52</x:f>
        <x:v>-3317000</x:v>
      </x:c>
      <x:c r="F52" s="6" t="n">
        <x:f>F51+E52</x:f>
        <x:v>-128967000</x:v>
      </x:c>
      <x:c r="G52" s="6" t="n">
        <x:v>1653000</x:v>
      </x:c>
      <x:c r="H52" s="6" t="n">
        <x:v>4970000</x:v>
      </x:c>
      <x:c r="I52" s="6" t="n">
        <x:v>260</x:v>
      </x:c>
      <x:c r="J52" s="6" t="n">
        <x:v>384</x:v>
      </x:c>
      <x:c r="K52" s="6" t="n">
        <x:v>412</x:v>
      </x:c>
      <x:c r="L52" s="6" t="n">
        <x:v>10</x:v>
      </x:c>
      <x:c r="M52" s="11" t="n">
        <x:v>0.8145634920634921</x:v>
      </x:c>
      <x:c r="N52" s="6" t="n">
        <x:v>3488000</x:v>
      </x:c>
    </x:row>
    <x:row r="53" ht="24" customHeight="1">
      <x:c r="A53" s="2" t="str">
        <x:v>2026-10-22_Night</x:v>
      </x:c>
      <x:c r="B53" s="6" t="str">
        <x:v>ナイト</x:v>
      </x:c>
      <x:c r="C53" s="6" t="n">
        <x:v>2345000</x:v>
      </x:c>
      <x:c r="D53" s="6" t="n">
        <x:v>5552000</x:v>
      </x:c>
      <x:c r="E53" s="6" t="n">
        <x:f>C53-D53</x:f>
        <x:v>-3207000</x:v>
      </x:c>
      <x:c r="F53" s="6" t="n">
        <x:f>F52+E53</x:f>
        <x:v>-132174000</x:v>
      </x:c>
      <x:c r="G53" s="6" t="n">
        <x:v>1929000</x:v>
      </x:c>
      <x:c r="H53" s="6" t="n">
        <x:v>5136000</x:v>
      </x:c>
      <x:c r="I53" s="6" t="n">
        <x:v>341</x:v>
      </x:c>
      <x:c r="J53" s="6" t="n">
        <x:v>483</x:v>
      </x:c>
      <x:c r="K53" s="6" t="n">
        <x:v>490</x:v>
      </x:c>
      <x:c r="L53" s="6" t="n">
        <x:v>10</x:v>
      </x:c>
      <x:c r="M53" s="11" t="n">
        <x:v>0.787051282051282</x:v>
      </x:c>
      <x:c r="N53" s="6" t="n">
        <x:v>3264000</x:v>
      </x:c>
    </x:row>
    <x:row r="54" ht="24" customHeight="1">
      <x:c r="A54" s="2" t="str">
        <x:v>2026-10-23_Day</x:v>
      </x:c>
      <x:c r="B54" s="6" t="str">
        <x:v>デイ</x:v>
      </x:c>
      <x:c r="C54" s="6" t="n">
        <x:v>4194000</x:v>
      </x:c>
      <x:c r="D54" s="6" t="n">
        <x:v>8824000</x:v>
      </x:c>
      <x:c r="E54" s="6" t="n">
        <x:f>C54-D54</x:f>
        <x:v>-4630000</x:v>
      </x:c>
      <x:c r="F54" s="6" t="n">
        <x:f>F53+E54</x:f>
        <x:v>-136804000</x:v>
      </x:c>
      <x:c r="G54" s="6" t="n">
        <x:v>3806000</x:v>
      </x:c>
      <x:c r="H54" s="6" t="n">
        <x:v>8436000</x:v>
      </x:c>
      <x:c r="I54" s="6" t="n">
        <x:v>374</x:v>
      </x:c>
      <x:c r="J54" s="6" t="n">
        <x:v>334</x:v>
      </x:c>
      <x:c r="K54" s="6" t="n">
        <x:v>373</x:v>
      </x:c>
      <x:c r="L54" s="6" t="n">
        <x:v>10</x:v>
      </x:c>
      <x:c r="M54" s="11" t="n">
        <x:v>0.7825</x:v>
      </x:c>
      <x:c r="N54" s="6" t="n">
        <x:v>4664000</x:v>
      </x:c>
    </x:row>
    <x:row r="55" ht="24" customHeight="1">
      <x:c r="A55" s="2" t="str">
        <x:v>2026-10-23_Night</x:v>
      </x:c>
      <x:c r="B55" s="6" t="str">
        <x:v>ナイト</x:v>
      </x:c>
      <x:c r="C55" s="6" t="n">
        <x:v>1959000</x:v>
      </x:c>
      <x:c r="D55" s="6" t="n">
        <x:v>5986000</x:v>
      </x:c>
      <x:c r="E55" s="6" t="n">
        <x:f>C55-D55</x:f>
        <x:v>-4027000</x:v>
      </x:c>
      <x:c r="F55" s="6" t="n">
        <x:f>F54+E55</x:f>
        <x:v>-140831000</x:v>
      </x:c>
      <x:c r="G55" s="6" t="n">
        <x:v>1706000</x:v>
      </x:c>
      <x:c r="H55" s="6" t="n">
        <x:v>5733000</x:v>
      </x:c>
      <x:c r="I55" s="6" t="n">
        <x:v>352</x:v>
      </x:c>
      <x:c r="J55" s="6" t="n">
        <x:v>445</x:v>
      </x:c>
      <x:c r="K55" s="6" t="n">
        <x:v>479</x:v>
      </x:c>
      <x:c r="L55" s="6" t="n">
        <x:v>10</x:v>
      </x:c>
      <x:c r="M55" s="11" t="n">
        <x:v>0.7673504273504274</x:v>
      </x:c>
      <x:c r="N55" s="6" t="n">
        <x:v>4027000</x:v>
      </x:c>
    </x:row>
    <x:row r="56" ht="24" customHeight="1">
      <x:c r="A56" s="2" t="str">
        <x:v>2026-10-26_Day</x:v>
      </x:c>
      <x:c r="B56" s="6" t="str">
        <x:v>デイ</x:v>
      </x:c>
      <x:c r="C56" s="6" t="n">
        <x:v>2480000</x:v>
      </x:c>
      <x:c r="D56" s="6" t="n">
        <x:v>6295000</x:v>
      </x:c>
      <x:c r="E56" s="6" t="n">
        <x:f>C56-D56</x:f>
        <x:v>-3815000</x:v>
      </x:c>
      <x:c r="F56" s="6" t="n">
        <x:f>F55+E56</x:f>
        <x:v>-144646000</x:v>
      </x:c>
      <x:c r="G56" s="6" t="n">
        <x:v>2177000</x:v>
      </x:c>
      <x:c r="H56" s="6" t="n">
        <x:v>5992000</x:v>
      </x:c>
      <x:c r="I56" s="6" t="n">
        <x:v>272</x:v>
      </x:c>
      <x:c r="J56" s="6" t="n">
        <x:v>356</x:v>
      </x:c>
      <x:c r="K56" s="6" t="n">
        <x:v>363</x:v>
      </x:c>
      <x:c r="L56" s="6" t="n">
        <x:v>10</x:v>
      </x:c>
      <x:c r="M56" s="11" t="n">
        <x:v>0.7992063492063493</x:v>
      </x:c>
      <x:c r="N56" s="6" t="n">
        <x:v>3868000</x:v>
      </x:c>
    </x:row>
    <x:row r="57" ht="24" customHeight="1">
      <x:c r="A57" s="15" t="str">
        <x:v>累計／平均／最大</x:v>
      </x:c>
      <x:c r="B57" s="16"/>
      <x:c r="C57" s="16" t="n">
        <x:f>SUM(C6:C56)</x:f>
        <x:v>74893000</x:v>
      </x:c>
      <x:c r="D57" s="16" t="n">
        <x:f>SUM(D6:D56)</x:f>
        <x:v>219539000</x:v>
      </x:c>
      <x:c r="E57" s="16" t="n">
        <x:f>C57-D57</x:f>
        <x:v>-144646000</x:v>
      </x:c>
      <x:c r="F57" s="16" t="n">
        <x:f>F56</x:f>
        <x:v>-144646000</x:v>
      </x:c>
      <x:c r="G57" s="16" t="n">
        <x:f>SUM(G6:G56)</x:f>
        <x:v>62756000</x:v>
      </x:c>
      <x:c r="H57" s="16" t="n">
        <x:f>SUM(H6:H56)</x:f>
        <x:v>207402000</x:v>
      </x:c>
      <x:c r="I57" s="16" t="n">
        <x:f>SUM(I6:I56)</x:f>
        <x:v>12436</x:v>
      </x:c>
      <x:c r="J57" s="16" t="n">
        <x:f>SUM(J6:J56)</x:f>
        <x:v>18581</x:v>
      </x:c>
      <x:c r="K57" s="16" t="n">
        <x:f>SUM(K6:K56)</x:f>
        <x:v>18349</x:v>
      </x:c>
      <x:c r="L57" s="16" t="n">
        <x:f>MAX(L6:L56)</x:f>
        <x:v>10</x:v>
      </x:c>
      <x:c r="M57" s="17" t="n">
        <x:f>AVERAGE(M6:M56)</x:f>
        <x:v>0.774542842778137</x:v>
      </x:c>
      <x:c r="N57" s="16" t="n">
        <x:f>MAX(N6:N56)</x:f>
        <x:v>5008000</x:v>
      </x:c>
    </x:row>
  </x:sheetData>
  <x:conditionalFormatting sqref="E6:F56">
    <x:cfRule type="cellIs" dxfId="19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5c4fd7ec9744705"/>
  </x:tableParts>
</x:worksheet>
</file>

<file path=xl/worksheets/sheet2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1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4" customHeight="1">
      <x:c r="A1" s="3" t="str">
        <x:v>日経 M13　各セッションの利益・損失・収支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A2" s="4" t="str">
        <x:v>2026/09/21〜10/26デイ・51完了場。日経mini／TOPIXmini各上限10枚・手数料0。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4" customHeight="1">
      <x:c r="A3" s="4" t="str">
        <x:v>300秒の時間加重平均を60秒前と比較。入口だけ傾き比例枚数、利益追尾で返済。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4" customHeight="1">
      <x:c r="A4" s="4" t="str">
        <x:v>利益・損失＝FIFO返済配賦別。親＝初回から全返済まで。ラージ気配による模型で、mini実約定の検証ではありません。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42" customHeight="1">
      <x:c r="A5" s="10" t="str">
        <x:v>セッション</x:v>
      </x:c>
      <x:c r="B5" s="10" t="str">
        <x:v>区分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親利益（円）</x:v>
      </x:c>
      <x:c r="H5" s="10" t="str">
        <x:v>親損失（円）</x:v>
      </x:c>
      <x:c r="I5" s="10" t="str">
        <x:v>初回件数</x:v>
      </x:c>
      <x:c r="J5" s="10" t="str">
        <x:v>追加件数</x:v>
      </x:c>
      <x:c r="K5" s="10" t="str">
        <x:v>縮小件数</x:v>
      </x:c>
      <x:c r="L5" s="10" t="str">
        <x:v>最大保有枚数</x:v>
      </x:c>
      <x:c r="M5" s="10" t="str">
        <x:v>保有時間率</x:v>
      </x:c>
      <x:c r="N5" s="10" t="str">
        <x:v>時価最大DD（円）</x:v>
      </x:c>
    </x:row>
    <x:row r="6" ht="24" customHeight="1">
      <x:c r="A6" s="2" t="str">
        <x:v>2026-09-21_Day</x:v>
      </x:c>
      <x:c r="B6" s="6" t="str">
        <x:v>デイ</x:v>
      </x:c>
      <x:c r="C6" s="6" t="n">
        <x:v>455000</x:v>
      </x:c>
      <x:c r="D6" s="6" t="n">
        <x:v>743000</x:v>
      </x:c>
      <x:c r="E6" s="6" t="n">
        <x:f>C6-D6</x:f>
        <x:v>-288000</x:v>
      </x:c>
      <x:c r="F6" s="6" t="n">
        <x:f>E6</x:f>
        <x:v>-288000</x:v>
      </x:c>
      <x:c r="G6" s="6" t="n">
        <x:v>455000</x:v>
      </x:c>
      <x:c r="H6" s="6" t="n">
        <x:v>743000</x:v>
      </x:c>
      <x:c r="I6" s="6" t="n">
        <x:v>38</x:v>
      </x:c>
      <x:c r="J6" s="6" t="n">
        <x:v>0</x:v>
      </x:c>
      <x:c r="K6" s="6" t="n">
        <x:v>0</x:v>
      </x:c>
      <x:c r="L6" s="6" t="n">
        <x:v>10</x:v>
      </x:c>
      <x:c r="M6" s="11" t="n">
        <x:v>0.8629365079365079</x:v>
      </x:c>
      <x:c r="N6" s="6" t="n">
        <x:v>419000</x:v>
      </x:c>
    </x:row>
    <x:row r="7" ht="24" customHeight="1">
      <x:c r="A7" s="2" t="str">
        <x:v>2026-09-21_Night</x:v>
      </x:c>
      <x:c r="B7" s="6" t="str">
        <x:v>ナイト</x:v>
      </x:c>
      <x:c r="C7" s="6" t="n">
        <x:v>524000</x:v>
      </x:c>
      <x:c r="D7" s="6" t="n">
        <x:v>651000</x:v>
      </x:c>
      <x:c r="E7" s="6" t="n">
        <x:f>C7-D7</x:f>
        <x:v>-127000</x:v>
      </x:c>
      <x:c r="F7" s="6" t="n">
        <x:f>F6+E7</x:f>
        <x:v>-415000</x:v>
      </x:c>
      <x:c r="G7" s="6" t="n">
        <x:v>524000</x:v>
      </x:c>
      <x:c r="H7" s="6" t="n">
        <x:v>651000</x:v>
      </x:c>
      <x:c r="I7" s="6" t="n">
        <x:v>41</x:v>
      </x:c>
      <x:c r="J7" s="6" t="n">
        <x:v>0</x:v>
      </x:c>
      <x:c r="K7" s="6" t="n">
        <x:v>0</x:v>
      </x:c>
      <x:c r="L7" s="6" t="n">
        <x:v>10</x:v>
      </x:c>
      <x:c r="M7" s="11" t="n">
        <x:v>0.8718589743589743</x:v>
      </x:c>
      <x:c r="N7" s="6" t="n">
        <x:v>276000</x:v>
      </x:c>
    </x:row>
    <x:row r="8" ht="24" customHeight="1">
      <x:c r="A8" s="2" t="str">
        <x:v>2026-09-22_Day</x:v>
      </x:c>
      <x:c r="B8" s="6" t="str">
        <x:v>デイ</x:v>
      </x:c>
      <x:c r="C8" s="6" t="n">
        <x:v>617000</x:v>
      </x:c>
      <x:c r="D8" s="6" t="n">
        <x:v>1150000</x:v>
      </x:c>
      <x:c r="E8" s="6" t="n">
        <x:f>C8-D8</x:f>
        <x:v>-533000</x:v>
      </x:c>
      <x:c r="F8" s="6" t="n">
        <x:f>F7+E8</x:f>
        <x:v>-948000</x:v>
      </x:c>
      <x:c r="G8" s="6" t="n">
        <x:v>617000</x:v>
      </x:c>
      <x:c r="H8" s="6" t="n">
        <x:v>1150000</x:v>
      </x:c>
      <x:c r="I8" s="6" t="n">
        <x:v>55</x:v>
      </x:c>
      <x:c r="J8" s="6" t="n">
        <x:v>0</x:v>
      </x:c>
      <x:c r="K8" s="6" t="n">
        <x:v>0</x:v>
      </x:c>
      <x:c r="L8" s="6" t="n">
        <x:v>10</x:v>
      </x:c>
      <x:c r="M8" s="11" t="n">
        <x:v>0.8665873015873016</x:v>
      </x:c>
      <x:c r="N8" s="6" t="n">
        <x:v>694000</x:v>
      </x:c>
    </x:row>
    <x:row r="9" ht="24" customHeight="1">
      <x:c r="A9" s="2" t="str">
        <x:v>2026-09-22_Night</x:v>
      </x:c>
      <x:c r="B9" s="6" t="str">
        <x:v>ナイト</x:v>
      </x:c>
      <x:c r="C9" s="6" t="n">
        <x:v>947000</x:v>
      </x:c>
      <x:c r="D9" s="6" t="n">
        <x:v>1478000</x:v>
      </x:c>
      <x:c r="E9" s="6" t="n">
        <x:f>C9-D9</x:f>
        <x:v>-531000</x:v>
      </x:c>
      <x:c r="F9" s="6" t="n">
        <x:f>F8+E9</x:f>
        <x:v>-1479000</x:v>
      </x:c>
      <x:c r="G9" s="6" t="n">
        <x:v>947000</x:v>
      </x:c>
      <x:c r="H9" s="6" t="n">
        <x:v>1478000</x:v>
      </x:c>
      <x:c r="I9" s="6" t="n">
        <x:v>84</x:v>
      </x:c>
      <x:c r="J9" s="6" t="n">
        <x:v>0</x:v>
      </x:c>
      <x:c r="K9" s="6" t="n">
        <x:v>0</x:v>
      </x:c>
      <x:c r="L9" s="6" t="n">
        <x:v>10</x:v>
      </x:c>
      <x:c r="M9" s="11" t="n">
        <x:v>0.7252350427350427</x:v>
      </x:c>
      <x:c r="N9" s="6" t="n">
        <x:v>693000</x:v>
      </x:c>
    </x:row>
    <x:row r="10" ht="24" customHeight="1">
      <x:c r="A10" s="2" t="str">
        <x:v>2026-09-23_Day</x:v>
      </x:c>
      <x:c r="B10" s="6" t="str">
        <x:v>デイ</x:v>
      </x:c>
      <x:c r="C10" s="6" t="n">
        <x:v>307000</x:v>
      </x:c>
      <x:c r="D10" s="6" t="n">
        <x:v>686000</x:v>
      </x:c>
      <x:c r="E10" s="6" t="n">
        <x:f>C10-D10</x:f>
        <x:v>-379000</x:v>
      </x:c>
      <x:c r="F10" s="6" t="n">
        <x:f>F9+E10</x:f>
        <x:v>-1858000</x:v>
      </x:c>
      <x:c r="G10" s="6" t="n">
        <x:v>307000</x:v>
      </x:c>
      <x:c r="H10" s="6" t="n">
        <x:v>686000</x:v>
      </x:c>
      <x:c r="I10" s="6" t="n">
        <x:v>28</x:v>
      </x:c>
      <x:c r="J10" s="6" t="n">
        <x:v>0</x:v>
      </x:c>
      <x:c r="K10" s="6" t="n">
        <x:v>0</x:v>
      </x:c>
      <x:c r="L10" s="6" t="n">
        <x:v>10</x:v>
      </x:c>
      <x:c r="M10" s="11" t="n">
        <x:v>0.8762698412698413</x:v>
      </x:c>
      <x:c r="N10" s="6" t="n">
        <x:v>480000</x:v>
      </x:c>
    </x:row>
    <x:row r="11" ht="24" customHeight="1">
      <x:c r="A11" s="2" t="str">
        <x:v>2026-09-23_Night</x:v>
      </x:c>
      <x:c r="B11" s="6" t="str">
        <x:v>ナイト</x:v>
      </x:c>
      <x:c r="C11" s="6" t="n">
        <x:v>679000</x:v>
      </x:c>
      <x:c r="D11" s="6" t="n">
        <x:v>1119000</x:v>
      </x:c>
      <x:c r="E11" s="6" t="n">
        <x:f>C11-D11</x:f>
        <x:v>-440000</x:v>
      </x:c>
      <x:c r="F11" s="6" t="n">
        <x:f>F10+E11</x:f>
        <x:v>-2298000</x:v>
      </x:c>
      <x:c r="G11" s="6" t="n">
        <x:v>679000</x:v>
      </x:c>
      <x:c r="H11" s="6" t="n">
        <x:v>1119000</x:v>
      </x:c>
      <x:c r="I11" s="6" t="n">
        <x:v>51</x:v>
      </x:c>
      <x:c r="J11" s="6" t="n">
        <x:v>0</x:v>
      </x:c>
      <x:c r="K11" s="6" t="n">
        <x:v>0</x:v>
      </x:c>
      <x:c r="L11" s="6" t="n">
        <x:v>10</x:v>
      </x:c>
      <x:c r="M11" s="11" t="n">
        <x:v>0.8910683760683761</x:v>
      </x:c>
      <x:c r="N11" s="6" t="n">
        <x:v>504000</x:v>
      </x:c>
    </x:row>
    <x:row r="12" ht="24" customHeight="1">
      <x:c r="A12" s="2" t="str">
        <x:v>2026-09-24_Day</x:v>
      </x:c>
      <x:c r="B12" s="6" t="str">
        <x:v>デイ</x:v>
      </x:c>
      <x:c r="C12" s="6" t="n">
        <x:v>1139000</x:v>
      </x:c>
      <x:c r="D12" s="6" t="n">
        <x:v>2216000</x:v>
      </x:c>
      <x:c r="E12" s="6" t="n">
        <x:f>C12-D12</x:f>
        <x:v>-1077000</x:v>
      </x:c>
      <x:c r="F12" s="6" t="n">
        <x:f>F11+E12</x:f>
        <x:v>-3375000</x:v>
      </x:c>
      <x:c r="G12" s="6" t="n">
        <x:v>1139000</x:v>
      </x:c>
      <x:c r="H12" s="6" t="n">
        <x:v>2216000</x:v>
      </x:c>
      <x:c r="I12" s="6" t="n">
        <x:v>94</x:v>
      </x:c>
      <x:c r="J12" s="6" t="n">
        <x:v>0</x:v>
      </x:c>
      <x:c r="K12" s="6" t="n">
        <x:v>0</x:v>
      </x:c>
      <x:c r="L12" s="6" t="n">
        <x:v>10</x:v>
      </x:c>
      <x:c r="M12" s="11" t="n">
        <x:v>0.9111111111111111</x:v>
      </x:c>
      <x:c r="N12" s="6" t="n">
        <x:v>1162000</x:v>
      </x:c>
    </x:row>
    <x:row r="13" ht="24" customHeight="1">
      <x:c r="A13" s="2" t="str">
        <x:v>2026-09-24_Night</x:v>
      </x:c>
      <x:c r="B13" s="6" t="str">
        <x:v>ナイト</x:v>
      </x:c>
      <x:c r="C13" s="6" t="n">
        <x:v>1362000</x:v>
      </x:c>
      <x:c r="D13" s="6" t="n">
        <x:v>2811000</x:v>
      </x:c>
      <x:c r="E13" s="6" t="n">
        <x:f>C13-D13</x:f>
        <x:v>-1449000</x:v>
      </x:c>
      <x:c r="F13" s="6" t="n">
        <x:f>F12+E13</x:f>
        <x:v>-4824000</x:v>
      </x:c>
      <x:c r="G13" s="6" t="n">
        <x:v>1362000</x:v>
      </x:c>
      <x:c r="H13" s="6" t="n">
        <x:v>2811000</x:v>
      </x:c>
      <x:c r="I13" s="6" t="n">
        <x:v>138</x:v>
      </x:c>
      <x:c r="J13" s="6" t="n">
        <x:v>0</x:v>
      </x:c>
      <x:c r="K13" s="6" t="n">
        <x:v>0</x:v>
      </x:c>
      <x:c r="L13" s="6" t="n">
        <x:v>10</x:v>
      </x:c>
      <x:c r="M13" s="11" t="n">
        <x:v>0.8772008547008547</x:v>
      </x:c>
      <x:c r="N13" s="6" t="n">
        <x:v>1576000</x:v>
      </x:c>
    </x:row>
    <x:row r="14" ht="24" customHeight="1">
      <x:c r="A14" s="2" t="str">
        <x:v>2026-09-25_Day</x:v>
      </x:c>
      <x:c r="B14" s="6" t="str">
        <x:v>デイ</x:v>
      </x:c>
      <x:c r="C14" s="6" t="n">
        <x:v>860000</x:v>
      </x:c>
      <x:c r="D14" s="6" t="n">
        <x:v>1937000</x:v>
      </x:c>
      <x:c r="E14" s="6" t="n">
        <x:f>C14-D14</x:f>
        <x:v>-1077000</x:v>
      </x:c>
      <x:c r="F14" s="6" t="n">
        <x:f>F13+E14</x:f>
        <x:v>-5901000</x:v>
      </x:c>
      <x:c r="G14" s="6" t="n">
        <x:v>860000</x:v>
      </x:c>
      <x:c r="H14" s="6" t="n">
        <x:v>1937000</x:v>
      </x:c>
      <x:c r="I14" s="6" t="n">
        <x:v>83</x:v>
      </x:c>
      <x:c r="J14" s="6" t="n">
        <x:v>0</x:v>
      </x:c>
      <x:c r="K14" s="6" t="n">
        <x:v>0</x:v>
      </x:c>
      <x:c r="L14" s="6" t="n">
        <x:v>10</x:v>
      </x:c>
      <x:c r="M14" s="11" t="n">
        <x:v>0.8966269841269842</x:v>
      </x:c>
      <x:c r="N14" s="6" t="n">
        <x:v>1206000</x:v>
      </x:c>
    </x:row>
    <x:row r="15" ht="24" customHeight="1">
      <x:c r="A15" s="2" t="str">
        <x:v>2026-09-25_Night</x:v>
      </x:c>
      <x:c r="B15" s="6" t="str">
        <x:v>ナイト</x:v>
      </x:c>
      <x:c r="C15" s="6" t="n">
        <x:v>1041000</x:v>
      </x:c>
      <x:c r="D15" s="6" t="n">
        <x:v>1715000</x:v>
      </x:c>
      <x:c r="E15" s="6" t="n">
        <x:f>C15-D15</x:f>
        <x:v>-674000</x:v>
      </x:c>
      <x:c r="F15" s="6" t="n">
        <x:f>F14+E15</x:f>
        <x:v>-6575000</x:v>
      </x:c>
      <x:c r="G15" s="6" t="n">
        <x:v>1041000</x:v>
      </x:c>
      <x:c r="H15" s="6" t="n">
        <x:v>1715000</x:v>
      </x:c>
      <x:c r="I15" s="6" t="n">
        <x:v>99</x:v>
      </x:c>
      <x:c r="J15" s="6" t="n">
        <x:v>0</x:v>
      </x:c>
      <x:c r="K15" s="6" t="n">
        <x:v>0</x:v>
      </x:c>
      <x:c r="L15" s="6" t="n">
        <x:v>10</x:v>
      </x:c>
      <x:c r="M15" s="11" t="n">
        <x:v>0.8803846153846154</x:v>
      </x:c>
      <x:c r="N15" s="6" t="n">
        <x:v>822000</x:v>
      </x:c>
    </x:row>
    <x:row r="16" ht="24" customHeight="1">
      <x:c r="A16" s="2" t="str">
        <x:v>2026-09-28_Day</x:v>
      </x:c>
      <x:c r="B16" s="6" t="str">
        <x:v>デイ</x:v>
      </x:c>
      <x:c r="C16" s="6" t="n">
        <x:v>1368000</x:v>
      </x:c>
      <x:c r="D16" s="6" t="n">
        <x:v>2053000</x:v>
      </x:c>
      <x:c r="E16" s="6" t="n">
        <x:f>C16-D16</x:f>
        <x:v>-685000</x:v>
      </x:c>
      <x:c r="F16" s="6" t="n">
        <x:f>F15+E16</x:f>
        <x:v>-7260000</x:v>
      </x:c>
      <x:c r="G16" s="6" t="n">
        <x:v>1368000</x:v>
      </x:c>
      <x:c r="H16" s="6" t="n">
        <x:v>2053000</x:v>
      </x:c>
      <x:c r="I16" s="6" t="n">
        <x:v>103</x:v>
      </x:c>
      <x:c r="J16" s="6" t="n">
        <x:v>0</x:v>
      </x:c>
      <x:c r="K16" s="6" t="n">
        <x:v>0</x:v>
      </x:c>
      <x:c r="L16" s="6" t="n">
        <x:v>10</x:v>
      </x:c>
      <x:c r="M16" s="11" t="n">
        <x:v>0.9083333333333333</x:v>
      </x:c>
      <x:c r="N16" s="6" t="n">
        <x:v>918000</x:v>
      </x:c>
    </x:row>
    <x:row r="17" ht="24" customHeight="1">
      <x:c r="A17" s="2" t="str">
        <x:v>2026-09-28_Night</x:v>
      </x:c>
      <x:c r="B17" s="6" t="str">
        <x:v>ナイト</x:v>
      </x:c>
      <x:c r="C17" s="6" t="n">
        <x:v>1327000</x:v>
      </x:c>
      <x:c r="D17" s="6" t="n">
        <x:v>2811000</x:v>
      </x:c>
      <x:c r="E17" s="6" t="n">
        <x:f>C17-D17</x:f>
        <x:v>-1484000</x:v>
      </x:c>
      <x:c r="F17" s="6" t="n">
        <x:f>F16+E17</x:f>
        <x:v>-8744000</x:v>
      </x:c>
      <x:c r="G17" s="6" t="n">
        <x:v>1327000</x:v>
      </x:c>
      <x:c r="H17" s="6" t="n">
        <x:v>2811000</x:v>
      </x:c>
      <x:c r="I17" s="6" t="n">
        <x:v>122</x:v>
      </x:c>
      <x:c r="J17" s="6" t="n">
        <x:v>0</x:v>
      </x:c>
      <x:c r="K17" s="6" t="n">
        <x:v>0</x:v>
      </x:c>
      <x:c r="L17" s="6" t="n">
        <x:v>10</x:v>
      </x:c>
      <x:c r="M17" s="11" t="n">
        <x:v>0.8697649572649573</x:v>
      </x:c>
      <x:c r="N17" s="6" t="n">
        <x:v>1570000</x:v>
      </x:c>
    </x:row>
    <x:row r="18" ht="24" customHeight="1">
      <x:c r="A18" s="2" t="str">
        <x:v>2026-09-29_Day</x:v>
      </x:c>
      <x:c r="B18" s="6" t="str">
        <x:v>デイ</x:v>
      </x:c>
      <x:c r="C18" s="6" t="n">
        <x:v>1520000</x:v>
      </x:c>
      <x:c r="D18" s="6" t="n">
        <x:v>2475000</x:v>
      </x:c>
      <x:c r="E18" s="6" t="n">
        <x:f>C18-D18</x:f>
        <x:v>-955000</x:v>
      </x:c>
      <x:c r="F18" s="6" t="n">
        <x:f>F17+E18</x:f>
        <x:v>-9699000</x:v>
      </x:c>
      <x:c r="G18" s="6" t="n">
        <x:v>1520000</x:v>
      </x:c>
      <x:c r="H18" s="6" t="n">
        <x:v>2475000</x:v>
      </x:c>
      <x:c r="I18" s="6" t="n">
        <x:v>118</x:v>
      </x:c>
      <x:c r="J18" s="6" t="n">
        <x:v>0</x:v>
      </x:c>
      <x:c r="K18" s="6" t="n">
        <x:v>0</x:v>
      </x:c>
      <x:c r="L18" s="6" t="n">
        <x:v>10</x:v>
      </x:c>
      <x:c r="M18" s="11" t="n">
        <x:v>0.8865079365079365</x:v>
      </x:c>
      <x:c r="N18" s="6" t="n">
        <x:v>1148000</x:v>
      </x:c>
    </x:row>
    <x:row r="19" ht="24" customHeight="1">
      <x:c r="A19" s="2" t="str">
        <x:v>2026-09-29_Night</x:v>
      </x:c>
      <x:c r="B19" s="6" t="str">
        <x:v>ナイト</x:v>
      </x:c>
      <x:c r="C19" s="6" t="n">
        <x:v>987000</x:v>
      </x:c>
      <x:c r="D19" s="6" t="n">
        <x:v>1530000</x:v>
      </x:c>
      <x:c r="E19" s="6" t="n">
        <x:f>C19-D19</x:f>
        <x:v>-543000</x:v>
      </x:c>
      <x:c r="F19" s="6" t="n">
        <x:f>F18+E19</x:f>
        <x:v>-10242000</x:v>
      </x:c>
      <x:c r="G19" s="6" t="n">
        <x:v>987000</x:v>
      </x:c>
      <x:c r="H19" s="6" t="n">
        <x:v>1530000</x:v>
      </x:c>
      <x:c r="I19" s="6" t="n">
        <x:v>94</x:v>
      </x:c>
      <x:c r="J19" s="6" t="n">
        <x:v>0</x:v>
      </x:c>
      <x:c r="K19" s="6" t="n">
        <x:v>0</x:v>
      </x:c>
      <x:c r="L19" s="6" t="n">
        <x:v>10</x:v>
      </x:c>
      <x:c r="M19" s="11" t="n">
        <x:v>0.860534188034188</x:v>
      </x:c>
      <x:c r="N19" s="6" t="n">
        <x:v>602000</x:v>
      </x:c>
    </x:row>
    <x:row r="20" ht="24" customHeight="1">
      <x:c r="A20" s="2" t="str">
        <x:v>2026-09-30_Day</x:v>
      </x:c>
      <x:c r="B20" s="6" t="str">
        <x:v>デイ</x:v>
      </x:c>
      <x:c r="C20" s="6" t="n">
        <x:v>1378000</x:v>
      </x:c>
      <x:c r="D20" s="6" t="n">
        <x:v>2260000</x:v>
      </x:c>
      <x:c r="E20" s="6" t="n">
        <x:f>C20-D20</x:f>
        <x:v>-882000</x:v>
      </x:c>
      <x:c r="F20" s="6" t="n">
        <x:f>F19+E20</x:f>
        <x:v>-11124000</x:v>
      </x:c>
      <x:c r="G20" s="6" t="n">
        <x:v>1378000</x:v>
      </x:c>
      <x:c r="H20" s="6" t="n">
        <x:v>2260000</x:v>
      </x:c>
      <x:c r="I20" s="6" t="n">
        <x:v>103</x:v>
      </x:c>
      <x:c r="J20" s="6" t="n">
        <x:v>0</x:v>
      </x:c>
      <x:c r="K20" s="6" t="n">
        <x:v>0</x:v>
      </x:c>
      <x:c r="L20" s="6" t="n">
        <x:v>10</x:v>
      </x:c>
      <x:c r="M20" s="11" t="n">
        <x:v>0.8996428571428572</x:v>
      </x:c>
      <x:c r="N20" s="6" t="n">
        <x:v>1008000</x:v>
      </x:c>
    </x:row>
    <x:row r="21" ht="24" customHeight="1">
      <x:c r="A21" s="2" t="str">
        <x:v>2026-09-30_Night</x:v>
      </x:c>
      <x:c r="B21" s="6" t="str">
        <x:v>ナイト</x:v>
      </x:c>
      <x:c r="C21" s="6" t="n">
        <x:v>1137000</x:v>
      </x:c>
      <x:c r="D21" s="6" t="n">
        <x:v>2699000</x:v>
      </x:c>
      <x:c r="E21" s="6" t="n">
        <x:f>C21-D21</x:f>
        <x:v>-1562000</x:v>
      </x:c>
      <x:c r="F21" s="6" t="n">
        <x:f>F20+E21</x:f>
        <x:v>-12686000</x:v>
      </x:c>
      <x:c r="G21" s="6" t="n">
        <x:v>1137000</x:v>
      </x:c>
      <x:c r="H21" s="6" t="n">
        <x:v>2699000</x:v>
      </x:c>
      <x:c r="I21" s="6" t="n">
        <x:v>103</x:v>
      </x:c>
      <x:c r="J21" s="6" t="n">
        <x:v>0</x:v>
      </x:c>
      <x:c r="K21" s="6" t="n">
        <x:v>0</x:v>
      </x:c>
      <x:c r="L21" s="6" t="n">
        <x:v>10</x:v>
      </x:c>
      <x:c r="M21" s="11" t="n">
        <x:v>0.847991452991453</x:v>
      </x:c>
      <x:c r="N21" s="6" t="n">
        <x:v>1602000</x:v>
      </x:c>
    </x:row>
    <x:row r="22" ht="24" customHeight="1">
      <x:c r="A22" s="2" t="str">
        <x:v>2026-10-01_Day</x:v>
      </x:c>
      <x:c r="B22" s="6" t="str">
        <x:v>デイ</x:v>
      </x:c>
      <x:c r="C22" s="6" t="n">
        <x:v>1180000</x:v>
      </x:c>
      <x:c r="D22" s="6" t="n">
        <x:v>1592000</x:v>
      </x:c>
      <x:c r="E22" s="6" t="n">
        <x:f>C22-D22</x:f>
        <x:v>-412000</x:v>
      </x:c>
      <x:c r="F22" s="6" t="n">
        <x:f>F21+E22</x:f>
        <x:v>-13098000</x:v>
      </x:c>
      <x:c r="G22" s="6" t="n">
        <x:v>1180000</x:v>
      </x:c>
      <x:c r="H22" s="6" t="n">
        <x:v>1592000</x:v>
      </x:c>
      <x:c r="I22" s="6" t="n">
        <x:v>71</x:v>
      </x:c>
      <x:c r="J22" s="6" t="n">
        <x:v>0</x:v>
      </x:c>
      <x:c r="K22" s="6" t="n">
        <x:v>0</x:v>
      </x:c>
      <x:c r="L22" s="6" t="n">
        <x:v>10</x:v>
      </x:c>
      <x:c r="M22" s="11" t="n">
        <x:v>0.9071031746031746</x:v>
      </x:c>
      <x:c r="N22" s="6" t="n">
        <x:v>603000</x:v>
      </x:c>
    </x:row>
    <x:row r="23" ht="24" customHeight="1">
      <x:c r="A23" s="2" t="str">
        <x:v>2026-10-01_Night</x:v>
      </x:c>
      <x:c r="B23" s="6" t="str">
        <x:v>ナイト</x:v>
      </x:c>
      <x:c r="C23" s="6" t="n">
        <x:v>1982000</x:v>
      </x:c>
      <x:c r="D23" s="6" t="n">
        <x:v>2732000</x:v>
      </x:c>
      <x:c r="E23" s="6" t="n">
        <x:f>C23-D23</x:f>
        <x:v>-750000</x:v>
      </x:c>
      <x:c r="F23" s="6" t="n">
        <x:f>F22+E23</x:f>
        <x:v>-13848000</x:v>
      </x:c>
      <x:c r="G23" s="6" t="n">
        <x:v>1982000</x:v>
      </x:c>
      <x:c r="H23" s="6" t="n">
        <x:v>2732000</x:v>
      </x:c>
      <x:c r="I23" s="6" t="n">
        <x:v>130</x:v>
      </x:c>
      <x:c r="J23" s="6" t="n">
        <x:v>0</x:v>
      </x:c>
      <x:c r="K23" s="6" t="n">
        <x:v>0</x:v>
      </x:c>
      <x:c r="L23" s="6" t="n">
        <x:v>10</x:v>
      </x:c>
      <x:c r="M23" s="11" t="n">
        <x:v>0.9153418803418804</x:v>
      </x:c>
      <x:c r="N23" s="6" t="n">
        <x:v>980000</x:v>
      </x:c>
    </x:row>
    <x:row r="24" ht="24" customHeight="1">
      <x:c r="A24" s="2" t="str">
        <x:v>2026-10-02_Day</x:v>
      </x:c>
      <x:c r="B24" s="6" t="str">
        <x:v>デイ</x:v>
      </x:c>
      <x:c r="C24" s="6" t="n">
        <x:v>911000</x:v>
      </x:c>
      <x:c r="D24" s="6" t="n">
        <x:v>2353000</x:v>
      </x:c>
      <x:c r="E24" s="6" t="n">
        <x:f>C24-D24</x:f>
        <x:v>-1442000</x:v>
      </x:c>
      <x:c r="F24" s="6" t="n">
        <x:f>F23+E24</x:f>
        <x:v>-15290000</x:v>
      </x:c>
      <x:c r="G24" s="6" t="n">
        <x:v>911000</x:v>
      </x:c>
      <x:c r="H24" s="6" t="n">
        <x:v>2353000</x:v>
      </x:c>
      <x:c r="I24" s="6" t="n">
        <x:v>79</x:v>
      </x:c>
      <x:c r="J24" s="6" t="n">
        <x:v>0</x:v>
      </x:c>
      <x:c r="K24" s="6" t="n">
        <x:v>0</x:v>
      </x:c>
      <x:c r="L24" s="6" t="n">
        <x:v>10</x:v>
      </x:c>
      <x:c r="M24" s="11" t="n">
        <x:v>0.9229365079365079</x:v>
      </x:c>
      <x:c r="N24" s="6" t="n">
        <x:v>1738000</x:v>
      </x:c>
    </x:row>
    <x:row r="25" ht="24" customHeight="1">
      <x:c r="A25" s="2" t="str">
        <x:v>2026-10-02_Night</x:v>
      </x:c>
      <x:c r="B25" s="6" t="str">
        <x:v>ナイト</x:v>
      </x:c>
      <x:c r="C25" s="6" t="n">
        <x:v>1632000</x:v>
      </x:c>
      <x:c r="D25" s="6" t="n">
        <x:v>2039000</x:v>
      </x:c>
      <x:c r="E25" s="6" t="n">
        <x:f>C25-D25</x:f>
        <x:v>-407000</x:v>
      </x:c>
      <x:c r="F25" s="6" t="n">
        <x:f>F24+E25</x:f>
        <x:v>-15697000</x:v>
      </x:c>
      <x:c r="G25" s="6" t="n">
        <x:v>1632000</x:v>
      </x:c>
      <x:c r="H25" s="6" t="n">
        <x:v>2039000</x:v>
      </x:c>
      <x:c r="I25" s="6" t="n">
        <x:v>89</x:v>
      </x:c>
      <x:c r="J25" s="6" t="n">
        <x:v>0</x:v>
      </x:c>
      <x:c r="K25" s="6" t="n">
        <x:v>0</x:v>
      </x:c>
      <x:c r="L25" s="6" t="n">
        <x:v>10</x:v>
      </x:c>
      <x:c r="M25" s="11" t="n">
        <x:v>0.9155982905982906</x:v>
      </x:c>
      <x:c r="N25" s="6" t="n">
        <x:v>1067000</x:v>
      </x:c>
    </x:row>
    <x:row r="26" ht="24" customHeight="1">
      <x:c r="A26" s="2" t="str">
        <x:v>2026-10-05_Day</x:v>
      </x:c>
      <x:c r="B26" s="6" t="str">
        <x:v>デイ</x:v>
      </x:c>
      <x:c r="C26" s="6" t="n">
        <x:v>862000</x:v>
      </x:c>
      <x:c r="D26" s="6" t="n">
        <x:v>1258000</x:v>
      </x:c>
      <x:c r="E26" s="6" t="n">
        <x:f>C26-D26</x:f>
        <x:v>-396000</x:v>
      </x:c>
      <x:c r="F26" s="6" t="n">
        <x:f>F25+E26</x:f>
        <x:v>-16093000</x:v>
      </x:c>
      <x:c r="G26" s="6" t="n">
        <x:v>862000</x:v>
      </x:c>
      <x:c r="H26" s="6" t="n">
        <x:v>1258000</x:v>
      </x:c>
      <x:c r="I26" s="6" t="n">
        <x:v>56</x:v>
      </x:c>
      <x:c r="J26" s="6" t="n">
        <x:v>0</x:v>
      </x:c>
      <x:c r="K26" s="6" t="n">
        <x:v>0</x:v>
      </x:c>
      <x:c r="L26" s="6" t="n">
        <x:v>10</x:v>
      </x:c>
      <x:c r="M26" s="11" t="n">
        <x:v>0.9342063492063492</x:v>
      </x:c>
      <x:c r="N26" s="6" t="n">
        <x:v>547000</x:v>
      </x:c>
    </x:row>
    <x:row r="27" ht="24" customHeight="1">
      <x:c r="A27" s="2" t="str">
        <x:v>2026-10-05_Night</x:v>
      </x:c>
      <x:c r="B27" s="6" t="str">
        <x:v>ナイト</x:v>
      </x:c>
      <x:c r="C27" s="6" t="n">
        <x:v>707000</x:v>
      </x:c>
      <x:c r="D27" s="6" t="n">
        <x:v>1171000</x:v>
      </x:c>
      <x:c r="E27" s="6" t="n">
        <x:f>C27-D27</x:f>
        <x:v>-464000</x:v>
      </x:c>
      <x:c r="F27" s="6" t="n">
        <x:f>F26+E27</x:f>
        <x:v>-16557000</x:v>
      </x:c>
      <x:c r="G27" s="6" t="n">
        <x:v>707000</x:v>
      </x:c>
      <x:c r="H27" s="6" t="n">
        <x:v>1171000</x:v>
      </x:c>
      <x:c r="I27" s="6" t="n">
        <x:v>55</x:v>
      </x:c>
      <x:c r="J27" s="6" t="n">
        <x:v>0</x:v>
      </x:c>
      <x:c r="K27" s="6" t="n">
        <x:v>0</x:v>
      </x:c>
      <x:c r="L27" s="6" t="n">
        <x:v>10</x:v>
      </x:c>
      <x:c r="M27" s="11" t="n">
        <x:v>0.9375</x:v>
      </x:c>
      <x:c r="N27" s="6" t="n">
        <x:v>560000</x:v>
      </x:c>
    </x:row>
    <x:row r="28" ht="24" customHeight="1">
      <x:c r="A28" s="2" t="str">
        <x:v>2026-10-06_Day</x:v>
      </x:c>
      <x:c r="B28" s="6" t="str">
        <x:v>デイ</x:v>
      </x:c>
      <x:c r="C28" s="6" t="n">
        <x:v>708000</x:v>
      </x:c>
      <x:c r="D28" s="6" t="n">
        <x:v>1214000</x:v>
      </x:c>
      <x:c r="E28" s="6" t="n">
        <x:f>C28-D28</x:f>
        <x:v>-506000</x:v>
      </x:c>
      <x:c r="F28" s="6" t="n">
        <x:f>F27+E28</x:f>
        <x:v>-17063000</x:v>
      </x:c>
      <x:c r="G28" s="6" t="n">
        <x:v>708000</x:v>
      </x:c>
      <x:c r="H28" s="6" t="n">
        <x:v>1214000</x:v>
      </x:c>
      <x:c r="I28" s="6" t="n">
        <x:v>50</x:v>
      </x:c>
      <x:c r="J28" s="6" t="n">
        <x:v>0</x:v>
      </x:c>
      <x:c r="K28" s="6" t="n">
        <x:v>0</x:v>
      </x:c>
      <x:c r="L28" s="6" t="n">
        <x:v>10</x:v>
      </x:c>
      <x:c r="M28" s="11" t="n">
        <x:v>0.8944047619047619</x:v>
      </x:c>
      <x:c r="N28" s="6" t="n">
        <x:v>723000</x:v>
      </x:c>
    </x:row>
    <x:row r="29" ht="24" customHeight="1">
      <x:c r="A29" s="2" t="str">
        <x:v>2026-10-06_Night</x:v>
      </x:c>
      <x:c r="B29" s="6" t="str">
        <x:v>ナイト</x:v>
      </x:c>
      <x:c r="C29" s="6" t="n">
        <x:v>496000</x:v>
      </x:c>
      <x:c r="D29" s="6" t="n">
        <x:v>789000</x:v>
      </x:c>
      <x:c r="E29" s="6" t="n">
        <x:f>C29-D29</x:f>
        <x:v>-293000</x:v>
      </x:c>
      <x:c r="F29" s="6" t="n">
        <x:f>F28+E29</x:f>
        <x:v>-17356000</x:v>
      </x:c>
      <x:c r="G29" s="6" t="n">
        <x:v>496000</x:v>
      </x:c>
      <x:c r="H29" s="6" t="n">
        <x:v>789000</x:v>
      </x:c>
      <x:c r="I29" s="6" t="n">
        <x:v>43</x:v>
      </x:c>
      <x:c r="J29" s="6" t="n">
        <x:v>0</x:v>
      </x:c>
      <x:c r="K29" s="6" t="n">
        <x:v>0</x:v>
      </x:c>
      <x:c r="L29" s="6" t="n">
        <x:v>10</x:v>
      </x:c>
      <x:c r="M29" s="11" t="n">
        <x:v>0.8800641025641026</x:v>
      </x:c>
      <x:c r="N29" s="6" t="n">
        <x:v>406000</x:v>
      </x:c>
    </x:row>
    <x:row r="30" ht="24" customHeight="1">
      <x:c r="A30" s="2" t="str">
        <x:v>2026-10-07_Day</x:v>
      </x:c>
      <x:c r="B30" s="6" t="str">
        <x:v>デイ</x:v>
      </x:c>
      <x:c r="C30" s="6" t="n">
        <x:v>443000</x:v>
      </x:c>
      <x:c r="D30" s="6" t="n">
        <x:v>894000</x:v>
      </x:c>
      <x:c r="E30" s="6" t="n">
        <x:f>C30-D30</x:f>
        <x:v>-451000</x:v>
      </x:c>
      <x:c r="F30" s="6" t="n">
        <x:f>F29+E30</x:f>
        <x:v>-17807000</x:v>
      </x:c>
      <x:c r="G30" s="6" t="n">
        <x:v>443000</x:v>
      </x:c>
      <x:c r="H30" s="6" t="n">
        <x:v>894000</x:v>
      </x:c>
      <x:c r="I30" s="6" t="n">
        <x:v>43</x:v>
      </x:c>
      <x:c r="J30" s="6" t="n">
        <x:v>0</x:v>
      </x:c>
      <x:c r="K30" s="6" t="n">
        <x:v>0</x:v>
      </x:c>
      <x:c r="L30" s="6" t="n">
        <x:v>10</x:v>
      </x:c>
      <x:c r="M30" s="11" t="n">
        <x:v>0.9231349206349206</x:v>
      </x:c>
      <x:c r="N30" s="6" t="n">
        <x:v>498000</x:v>
      </x:c>
    </x:row>
    <x:row r="31" ht="24" customHeight="1">
      <x:c r="A31" s="2" t="str">
        <x:v>2026-10-07_Night</x:v>
      </x:c>
      <x:c r="B31" s="6" t="str">
        <x:v>ナイト</x:v>
      </x:c>
      <x:c r="C31" s="6" t="n">
        <x:v>641000</x:v>
      </x:c>
      <x:c r="D31" s="6" t="n">
        <x:v>1433000</x:v>
      </x:c>
      <x:c r="E31" s="6" t="n">
        <x:f>C31-D31</x:f>
        <x:v>-792000</x:v>
      </x:c>
      <x:c r="F31" s="6" t="n">
        <x:f>F30+E31</x:f>
        <x:v>-18599000</x:v>
      </x:c>
      <x:c r="G31" s="6" t="n">
        <x:v>641000</x:v>
      </x:c>
      <x:c r="H31" s="6" t="n">
        <x:v>1433000</x:v>
      </x:c>
      <x:c r="I31" s="6" t="n">
        <x:v>60</x:v>
      </x:c>
      <x:c r="J31" s="6" t="n">
        <x:v>0</x:v>
      </x:c>
      <x:c r="K31" s="6" t="n">
        <x:v>0</x:v>
      </x:c>
      <x:c r="L31" s="6" t="n">
        <x:v>10</x:v>
      </x:c>
      <x:c r="M31" s="11" t="n">
        <x:v>0.9475213675213675</x:v>
      </x:c>
      <x:c r="N31" s="6" t="n">
        <x:v>797000</x:v>
      </x:c>
    </x:row>
    <x:row r="32" ht="24" customHeight="1">
      <x:c r="A32" s="2" t="str">
        <x:v>2026-10-08_Day</x:v>
      </x:c>
      <x:c r="B32" s="6" t="str">
        <x:v>デイ</x:v>
      </x:c>
      <x:c r="C32" s="6" t="n">
        <x:v>1349000</x:v>
      </x:c>
      <x:c r="D32" s="6" t="n">
        <x:v>1691000</x:v>
      </x:c>
      <x:c r="E32" s="6" t="n">
        <x:f>C32-D32</x:f>
        <x:v>-342000</x:v>
      </x:c>
      <x:c r="F32" s="6" t="n">
        <x:f>F31+E32</x:f>
        <x:v>-18941000</x:v>
      </x:c>
      <x:c r="G32" s="6" t="n">
        <x:v>1349000</x:v>
      </x:c>
      <x:c r="H32" s="6" t="n">
        <x:v>1691000</x:v>
      </x:c>
      <x:c r="I32" s="6" t="n">
        <x:v>81</x:v>
      </x:c>
      <x:c r="J32" s="6" t="n">
        <x:v>0</x:v>
      </x:c>
      <x:c r="K32" s="6" t="n">
        <x:v>0</x:v>
      </x:c>
      <x:c r="L32" s="6" t="n">
        <x:v>10</x:v>
      </x:c>
      <x:c r="M32" s="11" t="n">
        <x:v>0.9064285714285715</x:v>
      </x:c>
      <x:c r="N32" s="6" t="n">
        <x:v>642000</x:v>
      </x:c>
    </x:row>
    <x:row r="33" ht="24" customHeight="1">
      <x:c r="A33" s="2" t="str">
        <x:v>2026-10-08_Night</x:v>
      </x:c>
      <x:c r="B33" s="6" t="str">
        <x:v>ナイト</x:v>
      </x:c>
      <x:c r="C33" s="6" t="n">
        <x:v>1878000</x:v>
      </x:c>
      <x:c r="D33" s="6" t="n">
        <x:v>2747000</x:v>
      </x:c>
      <x:c r="E33" s="6" t="n">
        <x:f>C33-D33</x:f>
        <x:v>-869000</x:v>
      </x:c>
      <x:c r="F33" s="6" t="n">
        <x:f>F32+E33</x:f>
        <x:v>-19810000</x:v>
      </x:c>
      <x:c r="G33" s="6" t="n">
        <x:v>1878000</x:v>
      </x:c>
      <x:c r="H33" s="6" t="n">
        <x:v>2747000</x:v>
      </x:c>
      <x:c r="I33" s="6" t="n">
        <x:v>111</x:v>
      </x:c>
      <x:c r="J33" s="6" t="n">
        <x:v>0</x:v>
      </x:c>
      <x:c r="K33" s="6" t="n">
        <x:v>0</x:v>
      </x:c>
      <x:c r="L33" s="6" t="n">
        <x:v>10</x:v>
      </x:c>
      <x:c r="M33" s="11" t="n">
        <x:v>0.9067307692307692</x:v>
      </x:c>
      <x:c r="N33" s="6" t="n">
        <x:v>981000</x:v>
      </x:c>
    </x:row>
    <x:row r="34" ht="24" customHeight="1">
      <x:c r="A34" s="2" t="str">
        <x:v>2026-10-09_Day</x:v>
      </x:c>
      <x:c r="B34" s="6" t="str">
        <x:v>デイ</x:v>
      </x:c>
      <x:c r="C34" s="6" t="n">
        <x:v>1155000</x:v>
      </x:c>
      <x:c r="D34" s="6" t="n">
        <x:v>1659000</x:v>
      </x:c>
      <x:c r="E34" s="6" t="n">
        <x:f>C34-D34</x:f>
        <x:v>-504000</x:v>
      </x:c>
      <x:c r="F34" s="6" t="n">
        <x:f>F33+E34</x:f>
        <x:v>-20314000</x:v>
      </x:c>
      <x:c r="G34" s="6" t="n">
        <x:v>1155000</x:v>
      </x:c>
      <x:c r="H34" s="6" t="n">
        <x:v>1659000</x:v>
      </x:c>
      <x:c r="I34" s="6" t="n">
        <x:v>68</x:v>
      </x:c>
      <x:c r="J34" s="6" t="n">
        <x:v>0</x:v>
      </x:c>
      <x:c r="K34" s="6" t="n">
        <x:v>0</x:v>
      </x:c>
      <x:c r="L34" s="6" t="n">
        <x:v>10</x:v>
      </x:c>
      <x:c r="M34" s="11" t="n">
        <x:v>0.9064682539682539</x:v>
      </x:c>
      <x:c r="N34" s="6" t="n">
        <x:v>598000</x:v>
      </x:c>
    </x:row>
    <x:row r="35" ht="24" customHeight="1">
      <x:c r="A35" s="2" t="str">
        <x:v>2026-10-09_Night</x:v>
      </x:c>
      <x:c r="B35" s="6" t="str">
        <x:v>ナイト</x:v>
      </x:c>
      <x:c r="C35" s="6" t="n">
        <x:v>387000</x:v>
      </x:c>
      <x:c r="D35" s="6" t="n">
        <x:v>1445000</x:v>
      </x:c>
      <x:c r="E35" s="6" t="n">
        <x:f>C35-D35</x:f>
        <x:v>-1058000</x:v>
      </x:c>
      <x:c r="F35" s="6" t="n">
        <x:f>F34+E35</x:f>
        <x:v>-21372000</x:v>
      </x:c>
      <x:c r="G35" s="6" t="n">
        <x:v>387000</x:v>
      </x:c>
      <x:c r="H35" s="6" t="n">
        <x:v>1445000</x:v>
      </x:c>
      <x:c r="I35" s="6" t="n">
        <x:v>56</x:v>
      </x:c>
      <x:c r="J35" s="6" t="n">
        <x:v>0</x:v>
      </x:c>
      <x:c r="K35" s="6" t="n">
        <x:v>0</x:v>
      </x:c>
      <x:c r="L35" s="6" t="n">
        <x:v>10</x:v>
      </x:c>
      <x:c r="M35" s="11" t="n">
        <x:v>0.8543589743589743</x:v>
      </x:c>
      <x:c r="N35" s="6" t="n">
        <x:v>1110000</x:v>
      </x:c>
    </x:row>
    <x:row r="36" ht="24" customHeight="1">
      <x:c r="A36" s="2" t="str">
        <x:v>2026-10-12_Day</x:v>
      </x:c>
      <x:c r="B36" s="6" t="str">
        <x:v>デイ</x:v>
      </x:c>
      <x:c r="C36" s="6" t="n">
        <x:v>402000</x:v>
      </x:c>
      <x:c r="D36" s="6" t="n">
        <x:v>738000</x:v>
      </x:c>
      <x:c r="E36" s="6" t="n">
        <x:f>C36-D36</x:f>
        <x:v>-336000</x:v>
      </x:c>
      <x:c r="F36" s="6" t="n">
        <x:f>F35+E36</x:f>
        <x:v>-21708000</x:v>
      </x:c>
      <x:c r="G36" s="6" t="n">
        <x:v>402000</x:v>
      </x:c>
      <x:c r="H36" s="6" t="n">
        <x:v>738000</x:v>
      </x:c>
      <x:c r="I36" s="6" t="n">
        <x:v>36</x:v>
      </x:c>
      <x:c r="J36" s="6" t="n">
        <x:v>0</x:v>
      </x:c>
      <x:c r="K36" s="6" t="n">
        <x:v>0</x:v>
      </x:c>
      <x:c r="L36" s="6" t="n">
        <x:v>10</x:v>
      </x:c>
      <x:c r="M36" s="11" t="n">
        <x:v>0.8941269841269841</x:v>
      </x:c>
      <x:c r="N36" s="6" t="n">
        <x:v>422000</x:v>
      </x:c>
    </x:row>
    <x:row r="37" ht="24" customHeight="1">
      <x:c r="A37" s="2" t="str">
        <x:v>2026-10-12_Night</x:v>
      </x:c>
      <x:c r="B37" s="6" t="str">
        <x:v>ナイト</x:v>
      </x:c>
      <x:c r="C37" s="6" t="n">
        <x:v>335000</x:v>
      </x:c>
      <x:c r="D37" s="6" t="n">
        <x:v>959000</x:v>
      </x:c>
      <x:c r="E37" s="6" t="n">
        <x:f>C37-D37</x:f>
        <x:v>-624000</x:v>
      </x:c>
      <x:c r="F37" s="6" t="n">
        <x:f>F36+E37</x:f>
        <x:v>-22332000</x:v>
      </x:c>
      <x:c r="G37" s="6" t="n">
        <x:v>335000</x:v>
      </x:c>
      <x:c r="H37" s="6" t="n">
        <x:v>959000</x:v>
      </x:c>
      <x:c r="I37" s="6" t="n">
        <x:v>39</x:v>
      </x:c>
      <x:c r="J37" s="6" t="n">
        <x:v>0</x:v>
      </x:c>
      <x:c r="K37" s="6" t="n">
        <x:v>0</x:v>
      </x:c>
      <x:c r="L37" s="6" t="n">
        <x:v>10</x:v>
      </x:c>
      <x:c r="M37" s="11" t="n">
        <x:v>0.8155982905982906</x:v>
      </x:c>
      <x:c r="N37" s="6" t="n">
        <x:v>674000</x:v>
      </x:c>
    </x:row>
    <x:row r="38" ht="24" customHeight="1">
      <x:c r="A38" s="2" t="str">
        <x:v>2026-10-13_Day</x:v>
      </x:c>
      <x:c r="B38" s="6" t="str">
        <x:v>デイ</x:v>
      </x:c>
      <x:c r="C38" s="6" t="n">
        <x:v>1494000</x:v>
      </x:c>
      <x:c r="D38" s="6" t="n">
        <x:v>2308000</x:v>
      </x:c>
      <x:c r="E38" s="6" t="n">
        <x:f>C38-D38</x:f>
        <x:v>-814000</x:v>
      </x:c>
      <x:c r="F38" s="6" t="n">
        <x:f>F37+E38</x:f>
        <x:v>-23146000</x:v>
      </x:c>
      <x:c r="G38" s="6" t="n">
        <x:v>1494000</x:v>
      </x:c>
      <x:c r="H38" s="6" t="n">
        <x:v>2308000</x:v>
      </x:c>
      <x:c r="I38" s="6" t="n">
        <x:v>90</x:v>
      </x:c>
      <x:c r="J38" s="6" t="n">
        <x:v>0</x:v>
      </x:c>
      <x:c r="K38" s="6" t="n">
        <x:v>0</x:v>
      </x:c>
      <x:c r="L38" s="6" t="n">
        <x:v>10</x:v>
      </x:c>
      <x:c r="M38" s="11" t="n">
        <x:v>0.8993650793650794</x:v>
      </x:c>
      <x:c r="N38" s="6" t="n">
        <x:v>1129000</x:v>
      </x:c>
    </x:row>
    <x:row r="39" ht="24" customHeight="1">
      <x:c r="A39" s="2" t="str">
        <x:v>2026-10-13_Night</x:v>
      </x:c>
      <x:c r="B39" s="6" t="str">
        <x:v>ナイト</x:v>
      </x:c>
      <x:c r="C39" s="6" t="n">
        <x:v>577000</x:v>
      </x:c>
      <x:c r="D39" s="6" t="n">
        <x:v>854000</x:v>
      </x:c>
      <x:c r="E39" s="6" t="n">
        <x:f>C39-D39</x:f>
        <x:v>-277000</x:v>
      </x:c>
      <x:c r="F39" s="6" t="n">
        <x:f>F38+E39</x:f>
        <x:v>-23423000</x:v>
      </x:c>
      <x:c r="G39" s="6" t="n">
        <x:v>577000</x:v>
      </x:c>
      <x:c r="H39" s="6" t="n">
        <x:v>854000</x:v>
      </x:c>
      <x:c r="I39" s="6" t="n">
        <x:v>46</x:v>
      </x:c>
      <x:c r="J39" s="6" t="n">
        <x:v>0</x:v>
      </x:c>
      <x:c r="K39" s="6" t="n">
        <x:v>0</x:v>
      </x:c>
      <x:c r="L39" s="6" t="n">
        <x:v>10</x:v>
      </x:c>
      <x:c r="M39" s="11" t="n">
        <x:v>0.8574572649572649</x:v>
      </x:c>
      <x:c r="N39" s="6" t="n">
        <x:v>365000</x:v>
      </x:c>
    </x:row>
    <x:row r="40" ht="24" customHeight="1">
      <x:c r="A40" s="2" t="str">
        <x:v>2026-10-14_Day</x:v>
      </x:c>
      <x:c r="B40" s="6" t="str">
        <x:v>デイ</x:v>
      </x:c>
      <x:c r="C40" s="6" t="n">
        <x:v>943000</x:v>
      </x:c>
      <x:c r="D40" s="6" t="n">
        <x:v>1706000</x:v>
      </x:c>
      <x:c r="E40" s="6" t="n">
        <x:f>C40-D40</x:f>
        <x:v>-763000</x:v>
      </x:c>
      <x:c r="F40" s="6" t="n">
        <x:f>F39+E40</x:f>
        <x:v>-24186000</x:v>
      </x:c>
      <x:c r="G40" s="6" t="n">
        <x:v>943000</x:v>
      </x:c>
      <x:c r="H40" s="6" t="n">
        <x:v>1706000</x:v>
      </x:c>
      <x:c r="I40" s="6" t="n">
        <x:v>72</x:v>
      </x:c>
      <x:c r="J40" s="6" t="n">
        <x:v>0</x:v>
      </x:c>
      <x:c r="K40" s="6" t="n">
        <x:v>0</x:v>
      </x:c>
      <x:c r="L40" s="6" t="n">
        <x:v>10</x:v>
      </x:c>
      <x:c r="M40" s="11" t="n">
        <x:v>0.923968253968254</x:v>
      </x:c>
      <x:c r="N40" s="6" t="n">
        <x:v>953000</x:v>
      </x:c>
    </x:row>
    <x:row r="41" ht="24" customHeight="1">
      <x:c r="A41" s="2" t="str">
        <x:v>2026-10-14_Night</x:v>
      </x:c>
      <x:c r="B41" s="6" t="str">
        <x:v>ナイト</x:v>
      </x:c>
      <x:c r="C41" s="6" t="n">
        <x:v>1636000</x:v>
      </x:c>
      <x:c r="D41" s="6" t="n">
        <x:v>2993000</x:v>
      </x:c>
      <x:c r="E41" s="6" t="n">
        <x:f>C41-D41</x:f>
        <x:v>-1357000</x:v>
      </x:c>
      <x:c r="F41" s="6" t="n">
        <x:f>F40+E41</x:f>
        <x:v>-25543000</x:v>
      </x:c>
      <x:c r="G41" s="6" t="n">
        <x:v>1636000</x:v>
      </x:c>
      <x:c r="H41" s="6" t="n">
        <x:v>2993000</x:v>
      </x:c>
      <x:c r="I41" s="6" t="n">
        <x:v>102</x:v>
      </x:c>
      <x:c r="J41" s="6" t="n">
        <x:v>0</x:v>
      </x:c>
      <x:c r="K41" s="6" t="n">
        <x:v>0</x:v>
      </x:c>
      <x:c r="L41" s="6" t="n">
        <x:v>10</x:v>
      </x:c>
      <x:c r="M41" s="11" t="n">
        <x:v>0.9112820512820513</x:v>
      </x:c>
      <x:c r="N41" s="6" t="n">
        <x:v>1518000</x:v>
      </x:c>
    </x:row>
    <x:row r="42" ht="24" customHeight="1">
      <x:c r="A42" s="2" t="str">
        <x:v>2026-10-15_Day</x:v>
      </x:c>
      <x:c r="B42" s="6" t="str">
        <x:v>デイ</x:v>
      </x:c>
      <x:c r="C42" s="6" t="n">
        <x:v>2691000</x:v>
      </x:c>
      <x:c r="D42" s="6" t="n">
        <x:v>3954000</x:v>
      </x:c>
      <x:c r="E42" s="6" t="n">
        <x:f>C42-D42</x:f>
        <x:v>-1263000</x:v>
      </x:c>
      <x:c r="F42" s="6" t="n">
        <x:f>F41+E42</x:f>
        <x:v>-26806000</x:v>
      </x:c>
      <x:c r="G42" s="6" t="n">
        <x:v>2691000</x:v>
      </x:c>
      <x:c r="H42" s="6" t="n">
        <x:v>3954000</x:v>
      </x:c>
      <x:c r="I42" s="6" t="n">
        <x:v>179</x:v>
      </x:c>
      <x:c r="J42" s="6" t="n">
        <x:v>0</x:v>
      </x:c>
      <x:c r="K42" s="6" t="n">
        <x:v>0</x:v>
      </x:c>
      <x:c r="L42" s="6" t="n">
        <x:v>10</x:v>
      </x:c>
      <x:c r="M42" s="11" t="n">
        <x:v>0.8600396825396825</x:v>
      </x:c>
      <x:c r="N42" s="6" t="n">
        <x:v>1394000</x:v>
      </x:c>
    </x:row>
    <x:row r="43" ht="24" customHeight="1">
      <x:c r="A43" s="2" t="str">
        <x:v>2026-10-15_Night</x:v>
      </x:c>
      <x:c r="B43" s="6" t="str">
        <x:v>ナイト</x:v>
      </x:c>
      <x:c r="C43" s="6" t="n">
        <x:v>2287000</x:v>
      </x:c>
      <x:c r="D43" s="6" t="n">
        <x:v>3840000</x:v>
      </x:c>
      <x:c r="E43" s="6" t="n">
        <x:f>C43-D43</x:f>
        <x:v>-1553000</x:v>
      </x:c>
      <x:c r="F43" s="6" t="n">
        <x:f>F42+E43</x:f>
        <x:v>-28359000</x:v>
      </x:c>
      <x:c r="G43" s="6" t="n">
        <x:v>2287000</x:v>
      </x:c>
      <x:c r="H43" s="6" t="n">
        <x:v>3840000</x:v>
      </x:c>
      <x:c r="I43" s="6" t="n">
        <x:v>180</x:v>
      </x:c>
      <x:c r="J43" s="6" t="n">
        <x:v>0</x:v>
      </x:c>
      <x:c r="K43" s="6" t="n">
        <x:v>0</x:v>
      </x:c>
      <x:c r="L43" s="6" t="n">
        <x:v>10</x:v>
      </x:c>
      <x:c r="M43" s="11" t="n">
        <x:v>0.8331623931623932</x:v>
      </x:c>
      <x:c r="N43" s="6" t="n">
        <x:v>1817000</x:v>
      </x:c>
    </x:row>
    <x:row r="44" ht="24" customHeight="1">
      <x:c r="A44" s="2" t="str">
        <x:v>2026-10-16_Day</x:v>
      </x:c>
      <x:c r="B44" s="6" t="str">
        <x:v>デイ</x:v>
      </x:c>
      <x:c r="C44" s="6" t="n">
        <x:v>1895000</x:v>
      </x:c>
      <x:c r="D44" s="6" t="n">
        <x:v>3173000</x:v>
      </x:c>
      <x:c r="E44" s="6" t="n">
        <x:f>C44-D44</x:f>
        <x:v>-1278000</x:v>
      </x:c>
      <x:c r="F44" s="6" t="n">
        <x:f>F43+E44</x:f>
        <x:v>-29637000</x:v>
      </x:c>
      <x:c r="G44" s="6" t="n">
        <x:v>1895000</x:v>
      </x:c>
      <x:c r="H44" s="6" t="n">
        <x:v>3173000</x:v>
      </x:c>
      <x:c r="I44" s="6" t="n">
        <x:v>130</x:v>
      </x:c>
      <x:c r="J44" s="6" t="n">
        <x:v>0</x:v>
      </x:c>
      <x:c r="K44" s="6" t="n">
        <x:v>0</x:v>
      </x:c>
      <x:c r="L44" s="6" t="n">
        <x:v>10</x:v>
      </x:c>
      <x:c r="M44" s="11" t="n">
        <x:v>0.8933730158730159</x:v>
      </x:c>
      <x:c r="N44" s="6" t="n">
        <x:v>1348000</x:v>
      </x:c>
    </x:row>
    <x:row r="45" ht="24" customHeight="1">
      <x:c r="A45" s="2" t="str">
        <x:v>2026-10-16_Night</x:v>
      </x:c>
      <x:c r="B45" s="6" t="str">
        <x:v>ナイト</x:v>
      </x:c>
      <x:c r="C45" s="6" t="n">
        <x:v>1969000</x:v>
      </x:c>
      <x:c r="D45" s="6" t="n">
        <x:v>3578000</x:v>
      </x:c>
      <x:c r="E45" s="6" t="n">
        <x:f>C45-D45</x:f>
        <x:v>-1609000</x:v>
      </x:c>
      <x:c r="F45" s="6" t="n">
        <x:f>F44+E45</x:f>
        <x:v>-31246000</x:v>
      </x:c>
      <x:c r="G45" s="6" t="n">
        <x:v>1969000</x:v>
      </x:c>
      <x:c r="H45" s="6" t="n">
        <x:v>3578000</x:v>
      </x:c>
      <x:c r="I45" s="6" t="n">
        <x:v>162</x:v>
      </x:c>
      <x:c r="J45" s="6" t="n">
        <x:v>0</x:v>
      </x:c>
      <x:c r="K45" s="6" t="n">
        <x:v>0</x:v>
      </x:c>
      <x:c r="L45" s="6" t="n">
        <x:v>10</x:v>
      </x:c>
      <x:c r="M45" s="11" t="n">
        <x:v>0.8899145299145299</x:v>
      </x:c>
      <x:c r="N45" s="6" t="n">
        <x:v>1734000</x:v>
      </x:c>
    </x:row>
    <x:row r="46" ht="24" customHeight="1">
      <x:c r="A46" s="2" t="str">
        <x:v>2026-10-19_Day</x:v>
      </x:c>
      <x:c r="B46" s="6" t="str">
        <x:v>デイ</x:v>
      </x:c>
      <x:c r="C46" s="6" t="n">
        <x:v>1737000</x:v>
      </x:c>
      <x:c r="D46" s="6" t="n">
        <x:v>3317000</x:v>
      </x:c>
      <x:c r="E46" s="6" t="n">
        <x:f>C46-D46</x:f>
        <x:v>-1580000</x:v>
      </x:c>
      <x:c r="F46" s="6" t="n">
        <x:f>F45+E46</x:f>
        <x:v>-32826000</x:v>
      </x:c>
      <x:c r="G46" s="6" t="n">
        <x:v>1737000</x:v>
      </x:c>
      <x:c r="H46" s="6" t="n">
        <x:v>3317000</x:v>
      </x:c>
      <x:c r="I46" s="6" t="n">
        <x:v>126</x:v>
      </x:c>
      <x:c r="J46" s="6" t="n">
        <x:v>0</x:v>
      </x:c>
      <x:c r="K46" s="6" t="n">
        <x:v>0</x:v>
      </x:c>
      <x:c r="L46" s="6" t="n">
        <x:v>10</x:v>
      </x:c>
      <x:c r="M46" s="11" t="n">
        <x:v>0.8639285714285714</x:v>
      </x:c>
      <x:c r="N46" s="6" t="n">
        <x:v>1670000</x:v>
      </x:c>
    </x:row>
    <x:row r="47" ht="24" customHeight="1">
      <x:c r="A47" s="2" t="str">
        <x:v>2026-10-19_Night</x:v>
      </x:c>
      <x:c r="B47" s="6" t="str">
        <x:v>ナイト</x:v>
      </x:c>
      <x:c r="C47" s="6" t="n">
        <x:v>1263000</x:v>
      </x:c>
      <x:c r="D47" s="6" t="n">
        <x:v>2806000</x:v>
      </x:c>
      <x:c r="E47" s="6" t="n">
        <x:f>C47-D47</x:f>
        <x:v>-1543000</x:v>
      </x:c>
      <x:c r="F47" s="6" t="n">
        <x:f>F46+E47</x:f>
        <x:v>-34369000</x:v>
      </x:c>
      <x:c r="G47" s="6" t="n">
        <x:v>1263000</x:v>
      </x:c>
      <x:c r="H47" s="6" t="n">
        <x:v>2806000</x:v>
      </x:c>
      <x:c r="I47" s="6" t="n">
        <x:v>127</x:v>
      </x:c>
      <x:c r="J47" s="6" t="n">
        <x:v>0</x:v>
      </x:c>
      <x:c r="K47" s="6" t="n">
        <x:v>0</x:v>
      </x:c>
      <x:c r="L47" s="6" t="n">
        <x:v>10</x:v>
      </x:c>
      <x:c r="M47" s="11" t="n">
        <x:v>0.8749786324786325</x:v>
      </x:c>
      <x:c r="N47" s="6" t="n">
        <x:v>1609000</x:v>
      </x:c>
    </x:row>
    <x:row r="48" ht="24" customHeight="1">
      <x:c r="A48" s="2" t="str">
        <x:v>2026-10-20_Day</x:v>
      </x:c>
      <x:c r="B48" s="6" t="str">
        <x:v>デイ</x:v>
      </x:c>
      <x:c r="C48" s="6" t="n">
        <x:v>1884000</x:v>
      </x:c>
      <x:c r="D48" s="6" t="n">
        <x:v>3267000</x:v>
      </x:c>
      <x:c r="E48" s="6" t="n">
        <x:f>C48-D48</x:f>
        <x:v>-1383000</x:v>
      </x:c>
      <x:c r="F48" s="6" t="n">
        <x:f>F47+E48</x:f>
        <x:v>-35752000</x:v>
      </x:c>
      <x:c r="G48" s="6" t="n">
        <x:v>1884000</x:v>
      </x:c>
      <x:c r="H48" s="6" t="n">
        <x:v>3267000</x:v>
      </x:c>
      <x:c r="I48" s="6" t="n">
        <x:v>148</x:v>
      </x:c>
      <x:c r="J48" s="6" t="n">
        <x:v>0</x:v>
      </x:c>
      <x:c r="K48" s="6" t="n">
        <x:v>0</x:v>
      </x:c>
      <x:c r="L48" s="6" t="n">
        <x:v>10</x:v>
      </x:c>
      <x:c r="M48" s="11" t="n">
        <x:v>0.8826190476190476</x:v>
      </x:c>
      <x:c r="N48" s="6" t="n">
        <x:v>1555000</x:v>
      </x:c>
    </x:row>
    <x:row r="49" ht="24" customHeight="1">
      <x:c r="A49" s="2" t="str">
        <x:v>2026-10-20_Night</x:v>
      </x:c>
      <x:c r="B49" s="6" t="str">
        <x:v>ナイト</x:v>
      </x:c>
      <x:c r="C49" s="6" t="n">
        <x:v>2031000</x:v>
      </x:c>
      <x:c r="D49" s="6" t="n">
        <x:v>3432000</x:v>
      </x:c>
      <x:c r="E49" s="6" t="n">
        <x:f>C49-D49</x:f>
        <x:v>-1401000</x:v>
      </x:c>
      <x:c r="F49" s="6" t="n">
        <x:f>F48+E49</x:f>
        <x:v>-37153000</x:v>
      </x:c>
      <x:c r="G49" s="6" t="n">
        <x:v>2031000</x:v>
      </x:c>
      <x:c r="H49" s="6" t="n">
        <x:v>3432000</x:v>
      </x:c>
      <x:c r="I49" s="6" t="n">
        <x:v>148</x:v>
      </x:c>
      <x:c r="J49" s="6" t="n">
        <x:v>0</x:v>
      </x:c>
      <x:c r="K49" s="6" t="n">
        <x:v>0</x:v>
      </x:c>
      <x:c r="L49" s="6" t="n">
        <x:v>10</x:v>
      </x:c>
      <x:c r="M49" s="11" t="n">
        <x:v>0.7914316239316239</x:v>
      </x:c>
      <x:c r="N49" s="6" t="n">
        <x:v>1750000</x:v>
      </x:c>
    </x:row>
    <x:row r="50" ht="24" customHeight="1">
      <x:c r="A50" s="2" t="str">
        <x:v>2026-10-21_Day</x:v>
      </x:c>
      <x:c r="B50" s="6" t="str">
        <x:v>デイ</x:v>
      </x:c>
      <x:c r="C50" s="6" t="n">
        <x:v>1617000</x:v>
      </x:c>
      <x:c r="D50" s="6" t="n">
        <x:v>2568000</x:v>
      </x:c>
      <x:c r="E50" s="6" t="n">
        <x:f>C50-D50</x:f>
        <x:v>-951000</x:v>
      </x:c>
      <x:c r="F50" s="6" t="n">
        <x:f>F49+E50</x:f>
        <x:v>-38104000</x:v>
      </x:c>
      <x:c r="G50" s="6" t="n">
        <x:v>1617000</x:v>
      </x:c>
      <x:c r="H50" s="6" t="n">
        <x:v>2568000</x:v>
      </x:c>
      <x:c r="I50" s="6" t="n">
        <x:v>126</x:v>
      </x:c>
      <x:c r="J50" s="6" t="n">
        <x:v>0</x:v>
      </x:c>
      <x:c r="K50" s="6" t="n">
        <x:v>0</x:v>
      </x:c>
      <x:c r="L50" s="6" t="n">
        <x:v>10</x:v>
      </x:c>
      <x:c r="M50" s="11" t="n">
        <x:v>0.8927380952380952</x:v>
      </x:c>
      <x:c r="N50" s="6" t="n">
        <x:v>1143000</x:v>
      </x:c>
    </x:row>
    <x:row r="51" ht="24" customHeight="1">
      <x:c r="A51" s="2" t="str">
        <x:v>2026-10-21_Night</x:v>
      </x:c>
      <x:c r="B51" s="6" t="str">
        <x:v>ナイト</x:v>
      </x:c>
      <x:c r="C51" s="6" t="n">
        <x:v>1612000</x:v>
      </x:c>
      <x:c r="D51" s="6" t="n">
        <x:v>2511000</x:v>
      </x:c>
      <x:c r="E51" s="6" t="n">
        <x:f>C51-D51</x:f>
        <x:v>-899000</x:v>
      </x:c>
      <x:c r="F51" s="6" t="n">
        <x:f>F50+E51</x:f>
        <x:v>-39003000</x:v>
      </x:c>
      <x:c r="G51" s="6" t="n">
        <x:v>1612000</x:v>
      </x:c>
      <x:c r="H51" s="6" t="n">
        <x:v>2511000</x:v>
      </x:c>
      <x:c r="I51" s="6" t="n">
        <x:v>124</x:v>
      </x:c>
      <x:c r="J51" s="6" t="n">
        <x:v>0</x:v>
      </x:c>
      <x:c r="K51" s="6" t="n">
        <x:v>0</x:v>
      </x:c>
      <x:c r="L51" s="6" t="n">
        <x:v>10</x:v>
      </x:c>
      <x:c r="M51" s="11" t="n">
        <x:v>0.8773076923076923</x:v>
      </x:c>
      <x:c r="N51" s="6" t="n">
        <x:v>1090000</x:v>
      </x:c>
    </x:row>
    <x:row r="52" ht="24" customHeight="1">
      <x:c r="A52" s="2" t="str">
        <x:v>2026-10-22_Day</x:v>
      </x:c>
      <x:c r="B52" s="6" t="str">
        <x:v>デイ</x:v>
      </x:c>
      <x:c r="C52" s="6" t="n">
        <x:v>1520000</x:v>
      </x:c>
      <x:c r="D52" s="6" t="n">
        <x:v>3181000</x:v>
      </x:c>
      <x:c r="E52" s="6" t="n">
        <x:f>C52-D52</x:f>
        <x:v>-1661000</x:v>
      </x:c>
      <x:c r="F52" s="6" t="n">
        <x:f>F51+E52</x:f>
        <x:v>-40664000</x:v>
      </x:c>
      <x:c r="G52" s="6" t="n">
        <x:v>1520000</x:v>
      </x:c>
      <x:c r="H52" s="6" t="n">
        <x:v>3181000</x:v>
      </x:c>
      <x:c r="I52" s="6" t="n">
        <x:v>132</x:v>
      </x:c>
      <x:c r="J52" s="6" t="n">
        <x:v>0</x:v>
      </x:c>
      <x:c r="K52" s="6" t="n">
        <x:v>0</x:v>
      </x:c>
      <x:c r="L52" s="6" t="n">
        <x:v>10</x:v>
      </x:c>
      <x:c r="M52" s="11" t="n">
        <x:v>0.8421825396825396</x:v>
      </x:c>
      <x:c r="N52" s="6" t="n">
        <x:v>1723000</x:v>
      </x:c>
    </x:row>
    <x:row r="53" ht="24" customHeight="1">
      <x:c r="A53" s="2" t="str">
        <x:v>2026-10-22_Night</x:v>
      </x:c>
      <x:c r="B53" s="6" t="str">
        <x:v>ナイト</x:v>
      </x:c>
      <x:c r="C53" s="6" t="n">
        <x:v>2300000</x:v>
      </x:c>
      <x:c r="D53" s="6" t="n">
        <x:v>3008000</x:v>
      </x:c>
      <x:c r="E53" s="6" t="n">
        <x:f>C53-D53</x:f>
        <x:v>-708000</x:v>
      </x:c>
      <x:c r="F53" s="6" t="n">
        <x:f>F52+E53</x:f>
        <x:v>-41372000</x:v>
      </x:c>
      <x:c r="G53" s="6" t="n">
        <x:v>2300000</x:v>
      </x:c>
      <x:c r="H53" s="6" t="n">
        <x:v>3008000</x:v>
      </x:c>
      <x:c r="I53" s="6" t="n">
        <x:v>154</x:v>
      </x:c>
      <x:c r="J53" s="6" t="n">
        <x:v>0</x:v>
      </x:c>
      <x:c r="K53" s="6" t="n">
        <x:v>0</x:v>
      </x:c>
      <x:c r="L53" s="6" t="n">
        <x:v>10</x:v>
      </x:c>
      <x:c r="M53" s="11" t="n">
        <x:v>0.8856623931623931</x:v>
      </x:c>
      <x:c r="N53" s="6" t="n">
        <x:v>1018000</x:v>
      </x:c>
    </x:row>
    <x:row r="54" ht="24" customHeight="1">
      <x:c r="A54" s="2" t="str">
        <x:v>2026-10-23_Day</x:v>
      </x:c>
      <x:c r="B54" s="6" t="str">
        <x:v>デイ</x:v>
      </x:c>
      <x:c r="C54" s="6" t="n">
        <x:v>3676000</x:v>
      </x:c>
      <x:c r="D54" s="6" t="n">
        <x:v>6605000</x:v>
      </x:c>
      <x:c r="E54" s="6" t="n">
        <x:f>C54-D54</x:f>
        <x:v>-2929000</x:v>
      </x:c>
      <x:c r="F54" s="6" t="n">
        <x:f>F53+E54</x:f>
        <x:v>-44301000</x:v>
      </x:c>
      <x:c r="G54" s="6" t="n">
        <x:v>3676000</x:v>
      </x:c>
      <x:c r="H54" s="6" t="n">
        <x:v>6605000</x:v>
      </x:c>
      <x:c r="I54" s="6" t="n">
        <x:v>247</x:v>
      </x:c>
      <x:c r="J54" s="6" t="n">
        <x:v>0</x:v>
      </x:c>
      <x:c r="K54" s="6" t="n">
        <x:v>0</x:v>
      </x:c>
      <x:c r="L54" s="6" t="n">
        <x:v>10</x:v>
      </x:c>
      <x:c r="M54" s="11" t="n">
        <x:v>0.8509126984126985</x:v>
      </x:c>
      <x:c r="N54" s="6" t="n">
        <x:v>2971000</x:v>
      </x:c>
    </x:row>
    <x:row r="55" ht="24" customHeight="1">
      <x:c r="A55" s="2" t="str">
        <x:v>2026-10-23_Night</x:v>
      </x:c>
      <x:c r="B55" s="6" t="str">
        <x:v>ナイト</x:v>
      </x:c>
      <x:c r="C55" s="6" t="n">
        <x:v>1444000</x:v>
      </x:c>
      <x:c r="D55" s="6" t="n">
        <x:v>2908000</x:v>
      </x:c>
      <x:c r="E55" s="6" t="n">
        <x:f>C55-D55</x:f>
        <x:v>-1464000</x:v>
      </x:c>
      <x:c r="F55" s="6" t="n">
        <x:f>F54+E55</x:f>
        <x:v>-45765000</x:v>
      </x:c>
      <x:c r="G55" s="6" t="n">
        <x:v>1444000</x:v>
      </x:c>
      <x:c r="H55" s="6" t="n">
        <x:v>2908000</x:v>
      </x:c>
      <x:c r="I55" s="6" t="n">
        <x:v>137</x:v>
      </x:c>
      <x:c r="J55" s="6" t="n">
        <x:v>0</x:v>
      </x:c>
      <x:c r="K55" s="6" t="n">
        <x:v>0</x:v>
      </x:c>
      <x:c r="L55" s="6" t="n">
        <x:v>10</x:v>
      </x:c>
      <x:c r="M55" s="11" t="n">
        <x:v>0.902991452991453</x:v>
      </x:c>
      <x:c r="N55" s="6" t="n">
        <x:v>1587000</x:v>
      </x:c>
    </x:row>
    <x:row r="56" ht="24" customHeight="1">
      <x:c r="A56" s="2" t="str">
        <x:v>2026-10-26_Day</x:v>
      </x:c>
      <x:c r="B56" s="6" t="str">
        <x:v>デイ</x:v>
      </x:c>
      <x:c r="C56" s="6" t="n">
        <x:v>2017000</x:v>
      </x:c>
      <x:c r="D56" s="6" t="n">
        <x:v>4620000</x:v>
      </x:c>
      <x:c r="E56" s="6" t="n">
        <x:f>C56-D56</x:f>
        <x:v>-2603000</x:v>
      </x:c>
      <x:c r="F56" s="6" t="n">
        <x:f>F55+E56</x:f>
        <x:v>-48368000</x:v>
      </x:c>
      <x:c r="G56" s="6" t="n">
        <x:v>2017000</x:v>
      </x:c>
      <x:c r="H56" s="6" t="n">
        <x:v>4620000</x:v>
      </x:c>
      <x:c r="I56" s="6" t="n">
        <x:v>156</x:v>
      </x:c>
      <x:c r="J56" s="6" t="n">
        <x:v>0</x:v>
      </x:c>
      <x:c r="K56" s="6" t="n">
        <x:v>0</x:v>
      </x:c>
      <x:c r="L56" s="6" t="n">
        <x:v>10</x:v>
      </x:c>
      <x:c r="M56" s="11" t="n">
        <x:v>0.8684126984126984</x:v>
      </x:c>
      <x:c r="N56" s="6" t="n">
        <x:v>2653000</x:v>
      </x:c>
    </x:row>
    <x:row r="57" ht="24" customHeight="1">
      <x:c r="A57" s="15" t="str">
        <x:v>累計／平均／最大</x:v>
      </x:c>
      <x:c r="B57" s="16"/>
      <x:c r="C57" s="16" t="n">
        <x:f>SUM(C6:C56)</x:f>
        <x:v>65309000</x:v>
      </x:c>
      <x:c r="D57" s="16" t="n">
        <x:f>SUM(D6:D56)</x:f>
        <x:v>113677000</x:v>
      </x:c>
      <x:c r="E57" s="16" t="n">
        <x:f>C57-D57</x:f>
        <x:v>-48368000</x:v>
      </x:c>
      <x:c r="F57" s="16" t="n">
        <x:f>F56</x:f>
        <x:v>-48368000</x:v>
      </x:c>
      <x:c r="G57" s="16" t="n">
        <x:f>SUM(G6:G56)</x:f>
        <x:v>65309000</x:v>
      </x:c>
      <x:c r="H57" s="16" t="n">
        <x:f>SUM(H6:H56)</x:f>
        <x:v>113677000</x:v>
      </x:c>
      <x:c r="I57" s="16" t="n">
        <x:f>SUM(I6:I56)</x:f>
        <x:v>5007</x:v>
      </x:c>
      <x:c r="J57" s="16" t="n">
        <x:f>SUM(J6:J56)</x:f>
        <x:v>0</x:v>
      </x:c>
      <x:c r="K57" s="16" t="n">
        <x:f>SUM(K6:K56)</x:f>
        <x:v>0</x:v>
      </x:c>
      <x:c r="L57" s="16" t="n">
        <x:f>MAX(L6:L56)</x:f>
        <x:v>10</x:v>
      </x:c>
      <x:c r="M57" s="17" t="n">
        <x:f>AVERAGE(M6:M56)</x:f>
        <x:v>0.8822608872608872</x:v>
      </x:c>
      <x:c r="N57" s="16" t="n">
        <x:f>MAX(N6:N56)</x:f>
        <x:v>2971000</x:v>
      </x:c>
    </x:row>
  </x:sheetData>
  <x:conditionalFormatting sqref="E6:F56">
    <x:cfRule type="cellIs" dxfId="20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13ba8d0c69e4591"/>
  </x:tableParts>
</x:worksheet>
</file>

<file path=xl/worksheets/sheet2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1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4" customHeight="1">
      <x:c r="A1" s="3" t="str">
        <x:v>日経 M14　各セッションの利益・損失・収支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A2" s="4" t="str">
        <x:v>2026/09/21〜10/26デイ・51完了場。日経mini／TOPIXmini各上限10枚・手数料0。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4" customHeight="1">
      <x:c r="A3" s="4" t="str">
        <x:v>300秒の時間加重平均を60秒前と比較。入口だけ傾き比例枚数、利益追尾＋傾き反転で返済。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4" customHeight="1">
      <x:c r="A4" s="4" t="str">
        <x:v>利益・損失＝FIFO返済配賦別。親＝初回から全返済まで。ラージ気配による模型で、mini実約定の検証ではありません。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42" customHeight="1">
      <x:c r="A5" s="10" t="str">
        <x:v>セッション</x:v>
      </x:c>
      <x:c r="B5" s="10" t="str">
        <x:v>区分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親利益（円）</x:v>
      </x:c>
      <x:c r="H5" s="10" t="str">
        <x:v>親損失（円）</x:v>
      </x:c>
      <x:c r="I5" s="10" t="str">
        <x:v>初回件数</x:v>
      </x:c>
      <x:c r="J5" s="10" t="str">
        <x:v>追加件数</x:v>
      </x:c>
      <x:c r="K5" s="10" t="str">
        <x:v>縮小件数</x:v>
      </x:c>
      <x:c r="L5" s="10" t="str">
        <x:v>最大保有枚数</x:v>
      </x:c>
      <x:c r="M5" s="10" t="str">
        <x:v>保有時間率</x:v>
      </x:c>
      <x:c r="N5" s="10" t="str">
        <x:v>時価最大DD（円）</x:v>
      </x:c>
    </x:row>
    <x:row r="6" ht="24" customHeight="1">
      <x:c r="A6" s="2" t="str">
        <x:v>2026-09-21_Day</x:v>
      </x:c>
      <x:c r="B6" s="6" t="str">
        <x:v>デイ</x:v>
      </x:c>
      <x:c r="C6" s="6" t="n">
        <x:v>370000</x:v>
      </x:c>
      <x:c r="D6" s="6" t="n">
        <x:v>799000</x:v>
      </x:c>
      <x:c r="E6" s="6" t="n">
        <x:f>C6-D6</x:f>
        <x:v>-429000</x:v>
      </x:c>
      <x:c r="F6" s="6" t="n">
        <x:f>E6</x:f>
        <x:v>-429000</x:v>
      </x:c>
      <x:c r="G6" s="6" t="n">
        <x:v>370000</x:v>
      </x:c>
      <x:c r="H6" s="6" t="n">
        <x:v>799000</x:v>
      </x:c>
      <x:c r="I6" s="6" t="n">
        <x:v>70</x:v>
      </x:c>
      <x:c r="J6" s="6" t="n">
        <x:v>0</x:v>
      </x:c>
      <x:c r="K6" s="6" t="n">
        <x:v>0</x:v>
      </x:c>
      <x:c r="L6" s="6" t="n">
        <x:v>10</x:v>
      </x:c>
      <x:c r="M6" s="11" t="n">
        <x:v>0.693968253968254</x:v>
      </x:c>
      <x:c r="N6" s="6" t="n">
        <x:v>514000</x:v>
      </x:c>
    </x:row>
    <x:row r="7" ht="24" customHeight="1">
      <x:c r="A7" s="2" t="str">
        <x:v>2026-09-21_Night</x:v>
      </x:c>
      <x:c r="B7" s="6" t="str">
        <x:v>ナイト</x:v>
      </x:c>
      <x:c r="C7" s="6" t="n">
        <x:v>343000</x:v>
      </x:c>
      <x:c r="D7" s="6" t="n">
        <x:v>721000</x:v>
      </x:c>
      <x:c r="E7" s="6" t="n">
        <x:f>C7-D7</x:f>
        <x:v>-378000</x:v>
      </x:c>
      <x:c r="F7" s="6" t="n">
        <x:f>F6+E7</x:f>
        <x:v>-807000</x:v>
      </x:c>
      <x:c r="G7" s="6" t="n">
        <x:v>343000</x:v>
      </x:c>
      <x:c r="H7" s="6" t="n">
        <x:v>721000</x:v>
      </x:c>
      <x:c r="I7" s="6" t="n">
        <x:v>83</x:v>
      </x:c>
      <x:c r="J7" s="6" t="n">
        <x:v>0</x:v>
      </x:c>
      <x:c r="K7" s="6" t="n">
        <x:v>0</x:v>
      </x:c>
      <x:c r="L7" s="6" t="n">
        <x:v>10</x:v>
      </x:c>
      <x:c r="M7" s="11" t="n">
        <x:v>0.6851068376068377</x:v>
      </x:c>
      <x:c r="N7" s="6" t="n">
        <x:v>450000</x:v>
      </x:c>
    </x:row>
    <x:row r="8" ht="24" customHeight="1">
      <x:c r="A8" s="2" t="str">
        <x:v>2026-09-22_Day</x:v>
      </x:c>
      <x:c r="B8" s="6" t="str">
        <x:v>デイ</x:v>
      </x:c>
      <x:c r="C8" s="6" t="n">
        <x:v>564000</x:v>
      </x:c>
      <x:c r="D8" s="6" t="n">
        <x:v>1182000</x:v>
      </x:c>
      <x:c r="E8" s="6" t="n">
        <x:f>C8-D8</x:f>
        <x:v>-618000</x:v>
      </x:c>
      <x:c r="F8" s="6" t="n">
        <x:f>F7+E8</x:f>
        <x:v>-1425000</x:v>
      </x:c>
      <x:c r="G8" s="6" t="n">
        <x:v>564000</x:v>
      </x:c>
      <x:c r="H8" s="6" t="n">
        <x:v>1182000</x:v>
      </x:c>
      <x:c r="I8" s="6" t="n">
        <x:v>101</x:v>
      </x:c>
      <x:c r="J8" s="6" t="n">
        <x:v>0</x:v>
      </x:c>
      <x:c r="K8" s="6" t="n">
        <x:v>0</x:v>
      </x:c>
      <x:c r="L8" s="6" t="n">
        <x:v>10</x:v>
      </x:c>
      <x:c r="M8" s="11" t="n">
        <x:v>0.790515873015873</x:v>
      </x:c>
      <x:c r="N8" s="6" t="n">
        <x:v>903000</x:v>
      </x:c>
    </x:row>
    <x:row r="9" ht="24" customHeight="1">
      <x:c r="A9" s="2" t="str">
        <x:v>2026-09-22_Night</x:v>
      </x:c>
      <x:c r="B9" s="6" t="str">
        <x:v>ナイト</x:v>
      </x:c>
      <x:c r="C9" s="6" t="n">
        <x:v>770000</x:v>
      </x:c>
      <x:c r="D9" s="6" t="n">
        <x:v>1509000</x:v>
      </x:c>
      <x:c r="E9" s="6" t="n">
        <x:f>C9-D9</x:f>
        <x:v>-739000</x:v>
      </x:c>
      <x:c r="F9" s="6" t="n">
        <x:f>F8+E9</x:f>
        <x:v>-2164000</x:v>
      </x:c>
      <x:c r="G9" s="6" t="n">
        <x:v>770000</x:v>
      </x:c>
      <x:c r="H9" s="6" t="n">
        <x:v>1509000</x:v>
      </x:c>
      <x:c r="I9" s="6" t="n">
        <x:v>128</x:v>
      </x:c>
      <x:c r="J9" s="6" t="n">
        <x:v>0</x:v>
      </x:c>
      <x:c r="K9" s="6" t="n">
        <x:v>0</x:v>
      </x:c>
      <x:c r="L9" s="6" t="n">
        <x:v>10</x:v>
      </x:c>
      <x:c r="M9" s="11" t="n">
        <x:v>0.645982905982906</x:v>
      </x:c>
      <x:c r="N9" s="6" t="n">
        <x:v>874000</x:v>
      </x:c>
    </x:row>
    <x:row r="10" ht="24" customHeight="1">
      <x:c r="A10" s="2" t="str">
        <x:v>2026-09-23_Day</x:v>
      </x:c>
      <x:c r="B10" s="6" t="str">
        <x:v>デイ</x:v>
      </x:c>
      <x:c r="C10" s="6" t="n">
        <x:v>207000</x:v>
      </x:c>
      <x:c r="D10" s="6" t="n">
        <x:v>810000</x:v>
      </x:c>
      <x:c r="E10" s="6" t="n">
        <x:f>C10-D10</x:f>
        <x:v>-603000</x:v>
      </x:c>
      <x:c r="F10" s="6" t="n">
        <x:f>F9+E10</x:f>
        <x:v>-2767000</x:v>
      </x:c>
      <x:c r="G10" s="6" t="n">
        <x:v>207000</x:v>
      </x:c>
      <x:c r="H10" s="6" t="n">
        <x:v>810000</x:v>
      </x:c>
      <x:c r="I10" s="6" t="n">
        <x:v>68</x:v>
      </x:c>
      <x:c r="J10" s="6" t="n">
        <x:v>0</x:v>
      </x:c>
      <x:c r="K10" s="6" t="n">
        <x:v>0</x:v>
      </x:c>
      <x:c r="L10" s="6" t="n">
        <x:v>10</x:v>
      </x:c>
      <x:c r="M10" s="11" t="n">
        <x:v>0.7678968253968254</x:v>
      </x:c>
      <x:c r="N10" s="6" t="n">
        <x:v>632000</x:v>
      </x:c>
    </x:row>
    <x:row r="11" ht="24" customHeight="1">
      <x:c r="A11" s="2" t="str">
        <x:v>2026-09-23_Night</x:v>
      </x:c>
      <x:c r="B11" s="6" t="str">
        <x:v>ナイト</x:v>
      </x:c>
      <x:c r="C11" s="6" t="n">
        <x:v>487000</x:v>
      </x:c>
      <x:c r="D11" s="6" t="n">
        <x:v>1129000</x:v>
      </x:c>
      <x:c r="E11" s="6" t="n">
        <x:f>C11-D11</x:f>
        <x:v>-642000</x:v>
      </x:c>
      <x:c r="F11" s="6" t="n">
        <x:f>F10+E11</x:f>
        <x:v>-3409000</x:v>
      </x:c>
      <x:c r="G11" s="6" t="n">
        <x:v>487000</x:v>
      </x:c>
      <x:c r="H11" s="6" t="n">
        <x:v>1129000</x:v>
      </x:c>
      <x:c r="I11" s="6" t="n">
        <x:v>102</x:v>
      </x:c>
      <x:c r="J11" s="6" t="n">
        <x:v>0</x:v>
      </x:c>
      <x:c r="K11" s="6" t="n">
        <x:v>0</x:v>
      </x:c>
      <x:c r="L11" s="6" t="n">
        <x:v>10</x:v>
      </x:c>
      <x:c r="M11" s="11" t="n">
        <x:v>0.8132051282051282</x:v>
      </x:c>
      <x:c r="N11" s="6" t="n">
        <x:v>668000</x:v>
      </x:c>
    </x:row>
    <x:row r="12" ht="24" customHeight="1">
      <x:c r="A12" s="2" t="str">
        <x:v>2026-09-24_Day</x:v>
      </x:c>
      <x:c r="B12" s="6" t="str">
        <x:v>デイ</x:v>
      </x:c>
      <x:c r="C12" s="6" t="n">
        <x:v>1079000</x:v>
      </x:c>
      <x:c r="D12" s="6" t="n">
        <x:v>2004000</x:v>
      </x:c>
      <x:c r="E12" s="6" t="n">
        <x:f>C12-D12</x:f>
        <x:v>-925000</x:v>
      </x:c>
      <x:c r="F12" s="6" t="n">
        <x:f>F11+E12</x:f>
        <x:v>-4334000</x:v>
      </x:c>
      <x:c r="G12" s="6" t="n">
        <x:v>1079000</x:v>
      </x:c>
      <x:c r="H12" s="6" t="n">
        <x:v>2004000</x:v>
      </x:c>
      <x:c r="I12" s="6" t="n">
        <x:v>144</x:v>
      </x:c>
      <x:c r="J12" s="6" t="n">
        <x:v>0</x:v>
      </x:c>
      <x:c r="K12" s="6" t="n">
        <x:v>0</x:v>
      </x:c>
      <x:c r="L12" s="6" t="n">
        <x:v>10</x:v>
      </x:c>
      <x:c r="M12" s="11" t="n">
        <x:v>0.8304761904761905</x:v>
      </x:c>
      <x:c r="N12" s="6" t="n">
        <x:v>967000</x:v>
      </x:c>
    </x:row>
    <x:row r="13" ht="24" customHeight="1">
      <x:c r="A13" s="2" t="str">
        <x:v>2026-09-24_Night</x:v>
      </x:c>
      <x:c r="B13" s="6" t="str">
        <x:v>ナイト</x:v>
      </x:c>
      <x:c r="C13" s="6" t="n">
        <x:v>1032000</x:v>
      </x:c>
      <x:c r="D13" s="6" t="n">
        <x:v>2905000</x:v>
      </x:c>
      <x:c r="E13" s="6" t="n">
        <x:f>C13-D13</x:f>
        <x:v>-1873000</x:v>
      </x:c>
      <x:c r="F13" s="6" t="n">
        <x:f>F12+E13</x:f>
        <x:v>-6207000</x:v>
      </x:c>
      <x:c r="G13" s="6" t="n">
        <x:v>1032000</x:v>
      </x:c>
      <x:c r="H13" s="6" t="n">
        <x:v>2905000</x:v>
      </x:c>
      <x:c r="I13" s="6" t="n">
        <x:v>205</x:v>
      </x:c>
      <x:c r="J13" s="6" t="n">
        <x:v>0</x:v>
      </x:c>
      <x:c r="K13" s="6" t="n">
        <x:v>0</x:v>
      </x:c>
      <x:c r="L13" s="6" t="n">
        <x:v>10</x:v>
      </x:c>
      <x:c r="M13" s="11" t="n">
        <x:v>0.8332264957264958</x:v>
      </x:c>
      <x:c r="N13" s="6" t="n">
        <x:v>1991000</x:v>
      </x:c>
    </x:row>
    <x:row r="14" ht="24" customHeight="1">
      <x:c r="A14" s="2" t="str">
        <x:v>2026-09-25_Day</x:v>
      </x:c>
      <x:c r="B14" s="6" t="str">
        <x:v>デイ</x:v>
      </x:c>
      <x:c r="C14" s="6" t="n">
        <x:v>835000</x:v>
      </x:c>
      <x:c r="D14" s="6" t="n">
        <x:v>1508000</x:v>
      </x:c>
      <x:c r="E14" s="6" t="n">
        <x:f>C14-D14</x:f>
        <x:v>-673000</x:v>
      </x:c>
      <x:c r="F14" s="6" t="n">
        <x:f>F13+E14</x:f>
        <x:v>-6880000</x:v>
      </x:c>
      <x:c r="G14" s="6" t="n">
        <x:v>835000</x:v>
      </x:c>
      <x:c r="H14" s="6" t="n">
        <x:v>1508000</x:v>
      </x:c>
      <x:c r="I14" s="6" t="n">
        <x:v>131</x:v>
      </x:c>
      <x:c r="J14" s="6" t="n">
        <x:v>0</x:v>
      </x:c>
      <x:c r="K14" s="6" t="n">
        <x:v>0</x:v>
      </x:c>
      <x:c r="L14" s="6" t="n">
        <x:v>10</x:v>
      </x:c>
      <x:c r="M14" s="11" t="n">
        <x:v>0.8346825396825397</x:v>
      </x:c>
      <x:c r="N14" s="6" t="n">
        <x:v>732000</x:v>
      </x:c>
    </x:row>
    <x:row r="15" ht="24" customHeight="1">
      <x:c r="A15" s="2" t="str">
        <x:v>2026-09-25_Night</x:v>
      </x:c>
      <x:c r="B15" s="6" t="str">
        <x:v>ナイト</x:v>
      </x:c>
      <x:c r="C15" s="6" t="n">
        <x:v>842000</x:v>
      </x:c>
      <x:c r="D15" s="6" t="n">
        <x:v>1810000</x:v>
      </x:c>
      <x:c r="E15" s="6" t="n">
        <x:f>C15-D15</x:f>
        <x:v>-968000</x:v>
      </x:c>
      <x:c r="F15" s="6" t="n">
        <x:f>F14+E15</x:f>
        <x:v>-7848000</x:v>
      </x:c>
      <x:c r="G15" s="6" t="n">
        <x:v>842000</x:v>
      </x:c>
      <x:c r="H15" s="6" t="n">
        <x:v>1810000</x:v>
      </x:c>
      <x:c r="I15" s="6" t="n">
        <x:v>147</x:v>
      </x:c>
      <x:c r="J15" s="6" t="n">
        <x:v>0</x:v>
      </x:c>
      <x:c r="K15" s="6" t="n">
        <x:v>0</x:v>
      </x:c>
      <x:c r="L15" s="6" t="n">
        <x:v>10</x:v>
      </x:c>
      <x:c r="M15" s="11" t="n">
        <x:v>0.8042094017094017</x:v>
      </x:c>
      <x:c r="N15" s="6" t="n">
        <x:v>1030000</x:v>
      </x:c>
    </x:row>
    <x:row r="16" ht="24" customHeight="1">
      <x:c r="A16" s="2" t="str">
        <x:v>2026-09-28_Day</x:v>
      </x:c>
      <x:c r="B16" s="6" t="str">
        <x:v>デイ</x:v>
      </x:c>
      <x:c r="C16" s="6" t="n">
        <x:v>1270000</x:v>
      </x:c>
      <x:c r="D16" s="6" t="n">
        <x:v>1909000</x:v>
      </x:c>
      <x:c r="E16" s="6" t="n">
        <x:f>C16-D16</x:f>
        <x:v>-639000</x:v>
      </x:c>
      <x:c r="F16" s="6" t="n">
        <x:f>F15+E16</x:f>
        <x:v>-8487000</x:v>
      </x:c>
      <x:c r="G16" s="6" t="n">
        <x:v>1270000</x:v>
      </x:c>
      <x:c r="H16" s="6" t="n">
        <x:v>1909000</x:v>
      </x:c>
      <x:c r="I16" s="6" t="n">
        <x:v>150</x:v>
      </x:c>
      <x:c r="J16" s="6" t="n">
        <x:v>0</x:v>
      </x:c>
      <x:c r="K16" s="6" t="n">
        <x:v>0</x:v>
      </x:c>
      <x:c r="L16" s="6" t="n">
        <x:v>10</x:v>
      </x:c>
      <x:c r="M16" s="11" t="n">
        <x:v>0.8312301587301587</x:v>
      </x:c>
      <x:c r="N16" s="6" t="n">
        <x:v>891000</x:v>
      </x:c>
    </x:row>
    <x:row r="17" ht="24" customHeight="1">
      <x:c r="A17" s="2" t="str">
        <x:v>2026-09-28_Night</x:v>
      </x:c>
      <x:c r="B17" s="6" t="str">
        <x:v>ナイト</x:v>
      </x:c>
      <x:c r="C17" s="6" t="n">
        <x:v>1106000</x:v>
      </x:c>
      <x:c r="D17" s="6" t="n">
        <x:v>2741000</x:v>
      </x:c>
      <x:c r="E17" s="6" t="n">
        <x:f>C17-D17</x:f>
        <x:v>-1635000</x:v>
      </x:c>
      <x:c r="F17" s="6" t="n">
        <x:f>F16+E17</x:f>
        <x:v>-10122000</x:v>
      </x:c>
      <x:c r="G17" s="6" t="n">
        <x:v>1106000</x:v>
      </x:c>
      <x:c r="H17" s="6" t="n">
        <x:v>2741000</x:v>
      </x:c>
      <x:c r="I17" s="6" t="n">
        <x:v>182</x:v>
      </x:c>
      <x:c r="J17" s="6" t="n">
        <x:v>0</x:v>
      </x:c>
      <x:c r="K17" s="6" t="n">
        <x:v>0</x:v>
      </x:c>
      <x:c r="L17" s="6" t="n">
        <x:v>10</x:v>
      </x:c>
      <x:c r="M17" s="11" t="n">
        <x:v>0.7315811965811966</x:v>
      </x:c>
      <x:c r="N17" s="6" t="n">
        <x:v>1636000</x:v>
      </x:c>
    </x:row>
    <x:row r="18" ht="24" customHeight="1">
      <x:c r="A18" s="2" t="str">
        <x:v>2026-09-29_Day</x:v>
      </x:c>
      <x:c r="B18" s="6" t="str">
        <x:v>デイ</x:v>
      </x:c>
      <x:c r="C18" s="6" t="n">
        <x:v>1290000</x:v>
      </x:c>
      <x:c r="D18" s="6" t="n">
        <x:v>2820000</x:v>
      </x:c>
      <x:c r="E18" s="6" t="n">
        <x:f>C18-D18</x:f>
        <x:v>-1530000</x:v>
      </x:c>
      <x:c r="F18" s="6" t="n">
        <x:f>F17+E18</x:f>
        <x:v>-11652000</x:v>
      </x:c>
      <x:c r="G18" s="6" t="n">
        <x:v>1290000</x:v>
      </x:c>
      <x:c r="H18" s="6" t="n">
        <x:v>2820000</x:v>
      </x:c>
      <x:c r="I18" s="6" t="n">
        <x:v>177</x:v>
      </x:c>
      <x:c r="J18" s="6" t="n">
        <x:v>0</x:v>
      </x:c>
      <x:c r="K18" s="6" t="n">
        <x:v>0</x:v>
      </x:c>
      <x:c r="L18" s="6" t="n">
        <x:v>10</x:v>
      </x:c>
      <x:c r="M18" s="11" t="n">
        <x:v>0.840952380952381</x:v>
      </x:c>
      <x:c r="N18" s="6" t="n">
        <x:v>1588000</x:v>
      </x:c>
    </x:row>
    <x:row r="19" ht="24" customHeight="1">
      <x:c r="A19" s="2" t="str">
        <x:v>2026-09-29_Night</x:v>
      </x:c>
      <x:c r="B19" s="6" t="str">
        <x:v>ナイト</x:v>
      </x:c>
      <x:c r="C19" s="6" t="n">
        <x:v>795000</x:v>
      </x:c>
      <x:c r="D19" s="6" t="n">
        <x:v>1453000</x:v>
      </x:c>
      <x:c r="E19" s="6" t="n">
        <x:f>C19-D19</x:f>
        <x:v>-658000</x:v>
      </x:c>
      <x:c r="F19" s="6" t="n">
        <x:f>F18+E19</x:f>
        <x:v>-12310000</x:v>
      </x:c>
      <x:c r="G19" s="6" t="n">
        <x:v>795000</x:v>
      </x:c>
      <x:c r="H19" s="6" t="n">
        <x:v>1453000</x:v>
      </x:c>
      <x:c r="I19" s="6" t="n">
        <x:v>153</x:v>
      </x:c>
      <x:c r="J19" s="6" t="n">
        <x:v>0</x:v>
      </x:c>
      <x:c r="K19" s="6" t="n">
        <x:v>0</x:v>
      </x:c>
      <x:c r="L19" s="6" t="n">
        <x:v>10</x:v>
      </x:c>
      <x:c r="M19" s="11" t="n">
        <x:v>0.7930982905982906</x:v>
      </x:c>
      <x:c r="N19" s="6" t="n">
        <x:v>671000</x:v>
      </x:c>
    </x:row>
    <x:row r="20" ht="24" customHeight="1">
      <x:c r="A20" s="2" t="str">
        <x:v>2026-09-30_Day</x:v>
      </x:c>
      <x:c r="B20" s="6" t="str">
        <x:v>デイ</x:v>
      </x:c>
      <x:c r="C20" s="6" t="n">
        <x:v>1038000</x:v>
      </x:c>
      <x:c r="D20" s="6" t="n">
        <x:v>1946000</x:v>
      </x:c>
      <x:c r="E20" s="6" t="n">
        <x:f>C20-D20</x:f>
        <x:v>-908000</x:v>
      </x:c>
      <x:c r="F20" s="6" t="n">
        <x:f>F19+E20</x:f>
        <x:v>-13218000</x:v>
      </x:c>
      <x:c r="G20" s="6" t="n">
        <x:v>1038000</x:v>
      </x:c>
      <x:c r="H20" s="6" t="n">
        <x:v>1946000</x:v>
      </x:c>
      <x:c r="I20" s="6" t="n">
        <x:v>148</x:v>
      </x:c>
      <x:c r="J20" s="6" t="n">
        <x:v>0</x:v>
      </x:c>
      <x:c r="K20" s="6" t="n">
        <x:v>0</x:v>
      </x:c>
      <x:c r="L20" s="6" t="n">
        <x:v>10</x:v>
      </x:c>
      <x:c r="M20" s="11" t="n">
        <x:v>0.8532936507936508</x:v>
      </x:c>
      <x:c r="N20" s="6" t="n">
        <x:v>1034000</x:v>
      </x:c>
    </x:row>
    <x:row r="21" ht="24" customHeight="1">
      <x:c r="A21" s="2" t="str">
        <x:v>2026-09-30_Night</x:v>
      </x:c>
      <x:c r="B21" s="6" t="str">
        <x:v>ナイト</x:v>
      </x:c>
      <x:c r="C21" s="6" t="n">
        <x:v>1279000</x:v>
      </x:c>
      <x:c r="D21" s="6" t="n">
        <x:v>1992000</x:v>
      </x:c>
      <x:c r="E21" s="6" t="n">
        <x:f>C21-D21</x:f>
        <x:v>-713000</x:v>
      </x:c>
      <x:c r="F21" s="6" t="n">
        <x:f>F20+E21</x:f>
        <x:v>-13931000</x:v>
      </x:c>
      <x:c r="G21" s="6" t="n">
        <x:v>1279000</x:v>
      </x:c>
      <x:c r="H21" s="6" t="n">
        <x:v>1992000</x:v>
      </x:c>
      <x:c r="I21" s="6" t="n">
        <x:v>188</x:v>
      </x:c>
      <x:c r="J21" s="6" t="n">
        <x:v>0</x:v>
      </x:c>
      <x:c r="K21" s="6" t="n">
        <x:v>0</x:v>
      </x:c>
      <x:c r="L21" s="6" t="n">
        <x:v>10</x:v>
      </x:c>
      <x:c r="M21" s="11" t="n">
        <x:v>0.7772222222222223</x:v>
      </x:c>
      <x:c r="N21" s="6" t="n">
        <x:v>945000</x:v>
      </x:c>
    </x:row>
    <x:row r="22" ht="24" customHeight="1">
      <x:c r="A22" s="2" t="str">
        <x:v>2026-10-01_Day</x:v>
      </x:c>
      <x:c r="B22" s="6" t="str">
        <x:v>デイ</x:v>
      </x:c>
      <x:c r="C22" s="6" t="n">
        <x:v>979000</x:v>
      </x:c>
      <x:c r="D22" s="6" t="n">
        <x:v>1336000</x:v>
      </x:c>
      <x:c r="E22" s="6" t="n">
        <x:f>C22-D22</x:f>
        <x:v>-357000</x:v>
      </x:c>
      <x:c r="F22" s="6" t="n">
        <x:f>F21+E22</x:f>
        <x:v>-14288000</x:v>
      </x:c>
      <x:c r="G22" s="6" t="n">
        <x:v>979000</x:v>
      </x:c>
      <x:c r="H22" s="6" t="n">
        <x:v>1336000</x:v>
      </x:c>
      <x:c r="I22" s="6" t="n">
        <x:v>121</x:v>
      </x:c>
      <x:c r="J22" s="6" t="n">
        <x:v>0</x:v>
      </x:c>
      <x:c r="K22" s="6" t="n">
        <x:v>0</x:v>
      </x:c>
      <x:c r="L22" s="6" t="n">
        <x:v>10</x:v>
      </x:c>
      <x:c r="M22" s="11" t="n">
        <x:v>0.8633333333333333</x:v>
      </x:c>
      <x:c r="N22" s="6" t="n">
        <x:v>576000</x:v>
      </x:c>
    </x:row>
    <x:row r="23" ht="24" customHeight="1">
      <x:c r="A23" s="2" t="str">
        <x:v>2026-10-01_Night</x:v>
      </x:c>
      <x:c r="B23" s="6" t="str">
        <x:v>ナイト</x:v>
      </x:c>
      <x:c r="C23" s="6" t="n">
        <x:v>1586000</x:v>
      </x:c>
      <x:c r="D23" s="6" t="n">
        <x:v>2388000</x:v>
      </x:c>
      <x:c r="E23" s="6" t="n">
        <x:f>C23-D23</x:f>
        <x:v>-802000</x:v>
      </x:c>
      <x:c r="F23" s="6" t="n">
        <x:f>F22+E23</x:f>
        <x:v>-15090000</x:v>
      </x:c>
      <x:c r="G23" s="6" t="n">
        <x:v>1586000</x:v>
      </x:c>
      <x:c r="H23" s="6" t="n">
        <x:v>2388000</x:v>
      </x:c>
      <x:c r="I23" s="6" t="n">
        <x:v>201</x:v>
      </x:c>
      <x:c r="J23" s="6" t="n">
        <x:v>0</x:v>
      </x:c>
      <x:c r="K23" s="6" t="n">
        <x:v>0</x:v>
      </x:c>
      <x:c r="L23" s="6" t="n">
        <x:v>10</x:v>
      </x:c>
      <x:c r="M23" s="11" t="n">
        <x:v>0.8648717948717949</x:v>
      </x:c>
      <x:c r="N23" s="6" t="n">
        <x:v>892000</x:v>
      </x:c>
    </x:row>
    <x:row r="24" ht="24" customHeight="1">
      <x:c r="A24" s="2" t="str">
        <x:v>2026-10-02_Day</x:v>
      </x:c>
      <x:c r="B24" s="6" t="str">
        <x:v>デイ</x:v>
      </x:c>
      <x:c r="C24" s="6" t="n">
        <x:v>961000</x:v>
      </x:c>
      <x:c r="D24" s="6" t="n">
        <x:v>1960000</x:v>
      </x:c>
      <x:c r="E24" s="6" t="n">
        <x:f>C24-D24</x:f>
        <x:v>-999000</x:v>
      </x:c>
      <x:c r="F24" s="6" t="n">
        <x:f>F23+E24</x:f>
        <x:v>-16089000</x:v>
      </x:c>
      <x:c r="G24" s="6" t="n">
        <x:v>961000</x:v>
      </x:c>
      <x:c r="H24" s="6" t="n">
        <x:v>1960000</x:v>
      </x:c>
      <x:c r="I24" s="6" t="n">
        <x:v>132</x:v>
      </x:c>
      <x:c r="J24" s="6" t="n">
        <x:v>0</x:v>
      </x:c>
      <x:c r="K24" s="6" t="n">
        <x:v>0</x:v>
      </x:c>
      <x:c r="L24" s="6" t="n">
        <x:v>10</x:v>
      </x:c>
      <x:c r="M24" s="11" t="n">
        <x:v>0.8614285714285714</x:v>
      </x:c>
      <x:c r="N24" s="6" t="n">
        <x:v>1355000</x:v>
      </x:c>
    </x:row>
    <x:row r="25" ht="24" customHeight="1">
      <x:c r="A25" s="2" t="str">
        <x:v>2026-10-02_Night</x:v>
      </x:c>
      <x:c r="B25" s="6" t="str">
        <x:v>ナイト</x:v>
      </x:c>
      <x:c r="C25" s="6" t="n">
        <x:v>1117000</x:v>
      </x:c>
      <x:c r="D25" s="6" t="n">
        <x:v>2211000</x:v>
      </x:c>
      <x:c r="E25" s="6" t="n">
        <x:f>C25-D25</x:f>
        <x:v>-1094000</x:v>
      </x:c>
      <x:c r="F25" s="6" t="n">
        <x:f>F24+E25</x:f>
        <x:v>-17183000</x:v>
      </x:c>
      <x:c r="G25" s="6" t="n">
        <x:v>1117000</x:v>
      </x:c>
      <x:c r="H25" s="6" t="n">
        <x:v>2211000</x:v>
      </x:c>
      <x:c r="I25" s="6" t="n">
        <x:v>173</x:v>
      </x:c>
      <x:c r="J25" s="6" t="n">
        <x:v>0</x:v>
      </x:c>
      <x:c r="K25" s="6" t="n">
        <x:v>0</x:v>
      </x:c>
      <x:c r="L25" s="6" t="n">
        <x:v>10</x:v>
      </x:c>
      <x:c r="M25" s="11" t="n">
        <x:v>0.8135042735042735</x:v>
      </x:c>
      <x:c r="N25" s="6" t="n">
        <x:v>1188000</x:v>
      </x:c>
    </x:row>
    <x:row r="26" ht="24" customHeight="1">
      <x:c r="A26" s="2" t="str">
        <x:v>2026-10-05_Day</x:v>
      </x:c>
      <x:c r="B26" s="6" t="str">
        <x:v>デイ</x:v>
      </x:c>
      <x:c r="C26" s="6" t="n">
        <x:v>699000</x:v>
      </x:c>
      <x:c r="D26" s="6" t="n">
        <x:v>1228000</x:v>
      </x:c>
      <x:c r="E26" s="6" t="n">
        <x:f>C26-D26</x:f>
        <x:v>-529000</x:v>
      </x:c>
      <x:c r="F26" s="6" t="n">
        <x:f>F25+E26</x:f>
        <x:v>-17712000</x:v>
      </x:c>
      <x:c r="G26" s="6" t="n">
        <x:v>699000</x:v>
      </x:c>
      <x:c r="H26" s="6" t="n">
        <x:v>1228000</x:v>
      </x:c>
      <x:c r="I26" s="6" t="n">
        <x:v>114</x:v>
      </x:c>
      <x:c r="J26" s="6" t="n">
        <x:v>0</x:v>
      </x:c>
      <x:c r="K26" s="6" t="n">
        <x:v>0</x:v>
      </x:c>
      <x:c r="L26" s="6" t="n">
        <x:v>10</x:v>
      </x:c>
      <x:c r="M26" s="11" t="n">
        <x:v>0.8694444444444445</x:v>
      </x:c>
      <x:c r="N26" s="6" t="n">
        <x:v>616000</x:v>
      </x:c>
    </x:row>
    <x:row r="27" ht="24" customHeight="1">
      <x:c r="A27" s="2" t="str">
        <x:v>2026-10-05_Night</x:v>
      </x:c>
      <x:c r="B27" s="6" t="str">
        <x:v>ナイト</x:v>
      </x:c>
      <x:c r="C27" s="6" t="n">
        <x:v>560000</x:v>
      </x:c>
      <x:c r="D27" s="6" t="n">
        <x:v>1432000</x:v>
      </x:c>
      <x:c r="E27" s="6" t="n">
        <x:f>C27-D27</x:f>
        <x:v>-872000</x:v>
      </x:c>
      <x:c r="F27" s="6" t="n">
        <x:f>F26+E27</x:f>
        <x:v>-18584000</x:v>
      </x:c>
      <x:c r="G27" s="6" t="n">
        <x:v>560000</x:v>
      </x:c>
      <x:c r="H27" s="6" t="n">
        <x:v>1432000</x:v>
      </x:c>
      <x:c r="I27" s="6" t="n">
        <x:v>146</x:v>
      </x:c>
      <x:c r="J27" s="6" t="n">
        <x:v>0</x:v>
      </x:c>
      <x:c r="K27" s="6" t="n">
        <x:v>0</x:v>
      </x:c>
      <x:c r="L27" s="6" t="n">
        <x:v>10</x:v>
      </x:c>
      <x:c r="M27" s="11" t="n">
        <x:v>0.8193162393162393</x:v>
      </x:c>
      <x:c r="N27" s="6" t="n">
        <x:v>962000</x:v>
      </x:c>
    </x:row>
    <x:row r="28" ht="24" customHeight="1">
      <x:c r="A28" s="2" t="str">
        <x:v>2026-10-06_Day</x:v>
      </x:c>
      <x:c r="B28" s="6" t="str">
        <x:v>デイ</x:v>
      </x:c>
      <x:c r="C28" s="6" t="n">
        <x:v>619000</x:v>
      </x:c>
      <x:c r="D28" s="6" t="n">
        <x:v>1007000</x:v>
      </x:c>
      <x:c r="E28" s="6" t="n">
        <x:f>C28-D28</x:f>
        <x:v>-388000</x:v>
      </x:c>
      <x:c r="F28" s="6" t="n">
        <x:f>F27+E28</x:f>
        <x:v>-18972000</x:v>
      </x:c>
      <x:c r="G28" s="6" t="n">
        <x:v>619000</x:v>
      </x:c>
      <x:c r="H28" s="6" t="n">
        <x:v>1007000</x:v>
      </x:c>
      <x:c r="I28" s="6" t="n">
        <x:v>105</x:v>
      </x:c>
      <x:c r="J28" s="6" t="n">
        <x:v>0</x:v>
      </x:c>
      <x:c r="K28" s="6" t="n">
        <x:v>0</x:v>
      </x:c>
      <x:c r="L28" s="6" t="n">
        <x:v>10</x:v>
      </x:c>
      <x:c r="M28" s="11" t="n">
        <x:v>0.7837698412698413</x:v>
      </x:c>
      <x:c r="N28" s="6" t="n">
        <x:v>421000</x:v>
      </x:c>
    </x:row>
    <x:row r="29" ht="24" customHeight="1">
      <x:c r="A29" s="2" t="str">
        <x:v>2026-10-06_Night</x:v>
      </x:c>
      <x:c r="B29" s="6" t="str">
        <x:v>ナイト</x:v>
      </x:c>
      <x:c r="C29" s="6" t="n">
        <x:v>251000</x:v>
      </x:c>
      <x:c r="D29" s="6" t="n">
        <x:v>830000</x:v>
      </x:c>
      <x:c r="E29" s="6" t="n">
        <x:f>C29-D29</x:f>
        <x:v>-579000</x:v>
      </x:c>
      <x:c r="F29" s="6" t="n">
        <x:f>F28+E29</x:f>
        <x:v>-19551000</x:v>
      </x:c>
      <x:c r="G29" s="6" t="n">
        <x:v>251000</x:v>
      </x:c>
      <x:c r="H29" s="6" t="n">
        <x:v>830000</x:v>
      </x:c>
      <x:c r="I29" s="6" t="n">
        <x:v>113</x:v>
      </x:c>
      <x:c r="J29" s="6" t="n">
        <x:v>0</x:v>
      </x:c>
      <x:c r="K29" s="6" t="n">
        <x:v>0</x:v>
      </x:c>
      <x:c r="L29" s="6" t="n">
        <x:v>10</x:v>
      </x:c>
      <x:c r="M29" s="11" t="n">
        <x:v>0.7676923076923077</x:v>
      </x:c>
      <x:c r="N29" s="6" t="n">
        <x:v>617000</x:v>
      </x:c>
    </x:row>
    <x:row r="30" ht="24" customHeight="1">
      <x:c r="A30" s="2" t="str">
        <x:v>2026-10-07_Day</x:v>
      </x:c>
      <x:c r="B30" s="6" t="str">
        <x:v>デイ</x:v>
      </x:c>
      <x:c r="C30" s="6" t="n">
        <x:v>315000</x:v>
      </x:c>
      <x:c r="D30" s="6" t="n">
        <x:v>1003000</x:v>
      </x:c>
      <x:c r="E30" s="6" t="n">
        <x:f>C30-D30</x:f>
        <x:v>-688000</x:v>
      </x:c>
      <x:c r="F30" s="6" t="n">
        <x:f>F29+E30</x:f>
        <x:v>-20239000</x:v>
      </x:c>
      <x:c r="G30" s="6" t="n">
        <x:v>315000</x:v>
      </x:c>
      <x:c r="H30" s="6" t="n">
        <x:v>1003000</x:v>
      </x:c>
      <x:c r="I30" s="6" t="n">
        <x:v>96</x:v>
      </x:c>
      <x:c r="J30" s="6" t="n">
        <x:v>0</x:v>
      </x:c>
      <x:c r="K30" s="6" t="n">
        <x:v>0</x:v>
      </x:c>
      <x:c r="L30" s="6" t="n">
        <x:v>10</x:v>
      </x:c>
      <x:c r="M30" s="11" t="n">
        <x:v>0.8502380952380952</x:v>
      </x:c>
      <x:c r="N30" s="6" t="n">
        <x:v>705000</x:v>
      </x:c>
    </x:row>
    <x:row r="31" ht="24" customHeight="1">
      <x:c r="A31" s="2" t="str">
        <x:v>2026-10-07_Night</x:v>
      </x:c>
      <x:c r="B31" s="6" t="str">
        <x:v>ナイト</x:v>
      </x:c>
      <x:c r="C31" s="6" t="n">
        <x:v>413000</x:v>
      </x:c>
      <x:c r="D31" s="6" t="n">
        <x:v>1300000</x:v>
      </x:c>
      <x:c r="E31" s="6" t="n">
        <x:f>C31-D31</x:f>
        <x:v>-887000</x:v>
      </x:c>
      <x:c r="F31" s="6" t="n">
        <x:f>F30+E31</x:f>
        <x:v>-21126000</x:v>
      </x:c>
      <x:c r="G31" s="6" t="n">
        <x:v>413000</x:v>
      </x:c>
      <x:c r="H31" s="6" t="n">
        <x:v>1300000</x:v>
      </x:c>
      <x:c r="I31" s="6" t="n">
        <x:v>145</x:v>
      </x:c>
      <x:c r="J31" s="6" t="n">
        <x:v>0</x:v>
      </x:c>
      <x:c r="K31" s="6" t="n">
        <x:v>0</x:v>
      </x:c>
      <x:c r="L31" s="6" t="n">
        <x:v>10</x:v>
      </x:c>
      <x:c r="M31" s="11" t="n">
        <x:v>0.8442094017094017</x:v>
      </x:c>
      <x:c r="N31" s="6" t="n">
        <x:v>890000</x:v>
      </x:c>
    </x:row>
    <x:row r="32" ht="24" customHeight="1">
      <x:c r="A32" s="2" t="str">
        <x:v>2026-10-08_Day</x:v>
      </x:c>
      <x:c r="B32" s="6" t="str">
        <x:v>デイ</x:v>
      </x:c>
      <x:c r="C32" s="6" t="n">
        <x:v>1197000</x:v>
      </x:c>
      <x:c r="D32" s="6" t="n">
        <x:v>1339000</x:v>
      </x:c>
      <x:c r="E32" s="6" t="n">
        <x:f>C32-D32</x:f>
        <x:v>-142000</x:v>
      </x:c>
      <x:c r="F32" s="6" t="n">
        <x:f>F31+E32</x:f>
        <x:v>-21268000</x:v>
      </x:c>
      <x:c r="G32" s="6" t="n">
        <x:v>1197000</x:v>
      </x:c>
      <x:c r="H32" s="6" t="n">
        <x:v>1339000</x:v>
      </x:c>
      <x:c r="I32" s="6" t="n">
        <x:v>122</x:v>
      </x:c>
      <x:c r="J32" s="6" t="n">
        <x:v>0</x:v>
      </x:c>
      <x:c r="K32" s="6" t="n">
        <x:v>0</x:v>
      </x:c>
      <x:c r="L32" s="6" t="n">
        <x:v>10</x:v>
      </x:c>
      <x:c r="M32" s="11" t="n">
        <x:v>0.858452380952381</x:v>
      </x:c>
      <x:c r="N32" s="6" t="n">
        <x:v>693000</x:v>
      </x:c>
    </x:row>
    <x:row r="33" ht="24" customHeight="1">
      <x:c r="A33" s="2" t="str">
        <x:v>2026-10-08_Night</x:v>
      </x:c>
      <x:c r="B33" s="6" t="str">
        <x:v>ナイト</x:v>
      </x:c>
      <x:c r="C33" s="6" t="n">
        <x:v>1639000</x:v>
      </x:c>
      <x:c r="D33" s="6" t="n">
        <x:v>2876000</x:v>
      </x:c>
      <x:c r="E33" s="6" t="n">
        <x:f>C33-D33</x:f>
        <x:v>-1237000</x:v>
      </x:c>
      <x:c r="F33" s="6" t="n">
        <x:f>F32+E33</x:f>
        <x:v>-22505000</x:v>
      </x:c>
      <x:c r="G33" s="6" t="n">
        <x:v>1639000</x:v>
      </x:c>
      <x:c r="H33" s="6" t="n">
        <x:v>2876000</x:v>
      </x:c>
      <x:c r="I33" s="6" t="n">
        <x:v>206</x:v>
      </x:c>
      <x:c r="J33" s="6" t="n">
        <x:v>0</x:v>
      </x:c>
      <x:c r="K33" s="6" t="n">
        <x:v>0</x:v>
      </x:c>
      <x:c r="L33" s="6" t="n">
        <x:v>10</x:v>
      </x:c>
      <x:c r="M33" s="11" t="n">
        <x:v>0.8313675213675213</x:v>
      </x:c>
      <x:c r="N33" s="6" t="n">
        <x:v>1382000</x:v>
      </x:c>
    </x:row>
    <x:row r="34" ht="24" customHeight="1">
      <x:c r="A34" s="2" t="str">
        <x:v>2026-10-09_Day</x:v>
      </x:c>
      <x:c r="B34" s="6" t="str">
        <x:v>デイ</x:v>
      </x:c>
      <x:c r="C34" s="6" t="n">
        <x:v>1030000</x:v>
      </x:c>
      <x:c r="D34" s="6" t="n">
        <x:v>1741000</x:v>
      </x:c>
      <x:c r="E34" s="6" t="n">
        <x:f>C34-D34</x:f>
        <x:v>-711000</x:v>
      </x:c>
      <x:c r="F34" s="6" t="n">
        <x:f>F33+E34</x:f>
        <x:v>-23216000</x:v>
      </x:c>
      <x:c r="G34" s="6" t="n">
        <x:v>1030000</x:v>
      </x:c>
      <x:c r="H34" s="6" t="n">
        <x:v>1741000</x:v>
      </x:c>
      <x:c r="I34" s="6" t="n">
        <x:v>124</x:v>
      </x:c>
      <x:c r="J34" s="6" t="n">
        <x:v>0</x:v>
      </x:c>
      <x:c r="K34" s="6" t="n">
        <x:v>0</x:v>
      </x:c>
      <x:c r="L34" s="6" t="n">
        <x:v>10</x:v>
      </x:c>
      <x:c r="M34" s="11" t="n">
        <x:v>0.8478968253968254</x:v>
      </x:c>
      <x:c r="N34" s="6" t="n">
        <x:v>891000</x:v>
      </x:c>
    </x:row>
    <x:row r="35" ht="24" customHeight="1">
      <x:c r="A35" s="2" t="str">
        <x:v>2026-10-09_Night</x:v>
      </x:c>
      <x:c r="B35" s="6" t="str">
        <x:v>ナイト</x:v>
      </x:c>
      <x:c r="C35" s="6" t="n">
        <x:v>200000</x:v>
      </x:c>
      <x:c r="D35" s="6" t="n">
        <x:v>1322000</x:v>
      </x:c>
      <x:c r="E35" s="6" t="n">
        <x:f>C35-D35</x:f>
        <x:v>-1122000</x:v>
      </x:c>
      <x:c r="F35" s="6" t="n">
        <x:f>F34+E35</x:f>
        <x:v>-24338000</x:v>
      </x:c>
      <x:c r="G35" s="6" t="n">
        <x:v>200000</x:v>
      </x:c>
      <x:c r="H35" s="6" t="n">
        <x:v>1322000</x:v>
      </x:c>
      <x:c r="I35" s="6" t="n">
        <x:v>124</x:v>
      </x:c>
      <x:c r="J35" s="6" t="n">
        <x:v>0</x:v>
      </x:c>
      <x:c r="K35" s="6" t="n">
        <x:v>0</x:v>
      </x:c>
      <x:c r="L35" s="6" t="n">
        <x:v>10</x:v>
      </x:c>
      <x:c r="M35" s="11" t="n">
        <x:v>0.8153632478632479</x:v>
      </x:c>
      <x:c r="N35" s="6" t="n">
        <x:v>1173000</x:v>
      </x:c>
    </x:row>
    <x:row r="36" ht="24" customHeight="1">
      <x:c r="A36" s="2" t="str">
        <x:v>2026-10-12_Day</x:v>
      </x:c>
      <x:c r="B36" s="6" t="str">
        <x:v>デイ</x:v>
      </x:c>
      <x:c r="C36" s="6" t="n">
        <x:v>292000</x:v>
      </x:c>
      <x:c r="D36" s="6" t="n">
        <x:v>752000</x:v>
      </x:c>
      <x:c r="E36" s="6" t="n">
        <x:f>C36-D36</x:f>
        <x:v>-460000</x:v>
      </x:c>
      <x:c r="F36" s="6" t="n">
        <x:f>F35+E36</x:f>
        <x:v>-24798000</x:v>
      </x:c>
      <x:c r="G36" s="6" t="n">
        <x:v>292000</x:v>
      </x:c>
      <x:c r="H36" s="6" t="n">
        <x:v>752000</x:v>
      </x:c>
      <x:c r="I36" s="6" t="n">
        <x:v>74</x:v>
      </x:c>
      <x:c r="J36" s="6" t="n">
        <x:v>0</x:v>
      </x:c>
      <x:c r="K36" s="6" t="n">
        <x:v>0</x:v>
      </x:c>
      <x:c r="L36" s="6" t="n">
        <x:v>10</x:v>
      </x:c>
      <x:c r="M36" s="11" t="n">
        <x:v>0.7503571428571428</x:v>
      </x:c>
      <x:c r="N36" s="6" t="n">
        <x:v>467000</x:v>
      </x:c>
    </x:row>
    <x:row r="37" ht="24" customHeight="1">
      <x:c r="A37" s="2" t="str">
        <x:v>2026-10-12_Night</x:v>
      </x:c>
      <x:c r="B37" s="6" t="str">
        <x:v>ナイト</x:v>
      </x:c>
      <x:c r="C37" s="6" t="n">
        <x:v>268000</x:v>
      </x:c>
      <x:c r="D37" s="6" t="n">
        <x:v>737000</x:v>
      </x:c>
      <x:c r="E37" s="6" t="n">
        <x:f>C37-D37</x:f>
        <x:v>-469000</x:v>
      </x:c>
      <x:c r="F37" s="6" t="n">
        <x:f>F36+E37</x:f>
        <x:v>-25267000</x:v>
      </x:c>
      <x:c r="G37" s="6" t="n">
        <x:v>268000</x:v>
      </x:c>
      <x:c r="H37" s="6" t="n">
        <x:v>737000</x:v>
      </x:c>
      <x:c r="I37" s="6" t="n">
        <x:v>83</x:v>
      </x:c>
      <x:c r="J37" s="6" t="n">
        <x:v>0</x:v>
      </x:c>
      <x:c r="K37" s="6" t="n">
        <x:v>0</x:v>
      </x:c>
      <x:c r="L37" s="6" t="n">
        <x:v>10</x:v>
      </x:c>
      <x:c r="M37" s="11" t="n">
        <x:v>0.6752777777777778</x:v>
      </x:c>
      <x:c r="N37" s="6" t="n">
        <x:v>513000</x:v>
      </x:c>
    </x:row>
    <x:row r="38" ht="24" customHeight="1">
      <x:c r="A38" s="2" t="str">
        <x:v>2026-10-13_Day</x:v>
      </x:c>
      <x:c r="B38" s="6" t="str">
        <x:v>デイ</x:v>
      </x:c>
      <x:c r="C38" s="6" t="n">
        <x:v>1065000</x:v>
      </x:c>
      <x:c r="D38" s="6" t="n">
        <x:v>2061000</x:v>
      </x:c>
      <x:c r="E38" s="6" t="n">
        <x:f>C38-D38</x:f>
        <x:v>-996000</x:v>
      </x:c>
      <x:c r="F38" s="6" t="n">
        <x:f>F37+E38</x:f>
        <x:v>-26263000</x:v>
      </x:c>
      <x:c r="G38" s="6" t="n">
        <x:v>1065000</x:v>
      </x:c>
      <x:c r="H38" s="6" t="n">
        <x:v>2061000</x:v>
      </x:c>
      <x:c r="I38" s="6" t="n">
        <x:v>137</x:v>
      </x:c>
      <x:c r="J38" s="6" t="n">
        <x:v>0</x:v>
      </x:c>
      <x:c r="K38" s="6" t="n">
        <x:v>0</x:v>
      </x:c>
      <x:c r="L38" s="6" t="n">
        <x:v>10</x:v>
      </x:c>
      <x:c r="M38" s="11" t="n">
        <x:v>0.8570238095238095</x:v>
      </x:c>
      <x:c r="N38" s="6" t="n">
        <x:v>1129000</x:v>
      </x:c>
    </x:row>
    <x:row r="39" ht="24" customHeight="1">
      <x:c r="A39" s="2" t="str">
        <x:v>2026-10-13_Night</x:v>
      </x:c>
      <x:c r="B39" s="6" t="str">
        <x:v>ナイト</x:v>
      </x:c>
      <x:c r="C39" s="6" t="n">
        <x:v>463000</x:v>
      </x:c>
      <x:c r="D39" s="6" t="n">
        <x:v>957000</x:v>
      </x:c>
      <x:c r="E39" s="6" t="n">
        <x:f>C39-D39</x:f>
        <x:v>-494000</x:v>
      </x:c>
      <x:c r="F39" s="6" t="n">
        <x:f>F38+E39</x:f>
        <x:v>-26757000</x:v>
      </x:c>
      <x:c r="G39" s="6" t="n">
        <x:v>463000</x:v>
      </x:c>
      <x:c r="H39" s="6" t="n">
        <x:v>957000</x:v>
      </x:c>
      <x:c r="I39" s="6" t="n">
        <x:v>123</x:v>
      </x:c>
      <x:c r="J39" s="6" t="n">
        <x:v>0</x:v>
      </x:c>
      <x:c r="K39" s="6" t="n">
        <x:v>0</x:v>
      </x:c>
      <x:c r="L39" s="6" t="n">
        <x:v>10</x:v>
      </x:c>
      <x:c r="M39" s="11" t="n">
        <x:v>0.7573290598290598</x:v>
      </x:c>
      <x:c r="N39" s="6" t="n">
        <x:v>589000</x:v>
      </x:c>
    </x:row>
    <x:row r="40" ht="24" customHeight="1">
      <x:c r="A40" s="2" t="str">
        <x:v>2026-10-14_Day</x:v>
      </x:c>
      <x:c r="B40" s="6" t="str">
        <x:v>デイ</x:v>
      </x:c>
      <x:c r="C40" s="6" t="n">
        <x:v>916000</x:v>
      </x:c>
      <x:c r="D40" s="6" t="n">
        <x:v>1707000</x:v>
      </x:c>
      <x:c r="E40" s="6" t="n">
        <x:f>C40-D40</x:f>
        <x:v>-791000</x:v>
      </x:c>
      <x:c r="F40" s="6" t="n">
        <x:f>F39+E40</x:f>
        <x:v>-27548000</x:v>
      </x:c>
      <x:c r="G40" s="6" t="n">
        <x:v>916000</x:v>
      </x:c>
      <x:c r="H40" s="6" t="n">
        <x:v>1707000</x:v>
      </x:c>
      <x:c r="I40" s="6" t="n">
        <x:v>130</x:v>
      </x:c>
      <x:c r="J40" s="6" t="n">
        <x:v>0</x:v>
      </x:c>
      <x:c r="K40" s="6" t="n">
        <x:v>0</x:v>
      </x:c>
      <x:c r="L40" s="6" t="n">
        <x:v>10</x:v>
      </x:c>
      <x:c r="M40" s="11" t="n">
        <x:v>0.8512301587301587</x:v>
      </x:c>
      <x:c r="N40" s="6" t="n">
        <x:v>980000</x:v>
      </x:c>
    </x:row>
    <x:row r="41" ht="24" customHeight="1">
      <x:c r="A41" s="2" t="str">
        <x:v>2026-10-14_Night</x:v>
      </x:c>
      <x:c r="B41" s="6" t="str">
        <x:v>ナイト</x:v>
      </x:c>
      <x:c r="C41" s="6" t="n">
        <x:v>1345000</x:v>
      </x:c>
      <x:c r="D41" s="6" t="n">
        <x:v>2193000</x:v>
      </x:c>
      <x:c r="E41" s="6" t="n">
        <x:f>C41-D41</x:f>
        <x:v>-848000</x:v>
      </x:c>
      <x:c r="F41" s="6" t="n">
        <x:f>F40+E41</x:f>
        <x:v>-28396000</x:v>
      </x:c>
      <x:c r="G41" s="6" t="n">
        <x:v>1345000</x:v>
      </x:c>
      <x:c r="H41" s="6" t="n">
        <x:v>2193000</x:v>
      </x:c>
      <x:c r="I41" s="6" t="n">
        <x:v>177</x:v>
      </x:c>
      <x:c r="J41" s="6" t="n">
        <x:v>0</x:v>
      </x:c>
      <x:c r="K41" s="6" t="n">
        <x:v>0</x:v>
      </x:c>
      <x:c r="L41" s="6" t="n">
        <x:v>10</x:v>
      </x:c>
      <x:c r="M41" s="11" t="n">
        <x:v>0.8406623931623932</x:v>
      </x:c>
      <x:c r="N41" s="6" t="n">
        <x:v>971000</x:v>
      </x:c>
    </x:row>
    <x:row r="42" ht="24" customHeight="1">
      <x:c r="A42" s="2" t="str">
        <x:v>2026-10-15_Day</x:v>
      </x:c>
      <x:c r="B42" s="6" t="str">
        <x:v>デイ</x:v>
      </x:c>
      <x:c r="C42" s="6" t="n">
        <x:v>2229000</x:v>
      </x:c>
      <x:c r="D42" s="6" t="n">
        <x:v>4098000</x:v>
      </x:c>
      <x:c r="E42" s="6" t="n">
        <x:f>C42-D42</x:f>
        <x:v>-1869000</x:v>
      </x:c>
      <x:c r="F42" s="6" t="n">
        <x:f>F41+E42</x:f>
        <x:v>-30265000</x:v>
      </x:c>
      <x:c r="G42" s="6" t="n">
        <x:v>2229000</x:v>
      </x:c>
      <x:c r="H42" s="6" t="n">
        <x:v>4098000</x:v>
      </x:c>
      <x:c r="I42" s="6" t="n">
        <x:v>219</x:v>
      </x:c>
      <x:c r="J42" s="6" t="n">
        <x:v>0</x:v>
      </x:c>
      <x:c r="K42" s="6" t="n">
        <x:v>0</x:v>
      </x:c>
      <x:c r="L42" s="6" t="n">
        <x:v>10</x:v>
      </x:c>
      <x:c r="M42" s="11" t="n">
        <x:v>0.8270238095238095</x:v>
      </x:c>
      <x:c r="N42" s="6" t="n">
        <x:v>1987000</x:v>
      </x:c>
    </x:row>
    <x:row r="43" ht="24" customHeight="1">
      <x:c r="A43" s="2" t="str">
        <x:v>2026-10-15_Night</x:v>
      </x:c>
      <x:c r="B43" s="6" t="str">
        <x:v>ナイト</x:v>
      </x:c>
      <x:c r="C43" s="6" t="n">
        <x:v>1977000</x:v>
      </x:c>
      <x:c r="D43" s="6" t="n">
        <x:v>3778000</x:v>
      </x:c>
      <x:c r="E43" s="6" t="n">
        <x:f>C43-D43</x:f>
        <x:v>-1801000</x:v>
      </x:c>
      <x:c r="F43" s="6" t="n">
        <x:f>F42+E43</x:f>
        <x:v>-32066000</x:v>
      </x:c>
      <x:c r="G43" s="6" t="n">
        <x:v>1977000</x:v>
      </x:c>
      <x:c r="H43" s="6" t="n">
        <x:v>3778000</x:v>
      </x:c>
      <x:c r="I43" s="6" t="n">
        <x:v>251</x:v>
      </x:c>
      <x:c r="J43" s="6" t="n">
        <x:v>0</x:v>
      </x:c>
      <x:c r="K43" s="6" t="n">
        <x:v>0</x:v>
      </x:c>
      <x:c r="L43" s="6" t="n">
        <x:v>10</x:v>
      </x:c>
      <x:c r="M43" s="11" t="n">
        <x:v>0.7927777777777778</x:v>
      </x:c>
      <x:c r="N43" s="6" t="n">
        <x:v>2001000</x:v>
      </x:c>
    </x:row>
    <x:row r="44" ht="24" customHeight="1">
      <x:c r="A44" s="2" t="str">
        <x:v>2026-10-16_Day</x:v>
      </x:c>
      <x:c r="B44" s="6" t="str">
        <x:v>デイ</x:v>
      </x:c>
      <x:c r="C44" s="6" t="n">
        <x:v>1493000</x:v>
      </x:c>
      <x:c r="D44" s="6" t="n">
        <x:v>2933000</x:v>
      </x:c>
      <x:c r="E44" s="6" t="n">
        <x:f>C44-D44</x:f>
        <x:v>-1440000</x:v>
      </x:c>
      <x:c r="F44" s="6" t="n">
        <x:f>F43+E44</x:f>
        <x:v>-33506000</x:v>
      </x:c>
      <x:c r="G44" s="6" t="n">
        <x:v>1493000</x:v>
      </x:c>
      <x:c r="H44" s="6" t="n">
        <x:v>2933000</x:v>
      </x:c>
      <x:c r="I44" s="6" t="n">
        <x:v>159</x:v>
      </x:c>
      <x:c r="J44" s="6" t="n">
        <x:v>0</x:v>
      </x:c>
      <x:c r="K44" s="6" t="n">
        <x:v>0</x:v>
      </x:c>
      <x:c r="L44" s="6" t="n">
        <x:v>10</x:v>
      </x:c>
      <x:c r="M44" s="11" t="n">
        <x:v>0.8563888888888889</x:v>
      </x:c>
      <x:c r="N44" s="6" t="n">
        <x:v>1456000</x:v>
      </x:c>
    </x:row>
    <x:row r="45" ht="24" customHeight="1">
      <x:c r="A45" s="2" t="str">
        <x:v>2026-10-16_Night</x:v>
      </x:c>
      <x:c r="B45" s="6" t="str">
        <x:v>ナイト</x:v>
      </x:c>
      <x:c r="C45" s="6" t="n">
        <x:v>1799000</x:v>
      </x:c>
      <x:c r="D45" s="6" t="n">
        <x:v>3844000</x:v>
      </x:c>
      <x:c r="E45" s="6" t="n">
        <x:f>C45-D45</x:f>
        <x:v>-2045000</x:v>
      </x:c>
      <x:c r="F45" s="6" t="n">
        <x:f>F44+E45</x:f>
        <x:v>-35551000</x:v>
      </x:c>
      <x:c r="G45" s="6" t="n">
        <x:v>1799000</x:v>
      </x:c>
      <x:c r="H45" s="6" t="n">
        <x:v>3844000</x:v>
      </x:c>
      <x:c r="I45" s="6" t="n">
        <x:v>257</x:v>
      </x:c>
      <x:c r="J45" s="6" t="n">
        <x:v>0</x:v>
      </x:c>
      <x:c r="K45" s="6" t="n">
        <x:v>0</x:v>
      </x:c>
      <x:c r="L45" s="6" t="n">
        <x:v>10</x:v>
      </x:c>
      <x:c r="M45" s="11" t="n">
        <x:v>0.8064743589743589</x:v>
      </x:c>
      <x:c r="N45" s="6" t="n">
        <x:v>2052000</x:v>
      </x:c>
    </x:row>
    <x:row r="46" ht="24" customHeight="1">
      <x:c r="A46" s="2" t="str">
        <x:v>2026-10-19_Day</x:v>
      </x:c>
      <x:c r="B46" s="6" t="str">
        <x:v>デイ</x:v>
      </x:c>
      <x:c r="C46" s="6" t="n">
        <x:v>1518000</x:v>
      </x:c>
      <x:c r="D46" s="6" t="n">
        <x:v>3692000</x:v>
      </x:c>
      <x:c r="E46" s="6" t="n">
        <x:f>C46-D46</x:f>
        <x:v>-2174000</x:v>
      </x:c>
      <x:c r="F46" s="6" t="n">
        <x:f>F45+E46</x:f>
        <x:v>-37725000</x:v>
      </x:c>
      <x:c r="G46" s="6" t="n">
        <x:v>1518000</x:v>
      </x:c>
      <x:c r="H46" s="6" t="n">
        <x:v>3692000</x:v>
      </x:c>
      <x:c r="I46" s="6" t="n">
        <x:v>175</x:v>
      </x:c>
      <x:c r="J46" s="6" t="n">
        <x:v>0</x:v>
      </x:c>
      <x:c r="K46" s="6" t="n">
        <x:v>0</x:v>
      </x:c>
      <x:c r="L46" s="6" t="n">
        <x:v>10</x:v>
      </x:c>
      <x:c r="M46" s="11" t="n">
        <x:v>0.824484126984127</x:v>
      </x:c>
      <x:c r="N46" s="6" t="n">
        <x:v>2194000</x:v>
      </x:c>
    </x:row>
    <x:row r="47" ht="24" customHeight="1">
      <x:c r="A47" s="2" t="str">
        <x:v>2026-10-19_Night</x:v>
      </x:c>
      <x:c r="B47" s="6" t="str">
        <x:v>ナイト</x:v>
      </x:c>
      <x:c r="C47" s="6" t="n">
        <x:v>942000</x:v>
      </x:c>
      <x:c r="D47" s="6" t="n">
        <x:v>2510000</x:v>
      </x:c>
      <x:c r="E47" s="6" t="n">
        <x:f>C47-D47</x:f>
        <x:v>-1568000</x:v>
      </x:c>
      <x:c r="F47" s="6" t="n">
        <x:f>F46+E47</x:f>
        <x:v>-39293000</x:v>
      </x:c>
      <x:c r="G47" s="6" t="n">
        <x:v>942000</x:v>
      </x:c>
      <x:c r="H47" s="6" t="n">
        <x:v>2510000</x:v>
      </x:c>
      <x:c r="I47" s="6" t="n">
        <x:v>201</x:v>
      </x:c>
      <x:c r="J47" s="6" t="n">
        <x:v>0</x:v>
      </x:c>
      <x:c r="K47" s="6" t="n">
        <x:v>0</x:v>
      </x:c>
      <x:c r="L47" s="6" t="n">
        <x:v>10</x:v>
      </x:c>
      <x:c r="M47" s="11" t="n">
        <x:v>0.8001923076923076</x:v>
      </x:c>
      <x:c r="N47" s="6" t="n">
        <x:v>1652000</x:v>
      </x:c>
    </x:row>
    <x:row r="48" ht="24" customHeight="1">
      <x:c r="A48" s="2" t="str">
        <x:v>2026-10-20_Day</x:v>
      </x:c>
      <x:c r="B48" s="6" t="str">
        <x:v>デイ</x:v>
      </x:c>
      <x:c r="C48" s="6" t="n">
        <x:v>1573000</x:v>
      </x:c>
      <x:c r="D48" s="6" t="n">
        <x:v>3290000</x:v>
      </x:c>
      <x:c r="E48" s="6" t="n">
        <x:f>C48-D48</x:f>
        <x:v>-1717000</x:v>
      </x:c>
      <x:c r="F48" s="6" t="n">
        <x:f>F47+E48</x:f>
        <x:v>-41010000</x:v>
      </x:c>
      <x:c r="G48" s="6" t="n">
        <x:v>1573000</x:v>
      </x:c>
      <x:c r="H48" s="6" t="n">
        <x:v>3290000</x:v>
      </x:c>
      <x:c r="I48" s="6" t="n">
        <x:v>189</x:v>
      </x:c>
      <x:c r="J48" s="6" t="n">
        <x:v>0</x:v>
      </x:c>
      <x:c r="K48" s="6" t="n">
        <x:v>0</x:v>
      </x:c>
      <x:c r="L48" s="6" t="n">
        <x:v>10</x:v>
      </x:c>
      <x:c r="M48" s="11" t="n">
        <x:v>0.8435714285714285</x:v>
      </x:c>
      <x:c r="N48" s="6" t="n">
        <x:v>1772000</x:v>
      </x:c>
    </x:row>
    <x:row r="49" ht="24" customHeight="1">
      <x:c r="A49" s="2" t="str">
        <x:v>2026-10-20_Night</x:v>
      </x:c>
      <x:c r="B49" s="6" t="str">
        <x:v>ナイト</x:v>
      </x:c>
      <x:c r="C49" s="6" t="n">
        <x:v>1997000</x:v>
      </x:c>
      <x:c r="D49" s="6" t="n">
        <x:v>3128000</x:v>
      </x:c>
      <x:c r="E49" s="6" t="n">
        <x:f>C49-D49</x:f>
        <x:v>-1131000</x:v>
      </x:c>
      <x:c r="F49" s="6" t="n">
        <x:f>F48+E49</x:f>
        <x:v>-42141000</x:v>
      </x:c>
      <x:c r="G49" s="6" t="n">
        <x:v>1997000</x:v>
      </x:c>
      <x:c r="H49" s="6" t="n">
        <x:v>3128000</x:v>
      </x:c>
      <x:c r="I49" s="6" t="n">
        <x:v>216</x:v>
      </x:c>
      <x:c r="J49" s="6" t="n">
        <x:v>0</x:v>
      </x:c>
      <x:c r="K49" s="6" t="n">
        <x:v>0</x:v>
      </x:c>
      <x:c r="L49" s="6" t="n">
        <x:v>10</x:v>
      </x:c>
      <x:c r="M49" s="11" t="n">
        <x:v>0.7206410256410256</x:v>
      </x:c>
      <x:c r="N49" s="6" t="n">
        <x:v>1465000</x:v>
      </x:c>
    </x:row>
    <x:row r="50" ht="24" customHeight="1">
      <x:c r="A50" s="2" t="str">
        <x:v>2026-10-21_Day</x:v>
      </x:c>
      <x:c r="B50" s="6" t="str">
        <x:v>デイ</x:v>
      </x:c>
      <x:c r="C50" s="6" t="n">
        <x:v>1430000</x:v>
      </x:c>
      <x:c r="D50" s="6" t="n">
        <x:v>2317000</x:v>
      </x:c>
      <x:c r="E50" s="6" t="n">
        <x:f>C50-D50</x:f>
        <x:v>-887000</x:v>
      </x:c>
      <x:c r="F50" s="6" t="n">
        <x:f>F49+E50</x:f>
        <x:v>-43028000</x:v>
      </x:c>
      <x:c r="G50" s="6" t="n">
        <x:v>1430000</x:v>
      </x:c>
      <x:c r="H50" s="6" t="n">
        <x:v>2317000</x:v>
      </x:c>
      <x:c r="I50" s="6" t="n">
        <x:v>174</x:v>
      </x:c>
      <x:c r="J50" s="6" t="n">
        <x:v>0</x:v>
      </x:c>
      <x:c r="K50" s="6" t="n">
        <x:v>0</x:v>
      </x:c>
      <x:c r="L50" s="6" t="n">
        <x:v>10</x:v>
      </x:c>
      <x:c r="M50" s="11" t="n">
        <x:v>0.8302777777777778</x:v>
      </x:c>
      <x:c r="N50" s="6" t="n">
        <x:v>1098000</x:v>
      </x:c>
    </x:row>
    <x:row r="51" ht="24" customHeight="1">
      <x:c r="A51" s="2" t="str">
        <x:v>2026-10-21_Night</x:v>
      </x:c>
      <x:c r="B51" s="6" t="str">
        <x:v>ナイト</x:v>
      </x:c>
      <x:c r="C51" s="6" t="n">
        <x:v>1256000</x:v>
      </x:c>
      <x:c r="D51" s="6" t="n">
        <x:v>2430000</x:v>
      </x:c>
      <x:c r="E51" s="6" t="n">
        <x:f>C51-D51</x:f>
        <x:v>-1174000</x:v>
      </x:c>
      <x:c r="F51" s="6" t="n">
        <x:f>F50+E51</x:f>
        <x:v>-44202000</x:v>
      </x:c>
      <x:c r="G51" s="6" t="n">
        <x:v>1256000</x:v>
      </x:c>
      <x:c r="H51" s="6" t="n">
        <x:v>2430000</x:v>
      </x:c>
      <x:c r="I51" s="6" t="n">
        <x:v>181</x:v>
      </x:c>
      <x:c r="J51" s="6" t="n">
        <x:v>0</x:v>
      </x:c>
      <x:c r="K51" s="6" t="n">
        <x:v>0</x:v>
      </x:c>
      <x:c r="L51" s="6" t="n">
        <x:v>10</x:v>
      </x:c>
      <x:c r="M51" s="11" t="n">
        <x:v>0.8066239316239316</x:v>
      </x:c>
      <x:c r="N51" s="6" t="n">
        <x:v>1353000</x:v>
      </x:c>
    </x:row>
    <x:row r="52" ht="24" customHeight="1">
      <x:c r="A52" s="2" t="str">
        <x:v>2026-10-22_Day</x:v>
      </x:c>
      <x:c r="B52" s="6" t="str">
        <x:v>デイ</x:v>
      </x:c>
      <x:c r="C52" s="6" t="n">
        <x:v>1430000</x:v>
      </x:c>
      <x:c r="D52" s="6" t="n">
        <x:v>2636000</x:v>
      </x:c>
      <x:c r="E52" s="6" t="n">
        <x:f>C52-D52</x:f>
        <x:v>-1206000</x:v>
      </x:c>
      <x:c r="F52" s="6" t="n">
        <x:f>F51+E52</x:f>
        <x:v>-45408000</x:v>
      </x:c>
      <x:c r="G52" s="6" t="n">
        <x:v>1430000</x:v>
      </x:c>
      <x:c r="H52" s="6" t="n">
        <x:v>2636000</x:v>
      </x:c>
      <x:c r="I52" s="6" t="n">
        <x:v>179</x:v>
      </x:c>
      <x:c r="J52" s="6" t="n">
        <x:v>0</x:v>
      </x:c>
      <x:c r="K52" s="6" t="n">
        <x:v>0</x:v>
      </x:c>
      <x:c r="L52" s="6" t="n">
        <x:v>10</x:v>
      </x:c>
      <x:c r="M52" s="11" t="n">
        <x:v>0.7911111111111111</x:v>
      </x:c>
      <x:c r="N52" s="6" t="n">
        <x:v>1412000</x:v>
      </x:c>
    </x:row>
    <x:row r="53" ht="24" customHeight="1">
      <x:c r="A53" s="2" t="str">
        <x:v>2026-10-22_Night</x:v>
      </x:c>
      <x:c r="B53" s="6" t="str">
        <x:v>ナイト</x:v>
      </x:c>
      <x:c r="C53" s="6" t="n">
        <x:v>2087000</x:v>
      </x:c>
      <x:c r="D53" s="6" t="n">
        <x:v>2750000</x:v>
      </x:c>
      <x:c r="E53" s="6" t="n">
        <x:f>C53-D53</x:f>
        <x:v>-663000</x:v>
      </x:c>
      <x:c r="F53" s="6" t="n">
        <x:f>F52+E53</x:f>
        <x:v>-46071000</x:v>
      </x:c>
      <x:c r="G53" s="6" t="n">
        <x:v>2087000</x:v>
      </x:c>
      <x:c r="H53" s="6" t="n">
        <x:v>2750000</x:v>
      </x:c>
      <x:c r="I53" s="6" t="n">
        <x:v>226</x:v>
      </x:c>
      <x:c r="J53" s="6" t="n">
        <x:v>0</x:v>
      </x:c>
      <x:c r="K53" s="6" t="n">
        <x:v>0</x:v>
      </x:c>
      <x:c r="L53" s="6" t="n">
        <x:v>10</x:v>
      </x:c>
      <x:c r="M53" s="11" t="n">
        <x:v>0.8172435897435898</x:v>
      </x:c>
      <x:c r="N53" s="6" t="n">
        <x:v>823000</x:v>
      </x:c>
    </x:row>
    <x:row r="54" ht="24" customHeight="1">
      <x:c r="A54" s="2" t="str">
        <x:v>2026-10-23_Day</x:v>
      </x:c>
      <x:c r="B54" s="6" t="str">
        <x:v>デイ</x:v>
      </x:c>
      <x:c r="C54" s="6" t="n">
        <x:v>3320000</x:v>
      </x:c>
      <x:c r="D54" s="6" t="n">
        <x:v>6636000</x:v>
      </x:c>
      <x:c r="E54" s="6" t="n">
        <x:f>C54-D54</x:f>
        <x:v>-3316000</x:v>
      </x:c>
      <x:c r="F54" s="6" t="n">
        <x:f>F53+E54</x:f>
        <x:v>-49387000</x:v>
      </x:c>
      <x:c r="G54" s="6" t="n">
        <x:v>3320000</x:v>
      </x:c>
      <x:c r="H54" s="6" t="n">
        <x:v>6636000</x:v>
      </x:c>
      <x:c r="I54" s="6" t="n">
        <x:v>290</x:v>
      </x:c>
      <x:c r="J54" s="6" t="n">
        <x:v>0</x:v>
      </x:c>
      <x:c r="K54" s="6" t="n">
        <x:v>0</x:v>
      </x:c>
      <x:c r="L54" s="6" t="n">
        <x:v>10</x:v>
      </x:c>
      <x:c r="M54" s="11" t="n">
        <x:v>0.8152380952380952</x:v>
      </x:c>
      <x:c r="N54" s="6" t="n">
        <x:v>3347000</x:v>
      </x:c>
    </x:row>
    <x:row r="55" ht="24" customHeight="1">
      <x:c r="A55" s="2" t="str">
        <x:v>2026-10-23_Night</x:v>
      </x:c>
      <x:c r="B55" s="6" t="str">
        <x:v>ナイト</x:v>
      </x:c>
      <x:c r="C55" s="6" t="n">
        <x:v>1037000</x:v>
      </x:c>
      <x:c r="D55" s="6" t="n">
        <x:v>2759000</x:v>
      </x:c>
      <x:c r="E55" s="6" t="n">
        <x:f>C55-D55</x:f>
        <x:v>-1722000</x:v>
      </x:c>
      <x:c r="F55" s="6" t="n">
        <x:f>F54+E55</x:f>
        <x:v>-51109000</x:v>
      </x:c>
      <x:c r="G55" s="6" t="n">
        <x:v>1037000</x:v>
      </x:c>
      <x:c r="H55" s="6" t="n">
        <x:v>2759000</x:v>
      </x:c>
      <x:c r="I55" s="6" t="n">
        <x:v>215</x:v>
      </x:c>
      <x:c r="J55" s="6" t="n">
        <x:v>0</x:v>
      </x:c>
      <x:c r="K55" s="6" t="n">
        <x:v>0</x:v>
      </x:c>
      <x:c r="L55" s="6" t="n">
        <x:v>10</x:v>
      </x:c>
      <x:c r="M55" s="11" t="n">
        <x:v>0.8235683760683761</x:v>
      </x:c>
      <x:c r="N55" s="6" t="n">
        <x:v>1812000</x:v>
      </x:c>
    </x:row>
    <x:row r="56" ht="24" customHeight="1">
      <x:c r="A56" s="2" t="str">
        <x:v>2026-10-26_Day</x:v>
      </x:c>
      <x:c r="B56" s="6" t="str">
        <x:v>デイ</x:v>
      </x:c>
      <x:c r="C56" s="6" t="n">
        <x:v>1562000</x:v>
      </x:c>
      <x:c r="D56" s="6" t="n">
        <x:v>4692000</x:v>
      </x:c>
      <x:c r="E56" s="6" t="n">
        <x:f>C56-D56</x:f>
        <x:v>-3130000</x:v>
      </x:c>
      <x:c r="F56" s="6" t="n">
        <x:f>F55+E56</x:f>
        <x:v>-54239000</x:v>
      </x:c>
      <x:c r="G56" s="6" t="n">
        <x:v>1562000</x:v>
      </x:c>
      <x:c r="H56" s="6" t="n">
        <x:v>4692000</x:v>
      </x:c>
      <x:c r="I56" s="6" t="n">
        <x:v>209</x:v>
      </x:c>
      <x:c r="J56" s="6" t="n">
        <x:v>0</x:v>
      </x:c>
      <x:c r="K56" s="6" t="n">
        <x:v>0</x:v>
      </x:c>
      <x:c r="L56" s="6" t="n">
        <x:v>10</x:v>
      </x:c>
      <x:c r="M56" s="11" t="n">
        <x:v>0.8031746031746032</x:v>
      </x:c>
      <x:c r="N56" s="6" t="n">
        <x:v>3149000</x:v>
      </x:c>
    </x:row>
    <x:row r="57" ht="24" customHeight="1">
      <x:c r="A57" s="15" t="str">
        <x:v>累計／平均／最大</x:v>
      </x:c>
      <x:c r="B57" s="16"/>
      <x:c r="C57" s="16" t="n">
        <x:f>SUM(C6:C56)</x:f>
        <x:v>54872000</x:v>
      </x:c>
      <x:c r="D57" s="16" t="n">
        <x:f>SUM(D6:D56)</x:f>
        <x:v>109111000</x:v>
      </x:c>
      <x:c r="E57" s="16" t="n">
        <x:f>C57-D57</x:f>
        <x:v>-54239000</x:v>
      </x:c>
      <x:c r="F57" s="16" t="n">
        <x:f>F56</x:f>
        <x:v>-54239000</x:v>
      </x:c>
      <x:c r="G57" s="16" t="n">
        <x:f>SUM(G6:G56)</x:f>
        <x:v>54872000</x:v>
      </x:c>
      <x:c r="H57" s="16" t="n">
        <x:f>SUM(H6:H56)</x:f>
        <x:v>109111000</x:v>
      </x:c>
      <x:c r="I57" s="16" t="n">
        <x:f>SUM(I6:I56)</x:f>
        <x:v>7964</x:v>
      </x:c>
      <x:c r="J57" s="16" t="n">
        <x:f>SUM(J6:J56)</x:f>
        <x:v>0</x:v>
      </x:c>
      <x:c r="K57" s="16" t="n">
        <x:f>SUM(K6:K56)</x:f>
        <x:v>0</x:v>
      </x:c>
      <x:c r="L57" s="16" t="n">
        <x:f>MAX(L6:L56)</x:f>
        <x:v>10</x:v>
      </x:c>
      <x:c r="M57" s="17" t="n">
        <x:f>AVERAGE(M6:M56)</x:f>
        <x:v>0.8060432976609448</x:v>
      </x:c>
      <x:c r="N57" s="16" t="n">
        <x:f>MAX(N6:N56)</x:f>
        <x:v>3347000</x:v>
      </x:c>
    </x:row>
  </x:sheetData>
  <x:conditionalFormatting sqref="E6:F56">
    <x:cfRule type="cellIs" dxfId="21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13bced73abc4af9"/>
  </x:tableParts>
</x:worksheet>
</file>

<file path=xl/worksheets/sheet2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1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4" customHeight="1">
      <x:c r="A1" s="3" t="str">
        <x:v>日経 M15　各セッションの利益・損失・収支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A2" s="4" t="str">
        <x:v>2026/09/21〜10/26デイ・51完了場。日経mini／TOPIXmini各上限10枚・手数料0。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4" customHeight="1">
      <x:c r="A3" s="4" t="str">
        <x:v>300秒の時間加重平均を60秒前と比較。入口だけ傾き比例枚数、利益追尾＋傾き反転・増勢後の半減で返済。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4" customHeight="1">
      <x:c r="A4" s="4" t="str">
        <x:v>利益・損失＝FIFO返済配賦別。親＝初回から全返済まで。ラージ気配による模型で、mini実約定の検証ではありません。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42" customHeight="1">
      <x:c r="A5" s="10" t="str">
        <x:v>セッション</x:v>
      </x:c>
      <x:c r="B5" s="10" t="str">
        <x:v>区分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親利益（円）</x:v>
      </x:c>
      <x:c r="H5" s="10" t="str">
        <x:v>親損失（円）</x:v>
      </x:c>
      <x:c r="I5" s="10" t="str">
        <x:v>初回件数</x:v>
      </x:c>
      <x:c r="J5" s="10" t="str">
        <x:v>追加件数</x:v>
      </x:c>
      <x:c r="K5" s="10" t="str">
        <x:v>縮小件数</x:v>
      </x:c>
      <x:c r="L5" s="10" t="str">
        <x:v>最大保有枚数</x:v>
      </x:c>
      <x:c r="M5" s="10" t="str">
        <x:v>保有時間率</x:v>
      </x:c>
      <x:c r="N5" s="10" t="str">
        <x:v>時価最大DD（円）</x:v>
      </x:c>
    </x:row>
    <x:row r="6" ht="24" customHeight="1">
      <x:c r="A6" s="2" t="str">
        <x:v>2026-09-21_Day</x:v>
      </x:c>
      <x:c r="B6" s="6" t="str">
        <x:v>デイ</x:v>
      </x:c>
      <x:c r="C6" s="6" t="n">
        <x:v>292000</x:v>
      </x:c>
      <x:c r="D6" s="6" t="n">
        <x:v>818000</x:v>
      </x:c>
      <x:c r="E6" s="6" t="n">
        <x:f>C6-D6</x:f>
        <x:v>-526000</x:v>
      </x:c>
      <x:c r="F6" s="6" t="n">
        <x:f>E6</x:f>
        <x:v>-526000</x:v>
      </x:c>
      <x:c r="G6" s="6" t="n">
        <x:v>292000</x:v>
      </x:c>
      <x:c r="H6" s="6" t="n">
        <x:v>818000</x:v>
      </x:c>
      <x:c r="I6" s="6" t="n">
        <x:v>76</x:v>
      </x:c>
      <x:c r="J6" s="6" t="n">
        <x:v>0</x:v>
      </x:c>
      <x:c r="K6" s="6" t="n">
        <x:v>0</x:v>
      </x:c>
      <x:c r="L6" s="6" t="n">
        <x:v>10</x:v>
      </x:c>
      <x:c r="M6" s="11" t="n">
        <x:v>0.5936111111111111</x:v>
      </x:c>
      <x:c r="N6" s="6" t="n">
        <x:v>588000</x:v>
      </x:c>
    </x:row>
    <x:row r="7" ht="24" customHeight="1">
      <x:c r="A7" s="2" t="str">
        <x:v>2026-09-21_Night</x:v>
      </x:c>
      <x:c r="B7" s="6" t="str">
        <x:v>ナイト</x:v>
      </x:c>
      <x:c r="C7" s="6" t="n">
        <x:v>345000</x:v>
      </x:c>
      <x:c r="D7" s="6" t="n">
        <x:v>685000</x:v>
      </x:c>
      <x:c r="E7" s="6" t="n">
        <x:f>C7-D7</x:f>
        <x:v>-340000</x:v>
      </x:c>
      <x:c r="F7" s="6" t="n">
        <x:f>F6+E7</x:f>
        <x:v>-866000</x:v>
      </x:c>
      <x:c r="G7" s="6" t="n">
        <x:v>345000</x:v>
      </x:c>
      <x:c r="H7" s="6" t="n">
        <x:v>685000</x:v>
      </x:c>
      <x:c r="I7" s="6" t="n">
        <x:v>94</x:v>
      </x:c>
      <x:c r="J7" s="6" t="n">
        <x:v>0</x:v>
      </x:c>
      <x:c r="K7" s="6" t="n">
        <x:v>0</x:v>
      </x:c>
      <x:c r="L7" s="6" t="n">
        <x:v>10</x:v>
      </x:c>
      <x:c r="M7" s="11" t="n">
        <x:v>0.67</x:v>
      </x:c>
      <x:c r="N7" s="6" t="n">
        <x:v>412000</x:v>
      </x:c>
    </x:row>
    <x:row r="8" ht="24" customHeight="1">
      <x:c r="A8" s="2" t="str">
        <x:v>2026-09-22_Day</x:v>
      </x:c>
      <x:c r="B8" s="6" t="str">
        <x:v>デイ</x:v>
      </x:c>
      <x:c r="C8" s="6" t="n">
        <x:v>571000</x:v>
      </x:c>
      <x:c r="D8" s="6" t="n">
        <x:v>1220000</x:v>
      </x:c>
      <x:c r="E8" s="6" t="n">
        <x:f>C8-D8</x:f>
        <x:v>-649000</x:v>
      </x:c>
      <x:c r="F8" s="6" t="n">
        <x:f>F7+E8</x:f>
        <x:v>-1515000</x:v>
      </x:c>
      <x:c r="G8" s="6" t="n">
        <x:v>571000</x:v>
      </x:c>
      <x:c r="H8" s="6" t="n">
        <x:v>1220000</x:v>
      </x:c>
      <x:c r="I8" s="6" t="n">
        <x:v>111</x:v>
      </x:c>
      <x:c r="J8" s="6" t="n">
        <x:v>0</x:v>
      </x:c>
      <x:c r="K8" s="6" t="n">
        <x:v>0</x:v>
      </x:c>
      <x:c r="L8" s="6" t="n">
        <x:v>10</x:v>
      </x:c>
      <x:c r="M8" s="11" t="n">
        <x:v>0.775</x:v>
      </x:c>
      <x:c r="N8" s="6" t="n">
        <x:v>934000</x:v>
      </x:c>
    </x:row>
    <x:row r="9" ht="24" customHeight="1">
      <x:c r="A9" s="2" t="str">
        <x:v>2026-09-22_Night</x:v>
      </x:c>
      <x:c r="B9" s="6" t="str">
        <x:v>ナイト</x:v>
      </x:c>
      <x:c r="C9" s="6" t="n">
        <x:v>771000</x:v>
      </x:c>
      <x:c r="D9" s="6" t="n">
        <x:v>1558000</x:v>
      </x:c>
      <x:c r="E9" s="6" t="n">
        <x:f>C9-D9</x:f>
        <x:v>-787000</x:v>
      </x:c>
      <x:c r="F9" s="6" t="n">
        <x:f>F8+E9</x:f>
        <x:v>-2302000</x:v>
      </x:c>
      <x:c r="G9" s="6" t="n">
        <x:v>771000</x:v>
      </x:c>
      <x:c r="H9" s="6" t="n">
        <x:v>1558000</x:v>
      </x:c>
      <x:c r="I9" s="6" t="n">
        <x:v>139</x:v>
      </x:c>
      <x:c r="J9" s="6" t="n">
        <x:v>0</x:v>
      </x:c>
      <x:c r="K9" s="6" t="n">
        <x:v>0</x:v>
      </x:c>
      <x:c r="L9" s="6" t="n">
        <x:v>10</x:v>
      </x:c>
      <x:c r="M9" s="11" t="n">
        <x:v>0.6464102564102564</x:v>
      </x:c>
      <x:c r="N9" s="6" t="n">
        <x:v>922000</x:v>
      </x:c>
    </x:row>
    <x:row r="10" ht="24" customHeight="1">
      <x:c r="A10" s="2" t="str">
        <x:v>2026-09-23_Day</x:v>
      </x:c>
      <x:c r="B10" s="6" t="str">
        <x:v>デイ</x:v>
      </x:c>
      <x:c r="C10" s="6" t="n">
        <x:v>234000</x:v>
      </x:c>
      <x:c r="D10" s="6" t="n">
        <x:v>761000</x:v>
      </x:c>
      <x:c r="E10" s="6" t="n">
        <x:f>C10-D10</x:f>
        <x:v>-527000</x:v>
      </x:c>
      <x:c r="F10" s="6" t="n">
        <x:f>F9+E10</x:f>
        <x:v>-2829000</x:v>
      </x:c>
      <x:c r="G10" s="6" t="n">
        <x:v>234000</x:v>
      </x:c>
      <x:c r="H10" s="6" t="n">
        <x:v>761000</x:v>
      </x:c>
      <x:c r="I10" s="6" t="n">
        <x:v>70</x:v>
      </x:c>
      <x:c r="J10" s="6" t="n">
        <x:v>0</x:v>
      </x:c>
      <x:c r="K10" s="6" t="n">
        <x:v>0</x:v>
      </x:c>
      <x:c r="L10" s="6" t="n">
        <x:v>10</x:v>
      </x:c>
      <x:c r="M10" s="11" t="n">
        <x:v>0.7358333333333333</x:v>
      </x:c>
      <x:c r="N10" s="6" t="n">
        <x:v>556000</x:v>
      </x:c>
    </x:row>
    <x:row r="11" ht="24" customHeight="1">
      <x:c r="A11" s="2" t="str">
        <x:v>2026-09-23_Night</x:v>
      </x:c>
      <x:c r="B11" s="6" t="str">
        <x:v>ナイト</x:v>
      </x:c>
      <x:c r="C11" s="6" t="n">
        <x:v>490000</x:v>
      </x:c>
      <x:c r="D11" s="6" t="n">
        <x:v>1113000</x:v>
      </x:c>
      <x:c r="E11" s="6" t="n">
        <x:f>C11-D11</x:f>
        <x:v>-623000</x:v>
      </x:c>
      <x:c r="F11" s="6" t="n">
        <x:f>F10+E11</x:f>
        <x:v>-3452000</x:v>
      </x:c>
      <x:c r="G11" s="6" t="n">
        <x:v>490000</x:v>
      </x:c>
      <x:c r="H11" s="6" t="n">
        <x:v>1113000</x:v>
      </x:c>
      <x:c r="I11" s="6" t="n">
        <x:v>114</x:v>
      </x:c>
      <x:c r="J11" s="6" t="n">
        <x:v>0</x:v>
      </x:c>
      <x:c r="K11" s="6" t="n">
        <x:v>0</x:v>
      </x:c>
      <x:c r="L11" s="6" t="n">
        <x:v>10</x:v>
      </x:c>
      <x:c r="M11" s="11" t="n">
        <x:v>0.7976282051282051</x:v>
      </x:c>
      <x:c r="N11" s="6" t="n">
        <x:v>648000</x:v>
      </x:c>
    </x:row>
    <x:row r="12" ht="24" customHeight="1">
      <x:c r="A12" s="2" t="str">
        <x:v>2026-09-24_Day</x:v>
      </x:c>
      <x:c r="B12" s="6" t="str">
        <x:v>デイ</x:v>
      </x:c>
      <x:c r="C12" s="6" t="n">
        <x:v>1077000</x:v>
      </x:c>
      <x:c r="D12" s="6" t="n">
        <x:v>2063000</x:v>
      </x:c>
      <x:c r="E12" s="6" t="n">
        <x:f>C12-D12</x:f>
        <x:v>-986000</x:v>
      </x:c>
      <x:c r="F12" s="6" t="n">
        <x:f>F11+E12</x:f>
        <x:v>-4438000</x:v>
      </x:c>
      <x:c r="G12" s="6" t="n">
        <x:v>1077000</x:v>
      </x:c>
      <x:c r="H12" s="6" t="n">
        <x:v>2063000</x:v>
      </x:c>
      <x:c r="I12" s="6" t="n">
        <x:v>160</x:v>
      </x:c>
      <x:c r="J12" s="6" t="n">
        <x:v>0</x:v>
      </x:c>
      <x:c r="K12" s="6" t="n">
        <x:v>0</x:v>
      </x:c>
      <x:c r="L12" s="6" t="n">
        <x:v>10</x:v>
      </x:c>
      <x:c r="M12" s="11" t="n">
        <x:v>0.8126984126984127</x:v>
      </x:c>
      <x:c r="N12" s="6" t="n">
        <x:v>1028000</x:v>
      </x:c>
    </x:row>
    <x:row r="13" ht="24" customHeight="1">
      <x:c r="A13" s="2" t="str">
        <x:v>2026-09-24_Night</x:v>
      </x:c>
      <x:c r="B13" s="6" t="str">
        <x:v>ナイト</x:v>
      </x:c>
      <x:c r="C13" s="6" t="n">
        <x:v>1038000</x:v>
      </x:c>
      <x:c r="D13" s="6" t="n">
        <x:v>2961000</x:v>
      </x:c>
      <x:c r="E13" s="6" t="n">
        <x:f>C13-D13</x:f>
        <x:v>-1923000</x:v>
      </x:c>
      <x:c r="F13" s="6" t="n">
        <x:f>F12+E13</x:f>
        <x:v>-6361000</x:v>
      </x:c>
      <x:c r="G13" s="6" t="n">
        <x:v>1038000</x:v>
      </x:c>
      <x:c r="H13" s="6" t="n">
        <x:v>2961000</x:v>
      </x:c>
      <x:c r="I13" s="6" t="n">
        <x:v>224</x:v>
      </x:c>
      <x:c r="J13" s="6" t="n">
        <x:v>0</x:v>
      </x:c>
      <x:c r="K13" s="6" t="n">
        <x:v>0</x:v>
      </x:c>
      <x:c r="L13" s="6" t="n">
        <x:v>10</x:v>
      </x:c>
      <x:c r="M13" s="11" t="n">
        <x:v>0.8167735042735043</x:v>
      </x:c>
      <x:c r="N13" s="6" t="n">
        <x:v>2044000</x:v>
      </x:c>
    </x:row>
    <x:row r="14" ht="24" customHeight="1">
      <x:c r="A14" s="2" t="str">
        <x:v>2026-09-25_Day</x:v>
      </x:c>
      <x:c r="B14" s="6" t="str">
        <x:v>デイ</x:v>
      </x:c>
      <x:c r="C14" s="6" t="n">
        <x:v>854000</x:v>
      </x:c>
      <x:c r="D14" s="6" t="n">
        <x:v>1634000</x:v>
      </x:c>
      <x:c r="E14" s="6" t="n">
        <x:f>C14-D14</x:f>
        <x:v>-780000</x:v>
      </x:c>
      <x:c r="F14" s="6" t="n">
        <x:f>F13+E14</x:f>
        <x:v>-7141000</x:v>
      </x:c>
      <x:c r="G14" s="6" t="n">
        <x:v>854000</x:v>
      </x:c>
      <x:c r="H14" s="6" t="n">
        <x:v>1634000</x:v>
      </x:c>
      <x:c r="I14" s="6" t="n">
        <x:v>153</x:v>
      </x:c>
      <x:c r="J14" s="6" t="n">
        <x:v>0</x:v>
      </x:c>
      <x:c r="K14" s="6" t="n">
        <x:v>0</x:v>
      </x:c>
      <x:c r="L14" s="6" t="n">
        <x:v>10</x:v>
      </x:c>
      <x:c r="M14" s="11" t="n">
        <x:v>0.8128968253968254</x:v>
      </x:c>
      <x:c r="N14" s="6" t="n">
        <x:v>839000</x:v>
      </x:c>
    </x:row>
    <x:row r="15" ht="24" customHeight="1">
      <x:c r="A15" s="2" t="str">
        <x:v>2026-09-25_Night</x:v>
      </x:c>
      <x:c r="B15" s="6" t="str">
        <x:v>ナイト</x:v>
      </x:c>
      <x:c r="C15" s="6" t="n">
        <x:v>843000</x:v>
      </x:c>
      <x:c r="D15" s="6" t="n">
        <x:v>1809000</x:v>
      </x:c>
      <x:c r="E15" s="6" t="n">
        <x:f>C15-D15</x:f>
        <x:v>-966000</x:v>
      </x:c>
      <x:c r="F15" s="6" t="n">
        <x:f>F14+E15</x:f>
        <x:v>-8107000</x:v>
      </x:c>
      <x:c r="G15" s="6" t="n">
        <x:v>843000</x:v>
      </x:c>
      <x:c r="H15" s="6" t="n">
        <x:v>1809000</x:v>
      </x:c>
      <x:c r="I15" s="6" t="n">
        <x:v>155</x:v>
      </x:c>
      <x:c r="J15" s="6" t="n">
        <x:v>0</x:v>
      </x:c>
      <x:c r="K15" s="6" t="n">
        <x:v>0</x:v>
      </x:c>
      <x:c r="L15" s="6" t="n">
        <x:v>10</x:v>
      </x:c>
      <x:c r="M15" s="11" t="n">
        <x:v>0.8082264957264957</x:v>
      </x:c>
      <x:c r="N15" s="6" t="n">
        <x:v>1029000</x:v>
      </x:c>
    </x:row>
    <x:row r="16" ht="24" customHeight="1">
      <x:c r="A16" s="2" t="str">
        <x:v>2026-09-28_Day</x:v>
      </x:c>
      <x:c r="B16" s="6" t="str">
        <x:v>デイ</x:v>
      </x:c>
      <x:c r="C16" s="6" t="n">
        <x:v>1258000</x:v>
      </x:c>
      <x:c r="D16" s="6" t="n">
        <x:v>1952000</x:v>
      </x:c>
      <x:c r="E16" s="6" t="n">
        <x:f>C16-D16</x:f>
        <x:v>-694000</x:v>
      </x:c>
      <x:c r="F16" s="6" t="n">
        <x:f>F15+E16</x:f>
        <x:v>-8801000</x:v>
      </x:c>
      <x:c r="G16" s="6" t="n">
        <x:v>1258000</x:v>
      </x:c>
      <x:c r="H16" s="6" t="n">
        <x:v>1952000</x:v>
      </x:c>
      <x:c r="I16" s="6" t="n">
        <x:v>175</x:v>
      </x:c>
      <x:c r="J16" s="6" t="n">
        <x:v>0</x:v>
      </x:c>
      <x:c r="K16" s="6" t="n">
        <x:v>0</x:v>
      </x:c>
      <x:c r="L16" s="6" t="n">
        <x:v>10</x:v>
      </x:c>
      <x:c r="M16" s="11" t="n">
        <x:v>0.8070238095238095</x:v>
      </x:c>
      <x:c r="N16" s="6" t="n">
        <x:v>947000</x:v>
      </x:c>
    </x:row>
    <x:row r="17" ht="24" customHeight="1">
      <x:c r="A17" s="2" t="str">
        <x:v>2026-09-28_Night</x:v>
      </x:c>
      <x:c r="B17" s="6" t="str">
        <x:v>ナイト</x:v>
      </x:c>
      <x:c r="C17" s="6" t="n">
        <x:v>1099000</x:v>
      </x:c>
      <x:c r="D17" s="6" t="n">
        <x:v>2709000</x:v>
      </x:c>
      <x:c r="E17" s="6" t="n">
        <x:f>C17-D17</x:f>
        <x:v>-1610000</x:v>
      </x:c>
      <x:c r="F17" s="6" t="n">
        <x:f>F16+E17</x:f>
        <x:v>-10411000</x:v>
      </x:c>
      <x:c r="G17" s="6" t="n">
        <x:v>1099000</x:v>
      </x:c>
      <x:c r="H17" s="6" t="n">
        <x:v>2709000</x:v>
      </x:c>
      <x:c r="I17" s="6" t="n">
        <x:v>197</x:v>
      </x:c>
      <x:c r="J17" s="6" t="n">
        <x:v>0</x:v>
      </x:c>
      <x:c r="K17" s="6" t="n">
        <x:v>0</x:v>
      </x:c>
      <x:c r="L17" s="6" t="n">
        <x:v>10</x:v>
      </x:c>
      <x:c r="M17" s="11" t="n">
        <x:v>0.7174786324786325</x:v>
      </x:c>
      <x:c r="N17" s="6" t="n">
        <x:v>1610000</x:v>
      </x:c>
    </x:row>
    <x:row r="18" ht="24" customHeight="1">
      <x:c r="A18" s="2" t="str">
        <x:v>2026-09-29_Day</x:v>
      </x:c>
      <x:c r="B18" s="6" t="str">
        <x:v>デイ</x:v>
      </x:c>
      <x:c r="C18" s="6" t="n">
        <x:v>1271000</x:v>
      </x:c>
      <x:c r="D18" s="6" t="n">
        <x:v>2829000</x:v>
      </x:c>
      <x:c r="E18" s="6" t="n">
        <x:f>C18-D18</x:f>
        <x:v>-1558000</x:v>
      </x:c>
      <x:c r="F18" s="6" t="n">
        <x:f>F17+E18</x:f>
        <x:v>-11969000</x:v>
      </x:c>
      <x:c r="G18" s="6" t="n">
        <x:v>1271000</x:v>
      </x:c>
      <x:c r="H18" s="6" t="n">
        <x:v>2829000</x:v>
      </x:c>
      <x:c r="I18" s="6" t="n">
        <x:v>193</x:v>
      </x:c>
      <x:c r="J18" s="6" t="n">
        <x:v>0</x:v>
      </x:c>
      <x:c r="K18" s="6" t="n">
        <x:v>0</x:v>
      </x:c>
      <x:c r="L18" s="6" t="n">
        <x:v>10</x:v>
      </x:c>
      <x:c r="M18" s="11" t="n">
        <x:v>0.8169047619047619</x:v>
      </x:c>
      <x:c r="N18" s="6" t="n">
        <x:v>1621000</x:v>
      </x:c>
    </x:row>
    <x:row r="19" ht="24" customHeight="1">
      <x:c r="A19" s="2" t="str">
        <x:v>2026-09-29_Night</x:v>
      </x:c>
      <x:c r="B19" s="6" t="str">
        <x:v>ナイト</x:v>
      </x:c>
      <x:c r="C19" s="6" t="n">
        <x:v>748000</x:v>
      </x:c>
      <x:c r="D19" s="6" t="n">
        <x:v>1518000</x:v>
      </x:c>
      <x:c r="E19" s="6" t="n">
        <x:f>C19-D19</x:f>
        <x:v>-770000</x:v>
      </x:c>
      <x:c r="F19" s="6" t="n">
        <x:f>F18+E19</x:f>
        <x:v>-12739000</x:v>
      </x:c>
      <x:c r="G19" s="6" t="n">
        <x:v>748000</x:v>
      </x:c>
      <x:c r="H19" s="6" t="n">
        <x:v>1518000</x:v>
      </x:c>
      <x:c r="I19" s="6" t="n">
        <x:v>174</x:v>
      </x:c>
      <x:c r="J19" s="6" t="n">
        <x:v>0</x:v>
      </x:c>
      <x:c r="K19" s="6" t="n">
        <x:v>0</x:v>
      </x:c>
      <x:c r="L19" s="6" t="n">
        <x:v>10</x:v>
      </x:c>
      <x:c r="M19" s="11" t="n">
        <x:v>0.7727564102564103</x:v>
      </x:c>
      <x:c r="N19" s="6" t="n">
        <x:v>783000</x:v>
      </x:c>
    </x:row>
    <x:row r="20" ht="24" customHeight="1">
      <x:c r="A20" s="2" t="str">
        <x:v>2026-09-30_Day</x:v>
      </x:c>
      <x:c r="B20" s="6" t="str">
        <x:v>デイ</x:v>
      </x:c>
      <x:c r="C20" s="6" t="n">
        <x:v>1103000</x:v>
      </x:c>
      <x:c r="D20" s="6" t="n">
        <x:v>2053000</x:v>
      </x:c>
      <x:c r="E20" s="6" t="n">
        <x:f>C20-D20</x:f>
        <x:v>-950000</x:v>
      </x:c>
      <x:c r="F20" s="6" t="n">
        <x:f>F19+E20</x:f>
        <x:v>-13689000</x:v>
      </x:c>
      <x:c r="G20" s="6" t="n">
        <x:v>1103000</x:v>
      </x:c>
      <x:c r="H20" s="6" t="n">
        <x:v>2053000</x:v>
      </x:c>
      <x:c r="I20" s="6" t="n">
        <x:v>165</x:v>
      </x:c>
      <x:c r="J20" s="6" t="n">
        <x:v>0</x:v>
      </x:c>
      <x:c r="K20" s="6" t="n">
        <x:v>0</x:v>
      </x:c>
      <x:c r="L20" s="6" t="n">
        <x:v>10</x:v>
      </x:c>
      <x:c r="M20" s="11" t="n">
        <x:v>0.8337698412698412</x:v>
      </x:c>
      <x:c r="N20" s="6" t="n">
        <x:v>1070000</x:v>
      </x:c>
    </x:row>
    <x:row r="21" ht="24" customHeight="1">
      <x:c r="A21" s="2" t="str">
        <x:v>2026-09-30_Night</x:v>
      </x:c>
      <x:c r="B21" s="6" t="str">
        <x:v>ナイト</x:v>
      </x:c>
      <x:c r="C21" s="6" t="n">
        <x:v>1273000</x:v>
      </x:c>
      <x:c r="D21" s="6" t="n">
        <x:v>2179000</x:v>
      </x:c>
      <x:c r="E21" s="6" t="n">
        <x:f>C21-D21</x:f>
        <x:v>-906000</x:v>
      </x:c>
      <x:c r="F21" s="6" t="n">
        <x:f>F20+E21</x:f>
        <x:v>-14595000</x:v>
      </x:c>
      <x:c r="G21" s="6" t="n">
        <x:v>1273000</x:v>
      </x:c>
      <x:c r="H21" s="6" t="n">
        <x:v>2179000</x:v>
      </x:c>
      <x:c r="I21" s="6" t="n">
        <x:v>209</x:v>
      </x:c>
      <x:c r="J21" s="6" t="n">
        <x:v>0</x:v>
      </x:c>
      <x:c r="K21" s="6" t="n">
        <x:v>0</x:v>
      </x:c>
      <x:c r="L21" s="6" t="n">
        <x:v>10</x:v>
      </x:c>
      <x:c r="M21" s="11" t="n">
        <x:v>0.7616025641025641</x:v>
      </x:c>
      <x:c r="N21" s="6" t="n">
        <x:v>1121000</x:v>
      </x:c>
    </x:row>
    <x:row r="22" ht="24" customHeight="1">
      <x:c r="A22" s="2" t="str">
        <x:v>2026-10-01_Day</x:v>
      </x:c>
      <x:c r="B22" s="6" t="str">
        <x:v>デイ</x:v>
      </x:c>
      <x:c r="C22" s="6" t="n">
        <x:v>1006000</x:v>
      </x:c>
      <x:c r="D22" s="6" t="n">
        <x:v>1380000</x:v>
      </x:c>
      <x:c r="E22" s="6" t="n">
        <x:f>C22-D22</x:f>
        <x:v>-374000</x:v>
      </x:c>
      <x:c r="F22" s="6" t="n">
        <x:f>F21+E22</x:f>
        <x:v>-14969000</x:v>
      </x:c>
      <x:c r="G22" s="6" t="n">
        <x:v>1006000</x:v>
      </x:c>
      <x:c r="H22" s="6" t="n">
        <x:v>1380000</x:v>
      </x:c>
      <x:c r="I22" s="6" t="n">
        <x:v>147</x:v>
      </x:c>
      <x:c r="J22" s="6" t="n">
        <x:v>0</x:v>
      </x:c>
      <x:c r="K22" s="6" t="n">
        <x:v>0</x:v>
      </x:c>
      <x:c r="L22" s="6" t="n">
        <x:v>10</x:v>
      </x:c>
      <x:c r="M22" s="11" t="n">
        <x:v>0.8365873015873015</x:v>
      </x:c>
      <x:c r="N22" s="6" t="n">
        <x:v>569000</x:v>
      </x:c>
    </x:row>
    <x:row r="23" ht="24" customHeight="1">
      <x:c r="A23" s="2" t="str">
        <x:v>2026-10-01_Night</x:v>
      </x:c>
      <x:c r="B23" s="6" t="str">
        <x:v>ナイト</x:v>
      </x:c>
      <x:c r="C23" s="6" t="n">
        <x:v>1580000</x:v>
      </x:c>
      <x:c r="D23" s="6" t="n">
        <x:v>2468000</x:v>
      </x:c>
      <x:c r="E23" s="6" t="n">
        <x:f>C23-D23</x:f>
        <x:v>-888000</x:v>
      </x:c>
      <x:c r="F23" s="6" t="n">
        <x:f>F22+E23</x:f>
        <x:v>-15857000</x:v>
      </x:c>
      <x:c r="G23" s="6" t="n">
        <x:v>1580000</x:v>
      </x:c>
      <x:c r="H23" s="6" t="n">
        <x:v>2468000</x:v>
      </x:c>
      <x:c r="I23" s="6" t="n">
        <x:v>218</x:v>
      </x:c>
      <x:c r="J23" s="6" t="n">
        <x:v>0</x:v>
      </x:c>
      <x:c r="K23" s="6" t="n">
        <x:v>0</x:v>
      </x:c>
      <x:c r="L23" s="6" t="n">
        <x:v>10</x:v>
      </x:c>
      <x:c r="M23" s="11" t="n">
        <x:v>0.8462606837606838</x:v>
      </x:c>
      <x:c r="N23" s="6" t="n">
        <x:v>967000</x:v>
      </x:c>
    </x:row>
    <x:row r="24" ht="24" customHeight="1">
      <x:c r="A24" s="2" t="str">
        <x:v>2026-10-02_Day</x:v>
      </x:c>
      <x:c r="B24" s="6" t="str">
        <x:v>デイ</x:v>
      </x:c>
      <x:c r="C24" s="6" t="n">
        <x:v>959000</x:v>
      </x:c>
      <x:c r="D24" s="6" t="n">
        <x:v>2008000</x:v>
      </x:c>
      <x:c r="E24" s="6" t="n">
        <x:f>C24-D24</x:f>
        <x:v>-1049000</x:v>
      </x:c>
      <x:c r="F24" s="6" t="n">
        <x:f>F23+E24</x:f>
        <x:v>-16906000</x:v>
      </x:c>
      <x:c r="G24" s="6" t="n">
        <x:v>959000</x:v>
      </x:c>
      <x:c r="H24" s="6" t="n">
        <x:v>2008000</x:v>
      </x:c>
      <x:c r="I24" s="6" t="n">
        <x:v>156</x:v>
      </x:c>
      <x:c r="J24" s="6" t="n">
        <x:v>0</x:v>
      </x:c>
      <x:c r="K24" s="6" t="n">
        <x:v>0</x:v>
      </x:c>
      <x:c r="L24" s="6" t="n">
        <x:v>10</x:v>
      </x:c>
      <x:c r="M24" s="11" t="n">
        <x:v>0.8353571428571429</x:v>
      </x:c>
      <x:c r="N24" s="6" t="n">
        <x:v>1405000</x:v>
      </x:c>
    </x:row>
    <x:row r="25" ht="24" customHeight="1">
      <x:c r="A25" s="2" t="str">
        <x:v>2026-10-02_Night</x:v>
      </x:c>
      <x:c r="B25" s="6" t="str">
        <x:v>ナイト</x:v>
      </x:c>
      <x:c r="C25" s="6" t="n">
        <x:v>1147000</x:v>
      </x:c>
      <x:c r="D25" s="6" t="n">
        <x:v>2222000</x:v>
      </x:c>
      <x:c r="E25" s="6" t="n">
        <x:f>C25-D25</x:f>
        <x:v>-1075000</x:v>
      </x:c>
      <x:c r="F25" s="6" t="n">
        <x:f>F24+E25</x:f>
        <x:v>-17981000</x:v>
      </x:c>
      <x:c r="G25" s="6" t="n">
        <x:v>1147000</x:v>
      </x:c>
      <x:c r="H25" s="6" t="n">
        <x:v>2222000</x:v>
      </x:c>
      <x:c r="I25" s="6" t="n">
        <x:v>199</x:v>
      </x:c>
      <x:c r="J25" s="6" t="n">
        <x:v>0</x:v>
      </x:c>
      <x:c r="K25" s="6" t="n">
        <x:v>0</x:v>
      </x:c>
      <x:c r="L25" s="6" t="n">
        <x:v>10</x:v>
      </x:c>
      <x:c r="M25" s="11" t="n">
        <x:v>0.8206623931623932</x:v>
      </x:c>
      <x:c r="N25" s="6" t="n">
        <x:v>1185000</x:v>
      </x:c>
    </x:row>
    <x:row r="26" ht="24" customHeight="1">
      <x:c r="A26" s="2" t="str">
        <x:v>2026-10-05_Day</x:v>
      </x:c>
      <x:c r="B26" s="6" t="str">
        <x:v>デイ</x:v>
      </x:c>
      <x:c r="C26" s="6" t="n">
        <x:v>762000</x:v>
      </x:c>
      <x:c r="D26" s="6" t="n">
        <x:v>1310000</x:v>
      </x:c>
      <x:c r="E26" s="6" t="n">
        <x:f>C26-D26</x:f>
        <x:v>-548000</x:v>
      </x:c>
      <x:c r="F26" s="6" t="n">
        <x:f>F25+E26</x:f>
        <x:v>-18529000</x:v>
      </x:c>
      <x:c r="G26" s="6" t="n">
        <x:v>762000</x:v>
      </x:c>
      <x:c r="H26" s="6" t="n">
        <x:v>1310000</x:v>
      </x:c>
      <x:c r="I26" s="6" t="n">
        <x:v>141</x:v>
      </x:c>
      <x:c r="J26" s="6" t="n">
        <x:v>0</x:v>
      </x:c>
      <x:c r="K26" s="6" t="n">
        <x:v>0</x:v>
      </x:c>
      <x:c r="L26" s="6" t="n">
        <x:v>10</x:v>
      </x:c>
      <x:c r="M26" s="11" t="n">
        <x:v>0.8449603174603174</x:v>
      </x:c>
      <x:c r="N26" s="6" t="n">
        <x:v>635000</x:v>
      </x:c>
    </x:row>
    <x:row r="27" ht="24" customHeight="1">
      <x:c r="A27" s="2" t="str">
        <x:v>2026-10-05_Night</x:v>
      </x:c>
      <x:c r="B27" s="6" t="str">
        <x:v>ナイト</x:v>
      </x:c>
      <x:c r="C27" s="6" t="n">
        <x:v>538000</x:v>
      </x:c>
      <x:c r="D27" s="6" t="n">
        <x:v>1434000</x:v>
      </x:c>
      <x:c r="E27" s="6" t="n">
        <x:f>C27-D27</x:f>
        <x:v>-896000</x:v>
      </x:c>
      <x:c r="F27" s="6" t="n">
        <x:f>F26+E27</x:f>
        <x:v>-19425000</x:v>
      </x:c>
      <x:c r="G27" s="6" t="n">
        <x:v>538000</x:v>
      </x:c>
      <x:c r="H27" s="6" t="n">
        <x:v>1434000</x:v>
      </x:c>
      <x:c r="I27" s="6" t="n">
        <x:v>159</x:v>
      </x:c>
      <x:c r="J27" s="6" t="n">
        <x:v>0</x:v>
      </x:c>
      <x:c r="K27" s="6" t="n">
        <x:v>0</x:v>
      </x:c>
      <x:c r="L27" s="6" t="n">
        <x:v>10</x:v>
      </x:c>
      <x:c r="M27" s="11" t="n">
        <x:v>0.7972435897435898</x:v>
      </x:c>
      <x:c r="N27" s="6" t="n">
        <x:v>988000</x:v>
      </x:c>
    </x:row>
    <x:row r="28" ht="24" customHeight="1">
      <x:c r="A28" s="2" t="str">
        <x:v>2026-10-06_Day</x:v>
      </x:c>
      <x:c r="B28" s="6" t="str">
        <x:v>デイ</x:v>
      </x:c>
      <x:c r="C28" s="6" t="n">
        <x:v>622000</x:v>
      </x:c>
      <x:c r="D28" s="6" t="n">
        <x:v>1098000</x:v>
      </x:c>
      <x:c r="E28" s="6" t="n">
        <x:f>C28-D28</x:f>
        <x:v>-476000</x:v>
      </x:c>
      <x:c r="F28" s="6" t="n">
        <x:f>F27+E28</x:f>
        <x:v>-19901000</x:v>
      </x:c>
      <x:c r="G28" s="6" t="n">
        <x:v>622000</x:v>
      </x:c>
      <x:c r="H28" s="6" t="n">
        <x:v>1098000</x:v>
      </x:c>
      <x:c r="I28" s="6" t="n">
        <x:v>134</x:v>
      </x:c>
      <x:c r="J28" s="6" t="n">
        <x:v>0</x:v>
      </x:c>
      <x:c r="K28" s="6" t="n">
        <x:v>0</x:v>
      </x:c>
      <x:c r="L28" s="6" t="n">
        <x:v>10</x:v>
      </x:c>
      <x:c r="M28" s="11" t="n">
        <x:v>0.7605555555555555</x:v>
      </x:c>
      <x:c r="N28" s="6" t="n">
        <x:v>509000</x:v>
      </x:c>
    </x:row>
    <x:row r="29" ht="24" customHeight="1">
      <x:c r="A29" s="2" t="str">
        <x:v>2026-10-06_Night</x:v>
      </x:c>
      <x:c r="B29" s="6" t="str">
        <x:v>ナイト</x:v>
      </x:c>
      <x:c r="C29" s="6" t="n">
        <x:v>250000</x:v>
      </x:c>
      <x:c r="D29" s="6" t="n">
        <x:v>902000</x:v>
      </x:c>
      <x:c r="E29" s="6" t="n">
        <x:f>C29-D29</x:f>
        <x:v>-652000</x:v>
      </x:c>
      <x:c r="F29" s="6" t="n">
        <x:f>F28+E29</x:f>
        <x:v>-20553000</x:v>
      </x:c>
      <x:c r="G29" s="6" t="n">
        <x:v>250000</x:v>
      </x:c>
      <x:c r="H29" s="6" t="n">
        <x:v>902000</x:v>
      </x:c>
      <x:c r="I29" s="6" t="n">
        <x:v>137</x:v>
      </x:c>
      <x:c r="J29" s="6" t="n">
        <x:v>0</x:v>
      </x:c>
      <x:c r="K29" s="6" t="n">
        <x:v>0</x:v>
      </x:c>
      <x:c r="L29" s="6" t="n">
        <x:v>10</x:v>
      </x:c>
      <x:c r="M29" s="11" t="n">
        <x:v>0.7528632478632479</x:v>
      </x:c>
      <x:c r="N29" s="6" t="n">
        <x:v>690000</x:v>
      </x:c>
    </x:row>
    <x:row r="30" ht="24" customHeight="1">
      <x:c r="A30" s="2" t="str">
        <x:v>2026-10-07_Day</x:v>
      </x:c>
      <x:c r="B30" s="6" t="str">
        <x:v>デイ</x:v>
      </x:c>
      <x:c r="C30" s="6" t="n">
        <x:v>331000</x:v>
      </x:c>
      <x:c r="D30" s="6" t="n">
        <x:v>1047000</x:v>
      </x:c>
      <x:c r="E30" s="6" t="n">
        <x:f>C30-D30</x:f>
        <x:v>-716000</x:v>
      </x:c>
      <x:c r="F30" s="6" t="n">
        <x:f>F29+E30</x:f>
        <x:v>-21269000</x:v>
      </x:c>
      <x:c r="G30" s="6" t="n">
        <x:v>331000</x:v>
      </x:c>
      <x:c r="H30" s="6" t="n">
        <x:v>1047000</x:v>
      </x:c>
      <x:c r="I30" s="6" t="n">
        <x:v>115</x:v>
      </x:c>
      <x:c r="J30" s="6" t="n">
        <x:v>0</x:v>
      </x:c>
      <x:c r="K30" s="6" t="n">
        <x:v>0</x:v>
      </x:c>
      <x:c r="L30" s="6" t="n">
        <x:v>10</x:v>
      </x:c>
      <x:c r="M30" s="11" t="n">
        <x:v>0.8301984126984127</x:v>
      </x:c>
      <x:c r="N30" s="6" t="n">
        <x:v>722000</x:v>
      </x:c>
    </x:row>
    <x:row r="31" ht="24" customHeight="1">
      <x:c r="A31" s="2" t="str">
        <x:v>2026-10-07_Night</x:v>
      </x:c>
      <x:c r="B31" s="6" t="str">
        <x:v>ナイト</x:v>
      </x:c>
      <x:c r="C31" s="6" t="n">
        <x:v>422000</x:v>
      </x:c>
      <x:c r="D31" s="6" t="n">
        <x:v>1369000</x:v>
      </x:c>
      <x:c r="E31" s="6" t="n">
        <x:f>C31-D31</x:f>
        <x:v>-947000</x:v>
      </x:c>
      <x:c r="F31" s="6" t="n">
        <x:f>F30+E31</x:f>
        <x:v>-22216000</x:v>
      </x:c>
      <x:c r="G31" s="6" t="n">
        <x:v>422000</x:v>
      </x:c>
      <x:c r="H31" s="6" t="n">
        <x:v>1369000</x:v>
      </x:c>
      <x:c r="I31" s="6" t="n">
        <x:v>173</x:v>
      </x:c>
      <x:c r="J31" s="6" t="n">
        <x:v>0</x:v>
      </x:c>
      <x:c r="K31" s="6" t="n">
        <x:v>0</x:v>
      </x:c>
      <x:c r="L31" s="6" t="n">
        <x:v>10</x:v>
      </x:c>
      <x:c r="M31" s="11" t="n">
        <x:v>0.8233974358974359</x:v>
      </x:c>
      <x:c r="N31" s="6" t="n">
        <x:v>954000</x:v>
      </x:c>
    </x:row>
    <x:row r="32" ht="24" customHeight="1">
      <x:c r="A32" s="2" t="str">
        <x:v>2026-10-08_Day</x:v>
      </x:c>
      <x:c r="B32" s="6" t="str">
        <x:v>デイ</x:v>
      </x:c>
      <x:c r="C32" s="6" t="n">
        <x:v>1217000</x:v>
      </x:c>
      <x:c r="D32" s="6" t="n">
        <x:v>1356000</x:v>
      </x:c>
      <x:c r="E32" s="6" t="n">
        <x:f>C32-D32</x:f>
        <x:v>-139000</x:v>
      </x:c>
      <x:c r="F32" s="6" t="n">
        <x:f>F31+E32</x:f>
        <x:v>-22355000</x:v>
      </x:c>
      <x:c r="G32" s="6" t="n">
        <x:v>1217000</x:v>
      </x:c>
      <x:c r="H32" s="6" t="n">
        <x:v>1356000</x:v>
      </x:c>
      <x:c r="I32" s="6" t="n">
        <x:v>140</x:v>
      </x:c>
      <x:c r="J32" s="6" t="n">
        <x:v>0</x:v>
      </x:c>
      <x:c r="K32" s="6" t="n">
        <x:v>0</x:v>
      </x:c>
      <x:c r="L32" s="6" t="n">
        <x:v>10</x:v>
      </x:c>
      <x:c r="M32" s="11" t="n">
        <x:v>0.8410714285714286</x:v>
      </x:c>
      <x:c r="N32" s="6" t="n">
        <x:v>690000</x:v>
      </x:c>
    </x:row>
    <x:row r="33" ht="24" customHeight="1">
      <x:c r="A33" s="2" t="str">
        <x:v>2026-10-08_Night</x:v>
      </x:c>
      <x:c r="B33" s="6" t="str">
        <x:v>ナイト</x:v>
      </x:c>
      <x:c r="C33" s="6" t="n">
        <x:v>1685000</x:v>
      </x:c>
      <x:c r="D33" s="6" t="n">
        <x:v>2873000</x:v>
      </x:c>
      <x:c r="E33" s="6" t="n">
        <x:f>C33-D33</x:f>
        <x:v>-1188000</x:v>
      </x:c>
      <x:c r="F33" s="6" t="n">
        <x:f>F32+E33</x:f>
        <x:v>-23543000</x:v>
      </x:c>
      <x:c r="G33" s="6" t="n">
        <x:v>1685000</x:v>
      </x:c>
      <x:c r="H33" s="6" t="n">
        <x:v>2873000</x:v>
      </x:c>
      <x:c r="I33" s="6" t="n">
        <x:v>219</x:v>
      </x:c>
      <x:c r="J33" s="6" t="n">
        <x:v>0</x:v>
      </x:c>
      <x:c r="K33" s="6" t="n">
        <x:v>0</x:v>
      </x:c>
      <x:c r="L33" s="6" t="n">
        <x:v>10</x:v>
      </x:c>
      <x:c r="M33" s="11" t="n">
        <x:v>0.8191452991452991</x:v>
      </x:c>
      <x:c r="N33" s="6" t="n">
        <x:v>1346000</x:v>
      </x:c>
    </x:row>
    <x:row r="34" ht="24" customHeight="1">
      <x:c r="A34" s="2" t="str">
        <x:v>2026-10-09_Day</x:v>
      </x:c>
      <x:c r="B34" s="6" t="str">
        <x:v>デイ</x:v>
      </x:c>
      <x:c r="C34" s="6" t="n">
        <x:v>1060000</x:v>
      </x:c>
      <x:c r="D34" s="6" t="n">
        <x:v>1810000</x:v>
      </x:c>
      <x:c r="E34" s="6" t="n">
        <x:f>C34-D34</x:f>
        <x:v>-750000</x:v>
      </x:c>
      <x:c r="F34" s="6" t="n">
        <x:f>F33+E34</x:f>
        <x:v>-24293000</x:v>
      </x:c>
      <x:c r="G34" s="6" t="n">
        <x:v>1060000</x:v>
      </x:c>
      <x:c r="H34" s="6" t="n">
        <x:v>1810000</x:v>
      </x:c>
      <x:c r="I34" s="6" t="n">
        <x:v>143</x:v>
      </x:c>
      <x:c r="J34" s="6" t="n">
        <x:v>0</x:v>
      </x:c>
      <x:c r="K34" s="6" t="n">
        <x:v>0</x:v>
      </x:c>
      <x:c r="L34" s="6" t="n">
        <x:v>10</x:v>
      </x:c>
      <x:c r="M34" s="11" t="n">
        <x:v>0.8224603174603174</x:v>
      </x:c>
      <x:c r="N34" s="6" t="n">
        <x:v>930000</x:v>
      </x:c>
    </x:row>
    <x:row r="35" ht="24" customHeight="1">
      <x:c r="A35" s="2" t="str">
        <x:v>2026-10-09_Night</x:v>
      </x:c>
      <x:c r="B35" s="6" t="str">
        <x:v>ナイト</x:v>
      </x:c>
      <x:c r="C35" s="6" t="n">
        <x:v>185000</x:v>
      </x:c>
      <x:c r="D35" s="6" t="n">
        <x:v>1338000</x:v>
      </x:c>
      <x:c r="E35" s="6" t="n">
        <x:f>C35-D35</x:f>
        <x:v>-1153000</x:v>
      </x:c>
      <x:c r="F35" s="6" t="n">
        <x:f>F34+E35</x:f>
        <x:v>-25446000</x:v>
      </x:c>
      <x:c r="G35" s="6" t="n">
        <x:v>185000</x:v>
      </x:c>
      <x:c r="H35" s="6" t="n">
        <x:v>1338000</x:v>
      </x:c>
      <x:c r="I35" s="6" t="n">
        <x:v>139</x:v>
      </x:c>
      <x:c r="J35" s="6" t="n">
        <x:v>0</x:v>
      </x:c>
      <x:c r="K35" s="6" t="n">
        <x:v>0</x:v>
      </x:c>
      <x:c r="L35" s="6" t="n">
        <x:v>10</x:v>
      </x:c>
      <x:c r="M35" s="11" t="n">
        <x:v>0.7960042735042735</x:v>
      </x:c>
      <x:c r="N35" s="6" t="n">
        <x:v>1204000</x:v>
      </x:c>
    </x:row>
    <x:row r="36" ht="24" customHeight="1">
      <x:c r="A36" s="2" t="str">
        <x:v>2026-10-12_Day</x:v>
      </x:c>
      <x:c r="B36" s="6" t="str">
        <x:v>デイ</x:v>
      </x:c>
      <x:c r="C36" s="6" t="n">
        <x:v>301000</x:v>
      </x:c>
      <x:c r="D36" s="6" t="n">
        <x:v>750000</x:v>
      </x:c>
      <x:c r="E36" s="6" t="n">
        <x:f>C36-D36</x:f>
        <x:v>-449000</x:v>
      </x:c>
      <x:c r="F36" s="6" t="n">
        <x:f>F35+E36</x:f>
        <x:v>-25895000</x:v>
      </x:c>
      <x:c r="G36" s="6" t="n">
        <x:v>301000</x:v>
      </x:c>
      <x:c r="H36" s="6" t="n">
        <x:v>750000</x:v>
      </x:c>
      <x:c r="I36" s="6" t="n">
        <x:v>81</x:v>
      </x:c>
      <x:c r="J36" s="6" t="n">
        <x:v>0</x:v>
      </x:c>
      <x:c r="K36" s="6" t="n">
        <x:v>0</x:v>
      </x:c>
      <x:c r="L36" s="6" t="n">
        <x:v>10</x:v>
      </x:c>
      <x:c r="M36" s="11" t="n">
        <x:v>0.7374603174603175</x:v>
      </x:c>
      <x:c r="N36" s="6" t="n">
        <x:v>455000</x:v>
      </x:c>
    </x:row>
    <x:row r="37" ht="24" customHeight="1">
      <x:c r="A37" s="2" t="str">
        <x:v>2026-10-12_Night</x:v>
      </x:c>
      <x:c r="B37" s="6" t="str">
        <x:v>ナイト</x:v>
      </x:c>
      <x:c r="C37" s="6" t="n">
        <x:v>306000</x:v>
      </x:c>
      <x:c r="D37" s="6" t="n">
        <x:v>773000</x:v>
      </x:c>
      <x:c r="E37" s="6" t="n">
        <x:f>C37-D37</x:f>
        <x:v>-467000</x:v>
      </x:c>
      <x:c r="F37" s="6" t="n">
        <x:f>F36+E37</x:f>
        <x:v>-26362000</x:v>
      </x:c>
      <x:c r="G37" s="6" t="n">
        <x:v>306000</x:v>
      </x:c>
      <x:c r="H37" s="6" t="n">
        <x:v>773000</x:v>
      </x:c>
      <x:c r="I37" s="6" t="n">
        <x:v>99</x:v>
      </x:c>
      <x:c r="J37" s="6" t="n">
        <x:v>0</x:v>
      </x:c>
      <x:c r="K37" s="6" t="n">
        <x:v>0</x:v>
      </x:c>
      <x:c r="L37" s="6" t="n">
        <x:v>10</x:v>
      </x:c>
      <x:c r="M37" s="11" t="n">
        <x:v>0.6703418803418804</x:v>
      </x:c>
      <x:c r="N37" s="6" t="n">
        <x:v>508000</x:v>
      </x:c>
    </x:row>
    <x:row r="38" ht="24" customHeight="1">
      <x:c r="A38" s="2" t="str">
        <x:v>2026-10-13_Day</x:v>
      </x:c>
      <x:c r="B38" s="6" t="str">
        <x:v>デイ</x:v>
      </x:c>
      <x:c r="C38" s="6" t="n">
        <x:v>1103000</x:v>
      </x:c>
      <x:c r="D38" s="6" t="n">
        <x:v>2338000</x:v>
      </x:c>
      <x:c r="E38" s="6" t="n">
        <x:f>C38-D38</x:f>
        <x:v>-1235000</x:v>
      </x:c>
      <x:c r="F38" s="6" t="n">
        <x:f>F37+E38</x:f>
        <x:v>-27597000</x:v>
      </x:c>
      <x:c r="G38" s="6" t="n">
        <x:v>1103000</x:v>
      </x:c>
      <x:c r="H38" s="6" t="n">
        <x:v>2338000</x:v>
      </x:c>
      <x:c r="I38" s="6" t="n">
        <x:v>170</x:v>
      </x:c>
      <x:c r="J38" s="6" t="n">
        <x:v>0</x:v>
      </x:c>
      <x:c r="K38" s="6" t="n">
        <x:v>0</x:v>
      </x:c>
      <x:c r="L38" s="6" t="n">
        <x:v>10</x:v>
      </x:c>
      <x:c r="M38" s="11" t="n">
        <x:v>0.8336507936507936</x:v>
      </x:c>
      <x:c r="N38" s="6" t="n">
        <x:v>1368000</x:v>
      </x:c>
    </x:row>
    <x:row r="39" ht="24" customHeight="1">
      <x:c r="A39" s="2" t="str">
        <x:v>2026-10-13_Night</x:v>
      </x:c>
      <x:c r="B39" s="6" t="str">
        <x:v>ナイト</x:v>
      </x:c>
      <x:c r="C39" s="6" t="n">
        <x:v>451000</x:v>
      </x:c>
      <x:c r="D39" s="6" t="n">
        <x:v>1041000</x:v>
      </x:c>
      <x:c r="E39" s="6" t="n">
        <x:f>C39-D39</x:f>
        <x:v>-590000</x:v>
      </x:c>
      <x:c r="F39" s="6" t="n">
        <x:f>F38+E39</x:f>
        <x:v>-28187000</x:v>
      </x:c>
      <x:c r="G39" s="6" t="n">
        <x:v>451000</x:v>
      </x:c>
      <x:c r="H39" s="6" t="n">
        <x:v>1041000</x:v>
      </x:c>
      <x:c r="I39" s="6" t="n">
        <x:v>145</x:v>
      </x:c>
      <x:c r="J39" s="6" t="n">
        <x:v>0</x:v>
      </x:c>
      <x:c r="K39" s="6" t="n">
        <x:v>0</x:v>
      </x:c>
      <x:c r="L39" s="6" t="n">
        <x:v>10</x:v>
      </x:c>
      <x:c r="M39" s="11" t="n">
        <x:v>0.7370726495726496</x:v>
      </x:c>
      <x:c r="N39" s="6" t="n">
        <x:v>663000</x:v>
      </x:c>
    </x:row>
    <x:row r="40" ht="24" customHeight="1">
      <x:c r="A40" s="2" t="str">
        <x:v>2026-10-14_Day</x:v>
      </x:c>
      <x:c r="B40" s="6" t="str">
        <x:v>デイ</x:v>
      </x:c>
      <x:c r="C40" s="6" t="n">
        <x:v>984000</x:v>
      </x:c>
      <x:c r="D40" s="6" t="n">
        <x:v>1774000</x:v>
      </x:c>
      <x:c r="E40" s="6" t="n">
        <x:f>C40-D40</x:f>
        <x:v>-790000</x:v>
      </x:c>
      <x:c r="F40" s="6" t="n">
        <x:f>F39+E40</x:f>
        <x:v>-28977000</x:v>
      </x:c>
      <x:c r="G40" s="6" t="n">
        <x:v>984000</x:v>
      </x:c>
      <x:c r="H40" s="6" t="n">
        <x:v>1774000</x:v>
      </x:c>
      <x:c r="I40" s="6" t="n">
        <x:v>156</x:v>
      </x:c>
      <x:c r="J40" s="6" t="n">
        <x:v>0</x:v>
      </x:c>
      <x:c r="K40" s="6" t="n">
        <x:v>0</x:v>
      </x:c>
      <x:c r="L40" s="6" t="n">
        <x:v>10</x:v>
      </x:c>
      <x:c r="M40" s="11" t="n">
        <x:v>0.8177777777777778</x:v>
      </x:c>
      <x:c r="N40" s="6" t="n">
        <x:v>1045000</x:v>
      </x:c>
    </x:row>
    <x:row r="41" ht="24" customHeight="1">
      <x:c r="A41" s="2" t="str">
        <x:v>2026-10-14_Night</x:v>
      </x:c>
      <x:c r="B41" s="6" t="str">
        <x:v>ナイト</x:v>
      </x:c>
      <x:c r="C41" s="6" t="n">
        <x:v>1349000</x:v>
      </x:c>
      <x:c r="D41" s="6" t="n">
        <x:v>2175000</x:v>
      </x:c>
      <x:c r="E41" s="6" t="n">
        <x:f>C41-D41</x:f>
        <x:v>-826000</x:v>
      </x:c>
      <x:c r="F41" s="6" t="n">
        <x:f>F40+E41</x:f>
        <x:v>-29803000</x:v>
      </x:c>
      <x:c r="G41" s="6" t="n">
        <x:v>1349000</x:v>
      </x:c>
      <x:c r="H41" s="6" t="n">
        <x:v>2175000</x:v>
      </x:c>
      <x:c r="I41" s="6" t="n">
        <x:v>199</x:v>
      </x:c>
      <x:c r="J41" s="6" t="n">
        <x:v>0</x:v>
      </x:c>
      <x:c r="K41" s="6" t="n">
        <x:v>0</x:v>
      </x:c>
      <x:c r="L41" s="6" t="n">
        <x:v>10</x:v>
      </x:c>
      <x:c r="M41" s="11" t="n">
        <x:v>0.824957264957265</x:v>
      </x:c>
      <x:c r="N41" s="6" t="n">
        <x:v>949000</x:v>
      </x:c>
    </x:row>
    <x:row r="42" ht="24" customHeight="1">
      <x:c r="A42" s="2" t="str">
        <x:v>2026-10-15_Day</x:v>
      </x:c>
      <x:c r="B42" s="6" t="str">
        <x:v>デイ</x:v>
      </x:c>
      <x:c r="C42" s="6" t="n">
        <x:v>2225000</x:v>
      </x:c>
      <x:c r="D42" s="6" t="n">
        <x:v>4166000</x:v>
      </x:c>
      <x:c r="E42" s="6" t="n">
        <x:f>C42-D42</x:f>
        <x:v>-1941000</x:v>
      </x:c>
      <x:c r="F42" s="6" t="n">
        <x:f>F41+E42</x:f>
        <x:v>-31744000</x:v>
      </x:c>
      <x:c r="G42" s="6" t="n">
        <x:v>2225000</x:v>
      </x:c>
      <x:c r="H42" s="6" t="n">
        <x:v>4166000</x:v>
      </x:c>
      <x:c r="I42" s="6" t="n">
        <x:v>229</x:v>
      </x:c>
      <x:c r="J42" s="6" t="n">
        <x:v>0</x:v>
      </x:c>
      <x:c r="K42" s="6" t="n">
        <x:v>0</x:v>
      </x:c>
      <x:c r="L42" s="6" t="n">
        <x:v>10</x:v>
      </x:c>
      <x:c r="M42" s="11" t="n">
        <x:v>0.8208333333333333</x:v>
      </x:c>
      <x:c r="N42" s="6" t="n">
        <x:v>2022000</x:v>
      </x:c>
    </x:row>
    <x:row r="43" ht="24" customHeight="1">
      <x:c r="A43" s="2" t="str">
        <x:v>2026-10-15_Night</x:v>
      </x:c>
      <x:c r="B43" s="6" t="str">
        <x:v>ナイト</x:v>
      </x:c>
      <x:c r="C43" s="6" t="n">
        <x:v>1978000</x:v>
      </x:c>
      <x:c r="D43" s="6" t="n">
        <x:v>3921000</x:v>
      </x:c>
      <x:c r="E43" s="6" t="n">
        <x:f>C43-D43</x:f>
        <x:v>-1943000</x:v>
      </x:c>
      <x:c r="F43" s="6" t="n">
        <x:f>F42+E43</x:f>
        <x:v>-33687000</x:v>
      </x:c>
      <x:c r="G43" s="6" t="n">
        <x:v>1978000</x:v>
      </x:c>
      <x:c r="H43" s="6" t="n">
        <x:v>3921000</x:v>
      </x:c>
      <x:c r="I43" s="6" t="n">
        <x:v>269</x:v>
      </x:c>
      <x:c r="J43" s="6" t="n">
        <x:v>0</x:v>
      </x:c>
      <x:c r="K43" s="6" t="n">
        <x:v>0</x:v>
      </x:c>
      <x:c r="L43" s="6" t="n">
        <x:v>10</x:v>
      </x:c>
      <x:c r="M43" s="11" t="n">
        <x:v>0.7787393162393162</x:v>
      </x:c>
      <x:c r="N43" s="6" t="n">
        <x:v>2113000</x:v>
      </x:c>
    </x:row>
    <x:row r="44" ht="24" customHeight="1">
      <x:c r="A44" s="2" t="str">
        <x:v>2026-10-16_Day</x:v>
      </x:c>
      <x:c r="B44" s="6" t="str">
        <x:v>デイ</x:v>
      </x:c>
      <x:c r="C44" s="6" t="n">
        <x:v>1575000</x:v>
      </x:c>
      <x:c r="D44" s="6" t="n">
        <x:v>3013000</x:v>
      </x:c>
      <x:c r="E44" s="6" t="n">
        <x:f>C44-D44</x:f>
        <x:v>-1438000</x:v>
      </x:c>
      <x:c r="F44" s="6" t="n">
        <x:f>F43+E44</x:f>
        <x:v>-35125000</x:v>
      </x:c>
      <x:c r="G44" s="6" t="n">
        <x:v>1575000</x:v>
      </x:c>
      <x:c r="H44" s="6" t="n">
        <x:v>3013000</x:v>
      </x:c>
      <x:c r="I44" s="6" t="n">
        <x:v>180</x:v>
      </x:c>
      <x:c r="J44" s="6" t="n">
        <x:v>0</x:v>
      </x:c>
      <x:c r="K44" s="6" t="n">
        <x:v>0</x:v>
      </x:c>
      <x:c r="L44" s="6" t="n">
        <x:v>10</x:v>
      </x:c>
      <x:c r="M44" s="11" t="n">
        <x:v>0.8389682539682539</x:v>
      </x:c>
      <x:c r="N44" s="6" t="n">
        <x:v>1454000</x:v>
      </x:c>
    </x:row>
    <x:row r="45" ht="24" customHeight="1">
      <x:c r="A45" s="2" t="str">
        <x:v>2026-10-16_Night</x:v>
      </x:c>
      <x:c r="B45" s="6" t="str">
        <x:v>ナイト</x:v>
      </x:c>
      <x:c r="C45" s="6" t="n">
        <x:v>1778000</x:v>
      </x:c>
      <x:c r="D45" s="6" t="n">
        <x:v>3902000</x:v>
      </x:c>
      <x:c r="E45" s="6" t="n">
        <x:f>C45-D45</x:f>
        <x:v>-2124000</x:v>
      </x:c>
      <x:c r="F45" s="6" t="n">
        <x:f>F44+E45</x:f>
        <x:v>-37249000</x:v>
      </x:c>
      <x:c r="G45" s="6" t="n">
        <x:v>1778000</x:v>
      </x:c>
      <x:c r="H45" s="6" t="n">
        <x:v>3902000</x:v>
      </x:c>
      <x:c r="I45" s="6" t="n">
        <x:v>276</x:v>
      </x:c>
      <x:c r="J45" s="6" t="n">
        <x:v>0</x:v>
      </x:c>
      <x:c r="K45" s="6" t="n">
        <x:v>0</x:v>
      </x:c>
      <x:c r="L45" s="6" t="n">
        <x:v>10</x:v>
      </x:c>
      <x:c r="M45" s="11" t="n">
        <x:v>0.778931623931624</x:v>
      </x:c>
      <x:c r="N45" s="6" t="n">
        <x:v>2131000</x:v>
      </x:c>
    </x:row>
    <x:row r="46" ht="24" customHeight="1">
      <x:c r="A46" s="2" t="str">
        <x:v>2026-10-19_Day</x:v>
      </x:c>
      <x:c r="B46" s="6" t="str">
        <x:v>デイ</x:v>
      </x:c>
      <x:c r="C46" s="6" t="n">
        <x:v>1523000</x:v>
      </x:c>
      <x:c r="D46" s="6" t="n">
        <x:v>3765000</x:v>
      </x:c>
      <x:c r="E46" s="6" t="n">
        <x:f>C46-D46</x:f>
        <x:v>-2242000</x:v>
      </x:c>
      <x:c r="F46" s="6" t="n">
        <x:f>F45+E46</x:f>
        <x:v>-39491000</x:v>
      </x:c>
      <x:c r="G46" s="6" t="n">
        <x:v>1523000</x:v>
      </x:c>
      <x:c r="H46" s="6" t="n">
        <x:v>3765000</x:v>
      </x:c>
      <x:c r="I46" s="6" t="n">
        <x:v>202</x:v>
      </x:c>
      <x:c r="J46" s="6" t="n">
        <x:v>0</x:v>
      </x:c>
      <x:c r="K46" s="6" t="n">
        <x:v>0</x:v>
      </x:c>
      <x:c r="L46" s="6" t="n">
        <x:v>10</x:v>
      </x:c>
      <x:c r="M46" s="11" t="n">
        <x:v>0.8062301587301587</x:v>
      </x:c>
      <x:c r="N46" s="6" t="n">
        <x:v>2262000</x:v>
      </x:c>
    </x:row>
    <x:row r="47" ht="24" customHeight="1">
      <x:c r="A47" s="2" t="str">
        <x:v>2026-10-19_Night</x:v>
      </x:c>
      <x:c r="B47" s="6" t="str">
        <x:v>ナイト</x:v>
      </x:c>
      <x:c r="C47" s="6" t="n">
        <x:v>910000</x:v>
      </x:c>
      <x:c r="D47" s="6" t="n">
        <x:v>2593000</x:v>
      </x:c>
      <x:c r="E47" s="6" t="n">
        <x:f>C47-D47</x:f>
        <x:v>-1683000</x:v>
      </x:c>
      <x:c r="F47" s="6" t="n">
        <x:f>F46+E47</x:f>
        <x:v>-41174000</x:v>
      </x:c>
      <x:c r="G47" s="6" t="n">
        <x:v>910000</x:v>
      </x:c>
      <x:c r="H47" s="6" t="n">
        <x:v>2593000</x:v>
      </x:c>
      <x:c r="I47" s="6" t="n">
        <x:v>222</x:v>
      </x:c>
      <x:c r="J47" s="6" t="n">
        <x:v>0</x:v>
      </x:c>
      <x:c r="K47" s="6" t="n">
        <x:v>0</x:v>
      </x:c>
      <x:c r="L47" s="6" t="n">
        <x:v>10</x:v>
      </x:c>
      <x:c r="M47" s="11" t="n">
        <x:v>0.7818162393162393</x:v>
      </x:c>
      <x:c r="N47" s="6" t="n">
        <x:v>1763000</x:v>
      </x:c>
    </x:row>
    <x:row r="48" ht="24" customHeight="1">
      <x:c r="A48" s="2" t="str">
        <x:v>2026-10-20_Day</x:v>
      </x:c>
      <x:c r="B48" s="6" t="str">
        <x:v>デイ</x:v>
      </x:c>
      <x:c r="C48" s="6" t="n">
        <x:v>1578000</x:v>
      </x:c>
      <x:c r="D48" s="6" t="n">
        <x:v>3347000</x:v>
      </x:c>
      <x:c r="E48" s="6" t="n">
        <x:f>C48-D48</x:f>
        <x:v>-1769000</x:v>
      </x:c>
      <x:c r="F48" s="6" t="n">
        <x:f>F47+E48</x:f>
        <x:v>-42943000</x:v>
      </x:c>
      <x:c r="G48" s="6" t="n">
        <x:v>1578000</x:v>
      </x:c>
      <x:c r="H48" s="6" t="n">
        <x:v>3347000</x:v>
      </x:c>
      <x:c r="I48" s="6" t="n">
        <x:v>201</x:v>
      </x:c>
      <x:c r="J48" s="6" t="n">
        <x:v>0</x:v>
      </x:c>
      <x:c r="K48" s="6" t="n">
        <x:v>0</x:v>
      </x:c>
      <x:c r="L48" s="6" t="n">
        <x:v>10</x:v>
      </x:c>
      <x:c r="M48" s="11" t="n">
        <x:v>0.8326984126984127</x:v>
      </x:c>
      <x:c r="N48" s="6" t="n">
        <x:v>1823000</x:v>
      </x:c>
    </x:row>
    <x:row r="49" ht="24" customHeight="1">
      <x:c r="A49" s="2" t="str">
        <x:v>2026-10-20_Night</x:v>
      </x:c>
      <x:c r="B49" s="6" t="str">
        <x:v>ナイト</x:v>
      </x:c>
      <x:c r="C49" s="6" t="n">
        <x:v>2029000</x:v>
      </x:c>
      <x:c r="D49" s="6" t="n">
        <x:v>3097000</x:v>
      </x:c>
      <x:c r="E49" s="6" t="n">
        <x:f>C49-D49</x:f>
        <x:v>-1068000</x:v>
      </x:c>
      <x:c r="F49" s="6" t="n">
        <x:f>F48+E49</x:f>
        <x:v>-44011000</x:v>
      </x:c>
      <x:c r="G49" s="6" t="n">
        <x:v>2029000</x:v>
      </x:c>
      <x:c r="H49" s="6" t="n">
        <x:v>3097000</x:v>
      </x:c>
      <x:c r="I49" s="6" t="n">
        <x:v>235</x:v>
      </x:c>
      <x:c r="J49" s="6" t="n">
        <x:v>0</x:v>
      </x:c>
      <x:c r="K49" s="6" t="n">
        <x:v>0</x:v>
      </x:c>
      <x:c r="L49" s="6" t="n">
        <x:v>10</x:v>
      </x:c>
      <x:c r="M49" s="11" t="n">
        <x:v>0.7124145299145299</x:v>
      </x:c>
      <x:c r="N49" s="6" t="n">
        <x:v>1410000</x:v>
      </x:c>
    </x:row>
    <x:row r="50" ht="24" customHeight="1">
      <x:c r="A50" s="2" t="str">
        <x:v>2026-10-21_Day</x:v>
      </x:c>
      <x:c r="B50" s="6" t="str">
        <x:v>デイ</x:v>
      </x:c>
      <x:c r="C50" s="6" t="n">
        <x:v>1439000</x:v>
      </x:c>
      <x:c r="D50" s="6" t="n">
        <x:v>2353000</x:v>
      </x:c>
      <x:c r="E50" s="6" t="n">
        <x:f>C50-D50</x:f>
        <x:v>-914000</x:v>
      </x:c>
      <x:c r="F50" s="6" t="n">
        <x:f>F49+E50</x:f>
        <x:v>-44925000</x:v>
      </x:c>
      <x:c r="G50" s="6" t="n">
        <x:v>1439000</x:v>
      </x:c>
      <x:c r="H50" s="6" t="n">
        <x:v>2353000</x:v>
      </x:c>
      <x:c r="I50" s="6" t="n">
        <x:v>189</x:v>
      </x:c>
      <x:c r="J50" s="6" t="n">
        <x:v>0</x:v>
      </x:c>
      <x:c r="K50" s="6" t="n">
        <x:v>0</x:v>
      </x:c>
      <x:c r="L50" s="6" t="n">
        <x:v>10</x:v>
      </x:c>
      <x:c r="M50" s="11" t="n">
        <x:v>0.8121825396825397</x:v>
      </x:c>
      <x:c r="N50" s="6" t="n">
        <x:v>1131000</x:v>
      </x:c>
    </x:row>
    <x:row r="51" ht="24" customHeight="1">
      <x:c r="A51" s="2" t="str">
        <x:v>2026-10-21_Night</x:v>
      </x:c>
      <x:c r="B51" s="6" t="str">
        <x:v>ナイト</x:v>
      </x:c>
      <x:c r="C51" s="6" t="n">
        <x:v>1249000</x:v>
      </x:c>
      <x:c r="D51" s="6" t="n">
        <x:v>2455000</x:v>
      </x:c>
      <x:c r="E51" s="6" t="n">
        <x:f>C51-D51</x:f>
        <x:v>-1206000</x:v>
      </x:c>
      <x:c r="F51" s="6" t="n">
        <x:f>F50+E51</x:f>
        <x:v>-46131000</x:v>
      </x:c>
      <x:c r="G51" s="6" t="n">
        <x:v>1249000</x:v>
      </x:c>
      <x:c r="H51" s="6" t="n">
        <x:v>2455000</x:v>
      </x:c>
      <x:c r="I51" s="6" t="n">
        <x:v>197</x:v>
      </x:c>
      <x:c r="J51" s="6" t="n">
        <x:v>0</x:v>
      </x:c>
      <x:c r="K51" s="6" t="n">
        <x:v>0</x:v>
      </x:c>
      <x:c r="L51" s="6" t="n">
        <x:v>10</x:v>
      </x:c>
      <x:c r="M51" s="11" t="n">
        <x:v>0.7912606837606838</x:v>
      </x:c>
      <x:c r="N51" s="6" t="n">
        <x:v>1388000</x:v>
      </x:c>
    </x:row>
    <x:row r="52" ht="24" customHeight="1">
      <x:c r="A52" s="2" t="str">
        <x:v>2026-10-22_Day</x:v>
      </x:c>
      <x:c r="B52" s="6" t="str">
        <x:v>デイ</x:v>
      </x:c>
      <x:c r="C52" s="6" t="n">
        <x:v>1471000</x:v>
      </x:c>
      <x:c r="D52" s="6" t="n">
        <x:v>2738000</x:v>
      </x:c>
      <x:c r="E52" s="6" t="n">
        <x:f>C52-D52</x:f>
        <x:v>-1267000</x:v>
      </x:c>
      <x:c r="F52" s="6" t="n">
        <x:f>F51+E52</x:f>
        <x:v>-47398000</x:v>
      </x:c>
      <x:c r="G52" s="6" t="n">
        <x:v>1471000</x:v>
      </x:c>
      <x:c r="H52" s="6" t="n">
        <x:v>2738000</x:v>
      </x:c>
      <x:c r="I52" s="6" t="n">
        <x:v>193</x:v>
      </x:c>
      <x:c r="J52" s="6" t="n">
        <x:v>0</x:v>
      </x:c>
      <x:c r="K52" s="6" t="n">
        <x:v>0</x:v>
      </x:c>
      <x:c r="L52" s="6" t="n">
        <x:v>10</x:v>
      </x:c>
      <x:c r="M52" s="11" t="n">
        <x:v>0.7733730158730159</x:v>
      </x:c>
      <x:c r="N52" s="6" t="n">
        <x:v>1467000</x:v>
      </x:c>
    </x:row>
    <x:row r="53" ht="24" customHeight="1">
      <x:c r="A53" s="2" t="str">
        <x:v>2026-10-22_Night</x:v>
      </x:c>
      <x:c r="B53" s="6" t="str">
        <x:v>ナイト</x:v>
      </x:c>
      <x:c r="C53" s="6" t="n">
        <x:v>2045000</x:v>
      </x:c>
      <x:c r="D53" s="6" t="n">
        <x:v>2774000</x:v>
      </x:c>
      <x:c r="E53" s="6" t="n">
        <x:f>C53-D53</x:f>
        <x:v>-729000</x:v>
      </x:c>
      <x:c r="F53" s="6" t="n">
        <x:f>F52+E53</x:f>
        <x:v>-48127000</x:v>
      </x:c>
      <x:c r="G53" s="6" t="n">
        <x:v>2045000</x:v>
      </x:c>
      <x:c r="H53" s="6" t="n">
        <x:v>2774000</x:v>
      </x:c>
      <x:c r="I53" s="6" t="n">
        <x:v>241</x:v>
      </x:c>
      <x:c r="J53" s="6" t="n">
        <x:v>0</x:v>
      </x:c>
      <x:c r="K53" s="6" t="n">
        <x:v>0</x:v>
      </x:c>
      <x:c r="L53" s="6" t="n">
        <x:v>10</x:v>
      </x:c>
      <x:c r="M53" s="11" t="n">
        <x:v>0.8002136752136753</x:v>
      </x:c>
      <x:c r="N53" s="6" t="n">
        <x:v>894000</x:v>
      </x:c>
    </x:row>
    <x:row r="54" ht="24" customHeight="1">
      <x:c r="A54" s="2" t="str">
        <x:v>2026-10-23_Day</x:v>
      </x:c>
      <x:c r="B54" s="6" t="str">
        <x:v>デイ</x:v>
      </x:c>
      <x:c r="C54" s="6" t="n">
        <x:v>3351000</x:v>
      </x:c>
      <x:c r="D54" s="6" t="n">
        <x:v>6648000</x:v>
      </x:c>
      <x:c r="E54" s="6" t="n">
        <x:f>C54-D54</x:f>
        <x:v>-3297000</x:v>
      </x:c>
      <x:c r="F54" s="6" t="n">
        <x:f>F53+E54</x:f>
        <x:v>-51424000</x:v>
      </x:c>
      <x:c r="G54" s="6" t="n">
        <x:v>3351000</x:v>
      </x:c>
      <x:c r="H54" s="6" t="n">
        <x:v>6648000</x:v>
      </x:c>
      <x:c r="I54" s="6" t="n">
        <x:v>300</x:v>
      </x:c>
      <x:c r="J54" s="6" t="n">
        <x:v>0</x:v>
      </x:c>
      <x:c r="K54" s="6" t="n">
        <x:v>0</x:v>
      </x:c>
      <x:c r="L54" s="6" t="n">
        <x:v>10</x:v>
      </x:c>
      <x:c r="M54" s="11" t="n">
        <x:v>0.8098015873015874</x:v>
      </x:c>
      <x:c r="N54" s="6" t="n">
        <x:v>3328000</x:v>
      </x:c>
    </x:row>
    <x:row r="55" ht="24" customHeight="1">
      <x:c r="A55" s="2" t="str">
        <x:v>2026-10-23_Night</x:v>
      </x:c>
      <x:c r="B55" s="6" t="str">
        <x:v>ナイト</x:v>
      </x:c>
      <x:c r="C55" s="6" t="n">
        <x:v>1059000</x:v>
      </x:c>
      <x:c r="D55" s="6" t="n">
        <x:v>2990000</x:v>
      </x:c>
      <x:c r="E55" s="6" t="n">
        <x:f>C55-D55</x:f>
        <x:v>-1931000</x:v>
      </x:c>
      <x:c r="F55" s="6" t="n">
        <x:f>F54+E55</x:f>
        <x:v>-53355000</x:v>
      </x:c>
      <x:c r="G55" s="6" t="n">
        <x:v>1059000</x:v>
      </x:c>
      <x:c r="H55" s="6" t="n">
        <x:v>2990000</x:v>
      </x:c>
      <x:c r="I55" s="6" t="n">
        <x:v>248</x:v>
      </x:c>
      <x:c r="J55" s="6" t="n">
        <x:v>0</x:v>
      </x:c>
      <x:c r="K55" s="6" t="n">
        <x:v>0</x:v>
      </x:c>
      <x:c r="L55" s="6" t="n">
        <x:v>10</x:v>
      </x:c>
      <x:c r="M55" s="11" t="n">
        <x:v>0.7958119658119658</x:v>
      </x:c>
      <x:c r="N55" s="6" t="n">
        <x:v>2019000</x:v>
      </x:c>
    </x:row>
    <x:row r="56" ht="24" customHeight="1">
      <x:c r="A56" s="2" t="str">
        <x:v>2026-10-26_Day</x:v>
      </x:c>
      <x:c r="B56" s="6" t="str">
        <x:v>デイ</x:v>
      </x:c>
      <x:c r="C56" s="6" t="n">
        <x:v>1565000</x:v>
      </x:c>
      <x:c r="D56" s="6" t="n">
        <x:v>4715000</x:v>
      </x:c>
      <x:c r="E56" s="6" t="n">
        <x:f>C56-D56</x:f>
        <x:v>-3150000</x:v>
      </x:c>
      <x:c r="F56" s="6" t="n">
        <x:f>F55+E56</x:f>
        <x:v>-56505000</x:v>
      </x:c>
      <x:c r="G56" s="6" t="n">
        <x:v>1565000</x:v>
      </x:c>
      <x:c r="H56" s="6" t="n">
        <x:v>4715000</x:v>
      </x:c>
      <x:c r="I56" s="6" t="n">
        <x:v>221</x:v>
      </x:c>
      <x:c r="J56" s="6" t="n">
        <x:v>0</x:v>
      </x:c>
      <x:c r="K56" s="6" t="n">
        <x:v>0</x:v>
      </x:c>
      <x:c r="L56" s="6" t="n">
        <x:v>10</x:v>
      </x:c>
      <x:c r="M56" s="11" t="n">
        <x:v>0.787063492063492</x:v>
      </x:c>
      <x:c r="N56" s="6" t="n">
        <x:v>3169000</x:v>
      </x:c>
    </x:row>
    <x:row r="57" ht="24" customHeight="1">
      <x:c r="A57" s="15" t="str">
        <x:v>累計／平均／最大</x:v>
      </x:c>
      <x:c r="B57" s="16"/>
      <x:c r="C57" s="16" t="n">
        <x:f>SUM(C6:C56)</x:f>
        <x:v>55300000</x:v>
      </x:c>
      <x:c r="D57" s="16" t="n">
        <x:f>SUM(D6:D56)</x:f>
        <x:v>111805000</x:v>
      </x:c>
      <x:c r="E57" s="16" t="n">
        <x:f>C57-D57</x:f>
        <x:v>-56505000</x:v>
      </x:c>
      <x:c r="F57" s="16" t="n">
        <x:f>F56</x:f>
        <x:v>-56505000</x:v>
      </x:c>
      <x:c r="G57" s="16" t="n">
        <x:f>SUM(G6:G56)</x:f>
        <x:v>55300000</x:v>
      </x:c>
      <x:c r="H57" s="16" t="n">
        <x:f>SUM(H6:H56)</x:f>
        <x:v>111805000</x:v>
      </x:c>
      <x:c r="I57" s="16" t="n">
        <x:f>SUM(I6:I56)</x:f>
        <x:v>8882</x:v>
      </x:c>
      <x:c r="J57" s="16" t="n">
        <x:f>SUM(J6:J56)</x:f>
        <x:v>0</x:v>
      </x:c>
      <x:c r="K57" s="16" t="n">
        <x:f>SUM(K6:K56)</x:f>
        <x:v>0</x:v>
      </x:c>
      <x:c r="L57" s="16" t="n">
        <x:f>MAX(L6:L56)</x:f>
        <x:v>10</x:v>
      </x:c>
      <x:c r="M57" s="17" t="n">
        <x:f>AVERAGE(M6:M56)</x:f>
        <x:v>0.7871957073427662</x:v>
      </x:c>
      <x:c r="N57" s="16" t="n">
        <x:f>MAX(N6:N56)</x:f>
        <x:v>3328000</x:v>
      </x:c>
    </x:row>
  </x:sheetData>
  <x:conditionalFormatting sqref="E6:F56">
    <x:cfRule type="cellIs" dxfId="22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cc846b00bd34838"/>
  </x:tableParts>
</x:worksheet>
</file>

<file path=xl/worksheets/sheet2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1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4" customHeight="1">
      <x:c r="A1" s="3" t="str">
        <x:v>日経 M16　各セッションの利益・損失・収支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A2" s="4" t="str">
        <x:v>2026/09/21〜10/26デイ・51完了場。日経mini／TOPIXmini各上限10枚・手数料0。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4" customHeight="1">
      <x:c r="A3" s="4" t="str">
        <x:v>300秒の時間加重平均を60秒前と比較。保有中も傾き比例で増減、利益追尾で返済。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4" customHeight="1">
      <x:c r="A4" s="4" t="str">
        <x:v>利益・損失＝FIFO返済配賦別。親＝初回から全返済まで。ラージ気配による模型で、mini実約定の検証ではありません。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42" customHeight="1">
      <x:c r="A5" s="10" t="str">
        <x:v>セッション</x:v>
      </x:c>
      <x:c r="B5" s="10" t="str">
        <x:v>区分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親利益（円）</x:v>
      </x:c>
      <x:c r="H5" s="10" t="str">
        <x:v>親損失（円）</x:v>
      </x:c>
      <x:c r="I5" s="10" t="str">
        <x:v>初回件数</x:v>
      </x:c>
      <x:c r="J5" s="10" t="str">
        <x:v>追加件数</x:v>
      </x:c>
      <x:c r="K5" s="10" t="str">
        <x:v>縮小件数</x:v>
      </x:c>
      <x:c r="L5" s="10" t="str">
        <x:v>最大保有枚数</x:v>
      </x:c>
      <x:c r="M5" s="10" t="str">
        <x:v>保有時間率</x:v>
      </x:c>
      <x:c r="N5" s="10" t="str">
        <x:v>時価最大DD（円）</x:v>
      </x:c>
    </x:row>
    <x:row r="6" ht="24" customHeight="1">
      <x:c r="A6" s="2" t="str">
        <x:v>2026-09-21_Day</x:v>
      </x:c>
      <x:c r="B6" s="6" t="str">
        <x:v>デイ</x:v>
      </x:c>
      <x:c r="C6" s="6" t="n">
        <x:v>336000</x:v>
      </x:c>
      <x:c r="D6" s="6" t="n">
        <x:v>897000</x:v>
      </x:c>
      <x:c r="E6" s="6" t="n">
        <x:f>C6-D6</x:f>
        <x:v>-561000</x:v>
      </x:c>
      <x:c r="F6" s="6" t="n">
        <x:f>E6</x:f>
        <x:v>-561000</x:v>
      </x:c>
      <x:c r="G6" s="6" t="n">
        <x:v>249000</x:v>
      </x:c>
      <x:c r="H6" s="6" t="n">
        <x:v>810000</x:v>
      </x:c>
      <x:c r="I6" s="6" t="n">
        <x:v>38</x:v>
      </x:c>
      <x:c r="J6" s="6" t="n">
        <x:v>66</x:v>
      </x:c>
      <x:c r="K6" s="6" t="n">
        <x:v>88</x:v>
      </x:c>
      <x:c r="L6" s="6" t="n">
        <x:v>10</x:v>
      </x:c>
      <x:c r="M6" s="11" t="n">
        <x:v>0.8629365079365079</x:v>
      </x:c>
      <x:c r="N6" s="6" t="n">
        <x:v>594000</x:v>
      </x:c>
    </x:row>
    <x:row r="7" ht="24" customHeight="1">
      <x:c r="A7" s="2" t="str">
        <x:v>2026-09-21_Night</x:v>
      </x:c>
      <x:c r="B7" s="6" t="str">
        <x:v>ナイト</x:v>
      </x:c>
      <x:c r="C7" s="6" t="n">
        <x:v>289000</x:v>
      </x:c>
      <x:c r="D7" s="6" t="n">
        <x:v>748000</x:v>
      </x:c>
      <x:c r="E7" s="6" t="n">
        <x:f>C7-D7</x:f>
        <x:v>-459000</x:v>
      </x:c>
      <x:c r="F7" s="6" t="n">
        <x:f>F6+E7</x:f>
        <x:v>-1020000</x:v>
      </x:c>
      <x:c r="G7" s="6" t="n">
        <x:v>176000</x:v>
      </x:c>
      <x:c r="H7" s="6" t="n">
        <x:v>635000</x:v>
      </x:c>
      <x:c r="I7" s="6" t="n">
        <x:v>41</x:v>
      </x:c>
      <x:c r="J7" s="6" t="n">
        <x:v>124</x:v>
      </x:c>
      <x:c r="K7" s="6" t="n">
        <x:v>150</x:v>
      </x:c>
      <x:c r="L7" s="6" t="n">
        <x:v>10</x:v>
      </x:c>
      <x:c r="M7" s="11" t="n">
        <x:v>0.8718589743589743</x:v>
      </x:c>
      <x:c r="N7" s="6" t="n">
        <x:v>513000</x:v>
      </x:c>
    </x:row>
    <x:row r="8" ht="24" customHeight="1">
      <x:c r="A8" s="2" t="str">
        <x:v>2026-09-22_Day</x:v>
      </x:c>
      <x:c r="B8" s="6" t="str">
        <x:v>デイ</x:v>
      </x:c>
      <x:c r="C8" s="6" t="n">
        <x:v>453000</x:v>
      </x:c>
      <x:c r="D8" s="6" t="n">
        <x:v>1428000</x:v>
      </x:c>
      <x:c r="E8" s="6" t="n">
        <x:f>C8-D8</x:f>
        <x:v>-975000</x:v>
      </x:c>
      <x:c r="F8" s="6" t="n">
        <x:f>F7+E8</x:f>
        <x:v>-1995000</x:v>
      </x:c>
      <x:c r="G8" s="6" t="n">
        <x:v>342000</x:v>
      </x:c>
      <x:c r="H8" s="6" t="n">
        <x:v>1317000</x:v>
      </x:c>
      <x:c r="I8" s="6" t="n">
        <x:v>55</x:v>
      </x:c>
      <x:c r="J8" s="6" t="n">
        <x:v>137</x:v>
      </x:c>
      <x:c r="K8" s="6" t="n">
        <x:v>173</x:v>
      </x:c>
      <x:c r="L8" s="6" t="n">
        <x:v>10</x:v>
      </x:c>
      <x:c r="M8" s="11" t="n">
        <x:v>0.8665873015873016</x:v>
      </x:c>
      <x:c r="N8" s="6" t="n">
        <x:v>1105000</x:v>
      </x:c>
    </x:row>
    <x:row r="9" ht="24" customHeight="1">
      <x:c r="A9" s="2" t="str">
        <x:v>2026-09-22_Night</x:v>
      </x:c>
      <x:c r="B9" s="6" t="str">
        <x:v>ナイト</x:v>
      </x:c>
      <x:c r="C9" s="6" t="n">
        <x:v>715000</x:v>
      </x:c>
      <x:c r="D9" s="6" t="n">
        <x:v>1891000</x:v>
      </x:c>
      <x:c r="E9" s="6" t="n">
        <x:f>C9-D9</x:f>
        <x:v>-1176000</x:v>
      </x:c>
      <x:c r="F9" s="6" t="n">
        <x:f>F8+E9</x:f>
        <x:v>-3171000</x:v>
      </x:c>
      <x:c r="G9" s="6" t="n">
        <x:v>548000</x:v>
      </x:c>
      <x:c r="H9" s="6" t="n">
        <x:v>1724000</x:v>
      </x:c>
      <x:c r="I9" s="6" t="n">
        <x:v>84</x:v>
      </x:c>
      <x:c r="J9" s="6" t="n">
        <x:v>179</x:v>
      </x:c>
      <x:c r="K9" s="6" t="n">
        <x:v>220</x:v>
      </x:c>
      <x:c r="L9" s="6" t="n">
        <x:v>10</x:v>
      </x:c>
      <x:c r="M9" s="11" t="n">
        <x:v>0.7252350427350427</x:v>
      </x:c>
      <x:c r="N9" s="6" t="n">
        <x:v>1302000</x:v>
      </x:c>
    </x:row>
    <x:row r="10" ht="24" customHeight="1">
      <x:c r="A10" s="2" t="str">
        <x:v>2026-09-23_Day</x:v>
      </x:c>
      <x:c r="B10" s="6" t="str">
        <x:v>デイ</x:v>
      </x:c>
      <x:c r="C10" s="6" t="n">
        <x:v>215000</x:v>
      </x:c>
      <x:c r="D10" s="6" t="n">
        <x:v>851000</x:v>
      </x:c>
      <x:c r="E10" s="6" t="n">
        <x:f>C10-D10</x:f>
        <x:v>-636000</x:v>
      </x:c>
      <x:c r="F10" s="6" t="n">
        <x:f>F9+E10</x:f>
        <x:v>-3807000</x:v>
      </x:c>
      <x:c r="G10" s="6" t="n">
        <x:v>162000</x:v>
      </x:c>
      <x:c r="H10" s="6" t="n">
        <x:v>798000</x:v>
      </x:c>
      <x:c r="I10" s="6" t="n">
        <x:v>28</x:v>
      </x:c>
      <x:c r="J10" s="6" t="n">
        <x:v>75</x:v>
      </x:c>
      <x:c r="K10" s="6" t="n">
        <x:v>93</x:v>
      </x:c>
      <x:c r="L10" s="6" t="n">
        <x:v>10</x:v>
      </x:c>
      <x:c r="M10" s="11" t="n">
        <x:v>0.8762698412698413</x:v>
      </x:c>
      <x:c r="N10" s="6" t="n">
        <x:v>675000</x:v>
      </x:c>
    </x:row>
    <x:row r="11" ht="24" customHeight="1">
      <x:c r="A11" s="2" t="str">
        <x:v>2026-09-23_Night</x:v>
      </x:c>
      <x:c r="B11" s="6" t="str">
        <x:v>ナイト</x:v>
      </x:c>
      <x:c r="C11" s="6" t="n">
        <x:v>410000</x:v>
      </x:c>
      <x:c r="D11" s="6" t="n">
        <x:v>1423000</x:v>
      </x:c>
      <x:c r="E11" s="6" t="n">
        <x:f>C11-D11</x:f>
        <x:v>-1013000</x:v>
      </x:c>
      <x:c r="F11" s="6" t="n">
        <x:f>F10+E11</x:f>
        <x:v>-4820000</x:v>
      </x:c>
      <x:c r="G11" s="6" t="n">
        <x:v>242000</x:v>
      </x:c>
      <x:c r="H11" s="6" t="n">
        <x:v>1255000</x:v>
      </x:c>
      <x:c r="I11" s="6" t="n">
        <x:v>51</x:v>
      </x:c>
      <x:c r="J11" s="6" t="n">
        <x:v>175</x:v>
      </x:c>
      <x:c r="K11" s="6" t="n">
        <x:v>190</x:v>
      </x:c>
      <x:c r="L11" s="6" t="n">
        <x:v>10</x:v>
      </x:c>
      <x:c r="M11" s="11" t="n">
        <x:v>0.8910683760683761</x:v>
      </x:c>
      <x:c r="N11" s="6" t="n">
        <x:v>1015000</x:v>
      </x:c>
    </x:row>
    <x:row r="12" ht="24" customHeight="1">
      <x:c r="A12" s="2" t="str">
        <x:v>2026-09-24_Day</x:v>
      </x:c>
      <x:c r="B12" s="6" t="str">
        <x:v>デイ</x:v>
      </x:c>
      <x:c r="C12" s="6" t="n">
        <x:v>1046000</x:v>
      </x:c>
      <x:c r="D12" s="6" t="n">
        <x:v>2442000</x:v>
      </x:c>
      <x:c r="E12" s="6" t="n">
        <x:f>C12-D12</x:f>
        <x:v>-1396000</x:v>
      </x:c>
      <x:c r="F12" s="6" t="n">
        <x:f>F11+E12</x:f>
        <x:v>-6216000</x:v>
      </x:c>
      <x:c r="G12" s="6" t="n">
        <x:v>867000</x:v>
      </x:c>
      <x:c r="H12" s="6" t="n">
        <x:v>2263000</x:v>
      </x:c>
      <x:c r="I12" s="6" t="n">
        <x:v>94</x:v>
      </x:c>
      <x:c r="J12" s="6" t="n">
        <x:v>226</x:v>
      </x:c>
      <x:c r="K12" s="6" t="n">
        <x:v>264</x:v>
      </x:c>
      <x:c r="L12" s="6" t="n">
        <x:v>10</x:v>
      </x:c>
      <x:c r="M12" s="11" t="n">
        <x:v>0.9111111111111111</x:v>
      </x:c>
      <x:c r="N12" s="6" t="n">
        <x:v>1524000</x:v>
      </x:c>
    </x:row>
    <x:row r="13" ht="24" customHeight="1">
      <x:c r="A13" s="2" t="str">
        <x:v>2026-09-24_Night</x:v>
      </x:c>
      <x:c r="B13" s="6" t="str">
        <x:v>ナイト</x:v>
      </x:c>
      <x:c r="C13" s="6" t="n">
        <x:v>1011000</x:v>
      </x:c>
      <x:c r="D13" s="6" t="n">
        <x:v>3509000</x:v>
      </x:c>
      <x:c r="E13" s="6" t="n">
        <x:f>C13-D13</x:f>
        <x:v>-2498000</x:v>
      </x:c>
      <x:c r="F13" s="6" t="n">
        <x:f>F12+E13</x:f>
        <x:v>-8714000</x:v>
      </x:c>
      <x:c r="G13" s="6" t="n">
        <x:v>780000</x:v>
      </x:c>
      <x:c r="H13" s="6" t="n">
        <x:v>3278000</x:v>
      </x:c>
      <x:c r="I13" s="6" t="n">
        <x:v>138</x:v>
      </x:c>
      <x:c r="J13" s="6" t="n">
        <x:v>302</x:v>
      </x:c>
      <x:c r="K13" s="6" t="n">
        <x:v>371</x:v>
      </x:c>
      <x:c r="L13" s="6" t="n">
        <x:v>10</x:v>
      </x:c>
      <x:c r="M13" s="11" t="n">
        <x:v>0.8772008547008547</x:v>
      </x:c>
      <x:c r="N13" s="6" t="n">
        <x:v>2598000</x:v>
      </x:c>
    </x:row>
    <x:row r="14" ht="24" customHeight="1">
      <x:c r="A14" s="2" t="str">
        <x:v>2026-09-25_Day</x:v>
      </x:c>
      <x:c r="B14" s="6" t="str">
        <x:v>デイ</x:v>
      </x:c>
      <x:c r="C14" s="6" t="n">
        <x:v>706000</x:v>
      </x:c>
      <x:c r="D14" s="6" t="n">
        <x:v>2116000</x:v>
      </x:c>
      <x:c r="E14" s="6" t="n">
        <x:f>C14-D14</x:f>
        <x:v>-1410000</x:v>
      </x:c>
      <x:c r="F14" s="6" t="n">
        <x:f>F13+E14</x:f>
        <x:v>-10124000</x:v>
      </x:c>
      <x:c r="G14" s="6" t="n">
        <x:v>550000</x:v>
      </x:c>
      <x:c r="H14" s="6" t="n">
        <x:v>1960000</x:v>
      </x:c>
      <x:c r="I14" s="6" t="n">
        <x:v>83</x:v>
      </x:c>
      <x:c r="J14" s="6" t="n">
        <x:v>219</x:v>
      </x:c>
      <x:c r="K14" s="6" t="n">
        <x:v>289</x:v>
      </x:c>
      <x:c r="L14" s="6" t="n">
        <x:v>10</x:v>
      </x:c>
      <x:c r="M14" s="11" t="n">
        <x:v>0.8966269841269842</x:v>
      </x:c>
      <x:c r="N14" s="6" t="n">
        <x:v>1467000</x:v>
      </x:c>
    </x:row>
    <x:row r="15" ht="24" customHeight="1">
      <x:c r="A15" s="2" t="str">
        <x:v>2026-09-25_Night</x:v>
      </x:c>
      <x:c r="B15" s="6" t="str">
        <x:v>ナイト</x:v>
      </x:c>
      <x:c r="C15" s="6" t="n">
        <x:v>936000</x:v>
      </x:c>
      <x:c r="D15" s="6" t="n">
        <x:v>1668000</x:v>
      </x:c>
      <x:c r="E15" s="6" t="n">
        <x:f>C15-D15</x:f>
        <x:v>-732000</x:v>
      </x:c>
      <x:c r="F15" s="6" t="n">
        <x:f>F14+E15</x:f>
        <x:v>-10856000</x:v>
      </x:c>
      <x:c r="G15" s="6" t="n">
        <x:v>765000</x:v>
      </x:c>
      <x:c r="H15" s="6" t="n">
        <x:v>1497000</x:v>
      </x:c>
      <x:c r="I15" s="6" t="n">
        <x:v>99</x:v>
      </x:c>
      <x:c r="J15" s="6" t="n">
        <x:v>187</x:v>
      </x:c>
      <x:c r="K15" s="6" t="n">
        <x:v>246</x:v>
      </x:c>
      <x:c r="L15" s="6" t="n">
        <x:v>10</x:v>
      </x:c>
      <x:c r="M15" s="11" t="n">
        <x:v>0.8803846153846154</x:v>
      </x:c>
      <x:c r="N15" s="6" t="n">
        <x:v>847000</x:v>
      </x:c>
    </x:row>
    <x:row r="16" ht="24" customHeight="1">
      <x:c r="A16" s="2" t="str">
        <x:v>2026-09-28_Day</x:v>
      </x:c>
      <x:c r="B16" s="6" t="str">
        <x:v>デイ</x:v>
      </x:c>
      <x:c r="C16" s="6" t="n">
        <x:v>1211000</x:v>
      </x:c>
      <x:c r="D16" s="6" t="n">
        <x:v>2387000</x:v>
      </x:c>
      <x:c r="E16" s="6" t="n">
        <x:f>C16-D16</x:f>
        <x:v>-1176000</x:v>
      </x:c>
      <x:c r="F16" s="6" t="n">
        <x:f>F15+E16</x:f>
        <x:v>-12032000</x:v>
      </x:c>
      <x:c r="G16" s="6" t="n">
        <x:v>1016000</x:v>
      </x:c>
      <x:c r="H16" s="6" t="n">
        <x:v>2192000</x:v>
      </x:c>
      <x:c r="I16" s="6" t="n">
        <x:v>103</x:v>
      </x:c>
      <x:c r="J16" s="6" t="n">
        <x:v>250</x:v>
      </x:c>
      <x:c r="K16" s="6" t="n">
        <x:v>292</x:v>
      </x:c>
      <x:c r="L16" s="6" t="n">
        <x:v>10</x:v>
      </x:c>
      <x:c r="M16" s="11" t="n">
        <x:v>0.9083333333333333</x:v>
      </x:c>
      <x:c r="N16" s="6" t="n">
        <x:v>1291000</x:v>
      </x:c>
    </x:row>
    <x:row r="17" ht="24" customHeight="1">
      <x:c r="A17" s="2" t="str">
        <x:v>2026-09-28_Night</x:v>
      </x:c>
      <x:c r="B17" s="6" t="str">
        <x:v>ナイト</x:v>
      </x:c>
      <x:c r="C17" s="6" t="n">
        <x:v>1153000</x:v>
      </x:c>
      <x:c r="D17" s="6" t="n">
        <x:v>3123000</x:v>
      </x:c>
      <x:c r="E17" s="6" t="n">
        <x:f>C17-D17</x:f>
        <x:v>-1970000</x:v>
      </x:c>
      <x:c r="F17" s="6" t="n">
        <x:f>F16+E17</x:f>
        <x:v>-14002000</x:v>
      </x:c>
      <x:c r="G17" s="6" t="n">
        <x:v>957000</x:v>
      </x:c>
      <x:c r="H17" s="6" t="n">
        <x:v>2927000</x:v>
      </x:c>
      <x:c r="I17" s="6" t="n">
        <x:v>122</x:v>
      </x:c>
      <x:c r="J17" s="6" t="n">
        <x:v>218</x:v>
      </x:c>
      <x:c r="K17" s="6" t="n">
        <x:v>263</x:v>
      </x:c>
      <x:c r="L17" s="6" t="n">
        <x:v>10</x:v>
      </x:c>
      <x:c r="M17" s="11" t="n">
        <x:v>0.8697649572649573</x:v>
      </x:c>
      <x:c r="N17" s="6" t="n">
        <x:v>1980000</x:v>
      </x:c>
    </x:row>
    <x:row r="18" ht="24" customHeight="1">
      <x:c r="A18" s="2" t="str">
        <x:v>2026-09-29_Day</x:v>
      </x:c>
      <x:c r="B18" s="6" t="str">
        <x:v>デイ</x:v>
      </x:c>
      <x:c r="C18" s="6" t="n">
        <x:v>1173000</x:v>
      </x:c>
      <x:c r="D18" s="6" t="n">
        <x:v>2969000</x:v>
      </x:c>
      <x:c r="E18" s="6" t="n">
        <x:f>C18-D18</x:f>
        <x:v>-1796000</x:v>
      </x:c>
      <x:c r="F18" s="6" t="n">
        <x:f>F17+E18</x:f>
        <x:v>-15798000</x:v>
      </x:c>
      <x:c r="G18" s="6" t="n">
        <x:v>976000</x:v>
      </x:c>
      <x:c r="H18" s="6" t="n">
        <x:v>2772000</x:v>
      </x:c>
      <x:c r="I18" s="6" t="n">
        <x:v>118</x:v>
      </x:c>
      <x:c r="J18" s="6" t="n">
        <x:v>230</x:v>
      </x:c>
      <x:c r="K18" s="6" t="n">
        <x:v>285</x:v>
      </x:c>
      <x:c r="L18" s="6" t="n">
        <x:v>10</x:v>
      </x:c>
      <x:c r="M18" s="11" t="n">
        <x:v>0.8865079365079365</x:v>
      </x:c>
      <x:c r="N18" s="6" t="n">
        <x:v>1863000</x:v>
      </x:c>
    </x:row>
    <x:row r="19" ht="24" customHeight="1">
      <x:c r="A19" s="2" t="str">
        <x:v>2026-09-29_Night</x:v>
      </x:c>
      <x:c r="B19" s="6" t="str">
        <x:v>ナイト</x:v>
      </x:c>
      <x:c r="C19" s="6" t="n">
        <x:v>820000</x:v>
      </x:c>
      <x:c r="D19" s="6" t="n">
        <x:v>1890000</x:v>
      </x:c>
      <x:c r="E19" s="6" t="n">
        <x:f>C19-D19</x:f>
        <x:v>-1070000</x:v>
      </x:c>
      <x:c r="F19" s="6" t="n">
        <x:f>F18+E19</x:f>
        <x:v>-16868000</x:v>
      </x:c>
      <x:c r="G19" s="6" t="n">
        <x:v>599000</x:v>
      </x:c>
      <x:c r="H19" s="6" t="n">
        <x:v>1669000</x:v>
      </x:c>
      <x:c r="I19" s="6" t="n">
        <x:v>94</x:v>
      </x:c>
      <x:c r="J19" s="6" t="n">
        <x:v>240</x:v>
      </x:c>
      <x:c r="K19" s="6" t="n">
        <x:v>288</x:v>
      </x:c>
      <x:c r="L19" s="6" t="n">
        <x:v>10</x:v>
      </x:c>
      <x:c r="M19" s="11" t="n">
        <x:v>0.860534188034188</x:v>
      </x:c>
      <x:c r="N19" s="6" t="n">
        <x:v>1092000</x:v>
      </x:c>
    </x:row>
    <x:row r="20" ht="24" customHeight="1">
      <x:c r="A20" s="2" t="str">
        <x:v>2026-09-30_Day</x:v>
      </x:c>
      <x:c r="B20" s="6" t="str">
        <x:v>デイ</x:v>
      </x:c>
      <x:c r="C20" s="6" t="n">
        <x:v>1248000</x:v>
      </x:c>
      <x:c r="D20" s="6" t="n">
        <x:v>2427000</x:v>
      </x:c>
      <x:c r="E20" s="6" t="n">
        <x:f>C20-D20</x:f>
        <x:v>-1179000</x:v>
      </x:c>
      <x:c r="F20" s="6" t="n">
        <x:f>F19+E20</x:f>
        <x:v>-18047000</x:v>
      </x:c>
      <x:c r="G20" s="6" t="n">
        <x:v>984000</x:v>
      </x:c>
      <x:c r="H20" s="6" t="n">
        <x:v>2163000</x:v>
      </x:c>
      <x:c r="I20" s="6" t="n">
        <x:v>103</x:v>
      </x:c>
      <x:c r="J20" s="6" t="n">
        <x:v>259</x:v>
      </x:c>
      <x:c r="K20" s="6" t="n">
        <x:v>317</x:v>
      </x:c>
      <x:c r="L20" s="6" t="n">
        <x:v>10</x:v>
      </x:c>
      <x:c r="M20" s="11" t="n">
        <x:v>0.8996428571428572</x:v>
      </x:c>
      <x:c r="N20" s="6" t="n">
        <x:v>1268000</x:v>
      </x:c>
    </x:row>
    <x:row r="21" ht="24" customHeight="1">
      <x:c r="A21" s="2" t="str">
        <x:v>2026-09-30_Night</x:v>
      </x:c>
      <x:c r="B21" s="6" t="str">
        <x:v>ナイト</x:v>
      </x:c>
      <x:c r="C21" s="6" t="n">
        <x:v>896000</x:v>
      </x:c>
      <x:c r="D21" s="6" t="n">
        <x:v>3257000</x:v>
      </x:c>
      <x:c r="E21" s="6" t="n">
        <x:f>C21-D21</x:f>
        <x:v>-2361000</x:v>
      </x:c>
      <x:c r="F21" s="6" t="n">
        <x:f>F20+E21</x:f>
        <x:v>-20408000</x:v>
      </x:c>
      <x:c r="G21" s="6" t="n">
        <x:v>610000</x:v>
      </x:c>
      <x:c r="H21" s="6" t="n">
        <x:v>2971000</x:v>
      </x:c>
      <x:c r="I21" s="6" t="n">
        <x:v>103</x:v>
      </x:c>
      <x:c r="J21" s="6" t="n">
        <x:v>298</x:v>
      </x:c>
      <x:c r="K21" s="6" t="n">
        <x:v>387</x:v>
      </x:c>
      <x:c r="L21" s="6" t="n">
        <x:v>10</x:v>
      </x:c>
      <x:c r="M21" s="11" t="n">
        <x:v>0.847991452991453</x:v>
      </x:c>
      <x:c r="N21" s="6" t="n">
        <x:v>2473000</x:v>
      </x:c>
    </x:row>
    <x:row r="22" ht="24" customHeight="1">
      <x:c r="A22" s="2" t="str">
        <x:v>2026-10-01_Day</x:v>
      </x:c>
      <x:c r="B22" s="6" t="str">
        <x:v>デイ</x:v>
      </x:c>
      <x:c r="C22" s="6" t="n">
        <x:v>1096000</x:v>
      </x:c>
      <x:c r="D22" s="6" t="n">
        <x:v>1910000</x:v>
      </x:c>
      <x:c r="E22" s="6" t="n">
        <x:f>C22-D22</x:f>
        <x:v>-814000</x:v>
      </x:c>
      <x:c r="F22" s="6" t="n">
        <x:f>F21+E22</x:f>
        <x:v>-21222000</x:v>
      </x:c>
      <x:c r="G22" s="6" t="n">
        <x:v>865000</x:v>
      </x:c>
      <x:c r="H22" s="6" t="n">
        <x:v>1679000</x:v>
      </x:c>
      <x:c r="I22" s="6" t="n">
        <x:v>71</x:v>
      </x:c>
      <x:c r="J22" s="6" t="n">
        <x:v>248</x:v>
      </x:c>
      <x:c r="K22" s="6" t="n">
        <x:v>291</x:v>
      </x:c>
      <x:c r="L22" s="6" t="n">
        <x:v>10</x:v>
      </x:c>
      <x:c r="M22" s="11" t="n">
        <x:v>0.9071031746031746</x:v>
      </x:c>
      <x:c r="N22" s="6" t="n">
        <x:v>922000</x:v>
      </x:c>
    </x:row>
    <x:row r="23" ht="24" customHeight="1">
      <x:c r="A23" s="2" t="str">
        <x:v>2026-10-01_Night</x:v>
      </x:c>
      <x:c r="B23" s="6" t="str">
        <x:v>ナイト</x:v>
      </x:c>
      <x:c r="C23" s="6" t="n">
        <x:v>1440000</x:v>
      </x:c>
      <x:c r="D23" s="6" t="n">
        <x:v>3426000</x:v>
      </x:c>
      <x:c r="E23" s="6" t="n">
        <x:f>C23-D23</x:f>
        <x:v>-1986000</x:v>
      </x:c>
      <x:c r="F23" s="6" t="n">
        <x:f>F22+E23</x:f>
        <x:v>-23208000</x:v>
      </x:c>
      <x:c r="G23" s="6" t="n">
        <x:v>959000</x:v>
      </x:c>
      <x:c r="H23" s="6" t="n">
        <x:v>2945000</x:v>
      </x:c>
      <x:c r="I23" s="6" t="n">
        <x:v>130</x:v>
      </x:c>
      <x:c r="J23" s="6" t="n">
        <x:v>404</x:v>
      </x:c>
      <x:c r="K23" s="6" t="n">
        <x:v>425</x:v>
      </x:c>
      <x:c r="L23" s="6" t="n">
        <x:v>10</x:v>
      </x:c>
      <x:c r="M23" s="11" t="n">
        <x:v>0.9153418803418804</x:v>
      </x:c>
      <x:c r="N23" s="6" t="n">
        <x:v>2064000</x:v>
      </x:c>
    </x:row>
    <x:row r="24" ht="24" customHeight="1">
      <x:c r="A24" s="2" t="str">
        <x:v>2026-10-02_Day</x:v>
      </x:c>
      <x:c r="B24" s="6" t="str">
        <x:v>デイ</x:v>
      </x:c>
      <x:c r="C24" s="6" t="n">
        <x:v>945000</x:v>
      </x:c>
      <x:c r="D24" s="6" t="n">
        <x:v>2396000</x:v>
      </x:c>
      <x:c r="E24" s="6" t="n">
        <x:f>C24-D24</x:f>
        <x:v>-1451000</x:v>
      </x:c>
      <x:c r="F24" s="6" t="n">
        <x:f>F23+E24</x:f>
        <x:v>-24659000</x:v>
      </x:c>
      <x:c r="G24" s="6" t="n">
        <x:v>749000</x:v>
      </x:c>
      <x:c r="H24" s="6" t="n">
        <x:v>2200000</x:v>
      </x:c>
      <x:c r="I24" s="6" t="n">
        <x:v>79</x:v>
      </x:c>
      <x:c r="J24" s="6" t="n">
        <x:v>224</x:v>
      </x:c>
      <x:c r="K24" s="6" t="n">
        <x:v>285</x:v>
      </x:c>
      <x:c r="L24" s="6" t="n">
        <x:v>10</x:v>
      </x:c>
      <x:c r="M24" s="11" t="n">
        <x:v>0.9229365079365079</x:v>
      </x:c>
      <x:c r="N24" s="6" t="n">
        <x:v>1778000</x:v>
      </x:c>
    </x:row>
    <x:row r="25" ht="24" customHeight="1">
      <x:c r="A25" s="2" t="str">
        <x:v>2026-10-02_Night</x:v>
      </x:c>
      <x:c r="B25" s="6" t="str">
        <x:v>ナイト</x:v>
      </x:c>
      <x:c r="C25" s="6" t="n">
        <x:v>1282000</x:v>
      </x:c>
      <x:c r="D25" s="6" t="n">
        <x:v>2563000</x:v>
      </x:c>
      <x:c r="E25" s="6" t="n">
        <x:f>C25-D25</x:f>
        <x:v>-1281000</x:v>
      </x:c>
      <x:c r="F25" s="6" t="n">
        <x:f>F24+E25</x:f>
        <x:v>-25940000</x:v>
      </x:c>
      <x:c r="G25" s="6" t="n">
        <x:v>975000</x:v>
      </x:c>
      <x:c r="H25" s="6" t="n">
        <x:v>2256000</x:v>
      </x:c>
      <x:c r="I25" s="6" t="n">
        <x:v>89</x:v>
      </x:c>
      <x:c r="J25" s="6" t="n">
        <x:v>295</x:v>
      </x:c>
      <x:c r="K25" s="6" t="n">
        <x:v>345</x:v>
      </x:c>
      <x:c r="L25" s="6" t="n">
        <x:v>10</x:v>
      </x:c>
      <x:c r="M25" s="11" t="n">
        <x:v>0.9155982905982906</x:v>
      </x:c>
      <x:c r="N25" s="6" t="n">
        <x:v>1465000</x:v>
      </x:c>
    </x:row>
    <x:row r="26" ht="24" customHeight="1">
      <x:c r="A26" s="2" t="str">
        <x:v>2026-10-05_Day</x:v>
      </x:c>
      <x:c r="B26" s="6" t="str">
        <x:v>デイ</x:v>
      </x:c>
      <x:c r="C26" s="6" t="n">
        <x:v>569000</x:v>
      </x:c>
      <x:c r="D26" s="6" t="n">
        <x:v>1803000</x:v>
      </x:c>
      <x:c r="E26" s="6" t="n">
        <x:f>C26-D26</x:f>
        <x:v>-1234000</x:v>
      </x:c>
      <x:c r="F26" s="6" t="n">
        <x:f>F25+E26</x:f>
        <x:v>-27174000</x:v>
      </x:c>
      <x:c r="G26" s="6" t="n">
        <x:v>341000</x:v>
      </x:c>
      <x:c r="H26" s="6" t="n">
        <x:v>1575000</x:v>
      </x:c>
      <x:c r="I26" s="6" t="n">
        <x:v>56</x:v>
      </x:c>
      <x:c r="J26" s="6" t="n">
        <x:v>256</x:v>
      </x:c>
      <x:c r="K26" s="6" t="n">
        <x:v>298</x:v>
      </x:c>
      <x:c r="L26" s="6" t="n">
        <x:v>10</x:v>
      </x:c>
      <x:c r="M26" s="11" t="n">
        <x:v>0.9342063492063492</x:v>
      </x:c>
      <x:c r="N26" s="6" t="n">
        <x:v>1298000</x:v>
      </x:c>
    </x:row>
    <x:row r="27" ht="24" customHeight="1">
      <x:c r="A27" s="2" t="str">
        <x:v>2026-10-05_Night</x:v>
      </x:c>
      <x:c r="B27" s="6" t="str">
        <x:v>ナイト</x:v>
      </x:c>
      <x:c r="C27" s="6" t="n">
        <x:v>669000</x:v>
      </x:c>
      <x:c r="D27" s="6" t="n">
        <x:v>1648000</x:v>
      </x:c>
      <x:c r="E27" s="6" t="n">
        <x:f>C27-D27</x:f>
        <x:v>-979000</x:v>
      </x:c>
      <x:c r="F27" s="6" t="n">
        <x:f>F26+E27</x:f>
        <x:v>-28153000</x:v>
      </x:c>
      <x:c r="G27" s="6" t="n">
        <x:v>459000</x:v>
      </x:c>
      <x:c r="H27" s="6" t="n">
        <x:v>1438000</x:v>
      </x:c>
      <x:c r="I27" s="6" t="n">
        <x:v>55</x:v>
      </x:c>
      <x:c r="J27" s="6" t="n">
        <x:v>212</x:v>
      </x:c>
      <x:c r="K27" s="6" t="n">
        <x:v>237</x:v>
      </x:c>
      <x:c r="L27" s="6" t="n">
        <x:v>10</x:v>
      </x:c>
      <x:c r="M27" s="11" t="n">
        <x:v>0.9375</x:v>
      </x:c>
      <x:c r="N27" s="6" t="n">
        <x:v>1050000</x:v>
      </x:c>
    </x:row>
    <x:row r="28" ht="24" customHeight="1">
      <x:c r="A28" s="2" t="str">
        <x:v>2026-10-06_Day</x:v>
      </x:c>
      <x:c r="B28" s="6" t="str">
        <x:v>デイ</x:v>
      </x:c>
      <x:c r="C28" s="6" t="n">
        <x:v>612000</x:v>
      </x:c>
      <x:c r="D28" s="6" t="n">
        <x:v>1338000</x:v>
      </x:c>
      <x:c r="E28" s="6" t="n">
        <x:f>C28-D28</x:f>
        <x:v>-726000</x:v>
      </x:c>
      <x:c r="F28" s="6" t="n">
        <x:f>F27+E28</x:f>
        <x:v>-28879000</x:v>
      </x:c>
      <x:c r="G28" s="6" t="n">
        <x:v>464000</x:v>
      </x:c>
      <x:c r="H28" s="6" t="n">
        <x:v>1190000</x:v>
      </x:c>
      <x:c r="I28" s="6" t="n">
        <x:v>50</x:v>
      </x:c>
      <x:c r="J28" s="6" t="n">
        <x:v>213</x:v>
      </x:c>
      <x:c r="K28" s="6" t="n">
        <x:v>223</x:v>
      </x:c>
      <x:c r="L28" s="6" t="n">
        <x:v>10</x:v>
      </x:c>
      <x:c r="M28" s="11" t="n">
        <x:v>0.8944047619047619</x:v>
      </x:c>
      <x:c r="N28" s="6" t="n">
        <x:v>748000</x:v>
      </x:c>
    </x:row>
    <x:row r="29" ht="24" customHeight="1">
      <x:c r="A29" s="2" t="str">
        <x:v>2026-10-06_Night</x:v>
      </x:c>
      <x:c r="B29" s="6" t="str">
        <x:v>ナイト</x:v>
      </x:c>
      <x:c r="C29" s="6" t="n">
        <x:v>324000</x:v>
      </x:c>
      <x:c r="D29" s="6" t="n">
        <x:v>1061000</x:v>
      </x:c>
      <x:c r="E29" s="6" t="n">
        <x:f>C29-D29</x:f>
        <x:v>-737000</x:v>
      </x:c>
      <x:c r="F29" s="6" t="n">
        <x:f>F28+E29</x:f>
        <x:v>-29616000</x:v>
      </x:c>
      <x:c r="G29" s="6" t="n">
        <x:v>189000</x:v>
      </x:c>
      <x:c r="H29" s="6" t="n">
        <x:v>926000</x:v>
      </x:c>
      <x:c r="I29" s="6" t="n">
        <x:v>43</x:v>
      </x:c>
      <x:c r="J29" s="6" t="n">
        <x:v>189</x:v>
      </x:c>
      <x:c r="K29" s="6" t="n">
        <x:v>214</x:v>
      </x:c>
      <x:c r="L29" s="6" t="n">
        <x:v>10</x:v>
      </x:c>
      <x:c r="M29" s="11" t="n">
        <x:v>0.8800641025641026</x:v>
      </x:c>
      <x:c r="N29" s="6" t="n">
        <x:v>738000</x:v>
      </x:c>
    </x:row>
    <x:row r="30" ht="24" customHeight="1">
      <x:c r="A30" s="2" t="str">
        <x:v>2026-10-07_Day</x:v>
      </x:c>
      <x:c r="B30" s="6" t="str">
        <x:v>デイ</x:v>
      </x:c>
      <x:c r="C30" s="6" t="n">
        <x:v>452000</x:v>
      </x:c>
      <x:c r="D30" s="6" t="n">
        <x:v>1117000</x:v>
      </x:c>
      <x:c r="E30" s="6" t="n">
        <x:f>C30-D30</x:f>
        <x:v>-665000</x:v>
      </x:c>
      <x:c r="F30" s="6" t="n">
        <x:f>F29+E30</x:f>
        <x:v>-30281000</x:v>
      </x:c>
      <x:c r="G30" s="6" t="n">
        <x:v>297000</x:v>
      </x:c>
      <x:c r="H30" s="6" t="n">
        <x:v>962000</x:v>
      </x:c>
      <x:c r="I30" s="6" t="n">
        <x:v>43</x:v>
      </x:c>
      <x:c r="J30" s="6" t="n">
        <x:v>204</x:v>
      </x:c>
      <x:c r="K30" s="6" t="n">
        <x:v>223</x:v>
      </x:c>
      <x:c r="L30" s="6" t="n">
        <x:v>10</x:v>
      </x:c>
      <x:c r="M30" s="11" t="n">
        <x:v>0.9231349206349206</x:v>
      </x:c>
      <x:c r="N30" s="6" t="n">
        <x:v>683000</x:v>
      </x:c>
    </x:row>
    <x:row r="31" ht="24" customHeight="1">
      <x:c r="A31" s="2" t="str">
        <x:v>2026-10-07_Night</x:v>
      </x:c>
      <x:c r="B31" s="6" t="str">
        <x:v>ナイト</x:v>
      </x:c>
      <x:c r="C31" s="6" t="n">
        <x:v>448000</x:v>
      </x:c>
      <x:c r="D31" s="6" t="n">
        <x:v>1824000</x:v>
      </x:c>
      <x:c r="E31" s="6" t="n">
        <x:f>C31-D31</x:f>
        <x:v>-1376000</x:v>
      </x:c>
      <x:c r="F31" s="6" t="n">
        <x:f>F30+E31</x:f>
        <x:v>-31657000</x:v>
      </x:c>
      <x:c r="G31" s="6" t="n">
        <x:v>250000</x:v>
      </x:c>
      <x:c r="H31" s="6" t="n">
        <x:v>1626000</x:v>
      </x:c>
      <x:c r="I31" s="6" t="n">
        <x:v>60</x:v>
      </x:c>
      <x:c r="J31" s="6" t="n">
        <x:v>300</x:v>
      </x:c>
      <x:c r="K31" s="6" t="n">
        <x:v>329</x:v>
      </x:c>
      <x:c r="L31" s="6" t="n">
        <x:v>10</x:v>
      </x:c>
      <x:c r="M31" s="11" t="n">
        <x:v>0.9475213675213675</x:v>
      </x:c>
      <x:c r="N31" s="6" t="n">
        <x:v>1379000</x:v>
      </x:c>
    </x:row>
    <x:row r="32" ht="24" customHeight="1">
      <x:c r="A32" s="2" t="str">
        <x:v>2026-10-08_Day</x:v>
      </x:c>
      <x:c r="B32" s="6" t="str">
        <x:v>デイ</x:v>
      </x:c>
      <x:c r="C32" s="6" t="n">
        <x:v>1303000</x:v>
      </x:c>
      <x:c r="D32" s="6" t="n">
        <x:v>2001000</x:v>
      </x:c>
      <x:c r="E32" s="6" t="n">
        <x:f>C32-D32</x:f>
        <x:v>-698000</x:v>
      </x:c>
      <x:c r="F32" s="6" t="n">
        <x:f>F31+E32</x:f>
        <x:v>-32355000</x:v>
      </x:c>
      <x:c r="G32" s="6" t="n">
        <x:v>1066000</x:v>
      </x:c>
      <x:c r="H32" s="6" t="n">
        <x:v>1764000</x:v>
      </x:c>
      <x:c r="I32" s="6" t="n">
        <x:v>81</x:v>
      </x:c>
      <x:c r="J32" s="6" t="n">
        <x:v>293</x:v>
      </x:c>
      <x:c r="K32" s="6" t="n">
        <x:v>308</x:v>
      </x:c>
      <x:c r="L32" s="6" t="n">
        <x:v>10</x:v>
      </x:c>
      <x:c r="M32" s="11" t="n">
        <x:v>0.9064285714285715</x:v>
      </x:c>
      <x:c r="N32" s="6" t="n">
        <x:v>1005000</x:v>
      </x:c>
    </x:row>
    <x:row r="33" ht="24" customHeight="1">
      <x:c r="A33" s="2" t="str">
        <x:v>2026-10-08_Night</x:v>
      </x:c>
      <x:c r="B33" s="6" t="str">
        <x:v>ナイト</x:v>
      </x:c>
      <x:c r="C33" s="6" t="n">
        <x:v>1448000</x:v>
      </x:c>
      <x:c r="D33" s="6" t="n">
        <x:v>3107000</x:v>
      </x:c>
      <x:c r="E33" s="6" t="n">
        <x:f>C33-D33</x:f>
        <x:v>-1659000</x:v>
      </x:c>
      <x:c r="F33" s="6" t="n">
        <x:f>F32+E33</x:f>
        <x:v>-34014000</x:v>
      </x:c>
      <x:c r="G33" s="6" t="n">
        <x:v>1115000</x:v>
      </x:c>
      <x:c r="H33" s="6" t="n">
        <x:v>2774000</x:v>
      </x:c>
      <x:c r="I33" s="6" t="n">
        <x:v>111</x:v>
      </x:c>
      <x:c r="J33" s="6" t="n">
        <x:v>308</x:v>
      </x:c>
      <x:c r="K33" s="6" t="n">
        <x:v>374</x:v>
      </x:c>
      <x:c r="L33" s="6" t="n">
        <x:v>10</x:v>
      </x:c>
      <x:c r="M33" s="11" t="n">
        <x:v>0.9067307692307692</x:v>
      </x:c>
      <x:c r="N33" s="6" t="n">
        <x:v>1704000</x:v>
      </x:c>
    </x:row>
    <x:row r="34" ht="24" customHeight="1">
      <x:c r="A34" s="2" t="str">
        <x:v>2026-10-09_Day</x:v>
      </x:c>
      <x:c r="B34" s="6" t="str">
        <x:v>デイ</x:v>
      </x:c>
      <x:c r="C34" s="6" t="n">
        <x:v>1074000</x:v>
      </x:c>
      <x:c r="D34" s="6" t="n">
        <x:v>2012000</x:v>
      </x:c>
      <x:c r="E34" s="6" t="n">
        <x:f>C34-D34</x:f>
        <x:v>-938000</x:v>
      </x:c>
      <x:c r="F34" s="6" t="n">
        <x:f>F33+E34</x:f>
        <x:v>-34952000</x:v>
      </x:c>
      <x:c r="G34" s="6" t="n">
        <x:v>891000</x:v>
      </x:c>
      <x:c r="H34" s="6" t="n">
        <x:v>1829000</x:v>
      </x:c>
      <x:c r="I34" s="6" t="n">
        <x:v>68</x:v>
      </x:c>
      <x:c r="J34" s="6" t="n">
        <x:v>237</x:v>
      </x:c>
      <x:c r="K34" s="6" t="n">
        <x:v>245</x:v>
      </x:c>
      <x:c r="L34" s="6" t="n">
        <x:v>10</x:v>
      </x:c>
      <x:c r="M34" s="11" t="n">
        <x:v>0.9064682539682539</x:v>
      </x:c>
      <x:c r="N34" s="6" t="n">
        <x:v>1148000</x:v>
      </x:c>
    </x:row>
    <x:row r="35" ht="24" customHeight="1">
      <x:c r="A35" s="2" t="str">
        <x:v>2026-10-09_Night</x:v>
      </x:c>
      <x:c r="B35" s="6" t="str">
        <x:v>ナイト</x:v>
      </x:c>
      <x:c r="C35" s="6" t="n">
        <x:v>257000</x:v>
      </x:c>
      <x:c r="D35" s="6" t="n">
        <x:v>1616000</x:v>
      </x:c>
      <x:c r="E35" s="6" t="n">
        <x:f>C35-D35</x:f>
        <x:v>-1359000</x:v>
      </x:c>
      <x:c r="F35" s="6" t="n">
        <x:f>F34+E35</x:f>
        <x:v>-36311000</x:v>
      </x:c>
      <x:c r="G35" s="6" t="n">
        <x:v>133000</x:v>
      </x:c>
      <x:c r="H35" s="6" t="n">
        <x:v>1492000</x:v>
      </x:c>
      <x:c r="I35" s="6" t="n">
        <x:v>56</x:v>
      </x:c>
      <x:c r="J35" s="6" t="n">
        <x:v>188</x:v>
      </x:c>
      <x:c r="K35" s="6" t="n">
        <x:v>222</x:v>
      </x:c>
      <x:c r="L35" s="6" t="n">
        <x:v>10</x:v>
      </x:c>
      <x:c r="M35" s="11" t="n">
        <x:v>0.8543589743589743</x:v>
      </x:c>
      <x:c r="N35" s="6" t="n">
        <x:v>1402000</x:v>
      </x:c>
    </x:row>
    <x:row r="36" ht="24" customHeight="1">
      <x:c r="A36" s="2" t="str">
        <x:v>2026-10-12_Day</x:v>
      </x:c>
      <x:c r="B36" s="6" t="str">
        <x:v>デイ</x:v>
      </x:c>
      <x:c r="C36" s="6" t="n">
        <x:v>347000</x:v>
      </x:c>
      <x:c r="D36" s="6" t="n">
        <x:v>801000</x:v>
      </x:c>
      <x:c r="E36" s="6" t="n">
        <x:f>C36-D36</x:f>
        <x:v>-454000</x:v>
      </x:c>
      <x:c r="F36" s="6" t="n">
        <x:f>F35+E36</x:f>
        <x:v>-36765000</x:v>
      </x:c>
      <x:c r="G36" s="6" t="n">
        <x:v>210000</x:v>
      </x:c>
      <x:c r="H36" s="6" t="n">
        <x:v>664000</x:v>
      </x:c>
      <x:c r="I36" s="6" t="n">
        <x:v>36</x:v>
      </x:c>
      <x:c r="J36" s="6" t="n">
        <x:v>121</x:v>
      </x:c>
      <x:c r="K36" s="6" t="n">
        <x:v>118</x:v>
      </x:c>
      <x:c r="L36" s="6" t="n">
        <x:v>10</x:v>
      </x:c>
      <x:c r="M36" s="11" t="n">
        <x:v>0.8941269841269841</x:v>
      </x:c>
      <x:c r="N36" s="6" t="n">
        <x:v>465000</x:v>
      </x:c>
    </x:row>
    <x:row r="37" ht="24" customHeight="1">
      <x:c r="A37" s="2" t="str">
        <x:v>2026-10-12_Night</x:v>
      </x:c>
      <x:c r="B37" s="6" t="str">
        <x:v>ナイト</x:v>
      </x:c>
      <x:c r="C37" s="6" t="n">
        <x:v>326000</x:v>
      </x:c>
      <x:c r="D37" s="6" t="n">
        <x:v>942000</x:v>
      </x:c>
      <x:c r="E37" s="6" t="n">
        <x:f>C37-D37</x:f>
        <x:v>-616000</x:v>
      </x:c>
      <x:c r="F37" s="6" t="n">
        <x:f>F36+E37</x:f>
        <x:v>-37381000</x:v>
      </x:c>
      <x:c r="G37" s="6" t="n">
        <x:v>248000</x:v>
      </x:c>
      <x:c r="H37" s="6" t="n">
        <x:v>864000</x:v>
      </x:c>
      <x:c r="I37" s="6" t="n">
        <x:v>39</x:v>
      </x:c>
      <x:c r="J37" s="6" t="n">
        <x:v>99</x:v>
      </x:c>
      <x:c r="K37" s="6" t="n">
        <x:v>142</x:v>
      </x:c>
      <x:c r="L37" s="6" t="n">
        <x:v>10</x:v>
      </x:c>
      <x:c r="M37" s="11" t="n">
        <x:v>0.8155982905982906</x:v>
      </x:c>
      <x:c r="N37" s="6" t="n">
        <x:v>628000</x:v>
      </x:c>
    </x:row>
    <x:row r="38" ht="24" customHeight="1">
      <x:c r="A38" s="2" t="str">
        <x:v>2026-10-13_Day</x:v>
      </x:c>
      <x:c r="B38" s="6" t="str">
        <x:v>デイ</x:v>
      </x:c>
      <x:c r="C38" s="6" t="n">
        <x:v>1160000</x:v>
      </x:c>
      <x:c r="D38" s="6" t="n">
        <x:v>2934000</x:v>
      </x:c>
      <x:c r="E38" s="6" t="n">
        <x:f>C38-D38</x:f>
        <x:v>-1774000</x:v>
      </x:c>
      <x:c r="F38" s="6" t="n">
        <x:f>F37+E38</x:f>
        <x:v>-39155000</x:v>
      </x:c>
      <x:c r="G38" s="6" t="n">
        <x:v>844000</x:v>
      </x:c>
      <x:c r="H38" s="6" t="n">
        <x:v>2618000</x:v>
      </x:c>
      <x:c r="I38" s="6" t="n">
        <x:v>90</x:v>
      </x:c>
      <x:c r="J38" s="6" t="n">
        <x:v>245</x:v>
      </x:c>
      <x:c r="K38" s="6" t="n">
        <x:v>279</x:v>
      </x:c>
      <x:c r="L38" s="6" t="n">
        <x:v>10</x:v>
      </x:c>
      <x:c r="M38" s="11" t="n">
        <x:v>0.8993650793650794</x:v>
      </x:c>
      <x:c r="N38" s="6" t="n">
        <x:v>1928000</x:v>
      </x:c>
    </x:row>
    <x:row r="39" ht="24" customHeight="1">
      <x:c r="A39" s="2" t="str">
        <x:v>2026-10-13_Night</x:v>
      </x:c>
      <x:c r="B39" s="6" t="str">
        <x:v>ナイト</x:v>
      </x:c>
      <x:c r="C39" s="6" t="n">
        <x:v>448000</x:v>
      </x:c>
      <x:c r="D39" s="6" t="n">
        <x:v>1110000</x:v>
      </x:c>
      <x:c r="E39" s="6" t="n">
        <x:f>C39-D39</x:f>
        <x:v>-662000</x:v>
      </x:c>
      <x:c r="F39" s="6" t="n">
        <x:f>F38+E39</x:f>
        <x:v>-39817000</x:v>
      </x:c>
      <x:c r="G39" s="6" t="n">
        <x:v>280000</x:v>
      </x:c>
      <x:c r="H39" s="6" t="n">
        <x:v>942000</x:v>
      </x:c>
      <x:c r="I39" s="6" t="n">
        <x:v>46</x:v>
      </x:c>
      <x:c r="J39" s="6" t="n">
        <x:v>201</x:v>
      </x:c>
      <x:c r="K39" s="6" t="n">
        <x:v>222</x:v>
      </x:c>
      <x:c r="L39" s="6" t="n">
        <x:v>10</x:v>
      </x:c>
      <x:c r="M39" s="11" t="n">
        <x:v>0.8574572649572649</x:v>
      </x:c>
      <x:c r="N39" s="6" t="n">
        <x:v>683000</x:v>
      </x:c>
    </x:row>
    <x:row r="40" ht="24" customHeight="1">
      <x:c r="A40" s="2" t="str">
        <x:v>2026-10-14_Day</x:v>
      </x:c>
      <x:c r="B40" s="6" t="str">
        <x:v>デイ</x:v>
      </x:c>
      <x:c r="C40" s="6" t="n">
        <x:v>892000</x:v>
      </x:c>
      <x:c r="D40" s="6" t="n">
        <x:v>2023000</x:v>
      </x:c>
      <x:c r="E40" s="6" t="n">
        <x:f>C40-D40</x:f>
        <x:v>-1131000</x:v>
      </x:c>
      <x:c r="F40" s="6" t="n">
        <x:f>F39+E40</x:f>
        <x:v>-40948000</x:v>
      </x:c>
      <x:c r="G40" s="6" t="n">
        <x:v>726000</x:v>
      </x:c>
      <x:c r="H40" s="6" t="n">
        <x:v>1857000</x:v>
      </x:c>
      <x:c r="I40" s="6" t="n">
        <x:v>72</x:v>
      </x:c>
      <x:c r="J40" s="6" t="n">
        <x:v>204</x:v>
      </x:c>
      <x:c r="K40" s="6" t="n">
        <x:v>249</x:v>
      </x:c>
      <x:c r="L40" s="6" t="n">
        <x:v>10</x:v>
      </x:c>
      <x:c r="M40" s="11" t="n">
        <x:v>0.923968253968254</x:v>
      </x:c>
      <x:c r="N40" s="6" t="n">
        <x:v>1460000</x:v>
      </x:c>
    </x:row>
    <x:row r="41" ht="24" customHeight="1">
      <x:c r="A41" s="2" t="str">
        <x:v>2026-10-14_Night</x:v>
      </x:c>
      <x:c r="B41" s="6" t="str">
        <x:v>ナイト</x:v>
      </x:c>
      <x:c r="C41" s="6" t="n">
        <x:v>1555000</x:v>
      </x:c>
      <x:c r="D41" s="6" t="n">
        <x:v>3158000</x:v>
      </x:c>
      <x:c r="E41" s="6" t="n">
        <x:f>C41-D41</x:f>
        <x:v>-1603000</x:v>
      </x:c>
      <x:c r="F41" s="6" t="n">
        <x:f>F40+E41</x:f>
        <x:v>-42551000</x:v>
      </x:c>
      <x:c r="G41" s="6" t="n">
        <x:v>1288000</x:v>
      </x:c>
      <x:c r="H41" s="6" t="n">
        <x:v>2891000</x:v>
      </x:c>
      <x:c r="I41" s="6" t="n">
        <x:v>102</x:v>
      </x:c>
      <x:c r="J41" s="6" t="n">
        <x:v>319</x:v>
      </x:c>
      <x:c r="K41" s="6" t="n">
        <x:v>376</x:v>
      </x:c>
      <x:c r="L41" s="6" t="n">
        <x:v>10</x:v>
      </x:c>
      <x:c r="M41" s="11" t="n">
        <x:v>0.9112820512820513</x:v>
      </x:c>
      <x:c r="N41" s="6" t="n">
        <x:v>1702000</x:v>
      </x:c>
    </x:row>
    <x:row r="42" ht="24" customHeight="1">
      <x:c r="A42" s="2" t="str">
        <x:v>2026-10-15_Day</x:v>
      </x:c>
      <x:c r="B42" s="6" t="str">
        <x:v>デイ</x:v>
      </x:c>
      <x:c r="C42" s="6" t="n">
        <x:v>2353000</x:v>
      </x:c>
      <x:c r="D42" s="6" t="n">
        <x:v>4537000</x:v>
      </x:c>
      <x:c r="E42" s="6" t="n">
        <x:f>C42-D42</x:f>
        <x:v>-2184000</x:v>
      </x:c>
      <x:c r="F42" s="6" t="n">
        <x:f>F41+E42</x:f>
        <x:v>-44735000</x:v>
      </x:c>
      <x:c r="G42" s="6" t="n">
        <x:v>2134000</x:v>
      </x:c>
      <x:c r="H42" s="6" t="n">
        <x:v>4318000</x:v>
      </x:c>
      <x:c r="I42" s="6" t="n">
        <x:v>179</x:v>
      </x:c>
      <x:c r="J42" s="6" t="n">
        <x:v>247</x:v>
      </x:c>
      <x:c r="K42" s="6" t="n">
        <x:v>338</x:v>
      </x:c>
      <x:c r="L42" s="6" t="n">
        <x:v>10</x:v>
      </x:c>
      <x:c r="M42" s="11" t="n">
        <x:v>0.8600396825396825</x:v>
      </x:c>
      <x:c r="N42" s="6" t="n">
        <x:v>2274000</x:v>
      </x:c>
    </x:row>
    <x:row r="43" ht="24" customHeight="1">
      <x:c r="A43" s="2" t="str">
        <x:v>2026-10-15_Night</x:v>
      </x:c>
      <x:c r="B43" s="6" t="str">
        <x:v>ナイト</x:v>
      </x:c>
      <x:c r="C43" s="6" t="n">
        <x:v>1974000</x:v>
      </x:c>
      <x:c r="D43" s="6" t="n">
        <x:v>4276000</x:v>
      </x:c>
      <x:c r="E43" s="6" t="n">
        <x:f>C43-D43</x:f>
        <x:v>-2302000</x:v>
      </x:c>
      <x:c r="F43" s="6" t="n">
        <x:f>F42+E43</x:f>
        <x:v>-47037000</x:v>
      </x:c>
      <x:c r="G43" s="6" t="n">
        <x:v>1668000</x:v>
      </x:c>
      <x:c r="H43" s="6" t="n">
        <x:v>3970000</x:v>
      </x:c>
      <x:c r="I43" s="6" t="n">
        <x:v>180</x:v>
      </x:c>
      <x:c r="J43" s="6" t="n">
        <x:v>310</x:v>
      </x:c>
      <x:c r="K43" s="6" t="n">
        <x:v>421</x:v>
      </x:c>
      <x:c r="L43" s="6" t="n">
        <x:v>10</x:v>
      </x:c>
      <x:c r="M43" s="11" t="n">
        <x:v>0.8331623931623932</x:v>
      </x:c>
      <x:c r="N43" s="6" t="n">
        <x:v>2342000</x:v>
      </x:c>
    </x:row>
    <x:row r="44" ht="24" customHeight="1">
      <x:c r="A44" s="2" t="str">
        <x:v>2026-10-16_Day</x:v>
      </x:c>
      <x:c r="B44" s="6" t="str">
        <x:v>デイ</x:v>
      </x:c>
      <x:c r="C44" s="6" t="n">
        <x:v>1648000</x:v>
      </x:c>
      <x:c r="D44" s="6" t="n">
        <x:v>3500000</x:v>
      </x:c>
      <x:c r="E44" s="6" t="n">
        <x:f>C44-D44</x:f>
        <x:v>-1852000</x:v>
      </x:c>
      <x:c r="F44" s="6" t="n">
        <x:f>F43+E44</x:f>
        <x:v>-48889000</x:v>
      </x:c>
      <x:c r="G44" s="6" t="n">
        <x:v>1356000</x:v>
      </x:c>
      <x:c r="H44" s="6" t="n">
        <x:v>3208000</x:v>
      </x:c>
      <x:c r="I44" s="6" t="n">
        <x:v>130</x:v>
      </x:c>
      <x:c r="J44" s="6" t="n">
        <x:v>277</x:v>
      </x:c>
      <x:c r="K44" s="6" t="n">
        <x:v>348</x:v>
      </x:c>
      <x:c r="L44" s="6" t="n">
        <x:v>10</x:v>
      </x:c>
      <x:c r="M44" s="11" t="n">
        <x:v>0.8933730158730159</x:v>
      </x:c>
      <x:c r="N44" s="6" t="n">
        <x:v>1944000</x:v>
      </x:c>
    </x:row>
    <x:row r="45" ht="24" customHeight="1">
      <x:c r="A45" s="2" t="str">
        <x:v>2026-10-16_Night</x:v>
      </x:c>
      <x:c r="B45" s="6" t="str">
        <x:v>ナイト</x:v>
      </x:c>
      <x:c r="C45" s="6" t="n">
        <x:v>1808000</x:v>
      </x:c>
      <x:c r="D45" s="6" t="n">
        <x:v>4090000</x:v>
      </x:c>
      <x:c r="E45" s="6" t="n">
        <x:f>C45-D45</x:f>
        <x:v>-2282000</x:v>
      </x:c>
      <x:c r="F45" s="6" t="n">
        <x:f>F44+E45</x:f>
        <x:v>-51171000</x:v>
      </x:c>
      <x:c r="G45" s="6" t="n">
        <x:v>1551000</x:v>
      </x:c>
      <x:c r="H45" s="6" t="n">
        <x:v>3833000</x:v>
      </x:c>
      <x:c r="I45" s="6" t="n">
        <x:v>162</x:v>
      </x:c>
      <x:c r="J45" s="6" t="n">
        <x:v>375</x:v>
      </x:c>
      <x:c r="K45" s="6" t="n">
        <x:v>420</x:v>
      </x:c>
      <x:c r="L45" s="6" t="n">
        <x:v>10</x:v>
      </x:c>
      <x:c r="M45" s="11" t="n">
        <x:v>0.8899145299145299</x:v>
      </x:c>
      <x:c r="N45" s="6" t="n">
        <x:v>2321000</x:v>
      </x:c>
    </x:row>
    <x:row r="46" ht="24" customHeight="1">
      <x:c r="A46" s="2" t="str">
        <x:v>2026-10-19_Day</x:v>
      </x:c>
      <x:c r="B46" s="6" t="str">
        <x:v>デイ</x:v>
      </x:c>
      <x:c r="C46" s="6" t="n">
        <x:v>1567000</x:v>
      </x:c>
      <x:c r="D46" s="6" t="n">
        <x:v>3684000</x:v>
      </x:c>
      <x:c r="E46" s="6" t="n">
        <x:f>C46-D46</x:f>
        <x:v>-2117000</x:v>
      </x:c>
      <x:c r="F46" s="6" t="n">
        <x:f>F45+E46</x:f>
        <x:v>-53288000</x:v>
      </x:c>
      <x:c r="G46" s="6" t="n">
        <x:v>1391000</x:v>
      </x:c>
      <x:c r="H46" s="6" t="n">
        <x:v>3508000</x:v>
      </x:c>
      <x:c r="I46" s="6" t="n">
        <x:v>126</x:v>
      </x:c>
      <x:c r="J46" s="6" t="n">
        <x:v>222</x:v>
      </x:c>
      <x:c r="K46" s="6" t="n">
        <x:v>277</x:v>
      </x:c>
      <x:c r="L46" s="6" t="n">
        <x:v>10</x:v>
      </x:c>
      <x:c r="M46" s="11" t="n">
        <x:v>0.8639285714285714</x:v>
      </x:c>
      <x:c r="N46" s="6" t="n">
        <x:v>2144000</x:v>
      </x:c>
    </x:row>
    <x:row r="47" ht="24" customHeight="1">
      <x:c r="A47" s="2" t="str">
        <x:v>2026-10-19_Night</x:v>
      </x:c>
      <x:c r="B47" s="6" t="str">
        <x:v>ナイト</x:v>
      </x:c>
      <x:c r="C47" s="6" t="n">
        <x:v>866000</x:v>
      </x:c>
      <x:c r="D47" s="6" t="n">
        <x:v>3138000</x:v>
      </x:c>
      <x:c r="E47" s="6" t="n">
        <x:f>C47-D47</x:f>
        <x:v>-2272000</x:v>
      </x:c>
      <x:c r="F47" s="6" t="n">
        <x:f>F46+E47</x:f>
        <x:v>-55560000</x:v>
      </x:c>
      <x:c r="G47" s="6" t="n">
        <x:v>625000</x:v>
      </x:c>
      <x:c r="H47" s="6" t="n">
        <x:v>2897000</x:v>
      </x:c>
      <x:c r="I47" s="6" t="n">
        <x:v>127</x:v>
      </x:c>
      <x:c r="J47" s="6" t="n">
        <x:v>304</x:v>
      </x:c>
      <x:c r="K47" s="6" t="n">
        <x:v>386</x:v>
      </x:c>
      <x:c r="L47" s="6" t="n">
        <x:v>10</x:v>
      </x:c>
      <x:c r="M47" s="11" t="n">
        <x:v>0.8749786324786325</x:v>
      </x:c>
      <x:c r="N47" s="6" t="n">
        <x:v>2273000</x:v>
      </x:c>
    </x:row>
    <x:row r="48" ht="24" customHeight="1">
      <x:c r="A48" s="2" t="str">
        <x:v>2026-10-20_Day</x:v>
      </x:c>
      <x:c r="B48" s="6" t="str">
        <x:v>デイ</x:v>
      </x:c>
      <x:c r="C48" s="6" t="n">
        <x:v>1849000</x:v>
      </x:c>
      <x:c r="D48" s="6" t="n">
        <x:v>3680000</x:v>
      </x:c>
      <x:c r="E48" s="6" t="n">
        <x:f>C48-D48</x:f>
        <x:v>-1831000</x:v>
      </x:c>
      <x:c r="F48" s="6" t="n">
        <x:f>F47+E48</x:f>
        <x:v>-57391000</x:v>
      </x:c>
      <x:c r="G48" s="6" t="n">
        <x:v>1590000</x:v>
      </x:c>
      <x:c r="H48" s="6" t="n">
        <x:v>3421000</x:v>
      </x:c>
      <x:c r="I48" s="6" t="n">
        <x:v>148</x:v>
      </x:c>
      <x:c r="J48" s="6" t="n">
        <x:v>283</x:v>
      </x:c>
      <x:c r="K48" s="6" t="n">
        <x:v>352</x:v>
      </x:c>
      <x:c r="L48" s="6" t="n">
        <x:v>10</x:v>
      </x:c>
      <x:c r="M48" s="11" t="n">
        <x:v>0.8826190476190476</x:v>
      </x:c>
      <x:c r="N48" s="6" t="n">
        <x:v>1927000</x:v>
      </x:c>
    </x:row>
    <x:row r="49" ht="24" customHeight="1">
      <x:c r="A49" s="2" t="str">
        <x:v>2026-10-20_Night</x:v>
      </x:c>
      <x:c r="B49" s="6" t="str">
        <x:v>ナイト</x:v>
      </x:c>
      <x:c r="C49" s="6" t="n">
        <x:v>1775000</x:v>
      </x:c>
      <x:c r="D49" s="6" t="n">
        <x:v>3742000</x:v>
      </x:c>
      <x:c r="E49" s="6" t="n">
        <x:f>C49-D49</x:f>
        <x:v>-1967000</x:v>
      </x:c>
      <x:c r="F49" s="6" t="n">
        <x:f>F48+E49</x:f>
        <x:v>-59358000</x:v>
      </x:c>
      <x:c r="G49" s="6" t="n">
        <x:v>1459000</x:v>
      </x:c>
      <x:c r="H49" s="6" t="n">
        <x:v>3426000</x:v>
      </x:c>
      <x:c r="I49" s="6" t="n">
        <x:v>148</x:v>
      </x:c>
      <x:c r="J49" s="6" t="n">
        <x:v>341</x:v>
      </x:c>
      <x:c r="K49" s="6" t="n">
        <x:v>420</x:v>
      </x:c>
      <x:c r="L49" s="6" t="n">
        <x:v>10</x:v>
      </x:c>
      <x:c r="M49" s="11" t="n">
        <x:v>0.7914316239316239</x:v>
      </x:c>
      <x:c r="N49" s="6" t="n">
        <x:v>2120000</x:v>
      </x:c>
    </x:row>
    <x:row r="50" ht="24" customHeight="1">
      <x:c r="A50" s="2" t="str">
        <x:v>2026-10-21_Day</x:v>
      </x:c>
      <x:c r="B50" s="6" t="str">
        <x:v>デイ</x:v>
      </x:c>
      <x:c r="C50" s="6" t="n">
        <x:v>1523000</x:v>
      </x:c>
      <x:c r="D50" s="6" t="n">
        <x:v>2948000</x:v>
      </x:c>
      <x:c r="E50" s="6" t="n">
        <x:f>C50-D50</x:f>
        <x:v>-1425000</x:v>
      </x:c>
      <x:c r="F50" s="6" t="n">
        <x:f>F49+E50</x:f>
        <x:v>-60783000</x:v>
      </x:c>
      <x:c r="G50" s="6" t="n">
        <x:v>1326000</x:v>
      </x:c>
      <x:c r="H50" s="6" t="n">
        <x:v>2751000</x:v>
      </x:c>
      <x:c r="I50" s="6" t="n">
        <x:v>126</x:v>
      </x:c>
      <x:c r="J50" s="6" t="n">
        <x:v>271</x:v>
      </x:c>
      <x:c r="K50" s="6" t="n">
        <x:v>306</x:v>
      </x:c>
      <x:c r="L50" s="6" t="n">
        <x:v>10</x:v>
      </x:c>
      <x:c r="M50" s="11" t="n">
        <x:v>0.8927380952380952</x:v>
      </x:c>
      <x:c r="N50" s="6" t="n">
        <x:v>1626000</x:v>
      </x:c>
    </x:row>
    <x:row r="51" ht="24" customHeight="1">
      <x:c r="A51" s="2" t="str">
        <x:v>2026-10-21_Night</x:v>
      </x:c>
      <x:c r="B51" s="6" t="str">
        <x:v>ナイト</x:v>
      </x:c>
      <x:c r="C51" s="6" t="n">
        <x:v>1368000</x:v>
      </x:c>
      <x:c r="D51" s="6" t="n">
        <x:v>2893000</x:v>
      </x:c>
      <x:c r="E51" s="6" t="n">
        <x:f>C51-D51</x:f>
        <x:v>-1525000</x:v>
      </x:c>
      <x:c r="F51" s="6" t="n">
        <x:f>F50+E51</x:f>
        <x:v>-62308000</x:v>
      </x:c>
      <x:c r="G51" s="6" t="n">
        <x:v>1106000</x:v>
      </x:c>
      <x:c r="H51" s="6" t="n">
        <x:v>2631000</x:v>
      </x:c>
      <x:c r="I51" s="6" t="n">
        <x:v>124</x:v>
      </x:c>
      <x:c r="J51" s="6" t="n">
        <x:v>260</x:v>
      </x:c>
      <x:c r="K51" s="6" t="n">
        <x:v>314</x:v>
      </x:c>
      <x:c r="L51" s="6" t="n">
        <x:v>10</x:v>
      </x:c>
      <x:c r="M51" s="11" t="n">
        <x:v>0.8773076923076923</x:v>
      </x:c>
      <x:c r="N51" s="6" t="n">
        <x:v>1616000</x:v>
      </x:c>
    </x:row>
    <x:row r="52" ht="24" customHeight="1">
      <x:c r="A52" s="2" t="str">
        <x:v>2026-10-22_Day</x:v>
      </x:c>
      <x:c r="B52" s="6" t="str">
        <x:v>デイ</x:v>
      </x:c>
      <x:c r="C52" s="6" t="n">
        <x:v>1408000</x:v>
      </x:c>
      <x:c r="D52" s="6" t="n">
        <x:v>3141000</x:v>
      </x:c>
      <x:c r="E52" s="6" t="n">
        <x:f>C52-D52</x:f>
        <x:v>-1733000</x:v>
      </x:c>
      <x:c r="F52" s="6" t="n">
        <x:f>F51+E52</x:f>
        <x:v>-64041000</x:v>
      </x:c>
      <x:c r="G52" s="6" t="n">
        <x:v>1178000</x:v>
      </x:c>
      <x:c r="H52" s="6" t="n">
        <x:v>2911000</x:v>
      </x:c>
      <x:c r="I52" s="6" t="n">
        <x:v>132</x:v>
      </x:c>
      <x:c r="J52" s="6" t="n">
        <x:v>247</x:v>
      </x:c>
      <x:c r="K52" s="6" t="n">
        <x:v>323</x:v>
      </x:c>
      <x:c r="L52" s="6" t="n">
        <x:v>10</x:v>
      </x:c>
      <x:c r="M52" s="11" t="n">
        <x:v>0.8421825396825396</x:v>
      </x:c>
      <x:c r="N52" s="6" t="n">
        <x:v>1851000</x:v>
      </x:c>
    </x:row>
    <x:row r="53" ht="24" customHeight="1">
      <x:c r="A53" s="2" t="str">
        <x:v>2026-10-22_Night</x:v>
      </x:c>
      <x:c r="B53" s="6" t="str">
        <x:v>ナイト</x:v>
      </x:c>
      <x:c r="C53" s="6" t="n">
        <x:v>1852000</x:v>
      </x:c>
      <x:c r="D53" s="6" t="n">
        <x:v>3339000</x:v>
      </x:c>
      <x:c r="E53" s="6" t="n">
        <x:f>C53-D53</x:f>
        <x:v>-1487000</x:v>
      </x:c>
      <x:c r="F53" s="6" t="n">
        <x:f>F52+E53</x:f>
        <x:v>-65528000</x:v>
      </x:c>
      <x:c r="G53" s="6" t="n">
        <x:v>1391000</x:v>
      </x:c>
      <x:c r="H53" s="6" t="n">
        <x:v>2878000</x:v>
      </x:c>
      <x:c r="I53" s="6" t="n">
        <x:v>154</x:v>
      </x:c>
      <x:c r="J53" s="6" t="n">
        <x:v>365</x:v>
      </x:c>
      <x:c r="K53" s="6" t="n">
        <x:v>421</x:v>
      </x:c>
      <x:c r="L53" s="6" t="n">
        <x:v>10</x:v>
      </x:c>
      <x:c r="M53" s="11" t="n">
        <x:v>0.8856623931623931</x:v>
      </x:c>
      <x:c r="N53" s="6" t="n">
        <x:v>1598000</x:v>
      </x:c>
    </x:row>
    <x:row r="54" ht="24" customHeight="1">
      <x:c r="A54" s="2" t="str">
        <x:v>2026-10-23_Day</x:v>
      </x:c>
      <x:c r="B54" s="6" t="str">
        <x:v>デイ</x:v>
      </x:c>
      <x:c r="C54" s="6" t="n">
        <x:v>3477000</x:v>
      </x:c>
      <x:c r="D54" s="6" t="n">
        <x:v>6950000</x:v>
      </x:c>
      <x:c r="E54" s="6" t="n">
        <x:f>C54-D54</x:f>
        <x:v>-3473000</x:v>
      </x:c>
      <x:c r="F54" s="6" t="n">
        <x:f>F53+E54</x:f>
        <x:v>-69001000</x:v>
      </x:c>
      <x:c r="G54" s="6" t="n">
        <x:v>3181000</x:v>
      </x:c>
      <x:c r="H54" s="6" t="n">
        <x:v>6654000</x:v>
      </x:c>
      <x:c r="I54" s="6" t="n">
        <x:v>247</x:v>
      </x:c>
      <x:c r="J54" s="6" t="n">
        <x:v>262</x:v>
      </x:c>
      <x:c r="K54" s="6" t="n">
        <x:v>351</x:v>
      </x:c>
      <x:c r="L54" s="6" t="n">
        <x:v>10</x:v>
      </x:c>
      <x:c r="M54" s="11" t="n">
        <x:v>0.8509126984126985</x:v>
      </x:c>
      <x:c r="N54" s="6" t="n">
        <x:v>3556000</x:v>
      </x:c>
    </x:row>
    <x:row r="55" ht="24" customHeight="1">
      <x:c r="A55" s="2" t="str">
        <x:v>2026-10-23_Night</x:v>
      </x:c>
      <x:c r="B55" s="6" t="str">
        <x:v>ナイト</x:v>
      </x:c>
      <x:c r="C55" s="6" t="n">
        <x:v>1133000</x:v>
      </x:c>
      <x:c r="D55" s="6" t="n">
        <x:v>3610000</x:v>
      </x:c>
      <x:c r="E55" s="6" t="n">
        <x:f>C55-D55</x:f>
        <x:v>-2477000</x:v>
      </x:c>
      <x:c r="F55" s="6" t="n">
        <x:f>F54+E55</x:f>
        <x:v>-71478000</x:v>
      </x:c>
      <x:c r="G55" s="6" t="n">
        <x:v>887000</x:v>
      </x:c>
      <x:c r="H55" s="6" t="n">
        <x:v>3364000</x:v>
      </x:c>
      <x:c r="I55" s="6" t="n">
        <x:v>137</x:v>
      </x:c>
      <x:c r="J55" s="6" t="n">
        <x:v>322</x:v>
      </x:c>
      <x:c r="K55" s="6" t="n">
        <x:v>392</x:v>
      </x:c>
      <x:c r="L55" s="6" t="n">
        <x:v>10</x:v>
      </x:c>
      <x:c r="M55" s="11" t="n">
        <x:v>0.902991452991453</x:v>
      </x:c>
      <x:c r="N55" s="6" t="n">
        <x:v>2563000</x:v>
      </x:c>
    </x:row>
    <x:row r="56" ht="24" customHeight="1">
      <x:c r="A56" s="2" t="str">
        <x:v>2026-10-26_Day</x:v>
      </x:c>
      <x:c r="B56" s="6" t="str">
        <x:v>デイ</x:v>
      </x:c>
      <x:c r="C56" s="6" t="n">
        <x:v>1731000</x:v>
      </x:c>
      <x:c r="D56" s="6" t="n">
        <x:v>4996000</x:v>
      </x:c>
      <x:c r="E56" s="6" t="n">
        <x:f>C56-D56</x:f>
        <x:v>-3265000</x:v>
      </x:c>
      <x:c r="F56" s="6" t="n">
        <x:f>F55+E56</x:f>
        <x:v>-74743000</x:v>
      </x:c>
      <x:c r="G56" s="6" t="n">
        <x:v>1490000</x:v>
      </x:c>
      <x:c r="H56" s="6" t="n">
        <x:v>4755000</x:v>
      </x:c>
      <x:c r="I56" s="6" t="n">
        <x:v>156</x:v>
      </x:c>
      <x:c r="J56" s="6" t="n">
        <x:v>216</x:v>
      </x:c>
      <x:c r="K56" s="6" t="n">
        <x:v>297</x:v>
      </x:c>
      <x:c r="L56" s="6" t="n">
        <x:v>10</x:v>
      </x:c>
      <x:c r="M56" s="11" t="n">
        <x:v>0.8684126984126984</x:v>
      </x:c>
      <x:c r="N56" s="6" t="n">
        <x:v>3270000</x:v>
      </x:c>
    </x:row>
    <x:row r="57" ht="24" customHeight="1">
      <x:c r="A57" s="15" t="str">
        <x:v>累計／平均／最大</x:v>
      </x:c>
      <x:c r="B57" s="16"/>
      <x:c r="C57" s="16" t="n">
        <x:f>SUM(C6:C56)</x:f>
        <x:v>55597000</x:v>
      </x:c>
      <x:c r="D57" s="16" t="n">
        <x:f>SUM(D6:D56)</x:f>
        <x:v>130340000</x:v>
      </x:c>
      <x:c r="E57" s="16" t="n">
        <x:f>C57-D57</x:f>
        <x:v>-74743000</x:v>
      </x:c>
      <x:c r="F57" s="16" t="n">
        <x:f>F56</x:f>
        <x:v>-74743000</x:v>
      </x:c>
      <x:c r="G57" s="16" t="n">
        <x:f>SUM(G6:G56)</x:f>
        <x:v>44505000</x:v>
      </x:c>
      <x:c r="H57" s="16" t="n">
        <x:f>SUM(H6:H56)</x:f>
        <x:v>119248000</x:v>
      </x:c>
      <x:c r="I57" s="16" t="n">
        <x:f>SUM(I6:I56)</x:f>
        <x:v>5007</x:v>
      </x:c>
      <x:c r="J57" s="16" t="n">
        <x:f>SUM(J6:J56)</x:f>
        <x:v>12247</x:v>
      </x:c>
      <x:c r="K57" s="16" t="n">
        <x:f>SUM(K6:K56)</x:f>
        <x:v>14687</x:v>
      </x:c>
      <x:c r="L57" s="16" t="n">
        <x:f>MAX(L6:L56)</x:f>
        <x:v>10</x:v>
      </x:c>
      <x:c r="M57" s="17" t="n">
        <x:f>AVERAGE(M6:M56)</x:f>
        <x:v>0.8822608872608872</x:v>
      </x:c>
      <x:c r="N57" s="16" t="n">
        <x:f>MAX(N6:N56)</x:f>
        <x:v>3556000</x:v>
      </x:c>
    </x:row>
  </x:sheetData>
  <x:conditionalFormatting sqref="E6:F56">
    <x:cfRule type="cellIs" dxfId="23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5109cc10c5c4000"/>
  </x:tableParts>
</x:worksheet>
</file>

<file path=xl/worksheets/sheet2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1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4" customHeight="1">
      <x:c r="A1" s="3" t="str">
        <x:v>日経 M17　各セッションの利益・損失・収支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A2" s="4" t="str">
        <x:v>2026/09/21〜10/26デイ・51完了場。日経mini／TOPIXmini各上限10枚・手数料0。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4" customHeight="1">
      <x:c r="A3" s="4" t="str">
        <x:v>300秒の時間加重平均を60秒前と比較。保有中も傾き比例で増減、利益追尾＋傾き反転で返済。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4" customHeight="1">
      <x:c r="A4" s="4" t="str">
        <x:v>利益・損失＝FIFO返済配賦別。親＝初回から全返済まで。ラージ気配による模型で、mini実約定の検証ではありません。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42" customHeight="1">
      <x:c r="A5" s="10" t="str">
        <x:v>セッション</x:v>
      </x:c>
      <x:c r="B5" s="10" t="str">
        <x:v>区分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親利益（円）</x:v>
      </x:c>
      <x:c r="H5" s="10" t="str">
        <x:v>親損失（円）</x:v>
      </x:c>
      <x:c r="I5" s="10" t="str">
        <x:v>初回件数</x:v>
      </x:c>
      <x:c r="J5" s="10" t="str">
        <x:v>追加件数</x:v>
      </x:c>
      <x:c r="K5" s="10" t="str">
        <x:v>縮小件数</x:v>
      </x:c>
      <x:c r="L5" s="10" t="str">
        <x:v>最大保有枚数</x:v>
      </x:c>
      <x:c r="M5" s="10" t="str">
        <x:v>保有時間率</x:v>
      </x:c>
      <x:c r="N5" s="10" t="str">
        <x:v>時価最大DD（円）</x:v>
      </x:c>
    </x:row>
    <x:row r="6" ht="24" customHeight="1">
      <x:c r="A6" s="2" t="str">
        <x:v>2026-09-21_Day</x:v>
      </x:c>
      <x:c r="B6" s="6" t="str">
        <x:v>デイ</x:v>
      </x:c>
      <x:c r="C6" s="6" t="n">
        <x:v>398000</x:v>
      </x:c>
      <x:c r="D6" s="6" t="n">
        <x:v>1113000</x:v>
      </x:c>
      <x:c r="E6" s="6" t="n">
        <x:f>C6-D6</x:f>
        <x:v>-715000</x:v>
      </x:c>
      <x:c r="F6" s="6" t="n">
        <x:f>E6</x:f>
        <x:v>-715000</x:v>
      </x:c>
      <x:c r="G6" s="6" t="n">
        <x:v>323000</x:v>
      </x:c>
      <x:c r="H6" s="6" t="n">
        <x:v>1038000</x:v>
      </x:c>
      <x:c r="I6" s="6" t="n">
        <x:v>70</x:v>
      </x:c>
      <x:c r="J6" s="6" t="n">
        <x:v>93</x:v>
      </x:c>
      <x:c r="K6" s="6" t="n">
        <x:v>94</x:v>
      </x:c>
      <x:c r="L6" s="6" t="n">
        <x:v>10</x:v>
      </x:c>
      <x:c r="M6" s="11" t="n">
        <x:v>0.693968253968254</x:v>
      </x:c>
      <x:c r="N6" s="6" t="n">
        <x:v>740000</x:v>
      </x:c>
    </x:row>
    <x:row r="7" ht="24" customHeight="1">
      <x:c r="A7" s="2" t="str">
        <x:v>2026-09-21_Night</x:v>
      </x:c>
      <x:c r="B7" s="6" t="str">
        <x:v>ナイト</x:v>
      </x:c>
      <x:c r="C7" s="6" t="n">
        <x:v>309000</x:v>
      </x:c>
      <x:c r="D7" s="6" t="n">
        <x:v>1010000</x:v>
      </x:c>
      <x:c r="E7" s="6" t="n">
        <x:f>C7-D7</x:f>
        <x:v>-701000</x:v>
      </x:c>
      <x:c r="F7" s="6" t="n">
        <x:f>F6+E7</x:f>
        <x:v>-1416000</x:v>
      </x:c>
      <x:c r="G7" s="6" t="n">
        <x:v>190000</x:v>
      </x:c>
      <x:c r="H7" s="6" t="n">
        <x:v>891000</x:v>
      </x:c>
      <x:c r="I7" s="6" t="n">
        <x:v>83</x:v>
      </x:c>
      <x:c r="J7" s="6" t="n">
        <x:v>165</x:v>
      </x:c>
      <x:c r="K7" s="6" t="n">
        <x:v>175</x:v>
      </x:c>
      <x:c r="L7" s="6" t="n">
        <x:v>10</x:v>
      </x:c>
      <x:c r="M7" s="11" t="n">
        <x:v>0.6851068376068377</x:v>
      </x:c>
      <x:c r="N7" s="6" t="n">
        <x:v>763000</x:v>
      </x:c>
    </x:row>
    <x:row r="8" ht="24" customHeight="1">
      <x:c r="A8" s="2" t="str">
        <x:v>2026-09-22_Day</x:v>
      </x:c>
      <x:c r="B8" s="6" t="str">
        <x:v>デイ</x:v>
      </x:c>
      <x:c r="C8" s="6" t="n">
        <x:v>539000</x:v>
      </x:c>
      <x:c r="D8" s="6" t="n">
        <x:v>1753000</x:v>
      </x:c>
      <x:c r="E8" s="6" t="n">
        <x:f>C8-D8</x:f>
        <x:v>-1214000</x:v>
      </x:c>
      <x:c r="F8" s="6" t="n">
        <x:f>F7+E8</x:f>
        <x:v>-2630000</x:v>
      </x:c>
      <x:c r="G8" s="6" t="n">
        <x:v>419000</x:v>
      </x:c>
      <x:c r="H8" s="6" t="n">
        <x:v>1633000</x:v>
      </x:c>
      <x:c r="I8" s="6" t="n">
        <x:v>101</x:v>
      </x:c>
      <x:c r="J8" s="6" t="n">
        <x:v>174</x:v>
      </x:c>
      <x:c r="K8" s="6" t="n">
        <x:v>192</x:v>
      </x:c>
      <x:c r="L8" s="6" t="n">
        <x:v>10</x:v>
      </x:c>
      <x:c r="M8" s="11" t="n">
        <x:v>0.790515873015873</x:v>
      </x:c>
      <x:c r="N8" s="6" t="n">
        <x:v>1374000</x:v>
      </x:c>
    </x:row>
    <x:row r="9" ht="24" customHeight="1">
      <x:c r="A9" s="2" t="str">
        <x:v>2026-09-22_Night</x:v>
      </x:c>
      <x:c r="B9" s="6" t="str">
        <x:v>ナイト</x:v>
      </x:c>
      <x:c r="C9" s="6" t="n">
        <x:v>757000</x:v>
      </x:c>
      <x:c r="D9" s="6" t="n">
        <x:v>2115000</x:v>
      </x:c>
      <x:c r="E9" s="6" t="n">
        <x:f>C9-D9</x:f>
        <x:v>-1358000</x:v>
      </x:c>
      <x:c r="F9" s="6" t="n">
        <x:f>F8+E9</x:f>
        <x:v>-3988000</x:v>
      </x:c>
      <x:c r="G9" s="6" t="n">
        <x:v>614000</x:v>
      </x:c>
      <x:c r="H9" s="6" t="n">
        <x:v>1972000</x:v>
      </x:c>
      <x:c r="I9" s="6" t="n">
        <x:v>128</x:v>
      </x:c>
      <x:c r="J9" s="6" t="n">
        <x:v>226</x:v>
      </x:c>
      <x:c r="K9" s="6" t="n">
        <x:v>246</x:v>
      </x:c>
      <x:c r="L9" s="6" t="n">
        <x:v>10</x:v>
      </x:c>
      <x:c r="M9" s="11" t="n">
        <x:v>0.645982905982906</x:v>
      </x:c>
      <x:c r="N9" s="6" t="n">
        <x:v>1529000</x:v>
      </x:c>
    </x:row>
    <x:row r="10" ht="24" customHeight="1">
      <x:c r="A10" s="2" t="str">
        <x:v>2026-09-23_Day</x:v>
      </x:c>
      <x:c r="B10" s="6" t="str">
        <x:v>デイ</x:v>
      </x:c>
      <x:c r="C10" s="6" t="n">
        <x:v>266000</x:v>
      </x:c>
      <x:c r="D10" s="6" t="n">
        <x:v>1048000</x:v>
      </x:c>
      <x:c r="E10" s="6" t="n">
        <x:f>C10-D10</x:f>
        <x:v>-782000</x:v>
      </x:c>
      <x:c r="F10" s="6" t="n">
        <x:f>F9+E10</x:f>
        <x:v>-4770000</x:v>
      </x:c>
      <x:c r="G10" s="6" t="n">
        <x:v>188000</x:v>
      </x:c>
      <x:c r="H10" s="6" t="n">
        <x:v>970000</x:v>
      </x:c>
      <x:c r="I10" s="6" t="n">
        <x:v>68</x:v>
      </x:c>
      <x:c r="J10" s="6" t="n">
        <x:v>113</x:v>
      </x:c>
      <x:c r="K10" s="6" t="n">
        <x:v>116</x:v>
      </x:c>
      <x:c r="L10" s="6" t="n">
        <x:v>10</x:v>
      </x:c>
      <x:c r="M10" s="11" t="n">
        <x:v>0.7678968253968254</x:v>
      </x:c>
      <x:c r="N10" s="6" t="n">
        <x:v>821000</x:v>
      </x:c>
    </x:row>
    <x:row r="11" ht="24" customHeight="1">
      <x:c r="A11" s="2" t="str">
        <x:v>2026-09-23_Night</x:v>
      </x:c>
      <x:c r="B11" s="6" t="str">
        <x:v>ナイト</x:v>
      </x:c>
      <x:c r="C11" s="6" t="n">
        <x:v>512000</x:v>
      </x:c>
      <x:c r="D11" s="6" t="n">
        <x:v>1702000</x:v>
      </x:c>
      <x:c r="E11" s="6" t="n">
        <x:f>C11-D11</x:f>
        <x:v>-1190000</x:v>
      </x:c>
      <x:c r="F11" s="6" t="n">
        <x:f>F10+E11</x:f>
        <x:v>-5960000</x:v>
      </x:c>
      <x:c r="G11" s="6" t="n">
        <x:v>353000</x:v>
      </x:c>
      <x:c r="H11" s="6" t="n">
        <x:v>1543000</x:v>
      </x:c>
      <x:c r="I11" s="6" t="n">
        <x:v>102</x:v>
      </x:c>
      <x:c r="J11" s="6" t="n">
        <x:v>229</x:v>
      </x:c>
      <x:c r="K11" s="6" t="n">
        <x:v>231</x:v>
      </x:c>
      <x:c r="L11" s="6" t="n">
        <x:v>10</x:v>
      </x:c>
      <x:c r="M11" s="11" t="n">
        <x:v>0.8132051282051282</x:v>
      </x:c>
      <x:c r="N11" s="6" t="n">
        <x:v>1194000</x:v>
      </x:c>
    </x:row>
    <x:row r="12" ht="24" customHeight="1">
      <x:c r="A12" s="2" t="str">
        <x:v>2026-09-24_Day</x:v>
      </x:c>
      <x:c r="B12" s="6" t="str">
        <x:v>デイ</x:v>
      </x:c>
      <x:c r="C12" s="6" t="n">
        <x:v>1215000</x:v>
      </x:c>
      <x:c r="D12" s="6" t="n">
        <x:v>2834000</x:v>
      </x:c>
      <x:c r="E12" s="6" t="n">
        <x:f>C12-D12</x:f>
        <x:v>-1619000</x:v>
      </x:c>
      <x:c r="F12" s="6" t="n">
        <x:f>F11+E12</x:f>
        <x:v>-7579000</x:v>
      </x:c>
      <x:c r="G12" s="6" t="n">
        <x:v>1055000</x:v>
      </x:c>
      <x:c r="H12" s="6" t="n">
        <x:v>2674000</x:v>
      </x:c>
      <x:c r="I12" s="6" t="n">
        <x:v>144</x:v>
      </x:c>
      <x:c r="J12" s="6" t="n">
        <x:v>299</x:v>
      </x:c>
      <x:c r="K12" s="6" t="n">
        <x:v>312</x:v>
      </x:c>
      <x:c r="L12" s="6" t="n">
        <x:v>10</x:v>
      </x:c>
      <x:c r="M12" s="11" t="n">
        <x:v>0.8304761904761905</x:v>
      </x:c>
      <x:c r="N12" s="6" t="n">
        <x:v>1747000</x:v>
      </x:c>
    </x:row>
    <x:row r="13" ht="24" customHeight="1">
      <x:c r="A13" s="2" t="str">
        <x:v>2026-09-24_Night</x:v>
      </x:c>
      <x:c r="B13" s="6" t="str">
        <x:v>ナイト</x:v>
      </x:c>
      <x:c r="C13" s="6" t="n">
        <x:v>1108000</x:v>
      </x:c>
      <x:c r="D13" s="6" t="n">
        <x:v>4110000</x:v>
      </x:c>
      <x:c r="E13" s="6" t="n">
        <x:f>C13-D13</x:f>
        <x:v>-3002000</x:v>
      </x:c>
      <x:c r="F13" s="6" t="n">
        <x:f>F12+E13</x:f>
        <x:v>-10581000</x:v>
      </x:c>
      <x:c r="G13" s="6" t="n">
        <x:v>880000</x:v>
      </x:c>
      <x:c r="H13" s="6" t="n">
        <x:v>3882000</x:v>
      </x:c>
      <x:c r="I13" s="6" t="n">
        <x:v>205</x:v>
      </x:c>
      <x:c r="J13" s="6" t="n">
        <x:v>386</x:v>
      </x:c>
      <x:c r="K13" s="6" t="n">
        <x:v>410</x:v>
      </x:c>
      <x:c r="L13" s="6" t="n">
        <x:v>10</x:v>
      </x:c>
      <x:c r="M13" s="11" t="n">
        <x:v>0.8332264957264958</x:v>
      </x:c>
      <x:c r="N13" s="6" t="n">
        <x:v>3093000</x:v>
      </x:c>
    </x:row>
    <x:row r="14" ht="24" customHeight="1">
      <x:c r="A14" s="2" t="str">
        <x:v>2026-09-25_Day</x:v>
      </x:c>
      <x:c r="B14" s="6" t="str">
        <x:v>デイ</x:v>
      </x:c>
      <x:c r="C14" s="6" t="n">
        <x:v>786000</x:v>
      </x:c>
      <x:c r="D14" s="6" t="n">
        <x:v>2367000</x:v>
      </x:c>
      <x:c r="E14" s="6" t="n">
        <x:f>C14-D14</x:f>
        <x:v>-1581000</x:v>
      </x:c>
      <x:c r="F14" s="6" t="n">
        <x:f>F13+E14</x:f>
        <x:v>-12162000</x:v>
      </x:c>
      <x:c r="G14" s="6" t="n">
        <x:v>627000</x:v>
      </x:c>
      <x:c r="H14" s="6" t="n">
        <x:v>2208000</x:v>
      </x:c>
      <x:c r="I14" s="6" t="n">
        <x:v>131</x:v>
      </x:c>
      <x:c r="J14" s="6" t="n">
        <x:v>312</x:v>
      </x:c>
      <x:c r="K14" s="6" t="n">
        <x:v>328</x:v>
      </x:c>
      <x:c r="L14" s="6" t="n">
        <x:v>10</x:v>
      </x:c>
      <x:c r="M14" s="11" t="n">
        <x:v>0.8346825396825397</x:v>
      </x:c>
      <x:c r="N14" s="6" t="n">
        <x:v>1617000</x:v>
      </x:c>
    </x:row>
    <x:row r="15" ht="24" customHeight="1">
      <x:c r="A15" s="2" t="str">
        <x:v>2026-09-25_Night</x:v>
      </x:c>
      <x:c r="B15" s="6" t="str">
        <x:v>ナイト</x:v>
      </x:c>
      <x:c r="C15" s="6" t="n">
        <x:v>982000</x:v>
      </x:c>
      <x:c r="D15" s="6" t="n">
        <x:v>2115000</x:v>
      </x:c>
      <x:c r="E15" s="6" t="n">
        <x:f>C15-D15</x:f>
        <x:v>-1133000</x:v>
      </x:c>
      <x:c r="F15" s="6" t="n">
        <x:f>F14+E15</x:f>
        <x:v>-13295000</x:v>
      </x:c>
      <x:c r="G15" s="6" t="n">
        <x:v>850000</x:v>
      </x:c>
      <x:c r="H15" s="6" t="n">
        <x:v>1983000</x:v>
      </x:c>
      <x:c r="I15" s="6" t="n">
        <x:v>147</x:v>
      </x:c>
      <x:c r="J15" s="6" t="n">
        <x:v>257</x:v>
      </x:c>
      <x:c r="K15" s="6" t="n">
        <x:v>287</x:v>
      </x:c>
      <x:c r="L15" s="6" t="n">
        <x:v>10</x:v>
      </x:c>
      <x:c r="M15" s="11" t="n">
        <x:v>0.8042094017094017</x:v>
      </x:c>
      <x:c r="N15" s="6" t="n">
        <x:v>1240000</x:v>
      </x:c>
    </x:row>
    <x:row r="16" ht="24" customHeight="1">
      <x:c r="A16" s="2" t="str">
        <x:v>2026-09-28_Day</x:v>
      </x:c>
      <x:c r="B16" s="6" t="str">
        <x:v>デイ</x:v>
      </x:c>
      <x:c r="C16" s="6" t="n">
        <x:v>1315000</x:v>
      </x:c>
      <x:c r="D16" s="6" t="n">
        <x:v>2776000</x:v>
      </x:c>
      <x:c r="E16" s="6" t="n">
        <x:f>C16-D16</x:f>
        <x:v>-1461000</x:v>
      </x:c>
      <x:c r="F16" s="6" t="n">
        <x:f>F15+E16</x:f>
        <x:v>-14756000</x:v>
      </x:c>
      <x:c r="G16" s="6" t="n">
        <x:v>1108000</x:v>
      </x:c>
      <x:c r="H16" s="6" t="n">
        <x:v>2569000</x:v>
      </x:c>
      <x:c r="I16" s="6" t="n">
        <x:v>150</x:v>
      </x:c>
      <x:c r="J16" s="6" t="n">
        <x:v>326</x:v>
      </x:c>
      <x:c r="K16" s="6" t="n">
        <x:v>337</x:v>
      </x:c>
      <x:c r="L16" s="6" t="n">
        <x:v>10</x:v>
      </x:c>
      <x:c r="M16" s="11" t="n">
        <x:v>0.8312301587301587</x:v>
      </x:c>
      <x:c r="N16" s="6" t="n">
        <x:v>1576000</x:v>
      </x:c>
    </x:row>
    <x:row r="17" ht="24" customHeight="1">
      <x:c r="A17" s="2" t="str">
        <x:v>2026-09-28_Night</x:v>
      </x:c>
      <x:c r="B17" s="6" t="str">
        <x:v>ナイト</x:v>
      </x:c>
      <x:c r="C17" s="6" t="n">
        <x:v>1324000</x:v>
      </x:c>
      <x:c r="D17" s="6" t="n">
        <x:v>3418000</x:v>
      </x:c>
      <x:c r="E17" s="6" t="n">
        <x:f>C17-D17</x:f>
        <x:v>-2094000</x:v>
      </x:c>
      <x:c r="F17" s="6" t="n">
        <x:f>F16+E17</x:f>
        <x:v>-16850000</x:v>
      </x:c>
      <x:c r="G17" s="6" t="n">
        <x:v>1113000</x:v>
      </x:c>
      <x:c r="H17" s="6" t="n">
        <x:v>3207000</x:v>
      </x:c>
      <x:c r="I17" s="6" t="n">
        <x:v>182</x:v>
      </x:c>
      <x:c r="J17" s="6" t="n">
        <x:v>310</x:v>
      </x:c>
      <x:c r="K17" s="6" t="n">
        <x:v>309</x:v>
      </x:c>
      <x:c r="L17" s="6" t="n">
        <x:v>10</x:v>
      </x:c>
      <x:c r="M17" s="11" t="n">
        <x:v>0.7315811965811966</x:v>
      </x:c>
      <x:c r="N17" s="6" t="n">
        <x:v>2096000</x:v>
      </x:c>
    </x:row>
    <x:row r="18" ht="24" customHeight="1">
      <x:c r="A18" s="2" t="str">
        <x:v>2026-09-29_Day</x:v>
      </x:c>
      <x:c r="B18" s="6" t="str">
        <x:v>デイ</x:v>
      </x:c>
      <x:c r="C18" s="6" t="n">
        <x:v>1352000</x:v>
      </x:c>
      <x:c r="D18" s="6" t="n">
        <x:v>3465000</x:v>
      </x:c>
      <x:c r="E18" s="6" t="n">
        <x:f>C18-D18</x:f>
        <x:v>-2113000</x:v>
      </x:c>
      <x:c r="F18" s="6" t="n">
        <x:f>F17+E18</x:f>
        <x:v>-18963000</x:v>
      </x:c>
      <x:c r="G18" s="6" t="n">
        <x:v>1131000</x:v>
      </x:c>
      <x:c r="H18" s="6" t="n">
        <x:v>3244000</x:v>
      </x:c>
      <x:c r="I18" s="6" t="n">
        <x:v>177</x:v>
      </x:c>
      <x:c r="J18" s="6" t="n">
        <x:v>319</x:v>
      </x:c>
      <x:c r="K18" s="6" t="n">
        <x:v>353</x:v>
      </x:c>
      <x:c r="L18" s="6" t="n">
        <x:v>10</x:v>
      </x:c>
      <x:c r="M18" s="11" t="n">
        <x:v>0.840952380952381</x:v>
      </x:c>
      <x:c r="N18" s="6" t="n">
        <x:v>2200000</x:v>
      </x:c>
    </x:row>
    <x:row r="19" ht="24" customHeight="1">
      <x:c r="A19" s="2" t="str">
        <x:v>2026-09-29_Night</x:v>
      </x:c>
      <x:c r="B19" s="6" t="str">
        <x:v>ナイト</x:v>
      </x:c>
      <x:c r="C19" s="6" t="n">
        <x:v>899000</x:v>
      </x:c>
      <x:c r="D19" s="6" t="n">
        <x:v>2202000</x:v>
      </x:c>
      <x:c r="E19" s="6" t="n">
        <x:f>C19-D19</x:f>
        <x:v>-1303000</x:v>
      </x:c>
      <x:c r="F19" s="6" t="n">
        <x:f>F18+E19</x:f>
        <x:v>-20266000</x:v>
      </x:c>
      <x:c r="G19" s="6" t="n">
        <x:v>675000</x:v>
      </x:c>
      <x:c r="H19" s="6" t="n">
        <x:v>1978000</x:v>
      </x:c>
      <x:c r="I19" s="6" t="n">
        <x:v>153</x:v>
      </x:c>
      <x:c r="J19" s="6" t="n">
        <x:v>326</x:v>
      </x:c>
      <x:c r="K19" s="6" t="n">
        <x:v>343</x:v>
      </x:c>
      <x:c r="L19" s="6" t="n">
        <x:v>10</x:v>
      </x:c>
      <x:c r="M19" s="11" t="n">
        <x:v>0.7930982905982906</x:v>
      </x:c>
      <x:c r="N19" s="6" t="n">
        <x:v>1324000</x:v>
      </x:c>
    </x:row>
    <x:row r="20" ht="24" customHeight="1">
      <x:c r="A20" s="2" t="str">
        <x:v>2026-09-30_Day</x:v>
      </x:c>
      <x:c r="B20" s="6" t="str">
        <x:v>デイ</x:v>
      </x:c>
      <x:c r="C20" s="6" t="n">
        <x:v>1233000</x:v>
      </x:c>
      <x:c r="D20" s="6" t="n">
        <x:v>2720000</x:v>
      </x:c>
      <x:c r="E20" s="6" t="n">
        <x:f>C20-D20</x:f>
        <x:v>-1487000</x:v>
      </x:c>
      <x:c r="F20" s="6" t="n">
        <x:f>F19+E20</x:f>
        <x:v>-21753000</x:v>
      </x:c>
      <x:c r="G20" s="6" t="n">
        <x:v>1025000</x:v>
      </x:c>
      <x:c r="H20" s="6" t="n">
        <x:v>2512000</x:v>
      </x:c>
      <x:c r="I20" s="6" t="n">
        <x:v>148</x:v>
      </x:c>
      <x:c r="J20" s="6" t="n">
        <x:v>341</x:v>
      </x:c>
      <x:c r="K20" s="6" t="n">
        <x:v>369</x:v>
      </x:c>
      <x:c r="L20" s="6" t="n">
        <x:v>10</x:v>
      </x:c>
      <x:c r="M20" s="11" t="n">
        <x:v>0.8532936507936508</x:v>
      </x:c>
      <x:c r="N20" s="6" t="n">
        <x:v>1576000</x:v>
      </x:c>
    </x:row>
    <x:row r="21" ht="24" customHeight="1">
      <x:c r="A21" s="2" t="str">
        <x:v>2026-09-30_Night</x:v>
      </x:c>
      <x:c r="B21" s="6" t="str">
        <x:v>ナイト</x:v>
      </x:c>
      <x:c r="C21" s="6" t="n">
        <x:v>1272000</x:v>
      </x:c>
      <x:c r="D21" s="6" t="n">
        <x:v>3695000</x:v>
      </x:c>
      <x:c r="E21" s="6" t="n">
        <x:f>C21-D21</x:f>
        <x:v>-2423000</x:v>
      </x:c>
      <x:c r="F21" s="6" t="n">
        <x:f>F20+E21</x:f>
        <x:v>-24176000</x:v>
      </x:c>
      <x:c r="G21" s="6" t="n">
        <x:v>891000</x:v>
      </x:c>
      <x:c r="H21" s="6" t="n">
        <x:v>3314000</x:v>
      </x:c>
      <x:c r="I21" s="6" t="n">
        <x:v>188</x:v>
      </x:c>
      <x:c r="J21" s="6" t="n">
        <x:v>425</x:v>
      </x:c>
      <x:c r="K21" s="6" t="n">
        <x:v>444</x:v>
      </x:c>
      <x:c r="L21" s="6" t="n">
        <x:v>10</x:v>
      </x:c>
      <x:c r="M21" s="11" t="n">
        <x:v>0.7772222222222223</x:v>
      </x:c>
      <x:c r="N21" s="6" t="n">
        <x:v>2623000</x:v>
      </x:c>
    </x:row>
    <x:row r="22" ht="24" customHeight="1">
      <x:c r="A22" s="2" t="str">
        <x:v>2026-10-01_Day</x:v>
      </x:c>
      <x:c r="B22" s="6" t="str">
        <x:v>デイ</x:v>
      </x:c>
      <x:c r="C22" s="6" t="n">
        <x:v>1219000</x:v>
      </x:c>
      <x:c r="D22" s="6" t="n">
        <x:v>2270000</x:v>
      </x:c>
      <x:c r="E22" s="6" t="n">
        <x:f>C22-D22</x:f>
        <x:v>-1051000</x:v>
      </x:c>
      <x:c r="F22" s="6" t="n">
        <x:f>F21+E22</x:f>
        <x:v>-25227000</x:v>
      </x:c>
      <x:c r="G22" s="6" t="n">
        <x:v>971000</x:v>
      </x:c>
      <x:c r="H22" s="6" t="n">
        <x:v>2022000</x:v>
      </x:c>
      <x:c r="I22" s="6" t="n">
        <x:v>121</x:v>
      </x:c>
      <x:c r="J22" s="6" t="n">
        <x:v>351</x:v>
      </x:c>
      <x:c r="K22" s="6" t="n">
        <x:v>368</x:v>
      </x:c>
      <x:c r="L22" s="6" t="n">
        <x:v>10</x:v>
      </x:c>
      <x:c r="M22" s="11" t="n">
        <x:v>0.8633333333333333</x:v>
      </x:c>
      <x:c r="N22" s="6" t="n">
        <x:v>1133000</x:v>
      </x:c>
    </x:row>
    <x:row r="23" ht="24" customHeight="1">
      <x:c r="A23" s="2" t="str">
        <x:v>2026-10-01_Night</x:v>
      </x:c>
      <x:c r="B23" s="6" t="str">
        <x:v>ナイト</x:v>
      </x:c>
      <x:c r="C23" s="6" t="n">
        <x:v>1603000</x:v>
      </x:c>
      <x:c r="D23" s="6" t="n">
        <x:v>4035000</x:v>
      </x:c>
      <x:c r="E23" s="6" t="n">
        <x:f>C23-D23</x:f>
        <x:v>-2432000</x:v>
      </x:c>
      <x:c r="F23" s="6" t="n">
        <x:f>F22+E23</x:f>
        <x:v>-27659000</x:v>
      </x:c>
      <x:c r="G23" s="6" t="n">
        <x:v>1094000</x:v>
      </x:c>
      <x:c r="H23" s="6" t="n">
        <x:v>3526000</x:v>
      </x:c>
      <x:c r="I23" s="6" t="n">
        <x:v>201</x:v>
      </x:c>
      <x:c r="J23" s="6" t="n">
        <x:v>514</x:v>
      </x:c>
      <x:c r="K23" s="6" t="n">
        <x:v>488</x:v>
      </x:c>
      <x:c r="L23" s="6" t="n">
        <x:v>10</x:v>
      </x:c>
      <x:c r="M23" s="11" t="n">
        <x:v>0.8648717948717949</x:v>
      </x:c>
      <x:c r="N23" s="6" t="n">
        <x:v>2493000</x:v>
      </x:c>
    </x:row>
    <x:row r="24" ht="24" customHeight="1">
      <x:c r="A24" s="2" t="str">
        <x:v>2026-10-02_Day</x:v>
      </x:c>
      <x:c r="B24" s="6" t="str">
        <x:v>デイ</x:v>
      </x:c>
      <x:c r="C24" s="6" t="n">
        <x:v>999000</x:v>
      </x:c>
      <x:c r="D24" s="6" t="n">
        <x:v>2798000</x:v>
      </x:c>
      <x:c r="E24" s="6" t="n">
        <x:f>C24-D24</x:f>
        <x:v>-1799000</x:v>
      </x:c>
      <x:c r="F24" s="6" t="n">
        <x:f>F23+E24</x:f>
        <x:v>-29458000</x:v>
      </x:c>
      <x:c r="G24" s="6" t="n">
        <x:v>786000</x:v>
      </x:c>
      <x:c r="H24" s="6" t="n">
        <x:v>2585000</x:v>
      </x:c>
      <x:c r="I24" s="6" t="n">
        <x:v>132</x:v>
      </x:c>
      <x:c r="J24" s="6" t="n">
        <x:v>350</x:v>
      </x:c>
      <x:c r="K24" s="6" t="n">
        <x:v>354</x:v>
      </x:c>
      <x:c r="L24" s="6" t="n">
        <x:v>10</x:v>
      </x:c>
      <x:c r="M24" s="11" t="n">
        <x:v>0.8614285714285714</x:v>
      </x:c>
      <x:c r="N24" s="6" t="n">
        <x:v>2126000</x:v>
      </x:c>
    </x:row>
    <x:row r="25" ht="24" customHeight="1">
      <x:c r="A25" s="2" t="str">
        <x:v>2026-10-02_Night</x:v>
      </x:c>
      <x:c r="B25" s="6" t="str">
        <x:v>ナイト</x:v>
      </x:c>
      <x:c r="C25" s="6" t="n">
        <x:v>1453000</x:v>
      </x:c>
      <x:c r="D25" s="6" t="n">
        <x:v>3173000</x:v>
      </x:c>
      <x:c r="E25" s="6" t="n">
        <x:f>C25-D25</x:f>
        <x:v>-1720000</x:v>
      </x:c>
      <x:c r="F25" s="6" t="n">
        <x:f>F24+E25</x:f>
        <x:v>-31178000</x:v>
      </x:c>
      <x:c r="G25" s="6" t="n">
        <x:v>1168000</x:v>
      </x:c>
      <x:c r="H25" s="6" t="n">
        <x:v>2888000</x:v>
      </x:c>
      <x:c r="I25" s="6" t="n">
        <x:v>173</x:v>
      </x:c>
      <x:c r="J25" s="6" t="n">
        <x:v>413</x:v>
      </x:c>
      <x:c r="K25" s="6" t="n">
        <x:v>436</x:v>
      </x:c>
      <x:c r="L25" s="6" t="n">
        <x:v>10</x:v>
      </x:c>
      <x:c r="M25" s="11" t="n">
        <x:v>0.8135042735042735</x:v>
      </x:c>
      <x:c r="N25" s="6" t="n">
        <x:v>1890000</x:v>
      </x:c>
    </x:row>
    <x:row r="26" ht="24" customHeight="1">
      <x:c r="A26" s="2" t="str">
        <x:v>2026-10-05_Day</x:v>
      </x:c>
      <x:c r="B26" s="6" t="str">
        <x:v>デイ</x:v>
      </x:c>
      <x:c r="C26" s="6" t="n">
        <x:v>757000</x:v>
      </x:c>
      <x:c r="D26" s="6" t="n">
        <x:v>2192000</x:v>
      </x:c>
      <x:c r="E26" s="6" t="n">
        <x:f>C26-D26</x:f>
        <x:v>-1435000</x:v>
      </x:c>
      <x:c r="F26" s="6" t="n">
        <x:f>F25+E26</x:f>
        <x:v>-32613000</x:v>
      </x:c>
      <x:c r="G26" s="6" t="n">
        <x:v>499000</x:v>
      </x:c>
      <x:c r="H26" s="6" t="n">
        <x:v>1934000</x:v>
      </x:c>
      <x:c r="I26" s="6" t="n">
        <x:v>114</x:v>
      </x:c>
      <x:c r="J26" s="6" t="n">
        <x:v>351</x:v>
      </x:c>
      <x:c r="K26" s="6" t="n">
        <x:v>355</x:v>
      </x:c>
      <x:c r="L26" s="6" t="n">
        <x:v>10</x:v>
      </x:c>
      <x:c r="M26" s="11" t="n">
        <x:v>0.8694444444444445</x:v>
      </x:c>
      <x:c r="N26" s="6" t="n">
        <x:v>1499000</x:v>
      </x:c>
    </x:row>
    <x:row r="27" ht="24" customHeight="1">
      <x:c r="A27" s="2" t="str">
        <x:v>2026-10-05_Night</x:v>
      </x:c>
      <x:c r="B27" s="6" t="str">
        <x:v>ナイト</x:v>
      </x:c>
      <x:c r="C27" s="6" t="n">
        <x:v>781000</x:v>
      </x:c>
      <x:c r="D27" s="6" t="n">
        <x:v>2339000</x:v>
      </x:c>
      <x:c r="E27" s="6" t="n">
        <x:f>C27-D27</x:f>
        <x:v>-1558000</x:v>
      </x:c>
      <x:c r="F27" s="6" t="n">
        <x:f>F26+E27</x:f>
        <x:v>-34171000</x:v>
      </x:c>
      <x:c r="G27" s="6" t="n">
        <x:v>576000</x:v>
      </x:c>
      <x:c r="H27" s="6" t="n">
        <x:v>2134000</x:v>
      </x:c>
      <x:c r="I27" s="6" t="n">
        <x:v>146</x:v>
      </x:c>
      <x:c r="J27" s="6" t="n">
        <x:v>319</x:v>
      </x:c>
      <x:c r="K27" s="6" t="n">
        <x:v>318</x:v>
      </x:c>
      <x:c r="L27" s="6" t="n">
        <x:v>10</x:v>
      </x:c>
      <x:c r="M27" s="11" t="n">
        <x:v>0.8193162393162393</x:v>
      </x:c>
      <x:c r="N27" s="6" t="n">
        <x:v>1668000</x:v>
      </x:c>
    </x:row>
    <x:row r="28" ht="24" customHeight="1">
      <x:c r="A28" s="2" t="str">
        <x:v>2026-10-06_Day</x:v>
      </x:c>
      <x:c r="B28" s="6" t="str">
        <x:v>デイ</x:v>
      </x:c>
      <x:c r="C28" s="6" t="n">
        <x:v>722000</x:v>
      </x:c>
      <x:c r="D28" s="6" t="n">
        <x:v>1615000</x:v>
      </x:c>
      <x:c r="E28" s="6" t="n">
        <x:f>C28-D28</x:f>
        <x:v>-893000</x:v>
      </x:c>
      <x:c r="F28" s="6" t="n">
        <x:f>F27+E28</x:f>
        <x:v>-35064000</x:v>
      </x:c>
      <x:c r="G28" s="6" t="n">
        <x:v>579000</x:v>
      </x:c>
      <x:c r="H28" s="6" t="n">
        <x:v>1472000</x:v>
      </x:c>
      <x:c r="I28" s="6" t="n">
        <x:v>105</x:v>
      </x:c>
      <x:c r="J28" s="6" t="n">
        <x:v>287</x:v>
      </x:c>
      <x:c r="K28" s="6" t="n">
        <x:v>282</x:v>
      </x:c>
      <x:c r="L28" s="6" t="n">
        <x:v>10</x:v>
      </x:c>
      <x:c r="M28" s="11" t="n">
        <x:v>0.7837698412698413</x:v>
      </x:c>
      <x:c r="N28" s="6" t="n">
        <x:v>912000</x:v>
      </x:c>
    </x:row>
    <x:row r="29" ht="24" customHeight="1">
      <x:c r="A29" s="2" t="str">
        <x:v>2026-10-06_Night</x:v>
      </x:c>
      <x:c r="B29" s="6" t="str">
        <x:v>ナイト</x:v>
      </x:c>
      <x:c r="C29" s="6" t="n">
        <x:v>434000</x:v>
      </x:c>
      <x:c r="D29" s="6" t="n">
        <x:v>1541000</x:v>
      </x:c>
      <x:c r="E29" s="6" t="n">
        <x:f>C29-D29</x:f>
        <x:v>-1107000</x:v>
      </x:c>
      <x:c r="F29" s="6" t="n">
        <x:f>F28+E29</x:f>
        <x:v>-36171000</x:v>
      </x:c>
      <x:c r="G29" s="6" t="n">
        <x:v>315000</x:v>
      </x:c>
      <x:c r="H29" s="6" t="n">
        <x:v>1422000</x:v>
      </x:c>
      <x:c r="I29" s="6" t="n">
        <x:v>113</x:v>
      </x:c>
      <x:c r="J29" s="6" t="n">
        <x:v>294</x:v>
      </x:c>
      <x:c r="K29" s="6" t="n">
        <x:v>292</x:v>
      </x:c>
      <x:c r="L29" s="6" t="n">
        <x:v>10</x:v>
      </x:c>
      <x:c r="M29" s="11" t="n">
        <x:v>0.7676923076923077</x:v>
      </x:c>
      <x:c r="N29" s="6" t="n">
        <x:v>1134000</x:v>
      </x:c>
    </x:row>
    <x:row r="30" ht="24" customHeight="1">
      <x:c r="A30" s="2" t="str">
        <x:v>2026-10-07_Day</x:v>
      </x:c>
      <x:c r="B30" s="6" t="str">
        <x:v>デイ</x:v>
      </x:c>
      <x:c r="C30" s="6" t="n">
        <x:v>510000</x:v>
      </x:c>
      <x:c r="D30" s="6" t="n">
        <x:v>1608000</x:v>
      </x:c>
      <x:c r="E30" s="6" t="n">
        <x:f>C30-D30</x:f>
        <x:v>-1098000</x:v>
      </x:c>
      <x:c r="F30" s="6" t="n">
        <x:f>F29+E30</x:f>
        <x:v>-37269000</x:v>
      </x:c>
      <x:c r="G30" s="6" t="n">
        <x:v>351000</x:v>
      </x:c>
      <x:c r="H30" s="6" t="n">
        <x:v>1449000</x:v>
      </x:c>
      <x:c r="I30" s="6" t="n">
        <x:v>96</x:v>
      </x:c>
      <x:c r="J30" s="6" t="n">
        <x:v>304</x:v>
      </x:c>
      <x:c r="K30" s="6" t="n">
        <x:v>300</x:v>
      </x:c>
      <x:c r="L30" s="6" t="n">
        <x:v>10</x:v>
      </x:c>
      <x:c r="M30" s="11" t="n">
        <x:v>0.8502380952380952</x:v>
      </x:c>
      <x:c r="N30" s="6" t="n">
        <x:v>1103000</x:v>
      </x:c>
    </x:row>
    <x:row r="31" ht="24" customHeight="1">
      <x:c r="A31" s="2" t="str">
        <x:v>2026-10-07_Night</x:v>
      </x:c>
      <x:c r="B31" s="6" t="str">
        <x:v>ナイト</x:v>
      </x:c>
      <x:c r="C31" s="6" t="n">
        <x:v>572000</x:v>
      </x:c>
      <x:c r="D31" s="6" t="n">
        <x:v>2311000</x:v>
      </x:c>
      <x:c r="E31" s="6" t="n">
        <x:f>C31-D31</x:f>
        <x:v>-1739000</x:v>
      </x:c>
      <x:c r="F31" s="6" t="n">
        <x:f>F30+E31</x:f>
        <x:v>-39008000</x:v>
      </x:c>
      <x:c r="G31" s="6" t="n">
        <x:v>342000</x:v>
      </x:c>
      <x:c r="H31" s="6" t="n">
        <x:v>2081000</x:v>
      </x:c>
      <x:c r="I31" s="6" t="n">
        <x:v>145</x:v>
      </x:c>
      <x:c r="J31" s="6" t="n">
        <x:v>427</x:v>
      </x:c>
      <x:c r="K31" s="6" t="n">
        <x:v>443</x:v>
      </x:c>
      <x:c r="L31" s="6" t="n">
        <x:v>10</x:v>
      </x:c>
      <x:c r="M31" s="11" t="n">
        <x:v>0.8442094017094017</x:v>
      </x:c>
      <x:c r="N31" s="6" t="n">
        <x:v>1744000</x:v>
      </x:c>
    </x:row>
    <x:row r="32" ht="24" customHeight="1">
      <x:c r="A32" s="2" t="str">
        <x:v>2026-10-08_Day</x:v>
      </x:c>
      <x:c r="B32" s="6" t="str">
        <x:v>デイ</x:v>
      </x:c>
      <x:c r="C32" s="6" t="n">
        <x:v>1381000</x:v>
      </x:c>
      <x:c r="D32" s="6" t="n">
        <x:v>2135000</x:v>
      </x:c>
      <x:c r="E32" s="6" t="n">
        <x:f>C32-D32</x:f>
        <x:v>-754000</x:v>
      </x:c>
      <x:c r="F32" s="6" t="n">
        <x:f>F31+E32</x:f>
        <x:v>-39762000</x:v>
      </x:c>
      <x:c r="G32" s="6" t="n">
        <x:v>1111000</x:v>
      </x:c>
      <x:c r="H32" s="6" t="n">
        <x:v>1865000</x:v>
      </x:c>
      <x:c r="I32" s="6" t="n">
        <x:v>122</x:v>
      </x:c>
      <x:c r="J32" s="6" t="n">
        <x:v>361</x:v>
      </x:c>
      <x:c r="K32" s="6" t="n">
        <x:v>364</x:v>
      </x:c>
      <x:c r="L32" s="6" t="n">
        <x:v>10</x:v>
      </x:c>
      <x:c r="M32" s="11" t="n">
        <x:v>0.858452380952381</x:v>
      </x:c>
      <x:c r="N32" s="6" t="n">
        <x:v>1262000</x:v>
      </x:c>
    </x:row>
    <x:row r="33" ht="24" customHeight="1">
      <x:c r="A33" s="2" t="str">
        <x:v>2026-10-08_Night</x:v>
      </x:c>
      <x:c r="B33" s="6" t="str">
        <x:v>ナイト</x:v>
      </x:c>
      <x:c r="C33" s="6" t="n">
        <x:v>1730000</x:v>
      </x:c>
      <x:c r="D33" s="6" t="n">
        <x:v>3950000</x:v>
      </x:c>
      <x:c r="E33" s="6" t="n">
        <x:f>C33-D33</x:f>
        <x:v>-2220000</x:v>
      </x:c>
      <x:c r="F33" s="6" t="n">
        <x:f>F32+E33</x:f>
        <x:v>-41982000</x:v>
      </x:c>
      <x:c r="G33" s="6" t="n">
        <x:v>1339000</x:v>
      </x:c>
      <x:c r="H33" s="6" t="n">
        <x:v>3559000</x:v>
      </x:c>
      <x:c r="I33" s="6" t="n">
        <x:v>206</x:v>
      </x:c>
      <x:c r="J33" s="6" t="n">
        <x:v>441</x:v>
      </x:c>
      <x:c r="K33" s="6" t="n">
        <x:v>456</x:v>
      </x:c>
      <x:c r="L33" s="6" t="n">
        <x:v>10</x:v>
      </x:c>
      <x:c r="M33" s="11" t="n">
        <x:v>0.8313675213675213</x:v>
      </x:c>
      <x:c r="N33" s="6" t="n">
        <x:v>2246000</x:v>
      </x:c>
    </x:row>
    <x:row r="34" ht="24" customHeight="1">
      <x:c r="A34" s="2" t="str">
        <x:v>2026-10-09_Day</x:v>
      </x:c>
      <x:c r="B34" s="6" t="str">
        <x:v>デイ</x:v>
      </x:c>
      <x:c r="C34" s="6" t="n">
        <x:v>1224000</x:v>
      </x:c>
      <x:c r="D34" s="6" t="n">
        <x:v>2473000</x:v>
      </x:c>
      <x:c r="E34" s="6" t="n">
        <x:f>C34-D34</x:f>
        <x:v>-1249000</x:v>
      </x:c>
      <x:c r="F34" s="6" t="n">
        <x:f>F33+E34</x:f>
        <x:v>-43231000</x:v>
      </x:c>
      <x:c r="G34" s="6" t="n">
        <x:v>1017000</x:v>
      </x:c>
      <x:c r="H34" s="6" t="n">
        <x:v>2266000</x:v>
      </x:c>
      <x:c r="I34" s="6" t="n">
        <x:v>124</x:v>
      </x:c>
      <x:c r="J34" s="6" t="n">
        <x:v>326</x:v>
      </x:c>
      <x:c r="K34" s="6" t="n">
        <x:v>317</x:v>
      </x:c>
      <x:c r="L34" s="6" t="n">
        <x:v>10</x:v>
      </x:c>
      <x:c r="M34" s="11" t="n">
        <x:v>0.8478968253968254</x:v>
      </x:c>
      <x:c r="N34" s="6" t="n">
        <x:v>1488000</x:v>
      </x:c>
    </x:row>
    <x:row r="35" ht="24" customHeight="1">
      <x:c r="A35" s="2" t="str">
        <x:v>2026-10-09_Night</x:v>
      </x:c>
      <x:c r="B35" s="6" t="str">
        <x:v>ナイト</x:v>
      </x:c>
      <x:c r="C35" s="6" t="n">
        <x:v>329000</x:v>
      </x:c>
      <x:c r="D35" s="6" t="n">
        <x:v>2010000</x:v>
      </x:c>
      <x:c r="E35" s="6" t="n">
        <x:f>C35-D35</x:f>
        <x:v>-1681000</x:v>
      </x:c>
      <x:c r="F35" s="6" t="n">
        <x:f>F34+E35</x:f>
        <x:v>-44912000</x:v>
      </x:c>
      <x:c r="G35" s="6" t="n">
        <x:v>176000</x:v>
      </x:c>
      <x:c r="H35" s="6" t="n">
        <x:v>1857000</x:v>
      </x:c>
      <x:c r="I35" s="6" t="n">
        <x:v>124</x:v>
      </x:c>
      <x:c r="J35" s="6" t="n">
        <x:v>259</x:v>
      </x:c>
      <x:c r="K35" s="6" t="n">
        <x:v>271</x:v>
      </x:c>
      <x:c r="L35" s="6" t="n">
        <x:v>10</x:v>
      </x:c>
      <x:c r="M35" s="11" t="n">
        <x:v>0.8153632478632479</x:v>
      </x:c>
      <x:c r="N35" s="6" t="n">
        <x:v>1728000</x:v>
      </x:c>
    </x:row>
    <x:row r="36" ht="24" customHeight="1">
      <x:c r="A36" s="2" t="str">
        <x:v>2026-10-12_Day</x:v>
      </x:c>
      <x:c r="B36" s="6" t="str">
        <x:v>デイ</x:v>
      </x:c>
      <x:c r="C36" s="6" t="n">
        <x:v>363000</x:v>
      </x:c>
      <x:c r="D36" s="6" t="n">
        <x:v>1054000</x:v>
      </x:c>
      <x:c r="E36" s="6" t="n">
        <x:f>C36-D36</x:f>
        <x:v>-691000</x:v>
      </x:c>
      <x:c r="F36" s="6" t="n">
        <x:f>F35+E36</x:f>
        <x:v>-45603000</x:v>
      </x:c>
      <x:c r="G36" s="6" t="n">
        <x:v>240000</x:v>
      </x:c>
      <x:c r="H36" s="6" t="n">
        <x:v>931000</x:v>
      </x:c>
      <x:c r="I36" s="6" t="n">
        <x:v>74</x:v>
      </x:c>
      <x:c r="J36" s="6" t="n">
        <x:v>153</x:v>
      </x:c>
      <x:c r="K36" s="6" t="n">
        <x:v>141</x:v>
      </x:c>
      <x:c r="L36" s="6" t="n">
        <x:v>10</x:v>
      </x:c>
      <x:c r="M36" s="11" t="n">
        <x:v>0.7503571428571428</x:v>
      </x:c>
      <x:c r="N36" s="6" t="n">
        <x:v>697000</x:v>
      </x:c>
    </x:row>
    <x:row r="37" ht="24" customHeight="1">
      <x:c r="A37" s="2" t="str">
        <x:v>2026-10-12_Night</x:v>
      </x:c>
      <x:c r="B37" s="6" t="str">
        <x:v>ナイト</x:v>
      </x:c>
      <x:c r="C37" s="6" t="n">
        <x:v>412000</x:v>
      </x:c>
      <x:c r="D37" s="6" t="n">
        <x:v>1144000</x:v>
      </x:c>
      <x:c r="E37" s="6" t="n">
        <x:f>C37-D37</x:f>
        <x:v>-732000</x:v>
      </x:c>
      <x:c r="F37" s="6" t="n">
        <x:f>F36+E37</x:f>
        <x:v>-46335000</x:v>
      </x:c>
      <x:c r="G37" s="6" t="n">
        <x:v>314000</x:v>
      </x:c>
      <x:c r="H37" s="6" t="n">
        <x:v>1046000</x:v>
      </x:c>
      <x:c r="I37" s="6" t="n">
        <x:v>83</x:v>
      </x:c>
      <x:c r="J37" s="6" t="n">
        <x:v>169</x:v>
      </x:c>
      <x:c r="K37" s="6" t="n">
        <x:v>185</x:v>
      </x:c>
      <x:c r="L37" s="6" t="n">
        <x:v>10</x:v>
      </x:c>
      <x:c r="M37" s="11" t="n">
        <x:v>0.6752777777777778</x:v>
      </x:c>
      <x:c r="N37" s="6" t="n">
        <x:v>754000</x:v>
      </x:c>
    </x:row>
    <x:row r="38" ht="24" customHeight="1">
      <x:c r="A38" s="2" t="str">
        <x:v>2026-10-13_Day</x:v>
      </x:c>
      <x:c r="B38" s="6" t="str">
        <x:v>デイ</x:v>
      </x:c>
      <x:c r="C38" s="6" t="n">
        <x:v>1218000</x:v>
      </x:c>
      <x:c r="D38" s="6" t="n">
        <x:v>3492000</x:v>
      </x:c>
      <x:c r="E38" s="6" t="n">
        <x:f>C38-D38</x:f>
        <x:v>-2274000</x:v>
      </x:c>
      <x:c r="F38" s="6" t="n">
        <x:f>F37+E38</x:f>
        <x:v>-48609000</x:v>
      </x:c>
      <x:c r="G38" s="6" t="n">
        <x:v>942000</x:v>
      </x:c>
      <x:c r="H38" s="6" t="n">
        <x:v>3216000</x:v>
      </x:c>
      <x:c r="I38" s="6" t="n">
        <x:v>137</x:v>
      </x:c>
      <x:c r="J38" s="6" t="n">
        <x:v>381</x:v>
      </x:c>
      <x:c r="K38" s="6" t="n">
        <x:v>388</x:v>
      </x:c>
      <x:c r="L38" s="6" t="n">
        <x:v>10</x:v>
      </x:c>
      <x:c r="M38" s="11" t="n">
        <x:v>0.8570238095238095</x:v>
      </x:c>
      <x:c r="N38" s="6" t="n">
        <x:v>2429000</x:v>
      </x:c>
    </x:row>
    <x:row r="39" ht="24" customHeight="1">
      <x:c r="A39" s="2" t="str">
        <x:v>2026-10-13_Night</x:v>
      </x:c>
      <x:c r="B39" s="6" t="str">
        <x:v>ナイト</x:v>
      </x:c>
      <x:c r="C39" s="6" t="n">
        <x:v>518000</x:v>
      </x:c>
      <x:c r="D39" s="6" t="n">
        <x:v>1702000</x:v>
      </x:c>
      <x:c r="E39" s="6" t="n">
        <x:f>C39-D39</x:f>
        <x:v>-1184000</x:v>
      </x:c>
      <x:c r="F39" s="6" t="n">
        <x:f>F38+E39</x:f>
        <x:v>-49793000</x:v>
      </x:c>
      <x:c r="G39" s="6" t="n">
        <x:v>335000</x:v>
      </x:c>
      <x:c r="H39" s="6" t="n">
        <x:v>1519000</x:v>
      </x:c>
      <x:c r="I39" s="6" t="n">
        <x:v>123</x:v>
      </x:c>
      <x:c r="J39" s="6" t="n">
        <x:v>284</x:v>
      </x:c>
      <x:c r="K39" s="6" t="n">
        <x:v>294</x:v>
      </x:c>
      <x:c r="L39" s="6" t="n">
        <x:v>10</x:v>
      </x:c>
      <x:c r="M39" s="11" t="n">
        <x:v>0.7573290598290598</x:v>
      </x:c>
      <x:c r="N39" s="6" t="n">
        <x:v>1200000</x:v>
      </x:c>
    </x:row>
    <x:row r="40" ht="24" customHeight="1">
      <x:c r="A40" s="2" t="str">
        <x:v>2026-10-14_Day</x:v>
      </x:c>
      <x:c r="B40" s="6" t="str">
        <x:v>デイ</x:v>
      </x:c>
      <x:c r="C40" s="6" t="n">
        <x:v>1027000</x:v>
      </x:c>
      <x:c r="D40" s="6" t="n">
        <x:v>2615000</x:v>
      </x:c>
      <x:c r="E40" s="6" t="n">
        <x:f>C40-D40</x:f>
        <x:v>-1588000</x:v>
      </x:c>
      <x:c r="F40" s="6" t="n">
        <x:f>F39+E40</x:f>
        <x:v>-51381000</x:v>
      </x:c>
      <x:c r="G40" s="6" t="n">
        <x:v>845000</x:v>
      </x:c>
      <x:c r="H40" s="6" t="n">
        <x:v>2433000</x:v>
      </x:c>
      <x:c r="I40" s="6" t="n">
        <x:v>130</x:v>
      </x:c>
      <x:c r="J40" s="6" t="n">
        <x:v>310</x:v>
      </x:c>
      <x:c r="K40" s="6" t="n">
        <x:v>330</x:v>
      </x:c>
      <x:c r="L40" s="6" t="n">
        <x:v>10</x:v>
      </x:c>
      <x:c r="M40" s="11" t="n">
        <x:v>0.8512301587301587</x:v>
      </x:c>
      <x:c r="N40" s="6" t="n">
        <x:v>1794000</x:v>
      </x:c>
    </x:row>
    <x:row r="41" ht="24" customHeight="1">
      <x:c r="A41" s="2" t="str">
        <x:v>2026-10-14_Night</x:v>
      </x:c>
      <x:c r="B41" s="6" t="str">
        <x:v>ナイト</x:v>
      </x:c>
      <x:c r="C41" s="6" t="n">
        <x:v>1644000</x:v>
      </x:c>
      <x:c r="D41" s="6" t="n">
        <x:v>3413000</x:v>
      </x:c>
      <x:c r="E41" s="6" t="n">
        <x:f>C41-D41</x:f>
        <x:v>-1769000</x:v>
      </x:c>
      <x:c r="F41" s="6" t="n">
        <x:f>F40+E41</x:f>
        <x:v>-53150000</x:v>
      </x:c>
      <x:c r="G41" s="6" t="n">
        <x:v>1338000</x:v>
      </x:c>
      <x:c r="H41" s="6" t="n">
        <x:v>3107000</x:v>
      </x:c>
      <x:c r="I41" s="6" t="n">
        <x:v>177</x:v>
      </x:c>
      <x:c r="J41" s="6" t="n">
        <x:v>446</x:v>
      </x:c>
      <x:c r="K41" s="6" t="n">
        <x:v>453</x:v>
      </x:c>
      <x:c r="L41" s="6" t="n">
        <x:v>10</x:v>
      </x:c>
      <x:c r="M41" s="11" t="n">
        <x:v>0.8406623931623932</x:v>
      </x:c>
      <x:c r="N41" s="6" t="n">
        <x:v>1885000</x:v>
      </x:c>
    </x:row>
    <x:row r="42" ht="24" customHeight="1">
      <x:c r="A42" s="2" t="str">
        <x:v>2026-10-15_Day</x:v>
      </x:c>
      <x:c r="B42" s="6" t="str">
        <x:v>デイ</x:v>
      </x:c>
      <x:c r="C42" s="6" t="n">
        <x:v>2429000</x:v>
      </x:c>
      <x:c r="D42" s="6" t="n">
        <x:v>5239000</x:v>
      </x:c>
      <x:c r="E42" s="6" t="n">
        <x:f>C42-D42</x:f>
        <x:v>-2810000</x:v>
      </x:c>
      <x:c r="F42" s="6" t="n">
        <x:f>F41+E42</x:f>
        <x:v>-55960000</x:v>
      </x:c>
      <x:c r="G42" s="6" t="n">
        <x:v>2208000</x:v>
      </x:c>
      <x:c r="H42" s="6" t="n">
        <x:v>5018000</x:v>
      </x:c>
      <x:c r="I42" s="6" t="n">
        <x:v>219</x:v>
      </x:c>
      <x:c r="J42" s="6" t="n">
        <x:v>353</x:v>
      </x:c>
      <x:c r="K42" s="6" t="n">
        <x:v>373</x:v>
      </x:c>
      <x:c r="L42" s="6" t="n">
        <x:v>10</x:v>
      </x:c>
      <x:c r="M42" s="11" t="n">
        <x:v>0.8270238095238095</x:v>
      </x:c>
      <x:c r="N42" s="6" t="n">
        <x:v>2981000</x:v>
      </x:c>
    </x:row>
    <x:row r="43" ht="24" customHeight="1">
      <x:c r="A43" s="2" t="str">
        <x:v>2026-10-15_Night</x:v>
      </x:c>
      <x:c r="B43" s="6" t="str">
        <x:v>ナイト</x:v>
      </x:c>
      <x:c r="C43" s="6" t="n">
        <x:v>2068000</x:v>
      </x:c>
      <x:c r="D43" s="6" t="n">
        <x:v>4842000</x:v>
      </x:c>
      <x:c r="E43" s="6" t="n">
        <x:f>C43-D43</x:f>
        <x:v>-2774000</x:v>
      </x:c>
      <x:c r="F43" s="6" t="n">
        <x:f>F42+E43</x:f>
        <x:v>-58734000</x:v>
      </x:c>
      <x:c r="G43" s="6" t="n">
        <x:v>1721000</x:v>
      </x:c>
      <x:c r="H43" s="6" t="n">
        <x:v>4495000</x:v>
      </x:c>
      <x:c r="I43" s="6" t="n">
        <x:v>251</x:v>
      </x:c>
      <x:c r="J43" s="6" t="n">
        <x:v>425</x:v>
      </x:c>
      <x:c r="K43" s="6" t="n">
        <x:v>459</x:v>
      </x:c>
      <x:c r="L43" s="6" t="n">
        <x:v>10</x:v>
      </x:c>
      <x:c r="M43" s="11" t="n">
        <x:v>0.7927777777777778</x:v>
      </x:c>
      <x:c r="N43" s="6" t="n">
        <x:v>2814000</x:v>
      </x:c>
    </x:row>
    <x:row r="44" ht="24" customHeight="1">
      <x:c r="A44" s="2" t="str">
        <x:v>2026-10-16_Day</x:v>
      </x:c>
      <x:c r="B44" s="6" t="str">
        <x:v>デイ</x:v>
      </x:c>
      <x:c r="C44" s="6" t="n">
        <x:v>1685000</x:v>
      </x:c>
      <x:c r="D44" s="6" t="n">
        <x:v>3679000</x:v>
      </x:c>
      <x:c r="E44" s="6" t="n">
        <x:f>C44-D44</x:f>
        <x:v>-1994000</x:v>
      </x:c>
      <x:c r="F44" s="6" t="n">
        <x:f>F43+E44</x:f>
        <x:v>-60728000</x:v>
      </x:c>
      <x:c r="G44" s="6" t="n">
        <x:v>1354000</x:v>
      </x:c>
      <x:c r="H44" s="6" t="n">
        <x:v>3348000</x:v>
      </x:c>
      <x:c r="I44" s="6" t="n">
        <x:v>159</x:v>
      </x:c>
      <x:c r="J44" s="6" t="n">
        <x:v>361</x:v>
      </x:c>
      <x:c r="K44" s="6" t="n">
        <x:v>392</x:v>
      </x:c>
      <x:c r="L44" s="6" t="n">
        <x:v>10</x:v>
      </x:c>
      <x:c r="M44" s="11" t="n">
        <x:v>0.8563888888888889</x:v>
      </x:c>
      <x:c r="N44" s="6" t="n">
        <x:v>2060000</x:v>
      </x:c>
    </x:row>
    <x:row r="45" ht="24" customHeight="1">
      <x:c r="A45" s="2" t="str">
        <x:v>2026-10-16_Night</x:v>
      </x:c>
      <x:c r="B45" s="6" t="str">
        <x:v>ナイト</x:v>
      </x:c>
      <x:c r="C45" s="6" t="n">
        <x:v>1988000</x:v>
      </x:c>
      <x:c r="D45" s="6" t="n">
        <x:v>5106000</x:v>
      </x:c>
      <x:c r="E45" s="6" t="n">
        <x:f>C45-D45</x:f>
        <x:v>-3118000</x:v>
      </x:c>
      <x:c r="F45" s="6" t="n">
        <x:f>F44+E45</x:f>
        <x:v>-63846000</x:v>
      </x:c>
      <x:c r="G45" s="6" t="n">
        <x:v>1693000</x:v>
      </x:c>
      <x:c r="H45" s="6" t="n">
        <x:v>4811000</x:v>
      </x:c>
      <x:c r="I45" s="6" t="n">
        <x:v>257</x:v>
      </x:c>
      <x:c r="J45" s="6" t="n">
        <x:v>496</x:v>
      </x:c>
      <x:c r="K45" s="6" t="n">
        <x:v>492</x:v>
      </x:c>
      <x:c r="L45" s="6" t="n">
        <x:v>10</x:v>
      </x:c>
      <x:c r="M45" s="11" t="n">
        <x:v>0.8064743589743589</x:v>
      </x:c>
      <x:c r="N45" s="6" t="n">
        <x:v>3157000</x:v>
      </x:c>
    </x:row>
    <x:row r="46" ht="24" customHeight="1">
      <x:c r="A46" s="2" t="str">
        <x:v>2026-10-19_Day</x:v>
      </x:c>
      <x:c r="B46" s="6" t="str">
        <x:v>デイ</x:v>
      </x:c>
      <x:c r="C46" s="6" t="n">
        <x:v>1725000</x:v>
      </x:c>
      <x:c r="D46" s="6" t="n">
        <x:v>4408000</x:v>
      </x:c>
      <x:c r="E46" s="6" t="n">
        <x:f>C46-D46</x:f>
        <x:v>-2683000</x:v>
      </x:c>
      <x:c r="F46" s="6" t="n">
        <x:f>F45+E46</x:f>
        <x:v>-66529000</x:v>
      </x:c>
      <x:c r="G46" s="6" t="n">
        <x:v>1571000</x:v>
      </x:c>
      <x:c r="H46" s="6" t="n">
        <x:v>4254000</x:v>
      </x:c>
      <x:c r="I46" s="6" t="n">
        <x:v>175</x:v>
      </x:c>
      <x:c r="J46" s="6" t="n">
        <x:v>318</x:v>
      </x:c>
      <x:c r="K46" s="6" t="n">
        <x:v>341</x:v>
      </x:c>
      <x:c r="L46" s="6" t="n">
        <x:v>10</x:v>
      </x:c>
      <x:c r="M46" s="11" t="n">
        <x:v>0.824484126984127</x:v>
      </x:c>
      <x:c r="N46" s="6" t="n">
        <x:v>2703000</x:v>
      </x:c>
    </x:row>
    <x:row r="47" ht="24" customHeight="1">
      <x:c r="A47" s="2" t="str">
        <x:v>2026-10-19_Night</x:v>
      </x:c>
      <x:c r="B47" s="6" t="str">
        <x:v>ナイト</x:v>
      </x:c>
      <x:c r="C47" s="6" t="n">
        <x:v>1048000</x:v>
      </x:c>
      <x:c r="D47" s="6" t="n">
        <x:v>3500000</x:v>
      </x:c>
      <x:c r="E47" s="6" t="n">
        <x:f>C47-D47</x:f>
        <x:v>-2452000</x:v>
      </x:c>
      <x:c r="F47" s="6" t="n">
        <x:f>F46+E47</x:f>
        <x:v>-68981000</x:v>
      </x:c>
      <x:c r="G47" s="6" t="n">
        <x:v>810000</x:v>
      </x:c>
      <x:c r="H47" s="6" t="n">
        <x:v>3262000</x:v>
      </x:c>
      <x:c r="I47" s="6" t="n">
        <x:v>201</x:v>
      </x:c>
      <x:c r="J47" s="6" t="n">
        <x:v>396</x:v>
      </x:c>
      <x:c r="K47" s="6" t="n">
        <x:v>427</x:v>
      </x:c>
      <x:c r="L47" s="6" t="n">
        <x:v>10</x:v>
      </x:c>
      <x:c r="M47" s="11" t="n">
        <x:v>0.8001923076923076</x:v>
      </x:c>
      <x:c r="N47" s="6" t="n">
        <x:v>2480000</x:v>
      </x:c>
    </x:row>
    <x:row r="48" ht="24" customHeight="1">
      <x:c r="A48" s="2" t="str">
        <x:v>2026-10-20_Day</x:v>
      </x:c>
      <x:c r="B48" s="6" t="str">
        <x:v>デイ</x:v>
      </x:c>
      <x:c r="C48" s="6" t="n">
        <x:v>1844000</x:v>
      </x:c>
      <x:c r="D48" s="6" t="n">
        <x:v>4019000</x:v>
      </x:c>
      <x:c r="E48" s="6" t="n">
        <x:f>C48-D48</x:f>
        <x:v>-2175000</x:v>
      </x:c>
      <x:c r="F48" s="6" t="n">
        <x:f>F47+E48</x:f>
        <x:v>-71156000</x:v>
      </x:c>
      <x:c r="G48" s="6" t="n">
        <x:v>1607000</x:v>
      </x:c>
      <x:c r="H48" s="6" t="n">
        <x:v>3782000</x:v>
      </x:c>
      <x:c r="I48" s="6" t="n">
        <x:v>189</x:v>
      </x:c>
      <x:c r="J48" s="6" t="n">
        <x:v>364</x:v>
      </x:c>
      <x:c r="K48" s="6" t="n">
        <x:v>392</x:v>
      </x:c>
      <x:c r="L48" s="6" t="n">
        <x:v>10</x:v>
      </x:c>
      <x:c r="M48" s="11" t="n">
        <x:v>0.8435714285714285</x:v>
      </x:c>
      <x:c r="N48" s="6" t="n">
        <x:v>2209000</x:v>
      </x:c>
    </x:row>
    <x:row r="49" ht="24" customHeight="1">
      <x:c r="A49" s="2" t="str">
        <x:v>2026-10-20_Night</x:v>
      </x:c>
      <x:c r="B49" s="6" t="str">
        <x:v>ナイト</x:v>
      </x:c>
      <x:c r="C49" s="6" t="n">
        <x:v>2008000</x:v>
      </x:c>
      <x:c r="D49" s="6" t="n">
        <x:v>3947000</x:v>
      </x:c>
      <x:c r="E49" s="6" t="n">
        <x:f>C49-D49</x:f>
        <x:v>-1939000</x:v>
      </x:c>
      <x:c r="F49" s="6" t="n">
        <x:f>F48+E49</x:f>
        <x:v>-73095000</x:v>
      </x:c>
      <x:c r="G49" s="6" t="n">
        <x:v>1655000</x:v>
      </x:c>
      <x:c r="H49" s="6" t="n">
        <x:v>3594000</x:v>
      </x:c>
      <x:c r="I49" s="6" t="n">
        <x:v>216</x:v>
      </x:c>
      <x:c r="J49" s="6" t="n">
        <x:v>429</x:v>
      </x:c>
      <x:c r="K49" s="6" t="n">
        <x:v>457</x:v>
      </x:c>
      <x:c r="L49" s="6" t="n">
        <x:v>10</x:v>
      </x:c>
      <x:c r="M49" s="11" t="n">
        <x:v>0.7206410256410256</x:v>
      </x:c>
      <x:c r="N49" s="6" t="n">
        <x:v>2116000</x:v>
      </x:c>
    </x:row>
    <x:row r="50" ht="24" customHeight="1">
      <x:c r="A50" s="2" t="str">
        <x:v>2026-10-21_Day</x:v>
      </x:c>
      <x:c r="B50" s="6" t="str">
        <x:v>デイ</x:v>
      </x:c>
      <x:c r="C50" s="6" t="n">
        <x:v>1543000</x:v>
      </x:c>
      <x:c r="D50" s="6" t="n">
        <x:v>3216000</x:v>
      </x:c>
      <x:c r="E50" s="6" t="n">
        <x:f>C50-D50</x:f>
        <x:v>-1673000</x:v>
      </x:c>
      <x:c r="F50" s="6" t="n">
        <x:f>F49+E50</x:f>
        <x:v>-74768000</x:v>
      </x:c>
      <x:c r="G50" s="6" t="n">
        <x:v>1312000</x:v>
      </x:c>
      <x:c r="H50" s="6" t="n">
        <x:v>2985000</x:v>
      </x:c>
      <x:c r="I50" s="6" t="n">
        <x:v>174</x:v>
      </x:c>
      <x:c r="J50" s="6" t="n">
        <x:v>360</x:v>
      </x:c>
      <x:c r="K50" s="6" t="n">
        <x:v>371</x:v>
      </x:c>
      <x:c r="L50" s="6" t="n">
        <x:v>10</x:v>
      </x:c>
      <x:c r="M50" s="11" t="n">
        <x:v>0.8302777777777778</x:v>
      </x:c>
      <x:c r="N50" s="6" t="n">
        <x:v>1805000</x:v>
      </x:c>
    </x:row>
    <x:row r="51" ht="24" customHeight="1">
      <x:c r="A51" s="2" t="str">
        <x:v>2026-10-21_Night</x:v>
      </x:c>
      <x:c r="B51" s="6" t="str">
        <x:v>ナイト</x:v>
      </x:c>
      <x:c r="C51" s="6" t="n">
        <x:v>1408000</x:v>
      </x:c>
      <x:c r="D51" s="6" t="n">
        <x:v>3152000</x:v>
      </x:c>
      <x:c r="E51" s="6" t="n">
        <x:f>C51-D51</x:f>
        <x:v>-1744000</x:v>
      </x:c>
      <x:c r="F51" s="6" t="n">
        <x:f>F50+E51</x:f>
        <x:v>-76512000</x:v>
      </x:c>
      <x:c r="G51" s="6" t="n">
        <x:v>1180000</x:v>
      </x:c>
      <x:c r="H51" s="6" t="n">
        <x:v>2924000</x:v>
      </x:c>
      <x:c r="I51" s="6" t="n">
        <x:v>181</x:v>
      </x:c>
      <x:c r="J51" s="6" t="n">
        <x:v>350</x:v>
      </x:c>
      <x:c r="K51" s="6" t="n">
        <x:v>377</x:v>
      </x:c>
      <x:c r="L51" s="6" t="n">
        <x:v>10</x:v>
      </x:c>
      <x:c r="M51" s="11" t="n">
        <x:v>0.8066239316239316</x:v>
      </x:c>
      <x:c r="N51" s="6" t="n">
        <x:v>1886000</x:v>
      </x:c>
    </x:row>
    <x:row r="52" ht="24" customHeight="1">
      <x:c r="A52" s="2" t="str">
        <x:v>2026-10-22_Day</x:v>
      </x:c>
      <x:c r="B52" s="6" t="str">
        <x:v>デイ</x:v>
      </x:c>
      <x:c r="C52" s="6" t="n">
        <x:v>1580000</x:v>
      </x:c>
      <x:c r="D52" s="6" t="n">
        <x:v>3485000</x:v>
      </x:c>
      <x:c r="E52" s="6" t="n">
        <x:f>C52-D52</x:f>
        <x:v>-1905000</x:v>
      </x:c>
      <x:c r="F52" s="6" t="n">
        <x:f>F51+E52</x:f>
        <x:v>-78417000</x:v>
      </x:c>
      <x:c r="G52" s="6" t="n">
        <x:v>1318000</x:v>
      </x:c>
      <x:c r="H52" s="6" t="n">
        <x:v>3223000</x:v>
      </x:c>
      <x:c r="I52" s="6" t="n">
        <x:v>179</x:v>
      </x:c>
      <x:c r="J52" s="6" t="n">
        <x:v>365</x:v>
      </x:c>
      <x:c r="K52" s="6" t="n">
        <x:v>364</x:v>
      </x:c>
      <x:c r="L52" s="6" t="n">
        <x:v>10</x:v>
      </x:c>
      <x:c r="M52" s="11" t="n">
        <x:v>0.7911111111111111</x:v>
      </x:c>
      <x:c r="N52" s="6" t="n">
        <x:v>2078000</x:v>
      </x:c>
    </x:row>
    <x:row r="53" ht="24" customHeight="1">
      <x:c r="A53" s="2" t="str">
        <x:v>2026-10-22_Night</x:v>
      </x:c>
      <x:c r="B53" s="6" t="str">
        <x:v>ナイト</x:v>
      </x:c>
      <x:c r="C53" s="6" t="n">
        <x:v>2003000</x:v>
      </x:c>
      <x:c r="D53" s="6" t="n">
        <x:v>3838000</x:v>
      </x:c>
      <x:c r="E53" s="6" t="n">
        <x:f>C53-D53</x:f>
        <x:v>-1835000</x:v>
      </x:c>
      <x:c r="F53" s="6" t="n">
        <x:f>F52+E53</x:f>
        <x:v>-80252000</x:v>
      </x:c>
      <x:c r="G53" s="6" t="n">
        <x:v>1521000</x:v>
      </x:c>
      <x:c r="H53" s="6" t="n">
        <x:v>3356000</x:v>
      </x:c>
      <x:c r="I53" s="6" t="n">
        <x:v>226</x:v>
      </x:c>
      <x:c r="J53" s="6" t="n">
        <x:v>460</x:v>
      </x:c>
      <x:c r="K53" s="6" t="n">
        <x:v>473</x:v>
      </x:c>
      <x:c r="L53" s="6" t="n">
        <x:v>10</x:v>
      </x:c>
      <x:c r="M53" s="11" t="n">
        <x:v>0.8172435897435898</x:v>
      </x:c>
      <x:c r="N53" s="6" t="n">
        <x:v>1946000</x:v>
      </x:c>
    </x:row>
    <x:row r="54" ht="24" customHeight="1">
      <x:c r="A54" s="2" t="str">
        <x:v>2026-10-23_Day</x:v>
      </x:c>
      <x:c r="B54" s="6" t="str">
        <x:v>デイ</x:v>
      </x:c>
      <x:c r="C54" s="6" t="n">
        <x:v>3566000</x:v>
      </x:c>
      <x:c r="D54" s="6" t="n">
        <x:v>7587000</x:v>
      </x:c>
      <x:c r="E54" s="6" t="n">
        <x:f>C54-D54</x:f>
        <x:v>-4021000</x:v>
      </x:c>
      <x:c r="F54" s="6" t="n">
        <x:f>F53+E54</x:f>
        <x:v>-84273000</x:v>
      </x:c>
      <x:c r="G54" s="6" t="n">
        <x:v>3318000</x:v>
      </x:c>
      <x:c r="H54" s="6" t="n">
        <x:v>7339000</x:v>
      </x:c>
      <x:c r="I54" s="6" t="n">
        <x:v>290</x:v>
      </x:c>
      <x:c r="J54" s="6" t="n">
        <x:v>358</x:v>
      </x:c>
      <x:c r="K54" s="6" t="n">
        <x:v>375</x:v>
      </x:c>
      <x:c r="L54" s="6" t="n">
        <x:v>10</x:v>
      </x:c>
      <x:c r="M54" s="11" t="n">
        <x:v>0.8152380952380952</x:v>
      </x:c>
      <x:c r="N54" s="6" t="n">
        <x:v>4085000</x:v>
      </x:c>
    </x:row>
    <x:row r="55" ht="24" customHeight="1">
      <x:c r="A55" s="2" t="str">
        <x:v>2026-10-23_Night</x:v>
      </x:c>
      <x:c r="B55" s="6" t="str">
        <x:v>ナイト</x:v>
      </x:c>
      <x:c r="C55" s="6" t="n">
        <x:v>1218000</x:v>
      </x:c>
      <x:c r="D55" s="6" t="n">
        <x:v>4082000</x:v>
      </x:c>
      <x:c r="E55" s="6" t="n">
        <x:f>C55-D55</x:f>
        <x:v>-2864000</x:v>
      </x:c>
      <x:c r="F55" s="6" t="n">
        <x:f>F54+E55</x:f>
        <x:v>-87137000</x:v>
      </x:c>
      <x:c r="G55" s="6" t="n">
        <x:v>942000</x:v>
      </x:c>
      <x:c r="H55" s="6" t="n">
        <x:v>3806000</x:v>
      </x:c>
      <x:c r="I55" s="6" t="n">
        <x:v>215</x:v>
      </x:c>
      <x:c r="J55" s="6" t="n">
        <x:v>425</x:v>
      </x:c>
      <x:c r="K55" s="6" t="n">
        <x:v>471</x:v>
      </x:c>
      <x:c r="L55" s="6" t="n">
        <x:v>10</x:v>
      </x:c>
      <x:c r="M55" s="11" t="n">
        <x:v>0.8235683760683761</x:v>
      </x:c>
      <x:c r="N55" s="6" t="n">
        <x:v>2937000</x:v>
      </x:c>
    </x:row>
    <x:row r="56" ht="24" customHeight="1">
      <x:c r="A56" s="2" t="str">
        <x:v>2026-10-26_Day</x:v>
      </x:c>
      <x:c r="B56" s="6" t="str">
        <x:v>デイ</x:v>
      </x:c>
      <x:c r="C56" s="6" t="n">
        <x:v>1895000</x:v>
      </x:c>
      <x:c r="D56" s="6" t="n">
        <x:v>5438000</x:v>
      </x:c>
      <x:c r="E56" s="6" t="n">
        <x:f>C56-D56</x:f>
        <x:v>-3543000</x:v>
      </x:c>
      <x:c r="F56" s="6" t="n">
        <x:f>F55+E56</x:f>
        <x:v>-90680000</x:v>
      </x:c>
      <x:c r="G56" s="6" t="n">
        <x:v>1690000</x:v>
      </x:c>
      <x:c r="H56" s="6" t="n">
        <x:v>5233000</x:v>
      </x:c>
      <x:c r="I56" s="6" t="n">
        <x:v>209</x:v>
      </x:c>
      <x:c r="J56" s="6" t="n">
        <x:v>308</x:v>
      </x:c>
      <x:c r="K56" s="6" t="n">
        <x:v>343</x:v>
      </x:c>
      <x:c r="L56" s="6" t="n">
        <x:v>10</x:v>
      </x:c>
      <x:c r="M56" s="11" t="n">
        <x:v>0.8031746031746032</x:v>
      </x:c>
      <x:c r="N56" s="6" t="n">
        <x:v>3545000</x:v>
      </x:c>
    </x:row>
    <x:row r="57" ht="24" customHeight="1">
      <x:c r="A57" s="15" t="str">
        <x:v>累計／平均／最大</x:v>
      </x:c>
      <x:c r="B57" s="16"/>
      <x:c r="C57" s="16" t="n">
        <x:f>SUM(C6:C56)</x:f>
        <x:v>61171000</x:v>
      </x:c>
      <x:c r="D57" s="16" t="n">
        <x:f>SUM(D6:D56)</x:f>
        <x:v>151851000</x:v>
      </x:c>
      <x:c r="E57" s="16" t="n">
        <x:f>C57-D57</x:f>
        <x:v>-90680000</x:v>
      </x:c>
      <x:c r="F57" s="16" t="n">
        <x:f>F56</x:f>
        <x:v>-90680000</x:v>
      </x:c>
      <x:c r="G57" s="16" t="n">
        <x:f>SUM(G6:G56)</x:f>
        <x:v>49680000</x:v>
      </x:c>
      <x:c r="H57" s="16" t="n">
        <x:f>SUM(H6:H56)</x:f>
        <x:v>140360000</x:v>
      </x:c>
      <x:c r="I57" s="16" t="n">
        <x:f>SUM(I6:I56)</x:f>
        <x:v>7964</x:v>
      </x:c>
      <x:c r="J57" s="16" t="n">
        <x:f>SUM(J6:J56)</x:f>
        <x:v>16809</x:v>
      </x:c>
      <x:c r="K57" s="16" t="n">
        <x:f>SUM(K6:K56)</x:f>
        <x:v>17488</x:v>
      </x:c>
      <x:c r="L57" s="16" t="n">
        <x:f>MAX(L6:L56)</x:f>
        <x:v>10</x:v>
      </x:c>
      <x:c r="M57" s="17" t="n">
        <x:f>AVERAGE(M6:M56)</x:f>
        <x:v>0.8060432976609448</x:v>
      </x:c>
      <x:c r="N57" s="16" t="n">
        <x:f>MAX(N6:N56)</x:f>
        <x:v>4085000</x:v>
      </x:c>
    </x:row>
  </x:sheetData>
  <x:conditionalFormatting sqref="E6:F56">
    <x:cfRule type="cellIs" dxfId="24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6e069b6436145a3"/>
  </x:tableParts>
</x:worksheet>
</file>

<file path=xl/worksheets/sheet2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1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4" customHeight="1">
      <x:c r="A1" s="3" t="str">
        <x:v>日経 M18　各セッションの利益・損失・収支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A2" s="4" t="str">
        <x:v>2026/09/21〜10/26デイ・51完了場。日経mini／TOPIXmini各上限10枚・手数料0。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4" customHeight="1">
      <x:c r="A3" s="4" t="str">
        <x:v>300秒の時間加重平均を60秒前と比較。保有中も傾き比例で増減、利益追尾＋傾き反転・増勢後の半減で返済。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4" customHeight="1">
      <x:c r="A4" s="4" t="str">
        <x:v>利益・損失＝FIFO返済配賦別。親＝初回から全返済まで。ラージ気配による模型で、mini実約定の検証ではありません。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42" customHeight="1">
      <x:c r="A5" s="10" t="str">
        <x:v>セッション</x:v>
      </x:c>
      <x:c r="B5" s="10" t="str">
        <x:v>区分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親利益（円）</x:v>
      </x:c>
      <x:c r="H5" s="10" t="str">
        <x:v>親損失（円）</x:v>
      </x:c>
      <x:c r="I5" s="10" t="str">
        <x:v>初回件数</x:v>
      </x:c>
      <x:c r="J5" s="10" t="str">
        <x:v>追加件数</x:v>
      </x:c>
      <x:c r="K5" s="10" t="str">
        <x:v>縮小件数</x:v>
      </x:c>
      <x:c r="L5" s="10" t="str">
        <x:v>最大保有枚数</x:v>
      </x:c>
      <x:c r="M5" s="10" t="str">
        <x:v>保有時間率</x:v>
      </x:c>
      <x:c r="N5" s="10" t="str">
        <x:v>時価最大DD（円）</x:v>
      </x:c>
    </x:row>
    <x:row r="6" ht="24" customHeight="1">
      <x:c r="A6" s="2" t="str">
        <x:v>2026-09-21_Day</x:v>
      </x:c>
      <x:c r="B6" s="6" t="str">
        <x:v>デイ</x:v>
      </x:c>
      <x:c r="C6" s="6" t="n">
        <x:v>332000</x:v>
      </x:c>
      <x:c r="D6" s="6" t="n">
        <x:v>1127000</x:v>
      </x:c>
      <x:c r="E6" s="6" t="n">
        <x:f>C6-D6</x:f>
        <x:v>-795000</x:v>
      </x:c>
      <x:c r="F6" s="6" t="n">
        <x:f>E6</x:f>
        <x:v>-795000</x:v>
      </x:c>
      <x:c r="G6" s="6" t="n">
        <x:v>287000</x:v>
      </x:c>
      <x:c r="H6" s="6" t="n">
        <x:v>1082000</x:v>
      </x:c>
      <x:c r="I6" s="6" t="n">
        <x:v>76</x:v>
      </x:c>
      <x:c r="J6" s="6" t="n">
        <x:v>92</x:v>
      </x:c>
      <x:c r="K6" s="6" t="n">
        <x:v>79</x:v>
      </x:c>
      <x:c r="L6" s="6" t="n">
        <x:v>10</x:v>
      </x:c>
      <x:c r="M6" s="11" t="n">
        <x:v>0.5936111111111111</x:v>
      </x:c>
      <x:c r="N6" s="6" t="n">
        <x:v>812000</x:v>
      </x:c>
    </x:row>
    <x:row r="7" ht="24" customHeight="1">
      <x:c r="A7" s="2" t="str">
        <x:v>2026-09-21_Night</x:v>
      </x:c>
      <x:c r="B7" s="6" t="str">
        <x:v>ナイト</x:v>
      </x:c>
      <x:c r="C7" s="6" t="n">
        <x:v>310000</x:v>
      </x:c>
      <x:c r="D7" s="6" t="n">
        <x:v>1023000</x:v>
      </x:c>
      <x:c r="E7" s="6" t="n">
        <x:f>C7-D7</x:f>
        <x:v>-713000</x:v>
      </x:c>
      <x:c r="F7" s="6" t="n">
        <x:f>F6+E7</x:f>
        <x:v>-1508000</x:v>
      </x:c>
      <x:c r="G7" s="6" t="n">
        <x:v>193000</x:v>
      </x:c>
      <x:c r="H7" s="6" t="n">
        <x:v>906000</x:v>
      </x:c>
      <x:c r="I7" s="6" t="n">
        <x:v>94</x:v>
      </x:c>
      <x:c r="J7" s="6" t="n">
        <x:v>165</x:v>
      </x:c>
      <x:c r="K7" s="6" t="n">
        <x:v>160</x:v>
      </x:c>
      <x:c r="L7" s="6" t="n">
        <x:v>10</x:v>
      </x:c>
      <x:c r="M7" s="11" t="n">
        <x:v>0.67</x:v>
      </x:c>
      <x:c r="N7" s="6" t="n">
        <x:v>775000</x:v>
      </x:c>
    </x:row>
    <x:row r="8" ht="24" customHeight="1">
      <x:c r="A8" s="2" t="str">
        <x:v>2026-09-22_Day</x:v>
      </x:c>
      <x:c r="B8" s="6" t="str">
        <x:v>デイ</x:v>
      </x:c>
      <x:c r="C8" s="6" t="n">
        <x:v>556000</x:v>
      </x:c>
      <x:c r="D8" s="6" t="n">
        <x:v>1759000</x:v>
      </x:c>
      <x:c r="E8" s="6" t="n">
        <x:f>C8-D8</x:f>
        <x:v>-1203000</x:v>
      </x:c>
      <x:c r="F8" s="6" t="n">
        <x:f>F7+E8</x:f>
        <x:v>-2711000</x:v>
      </x:c>
      <x:c r="G8" s="6" t="n">
        <x:v>437000</x:v>
      </x:c>
      <x:c r="H8" s="6" t="n">
        <x:v>1640000</x:v>
      </x:c>
      <x:c r="I8" s="6" t="n">
        <x:v>111</x:v>
      </x:c>
      <x:c r="J8" s="6" t="n">
        <x:v>174</x:v>
      </x:c>
      <x:c r="K8" s="6" t="n">
        <x:v>170</x:v>
      </x:c>
      <x:c r="L8" s="6" t="n">
        <x:v>10</x:v>
      </x:c>
      <x:c r="M8" s="11" t="n">
        <x:v>0.775</x:v>
      </x:c>
      <x:c r="N8" s="6" t="n">
        <x:v>1363000</x:v>
      </x:c>
    </x:row>
    <x:row r="9" ht="24" customHeight="1">
      <x:c r="A9" s="2" t="str">
        <x:v>2026-09-22_Night</x:v>
      </x:c>
      <x:c r="B9" s="6" t="str">
        <x:v>ナイト</x:v>
      </x:c>
      <x:c r="C9" s="6" t="n">
        <x:v>757000</x:v>
      </x:c>
      <x:c r="D9" s="6" t="n">
        <x:v>2154000</x:v>
      </x:c>
      <x:c r="E9" s="6" t="n">
        <x:f>C9-D9</x:f>
        <x:v>-1397000</x:v>
      </x:c>
      <x:c r="F9" s="6" t="n">
        <x:f>F8+E9</x:f>
        <x:v>-4108000</x:v>
      </x:c>
      <x:c r="G9" s="6" t="n">
        <x:v>613000</x:v>
      </x:c>
      <x:c r="H9" s="6" t="n">
        <x:v>2010000</x:v>
      </x:c>
      <x:c r="I9" s="6" t="n">
        <x:v>139</x:v>
      </x:c>
      <x:c r="J9" s="6" t="n">
        <x:v>225</x:v>
      </x:c>
      <x:c r="K9" s="6" t="n">
        <x:v>226</x:v>
      </x:c>
      <x:c r="L9" s="6" t="n">
        <x:v>10</x:v>
      </x:c>
      <x:c r="M9" s="11" t="n">
        <x:v>0.6464102564102564</x:v>
      </x:c>
      <x:c r="N9" s="6" t="n">
        <x:v>1568000</x:v>
      </x:c>
    </x:row>
    <x:row r="10" ht="24" customHeight="1">
      <x:c r="A10" s="2" t="str">
        <x:v>2026-09-23_Day</x:v>
      </x:c>
      <x:c r="B10" s="6" t="str">
        <x:v>デイ</x:v>
      </x:c>
      <x:c r="C10" s="6" t="n">
        <x:v>265000</x:v>
      </x:c>
      <x:c r="D10" s="6" t="n">
        <x:v>1080000</x:v>
      </x:c>
      <x:c r="E10" s="6" t="n">
        <x:f>C10-D10</x:f>
        <x:v>-815000</x:v>
      </x:c>
      <x:c r="F10" s="6" t="n">
        <x:f>F9+E10</x:f>
        <x:v>-4923000</x:v>
      </x:c>
      <x:c r="G10" s="6" t="n">
        <x:v>184000</x:v>
      </x:c>
      <x:c r="H10" s="6" t="n">
        <x:v>999000</x:v>
      </x:c>
      <x:c r="I10" s="6" t="n">
        <x:v>70</x:v>
      </x:c>
      <x:c r="J10" s="6" t="n">
        <x:v>116</x:v>
      </x:c>
      <x:c r="K10" s="6" t="n">
        <x:v>108</x:v>
      </x:c>
      <x:c r="L10" s="6" t="n">
        <x:v>10</x:v>
      </x:c>
      <x:c r="M10" s="11" t="n">
        <x:v>0.7358333333333333</x:v>
      </x:c>
      <x:c r="N10" s="6" t="n">
        <x:v>854000</x:v>
      </x:c>
    </x:row>
    <x:row r="11" ht="24" customHeight="1">
      <x:c r="A11" s="2" t="str">
        <x:v>2026-09-23_Night</x:v>
      </x:c>
      <x:c r="B11" s="6" t="str">
        <x:v>ナイト</x:v>
      </x:c>
      <x:c r="C11" s="6" t="n">
        <x:v>520000</x:v>
      </x:c>
      <x:c r="D11" s="6" t="n">
        <x:v>1686000</x:v>
      </x:c>
      <x:c r="E11" s="6" t="n">
        <x:f>C11-D11</x:f>
        <x:v>-1166000</x:v>
      </x:c>
      <x:c r="F11" s="6" t="n">
        <x:f>F10+E11</x:f>
        <x:v>-6089000</x:v>
      </x:c>
      <x:c r="G11" s="6" t="n">
        <x:v>360000</x:v>
      </x:c>
      <x:c r="H11" s="6" t="n">
        <x:v>1526000</x:v>
      </x:c>
      <x:c r="I11" s="6" t="n">
        <x:v>114</x:v>
      </x:c>
      <x:c r="J11" s="6" t="n">
        <x:v>231</x:v>
      </x:c>
      <x:c r="K11" s="6" t="n">
        <x:v>203</x:v>
      </x:c>
      <x:c r="L11" s="6" t="n">
        <x:v>10</x:v>
      </x:c>
      <x:c r="M11" s="11" t="n">
        <x:v>0.7976282051282051</x:v>
      </x:c>
      <x:c r="N11" s="6" t="n">
        <x:v>1170000</x:v>
      </x:c>
    </x:row>
    <x:row r="12" ht="24" customHeight="1">
      <x:c r="A12" s="2" t="str">
        <x:v>2026-09-24_Day</x:v>
      </x:c>
      <x:c r="B12" s="6" t="str">
        <x:v>デイ</x:v>
      </x:c>
      <x:c r="C12" s="6" t="n">
        <x:v>1218000</x:v>
      </x:c>
      <x:c r="D12" s="6" t="n">
        <x:v>2854000</x:v>
      </x:c>
      <x:c r="E12" s="6" t="n">
        <x:f>C12-D12</x:f>
        <x:v>-1636000</x:v>
      </x:c>
      <x:c r="F12" s="6" t="n">
        <x:f>F11+E12</x:f>
        <x:v>-7725000</x:v>
      </x:c>
      <x:c r="G12" s="6" t="n">
        <x:v>1055000</x:v>
      </x:c>
      <x:c r="H12" s="6" t="n">
        <x:v>2691000</x:v>
      </x:c>
      <x:c r="I12" s="6" t="n">
        <x:v>160</x:v>
      </x:c>
      <x:c r="J12" s="6" t="n">
        <x:v>301</x:v>
      </x:c>
      <x:c r="K12" s="6" t="n">
        <x:v>282</x:v>
      </x:c>
      <x:c r="L12" s="6" t="n">
        <x:v>10</x:v>
      </x:c>
      <x:c r="M12" s="11" t="n">
        <x:v>0.8126984126984127</x:v>
      </x:c>
      <x:c r="N12" s="6" t="n">
        <x:v>1764000</x:v>
      </x:c>
    </x:row>
    <x:row r="13" ht="24" customHeight="1">
      <x:c r="A13" s="2" t="str">
        <x:v>2026-09-24_Night</x:v>
      </x:c>
      <x:c r="B13" s="6" t="str">
        <x:v>ナイト</x:v>
      </x:c>
      <x:c r="C13" s="6" t="n">
        <x:v>1098000</x:v>
      </x:c>
      <x:c r="D13" s="6" t="n">
        <x:v>4158000</x:v>
      </x:c>
      <x:c r="E13" s="6" t="n">
        <x:f>C13-D13</x:f>
        <x:v>-3060000</x:v>
      </x:c>
      <x:c r="F13" s="6" t="n">
        <x:f>F12+E13</x:f>
        <x:v>-10785000</x:v>
      </x:c>
      <x:c r="G13" s="6" t="n">
        <x:v>870000</x:v>
      </x:c>
      <x:c r="H13" s="6" t="n">
        <x:v>3930000</x:v>
      </x:c>
      <x:c r="I13" s="6" t="n">
        <x:v>224</x:v>
      </x:c>
      <x:c r="J13" s="6" t="n">
        <x:v>384</x:v>
      </x:c>
      <x:c r="K13" s="6" t="n">
        <x:v>370</x:v>
      </x:c>
      <x:c r="L13" s="6" t="n">
        <x:v>10</x:v>
      </x:c>
      <x:c r="M13" s="11" t="n">
        <x:v>0.8167735042735043</x:v>
      </x:c>
      <x:c r="N13" s="6" t="n">
        <x:v>3151000</x:v>
      </x:c>
    </x:row>
    <x:row r="14" ht="24" customHeight="1">
      <x:c r="A14" s="2" t="str">
        <x:v>2026-09-25_Day</x:v>
      </x:c>
      <x:c r="B14" s="6" t="str">
        <x:v>デイ</x:v>
      </x:c>
      <x:c r="C14" s="6" t="n">
        <x:v>799000</x:v>
      </x:c>
      <x:c r="D14" s="6" t="n">
        <x:v>2450000</x:v>
      </x:c>
      <x:c r="E14" s="6" t="n">
        <x:f>C14-D14</x:f>
        <x:v>-1651000</x:v>
      </x:c>
      <x:c r="F14" s="6" t="n">
        <x:f>F13+E14</x:f>
        <x:v>-12436000</x:v>
      </x:c>
      <x:c r="G14" s="6" t="n">
        <x:v>638000</x:v>
      </x:c>
      <x:c r="H14" s="6" t="n">
        <x:v>2289000</x:v>
      </x:c>
      <x:c r="I14" s="6" t="n">
        <x:v>153</x:v>
      </x:c>
      <x:c r="J14" s="6" t="n">
        <x:v>311</x:v>
      </x:c>
      <x:c r="K14" s="6" t="n">
        <x:v>295</x:v>
      </x:c>
      <x:c r="L14" s="6" t="n">
        <x:v>10</x:v>
      </x:c>
      <x:c r="M14" s="11" t="n">
        <x:v>0.8128968253968254</x:v>
      </x:c>
      <x:c r="N14" s="6" t="n">
        <x:v>1687000</x:v>
      </x:c>
    </x:row>
    <x:row r="15" ht="24" customHeight="1">
      <x:c r="A15" s="2" t="str">
        <x:v>2026-09-25_Night</x:v>
      </x:c>
      <x:c r="B15" s="6" t="str">
        <x:v>ナイト</x:v>
      </x:c>
      <x:c r="C15" s="6" t="n">
        <x:v>988000</x:v>
      </x:c>
      <x:c r="D15" s="6" t="n">
        <x:v>2133000</x:v>
      </x:c>
      <x:c r="E15" s="6" t="n">
        <x:f>C15-D15</x:f>
        <x:v>-1145000</x:v>
      </x:c>
      <x:c r="F15" s="6" t="n">
        <x:f>F14+E15</x:f>
        <x:v>-13581000</x:v>
      </x:c>
      <x:c r="G15" s="6" t="n">
        <x:v>857000</x:v>
      </x:c>
      <x:c r="H15" s="6" t="n">
        <x:v>2002000</x:v>
      </x:c>
      <x:c r="I15" s="6" t="n">
        <x:v>155</x:v>
      </x:c>
      <x:c r="J15" s="6" t="n">
        <x:v>258</x:v>
      </x:c>
      <x:c r="K15" s="6" t="n">
        <x:v>263</x:v>
      </x:c>
      <x:c r="L15" s="6" t="n">
        <x:v>10</x:v>
      </x:c>
      <x:c r="M15" s="11" t="n">
        <x:v>0.8082264957264957</x:v>
      </x:c>
      <x:c r="N15" s="6" t="n">
        <x:v>1253000</x:v>
      </x:c>
    </x:row>
    <x:row r="16" ht="24" customHeight="1">
      <x:c r="A16" s="2" t="str">
        <x:v>2026-09-28_Day</x:v>
      </x:c>
      <x:c r="B16" s="6" t="str">
        <x:v>デイ</x:v>
      </x:c>
      <x:c r="C16" s="6" t="n">
        <x:v>1328000</x:v>
      </x:c>
      <x:c r="D16" s="6" t="n">
        <x:v>2832000</x:v>
      </x:c>
      <x:c r="E16" s="6" t="n">
        <x:f>C16-D16</x:f>
        <x:v>-1504000</x:v>
      </x:c>
      <x:c r="F16" s="6" t="n">
        <x:f>F15+E16</x:f>
        <x:v>-15085000</x:v>
      </x:c>
      <x:c r="G16" s="6" t="n">
        <x:v>1135000</x:v>
      </x:c>
      <x:c r="H16" s="6" t="n">
        <x:v>2639000</x:v>
      </x:c>
      <x:c r="I16" s="6" t="n">
        <x:v>175</x:v>
      </x:c>
      <x:c r="J16" s="6" t="n">
        <x:v>327</x:v>
      </x:c>
      <x:c r="K16" s="6" t="n">
        <x:v>296</x:v>
      </x:c>
      <x:c r="L16" s="6" t="n">
        <x:v>10</x:v>
      </x:c>
      <x:c r="M16" s="11" t="n">
        <x:v>0.8070238095238095</x:v>
      </x:c>
      <x:c r="N16" s="6" t="n">
        <x:v>1619000</x:v>
      </x:c>
    </x:row>
    <x:row r="17" ht="24" customHeight="1">
      <x:c r="A17" s="2" t="str">
        <x:v>2026-09-28_Night</x:v>
      </x:c>
      <x:c r="B17" s="6" t="str">
        <x:v>ナイト</x:v>
      </x:c>
      <x:c r="C17" s="6" t="n">
        <x:v>1310000</x:v>
      </x:c>
      <x:c r="D17" s="6" t="n">
        <x:v>3382000</x:v>
      </x:c>
      <x:c r="E17" s="6" t="n">
        <x:f>C17-D17</x:f>
        <x:v>-2072000</x:v>
      </x:c>
      <x:c r="F17" s="6" t="n">
        <x:f>F16+E17</x:f>
        <x:v>-17157000</x:v>
      </x:c>
      <x:c r="G17" s="6" t="n">
        <x:v>1117000</x:v>
      </x:c>
      <x:c r="H17" s="6" t="n">
        <x:v>3189000</x:v>
      </x:c>
      <x:c r="I17" s="6" t="n">
        <x:v>197</x:v>
      </x:c>
      <x:c r="J17" s="6" t="n">
        <x:v>309</x:v>
      </x:c>
      <x:c r="K17" s="6" t="n">
        <x:v>279</x:v>
      </x:c>
      <x:c r="L17" s="6" t="n">
        <x:v>10</x:v>
      </x:c>
      <x:c r="M17" s="11" t="n">
        <x:v>0.7174786324786325</x:v>
      </x:c>
      <x:c r="N17" s="6" t="n">
        <x:v>2074000</x:v>
      </x:c>
    </x:row>
    <x:row r="18" ht="24" customHeight="1">
      <x:c r="A18" s="2" t="str">
        <x:v>2026-09-29_Day</x:v>
      </x:c>
      <x:c r="B18" s="6" t="str">
        <x:v>デイ</x:v>
      </x:c>
      <x:c r="C18" s="6" t="n">
        <x:v>1306000</x:v>
      </x:c>
      <x:c r="D18" s="6" t="n">
        <x:v>3520000</x:v>
      </x:c>
      <x:c r="E18" s="6" t="n">
        <x:f>C18-D18</x:f>
        <x:v>-2214000</x:v>
      </x:c>
      <x:c r="F18" s="6" t="n">
        <x:f>F17+E18</x:f>
        <x:v>-19371000</x:v>
      </x:c>
      <x:c r="G18" s="6" t="n">
        <x:v>1104000</x:v>
      </x:c>
      <x:c r="H18" s="6" t="n">
        <x:v>3318000</x:v>
      </x:c>
      <x:c r="I18" s="6" t="n">
        <x:v>193</x:v>
      </x:c>
      <x:c r="J18" s="6" t="n">
        <x:v>325</x:v>
      </x:c>
      <x:c r="K18" s="6" t="n">
        <x:v>318</x:v>
      </x:c>
      <x:c r="L18" s="6" t="n">
        <x:v>10</x:v>
      </x:c>
      <x:c r="M18" s="11" t="n">
        <x:v>0.8169047619047619</x:v>
      </x:c>
      <x:c r="N18" s="6" t="n">
        <x:v>2301000</x:v>
      </x:c>
    </x:row>
    <x:row r="19" ht="24" customHeight="1">
      <x:c r="A19" s="2" t="str">
        <x:v>2026-09-29_Night</x:v>
      </x:c>
      <x:c r="B19" s="6" t="str">
        <x:v>ナイト</x:v>
      </x:c>
      <x:c r="C19" s="6" t="n">
        <x:v>891000</x:v>
      </x:c>
      <x:c r="D19" s="6" t="n">
        <x:v>2289000</x:v>
      </x:c>
      <x:c r="E19" s="6" t="n">
        <x:f>C19-D19</x:f>
        <x:v>-1398000</x:v>
      </x:c>
      <x:c r="F19" s="6" t="n">
        <x:f>F18+E19</x:f>
        <x:v>-20769000</x:v>
      </x:c>
      <x:c r="G19" s="6" t="n">
        <x:v>689000</x:v>
      </x:c>
      <x:c r="H19" s="6" t="n">
        <x:v>2087000</x:v>
      </x:c>
      <x:c r="I19" s="6" t="n">
        <x:v>174</x:v>
      </x:c>
      <x:c r="J19" s="6" t="n">
        <x:v>327</x:v>
      </x:c>
      <x:c r="K19" s="6" t="n">
        <x:v>300</x:v>
      </x:c>
      <x:c r="L19" s="6" t="n">
        <x:v>10</x:v>
      </x:c>
      <x:c r="M19" s="11" t="n">
        <x:v>0.7727564102564103</x:v>
      </x:c>
      <x:c r="N19" s="6" t="n">
        <x:v>1419000</x:v>
      </x:c>
    </x:row>
    <x:row r="20" ht="24" customHeight="1">
      <x:c r="A20" s="2" t="str">
        <x:v>2026-09-30_Day</x:v>
      </x:c>
      <x:c r="B20" s="6" t="str">
        <x:v>デイ</x:v>
      </x:c>
      <x:c r="C20" s="6" t="n">
        <x:v>1244000</x:v>
      </x:c>
      <x:c r="D20" s="6" t="n">
        <x:v>2854000</x:v>
      </x:c>
      <x:c r="E20" s="6" t="n">
        <x:f>C20-D20</x:f>
        <x:v>-1610000</x:v>
      </x:c>
      <x:c r="F20" s="6" t="n">
        <x:f>F19+E20</x:f>
        <x:v>-22379000</x:v>
      </x:c>
      <x:c r="G20" s="6" t="n">
        <x:v>1051000</x:v>
      </x:c>
      <x:c r="H20" s="6" t="n">
        <x:v>2661000</x:v>
      </x:c>
      <x:c r="I20" s="6" t="n">
        <x:v>165</x:v>
      </x:c>
      <x:c r="J20" s="6" t="n">
        <x:v>340</x:v>
      </x:c>
      <x:c r="K20" s="6" t="n">
        <x:v>341</x:v>
      </x:c>
      <x:c r="L20" s="6" t="n">
        <x:v>10</x:v>
      </x:c>
      <x:c r="M20" s="11" t="n">
        <x:v>0.8337698412698412</x:v>
      </x:c>
      <x:c r="N20" s="6" t="n">
        <x:v>1696000</x:v>
      </x:c>
    </x:row>
    <x:row r="21" ht="24" customHeight="1">
      <x:c r="A21" s="2" t="str">
        <x:v>2026-09-30_Night</x:v>
      </x:c>
      <x:c r="B21" s="6" t="str">
        <x:v>ナイト</x:v>
      </x:c>
      <x:c r="C21" s="6" t="n">
        <x:v>1257000</x:v>
      </x:c>
      <x:c r="D21" s="6" t="n">
        <x:v>3794000</x:v>
      </x:c>
      <x:c r="E21" s="6" t="n">
        <x:f>C21-D21</x:f>
        <x:v>-2537000</x:v>
      </x:c>
      <x:c r="F21" s="6" t="n">
        <x:f>F20+E21</x:f>
        <x:v>-24916000</x:v>
      </x:c>
      <x:c r="G21" s="6" t="n">
        <x:v>884000</x:v>
      </x:c>
      <x:c r="H21" s="6" t="n">
        <x:v>3421000</x:v>
      </x:c>
      <x:c r="I21" s="6" t="n">
        <x:v>209</x:v>
      </x:c>
      <x:c r="J21" s="6" t="n">
        <x:v>420</x:v>
      </x:c>
      <x:c r="K21" s="6" t="n">
        <x:v>402</x:v>
      </x:c>
      <x:c r="L21" s="6" t="n">
        <x:v>10</x:v>
      </x:c>
      <x:c r="M21" s="11" t="n">
        <x:v>0.7616025641025641</x:v>
      </x:c>
      <x:c r="N21" s="6" t="n">
        <x:v>2727000</x:v>
      </x:c>
    </x:row>
    <x:row r="22" ht="24" customHeight="1">
      <x:c r="A22" s="2" t="str">
        <x:v>2026-10-01_Day</x:v>
      </x:c>
      <x:c r="B22" s="6" t="str">
        <x:v>デイ</x:v>
      </x:c>
      <x:c r="C22" s="6" t="n">
        <x:v>1236000</x:v>
      </x:c>
      <x:c r="D22" s="6" t="n">
        <x:v>2279000</x:v>
      </x:c>
      <x:c r="E22" s="6" t="n">
        <x:f>C22-D22</x:f>
        <x:v>-1043000</x:v>
      </x:c>
      <x:c r="F22" s="6" t="n">
        <x:f>F21+E22</x:f>
        <x:v>-25959000</x:v>
      </x:c>
      <x:c r="G22" s="6" t="n">
        <x:v>1005000</x:v>
      </x:c>
      <x:c r="H22" s="6" t="n">
        <x:v>2048000</x:v>
      </x:c>
      <x:c r="I22" s="6" t="n">
        <x:v>147</x:v>
      </x:c>
      <x:c r="J22" s="6" t="n">
        <x:v>351</x:v>
      </x:c>
      <x:c r="K22" s="6" t="n">
        <x:v>330</x:v>
      </x:c>
      <x:c r="L22" s="6" t="n">
        <x:v>10</x:v>
      </x:c>
      <x:c r="M22" s="11" t="n">
        <x:v>0.8365873015873015</x:v>
      </x:c>
      <x:c r="N22" s="6" t="n">
        <x:v>1125000</x:v>
      </x:c>
    </x:row>
    <x:row r="23" ht="24" customHeight="1">
      <x:c r="A23" s="2" t="str">
        <x:v>2026-10-01_Night</x:v>
      </x:c>
      <x:c r="B23" s="6" t="str">
        <x:v>ナイト</x:v>
      </x:c>
      <x:c r="C23" s="6" t="n">
        <x:v>1619000</x:v>
      </x:c>
      <x:c r="D23" s="6" t="n">
        <x:v>4097000</x:v>
      </x:c>
      <x:c r="E23" s="6" t="n">
        <x:f>C23-D23</x:f>
        <x:v>-2478000</x:v>
      </x:c>
      <x:c r="F23" s="6" t="n">
        <x:f>F22+E23</x:f>
        <x:v>-28437000</x:v>
      </x:c>
      <x:c r="G23" s="6" t="n">
        <x:v>1125000</x:v>
      </x:c>
      <x:c r="H23" s="6" t="n">
        <x:v>3603000</x:v>
      </x:c>
      <x:c r="I23" s="6" t="n">
        <x:v>218</x:v>
      </x:c>
      <x:c r="J23" s="6" t="n">
        <x:v>517</x:v>
      </x:c>
      <x:c r="K23" s="6" t="n">
        <x:v>447</x:v>
      </x:c>
      <x:c r="L23" s="6" t="n">
        <x:v>10</x:v>
      </x:c>
      <x:c r="M23" s="11" t="n">
        <x:v>0.8462606837606838</x:v>
      </x:c>
      <x:c r="N23" s="6" t="n">
        <x:v>2542000</x:v>
      </x:c>
    </x:row>
    <x:row r="24" ht="24" customHeight="1">
      <x:c r="A24" s="2" t="str">
        <x:v>2026-10-02_Day</x:v>
      </x:c>
      <x:c r="B24" s="6" t="str">
        <x:v>デイ</x:v>
      </x:c>
      <x:c r="C24" s="6" t="n">
        <x:v>1019000</x:v>
      </x:c>
      <x:c r="D24" s="6" t="n">
        <x:v>2855000</x:v>
      </x:c>
      <x:c r="E24" s="6" t="n">
        <x:f>C24-D24</x:f>
        <x:v>-1836000</x:v>
      </x:c>
      <x:c r="F24" s="6" t="n">
        <x:f>F23+E24</x:f>
        <x:v>-30273000</x:v>
      </x:c>
      <x:c r="G24" s="6" t="n">
        <x:v>826000</x:v>
      </x:c>
      <x:c r="H24" s="6" t="n">
        <x:v>2662000</x:v>
      </x:c>
      <x:c r="I24" s="6" t="n">
        <x:v>156</x:v>
      </x:c>
      <x:c r="J24" s="6" t="n">
        <x:v>355</x:v>
      </x:c>
      <x:c r="K24" s="6" t="n">
        <x:v>299</x:v>
      </x:c>
      <x:c r="L24" s="6" t="n">
        <x:v>10</x:v>
      </x:c>
      <x:c r="M24" s="11" t="n">
        <x:v>0.8353571428571429</x:v>
      </x:c>
      <x:c r="N24" s="6" t="n">
        <x:v>2163000</x:v>
      </x:c>
    </x:row>
    <x:row r="25" ht="24" customHeight="1">
      <x:c r="A25" s="2" t="str">
        <x:v>2026-10-02_Night</x:v>
      </x:c>
      <x:c r="B25" s="6" t="str">
        <x:v>ナイト</x:v>
      </x:c>
      <x:c r="C25" s="6" t="n">
        <x:v>1440000</x:v>
      </x:c>
      <x:c r="D25" s="6" t="n">
        <x:v>3210000</x:v>
      </x:c>
      <x:c r="E25" s="6" t="n">
        <x:f>C25-D25</x:f>
        <x:v>-1770000</x:v>
      </x:c>
      <x:c r="F25" s="6" t="n">
        <x:f>F24+E25</x:f>
        <x:v>-32043000</x:v>
      </x:c>
      <x:c r="G25" s="6" t="n">
        <x:v>1169000</x:v>
      </x:c>
      <x:c r="H25" s="6" t="n">
        <x:v>2939000</x:v>
      </x:c>
      <x:c r="I25" s="6" t="n">
        <x:v>199</x:v>
      </x:c>
      <x:c r="J25" s="6" t="n">
        <x:v>420</x:v>
      </x:c>
      <x:c r="K25" s="6" t="n">
        <x:v>383</x:v>
      </x:c>
      <x:c r="L25" s="6" t="n">
        <x:v>10</x:v>
      </x:c>
      <x:c r="M25" s="11" t="n">
        <x:v>0.8206623931623932</x:v>
      </x:c>
      <x:c r="N25" s="6" t="n">
        <x:v>1953000</x:v>
      </x:c>
    </x:row>
    <x:row r="26" ht="24" customHeight="1">
      <x:c r="A26" s="2" t="str">
        <x:v>2026-10-05_Day</x:v>
      </x:c>
      <x:c r="B26" s="6" t="str">
        <x:v>デイ</x:v>
      </x:c>
      <x:c r="C26" s="6" t="n">
        <x:v>767000</x:v>
      </x:c>
      <x:c r="D26" s="6" t="n">
        <x:v>2257000</x:v>
      </x:c>
      <x:c r="E26" s="6" t="n">
        <x:f>C26-D26</x:f>
        <x:v>-1490000</x:v>
      </x:c>
      <x:c r="F26" s="6" t="n">
        <x:f>F25+E26</x:f>
        <x:v>-33533000</x:v>
      </x:c>
      <x:c r="G26" s="6" t="n">
        <x:v>548000</x:v>
      </x:c>
      <x:c r="H26" s="6" t="n">
        <x:v>2038000</x:v>
      </x:c>
      <x:c r="I26" s="6" t="n">
        <x:v>141</x:v>
      </x:c>
      <x:c r="J26" s="6" t="n">
        <x:v>351</x:v>
      </x:c>
      <x:c r="K26" s="6" t="n">
        <x:v>319</x:v>
      </x:c>
      <x:c r="L26" s="6" t="n">
        <x:v>10</x:v>
      </x:c>
      <x:c r="M26" s="11" t="n">
        <x:v>0.8449603174603174</x:v>
      </x:c>
      <x:c r="N26" s="6" t="n">
        <x:v>1554000</x:v>
      </x:c>
    </x:row>
    <x:row r="27" ht="24" customHeight="1">
      <x:c r="A27" s="2" t="str">
        <x:v>2026-10-05_Night</x:v>
      </x:c>
      <x:c r="B27" s="6" t="str">
        <x:v>ナイト</x:v>
      </x:c>
      <x:c r="C27" s="6" t="n">
        <x:v>767000</x:v>
      </x:c>
      <x:c r="D27" s="6" t="n">
        <x:v>2393000</x:v>
      </x:c>
      <x:c r="E27" s="6" t="n">
        <x:f>C27-D27</x:f>
        <x:v>-1626000</x:v>
      </x:c>
      <x:c r="F27" s="6" t="n">
        <x:f>F26+E27</x:f>
        <x:v>-35159000</x:v>
      </x:c>
      <x:c r="G27" s="6" t="n">
        <x:v>571000</x:v>
      </x:c>
      <x:c r="H27" s="6" t="n">
        <x:v>2197000</x:v>
      </x:c>
      <x:c r="I27" s="6" t="n">
        <x:v>159</x:v>
      </x:c>
      <x:c r="J27" s="6" t="n">
        <x:v>318</x:v>
      </x:c>
      <x:c r="K27" s="6" t="n">
        <x:v>283</x:v>
      </x:c>
      <x:c r="L27" s="6" t="n">
        <x:v>10</x:v>
      </x:c>
      <x:c r="M27" s="11" t="n">
        <x:v>0.7972435897435898</x:v>
      </x:c>
      <x:c r="N27" s="6" t="n">
        <x:v>1740000</x:v>
      </x:c>
    </x:row>
    <x:row r="28" ht="24" customHeight="1">
      <x:c r="A28" s="2" t="str">
        <x:v>2026-10-06_Day</x:v>
      </x:c>
      <x:c r="B28" s="6" t="str">
        <x:v>デイ</x:v>
      </x:c>
      <x:c r="C28" s="6" t="n">
        <x:v>717000</x:v>
      </x:c>
      <x:c r="D28" s="6" t="n">
        <x:v>1694000</x:v>
      </x:c>
      <x:c r="E28" s="6" t="n">
        <x:f>C28-D28</x:f>
        <x:v>-977000</x:v>
      </x:c>
      <x:c r="F28" s="6" t="n">
        <x:f>F27+E28</x:f>
        <x:v>-36136000</x:v>
      </x:c>
      <x:c r="G28" s="6" t="n">
        <x:v>592000</x:v>
      </x:c>
      <x:c r="H28" s="6" t="n">
        <x:v>1569000</x:v>
      </x:c>
      <x:c r="I28" s="6" t="n">
        <x:v>134</x:v>
      </x:c>
      <x:c r="J28" s="6" t="n">
        <x:v>284</x:v>
      </x:c>
      <x:c r="K28" s="6" t="n">
        <x:v>243</x:v>
      </x:c>
      <x:c r="L28" s="6" t="n">
        <x:v>10</x:v>
      </x:c>
      <x:c r="M28" s="11" t="n">
        <x:v>0.7605555555555555</x:v>
      </x:c>
      <x:c r="N28" s="6" t="n">
        <x:v>995000</x:v>
      </x:c>
    </x:row>
    <x:row r="29" ht="24" customHeight="1">
      <x:c r="A29" s="2" t="str">
        <x:v>2026-10-06_Night</x:v>
      </x:c>
      <x:c r="B29" s="6" t="str">
        <x:v>ナイト</x:v>
      </x:c>
      <x:c r="C29" s="6" t="n">
        <x:v>437000</x:v>
      </x:c>
      <x:c r="D29" s="6" t="n">
        <x:v>1627000</x:v>
      </x:c>
      <x:c r="E29" s="6" t="n">
        <x:f>C29-D29</x:f>
        <x:v>-1190000</x:v>
      </x:c>
      <x:c r="F29" s="6" t="n">
        <x:f>F28+E29</x:f>
        <x:v>-37326000</x:v>
      </x:c>
      <x:c r="G29" s="6" t="n">
        <x:v>318000</x:v>
      </x:c>
      <x:c r="H29" s="6" t="n">
        <x:v>1508000</x:v>
      </x:c>
      <x:c r="I29" s="6" t="n">
        <x:v>137</x:v>
      </x:c>
      <x:c r="J29" s="6" t="n">
        <x:v>294</x:v>
      </x:c>
      <x:c r="K29" s="6" t="n">
        <x:v>246</x:v>
      </x:c>
      <x:c r="L29" s="6" t="n">
        <x:v>10</x:v>
      </x:c>
      <x:c r="M29" s="11" t="n">
        <x:v>0.7528632478632479</x:v>
      </x:c>
      <x:c r="N29" s="6" t="n">
        <x:v>1217000</x:v>
      </x:c>
    </x:row>
    <x:row r="30" ht="24" customHeight="1">
      <x:c r="A30" s="2" t="str">
        <x:v>2026-10-07_Day</x:v>
      </x:c>
      <x:c r="B30" s="6" t="str">
        <x:v>デイ</x:v>
      </x:c>
      <x:c r="C30" s="6" t="n">
        <x:v>521000</x:v>
      </x:c>
      <x:c r="D30" s="6" t="n">
        <x:v>1669000</x:v>
      </x:c>
      <x:c r="E30" s="6" t="n">
        <x:f>C30-D30</x:f>
        <x:v>-1148000</x:v>
      </x:c>
      <x:c r="F30" s="6" t="n">
        <x:f>F29+E30</x:f>
        <x:v>-38474000</x:v>
      </x:c>
      <x:c r="G30" s="6" t="n">
        <x:v>361000</x:v>
      </x:c>
      <x:c r="H30" s="6" t="n">
        <x:v>1509000</x:v>
      </x:c>
      <x:c r="I30" s="6" t="n">
        <x:v>115</x:v>
      </x:c>
      <x:c r="J30" s="6" t="n">
        <x:v>305</x:v>
      </x:c>
      <x:c r="K30" s="6" t="n">
        <x:v>268</x:v>
      </x:c>
      <x:c r="L30" s="6" t="n">
        <x:v>10</x:v>
      </x:c>
      <x:c r="M30" s="11" t="n">
        <x:v>0.8301984126984127</x:v>
      </x:c>
      <x:c r="N30" s="6" t="n">
        <x:v>1153000</x:v>
      </x:c>
    </x:row>
    <x:row r="31" ht="24" customHeight="1">
      <x:c r="A31" s="2" t="str">
        <x:v>2026-10-07_Night</x:v>
      </x:c>
      <x:c r="B31" s="6" t="str">
        <x:v>ナイト</x:v>
      </x:c>
      <x:c r="C31" s="6" t="n">
        <x:v>580000</x:v>
      </x:c>
      <x:c r="D31" s="6" t="n">
        <x:v>2379000</x:v>
      </x:c>
      <x:c r="E31" s="6" t="n">
        <x:f>C31-D31</x:f>
        <x:v>-1799000</x:v>
      </x:c>
      <x:c r="F31" s="6" t="n">
        <x:f>F30+E31</x:f>
        <x:v>-40273000</x:v>
      </x:c>
      <x:c r="G31" s="6" t="n">
        <x:v>352000</x:v>
      </x:c>
      <x:c r="H31" s="6" t="n">
        <x:v>2151000</x:v>
      </x:c>
      <x:c r="I31" s="6" t="n">
        <x:v>173</x:v>
      </x:c>
      <x:c r="J31" s="6" t="n">
        <x:v>426</x:v>
      </x:c>
      <x:c r="K31" s="6" t="n">
        <x:v>392</x:v>
      </x:c>
      <x:c r="L31" s="6" t="n">
        <x:v>10</x:v>
      </x:c>
      <x:c r="M31" s="11" t="n">
        <x:v>0.8233974358974359</x:v>
      </x:c>
      <x:c r="N31" s="6" t="n">
        <x:v>1804000</x:v>
      </x:c>
    </x:row>
    <x:row r="32" ht="24" customHeight="1">
      <x:c r="A32" s="2" t="str">
        <x:v>2026-10-08_Day</x:v>
      </x:c>
      <x:c r="B32" s="6" t="str">
        <x:v>デイ</x:v>
      </x:c>
      <x:c r="C32" s="6" t="n">
        <x:v>1390000</x:v>
      </x:c>
      <x:c r="D32" s="6" t="n">
        <x:v>2192000</x:v>
      </x:c>
      <x:c r="E32" s="6" t="n">
        <x:f>C32-D32</x:f>
        <x:v>-802000</x:v>
      </x:c>
      <x:c r="F32" s="6" t="n">
        <x:f>F31+E32</x:f>
        <x:v>-41075000</x:v>
      </x:c>
      <x:c r="G32" s="6" t="n">
        <x:v>1141000</x:v>
      </x:c>
      <x:c r="H32" s="6" t="n">
        <x:v>1943000</x:v>
      </x:c>
      <x:c r="I32" s="6" t="n">
        <x:v>140</x:v>
      </x:c>
      <x:c r="J32" s="6" t="n">
        <x:v>362</x:v>
      </x:c>
      <x:c r="K32" s="6" t="n">
        <x:v>320</x:v>
      </x:c>
      <x:c r="L32" s="6" t="n">
        <x:v>10</x:v>
      </x:c>
      <x:c r="M32" s="11" t="n">
        <x:v>0.8410714285714286</x:v>
      </x:c>
      <x:c r="N32" s="6" t="n">
        <x:v>1310000</x:v>
      </x:c>
    </x:row>
    <x:row r="33" ht="24" customHeight="1">
      <x:c r="A33" s="2" t="str">
        <x:v>2026-10-08_Night</x:v>
      </x:c>
      <x:c r="B33" s="6" t="str">
        <x:v>ナイト</x:v>
      </x:c>
      <x:c r="C33" s="6" t="n">
        <x:v>1752000</x:v>
      </x:c>
      <x:c r="D33" s="6" t="n">
        <x:v>3998000</x:v>
      </x:c>
      <x:c r="E33" s="6" t="n">
        <x:f>C33-D33</x:f>
        <x:v>-2246000</x:v>
      </x:c>
      <x:c r="F33" s="6" t="n">
        <x:f>F32+E33</x:f>
        <x:v>-43321000</x:v>
      </x:c>
      <x:c r="G33" s="6" t="n">
        <x:v>1394000</x:v>
      </x:c>
      <x:c r="H33" s="6" t="n">
        <x:v>3640000</x:v>
      </x:c>
      <x:c r="I33" s="6" t="n">
        <x:v>219</x:v>
      </x:c>
      <x:c r="J33" s="6" t="n">
        <x:v>441</x:v>
      </x:c>
      <x:c r="K33" s="6" t="n">
        <x:v>428</x:v>
      </x:c>
      <x:c r="L33" s="6" t="n">
        <x:v>10</x:v>
      </x:c>
      <x:c r="M33" s="11" t="n">
        <x:v>0.8191452991452991</x:v>
      </x:c>
      <x:c r="N33" s="6" t="n">
        <x:v>2272000</x:v>
      </x:c>
    </x:row>
    <x:row r="34" ht="24" customHeight="1">
      <x:c r="A34" s="2" t="str">
        <x:v>2026-10-09_Day</x:v>
      </x:c>
      <x:c r="B34" s="6" t="str">
        <x:v>デイ</x:v>
      </x:c>
      <x:c r="C34" s="6" t="n">
        <x:v>1224000</x:v>
      </x:c>
      <x:c r="D34" s="6" t="n">
        <x:v>2556000</x:v>
      </x:c>
      <x:c r="E34" s="6" t="n">
        <x:f>C34-D34</x:f>
        <x:v>-1332000</x:v>
      </x:c>
      <x:c r="F34" s="6" t="n">
        <x:f>F33+E34</x:f>
        <x:v>-44653000</x:v>
      </x:c>
      <x:c r="G34" s="6" t="n">
        <x:v>1033000</x:v>
      </x:c>
      <x:c r="H34" s="6" t="n">
        <x:v>2365000</x:v>
      </x:c>
      <x:c r="I34" s="6" t="n">
        <x:v>143</x:v>
      </x:c>
      <x:c r="J34" s="6" t="n">
        <x:v>326</x:v>
      </x:c>
      <x:c r="K34" s="6" t="n">
        <x:v>287</x:v>
      </x:c>
      <x:c r="L34" s="6" t="n">
        <x:v>10</x:v>
      </x:c>
      <x:c r="M34" s="11" t="n">
        <x:v>0.8224603174603174</x:v>
      </x:c>
      <x:c r="N34" s="6" t="n">
        <x:v>1571000</x:v>
      </x:c>
    </x:row>
    <x:row r="35" ht="24" customHeight="1">
      <x:c r="A35" s="2" t="str">
        <x:v>2026-10-09_Night</x:v>
      </x:c>
      <x:c r="B35" s="6" t="str">
        <x:v>ナイト</x:v>
      </x:c>
      <x:c r="C35" s="6" t="n">
        <x:v>309000</x:v>
      </x:c>
      <x:c r="D35" s="6" t="n">
        <x:v>2038000</x:v>
      </x:c>
      <x:c r="E35" s="6" t="n">
        <x:f>C35-D35</x:f>
        <x:v>-1729000</x:v>
      </x:c>
      <x:c r="F35" s="6" t="n">
        <x:f>F34+E35</x:f>
        <x:v>-46382000</x:v>
      </x:c>
      <x:c r="G35" s="6" t="n">
        <x:v>184000</x:v>
      </x:c>
      <x:c r="H35" s="6" t="n">
        <x:v>1913000</x:v>
      </x:c>
      <x:c r="I35" s="6" t="n">
        <x:v>139</x:v>
      </x:c>
      <x:c r="J35" s="6" t="n">
        <x:v>260</x:v>
      </x:c>
      <x:c r="K35" s="6" t="n">
        <x:v>233</x:v>
      </x:c>
      <x:c r="L35" s="6" t="n">
        <x:v>10</x:v>
      </x:c>
      <x:c r="M35" s="11" t="n">
        <x:v>0.7960042735042735</x:v>
      </x:c>
      <x:c r="N35" s="6" t="n">
        <x:v>1776000</x:v>
      </x:c>
    </x:row>
    <x:row r="36" ht="24" customHeight="1">
      <x:c r="A36" s="2" t="str">
        <x:v>2026-10-12_Day</x:v>
      </x:c>
      <x:c r="B36" s="6" t="str">
        <x:v>デイ</x:v>
      </x:c>
      <x:c r="C36" s="6" t="n">
        <x:v>366000</x:v>
      </x:c>
      <x:c r="D36" s="6" t="n">
        <x:v>1078000</x:v>
      </x:c>
      <x:c r="E36" s="6" t="n">
        <x:f>C36-D36</x:f>
        <x:v>-712000</x:v>
      </x:c>
      <x:c r="F36" s="6" t="n">
        <x:f>F35+E36</x:f>
        <x:v>-47094000</x:v>
      </x:c>
      <x:c r="G36" s="6" t="n">
        <x:v>241000</x:v>
      </x:c>
      <x:c r="H36" s="6" t="n">
        <x:v>953000</x:v>
      </x:c>
      <x:c r="I36" s="6" t="n">
        <x:v>81</x:v>
      </x:c>
      <x:c r="J36" s="6" t="n">
        <x:v>153</x:v>
      </x:c>
      <x:c r="K36" s="6" t="n">
        <x:v>129</x:v>
      </x:c>
      <x:c r="L36" s="6" t="n">
        <x:v>10</x:v>
      </x:c>
      <x:c r="M36" s="11" t="n">
        <x:v>0.7374603174603175</x:v>
      </x:c>
      <x:c r="N36" s="6" t="n">
        <x:v>718000</x:v>
      </x:c>
    </x:row>
    <x:row r="37" ht="24" customHeight="1">
      <x:c r="A37" s="2" t="str">
        <x:v>2026-10-12_Night</x:v>
      </x:c>
      <x:c r="B37" s="6" t="str">
        <x:v>ナイト</x:v>
      </x:c>
      <x:c r="C37" s="6" t="n">
        <x:v>405000</x:v>
      </x:c>
      <x:c r="D37" s="6" t="n">
        <x:v>1181000</x:v>
      </x:c>
      <x:c r="E37" s="6" t="n">
        <x:f>C37-D37</x:f>
        <x:v>-776000</x:v>
      </x:c>
      <x:c r="F37" s="6" t="n">
        <x:f>F36+E37</x:f>
        <x:v>-47870000</x:v>
      </x:c>
      <x:c r="G37" s="6" t="n">
        <x:v>304000</x:v>
      </x:c>
      <x:c r="H37" s="6" t="n">
        <x:v>1080000</x:v>
      </x:c>
      <x:c r="I37" s="6" t="n">
        <x:v>99</x:v>
      </x:c>
      <x:c r="J37" s="6" t="n">
        <x:v>167</x:v>
      </x:c>
      <x:c r="K37" s="6" t="n">
        <x:v>164</x:v>
      </x:c>
      <x:c r="L37" s="6" t="n">
        <x:v>10</x:v>
      </x:c>
      <x:c r="M37" s="11" t="n">
        <x:v>0.6703418803418804</x:v>
      </x:c>
      <x:c r="N37" s="6" t="n">
        <x:v>788000</x:v>
      </x:c>
    </x:row>
    <x:row r="38" ht="24" customHeight="1">
      <x:c r="A38" s="2" t="str">
        <x:v>2026-10-13_Day</x:v>
      </x:c>
      <x:c r="B38" s="6" t="str">
        <x:v>デイ</x:v>
      </x:c>
      <x:c r="C38" s="6" t="n">
        <x:v>1253000</x:v>
      </x:c>
      <x:c r="D38" s="6" t="n">
        <x:v>3656000</x:v>
      </x:c>
      <x:c r="E38" s="6" t="n">
        <x:f>C38-D38</x:f>
        <x:v>-2403000</x:v>
      </x:c>
      <x:c r="F38" s="6" t="n">
        <x:f>F37+E38</x:f>
        <x:v>-50273000</x:v>
      </x:c>
      <x:c r="G38" s="6" t="n">
        <x:v>966000</x:v>
      </x:c>
      <x:c r="H38" s="6" t="n">
        <x:v>3369000</x:v>
      </x:c>
      <x:c r="I38" s="6" t="n">
        <x:v>170</x:v>
      </x:c>
      <x:c r="J38" s="6" t="n">
        <x:v>377</x:v>
      </x:c>
      <x:c r="K38" s="6" t="n">
        <x:v>343</x:v>
      </x:c>
      <x:c r="L38" s="6" t="n">
        <x:v>10</x:v>
      </x:c>
      <x:c r="M38" s="11" t="n">
        <x:v>0.8336507936507936</x:v>
      </x:c>
      <x:c r="N38" s="6" t="n">
        <x:v>2558000</x:v>
      </x:c>
    </x:row>
    <x:row r="39" ht="24" customHeight="1">
      <x:c r="A39" s="2" t="str">
        <x:v>2026-10-13_Night</x:v>
      </x:c>
      <x:c r="B39" s="6" t="str">
        <x:v>ナイト</x:v>
      </x:c>
      <x:c r="C39" s="6" t="n">
        <x:v>516000</x:v>
      </x:c>
      <x:c r="D39" s="6" t="n">
        <x:v>1772000</x:v>
      </x:c>
      <x:c r="E39" s="6" t="n">
        <x:f>C39-D39</x:f>
        <x:v>-1256000</x:v>
      </x:c>
      <x:c r="F39" s="6" t="n">
        <x:f>F38+E39</x:f>
        <x:v>-51529000</x:v>
      </x:c>
      <x:c r="G39" s="6" t="n">
        <x:v>367000</x:v>
      </x:c>
      <x:c r="H39" s="6" t="n">
        <x:v>1623000</x:v>
      </x:c>
      <x:c r="I39" s="6" t="n">
        <x:v>145</x:v>
      </x:c>
      <x:c r="J39" s="6" t="n">
        <x:v>281</x:v>
      </x:c>
      <x:c r="K39" s="6" t="n">
        <x:v>255</x:v>
      </x:c>
      <x:c r="L39" s="6" t="n">
        <x:v>10</x:v>
      </x:c>
      <x:c r="M39" s="11" t="n">
        <x:v>0.7370726495726496</x:v>
      </x:c>
      <x:c r="N39" s="6" t="n">
        <x:v>1272000</x:v>
      </x:c>
    </x:row>
    <x:row r="40" ht="24" customHeight="1">
      <x:c r="A40" s="2" t="str">
        <x:v>2026-10-14_Day</x:v>
      </x:c>
      <x:c r="B40" s="6" t="str">
        <x:v>デイ</x:v>
      </x:c>
      <x:c r="C40" s="6" t="n">
        <x:v>1001000</x:v>
      </x:c>
      <x:c r="D40" s="6" t="n">
        <x:v>2692000</x:v>
      </x:c>
      <x:c r="E40" s="6" t="n">
        <x:f>C40-D40</x:f>
        <x:v>-1691000</x:v>
      </x:c>
      <x:c r="F40" s="6" t="n">
        <x:f>F39+E40</x:f>
        <x:v>-53220000</x:v>
      </x:c>
      <x:c r="G40" s="6" t="n">
        <x:v>832000</x:v>
      </x:c>
      <x:c r="H40" s="6" t="n">
        <x:v>2523000</x:v>
      </x:c>
      <x:c r="I40" s="6" t="n">
        <x:v>156</x:v>
      </x:c>
      <x:c r="J40" s="6" t="n">
        <x:v>311</x:v>
      </x:c>
      <x:c r="K40" s="6" t="n">
        <x:v>295</x:v>
      </x:c>
      <x:c r="L40" s="6" t="n">
        <x:v>10</x:v>
      </x:c>
      <x:c r="M40" s="11" t="n">
        <x:v>0.8177777777777778</x:v>
      </x:c>
      <x:c r="N40" s="6" t="n">
        <x:v>1847000</x:v>
      </x:c>
    </x:row>
    <x:row r="41" ht="24" customHeight="1">
      <x:c r="A41" s="2" t="str">
        <x:v>2026-10-14_Night</x:v>
      </x:c>
      <x:c r="B41" s="6" t="str">
        <x:v>ナイト</x:v>
      </x:c>
      <x:c r="C41" s="6" t="n">
        <x:v>1626000</x:v>
      </x:c>
      <x:c r="D41" s="6" t="n">
        <x:v>3406000</x:v>
      </x:c>
      <x:c r="E41" s="6" t="n">
        <x:f>C41-D41</x:f>
        <x:v>-1780000</x:v>
      </x:c>
      <x:c r="F41" s="6" t="n">
        <x:f>F40+E41</x:f>
        <x:v>-55000000</x:v>
      </x:c>
      <x:c r="G41" s="6" t="n">
        <x:v>1334000</x:v>
      </x:c>
      <x:c r="H41" s="6" t="n">
        <x:v>3114000</x:v>
      </x:c>
      <x:c r="I41" s="6" t="n">
        <x:v>199</x:v>
      </x:c>
      <x:c r="J41" s="6" t="n">
        <x:v>444</x:v>
      </x:c>
      <x:c r="K41" s="6" t="n">
        <x:v>410</x:v>
      </x:c>
      <x:c r="L41" s="6" t="n">
        <x:v>10</x:v>
      </x:c>
      <x:c r="M41" s="11" t="n">
        <x:v>0.824957264957265</x:v>
      </x:c>
      <x:c r="N41" s="6" t="n">
        <x:v>1896000</x:v>
      </x:c>
    </x:row>
    <x:row r="42" ht="24" customHeight="1">
      <x:c r="A42" s="2" t="str">
        <x:v>2026-10-15_Day</x:v>
      </x:c>
      <x:c r="B42" s="6" t="str">
        <x:v>デイ</x:v>
      </x:c>
      <x:c r="C42" s="6" t="n">
        <x:v>2451000</x:v>
      </x:c>
      <x:c r="D42" s="6" t="n">
        <x:v>5267000</x:v>
      </x:c>
      <x:c r="E42" s="6" t="n">
        <x:f>C42-D42</x:f>
        <x:v>-2816000</x:v>
      </x:c>
      <x:c r="F42" s="6" t="n">
        <x:f>F41+E42</x:f>
        <x:v>-57816000</x:v>
      </x:c>
      <x:c r="G42" s="6" t="n">
        <x:v>2225000</x:v>
      </x:c>
      <x:c r="H42" s="6" t="n">
        <x:v>5041000</x:v>
      </x:c>
      <x:c r="I42" s="6" t="n">
        <x:v>229</x:v>
      </x:c>
      <x:c r="J42" s="6" t="n">
        <x:v>358</x:v>
      </x:c>
      <x:c r="K42" s="6" t="n">
        <x:v>352</x:v>
      </x:c>
      <x:c r="L42" s="6" t="n">
        <x:v>10</x:v>
      </x:c>
      <x:c r="M42" s="11" t="n">
        <x:v>0.8208333333333333</x:v>
      </x:c>
      <x:c r="N42" s="6" t="n">
        <x:v>2954000</x:v>
      </x:c>
    </x:row>
    <x:row r="43" ht="24" customHeight="1">
      <x:c r="A43" s="2" t="str">
        <x:v>2026-10-15_Night</x:v>
      </x:c>
      <x:c r="B43" s="6" t="str">
        <x:v>ナイト</x:v>
      </x:c>
      <x:c r="C43" s="6" t="n">
        <x:v>2068000</x:v>
      </x:c>
      <x:c r="D43" s="6" t="n">
        <x:v>4900000</x:v>
      </x:c>
      <x:c r="E43" s="6" t="n">
        <x:f>C43-D43</x:f>
        <x:v>-2832000</x:v>
      </x:c>
      <x:c r="F43" s="6" t="n">
        <x:f>F42+E43</x:f>
        <x:v>-60648000</x:v>
      </x:c>
      <x:c r="G43" s="6" t="n">
        <x:v>1735000</x:v>
      </x:c>
      <x:c r="H43" s="6" t="n">
        <x:v>4567000</x:v>
      </x:c>
      <x:c r="I43" s="6" t="n">
        <x:v>269</x:v>
      </x:c>
      <x:c r="J43" s="6" t="n">
        <x:v>426</x:v>
      </x:c>
      <x:c r="K43" s="6" t="n">
        <x:v>422</x:v>
      </x:c>
      <x:c r="L43" s="6" t="n">
        <x:v>10</x:v>
      </x:c>
      <x:c r="M43" s="11" t="n">
        <x:v>0.7787393162393162</x:v>
      </x:c>
      <x:c r="N43" s="6" t="n">
        <x:v>2872000</x:v>
      </x:c>
    </x:row>
    <x:row r="44" ht="24" customHeight="1">
      <x:c r="A44" s="2" t="str">
        <x:v>2026-10-16_Day</x:v>
      </x:c>
      <x:c r="B44" s="6" t="str">
        <x:v>デイ</x:v>
      </x:c>
      <x:c r="C44" s="6" t="n">
        <x:v>1693000</x:v>
      </x:c>
      <x:c r="D44" s="6" t="n">
        <x:v>3807000</x:v>
      </x:c>
      <x:c r="E44" s="6" t="n">
        <x:f>C44-D44</x:f>
        <x:v>-2114000</x:v>
      </x:c>
      <x:c r="F44" s="6" t="n">
        <x:f>F43+E44</x:f>
        <x:v>-62762000</x:v>
      </x:c>
      <x:c r="G44" s="6" t="n">
        <x:v>1410000</x:v>
      </x:c>
      <x:c r="H44" s="6" t="n">
        <x:v>3524000</x:v>
      </x:c>
      <x:c r="I44" s="6" t="n">
        <x:v>180</x:v>
      </x:c>
      <x:c r="J44" s="6" t="n">
        <x:v>358</x:v>
      </x:c>
      <x:c r="K44" s="6" t="n">
        <x:v>364</x:v>
      </x:c>
      <x:c r="L44" s="6" t="n">
        <x:v>10</x:v>
      </x:c>
      <x:c r="M44" s="11" t="n">
        <x:v>0.8389682539682539</x:v>
      </x:c>
      <x:c r="N44" s="6" t="n">
        <x:v>2180000</x:v>
      </x:c>
    </x:row>
    <x:row r="45" ht="24" customHeight="1">
      <x:c r="A45" s="2" t="str">
        <x:v>2026-10-16_Night</x:v>
      </x:c>
      <x:c r="B45" s="6" t="str">
        <x:v>ナイト</x:v>
      </x:c>
      <x:c r="C45" s="6" t="n">
        <x:v>1956000</x:v>
      </x:c>
      <x:c r="D45" s="6" t="n">
        <x:v>5204000</x:v>
      </x:c>
      <x:c r="E45" s="6" t="n">
        <x:f>C45-D45</x:f>
        <x:v>-3248000</x:v>
      </x:c>
      <x:c r="F45" s="6" t="n">
        <x:f>F44+E45</x:f>
        <x:v>-66010000</x:v>
      </x:c>
      <x:c r="G45" s="6" t="n">
        <x:v>1684000</x:v>
      </x:c>
      <x:c r="H45" s="6" t="n">
        <x:v>4932000</x:v>
      </x:c>
      <x:c r="I45" s="6" t="n">
        <x:v>276</x:v>
      </x:c>
      <x:c r="J45" s="6" t="n">
        <x:v>494</x:v>
      </x:c>
      <x:c r="K45" s="6" t="n">
        <x:v>455</x:v>
      </x:c>
      <x:c r="L45" s="6" t="n">
        <x:v>10</x:v>
      </x:c>
      <x:c r="M45" s="11" t="n">
        <x:v>0.778931623931624</x:v>
      </x:c>
      <x:c r="N45" s="6" t="n">
        <x:v>3287000</x:v>
      </x:c>
    </x:row>
    <x:row r="46" ht="24" customHeight="1">
      <x:c r="A46" s="2" t="str">
        <x:v>2026-10-19_Day</x:v>
      </x:c>
      <x:c r="B46" s="6" t="str">
        <x:v>デイ</x:v>
      </x:c>
      <x:c r="C46" s="6" t="n">
        <x:v>1722000</x:v>
      </x:c>
      <x:c r="D46" s="6" t="n">
        <x:v>4454000</x:v>
      </x:c>
      <x:c r="E46" s="6" t="n">
        <x:f>C46-D46</x:f>
        <x:v>-2732000</x:v>
      </x:c>
      <x:c r="F46" s="6" t="n">
        <x:f>F45+E46</x:f>
        <x:v>-68742000</x:v>
      </x:c>
      <x:c r="G46" s="6" t="n">
        <x:v>1569000</x:v>
      </x:c>
      <x:c r="H46" s="6" t="n">
        <x:v>4301000</x:v>
      </x:c>
      <x:c r="I46" s="6" t="n">
        <x:v>202</x:v>
      </x:c>
      <x:c r="J46" s="6" t="n">
        <x:v>317</x:v>
      </x:c>
      <x:c r="K46" s="6" t="n">
        <x:v>305</x:v>
      </x:c>
      <x:c r="L46" s="6" t="n">
        <x:v>10</x:v>
      </x:c>
      <x:c r="M46" s="11" t="n">
        <x:v>0.8062301587301587</x:v>
      </x:c>
      <x:c r="N46" s="6" t="n">
        <x:v>2752000</x:v>
      </x:c>
    </x:row>
    <x:row r="47" ht="24" customHeight="1">
      <x:c r="A47" s="2" t="str">
        <x:v>2026-10-19_Night</x:v>
      </x:c>
      <x:c r="B47" s="6" t="str">
        <x:v>ナイト</x:v>
      </x:c>
      <x:c r="C47" s="6" t="n">
        <x:v>1026000</x:v>
      </x:c>
      <x:c r="D47" s="6" t="n">
        <x:v>3605000</x:v>
      </x:c>
      <x:c r="E47" s="6" t="n">
        <x:f>C47-D47</x:f>
        <x:v>-2579000</x:v>
      </x:c>
      <x:c r="F47" s="6" t="n">
        <x:f>F46+E47</x:f>
        <x:v>-71321000</x:v>
      </x:c>
      <x:c r="G47" s="6" t="n">
        <x:v>795000</x:v>
      </x:c>
      <x:c r="H47" s="6" t="n">
        <x:v>3374000</x:v>
      </x:c>
      <x:c r="I47" s="6" t="n">
        <x:v>222</x:v>
      </x:c>
      <x:c r="J47" s="6" t="n">
        <x:v>398</x:v>
      </x:c>
      <x:c r="K47" s="6" t="n">
        <x:v>379</x:v>
      </x:c>
      <x:c r="L47" s="6" t="n">
        <x:v>10</x:v>
      </x:c>
      <x:c r="M47" s="11" t="n">
        <x:v>0.7818162393162393</x:v>
      </x:c>
      <x:c r="N47" s="6" t="n">
        <x:v>2607000</x:v>
      </x:c>
    </x:row>
    <x:row r="48" ht="24" customHeight="1">
      <x:c r="A48" s="2" t="str">
        <x:v>2026-10-20_Day</x:v>
      </x:c>
      <x:c r="B48" s="6" t="str">
        <x:v>デイ</x:v>
      </x:c>
      <x:c r="C48" s="6" t="n">
        <x:v>1848000</x:v>
      </x:c>
      <x:c r="D48" s="6" t="n">
        <x:v>4111000</x:v>
      </x:c>
      <x:c r="E48" s="6" t="n">
        <x:f>C48-D48</x:f>
        <x:v>-2263000</x:v>
      </x:c>
      <x:c r="F48" s="6" t="n">
        <x:f>F47+E48</x:f>
        <x:v>-73584000</x:v>
      </x:c>
      <x:c r="G48" s="6" t="n">
        <x:v>1632000</x:v>
      </x:c>
      <x:c r="H48" s="6" t="n">
        <x:v>3895000</x:v>
      </x:c>
      <x:c r="I48" s="6" t="n">
        <x:v>201</x:v>
      </x:c>
      <x:c r="J48" s="6" t="n">
        <x:v>365</x:v>
      </x:c>
      <x:c r="K48" s="6" t="n">
        <x:v>367</x:v>
      </x:c>
      <x:c r="L48" s="6" t="n">
        <x:v>10</x:v>
      </x:c>
      <x:c r="M48" s="11" t="n">
        <x:v>0.8326984126984127</x:v>
      </x:c>
      <x:c r="N48" s="6" t="n">
        <x:v>2297000</x:v>
      </x:c>
    </x:row>
    <x:row r="49" ht="24" customHeight="1">
      <x:c r="A49" s="2" t="str">
        <x:v>2026-10-20_Night</x:v>
      </x:c>
      <x:c r="B49" s="6" t="str">
        <x:v>ナイト</x:v>
      </x:c>
      <x:c r="C49" s="6" t="n">
        <x:v>2013000</x:v>
      </x:c>
      <x:c r="D49" s="6" t="n">
        <x:v>3950000</x:v>
      </x:c>
      <x:c r="E49" s="6" t="n">
        <x:f>C49-D49</x:f>
        <x:v>-1937000</x:v>
      </x:c>
      <x:c r="F49" s="6" t="n">
        <x:f>F48+E49</x:f>
        <x:v>-75521000</x:v>
      </x:c>
      <x:c r="G49" s="6" t="n">
        <x:v>1663000</x:v>
      </x:c>
      <x:c r="H49" s="6" t="n">
        <x:v>3600000</x:v>
      </x:c>
      <x:c r="I49" s="6" t="n">
        <x:v>235</x:v>
      </x:c>
      <x:c r="J49" s="6" t="n">
        <x:v>430</x:v>
      </x:c>
      <x:c r="K49" s="6" t="n">
        <x:v>423</x:v>
      </x:c>
      <x:c r="L49" s="6" t="n">
        <x:v>10</x:v>
      </x:c>
      <x:c r="M49" s="11" t="n">
        <x:v>0.7124145299145299</x:v>
      </x:c>
      <x:c r="N49" s="6" t="n">
        <x:v>2109000</x:v>
      </x:c>
    </x:row>
    <x:row r="50" ht="24" customHeight="1">
      <x:c r="A50" s="2" t="str">
        <x:v>2026-10-21_Day</x:v>
      </x:c>
      <x:c r="B50" s="6" t="str">
        <x:v>デイ</x:v>
      </x:c>
      <x:c r="C50" s="6" t="n">
        <x:v>1551000</x:v>
      </x:c>
      <x:c r="D50" s="6" t="n">
        <x:v>3248000</x:v>
      </x:c>
      <x:c r="E50" s="6" t="n">
        <x:f>C50-D50</x:f>
        <x:v>-1697000</x:v>
      </x:c>
      <x:c r="F50" s="6" t="n">
        <x:f>F49+E50</x:f>
        <x:v>-77218000</x:v>
      </x:c>
      <x:c r="G50" s="6" t="n">
        <x:v>1314000</x:v>
      </x:c>
      <x:c r="H50" s="6" t="n">
        <x:v>3011000</x:v>
      </x:c>
      <x:c r="I50" s="6" t="n">
        <x:v>189</x:v>
      </x:c>
      <x:c r="J50" s="6" t="n">
        <x:v>360</x:v>
      </x:c>
      <x:c r="K50" s="6" t="n">
        <x:v>342</x:v>
      </x:c>
      <x:c r="L50" s="6" t="n">
        <x:v>10</x:v>
      </x:c>
      <x:c r="M50" s="11" t="n">
        <x:v>0.8121825396825397</x:v>
      </x:c>
      <x:c r="N50" s="6" t="n">
        <x:v>1836000</x:v>
      </x:c>
    </x:row>
    <x:row r="51" ht="24" customHeight="1">
      <x:c r="A51" s="2" t="str">
        <x:v>2026-10-21_Night</x:v>
      </x:c>
      <x:c r="B51" s="6" t="str">
        <x:v>ナイト</x:v>
      </x:c>
      <x:c r="C51" s="6" t="n">
        <x:v>1415000</x:v>
      </x:c>
      <x:c r="D51" s="6" t="n">
        <x:v>3182000</x:v>
      </x:c>
      <x:c r="E51" s="6" t="n">
        <x:f>C51-D51</x:f>
        <x:v>-1767000</x:v>
      </x:c>
      <x:c r="F51" s="6" t="n">
        <x:f>F50+E51</x:f>
        <x:v>-78985000</x:v>
      </x:c>
      <x:c r="G51" s="6" t="n">
        <x:v>1189000</x:v>
      </x:c>
      <x:c r="H51" s="6" t="n">
        <x:v>2956000</x:v>
      </x:c>
      <x:c r="I51" s="6" t="n">
        <x:v>197</x:v>
      </x:c>
      <x:c r="J51" s="6" t="n">
        <x:v>353</x:v>
      </x:c>
      <x:c r="K51" s="6" t="n">
        <x:v>334</x:v>
      </x:c>
      <x:c r="L51" s="6" t="n">
        <x:v>10</x:v>
      </x:c>
      <x:c r="M51" s="11" t="n">
        <x:v>0.7912606837606838</x:v>
      </x:c>
      <x:c r="N51" s="6" t="n">
        <x:v>1906000</x:v>
      </x:c>
    </x:row>
    <x:row r="52" ht="24" customHeight="1">
      <x:c r="A52" s="2" t="str">
        <x:v>2026-10-22_Day</x:v>
      </x:c>
      <x:c r="B52" s="6" t="str">
        <x:v>デイ</x:v>
      </x:c>
      <x:c r="C52" s="6" t="n">
        <x:v>1596000</x:v>
      </x:c>
      <x:c r="D52" s="6" t="n">
        <x:v>3578000</x:v>
      </x:c>
      <x:c r="E52" s="6" t="n">
        <x:f>C52-D52</x:f>
        <x:v>-1982000</x:v>
      </x:c>
      <x:c r="F52" s="6" t="n">
        <x:f>F51+E52</x:f>
        <x:v>-80967000</x:v>
      </x:c>
      <x:c r="G52" s="6" t="n">
        <x:v>1349000</x:v>
      </x:c>
      <x:c r="H52" s="6" t="n">
        <x:v>3331000</x:v>
      </x:c>
      <x:c r="I52" s="6" t="n">
        <x:v>193</x:v>
      </x:c>
      <x:c r="J52" s="6" t="n">
        <x:v>362</x:v>
      </x:c>
      <x:c r="K52" s="6" t="n">
        <x:v>341</x:v>
      </x:c>
      <x:c r="L52" s="6" t="n">
        <x:v>10</x:v>
      </x:c>
      <x:c r="M52" s="11" t="n">
        <x:v>0.7733730158730159</x:v>
      </x:c>
      <x:c r="N52" s="6" t="n">
        <x:v>2127000</x:v>
      </x:c>
    </x:row>
    <x:row r="53" ht="24" customHeight="1">
      <x:c r="A53" s="2" t="str">
        <x:v>2026-10-22_Night</x:v>
      </x:c>
      <x:c r="B53" s="6" t="str">
        <x:v>ナイト</x:v>
      </x:c>
      <x:c r="C53" s="6" t="n">
        <x:v>1983000</x:v>
      </x:c>
      <x:c r="D53" s="6" t="n">
        <x:v>3874000</x:v>
      </x:c>
      <x:c r="E53" s="6" t="n">
        <x:f>C53-D53</x:f>
        <x:v>-1891000</x:v>
      </x:c>
      <x:c r="F53" s="6" t="n">
        <x:f>F52+E53</x:f>
        <x:v>-82858000</x:v>
      </x:c>
      <x:c r="G53" s="6" t="n">
        <x:v>1530000</x:v>
      </x:c>
      <x:c r="H53" s="6" t="n">
        <x:v>3421000</x:v>
      </x:c>
      <x:c r="I53" s="6" t="n">
        <x:v>241</x:v>
      </x:c>
      <x:c r="J53" s="6" t="n">
        <x:v>461</x:v>
      </x:c>
      <x:c r="K53" s="6" t="n">
        <x:v>439</x:v>
      </x:c>
      <x:c r="L53" s="6" t="n">
        <x:v>10</x:v>
      </x:c>
      <x:c r="M53" s="11" t="n">
        <x:v>0.8002136752136753</x:v>
      </x:c>
      <x:c r="N53" s="6" t="n">
        <x:v>2002000</x:v>
      </x:c>
    </x:row>
    <x:row r="54" ht="24" customHeight="1">
      <x:c r="A54" s="2" t="str">
        <x:v>2026-10-23_Day</x:v>
      </x:c>
      <x:c r="B54" s="6" t="str">
        <x:v>デイ</x:v>
      </x:c>
      <x:c r="C54" s="6" t="n">
        <x:v>3546000</x:v>
      </x:c>
      <x:c r="D54" s="6" t="n">
        <x:v>7624000</x:v>
      </x:c>
      <x:c r="E54" s="6" t="n">
        <x:f>C54-D54</x:f>
        <x:v>-4078000</x:v>
      </x:c>
      <x:c r="F54" s="6" t="n">
        <x:f>F53+E54</x:f>
        <x:v>-86936000</x:v>
      </x:c>
      <x:c r="G54" s="6" t="n">
        <x:v>3304000</x:v>
      </x:c>
      <x:c r="H54" s="6" t="n">
        <x:v>7382000</x:v>
      </x:c>
      <x:c r="I54" s="6" t="n">
        <x:v>300</x:v>
      </x:c>
      <x:c r="J54" s="6" t="n">
        <x:v>358</x:v>
      </x:c>
      <x:c r="K54" s="6" t="n">
        <x:v>359</x:v>
      </x:c>
      <x:c r="L54" s="6" t="n">
        <x:v>10</x:v>
      </x:c>
      <x:c r="M54" s="11" t="n">
        <x:v>0.8098015873015874</x:v>
      </x:c>
      <x:c r="N54" s="6" t="n">
        <x:v>4142000</x:v>
      </x:c>
    </x:row>
    <x:row r="55" ht="24" customHeight="1">
      <x:c r="A55" s="2" t="str">
        <x:v>2026-10-23_Night</x:v>
      </x:c>
      <x:c r="B55" s="6" t="str">
        <x:v>ナイト</x:v>
      </x:c>
      <x:c r="C55" s="6" t="n">
        <x:v>1269000</x:v>
      </x:c>
      <x:c r="D55" s="6" t="n">
        <x:v>4249000</x:v>
      </x:c>
      <x:c r="E55" s="6" t="n">
        <x:f>C55-D55</x:f>
        <x:v>-2980000</x:v>
      </x:c>
      <x:c r="F55" s="6" t="n">
        <x:f>F54+E55</x:f>
        <x:v>-89916000</x:v>
      </x:c>
      <x:c r="G55" s="6" t="n">
        <x:v>1034000</x:v>
      </x:c>
      <x:c r="H55" s="6" t="n">
        <x:v>4014000</x:v>
      </x:c>
      <x:c r="I55" s="6" t="n">
        <x:v>248</x:v>
      </x:c>
      <x:c r="J55" s="6" t="n">
        <x:v>422</x:v>
      </x:c>
      <x:c r="K55" s="6" t="n">
        <x:v>417</x:v>
      </x:c>
      <x:c r="L55" s="6" t="n">
        <x:v>10</x:v>
      </x:c>
      <x:c r="M55" s="11" t="n">
        <x:v>0.7958119658119658</x:v>
      </x:c>
      <x:c r="N55" s="6" t="n">
        <x:v>3053000</x:v>
      </x:c>
    </x:row>
    <x:row r="56" ht="24" customHeight="1">
      <x:c r="A56" s="2" t="str">
        <x:v>2026-10-26_Day</x:v>
      </x:c>
      <x:c r="B56" s="6" t="str">
        <x:v>デイ</x:v>
      </x:c>
      <x:c r="C56" s="6" t="n">
        <x:v>1896000</x:v>
      </x:c>
      <x:c r="D56" s="6" t="n">
        <x:v>5442000</x:v>
      </x:c>
      <x:c r="E56" s="6" t="n">
        <x:f>C56-D56</x:f>
        <x:v>-3546000</x:v>
      </x:c>
      <x:c r="F56" s="6" t="n">
        <x:f>F55+E56</x:f>
        <x:v>-93462000</x:v>
      </x:c>
      <x:c r="G56" s="6" t="n">
        <x:v>1691000</x:v>
      </x:c>
      <x:c r="H56" s="6" t="n">
        <x:v>5237000</x:v>
      </x:c>
      <x:c r="I56" s="6" t="n">
        <x:v>221</x:v>
      </x:c>
      <x:c r="J56" s="6" t="n">
        <x:v>308</x:v>
      </x:c>
      <x:c r="K56" s="6" t="n">
        <x:v>315</x:v>
      </x:c>
      <x:c r="L56" s="6" t="n">
        <x:v>10</x:v>
      </x:c>
      <x:c r="M56" s="11" t="n">
        <x:v>0.787063492063492</x:v>
      </x:c>
      <x:c r="N56" s="6" t="n">
        <x:v>3548000</x:v>
      </x:c>
    </x:row>
    <x:row r="57" ht="24" customHeight="1">
      <x:c r="A57" s="15" t="str">
        <x:v>累計／平均／最大</x:v>
      </x:c>
      <x:c r="B57" s="16"/>
      <x:c r="C57" s="16" t="n">
        <x:f>SUM(C6:C56)</x:f>
        <x:v>61157000</x:v>
      </x:c>
      <x:c r="D57" s="16" t="n">
        <x:f>SUM(D6:D56)</x:f>
        <x:v>154619000</x:v>
      </x:c>
      <x:c r="E57" s="16" t="n">
        <x:f>C57-D57</x:f>
        <x:v>-93462000</x:v>
      </x:c>
      <x:c r="F57" s="16" t="n">
        <x:f>F56</x:f>
        <x:v>-93462000</x:v>
      </x:c>
      <x:c r="G57" s="16" t="n">
        <x:f>SUM(G6:G56)</x:f>
        <x:v>50261000</x:v>
      </x:c>
      <x:c r="H57" s="16" t="n">
        <x:f>SUM(H6:H56)</x:f>
        <x:v>143723000</x:v>
      </x:c>
      <x:c r="I57" s="16" t="n">
        <x:f>SUM(I6:I56)</x:f>
        <x:v>8882</x:v>
      </x:c>
      <x:c r="J57" s="16" t="n">
        <x:f>SUM(J6:J56)</x:f>
        <x:v>16818</x:v>
      </x:c>
      <x:c r="K57" s="16" t="n">
        <x:f>SUM(K6:K56)</x:f>
        <x:v>15780</x:v>
      </x:c>
      <x:c r="L57" s="16" t="n">
        <x:f>MAX(L6:L56)</x:f>
        <x:v>10</x:v>
      </x:c>
      <x:c r="M57" s="17" t="n">
        <x:f>AVERAGE(M6:M56)</x:f>
        <x:v>0.7871957073427662</x:v>
      </x:c>
      <x:c r="N57" s="16" t="n">
        <x:f>MAX(N6:N56)</x:f>
        <x:v>4142000</x:v>
      </x:c>
    </x:row>
  </x:sheetData>
  <x:conditionalFormatting sqref="E6:F56">
    <x:cfRule type="cellIs" dxfId="25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46fcd56f3dd41ed"/>
  </x:tableParts>
</x:worksheet>
</file>

<file path=xl/worksheets/sheet2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1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4" customHeight="1">
      <x:c r="A1" s="3" t="str">
        <x:v>日経 M19　各セッションの利益・損失・収支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A2" s="4" t="str">
        <x:v>2026/09/21〜10/26デイ・51完了場。日経mini／TOPIXmini各上限10枚・手数料0。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4" customHeight="1">
      <x:c r="A3" s="4" t="str">
        <x:v>600秒の時間加重平均を60秒前と比較。入口だけ傾き比例枚数、利益追尾で返済。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4" customHeight="1">
      <x:c r="A4" s="4" t="str">
        <x:v>利益・損失＝FIFO返済配賦別。親＝初回から全返済まで。ラージ気配による模型で、mini実約定の検証ではありません。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42" customHeight="1">
      <x:c r="A5" s="10" t="str">
        <x:v>セッション</x:v>
      </x:c>
      <x:c r="B5" s="10" t="str">
        <x:v>区分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親利益（円）</x:v>
      </x:c>
      <x:c r="H5" s="10" t="str">
        <x:v>親損失（円）</x:v>
      </x:c>
      <x:c r="I5" s="10" t="str">
        <x:v>初回件数</x:v>
      </x:c>
      <x:c r="J5" s="10" t="str">
        <x:v>追加件数</x:v>
      </x:c>
      <x:c r="K5" s="10" t="str">
        <x:v>縮小件数</x:v>
      </x:c>
      <x:c r="L5" s="10" t="str">
        <x:v>最大保有枚数</x:v>
      </x:c>
      <x:c r="M5" s="10" t="str">
        <x:v>保有時間率</x:v>
      </x:c>
      <x:c r="N5" s="10" t="str">
        <x:v>時価最大DD（円）</x:v>
      </x:c>
    </x:row>
    <x:row r="6" ht="24" customHeight="1">
      <x:c r="A6" s="2" t="str">
        <x:v>2026-09-21_Day</x:v>
      </x:c>
      <x:c r="B6" s="6" t="str">
        <x:v>デイ</x:v>
      </x:c>
      <x:c r="C6" s="6" t="n">
        <x:v>174000</x:v>
      </x:c>
      <x:c r="D6" s="6" t="n">
        <x:v>596000</x:v>
      </x:c>
      <x:c r="E6" s="6" t="n">
        <x:f>C6-D6</x:f>
        <x:v>-422000</x:v>
      </x:c>
      <x:c r="F6" s="6" t="n">
        <x:f>E6</x:f>
        <x:v>-422000</x:v>
      </x:c>
      <x:c r="G6" s="6" t="n">
        <x:v>174000</x:v>
      </x:c>
      <x:c r="H6" s="6" t="n">
        <x:v>596000</x:v>
      </x:c>
      <x:c r="I6" s="6" t="n">
        <x:v>32</x:v>
      </x:c>
      <x:c r="J6" s="6" t="n">
        <x:v>0</x:v>
      </x:c>
      <x:c r="K6" s="6" t="n">
        <x:v>0</x:v>
      </x:c>
      <x:c r="L6" s="6" t="n">
        <x:v>10</x:v>
      </x:c>
      <x:c r="M6" s="11" t="n">
        <x:v>0.6616269841269842</x:v>
      </x:c>
      <x:c r="N6" s="6" t="n">
        <x:v>449000</x:v>
      </x:c>
    </x:row>
    <x:row r="7" ht="24" customHeight="1">
      <x:c r="A7" s="2" t="str">
        <x:v>2026-09-21_Night</x:v>
      </x:c>
      <x:c r="B7" s="6" t="str">
        <x:v>ナイト</x:v>
      </x:c>
      <x:c r="C7" s="6" t="n">
        <x:v>314000</x:v>
      </x:c>
      <x:c r="D7" s="6" t="n">
        <x:v>313000</x:v>
      </x:c>
      <x:c r="E7" s="6" t="n">
        <x:f>C7-D7</x:f>
        <x:v>1000</x:v>
      </x:c>
      <x:c r="F7" s="6" t="n">
        <x:f>F6+E7</x:f>
        <x:v>-421000</x:v>
      </x:c>
      <x:c r="G7" s="6" t="n">
        <x:v>314000</x:v>
      </x:c>
      <x:c r="H7" s="6" t="n">
        <x:v>313000</x:v>
      </x:c>
      <x:c r="I7" s="6" t="n">
        <x:v>35</x:v>
      </x:c>
      <x:c r="J7" s="6" t="n">
        <x:v>0</x:v>
      </x:c>
      <x:c r="K7" s="6" t="n">
        <x:v>0</x:v>
      </x:c>
      <x:c r="L7" s="6" t="n">
        <x:v>8</x:v>
      </x:c>
      <x:c r="M7" s="11" t="n">
        <x:v>0.5742521367521367</x:v>
      </x:c>
      <x:c r="N7" s="6" t="n">
        <x:v>130000</x:v>
      </x:c>
    </x:row>
    <x:row r="8" ht="24" customHeight="1">
      <x:c r="A8" s="2" t="str">
        <x:v>2026-09-22_Day</x:v>
      </x:c>
      <x:c r="B8" s="6" t="str">
        <x:v>デイ</x:v>
      </x:c>
      <x:c r="C8" s="6" t="n">
        <x:v>485000</x:v>
      </x:c>
      <x:c r="D8" s="6" t="n">
        <x:v>768000</x:v>
      </x:c>
      <x:c r="E8" s="6" t="n">
        <x:f>C8-D8</x:f>
        <x:v>-283000</x:v>
      </x:c>
      <x:c r="F8" s="6" t="n">
        <x:f>F7+E8</x:f>
        <x:v>-704000</x:v>
      </x:c>
      <x:c r="G8" s="6" t="n">
        <x:v>485000</x:v>
      </x:c>
      <x:c r="H8" s="6" t="n">
        <x:v>768000</x:v>
      </x:c>
      <x:c r="I8" s="6" t="n">
        <x:v>49</x:v>
      </x:c>
      <x:c r="J8" s="6" t="n">
        <x:v>0</x:v>
      </x:c>
      <x:c r="K8" s="6" t="n">
        <x:v>0</x:v>
      </x:c>
      <x:c r="L8" s="6" t="n">
        <x:v>10</x:v>
      </x:c>
      <x:c r="M8" s="11" t="n">
        <x:v>0.7298015873015873</x:v>
      </x:c>
      <x:c r="N8" s="6" t="n">
        <x:v>394000</x:v>
      </x:c>
    </x:row>
    <x:row r="9" ht="24" customHeight="1">
      <x:c r="A9" s="2" t="str">
        <x:v>2026-09-22_Night</x:v>
      </x:c>
      <x:c r="B9" s="6" t="str">
        <x:v>ナイト</x:v>
      </x:c>
      <x:c r="C9" s="6" t="n">
        <x:v>708000</x:v>
      </x:c>
      <x:c r="D9" s="6" t="n">
        <x:v>1218000</x:v>
      </x:c>
      <x:c r="E9" s="6" t="n">
        <x:f>C9-D9</x:f>
        <x:v>-510000</x:v>
      </x:c>
      <x:c r="F9" s="6" t="n">
        <x:f>F8+E9</x:f>
        <x:v>-1214000</x:v>
      </x:c>
      <x:c r="G9" s="6" t="n">
        <x:v>708000</x:v>
      </x:c>
      <x:c r="H9" s="6" t="n">
        <x:v>1218000</x:v>
      </x:c>
      <x:c r="I9" s="6" t="n">
        <x:v>76</x:v>
      </x:c>
      <x:c r="J9" s="6" t="n">
        <x:v>0</x:v>
      </x:c>
      <x:c r="K9" s="6" t="n">
        <x:v>0</x:v>
      </x:c>
      <x:c r="L9" s="6" t="n">
        <x:v>10</x:v>
      </x:c>
      <x:c r="M9" s="11" t="n">
        <x:v>0.6714529914529914</x:v>
      </x:c>
      <x:c r="N9" s="6" t="n">
        <x:v>610000</x:v>
      </x:c>
    </x:row>
    <x:row r="10" ht="24" customHeight="1">
      <x:c r="A10" s="2" t="str">
        <x:v>2026-09-23_Day</x:v>
      </x:c>
      <x:c r="B10" s="6" t="str">
        <x:v>デイ</x:v>
      </x:c>
      <x:c r="C10" s="6" t="n">
        <x:v>171000</x:v>
      </x:c>
      <x:c r="D10" s="6" t="n">
        <x:v>297000</x:v>
      </x:c>
      <x:c r="E10" s="6" t="n">
        <x:f>C10-D10</x:f>
        <x:v>-126000</x:v>
      </x:c>
      <x:c r="F10" s="6" t="n">
        <x:f>F9+E10</x:f>
        <x:v>-1340000</x:v>
      </x:c>
      <x:c r="G10" s="6" t="n">
        <x:v>171000</x:v>
      </x:c>
      <x:c r="H10" s="6" t="n">
        <x:v>297000</x:v>
      </x:c>
      <x:c r="I10" s="6" t="n">
        <x:v>28</x:v>
      </x:c>
      <x:c r="J10" s="6" t="n">
        <x:v>0</x:v>
      </x:c>
      <x:c r="K10" s="6" t="n">
        <x:v>0</x:v>
      </x:c>
      <x:c r="L10" s="6" t="n">
        <x:v>10</x:v>
      </x:c>
      <x:c r="M10" s="11" t="n">
        <x:v>0.7783730158730159</x:v>
      </x:c>
      <x:c r="N10" s="6" t="n">
        <x:v>175000</x:v>
      </x:c>
    </x:row>
    <x:row r="11" ht="24" customHeight="1">
      <x:c r="A11" s="2" t="str">
        <x:v>2026-09-23_Night</x:v>
      </x:c>
      <x:c r="B11" s="6" t="str">
        <x:v>ナイト</x:v>
      </x:c>
      <x:c r="C11" s="6" t="n">
        <x:v>429000</x:v>
      </x:c>
      <x:c r="D11" s="6" t="n">
        <x:v>717000</x:v>
      </x:c>
      <x:c r="E11" s="6" t="n">
        <x:f>C11-D11</x:f>
        <x:v>-288000</x:v>
      </x:c>
      <x:c r="F11" s="6" t="n">
        <x:f>F10+E11</x:f>
        <x:v>-1628000</x:v>
      </x:c>
      <x:c r="G11" s="6" t="n">
        <x:v>429000</x:v>
      </x:c>
      <x:c r="H11" s="6" t="n">
        <x:v>717000</x:v>
      </x:c>
      <x:c r="I11" s="6" t="n">
        <x:v>46</x:v>
      </x:c>
      <x:c r="J11" s="6" t="n">
        <x:v>0</x:v>
      </x:c>
      <x:c r="K11" s="6" t="n">
        <x:v>0</x:v>
      </x:c>
      <x:c r="L11" s="6" t="n">
        <x:v>10</x:v>
      </x:c>
      <x:c r="M11" s="11" t="n">
        <x:v>0.7497649572649573</x:v>
      </x:c>
      <x:c r="N11" s="6" t="n">
        <x:v>326000</x:v>
      </x:c>
    </x:row>
    <x:row r="12" ht="24" customHeight="1">
      <x:c r="A12" s="2" t="str">
        <x:v>2026-09-24_Day</x:v>
      </x:c>
      <x:c r="B12" s="6" t="str">
        <x:v>デイ</x:v>
      </x:c>
      <x:c r="C12" s="6" t="n">
        <x:v>928000</x:v>
      </x:c>
      <x:c r="D12" s="6" t="n">
        <x:v>1612000</x:v>
      </x:c>
      <x:c r="E12" s="6" t="n">
        <x:f>C12-D12</x:f>
        <x:v>-684000</x:v>
      </x:c>
      <x:c r="F12" s="6" t="n">
        <x:f>F11+E12</x:f>
        <x:v>-2312000</x:v>
      </x:c>
      <x:c r="G12" s="6" t="n">
        <x:v>928000</x:v>
      </x:c>
      <x:c r="H12" s="6" t="n">
        <x:v>1612000</x:v>
      </x:c>
      <x:c r="I12" s="6" t="n">
        <x:v>91</x:v>
      </x:c>
      <x:c r="J12" s="6" t="n">
        <x:v>0</x:v>
      </x:c>
      <x:c r="K12" s="6" t="n">
        <x:v>0</x:v>
      </x:c>
      <x:c r="L12" s="6" t="n">
        <x:v>10</x:v>
      </x:c>
      <x:c r="M12" s="11" t="n">
        <x:v>0.8770634920634921</x:v>
      </x:c>
      <x:c r="N12" s="6" t="n">
        <x:v>767000</x:v>
      </x:c>
    </x:row>
    <x:row r="13" ht="24" customHeight="1">
      <x:c r="A13" s="2" t="str">
        <x:v>2026-09-24_Night</x:v>
      </x:c>
      <x:c r="B13" s="6" t="str">
        <x:v>ナイト</x:v>
      </x:c>
      <x:c r="C13" s="6" t="n">
        <x:v>972000</x:v>
      </x:c>
      <x:c r="D13" s="6" t="n">
        <x:v>2307000</x:v>
      </x:c>
      <x:c r="E13" s="6" t="n">
        <x:f>C13-D13</x:f>
        <x:v>-1335000</x:v>
      </x:c>
      <x:c r="F13" s="6" t="n">
        <x:f>F12+E13</x:f>
        <x:v>-3647000</x:v>
      </x:c>
      <x:c r="G13" s="6" t="n">
        <x:v>972000</x:v>
      </x:c>
      <x:c r="H13" s="6" t="n">
        <x:v>2307000</x:v>
      </x:c>
      <x:c r="I13" s="6" t="n">
        <x:v>135</x:v>
      </x:c>
      <x:c r="J13" s="6" t="n">
        <x:v>0</x:v>
      </x:c>
      <x:c r="K13" s="6" t="n">
        <x:v>0</x:v>
      </x:c>
      <x:c r="L13" s="6" t="n">
        <x:v>10</x:v>
      </x:c>
      <x:c r="M13" s="11" t="n">
        <x:v>0.8060683760683761</x:v>
      </x:c>
      <x:c r="N13" s="6" t="n">
        <x:v>1389000</x:v>
      </x:c>
    </x:row>
    <x:row r="14" ht="24" customHeight="1">
      <x:c r="A14" s="2" t="str">
        <x:v>2026-09-25_Day</x:v>
      </x:c>
      <x:c r="B14" s="6" t="str">
        <x:v>デイ</x:v>
      </x:c>
      <x:c r="C14" s="6" t="n">
        <x:v>732000</x:v>
      </x:c>
      <x:c r="D14" s="6" t="n">
        <x:v>1245000</x:v>
      </x:c>
      <x:c r="E14" s="6" t="n">
        <x:f>C14-D14</x:f>
        <x:v>-513000</x:v>
      </x:c>
      <x:c r="F14" s="6" t="n">
        <x:f>F13+E14</x:f>
        <x:v>-4160000</x:v>
      </x:c>
      <x:c r="G14" s="6" t="n">
        <x:v>732000</x:v>
      </x:c>
      <x:c r="H14" s="6" t="n">
        <x:v>1245000</x:v>
      </x:c>
      <x:c r="I14" s="6" t="n">
        <x:v>82</x:v>
      </x:c>
      <x:c r="J14" s="6" t="n">
        <x:v>0</x:v>
      </x:c>
      <x:c r="K14" s="6" t="n">
        <x:v>0</x:v>
      </x:c>
      <x:c r="L14" s="6" t="n">
        <x:v>10</x:v>
      </x:c>
      <x:c r="M14" s="11" t="n">
        <x:v>0.8431746031746031</x:v>
      </x:c>
      <x:c r="N14" s="6" t="n">
        <x:v>635000</x:v>
      </x:c>
    </x:row>
    <x:row r="15" ht="24" customHeight="1">
      <x:c r="A15" s="2" t="str">
        <x:v>2026-09-25_Night</x:v>
      </x:c>
      <x:c r="B15" s="6" t="str">
        <x:v>ナイト</x:v>
      </x:c>
      <x:c r="C15" s="6" t="n">
        <x:v>675000</x:v>
      </x:c>
      <x:c r="D15" s="6" t="n">
        <x:v>1122000</x:v>
      </x:c>
      <x:c r="E15" s="6" t="n">
        <x:f>C15-D15</x:f>
        <x:v>-447000</x:v>
      </x:c>
      <x:c r="F15" s="6" t="n">
        <x:f>F14+E15</x:f>
        <x:v>-4607000</x:v>
      </x:c>
      <x:c r="G15" s="6" t="n">
        <x:v>675000</x:v>
      </x:c>
      <x:c r="H15" s="6" t="n">
        <x:v>1122000</x:v>
      </x:c>
      <x:c r="I15" s="6" t="n">
        <x:v>88</x:v>
      </x:c>
      <x:c r="J15" s="6" t="n">
        <x:v>0</x:v>
      </x:c>
      <x:c r="K15" s="6" t="n">
        <x:v>0</x:v>
      </x:c>
      <x:c r="L15" s="6" t="n">
        <x:v>10</x:v>
      </x:c>
      <x:c r="M15" s="11" t="n">
        <x:v>0.7535470085470085</x:v>
      </x:c>
      <x:c r="N15" s="6" t="n">
        <x:v>619000</x:v>
      </x:c>
    </x:row>
    <x:row r="16" ht="24" customHeight="1">
      <x:c r="A16" s="2" t="str">
        <x:v>2026-09-28_Day</x:v>
      </x:c>
      <x:c r="B16" s="6" t="str">
        <x:v>デイ</x:v>
      </x:c>
      <x:c r="C16" s="6" t="n">
        <x:v>1315000</x:v>
      </x:c>
      <x:c r="D16" s="6" t="n">
        <x:v>1838000</x:v>
      </x:c>
      <x:c r="E16" s="6" t="n">
        <x:f>C16-D16</x:f>
        <x:v>-523000</x:v>
      </x:c>
      <x:c r="F16" s="6" t="n">
        <x:f>F15+E16</x:f>
        <x:v>-5130000</x:v>
      </x:c>
      <x:c r="G16" s="6" t="n">
        <x:v>1315000</x:v>
      </x:c>
      <x:c r="H16" s="6" t="n">
        <x:v>1838000</x:v>
      </x:c>
      <x:c r="I16" s="6" t="n">
        <x:v>96</x:v>
      </x:c>
      <x:c r="J16" s="6" t="n">
        <x:v>0</x:v>
      </x:c>
      <x:c r="K16" s="6" t="n">
        <x:v>0</x:v>
      </x:c>
      <x:c r="L16" s="6" t="n">
        <x:v>10</x:v>
      </x:c>
      <x:c r="M16" s="11" t="n">
        <x:v>0.8810714285714286</x:v>
      </x:c>
      <x:c r="N16" s="6" t="n">
        <x:v>800000</x:v>
      </x:c>
    </x:row>
    <x:row r="17" ht="24" customHeight="1">
      <x:c r="A17" s="2" t="str">
        <x:v>2026-09-28_Night</x:v>
      </x:c>
      <x:c r="B17" s="6" t="str">
        <x:v>ナイト</x:v>
      </x:c>
      <x:c r="C17" s="6" t="n">
        <x:v>865000</x:v>
      </x:c>
      <x:c r="D17" s="6" t="n">
        <x:v>2038000</x:v>
      </x:c>
      <x:c r="E17" s="6" t="n">
        <x:f>C17-D17</x:f>
        <x:v>-1173000</x:v>
      </x:c>
      <x:c r="F17" s="6" t="n">
        <x:f>F16+E17</x:f>
        <x:v>-6303000</x:v>
      </x:c>
      <x:c r="G17" s="6" t="n">
        <x:v>865000</x:v>
      </x:c>
      <x:c r="H17" s="6" t="n">
        <x:v>2038000</x:v>
      </x:c>
      <x:c r="I17" s="6" t="n">
        <x:v>106</x:v>
      </x:c>
      <x:c r="J17" s="6" t="n">
        <x:v>0</x:v>
      </x:c>
      <x:c r="K17" s="6" t="n">
        <x:v>0</x:v>
      </x:c>
      <x:c r="L17" s="6" t="n">
        <x:v>10</x:v>
      </x:c>
      <x:c r="M17" s="11" t="n">
        <x:v>0.7875</x:v>
      </x:c>
      <x:c r="N17" s="6" t="n">
        <x:v>1193000</x:v>
      </x:c>
    </x:row>
    <x:row r="18" ht="24" customHeight="1">
      <x:c r="A18" s="2" t="str">
        <x:v>2026-09-29_Day</x:v>
      </x:c>
      <x:c r="B18" s="6" t="str">
        <x:v>デイ</x:v>
      </x:c>
      <x:c r="C18" s="6" t="n">
        <x:v>993000</x:v>
      </x:c>
      <x:c r="D18" s="6" t="n">
        <x:v>2215000</x:v>
      </x:c>
      <x:c r="E18" s="6" t="n">
        <x:f>C18-D18</x:f>
        <x:v>-1222000</x:v>
      </x:c>
      <x:c r="F18" s="6" t="n">
        <x:f>F17+E18</x:f>
        <x:v>-7525000</x:v>
      </x:c>
      <x:c r="G18" s="6" t="n">
        <x:v>993000</x:v>
      </x:c>
      <x:c r="H18" s="6" t="n">
        <x:v>2215000</x:v>
      </x:c>
      <x:c r="I18" s="6" t="n">
        <x:v>109</x:v>
      </x:c>
      <x:c r="J18" s="6" t="n">
        <x:v>0</x:v>
      </x:c>
      <x:c r="K18" s="6" t="n">
        <x:v>0</x:v>
      </x:c>
      <x:c r="L18" s="6" t="n">
        <x:v>10</x:v>
      </x:c>
      <x:c r="M18" s="11" t="n">
        <x:v>0.8657936507936508</x:v>
      </x:c>
      <x:c r="N18" s="6" t="n">
        <x:v>1515000</x:v>
      </x:c>
    </x:row>
    <x:row r="19" ht="24" customHeight="1">
      <x:c r="A19" s="2" t="str">
        <x:v>2026-09-29_Night</x:v>
      </x:c>
      <x:c r="B19" s="6" t="str">
        <x:v>ナイト</x:v>
      </x:c>
      <x:c r="C19" s="6" t="n">
        <x:v>747000</x:v>
      </x:c>
      <x:c r="D19" s="6" t="n">
        <x:v>1106000</x:v>
      </x:c>
      <x:c r="E19" s="6" t="n">
        <x:f>C19-D19</x:f>
        <x:v>-359000</x:v>
      </x:c>
      <x:c r="F19" s="6" t="n">
        <x:f>F18+E19</x:f>
        <x:v>-7884000</x:v>
      </x:c>
      <x:c r="G19" s="6" t="n">
        <x:v>747000</x:v>
      </x:c>
      <x:c r="H19" s="6" t="n">
        <x:v>1106000</x:v>
      </x:c>
      <x:c r="I19" s="6" t="n">
        <x:v>87</x:v>
      </x:c>
      <x:c r="J19" s="6" t="n">
        <x:v>0</x:v>
      </x:c>
      <x:c r="K19" s="6" t="n">
        <x:v>0</x:v>
      </x:c>
      <x:c r="L19" s="6" t="n">
        <x:v>10</x:v>
      </x:c>
      <x:c r="M19" s="11" t="n">
        <x:v>0.784017094017094</x:v>
      </x:c>
      <x:c r="N19" s="6" t="n">
        <x:v>383000</x:v>
      </x:c>
    </x:row>
    <x:row r="20" ht="24" customHeight="1">
      <x:c r="A20" s="2" t="str">
        <x:v>2026-09-30_Day</x:v>
      </x:c>
      <x:c r="B20" s="6" t="str">
        <x:v>デイ</x:v>
      </x:c>
      <x:c r="C20" s="6" t="n">
        <x:v>906000</x:v>
      </x:c>
      <x:c r="D20" s="6" t="n">
        <x:v>1758000</x:v>
      </x:c>
      <x:c r="E20" s="6" t="n">
        <x:f>C20-D20</x:f>
        <x:v>-852000</x:v>
      </x:c>
      <x:c r="F20" s="6" t="n">
        <x:f>F19+E20</x:f>
        <x:v>-8736000</x:v>
      </x:c>
      <x:c r="G20" s="6" t="n">
        <x:v>906000</x:v>
      </x:c>
      <x:c r="H20" s="6" t="n">
        <x:v>1758000</x:v>
      </x:c>
      <x:c r="I20" s="6" t="n">
        <x:v>98</x:v>
      </x:c>
      <x:c r="J20" s="6" t="n">
        <x:v>0</x:v>
      </x:c>
      <x:c r="K20" s="6" t="n">
        <x:v>0</x:v>
      </x:c>
      <x:c r="L20" s="6" t="n">
        <x:v>10</x:v>
      </x:c>
      <x:c r="M20" s="11" t="n">
        <x:v>0.8823412698412698</x:v>
      </x:c>
      <x:c r="N20" s="6" t="n">
        <x:v>914000</x:v>
      </x:c>
    </x:row>
    <x:row r="21" ht="24" customHeight="1">
      <x:c r="A21" s="2" t="str">
        <x:v>2026-09-30_Night</x:v>
      </x:c>
      <x:c r="B21" s="6" t="str">
        <x:v>ナイト</x:v>
      </x:c>
      <x:c r="C21" s="6" t="n">
        <x:v>1062000</x:v>
      </x:c>
      <x:c r="D21" s="6" t="n">
        <x:v>1787000</x:v>
      </x:c>
      <x:c r="E21" s="6" t="n">
        <x:f>C21-D21</x:f>
        <x:v>-725000</x:v>
      </x:c>
      <x:c r="F21" s="6" t="n">
        <x:f>F20+E21</x:f>
        <x:v>-9461000</x:v>
      </x:c>
      <x:c r="G21" s="6" t="n">
        <x:v>1062000</x:v>
      </x:c>
      <x:c r="H21" s="6" t="n">
        <x:v>1787000</x:v>
      </x:c>
      <x:c r="I21" s="6" t="n">
        <x:v>108</x:v>
      </x:c>
      <x:c r="J21" s="6" t="n">
        <x:v>0</x:v>
      </x:c>
      <x:c r="K21" s="6" t="n">
        <x:v>0</x:v>
      </x:c>
      <x:c r="L21" s="6" t="n">
        <x:v>10</x:v>
      </x:c>
      <x:c r="M21" s="11" t="n">
        <x:v>0.8197435897435897</x:v>
      </x:c>
      <x:c r="N21" s="6" t="n">
        <x:v>793000</x:v>
      </x:c>
    </x:row>
    <x:row r="22" ht="24" customHeight="1">
      <x:c r="A22" s="2" t="str">
        <x:v>2026-10-01_Day</x:v>
      </x:c>
      <x:c r="B22" s="6" t="str">
        <x:v>デイ</x:v>
      </x:c>
      <x:c r="C22" s="6" t="n">
        <x:v>1022000</x:v>
      </x:c>
      <x:c r="D22" s="6" t="n">
        <x:v>1223000</x:v>
      </x:c>
      <x:c r="E22" s="6" t="n">
        <x:f>C22-D22</x:f>
        <x:v>-201000</x:v>
      </x:c>
      <x:c r="F22" s="6" t="n">
        <x:f>F21+E22</x:f>
        <x:v>-9662000</x:v>
      </x:c>
      <x:c r="G22" s="6" t="n">
        <x:v>1022000</x:v>
      </x:c>
      <x:c r="H22" s="6" t="n">
        <x:v>1223000</x:v>
      </x:c>
      <x:c r="I22" s="6" t="n">
        <x:v>68</x:v>
      </x:c>
      <x:c r="J22" s="6" t="n">
        <x:v>0</x:v>
      </x:c>
      <x:c r="K22" s="6" t="n">
        <x:v>0</x:v>
      </x:c>
      <x:c r="L22" s="6" t="n">
        <x:v>10</x:v>
      </x:c>
      <x:c r="M22" s="11" t="n">
        <x:v>0.8753968253968254</x:v>
      </x:c>
      <x:c r="N22" s="6" t="n">
        <x:v>398000</x:v>
      </x:c>
    </x:row>
    <x:row r="23" ht="24" customHeight="1">
      <x:c r="A23" s="2" t="str">
        <x:v>2026-10-01_Night</x:v>
      </x:c>
      <x:c r="B23" s="6" t="str">
        <x:v>ナイト</x:v>
      </x:c>
      <x:c r="C23" s="6" t="n">
        <x:v>1418000</x:v>
      </x:c>
      <x:c r="D23" s="6" t="n">
        <x:v>2018000</x:v>
      </x:c>
      <x:c r="E23" s="6" t="n">
        <x:f>C23-D23</x:f>
        <x:v>-600000</x:v>
      </x:c>
      <x:c r="F23" s="6" t="n">
        <x:f>F22+E23</x:f>
        <x:v>-10262000</x:v>
      </x:c>
      <x:c r="G23" s="6" t="n">
        <x:v>1418000</x:v>
      </x:c>
      <x:c r="H23" s="6" t="n">
        <x:v>2018000</x:v>
      </x:c>
      <x:c r="I23" s="6" t="n">
        <x:v>122</x:v>
      </x:c>
      <x:c r="J23" s="6" t="n">
        <x:v>0</x:v>
      </x:c>
      <x:c r="K23" s="6" t="n">
        <x:v>0</x:v>
      </x:c>
      <x:c r="L23" s="6" t="n">
        <x:v>10</x:v>
      </x:c>
      <x:c r="M23" s="11" t="n">
        <x:v>0.8561538461538462</x:v>
      </x:c>
      <x:c r="N23" s="6" t="n">
        <x:v>813000</x:v>
      </x:c>
    </x:row>
    <x:row r="24" ht="24" customHeight="1">
      <x:c r="A24" s="2" t="str">
        <x:v>2026-10-02_Day</x:v>
      </x:c>
      <x:c r="B24" s="6" t="str">
        <x:v>デイ</x:v>
      </x:c>
      <x:c r="C24" s="6" t="n">
        <x:v>534000</x:v>
      </x:c>
      <x:c r="D24" s="6" t="n">
        <x:v>1509000</x:v>
      </x:c>
      <x:c r="E24" s="6" t="n">
        <x:f>C24-D24</x:f>
        <x:v>-975000</x:v>
      </x:c>
      <x:c r="F24" s="6" t="n">
        <x:f>F23+E24</x:f>
        <x:v>-11237000</x:v>
      </x:c>
      <x:c r="G24" s="6" t="n">
        <x:v>534000</x:v>
      </x:c>
      <x:c r="H24" s="6" t="n">
        <x:v>1509000</x:v>
      </x:c>
      <x:c r="I24" s="6" t="n">
        <x:v>70</x:v>
      </x:c>
      <x:c r="J24" s="6" t="n">
        <x:v>0</x:v>
      </x:c>
      <x:c r="K24" s="6" t="n">
        <x:v>0</x:v>
      </x:c>
      <x:c r="L24" s="6" t="n">
        <x:v>10</x:v>
      </x:c>
      <x:c r="M24" s="11" t="n">
        <x:v>0.8881349206349206</x:v>
      </x:c>
      <x:c r="N24" s="6" t="n">
        <x:v>1159000</x:v>
      </x:c>
    </x:row>
    <x:row r="25" ht="24" customHeight="1">
      <x:c r="A25" s="2" t="str">
        <x:v>2026-10-02_Night</x:v>
      </x:c>
      <x:c r="B25" s="6" t="str">
        <x:v>ナイト</x:v>
      </x:c>
      <x:c r="C25" s="6" t="n">
        <x:v>1111000</x:v>
      </x:c>
      <x:c r="D25" s="6" t="n">
        <x:v>1580000</x:v>
      </x:c>
      <x:c r="E25" s="6" t="n">
        <x:f>C25-D25</x:f>
        <x:v>-469000</x:v>
      </x:c>
      <x:c r="F25" s="6" t="n">
        <x:f>F24+E25</x:f>
        <x:v>-11706000</x:v>
      </x:c>
      <x:c r="G25" s="6" t="n">
        <x:v>1111000</x:v>
      </x:c>
      <x:c r="H25" s="6" t="n">
        <x:v>1580000</x:v>
      </x:c>
      <x:c r="I25" s="6" t="n">
        <x:v>86</x:v>
      </x:c>
      <x:c r="J25" s="6" t="n">
        <x:v>0</x:v>
      </x:c>
      <x:c r="K25" s="6" t="n">
        <x:v>0</x:v>
      </x:c>
      <x:c r="L25" s="6" t="n">
        <x:v>10</x:v>
      </x:c>
      <x:c r="M25" s="11" t="n">
        <x:v>0.8642521367521367</x:v>
      </x:c>
      <x:c r="N25" s="6" t="n">
        <x:v>768000</x:v>
      </x:c>
    </x:row>
    <x:row r="26" ht="24" customHeight="1">
      <x:c r="A26" s="2" t="str">
        <x:v>2026-10-05_Day</x:v>
      </x:c>
      <x:c r="B26" s="6" t="str">
        <x:v>デイ</x:v>
      </x:c>
      <x:c r="C26" s="6" t="n">
        <x:v>581000</x:v>
      </x:c>
      <x:c r="D26" s="6" t="n">
        <x:v>1149000</x:v>
      </x:c>
      <x:c r="E26" s="6" t="n">
        <x:f>C26-D26</x:f>
        <x:v>-568000</x:v>
      </x:c>
      <x:c r="F26" s="6" t="n">
        <x:f>F25+E26</x:f>
        <x:v>-12274000</x:v>
      </x:c>
      <x:c r="G26" s="6" t="n">
        <x:v>581000</x:v>
      </x:c>
      <x:c r="H26" s="6" t="n">
        <x:v>1149000</x:v>
      </x:c>
      <x:c r="I26" s="6" t="n">
        <x:v>58</x:v>
      </x:c>
      <x:c r="J26" s="6" t="n">
        <x:v>0</x:v>
      </x:c>
      <x:c r="K26" s="6" t="n">
        <x:v>0</x:v>
      </x:c>
      <x:c r="L26" s="6" t="n">
        <x:v>10</x:v>
      </x:c>
      <x:c r="M26" s="11" t="n">
        <x:v>0.9150396825396825</x:v>
      </x:c>
      <x:c r="N26" s="6" t="n">
        <x:v>622000</x:v>
      </x:c>
    </x:row>
    <x:row r="27" ht="24" customHeight="1">
      <x:c r="A27" s="2" t="str">
        <x:v>2026-10-05_Night</x:v>
      </x:c>
      <x:c r="B27" s="6" t="str">
        <x:v>ナイト</x:v>
      </x:c>
      <x:c r="C27" s="6" t="n">
        <x:v>672000</x:v>
      </x:c>
      <x:c r="D27" s="6" t="n">
        <x:v>838000</x:v>
      </x:c>
      <x:c r="E27" s="6" t="n">
        <x:f>C27-D27</x:f>
        <x:v>-166000</x:v>
      </x:c>
      <x:c r="F27" s="6" t="n">
        <x:f>F26+E27</x:f>
        <x:v>-12440000</x:v>
      </x:c>
      <x:c r="G27" s="6" t="n">
        <x:v>672000</x:v>
      </x:c>
      <x:c r="H27" s="6" t="n">
        <x:v>838000</x:v>
      </x:c>
      <x:c r="I27" s="6" t="n">
        <x:v>53</x:v>
      </x:c>
      <x:c r="J27" s="6" t="n">
        <x:v>0</x:v>
      </x:c>
      <x:c r="K27" s="6" t="n">
        <x:v>0</x:v>
      </x:c>
      <x:c r="L27" s="6" t="n">
        <x:v>10</x:v>
      </x:c>
      <x:c r="M27" s="11" t="n">
        <x:v>0.8989102564102565</x:v>
      </x:c>
      <x:c r="N27" s="6" t="n">
        <x:v>352000</x:v>
      </x:c>
    </x:row>
    <x:row r="28" ht="24" customHeight="1">
      <x:c r="A28" s="2" t="str">
        <x:v>2026-10-06_Day</x:v>
      </x:c>
      <x:c r="B28" s="6" t="str">
        <x:v>デイ</x:v>
      </x:c>
      <x:c r="C28" s="6" t="n">
        <x:v>452000</x:v>
      </x:c>
      <x:c r="D28" s="6" t="n">
        <x:v>776000</x:v>
      </x:c>
      <x:c r="E28" s="6" t="n">
        <x:f>C28-D28</x:f>
        <x:v>-324000</x:v>
      </x:c>
      <x:c r="F28" s="6" t="n">
        <x:f>F27+E28</x:f>
        <x:v>-12764000</x:v>
      </x:c>
      <x:c r="G28" s="6" t="n">
        <x:v>452000</x:v>
      </x:c>
      <x:c r="H28" s="6" t="n">
        <x:v>776000</x:v>
      </x:c>
      <x:c r="I28" s="6" t="n">
        <x:v>44</x:v>
      </x:c>
      <x:c r="J28" s="6" t="n">
        <x:v>0</x:v>
      </x:c>
      <x:c r="K28" s="6" t="n">
        <x:v>0</x:v>
      </x:c>
      <x:c r="L28" s="6" t="n">
        <x:v>10</x:v>
      </x:c>
      <x:c r="M28" s="11" t="n">
        <x:v>0.8292857142857143</x:v>
      </x:c>
      <x:c r="N28" s="6" t="n">
        <x:v>528000</x:v>
      </x:c>
    </x:row>
    <x:row r="29" ht="24" customHeight="1">
      <x:c r="A29" s="2" t="str">
        <x:v>2026-10-06_Night</x:v>
      </x:c>
      <x:c r="B29" s="6" t="str">
        <x:v>ナイト</x:v>
      </x:c>
      <x:c r="C29" s="6" t="n">
        <x:v>312000</x:v>
      </x:c>
      <x:c r="D29" s="6" t="n">
        <x:v>548000</x:v>
      </x:c>
      <x:c r="E29" s="6" t="n">
        <x:f>C29-D29</x:f>
        <x:v>-236000</x:v>
      </x:c>
      <x:c r="F29" s="6" t="n">
        <x:f>F28+E29</x:f>
        <x:v>-13000000</x:v>
      </x:c>
      <x:c r="G29" s="6" t="n">
        <x:v>312000</x:v>
      </x:c>
      <x:c r="H29" s="6" t="n">
        <x:v>548000</x:v>
      </x:c>
      <x:c r="I29" s="6" t="n">
        <x:v>39</x:v>
      </x:c>
      <x:c r="J29" s="6" t="n">
        <x:v>0</x:v>
      </x:c>
      <x:c r="K29" s="6" t="n">
        <x:v>0</x:v>
      </x:c>
      <x:c r="L29" s="6" t="n">
        <x:v>9</x:v>
      </x:c>
      <x:c r="M29" s="11" t="n">
        <x:v>0.8455982905982906</x:v>
      </x:c>
      <x:c r="N29" s="6" t="n">
        <x:v>310000</x:v>
      </x:c>
    </x:row>
    <x:row r="30" ht="24" customHeight="1">
      <x:c r="A30" s="2" t="str">
        <x:v>2026-10-07_Day</x:v>
      </x:c>
      <x:c r="B30" s="6" t="str">
        <x:v>デイ</x:v>
      </x:c>
      <x:c r="C30" s="6" t="n">
        <x:v>495000</x:v>
      </x:c>
      <x:c r="D30" s="6" t="n">
        <x:v>609000</x:v>
      </x:c>
      <x:c r="E30" s="6" t="n">
        <x:f>C30-D30</x:f>
        <x:v>-114000</x:v>
      </x:c>
      <x:c r="F30" s="6" t="n">
        <x:f>F29+E30</x:f>
        <x:v>-13114000</x:v>
      </x:c>
      <x:c r="G30" s="6" t="n">
        <x:v>495000</x:v>
      </x:c>
      <x:c r="H30" s="6" t="n">
        <x:v>609000</x:v>
      </x:c>
      <x:c r="I30" s="6" t="n">
        <x:v>45</x:v>
      </x:c>
      <x:c r="J30" s="6" t="n">
        <x:v>0</x:v>
      </x:c>
      <x:c r="K30" s="6" t="n">
        <x:v>0</x:v>
      </x:c>
      <x:c r="L30" s="6" t="n">
        <x:v>10</x:v>
      </x:c>
      <x:c r="M30" s="11" t="n">
        <x:v>0.8963492063492063</x:v>
      </x:c>
      <x:c r="N30" s="6" t="n">
        <x:v>198000</x:v>
      </x:c>
    </x:row>
    <x:row r="31" ht="24" customHeight="1">
      <x:c r="A31" s="2" t="str">
        <x:v>2026-10-07_Night</x:v>
      </x:c>
      <x:c r="B31" s="6" t="str">
        <x:v>ナイト</x:v>
      </x:c>
      <x:c r="C31" s="6" t="n">
        <x:v>458000</x:v>
      </x:c>
      <x:c r="D31" s="6" t="n">
        <x:v>735000</x:v>
      </x:c>
      <x:c r="E31" s="6" t="n">
        <x:f>C31-D31</x:f>
        <x:v>-277000</x:v>
      </x:c>
      <x:c r="F31" s="6" t="n">
        <x:f>F30+E31</x:f>
        <x:v>-13391000</x:v>
      </x:c>
      <x:c r="G31" s="6" t="n">
        <x:v>458000</x:v>
      </x:c>
      <x:c r="H31" s="6" t="n">
        <x:v>735000</x:v>
      </x:c>
      <x:c r="I31" s="6" t="n">
        <x:v>55</x:v>
      </x:c>
      <x:c r="J31" s="6" t="n">
        <x:v>0</x:v>
      </x:c>
      <x:c r="K31" s="6" t="n">
        <x:v>0</x:v>
      </x:c>
      <x:c r="L31" s="6" t="n">
        <x:v>10</x:v>
      </x:c>
      <x:c r="M31" s="11" t="n">
        <x:v>0.9249358974358974</x:v>
      </x:c>
      <x:c r="N31" s="6" t="n">
        <x:v>367000</x:v>
      </x:c>
    </x:row>
    <x:row r="32" ht="24" customHeight="1">
      <x:c r="A32" s="2" t="str">
        <x:v>2026-10-08_Day</x:v>
      </x:c>
      <x:c r="B32" s="6" t="str">
        <x:v>デイ</x:v>
      </x:c>
      <x:c r="C32" s="6" t="n">
        <x:v>857000</x:v>
      </x:c>
      <x:c r="D32" s="6" t="n">
        <x:v>1478000</x:v>
      </x:c>
      <x:c r="E32" s="6" t="n">
        <x:f>C32-D32</x:f>
        <x:v>-621000</x:v>
      </x:c>
      <x:c r="F32" s="6" t="n">
        <x:f>F31+E32</x:f>
        <x:v>-14012000</x:v>
      </x:c>
      <x:c r="G32" s="6" t="n">
        <x:v>857000</x:v>
      </x:c>
      <x:c r="H32" s="6" t="n">
        <x:v>1478000</x:v>
      </x:c>
      <x:c r="I32" s="6" t="n">
        <x:v>79</x:v>
      </x:c>
      <x:c r="J32" s="6" t="n">
        <x:v>0</x:v>
      </x:c>
      <x:c r="K32" s="6" t="n">
        <x:v>0</x:v>
      </x:c>
      <x:c r="L32" s="6" t="n">
        <x:v>10</x:v>
      </x:c>
      <x:c r="M32" s="11" t="n">
        <x:v>0.8768650793650794</x:v>
      </x:c>
      <x:c r="N32" s="6" t="n">
        <x:v>777000</x:v>
      </x:c>
    </x:row>
    <x:row r="33" ht="24" customHeight="1">
      <x:c r="A33" s="2" t="str">
        <x:v>2026-10-08_Night</x:v>
      </x:c>
      <x:c r="B33" s="6" t="str">
        <x:v>ナイト</x:v>
      </x:c>
      <x:c r="C33" s="6" t="n">
        <x:v>1354000</x:v>
      </x:c>
      <x:c r="D33" s="6" t="n">
        <x:v>2143000</x:v>
      </x:c>
      <x:c r="E33" s="6" t="n">
        <x:f>C33-D33</x:f>
        <x:v>-789000</x:v>
      </x:c>
      <x:c r="F33" s="6" t="n">
        <x:f>F32+E33</x:f>
        <x:v>-14801000</x:v>
      </x:c>
      <x:c r="G33" s="6" t="n">
        <x:v>1354000</x:v>
      </x:c>
      <x:c r="H33" s="6" t="n">
        <x:v>2143000</x:v>
      </x:c>
      <x:c r="I33" s="6" t="n">
        <x:v>102</x:v>
      </x:c>
      <x:c r="J33" s="6" t="n">
        <x:v>0</x:v>
      </x:c>
      <x:c r="K33" s="6" t="n">
        <x:v>0</x:v>
      </x:c>
      <x:c r="L33" s="6" t="n">
        <x:v>10</x:v>
      </x:c>
      <x:c r="M33" s="11" t="n">
        <x:v>0.8711111111111111</x:v>
      </x:c>
      <x:c r="N33" s="6" t="n">
        <x:v>954000</x:v>
      </x:c>
    </x:row>
    <x:row r="34" ht="24" customHeight="1">
      <x:c r="A34" s="2" t="str">
        <x:v>2026-10-09_Day</x:v>
      </x:c>
      <x:c r="B34" s="6" t="str">
        <x:v>デイ</x:v>
      </x:c>
      <x:c r="C34" s="6" t="n">
        <x:v>940000</x:v>
      </x:c>
      <x:c r="D34" s="6" t="n">
        <x:v>1502000</x:v>
      </x:c>
      <x:c r="E34" s="6" t="n">
        <x:f>C34-D34</x:f>
        <x:v>-562000</x:v>
      </x:c>
      <x:c r="F34" s="6" t="n">
        <x:f>F33+E34</x:f>
        <x:v>-15363000</x:v>
      </x:c>
      <x:c r="G34" s="6" t="n">
        <x:v>940000</x:v>
      </x:c>
      <x:c r="H34" s="6" t="n">
        <x:v>1502000</x:v>
      </x:c>
      <x:c r="I34" s="6" t="n">
        <x:v>67</x:v>
      </x:c>
      <x:c r="J34" s="6" t="n">
        <x:v>0</x:v>
      </x:c>
      <x:c r="K34" s="6" t="n">
        <x:v>0</x:v>
      </x:c>
      <x:c r="L34" s="6" t="n">
        <x:v>10</x:v>
      </x:c>
      <x:c r="M34" s="11" t="n">
        <x:v>0.8782142857142857</x:v>
      </x:c>
      <x:c r="N34" s="6" t="n">
        <x:v>664000</x:v>
      </x:c>
    </x:row>
    <x:row r="35" ht="24" customHeight="1">
      <x:c r="A35" s="2" t="str">
        <x:v>2026-10-09_Night</x:v>
      </x:c>
      <x:c r="B35" s="6" t="str">
        <x:v>ナイト</x:v>
      </x:c>
      <x:c r="C35" s="6" t="n">
        <x:v>197000</x:v>
      </x:c>
      <x:c r="D35" s="6" t="n">
        <x:v>631000</x:v>
      </x:c>
      <x:c r="E35" s="6" t="n">
        <x:f>C35-D35</x:f>
        <x:v>-434000</x:v>
      </x:c>
      <x:c r="F35" s="6" t="n">
        <x:f>F34+E35</x:f>
        <x:v>-15797000</x:v>
      </x:c>
      <x:c r="G35" s="6" t="n">
        <x:v>197000</x:v>
      </x:c>
      <x:c r="H35" s="6" t="n">
        <x:v>631000</x:v>
      </x:c>
      <x:c r="I35" s="6" t="n">
        <x:v>50</x:v>
      </x:c>
      <x:c r="J35" s="6" t="n">
        <x:v>0</x:v>
      </x:c>
      <x:c r="K35" s="6" t="n">
        <x:v>0</x:v>
      </x:c>
      <x:c r="L35" s="6" t="n">
        <x:v>7</x:v>
      </x:c>
      <x:c r="M35" s="11" t="n">
        <x:v>0.8226709401709402</x:v>
      </x:c>
      <x:c r="N35" s="6" t="n">
        <x:v>459000</x:v>
      </x:c>
    </x:row>
    <x:row r="36" ht="24" customHeight="1">
      <x:c r="A36" s="2" t="str">
        <x:v>2026-10-12_Day</x:v>
      </x:c>
      <x:c r="B36" s="6" t="str">
        <x:v>デイ</x:v>
      </x:c>
      <x:c r="C36" s="6" t="n">
        <x:v>206000</x:v>
      </x:c>
      <x:c r="D36" s="6" t="n">
        <x:v>387000</x:v>
      </x:c>
      <x:c r="E36" s="6" t="n">
        <x:f>C36-D36</x:f>
        <x:v>-181000</x:v>
      </x:c>
      <x:c r="F36" s="6" t="n">
        <x:f>F35+E36</x:f>
        <x:v>-15978000</x:v>
      </x:c>
      <x:c r="G36" s="6" t="n">
        <x:v>206000</x:v>
      </x:c>
      <x:c r="H36" s="6" t="n">
        <x:v>387000</x:v>
      </x:c>
      <x:c r="I36" s="6" t="n">
        <x:v>29</x:v>
      </x:c>
      <x:c r="J36" s="6" t="n">
        <x:v>0</x:v>
      </x:c>
      <x:c r="K36" s="6" t="n">
        <x:v>0</x:v>
      </x:c>
      <x:c r="L36" s="6" t="n">
        <x:v>10</x:v>
      </x:c>
      <x:c r="M36" s="11" t="n">
        <x:v>0.7760317460317461</x:v>
      </x:c>
      <x:c r="N36" s="6" t="n">
        <x:v>274000</x:v>
      </x:c>
    </x:row>
    <x:row r="37" ht="24" customHeight="1">
      <x:c r="A37" s="2" t="str">
        <x:v>2026-10-12_Night</x:v>
      </x:c>
      <x:c r="B37" s="6" t="str">
        <x:v>ナイト</x:v>
      </x:c>
      <x:c r="C37" s="6" t="n">
        <x:v>231000</x:v>
      </x:c>
      <x:c r="D37" s="6" t="n">
        <x:v>593000</x:v>
      </x:c>
      <x:c r="E37" s="6" t="n">
        <x:f>C37-D37</x:f>
        <x:v>-362000</x:v>
      </x:c>
      <x:c r="F37" s="6" t="n">
        <x:f>F36+E37</x:f>
        <x:v>-16340000</x:v>
      </x:c>
      <x:c r="G37" s="6" t="n">
        <x:v>231000</x:v>
      </x:c>
      <x:c r="H37" s="6" t="n">
        <x:v>593000</x:v>
      </x:c>
      <x:c r="I37" s="6" t="n">
        <x:v>35</x:v>
      </x:c>
      <x:c r="J37" s="6" t="n">
        <x:v>0</x:v>
      </x:c>
      <x:c r="K37" s="6" t="n">
        <x:v>0</x:v>
      </x:c>
      <x:c r="L37" s="6" t="n">
        <x:v>10</x:v>
      </x:c>
      <x:c r="M37" s="11" t="n">
        <x:v>0.6012820512820513</x:v>
      </x:c>
      <x:c r="N37" s="6" t="n">
        <x:v>419000</x:v>
      </x:c>
    </x:row>
    <x:row r="38" ht="24" customHeight="1">
      <x:c r="A38" s="2" t="str">
        <x:v>2026-10-13_Day</x:v>
      </x:c>
      <x:c r="B38" s="6" t="str">
        <x:v>デイ</x:v>
      </x:c>
      <x:c r="C38" s="6" t="n">
        <x:v>987000</x:v>
      </x:c>
      <x:c r="D38" s="6" t="n">
        <x:v>1643000</x:v>
      </x:c>
      <x:c r="E38" s="6" t="n">
        <x:f>C38-D38</x:f>
        <x:v>-656000</x:v>
      </x:c>
      <x:c r="F38" s="6" t="n">
        <x:f>F37+E38</x:f>
        <x:v>-16996000</x:v>
      </x:c>
      <x:c r="G38" s="6" t="n">
        <x:v>987000</x:v>
      </x:c>
      <x:c r="H38" s="6" t="n">
        <x:v>1643000</x:v>
      </x:c>
      <x:c r="I38" s="6" t="n">
        <x:v>79</x:v>
      </x:c>
      <x:c r="J38" s="6" t="n">
        <x:v>0</x:v>
      </x:c>
      <x:c r="K38" s="6" t="n">
        <x:v>0</x:v>
      </x:c>
      <x:c r="L38" s="6" t="n">
        <x:v>10</x:v>
      </x:c>
      <x:c r="M38" s="11" t="n">
        <x:v>0.8616666666666667</x:v>
      </x:c>
      <x:c r="N38" s="6" t="n">
        <x:v>867000</x:v>
      </x:c>
    </x:row>
    <x:row r="39" ht="24" customHeight="1">
      <x:c r="A39" s="2" t="str">
        <x:v>2026-10-13_Night</x:v>
      </x:c>
      <x:c r="B39" s="6" t="str">
        <x:v>ナイト</x:v>
      </x:c>
      <x:c r="C39" s="6" t="n">
        <x:v>389000</x:v>
      </x:c>
      <x:c r="D39" s="6" t="n">
        <x:v>700000</x:v>
      </x:c>
      <x:c r="E39" s="6" t="n">
        <x:f>C39-D39</x:f>
        <x:v>-311000</x:v>
      </x:c>
      <x:c r="F39" s="6" t="n">
        <x:f>F38+E39</x:f>
        <x:v>-17307000</x:v>
      </x:c>
      <x:c r="G39" s="6" t="n">
        <x:v>389000</x:v>
      </x:c>
      <x:c r="H39" s="6" t="n">
        <x:v>700000</x:v>
      </x:c>
      <x:c r="I39" s="6" t="n">
        <x:v>40</x:v>
      </x:c>
      <x:c r="J39" s="6" t="n">
        <x:v>0</x:v>
      </x:c>
      <x:c r="K39" s="6" t="n">
        <x:v>0</x:v>
      </x:c>
      <x:c r="L39" s="6" t="n">
        <x:v>10</x:v>
      </x:c>
      <x:c r="M39" s="11" t="n">
        <x:v>0.8016452991452991</x:v>
      </x:c>
      <x:c r="N39" s="6" t="n">
        <x:v>416000</x:v>
      </x:c>
    </x:row>
    <x:row r="40" ht="24" customHeight="1">
      <x:c r="A40" s="2" t="str">
        <x:v>2026-10-14_Day</x:v>
      </x:c>
      <x:c r="B40" s="6" t="str">
        <x:v>デイ</x:v>
      </x:c>
      <x:c r="C40" s="6" t="n">
        <x:v>686000</x:v>
      </x:c>
      <x:c r="D40" s="6" t="n">
        <x:v>1400000</x:v>
      </x:c>
      <x:c r="E40" s="6" t="n">
        <x:f>C40-D40</x:f>
        <x:v>-714000</x:v>
      </x:c>
      <x:c r="F40" s="6" t="n">
        <x:f>F39+E40</x:f>
        <x:v>-18021000</x:v>
      </x:c>
      <x:c r="G40" s="6" t="n">
        <x:v>686000</x:v>
      </x:c>
      <x:c r="H40" s="6" t="n">
        <x:v>1400000</x:v>
      </x:c>
      <x:c r="I40" s="6" t="n">
        <x:v>72</x:v>
      </x:c>
      <x:c r="J40" s="6" t="n">
        <x:v>0</x:v>
      </x:c>
      <x:c r="K40" s="6" t="n">
        <x:v>0</x:v>
      </x:c>
      <x:c r="L40" s="6" t="n">
        <x:v>10</x:v>
      </x:c>
      <x:c r="M40" s="11" t="n">
        <x:v>0.8747619047619047</x:v>
      </x:c>
      <x:c r="N40" s="6" t="n">
        <x:v>745000</x:v>
      </x:c>
    </x:row>
    <x:row r="41" ht="24" customHeight="1">
      <x:c r="A41" s="2" t="str">
        <x:v>2026-10-14_Night</x:v>
      </x:c>
      <x:c r="B41" s="6" t="str">
        <x:v>ナイト</x:v>
      </x:c>
      <x:c r="C41" s="6" t="n">
        <x:v>1413000</x:v>
      </x:c>
      <x:c r="D41" s="6" t="n">
        <x:v>2052000</x:v>
      </x:c>
      <x:c r="E41" s="6" t="n">
        <x:f>C41-D41</x:f>
        <x:v>-639000</x:v>
      </x:c>
      <x:c r="F41" s="6" t="n">
        <x:f>F40+E41</x:f>
        <x:v>-18660000</x:v>
      </x:c>
      <x:c r="G41" s="6" t="n">
        <x:v>1413000</x:v>
      </x:c>
      <x:c r="H41" s="6" t="n">
        <x:v>2052000</x:v>
      </x:c>
      <x:c r="I41" s="6" t="n">
        <x:v>102</x:v>
      </x:c>
      <x:c r="J41" s="6" t="n">
        <x:v>0</x:v>
      </x:c>
      <x:c r="K41" s="6" t="n">
        <x:v>0</x:v>
      </x:c>
      <x:c r="L41" s="6" t="n">
        <x:v>10</x:v>
      </x:c>
      <x:c r="M41" s="11" t="n">
        <x:v>0.8676282051282052</x:v>
      </x:c>
      <x:c r="N41" s="6" t="n">
        <x:v>720000</x:v>
      </x:c>
    </x:row>
    <x:row r="42" ht="24" customHeight="1">
      <x:c r="A42" s="2" t="str">
        <x:v>2026-10-15_Day</x:v>
      </x:c>
      <x:c r="B42" s="6" t="str">
        <x:v>デイ</x:v>
      </x:c>
      <x:c r="C42" s="6" t="n">
        <x:v>2189000</x:v>
      </x:c>
      <x:c r="D42" s="6" t="n">
        <x:v>3231000</x:v>
      </x:c>
      <x:c r="E42" s="6" t="n">
        <x:f>C42-D42</x:f>
        <x:v>-1042000</x:v>
      </x:c>
      <x:c r="F42" s="6" t="n">
        <x:f>F41+E42</x:f>
        <x:v>-19702000</x:v>
      </x:c>
      <x:c r="G42" s="6" t="n">
        <x:v>2189000</x:v>
      </x:c>
      <x:c r="H42" s="6" t="n">
        <x:v>3231000</x:v>
      </x:c>
      <x:c r="I42" s="6" t="n">
        <x:v>175</x:v>
      </x:c>
      <x:c r="J42" s="6" t="n">
        <x:v>0</x:v>
      </x:c>
      <x:c r="K42" s="6" t="n">
        <x:v>0</x:v>
      </x:c>
      <x:c r="L42" s="6" t="n">
        <x:v>10</x:v>
      </x:c>
      <x:c r="M42" s="11" t="n">
        <x:v>0.8140079365079365</x:v>
      </x:c>
      <x:c r="N42" s="6" t="n">
        <x:v>1136000</x:v>
      </x:c>
    </x:row>
    <x:row r="43" ht="24" customHeight="1">
      <x:c r="A43" s="2" t="str">
        <x:v>2026-10-15_Night</x:v>
      </x:c>
      <x:c r="B43" s="6" t="str">
        <x:v>ナイト</x:v>
      </x:c>
      <x:c r="C43" s="6" t="n">
        <x:v>1507000</x:v>
      </x:c>
      <x:c r="D43" s="6" t="n">
        <x:v>2728000</x:v>
      </x:c>
      <x:c r="E43" s="6" t="n">
        <x:f>C43-D43</x:f>
        <x:v>-1221000</x:v>
      </x:c>
      <x:c r="F43" s="6" t="n">
        <x:f>F42+E43</x:f>
        <x:v>-20923000</x:v>
      </x:c>
      <x:c r="G43" s="6" t="n">
        <x:v>1507000</x:v>
      </x:c>
      <x:c r="H43" s="6" t="n">
        <x:v>2728000</x:v>
      </x:c>
      <x:c r="I43" s="6" t="n">
        <x:v>162</x:v>
      </x:c>
      <x:c r="J43" s="6" t="n">
        <x:v>0</x:v>
      </x:c>
      <x:c r="K43" s="6" t="n">
        <x:v>0</x:v>
      </x:c>
      <x:c r="L43" s="6" t="n">
        <x:v>10</x:v>
      </x:c>
      <x:c r="M43" s="11" t="n">
        <x:v>0.7962393162393162</x:v>
      </x:c>
      <x:c r="N43" s="6" t="n">
        <x:v>1282000</x:v>
      </x:c>
    </x:row>
    <x:row r="44" ht="24" customHeight="1">
      <x:c r="A44" s="2" t="str">
        <x:v>2026-10-16_Day</x:v>
      </x:c>
      <x:c r="B44" s="6" t="str">
        <x:v>デイ</x:v>
      </x:c>
      <x:c r="C44" s="6" t="n">
        <x:v>1619000</x:v>
      </x:c>
      <x:c r="D44" s="6" t="n">
        <x:v>2366000</x:v>
      </x:c>
      <x:c r="E44" s="6" t="n">
        <x:f>C44-D44</x:f>
        <x:v>-747000</x:v>
      </x:c>
      <x:c r="F44" s="6" t="n">
        <x:f>F43+E44</x:f>
        <x:v>-21670000</x:v>
      </x:c>
      <x:c r="G44" s="6" t="n">
        <x:v>1619000</x:v>
      </x:c>
      <x:c r="H44" s="6" t="n">
        <x:v>2366000</x:v>
      </x:c>
      <x:c r="I44" s="6" t="n">
        <x:v>125</x:v>
      </x:c>
      <x:c r="J44" s="6" t="n">
        <x:v>0</x:v>
      </x:c>
      <x:c r="K44" s="6" t="n">
        <x:v>0</x:v>
      </x:c>
      <x:c r="L44" s="6" t="n">
        <x:v>10</x:v>
      </x:c>
      <x:c r="M44" s="11" t="n">
        <x:v>0.8650793650793651</x:v>
      </x:c>
      <x:c r="N44" s="6" t="n">
        <x:v>840000</x:v>
      </x:c>
    </x:row>
    <x:row r="45" ht="24" customHeight="1">
      <x:c r="A45" s="2" t="str">
        <x:v>2026-10-16_Night</x:v>
      </x:c>
      <x:c r="B45" s="6" t="str">
        <x:v>ナイト</x:v>
      </x:c>
      <x:c r="C45" s="6" t="n">
        <x:v>1550000</x:v>
      </x:c>
      <x:c r="D45" s="6" t="n">
        <x:v>2857000</x:v>
      </x:c>
      <x:c r="E45" s="6" t="n">
        <x:f>C45-D45</x:f>
        <x:v>-1307000</x:v>
      </x:c>
      <x:c r="F45" s="6" t="n">
        <x:f>F44+E45</x:f>
        <x:v>-22977000</x:v>
      </x:c>
      <x:c r="G45" s="6" t="n">
        <x:v>1550000</x:v>
      </x:c>
      <x:c r="H45" s="6" t="n">
        <x:v>2857000</x:v>
      </x:c>
      <x:c r="I45" s="6" t="n">
        <x:v>170</x:v>
      </x:c>
      <x:c r="J45" s="6" t="n">
        <x:v>0</x:v>
      </x:c>
      <x:c r="K45" s="6" t="n">
        <x:v>0</x:v>
      </x:c>
      <x:c r="L45" s="6" t="n">
        <x:v>10</x:v>
      </x:c>
      <x:c r="M45" s="11" t="n">
        <x:v>0.7951282051282051</x:v>
      </x:c>
      <x:c r="N45" s="6" t="n">
        <x:v>1324000</x:v>
      </x:c>
    </x:row>
    <x:row r="46" ht="24" customHeight="1">
      <x:c r="A46" s="2" t="str">
        <x:v>2026-10-19_Day</x:v>
      </x:c>
      <x:c r="B46" s="6" t="str">
        <x:v>デイ</x:v>
      </x:c>
      <x:c r="C46" s="6" t="n">
        <x:v>1292000</x:v>
      </x:c>
      <x:c r="D46" s="6" t="n">
        <x:v>2009000</x:v>
      </x:c>
      <x:c r="E46" s="6" t="n">
        <x:f>C46-D46</x:f>
        <x:v>-717000</x:v>
      </x:c>
      <x:c r="F46" s="6" t="n">
        <x:f>F45+E46</x:f>
        <x:v>-23694000</x:v>
      </x:c>
      <x:c r="G46" s="6" t="n">
        <x:v>1292000</x:v>
      </x:c>
      <x:c r="H46" s="6" t="n">
        <x:v>2009000</x:v>
      </x:c>
      <x:c r="I46" s="6" t="n">
        <x:v>115</x:v>
      </x:c>
      <x:c r="J46" s="6" t="n">
        <x:v>0</x:v>
      </x:c>
      <x:c r="K46" s="6" t="n">
        <x:v>0</x:v>
      </x:c>
      <x:c r="L46" s="6" t="n">
        <x:v>10</x:v>
      </x:c>
      <x:c r="M46" s="11" t="n">
        <x:v>0.8175396825396826</x:v>
      </x:c>
      <x:c r="N46" s="6" t="n">
        <x:v>831000</x:v>
      </x:c>
    </x:row>
    <x:row r="47" ht="24" customHeight="1">
      <x:c r="A47" s="2" t="str">
        <x:v>2026-10-19_Night</x:v>
      </x:c>
      <x:c r="B47" s="6" t="str">
        <x:v>ナイト</x:v>
      </x:c>
      <x:c r="C47" s="6" t="n">
        <x:v>885000</x:v>
      </x:c>
      <x:c r="D47" s="6" t="n">
        <x:v>1908000</x:v>
      </x:c>
      <x:c r="E47" s="6" t="n">
        <x:f>C47-D47</x:f>
        <x:v>-1023000</x:v>
      </x:c>
      <x:c r="F47" s="6" t="n">
        <x:f>F46+E47</x:f>
        <x:v>-24717000</x:v>
      </x:c>
      <x:c r="G47" s="6" t="n">
        <x:v>885000</x:v>
      </x:c>
      <x:c r="H47" s="6" t="n">
        <x:v>1908000</x:v>
      </x:c>
      <x:c r="I47" s="6" t="n">
        <x:v>117</x:v>
      </x:c>
      <x:c r="J47" s="6" t="n">
        <x:v>0</x:v>
      </x:c>
      <x:c r="K47" s="6" t="n">
        <x:v>0</x:v>
      </x:c>
      <x:c r="L47" s="6" t="n">
        <x:v>10</x:v>
      </x:c>
      <x:c r="M47" s="11" t="n">
        <x:v>0.810448717948718</x:v>
      </x:c>
      <x:c r="N47" s="6" t="n">
        <x:v>1023000</x:v>
      </x:c>
    </x:row>
    <x:row r="48" ht="24" customHeight="1">
      <x:c r="A48" s="2" t="str">
        <x:v>2026-10-20_Day</x:v>
      </x:c>
      <x:c r="B48" s="6" t="str">
        <x:v>デイ</x:v>
      </x:c>
      <x:c r="C48" s="6" t="n">
        <x:v>1328000</x:v>
      </x:c>
      <x:c r="D48" s="6" t="n">
        <x:v>2902000</x:v>
      </x:c>
      <x:c r="E48" s="6" t="n">
        <x:f>C48-D48</x:f>
        <x:v>-1574000</x:v>
      </x:c>
      <x:c r="F48" s="6" t="n">
        <x:f>F47+E48</x:f>
        <x:v>-26291000</x:v>
      </x:c>
      <x:c r="G48" s="6" t="n">
        <x:v>1328000</x:v>
      </x:c>
      <x:c r="H48" s="6" t="n">
        <x:v>2902000</x:v>
      </x:c>
      <x:c r="I48" s="6" t="n">
        <x:v>143</x:v>
      </x:c>
      <x:c r="J48" s="6" t="n">
        <x:v>0</x:v>
      </x:c>
      <x:c r="K48" s="6" t="n">
        <x:v>0</x:v>
      </x:c>
      <x:c r="L48" s="6" t="n">
        <x:v>10</x:v>
      </x:c>
      <x:c r="M48" s="11" t="n">
        <x:v>0.8659920634920635</x:v>
      </x:c>
      <x:c r="N48" s="6" t="n">
        <x:v>1696000</x:v>
      </x:c>
    </x:row>
    <x:row r="49" ht="24" customHeight="1">
      <x:c r="A49" s="2" t="str">
        <x:v>2026-10-20_Night</x:v>
      </x:c>
      <x:c r="B49" s="6" t="str">
        <x:v>ナイト</x:v>
      </x:c>
      <x:c r="C49" s="6" t="n">
        <x:v>1595000</x:v>
      </x:c>
      <x:c r="D49" s="6" t="n">
        <x:v>2386000</x:v>
      </x:c>
      <x:c r="E49" s="6" t="n">
        <x:f>C49-D49</x:f>
        <x:v>-791000</x:v>
      </x:c>
      <x:c r="F49" s="6" t="n">
        <x:f>F48+E49</x:f>
        <x:v>-27082000</x:v>
      </x:c>
      <x:c r="G49" s="6" t="n">
        <x:v>1595000</x:v>
      </x:c>
      <x:c r="H49" s="6" t="n">
        <x:v>2386000</x:v>
      </x:c>
      <x:c r="I49" s="6" t="n">
        <x:v>147</x:v>
      </x:c>
      <x:c r="J49" s="6" t="n">
        <x:v>0</x:v>
      </x:c>
      <x:c r="K49" s="6" t="n">
        <x:v>0</x:v>
      </x:c>
      <x:c r="L49" s="6" t="n">
        <x:v>10</x:v>
      </x:c>
      <x:c r="M49" s="11" t="n">
        <x:v>0.7292307692307692</x:v>
      </x:c>
      <x:c r="N49" s="6" t="n">
        <x:v>996000</x:v>
      </x:c>
    </x:row>
    <x:row r="50" ht="24" customHeight="1">
      <x:c r="A50" s="2" t="str">
        <x:v>2026-10-21_Day</x:v>
      </x:c>
      <x:c r="B50" s="6" t="str">
        <x:v>デイ</x:v>
      </x:c>
      <x:c r="C50" s="6" t="n">
        <x:v>1344000</x:v>
      </x:c>
      <x:c r="D50" s="6" t="n">
        <x:v>2121000</x:v>
      </x:c>
      <x:c r="E50" s="6" t="n">
        <x:f>C50-D50</x:f>
        <x:v>-777000</x:v>
      </x:c>
      <x:c r="F50" s="6" t="n">
        <x:f>F49+E50</x:f>
        <x:v>-27859000</x:v>
      </x:c>
      <x:c r="G50" s="6" t="n">
        <x:v>1344000</x:v>
      </x:c>
      <x:c r="H50" s="6" t="n">
        <x:v>2121000</x:v>
      </x:c>
      <x:c r="I50" s="6" t="n">
        <x:v>116</x:v>
      </x:c>
      <x:c r="J50" s="6" t="n">
        <x:v>0</x:v>
      </x:c>
      <x:c r="K50" s="6" t="n">
        <x:v>0</x:v>
      </x:c>
      <x:c r="L50" s="6" t="n">
        <x:v>10</x:v>
      </x:c>
      <x:c r="M50" s="11" t="n">
        <x:v>0.8690873015873016</x:v>
      </x:c>
      <x:c r="N50" s="6" t="n">
        <x:v>905000</x:v>
      </x:c>
    </x:row>
    <x:row r="51" ht="24" customHeight="1">
      <x:c r="A51" s="2" t="str">
        <x:v>2026-10-21_Night</x:v>
      </x:c>
      <x:c r="B51" s="6" t="str">
        <x:v>ナイト</x:v>
      </x:c>
      <x:c r="C51" s="6" t="n">
        <x:v>1168000</x:v>
      </x:c>
      <x:c r="D51" s="6" t="n">
        <x:v>1553000</x:v>
      </x:c>
      <x:c r="E51" s="6" t="n">
        <x:f>C51-D51</x:f>
        <x:v>-385000</x:v>
      </x:c>
      <x:c r="F51" s="6" t="n">
        <x:f>F50+E51</x:f>
        <x:v>-28244000</x:v>
      </x:c>
      <x:c r="G51" s="6" t="n">
        <x:v>1168000</x:v>
      </x:c>
      <x:c r="H51" s="6" t="n">
        <x:v>1553000</x:v>
      </x:c>
      <x:c r="I51" s="6" t="n">
        <x:v>113</x:v>
      </x:c>
      <x:c r="J51" s="6" t="n">
        <x:v>0</x:v>
      </x:c>
      <x:c r="K51" s="6" t="n">
        <x:v>0</x:v>
      </x:c>
      <x:c r="L51" s="6" t="n">
        <x:v>10</x:v>
      </x:c>
      <x:c r="M51" s="11" t="n">
        <x:v>0.804017094017094</x:v>
      </x:c>
      <x:c r="N51" s="6" t="n">
        <x:v>631000</x:v>
      </x:c>
    </x:row>
    <x:row r="52" ht="24" customHeight="1">
      <x:c r="A52" s="2" t="str">
        <x:v>2026-10-22_Day</x:v>
      </x:c>
      <x:c r="B52" s="6" t="str">
        <x:v>デイ</x:v>
      </x:c>
      <x:c r="C52" s="6" t="n">
        <x:v>920000</x:v>
      </x:c>
      <x:c r="D52" s="6" t="n">
        <x:v>2232000</x:v>
      </x:c>
      <x:c r="E52" s="6" t="n">
        <x:f>C52-D52</x:f>
        <x:v>-1312000</x:v>
      </x:c>
      <x:c r="F52" s="6" t="n">
        <x:f>F51+E52</x:f>
        <x:v>-29556000</x:v>
      </x:c>
      <x:c r="G52" s="6" t="n">
        <x:v>920000</x:v>
      </x:c>
      <x:c r="H52" s="6" t="n">
        <x:v>2232000</x:v>
      </x:c>
      <x:c r="I52" s="6" t="n">
        <x:v>115</x:v>
      </x:c>
      <x:c r="J52" s="6" t="n">
        <x:v>0</x:v>
      </x:c>
      <x:c r="K52" s="6" t="n">
        <x:v>0</x:v>
      </x:c>
      <x:c r="L52" s="6" t="n">
        <x:v>10</x:v>
      </x:c>
      <x:c r="M52" s="11" t="n">
        <x:v>0.7771031746031746</x:v>
      </x:c>
      <x:c r="N52" s="6" t="n">
        <x:v>1412000</x:v>
      </x:c>
    </x:row>
    <x:row r="53" ht="24" customHeight="1">
      <x:c r="A53" s="2" t="str">
        <x:v>2026-10-22_Night</x:v>
      </x:c>
      <x:c r="B53" s="6" t="str">
        <x:v>ナイト</x:v>
      </x:c>
      <x:c r="C53" s="6" t="n">
        <x:v>1472000</x:v>
      </x:c>
      <x:c r="D53" s="6" t="n">
        <x:v>2546000</x:v>
      </x:c>
      <x:c r="E53" s="6" t="n">
        <x:f>C53-D53</x:f>
        <x:v>-1074000</x:v>
      </x:c>
      <x:c r="F53" s="6" t="n">
        <x:f>F52+E53</x:f>
        <x:v>-30630000</x:v>
      </x:c>
      <x:c r="G53" s="6" t="n">
        <x:v>1472000</x:v>
      </x:c>
      <x:c r="H53" s="6" t="n">
        <x:v>2546000</x:v>
      </x:c>
      <x:c r="I53" s="6" t="n">
        <x:v>153</x:v>
      </x:c>
      <x:c r="J53" s="6" t="n">
        <x:v>0</x:v>
      </x:c>
      <x:c r="K53" s="6" t="n">
        <x:v>0</x:v>
      </x:c>
      <x:c r="L53" s="6" t="n">
        <x:v>10</x:v>
      </x:c>
      <x:c r="M53" s="11" t="n">
        <x:v>0.8406196581196581</x:v>
      </x:c>
      <x:c r="N53" s="6" t="n">
        <x:v>1296000</x:v>
      </x:c>
    </x:row>
    <x:row r="54" ht="24" customHeight="1">
      <x:c r="A54" s="2" t="str">
        <x:v>2026-10-23_Day</x:v>
      </x:c>
      <x:c r="B54" s="6" t="str">
        <x:v>デイ</x:v>
      </x:c>
      <x:c r="C54" s="6" t="n">
        <x:v>2635000</x:v>
      </x:c>
      <x:c r="D54" s="6" t="n">
        <x:v>5700000</x:v>
      </x:c>
      <x:c r="E54" s="6" t="n">
        <x:f>C54-D54</x:f>
        <x:v>-3065000</x:v>
      </x:c>
      <x:c r="F54" s="6" t="n">
        <x:f>F53+E54</x:f>
        <x:v>-33695000</x:v>
      </x:c>
      <x:c r="G54" s="6" t="n">
        <x:v>2635000</x:v>
      </x:c>
      <x:c r="H54" s="6" t="n">
        <x:v>5700000</x:v>
      </x:c>
      <x:c r="I54" s="6" t="n">
        <x:v>235</x:v>
      </x:c>
      <x:c r="J54" s="6" t="n">
        <x:v>0</x:v>
      </x:c>
      <x:c r="K54" s="6" t="n">
        <x:v>0</x:v>
      </x:c>
      <x:c r="L54" s="6" t="n">
        <x:v>10</x:v>
      </x:c>
      <x:c r="M54" s="11" t="n">
        <x:v>0.8246031746031746</x:v>
      </x:c>
      <x:c r="N54" s="6" t="n">
        <x:v>3091000</x:v>
      </x:c>
    </x:row>
    <x:row r="55" ht="24" customHeight="1">
      <x:c r="A55" s="2" t="str">
        <x:v>2026-10-23_Night</x:v>
      </x:c>
      <x:c r="B55" s="6" t="str">
        <x:v>ナイト</x:v>
      </x:c>
      <x:c r="C55" s="6" t="n">
        <x:v>1198000</x:v>
      </x:c>
      <x:c r="D55" s="6" t="n">
        <x:v>1857000</x:v>
      </x:c>
      <x:c r="E55" s="6" t="n">
        <x:f>C55-D55</x:f>
        <x:v>-659000</x:v>
      </x:c>
      <x:c r="F55" s="6" t="n">
        <x:f>F54+E55</x:f>
        <x:v>-34354000</x:v>
      </x:c>
      <x:c r="G55" s="6" t="n">
        <x:v>1198000</x:v>
      </x:c>
      <x:c r="H55" s="6" t="n">
        <x:v>1857000</x:v>
      </x:c>
      <x:c r="I55" s="6" t="n">
        <x:v>126</x:v>
      </x:c>
      <x:c r="J55" s="6" t="n">
        <x:v>0</x:v>
      </x:c>
      <x:c r="K55" s="6" t="n">
        <x:v>0</x:v>
      </x:c>
      <x:c r="L55" s="6" t="n">
        <x:v>10</x:v>
      </x:c>
      <x:c r="M55" s="11" t="n">
        <x:v>0.8492735042735042</x:v>
      </x:c>
      <x:c r="N55" s="6" t="n">
        <x:v>753000</x:v>
      </x:c>
    </x:row>
    <x:row r="56" ht="24" customHeight="1">
      <x:c r="A56" s="2" t="str">
        <x:v>2026-10-26_Day</x:v>
      </x:c>
      <x:c r="B56" s="6" t="str">
        <x:v>デイ</x:v>
      </x:c>
      <x:c r="C56" s="6" t="n">
        <x:v>1715000</x:v>
      </x:c>
      <x:c r="D56" s="6" t="n">
        <x:v>3122000</x:v>
      </x:c>
      <x:c r="E56" s="6" t="n">
        <x:f>C56-D56</x:f>
        <x:v>-1407000</x:v>
      </x:c>
      <x:c r="F56" s="6" t="n">
        <x:f>F55+E56</x:f>
        <x:v>-35761000</x:v>
      </x:c>
      <x:c r="G56" s="6" t="n">
        <x:v>1715000</x:v>
      </x:c>
      <x:c r="H56" s="6" t="n">
        <x:v>3122000</x:v>
      </x:c>
      <x:c r="I56" s="6" t="n">
        <x:v>147</x:v>
      </x:c>
      <x:c r="J56" s="6" t="n">
        <x:v>0</x:v>
      </x:c>
      <x:c r="K56" s="6" t="n">
        <x:v>0</x:v>
      </x:c>
      <x:c r="L56" s="6" t="n">
        <x:v>10</x:v>
      </x:c>
      <x:c r="M56" s="11" t="n">
        <x:v>0.8438888888888889</x:v>
      </x:c>
      <x:c r="N56" s="6" t="n">
        <x:v>1469000</x:v>
      </x:c>
    </x:row>
    <x:row r="57" ht="24" customHeight="1">
      <x:c r="A57" s="15" t="str">
        <x:v>累計／平均／最大</x:v>
      </x:c>
      <x:c r="B57" s="16"/>
      <x:c r="C57" s="16" t="n">
        <x:f>SUM(C6:C56)</x:f>
        <x:v>48208000</x:v>
      </x:c>
      <x:c r="D57" s="16" t="n">
        <x:f>SUM(D6:D56)</x:f>
        <x:v>83969000</x:v>
      </x:c>
      <x:c r="E57" s="16" t="n">
        <x:f>C57-D57</x:f>
        <x:v>-35761000</x:v>
      </x:c>
      <x:c r="F57" s="16" t="n">
        <x:f>F56</x:f>
        <x:v>-35761000</x:v>
      </x:c>
      <x:c r="G57" s="16" t="n">
        <x:f>SUM(G6:G56)</x:f>
        <x:v>48208000</x:v>
      </x:c>
      <x:c r="H57" s="16" t="n">
        <x:f>SUM(H6:H56)</x:f>
        <x:v>83969000</x:v>
      </x:c>
      <x:c r="I57" s="16" t="n">
        <x:f>SUM(I6:I56)</x:f>
        <x:v>4720</x:v>
      </x:c>
      <x:c r="J57" s="16" t="n">
        <x:f>SUM(J6:J56)</x:f>
        <x:v>0</x:v>
      </x:c>
      <x:c r="K57" s="16" t="n">
        <x:f>SUM(K6:K56)</x:f>
        <x:v>0</x:v>
      </x:c>
      <x:c r="L57" s="16" t="n">
        <x:f>MAX(L6:L56)</x:f>
        <x:v>10</x:v>
      </x:c>
      <x:c r="M57" s="17" t="n">
        <x:f>AVERAGE(M6:M56)</x:f>
        <x:v>0.8194859824271589</x:v>
      </x:c>
      <x:c r="N57" s="16" t="n">
        <x:f>MAX(N6:N56)</x:f>
        <x:v>3091000</x:v>
      </x:c>
    </x:row>
  </x:sheetData>
  <x:conditionalFormatting sqref="E6:F56">
    <x:cfRule type="cellIs" dxfId="26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7e50e0b194e45a7"/>
  </x:tableParts>
</x:worksheet>
</file>

<file path=xl/worksheets/sheet2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1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4" customHeight="1">
      <x:c r="A1" s="3" t="str">
        <x:v>日経 M20　各セッションの利益・損失・収支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A2" s="4" t="str">
        <x:v>2026/09/21〜10/26デイ・51完了場。日経mini／TOPIXmini各上限10枚・手数料0。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4" customHeight="1">
      <x:c r="A3" s="4" t="str">
        <x:v>600秒の時間加重平均を60秒前と比較。入口だけ傾き比例枚数、利益追尾＋傾き反転で返済。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4" customHeight="1">
      <x:c r="A4" s="4" t="str">
        <x:v>利益・損失＝FIFO返済配賦別。親＝初回から全返済まで。ラージ気配による模型で、mini実約定の検証ではありません。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42" customHeight="1">
      <x:c r="A5" s="10" t="str">
        <x:v>セッション</x:v>
      </x:c>
      <x:c r="B5" s="10" t="str">
        <x:v>区分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親利益（円）</x:v>
      </x:c>
      <x:c r="H5" s="10" t="str">
        <x:v>親損失（円）</x:v>
      </x:c>
      <x:c r="I5" s="10" t="str">
        <x:v>初回件数</x:v>
      </x:c>
      <x:c r="J5" s="10" t="str">
        <x:v>追加件数</x:v>
      </x:c>
      <x:c r="K5" s="10" t="str">
        <x:v>縮小件数</x:v>
      </x:c>
      <x:c r="L5" s="10" t="str">
        <x:v>最大保有枚数</x:v>
      </x:c>
      <x:c r="M5" s="10" t="str">
        <x:v>保有時間率</x:v>
      </x:c>
      <x:c r="N5" s="10" t="str">
        <x:v>時価最大DD（円）</x:v>
      </x:c>
    </x:row>
    <x:row r="6" ht="24" customHeight="1">
      <x:c r="A6" s="2" t="str">
        <x:v>2026-09-21_Day</x:v>
      </x:c>
      <x:c r="B6" s="6" t="str">
        <x:v>デイ</x:v>
      </x:c>
      <x:c r="C6" s="6" t="n">
        <x:v>129000</x:v>
      </x:c>
      <x:c r="D6" s="6" t="n">
        <x:v>436000</x:v>
      </x:c>
      <x:c r="E6" s="6" t="n">
        <x:f>C6-D6</x:f>
        <x:v>-307000</x:v>
      </x:c>
      <x:c r="F6" s="6" t="n">
        <x:f>E6</x:f>
        <x:v>-307000</x:v>
      </x:c>
      <x:c r="G6" s="6" t="n">
        <x:v>129000</x:v>
      </x:c>
      <x:c r="H6" s="6" t="n">
        <x:v>436000</x:v>
      </x:c>
      <x:c r="I6" s="6" t="n">
        <x:v>42</x:v>
      </x:c>
      <x:c r="J6" s="6" t="n">
        <x:v>0</x:v>
      </x:c>
      <x:c r="K6" s="6" t="n">
        <x:v>0</x:v>
      </x:c>
      <x:c r="L6" s="6" t="n">
        <x:v>10</x:v>
      </x:c>
      <x:c r="M6" s="11" t="n">
        <x:v>0.48345238095238097</x:v>
      </x:c>
      <x:c r="N6" s="6" t="n">
        <x:v>333000</x:v>
      </x:c>
    </x:row>
    <x:row r="7" ht="24" customHeight="1">
      <x:c r="A7" s="2" t="str">
        <x:v>2026-09-21_Night</x:v>
      </x:c>
      <x:c r="B7" s="6" t="str">
        <x:v>ナイト</x:v>
      </x:c>
      <x:c r="C7" s="6" t="n">
        <x:v>265000</x:v>
      </x:c>
      <x:c r="D7" s="6" t="n">
        <x:v>326000</x:v>
      </x:c>
      <x:c r="E7" s="6" t="n">
        <x:f>C7-D7</x:f>
        <x:v>-61000</x:v>
      </x:c>
      <x:c r="F7" s="6" t="n">
        <x:f>F6+E7</x:f>
        <x:v>-368000</x:v>
      </x:c>
      <x:c r="G7" s="6" t="n">
        <x:v>265000</x:v>
      </x:c>
      <x:c r="H7" s="6" t="n">
        <x:v>326000</x:v>
      </x:c>
      <x:c r="I7" s="6" t="n">
        <x:v>53</x:v>
      </x:c>
      <x:c r="J7" s="6" t="n">
        <x:v>0</x:v>
      </x:c>
      <x:c r="K7" s="6" t="n">
        <x:v>0</x:v>
      </x:c>
      <x:c r="L7" s="6" t="n">
        <x:v>8</x:v>
      </x:c>
      <x:c r="M7" s="11" t="n">
        <x:v>0.4806196581196581</x:v>
      </x:c>
      <x:c r="N7" s="6" t="n">
        <x:v>154000</x:v>
      </x:c>
    </x:row>
    <x:row r="8" ht="24" customHeight="1">
      <x:c r="A8" s="2" t="str">
        <x:v>2026-09-22_Day</x:v>
      </x:c>
      <x:c r="B8" s="6" t="str">
        <x:v>デイ</x:v>
      </x:c>
      <x:c r="C8" s="6" t="n">
        <x:v>470000</x:v>
      </x:c>
      <x:c r="D8" s="6" t="n">
        <x:v>799000</x:v>
      </x:c>
      <x:c r="E8" s="6" t="n">
        <x:f>C8-D8</x:f>
        <x:v>-329000</x:v>
      </x:c>
      <x:c r="F8" s="6" t="n">
        <x:f>F7+E8</x:f>
        <x:v>-697000</x:v>
      </x:c>
      <x:c r="G8" s="6" t="n">
        <x:v>470000</x:v>
      </x:c>
      <x:c r="H8" s="6" t="n">
        <x:v>799000</x:v>
      </x:c>
      <x:c r="I8" s="6" t="n">
        <x:v>72</x:v>
      </x:c>
      <x:c r="J8" s="6" t="n">
        <x:v>0</x:v>
      </x:c>
      <x:c r="K8" s="6" t="n">
        <x:v>0</x:v>
      </x:c>
      <x:c r="L8" s="6" t="n">
        <x:v>10</x:v>
      </x:c>
      <x:c r="M8" s="11" t="n">
        <x:v>0.7005555555555556</x:v>
      </x:c>
      <x:c r="N8" s="6" t="n">
        <x:v>489000</x:v>
      </x:c>
    </x:row>
    <x:row r="9" ht="24" customHeight="1">
      <x:c r="A9" s="2" t="str">
        <x:v>2026-09-22_Night</x:v>
      </x:c>
      <x:c r="B9" s="6" t="str">
        <x:v>ナイト</x:v>
      </x:c>
      <x:c r="C9" s="6" t="n">
        <x:v>673000</x:v>
      </x:c>
      <x:c r="D9" s="6" t="n">
        <x:v>1144000</x:v>
      </x:c>
      <x:c r="E9" s="6" t="n">
        <x:f>C9-D9</x:f>
        <x:v>-471000</x:v>
      </x:c>
      <x:c r="F9" s="6" t="n">
        <x:f>F8+E9</x:f>
        <x:v>-1168000</x:v>
      </x:c>
      <x:c r="G9" s="6" t="n">
        <x:v>673000</x:v>
      </x:c>
      <x:c r="H9" s="6" t="n">
        <x:v>1144000</x:v>
      </x:c>
      <x:c r="I9" s="6" t="n">
        <x:v>91</x:v>
      </x:c>
      <x:c r="J9" s="6" t="n">
        <x:v>0</x:v>
      </x:c>
      <x:c r="K9" s="6" t="n">
        <x:v>0</x:v>
      </x:c>
      <x:c r="L9" s="6" t="n">
        <x:v>10</x:v>
      </x:c>
      <x:c r="M9" s="11" t="n">
        <x:v>0.5749358974358975</x:v>
      </x:c>
      <x:c r="N9" s="6" t="n">
        <x:v>584000</x:v>
      </x:c>
    </x:row>
    <x:row r="10" ht="24" customHeight="1">
      <x:c r="A10" s="2" t="str">
        <x:v>2026-09-23_Day</x:v>
      </x:c>
      <x:c r="B10" s="6" t="str">
        <x:v>デイ</x:v>
      </x:c>
      <x:c r="C10" s="6" t="n">
        <x:v>124000</x:v>
      </x:c>
      <x:c r="D10" s="6" t="n">
        <x:v>304000</x:v>
      </x:c>
      <x:c r="E10" s="6" t="n">
        <x:f>C10-D10</x:f>
        <x:v>-180000</x:v>
      </x:c>
      <x:c r="F10" s="6" t="n">
        <x:f>F9+E10</x:f>
        <x:v>-1348000</x:v>
      </x:c>
      <x:c r="G10" s="6" t="n">
        <x:v>124000</x:v>
      </x:c>
      <x:c r="H10" s="6" t="n">
        <x:v>304000</x:v>
      </x:c>
      <x:c r="I10" s="6" t="n">
        <x:v>46</x:v>
      </x:c>
      <x:c r="J10" s="6" t="n">
        <x:v>0</x:v>
      </x:c>
      <x:c r="K10" s="6" t="n">
        <x:v>0</x:v>
      </x:c>
      <x:c r="L10" s="6" t="n">
        <x:v>10</x:v>
      </x:c>
      <x:c r="M10" s="11" t="n">
        <x:v>0.5701190476190476</x:v>
      </x:c>
      <x:c r="N10" s="6" t="n">
        <x:v>189000</x:v>
      </x:c>
    </x:row>
    <x:row r="11" ht="24" customHeight="1">
      <x:c r="A11" s="2" t="str">
        <x:v>2026-09-23_Night</x:v>
      </x:c>
      <x:c r="B11" s="6" t="str">
        <x:v>ナイト</x:v>
      </x:c>
      <x:c r="C11" s="6" t="n">
        <x:v>317000</x:v>
      </x:c>
      <x:c r="D11" s="6" t="n">
        <x:v>698000</x:v>
      </x:c>
      <x:c r="E11" s="6" t="n">
        <x:f>C11-D11</x:f>
        <x:v>-381000</x:v>
      </x:c>
      <x:c r="F11" s="6" t="n">
        <x:f>F10+E11</x:f>
        <x:v>-1729000</x:v>
      </x:c>
      <x:c r="G11" s="6" t="n">
        <x:v>317000</x:v>
      </x:c>
      <x:c r="H11" s="6" t="n">
        <x:v>698000</x:v>
      </x:c>
      <x:c r="I11" s="6" t="n">
        <x:v>63</x:v>
      </x:c>
      <x:c r="J11" s="6" t="n">
        <x:v>0</x:v>
      </x:c>
      <x:c r="K11" s="6" t="n">
        <x:v>0</x:v>
      </x:c>
      <x:c r="L11" s="6" t="n">
        <x:v>10</x:v>
      </x:c>
      <x:c r="M11" s="11" t="n">
        <x:v>0.6774358974358974</x:v>
      </x:c>
      <x:c r="N11" s="6" t="n">
        <x:v>401000</x:v>
      </x:c>
    </x:row>
    <x:row r="12" ht="24" customHeight="1">
      <x:c r="A12" s="2" t="str">
        <x:v>2026-09-24_Day</x:v>
      </x:c>
      <x:c r="B12" s="6" t="str">
        <x:v>デイ</x:v>
      </x:c>
      <x:c r="C12" s="6" t="n">
        <x:v>856000</x:v>
      </x:c>
      <x:c r="D12" s="6" t="n">
        <x:v>1528000</x:v>
      </x:c>
      <x:c r="E12" s="6" t="n">
        <x:f>C12-D12</x:f>
        <x:v>-672000</x:v>
      </x:c>
      <x:c r="F12" s="6" t="n">
        <x:f>F11+E12</x:f>
        <x:v>-2401000</x:v>
      </x:c>
      <x:c r="G12" s="6" t="n">
        <x:v>856000</x:v>
      </x:c>
      <x:c r="H12" s="6" t="n">
        <x:v>1528000</x:v>
      </x:c>
      <x:c r="I12" s="6" t="n">
        <x:v>117</x:v>
      </x:c>
      <x:c r="J12" s="6" t="n">
        <x:v>0</x:v>
      </x:c>
      <x:c r="K12" s="6" t="n">
        <x:v>0</x:v>
      </x:c>
      <x:c r="L12" s="6" t="n">
        <x:v>10</x:v>
      </x:c>
      <x:c r="M12" s="11" t="n">
        <x:v>0.8039285714285714</x:v>
      </x:c>
      <x:c r="N12" s="6" t="n">
        <x:v>755000</x:v>
      </x:c>
    </x:row>
    <x:row r="13" ht="24" customHeight="1">
      <x:c r="A13" s="2" t="str">
        <x:v>2026-09-24_Night</x:v>
      </x:c>
      <x:c r="B13" s="6" t="str">
        <x:v>ナイト</x:v>
      </x:c>
      <x:c r="C13" s="6" t="n">
        <x:v>918000</x:v>
      </x:c>
      <x:c r="D13" s="6" t="n">
        <x:v>2213000</x:v>
      </x:c>
      <x:c r="E13" s="6" t="n">
        <x:f>C13-D13</x:f>
        <x:v>-1295000</x:v>
      </x:c>
      <x:c r="F13" s="6" t="n">
        <x:f>F12+E13</x:f>
        <x:v>-3696000</x:v>
      </x:c>
      <x:c r="G13" s="6" t="n">
        <x:v>918000</x:v>
      </x:c>
      <x:c r="H13" s="6" t="n">
        <x:v>2213000</x:v>
      </x:c>
      <x:c r="I13" s="6" t="n">
        <x:v>168</x:v>
      </x:c>
      <x:c r="J13" s="6" t="n">
        <x:v>0</x:v>
      </x:c>
      <x:c r="K13" s="6" t="n">
        <x:v>0</x:v>
      </x:c>
      <x:c r="L13" s="6" t="n">
        <x:v>10</x:v>
      </x:c>
      <x:c r="M13" s="11" t="n">
        <x:v>0.7435042735042735</x:v>
      </x:c>
      <x:c r="N13" s="6" t="n">
        <x:v>1349000</x:v>
      </x:c>
    </x:row>
    <x:row r="14" ht="24" customHeight="1">
      <x:c r="A14" s="2" t="str">
        <x:v>2026-09-25_Day</x:v>
      </x:c>
      <x:c r="B14" s="6" t="str">
        <x:v>デイ</x:v>
      </x:c>
      <x:c r="C14" s="6" t="n">
        <x:v>693000</x:v>
      </x:c>
      <x:c r="D14" s="6" t="n">
        <x:v>1145000</x:v>
      </x:c>
      <x:c r="E14" s="6" t="n">
        <x:f>C14-D14</x:f>
        <x:v>-452000</x:v>
      </x:c>
      <x:c r="F14" s="6" t="n">
        <x:f>F13+E14</x:f>
        <x:v>-4148000</x:v>
      </x:c>
      <x:c r="G14" s="6" t="n">
        <x:v>693000</x:v>
      </x:c>
      <x:c r="H14" s="6" t="n">
        <x:v>1145000</x:v>
      </x:c>
      <x:c r="I14" s="6" t="n">
        <x:v>102</x:v>
      </x:c>
      <x:c r="J14" s="6" t="n">
        <x:v>0</x:v>
      </x:c>
      <x:c r="K14" s="6" t="n">
        <x:v>0</x:v>
      </x:c>
      <x:c r="L14" s="6" t="n">
        <x:v>10</x:v>
      </x:c>
      <x:c r="M14" s="11" t="n">
        <x:v>0.7898809523809524</x:v>
      </x:c>
      <x:c r="N14" s="6" t="n">
        <x:v>554000</x:v>
      </x:c>
    </x:row>
    <x:row r="15" ht="24" customHeight="1">
      <x:c r="A15" s="2" t="str">
        <x:v>2026-09-25_Night</x:v>
      </x:c>
      <x:c r="B15" s="6" t="str">
        <x:v>ナイト</x:v>
      </x:c>
      <x:c r="C15" s="6" t="n">
        <x:v>530000</x:v>
      </x:c>
      <x:c r="D15" s="6" t="n">
        <x:v>1127000</x:v>
      </x:c>
      <x:c r="E15" s="6" t="n">
        <x:f>C15-D15</x:f>
        <x:v>-597000</x:v>
      </x:c>
      <x:c r="F15" s="6" t="n">
        <x:f>F14+E15</x:f>
        <x:v>-4745000</x:v>
      </x:c>
      <x:c r="G15" s="6" t="n">
        <x:v>530000</x:v>
      </x:c>
      <x:c r="H15" s="6" t="n">
        <x:v>1127000</x:v>
      </x:c>
      <x:c r="I15" s="6" t="n">
        <x:v>104</x:v>
      </x:c>
      <x:c r="J15" s="6" t="n">
        <x:v>0</x:v>
      </x:c>
      <x:c r="K15" s="6" t="n">
        <x:v>0</x:v>
      </x:c>
      <x:c r="L15" s="6" t="n">
        <x:v>10</x:v>
      </x:c>
      <x:c r="M15" s="11" t="n">
        <x:v>0.6907264957264957</x:v>
      </x:c>
      <x:c r="N15" s="6" t="n">
        <x:v>696000</x:v>
      </x:c>
    </x:row>
    <x:row r="16" ht="24" customHeight="1">
      <x:c r="A16" s="2" t="str">
        <x:v>2026-09-28_Day</x:v>
      </x:c>
      <x:c r="B16" s="6" t="str">
        <x:v>デイ</x:v>
      </x:c>
      <x:c r="C16" s="6" t="n">
        <x:v>1304000</x:v>
      </x:c>
      <x:c r="D16" s="6" t="n">
        <x:v>1818000</x:v>
      </x:c>
      <x:c r="E16" s="6" t="n">
        <x:f>C16-D16</x:f>
        <x:v>-514000</x:v>
      </x:c>
      <x:c r="F16" s="6" t="n">
        <x:f>F15+E16</x:f>
        <x:v>-5259000</x:v>
      </x:c>
      <x:c r="G16" s="6" t="n">
        <x:v>1304000</x:v>
      </x:c>
      <x:c r="H16" s="6" t="n">
        <x:v>1818000</x:v>
      </x:c>
      <x:c r="I16" s="6" t="n">
        <x:v>126</x:v>
      </x:c>
      <x:c r="J16" s="6" t="n">
        <x:v>0</x:v>
      </x:c>
      <x:c r="K16" s="6" t="n">
        <x:v>0</x:v>
      </x:c>
      <x:c r="L16" s="6" t="n">
        <x:v>10</x:v>
      </x:c>
      <x:c r="M16" s="11" t="n">
        <x:v>0.8251190476190476</x:v>
      </x:c>
      <x:c r="N16" s="6" t="n">
        <x:v>791000</x:v>
      </x:c>
    </x:row>
    <x:row r="17" ht="24" customHeight="1">
      <x:c r="A17" s="2" t="str">
        <x:v>2026-09-28_Night</x:v>
      </x:c>
      <x:c r="B17" s="6" t="str">
        <x:v>ナイト</x:v>
      </x:c>
      <x:c r="C17" s="6" t="n">
        <x:v>856000</x:v>
      </x:c>
      <x:c r="D17" s="6" t="n">
        <x:v>1801000</x:v>
      </x:c>
      <x:c r="E17" s="6" t="n">
        <x:f>C17-D17</x:f>
        <x:v>-945000</x:v>
      </x:c>
      <x:c r="F17" s="6" t="n">
        <x:f>F16+E17</x:f>
        <x:v>-6204000</x:v>
      </x:c>
      <x:c r="G17" s="6" t="n">
        <x:v>856000</x:v>
      </x:c>
      <x:c r="H17" s="6" t="n">
        <x:v>1801000</x:v>
      </x:c>
      <x:c r="I17" s="6" t="n">
        <x:v>128</x:v>
      </x:c>
      <x:c r="J17" s="6" t="n">
        <x:v>0</x:v>
      </x:c>
      <x:c r="K17" s="6" t="n">
        <x:v>0</x:v>
      </x:c>
      <x:c r="L17" s="6" t="n">
        <x:v>10</x:v>
      </x:c>
      <x:c r="M17" s="11" t="n">
        <x:v>0.6947008547008547</x:v>
      </x:c>
      <x:c r="N17" s="6" t="n">
        <x:v>978000</x:v>
      </x:c>
    </x:row>
    <x:row r="18" ht="24" customHeight="1">
      <x:c r="A18" s="2" t="str">
        <x:v>2026-09-29_Day</x:v>
      </x:c>
      <x:c r="B18" s="6" t="str">
        <x:v>デイ</x:v>
      </x:c>
      <x:c r="C18" s="6" t="n">
        <x:v>970000</x:v>
      </x:c>
      <x:c r="D18" s="6" t="n">
        <x:v>2109000</x:v>
      </x:c>
      <x:c r="E18" s="6" t="n">
        <x:f>C18-D18</x:f>
        <x:v>-1139000</x:v>
      </x:c>
      <x:c r="F18" s="6" t="n">
        <x:f>F17+E18</x:f>
        <x:v>-7343000</x:v>
      </x:c>
      <x:c r="G18" s="6" t="n">
        <x:v>970000</x:v>
      </x:c>
      <x:c r="H18" s="6" t="n">
        <x:v>2109000</x:v>
      </x:c>
      <x:c r="I18" s="6" t="n">
        <x:v>138</x:v>
      </x:c>
      <x:c r="J18" s="6" t="n">
        <x:v>0</x:v>
      </x:c>
      <x:c r="K18" s="6" t="n">
        <x:v>0</x:v>
      </x:c>
      <x:c r="L18" s="6" t="n">
        <x:v>10</x:v>
      </x:c>
      <x:c r="M18" s="11" t="n">
        <x:v>0.812936507936508</x:v>
      </x:c>
      <x:c r="N18" s="6" t="n">
        <x:v>1385000</x:v>
      </x:c>
    </x:row>
    <x:row r="19" ht="24" customHeight="1">
      <x:c r="A19" s="2" t="str">
        <x:v>2026-09-29_Night</x:v>
      </x:c>
      <x:c r="B19" s="6" t="str">
        <x:v>ナイト</x:v>
      </x:c>
      <x:c r="C19" s="6" t="n">
        <x:v>621000</x:v>
      </x:c>
      <x:c r="D19" s="6" t="n">
        <x:v>1103000</x:v>
      </x:c>
      <x:c r="E19" s="6" t="n">
        <x:f>C19-D19</x:f>
        <x:v>-482000</x:v>
      </x:c>
      <x:c r="F19" s="6" t="n">
        <x:f>F18+E19</x:f>
        <x:v>-7825000</x:v>
      </x:c>
      <x:c r="G19" s="6" t="n">
        <x:v>621000</x:v>
      </x:c>
      <x:c r="H19" s="6" t="n">
        <x:v>1103000</x:v>
      </x:c>
      <x:c r="I19" s="6" t="n">
        <x:v>115</x:v>
      </x:c>
      <x:c r="J19" s="6" t="n">
        <x:v>0</x:v>
      </x:c>
      <x:c r="K19" s="6" t="n">
        <x:v>0</x:v>
      </x:c>
      <x:c r="L19" s="6" t="n">
        <x:v>10</x:v>
      </x:c>
      <x:c r="M19" s="11" t="n">
        <x:v>0.6932051282051283</x:v>
      </x:c>
      <x:c r="N19" s="6" t="n">
        <x:v>490000</x:v>
      </x:c>
    </x:row>
    <x:row r="20" ht="24" customHeight="1">
      <x:c r="A20" s="2" t="str">
        <x:v>2026-09-30_Day</x:v>
      </x:c>
      <x:c r="B20" s="6" t="str">
        <x:v>デイ</x:v>
      </x:c>
      <x:c r="C20" s="6" t="n">
        <x:v>867000</x:v>
      </x:c>
      <x:c r="D20" s="6" t="n">
        <x:v>1663000</x:v>
      </x:c>
      <x:c r="E20" s="6" t="n">
        <x:f>C20-D20</x:f>
        <x:v>-796000</x:v>
      </x:c>
      <x:c r="F20" s="6" t="n">
        <x:f>F19+E20</x:f>
        <x:v>-8621000</x:v>
      </x:c>
      <x:c r="G20" s="6" t="n">
        <x:v>867000</x:v>
      </x:c>
      <x:c r="H20" s="6" t="n">
        <x:v>1663000</x:v>
      </x:c>
      <x:c r="I20" s="6" t="n">
        <x:v>117</x:v>
      </x:c>
      <x:c r="J20" s="6" t="n">
        <x:v>0</x:v>
      </x:c>
      <x:c r="K20" s="6" t="n">
        <x:v>0</x:v>
      </x:c>
      <x:c r="L20" s="6" t="n">
        <x:v>10</x:v>
      </x:c>
      <x:c r="M20" s="11" t="n">
        <x:v>0.8275</x:v>
      </x:c>
      <x:c r="N20" s="6" t="n">
        <x:v>854000</x:v>
      </x:c>
    </x:row>
    <x:row r="21" ht="24" customHeight="1">
      <x:c r="A21" s="2" t="str">
        <x:v>2026-09-30_Night</x:v>
      </x:c>
      <x:c r="B21" s="6" t="str">
        <x:v>ナイト</x:v>
      </x:c>
      <x:c r="C21" s="6" t="n">
        <x:v>959000</x:v>
      </x:c>
      <x:c r="D21" s="6" t="n">
        <x:v>1846000</x:v>
      </x:c>
      <x:c r="E21" s="6" t="n">
        <x:f>C21-D21</x:f>
        <x:v>-887000</x:v>
      </x:c>
      <x:c r="F21" s="6" t="n">
        <x:f>F20+E21</x:f>
        <x:v>-9508000</x:v>
      </x:c>
      <x:c r="G21" s="6" t="n">
        <x:v>959000</x:v>
      </x:c>
      <x:c r="H21" s="6" t="n">
        <x:v>1846000</x:v>
      </x:c>
      <x:c r="I21" s="6" t="n">
        <x:v>148</x:v>
      </x:c>
      <x:c r="J21" s="6" t="n">
        <x:v>0</x:v>
      </x:c>
      <x:c r="K21" s="6" t="n">
        <x:v>0</x:v>
      </x:c>
      <x:c r="L21" s="6" t="n">
        <x:v>10</x:v>
      </x:c>
      <x:c r="M21" s="11" t="n">
        <x:v>0.7552777777777778</x:v>
      </x:c>
      <x:c r="N21" s="6" t="n">
        <x:v>1016000</x:v>
      </x:c>
    </x:row>
    <x:row r="22" ht="24" customHeight="1">
      <x:c r="A22" s="2" t="str">
        <x:v>2026-10-01_Day</x:v>
      </x:c>
      <x:c r="B22" s="6" t="str">
        <x:v>デイ</x:v>
      </x:c>
      <x:c r="C22" s="6" t="n">
        <x:v>901000</x:v>
      </x:c>
      <x:c r="D22" s="6" t="n">
        <x:v>1197000</x:v>
      </x:c>
      <x:c r="E22" s="6" t="n">
        <x:f>C22-D22</x:f>
        <x:v>-296000</x:v>
      </x:c>
      <x:c r="F22" s="6" t="n">
        <x:f>F21+E22</x:f>
        <x:v>-9804000</x:v>
      </x:c>
      <x:c r="G22" s="6" t="n">
        <x:v>901000</x:v>
      </x:c>
      <x:c r="H22" s="6" t="n">
        <x:v>1197000</x:v>
      </x:c>
      <x:c r="I22" s="6" t="n">
        <x:v>93</x:v>
      </x:c>
      <x:c r="J22" s="6" t="n">
        <x:v>0</x:v>
      </x:c>
      <x:c r="K22" s="6" t="n">
        <x:v>0</x:v>
      </x:c>
      <x:c r="L22" s="6" t="n">
        <x:v>10</x:v>
      </x:c>
      <x:c r="M22" s="11" t="n">
        <x:v>0.8034126984126985</x:v>
      </x:c>
      <x:c r="N22" s="6" t="n">
        <x:v>446000</x:v>
      </x:c>
    </x:row>
    <x:row r="23" ht="24" customHeight="1">
      <x:c r="A23" s="2" t="str">
        <x:v>2026-10-01_Night</x:v>
      </x:c>
      <x:c r="B23" s="6" t="str">
        <x:v>ナイト</x:v>
      </x:c>
      <x:c r="C23" s="6" t="n">
        <x:v>1279000</x:v>
      </x:c>
      <x:c r="D23" s="6" t="n">
        <x:v>2143000</x:v>
      </x:c>
      <x:c r="E23" s="6" t="n">
        <x:f>C23-D23</x:f>
        <x:v>-864000</x:v>
      </x:c>
      <x:c r="F23" s="6" t="n">
        <x:f>F22+E23</x:f>
        <x:v>-10668000</x:v>
      </x:c>
      <x:c r="G23" s="6" t="n">
        <x:v>1279000</x:v>
      </x:c>
      <x:c r="H23" s="6" t="n">
        <x:v>2143000</x:v>
      </x:c>
      <x:c r="I23" s="6" t="n">
        <x:v>153</x:v>
      </x:c>
      <x:c r="J23" s="6" t="n">
        <x:v>0</x:v>
      </x:c>
      <x:c r="K23" s="6" t="n">
        <x:v>0</x:v>
      </x:c>
      <x:c r="L23" s="6" t="n">
        <x:v>10</x:v>
      </x:c>
      <x:c r="M23" s="11" t="n">
        <x:v>0.8311538461538461</x:v>
      </x:c>
      <x:c r="N23" s="6" t="n">
        <x:v>1059000</x:v>
      </x:c>
    </x:row>
    <x:row r="24" ht="24" customHeight="1">
      <x:c r="A24" s="2" t="str">
        <x:v>2026-10-02_Day</x:v>
      </x:c>
      <x:c r="B24" s="6" t="str">
        <x:v>デイ</x:v>
      </x:c>
      <x:c r="C24" s="6" t="n">
        <x:v>526000</x:v>
      </x:c>
      <x:c r="D24" s="6" t="n">
        <x:v>1586000</x:v>
      </x:c>
      <x:c r="E24" s="6" t="n">
        <x:f>C24-D24</x:f>
        <x:v>-1060000</x:v>
      </x:c>
      <x:c r="F24" s="6" t="n">
        <x:f>F23+E24</x:f>
        <x:v>-11728000</x:v>
      </x:c>
      <x:c r="G24" s="6" t="n">
        <x:v>526000</x:v>
      </x:c>
      <x:c r="H24" s="6" t="n">
        <x:v>1586000</x:v>
      </x:c>
      <x:c r="I24" s="6" t="n">
        <x:v>101</x:v>
      </x:c>
      <x:c r="J24" s="6" t="n">
        <x:v>0</x:v>
      </x:c>
      <x:c r="K24" s="6" t="n">
        <x:v>0</x:v>
      </x:c>
      <x:c r="L24" s="6" t="n">
        <x:v>10</x:v>
      </x:c>
      <x:c r="M24" s="11" t="n">
        <x:v>0.7813095238095238</x:v>
      </x:c>
      <x:c r="N24" s="6" t="n">
        <x:v>1254000</x:v>
      </x:c>
    </x:row>
    <x:row r="25" ht="24" customHeight="1">
      <x:c r="A25" s="2" t="str">
        <x:v>2026-10-02_Night</x:v>
      </x:c>
      <x:c r="B25" s="6" t="str">
        <x:v>ナイト</x:v>
      </x:c>
      <x:c r="C25" s="6" t="n">
        <x:v>905000</x:v>
      </x:c>
      <x:c r="D25" s="6" t="n">
        <x:v>1680000</x:v>
      </x:c>
      <x:c r="E25" s="6" t="n">
        <x:f>C25-D25</x:f>
        <x:v>-775000</x:v>
      </x:c>
      <x:c r="F25" s="6" t="n">
        <x:f>F24+E25</x:f>
        <x:v>-12503000</x:v>
      </x:c>
      <x:c r="G25" s="6" t="n">
        <x:v>905000</x:v>
      </x:c>
      <x:c r="H25" s="6" t="n">
        <x:v>1680000</x:v>
      </x:c>
      <x:c r="I25" s="6" t="n">
        <x:v>130</x:v>
      </x:c>
      <x:c r="J25" s="6" t="n">
        <x:v>0</x:v>
      </x:c>
      <x:c r="K25" s="6" t="n">
        <x:v>0</x:v>
      </x:c>
      <x:c r="L25" s="6" t="n">
        <x:v>10</x:v>
      </x:c>
      <x:c r="M25" s="11" t="n">
        <x:v>0.7725</x:v>
      </x:c>
      <x:c r="N25" s="6" t="n">
        <x:v>1029000</x:v>
      </x:c>
    </x:row>
    <x:row r="26" ht="24" customHeight="1">
      <x:c r="A26" s="2" t="str">
        <x:v>2026-10-05_Day</x:v>
      </x:c>
      <x:c r="B26" s="6" t="str">
        <x:v>デイ</x:v>
      </x:c>
      <x:c r="C26" s="6" t="n">
        <x:v>490000</x:v>
      </x:c>
      <x:c r="D26" s="6" t="n">
        <x:v>1126000</x:v>
      </x:c>
      <x:c r="E26" s="6" t="n">
        <x:f>C26-D26</x:f>
        <x:v>-636000</x:v>
      </x:c>
      <x:c r="F26" s="6" t="n">
        <x:f>F25+E26</x:f>
        <x:v>-13139000</x:v>
      </x:c>
      <x:c r="G26" s="6" t="n">
        <x:v>490000</x:v>
      </x:c>
      <x:c r="H26" s="6" t="n">
        <x:v>1126000</x:v>
      </x:c>
      <x:c r="I26" s="6" t="n">
        <x:v>86</x:v>
      </x:c>
      <x:c r="J26" s="6" t="n">
        <x:v>0</x:v>
      </x:c>
      <x:c r="K26" s="6" t="n">
        <x:v>0</x:v>
      </x:c>
      <x:c r="L26" s="6" t="n">
        <x:v>10</x:v>
      </x:c>
      <x:c r="M26" s="11" t="n">
        <x:v>0.8425</x:v>
      </x:c>
      <x:c r="N26" s="6" t="n">
        <x:v>673000</x:v>
      </x:c>
    </x:row>
    <x:row r="27" ht="24" customHeight="1">
      <x:c r="A27" s="2" t="str">
        <x:v>2026-10-05_Night</x:v>
      </x:c>
      <x:c r="B27" s="6" t="str">
        <x:v>ナイト</x:v>
      </x:c>
      <x:c r="C27" s="6" t="n">
        <x:v>528000</x:v>
      </x:c>
      <x:c r="D27" s="6" t="n">
        <x:v>956000</x:v>
      </x:c>
      <x:c r="E27" s="6" t="n">
        <x:f>C27-D27</x:f>
        <x:v>-428000</x:v>
      </x:c>
      <x:c r="F27" s="6" t="n">
        <x:f>F26+E27</x:f>
        <x:v>-13567000</x:v>
      </x:c>
      <x:c r="G27" s="6" t="n">
        <x:v>528000</x:v>
      </x:c>
      <x:c r="H27" s="6" t="n">
        <x:v>956000</x:v>
      </x:c>
      <x:c r="I27" s="6" t="n">
        <x:v>96</x:v>
      </x:c>
      <x:c r="J27" s="6" t="n">
        <x:v>0</x:v>
      </x:c>
      <x:c r="K27" s="6" t="n">
        <x:v>0</x:v>
      </x:c>
      <x:c r="L27" s="6" t="n">
        <x:v>10</x:v>
      </x:c>
      <x:c r="M27" s="11" t="n">
        <x:v>0.736517094017094</x:v>
      </x:c>
      <x:c r="N27" s="6" t="n">
        <x:v>477000</x:v>
      </x:c>
    </x:row>
    <x:row r="28" ht="24" customHeight="1">
      <x:c r="A28" s="2" t="str">
        <x:v>2026-10-06_Day</x:v>
      </x:c>
      <x:c r="B28" s="6" t="str">
        <x:v>デイ</x:v>
      </x:c>
      <x:c r="C28" s="6" t="n">
        <x:v>290000</x:v>
      </x:c>
      <x:c r="D28" s="6" t="n">
        <x:v>897000</x:v>
      </x:c>
      <x:c r="E28" s="6" t="n">
        <x:f>C28-D28</x:f>
        <x:v>-607000</x:v>
      </x:c>
      <x:c r="F28" s="6" t="n">
        <x:f>F27+E28</x:f>
        <x:v>-14174000</x:v>
      </x:c>
      <x:c r="G28" s="6" t="n">
        <x:v>290000</x:v>
      </x:c>
      <x:c r="H28" s="6" t="n">
        <x:v>897000</x:v>
      </x:c>
      <x:c r="I28" s="6" t="n">
        <x:v>75</x:v>
      </x:c>
      <x:c r="J28" s="6" t="n">
        <x:v>0</x:v>
      </x:c>
      <x:c r="K28" s="6" t="n">
        <x:v>0</x:v>
      </x:c>
      <x:c r="L28" s="6" t="n">
        <x:v>10</x:v>
      </x:c>
      <x:c r="M28" s="11" t="n">
        <x:v>0.7439285714285714</x:v>
      </x:c>
      <x:c r="N28" s="6" t="n">
        <x:v>653000</x:v>
      </x:c>
    </x:row>
    <x:row r="29" ht="24" customHeight="1">
      <x:c r="A29" s="2" t="str">
        <x:v>2026-10-06_Night</x:v>
      </x:c>
      <x:c r="B29" s="6" t="str">
        <x:v>ナイト</x:v>
      </x:c>
      <x:c r="C29" s="6" t="n">
        <x:v>253000</x:v>
      </x:c>
      <x:c r="D29" s="6" t="n">
        <x:v>381000</x:v>
      </x:c>
      <x:c r="E29" s="6" t="n">
        <x:f>C29-D29</x:f>
        <x:v>-128000</x:v>
      </x:c>
      <x:c r="F29" s="6" t="n">
        <x:f>F28+E29</x:f>
        <x:v>-14302000</x:v>
      </x:c>
      <x:c r="G29" s="6" t="n">
        <x:v>253000</x:v>
      </x:c>
      <x:c r="H29" s="6" t="n">
        <x:v>381000</x:v>
      </x:c>
      <x:c r="I29" s="6" t="n">
        <x:v>65</x:v>
      </x:c>
      <x:c r="J29" s="6" t="n">
        <x:v>0</x:v>
      </x:c>
      <x:c r="K29" s="6" t="n">
        <x:v>0</x:v>
      </x:c>
      <x:c r="L29" s="6" t="n">
        <x:v>9</x:v>
      </x:c>
      <x:c r="M29" s="11" t="n">
        <x:v>0.7047649572649572</x:v>
      </x:c>
      <x:c r="N29" s="6" t="n">
        <x:v>206000</x:v>
      </x:c>
    </x:row>
    <x:row r="30" ht="24" customHeight="1">
      <x:c r="A30" s="2" t="str">
        <x:v>2026-10-07_Day</x:v>
      </x:c>
      <x:c r="B30" s="6" t="str">
        <x:v>デイ</x:v>
      </x:c>
      <x:c r="C30" s="6" t="n">
        <x:v>346000</x:v>
      </x:c>
      <x:c r="D30" s="6" t="n">
        <x:v>632000</x:v>
      </x:c>
      <x:c r="E30" s="6" t="n">
        <x:f>C30-D30</x:f>
        <x:v>-286000</x:v>
      </x:c>
      <x:c r="F30" s="6" t="n">
        <x:f>F29+E30</x:f>
        <x:v>-14588000</x:v>
      </x:c>
      <x:c r="G30" s="6" t="n">
        <x:v>346000</x:v>
      </x:c>
      <x:c r="H30" s="6" t="n">
        <x:v>632000</x:v>
      </x:c>
      <x:c r="I30" s="6" t="n">
        <x:v>70</x:v>
      </x:c>
      <x:c r="J30" s="6" t="n">
        <x:v>0</x:v>
      </x:c>
      <x:c r="K30" s="6" t="n">
        <x:v>0</x:v>
      </x:c>
      <x:c r="L30" s="6" t="n">
        <x:v>10</x:v>
      </x:c>
      <x:c r="M30" s="11" t="n">
        <x:v>0.8038095238095239</x:v>
      </x:c>
      <x:c r="N30" s="6" t="n">
        <x:v>337000</x:v>
      </x:c>
    </x:row>
    <x:row r="31" ht="24" customHeight="1">
      <x:c r="A31" s="2" t="str">
        <x:v>2026-10-07_Night</x:v>
      </x:c>
      <x:c r="B31" s="6" t="str">
        <x:v>ナイト</x:v>
      </x:c>
      <x:c r="C31" s="6" t="n">
        <x:v>363000</x:v>
      </x:c>
      <x:c r="D31" s="6" t="n">
        <x:v>760000</x:v>
      </x:c>
      <x:c r="E31" s="6" t="n">
        <x:f>C31-D31</x:f>
        <x:v>-397000</x:v>
      </x:c>
      <x:c r="F31" s="6" t="n">
        <x:f>F30+E31</x:f>
        <x:v>-14985000</x:v>
      </x:c>
      <x:c r="G31" s="6" t="n">
        <x:v>363000</x:v>
      </x:c>
      <x:c r="H31" s="6" t="n">
        <x:v>760000</x:v>
      </x:c>
      <x:c r="I31" s="6" t="n">
        <x:v>103</x:v>
      </x:c>
      <x:c r="J31" s="6" t="n">
        <x:v>0</x:v>
      </x:c>
      <x:c r="K31" s="6" t="n">
        <x:v>0</x:v>
      </x:c>
      <x:c r="L31" s="6" t="n">
        <x:v>10</x:v>
      </x:c>
      <x:c r="M31" s="11" t="n">
        <x:v>0.8332478632478633</x:v>
      </x:c>
      <x:c r="N31" s="6" t="n">
        <x:v>401000</x:v>
      </x:c>
    </x:row>
    <x:row r="32" ht="24" customHeight="1">
      <x:c r="A32" s="2" t="str">
        <x:v>2026-10-08_Day</x:v>
      </x:c>
      <x:c r="B32" s="6" t="str">
        <x:v>デイ</x:v>
      </x:c>
      <x:c r="C32" s="6" t="n">
        <x:v>979000</x:v>
      </x:c>
      <x:c r="D32" s="6" t="n">
        <x:v>1276000</x:v>
      </x:c>
      <x:c r="E32" s="6" t="n">
        <x:f>C32-D32</x:f>
        <x:v>-297000</x:v>
      </x:c>
      <x:c r="F32" s="6" t="n">
        <x:f>F31+E32</x:f>
        <x:v>-15282000</x:v>
      </x:c>
      <x:c r="G32" s="6" t="n">
        <x:v>979000</x:v>
      </x:c>
      <x:c r="H32" s="6" t="n">
        <x:v>1276000</x:v>
      </x:c>
      <x:c r="I32" s="6" t="n">
        <x:v>104</x:v>
      </x:c>
      <x:c r="J32" s="6" t="n">
        <x:v>0</x:v>
      </x:c>
      <x:c r="K32" s="6" t="n">
        <x:v>0</x:v>
      </x:c>
      <x:c r="L32" s="6" t="n">
        <x:v>10</x:v>
      </x:c>
      <x:c r="M32" s="11" t="n">
        <x:v>0.8169047619047619</x:v>
      </x:c>
      <x:c r="N32" s="6" t="n">
        <x:v>563000</x:v>
      </x:c>
    </x:row>
    <x:row r="33" ht="24" customHeight="1">
      <x:c r="A33" s="2" t="str">
        <x:v>2026-10-08_Night</x:v>
      </x:c>
      <x:c r="B33" s="6" t="str">
        <x:v>ナイト</x:v>
      </x:c>
      <x:c r="C33" s="6" t="n">
        <x:v>1180000</x:v>
      </x:c>
      <x:c r="D33" s="6" t="n">
        <x:v>2074000</x:v>
      </x:c>
      <x:c r="E33" s="6" t="n">
        <x:f>C33-D33</x:f>
        <x:v>-894000</x:v>
      </x:c>
      <x:c r="F33" s="6" t="n">
        <x:f>F32+E33</x:f>
        <x:v>-16176000</x:v>
      </x:c>
      <x:c r="G33" s="6" t="n">
        <x:v>1180000</x:v>
      </x:c>
      <x:c r="H33" s="6" t="n">
        <x:v>2074000</x:v>
      </x:c>
      <x:c r="I33" s="6" t="n">
        <x:v>145</x:v>
      </x:c>
      <x:c r="J33" s="6" t="n">
        <x:v>0</x:v>
      </x:c>
      <x:c r="K33" s="6" t="n">
        <x:v>0</x:v>
      </x:c>
      <x:c r="L33" s="6" t="n">
        <x:v>10</x:v>
      </x:c>
      <x:c r="M33" s="11" t="n">
        <x:v>0.8121367521367522</x:v>
      </x:c>
      <x:c r="N33" s="6" t="n">
        <x:v>1002000</x:v>
      </x:c>
    </x:row>
    <x:row r="34" ht="24" customHeight="1">
      <x:c r="A34" s="2" t="str">
        <x:v>2026-10-09_Day</x:v>
      </x:c>
      <x:c r="B34" s="6" t="str">
        <x:v>デイ</x:v>
      </x:c>
      <x:c r="C34" s="6" t="n">
        <x:v>841000</x:v>
      </x:c>
      <x:c r="D34" s="6" t="n">
        <x:v>1416000</x:v>
      </x:c>
      <x:c r="E34" s="6" t="n">
        <x:f>C34-D34</x:f>
        <x:v>-575000</x:v>
      </x:c>
      <x:c r="F34" s="6" t="n">
        <x:f>F33+E34</x:f>
        <x:v>-16751000</x:v>
      </x:c>
      <x:c r="G34" s="6" t="n">
        <x:v>841000</x:v>
      </x:c>
      <x:c r="H34" s="6" t="n">
        <x:v>1416000</x:v>
      </x:c>
      <x:c r="I34" s="6" t="n">
        <x:v>87</x:v>
      </x:c>
      <x:c r="J34" s="6" t="n">
        <x:v>0</x:v>
      </x:c>
      <x:c r="K34" s="6" t="n">
        <x:v>0</x:v>
      </x:c>
      <x:c r="L34" s="6" t="n">
        <x:v>10</x:v>
      </x:c>
      <x:c r="M34" s="11" t="n">
        <x:v>0.8083333333333333</x:v>
      </x:c>
      <x:c r="N34" s="6" t="n">
        <x:v>674000</x:v>
      </x:c>
    </x:row>
    <x:row r="35" ht="24" customHeight="1">
      <x:c r="A35" s="2" t="str">
        <x:v>2026-10-09_Night</x:v>
      </x:c>
      <x:c r="B35" s="6" t="str">
        <x:v>ナイト</x:v>
      </x:c>
      <x:c r="C35" s="6" t="n">
        <x:v>160000</x:v>
      </x:c>
      <x:c r="D35" s="6" t="n">
        <x:v>588000</x:v>
      </x:c>
      <x:c r="E35" s="6" t="n">
        <x:f>C35-D35</x:f>
        <x:v>-428000</x:v>
      </x:c>
      <x:c r="F35" s="6" t="n">
        <x:f>F34+E35</x:f>
        <x:v>-17179000</x:v>
      </x:c>
      <x:c r="G35" s="6" t="n">
        <x:v>160000</x:v>
      </x:c>
      <x:c r="H35" s="6" t="n">
        <x:v>588000</x:v>
      </x:c>
      <x:c r="I35" s="6" t="n">
        <x:v>78</x:v>
      </x:c>
      <x:c r="J35" s="6" t="n">
        <x:v>0</x:v>
      </x:c>
      <x:c r="K35" s="6" t="n">
        <x:v>0</x:v>
      </x:c>
      <x:c r="L35" s="6" t="n">
        <x:v>7</x:v>
      </x:c>
      <x:c r="M35" s="11" t="n">
        <x:v>0.7438675213675213</x:v>
      </x:c>
      <x:c r="N35" s="6" t="n">
        <x:v>453000</x:v>
      </x:c>
    </x:row>
    <x:row r="36" ht="24" customHeight="1">
      <x:c r="A36" s="2" t="str">
        <x:v>2026-10-12_Day</x:v>
      </x:c>
      <x:c r="B36" s="6" t="str">
        <x:v>デイ</x:v>
      </x:c>
      <x:c r="C36" s="6" t="n">
        <x:v>182000</x:v>
      </x:c>
      <x:c r="D36" s="6" t="n">
        <x:v>401000</x:v>
      </x:c>
      <x:c r="E36" s="6" t="n">
        <x:f>C36-D36</x:f>
        <x:v>-219000</x:v>
      </x:c>
      <x:c r="F36" s="6" t="n">
        <x:f>F35+E36</x:f>
        <x:v>-17398000</x:v>
      </x:c>
      <x:c r="G36" s="6" t="n">
        <x:v>182000</x:v>
      </x:c>
      <x:c r="H36" s="6" t="n">
        <x:v>401000</x:v>
      </x:c>
      <x:c r="I36" s="6" t="n">
        <x:v>40</x:v>
      </x:c>
      <x:c r="J36" s="6" t="n">
        <x:v>0</x:v>
      </x:c>
      <x:c r="K36" s="6" t="n">
        <x:v>0</x:v>
      </x:c>
      <x:c r="L36" s="6" t="n">
        <x:v>10</x:v>
      </x:c>
      <x:c r="M36" s="11" t="n">
        <x:v>0.6246825396825397</x:v>
      </x:c>
      <x:c r="N36" s="6" t="n">
        <x:v>320000</x:v>
      </x:c>
    </x:row>
    <x:row r="37" ht="24" customHeight="1">
      <x:c r="A37" s="2" t="str">
        <x:v>2026-10-12_Night</x:v>
      </x:c>
      <x:c r="B37" s="6" t="str">
        <x:v>ナイト</x:v>
      </x:c>
      <x:c r="C37" s="6" t="n">
        <x:v>200000</x:v>
      </x:c>
      <x:c r="D37" s="6" t="n">
        <x:v>517000</x:v>
      </x:c>
      <x:c r="E37" s="6" t="n">
        <x:f>C37-D37</x:f>
        <x:v>-317000</x:v>
      </x:c>
      <x:c r="F37" s="6" t="n">
        <x:f>F36+E37</x:f>
        <x:v>-17715000</x:v>
      </x:c>
      <x:c r="G37" s="6" t="n">
        <x:v>200000</x:v>
      </x:c>
      <x:c r="H37" s="6" t="n">
        <x:v>517000</x:v>
      </x:c>
      <x:c r="I37" s="6" t="n">
        <x:v>52</x:v>
      </x:c>
      <x:c r="J37" s="6" t="n">
        <x:v>0</x:v>
      </x:c>
      <x:c r="K37" s="6" t="n">
        <x:v>0</x:v>
      </x:c>
      <x:c r="L37" s="6" t="n">
        <x:v>10</x:v>
      </x:c>
      <x:c r="M37" s="11" t="n">
        <x:v>0.5133974358974359</x:v>
      </x:c>
      <x:c r="N37" s="6" t="n">
        <x:v>374000</x:v>
      </x:c>
    </x:row>
    <x:row r="38" ht="24" customHeight="1">
      <x:c r="A38" s="2" t="str">
        <x:v>2026-10-13_Day</x:v>
      </x:c>
      <x:c r="B38" s="6" t="str">
        <x:v>デイ</x:v>
      </x:c>
      <x:c r="C38" s="6" t="n">
        <x:v>878000</x:v>
      </x:c>
      <x:c r="D38" s="6" t="n">
        <x:v>1624000</x:v>
      </x:c>
      <x:c r="E38" s="6" t="n">
        <x:f>C38-D38</x:f>
        <x:v>-746000</x:v>
      </x:c>
      <x:c r="F38" s="6" t="n">
        <x:f>F37+E38</x:f>
        <x:v>-18461000</x:v>
      </x:c>
      <x:c r="G38" s="6" t="n">
        <x:v>878000</x:v>
      </x:c>
      <x:c r="H38" s="6" t="n">
        <x:v>1624000</x:v>
      </x:c>
      <x:c r="I38" s="6" t="n">
        <x:v>109</x:v>
      </x:c>
      <x:c r="J38" s="6" t="n">
        <x:v>0</x:v>
      </x:c>
      <x:c r="K38" s="6" t="n">
        <x:v>0</x:v>
      </x:c>
      <x:c r="L38" s="6" t="n">
        <x:v>10</x:v>
      </x:c>
      <x:c r="M38" s="11" t="n">
        <x:v>0.8082936507936508</x:v>
      </x:c>
      <x:c r="N38" s="6" t="n">
        <x:v>862000</x:v>
      </x:c>
    </x:row>
    <x:row r="39" ht="24" customHeight="1">
      <x:c r="A39" s="2" t="str">
        <x:v>2026-10-13_Night</x:v>
      </x:c>
      <x:c r="B39" s="6" t="str">
        <x:v>ナイト</x:v>
      </x:c>
      <x:c r="C39" s="6" t="n">
        <x:v>290000</x:v>
      </x:c>
      <x:c r="D39" s="6" t="n">
        <x:v>654000</x:v>
      </x:c>
      <x:c r="E39" s="6" t="n">
        <x:f>C39-D39</x:f>
        <x:v>-364000</x:v>
      </x:c>
      <x:c r="F39" s="6" t="n">
        <x:f>F38+E39</x:f>
        <x:v>-18825000</x:v>
      </x:c>
      <x:c r="G39" s="6" t="n">
        <x:v>290000</x:v>
      </x:c>
      <x:c r="H39" s="6" t="n">
        <x:v>654000</x:v>
      </x:c>
      <x:c r="I39" s="6" t="n">
        <x:v>73</x:v>
      </x:c>
      <x:c r="J39" s="6" t="n">
        <x:v>0</x:v>
      </x:c>
      <x:c r="K39" s="6" t="n">
        <x:v>0</x:v>
      </x:c>
      <x:c r="L39" s="6" t="n">
        <x:v>10</x:v>
      </x:c>
      <x:c r="M39" s="11" t="n">
        <x:v>0.731965811965812</x:v>
      </x:c>
      <x:c r="N39" s="6" t="n">
        <x:v>404000</x:v>
      </x:c>
    </x:row>
    <x:row r="40" ht="24" customHeight="1">
      <x:c r="A40" s="2" t="str">
        <x:v>2026-10-14_Day</x:v>
      </x:c>
      <x:c r="B40" s="6" t="str">
        <x:v>デイ</x:v>
      </x:c>
      <x:c r="C40" s="6" t="n">
        <x:v>664000</x:v>
      </x:c>
      <x:c r="D40" s="6" t="n">
        <x:v>1264000</x:v>
      </x:c>
      <x:c r="E40" s="6" t="n">
        <x:f>C40-D40</x:f>
        <x:v>-600000</x:v>
      </x:c>
      <x:c r="F40" s="6" t="n">
        <x:f>F39+E40</x:f>
        <x:v>-19425000</x:v>
      </x:c>
      <x:c r="G40" s="6" t="n">
        <x:v>664000</x:v>
      </x:c>
      <x:c r="H40" s="6" t="n">
        <x:v>1264000</x:v>
      </x:c>
      <x:c r="I40" s="6" t="n">
        <x:v>98</x:v>
      </x:c>
      <x:c r="J40" s="6" t="n">
        <x:v>0</x:v>
      </x:c>
      <x:c r="K40" s="6" t="n">
        <x:v>0</x:v>
      </x:c>
      <x:c r="L40" s="6" t="n">
        <x:v>10</x:v>
      </x:c>
      <x:c r="M40" s="11" t="n">
        <x:v>0.770952380952381</x:v>
      </x:c>
      <x:c r="N40" s="6" t="n">
        <x:v>713000</x:v>
      </x:c>
    </x:row>
    <x:row r="41" ht="24" customHeight="1">
      <x:c r="A41" s="2" t="str">
        <x:v>2026-10-14_Night</x:v>
      </x:c>
      <x:c r="B41" s="6" t="str">
        <x:v>ナイト</x:v>
      </x:c>
      <x:c r="C41" s="6" t="n">
        <x:v>1421000</x:v>
      </x:c>
      <x:c r="D41" s="6" t="n">
        <x:v>2005000</x:v>
      </x:c>
      <x:c r="E41" s="6" t="n">
        <x:f>C41-D41</x:f>
        <x:v>-584000</x:v>
      </x:c>
      <x:c r="F41" s="6" t="n">
        <x:f>F40+E41</x:f>
        <x:v>-20009000</x:v>
      </x:c>
      <x:c r="G41" s="6" t="n">
        <x:v>1421000</x:v>
      </x:c>
      <x:c r="H41" s="6" t="n">
        <x:v>2005000</x:v>
      </x:c>
      <x:c r="I41" s="6" t="n">
        <x:v>136</x:v>
      </x:c>
      <x:c r="J41" s="6" t="n">
        <x:v>0</x:v>
      </x:c>
      <x:c r="K41" s="6" t="n">
        <x:v>0</x:v>
      </x:c>
      <x:c r="L41" s="6" t="n">
        <x:v>10</x:v>
      </x:c>
      <x:c r="M41" s="11" t="n">
        <x:v>0.8301495726495727</x:v>
      </x:c>
      <x:c r="N41" s="6" t="n">
        <x:v>701000</x:v>
      </x:c>
    </x:row>
    <x:row r="42" ht="24" customHeight="1">
      <x:c r="A42" s="2" t="str">
        <x:v>2026-10-15_Day</x:v>
      </x:c>
      <x:c r="B42" s="6" t="str">
        <x:v>デイ</x:v>
      </x:c>
      <x:c r="C42" s="6" t="n">
        <x:v>2187000</x:v>
      </x:c>
      <x:c r="D42" s="6" t="n">
        <x:v>3375000</x:v>
      </x:c>
      <x:c r="E42" s="6" t="n">
        <x:f>C42-D42</x:f>
        <x:v>-1188000</x:v>
      </x:c>
      <x:c r="F42" s="6" t="n">
        <x:f>F41+E42</x:f>
        <x:v>-21197000</x:v>
      </x:c>
      <x:c r="G42" s="6" t="n">
        <x:v>2187000</x:v>
      </x:c>
      <x:c r="H42" s="6" t="n">
        <x:v>3375000</x:v>
      </x:c>
      <x:c r="I42" s="6" t="n">
        <x:v>188</x:v>
      </x:c>
      <x:c r="J42" s="6" t="n">
        <x:v>0</x:v>
      </x:c>
      <x:c r="K42" s="6" t="n">
        <x:v>0</x:v>
      </x:c>
      <x:c r="L42" s="6" t="n">
        <x:v>10</x:v>
      </x:c>
      <x:c r="M42" s="11" t="n">
        <x:v>0.7950396825396825</x:v>
      </x:c>
      <x:c r="N42" s="6" t="n">
        <x:v>1224000</x:v>
      </x:c>
    </x:row>
    <x:row r="43" ht="24" customHeight="1">
      <x:c r="A43" s="2" t="str">
        <x:v>2026-10-15_Night</x:v>
      </x:c>
      <x:c r="B43" s="6" t="str">
        <x:v>ナイト</x:v>
      </x:c>
      <x:c r="C43" s="6" t="n">
        <x:v>1420000</x:v>
      </x:c>
      <x:c r="D43" s="6" t="n">
        <x:v>2909000</x:v>
      </x:c>
      <x:c r="E43" s="6" t="n">
        <x:f>C43-D43</x:f>
        <x:v>-1489000</x:v>
      </x:c>
      <x:c r="F43" s="6" t="n">
        <x:f>F42+E43</x:f>
        <x:v>-22686000</x:v>
      </x:c>
      <x:c r="G43" s="6" t="n">
        <x:v>1420000</x:v>
      </x:c>
      <x:c r="H43" s="6" t="n">
        <x:v>2909000</x:v>
      </x:c>
      <x:c r="I43" s="6" t="n">
        <x:v>206</x:v>
      </x:c>
      <x:c r="J43" s="6" t="n">
        <x:v>0</x:v>
      </x:c>
      <x:c r="K43" s="6" t="n">
        <x:v>0</x:v>
      </x:c>
      <x:c r="L43" s="6" t="n">
        <x:v>10</x:v>
      </x:c>
      <x:c r="M43" s="11" t="n">
        <x:v>0.7531623931623932</x:v>
      </x:c>
      <x:c r="N43" s="6" t="n">
        <x:v>1561000</x:v>
      </x:c>
    </x:row>
    <x:row r="44" ht="24" customHeight="1">
      <x:c r="A44" s="2" t="str">
        <x:v>2026-10-16_Day</x:v>
      </x:c>
      <x:c r="B44" s="6" t="str">
        <x:v>デイ</x:v>
      </x:c>
      <x:c r="C44" s="6" t="n">
        <x:v>1594000</x:v>
      </x:c>
      <x:c r="D44" s="6" t="n">
        <x:v>2168000</x:v>
      </x:c>
      <x:c r="E44" s="6" t="n">
        <x:f>C44-D44</x:f>
        <x:v>-574000</x:v>
      </x:c>
      <x:c r="F44" s="6" t="n">
        <x:f>F43+E44</x:f>
        <x:v>-23260000</x:v>
      </x:c>
      <x:c r="G44" s="6" t="n">
        <x:v>1594000</x:v>
      </x:c>
      <x:c r="H44" s="6" t="n">
        <x:v>2168000</x:v>
      </x:c>
      <x:c r="I44" s="6" t="n">
        <x:v>146</x:v>
      </x:c>
      <x:c r="J44" s="6" t="n">
        <x:v>0</x:v>
      </x:c>
      <x:c r="K44" s="6" t="n">
        <x:v>0</x:v>
      </x:c>
      <x:c r="L44" s="6" t="n">
        <x:v>10</x:v>
      </x:c>
      <x:c r="M44" s="11" t="n">
        <x:v>0.7998412698412698</x:v>
      </x:c>
      <x:c r="N44" s="6" t="n">
        <x:v>700000</x:v>
      </x:c>
    </x:row>
    <x:row r="45" ht="24" customHeight="1">
      <x:c r="A45" s="2" t="str">
        <x:v>2026-10-16_Night</x:v>
      </x:c>
      <x:c r="B45" s="6" t="str">
        <x:v>ナイト</x:v>
      </x:c>
      <x:c r="C45" s="6" t="n">
        <x:v>1449000</x:v>
      </x:c>
      <x:c r="D45" s="6" t="n">
        <x:v>2757000</x:v>
      </x:c>
      <x:c r="E45" s="6" t="n">
        <x:f>C45-D45</x:f>
        <x:v>-1308000</x:v>
      </x:c>
      <x:c r="F45" s="6" t="n">
        <x:f>F44+E45</x:f>
        <x:v>-24568000</x:v>
      </x:c>
      <x:c r="G45" s="6" t="n">
        <x:v>1449000</x:v>
      </x:c>
      <x:c r="H45" s="6" t="n">
        <x:v>2757000</x:v>
      </x:c>
      <x:c r="I45" s="6" t="n">
        <x:v>206</x:v>
      </x:c>
      <x:c r="J45" s="6" t="n">
        <x:v>0</x:v>
      </x:c>
      <x:c r="K45" s="6" t="n">
        <x:v>0</x:v>
      </x:c>
      <x:c r="L45" s="6" t="n">
        <x:v>10</x:v>
      </x:c>
      <x:c r="M45" s="11" t="n">
        <x:v>0.7506623931623931</x:v>
      </x:c>
      <x:c r="N45" s="6" t="n">
        <x:v>1323000</x:v>
      </x:c>
    </x:row>
    <x:row r="46" ht="24" customHeight="1">
      <x:c r="A46" s="2" t="str">
        <x:v>2026-10-19_Day</x:v>
      </x:c>
      <x:c r="B46" s="6" t="str">
        <x:v>デイ</x:v>
      </x:c>
      <x:c r="C46" s="6" t="n">
        <x:v>1048000</x:v>
      </x:c>
      <x:c r="D46" s="6" t="n">
        <x:v>2026000</x:v>
      </x:c>
      <x:c r="E46" s="6" t="n">
        <x:f>C46-D46</x:f>
        <x:v>-978000</x:v>
      </x:c>
      <x:c r="F46" s="6" t="n">
        <x:f>F45+E46</x:f>
        <x:v>-25546000</x:v>
      </x:c>
      <x:c r="G46" s="6" t="n">
        <x:v>1048000</x:v>
      </x:c>
      <x:c r="H46" s="6" t="n">
        <x:v>2026000</x:v>
      </x:c>
      <x:c r="I46" s="6" t="n">
        <x:v>133</x:v>
      </x:c>
      <x:c r="J46" s="6" t="n">
        <x:v>0</x:v>
      </x:c>
      <x:c r="K46" s="6" t="n">
        <x:v>0</x:v>
      </x:c>
      <x:c r="L46" s="6" t="n">
        <x:v>10</x:v>
      </x:c>
      <x:c r="M46" s="11" t="n">
        <x:v>0.7580555555555556</x:v>
      </x:c>
      <x:c r="N46" s="6" t="n">
        <x:v>1078000</x:v>
      </x:c>
    </x:row>
    <x:row r="47" ht="24" customHeight="1">
      <x:c r="A47" s="2" t="str">
        <x:v>2026-10-19_Night</x:v>
      </x:c>
      <x:c r="B47" s="6" t="str">
        <x:v>ナイト</x:v>
      </x:c>
      <x:c r="C47" s="6" t="n">
        <x:v>796000</x:v>
      </x:c>
      <x:c r="D47" s="6" t="n">
        <x:v>1790000</x:v>
      </x:c>
      <x:c r="E47" s="6" t="n">
        <x:f>C47-D47</x:f>
        <x:v>-994000</x:v>
      </x:c>
      <x:c r="F47" s="6" t="n">
        <x:f>F46+E47</x:f>
        <x:v>-26540000</x:v>
      </x:c>
      <x:c r="G47" s="6" t="n">
        <x:v>796000</x:v>
      </x:c>
      <x:c r="H47" s="6" t="n">
        <x:v>1790000</x:v>
      </x:c>
      <x:c r="I47" s="6" t="n">
        <x:v>144</x:v>
      </x:c>
      <x:c r="J47" s="6" t="n">
        <x:v>0</x:v>
      </x:c>
      <x:c r="K47" s="6" t="n">
        <x:v>0</x:v>
      </x:c>
      <x:c r="L47" s="6" t="n">
        <x:v>10</x:v>
      </x:c>
      <x:c r="M47" s="11" t="n">
        <x:v>0.7441666666666666</x:v>
      </x:c>
      <x:c r="N47" s="6" t="n">
        <x:v>994000</x:v>
      </x:c>
    </x:row>
    <x:row r="48" ht="24" customHeight="1">
      <x:c r="A48" s="2" t="str">
        <x:v>2026-10-20_Day</x:v>
      </x:c>
      <x:c r="B48" s="6" t="str">
        <x:v>デイ</x:v>
      </x:c>
      <x:c r="C48" s="6" t="n">
        <x:v>1331000</x:v>
      </x:c>
      <x:c r="D48" s="6" t="n">
        <x:v>2790000</x:v>
      </x:c>
      <x:c r="E48" s="6" t="n">
        <x:f>C48-D48</x:f>
        <x:v>-1459000</x:v>
      </x:c>
      <x:c r="F48" s="6" t="n">
        <x:f>F47+E48</x:f>
        <x:v>-27999000</x:v>
      </x:c>
      <x:c r="G48" s="6" t="n">
        <x:v>1331000</x:v>
      </x:c>
      <x:c r="H48" s="6" t="n">
        <x:v>2790000</x:v>
      </x:c>
      <x:c r="I48" s="6" t="n">
        <x:v>164</x:v>
      </x:c>
      <x:c r="J48" s="6" t="n">
        <x:v>0</x:v>
      </x:c>
      <x:c r="K48" s="6" t="n">
        <x:v>0</x:v>
      </x:c>
      <x:c r="L48" s="6" t="n">
        <x:v>10</x:v>
      </x:c>
      <x:c r="M48" s="11" t="n">
        <x:v>0.8366269841269841</x:v>
      </x:c>
      <x:c r="N48" s="6" t="n">
        <x:v>1565000</x:v>
      </x:c>
    </x:row>
    <x:row r="49" ht="24" customHeight="1">
      <x:c r="A49" s="2" t="str">
        <x:v>2026-10-20_Night</x:v>
      </x:c>
      <x:c r="B49" s="6" t="str">
        <x:v>ナイト</x:v>
      </x:c>
      <x:c r="C49" s="6" t="n">
        <x:v>1593000</x:v>
      </x:c>
      <x:c r="D49" s="6" t="n">
        <x:v>2364000</x:v>
      </x:c>
      <x:c r="E49" s="6" t="n">
        <x:f>C49-D49</x:f>
        <x:v>-771000</x:v>
      </x:c>
      <x:c r="F49" s="6" t="n">
        <x:f>F48+E49</x:f>
        <x:v>-28770000</x:v>
      </x:c>
      <x:c r="G49" s="6" t="n">
        <x:v>1593000</x:v>
      </x:c>
      <x:c r="H49" s="6" t="n">
        <x:v>2364000</x:v>
      </x:c>
      <x:c r="I49" s="6" t="n">
        <x:v>178</x:v>
      </x:c>
      <x:c r="J49" s="6" t="n">
        <x:v>0</x:v>
      </x:c>
      <x:c r="K49" s="6" t="n">
        <x:v>0</x:v>
      </x:c>
      <x:c r="L49" s="6" t="n">
        <x:v>10</x:v>
      </x:c>
      <x:c r="M49" s="11" t="n">
        <x:v>0.6947222222222222</x:v>
      </x:c>
      <x:c r="N49" s="6" t="n">
        <x:v>1019000</x:v>
      </x:c>
    </x:row>
    <x:row r="50" ht="24" customHeight="1">
      <x:c r="A50" s="2" t="str">
        <x:v>2026-10-21_Day</x:v>
      </x:c>
      <x:c r="B50" s="6" t="str">
        <x:v>デイ</x:v>
      </x:c>
      <x:c r="C50" s="6" t="n">
        <x:v>1297000</x:v>
      </x:c>
      <x:c r="D50" s="6" t="n">
        <x:v>2292000</x:v>
      </x:c>
      <x:c r="E50" s="6" t="n">
        <x:f>C50-D50</x:f>
        <x:v>-995000</x:v>
      </x:c>
      <x:c r="F50" s="6" t="n">
        <x:f>F49+E50</x:f>
        <x:v>-29765000</x:v>
      </x:c>
      <x:c r="G50" s="6" t="n">
        <x:v>1297000</x:v>
      </x:c>
      <x:c r="H50" s="6" t="n">
        <x:v>2292000</x:v>
      </x:c>
      <x:c r="I50" s="6" t="n">
        <x:v>142</x:v>
      </x:c>
      <x:c r="J50" s="6" t="n">
        <x:v>0</x:v>
      </x:c>
      <x:c r="K50" s="6" t="n">
        <x:v>0</x:v>
      </x:c>
      <x:c r="L50" s="6" t="n">
        <x:v>10</x:v>
      </x:c>
      <x:c r="M50" s="11" t="n">
        <x:v>0.8175396825396826</x:v>
      </x:c>
      <x:c r="N50" s="6" t="n">
        <x:v>1109000</x:v>
      </x:c>
    </x:row>
    <x:row r="51" ht="24" customHeight="1">
      <x:c r="A51" s="2" t="str">
        <x:v>2026-10-21_Night</x:v>
      </x:c>
      <x:c r="B51" s="6" t="str">
        <x:v>ナイト</x:v>
      </x:c>
      <x:c r="C51" s="6" t="n">
        <x:v>990000</x:v>
      </x:c>
      <x:c r="D51" s="6" t="n">
        <x:v>1751000</x:v>
      </x:c>
      <x:c r="E51" s="6" t="n">
        <x:f>C51-D51</x:f>
        <x:v>-761000</x:v>
      </x:c>
      <x:c r="F51" s="6" t="n">
        <x:f>F50+E51</x:f>
        <x:v>-30526000</x:v>
      </x:c>
      <x:c r="G51" s="6" t="n">
        <x:v>990000</x:v>
      </x:c>
      <x:c r="H51" s="6" t="n">
        <x:v>1751000</x:v>
      </x:c>
      <x:c r="I51" s="6" t="n">
        <x:v>143</x:v>
      </x:c>
      <x:c r="J51" s="6" t="n">
        <x:v>0</x:v>
      </x:c>
      <x:c r="K51" s="6" t="n">
        <x:v>0</x:v>
      </x:c>
      <x:c r="L51" s="6" t="n">
        <x:v>10</x:v>
      </x:c>
      <x:c r="M51" s="11" t="n">
        <x:v>0.7749358974358974</x:v>
      </x:c>
      <x:c r="N51" s="6" t="n">
        <x:v>904000</x:v>
      </x:c>
    </x:row>
    <x:row r="52" ht="24" customHeight="1">
      <x:c r="A52" s="2" t="str">
        <x:v>2026-10-22_Day</x:v>
      </x:c>
      <x:c r="B52" s="6" t="str">
        <x:v>デイ</x:v>
      </x:c>
      <x:c r="C52" s="6" t="n">
        <x:v>857000</x:v>
      </x:c>
      <x:c r="D52" s="6" t="n">
        <x:v>2121000</x:v>
      </x:c>
      <x:c r="E52" s="6" t="n">
        <x:f>C52-D52</x:f>
        <x:v>-1264000</x:v>
      </x:c>
      <x:c r="F52" s="6" t="n">
        <x:f>F51+E52</x:f>
        <x:v>-31790000</x:v>
      </x:c>
      <x:c r="G52" s="6" t="n">
        <x:v>857000</x:v>
      </x:c>
      <x:c r="H52" s="6" t="n">
        <x:v>2121000</x:v>
      </x:c>
      <x:c r="I52" s="6" t="n">
        <x:v>139</x:v>
      </x:c>
      <x:c r="J52" s="6" t="n">
        <x:v>0</x:v>
      </x:c>
      <x:c r="K52" s="6" t="n">
        <x:v>0</x:v>
      </x:c>
      <x:c r="L52" s="6" t="n">
        <x:v>10</x:v>
      </x:c>
      <x:c r="M52" s="11" t="n">
        <x:v>0.712579365079365</x:v>
      </x:c>
      <x:c r="N52" s="6" t="n">
        <x:v>1358000</x:v>
      </x:c>
    </x:row>
    <x:row r="53" ht="24" customHeight="1">
      <x:c r="A53" s="2" t="str">
        <x:v>2026-10-22_Night</x:v>
      </x:c>
      <x:c r="B53" s="6" t="str">
        <x:v>ナイト</x:v>
      </x:c>
      <x:c r="C53" s="6" t="n">
        <x:v>1463000</x:v>
      </x:c>
      <x:c r="D53" s="6" t="n">
        <x:v>2495000</x:v>
      </x:c>
      <x:c r="E53" s="6" t="n">
        <x:f>C53-D53</x:f>
        <x:v>-1032000</x:v>
      </x:c>
      <x:c r="F53" s="6" t="n">
        <x:f>F52+E53</x:f>
        <x:v>-32822000</x:v>
      </x:c>
      <x:c r="G53" s="6" t="n">
        <x:v>1463000</x:v>
      </x:c>
      <x:c r="H53" s="6" t="n">
        <x:v>2495000</x:v>
      </x:c>
      <x:c r="I53" s="6" t="n">
        <x:v>184</x:v>
      </x:c>
      <x:c r="J53" s="6" t="n">
        <x:v>0</x:v>
      </x:c>
      <x:c r="K53" s="6" t="n">
        <x:v>0</x:v>
      </x:c>
      <x:c r="L53" s="6" t="n">
        <x:v>10</x:v>
      </x:c>
      <x:c r="M53" s="11" t="n">
        <x:v>0.7933333333333333</x:v>
      </x:c>
      <x:c r="N53" s="6" t="n">
        <x:v>1153000</x:v>
      </x:c>
    </x:row>
    <x:row r="54" ht="24" customHeight="1">
      <x:c r="A54" s="2" t="str">
        <x:v>2026-10-23_Day</x:v>
      </x:c>
      <x:c r="B54" s="6" t="str">
        <x:v>デイ</x:v>
      </x:c>
      <x:c r="C54" s="6" t="n">
        <x:v>2578000</x:v>
      </x:c>
      <x:c r="D54" s="6" t="n">
        <x:v>5471000</x:v>
      </x:c>
      <x:c r="E54" s="6" t="n">
        <x:f>C54-D54</x:f>
        <x:v>-2893000</x:v>
      </x:c>
      <x:c r="F54" s="6" t="n">
        <x:f>F53+E54</x:f>
        <x:v>-35715000</x:v>
      </x:c>
      <x:c r="G54" s="6" t="n">
        <x:v>2578000</x:v>
      </x:c>
      <x:c r="H54" s="6" t="n">
        <x:v>5471000</x:v>
      </x:c>
      <x:c r="I54" s="6" t="n">
        <x:v>259</x:v>
      </x:c>
      <x:c r="J54" s="6" t="n">
        <x:v>0</x:v>
      </x:c>
      <x:c r="K54" s="6" t="n">
        <x:v>0</x:v>
      </x:c>
      <x:c r="L54" s="6" t="n">
        <x:v>10</x:v>
      </x:c>
      <x:c r="M54" s="11" t="n">
        <x:v>0.780952380952381</x:v>
      </x:c>
      <x:c r="N54" s="6" t="n">
        <x:v>2919000</x:v>
      </x:c>
    </x:row>
    <x:row r="55" ht="24" customHeight="1">
      <x:c r="A55" s="2" t="str">
        <x:v>2026-10-23_Night</x:v>
      </x:c>
      <x:c r="B55" s="6" t="str">
        <x:v>ナイト</x:v>
      </x:c>
      <x:c r="C55" s="6" t="n">
        <x:v>909000</x:v>
      </x:c>
      <x:c r="D55" s="6" t="n">
        <x:v>2079000</x:v>
      </x:c>
      <x:c r="E55" s="6" t="n">
        <x:f>C55-D55</x:f>
        <x:v>-1170000</x:v>
      </x:c>
      <x:c r="F55" s="6" t="n">
        <x:f>F54+E55</x:f>
        <x:v>-36885000</x:v>
      </x:c>
      <x:c r="G55" s="6" t="n">
        <x:v>909000</x:v>
      </x:c>
      <x:c r="H55" s="6" t="n">
        <x:v>2079000</x:v>
      </x:c>
      <x:c r="I55" s="6" t="n">
        <x:v>176</x:v>
      </x:c>
      <x:c r="J55" s="6" t="n">
        <x:v>0</x:v>
      </x:c>
      <x:c r="K55" s="6" t="n">
        <x:v>0</x:v>
      </x:c>
      <x:c r="L55" s="6" t="n">
        <x:v>10</x:v>
      </x:c>
      <x:c r="M55" s="11" t="n">
        <x:v>0.7532478632478633</x:v>
      </x:c>
      <x:c r="N55" s="6" t="n">
        <x:v>1247000</x:v>
      </x:c>
    </x:row>
    <x:row r="56" ht="24" customHeight="1">
      <x:c r="A56" s="2" t="str">
        <x:v>2026-10-26_Day</x:v>
      </x:c>
      <x:c r="B56" s="6" t="str">
        <x:v>デイ</x:v>
      </x:c>
      <x:c r="C56" s="6" t="n">
        <x:v>1646000</x:v>
      </x:c>
      <x:c r="D56" s="6" t="n">
        <x:v>3133000</x:v>
      </x:c>
      <x:c r="E56" s="6" t="n">
        <x:f>C56-D56</x:f>
        <x:v>-1487000</x:v>
      </x:c>
      <x:c r="F56" s="6" t="n">
        <x:f>F55+E56</x:f>
        <x:v>-38372000</x:v>
      </x:c>
      <x:c r="G56" s="6" t="n">
        <x:v>1646000</x:v>
      </x:c>
      <x:c r="H56" s="6" t="n">
        <x:v>3133000</x:v>
      </x:c>
      <x:c r="I56" s="6" t="n">
        <x:v>179</x:v>
      </x:c>
      <x:c r="J56" s="6" t="n">
        <x:v>0</x:v>
      </x:c>
      <x:c r="K56" s="6" t="n">
        <x:v>0</x:v>
      </x:c>
      <x:c r="L56" s="6" t="n">
        <x:v>10</x:v>
      </x:c>
      <x:c r="M56" s="11" t="n">
        <x:v>0.7869047619047619</x:v>
      </x:c>
      <x:c r="N56" s="6" t="n">
        <x:v>1549000</x:v>
      </x:c>
    </x:row>
    <x:row r="57" ht="24" customHeight="1">
      <x:c r="A57" s="15" t="str">
        <x:v>累計／平均／最大</x:v>
      </x:c>
      <x:c r="B57" s="16"/>
      <x:c r="C57" s="16" t="n">
        <x:f>SUM(C6:C56)</x:f>
        <x:v>44386000</x:v>
      </x:c>
      <x:c r="D57" s="16" t="n">
        <x:f>SUM(D6:D56)</x:f>
        <x:v>82758000</x:v>
      </x:c>
      <x:c r="E57" s="16" t="n">
        <x:f>C57-D57</x:f>
        <x:v>-38372000</x:v>
      </x:c>
      <x:c r="F57" s="16" t="n">
        <x:f>F56</x:f>
        <x:v>-38372000</x:v>
      </x:c>
      <x:c r="G57" s="16" t="n">
        <x:f>SUM(G6:G56)</x:f>
        <x:v>44386000</x:v>
      </x:c>
      <x:c r="H57" s="16" t="n">
        <x:f>SUM(H6:H56)</x:f>
        <x:v>82758000</x:v>
      </x:c>
      <x:c r="I57" s="16" t="n">
        <x:f>SUM(I6:I56)</x:f>
        <x:v>6111</x:v>
      </x:c>
      <x:c r="J57" s="16" t="n">
        <x:f>SUM(J6:J56)</x:f>
        <x:v>0</x:v>
      </x:c>
      <x:c r="K57" s="16" t="n">
        <x:f>SUM(K6:K56)</x:f>
        <x:v>0</x:v>
      </x:c>
      <x:c r="L57" s="16" t="n">
        <x:f>MAX(L6:L56)</x:f>
        <x:v>10</x:v>
      </x:c>
      <x:c r="M57" s="17" t="n">
        <x:f>AVERAGE(M6:M56)</x:f>
        <x:v>0.7448920850391437</x:v>
      </x:c>
      <x:c r="N57" s="16" t="n">
        <x:f>MAX(N6:N56)</x:f>
        <x:v>2919000</x:v>
      </x:c>
    </x:row>
  </x:sheetData>
  <x:conditionalFormatting sqref="E6:F56">
    <x:cfRule type="cellIs" dxfId="27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3e826066d4f4f91"/>
  </x:tableParts>
</x:worksheet>
</file>

<file path=xl/worksheets/sheet30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1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4" customHeight="1">
      <x:c r="A1" s="3" t="str">
        <x:v>日経 M21　各セッションの利益・損失・収支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A2" s="4" t="str">
        <x:v>2026/09/21〜10/26デイ・51完了場。日経mini／TOPIXmini各上限10枚・手数料0。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4" customHeight="1">
      <x:c r="A3" s="4" t="str">
        <x:v>600秒の時間加重平均を60秒前と比較。入口だけ傾き比例枚数、利益追尾＋傾き反転・増勢後の半減で返済。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4" customHeight="1">
      <x:c r="A4" s="4" t="str">
        <x:v>利益・損失＝FIFO返済配賦別。親＝初回から全返済まで。ラージ気配による模型で、mini実約定の検証ではありません。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42" customHeight="1">
      <x:c r="A5" s="10" t="str">
        <x:v>セッション</x:v>
      </x:c>
      <x:c r="B5" s="10" t="str">
        <x:v>区分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親利益（円）</x:v>
      </x:c>
      <x:c r="H5" s="10" t="str">
        <x:v>親損失（円）</x:v>
      </x:c>
      <x:c r="I5" s="10" t="str">
        <x:v>初回件数</x:v>
      </x:c>
      <x:c r="J5" s="10" t="str">
        <x:v>追加件数</x:v>
      </x:c>
      <x:c r="K5" s="10" t="str">
        <x:v>縮小件数</x:v>
      </x:c>
      <x:c r="L5" s="10" t="str">
        <x:v>最大保有枚数</x:v>
      </x:c>
      <x:c r="M5" s="10" t="str">
        <x:v>保有時間率</x:v>
      </x:c>
      <x:c r="N5" s="10" t="str">
        <x:v>時価最大DD（円）</x:v>
      </x:c>
    </x:row>
    <x:row r="6" ht="24" customHeight="1">
      <x:c r="A6" s="2" t="str">
        <x:v>2026-09-21_Day</x:v>
      </x:c>
      <x:c r="B6" s="6" t="str">
        <x:v>デイ</x:v>
      </x:c>
      <x:c r="C6" s="6" t="n">
        <x:v>133000</x:v>
      </x:c>
      <x:c r="D6" s="6" t="n">
        <x:v>435000</x:v>
      </x:c>
      <x:c r="E6" s="6" t="n">
        <x:f>C6-D6</x:f>
        <x:v>-302000</x:v>
      </x:c>
      <x:c r="F6" s="6" t="n">
        <x:f>E6</x:f>
        <x:v>-302000</x:v>
      </x:c>
      <x:c r="G6" s="6" t="n">
        <x:v>133000</x:v>
      </x:c>
      <x:c r="H6" s="6" t="n">
        <x:v>435000</x:v>
      </x:c>
      <x:c r="I6" s="6" t="n">
        <x:v>44</x:v>
      </x:c>
      <x:c r="J6" s="6" t="n">
        <x:v>0</x:v>
      </x:c>
      <x:c r="K6" s="6" t="n">
        <x:v>0</x:v>
      </x:c>
      <x:c r="L6" s="6" t="n">
        <x:v>10</x:v>
      </x:c>
      <x:c r="M6" s="11" t="n">
        <x:v>0.47908730158730156</x:v>
      </x:c>
      <x:c r="N6" s="6" t="n">
        <x:v>332000</x:v>
      </x:c>
    </x:row>
    <x:row r="7" ht="24" customHeight="1">
      <x:c r="A7" s="2" t="str">
        <x:v>2026-09-21_Night</x:v>
      </x:c>
      <x:c r="B7" s="6" t="str">
        <x:v>ナイト</x:v>
      </x:c>
      <x:c r="C7" s="6" t="n">
        <x:v>265000</x:v>
      </x:c>
      <x:c r="D7" s="6" t="n">
        <x:v>326000</x:v>
      </x:c>
      <x:c r="E7" s="6" t="n">
        <x:f>C7-D7</x:f>
        <x:v>-61000</x:v>
      </x:c>
      <x:c r="F7" s="6" t="n">
        <x:f>F6+E7</x:f>
        <x:v>-363000</x:v>
      </x:c>
      <x:c r="G7" s="6" t="n">
        <x:v>265000</x:v>
      </x:c>
      <x:c r="H7" s="6" t="n">
        <x:v>326000</x:v>
      </x:c>
      <x:c r="I7" s="6" t="n">
        <x:v>53</x:v>
      </x:c>
      <x:c r="J7" s="6" t="n">
        <x:v>0</x:v>
      </x:c>
      <x:c r="K7" s="6" t="n">
        <x:v>0</x:v>
      </x:c>
      <x:c r="L7" s="6" t="n">
        <x:v>8</x:v>
      </x:c>
      <x:c r="M7" s="11" t="n">
        <x:v>0.4552777777777778</x:v>
      </x:c>
      <x:c r="N7" s="6" t="n">
        <x:v>158000</x:v>
      </x:c>
    </x:row>
    <x:row r="8" ht="24" customHeight="1">
      <x:c r="A8" s="2" t="str">
        <x:v>2026-09-22_Day</x:v>
      </x:c>
      <x:c r="B8" s="6" t="str">
        <x:v>デイ</x:v>
      </x:c>
      <x:c r="C8" s="6" t="n">
        <x:v>474000</x:v>
      </x:c>
      <x:c r="D8" s="6" t="n">
        <x:v>812000</x:v>
      </x:c>
      <x:c r="E8" s="6" t="n">
        <x:f>C8-D8</x:f>
        <x:v>-338000</x:v>
      </x:c>
      <x:c r="F8" s="6" t="n">
        <x:f>F7+E8</x:f>
        <x:v>-701000</x:v>
      </x:c>
      <x:c r="G8" s="6" t="n">
        <x:v>474000</x:v>
      </x:c>
      <x:c r="H8" s="6" t="n">
        <x:v>812000</x:v>
      </x:c>
      <x:c r="I8" s="6" t="n">
        <x:v>76</x:v>
      </x:c>
      <x:c r="J8" s="6" t="n">
        <x:v>0</x:v>
      </x:c>
      <x:c r="K8" s="6" t="n">
        <x:v>0</x:v>
      </x:c>
      <x:c r="L8" s="6" t="n">
        <x:v>10</x:v>
      </x:c>
      <x:c r="M8" s="11" t="n">
        <x:v>0.692063492063492</x:v>
      </x:c>
      <x:c r="N8" s="6" t="n">
        <x:v>498000</x:v>
      </x:c>
    </x:row>
    <x:row r="9" ht="24" customHeight="1">
      <x:c r="A9" s="2" t="str">
        <x:v>2026-09-22_Night</x:v>
      </x:c>
      <x:c r="B9" s="6" t="str">
        <x:v>ナイト</x:v>
      </x:c>
      <x:c r="C9" s="6" t="n">
        <x:v>690000</x:v>
      </x:c>
      <x:c r="D9" s="6" t="n">
        <x:v>1162000</x:v>
      </x:c>
      <x:c r="E9" s="6" t="n">
        <x:f>C9-D9</x:f>
        <x:v>-472000</x:v>
      </x:c>
      <x:c r="F9" s="6" t="n">
        <x:f>F8+E9</x:f>
        <x:v>-1173000</x:v>
      </x:c>
      <x:c r="G9" s="6" t="n">
        <x:v>690000</x:v>
      </x:c>
      <x:c r="H9" s="6" t="n">
        <x:v>1162000</x:v>
      </x:c>
      <x:c r="I9" s="6" t="n">
        <x:v>99</x:v>
      </x:c>
      <x:c r="J9" s="6" t="n">
        <x:v>0</x:v>
      </x:c>
      <x:c r="K9" s="6" t="n">
        <x:v>0</x:v>
      </x:c>
      <x:c r="L9" s="6" t="n">
        <x:v>10</x:v>
      </x:c>
      <x:c r="M9" s="11" t="n">
        <x:v>0.5686111111111111</x:v>
      </x:c>
      <x:c r="N9" s="6" t="n">
        <x:v>585000</x:v>
      </x:c>
    </x:row>
    <x:row r="10" ht="24" customHeight="1">
      <x:c r="A10" s="2" t="str">
        <x:v>2026-09-23_Day</x:v>
      </x:c>
      <x:c r="B10" s="6" t="str">
        <x:v>デイ</x:v>
      </x:c>
      <x:c r="C10" s="6" t="n">
        <x:v>123000</x:v>
      </x:c>
      <x:c r="D10" s="6" t="n">
        <x:v>301000</x:v>
      </x:c>
      <x:c r="E10" s="6" t="n">
        <x:f>C10-D10</x:f>
        <x:v>-178000</x:v>
      </x:c>
      <x:c r="F10" s="6" t="n">
        <x:f>F9+E10</x:f>
        <x:v>-1351000</x:v>
      </x:c>
      <x:c r="G10" s="6" t="n">
        <x:v>123000</x:v>
      </x:c>
      <x:c r="H10" s="6" t="n">
        <x:v>301000</x:v>
      </x:c>
      <x:c r="I10" s="6" t="n">
        <x:v>50</x:v>
      </x:c>
      <x:c r="J10" s="6" t="n">
        <x:v>0</x:v>
      </x:c>
      <x:c r="K10" s="6" t="n">
        <x:v>0</x:v>
      </x:c>
      <x:c r="L10" s="6" t="n">
        <x:v>10</x:v>
      </x:c>
      <x:c r="M10" s="11" t="n">
        <x:v>0.5294444444444445</x:v>
      </x:c>
      <x:c r="N10" s="6" t="n">
        <x:v>187000</x:v>
      </x:c>
    </x:row>
    <x:row r="11" ht="24" customHeight="1">
      <x:c r="A11" s="2" t="str">
        <x:v>2026-09-23_Night</x:v>
      </x:c>
      <x:c r="B11" s="6" t="str">
        <x:v>ナイト</x:v>
      </x:c>
      <x:c r="C11" s="6" t="n">
        <x:v>309000</x:v>
      </x:c>
      <x:c r="D11" s="6" t="n">
        <x:v>703000</x:v>
      </x:c>
      <x:c r="E11" s="6" t="n">
        <x:f>C11-D11</x:f>
        <x:v>-394000</x:v>
      </x:c>
      <x:c r="F11" s="6" t="n">
        <x:f>F10+E11</x:f>
        <x:v>-1745000</x:v>
      </x:c>
      <x:c r="G11" s="6" t="n">
        <x:v>309000</x:v>
      </x:c>
      <x:c r="H11" s="6" t="n">
        <x:v>703000</x:v>
      </x:c>
      <x:c r="I11" s="6" t="n">
        <x:v>70</x:v>
      </x:c>
      <x:c r="J11" s="6" t="n">
        <x:v>0</x:v>
      </x:c>
      <x:c r="K11" s="6" t="n">
        <x:v>0</x:v>
      </x:c>
      <x:c r="L11" s="6" t="n">
        <x:v>10</x:v>
      </x:c>
      <x:c r="M11" s="11" t="n">
        <x:v>0.6505128205128206</x:v>
      </x:c>
      <x:c r="N11" s="6" t="n">
        <x:v>413000</x:v>
      </x:c>
    </x:row>
    <x:row r="12" ht="24" customHeight="1">
      <x:c r="A12" s="2" t="str">
        <x:v>2026-09-24_Day</x:v>
      </x:c>
      <x:c r="B12" s="6" t="str">
        <x:v>デイ</x:v>
      </x:c>
      <x:c r="C12" s="6" t="n">
        <x:v>846000</x:v>
      </x:c>
      <x:c r="D12" s="6" t="n">
        <x:v>1524000</x:v>
      </x:c>
      <x:c r="E12" s="6" t="n">
        <x:f>C12-D12</x:f>
        <x:v>-678000</x:v>
      </x:c>
      <x:c r="F12" s="6" t="n">
        <x:f>F11+E12</x:f>
        <x:v>-2423000</x:v>
      </x:c>
      <x:c r="G12" s="6" t="n">
        <x:v>846000</x:v>
      </x:c>
      <x:c r="H12" s="6" t="n">
        <x:v>1524000</x:v>
      </x:c>
      <x:c r="I12" s="6" t="n">
        <x:v>122</x:v>
      </x:c>
      <x:c r="J12" s="6" t="n">
        <x:v>0</x:v>
      </x:c>
      <x:c r="K12" s="6" t="n">
        <x:v>0</x:v>
      </x:c>
      <x:c r="L12" s="6" t="n">
        <x:v>10</x:v>
      </x:c>
      <x:c r="M12" s="11" t="n">
        <x:v>0.7957936507936508</x:v>
      </x:c>
      <x:c r="N12" s="6" t="n">
        <x:v>761000</x:v>
      </x:c>
    </x:row>
    <x:row r="13" ht="24" customHeight="1">
      <x:c r="A13" s="2" t="str">
        <x:v>2026-09-24_Night</x:v>
      </x:c>
      <x:c r="B13" s="6" t="str">
        <x:v>ナイト</x:v>
      </x:c>
      <x:c r="C13" s="6" t="n">
        <x:v>931000</x:v>
      </x:c>
      <x:c r="D13" s="6" t="n">
        <x:v>2208000</x:v>
      </x:c>
      <x:c r="E13" s="6" t="n">
        <x:f>C13-D13</x:f>
        <x:v>-1277000</x:v>
      </x:c>
      <x:c r="F13" s="6" t="n">
        <x:f>F12+E13</x:f>
        <x:v>-3700000</x:v>
      </x:c>
      <x:c r="G13" s="6" t="n">
        <x:v>931000</x:v>
      </x:c>
      <x:c r="H13" s="6" t="n">
        <x:v>2208000</x:v>
      </x:c>
      <x:c r="I13" s="6" t="n">
        <x:v>173</x:v>
      </x:c>
      <x:c r="J13" s="6" t="n">
        <x:v>0</x:v>
      </x:c>
      <x:c r="K13" s="6" t="n">
        <x:v>0</x:v>
      </x:c>
      <x:c r="L13" s="6" t="n">
        <x:v>10</x:v>
      </x:c>
      <x:c r="M13" s="11" t="n">
        <x:v>0.7355555555555555</x:v>
      </x:c>
      <x:c r="N13" s="6" t="n">
        <x:v>1331000</x:v>
      </x:c>
    </x:row>
    <x:row r="14" ht="24" customHeight="1">
      <x:c r="A14" s="2" t="str">
        <x:v>2026-09-25_Day</x:v>
      </x:c>
      <x:c r="B14" s="6" t="str">
        <x:v>デイ</x:v>
      </x:c>
      <x:c r="C14" s="6" t="n">
        <x:v>696000</x:v>
      </x:c>
      <x:c r="D14" s="6" t="n">
        <x:v>1183000</x:v>
      </x:c>
      <x:c r="E14" s="6" t="n">
        <x:f>C14-D14</x:f>
        <x:v>-487000</x:v>
      </x:c>
      <x:c r="F14" s="6" t="n">
        <x:f>F13+E14</x:f>
        <x:v>-4187000</x:v>
      </x:c>
      <x:c r="G14" s="6" t="n">
        <x:v>696000</x:v>
      </x:c>
      <x:c r="H14" s="6" t="n">
        <x:v>1183000</x:v>
      </x:c>
      <x:c r="I14" s="6" t="n">
        <x:v>116</x:v>
      </x:c>
      <x:c r="J14" s="6" t="n">
        <x:v>0</x:v>
      </x:c>
      <x:c r="K14" s="6" t="n">
        <x:v>0</x:v>
      </x:c>
      <x:c r="L14" s="6" t="n">
        <x:v>10</x:v>
      </x:c>
      <x:c r="M14" s="11" t="n">
        <x:v>0.7740476190476191</x:v>
      </x:c>
      <x:c r="N14" s="6" t="n">
        <x:v>586000</x:v>
      </x:c>
    </x:row>
    <x:row r="15" ht="24" customHeight="1">
      <x:c r="A15" s="2" t="str">
        <x:v>2026-09-25_Night</x:v>
      </x:c>
      <x:c r="B15" s="6" t="str">
        <x:v>ナイト</x:v>
      </x:c>
      <x:c r="C15" s="6" t="n">
        <x:v>523000</x:v>
      </x:c>
      <x:c r="D15" s="6" t="n">
        <x:v>1170000</x:v>
      </x:c>
      <x:c r="E15" s="6" t="n">
        <x:f>C15-D15</x:f>
        <x:v>-647000</x:v>
      </x:c>
      <x:c r="F15" s="6" t="n">
        <x:f>F14+E15</x:f>
        <x:v>-4834000</x:v>
      </x:c>
      <x:c r="G15" s="6" t="n">
        <x:v>523000</x:v>
      </x:c>
      <x:c r="H15" s="6" t="n">
        <x:v>1170000</x:v>
      </x:c>
      <x:c r="I15" s="6" t="n">
        <x:v>112</x:v>
      </x:c>
      <x:c r="J15" s="6" t="n">
        <x:v>0</x:v>
      </x:c>
      <x:c r="K15" s="6" t="n">
        <x:v>0</x:v>
      </x:c>
      <x:c r="L15" s="6" t="n">
        <x:v>10</x:v>
      </x:c>
      <x:c r="M15" s="11" t="n">
        <x:v>0.6852136752136753</x:v>
      </x:c>
      <x:c r="N15" s="6" t="n">
        <x:v>746000</x:v>
      </x:c>
    </x:row>
    <x:row r="16" ht="24" customHeight="1">
      <x:c r="A16" s="2" t="str">
        <x:v>2026-09-28_Day</x:v>
      </x:c>
      <x:c r="B16" s="6" t="str">
        <x:v>デイ</x:v>
      </x:c>
      <x:c r="C16" s="6" t="n">
        <x:v>1311000</x:v>
      </x:c>
      <x:c r="D16" s="6" t="n">
        <x:v>1744000</x:v>
      </x:c>
      <x:c r="E16" s="6" t="n">
        <x:f>C16-D16</x:f>
        <x:v>-433000</x:v>
      </x:c>
      <x:c r="F16" s="6" t="n">
        <x:f>F15+E16</x:f>
        <x:v>-5267000</x:v>
      </x:c>
      <x:c r="G16" s="6" t="n">
        <x:v>1311000</x:v>
      </x:c>
      <x:c r="H16" s="6" t="n">
        <x:v>1744000</x:v>
      </x:c>
      <x:c r="I16" s="6" t="n">
        <x:v>136</x:v>
      </x:c>
      <x:c r="J16" s="6" t="n">
        <x:v>0</x:v>
      </x:c>
      <x:c r="K16" s="6" t="n">
        <x:v>0</x:v>
      </x:c>
      <x:c r="L16" s="6" t="n">
        <x:v>10</x:v>
      </x:c>
      <x:c r="M16" s="11" t="n">
        <x:v>0.8092460317460317</x:v>
      </x:c>
      <x:c r="N16" s="6" t="n">
        <x:v>710000</x:v>
      </x:c>
    </x:row>
    <x:row r="17" ht="24" customHeight="1">
      <x:c r="A17" s="2" t="str">
        <x:v>2026-09-28_Night</x:v>
      </x:c>
      <x:c r="B17" s="6" t="str">
        <x:v>ナイト</x:v>
      </x:c>
      <x:c r="C17" s="6" t="n">
        <x:v>873000</x:v>
      </x:c>
      <x:c r="D17" s="6" t="n">
        <x:v>1843000</x:v>
      </x:c>
      <x:c r="E17" s="6" t="n">
        <x:f>C17-D17</x:f>
        <x:v>-970000</x:v>
      </x:c>
      <x:c r="F17" s="6" t="n">
        <x:f>F16+E17</x:f>
        <x:v>-6237000</x:v>
      </x:c>
      <x:c r="G17" s="6" t="n">
        <x:v>873000</x:v>
      </x:c>
      <x:c r="H17" s="6" t="n">
        <x:v>1843000</x:v>
      </x:c>
      <x:c r="I17" s="6" t="n">
        <x:v>139</x:v>
      </x:c>
      <x:c r="J17" s="6" t="n">
        <x:v>0</x:v>
      </x:c>
      <x:c r="K17" s="6" t="n">
        <x:v>0</x:v>
      </x:c>
      <x:c r="L17" s="6" t="n">
        <x:v>10</x:v>
      </x:c>
      <x:c r="M17" s="11" t="n">
        <x:v>0.6758760683760684</x:v>
      </x:c>
      <x:c r="N17" s="6" t="n">
        <x:v>1012000</x:v>
      </x:c>
    </x:row>
    <x:row r="18" ht="24" customHeight="1">
      <x:c r="A18" s="2" t="str">
        <x:v>2026-09-29_Day</x:v>
      </x:c>
      <x:c r="B18" s="6" t="str">
        <x:v>デイ</x:v>
      </x:c>
      <x:c r="C18" s="6" t="n">
        <x:v>983000</x:v>
      </x:c>
      <x:c r="D18" s="6" t="n">
        <x:v>2131000</x:v>
      </x:c>
      <x:c r="E18" s="6" t="n">
        <x:f>C18-D18</x:f>
        <x:v>-1148000</x:v>
      </x:c>
      <x:c r="F18" s="6" t="n">
        <x:f>F17+E18</x:f>
        <x:v>-7385000</x:v>
      </x:c>
      <x:c r="G18" s="6" t="n">
        <x:v>983000</x:v>
      </x:c>
      <x:c r="H18" s="6" t="n">
        <x:v>2131000</x:v>
      </x:c>
      <x:c r="I18" s="6" t="n">
        <x:v>144</x:v>
      </x:c>
      <x:c r="J18" s="6" t="n">
        <x:v>0</x:v>
      </x:c>
      <x:c r="K18" s="6" t="n">
        <x:v>0</x:v>
      </x:c>
      <x:c r="L18" s="6" t="n">
        <x:v>10</x:v>
      </x:c>
      <x:c r="M18" s="11" t="n">
        <x:v>0.8056746031746032</x:v>
      </x:c>
      <x:c r="N18" s="6" t="n">
        <x:v>1408000</x:v>
      </x:c>
    </x:row>
    <x:row r="19" ht="24" customHeight="1">
      <x:c r="A19" s="2" t="str">
        <x:v>2026-09-29_Night</x:v>
      </x:c>
      <x:c r="B19" s="6" t="str">
        <x:v>ナイト</x:v>
      </x:c>
      <x:c r="C19" s="6" t="n">
        <x:v>622000</x:v>
      </x:c>
      <x:c r="D19" s="6" t="n">
        <x:v>1127000</x:v>
      </x:c>
      <x:c r="E19" s="6" t="n">
        <x:f>C19-D19</x:f>
        <x:v>-505000</x:v>
      </x:c>
      <x:c r="F19" s="6" t="n">
        <x:f>F18+E19</x:f>
        <x:v>-7890000</x:v>
      </x:c>
      <x:c r="G19" s="6" t="n">
        <x:v>622000</x:v>
      </x:c>
      <x:c r="H19" s="6" t="n">
        <x:v>1127000</x:v>
      </x:c>
      <x:c r="I19" s="6" t="n">
        <x:v>124</x:v>
      </x:c>
      <x:c r="J19" s="6" t="n">
        <x:v>0</x:v>
      </x:c>
      <x:c r="K19" s="6" t="n">
        <x:v>0</x:v>
      </x:c>
      <x:c r="L19" s="6" t="n">
        <x:v>10</x:v>
      </x:c>
      <x:c r="M19" s="11" t="n">
        <x:v>0.6823290598290598</x:v>
      </x:c>
      <x:c r="N19" s="6" t="n">
        <x:v>513000</x:v>
      </x:c>
    </x:row>
    <x:row r="20" ht="24" customHeight="1">
      <x:c r="A20" s="2" t="str">
        <x:v>2026-09-30_Day</x:v>
      </x:c>
      <x:c r="B20" s="6" t="str">
        <x:v>デイ</x:v>
      </x:c>
      <x:c r="C20" s="6" t="n">
        <x:v>861000</x:v>
      </x:c>
      <x:c r="D20" s="6" t="n">
        <x:v>1676000</x:v>
      </x:c>
      <x:c r="E20" s="6" t="n">
        <x:f>C20-D20</x:f>
        <x:v>-815000</x:v>
      </x:c>
      <x:c r="F20" s="6" t="n">
        <x:f>F19+E20</x:f>
        <x:v>-8705000</x:v>
      </x:c>
      <x:c r="G20" s="6" t="n">
        <x:v>861000</x:v>
      </x:c>
      <x:c r="H20" s="6" t="n">
        <x:v>1676000</x:v>
      </x:c>
      <x:c r="I20" s="6" t="n">
        <x:v>123</x:v>
      </x:c>
      <x:c r="J20" s="6" t="n">
        <x:v>0</x:v>
      </x:c>
      <x:c r="K20" s="6" t="n">
        <x:v>0</x:v>
      </x:c>
      <x:c r="L20" s="6" t="n">
        <x:v>10</x:v>
      </x:c>
      <x:c r="M20" s="11" t="n">
        <x:v>0.8169444444444445</x:v>
      </x:c>
      <x:c r="N20" s="6" t="n">
        <x:v>873000</x:v>
      </x:c>
    </x:row>
    <x:row r="21" ht="24" customHeight="1">
      <x:c r="A21" s="2" t="str">
        <x:v>2026-09-30_Night</x:v>
      </x:c>
      <x:c r="B21" s="6" t="str">
        <x:v>ナイト</x:v>
      </x:c>
      <x:c r="C21" s="6" t="n">
        <x:v>958000</x:v>
      </x:c>
      <x:c r="D21" s="6" t="n">
        <x:v>1861000</x:v>
      </x:c>
      <x:c r="E21" s="6" t="n">
        <x:f>C21-D21</x:f>
        <x:v>-903000</x:v>
      </x:c>
      <x:c r="F21" s="6" t="n">
        <x:f>F20+E21</x:f>
        <x:v>-9608000</x:v>
      </x:c>
      <x:c r="G21" s="6" t="n">
        <x:v>958000</x:v>
      </x:c>
      <x:c r="H21" s="6" t="n">
        <x:v>1861000</x:v>
      </x:c>
      <x:c r="I21" s="6" t="n">
        <x:v>158</x:v>
      </x:c>
      <x:c r="J21" s="6" t="n">
        <x:v>0</x:v>
      </x:c>
      <x:c r="K21" s="6" t="n">
        <x:v>0</x:v>
      </x:c>
      <x:c r="L21" s="6" t="n">
        <x:v>10</x:v>
      </x:c>
      <x:c r="M21" s="11" t="n">
        <x:v>0.7340384615384615</x:v>
      </x:c>
      <x:c r="N21" s="6" t="n">
        <x:v>1022000</x:v>
      </x:c>
    </x:row>
    <x:row r="22" ht="24" customHeight="1">
      <x:c r="A22" s="2" t="str">
        <x:v>2026-10-01_Day</x:v>
      </x:c>
      <x:c r="B22" s="6" t="str">
        <x:v>デイ</x:v>
      </x:c>
      <x:c r="C22" s="6" t="n">
        <x:v>909000</x:v>
      </x:c>
      <x:c r="D22" s="6" t="n">
        <x:v>1235000</x:v>
      </x:c>
      <x:c r="E22" s="6" t="n">
        <x:f>C22-D22</x:f>
        <x:v>-326000</x:v>
      </x:c>
      <x:c r="F22" s="6" t="n">
        <x:f>F21+E22</x:f>
        <x:v>-9934000</x:v>
      </x:c>
      <x:c r="G22" s="6" t="n">
        <x:v>909000</x:v>
      </x:c>
      <x:c r="H22" s="6" t="n">
        <x:v>1235000</x:v>
      </x:c>
      <x:c r="I22" s="6" t="n">
        <x:v>102</x:v>
      </x:c>
      <x:c r="J22" s="6" t="n">
        <x:v>0</x:v>
      </x:c>
      <x:c r="K22" s="6" t="n">
        <x:v>0</x:v>
      </x:c>
      <x:c r="L22" s="6" t="n">
        <x:v>10</x:v>
      </x:c>
      <x:c r="M22" s="11" t="n">
        <x:v>0.7917857142857143</x:v>
      </x:c>
      <x:c r="N22" s="6" t="n">
        <x:v>476000</x:v>
      </x:c>
    </x:row>
    <x:row r="23" ht="24" customHeight="1">
      <x:c r="A23" s="2" t="str">
        <x:v>2026-10-01_Night</x:v>
      </x:c>
      <x:c r="B23" s="6" t="str">
        <x:v>ナイト</x:v>
      </x:c>
      <x:c r="C23" s="6" t="n">
        <x:v>1238000</x:v>
      </x:c>
      <x:c r="D23" s="6" t="n">
        <x:v>2175000</x:v>
      </x:c>
      <x:c r="E23" s="6" t="n">
        <x:f>C23-D23</x:f>
        <x:v>-937000</x:v>
      </x:c>
      <x:c r="F23" s="6" t="n">
        <x:f>F22+E23</x:f>
        <x:v>-10871000</x:v>
      </x:c>
      <x:c r="G23" s="6" t="n">
        <x:v>1238000</x:v>
      </x:c>
      <x:c r="H23" s="6" t="n">
        <x:v>2175000</x:v>
      </x:c>
      <x:c r="I23" s="6" t="n">
        <x:v>162</x:v>
      </x:c>
      <x:c r="J23" s="6" t="n">
        <x:v>0</x:v>
      </x:c>
      <x:c r="K23" s="6" t="n">
        <x:v>0</x:v>
      </x:c>
      <x:c r="L23" s="6" t="n">
        <x:v>10</x:v>
      </x:c>
      <x:c r="M23" s="11" t="n">
        <x:v>0.7654059829059829</x:v>
      </x:c>
      <x:c r="N23" s="6" t="n">
        <x:v>1112000</x:v>
      </x:c>
    </x:row>
    <x:row r="24" ht="24" customHeight="1">
      <x:c r="A24" s="2" t="str">
        <x:v>2026-10-02_Day</x:v>
      </x:c>
      <x:c r="B24" s="6" t="str">
        <x:v>デイ</x:v>
      </x:c>
      <x:c r="C24" s="6" t="n">
        <x:v>535000</x:v>
      </x:c>
      <x:c r="D24" s="6" t="n">
        <x:v>1617000</x:v>
      </x:c>
      <x:c r="E24" s="6" t="n">
        <x:f>C24-D24</x:f>
        <x:v>-1082000</x:v>
      </x:c>
      <x:c r="F24" s="6" t="n">
        <x:f>F23+E24</x:f>
        <x:v>-11953000</x:v>
      </x:c>
      <x:c r="G24" s="6" t="n">
        <x:v>535000</x:v>
      </x:c>
      <x:c r="H24" s="6" t="n">
        <x:v>1617000</x:v>
      </x:c>
      <x:c r="I24" s="6" t="n">
        <x:v>113</x:v>
      </x:c>
      <x:c r="J24" s="6" t="n">
        <x:v>0</x:v>
      </x:c>
      <x:c r="K24" s="6" t="n">
        <x:v>0</x:v>
      </x:c>
      <x:c r="L24" s="6" t="n">
        <x:v>10</x:v>
      </x:c>
      <x:c r="M24" s="11" t="n">
        <x:v>0.7658730158730159</x:v>
      </x:c>
      <x:c r="N24" s="6" t="n">
        <x:v>1276000</x:v>
      </x:c>
    </x:row>
    <x:row r="25" ht="24" customHeight="1">
      <x:c r="A25" s="2" t="str">
        <x:v>2026-10-02_Night</x:v>
      </x:c>
      <x:c r="B25" s="6" t="str">
        <x:v>ナイト</x:v>
      </x:c>
      <x:c r="C25" s="6" t="n">
        <x:v>903000</x:v>
      </x:c>
      <x:c r="D25" s="6" t="n">
        <x:v>1680000</x:v>
      </x:c>
      <x:c r="E25" s="6" t="n">
        <x:f>C25-D25</x:f>
        <x:v>-777000</x:v>
      </x:c>
      <x:c r="F25" s="6" t="n">
        <x:f>F24+E25</x:f>
        <x:v>-12730000</x:v>
      </x:c>
      <x:c r="G25" s="6" t="n">
        <x:v>903000</x:v>
      </x:c>
      <x:c r="H25" s="6" t="n">
        <x:v>1680000</x:v>
      </x:c>
      <x:c r="I25" s="6" t="n">
        <x:v>135</x:v>
      </x:c>
      <x:c r="J25" s="6" t="n">
        <x:v>0</x:v>
      </x:c>
      <x:c r="K25" s="6" t="n">
        <x:v>0</x:v>
      </x:c>
      <x:c r="L25" s="6" t="n">
        <x:v>10</x:v>
      </x:c>
      <x:c r="M25" s="11" t="n">
        <x:v>0.7553418803418803</x:v>
      </x:c>
      <x:c r="N25" s="6" t="n">
        <x:v>1025000</x:v>
      </x:c>
    </x:row>
    <x:row r="26" ht="24" customHeight="1">
      <x:c r="A26" s="2" t="str">
        <x:v>2026-10-05_Day</x:v>
      </x:c>
      <x:c r="B26" s="6" t="str">
        <x:v>デイ</x:v>
      </x:c>
      <x:c r="C26" s="6" t="n">
        <x:v>472000</x:v>
      </x:c>
      <x:c r="D26" s="6" t="n">
        <x:v>1111000</x:v>
      </x:c>
      <x:c r="E26" s="6" t="n">
        <x:f>C26-D26</x:f>
        <x:v>-639000</x:v>
      </x:c>
      <x:c r="F26" s="6" t="n">
        <x:f>F25+E26</x:f>
        <x:v>-13369000</x:v>
      </x:c>
      <x:c r="G26" s="6" t="n">
        <x:v>472000</x:v>
      </x:c>
      <x:c r="H26" s="6" t="n">
        <x:v>1111000</x:v>
      </x:c>
      <x:c r="I26" s="6" t="n">
        <x:v>95</x:v>
      </x:c>
      <x:c r="J26" s="6" t="n">
        <x:v>0</x:v>
      </x:c>
      <x:c r="K26" s="6" t="n">
        <x:v>0</x:v>
      </x:c>
      <x:c r="L26" s="6" t="n">
        <x:v>10</x:v>
      </x:c>
      <x:c r="M26" s="11" t="n">
        <x:v>0.8315873015873015</x:v>
      </x:c>
      <x:c r="N26" s="6" t="n">
        <x:v>682000</x:v>
      </x:c>
    </x:row>
    <x:row r="27" ht="24" customHeight="1">
      <x:c r="A27" s="2" t="str">
        <x:v>2026-10-05_Night</x:v>
      </x:c>
      <x:c r="B27" s="6" t="str">
        <x:v>ナイト</x:v>
      </x:c>
      <x:c r="C27" s="6" t="n">
        <x:v>537000</x:v>
      </x:c>
      <x:c r="D27" s="6" t="n">
        <x:v>986000</x:v>
      </x:c>
      <x:c r="E27" s="6" t="n">
        <x:f>C27-D27</x:f>
        <x:v>-449000</x:v>
      </x:c>
      <x:c r="F27" s="6" t="n">
        <x:f>F26+E27</x:f>
        <x:v>-13818000</x:v>
      </x:c>
      <x:c r="G27" s="6" t="n">
        <x:v>537000</x:v>
      </x:c>
      <x:c r="H27" s="6" t="n">
        <x:v>986000</x:v>
      </x:c>
      <x:c r="I27" s="6" t="n">
        <x:v>111</x:v>
      </x:c>
      <x:c r="J27" s="6" t="n">
        <x:v>0</x:v>
      </x:c>
      <x:c r="K27" s="6" t="n">
        <x:v>0</x:v>
      </x:c>
      <x:c r="L27" s="6" t="n">
        <x:v>10</x:v>
      </x:c>
      <x:c r="M27" s="11" t="n">
        <x:v>0.7260470085470085</x:v>
      </x:c>
      <x:c r="N27" s="6" t="n">
        <x:v>504000</x:v>
      </x:c>
    </x:row>
    <x:row r="28" ht="24" customHeight="1">
      <x:c r="A28" s="2" t="str">
        <x:v>2026-10-06_Day</x:v>
      </x:c>
      <x:c r="B28" s="6" t="str">
        <x:v>デイ</x:v>
      </x:c>
      <x:c r="C28" s="6" t="n">
        <x:v>308000</x:v>
      </x:c>
      <x:c r="D28" s="6" t="n">
        <x:v>948000</x:v>
      </x:c>
      <x:c r="E28" s="6" t="n">
        <x:f>C28-D28</x:f>
        <x:v>-640000</x:v>
      </x:c>
      <x:c r="F28" s="6" t="n">
        <x:f>F27+E28</x:f>
        <x:v>-14458000</x:v>
      </x:c>
      <x:c r="G28" s="6" t="n">
        <x:v>308000</x:v>
      </x:c>
      <x:c r="H28" s="6" t="n">
        <x:v>948000</x:v>
      </x:c>
      <x:c r="I28" s="6" t="n">
        <x:v>88</x:v>
      </x:c>
      <x:c r="J28" s="6" t="n">
        <x:v>0</x:v>
      </x:c>
      <x:c r="K28" s="6" t="n">
        <x:v>0</x:v>
      </x:c>
      <x:c r="L28" s="6" t="n">
        <x:v>10</x:v>
      </x:c>
      <x:c r="M28" s="11" t="n">
        <x:v>0.6986111111111111</x:v>
      </x:c>
      <x:c r="N28" s="6" t="n">
        <x:v>684000</x:v>
      </x:c>
    </x:row>
    <x:row r="29" ht="24" customHeight="1">
      <x:c r="A29" s="2" t="str">
        <x:v>2026-10-06_Night</x:v>
      </x:c>
      <x:c r="B29" s="6" t="str">
        <x:v>ナイト</x:v>
      </x:c>
      <x:c r="C29" s="6" t="n">
        <x:v>290000</x:v>
      </x:c>
      <x:c r="D29" s="6" t="n">
        <x:v>416000</x:v>
      </x:c>
      <x:c r="E29" s="6" t="n">
        <x:f>C29-D29</x:f>
        <x:v>-126000</x:v>
      </x:c>
      <x:c r="F29" s="6" t="n">
        <x:f>F28+E29</x:f>
        <x:v>-14584000</x:v>
      </x:c>
      <x:c r="G29" s="6" t="n">
        <x:v>290000</x:v>
      </x:c>
      <x:c r="H29" s="6" t="n">
        <x:v>416000</x:v>
      </x:c>
      <x:c r="I29" s="6" t="n">
        <x:v>80</x:v>
      </x:c>
      <x:c r="J29" s="6" t="n">
        <x:v>0</x:v>
      </x:c>
      <x:c r="K29" s="6" t="n">
        <x:v>0</x:v>
      </x:c>
      <x:c r="L29" s="6" t="n">
        <x:v>9</x:v>
      </x:c>
      <x:c r="M29" s="11" t="n">
        <x:v>0.6675427350427351</x:v>
      </x:c>
      <x:c r="N29" s="6" t="n">
        <x:v>211000</x:v>
      </x:c>
    </x:row>
    <x:row r="30" ht="24" customHeight="1">
      <x:c r="A30" s="2" t="str">
        <x:v>2026-10-07_Day</x:v>
      </x:c>
      <x:c r="B30" s="6" t="str">
        <x:v>デイ</x:v>
      </x:c>
      <x:c r="C30" s="6" t="n">
        <x:v>348000</x:v>
      </x:c>
      <x:c r="D30" s="6" t="n">
        <x:v>659000</x:v>
      </x:c>
      <x:c r="E30" s="6" t="n">
        <x:f>C30-D30</x:f>
        <x:v>-311000</x:v>
      </x:c>
      <x:c r="F30" s="6" t="n">
        <x:f>F29+E30</x:f>
        <x:v>-14895000</x:v>
      </x:c>
      <x:c r="G30" s="6" t="n">
        <x:v>348000</x:v>
      </x:c>
      <x:c r="H30" s="6" t="n">
        <x:v>659000</x:v>
      </x:c>
      <x:c r="I30" s="6" t="n">
        <x:v>81</x:v>
      </x:c>
      <x:c r="J30" s="6" t="n">
        <x:v>0</x:v>
      </x:c>
      <x:c r="K30" s="6" t="n">
        <x:v>0</x:v>
      </x:c>
      <x:c r="L30" s="6" t="n">
        <x:v>10</x:v>
      </x:c>
      <x:c r="M30" s="11" t="n">
        <x:v>0.7852777777777777</x:v>
      </x:c>
      <x:c r="N30" s="6" t="n">
        <x:v>351000</x:v>
      </x:c>
    </x:row>
    <x:row r="31" ht="24" customHeight="1">
      <x:c r="A31" s="2" t="str">
        <x:v>2026-10-07_Night</x:v>
      </x:c>
      <x:c r="B31" s="6" t="str">
        <x:v>ナイト</x:v>
      </x:c>
      <x:c r="C31" s="6" t="n">
        <x:v>368000</x:v>
      </x:c>
      <x:c r="D31" s="6" t="n">
        <x:v>802000</x:v>
      </x:c>
      <x:c r="E31" s="6" t="n">
        <x:f>C31-D31</x:f>
        <x:v>-434000</x:v>
      </x:c>
      <x:c r="F31" s="6" t="n">
        <x:f>F30+E31</x:f>
        <x:v>-15329000</x:v>
      </x:c>
      <x:c r="G31" s="6" t="n">
        <x:v>368000</x:v>
      </x:c>
      <x:c r="H31" s="6" t="n">
        <x:v>802000</x:v>
      </x:c>
      <x:c r="I31" s="6" t="n">
        <x:v>119</x:v>
      </x:c>
      <x:c r="J31" s="6" t="n">
        <x:v>0</x:v>
      </x:c>
      <x:c r="K31" s="6" t="n">
        <x:v>0</x:v>
      </x:c>
      <x:c r="L31" s="6" t="n">
        <x:v>10</x:v>
      </x:c>
      <x:c r="M31" s="11" t="n">
        <x:v>0.8130555555555555</x:v>
      </x:c>
      <x:c r="N31" s="6" t="n">
        <x:v>438000</x:v>
      </x:c>
    </x:row>
    <x:row r="32" ht="24" customHeight="1">
      <x:c r="A32" s="2" t="str">
        <x:v>2026-10-08_Day</x:v>
      </x:c>
      <x:c r="B32" s="6" t="str">
        <x:v>デイ</x:v>
      </x:c>
      <x:c r="C32" s="6" t="n">
        <x:v>971000</x:v>
      </x:c>
      <x:c r="D32" s="6" t="n">
        <x:v>1333000</x:v>
      </x:c>
      <x:c r="E32" s="6" t="n">
        <x:f>C32-D32</x:f>
        <x:v>-362000</x:v>
      </x:c>
      <x:c r="F32" s="6" t="n">
        <x:f>F31+E32</x:f>
        <x:v>-15691000</x:v>
      </x:c>
      <x:c r="G32" s="6" t="n">
        <x:v>971000</x:v>
      </x:c>
      <x:c r="H32" s="6" t="n">
        <x:v>1333000</x:v>
      </x:c>
      <x:c r="I32" s="6" t="n">
        <x:v>114</x:v>
      </x:c>
      <x:c r="J32" s="6" t="n">
        <x:v>0</x:v>
      </x:c>
      <x:c r="K32" s="6" t="n">
        <x:v>0</x:v>
      </x:c>
      <x:c r="L32" s="6" t="n">
        <x:v>10</x:v>
      </x:c>
      <x:c r="M32" s="11" t="n">
        <x:v>0.8003571428571429</x:v>
      </x:c>
      <x:c r="N32" s="6" t="n">
        <x:v>628000</x:v>
      </x:c>
    </x:row>
    <x:row r="33" ht="24" customHeight="1">
      <x:c r="A33" s="2" t="str">
        <x:v>2026-10-08_Night</x:v>
      </x:c>
      <x:c r="B33" s="6" t="str">
        <x:v>ナイト</x:v>
      </x:c>
      <x:c r="C33" s="6" t="n">
        <x:v>1176000</x:v>
      </x:c>
      <x:c r="D33" s="6" t="n">
        <x:v>2062000</x:v>
      </x:c>
      <x:c r="E33" s="6" t="n">
        <x:f>C33-D33</x:f>
        <x:v>-886000</x:v>
      </x:c>
      <x:c r="F33" s="6" t="n">
        <x:f>F32+E33</x:f>
        <x:v>-16577000</x:v>
      </x:c>
      <x:c r="G33" s="6" t="n">
        <x:v>1176000</x:v>
      </x:c>
      <x:c r="H33" s="6" t="n">
        <x:v>2062000</x:v>
      </x:c>
      <x:c r="I33" s="6" t="n">
        <x:v>157</x:v>
      </x:c>
      <x:c r="J33" s="6" t="n">
        <x:v>0</x:v>
      </x:c>
      <x:c r="K33" s="6" t="n">
        <x:v>0</x:v>
      </x:c>
      <x:c r="L33" s="6" t="n">
        <x:v>10</x:v>
      </x:c>
      <x:c r="M33" s="11" t="n">
        <x:v>0.7900641025641025</x:v>
      </x:c>
      <x:c r="N33" s="6" t="n">
        <x:v>993000</x:v>
      </x:c>
    </x:row>
    <x:row r="34" ht="24" customHeight="1">
      <x:c r="A34" s="2" t="str">
        <x:v>2026-10-09_Day</x:v>
      </x:c>
      <x:c r="B34" s="6" t="str">
        <x:v>デイ</x:v>
      </x:c>
      <x:c r="C34" s="6" t="n">
        <x:v>852000</x:v>
      </x:c>
      <x:c r="D34" s="6" t="n">
        <x:v>1461000</x:v>
      </x:c>
      <x:c r="E34" s="6" t="n">
        <x:f>C34-D34</x:f>
        <x:v>-609000</x:v>
      </x:c>
      <x:c r="F34" s="6" t="n">
        <x:f>F33+E34</x:f>
        <x:v>-17186000</x:v>
      </x:c>
      <x:c r="G34" s="6" t="n">
        <x:v>852000</x:v>
      </x:c>
      <x:c r="H34" s="6" t="n">
        <x:v>1461000</x:v>
      </x:c>
      <x:c r="I34" s="6" t="n">
        <x:v>97</x:v>
      </x:c>
      <x:c r="J34" s="6" t="n">
        <x:v>0</x:v>
      </x:c>
      <x:c r="K34" s="6" t="n">
        <x:v>0</x:v>
      </x:c>
      <x:c r="L34" s="6" t="n">
        <x:v>10</x:v>
      </x:c>
      <x:c r="M34" s="11" t="n">
        <x:v>0.7886111111111112</x:v>
      </x:c>
      <x:c r="N34" s="6" t="n">
        <x:v>708000</x:v>
      </x:c>
    </x:row>
    <x:row r="35" ht="24" customHeight="1">
      <x:c r="A35" s="2" t="str">
        <x:v>2026-10-09_Night</x:v>
      </x:c>
      <x:c r="B35" s="6" t="str">
        <x:v>ナイト</x:v>
      </x:c>
      <x:c r="C35" s="6" t="n">
        <x:v>167000</x:v>
      </x:c>
      <x:c r="D35" s="6" t="n">
        <x:v>612000</x:v>
      </x:c>
      <x:c r="E35" s="6" t="n">
        <x:f>C35-D35</x:f>
        <x:v>-445000</x:v>
      </x:c>
      <x:c r="F35" s="6" t="n">
        <x:f>F34+E35</x:f>
        <x:v>-17631000</x:v>
      </x:c>
      <x:c r="G35" s="6" t="n">
        <x:v>167000</x:v>
      </x:c>
      <x:c r="H35" s="6" t="n">
        <x:v>612000</x:v>
      </x:c>
      <x:c r="I35" s="6" t="n">
        <x:v>89</x:v>
      </x:c>
      <x:c r="J35" s="6" t="n">
        <x:v>0</x:v>
      </x:c>
      <x:c r="K35" s="6" t="n">
        <x:v>0</x:v>
      </x:c>
      <x:c r="L35" s="6" t="n">
        <x:v>7</x:v>
      </x:c>
      <x:c r="M35" s="11" t="n">
        <x:v>0.7287820512820513</x:v>
      </x:c>
      <x:c r="N35" s="6" t="n">
        <x:v>470000</x:v>
      </x:c>
    </x:row>
    <x:row r="36" ht="24" customHeight="1">
      <x:c r="A36" s="2" t="str">
        <x:v>2026-10-12_Day</x:v>
      </x:c>
      <x:c r="B36" s="6" t="str">
        <x:v>デイ</x:v>
      </x:c>
      <x:c r="C36" s="6" t="n">
        <x:v>183000</x:v>
      </x:c>
      <x:c r="D36" s="6" t="n">
        <x:v>416000</x:v>
      </x:c>
      <x:c r="E36" s="6" t="n">
        <x:f>C36-D36</x:f>
        <x:v>-233000</x:v>
      </x:c>
      <x:c r="F36" s="6" t="n">
        <x:f>F35+E36</x:f>
        <x:v>-17864000</x:v>
      </x:c>
      <x:c r="G36" s="6" t="n">
        <x:v>183000</x:v>
      </x:c>
      <x:c r="H36" s="6" t="n">
        <x:v>416000</x:v>
      </x:c>
      <x:c r="I36" s="6" t="n">
        <x:v>47</x:v>
      </x:c>
      <x:c r="J36" s="6" t="n">
        <x:v>0</x:v>
      </x:c>
      <x:c r="K36" s="6" t="n">
        <x:v>0</x:v>
      </x:c>
      <x:c r="L36" s="6" t="n">
        <x:v>10</x:v>
      </x:c>
      <x:c r="M36" s="11" t="n">
        <x:v>0.6115873015873016</x:v>
      </x:c>
      <x:c r="N36" s="6" t="n">
        <x:v>359000</x:v>
      </x:c>
    </x:row>
    <x:row r="37" ht="24" customHeight="1">
      <x:c r="A37" s="2" t="str">
        <x:v>2026-10-12_Night</x:v>
      </x:c>
      <x:c r="B37" s="6" t="str">
        <x:v>ナイト</x:v>
      </x:c>
      <x:c r="C37" s="6" t="n">
        <x:v>192000</x:v>
      </x:c>
      <x:c r="D37" s="6" t="n">
        <x:v>569000</x:v>
      </x:c>
      <x:c r="E37" s="6" t="n">
        <x:f>C37-D37</x:f>
        <x:v>-377000</x:v>
      </x:c>
      <x:c r="F37" s="6" t="n">
        <x:f>F36+E37</x:f>
        <x:v>-18241000</x:v>
      </x:c>
      <x:c r="G37" s="6" t="n">
        <x:v>192000</x:v>
      </x:c>
      <x:c r="H37" s="6" t="n">
        <x:v>569000</x:v>
      </x:c>
      <x:c r="I37" s="6" t="n">
        <x:v>62</x:v>
      </x:c>
      <x:c r="J37" s="6" t="n">
        <x:v>0</x:v>
      </x:c>
      <x:c r="K37" s="6" t="n">
        <x:v>0</x:v>
      </x:c>
      <x:c r="L37" s="6" t="n">
        <x:v>10</x:v>
      </x:c>
      <x:c r="M37" s="11" t="n">
        <x:v>0.5420512820512821</x:v>
      </x:c>
      <x:c r="N37" s="6" t="n">
        <x:v>416000</x:v>
      </x:c>
    </x:row>
    <x:row r="38" ht="24" customHeight="1">
      <x:c r="A38" s="2" t="str">
        <x:v>2026-10-13_Day</x:v>
      </x:c>
      <x:c r="B38" s="6" t="str">
        <x:v>デイ</x:v>
      </x:c>
      <x:c r="C38" s="6" t="n">
        <x:v>880000</x:v>
      </x:c>
      <x:c r="D38" s="6" t="n">
        <x:v>1683000</x:v>
      </x:c>
      <x:c r="E38" s="6" t="n">
        <x:f>C38-D38</x:f>
        <x:v>-803000</x:v>
      </x:c>
      <x:c r="F38" s="6" t="n">
        <x:f>F37+E38</x:f>
        <x:v>-19044000</x:v>
      </x:c>
      <x:c r="G38" s="6" t="n">
        <x:v>880000</x:v>
      </x:c>
      <x:c r="H38" s="6" t="n">
        <x:v>1683000</x:v>
      </x:c>
      <x:c r="I38" s="6" t="n">
        <x:v>121</x:v>
      </x:c>
      <x:c r="J38" s="6" t="n">
        <x:v>0</x:v>
      </x:c>
      <x:c r="K38" s="6" t="n">
        <x:v>0</x:v>
      </x:c>
      <x:c r="L38" s="6" t="n">
        <x:v>10</x:v>
      </x:c>
      <x:c r="M38" s="11" t="n">
        <x:v>0.7867857142857143</x:v>
      </x:c>
      <x:c r="N38" s="6" t="n">
        <x:v>919000</x:v>
      </x:c>
    </x:row>
    <x:row r="39" ht="24" customHeight="1">
      <x:c r="A39" s="2" t="str">
        <x:v>2026-10-13_Night</x:v>
      </x:c>
      <x:c r="B39" s="6" t="str">
        <x:v>ナイト</x:v>
      </x:c>
      <x:c r="C39" s="6" t="n">
        <x:v>296000</x:v>
      </x:c>
      <x:c r="D39" s="6" t="n">
        <x:v>721000</x:v>
      </x:c>
      <x:c r="E39" s="6" t="n">
        <x:f>C39-D39</x:f>
        <x:v>-425000</x:v>
      </x:c>
      <x:c r="F39" s="6" t="n">
        <x:f>F38+E39</x:f>
        <x:v>-19469000</x:v>
      </x:c>
      <x:c r="G39" s="6" t="n">
        <x:v>296000</x:v>
      </x:c>
      <x:c r="H39" s="6" t="n">
        <x:v>721000</x:v>
      </x:c>
      <x:c r="I39" s="6" t="n">
        <x:v>86</x:v>
      </x:c>
      <x:c r="J39" s="6" t="n">
        <x:v>0</x:v>
      </x:c>
      <x:c r="K39" s="6" t="n">
        <x:v>0</x:v>
      </x:c>
      <x:c r="L39" s="6" t="n">
        <x:v>10</x:v>
      </x:c>
      <x:c r="M39" s="11" t="n">
        <x:v>0.7185897435897436</x:v>
      </x:c>
      <x:c r="N39" s="6" t="n">
        <x:v>454000</x:v>
      </x:c>
    </x:row>
    <x:row r="40" ht="24" customHeight="1">
      <x:c r="A40" s="2" t="str">
        <x:v>2026-10-14_Day</x:v>
      </x:c>
      <x:c r="B40" s="6" t="str">
        <x:v>デイ</x:v>
      </x:c>
      <x:c r="C40" s="6" t="n">
        <x:v>656000</x:v>
      </x:c>
      <x:c r="D40" s="6" t="n">
        <x:v>1274000</x:v>
      </x:c>
      <x:c r="E40" s="6" t="n">
        <x:f>C40-D40</x:f>
        <x:v>-618000</x:v>
      </x:c>
      <x:c r="F40" s="6" t="n">
        <x:f>F39+E40</x:f>
        <x:v>-20087000</x:v>
      </x:c>
      <x:c r="G40" s="6" t="n">
        <x:v>656000</x:v>
      </x:c>
      <x:c r="H40" s="6" t="n">
        <x:v>1274000</x:v>
      </x:c>
      <x:c r="I40" s="6" t="n">
        <x:v>109</x:v>
      </x:c>
      <x:c r="J40" s="6" t="n">
        <x:v>0</x:v>
      </x:c>
      <x:c r="K40" s="6" t="n">
        <x:v>0</x:v>
      </x:c>
      <x:c r="L40" s="6" t="n">
        <x:v>10</x:v>
      </x:c>
      <x:c r="M40" s="11" t="n">
        <x:v>0.7533730158730159</x:v>
      </x:c>
      <x:c r="N40" s="6" t="n">
        <x:v>729000</x:v>
      </x:c>
    </x:row>
    <x:row r="41" ht="24" customHeight="1">
      <x:c r="A41" s="2" t="str">
        <x:v>2026-10-14_Night</x:v>
      </x:c>
      <x:c r="B41" s="6" t="str">
        <x:v>ナイト</x:v>
      </x:c>
      <x:c r="C41" s="6" t="n">
        <x:v>1435000</x:v>
      </x:c>
      <x:c r="D41" s="6" t="n">
        <x:v>2055000</x:v>
      </x:c>
      <x:c r="E41" s="6" t="n">
        <x:f>C41-D41</x:f>
        <x:v>-620000</x:v>
      </x:c>
      <x:c r="F41" s="6" t="n">
        <x:f>F40+E41</x:f>
        <x:v>-20707000</x:v>
      </x:c>
      <x:c r="G41" s="6" t="n">
        <x:v>1435000</x:v>
      </x:c>
      <x:c r="H41" s="6" t="n">
        <x:v>2055000</x:v>
      </x:c>
      <x:c r="I41" s="6" t="n">
        <x:v>149</x:v>
      </x:c>
      <x:c r="J41" s="6" t="n">
        <x:v>0</x:v>
      </x:c>
      <x:c r="K41" s="6" t="n">
        <x:v>0</x:v>
      </x:c>
      <x:c r="L41" s="6" t="n">
        <x:v>10</x:v>
      </x:c>
      <x:c r="M41" s="11" t="n">
        <x:v>0.8120726495726496</x:v>
      </x:c>
      <x:c r="N41" s="6" t="n">
        <x:v>735000</x:v>
      </x:c>
    </x:row>
    <x:row r="42" ht="24" customHeight="1">
      <x:c r="A42" s="2" t="str">
        <x:v>2026-10-15_Day</x:v>
      </x:c>
      <x:c r="B42" s="6" t="str">
        <x:v>デイ</x:v>
      </x:c>
      <x:c r="C42" s="6" t="n">
        <x:v>2194000</x:v>
      </x:c>
      <x:c r="D42" s="6" t="n">
        <x:v>3386000</x:v>
      </x:c>
      <x:c r="E42" s="6" t="n">
        <x:f>C42-D42</x:f>
        <x:v>-1192000</x:v>
      </x:c>
      <x:c r="F42" s="6" t="n">
        <x:f>F41+E42</x:f>
        <x:v>-21899000</x:v>
      </x:c>
      <x:c r="G42" s="6" t="n">
        <x:v>2194000</x:v>
      </x:c>
      <x:c r="H42" s="6" t="n">
        <x:v>3386000</x:v>
      </x:c>
      <x:c r="I42" s="6" t="n">
        <x:v>192</x:v>
      </x:c>
      <x:c r="J42" s="6" t="n">
        <x:v>0</x:v>
      </x:c>
      <x:c r="K42" s="6" t="n">
        <x:v>0</x:v>
      </x:c>
      <x:c r="L42" s="6" t="n">
        <x:v>10</x:v>
      </x:c>
      <x:c r="M42" s="11" t="n">
        <x:v>0.7946428571428571</x:v>
      </x:c>
      <x:c r="N42" s="6" t="n">
        <x:v>1228000</x:v>
      </x:c>
    </x:row>
    <x:row r="43" ht="24" customHeight="1">
      <x:c r="A43" s="2" t="str">
        <x:v>2026-10-15_Night</x:v>
      </x:c>
      <x:c r="B43" s="6" t="str">
        <x:v>ナイト</x:v>
      </x:c>
      <x:c r="C43" s="6" t="n">
        <x:v>1399000</x:v>
      </x:c>
      <x:c r="D43" s="6" t="n">
        <x:v>2892000</x:v>
      </x:c>
      <x:c r="E43" s="6" t="n">
        <x:f>C43-D43</x:f>
        <x:v>-1493000</x:v>
      </x:c>
      <x:c r="F43" s="6" t="n">
        <x:f>F42+E43</x:f>
        <x:v>-23392000</x:v>
      </x:c>
      <x:c r="G43" s="6" t="n">
        <x:v>1399000</x:v>
      </x:c>
      <x:c r="H43" s="6" t="n">
        <x:v>2892000</x:v>
      </x:c>
      <x:c r="I43" s="6" t="n">
        <x:v>212</x:v>
      </x:c>
      <x:c r="J43" s="6" t="n">
        <x:v>0</x:v>
      </x:c>
      <x:c r="K43" s="6" t="n">
        <x:v>0</x:v>
      </x:c>
      <x:c r="L43" s="6" t="n">
        <x:v>10</x:v>
      </x:c>
      <x:c r="M43" s="11" t="n">
        <x:v>0.7410042735042736</x:v>
      </x:c>
      <x:c r="N43" s="6" t="n">
        <x:v>1566000</x:v>
      </x:c>
    </x:row>
    <x:row r="44" ht="24" customHeight="1">
      <x:c r="A44" s="2" t="str">
        <x:v>2026-10-16_Day</x:v>
      </x:c>
      <x:c r="B44" s="6" t="str">
        <x:v>デイ</x:v>
      </x:c>
      <x:c r="C44" s="6" t="n">
        <x:v>1615000</x:v>
      </x:c>
      <x:c r="D44" s="6" t="n">
        <x:v>2172000</x:v>
      </x:c>
      <x:c r="E44" s="6" t="n">
        <x:f>C44-D44</x:f>
        <x:v>-557000</x:v>
      </x:c>
      <x:c r="F44" s="6" t="n">
        <x:f>F43+E44</x:f>
        <x:v>-23949000</x:v>
      </x:c>
      <x:c r="G44" s="6" t="n">
        <x:v>1615000</x:v>
      </x:c>
      <x:c r="H44" s="6" t="n">
        <x:v>2172000</x:v>
      </x:c>
      <x:c r="I44" s="6" t="n">
        <x:v>153</x:v>
      </x:c>
      <x:c r="J44" s="6" t="n">
        <x:v>0</x:v>
      </x:c>
      <x:c r="K44" s="6" t="n">
        <x:v>0</x:v>
      </x:c>
      <x:c r="L44" s="6" t="n">
        <x:v>10</x:v>
      </x:c>
      <x:c r="M44" s="11" t="n">
        <x:v>0.7922222222222223</x:v>
      </x:c>
      <x:c r="N44" s="6" t="n">
        <x:v>682000</x:v>
      </x:c>
    </x:row>
    <x:row r="45" ht="24" customHeight="1">
      <x:c r="A45" s="2" t="str">
        <x:v>2026-10-16_Night</x:v>
      </x:c>
      <x:c r="B45" s="6" t="str">
        <x:v>ナイト</x:v>
      </x:c>
      <x:c r="C45" s="6" t="n">
        <x:v>1447000</x:v>
      </x:c>
      <x:c r="D45" s="6" t="n">
        <x:v>2777000</x:v>
      </x:c>
      <x:c r="E45" s="6" t="n">
        <x:f>C45-D45</x:f>
        <x:v>-1330000</x:v>
      </x:c>
      <x:c r="F45" s="6" t="n">
        <x:f>F44+E45</x:f>
        <x:v>-25279000</x:v>
      </x:c>
      <x:c r="G45" s="6" t="n">
        <x:v>1447000</x:v>
      </x:c>
      <x:c r="H45" s="6" t="n">
        <x:v>2777000</x:v>
      </x:c>
      <x:c r="I45" s="6" t="n">
        <x:v>214</x:v>
      </x:c>
      <x:c r="J45" s="6" t="n">
        <x:v>0</x:v>
      </x:c>
      <x:c r="K45" s="6" t="n">
        <x:v>0</x:v>
      </x:c>
      <x:c r="L45" s="6" t="n">
        <x:v>10</x:v>
      </x:c>
      <x:c r="M45" s="11" t="n">
        <x:v>0.7413034188034188</x:v>
      </x:c>
      <x:c r="N45" s="6" t="n">
        <x:v>1345000</x:v>
      </x:c>
    </x:row>
    <x:row r="46" ht="24" customHeight="1">
      <x:c r="A46" s="2" t="str">
        <x:v>2026-10-19_Day</x:v>
      </x:c>
      <x:c r="B46" s="6" t="str">
        <x:v>デイ</x:v>
      </x:c>
      <x:c r="C46" s="6" t="n">
        <x:v>1067000</x:v>
      </x:c>
      <x:c r="D46" s="6" t="n">
        <x:v>2056000</x:v>
      </x:c>
      <x:c r="E46" s="6" t="n">
        <x:f>C46-D46</x:f>
        <x:v>-989000</x:v>
      </x:c>
      <x:c r="F46" s="6" t="n">
        <x:f>F45+E46</x:f>
        <x:v>-26268000</x:v>
      </x:c>
      <x:c r="G46" s="6" t="n">
        <x:v>1067000</x:v>
      </x:c>
      <x:c r="H46" s="6" t="n">
        <x:v>2056000</x:v>
      </x:c>
      <x:c r="I46" s="6" t="n">
        <x:v>146</x:v>
      </x:c>
      <x:c r="J46" s="6" t="n">
        <x:v>0</x:v>
      </x:c>
      <x:c r="K46" s="6" t="n">
        <x:v>0</x:v>
      </x:c>
      <x:c r="L46" s="6" t="n">
        <x:v>10</x:v>
      </x:c>
      <x:c r="M46" s="11" t="n">
        <x:v>0.7423412698412698</x:v>
      </x:c>
      <x:c r="N46" s="6" t="n">
        <x:v>1089000</x:v>
      </x:c>
    </x:row>
    <x:row r="47" ht="24" customHeight="1">
      <x:c r="A47" s="2" t="str">
        <x:v>2026-10-19_Night</x:v>
      </x:c>
      <x:c r="B47" s="6" t="str">
        <x:v>ナイト</x:v>
      </x:c>
      <x:c r="C47" s="6" t="n">
        <x:v>797000</x:v>
      </x:c>
      <x:c r="D47" s="6" t="n">
        <x:v>1793000</x:v>
      </x:c>
      <x:c r="E47" s="6" t="n">
        <x:f>C47-D47</x:f>
        <x:v>-996000</x:v>
      </x:c>
      <x:c r="F47" s="6" t="n">
        <x:f>F46+E47</x:f>
        <x:v>-27264000</x:v>
      </x:c>
      <x:c r="G47" s="6" t="n">
        <x:v>797000</x:v>
      </x:c>
      <x:c r="H47" s="6" t="n">
        <x:v>1793000</x:v>
      </x:c>
      <x:c r="I47" s="6" t="n">
        <x:v>154</x:v>
      </x:c>
      <x:c r="J47" s="6" t="n">
        <x:v>0</x:v>
      </x:c>
      <x:c r="K47" s="6" t="n">
        <x:v>0</x:v>
      </x:c>
      <x:c r="L47" s="6" t="n">
        <x:v>10</x:v>
      </x:c>
      <x:c r="M47" s="11" t="n">
        <x:v>0.699957264957265</x:v>
      </x:c>
      <x:c r="N47" s="6" t="n">
        <x:v>996000</x:v>
      </x:c>
    </x:row>
    <x:row r="48" ht="24" customHeight="1">
      <x:c r="A48" s="2" t="str">
        <x:v>2026-10-20_Day</x:v>
      </x:c>
      <x:c r="B48" s="6" t="str">
        <x:v>デイ</x:v>
      </x:c>
      <x:c r="C48" s="6" t="n">
        <x:v>1332000</x:v>
      </x:c>
      <x:c r="D48" s="6" t="n">
        <x:v>2807000</x:v>
      </x:c>
      <x:c r="E48" s="6" t="n">
        <x:f>C48-D48</x:f>
        <x:v>-1475000</x:v>
      </x:c>
      <x:c r="F48" s="6" t="n">
        <x:f>F47+E48</x:f>
        <x:v>-28739000</x:v>
      </x:c>
      <x:c r="G48" s="6" t="n">
        <x:v>1332000</x:v>
      </x:c>
      <x:c r="H48" s="6" t="n">
        <x:v>2807000</x:v>
      </x:c>
      <x:c r="I48" s="6" t="n">
        <x:v>168</x:v>
      </x:c>
      <x:c r="J48" s="6" t="n">
        <x:v>0</x:v>
      </x:c>
      <x:c r="K48" s="6" t="n">
        <x:v>0</x:v>
      </x:c>
      <x:c r="L48" s="6" t="n">
        <x:v>10</x:v>
      </x:c>
      <x:c r="M48" s="11" t="n">
        <x:v>0.8274206349206349</x:v>
      </x:c>
      <x:c r="N48" s="6" t="n">
        <x:v>1573000</x:v>
      </x:c>
    </x:row>
    <x:row r="49" ht="24" customHeight="1">
      <x:c r="A49" s="2" t="str">
        <x:v>2026-10-20_Night</x:v>
      </x:c>
      <x:c r="B49" s="6" t="str">
        <x:v>ナイト</x:v>
      </x:c>
      <x:c r="C49" s="6" t="n">
        <x:v>1599000</x:v>
      </x:c>
      <x:c r="D49" s="6" t="n">
        <x:v>2374000</x:v>
      </x:c>
      <x:c r="E49" s="6" t="n">
        <x:f>C49-D49</x:f>
        <x:v>-775000</x:v>
      </x:c>
      <x:c r="F49" s="6" t="n">
        <x:f>F48+E49</x:f>
        <x:v>-29514000</x:v>
      </x:c>
      <x:c r="G49" s="6" t="n">
        <x:v>1599000</x:v>
      </x:c>
      <x:c r="H49" s="6" t="n">
        <x:v>2374000</x:v>
      </x:c>
      <x:c r="I49" s="6" t="n">
        <x:v>184</x:v>
      </x:c>
      <x:c r="J49" s="6" t="n">
        <x:v>0</x:v>
      </x:c>
      <x:c r="K49" s="6" t="n">
        <x:v>0</x:v>
      </x:c>
      <x:c r="L49" s="6" t="n">
        <x:v>10</x:v>
      </x:c>
      <x:c r="M49" s="11" t="n">
        <x:v>0.6929487179487179</x:v>
      </x:c>
      <x:c r="N49" s="6" t="n">
        <x:v>1023000</x:v>
      </x:c>
    </x:row>
    <x:row r="50" ht="24" customHeight="1">
      <x:c r="A50" s="2" t="str">
        <x:v>2026-10-21_Day</x:v>
      </x:c>
      <x:c r="B50" s="6" t="str">
        <x:v>デイ</x:v>
      </x:c>
      <x:c r="C50" s="6" t="n">
        <x:v>1287000</x:v>
      </x:c>
      <x:c r="D50" s="6" t="n">
        <x:v>2326000</x:v>
      </x:c>
      <x:c r="E50" s="6" t="n">
        <x:f>C50-D50</x:f>
        <x:v>-1039000</x:v>
      </x:c>
      <x:c r="F50" s="6" t="n">
        <x:f>F49+E50</x:f>
        <x:v>-30553000</x:v>
      </x:c>
      <x:c r="G50" s="6" t="n">
        <x:v>1287000</x:v>
      </x:c>
      <x:c r="H50" s="6" t="n">
        <x:v>2326000</x:v>
      </x:c>
      <x:c r="I50" s="6" t="n">
        <x:v>153</x:v>
      </x:c>
      <x:c r="J50" s="6" t="n">
        <x:v>0</x:v>
      </x:c>
      <x:c r="K50" s="6" t="n">
        <x:v>0</x:v>
      </x:c>
      <x:c r="L50" s="6" t="n">
        <x:v>10</x:v>
      </x:c>
      <x:c r="M50" s="11" t="n">
        <x:v>0.7955555555555556</x:v>
      </x:c>
      <x:c r="N50" s="6" t="n">
        <x:v>1153000</x:v>
      </x:c>
    </x:row>
    <x:row r="51" ht="24" customHeight="1">
      <x:c r="A51" s="2" t="str">
        <x:v>2026-10-21_Night</x:v>
      </x:c>
      <x:c r="B51" s="6" t="str">
        <x:v>ナイト</x:v>
      </x:c>
      <x:c r="C51" s="6" t="n">
        <x:v>1011000</x:v>
      </x:c>
      <x:c r="D51" s="6" t="n">
        <x:v>1787000</x:v>
      </x:c>
      <x:c r="E51" s="6" t="n">
        <x:f>C51-D51</x:f>
        <x:v>-776000</x:v>
      </x:c>
      <x:c r="F51" s="6" t="n">
        <x:f>F50+E51</x:f>
        <x:v>-31329000</x:v>
      </x:c>
      <x:c r="G51" s="6" t="n">
        <x:v>1011000</x:v>
      </x:c>
      <x:c r="H51" s="6" t="n">
        <x:v>1787000</x:v>
      </x:c>
      <x:c r="I51" s="6" t="n">
        <x:v>155</x:v>
      </x:c>
      <x:c r="J51" s="6" t="n">
        <x:v>0</x:v>
      </x:c>
      <x:c r="K51" s="6" t="n">
        <x:v>0</x:v>
      </x:c>
      <x:c r="L51" s="6" t="n">
        <x:v>10</x:v>
      </x:c>
      <x:c r="M51" s="11" t="n">
        <x:v>0.769465811965812</x:v>
      </x:c>
      <x:c r="N51" s="6" t="n">
        <x:v>922000</x:v>
      </x:c>
    </x:row>
    <x:row r="52" ht="24" customHeight="1">
      <x:c r="A52" s="2" t="str">
        <x:v>2026-10-22_Day</x:v>
      </x:c>
      <x:c r="B52" s="6" t="str">
        <x:v>デイ</x:v>
      </x:c>
      <x:c r="C52" s="6" t="n">
        <x:v>855000</x:v>
      </x:c>
      <x:c r="D52" s="6" t="n">
        <x:v>2132000</x:v>
      </x:c>
      <x:c r="E52" s="6" t="n">
        <x:f>C52-D52</x:f>
        <x:v>-1277000</x:v>
      </x:c>
      <x:c r="F52" s="6" t="n">
        <x:f>F51+E52</x:f>
        <x:v>-32606000</x:v>
      </x:c>
      <x:c r="G52" s="6" t="n">
        <x:v>855000</x:v>
      </x:c>
      <x:c r="H52" s="6" t="n">
        <x:v>2132000</x:v>
      </x:c>
      <x:c r="I52" s="6" t="n">
        <x:v>144</x:v>
      </x:c>
      <x:c r="J52" s="6" t="n">
        <x:v>0</x:v>
      </x:c>
      <x:c r="K52" s="6" t="n">
        <x:v>0</x:v>
      </x:c>
      <x:c r="L52" s="6" t="n">
        <x:v>10</x:v>
      </x:c>
      <x:c r="M52" s="11" t="n">
        <x:v>0.6974603174603174</x:v>
      </x:c>
      <x:c r="N52" s="6" t="n">
        <x:v>1371000</x:v>
      </x:c>
    </x:row>
    <x:row r="53" ht="24" customHeight="1">
      <x:c r="A53" s="2" t="str">
        <x:v>2026-10-22_Night</x:v>
      </x:c>
      <x:c r="B53" s="6" t="str">
        <x:v>ナイト</x:v>
      </x:c>
      <x:c r="C53" s="6" t="n">
        <x:v>1464000</x:v>
      </x:c>
      <x:c r="D53" s="6" t="n">
        <x:v>2485000</x:v>
      </x:c>
      <x:c r="E53" s="6" t="n">
        <x:f>C53-D53</x:f>
        <x:v>-1021000</x:v>
      </x:c>
      <x:c r="F53" s="6" t="n">
        <x:f>F52+E53</x:f>
        <x:v>-33627000</x:v>
      </x:c>
      <x:c r="G53" s="6" t="n">
        <x:v>1464000</x:v>
      </x:c>
      <x:c r="H53" s="6" t="n">
        <x:v>2485000</x:v>
      </x:c>
      <x:c r="I53" s="6" t="n">
        <x:v>190</x:v>
      </x:c>
      <x:c r="J53" s="6" t="n">
        <x:v>0</x:v>
      </x:c>
      <x:c r="K53" s="6" t="n">
        <x:v>0</x:v>
      </x:c>
      <x:c r="L53" s="6" t="n">
        <x:v>10</x:v>
      </x:c>
      <x:c r="M53" s="11" t="n">
        <x:v>0.772457264957265</x:v>
      </x:c>
      <x:c r="N53" s="6" t="n">
        <x:v>1134000</x:v>
      </x:c>
    </x:row>
    <x:row r="54" ht="24" customHeight="1">
      <x:c r="A54" s="2" t="str">
        <x:v>2026-10-23_Day</x:v>
      </x:c>
      <x:c r="B54" s="6" t="str">
        <x:v>デイ</x:v>
      </x:c>
      <x:c r="C54" s="6" t="n">
        <x:v>2565000</x:v>
      </x:c>
      <x:c r="D54" s="6" t="n">
        <x:v>5486000</x:v>
      </x:c>
      <x:c r="E54" s="6" t="n">
        <x:f>C54-D54</x:f>
        <x:v>-2921000</x:v>
      </x:c>
      <x:c r="F54" s="6" t="n">
        <x:f>F53+E54</x:f>
        <x:v>-36548000</x:v>
      </x:c>
      <x:c r="G54" s="6" t="n">
        <x:v>2565000</x:v>
      </x:c>
      <x:c r="H54" s="6" t="n">
        <x:v>5486000</x:v>
      </x:c>
      <x:c r="I54" s="6" t="n">
        <x:v>264</x:v>
      </x:c>
      <x:c r="J54" s="6" t="n">
        <x:v>0</x:v>
      </x:c>
      <x:c r="K54" s="6" t="n">
        <x:v>0</x:v>
      </x:c>
      <x:c r="L54" s="6" t="n">
        <x:v>10</x:v>
      </x:c>
      <x:c r="M54" s="11" t="n">
        <x:v>0.7753968253968254</x:v>
      </x:c>
      <x:c r="N54" s="6" t="n">
        <x:v>2947000</x:v>
      </x:c>
    </x:row>
    <x:row r="55" ht="24" customHeight="1">
      <x:c r="A55" s="2" t="str">
        <x:v>2026-10-23_Night</x:v>
      </x:c>
      <x:c r="B55" s="6" t="str">
        <x:v>ナイト</x:v>
      </x:c>
      <x:c r="C55" s="6" t="n">
        <x:v>940000</x:v>
      </x:c>
      <x:c r="D55" s="6" t="n">
        <x:v>2150000</x:v>
      </x:c>
      <x:c r="E55" s="6" t="n">
        <x:f>C55-D55</x:f>
        <x:v>-1210000</x:v>
      </x:c>
      <x:c r="F55" s="6" t="n">
        <x:f>F54+E55</x:f>
        <x:v>-37758000</x:v>
      </x:c>
      <x:c r="G55" s="6" t="n">
        <x:v>940000</x:v>
      </x:c>
      <x:c r="H55" s="6" t="n">
        <x:v>2150000</x:v>
      </x:c>
      <x:c r="I55" s="6" t="n">
        <x:v>191</x:v>
      </x:c>
      <x:c r="J55" s="6" t="n">
        <x:v>0</x:v>
      </x:c>
      <x:c r="K55" s="6" t="n">
        <x:v>0</x:v>
      </x:c>
      <x:c r="L55" s="6" t="n">
        <x:v>10</x:v>
      </x:c>
      <x:c r="M55" s="11" t="n">
        <x:v>0.7309615384615384</x:v>
      </x:c>
      <x:c r="N55" s="6" t="n">
        <x:v>1288000</x:v>
      </x:c>
    </x:row>
    <x:row r="56" ht="24" customHeight="1">
      <x:c r="A56" s="2" t="str">
        <x:v>2026-10-26_Day</x:v>
      </x:c>
      <x:c r="B56" s="6" t="str">
        <x:v>デイ</x:v>
      </x:c>
      <x:c r="C56" s="6" t="n">
        <x:v>1655000</x:v>
      </x:c>
      <x:c r="D56" s="6" t="n">
        <x:v>3205000</x:v>
      </x:c>
      <x:c r="E56" s="6" t="n">
        <x:f>C56-D56</x:f>
        <x:v>-1550000</x:v>
      </x:c>
      <x:c r="F56" s="6" t="n">
        <x:f>F55+E56</x:f>
        <x:v>-39308000</x:v>
      </x:c>
      <x:c r="G56" s="6" t="n">
        <x:v>1655000</x:v>
      </x:c>
      <x:c r="H56" s="6" t="n">
        <x:v>3205000</x:v>
      </x:c>
      <x:c r="I56" s="6" t="n">
        <x:v>186</x:v>
      </x:c>
      <x:c r="J56" s="6" t="n">
        <x:v>0</x:v>
      </x:c>
      <x:c r="K56" s="6" t="n">
        <x:v>0</x:v>
      </x:c>
      <x:c r="L56" s="6" t="n">
        <x:v>10</x:v>
      </x:c>
      <x:c r="M56" s="11" t="n">
        <x:v>0.7768650793650793</x:v>
      </x:c>
      <x:c r="N56" s="6" t="n">
        <x:v>1612000</x:v>
      </x:c>
    </x:row>
    <x:row r="57" ht="24" customHeight="1">
      <x:c r="A57" s="15" t="str">
        <x:v>累計／平均／最大</x:v>
      </x:c>
      <x:c r="B57" s="16"/>
      <x:c r="C57" s="16" t="n">
        <x:f>SUM(C6:C56)</x:f>
        <x:v>44541000</x:v>
      </x:c>
      <x:c r="D57" s="16" t="n">
        <x:f>SUM(D6:D56)</x:f>
        <x:v>83849000</x:v>
      </x:c>
      <x:c r="E57" s="16" t="n">
        <x:f>C57-D57</x:f>
        <x:v>-39308000</x:v>
      </x:c>
      <x:c r="F57" s="16" t="n">
        <x:f>F56</x:f>
        <x:v>-39308000</x:v>
      </x:c>
      <x:c r="G57" s="16" t="n">
        <x:f>SUM(G6:G56)</x:f>
        <x:v>44541000</x:v>
      </x:c>
      <x:c r="H57" s="16" t="n">
        <x:f>SUM(H6:H56)</x:f>
        <x:v>83849000</x:v>
      </x:c>
      <x:c r="I57" s="16" t="n">
        <x:f>SUM(I6:I56)</x:f>
        <x:v>6562</x:v>
      </x:c>
      <x:c r="J57" s="16" t="n">
        <x:f>SUM(J6:J56)</x:f>
        <x:v>0</x:v>
      </x:c>
      <x:c r="K57" s="16" t="n">
        <x:f>SUM(K6:K56)</x:f>
        <x:v>0</x:v>
      </x:c>
      <x:c r="L57" s="16" t="n">
        <x:f>MAX(L6:L56)</x:f>
        <x:v>10</x:v>
      </x:c>
      <x:c r="M57" s="17" t="n">
        <x:f>AVERAGE(M6:M56)</x:f>
        <x:v>0.728872967990615</x:v>
      </x:c>
      <x:c r="N57" s="16" t="n">
        <x:f>MAX(N6:N56)</x:f>
        <x:v>2947000</x:v>
      </x:c>
    </x:row>
  </x:sheetData>
  <x:conditionalFormatting sqref="E6:F56">
    <x:cfRule type="cellIs" dxfId="28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f9bbe6f83224cd8"/>
  </x:tableParts>
</x:worksheet>
</file>

<file path=xl/worksheets/sheet3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1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4" customHeight="1">
      <x:c r="A1" s="3" t="str">
        <x:v>日経 M22　各セッションの利益・損失・収支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A2" s="4" t="str">
        <x:v>2026/09/21〜10/26デイ・51完了場。日経mini／TOPIXmini各上限10枚・手数料0。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4" customHeight="1">
      <x:c r="A3" s="4" t="str">
        <x:v>600秒の時間加重平均を60秒前と比較。保有中も傾き比例で増減、利益追尾で返済。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4" customHeight="1">
      <x:c r="A4" s="4" t="str">
        <x:v>利益・損失＝FIFO返済配賦別。親＝初回から全返済まで。ラージ気配による模型で、mini実約定の検証ではありません。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42" customHeight="1">
      <x:c r="A5" s="10" t="str">
        <x:v>セッション</x:v>
      </x:c>
      <x:c r="B5" s="10" t="str">
        <x:v>区分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親利益（円）</x:v>
      </x:c>
      <x:c r="H5" s="10" t="str">
        <x:v>親損失（円）</x:v>
      </x:c>
      <x:c r="I5" s="10" t="str">
        <x:v>初回件数</x:v>
      </x:c>
      <x:c r="J5" s="10" t="str">
        <x:v>追加件数</x:v>
      </x:c>
      <x:c r="K5" s="10" t="str">
        <x:v>縮小件数</x:v>
      </x:c>
      <x:c r="L5" s="10" t="str">
        <x:v>最大保有枚数</x:v>
      </x:c>
      <x:c r="M5" s="10" t="str">
        <x:v>保有時間率</x:v>
      </x:c>
      <x:c r="N5" s="10" t="str">
        <x:v>時価最大DD（円）</x:v>
      </x:c>
    </x:row>
    <x:row r="6" ht="24" customHeight="1">
      <x:c r="A6" s="2" t="str">
        <x:v>2026-09-21_Day</x:v>
      </x:c>
      <x:c r="B6" s="6" t="str">
        <x:v>デイ</x:v>
      </x:c>
      <x:c r="C6" s="6" t="n">
        <x:v>151000</x:v>
      </x:c>
      <x:c r="D6" s="6" t="n">
        <x:v>600000</x:v>
      </x:c>
      <x:c r="E6" s="6" t="n">
        <x:f>C6-D6</x:f>
        <x:v>-449000</x:v>
      </x:c>
      <x:c r="F6" s="6" t="n">
        <x:f>E6</x:f>
        <x:v>-449000</x:v>
      </x:c>
      <x:c r="G6" s="6" t="n">
        <x:v>127000</x:v>
      </x:c>
      <x:c r="H6" s="6" t="n">
        <x:v>576000</x:v>
      </x:c>
      <x:c r="I6" s="6" t="n">
        <x:v>32</x:v>
      </x:c>
      <x:c r="J6" s="6" t="n">
        <x:v>36</x:v>
      </x:c>
      <x:c r="K6" s="6" t="n">
        <x:v>59</x:v>
      </x:c>
      <x:c r="L6" s="6" t="n">
        <x:v>10</x:v>
      </x:c>
      <x:c r="M6" s="11" t="n">
        <x:v>0.6616269841269842</x:v>
      </x:c>
      <x:c r="N6" s="6" t="n">
        <x:v>472000</x:v>
      </x:c>
    </x:row>
    <x:row r="7" ht="24" customHeight="1">
      <x:c r="A7" s="2" t="str">
        <x:v>2026-09-21_Night</x:v>
      </x:c>
      <x:c r="B7" s="6" t="str">
        <x:v>ナイト</x:v>
      </x:c>
      <x:c r="C7" s="6" t="n">
        <x:v>234000</x:v>
      </x:c>
      <x:c r="D7" s="6" t="n">
        <x:v>398000</x:v>
      </x:c>
      <x:c r="E7" s="6" t="n">
        <x:f>C7-D7</x:f>
        <x:v>-164000</x:v>
      </x:c>
      <x:c r="F7" s="6" t="n">
        <x:f>F6+E7</x:f>
        <x:v>-613000</x:v>
      </x:c>
      <x:c r="G7" s="6" t="n">
        <x:v>172000</x:v>
      </x:c>
      <x:c r="H7" s="6" t="n">
        <x:v>336000</x:v>
      </x:c>
      <x:c r="I7" s="6" t="n">
        <x:v>35</x:v>
      </x:c>
      <x:c r="J7" s="6" t="n">
        <x:v>69</x:v>
      </x:c>
      <x:c r="K7" s="6" t="n">
        <x:v>77</x:v>
      </x:c>
      <x:c r="L7" s="6" t="n">
        <x:v>9</x:v>
      </x:c>
      <x:c r="M7" s="11" t="n">
        <x:v>0.5742521367521367</x:v>
      </x:c>
      <x:c r="N7" s="6" t="n">
        <x:v>218000</x:v>
      </x:c>
    </x:row>
    <x:row r="8" ht="24" customHeight="1">
      <x:c r="A8" s="2" t="str">
        <x:v>2026-09-22_Day</x:v>
      </x:c>
      <x:c r="B8" s="6" t="str">
        <x:v>デイ</x:v>
      </x:c>
      <x:c r="C8" s="6" t="n">
        <x:v>390000</x:v>
      </x:c>
      <x:c r="D8" s="6" t="n">
        <x:v>904000</x:v>
      </x:c>
      <x:c r="E8" s="6" t="n">
        <x:f>C8-D8</x:f>
        <x:v>-514000</x:v>
      </x:c>
      <x:c r="F8" s="6" t="n">
        <x:f>F7+E8</x:f>
        <x:v>-1127000</x:v>
      </x:c>
      <x:c r="G8" s="6" t="n">
        <x:v>290000</x:v>
      </x:c>
      <x:c r="H8" s="6" t="n">
        <x:v>804000</x:v>
      </x:c>
      <x:c r="I8" s="6" t="n">
        <x:v>49</x:v>
      </x:c>
      <x:c r="J8" s="6" t="n">
        <x:v>108</x:v>
      </x:c>
      <x:c r="K8" s="6" t="n">
        <x:v>123</x:v>
      </x:c>
      <x:c r="L8" s="6" t="n">
        <x:v>10</x:v>
      </x:c>
      <x:c r="M8" s="11" t="n">
        <x:v>0.7298015873015873</x:v>
      </x:c>
      <x:c r="N8" s="6" t="n">
        <x:v>562000</x:v>
      </x:c>
    </x:row>
    <x:row r="9" ht="24" customHeight="1">
      <x:c r="A9" s="2" t="str">
        <x:v>2026-09-22_Night</x:v>
      </x:c>
      <x:c r="B9" s="6" t="str">
        <x:v>ナイト</x:v>
      </x:c>
      <x:c r="C9" s="6" t="n">
        <x:v>672000</x:v>
      </x:c>
      <x:c r="D9" s="6" t="n">
        <x:v>1328000</x:v>
      </x:c>
      <x:c r="E9" s="6" t="n">
        <x:f>C9-D9</x:f>
        <x:v>-656000</x:v>
      </x:c>
      <x:c r="F9" s="6" t="n">
        <x:f>F8+E9</x:f>
        <x:v>-1783000</x:v>
      </x:c>
      <x:c r="G9" s="6" t="n">
        <x:v>541000</x:v>
      </x:c>
      <x:c r="H9" s="6" t="n">
        <x:v>1197000</x:v>
      </x:c>
      <x:c r="I9" s="6" t="n">
        <x:v>76</x:v>
      </x:c>
      <x:c r="J9" s="6" t="n">
        <x:v>122</x:v>
      </x:c>
      <x:c r="K9" s="6" t="n">
        <x:v>154</x:v>
      </x:c>
      <x:c r="L9" s="6" t="n">
        <x:v>10</x:v>
      </x:c>
      <x:c r="M9" s="11" t="n">
        <x:v>0.6714529914529914</x:v>
      </x:c>
      <x:c r="N9" s="6" t="n">
        <x:v>773000</x:v>
      </x:c>
    </x:row>
    <x:row r="10" ht="24" customHeight="1">
      <x:c r="A10" s="2" t="str">
        <x:v>2026-09-23_Day</x:v>
      </x:c>
      <x:c r="B10" s="6" t="str">
        <x:v>デイ</x:v>
      </x:c>
      <x:c r="C10" s="6" t="n">
        <x:v>120000</x:v>
      </x:c>
      <x:c r="D10" s="6" t="n">
        <x:v>455000</x:v>
      </x:c>
      <x:c r="E10" s="6" t="n">
        <x:f>C10-D10</x:f>
        <x:v>-335000</x:v>
      </x:c>
      <x:c r="F10" s="6" t="n">
        <x:f>F9+E10</x:f>
        <x:v>-2118000</x:v>
      </x:c>
      <x:c r="G10" s="6" t="n">
        <x:v>80000</x:v>
      </x:c>
      <x:c r="H10" s="6" t="n">
        <x:v>415000</x:v>
      </x:c>
      <x:c r="I10" s="6" t="n">
        <x:v>28</x:v>
      </x:c>
      <x:c r="J10" s="6" t="n">
        <x:v>51</x:v>
      </x:c>
      <x:c r="K10" s="6" t="n">
        <x:v>57</x:v>
      </x:c>
      <x:c r="L10" s="6" t="n">
        <x:v>10</x:v>
      </x:c>
      <x:c r="M10" s="11" t="n">
        <x:v>0.7783730158730159</x:v>
      </x:c>
      <x:c r="N10" s="6" t="n">
        <x:v>343000</x:v>
      </x:c>
    </x:row>
    <x:row r="11" ht="24" customHeight="1">
      <x:c r="A11" s="2" t="str">
        <x:v>2026-09-23_Night</x:v>
      </x:c>
      <x:c r="B11" s="6" t="str">
        <x:v>ナイト</x:v>
      </x:c>
      <x:c r="C11" s="6" t="n">
        <x:v>380000</x:v>
      </x:c>
      <x:c r="D11" s="6" t="n">
        <x:v>919000</x:v>
      </x:c>
      <x:c r="E11" s="6" t="n">
        <x:f>C11-D11</x:f>
        <x:v>-539000</x:v>
      </x:c>
      <x:c r="F11" s="6" t="n">
        <x:f>F10+E11</x:f>
        <x:v>-2657000</x:v>
      </x:c>
      <x:c r="G11" s="6" t="n">
        <x:v>257000</x:v>
      </x:c>
      <x:c r="H11" s="6" t="n">
        <x:v>796000</x:v>
      </x:c>
      <x:c r="I11" s="6" t="n">
        <x:v>46</x:v>
      </x:c>
      <x:c r="J11" s="6" t="n">
        <x:v>137</x:v>
      </x:c>
      <x:c r="K11" s="6" t="n">
        <x:v>131</x:v>
      </x:c>
      <x:c r="L11" s="6" t="n">
        <x:v>10</x:v>
      </x:c>
      <x:c r="M11" s="11" t="n">
        <x:v>0.7497649572649573</x:v>
      </x:c>
      <x:c r="N11" s="6" t="n">
        <x:v>542000</x:v>
      </x:c>
    </x:row>
    <x:row r="12" ht="24" customHeight="1">
      <x:c r="A12" s="2" t="str">
        <x:v>2026-09-24_Day</x:v>
      </x:c>
      <x:c r="B12" s="6" t="str">
        <x:v>デイ</x:v>
      </x:c>
      <x:c r="C12" s="6" t="n">
        <x:v>952000</x:v>
      </x:c>
      <x:c r="D12" s="6" t="n">
        <x:v>1722000</x:v>
      </x:c>
      <x:c r="E12" s="6" t="n">
        <x:f>C12-D12</x:f>
        <x:v>-770000</x:v>
      </x:c>
      <x:c r="F12" s="6" t="n">
        <x:f>F11+E12</x:f>
        <x:v>-3427000</x:v>
      </x:c>
      <x:c r="G12" s="6" t="n">
        <x:v>846000</x:v>
      </x:c>
      <x:c r="H12" s="6" t="n">
        <x:v>1616000</x:v>
      </x:c>
      <x:c r="I12" s="6" t="n">
        <x:v>91</x:v>
      </x:c>
      <x:c r="J12" s="6" t="n">
        <x:v>164</x:v>
      </x:c>
      <x:c r="K12" s="6" t="n">
        <x:v>165</x:v>
      </x:c>
      <x:c r="L12" s="6" t="n">
        <x:v>10</x:v>
      </x:c>
      <x:c r="M12" s="11" t="n">
        <x:v>0.8770634920634921</x:v>
      </x:c>
      <x:c r="N12" s="6" t="n">
        <x:v>803000</x:v>
      </x:c>
    </x:row>
    <x:row r="13" ht="24" customHeight="1">
      <x:c r="A13" s="2" t="str">
        <x:v>2026-09-24_Night</x:v>
      </x:c>
      <x:c r="B13" s="6" t="str">
        <x:v>ナイト</x:v>
      </x:c>
      <x:c r="C13" s="6" t="n">
        <x:v>842000</x:v>
      </x:c>
      <x:c r="D13" s="6" t="n">
        <x:v>2357000</x:v>
      </x:c>
      <x:c r="E13" s="6" t="n">
        <x:f>C13-D13</x:f>
        <x:v>-1515000</x:v>
      </x:c>
      <x:c r="F13" s="6" t="n">
        <x:f>F12+E13</x:f>
        <x:v>-4942000</x:v>
      </x:c>
      <x:c r="G13" s="6" t="n">
        <x:v>690000</x:v>
      </x:c>
      <x:c r="H13" s="6" t="n">
        <x:v>2205000</x:v>
      </x:c>
      <x:c r="I13" s="6" t="n">
        <x:v>135</x:v>
      </x:c>
      <x:c r="J13" s="6" t="n">
        <x:v>206</x:v>
      </x:c>
      <x:c r="K13" s="6" t="n">
        <x:v>236</x:v>
      </x:c>
      <x:c r="L13" s="6" t="n">
        <x:v>10</x:v>
      </x:c>
      <x:c r="M13" s="11" t="n">
        <x:v>0.8060683760683761</x:v>
      </x:c>
      <x:c r="N13" s="6" t="n">
        <x:v>1576000</x:v>
      </x:c>
    </x:row>
    <x:row r="14" ht="24" customHeight="1">
      <x:c r="A14" s="2" t="str">
        <x:v>2026-09-25_Day</x:v>
      </x:c>
      <x:c r="B14" s="6" t="str">
        <x:v>デイ</x:v>
      </x:c>
      <x:c r="C14" s="6" t="n">
        <x:v>716000</x:v>
      </x:c>
      <x:c r="D14" s="6" t="n">
        <x:v>1442000</x:v>
      </x:c>
      <x:c r="E14" s="6" t="n">
        <x:f>C14-D14</x:f>
        <x:v>-726000</x:v>
      </x:c>
      <x:c r="F14" s="6" t="n">
        <x:f>F13+E14</x:f>
        <x:v>-5668000</x:v>
      </x:c>
      <x:c r="G14" s="6" t="n">
        <x:v>627000</x:v>
      </x:c>
      <x:c r="H14" s="6" t="n">
        <x:v>1353000</x:v>
      </x:c>
      <x:c r="I14" s="6" t="n">
        <x:v>82</x:v>
      </x:c>
      <x:c r="J14" s="6" t="n">
        <x:v>140</x:v>
      </x:c>
      <x:c r="K14" s="6" t="n">
        <x:v>158</x:v>
      </x:c>
      <x:c r="L14" s="6" t="n">
        <x:v>10</x:v>
      </x:c>
      <x:c r="M14" s="11" t="n">
        <x:v>0.8431746031746031</x:v>
      </x:c>
      <x:c r="N14" s="6" t="n">
        <x:v>831000</x:v>
      </x:c>
    </x:row>
    <x:row r="15" ht="24" customHeight="1">
      <x:c r="A15" s="2" t="str">
        <x:v>2026-09-25_Night</x:v>
      </x:c>
      <x:c r="B15" s="6" t="str">
        <x:v>ナイト</x:v>
      </x:c>
      <x:c r="C15" s="6" t="n">
        <x:v>593000</x:v>
      </x:c>
      <x:c r="D15" s="6" t="n">
        <x:v>1258000</x:v>
      </x:c>
      <x:c r="E15" s="6" t="n">
        <x:f>C15-D15</x:f>
        <x:v>-665000</x:v>
      </x:c>
      <x:c r="F15" s="6" t="n">
        <x:f>F14+E15</x:f>
        <x:v>-6333000</x:v>
      </x:c>
      <x:c r="G15" s="6" t="n">
        <x:v>480000</x:v>
      </x:c>
      <x:c r="H15" s="6" t="n">
        <x:v>1145000</x:v>
      </x:c>
      <x:c r="I15" s="6" t="n">
        <x:v>88</x:v>
      </x:c>
      <x:c r="J15" s="6" t="n">
        <x:v>160</x:v>
      </x:c>
      <x:c r="K15" s="6" t="n">
        <x:v>163</x:v>
      </x:c>
      <x:c r="L15" s="6" t="n">
        <x:v>10</x:v>
      </x:c>
      <x:c r="M15" s="11" t="n">
        <x:v>0.7535470085470085</x:v>
      </x:c>
      <x:c r="N15" s="6" t="n">
        <x:v>701000</x:v>
      </x:c>
    </x:row>
    <x:row r="16" ht="24" customHeight="1">
      <x:c r="A16" s="2" t="str">
        <x:v>2026-09-28_Day</x:v>
      </x:c>
      <x:c r="B16" s="6" t="str">
        <x:v>デイ</x:v>
      </x:c>
      <x:c r="C16" s="6" t="n">
        <x:v>1120000</x:v>
      </x:c>
      <x:c r="D16" s="6" t="n">
        <x:v>2054000</x:v>
      </x:c>
      <x:c r="E16" s="6" t="n">
        <x:f>C16-D16</x:f>
        <x:v>-934000</x:v>
      </x:c>
      <x:c r="F16" s="6" t="n">
        <x:f>F15+E16</x:f>
        <x:v>-7267000</x:v>
      </x:c>
      <x:c r="G16" s="6" t="n">
        <x:v>964000</x:v>
      </x:c>
      <x:c r="H16" s="6" t="n">
        <x:v>1898000</x:v>
      </x:c>
      <x:c r="I16" s="6" t="n">
        <x:v>96</x:v>
      </x:c>
      <x:c r="J16" s="6" t="n">
        <x:v>163</x:v>
      </x:c>
      <x:c r="K16" s="6" t="n">
        <x:v>182</x:v>
      </x:c>
      <x:c r="L16" s="6" t="n">
        <x:v>10</x:v>
      </x:c>
      <x:c r="M16" s="11" t="n">
        <x:v>0.8810714285714286</x:v>
      </x:c>
      <x:c r="N16" s="6" t="n">
        <x:v>1111000</x:v>
      </x:c>
    </x:row>
    <x:row r="17" ht="24" customHeight="1">
      <x:c r="A17" s="2" t="str">
        <x:v>2026-09-28_Night</x:v>
      </x:c>
      <x:c r="B17" s="6" t="str">
        <x:v>ナイト</x:v>
      </x:c>
      <x:c r="C17" s="6" t="n">
        <x:v>948000</x:v>
      </x:c>
      <x:c r="D17" s="6" t="n">
        <x:v>1997000</x:v>
      </x:c>
      <x:c r="E17" s="6" t="n">
        <x:f>C17-D17</x:f>
        <x:v>-1049000</x:v>
      </x:c>
      <x:c r="F17" s="6" t="n">
        <x:f>F16+E17</x:f>
        <x:v>-8316000</x:v>
      </x:c>
      <x:c r="G17" s="6" t="n">
        <x:v>808000</x:v>
      </x:c>
      <x:c r="H17" s="6" t="n">
        <x:v>1857000</x:v>
      </x:c>
      <x:c r="I17" s="6" t="n">
        <x:v>106</x:v>
      </x:c>
      <x:c r="J17" s="6" t="n">
        <x:v>172</x:v>
      </x:c>
      <x:c r="K17" s="6" t="n">
        <x:v>195</x:v>
      </x:c>
      <x:c r="L17" s="6" t="n">
        <x:v>10</x:v>
      </x:c>
      <x:c r="M17" s="11" t="n">
        <x:v>0.7875</x:v>
      </x:c>
      <x:c r="N17" s="6" t="n">
        <x:v>1073000</x:v>
      </x:c>
    </x:row>
    <x:row r="18" ht="24" customHeight="1">
      <x:c r="A18" s="2" t="str">
        <x:v>2026-09-29_Day</x:v>
      </x:c>
      <x:c r="B18" s="6" t="str">
        <x:v>デイ</x:v>
      </x:c>
      <x:c r="C18" s="6" t="n">
        <x:v>1001000</x:v>
      </x:c>
      <x:c r="D18" s="6" t="n">
        <x:v>2390000</x:v>
      </x:c>
      <x:c r="E18" s="6" t="n">
        <x:f>C18-D18</x:f>
        <x:v>-1389000</x:v>
      </x:c>
      <x:c r="F18" s="6" t="n">
        <x:f>F17+E18</x:f>
        <x:v>-9705000</x:v>
      </x:c>
      <x:c r="G18" s="6" t="n">
        <x:v>845000</x:v>
      </x:c>
      <x:c r="H18" s="6" t="n">
        <x:v>2234000</x:v>
      </x:c>
      <x:c r="I18" s="6" t="n">
        <x:v>109</x:v>
      </x:c>
      <x:c r="J18" s="6" t="n">
        <x:v>195</x:v>
      </x:c>
      <x:c r="K18" s="6" t="n">
        <x:v>208</x:v>
      </x:c>
      <x:c r="L18" s="6" t="n">
        <x:v>10</x:v>
      </x:c>
      <x:c r="M18" s="11" t="n">
        <x:v>0.8657936507936508</x:v>
      </x:c>
      <x:c r="N18" s="6" t="n">
        <x:v>1531000</x:v>
      </x:c>
    </x:row>
    <x:row r="19" ht="24" customHeight="1">
      <x:c r="A19" s="2" t="str">
        <x:v>2026-09-29_Night</x:v>
      </x:c>
      <x:c r="B19" s="6" t="str">
        <x:v>ナイト</x:v>
      </x:c>
      <x:c r="C19" s="6" t="n">
        <x:v>637000</x:v>
      </x:c>
      <x:c r="D19" s="6" t="n">
        <x:v>1306000</x:v>
      </x:c>
      <x:c r="E19" s="6" t="n">
        <x:f>C19-D19</x:f>
        <x:v>-669000</x:v>
      </x:c>
      <x:c r="F19" s="6" t="n">
        <x:f>F18+E19</x:f>
        <x:v>-10374000</x:v>
      </x:c>
      <x:c r="G19" s="6" t="n">
        <x:v>498000</x:v>
      </x:c>
      <x:c r="H19" s="6" t="n">
        <x:v>1167000</x:v>
      </x:c>
      <x:c r="I19" s="6" t="n">
        <x:v>87</x:v>
      </x:c>
      <x:c r="J19" s="6" t="n">
        <x:v>165</x:v>
      </x:c>
      <x:c r="K19" s="6" t="n">
        <x:v>202</x:v>
      </x:c>
      <x:c r="L19" s="6" t="n">
        <x:v>10</x:v>
      </x:c>
      <x:c r="M19" s="11" t="n">
        <x:v>0.784017094017094</x:v>
      </x:c>
      <x:c r="N19" s="6" t="n">
        <x:v>690000</x:v>
      </x:c>
    </x:row>
    <x:row r="20" ht="24" customHeight="1">
      <x:c r="A20" s="2" t="str">
        <x:v>2026-09-30_Day</x:v>
      </x:c>
      <x:c r="B20" s="6" t="str">
        <x:v>デイ</x:v>
      </x:c>
      <x:c r="C20" s="6" t="n">
        <x:v>870000</x:v>
      </x:c>
      <x:c r="D20" s="6" t="n">
        <x:v>1807000</x:v>
      </x:c>
      <x:c r="E20" s="6" t="n">
        <x:f>C20-D20</x:f>
        <x:v>-937000</x:v>
      </x:c>
      <x:c r="F20" s="6" t="n">
        <x:f>F19+E20</x:f>
        <x:v>-11311000</x:v>
      </x:c>
      <x:c r="G20" s="6" t="n">
        <x:v>683000</x:v>
      </x:c>
      <x:c r="H20" s="6" t="n">
        <x:v>1620000</x:v>
      </x:c>
      <x:c r="I20" s="6" t="n">
        <x:v>98</x:v>
      </x:c>
      <x:c r="J20" s="6" t="n">
        <x:v>200</x:v>
      </x:c>
      <x:c r="K20" s="6" t="n">
        <x:v>214</x:v>
      </x:c>
      <x:c r="L20" s="6" t="n">
        <x:v>10</x:v>
      </x:c>
      <x:c r="M20" s="11" t="n">
        <x:v>0.8823412698412698</x:v>
      </x:c>
      <x:c r="N20" s="6" t="n">
        <x:v>974000</x:v>
      </x:c>
    </x:row>
    <x:row r="21" ht="24" customHeight="1">
      <x:c r="A21" s="2" t="str">
        <x:v>2026-09-30_Night</x:v>
      </x:c>
      <x:c r="B21" s="6" t="str">
        <x:v>ナイト</x:v>
      </x:c>
      <x:c r="C21" s="6" t="n">
        <x:v>903000</x:v>
      </x:c>
      <x:c r="D21" s="6" t="n">
        <x:v>2237000</x:v>
      </x:c>
      <x:c r="E21" s="6" t="n">
        <x:f>C21-D21</x:f>
        <x:v>-1334000</x:v>
      </x:c>
      <x:c r="F21" s="6" t="n">
        <x:f>F20+E21</x:f>
        <x:v>-12645000</x:v>
      </x:c>
      <x:c r="G21" s="6" t="n">
        <x:v>661000</x:v>
      </x:c>
      <x:c r="H21" s="6" t="n">
        <x:v>1995000</x:v>
      </x:c>
      <x:c r="I21" s="6" t="n">
        <x:v>108</x:v>
      </x:c>
      <x:c r="J21" s="6" t="n">
        <x:v>252</x:v>
      </x:c>
      <x:c r="K21" s="6" t="n">
        <x:v>271</x:v>
      </x:c>
      <x:c r="L21" s="6" t="n">
        <x:v>10</x:v>
      </x:c>
      <x:c r="M21" s="11" t="n">
        <x:v>0.8197435897435897</x:v>
      </x:c>
      <x:c r="N21" s="6" t="n">
        <x:v>1379000</x:v>
      </x:c>
    </x:row>
    <x:row r="22" ht="24" customHeight="1">
      <x:c r="A22" s="2" t="str">
        <x:v>2026-10-01_Day</x:v>
      </x:c>
      <x:c r="B22" s="6" t="str">
        <x:v>デイ</x:v>
      </x:c>
      <x:c r="C22" s="6" t="n">
        <x:v>873000</x:v>
      </x:c>
      <x:c r="D22" s="6" t="n">
        <x:v>1502000</x:v>
      </x:c>
      <x:c r="E22" s="6" t="n">
        <x:f>C22-D22</x:f>
        <x:v>-629000</x:v>
      </x:c>
      <x:c r="F22" s="6" t="n">
        <x:f>F21+E22</x:f>
        <x:v>-13274000</x:v>
      </x:c>
      <x:c r="G22" s="6" t="n">
        <x:v>685000</x:v>
      </x:c>
      <x:c r="H22" s="6" t="n">
        <x:v>1314000</x:v>
      </x:c>
      <x:c r="I22" s="6" t="n">
        <x:v>68</x:v>
      </x:c>
      <x:c r="J22" s="6" t="n">
        <x:v>182</x:v>
      </x:c>
      <x:c r="K22" s="6" t="n">
        <x:v>192</x:v>
      </x:c>
      <x:c r="L22" s="6" t="n">
        <x:v>10</x:v>
      </x:c>
      <x:c r="M22" s="11" t="n">
        <x:v>0.8753968253968254</x:v>
      </x:c>
      <x:c r="N22" s="6" t="n">
        <x:v>691000</x:v>
      </x:c>
    </x:row>
    <x:row r="23" ht="24" customHeight="1">
      <x:c r="A23" s="2" t="str">
        <x:v>2026-10-01_Night</x:v>
      </x:c>
      <x:c r="B23" s="6" t="str">
        <x:v>ナイト</x:v>
      </x:c>
      <x:c r="C23" s="6" t="n">
        <x:v>1177000</x:v>
      </x:c>
      <x:c r="D23" s="6" t="n">
        <x:v>2640000</x:v>
      </x:c>
      <x:c r="E23" s="6" t="n">
        <x:f>C23-D23</x:f>
        <x:v>-1463000</x:v>
      </x:c>
      <x:c r="F23" s="6" t="n">
        <x:f>F22+E23</x:f>
        <x:v>-14737000</x:v>
      </x:c>
      <x:c r="G23" s="6" t="n">
        <x:v>683000</x:v>
      </x:c>
      <x:c r="H23" s="6" t="n">
        <x:v>2146000</x:v>
      </x:c>
      <x:c r="I23" s="6" t="n">
        <x:v>122</x:v>
      </x:c>
      <x:c r="J23" s="6" t="n">
        <x:v>324</x:v>
      </x:c>
      <x:c r="K23" s="6" t="n">
        <x:v>349</x:v>
      </x:c>
      <x:c r="L23" s="6" t="n">
        <x:v>10</x:v>
      </x:c>
      <x:c r="M23" s="11" t="n">
        <x:v>0.8561538461538462</x:v>
      </x:c>
      <x:c r="N23" s="6" t="n">
        <x:v>1541000</x:v>
      </x:c>
    </x:row>
    <x:row r="24" ht="24" customHeight="1">
      <x:c r="A24" s="2" t="str">
        <x:v>2026-10-02_Day</x:v>
      </x:c>
      <x:c r="B24" s="6" t="str">
        <x:v>デイ</x:v>
      </x:c>
      <x:c r="C24" s="6" t="n">
        <x:v>589000</x:v>
      </x:c>
      <x:c r="D24" s="6" t="n">
        <x:v>1815000</x:v>
      </x:c>
      <x:c r="E24" s="6" t="n">
        <x:f>C24-D24</x:f>
        <x:v>-1226000</x:v>
      </x:c>
      <x:c r="F24" s="6" t="n">
        <x:f>F23+E24</x:f>
        <x:v>-15963000</x:v>
      </x:c>
      <x:c r="G24" s="6" t="n">
        <x:v>462000</x:v>
      </x:c>
      <x:c r="H24" s="6" t="n">
        <x:v>1688000</x:v>
      </x:c>
      <x:c r="I24" s="6" t="n">
        <x:v>70</x:v>
      </x:c>
      <x:c r="J24" s="6" t="n">
        <x:v>175</x:v>
      </x:c>
      <x:c r="K24" s="6" t="n">
        <x:v>174</x:v>
      </x:c>
      <x:c r="L24" s="6" t="n">
        <x:v>10</x:v>
      </x:c>
      <x:c r="M24" s="11" t="n">
        <x:v>0.8881349206349206</x:v>
      </x:c>
      <x:c r="N24" s="6" t="n">
        <x:v>1428000</x:v>
      </x:c>
    </x:row>
    <x:row r="25" ht="24" customHeight="1">
      <x:c r="A25" s="2" t="str">
        <x:v>2026-10-02_Night</x:v>
      </x:c>
      <x:c r="B25" s="6" t="str">
        <x:v>ナイト</x:v>
      </x:c>
      <x:c r="C25" s="6" t="n">
        <x:v>938000</x:v>
      </x:c>
      <x:c r="D25" s="6" t="n">
        <x:v>1883000</x:v>
      </x:c>
      <x:c r="E25" s="6" t="n">
        <x:f>C25-D25</x:f>
        <x:v>-945000</x:v>
      </x:c>
      <x:c r="F25" s="6" t="n">
        <x:f>F24+E25</x:f>
        <x:v>-16908000</x:v>
      </x:c>
      <x:c r="G25" s="6" t="n">
        <x:v>664000</x:v>
      </x:c>
      <x:c r="H25" s="6" t="n">
        <x:v>1609000</x:v>
      </x:c>
      <x:c r="I25" s="6" t="n">
        <x:v>86</x:v>
      </x:c>
      <x:c r="J25" s="6" t="n">
        <x:v>216</x:v>
      </x:c>
      <x:c r="K25" s="6" t="n">
        <x:v>236</x:v>
      </x:c>
      <x:c r="L25" s="6" t="n">
        <x:v>10</x:v>
      </x:c>
      <x:c r="M25" s="11" t="n">
        <x:v>0.8642521367521367</x:v>
      </x:c>
      <x:c r="N25" s="6" t="n">
        <x:v>1023000</x:v>
      </x:c>
    </x:row>
    <x:row r="26" ht="24" customHeight="1">
      <x:c r="A26" s="2" t="str">
        <x:v>2026-10-05_Day</x:v>
      </x:c>
      <x:c r="B26" s="6" t="str">
        <x:v>デイ</x:v>
      </x:c>
      <x:c r="C26" s="6" t="n">
        <x:v>492000</x:v>
      </x:c>
      <x:c r="D26" s="6" t="n">
        <x:v>1259000</x:v>
      </x:c>
      <x:c r="E26" s="6" t="n">
        <x:f>C26-D26</x:f>
        <x:v>-767000</x:v>
      </x:c>
      <x:c r="F26" s="6" t="n">
        <x:f>F25+E26</x:f>
        <x:v>-17675000</x:v>
      </x:c>
      <x:c r="G26" s="6" t="n">
        <x:v>330000</x:v>
      </x:c>
      <x:c r="H26" s="6" t="n">
        <x:v>1097000</x:v>
      </x:c>
      <x:c r="I26" s="6" t="n">
        <x:v>58</x:v>
      </x:c>
      <x:c r="J26" s="6" t="n">
        <x:v>169</x:v>
      </x:c>
      <x:c r="K26" s="6" t="n">
        <x:v>189</x:v>
      </x:c>
      <x:c r="L26" s="6" t="n">
        <x:v>10</x:v>
      </x:c>
      <x:c r="M26" s="11" t="n">
        <x:v>0.9150396825396825</x:v>
      </x:c>
      <x:c r="N26" s="6" t="n">
        <x:v>791000</x:v>
      </x:c>
    </x:row>
    <x:row r="27" ht="24" customHeight="1">
      <x:c r="A27" s="2" t="str">
        <x:v>2026-10-05_Night</x:v>
      </x:c>
      <x:c r="B27" s="6" t="str">
        <x:v>ナイト</x:v>
      </x:c>
      <x:c r="C27" s="6" t="n">
        <x:v>624000</x:v>
      </x:c>
      <x:c r="D27" s="6" t="n">
        <x:v>1096000</x:v>
      </x:c>
      <x:c r="E27" s="6" t="n">
        <x:f>C27-D27</x:f>
        <x:v>-472000</x:v>
      </x:c>
      <x:c r="F27" s="6" t="n">
        <x:f>F26+E27</x:f>
        <x:v>-18147000</x:v>
      </x:c>
      <x:c r="G27" s="6" t="n">
        <x:v>443000</x:v>
      </x:c>
      <x:c r="H27" s="6" t="n">
        <x:v>915000</x:v>
      </x:c>
      <x:c r="I27" s="6" t="n">
        <x:v>53</x:v>
      </x:c>
      <x:c r="J27" s="6" t="n">
        <x:v>158</x:v>
      </x:c>
      <x:c r="K27" s="6" t="n">
        <x:v>161</x:v>
      </x:c>
      <x:c r="L27" s="6" t="n">
        <x:v>10</x:v>
      </x:c>
      <x:c r="M27" s="11" t="n">
        <x:v>0.8989102564102565</x:v>
      </x:c>
      <x:c r="N27" s="6" t="n">
        <x:v>498000</x:v>
      </x:c>
    </x:row>
    <x:row r="28" ht="24" customHeight="1">
      <x:c r="A28" s="2" t="str">
        <x:v>2026-10-06_Day</x:v>
      </x:c>
      <x:c r="B28" s="6" t="str">
        <x:v>デイ</x:v>
      </x:c>
      <x:c r="C28" s="6" t="n">
        <x:v>472000</x:v>
      </x:c>
      <x:c r="D28" s="6" t="n">
        <x:v>949000</x:v>
      </x:c>
      <x:c r="E28" s="6" t="n">
        <x:f>C28-D28</x:f>
        <x:v>-477000</x:v>
      </x:c>
      <x:c r="F28" s="6" t="n">
        <x:f>F27+E28</x:f>
        <x:v>-18624000</x:v>
      </x:c>
      <x:c r="G28" s="6" t="n">
        <x:v>393000</x:v>
      </x:c>
      <x:c r="H28" s="6" t="n">
        <x:v>870000</x:v>
      </x:c>
      <x:c r="I28" s="6" t="n">
        <x:v>44</x:v>
      </x:c>
      <x:c r="J28" s="6" t="n">
        <x:v>126</x:v>
      </x:c>
      <x:c r="K28" s="6" t="n">
        <x:v>134</x:v>
      </x:c>
      <x:c r="L28" s="6" t="n">
        <x:v>10</x:v>
      </x:c>
      <x:c r="M28" s="11" t="n">
        <x:v>0.8292857142857143</x:v>
      </x:c>
      <x:c r="N28" s="6" t="n">
        <x:v>520000</x:v>
      </x:c>
    </x:row>
    <x:row r="29" ht="24" customHeight="1">
      <x:c r="A29" s="2" t="str">
        <x:v>2026-10-06_Night</x:v>
      </x:c>
      <x:c r="B29" s="6" t="str">
        <x:v>ナイト</x:v>
      </x:c>
      <x:c r="C29" s="6" t="n">
        <x:v>341000</x:v>
      </x:c>
      <x:c r="D29" s="6" t="n">
        <x:v>705000</x:v>
      </x:c>
      <x:c r="E29" s="6" t="n">
        <x:f>C29-D29</x:f>
        <x:v>-364000</x:v>
      </x:c>
      <x:c r="F29" s="6" t="n">
        <x:f>F28+E29</x:f>
        <x:v>-18988000</x:v>
      </x:c>
      <x:c r="G29" s="6" t="n">
        <x:v>194000</x:v>
      </x:c>
      <x:c r="H29" s="6" t="n">
        <x:v>558000</x:v>
      </x:c>
      <x:c r="I29" s="6" t="n">
        <x:v>39</x:v>
      </x:c>
      <x:c r="J29" s="6" t="n">
        <x:v>136</x:v>
      </x:c>
      <x:c r="K29" s="6" t="n">
        <x:v>142</x:v>
      </x:c>
      <x:c r="L29" s="6" t="n">
        <x:v>10</x:v>
      </x:c>
      <x:c r="M29" s="11" t="n">
        <x:v>0.8455982905982906</x:v>
      </x:c>
      <x:c r="N29" s="6" t="n">
        <x:v>382000</x:v>
      </x:c>
    </x:row>
    <x:row r="30" ht="24" customHeight="1">
      <x:c r="A30" s="2" t="str">
        <x:v>2026-10-07_Day</x:v>
      </x:c>
      <x:c r="B30" s="6" t="str">
        <x:v>デイ</x:v>
      </x:c>
      <x:c r="C30" s="6" t="n">
        <x:v>386000</x:v>
      </x:c>
      <x:c r="D30" s="6" t="n">
        <x:v>758000</x:v>
      </x:c>
      <x:c r="E30" s="6" t="n">
        <x:f>C30-D30</x:f>
        <x:v>-372000</x:v>
      </x:c>
      <x:c r="F30" s="6" t="n">
        <x:f>F29+E30</x:f>
        <x:v>-19360000</x:v>
      </x:c>
      <x:c r="G30" s="6" t="n">
        <x:v>288000</x:v>
      </x:c>
      <x:c r="H30" s="6" t="n">
        <x:v>660000</x:v>
      </x:c>
      <x:c r="I30" s="6" t="n">
        <x:v>45</x:v>
      </x:c>
      <x:c r="J30" s="6" t="n">
        <x:v>126</x:v>
      </x:c>
      <x:c r="K30" s="6" t="n">
        <x:v>136</x:v>
      </x:c>
      <x:c r="L30" s="6" t="n">
        <x:v>10</x:v>
      </x:c>
      <x:c r="M30" s="11" t="n">
        <x:v>0.8963492063492063</x:v>
      </x:c>
      <x:c r="N30" s="6" t="n">
        <x:v>378000</x:v>
      </x:c>
    </x:row>
    <x:row r="31" ht="24" customHeight="1">
      <x:c r="A31" s="2" t="str">
        <x:v>2026-10-07_Night</x:v>
      </x:c>
      <x:c r="B31" s="6" t="str">
        <x:v>ナイト</x:v>
      </x:c>
      <x:c r="C31" s="6" t="n">
        <x:v>404000</x:v>
      </x:c>
      <x:c r="D31" s="6" t="n">
        <x:v>1082000</x:v>
      </x:c>
      <x:c r="E31" s="6" t="n">
        <x:f>C31-D31</x:f>
        <x:v>-678000</x:v>
      </x:c>
      <x:c r="F31" s="6" t="n">
        <x:f>F30+E31</x:f>
        <x:v>-20038000</x:v>
      </x:c>
      <x:c r="G31" s="6" t="n">
        <x:v>266000</x:v>
      </x:c>
      <x:c r="H31" s="6" t="n">
        <x:v>944000</x:v>
      </x:c>
      <x:c r="I31" s="6" t="n">
        <x:v>55</x:v>
      </x:c>
      <x:c r="J31" s="6" t="n">
        <x:v>184</x:v>
      </x:c>
      <x:c r="K31" s="6" t="n">
        <x:v>194</x:v>
      </x:c>
      <x:c r="L31" s="6" t="n">
        <x:v>10</x:v>
      </x:c>
      <x:c r="M31" s="11" t="n">
        <x:v>0.9249358974358974</x:v>
      </x:c>
      <x:c r="N31" s="6" t="n">
        <x:v>681000</x:v>
      </x:c>
    </x:row>
    <x:row r="32" ht="24" customHeight="1">
      <x:c r="A32" s="2" t="str">
        <x:v>2026-10-08_Day</x:v>
      </x:c>
      <x:c r="B32" s="6" t="str">
        <x:v>デイ</x:v>
      </x:c>
      <x:c r="C32" s="6" t="n">
        <x:v>899000</x:v>
      </x:c>
      <x:c r="D32" s="6" t="n">
        <x:v>1583000</x:v>
      </x:c>
      <x:c r="E32" s="6" t="n">
        <x:f>C32-D32</x:f>
        <x:v>-684000</x:v>
      </x:c>
      <x:c r="F32" s="6" t="n">
        <x:f>F31+E32</x:f>
        <x:v>-20722000</x:v>
      </x:c>
      <x:c r="G32" s="6" t="n">
        <x:v>745000</x:v>
      </x:c>
      <x:c r="H32" s="6" t="n">
        <x:v>1429000</x:v>
      </x:c>
      <x:c r="I32" s="6" t="n">
        <x:v>79</x:v>
      </x:c>
      <x:c r="J32" s="6" t="n">
        <x:v>175</x:v>
      </x:c>
      <x:c r="K32" s="6" t="n">
        <x:v>203</x:v>
      </x:c>
      <x:c r="L32" s="6" t="n">
        <x:v>10</x:v>
      </x:c>
      <x:c r="M32" s="11" t="n">
        <x:v>0.8768650793650794</x:v>
      </x:c>
      <x:c r="N32" s="6" t="n">
        <x:v>835000</x:v>
      </x:c>
    </x:row>
    <x:row r="33" ht="24" customHeight="1">
      <x:c r="A33" s="2" t="str">
        <x:v>2026-10-08_Night</x:v>
      </x:c>
      <x:c r="B33" s="6" t="str">
        <x:v>ナイト</x:v>
      </x:c>
      <x:c r="C33" s="6" t="n">
        <x:v>1096000</x:v>
      </x:c>
      <x:c r="D33" s="6" t="n">
        <x:v>2511000</x:v>
      </x:c>
      <x:c r="E33" s="6" t="n">
        <x:f>C33-D33</x:f>
        <x:v>-1415000</x:v>
      </x:c>
      <x:c r="F33" s="6" t="n">
        <x:f>F32+E33</x:f>
        <x:v>-22137000</x:v>
      </x:c>
      <x:c r="G33" s="6" t="n">
        <x:v>862000</x:v>
      </x:c>
      <x:c r="H33" s="6" t="n">
        <x:v>2277000</x:v>
      </x:c>
      <x:c r="I33" s="6" t="n">
        <x:v>102</x:v>
      </x:c>
      <x:c r="J33" s="6" t="n">
        <x:v>234</x:v>
      </x:c>
      <x:c r="K33" s="6" t="n">
        <x:v>273</x:v>
      </x:c>
      <x:c r="L33" s="6" t="n">
        <x:v>10</x:v>
      </x:c>
      <x:c r="M33" s="11" t="n">
        <x:v>0.8711111111111111</x:v>
      </x:c>
      <x:c r="N33" s="6" t="n">
        <x:v>1483000</x:v>
      </x:c>
    </x:row>
    <x:row r="34" ht="24" customHeight="1">
      <x:c r="A34" s="2" t="str">
        <x:v>2026-10-09_Day</x:v>
      </x:c>
      <x:c r="B34" s="6" t="str">
        <x:v>デイ</x:v>
      </x:c>
      <x:c r="C34" s="6" t="n">
        <x:v>987000</x:v>
      </x:c>
      <x:c r="D34" s="6" t="n">
        <x:v>1645000</x:v>
      </x:c>
      <x:c r="E34" s="6" t="n">
        <x:f>C34-D34</x:f>
        <x:v>-658000</x:v>
      </x:c>
      <x:c r="F34" s="6" t="n">
        <x:f>F33+E34</x:f>
        <x:v>-22795000</x:v>
      </x:c>
      <x:c r="G34" s="6" t="n">
        <x:v>827000</x:v>
      </x:c>
      <x:c r="H34" s="6" t="n">
        <x:v>1485000</x:v>
      </x:c>
      <x:c r="I34" s="6" t="n">
        <x:v>67</x:v>
      </x:c>
      <x:c r="J34" s="6" t="n">
        <x:v>157</x:v>
      </x:c>
      <x:c r="K34" s="6" t="n">
        <x:v>164</x:v>
      </x:c>
      <x:c r="L34" s="6" t="n">
        <x:v>10</x:v>
      </x:c>
      <x:c r="M34" s="11" t="n">
        <x:v>0.8782142857142857</x:v>
      </x:c>
      <x:c r="N34" s="6" t="n">
        <x:v>811000</x:v>
      </x:c>
    </x:row>
    <x:row r="35" ht="24" customHeight="1">
      <x:c r="A35" s="2" t="str">
        <x:v>2026-10-09_Night</x:v>
      </x:c>
      <x:c r="B35" s="6" t="str">
        <x:v>ナイト</x:v>
      </x:c>
      <x:c r="C35" s="6" t="n">
        <x:v>179000</x:v>
      </x:c>
      <x:c r="D35" s="6" t="n">
        <x:v>761000</x:v>
      </x:c>
      <x:c r="E35" s="6" t="n">
        <x:f>C35-D35</x:f>
        <x:v>-582000</x:v>
      </x:c>
      <x:c r="F35" s="6" t="n">
        <x:f>F34+E35</x:f>
        <x:v>-23377000</x:v>
      </x:c>
      <x:c r="G35" s="6" t="n">
        <x:v>91000</x:v>
      </x:c>
      <x:c r="H35" s="6" t="n">
        <x:v>673000</x:v>
      </x:c>
      <x:c r="I35" s="6" t="n">
        <x:v>50</x:v>
      </x:c>
      <x:c r="J35" s="6" t="n">
        <x:v>132</x:v>
      </x:c>
      <x:c r="K35" s="6" t="n">
        <x:v>138</x:v>
      </x:c>
      <x:c r="L35" s="6" t="n">
        <x:v>10</x:v>
      </x:c>
      <x:c r="M35" s="11" t="n">
        <x:v>0.8226709401709402</x:v>
      </x:c>
      <x:c r="N35" s="6" t="n">
        <x:v>612000</x:v>
      </x:c>
    </x:row>
    <x:row r="36" ht="24" customHeight="1">
      <x:c r="A36" s="2" t="str">
        <x:v>2026-10-12_Day</x:v>
      </x:c>
      <x:c r="B36" s="6" t="str">
        <x:v>デイ</x:v>
      </x:c>
      <x:c r="C36" s="6" t="n">
        <x:v>198000</x:v>
      </x:c>
      <x:c r="D36" s="6" t="n">
        <x:v>563000</x:v>
      </x:c>
      <x:c r="E36" s="6" t="n">
        <x:f>C36-D36</x:f>
        <x:v>-365000</x:v>
      </x:c>
      <x:c r="F36" s="6" t="n">
        <x:f>F35+E36</x:f>
        <x:v>-23742000</x:v>
      </x:c>
      <x:c r="G36" s="6" t="n">
        <x:v>120000</x:v>
      </x:c>
      <x:c r="H36" s="6" t="n">
        <x:v>485000</x:v>
      </x:c>
      <x:c r="I36" s="6" t="n">
        <x:v>29</x:v>
      </x:c>
      <x:c r="J36" s="6" t="n">
        <x:v>78</x:v>
      </x:c>
      <x:c r="K36" s="6" t="n">
        <x:v>89</x:v>
      </x:c>
      <x:c r="L36" s="6" t="n">
        <x:v>10</x:v>
      </x:c>
      <x:c r="M36" s="11" t="n">
        <x:v>0.7760317460317461</x:v>
      </x:c>
      <x:c r="N36" s="6" t="n">
        <x:v>412000</x:v>
      </x:c>
    </x:row>
    <x:row r="37" ht="24" customHeight="1">
      <x:c r="A37" s="2" t="str">
        <x:v>2026-10-12_Night</x:v>
      </x:c>
      <x:c r="B37" s="6" t="str">
        <x:v>ナイト</x:v>
      </x:c>
      <x:c r="C37" s="6" t="n">
        <x:v>223000</x:v>
      </x:c>
      <x:c r="D37" s="6" t="n">
        <x:v>685000</x:v>
      </x:c>
      <x:c r="E37" s="6" t="n">
        <x:f>C37-D37</x:f>
        <x:v>-462000</x:v>
      </x:c>
      <x:c r="F37" s="6" t="n">
        <x:f>F36+E37</x:f>
        <x:v>-24204000</x:v>
      </x:c>
      <x:c r="G37" s="6" t="n">
        <x:v>158000</x:v>
      </x:c>
      <x:c r="H37" s="6" t="n">
        <x:v>620000</x:v>
      </x:c>
      <x:c r="I37" s="6" t="n">
        <x:v>35</x:v>
      </x:c>
      <x:c r="J37" s="6" t="n">
        <x:v>72</x:v>
      </x:c>
      <x:c r="K37" s="6" t="n">
        <x:v>81</x:v>
      </x:c>
      <x:c r="L37" s="6" t="n">
        <x:v>10</x:v>
      </x:c>
      <x:c r="M37" s="11" t="n">
        <x:v>0.6012820512820513</x:v>
      </x:c>
      <x:c r="N37" s="6" t="n">
        <x:v>501000</x:v>
      </x:c>
    </x:row>
    <x:row r="38" ht="24" customHeight="1">
      <x:c r="A38" s="2" t="str">
        <x:v>2026-10-13_Day</x:v>
      </x:c>
      <x:c r="B38" s="6" t="str">
        <x:v>デイ</x:v>
      </x:c>
      <x:c r="C38" s="6" t="n">
        <x:v>940000</x:v>
      </x:c>
      <x:c r="D38" s="6" t="n">
        <x:v>2125000</x:v>
      </x:c>
      <x:c r="E38" s="6" t="n">
        <x:f>C38-D38</x:f>
        <x:v>-1185000</x:v>
      </x:c>
      <x:c r="F38" s="6" t="n">
        <x:f>F37+E38</x:f>
        <x:v>-25389000</x:v>
      </x:c>
      <x:c r="G38" s="6" t="n">
        <x:v>689000</x:v>
      </x:c>
      <x:c r="H38" s="6" t="n">
        <x:v>1874000</x:v>
      </x:c>
      <x:c r="I38" s="6" t="n">
        <x:v>79</x:v>
      </x:c>
      <x:c r="J38" s="6" t="n">
        <x:v>217</x:v>
      </x:c>
      <x:c r="K38" s="6" t="n">
        <x:v>235</x:v>
      </x:c>
      <x:c r="L38" s="6" t="n">
        <x:v>10</x:v>
      </x:c>
      <x:c r="M38" s="11" t="n">
        <x:v>0.8616666666666667</x:v>
      </x:c>
      <x:c r="N38" s="6" t="n">
        <x:v>1268000</x:v>
      </x:c>
    </x:row>
    <x:row r="39" ht="24" customHeight="1">
      <x:c r="A39" s="2" t="str">
        <x:v>2026-10-13_Night</x:v>
      </x:c>
      <x:c r="B39" s="6" t="str">
        <x:v>ナイト</x:v>
      </x:c>
      <x:c r="C39" s="6" t="n">
        <x:v>337000</x:v>
      </x:c>
      <x:c r="D39" s="6" t="n">
        <x:v>749000</x:v>
      </x:c>
      <x:c r="E39" s="6" t="n">
        <x:f>C39-D39</x:f>
        <x:v>-412000</x:v>
      </x:c>
      <x:c r="F39" s="6" t="n">
        <x:f>F38+E39</x:f>
        <x:v>-25801000</x:v>
      </x:c>
      <x:c r="G39" s="6" t="n">
        <x:v>230000</x:v>
      </x:c>
      <x:c r="H39" s="6" t="n">
        <x:v>642000</x:v>
      </x:c>
      <x:c r="I39" s="6" t="n">
        <x:v>40</x:v>
      </x:c>
      <x:c r="J39" s="6" t="n">
        <x:v>112</x:v>
      </x:c>
      <x:c r="K39" s="6" t="n">
        <x:v>127</x:v>
      </x:c>
      <x:c r="L39" s="6" t="n">
        <x:v>10</x:v>
      </x:c>
      <x:c r="M39" s="11" t="n">
        <x:v>0.8016452991452991</x:v>
      </x:c>
      <x:c r="N39" s="6" t="n">
        <x:v>437000</x:v>
      </x:c>
    </x:row>
    <x:row r="40" ht="24" customHeight="1">
      <x:c r="A40" s="2" t="str">
        <x:v>2026-10-14_Day</x:v>
      </x:c>
      <x:c r="B40" s="6" t="str">
        <x:v>デイ</x:v>
      </x:c>
      <x:c r="C40" s="6" t="n">
        <x:v>675000</x:v>
      </x:c>
      <x:c r="D40" s="6" t="n">
        <x:v>1567000</x:v>
      </x:c>
      <x:c r="E40" s="6" t="n">
        <x:f>C40-D40</x:f>
        <x:v>-892000</x:v>
      </x:c>
      <x:c r="F40" s="6" t="n">
        <x:f>F39+E40</x:f>
        <x:v>-26693000</x:v>
      </x:c>
      <x:c r="G40" s="6" t="n">
        <x:v>547000</x:v>
      </x:c>
      <x:c r="H40" s="6" t="n">
        <x:v>1439000</x:v>
      </x:c>
      <x:c r="I40" s="6" t="n">
        <x:v>72</x:v>
      </x:c>
      <x:c r="J40" s="6" t="n">
        <x:v>158</x:v>
      </x:c>
      <x:c r="K40" s="6" t="n">
        <x:v>171</x:v>
      </x:c>
      <x:c r="L40" s="6" t="n">
        <x:v>10</x:v>
      </x:c>
      <x:c r="M40" s="11" t="n">
        <x:v>0.8747619047619047</x:v>
      </x:c>
      <x:c r="N40" s="6" t="n">
        <x:v>911000</x:v>
      </x:c>
    </x:row>
    <x:row r="41" ht="24" customHeight="1">
      <x:c r="A41" s="2" t="str">
        <x:v>2026-10-14_Night</x:v>
      </x:c>
      <x:c r="B41" s="6" t="str">
        <x:v>ナイト</x:v>
      </x:c>
      <x:c r="C41" s="6" t="n">
        <x:v>1331000</x:v>
      </x:c>
      <x:c r="D41" s="6" t="n">
        <x:v>2189000</x:v>
      </x:c>
      <x:c r="E41" s="6" t="n">
        <x:f>C41-D41</x:f>
        <x:v>-858000</x:v>
      </x:c>
      <x:c r="F41" s="6" t="n">
        <x:f>F40+E41</x:f>
        <x:v>-27551000</x:v>
      </x:c>
      <x:c r="G41" s="6" t="n">
        <x:v>1053000</x:v>
      </x:c>
      <x:c r="H41" s="6" t="n">
        <x:v>1911000</x:v>
      </x:c>
      <x:c r="I41" s="6" t="n">
        <x:v>102</x:v>
      </x:c>
      <x:c r="J41" s="6" t="n">
        <x:v>261</x:v>
      </x:c>
      <x:c r="K41" s="6" t="n">
        <x:v>284</x:v>
      </x:c>
      <x:c r="L41" s="6" t="n">
        <x:v>10</x:v>
      </x:c>
      <x:c r="M41" s="11" t="n">
        <x:v>0.8676282051282052</x:v>
      </x:c>
      <x:c r="N41" s="6" t="n">
        <x:v>928000</x:v>
      </x:c>
    </x:row>
    <x:row r="42" ht="24" customHeight="1">
      <x:c r="A42" s="2" t="str">
        <x:v>2026-10-15_Day</x:v>
      </x:c>
      <x:c r="B42" s="6" t="str">
        <x:v>デイ</x:v>
      </x:c>
      <x:c r="C42" s="6" t="n">
        <x:v>2028000</x:v>
      </x:c>
      <x:c r="D42" s="6" t="n">
        <x:v>3739000</x:v>
      </x:c>
      <x:c r="E42" s="6" t="n">
        <x:f>C42-D42</x:f>
        <x:v>-1711000</x:v>
      </x:c>
      <x:c r="F42" s="6" t="n">
        <x:f>F41+E42</x:f>
        <x:v>-29262000</x:v>
      </x:c>
      <x:c r="G42" s="6" t="n">
        <x:v>1769000</x:v>
      </x:c>
      <x:c r="H42" s="6" t="n">
        <x:v>3480000</x:v>
      </x:c>
      <x:c r="I42" s="6" t="n">
        <x:v>175</x:v>
      </x:c>
      <x:c r="J42" s="6" t="n">
        <x:v>266</x:v>
      </x:c>
      <x:c r="K42" s="6" t="n">
        <x:v>275</x:v>
      </x:c>
      <x:c r="L42" s="6" t="n">
        <x:v>10</x:v>
      </x:c>
      <x:c r="M42" s="11" t="n">
        <x:v>0.8140079365079365</x:v>
      </x:c>
      <x:c r="N42" s="6" t="n">
        <x:v>1753000</x:v>
      </x:c>
    </x:row>
    <x:row r="43" ht="24" customHeight="1">
      <x:c r="A43" s="2" t="str">
        <x:v>2026-10-15_Night</x:v>
      </x:c>
      <x:c r="B43" s="6" t="str">
        <x:v>ナイト</x:v>
      </x:c>
      <x:c r="C43" s="6" t="n">
        <x:v>1415000</x:v>
      </x:c>
      <x:c r="D43" s="6" t="n">
        <x:v>3169000</x:v>
      </x:c>
      <x:c r="E43" s="6" t="n">
        <x:f>C43-D43</x:f>
        <x:v>-1754000</x:v>
      </x:c>
      <x:c r="F43" s="6" t="n">
        <x:f>F42+E43</x:f>
        <x:v>-31016000</x:v>
      </x:c>
      <x:c r="G43" s="6" t="n">
        <x:v>1198000</x:v>
      </x:c>
      <x:c r="H43" s="6" t="n">
        <x:v>2952000</x:v>
      </x:c>
      <x:c r="I43" s="6" t="n">
        <x:v>162</x:v>
      </x:c>
      <x:c r="J43" s="6" t="n">
        <x:v>251</x:v>
      </x:c>
      <x:c r="K43" s="6" t="n">
        <x:v>280</x:v>
      </x:c>
      <x:c r="L43" s="6" t="n">
        <x:v>10</x:v>
      </x:c>
      <x:c r="M43" s="11" t="n">
        <x:v>0.7962393162393162</x:v>
      </x:c>
      <x:c r="N43" s="6" t="n">
        <x:v>1774000</x:v>
      </x:c>
    </x:row>
    <x:row r="44" ht="24" customHeight="1">
      <x:c r="A44" s="2" t="str">
        <x:v>2026-10-16_Day</x:v>
      </x:c>
      <x:c r="B44" s="6" t="str">
        <x:v>デイ</x:v>
      </x:c>
      <x:c r="C44" s="6" t="n">
        <x:v>1452000</x:v>
      </x:c>
      <x:c r="D44" s="6" t="n">
        <x:v>2698000</x:v>
      </x:c>
      <x:c r="E44" s="6" t="n">
        <x:f>C44-D44</x:f>
        <x:v>-1246000</x:v>
      </x:c>
      <x:c r="F44" s="6" t="n">
        <x:f>F43+E44</x:f>
        <x:v>-32262000</x:v>
      </x:c>
      <x:c r="G44" s="6" t="n">
        <x:v>1240000</x:v>
      </x:c>
      <x:c r="H44" s="6" t="n">
        <x:v>2486000</x:v>
      </x:c>
      <x:c r="I44" s="6" t="n">
        <x:v>125</x:v>
      </x:c>
      <x:c r="J44" s="6" t="n">
        <x:v>210</x:v>
      </x:c>
      <x:c r="K44" s="6" t="n">
        <x:v>230</x:v>
      </x:c>
      <x:c r="L44" s="6" t="n">
        <x:v>10</x:v>
      </x:c>
      <x:c r="M44" s="11" t="n">
        <x:v>0.8650793650793651</x:v>
      </x:c>
      <x:c r="N44" s="6" t="n">
        <x:v>1288000</x:v>
      </x:c>
    </x:row>
    <x:row r="45" ht="24" customHeight="1">
      <x:c r="A45" s="2" t="str">
        <x:v>2026-10-16_Night</x:v>
      </x:c>
      <x:c r="B45" s="6" t="str">
        <x:v>ナイト</x:v>
      </x:c>
      <x:c r="C45" s="6" t="n">
        <x:v>1534000</x:v>
      </x:c>
      <x:c r="D45" s="6" t="n">
        <x:v>2987000</x:v>
      </x:c>
      <x:c r="E45" s="6" t="n">
        <x:f>C45-D45</x:f>
        <x:v>-1453000</x:v>
      </x:c>
      <x:c r="F45" s="6" t="n">
        <x:f>F44+E45</x:f>
        <x:v>-33715000</x:v>
      </x:c>
      <x:c r="G45" s="6" t="n">
        <x:v>1267000</x:v>
      </x:c>
      <x:c r="H45" s="6" t="n">
        <x:v>2720000</x:v>
      </x:c>
      <x:c r="I45" s="6" t="n">
        <x:v>170</x:v>
      </x:c>
      <x:c r="J45" s="6" t="n">
        <x:v>299</x:v>
      </x:c>
      <x:c r="K45" s="6" t="n">
        <x:v>325</x:v>
      </x:c>
      <x:c r="L45" s="6" t="n">
        <x:v>10</x:v>
      </x:c>
      <x:c r="M45" s="11" t="n">
        <x:v>0.7951282051282051</x:v>
      </x:c>
      <x:c r="N45" s="6" t="n">
        <x:v>1468000</x:v>
      </x:c>
    </x:row>
    <x:row r="46" ht="24" customHeight="1">
      <x:c r="A46" s="2" t="str">
        <x:v>2026-10-19_Day</x:v>
      </x:c>
      <x:c r="B46" s="6" t="str">
        <x:v>デイ</x:v>
      </x:c>
      <x:c r="C46" s="6" t="n">
        <x:v>1174000</x:v>
      </x:c>
      <x:c r="D46" s="6" t="n">
        <x:v>2328000</x:v>
      </x:c>
      <x:c r="E46" s="6" t="n">
        <x:f>C46-D46</x:f>
        <x:v>-1154000</x:v>
      </x:c>
      <x:c r="F46" s="6" t="n">
        <x:f>F45+E46</x:f>
        <x:v>-34869000</x:v>
      </x:c>
      <x:c r="G46" s="6" t="n">
        <x:v>992000</x:v>
      </x:c>
      <x:c r="H46" s="6" t="n">
        <x:v>2146000</x:v>
      </x:c>
      <x:c r="I46" s="6" t="n">
        <x:v>115</x:v>
      </x:c>
      <x:c r="J46" s="6" t="n">
        <x:v>179</x:v>
      </x:c>
      <x:c r="K46" s="6" t="n">
        <x:v>191</x:v>
      </x:c>
      <x:c r="L46" s="6" t="n">
        <x:v>10</x:v>
      </x:c>
      <x:c r="M46" s="11" t="n">
        <x:v>0.8175396825396826</x:v>
      </x:c>
      <x:c r="N46" s="6" t="n">
        <x:v>1240000</x:v>
      </x:c>
    </x:row>
    <x:row r="47" ht="24" customHeight="1">
      <x:c r="A47" s="2" t="str">
        <x:v>2026-10-19_Night</x:v>
      </x:c>
      <x:c r="B47" s="6" t="str">
        <x:v>ナイト</x:v>
      </x:c>
      <x:c r="C47" s="6" t="n">
        <x:v>673000</x:v>
      </x:c>
      <x:c r="D47" s="6" t="n">
        <x:v>2147000</x:v>
      </x:c>
      <x:c r="E47" s="6" t="n">
        <x:f>C47-D47</x:f>
        <x:v>-1474000</x:v>
      </x:c>
      <x:c r="F47" s="6" t="n">
        <x:f>F46+E47</x:f>
        <x:v>-36343000</x:v>
      </x:c>
      <x:c r="G47" s="6" t="n">
        <x:v>471000</x:v>
      </x:c>
      <x:c r="H47" s="6" t="n">
        <x:v>1945000</x:v>
      </x:c>
      <x:c r="I47" s="6" t="n">
        <x:v>117</x:v>
      </x:c>
      <x:c r="J47" s="6" t="n">
        <x:v>230</x:v>
      </x:c>
      <x:c r="K47" s="6" t="n">
        <x:v>281</x:v>
      </x:c>
      <x:c r="L47" s="6" t="n">
        <x:v>10</x:v>
      </x:c>
      <x:c r="M47" s="11" t="n">
        <x:v>0.810448717948718</x:v>
      </x:c>
      <x:c r="N47" s="6" t="n">
        <x:v>1474000</x:v>
      </x:c>
    </x:row>
    <x:row r="48" ht="24" customHeight="1">
      <x:c r="A48" s="2" t="str">
        <x:v>2026-10-20_Day</x:v>
      </x:c>
      <x:c r="B48" s="6" t="str">
        <x:v>デイ</x:v>
      </x:c>
      <x:c r="C48" s="6" t="n">
        <x:v>1314000</x:v>
      </x:c>
      <x:c r="D48" s="6" t="n">
        <x:v>3118000</x:v>
      </x:c>
      <x:c r="E48" s="6" t="n">
        <x:f>C48-D48</x:f>
        <x:v>-1804000</x:v>
      </x:c>
      <x:c r="F48" s="6" t="n">
        <x:f>F47+E48</x:f>
        <x:v>-38147000</x:v>
      </x:c>
      <x:c r="G48" s="6" t="n">
        <x:v>1125000</x:v>
      </x:c>
      <x:c r="H48" s="6" t="n">
        <x:v>2929000</x:v>
      </x:c>
      <x:c r="I48" s="6" t="n">
        <x:v>143</x:v>
      </x:c>
      <x:c r="J48" s="6" t="n">
        <x:v>221</x:v>
      </x:c>
      <x:c r="K48" s="6" t="n">
        <x:v>249</x:v>
      </x:c>
      <x:c r="L48" s="6" t="n">
        <x:v>10</x:v>
      </x:c>
      <x:c r="M48" s="11" t="n">
        <x:v>0.8659920634920635</x:v>
      </x:c>
      <x:c r="N48" s="6" t="n">
        <x:v>1854000</x:v>
      </x:c>
    </x:row>
    <x:row r="49" ht="24" customHeight="1">
      <x:c r="A49" s="2" t="str">
        <x:v>2026-10-20_Night</x:v>
      </x:c>
      <x:c r="B49" s="6" t="str">
        <x:v>ナイト</x:v>
      </x:c>
      <x:c r="C49" s="6" t="n">
        <x:v>1520000</x:v>
      </x:c>
      <x:c r="D49" s="6" t="n">
        <x:v>2717000</x:v>
      </x:c>
      <x:c r="E49" s="6" t="n">
        <x:f>C49-D49</x:f>
        <x:v>-1197000</x:v>
      </x:c>
      <x:c r="F49" s="6" t="n">
        <x:f>F48+E49</x:f>
        <x:v>-39344000</x:v>
      </x:c>
      <x:c r="G49" s="6" t="n">
        <x:v>1339000</x:v>
      </x:c>
      <x:c r="H49" s="6" t="n">
        <x:v>2536000</x:v>
      </x:c>
      <x:c r="I49" s="6" t="n">
        <x:v>147</x:v>
      </x:c>
      <x:c r="J49" s="6" t="n">
        <x:v>256</x:v>
      </x:c>
      <x:c r="K49" s="6" t="n">
        <x:v>298</x:v>
      </x:c>
      <x:c r="L49" s="6" t="n">
        <x:v>10</x:v>
      </x:c>
      <x:c r="M49" s="11" t="n">
        <x:v>0.7292307692307692</x:v>
      </x:c>
      <x:c r="N49" s="6" t="n">
        <x:v>1298000</x:v>
      </x:c>
    </x:row>
    <x:row r="50" ht="24" customHeight="1">
      <x:c r="A50" s="2" t="str">
        <x:v>2026-10-21_Day</x:v>
      </x:c>
      <x:c r="B50" s="6" t="str">
        <x:v>デイ</x:v>
      </x:c>
      <x:c r="C50" s="6" t="n">
        <x:v>1210000</x:v>
      </x:c>
      <x:c r="D50" s="6" t="n">
        <x:v>2414000</x:v>
      </x:c>
      <x:c r="E50" s="6" t="n">
        <x:f>C50-D50</x:f>
        <x:v>-1204000</x:v>
      </x:c>
      <x:c r="F50" s="6" t="n">
        <x:f>F49+E50</x:f>
        <x:v>-40548000</x:v>
      </x:c>
      <x:c r="G50" s="6" t="n">
        <x:v>1080000</x:v>
      </x:c>
      <x:c r="H50" s="6" t="n">
        <x:v>2284000</x:v>
      </x:c>
      <x:c r="I50" s="6" t="n">
        <x:v>116</x:v>
      </x:c>
      <x:c r="J50" s="6" t="n">
        <x:v>192</x:v>
      </x:c>
      <x:c r="K50" s="6" t="n">
        <x:v>224</x:v>
      </x:c>
      <x:c r="L50" s="6" t="n">
        <x:v>10</x:v>
      </x:c>
      <x:c r="M50" s="11" t="n">
        <x:v>0.8690873015873016</x:v>
      </x:c>
      <x:c r="N50" s="6" t="n">
        <x:v>1331000</x:v>
      </x:c>
    </x:row>
    <x:row r="51" ht="24" customHeight="1">
      <x:c r="A51" s="2" t="str">
        <x:v>2026-10-21_Night</x:v>
      </x:c>
      <x:c r="B51" s="6" t="str">
        <x:v>ナイト</x:v>
      </x:c>
      <x:c r="C51" s="6" t="n">
        <x:v>1011000</x:v>
      </x:c>
      <x:c r="D51" s="6" t="n">
        <x:v>1937000</x:v>
      </x:c>
      <x:c r="E51" s="6" t="n">
        <x:f>C51-D51</x:f>
        <x:v>-926000</x:v>
      </x:c>
      <x:c r="F51" s="6" t="n">
        <x:f>F50+E51</x:f>
        <x:v>-41474000</x:v>
      </x:c>
      <x:c r="G51" s="6" t="n">
        <x:v>798000</x:v>
      </x:c>
      <x:c r="H51" s="6" t="n">
        <x:v>1724000</x:v>
      </x:c>
      <x:c r="I51" s="6" t="n">
        <x:v>113</x:v>
      </x:c>
      <x:c r="J51" s="6" t="n">
        <x:v>239</x:v>
      </x:c>
      <x:c r="K51" s="6" t="n">
        <x:v>242</x:v>
      </x:c>
      <x:c r="L51" s="6" t="n">
        <x:v>10</x:v>
      </x:c>
      <x:c r="M51" s="11" t="n">
        <x:v>0.804017094017094</x:v>
      </x:c>
      <x:c r="N51" s="6" t="n">
        <x:v>1033000</x:v>
      </x:c>
    </x:row>
    <x:row r="52" ht="24" customHeight="1">
      <x:c r="A52" s="2" t="str">
        <x:v>2026-10-22_Day</x:v>
      </x:c>
      <x:c r="B52" s="6" t="str">
        <x:v>デイ</x:v>
      </x:c>
      <x:c r="C52" s="6" t="n">
        <x:v>1004000</x:v>
      </x:c>
      <x:c r="D52" s="6" t="n">
        <x:v>2275000</x:v>
      </x:c>
      <x:c r="E52" s="6" t="n">
        <x:f>C52-D52</x:f>
        <x:v>-1271000</x:v>
      </x:c>
      <x:c r="F52" s="6" t="n">
        <x:f>F51+E52</x:f>
        <x:v>-42745000</x:v>
      </x:c>
      <x:c r="G52" s="6" t="n">
        <x:v>846000</x:v>
      </x:c>
      <x:c r="H52" s="6" t="n">
        <x:v>2117000</x:v>
      </x:c>
      <x:c r="I52" s="6" t="n">
        <x:v>115</x:v>
      </x:c>
      <x:c r="J52" s="6" t="n">
        <x:v>213</x:v>
      </x:c>
      <x:c r="K52" s="6" t="n">
        <x:v>213</x:v>
      </x:c>
      <x:c r="L52" s="6" t="n">
        <x:v>10</x:v>
      </x:c>
      <x:c r="M52" s="11" t="n">
        <x:v>0.7771031746031746</x:v>
      </x:c>
      <x:c r="N52" s="6" t="n">
        <x:v>1390000</x:v>
      </x:c>
    </x:row>
    <x:row r="53" ht="24" customHeight="1">
      <x:c r="A53" s="2" t="str">
        <x:v>2026-10-22_Night</x:v>
      </x:c>
      <x:c r="B53" s="6" t="str">
        <x:v>ナイト</x:v>
      </x:c>
      <x:c r="C53" s="6" t="n">
        <x:v>1415000</x:v>
      </x:c>
      <x:c r="D53" s="6" t="n">
        <x:v>2852000</x:v>
      </x:c>
      <x:c r="E53" s="6" t="n">
        <x:f>C53-D53</x:f>
        <x:v>-1437000</x:v>
      </x:c>
      <x:c r="F53" s="6" t="n">
        <x:f>F52+E53</x:f>
        <x:v>-44182000</x:v>
      </x:c>
      <x:c r="G53" s="6" t="n">
        <x:v>1112000</x:v>
      </x:c>
      <x:c r="H53" s="6" t="n">
        <x:v>2549000</x:v>
      </x:c>
      <x:c r="I53" s="6" t="n">
        <x:v>153</x:v>
      </x:c>
      <x:c r="J53" s="6" t="n">
        <x:v>284</x:v>
      </x:c>
      <x:c r="K53" s="6" t="n">
        <x:v>319</x:v>
      </x:c>
      <x:c r="L53" s="6" t="n">
        <x:v>10</x:v>
      </x:c>
      <x:c r="M53" s="11" t="n">
        <x:v>0.8406196581196581</x:v>
      </x:c>
      <x:c r="N53" s="6" t="n">
        <x:v>1556000</x:v>
      </x:c>
    </x:row>
    <x:row r="54" ht="24" customHeight="1">
      <x:c r="A54" s="2" t="str">
        <x:v>2026-10-23_Day</x:v>
      </x:c>
      <x:c r="B54" s="6" t="str">
        <x:v>デイ</x:v>
      </x:c>
      <x:c r="C54" s="6" t="n">
        <x:v>2595000</x:v>
      </x:c>
      <x:c r="D54" s="6" t="n">
        <x:v>6010000</x:v>
      </x:c>
      <x:c r="E54" s="6" t="n">
        <x:f>C54-D54</x:f>
        <x:v>-3415000</x:v>
      </x:c>
      <x:c r="F54" s="6" t="n">
        <x:f>F53+E54</x:f>
        <x:v>-47597000</x:v>
      </x:c>
      <x:c r="G54" s="6" t="n">
        <x:v>2333000</x:v>
      </x:c>
      <x:c r="H54" s="6" t="n">
        <x:v>5748000</x:v>
      </x:c>
      <x:c r="I54" s="6" t="n">
        <x:v>235</x:v>
      </x:c>
      <x:c r="J54" s="6" t="n">
        <x:v>238</x:v>
      </x:c>
      <x:c r="K54" s="6" t="n">
        <x:v>276</x:v>
      </x:c>
      <x:c r="L54" s="6" t="n">
        <x:v>10</x:v>
      </x:c>
      <x:c r="M54" s="11" t="n">
        <x:v>0.8246031746031746</x:v>
      </x:c>
      <x:c r="N54" s="6" t="n">
        <x:v>3432000</x:v>
      </x:c>
    </x:row>
    <x:row r="55" ht="24" customHeight="1">
      <x:c r="A55" s="2" t="str">
        <x:v>2026-10-23_Night</x:v>
      </x:c>
      <x:c r="B55" s="6" t="str">
        <x:v>ナイト</x:v>
      </x:c>
      <x:c r="C55" s="6" t="n">
        <x:v>1019000</x:v>
      </x:c>
      <x:c r="D55" s="6" t="n">
        <x:v>2304000</x:v>
      </x:c>
      <x:c r="E55" s="6" t="n">
        <x:f>C55-D55</x:f>
        <x:v>-1285000</x:v>
      </x:c>
      <x:c r="F55" s="6" t="n">
        <x:f>F54+E55</x:f>
        <x:v>-48882000</x:v>
      </x:c>
      <x:c r="G55" s="6" t="n">
        <x:v>729000</x:v>
      </x:c>
      <x:c r="H55" s="6" t="n">
        <x:v>2014000</x:v>
      </x:c>
      <x:c r="I55" s="6" t="n">
        <x:v>126</x:v>
      </x:c>
      <x:c r="J55" s="6" t="n">
        <x:v>259</x:v>
      </x:c>
      <x:c r="K55" s="6" t="n">
        <x:v>277</x:v>
      </x:c>
      <x:c r="L55" s="6" t="n">
        <x:v>10</x:v>
      </x:c>
      <x:c r="M55" s="11" t="n">
        <x:v>0.8492735042735042</x:v>
      </x:c>
      <x:c r="N55" s="6" t="n">
        <x:v>1325000</x:v>
      </x:c>
    </x:row>
    <x:row r="56" ht="24" customHeight="1">
      <x:c r="A56" s="2" t="str">
        <x:v>2026-10-26_Day</x:v>
      </x:c>
      <x:c r="B56" s="6" t="str">
        <x:v>デイ</x:v>
      </x:c>
      <x:c r="C56" s="6" t="n">
        <x:v>1605000</x:v>
      </x:c>
      <x:c r="D56" s="6" t="n">
        <x:v>3423000</x:v>
      </x:c>
      <x:c r="E56" s="6" t="n">
        <x:f>C56-D56</x:f>
        <x:v>-1818000</x:v>
      </x:c>
      <x:c r="F56" s="6" t="n">
        <x:f>F55+E56</x:f>
        <x:v>-50700000</x:v>
      </x:c>
      <x:c r="G56" s="6" t="n">
        <x:v>1358000</x:v>
      </x:c>
      <x:c r="H56" s="6" t="n">
        <x:v>3176000</x:v>
      </x:c>
      <x:c r="I56" s="6" t="n">
        <x:v>147</x:v>
      </x:c>
      <x:c r="J56" s="6" t="n">
        <x:v>213</x:v>
      </x:c>
      <x:c r="K56" s="6" t="n">
        <x:v>235</x:v>
      </x:c>
      <x:c r="L56" s="6" t="n">
        <x:v>10</x:v>
      </x:c>
      <x:c r="M56" s="11" t="n">
        <x:v>0.8438888888888889</x:v>
      </x:c>
      <x:c r="N56" s="6" t="n">
        <x:v>1852000</x:v>
      </x:c>
    </x:row>
    <x:row r="57" ht="24" customHeight="1">
      <x:c r="A57" s="15" t="str">
        <x:v>累計／平均／最大</x:v>
      </x:c>
      <x:c r="B57" s="16"/>
      <x:c r="C57" s="16" t="n">
        <x:f>SUM(C6:C56)</x:f>
        <x:v>44659000</x:v>
      </x:c>
      <x:c r="D57" s="16" t="n">
        <x:f>SUM(D6:D56)</x:f>
        <x:v>95359000</x:v>
      </x:c>
      <x:c r="E57" s="16" t="n">
        <x:f>C57-D57</x:f>
        <x:v>-50700000</x:v>
      </x:c>
      <x:c r="F57" s="16" t="n">
        <x:f>F56</x:f>
        <x:v>-50700000</x:v>
      </x:c>
      <x:c r="G57" s="16" t="n">
        <x:f>SUM(G6:G56)</x:f>
        <x:v>35956000</x:v>
      </x:c>
      <x:c r="H57" s="16" t="n">
        <x:f>SUM(H6:H56)</x:f>
        <x:v>86656000</x:v>
      </x:c>
      <x:c r="I57" s="16" t="n">
        <x:f>SUM(I6:I56)</x:f>
        <x:v>4720</x:v>
      </x:c>
      <x:c r="J57" s="16" t="n">
        <x:f>SUM(J6:J56)</x:f>
        <x:v>9282</x:v>
      </x:c>
      <x:c r="K57" s="16" t="n">
        <x:f>SUM(K6:K56)</x:f>
        <x:v>10182</x:v>
      </x:c>
      <x:c r="L57" s="16" t="n">
        <x:f>MAX(L6:L56)</x:f>
        <x:v>10</x:v>
      </x:c>
      <x:c r="M57" s="17" t="n">
        <x:f>AVERAGE(M6:M56)</x:f>
        <x:v>0.8194859824271589</x:v>
      </x:c>
      <x:c r="N57" s="16" t="n">
        <x:f>MAX(N6:N56)</x:f>
        <x:v>3432000</x:v>
      </x:c>
    </x:row>
  </x:sheetData>
  <x:conditionalFormatting sqref="E6:F56">
    <x:cfRule type="cellIs" dxfId="29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951dce556344085"/>
  </x:tableParts>
</x:worksheet>
</file>

<file path=xl/worksheets/sheet3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1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4" customHeight="1">
      <x:c r="A1" s="3" t="str">
        <x:v>日経 M23　各セッションの利益・損失・収支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A2" s="4" t="str">
        <x:v>2026/09/21〜10/26デイ・51完了場。日経mini／TOPIXmini各上限10枚・手数料0。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4" customHeight="1">
      <x:c r="A3" s="4" t="str">
        <x:v>600秒の時間加重平均を60秒前と比較。保有中も傾き比例で増減、利益追尾＋傾き反転で返済。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4" customHeight="1">
      <x:c r="A4" s="4" t="str">
        <x:v>利益・損失＝FIFO返済配賦別。親＝初回から全返済まで。ラージ気配による模型で、mini実約定の検証ではありません。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42" customHeight="1">
      <x:c r="A5" s="10" t="str">
        <x:v>セッション</x:v>
      </x:c>
      <x:c r="B5" s="10" t="str">
        <x:v>区分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親利益（円）</x:v>
      </x:c>
      <x:c r="H5" s="10" t="str">
        <x:v>親損失（円）</x:v>
      </x:c>
      <x:c r="I5" s="10" t="str">
        <x:v>初回件数</x:v>
      </x:c>
      <x:c r="J5" s="10" t="str">
        <x:v>追加件数</x:v>
      </x:c>
      <x:c r="K5" s="10" t="str">
        <x:v>縮小件数</x:v>
      </x:c>
      <x:c r="L5" s="10" t="str">
        <x:v>最大保有枚数</x:v>
      </x:c>
      <x:c r="M5" s="10" t="str">
        <x:v>保有時間率</x:v>
      </x:c>
      <x:c r="N5" s="10" t="str">
        <x:v>時価最大DD（円）</x:v>
      </x:c>
    </x:row>
    <x:row r="6" ht="24" customHeight="1">
      <x:c r="A6" s="2" t="str">
        <x:v>2026-09-21_Day</x:v>
      </x:c>
      <x:c r="B6" s="6" t="str">
        <x:v>デイ</x:v>
      </x:c>
      <x:c r="C6" s="6" t="n">
        <x:v>148000</x:v>
      </x:c>
      <x:c r="D6" s="6" t="n">
        <x:v>602000</x:v>
      </x:c>
      <x:c r="E6" s="6" t="n">
        <x:f>C6-D6</x:f>
        <x:v>-454000</x:v>
      </x:c>
      <x:c r="F6" s="6" t="n">
        <x:f>E6</x:f>
        <x:v>-454000</x:v>
      </x:c>
      <x:c r="G6" s="6" t="n">
        <x:v>117000</x:v>
      </x:c>
      <x:c r="H6" s="6" t="n">
        <x:v>571000</x:v>
      </x:c>
      <x:c r="I6" s="6" t="n">
        <x:v>42</x:v>
      </x:c>
      <x:c r="J6" s="6" t="n">
        <x:v>55</x:v>
      </x:c>
      <x:c r="K6" s="6" t="n">
        <x:v>61</x:v>
      </x:c>
      <x:c r="L6" s="6" t="n">
        <x:v>10</x:v>
      </x:c>
      <x:c r="M6" s="11" t="n">
        <x:v>0.48345238095238097</x:v>
      </x:c>
      <x:c r="N6" s="6" t="n">
        <x:v>464000</x:v>
      </x:c>
    </x:row>
    <x:row r="7" ht="24" customHeight="1">
      <x:c r="A7" s="2" t="str">
        <x:v>2026-09-21_Night</x:v>
      </x:c>
      <x:c r="B7" s="6" t="str">
        <x:v>ナイト</x:v>
      </x:c>
      <x:c r="C7" s="6" t="n">
        <x:v>236000</x:v>
      </x:c>
      <x:c r="D7" s="6" t="n">
        <x:v>442000</x:v>
      </x:c>
      <x:c r="E7" s="6" t="n">
        <x:f>C7-D7</x:f>
        <x:v>-206000</x:v>
      </x:c>
      <x:c r="F7" s="6" t="n">
        <x:f>F6+E7</x:f>
        <x:v>-660000</x:v>
      </x:c>
      <x:c r="G7" s="6" t="n">
        <x:v>180000</x:v>
      </x:c>
      <x:c r="H7" s="6" t="n">
        <x:v>386000</x:v>
      </x:c>
      <x:c r="I7" s="6" t="n">
        <x:v>53</x:v>
      </x:c>
      <x:c r="J7" s="6" t="n">
        <x:v>71</x:v>
      </x:c>
      <x:c r="K7" s="6" t="n">
        <x:v>79</x:v>
      </x:c>
      <x:c r="L7" s="6" t="n">
        <x:v>9</x:v>
      </x:c>
      <x:c r="M7" s="11" t="n">
        <x:v>0.4806196581196581</x:v>
      </x:c>
      <x:c r="N7" s="6" t="n">
        <x:v>260000</x:v>
      </x:c>
    </x:row>
    <x:row r="8" ht="24" customHeight="1">
      <x:c r="A8" s="2" t="str">
        <x:v>2026-09-22_Day</x:v>
      </x:c>
      <x:c r="B8" s="6" t="str">
        <x:v>デイ</x:v>
      </x:c>
      <x:c r="C8" s="6" t="n">
        <x:v>439000</x:v>
      </x:c>
      <x:c r="D8" s="6" t="n">
        <x:v>983000</x:v>
      </x:c>
      <x:c r="E8" s="6" t="n">
        <x:f>C8-D8</x:f>
        <x:v>-544000</x:v>
      </x:c>
      <x:c r="F8" s="6" t="n">
        <x:f>F7+E8</x:f>
        <x:v>-1204000</x:v>
      </x:c>
      <x:c r="G8" s="6" t="n">
        <x:v>349000</x:v>
      </x:c>
      <x:c r="H8" s="6" t="n">
        <x:v>893000</x:v>
      </x:c>
      <x:c r="I8" s="6" t="n">
        <x:v>72</x:v>
      </x:c>
      <x:c r="J8" s="6" t="n">
        <x:v>121</x:v>
      </x:c>
      <x:c r="K8" s="6" t="n">
        <x:v>125</x:v>
      </x:c>
      <x:c r="L8" s="6" t="n">
        <x:v>10</x:v>
      </x:c>
      <x:c r="M8" s="11" t="n">
        <x:v>0.7005555555555556</x:v>
      </x:c>
      <x:c r="N8" s="6" t="n">
        <x:v>639000</x:v>
      </x:c>
    </x:row>
    <x:row r="9" ht="24" customHeight="1">
      <x:c r="A9" s="2" t="str">
        <x:v>2026-09-22_Night</x:v>
      </x:c>
      <x:c r="B9" s="6" t="str">
        <x:v>ナイト</x:v>
      </x:c>
      <x:c r="C9" s="6" t="n">
        <x:v>682000</x:v>
      </x:c>
      <x:c r="D9" s="6" t="n">
        <x:v>1422000</x:v>
      </x:c>
      <x:c r="E9" s="6" t="n">
        <x:f>C9-D9</x:f>
        <x:v>-740000</x:v>
      </x:c>
      <x:c r="F9" s="6" t="n">
        <x:f>F8+E9</x:f>
        <x:v>-1944000</x:v>
      </x:c>
      <x:c r="G9" s="6" t="n">
        <x:v>560000</x:v>
      </x:c>
      <x:c r="H9" s="6" t="n">
        <x:v>1300000</x:v>
      </x:c>
      <x:c r="I9" s="6" t="n">
        <x:v>91</x:v>
      </x:c>
      <x:c r="J9" s="6" t="n">
        <x:v>150</x:v>
      </x:c>
      <x:c r="K9" s="6" t="n">
        <x:v>167</x:v>
      </x:c>
      <x:c r="L9" s="6" t="n">
        <x:v>10</x:v>
      </x:c>
      <x:c r="M9" s="11" t="n">
        <x:v>0.5749358974358975</x:v>
      </x:c>
      <x:c r="N9" s="6" t="n">
        <x:v>860000</x:v>
      </x:c>
    </x:row>
    <x:row r="10" ht="24" customHeight="1">
      <x:c r="A10" s="2" t="str">
        <x:v>2026-09-23_Day</x:v>
      </x:c>
      <x:c r="B10" s="6" t="str">
        <x:v>デイ</x:v>
      </x:c>
      <x:c r="C10" s="6" t="n">
        <x:v>141000</x:v>
      </x:c>
      <x:c r="D10" s="6" t="n">
        <x:v>539000</x:v>
      </x:c>
      <x:c r="E10" s="6" t="n">
        <x:f>C10-D10</x:f>
        <x:v>-398000</x:v>
      </x:c>
      <x:c r="F10" s="6" t="n">
        <x:f>F9+E10</x:f>
        <x:v>-2342000</x:v>
      </x:c>
      <x:c r="G10" s="6" t="n">
        <x:v>110000</x:v>
      </x:c>
      <x:c r="H10" s="6" t="n">
        <x:v>508000</x:v>
      </x:c>
      <x:c r="I10" s="6" t="n">
        <x:v>46</x:v>
      </x:c>
      <x:c r="J10" s="6" t="n">
        <x:v>70</x:v>
      </x:c>
      <x:c r="K10" s="6" t="n">
        <x:v>65</x:v>
      </x:c>
      <x:c r="L10" s="6" t="n">
        <x:v>10</x:v>
      </x:c>
      <x:c r="M10" s="11" t="n">
        <x:v>0.5701190476190476</x:v>
      </x:c>
      <x:c r="N10" s="6" t="n">
        <x:v>406000</x:v>
      </x:c>
    </x:row>
    <x:row r="11" ht="24" customHeight="1">
      <x:c r="A11" s="2" t="str">
        <x:v>2026-09-23_Night</x:v>
      </x:c>
      <x:c r="B11" s="6" t="str">
        <x:v>ナイト</x:v>
      </x:c>
      <x:c r="C11" s="6" t="n">
        <x:v>412000</x:v>
      </x:c>
      <x:c r="D11" s="6" t="n">
        <x:v>953000</x:v>
      </x:c>
      <x:c r="E11" s="6" t="n">
        <x:f>C11-D11</x:f>
        <x:v>-541000</x:v>
      </x:c>
      <x:c r="F11" s="6" t="n">
        <x:f>F10+E11</x:f>
        <x:v>-2883000</x:v>
      </x:c>
      <x:c r="G11" s="6" t="n">
        <x:v>302000</x:v>
      </x:c>
      <x:c r="H11" s="6" t="n">
        <x:v>843000</x:v>
      </x:c>
      <x:c r="I11" s="6" t="n">
        <x:v>63</x:v>
      </x:c>
      <x:c r="J11" s="6" t="n">
        <x:v>153</x:v>
      </x:c>
      <x:c r="K11" s="6" t="n">
        <x:v>139</x:v>
      </x:c>
      <x:c r="L11" s="6" t="n">
        <x:v>10</x:v>
      </x:c>
      <x:c r="M11" s="11" t="n">
        <x:v>0.6774358974358974</x:v>
      </x:c>
      <x:c r="N11" s="6" t="n">
        <x:v>544000</x:v>
      </x:c>
    </x:row>
    <x:row r="12" ht="24" customHeight="1">
      <x:c r="A12" s="2" t="str">
        <x:v>2026-09-24_Day</x:v>
      </x:c>
      <x:c r="B12" s="6" t="str">
        <x:v>デイ</x:v>
      </x:c>
      <x:c r="C12" s="6" t="n">
        <x:v>988000</x:v>
      </x:c>
      <x:c r="D12" s="6" t="n">
        <x:v>1783000</x:v>
      </x:c>
      <x:c r="E12" s="6" t="n">
        <x:f>C12-D12</x:f>
        <x:v>-795000</x:v>
      </x:c>
      <x:c r="F12" s="6" t="n">
        <x:f>F11+E12</x:f>
        <x:v>-3678000</x:v>
      </x:c>
      <x:c r="G12" s="6" t="n">
        <x:v>878000</x:v>
      </x:c>
      <x:c r="H12" s="6" t="n">
        <x:v>1673000</x:v>
      </x:c>
      <x:c r="I12" s="6" t="n">
        <x:v>117</x:v>
      </x:c>
      <x:c r="J12" s="6" t="n">
        <x:v>203</x:v>
      </x:c>
      <x:c r="K12" s="6" t="n">
        <x:v>181</x:v>
      </x:c>
      <x:c r="L12" s="6" t="n">
        <x:v>10</x:v>
      </x:c>
      <x:c r="M12" s="11" t="n">
        <x:v>0.8039285714285714</x:v>
      </x:c>
      <x:c r="N12" s="6" t="n">
        <x:v>858000</x:v>
      </x:c>
    </x:row>
    <x:row r="13" ht="24" customHeight="1">
      <x:c r="A13" s="2" t="str">
        <x:v>2026-09-24_Night</x:v>
      </x:c>
      <x:c r="B13" s="6" t="str">
        <x:v>ナイト</x:v>
      </x:c>
      <x:c r="C13" s="6" t="n">
        <x:v>890000</x:v>
      </x:c>
      <x:c r="D13" s="6" t="n">
        <x:v>2439000</x:v>
      </x:c>
      <x:c r="E13" s="6" t="n">
        <x:f>C13-D13</x:f>
        <x:v>-1549000</x:v>
      </x:c>
      <x:c r="F13" s="6" t="n">
        <x:f>F12+E13</x:f>
        <x:v>-5227000</x:v>
      </x:c>
      <x:c r="G13" s="6" t="n">
        <x:v>726000</x:v>
      </x:c>
      <x:c r="H13" s="6" t="n">
        <x:v>2275000</x:v>
      </x:c>
      <x:c r="I13" s="6" t="n">
        <x:v>168</x:v>
      </x:c>
      <x:c r="J13" s="6" t="n">
        <x:v>236</x:v>
      </x:c>
      <x:c r="K13" s="6" t="n">
        <x:v>245</x:v>
      </x:c>
      <x:c r="L13" s="6" t="n">
        <x:v>10</x:v>
      </x:c>
      <x:c r="M13" s="11" t="n">
        <x:v>0.7435042735042735</x:v>
      </x:c>
      <x:c r="N13" s="6" t="n">
        <x:v>1610000</x:v>
      </x:c>
    </x:row>
    <x:row r="14" ht="24" customHeight="1">
      <x:c r="A14" s="2" t="str">
        <x:v>2026-09-25_Day</x:v>
      </x:c>
      <x:c r="B14" s="6" t="str">
        <x:v>デイ</x:v>
      </x:c>
      <x:c r="C14" s="6" t="n">
        <x:v>746000</x:v>
      </x:c>
      <x:c r="D14" s="6" t="n">
        <x:v>1488000</x:v>
      </x:c>
      <x:c r="E14" s="6" t="n">
        <x:f>C14-D14</x:f>
        <x:v>-742000</x:v>
      </x:c>
      <x:c r="F14" s="6" t="n">
        <x:f>F13+E14</x:f>
        <x:v>-5969000</x:v>
      </x:c>
      <x:c r="G14" s="6" t="n">
        <x:v>638000</x:v>
      </x:c>
      <x:c r="H14" s="6" t="n">
        <x:v>1380000</x:v>
      </x:c>
      <x:c r="I14" s="6" t="n">
        <x:v>102</x:v>
      </x:c>
      <x:c r="J14" s="6" t="n">
        <x:v>182</x:v>
      </x:c>
      <x:c r="K14" s="6" t="n">
        <x:v>175</x:v>
      </x:c>
      <x:c r="L14" s="6" t="n">
        <x:v>10</x:v>
      </x:c>
      <x:c r="M14" s="11" t="n">
        <x:v>0.7898809523809524</x:v>
      </x:c>
      <x:c r="N14" s="6" t="n">
        <x:v>836000</x:v>
      </x:c>
    </x:row>
    <x:row r="15" ht="24" customHeight="1">
      <x:c r="A15" s="2" t="str">
        <x:v>2026-09-25_Night</x:v>
      </x:c>
      <x:c r="B15" s="6" t="str">
        <x:v>ナイト</x:v>
      </x:c>
      <x:c r="C15" s="6" t="n">
        <x:v>566000</x:v>
      </x:c>
      <x:c r="D15" s="6" t="n">
        <x:v>1432000</x:v>
      </x:c>
      <x:c r="E15" s="6" t="n">
        <x:f>C15-D15</x:f>
        <x:v>-866000</x:v>
      </x:c>
      <x:c r="F15" s="6" t="n">
        <x:f>F14+E15</x:f>
        <x:v>-6835000</x:v>
      </x:c>
      <x:c r="G15" s="6" t="n">
        <x:v>480000</x:v>
      </x:c>
      <x:c r="H15" s="6" t="n">
        <x:v>1346000</x:v>
      </x:c>
      <x:c r="I15" s="6" t="n">
        <x:v>104</x:v>
      </x:c>
      <x:c r="J15" s="6" t="n">
        <x:v>194</x:v>
      </x:c>
      <x:c r="K15" s="6" t="n">
        <x:v>182</x:v>
      </x:c>
      <x:c r="L15" s="6" t="n">
        <x:v>10</x:v>
      </x:c>
      <x:c r="M15" s="11" t="n">
        <x:v>0.6907264957264957</x:v>
      </x:c>
      <x:c r="N15" s="6" t="n">
        <x:v>902000</x:v>
      </x:c>
    </x:row>
    <x:row r="16" ht="24" customHeight="1">
      <x:c r="A16" s="2" t="str">
        <x:v>2026-09-28_Day</x:v>
      </x:c>
      <x:c r="B16" s="6" t="str">
        <x:v>デイ</x:v>
      </x:c>
      <x:c r="C16" s="6" t="n">
        <x:v>1167000</x:v>
      </x:c>
      <x:c r="D16" s="6" t="n">
        <x:v>2173000</x:v>
      </x:c>
      <x:c r="E16" s="6" t="n">
        <x:f>C16-D16</x:f>
        <x:v>-1006000</x:v>
      </x:c>
      <x:c r="F16" s="6" t="n">
        <x:f>F15+E16</x:f>
        <x:v>-7841000</x:v>
      </x:c>
      <x:c r="G16" s="6" t="n">
        <x:v>1002000</x:v>
      </x:c>
      <x:c r="H16" s="6" t="n">
        <x:v>2008000</x:v>
      </x:c>
      <x:c r="I16" s="6" t="n">
        <x:v>126</x:v>
      </x:c>
      <x:c r="J16" s="6" t="n">
        <x:v>202</x:v>
      </x:c>
      <x:c r="K16" s="6" t="n">
        <x:v>200</x:v>
      </x:c>
      <x:c r="L16" s="6" t="n">
        <x:v>10</x:v>
      </x:c>
      <x:c r="M16" s="11" t="n">
        <x:v>0.8251190476190476</x:v>
      </x:c>
      <x:c r="N16" s="6" t="n">
        <x:v>1183000</x:v>
      </x:c>
    </x:row>
    <x:row r="17" ht="24" customHeight="1">
      <x:c r="A17" s="2" t="str">
        <x:v>2026-09-28_Night</x:v>
      </x:c>
      <x:c r="B17" s="6" t="str">
        <x:v>ナイト</x:v>
      </x:c>
      <x:c r="C17" s="6" t="n">
        <x:v>998000</x:v>
      </x:c>
      <x:c r="D17" s="6" t="n">
        <x:v>2010000</x:v>
      </x:c>
      <x:c r="E17" s="6" t="n">
        <x:f>C17-D17</x:f>
        <x:v>-1012000</x:v>
      </x:c>
      <x:c r="F17" s="6" t="n">
        <x:f>F16+E17</x:f>
        <x:v>-8853000</x:v>
      </x:c>
      <x:c r="G17" s="6" t="n">
        <x:v>861000</x:v>
      </x:c>
      <x:c r="H17" s="6" t="n">
        <x:v>1873000</x:v>
      </x:c>
      <x:c r="I17" s="6" t="n">
        <x:v>128</x:v>
      </x:c>
      <x:c r="J17" s="6" t="n">
        <x:v>204</x:v>
      </x:c>
      <x:c r="K17" s="6" t="n">
        <x:v>212</x:v>
      </x:c>
      <x:c r="L17" s="6" t="n">
        <x:v>10</x:v>
      </x:c>
      <x:c r="M17" s="11" t="n">
        <x:v>0.6947008547008547</x:v>
      </x:c>
      <x:c r="N17" s="6" t="n">
        <x:v>1041000</x:v>
      </x:c>
    </x:row>
    <x:row r="18" ht="24" customHeight="1">
      <x:c r="A18" s="2" t="str">
        <x:v>2026-09-29_Day</x:v>
      </x:c>
      <x:c r="B18" s="6" t="str">
        <x:v>デイ</x:v>
      </x:c>
      <x:c r="C18" s="6" t="n">
        <x:v>1083000</x:v>
      </x:c>
      <x:c r="D18" s="6" t="n">
        <x:v>2512000</x:v>
      </x:c>
      <x:c r="E18" s="6" t="n">
        <x:f>C18-D18</x:f>
        <x:v>-1429000</x:v>
      </x:c>
      <x:c r="F18" s="6" t="n">
        <x:f>F17+E18</x:f>
        <x:v>-10282000</x:v>
      </x:c>
      <x:c r="G18" s="6" t="n">
        <x:v>924000</x:v>
      </x:c>
      <x:c r="H18" s="6" t="n">
        <x:v>2353000</x:v>
      </x:c>
      <x:c r="I18" s="6" t="n">
        <x:v>138</x:v>
      </x:c>
      <x:c r="J18" s="6" t="n">
        <x:v>238</x:v>
      </x:c>
      <x:c r="K18" s="6" t="n">
        <x:v>233</x:v>
      </x:c>
      <x:c r="L18" s="6" t="n">
        <x:v>10</x:v>
      </x:c>
      <x:c r="M18" s="11" t="n">
        <x:v>0.812936507936508</x:v>
      </x:c>
      <x:c r="N18" s="6" t="n">
        <x:v>1565000</x:v>
      </x:c>
    </x:row>
    <x:row r="19" ht="24" customHeight="1">
      <x:c r="A19" s="2" t="str">
        <x:v>2026-09-29_Night</x:v>
      </x:c>
      <x:c r="B19" s="6" t="str">
        <x:v>ナイト</x:v>
      </x:c>
      <x:c r="C19" s="6" t="n">
        <x:v>646000</x:v>
      </x:c>
      <x:c r="D19" s="6" t="n">
        <x:v>1401000</x:v>
      </x:c>
      <x:c r="E19" s="6" t="n">
        <x:f>C19-D19</x:f>
        <x:v>-755000</x:v>
      </x:c>
      <x:c r="F19" s="6" t="n">
        <x:f>F18+E19</x:f>
        <x:v>-11037000</x:v>
      </x:c>
      <x:c r="G19" s="6" t="n">
        <x:v>522000</x:v>
      </x:c>
      <x:c r="H19" s="6" t="n">
        <x:v>1277000</x:v>
      </x:c>
      <x:c r="I19" s="6" t="n">
        <x:v>115</x:v>
      </x:c>
      <x:c r="J19" s="6" t="n">
        <x:v>196</x:v>
      </x:c>
      <x:c r="K19" s="6" t="n">
        <x:v>213</x:v>
      </x:c>
      <x:c r="L19" s="6" t="n">
        <x:v>10</x:v>
      </x:c>
      <x:c r="M19" s="11" t="n">
        <x:v>0.6932051282051283</x:v>
      </x:c>
      <x:c r="N19" s="6" t="n">
        <x:v>770000</x:v>
      </x:c>
    </x:row>
    <x:row r="20" ht="24" customHeight="1">
      <x:c r="A20" s="2" t="str">
        <x:v>2026-09-30_Day</x:v>
      </x:c>
      <x:c r="B20" s="6" t="str">
        <x:v>デイ</x:v>
      </x:c>
      <x:c r="C20" s="6" t="n">
        <x:v>915000</x:v>
      </x:c>
      <x:c r="D20" s="6" t="n">
        <x:v>1877000</x:v>
      </x:c>
      <x:c r="E20" s="6" t="n">
        <x:f>C20-D20</x:f>
        <x:v>-962000</x:v>
      </x:c>
      <x:c r="F20" s="6" t="n">
        <x:f>F19+E20</x:f>
        <x:v>-11999000</x:v>
      </x:c>
      <x:c r="G20" s="6" t="n">
        <x:v>725000</x:v>
      </x:c>
      <x:c r="H20" s="6" t="n">
        <x:v>1687000</x:v>
      </x:c>
      <x:c r="I20" s="6" t="n">
        <x:v>117</x:v>
      </x:c>
      <x:c r="J20" s="6" t="n">
        <x:v>238</x:v>
      </x:c>
      <x:c r="K20" s="6" t="n">
        <x:v>226</x:v>
      </x:c>
      <x:c r="L20" s="6" t="n">
        <x:v>10</x:v>
      </x:c>
      <x:c r="M20" s="11" t="n">
        <x:v>0.8275</x:v>
      </x:c>
      <x:c r="N20" s="6" t="n">
        <x:v>995000</x:v>
      </x:c>
    </x:row>
    <x:row r="21" ht="24" customHeight="1">
      <x:c r="A21" s="2" t="str">
        <x:v>2026-09-30_Night</x:v>
      </x:c>
      <x:c r="B21" s="6" t="str">
        <x:v>ナイト</x:v>
      </x:c>
      <x:c r="C21" s="6" t="n">
        <x:v>947000</x:v>
      </x:c>
      <x:c r="D21" s="6" t="n">
        <x:v>2461000</x:v>
      </x:c>
      <x:c r="E21" s="6" t="n">
        <x:f>C21-D21</x:f>
        <x:v>-1514000</x:v>
      </x:c>
      <x:c r="F21" s="6" t="n">
        <x:f>F20+E21</x:f>
        <x:v>-13513000</x:v>
      </x:c>
      <x:c r="G21" s="6" t="n">
        <x:v>713000</x:v>
      </x:c>
      <x:c r="H21" s="6" t="n">
        <x:v>2227000</x:v>
      </x:c>
      <x:c r="I21" s="6" t="n">
        <x:v>148</x:v>
      </x:c>
      <x:c r="J21" s="6" t="n">
        <x:v>301</x:v>
      </x:c>
      <x:c r="K21" s="6" t="n">
        <x:v>292</x:v>
      </x:c>
      <x:c r="L21" s="6" t="n">
        <x:v>10</x:v>
      </x:c>
      <x:c r="M21" s="11" t="n">
        <x:v>0.7552777777777778</x:v>
      </x:c>
      <x:c r="N21" s="6" t="n">
        <x:v>1625000</x:v>
      </x:c>
    </x:row>
    <x:row r="22" ht="24" customHeight="1">
      <x:c r="A22" s="2" t="str">
        <x:v>2026-10-01_Day</x:v>
      </x:c>
      <x:c r="B22" s="6" t="str">
        <x:v>デイ</x:v>
      </x:c>
      <x:c r="C22" s="6" t="n">
        <x:v>886000</x:v>
      </x:c>
      <x:c r="D22" s="6" t="n">
        <x:v>1628000</x:v>
      </x:c>
      <x:c r="E22" s="6" t="n">
        <x:f>C22-D22</x:f>
        <x:v>-742000</x:v>
      </x:c>
      <x:c r="F22" s="6" t="n">
        <x:f>F21+E22</x:f>
        <x:v>-14255000</x:v>
      </x:c>
      <x:c r="G22" s="6" t="n">
        <x:v>700000</x:v>
      </x:c>
      <x:c r="H22" s="6" t="n">
        <x:v>1442000</x:v>
      </x:c>
      <x:c r="I22" s="6" t="n">
        <x:v>93</x:v>
      </x:c>
      <x:c r="J22" s="6" t="n">
        <x:v>220</x:v>
      </x:c>
      <x:c r="K22" s="6" t="n">
        <x:v>210</x:v>
      </x:c>
      <x:c r="L22" s="6" t="n">
        <x:v>10</x:v>
      </x:c>
      <x:c r="M22" s="11" t="n">
        <x:v>0.8034126984126985</x:v>
      </x:c>
      <x:c r="N22" s="6" t="n">
        <x:v>805000</x:v>
      </x:c>
    </x:row>
    <x:row r="23" ht="24" customHeight="1">
      <x:c r="A23" s="2" t="str">
        <x:v>2026-10-01_Night</x:v>
      </x:c>
      <x:c r="B23" s="6" t="str">
        <x:v>ナイト</x:v>
      </x:c>
      <x:c r="C23" s="6" t="n">
        <x:v>1185000</x:v>
      </x:c>
      <x:c r="D23" s="6" t="n">
        <x:v>2874000</x:v>
      </x:c>
      <x:c r="E23" s="6" t="n">
        <x:f>C23-D23</x:f>
        <x:v>-1689000</x:v>
      </x:c>
      <x:c r="F23" s="6" t="n">
        <x:f>F22+E23</x:f>
        <x:v>-15944000</x:v>
      </x:c>
      <x:c r="G23" s="6" t="n">
        <x:v>687000</x:v>
      </x:c>
      <x:c r="H23" s="6" t="n">
        <x:v>2376000</x:v>
      </x:c>
      <x:c r="I23" s="6" t="n">
        <x:v>153</x:v>
      </x:c>
      <x:c r="J23" s="6" t="n">
        <x:v>379</x:v>
      </x:c>
      <x:c r="K23" s="6" t="n">
        <x:v>376</x:v>
      </x:c>
      <x:c r="L23" s="6" t="n">
        <x:v>10</x:v>
      </x:c>
      <x:c r="M23" s="11" t="n">
        <x:v>0.8311538461538461</x:v>
      </x:c>
      <x:c r="N23" s="6" t="n">
        <x:v>1798000</x:v>
      </x:c>
    </x:row>
    <x:row r="24" ht="24" customHeight="1">
      <x:c r="A24" s="2" t="str">
        <x:v>2026-10-02_Day</x:v>
      </x:c>
      <x:c r="B24" s="6" t="str">
        <x:v>デイ</x:v>
      </x:c>
      <x:c r="C24" s="6" t="n">
        <x:v>611000</x:v>
      </x:c>
      <x:c r="D24" s="6" t="n">
        <x:v>2089000</x:v>
      </x:c>
      <x:c r="E24" s="6" t="n">
        <x:f>C24-D24</x:f>
        <x:v>-1478000</x:v>
      </x:c>
      <x:c r="F24" s="6" t="n">
        <x:f>F23+E24</x:f>
        <x:v>-17422000</x:v>
      </x:c>
      <x:c r="G24" s="6" t="n">
        <x:v>475000</x:v>
      </x:c>
      <x:c r="H24" s="6" t="n">
        <x:v>1953000</x:v>
      </x:c>
      <x:c r="I24" s="6" t="n">
        <x:v>101</x:v>
      </x:c>
      <x:c r="J24" s="6" t="n">
        <x:v>207</x:v>
      </x:c>
      <x:c r="K24" s="6" t="n">
        <x:v>202</x:v>
      </x:c>
      <x:c r="L24" s="6" t="n">
        <x:v>10</x:v>
      </x:c>
      <x:c r="M24" s="11" t="n">
        <x:v>0.7813095238095238</x:v>
      </x:c>
      <x:c r="N24" s="6" t="n">
        <x:v>1680000</x:v>
      </x:c>
    </x:row>
    <x:row r="25" ht="24" customHeight="1">
      <x:c r="A25" s="2" t="str">
        <x:v>2026-10-02_Night</x:v>
      </x:c>
      <x:c r="B25" s="6" t="str">
        <x:v>ナイト</x:v>
      </x:c>
      <x:c r="C25" s="6" t="n">
        <x:v>962000</x:v>
      </x:c>
      <x:c r="D25" s="6" t="n">
        <x:v>2107000</x:v>
      </x:c>
      <x:c r="E25" s="6" t="n">
        <x:f>C25-D25</x:f>
        <x:v>-1145000</x:v>
      </x:c>
      <x:c r="F25" s="6" t="n">
        <x:f>F24+E25</x:f>
        <x:v>-18567000</x:v>
      </x:c>
      <x:c r="G25" s="6" t="n">
        <x:v>718000</x:v>
      </x:c>
      <x:c r="H25" s="6" t="n">
        <x:v>1863000</x:v>
      </x:c>
      <x:c r="I25" s="6" t="n">
        <x:v>130</x:v>
      </x:c>
      <x:c r="J25" s="6" t="n">
        <x:v>259</x:v>
      </x:c>
      <x:c r="K25" s="6" t="n">
        <x:v>256</x:v>
      </x:c>
      <x:c r="L25" s="6" t="n">
        <x:v>10</x:v>
      </x:c>
      <x:c r="M25" s="11" t="n">
        <x:v>0.7725</x:v>
      </x:c>
      <x:c r="N25" s="6" t="n">
        <x:v>1195000</x:v>
      </x:c>
    </x:row>
    <x:row r="26" ht="24" customHeight="1">
      <x:c r="A26" s="2" t="str">
        <x:v>2026-10-05_Day</x:v>
      </x:c>
      <x:c r="B26" s="6" t="str">
        <x:v>デイ</x:v>
      </x:c>
      <x:c r="C26" s="6" t="n">
        <x:v>541000</x:v>
      </x:c>
      <x:c r="D26" s="6" t="n">
        <x:v>1381000</x:v>
      </x:c>
      <x:c r="E26" s="6" t="n">
        <x:f>C26-D26</x:f>
        <x:v>-840000</x:v>
      </x:c>
      <x:c r="F26" s="6" t="n">
        <x:f>F25+E26</x:f>
        <x:v>-19407000</x:v>
      </x:c>
      <x:c r="G26" s="6" t="n">
        <x:v>347000</x:v>
      </x:c>
      <x:c r="H26" s="6" t="n">
        <x:v>1187000</x:v>
      </x:c>
      <x:c r="I26" s="6" t="n">
        <x:v>86</x:v>
      </x:c>
      <x:c r="J26" s="6" t="n">
        <x:v>211</x:v>
      </x:c>
      <x:c r="K26" s="6" t="n">
        <x:v>210</x:v>
      </x:c>
      <x:c r="L26" s="6" t="n">
        <x:v>10</x:v>
      </x:c>
      <x:c r="M26" s="11" t="n">
        <x:v>0.8425</x:v>
      </x:c>
      <x:c r="N26" s="6" t="n">
        <x:v>864000</x:v>
      </x:c>
    </x:row>
    <x:row r="27" ht="24" customHeight="1">
      <x:c r="A27" s="2" t="str">
        <x:v>2026-10-05_Night</x:v>
      </x:c>
      <x:c r="B27" s="6" t="str">
        <x:v>ナイト</x:v>
      </x:c>
      <x:c r="C27" s="6" t="n">
        <x:v>641000</x:v>
      </x:c>
      <x:c r="D27" s="6" t="n">
        <x:v>1333000</x:v>
      </x:c>
      <x:c r="E27" s="6" t="n">
        <x:f>C27-D27</x:f>
        <x:v>-692000</x:v>
      </x:c>
      <x:c r="F27" s="6" t="n">
        <x:f>F26+E27</x:f>
        <x:v>-20099000</x:v>
      </x:c>
      <x:c r="G27" s="6" t="n">
        <x:v>489000</x:v>
      </x:c>
      <x:c r="H27" s="6" t="n">
        <x:v>1181000</x:v>
      </x:c>
      <x:c r="I27" s="6" t="n">
        <x:v>96</x:v>
      </x:c>
      <x:c r="J27" s="6" t="n">
        <x:v>195</x:v>
      </x:c>
      <x:c r="K27" s="6" t="n">
        <x:v>189</x:v>
      </x:c>
      <x:c r="L27" s="6" t="n">
        <x:v>10</x:v>
      </x:c>
      <x:c r="M27" s="11" t="n">
        <x:v>0.736517094017094</x:v>
      </x:c>
      <x:c r="N27" s="6" t="n">
        <x:v>712000</x:v>
      </x:c>
    </x:row>
    <x:row r="28" ht="24" customHeight="1">
      <x:c r="A28" s="2" t="str">
        <x:v>2026-10-06_Day</x:v>
      </x:c>
      <x:c r="B28" s="6" t="str">
        <x:v>デイ</x:v>
      </x:c>
      <x:c r="C28" s="6" t="n">
        <x:v>504000</x:v>
      </x:c>
      <x:c r="D28" s="6" t="n">
        <x:v>1078000</x:v>
      </x:c>
      <x:c r="E28" s="6" t="n">
        <x:f>C28-D28</x:f>
        <x:v>-574000</x:v>
      </x:c>
      <x:c r="F28" s="6" t="n">
        <x:f>F27+E28</x:f>
        <x:v>-20673000</x:v>
      </x:c>
      <x:c r="G28" s="6" t="n">
        <x:v>398000</x:v>
      </x:c>
      <x:c r="H28" s="6" t="n">
        <x:v>972000</x:v>
      </x:c>
      <x:c r="I28" s="6" t="n">
        <x:v>75</x:v>
      </x:c>
      <x:c r="J28" s="6" t="n">
        <x:v>161</x:v>
      </x:c>
      <x:c r="K28" s="6" t="n">
        <x:v>149</x:v>
      </x:c>
      <x:c r="L28" s="6" t="n">
        <x:v>10</x:v>
      </x:c>
      <x:c r="M28" s="11" t="n">
        <x:v>0.7439285714285714</x:v>
      </x:c>
      <x:c r="N28" s="6" t="n">
        <x:v>582000</x:v>
      </x:c>
    </x:row>
    <x:row r="29" ht="24" customHeight="1">
      <x:c r="A29" s="2" t="str">
        <x:v>2026-10-06_Night</x:v>
      </x:c>
      <x:c r="B29" s="6" t="str">
        <x:v>ナイト</x:v>
      </x:c>
      <x:c r="C29" s="6" t="n">
        <x:v>365000</x:v>
      </x:c>
      <x:c r="D29" s="6" t="n">
        <x:v>810000</x:v>
      </x:c>
      <x:c r="E29" s="6" t="n">
        <x:f>C29-D29</x:f>
        <x:v>-445000</x:v>
      </x:c>
      <x:c r="F29" s="6" t="n">
        <x:f>F28+E29</x:f>
        <x:v>-21118000</x:v>
      </x:c>
      <x:c r="G29" s="6" t="n">
        <x:v>206000</x:v>
      </x:c>
      <x:c r="H29" s="6" t="n">
        <x:v>651000</x:v>
      </x:c>
      <x:c r="I29" s="6" t="n">
        <x:v>65</x:v>
      </x:c>
      <x:c r="J29" s="6" t="n">
        <x:v>168</x:v>
      </x:c>
      <x:c r="K29" s="6" t="n">
        <x:v>160</x:v>
      </x:c>
      <x:c r="L29" s="6" t="n">
        <x:v>10</x:v>
      </x:c>
      <x:c r="M29" s="11" t="n">
        <x:v>0.7047649572649572</x:v>
      </x:c>
      <x:c r="N29" s="6" t="n">
        <x:v>456000</x:v>
      </x:c>
    </x:row>
    <x:row r="30" ht="24" customHeight="1">
      <x:c r="A30" s="2" t="str">
        <x:v>2026-10-07_Day</x:v>
      </x:c>
      <x:c r="B30" s="6" t="str">
        <x:v>デイ</x:v>
      </x:c>
      <x:c r="C30" s="6" t="n">
        <x:v>398000</x:v>
      </x:c>
      <x:c r="D30" s="6" t="n">
        <x:v>889000</x:v>
      </x:c>
      <x:c r="E30" s="6" t="n">
        <x:f>C30-D30</x:f>
        <x:v>-491000</x:v>
      </x:c>
      <x:c r="F30" s="6" t="n">
        <x:f>F29+E30</x:f>
        <x:v>-21609000</x:v>
      </x:c>
      <x:c r="G30" s="6" t="n">
        <x:v>286000</x:v>
      </x:c>
      <x:c r="H30" s="6" t="n">
        <x:v>777000</x:v>
      </x:c>
      <x:c r="I30" s="6" t="n">
        <x:v>70</x:v>
      </x:c>
      <x:c r="J30" s="6" t="n">
        <x:v>159</x:v>
      </x:c>
      <x:c r="K30" s="6" t="n">
        <x:v>153</x:v>
      </x:c>
      <x:c r="L30" s="6" t="n">
        <x:v>10</x:v>
      </x:c>
      <x:c r="M30" s="11" t="n">
        <x:v>0.8038095238095239</x:v>
      </x:c>
      <x:c r="N30" s="6" t="n">
        <x:v>497000</x:v>
      </x:c>
    </x:row>
    <x:row r="31" ht="24" customHeight="1">
      <x:c r="A31" s="2" t="str">
        <x:v>2026-10-07_Night</x:v>
      </x:c>
      <x:c r="B31" s="6" t="str">
        <x:v>ナイト</x:v>
      </x:c>
      <x:c r="C31" s="6" t="n">
        <x:v>410000</x:v>
      </x:c>
      <x:c r="D31" s="6" t="n">
        <x:v>1276000</x:v>
      </x:c>
      <x:c r="E31" s="6" t="n">
        <x:f>C31-D31</x:f>
        <x:v>-866000</x:v>
      </x:c>
      <x:c r="F31" s="6" t="n">
        <x:f>F30+E31</x:f>
        <x:v>-22475000</x:v>
      </x:c>
      <x:c r="G31" s="6" t="n">
        <x:v>273000</x:v>
      </x:c>
      <x:c r="H31" s="6" t="n">
        <x:v>1139000</x:v>
      </x:c>
      <x:c r="I31" s="6" t="n">
        <x:v>103</x:v>
      </x:c>
      <x:c r="J31" s="6" t="n">
        <x:v>227</x:v>
      </x:c>
      <x:c r="K31" s="6" t="n">
        <x:v>222</x:v>
      </x:c>
      <x:c r="L31" s="6" t="n">
        <x:v>10</x:v>
      </x:c>
      <x:c r="M31" s="11" t="n">
        <x:v>0.8332478632478633</x:v>
      </x:c>
      <x:c r="N31" s="6" t="n">
        <x:v>870000</x:v>
      </x:c>
    </x:row>
    <x:row r="32" ht="24" customHeight="1">
      <x:c r="A32" s="2" t="str">
        <x:v>2026-10-08_Day</x:v>
      </x:c>
      <x:c r="B32" s="6" t="str">
        <x:v>デイ</x:v>
      </x:c>
      <x:c r="C32" s="6" t="n">
        <x:v>1088000</x:v>
      </x:c>
      <x:c r="D32" s="6" t="n">
        <x:v>1599000</x:v>
      </x:c>
      <x:c r="E32" s="6" t="n">
        <x:f>C32-D32</x:f>
        <x:v>-511000</x:v>
      </x:c>
      <x:c r="F32" s="6" t="n">
        <x:f>F31+E32</x:f>
        <x:v>-22986000</x:v>
      </x:c>
      <x:c r="G32" s="6" t="n">
        <x:v>875000</x:v>
      </x:c>
      <x:c r="H32" s="6" t="n">
        <x:v>1386000</x:v>
      </x:c>
      <x:c r="I32" s="6" t="n">
        <x:v>104</x:v>
      </x:c>
      <x:c r="J32" s="6" t="n">
        <x:v>226</x:v>
      </x:c>
      <x:c r="K32" s="6" t="n">
        <x:v>219</x:v>
      </x:c>
      <x:c r="L32" s="6" t="n">
        <x:v>10</x:v>
      </x:c>
      <x:c r="M32" s="11" t="n">
        <x:v>0.8169047619047619</x:v>
      </x:c>
      <x:c r="N32" s="6" t="n">
        <x:v>814000</x:v>
      </x:c>
    </x:row>
    <x:row r="33" ht="24" customHeight="1">
      <x:c r="A33" s="2" t="str">
        <x:v>2026-10-08_Night</x:v>
      </x:c>
      <x:c r="B33" s="6" t="str">
        <x:v>ナイト</x:v>
      </x:c>
      <x:c r="C33" s="6" t="n">
        <x:v>1188000</x:v>
      </x:c>
      <x:c r="D33" s="6" t="n">
        <x:v>2694000</x:v>
      </x:c>
      <x:c r="E33" s="6" t="n">
        <x:f>C33-D33</x:f>
        <x:v>-1506000</x:v>
      </x:c>
      <x:c r="F33" s="6" t="n">
        <x:f>F32+E33</x:f>
        <x:v>-24492000</x:v>
      </x:c>
      <x:c r="G33" s="6" t="n">
        <x:v>942000</x:v>
      </x:c>
      <x:c r="H33" s="6" t="n">
        <x:v>2448000</x:v>
      </x:c>
      <x:c r="I33" s="6" t="n">
        <x:v>145</x:v>
      </x:c>
      <x:c r="J33" s="6" t="n">
        <x:v>291</x:v>
      </x:c>
      <x:c r="K33" s="6" t="n">
        <x:v>296</x:v>
      </x:c>
      <x:c r="L33" s="6" t="n">
        <x:v>10</x:v>
      </x:c>
      <x:c r="M33" s="11" t="n">
        <x:v>0.8121367521367522</x:v>
      </x:c>
      <x:c r="N33" s="6" t="n">
        <x:v>1564000</x:v>
      </x:c>
    </x:row>
    <x:row r="34" ht="24" customHeight="1">
      <x:c r="A34" s="2" t="str">
        <x:v>2026-10-09_Day</x:v>
      </x:c>
      <x:c r="B34" s="6" t="str">
        <x:v>デイ</x:v>
      </x:c>
      <x:c r="C34" s="6" t="n">
        <x:v>996000</x:v>
      </x:c>
      <x:c r="D34" s="6" t="n">
        <x:v>1739000</x:v>
      </x:c>
      <x:c r="E34" s="6" t="n">
        <x:f>C34-D34</x:f>
        <x:v>-743000</x:v>
      </x:c>
      <x:c r="F34" s="6" t="n">
        <x:f>F33+E34</x:f>
        <x:v>-25235000</x:v>
      </x:c>
      <x:c r="G34" s="6" t="n">
        <x:v>830000</x:v>
      </x:c>
      <x:c r="H34" s="6" t="n">
        <x:v>1573000</x:v>
      </x:c>
      <x:c r="I34" s="6" t="n">
        <x:v>87</x:v>
      </x:c>
      <x:c r="J34" s="6" t="n">
        <x:v>201</x:v>
      </x:c>
      <x:c r="K34" s="6" t="n">
        <x:v>187</x:v>
      </x:c>
      <x:c r="L34" s="6" t="n">
        <x:v>10</x:v>
      </x:c>
      <x:c r="M34" s="11" t="n">
        <x:v>0.8083333333333333</x:v>
      </x:c>
      <x:c r="N34" s="6" t="n">
        <x:v>904000</x:v>
      </x:c>
    </x:row>
    <x:row r="35" ht="24" customHeight="1">
      <x:c r="A35" s="2" t="str">
        <x:v>2026-10-09_Night</x:v>
      </x:c>
      <x:c r="B35" s="6" t="str">
        <x:v>ナイト</x:v>
      </x:c>
      <x:c r="C35" s="6" t="n">
        <x:v>180000</x:v>
      </x:c>
      <x:c r="D35" s="6" t="n">
        <x:v>876000</x:v>
      </x:c>
      <x:c r="E35" s="6" t="n">
        <x:f>C35-D35</x:f>
        <x:v>-696000</x:v>
      </x:c>
      <x:c r="F35" s="6" t="n">
        <x:f>F34+E35</x:f>
        <x:v>-25931000</x:v>
      </x:c>
      <x:c r="G35" s="6" t="n">
        <x:v>82000</x:v>
      </x:c>
      <x:c r="H35" s="6" t="n">
        <x:v>778000</x:v>
      </x:c>
      <x:c r="I35" s="6" t="n">
        <x:v>78</x:v>
      </x:c>
      <x:c r="J35" s="6" t="n">
        <x:v>155</x:v>
      </x:c>
      <x:c r="K35" s="6" t="n">
        <x:v>146</x:v>
      </x:c>
      <x:c r="L35" s="6" t="n">
        <x:v>10</x:v>
      </x:c>
      <x:c r="M35" s="11" t="n">
        <x:v>0.7438675213675213</x:v>
      </x:c>
      <x:c r="N35" s="6" t="n">
        <x:v>721000</x:v>
      </x:c>
    </x:row>
    <x:row r="36" ht="24" customHeight="1">
      <x:c r="A36" s="2" t="str">
        <x:v>2026-10-12_Day</x:v>
      </x:c>
      <x:c r="B36" s="6" t="str">
        <x:v>デイ</x:v>
      </x:c>
      <x:c r="C36" s="6" t="n">
        <x:v>222000</x:v>
      </x:c>
      <x:c r="D36" s="6" t="n">
        <x:v>588000</x:v>
      </x:c>
      <x:c r="E36" s="6" t="n">
        <x:f>C36-D36</x:f>
        <x:v>-366000</x:v>
      </x:c>
      <x:c r="F36" s="6" t="n">
        <x:f>F35+E36</x:f>
        <x:v>-26297000</x:v>
      </x:c>
      <x:c r="G36" s="6" t="n">
        <x:v>145000</x:v>
      </x:c>
      <x:c r="H36" s="6" t="n">
        <x:v>511000</x:v>
      </x:c>
      <x:c r="I36" s="6" t="n">
        <x:v>40</x:v>
      </x:c>
      <x:c r="J36" s="6" t="n">
        <x:v>97</x:v>
      </x:c>
      <x:c r="K36" s="6" t="n">
        <x:v>93</x:v>
      </x:c>
      <x:c r="L36" s="6" t="n">
        <x:v>10</x:v>
      </x:c>
      <x:c r="M36" s="11" t="n">
        <x:v>0.6246825396825397</x:v>
      </x:c>
      <x:c r="N36" s="6" t="n">
        <x:v>416000</x:v>
      </x:c>
    </x:row>
    <x:row r="37" ht="24" customHeight="1">
      <x:c r="A37" s="2" t="str">
        <x:v>2026-10-12_Night</x:v>
      </x:c>
      <x:c r="B37" s="6" t="str">
        <x:v>ナイト</x:v>
      </x:c>
      <x:c r="C37" s="6" t="n">
        <x:v>274000</x:v>
      </x:c>
      <x:c r="D37" s="6" t="n">
        <x:v>717000</x:v>
      </x:c>
      <x:c r="E37" s="6" t="n">
        <x:f>C37-D37</x:f>
        <x:v>-443000</x:v>
      </x:c>
      <x:c r="F37" s="6" t="n">
        <x:f>F36+E37</x:f>
        <x:v>-26740000</x:v>
      </x:c>
      <x:c r="G37" s="6" t="n">
        <x:v>204000</x:v>
      </x:c>
      <x:c r="H37" s="6" t="n">
        <x:v>647000</x:v>
      </x:c>
      <x:c r="I37" s="6" t="n">
        <x:v>52</x:v>
      </x:c>
      <x:c r="J37" s="6" t="n">
        <x:v>104</x:v>
      </x:c>
      <x:c r="K37" s="6" t="n">
        <x:v>98</x:v>
      </x:c>
      <x:c r="L37" s="6" t="n">
        <x:v>10</x:v>
      </x:c>
      <x:c r="M37" s="11" t="n">
        <x:v>0.5133974358974359</x:v>
      </x:c>
      <x:c r="N37" s="6" t="n">
        <x:v>482000</x:v>
      </x:c>
    </x:row>
    <x:row r="38" ht="24" customHeight="1">
      <x:c r="A38" s="2" t="str">
        <x:v>2026-10-13_Day</x:v>
      </x:c>
      <x:c r="B38" s="6" t="str">
        <x:v>デイ</x:v>
      </x:c>
      <x:c r="C38" s="6" t="n">
        <x:v>962000</x:v>
      </x:c>
      <x:c r="D38" s="6" t="n">
        <x:v>2328000</x:v>
      </x:c>
      <x:c r="E38" s="6" t="n">
        <x:f>C38-D38</x:f>
        <x:v>-1366000</x:v>
      </x:c>
      <x:c r="F38" s="6" t="n">
        <x:f>F37+E38</x:f>
        <x:v>-28106000</x:v>
      </x:c>
      <x:c r="G38" s="6" t="n">
        <x:v>728000</x:v>
      </x:c>
      <x:c r="H38" s="6" t="n">
        <x:v>2094000</x:v>
      </x:c>
      <x:c r="I38" s="6" t="n">
        <x:v>109</x:v>
      </x:c>
      <x:c r="J38" s="6" t="n">
        <x:v>249</x:v>
      </x:c>
      <x:c r="K38" s="6" t="n">
        <x:v>255</x:v>
      </x:c>
      <x:c r="L38" s="6" t="n">
        <x:v>10</x:v>
      </x:c>
      <x:c r="M38" s="11" t="n">
        <x:v>0.8082936507936508</x:v>
      </x:c>
      <x:c r="N38" s="6" t="n">
        <x:v>1449000</x:v>
      </x:c>
    </x:row>
    <x:row r="39" ht="24" customHeight="1">
      <x:c r="A39" s="2" t="str">
        <x:v>2026-10-13_Night</x:v>
      </x:c>
      <x:c r="B39" s="6" t="str">
        <x:v>ナイト</x:v>
      </x:c>
      <x:c r="C39" s="6" t="n">
        <x:v>368000</x:v>
      </x:c>
      <x:c r="D39" s="6" t="n">
        <x:v>862000</x:v>
      </x:c>
      <x:c r="E39" s="6" t="n">
        <x:f>C39-D39</x:f>
        <x:v>-494000</x:v>
      </x:c>
      <x:c r="F39" s="6" t="n">
        <x:f>F38+E39</x:f>
        <x:v>-28600000</x:v>
      </x:c>
      <x:c r="G39" s="6" t="n">
        <x:v>260000</x:v>
      </x:c>
      <x:c r="H39" s="6" t="n">
        <x:v>754000</x:v>
      </x:c>
      <x:c r="I39" s="6" t="n">
        <x:v>73</x:v>
      </x:c>
      <x:c r="J39" s="6" t="n">
        <x:v>151</x:v>
      </x:c>
      <x:c r="K39" s="6" t="n">
        <x:v>154</x:v>
      </x:c>
      <x:c r="L39" s="6" t="n">
        <x:v>10</x:v>
      </x:c>
      <x:c r="M39" s="11" t="n">
        <x:v>0.731965811965812</x:v>
      </x:c>
      <x:c r="N39" s="6" t="n">
        <x:v>519000</x:v>
      </x:c>
    </x:row>
    <x:row r="40" ht="24" customHeight="1">
      <x:c r="A40" s="2" t="str">
        <x:v>2026-10-14_Day</x:v>
      </x:c>
      <x:c r="B40" s="6" t="str">
        <x:v>デイ</x:v>
      </x:c>
      <x:c r="C40" s="6" t="n">
        <x:v>731000</x:v>
      </x:c>
      <x:c r="D40" s="6" t="n">
        <x:v>1654000</x:v>
      </x:c>
      <x:c r="E40" s="6" t="n">
        <x:f>C40-D40</x:f>
        <x:v>-923000</x:v>
      </x:c>
      <x:c r="F40" s="6" t="n">
        <x:f>F39+E40</x:f>
        <x:v>-29523000</x:v>
      </x:c>
      <x:c r="G40" s="6" t="n">
        <x:v>572000</x:v>
      </x:c>
      <x:c r="H40" s="6" t="n">
        <x:v>1495000</x:v>
      </x:c>
      <x:c r="I40" s="6" t="n">
        <x:v>98</x:v>
      </x:c>
      <x:c r="J40" s="6" t="n">
        <x:v>195</x:v>
      </x:c>
      <x:c r="K40" s="6" t="n">
        <x:v>192</x:v>
      </x:c>
      <x:c r="L40" s="6" t="n">
        <x:v>10</x:v>
      </x:c>
      <x:c r="M40" s="11" t="n">
        <x:v>0.770952380952381</x:v>
      </x:c>
      <x:c r="N40" s="6" t="n">
        <x:v>1010000</x:v>
      </x:c>
    </x:row>
    <x:row r="41" ht="24" customHeight="1">
      <x:c r="A41" s="2" t="str">
        <x:v>2026-10-14_Night</x:v>
      </x:c>
      <x:c r="B41" s="6" t="str">
        <x:v>ナイト</x:v>
      </x:c>
      <x:c r="C41" s="6" t="n">
        <x:v>1418000</x:v>
      </x:c>
      <x:c r="D41" s="6" t="n">
        <x:v>2399000</x:v>
      </x:c>
      <x:c r="E41" s="6" t="n">
        <x:f>C41-D41</x:f>
        <x:v>-981000</x:v>
      </x:c>
      <x:c r="F41" s="6" t="n">
        <x:f>F40+E41</x:f>
        <x:v>-30504000</x:v>
      </x:c>
      <x:c r="G41" s="6" t="n">
        <x:v>1117000</x:v>
      </x:c>
      <x:c r="H41" s="6" t="n">
        <x:v>2098000</x:v>
      </x:c>
      <x:c r="I41" s="6" t="n">
        <x:v>136</x:v>
      </x:c>
      <x:c r="J41" s="6" t="n">
        <x:v>307</x:v>
      </x:c>
      <x:c r="K41" s="6" t="n">
        <x:v>306</x:v>
      </x:c>
      <x:c r="L41" s="6" t="n">
        <x:v>10</x:v>
      </x:c>
      <x:c r="M41" s="11" t="n">
        <x:v>0.8301495726495727</x:v>
      </x:c>
      <x:c r="N41" s="6" t="n">
        <x:v>1051000</x:v>
      </x:c>
    </x:row>
    <x:row r="42" ht="24" customHeight="1">
      <x:c r="A42" s="2" t="str">
        <x:v>2026-10-15_Day</x:v>
      </x:c>
      <x:c r="B42" s="6" t="str">
        <x:v>デイ</x:v>
      </x:c>
      <x:c r="C42" s="6" t="n">
        <x:v>2051000</x:v>
      </x:c>
      <x:c r="D42" s="6" t="n">
        <x:v>3950000</x:v>
      </x:c>
      <x:c r="E42" s="6" t="n">
        <x:f>C42-D42</x:f>
        <x:v>-1899000</x:v>
      </x:c>
      <x:c r="F42" s="6" t="n">
        <x:f>F41+E42</x:f>
        <x:v>-32403000</x:v>
      </x:c>
      <x:c r="G42" s="6" t="n">
        <x:v>1787000</x:v>
      </x:c>
      <x:c r="H42" s="6" t="n">
        <x:v>3686000</x:v>
      </x:c>
      <x:c r="I42" s="6" t="n">
        <x:v>188</x:v>
      </x:c>
      <x:c r="J42" s="6" t="n">
        <x:v>284</x:v>
      </x:c>
      <x:c r="K42" s="6" t="n">
        <x:v>278</x:v>
      </x:c>
      <x:c r="L42" s="6" t="n">
        <x:v>10</x:v>
      </x:c>
      <x:c r="M42" s="11" t="n">
        <x:v>0.7950396825396825</x:v>
      </x:c>
      <x:c r="N42" s="6" t="n">
        <x:v>1939000</x:v>
      </x:c>
    </x:row>
    <x:row r="43" ht="24" customHeight="1">
      <x:c r="A43" s="2" t="str">
        <x:v>2026-10-15_Night</x:v>
      </x:c>
      <x:c r="B43" s="6" t="str">
        <x:v>ナイト</x:v>
      </x:c>
      <x:c r="C43" s="6" t="n">
        <x:v>1515000</x:v>
      </x:c>
      <x:c r="D43" s="6" t="n">
        <x:v>3494000</x:v>
      </x:c>
      <x:c r="E43" s="6" t="n">
        <x:f>C43-D43</x:f>
        <x:v>-1979000</x:v>
      </x:c>
      <x:c r="F43" s="6" t="n">
        <x:f>F42+E43</x:f>
        <x:v>-34382000</x:v>
      </x:c>
      <x:c r="G43" s="6" t="n">
        <x:v>1278000</x:v>
      </x:c>
      <x:c r="H43" s="6" t="n">
        <x:v>3257000</x:v>
      </x:c>
      <x:c r="I43" s="6" t="n">
        <x:v>206</x:v>
      </x:c>
      <x:c r="J43" s="6" t="n">
        <x:v>295</x:v>
      </x:c>
      <x:c r="K43" s="6" t="n">
        <x:v>306</x:v>
      </x:c>
      <x:c r="L43" s="6" t="n">
        <x:v>10</x:v>
      </x:c>
      <x:c r="M43" s="11" t="n">
        <x:v>0.7531623931623932</x:v>
      </x:c>
      <x:c r="N43" s="6" t="n">
        <x:v>2004000</x:v>
      </x:c>
    </x:row>
    <x:row r="44" ht="24" customHeight="1">
      <x:c r="A44" s="2" t="str">
        <x:v>2026-10-16_Day</x:v>
      </x:c>
      <x:c r="B44" s="6" t="str">
        <x:v>デイ</x:v>
      </x:c>
      <x:c r="C44" s="6" t="n">
        <x:v>1475000</x:v>
      </x:c>
      <x:c r="D44" s="6" t="n">
        <x:v>2780000</x:v>
      </x:c>
      <x:c r="E44" s="6" t="n">
        <x:f>C44-D44</x:f>
        <x:v>-1305000</x:v>
      </x:c>
      <x:c r="F44" s="6" t="n">
        <x:f>F43+E44</x:f>
        <x:v>-35687000</x:v>
      </x:c>
      <x:c r="G44" s="6" t="n">
        <x:v>1238000</x:v>
      </x:c>
      <x:c r="H44" s="6" t="n">
        <x:v>2543000</x:v>
      </x:c>
      <x:c r="I44" s="6" t="n">
        <x:v>146</x:v>
      </x:c>
      <x:c r="J44" s="6" t="n">
        <x:v>248</x:v>
      </x:c>
      <x:c r="K44" s="6" t="n">
        <x:v>251</x:v>
      </x:c>
      <x:c r="L44" s="6" t="n">
        <x:v>10</x:v>
      </x:c>
      <x:c r="M44" s="11" t="n">
        <x:v>0.7998412698412698</x:v>
      </x:c>
      <x:c r="N44" s="6" t="n">
        <x:v>1355000</x:v>
      </x:c>
    </x:row>
    <x:row r="45" ht="24" customHeight="1">
      <x:c r="A45" s="2" t="str">
        <x:v>2026-10-16_Night</x:v>
      </x:c>
      <x:c r="B45" s="6" t="str">
        <x:v>ナイト</x:v>
      </x:c>
      <x:c r="C45" s="6" t="n">
        <x:v>1559000</x:v>
      </x:c>
      <x:c r="D45" s="6" t="n">
        <x:v>3133000</x:v>
      </x:c>
      <x:c r="E45" s="6" t="n">
        <x:f>C45-D45</x:f>
        <x:v>-1574000</x:v>
      </x:c>
      <x:c r="F45" s="6" t="n">
        <x:f>F44+E45</x:f>
        <x:v>-37261000</x:v>
      </x:c>
      <x:c r="G45" s="6" t="n">
        <x:v>1273000</x:v>
      </x:c>
      <x:c r="H45" s="6" t="n">
        <x:v>2847000</x:v>
      </x:c>
      <x:c r="I45" s="6" t="n">
        <x:v>206</x:v>
      </x:c>
      <x:c r="J45" s="6" t="n">
        <x:v>328</x:v>
      </x:c>
      <x:c r="K45" s="6" t="n">
        <x:v>342</x:v>
      </x:c>
      <x:c r="L45" s="6" t="n">
        <x:v>10</x:v>
      </x:c>
      <x:c r="M45" s="11" t="n">
        <x:v>0.7506623931623931</x:v>
      </x:c>
      <x:c r="N45" s="6" t="n">
        <x:v>1589000</x:v>
      </x:c>
    </x:row>
    <x:row r="46" ht="24" customHeight="1">
      <x:c r="A46" s="2" t="str">
        <x:v>2026-10-19_Day</x:v>
      </x:c>
      <x:c r="B46" s="6" t="str">
        <x:v>デイ</x:v>
      </x:c>
      <x:c r="C46" s="6" t="n">
        <x:v>1092000</x:v>
      </x:c>
      <x:c r="D46" s="6" t="n">
        <x:v>2407000</x:v>
      </x:c>
      <x:c r="E46" s="6" t="n">
        <x:f>C46-D46</x:f>
        <x:v>-1315000</x:v>
      </x:c>
      <x:c r="F46" s="6" t="n">
        <x:f>F45+E46</x:f>
        <x:v>-38576000</x:v>
      </x:c>
      <x:c r="G46" s="6" t="n">
        <x:v>921000</x:v>
      </x:c>
      <x:c r="H46" s="6" t="n">
        <x:v>2236000</x:v>
      </x:c>
      <x:c r="I46" s="6" t="n">
        <x:v>133</x:v>
      </x:c>
      <x:c r="J46" s="6" t="n">
        <x:v>213</x:v>
      </x:c>
      <x:c r="K46" s="6" t="n">
        <x:v>208</x:v>
      </x:c>
      <x:c r="L46" s="6" t="n">
        <x:v>10</x:v>
      </x:c>
      <x:c r="M46" s="11" t="n">
        <x:v>0.7580555555555556</x:v>
      </x:c>
      <x:c r="N46" s="6" t="n">
        <x:v>1401000</x:v>
      </x:c>
    </x:row>
    <x:row r="47" ht="24" customHeight="1">
      <x:c r="A47" s="2" t="str">
        <x:v>2026-10-19_Night</x:v>
      </x:c>
      <x:c r="B47" s="6" t="str">
        <x:v>ナイト</x:v>
      </x:c>
      <x:c r="C47" s="6" t="n">
        <x:v>749000</x:v>
      </x:c>
      <x:c r="D47" s="6" t="n">
        <x:v>2226000</x:v>
      </x:c>
      <x:c r="E47" s="6" t="n">
        <x:f>C47-D47</x:f>
        <x:v>-1477000</x:v>
      </x:c>
      <x:c r="F47" s="6" t="n">
        <x:f>F46+E47</x:f>
        <x:v>-40053000</x:v>
      </x:c>
      <x:c r="G47" s="6" t="n">
        <x:v>544000</x:v>
      </x:c>
      <x:c r="H47" s="6" t="n">
        <x:v>2021000</x:v>
      </x:c>
      <x:c r="I47" s="6" t="n">
        <x:v>144</x:v>
      </x:c>
      <x:c r="J47" s="6" t="n">
        <x:v>273</x:v>
      </x:c>
      <x:c r="K47" s="6" t="n">
        <x:v>290</x:v>
      </x:c>
      <x:c r="L47" s="6" t="n">
        <x:v>10</x:v>
      </x:c>
      <x:c r="M47" s="11" t="n">
        <x:v>0.7441666666666666</x:v>
      </x:c>
      <x:c r="N47" s="6" t="n">
        <x:v>1477000</x:v>
      </x:c>
    </x:row>
    <x:row r="48" ht="24" customHeight="1">
      <x:c r="A48" s="2" t="str">
        <x:v>2026-10-20_Day</x:v>
      </x:c>
      <x:c r="B48" s="6" t="str">
        <x:v>デイ</x:v>
      </x:c>
      <x:c r="C48" s="6" t="n">
        <x:v>1371000</x:v>
      </x:c>
      <x:c r="D48" s="6" t="n">
        <x:v>3272000</x:v>
      </x:c>
      <x:c r="E48" s="6" t="n">
        <x:f>C48-D48</x:f>
        <x:v>-1901000</x:v>
      </x:c>
      <x:c r="F48" s="6" t="n">
        <x:f>F47+E48</x:f>
        <x:v>-41954000</x:v>
      </x:c>
      <x:c r="G48" s="6" t="n">
        <x:v>1170000</x:v>
      </x:c>
      <x:c r="H48" s="6" t="n">
        <x:v>3071000</x:v>
      </x:c>
      <x:c r="I48" s="6" t="n">
        <x:v>164</x:v>
      </x:c>
      <x:c r="J48" s="6" t="n">
        <x:v>268</x:v>
      </x:c>
      <x:c r="K48" s="6" t="n">
        <x:v>269</x:v>
      </x:c>
      <x:c r="L48" s="6" t="n">
        <x:v>10</x:v>
      </x:c>
      <x:c r="M48" s="11" t="n">
        <x:v>0.8366269841269841</x:v>
      </x:c>
      <x:c r="N48" s="6" t="n">
        <x:v>1939000</x:v>
      </x:c>
    </x:row>
    <x:row r="49" ht="24" customHeight="1">
      <x:c r="A49" s="2" t="str">
        <x:v>2026-10-20_Night</x:v>
      </x:c>
      <x:c r="B49" s="6" t="str">
        <x:v>ナイト</x:v>
      </x:c>
      <x:c r="C49" s="6" t="n">
        <x:v>1592000</x:v>
      </x:c>
      <x:c r="D49" s="6" t="n">
        <x:v>2836000</x:v>
      </x:c>
      <x:c r="E49" s="6" t="n">
        <x:f>C49-D49</x:f>
        <x:v>-1244000</x:v>
      </x:c>
      <x:c r="F49" s="6" t="n">
        <x:f>F48+E49</x:f>
        <x:v>-43198000</x:v>
      </x:c>
      <x:c r="G49" s="6" t="n">
        <x:v>1392000</x:v>
      </x:c>
      <x:c r="H49" s="6" t="n">
        <x:v>2636000</x:v>
      </x:c>
      <x:c r="I49" s="6" t="n">
        <x:v>178</x:v>
      </x:c>
      <x:c r="J49" s="6" t="n">
        <x:v>303</x:v>
      </x:c>
      <x:c r="K49" s="6" t="n">
        <x:v>316</x:v>
      </x:c>
      <x:c r="L49" s="6" t="n">
        <x:v>10</x:v>
      </x:c>
      <x:c r="M49" s="11" t="n">
        <x:v>0.6947222222222222</x:v>
      </x:c>
      <x:c r="N49" s="6" t="n">
        <x:v>1345000</x:v>
      </x:c>
    </x:row>
    <x:row r="50" ht="24" customHeight="1">
      <x:c r="A50" s="2" t="str">
        <x:v>2026-10-21_Day</x:v>
      </x:c>
      <x:c r="B50" s="6" t="str">
        <x:v>デイ</x:v>
      </x:c>
      <x:c r="C50" s="6" t="n">
        <x:v>1265000</x:v>
      </x:c>
      <x:c r="D50" s="6" t="n">
        <x:v>2659000</x:v>
      </x:c>
      <x:c r="E50" s="6" t="n">
        <x:f>C50-D50</x:f>
        <x:v>-1394000</x:v>
      </x:c>
      <x:c r="F50" s="6" t="n">
        <x:f>F49+E50</x:f>
        <x:v>-44592000</x:v>
      </x:c>
      <x:c r="G50" s="6" t="n">
        <x:v>1132000</x:v>
      </x:c>
      <x:c r="H50" s="6" t="n">
        <x:v>2526000</x:v>
      </x:c>
      <x:c r="I50" s="6" t="n">
        <x:v>142</x:v>
      </x:c>
      <x:c r="J50" s="6" t="n">
        <x:v>240</x:v>
      </x:c>
      <x:c r="K50" s="6" t="n">
        <x:v>246</x:v>
      </x:c>
      <x:c r="L50" s="6" t="n">
        <x:v>10</x:v>
      </x:c>
      <x:c r="M50" s="11" t="n">
        <x:v>0.8175396825396826</x:v>
      </x:c>
      <x:c r="N50" s="6" t="n">
        <x:v>1523000</x:v>
      </x:c>
    </x:row>
    <x:row r="51" ht="24" customHeight="1">
      <x:c r="A51" s="2" t="str">
        <x:v>2026-10-21_Night</x:v>
      </x:c>
      <x:c r="B51" s="6" t="str">
        <x:v>ナイト</x:v>
      </x:c>
      <x:c r="C51" s="6" t="n">
        <x:v>1004000</x:v>
      </x:c>
      <x:c r="D51" s="6" t="n">
        <x:v>2194000</x:v>
      </x:c>
      <x:c r="E51" s="6" t="n">
        <x:f>C51-D51</x:f>
        <x:v>-1190000</x:v>
      </x:c>
      <x:c r="F51" s="6" t="n">
        <x:f>F50+E51</x:f>
        <x:v>-45782000</x:v>
      </x:c>
      <x:c r="G51" s="6" t="n">
        <x:v>806000</x:v>
      </x:c>
      <x:c r="H51" s="6" t="n">
        <x:v>1996000</x:v>
      </x:c>
      <x:c r="I51" s="6" t="n">
        <x:v>143</x:v>
      </x:c>
      <x:c r="J51" s="6" t="n">
        <x:v>263</x:v>
      </x:c>
      <x:c r="K51" s="6" t="n">
        <x:v>257</x:v>
      </x:c>
      <x:c r="L51" s="6" t="n">
        <x:v>10</x:v>
      </x:c>
      <x:c r="M51" s="11" t="n">
        <x:v>0.7749358974358974</x:v>
      </x:c>
      <x:c r="N51" s="6" t="n">
        <x:v>1283000</x:v>
      </x:c>
    </x:row>
    <x:row r="52" ht="24" customHeight="1">
      <x:c r="A52" s="2" t="str">
        <x:v>2026-10-22_Day</x:v>
      </x:c>
      <x:c r="B52" s="6" t="str">
        <x:v>デイ</x:v>
      </x:c>
      <x:c r="C52" s="6" t="n">
        <x:v>988000</x:v>
      </x:c>
      <x:c r="D52" s="6" t="n">
        <x:v>2208000</x:v>
      </x:c>
      <x:c r="E52" s="6" t="n">
        <x:f>C52-D52</x:f>
        <x:v>-1220000</x:v>
      </x:c>
      <x:c r="F52" s="6" t="n">
        <x:f>F51+E52</x:f>
        <x:v>-47002000</x:v>
      </x:c>
      <x:c r="G52" s="6" t="n">
        <x:v>847000</x:v>
      </x:c>
      <x:c r="H52" s="6" t="n">
        <x:v>2067000</x:v>
      </x:c>
      <x:c r="I52" s="6" t="n">
        <x:v>139</x:v>
      </x:c>
      <x:c r="J52" s="6" t="n">
        <x:v>252</x:v>
      </x:c>
      <x:c r="K52" s="6" t="n">
        <x:v>228</x:v>
      </x:c>
      <x:c r="L52" s="6" t="n">
        <x:v>10</x:v>
      </x:c>
      <x:c r="M52" s="11" t="n">
        <x:v>0.712579365079365</x:v>
      </x:c>
      <x:c r="N52" s="6" t="n">
        <x:v>1305000</x:v>
      </x:c>
    </x:row>
    <x:row r="53" ht="24" customHeight="1">
      <x:c r="A53" s="2" t="str">
        <x:v>2026-10-22_Night</x:v>
      </x:c>
      <x:c r="B53" s="6" t="str">
        <x:v>ナイト</x:v>
      </x:c>
      <x:c r="C53" s="6" t="n">
        <x:v>1509000</x:v>
      </x:c>
      <x:c r="D53" s="6" t="n">
        <x:v>3031000</x:v>
      </x:c>
      <x:c r="E53" s="6" t="n">
        <x:f>C53-D53</x:f>
        <x:v>-1522000</x:v>
      </x:c>
      <x:c r="F53" s="6" t="n">
        <x:f>F52+E53</x:f>
        <x:v>-48524000</x:v>
      </x:c>
      <x:c r="G53" s="6" t="n">
        <x:v>1208000</x:v>
      </x:c>
      <x:c r="H53" s="6" t="n">
        <x:v>2730000</x:v>
      </x:c>
      <x:c r="I53" s="6" t="n">
        <x:v>184</x:v>
      </x:c>
      <x:c r="J53" s="6" t="n">
        <x:v>333</x:v>
      </x:c>
      <x:c r="K53" s="6" t="n">
        <x:v>335</x:v>
      </x:c>
      <x:c r="L53" s="6" t="n">
        <x:v>10</x:v>
      </x:c>
      <x:c r="M53" s="11" t="n">
        <x:v>0.7933333333333333</x:v>
      </x:c>
      <x:c r="N53" s="6" t="n">
        <x:v>1603000</x:v>
      </x:c>
    </x:row>
    <x:row r="54" ht="24" customHeight="1">
      <x:c r="A54" s="2" t="str">
        <x:v>2026-10-23_Day</x:v>
      </x:c>
      <x:c r="B54" s="6" t="str">
        <x:v>デイ</x:v>
      </x:c>
      <x:c r="C54" s="6" t="n">
        <x:v>2678000</x:v>
      </x:c>
      <x:c r="D54" s="6" t="n">
        <x:v>6111000</x:v>
      </x:c>
      <x:c r="E54" s="6" t="n">
        <x:f>C54-D54</x:f>
        <x:v>-3433000</x:v>
      </x:c>
      <x:c r="F54" s="6" t="n">
        <x:f>F53+E54</x:f>
        <x:v>-51957000</x:v>
      </x:c>
      <x:c r="G54" s="6" t="n">
        <x:v>2397000</x:v>
      </x:c>
      <x:c r="H54" s="6" t="n">
        <x:v>5830000</x:v>
      </x:c>
      <x:c r="I54" s="6" t="n">
        <x:v>259</x:v>
      </x:c>
      <x:c r="J54" s="6" t="n">
        <x:v>296</x:v>
      </x:c>
      <x:c r="K54" s="6" t="n">
        <x:v>288</x:v>
      </x:c>
      <x:c r="L54" s="6" t="n">
        <x:v>10</x:v>
      </x:c>
      <x:c r="M54" s="11" t="n">
        <x:v>0.780952380952381</x:v>
      </x:c>
      <x:c r="N54" s="6" t="n">
        <x:v>3462000</x:v>
      </x:c>
    </x:row>
    <x:row r="55" ht="24" customHeight="1">
      <x:c r="A55" s="2" t="str">
        <x:v>2026-10-23_Night</x:v>
      </x:c>
      <x:c r="B55" s="6" t="str">
        <x:v>ナイト</x:v>
      </x:c>
      <x:c r="C55" s="6" t="n">
        <x:v>1005000</x:v>
      </x:c>
      <x:c r="D55" s="6" t="n">
        <x:v>2475000</x:v>
      </x:c>
      <x:c r="E55" s="6" t="n">
        <x:f>C55-D55</x:f>
        <x:v>-1470000</x:v>
      </x:c>
      <x:c r="F55" s="6" t="n">
        <x:f>F54+E55</x:f>
        <x:v>-53427000</x:v>
      </x:c>
      <x:c r="G55" s="6" t="n">
        <x:v>741000</x:v>
      </x:c>
      <x:c r="H55" s="6" t="n">
        <x:v>2211000</x:v>
      </x:c>
      <x:c r="I55" s="6" t="n">
        <x:v>176</x:v>
      </x:c>
      <x:c r="J55" s="6" t="n">
        <x:v>298</x:v>
      </x:c>
      <x:c r="K55" s="6" t="n">
        <x:v>297</x:v>
      </x:c>
      <x:c r="L55" s="6" t="n">
        <x:v>10</x:v>
      </x:c>
      <x:c r="M55" s="11" t="n">
        <x:v>0.7532478632478633</x:v>
      </x:c>
      <x:c r="N55" s="6" t="n">
        <x:v>1514000</x:v>
      </x:c>
    </x:row>
    <x:row r="56" ht="24" customHeight="1">
      <x:c r="A56" s="2" t="str">
        <x:v>2026-10-26_Day</x:v>
      </x:c>
      <x:c r="B56" s="6" t="str">
        <x:v>デイ</x:v>
      </x:c>
      <x:c r="C56" s="6" t="n">
        <x:v>1623000</x:v>
      </x:c>
      <x:c r="D56" s="6" t="n">
        <x:v>3592000</x:v>
      </x:c>
      <x:c r="E56" s="6" t="n">
        <x:f>C56-D56</x:f>
        <x:v>-1969000</x:v>
      </x:c>
      <x:c r="F56" s="6" t="n">
        <x:f>F55+E56</x:f>
        <x:v>-55396000</x:v>
      </x:c>
      <x:c r="G56" s="6" t="n">
        <x:v>1396000</x:v>
      </x:c>
      <x:c r="H56" s="6" t="n">
        <x:v>3365000</x:v>
      </x:c>
      <x:c r="I56" s="6" t="n">
        <x:v>179</x:v>
      </x:c>
      <x:c r="J56" s="6" t="n">
        <x:v>237</x:v>
      </x:c>
      <x:c r="K56" s="6" t="n">
        <x:v>252</x:v>
      </x:c>
      <x:c r="L56" s="6" t="n">
        <x:v>10</x:v>
      </x:c>
      <x:c r="M56" s="11" t="n">
        <x:v>0.7869047619047619</x:v>
      </x:c>
      <x:c r="N56" s="6" t="n">
        <x:v>2003000</x:v>
      </x:c>
    </x:row>
    <x:row r="57" ht="24" customHeight="1">
      <x:c r="A57" s="15" t="str">
        <x:v>累計／平均／最大</x:v>
      </x:c>
      <x:c r="B57" s="16"/>
      <x:c r="C57" s="16" t="n">
        <x:f>SUM(C6:C56)</x:f>
        <x:v>46410000</x:v>
      </x:c>
      <x:c r="D57" s="16" t="n">
        <x:f>SUM(D6:D56)</x:f>
        <x:v>101806000</x:v>
      </x:c>
      <x:c r="E57" s="16" t="n">
        <x:f>C57-D57</x:f>
        <x:v>-55396000</x:v>
      </x:c>
      <x:c r="F57" s="16" t="n">
        <x:f>F56</x:f>
        <x:v>-55396000</x:v>
      </x:c>
      <x:c r="G57" s="16" t="n">
        <x:f>SUM(G6:G56)</x:f>
        <x:v>37551000</x:v>
      </x:c>
      <x:c r="H57" s="16" t="n">
        <x:f>SUM(H6:H56)</x:f>
        <x:v>92947000</x:v>
      </x:c>
      <x:c r="I57" s="16" t="n">
        <x:f>SUM(I6:I56)</x:f>
        <x:v>6111</x:v>
      </x:c>
      <x:c r="J57" s="16" t="n">
        <x:f>SUM(J6:J56)</x:f>
        <x:v>11107</x:v>
      </x:c>
      <x:c r="K57" s="16" t="n">
        <x:f>SUM(K6:K56)</x:f>
        <x:v>11031</x:v>
      </x:c>
      <x:c r="L57" s="16" t="n">
        <x:f>MAX(L6:L56)</x:f>
        <x:v>10</x:v>
      </x:c>
      <x:c r="M57" s="17" t="n">
        <x:f>AVERAGE(M6:M56)</x:f>
        <x:v>0.7448920850391437</x:v>
      </x:c>
      <x:c r="N57" s="16" t="n">
        <x:f>MAX(N6:N56)</x:f>
        <x:v>3462000</x:v>
      </x:c>
    </x:row>
  </x:sheetData>
  <x:conditionalFormatting sqref="E6:F56">
    <x:cfRule type="cellIs" dxfId="30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3e83e53c4814756"/>
  </x:tableParts>
</x:worksheet>
</file>

<file path=xl/worksheets/sheet3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1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4" customHeight="1">
      <x:c r="A1" s="3" t="str">
        <x:v>日経 M24　各セッションの利益・損失・収支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A2" s="4" t="str">
        <x:v>2026/09/21〜10/26デイ・51完了場。日経mini／TOPIXmini各上限10枚・手数料0。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4" customHeight="1">
      <x:c r="A3" s="4" t="str">
        <x:v>600秒の時間加重平均を60秒前と比較。保有中も傾き比例で増減、利益追尾＋傾き反転・増勢後の半減で返済。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4" customHeight="1">
      <x:c r="A4" s="4" t="str">
        <x:v>利益・損失＝FIFO返済配賦別。親＝初回から全返済まで。ラージ気配による模型で、mini実約定の検証ではありません。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42" customHeight="1">
      <x:c r="A5" s="10" t="str">
        <x:v>セッション</x:v>
      </x:c>
      <x:c r="B5" s="10" t="str">
        <x:v>区分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親利益（円）</x:v>
      </x:c>
      <x:c r="H5" s="10" t="str">
        <x:v>親損失（円）</x:v>
      </x:c>
      <x:c r="I5" s="10" t="str">
        <x:v>初回件数</x:v>
      </x:c>
      <x:c r="J5" s="10" t="str">
        <x:v>追加件数</x:v>
      </x:c>
      <x:c r="K5" s="10" t="str">
        <x:v>縮小件数</x:v>
      </x:c>
      <x:c r="L5" s="10" t="str">
        <x:v>最大保有枚数</x:v>
      </x:c>
      <x:c r="M5" s="10" t="str">
        <x:v>保有時間率</x:v>
      </x:c>
      <x:c r="N5" s="10" t="str">
        <x:v>時価最大DD（円）</x:v>
      </x:c>
    </x:row>
    <x:row r="6" ht="24" customHeight="1">
      <x:c r="A6" s="2" t="str">
        <x:v>2026-09-21_Day</x:v>
      </x:c>
      <x:c r="B6" s="6" t="str">
        <x:v>デイ</x:v>
      </x:c>
      <x:c r="C6" s="6" t="n">
        <x:v>150000</x:v>
      </x:c>
      <x:c r="D6" s="6" t="n">
        <x:v>596000</x:v>
      </x:c>
      <x:c r="E6" s="6" t="n">
        <x:f>C6-D6</x:f>
        <x:v>-446000</x:v>
      </x:c>
      <x:c r="F6" s="6" t="n">
        <x:f>E6</x:f>
        <x:v>-446000</x:v>
      </x:c>
      <x:c r="G6" s="6" t="n">
        <x:v>122000</x:v>
      </x:c>
      <x:c r="H6" s="6" t="n">
        <x:v>568000</x:v>
      </x:c>
      <x:c r="I6" s="6" t="n">
        <x:v>44</x:v>
      </x:c>
      <x:c r="J6" s="6" t="n">
        <x:v>55</x:v>
      </x:c>
      <x:c r="K6" s="6" t="n">
        <x:v>60</x:v>
      </x:c>
      <x:c r="L6" s="6" t="n">
        <x:v>10</x:v>
      </x:c>
      <x:c r="M6" s="11" t="n">
        <x:v>0.47908730158730156</x:v>
      </x:c>
      <x:c r="N6" s="6" t="n">
        <x:v>456000</x:v>
      </x:c>
    </x:row>
    <x:row r="7" ht="24" customHeight="1">
      <x:c r="A7" s="2" t="str">
        <x:v>2026-09-21_Night</x:v>
      </x:c>
      <x:c r="B7" s="6" t="str">
        <x:v>ナイト</x:v>
      </x:c>
      <x:c r="C7" s="6" t="n">
        <x:v>234000</x:v>
      </x:c>
      <x:c r="D7" s="6" t="n">
        <x:v>440000</x:v>
      </x:c>
      <x:c r="E7" s="6" t="n">
        <x:f>C7-D7</x:f>
        <x:v>-206000</x:v>
      </x:c>
      <x:c r="F7" s="6" t="n">
        <x:f>F6+E7</x:f>
        <x:v>-652000</x:v>
      </x:c>
      <x:c r="G7" s="6" t="n">
        <x:v>180000</x:v>
      </x:c>
      <x:c r="H7" s="6" t="n">
        <x:v>386000</x:v>
      </x:c>
      <x:c r="I7" s="6" t="n">
        <x:v>53</x:v>
      </x:c>
      <x:c r="J7" s="6" t="n">
        <x:v>71</x:v>
      </x:c>
      <x:c r="K7" s="6" t="n">
        <x:v>75</x:v>
      </x:c>
      <x:c r="L7" s="6" t="n">
        <x:v>9</x:v>
      </x:c>
      <x:c r="M7" s="11" t="n">
        <x:v>0.4552777777777778</x:v>
      </x:c>
      <x:c r="N7" s="6" t="n">
        <x:v>260000</x:v>
      </x:c>
    </x:row>
    <x:row r="8" ht="24" customHeight="1">
      <x:c r="A8" s="2" t="str">
        <x:v>2026-09-22_Day</x:v>
      </x:c>
      <x:c r="B8" s="6" t="str">
        <x:v>デイ</x:v>
      </x:c>
      <x:c r="C8" s="6" t="n">
        <x:v>446000</x:v>
      </x:c>
      <x:c r="D8" s="6" t="n">
        <x:v>1000000</x:v>
      </x:c>
      <x:c r="E8" s="6" t="n">
        <x:f>C8-D8</x:f>
        <x:v>-554000</x:v>
      </x:c>
      <x:c r="F8" s="6" t="n">
        <x:f>F7+E8</x:f>
        <x:v>-1206000</x:v>
      </x:c>
      <x:c r="G8" s="6" t="n">
        <x:v>357000</x:v>
      </x:c>
      <x:c r="H8" s="6" t="n">
        <x:v>911000</x:v>
      </x:c>
      <x:c r="I8" s="6" t="n">
        <x:v>76</x:v>
      </x:c>
      <x:c r="J8" s="6" t="n">
        <x:v>120</x:v>
      </x:c>
      <x:c r="K8" s="6" t="n">
        <x:v>121</x:v>
      </x:c>
      <x:c r="L8" s="6" t="n">
        <x:v>10</x:v>
      </x:c>
      <x:c r="M8" s="11" t="n">
        <x:v>0.692063492063492</x:v>
      </x:c>
      <x:c r="N8" s="6" t="n">
        <x:v>649000</x:v>
      </x:c>
    </x:row>
    <x:row r="9" ht="24" customHeight="1">
      <x:c r="A9" s="2" t="str">
        <x:v>2026-09-22_Night</x:v>
      </x:c>
      <x:c r="B9" s="6" t="str">
        <x:v>ナイト</x:v>
      </x:c>
      <x:c r="C9" s="6" t="n">
        <x:v>693000</x:v>
      </x:c>
      <x:c r="D9" s="6" t="n">
        <x:v>1442000</x:v>
      </x:c>
      <x:c r="E9" s="6" t="n">
        <x:f>C9-D9</x:f>
        <x:v>-749000</x:v>
      </x:c>
      <x:c r="F9" s="6" t="n">
        <x:f>F8+E9</x:f>
        <x:v>-1955000</x:v>
      </x:c>
      <x:c r="G9" s="6" t="n">
        <x:v>569000</x:v>
      </x:c>
      <x:c r="H9" s="6" t="n">
        <x:v>1318000</x:v>
      </x:c>
      <x:c r="I9" s="6" t="n">
        <x:v>99</x:v>
      </x:c>
      <x:c r="J9" s="6" t="n">
        <x:v>149</x:v>
      </x:c>
      <x:c r="K9" s="6" t="n">
        <x:v>162</x:v>
      </x:c>
      <x:c r="L9" s="6" t="n">
        <x:v>10</x:v>
      </x:c>
      <x:c r="M9" s="11" t="n">
        <x:v>0.5686111111111111</x:v>
      </x:c>
      <x:c r="N9" s="6" t="n">
        <x:v>869000</x:v>
      </x:c>
    </x:row>
    <x:row r="10" ht="24" customHeight="1">
      <x:c r="A10" s="2" t="str">
        <x:v>2026-09-23_Day</x:v>
      </x:c>
      <x:c r="B10" s="6" t="str">
        <x:v>デイ</x:v>
      </x:c>
      <x:c r="C10" s="6" t="n">
        <x:v>141000</x:v>
      </x:c>
      <x:c r="D10" s="6" t="n">
        <x:v>540000</x:v>
      </x:c>
      <x:c r="E10" s="6" t="n">
        <x:f>C10-D10</x:f>
        <x:v>-399000</x:v>
      </x:c>
      <x:c r="F10" s="6" t="n">
        <x:f>F9+E10</x:f>
        <x:v>-2354000</x:v>
      </x:c>
      <x:c r="G10" s="6" t="n">
        <x:v>110000</x:v>
      </x:c>
      <x:c r="H10" s="6" t="n">
        <x:v>509000</x:v>
      </x:c>
      <x:c r="I10" s="6" t="n">
        <x:v>50</x:v>
      </x:c>
      <x:c r="J10" s="6" t="n">
        <x:v>71</x:v>
      </x:c>
      <x:c r="K10" s="6" t="n">
        <x:v>62</x:v>
      </x:c>
      <x:c r="L10" s="6" t="n">
        <x:v>10</x:v>
      </x:c>
      <x:c r="M10" s="11" t="n">
        <x:v>0.5294444444444445</x:v>
      </x:c>
      <x:c r="N10" s="6" t="n">
        <x:v>407000</x:v>
      </x:c>
    </x:row>
    <x:row r="11" ht="24" customHeight="1">
      <x:c r="A11" s="2" t="str">
        <x:v>2026-09-23_Night</x:v>
      </x:c>
      <x:c r="B11" s="6" t="str">
        <x:v>ナイト</x:v>
      </x:c>
      <x:c r="C11" s="6" t="n">
        <x:v>414000</x:v>
      </x:c>
      <x:c r="D11" s="6" t="n">
        <x:v>958000</x:v>
      </x:c>
      <x:c r="E11" s="6" t="n">
        <x:f>C11-D11</x:f>
        <x:v>-544000</x:v>
      </x:c>
      <x:c r="F11" s="6" t="n">
        <x:f>F10+E11</x:f>
        <x:v>-2898000</x:v>
      </x:c>
      <x:c r="G11" s="6" t="n">
        <x:v>306000</x:v>
      </x:c>
      <x:c r="H11" s="6" t="n">
        <x:v>850000</x:v>
      </x:c>
      <x:c r="I11" s="6" t="n">
        <x:v>70</x:v>
      </x:c>
      <x:c r="J11" s="6" t="n">
        <x:v>154</x:v>
      </x:c>
      <x:c r="K11" s="6" t="n">
        <x:v>124</x:v>
      </x:c>
      <x:c r="L11" s="6" t="n">
        <x:v>10</x:v>
      </x:c>
      <x:c r="M11" s="11" t="n">
        <x:v>0.6505128205128206</x:v>
      </x:c>
      <x:c r="N11" s="6" t="n">
        <x:v>547000</x:v>
      </x:c>
    </x:row>
    <x:row r="12" ht="24" customHeight="1">
      <x:c r="A12" s="2" t="str">
        <x:v>2026-09-24_Day</x:v>
      </x:c>
      <x:c r="B12" s="6" t="str">
        <x:v>デイ</x:v>
      </x:c>
      <x:c r="C12" s="6" t="n">
        <x:v>982000</x:v>
      </x:c>
      <x:c r="D12" s="6" t="n">
        <x:v>1804000</x:v>
      </x:c>
      <x:c r="E12" s="6" t="n">
        <x:f>C12-D12</x:f>
        <x:v>-822000</x:v>
      </x:c>
      <x:c r="F12" s="6" t="n">
        <x:f>F11+E12</x:f>
        <x:v>-3720000</x:v>
      </x:c>
      <x:c r="G12" s="6" t="n">
        <x:v>886000</x:v>
      </x:c>
      <x:c r="H12" s="6" t="n">
        <x:v>1708000</x:v>
      </x:c>
      <x:c r="I12" s="6" t="n">
        <x:v>122</x:v>
      </x:c>
      <x:c r="J12" s="6" t="n">
        <x:v>203</x:v>
      </x:c>
      <x:c r="K12" s="6" t="n">
        <x:v>175</x:v>
      </x:c>
      <x:c r="L12" s="6" t="n">
        <x:v>10</x:v>
      </x:c>
      <x:c r="M12" s="11" t="n">
        <x:v>0.7957936507936508</x:v>
      </x:c>
      <x:c r="N12" s="6" t="n">
        <x:v>885000</x:v>
      </x:c>
    </x:row>
    <x:row r="13" ht="24" customHeight="1">
      <x:c r="A13" s="2" t="str">
        <x:v>2026-09-24_Night</x:v>
      </x:c>
      <x:c r="B13" s="6" t="str">
        <x:v>ナイト</x:v>
      </x:c>
      <x:c r="C13" s="6" t="n">
        <x:v>888000</x:v>
      </x:c>
      <x:c r="D13" s="6" t="n">
        <x:v>2429000</x:v>
      </x:c>
      <x:c r="E13" s="6" t="n">
        <x:f>C13-D13</x:f>
        <x:v>-1541000</x:v>
      </x:c>
      <x:c r="F13" s="6" t="n">
        <x:f>F12+E13</x:f>
        <x:v>-5261000</x:v>
      </x:c>
      <x:c r="G13" s="6" t="n">
        <x:v>731000</x:v>
      </x:c>
      <x:c r="H13" s="6" t="n">
        <x:v>2272000</x:v>
      </x:c>
      <x:c r="I13" s="6" t="n">
        <x:v>173</x:v>
      </x:c>
      <x:c r="J13" s="6" t="n">
        <x:v>236</x:v>
      </x:c>
      <x:c r="K13" s="6" t="n">
        <x:v>236</x:v>
      </x:c>
      <x:c r="L13" s="6" t="n">
        <x:v>10</x:v>
      </x:c>
      <x:c r="M13" s="11" t="n">
        <x:v>0.7355555555555555</x:v>
      </x:c>
      <x:c r="N13" s="6" t="n">
        <x:v>1602000</x:v>
      </x:c>
    </x:row>
    <x:row r="14" ht="24" customHeight="1">
      <x:c r="A14" s="2" t="str">
        <x:v>2026-09-25_Day</x:v>
      </x:c>
      <x:c r="B14" s="6" t="str">
        <x:v>デイ</x:v>
      </x:c>
      <x:c r="C14" s="6" t="n">
        <x:v>754000</x:v>
      </x:c>
      <x:c r="D14" s="6" t="n">
        <x:v>1531000</x:v>
      </x:c>
      <x:c r="E14" s="6" t="n">
        <x:f>C14-D14</x:f>
        <x:v>-777000</x:v>
      </x:c>
      <x:c r="F14" s="6" t="n">
        <x:f>F13+E14</x:f>
        <x:v>-6038000</x:v>
      </x:c>
      <x:c r="G14" s="6" t="n">
        <x:v>657000</x:v>
      </x:c>
      <x:c r="H14" s="6" t="n">
        <x:v>1434000</x:v>
      </x:c>
      <x:c r="I14" s="6" t="n">
        <x:v>116</x:v>
      </x:c>
      <x:c r="J14" s="6" t="n">
        <x:v>182</x:v>
      </x:c>
      <x:c r="K14" s="6" t="n">
        <x:v>162</x:v>
      </x:c>
      <x:c r="L14" s="6" t="n">
        <x:v>10</x:v>
      </x:c>
      <x:c r="M14" s="11" t="n">
        <x:v>0.7740476190476191</x:v>
      </x:c>
      <x:c r="N14" s="6" t="n">
        <x:v>869000</x:v>
      </x:c>
    </x:row>
    <x:row r="15" ht="24" customHeight="1">
      <x:c r="A15" s="2" t="str">
        <x:v>2026-09-25_Night</x:v>
      </x:c>
      <x:c r="B15" s="6" t="str">
        <x:v>ナイト</x:v>
      </x:c>
      <x:c r="C15" s="6" t="n">
        <x:v>573000</x:v>
      </x:c>
      <x:c r="D15" s="6" t="n">
        <x:v>1470000</x:v>
      </x:c>
      <x:c r="E15" s="6" t="n">
        <x:f>C15-D15</x:f>
        <x:v>-897000</x:v>
      </x:c>
      <x:c r="F15" s="6" t="n">
        <x:f>F14+E15</x:f>
        <x:v>-6935000</x:v>
      </x:c>
      <x:c r="G15" s="6" t="n">
        <x:v>489000</x:v>
      </x:c>
      <x:c r="H15" s="6" t="n">
        <x:v>1386000</x:v>
      </x:c>
      <x:c r="I15" s="6" t="n">
        <x:v>112</x:v>
      </x:c>
      <x:c r="J15" s="6" t="n">
        <x:v>194</x:v>
      </x:c>
      <x:c r="K15" s="6" t="n">
        <x:v>176</x:v>
      </x:c>
      <x:c r="L15" s="6" t="n">
        <x:v>10</x:v>
      </x:c>
      <x:c r="M15" s="11" t="n">
        <x:v>0.6852136752136753</x:v>
      </x:c>
      <x:c r="N15" s="6" t="n">
        <x:v>933000</x:v>
      </x:c>
    </x:row>
    <x:row r="16" ht="24" customHeight="1">
      <x:c r="A16" s="2" t="str">
        <x:v>2026-09-28_Day</x:v>
      </x:c>
      <x:c r="B16" s="6" t="str">
        <x:v>デイ</x:v>
      </x:c>
      <x:c r="C16" s="6" t="n">
        <x:v>1160000</x:v>
      </x:c>
      <x:c r="D16" s="6" t="n">
        <x:v>2091000</x:v>
      </x:c>
      <x:c r="E16" s="6" t="n">
        <x:f>C16-D16</x:f>
        <x:v>-931000</x:v>
      </x:c>
      <x:c r="F16" s="6" t="n">
        <x:f>F15+E16</x:f>
        <x:v>-7866000</x:v>
      </x:c>
      <x:c r="G16" s="6" t="n">
        <x:v>978000</x:v>
      </x:c>
      <x:c r="H16" s="6" t="n">
        <x:v>1909000</x:v>
      </x:c>
      <x:c r="I16" s="6" t="n">
        <x:v>136</x:v>
      </x:c>
      <x:c r="J16" s="6" t="n">
        <x:v>203</x:v>
      </x:c>
      <x:c r="K16" s="6" t="n">
        <x:v>197</x:v>
      </x:c>
      <x:c r="L16" s="6" t="n">
        <x:v>10</x:v>
      </x:c>
      <x:c r="M16" s="11" t="n">
        <x:v>0.8092460317460317</x:v>
      </x:c>
      <x:c r="N16" s="6" t="n">
        <x:v>1108000</x:v>
      </x:c>
    </x:row>
    <x:row r="17" ht="24" customHeight="1">
      <x:c r="A17" s="2" t="str">
        <x:v>2026-09-28_Night</x:v>
      </x:c>
      <x:c r="B17" s="6" t="str">
        <x:v>ナイト</x:v>
      </x:c>
      <x:c r="C17" s="6" t="n">
        <x:v>1001000</x:v>
      </x:c>
      <x:c r="D17" s="6" t="n">
        <x:v>2032000</x:v>
      </x:c>
      <x:c r="E17" s="6" t="n">
        <x:f>C17-D17</x:f>
        <x:v>-1031000</x:v>
      </x:c>
      <x:c r="F17" s="6" t="n">
        <x:f>F16+E17</x:f>
        <x:v>-8897000</x:v>
      </x:c>
      <x:c r="G17" s="6" t="n">
        <x:v>882000</x:v>
      </x:c>
      <x:c r="H17" s="6" t="n">
        <x:v>1913000</x:v>
      </x:c>
      <x:c r="I17" s="6" t="n">
        <x:v>139</x:v>
      </x:c>
      <x:c r="J17" s="6" t="n">
        <x:v>201</x:v>
      </x:c>
      <x:c r="K17" s="6" t="n">
        <x:v>199</x:v>
      </x:c>
      <x:c r="L17" s="6" t="n">
        <x:v>10</x:v>
      </x:c>
      <x:c r="M17" s="11" t="n">
        <x:v>0.6758760683760684</x:v>
      </x:c>
      <x:c r="N17" s="6" t="n">
        <x:v>1060000</x:v>
      </x:c>
    </x:row>
    <x:row r="18" ht="24" customHeight="1">
      <x:c r="A18" s="2" t="str">
        <x:v>2026-09-29_Day</x:v>
      </x:c>
      <x:c r="B18" s="6" t="str">
        <x:v>デイ</x:v>
      </x:c>
      <x:c r="C18" s="6" t="n">
        <x:v>1091000</x:v>
      </x:c>
      <x:c r="D18" s="6" t="n">
        <x:v>2512000</x:v>
      </x:c>
      <x:c r="E18" s="6" t="n">
        <x:f>C18-D18</x:f>
        <x:v>-1421000</x:v>
      </x:c>
      <x:c r="F18" s="6" t="n">
        <x:f>F17+E18</x:f>
        <x:v>-10318000</x:v>
      </x:c>
      <x:c r="G18" s="6" t="n">
        <x:v>927000</x:v>
      </x:c>
      <x:c r="H18" s="6" t="n">
        <x:v>2348000</x:v>
      </x:c>
      <x:c r="I18" s="6" t="n">
        <x:v>144</x:v>
      </x:c>
      <x:c r="J18" s="6" t="n">
        <x:v>236</x:v>
      </x:c>
      <x:c r="K18" s="6" t="n">
        <x:v>232</x:v>
      </x:c>
      <x:c r="L18" s="6" t="n">
        <x:v>10</x:v>
      </x:c>
      <x:c r="M18" s="11" t="n">
        <x:v>0.8056746031746032</x:v>
      </x:c>
      <x:c r="N18" s="6" t="n">
        <x:v>1580000</x:v>
      </x:c>
    </x:row>
    <x:row r="19" ht="24" customHeight="1">
      <x:c r="A19" s="2" t="str">
        <x:v>2026-09-29_Night</x:v>
      </x:c>
      <x:c r="B19" s="6" t="str">
        <x:v>ナイト</x:v>
      </x:c>
      <x:c r="C19" s="6" t="n">
        <x:v>646000</x:v>
      </x:c>
      <x:c r="D19" s="6" t="n">
        <x:v>1431000</x:v>
      </x:c>
      <x:c r="E19" s="6" t="n">
        <x:f>C19-D19</x:f>
        <x:v>-785000</x:v>
      </x:c>
      <x:c r="F19" s="6" t="n">
        <x:f>F18+E19</x:f>
        <x:v>-11103000</x:v>
      </x:c>
      <x:c r="G19" s="6" t="n">
        <x:v>522000</x:v>
      </x:c>
      <x:c r="H19" s="6" t="n">
        <x:v>1307000</x:v>
      </x:c>
      <x:c r="I19" s="6" t="n">
        <x:v>124</x:v>
      </x:c>
      <x:c r="J19" s="6" t="n">
        <x:v>195</x:v>
      </x:c>
      <x:c r="K19" s="6" t="n">
        <x:v>203</x:v>
      </x:c>
      <x:c r="L19" s="6" t="n">
        <x:v>10</x:v>
      </x:c>
      <x:c r="M19" s="11" t="n">
        <x:v>0.6823290598290598</x:v>
      </x:c>
      <x:c r="N19" s="6" t="n">
        <x:v>800000</x:v>
      </x:c>
    </x:row>
    <x:row r="20" ht="24" customHeight="1">
      <x:c r="A20" s="2" t="str">
        <x:v>2026-09-30_Day</x:v>
      </x:c>
      <x:c r="B20" s="6" t="str">
        <x:v>デイ</x:v>
      </x:c>
      <x:c r="C20" s="6" t="n">
        <x:v>911000</x:v>
      </x:c>
      <x:c r="D20" s="6" t="n">
        <x:v>1902000</x:v>
      </x:c>
      <x:c r="E20" s="6" t="n">
        <x:f>C20-D20</x:f>
        <x:v>-991000</x:v>
      </x:c>
      <x:c r="F20" s="6" t="n">
        <x:f>F19+E20</x:f>
        <x:v>-12094000</x:v>
      </x:c>
      <x:c r="G20" s="6" t="n">
        <x:v>727000</x:v>
      </x:c>
      <x:c r="H20" s="6" t="n">
        <x:v>1718000</x:v>
      </x:c>
      <x:c r="I20" s="6" t="n">
        <x:v>123</x:v>
      </x:c>
      <x:c r="J20" s="6" t="n">
        <x:v>239</x:v>
      </x:c>
      <x:c r="K20" s="6" t="n">
        <x:v>222</x:v>
      </x:c>
      <x:c r="L20" s="6" t="n">
        <x:v>10</x:v>
      </x:c>
      <x:c r="M20" s="11" t="n">
        <x:v>0.8169444444444445</x:v>
      </x:c>
      <x:c r="N20" s="6" t="n">
        <x:v>1024000</x:v>
      </x:c>
    </x:row>
    <x:row r="21" ht="24" customHeight="1">
      <x:c r="A21" s="2" t="str">
        <x:v>2026-09-30_Night</x:v>
      </x:c>
      <x:c r="B21" s="6" t="str">
        <x:v>ナイト</x:v>
      </x:c>
      <x:c r="C21" s="6" t="n">
        <x:v>982000</x:v>
      </x:c>
      <x:c r="D21" s="6" t="n">
        <x:v>2476000</x:v>
      </x:c>
      <x:c r="E21" s="6" t="n">
        <x:f>C21-D21</x:f>
        <x:v>-1494000</x:v>
      </x:c>
      <x:c r="F21" s="6" t="n">
        <x:f>F20+E21</x:f>
        <x:v>-13588000</x:v>
      </x:c>
      <x:c r="G21" s="6" t="n">
        <x:v>744000</x:v>
      </x:c>
      <x:c r="H21" s="6" t="n">
        <x:v>2238000</x:v>
      </x:c>
      <x:c r="I21" s="6" t="n">
        <x:v>158</x:v>
      </x:c>
      <x:c r="J21" s="6" t="n">
        <x:v>299</x:v>
      </x:c>
      <x:c r="K21" s="6" t="n">
        <x:v>275</x:v>
      </x:c>
      <x:c r="L21" s="6" t="n">
        <x:v>10</x:v>
      </x:c>
      <x:c r="M21" s="11" t="n">
        <x:v>0.7340384615384615</x:v>
      </x:c>
      <x:c r="N21" s="6" t="n">
        <x:v>1605000</x:v>
      </x:c>
    </x:row>
    <x:row r="22" ht="24" customHeight="1">
      <x:c r="A22" s="2" t="str">
        <x:v>2026-10-01_Day</x:v>
      </x:c>
      <x:c r="B22" s="6" t="str">
        <x:v>デイ</x:v>
      </x:c>
      <x:c r="C22" s="6" t="n">
        <x:v>886000</x:v>
      </x:c>
      <x:c r="D22" s="6" t="n">
        <x:v>1665000</x:v>
      </x:c>
      <x:c r="E22" s="6" t="n">
        <x:f>C22-D22</x:f>
        <x:v>-779000</x:v>
      </x:c>
      <x:c r="F22" s="6" t="n">
        <x:f>F21+E22</x:f>
        <x:v>-14367000</x:v>
      </x:c>
      <x:c r="G22" s="6" t="n">
        <x:v>702000</x:v>
      </x:c>
      <x:c r="H22" s="6" t="n">
        <x:v>1481000</x:v>
      </x:c>
      <x:c r="I22" s="6" t="n">
        <x:v>102</x:v>
      </x:c>
      <x:c r="J22" s="6" t="n">
        <x:v>220</x:v>
      </x:c>
      <x:c r="K22" s="6" t="n">
        <x:v>203</x:v>
      </x:c>
      <x:c r="L22" s="6" t="n">
        <x:v>10</x:v>
      </x:c>
      <x:c r="M22" s="11" t="n">
        <x:v>0.7917857142857143</x:v>
      </x:c>
      <x:c r="N22" s="6" t="n">
        <x:v>841000</x:v>
      </x:c>
    </x:row>
    <x:row r="23" ht="24" customHeight="1">
      <x:c r="A23" s="2" t="str">
        <x:v>2026-10-01_Night</x:v>
      </x:c>
      <x:c r="B23" s="6" t="str">
        <x:v>ナイト</x:v>
      </x:c>
      <x:c r="C23" s="6" t="n">
        <x:v>1185000</x:v>
      </x:c>
      <x:c r="D23" s="6" t="n">
        <x:v>2884000</x:v>
      </x:c>
      <x:c r="E23" s="6" t="n">
        <x:f>C23-D23</x:f>
        <x:v>-1699000</x:v>
      </x:c>
      <x:c r="F23" s="6" t="n">
        <x:f>F22+E23</x:f>
        <x:v>-16066000</x:v>
      </x:c>
      <x:c r="G23" s="6" t="n">
        <x:v>710000</x:v>
      </x:c>
      <x:c r="H23" s="6" t="n">
        <x:v>2409000</x:v>
      </x:c>
      <x:c r="I23" s="6" t="n">
        <x:v>162</x:v>
      </x:c>
      <x:c r="J23" s="6" t="n">
        <x:v>376</x:v>
      </x:c>
      <x:c r="K23" s="6" t="n">
        <x:v>367</x:v>
      </x:c>
      <x:c r="L23" s="6" t="n">
        <x:v>10</x:v>
      </x:c>
      <x:c r="M23" s="11" t="n">
        <x:v>0.7654059829059829</x:v>
      </x:c>
      <x:c r="N23" s="6" t="n">
        <x:v>1801000</x:v>
      </x:c>
    </x:row>
    <x:row r="24" ht="24" customHeight="1">
      <x:c r="A24" s="2" t="str">
        <x:v>2026-10-02_Day</x:v>
      </x:c>
      <x:c r="B24" s="6" t="str">
        <x:v>デイ</x:v>
      </x:c>
      <x:c r="C24" s="6" t="n">
        <x:v>620000</x:v>
      </x:c>
      <x:c r="D24" s="6" t="n">
        <x:v>2099000</x:v>
      </x:c>
      <x:c r="E24" s="6" t="n">
        <x:f>C24-D24</x:f>
        <x:v>-1479000</x:v>
      </x:c>
      <x:c r="F24" s="6" t="n">
        <x:f>F23+E24</x:f>
        <x:v>-17545000</x:v>
      </x:c>
      <x:c r="G24" s="6" t="n">
        <x:v>480000</x:v>
      </x:c>
      <x:c r="H24" s="6" t="n">
        <x:v>1959000</x:v>
      </x:c>
      <x:c r="I24" s="6" t="n">
        <x:v>113</x:v>
      </x:c>
      <x:c r="J24" s="6" t="n">
        <x:v>207</x:v>
      </x:c>
      <x:c r="K24" s="6" t="n">
        <x:v>192</x:v>
      </x:c>
      <x:c r="L24" s="6" t="n">
        <x:v>10</x:v>
      </x:c>
      <x:c r="M24" s="11" t="n">
        <x:v>0.7658730158730159</x:v>
      </x:c>
      <x:c r="N24" s="6" t="n">
        <x:v>1681000</x:v>
      </x:c>
    </x:row>
    <x:row r="25" ht="24" customHeight="1">
      <x:c r="A25" s="2" t="str">
        <x:v>2026-10-02_Night</x:v>
      </x:c>
      <x:c r="B25" s="6" t="str">
        <x:v>ナイト</x:v>
      </x:c>
      <x:c r="C25" s="6" t="n">
        <x:v>960000</x:v>
      </x:c>
      <x:c r="D25" s="6" t="n">
        <x:v>2115000</x:v>
      </x:c>
      <x:c r="E25" s="6" t="n">
        <x:f>C25-D25</x:f>
        <x:v>-1155000</x:v>
      </x:c>
      <x:c r="F25" s="6" t="n">
        <x:f>F24+E25</x:f>
        <x:v>-18700000</x:v>
      </x:c>
      <x:c r="G25" s="6" t="n">
        <x:v>717000</x:v>
      </x:c>
      <x:c r="H25" s="6" t="n">
        <x:v>1872000</x:v>
      </x:c>
      <x:c r="I25" s="6" t="n">
        <x:v>135</x:v>
      </x:c>
      <x:c r="J25" s="6" t="n">
        <x:v>259</x:v>
      </x:c>
      <x:c r="K25" s="6" t="n">
        <x:v>245</x:v>
      </x:c>
      <x:c r="L25" s="6" t="n">
        <x:v>10</x:v>
      </x:c>
      <x:c r="M25" s="11" t="n">
        <x:v>0.7553418803418803</x:v>
      </x:c>
      <x:c r="N25" s="6" t="n">
        <x:v>1205000</x:v>
      </x:c>
    </x:row>
    <x:row r="26" ht="24" customHeight="1">
      <x:c r="A26" s="2" t="str">
        <x:v>2026-10-05_Day</x:v>
      </x:c>
      <x:c r="B26" s="6" t="str">
        <x:v>デイ</x:v>
      </x:c>
      <x:c r="C26" s="6" t="n">
        <x:v>534000</x:v>
      </x:c>
      <x:c r="D26" s="6" t="n">
        <x:v>1379000</x:v>
      </x:c>
      <x:c r="E26" s="6" t="n">
        <x:f>C26-D26</x:f>
        <x:v>-845000</x:v>
      </x:c>
      <x:c r="F26" s="6" t="n">
        <x:f>F25+E26</x:f>
        <x:v>-19545000</x:v>
      </x:c>
      <x:c r="G26" s="6" t="n">
        <x:v>356000</x:v>
      </x:c>
      <x:c r="H26" s="6" t="n">
        <x:v>1201000</x:v>
      </x:c>
      <x:c r="I26" s="6" t="n">
        <x:v>95</x:v>
      </x:c>
      <x:c r="J26" s="6" t="n">
        <x:v>209</x:v>
      </x:c>
      <x:c r="K26" s="6" t="n">
        <x:v>202</x:v>
      </x:c>
      <x:c r="L26" s="6" t="n">
        <x:v>10</x:v>
      </x:c>
      <x:c r="M26" s="11" t="n">
        <x:v>0.8315873015873015</x:v>
      </x:c>
      <x:c r="N26" s="6" t="n">
        <x:v>869000</x:v>
      </x:c>
    </x:row>
    <x:row r="27" ht="24" customHeight="1">
      <x:c r="A27" s="2" t="str">
        <x:v>2026-10-05_Night</x:v>
      </x:c>
      <x:c r="B27" s="6" t="str">
        <x:v>ナイト</x:v>
      </x:c>
      <x:c r="C27" s="6" t="n">
        <x:v>639000</x:v>
      </x:c>
      <x:c r="D27" s="6" t="n">
        <x:v>1342000</x:v>
      </x:c>
      <x:c r="E27" s="6" t="n">
        <x:f>C27-D27</x:f>
        <x:v>-703000</x:v>
      </x:c>
      <x:c r="F27" s="6" t="n">
        <x:f>F26+E27</x:f>
        <x:v>-20248000</x:v>
      </x:c>
      <x:c r="G27" s="6" t="n">
        <x:v>493000</x:v>
      </x:c>
      <x:c r="H27" s="6" t="n">
        <x:v>1196000</x:v>
      </x:c>
      <x:c r="I27" s="6" t="n">
        <x:v>111</x:v>
      </x:c>
      <x:c r="J27" s="6" t="n">
        <x:v>194</x:v>
      </x:c>
      <x:c r="K27" s="6" t="n">
        <x:v>173</x:v>
      </x:c>
      <x:c r="L27" s="6" t="n">
        <x:v>10</x:v>
      </x:c>
      <x:c r="M27" s="11" t="n">
        <x:v>0.7260470085470085</x:v>
      </x:c>
      <x:c r="N27" s="6" t="n">
        <x:v>723000</x:v>
      </x:c>
    </x:row>
    <x:row r="28" ht="24" customHeight="1">
      <x:c r="A28" s="2" t="str">
        <x:v>2026-10-06_Day</x:v>
      </x:c>
      <x:c r="B28" s="6" t="str">
        <x:v>デイ</x:v>
      </x:c>
      <x:c r="C28" s="6" t="n">
        <x:v>517000</x:v>
      </x:c>
      <x:c r="D28" s="6" t="n">
        <x:v>1117000</x:v>
      </x:c>
      <x:c r="E28" s="6" t="n">
        <x:f>C28-D28</x:f>
        <x:v>-600000</x:v>
      </x:c>
      <x:c r="F28" s="6" t="n">
        <x:f>F27+E28</x:f>
        <x:v>-20848000</x:v>
      </x:c>
      <x:c r="G28" s="6" t="n">
        <x:v>417000</x:v>
      </x:c>
      <x:c r="H28" s="6" t="n">
        <x:v>1017000</x:v>
      </x:c>
      <x:c r="I28" s="6" t="n">
        <x:v>88</x:v>
      </x:c>
      <x:c r="J28" s="6" t="n">
        <x:v>161</x:v>
      </x:c>
      <x:c r="K28" s="6" t="n">
        <x:v>142</x:v>
      </x:c>
      <x:c r="L28" s="6" t="n">
        <x:v>10</x:v>
      </x:c>
      <x:c r="M28" s="11" t="n">
        <x:v>0.6986111111111111</x:v>
      </x:c>
      <x:c r="N28" s="6" t="n">
        <x:v>608000</x:v>
      </x:c>
    </x:row>
    <x:row r="29" ht="24" customHeight="1">
      <x:c r="A29" s="2" t="str">
        <x:v>2026-10-06_Night</x:v>
      </x:c>
      <x:c r="B29" s="6" t="str">
        <x:v>ナイト</x:v>
      </x:c>
      <x:c r="C29" s="6" t="n">
        <x:v>366000</x:v>
      </x:c>
      <x:c r="D29" s="6" t="n">
        <x:v>837000</x:v>
      </x:c>
      <x:c r="E29" s="6" t="n">
        <x:f>C29-D29</x:f>
        <x:v>-471000</x:v>
      </x:c>
      <x:c r="F29" s="6" t="n">
        <x:f>F28+E29</x:f>
        <x:v>-21319000</x:v>
      </x:c>
      <x:c r="G29" s="6" t="n">
        <x:v>221000</x:v>
      </x:c>
      <x:c r="H29" s="6" t="n">
        <x:v>692000</x:v>
      </x:c>
      <x:c r="I29" s="6" t="n">
        <x:v>80</x:v>
      </x:c>
      <x:c r="J29" s="6" t="n">
        <x:v>167</x:v>
      </x:c>
      <x:c r="K29" s="6" t="n">
        <x:v>147</x:v>
      </x:c>
      <x:c r="L29" s="6" t="n">
        <x:v>10</x:v>
      </x:c>
      <x:c r="M29" s="11" t="n">
        <x:v>0.6675427350427351</x:v>
      </x:c>
      <x:c r="N29" s="6" t="n">
        <x:v>482000</x:v>
      </x:c>
    </x:row>
    <x:row r="30" ht="24" customHeight="1">
      <x:c r="A30" s="2" t="str">
        <x:v>2026-10-07_Day</x:v>
      </x:c>
      <x:c r="B30" s="6" t="str">
        <x:v>デイ</x:v>
      </x:c>
      <x:c r="C30" s="6" t="n">
        <x:v>398000</x:v>
      </x:c>
      <x:c r="D30" s="6" t="n">
        <x:v>914000</x:v>
      </x:c>
      <x:c r="E30" s="6" t="n">
        <x:f>C30-D30</x:f>
        <x:v>-516000</x:v>
      </x:c>
      <x:c r="F30" s="6" t="n">
        <x:f>F29+E30</x:f>
        <x:v>-21835000</x:v>
      </x:c>
      <x:c r="G30" s="6" t="n">
        <x:v>295000</x:v>
      </x:c>
      <x:c r="H30" s="6" t="n">
        <x:v>811000</x:v>
      </x:c>
      <x:c r="I30" s="6" t="n">
        <x:v>81</x:v>
      </x:c>
      <x:c r="J30" s="6" t="n">
        <x:v>159</x:v>
      </x:c>
      <x:c r="K30" s="6" t="n">
        <x:v>146</x:v>
      </x:c>
      <x:c r="L30" s="6" t="n">
        <x:v>10</x:v>
      </x:c>
      <x:c r="M30" s="11" t="n">
        <x:v>0.7852777777777777</x:v>
      </x:c>
      <x:c r="N30" s="6" t="n">
        <x:v>522000</x:v>
      </x:c>
    </x:row>
    <x:row r="31" ht="24" customHeight="1">
      <x:c r="A31" s="2" t="str">
        <x:v>2026-10-07_Night</x:v>
      </x:c>
      <x:c r="B31" s="6" t="str">
        <x:v>ナイト</x:v>
      </x:c>
      <x:c r="C31" s="6" t="n">
        <x:v>413000</x:v>
      </x:c>
      <x:c r="D31" s="6" t="n">
        <x:v>1314000</x:v>
      </x:c>
      <x:c r="E31" s="6" t="n">
        <x:f>C31-D31</x:f>
        <x:v>-901000</x:v>
      </x:c>
      <x:c r="F31" s="6" t="n">
        <x:f>F30+E31</x:f>
        <x:v>-22736000</x:v>
      </x:c>
      <x:c r="G31" s="6" t="n">
        <x:v>267000</x:v>
      </x:c>
      <x:c r="H31" s="6" t="n">
        <x:v>1168000</x:v>
      </x:c>
      <x:c r="I31" s="6" t="n">
        <x:v>119</x:v>
      </x:c>
      <x:c r="J31" s="6" t="n">
        <x:v>226</x:v>
      </x:c>
      <x:c r="K31" s="6" t="n">
        <x:v>200</x:v>
      </x:c>
      <x:c r="L31" s="6" t="n">
        <x:v>10</x:v>
      </x:c>
      <x:c r="M31" s="11" t="n">
        <x:v>0.8130555555555555</x:v>
      </x:c>
      <x:c r="N31" s="6" t="n">
        <x:v>905000</x:v>
      </x:c>
    </x:row>
    <x:row r="32" ht="24" customHeight="1">
      <x:c r="A32" s="2" t="str">
        <x:v>2026-10-08_Day</x:v>
      </x:c>
      <x:c r="B32" s="6" t="str">
        <x:v>デイ</x:v>
      </x:c>
      <x:c r="C32" s="6" t="n">
        <x:v>1089000</x:v>
      </x:c>
      <x:c r="D32" s="6" t="n">
        <x:v>1598000</x:v>
      </x:c>
      <x:c r="E32" s="6" t="n">
        <x:f>C32-D32</x:f>
        <x:v>-509000</x:v>
      </x:c>
      <x:c r="F32" s="6" t="n">
        <x:f>F31+E32</x:f>
        <x:v>-23245000</x:v>
      </x:c>
      <x:c r="G32" s="6" t="n">
        <x:v>876000</x:v>
      </x:c>
      <x:c r="H32" s="6" t="n">
        <x:v>1385000</x:v>
      </x:c>
      <x:c r="I32" s="6" t="n">
        <x:v>114</x:v>
      </x:c>
      <x:c r="J32" s="6" t="n">
        <x:v>226</x:v>
      </x:c>
      <x:c r="K32" s="6" t="n">
        <x:v>211</x:v>
      </x:c>
      <x:c r="L32" s="6" t="n">
        <x:v>10</x:v>
      </x:c>
      <x:c r="M32" s="11" t="n">
        <x:v>0.8003571428571429</x:v>
      </x:c>
      <x:c r="N32" s="6" t="n">
        <x:v>812000</x:v>
      </x:c>
    </x:row>
    <x:row r="33" ht="24" customHeight="1">
      <x:c r="A33" s="2" t="str">
        <x:v>2026-10-08_Night</x:v>
      </x:c>
      <x:c r="B33" s="6" t="str">
        <x:v>ナイト</x:v>
      </x:c>
      <x:c r="C33" s="6" t="n">
        <x:v>1189000</x:v>
      </x:c>
      <x:c r="D33" s="6" t="n">
        <x:v>2715000</x:v>
      </x:c>
      <x:c r="E33" s="6" t="n">
        <x:f>C33-D33</x:f>
        <x:v>-1526000</x:v>
      </x:c>
      <x:c r="F33" s="6" t="n">
        <x:f>F32+E33</x:f>
        <x:v>-24771000</x:v>
      </x:c>
      <x:c r="G33" s="6" t="n">
        <x:v>939000</x:v>
      </x:c>
      <x:c r="H33" s="6" t="n">
        <x:v>2465000</x:v>
      </x:c>
      <x:c r="I33" s="6" t="n">
        <x:v>157</x:v>
      </x:c>
      <x:c r="J33" s="6" t="n">
        <x:v>292</x:v>
      </x:c>
      <x:c r="K33" s="6" t="n">
        <x:v>275</x:v>
      </x:c>
      <x:c r="L33" s="6" t="n">
        <x:v>10</x:v>
      </x:c>
      <x:c r="M33" s="11" t="n">
        <x:v>0.7900641025641025</x:v>
      </x:c>
      <x:c r="N33" s="6" t="n">
        <x:v>1584000</x:v>
      </x:c>
    </x:row>
    <x:row r="34" ht="24" customHeight="1">
      <x:c r="A34" s="2" t="str">
        <x:v>2026-10-09_Day</x:v>
      </x:c>
      <x:c r="B34" s="6" t="str">
        <x:v>デイ</x:v>
      </x:c>
      <x:c r="C34" s="6" t="n">
        <x:v>996000</x:v>
      </x:c>
      <x:c r="D34" s="6" t="n">
        <x:v>1771000</x:v>
      </x:c>
      <x:c r="E34" s="6" t="n">
        <x:f>C34-D34</x:f>
        <x:v>-775000</x:v>
      </x:c>
      <x:c r="F34" s="6" t="n">
        <x:f>F33+E34</x:f>
        <x:v>-25546000</x:v>
      </x:c>
      <x:c r="G34" s="6" t="n">
        <x:v>830000</x:v>
      </x:c>
      <x:c r="H34" s="6" t="n">
        <x:v>1605000</x:v>
      </x:c>
      <x:c r="I34" s="6" t="n">
        <x:v>97</x:v>
      </x:c>
      <x:c r="J34" s="6" t="n">
        <x:v>199</x:v>
      </x:c>
      <x:c r="K34" s="6" t="n">
        <x:v>181</x:v>
      </x:c>
      <x:c r="L34" s="6" t="n">
        <x:v>10</x:v>
      </x:c>
      <x:c r="M34" s="11" t="n">
        <x:v>0.7886111111111112</x:v>
      </x:c>
      <x:c r="N34" s="6" t="n">
        <x:v>936000</x:v>
      </x:c>
    </x:row>
    <x:row r="35" ht="24" customHeight="1">
      <x:c r="A35" s="2" t="str">
        <x:v>2026-10-09_Night</x:v>
      </x:c>
      <x:c r="B35" s="6" t="str">
        <x:v>ナイト</x:v>
      </x:c>
      <x:c r="C35" s="6" t="n">
        <x:v>188000</x:v>
      </x:c>
      <x:c r="D35" s="6" t="n">
        <x:v>904000</x:v>
      </x:c>
      <x:c r="E35" s="6" t="n">
        <x:f>C35-D35</x:f>
        <x:v>-716000</x:v>
      </x:c>
      <x:c r="F35" s="6" t="n">
        <x:f>F34+E35</x:f>
        <x:v>-26262000</x:v>
      </x:c>
      <x:c r="G35" s="6" t="n">
        <x:v>90000</x:v>
      </x:c>
      <x:c r="H35" s="6" t="n">
        <x:v>806000</x:v>
      </x:c>
      <x:c r="I35" s="6" t="n">
        <x:v>89</x:v>
      </x:c>
      <x:c r="J35" s="6" t="n">
        <x:v>155</x:v>
      </x:c>
      <x:c r="K35" s="6" t="n">
        <x:v>130</x:v>
      </x:c>
      <x:c r="L35" s="6" t="n">
        <x:v>10</x:v>
      </x:c>
      <x:c r="M35" s="11" t="n">
        <x:v>0.7287820512820513</x:v>
      </x:c>
      <x:c r="N35" s="6" t="n">
        <x:v>741000</x:v>
      </x:c>
    </x:row>
    <x:row r="36" ht="24" customHeight="1">
      <x:c r="A36" s="2" t="str">
        <x:v>2026-10-12_Day</x:v>
      </x:c>
      <x:c r="B36" s="6" t="str">
        <x:v>デイ</x:v>
      </x:c>
      <x:c r="C36" s="6" t="n">
        <x:v>220000</x:v>
      </x:c>
      <x:c r="D36" s="6" t="n">
        <x:v>603000</x:v>
      </x:c>
      <x:c r="E36" s="6" t="n">
        <x:f>C36-D36</x:f>
        <x:v>-383000</x:v>
      </x:c>
      <x:c r="F36" s="6" t="n">
        <x:f>F35+E36</x:f>
        <x:v>-26645000</x:v>
      </x:c>
      <x:c r="G36" s="6" t="n">
        <x:v>149000</x:v>
      </x:c>
      <x:c r="H36" s="6" t="n">
        <x:v>532000</x:v>
      </x:c>
      <x:c r="I36" s="6" t="n">
        <x:v>47</x:v>
      </x:c>
      <x:c r="J36" s="6" t="n">
        <x:v>95</x:v>
      </x:c>
      <x:c r="K36" s="6" t="n">
        <x:v>89</x:v>
      </x:c>
      <x:c r="L36" s="6" t="n">
        <x:v>10</x:v>
      </x:c>
      <x:c r="M36" s="11" t="n">
        <x:v>0.6115873015873016</x:v>
      </x:c>
      <x:c r="N36" s="6" t="n">
        <x:v>434000</x:v>
      </x:c>
    </x:row>
    <x:row r="37" ht="24" customHeight="1">
      <x:c r="A37" s="2" t="str">
        <x:v>2026-10-12_Night</x:v>
      </x:c>
      <x:c r="B37" s="6" t="str">
        <x:v>ナイト</x:v>
      </x:c>
      <x:c r="C37" s="6" t="n">
        <x:v>274000</x:v>
      </x:c>
      <x:c r="D37" s="6" t="n">
        <x:v>738000</x:v>
      </x:c>
      <x:c r="E37" s="6" t="n">
        <x:f>C37-D37</x:f>
        <x:v>-464000</x:v>
      </x:c>
      <x:c r="F37" s="6" t="n">
        <x:f>F36+E37</x:f>
        <x:v>-27109000</x:v>
      </x:c>
      <x:c r="G37" s="6" t="n">
        <x:v>212000</x:v>
      </x:c>
      <x:c r="H37" s="6" t="n">
        <x:v>676000</x:v>
      </x:c>
      <x:c r="I37" s="6" t="n">
        <x:v>62</x:v>
      </x:c>
      <x:c r="J37" s="6" t="n">
        <x:v>103</x:v>
      </x:c>
      <x:c r="K37" s="6" t="n">
        <x:v>87</x:v>
      </x:c>
      <x:c r="L37" s="6" t="n">
        <x:v>10</x:v>
      </x:c>
      <x:c r="M37" s="11" t="n">
        <x:v>0.5420512820512821</x:v>
      </x:c>
      <x:c r="N37" s="6" t="n">
        <x:v>501000</x:v>
      </x:c>
    </x:row>
    <x:row r="38" ht="24" customHeight="1">
      <x:c r="A38" s="2" t="str">
        <x:v>2026-10-13_Day</x:v>
      </x:c>
      <x:c r="B38" s="6" t="str">
        <x:v>デイ</x:v>
      </x:c>
      <x:c r="C38" s="6" t="n">
        <x:v>969000</x:v>
      </x:c>
      <x:c r="D38" s="6" t="n">
        <x:v>2360000</x:v>
      </x:c>
      <x:c r="E38" s="6" t="n">
        <x:f>C38-D38</x:f>
        <x:v>-1391000</x:v>
      </x:c>
      <x:c r="F38" s="6" t="n">
        <x:f>F37+E38</x:f>
        <x:v>-28500000</x:v>
      </x:c>
      <x:c r="G38" s="6" t="n">
        <x:v>726000</x:v>
      </x:c>
      <x:c r="H38" s="6" t="n">
        <x:v>2117000</x:v>
      </x:c>
      <x:c r="I38" s="6" t="n">
        <x:v>121</x:v>
      </x:c>
      <x:c r="J38" s="6" t="n">
        <x:v>249</x:v>
      </x:c>
      <x:c r="K38" s="6" t="n">
        <x:v>244</x:v>
      </x:c>
      <x:c r="L38" s="6" t="n">
        <x:v>10</x:v>
      </x:c>
      <x:c r="M38" s="11" t="n">
        <x:v>0.7867857142857143</x:v>
      </x:c>
      <x:c r="N38" s="6" t="n">
        <x:v>1474000</x:v>
      </x:c>
    </x:row>
    <x:row r="39" ht="24" customHeight="1">
      <x:c r="A39" s="2" t="str">
        <x:v>2026-10-13_Night</x:v>
      </x:c>
      <x:c r="B39" s="6" t="str">
        <x:v>ナイト</x:v>
      </x:c>
      <x:c r="C39" s="6" t="n">
        <x:v>377000</x:v>
      </x:c>
      <x:c r="D39" s="6" t="n">
        <x:v>909000</x:v>
      </x:c>
      <x:c r="E39" s="6" t="n">
        <x:f>C39-D39</x:f>
        <x:v>-532000</x:v>
      </x:c>
      <x:c r="F39" s="6" t="n">
        <x:f>F38+E39</x:f>
        <x:v>-29032000</x:v>
      </x:c>
      <x:c r="G39" s="6" t="n">
        <x:v>274000</x:v>
      </x:c>
      <x:c r="H39" s="6" t="n">
        <x:v>806000</x:v>
      </x:c>
      <x:c r="I39" s="6" t="n">
        <x:v>86</x:v>
      </x:c>
      <x:c r="J39" s="6" t="n">
        <x:v>149</x:v>
      </x:c>
      <x:c r="K39" s="6" t="n">
        <x:v>143</x:v>
      </x:c>
      <x:c r="L39" s="6" t="n">
        <x:v>10</x:v>
      </x:c>
      <x:c r="M39" s="11" t="n">
        <x:v>0.7185897435897436</x:v>
      </x:c>
      <x:c r="N39" s="6" t="n">
        <x:v>557000</x:v>
      </x:c>
    </x:row>
    <x:row r="40" ht="24" customHeight="1">
      <x:c r="A40" s="2" t="str">
        <x:v>2026-10-14_Day</x:v>
      </x:c>
      <x:c r="B40" s="6" t="str">
        <x:v>デイ</x:v>
      </x:c>
      <x:c r="C40" s="6" t="n">
        <x:v>722000</x:v>
      </x:c>
      <x:c r="D40" s="6" t="n">
        <x:v>1663000</x:v>
      </x:c>
      <x:c r="E40" s="6" t="n">
        <x:f>C40-D40</x:f>
        <x:v>-941000</x:v>
      </x:c>
      <x:c r="F40" s="6" t="n">
        <x:f>F39+E40</x:f>
        <x:v>-29973000</x:v>
      </x:c>
      <x:c r="G40" s="6" t="n">
        <x:v>576000</x:v>
      </x:c>
      <x:c r="H40" s="6" t="n">
        <x:v>1517000</x:v>
      </x:c>
      <x:c r="I40" s="6" t="n">
        <x:v>109</x:v>
      </x:c>
      <x:c r="J40" s="6" t="n">
        <x:v>194</x:v>
      </x:c>
      <x:c r="K40" s="6" t="n">
        <x:v>178</x:v>
      </x:c>
      <x:c r="L40" s="6" t="n">
        <x:v>10</x:v>
      </x:c>
      <x:c r="M40" s="11" t="n">
        <x:v>0.7533730158730159</x:v>
      </x:c>
      <x:c r="N40" s="6" t="n">
        <x:v>1025000</x:v>
      </x:c>
    </x:row>
    <x:row r="41" ht="24" customHeight="1">
      <x:c r="A41" s="2" t="str">
        <x:v>2026-10-14_Night</x:v>
      </x:c>
      <x:c r="B41" s="6" t="str">
        <x:v>ナイト</x:v>
      </x:c>
      <x:c r="C41" s="6" t="n">
        <x:v>1431000</x:v>
      </x:c>
      <x:c r="D41" s="6" t="n">
        <x:v>2434000</x:v>
      </x:c>
      <x:c r="E41" s="6" t="n">
        <x:f>C41-D41</x:f>
        <x:v>-1003000</x:v>
      </x:c>
      <x:c r="F41" s="6" t="n">
        <x:f>F40+E41</x:f>
        <x:v>-30976000</x:v>
      </x:c>
      <x:c r="G41" s="6" t="n">
        <x:v>1135000</x:v>
      </x:c>
      <x:c r="H41" s="6" t="n">
        <x:v>2138000</x:v>
      </x:c>
      <x:c r="I41" s="6" t="n">
        <x:v>149</x:v>
      </x:c>
      <x:c r="J41" s="6" t="n">
        <x:v>307</x:v>
      </x:c>
      <x:c r="K41" s="6" t="n">
        <x:v>290</x:v>
      </x:c>
      <x:c r="L41" s="6" t="n">
        <x:v>10</x:v>
      </x:c>
      <x:c r="M41" s="11" t="n">
        <x:v>0.8120726495726496</x:v>
      </x:c>
      <x:c r="N41" s="6" t="n">
        <x:v>1073000</x:v>
      </x:c>
    </x:row>
    <x:row r="42" ht="24" customHeight="1">
      <x:c r="A42" s="2" t="str">
        <x:v>2026-10-15_Day</x:v>
      </x:c>
      <x:c r="B42" s="6" t="str">
        <x:v>デイ</x:v>
      </x:c>
      <x:c r="C42" s="6" t="n">
        <x:v>2050000</x:v>
      </x:c>
      <x:c r="D42" s="6" t="n">
        <x:v>3958000</x:v>
      </x:c>
      <x:c r="E42" s="6" t="n">
        <x:f>C42-D42</x:f>
        <x:v>-1908000</x:v>
      </x:c>
      <x:c r="F42" s="6" t="n">
        <x:f>F41+E42</x:f>
        <x:v>-32884000</x:v>
      </x:c>
      <x:c r="G42" s="6" t="n">
        <x:v>1786000</x:v>
      </x:c>
      <x:c r="H42" s="6" t="n">
        <x:v>3694000</x:v>
      </x:c>
      <x:c r="I42" s="6" t="n">
        <x:v>192</x:v>
      </x:c>
      <x:c r="J42" s="6" t="n">
        <x:v>284</x:v>
      </x:c>
      <x:c r="K42" s="6" t="n">
        <x:v>273</x:v>
      </x:c>
      <x:c r="L42" s="6" t="n">
        <x:v>10</x:v>
      </x:c>
      <x:c r="M42" s="11" t="n">
        <x:v>0.7946428571428571</x:v>
      </x:c>
      <x:c r="N42" s="6" t="n">
        <x:v>1948000</x:v>
      </x:c>
    </x:row>
    <x:row r="43" ht="24" customHeight="1">
      <x:c r="A43" s="2" t="str">
        <x:v>2026-10-15_Night</x:v>
      </x:c>
      <x:c r="B43" s="6" t="str">
        <x:v>ナイト</x:v>
      </x:c>
      <x:c r="C43" s="6" t="n">
        <x:v>1513000</x:v>
      </x:c>
      <x:c r="D43" s="6" t="n">
        <x:v>3507000</x:v>
      </x:c>
      <x:c r="E43" s="6" t="n">
        <x:f>C43-D43</x:f>
        <x:v>-1994000</x:v>
      </x:c>
      <x:c r="F43" s="6" t="n">
        <x:f>F42+E43</x:f>
        <x:v>-34878000</x:v>
      </x:c>
      <x:c r="G43" s="6" t="n">
        <x:v>1281000</x:v>
      </x:c>
      <x:c r="H43" s="6" t="n">
        <x:v>3275000</x:v>
      </x:c>
      <x:c r="I43" s="6" t="n">
        <x:v>212</x:v>
      </x:c>
      <x:c r="J43" s="6" t="n">
        <x:v>299</x:v>
      </x:c>
      <x:c r="K43" s="6" t="n">
        <x:v>292</x:v>
      </x:c>
      <x:c r="L43" s="6" t="n">
        <x:v>10</x:v>
      </x:c>
      <x:c r="M43" s="11" t="n">
        <x:v>0.7410042735042736</x:v>
      </x:c>
      <x:c r="N43" s="6" t="n">
        <x:v>2019000</x:v>
      </x:c>
    </x:row>
    <x:row r="44" ht="24" customHeight="1">
      <x:c r="A44" s="2" t="str">
        <x:v>2026-10-16_Day</x:v>
      </x:c>
      <x:c r="B44" s="6" t="str">
        <x:v>デイ</x:v>
      </x:c>
      <x:c r="C44" s="6" t="n">
        <x:v>1492000</x:v>
      </x:c>
      <x:c r="D44" s="6" t="n">
        <x:v>2790000</x:v>
      </x:c>
      <x:c r="E44" s="6" t="n">
        <x:f>C44-D44</x:f>
        <x:v>-1298000</x:v>
      </x:c>
      <x:c r="F44" s="6" t="n">
        <x:f>F43+E44</x:f>
        <x:v>-36176000</x:v>
      </x:c>
      <x:c r="G44" s="6" t="n">
        <x:v>1262000</x:v>
      </x:c>
      <x:c r="H44" s="6" t="n">
        <x:v>2560000</x:v>
      </x:c>
      <x:c r="I44" s="6" t="n">
        <x:v>153</x:v>
      </x:c>
      <x:c r="J44" s="6" t="n">
        <x:v>248</x:v>
      </x:c>
      <x:c r="K44" s="6" t="n">
        <x:v>245</x:v>
      </x:c>
      <x:c r="L44" s="6" t="n">
        <x:v>10</x:v>
      </x:c>
      <x:c r="M44" s="11" t="n">
        <x:v>0.7922222222222223</x:v>
      </x:c>
      <x:c r="N44" s="6" t="n">
        <x:v>1348000</x:v>
      </x:c>
    </x:row>
    <x:row r="45" ht="24" customHeight="1">
      <x:c r="A45" s="2" t="str">
        <x:v>2026-10-16_Night</x:v>
      </x:c>
      <x:c r="B45" s="6" t="str">
        <x:v>ナイト</x:v>
      </x:c>
      <x:c r="C45" s="6" t="n">
        <x:v>1564000</x:v>
      </x:c>
      <x:c r="D45" s="6" t="n">
        <x:v>3160000</x:v>
      </x:c>
      <x:c r="E45" s="6" t="n">
        <x:f>C45-D45</x:f>
        <x:v>-1596000</x:v>
      </x:c>
      <x:c r="F45" s="6" t="n">
        <x:f>F44+E45</x:f>
        <x:v>-37772000</x:v>
      </x:c>
      <x:c r="G45" s="6" t="n">
        <x:v>1287000</x:v>
      </x:c>
      <x:c r="H45" s="6" t="n">
        <x:v>2883000</x:v>
      </x:c>
      <x:c r="I45" s="6" t="n">
        <x:v>214</x:v>
      </x:c>
      <x:c r="J45" s="6" t="n">
        <x:v>330</x:v>
      </x:c>
      <x:c r="K45" s="6" t="n">
        <x:v>332</x:v>
      </x:c>
      <x:c r="L45" s="6" t="n">
        <x:v>10</x:v>
      </x:c>
      <x:c r="M45" s="11" t="n">
        <x:v>0.7413034188034188</x:v>
      </x:c>
      <x:c r="N45" s="6" t="n">
        <x:v>1611000</x:v>
      </x:c>
    </x:row>
    <x:row r="46" ht="24" customHeight="1">
      <x:c r="A46" s="2" t="str">
        <x:v>2026-10-19_Day</x:v>
      </x:c>
      <x:c r="B46" s="6" t="str">
        <x:v>デイ</x:v>
      </x:c>
      <x:c r="C46" s="6" t="n">
        <x:v>1107000</x:v>
      </x:c>
      <x:c r="D46" s="6" t="n">
        <x:v>2438000</x:v>
      </x:c>
      <x:c r="E46" s="6" t="n">
        <x:f>C46-D46</x:f>
        <x:v>-1331000</x:v>
      </x:c>
      <x:c r="F46" s="6" t="n">
        <x:f>F45+E46</x:f>
        <x:v>-39103000</x:v>
      </x:c>
      <x:c r="G46" s="6" t="n">
        <x:v>932000</x:v>
      </x:c>
      <x:c r="H46" s="6" t="n">
        <x:v>2263000</x:v>
      </x:c>
      <x:c r="I46" s="6" t="n">
        <x:v>146</x:v>
      </x:c>
      <x:c r="J46" s="6" t="n">
        <x:v>213</x:v>
      </x:c>
      <x:c r="K46" s="6" t="n">
        <x:v>200</x:v>
      </x:c>
      <x:c r="L46" s="6" t="n">
        <x:v>10</x:v>
      </x:c>
      <x:c r="M46" s="11" t="n">
        <x:v>0.7423412698412698</x:v>
      </x:c>
      <x:c r="N46" s="6" t="n">
        <x:v>1417000</x:v>
      </x:c>
    </x:row>
    <x:row r="47" ht="24" customHeight="1">
      <x:c r="A47" s="2" t="str">
        <x:v>2026-10-19_Night</x:v>
      </x:c>
      <x:c r="B47" s="6" t="str">
        <x:v>ナイト</x:v>
      </x:c>
      <x:c r="C47" s="6" t="n">
        <x:v>749000</x:v>
      </x:c>
      <x:c r="D47" s="6" t="n">
        <x:v>2229000</x:v>
      </x:c>
      <x:c r="E47" s="6" t="n">
        <x:f>C47-D47</x:f>
        <x:v>-1480000</x:v>
      </x:c>
      <x:c r="F47" s="6" t="n">
        <x:f>F46+E47</x:f>
        <x:v>-40583000</x:v>
      </x:c>
      <x:c r="G47" s="6" t="n">
        <x:v>549000</x:v>
      </x:c>
      <x:c r="H47" s="6" t="n">
        <x:v>2029000</x:v>
      </x:c>
      <x:c r="I47" s="6" t="n">
        <x:v>154</x:v>
      </x:c>
      <x:c r="J47" s="6" t="n">
        <x:v>274</x:v>
      </x:c>
      <x:c r="K47" s="6" t="n">
        <x:v>279</x:v>
      </x:c>
      <x:c r="L47" s="6" t="n">
        <x:v>10</x:v>
      </x:c>
      <x:c r="M47" s="11" t="n">
        <x:v>0.699957264957265</x:v>
      </x:c>
      <x:c r="N47" s="6" t="n">
        <x:v>1480000</x:v>
      </x:c>
    </x:row>
    <x:row r="48" ht="24" customHeight="1">
      <x:c r="A48" s="2" t="str">
        <x:v>2026-10-20_Day</x:v>
      </x:c>
      <x:c r="B48" s="6" t="str">
        <x:v>デイ</x:v>
      </x:c>
      <x:c r="C48" s="6" t="n">
        <x:v>1371000</x:v>
      </x:c>
      <x:c r="D48" s="6" t="n">
        <x:v>3283000</x:v>
      </x:c>
      <x:c r="E48" s="6" t="n">
        <x:f>C48-D48</x:f>
        <x:v>-1912000</x:v>
      </x:c>
      <x:c r="F48" s="6" t="n">
        <x:f>F47+E48</x:f>
        <x:v>-42495000</x:v>
      </x:c>
      <x:c r="G48" s="6" t="n">
        <x:v>1171000</x:v>
      </x:c>
      <x:c r="H48" s="6" t="n">
        <x:v>3083000</x:v>
      </x:c>
      <x:c r="I48" s="6" t="n">
        <x:v>168</x:v>
      </x:c>
      <x:c r="J48" s="6" t="n">
        <x:v>268</x:v>
      </x:c>
      <x:c r="K48" s="6" t="n">
        <x:v>266</x:v>
      </x:c>
      <x:c r="L48" s="6" t="n">
        <x:v>10</x:v>
      </x:c>
      <x:c r="M48" s="11" t="n">
        <x:v>0.8274206349206349</x:v>
      </x:c>
      <x:c r="N48" s="6" t="n">
        <x:v>1948000</x:v>
      </x:c>
    </x:row>
    <x:row r="49" ht="24" customHeight="1">
      <x:c r="A49" s="2" t="str">
        <x:v>2026-10-20_Night</x:v>
      </x:c>
      <x:c r="B49" s="6" t="str">
        <x:v>ナイト</x:v>
      </x:c>
      <x:c r="C49" s="6" t="n">
        <x:v>1584000</x:v>
      </x:c>
      <x:c r="D49" s="6" t="n">
        <x:v>2844000</x:v>
      </x:c>
      <x:c r="E49" s="6" t="n">
        <x:f>C49-D49</x:f>
        <x:v>-1260000</x:v>
      </x:c>
      <x:c r="F49" s="6" t="n">
        <x:f>F48+E49</x:f>
        <x:v>-43755000</x:v>
      </x:c>
      <x:c r="G49" s="6" t="n">
        <x:v>1395000</x:v>
      </x:c>
      <x:c r="H49" s="6" t="n">
        <x:v>2655000</x:v>
      </x:c>
      <x:c r="I49" s="6" t="n">
        <x:v>184</x:v>
      </x:c>
      <x:c r="J49" s="6" t="n">
        <x:v>302</x:v>
      </x:c>
      <x:c r="K49" s="6" t="n">
        <x:v>309</x:v>
      </x:c>
      <x:c r="L49" s="6" t="n">
        <x:v>10</x:v>
      </x:c>
      <x:c r="M49" s="11" t="n">
        <x:v>0.6929487179487179</x:v>
      </x:c>
      <x:c r="N49" s="6" t="n">
        <x:v>1361000</x:v>
      </x:c>
    </x:row>
    <x:row r="50" ht="24" customHeight="1">
      <x:c r="A50" s="2" t="str">
        <x:v>2026-10-21_Day</x:v>
      </x:c>
      <x:c r="B50" s="6" t="str">
        <x:v>デイ</x:v>
      </x:c>
      <x:c r="C50" s="6" t="n">
        <x:v>1282000</x:v>
      </x:c>
      <x:c r="D50" s="6" t="n">
        <x:v>2665000</x:v>
      </x:c>
      <x:c r="E50" s="6" t="n">
        <x:f>C50-D50</x:f>
        <x:v>-1383000</x:v>
      </x:c>
      <x:c r="F50" s="6" t="n">
        <x:f>F49+E50</x:f>
        <x:v>-45138000</x:v>
      </x:c>
      <x:c r="G50" s="6" t="n">
        <x:v>1149000</x:v>
      </x:c>
      <x:c r="H50" s="6" t="n">
        <x:v>2532000</x:v>
      </x:c>
      <x:c r="I50" s="6" t="n">
        <x:v>153</x:v>
      </x:c>
      <x:c r="J50" s="6" t="n">
        <x:v>242</x:v>
      </x:c>
      <x:c r="K50" s="6" t="n">
        <x:v>235</x:v>
      </x:c>
      <x:c r="L50" s="6" t="n">
        <x:v>10</x:v>
      </x:c>
      <x:c r="M50" s="11" t="n">
        <x:v>0.7955555555555556</x:v>
      </x:c>
      <x:c r="N50" s="6" t="n">
        <x:v>1512000</x:v>
      </x:c>
    </x:row>
    <x:row r="51" ht="24" customHeight="1">
      <x:c r="A51" s="2" t="str">
        <x:v>2026-10-21_Night</x:v>
      </x:c>
      <x:c r="B51" s="6" t="str">
        <x:v>ナイト</x:v>
      </x:c>
      <x:c r="C51" s="6" t="n">
        <x:v>1015000</x:v>
      </x:c>
      <x:c r="D51" s="6" t="n">
        <x:v>2222000</x:v>
      </x:c>
      <x:c r="E51" s="6" t="n">
        <x:f>C51-D51</x:f>
        <x:v>-1207000</x:v>
      </x:c>
      <x:c r="F51" s="6" t="n">
        <x:f>F50+E51</x:f>
        <x:v>-46345000</x:v>
      </x:c>
      <x:c r="G51" s="6" t="n">
        <x:v>842000</x:v>
      </x:c>
      <x:c r="H51" s="6" t="n">
        <x:v>2049000</x:v>
      </x:c>
      <x:c r="I51" s="6" t="n">
        <x:v>155</x:v>
      </x:c>
      <x:c r="J51" s="6" t="n">
        <x:v>262</x:v>
      </x:c>
      <x:c r="K51" s="6" t="n">
        <x:v>244</x:v>
      </x:c>
      <x:c r="L51" s="6" t="n">
        <x:v>10</x:v>
      </x:c>
      <x:c r="M51" s="11" t="n">
        <x:v>0.769465811965812</x:v>
      </x:c>
      <x:c r="N51" s="6" t="n">
        <x:v>1300000</x:v>
      </x:c>
    </x:row>
    <x:row r="52" ht="24" customHeight="1">
      <x:c r="A52" s="2" t="str">
        <x:v>2026-10-22_Day</x:v>
      </x:c>
      <x:c r="B52" s="6" t="str">
        <x:v>デイ</x:v>
      </x:c>
      <x:c r="C52" s="6" t="n">
        <x:v>994000</x:v>
      </x:c>
      <x:c r="D52" s="6" t="n">
        <x:v>2223000</x:v>
      </x:c>
      <x:c r="E52" s="6" t="n">
        <x:f>C52-D52</x:f>
        <x:v>-1229000</x:v>
      </x:c>
      <x:c r="F52" s="6" t="n">
        <x:f>F51+E52</x:f>
        <x:v>-47574000</x:v>
      </x:c>
      <x:c r="G52" s="6" t="n">
        <x:v>855000</x:v>
      </x:c>
      <x:c r="H52" s="6" t="n">
        <x:v>2084000</x:v>
      </x:c>
      <x:c r="I52" s="6" t="n">
        <x:v>144</x:v>
      </x:c>
      <x:c r="J52" s="6" t="n">
        <x:v>252</x:v>
      </x:c>
      <x:c r="K52" s="6" t="n">
        <x:v>222</x:v>
      </x:c>
      <x:c r="L52" s="6" t="n">
        <x:v>10</x:v>
      </x:c>
      <x:c r="M52" s="11" t="n">
        <x:v>0.6974603174603174</x:v>
      </x:c>
      <x:c r="N52" s="6" t="n">
        <x:v>1314000</x:v>
      </x:c>
    </x:row>
    <x:row r="53" ht="24" customHeight="1">
      <x:c r="A53" s="2" t="str">
        <x:v>2026-10-22_Night</x:v>
      </x:c>
      <x:c r="B53" s="6" t="str">
        <x:v>ナイト</x:v>
      </x:c>
      <x:c r="C53" s="6" t="n">
        <x:v>1495000</x:v>
      </x:c>
      <x:c r="D53" s="6" t="n">
        <x:v>2990000</x:v>
      </x:c>
      <x:c r="E53" s="6" t="n">
        <x:f>C53-D53</x:f>
        <x:v>-1495000</x:v>
      </x:c>
      <x:c r="F53" s="6" t="n">
        <x:f>F52+E53</x:f>
        <x:v>-49069000</x:v>
      </x:c>
      <x:c r="G53" s="6" t="n">
        <x:v>1205000</x:v>
      </x:c>
      <x:c r="H53" s="6" t="n">
        <x:v>2700000</x:v>
      </x:c>
      <x:c r="I53" s="6" t="n">
        <x:v>190</x:v>
      </x:c>
      <x:c r="J53" s="6" t="n">
        <x:v>331</x:v>
      </x:c>
      <x:c r="K53" s="6" t="n">
        <x:v>325</x:v>
      </x:c>
      <x:c r="L53" s="6" t="n">
        <x:v>10</x:v>
      </x:c>
      <x:c r="M53" s="11" t="n">
        <x:v>0.772457264957265</x:v>
      </x:c>
      <x:c r="N53" s="6" t="n">
        <x:v>1576000</x:v>
      </x:c>
    </x:row>
    <x:row r="54" ht="24" customHeight="1">
      <x:c r="A54" s="2" t="str">
        <x:v>2026-10-23_Day</x:v>
      </x:c>
      <x:c r="B54" s="6" t="str">
        <x:v>デイ</x:v>
      </x:c>
      <x:c r="C54" s="6" t="n">
        <x:v>2646000</x:v>
      </x:c>
      <x:c r="D54" s="6" t="n">
        <x:v>6121000</x:v>
      </x:c>
      <x:c r="E54" s="6" t="n">
        <x:f>C54-D54</x:f>
        <x:v>-3475000</x:v>
      </x:c>
      <x:c r="F54" s="6" t="n">
        <x:f>F53+E54</x:f>
        <x:v>-52544000</x:v>
      </x:c>
      <x:c r="G54" s="6" t="n">
        <x:v>2387000</x:v>
      </x:c>
      <x:c r="H54" s="6" t="n">
        <x:v>5862000</x:v>
      </x:c>
      <x:c r="I54" s="6" t="n">
        <x:v>264</x:v>
      </x:c>
      <x:c r="J54" s="6" t="n">
        <x:v>294</x:v>
      </x:c>
      <x:c r="K54" s="6" t="n">
        <x:v>284</x:v>
      </x:c>
      <x:c r="L54" s="6" t="n">
        <x:v>10</x:v>
      </x:c>
      <x:c r="M54" s="11" t="n">
        <x:v>0.7753968253968254</x:v>
      </x:c>
      <x:c r="N54" s="6" t="n">
        <x:v>3504000</x:v>
      </x:c>
    </x:row>
    <x:row r="55" ht="24" customHeight="1">
      <x:c r="A55" s="2" t="str">
        <x:v>2026-10-23_Night</x:v>
      </x:c>
      <x:c r="B55" s="6" t="str">
        <x:v>ナイト</x:v>
      </x:c>
      <x:c r="C55" s="6" t="n">
        <x:v>1022000</x:v>
      </x:c>
      <x:c r="D55" s="6" t="n">
        <x:v>2550000</x:v>
      </x:c>
      <x:c r="E55" s="6" t="n">
        <x:f>C55-D55</x:f>
        <x:v>-1528000</x:v>
      </x:c>
      <x:c r="F55" s="6" t="n">
        <x:f>F54+E55</x:f>
        <x:v>-54072000</x:v>
      </x:c>
      <x:c r="G55" s="6" t="n">
        <x:v>792000</x:v>
      </x:c>
      <x:c r="H55" s="6" t="n">
        <x:v>2320000</x:v>
      </x:c>
      <x:c r="I55" s="6" t="n">
        <x:v>191</x:v>
      </x:c>
      <x:c r="J55" s="6" t="n">
        <x:v>293</x:v>
      </x:c>
      <x:c r="K55" s="6" t="n">
        <x:v>284</x:v>
      </x:c>
      <x:c r="L55" s="6" t="n">
        <x:v>10</x:v>
      </x:c>
      <x:c r="M55" s="11" t="n">
        <x:v>0.7309615384615384</x:v>
      </x:c>
      <x:c r="N55" s="6" t="n">
        <x:v>1572000</x:v>
      </x:c>
    </x:row>
    <x:row r="56" ht="24" customHeight="1">
      <x:c r="A56" s="2" t="str">
        <x:v>2026-10-26_Day</x:v>
      </x:c>
      <x:c r="B56" s="6" t="str">
        <x:v>デイ</x:v>
      </x:c>
      <x:c r="C56" s="6" t="n">
        <x:v>1645000</x:v>
      </x:c>
      <x:c r="D56" s="6" t="n">
        <x:v>3624000</x:v>
      </x:c>
      <x:c r="E56" s="6" t="n">
        <x:f>C56-D56</x:f>
        <x:v>-1979000</x:v>
      </x:c>
      <x:c r="F56" s="6" t="n">
        <x:f>F55+E56</x:f>
        <x:v>-56051000</x:v>
      </x:c>
      <x:c r="G56" s="6" t="n">
        <x:v>1416000</x:v>
      </x:c>
      <x:c r="H56" s="6" t="n">
        <x:v>3395000</x:v>
      </x:c>
      <x:c r="I56" s="6" t="n">
        <x:v>186</x:v>
      </x:c>
      <x:c r="J56" s="6" t="n">
        <x:v>237</x:v>
      </x:c>
      <x:c r="K56" s="6" t="n">
        <x:v>249</x:v>
      </x:c>
      <x:c r="L56" s="6" t="n">
        <x:v>10</x:v>
      </x:c>
      <x:c r="M56" s="11" t="n">
        <x:v>0.7768650793650793</x:v>
      </x:c>
      <x:c r="N56" s="6" t="n">
        <x:v>2013000</x:v>
      </x:c>
    </x:row>
    <x:row r="57" ht="24" customHeight="1">
      <x:c r="A57" s="15" t="str">
        <x:v>累計／平均／最大</x:v>
      </x:c>
      <x:c r="B57" s="16"/>
      <x:c r="C57" s="16" t="n">
        <x:f>SUM(C6:C56)</x:f>
        <x:v>46568000</x:v>
      </x:c>
      <x:c r="D57" s="16" t="n">
        <x:f>SUM(D6:D56)</x:f>
        <x:v>102619000</x:v>
      </x:c>
      <x:c r="E57" s="16" t="n">
        <x:f>C57-D57</x:f>
        <x:v>-56051000</x:v>
      </x:c>
      <x:c r="F57" s="16" t="n">
        <x:f>F56</x:f>
        <x:v>-56051000</x:v>
      </x:c>
      <x:c r="G57" s="16" t="n">
        <x:f>SUM(G6:G56)</x:f>
        <x:v>37961000</x:v>
      </x:c>
      <x:c r="H57" s="16" t="n">
        <x:f>SUM(H6:H56)</x:f>
        <x:v>94012000</x:v>
      </x:c>
      <x:c r="I57" s="16" t="n">
        <x:f>SUM(I6:I56)</x:f>
        <x:v>6562</x:v>
      </x:c>
      <x:c r="J57" s="16" t="n">
        <x:f>SUM(J6:J56)</x:f>
        <x:v>11084</x:v>
      </x:c>
      <x:c r="K57" s="16" t="n">
        <x:f>SUM(K6:K56)</x:f>
        <x:v>10565</x:v>
      </x:c>
      <x:c r="L57" s="16" t="n">
        <x:f>MAX(L6:L56)</x:f>
        <x:v>10</x:v>
      </x:c>
      <x:c r="M57" s="17" t="n">
        <x:f>AVERAGE(M6:M56)</x:f>
        <x:v>0.728872967990615</x:v>
      </x:c>
      <x:c r="N57" s="16" t="n">
        <x:f>MAX(N6:N56)</x:f>
        <x:v>3504000</x:v>
      </x:c>
    </x:row>
  </x:sheetData>
  <x:conditionalFormatting sqref="E6:F56">
    <x:cfRule type="cellIs" dxfId="31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a75a1aa26564715"/>
  </x:tableParts>
</x:worksheet>
</file>

<file path=xl/worksheets/sheet3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1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4" customHeight="1">
      <x:c r="A1" s="3" t="str">
        <x:v>日経 F01　各セッションの利益・損失・収支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A2" s="4" t="str">
        <x:v>2026/09/21〜10/26デイ・51完了場。日経mini／TOPIXmini各上限10枚・手数料0。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4" customHeight="1">
      <x:c r="A3" s="4" t="str">
        <x:v>180秒の時間加重平均を30秒前と比較。固定1枚、利益追尾＋傾き反転・増勢後の半減で返済。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4" customHeight="1">
      <x:c r="A4" s="4" t="str">
        <x:v>利益・損失＝FIFO返済配賦別。親＝初回から全返済まで。ラージ気配による模型で、mini実約定の検証ではありません。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42" customHeight="1">
      <x:c r="A5" s="10" t="str">
        <x:v>セッション</x:v>
      </x:c>
      <x:c r="B5" s="10" t="str">
        <x:v>区分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親利益（円）</x:v>
      </x:c>
      <x:c r="H5" s="10" t="str">
        <x:v>親損失（円）</x:v>
      </x:c>
      <x:c r="I5" s="10" t="str">
        <x:v>初回件数</x:v>
      </x:c>
      <x:c r="J5" s="10" t="str">
        <x:v>追加件数</x:v>
      </x:c>
      <x:c r="K5" s="10" t="str">
        <x:v>縮小件数</x:v>
      </x:c>
      <x:c r="L5" s="10" t="str">
        <x:v>最大保有枚数</x:v>
      </x:c>
      <x:c r="M5" s="10" t="str">
        <x:v>保有時間率</x:v>
      </x:c>
      <x:c r="N5" s="10" t="str">
        <x:v>時価最大DD（円）</x:v>
      </x:c>
    </x:row>
    <x:row r="6" ht="24" customHeight="1">
      <x:c r="A6" s="2" t="str">
        <x:v>2026-09-21_Day</x:v>
      </x:c>
      <x:c r="B6" s="6" t="str">
        <x:v>デイ</x:v>
      </x:c>
      <x:c r="C6" s="6" t="n">
        <x:v>100000</x:v>
      </x:c>
      <x:c r="D6" s="6" t="n">
        <x:v>316000</x:v>
      </x:c>
      <x:c r="E6" s="6" t="n">
        <x:f>C6-D6</x:f>
        <x:v>-216000</x:v>
      </x:c>
      <x:c r="F6" s="6" t="n">
        <x:f>E6</x:f>
        <x:v>-216000</x:v>
      </x:c>
      <x:c r="G6" s="6" t="n">
        <x:v>100000</x:v>
      </x:c>
      <x:c r="H6" s="6" t="n">
        <x:v>316000</x:v>
      </x:c>
      <x:c r="I6" s="6" t="n">
        <x:v>115</x:v>
      </x:c>
      <x:c r="J6" s="6" t="n">
        <x:v>0</x:v>
      </x:c>
      <x:c r="K6" s="6" t="n">
        <x:v>0</x:v>
      </x:c>
      <x:c r="L6" s="6" t="n">
        <x:v>1</x:v>
      </x:c>
      <x:c r="M6" s="11" t="n">
        <x:v>0.7277777777777777</x:v>
      </x:c>
      <x:c r="N6" s="6" t="n">
        <x:v>218000</x:v>
      </x:c>
    </x:row>
    <x:row r="7" ht="24" customHeight="1">
      <x:c r="A7" s="2" t="str">
        <x:v>2026-09-21_Night</x:v>
      </x:c>
      <x:c r="B7" s="6" t="str">
        <x:v>ナイト</x:v>
      </x:c>
      <x:c r="C7" s="6" t="n">
        <x:v>95000</x:v>
      </x:c>
      <x:c r="D7" s="6" t="n">
        <x:v>286000</x:v>
      </x:c>
      <x:c r="E7" s="6" t="n">
        <x:f>C7-D7</x:f>
        <x:v>-191000</x:v>
      </x:c>
      <x:c r="F7" s="6" t="n">
        <x:f>F6+E7</x:f>
        <x:v>-407000</x:v>
      </x:c>
      <x:c r="G7" s="6" t="n">
        <x:v>95000</x:v>
      </x:c>
      <x:c r="H7" s="6" t="n">
        <x:v>286000</x:v>
      </x:c>
      <x:c r="I7" s="6" t="n">
        <x:v>145</x:v>
      </x:c>
      <x:c r="J7" s="6" t="n">
        <x:v>0</x:v>
      </x:c>
      <x:c r="K7" s="6" t="n">
        <x:v>0</x:v>
      </x:c>
      <x:c r="L7" s="6" t="n">
        <x:v>1</x:v>
      </x:c>
      <x:c r="M7" s="11" t="n">
        <x:v>0.5997435897435898</x:v>
      </x:c>
      <x:c r="N7" s="6" t="n">
        <x:v>196000</x:v>
      </x:c>
    </x:row>
    <x:row r="8" ht="24" customHeight="1">
      <x:c r="A8" s="2" t="str">
        <x:v>2026-09-22_Day</x:v>
      </x:c>
      <x:c r="B8" s="6" t="str">
        <x:v>デイ</x:v>
      </x:c>
      <x:c r="C8" s="6" t="n">
        <x:v>122000</x:v>
      </x:c>
      <x:c r="D8" s="6" t="n">
        <x:v>378000</x:v>
      </x:c>
      <x:c r="E8" s="6" t="n">
        <x:f>C8-D8</x:f>
        <x:v>-256000</x:v>
      </x:c>
      <x:c r="F8" s="6" t="n">
        <x:f>F7+E8</x:f>
        <x:v>-663000</x:v>
      </x:c>
      <x:c r="G8" s="6" t="n">
        <x:v>122000</x:v>
      </x:c>
      <x:c r="H8" s="6" t="n">
        <x:v>378000</x:v>
      </x:c>
      <x:c r="I8" s="6" t="n">
        <x:v>153</x:v>
      </x:c>
      <x:c r="J8" s="6" t="n">
        <x:v>0</x:v>
      </x:c>
      <x:c r="K8" s="6" t="n">
        <x:v>0</x:v>
      </x:c>
      <x:c r="L8" s="6" t="n">
        <x:v>1</x:v>
      </x:c>
      <x:c r="M8" s="11" t="n">
        <x:v>0.736984126984127</x:v>
      </x:c>
      <x:c r="N8" s="6" t="n">
        <x:v>277000</x:v>
      </x:c>
    </x:row>
    <x:row r="9" ht="24" customHeight="1">
      <x:c r="A9" s="2" t="str">
        <x:v>2026-09-22_Night</x:v>
      </x:c>
      <x:c r="B9" s="6" t="str">
        <x:v>ナイト</x:v>
      </x:c>
      <x:c r="C9" s="6" t="n">
        <x:v>208000</x:v>
      </x:c>
      <x:c r="D9" s="6" t="n">
        <x:v>482000</x:v>
      </x:c>
      <x:c r="E9" s="6" t="n">
        <x:f>C9-D9</x:f>
        <x:v>-274000</x:v>
      </x:c>
      <x:c r="F9" s="6" t="n">
        <x:f>F8+E9</x:f>
        <x:v>-937000</x:v>
      </x:c>
      <x:c r="G9" s="6" t="n">
        <x:v>208000</x:v>
      </x:c>
      <x:c r="H9" s="6" t="n">
        <x:v>482000</x:v>
      </x:c>
      <x:c r="I9" s="6" t="n">
        <x:v>204</x:v>
      </x:c>
      <x:c r="J9" s="6" t="n">
        <x:v>0</x:v>
      </x:c>
      <x:c r="K9" s="6" t="n">
        <x:v>0</x:v>
      </x:c>
      <x:c r="L9" s="6" t="n">
        <x:v>1</x:v>
      </x:c>
      <x:c r="M9" s="11" t="n">
        <x:v>0.7042307692307692</x:v>
      </x:c>
      <x:c r="N9" s="6" t="n">
        <x:v>291000</x:v>
      </x:c>
    </x:row>
    <x:row r="10" ht="24" customHeight="1">
      <x:c r="A10" s="2" t="str">
        <x:v>2026-09-23_Day</x:v>
      </x:c>
      <x:c r="B10" s="6" t="str">
        <x:v>デイ</x:v>
      </x:c>
      <x:c r="C10" s="6" t="n">
        <x:v>55000</x:v>
      </x:c>
      <x:c r="D10" s="6" t="n">
        <x:v>322000</x:v>
      </x:c>
      <x:c r="E10" s="6" t="n">
        <x:f>C10-D10</x:f>
        <x:v>-267000</x:v>
      </x:c>
      <x:c r="F10" s="6" t="n">
        <x:f>F9+E10</x:f>
        <x:v>-1204000</x:v>
      </x:c>
      <x:c r="G10" s="6" t="n">
        <x:v>55000</x:v>
      </x:c>
      <x:c r="H10" s="6" t="n">
        <x:v>322000</x:v>
      </x:c>
      <x:c r="I10" s="6" t="n">
        <x:v>122</x:v>
      </x:c>
      <x:c r="J10" s="6" t="n">
        <x:v>0</x:v>
      </x:c>
      <x:c r="K10" s="6" t="n">
        <x:v>0</x:v>
      </x:c>
      <x:c r="L10" s="6" t="n">
        <x:v>1</x:v>
      </x:c>
      <x:c r="M10" s="11" t="n">
        <x:v>0.6986904761904762</x:v>
      </x:c>
      <x:c r="N10" s="6" t="n">
        <x:v>272000</x:v>
      </x:c>
    </x:row>
    <x:row r="11" ht="24" customHeight="1">
      <x:c r="A11" s="2" t="str">
        <x:v>2026-09-23_Night</x:v>
      </x:c>
      <x:c r="B11" s="6" t="str">
        <x:v>ナイト</x:v>
      </x:c>
      <x:c r="C11" s="6" t="n">
        <x:v>121000</x:v>
      </x:c>
      <x:c r="D11" s="6" t="n">
        <x:v>406000</x:v>
      </x:c>
      <x:c r="E11" s="6" t="n">
        <x:f>C11-D11</x:f>
        <x:v>-285000</x:v>
      </x:c>
      <x:c r="F11" s="6" t="n">
        <x:f>F10+E11</x:f>
        <x:v>-1489000</x:v>
      </x:c>
      <x:c r="G11" s="6" t="n">
        <x:v>121000</x:v>
      </x:c>
      <x:c r="H11" s="6" t="n">
        <x:v>406000</x:v>
      </x:c>
      <x:c r="I11" s="6" t="n">
        <x:v>179</x:v>
      </x:c>
      <x:c r="J11" s="6" t="n">
        <x:v>0</x:v>
      </x:c>
      <x:c r="K11" s="6" t="n">
        <x:v>0</x:v>
      </x:c>
      <x:c r="L11" s="6" t="n">
        <x:v>1</x:v>
      </x:c>
      <x:c r="M11" s="11" t="n">
        <x:v>0.7372435897435897</x:v>
      </x:c>
      <x:c r="N11" s="6" t="n">
        <x:v>286000</x:v>
      </x:c>
    </x:row>
    <x:row r="12" ht="24" customHeight="1">
      <x:c r="A12" s="2" t="str">
        <x:v>2026-09-24_Day</x:v>
      </x:c>
      <x:c r="B12" s="6" t="str">
        <x:v>デイ</x:v>
      </x:c>
      <x:c r="C12" s="6" t="n">
        <x:v>235000</x:v>
      </x:c>
      <x:c r="D12" s="6" t="n">
        <x:v>501000</x:v>
      </x:c>
      <x:c r="E12" s="6" t="n">
        <x:f>C12-D12</x:f>
        <x:v>-266000</x:v>
      </x:c>
      <x:c r="F12" s="6" t="n">
        <x:f>F11+E12</x:f>
        <x:v>-1755000</x:v>
      </x:c>
      <x:c r="G12" s="6" t="n">
        <x:v>235000</x:v>
      </x:c>
      <x:c r="H12" s="6" t="n">
        <x:v>501000</x:v>
      </x:c>
      <x:c r="I12" s="6" t="n">
        <x:v>216</x:v>
      </x:c>
      <x:c r="J12" s="6" t="n">
        <x:v>0</x:v>
      </x:c>
      <x:c r="K12" s="6" t="n">
        <x:v>0</x:v>
      </x:c>
      <x:c r="L12" s="6" t="n">
        <x:v>1</x:v>
      </x:c>
      <x:c r="M12" s="11" t="n">
        <x:v>0.8196031746031746</x:v>
      </x:c>
      <x:c r="N12" s="6" t="n">
        <x:v>280000</x:v>
      </x:c>
    </x:row>
    <x:row r="13" ht="24" customHeight="1">
      <x:c r="A13" s="2" t="str">
        <x:v>2026-09-24_Night</x:v>
      </x:c>
      <x:c r="B13" s="6" t="str">
        <x:v>ナイト</x:v>
      </x:c>
      <x:c r="C13" s="6" t="n">
        <x:v>300000</x:v>
      </x:c>
      <x:c r="D13" s="6" t="n">
        <x:v>637000</x:v>
      </x:c>
      <x:c r="E13" s="6" t="n">
        <x:f>C13-D13</x:f>
        <x:v>-337000</x:v>
      </x:c>
      <x:c r="F13" s="6" t="n">
        <x:f>F12+E13</x:f>
        <x:v>-2092000</x:v>
      </x:c>
      <x:c r="G13" s="6" t="n">
        <x:v>300000</x:v>
      </x:c>
      <x:c r="H13" s="6" t="n">
        <x:v>637000</x:v>
      </x:c>
      <x:c r="I13" s="6" t="n">
        <x:v>285</x:v>
      </x:c>
      <x:c r="J13" s="6" t="n">
        <x:v>0</x:v>
      </x:c>
      <x:c r="K13" s="6" t="n">
        <x:v>0</x:v>
      </x:c>
      <x:c r="L13" s="6" t="n">
        <x:v>1</x:v>
      </x:c>
      <x:c r="M13" s="11" t="n">
        <x:v>0.7750641025641025</x:v>
      </x:c>
      <x:c r="N13" s="6" t="n">
        <x:v>362000</x:v>
      </x:c>
    </x:row>
    <x:row r="14" ht="24" customHeight="1">
      <x:c r="A14" s="2" t="str">
        <x:v>2026-09-25_Day</x:v>
      </x:c>
      <x:c r="B14" s="6" t="str">
        <x:v>デイ</x:v>
      </x:c>
      <x:c r="C14" s="6" t="n">
        <x:v>171000</x:v>
      </x:c>
      <x:c r="D14" s="6" t="n">
        <x:v>519000</x:v>
      </x:c>
      <x:c r="E14" s="6" t="n">
        <x:f>C14-D14</x:f>
        <x:v>-348000</x:v>
      </x:c>
      <x:c r="F14" s="6" t="n">
        <x:f>F13+E14</x:f>
        <x:v>-2440000</x:v>
      </x:c>
      <x:c r="G14" s="6" t="n">
        <x:v>171000</x:v>
      </x:c>
      <x:c r="H14" s="6" t="n">
        <x:v>519000</x:v>
      </x:c>
      <x:c r="I14" s="6" t="n">
        <x:v>228</x:v>
      </x:c>
      <x:c r="J14" s="6" t="n">
        <x:v>0</x:v>
      </x:c>
      <x:c r="K14" s="6" t="n">
        <x:v>0</x:v>
      </x:c>
      <x:c r="L14" s="6" t="n">
        <x:v>1</x:v>
      </x:c>
      <x:c r="M14" s="11" t="n">
        <x:v>0.794047619047619</x:v>
      </x:c>
      <x:c r="N14" s="6" t="n">
        <x:v>355000</x:v>
      </x:c>
    </x:row>
    <x:row r="15" ht="24" customHeight="1">
      <x:c r="A15" s="2" t="str">
        <x:v>2026-09-25_Night</x:v>
      </x:c>
      <x:c r="B15" s="6" t="str">
        <x:v>ナイト</x:v>
      </x:c>
      <x:c r="C15" s="6" t="n">
        <x:v>206000</x:v>
      </x:c>
      <x:c r="D15" s="6" t="n">
        <x:v>512000</x:v>
      </x:c>
      <x:c r="E15" s="6" t="n">
        <x:f>C15-D15</x:f>
        <x:v>-306000</x:v>
      </x:c>
      <x:c r="F15" s="6" t="n">
        <x:f>F14+E15</x:f>
        <x:v>-2746000</x:v>
      </x:c>
      <x:c r="G15" s="6" t="n">
        <x:v>206000</x:v>
      </x:c>
      <x:c r="H15" s="6" t="n">
        <x:v>512000</x:v>
      </x:c>
      <x:c r="I15" s="6" t="n">
        <x:v>216</x:v>
      </x:c>
      <x:c r="J15" s="6" t="n">
        <x:v>0</x:v>
      </x:c>
      <x:c r="K15" s="6" t="n">
        <x:v>0</x:v>
      </x:c>
      <x:c r="L15" s="6" t="n">
        <x:v>1</x:v>
      </x:c>
      <x:c r="M15" s="11" t="n">
        <x:v>0.7034615384615385</x:v>
      </x:c>
      <x:c r="N15" s="6" t="n">
        <x:v>322000</x:v>
      </x:c>
    </x:row>
    <x:row r="16" ht="24" customHeight="1">
      <x:c r="A16" s="2" t="str">
        <x:v>2026-09-28_Day</x:v>
      </x:c>
      <x:c r="B16" s="6" t="str">
        <x:v>デイ</x:v>
      </x:c>
      <x:c r="C16" s="6" t="n">
        <x:v>203000</x:v>
      </x:c>
      <x:c r="D16" s="6" t="n">
        <x:v>668000</x:v>
      </x:c>
      <x:c r="E16" s="6" t="n">
        <x:f>C16-D16</x:f>
        <x:v>-465000</x:v>
      </x:c>
      <x:c r="F16" s="6" t="n">
        <x:f>F15+E16</x:f>
        <x:v>-3211000</x:v>
      </x:c>
      <x:c r="G16" s="6" t="n">
        <x:v>203000</x:v>
      </x:c>
      <x:c r="H16" s="6" t="n">
        <x:v>668000</x:v>
      </x:c>
      <x:c r="I16" s="6" t="n">
        <x:v>258</x:v>
      </x:c>
      <x:c r="J16" s="6" t="n">
        <x:v>0</x:v>
      </x:c>
      <x:c r="K16" s="6" t="n">
        <x:v>0</x:v>
      </x:c>
      <x:c r="L16" s="6" t="n">
        <x:v>1</x:v>
      </x:c>
      <x:c r="M16" s="11" t="n">
        <x:v>0.7961111111111111</x:v>
      </x:c>
      <x:c r="N16" s="6" t="n">
        <x:v>474000</x:v>
      </x:c>
    </x:row>
    <x:row r="17" ht="24" customHeight="1">
      <x:c r="A17" s="2" t="str">
        <x:v>2026-09-28_Night</x:v>
      </x:c>
      <x:c r="B17" s="6" t="str">
        <x:v>ナイト</x:v>
      </x:c>
      <x:c r="C17" s="6" t="n">
        <x:v>248000</x:v>
      </x:c>
      <x:c r="D17" s="6" t="n">
        <x:v>707000</x:v>
      </x:c>
      <x:c r="E17" s="6" t="n">
        <x:f>C17-D17</x:f>
        <x:v>-459000</x:v>
      </x:c>
      <x:c r="F17" s="6" t="n">
        <x:f>F16+E17</x:f>
        <x:v>-3670000</x:v>
      </x:c>
      <x:c r="G17" s="6" t="n">
        <x:v>248000</x:v>
      </x:c>
      <x:c r="H17" s="6" t="n">
        <x:v>707000</x:v>
      </x:c>
      <x:c r="I17" s="6" t="n">
        <x:v>266</x:v>
      </x:c>
      <x:c r="J17" s="6" t="n">
        <x:v>0</x:v>
      </x:c>
      <x:c r="K17" s="6" t="n">
        <x:v>0</x:v>
      </x:c>
      <x:c r="L17" s="6" t="n">
        <x:v>1</x:v>
      </x:c>
      <x:c r="M17" s="11" t="n">
        <x:v>0.7451495726495726</x:v>
      </x:c>
      <x:c r="N17" s="6" t="n">
        <x:v>467000</x:v>
      </x:c>
    </x:row>
    <x:row r="18" ht="24" customHeight="1">
      <x:c r="A18" s="2" t="str">
        <x:v>2026-09-29_Day</x:v>
      </x:c>
      <x:c r="B18" s="6" t="str">
        <x:v>デイ</x:v>
      </x:c>
      <x:c r="C18" s="6" t="n">
        <x:v>191000</x:v>
      </x:c>
      <x:c r="D18" s="6" t="n">
        <x:v>712000</x:v>
      </x:c>
      <x:c r="E18" s="6" t="n">
        <x:f>C18-D18</x:f>
        <x:v>-521000</x:v>
      </x:c>
      <x:c r="F18" s="6" t="n">
        <x:f>F17+E18</x:f>
        <x:v>-4191000</x:v>
      </x:c>
      <x:c r="G18" s="6" t="n">
        <x:v>191000</x:v>
      </x:c>
      <x:c r="H18" s="6" t="n">
        <x:v>712000</x:v>
      </x:c>
      <x:c r="I18" s="6" t="n">
        <x:v>249</x:v>
      </x:c>
      <x:c r="J18" s="6" t="n">
        <x:v>0</x:v>
      </x:c>
      <x:c r="K18" s="6" t="n">
        <x:v>0</x:v>
      </x:c>
      <x:c r="L18" s="6" t="n">
        <x:v>1</x:v>
      </x:c>
      <x:c r="M18" s="11" t="n">
        <x:v>0.8007142857142857</x:v>
      </x:c>
      <x:c r="N18" s="6" t="n">
        <x:v>524000</x:v>
      </x:c>
    </x:row>
    <x:row r="19" ht="24" customHeight="1">
      <x:c r="A19" s="2" t="str">
        <x:v>2026-09-29_Night</x:v>
      </x:c>
      <x:c r="B19" s="6" t="str">
        <x:v>ナイト</x:v>
      </x:c>
      <x:c r="C19" s="6" t="n">
        <x:v>217000</x:v>
      </x:c>
      <x:c r="D19" s="6" t="n">
        <x:v>611000</x:v>
      </x:c>
      <x:c r="E19" s="6" t="n">
        <x:f>C19-D19</x:f>
        <x:v>-394000</x:v>
      </x:c>
      <x:c r="F19" s="6" t="n">
        <x:f>F18+E19</x:f>
        <x:v>-4585000</x:v>
      </x:c>
      <x:c r="G19" s="6" t="n">
        <x:v>217000</x:v>
      </x:c>
      <x:c r="H19" s="6" t="n">
        <x:v>611000</x:v>
      </x:c>
      <x:c r="I19" s="6" t="n">
        <x:v>258</x:v>
      </x:c>
      <x:c r="J19" s="6" t="n">
        <x:v>0</x:v>
      </x:c>
      <x:c r="K19" s="6" t="n">
        <x:v>0</x:v>
      </x:c>
      <x:c r="L19" s="6" t="n">
        <x:v>1</x:v>
      </x:c>
      <x:c r="M19" s="11" t="n">
        <x:v>0.7812820512820513</x:v>
      </x:c>
      <x:c r="N19" s="6" t="n">
        <x:v>396000</x:v>
      </x:c>
    </x:row>
    <x:row r="20" ht="24" customHeight="1">
      <x:c r="A20" s="2" t="str">
        <x:v>2026-09-30_Day</x:v>
      </x:c>
      <x:c r="B20" s="6" t="str">
        <x:v>デイ</x:v>
      </x:c>
      <x:c r="C20" s="6" t="n">
        <x:v>241000</x:v>
      </x:c>
      <x:c r="D20" s="6" t="n">
        <x:v>552000</x:v>
      </x:c>
      <x:c r="E20" s="6" t="n">
        <x:f>C20-D20</x:f>
        <x:v>-311000</x:v>
      </x:c>
      <x:c r="F20" s="6" t="n">
        <x:f>F19+E20</x:f>
        <x:v>-4896000</x:v>
      </x:c>
      <x:c r="G20" s="6" t="n">
        <x:v>241000</x:v>
      </x:c>
      <x:c r="H20" s="6" t="n">
        <x:v>552000</x:v>
      </x:c>
      <x:c r="I20" s="6" t="n">
        <x:v>222</x:v>
      </x:c>
      <x:c r="J20" s="6" t="n">
        <x:v>0</x:v>
      </x:c>
      <x:c r="K20" s="6" t="n">
        <x:v>0</x:v>
      </x:c>
      <x:c r="L20" s="6" t="n">
        <x:v>1</x:v>
      </x:c>
      <x:c r="M20" s="11" t="n">
        <x:v>0.828015873015873</x:v>
      </x:c>
      <x:c r="N20" s="6" t="n">
        <x:v>319000</x:v>
      </x:c>
    </x:row>
    <x:row r="21" ht="24" customHeight="1">
      <x:c r="A21" s="2" t="str">
        <x:v>2026-09-30_Night</x:v>
      </x:c>
      <x:c r="B21" s="6" t="str">
        <x:v>ナイト</x:v>
      </x:c>
      <x:c r="C21" s="6" t="n">
        <x:v>268000</x:v>
      </x:c>
      <x:c r="D21" s="6" t="n">
        <x:v>672000</x:v>
      </x:c>
      <x:c r="E21" s="6" t="n">
        <x:f>C21-D21</x:f>
        <x:v>-404000</x:v>
      </x:c>
      <x:c r="F21" s="6" t="n">
        <x:f>F20+E21</x:f>
        <x:v>-5300000</x:v>
      </x:c>
      <x:c r="G21" s="6" t="n">
        <x:v>268000</x:v>
      </x:c>
      <x:c r="H21" s="6" t="n">
        <x:v>672000</x:v>
      </x:c>
      <x:c r="I21" s="6" t="n">
        <x:v>274</x:v>
      </x:c>
      <x:c r="J21" s="6" t="n">
        <x:v>0</x:v>
      </x:c>
      <x:c r="K21" s="6" t="n">
        <x:v>0</x:v>
      </x:c>
      <x:c r="L21" s="6" t="n">
        <x:v>1</x:v>
      </x:c>
      <x:c r="M21" s="11" t="n">
        <x:v>0.7357692307692307</x:v>
      </x:c>
      <x:c r="N21" s="6" t="n">
        <x:v>410000</x:v>
      </x:c>
    </x:row>
    <x:row r="22" ht="24" customHeight="1">
      <x:c r="A22" s="2" t="str">
        <x:v>2026-10-01_Day</x:v>
      </x:c>
      <x:c r="B22" s="6" t="str">
        <x:v>デイ</x:v>
      </x:c>
      <x:c r="C22" s="6" t="n">
        <x:v>221000</x:v>
      </x:c>
      <x:c r="D22" s="6" t="n">
        <x:v>509000</x:v>
      </x:c>
      <x:c r="E22" s="6" t="n">
        <x:f>C22-D22</x:f>
        <x:v>-288000</x:v>
      </x:c>
      <x:c r="F22" s="6" t="n">
        <x:f>F21+E22</x:f>
        <x:v>-5588000</x:v>
      </x:c>
      <x:c r="G22" s="6" t="n">
        <x:v>221000</x:v>
      </x:c>
      <x:c r="H22" s="6" t="n">
        <x:v>509000</x:v>
      </x:c>
      <x:c r="I22" s="6" t="n">
        <x:v>201</x:v>
      </x:c>
      <x:c r="J22" s="6" t="n">
        <x:v>0</x:v>
      </x:c>
      <x:c r="K22" s="6" t="n">
        <x:v>0</x:v>
      </x:c>
      <x:c r="L22" s="6" t="n">
        <x:v>1</x:v>
      </x:c>
      <x:c r="M22" s="11" t="n">
        <x:v>0.8270634920634921</x:v>
      </x:c>
      <x:c r="N22" s="6" t="n">
        <x:v>290000</x:v>
      </x:c>
    </x:row>
    <x:row r="23" ht="24" customHeight="1">
      <x:c r="A23" s="2" t="str">
        <x:v>2026-10-01_Night</x:v>
      </x:c>
      <x:c r="B23" s="6" t="str">
        <x:v>ナイト</x:v>
      </x:c>
      <x:c r="C23" s="6" t="n">
        <x:v>309000</x:v>
      </x:c>
      <x:c r="D23" s="6" t="n">
        <x:v>882000</x:v>
      </x:c>
      <x:c r="E23" s="6" t="n">
        <x:f>C23-D23</x:f>
        <x:v>-573000</x:v>
      </x:c>
      <x:c r="F23" s="6" t="n">
        <x:f>F22+E23</x:f>
        <x:v>-6161000</x:v>
      </x:c>
      <x:c r="G23" s="6" t="n">
        <x:v>309000</x:v>
      </x:c>
      <x:c r="H23" s="6" t="n">
        <x:v>882000</x:v>
      </x:c>
      <x:c r="I23" s="6" t="n">
        <x:v>322</x:v>
      </x:c>
      <x:c r="J23" s="6" t="n">
        <x:v>0</x:v>
      </x:c>
      <x:c r="K23" s="6" t="n">
        <x:v>0</x:v>
      </x:c>
      <x:c r="L23" s="6" t="n">
        <x:v>1</x:v>
      </x:c>
      <x:c r="M23" s="11" t="n">
        <x:v>0.7757051282051282</x:v>
      </x:c>
      <x:c r="N23" s="6" t="n">
        <x:v>581000</x:v>
      </x:c>
    </x:row>
    <x:row r="24" ht="24" customHeight="1">
      <x:c r="A24" s="2" t="str">
        <x:v>2026-10-02_Day</x:v>
      </x:c>
      <x:c r="B24" s="6" t="str">
        <x:v>デイ</x:v>
      </x:c>
      <x:c r="C24" s="6" t="n">
        <x:v>182000</x:v>
      </x:c>
      <x:c r="D24" s="6" t="n">
        <x:v>505000</x:v>
      </x:c>
      <x:c r="E24" s="6" t="n">
        <x:f>C24-D24</x:f>
        <x:v>-323000</x:v>
      </x:c>
      <x:c r="F24" s="6" t="n">
        <x:f>F23+E24</x:f>
        <x:v>-6484000</x:v>
      </x:c>
      <x:c r="G24" s="6" t="n">
        <x:v>182000</x:v>
      </x:c>
      <x:c r="H24" s="6" t="n">
        <x:v>505000</x:v>
      </x:c>
      <x:c r="I24" s="6" t="n">
        <x:v>206</x:v>
      </x:c>
      <x:c r="J24" s="6" t="n">
        <x:v>0</x:v>
      </x:c>
      <x:c r="K24" s="6" t="n">
        <x:v>0</x:v>
      </x:c>
      <x:c r="L24" s="6" t="n">
        <x:v>1</x:v>
      </x:c>
      <x:c r="M24" s="11" t="n">
        <x:v>0.819047619047619</x:v>
      </x:c>
      <x:c r="N24" s="6" t="n">
        <x:v>359000</x:v>
      </x:c>
    </x:row>
    <x:row r="25" ht="24" customHeight="1">
      <x:c r="A25" s="2" t="str">
        <x:v>2026-10-02_Night</x:v>
      </x:c>
      <x:c r="B25" s="6" t="str">
        <x:v>ナイト</x:v>
      </x:c>
      <x:c r="C25" s="6" t="n">
        <x:v>262000</x:v>
      </x:c>
      <x:c r="D25" s="6" t="n">
        <x:v>753000</x:v>
      </x:c>
      <x:c r="E25" s="6" t="n">
        <x:f>C25-D25</x:f>
        <x:v>-491000</x:v>
      </x:c>
      <x:c r="F25" s="6" t="n">
        <x:f>F24+E25</x:f>
        <x:v>-6975000</x:v>
      </x:c>
      <x:c r="G25" s="6" t="n">
        <x:v>262000</x:v>
      </x:c>
      <x:c r="H25" s="6" t="n">
        <x:v>753000</x:v>
      </x:c>
      <x:c r="I25" s="6" t="n">
        <x:v>293</x:v>
      </x:c>
      <x:c r="J25" s="6" t="n">
        <x:v>0</x:v>
      </x:c>
      <x:c r="K25" s="6" t="n">
        <x:v>0</x:v>
      </x:c>
      <x:c r="L25" s="6" t="n">
        <x:v>1</x:v>
      </x:c>
      <x:c r="M25" s="11" t="n">
        <x:v>0.7909615384615385</x:v>
      </x:c>
      <x:c r="N25" s="6" t="n">
        <x:v>491000</x:v>
      </x:c>
    </x:row>
    <x:row r="26" ht="24" customHeight="1">
      <x:c r="A26" s="2" t="str">
        <x:v>2026-10-05_Day</x:v>
      </x:c>
      <x:c r="B26" s="6" t="str">
        <x:v>デイ</x:v>
      </x:c>
      <x:c r="C26" s="6" t="n">
        <x:v>143000</x:v>
      </x:c>
      <x:c r="D26" s="6" t="n">
        <x:v>499000</x:v>
      </x:c>
      <x:c r="E26" s="6" t="n">
        <x:f>C26-D26</x:f>
        <x:v>-356000</x:v>
      </x:c>
      <x:c r="F26" s="6" t="n">
        <x:f>F25+E26</x:f>
        <x:v>-7331000</x:v>
      </x:c>
      <x:c r="G26" s="6" t="n">
        <x:v>143000</x:v>
      </x:c>
      <x:c r="H26" s="6" t="n">
        <x:v>499000</x:v>
      </x:c>
      <x:c r="I26" s="6" t="n">
        <x:v>203</x:v>
      </x:c>
      <x:c r="J26" s="6" t="n">
        <x:v>0</x:v>
      </x:c>
      <x:c r="K26" s="6" t="n">
        <x:v>0</x:v>
      </x:c>
      <x:c r="L26" s="6" t="n">
        <x:v>1</x:v>
      </x:c>
      <x:c r="M26" s="11" t="n">
        <x:v>0.8120238095238095</x:v>
      </x:c>
      <x:c r="N26" s="6" t="n">
        <x:v>367000</x:v>
      </x:c>
    </x:row>
    <x:row r="27" ht="24" customHeight="1">
      <x:c r="A27" s="2" t="str">
        <x:v>2026-10-05_Night</x:v>
      </x:c>
      <x:c r="B27" s="6" t="str">
        <x:v>ナイト</x:v>
      </x:c>
      <x:c r="C27" s="6" t="n">
        <x:v>166000</x:v>
      </x:c>
      <x:c r="D27" s="6" t="n">
        <x:v>534000</x:v>
      </x:c>
      <x:c r="E27" s="6" t="n">
        <x:f>C27-D27</x:f>
        <x:v>-368000</x:v>
      </x:c>
      <x:c r="F27" s="6" t="n">
        <x:f>F26+E27</x:f>
        <x:v>-7699000</x:v>
      </x:c>
      <x:c r="G27" s="6" t="n">
        <x:v>166000</x:v>
      </x:c>
      <x:c r="H27" s="6" t="n">
        <x:v>534000</x:v>
      </x:c>
      <x:c r="I27" s="6" t="n">
        <x:v>249</x:v>
      </x:c>
      <x:c r="J27" s="6" t="n">
        <x:v>0</x:v>
      </x:c>
      <x:c r="K27" s="6" t="n">
        <x:v>0</x:v>
      </x:c>
      <x:c r="L27" s="6" t="n">
        <x:v>1</x:v>
      </x:c>
      <x:c r="M27" s="11" t="n">
        <x:v>0.7591239316239317</x:v>
      </x:c>
      <x:c r="N27" s="6" t="n">
        <x:v>382000</x:v>
      </x:c>
    </x:row>
    <x:row r="28" ht="24" customHeight="1">
      <x:c r="A28" s="2" t="str">
        <x:v>2026-10-06_Day</x:v>
      </x:c>
      <x:c r="B28" s="6" t="str">
        <x:v>デイ</x:v>
      </x:c>
      <x:c r="C28" s="6" t="n">
        <x:v>144000</x:v>
      </x:c>
      <x:c r="D28" s="6" t="n">
        <x:v>434000</x:v>
      </x:c>
      <x:c r="E28" s="6" t="n">
        <x:f>C28-D28</x:f>
        <x:v>-290000</x:v>
      </x:c>
      <x:c r="F28" s="6" t="n">
        <x:f>F27+E28</x:f>
        <x:v>-7989000</x:v>
      </x:c>
      <x:c r="G28" s="6" t="n">
        <x:v>144000</x:v>
      </x:c>
      <x:c r="H28" s="6" t="n">
        <x:v>434000</x:v>
      </x:c>
      <x:c r="I28" s="6" t="n">
        <x:v>191</x:v>
      </x:c>
      <x:c r="J28" s="6" t="n">
        <x:v>0</x:v>
      </x:c>
      <x:c r="K28" s="6" t="n">
        <x:v>0</x:v>
      </x:c>
      <x:c r="L28" s="6" t="n">
        <x:v>1</x:v>
      </x:c>
      <x:c r="M28" s="11" t="n">
        <x:v>0.8190873015873016</x:v>
      </x:c>
      <x:c r="N28" s="6" t="n">
        <x:v>290000</x:v>
      </x:c>
    </x:row>
    <x:row r="29" ht="24" customHeight="1">
      <x:c r="A29" s="2" t="str">
        <x:v>2026-10-06_Night</x:v>
      </x:c>
      <x:c r="B29" s="6" t="str">
        <x:v>ナイト</x:v>
      </x:c>
      <x:c r="C29" s="6" t="n">
        <x:v>120000</x:v>
      </x:c>
      <x:c r="D29" s="6" t="n">
        <x:v>459000</x:v>
      </x:c>
      <x:c r="E29" s="6" t="n">
        <x:f>C29-D29</x:f>
        <x:v>-339000</x:v>
      </x:c>
      <x:c r="F29" s="6" t="n">
        <x:f>F28+E29</x:f>
        <x:v>-8328000</x:v>
      </x:c>
      <x:c r="G29" s="6" t="n">
        <x:v>120000</x:v>
      </x:c>
      <x:c r="H29" s="6" t="n">
        <x:v>459000</x:v>
      </x:c>
      <x:c r="I29" s="6" t="n">
        <x:v>209</x:v>
      </x:c>
      <x:c r="J29" s="6" t="n">
        <x:v>0</x:v>
      </x:c>
      <x:c r="K29" s="6" t="n">
        <x:v>0</x:v>
      </x:c>
      <x:c r="L29" s="6" t="n">
        <x:v>1</x:v>
      </x:c>
      <x:c r="M29" s="11" t="n">
        <x:v>0.7006196581196581</x:v>
      </x:c>
      <x:c r="N29" s="6" t="n">
        <x:v>347000</x:v>
      </x:c>
    </x:row>
    <x:row r="30" ht="24" customHeight="1">
      <x:c r="A30" s="2" t="str">
        <x:v>2026-10-07_Day</x:v>
      </x:c>
      <x:c r="B30" s="6" t="str">
        <x:v>デイ</x:v>
      </x:c>
      <x:c r="C30" s="6" t="n">
        <x:v>132000</x:v>
      </x:c>
      <x:c r="D30" s="6" t="n">
        <x:v>397000</x:v>
      </x:c>
      <x:c r="E30" s="6" t="n">
        <x:f>C30-D30</x:f>
        <x:v>-265000</x:v>
      </x:c>
      <x:c r="F30" s="6" t="n">
        <x:f>F29+E30</x:f>
        <x:v>-8593000</x:v>
      </x:c>
      <x:c r="G30" s="6" t="n">
        <x:v>132000</x:v>
      </x:c>
      <x:c r="H30" s="6" t="n">
        <x:v>397000</x:v>
      </x:c>
      <x:c r="I30" s="6" t="n">
        <x:v>182</x:v>
      </x:c>
      <x:c r="J30" s="6" t="n">
        <x:v>0</x:v>
      </x:c>
      <x:c r="K30" s="6" t="n">
        <x:v>0</x:v>
      </x:c>
      <x:c r="L30" s="6" t="n">
        <x:v>1</x:v>
      </x:c>
      <x:c r="M30" s="11" t="n">
        <x:v>0.7998809523809524</x:v>
      </x:c>
      <x:c r="N30" s="6" t="n">
        <x:v>267000</x:v>
      </x:c>
    </x:row>
    <x:row r="31" ht="24" customHeight="1">
      <x:c r="A31" s="2" t="str">
        <x:v>2026-10-07_Night</x:v>
      </x:c>
      <x:c r="B31" s="6" t="str">
        <x:v>ナイト</x:v>
      </x:c>
      <x:c r="C31" s="6" t="n">
        <x:v>136000</x:v>
      </x:c>
      <x:c r="D31" s="6" t="n">
        <x:v>563000</x:v>
      </x:c>
      <x:c r="E31" s="6" t="n">
        <x:f>C31-D31</x:f>
        <x:v>-427000</x:v>
      </x:c>
      <x:c r="F31" s="6" t="n">
        <x:f>F30+E31</x:f>
        <x:v>-9020000</x:v>
      </x:c>
      <x:c r="G31" s="6" t="n">
        <x:v>136000</x:v>
      </x:c>
      <x:c r="H31" s="6" t="n">
        <x:v>563000</x:v>
      </x:c>
      <x:c r="I31" s="6" t="n">
        <x:v>258</x:v>
      </x:c>
      <x:c r="J31" s="6" t="n">
        <x:v>0</x:v>
      </x:c>
      <x:c r="K31" s="6" t="n">
        <x:v>0</x:v>
      </x:c>
      <x:c r="L31" s="6" t="n">
        <x:v>1</x:v>
      </x:c>
      <x:c r="M31" s="11" t="n">
        <x:v>0.7810897435897436</x:v>
      </x:c>
      <x:c r="N31" s="6" t="n">
        <x:v>433000</x:v>
      </x:c>
    </x:row>
    <x:row r="32" ht="24" customHeight="1">
      <x:c r="A32" s="2" t="str">
        <x:v>2026-10-08_Day</x:v>
      </x:c>
      <x:c r="B32" s="6" t="str">
        <x:v>デイ</x:v>
      </x:c>
      <x:c r="C32" s="6" t="n">
        <x:v>226000</x:v>
      </x:c>
      <x:c r="D32" s="6" t="n">
        <x:v>454000</x:v>
      </x:c>
      <x:c r="E32" s="6" t="n">
        <x:f>C32-D32</x:f>
        <x:v>-228000</x:v>
      </x:c>
      <x:c r="F32" s="6" t="n">
        <x:f>F31+E32</x:f>
        <x:v>-9248000</x:v>
      </x:c>
      <x:c r="G32" s="6" t="n">
        <x:v>226000</x:v>
      </x:c>
      <x:c r="H32" s="6" t="n">
        <x:v>454000</x:v>
      </x:c>
      <x:c r="I32" s="6" t="n">
        <x:v>199</x:v>
      </x:c>
      <x:c r="J32" s="6" t="n">
        <x:v>0</x:v>
      </x:c>
      <x:c r="K32" s="6" t="n">
        <x:v>0</x:v>
      </x:c>
      <x:c r="L32" s="6" t="n">
        <x:v>1</x:v>
      </x:c>
      <x:c r="M32" s="11" t="n">
        <x:v>0.8327777777777777</x:v>
      </x:c>
      <x:c r="N32" s="6" t="n">
        <x:v>260000</x:v>
      </x:c>
    </x:row>
    <x:row r="33" ht="24" customHeight="1">
      <x:c r="A33" s="2" t="str">
        <x:v>2026-10-08_Night</x:v>
      </x:c>
      <x:c r="B33" s="6" t="str">
        <x:v>ナイト</x:v>
      </x:c>
      <x:c r="C33" s="6" t="n">
        <x:v>271000</x:v>
      </x:c>
      <x:c r="D33" s="6" t="n">
        <x:v>856000</x:v>
      </x:c>
      <x:c r="E33" s="6" t="n">
        <x:f>C33-D33</x:f>
        <x:v>-585000</x:v>
      </x:c>
      <x:c r="F33" s="6" t="n">
        <x:f>F32+E33</x:f>
        <x:v>-9833000</x:v>
      </x:c>
      <x:c r="G33" s="6" t="n">
        <x:v>271000</x:v>
      </x:c>
      <x:c r="H33" s="6" t="n">
        <x:v>856000</x:v>
      </x:c>
      <x:c r="I33" s="6" t="n">
        <x:v>330</x:v>
      </x:c>
      <x:c r="J33" s="6" t="n">
        <x:v>0</x:v>
      </x:c>
      <x:c r="K33" s="6" t="n">
        <x:v>0</x:v>
      </x:c>
      <x:c r="L33" s="6" t="n">
        <x:v>1</x:v>
      </x:c>
      <x:c r="M33" s="11" t="n">
        <x:v>0.7441452991452991</x:v>
      </x:c>
      <x:c r="N33" s="6" t="n">
        <x:v>586000</x:v>
      </x:c>
    </x:row>
    <x:row r="34" ht="24" customHeight="1">
      <x:c r="A34" s="2" t="str">
        <x:v>2026-10-09_Day</x:v>
      </x:c>
      <x:c r="B34" s="6" t="str">
        <x:v>デイ</x:v>
      </x:c>
      <x:c r="C34" s="6" t="n">
        <x:v>218000</x:v>
      </x:c>
      <x:c r="D34" s="6" t="n">
        <x:v>574000</x:v>
      </x:c>
      <x:c r="E34" s="6" t="n">
        <x:f>C34-D34</x:f>
        <x:v>-356000</x:v>
      </x:c>
      <x:c r="F34" s="6" t="n">
        <x:f>F33+E34</x:f>
        <x:v>-10189000</x:v>
      </x:c>
      <x:c r="G34" s="6" t="n">
        <x:v>218000</x:v>
      </x:c>
      <x:c r="H34" s="6" t="n">
        <x:v>574000</x:v>
      </x:c>
      <x:c r="I34" s="6" t="n">
        <x:v>202</x:v>
      </x:c>
      <x:c r="J34" s="6" t="n">
        <x:v>0</x:v>
      </x:c>
      <x:c r="K34" s="6" t="n">
        <x:v>0</x:v>
      </x:c>
      <x:c r="L34" s="6" t="n">
        <x:v>1</x:v>
      </x:c>
      <x:c r="M34" s="11" t="n">
        <x:v>0.8100396825396825</x:v>
      </x:c>
      <x:c r="N34" s="6" t="n">
        <x:v>373000</x:v>
      </x:c>
    </x:row>
    <x:row r="35" ht="24" customHeight="1">
      <x:c r="A35" s="2" t="str">
        <x:v>2026-10-09_Night</x:v>
      </x:c>
      <x:c r="B35" s="6" t="str">
        <x:v>ナイト</x:v>
      </x:c>
      <x:c r="C35" s="6" t="n">
        <x:v>104000</x:v>
      </x:c>
      <x:c r="D35" s="6" t="n">
        <x:v>536000</x:v>
      </x:c>
      <x:c r="E35" s="6" t="n">
        <x:f>C35-D35</x:f>
        <x:v>-432000</x:v>
      </x:c>
      <x:c r="F35" s="6" t="n">
        <x:f>F34+E35</x:f>
        <x:v>-10621000</x:v>
      </x:c>
      <x:c r="G35" s="6" t="n">
        <x:v>104000</x:v>
      </x:c>
      <x:c r="H35" s="6" t="n">
        <x:v>536000</x:v>
      </x:c>
      <x:c r="I35" s="6" t="n">
        <x:v>207</x:v>
      </x:c>
      <x:c r="J35" s="6" t="n">
        <x:v>0</x:v>
      </x:c>
      <x:c r="K35" s="6" t="n">
        <x:v>0</x:v>
      </x:c>
      <x:c r="L35" s="6" t="n">
        <x:v>1</x:v>
      </x:c>
      <x:c r="M35" s="11" t="n">
        <x:v>0.745534188034188</x:v>
      </x:c>
      <x:c r="N35" s="6" t="n">
        <x:v>437000</x:v>
      </x:c>
    </x:row>
    <x:row r="36" ht="24" customHeight="1">
      <x:c r="A36" s="2" t="str">
        <x:v>2026-10-12_Day</x:v>
      </x:c>
      <x:c r="B36" s="6" t="str">
        <x:v>デイ</x:v>
      </x:c>
      <x:c r="C36" s="6" t="n">
        <x:v>73000</x:v>
      </x:c>
      <x:c r="D36" s="6" t="n">
        <x:v>255000</x:v>
      </x:c>
      <x:c r="E36" s="6" t="n">
        <x:f>C36-D36</x:f>
        <x:v>-182000</x:v>
      </x:c>
      <x:c r="F36" s="6" t="n">
        <x:f>F35+E36</x:f>
        <x:v>-10803000</x:v>
      </x:c>
      <x:c r="G36" s="6" t="n">
        <x:v>73000</x:v>
      </x:c>
      <x:c r="H36" s="6" t="n">
        <x:v>255000</x:v>
      </x:c>
      <x:c r="I36" s="6" t="n">
        <x:v>114</x:v>
      </x:c>
      <x:c r="J36" s="6" t="n">
        <x:v>0</x:v>
      </x:c>
      <x:c r="K36" s="6" t="n">
        <x:v>0</x:v>
      </x:c>
      <x:c r="L36" s="6" t="n">
        <x:v>1</x:v>
      </x:c>
      <x:c r="M36" s="11" t="n">
        <x:v>0.7298015873015873</x:v>
      </x:c>
      <x:c r="N36" s="6" t="n">
        <x:v>184000</x:v>
      </x:c>
    </x:row>
    <x:row r="37" ht="24" customHeight="1">
      <x:c r="A37" s="2" t="str">
        <x:v>2026-10-12_Night</x:v>
      </x:c>
      <x:c r="B37" s="6" t="str">
        <x:v>ナイト</x:v>
      </x:c>
      <x:c r="C37" s="6" t="n">
        <x:v>111000</x:v>
      </x:c>
      <x:c r="D37" s="6" t="n">
        <x:v>346000</x:v>
      </x:c>
      <x:c r="E37" s="6" t="n">
        <x:f>C37-D37</x:f>
        <x:v>-235000</x:v>
      </x:c>
      <x:c r="F37" s="6" t="n">
        <x:f>F36+E37</x:f>
        <x:v>-11038000</x:v>
      </x:c>
      <x:c r="G37" s="6" t="n">
        <x:v>111000</x:v>
      </x:c>
      <x:c r="H37" s="6" t="n">
        <x:v>346000</x:v>
      </x:c>
      <x:c r="I37" s="6" t="n">
        <x:v>163</x:v>
      </x:c>
      <x:c r="J37" s="6" t="n">
        <x:v>0</x:v>
      </x:c>
      <x:c r="K37" s="6" t="n">
        <x:v>0</x:v>
      </x:c>
      <x:c r="L37" s="6" t="n">
        <x:v>1</x:v>
      </x:c>
      <x:c r="M37" s="11" t="n">
        <x:v>0.721965811965812</x:v>
      </x:c>
      <x:c r="N37" s="6" t="n">
        <x:v>241000</x:v>
      </x:c>
    </x:row>
    <x:row r="38" ht="24" customHeight="1">
      <x:c r="A38" s="2" t="str">
        <x:v>2026-10-13_Day</x:v>
      </x:c>
      <x:c r="B38" s="6" t="str">
        <x:v>デイ</x:v>
      </x:c>
      <x:c r="C38" s="6" t="n">
        <x:v>250000</x:v>
      </x:c>
      <x:c r="D38" s="6" t="n">
        <x:v>749000</x:v>
      </x:c>
      <x:c r="E38" s="6" t="n">
        <x:f>C38-D38</x:f>
        <x:v>-499000</x:v>
      </x:c>
      <x:c r="F38" s="6" t="n">
        <x:f>F37+E38</x:f>
        <x:v>-11537000</x:v>
      </x:c>
      <x:c r="G38" s="6" t="n">
        <x:v>250000</x:v>
      </x:c>
      <x:c r="H38" s="6" t="n">
        <x:v>749000</x:v>
      </x:c>
      <x:c r="I38" s="6" t="n">
        <x:v>247</x:v>
      </x:c>
      <x:c r="J38" s="6" t="n">
        <x:v>0</x:v>
      </x:c>
      <x:c r="K38" s="6" t="n">
        <x:v>0</x:v>
      </x:c>
      <x:c r="L38" s="6" t="n">
        <x:v>1</x:v>
      </x:c>
      <x:c r="M38" s="11" t="n">
        <x:v>0.8118650793650793</x:v>
      </x:c>
      <x:c r="N38" s="6" t="n">
        <x:v>501000</x:v>
      </x:c>
    </x:row>
    <x:row r="39" ht="24" customHeight="1">
      <x:c r="A39" s="2" t="str">
        <x:v>2026-10-13_Night</x:v>
      </x:c>
      <x:c r="B39" s="6" t="str">
        <x:v>ナイト</x:v>
      </x:c>
      <x:c r="C39" s="6" t="n">
        <x:v>132000</x:v>
      </x:c>
      <x:c r="D39" s="6" t="n">
        <x:v>502000</x:v>
      </x:c>
      <x:c r="E39" s="6" t="n">
        <x:f>C39-D39</x:f>
        <x:v>-370000</x:v>
      </x:c>
      <x:c r="F39" s="6" t="n">
        <x:f>F38+E39</x:f>
        <x:v>-11907000</x:v>
      </x:c>
      <x:c r="G39" s="6" t="n">
        <x:v>132000</x:v>
      </x:c>
      <x:c r="H39" s="6" t="n">
        <x:v>502000</x:v>
      </x:c>
      <x:c r="I39" s="6" t="n">
        <x:v>221</x:v>
      </x:c>
      <x:c r="J39" s="6" t="n">
        <x:v>0</x:v>
      </x:c>
      <x:c r="K39" s="6" t="n">
        <x:v>0</x:v>
      </x:c>
      <x:c r="L39" s="6" t="n">
        <x:v>1</x:v>
      </x:c>
      <x:c r="M39" s="11" t="n">
        <x:v>0.7336752136752137</x:v>
      </x:c>
      <x:c r="N39" s="6" t="n">
        <x:v>373000</x:v>
      </x:c>
    </x:row>
    <x:row r="40" ht="24" customHeight="1">
      <x:c r="A40" s="2" t="str">
        <x:v>2026-10-14_Day</x:v>
      </x:c>
      <x:c r="B40" s="6" t="str">
        <x:v>デイ</x:v>
      </x:c>
      <x:c r="C40" s="6" t="n">
        <x:v>173000</x:v>
      </x:c>
      <x:c r="D40" s="6" t="n">
        <x:v>580000</x:v>
      </x:c>
      <x:c r="E40" s="6" t="n">
        <x:f>C40-D40</x:f>
        <x:v>-407000</x:v>
      </x:c>
      <x:c r="F40" s="6" t="n">
        <x:f>F39+E40</x:f>
        <x:v>-12314000</x:v>
      </x:c>
      <x:c r="G40" s="6" t="n">
        <x:v>173000</x:v>
      </x:c>
      <x:c r="H40" s="6" t="n">
        <x:v>580000</x:v>
      </x:c>
      <x:c r="I40" s="6" t="n">
        <x:v>227</x:v>
      </x:c>
      <x:c r="J40" s="6" t="n">
        <x:v>0</x:v>
      </x:c>
      <x:c r="K40" s="6" t="n">
        <x:v>0</x:v>
      </x:c>
      <x:c r="L40" s="6" t="n">
        <x:v>1</x:v>
      </x:c>
      <x:c r="M40" s="11" t="n">
        <x:v>0.8174603174603174</x:v>
      </x:c>
      <x:c r="N40" s="6" t="n">
        <x:v>413000</x:v>
      </x:c>
    </x:row>
    <x:row r="41" ht="24" customHeight="1">
      <x:c r="A41" s="2" t="str">
        <x:v>2026-10-14_Night</x:v>
      </x:c>
      <x:c r="B41" s="6" t="str">
        <x:v>ナイト</x:v>
      </x:c>
      <x:c r="C41" s="6" t="n">
        <x:v>308000</x:v>
      </x:c>
      <x:c r="D41" s="6" t="n">
        <x:v>662000</x:v>
      </x:c>
      <x:c r="E41" s="6" t="n">
        <x:f>C41-D41</x:f>
        <x:v>-354000</x:v>
      </x:c>
      <x:c r="F41" s="6" t="n">
        <x:f>F40+E41</x:f>
        <x:v>-12668000</x:v>
      </x:c>
      <x:c r="G41" s="6" t="n">
        <x:v>308000</x:v>
      </x:c>
      <x:c r="H41" s="6" t="n">
        <x:v>662000</x:v>
      </x:c>
      <x:c r="I41" s="6" t="n">
        <x:v>297</x:v>
      </x:c>
      <x:c r="J41" s="6" t="n">
        <x:v>0</x:v>
      </x:c>
      <x:c r="K41" s="6" t="n">
        <x:v>0</x:v>
      </x:c>
      <x:c r="L41" s="6" t="n">
        <x:v>1</x:v>
      </x:c>
      <x:c r="M41" s="11" t="n">
        <x:v>0.8043162393162393</x:v>
      </x:c>
      <x:c r="N41" s="6" t="n">
        <x:v>366000</x:v>
      </x:c>
    </x:row>
    <x:row r="42" ht="24" customHeight="1">
      <x:c r="A42" s="2" t="str">
        <x:v>2026-10-15_Day</x:v>
      </x:c>
      <x:c r="B42" s="6" t="str">
        <x:v>デイ</x:v>
      </x:c>
      <x:c r="C42" s="6" t="n">
        <x:v>372000</x:v>
      </x:c>
      <x:c r="D42" s="6" t="n">
        <x:v>847000</x:v>
      </x:c>
      <x:c r="E42" s="6" t="n">
        <x:f>C42-D42</x:f>
        <x:v>-475000</x:v>
      </x:c>
      <x:c r="F42" s="6" t="n">
        <x:f>F41+E42</x:f>
        <x:v>-13143000</x:v>
      </x:c>
      <x:c r="G42" s="6" t="n">
        <x:v>372000</x:v>
      </x:c>
      <x:c r="H42" s="6" t="n">
        <x:v>847000</x:v>
      </x:c>
      <x:c r="I42" s="6" t="n">
        <x:v>299</x:v>
      </x:c>
      <x:c r="J42" s="6" t="n">
        <x:v>0</x:v>
      </x:c>
      <x:c r="K42" s="6" t="n">
        <x:v>0</x:v>
      </x:c>
      <x:c r="L42" s="6" t="n">
        <x:v>1</x:v>
      </x:c>
      <x:c r="M42" s="11" t="n">
        <x:v>0.8091269841269841</x:v>
      </x:c>
      <x:c r="N42" s="6" t="n">
        <x:v>494000</x:v>
      </x:c>
    </x:row>
    <x:row r="43" ht="24" customHeight="1">
      <x:c r="A43" s="2" t="str">
        <x:v>2026-10-15_Night</x:v>
      </x:c>
      <x:c r="B43" s="6" t="str">
        <x:v>ナイト</x:v>
      </x:c>
      <x:c r="C43" s="6" t="n">
        <x:v>383000</x:v>
      </x:c>
      <x:c r="D43" s="6" t="n">
        <x:v>966000</x:v>
      </x:c>
      <x:c r="E43" s="6" t="n">
        <x:f>C43-D43</x:f>
        <x:v>-583000</x:v>
      </x:c>
      <x:c r="F43" s="6" t="n">
        <x:f>F42+E43</x:f>
        <x:v>-13726000</x:v>
      </x:c>
      <x:c r="G43" s="6" t="n">
        <x:v>383000</x:v>
      </x:c>
      <x:c r="H43" s="6" t="n">
        <x:v>966000</x:v>
      </x:c>
      <x:c r="I43" s="6" t="n">
        <x:v>361</x:v>
      </x:c>
      <x:c r="J43" s="6" t="n">
        <x:v>0</x:v>
      </x:c>
      <x:c r="K43" s="6" t="n">
        <x:v>0</x:v>
      </x:c>
      <x:c r="L43" s="6" t="n">
        <x:v>1</x:v>
      </x:c>
      <x:c r="M43" s="11" t="n">
        <x:v>0.7667735042735043</x:v>
      </x:c>
      <x:c r="N43" s="6" t="n">
        <x:v>588000</x:v>
      </x:c>
    </x:row>
    <x:row r="44" ht="24" customHeight="1">
      <x:c r="A44" s="2" t="str">
        <x:v>2026-10-16_Day</x:v>
      </x:c>
      <x:c r="B44" s="6" t="str">
        <x:v>デイ</x:v>
      </x:c>
      <x:c r="C44" s="6" t="n">
        <x:v>232000</x:v>
      </x:c>
      <x:c r="D44" s="6" t="n">
        <x:v>717000</x:v>
      </x:c>
      <x:c r="E44" s="6" t="n">
        <x:f>C44-D44</x:f>
        <x:v>-485000</x:v>
      </x:c>
      <x:c r="F44" s="6" t="n">
        <x:f>F43+E44</x:f>
        <x:v>-14211000</x:v>
      </x:c>
      <x:c r="G44" s="6" t="n">
        <x:v>232000</x:v>
      </x:c>
      <x:c r="H44" s="6" t="n">
        <x:v>717000</x:v>
      </x:c>
      <x:c r="I44" s="6" t="n">
        <x:v>248</x:v>
      </x:c>
      <x:c r="J44" s="6" t="n">
        <x:v>0</x:v>
      </x:c>
      <x:c r="K44" s="6" t="n">
        <x:v>0</x:v>
      </x:c>
      <x:c r="L44" s="6" t="n">
        <x:v>1</x:v>
      </x:c>
      <x:c r="M44" s="11" t="n">
        <x:v>0.8232539682539682</x:v>
      </x:c>
      <x:c r="N44" s="6" t="n">
        <x:v>488000</x:v>
      </x:c>
    </x:row>
    <x:row r="45" ht="24" customHeight="1">
      <x:c r="A45" s="2" t="str">
        <x:v>2026-10-16_Night</x:v>
      </x:c>
      <x:c r="B45" s="6" t="str">
        <x:v>ナイト</x:v>
      </x:c>
      <x:c r="C45" s="6" t="n">
        <x:v>389000</x:v>
      </x:c>
      <x:c r="D45" s="6" t="n">
        <x:v>948000</x:v>
      </x:c>
      <x:c r="E45" s="6" t="n">
        <x:f>C45-D45</x:f>
        <x:v>-559000</x:v>
      </x:c>
      <x:c r="F45" s="6" t="n">
        <x:f>F44+E45</x:f>
        <x:v>-14770000</x:v>
      </x:c>
      <x:c r="G45" s="6" t="n">
        <x:v>389000</x:v>
      </x:c>
      <x:c r="H45" s="6" t="n">
        <x:v>948000</x:v>
      </x:c>
      <x:c r="I45" s="6" t="n">
        <x:v>364</x:v>
      </x:c>
      <x:c r="J45" s="6" t="n">
        <x:v>0</x:v>
      </x:c>
      <x:c r="K45" s="6" t="n">
        <x:v>0</x:v>
      </x:c>
      <x:c r="L45" s="6" t="n">
        <x:v>1</x:v>
      </x:c>
      <x:c r="M45" s="11" t="n">
        <x:v>0.7823931623931624</x:v>
      </x:c>
      <x:c r="N45" s="6" t="n">
        <x:v>568000</x:v>
      </x:c>
    </x:row>
    <x:row r="46" ht="24" customHeight="1">
      <x:c r="A46" s="2" t="str">
        <x:v>2026-10-19_Day</x:v>
      </x:c>
      <x:c r="B46" s="6" t="str">
        <x:v>デイ</x:v>
      </x:c>
      <x:c r="C46" s="6" t="n">
        <x:v>301000</x:v>
      </x:c>
      <x:c r="D46" s="6" t="n">
        <x:v>743000</x:v>
      </x:c>
      <x:c r="E46" s="6" t="n">
        <x:f>C46-D46</x:f>
        <x:v>-442000</x:v>
      </x:c>
      <x:c r="F46" s="6" t="n">
        <x:f>F45+E46</x:f>
        <x:v>-15212000</x:v>
      </x:c>
      <x:c r="G46" s="6" t="n">
        <x:v>301000</x:v>
      </x:c>
      <x:c r="H46" s="6" t="n">
        <x:v>743000</x:v>
      </x:c>
      <x:c r="I46" s="6" t="n">
        <x:v>269</x:v>
      </x:c>
      <x:c r="J46" s="6" t="n">
        <x:v>0</x:v>
      </x:c>
      <x:c r="K46" s="6" t="n">
        <x:v>0</x:v>
      </x:c>
      <x:c r="L46" s="6" t="n">
        <x:v>1</x:v>
      </x:c>
      <x:c r="M46" s="11" t="n">
        <x:v>0.7884920634920635</x:v>
      </x:c>
      <x:c r="N46" s="6" t="n">
        <x:v>461000</x:v>
      </x:c>
    </x:row>
    <x:row r="47" ht="24" customHeight="1">
      <x:c r="A47" s="2" t="str">
        <x:v>2026-10-19_Night</x:v>
      </x:c>
      <x:c r="B47" s="6" t="str">
        <x:v>ナイト</x:v>
      </x:c>
      <x:c r="C47" s="6" t="n">
        <x:v>237000</x:v>
      </x:c>
      <x:c r="D47" s="6" t="n">
        <x:v>763000</x:v>
      </x:c>
      <x:c r="E47" s="6" t="n">
        <x:f>C47-D47</x:f>
        <x:v>-526000</x:v>
      </x:c>
      <x:c r="F47" s="6" t="n">
        <x:f>F46+E47</x:f>
        <x:v>-15738000</x:v>
      </x:c>
      <x:c r="G47" s="6" t="n">
        <x:v>237000</x:v>
      </x:c>
      <x:c r="H47" s="6" t="n">
        <x:v>763000</x:v>
      </x:c>
      <x:c r="I47" s="6" t="n">
        <x:v>304</x:v>
      </x:c>
      <x:c r="J47" s="6" t="n">
        <x:v>0</x:v>
      </x:c>
      <x:c r="K47" s="6" t="n">
        <x:v>0</x:v>
      </x:c>
      <x:c r="L47" s="6" t="n">
        <x:v>1</x:v>
      </x:c>
      <x:c r="M47" s="11" t="n">
        <x:v>0.8011111111111111</x:v>
      </x:c>
      <x:c r="N47" s="6" t="n">
        <x:v>540000</x:v>
      </x:c>
    </x:row>
    <x:row r="48" ht="24" customHeight="1">
      <x:c r="A48" s="2" t="str">
        <x:v>2026-10-20_Day</x:v>
      </x:c>
      <x:c r="B48" s="6" t="str">
        <x:v>デイ</x:v>
      </x:c>
      <x:c r="C48" s="6" t="n">
        <x:v>325000</x:v>
      </x:c>
      <x:c r="D48" s="6" t="n">
        <x:v>650000</x:v>
      </x:c>
      <x:c r="E48" s="6" t="n">
        <x:f>C48-D48</x:f>
        <x:v>-325000</x:v>
      </x:c>
      <x:c r="F48" s="6" t="n">
        <x:f>F47+E48</x:f>
        <x:v>-16063000</x:v>
      </x:c>
      <x:c r="G48" s="6" t="n">
        <x:v>325000</x:v>
      </x:c>
      <x:c r="H48" s="6" t="n">
        <x:v>650000</x:v>
      </x:c>
      <x:c r="I48" s="6" t="n">
        <x:v>247</x:v>
      </x:c>
      <x:c r="J48" s="6" t="n">
        <x:v>0</x:v>
      </x:c>
      <x:c r="K48" s="6" t="n">
        <x:v>0</x:v>
      </x:c>
      <x:c r="L48" s="6" t="n">
        <x:v>1</x:v>
      </x:c>
      <x:c r="M48" s="11" t="n">
        <x:v>0.8296428571428571</x:v>
      </x:c>
      <x:c r="N48" s="6" t="n">
        <x:v>333000</x:v>
      </x:c>
    </x:row>
    <x:row r="49" ht="24" customHeight="1">
      <x:c r="A49" s="2" t="str">
        <x:v>2026-10-20_Night</x:v>
      </x:c>
      <x:c r="B49" s="6" t="str">
        <x:v>ナイト</x:v>
      </x:c>
      <x:c r="C49" s="6" t="n">
        <x:v>324000</x:v>
      </x:c>
      <x:c r="D49" s="6" t="n">
        <x:v>733000</x:v>
      </x:c>
      <x:c r="E49" s="6" t="n">
        <x:f>C49-D49</x:f>
        <x:v>-409000</x:v>
      </x:c>
      <x:c r="F49" s="6" t="n">
        <x:f>F48+E49</x:f>
        <x:v>-16472000</x:v>
      </x:c>
      <x:c r="G49" s="6" t="n">
        <x:v>324000</x:v>
      </x:c>
      <x:c r="H49" s="6" t="n">
        <x:v>733000</x:v>
      </x:c>
      <x:c r="I49" s="6" t="n">
        <x:v>312</x:v>
      </x:c>
      <x:c r="J49" s="6" t="n">
        <x:v>0</x:v>
      </x:c>
      <x:c r="K49" s="6" t="n">
        <x:v>0</x:v>
      </x:c>
      <x:c r="L49" s="6" t="n">
        <x:v>1</x:v>
      </x:c>
      <x:c r="M49" s="11" t="n">
        <x:v>0.7493589743589744</x:v>
      </x:c>
      <x:c r="N49" s="6" t="n">
        <x:v>419000</x:v>
      </x:c>
    </x:row>
    <x:row r="50" ht="24" customHeight="1">
      <x:c r="A50" s="2" t="str">
        <x:v>2026-10-21_Day</x:v>
      </x:c>
      <x:c r="B50" s="6" t="str">
        <x:v>デイ</x:v>
      </x:c>
      <x:c r="C50" s="6" t="n">
        <x:v>236000</x:v>
      </x:c>
      <x:c r="D50" s="6" t="n">
        <x:v>651000</x:v>
      </x:c>
      <x:c r="E50" s="6" t="n">
        <x:f>C50-D50</x:f>
        <x:v>-415000</x:v>
      </x:c>
      <x:c r="F50" s="6" t="n">
        <x:f>F49+E50</x:f>
        <x:v>-16887000</x:v>
      </x:c>
      <x:c r="G50" s="6" t="n">
        <x:v>236000</x:v>
      </x:c>
      <x:c r="H50" s="6" t="n">
        <x:v>651000</x:v>
      </x:c>
      <x:c r="I50" s="6" t="n">
        <x:v>260</x:v>
      </x:c>
      <x:c r="J50" s="6" t="n">
        <x:v>0</x:v>
      </x:c>
      <x:c r="K50" s="6" t="n">
        <x:v>0</x:v>
      </x:c>
      <x:c r="L50" s="6" t="n">
        <x:v>1</x:v>
      </x:c>
      <x:c r="M50" s="11" t="n">
        <x:v>0.811984126984127</x:v>
      </x:c>
      <x:c r="N50" s="6" t="n">
        <x:v>420000</x:v>
      </x:c>
    </x:row>
    <x:row r="51" ht="24" customHeight="1">
      <x:c r="A51" s="2" t="str">
        <x:v>2026-10-21_Night</x:v>
      </x:c>
      <x:c r="B51" s="6" t="str">
        <x:v>ナイト</x:v>
      </x:c>
      <x:c r="C51" s="6" t="n">
        <x:v>291000</x:v>
      </x:c>
      <x:c r="D51" s="6" t="n">
        <x:v>604000</x:v>
      </x:c>
      <x:c r="E51" s="6" t="n">
        <x:f>C51-D51</x:f>
        <x:v>-313000</x:v>
      </x:c>
      <x:c r="F51" s="6" t="n">
        <x:f>F50+E51</x:f>
        <x:v>-17200000</x:v>
      </x:c>
      <x:c r="G51" s="6" t="n">
        <x:v>291000</x:v>
      </x:c>
      <x:c r="H51" s="6" t="n">
        <x:v>604000</x:v>
      </x:c>
      <x:c r="I51" s="6" t="n">
        <x:v>262</x:v>
      </x:c>
      <x:c r="J51" s="6" t="n">
        <x:v>0</x:v>
      </x:c>
      <x:c r="K51" s="6" t="n">
        <x:v>0</x:v>
      </x:c>
      <x:c r="L51" s="6" t="n">
        <x:v>1</x:v>
      </x:c>
      <x:c r="M51" s="11" t="n">
        <x:v>0.7688034188034188</x:v>
      </x:c>
      <x:c r="N51" s="6" t="n">
        <x:v>333000</x:v>
      </x:c>
    </x:row>
    <x:row r="52" ht="24" customHeight="1">
      <x:c r="A52" s="2" t="str">
        <x:v>2026-10-22_Day</x:v>
      </x:c>
      <x:c r="B52" s="6" t="str">
        <x:v>デイ</x:v>
      </x:c>
      <x:c r="C52" s="6" t="n">
        <x:v>285000</x:v>
      </x:c>
      <x:c r="D52" s="6" t="n">
        <x:v>695000</x:v>
      </x:c>
      <x:c r="E52" s="6" t="n">
        <x:f>C52-D52</x:f>
        <x:v>-410000</x:v>
      </x:c>
      <x:c r="F52" s="6" t="n">
        <x:f>F51+E52</x:f>
        <x:v>-17610000</x:v>
      </x:c>
      <x:c r="G52" s="6" t="n">
        <x:v>285000</x:v>
      </x:c>
      <x:c r="H52" s="6" t="n">
        <x:v>695000</x:v>
      </x:c>
      <x:c r="I52" s="6" t="n">
        <x:v>260</x:v>
      </x:c>
      <x:c r="J52" s="6" t="n">
        <x:v>0</x:v>
      </x:c>
      <x:c r="K52" s="6" t="n">
        <x:v>0</x:v>
      </x:c>
      <x:c r="L52" s="6" t="n">
        <x:v>1</x:v>
      </x:c>
      <x:c r="M52" s="11" t="n">
        <x:v>0.8145634920634921</x:v>
      </x:c>
      <x:c r="N52" s="6" t="n">
        <x:v>441000</x:v>
      </x:c>
    </x:row>
    <x:row r="53" ht="24" customHeight="1">
      <x:c r="A53" s="2" t="str">
        <x:v>2026-10-22_Night</x:v>
      </x:c>
      <x:c r="B53" s="6" t="str">
        <x:v>ナイト</x:v>
      </x:c>
      <x:c r="C53" s="6" t="n">
        <x:v>388000</x:v>
      </x:c>
      <x:c r="D53" s="6" t="n">
        <x:v>793000</x:v>
      </x:c>
      <x:c r="E53" s="6" t="n">
        <x:f>C53-D53</x:f>
        <x:v>-405000</x:v>
      </x:c>
      <x:c r="F53" s="6" t="n">
        <x:f>F52+E53</x:f>
        <x:v>-18015000</x:v>
      </x:c>
      <x:c r="G53" s="6" t="n">
        <x:v>388000</x:v>
      </x:c>
      <x:c r="H53" s="6" t="n">
        <x:v>793000</x:v>
      </x:c>
      <x:c r="I53" s="6" t="n">
        <x:v>341</x:v>
      </x:c>
      <x:c r="J53" s="6" t="n">
        <x:v>0</x:v>
      </x:c>
      <x:c r="K53" s="6" t="n">
        <x:v>0</x:v>
      </x:c>
      <x:c r="L53" s="6" t="n">
        <x:v>1</x:v>
      </x:c>
      <x:c r="M53" s="11" t="n">
        <x:v>0.787051282051282</x:v>
      </x:c>
      <x:c r="N53" s="6" t="n">
        <x:v>414000</x:v>
      </x:c>
    </x:row>
    <x:row r="54" ht="24" customHeight="1">
      <x:c r="A54" s="2" t="str">
        <x:v>2026-10-23_Day</x:v>
      </x:c>
      <x:c r="B54" s="6" t="str">
        <x:v>デイ</x:v>
      </x:c>
      <x:c r="C54" s="6" t="n">
        <x:v>545000</x:v>
      </x:c>
      <x:c r="D54" s="6" t="n">
        <x:v>1054000</x:v>
      </x:c>
      <x:c r="E54" s="6" t="n">
        <x:f>C54-D54</x:f>
        <x:v>-509000</x:v>
      </x:c>
      <x:c r="F54" s="6" t="n">
        <x:f>F53+E54</x:f>
        <x:v>-18524000</x:v>
      </x:c>
      <x:c r="G54" s="6" t="n">
        <x:v>545000</x:v>
      </x:c>
      <x:c r="H54" s="6" t="n">
        <x:v>1054000</x:v>
      </x:c>
      <x:c r="I54" s="6" t="n">
        <x:v>374</x:v>
      </x:c>
      <x:c r="J54" s="6" t="n">
        <x:v>0</x:v>
      </x:c>
      <x:c r="K54" s="6" t="n">
        <x:v>0</x:v>
      </x:c>
      <x:c r="L54" s="6" t="n">
        <x:v>1</x:v>
      </x:c>
      <x:c r="M54" s="11" t="n">
        <x:v>0.7825</x:v>
      </x:c>
      <x:c r="N54" s="6" t="n">
        <x:v>514000</x:v>
      </x:c>
    </x:row>
    <x:row r="55" ht="24" customHeight="1">
      <x:c r="A55" s="2" t="str">
        <x:v>2026-10-23_Night</x:v>
      </x:c>
      <x:c r="B55" s="6" t="str">
        <x:v>ナイト</x:v>
      </x:c>
      <x:c r="C55" s="6" t="n">
        <x:v>296000</x:v>
      </x:c>
      <x:c r="D55" s="6" t="n">
        <x:v>851000</x:v>
      </x:c>
      <x:c r="E55" s="6" t="n">
        <x:f>C55-D55</x:f>
        <x:v>-555000</x:v>
      </x:c>
      <x:c r="F55" s="6" t="n">
        <x:f>F54+E55</x:f>
        <x:v>-19079000</x:v>
      </x:c>
      <x:c r="G55" s="6" t="n">
        <x:v>296000</x:v>
      </x:c>
      <x:c r="H55" s="6" t="n">
        <x:v>851000</x:v>
      </x:c>
      <x:c r="I55" s="6" t="n">
        <x:v>352</x:v>
      </x:c>
      <x:c r="J55" s="6" t="n">
        <x:v>0</x:v>
      </x:c>
      <x:c r="K55" s="6" t="n">
        <x:v>0</x:v>
      </x:c>
      <x:c r="L55" s="6" t="n">
        <x:v>1</x:v>
      </x:c>
      <x:c r="M55" s="11" t="n">
        <x:v>0.7673504273504274</x:v>
      </x:c>
      <x:c r="N55" s="6" t="n">
        <x:v>555000</x:v>
      </x:c>
    </x:row>
    <x:row r="56" ht="24" customHeight="1">
      <x:c r="A56" s="2" t="str">
        <x:v>2026-10-26_Day</x:v>
      </x:c>
      <x:c r="B56" s="6" t="str">
        <x:v>デイ</x:v>
      </x:c>
      <x:c r="C56" s="6" t="n">
        <x:v>344000</x:v>
      </x:c>
      <x:c r="D56" s="6" t="n">
        <x:v>732000</x:v>
      </x:c>
      <x:c r="E56" s="6" t="n">
        <x:f>C56-D56</x:f>
        <x:v>-388000</x:v>
      </x:c>
      <x:c r="F56" s="6" t="n">
        <x:f>F55+E56</x:f>
        <x:v>-19467000</x:v>
      </x:c>
      <x:c r="G56" s="6" t="n">
        <x:v>344000</x:v>
      </x:c>
      <x:c r="H56" s="6" t="n">
        <x:v>732000</x:v>
      </x:c>
      <x:c r="I56" s="6" t="n">
        <x:v>272</x:v>
      </x:c>
      <x:c r="J56" s="6" t="n">
        <x:v>0</x:v>
      </x:c>
      <x:c r="K56" s="6" t="n">
        <x:v>0</x:v>
      </x:c>
      <x:c r="L56" s="6" t="n">
        <x:v>1</x:v>
      </x:c>
      <x:c r="M56" s="11" t="n">
        <x:v>0.7992063492063493</x:v>
      </x:c>
      <x:c r="N56" s="6" t="n">
        <x:v>401000</x:v>
      </x:c>
    </x:row>
    <x:row r="57" ht="24" customHeight="1">
      <x:c r="A57" s="15" t="str">
        <x:v>累計／平均／最大</x:v>
      </x:c>
      <x:c r="B57" s="16"/>
      <x:c r="C57" s="16" t="n">
        <x:f>SUM(C6:C56)</x:f>
        <x:v>11610000</x:v>
      </x:c>
      <x:c r="D57" s="16" t="n">
        <x:f>SUM(D6:D56)</x:f>
        <x:v>31077000</x:v>
      </x:c>
      <x:c r="E57" s="16" t="n">
        <x:f>C57-D57</x:f>
        <x:v>-19467000</x:v>
      </x:c>
      <x:c r="F57" s="16" t="n">
        <x:f>F56</x:f>
        <x:v>-19467000</x:v>
      </x:c>
      <x:c r="G57" s="16" t="n">
        <x:f>SUM(G6:G56)</x:f>
        <x:v>11610000</x:v>
      </x:c>
      <x:c r="H57" s="16" t="n">
        <x:f>SUM(H6:H56)</x:f>
        <x:v>31077000</x:v>
      </x:c>
      <x:c r="I57" s="16" t="n">
        <x:f>SUM(I6:I56)</x:f>
        <x:v>12436</x:v>
      </x:c>
      <x:c r="J57" s="16" t="n">
        <x:f>SUM(J6:J56)</x:f>
        <x:v>0</x:v>
      </x:c>
      <x:c r="K57" s="16" t="n">
        <x:f>SUM(K6:K56)</x:f>
        <x:v>0</x:v>
      </x:c>
      <x:c r="L57" s="16" t="n">
        <x:f>MAX(L6:L56)</x:f>
        <x:v>1</x:v>
      </x:c>
      <x:c r="M57" s="17" t="n">
        <x:f>AVERAGE(M6:M56)</x:f>
        <x:v>0.774542842778137</x:v>
      </x:c>
      <x:c r="N57" s="16" t="n">
        <x:f>MAX(N6:N56)</x:f>
        <x:v>588000</x:v>
      </x:c>
    </x:row>
  </x:sheetData>
  <x:conditionalFormatting sqref="E6:F56">
    <x:cfRule type="cellIs" dxfId="32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bd4a7583b6a47ef"/>
  </x:tableParts>
</x:worksheet>
</file>

<file path=xl/worksheets/sheet3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1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4" customHeight="1">
      <x:c r="A1" s="3" t="str">
        <x:v>日経 F10　各セッションの利益・損失・収支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A2" s="4" t="str">
        <x:v>2026/09/21〜10/26デイ・51完了場。日経mini／TOPIXmini各上限10枚・手数料0。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4" customHeight="1">
      <x:c r="A3" s="4" t="str">
        <x:v>180秒の時間加重平均を30秒前と比較。固定10枚、利益追尾＋傾き反転・増勢後の半減で返済。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4" customHeight="1">
      <x:c r="A4" s="4" t="str">
        <x:v>利益・損失＝FIFO返済配賦別。親＝初回から全返済まで。ラージ気配による模型で、mini実約定の検証ではありません。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42" customHeight="1">
      <x:c r="A5" s="10" t="str">
        <x:v>セッション</x:v>
      </x:c>
      <x:c r="B5" s="10" t="str">
        <x:v>区分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親利益（円）</x:v>
      </x:c>
      <x:c r="H5" s="10" t="str">
        <x:v>親損失（円）</x:v>
      </x:c>
      <x:c r="I5" s="10" t="str">
        <x:v>初回件数</x:v>
      </x:c>
      <x:c r="J5" s="10" t="str">
        <x:v>追加件数</x:v>
      </x:c>
      <x:c r="K5" s="10" t="str">
        <x:v>縮小件数</x:v>
      </x:c>
      <x:c r="L5" s="10" t="str">
        <x:v>最大保有枚数</x:v>
      </x:c>
      <x:c r="M5" s="10" t="str">
        <x:v>保有時間率</x:v>
      </x:c>
      <x:c r="N5" s="10" t="str">
        <x:v>時価最大DD（円）</x:v>
      </x:c>
    </x:row>
    <x:row r="6" ht="24" customHeight="1">
      <x:c r="A6" s="2" t="str">
        <x:v>2026-09-21_Day</x:v>
      </x:c>
      <x:c r="B6" s="6" t="str">
        <x:v>デイ</x:v>
      </x:c>
      <x:c r="C6" s="6" t="n">
        <x:v>1000000</x:v>
      </x:c>
      <x:c r="D6" s="6" t="n">
        <x:v>3160000</x:v>
      </x:c>
      <x:c r="E6" s="6" t="n">
        <x:f>C6-D6</x:f>
        <x:v>-2160000</x:v>
      </x:c>
      <x:c r="F6" s="6" t="n">
        <x:f>E6</x:f>
        <x:v>-2160000</x:v>
      </x:c>
      <x:c r="G6" s="6" t="n">
        <x:v>1000000</x:v>
      </x:c>
      <x:c r="H6" s="6" t="n">
        <x:v>3160000</x:v>
      </x:c>
      <x:c r="I6" s="6" t="n">
        <x:v>115</x:v>
      </x:c>
      <x:c r="J6" s="6" t="n">
        <x:v>0</x:v>
      </x:c>
      <x:c r="K6" s="6" t="n">
        <x:v>0</x:v>
      </x:c>
      <x:c r="L6" s="6" t="n">
        <x:v>10</x:v>
      </x:c>
      <x:c r="M6" s="11" t="n">
        <x:v>0.7277777777777777</x:v>
      </x:c>
      <x:c r="N6" s="6" t="n">
        <x:v>2180000</x:v>
      </x:c>
    </x:row>
    <x:row r="7" ht="24" customHeight="1">
      <x:c r="A7" s="2" t="str">
        <x:v>2026-09-21_Night</x:v>
      </x:c>
      <x:c r="B7" s="6" t="str">
        <x:v>ナイト</x:v>
      </x:c>
      <x:c r="C7" s="6" t="n">
        <x:v>950000</x:v>
      </x:c>
      <x:c r="D7" s="6" t="n">
        <x:v>2860000</x:v>
      </x:c>
      <x:c r="E7" s="6" t="n">
        <x:f>C7-D7</x:f>
        <x:v>-1910000</x:v>
      </x:c>
      <x:c r="F7" s="6" t="n">
        <x:f>F6+E7</x:f>
        <x:v>-4070000</x:v>
      </x:c>
      <x:c r="G7" s="6" t="n">
        <x:v>950000</x:v>
      </x:c>
      <x:c r="H7" s="6" t="n">
        <x:v>2860000</x:v>
      </x:c>
      <x:c r="I7" s="6" t="n">
        <x:v>145</x:v>
      </x:c>
      <x:c r="J7" s="6" t="n">
        <x:v>0</x:v>
      </x:c>
      <x:c r="K7" s="6" t="n">
        <x:v>0</x:v>
      </x:c>
      <x:c r="L7" s="6" t="n">
        <x:v>10</x:v>
      </x:c>
      <x:c r="M7" s="11" t="n">
        <x:v>0.5997435897435898</x:v>
      </x:c>
      <x:c r="N7" s="6" t="n">
        <x:v>1960000</x:v>
      </x:c>
    </x:row>
    <x:row r="8" ht="24" customHeight="1">
      <x:c r="A8" s="2" t="str">
        <x:v>2026-09-22_Day</x:v>
      </x:c>
      <x:c r="B8" s="6" t="str">
        <x:v>デイ</x:v>
      </x:c>
      <x:c r="C8" s="6" t="n">
        <x:v>1220000</x:v>
      </x:c>
      <x:c r="D8" s="6" t="n">
        <x:v>3780000</x:v>
      </x:c>
      <x:c r="E8" s="6" t="n">
        <x:f>C8-D8</x:f>
        <x:v>-2560000</x:v>
      </x:c>
      <x:c r="F8" s="6" t="n">
        <x:f>F7+E8</x:f>
        <x:v>-6630000</x:v>
      </x:c>
      <x:c r="G8" s="6" t="n">
        <x:v>1220000</x:v>
      </x:c>
      <x:c r="H8" s="6" t="n">
        <x:v>3780000</x:v>
      </x:c>
      <x:c r="I8" s="6" t="n">
        <x:v>153</x:v>
      </x:c>
      <x:c r="J8" s="6" t="n">
        <x:v>0</x:v>
      </x:c>
      <x:c r="K8" s="6" t="n">
        <x:v>0</x:v>
      </x:c>
      <x:c r="L8" s="6" t="n">
        <x:v>10</x:v>
      </x:c>
      <x:c r="M8" s="11" t="n">
        <x:v>0.736984126984127</x:v>
      </x:c>
      <x:c r="N8" s="6" t="n">
        <x:v>2770000</x:v>
      </x:c>
    </x:row>
    <x:row r="9" ht="24" customHeight="1">
      <x:c r="A9" s="2" t="str">
        <x:v>2026-09-22_Night</x:v>
      </x:c>
      <x:c r="B9" s="6" t="str">
        <x:v>ナイト</x:v>
      </x:c>
      <x:c r="C9" s="6" t="n">
        <x:v>2080000</x:v>
      </x:c>
      <x:c r="D9" s="6" t="n">
        <x:v>4820000</x:v>
      </x:c>
      <x:c r="E9" s="6" t="n">
        <x:f>C9-D9</x:f>
        <x:v>-2740000</x:v>
      </x:c>
      <x:c r="F9" s="6" t="n">
        <x:f>F8+E9</x:f>
        <x:v>-9370000</x:v>
      </x:c>
      <x:c r="G9" s="6" t="n">
        <x:v>2080000</x:v>
      </x:c>
      <x:c r="H9" s="6" t="n">
        <x:v>4820000</x:v>
      </x:c>
      <x:c r="I9" s="6" t="n">
        <x:v>204</x:v>
      </x:c>
      <x:c r="J9" s="6" t="n">
        <x:v>0</x:v>
      </x:c>
      <x:c r="K9" s="6" t="n">
        <x:v>0</x:v>
      </x:c>
      <x:c r="L9" s="6" t="n">
        <x:v>10</x:v>
      </x:c>
      <x:c r="M9" s="11" t="n">
        <x:v>0.7042307692307692</x:v>
      </x:c>
      <x:c r="N9" s="6" t="n">
        <x:v>2910000</x:v>
      </x:c>
    </x:row>
    <x:row r="10" ht="24" customHeight="1">
      <x:c r="A10" s="2" t="str">
        <x:v>2026-09-23_Day</x:v>
      </x:c>
      <x:c r="B10" s="6" t="str">
        <x:v>デイ</x:v>
      </x:c>
      <x:c r="C10" s="6" t="n">
        <x:v>550000</x:v>
      </x:c>
      <x:c r="D10" s="6" t="n">
        <x:v>3220000</x:v>
      </x:c>
      <x:c r="E10" s="6" t="n">
        <x:f>C10-D10</x:f>
        <x:v>-2670000</x:v>
      </x:c>
      <x:c r="F10" s="6" t="n">
        <x:f>F9+E10</x:f>
        <x:v>-12040000</x:v>
      </x:c>
      <x:c r="G10" s="6" t="n">
        <x:v>550000</x:v>
      </x:c>
      <x:c r="H10" s="6" t="n">
        <x:v>3220000</x:v>
      </x:c>
      <x:c r="I10" s="6" t="n">
        <x:v>122</x:v>
      </x:c>
      <x:c r="J10" s="6" t="n">
        <x:v>0</x:v>
      </x:c>
      <x:c r="K10" s="6" t="n">
        <x:v>0</x:v>
      </x:c>
      <x:c r="L10" s="6" t="n">
        <x:v>10</x:v>
      </x:c>
      <x:c r="M10" s="11" t="n">
        <x:v>0.6986904761904762</x:v>
      </x:c>
      <x:c r="N10" s="6" t="n">
        <x:v>2720000</x:v>
      </x:c>
    </x:row>
    <x:row r="11" ht="24" customHeight="1">
      <x:c r="A11" s="2" t="str">
        <x:v>2026-09-23_Night</x:v>
      </x:c>
      <x:c r="B11" s="6" t="str">
        <x:v>ナイト</x:v>
      </x:c>
      <x:c r="C11" s="6" t="n">
        <x:v>1210000</x:v>
      </x:c>
      <x:c r="D11" s="6" t="n">
        <x:v>4060000</x:v>
      </x:c>
      <x:c r="E11" s="6" t="n">
        <x:f>C11-D11</x:f>
        <x:v>-2850000</x:v>
      </x:c>
      <x:c r="F11" s="6" t="n">
        <x:f>F10+E11</x:f>
        <x:v>-14890000</x:v>
      </x:c>
      <x:c r="G11" s="6" t="n">
        <x:v>1210000</x:v>
      </x:c>
      <x:c r="H11" s="6" t="n">
        <x:v>4060000</x:v>
      </x:c>
      <x:c r="I11" s="6" t="n">
        <x:v>179</x:v>
      </x:c>
      <x:c r="J11" s="6" t="n">
        <x:v>0</x:v>
      </x:c>
      <x:c r="K11" s="6" t="n">
        <x:v>0</x:v>
      </x:c>
      <x:c r="L11" s="6" t="n">
        <x:v>10</x:v>
      </x:c>
      <x:c r="M11" s="11" t="n">
        <x:v>0.7372435897435897</x:v>
      </x:c>
      <x:c r="N11" s="6" t="n">
        <x:v>2860000</x:v>
      </x:c>
    </x:row>
    <x:row r="12" ht="24" customHeight="1">
      <x:c r="A12" s="2" t="str">
        <x:v>2026-09-24_Day</x:v>
      </x:c>
      <x:c r="B12" s="6" t="str">
        <x:v>デイ</x:v>
      </x:c>
      <x:c r="C12" s="6" t="n">
        <x:v>2350000</x:v>
      </x:c>
      <x:c r="D12" s="6" t="n">
        <x:v>5010000</x:v>
      </x:c>
      <x:c r="E12" s="6" t="n">
        <x:f>C12-D12</x:f>
        <x:v>-2660000</x:v>
      </x:c>
      <x:c r="F12" s="6" t="n">
        <x:f>F11+E12</x:f>
        <x:v>-17550000</x:v>
      </x:c>
      <x:c r="G12" s="6" t="n">
        <x:v>2350000</x:v>
      </x:c>
      <x:c r="H12" s="6" t="n">
        <x:v>5010000</x:v>
      </x:c>
      <x:c r="I12" s="6" t="n">
        <x:v>216</x:v>
      </x:c>
      <x:c r="J12" s="6" t="n">
        <x:v>0</x:v>
      </x:c>
      <x:c r="K12" s="6" t="n">
        <x:v>0</x:v>
      </x:c>
      <x:c r="L12" s="6" t="n">
        <x:v>10</x:v>
      </x:c>
      <x:c r="M12" s="11" t="n">
        <x:v>0.8196031746031746</x:v>
      </x:c>
      <x:c r="N12" s="6" t="n">
        <x:v>2800000</x:v>
      </x:c>
    </x:row>
    <x:row r="13" ht="24" customHeight="1">
      <x:c r="A13" s="2" t="str">
        <x:v>2026-09-24_Night</x:v>
      </x:c>
      <x:c r="B13" s="6" t="str">
        <x:v>ナイト</x:v>
      </x:c>
      <x:c r="C13" s="6" t="n">
        <x:v>3000000</x:v>
      </x:c>
      <x:c r="D13" s="6" t="n">
        <x:v>6370000</x:v>
      </x:c>
      <x:c r="E13" s="6" t="n">
        <x:f>C13-D13</x:f>
        <x:v>-3370000</x:v>
      </x:c>
      <x:c r="F13" s="6" t="n">
        <x:f>F12+E13</x:f>
        <x:v>-20920000</x:v>
      </x:c>
      <x:c r="G13" s="6" t="n">
        <x:v>3000000</x:v>
      </x:c>
      <x:c r="H13" s="6" t="n">
        <x:v>6370000</x:v>
      </x:c>
      <x:c r="I13" s="6" t="n">
        <x:v>285</x:v>
      </x:c>
      <x:c r="J13" s="6" t="n">
        <x:v>0</x:v>
      </x:c>
      <x:c r="K13" s="6" t="n">
        <x:v>0</x:v>
      </x:c>
      <x:c r="L13" s="6" t="n">
        <x:v>10</x:v>
      </x:c>
      <x:c r="M13" s="11" t="n">
        <x:v>0.7750641025641025</x:v>
      </x:c>
      <x:c r="N13" s="6" t="n">
        <x:v>3620000</x:v>
      </x:c>
    </x:row>
    <x:row r="14" ht="24" customHeight="1">
      <x:c r="A14" s="2" t="str">
        <x:v>2026-09-25_Day</x:v>
      </x:c>
      <x:c r="B14" s="6" t="str">
        <x:v>デイ</x:v>
      </x:c>
      <x:c r="C14" s="6" t="n">
        <x:v>1710000</x:v>
      </x:c>
      <x:c r="D14" s="6" t="n">
        <x:v>5190000</x:v>
      </x:c>
      <x:c r="E14" s="6" t="n">
        <x:f>C14-D14</x:f>
        <x:v>-3480000</x:v>
      </x:c>
      <x:c r="F14" s="6" t="n">
        <x:f>F13+E14</x:f>
        <x:v>-24400000</x:v>
      </x:c>
      <x:c r="G14" s="6" t="n">
        <x:v>1710000</x:v>
      </x:c>
      <x:c r="H14" s="6" t="n">
        <x:v>5190000</x:v>
      </x:c>
      <x:c r="I14" s="6" t="n">
        <x:v>228</x:v>
      </x:c>
      <x:c r="J14" s="6" t="n">
        <x:v>0</x:v>
      </x:c>
      <x:c r="K14" s="6" t="n">
        <x:v>0</x:v>
      </x:c>
      <x:c r="L14" s="6" t="n">
        <x:v>10</x:v>
      </x:c>
      <x:c r="M14" s="11" t="n">
        <x:v>0.794047619047619</x:v>
      </x:c>
      <x:c r="N14" s="6" t="n">
        <x:v>3550000</x:v>
      </x:c>
    </x:row>
    <x:row r="15" ht="24" customHeight="1">
      <x:c r="A15" s="2" t="str">
        <x:v>2026-09-25_Night</x:v>
      </x:c>
      <x:c r="B15" s="6" t="str">
        <x:v>ナイト</x:v>
      </x:c>
      <x:c r="C15" s="6" t="n">
        <x:v>2060000</x:v>
      </x:c>
      <x:c r="D15" s="6" t="n">
        <x:v>5120000</x:v>
      </x:c>
      <x:c r="E15" s="6" t="n">
        <x:f>C15-D15</x:f>
        <x:v>-3060000</x:v>
      </x:c>
      <x:c r="F15" s="6" t="n">
        <x:f>F14+E15</x:f>
        <x:v>-27460000</x:v>
      </x:c>
      <x:c r="G15" s="6" t="n">
        <x:v>2060000</x:v>
      </x:c>
      <x:c r="H15" s="6" t="n">
        <x:v>5120000</x:v>
      </x:c>
      <x:c r="I15" s="6" t="n">
        <x:v>216</x:v>
      </x:c>
      <x:c r="J15" s="6" t="n">
        <x:v>0</x:v>
      </x:c>
      <x:c r="K15" s="6" t="n">
        <x:v>0</x:v>
      </x:c>
      <x:c r="L15" s="6" t="n">
        <x:v>10</x:v>
      </x:c>
      <x:c r="M15" s="11" t="n">
        <x:v>0.7034615384615385</x:v>
      </x:c>
      <x:c r="N15" s="6" t="n">
        <x:v>3220000</x:v>
      </x:c>
    </x:row>
    <x:row r="16" ht="24" customHeight="1">
      <x:c r="A16" s="2" t="str">
        <x:v>2026-09-28_Day</x:v>
      </x:c>
      <x:c r="B16" s="6" t="str">
        <x:v>デイ</x:v>
      </x:c>
      <x:c r="C16" s="6" t="n">
        <x:v>2030000</x:v>
      </x:c>
      <x:c r="D16" s="6" t="n">
        <x:v>6680000</x:v>
      </x:c>
      <x:c r="E16" s="6" t="n">
        <x:f>C16-D16</x:f>
        <x:v>-4650000</x:v>
      </x:c>
      <x:c r="F16" s="6" t="n">
        <x:f>F15+E16</x:f>
        <x:v>-32110000</x:v>
      </x:c>
      <x:c r="G16" s="6" t="n">
        <x:v>2030000</x:v>
      </x:c>
      <x:c r="H16" s="6" t="n">
        <x:v>6680000</x:v>
      </x:c>
      <x:c r="I16" s="6" t="n">
        <x:v>258</x:v>
      </x:c>
      <x:c r="J16" s="6" t="n">
        <x:v>0</x:v>
      </x:c>
      <x:c r="K16" s="6" t="n">
        <x:v>0</x:v>
      </x:c>
      <x:c r="L16" s="6" t="n">
        <x:v>10</x:v>
      </x:c>
      <x:c r="M16" s="11" t="n">
        <x:v>0.7961111111111111</x:v>
      </x:c>
      <x:c r="N16" s="6" t="n">
        <x:v>4740000</x:v>
      </x:c>
    </x:row>
    <x:row r="17" ht="24" customHeight="1">
      <x:c r="A17" s="2" t="str">
        <x:v>2026-09-28_Night</x:v>
      </x:c>
      <x:c r="B17" s="6" t="str">
        <x:v>ナイト</x:v>
      </x:c>
      <x:c r="C17" s="6" t="n">
        <x:v>2480000</x:v>
      </x:c>
      <x:c r="D17" s="6" t="n">
        <x:v>7070000</x:v>
      </x:c>
      <x:c r="E17" s="6" t="n">
        <x:f>C17-D17</x:f>
        <x:v>-4590000</x:v>
      </x:c>
      <x:c r="F17" s="6" t="n">
        <x:f>F16+E17</x:f>
        <x:v>-36700000</x:v>
      </x:c>
      <x:c r="G17" s="6" t="n">
        <x:v>2480000</x:v>
      </x:c>
      <x:c r="H17" s="6" t="n">
        <x:v>7070000</x:v>
      </x:c>
      <x:c r="I17" s="6" t="n">
        <x:v>266</x:v>
      </x:c>
      <x:c r="J17" s="6" t="n">
        <x:v>0</x:v>
      </x:c>
      <x:c r="K17" s="6" t="n">
        <x:v>0</x:v>
      </x:c>
      <x:c r="L17" s="6" t="n">
        <x:v>10</x:v>
      </x:c>
      <x:c r="M17" s="11" t="n">
        <x:v>0.7451495726495726</x:v>
      </x:c>
      <x:c r="N17" s="6" t="n">
        <x:v>4670000</x:v>
      </x:c>
    </x:row>
    <x:row r="18" ht="24" customHeight="1">
      <x:c r="A18" s="2" t="str">
        <x:v>2026-09-29_Day</x:v>
      </x:c>
      <x:c r="B18" s="6" t="str">
        <x:v>デイ</x:v>
      </x:c>
      <x:c r="C18" s="6" t="n">
        <x:v>1910000</x:v>
      </x:c>
      <x:c r="D18" s="6" t="n">
        <x:v>7120000</x:v>
      </x:c>
      <x:c r="E18" s="6" t="n">
        <x:f>C18-D18</x:f>
        <x:v>-5210000</x:v>
      </x:c>
      <x:c r="F18" s="6" t="n">
        <x:f>F17+E18</x:f>
        <x:v>-41910000</x:v>
      </x:c>
      <x:c r="G18" s="6" t="n">
        <x:v>1910000</x:v>
      </x:c>
      <x:c r="H18" s="6" t="n">
        <x:v>7120000</x:v>
      </x:c>
      <x:c r="I18" s="6" t="n">
        <x:v>249</x:v>
      </x:c>
      <x:c r="J18" s="6" t="n">
        <x:v>0</x:v>
      </x:c>
      <x:c r="K18" s="6" t="n">
        <x:v>0</x:v>
      </x:c>
      <x:c r="L18" s="6" t="n">
        <x:v>10</x:v>
      </x:c>
      <x:c r="M18" s="11" t="n">
        <x:v>0.8007142857142857</x:v>
      </x:c>
      <x:c r="N18" s="6" t="n">
        <x:v>5240000</x:v>
      </x:c>
    </x:row>
    <x:row r="19" ht="24" customHeight="1">
      <x:c r="A19" s="2" t="str">
        <x:v>2026-09-29_Night</x:v>
      </x:c>
      <x:c r="B19" s="6" t="str">
        <x:v>ナイト</x:v>
      </x:c>
      <x:c r="C19" s="6" t="n">
        <x:v>2170000</x:v>
      </x:c>
      <x:c r="D19" s="6" t="n">
        <x:v>6110000</x:v>
      </x:c>
      <x:c r="E19" s="6" t="n">
        <x:f>C19-D19</x:f>
        <x:v>-3940000</x:v>
      </x:c>
      <x:c r="F19" s="6" t="n">
        <x:f>F18+E19</x:f>
        <x:v>-45850000</x:v>
      </x:c>
      <x:c r="G19" s="6" t="n">
        <x:v>2170000</x:v>
      </x:c>
      <x:c r="H19" s="6" t="n">
        <x:v>6110000</x:v>
      </x:c>
      <x:c r="I19" s="6" t="n">
        <x:v>258</x:v>
      </x:c>
      <x:c r="J19" s="6" t="n">
        <x:v>0</x:v>
      </x:c>
      <x:c r="K19" s="6" t="n">
        <x:v>0</x:v>
      </x:c>
      <x:c r="L19" s="6" t="n">
        <x:v>10</x:v>
      </x:c>
      <x:c r="M19" s="11" t="n">
        <x:v>0.7812820512820513</x:v>
      </x:c>
      <x:c r="N19" s="6" t="n">
        <x:v>3960000</x:v>
      </x:c>
    </x:row>
    <x:row r="20" ht="24" customHeight="1">
      <x:c r="A20" s="2" t="str">
        <x:v>2026-09-30_Day</x:v>
      </x:c>
      <x:c r="B20" s="6" t="str">
        <x:v>デイ</x:v>
      </x:c>
      <x:c r="C20" s="6" t="n">
        <x:v>2410000</x:v>
      </x:c>
      <x:c r="D20" s="6" t="n">
        <x:v>5520000</x:v>
      </x:c>
      <x:c r="E20" s="6" t="n">
        <x:f>C20-D20</x:f>
        <x:v>-3110000</x:v>
      </x:c>
      <x:c r="F20" s="6" t="n">
        <x:f>F19+E20</x:f>
        <x:v>-48960000</x:v>
      </x:c>
      <x:c r="G20" s="6" t="n">
        <x:v>2410000</x:v>
      </x:c>
      <x:c r="H20" s="6" t="n">
        <x:v>5520000</x:v>
      </x:c>
      <x:c r="I20" s="6" t="n">
        <x:v>222</x:v>
      </x:c>
      <x:c r="J20" s="6" t="n">
        <x:v>0</x:v>
      </x:c>
      <x:c r="K20" s="6" t="n">
        <x:v>0</x:v>
      </x:c>
      <x:c r="L20" s="6" t="n">
        <x:v>10</x:v>
      </x:c>
      <x:c r="M20" s="11" t="n">
        <x:v>0.828015873015873</x:v>
      </x:c>
      <x:c r="N20" s="6" t="n">
        <x:v>3190000</x:v>
      </x:c>
    </x:row>
    <x:row r="21" ht="24" customHeight="1">
      <x:c r="A21" s="2" t="str">
        <x:v>2026-09-30_Night</x:v>
      </x:c>
      <x:c r="B21" s="6" t="str">
        <x:v>ナイト</x:v>
      </x:c>
      <x:c r="C21" s="6" t="n">
        <x:v>2680000</x:v>
      </x:c>
      <x:c r="D21" s="6" t="n">
        <x:v>6720000</x:v>
      </x:c>
      <x:c r="E21" s="6" t="n">
        <x:f>C21-D21</x:f>
        <x:v>-4040000</x:v>
      </x:c>
      <x:c r="F21" s="6" t="n">
        <x:f>F20+E21</x:f>
        <x:v>-53000000</x:v>
      </x:c>
      <x:c r="G21" s="6" t="n">
        <x:v>2680000</x:v>
      </x:c>
      <x:c r="H21" s="6" t="n">
        <x:v>6720000</x:v>
      </x:c>
      <x:c r="I21" s="6" t="n">
        <x:v>274</x:v>
      </x:c>
      <x:c r="J21" s="6" t="n">
        <x:v>0</x:v>
      </x:c>
      <x:c r="K21" s="6" t="n">
        <x:v>0</x:v>
      </x:c>
      <x:c r="L21" s="6" t="n">
        <x:v>10</x:v>
      </x:c>
      <x:c r="M21" s="11" t="n">
        <x:v>0.7357692307692307</x:v>
      </x:c>
      <x:c r="N21" s="6" t="n">
        <x:v>4100000</x:v>
      </x:c>
    </x:row>
    <x:row r="22" ht="24" customHeight="1">
      <x:c r="A22" s="2" t="str">
        <x:v>2026-10-01_Day</x:v>
      </x:c>
      <x:c r="B22" s="6" t="str">
        <x:v>デイ</x:v>
      </x:c>
      <x:c r="C22" s="6" t="n">
        <x:v>2210000</x:v>
      </x:c>
      <x:c r="D22" s="6" t="n">
        <x:v>5090000</x:v>
      </x:c>
      <x:c r="E22" s="6" t="n">
        <x:f>C22-D22</x:f>
        <x:v>-2880000</x:v>
      </x:c>
      <x:c r="F22" s="6" t="n">
        <x:f>F21+E22</x:f>
        <x:v>-55880000</x:v>
      </x:c>
      <x:c r="G22" s="6" t="n">
        <x:v>2210000</x:v>
      </x:c>
      <x:c r="H22" s="6" t="n">
        <x:v>5090000</x:v>
      </x:c>
      <x:c r="I22" s="6" t="n">
        <x:v>201</x:v>
      </x:c>
      <x:c r="J22" s="6" t="n">
        <x:v>0</x:v>
      </x:c>
      <x:c r="K22" s="6" t="n">
        <x:v>0</x:v>
      </x:c>
      <x:c r="L22" s="6" t="n">
        <x:v>10</x:v>
      </x:c>
      <x:c r="M22" s="11" t="n">
        <x:v>0.8270634920634921</x:v>
      </x:c>
      <x:c r="N22" s="6" t="n">
        <x:v>2900000</x:v>
      </x:c>
    </x:row>
    <x:row r="23" ht="24" customHeight="1">
      <x:c r="A23" s="2" t="str">
        <x:v>2026-10-01_Night</x:v>
      </x:c>
      <x:c r="B23" s="6" t="str">
        <x:v>ナイト</x:v>
      </x:c>
      <x:c r="C23" s="6" t="n">
        <x:v>3090000</x:v>
      </x:c>
      <x:c r="D23" s="6" t="n">
        <x:v>8820000</x:v>
      </x:c>
      <x:c r="E23" s="6" t="n">
        <x:f>C23-D23</x:f>
        <x:v>-5730000</x:v>
      </x:c>
      <x:c r="F23" s="6" t="n">
        <x:f>F22+E23</x:f>
        <x:v>-61610000</x:v>
      </x:c>
      <x:c r="G23" s="6" t="n">
        <x:v>3090000</x:v>
      </x:c>
      <x:c r="H23" s="6" t="n">
        <x:v>8820000</x:v>
      </x:c>
      <x:c r="I23" s="6" t="n">
        <x:v>322</x:v>
      </x:c>
      <x:c r="J23" s="6" t="n">
        <x:v>0</x:v>
      </x:c>
      <x:c r="K23" s="6" t="n">
        <x:v>0</x:v>
      </x:c>
      <x:c r="L23" s="6" t="n">
        <x:v>10</x:v>
      </x:c>
      <x:c r="M23" s="11" t="n">
        <x:v>0.7757051282051282</x:v>
      </x:c>
      <x:c r="N23" s="6" t="n">
        <x:v>5810000</x:v>
      </x:c>
    </x:row>
    <x:row r="24" ht="24" customHeight="1">
      <x:c r="A24" s="2" t="str">
        <x:v>2026-10-02_Day</x:v>
      </x:c>
      <x:c r="B24" s="6" t="str">
        <x:v>デイ</x:v>
      </x:c>
      <x:c r="C24" s="6" t="n">
        <x:v>1820000</x:v>
      </x:c>
      <x:c r="D24" s="6" t="n">
        <x:v>5050000</x:v>
      </x:c>
      <x:c r="E24" s="6" t="n">
        <x:f>C24-D24</x:f>
        <x:v>-3230000</x:v>
      </x:c>
      <x:c r="F24" s="6" t="n">
        <x:f>F23+E24</x:f>
        <x:v>-64840000</x:v>
      </x:c>
      <x:c r="G24" s="6" t="n">
        <x:v>1820000</x:v>
      </x:c>
      <x:c r="H24" s="6" t="n">
        <x:v>5050000</x:v>
      </x:c>
      <x:c r="I24" s="6" t="n">
        <x:v>206</x:v>
      </x:c>
      <x:c r="J24" s="6" t="n">
        <x:v>0</x:v>
      </x:c>
      <x:c r="K24" s="6" t="n">
        <x:v>0</x:v>
      </x:c>
      <x:c r="L24" s="6" t="n">
        <x:v>10</x:v>
      </x:c>
      <x:c r="M24" s="11" t="n">
        <x:v>0.819047619047619</x:v>
      </x:c>
      <x:c r="N24" s="6" t="n">
        <x:v>3590000</x:v>
      </x:c>
    </x:row>
    <x:row r="25" ht="24" customHeight="1">
      <x:c r="A25" s="2" t="str">
        <x:v>2026-10-02_Night</x:v>
      </x:c>
      <x:c r="B25" s="6" t="str">
        <x:v>ナイト</x:v>
      </x:c>
      <x:c r="C25" s="6" t="n">
        <x:v>2620000</x:v>
      </x:c>
      <x:c r="D25" s="6" t="n">
        <x:v>7530000</x:v>
      </x:c>
      <x:c r="E25" s="6" t="n">
        <x:f>C25-D25</x:f>
        <x:v>-4910000</x:v>
      </x:c>
      <x:c r="F25" s="6" t="n">
        <x:f>F24+E25</x:f>
        <x:v>-69750000</x:v>
      </x:c>
      <x:c r="G25" s="6" t="n">
        <x:v>2620000</x:v>
      </x:c>
      <x:c r="H25" s="6" t="n">
        <x:v>7530000</x:v>
      </x:c>
      <x:c r="I25" s="6" t="n">
        <x:v>293</x:v>
      </x:c>
      <x:c r="J25" s="6" t="n">
        <x:v>0</x:v>
      </x:c>
      <x:c r="K25" s="6" t="n">
        <x:v>0</x:v>
      </x:c>
      <x:c r="L25" s="6" t="n">
        <x:v>10</x:v>
      </x:c>
      <x:c r="M25" s="11" t="n">
        <x:v>0.7909615384615385</x:v>
      </x:c>
      <x:c r="N25" s="6" t="n">
        <x:v>4910000</x:v>
      </x:c>
    </x:row>
    <x:row r="26" ht="24" customHeight="1">
      <x:c r="A26" s="2" t="str">
        <x:v>2026-10-05_Day</x:v>
      </x:c>
      <x:c r="B26" s="6" t="str">
        <x:v>デイ</x:v>
      </x:c>
      <x:c r="C26" s="6" t="n">
        <x:v>1430000</x:v>
      </x:c>
      <x:c r="D26" s="6" t="n">
        <x:v>4990000</x:v>
      </x:c>
      <x:c r="E26" s="6" t="n">
        <x:f>C26-D26</x:f>
        <x:v>-3560000</x:v>
      </x:c>
      <x:c r="F26" s="6" t="n">
        <x:f>F25+E26</x:f>
        <x:v>-73310000</x:v>
      </x:c>
      <x:c r="G26" s="6" t="n">
        <x:v>1430000</x:v>
      </x:c>
      <x:c r="H26" s="6" t="n">
        <x:v>4990000</x:v>
      </x:c>
      <x:c r="I26" s="6" t="n">
        <x:v>203</x:v>
      </x:c>
      <x:c r="J26" s="6" t="n">
        <x:v>0</x:v>
      </x:c>
      <x:c r="K26" s="6" t="n">
        <x:v>0</x:v>
      </x:c>
      <x:c r="L26" s="6" t="n">
        <x:v>10</x:v>
      </x:c>
      <x:c r="M26" s="11" t="n">
        <x:v>0.8120238095238095</x:v>
      </x:c>
      <x:c r="N26" s="6" t="n">
        <x:v>3670000</x:v>
      </x:c>
    </x:row>
    <x:row r="27" ht="24" customHeight="1">
      <x:c r="A27" s="2" t="str">
        <x:v>2026-10-05_Night</x:v>
      </x:c>
      <x:c r="B27" s="6" t="str">
        <x:v>ナイト</x:v>
      </x:c>
      <x:c r="C27" s="6" t="n">
        <x:v>1660000</x:v>
      </x:c>
      <x:c r="D27" s="6" t="n">
        <x:v>5340000</x:v>
      </x:c>
      <x:c r="E27" s="6" t="n">
        <x:f>C27-D27</x:f>
        <x:v>-3680000</x:v>
      </x:c>
      <x:c r="F27" s="6" t="n">
        <x:f>F26+E27</x:f>
        <x:v>-76990000</x:v>
      </x:c>
      <x:c r="G27" s="6" t="n">
        <x:v>1660000</x:v>
      </x:c>
      <x:c r="H27" s="6" t="n">
        <x:v>5340000</x:v>
      </x:c>
      <x:c r="I27" s="6" t="n">
        <x:v>249</x:v>
      </x:c>
      <x:c r="J27" s="6" t="n">
        <x:v>0</x:v>
      </x:c>
      <x:c r="K27" s="6" t="n">
        <x:v>0</x:v>
      </x:c>
      <x:c r="L27" s="6" t="n">
        <x:v>10</x:v>
      </x:c>
      <x:c r="M27" s="11" t="n">
        <x:v>0.7591239316239317</x:v>
      </x:c>
      <x:c r="N27" s="6" t="n">
        <x:v>3820000</x:v>
      </x:c>
    </x:row>
    <x:row r="28" ht="24" customHeight="1">
      <x:c r="A28" s="2" t="str">
        <x:v>2026-10-06_Day</x:v>
      </x:c>
      <x:c r="B28" s="6" t="str">
        <x:v>デイ</x:v>
      </x:c>
      <x:c r="C28" s="6" t="n">
        <x:v>1440000</x:v>
      </x:c>
      <x:c r="D28" s="6" t="n">
        <x:v>4340000</x:v>
      </x:c>
      <x:c r="E28" s="6" t="n">
        <x:f>C28-D28</x:f>
        <x:v>-2900000</x:v>
      </x:c>
      <x:c r="F28" s="6" t="n">
        <x:f>F27+E28</x:f>
        <x:v>-79890000</x:v>
      </x:c>
      <x:c r="G28" s="6" t="n">
        <x:v>1440000</x:v>
      </x:c>
      <x:c r="H28" s="6" t="n">
        <x:v>4340000</x:v>
      </x:c>
      <x:c r="I28" s="6" t="n">
        <x:v>191</x:v>
      </x:c>
      <x:c r="J28" s="6" t="n">
        <x:v>0</x:v>
      </x:c>
      <x:c r="K28" s="6" t="n">
        <x:v>0</x:v>
      </x:c>
      <x:c r="L28" s="6" t="n">
        <x:v>10</x:v>
      </x:c>
      <x:c r="M28" s="11" t="n">
        <x:v>0.8190873015873016</x:v>
      </x:c>
      <x:c r="N28" s="6" t="n">
        <x:v>2900000</x:v>
      </x:c>
    </x:row>
    <x:row r="29" ht="24" customHeight="1">
      <x:c r="A29" s="2" t="str">
        <x:v>2026-10-06_Night</x:v>
      </x:c>
      <x:c r="B29" s="6" t="str">
        <x:v>ナイト</x:v>
      </x:c>
      <x:c r="C29" s="6" t="n">
        <x:v>1200000</x:v>
      </x:c>
      <x:c r="D29" s="6" t="n">
        <x:v>4590000</x:v>
      </x:c>
      <x:c r="E29" s="6" t="n">
        <x:f>C29-D29</x:f>
        <x:v>-3390000</x:v>
      </x:c>
      <x:c r="F29" s="6" t="n">
        <x:f>F28+E29</x:f>
        <x:v>-83280000</x:v>
      </x:c>
      <x:c r="G29" s="6" t="n">
        <x:v>1200000</x:v>
      </x:c>
      <x:c r="H29" s="6" t="n">
        <x:v>4590000</x:v>
      </x:c>
      <x:c r="I29" s="6" t="n">
        <x:v>209</x:v>
      </x:c>
      <x:c r="J29" s="6" t="n">
        <x:v>0</x:v>
      </x:c>
      <x:c r="K29" s="6" t="n">
        <x:v>0</x:v>
      </x:c>
      <x:c r="L29" s="6" t="n">
        <x:v>10</x:v>
      </x:c>
      <x:c r="M29" s="11" t="n">
        <x:v>0.7006196581196581</x:v>
      </x:c>
      <x:c r="N29" s="6" t="n">
        <x:v>3470000</x:v>
      </x:c>
    </x:row>
    <x:row r="30" ht="24" customHeight="1">
      <x:c r="A30" s="2" t="str">
        <x:v>2026-10-07_Day</x:v>
      </x:c>
      <x:c r="B30" s="6" t="str">
        <x:v>デイ</x:v>
      </x:c>
      <x:c r="C30" s="6" t="n">
        <x:v>1320000</x:v>
      </x:c>
      <x:c r="D30" s="6" t="n">
        <x:v>3970000</x:v>
      </x:c>
      <x:c r="E30" s="6" t="n">
        <x:f>C30-D30</x:f>
        <x:v>-2650000</x:v>
      </x:c>
      <x:c r="F30" s="6" t="n">
        <x:f>F29+E30</x:f>
        <x:v>-85930000</x:v>
      </x:c>
      <x:c r="G30" s="6" t="n">
        <x:v>1320000</x:v>
      </x:c>
      <x:c r="H30" s="6" t="n">
        <x:v>3970000</x:v>
      </x:c>
      <x:c r="I30" s="6" t="n">
        <x:v>182</x:v>
      </x:c>
      <x:c r="J30" s="6" t="n">
        <x:v>0</x:v>
      </x:c>
      <x:c r="K30" s="6" t="n">
        <x:v>0</x:v>
      </x:c>
      <x:c r="L30" s="6" t="n">
        <x:v>10</x:v>
      </x:c>
      <x:c r="M30" s="11" t="n">
        <x:v>0.7998809523809524</x:v>
      </x:c>
      <x:c r="N30" s="6" t="n">
        <x:v>2670000</x:v>
      </x:c>
    </x:row>
    <x:row r="31" ht="24" customHeight="1">
      <x:c r="A31" s="2" t="str">
        <x:v>2026-10-07_Night</x:v>
      </x:c>
      <x:c r="B31" s="6" t="str">
        <x:v>ナイト</x:v>
      </x:c>
      <x:c r="C31" s="6" t="n">
        <x:v>1360000</x:v>
      </x:c>
      <x:c r="D31" s="6" t="n">
        <x:v>5630000</x:v>
      </x:c>
      <x:c r="E31" s="6" t="n">
        <x:f>C31-D31</x:f>
        <x:v>-4270000</x:v>
      </x:c>
      <x:c r="F31" s="6" t="n">
        <x:f>F30+E31</x:f>
        <x:v>-90200000</x:v>
      </x:c>
      <x:c r="G31" s="6" t="n">
        <x:v>1360000</x:v>
      </x:c>
      <x:c r="H31" s="6" t="n">
        <x:v>5630000</x:v>
      </x:c>
      <x:c r="I31" s="6" t="n">
        <x:v>258</x:v>
      </x:c>
      <x:c r="J31" s="6" t="n">
        <x:v>0</x:v>
      </x:c>
      <x:c r="K31" s="6" t="n">
        <x:v>0</x:v>
      </x:c>
      <x:c r="L31" s="6" t="n">
        <x:v>10</x:v>
      </x:c>
      <x:c r="M31" s="11" t="n">
        <x:v>0.7810897435897436</x:v>
      </x:c>
      <x:c r="N31" s="6" t="n">
        <x:v>4330000</x:v>
      </x:c>
    </x:row>
    <x:row r="32" ht="24" customHeight="1">
      <x:c r="A32" s="2" t="str">
        <x:v>2026-10-08_Day</x:v>
      </x:c>
      <x:c r="B32" s="6" t="str">
        <x:v>デイ</x:v>
      </x:c>
      <x:c r="C32" s="6" t="n">
        <x:v>2260000</x:v>
      </x:c>
      <x:c r="D32" s="6" t="n">
        <x:v>4540000</x:v>
      </x:c>
      <x:c r="E32" s="6" t="n">
        <x:f>C32-D32</x:f>
        <x:v>-2280000</x:v>
      </x:c>
      <x:c r="F32" s="6" t="n">
        <x:f>F31+E32</x:f>
        <x:v>-92480000</x:v>
      </x:c>
      <x:c r="G32" s="6" t="n">
        <x:v>2260000</x:v>
      </x:c>
      <x:c r="H32" s="6" t="n">
        <x:v>4540000</x:v>
      </x:c>
      <x:c r="I32" s="6" t="n">
        <x:v>199</x:v>
      </x:c>
      <x:c r="J32" s="6" t="n">
        <x:v>0</x:v>
      </x:c>
      <x:c r="K32" s="6" t="n">
        <x:v>0</x:v>
      </x:c>
      <x:c r="L32" s="6" t="n">
        <x:v>10</x:v>
      </x:c>
      <x:c r="M32" s="11" t="n">
        <x:v>0.8327777777777777</x:v>
      </x:c>
      <x:c r="N32" s="6" t="n">
        <x:v>2600000</x:v>
      </x:c>
    </x:row>
    <x:row r="33" ht="24" customHeight="1">
      <x:c r="A33" s="2" t="str">
        <x:v>2026-10-08_Night</x:v>
      </x:c>
      <x:c r="B33" s="6" t="str">
        <x:v>ナイト</x:v>
      </x:c>
      <x:c r="C33" s="6" t="n">
        <x:v>2710000</x:v>
      </x:c>
      <x:c r="D33" s="6" t="n">
        <x:v>8560000</x:v>
      </x:c>
      <x:c r="E33" s="6" t="n">
        <x:f>C33-D33</x:f>
        <x:v>-5850000</x:v>
      </x:c>
      <x:c r="F33" s="6" t="n">
        <x:f>F32+E33</x:f>
        <x:v>-98330000</x:v>
      </x:c>
      <x:c r="G33" s="6" t="n">
        <x:v>2710000</x:v>
      </x:c>
      <x:c r="H33" s="6" t="n">
        <x:v>8560000</x:v>
      </x:c>
      <x:c r="I33" s="6" t="n">
        <x:v>330</x:v>
      </x:c>
      <x:c r="J33" s="6" t="n">
        <x:v>0</x:v>
      </x:c>
      <x:c r="K33" s="6" t="n">
        <x:v>0</x:v>
      </x:c>
      <x:c r="L33" s="6" t="n">
        <x:v>10</x:v>
      </x:c>
      <x:c r="M33" s="11" t="n">
        <x:v>0.7441452991452991</x:v>
      </x:c>
      <x:c r="N33" s="6" t="n">
        <x:v>5860000</x:v>
      </x:c>
    </x:row>
    <x:row r="34" ht="24" customHeight="1">
      <x:c r="A34" s="2" t="str">
        <x:v>2026-10-09_Day</x:v>
      </x:c>
      <x:c r="B34" s="6" t="str">
        <x:v>デイ</x:v>
      </x:c>
      <x:c r="C34" s="6" t="n">
        <x:v>2180000</x:v>
      </x:c>
      <x:c r="D34" s="6" t="n">
        <x:v>5740000</x:v>
      </x:c>
      <x:c r="E34" s="6" t="n">
        <x:f>C34-D34</x:f>
        <x:v>-3560000</x:v>
      </x:c>
      <x:c r="F34" s="6" t="n">
        <x:f>F33+E34</x:f>
        <x:v>-101890000</x:v>
      </x:c>
      <x:c r="G34" s="6" t="n">
        <x:v>2180000</x:v>
      </x:c>
      <x:c r="H34" s="6" t="n">
        <x:v>5740000</x:v>
      </x:c>
      <x:c r="I34" s="6" t="n">
        <x:v>202</x:v>
      </x:c>
      <x:c r="J34" s="6" t="n">
        <x:v>0</x:v>
      </x:c>
      <x:c r="K34" s="6" t="n">
        <x:v>0</x:v>
      </x:c>
      <x:c r="L34" s="6" t="n">
        <x:v>10</x:v>
      </x:c>
      <x:c r="M34" s="11" t="n">
        <x:v>0.8100396825396825</x:v>
      </x:c>
      <x:c r="N34" s="6" t="n">
        <x:v>3730000</x:v>
      </x:c>
    </x:row>
    <x:row r="35" ht="24" customHeight="1">
      <x:c r="A35" s="2" t="str">
        <x:v>2026-10-09_Night</x:v>
      </x:c>
      <x:c r="B35" s="6" t="str">
        <x:v>ナイト</x:v>
      </x:c>
      <x:c r="C35" s="6" t="n">
        <x:v>1040000</x:v>
      </x:c>
      <x:c r="D35" s="6" t="n">
        <x:v>5360000</x:v>
      </x:c>
      <x:c r="E35" s="6" t="n">
        <x:f>C35-D35</x:f>
        <x:v>-4320000</x:v>
      </x:c>
      <x:c r="F35" s="6" t="n">
        <x:f>F34+E35</x:f>
        <x:v>-106210000</x:v>
      </x:c>
      <x:c r="G35" s="6" t="n">
        <x:v>1040000</x:v>
      </x:c>
      <x:c r="H35" s="6" t="n">
        <x:v>5360000</x:v>
      </x:c>
      <x:c r="I35" s="6" t="n">
        <x:v>207</x:v>
      </x:c>
      <x:c r="J35" s="6" t="n">
        <x:v>0</x:v>
      </x:c>
      <x:c r="K35" s="6" t="n">
        <x:v>0</x:v>
      </x:c>
      <x:c r="L35" s="6" t="n">
        <x:v>10</x:v>
      </x:c>
      <x:c r="M35" s="11" t="n">
        <x:v>0.745534188034188</x:v>
      </x:c>
      <x:c r="N35" s="6" t="n">
        <x:v>4370000</x:v>
      </x:c>
    </x:row>
    <x:row r="36" ht="24" customHeight="1">
      <x:c r="A36" s="2" t="str">
        <x:v>2026-10-12_Day</x:v>
      </x:c>
      <x:c r="B36" s="6" t="str">
        <x:v>デイ</x:v>
      </x:c>
      <x:c r="C36" s="6" t="n">
        <x:v>730000</x:v>
      </x:c>
      <x:c r="D36" s="6" t="n">
        <x:v>2550000</x:v>
      </x:c>
      <x:c r="E36" s="6" t="n">
        <x:f>C36-D36</x:f>
        <x:v>-1820000</x:v>
      </x:c>
      <x:c r="F36" s="6" t="n">
        <x:f>F35+E36</x:f>
        <x:v>-108030000</x:v>
      </x:c>
      <x:c r="G36" s="6" t="n">
        <x:v>730000</x:v>
      </x:c>
      <x:c r="H36" s="6" t="n">
        <x:v>2550000</x:v>
      </x:c>
      <x:c r="I36" s="6" t="n">
        <x:v>114</x:v>
      </x:c>
      <x:c r="J36" s="6" t="n">
        <x:v>0</x:v>
      </x:c>
      <x:c r="K36" s="6" t="n">
        <x:v>0</x:v>
      </x:c>
      <x:c r="L36" s="6" t="n">
        <x:v>10</x:v>
      </x:c>
      <x:c r="M36" s="11" t="n">
        <x:v>0.7298015873015873</x:v>
      </x:c>
      <x:c r="N36" s="6" t="n">
        <x:v>1840000</x:v>
      </x:c>
    </x:row>
    <x:row r="37" ht="24" customHeight="1">
      <x:c r="A37" s="2" t="str">
        <x:v>2026-10-12_Night</x:v>
      </x:c>
      <x:c r="B37" s="6" t="str">
        <x:v>ナイト</x:v>
      </x:c>
      <x:c r="C37" s="6" t="n">
        <x:v>1110000</x:v>
      </x:c>
      <x:c r="D37" s="6" t="n">
        <x:v>3460000</x:v>
      </x:c>
      <x:c r="E37" s="6" t="n">
        <x:f>C37-D37</x:f>
        <x:v>-2350000</x:v>
      </x:c>
      <x:c r="F37" s="6" t="n">
        <x:f>F36+E37</x:f>
        <x:v>-110380000</x:v>
      </x:c>
      <x:c r="G37" s="6" t="n">
        <x:v>1110000</x:v>
      </x:c>
      <x:c r="H37" s="6" t="n">
        <x:v>3460000</x:v>
      </x:c>
      <x:c r="I37" s="6" t="n">
        <x:v>163</x:v>
      </x:c>
      <x:c r="J37" s="6" t="n">
        <x:v>0</x:v>
      </x:c>
      <x:c r="K37" s="6" t="n">
        <x:v>0</x:v>
      </x:c>
      <x:c r="L37" s="6" t="n">
        <x:v>10</x:v>
      </x:c>
      <x:c r="M37" s="11" t="n">
        <x:v>0.721965811965812</x:v>
      </x:c>
      <x:c r="N37" s="6" t="n">
        <x:v>2410000</x:v>
      </x:c>
    </x:row>
    <x:row r="38" ht="24" customHeight="1">
      <x:c r="A38" s="2" t="str">
        <x:v>2026-10-13_Day</x:v>
      </x:c>
      <x:c r="B38" s="6" t="str">
        <x:v>デイ</x:v>
      </x:c>
      <x:c r="C38" s="6" t="n">
        <x:v>2500000</x:v>
      </x:c>
      <x:c r="D38" s="6" t="n">
        <x:v>7490000</x:v>
      </x:c>
      <x:c r="E38" s="6" t="n">
        <x:f>C38-D38</x:f>
        <x:v>-4990000</x:v>
      </x:c>
      <x:c r="F38" s="6" t="n">
        <x:f>F37+E38</x:f>
        <x:v>-115370000</x:v>
      </x:c>
      <x:c r="G38" s="6" t="n">
        <x:v>2500000</x:v>
      </x:c>
      <x:c r="H38" s="6" t="n">
        <x:v>7490000</x:v>
      </x:c>
      <x:c r="I38" s="6" t="n">
        <x:v>247</x:v>
      </x:c>
      <x:c r="J38" s="6" t="n">
        <x:v>0</x:v>
      </x:c>
      <x:c r="K38" s="6" t="n">
        <x:v>0</x:v>
      </x:c>
      <x:c r="L38" s="6" t="n">
        <x:v>10</x:v>
      </x:c>
      <x:c r="M38" s="11" t="n">
        <x:v>0.8118650793650793</x:v>
      </x:c>
      <x:c r="N38" s="6" t="n">
        <x:v>5010000</x:v>
      </x:c>
    </x:row>
    <x:row r="39" ht="24" customHeight="1">
      <x:c r="A39" s="2" t="str">
        <x:v>2026-10-13_Night</x:v>
      </x:c>
      <x:c r="B39" s="6" t="str">
        <x:v>ナイト</x:v>
      </x:c>
      <x:c r="C39" s="6" t="n">
        <x:v>1320000</x:v>
      </x:c>
      <x:c r="D39" s="6" t="n">
        <x:v>5020000</x:v>
      </x:c>
      <x:c r="E39" s="6" t="n">
        <x:f>C39-D39</x:f>
        <x:v>-3700000</x:v>
      </x:c>
      <x:c r="F39" s="6" t="n">
        <x:f>F38+E39</x:f>
        <x:v>-119070000</x:v>
      </x:c>
      <x:c r="G39" s="6" t="n">
        <x:v>1320000</x:v>
      </x:c>
      <x:c r="H39" s="6" t="n">
        <x:v>5020000</x:v>
      </x:c>
      <x:c r="I39" s="6" t="n">
        <x:v>221</x:v>
      </x:c>
      <x:c r="J39" s="6" t="n">
        <x:v>0</x:v>
      </x:c>
      <x:c r="K39" s="6" t="n">
        <x:v>0</x:v>
      </x:c>
      <x:c r="L39" s="6" t="n">
        <x:v>10</x:v>
      </x:c>
      <x:c r="M39" s="11" t="n">
        <x:v>0.7336752136752137</x:v>
      </x:c>
      <x:c r="N39" s="6" t="n">
        <x:v>3730000</x:v>
      </x:c>
    </x:row>
    <x:row r="40" ht="24" customHeight="1">
      <x:c r="A40" s="2" t="str">
        <x:v>2026-10-14_Day</x:v>
      </x:c>
      <x:c r="B40" s="6" t="str">
        <x:v>デイ</x:v>
      </x:c>
      <x:c r="C40" s="6" t="n">
        <x:v>1730000</x:v>
      </x:c>
      <x:c r="D40" s="6" t="n">
        <x:v>5800000</x:v>
      </x:c>
      <x:c r="E40" s="6" t="n">
        <x:f>C40-D40</x:f>
        <x:v>-4070000</x:v>
      </x:c>
      <x:c r="F40" s="6" t="n">
        <x:f>F39+E40</x:f>
        <x:v>-123140000</x:v>
      </x:c>
      <x:c r="G40" s="6" t="n">
        <x:v>1730000</x:v>
      </x:c>
      <x:c r="H40" s="6" t="n">
        <x:v>5800000</x:v>
      </x:c>
      <x:c r="I40" s="6" t="n">
        <x:v>227</x:v>
      </x:c>
      <x:c r="J40" s="6" t="n">
        <x:v>0</x:v>
      </x:c>
      <x:c r="K40" s="6" t="n">
        <x:v>0</x:v>
      </x:c>
      <x:c r="L40" s="6" t="n">
        <x:v>10</x:v>
      </x:c>
      <x:c r="M40" s="11" t="n">
        <x:v>0.8174603174603174</x:v>
      </x:c>
      <x:c r="N40" s="6" t="n">
        <x:v>4130000</x:v>
      </x:c>
    </x:row>
    <x:row r="41" ht="24" customHeight="1">
      <x:c r="A41" s="2" t="str">
        <x:v>2026-10-14_Night</x:v>
      </x:c>
      <x:c r="B41" s="6" t="str">
        <x:v>ナイト</x:v>
      </x:c>
      <x:c r="C41" s="6" t="n">
        <x:v>3080000</x:v>
      </x:c>
      <x:c r="D41" s="6" t="n">
        <x:v>6620000</x:v>
      </x:c>
      <x:c r="E41" s="6" t="n">
        <x:f>C41-D41</x:f>
        <x:v>-3540000</x:v>
      </x:c>
      <x:c r="F41" s="6" t="n">
        <x:f>F40+E41</x:f>
        <x:v>-126680000</x:v>
      </x:c>
      <x:c r="G41" s="6" t="n">
        <x:v>3080000</x:v>
      </x:c>
      <x:c r="H41" s="6" t="n">
        <x:v>6620000</x:v>
      </x:c>
      <x:c r="I41" s="6" t="n">
        <x:v>297</x:v>
      </x:c>
      <x:c r="J41" s="6" t="n">
        <x:v>0</x:v>
      </x:c>
      <x:c r="K41" s="6" t="n">
        <x:v>0</x:v>
      </x:c>
      <x:c r="L41" s="6" t="n">
        <x:v>10</x:v>
      </x:c>
      <x:c r="M41" s="11" t="n">
        <x:v>0.8043162393162393</x:v>
      </x:c>
      <x:c r="N41" s="6" t="n">
        <x:v>3660000</x:v>
      </x:c>
    </x:row>
    <x:row r="42" ht="24" customHeight="1">
      <x:c r="A42" s="2" t="str">
        <x:v>2026-10-15_Day</x:v>
      </x:c>
      <x:c r="B42" s="6" t="str">
        <x:v>デイ</x:v>
      </x:c>
      <x:c r="C42" s="6" t="n">
        <x:v>3720000</x:v>
      </x:c>
      <x:c r="D42" s="6" t="n">
        <x:v>8470000</x:v>
      </x:c>
      <x:c r="E42" s="6" t="n">
        <x:f>C42-D42</x:f>
        <x:v>-4750000</x:v>
      </x:c>
      <x:c r="F42" s="6" t="n">
        <x:f>F41+E42</x:f>
        <x:v>-131430000</x:v>
      </x:c>
      <x:c r="G42" s="6" t="n">
        <x:v>3720000</x:v>
      </x:c>
      <x:c r="H42" s="6" t="n">
        <x:v>8470000</x:v>
      </x:c>
      <x:c r="I42" s="6" t="n">
        <x:v>299</x:v>
      </x:c>
      <x:c r="J42" s="6" t="n">
        <x:v>0</x:v>
      </x:c>
      <x:c r="K42" s="6" t="n">
        <x:v>0</x:v>
      </x:c>
      <x:c r="L42" s="6" t="n">
        <x:v>10</x:v>
      </x:c>
      <x:c r="M42" s="11" t="n">
        <x:v>0.8091269841269841</x:v>
      </x:c>
      <x:c r="N42" s="6" t="n">
        <x:v>4940000</x:v>
      </x:c>
    </x:row>
    <x:row r="43" ht="24" customHeight="1">
      <x:c r="A43" s="2" t="str">
        <x:v>2026-10-15_Night</x:v>
      </x:c>
      <x:c r="B43" s="6" t="str">
        <x:v>ナイト</x:v>
      </x:c>
      <x:c r="C43" s="6" t="n">
        <x:v>3830000</x:v>
      </x:c>
      <x:c r="D43" s="6" t="n">
        <x:v>9660000</x:v>
      </x:c>
      <x:c r="E43" s="6" t="n">
        <x:f>C43-D43</x:f>
        <x:v>-5830000</x:v>
      </x:c>
      <x:c r="F43" s="6" t="n">
        <x:f>F42+E43</x:f>
        <x:v>-137260000</x:v>
      </x:c>
      <x:c r="G43" s="6" t="n">
        <x:v>3830000</x:v>
      </x:c>
      <x:c r="H43" s="6" t="n">
        <x:v>9660000</x:v>
      </x:c>
      <x:c r="I43" s="6" t="n">
        <x:v>361</x:v>
      </x:c>
      <x:c r="J43" s="6" t="n">
        <x:v>0</x:v>
      </x:c>
      <x:c r="K43" s="6" t="n">
        <x:v>0</x:v>
      </x:c>
      <x:c r="L43" s="6" t="n">
        <x:v>10</x:v>
      </x:c>
      <x:c r="M43" s="11" t="n">
        <x:v>0.7667735042735043</x:v>
      </x:c>
      <x:c r="N43" s="6" t="n">
        <x:v>5880000</x:v>
      </x:c>
    </x:row>
    <x:row r="44" ht="24" customHeight="1">
      <x:c r="A44" s="2" t="str">
        <x:v>2026-10-16_Day</x:v>
      </x:c>
      <x:c r="B44" s="6" t="str">
        <x:v>デイ</x:v>
      </x:c>
      <x:c r="C44" s="6" t="n">
        <x:v>2320000</x:v>
      </x:c>
      <x:c r="D44" s="6" t="n">
        <x:v>7170000</x:v>
      </x:c>
      <x:c r="E44" s="6" t="n">
        <x:f>C44-D44</x:f>
        <x:v>-4850000</x:v>
      </x:c>
      <x:c r="F44" s="6" t="n">
        <x:f>F43+E44</x:f>
        <x:v>-142110000</x:v>
      </x:c>
      <x:c r="G44" s="6" t="n">
        <x:v>2320000</x:v>
      </x:c>
      <x:c r="H44" s="6" t="n">
        <x:v>7170000</x:v>
      </x:c>
      <x:c r="I44" s="6" t="n">
        <x:v>248</x:v>
      </x:c>
      <x:c r="J44" s="6" t="n">
        <x:v>0</x:v>
      </x:c>
      <x:c r="K44" s="6" t="n">
        <x:v>0</x:v>
      </x:c>
      <x:c r="L44" s="6" t="n">
        <x:v>10</x:v>
      </x:c>
      <x:c r="M44" s="11" t="n">
        <x:v>0.8232539682539682</x:v>
      </x:c>
      <x:c r="N44" s="6" t="n">
        <x:v>4880000</x:v>
      </x:c>
    </x:row>
    <x:row r="45" ht="24" customHeight="1">
      <x:c r="A45" s="2" t="str">
        <x:v>2026-10-16_Night</x:v>
      </x:c>
      <x:c r="B45" s="6" t="str">
        <x:v>ナイト</x:v>
      </x:c>
      <x:c r="C45" s="6" t="n">
        <x:v>3890000</x:v>
      </x:c>
      <x:c r="D45" s="6" t="n">
        <x:v>9480000</x:v>
      </x:c>
      <x:c r="E45" s="6" t="n">
        <x:f>C45-D45</x:f>
        <x:v>-5590000</x:v>
      </x:c>
      <x:c r="F45" s="6" t="n">
        <x:f>F44+E45</x:f>
        <x:v>-147700000</x:v>
      </x:c>
      <x:c r="G45" s="6" t="n">
        <x:v>3890000</x:v>
      </x:c>
      <x:c r="H45" s="6" t="n">
        <x:v>9480000</x:v>
      </x:c>
      <x:c r="I45" s="6" t="n">
        <x:v>364</x:v>
      </x:c>
      <x:c r="J45" s="6" t="n">
        <x:v>0</x:v>
      </x:c>
      <x:c r="K45" s="6" t="n">
        <x:v>0</x:v>
      </x:c>
      <x:c r="L45" s="6" t="n">
        <x:v>10</x:v>
      </x:c>
      <x:c r="M45" s="11" t="n">
        <x:v>0.7823931623931624</x:v>
      </x:c>
      <x:c r="N45" s="6" t="n">
        <x:v>5680000</x:v>
      </x:c>
    </x:row>
    <x:row r="46" ht="24" customHeight="1">
      <x:c r="A46" s="2" t="str">
        <x:v>2026-10-19_Day</x:v>
      </x:c>
      <x:c r="B46" s="6" t="str">
        <x:v>デイ</x:v>
      </x:c>
      <x:c r="C46" s="6" t="n">
        <x:v>3010000</x:v>
      </x:c>
      <x:c r="D46" s="6" t="n">
        <x:v>7430000</x:v>
      </x:c>
      <x:c r="E46" s="6" t="n">
        <x:f>C46-D46</x:f>
        <x:v>-4420000</x:v>
      </x:c>
      <x:c r="F46" s="6" t="n">
        <x:f>F45+E46</x:f>
        <x:v>-152120000</x:v>
      </x:c>
      <x:c r="G46" s="6" t="n">
        <x:v>3010000</x:v>
      </x:c>
      <x:c r="H46" s="6" t="n">
        <x:v>7430000</x:v>
      </x:c>
      <x:c r="I46" s="6" t="n">
        <x:v>269</x:v>
      </x:c>
      <x:c r="J46" s="6" t="n">
        <x:v>0</x:v>
      </x:c>
      <x:c r="K46" s="6" t="n">
        <x:v>0</x:v>
      </x:c>
      <x:c r="L46" s="6" t="n">
        <x:v>10</x:v>
      </x:c>
      <x:c r="M46" s="11" t="n">
        <x:v>0.7884920634920635</x:v>
      </x:c>
      <x:c r="N46" s="6" t="n">
        <x:v>4610000</x:v>
      </x:c>
    </x:row>
    <x:row r="47" ht="24" customHeight="1">
      <x:c r="A47" s="2" t="str">
        <x:v>2026-10-19_Night</x:v>
      </x:c>
      <x:c r="B47" s="6" t="str">
        <x:v>ナイト</x:v>
      </x:c>
      <x:c r="C47" s="6" t="n">
        <x:v>2370000</x:v>
      </x:c>
      <x:c r="D47" s="6" t="n">
        <x:v>7630000</x:v>
      </x:c>
      <x:c r="E47" s="6" t="n">
        <x:f>C47-D47</x:f>
        <x:v>-5260000</x:v>
      </x:c>
      <x:c r="F47" s="6" t="n">
        <x:f>F46+E47</x:f>
        <x:v>-157380000</x:v>
      </x:c>
      <x:c r="G47" s="6" t="n">
        <x:v>2370000</x:v>
      </x:c>
      <x:c r="H47" s="6" t="n">
        <x:v>7630000</x:v>
      </x:c>
      <x:c r="I47" s="6" t="n">
        <x:v>304</x:v>
      </x:c>
      <x:c r="J47" s="6" t="n">
        <x:v>0</x:v>
      </x:c>
      <x:c r="K47" s="6" t="n">
        <x:v>0</x:v>
      </x:c>
      <x:c r="L47" s="6" t="n">
        <x:v>10</x:v>
      </x:c>
      <x:c r="M47" s="11" t="n">
        <x:v>0.8011111111111111</x:v>
      </x:c>
      <x:c r="N47" s="6" t="n">
        <x:v>5400000</x:v>
      </x:c>
    </x:row>
    <x:row r="48" ht="24" customHeight="1">
      <x:c r="A48" s="2" t="str">
        <x:v>2026-10-20_Day</x:v>
      </x:c>
      <x:c r="B48" s="6" t="str">
        <x:v>デイ</x:v>
      </x:c>
      <x:c r="C48" s="6" t="n">
        <x:v>3250000</x:v>
      </x:c>
      <x:c r="D48" s="6" t="n">
        <x:v>6500000</x:v>
      </x:c>
      <x:c r="E48" s="6" t="n">
        <x:f>C48-D48</x:f>
        <x:v>-3250000</x:v>
      </x:c>
      <x:c r="F48" s="6" t="n">
        <x:f>F47+E48</x:f>
        <x:v>-160630000</x:v>
      </x:c>
      <x:c r="G48" s="6" t="n">
        <x:v>3250000</x:v>
      </x:c>
      <x:c r="H48" s="6" t="n">
        <x:v>6500000</x:v>
      </x:c>
      <x:c r="I48" s="6" t="n">
        <x:v>247</x:v>
      </x:c>
      <x:c r="J48" s="6" t="n">
        <x:v>0</x:v>
      </x:c>
      <x:c r="K48" s="6" t="n">
        <x:v>0</x:v>
      </x:c>
      <x:c r="L48" s="6" t="n">
        <x:v>10</x:v>
      </x:c>
      <x:c r="M48" s="11" t="n">
        <x:v>0.8296428571428571</x:v>
      </x:c>
      <x:c r="N48" s="6" t="n">
        <x:v>3330000</x:v>
      </x:c>
    </x:row>
    <x:row r="49" ht="24" customHeight="1">
      <x:c r="A49" s="2" t="str">
        <x:v>2026-10-20_Night</x:v>
      </x:c>
      <x:c r="B49" s="6" t="str">
        <x:v>ナイト</x:v>
      </x:c>
      <x:c r="C49" s="6" t="n">
        <x:v>3240000</x:v>
      </x:c>
      <x:c r="D49" s="6" t="n">
        <x:v>7330000</x:v>
      </x:c>
      <x:c r="E49" s="6" t="n">
        <x:f>C49-D49</x:f>
        <x:v>-4090000</x:v>
      </x:c>
      <x:c r="F49" s="6" t="n">
        <x:f>F48+E49</x:f>
        <x:v>-164720000</x:v>
      </x:c>
      <x:c r="G49" s="6" t="n">
        <x:v>3240000</x:v>
      </x:c>
      <x:c r="H49" s="6" t="n">
        <x:v>7330000</x:v>
      </x:c>
      <x:c r="I49" s="6" t="n">
        <x:v>312</x:v>
      </x:c>
      <x:c r="J49" s="6" t="n">
        <x:v>0</x:v>
      </x:c>
      <x:c r="K49" s="6" t="n">
        <x:v>0</x:v>
      </x:c>
      <x:c r="L49" s="6" t="n">
        <x:v>10</x:v>
      </x:c>
      <x:c r="M49" s="11" t="n">
        <x:v>0.7493589743589744</x:v>
      </x:c>
      <x:c r="N49" s="6" t="n">
        <x:v>4190000</x:v>
      </x:c>
    </x:row>
    <x:row r="50" ht="24" customHeight="1">
      <x:c r="A50" s="2" t="str">
        <x:v>2026-10-21_Day</x:v>
      </x:c>
      <x:c r="B50" s="6" t="str">
        <x:v>デイ</x:v>
      </x:c>
      <x:c r="C50" s="6" t="n">
        <x:v>2360000</x:v>
      </x:c>
      <x:c r="D50" s="6" t="n">
        <x:v>6510000</x:v>
      </x:c>
      <x:c r="E50" s="6" t="n">
        <x:f>C50-D50</x:f>
        <x:v>-4150000</x:v>
      </x:c>
      <x:c r="F50" s="6" t="n">
        <x:f>F49+E50</x:f>
        <x:v>-168870000</x:v>
      </x:c>
      <x:c r="G50" s="6" t="n">
        <x:v>2360000</x:v>
      </x:c>
      <x:c r="H50" s="6" t="n">
        <x:v>6510000</x:v>
      </x:c>
      <x:c r="I50" s="6" t="n">
        <x:v>260</x:v>
      </x:c>
      <x:c r="J50" s="6" t="n">
        <x:v>0</x:v>
      </x:c>
      <x:c r="K50" s="6" t="n">
        <x:v>0</x:v>
      </x:c>
      <x:c r="L50" s="6" t="n">
        <x:v>10</x:v>
      </x:c>
      <x:c r="M50" s="11" t="n">
        <x:v>0.811984126984127</x:v>
      </x:c>
      <x:c r="N50" s="6" t="n">
        <x:v>4200000</x:v>
      </x:c>
    </x:row>
    <x:row r="51" ht="24" customHeight="1">
      <x:c r="A51" s="2" t="str">
        <x:v>2026-10-21_Night</x:v>
      </x:c>
      <x:c r="B51" s="6" t="str">
        <x:v>ナイト</x:v>
      </x:c>
      <x:c r="C51" s="6" t="n">
        <x:v>2910000</x:v>
      </x:c>
      <x:c r="D51" s="6" t="n">
        <x:v>6040000</x:v>
      </x:c>
      <x:c r="E51" s="6" t="n">
        <x:f>C51-D51</x:f>
        <x:v>-3130000</x:v>
      </x:c>
      <x:c r="F51" s="6" t="n">
        <x:f>F50+E51</x:f>
        <x:v>-172000000</x:v>
      </x:c>
      <x:c r="G51" s="6" t="n">
        <x:v>2910000</x:v>
      </x:c>
      <x:c r="H51" s="6" t="n">
        <x:v>6040000</x:v>
      </x:c>
      <x:c r="I51" s="6" t="n">
        <x:v>262</x:v>
      </x:c>
      <x:c r="J51" s="6" t="n">
        <x:v>0</x:v>
      </x:c>
      <x:c r="K51" s="6" t="n">
        <x:v>0</x:v>
      </x:c>
      <x:c r="L51" s="6" t="n">
        <x:v>10</x:v>
      </x:c>
      <x:c r="M51" s="11" t="n">
        <x:v>0.7688034188034188</x:v>
      </x:c>
      <x:c r="N51" s="6" t="n">
        <x:v>3330000</x:v>
      </x:c>
    </x:row>
    <x:row r="52" ht="24" customHeight="1">
      <x:c r="A52" s="2" t="str">
        <x:v>2026-10-22_Day</x:v>
      </x:c>
      <x:c r="B52" s="6" t="str">
        <x:v>デイ</x:v>
      </x:c>
      <x:c r="C52" s="6" t="n">
        <x:v>2850000</x:v>
      </x:c>
      <x:c r="D52" s="6" t="n">
        <x:v>6950000</x:v>
      </x:c>
      <x:c r="E52" s="6" t="n">
        <x:f>C52-D52</x:f>
        <x:v>-4100000</x:v>
      </x:c>
      <x:c r="F52" s="6" t="n">
        <x:f>F51+E52</x:f>
        <x:v>-176100000</x:v>
      </x:c>
      <x:c r="G52" s="6" t="n">
        <x:v>2850000</x:v>
      </x:c>
      <x:c r="H52" s="6" t="n">
        <x:v>6950000</x:v>
      </x:c>
      <x:c r="I52" s="6" t="n">
        <x:v>260</x:v>
      </x:c>
      <x:c r="J52" s="6" t="n">
        <x:v>0</x:v>
      </x:c>
      <x:c r="K52" s="6" t="n">
        <x:v>0</x:v>
      </x:c>
      <x:c r="L52" s="6" t="n">
        <x:v>10</x:v>
      </x:c>
      <x:c r="M52" s="11" t="n">
        <x:v>0.8145634920634921</x:v>
      </x:c>
      <x:c r="N52" s="6" t="n">
        <x:v>4410000</x:v>
      </x:c>
    </x:row>
    <x:row r="53" ht="24" customHeight="1">
      <x:c r="A53" s="2" t="str">
        <x:v>2026-10-22_Night</x:v>
      </x:c>
      <x:c r="B53" s="6" t="str">
        <x:v>ナイト</x:v>
      </x:c>
      <x:c r="C53" s="6" t="n">
        <x:v>3880000</x:v>
      </x:c>
      <x:c r="D53" s="6" t="n">
        <x:v>7930000</x:v>
      </x:c>
      <x:c r="E53" s="6" t="n">
        <x:f>C53-D53</x:f>
        <x:v>-4050000</x:v>
      </x:c>
      <x:c r="F53" s="6" t="n">
        <x:f>F52+E53</x:f>
        <x:v>-180150000</x:v>
      </x:c>
      <x:c r="G53" s="6" t="n">
        <x:v>3880000</x:v>
      </x:c>
      <x:c r="H53" s="6" t="n">
        <x:v>7930000</x:v>
      </x:c>
      <x:c r="I53" s="6" t="n">
        <x:v>341</x:v>
      </x:c>
      <x:c r="J53" s="6" t="n">
        <x:v>0</x:v>
      </x:c>
      <x:c r="K53" s="6" t="n">
        <x:v>0</x:v>
      </x:c>
      <x:c r="L53" s="6" t="n">
        <x:v>10</x:v>
      </x:c>
      <x:c r="M53" s="11" t="n">
        <x:v>0.787051282051282</x:v>
      </x:c>
      <x:c r="N53" s="6" t="n">
        <x:v>4140000</x:v>
      </x:c>
    </x:row>
    <x:row r="54" ht="24" customHeight="1">
      <x:c r="A54" s="2" t="str">
        <x:v>2026-10-23_Day</x:v>
      </x:c>
      <x:c r="B54" s="6" t="str">
        <x:v>デイ</x:v>
      </x:c>
      <x:c r="C54" s="6" t="n">
        <x:v>5450000</x:v>
      </x:c>
      <x:c r="D54" s="6" t="n">
        <x:v>10540000</x:v>
      </x:c>
      <x:c r="E54" s="6" t="n">
        <x:f>C54-D54</x:f>
        <x:v>-5090000</x:v>
      </x:c>
      <x:c r="F54" s="6" t="n">
        <x:f>F53+E54</x:f>
        <x:v>-185240000</x:v>
      </x:c>
      <x:c r="G54" s="6" t="n">
        <x:v>5450000</x:v>
      </x:c>
      <x:c r="H54" s="6" t="n">
        <x:v>10540000</x:v>
      </x:c>
      <x:c r="I54" s="6" t="n">
        <x:v>374</x:v>
      </x:c>
      <x:c r="J54" s="6" t="n">
        <x:v>0</x:v>
      </x:c>
      <x:c r="K54" s="6" t="n">
        <x:v>0</x:v>
      </x:c>
      <x:c r="L54" s="6" t="n">
        <x:v>10</x:v>
      </x:c>
      <x:c r="M54" s="11" t="n">
        <x:v>0.7825</x:v>
      </x:c>
      <x:c r="N54" s="6" t="n">
        <x:v>5140000</x:v>
      </x:c>
    </x:row>
    <x:row r="55" ht="24" customHeight="1">
      <x:c r="A55" s="2" t="str">
        <x:v>2026-10-23_Night</x:v>
      </x:c>
      <x:c r="B55" s="6" t="str">
        <x:v>ナイト</x:v>
      </x:c>
      <x:c r="C55" s="6" t="n">
        <x:v>2960000</x:v>
      </x:c>
      <x:c r="D55" s="6" t="n">
        <x:v>8510000</x:v>
      </x:c>
      <x:c r="E55" s="6" t="n">
        <x:f>C55-D55</x:f>
        <x:v>-5550000</x:v>
      </x:c>
      <x:c r="F55" s="6" t="n">
        <x:f>F54+E55</x:f>
        <x:v>-190790000</x:v>
      </x:c>
      <x:c r="G55" s="6" t="n">
        <x:v>2960000</x:v>
      </x:c>
      <x:c r="H55" s="6" t="n">
        <x:v>8510000</x:v>
      </x:c>
      <x:c r="I55" s="6" t="n">
        <x:v>352</x:v>
      </x:c>
      <x:c r="J55" s="6" t="n">
        <x:v>0</x:v>
      </x:c>
      <x:c r="K55" s="6" t="n">
        <x:v>0</x:v>
      </x:c>
      <x:c r="L55" s="6" t="n">
        <x:v>10</x:v>
      </x:c>
      <x:c r="M55" s="11" t="n">
        <x:v>0.7673504273504274</x:v>
      </x:c>
      <x:c r="N55" s="6" t="n">
        <x:v>5550000</x:v>
      </x:c>
    </x:row>
    <x:row r="56" ht="24" customHeight="1">
      <x:c r="A56" s="2" t="str">
        <x:v>2026-10-26_Day</x:v>
      </x:c>
      <x:c r="B56" s="6" t="str">
        <x:v>デイ</x:v>
      </x:c>
      <x:c r="C56" s="6" t="n">
        <x:v>3440000</x:v>
      </x:c>
      <x:c r="D56" s="6" t="n">
        <x:v>7320000</x:v>
      </x:c>
      <x:c r="E56" s="6" t="n">
        <x:f>C56-D56</x:f>
        <x:v>-3880000</x:v>
      </x:c>
      <x:c r="F56" s="6" t="n">
        <x:f>F55+E56</x:f>
        <x:v>-194670000</x:v>
      </x:c>
      <x:c r="G56" s="6" t="n">
        <x:v>3440000</x:v>
      </x:c>
      <x:c r="H56" s="6" t="n">
        <x:v>7320000</x:v>
      </x:c>
      <x:c r="I56" s="6" t="n">
        <x:v>272</x:v>
      </x:c>
      <x:c r="J56" s="6" t="n">
        <x:v>0</x:v>
      </x:c>
      <x:c r="K56" s="6" t="n">
        <x:v>0</x:v>
      </x:c>
      <x:c r="L56" s="6" t="n">
        <x:v>10</x:v>
      </x:c>
      <x:c r="M56" s="11" t="n">
        <x:v>0.7992063492063493</x:v>
      </x:c>
      <x:c r="N56" s="6" t="n">
        <x:v>4010000</x:v>
      </x:c>
    </x:row>
    <x:row r="57" ht="24" customHeight="1">
      <x:c r="A57" s="15" t="str">
        <x:v>累計／平均／最大</x:v>
      </x:c>
      <x:c r="B57" s="16"/>
      <x:c r="C57" s="16" t="n">
        <x:f>SUM(C6:C56)</x:f>
        <x:v>116100000</x:v>
      </x:c>
      <x:c r="D57" s="16" t="n">
        <x:f>SUM(D6:D56)</x:f>
        <x:v>310770000</x:v>
      </x:c>
      <x:c r="E57" s="16" t="n">
        <x:f>C57-D57</x:f>
        <x:v>-194670000</x:v>
      </x:c>
      <x:c r="F57" s="16" t="n">
        <x:f>F56</x:f>
        <x:v>-194670000</x:v>
      </x:c>
      <x:c r="G57" s="16" t="n">
        <x:f>SUM(G6:G56)</x:f>
        <x:v>116100000</x:v>
      </x:c>
      <x:c r="H57" s="16" t="n">
        <x:f>SUM(H6:H56)</x:f>
        <x:v>310770000</x:v>
      </x:c>
      <x:c r="I57" s="16" t="n">
        <x:f>SUM(I6:I56)</x:f>
        <x:v>12436</x:v>
      </x:c>
      <x:c r="J57" s="16" t="n">
        <x:f>SUM(J6:J56)</x:f>
        <x:v>0</x:v>
      </x:c>
      <x:c r="K57" s="16" t="n">
        <x:f>SUM(K6:K56)</x:f>
        <x:v>0</x:v>
      </x:c>
      <x:c r="L57" s="16" t="n">
        <x:f>MAX(L6:L56)</x:f>
        <x:v>10</x:v>
      </x:c>
      <x:c r="M57" s="17" t="n">
        <x:f>AVERAGE(M6:M56)</x:f>
        <x:v>0.774542842778137</x:v>
      </x:c>
      <x:c r="N57" s="16" t="n">
        <x:f>MAX(N6:N56)</x:f>
        <x:v>5880000</x:v>
      </x:c>
    </x:row>
  </x:sheetData>
  <x:conditionalFormatting sqref="E6:F56">
    <x:cfRule type="cellIs" dxfId="33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eba4ea01f0e4f8f"/>
  </x:tableParts>
</x:worksheet>
</file>

<file path=xl/worksheets/sheet3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1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4" customHeight="1">
      <x:c r="A1" s="3" t="str">
        <x:v>TOPIX R01　各セッションの利益・損失・収支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A2" s="4" t="str">
        <x:v>2026/09/21〜10/26デイ・51完了場。日経mini／TOPIXmini各上限10枚・手数料0。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4" customHeight="1">
      <x:c r="A3" s="4" t="str">
        <x:v>3分MA・初回は傾き比例枚数・返済後は冷却して再参加・利益の伸びを追尾／D出口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4" customHeight="1">
      <x:c r="A4" s="4" t="str">
        <x:v>利益・損失＝FIFO返済配賦別。親＝初回から全返済まで。ラージ気配による模型で、mini実約定の検証ではありません。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42" customHeight="1">
      <x:c r="A5" s="10" t="str">
        <x:v>セッション</x:v>
      </x:c>
      <x:c r="B5" s="10" t="str">
        <x:v>区分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親利益（円）</x:v>
      </x:c>
      <x:c r="H5" s="10" t="str">
        <x:v>親損失（円）</x:v>
      </x:c>
      <x:c r="I5" s="10" t="str">
        <x:v>初回件数</x:v>
      </x:c>
      <x:c r="J5" s="10" t="str">
        <x:v>追加件数</x:v>
      </x:c>
      <x:c r="K5" s="10" t="str">
        <x:v>縮小件数</x:v>
      </x:c>
      <x:c r="L5" s="10" t="str">
        <x:v>最大保有枚数</x:v>
      </x:c>
      <x:c r="M5" s="10" t="str">
        <x:v>保有時間率</x:v>
      </x:c>
      <x:c r="N5" s="10" t="str">
        <x:v>時価最大DD（円）</x:v>
      </x:c>
    </x:row>
    <x:row r="6" ht="24" customHeight="1">
      <x:c r="A6" s="2" t="str">
        <x:v>2026-09-21_Day</x:v>
      </x:c>
      <x:c r="B6" s="6" t="str">
        <x:v>デイ</x:v>
      </x:c>
      <x:c r="C6" s="6" t="n">
        <x:v>76000</x:v>
      </x:c>
      <x:c r="D6" s="6" t="n">
        <x:v>316500</x:v>
      </x:c>
      <x:c r="E6" s="6" t="n">
        <x:f>C6-D6</x:f>
        <x:v>-240500</x:v>
      </x:c>
      <x:c r="F6" s="6" t="n">
        <x:f>E6</x:f>
        <x:v>-240500</x:v>
      </x:c>
      <x:c r="G6" s="6" t="n">
        <x:v>76000</x:v>
      </x:c>
      <x:c r="H6" s="6" t="n">
        <x:v>316500</x:v>
      </x:c>
      <x:c r="I6" s="6" t="n">
        <x:v>91</x:v>
      </x:c>
      <x:c r="J6" s="6" t="n">
        <x:v>0</x:v>
      </x:c>
      <x:c r="K6" s="6" t="n">
        <x:v>0</x:v>
      </x:c>
      <x:c r="L6" s="6" t="n">
        <x:v>10</x:v>
      </x:c>
      <x:c r="M6" s="11" t="n">
        <x:v>0.6215079365079365</x:v>
      </x:c>
      <x:c r="N6" s="6" t="n">
        <x:v>244000</x:v>
      </x:c>
    </x:row>
    <x:row r="7" ht="24" customHeight="1">
      <x:c r="A7" s="2" t="str">
        <x:v>2026-09-21_Night</x:v>
      </x:c>
      <x:c r="B7" s="6" t="str">
        <x:v>ナイト</x:v>
      </x:c>
      <x:c r="C7" s="6" t="n">
        <x:v>89500</x:v>
      </x:c>
      <x:c r="D7" s="6" t="n">
        <x:v>267500</x:v>
      </x:c>
      <x:c r="E7" s="6" t="n">
        <x:f>C7-D7</x:f>
        <x:v>-178000</x:v>
      </x:c>
      <x:c r="F7" s="6" t="n">
        <x:f>F6+E7</x:f>
        <x:v>-418500</x:v>
      </x:c>
      <x:c r="G7" s="6" t="n">
        <x:v>89500</x:v>
      </x:c>
      <x:c r="H7" s="6" t="n">
        <x:v>267500</x:v>
      </x:c>
      <x:c r="I7" s="6" t="n">
        <x:v>166</x:v>
      </x:c>
      <x:c r="J7" s="6" t="n">
        <x:v>0</x:v>
      </x:c>
      <x:c r="K7" s="6" t="n">
        <x:v>0</x:v>
      </x:c>
      <x:c r="L7" s="6" t="n">
        <x:v>10</x:v>
      </x:c>
      <x:c r="M7" s="11" t="n">
        <x:v>0.630576923076923</x:v>
      </x:c>
      <x:c r="N7" s="6" t="n">
        <x:v>216500</x:v>
      </x:c>
    </x:row>
    <x:row r="8" ht="24" customHeight="1">
      <x:c r="A8" s="2" t="str">
        <x:v>2026-09-22_Day</x:v>
      </x:c>
      <x:c r="B8" s="6" t="str">
        <x:v>デイ</x:v>
      </x:c>
      <x:c r="C8" s="6" t="n">
        <x:v>61500</x:v>
      </x:c>
      <x:c r="D8" s="6" t="n">
        <x:v>478000</x:v>
      </x:c>
      <x:c r="E8" s="6" t="n">
        <x:f>C8-D8</x:f>
        <x:v>-416500</x:v>
      </x:c>
      <x:c r="F8" s="6" t="n">
        <x:f>F7+E8</x:f>
        <x:v>-835000</x:v>
      </x:c>
      <x:c r="G8" s="6" t="n">
        <x:v>61500</x:v>
      </x:c>
      <x:c r="H8" s="6" t="n">
        <x:v>478000</x:v>
      </x:c>
      <x:c r="I8" s="6" t="n">
        <x:v>126</x:v>
      </x:c>
      <x:c r="J8" s="6" t="n">
        <x:v>0</x:v>
      </x:c>
      <x:c r="K8" s="6" t="n">
        <x:v>0</x:v>
      </x:c>
      <x:c r="L8" s="6" t="n">
        <x:v>10</x:v>
      </x:c>
      <x:c r="M8" s="11" t="n">
        <x:v>0.6482142857142857</x:v>
      </x:c>
      <x:c r="N8" s="6" t="n">
        <x:v>429000</x:v>
      </x:c>
    </x:row>
    <x:row r="9" ht="24" customHeight="1">
      <x:c r="A9" s="2" t="str">
        <x:v>2026-09-22_Night</x:v>
      </x:c>
      <x:c r="B9" s="6" t="str">
        <x:v>ナイト</x:v>
      </x:c>
      <x:c r="C9" s="6" t="n">
        <x:v>148000</x:v>
      </x:c>
      <x:c r="D9" s="6" t="n">
        <x:v>353500</x:v>
      </x:c>
      <x:c r="E9" s="6" t="n">
        <x:f>C9-D9</x:f>
        <x:v>-205500</x:v>
      </x:c>
      <x:c r="F9" s="6" t="n">
        <x:f>F8+E9</x:f>
        <x:v>-1040500</x:v>
      </x:c>
      <x:c r="G9" s="6" t="n">
        <x:v>148000</x:v>
      </x:c>
      <x:c r="H9" s="6" t="n">
        <x:v>353500</x:v>
      </x:c>
      <x:c r="I9" s="6" t="n">
        <x:v>173</x:v>
      </x:c>
      <x:c r="J9" s="6" t="n">
        <x:v>0</x:v>
      </x:c>
      <x:c r="K9" s="6" t="n">
        <x:v>0</x:v>
      </x:c>
      <x:c r="L9" s="6" t="n">
        <x:v>9</x:v>
      </x:c>
      <x:c r="M9" s="11" t="n">
        <x:v>0.6384188034188034</x:v>
      </x:c>
      <x:c r="N9" s="6" t="n">
        <x:v>249000</x:v>
      </x:c>
    </x:row>
    <x:row r="10" ht="24" customHeight="1">
      <x:c r="A10" s="2" t="str">
        <x:v>2026-09-23_Day</x:v>
      </x:c>
      <x:c r="B10" s="6" t="str">
        <x:v>デイ</x:v>
      </x:c>
      <x:c r="C10" s="6" t="n">
        <x:v>79500</x:v>
      </x:c>
      <x:c r="D10" s="6" t="n">
        <x:v>288000</x:v>
      </x:c>
      <x:c r="E10" s="6" t="n">
        <x:f>C10-D10</x:f>
        <x:v>-208500</x:v>
      </x:c>
      <x:c r="F10" s="6" t="n">
        <x:f>F9+E10</x:f>
        <x:v>-1249000</x:v>
      </x:c>
      <x:c r="G10" s="6" t="n">
        <x:v>79500</x:v>
      </x:c>
      <x:c r="H10" s="6" t="n">
        <x:v>288000</x:v>
      </x:c>
      <x:c r="I10" s="6" t="n">
        <x:v>102</x:v>
      </x:c>
      <x:c r="J10" s="6" t="n">
        <x:v>0</x:v>
      </x:c>
      <x:c r="K10" s="6" t="n">
        <x:v>0</x:v>
      </x:c>
      <x:c r="L10" s="6" t="n">
        <x:v>10</x:v>
      </x:c>
      <x:c r="M10" s="11" t="n">
        <x:v>0.6091269841269841</x:v>
      </x:c>
      <x:c r="N10" s="6" t="n">
        <x:v>276000</x:v>
      </x:c>
    </x:row>
    <x:row r="11" ht="24" customHeight="1">
      <x:c r="A11" s="2" t="str">
        <x:v>2026-09-23_Night</x:v>
      </x:c>
      <x:c r="B11" s="6" t="str">
        <x:v>ナイト</x:v>
      </x:c>
      <x:c r="C11" s="6" t="n">
        <x:v>96000</x:v>
      </x:c>
      <x:c r="D11" s="6" t="n">
        <x:v>446500</x:v>
      </x:c>
      <x:c r="E11" s="6" t="n">
        <x:f>C11-D11</x:f>
        <x:v>-350500</x:v>
      </x:c>
      <x:c r="F11" s="6" t="n">
        <x:f>F10+E11</x:f>
        <x:v>-1599500</x:v>
      </x:c>
      <x:c r="G11" s="6" t="n">
        <x:v>96000</x:v>
      </x:c>
      <x:c r="H11" s="6" t="n">
        <x:v>446500</x:v>
      </x:c>
      <x:c r="I11" s="6" t="n">
        <x:v>186</x:v>
      </x:c>
      <x:c r="J11" s="6" t="n">
        <x:v>0</x:v>
      </x:c>
      <x:c r="K11" s="6" t="n">
        <x:v>0</x:v>
      </x:c>
      <x:c r="L11" s="6" t="n">
        <x:v>10</x:v>
      </x:c>
      <x:c r="M11" s="11" t="n">
        <x:v>0.6389102564102564</x:v>
      </x:c>
      <x:c r="N11" s="6" t="n">
        <x:v>354500</x:v>
      </x:c>
    </x:row>
    <x:row r="12" ht="24" customHeight="1">
      <x:c r="A12" s="2" t="str">
        <x:v>2026-09-24_Day</x:v>
      </x:c>
      <x:c r="B12" s="6" t="str">
        <x:v>デイ</x:v>
      </x:c>
      <x:c r="C12" s="6" t="n">
        <x:v>154000</x:v>
      </x:c>
      <x:c r="D12" s="6" t="n">
        <x:v>208500</x:v>
      </x:c>
      <x:c r="E12" s="6" t="n">
        <x:f>C12-D12</x:f>
        <x:v>-54500</x:v>
      </x:c>
      <x:c r="F12" s="6" t="n">
        <x:f>F11+E12</x:f>
        <x:v>-1654000</x:v>
      </x:c>
      <x:c r="G12" s="6" t="n">
        <x:v>154000</x:v>
      </x:c>
      <x:c r="H12" s="6" t="n">
        <x:v>208500</x:v>
      </x:c>
      <x:c r="I12" s="6" t="n">
        <x:v>138</x:v>
      </x:c>
      <x:c r="J12" s="6" t="n">
        <x:v>0</x:v>
      </x:c>
      <x:c r="K12" s="6" t="n">
        <x:v>0</x:v>
      </x:c>
      <x:c r="L12" s="6" t="n">
        <x:v>10</x:v>
      </x:c>
      <x:c r="M12" s="11" t="n">
        <x:v>0.5534523809523809</x:v>
      </x:c>
      <x:c r="N12" s="6" t="n">
        <x:v>104500</x:v>
      </x:c>
    </x:row>
    <x:row r="13" ht="24" customHeight="1">
      <x:c r="A13" s="2" t="str">
        <x:v>2026-09-24_Night</x:v>
      </x:c>
      <x:c r="B13" s="6" t="str">
        <x:v>ナイト</x:v>
      </x:c>
      <x:c r="C13" s="6" t="n">
        <x:v>167000</x:v>
      </x:c>
      <x:c r="D13" s="6" t="n">
        <x:v>451500</x:v>
      </x:c>
      <x:c r="E13" s="6" t="n">
        <x:f>C13-D13</x:f>
        <x:v>-284500</x:v>
      </x:c>
      <x:c r="F13" s="6" t="n">
        <x:f>F12+E13</x:f>
        <x:v>-1938500</x:v>
      </x:c>
      <x:c r="G13" s="6" t="n">
        <x:v>167000</x:v>
      </x:c>
      <x:c r="H13" s="6" t="n">
        <x:v>451500</x:v>
      </x:c>
      <x:c r="I13" s="6" t="n">
        <x:v>215</x:v>
      </x:c>
      <x:c r="J13" s="6" t="n">
        <x:v>0</x:v>
      </x:c>
      <x:c r="K13" s="6" t="n">
        <x:v>0</x:v>
      </x:c>
      <x:c r="L13" s="6" t="n">
        <x:v>7</x:v>
      </x:c>
      <x:c r="M13" s="11" t="n">
        <x:v>0.5791025641025641</x:v>
      </x:c>
      <x:c r="N13" s="6" t="n">
        <x:v>322000</x:v>
      </x:c>
    </x:row>
    <x:row r="14" ht="24" customHeight="1">
      <x:c r="A14" s="2" t="str">
        <x:v>2026-09-25_Day</x:v>
      </x:c>
      <x:c r="B14" s="6" t="str">
        <x:v>デイ</x:v>
      </x:c>
      <x:c r="C14" s="6" t="n">
        <x:v>117500</x:v>
      </x:c>
      <x:c r="D14" s="6" t="n">
        <x:v>307500</x:v>
      </x:c>
      <x:c r="E14" s="6" t="n">
        <x:f>C14-D14</x:f>
        <x:v>-190000</x:v>
      </x:c>
      <x:c r="F14" s="6" t="n">
        <x:f>F13+E14</x:f>
        <x:v>-2128500</x:v>
      </x:c>
      <x:c r="G14" s="6" t="n">
        <x:v>117500</x:v>
      </x:c>
      <x:c r="H14" s="6" t="n">
        <x:v>307500</x:v>
      </x:c>
      <x:c r="I14" s="6" t="n">
        <x:v>140</x:v>
      </x:c>
      <x:c r="J14" s="6" t="n">
        <x:v>0</x:v>
      </x:c>
      <x:c r="K14" s="6" t="n">
        <x:v>0</x:v>
      </x:c>
      <x:c r="L14" s="6" t="n">
        <x:v>10</x:v>
      </x:c>
      <x:c r="M14" s="11" t="n">
        <x:v>0.5490079365079366</x:v>
      </x:c>
      <x:c r="N14" s="6" t="n">
        <x:v>194000</x:v>
      </x:c>
    </x:row>
    <x:row r="15" ht="24" customHeight="1">
      <x:c r="A15" s="2" t="str">
        <x:v>2026-09-25_Night</x:v>
      </x:c>
      <x:c r="B15" s="6" t="str">
        <x:v>ナイト</x:v>
      </x:c>
      <x:c r="C15" s="6" t="n">
        <x:v>97500</x:v>
      </x:c>
      <x:c r="D15" s="6" t="n">
        <x:v>438500</x:v>
      </x:c>
      <x:c r="E15" s="6" t="n">
        <x:f>C15-D15</x:f>
        <x:v>-341000</x:v>
      </x:c>
      <x:c r="F15" s="6" t="n">
        <x:f>F14+E15</x:f>
        <x:v>-2469500</x:v>
      </x:c>
      <x:c r="G15" s="6" t="n">
        <x:v>97500</x:v>
      </x:c>
      <x:c r="H15" s="6" t="n">
        <x:v>438500</x:v>
      </x:c>
      <x:c r="I15" s="6" t="n">
        <x:v>188</x:v>
      </x:c>
      <x:c r="J15" s="6" t="n">
        <x:v>0</x:v>
      </x:c>
      <x:c r="K15" s="6" t="n">
        <x:v>0</x:v>
      </x:c>
      <x:c r="L15" s="6" t="n">
        <x:v>10</x:v>
      </x:c>
      <x:c r="M15" s="11" t="n">
        <x:v>0.5719871794871795</x:v>
      </x:c>
      <x:c r="N15" s="6" t="n">
        <x:v>352500</x:v>
      </x:c>
    </x:row>
    <x:row r="16" ht="24" customHeight="1">
      <x:c r="A16" s="2" t="str">
        <x:v>2026-09-28_Day</x:v>
      </x:c>
      <x:c r="B16" s="6" t="str">
        <x:v>デイ</x:v>
      </x:c>
      <x:c r="C16" s="6" t="n">
        <x:v>85500</x:v>
      </x:c>
      <x:c r="D16" s="6" t="n">
        <x:v>320000</x:v>
      </x:c>
      <x:c r="E16" s="6" t="n">
        <x:f>C16-D16</x:f>
        <x:v>-234500</x:v>
      </x:c>
      <x:c r="F16" s="6" t="n">
        <x:f>F15+E16</x:f>
        <x:v>-2704000</x:v>
      </x:c>
      <x:c r="G16" s="6" t="n">
        <x:v>85500</x:v>
      </x:c>
      <x:c r="H16" s="6" t="n">
        <x:v>320000</x:v>
      </x:c>
      <x:c r="I16" s="6" t="n">
        <x:v>153</x:v>
      </x:c>
      <x:c r="J16" s="6" t="n">
        <x:v>0</x:v>
      </x:c>
      <x:c r="K16" s="6" t="n">
        <x:v>0</x:v>
      </x:c>
      <x:c r="L16" s="6" t="n">
        <x:v>10</x:v>
      </x:c>
      <x:c r="M16" s="11" t="n">
        <x:v>0.5824206349206349</x:v>
      </x:c>
      <x:c r="N16" s="6" t="n">
        <x:v>282000</x:v>
      </x:c>
    </x:row>
    <x:row r="17" ht="24" customHeight="1">
      <x:c r="A17" s="2" t="str">
        <x:v>2026-09-28_Night</x:v>
      </x:c>
      <x:c r="B17" s="6" t="str">
        <x:v>ナイト</x:v>
      </x:c>
      <x:c r="C17" s="6" t="n">
        <x:v>192500</x:v>
      </x:c>
      <x:c r="D17" s="6" t="n">
        <x:v>407500</x:v>
      </x:c>
      <x:c r="E17" s="6" t="n">
        <x:f>C17-D17</x:f>
        <x:v>-215000</x:v>
      </x:c>
      <x:c r="F17" s="6" t="n">
        <x:f>F16+E17</x:f>
        <x:v>-2919000</x:v>
      </x:c>
      <x:c r="G17" s="6" t="n">
        <x:v>192500</x:v>
      </x:c>
      <x:c r="H17" s="6" t="n">
        <x:v>407500</x:v>
      </x:c>
      <x:c r="I17" s="6" t="n">
        <x:v>214</x:v>
      </x:c>
      <x:c r="J17" s="6" t="n">
        <x:v>0</x:v>
      </x:c>
      <x:c r="K17" s="6" t="n">
        <x:v>0</x:v>
      </x:c>
      <x:c r="L17" s="6" t="n">
        <x:v>7</x:v>
      </x:c>
      <x:c r="M17" s="11" t="n">
        <x:v>0.6354059829059829</x:v>
      </x:c>
      <x:c r="N17" s="6" t="n">
        <x:v>236500</x:v>
      </x:c>
    </x:row>
    <x:row r="18" ht="24" customHeight="1">
      <x:c r="A18" s="2" t="str">
        <x:v>2026-09-29_Day</x:v>
      </x:c>
      <x:c r="B18" s="6" t="str">
        <x:v>デイ</x:v>
      </x:c>
      <x:c r="C18" s="6" t="n">
        <x:v>92500</x:v>
      </x:c>
      <x:c r="D18" s="6" t="n">
        <x:v>312000</x:v>
      </x:c>
      <x:c r="E18" s="6" t="n">
        <x:f>C18-D18</x:f>
        <x:v>-219500</x:v>
      </x:c>
      <x:c r="F18" s="6" t="n">
        <x:f>F17+E18</x:f>
        <x:v>-3138500</x:v>
      </x:c>
      <x:c r="G18" s="6" t="n">
        <x:v>92500</x:v>
      </x:c>
      <x:c r="H18" s="6" t="n">
        <x:v>312000</x:v>
      </x:c>
      <x:c r="I18" s="6" t="n">
        <x:v>152</x:v>
      </x:c>
      <x:c r="J18" s="6" t="n">
        <x:v>0</x:v>
      </x:c>
      <x:c r="K18" s="6" t="n">
        <x:v>0</x:v>
      </x:c>
      <x:c r="L18" s="6" t="n">
        <x:v>10</x:v>
      </x:c>
      <x:c r="M18" s="11" t="n">
        <x:v>0.5463095238095238</x:v>
      </x:c>
      <x:c r="N18" s="6" t="n">
        <x:v>228500</x:v>
      </x:c>
    </x:row>
    <x:row r="19" ht="24" customHeight="1">
      <x:c r="A19" s="2" t="str">
        <x:v>2026-09-29_Night</x:v>
      </x:c>
      <x:c r="B19" s="6" t="str">
        <x:v>ナイト</x:v>
      </x:c>
      <x:c r="C19" s="6" t="n">
        <x:v>144000</x:v>
      </x:c>
      <x:c r="D19" s="6" t="n">
        <x:v>406500</x:v>
      </x:c>
      <x:c r="E19" s="6" t="n">
        <x:f>C19-D19</x:f>
        <x:v>-262500</x:v>
      </x:c>
      <x:c r="F19" s="6" t="n">
        <x:f>F18+E19</x:f>
        <x:v>-3401000</x:v>
      </x:c>
      <x:c r="G19" s="6" t="n">
        <x:v>144000</x:v>
      </x:c>
      <x:c r="H19" s="6" t="n">
        <x:v>406500</x:v>
      </x:c>
      <x:c r="I19" s="6" t="n">
        <x:v>216</x:v>
      </x:c>
      <x:c r="J19" s="6" t="n">
        <x:v>0</x:v>
      </x:c>
      <x:c r="K19" s="6" t="n">
        <x:v>0</x:v>
      </x:c>
      <x:c r="L19" s="6" t="n">
        <x:v>10</x:v>
      </x:c>
      <x:c r="M19" s="11" t="n">
        <x:v>0.6532692307692308</x:v>
      </x:c>
      <x:c r="N19" s="6" t="n">
        <x:v>274500</x:v>
      </x:c>
    </x:row>
    <x:row r="20" ht="24" customHeight="1">
      <x:c r="A20" s="2" t="str">
        <x:v>2026-09-30_Day</x:v>
      </x:c>
      <x:c r="B20" s="6" t="str">
        <x:v>デイ</x:v>
      </x:c>
      <x:c r="C20" s="6" t="n">
        <x:v>100000</x:v>
      </x:c>
      <x:c r="D20" s="6" t="n">
        <x:v>321500</x:v>
      </x:c>
      <x:c r="E20" s="6" t="n">
        <x:f>C20-D20</x:f>
        <x:v>-221500</x:v>
      </x:c>
      <x:c r="F20" s="6" t="n">
        <x:f>F19+E20</x:f>
        <x:v>-3622500</x:v>
      </x:c>
      <x:c r="G20" s="6" t="n">
        <x:v>100000</x:v>
      </x:c>
      <x:c r="H20" s="6" t="n">
        <x:v>321500</x:v>
      </x:c>
      <x:c r="I20" s="6" t="n">
        <x:v>151</x:v>
      </x:c>
      <x:c r="J20" s="6" t="n">
        <x:v>0</x:v>
      </x:c>
      <x:c r="K20" s="6" t="n">
        <x:v>0</x:v>
      </x:c>
      <x:c r="L20" s="6" t="n">
        <x:v>10</x:v>
      </x:c>
      <x:c r="M20" s="11" t="n">
        <x:v>0.5461904761904762</x:v>
      </x:c>
      <x:c r="N20" s="6" t="n">
        <x:v>239500</x:v>
      </x:c>
    </x:row>
    <x:row r="21" ht="24" customHeight="1">
      <x:c r="A21" s="2" t="str">
        <x:v>2026-09-30_Night</x:v>
      </x:c>
      <x:c r="B21" s="6" t="str">
        <x:v>ナイト</x:v>
      </x:c>
      <x:c r="C21" s="6" t="n">
        <x:v>146500</x:v>
      </x:c>
      <x:c r="D21" s="6" t="n">
        <x:v>460000</x:v>
      </x:c>
      <x:c r="E21" s="6" t="n">
        <x:f>C21-D21</x:f>
        <x:v>-313500</x:v>
      </x:c>
      <x:c r="F21" s="6" t="n">
        <x:f>F20+E21</x:f>
        <x:v>-3936000</x:v>
      </x:c>
      <x:c r="G21" s="6" t="n">
        <x:v>146500</x:v>
      </x:c>
      <x:c r="H21" s="6" t="n">
        <x:v>460000</x:v>
      </x:c>
      <x:c r="I21" s="6" t="n">
        <x:v>222</x:v>
      </x:c>
      <x:c r="J21" s="6" t="n">
        <x:v>0</x:v>
      </x:c>
      <x:c r="K21" s="6" t="n">
        <x:v>0</x:v>
      </x:c>
      <x:c r="L21" s="6" t="n">
        <x:v>7</x:v>
      </x:c>
      <x:c r="M21" s="11" t="n">
        <x:v>0.5808760683760684</x:v>
      </x:c>
      <x:c r="N21" s="6" t="n">
        <x:v>334000</x:v>
      </x:c>
    </x:row>
    <x:row r="22" ht="24" customHeight="1">
      <x:c r="A22" s="2" t="str">
        <x:v>2026-10-01_Day</x:v>
      </x:c>
      <x:c r="B22" s="6" t="str">
        <x:v>デイ</x:v>
      </x:c>
      <x:c r="C22" s="6" t="n">
        <x:v>86000</x:v>
      </x:c>
      <x:c r="D22" s="6" t="n">
        <x:v>308000</x:v>
      </x:c>
      <x:c r="E22" s="6" t="n">
        <x:f>C22-D22</x:f>
        <x:v>-222000</x:v>
      </x:c>
      <x:c r="F22" s="6" t="n">
        <x:f>F21+E22</x:f>
        <x:v>-4158000</x:v>
      </x:c>
      <x:c r="G22" s="6" t="n">
        <x:v>86000</x:v>
      </x:c>
      <x:c r="H22" s="6" t="n">
        <x:v>308000</x:v>
      </x:c>
      <x:c r="I22" s="6" t="n">
        <x:v>142</x:v>
      </x:c>
      <x:c r="J22" s="6" t="n">
        <x:v>0</x:v>
      </x:c>
      <x:c r="K22" s="6" t="n">
        <x:v>0</x:v>
      </x:c>
      <x:c r="L22" s="6" t="n">
        <x:v>10</x:v>
      </x:c>
      <x:c r="M22" s="11" t="n">
        <x:v>0.5509126984126984</x:v>
      </x:c>
      <x:c r="N22" s="6" t="n">
        <x:v>226500</x:v>
      </x:c>
    </x:row>
    <x:row r="23" ht="24" customHeight="1">
      <x:c r="A23" s="2" t="str">
        <x:v>2026-10-01_Night</x:v>
      </x:c>
      <x:c r="B23" s="6" t="str">
        <x:v>ナイト</x:v>
      </x:c>
      <x:c r="C23" s="6" t="n">
        <x:v>171000</x:v>
      </x:c>
      <x:c r="D23" s="6" t="n">
        <x:v>738000</x:v>
      </x:c>
      <x:c r="E23" s="6" t="n">
        <x:f>C23-D23</x:f>
        <x:v>-567000</x:v>
      </x:c>
      <x:c r="F23" s="6" t="n">
        <x:f>F22+E23</x:f>
        <x:v>-4725000</x:v>
      </x:c>
      <x:c r="G23" s="6" t="n">
        <x:v>171000</x:v>
      </x:c>
      <x:c r="H23" s="6" t="n">
        <x:v>738000</x:v>
      </x:c>
      <x:c r="I23" s="6" t="n">
        <x:v>242</x:v>
      </x:c>
      <x:c r="J23" s="6" t="n">
        <x:v>0</x:v>
      </x:c>
      <x:c r="K23" s="6" t="n">
        <x:v>0</x:v>
      </x:c>
      <x:c r="L23" s="6" t="n">
        <x:v>10</x:v>
      </x:c>
      <x:c r="M23" s="11" t="n">
        <x:v>0.5791880341880342</x:v>
      </x:c>
      <x:c r="N23" s="6" t="n">
        <x:v>576000</x:v>
      </x:c>
    </x:row>
    <x:row r="24" ht="24" customHeight="1">
      <x:c r="A24" s="2" t="str">
        <x:v>2026-10-02_Day</x:v>
      </x:c>
      <x:c r="B24" s="6" t="str">
        <x:v>デイ</x:v>
      </x:c>
      <x:c r="C24" s="6" t="n">
        <x:v>89500</x:v>
      </x:c>
      <x:c r="D24" s="6" t="n">
        <x:v>172500</x:v>
      </x:c>
      <x:c r="E24" s="6" t="n">
        <x:f>C24-D24</x:f>
        <x:v>-83000</x:v>
      </x:c>
      <x:c r="F24" s="6" t="n">
        <x:f>F23+E24</x:f>
        <x:v>-4808000</x:v>
      </x:c>
      <x:c r="G24" s="6" t="n">
        <x:v>89500</x:v>
      </x:c>
      <x:c r="H24" s="6" t="n">
        <x:v>172500</x:v>
      </x:c>
      <x:c r="I24" s="6" t="n">
        <x:v>129</x:v>
      </x:c>
      <x:c r="J24" s="6" t="n">
        <x:v>0</x:v>
      </x:c>
      <x:c r="K24" s="6" t="n">
        <x:v>0</x:v>
      </x:c>
      <x:c r="L24" s="6" t="n">
        <x:v>7</x:v>
      </x:c>
      <x:c r="M24" s="11" t="n">
        <x:v>0.5117063492063492</x:v>
      </x:c>
      <x:c r="N24" s="6" t="n">
        <x:v>128000</x:v>
      </x:c>
    </x:row>
    <x:row r="25" ht="24" customHeight="1">
      <x:c r="A25" s="2" t="str">
        <x:v>2026-10-02_Night</x:v>
      </x:c>
      <x:c r="B25" s="6" t="str">
        <x:v>ナイト</x:v>
      </x:c>
      <x:c r="C25" s="6" t="n">
        <x:v>144000</x:v>
      </x:c>
      <x:c r="D25" s="6" t="n">
        <x:v>455000</x:v>
      </x:c>
      <x:c r="E25" s="6" t="n">
        <x:f>C25-D25</x:f>
        <x:v>-311000</x:v>
      </x:c>
      <x:c r="F25" s="6" t="n">
        <x:f>F24+E25</x:f>
        <x:v>-5119000</x:v>
      </x:c>
      <x:c r="G25" s="6" t="n">
        <x:v>144000</x:v>
      </x:c>
      <x:c r="H25" s="6" t="n">
        <x:v>455000</x:v>
      </x:c>
      <x:c r="I25" s="6" t="n">
        <x:v>222</x:v>
      </x:c>
      <x:c r="J25" s="6" t="n">
        <x:v>0</x:v>
      </x:c>
      <x:c r="K25" s="6" t="n">
        <x:v>0</x:v>
      </x:c>
      <x:c r="L25" s="6" t="n">
        <x:v>7</x:v>
      </x:c>
      <x:c r="M25" s="11" t="n">
        <x:v>0.5488461538461539</x:v>
      </x:c>
      <x:c r="N25" s="6" t="n">
        <x:v>311000</x:v>
      </x:c>
    </x:row>
    <x:row r="26" ht="24" customHeight="1">
      <x:c r="A26" s="2" t="str">
        <x:v>2026-10-05_Day</x:v>
      </x:c>
      <x:c r="B26" s="6" t="str">
        <x:v>デイ</x:v>
      </x:c>
      <x:c r="C26" s="6" t="n">
        <x:v>99000</x:v>
      </x:c>
      <x:c r="D26" s="6" t="n">
        <x:v>217000</x:v>
      </x:c>
      <x:c r="E26" s="6" t="n">
        <x:f>C26-D26</x:f>
        <x:v>-118000</x:v>
      </x:c>
      <x:c r="F26" s="6" t="n">
        <x:f>F25+E26</x:f>
        <x:v>-5237000</x:v>
      </x:c>
      <x:c r="G26" s="6" t="n">
        <x:v>99000</x:v>
      </x:c>
      <x:c r="H26" s="6" t="n">
        <x:v>217000</x:v>
      </x:c>
      <x:c r="I26" s="6" t="n">
        <x:v>132</x:v>
      </x:c>
      <x:c r="J26" s="6" t="n">
        <x:v>0</x:v>
      </x:c>
      <x:c r="K26" s="6" t="n">
        <x:v>0</x:v>
      </x:c>
      <x:c r="L26" s="6" t="n">
        <x:v>10</x:v>
      </x:c>
      <x:c r="M26" s="11" t="n">
        <x:v>0.5658333333333333</x:v>
      </x:c>
      <x:c r="N26" s="6" t="n">
        <x:v>167500</x:v>
      </x:c>
    </x:row>
    <x:row r="27" ht="24" customHeight="1">
      <x:c r="A27" s="2" t="str">
        <x:v>2026-10-05_Night</x:v>
      </x:c>
      <x:c r="B27" s="6" t="str">
        <x:v>ナイト</x:v>
      </x:c>
      <x:c r="C27" s="6" t="n">
        <x:v>126000</x:v>
      </x:c>
      <x:c r="D27" s="6" t="n">
        <x:v>391500</x:v>
      </x:c>
      <x:c r="E27" s="6" t="n">
        <x:f>C27-D27</x:f>
        <x:v>-265500</x:v>
      </x:c>
      <x:c r="F27" s="6" t="n">
        <x:f>F26+E27</x:f>
        <x:v>-5502500</x:v>
      </x:c>
      <x:c r="G27" s="6" t="n">
        <x:v>126000</x:v>
      </x:c>
      <x:c r="H27" s="6" t="n">
        <x:v>391500</x:v>
      </x:c>
      <x:c r="I27" s="6" t="n">
        <x:v>221</x:v>
      </x:c>
      <x:c r="J27" s="6" t="n">
        <x:v>0</x:v>
      </x:c>
      <x:c r="K27" s="6" t="n">
        <x:v>0</x:v>
      </x:c>
      <x:c r="L27" s="6" t="n">
        <x:v>10</x:v>
      </x:c>
      <x:c r="M27" s="11" t="n">
        <x:v>0.6245940170940171</x:v>
      </x:c>
      <x:c r="N27" s="6" t="n">
        <x:v>265500</x:v>
      </x:c>
    </x:row>
    <x:row r="28" ht="24" customHeight="1">
      <x:c r="A28" s="2" t="str">
        <x:v>2026-10-06_Day</x:v>
      </x:c>
      <x:c r="B28" s="6" t="str">
        <x:v>デイ</x:v>
      </x:c>
      <x:c r="C28" s="6" t="n">
        <x:v>58500</x:v>
      </x:c>
      <x:c r="D28" s="6" t="n">
        <x:v>209000</x:v>
      </x:c>
      <x:c r="E28" s="6" t="n">
        <x:f>C28-D28</x:f>
        <x:v>-150500</x:v>
      </x:c>
      <x:c r="F28" s="6" t="n">
        <x:f>F27+E28</x:f>
        <x:v>-5653000</x:v>
      </x:c>
      <x:c r="G28" s="6" t="n">
        <x:v>58500</x:v>
      </x:c>
      <x:c r="H28" s="6" t="n">
        <x:v>209000</x:v>
      </x:c>
      <x:c r="I28" s="6" t="n">
        <x:v>139</x:v>
      </x:c>
      <x:c r="J28" s="6" t="n">
        <x:v>0</x:v>
      </x:c>
      <x:c r="K28" s="6" t="n">
        <x:v>0</x:v>
      </x:c>
      <x:c r="L28" s="6" t="n">
        <x:v>6</x:v>
      </x:c>
      <x:c r="M28" s="11" t="n">
        <x:v>0.5437698412698413</x:v>
      </x:c>
      <x:c r="N28" s="6" t="n">
        <x:v>151500</x:v>
      </x:c>
    </x:row>
    <x:row r="29" ht="24" customHeight="1">
      <x:c r="A29" s="2" t="str">
        <x:v>2026-10-06_Night</x:v>
      </x:c>
      <x:c r="B29" s="6" t="str">
        <x:v>ナイト</x:v>
      </x:c>
      <x:c r="C29" s="6" t="n">
        <x:v>57500</x:v>
      </x:c>
      <x:c r="D29" s="6" t="n">
        <x:v>281500</x:v>
      </x:c>
      <x:c r="E29" s="6" t="n">
        <x:f>C29-D29</x:f>
        <x:v>-224000</x:v>
      </x:c>
      <x:c r="F29" s="6" t="n">
        <x:f>F28+E29</x:f>
        <x:v>-5877000</x:v>
      </x:c>
      <x:c r="G29" s="6" t="n">
        <x:v>57500</x:v>
      </x:c>
      <x:c r="H29" s="6" t="n">
        <x:v>281500</x:v>
      </x:c>
      <x:c r="I29" s="6" t="n">
        <x:v>214</x:v>
      </x:c>
      <x:c r="J29" s="6" t="n">
        <x:v>0</x:v>
      </x:c>
      <x:c r="K29" s="6" t="n">
        <x:v>0</x:v>
      </x:c>
      <x:c r="L29" s="6" t="n">
        <x:v>5</x:v>
      </x:c>
      <x:c r="M29" s="11" t="n">
        <x:v>0.6293803418803419</x:v>
      </x:c>
      <x:c r="N29" s="6" t="n">
        <x:v>230500</x:v>
      </x:c>
    </x:row>
    <x:row r="30" ht="24" customHeight="1">
      <x:c r="A30" s="2" t="str">
        <x:v>2026-10-07_Day</x:v>
      </x:c>
      <x:c r="B30" s="6" t="str">
        <x:v>デイ</x:v>
      </x:c>
      <x:c r="C30" s="6" t="n">
        <x:v>55000</x:v>
      </x:c>
      <x:c r="D30" s="6" t="n">
        <x:v>142500</x:v>
      </x:c>
      <x:c r="E30" s="6" t="n">
        <x:f>C30-D30</x:f>
        <x:v>-87500</x:v>
      </x:c>
      <x:c r="F30" s="6" t="n">
        <x:f>F29+E30</x:f>
        <x:v>-5964500</x:v>
      </x:c>
      <x:c r="G30" s="6" t="n">
        <x:v>55000</x:v>
      </x:c>
      <x:c r="H30" s="6" t="n">
        <x:v>142500</x:v>
      </x:c>
      <x:c r="I30" s="6" t="n">
        <x:v>121</x:v>
      </x:c>
      <x:c r="J30" s="6" t="n">
        <x:v>0</x:v>
      </x:c>
      <x:c r="K30" s="6" t="n">
        <x:v>0</x:v>
      </x:c>
      <x:c r="L30" s="6" t="n">
        <x:v>4</x:v>
      </x:c>
      <x:c r="M30" s="11" t="n">
        <x:v>0.550952380952381</x:v>
      </x:c>
      <x:c r="N30" s="6" t="n">
        <x:v>91000</x:v>
      </x:c>
    </x:row>
    <x:row r="31" ht="24" customHeight="1">
      <x:c r="A31" s="2" t="str">
        <x:v>2026-10-07_Night</x:v>
      </x:c>
      <x:c r="B31" s="6" t="str">
        <x:v>ナイト</x:v>
      </x:c>
      <x:c r="C31" s="6" t="n">
        <x:v>57000</x:v>
      </x:c>
      <x:c r="D31" s="6" t="n">
        <x:v>371000</x:v>
      </x:c>
      <x:c r="E31" s="6" t="n">
        <x:f>C31-D31</x:f>
        <x:v>-314000</x:v>
      </x:c>
      <x:c r="F31" s="6" t="n">
        <x:f>F30+E31</x:f>
        <x:v>-6278500</x:v>
      </x:c>
      <x:c r="G31" s="6" t="n">
        <x:v>57000</x:v>
      </x:c>
      <x:c r="H31" s="6" t="n">
        <x:v>371000</x:v>
      </x:c>
      <x:c r="I31" s="6" t="n">
        <x:v>205</x:v>
      </x:c>
      <x:c r="J31" s="6" t="n">
        <x:v>0</x:v>
      </x:c>
      <x:c r="K31" s="6" t="n">
        <x:v>0</x:v>
      </x:c>
      <x:c r="L31" s="6" t="n">
        <x:v>8</x:v>
      </x:c>
      <x:c r="M31" s="11" t="n">
        <x:v>0.6212393162393163</x:v>
      </x:c>
      <x:c r="N31" s="6" t="n">
        <x:v>318000</x:v>
      </x:c>
    </x:row>
    <x:row r="32" ht="24" customHeight="1">
      <x:c r="A32" s="2" t="str">
        <x:v>2026-10-08_Day</x:v>
      </x:c>
      <x:c r="B32" s="6" t="str">
        <x:v>デイ</x:v>
      </x:c>
      <x:c r="C32" s="6" t="n">
        <x:v>87000</x:v>
      </x:c>
      <x:c r="D32" s="6" t="n">
        <x:v>145000</x:v>
      </x:c>
      <x:c r="E32" s="6" t="n">
        <x:f>C32-D32</x:f>
        <x:v>-58000</x:v>
      </x:c>
      <x:c r="F32" s="6" t="n">
        <x:f>F31+E32</x:f>
        <x:v>-6336500</x:v>
      </x:c>
      <x:c r="G32" s="6" t="n">
        <x:v>87000</x:v>
      </x:c>
      <x:c r="H32" s="6" t="n">
        <x:v>145000</x:v>
      </x:c>
      <x:c r="I32" s="6" t="n">
        <x:v>123</x:v>
      </x:c>
      <x:c r="J32" s="6" t="n">
        <x:v>0</x:v>
      </x:c>
      <x:c r="K32" s="6" t="n">
        <x:v>0</x:v>
      </x:c>
      <x:c r="L32" s="6" t="n">
        <x:v>6</x:v>
      </x:c>
      <x:c r="M32" s="11" t="n">
        <x:v>0.49543650793650795</x:v>
      </x:c>
      <x:c r="N32" s="6" t="n">
        <x:v>63500</x:v>
      </x:c>
    </x:row>
    <x:row r="33" ht="24" customHeight="1">
      <x:c r="A33" s="2" t="str">
        <x:v>2026-10-08_Night</x:v>
      </x:c>
      <x:c r="B33" s="6" t="str">
        <x:v>ナイト</x:v>
      </x:c>
      <x:c r="C33" s="6" t="n">
        <x:v>199500</x:v>
      </x:c>
      <x:c r="D33" s="6" t="n">
        <x:v>518500</x:v>
      </x:c>
      <x:c r="E33" s="6" t="n">
        <x:f>C33-D33</x:f>
        <x:v>-319000</x:v>
      </x:c>
      <x:c r="F33" s="6" t="n">
        <x:f>F32+E33</x:f>
        <x:v>-6655500</x:v>
      </x:c>
      <x:c r="G33" s="6" t="n">
        <x:v>199500</x:v>
      </x:c>
      <x:c r="H33" s="6" t="n">
        <x:v>518500</x:v>
      </x:c>
      <x:c r="I33" s="6" t="n">
        <x:v>226</x:v>
      </x:c>
      <x:c r="J33" s="6" t="n">
        <x:v>0</x:v>
      </x:c>
      <x:c r="K33" s="6" t="n">
        <x:v>0</x:v>
      </x:c>
      <x:c r="L33" s="6" t="n">
        <x:v>10</x:v>
      </x:c>
      <x:c r="M33" s="11" t="n">
        <x:v>0.5850213675213676</x:v>
      </x:c>
      <x:c r="N33" s="6" t="n">
        <x:v>349500</x:v>
      </x:c>
    </x:row>
    <x:row r="34" ht="24" customHeight="1">
      <x:c r="A34" s="2" t="str">
        <x:v>2026-10-09_Day</x:v>
      </x:c>
      <x:c r="B34" s="6" t="str">
        <x:v>デイ</x:v>
      </x:c>
      <x:c r="C34" s="6" t="n">
        <x:v>102000</x:v>
      </x:c>
      <x:c r="D34" s="6" t="n">
        <x:v>252500</x:v>
      </x:c>
      <x:c r="E34" s="6" t="n">
        <x:f>C34-D34</x:f>
        <x:v>-150500</x:v>
      </x:c>
      <x:c r="F34" s="6" t="n">
        <x:f>F33+E34</x:f>
        <x:v>-6806000</x:v>
      </x:c>
      <x:c r="G34" s="6" t="n">
        <x:v>102000</x:v>
      </x:c>
      <x:c r="H34" s="6" t="n">
        <x:v>252500</x:v>
      </x:c>
      <x:c r="I34" s="6" t="n">
        <x:v>132</x:v>
      </x:c>
      <x:c r="J34" s="6" t="n">
        <x:v>0</x:v>
      </x:c>
      <x:c r="K34" s="6" t="n">
        <x:v>0</x:v>
      </x:c>
      <x:c r="L34" s="6" t="n">
        <x:v>10</x:v>
      </x:c>
      <x:c r="M34" s="11" t="n">
        <x:v>0.5625396825396826</x:v>
      </x:c>
      <x:c r="N34" s="6" t="n">
        <x:v>160500</x:v>
      </x:c>
    </x:row>
    <x:row r="35" ht="24" customHeight="1">
      <x:c r="A35" s="2" t="str">
        <x:v>2026-10-09_Night</x:v>
      </x:c>
      <x:c r="B35" s="6" t="str">
        <x:v>ナイト</x:v>
      </x:c>
      <x:c r="C35" s="6" t="n">
        <x:v>67000</x:v>
      </x:c>
      <x:c r="D35" s="6" t="n">
        <x:v>339500</x:v>
      </x:c>
      <x:c r="E35" s="6" t="n">
        <x:f>C35-D35</x:f>
        <x:v>-272500</x:v>
      </x:c>
      <x:c r="F35" s="6" t="n">
        <x:f>F34+E35</x:f>
        <x:v>-7078500</x:v>
      </x:c>
      <x:c r="G35" s="6" t="n">
        <x:v>67000</x:v>
      </x:c>
      <x:c r="H35" s="6" t="n">
        <x:v>339500</x:v>
      </x:c>
      <x:c r="I35" s="6" t="n">
        <x:v>202</x:v>
      </x:c>
      <x:c r="J35" s="6" t="n">
        <x:v>0</x:v>
      </x:c>
      <x:c r="K35" s="6" t="n">
        <x:v>0</x:v>
      </x:c>
      <x:c r="L35" s="6" t="n">
        <x:v>9</x:v>
      </x:c>
      <x:c r="M35" s="11" t="n">
        <x:v>0.6189316239316239</x:v>
      </x:c>
      <x:c r="N35" s="6" t="n">
        <x:v>275000</x:v>
      </x:c>
    </x:row>
    <x:row r="36" ht="24" customHeight="1">
      <x:c r="A36" s="2" t="str">
        <x:v>2026-10-12_Day</x:v>
      </x:c>
      <x:c r="B36" s="6" t="str">
        <x:v>デイ</x:v>
      </x:c>
      <x:c r="C36" s="6" t="n">
        <x:v>28000</x:v>
      </x:c>
      <x:c r="D36" s="6" t="n">
        <x:v>212500</x:v>
      </x:c>
      <x:c r="E36" s="6" t="n">
        <x:f>C36-D36</x:f>
        <x:v>-184500</x:v>
      </x:c>
      <x:c r="F36" s="6" t="n">
        <x:f>F35+E36</x:f>
        <x:v>-7263000</x:v>
      </x:c>
      <x:c r="G36" s="6" t="n">
        <x:v>28000</x:v>
      </x:c>
      <x:c r="H36" s="6" t="n">
        <x:v>212500</x:v>
      </x:c>
      <x:c r="I36" s="6" t="n">
        <x:v>98</x:v>
      </x:c>
      <x:c r="J36" s="6" t="n">
        <x:v>0</x:v>
      </x:c>
      <x:c r="K36" s="6" t="n">
        <x:v>0</x:v>
      </x:c>
      <x:c r="L36" s="6" t="n">
        <x:v>10</x:v>
      </x:c>
      <x:c r="M36" s="11" t="n">
        <x:v>0.6659126984126984</x:v>
      </x:c>
      <x:c r="N36" s="6" t="n">
        <x:v>184500</x:v>
      </x:c>
    </x:row>
    <x:row r="37" ht="24" customHeight="1">
      <x:c r="A37" s="2" t="str">
        <x:v>2026-10-12_Night</x:v>
      </x:c>
      <x:c r="B37" s="6" t="str">
        <x:v>ナイト</x:v>
      </x:c>
      <x:c r="C37" s="6" t="n">
        <x:v>58000</x:v>
      </x:c>
      <x:c r="D37" s="6" t="n">
        <x:v>241000</x:v>
      </x:c>
      <x:c r="E37" s="6" t="n">
        <x:f>C37-D37</x:f>
        <x:v>-183000</x:v>
      </x:c>
      <x:c r="F37" s="6" t="n">
        <x:f>F36+E37</x:f>
        <x:v>-7446000</x:v>
      </x:c>
      <x:c r="G37" s="6" t="n">
        <x:v>58000</x:v>
      </x:c>
      <x:c r="H37" s="6" t="n">
        <x:v>241000</x:v>
      </x:c>
      <x:c r="I37" s="6" t="n">
        <x:v>157</x:v>
      </x:c>
      <x:c r="J37" s="6" t="n">
        <x:v>0</x:v>
      </x:c>
      <x:c r="K37" s="6" t="n">
        <x:v>0</x:v>
      </x:c>
      <x:c r="L37" s="6" t="n">
        <x:v>10</x:v>
      </x:c>
      <x:c r="M37" s="11" t="n">
        <x:v>0.5598290598290598</x:v>
      </x:c>
      <x:c r="N37" s="6" t="n">
        <x:v>184000</x:v>
      </x:c>
    </x:row>
    <x:row r="38" ht="24" customHeight="1">
      <x:c r="A38" s="2" t="str">
        <x:v>2026-10-13_Day</x:v>
      </x:c>
      <x:c r="B38" s="6" t="str">
        <x:v>デイ</x:v>
      </x:c>
      <x:c r="C38" s="6" t="n">
        <x:v>60000</x:v>
      </x:c>
      <x:c r="D38" s="6" t="n">
        <x:v>255500</x:v>
      </x:c>
      <x:c r="E38" s="6" t="n">
        <x:f>C38-D38</x:f>
        <x:v>-195500</x:v>
      </x:c>
      <x:c r="F38" s="6" t="n">
        <x:f>F37+E38</x:f>
        <x:v>-7641500</x:v>
      </x:c>
      <x:c r="G38" s="6" t="n">
        <x:v>60000</x:v>
      </x:c>
      <x:c r="H38" s="6" t="n">
        <x:v>255500</x:v>
      </x:c>
      <x:c r="I38" s="6" t="n">
        <x:v>153</x:v>
      </x:c>
      <x:c r="J38" s="6" t="n">
        <x:v>0</x:v>
      </x:c>
      <x:c r="K38" s="6" t="n">
        <x:v>0</x:v>
      </x:c>
      <x:c r="L38" s="6" t="n">
        <x:v>10</x:v>
      </x:c>
      <x:c r="M38" s="11" t="n">
        <x:v>0.5587301587301587</x:v>
      </x:c>
      <x:c r="N38" s="6" t="n">
        <x:v>202500</x:v>
      </x:c>
    </x:row>
    <x:row r="39" ht="24" customHeight="1">
      <x:c r="A39" s="2" t="str">
        <x:v>2026-10-13_Night</x:v>
      </x:c>
      <x:c r="B39" s="6" t="str">
        <x:v>ナイト</x:v>
      </x:c>
      <x:c r="C39" s="6" t="n">
        <x:v>50500</x:v>
      </x:c>
      <x:c r="D39" s="6" t="n">
        <x:v>266000</x:v>
      </x:c>
      <x:c r="E39" s="6" t="n">
        <x:f>C39-D39</x:f>
        <x:v>-215500</x:v>
      </x:c>
      <x:c r="F39" s="6" t="n">
        <x:f>F38+E39</x:f>
        <x:v>-7857000</x:v>
      </x:c>
      <x:c r="G39" s="6" t="n">
        <x:v>50500</x:v>
      </x:c>
      <x:c r="H39" s="6" t="n">
        <x:v>266000</x:v>
      </x:c>
      <x:c r="I39" s="6" t="n">
        <x:v>169</x:v>
      </x:c>
      <x:c r="J39" s="6" t="n">
        <x:v>0</x:v>
      </x:c>
      <x:c r="K39" s="6" t="n">
        <x:v>0</x:v>
      </x:c>
      <x:c r="L39" s="6" t="n">
        <x:v>7</x:v>
      </x:c>
      <x:c r="M39" s="11" t="n">
        <x:v>0.6037179487179487</x:v>
      </x:c>
      <x:c r="N39" s="6" t="n">
        <x:v>218500</x:v>
      </x:c>
    </x:row>
    <x:row r="40" ht="24" customHeight="1">
      <x:c r="A40" s="2" t="str">
        <x:v>2026-10-14_Day</x:v>
      </x:c>
      <x:c r="B40" s="6" t="str">
        <x:v>デイ</x:v>
      </x:c>
      <x:c r="C40" s="6" t="n">
        <x:v>62000</x:v>
      </x:c>
      <x:c r="D40" s="6" t="n">
        <x:v>318500</x:v>
      </x:c>
      <x:c r="E40" s="6" t="n">
        <x:f>C40-D40</x:f>
        <x:v>-256500</x:v>
      </x:c>
      <x:c r="F40" s="6" t="n">
        <x:f>F39+E40</x:f>
        <x:v>-8113500</x:v>
      </x:c>
      <x:c r="G40" s="6" t="n">
        <x:v>62000</x:v>
      </x:c>
      <x:c r="H40" s="6" t="n">
        <x:v>318500</x:v>
      </x:c>
      <x:c r="I40" s="6" t="n">
        <x:v>148</x:v>
      </x:c>
      <x:c r="J40" s="6" t="n">
        <x:v>0</x:v>
      </x:c>
      <x:c r="K40" s="6" t="n">
        <x:v>0</x:v>
      </x:c>
      <x:c r="L40" s="6" t="n">
        <x:v>8</x:v>
      </x:c>
      <x:c r="M40" s="11" t="n">
        <x:v>0.6077380952380952</x:v>
      </x:c>
      <x:c r="N40" s="6" t="n">
        <x:v>270000</x:v>
      </x:c>
    </x:row>
    <x:row r="41" ht="24" customHeight="1">
      <x:c r="A41" s="2" t="str">
        <x:v>2026-10-14_Night</x:v>
      </x:c>
      <x:c r="B41" s="6" t="str">
        <x:v>ナイト</x:v>
      </x:c>
      <x:c r="C41" s="6" t="n">
        <x:v>102000</x:v>
      </x:c>
      <x:c r="D41" s="6" t="n">
        <x:v>398000</x:v>
      </x:c>
      <x:c r="E41" s="6" t="n">
        <x:f>C41-D41</x:f>
        <x:v>-296000</x:v>
      </x:c>
      <x:c r="F41" s="6" t="n">
        <x:f>F40+E41</x:f>
        <x:v>-8409500</x:v>
      </x:c>
      <x:c r="G41" s="6" t="n">
        <x:v>102000</x:v>
      </x:c>
      <x:c r="H41" s="6" t="n">
        <x:v>398000</x:v>
      </x:c>
      <x:c r="I41" s="6" t="n">
        <x:v>187</x:v>
      </x:c>
      <x:c r="J41" s="6" t="n">
        <x:v>0</x:v>
      </x:c>
      <x:c r="K41" s="6" t="n">
        <x:v>0</x:v>
      </x:c>
      <x:c r="L41" s="6" t="n">
        <x:v>6</x:v>
      </x:c>
      <x:c r="M41" s="11" t="n">
        <x:v>0.572542735042735</x:v>
      </x:c>
      <x:c r="N41" s="6" t="n">
        <x:v>298000</x:v>
      </x:c>
    </x:row>
    <x:row r="42" ht="24" customHeight="1">
      <x:c r="A42" s="2" t="str">
        <x:v>2026-10-15_Day</x:v>
      </x:c>
      <x:c r="B42" s="6" t="str">
        <x:v>デイ</x:v>
      </x:c>
      <x:c r="C42" s="6" t="n">
        <x:v>172500</x:v>
      </x:c>
      <x:c r="D42" s="6" t="n">
        <x:v>334500</x:v>
      </x:c>
      <x:c r="E42" s="6" t="n">
        <x:f>C42-D42</x:f>
        <x:v>-162000</x:v>
      </x:c>
      <x:c r="F42" s="6" t="n">
        <x:f>F41+E42</x:f>
        <x:v>-8571500</x:v>
      </x:c>
      <x:c r="G42" s="6" t="n">
        <x:v>172500</x:v>
      </x:c>
      <x:c r="H42" s="6" t="n">
        <x:v>334500</x:v>
      </x:c>
      <x:c r="I42" s="6" t="n">
        <x:v>135</x:v>
      </x:c>
      <x:c r="J42" s="6" t="n">
        <x:v>0</x:v>
      </x:c>
      <x:c r="K42" s="6" t="n">
        <x:v>0</x:v>
      </x:c>
      <x:c r="L42" s="6" t="n">
        <x:v>10</x:v>
      </x:c>
      <x:c r="M42" s="11" t="n">
        <x:v>0.45706349206349206</x:v>
      </x:c>
      <x:c r="N42" s="6" t="n">
        <x:v>175500</x:v>
      </x:c>
    </x:row>
    <x:row r="43" ht="24" customHeight="1">
      <x:c r="A43" s="2" t="str">
        <x:v>2026-10-15_Night</x:v>
      </x:c>
      <x:c r="B43" s="6" t="str">
        <x:v>ナイト</x:v>
      </x:c>
      <x:c r="C43" s="6" t="n">
        <x:v>142000</x:v>
      </x:c>
      <x:c r="D43" s="6" t="n">
        <x:v>488500</x:v>
      </x:c>
      <x:c r="E43" s="6" t="n">
        <x:f>C43-D43</x:f>
        <x:v>-346500</x:v>
      </x:c>
      <x:c r="F43" s="6" t="n">
        <x:f>F42+E43</x:f>
        <x:v>-8918000</x:v>
      </x:c>
      <x:c r="G43" s="6" t="n">
        <x:v>142000</x:v>
      </x:c>
      <x:c r="H43" s="6" t="n">
        <x:v>488500</x:v>
      </x:c>
      <x:c r="I43" s="6" t="n">
        <x:v>221</x:v>
      </x:c>
      <x:c r="J43" s="6" t="n">
        <x:v>0</x:v>
      </x:c>
      <x:c r="K43" s="6" t="n">
        <x:v>0</x:v>
      </x:c>
      <x:c r="L43" s="6" t="n">
        <x:v>10</x:v>
      </x:c>
      <x:c r="M43" s="11" t="n">
        <x:v>0.606474358974359</x:v>
      </x:c>
      <x:c r="N43" s="6" t="n">
        <x:v>352000</x:v>
      </x:c>
    </x:row>
    <x:row r="44" ht="24" customHeight="1">
      <x:c r="A44" s="2" t="str">
        <x:v>2026-10-16_Day</x:v>
      </x:c>
      <x:c r="B44" s="6" t="str">
        <x:v>デイ</x:v>
      </x:c>
      <x:c r="C44" s="6" t="n">
        <x:v>78500</x:v>
      </x:c>
      <x:c r="D44" s="6" t="n">
        <x:v>278500</x:v>
      </x:c>
      <x:c r="E44" s="6" t="n">
        <x:f>C44-D44</x:f>
        <x:v>-200000</x:v>
      </x:c>
      <x:c r="F44" s="6" t="n">
        <x:f>F43+E44</x:f>
        <x:v>-9118000</x:v>
      </x:c>
      <x:c r="G44" s="6" t="n">
        <x:v>78500</x:v>
      </x:c>
      <x:c r="H44" s="6" t="n">
        <x:v>278500</x:v>
      </x:c>
      <x:c r="I44" s="6" t="n">
        <x:v>157</x:v>
      </x:c>
      <x:c r="J44" s="6" t="n">
        <x:v>0</x:v>
      </x:c>
      <x:c r="K44" s="6" t="n">
        <x:v>0</x:v>
      </x:c>
      <x:c r="L44" s="6" t="n">
        <x:v>10</x:v>
      </x:c>
      <x:c r="M44" s="11" t="n">
        <x:v>0.5357142857142857</x:v>
      </x:c>
      <x:c r="N44" s="6" t="n">
        <x:v>210500</x:v>
      </x:c>
    </x:row>
    <x:row r="45" ht="24" customHeight="1">
      <x:c r="A45" s="2" t="str">
        <x:v>2026-10-16_Night</x:v>
      </x:c>
      <x:c r="B45" s="6" t="str">
        <x:v>ナイト</x:v>
      </x:c>
      <x:c r="C45" s="6" t="n">
        <x:v>190500</x:v>
      </x:c>
      <x:c r="D45" s="6" t="n">
        <x:v>388500</x:v>
      </x:c>
      <x:c r="E45" s="6" t="n">
        <x:f>C45-D45</x:f>
        <x:v>-198000</x:v>
      </x:c>
      <x:c r="F45" s="6" t="n">
        <x:f>F44+E45</x:f>
        <x:v>-9316000</x:v>
      </x:c>
      <x:c r="G45" s="6" t="n">
        <x:v>190500</x:v>
      </x:c>
      <x:c r="H45" s="6" t="n">
        <x:v>388500</x:v>
      </x:c>
      <x:c r="I45" s="6" t="n">
        <x:v>227</x:v>
      </x:c>
      <x:c r="J45" s="6" t="n">
        <x:v>0</x:v>
      </x:c>
      <x:c r="K45" s="6" t="n">
        <x:v>0</x:v>
      </x:c>
      <x:c r="L45" s="6" t="n">
        <x:v>10</x:v>
      </x:c>
      <x:c r="M45" s="11" t="n">
        <x:v>0.5742735042735043</x:v>
      </x:c>
      <x:c r="N45" s="6" t="n">
        <x:v>203000</x:v>
      </x:c>
    </x:row>
    <x:row r="46" ht="24" customHeight="1">
      <x:c r="A46" s="2" t="str">
        <x:v>2026-10-19_Day</x:v>
      </x:c>
      <x:c r="B46" s="6" t="str">
        <x:v>デイ</x:v>
      </x:c>
      <x:c r="C46" s="6" t="n">
        <x:v>108500</x:v>
      </x:c>
      <x:c r="D46" s="6" t="n">
        <x:v>229500</x:v>
      </x:c>
      <x:c r="E46" s="6" t="n">
        <x:f>C46-D46</x:f>
        <x:v>-121000</x:v>
      </x:c>
      <x:c r="F46" s="6" t="n">
        <x:f>F45+E46</x:f>
        <x:v>-9437000</x:v>
      </x:c>
      <x:c r="G46" s="6" t="n">
        <x:v>108500</x:v>
      </x:c>
      <x:c r="H46" s="6" t="n">
        <x:v>229500</x:v>
      </x:c>
      <x:c r="I46" s="6" t="n">
        <x:v>127</x:v>
      </x:c>
      <x:c r="J46" s="6" t="n">
        <x:v>0</x:v>
      </x:c>
      <x:c r="K46" s="6" t="n">
        <x:v>0</x:v>
      </x:c>
      <x:c r="L46" s="6" t="n">
        <x:v>10</x:v>
      </x:c>
      <x:c r="M46" s="11" t="n">
        <x:v>0.49067460317460315</x:v>
      </x:c>
      <x:c r="N46" s="6" t="n">
        <x:v>156000</x:v>
      </x:c>
    </x:row>
    <x:row r="47" ht="24" customHeight="1">
      <x:c r="A47" s="2" t="str">
        <x:v>2026-10-19_Night</x:v>
      </x:c>
      <x:c r="B47" s="6" t="str">
        <x:v>ナイト</x:v>
      </x:c>
      <x:c r="C47" s="6" t="n">
        <x:v>94000</x:v>
      </x:c>
      <x:c r="D47" s="6" t="n">
        <x:v>389500</x:v>
      </x:c>
      <x:c r="E47" s="6" t="n">
        <x:f>C47-D47</x:f>
        <x:v>-295500</x:v>
      </x:c>
      <x:c r="F47" s="6" t="n">
        <x:f>F46+E47</x:f>
        <x:v>-9732500</x:v>
      </x:c>
      <x:c r="G47" s="6" t="n">
        <x:v>94000</x:v>
      </x:c>
      <x:c r="H47" s="6" t="n">
        <x:v>389500</x:v>
      </x:c>
      <x:c r="I47" s="6" t="n">
        <x:v>213</x:v>
      </x:c>
      <x:c r="J47" s="6" t="n">
        <x:v>0</x:v>
      </x:c>
      <x:c r="K47" s="6" t="n">
        <x:v>0</x:v>
      </x:c>
      <x:c r="L47" s="6" t="n">
        <x:v>7</x:v>
      </x:c>
      <x:c r="M47" s="11" t="n">
        <x:v>0.6084401709401709</x:v>
      </x:c>
      <x:c r="N47" s="6" t="n">
        <x:v>299500</x:v>
      </x:c>
    </x:row>
    <x:row r="48" ht="24" customHeight="1">
      <x:c r="A48" s="2" t="str">
        <x:v>2026-10-20_Day</x:v>
      </x:c>
      <x:c r="B48" s="6" t="str">
        <x:v>デイ</x:v>
      </x:c>
      <x:c r="C48" s="6" t="n">
        <x:v>74500</x:v>
      </x:c>
      <x:c r="D48" s="6" t="n">
        <x:v>245000</x:v>
      </x:c>
      <x:c r="E48" s="6" t="n">
        <x:f>C48-D48</x:f>
        <x:v>-170500</x:v>
      </x:c>
      <x:c r="F48" s="6" t="n">
        <x:f>F47+E48</x:f>
        <x:v>-9903000</x:v>
      </x:c>
      <x:c r="G48" s="6" t="n">
        <x:v>74500</x:v>
      </x:c>
      <x:c r="H48" s="6" t="n">
        <x:v>245000</x:v>
      </x:c>
      <x:c r="I48" s="6" t="n">
        <x:v>131</x:v>
      </x:c>
      <x:c r="J48" s="6" t="n">
        <x:v>0</x:v>
      </x:c>
      <x:c r="K48" s="6" t="n">
        <x:v>0</x:v>
      </x:c>
      <x:c r="L48" s="6" t="n">
        <x:v>10</x:v>
      </x:c>
      <x:c r="M48" s="11" t="n">
        <x:v>0.5263888888888889</x:v>
      </x:c>
      <x:c r="N48" s="6" t="n">
        <x:v>175500</x:v>
      </x:c>
    </x:row>
    <x:row r="49" ht="24" customHeight="1">
      <x:c r="A49" s="2" t="str">
        <x:v>2026-10-20_Night</x:v>
      </x:c>
      <x:c r="B49" s="6" t="str">
        <x:v>ナイト</x:v>
      </x:c>
      <x:c r="C49" s="6" t="n">
        <x:v>147500</x:v>
      </x:c>
      <x:c r="D49" s="6" t="n">
        <x:v>429500</x:v>
      </x:c>
      <x:c r="E49" s="6" t="n">
        <x:f>C49-D49</x:f>
        <x:v>-282000</x:v>
      </x:c>
      <x:c r="F49" s="6" t="n">
        <x:f>F48+E49</x:f>
        <x:v>-10185000</x:v>
      </x:c>
      <x:c r="G49" s="6" t="n">
        <x:v>147500</x:v>
      </x:c>
      <x:c r="H49" s="6" t="n">
        <x:v>429500</x:v>
      </x:c>
      <x:c r="I49" s="6" t="n">
        <x:v>202</x:v>
      </x:c>
      <x:c r="J49" s="6" t="n">
        <x:v>0</x:v>
      </x:c>
      <x:c r="K49" s="6" t="n">
        <x:v>0</x:v>
      </x:c>
      <x:c r="L49" s="6" t="n">
        <x:v>8</x:v>
      </x:c>
      <x:c r="M49" s="11" t="n">
        <x:v>0.5575</x:v>
      </x:c>
      <x:c r="N49" s="6" t="n">
        <x:v>292500</x:v>
      </x:c>
    </x:row>
    <x:row r="50" ht="24" customHeight="1">
      <x:c r="A50" s="2" t="str">
        <x:v>2026-10-21_Day</x:v>
      </x:c>
      <x:c r="B50" s="6" t="str">
        <x:v>デイ</x:v>
      </x:c>
      <x:c r="C50" s="6" t="n">
        <x:v>63000</x:v>
      </x:c>
      <x:c r="D50" s="6" t="n">
        <x:v>256000</x:v>
      </x:c>
      <x:c r="E50" s="6" t="n">
        <x:f>C50-D50</x:f>
        <x:v>-193000</x:v>
      </x:c>
      <x:c r="F50" s="6" t="n">
        <x:f>F49+E50</x:f>
        <x:v>-10378000</x:v>
      </x:c>
      <x:c r="G50" s="6" t="n">
        <x:v>63000</x:v>
      </x:c>
      <x:c r="H50" s="6" t="n">
        <x:v>256000</x:v>
      </x:c>
      <x:c r="I50" s="6" t="n">
        <x:v>139</x:v>
      </x:c>
      <x:c r="J50" s="6" t="n">
        <x:v>0</x:v>
      </x:c>
      <x:c r="K50" s="6" t="n">
        <x:v>0</x:v>
      </x:c>
      <x:c r="L50" s="6" t="n">
        <x:v>10</x:v>
      </x:c>
      <x:c r="M50" s="11" t="n">
        <x:v>0.578015873015873</x:v>
      </x:c>
      <x:c r="N50" s="6" t="n">
        <x:v>221000</x:v>
      </x:c>
    </x:row>
    <x:row r="51" ht="24" customHeight="1">
      <x:c r="A51" s="2" t="str">
        <x:v>2026-10-21_Night</x:v>
      </x:c>
      <x:c r="B51" s="6" t="str">
        <x:v>ナイト</x:v>
      </x:c>
      <x:c r="C51" s="6" t="n">
        <x:v>127000</x:v>
      </x:c>
      <x:c r="D51" s="6" t="n">
        <x:v>306000</x:v>
      </x:c>
      <x:c r="E51" s="6" t="n">
        <x:f>C51-D51</x:f>
        <x:v>-179000</x:v>
      </x:c>
      <x:c r="F51" s="6" t="n">
        <x:f>F50+E51</x:f>
        <x:v>-10557000</x:v>
      </x:c>
      <x:c r="G51" s="6" t="n">
        <x:v>127000</x:v>
      </x:c>
      <x:c r="H51" s="6" t="n">
        <x:v>306000</x:v>
      </x:c>
      <x:c r="I51" s="6" t="n">
        <x:v>199</x:v>
      </x:c>
      <x:c r="J51" s="6" t="n">
        <x:v>0</x:v>
      </x:c>
      <x:c r="K51" s="6" t="n">
        <x:v>0</x:v>
      </x:c>
      <x:c r="L51" s="6" t="n">
        <x:v>6</x:v>
      </x:c>
      <x:c r="M51" s="11" t="n">
        <x:v>0.6154273504273504</x:v>
      </x:c>
      <x:c r="N51" s="6" t="n">
        <x:v>184000</x:v>
      </x:c>
    </x:row>
    <x:row r="52" ht="24" customHeight="1">
      <x:c r="A52" s="2" t="str">
        <x:v>2026-10-22_Day</x:v>
      </x:c>
      <x:c r="B52" s="6" t="str">
        <x:v>デイ</x:v>
      </x:c>
      <x:c r="C52" s="6" t="n">
        <x:v>119500</x:v>
      </x:c>
      <x:c r="D52" s="6" t="n">
        <x:v>161500</x:v>
      </x:c>
      <x:c r="E52" s="6" t="n">
        <x:f>C52-D52</x:f>
        <x:v>-42000</x:v>
      </x:c>
      <x:c r="F52" s="6" t="n">
        <x:f>F51+E52</x:f>
        <x:v>-10599000</x:v>
      </x:c>
      <x:c r="G52" s="6" t="n">
        <x:v>119500</x:v>
      </x:c>
      <x:c r="H52" s="6" t="n">
        <x:v>161500</x:v>
      </x:c>
      <x:c r="I52" s="6" t="n">
        <x:v>124</x:v>
      </x:c>
      <x:c r="J52" s="6" t="n">
        <x:v>0</x:v>
      </x:c>
      <x:c r="K52" s="6" t="n">
        <x:v>0</x:v>
      </x:c>
      <x:c r="L52" s="6" t="n">
        <x:v>10</x:v>
      </x:c>
      <x:c r="M52" s="11" t="n">
        <x:v>0.4930952380952381</x:v>
      </x:c>
      <x:c r="N52" s="6" t="n">
        <x:v>86500</x:v>
      </x:c>
    </x:row>
    <x:row r="53" ht="24" customHeight="1">
      <x:c r="A53" s="2" t="str">
        <x:v>2026-10-22_Night</x:v>
      </x:c>
      <x:c r="B53" s="6" t="str">
        <x:v>ナイト</x:v>
      </x:c>
      <x:c r="C53" s="6" t="n">
        <x:v>190500</x:v>
      </x:c>
      <x:c r="D53" s="6" t="n">
        <x:v>406500</x:v>
      </x:c>
      <x:c r="E53" s="6" t="n">
        <x:f>C53-D53</x:f>
        <x:v>-216000</x:v>
      </x:c>
      <x:c r="F53" s="6" t="n">
        <x:f>F52+E53</x:f>
        <x:v>-10815000</x:v>
      </x:c>
      <x:c r="G53" s="6" t="n">
        <x:v>190500</x:v>
      </x:c>
      <x:c r="H53" s="6" t="n">
        <x:v>406500</x:v>
      </x:c>
      <x:c r="I53" s="6" t="n">
        <x:v>214</x:v>
      </x:c>
      <x:c r="J53" s="6" t="n">
        <x:v>0</x:v>
      </x:c>
      <x:c r="K53" s="6" t="n">
        <x:v>0</x:v>
      </x:c>
      <x:c r="L53" s="6" t="n">
        <x:v>10</x:v>
      </x:c>
      <x:c r="M53" s="11" t="n">
        <x:v>0.5559401709401709</x:v>
      </x:c>
      <x:c r="N53" s="6" t="n">
        <x:v>253500</x:v>
      </x:c>
    </x:row>
    <x:row r="54" ht="24" customHeight="1">
      <x:c r="A54" s="2" t="str">
        <x:v>2026-10-23_Day</x:v>
      </x:c>
      <x:c r="B54" s="6" t="str">
        <x:v>デイ</x:v>
      </x:c>
      <x:c r="C54" s="6" t="n">
        <x:v>157000</x:v>
      </x:c>
      <x:c r="D54" s="6" t="n">
        <x:v>232500</x:v>
      </x:c>
      <x:c r="E54" s="6" t="n">
        <x:f>C54-D54</x:f>
        <x:v>-75500</x:v>
      </x:c>
      <x:c r="F54" s="6" t="n">
        <x:f>F53+E54</x:f>
        <x:v>-10890500</x:v>
      </x:c>
      <x:c r="G54" s="6" t="n">
        <x:v>157000</x:v>
      </x:c>
      <x:c r="H54" s="6" t="n">
        <x:v>232500</x:v>
      </x:c>
      <x:c r="I54" s="6" t="n">
        <x:v>124</x:v>
      </x:c>
      <x:c r="J54" s="6" t="n">
        <x:v>0</x:v>
      </x:c>
      <x:c r="K54" s="6" t="n">
        <x:v>0</x:v>
      </x:c>
      <x:c r="L54" s="6" t="n">
        <x:v>10</x:v>
      </x:c>
      <x:c r="M54" s="11" t="n">
        <x:v>0.3969047619047619</x:v>
      </x:c>
      <x:c r="N54" s="6" t="n">
        <x:v>125500</x:v>
      </x:c>
    </x:row>
    <x:row r="55" ht="24" customHeight="1">
      <x:c r="A55" s="2" t="str">
        <x:v>2026-10-23_Night</x:v>
      </x:c>
      <x:c r="B55" s="6" t="str">
        <x:v>ナイト</x:v>
      </x:c>
      <x:c r="C55" s="6" t="n">
        <x:v>138500</x:v>
      </x:c>
      <x:c r="D55" s="6" t="n">
        <x:v>528000</x:v>
      </x:c>
      <x:c r="E55" s="6" t="n">
        <x:f>C55-D55</x:f>
        <x:v>-389500</x:v>
      </x:c>
      <x:c r="F55" s="6" t="n">
        <x:f>F54+E55</x:f>
        <x:v>-11280000</x:v>
      </x:c>
      <x:c r="G55" s="6" t="n">
        <x:v>138500</x:v>
      </x:c>
      <x:c r="H55" s="6" t="n">
        <x:v>528000</x:v>
      </x:c>
      <x:c r="I55" s="6" t="n">
        <x:v>237</x:v>
      </x:c>
      <x:c r="J55" s="6" t="n">
        <x:v>0</x:v>
      </x:c>
      <x:c r="K55" s="6" t="n">
        <x:v>0</x:v>
      </x:c>
      <x:c r="L55" s="6" t="n">
        <x:v>10</x:v>
      </x:c>
      <x:c r="M55" s="11" t="n">
        <x:v>0.5381837606837607</x:v>
      </x:c>
      <x:c r="N55" s="6" t="n">
        <x:v>398500</x:v>
      </x:c>
    </x:row>
    <x:row r="56" ht="24" customHeight="1">
      <x:c r="A56" s="2" t="str">
        <x:v>2026-10-26_Day</x:v>
      </x:c>
      <x:c r="B56" s="6" t="str">
        <x:v>デイ</x:v>
      </x:c>
      <x:c r="C56" s="6" t="n">
        <x:v>80000</x:v>
      </x:c>
      <x:c r="D56" s="6" t="n">
        <x:v>257500</x:v>
      </x:c>
      <x:c r="E56" s="6" t="n">
        <x:f>C56-D56</x:f>
        <x:v>-177500</x:v>
      </x:c>
      <x:c r="F56" s="6" t="n">
        <x:f>F55+E56</x:f>
        <x:v>-11457500</x:v>
      </x:c>
      <x:c r="G56" s="6" t="n">
        <x:v>80000</x:v>
      </x:c>
      <x:c r="H56" s="6" t="n">
        <x:v>257500</x:v>
      </x:c>
      <x:c r="I56" s="6" t="n">
        <x:v>135</x:v>
      </x:c>
      <x:c r="J56" s="6" t="n">
        <x:v>0</x:v>
      </x:c>
      <x:c r="K56" s="6" t="n">
        <x:v>0</x:v>
      </x:c>
      <x:c r="L56" s="6" t="n">
        <x:v>5</x:v>
      </x:c>
      <x:c r="M56" s="11" t="n">
        <x:v>0.5110317460317461</x:v>
      </x:c>
      <x:c r="N56" s="6" t="n">
        <x:v>187500</x:v>
      </x:c>
    </x:row>
    <x:row r="57" ht="24" customHeight="1">
      <x:c r="A57" s="15" t="str">
        <x:v>累計／平均／最大</x:v>
      </x:c>
      <x:c r="B57" s="16"/>
      <x:c r="C57" s="16" t="n">
        <x:f>SUM(C6:C56)</x:f>
        <x:v>5490500</x:v>
      </x:c>
      <x:c r="D57" s="16" t="n">
        <x:f>SUM(D6:D56)</x:f>
        <x:v>16948000</x:v>
      </x:c>
      <x:c r="E57" s="16" t="n">
        <x:f>C57-D57</x:f>
        <x:v>-11457500</x:v>
      </x:c>
      <x:c r="F57" s="16" t="n">
        <x:f>F56</x:f>
        <x:v>-11457500</x:v>
      </x:c>
      <x:c r="G57" s="16" t="n">
        <x:f>SUM(G6:G56)</x:f>
        <x:v>5490500</x:v>
      </x:c>
      <x:c r="H57" s="16" t="n">
        <x:f>SUM(H6:H56)</x:f>
        <x:v>16948000</x:v>
      </x:c>
      <x:c r="I57" s="16" t="n">
        <x:f>SUM(I6:I56)</x:f>
        <x:v>8580</x:v>
      </x:c>
      <x:c r="J57" s="16" t="n">
        <x:f>SUM(J6:J56)</x:f>
        <x:v>0</x:v>
      </x:c>
      <x:c r="K57" s="16" t="n">
        <x:f>SUM(K6:K56)</x:f>
        <x:v>0</x:v>
      </x:c>
      <x:c r="L57" s="16" t="n">
        <x:f>MAX(L6:L56)</x:f>
        <x:v>10</x:v>
      </x:c>
      <x:c r="M57" s="17" t="n">
        <x:f>AVERAGE(M6:M56)</x:f>
        <x:v>0.5722887787593671</x:v>
      </x:c>
      <x:c r="N57" s="16" t="n">
        <x:f>MAX(N6:N56)</x:f>
        <x:v>576000</x:v>
      </x:c>
    </x:row>
  </x:sheetData>
  <x:conditionalFormatting sqref="E6:F56">
    <x:cfRule type="cellIs" dxfId="34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3f3ff8307d94b37"/>
  </x:tableParts>
</x:worksheet>
</file>

<file path=xl/worksheets/sheet3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1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4" customHeight="1">
      <x:c r="A1" s="3" t="str">
        <x:v>TOPIX R02　各セッションの利益・損失・収支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A2" s="4" t="str">
        <x:v>2026/09/21〜10/26デイ・51完了場。日経mini／TOPIXmini各上限10枚・手数料0。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4" customHeight="1">
      <x:c r="A3" s="4" t="str">
        <x:v>3分MA・冷却後に再参加・価格位置と1分傾きも確認・初回比例枚数／D出口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4" customHeight="1">
      <x:c r="A4" s="4" t="str">
        <x:v>利益・損失＝FIFO返済配賦別。親＝初回から全返済まで。ラージ気配による模型で、mini実約定の検証ではありません。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42" customHeight="1">
      <x:c r="A5" s="10" t="str">
        <x:v>セッション</x:v>
      </x:c>
      <x:c r="B5" s="10" t="str">
        <x:v>区分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親利益（円）</x:v>
      </x:c>
      <x:c r="H5" s="10" t="str">
        <x:v>親損失（円）</x:v>
      </x:c>
      <x:c r="I5" s="10" t="str">
        <x:v>初回件数</x:v>
      </x:c>
      <x:c r="J5" s="10" t="str">
        <x:v>追加件数</x:v>
      </x:c>
      <x:c r="K5" s="10" t="str">
        <x:v>縮小件数</x:v>
      </x:c>
      <x:c r="L5" s="10" t="str">
        <x:v>最大保有枚数</x:v>
      </x:c>
      <x:c r="M5" s="10" t="str">
        <x:v>保有時間率</x:v>
      </x:c>
      <x:c r="N5" s="10" t="str">
        <x:v>時価最大DD（円）</x:v>
      </x:c>
    </x:row>
    <x:row r="6" ht="24" customHeight="1">
      <x:c r="A6" s="2" t="str">
        <x:v>2026-09-21_Day</x:v>
      </x:c>
      <x:c r="B6" s="6" t="str">
        <x:v>デイ</x:v>
      </x:c>
      <x:c r="C6" s="6" t="n">
        <x:v>78000</x:v>
      </x:c>
      <x:c r="D6" s="6" t="n">
        <x:v>293000</x:v>
      </x:c>
      <x:c r="E6" s="6" t="n">
        <x:f>C6-D6</x:f>
        <x:v>-215000</x:v>
      </x:c>
      <x:c r="F6" s="6" t="n">
        <x:f>E6</x:f>
        <x:v>-215000</x:v>
      </x:c>
      <x:c r="G6" s="6" t="n">
        <x:v>78000</x:v>
      </x:c>
      <x:c r="H6" s="6" t="n">
        <x:v>293000</x:v>
      </x:c>
      <x:c r="I6" s="6" t="n">
        <x:v>81</x:v>
      </x:c>
      <x:c r="J6" s="6" t="n">
        <x:v>0</x:v>
      </x:c>
      <x:c r="K6" s="6" t="n">
        <x:v>0</x:v>
      </x:c>
      <x:c r="L6" s="6" t="n">
        <x:v>10</x:v>
      </x:c>
      <x:c r="M6" s="11" t="n">
        <x:v>0.5815476190476191</x:v>
      </x:c>
      <x:c r="N6" s="6" t="n">
        <x:v>220000</x:v>
      </x:c>
    </x:row>
    <x:row r="7" ht="24" customHeight="1">
      <x:c r="A7" s="2" t="str">
        <x:v>2026-09-21_Night</x:v>
      </x:c>
      <x:c r="B7" s="6" t="str">
        <x:v>ナイト</x:v>
      </x:c>
      <x:c r="C7" s="6" t="n">
        <x:v>109000</x:v>
      </x:c>
      <x:c r="D7" s="6" t="n">
        <x:v>246000</x:v>
      </x:c>
      <x:c r="E7" s="6" t="n">
        <x:f>C7-D7</x:f>
        <x:v>-137000</x:v>
      </x:c>
      <x:c r="F7" s="6" t="n">
        <x:f>F6+E7</x:f>
        <x:v>-352000</x:v>
      </x:c>
      <x:c r="G7" s="6" t="n">
        <x:v>109000</x:v>
      </x:c>
      <x:c r="H7" s="6" t="n">
        <x:v>246000</x:v>
      </x:c>
      <x:c r="I7" s="6" t="n">
        <x:v>147</x:v>
      </x:c>
      <x:c r="J7" s="6" t="n">
        <x:v>0</x:v>
      </x:c>
      <x:c r="K7" s="6" t="n">
        <x:v>0</x:v>
      </x:c>
      <x:c r="L7" s="6" t="n">
        <x:v>10</x:v>
      </x:c>
      <x:c r="M7" s="11" t="n">
        <x:v>0.6075213675213675</x:v>
      </x:c>
      <x:c r="N7" s="6" t="n">
        <x:v>175500</x:v>
      </x:c>
    </x:row>
    <x:row r="8" ht="24" customHeight="1">
      <x:c r="A8" s="2" t="str">
        <x:v>2026-09-22_Day</x:v>
      </x:c>
      <x:c r="B8" s="6" t="str">
        <x:v>デイ</x:v>
      </x:c>
      <x:c r="C8" s="6" t="n">
        <x:v>54500</x:v>
      </x:c>
      <x:c r="D8" s="6" t="n">
        <x:v>523000</x:v>
      </x:c>
      <x:c r="E8" s="6" t="n">
        <x:f>C8-D8</x:f>
        <x:v>-468500</x:v>
      </x:c>
      <x:c r="F8" s="6" t="n">
        <x:f>F7+E8</x:f>
        <x:v>-820500</x:v>
      </x:c>
      <x:c r="G8" s="6" t="n">
        <x:v>54500</x:v>
      </x:c>
      <x:c r="H8" s="6" t="n">
        <x:v>523000</x:v>
      </x:c>
      <x:c r="I8" s="6" t="n">
        <x:v>116</x:v>
      </x:c>
      <x:c r="J8" s="6" t="n">
        <x:v>0</x:v>
      </x:c>
      <x:c r="K8" s="6" t="n">
        <x:v>0</x:v>
      </x:c>
      <x:c r="L8" s="6" t="n">
        <x:v>10</x:v>
      </x:c>
      <x:c r="M8" s="11" t="n">
        <x:v>0.6171428571428571</x:v>
      </x:c>
      <x:c r="N8" s="6" t="n">
        <x:v>473000</x:v>
      </x:c>
    </x:row>
    <x:row r="9" ht="24" customHeight="1">
      <x:c r="A9" s="2" t="str">
        <x:v>2026-09-22_Night</x:v>
      </x:c>
      <x:c r="B9" s="6" t="str">
        <x:v>ナイト</x:v>
      </x:c>
      <x:c r="C9" s="6" t="n">
        <x:v>147500</x:v>
      </x:c>
      <x:c r="D9" s="6" t="n">
        <x:v>373000</x:v>
      </x:c>
      <x:c r="E9" s="6" t="n">
        <x:f>C9-D9</x:f>
        <x:v>-225500</x:v>
      </x:c>
      <x:c r="F9" s="6" t="n">
        <x:f>F8+E9</x:f>
        <x:v>-1046000</x:v>
      </x:c>
      <x:c r="G9" s="6" t="n">
        <x:v>147500</x:v>
      </x:c>
      <x:c r="H9" s="6" t="n">
        <x:v>373000</x:v>
      </x:c>
      <x:c r="I9" s="6" t="n">
        <x:v>165</x:v>
      </x:c>
      <x:c r="J9" s="6" t="n">
        <x:v>0</x:v>
      </x:c>
      <x:c r="K9" s="6" t="n">
        <x:v>0</x:v>
      </x:c>
      <x:c r="L9" s="6" t="n">
        <x:v>9</x:v>
      </x:c>
      <x:c r="M9" s="11" t="n">
        <x:v>0.6323290598290598</x:v>
      </x:c>
      <x:c r="N9" s="6" t="n">
        <x:v>269500</x:v>
      </x:c>
    </x:row>
    <x:row r="10" ht="24" customHeight="1">
      <x:c r="A10" s="2" t="str">
        <x:v>2026-09-23_Day</x:v>
      </x:c>
      <x:c r="B10" s="6" t="str">
        <x:v>デイ</x:v>
      </x:c>
      <x:c r="C10" s="6" t="n">
        <x:v>68500</x:v>
      </x:c>
      <x:c r="D10" s="6" t="n">
        <x:v>229500</x:v>
      </x:c>
      <x:c r="E10" s="6" t="n">
        <x:f>C10-D10</x:f>
        <x:v>-161000</x:v>
      </x:c>
      <x:c r="F10" s="6" t="n">
        <x:f>F9+E10</x:f>
        <x:v>-1207000</x:v>
      </x:c>
      <x:c r="G10" s="6" t="n">
        <x:v>68500</x:v>
      </x:c>
      <x:c r="H10" s="6" t="n">
        <x:v>229500</x:v>
      </x:c>
      <x:c r="I10" s="6" t="n">
        <x:v>87</x:v>
      </x:c>
      <x:c r="J10" s="6" t="n">
        <x:v>0</x:v>
      </x:c>
      <x:c r="K10" s="6" t="n">
        <x:v>0</x:v>
      </x:c>
      <x:c r="L10" s="6" t="n">
        <x:v>10</x:v>
      </x:c>
      <x:c r="M10" s="11" t="n">
        <x:v>0.5767063492063492</x:v>
      </x:c>
      <x:c r="N10" s="6" t="n">
        <x:v>211500</x:v>
      </x:c>
    </x:row>
    <x:row r="11" ht="24" customHeight="1">
      <x:c r="A11" s="2" t="str">
        <x:v>2026-09-23_Night</x:v>
      </x:c>
      <x:c r="B11" s="6" t="str">
        <x:v>ナイト</x:v>
      </x:c>
      <x:c r="C11" s="6" t="n">
        <x:v>91500</x:v>
      </x:c>
      <x:c r="D11" s="6" t="n">
        <x:v>428000</x:v>
      </x:c>
      <x:c r="E11" s="6" t="n">
        <x:f>C11-D11</x:f>
        <x:v>-336500</x:v>
      </x:c>
      <x:c r="F11" s="6" t="n">
        <x:f>F10+E11</x:f>
        <x:v>-1543500</x:v>
      </x:c>
      <x:c r="G11" s="6" t="n">
        <x:v>91500</x:v>
      </x:c>
      <x:c r="H11" s="6" t="n">
        <x:v>428000</x:v>
      </x:c>
      <x:c r="I11" s="6" t="n">
        <x:v>171</x:v>
      </x:c>
      <x:c r="J11" s="6" t="n">
        <x:v>0</x:v>
      </x:c>
      <x:c r="K11" s="6" t="n">
        <x:v>0</x:v>
      </x:c>
      <x:c r="L11" s="6" t="n">
        <x:v>10</x:v>
      </x:c>
      <x:c r="M11" s="11" t="n">
        <x:v>0.5956410256410256</x:v>
      </x:c>
      <x:c r="N11" s="6" t="n">
        <x:v>340500</x:v>
      </x:c>
    </x:row>
    <x:row r="12" ht="24" customHeight="1">
      <x:c r="A12" s="2" t="str">
        <x:v>2026-09-24_Day</x:v>
      </x:c>
      <x:c r="B12" s="6" t="str">
        <x:v>デイ</x:v>
      </x:c>
      <x:c r="C12" s="6" t="n">
        <x:v>172500</x:v>
      </x:c>
      <x:c r="D12" s="6" t="n">
        <x:v>256500</x:v>
      </x:c>
      <x:c r="E12" s="6" t="n">
        <x:f>C12-D12</x:f>
        <x:v>-84000</x:v>
      </x:c>
      <x:c r="F12" s="6" t="n">
        <x:f>F11+E12</x:f>
        <x:v>-1627500</x:v>
      </x:c>
      <x:c r="G12" s="6" t="n">
        <x:v>172500</x:v>
      </x:c>
      <x:c r="H12" s="6" t="n">
        <x:v>256500</x:v>
      </x:c>
      <x:c r="I12" s="6" t="n">
        <x:v>125</x:v>
      </x:c>
      <x:c r="J12" s="6" t="n">
        <x:v>0</x:v>
      </x:c>
      <x:c r="K12" s="6" t="n">
        <x:v>0</x:v>
      </x:c>
      <x:c r="L12" s="6" t="n">
        <x:v>10</x:v>
      </x:c>
      <x:c r="M12" s="11" t="n">
        <x:v>0.5297222222222222</x:v>
      </x:c>
      <x:c r="N12" s="6" t="n">
        <x:v>173000</x:v>
      </x:c>
    </x:row>
    <x:row r="13" ht="24" customHeight="1">
      <x:c r="A13" s="2" t="str">
        <x:v>2026-09-24_Night</x:v>
      </x:c>
      <x:c r="B13" s="6" t="str">
        <x:v>ナイト</x:v>
      </x:c>
      <x:c r="C13" s="6" t="n">
        <x:v>171500</x:v>
      </x:c>
      <x:c r="D13" s="6" t="n">
        <x:v>467500</x:v>
      </x:c>
      <x:c r="E13" s="6" t="n">
        <x:f>C13-D13</x:f>
        <x:v>-296000</x:v>
      </x:c>
      <x:c r="F13" s="6" t="n">
        <x:f>F12+E13</x:f>
        <x:v>-1923500</x:v>
      </x:c>
      <x:c r="G13" s="6" t="n">
        <x:v>171500</x:v>
      </x:c>
      <x:c r="H13" s="6" t="n">
        <x:v>467500</x:v>
      </x:c>
      <x:c r="I13" s="6" t="n">
        <x:v>197</x:v>
      </x:c>
      <x:c r="J13" s="6" t="n">
        <x:v>0</x:v>
      </x:c>
      <x:c r="K13" s="6" t="n">
        <x:v>0</x:v>
      </x:c>
      <x:c r="L13" s="6" t="n">
        <x:v>10</x:v>
      </x:c>
      <x:c r="M13" s="11" t="n">
        <x:v>0.5587393162393163</x:v>
      </x:c>
      <x:c r="N13" s="6" t="n">
        <x:v>351000</x:v>
      </x:c>
    </x:row>
    <x:row r="14" ht="24" customHeight="1">
      <x:c r="A14" s="2" t="str">
        <x:v>2026-09-25_Day</x:v>
      </x:c>
      <x:c r="B14" s="6" t="str">
        <x:v>デイ</x:v>
      </x:c>
      <x:c r="C14" s="6" t="n">
        <x:v>98500</x:v>
      </x:c>
      <x:c r="D14" s="6" t="n">
        <x:v>240000</x:v>
      </x:c>
      <x:c r="E14" s="6" t="n">
        <x:f>C14-D14</x:f>
        <x:v>-141500</x:v>
      </x:c>
      <x:c r="F14" s="6" t="n">
        <x:f>F13+E14</x:f>
        <x:v>-2065000</x:v>
      </x:c>
      <x:c r="G14" s="6" t="n">
        <x:v>98500</x:v>
      </x:c>
      <x:c r="H14" s="6" t="n">
        <x:v>240000</x:v>
      </x:c>
      <x:c r="I14" s="6" t="n">
        <x:v>121</x:v>
      </x:c>
      <x:c r="J14" s="6" t="n">
        <x:v>0</x:v>
      </x:c>
      <x:c r="K14" s="6" t="n">
        <x:v>0</x:v>
      </x:c>
      <x:c r="L14" s="6" t="n">
        <x:v>10</x:v>
      </x:c>
      <x:c r="M14" s="11" t="n">
        <x:v>0.5213095238095238</x:v>
      </x:c>
      <x:c r="N14" s="6" t="n">
        <x:v>144000</x:v>
      </x:c>
    </x:row>
    <x:row r="15" ht="24" customHeight="1">
      <x:c r="A15" s="2" t="str">
        <x:v>2026-09-25_Night</x:v>
      </x:c>
      <x:c r="B15" s="6" t="str">
        <x:v>ナイト</x:v>
      </x:c>
      <x:c r="C15" s="6" t="n">
        <x:v>97500</x:v>
      </x:c>
      <x:c r="D15" s="6" t="n">
        <x:v>404500</x:v>
      </x:c>
      <x:c r="E15" s="6" t="n">
        <x:f>C15-D15</x:f>
        <x:v>-307000</x:v>
      </x:c>
      <x:c r="F15" s="6" t="n">
        <x:f>F14+E15</x:f>
        <x:v>-2372000</x:v>
      </x:c>
      <x:c r="G15" s="6" t="n">
        <x:v>97500</x:v>
      </x:c>
      <x:c r="H15" s="6" t="n">
        <x:v>404500</x:v>
      </x:c>
      <x:c r="I15" s="6" t="n">
        <x:v>165</x:v>
      </x:c>
      <x:c r="J15" s="6" t="n">
        <x:v>0</x:v>
      </x:c>
      <x:c r="K15" s="6" t="n">
        <x:v>0</x:v>
      </x:c>
      <x:c r="L15" s="6" t="n">
        <x:v>10</x:v>
      </x:c>
      <x:c r="M15" s="11" t="n">
        <x:v>0.5299358974358974</x:v>
      </x:c>
      <x:c r="N15" s="6" t="n">
        <x:v>318500</x:v>
      </x:c>
    </x:row>
    <x:row r="16" ht="24" customHeight="1">
      <x:c r="A16" s="2" t="str">
        <x:v>2026-09-28_Day</x:v>
      </x:c>
      <x:c r="B16" s="6" t="str">
        <x:v>デイ</x:v>
      </x:c>
      <x:c r="C16" s="6" t="n">
        <x:v>109000</x:v>
      </x:c>
      <x:c r="D16" s="6" t="n">
        <x:v>287000</x:v>
      </x:c>
      <x:c r="E16" s="6" t="n">
        <x:f>C16-D16</x:f>
        <x:v>-178000</x:v>
      </x:c>
      <x:c r="F16" s="6" t="n">
        <x:f>F15+E16</x:f>
        <x:v>-2550000</x:v>
      </x:c>
      <x:c r="G16" s="6" t="n">
        <x:v>109000</x:v>
      </x:c>
      <x:c r="H16" s="6" t="n">
        <x:v>287000</x:v>
      </x:c>
      <x:c r="I16" s="6" t="n">
        <x:v>136</x:v>
      </x:c>
      <x:c r="J16" s="6" t="n">
        <x:v>0</x:v>
      </x:c>
      <x:c r="K16" s="6" t="n">
        <x:v>0</x:v>
      </x:c>
      <x:c r="L16" s="6" t="n">
        <x:v>10</x:v>
      </x:c>
      <x:c r="M16" s="11" t="n">
        <x:v>0.5636111111111111</x:v>
      </x:c>
      <x:c r="N16" s="6" t="n">
        <x:v>226500</x:v>
      </x:c>
    </x:row>
    <x:row r="17" ht="24" customHeight="1">
      <x:c r="A17" s="2" t="str">
        <x:v>2026-09-28_Night</x:v>
      </x:c>
      <x:c r="B17" s="6" t="str">
        <x:v>ナイト</x:v>
      </x:c>
      <x:c r="C17" s="6" t="n">
        <x:v>182500</x:v>
      </x:c>
      <x:c r="D17" s="6" t="n">
        <x:v>394000</x:v>
      </x:c>
      <x:c r="E17" s="6" t="n">
        <x:f>C17-D17</x:f>
        <x:v>-211500</x:v>
      </x:c>
      <x:c r="F17" s="6" t="n">
        <x:f>F16+E17</x:f>
        <x:v>-2761500</x:v>
      </x:c>
      <x:c r="G17" s="6" t="n">
        <x:v>182500</x:v>
      </x:c>
      <x:c r="H17" s="6" t="n">
        <x:v>394000</x:v>
      </x:c>
      <x:c r="I17" s="6" t="n">
        <x:v>200</x:v>
      </x:c>
      <x:c r="J17" s="6" t="n">
        <x:v>0</x:v>
      </x:c>
      <x:c r="K17" s="6" t="n">
        <x:v>0</x:v>
      </x:c>
      <x:c r="L17" s="6" t="n">
        <x:v>7</x:v>
      </x:c>
      <x:c r="M17" s="11" t="n">
        <x:v>0.6033974358974359</x:v>
      </x:c>
      <x:c r="N17" s="6" t="n">
        <x:v>232500</x:v>
      </x:c>
    </x:row>
    <x:row r="18" ht="24" customHeight="1">
      <x:c r="A18" s="2" t="str">
        <x:v>2026-09-29_Day</x:v>
      </x:c>
      <x:c r="B18" s="6" t="str">
        <x:v>デイ</x:v>
      </x:c>
      <x:c r="C18" s="6" t="n">
        <x:v>117500</x:v>
      </x:c>
      <x:c r="D18" s="6" t="n">
        <x:v>382000</x:v>
      </x:c>
      <x:c r="E18" s="6" t="n">
        <x:f>C18-D18</x:f>
        <x:v>-264500</x:v>
      </x:c>
      <x:c r="F18" s="6" t="n">
        <x:f>F17+E18</x:f>
        <x:v>-3026000</x:v>
      </x:c>
      <x:c r="G18" s="6" t="n">
        <x:v>117500</x:v>
      </x:c>
      <x:c r="H18" s="6" t="n">
        <x:v>382000</x:v>
      </x:c>
      <x:c r="I18" s="6" t="n">
        <x:v>135</x:v>
      </x:c>
      <x:c r="J18" s="6" t="n">
        <x:v>0</x:v>
      </x:c>
      <x:c r="K18" s="6" t="n">
        <x:v>0</x:v>
      </x:c>
      <x:c r="L18" s="6" t="n">
        <x:v>10</x:v>
      </x:c>
      <x:c r="M18" s="11" t="n">
        <x:v>0.5316666666666666</x:v>
      </x:c>
      <x:c r="N18" s="6" t="n">
        <x:v>279000</x:v>
      </x:c>
    </x:row>
    <x:row r="19" ht="24" customHeight="1">
      <x:c r="A19" s="2" t="str">
        <x:v>2026-09-29_Night</x:v>
      </x:c>
      <x:c r="B19" s="6" t="str">
        <x:v>ナイト</x:v>
      </x:c>
      <x:c r="C19" s="6" t="n">
        <x:v>143500</x:v>
      </x:c>
      <x:c r="D19" s="6" t="n">
        <x:v>410500</x:v>
      </x:c>
      <x:c r="E19" s="6" t="n">
        <x:f>C19-D19</x:f>
        <x:v>-267000</x:v>
      </x:c>
      <x:c r="F19" s="6" t="n">
        <x:f>F18+E19</x:f>
        <x:v>-3293000</x:v>
      </x:c>
      <x:c r="G19" s="6" t="n">
        <x:v>143500</x:v>
      </x:c>
      <x:c r="H19" s="6" t="n">
        <x:v>410500</x:v>
      </x:c>
      <x:c r="I19" s="6" t="n">
        <x:v>195</x:v>
      </x:c>
      <x:c r="J19" s="6" t="n">
        <x:v>0</x:v>
      </x:c>
      <x:c r="K19" s="6" t="n">
        <x:v>0</x:v>
      </x:c>
      <x:c r="L19" s="6" t="n">
        <x:v>10</x:v>
      </x:c>
      <x:c r="M19" s="11" t="n">
        <x:v>0.6381623931623932</x:v>
      </x:c>
      <x:c r="N19" s="6" t="n">
        <x:v>280000</x:v>
      </x:c>
    </x:row>
    <x:row r="20" ht="24" customHeight="1">
      <x:c r="A20" s="2" t="str">
        <x:v>2026-09-30_Day</x:v>
      </x:c>
      <x:c r="B20" s="6" t="str">
        <x:v>デイ</x:v>
      </x:c>
      <x:c r="C20" s="6" t="n">
        <x:v>105000</x:v>
      </x:c>
      <x:c r="D20" s="6" t="n">
        <x:v>313500</x:v>
      </x:c>
      <x:c r="E20" s="6" t="n">
        <x:f>C20-D20</x:f>
        <x:v>-208500</x:v>
      </x:c>
      <x:c r="F20" s="6" t="n">
        <x:f>F19+E20</x:f>
        <x:v>-3501500</x:v>
      </x:c>
      <x:c r="G20" s="6" t="n">
        <x:v>105000</x:v>
      </x:c>
      <x:c r="H20" s="6" t="n">
        <x:v>313500</x:v>
      </x:c>
      <x:c r="I20" s="6" t="n">
        <x:v>134</x:v>
      </x:c>
      <x:c r="J20" s="6" t="n">
        <x:v>0</x:v>
      </x:c>
      <x:c r="K20" s="6" t="n">
        <x:v>0</x:v>
      </x:c>
      <x:c r="L20" s="6" t="n">
        <x:v>10</x:v>
      </x:c>
      <x:c r="M20" s="11" t="n">
        <x:v>0.5384126984126985</x:v>
      </x:c>
      <x:c r="N20" s="6" t="n">
        <x:v>259500</x:v>
      </x:c>
    </x:row>
    <x:row r="21" ht="24" customHeight="1">
      <x:c r="A21" s="2" t="str">
        <x:v>2026-09-30_Night</x:v>
      </x:c>
      <x:c r="B21" s="6" t="str">
        <x:v>ナイト</x:v>
      </x:c>
      <x:c r="C21" s="6" t="n">
        <x:v>142000</x:v>
      </x:c>
      <x:c r="D21" s="6" t="n">
        <x:v>425500</x:v>
      </x:c>
      <x:c r="E21" s="6" t="n">
        <x:f>C21-D21</x:f>
        <x:v>-283500</x:v>
      </x:c>
      <x:c r="F21" s="6" t="n">
        <x:f>F20+E21</x:f>
        <x:v>-3785000</x:v>
      </x:c>
      <x:c r="G21" s="6" t="n">
        <x:v>142000</x:v>
      </x:c>
      <x:c r="H21" s="6" t="n">
        <x:v>425500</x:v>
      </x:c>
      <x:c r="I21" s="6" t="n">
        <x:v>195</x:v>
      </x:c>
      <x:c r="J21" s="6" t="n">
        <x:v>0</x:v>
      </x:c>
      <x:c r="K21" s="6" t="n">
        <x:v>0</x:v>
      </x:c>
      <x:c r="L21" s="6" t="n">
        <x:v>8</x:v>
      </x:c>
      <x:c r="M21" s="11" t="n">
        <x:v>0.5698076923076923</x:v>
      </x:c>
      <x:c r="N21" s="6" t="n">
        <x:v>298000</x:v>
      </x:c>
    </x:row>
    <x:row r="22" ht="24" customHeight="1">
      <x:c r="A22" s="2" t="str">
        <x:v>2026-10-01_Day</x:v>
      </x:c>
      <x:c r="B22" s="6" t="str">
        <x:v>デイ</x:v>
      </x:c>
      <x:c r="C22" s="6" t="n">
        <x:v>92500</x:v>
      </x:c>
      <x:c r="D22" s="6" t="n">
        <x:v>294000</x:v>
      </x:c>
      <x:c r="E22" s="6" t="n">
        <x:f>C22-D22</x:f>
        <x:v>-201500</x:v>
      </x:c>
      <x:c r="F22" s="6" t="n">
        <x:f>F21+E22</x:f>
        <x:v>-3986500</x:v>
      </x:c>
      <x:c r="G22" s="6" t="n">
        <x:v>92500</x:v>
      </x:c>
      <x:c r="H22" s="6" t="n">
        <x:v>294000</x:v>
      </x:c>
      <x:c r="I22" s="6" t="n">
        <x:v>123</x:v>
      </x:c>
      <x:c r="J22" s="6" t="n">
        <x:v>0</x:v>
      </x:c>
      <x:c r="K22" s="6" t="n">
        <x:v>0</x:v>
      </x:c>
      <x:c r="L22" s="6" t="n">
        <x:v>10</x:v>
      </x:c>
      <x:c r="M22" s="11" t="n">
        <x:v>0.5213492063492063</x:v>
      </x:c>
      <x:c r="N22" s="6" t="n">
        <x:v>209500</x:v>
      </x:c>
    </x:row>
    <x:row r="23" ht="24" customHeight="1">
      <x:c r="A23" s="2" t="str">
        <x:v>2026-10-01_Night</x:v>
      </x:c>
      <x:c r="B23" s="6" t="str">
        <x:v>ナイト</x:v>
      </x:c>
      <x:c r="C23" s="6" t="n">
        <x:v>176500</x:v>
      </x:c>
      <x:c r="D23" s="6" t="n">
        <x:v>734500</x:v>
      </x:c>
      <x:c r="E23" s="6" t="n">
        <x:f>C23-D23</x:f>
        <x:v>-558000</x:v>
      </x:c>
      <x:c r="F23" s="6" t="n">
        <x:f>F22+E23</x:f>
        <x:v>-4544500</x:v>
      </x:c>
      <x:c r="G23" s="6" t="n">
        <x:v>176500</x:v>
      </x:c>
      <x:c r="H23" s="6" t="n">
        <x:v>734500</x:v>
      </x:c>
      <x:c r="I23" s="6" t="n">
        <x:v>220</x:v>
      </x:c>
      <x:c r="J23" s="6" t="n">
        <x:v>0</x:v>
      </x:c>
      <x:c r="K23" s="6" t="n">
        <x:v>0</x:v>
      </x:c>
      <x:c r="L23" s="6" t="n">
        <x:v>10</x:v>
      </x:c>
      <x:c r="M23" s="11" t="n">
        <x:v>0.5609188034188034</x:v>
      </x:c>
      <x:c r="N23" s="6" t="n">
        <x:v>561000</x:v>
      </x:c>
    </x:row>
    <x:row r="24" ht="24" customHeight="1">
      <x:c r="A24" s="2" t="str">
        <x:v>2026-10-02_Day</x:v>
      </x:c>
      <x:c r="B24" s="6" t="str">
        <x:v>デイ</x:v>
      </x:c>
      <x:c r="C24" s="6" t="n">
        <x:v>68500</x:v>
      </x:c>
      <x:c r="D24" s="6" t="n">
        <x:v>211000</x:v>
      </x:c>
      <x:c r="E24" s="6" t="n">
        <x:f>C24-D24</x:f>
        <x:v>-142500</x:v>
      </x:c>
      <x:c r="F24" s="6" t="n">
        <x:f>F23+E24</x:f>
        <x:v>-4687000</x:v>
      </x:c>
      <x:c r="G24" s="6" t="n">
        <x:v>68500</x:v>
      </x:c>
      <x:c r="H24" s="6" t="n">
        <x:v>211000</x:v>
      </x:c>
      <x:c r="I24" s="6" t="n">
        <x:v>120</x:v>
      </x:c>
      <x:c r="J24" s="6" t="n">
        <x:v>0</x:v>
      </x:c>
      <x:c r="K24" s="6" t="n">
        <x:v>0</x:v>
      </x:c>
      <x:c r="L24" s="6" t="n">
        <x:v>10</x:v>
      </x:c>
      <x:c r="M24" s="11" t="n">
        <x:v>0.5109523809523809</x:v>
      </x:c>
      <x:c r="N24" s="6" t="n">
        <x:v>179500</x:v>
      </x:c>
    </x:row>
    <x:row r="25" ht="24" customHeight="1">
      <x:c r="A25" s="2" t="str">
        <x:v>2026-10-02_Night</x:v>
      </x:c>
      <x:c r="B25" s="6" t="str">
        <x:v>ナイト</x:v>
      </x:c>
      <x:c r="C25" s="6" t="n">
        <x:v>177500</x:v>
      </x:c>
      <x:c r="D25" s="6" t="n">
        <x:v>454000</x:v>
      </x:c>
      <x:c r="E25" s="6" t="n">
        <x:f>C25-D25</x:f>
        <x:v>-276500</x:v>
      </x:c>
      <x:c r="F25" s="6" t="n">
        <x:f>F24+E25</x:f>
        <x:v>-4963500</x:v>
      </x:c>
      <x:c r="G25" s="6" t="n">
        <x:v>177500</x:v>
      </x:c>
      <x:c r="H25" s="6" t="n">
        <x:v>454000</x:v>
      </x:c>
      <x:c r="I25" s="6" t="n">
        <x:v>197</x:v>
      </x:c>
      <x:c r="J25" s="6" t="n">
        <x:v>0</x:v>
      </x:c>
      <x:c r="K25" s="6" t="n">
        <x:v>0</x:v>
      </x:c>
      <x:c r="L25" s="6" t="n">
        <x:v>10</x:v>
      </x:c>
      <x:c r="M25" s="11" t="n">
        <x:v>0.5539529914529915</x:v>
      </x:c>
      <x:c r="N25" s="6" t="n">
        <x:v>281000</x:v>
      </x:c>
    </x:row>
    <x:row r="26" ht="24" customHeight="1">
      <x:c r="A26" s="2" t="str">
        <x:v>2026-10-05_Day</x:v>
      </x:c>
      <x:c r="B26" s="6" t="str">
        <x:v>デイ</x:v>
      </x:c>
      <x:c r="C26" s="6" t="n">
        <x:v>94000</x:v>
      </x:c>
      <x:c r="D26" s="6" t="n">
        <x:v>219500</x:v>
      </x:c>
      <x:c r="E26" s="6" t="n">
        <x:f>C26-D26</x:f>
        <x:v>-125500</x:v>
      </x:c>
      <x:c r="F26" s="6" t="n">
        <x:f>F25+E26</x:f>
        <x:v>-5089000</x:v>
      </x:c>
      <x:c r="G26" s="6" t="n">
        <x:v>94000</x:v>
      </x:c>
      <x:c r="H26" s="6" t="n">
        <x:v>219500</x:v>
      </x:c>
      <x:c r="I26" s="6" t="n">
        <x:v>119</x:v>
      </x:c>
      <x:c r="J26" s="6" t="n">
        <x:v>0</x:v>
      </x:c>
      <x:c r="K26" s="6" t="n">
        <x:v>0</x:v>
      </x:c>
      <x:c r="L26" s="6" t="n">
        <x:v>10</x:v>
      </x:c>
      <x:c r="M26" s="11" t="n">
        <x:v>0.5428968253968254</x:v>
      </x:c>
      <x:c r="N26" s="6" t="n">
        <x:v>176000</x:v>
      </x:c>
    </x:row>
    <x:row r="27" ht="24" customHeight="1">
      <x:c r="A27" s="2" t="str">
        <x:v>2026-10-05_Night</x:v>
      </x:c>
      <x:c r="B27" s="6" t="str">
        <x:v>ナイト</x:v>
      </x:c>
      <x:c r="C27" s="6" t="n">
        <x:v>134500</x:v>
      </x:c>
      <x:c r="D27" s="6" t="n">
        <x:v>408000</x:v>
      </x:c>
      <x:c r="E27" s="6" t="n">
        <x:f>C27-D27</x:f>
        <x:v>-273500</x:v>
      </x:c>
      <x:c r="F27" s="6" t="n">
        <x:f>F26+E27</x:f>
        <x:v>-5362500</x:v>
      </x:c>
      <x:c r="G27" s="6" t="n">
        <x:v>134500</x:v>
      </x:c>
      <x:c r="H27" s="6" t="n">
        <x:v>408000</x:v>
      </x:c>
      <x:c r="I27" s="6" t="n">
        <x:v>203</x:v>
      </x:c>
      <x:c r="J27" s="6" t="n">
        <x:v>0</x:v>
      </x:c>
      <x:c r="K27" s="6" t="n">
        <x:v>0</x:v>
      </x:c>
      <x:c r="L27" s="6" t="n">
        <x:v>10</x:v>
      </x:c>
      <x:c r="M27" s="11" t="n">
        <x:v>0.604465811965812</x:v>
      </x:c>
      <x:c r="N27" s="6" t="n">
        <x:v>273500</x:v>
      </x:c>
    </x:row>
    <x:row r="28" ht="24" customHeight="1">
      <x:c r="A28" s="2" t="str">
        <x:v>2026-10-06_Day</x:v>
      </x:c>
      <x:c r="B28" s="6" t="str">
        <x:v>デイ</x:v>
      </x:c>
      <x:c r="C28" s="6" t="n">
        <x:v>67500</x:v>
      </x:c>
      <x:c r="D28" s="6" t="n">
        <x:v>215000</x:v>
      </x:c>
      <x:c r="E28" s="6" t="n">
        <x:f>C28-D28</x:f>
        <x:v>-147500</x:v>
      </x:c>
      <x:c r="F28" s="6" t="n">
        <x:f>F27+E28</x:f>
        <x:v>-5510000</x:v>
      </x:c>
      <x:c r="G28" s="6" t="n">
        <x:v>67500</x:v>
      </x:c>
      <x:c r="H28" s="6" t="n">
        <x:v>215000</x:v>
      </x:c>
      <x:c r="I28" s="6" t="n">
        <x:v>124</x:v>
      </x:c>
      <x:c r="J28" s="6" t="n">
        <x:v>0</x:v>
      </x:c>
      <x:c r="K28" s="6" t="n">
        <x:v>0</x:v>
      </x:c>
      <x:c r="L28" s="6" t="n">
        <x:v>7</x:v>
      </x:c>
      <x:c r="M28" s="11" t="n">
        <x:v>0.5446825396825397</x:v>
      </x:c>
      <x:c r="N28" s="6" t="n">
        <x:v>148000</x:v>
      </x:c>
    </x:row>
    <x:row r="29" ht="24" customHeight="1">
      <x:c r="A29" s="2" t="str">
        <x:v>2026-10-06_Night</x:v>
      </x:c>
      <x:c r="B29" s="6" t="str">
        <x:v>ナイト</x:v>
      </x:c>
      <x:c r="C29" s="6" t="n">
        <x:v>85500</x:v>
      </x:c>
      <x:c r="D29" s="6" t="n">
        <x:v>291000</x:v>
      </x:c>
      <x:c r="E29" s="6" t="n">
        <x:f>C29-D29</x:f>
        <x:v>-205500</x:v>
      </x:c>
      <x:c r="F29" s="6" t="n">
        <x:f>F28+E29</x:f>
        <x:v>-5715500</x:v>
      </x:c>
      <x:c r="G29" s="6" t="n">
        <x:v>85500</x:v>
      </x:c>
      <x:c r="H29" s="6" t="n">
        <x:v>291000</x:v>
      </x:c>
      <x:c r="I29" s="6" t="n">
        <x:v>197</x:v>
      </x:c>
      <x:c r="J29" s="6" t="n">
        <x:v>0</x:v>
      </x:c>
      <x:c r="K29" s="6" t="n">
        <x:v>0</x:v>
      </x:c>
      <x:c r="L29" s="6" t="n">
        <x:v>6</x:v>
      </x:c>
      <x:c r="M29" s="11" t="n">
        <x:v>0.6091239316239316</x:v>
      </x:c>
      <x:c r="N29" s="6" t="n">
        <x:v>212000</x:v>
      </x:c>
    </x:row>
    <x:row r="30" ht="24" customHeight="1">
      <x:c r="A30" s="2" t="str">
        <x:v>2026-10-07_Day</x:v>
      </x:c>
      <x:c r="B30" s="6" t="str">
        <x:v>デイ</x:v>
      </x:c>
      <x:c r="C30" s="6" t="n">
        <x:v>75500</x:v>
      </x:c>
      <x:c r="D30" s="6" t="n">
        <x:v>145500</x:v>
      </x:c>
      <x:c r="E30" s="6" t="n">
        <x:f>C30-D30</x:f>
        <x:v>-70000</x:v>
      </x:c>
      <x:c r="F30" s="6" t="n">
        <x:f>F29+E30</x:f>
        <x:v>-5785500</x:v>
      </x:c>
      <x:c r="G30" s="6" t="n">
        <x:v>75500</x:v>
      </x:c>
      <x:c r="H30" s="6" t="n">
        <x:v>145500</x:v>
      </x:c>
      <x:c r="I30" s="6" t="n">
        <x:v>113</x:v>
      </x:c>
      <x:c r="J30" s="6" t="n">
        <x:v>0</x:v>
      </x:c>
      <x:c r="K30" s="6" t="n">
        <x:v>0</x:v>
      </x:c>
      <x:c r="L30" s="6" t="n">
        <x:v>5</x:v>
      </x:c>
      <x:c r="M30" s="11" t="n">
        <x:v>0.5319047619047619</x:v>
      </x:c>
      <x:c r="N30" s="6" t="n">
        <x:v>76000</x:v>
      </x:c>
    </x:row>
    <x:row r="31" ht="24" customHeight="1">
      <x:c r="A31" s="2" t="str">
        <x:v>2026-10-07_Night</x:v>
      </x:c>
      <x:c r="B31" s="6" t="str">
        <x:v>ナイト</x:v>
      </x:c>
      <x:c r="C31" s="6" t="n">
        <x:v>57500</x:v>
      </x:c>
      <x:c r="D31" s="6" t="n">
        <x:v>389000</x:v>
      </x:c>
      <x:c r="E31" s="6" t="n">
        <x:f>C31-D31</x:f>
        <x:v>-331500</x:v>
      </x:c>
      <x:c r="F31" s="6" t="n">
        <x:f>F30+E31</x:f>
        <x:v>-6117000</x:v>
      </x:c>
      <x:c r="G31" s="6" t="n">
        <x:v>57500</x:v>
      </x:c>
      <x:c r="H31" s="6" t="n">
        <x:v>389000</x:v>
      </x:c>
      <x:c r="I31" s="6" t="n">
        <x:v>190</x:v>
      </x:c>
      <x:c r="J31" s="6" t="n">
        <x:v>0</x:v>
      </x:c>
      <x:c r="K31" s="6" t="n">
        <x:v>0</x:v>
      </x:c>
      <x:c r="L31" s="6" t="n">
        <x:v>8</x:v>
      </x:c>
      <x:c r="M31" s="11" t="n">
        <x:v>0.6027350427350427</x:v>
      </x:c>
      <x:c r="N31" s="6" t="n">
        <x:v>335500</x:v>
      </x:c>
    </x:row>
    <x:row r="32" ht="24" customHeight="1">
      <x:c r="A32" s="2" t="str">
        <x:v>2026-10-08_Day</x:v>
      </x:c>
      <x:c r="B32" s="6" t="str">
        <x:v>デイ</x:v>
      </x:c>
      <x:c r="C32" s="6" t="n">
        <x:v>89000</x:v>
      </x:c>
      <x:c r="D32" s="6" t="n">
        <x:v>138000</x:v>
      </x:c>
      <x:c r="E32" s="6" t="n">
        <x:f>C32-D32</x:f>
        <x:v>-49000</x:v>
      </x:c>
      <x:c r="F32" s="6" t="n">
        <x:f>F31+E32</x:f>
        <x:v>-6166000</x:v>
      </x:c>
      <x:c r="G32" s="6" t="n">
        <x:v>89000</x:v>
      </x:c>
      <x:c r="H32" s="6" t="n">
        <x:v>138000</x:v>
      </x:c>
      <x:c r="I32" s="6" t="n">
        <x:v>110</x:v>
      </x:c>
      <x:c r="J32" s="6" t="n">
        <x:v>0</x:v>
      </x:c>
      <x:c r="K32" s="6" t="n">
        <x:v>0</x:v>
      </x:c>
      <x:c r="L32" s="6" t="n">
        <x:v>5</x:v>
      </x:c>
      <x:c r="M32" s="11" t="n">
        <x:v>0.5176190476190476</x:v>
      </x:c>
      <x:c r="N32" s="6" t="n">
        <x:v>59500</x:v>
      </x:c>
    </x:row>
    <x:row r="33" ht="24" customHeight="1">
      <x:c r="A33" s="2" t="str">
        <x:v>2026-10-08_Night</x:v>
      </x:c>
      <x:c r="B33" s="6" t="str">
        <x:v>ナイト</x:v>
      </x:c>
      <x:c r="C33" s="6" t="n">
        <x:v>212000</x:v>
      </x:c>
      <x:c r="D33" s="6" t="n">
        <x:v>507500</x:v>
      </x:c>
      <x:c r="E33" s="6" t="n">
        <x:f>C33-D33</x:f>
        <x:v>-295500</x:v>
      </x:c>
      <x:c r="F33" s="6" t="n">
        <x:f>F32+E33</x:f>
        <x:v>-6461500</x:v>
      </x:c>
      <x:c r="G33" s="6" t="n">
        <x:v>212000</x:v>
      </x:c>
      <x:c r="H33" s="6" t="n">
        <x:v>507500</x:v>
      </x:c>
      <x:c r="I33" s="6" t="n">
        <x:v>204</x:v>
      </x:c>
      <x:c r="J33" s="6" t="n">
        <x:v>0</x:v>
      </x:c>
      <x:c r="K33" s="6" t="n">
        <x:v>0</x:v>
      </x:c>
      <x:c r="L33" s="6" t="n">
        <x:v>10</x:v>
      </x:c>
      <x:c r="M33" s="11" t="n">
        <x:v>0.5714743589743589</x:v>
      </x:c>
      <x:c r="N33" s="6" t="n">
        <x:v>326000</x:v>
      </x:c>
    </x:row>
    <x:row r="34" ht="24" customHeight="1">
      <x:c r="A34" s="2" t="str">
        <x:v>2026-10-09_Day</x:v>
      </x:c>
      <x:c r="B34" s="6" t="str">
        <x:v>デイ</x:v>
      </x:c>
      <x:c r="C34" s="6" t="n">
        <x:v>135500</x:v>
      </x:c>
      <x:c r="D34" s="6" t="n">
        <x:v>218500</x:v>
      </x:c>
      <x:c r="E34" s="6" t="n">
        <x:f>C34-D34</x:f>
        <x:v>-83000</x:v>
      </x:c>
      <x:c r="F34" s="6" t="n">
        <x:f>F33+E34</x:f>
        <x:v>-6544500</x:v>
      </x:c>
      <x:c r="G34" s="6" t="n">
        <x:v>135500</x:v>
      </x:c>
      <x:c r="H34" s="6" t="n">
        <x:v>218500</x:v>
      </x:c>
      <x:c r="I34" s="6" t="n">
        <x:v>118</x:v>
      </x:c>
      <x:c r="J34" s="6" t="n">
        <x:v>0</x:v>
      </x:c>
      <x:c r="K34" s="6" t="n">
        <x:v>0</x:v>
      </x:c>
      <x:c r="L34" s="6" t="n">
        <x:v>10</x:v>
      </x:c>
      <x:c r="M34" s="11" t="n">
        <x:v>0.5503968253968254</x:v>
      </x:c>
      <x:c r="N34" s="6" t="n">
        <x:v>161000</x:v>
      </x:c>
    </x:row>
    <x:row r="35" ht="24" customHeight="1">
      <x:c r="A35" s="2" t="str">
        <x:v>2026-10-09_Night</x:v>
      </x:c>
      <x:c r="B35" s="6" t="str">
        <x:v>ナイト</x:v>
      </x:c>
      <x:c r="C35" s="6" t="n">
        <x:v>63500</x:v>
      </x:c>
      <x:c r="D35" s="6" t="n">
        <x:v>345500</x:v>
      </x:c>
      <x:c r="E35" s="6" t="n">
        <x:f>C35-D35</x:f>
        <x:v>-282000</x:v>
      </x:c>
      <x:c r="F35" s="6" t="n">
        <x:f>F34+E35</x:f>
        <x:v>-6826500</x:v>
      </x:c>
      <x:c r="G35" s="6" t="n">
        <x:v>63500</x:v>
      </x:c>
      <x:c r="H35" s="6" t="n">
        <x:v>345500</x:v>
      </x:c>
      <x:c r="I35" s="6" t="n">
        <x:v>182</x:v>
      </x:c>
      <x:c r="J35" s="6" t="n">
        <x:v>0</x:v>
      </x:c>
      <x:c r="K35" s="6" t="n">
        <x:v>0</x:v>
      </x:c>
      <x:c r="L35" s="6" t="n">
        <x:v>9</x:v>
      </x:c>
      <x:c r="M35" s="11" t="n">
        <x:v>0.5762820512820512</x:v>
      </x:c>
      <x:c r="N35" s="6" t="n">
        <x:v>282000</x:v>
      </x:c>
    </x:row>
    <x:row r="36" ht="24" customHeight="1">
      <x:c r="A36" s="2" t="str">
        <x:v>2026-10-12_Day</x:v>
      </x:c>
      <x:c r="B36" s="6" t="str">
        <x:v>デイ</x:v>
      </x:c>
      <x:c r="C36" s="6" t="n">
        <x:v>35500</x:v>
      </x:c>
      <x:c r="D36" s="6" t="n">
        <x:v>206000</x:v>
      </x:c>
      <x:c r="E36" s="6" t="n">
        <x:f>C36-D36</x:f>
        <x:v>-170500</x:v>
      </x:c>
      <x:c r="F36" s="6" t="n">
        <x:f>F35+E36</x:f>
        <x:v>-6997000</x:v>
      </x:c>
      <x:c r="G36" s="6" t="n">
        <x:v>35500</x:v>
      </x:c>
      <x:c r="H36" s="6" t="n">
        <x:v>206000</x:v>
      </x:c>
      <x:c r="I36" s="6" t="n">
        <x:v>84</x:v>
      </x:c>
      <x:c r="J36" s="6" t="n">
        <x:v>0</x:v>
      </x:c>
      <x:c r="K36" s="6" t="n">
        <x:v>0</x:v>
      </x:c>
      <x:c r="L36" s="6" t="n">
        <x:v>10</x:v>
      </x:c>
      <x:c r="M36" s="11" t="n">
        <x:v>0.5587698412698413</x:v>
      </x:c>
      <x:c r="N36" s="6" t="n">
        <x:v>170500</x:v>
      </x:c>
    </x:row>
    <x:row r="37" ht="24" customHeight="1">
      <x:c r="A37" s="2" t="str">
        <x:v>2026-10-12_Night</x:v>
      </x:c>
      <x:c r="B37" s="6" t="str">
        <x:v>ナイト</x:v>
      </x:c>
      <x:c r="C37" s="6" t="n">
        <x:v>58500</x:v>
      </x:c>
      <x:c r="D37" s="6" t="n">
        <x:v>250000</x:v>
      </x:c>
      <x:c r="E37" s="6" t="n">
        <x:f>C37-D37</x:f>
        <x:v>-191500</x:v>
      </x:c>
      <x:c r="F37" s="6" t="n">
        <x:f>F36+E37</x:f>
        <x:v>-7188500</x:v>
      </x:c>
      <x:c r="G37" s="6" t="n">
        <x:v>58500</x:v>
      </x:c>
      <x:c r="H37" s="6" t="n">
        <x:v>250000</x:v>
      </x:c>
      <x:c r="I37" s="6" t="n">
        <x:v>143</x:v>
      </x:c>
      <x:c r="J37" s="6" t="n">
        <x:v>0</x:v>
      </x:c>
      <x:c r="K37" s="6" t="n">
        <x:v>0</x:v>
      </x:c>
      <x:c r="L37" s="6" t="n">
        <x:v>10</x:v>
      </x:c>
      <x:c r="M37" s="11" t="n">
        <x:v>0.5285470085470085</x:v>
      </x:c>
      <x:c r="N37" s="6" t="n">
        <x:v>192500</x:v>
      </x:c>
    </x:row>
    <x:row r="38" ht="24" customHeight="1">
      <x:c r="A38" s="2" t="str">
        <x:v>2026-10-13_Day</x:v>
      </x:c>
      <x:c r="B38" s="6" t="str">
        <x:v>デイ</x:v>
      </x:c>
      <x:c r="C38" s="6" t="n">
        <x:v>150500</x:v>
      </x:c>
      <x:c r="D38" s="6" t="n">
        <x:v>322500</x:v>
      </x:c>
      <x:c r="E38" s="6" t="n">
        <x:f>C38-D38</x:f>
        <x:v>-172000</x:v>
      </x:c>
      <x:c r="F38" s="6" t="n">
        <x:f>F37+E38</x:f>
        <x:v>-7360500</x:v>
      </x:c>
      <x:c r="G38" s="6" t="n">
        <x:v>150500</x:v>
      </x:c>
      <x:c r="H38" s="6" t="n">
        <x:v>322500</x:v>
      </x:c>
      <x:c r="I38" s="6" t="n">
        <x:v>137</x:v>
      </x:c>
      <x:c r="J38" s="6" t="n">
        <x:v>0</x:v>
      </x:c>
      <x:c r="K38" s="6" t="n">
        <x:v>0</x:v>
      </x:c>
      <x:c r="L38" s="6" t="n">
        <x:v>10</x:v>
      </x:c>
      <x:c r="M38" s="11" t="n">
        <x:v>0.5464285714285714</x:v>
      </x:c>
      <x:c r="N38" s="6" t="n">
        <x:v>220500</x:v>
      </x:c>
    </x:row>
    <x:row r="39" ht="24" customHeight="1">
      <x:c r="A39" s="2" t="str">
        <x:v>2026-10-13_Night</x:v>
      </x:c>
      <x:c r="B39" s="6" t="str">
        <x:v>ナイト</x:v>
      </x:c>
      <x:c r="C39" s="6" t="n">
        <x:v>52000</x:v>
      </x:c>
      <x:c r="D39" s="6" t="n">
        <x:v>258500</x:v>
      </x:c>
      <x:c r="E39" s="6" t="n">
        <x:f>C39-D39</x:f>
        <x:v>-206500</x:v>
      </x:c>
      <x:c r="F39" s="6" t="n">
        <x:f>F38+E39</x:f>
        <x:v>-7567000</x:v>
      </x:c>
      <x:c r="G39" s="6" t="n">
        <x:v>52000</x:v>
      </x:c>
      <x:c r="H39" s="6" t="n">
        <x:v>258500</x:v>
      </x:c>
      <x:c r="I39" s="6" t="n">
        <x:v>160</x:v>
      </x:c>
      <x:c r="J39" s="6" t="n">
        <x:v>0</x:v>
      </x:c>
      <x:c r="K39" s="6" t="n">
        <x:v>0</x:v>
      </x:c>
      <x:c r="L39" s="6" t="n">
        <x:v>7</x:v>
      </x:c>
      <x:c r="M39" s="11" t="n">
        <x:v>0.5921367521367521</x:v>
      </x:c>
      <x:c r="N39" s="6" t="n">
        <x:v>209500</x:v>
      </x:c>
    </x:row>
    <x:row r="40" ht="24" customHeight="1">
      <x:c r="A40" s="2" t="str">
        <x:v>2026-10-14_Day</x:v>
      </x:c>
      <x:c r="B40" s="6" t="str">
        <x:v>デイ</x:v>
      </x:c>
      <x:c r="C40" s="6" t="n">
        <x:v>61000</x:v>
      </x:c>
      <x:c r="D40" s="6" t="n">
        <x:v>356000</x:v>
      </x:c>
      <x:c r="E40" s="6" t="n">
        <x:f>C40-D40</x:f>
        <x:v>-295000</x:v>
      </x:c>
      <x:c r="F40" s="6" t="n">
        <x:f>F39+E40</x:f>
        <x:v>-7862000</x:v>
      </x:c>
      <x:c r="G40" s="6" t="n">
        <x:v>61000</x:v>
      </x:c>
      <x:c r="H40" s="6" t="n">
        <x:v>356000</x:v>
      </x:c>
      <x:c r="I40" s="6" t="n">
        <x:v>138</x:v>
      </x:c>
      <x:c r="J40" s="6" t="n">
        <x:v>0</x:v>
      </x:c>
      <x:c r="K40" s="6" t="n">
        <x:v>0</x:v>
      </x:c>
      <x:c r="L40" s="6" t="n">
        <x:v>8</x:v>
      </x:c>
      <x:c r="M40" s="11" t="n">
        <x:v>0.5853571428571429</x:v>
      </x:c>
      <x:c r="N40" s="6" t="n">
        <x:v>302000</x:v>
      </x:c>
    </x:row>
    <x:row r="41" ht="24" customHeight="1">
      <x:c r="A41" s="2" t="str">
        <x:v>2026-10-14_Night</x:v>
      </x:c>
      <x:c r="B41" s="6" t="str">
        <x:v>ナイト</x:v>
      </x:c>
      <x:c r="C41" s="6" t="n">
        <x:v>104500</x:v>
      </x:c>
      <x:c r="D41" s="6" t="n">
        <x:v>398000</x:v>
      </x:c>
      <x:c r="E41" s="6" t="n">
        <x:f>C41-D41</x:f>
        <x:v>-293500</x:v>
      </x:c>
      <x:c r="F41" s="6" t="n">
        <x:f>F40+E41</x:f>
        <x:v>-8155500</x:v>
      </x:c>
      <x:c r="G41" s="6" t="n">
        <x:v>104500</x:v>
      </x:c>
      <x:c r="H41" s="6" t="n">
        <x:v>398000</x:v>
      </x:c>
      <x:c r="I41" s="6" t="n">
        <x:v>174</x:v>
      </x:c>
      <x:c r="J41" s="6" t="n">
        <x:v>0</x:v>
      </x:c>
      <x:c r="K41" s="6" t="n">
        <x:v>0</x:v>
      </x:c>
      <x:c r="L41" s="6" t="n">
        <x:v>6</x:v>
      </x:c>
      <x:c r="M41" s="11" t="n">
        <x:v>0.5567307692307693</x:v>
      </x:c>
      <x:c r="N41" s="6" t="n">
        <x:v>298500</x:v>
      </x:c>
    </x:row>
    <x:row r="42" ht="24" customHeight="1">
      <x:c r="A42" s="2" t="str">
        <x:v>2026-10-15_Day</x:v>
      </x:c>
      <x:c r="B42" s="6" t="str">
        <x:v>デイ</x:v>
      </x:c>
      <x:c r="C42" s="6" t="n">
        <x:v>161000</x:v>
      </x:c>
      <x:c r="D42" s="6" t="n">
        <x:v>281000</x:v>
      </x:c>
      <x:c r="E42" s="6" t="n">
        <x:f>C42-D42</x:f>
        <x:v>-120000</x:v>
      </x:c>
      <x:c r="F42" s="6" t="n">
        <x:f>F41+E42</x:f>
        <x:v>-8275500</x:v>
      </x:c>
      <x:c r="G42" s="6" t="n">
        <x:v>161000</x:v>
      </x:c>
      <x:c r="H42" s="6" t="n">
        <x:v>281000</x:v>
      </x:c>
      <x:c r="I42" s="6" t="n">
        <x:v>125</x:v>
      </x:c>
      <x:c r="J42" s="6" t="n">
        <x:v>0</x:v>
      </x:c>
      <x:c r="K42" s="6" t="n">
        <x:v>0</x:v>
      </x:c>
      <x:c r="L42" s="6" t="n">
        <x:v>10</x:v>
      </x:c>
      <x:c r="M42" s="11" t="n">
        <x:v>0.44821428571428573</x:v>
      </x:c>
      <x:c r="N42" s="6" t="n">
        <x:v>162000</x:v>
      </x:c>
    </x:row>
    <x:row r="43" ht="24" customHeight="1">
      <x:c r="A43" s="2" t="str">
        <x:v>2026-10-15_Night</x:v>
      </x:c>
      <x:c r="B43" s="6" t="str">
        <x:v>ナイト</x:v>
      </x:c>
      <x:c r="C43" s="6" t="n">
        <x:v>142000</x:v>
      </x:c>
      <x:c r="D43" s="6" t="n">
        <x:v>500000</x:v>
      </x:c>
      <x:c r="E43" s="6" t="n">
        <x:f>C43-D43</x:f>
        <x:v>-358000</x:v>
      </x:c>
      <x:c r="F43" s="6" t="n">
        <x:f>F42+E43</x:f>
        <x:v>-8633500</x:v>
      </x:c>
      <x:c r="G43" s="6" t="n">
        <x:v>142000</x:v>
      </x:c>
      <x:c r="H43" s="6" t="n">
        <x:v>500000</x:v>
      </x:c>
      <x:c r="I43" s="6" t="n">
        <x:v>201</x:v>
      </x:c>
      <x:c r="J43" s="6" t="n">
        <x:v>0</x:v>
      </x:c>
      <x:c r="K43" s="6" t="n">
        <x:v>0</x:v>
      </x:c>
      <x:c r="L43" s="6" t="n">
        <x:v>10</x:v>
      </x:c>
      <x:c r="M43" s="11" t="n">
        <x:v>0.592905982905983</x:v>
      </x:c>
      <x:c r="N43" s="6" t="n">
        <x:v>363500</x:v>
      </x:c>
    </x:row>
    <x:row r="44" ht="24" customHeight="1">
      <x:c r="A44" s="2" t="str">
        <x:v>2026-10-16_Day</x:v>
      </x:c>
      <x:c r="B44" s="6" t="str">
        <x:v>デイ</x:v>
      </x:c>
      <x:c r="C44" s="6" t="n">
        <x:v>85500</x:v>
      </x:c>
      <x:c r="D44" s="6" t="n">
        <x:v>365000</x:v>
      </x:c>
      <x:c r="E44" s="6" t="n">
        <x:f>C44-D44</x:f>
        <x:v>-279500</x:v>
      </x:c>
      <x:c r="F44" s="6" t="n">
        <x:f>F43+E44</x:f>
        <x:v>-8913000</x:v>
      </x:c>
      <x:c r="G44" s="6" t="n">
        <x:v>85500</x:v>
      </x:c>
      <x:c r="H44" s="6" t="n">
        <x:v>365000</x:v>
      </x:c>
      <x:c r="I44" s="6" t="n">
        <x:v>144</x:v>
      </x:c>
      <x:c r="J44" s="6" t="n">
        <x:v>0</x:v>
      </x:c>
      <x:c r="K44" s="6" t="n">
        <x:v>0</x:v>
      </x:c>
      <x:c r="L44" s="6" t="n">
        <x:v>7</x:v>
      </x:c>
      <x:c r="M44" s="11" t="n">
        <x:v>0.5269444444444444</x:v>
      </x:c>
      <x:c r="N44" s="6" t="n">
        <x:v>297000</x:v>
      </x:c>
    </x:row>
    <x:row r="45" ht="24" customHeight="1">
      <x:c r="A45" s="2" t="str">
        <x:v>2026-10-16_Night</x:v>
      </x:c>
      <x:c r="B45" s="6" t="str">
        <x:v>ナイト</x:v>
      </x:c>
      <x:c r="C45" s="6" t="n">
        <x:v>203500</x:v>
      </x:c>
      <x:c r="D45" s="6" t="n">
        <x:v>417500</x:v>
      </x:c>
      <x:c r="E45" s="6" t="n">
        <x:f>C45-D45</x:f>
        <x:v>-214000</x:v>
      </x:c>
      <x:c r="F45" s="6" t="n">
        <x:f>F44+E45</x:f>
        <x:v>-9127000</x:v>
      </x:c>
      <x:c r="G45" s="6" t="n">
        <x:v>203500</x:v>
      </x:c>
      <x:c r="H45" s="6" t="n">
        <x:v>417500</x:v>
      </x:c>
      <x:c r="I45" s="6" t="n">
        <x:v>206</x:v>
      </x:c>
      <x:c r="J45" s="6" t="n">
        <x:v>0</x:v>
      </x:c>
      <x:c r="K45" s="6" t="n">
        <x:v>0</x:v>
      </x:c>
      <x:c r="L45" s="6" t="n">
        <x:v>10</x:v>
      </x:c>
      <x:c r="M45" s="11" t="n">
        <x:v>0.5506623931623932</x:v>
      </x:c>
      <x:c r="N45" s="6" t="n">
        <x:v>227000</x:v>
      </x:c>
    </x:row>
    <x:row r="46" ht="24" customHeight="1">
      <x:c r="A46" s="2" t="str">
        <x:v>2026-10-19_Day</x:v>
      </x:c>
      <x:c r="B46" s="6" t="str">
        <x:v>デイ</x:v>
      </x:c>
      <x:c r="C46" s="6" t="n">
        <x:v>115000</x:v>
      </x:c>
      <x:c r="D46" s="6" t="n">
        <x:v>231000</x:v>
      </x:c>
      <x:c r="E46" s="6" t="n">
        <x:f>C46-D46</x:f>
        <x:v>-116000</x:v>
      </x:c>
      <x:c r="F46" s="6" t="n">
        <x:f>F45+E46</x:f>
        <x:v>-9243000</x:v>
      </x:c>
      <x:c r="G46" s="6" t="n">
        <x:v>115000</x:v>
      </x:c>
      <x:c r="H46" s="6" t="n">
        <x:v>231000</x:v>
      </x:c>
      <x:c r="I46" s="6" t="n">
        <x:v>120</x:v>
      </x:c>
      <x:c r="J46" s="6" t="n">
        <x:v>0</x:v>
      </x:c>
      <x:c r="K46" s="6" t="n">
        <x:v>0</x:v>
      </x:c>
      <x:c r="L46" s="6" t="n">
        <x:v>10</x:v>
      </x:c>
      <x:c r="M46" s="11" t="n">
        <x:v>0.4992063492063492</x:v>
      </x:c>
      <x:c r="N46" s="6" t="n">
        <x:v>151000</x:v>
      </x:c>
    </x:row>
    <x:row r="47" ht="24" customHeight="1">
      <x:c r="A47" s="2" t="str">
        <x:v>2026-10-19_Night</x:v>
      </x:c>
      <x:c r="B47" s="6" t="str">
        <x:v>ナイト</x:v>
      </x:c>
      <x:c r="C47" s="6" t="n">
        <x:v>99000</x:v>
      </x:c>
      <x:c r="D47" s="6" t="n">
        <x:v>439500</x:v>
      </x:c>
      <x:c r="E47" s="6" t="n">
        <x:f>C47-D47</x:f>
        <x:v>-340500</x:v>
      </x:c>
      <x:c r="F47" s="6" t="n">
        <x:f>F46+E47</x:f>
        <x:v>-9583500</x:v>
      </x:c>
      <x:c r="G47" s="6" t="n">
        <x:v>99000</x:v>
      </x:c>
      <x:c r="H47" s="6" t="n">
        <x:v>439500</x:v>
      </x:c>
      <x:c r="I47" s="6" t="n">
        <x:v>192</x:v>
      </x:c>
      <x:c r="J47" s="6" t="n">
        <x:v>0</x:v>
      </x:c>
      <x:c r="K47" s="6" t="n">
        <x:v>0</x:v>
      </x:c>
      <x:c r="L47" s="6" t="n">
        <x:v>10</x:v>
      </x:c>
      <x:c r="M47" s="11" t="n">
        <x:v>0.5767094017094017</x:v>
      </x:c>
      <x:c r="N47" s="6" t="n">
        <x:v>344500</x:v>
      </x:c>
    </x:row>
    <x:row r="48" ht="24" customHeight="1">
      <x:c r="A48" s="2" t="str">
        <x:v>2026-10-20_Day</x:v>
      </x:c>
      <x:c r="B48" s="6" t="str">
        <x:v>デイ</x:v>
      </x:c>
      <x:c r="C48" s="6" t="n">
        <x:v>87000</x:v>
      </x:c>
      <x:c r="D48" s="6" t="n">
        <x:v>310000</x:v>
      </x:c>
      <x:c r="E48" s="6" t="n">
        <x:f>C48-D48</x:f>
        <x:v>-223000</x:v>
      </x:c>
      <x:c r="F48" s="6" t="n">
        <x:f>F47+E48</x:f>
        <x:v>-9806500</x:v>
      </x:c>
      <x:c r="G48" s="6" t="n">
        <x:v>87000</x:v>
      </x:c>
      <x:c r="H48" s="6" t="n">
        <x:v>310000</x:v>
      </x:c>
      <x:c r="I48" s="6" t="n">
        <x:v>116</x:v>
      </x:c>
      <x:c r="J48" s="6" t="n">
        <x:v>0</x:v>
      </x:c>
      <x:c r="K48" s="6" t="n">
        <x:v>0</x:v>
      </x:c>
      <x:c r="L48" s="6" t="n">
        <x:v>10</x:v>
      </x:c>
      <x:c r="M48" s="11" t="n">
        <x:v>0.5357539682539683</x:v>
      </x:c>
      <x:c r="N48" s="6" t="n">
        <x:v>228000</x:v>
      </x:c>
    </x:row>
    <x:row r="49" ht="24" customHeight="1">
      <x:c r="A49" s="2" t="str">
        <x:v>2026-10-20_Night</x:v>
      </x:c>
      <x:c r="B49" s="6" t="str">
        <x:v>ナイト</x:v>
      </x:c>
      <x:c r="C49" s="6" t="n">
        <x:v>165500</x:v>
      </x:c>
      <x:c r="D49" s="6" t="n">
        <x:v>433000</x:v>
      </x:c>
      <x:c r="E49" s="6" t="n">
        <x:f>C49-D49</x:f>
        <x:v>-267500</x:v>
      </x:c>
      <x:c r="F49" s="6" t="n">
        <x:f>F48+E49</x:f>
        <x:v>-10074000</x:v>
      </x:c>
      <x:c r="G49" s="6" t="n">
        <x:v>165500</x:v>
      </x:c>
      <x:c r="H49" s="6" t="n">
        <x:v>433000</x:v>
      </x:c>
      <x:c r="I49" s="6" t="n">
        <x:v>187</x:v>
      </x:c>
      <x:c r="J49" s="6" t="n">
        <x:v>0</x:v>
      </x:c>
      <x:c r="K49" s="6" t="n">
        <x:v>0</x:v>
      </x:c>
      <x:c r="L49" s="6" t="n">
        <x:v>8</x:v>
      </x:c>
      <x:c r="M49" s="11" t="n">
        <x:v>0.5601282051282052</x:v>
      </x:c>
      <x:c r="N49" s="6" t="n">
        <x:v>270500</x:v>
      </x:c>
    </x:row>
    <x:row r="50" ht="24" customHeight="1">
      <x:c r="A50" s="2" t="str">
        <x:v>2026-10-21_Day</x:v>
      </x:c>
      <x:c r="B50" s="6" t="str">
        <x:v>デイ</x:v>
      </x:c>
      <x:c r="C50" s="6" t="n">
        <x:v>63000</x:v>
      </x:c>
      <x:c r="D50" s="6" t="n">
        <x:v>317500</x:v>
      </x:c>
      <x:c r="E50" s="6" t="n">
        <x:f>C50-D50</x:f>
        <x:v>-254500</x:v>
      </x:c>
      <x:c r="F50" s="6" t="n">
        <x:f>F49+E50</x:f>
        <x:v>-10328500</x:v>
      </x:c>
      <x:c r="G50" s="6" t="n">
        <x:v>63000</x:v>
      </x:c>
      <x:c r="H50" s="6" t="n">
        <x:v>317500</x:v>
      </x:c>
      <x:c r="I50" s="6" t="n">
        <x:v>131</x:v>
      </x:c>
      <x:c r="J50" s="6" t="n">
        <x:v>0</x:v>
      </x:c>
      <x:c r="K50" s="6" t="n">
        <x:v>0</x:v>
      </x:c>
      <x:c r="L50" s="6" t="n">
        <x:v>10</x:v>
      </x:c>
      <x:c r="M50" s="11" t="n">
        <x:v>0.5701984126984126</x:v>
      </x:c>
      <x:c r="N50" s="6" t="n">
        <x:v>289500</x:v>
      </x:c>
    </x:row>
    <x:row r="51" ht="24" customHeight="1">
      <x:c r="A51" s="2" t="str">
        <x:v>2026-10-21_Night</x:v>
      </x:c>
      <x:c r="B51" s="6" t="str">
        <x:v>ナイト</x:v>
      </x:c>
      <x:c r="C51" s="6" t="n">
        <x:v>125000</x:v>
      </x:c>
      <x:c r="D51" s="6" t="n">
        <x:v>292000</x:v>
      </x:c>
      <x:c r="E51" s="6" t="n">
        <x:f>C51-D51</x:f>
        <x:v>-167000</x:v>
      </x:c>
      <x:c r="F51" s="6" t="n">
        <x:f>F50+E51</x:f>
        <x:v>-10495500</x:v>
      </x:c>
      <x:c r="G51" s="6" t="n">
        <x:v>125000</x:v>
      </x:c>
      <x:c r="H51" s="6" t="n">
        <x:v>292000</x:v>
      </x:c>
      <x:c r="I51" s="6" t="n">
        <x:v>180</x:v>
      </x:c>
      <x:c r="J51" s="6" t="n">
        <x:v>0</x:v>
      </x:c>
      <x:c r="K51" s="6" t="n">
        <x:v>0</x:v>
      </x:c>
      <x:c r="L51" s="6" t="n">
        <x:v>6</x:v>
      </x:c>
      <x:c r="M51" s="11" t="n">
        <x:v>0.5947649572649573</x:v>
      </x:c>
      <x:c r="N51" s="6" t="n">
        <x:v>171000</x:v>
      </x:c>
    </x:row>
    <x:row r="52" ht="24" customHeight="1">
      <x:c r="A52" s="2" t="str">
        <x:v>2026-10-22_Day</x:v>
      </x:c>
      <x:c r="B52" s="6" t="str">
        <x:v>デイ</x:v>
      </x:c>
      <x:c r="C52" s="6" t="n">
        <x:v>153000</x:v>
      </x:c>
      <x:c r="D52" s="6" t="n">
        <x:v>236500</x:v>
      </x:c>
      <x:c r="E52" s="6" t="n">
        <x:f>C52-D52</x:f>
        <x:v>-83500</x:v>
      </x:c>
      <x:c r="F52" s="6" t="n">
        <x:f>F51+E52</x:f>
        <x:v>-10579000</x:v>
      </x:c>
      <x:c r="G52" s="6" t="n">
        <x:v>153000</x:v>
      </x:c>
      <x:c r="H52" s="6" t="n">
        <x:v>236500</x:v>
      </x:c>
      <x:c r="I52" s="6" t="n">
        <x:v>111</x:v>
      </x:c>
      <x:c r="J52" s="6" t="n">
        <x:v>0</x:v>
      </x:c>
      <x:c r="K52" s="6" t="n">
        <x:v>0</x:v>
      </x:c>
      <x:c r="L52" s="6" t="n">
        <x:v>10</x:v>
      </x:c>
      <x:c r="M52" s="11" t="n">
        <x:v>0.47559523809523807</x:v>
      </x:c>
      <x:c r="N52" s="6" t="n">
        <x:v>148500</x:v>
      </x:c>
    </x:row>
    <x:row r="53" ht="24" customHeight="1">
      <x:c r="A53" s="2" t="str">
        <x:v>2026-10-22_Night</x:v>
      </x:c>
      <x:c r="B53" s="6" t="str">
        <x:v>ナイト</x:v>
      </x:c>
      <x:c r="C53" s="6" t="n">
        <x:v>209000</x:v>
      </x:c>
      <x:c r="D53" s="6" t="n">
        <x:v>415000</x:v>
      </x:c>
      <x:c r="E53" s="6" t="n">
        <x:f>C53-D53</x:f>
        <x:v>-206000</x:v>
      </x:c>
      <x:c r="F53" s="6" t="n">
        <x:f>F52+E53</x:f>
        <x:v>-10785000</x:v>
      </x:c>
      <x:c r="G53" s="6" t="n">
        <x:v>209000</x:v>
      </x:c>
      <x:c r="H53" s="6" t="n">
        <x:v>415000</x:v>
      </x:c>
      <x:c r="I53" s="6" t="n">
        <x:v>198</x:v>
      </x:c>
      <x:c r="J53" s="6" t="n">
        <x:v>0</x:v>
      </x:c>
      <x:c r="K53" s="6" t="n">
        <x:v>0</x:v>
      </x:c>
      <x:c r="L53" s="6" t="n">
        <x:v>10</x:v>
      </x:c>
      <x:c r="M53" s="11" t="n">
        <x:v>0.5343376068376068</x:v>
      </x:c>
      <x:c r="N53" s="6" t="n">
        <x:v>244500</x:v>
      </x:c>
    </x:row>
    <x:row r="54" ht="24" customHeight="1">
      <x:c r="A54" s="2" t="str">
        <x:v>2026-10-23_Day</x:v>
      </x:c>
      <x:c r="B54" s="6" t="str">
        <x:v>デイ</x:v>
      </x:c>
      <x:c r="C54" s="6" t="n">
        <x:v>200000</x:v>
      </x:c>
      <x:c r="D54" s="6" t="n">
        <x:v>271000</x:v>
      </x:c>
      <x:c r="E54" s="6" t="n">
        <x:f>C54-D54</x:f>
        <x:v>-71000</x:v>
      </x:c>
      <x:c r="F54" s="6" t="n">
        <x:f>F53+E54</x:f>
        <x:v>-10856000</x:v>
      </x:c>
      <x:c r="G54" s="6" t="n">
        <x:v>200000</x:v>
      </x:c>
      <x:c r="H54" s="6" t="n">
        <x:v>271000</x:v>
      </x:c>
      <x:c r="I54" s="6" t="n">
        <x:v>111</x:v>
      </x:c>
      <x:c r="J54" s="6" t="n">
        <x:v>0</x:v>
      </x:c>
      <x:c r="K54" s="6" t="n">
        <x:v>0</x:v>
      </x:c>
      <x:c r="L54" s="6" t="n">
        <x:v>10</x:v>
      </x:c>
      <x:c r="M54" s="11" t="n">
        <x:v>0.4057936507936508</x:v>
      </x:c>
      <x:c r="N54" s="6" t="n">
        <x:v>109500</x:v>
      </x:c>
    </x:row>
    <x:row r="55" ht="24" customHeight="1">
      <x:c r="A55" s="2" t="str">
        <x:v>2026-10-23_Night</x:v>
      </x:c>
      <x:c r="B55" s="6" t="str">
        <x:v>ナイト</x:v>
      </x:c>
      <x:c r="C55" s="6" t="n">
        <x:v>170000</x:v>
      </x:c>
      <x:c r="D55" s="6" t="n">
        <x:v>551000</x:v>
      </x:c>
      <x:c r="E55" s="6" t="n">
        <x:f>C55-D55</x:f>
        <x:v>-381000</x:v>
      </x:c>
      <x:c r="F55" s="6" t="n">
        <x:f>F54+E55</x:f>
        <x:v>-11237000</x:v>
      </x:c>
      <x:c r="G55" s="6" t="n">
        <x:v>170000</x:v>
      </x:c>
      <x:c r="H55" s="6" t="n">
        <x:v>551000</x:v>
      </x:c>
      <x:c r="I55" s="6" t="n">
        <x:v>218</x:v>
      </x:c>
      <x:c r="J55" s="6" t="n">
        <x:v>0</x:v>
      </x:c>
      <x:c r="K55" s="6" t="n">
        <x:v>0</x:v>
      </x:c>
      <x:c r="L55" s="6" t="n">
        <x:v>10</x:v>
      </x:c>
      <x:c r="M55" s="11" t="n">
        <x:v>0.5202777777777777</x:v>
      </x:c>
      <x:c r="N55" s="6" t="n">
        <x:v>390000</x:v>
      </x:c>
    </x:row>
    <x:row r="56" ht="24" customHeight="1">
      <x:c r="A56" s="2" t="str">
        <x:v>2026-10-26_Day</x:v>
      </x:c>
      <x:c r="B56" s="6" t="str">
        <x:v>デイ</x:v>
      </x:c>
      <x:c r="C56" s="6" t="n">
        <x:v>129000</x:v>
      </x:c>
      <x:c r="D56" s="6" t="n">
        <x:v>332500</x:v>
      </x:c>
      <x:c r="E56" s="6" t="n">
        <x:f>C56-D56</x:f>
        <x:v>-203500</x:v>
      </x:c>
      <x:c r="F56" s="6" t="n">
        <x:f>F55+E56</x:f>
        <x:v>-11440500</x:v>
      </x:c>
      <x:c r="G56" s="6" t="n">
        <x:v>129000</x:v>
      </x:c>
      <x:c r="H56" s="6" t="n">
        <x:v>332500</x:v>
      </x:c>
      <x:c r="I56" s="6" t="n">
        <x:v>128</x:v>
      </x:c>
      <x:c r="J56" s="6" t="n">
        <x:v>0</x:v>
      </x:c>
      <x:c r="K56" s="6" t="n">
        <x:v>0</x:v>
      </x:c>
      <x:c r="L56" s="6" t="n">
        <x:v>9</x:v>
      </x:c>
      <x:c r="M56" s="11" t="n">
        <x:v>0.5062301587301588</x:v>
      </x:c>
      <x:c r="N56" s="6" t="n">
        <x:v>216500</x:v>
      </x:c>
    </x:row>
    <x:row r="57" ht="24" customHeight="1">
      <x:c r="A57" s="15" t="str">
        <x:v>累計／平均／最大</x:v>
      </x:c>
      <x:c r="B57" s="16"/>
      <x:c r="C57" s="16" t="n">
        <x:f>SUM(C6:C56)</x:f>
        <x:v>5987500</x:v>
      </x:c>
      <x:c r="D57" s="16" t="n">
        <x:f>SUM(D6:D56)</x:f>
        <x:v>17428000</x:v>
      </x:c>
      <x:c r="E57" s="16" t="n">
        <x:f>C57-D57</x:f>
        <x:v>-11440500</x:v>
      </x:c>
      <x:c r="F57" s="16" t="n">
        <x:f>F56</x:f>
        <x:v>-11440500</x:v>
      </x:c>
      <x:c r="G57" s="16" t="n">
        <x:f>SUM(G6:G56)</x:f>
        <x:v>5987500</x:v>
      </x:c>
      <x:c r="H57" s="16" t="n">
        <x:f>SUM(H6:H56)</x:f>
        <x:v>17428000</x:v>
      </x:c>
      <x:c r="I57" s="16" t="n">
        <x:f>SUM(I6:I56)</x:f>
        <x:v>7794</x:v>
      </x:c>
      <x:c r="J57" s="16" t="n">
        <x:f>SUM(J6:J56)</x:f>
        <x:v>0</x:v>
      </x:c>
      <x:c r="K57" s="16" t="n">
        <x:f>SUM(K6:K56)</x:f>
        <x:v>0</x:v>
      </x:c>
      <x:c r="L57" s="16" t="n">
        <x:f>MAX(L6:L56)</x:f>
        <x:v>10</x:v>
      </x:c>
      <x:c r="M57" s="17" t="n">
        <x:f>AVERAGE(M6:M56)</x:f>
        <x:v>0.5541196222078575</x:v>
      </x:c>
      <x:c r="N57" s="16" t="n">
        <x:f>MAX(N6:N56)</x:f>
        <x:v>561000</x:v>
      </x:c>
    </x:row>
  </x:sheetData>
  <x:conditionalFormatting sqref="E6:F56">
    <x:cfRule type="cellIs" dxfId="35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1b43c290d504508"/>
  </x:tableParts>
</x:worksheet>
</file>

<file path=xl/worksheets/sheet3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1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4" customHeight="1">
      <x:c r="A1" s="3" t="str">
        <x:v>TOPIX R03　各セッションの利益・損失・収支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A2" s="4" t="str">
        <x:v>2026/09/21〜10/26デイ・51完了場。日経mini／TOPIXmini各上限10枚・手数料0。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4" customHeight="1">
      <x:c r="A3" s="4" t="str">
        <x:v>3分MA・冷却後に再参加・価格と1分傾き確認・保有中も比例枚数へ増減／D出口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4" customHeight="1">
      <x:c r="A4" s="4" t="str">
        <x:v>利益・損失＝FIFO返済配賦別。親＝初回から全返済まで。ラージ気配による模型で、mini実約定の検証ではありません。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42" customHeight="1">
      <x:c r="A5" s="10" t="str">
        <x:v>セッション</x:v>
      </x:c>
      <x:c r="B5" s="10" t="str">
        <x:v>区分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親利益（円）</x:v>
      </x:c>
      <x:c r="H5" s="10" t="str">
        <x:v>親損失（円）</x:v>
      </x:c>
      <x:c r="I5" s="10" t="str">
        <x:v>初回件数</x:v>
      </x:c>
      <x:c r="J5" s="10" t="str">
        <x:v>追加件数</x:v>
      </x:c>
      <x:c r="K5" s="10" t="str">
        <x:v>縮小件数</x:v>
      </x:c>
      <x:c r="L5" s="10" t="str">
        <x:v>最大保有枚数</x:v>
      </x:c>
      <x:c r="M5" s="10" t="str">
        <x:v>保有時間率</x:v>
      </x:c>
      <x:c r="N5" s="10" t="str">
        <x:v>時価最大DD（円）</x:v>
      </x:c>
    </x:row>
    <x:row r="6" ht="24" customHeight="1">
      <x:c r="A6" s="2" t="str">
        <x:v>2026-09-21_Day</x:v>
      </x:c>
      <x:c r="B6" s="6" t="str">
        <x:v>デイ</x:v>
      </x:c>
      <x:c r="C6" s="6" t="n">
        <x:v>117500</x:v>
      </x:c>
      <x:c r="D6" s="6" t="n">
        <x:v>506000</x:v>
      </x:c>
      <x:c r="E6" s="6" t="n">
        <x:f>C6-D6</x:f>
        <x:v>-388500</x:v>
      </x:c>
      <x:c r="F6" s="6" t="n">
        <x:f>E6</x:f>
        <x:v>-388500</x:v>
      </x:c>
      <x:c r="G6" s="6" t="n">
        <x:v>84500</x:v>
      </x:c>
      <x:c r="H6" s="6" t="n">
        <x:v>473000</x:v>
      </x:c>
      <x:c r="I6" s="6" t="n">
        <x:v>81</x:v>
      </x:c>
      <x:c r="J6" s="6" t="n">
        <x:v>120</x:v>
      </x:c>
      <x:c r="K6" s="6" t="n">
        <x:v>98</x:v>
      </x:c>
      <x:c r="L6" s="6" t="n">
        <x:v>10</x:v>
      </x:c>
      <x:c r="M6" s="11" t="n">
        <x:v>0.5815476190476191</x:v>
      </x:c>
      <x:c r="N6" s="6" t="n">
        <x:v>390500</x:v>
      </x:c>
    </x:row>
    <x:row r="7" ht="24" customHeight="1">
      <x:c r="A7" s="2" t="str">
        <x:v>2026-09-21_Night</x:v>
      </x:c>
      <x:c r="B7" s="6" t="str">
        <x:v>ナイト</x:v>
      </x:c>
      <x:c r="C7" s="6" t="n">
        <x:v>126000</x:v>
      </x:c>
      <x:c r="D7" s="6" t="n">
        <x:v>601500</x:v>
      </x:c>
      <x:c r="E7" s="6" t="n">
        <x:f>C7-D7</x:f>
        <x:v>-475500</x:v>
      </x:c>
      <x:c r="F7" s="6" t="n">
        <x:f>F6+E7</x:f>
        <x:v>-864000</x:v>
      </x:c>
      <x:c r="G7" s="6" t="n">
        <x:v>74500</x:v>
      </x:c>
      <x:c r="H7" s="6" t="n">
        <x:v>550000</x:v>
      </x:c>
      <x:c r="I7" s="6" t="n">
        <x:v>147</x:v>
      </x:c>
      <x:c r="J7" s="6" t="n">
        <x:v>257</x:v>
      </x:c>
      <x:c r="K7" s="6" t="n">
        <x:v>198</x:v>
      </x:c>
      <x:c r="L7" s="6" t="n">
        <x:v>10</x:v>
      </x:c>
      <x:c r="M7" s="11" t="n">
        <x:v>0.6075213675213675</x:v>
      </x:c>
      <x:c r="N7" s="6" t="n">
        <x:v>482500</x:v>
      </x:c>
    </x:row>
    <x:row r="8" ht="24" customHeight="1">
      <x:c r="A8" s="2" t="str">
        <x:v>2026-09-22_Day</x:v>
      </x:c>
      <x:c r="B8" s="6" t="str">
        <x:v>デイ</x:v>
      </x:c>
      <x:c r="C8" s="6" t="n">
        <x:v>65500</x:v>
      </x:c>
      <x:c r="D8" s="6" t="n">
        <x:v>976000</x:v>
      </x:c>
      <x:c r="E8" s="6" t="n">
        <x:f>C8-D8</x:f>
        <x:v>-910500</x:v>
      </x:c>
      <x:c r="F8" s="6" t="n">
        <x:f>F7+E8</x:f>
        <x:v>-1774500</x:v>
      </x:c>
      <x:c r="G8" s="6" t="n">
        <x:v>26000</x:v>
      </x:c>
      <x:c r="H8" s="6" t="n">
        <x:v>936500</x:v>
      </x:c>
      <x:c r="I8" s="6" t="n">
        <x:v>116</x:v>
      </x:c>
      <x:c r="J8" s="6" t="n">
        <x:v>188</x:v>
      </x:c>
      <x:c r="K8" s="6" t="n">
        <x:v>176</x:v>
      </x:c>
      <x:c r="L8" s="6" t="n">
        <x:v>10</x:v>
      </x:c>
      <x:c r="M8" s="11" t="n">
        <x:v>0.6171428571428571</x:v>
      </x:c>
      <x:c r="N8" s="6" t="n">
        <x:v>914500</x:v>
      </x:c>
    </x:row>
    <x:row r="9" ht="24" customHeight="1">
      <x:c r="A9" s="2" t="str">
        <x:v>2026-09-22_Night</x:v>
      </x:c>
      <x:c r="B9" s="6" t="str">
        <x:v>ナイト</x:v>
      </x:c>
      <x:c r="C9" s="6" t="n">
        <x:v>327000</x:v>
      </x:c>
      <x:c r="D9" s="6" t="n">
        <x:v>1024500</x:v>
      </x:c>
      <x:c r="E9" s="6" t="n">
        <x:f>C9-D9</x:f>
        <x:v>-697500</x:v>
      </x:c>
      <x:c r="F9" s="6" t="n">
        <x:f>F8+E9</x:f>
        <x:v>-2472000</x:v>
      </x:c>
      <x:c r="G9" s="6" t="n">
        <x:v>265000</x:v>
      </x:c>
      <x:c r="H9" s="6" t="n">
        <x:v>962500</x:v>
      </x:c>
      <x:c r="I9" s="6" t="n">
        <x:v>165</x:v>
      </x:c>
      <x:c r="J9" s="6" t="n">
        <x:v>385</x:v>
      </x:c>
      <x:c r="K9" s="6" t="n">
        <x:v>281</x:v>
      </x:c>
      <x:c r="L9" s="6" t="n">
        <x:v>10</x:v>
      </x:c>
      <x:c r="M9" s="11" t="n">
        <x:v>0.6323290598290598</x:v>
      </x:c>
      <x:c r="N9" s="6" t="n">
        <x:v>781500</x:v>
      </x:c>
    </x:row>
    <x:row r="10" ht="24" customHeight="1">
      <x:c r="A10" s="2" t="str">
        <x:v>2026-09-23_Day</x:v>
      </x:c>
      <x:c r="B10" s="6" t="str">
        <x:v>デイ</x:v>
      </x:c>
      <x:c r="C10" s="6" t="n">
        <x:v>124000</x:v>
      </x:c>
      <x:c r="D10" s="6" t="n">
        <x:v>490000</x:v>
      </x:c>
      <x:c r="E10" s="6" t="n">
        <x:f>C10-D10</x:f>
        <x:v>-366000</x:v>
      </x:c>
      <x:c r="F10" s="6" t="n">
        <x:f>F9+E10</x:f>
        <x:v>-2838000</x:v>
      </x:c>
      <x:c r="G10" s="6" t="n">
        <x:v>99000</x:v>
      </x:c>
      <x:c r="H10" s="6" t="n">
        <x:v>465000</x:v>
      </x:c>
      <x:c r="I10" s="6" t="n">
        <x:v>87</x:v>
      </x:c>
      <x:c r="J10" s="6" t="n">
        <x:v>131</x:v>
      </x:c>
      <x:c r="K10" s="6" t="n">
        <x:v>109</x:v>
      </x:c>
      <x:c r="L10" s="6" t="n">
        <x:v>10</x:v>
      </x:c>
      <x:c r="M10" s="11" t="n">
        <x:v>0.5767063492063492</x:v>
      </x:c>
      <x:c r="N10" s="6" t="n">
        <x:v>422000</x:v>
      </x:c>
    </x:row>
    <x:row r="11" ht="24" customHeight="1">
      <x:c r="A11" s="2" t="str">
        <x:v>2026-09-23_Night</x:v>
      </x:c>
      <x:c r="B11" s="6" t="str">
        <x:v>ナイト</x:v>
      </x:c>
      <x:c r="C11" s="6" t="n">
        <x:v>151500</x:v>
      </x:c>
      <x:c r="D11" s="6" t="n">
        <x:v>852500</x:v>
      </x:c>
      <x:c r="E11" s="6" t="n">
        <x:f>C11-D11</x:f>
        <x:v>-701000</x:v>
      </x:c>
      <x:c r="F11" s="6" t="n">
        <x:f>F10+E11</x:f>
        <x:v>-3539000</x:v>
      </x:c>
      <x:c r="G11" s="6" t="n">
        <x:v>95000</x:v>
      </x:c>
      <x:c r="H11" s="6" t="n">
        <x:v>796000</x:v>
      </x:c>
      <x:c r="I11" s="6" t="n">
        <x:v>171</x:v>
      </x:c>
      <x:c r="J11" s="6" t="n">
        <x:v>258</x:v>
      </x:c>
      <x:c r="K11" s="6" t="n">
        <x:v>209</x:v>
      </x:c>
      <x:c r="L11" s="6" t="n">
        <x:v>10</x:v>
      </x:c>
      <x:c r="M11" s="11" t="n">
        <x:v>0.5956410256410256</x:v>
      </x:c>
      <x:c r="N11" s="6" t="n">
        <x:v>705000</x:v>
      </x:c>
    </x:row>
    <x:row r="12" ht="24" customHeight="1">
      <x:c r="A12" s="2" t="str">
        <x:v>2026-09-24_Day</x:v>
      </x:c>
      <x:c r="B12" s="6" t="str">
        <x:v>デイ</x:v>
      </x:c>
      <x:c r="C12" s="6" t="n">
        <x:v>379500</x:v>
      </x:c>
      <x:c r="D12" s="6" t="n">
        <x:v>817500</x:v>
      </x:c>
      <x:c r="E12" s="6" t="n">
        <x:f>C12-D12</x:f>
        <x:v>-438000</x:v>
      </x:c>
      <x:c r="F12" s="6" t="n">
        <x:f>F11+E12</x:f>
        <x:v>-3977000</x:v>
      </x:c>
      <x:c r="G12" s="6" t="n">
        <x:v>305500</x:v>
      </x:c>
      <x:c r="H12" s="6" t="n">
        <x:v>743500</x:v>
      </x:c>
      <x:c r="I12" s="6" t="n">
        <x:v>125</x:v>
      </x:c>
      <x:c r="J12" s="6" t="n">
        <x:v>334</x:v>
      </x:c>
      <x:c r="K12" s="6" t="n">
        <x:v>207</x:v>
      </x:c>
      <x:c r="L12" s="6" t="n">
        <x:v>10</x:v>
      </x:c>
      <x:c r="M12" s="11" t="n">
        <x:v>0.5297222222222222</x:v>
      </x:c>
      <x:c r="N12" s="6" t="n">
        <x:v>473500</x:v>
      </x:c>
    </x:row>
    <x:row r="13" ht="24" customHeight="1">
      <x:c r="A13" s="2" t="str">
        <x:v>2026-09-24_Night</x:v>
      </x:c>
      <x:c r="B13" s="6" t="str">
        <x:v>ナイト</x:v>
      </x:c>
      <x:c r="C13" s="6" t="n">
        <x:v>308500</x:v>
      </x:c>
      <x:c r="D13" s="6" t="n">
        <x:v>1153000</x:v>
      </x:c>
      <x:c r="E13" s="6" t="n">
        <x:f>C13-D13</x:f>
        <x:v>-844500</x:v>
      </x:c>
      <x:c r="F13" s="6" t="n">
        <x:f>F12+E13</x:f>
        <x:v>-4821500</x:v>
      </x:c>
      <x:c r="G13" s="6" t="n">
        <x:v>189500</x:v>
      </x:c>
      <x:c r="H13" s="6" t="n">
        <x:v>1034000</x:v>
      </x:c>
      <x:c r="I13" s="6" t="n">
        <x:v>197</x:v>
      </x:c>
      <x:c r="J13" s="6" t="n">
        <x:v>444</x:v>
      </x:c>
      <x:c r="K13" s="6" t="n">
        <x:v>332</x:v>
      </x:c>
      <x:c r="L13" s="6" t="n">
        <x:v>10</x:v>
      </x:c>
      <x:c r="M13" s="11" t="n">
        <x:v>0.5587393162393163</x:v>
      </x:c>
      <x:c r="N13" s="6" t="n">
        <x:v>918000</x:v>
      </x:c>
    </x:row>
    <x:row r="14" ht="24" customHeight="1">
      <x:c r="A14" s="2" t="str">
        <x:v>2026-09-25_Day</x:v>
      </x:c>
      <x:c r="B14" s="6" t="str">
        <x:v>デイ</x:v>
      </x:c>
      <x:c r="C14" s="6" t="n">
        <x:v>339500</x:v>
      </x:c>
      <x:c r="D14" s="6" t="n">
        <x:v>938000</x:v>
      </x:c>
      <x:c r="E14" s="6" t="n">
        <x:f>C14-D14</x:f>
        <x:v>-598500</x:v>
      </x:c>
      <x:c r="F14" s="6" t="n">
        <x:f>F13+E14</x:f>
        <x:v>-5420000</x:v>
      </x:c>
      <x:c r="G14" s="6" t="n">
        <x:v>293000</x:v>
      </x:c>
      <x:c r="H14" s="6" t="n">
        <x:v>891500</x:v>
      </x:c>
      <x:c r="I14" s="6" t="n">
        <x:v>121</x:v>
      </x:c>
      <x:c r="J14" s="6" t="n">
        <x:v>361</x:v>
      </x:c>
      <x:c r="K14" s="6" t="n">
        <x:v>221</x:v>
      </x:c>
      <x:c r="L14" s="6" t="n">
        <x:v>10</x:v>
      </x:c>
      <x:c r="M14" s="11" t="n">
        <x:v>0.5213095238095238</x:v>
      </x:c>
      <x:c r="N14" s="6" t="n">
        <x:v>599500</x:v>
      </x:c>
    </x:row>
    <x:row r="15" ht="24" customHeight="1">
      <x:c r="A15" s="2" t="str">
        <x:v>2026-09-25_Night</x:v>
      </x:c>
      <x:c r="B15" s="6" t="str">
        <x:v>ナイト</x:v>
      </x:c>
      <x:c r="C15" s="6" t="n">
        <x:v>240500</x:v>
      </x:c>
      <x:c r="D15" s="6" t="n">
        <x:v>908500</x:v>
      </x:c>
      <x:c r="E15" s="6" t="n">
        <x:f>C15-D15</x:f>
        <x:v>-668000</x:v>
      </x:c>
      <x:c r="F15" s="6" t="n">
        <x:f>F14+E15</x:f>
        <x:v>-6088000</x:v>
      </x:c>
      <x:c r="G15" s="6" t="n">
        <x:v>172000</x:v>
      </x:c>
      <x:c r="H15" s="6" t="n">
        <x:v>840000</x:v>
      </x:c>
      <x:c r="I15" s="6" t="n">
        <x:v>165</x:v>
      </x:c>
      <x:c r="J15" s="6" t="n">
        <x:v>375</x:v>
      </x:c>
      <x:c r="K15" s="6" t="n">
        <x:v>276</x:v>
      </x:c>
      <x:c r="L15" s="6" t="n">
        <x:v>10</x:v>
      </x:c>
      <x:c r="M15" s="11" t="n">
        <x:v>0.5299358974358974</x:v>
      </x:c>
      <x:c r="N15" s="6" t="n">
        <x:v>679500</x:v>
      </x:c>
    </x:row>
    <x:row r="16" ht="24" customHeight="1">
      <x:c r="A16" s="2" t="str">
        <x:v>2026-09-28_Day</x:v>
      </x:c>
      <x:c r="B16" s="6" t="str">
        <x:v>デイ</x:v>
      </x:c>
      <x:c r="C16" s="6" t="n">
        <x:v>325000</x:v>
      </x:c>
      <x:c r="D16" s="6" t="n">
        <x:v>876500</x:v>
      </x:c>
      <x:c r="E16" s="6" t="n">
        <x:f>C16-D16</x:f>
        <x:v>-551500</x:v>
      </x:c>
      <x:c r="F16" s="6" t="n">
        <x:f>F15+E16</x:f>
        <x:v>-6639500</x:v>
      </x:c>
      <x:c r="G16" s="6" t="n">
        <x:v>275000</x:v>
      </x:c>
      <x:c r="H16" s="6" t="n">
        <x:v>826500</x:v>
      </x:c>
      <x:c r="I16" s="6" t="n">
        <x:v>136</x:v>
      </x:c>
      <x:c r="J16" s="6" t="n">
        <x:v>392</x:v>
      </x:c>
      <x:c r="K16" s="6" t="n">
        <x:v>236</x:v>
      </x:c>
      <x:c r="L16" s="6" t="n">
        <x:v>10</x:v>
      </x:c>
      <x:c r="M16" s="11" t="n">
        <x:v>0.5636111111111111</x:v>
      </x:c>
      <x:c r="N16" s="6" t="n">
        <x:v>630500</x:v>
      </x:c>
    </x:row>
    <x:row r="17" ht="24" customHeight="1">
      <x:c r="A17" s="2" t="str">
        <x:v>2026-09-28_Night</x:v>
      </x:c>
      <x:c r="B17" s="6" t="str">
        <x:v>ナイト</x:v>
      </x:c>
      <x:c r="C17" s="6" t="n">
        <x:v>421500</x:v>
      </x:c>
      <x:c r="D17" s="6" t="n">
        <x:v>1227000</x:v>
      </x:c>
      <x:c r="E17" s="6" t="n">
        <x:f>C17-D17</x:f>
        <x:v>-805500</x:v>
      </x:c>
      <x:c r="F17" s="6" t="n">
        <x:f>F16+E17</x:f>
        <x:v>-7445000</x:v>
      </x:c>
      <x:c r="G17" s="6" t="n">
        <x:v>324000</x:v>
      </x:c>
      <x:c r="H17" s="6" t="n">
        <x:v>1129500</x:v>
      </x:c>
      <x:c r="I17" s="6" t="n">
        <x:v>200</x:v>
      </x:c>
      <x:c r="J17" s="6" t="n">
        <x:v>462</x:v>
      </x:c>
      <x:c r="K17" s="6" t="n">
        <x:v>297</x:v>
      </x:c>
      <x:c r="L17" s="6" t="n">
        <x:v>10</x:v>
      </x:c>
      <x:c r="M17" s="11" t="n">
        <x:v>0.6033974358974359</x:v>
      </x:c>
      <x:c r="N17" s="6" t="n">
        <x:v>828000</x:v>
      </x:c>
    </x:row>
    <x:row r="18" ht="24" customHeight="1">
      <x:c r="A18" s="2" t="str">
        <x:v>2026-09-29_Day</x:v>
      </x:c>
      <x:c r="B18" s="6" t="str">
        <x:v>デイ</x:v>
      </x:c>
      <x:c r="C18" s="6" t="n">
        <x:v>363500</x:v>
      </x:c>
      <x:c r="D18" s="6" t="n">
        <x:v>1042000</x:v>
      </x:c>
      <x:c r="E18" s="6" t="n">
        <x:f>C18-D18</x:f>
        <x:v>-678500</x:v>
      </x:c>
      <x:c r="F18" s="6" t="n">
        <x:f>F17+E18</x:f>
        <x:v>-8123500</x:v>
      </x:c>
      <x:c r="G18" s="6" t="n">
        <x:v>283500</x:v>
      </x:c>
      <x:c r="H18" s="6" t="n">
        <x:v>962000</x:v>
      </x:c>
      <x:c r="I18" s="6" t="n">
        <x:v>135</x:v>
      </x:c>
      <x:c r="J18" s="6" t="n">
        <x:v>356</x:v>
      </x:c>
      <x:c r="K18" s="6" t="n">
        <x:v>259</x:v>
      </x:c>
      <x:c r="L18" s="6" t="n">
        <x:v>10</x:v>
      </x:c>
      <x:c r="M18" s="11" t="n">
        <x:v>0.5316666666666666</x:v>
      </x:c>
      <x:c r="N18" s="6" t="n">
        <x:v>753500</x:v>
      </x:c>
    </x:row>
    <x:row r="19" ht="24" customHeight="1">
      <x:c r="A19" s="2" t="str">
        <x:v>2026-09-29_Night</x:v>
      </x:c>
      <x:c r="B19" s="6" t="str">
        <x:v>ナイト</x:v>
      </x:c>
      <x:c r="C19" s="6" t="n">
        <x:v>234500</x:v>
      </x:c>
      <x:c r="D19" s="6" t="n">
        <x:v>1328000</x:v>
      </x:c>
      <x:c r="E19" s="6" t="n">
        <x:f>C19-D19</x:f>
        <x:v>-1093500</x:v>
      </x:c>
      <x:c r="F19" s="6" t="n">
        <x:f>F18+E19</x:f>
        <x:v>-9217000</x:v>
      </x:c>
      <x:c r="G19" s="6" t="n">
        <x:v>154000</x:v>
      </x:c>
      <x:c r="H19" s="6" t="n">
        <x:v>1247500</x:v>
      </x:c>
      <x:c r="I19" s="6" t="n">
        <x:v>195</x:v>
      </x:c>
      <x:c r="J19" s="6" t="n">
        <x:v>485</x:v>
      </x:c>
      <x:c r="K19" s="6" t="n">
        <x:v>369</x:v>
      </x:c>
      <x:c r="L19" s="6" t="n">
        <x:v>10</x:v>
      </x:c>
      <x:c r="M19" s="11" t="n">
        <x:v>0.6381623931623932</x:v>
      </x:c>
      <x:c r="N19" s="6" t="n">
        <x:v>1120500</x:v>
      </x:c>
    </x:row>
    <x:row r="20" ht="24" customHeight="1">
      <x:c r="A20" s="2" t="str">
        <x:v>2026-09-30_Day</x:v>
      </x:c>
      <x:c r="B20" s="6" t="str">
        <x:v>デイ</x:v>
      </x:c>
      <x:c r="C20" s="6" t="n">
        <x:v>363500</x:v>
      </x:c>
      <x:c r="D20" s="6" t="n">
        <x:v>872500</x:v>
      </x:c>
      <x:c r="E20" s="6" t="n">
        <x:f>C20-D20</x:f>
        <x:v>-509000</x:v>
      </x:c>
      <x:c r="F20" s="6" t="n">
        <x:f>F19+E20</x:f>
        <x:v>-9726000</x:v>
      </x:c>
      <x:c r="G20" s="6" t="n">
        <x:v>326000</x:v>
      </x:c>
      <x:c r="H20" s="6" t="n">
        <x:v>835000</x:v>
      </x:c>
      <x:c r="I20" s="6" t="n">
        <x:v>134</x:v>
      </x:c>
      <x:c r="J20" s="6" t="n">
        <x:v>353</x:v>
      </x:c>
      <x:c r="K20" s="6" t="n">
        <x:v>249</x:v>
      </x:c>
      <x:c r="L20" s="6" t="n">
        <x:v>10</x:v>
      </x:c>
      <x:c r="M20" s="11" t="n">
        <x:v>0.5384126984126985</x:v>
      </x:c>
      <x:c r="N20" s="6" t="n">
        <x:v>662000</x:v>
      </x:c>
    </x:row>
    <x:row r="21" ht="24" customHeight="1">
      <x:c r="A21" s="2" t="str">
        <x:v>2026-09-30_Night</x:v>
      </x:c>
      <x:c r="B21" s="6" t="str">
        <x:v>ナイト</x:v>
      </x:c>
      <x:c r="C21" s="6" t="n">
        <x:v>389000</x:v>
      </x:c>
      <x:c r="D21" s="6" t="n">
        <x:v>1279000</x:v>
      </x:c>
      <x:c r="E21" s="6" t="n">
        <x:f>C21-D21</x:f>
        <x:v>-890000</x:v>
      </x:c>
      <x:c r="F21" s="6" t="n">
        <x:f>F20+E21</x:f>
        <x:v>-10616000</x:v>
      </x:c>
      <x:c r="G21" s="6" t="n">
        <x:v>259000</x:v>
      </x:c>
      <x:c r="H21" s="6" t="n">
        <x:v>1149000</x:v>
      </x:c>
      <x:c r="I21" s="6" t="n">
        <x:v>195</x:v>
      </x:c>
      <x:c r="J21" s="6" t="n">
        <x:v>526</x:v>
      </x:c>
      <x:c r="K21" s="6" t="n">
        <x:v>357</x:v>
      </x:c>
      <x:c r="L21" s="6" t="n">
        <x:v>10</x:v>
      </x:c>
      <x:c r="M21" s="11" t="n">
        <x:v>0.5698076923076923</x:v>
      </x:c>
      <x:c r="N21" s="6" t="n">
        <x:v>958000</x:v>
      </x:c>
    </x:row>
    <x:row r="22" ht="24" customHeight="1">
      <x:c r="A22" s="2" t="str">
        <x:v>2026-10-01_Day</x:v>
      </x:c>
      <x:c r="B22" s="6" t="str">
        <x:v>デイ</x:v>
      </x:c>
      <x:c r="C22" s="6" t="n">
        <x:v>265500</x:v>
      </x:c>
      <x:c r="D22" s="6" t="n">
        <x:v>776500</x:v>
      </x:c>
      <x:c r="E22" s="6" t="n">
        <x:f>C22-D22</x:f>
        <x:v>-511000</x:v>
      </x:c>
      <x:c r="F22" s="6" t="n">
        <x:f>F21+E22</x:f>
        <x:v>-11127000</x:v>
      </x:c>
      <x:c r="G22" s="6" t="n">
        <x:v>198500</x:v>
      </x:c>
      <x:c r="H22" s="6" t="n">
        <x:v>709500</x:v>
      </x:c>
      <x:c r="I22" s="6" t="n">
        <x:v>123</x:v>
      </x:c>
      <x:c r="J22" s="6" t="n">
        <x:v>330</x:v>
      </x:c>
      <x:c r="K22" s="6" t="n">
        <x:v>217</x:v>
      </x:c>
      <x:c r="L22" s="6" t="n">
        <x:v>10</x:v>
      </x:c>
      <x:c r="M22" s="11" t="n">
        <x:v>0.5213492063492063</x:v>
      </x:c>
      <x:c r="N22" s="6" t="n">
        <x:v>532500</x:v>
      </x:c>
    </x:row>
    <x:row r="23" ht="24" customHeight="1">
      <x:c r="A23" s="2" t="str">
        <x:v>2026-10-01_Night</x:v>
      </x:c>
      <x:c r="B23" s="6" t="str">
        <x:v>ナイト</x:v>
      </x:c>
      <x:c r="C23" s="6" t="n">
        <x:v>322500</x:v>
      </x:c>
      <x:c r="D23" s="6" t="n">
        <x:v>1578000</x:v>
      </x:c>
      <x:c r="E23" s="6" t="n">
        <x:f>C23-D23</x:f>
        <x:v>-1255500</x:v>
      </x:c>
      <x:c r="F23" s="6" t="n">
        <x:f>F22+E23</x:f>
        <x:v>-12382500</x:v>
      </x:c>
      <x:c r="G23" s="6" t="n">
        <x:v>237500</x:v>
      </x:c>
      <x:c r="H23" s="6" t="n">
        <x:v>1493000</x:v>
      </x:c>
      <x:c r="I23" s="6" t="n">
        <x:v>220</x:v>
      </x:c>
      <x:c r="J23" s="6" t="n">
        <x:v>486</x:v>
      </x:c>
      <x:c r="K23" s="6" t="n">
        <x:v>350</x:v>
      </x:c>
      <x:c r="L23" s="6" t="n">
        <x:v>10</x:v>
      </x:c>
      <x:c r="M23" s="11" t="n">
        <x:v>0.5609188034188034</x:v>
      </x:c>
      <x:c r="N23" s="6" t="n">
        <x:v>1258500</x:v>
      </x:c>
    </x:row>
    <x:row r="24" ht="24" customHeight="1">
      <x:c r="A24" s="2" t="str">
        <x:v>2026-10-02_Day</x:v>
      </x:c>
      <x:c r="B24" s="6" t="str">
        <x:v>デイ</x:v>
      </x:c>
      <x:c r="C24" s="6" t="n">
        <x:v>241000</x:v>
      </x:c>
      <x:c r="D24" s="6" t="n">
        <x:v>756500</x:v>
      </x:c>
      <x:c r="E24" s="6" t="n">
        <x:f>C24-D24</x:f>
        <x:v>-515500</x:v>
      </x:c>
      <x:c r="F24" s="6" t="n">
        <x:f>F23+E24</x:f>
        <x:v>-12898000</x:v>
      </x:c>
      <x:c r="G24" s="6" t="n">
        <x:v>153000</x:v>
      </x:c>
      <x:c r="H24" s="6" t="n">
        <x:v>668500</x:v>
      </x:c>
      <x:c r="I24" s="6" t="n">
        <x:v>120</x:v>
      </x:c>
      <x:c r="J24" s="6" t="n">
        <x:v>351</x:v>
      </x:c>
      <x:c r="K24" s="6" t="n">
        <x:v>203</x:v>
      </x:c>
      <x:c r="L24" s="6" t="n">
        <x:v>10</x:v>
      </x:c>
      <x:c r="M24" s="11" t="n">
        <x:v>0.5109523809523809</x:v>
      </x:c>
      <x:c r="N24" s="6" t="n">
        <x:v>553000</x:v>
      </x:c>
    </x:row>
    <x:row r="25" ht="24" customHeight="1">
      <x:c r="A25" s="2" t="str">
        <x:v>2026-10-02_Night</x:v>
      </x:c>
      <x:c r="B25" s="6" t="str">
        <x:v>ナイト</x:v>
      </x:c>
      <x:c r="C25" s="6" t="n">
        <x:v>409000</x:v>
      </x:c>
      <x:c r="D25" s="6" t="n">
        <x:v>1142000</x:v>
      </x:c>
      <x:c r="E25" s="6" t="n">
        <x:f>C25-D25</x:f>
        <x:v>-733000</x:v>
      </x:c>
      <x:c r="F25" s="6" t="n">
        <x:f>F24+E25</x:f>
        <x:v>-13631000</x:v>
      </x:c>
      <x:c r="G25" s="6" t="n">
        <x:v>311500</x:v>
      </x:c>
      <x:c r="H25" s="6" t="n">
        <x:v>1044500</x:v>
      </x:c>
      <x:c r="I25" s="6" t="n">
        <x:v>197</x:v>
      </x:c>
      <x:c r="J25" s="6" t="n">
        <x:v>474</x:v>
      </x:c>
      <x:c r="K25" s="6" t="n">
        <x:v>339</x:v>
      </x:c>
      <x:c r="L25" s="6" t="n">
        <x:v>10</x:v>
      </x:c>
      <x:c r="M25" s="11" t="n">
        <x:v>0.5539529914529915</x:v>
      </x:c>
      <x:c r="N25" s="6" t="n">
        <x:v>782500</x:v>
      </x:c>
    </x:row>
    <x:row r="26" ht="24" customHeight="1">
      <x:c r="A26" s="2" t="str">
        <x:v>2026-10-05_Day</x:v>
      </x:c>
      <x:c r="B26" s="6" t="str">
        <x:v>デイ</x:v>
      </x:c>
      <x:c r="C26" s="6" t="n">
        <x:v>278000</x:v>
      </x:c>
      <x:c r="D26" s="6" t="n">
        <x:v>798500</x:v>
      </x:c>
      <x:c r="E26" s="6" t="n">
        <x:f>C26-D26</x:f>
        <x:v>-520500</x:v>
      </x:c>
      <x:c r="F26" s="6" t="n">
        <x:f>F25+E26</x:f>
        <x:v>-14151500</x:v>
      </x:c>
      <x:c r="G26" s="6" t="n">
        <x:v>229000</x:v>
      </x:c>
      <x:c r="H26" s="6" t="n">
        <x:v>749500</x:v>
      </x:c>
      <x:c r="I26" s="6" t="n">
        <x:v>119</x:v>
      </x:c>
      <x:c r="J26" s="6" t="n">
        <x:v>327</x:v>
      </x:c>
      <x:c r="K26" s="6" t="n">
        <x:v>192</x:v>
      </x:c>
      <x:c r="L26" s="6" t="n">
        <x:v>10</x:v>
      </x:c>
      <x:c r="M26" s="11" t="n">
        <x:v>0.5428968253968254</x:v>
      </x:c>
      <x:c r="N26" s="6" t="n">
        <x:v>584500</x:v>
      </x:c>
    </x:row>
    <x:row r="27" ht="24" customHeight="1">
      <x:c r="A27" s="2" t="str">
        <x:v>2026-10-05_Night</x:v>
      </x:c>
      <x:c r="B27" s="6" t="str">
        <x:v>ナイト</x:v>
      </x:c>
      <x:c r="C27" s="6" t="n">
        <x:v>250500</x:v>
      </x:c>
      <x:c r="D27" s="6" t="n">
        <x:v>1083000</x:v>
      </x:c>
      <x:c r="E27" s="6" t="n">
        <x:f>C27-D27</x:f>
        <x:v>-832500</x:v>
      </x:c>
      <x:c r="F27" s="6" t="n">
        <x:f>F26+E27</x:f>
        <x:v>-14984000</x:v>
      </x:c>
      <x:c r="G27" s="6" t="n">
        <x:v>162000</x:v>
      </x:c>
      <x:c r="H27" s="6" t="n">
        <x:v>994500</x:v>
      </x:c>
      <x:c r="I27" s="6" t="n">
        <x:v>203</x:v>
      </x:c>
      <x:c r="J27" s="6" t="n">
        <x:v>419</x:v>
      </x:c>
      <x:c r="K27" s="6" t="n">
        <x:v>337</x:v>
      </x:c>
      <x:c r="L27" s="6" t="n">
        <x:v>10</x:v>
      </x:c>
      <x:c r="M27" s="11" t="n">
        <x:v>0.604465811965812</x:v>
      </x:c>
      <x:c r="N27" s="6" t="n">
        <x:v>860500</x:v>
      </x:c>
    </x:row>
    <x:row r="28" ht="24" customHeight="1">
      <x:c r="A28" s="2" t="str">
        <x:v>2026-10-06_Day</x:v>
      </x:c>
      <x:c r="B28" s="6" t="str">
        <x:v>デイ</x:v>
      </x:c>
      <x:c r="C28" s="6" t="n">
        <x:v>159500</x:v>
      </x:c>
      <x:c r="D28" s="6" t="n">
        <x:v>644000</x:v>
      </x:c>
      <x:c r="E28" s="6" t="n">
        <x:f>C28-D28</x:f>
        <x:v>-484500</x:v>
      </x:c>
      <x:c r="F28" s="6" t="n">
        <x:f>F27+E28</x:f>
        <x:v>-15468500</x:v>
      </x:c>
      <x:c r="G28" s="6" t="n">
        <x:v>110500</x:v>
      </x:c>
      <x:c r="H28" s="6" t="n">
        <x:v>595000</x:v>
      </x:c>
      <x:c r="I28" s="6" t="n">
        <x:v>124</x:v>
      </x:c>
      <x:c r="J28" s="6" t="n">
        <x:v>321</x:v>
      </x:c>
      <x:c r="K28" s="6" t="n">
        <x:v>220</x:v>
      </x:c>
      <x:c r="L28" s="6" t="n">
        <x:v>10</x:v>
      </x:c>
      <x:c r="M28" s="11" t="n">
        <x:v>0.5446825396825397</x:v>
      </x:c>
      <x:c r="N28" s="6" t="n">
        <x:v>486000</x:v>
      </x:c>
    </x:row>
    <x:row r="29" ht="24" customHeight="1">
      <x:c r="A29" s="2" t="str">
        <x:v>2026-10-06_Night</x:v>
      </x:c>
      <x:c r="B29" s="6" t="str">
        <x:v>ナイト</x:v>
      </x:c>
      <x:c r="C29" s="6" t="n">
        <x:v>156500</x:v>
      </x:c>
      <x:c r="D29" s="6" t="n">
        <x:v>805500</x:v>
      </x:c>
      <x:c r="E29" s="6" t="n">
        <x:f>C29-D29</x:f>
        <x:v>-649000</x:v>
      </x:c>
      <x:c r="F29" s="6" t="n">
        <x:f>F28+E29</x:f>
        <x:v>-16117500</x:v>
      </x:c>
      <x:c r="G29" s="6" t="n">
        <x:v>104500</x:v>
      </x:c>
      <x:c r="H29" s="6" t="n">
        <x:v>753500</x:v>
      </x:c>
      <x:c r="I29" s="6" t="n">
        <x:v>197</x:v>
      </x:c>
      <x:c r="J29" s="6" t="n">
        <x:v>392</x:v>
      </x:c>
      <x:c r="K29" s="6" t="n">
        <x:v>315</x:v>
      </x:c>
      <x:c r="L29" s="6" t="n">
        <x:v>10</x:v>
      </x:c>
      <x:c r="M29" s="11" t="n">
        <x:v>0.6091239316239316</x:v>
      </x:c>
      <x:c r="N29" s="6" t="n">
        <x:v>669000</x:v>
      </x:c>
    </x:row>
    <x:row r="30" ht="24" customHeight="1">
      <x:c r="A30" s="2" t="str">
        <x:v>2026-10-07_Day</x:v>
      </x:c>
      <x:c r="B30" s="6" t="str">
        <x:v>デイ</x:v>
      </x:c>
      <x:c r="C30" s="6" t="n">
        <x:v>201000</x:v>
      </x:c>
      <x:c r="D30" s="6" t="n">
        <x:v>572500</x:v>
      </x:c>
      <x:c r="E30" s="6" t="n">
        <x:f>C30-D30</x:f>
        <x:v>-371500</x:v>
      </x:c>
      <x:c r="F30" s="6" t="n">
        <x:f>F29+E30</x:f>
        <x:v>-16489000</x:v>
      </x:c>
      <x:c r="G30" s="6" t="n">
        <x:v>167500</x:v>
      </x:c>
      <x:c r="H30" s="6" t="n">
        <x:v>539000</x:v>
      </x:c>
      <x:c r="I30" s="6" t="n">
        <x:v>113</x:v>
      </x:c>
      <x:c r="J30" s="6" t="n">
        <x:v>299</x:v>
      </x:c>
      <x:c r="K30" s="6" t="n">
        <x:v>193</x:v>
      </x:c>
      <x:c r="L30" s="6" t="n">
        <x:v>10</x:v>
      </x:c>
      <x:c r="M30" s="11" t="n">
        <x:v>0.5319047619047619</x:v>
      </x:c>
      <x:c r="N30" s="6" t="n">
        <x:v>380500</x:v>
      </x:c>
    </x:row>
    <x:row r="31" ht="24" customHeight="1">
      <x:c r="A31" s="2" t="str">
        <x:v>2026-10-07_Night</x:v>
      </x:c>
      <x:c r="B31" s="6" t="str">
        <x:v>ナイト</x:v>
      </x:c>
      <x:c r="C31" s="6" t="n">
        <x:v>171500</x:v>
      </x:c>
      <x:c r="D31" s="6" t="n">
        <x:v>1011000</x:v>
      </x:c>
      <x:c r="E31" s="6" t="n">
        <x:f>C31-D31</x:f>
        <x:v>-839500</x:v>
      </x:c>
      <x:c r="F31" s="6" t="n">
        <x:f>F30+E31</x:f>
        <x:v>-17328500</x:v>
      </x:c>
      <x:c r="G31" s="6" t="n">
        <x:v>106500</x:v>
      </x:c>
      <x:c r="H31" s="6" t="n">
        <x:v>946000</x:v>
      </x:c>
      <x:c r="I31" s="6" t="n">
        <x:v>190</x:v>
      </x:c>
      <x:c r="J31" s="6" t="n">
        <x:v>410</x:v>
      </x:c>
      <x:c r="K31" s="6" t="n">
        <x:v>287</x:v>
      </x:c>
      <x:c r="L31" s="6" t="n">
        <x:v>10</x:v>
      </x:c>
      <x:c r="M31" s="11" t="n">
        <x:v>0.6027350427350427</x:v>
      </x:c>
      <x:c r="N31" s="6" t="n">
        <x:v>863500</x:v>
      </x:c>
    </x:row>
    <x:row r="32" ht="24" customHeight="1">
      <x:c r="A32" s="2" t="str">
        <x:v>2026-10-08_Day</x:v>
      </x:c>
      <x:c r="B32" s="6" t="str">
        <x:v>デイ</x:v>
      </x:c>
      <x:c r="C32" s="6" t="n">
        <x:v>256000</x:v>
      </x:c>
      <x:c r="D32" s="6" t="n">
        <x:v>655500</x:v>
      </x:c>
      <x:c r="E32" s="6" t="n">
        <x:f>C32-D32</x:f>
        <x:v>-399500</x:v>
      </x:c>
      <x:c r="F32" s="6" t="n">
        <x:f>F31+E32</x:f>
        <x:v>-17728000</x:v>
      </x:c>
      <x:c r="G32" s="6" t="n">
        <x:v>199500</x:v>
      </x:c>
      <x:c r="H32" s="6" t="n">
        <x:v>599000</x:v>
      </x:c>
      <x:c r="I32" s="6" t="n">
        <x:v>110</x:v>
      </x:c>
      <x:c r="J32" s="6" t="n">
        <x:v>342</x:v>
      </x:c>
      <x:c r="K32" s="6" t="n">
        <x:v>221</x:v>
      </x:c>
      <x:c r="L32" s="6" t="n">
        <x:v>10</x:v>
      </x:c>
      <x:c r="M32" s="11" t="n">
        <x:v>0.5176190476190476</x:v>
      </x:c>
      <x:c r="N32" s="6" t="n">
        <x:v>458500</x:v>
      </x:c>
    </x:row>
    <x:row r="33" ht="24" customHeight="1">
      <x:c r="A33" s="2" t="str">
        <x:v>2026-10-08_Night</x:v>
      </x:c>
      <x:c r="B33" s="6" t="str">
        <x:v>ナイト</x:v>
      </x:c>
      <x:c r="C33" s="6" t="n">
        <x:v>325000</x:v>
      </x:c>
      <x:c r="D33" s="6" t="n">
        <x:v>1265000</x:v>
      </x:c>
      <x:c r="E33" s="6" t="n">
        <x:f>C33-D33</x:f>
        <x:v>-940000</x:v>
      </x:c>
      <x:c r="F33" s="6" t="n">
        <x:f>F32+E33</x:f>
        <x:v>-18668000</x:v>
      </x:c>
      <x:c r="G33" s="6" t="n">
        <x:v>197000</x:v>
      </x:c>
      <x:c r="H33" s="6" t="n">
        <x:v>1137000</x:v>
      </x:c>
      <x:c r="I33" s="6" t="n">
        <x:v>204</x:v>
      </x:c>
      <x:c r="J33" s="6" t="n">
        <x:v>502</x:v>
      </x:c>
      <x:c r="K33" s="6" t="n">
        <x:v>362</x:v>
      </x:c>
      <x:c r="L33" s="6" t="n">
        <x:v>10</x:v>
      </x:c>
      <x:c r="M33" s="11" t="n">
        <x:v>0.5714743589743589</x:v>
      </x:c>
      <x:c r="N33" s="6" t="n">
        <x:v>970500</x:v>
      </x:c>
    </x:row>
    <x:row r="34" ht="24" customHeight="1">
      <x:c r="A34" s="2" t="str">
        <x:v>2026-10-09_Day</x:v>
      </x:c>
      <x:c r="B34" s="6" t="str">
        <x:v>デイ</x:v>
      </x:c>
      <x:c r="C34" s="6" t="n">
        <x:v>265000</x:v>
      </x:c>
      <x:c r="D34" s="6" t="n">
        <x:v>722000</x:v>
      </x:c>
      <x:c r="E34" s="6" t="n">
        <x:f>C34-D34</x:f>
        <x:v>-457000</x:v>
      </x:c>
      <x:c r="F34" s="6" t="n">
        <x:f>F33+E34</x:f>
        <x:v>-19125000</x:v>
      </x:c>
      <x:c r="G34" s="6" t="n">
        <x:v>202500</x:v>
      </x:c>
      <x:c r="H34" s="6" t="n">
        <x:v>659500</x:v>
      </x:c>
      <x:c r="I34" s="6" t="n">
        <x:v>118</x:v>
      </x:c>
      <x:c r="J34" s="6" t="n">
        <x:v>313</x:v>
      </x:c>
      <x:c r="K34" s="6" t="n">
        <x:v>227</x:v>
      </x:c>
      <x:c r="L34" s="6" t="n">
        <x:v>10</x:v>
      </x:c>
      <x:c r="M34" s="11" t="n">
        <x:v>0.5503968253968254</x:v>
      </x:c>
      <x:c r="N34" s="6" t="n">
        <x:v>550500</x:v>
      </x:c>
    </x:row>
    <x:row r="35" ht="24" customHeight="1">
      <x:c r="A35" s="2" t="str">
        <x:v>2026-10-09_Night</x:v>
      </x:c>
      <x:c r="B35" s="6" t="str">
        <x:v>ナイト</x:v>
      </x:c>
      <x:c r="C35" s="6" t="n">
        <x:v>150000</x:v>
      </x:c>
      <x:c r="D35" s="6" t="n">
        <x:v>926000</x:v>
      </x:c>
      <x:c r="E35" s="6" t="n">
        <x:f>C35-D35</x:f>
        <x:v>-776000</x:v>
      </x:c>
      <x:c r="F35" s="6" t="n">
        <x:f>F34+E35</x:f>
        <x:v>-19901000</x:v>
      </x:c>
      <x:c r="G35" s="6" t="n">
        <x:v>108000</x:v>
      </x:c>
      <x:c r="H35" s="6" t="n">
        <x:v>884000</x:v>
      </x:c>
      <x:c r="I35" s="6" t="n">
        <x:v>182</x:v>
      </x:c>
      <x:c r="J35" s="6" t="n">
        <x:v>365</x:v>
      </x:c>
      <x:c r="K35" s="6" t="n">
        <x:v>281</x:v>
      </x:c>
      <x:c r="L35" s="6" t="n">
        <x:v>10</x:v>
      </x:c>
      <x:c r="M35" s="11" t="n">
        <x:v>0.5762820512820512</x:v>
      </x:c>
      <x:c r="N35" s="6" t="n">
        <x:v>780000</x:v>
      </x:c>
    </x:row>
    <x:row r="36" ht="24" customHeight="1">
      <x:c r="A36" s="2" t="str">
        <x:v>2026-10-12_Day</x:v>
      </x:c>
      <x:c r="B36" s="6" t="str">
        <x:v>デイ</x:v>
      </x:c>
      <x:c r="C36" s="6" t="n">
        <x:v>58500</x:v>
      </x:c>
      <x:c r="D36" s="6" t="n">
        <x:v>404500</x:v>
      </x:c>
      <x:c r="E36" s="6" t="n">
        <x:f>C36-D36</x:f>
        <x:v>-346000</x:v>
      </x:c>
      <x:c r="F36" s="6" t="n">
        <x:f>F35+E36</x:f>
        <x:v>-20247000</x:v>
      </x:c>
      <x:c r="G36" s="6" t="n">
        <x:v>36000</x:v>
      </x:c>
      <x:c r="H36" s="6" t="n">
        <x:v>382000</x:v>
      </x:c>
      <x:c r="I36" s="6" t="n">
        <x:v>84</x:v>
      </x:c>
      <x:c r="J36" s="6" t="n">
        <x:v>148</x:v>
      </x:c>
      <x:c r="K36" s="6" t="n">
        <x:v>134</x:v>
      </x:c>
      <x:c r="L36" s="6" t="n">
        <x:v>10</x:v>
      </x:c>
      <x:c r="M36" s="11" t="n">
        <x:v>0.5587698412698413</x:v>
      </x:c>
      <x:c r="N36" s="6" t="n">
        <x:v>346000</x:v>
      </x:c>
    </x:row>
    <x:row r="37" ht="24" customHeight="1">
      <x:c r="A37" s="2" t="str">
        <x:v>2026-10-12_Night</x:v>
      </x:c>
      <x:c r="B37" s="6" t="str">
        <x:v>ナイト</x:v>
      </x:c>
      <x:c r="C37" s="6" t="n">
        <x:v>71000</x:v>
      </x:c>
      <x:c r="D37" s="6" t="n">
        <x:v>578000</x:v>
      </x:c>
      <x:c r="E37" s="6" t="n">
        <x:f>C37-D37</x:f>
        <x:v>-507000</x:v>
      </x:c>
      <x:c r="F37" s="6" t="n">
        <x:f>F36+E37</x:f>
        <x:v>-20754000</x:v>
      </x:c>
      <x:c r="G37" s="6" t="n">
        <x:v>16000</x:v>
      </x:c>
      <x:c r="H37" s="6" t="n">
        <x:v>523000</x:v>
      </x:c>
      <x:c r="I37" s="6" t="n">
        <x:v>143</x:v>
      </x:c>
      <x:c r="J37" s="6" t="n">
        <x:v>221</x:v>
      </x:c>
      <x:c r="K37" s="6" t="n">
        <x:v>203</x:v>
      </x:c>
      <x:c r="L37" s="6" t="n">
        <x:v>10</x:v>
      </x:c>
      <x:c r="M37" s="11" t="n">
        <x:v>0.5285470085470085</x:v>
      </x:c>
      <x:c r="N37" s="6" t="n">
        <x:v>509000</x:v>
      </x:c>
    </x:row>
    <x:row r="38" ht="24" customHeight="1">
      <x:c r="A38" s="2" t="str">
        <x:v>2026-10-13_Day</x:v>
      </x:c>
      <x:c r="B38" s="6" t="str">
        <x:v>デイ</x:v>
      </x:c>
      <x:c r="C38" s="6" t="n">
        <x:v>243000</x:v>
      </x:c>
      <x:c r="D38" s="6" t="n">
        <x:v>946000</x:v>
      </x:c>
      <x:c r="E38" s="6" t="n">
        <x:f>C38-D38</x:f>
        <x:v>-703000</x:v>
      </x:c>
      <x:c r="F38" s="6" t="n">
        <x:f>F37+E38</x:f>
        <x:v>-21457000</x:v>
      </x:c>
      <x:c r="G38" s="6" t="n">
        <x:v>179000</x:v>
      </x:c>
      <x:c r="H38" s="6" t="n">
        <x:v>882000</x:v>
      </x:c>
      <x:c r="I38" s="6" t="n">
        <x:v>137</x:v>
      </x:c>
      <x:c r="J38" s="6" t="n">
        <x:v>338</x:v>
      </x:c>
      <x:c r="K38" s="6" t="n">
        <x:v>255</x:v>
      </x:c>
      <x:c r="L38" s="6" t="n">
        <x:v>10</x:v>
      </x:c>
      <x:c r="M38" s="11" t="n">
        <x:v>0.5464285714285714</x:v>
      </x:c>
      <x:c r="N38" s="6" t="n">
        <x:v>725500</x:v>
      </x:c>
    </x:row>
    <x:row r="39" ht="24" customHeight="1">
      <x:c r="A39" s="2" t="str">
        <x:v>2026-10-13_Night</x:v>
      </x:c>
      <x:c r="B39" s="6" t="str">
        <x:v>ナイト</x:v>
      </x:c>
      <x:c r="C39" s="6" t="n">
        <x:v>106000</x:v>
      </x:c>
      <x:c r="D39" s="6" t="n">
        <x:v>664500</x:v>
      </x:c>
      <x:c r="E39" s="6" t="n">
        <x:f>C39-D39</x:f>
        <x:v>-558500</x:v>
      </x:c>
      <x:c r="F39" s="6" t="n">
        <x:f>F38+E39</x:f>
        <x:v>-22015500</x:v>
      </x:c>
      <x:c r="G39" s="6" t="n">
        <x:v>52500</x:v>
      </x:c>
      <x:c r="H39" s="6" t="n">
        <x:v>611000</x:v>
      </x:c>
      <x:c r="I39" s="6" t="n">
        <x:v>160</x:v>
      </x:c>
      <x:c r="J39" s="6" t="n">
        <x:v>344</x:v>
      </x:c>
      <x:c r="K39" s="6" t="n">
        <x:v>244</x:v>
      </x:c>
      <x:c r="L39" s="6" t="n">
        <x:v>10</x:v>
      </x:c>
      <x:c r="M39" s="11" t="n">
        <x:v>0.5921367521367521</x:v>
      </x:c>
      <x:c r="N39" s="6" t="n">
        <x:v>561500</x:v>
      </x:c>
    </x:row>
    <x:row r="40" ht="24" customHeight="1">
      <x:c r="A40" s="2" t="str">
        <x:v>2026-10-14_Day</x:v>
      </x:c>
      <x:c r="B40" s="6" t="str">
        <x:v>デイ</x:v>
      </x:c>
      <x:c r="C40" s="6" t="n">
        <x:v>138000</x:v>
      </x:c>
      <x:c r="D40" s="6" t="n">
        <x:v>889000</x:v>
      </x:c>
      <x:c r="E40" s="6" t="n">
        <x:f>C40-D40</x:f>
        <x:v>-751000</x:v>
      </x:c>
      <x:c r="F40" s="6" t="n">
        <x:f>F39+E40</x:f>
        <x:v>-22766500</x:v>
      </x:c>
      <x:c r="G40" s="6" t="n">
        <x:v>94000</x:v>
      </x:c>
      <x:c r="H40" s="6" t="n">
        <x:v>845000</x:v>
      </x:c>
      <x:c r="I40" s="6" t="n">
        <x:v>138</x:v>
      </x:c>
      <x:c r="J40" s="6" t="n">
        <x:v>337</x:v>
      </x:c>
      <x:c r="K40" s="6" t="n">
        <x:v>235</x:v>
      </x:c>
      <x:c r="L40" s="6" t="n">
        <x:v>10</x:v>
      </x:c>
      <x:c r="M40" s="11" t="n">
        <x:v>0.5853571428571429</x:v>
      </x:c>
      <x:c r="N40" s="6" t="n">
        <x:v>752500</x:v>
      </x:c>
    </x:row>
    <x:row r="41" ht="24" customHeight="1">
      <x:c r="A41" s="2" t="str">
        <x:v>2026-10-14_Night</x:v>
      </x:c>
      <x:c r="B41" s="6" t="str">
        <x:v>ナイト</x:v>
      </x:c>
      <x:c r="C41" s="6" t="n">
        <x:v>250000</x:v>
      </x:c>
      <x:c r="D41" s="6" t="n">
        <x:v>1082000</x:v>
      </x:c>
      <x:c r="E41" s="6" t="n">
        <x:f>C41-D41</x:f>
        <x:v>-832000</x:v>
      </x:c>
      <x:c r="F41" s="6" t="n">
        <x:f>F40+E41</x:f>
        <x:v>-23598500</x:v>
      </x:c>
      <x:c r="G41" s="6" t="n">
        <x:v>165000</x:v>
      </x:c>
      <x:c r="H41" s="6" t="n">
        <x:v>997000</x:v>
      </x:c>
      <x:c r="I41" s="6" t="n">
        <x:v>174</x:v>
      </x:c>
      <x:c r="J41" s="6" t="n">
        <x:v>465</x:v>
      </x:c>
      <x:c r="K41" s="6" t="n">
        <x:v>297</x:v>
      </x:c>
      <x:c r="L41" s="6" t="n">
        <x:v>10</x:v>
      </x:c>
      <x:c r="M41" s="11" t="n">
        <x:v>0.5567307692307693</x:v>
      </x:c>
      <x:c r="N41" s="6" t="n">
        <x:v>841000</x:v>
      </x:c>
    </x:row>
    <x:row r="42" ht="24" customHeight="1">
      <x:c r="A42" s="2" t="str">
        <x:v>2026-10-15_Day</x:v>
      </x:c>
      <x:c r="B42" s="6" t="str">
        <x:v>デイ</x:v>
      </x:c>
      <x:c r="C42" s="6" t="n">
        <x:v>502000</x:v>
      </x:c>
      <x:c r="D42" s="6" t="n">
        <x:v>1231500</x:v>
      </x:c>
      <x:c r="E42" s="6" t="n">
        <x:f>C42-D42</x:f>
        <x:v>-729500</x:v>
      </x:c>
      <x:c r="F42" s="6" t="n">
        <x:f>F41+E42</x:f>
        <x:v>-24328000</x:v>
      </x:c>
      <x:c r="G42" s="6" t="n">
        <x:v>429500</x:v>
      </x:c>
      <x:c r="H42" s="6" t="n">
        <x:v>1159000</x:v>
      </x:c>
      <x:c r="I42" s="6" t="n">
        <x:v>125</x:v>
      </x:c>
      <x:c r="J42" s="6" t="n">
        <x:v>345</x:v>
      </x:c>
      <x:c r="K42" s="6" t="n">
        <x:v>183</x:v>
      </x:c>
      <x:c r="L42" s="6" t="n">
        <x:v>10</x:v>
      </x:c>
      <x:c r="M42" s="11" t="n">
        <x:v>0.44821428571428573</x:v>
      </x:c>
      <x:c r="N42" s="6" t="n">
        <x:v>818500</x:v>
      </x:c>
    </x:row>
    <x:row r="43" ht="24" customHeight="1">
      <x:c r="A43" s="2" t="str">
        <x:v>2026-10-15_Night</x:v>
      </x:c>
      <x:c r="B43" s="6" t="str">
        <x:v>ナイト</x:v>
      </x:c>
      <x:c r="C43" s="6" t="n">
        <x:v>335000</x:v>
      </x:c>
      <x:c r="D43" s="6" t="n">
        <x:v>1243000</x:v>
      </x:c>
      <x:c r="E43" s="6" t="n">
        <x:f>C43-D43</x:f>
        <x:v>-908000</x:v>
      </x:c>
      <x:c r="F43" s="6" t="n">
        <x:f>F42+E43</x:f>
        <x:v>-25236000</x:v>
      </x:c>
      <x:c r="G43" s="6" t="n">
        <x:v>224500</x:v>
      </x:c>
      <x:c r="H43" s="6" t="n">
        <x:v>1132500</x:v>
      </x:c>
      <x:c r="I43" s="6" t="n">
        <x:v>201</x:v>
      </x:c>
      <x:c r="J43" s="6" t="n">
        <x:v>481</x:v>
      </x:c>
      <x:c r="K43" s="6" t="n">
        <x:v>323</x:v>
      </x:c>
      <x:c r="L43" s="6" t="n">
        <x:v>10</x:v>
      </x:c>
      <x:c r="M43" s="11" t="n">
        <x:v>0.592905982905983</x:v>
      </x:c>
      <x:c r="N43" s="6" t="n">
        <x:v>913500</x:v>
      </x:c>
    </x:row>
    <x:row r="44" ht="24" customHeight="1">
      <x:c r="A44" s="2" t="str">
        <x:v>2026-10-16_Day</x:v>
      </x:c>
      <x:c r="B44" s="6" t="str">
        <x:v>デイ</x:v>
      </x:c>
      <x:c r="C44" s="6" t="n">
        <x:v>278500</x:v>
      </x:c>
      <x:c r="D44" s="6" t="n">
        <x:v>1066500</x:v>
      </x:c>
      <x:c r="E44" s="6" t="n">
        <x:f>C44-D44</x:f>
        <x:v>-788000</x:v>
      </x:c>
      <x:c r="F44" s="6" t="n">
        <x:f>F43+E44</x:f>
        <x:v>-26024000</x:v>
      </x:c>
      <x:c r="G44" s="6" t="n">
        <x:v>216000</x:v>
      </x:c>
      <x:c r="H44" s="6" t="n">
        <x:v>1004000</x:v>
      </x:c>
      <x:c r="I44" s="6" t="n">
        <x:v>144</x:v>
      </x:c>
      <x:c r="J44" s="6" t="n">
        <x:v>348</x:v>
      </x:c>
      <x:c r="K44" s="6" t="n">
        <x:v>211</x:v>
      </x:c>
      <x:c r="L44" s="6" t="n">
        <x:v>10</x:v>
      </x:c>
      <x:c r="M44" s="11" t="n">
        <x:v>0.5269444444444444</x:v>
      </x:c>
      <x:c r="N44" s="6" t="n">
        <x:v>828000</x:v>
      </x:c>
    </x:row>
    <x:row r="45" ht="24" customHeight="1">
      <x:c r="A45" s="2" t="str">
        <x:v>2026-10-16_Night</x:v>
      </x:c>
      <x:c r="B45" s="6" t="str">
        <x:v>ナイト</x:v>
      </x:c>
      <x:c r="C45" s="6" t="n">
        <x:v>481000</x:v>
      </x:c>
      <x:c r="D45" s="6" t="n">
        <x:v>1246000</x:v>
      </x:c>
      <x:c r="E45" s="6" t="n">
        <x:f>C45-D45</x:f>
        <x:v>-765000</x:v>
      </x:c>
      <x:c r="F45" s="6" t="n">
        <x:f>F44+E45</x:f>
        <x:v>-26789000</x:v>
      </x:c>
      <x:c r="G45" s="6" t="n">
        <x:v>357000</x:v>
      </x:c>
      <x:c r="H45" s="6" t="n">
        <x:v>1122000</x:v>
      </x:c>
      <x:c r="I45" s="6" t="n">
        <x:v>206</x:v>
      </x:c>
      <x:c r="J45" s="6" t="n">
        <x:v>545</x:v>
      </x:c>
      <x:c r="K45" s="6" t="n">
        <x:v>363</x:v>
      </x:c>
      <x:c r="L45" s="6" t="n">
        <x:v>10</x:v>
      </x:c>
      <x:c r="M45" s="11" t="n">
        <x:v>0.5506623931623932</x:v>
      </x:c>
      <x:c r="N45" s="6" t="n">
        <x:v>772000</x:v>
      </x:c>
    </x:row>
    <x:row r="46" ht="24" customHeight="1">
      <x:c r="A46" s="2" t="str">
        <x:v>2026-10-19_Day</x:v>
      </x:c>
      <x:c r="B46" s="6" t="str">
        <x:v>デイ</x:v>
      </x:c>
      <x:c r="C46" s="6" t="n">
        <x:v>350500</x:v>
      </x:c>
      <x:c r="D46" s="6" t="n">
        <x:v>693000</x:v>
      </x:c>
      <x:c r="E46" s="6" t="n">
        <x:f>C46-D46</x:f>
        <x:v>-342500</x:v>
      </x:c>
      <x:c r="F46" s="6" t="n">
        <x:f>F45+E46</x:f>
        <x:v>-27131500</x:v>
      </x:c>
      <x:c r="G46" s="6" t="n">
        <x:v>294500</x:v>
      </x:c>
      <x:c r="H46" s="6" t="n">
        <x:v>637000</x:v>
      </x:c>
      <x:c r="I46" s="6" t="n">
        <x:v>120</x:v>
      </x:c>
      <x:c r="J46" s="6" t="n">
        <x:v>313</x:v>
      </x:c>
      <x:c r="K46" s="6" t="n">
        <x:v>212</x:v>
      </x:c>
      <x:c r="L46" s="6" t="n">
        <x:v>10</x:v>
      </x:c>
      <x:c r="M46" s="11" t="n">
        <x:v>0.4992063492063492</x:v>
      </x:c>
      <x:c r="N46" s="6" t="n">
        <x:v>499000</x:v>
      </x:c>
    </x:row>
    <x:row r="47" ht="24" customHeight="1">
      <x:c r="A47" s="2" t="str">
        <x:v>2026-10-19_Night</x:v>
      </x:c>
      <x:c r="B47" s="6" t="str">
        <x:v>ナイト</x:v>
      </x:c>
      <x:c r="C47" s="6" t="n">
        <x:v>258000</x:v>
      </x:c>
      <x:c r="D47" s="6" t="n">
        <x:v>1136500</x:v>
      </x:c>
      <x:c r="E47" s="6" t="n">
        <x:f>C47-D47</x:f>
        <x:v>-878500</x:v>
      </x:c>
      <x:c r="F47" s="6" t="n">
        <x:f>F46+E47</x:f>
        <x:v>-28010000</x:v>
      </x:c>
      <x:c r="G47" s="6" t="n">
        <x:v>168000</x:v>
      </x:c>
      <x:c r="H47" s="6" t="n">
        <x:v>1046500</x:v>
      </x:c>
      <x:c r="I47" s="6" t="n">
        <x:v>192</x:v>
      </x:c>
      <x:c r="J47" s="6" t="n">
        <x:v>448</x:v>
      </x:c>
      <x:c r="K47" s="6" t="n">
        <x:v>322</x:v>
      </x:c>
      <x:c r="L47" s="6" t="n">
        <x:v>10</x:v>
      </x:c>
      <x:c r="M47" s="11" t="n">
        <x:v>0.5767094017094017</x:v>
      </x:c>
      <x:c r="N47" s="6" t="n">
        <x:v>882500</x:v>
      </x:c>
    </x:row>
    <x:row r="48" ht="24" customHeight="1">
      <x:c r="A48" s="2" t="str">
        <x:v>2026-10-20_Day</x:v>
      </x:c>
      <x:c r="B48" s="6" t="str">
        <x:v>デイ</x:v>
      </x:c>
      <x:c r="C48" s="6" t="n">
        <x:v>246000</x:v>
      </x:c>
      <x:c r="D48" s="6" t="n">
        <x:v>908500</x:v>
      </x:c>
      <x:c r="E48" s="6" t="n">
        <x:f>C48-D48</x:f>
        <x:v>-662500</x:v>
      </x:c>
      <x:c r="F48" s="6" t="n">
        <x:f>F47+E48</x:f>
        <x:v>-28672500</x:v>
      </x:c>
      <x:c r="G48" s="6" t="n">
        <x:v>168000</x:v>
      </x:c>
      <x:c r="H48" s="6" t="n">
        <x:v>830500</x:v>
      </x:c>
      <x:c r="I48" s="6" t="n">
        <x:v>116</x:v>
      </x:c>
      <x:c r="J48" s="6" t="n">
        <x:v>367</x:v>
      </x:c>
      <x:c r="K48" s="6" t="n">
        <x:v>269</x:v>
      </x:c>
      <x:c r="L48" s="6" t="n">
        <x:v>10</x:v>
      </x:c>
      <x:c r="M48" s="11" t="n">
        <x:v>0.5357539682539683</x:v>
      </x:c>
      <x:c r="N48" s="6" t="n">
        <x:v>676000</x:v>
      </x:c>
    </x:row>
    <x:row r="49" ht="24" customHeight="1">
      <x:c r="A49" s="2" t="str">
        <x:v>2026-10-20_Night</x:v>
      </x:c>
      <x:c r="B49" s="6" t="str">
        <x:v>ナイト</x:v>
      </x:c>
      <x:c r="C49" s="6" t="n">
        <x:v>405500</x:v>
      </x:c>
      <x:c r="D49" s="6" t="n">
        <x:v>1150000</x:v>
      </x:c>
      <x:c r="E49" s="6" t="n">
        <x:f>C49-D49</x:f>
        <x:v>-744500</x:v>
      </x:c>
      <x:c r="F49" s="6" t="n">
        <x:f>F48+E49</x:f>
        <x:v>-29417000</x:v>
      </x:c>
      <x:c r="G49" s="6" t="n">
        <x:v>307000</x:v>
      </x:c>
      <x:c r="H49" s="6" t="n">
        <x:v>1051500</x:v>
      </x:c>
      <x:c r="I49" s="6" t="n">
        <x:v>187</x:v>
      </x:c>
      <x:c r="J49" s="6" t="n">
        <x:v>447</x:v>
      </x:c>
      <x:c r="K49" s="6" t="n">
        <x:v>302</x:v>
      </x:c>
      <x:c r="L49" s="6" t="n">
        <x:v>10</x:v>
      </x:c>
      <x:c r="M49" s="11" t="n">
        <x:v>0.5601282051282052</x:v>
      </x:c>
      <x:c r="N49" s="6" t="n">
        <x:v>747500</x:v>
      </x:c>
    </x:row>
    <x:row r="50" ht="24" customHeight="1">
      <x:c r="A50" s="2" t="str">
        <x:v>2026-10-21_Day</x:v>
      </x:c>
      <x:c r="B50" s="6" t="str">
        <x:v>デイ</x:v>
      </x:c>
      <x:c r="C50" s="6" t="n">
        <x:v>227000</x:v>
      </x:c>
      <x:c r="D50" s="6" t="n">
        <x:v>880500</x:v>
      </x:c>
      <x:c r="E50" s="6" t="n">
        <x:f>C50-D50</x:f>
        <x:v>-653500</x:v>
      </x:c>
      <x:c r="F50" s="6" t="n">
        <x:f>F49+E50</x:f>
        <x:v>-30070500</x:v>
      </x:c>
      <x:c r="G50" s="6" t="n">
        <x:v>187000</x:v>
      </x:c>
      <x:c r="H50" s="6" t="n">
        <x:v>840500</x:v>
      </x:c>
      <x:c r="I50" s="6" t="n">
        <x:v>131</x:v>
      </x:c>
      <x:c r="J50" s="6" t="n">
        <x:v>345</x:v>
      </x:c>
      <x:c r="K50" s="6" t="n">
        <x:v>221</x:v>
      </x:c>
      <x:c r="L50" s="6" t="n">
        <x:v>10</x:v>
      </x:c>
      <x:c r="M50" s="11" t="n">
        <x:v>0.5701984126984126</x:v>
      </x:c>
      <x:c r="N50" s="6" t="n">
        <x:v>663500</x:v>
      </x:c>
    </x:row>
    <x:row r="51" ht="24" customHeight="1">
      <x:c r="A51" s="2" t="str">
        <x:v>2026-10-21_Night</x:v>
      </x:c>
      <x:c r="B51" s="6" t="str">
        <x:v>ナイト</x:v>
      </x:c>
      <x:c r="C51" s="6" t="n">
        <x:v>322500</x:v>
      </x:c>
      <x:c r="D51" s="6" t="n">
        <x:v>789000</x:v>
      </x:c>
      <x:c r="E51" s="6" t="n">
        <x:f>C51-D51</x:f>
        <x:v>-466500</x:v>
      </x:c>
      <x:c r="F51" s="6" t="n">
        <x:f>F50+E51</x:f>
        <x:v>-30537000</x:v>
      </x:c>
      <x:c r="G51" s="6" t="n">
        <x:v>219500</x:v>
      </x:c>
      <x:c r="H51" s="6" t="n">
        <x:v>686000</x:v>
      </x:c>
      <x:c r="I51" s="6" t="n">
        <x:v>180</x:v>
      </x:c>
      <x:c r="J51" s="6" t="n">
        <x:v>450</x:v>
      </x:c>
      <x:c r="K51" s="6" t="n">
        <x:v>296</x:v>
      </x:c>
      <x:c r="L51" s="6" t="n">
        <x:v>10</x:v>
      </x:c>
      <x:c r="M51" s="11" t="n">
        <x:v>0.5947649572649573</x:v>
      </x:c>
      <x:c r="N51" s="6" t="n">
        <x:v>487000</x:v>
      </x:c>
    </x:row>
    <x:row r="52" ht="24" customHeight="1">
      <x:c r="A52" s="2" t="str">
        <x:v>2026-10-22_Day</x:v>
      </x:c>
      <x:c r="B52" s="6" t="str">
        <x:v>デイ</x:v>
      </x:c>
      <x:c r="C52" s="6" t="n">
        <x:v>409500</x:v>
      </x:c>
      <x:c r="D52" s="6" t="n">
        <x:v>785000</x:v>
      </x:c>
      <x:c r="E52" s="6" t="n">
        <x:f>C52-D52</x:f>
        <x:v>-375500</x:v>
      </x:c>
      <x:c r="F52" s="6" t="n">
        <x:f>F51+E52</x:f>
        <x:v>-30912500</x:v>
      </x:c>
      <x:c r="G52" s="6" t="n">
        <x:v>345000</x:v>
      </x:c>
      <x:c r="H52" s="6" t="n">
        <x:v>720500</x:v>
      </x:c>
      <x:c r="I52" s="6" t="n">
        <x:v>111</x:v>
      </x:c>
      <x:c r="J52" s="6" t="n">
        <x:v>355</x:v>
      </x:c>
      <x:c r="K52" s="6" t="n">
        <x:v>212</x:v>
      </x:c>
      <x:c r="L52" s="6" t="n">
        <x:v>10</x:v>
      </x:c>
      <x:c r="M52" s="11" t="n">
        <x:v>0.47559523809523807</x:v>
      </x:c>
      <x:c r="N52" s="6" t="n">
        <x:v>517000</x:v>
      </x:c>
    </x:row>
    <x:row r="53" ht="24" customHeight="1">
      <x:c r="A53" s="2" t="str">
        <x:v>2026-10-22_Night</x:v>
      </x:c>
      <x:c r="B53" s="6" t="str">
        <x:v>ナイト</x:v>
      </x:c>
      <x:c r="C53" s="6" t="n">
        <x:v>488500</x:v>
      </x:c>
      <x:c r="D53" s="6" t="n">
        <x:v>1098000</x:v>
      </x:c>
      <x:c r="E53" s="6" t="n">
        <x:f>C53-D53</x:f>
        <x:v>-609500</x:v>
      </x:c>
      <x:c r="F53" s="6" t="n">
        <x:f>F52+E53</x:f>
        <x:v>-31522000</x:v>
      </x:c>
      <x:c r="G53" s="6" t="n">
        <x:v>402500</x:v>
      </x:c>
      <x:c r="H53" s="6" t="n">
        <x:v>1012000</x:v>
      </x:c>
      <x:c r="I53" s="6" t="n">
        <x:v>198</x:v>
      </x:c>
      <x:c r="J53" s="6" t="n">
        <x:v>461</x:v>
      </x:c>
      <x:c r="K53" s="6" t="n">
        <x:v>316</x:v>
      </x:c>
      <x:c r="L53" s="6" t="n">
        <x:v>10</x:v>
      </x:c>
      <x:c r="M53" s="11" t="n">
        <x:v>0.5343376068376068</x:v>
      </x:c>
      <x:c r="N53" s="6" t="n">
        <x:v>622000</x:v>
      </x:c>
    </x:row>
    <x:row r="54" ht="24" customHeight="1">
      <x:c r="A54" s="2" t="str">
        <x:v>2026-10-23_Day</x:v>
      </x:c>
      <x:c r="B54" s="6" t="str">
        <x:v>デイ</x:v>
      </x:c>
      <x:c r="C54" s="6" t="n">
        <x:v>435500</x:v>
      </x:c>
      <x:c r="D54" s="6" t="n">
        <x:v>946500</x:v>
      </x:c>
      <x:c r="E54" s="6" t="n">
        <x:f>C54-D54</x:f>
        <x:v>-511000</x:v>
      </x:c>
      <x:c r="F54" s="6" t="n">
        <x:f>F53+E54</x:f>
        <x:v>-32033000</x:v>
      </x:c>
      <x:c r="G54" s="6" t="n">
        <x:v>358500</x:v>
      </x:c>
      <x:c r="H54" s="6" t="n">
        <x:v>869500</x:v>
      </x:c>
      <x:c r="I54" s="6" t="n">
        <x:v>111</x:v>
      </x:c>
      <x:c r="J54" s="6" t="n">
        <x:v>299</x:v>
      </x:c>
      <x:c r="K54" s="6" t="n">
        <x:v>161</x:v>
      </x:c>
      <x:c r="L54" s="6" t="n">
        <x:v>10</x:v>
      </x:c>
      <x:c r="M54" s="11" t="n">
        <x:v>0.4057936507936508</x:v>
      </x:c>
      <x:c r="N54" s="6" t="n">
        <x:v>532500</x:v>
      </x:c>
    </x:row>
    <x:row r="55" ht="24" customHeight="1">
      <x:c r="A55" s="2" t="str">
        <x:v>2026-10-23_Night</x:v>
      </x:c>
      <x:c r="B55" s="6" t="str">
        <x:v>ナイト</x:v>
      </x:c>
      <x:c r="C55" s="6" t="n">
        <x:v>319500</x:v>
      </x:c>
      <x:c r="D55" s="6" t="n">
        <x:v>1322000</x:v>
      </x:c>
      <x:c r="E55" s="6" t="n">
        <x:f>C55-D55</x:f>
        <x:v>-1002500</x:v>
      </x:c>
      <x:c r="F55" s="6" t="n">
        <x:f>F54+E55</x:f>
        <x:v>-33035500</x:v>
      </x:c>
      <x:c r="G55" s="6" t="n">
        <x:v>206500</x:v>
      </x:c>
      <x:c r="H55" s="6" t="n">
        <x:v>1209000</x:v>
      </x:c>
      <x:c r="I55" s="6" t="n">
        <x:v>218</x:v>
      </x:c>
      <x:c r="J55" s="6" t="n">
        <x:v>453</x:v>
      </x:c>
      <x:c r="K55" s="6" t="n">
        <x:v>334</x:v>
      </x:c>
      <x:c r="L55" s="6" t="n">
        <x:v>10</x:v>
      </x:c>
      <x:c r="M55" s="11" t="n">
        <x:v>0.5202777777777777</x:v>
      </x:c>
      <x:c r="N55" s="6" t="n">
        <x:v>1011000</x:v>
      </x:c>
    </x:row>
    <x:row r="56" ht="24" customHeight="1">
      <x:c r="A56" s="2" t="str">
        <x:v>2026-10-26_Day</x:v>
      </x:c>
      <x:c r="B56" s="6" t="str">
        <x:v>デイ</x:v>
      </x:c>
      <x:c r="C56" s="6" t="n">
        <x:v>283000</x:v>
      </x:c>
      <x:c r="D56" s="6" t="n">
        <x:v>1111000</x:v>
      </x:c>
      <x:c r="E56" s="6" t="n">
        <x:f>C56-D56</x:f>
        <x:v>-828000</x:v>
      </x:c>
      <x:c r="F56" s="6" t="n">
        <x:f>F55+E56</x:f>
        <x:v>-33863500</x:v>
      </x:c>
      <x:c r="G56" s="6" t="n">
        <x:v>226000</x:v>
      </x:c>
      <x:c r="H56" s="6" t="n">
        <x:v>1054000</x:v>
      </x:c>
      <x:c r="I56" s="6" t="n">
        <x:v>128</x:v>
      </x:c>
      <x:c r="J56" s="6" t="n">
        <x:v>365</x:v>
      </x:c>
      <x:c r="K56" s="6" t="n">
        <x:v>227</x:v>
      </x:c>
      <x:c r="L56" s="6" t="n">
        <x:v>10</x:v>
      </x:c>
      <x:c r="M56" s="11" t="n">
        <x:v>0.5062301587301588</x:v>
      </x:c>
      <x:c r="N56" s="6" t="n">
        <x:v>838000</x:v>
      </x:c>
    </x:row>
    <x:row r="57" ht="24" customHeight="1">
      <x:c r="A57" s="15" t="str">
        <x:v>累計／平均／最大</x:v>
      </x:c>
      <x:c r="B57" s="16"/>
      <x:c r="C57" s="16" t="n">
        <x:f>SUM(C6:C56)</x:f>
        <x:v>13936000</x:v>
      </x:c>
      <x:c r="D57" s="16" t="n">
        <x:f>SUM(D6:D56)</x:f>
        <x:v>47799500</x:v>
      </x:c>
      <x:c r="E57" s="16" t="n">
        <x:f>C57-D57</x:f>
        <x:v>-33863500</x:v>
      </x:c>
      <x:c r="F57" s="16" t="n">
        <x:f>F56</x:f>
        <x:v>-33863500</x:v>
      </x:c>
      <x:c r="G57" s="16" t="n">
        <x:f>SUM(G6:G56)</x:f>
        <x:v>10365000</x:v>
      </x:c>
      <x:c r="H57" s="16" t="n">
        <x:f>SUM(H6:H56)</x:f>
        <x:v>44228500</x:v>
      </x:c>
      <x:c r="I57" s="16" t="n">
        <x:f>SUM(I6:I56)</x:f>
        <x:v>7794</x:v>
      </x:c>
      <x:c r="J57" s="16" t="n">
        <x:f>SUM(J6:J56)</x:f>
        <x:v>18633</x:v>
      </x:c>
      <x:c r="K57" s="16" t="n">
        <x:f>SUM(K6:K56)</x:f>
        <x:v>12938</x:v>
      </x:c>
      <x:c r="L57" s="16" t="n">
        <x:f>MAX(L6:L56)</x:f>
        <x:v>10</x:v>
      </x:c>
      <x:c r="M57" s="17" t="n">
        <x:f>AVERAGE(M6:M56)</x:f>
        <x:v>0.5541196222078575</x:v>
      </x:c>
      <x:c r="N57" s="16" t="n">
        <x:f>MAX(N6:N56)</x:f>
        <x:v>1258500</x:v>
      </x:c>
    </x:row>
  </x:sheetData>
  <x:conditionalFormatting sqref="E6:F56">
    <x:cfRule type="cellIs" dxfId="36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c0c46015f3e43a7"/>
  </x:tableParts>
</x:worksheet>
</file>

<file path=xl/worksheets/sheet3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1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4" customHeight="1">
      <x:c r="A1" s="3" t="str">
        <x:v>TOPIX R04　各セッションの利益・損失・収支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A2" s="4" t="str">
        <x:v>2026/09/21〜10/26デイ・51完了場。日経mini／TOPIXmini各上限10枚・手数料0。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4" customHeight="1">
      <x:c r="A3" s="4" t="str">
        <x:v>3分MA・冷却後に再参加・価格と1分傾き確認・利益方向だけ追加・2枚差で増減／D出口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4" customHeight="1">
      <x:c r="A4" s="4" t="str">
        <x:v>利益・損失＝FIFO返済配賦別。親＝初回から全返済まで。ラージ気配による模型で、mini実約定の検証ではありません。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42" customHeight="1">
      <x:c r="A5" s="10" t="str">
        <x:v>セッション</x:v>
      </x:c>
      <x:c r="B5" s="10" t="str">
        <x:v>区分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親利益（円）</x:v>
      </x:c>
      <x:c r="H5" s="10" t="str">
        <x:v>親損失（円）</x:v>
      </x:c>
      <x:c r="I5" s="10" t="str">
        <x:v>初回件数</x:v>
      </x:c>
      <x:c r="J5" s="10" t="str">
        <x:v>追加件数</x:v>
      </x:c>
      <x:c r="K5" s="10" t="str">
        <x:v>縮小件数</x:v>
      </x:c>
      <x:c r="L5" s="10" t="str">
        <x:v>最大保有枚数</x:v>
      </x:c>
      <x:c r="M5" s="10" t="str">
        <x:v>保有時間率</x:v>
      </x:c>
      <x:c r="N5" s="10" t="str">
        <x:v>時価最大DD（円）</x:v>
      </x:c>
    </x:row>
    <x:row r="6" ht="24" customHeight="1">
      <x:c r="A6" s="2" t="str">
        <x:v>2026-09-21_Day</x:v>
      </x:c>
      <x:c r="B6" s="6" t="str">
        <x:v>デイ</x:v>
      </x:c>
      <x:c r="C6" s="6" t="n">
        <x:v>99500</x:v>
      </x:c>
      <x:c r="D6" s="6" t="n">
        <x:v>404500</x:v>
      </x:c>
      <x:c r="E6" s="6" t="n">
        <x:f>C6-D6</x:f>
        <x:v>-305000</x:v>
      </x:c>
      <x:c r="F6" s="6" t="n">
        <x:f>E6</x:f>
        <x:v>-305000</x:v>
      </x:c>
      <x:c r="G6" s="6" t="n">
        <x:v>73500</x:v>
      </x:c>
      <x:c r="H6" s="6" t="n">
        <x:v>378500</x:v>
      </x:c>
      <x:c r="I6" s="6" t="n">
        <x:v>81</x:v>
      </x:c>
      <x:c r="J6" s="6" t="n">
        <x:v>34</x:v>
      </x:c>
      <x:c r="K6" s="6" t="n">
        <x:v>30</x:v>
      </x:c>
      <x:c r="L6" s="6" t="n">
        <x:v>10</x:v>
      </x:c>
      <x:c r="M6" s="11" t="n">
        <x:v>0.5815476190476191</x:v>
      </x:c>
      <x:c r="N6" s="6" t="n">
        <x:v>305000</x:v>
      </x:c>
    </x:row>
    <x:row r="7" ht="24" customHeight="1">
      <x:c r="A7" s="2" t="str">
        <x:v>2026-09-21_Night</x:v>
      </x:c>
      <x:c r="B7" s="6" t="str">
        <x:v>ナイト</x:v>
      </x:c>
      <x:c r="C7" s="6" t="n">
        <x:v>107000</x:v>
      </x:c>
      <x:c r="D7" s="6" t="n">
        <x:v>432000</x:v>
      </x:c>
      <x:c r="E7" s="6" t="n">
        <x:f>C7-D7</x:f>
        <x:v>-325000</x:v>
      </x:c>
      <x:c r="F7" s="6" t="n">
        <x:f>F6+E7</x:f>
        <x:v>-630000</x:v>
      </x:c>
      <x:c r="G7" s="6" t="n">
        <x:v>68000</x:v>
      </x:c>
      <x:c r="H7" s="6" t="n">
        <x:v>393000</x:v>
      </x:c>
      <x:c r="I7" s="6" t="n">
        <x:v>147</x:v>
      </x:c>
      <x:c r="J7" s="6" t="n">
        <x:v>71</x:v>
      </x:c>
      <x:c r="K7" s="6" t="n">
        <x:v>40</x:v>
      </x:c>
      <x:c r="L7" s="6" t="n">
        <x:v>10</x:v>
      </x:c>
      <x:c r="M7" s="11" t="n">
        <x:v>0.6075213675213675</x:v>
      </x:c>
      <x:c r="N7" s="6" t="n">
        <x:v>344500</x:v>
      </x:c>
    </x:row>
    <x:row r="8" ht="24" customHeight="1">
      <x:c r="A8" s="2" t="str">
        <x:v>2026-09-22_Day</x:v>
      </x:c>
      <x:c r="B8" s="6" t="str">
        <x:v>デイ</x:v>
      </x:c>
      <x:c r="C8" s="6" t="n">
        <x:v>54000</x:v>
      </x:c>
      <x:c r="D8" s="6" t="n">
        <x:v>771500</x:v>
      </x:c>
      <x:c r="E8" s="6" t="n">
        <x:f>C8-D8</x:f>
        <x:v>-717500</x:v>
      </x:c>
      <x:c r="F8" s="6" t="n">
        <x:f>F7+E8</x:f>
        <x:v>-1347500</x:v>
      </x:c>
      <x:c r="G8" s="6" t="n">
        <x:v>19000</x:v>
      </x:c>
      <x:c r="H8" s="6" t="n">
        <x:v>736500</x:v>
      </x:c>
      <x:c r="I8" s="6" t="n">
        <x:v>116</x:v>
      </x:c>
      <x:c r="J8" s="6" t="n">
        <x:v>54</x:v>
      </x:c>
      <x:c r="K8" s="6" t="n">
        <x:v>69</x:v>
      </x:c>
      <x:c r="L8" s="6" t="n">
        <x:v>10</x:v>
      </x:c>
      <x:c r="M8" s="11" t="n">
        <x:v>0.6171428571428571</x:v>
      </x:c>
      <x:c r="N8" s="6" t="n">
        <x:v>721500</x:v>
      </x:c>
    </x:row>
    <x:row r="9" ht="24" customHeight="1">
      <x:c r="A9" s="2" t="str">
        <x:v>2026-09-22_Night</x:v>
      </x:c>
      <x:c r="B9" s="6" t="str">
        <x:v>ナイト</x:v>
      </x:c>
      <x:c r="C9" s="6" t="n">
        <x:v>253500</x:v>
      </x:c>
      <x:c r="D9" s="6" t="n">
        <x:v>735000</x:v>
      </x:c>
      <x:c r="E9" s="6" t="n">
        <x:f>C9-D9</x:f>
        <x:v>-481500</x:v>
      </x:c>
      <x:c r="F9" s="6" t="n">
        <x:f>F8+E9</x:f>
        <x:v>-1829000</x:v>
      </x:c>
      <x:c r="G9" s="6" t="n">
        <x:v>211000</x:v>
      </x:c>
      <x:c r="H9" s="6" t="n">
        <x:v>692500</x:v>
      </x:c>
      <x:c r="I9" s="6" t="n">
        <x:v>165</x:v>
      </x:c>
      <x:c r="J9" s="6" t="n">
        <x:v>105</x:v>
      </x:c>
      <x:c r="K9" s="6" t="n">
        <x:v>65</x:v>
      </x:c>
      <x:c r="L9" s="6" t="n">
        <x:v>10</x:v>
      </x:c>
      <x:c r="M9" s="11" t="n">
        <x:v>0.6323290598290598</x:v>
      </x:c>
      <x:c r="N9" s="6" t="n">
        <x:v>546500</x:v>
      </x:c>
    </x:row>
    <x:row r="10" ht="24" customHeight="1">
      <x:c r="A10" s="2" t="str">
        <x:v>2026-09-23_Day</x:v>
      </x:c>
      <x:c r="B10" s="6" t="str">
        <x:v>デイ</x:v>
      </x:c>
      <x:c r="C10" s="6" t="n">
        <x:v>104000</x:v>
      </x:c>
      <x:c r="D10" s="6" t="n">
        <x:v>305000</x:v>
      </x:c>
      <x:c r="E10" s="6" t="n">
        <x:f>C10-D10</x:f>
        <x:v>-201000</x:v>
      </x:c>
      <x:c r="F10" s="6" t="n">
        <x:f>F9+E10</x:f>
        <x:v>-2030000</x:v>
      </x:c>
      <x:c r="G10" s="6" t="n">
        <x:v>84500</x:v>
      </x:c>
      <x:c r="H10" s="6" t="n">
        <x:v>285500</x:v>
      </x:c>
      <x:c r="I10" s="6" t="n">
        <x:v>87</x:v>
      </x:c>
      <x:c r="J10" s="6" t="n">
        <x:v>38</x:v>
      </x:c>
      <x:c r="K10" s="6" t="n">
        <x:v>33</x:v>
      </x:c>
      <x:c r="L10" s="6" t="n">
        <x:v>10</x:v>
      </x:c>
      <x:c r="M10" s="11" t="n">
        <x:v>0.5767063492063492</x:v>
      </x:c>
      <x:c r="N10" s="6" t="n">
        <x:v>270000</x:v>
      </x:c>
    </x:row>
    <x:row r="11" ht="24" customHeight="1">
      <x:c r="A11" s="2" t="str">
        <x:v>2026-09-23_Night</x:v>
      </x:c>
      <x:c r="B11" s="6" t="str">
        <x:v>ナイト</x:v>
      </x:c>
      <x:c r="C11" s="6" t="n">
        <x:v>112500</x:v>
      </x:c>
      <x:c r="D11" s="6" t="n">
        <x:v>660500</x:v>
      </x:c>
      <x:c r="E11" s="6" t="n">
        <x:f>C11-D11</x:f>
        <x:v>-548000</x:v>
      </x:c>
      <x:c r="F11" s="6" t="n">
        <x:f>F10+E11</x:f>
        <x:v>-2578000</x:v>
      </x:c>
      <x:c r="G11" s="6" t="n">
        <x:v>81500</x:v>
      </x:c>
      <x:c r="H11" s="6" t="n">
        <x:v>629500</x:v>
      </x:c>
      <x:c r="I11" s="6" t="n">
        <x:v>171</x:v>
      </x:c>
      <x:c r="J11" s="6" t="n">
        <x:v>74</x:v>
      </x:c>
      <x:c r="K11" s="6" t="n">
        <x:v>50</x:v>
      </x:c>
      <x:c r="L11" s="6" t="n">
        <x:v>10</x:v>
      </x:c>
      <x:c r="M11" s="11" t="n">
        <x:v>0.5956410256410256</x:v>
      </x:c>
      <x:c r="N11" s="6" t="n">
        <x:v>552000</x:v>
      </x:c>
    </x:row>
    <x:row r="12" ht="24" customHeight="1">
      <x:c r="A12" s="2" t="str">
        <x:v>2026-09-24_Day</x:v>
      </x:c>
      <x:c r="B12" s="6" t="str">
        <x:v>デイ</x:v>
      </x:c>
      <x:c r="C12" s="6" t="n">
        <x:v>310500</x:v>
      </x:c>
      <x:c r="D12" s="6" t="n">
        <x:v>582000</x:v>
      </x:c>
      <x:c r="E12" s="6" t="n">
        <x:f>C12-D12</x:f>
        <x:v>-271500</x:v>
      </x:c>
      <x:c r="F12" s="6" t="n">
        <x:f>F11+E12</x:f>
        <x:v>-2849500</x:v>
      </x:c>
      <x:c r="G12" s="6" t="n">
        <x:v>269500</x:v>
      </x:c>
      <x:c r="H12" s="6" t="n">
        <x:v>541000</x:v>
      </x:c>
      <x:c r="I12" s="6" t="n">
        <x:v>125</x:v>
      </x:c>
      <x:c r="J12" s="6" t="n">
        <x:v>83</x:v>
      </x:c>
      <x:c r="K12" s="6" t="n">
        <x:v>39</x:v>
      </x:c>
      <x:c r="L12" s="6" t="n">
        <x:v>10</x:v>
      </x:c>
      <x:c r="M12" s="11" t="n">
        <x:v>0.5297222222222222</x:v>
      </x:c>
      <x:c r="N12" s="6" t="n">
        <x:v>350000</x:v>
      </x:c>
    </x:row>
    <x:row r="13" ht="24" customHeight="1">
      <x:c r="A13" s="2" t="str">
        <x:v>2026-09-24_Night</x:v>
      </x:c>
      <x:c r="B13" s="6" t="str">
        <x:v>ナイト</x:v>
      </x:c>
      <x:c r="C13" s="6" t="n">
        <x:v>247000</x:v>
      </x:c>
      <x:c r="D13" s="6" t="n">
        <x:v>887500</x:v>
      </x:c>
      <x:c r="E13" s="6" t="n">
        <x:f>C13-D13</x:f>
        <x:v>-640500</x:v>
      </x:c>
      <x:c r="F13" s="6" t="n">
        <x:f>F12+E13</x:f>
        <x:v>-3490000</x:v>
      </x:c>
      <x:c r="G13" s="6" t="n">
        <x:v>167500</x:v>
      </x:c>
      <x:c r="H13" s="6" t="n">
        <x:v>808000</x:v>
      </x:c>
      <x:c r="I13" s="6" t="n">
        <x:v>197</x:v>
      </x:c>
      <x:c r="J13" s="6" t="n">
        <x:v>119</x:v>
      </x:c>
      <x:c r="K13" s="6" t="n">
        <x:v>78</x:v>
      </x:c>
      <x:c r="L13" s="6" t="n">
        <x:v>10</x:v>
      </x:c>
      <x:c r="M13" s="11" t="n">
        <x:v>0.5587393162393163</x:v>
      </x:c>
      <x:c r="N13" s="6" t="n">
        <x:v>701500</x:v>
      </x:c>
    </x:row>
    <x:row r="14" ht="24" customHeight="1">
      <x:c r="A14" s="2" t="str">
        <x:v>2026-09-25_Day</x:v>
      </x:c>
      <x:c r="B14" s="6" t="str">
        <x:v>デイ</x:v>
      </x:c>
      <x:c r="C14" s="6" t="n">
        <x:v>235000</x:v>
      </x:c>
      <x:c r="D14" s="6" t="n">
        <x:v>656500</x:v>
      </x:c>
      <x:c r="E14" s="6" t="n">
        <x:f>C14-D14</x:f>
        <x:v>-421500</x:v>
      </x:c>
      <x:c r="F14" s="6" t="n">
        <x:f>F13+E14</x:f>
        <x:v>-3911500</x:v>
      </x:c>
      <x:c r="G14" s="6" t="n">
        <x:v>199000</x:v>
      </x:c>
      <x:c r="H14" s="6" t="n">
        <x:v>620500</x:v>
      </x:c>
      <x:c r="I14" s="6" t="n">
        <x:v>121</x:v>
      </x:c>
      <x:c r="J14" s="6" t="n">
        <x:v>88</x:v>
      </x:c>
      <x:c r="K14" s="6" t="n">
        <x:v>37</x:v>
      </x:c>
      <x:c r="L14" s="6" t="n">
        <x:v>10</x:v>
      </x:c>
      <x:c r="M14" s="11" t="n">
        <x:v>0.5213095238095238</x:v>
      </x:c>
      <x:c r="N14" s="6" t="n">
        <x:v>422000</x:v>
      </x:c>
    </x:row>
    <x:row r="15" ht="24" customHeight="1">
      <x:c r="A15" s="2" t="str">
        <x:v>2026-09-25_Night</x:v>
      </x:c>
      <x:c r="B15" s="6" t="str">
        <x:v>ナイト</x:v>
      </x:c>
      <x:c r="C15" s="6" t="n">
        <x:v>180500</x:v>
      </x:c>
      <x:c r="D15" s="6" t="n">
        <x:v>638000</x:v>
      </x:c>
      <x:c r="E15" s="6" t="n">
        <x:f>C15-D15</x:f>
        <x:v>-457500</x:v>
      </x:c>
      <x:c r="F15" s="6" t="n">
        <x:f>F14+E15</x:f>
        <x:v>-4369000</x:v>
      </x:c>
      <x:c r="G15" s="6" t="n">
        <x:v>139000</x:v>
      </x:c>
      <x:c r="H15" s="6" t="n">
        <x:v>596500</x:v>
      </x:c>
      <x:c r="I15" s="6" t="n">
        <x:v>165</x:v>
      </x:c>
      <x:c r="J15" s="6" t="n">
        <x:v>95</x:v>
      </x:c>
      <x:c r="K15" s="6" t="n">
        <x:v>57</x:v>
      </x:c>
      <x:c r="L15" s="6" t="n">
        <x:v>10</x:v>
      </x:c>
      <x:c r="M15" s="11" t="n">
        <x:v>0.5299358974358974</x:v>
      </x:c>
      <x:c r="N15" s="6" t="n">
        <x:v>469000</x:v>
      </x:c>
    </x:row>
    <x:row r="16" ht="24" customHeight="1">
      <x:c r="A16" s="2" t="str">
        <x:v>2026-09-28_Day</x:v>
      </x:c>
      <x:c r="B16" s="6" t="str">
        <x:v>デイ</x:v>
      </x:c>
      <x:c r="C16" s="6" t="n">
        <x:v>258000</x:v>
      </x:c>
      <x:c r="D16" s="6" t="n">
        <x:v>587000</x:v>
      </x:c>
      <x:c r="E16" s="6" t="n">
        <x:f>C16-D16</x:f>
        <x:v>-329000</x:v>
      </x:c>
      <x:c r="F16" s="6" t="n">
        <x:f>F15+E16</x:f>
        <x:v>-4698000</x:v>
      </x:c>
      <x:c r="G16" s="6" t="n">
        <x:v>220500</x:v>
      </x:c>
      <x:c r="H16" s="6" t="n">
        <x:v>549500</x:v>
      </x:c>
      <x:c r="I16" s="6" t="n">
        <x:v>136</x:v>
      </x:c>
      <x:c r="J16" s="6" t="n">
        <x:v>100</x:v>
      </x:c>
      <x:c r="K16" s="6" t="n">
        <x:v>44</x:v>
      </x:c>
      <x:c r="L16" s="6" t="n">
        <x:v>10</x:v>
      </x:c>
      <x:c r="M16" s="11" t="n">
        <x:v>0.5636111111111111</x:v>
      </x:c>
      <x:c r="N16" s="6" t="n">
        <x:v>399500</x:v>
      </x:c>
    </x:row>
    <x:row r="17" ht="24" customHeight="1">
      <x:c r="A17" s="2" t="str">
        <x:v>2026-09-28_Night</x:v>
      </x:c>
      <x:c r="B17" s="6" t="str">
        <x:v>ナイト</x:v>
      </x:c>
      <x:c r="C17" s="6" t="n">
        <x:v>323500</x:v>
      </x:c>
      <x:c r="D17" s="6" t="n">
        <x:v>736000</x:v>
      </x:c>
      <x:c r="E17" s="6" t="n">
        <x:f>C17-D17</x:f>
        <x:v>-412500</x:v>
      </x:c>
      <x:c r="F17" s="6" t="n">
        <x:f>F16+E17</x:f>
        <x:v>-5110500</x:v>
      </x:c>
      <x:c r="G17" s="6" t="n">
        <x:v>273500</x:v>
      </x:c>
      <x:c r="H17" s="6" t="n">
        <x:v>686000</x:v>
      </x:c>
      <x:c r="I17" s="6" t="n">
        <x:v>200</x:v>
      </x:c>
      <x:c r="J17" s="6" t="n">
        <x:v>121</x:v>
      </x:c>
      <x:c r="K17" s="6" t="n">
        <x:v>66</x:v>
      </x:c>
      <x:c r="L17" s="6" t="n">
        <x:v>10</x:v>
      </x:c>
      <x:c r="M17" s="11" t="n">
        <x:v>0.6033974358974359</x:v>
      </x:c>
      <x:c r="N17" s="6" t="n">
        <x:v>435500</x:v>
      </x:c>
    </x:row>
    <x:row r="18" ht="24" customHeight="1">
      <x:c r="A18" s="2" t="str">
        <x:v>2026-09-29_Day</x:v>
      </x:c>
      <x:c r="B18" s="6" t="str">
        <x:v>デイ</x:v>
      </x:c>
      <x:c r="C18" s="6" t="n">
        <x:v>273000</x:v>
      </x:c>
      <x:c r="D18" s="6" t="n">
        <x:v>710000</x:v>
      </x:c>
      <x:c r="E18" s="6" t="n">
        <x:f>C18-D18</x:f>
        <x:v>-437000</x:v>
      </x:c>
      <x:c r="F18" s="6" t="n">
        <x:f>F17+E18</x:f>
        <x:v>-5547500</x:v>
      </x:c>
      <x:c r="G18" s="6" t="n">
        <x:v>217000</x:v>
      </x:c>
      <x:c r="H18" s="6" t="n">
        <x:v>654000</x:v>
      </x:c>
      <x:c r="I18" s="6" t="n">
        <x:v>135</x:v>
      </x:c>
      <x:c r="J18" s="6" t="n">
        <x:v>94</x:v>
      </x:c>
      <x:c r="K18" s="6" t="n">
        <x:v>50</x:v>
      </x:c>
      <x:c r="L18" s="6" t="n">
        <x:v>10</x:v>
      </x:c>
      <x:c r="M18" s="11" t="n">
        <x:v>0.5316666666666666</x:v>
      </x:c>
      <x:c r="N18" s="6" t="n">
        <x:v>522500</x:v>
      </x:c>
    </x:row>
    <x:row r="19" ht="24" customHeight="1">
      <x:c r="A19" s="2" t="str">
        <x:v>2026-09-29_Night</x:v>
      </x:c>
      <x:c r="B19" s="6" t="str">
        <x:v>ナイト</x:v>
      </x:c>
      <x:c r="C19" s="6" t="n">
        <x:v>185000</x:v>
      </x:c>
      <x:c r="D19" s="6" t="n">
        <x:v>876000</x:v>
      </x:c>
      <x:c r="E19" s="6" t="n">
        <x:f>C19-D19</x:f>
        <x:v>-691000</x:v>
      </x:c>
      <x:c r="F19" s="6" t="n">
        <x:f>F18+E19</x:f>
        <x:v>-6238500</x:v>
      </x:c>
      <x:c r="G19" s="6" t="n">
        <x:v>121000</x:v>
      </x:c>
      <x:c r="H19" s="6" t="n">
        <x:v>812000</x:v>
      </x:c>
      <x:c r="I19" s="6" t="n">
        <x:v>195</x:v>
      </x:c>
      <x:c r="J19" s="6" t="n">
        <x:v>128</x:v>
      </x:c>
      <x:c r="K19" s="6" t="n">
        <x:v>77</x:v>
      </x:c>
      <x:c r="L19" s="6" t="n">
        <x:v>10</x:v>
      </x:c>
      <x:c r="M19" s="11" t="n">
        <x:v>0.6381623931623932</x:v>
      </x:c>
      <x:c r="N19" s="6" t="n">
        <x:v>715000</x:v>
      </x:c>
    </x:row>
    <x:row r="20" ht="24" customHeight="1">
      <x:c r="A20" s="2" t="str">
        <x:v>2026-09-30_Day</x:v>
      </x:c>
      <x:c r="B20" s="6" t="str">
        <x:v>デイ</x:v>
      </x:c>
      <x:c r="C20" s="6" t="n">
        <x:v>279000</x:v>
      </x:c>
      <x:c r="D20" s="6" t="n">
        <x:v>597000</x:v>
      </x:c>
      <x:c r="E20" s="6" t="n">
        <x:f>C20-D20</x:f>
        <x:v>-318000</x:v>
      </x:c>
      <x:c r="F20" s="6" t="n">
        <x:f>F19+E20</x:f>
        <x:v>-6556500</x:v>
      </x:c>
      <x:c r="G20" s="6" t="n">
        <x:v>259500</x:v>
      </x:c>
      <x:c r="H20" s="6" t="n">
        <x:v>577500</x:v>
      </x:c>
      <x:c r="I20" s="6" t="n">
        <x:v>134</x:v>
      </x:c>
      <x:c r="J20" s="6" t="n">
        <x:v>77</x:v>
      </x:c>
      <x:c r="K20" s="6" t="n">
        <x:v>49</x:v>
      </x:c>
      <x:c r="L20" s="6" t="n">
        <x:v>10</x:v>
      </x:c>
      <x:c r="M20" s="11" t="n">
        <x:v>0.5384126984126985</x:v>
      </x:c>
      <x:c r="N20" s="6" t="n">
        <x:v>429000</x:v>
      </x:c>
    </x:row>
    <x:row r="21" ht="24" customHeight="1">
      <x:c r="A21" s="2" t="str">
        <x:v>2026-09-30_Night</x:v>
      </x:c>
      <x:c r="B21" s="6" t="str">
        <x:v>ナイト</x:v>
      </x:c>
      <x:c r="C21" s="6" t="n">
        <x:v>262500</x:v>
      </x:c>
      <x:c r="D21" s="6" t="n">
        <x:v>819500</x:v>
      </x:c>
      <x:c r="E21" s="6" t="n">
        <x:f>C21-D21</x:f>
        <x:v>-557000</x:v>
      </x:c>
      <x:c r="F21" s="6" t="n">
        <x:f>F20+E21</x:f>
        <x:v>-7113500</x:v>
      </x:c>
      <x:c r="G21" s="6" t="n">
        <x:v>190000</x:v>
      </x:c>
      <x:c r="H21" s="6" t="n">
        <x:v>747000</x:v>
      </x:c>
      <x:c r="I21" s="6" t="n">
        <x:v>195</x:v>
      </x:c>
      <x:c r="J21" s="6" t="n">
        <x:v>131</x:v>
      </x:c>
      <x:c r="K21" s="6" t="n">
        <x:v>76</x:v>
      </x:c>
      <x:c r="L21" s="6" t="n">
        <x:v>10</x:v>
      </x:c>
      <x:c r="M21" s="11" t="n">
        <x:v>0.5698076923076923</x:v>
      </x:c>
      <x:c r="N21" s="6" t="n">
        <x:v>615500</x:v>
      </x:c>
    </x:row>
    <x:row r="22" ht="24" customHeight="1">
      <x:c r="A22" s="2" t="str">
        <x:v>2026-10-01_Day</x:v>
      </x:c>
      <x:c r="B22" s="6" t="str">
        <x:v>デイ</x:v>
      </x:c>
      <x:c r="C22" s="6" t="n">
        <x:v>199000</x:v>
      </x:c>
      <x:c r="D22" s="6" t="n">
        <x:v>589500</x:v>
      </x:c>
      <x:c r="E22" s="6" t="n">
        <x:f>C22-D22</x:f>
        <x:v>-390500</x:v>
      </x:c>
      <x:c r="F22" s="6" t="n">
        <x:f>F21+E22</x:f>
        <x:v>-7504000</x:v>
      </x:c>
      <x:c r="G22" s="6" t="n">
        <x:v>155500</x:v>
      </x:c>
      <x:c r="H22" s="6" t="n">
        <x:v>546000</x:v>
      </x:c>
      <x:c r="I22" s="6" t="n">
        <x:v>123</x:v>
      </x:c>
      <x:c r="J22" s="6" t="n">
        <x:v>87</x:v>
      </x:c>
      <x:c r="K22" s="6" t="n">
        <x:v>37</x:v>
      </x:c>
      <x:c r="L22" s="6" t="n">
        <x:v>10</x:v>
      </x:c>
      <x:c r="M22" s="11" t="n">
        <x:v>0.5213492063492063</x:v>
      </x:c>
      <x:c r="N22" s="6" t="n">
        <x:v>407500</x:v>
      </x:c>
    </x:row>
    <x:row r="23" ht="24" customHeight="1">
      <x:c r="A23" s="2" t="str">
        <x:v>2026-10-01_Night</x:v>
      </x:c>
      <x:c r="B23" s="6" t="str">
        <x:v>ナイト</x:v>
      </x:c>
      <x:c r="C23" s="6" t="n">
        <x:v>247500</x:v>
      </x:c>
      <x:c r="D23" s="6" t="n">
        <x:v>1197500</x:v>
      </x:c>
      <x:c r="E23" s="6" t="n">
        <x:f>C23-D23</x:f>
        <x:v>-950000</x:v>
      </x:c>
      <x:c r="F23" s="6" t="n">
        <x:f>F22+E23</x:f>
        <x:v>-8454000</x:v>
      </x:c>
      <x:c r="G23" s="6" t="n">
        <x:v>175500</x:v>
      </x:c>
      <x:c r="H23" s="6" t="n">
        <x:v>1125500</x:v>
      </x:c>
      <x:c r="I23" s="6" t="n">
        <x:v>220</x:v>
      </x:c>
      <x:c r="J23" s="6" t="n">
        <x:v>145</x:v>
      </x:c>
      <x:c r="K23" s="6" t="n">
        <x:v>98</x:v>
      </x:c>
      <x:c r="L23" s="6" t="n">
        <x:v>10</x:v>
      </x:c>
      <x:c r="M23" s="11" t="n">
        <x:v>0.5609188034188034</x:v>
      </x:c>
      <x:c r="N23" s="6" t="n">
        <x:v>953000</x:v>
      </x:c>
    </x:row>
    <x:row r="24" ht="24" customHeight="1">
      <x:c r="A24" s="2" t="str">
        <x:v>2026-10-02_Day</x:v>
      </x:c>
      <x:c r="B24" s="6" t="str">
        <x:v>デイ</x:v>
      </x:c>
      <x:c r="C24" s="6" t="n">
        <x:v>144500</x:v>
      </x:c>
      <x:c r="D24" s="6" t="n">
        <x:v>561500</x:v>
      </x:c>
      <x:c r="E24" s="6" t="n">
        <x:f>C24-D24</x:f>
        <x:v>-417000</x:v>
      </x:c>
      <x:c r="F24" s="6" t="n">
        <x:f>F23+E24</x:f>
        <x:v>-8871000</x:v>
      </x:c>
      <x:c r="G24" s="6" t="n">
        <x:v>98000</x:v>
      </x:c>
      <x:c r="H24" s="6" t="n">
        <x:v>515000</x:v>
      </x:c>
      <x:c r="I24" s="6" t="n">
        <x:v>120</x:v>
      </x:c>
      <x:c r="J24" s="6" t="n">
        <x:v>92</x:v>
      </x:c>
      <x:c r="K24" s="6" t="n">
        <x:v>31</x:v>
      </x:c>
      <x:c r="L24" s="6" t="n">
        <x:v>10</x:v>
      </x:c>
      <x:c r="M24" s="11" t="n">
        <x:v>0.5109523809523809</x:v>
      </x:c>
      <x:c r="N24" s="6" t="n">
        <x:v>454000</x:v>
      </x:c>
    </x:row>
    <x:row r="25" ht="24" customHeight="1">
      <x:c r="A25" s="2" t="str">
        <x:v>2026-10-02_Night</x:v>
      </x:c>
      <x:c r="B25" s="6" t="str">
        <x:v>ナイト</x:v>
      </x:c>
      <x:c r="C25" s="6" t="n">
        <x:v>318000</x:v>
      </x:c>
      <x:c r="D25" s="6" t="n">
        <x:v>811500</x:v>
      </x:c>
      <x:c r="E25" s="6" t="n">
        <x:f>C25-D25</x:f>
        <x:v>-493500</x:v>
      </x:c>
      <x:c r="F25" s="6" t="n">
        <x:f>F24+E25</x:f>
        <x:v>-9364500</x:v>
      </x:c>
      <x:c r="G25" s="6" t="n">
        <x:v>262500</x:v>
      </x:c>
      <x:c r="H25" s="6" t="n">
        <x:v>756000</x:v>
      </x:c>
      <x:c r="I25" s="6" t="n">
        <x:v>197</x:v>
      </x:c>
      <x:c r="J25" s="6" t="n">
        <x:v>124</x:v>
      </x:c>
      <x:c r="K25" s="6" t="n">
        <x:v>78</x:v>
      </x:c>
      <x:c r="L25" s="6" t="n">
        <x:v>10</x:v>
      </x:c>
      <x:c r="M25" s="11" t="n">
        <x:v>0.5539529914529915</x:v>
      </x:c>
      <x:c r="N25" s="6" t="n">
        <x:v>536000</x:v>
      </x:c>
    </x:row>
    <x:row r="26" ht="24" customHeight="1">
      <x:c r="A26" s="2" t="str">
        <x:v>2026-10-05_Day</x:v>
      </x:c>
      <x:c r="B26" s="6" t="str">
        <x:v>デイ</x:v>
      </x:c>
      <x:c r="C26" s="6" t="n">
        <x:v>199000</x:v>
      </x:c>
      <x:c r="D26" s="6" t="n">
        <x:v>633500</x:v>
      </x:c>
      <x:c r="E26" s="6" t="n">
        <x:f>C26-D26</x:f>
        <x:v>-434500</x:v>
      </x:c>
      <x:c r="F26" s="6" t="n">
        <x:f>F25+E26</x:f>
        <x:v>-9799000</x:v>
      </x:c>
      <x:c r="G26" s="6" t="n">
        <x:v>169000</x:v>
      </x:c>
      <x:c r="H26" s="6" t="n">
        <x:v>603500</x:v>
      </x:c>
      <x:c r="I26" s="6" t="n">
        <x:v>119</x:v>
      </x:c>
      <x:c r="J26" s="6" t="n">
        <x:v>90</x:v>
      </x:c>
      <x:c r="K26" s="6" t="n">
        <x:v>36</x:v>
      </x:c>
      <x:c r="L26" s="6" t="n">
        <x:v>10</x:v>
      </x:c>
      <x:c r="M26" s="11" t="n">
        <x:v>0.5428968253968254</x:v>
      </x:c>
      <x:c r="N26" s="6" t="n">
        <x:v>493000</x:v>
      </x:c>
    </x:row>
    <x:row r="27" ht="24" customHeight="1">
      <x:c r="A27" s="2" t="str">
        <x:v>2026-10-05_Night</x:v>
      </x:c>
      <x:c r="B27" s="6" t="str">
        <x:v>ナイト</x:v>
      </x:c>
      <x:c r="C27" s="6" t="n">
        <x:v>211000</x:v>
      </x:c>
      <x:c r="D27" s="6" t="n">
        <x:v>802500</x:v>
      </x:c>
      <x:c r="E27" s="6" t="n">
        <x:f>C27-D27</x:f>
        <x:v>-591500</x:v>
      </x:c>
      <x:c r="F27" s="6" t="n">
        <x:f>F26+E27</x:f>
        <x:v>-10390500</x:v>
      </x:c>
      <x:c r="G27" s="6" t="n">
        <x:v>154500</x:v>
      </x:c>
      <x:c r="H27" s="6" t="n">
        <x:v>746000</x:v>
      </x:c>
      <x:c r="I27" s="6" t="n">
        <x:v>203</x:v>
      </x:c>
      <x:c r="J27" s="6" t="n">
        <x:v>117</x:v>
      </x:c>
      <x:c r="K27" s="6" t="n">
        <x:v>90</x:v>
      </x:c>
      <x:c r="L27" s="6" t="n">
        <x:v>10</x:v>
      </x:c>
      <x:c r="M27" s="11" t="n">
        <x:v>0.604465811965812</x:v>
      </x:c>
      <x:c r="N27" s="6" t="n">
        <x:v>616500</x:v>
      </x:c>
    </x:row>
    <x:row r="28" ht="24" customHeight="1">
      <x:c r="A28" s="2" t="str">
        <x:v>2026-10-06_Day</x:v>
      </x:c>
      <x:c r="B28" s="6" t="str">
        <x:v>デイ</x:v>
      </x:c>
      <x:c r="C28" s="6" t="n">
        <x:v>118000</x:v>
      </x:c>
      <x:c r="D28" s="6" t="n">
        <x:v>441000</x:v>
      </x:c>
      <x:c r="E28" s="6" t="n">
        <x:f>C28-D28</x:f>
        <x:v>-323000</x:v>
      </x:c>
      <x:c r="F28" s="6" t="n">
        <x:f>F27+E28</x:f>
        <x:v>-10713500</x:v>
      </x:c>
      <x:c r="G28" s="6" t="n">
        <x:v>88000</x:v>
      </x:c>
      <x:c r="H28" s="6" t="n">
        <x:v>411000</x:v>
      </x:c>
      <x:c r="I28" s="6" t="n">
        <x:v>124</x:v>
      </x:c>
      <x:c r="J28" s="6" t="n">
        <x:v>78</x:v>
      </x:c>
      <x:c r="K28" s="6" t="n">
        <x:v>40</x:v>
      </x:c>
      <x:c r="L28" s="6" t="n">
        <x:v>10</x:v>
      </x:c>
      <x:c r="M28" s="11" t="n">
        <x:v>0.5446825396825397</x:v>
      </x:c>
      <x:c r="N28" s="6" t="n">
        <x:v>330500</x:v>
      </x:c>
    </x:row>
    <x:row r="29" ht="24" customHeight="1">
      <x:c r="A29" s="2" t="str">
        <x:v>2026-10-06_Night</x:v>
      </x:c>
      <x:c r="B29" s="6" t="str">
        <x:v>ナイト</x:v>
      </x:c>
      <x:c r="C29" s="6" t="n">
        <x:v>111000</x:v>
      </x:c>
      <x:c r="D29" s="6" t="n">
        <x:v>588000</x:v>
      </x:c>
      <x:c r="E29" s="6" t="n">
        <x:f>C29-D29</x:f>
        <x:v>-477000</x:v>
      </x:c>
      <x:c r="F29" s="6" t="n">
        <x:f>F28+E29</x:f>
        <x:v>-11190500</x:v>
      </x:c>
      <x:c r="G29" s="6" t="n">
        <x:v>77500</x:v>
      </x:c>
      <x:c r="H29" s="6" t="n">
        <x:v>554500</x:v>
      </x:c>
      <x:c r="I29" s="6" t="n">
        <x:v>197</x:v>
      </x:c>
      <x:c r="J29" s="6" t="n">
        <x:v>99</x:v>
      </x:c>
      <x:c r="K29" s="6" t="n">
        <x:v>65</x:v>
      </x:c>
      <x:c r="L29" s="6" t="n">
        <x:v>10</x:v>
      </x:c>
      <x:c r="M29" s="11" t="n">
        <x:v>0.6091239316239316</x:v>
      </x:c>
      <x:c r="N29" s="6" t="n">
        <x:v>486500</x:v>
      </x:c>
    </x:row>
    <x:row r="30" ht="24" customHeight="1">
      <x:c r="A30" s="2" t="str">
        <x:v>2026-10-07_Day</x:v>
      </x:c>
      <x:c r="B30" s="6" t="str">
        <x:v>デイ</x:v>
      </x:c>
      <x:c r="C30" s="6" t="n">
        <x:v>158500</x:v>
      </x:c>
      <x:c r="D30" s="6" t="n">
        <x:v>448500</x:v>
      </x:c>
      <x:c r="E30" s="6" t="n">
        <x:f>C30-D30</x:f>
        <x:v>-290000</x:v>
      </x:c>
      <x:c r="F30" s="6" t="n">
        <x:f>F29+E30</x:f>
        <x:v>-11480500</x:v>
      </x:c>
      <x:c r="G30" s="6" t="n">
        <x:v>131500</x:v>
      </x:c>
      <x:c r="H30" s="6" t="n">
        <x:v>421500</x:v>
      </x:c>
      <x:c r="I30" s="6" t="n">
        <x:v>113</x:v>
      </x:c>
      <x:c r="J30" s="6" t="n">
        <x:v>77</x:v>
      </x:c>
      <x:c r="K30" s="6" t="n">
        <x:v>31</x:v>
      </x:c>
      <x:c r="L30" s="6" t="n">
        <x:v>10</x:v>
      </x:c>
      <x:c r="M30" s="11" t="n">
        <x:v>0.5319047619047619</x:v>
      </x:c>
      <x:c r="N30" s="6" t="n">
        <x:v>300000</x:v>
      </x:c>
    </x:row>
    <x:row r="31" ht="24" customHeight="1">
      <x:c r="A31" s="2" t="str">
        <x:v>2026-10-07_Night</x:v>
      </x:c>
      <x:c r="B31" s="6" t="str">
        <x:v>ナイト</x:v>
      </x:c>
      <x:c r="C31" s="6" t="n">
        <x:v>122500</x:v>
      </x:c>
      <x:c r="D31" s="6" t="n">
        <x:v>731000</x:v>
      </x:c>
      <x:c r="E31" s="6" t="n">
        <x:f>C31-D31</x:f>
        <x:v>-608500</x:v>
      </x:c>
      <x:c r="F31" s="6" t="n">
        <x:f>F30+E31</x:f>
        <x:v>-12089000</x:v>
      </x:c>
      <x:c r="G31" s="6" t="n">
        <x:v>77500</x:v>
      </x:c>
      <x:c r="H31" s="6" t="n">
        <x:v>686000</x:v>
      </x:c>
      <x:c r="I31" s="6" t="n">
        <x:v>190</x:v>
      </x:c>
      <x:c r="J31" s="6" t="n">
        <x:v>100</x:v>
      </x:c>
      <x:c r="K31" s="6" t="n">
        <x:v>61</x:v>
      </x:c>
      <x:c r="L31" s="6" t="n">
        <x:v>10</x:v>
      </x:c>
      <x:c r="M31" s="11" t="n">
        <x:v>0.6027350427350427</x:v>
      </x:c>
      <x:c r="N31" s="6" t="n">
        <x:v>631500</x:v>
      </x:c>
    </x:row>
    <x:row r="32" ht="24" customHeight="1">
      <x:c r="A32" s="2" t="str">
        <x:v>2026-10-08_Day</x:v>
      </x:c>
      <x:c r="B32" s="6" t="str">
        <x:v>デイ</x:v>
      </x:c>
      <x:c r="C32" s="6" t="n">
        <x:v>197000</x:v>
      </x:c>
      <x:c r="D32" s="6" t="n">
        <x:v>488000</x:v>
      </x:c>
      <x:c r="E32" s="6" t="n">
        <x:f>C32-D32</x:f>
        <x:v>-291000</x:v>
      </x:c>
      <x:c r="F32" s="6" t="n">
        <x:f>F31+E32</x:f>
        <x:v>-12380000</x:v>
      </x:c>
      <x:c r="G32" s="6" t="n">
        <x:v>163500</x:v>
      </x:c>
      <x:c r="H32" s="6" t="n">
        <x:v>454500</x:v>
      </x:c>
      <x:c r="I32" s="6" t="n">
        <x:v>110</x:v>
      </x:c>
      <x:c r="J32" s="6" t="n">
        <x:v>90</x:v>
      </x:c>
      <x:c r="K32" s="6" t="n">
        <x:v>32</x:v>
      </x:c>
      <x:c r="L32" s="6" t="n">
        <x:v>10</x:v>
      </x:c>
      <x:c r="M32" s="11" t="n">
        <x:v>0.5176190476190476</x:v>
      </x:c>
      <x:c r="N32" s="6" t="n">
        <x:v>347000</x:v>
      </x:c>
    </x:row>
    <x:row r="33" ht="24" customHeight="1">
      <x:c r="A33" s="2" t="str">
        <x:v>2026-10-08_Night</x:v>
      </x:c>
      <x:c r="B33" s="6" t="str">
        <x:v>ナイト</x:v>
      </x:c>
      <x:c r="C33" s="6" t="n">
        <x:v>265500</x:v>
      </x:c>
      <x:c r="D33" s="6" t="n">
        <x:v>883500</x:v>
      </x:c>
      <x:c r="E33" s="6" t="n">
        <x:f>C33-D33</x:f>
        <x:v>-618000</x:v>
      </x:c>
      <x:c r="F33" s="6" t="n">
        <x:f>F32+E33</x:f>
        <x:v>-12998000</x:v>
      </x:c>
      <x:c r="G33" s="6" t="n">
        <x:v>189000</x:v>
      </x:c>
      <x:c r="H33" s="6" t="n">
        <x:v>807000</x:v>
      </x:c>
      <x:c r="I33" s="6" t="n">
        <x:v>204</x:v>
      </x:c>
      <x:c r="J33" s="6" t="n">
        <x:v>133</x:v>
      </x:c>
      <x:c r="K33" s="6" t="n">
        <x:v>86</x:v>
      </x:c>
      <x:c r="L33" s="6" t="n">
        <x:v>10</x:v>
      </x:c>
      <x:c r="M33" s="11" t="n">
        <x:v>0.5714743589743589</x:v>
      </x:c>
      <x:c r="N33" s="6" t="n">
        <x:v>648500</x:v>
      </x:c>
    </x:row>
    <x:row r="34" ht="24" customHeight="1">
      <x:c r="A34" s="2" t="str">
        <x:v>2026-10-09_Day</x:v>
      </x:c>
      <x:c r="B34" s="6" t="str">
        <x:v>デイ</x:v>
      </x:c>
      <x:c r="C34" s="6" t="n">
        <x:v>214000</x:v>
      </x:c>
      <x:c r="D34" s="6" t="n">
        <x:v>496500</x:v>
      </x:c>
      <x:c r="E34" s="6" t="n">
        <x:f>C34-D34</x:f>
        <x:v>-282500</x:v>
      </x:c>
      <x:c r="F34" s="6" t="n">
        <x:f>F33+E34</x:f>
        <x:v>-13280500</x:v>
      </x:c>
      <x:c r="G34" s="6" t="n">
        <x:v>179000</x:v>
      </x:c>
      <x:c r="H34" s="6" t="n">
        <x:v>461500</x:v>
      </x:c>
      <x:c r="I34" s="6" t="n">
        <x:v>118</x:v>
      </x:c>
      <x:c r="J34" s="6" t="n">
        <x:v>92</x:v>
      </x:c>
      <x:c r="K34" s="6" t="n">
        <x:v>43</x:v>
      </x:c>
      <x:c r="L34" s="6" t="n">
        <x:v>10</x:v>
      </x:c>
      <x:c r="M34" s="11" t="n">
        <x:v>0.5503968253968254</x:v>
      </x:c>
      <x:c r="N34" s="6" t="n">
        <x:v>372500</x:v>
      </x:c>
    </x:row>
    <x:row r="35" ht="24" customHeight="1">
      <x:c r="A35" s="2" t="str">
        <x:v>2026-10-09_Night</x:v>
      </x:c>
      <x:c r="B35" s="6" t="str">
        <x:v>ナイト</x:v>
      </x:c>
      <x:c r="C35" s="6" t="n">
        <x:v>113000</x:v>
      </x:c>
      <x:c r="D35" s="6" t="n">
        <x:v>618500</x:v>
      </x:c>
      <x:c r="E35" s="6" t="n">
        <x:f>C35-D35</x:f>
        <x:v>-505500</x:v>
      </x:c>
      <x:c r="F35" s="6" t="n">
        <x:f>F34+E35</x:f>
        <x:v>-13786000</x:v>
      </x:c>
      <x:c r="G35" s="6" t="n">
        <x:v>91500</x:v>
      </x:c>
      <x:c r="H35" s="6" t="n">
        <x:v>597000</x:v>
      </x:c>
      <x:c r="I35" s="6" t="n">
        <x:v>182</x:v>
      </x:c>
      <x:c r="J35" s="6" t="n">
        <x:v>86</x:v>
      </x:c>
      <x:c r="K35" s="6" t="n">
        <x:v>60</x:v>
      </x:c>
      <x:c r="L35" s="6" t="n">
        <x:v>10</x:v>
      </x:c>
      <x:c r="M35" s="11" t="n">
        <x:v>0.5762820512820512</x:v>
      </x:c>
      <x:c r="N35" s="6" t="n">
        <x:v>509500</x:v>
      </x:c>
    </x:row>
    <x:row r="36" ht="24" customHeight="1">
      <x:c r="A36" s="2" t="str">
        <x:v>2026-10-12_Day</x:v>
      </x:c>
      <x:c r="B36" s="6" t="str">
        <x:v>デイ</x:v>
      </x:c>
      <x:c r="C36" s="6" t="n">
        <x:v>51500</x:v>
      </x:c>
      <x:c r="D36" s="6" t="n">
        <x:v>305500</x:v>
      </x:c>
      <x:c r="E36" s="6" t="n">
        <x:f>C36-D36</x:f>
        <x:v>-254000</x:v>
      </x:c>
      <x:c r="F36" s="6" t="n">
        <x:f>F35+E36</x:f>
        <x:v>-14040000</x:v>
      </x:c>
      <x:c r="G36" s="6" t="n">
        <x:v>29500</x:v>
      </x:c>
      <x:c r="H36" s="6" t="n">
        <x:v>283500</x:v>
      </x:c>
      <x:c r="I36" s="6" t="n">
        <x:v>84</x:v>
      </x:c>
      <x:c r="J36" s="6" t="n">
        <x:v>39</x:v>
      </x:c>
      <x:c r="K36" s="6" t="n">
        <x:v>45</x:v>
      </x:c>
      <x:c r="L36" s="6" t="n">
        <x:v>10</x:v>
      </x:c>
      <x:c r="M36" s="11" t="n">
        <x:v>0.5587698412698413</x:v>
      </x:c>
      <x:c r="N36" s="6" t="n">
        <x:v>254000</x:v>
      </x:c>
    </x:row>
    <x:row r="37" ht="24" customHeight="1">
      <x:c r="A37" s="2" t="str">
        <x:v>2026-10-12_Night</x:v>
      </x:c>
      <x:c r="B37" s="6" t="str">
        <x:v>ナイト</x:v>
      </x:c>
      <x:c r="C37" s="6" t="n">
        <x:v>53000</x:v>
      </x:c>
      <x:c r="D37" s="6" t="n">
        <x:v>436000</x:v>
      </x:c>
      <x:c r="E37" s="6" t="n">
        <x:f>C37-D37</x:f>
        <x:v>-383000</x:v>
      </x:c>
      <x:c r="F37" s="6" t="n">
        <x:f>F36+E37</x:f>
        <x:v>-14423000</x:v>
      </x:c>
      <x:c r="G37" s="6" t="n">
        <x:v>15000</x:v>
      </x:c>
      <x:c r="H37" s="6" t="n">
        <x:v>398000</x:v>
      </x:c>
      <x:c r="I37" s="6" t="n">
        <x:v>143</x:v>
      </x:c>
      <x:c r="J37" s="6" t="n">
        <x:v>58</x:v>
      </x:c>
      <x:c r="K37" s="6" t="n">
        <x:v>54</x:v>
      </x:c>
      <x:c r="L37" s="6" t="n">
        <x:v>10</x:v>
      </x:c>
      <x:c r="M37" s="11" t="n">
        <x:v>0.5285470085470085</x:v>
      </x:c>
      <x:c r="N37" s="6" t="n">
        <x:v>383000</x:v>
      </x:c>
    </x:row>
    <x:row r="38" ht="24" customHeight="1">
      <x:c r="A38" s="2" t="str">
        <x:v>2026-10-13_Day</x:v>
      </x:c>
      <x:c r="B38" s="6" t="str">
        <x:v>デイ</x:v>
      </x:c>
      <x:c r="C38" s="6" t="n">
        <x:v>186000</x:v>
      </x:c>
      <x:c r="D38" s="6" t="n">
        <x:v>626000</x:v>
      </x:c>
      <x:c r="E38" s="6" t="n">
        <x:f>C38-D38</x:f>
        <x:v>-440000</x:v>
      </x:c>
      <x:c r="F38" s="6" t="n">
        <x:f>F37+E38</x:f>
        <x:v>-14863000</x:v>
      </x:c>
      <x:c r="G38" s="6" t="n">
        <x:v>143000</x:v>
      </x:c>
      <x:c r="H38" s="6" t="n">
        <x:v>583000</x:v>
      </x:c>
      <x:c r="I38" s="6" t="n">
        <x:v>137</x:v>
      </x:c>
      <x:c r="J38" s="6" t="n">
        <x:v>80</x:v>
      </x:c>
      <x:c r="K38" s="6" t="n">
        <x:v>58</x:v>
      </x:c>
      <x:c r="L38" s="6" t="n">
        <x:v>10</x:v>
      </x:c>
      <x:c r="M38" s="11" t="n">
        <x:v>0.5464285714285714</x:v>
      </x:c>
      <x:c r="N38" s="6" t="n">
        <x:v>490000</x:v>
      </x:c>
    </x:row>
    <x:row r="39" ht="24" customHeight="1">
      <x:c r="A39" s="2" t="str">
        <x:v>2026-10-13_Night</x:v>
      </x:c>
      <x:c r="B39" s="6" t="str">
        <x:v>ナイト</x:v>
      </x:c>
      <x:c r="C39" s="6" t="n">
        <x:v>90000</x:v>
      </x:c>
      <x:c r="D39" s="6" t="n">
        <x:v>447000</x:v>
      </x:c>
      <x:c r="E39" s="6" t="n">
        <x:f>C39-D39</x:f>
        <x:v>-357000</x:v>
      </x:c>
      <x:c r="F39" s="6" t="n">
        <x:f>F38+E39</x:f>
        <x:v>-15220000</x:v>
      </x:c>
      <x:c r="G39" s="6" t="n">
        <x:v>55000</x:v>
      </x:c>
      <x:c r="H39" s="6" t="n">
        <x:v>412000</x:v>
      </x:c>
      <x:c r="I39" s="6" t="n">
        <x:v>160</x:v>
      </x:c>
      <x:c r="J39" s="6" t="n">
        <x:v>79</x:v>
      </x:c>
      <x:c r="K39" s="6" t="n">
        <x:v>45</x:v>
      </x:c>
      <x:c r="L39" s="6" t="n">
        <x:v>10</x:v>
      </x:c>
      <x:c r="M39" s="11" t="n">
        <x:v>0.5921367521367521</x:v>
      </x:c>
      <x:c r="N39" s="6" t="n">
        <x:v>360000</x:v>
      </x:c>
    </x:row>
    <x:row r="40" ht="24" customHeight="1">
      <x:c r="A40" s="2" t="str">
        <x:v>2026-10-14_Day</x:v>
      </x:c>
      <x:c r="B40" s="6" t="str">
        <x:v>デイ</x:v>
      </x:c>
      <x:c r="C40" s="6" t="n">
        <x:v>102000</x:v>
      </x:c>
      <x:c r="D40" s="6" t="n">
        <x:v>576000</x:v>
      </x:c>
      <x:c r="E40" s="6" t="n">
        <x:f>C40-D40</x:f>
        <x:v>-474000</x:v>
      </x:c>
      <x:c r="F40" s="6" t="n">
        <x:f>F39+E40</x:f>
        <x:v>-15694000</x:v>
      </x:c>
      <x:c r="G40" s="6" t="n">
        <x:v>66500</x:v>
      </x:c>
      <x:c r="H40" s="6" t="n">
        <x:v>540500</x:v>
      </x:c>
      <x:c r="I40" s="6" t="n">
        <x:v>138</x:v>
      </x:c>
      <x:c r="J40" s="6" t="n">
        <x:v>78</x:v>
      </x:c>
      <x:c r="K40" s="6" t="n">
        <x:v>47</x:v>
      </x:c>
      <x:c r="L40" s="6" t="n">
        <x:v>10</x:v>
      </x:c>
      <x:c r="M40" s="11" t="n">
        <x:v>0.5853571428571429</x:v>
      </x:c>
      <x:c r="N40" s="6" t="n">
        <x:v>474500</x:v>
      </x:c>
    </x:row>
    <x:row r="41" ht="24" customHeight="1">
      <x:c r="A41" s="2" t="str">
        <x:v>2026-10-14_Night</x:v>
      </x:c>
      <x:c r="B41" s="6" t="str">
        <x:v>ナイト</x:v>
      </x:c>
      <x:c r="C41" s="6" t="n">
        <x:v>187500</x:v>
      </x:c>
      <x:c r="D41" s="6" t="n">
        <x:v>806500</x:v>
      </x:c>
      <x:c r="E41" s="6" t="n">
        <x:f>C41-D41</x:f>
        <x:v>-619000</x:v>
      </x:c>
      <x:c r="F41" s="6" t="n">
        <x:f>F40+E41</x:f>
        <x:v>-16313000</x:v>
      </x:c>
      <x:c r="G41" s="6" t="n">
        <x:v>135500</x:v>
      </x:c>
      <x:c r="H41" s="6" t="n">
        <x:v>754500</x:v>
      </x:c>
      <x:c r="I41" s="6" t="n">
        <x:v>174</x:v>
      </x:c>
      <x:c r="J41" s="6" t="n">
        <x:v>127</x:v>
      </x:c>
      <x:c r="K41" s="6" t="n">
        <x:v>57</x:v>
      </x:c>
      <x:c r="L41" s="6" t="n">
        <x:v>10</x:v>
      </x:c>
      <x:c r="M41" s="11" t="n">
        <x:v>0.5567307692307693</x:v>
      </x:c>
      <x:c r="N41" s="6" t="n">
        <x:v>628000</x:v>
      </x:c>
    </x:row>
    <x:row r="42" ht="24" customHeight="1">
      <x:c r="A42" s="2" t="str">
        <x:v>2026-10-15_Day</x:v>
      </x:c>
      <x:c r="B42" s="6" t="str">
        <x:v>デイ</x:v>
      </x:c>
      <x:c r="C42" s="6" t="n">
        <x:v>406500</x:v>
      </x:c>
      <x:c r="D42" s="6" t="n">
        <x:v>795500</x:v>
      </x:c>
      <x:c r="E42" s="6" t="n">
        <x:f>C42-D42</x:f>
        <x:v>-389000</x:v>
      </x:c>
      <x:c r="F42" s="6" t="n">
        <x:f>F41+E42</x:f>
        <x:v>-16702000</x:v>
      </x:c>
      <x:c r="G42" s="6" t="n">
        <x:v>361500</x:v>
      </x:c>
      <x:c r="H42" s="6" t="n">
        <x:v>750500</x:v>
      </x:c>
      <x:c r="I42" s="6" t="n">
        <x:v>125</x:v>
      </x:c>
      <x:c r="J42" s="6" t="n">
        <x:v>101</x:v>
      </x:c>
      <x:c r="K42" s="6" t="n">
        <x:v>31</x:v>
      </x:c>
      <x:c r="L42" s="6" t="n">
        <x:v>10</x:v>
      </x:c>
      <x:c r="M42" s="11" t="n">
        <x:v>0.44821428571428573</x:v>
      </x:c>
      <x:c r="N42" s="6" t="n">
        <x:v>465000</x:v>
      </x:c>
    </x:row>
    <x:row r="43" ht="24" customHeight="1">
      <x:c r="A43" s="2" t="str">
        <x:v>2026-10-15_Night</x:v>
      </x:c>
      <x:c r="B43" s="6" t="str">
        <x:v>ナイト</x:v>
      </x:c>
      <x:c r="C43" s="6" t="n">
        <x:v>253000</x:v>
      </x:c>
      <x:c r="D43" s="6" t="n">
        <x:v>855500</x:v>
      </x:c>
      <x:c r="E43" s="6" t="n">
        <x:f>C43-D43</x:f>
        <x:v>-602500</x:v>
      </x:c>
      <x:c r="F43" s="6" t="n">
        <x:f>F42+E43</x:f>
        <x:v>-17304500</x:v>
      </x:c>
      <x:c r="G43" s="6" t="n">
        <x:v>185500</x:v>
      </x:c>
      <x:c r="H43" s="6" t="n">
        <x:v>788000</x:v>
      </x:c>
      <x:c r="I43" s="6" t="n">
        <x:v>201</x:v>
      </x:c>
      <x:c r="J43" s="6" t="n">
        <x:v>126</x:v>
      </x:c>
      <x:c r="K43" s="6" t="n">
        <x:v>73</x:v>
      </x:c>
      <x:c r="L43" s="6" t="n">
        <x:v>10</x:v>
      </x:c>
      <x:c r="M43" s="11" t="n">
        <x:v>0.592905982905983</x:v>
      </x:c>
      <x:c r="N43" s="6" t="n">
        <x:v>608000</x:v>
      </x:c>
    </x:row>
    <x:row r="44" ht="24" customHeight="1">
      <x:c r="A44" s="2" t="str">
        <x:v>2026-10-16_Day</x:v>
      </x:c>
      <x:c r="B44" s="6" t="str">
        <x:v>デイ</x:v>
      </x:c>
      <x:c r="C44" s="6" t="n">
        <x:v>216000</x:v>
      </x:c>
      <x:c r="D44" s="6" t="n">
        <x:v>783000</x:v>
      </x:c>
      <x:c r="E44" s="6" t="n">
        <x:f>C44-D44</x:f>
        <x:v>-567000</x:v>
      </x:c>
      <x:c r="F44" s="6" t="n">
        <x:f>F43+E44</x:f>
        <x:v>-17871500</x:v>
      </x:c>
      <x:c r="G44" s="6" t="n">
        <x:v>171000</x:v>
      </x:c>
      <x:c r="H44" s="6" t="n">
        <x:v>738000</x:v>
      </x:c>
      <x:c r="I44" s="6" t="n">
        <x:v>144</x:v>
      </x:c>
      <x:c r="J44" s="6" t="n">
        <x:v>90</x:v>
      </x:c>
      <x:c r="K44" s="6" t="n">
        <x:v>48</x:v>
      </x:c>
      <x:c r="L44" s="6" t="n">
        <x:v>10</x:v>
      </x:c>
      <x:c r="M44" s="11" t="n">
        <x:v>0.5269444444444444</x:v>
      </x:c>
      <x:c r="N44" s="6" t="n">
        <x:v>598000</x:v>
      </x:c>
    </x:row>
    <x:row r="45" ht="24" customHeight="1">
      <x:c r="A45" s="2" t="str">
        <x:v>2026-10-16_Night</x:v>
      </x:c>
      <x:c r="B45" s="6" t="str">
        <x:v>ナイト</x:v>
      </x:c>
      <x:c r="C45" s="6" t="n">
        <x:v>360500</x:v>
      </x:c>
      <x:c r="D45" s="6" t="n">
        <x:v>868000</x:v>
      </x:c>
      <x:c r="E45" s="6" t="n">
        <x:f>C45-D45</x:f>
        <x:v>-507500</x:v>
      </x:c>
      <x:c r="F45" s="6" t="n">
        <x:f>F44+E45</x:f>
        <x:v>-18379000</x:v>
      </x:c>
      <x:c r="G45" s="6" t="n">
        <x:v>274000</x:v>
      </x:c>
      <x:c r="H45" s="6" t="n">
        <x:v>781500</x:v>
      </x:c>
      <x:c r="I45" s="6" t="n">
        <x:v>206</x:v>
      </x:c>
      <x:c r="J45" s="6" t="n">
        <x:v>168</x:v>
      </x:c>
      <x:c r="K45" s="6" t="n">
        <x:v>92</x:v>
      </x:c>
      <x:c r="L45" s="6" t="n">
        <x:v>10</x:v>
      </x:c>
      <x:c r="M45" s="11" t="n">
        <x:v>0.5506623931623932</x:v>
      </x:c>
      <x:c r="N45" s="6" t="n">
        <x:v>512500</x:v>
      </x:c>
    </x:row>
    <x:row r="46" ht="24" customHeight="1">
      <x:c r="A46" s="2" t="str">
        <x:v>2026-10-19_Day</x:v>
      </x:c>
      <x:c r="B46" s="6" t="str">
        <x:v>デイ</x:v>
      </x:c>
      <x:c r="C46" s="6" t="n">
        <x:v>252000</x:v>
      </x:c>
      <x:c r="D46" s="6" t="n">
        <x:v>457500</x:v>
      </x:c>
      <x:c r="E46" s="6" t="n">
        <x:f>C46-D46</x:f>
        <x:v>-205500</x:v>
      </x:c>
      <x:c r="F46" s="6" t="n">
        <x:f>F45+E46</x:f>
        <x:v>-18584500</x:v>
      </x:c>
      <x:c r="G46" s="6" t="n">
        <x:v>215500</x:v>
      </x:c>
      <x:c r="H46" s="6" t="n">
        <x:v>421000</x:v>
      </x:c>
      <x:c r="I46" s="6" t="n">
        <x:v>120</x:v>
      </x:c>
      <x:c r="J46" s="6" t="n">
        <x:v>69</x:v>
      </x:c>
      <x:c r="K46" s="6" t="n">
        <x:v>25</x:v>
      </x:c>
      <x:c r="L46" s="6" t="n">
        <x:v>10</x:v>
      </x:c>
      <x:c r="M46" s="11" t="n">
        <x:v>0.4992063492063492</x:v>
      </x:c>
      <x:c r="N46" s="6" t="n">
        <x:v>281500</x:v>
      </x:c>
    </x:row>
    <x:row r="47" ht="24" customHeight="1">
      <x:c r="A47" s="2" t="str">
        <x:v>2026-10-19_Night</x:v>
      </x:c>
      <x:c r="B47" s="6" t="str">
        <x:v>ナイト</x:v>
      </x:c>
      <x:c r="C47" s="6" t="n">
        <x:v>182000</x:v>
      </x:c>
      <x:c r="D47" s="6" t="n">
        <x:v>769500</x:v>
      </x:c>
      <x:c r="E47" s="6" t="n">
        <x:f>C47-D47</x:f>
        <x:v>-587500</x:v>
      </x:c>
      <x:c r="F47" s="6" t="n">
        <x:f>F46+E47</x:f>
        <x:v>-19172000</x:v>
      </x:c>
      <x:c r="G47" s="6" t="n">
        <x:v>121000</x:v>
      </x:c>
      <x:c r="H47" s="6" t="n">
        <x:v>708500</x:v>
      </x:c>
      <x:c r="I47" s="6" t="n">
        <x:v>192</x:v>
      </x:c>
      <x:c r="J47" s="6" t="n">
        <x:v>107</x:v>
      </x:c>
      <x:c r="K47" s="6" t="n">
        <x:v>72</x:v>
      </x:c>
      <x:c r="L47" s="6" t="n">
        <x:v>10</x:v>
      </x:c>
      <x:c r="M47" s="11" t="n">
        <x:v>0.5767094017094017</x:v>
      </x:c>
      <x:c r="N47" s="6" t="n">
        <x:v>592500</x:v>
      </x:c>
    </x:row>
    <x:row r="48" ht="24" customHeight="1">
      <x:c r="A48" s="2" t="str">
        <x:v>2026-10-20_Day</x:v>
      </x:c>
      <x:c r="B48" s="6" t="str">
        <x:v>デイ</x:v>
      </x:c>
      <x:c r="C48" s="6" t="n">
        <x:v>164500</x:v>
      </x:c>
      <x:c r="D48" s="6" t="n">
        <x:v>658500</x:v>
      </x:c>
      <x:c r="E48" s="6" t="n">
        <x:f>C48-D48</x:f>
        <x:v>-494000</x:v>
      </x:c>
      <x:c r="F48" s="6" t="n">
        <x:f>F47+E48</x:f>
        <x:v>-19666000</x:v>
      </x:c>
      <x:c r="G48" s="6" t="n">
        <x:v>112000</x:v>
      </x:c>
      <x:c r="H48" s="6" t="n">
        <x:v>606000</x:v>
      </x:c>
      <x:c r="I48" s="6" t="n">
        <x:v>116</x:v>
      </x:c>
      <x:c r="J48" s="6" t="n">
        <x:v>102</x:v>
      </x:c>
      <x:c r="K48" s="6" t="n">
        <x:v>54</x:v>
      </x:c>
      <x:c r="L48" s="6" t="n">
        <x:v>10</x:v>
      </x:c>
      <x:c r="M48" s="11" t="n">
        <x:v>0.5357539682539683</x:v>
      </x:c>
      <x:c r="N48" s="6" t="n">
        <x:v>501000</x:v>
      </x:c>
    </x:row>
    <x:row r="49" ht="24" customHeight="1">
      <x:c r="A49" s="2" t="str">
        <x:v>2026-10-20_Night</x:v>
      </x:c>
      <x:c r="B49" s="6" t="str">
        <x:v>ナイト</x:v>
      </x:c>
      <x:c r="C49" s="6" t="n">
        <x:v>316000</x:v>
      </x:c>
      <x:c r="D49" s="6" t="n">
        <x:v>786000</x:v>
      </x:c>
      <x:c r="E49" s="6" t="n">
        <x:f>C49-D49</x:f>
        <x:v>-470000</x:v>
      </x:c>
      <x:c r="F49" s="6" t="n">
        <x:f>F48+E49</x:f>
        <x:v>-20136000</x:v>
      </x:c>
      <x:c r="G49" s="6" t="n">
        <x:v>257000</x:v>
      </x:c>
      <x:c r="H49" s="6" t="n">
        <x:v>727000</x:v>
      </x:c>
      <x:c r="I49" s="6" t="n">
        <x:v>187</x:v>
      </x:c>
      <x:c r="J49" s="6" t="n">
        <x:v>124</x:v>
      </x:c>
      <x:c r="K49" s="6" t="n">
        <x:v>82</x:v>
      </x:c>
      <x:c r="L49" s="6" t="n">
        <x:v>10</x:v>
      </x:c>
      <x:c r="M49" s="11" t="n">
        <x:v>0.5601282051282052</x:v>
      </x:c>
      <x:c r="N49" s="6" t="n">
        <x:v>473000</x:v>
      </x:c>
    </x:row>
    <x:row r="50" ht="24" customHeight="1">
      <x:c r="A50" s="2" t="str">
        <x:v>2026-10-21_Day</x:v>
      </x:c>
      <x:c r="B50" s="6" t="str">
        <x:v>デイ</x:v>
      </x:c>
      <x:c r="C50" s="6" t="n">
        <x:v>158500</x:v>
      </x:c>
      <x:c r="D50" s="6" t="n">
        <x:v>578000</x:v>
      </x:c>
      <x:c r="E50" s="6" t="n">
        <x:f>C50-D50</x:f>
        <x:v>-419500</x:v>
      </x:c>
      <x:c r="F50" s="6" t="n">
        <x:f>F49+E50</x:f>
        <x:v>-20555500</x:v>
      </x:c>
      <x:c r="G50" s="6" t="n">
        <x:v>137000</x:v>
      </x:c>
      <x:c r="H50" s="6" t="n">
        <x:v>556500</x:v>
      </x:c>
      <x:c r="I50" s="6" t="n">
        <x:v>131</x:v>
      </x:c>
      <x:c r="J50" s="6" t="n">
        <x:v>73</x:v>
      </x:c>
      <x:c r="K50" s="6" t="n">
        <x:v>41</x:v>
      </x:c>
      <x:c r="L50" s="6" t="n">
        <x:v>10</x:v>
      </x:c>
      <x:c r="M50" s="11" t="n">
        <x:v>0.5701984126984126</x:v>
      </x:c>
      <x:c r="N50" s="6" t="n">
        <x:v>435000</x:v>
      </x:c>
    </x:row>
    <x:row r="51" ht="24" customHeight="1">
      <x:c r="A51" s="2" t="str">
        <x:v>2026-10-21_Night</x:v>
      </x:c>
      <x:c r="B51" s="6" t="str">
        <x:v>ナイト</x:v>
      </x:c>
      <x:c r="C51" s="6" t="n">
        <x:v>259000</x:v>
      </x:c>
      <x:c r="D51" s="6" t="n">
        <x:v>527000</x:v>
      </x:c>
      <x:c r="E51" s="6" t="n">
        <x:f>C51-D51</x:f>
        <x:v>-268000</x:v>
      </x:c>
      <x:c r="F51" s="6" t="n">
        <x:f>F50+E51</x:f>
        <x:v>-20823500</x:v>
      </x:c>
      <x:c r="G51" s="6" t="n">
        <x:v>202000</x:v>
      </x:c>
      <x:c r="H51" s="6" t="n">
        <x:v>470000</x:v>
      </x:c>
      <x:c r="I51" s="6" t="n">
        <x:v>180</x:v>
      </x:c>
      <x:c r="J51" s="6" t="n">
        <x:v>118</x:v>
      </x:c>
      <x:c r="K51" s="6" t="n">
        <x:v>55</x:v>
      </x:c>
      <x:c r="L51" s="6" t="n">
        <x:v>10</x:v>
      </x:c>
      <x:c r="M51" s="11" t="n">
        <x:v>0.5947649572649573</x:v>
      </x:c>
      <x:c r="N51" s="6" t="n">
        <x:v>282000</x:v>
      </x:c>
    </x:row>
    <x:row r="52" ht="24" customHeight="1">
      <x:c r="A52" s="2" t="str">
        <x:v>2026-10-22_Day</x:v>
      </x:c>
      <x:c r="B52" s="6" t="str">
        <x:v>デイ</x:v>
      </x:c>
      <x:c r="C52" s="6" t="n">
        <x:v>319500</x:v>
      </x:c>
      <x:c r="D52" s="6" t="n">
        <x:v>541000</x:v>
      </x:c>
      <x:c r="E52" s="6" t="n">
        <x:f>C52-D52</x:f>
        <x:v>-221500</x:v>
      </x:c>
      <x:c r="F52" s="6" t="n">
        <x:f>F51+E52</x:f>
        <x:v>-21045000</x:v>
      </x:c>
      <x:c r="G52" s="6" t="n">
        <x:v>275000</x:v>
      </x:c>
      <x:c r="H52" s="6" t="n">
        <x:v>496500</x:v>
      </x:c>
      <x:c r="I52" s="6" t="n">
        <x:v>111</x:v>
      </x:c>
      <x:c r="J52" s="6" t="n">
        <x:v>98</x:v>
      </x:c>
      <x:c r="K52" s="6" t="n">
        <x:v>46</x:v>
      </x:c>
      <x:c r="L52" s="6" t="n">
        <x:v>10</x:v>
      </x:c>
      <x:c r="M52" s="11" t="n">
        <x:v>0.47559523809523807</x:v>
      </x:c>
      <x:c r="N52" s="6" t="n">
        <x:v>355500</x:v>
      </x:c>
    </x:row>
    <x:row r="53" ht="24" customHeight="1">
      <x:c r="A53" s="2" t="str">
        <x:v>2026-10-22_Night</x:v>
      </x:c>
      <x:c r="B53" s="6" t="str">
        <x:v>ナイト</x:v>
      </x:c>
      <x:c r="C53" s="6" t="n">
        <x:v>416500</x:v>
      </x:c>
      <x:c r="D53" s="6" t="n">
        <x:v>858500</x:v>
      </x:c>
      <x:c r="E53" s="6" t="n">
        <x:f>C53-D53</x:f>
        <x:v>-442000</x:v>
      </x:c>
      <x:c r="F53" s="6" t="n">
        <x:f>F52+E53</x:f>
        <x:v>-21487000</x:v>
      </x:c>
      <x:c r="G53" s="6" t="n">
        <x:v>333000</x:v>
      </x:c>
      <x:c r="H53" s="6" t="n">
        <x:v>775000</x:v>
      </x:c>
      <x:c r="I53" s="6" t="n">
        <x:v>198</x:v>
      </x:c>
      <x:c r="J53" s="6" t="n">
        <x:v>140</x:v>
      </x:c>
      <x:c r="K53" s="6" t="n">
        <x:v>76</x:v>
      </x:c>
      <x:c r="L53" s="6" t="n">
        <x:v>10</x:v>
      </x:c>
      <x:c r="M53" s="11" t="n">
        <x:v>0.5343376068376068</x:v>
      </x:c>
      <x:c r="N53" s="6" t="n">
        <x:v>470000</x:v>
      </x:c>
    </x:row>
    <x:row r="54" ht="24" customHeight="1">
      <x:c r="A54" s="2" t="str">
        <x:v>2026-10-23_Day</x:v>
      </x:c>
      <x:c r="B54" s="6" t="str">
        <x:v>デイ</x:v>
      </x:c>
      <x:c r="C54" s="6" t="n">
        <x:v>319500</x:v>
      </x:c>
      <x:c r="D54" s="6" t="n">
        <x:v>713500</x:v>
      </x:c>
      <x:c r="E54" s="6" t="n">
        <x:f>C54-D54</x:f>
        <x:v>-394000</x:v>
      </x:c>
      <x:c r="F54" s="6" t="n">
        <x:f>F53+E54</x:f>
        <x:v>-21881000</x:v>
      </x:c>
      <x:c r="G54" s="6" t="n">
        <x:v>276000</x:v>
      </x:c>
      <x:c r="H54" s="6" t="n">
        <x:v>670000</x:v>
      </x:c>
      <x:c r="I54" s="6" t="n">
        <x:v>111</x:v>
      </x:c>
      <x:c r="J54" s="6" t="n">
        <x:v>95</x:v>
      </x:c>
      <x:c r="K54" s="6" t="n">
        <x:v>37</x:v>
      </x:c>
      <x:c r="L54" s="6" t="n">
        <x:v>10</x:v>
      </x:c>
      <x:c r="M54" s="11" t="n">
        <x:v>0.4057936507936508</x:v>
      </x:c>
      <x:c r="N54" s="6" t="n">
        <x:v>417000</x:v>
      </x:c>
    </x:row>
    <x:row r="55" ht="24" customHeight="1">
      <x:c r="A55" s="2" t="str">
        <x:v>2026-10-23_Night</x:v>
      </x:c>
      <x:c r="B55" s="6" t="str">
        <x:v>ナイト</x:v>
      </x:c>
      <x:c r="C55" s="6" t="n">
        <x:v>237500</x:v>
      </x:c>
      <x:c r="D55" s="6" t="n">
        <x:v>902000</x:v>
      </x:c>
      <x:c r="E55" s="6" t="n">
        <x:f>C55-D55</x:f>
        <x:v>-664500</x:v>
      </x:c>
      <x:c r="F55" s="6" t="n">
        <x:f>F54+E55</x:f>
        <x:v>-22545500</x:v>
      </x:c>
      <x:c r="G55" s="6" t="n">
        <x:v>167000</x:v>
      </x:c>
      <x:c r="H55" s="6" t="n">
        <x:v>831500</x:v>
      </x:c>
      <x:c r="I55" s="6" t="n">
        <x:v>218</x:v>
      </x:c>
      <x:c r="J55" s="6" t="n">
        <x:v>125</x:v>
      </x:c>
      <x:c r="K55" s="6" t="n">
        <x:v>85</x:v>
      </x:c>
      <x:c r="L55" s="6" t="n">
        <x:v>10</x:v>
      </x:c>
      <x:c r="M55" s="11" t="n">
        <x:v>0.5202777777777777</x:v>
      </x:c>
      <x:c r="N55" s="6" t="n">
        <x:v>673000</x:v>
      </x:c>
    </x:row>
    <x:row r="56" ht="24" customHeight="1">
      <x:c r="A56" s="2" t="str">
        <x:v>2026-10-26_Day</x:v>
      </x:c>
      <x:c r="B56" s="6" t="str">
        <x:v>デイ</x:v>
      </x:c>
      <x:c r="C56" s="6" t="n">
        <x:v>201500</x:v>
      </x:c>
      <x:c r="D56" s="6" t="n">
        <x:v>828000</x:v>
      </x:c>
      <x:c r="E56" s="6" t="n">
        <x:f>C56-D56</x:f>
        <x:v>-626500</x:v>
      </x:c>
      <x:c r="F56" s="6" t="n">
        <x:f>F55+E56</x:f>
        <x:v>-23172000</x:v>
      </x:c>
      <x:c r="G56" s="6" t="n">
        <x:v>163000</x:v>
      </x:c>
      <x:c r="H56" s="6" t="n">
        <x:v>789500</x:v>
      </x:c>
      <x:c r="I56" s="6" t="n">
        <x:v>128</x:v>
      </x:c>
      <x:c r="J56" s="6" t="n">
        <x:v>101</x:v>
      </x:c>
      <x:c r="K56" s="6" t="n">
        <x:v>42</x:v>
      </x:c>
      <x:c r="L56" s="6" t="n">
        <x:v>10</x:v>
      </x:c>
      <x:c r="M56" s="11" t="n">
        <x:v>0.5062301587301588</x:v>
      </x:c>
      <x:c r="N56" s="6" t="n">
        <x:v>634000</x:v>
      </x:c>
    </x:row>
    <x:row r="57" ht="24" customHeight="1">
      <x:c r="A57" s="15" t="str">
        <x:v>累計／平均／最大</x:v>
      </x:c>
      <x:c r="B57" s="16"/>
      <x:c r="C57" s="16" t="n">
        <x:f>SUM(C6:C56)</x:f>
        <x:v>10635500</x:v>
      </x:c>
      <x:c r="D57" s="16" t="n">
        <x:f>SUM(D6:D56)</x:f>
        <x:v>33807500</x:v>
      </x:c>
      <x:c r="E57" s="16" t="n">
        <x:f>C57-D57</x:f>
        <x:v>-23172000</x:v>
      </x:c>
      <x:c r="F57" s="16" t="n">
        <x:f>F56</x:f>
        <x:v>-23172000</x:v>
      </x:c>
      <x:c r="G57" s="16" t="n">
        <x:f>SUM(G6:G56)</x:f>
        <x:v>8301500</x:v>
      </x:c>
      <x:c r="H57" s="16" t="n">
        <x:f>SUM(H6:H56)</x:f>
        <x:v>31473500</x:v>
      </x:c>
      <x:c r="I57" s="16" t="n">
        <x:f>SUM(I6:I56)</x:f>
        <x:v>7794</x:v>
      </x:c>
      <x:c r="J57" s="16" t="n">
        <x:f>SUM(J6:J56)</x:f>
        <x:v>4920</x:v>
      </x:c>
      <x:c r="K57" s="16" t="n">
        <x:f>SUM(K6:K56)</x:f>
        <x:v>2813</x:v>
      </x:c>
      <x:c r="L57" s="16" t="n">
        <x:f>MAX(L6:L56)</x:f>
        <x:v>10</x:v>
      </x:c>
      <x:c r="M57" s="17" t="n">
        <x:f>AVERAGE(M6:M56)</x:f>
        <x:v>0.5541196222078575</x:v>
      </x:c>
      <x:c r="N57" s="16" t="n">
        <x:f>MAX(N6:N56)</x:f>
        <x:v>953000</x:v>
      </x:c>
    </x:row>
  </x:sheetData>
  <x:conditionalFormatting sqref="E6:F56">
    <x:cfRule type="cellIs" dxfId="37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8009b8d0ed44bf9"/>
  </x:tableParts>
</x:worksheet>
</file>

<file path=xl/worksheets/sheet40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1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4" customHeight="1">
      <x:c r="A1" s="3" t="str">
        <x:v>TOPIX R05　各セッションの利益・損失・収支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A2" s="4" t="str">
        <x:v>2026/09/21〜10/26デイ・51完了場。日経mini／TOPIXmini各上限10枚・手数料0。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4" customHeight="1">
      <x:c r="A3" s="4" t="str">
        <x:v>10分MA・初回は傾き比例枚数・返済後は冷却して再参加・利益の伸びを追尾／T出口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4" customHeight="1">
      <x:c r="A4" s="4" t="str">
        <x:v>利益・損失＝FIFO返済配賦別。親＝初回から全返済まで。ラージ気配による模型で、mini実約定の検証ではありません。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42" customHeight="1">
      <x:c r="A5" s="10" t="str">
        <x:v>セッション</x:v>
      </x:c>
      <x:c r="B5" s="10" t="str">
        <x:v>区分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親利益（円）</x:v>
      </x:c>
      <x:c r="H5" s="10" t="str">
        <x:v>親損失（円）</x:v>
      </x:c>
      <x:c r="I5" s="10" t="str">
        <x:v>初回件数</x:v>
      </x:c>
      <x:c r="J5" s="10" t="str">
        <x:v>追加件数</x:v>
      </x:c>
      <x:c r="K5" s="10" t="str">
        <x:v>縮小件数</x:v>
      </x:c>
      <x:c r="L5" s="10" t="str">
        <x:v>最大保有枚数</x:v>
      </x:c>
      <x:c r="M5" s="10" t="str">
        <x:v>保有時間率</x:v>
      </x:c>
      <x:c r="N5" s="10" t="str">
        <x:v>時価最大DD（円）</x:v>
      </x:c>
    </x:row>
    <x:row r="6" ht="24" customHeight="1">
      <x:c r="A6" s="2" t="str">
        <x:v>2026-09-21_Day</x:v>
      </x:c>
      <x:c r="B6" s="6" t="str">
        <x:v>デイ</x:v>
      </x:c>
      <x:c r="C6" s="6" t="n">
        <x:v>15000</x:v>
      </x:c>
      <x:c r="D6" s="6" t="n">
        <x:v>78000</x:v>
      </x:c>
      <x:c r="E6" s="6" t="n">
        <x:f>C6-D6</x:f>
        <x:v>-63000</x:v>
      </x:c>
      <x:c r="F6" s="6" t="n">
        <x:f>E6</x:f>
        <x:v>-63000</x:v>
      </x:c>
      <x:c r="G6" s="6" t="n">
        <x:v>15000</x:v>
      </x:c>
      <x:c r="H6" s="6" t="n">
        <x:v>78000</x:v>
      </x:c>
      <x:c r="I6" s="6" t="n">
        <x:v>12</x:v>
      </x:c>
      <x:c r="J6" s="6" t="n">
        <x:v>0</x:v>
      </x:c>
      <x:c r="K6" s="6" t="n">
        <x:v>0</x:v>
      </x:c>
      <x:c r="L6" s="6" t="n">
        <x:v>7</x:v>
      </x:c>
      <x:c r="M6" s="11" t="n">
        <x:v>0.6267063492063492</x:v>
      </x:c>
      <x:c r="N6" s="6" t="n">
        <x:v>68000</x:v>
      </x:c>
    </x:row>
    <x:row r="7" ht="24" customHeight="1">
      <x:c r="A7" s="2" t="str">
        <x:v>2026-09-21_Night</x:v>
      </x:c>
      <x:c r="B7" s="6" t="str">
        <x:v>ナイト</x:v>
      </x:c>
      <x:c r="C7" s="6" t="n">
        <x:v>40500</x:v>
      </x:c>
      <x:c r="D7" s="6" t="n">
        <x:v>44000</x:v>
      </x:c>
      <x:c r="E7" s="6" t="n">
        <x:f>C7-D7</x:f>
        <x:v>-3500</x:v>
      </x:c>
      <x:c r="F7" s="6" t="n">
        <x:f>F6+E7</x:f>
        <x:v>-66500</x:v>
      </x:c>
      <x:c r="G7" s="6" t="n">
        <x:v>40500</x:v>
      </x:c>
      <x:c r="H7" s="6" t="n">
        <x:v>44000</x:v>
      </x:c>
      <x:c r="I7" s="6" t="n">
        <x:v>23</x:v>
      </x:c>
      <x:c r="J7" s="6" t="n">
        <x:v>0</x:v>
      </x:c>
      <x:c r="K7" s="6" t="n">
        <x:v>0</x:v>
      </x:c>
      <x:c r="L7" s="6" t="n">
        <x:v>6</x:v>
      </x:c>
      <x:c r="M7" s="11" t="n">
        <x:v>0.7781623931623932</x:v>
      </x:c>
      <x:c r="N7" s="6" t="n">
        <x:v>48000</x:v>
      </x:c>
    </x:row>
    <x:row r="8" ht="24" customHeight="1">
      <x:c r="A8" s="2" t="str">
        <x:v>2026-09-22_Day</x:v>
      </x:c>
      <x:c r="B8" s="6" t="str">
        <x:v>デイ</x:v>
      </x:c>
      <x:c r="C8" s="6" t="n">
        <x:v>21000</x:v>
      </x:c>
      <x:c r="D8" s="6" t="n">
        <x:v>65500</x:v>
      </x:c>
      <x:c r="E8" s="6" t="n">
        <x:f>C8-D8</x:f>
        <x:v>-44500</x:v>
      </x:c>
      <x:c r="F8" s="6" t="n">
        <x:f>F7+E8</x:f>
        <x:v>-111000</x:v>
      </x:c>
      <x:c r="G8" s="6" t="n">
        <x:v>21000</x:v>
      </x:c>
      <x:c r="H8" s="6" t="n">
        <x:v>65500</x:v>
      </x:c>
      <x:c r="I8" s="6" t="n">
        <x:v>16</x:v>
      </x:c>
      <x:c r="J8" s="6" t="n">
        <x:v>0</x:v>
      </x:c>
      <x:c r="K8" s="6" t="n">
        <x:v>0</x:v>
      </x:c>
      <x:c r="L8" s="6" t="n">
        <x:v>5</x:v>
      </x:c>
      <x:c r="M8" s="11" t="n">
        <x:v>0.702936507936508</x:v>
      </x:c>
      <x:c r="N8" s="6" t="n">
        <x:v>52500</x:v>
      </x:c>
    </x:row>
    <x:row r="9" ht="24" customHeight="1">
      <x:c r="A9" s="2" t="str">
        <x:v>2026-09-22_Night</x:v>
      </x:c>
      <x:c r="B9" s="6" t="str">
        <x:v>ナイト</x:v>
      </x:c>
      <x:c r="C9" s="6" t="n">
        <x:v>63000</x:v>
      </x:c>
      <x:c r="D9" s="6" t="n">
        <x:v>60000</x:v>
      </x:c>
      <x:c r="E9" s="6" t="n">
        <x:f>C9-D9</x:f>
        <x:v>3000</x:v>
      </x:c>
      <x:c r="F9" s="6" t="n">
        <x:f>F8+E9</x:f>
        <x:v>-108000</x:v>
      </x:c>
      <x:c r="G9" s="6" t="n">
        <x:v>63000</x:v>
      </x:c>
      <x:c r="H9" s="6" t="n">
        <x:v>60000</x:v>
      </x:c>
      <x:c r="I9" s="6" t="n">
        <x:v>31</x:v>
      </x:c>
      <x:c r="J9" s="6" t="n">
        <x:v>0</x:v>
      </x:c>
      <x:c r="K9" s="6" t="n">
        <x:v>0</x:v>
      </x:c>
      <x:c r="L9" s="6" t="n">
        <x:v>4</x:v>
      </x:c>
      <x:c r="M9" s="11" t="n">
        <x:v>0.6588461538461539</x:v>
      </x:c>
      <x:c r="N9" s="6" t="n">
        <x:v>27000</x:v>
      </x:c>
    </x:row>
    <x:row r="10" ht="24" customHeight="1">
      <x:c r="A10" s="2" t="str">
        <x:v>2026-09-23_Day</x:v>
      </x:c>
      <x:c r="B10" s="6" t="str">
        <x:v>デイ</x:v>
      </x:c>
      <x:c r="C10" s="6" t="n">
        <x:v>18500</x:v>
      </x:c>
      <x:c r="D10" s="6" t="n">
        <x:v>68000</x:v>
      </x:c>
      <x:c r="E10" s="6" t="n">
        <x:f>C10-D10</x:f>
        <x:v>-49500</x:v>
      </x:c>
      <x:c r="F10" s="6" t="n">
        <x:f>F9+E10</x:f>
        <x:v>-157500</x:v>
      </x:c>
      <x:c r="G10" s="6" t="n">
        <x:v>18500</x:v>
      </x:c>
      <x:c r="H10" s="6" t="n">
        <x:v>68000</x:v>
      </x:c>
      <x:c r="I10" s="6" t="n">
        <x:v>13</x:v>
      </x:c>
      <x:c r="J10" s="6" t="n">
        <x:v>0</x:v>
      </x:c>
      <x:c r="K10" s="6" t="n">
        <x:v>0</x:v>
      </x:c>
      <x:c r="L10" s="6" t="n">
        <x:v>10</x:v>
      </x:c>
      <x:c r="M10" s="11" t="n">
        <x:v>0.6998015873015873</x:v>
      </x:c>
      <x:c r="N10" s="6" t="n">
        <x:v>58500</x:v>
      </x:c>
    </x:row>
    <x:row r="11" ht="24" customHeight="1">
      <x:c r="A11" s="2" t="str">
        <x:v>2026-09-23_Night</x:v>
      </x:c>
      <x:c r="B11" s="6" t="str">
        <x:v>ナイト</x:v>
      </x:c>
      <x:c r="C11" s="6" t="n">
        <x:v>48500</x:v>
      </x:c>
      <x:c r="D11" s="6" t="n">
        <x:v>96500</x:v>
      </x:c>
      <x:c r="E11" s="6" t="n">
        <x:f>C11-D11</x:f>
        <x:v>-48000</x:v>
      </x:c>
      <x:c r="F11" s="6" t="n">
        <x:f>F10+E11</x:f>
        <x:v>-205500</x:v>
      </x:c>
      <x:c r="G11" s="6" t="n">
        <x:v>48500</x:v>
      </x:c>
      <x:c r="H11" s="6" t="n">
        <x:v>96500</x:v>
      </x:c>
      <x:c r="I11" s="6" t="n">
        <x:v>26</x:v>
      </x:c>
      <x:c r="J11" s="6" t="n">
        <x:v>0</x:v>
      </x:c>
      <x:c r="K11" s="6" t="n">
        <x:v>0</x:v>
      </x:c>
      <x:c r="L11" s="6" t="n">
        <x:v>4</x:v>
      </x:c>
      <x:c r="M11" s="11" t="n">
        <x:v>0.697457264957265</x:v>
      </x:c>
      <x:c r="N11" s="6" t="n">
        <x:v>55000</x:v>
      </x:c>
    </x:row>
    <x:row r="12" ht="24" customHeight="1">
      <x:c r="A12" s="2" t="str">
        <x:v>2026-09-24_Day</x:v>
      </x:c>
      <x:c r="B12" s="6" t="str">
        <x:v>デイ</x:v>
      </x:c>
      <x:c r="C12" s="6" t="n">
        <x:v>82000</x:v>
      </x:c>
      <x:c r="D12" s="6" t="n">
        <x:v>160500</x:v>
      </x:c>
      <x:c r="E12" s="6" t="n">
        <x:f>C12-D12</x:f>
        <x:v>-78500</x:v>
      </x:c>
      <x:c r="F12" s="6" t="n">
        <x:f>F11+E12</x:f>
        <x:v>-284000</x:v>
      </x:c>
      <x:c r="G12" s="6" t="n">
        <x:v>82000</x:v>
      </x:c>
      <x:c r="H12" s="6" t="n">
        <x:v>160500</x:v>
      </x:c>
      <x:c r="I12" s="6" t="n">
        <x:v>31</x:v>
      </x:c>
      <x:c r="J12" s="6" t="n">
        <x:v>0</x:v>
      </x:c>
      <x:c r="K12" s="6" t="n">
        <x:v>0</x:v>
      </x:c>
      <x:c r="L12" s="6" t="n">
        <x:v>10</x:v>
      </x:c>
      <x:c r="M12" s="11" t="n">
        <x:v>0.5728968253968254</x:v>
      </x:c>
      <x:c r="N12" s="6" t="n">
        <x:v>101500</x:v>
      </x:c>
    </x:row>
    <x:row r="13" ht="24" customHeight="1">
      <x:c r="A13" s="2" t="str">
        <x:v>2026-09-24_Night</x:v>
      </x:c>
      <x:c r="B13" s="6" t="str">
        <x:v>ナイト</x:v>
      </x:c>
      <x:c r="C13" s="6" t="n">
        <x:v>86500</x:v>
      </x:c>
      <x:c r="D13" s="6" t="n">
        <x:v>129000</x:v>
      </x:c>
      <x:c r="E13" s="6" t="n">
        <x:f>C13-D13</x:f>
        <x:v>-42500</x:v>
      </x:c>
      <x:c r="F13" s="6" t="n">
        <x:f>F12+E13</x:f>
        <x:v>-326500</x:v>
      </x:c>
      <x:c r="G13" s="6" t="n">
        <x:v>86500</x:v>
      </x:c>
      <x:c r="H13" s="6" t="n">
        <x:v>129000</x:v>
      </x:c>
      <x:c r="I13" s="6" t="n">
        <x:v>42</x:v>
      </x:c>
      <x:c r="J13" s="6" t="n">
        <x:v>0</x:v>
      </x:c>
      <x:c r="K13" s="6" t="n">
        <x:v>0</x:v>
      </x:c>
      <x:c r="L13" s="6" t="n">
        <x:v>4</x:v>
      </x:c>
      <x:c r="M13" s="11" t="n">
        <x:v>0.6651923076923076</x:v>
      </x:c>
      <x:c r="N13" s="6" t="n">
        <x:v>95000</x:v>
      </x:c>
    </x:row>
    <x:row r="14" ht="24" customHeight="1">
      <x:c r="A14" s="2" t="str">
        <x:v>2026-09-25_Day</x:v>
      </x:c>
      <x:c r="B14" s="6" t="str">
        <x:v>デイ</x:v>
      </x:c>
      <x:c r="C14" s="6" t="n">
        <x:v>31000</x:v>
      </x:c>
      <x:c r="D14" s="6" t="n">
        <x:v>105500</x:v>
      </x:c>
      <x:c r="E14" s="6" t="n">
        <x:f>C14-D14</x:f>
        <x:v>-74500</x:v>
      </x:c>
      <x:c r="F14" s="6" t="n">
        <x:f>F13+E14</x:f>
        <x:v>-401000</x:v>
      </x:c>
      <x:c r="G14" s="6" t="n">
        <x:v>31000</x:v>
      </x:c>
      <x:c r="H14" s="6" t="n">
        <x:v>105500</x:v>
      </x:c>
      <x:c r="I14" s="6" t="n">
        <x:v>26</x:v>
      </x:c>
      <x:c r="J14" s="6" t="n">
        <x:v>0</x:v>
      </x:c>
      <x:c r="K14" s="6" t="n">
        <x:v>0</x:v>
      </x:c>
      <x:c r="L14" s="6" t="n">
        <x:v>4</x:v>
      </x:c>
      <x:c r="M14" s="11" t="n">
        <x:v>0.5494444444444444</x:v>
      </x:c>
      <x:c r="N14" s="6" t="n">
        <x:v>85500</x:v>
      </x:c>
    </x:row>
    <x:row r="15" ht="24" customHeight="1">
      <x:c r="A15" s="2" t="str">
        <x:v>2026-09-25_Night</x:v>
      </x:c>
      <x:c r="B15" s="6" t="str">
        <x:v>ナイト</x:v>
      </x:c>
      <x:c r="C15" s="6" t="n">
        <x:v>35500</x:v>
      </x:c>
      <x:c r="D15" s="6" t="n">
        <x:v>96000</x:v>
      </x:c>
      <x:c r="E15" s="6" t="n">
        <x:f>C15-D15</x:f>
        <x:v>-60500</x:v>
      </x:c>
      <x:c r="F15" s="6" t="n">
        <x:f>F14+E15</x:f>
        <x:v>-461500</x:v>
      </x:c>
      <x:c r="G15" s="6" t="n">
        <x:v>35500</x:v>
      </x:c>
      <x:c r="H15" s="6" t="n">
        <x:v>96000</x:v>
      </x:c>
      <x:c r="I15" s="6" t="n">
        <x:v>35</x:v>
      </x:c>
      <x:c r="J15" s="6" t="n">
        <x:v>0</x:v>
      </x:c>
      <x:c r="K15" s="6" t="n">
        <x:v>0</x:v>
      </x:c>
      <x:c r="L15" s="6" t="n">
        <x:v>3</x:v>
      </x:c>
      <x:c r="M15" s="11" t="n">
        <x:v>0.6093803418803418</x:v>
      </x:c>
      <x:c r="N15" s="6" t="n">
        <x:v>69500</x:v>
      </x:c>
    </x:row>
    <x:row r="16" ht="24" customHeight="1">
      <x:c r="A16" s="2" t="str">
        <x:v>2026-09-28_Day</x:v>
      </x:c>
      <x:c r="B16" s="6" t="str">
        <x:v>デイ</x:v>
      </x:c>
      <x:c r="C16" s="6" t="n">
        <x:v>53000</x:v>
      </x:c>
      <x:c r="D16" s="6" t="n">
        <x:v>135000</x:v>
      </x:c>
      <x:c r="E16" s="6" t="n">
        <x:f>C16-D16</x:f>
        <x:v>-82000</x:v>
      </x:c>
      <x:c r="F16" s="6" t="n">
        <x:f>F15+E16</x:f>
        <x:v>-543500</x:v>
      </x:c>
      <x:c r="G16" s="6" t="n">
        <x:v>53000</x:v>
      </x:c>
      <x:c r="H16" s="6" t="n">
        <x:v>135000</x:v>
      </x:c>
      <x:c r="I16" s="6" t="n">
        <x:v>25</x:v>
      </x:c>
      <x:c r="J16" s="6" t="n">
        <x:v>0</x:v>
      </x:c>
      <x:c r="K16" s="6" t="n">
        <x:v>0</x:v>
      </x:c>
      <x:c r="L16" s="6" t="n">
        <x:v>10</x:v>
      </x:c>
      <x:c r="M16" s="11" t="n">
        <x:v>0.6511111111111111</x:v>
      </x:c>
      <x:c r="N16" s="6" t="n">
        <x:v>99500</x:v>
      </x:c>
    </x:row>
    <x:row r="17" ht="24" customHeight="1">
      <x:c r="A17" s="2" t="str">
        <x:v>2026-09-28_Night</x:v>
      </x:c>
      <x:c r="B17" s="6" t="str">
        <x:v>ナイト</x:v>
      </x:c>
      <x:c r="C17" s="6" t="n">
        <x:v>67500</x:v>
      </x:c>
      <x:c r="D17" s="6" t="n">
        <x:v>109000</x:v>
      </x:c>
      <x:c r="E17" s="6" t="n">
        <x:f>C17-D17</x:f>
        <x:v>-41500</x:v>
      </x:c>
      <x:c r="F17" s="6" t="n">
        <x:f>F16+E17</x:f>
        <x:v>-585000</x:v>
      </x:c>
      <x:c r="G17" s="6" t="n">
        <x:v>67500</x:v>
      </x:c>
      <x:c r="H17" s="6" t="n">
        <x:v>109000</x:v>
      </x:c>
      <x:c r="I17" s="6" t="n">
        <x:v>33</x:v>
      </x:c>
      <x:c r="J17" s="6" t="n">
        <x:v>0</x:v>
      </x:c>
      <x:c r="K17" s="6" t="n">
        <x:v>0</x:v>
      </x:c>
      <x:c r="L17" s="6" t="n">
        <x:v>5</x:v>
      </x:c>
      <x:c r="M17" s="11" t="n">
        <x:v>0.743482905982906</x:v>
      </x:c>
      <x:c r="N17" s="6" t="n">
        <x:v>65000</x:v>
      </x:c>
    </x:row>
    <x:row r="18" ht="24" customHeight="1">
      <x:c r="A18" s="2" t="str">
        <x:v>2026-09-29_Day</x:v>
      </x:c>
      <x:c r="B18" s="6" t="str">
        <x:v>デイ</x:v>
      </x:c>
      <x:c r="C18" s="6" t="n">
        <x:v>37500</x:v>
      </x:c>
      <x:c r="D18" s="6" t="n">
        <x:v>81500</x:v>
      </x:c>
      <x:c r="E18" s="6" t="n">
        <x:f>C18-D18</x:f>
        <x:v>-44000</x:v>
      </x:c>
      <x:c r="F18" s="6" t="n">
        <x:f>F17+E18</x:f>
        <x:v>-629000</x:v>
      </x:c>
      <x:c r="G18" s="6" t="n">
        <x:v>37500</x:v>
      </x:c>
      <x:c r="H18" s="6" t="n">
        <x:v>81500</x:v>
      </x:c>
      <x:c r="I18" s="6" t="n">
        <x:v>22</x:v>
      </x:c>
      <x:c r="J18" s="6" t="n">
        <x:v>0</x:v>
      </x:c>
      <x:c r="K18" s="6" t="n">
        <x:v>0</x:v>
      </x:c>
      <x:c r="L18" s="6" t="n">
        <x:v>5</x:v>
      </x:c>
      <x:c r="M18" s="11" t="n">
        <x:v>0.558015873015873</x:v>
      </x:c>
      <x:c r="N18" s="6" t="n">
        <x:v>66500</x:v>
      </x:c>
    </x:row>
    <x:row r="19" ht="24" customHeight="1">
      <x:c r="A19" s="2" t="str">
        <x:v>2026-09-29_Night</x:v>
      </x:c>
      <x:c r="B19" s="6" t="str">
        <x:v>ナイト</x:v>
      </x:c>
      <x:c r="C19" s="6" t="n">
        <x:v>47000</x:v>
      </x:c>
      <x:c r="D19" s="6" t="n">
        <x:v>191000</x:v>
      </x:c>
      <x:c r="E19" s="6" t="n">
        <x:f>C19-D19</x:f>
        <x:v>-144000</x:v>
      </x:c>
      <x:c r="F19" s="6" t="n">
        <x:f>F18+E19</x:f>
        <x:v>-773000</x:v>
      </x:c>
      <x:c r="G19" s="6" t="n">
        <x:v>47000</x:v>
      </x:c>
      <x:c r="H19" s="6" t="n">
        <x:v>191000</x:v>
      </x:c>
      <x:c r="I19" s="6" t="n">
        <x:v>38</x:v>
      </x:c>
      <x:c r="J19" s="6" t="n">
        <x:v>0</x:v>
      </x:c>
      <x:c r="K19" s="6" t="n">
        <x:v>0</x:v>
      </x:c>
      <x:c r="L19" s="6" t="n">
        <x:v>5</x:v>
      </x:c>
      <x:c r="M19" s="11" t="n">
        <x:v>0.7725213675213676</x:v>
      </x:c>
      <x:c r="N19" s="6" t="n">
        <x:v>150000</x:v>
      </x:c>
    </x:row>
    <x:row r="20" ht="24" customHeight="1">
      <x:c r="A20" s="2" t="str">
        <x:v>2026-09-30_Day</x:v>
      </x:c>
      <x:c r="B20" s="6" t="str">
        <x:v>デイ</x:v>
      </x:c>
      <x:c r="C20" s="6" t="n">
        <x:v>55000</x:v>
      </x:c>
      <x:c r="D20" s="6" t="n">
        <x:v>77500</x:v>
      </x:c>
      <x:c r="E20" s="6" t="n">
        <x:f>C20-D20</x:f>
        <x:v>-22500</x:v>
      </x:c>
      <x:c r="F20" s="6" t="n">
        <x:f>F19+E20</x:f>
        <x:v>-795500</x:v>
      </x:c>
      <x:c r="G20" s="6" t="n">
        <x:v>55000</x:v>
      </x:c>
      <x:c r="H20" s="6" t="n">
        <x:v>77500</x:v>
      </x:c>
      <x:c r="I20" s="6" t="n">
        <x:v>22</x:v>
      </x:c>
      <x:c r="J20" s="6" t="n">
        <x:v>0</x:v>
      </x:c>
      <x:c r="K20" s="6" t="n">
        <x:v>0</x:v>
      </x:c>
      <x:c r="L20" s="6" t="n">
        <x:v>4</x:v>
      </x:c>
      <x:c r="M20" s="11" t="n">
        <x:v>0.5076587301587302</x:v>
      </x:c>
      <x:c r="N20" s="6" t="n">
        <x:v>37500</x:v>
      </x:c>
    </x:row>
    <x:row r="21" ht="24" customHeight="1">
      <x:c r="A21" s="2" t="str">
        <x:v>2026-09-30_Night</x:v>
      </x:c>
      <x:c r="B21" s="6" t="str">
        <x:v>ナイト</x:v>
      </x:c>
      <x:c r="C21" s="6" t="n">
        <x:v>73500</x:v>
      </x:c>
      <x:c r="D21" s="6" t="n">
        <x:v>161500</x:v>
      </x:c>
      <x:c r="E21" s="6" t="n">
        <x:f>C21-D21</x:f>
        <x:v>-88000</x:v>
      </x:c>
      <x:c r="F21" s="6" t="n">
        <x:f>F20+E21</x:f>
        <x:v>-883500</x:v>
      </x:c>
      <x:c r="G21" s="6" t="n">
        <x:v>73500</x:v>
      </x:c>
      <x:c r="H21" s="6" t="n">
        <x:v>161500</x:v>
      </x:c>
      <x:c r="I21" s="6" t="n">
        <x:v>45</x:v>
      </x:c>
      <x:c r="J21" s="6" t="n">
        <x:v>0</x:v>
      </x:c>
      <x:c r="K21" s="6" t="n">
        <x:v>0</x:v>
      </x:c>
      <x:c r="L21" s="6" t="n">
        <x:v>4</x:v>
      </x:c>
      <x:c r="M21" s="11" t="n">
        <x:v>0.6229273504273505</x:v>
      </x:c>
      <x:c r="N21" s="6" t="n">
        <x:v>108000</x:v>
      </x:c>
    </x:row>
    <x:row r="22" ht="24" customHeight="1">
      <x:c r="A22" s="2" t="str">
        <x:v>2026-10-01_Day</x:v>
      </x:c>
      <x:c r="B22" s="6" t="str">
        <x:v>デイ</x:v>
      </x:c>
      <x:c r="C22" s="6" t="n">
        <x:v>33500</x:v>
      </x:c>
      <x:c r="D22" s="6" t="n">
        <x:v>50000</x:v>
      </x:c>
      <x:c r="E22" s="6" t="n">
        <x:f>C22-D22</x:f>
        <x:v>-16500</x:v>
      </x:c>
      <x:c r="F22" s="6" t="n">
        <x:f>F21+E22</x:f>
        <x:v>-900000</x:v>
      </x:c>
      <x:c r="G22" s="6" t="n">
        <x:v>33500</x:v>
      </x:c>
      <x:c r="H22" s="6" t="n">
        <x:v>50000</x:v>
      </x:c>
      <x:c r="I22" s="6" t="n">
        <x:v>21</x:v>
      </x:c>
      <x:c r="J22" s="6" t="n">
        <x:v>0</x:v>
      </x:c>
      <x:c r="K22" s="6" t="n">
        <x:v>0</x:v>
      </x:c>
      <x:c r="L22" s="6" t="n">
        <x:v>3</x:v>
      </x:c>
      <x:c r="M22" s="11" t="n">
        <x:v>0.483015873015873</x:v>
      </x:c>
      <x:c r="N22" s="6" t="n">
        <x:v>39500</x:v>
      </x:c>
    </x:row>
    <x:row r="23" ht="24" customHeight="1">
      <x:c r="A23" s="2" t="str">
        <x:v>2026-10-01_Night</x:v>
      </x:c>
      <x:c r="B23" s="6" t="str">
        <x:v>ナイト</x:v>
      </x:c>
      <x:c r="C23" s="6" t="n">
        <x:v>92000</x:v>
      </x:c>
      <x:c r="D23" s="6" t="n">
        <x:v>74500</x:v>
      </x:c>
      <x:c r="E23" s="6" t="n">
        <x:f>C23-D23</x:f>
        <x:v>17500</x:v>
      </x:c>
      <x:c r="F23" s="6" t="n">
        <x:f>F22+E23</x:f>
        <x:v>-882500</x:v>
      </x:c>
      <x:c r="G23" s="6" t="n">
        <x:v>92000</x:v>
      </x:c>
      <x:c r="H23" s="6" t="n">
        <x:v>74500</x:v>
      </x:c>
      <x:c r="I23" s="6" t="n">
        <x:v>35</x:v>
      </x:c>
      <x:c r="J23" s="6" t="n">
        <x:v>0</x:v>
      </x:c>
      <x:c r="K23" s="6" t="n">
        <x:v>0</x:v>
      </x:c>
      <x:c r="L23" s="6" t="n">
        <x:v>4</x:v>
      </x:c>
      <x:c r="M23" s="11" t="n">
        <x:v>0.4882051282051282</x:v>
      </x:c>
      <x:c r="N23" s="6" t="n">
        <x:v>24500</x:v>
      </x:c>
    </x:row>
    <x:row r="24" ht="24" customHeight="1">
      <x:c r="A24" s="2" t="str">
        <x:v>2026-10-02_Day</x:v>
      </x:c>
      <x:c r="B24" s="6" t="str">
        <x:v>デイ</x:v>
      </x:c>
      <x:c r="C24" s="6" t="n">
        <x:v>45500</x:v>
      </x:c>
      <x:c r="D24" s="6" t="n">
        <x:v>24000</x:v>
      </x:c>
      <x:c r="E24" s="6" t="n">
        <x:f>C24-D24</x:f>
        <x:v>21500</x:v>
      </x:c>
      <x:c r="F24" s="6" t="n">
        <x:f>F23+E24</x:f>
        <x:v>-861000</x:v>
      </x:c>
      <x:c r="G24" s="6" t="n">
        <x:v>45500</x:v>
      </x:c>
      <x:c r="H24" s="6" t="n">
        <x:v>24000</x:v>
      </x:c>
      <x:c r="I24" s="6" t="n">
        <x:v>18</x:v>
      </x:c>
      <x:c r="J24" s="6" t="n">
        <x:v>0</x:v>
      </x:c>
      <x:c r="K24" s="6" t="n">
        <x:v>0</x:v>
      </x:c>
      <x:c r="L24" s="6" t="n">
        <x:v>8</x:v>
      </x:c>
      <x:c r="M24" s="11" t="n">
        <x:v>0.5561904761904762</x:v>
      </x:c>
      <x:c r="N24" s="6" t="n">
        <x:v>36000</x:v>
      </x:c>
    </x:row>
    <x:row r="25" ht="24" customHeight="1">
      <x:c r="A25" s="2" t="str">
        <x:v>2026-10-02_Night</x:v>
      </x:c>
      <x:c r="B25" s="6" t="str">
        <x:v>ナイト</x:v>
      </x:c>
      <x:c r="C25" s="6" t="n">
        <x:v>67500</x:v>
      </x:c>
      <x:c r="D25" s="6" t="n">
        <x:v>103500</x:v>
      </x:c>
      <x:c r="E25" s="6" t="n">
        <x:f>C25-D25</x:f>
        <x:v>-36000</x:v>
      </x:c>
      <x:c r="F25" s="6" t="n">
        <x:f>F24+E25</x:f>
        <x:v>-897000</x:v>
      </x:c>
      <x:c r="G25" s="6" t="n">
        <x:v>67500</x:v>
      </x:c>
      <x:c r="H25" s="6" t="n">
        <x:v>103500</x:v>
      </x:c>
      <x:c r="I25" s="6" t="n">
        <x:v>35</x:v>
      </x:c>
      <x:c r="J25" s="6" t="n">
        <x:v>0</x:v>
      </x:c>
      <x:c r="K25" s="6" t="n">
        <x:v>0</x:v>
      </x:c>
      <x:c r="L25" s="6" t="n">
        <x:v>10</x:v>
      </x:c>
      <x:c r="M25" s="11" t="n">
        <x:v>0.5713461538461538</x:v>
      </x:c>
      <x:c r="N25" s="6" t="n">
        <x:v>92500</x:v>
      </x:c>
    </x:row>
    <x:row r="26" ht="24" customHeight="1">
      <x:c r="A26" s="2" t="str">
        <x:v>2026-10-05_Day</x:v>
      </x:c>
      <x:c r="B26" s="6" t="str">
        <x:v>デイ</x:v>
      </x:c>
      <x:c r="C26" s="6" t="n">
        <x:v>60500</x:v>
      </x:c>
      <x:c r="D26" s="6" t="n">
        <x:v>97500</x:v>
      </x:c>
      <x:c r="E26" s="6" t="n">
        <x:f>C26-D26</x:f>
        <x:v>-37000</x:v>
      </x:c>
      <x:c r="F26" s="6" t="n">
        <x:f>F25+E26</x:f>
        <x:v>-934000</x:v>
      </x:c>
      <x:c r="G26" s="6" t="n">
        <x:v>60500</x:v>
      </x:c>
      <x:c r="H26" s="6" t="n">
        <x:v>97500</x:v>
      </x:c>
      <x:c r="I26" s="6" t="n">
        <x:v>28</x:v>
      </x:c>
      <x:c r="J26" s="6" t="n">
        <x:v>0</x:v>
      </x:c>
      <x:c r="K26" s="6" t="n">
        <x:v>0</x:v>
      </x:c>
      <x:c r="L26" s="6" t="n">
        <x:v>10</x:v>
      </x:c>
      <x:c r="M26" s="11" t="n">
        <x:v>0.6517460317460317</x:v>
      </x:c>
      <x:c r="N26" s="6" t="n">
        <x:v>82000</x:v>
      </x:c>
    </x:row>
    <x:row r="27" ht="24" customHeight="1">
      <x:c r="A27" s="2" t="str">
        <x:v>2026-10-05_Night</x:v>
      </x:c>
      <x:c r="B27" s="6" t="str">
        <x:v>ナイト</x:v>
      </x:c>
      <x:c r="C27" s="6" t="n">
        <x:v>51000</x:v>
      </x:c>
      <x:c r="D27" s="6" t="n">
        <x:v>98500</x:v>
      </x:c>
      <x:c r="E27" s="6" t="n">
        <x:f>C27-D27</x:f>
        <x:v>-47500</x:v>
      </x:c>
      <x:c r="F27" s="6" t="n">
        <x:f>F26+E27</x:f>
        <x:v>-981500</x:v>
      </x:c>
      <x:c r="G27" s="6" t="n">
        <x:v>51000</x:v>
      </x:c>
      <x:c r="H27" s="6" t="n">
        <x:v>98500</x:v>
      </x:c>
      <x:c r="I27" s="6" t="n">
        <x:v>23</x:v>
      </x:c>
      <x:c r="J27" s="6" t="n">
        <x:v>0</x:v>
      </x:c>
      <x:c r="K27" s="6" t="n">
        <x:v>0</x:v>
      </x:c>
      <x:c r="L27" s="6" t="n">
        <x:v>7</x:v>
      </x:c>
      <x:c r="M27" s="11" t="n">
        <x:v>0.7768803418803418</x:v>
      </x:c>
      <x:c r="N27" s="6" t="n">
        <x:v>78000</x:v>
      </x:c>
    </x:row>
    <x:row r="28" ht="24" customHeight="1">
      <x:c r="A28" s="2" t="str">
        <x:v>2026-10-06_Day</x:v>
      </x:c>
      <x:c r="B28" s="6" t="str">
        <x:v>デイ</x:v>
      </x:c>
      <x:c r="C28" s="6" t="n">
        <x:v>38000</x:v>
      </x:c>
      <x:c r="D28" s="6" t="n">
        <x:v>81000</x:v>
      </x:c>
      <x:c r="E28" s="6" t="n">
        <x:f>C28-D28</x:f>
        <x:v>-43000</x:v>
      </x:c>
      <x:c r="F28" s="6" t="n">
        <x:f>F27+E28</x:f>
        <x:v>-1024500</x:v>
      </x:c>
      <x:c r="G28" s="6" t="n">
        <x:v>38000</x:v>
      </x:c>
      <x:c r="H28" s="6" t="n">
        <x:v>81000</x:v>
      </x:c>
      <x:c r="I28" s="6" t="n">
        <x:v>17</x:v>
      </x:c>
      <x:c r="J28" s="6" t="n">
        <x:v>0</x:v>
      </x:c>
      <x:c r="K28" s="6" t="n">
        <x:v>0</x:v>
      </x:c>
      <x:c r="L28" s="6" t="n">
        <x:v>6</x:v>
      </x:c>
      <x:c r="M28" s="11" t="n">
        <x:v>0.6942063492063492</x:v>
      </x:c>
      <x:c r="N28" s="6" t="n">
        <x:v>89500</x:v>
      </x:c>
    </x:row>
    <x:row r="29" ht="24" customHeight="1">
      <x:c r="A29" s="2" t="str">
        <x:v>2026-10-06_Night</x:v>
      </x:c>
      <x:c r="B29" s="6" t="str">
        <x:v>ナイト</x:v>
      </x:c>
      <x:c r="C29" s="6" t="n">
        <x:v>48500</x:v>
      </x:c>
      <x:c r="D29" s="6" t="n">
        <x:v>110500</x:v>
      </x:c>
      <x:c r="E29" s="6" t="n">
        <x:f>C29-D29</x:f>
        <x:v>-62000</x:v>
      </x:c>
      <x:c r="F29" s="6" t="n">
        <x:f>F28+E29</x:f>
        <x:v>-1086500</x:v>
      </x:c>
      <x:c r="G29" s="6" t="n">
        <x:v>48500</x:v>
      </x:c>
      <x:c r="H29" s="6" t="n">
        <x:v>110500</x:v>
      </x:c>
      <x:c r="I29" s="6" t="n">
        <x:v>18</x:v>
      </x:c>
      <x:c r="J29" s="6" t="n">
        <x:v>0</x:v>
      </x:c>
      <x:c r="K29" s="6" t="n">
        <x:v>0</x:v>
      </x:c>
      <x:c r="L29" s="6" t="n">
        <x:v>6</x:v>
      </x:c>
      <x:c r="M29" s="11" t="n">
        <x:v>0.8097863247863248</x:v>
      </x:c>
      <x:c r="N29" s="6" t="n">
        <x:v>112000</x:v>
      </x:c>
    </x:row>
    <x:row r="30" ht="24" customHeight="1">
      <x:c r="A30" s="2" t="str">
        <x:v>2026-10-07_Day</x:v>
      </x:c>
      <x:c r="B30" s="6" t="str">
        <x:v>デイ</x:v>
      </x:c>
      <x:c r="C30" s="6" t="n">
        <x:v>30500</x:v>
      </x:c>
      <x:c r="D30" s="6" t="n">
        <x:v>48000</x:v>
      </x:c>
      <x:c r="E30" s="6" t="n">
        <x:f>C30-D30</x:f>
        <x:v>-17500</x:v>
      </x:c>
      <x:c r="F30" s="6" t="n">
        <x:f>F29+E30</x:f>
        <x:v>-1104000</x:v>
      </x:c>
      <x:c r="G30" s="6" t="n">
        <x:v>30500</x:v>
      </x:c>
      <x:c r="H30" s="6" t="n">
        <x:v>48000</x:v>
      </x:c>
      <x:c r="I30" s="6" t="n">
        <x:v>14</x:v>
      </x:c>
      <x:c r="J30" s="6" t="n">
        <x:v>0</x:v>
      </x:c>
      <x:c r="K30" s="6" t="n">
        <x:v>0</x:v>
      </x:c>
      <x:c r="L30" s="6" t="n">
        <x:v>5</x:v>
      </x:c>
      <x:c r="M30" s="11" t="n">
        <x:v>0.7078571428571429</x:v>
      </x:c>
      <x:c r="N30" s="6" t="n">
        <x:v>37500</x:v>
      </x:c>
    </x:row>
    <x:row r="31" ht="24" customHeight="1">
      <x:c r="A31" s="2" t="str">
        <x:v>2026-10-07_Night</x:v>
      </x:c>
      <x:c r="B31" s="6" t="str">
        <x:v>ナイト</x:v>
      </x:c>
      <x:c r="C31" s="6" t="n">
        <x:v>36500</x:v>
      </x:c>
      <x:c r="D31" s="6" t="n">
        <x:v>61000</x:v>
      </x:c>
      <x:c r="E31" s="6" t="n">
        <x:f>C31-D31</x:f>
        <x:v>-24500</x:v>
      </x:c>
      <x:c r="F31" s="6" t="n">
        <x:f>F30+E31</x:f>
        <x:v>-1128500</x:v>
      </x:c>
      <x:c r="G31" s="6" t="n">
        <x:v>36500</x:v>
      </x:c>
      <x:c r="H31" s="6" t="n">
        <x:v>61000</x:v>
      </x:c>
      <x:c r="I31" s="6" t="n">
        <x:v>29</x:v>
      </x:c>
      <x:c r="J31" s="6" t="n">
        <x:v>0</x:v>
      </x:c>
      <x:c r="K31" s="6" t="n">
        <x:v>0</x:v>
      </x:c>
      <x:c r="L31" s="6" t="n">
        <x:v>4</x:v>
      </x:c>
      <x:c r="M31" s="11" t="n">
        <x:v>0.743525641025641</x:v>
      </x:c>
      <x:c r="N31" s="6" t="n">
        <x:v>37000</x:v>
      </x:c>
    </x:row>
    <x:row r="32" ht="24" customHeight="1">
      <x:c r="A32" s="2" t="str">
        <x:v>2026-10-08_Day</x:v>
      </x:c>
      <x:c r="B32" s="6" t="str">
        <x:v>デイ</x:v>
      </x:c>
      <x:c r="C32" s="6" t="n">
        <x:v>93500</x:v>
      </x:c>
      <x:c r="D32" s="6" t="n">
        <x:v>73500</x:v>
      </x:c>
      <x:c r="E32" s="6" t="n">
        <x:f>C32-D32</x:f>
        <x:v>20000</x:v>
      </x:c>
      <x:c r="F32" s="6" t="n">
        <x:f>F31+E32</x:f>
        <x:v>-1108500</x:v>
      </x:c>
      <x:c r="G32" s="6" t="n">
        <x:v>93500</x:v>
      </x:c>
      <x:c r="H32" s="6" t="n">
        <x:v>73500</x:v>
      </x:c>
      <x:c r="I32" s="6" t="n">
        <x:v>24</x:v>
      </x:c>
      <x:c r="J32" s="6" t="n">
        <x:v>0</x:v>
      </x:c>
      <x:c r="K32" s="6" t="n">
        <x:v>0</x:v>
      </x:c>
      <x:c r="L32" s="6" t="n">
        <x:v>6</x:v>
      </x:c>
      <x:c r="M32" s="11" t="n">
        <x:v>0.5457539682539683</x:v>
      </x:c>
      <x:c r="N32" s="6" t="n">
        <x:v>49500</x:v>
      </x:c>
    </x:row>
    <x:row r="33" ht="24" customHeight="1">
      <x:c r="A33" s="2" t="str">
        <x:v>2026-10-08_Night</x:v>
      </x:c>
      <x:c r="B33" s="6" t="str">
        <x:v>ナイト</x:v>
      </x:c>
      <x:c r="C33" s="6" t="n">
        <x:v>89500</x:v>
      </x:c>
      <x:c r="D33" s="6" t="n">
        <x:v>152000</x:v>
      </x:c>
      <x:c r="E33" s="6" t="n">
        <x:f>C33-D33</x:f>
        <x:v>-62500</x:v>
      </x:c>
      <x:c r="F33" s="6" t="n">
        <x:f>F32+E33</x:f>
        <x:v>-1171000</x:v>
      </x:c>
      <x:c r="G33" s="6" t="n">
        <x:v>89500</x:v>
      </x:c>
      <x:c r="H33" s="6" t="n">
        <x:v>152000</x:v>
      </x:c>
      <x:c r="I33" s="6" t="n">
        <x:v>34</x:v>
      </x:c>
      <x:c r="J33" s="6" t="n">
        <x:v>0</x:v>
      </x:c>
      <x:c r="K33" s="6" t="n">
        <x:v>0</x:v>
      </x:c>
      <x:c r="L33" s="6" t="n">
        <x:v>10</x:v>
      </x:c>
      <x:c r="M33" s="11" t="n">
        <x:v>0.6821581196581197</x:v>
      </x:c>
      <x:c r="N33" s="6" t="n">
        <x:v>98500</x:v>
      </x:c>
    </x:row>
    <x:row r="34" ht="24" customHeight="1">
      <x:c r="A34" s="2" t="str">
        <x:v>2026-10-09_Day</x:v>
      </x:c>
      <x:c r="B34" s="6" t="str">
        <x:v>デイ</x:v>
      </x:c>
      <x:c r="C34" s="6" t="n">
        <x:v>40500</x:v>
      </x:c>
      <x:c r="D34" s="6" t="n">
        <x:v>85000</x:v>
      </x:c>
      <x:c r="E34" s="6" t="n">
        <x:f>C34-D34</x:f>
        <x:v>-44500</x:v>
      </x:c>
      <x:c r="F34" s="6" t="n">
        <x:f>F33+E34</x:f>
        <x:v>-1215500</x:v>
      </x:c>
      <x:c r="G34" s="6" t="n">
        <x:v>40500</x:v>
      </x:c>
      <x:c r="H34" s="6" t="n">
        <x:v>85000</x:v>
      </x:c>
      <x:c r="I34" s="6" t="n">
        <x:v>25</x:v>
      </x:c>
      <x:c r="J34" s="6" t="n">
        <x:v>0</x:v>
      </x:c>
      <x:c r="K34" s="6" t="n">
        <x:v>0</x:v>
      </x:c>
      <x:c r="L34" s="6" t="n">
        <x:v>5</x:v>
      </x:c>
      <x:c r="M34" s="11" t="n">
        <x:v>0.6702777777777778</x:v>
      </x:c>
      <x:c r="N34" s="6" t="n">
        <x:v>56000</x:v>
      </x:c>
    </x:row>
    <x:row r="35" ht="24" customHeight="1">
      <x:c r="A35" s="2" t="str">
        <x:v>2026-10-09_Night</x:v>
      </x:c>
      <x:c r="B35" s="6" t="str">
        <x:v>ナイト</x:v>
      </x:c>
      <x:c r="C35" s="6" t="n">
        <x:v>25000</x:v>
      </x:c>
      <x:c r="D35" s="6" t="n">
        <x:v>47000</x:v>
      </x:c>
      <x:c r="E35" s="6" t="n">
        <x:f>C35-D35</x:f>
        <x:v>-22000</x:v>
      </x:c>
      <x:c r="F35" s="6" t="n">
        <x:f>F34+E35</x:f>
        <x:v>-1237500</x:v>
      </x:c>
      <x:c r="G35" s="6" t="n">
        <x:v>25000</x:v>
      </x:c>
      <x:c r="H35" s="6" t="n">
        <x:v>47000</x:v>
      </x:c>
      <x:c r="I35" s="6" t="n">
        <x:v>23</x:v>
      </x:c>
      <x:c r="J35" s="6" t="n">
        <x:v>0</x:v>
      </x:c>
      <x:c r="K35" s="6" t="n">
        <x:v>0</x:v>
      </x:c>
      <x:c r="L35" s="6" t="n">
        <x:v>4</x:v>
      </x:c>
      <x:c r="M35" s="11" t="n">
        <x:v>0.752991452991453</x:v>
      </x:c>
      <x:c r="N35" s="6" t="n">
        <x:v>44000</x:v>
      </x:c>
    </x:row>
    <x:row r="36" ht="24" customHeight="1">
      <x:c r="A36" s="2" t="str">
        <x:v>2026-10-12_Day</x:v>
      </x:c>
      <x:c r="B36" s="6" t="str">
        <x:v>デイ</x:v>
      </x:c>
      <x:c r="C36" s="6" t="n">
        <x:v>11500</x:v>
      </x:c>
      <x:c r="D36" s="6" t="n">
        <x:v>40500</x:v>
      </x:c>
      <x:c r="E36" s="6" t="n">
        <x:f>C36-D36</x:f>
        <x:v>-29000</x:v>
      </x:c>
      <x:c r="F36" s="6" t="n">
        <x:f>F35+E36</x:f>
        <x:v>-1266500</x:v>
      </x:c>
      <x:c r="G36" s="6" t="n">
        <x:v>11500</x:v>
      </x:c>
      <x:c r="H36" s="6" t="n">
        <x:v>40500</x:v>
      </x:c>
      <x:c r="I36" s="6" t="n">
        <x:v>10</x:v>
      </x:c>
      <x:c r="J36" s="6" t="n">
        <x:v>0</x:v>
      </x:c>
      <x:c r="K36" s="6" t="n">
        <x:v>0</x:v>
      </x:c>
      <x:c r="L36" s="6" t="n">
        <x:v>2</x:v>
      </x:c>
      <x:c r="M36" s="11" t="n">
        <x:v>0.8124206349206349</x:v>
      </x:c>
      <x:c r="N36" s="6" t="n">
        <x:v>42500</x:v>
      </x:c>
    </x:row>
    <x:row r="37" ht="24" customHeight="1">
      <x:c r="A37" s="2" t="str">
        <x:v>2026-10-12_Night</x:v>
      </x:c>
      <x:c r="B37" s="6" t="str">
        <x:v>ナイト</x:v>
      </x:c>
      <x:c r="C37" s="6" t="n">
        <x:v>25500</x:v>
      </x:c>
      <x:c r="D37" s="6" t="n">
        <x:v>75500</x:v>
      </x:c>
      <x:c r="E37" s="6" t="n">
        <x:f>C37-D37</x:f>
        <x:v>-50000</x:v>
      </x:c>
      <x:c r="F37" s="6" t="n">
        <x:f>F36+E37</x:f>
        <x:v>-1316500</x:v>
      </x:c>
      <x:c r="G37" s="6" t="n">
        <x:v>25500</x:v>
      </x:c>
      <x:c r="H37" s="6" t="n">
        <x:v>75500</x:v>
      </x:c>
      <x:c r="I37" s="6" t="n">
        <x:v>20</x:v>
      </x:c>
      <x:c r="J37" s="6" t="n">
        <x:v>0</x:v>
      </x:c>
      <x:c r="K37" s="6" t="n">
        <x:v>0</x:v>
      </x:c>
      <x:c r="L37" s="6" t="n">
        <x:v>4</x:v>
      </x:c>
      <x:c r="M37" s="11" t="n">
        <x:v>0.7661965811965812</x:v>
      </x:c>
      <x:c r="N37" s="6" t="n">
        <x:v>70000</x:v>
      </x:c>
    </x:row>
    <x:row r="38" ht="24" customHeight="1">
      <x:c r="A38" s="2" t="str">
        <x:v>2026-10-13_Day</x:v>
      </x:c>
      <x:c r="B38" s="6" t="str">
        <x:v>デイ</x:v>
      </x:c>
      <x:c r="C38" s="6" t="n">
        <x:v>32000</x:v>
      </x:c>
      <x:c r="D38" s="6" t="n">
        <x:v>70000</x:v>
      </x:c>
      <x:c r="E38" s="6" t="n">
        <x:f>C38-D38</x:f>
        <x:v>-38000</x:v>
      </x:c>
      <x:c r="F38" s="6" t="n">
        <x:f>F37+E38</x:f>
        <x:v>-1354500</x:v>
      </x:c>
      <x:c r="G38" s="6" t="n">
        <x:v>32000</x:v>
      </x:c>
      <x:c r="H38" s="6" t="n">
        <x:v>70000</x:v>
      </x:c>
      <x:c r="I38" s="6" t="n">
        <x:v>26</x:v>
      </x:c>
      <x:c r="J38" s="6" t="n">
        <x:v>0</x:v>
      </x:c>
      <x:c r="K38" s="6" t="n">
        <x:v>0</x:v>
      </x:c>
      <x:c r="L38" s="6" t="n">
        <x:v>4</x:v>
      </x:c>
      <x:c r="M38" s="11" t="n">
        <x:v>0.6078571428571429</x:v>
      </x:c>
      <x:c r="N38" s="6" t="n">
        <x:v>65000</x:v>
      </x:c>
    </x:row>
    <x:row r="39" ht="24" customHeight="1">
      <x:c r="A39" s="2" t="str">
        <x:v>2026-10-13_Night</x:v>
      </x:c>
      <x:c r="B39" s="6" t="str">
        <x:v>ナイト</x:v>
      </x:c>
      <x:c r="C39" s="6" t="n">
        <x:v>39000</x:v>
      </x:c>
      <x:c r="D39" s="6" t="n">
        <x:v>32000</x:v>
      </x:c>
      <x:c r="E39" s="6" t="n">
        <x:f>C39-D39</x:f>
        <x:v>7000</x:v>
      </x:c>
      <x:c r="F39" s="6" t="n">
        <x:f>F38+E39</x:f>
        <x:v>-1347500</x:v>
      </x:c>
      <x:c r="G39" s="6" t="n">
        <x:v>39000</x:v>
      </x:c>
      <x:c r="H39" s="6" t="n">
        <x:v>32000</x:v>
      </x:c>
      <x:c r="I39" s="6" t="n">
        <x:v>16</x:v>
      </x:c>
      <x:c r="J39" s="6" t="n">
        <x:v>0</x:v>
      </x:c>
      <x:c r="K39" s="6" t="n">
        <x:v>0</x:v>
      </x:c>
      <x:c r="L39" s="6" t="n">
        <x:v>4</x:v>
      </x:c>
      <x:c r="M39" s="11" t="n">
        <x:v>0.7684615384615384</x:v>
      </x:c>
      <x:c r="N39" s="6" t="n">
        <x:v>33000</x:v>
      </x:c>
    </x:row>
    <x:row r="40" ht="24" customHeight="1">
      <x:c r="A40" s="2" t="str">
        <x:v>2026-10-14_Day</x:v>
      </x:c>
      <x:c r="B40" s="6" t="str">
        <x:v>デイ</x:v>
      </x:c>
      <x:c r="C40" s="6" t="n">
        <x:v>26500</x:v>
      </x:c>
      <x:c r="D40" s="6" t="n">
        <x:v>85500</x:v>
      </x:c>
      <x:c r="E40" s="6" t="n">
        <x:f>C40-D40</x:f>
        <x:v>-59000</x:v>
      </x:c>
      <x:c r="F40" s="6" t="n">
        <x:f>F39+E40</x:f>
        <x:v>-1406500</x:v>
      </x:c>
      <x:c r="G40" s="6" t="n">
        <x:v>26500</x:v>
      </x:c>
      <x:c r="H40" s="6" t="n">
        <x:v>85500</x:v>
      </x:c>
      <x:c r="I40" s="6" t="n">
        <x:v>23</x:v>
      </x:c>
      <x:c r="J40" s="6" t="n">
        <x:v>0</x:v>
      </x:c>
      <x:c r="K40" s="6" t="n">
        <x:v>0</x:v>
      </x:c>
      <x:c r="L40" s="6" t="n">
        <x:v>4</x:v>
      </x:c>
      <x:c r="M40" s="11" t="n">
        <x:v>0.7473809523809524</x:v>
      </x:c>
      <x:c r="N40" s="6" t="n">
        <x:v>66500</x:v>
      </x:c>
    </x:row>
    <x:row r="41" ht="24" customHeight="1">
      <x:c r="A41" s="2" t="str">
        <x:v>2026-10-14_Night</x:v>
      </x:c>
      <x:c r="B41" s="6" t="str">
        <x:v>ナイト</x:v>
      </x:c>
      <x:c r="C41" s="6" t="n">
        <x:v>66500</x:v>
      </x:c>
      <x:c r="D41" s="6" t="n">
        <x:v>115500</x:v>
      </x:c>
      <x:c r="E41" s="6" t="n">
        <x:f>C41-D41</x:f>
        <x:v>-49000</x:v>
      </x:c>
      <x:c r="F41" s="6" t="n">
        <x:f>F40+E41</x:f>
        <x:v>-1455500</x:v>
      </x:c>
      <x:c r="G41" s="6" t="n">
        <x:v>66500</x:v>
      </x:c>
      <x:c r="H41" s="6" t="n">
        <x:v>115500</x:v>
      </x:c>
      <x:c r="I41" s="6" t="n">
        <x:v>34</x:v>
      </x:c>
      <x:c r="J41" s="6" t="n">
        <x:v>0</x:v>
      </x:c>
      <x:c r="K41" s="6" t="n">
        <x:v>0</x:v>
      </x:c>
      <x:c r="L41" s="6" t="n">
        <x:v>5</x:v>
      </x:c>
      <x:c r="M41" s="11" t="n">
        <x:v>0.5927991452991453</x:v>
      </x:c>
      <x:c r="N41" s="6" t="n">
        <x:v>76500</x:v>
      </x:c>
    </x:row>
    <x:row r="42" ht="24" customHeight="1">
      <x:c r="A42" s="2" t="str">
        <x:v>2026-10-15_Day</x:v>
      </x:c>
      <x:c r="B42" s="6" t="str">
        <x:v>デイ</x:v>
      </x:c>
      <x:c r="C42" s="6" t="n">
        <x:v>50500</x:v>
      </x:c>
      <x:c r="D42" s="6" t="n">
        <x:v>113000</x:v>
      </x:c>
      <x:c r="E42" s="6" t="n">
        <x:f>C42-D42</x:f>
        <x:v>-62500</x:v>
      </x:c>
      <x:c r="F42" s="6" t="n">
        <x:f>F41+E42</x:f>
        <x:v>-1518000</x:v>
      </x:c>
      <x:c r="G42" s="6" t="n">
        <x:v>50500</x:v>
      </x:c>
      <x:c r="H42" s="6" t="n">
        <x:v>113000</x:v>
      </x:c>
      <x:c r="I42" s="6" t="n">
        <x:v>32</x:v>
      </x:c>
      <x:c r="J42" s="6" t="n">
        <x:v>0</x:v>
      </x:c>
      <x:c r="K42" s="6" t="n">
        <x:v>0</x:v>
      </x:c>
      <x:c r="L42" s="6" t="n">
        <x:v>7</x:v>
      </x:c>
      <x:c r="M42" s="11" t="n">
        <x:v>0.3276984126984127</x:v>
      </x:c>
      <x:c r="N42" s="6" t="n">
        <x:v>73000</x:v>
      </x:c>
    </x:row>
    <x:row r="43" ht="24" customHeight="1">
      <x:c r="A43" s="2" t="str">
        <x:v>2026-10-15_Night</x:v>
      </x:c>
      <x:c r="B43" s="6" t="str">
        <x:v>ナイト</x:v>
      </x:c>
      <x:c r="C43" s="6" t="n">
        <x:v>88500</x:v>
      </x:c>
      <x:c r="D43" s="6" t="n">
        <x:v>133000</x:v>
      </x:c>
      <x:c r="E43" s="6" t="n">
        <x:f>C43-D43</x:f>
        <x:v>-44500</x:v>
      </x:c>
      <x:c r="F43" s="6" t="n">
        <x:f>F42+E43</x:f>
        <x:v>-1562500</x:v>
      </x:c>
      <x:c r="G43" s="6" t="n">
        <x:v>88500</x:v>
      </x:c>
      <x:c r="H43" s="6" t="n">
        <x:v>133000</x:v>
      </x:c>
      <x:c r="I43" s="6" t="n">
        <x:v>34</x:v>
      </x:c>
      <x:c r="J43" s="6" t="n">
        <x:v>0</x:v>
      </x:c>
      <x:c r="K43" s="6" t="n">
        <x:v>0</x:v>
      </x:c>
      <x:c r="L43" s="6" t="n">
        <x:v>7</x:v>
      </x:c>
      <x:c r="M43" s="11" t="n">
        <x:v>0.574957264957265</x:v>
      </x:c>
      <x:c r="N43" s="6" t="n">
        <x:v>70000</x:v>
      </x:c>
    </x:row>
    <x:row r="44" ht="24" customHeight="1">
      <x:c r="A44" s="2" t="str">
        <x:v>2026-10-16_Day</x:v>
      </x:c>
      <x:c r="B44" s="6" t="str">
        <x:v>デイ</x:v>
      </x:c>
      <x:c r="C44" s="6" t="n">
        <x:v>54000</x:v>
      </x:c>
      <x:c r="D44" s="6" t="n">
        <x:v>116000</x:v>
      </x:c>
      <x:c r="E44" s="6" t="n">
        <x:f>C44-D44</x:f>
        <x:v>-62000</x:v>
      </x:c>
      <x:c r="F44" s="6" t="n">
        <x:f>F43+E44</x:f>
        <x:v>-1624500</x:v>
      </x:c>
      <x:c r="G44" s="6" t="n">
        <x:v>54000</x:v>
      </x:c>
      <x:c r="H44" s="6" t="n">
        <x:v>116000</x:v>
      </x:c>
      <x:c r="I44" s="6" t="n">
        <x:v>24</x:v>
      </x:c>
      <x:c r="J44" s="6" t="n">
        <x:v>0</x:v>
      </x:c>
      <x:c r="K44" s="6" t="n">
        <x:v>0</x:v>
      </x:c>
      <x:c r="L44" s="6" t="n">
        <x:v>6</x:v>
      </x:c>
      <x:c r="M44" s="11" t="n">
        <x:v>0.5937698412698412</x:v>
      </x:c>
      <x:c r="N44" s="6" t="n">
        <x:v>97500</x:v>
      </x:c>
    </x:row>
    <x:row r="45" ht="24" customHeight="1">
      <x:c r="A45" s="2" t="str">
        <x:v>2026-10-16_Night</x:v>
      </x:c>
      <x:c r="B45" s="6" t="str">
        <x:v>ナイト</x:v>
      </x:c>
      <x:c r="C45" s="6" t="n">
        <x:v>106500</x:v>
      </x:c>
      <x:c r="D45" s="6" t="n">
        <x:v>173000</x:v>
      </x:c>
      <x:c r="E45" s="6" t="n">
        <x:f>C45-D45</x:f>
        <x:v>-66500</x:v>
      </x:c>
      <x:c r="F45" s="6" t="n">
        <x:f>F44+E45</x:f>
        <x:v>-1691000</x:v>
      </x:c>
      <x:c r="G45" s="6" t="n">
        <x:v>106500</x:v>
      </x:c>
      <x:c r="H45" s="6" t="n">
        <x:v>173000</x:v>
      </x:c>
      <x:c r="I45" s="6" t="n">
        <x:v>47</x:v>
      </x:c>
      <x:c r="J45" s="6" t="n">
        <x:v>0</x:v>
      </x:c>
      <x:c r="K45" s="6" t="n">
        <x:v>0</x:v>
      </x:c>
      <x:c r="L45" s="6" t="n">
        <x:v>5</x:v>
      </x:c>
      <x:c r="M45" s="11" t="n">
        <x:v>0.6092521367521367</x:v>
      </x:c>
      <x:c r="N45" s="6" t="n">
        <x:v>94000</x:v>
      </x:c>
    </x:row>
    <x:row r="46" ht="24" customHeight="1">
      <x:c r="A46" s="2" t="str">
        <x:v>2026-10-19_Day</x:v>
      </x:c>
      <x:c r="B46" s="6" t="str">
        <x:v>デイ</x:v>
      </x:c>
      <x:c r="C46" s="6" t="n">
        <x:v>24000</x:v>
      </x:c>
      <x:c r="D46" s="6" t="n">
        <x:v>64500</x:v>
      </x:c>
      <x:c r="E46" s="6" t="n">
        <x:f>C46-D46</x:f>
        <x:v>-40500</x:v>
      </x:c>
      <x:c r="F46" s="6" t="n">
        <x:f>F45+E46</x:f>
        <x:v>-1731500</x:v>
      </x:c>
      <x:c r="G46" s="6" t="n">
        <x:v>24000</x:v>
      </x:c>
      <x:c r="H46" s="6" t="n">
        <x:v>64500</x:v>
      </x:c>
      <x:c r="I46" s="6" t="n">
        <x:v>23</x:v>
      </x:c>
      <x:c r="J46" s="6" t="n">
        <x:v>0</x:v>
      </x:c>
      <x:c r="K46" s="6" t="n">
        <x:v>0</x:v>
      </x:c>
      <x:c r="L46" s="6" t="n">
        <x:v>3</x:v>
      </x:c>
      <x:c r="M46" s="11" t="n">
        <x:v>0.5898412698412698</x:v>
      </x:c>
      <x:c r="N46" s="6" t="n">
        <x:v>50000</x:v>
      </x:c>
    </x:row>
    <x:row r="47" ht="24" customHeight="1">
      <x:c r="A47" s="2" t="str">
        <x:v>2026-10-19_Night</x:v>
      </x:c>
      <x:c r="B47" s="6" t="str">
        <x:v>ナイト</x:v>
      </x:c>
      <x:c r="C47" s="6" t="n">
        <x:v>51500</x:v>
      </x:c>
      <x:c r="D47" s="6" t="n">
        <x:v>102500</x:v>
      </x:c>
      <x:c r="E47" s="6" t="n">
        <x:f>C47-D47</x:f>
        <x:v>-51000</x:v>
      </x:c>
      <x:c r="F47" s="6" t="n">
        <x:f>F46+E47</x:f>
        <x:v>-1782500</x:v>
      </x:c>
      <x:c r="G47" s="6" t="n">
        <x:v>51500</x:v>
      </x:c>
      <x:c r="H47" s="6" t="n">
        <x:v>102500</x:v>
      </x:c>
      <x:c r="I47" s="6" t="n">
        <x:v>35</x:v>
      </x:c>
      <x:c r="J47" s="6" t="n">
        <x:v>0</x:v>
      </x:c>
      <x:c r="K47" s="6" t="n">
        <x:v>0</x:v>
      </x:c>
      <x:c r="L47" s="6" t="n">
        <x:v>4</x:v>
      </x:c>
      <x:c r="M47" s="11" t="n">
        <x:v>0.6598717948717949</x:v>
      </x:c>
      <x:c r="N47" s="6" t="n">
        <x:v>62500</x:v>
      </x:c>
    </x:row>
    <x:row r="48" ht="24" customHeight="1">
      <x:c r="A48" s="2" t="str">
        <x:v>2026-10-20_Day</x:v>
      </x:c>
      <x:c r="B48" s="6" t="str">
        <x:v>デイ</x:v>
      </x:c>
      <x:c r="C48" s="6" t="n">
        <x:v>63000</x:v>
      </x:c>
      <x:c r="D48" s="6" t="n">
        <x:v>25000</x:v>
      </x:c>
      <x:c r="E48" s="6" t="n">
        <x:f>C48-D48</x:f>
        <x:v>38000</x:v>
      </x:c>
      <x:c r="F48" s="6" t="n">
        <x:f>F47+E48</x:f>
        <x:v>-1744500</x:v>
      </x:c>
      <x:c r="G48" s="6" t="n">
        <x:v>63000</x:v>
      </x:c>
      <x:c r="H48" s="6" t="n">
        <x:v>25000</x:v>
      </x:c>
      <x:c r="I48" s="6" t="n">
        <x:v>29</x:v>
      </x:c>
      <x:c r="J48" s="6" t="n">
        <x:v>0</x:v>
      </x:c>
      <x:c r="K48" s="6" t="n">
        <x:v>0</x:v>
      </x:c>
      <x:c r="L48" s="6" t="n">
        <x:v>4</x:v>
      </x:c>
      <x:c r="M48" s="11" t="n">
        <x:v>0.39115079365079364</x:v>
      </x:c>
      <x:c r="N48" s="6" t="n">
        <x:v>16500</x:v>
      </x:c>
    </x:row>
    <x:row r="49" ht="24" customHeight="1">
      <x:c r="A49" s="2" t="str">
        <x:v>2026-10-20_Night</x:v>
      </x:c>
      <x:c r="B49" s="6" t="str">
        <x:v>ナイト</x:v>
      </x:c>
      <x:c r="C49" s="6" t="n">
        <x:v>55000</x:v>
      </x:c>
      <x:c r="D49" s="6" t="n">
        <x:v>128000</x:v>
      </x:c>
      <x:c r="E49" s="6" t="n">
        <x:f>C49-D49</x:f>
        <x:v>-73000</x:v>
      </x:c>
      <x:c r="F49" s="6" t="n">
        <x:f>F48+E49</x:f>
        <x:v>-1817500</x:v>
      </x:c>
      <x:c r="G49" s="6" t="n">
        <x:v>55000</x:v>
      </x:c>
      <x:c r="H49" s="6" t="n">
        <x:v>128000</x:v>
      </x:c>
      <x:c r="I49" s="6" t="n">
        <x:v>37</x:v>
      </x:c>
      <x:c r="J49" s="6" t="n">
        <x:v>0</x:v>
      </x:c>
      <x:c r="K49" s="6" t="n">
        <x:v>0</x:v>
      </x:c>
      <x:c r="L49" s="6" t="n">
        <x:v>5</x:v>
      </x:c>
      <x:c r="M49" s="11" t="n">
        <x:v>0.6118376068376068</x:v>
      </x:c>
      <x:c r="N49" s="6" t="n">
        <x:v>99500</x:v>
      </x:c>
    </x:row>
    <x:row r="50" ht="24" customHeight="1">
      <x:c r="A50" s="2" t="str">
        <x:v>2026-10-21_Day</x:v>
      </x:c>
      <x:c r="B50" s="6" t="str">
        <x:v>デイ</x:v>
      </x:c>
      <x:c r="C50" s="6" t="n">
        <x:v>51500</x:v>
      </x:c>
      <x:c r="D50" s="6" t="n">
        <x:v>36500</x:v>
      </x:c>
      <x:c r="E50" s="6" t="n">
        <x:f>C50-D50</x:f>
        <x:v>15000</x:v>
      </x:c>
      <x:c r="F50" s="6" t="n">
        <x:f>F49+E50</x:f>
        <x:v>-1802500</x:v>
      </x:c>
      <x:c r="G50" s="6" t="n">
        <x:v>51500</x:v>
      </x:c>
      <x:c r="H50" s="6" t="n">
        <x:v>36500</x:v>
      </x:c>
      <x:c r="I50" s="6" t="n">
        <x:v>21</x:v>
      </x:c>
      <x:c r="J50" s="6" t="n">
        <x:v>0</x:v>
      </x:c>
      <x:c r="K50" s="6" t="n">
        <x:v>0</x:v>
      </x:c>
      <x:c r="L50" s="6" t="n">
        <x:v>9</x:v>
      </x:c>
      <x:c r="M50" s="11" t="n">
        <x:v>0.5953174603174604</x:v>
      </x:c>
      <x:c r="N50" s="6" t="n">
        <x:v>45500</x:v>
      </x:c>
    </x:row>
    <x:row r="51" ht="24" customHeight="1">
      <x:c r="A51" s="2" t="str">
        <x:v>2026-10-21_Night</x:v>
      </x:c>
      <x:c r="B51" s="6" t="str">
        <x:v>ナイト</x:v>
      </x:c>
      <x:c r="C51" s="6" t="n">
        <x:v>63500</x:v>
      </x:c>
      <x:c r="D51" s="6" t="n">
        <x:v>64500</x:v>
      </x:c>
      <x:c r="E51" s="6" t="n">
        <x:f>C51-D51</x:f>
        <x:v>-1000</x:v>
      </x:c>
      <x:c r="F51" s="6" t="n">
        <x:f>F50+E51</x:f>
        <x:v>-1803500</x:v>
      </x:c>
      <x:c r="G51" s="6" t="n">
        <x:v>63500</x:v>
      </x:c>
      <x:c r="H51" s="6" t="n">
        <x:v>64500</x:v>
      </x:c>
      <x:c r="I51" s="6" t="n">
        <x:v>29</x:v>
      </x:c>
      <x:c r="J51" s="6" t="n">
        <x:v>0</x:v>
      </x:c>
      <x:c r="K51" s="6" t="n">
        <x:v>0</x:v>
      </x:c>
      <x:c r="L51" s="6" t="n">
        <x:v>4</x:v>
      </x:c>
      <x:c r="M51" s="11" t="n">
        <x:v>0.6659188034188034</x:v>
      </x:c>
      <x:c r="N51" s="6" t="n">
        <x:v>35000</x:v>
      </x:c>
    </x:row>
    <x:row r="52" ht="24" customHeight="1">
      <x:c r="A52" s="2" t="str">
        <x:v>2026-10-22_Day</x:v>
      </x:c>
      <x:c r="B52" s="6" t="str">
        <x:v>デイ</x:v>
      </x:c>
      <x:c r="C52" s="6" t="n">
        <x:v>74500</x:v>
      </x:c>
      <x:c r="D52" s="6" t="n">
        <x:v>55500</x:v>
      </x:c>
      <x:c r="E52" s="6" t="n">
        <x:f>C52-D52</x:f>
        <x:v>19000</x:v>
      </x:c>
      <x:c r="F52" s="6" t="n">
        <x:f>F51+E52</x:f>
        <x:v>-1784500</x:v>
      </x:c>
      <x:c r="G52" s="6" t="n">
        <x:v>74500</x:v>
      </x:c>
      <x:c r="H52" s="6" t="n">
        <x:v>55500</x:v>
      </x:c>
      <x:c r="I52" s="6" t="n">
        <x:v>27</x:v>
      </x:c>
      <x:c r="J52" s="6" t="n">
        <x:v>0</x:v>
      </x:c>
      <x:c r="K52" s="6" t="n">
        <x:v>0</x:v>
      </x:c>
      <x:c r="L52" s="6" t="n">
        <x:v>10</x:v>
      </x:c>
      <x:c r="M52" s="11" t="n">
        <x:v>0.39571428571428574</x:v>
      </x:c>
      <x:c r="N52" s="6" t="n">
        <x:v>43500</x:v>
      </x:c>
    </x:row>
    <x:row r="53" ht="24" customHeight="1">
      <x:c r="A53" s="2" t="str">
        <x:v>2026-10-22_Night</x:v>
      </x:c>
      <x:c r="B53" s="6" t="str">
        <x:v>ナイト</x:v>
      </x:c>
      <x:c r="C53" s="6" t="n">
        <x:v>102000</x:v>
      </x:c>
      <x:c r="D53" s="6" t="n">
        <x:v>132500</x:v>
      </x:c>
      <x:c r="E53" s="6" t="n">
        <x:f>C53-D53</x:f>
        <x:v>-30500</x:v>
      </x:c>
      <x:c r="F53" s="6" t="n">
        <x:f>F52+E53</x:f>
        <x:v>-1815000</x:v>
      </x:c>
      <x:c r="G53" s="6" t="n">
        <x:v>102000</x:v>
      </x:c>
      <x:c r="H53" s="6" t="n">
        <x:v>132500</x:v>
      </x:c>
      <x:c r="I53" s="6" t="n">
        <x:v>44</x:v>
      </x:c>
      <x:c r="J53" s="6" t="n">
        <x:v>0</x:v>
      </x:c>
      <x:c r="K53" s="6" t="n">
        <x:v>0</x:v>
      </x:c>
      <x:c r="L53" s="6" t="n">
        <x:v>4</x:v>
      </x:c>
      <x:c r="M53" s="11" t="n">
        <x:v>0.593974358974359</x:v>
      </x:c>
      <x:c r="N53" s="6" t="n">
        <x:v>70500</x:v>
      </x:c>
    </x:row>
    <x:row r="54" ht="24" customHeight="1">
      <x:c r="A54" s="2" t="str">
        <x:v>2026-10-23_Day</x:v>
      </x:c>
      <x:c r="B54" s="6" t="str">
        <x:v>デイ</x:v>
      </x:c>
      <x:c r="C54" s="6" t="n">
        <x:v>45500</x:v>
      </x:c>
      <x:c r="D54" s="6" t="n">
        <x:v>108000</x:v>
      </x:c>
      <x:c r="E54" s="6" t="n">
        <x:f>C54-D54</x:f>
        <x:v>-62500</x:v>
      </x:c>
      <x:c r="F54" s="6" t="n">
        <x:f>F53+E54</x:f>
        <x:v>-1877500</x:v>
      </x:c>
      <x:c r="G54" s="6" t="n">
        <x:v>45500</x:v>
      </x:c>
      <x:c r="H54" s="6" t="n">
        <x:v>108000</x:v>
      </x:c>
      <x:c r="I54" s="6" t="n">
        <x:v>31</x:v>
      </x:c>
      <x:c r="J54" s="6" t="n">
        <x:v>0</x:v>
      </x:c>
      <x:c r="K54" s="6" t="n">
        <x:v>0</x:v>
      </x:c>
      <x:c r="L54" s="6" t="n">
        <x:v>6</x:v>
      </x:c>
      <x:c r="M54" s="11" t="n">
        <x:v>0.33464285714285713</x:v>
      </x:c>
      <x:c r="N54" s="6" t="n">
        <x:v>83500</x:v>
      </x:c>
    </x:row>
    <x:row r="55" ht="24" customHeight="1">
      <x:c r="A55" s="2" t="str">
        <x:v>2026-10-23_Night</x:v>
      </x:c>
      <x:c r="B55" s="6" t="str">
        <x:v>ナイト</x:v>
      </x:c>
      <x:c r="C55" s="6" t="n">
        <x:v>55000</x:v>
      </x:c>
      <x:c r="D55" s="6" t="n">
        <x:v>80000</x:v>
      </x:c>
      <x:c r="E55" s="6" t="n">
        <x:f>C55-D55</x:f>
        <x:v>-25000</x:v>
      </x:c>
      <x:c r="F55" s="6" t="n">
        <x:f>F54+E55</x:f>
        <x:v>-1902500</x:v>
      </x:c>
      <x:c r="G55" s="6" t="n">
        <x:v>55000</x:v>
      </x:c>
      <x:c r="H55" s="6" t="n">
        <x:v>80000</x:v>
      </x:c>
      <x:c r="I55" s="6" t="n">
        <x:v>33</x:v>
      </x:c>
      <x:c r="J55" s="6" t="n">
        <x:v>0</x:v>
      </x:c>
      <x:c r="K55" s="6" t="n">
        <x:v>0</x:v>
      </x:c>
      <x:c r="L55" s="6" t="n">
        <x:v>4</x:v>
      </x:c>
      <x:c r="M55" s="11" t="n">
        <x:v>0.6042948717948718</x:v>
      </x:c>
      <x:c r="N55" s="6" t="n">
        <x:v>45500</x:v>
      </x:c>
    </x:row>
    <x:row r="56" ht="24" customHeight="1">
      <x:c r="A56" s="2" t="str">
        <x:v>2026-10-26_Day</x:v>
      </x:c>
      <x:c r="B56" s="6" t="str">
        <x:v>デイ</x:v>
      </x:c>
      <x:c r="C56" s="6" t="n">
        <x:v>53000</x:v>
      </x:c>
      <x:c r="D56" s="6" t="n">
        <x:v>106500</x:v>
      </x:c>
      <x:c r="E56" s="6" t="n">
        <x:f>C56-D56</x:f>
        <x:v>-53500</x:v>
      </x:c>
      <x:c r="F56" s="6" t="n">
        <x:f>F55+E56</x:f>
        <x:v>-1956000</x:v>
      </x:c>
      <x:c r="G56" s="6" t="n">
        <x:v>53000</x:v>
      </x:c>
      <x:c r="H56" s="6" t="n">
        <x:v>106500</x:v>
      </x:c>
      <x:c r="I56" s="6" t="n">
        <x:v>32</x:v>
      </x:c>
      <x:c r="J56" s="6" t="n">
        <x:v>0</x:v>
      </x:c>
      <x:c r="K56" s="6" t="n">
        <x:v>0</x:v>
      </x:c>
      <x:c r="L56" s="6" t="n">
        <x:v>7</x:v>
      </x:c>
      <x:c r="M56" s="11" t="n">
        <x:v>0.5859126984126984</x:v>
      </x:c>
      <x:c r="N56" s="6" t="n">
        <x:v>76500</x:v>
      </x:c>
    </x:row>
    <x:row r="57" ht="24" customHeight="1">
      <x:c r="A57" s="15" t="str">
        <x:v>累計／平均／最大</x:v>
      </x:c>
      <x:c r="B57" s="16"/>
      <x:c r="C57" s="16" t="n">
        <x:f>SUM(C6:C56)</x:f>
        <x:v>2666000</x:v>
      </x:c>
      <x:c r="D57" s="16" t="n">
        <x:f>SUM(D6:D56)</x:f>
        <x:v>4622000</x:v>
      </x:c>
      <x:c r="E57" s="16" t="n">
        <x:f>C57-D57</x:f>
        <x:v>-1956000</x:v>
      </x:c>
      <x:c r="F57" s="16" t="n">
        <x:f>F56</x:f>
        <x:v>-1956000</x:v>
      </x:c>
      <x:c r="G57" s="16" t="n">
        <x:f>SUM(G6:G56)</x:f>
        <x:v>2666000</x:v>
      </x:c>
      <x:c r="H57" s="16" t="n">
        <x:f>SUM(H6:H56)</x:f>
        <x:v>4622000</x:v>
      </x:c>
      <x:c r="I57" s="16" t="n">
        <x:f>SUM(I6:I56)</x:f>
        <x:v>1391</x:v>
      </x:c>
      <x:c r="J57" s="16" t="n">
        <x:f>SUM(J6:J56)</x:f>
        <x:v>0</x:v>
      </x:c>
      <x:c r="K57" s="16" t="n">
        <x:f>SUM(K6:K56)</x:f>
        <x:v>0</x:v>
      </x:c>
      <x:c r="L57" s="16" t="n">
        <x:f>MAX(L6:L56)</x:f>
        <x:v>10</x:v>
      </x:c>
      <x:c r="M57" s="17" t="n">
        <x:f>AVERAGE(M6:M56)</x:f>
        <x:v>0.6270539754363282</x:v>
      </x:c>
      <x:c r="N57" s="16" t="n">
        <x:f>MAX(N6:N56)</x:f>
        <x:v>150000</x:v>
      </x:c>
    </x:row>
  </x:sheetData>
  <x:conditionalFormatting sqref="E6:F56">
    <x:cfRule type="cellIs" dxfId="38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1fca51e680b4b2a"/>
  </x:tableParts>
</x:worksheet>
</file>

<file path=xl/worksheets/sheet4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1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4" customHeight="1">
      <x:c r="A1" s="3" t="str">
        <x:v>TOPIX R06　各セッションの利益・損失・収支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A2" s="4" t="str">
        <x:v>2026/09/21〜10/26デイ・51完了場。日経mini／TOPIXmini各上限10枚・手数料0。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4" customHeight="1">
      <x:c r="A3" s="4" t="str">
        <x:v>10分MA・冷却後に再参加・価格位置と1分傾きも確認・初回比例枚数／T出口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4" customHeight="1">
      <x:c r="A4" s="4" t="str">
        <x:v>利益・損失＝FIFO返済配賦別。親＝初回から全返済まで。ラージ気配による模型で、mini実約定の検証ではありません。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42" customHeight="1">
      <x:c r="A5" s="10" t="str">
        <x:v>セッション</x:v>
      </x:c>
      <x:c r="B5" s="10" t="str">
        <x:v>区分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親利益（円）</x:v>
      </x:c>
      <x:c r="H5" s="10" t="str">
        <x:v>親損失（円）</x:v>
      </x:c>
      <x:c r="I5" s="10" t="str">
        <x:v>初回件数</x:v>
      </x:c>
      <x:c r="J5" s="10" t="str">
        <x:v>追加件数</x:v>
      </x:c>
      <x:c r="K5" s="10" t="str">
        <x:v>縮小件数</x:v>
      </x:c>
      <x:c r="L5" s="10" t="str">
        <x:v>最大保有枚数</x:v>
      </x:c>
      <x:c r="M5" s="10" t="str">
        <x:v>保有時間率</x:v>
      </x:c>
      <x:c r="N5" s="10" t="str">
        <x:v>時価最大DD（円）</x:v>
      </x:c>
    </x:row>
    <x:row r="6" ht="24" customHeight="1">
      <x:c r="A6" s="2" t="str">
        <x:v>2026-09-21_Day</x:v>
      </x:c>
      <x:c r="B6" s="6" t="str">
        <x:v>デイ</x:v>
      </x:c>
      <x:c r="C6" s="6" t="n">
        <x:v>18000</x:v>
      </x:c>
      <x:c r="D6" s="6" t="n">
        <x:v>43000</x:v>
      </x:c>
      <x:c r="E6" s="6" t="n">
        <x:f>C6-D6</x:f>
        <x:v>-25000</x:v>
      </x:c>
      <x:c r="F6" s="6" t="n">
        <x:f>E6</x:f>
        <x:v>-25000</x:v>
      </x:c>
      <x:c r="G6" s="6" t="n">
        <x:v>18000</x:v>
      </x:c>
      <x:c r="H6" s="6" t="n">
        <x:v>43000</x:v>
      </x:c>
      <x:c r="I6" s="6" t="n">
        <x:v>11</x:v>
      </x:c>
      <x:c r="J6" s="6" t="n">
        <x:v>0</x:v>
      </x:c>
      <x:c r="K6" s="6" t="n">
        <x:v>0</x:v>
      </x:c>
      <x:c r="L6" s="6" t="n">
        <x:v>4</x:v>
      </x:c>
      <x:c r="M6" s="11" t="n">
        <x:v>0.6226587301587302</x:v>
      </x:c>
      <x:c r="N6" s="6" t="n">
        <x:v>36000</x:v>
      </x:c>
    </x:row>
    <x:row r="7" ht="24" customHeight="1">
      <x:c r="A7" s="2" t="str">
        <x:v>2026-09-21_Night</x:v>
      </x:c>
      <x:c r="B7" s="6" t="str">
        <x:v>ナイト</x:v>
      </x:c>
      <x:c r="C7" s="6" t="n">
        <x:v>42500</x:v>
      </x:c>
      <x:c r="D7" s="6" t="n">
        <x:v>44000</x:v>
      </x:c>
      <x:c r="E7" s="6" t="n">
        <x:f>C7-D7</x:f>
        <x:v>-1500</x:v>
      </x:c>
      <x:c r="F7" s="6" t="n">
        <x:f>F6+E7</x:f>
        <x:v>-26500</x:v>
      </x:c>
      <x:c r="G7" s="6" t="n">
        <x:v>42500</x:v>
      </x:c>
      <x:c r="H7" s="6" t="n">
        <x:v>44000</x:v>
      </x:c>
      <x:c r="I7" s="6" t="n">
        <x:v>23</x:v>
      </x:c>
      <x:c r="J7" s="6" t="n">
        <x:v>0</x:v>
      </x:c>
      <x:c r="K7" s="6" t="n">
        <x:v>0</x:v>
      </x:c>
      <x:c r="L7" s="6" t="n">
        <x:v>6</x:v>
      </x:c>
      <x:c r="M7" s="11" t="n">
        <x:v>0.7774358974358975</x:v>
      </x:c>
      <x:c r="N7" s="6" t="n">
        <x:v>48000</x:v>
      </x:c>
    </x:row>
    <x:row r="8" ht="24" customHeight="1">
      <x:c r="A8" s="2" t="str">
        <x:v>2026-09-22_Day</x:v>
      </x:c>
      <x:c r="B8" s="6" t="str">
        <x:v>デイ</x:v>
      </x:c>
      <x:c r="C8" s="6" t="n">
        <x:v>21000</x:v>
      </x:c>
      <x:c r="D8" s="6" t="n">
        <x:v>65500</x:v>
      </x:c>
      <x:c r="E8" s="6" t="n">
        <x:f>C8-D8</x:f>
        <x:v>-44500</x:v>
      </x:c>
      <x:c r="F8" s="6" t="n">
        <x:f>F7+E8</x:f>
        <x:v>-71000</x:v>
      </x:c>
      <x:c r="G8" s="6" t="n">
        <x:v>21000</x:v>
      </x:c>
      <x:c r="H8" s="6" t="n">
        <x:v>65500</x:v>
      </x:c>
      <x:c r="I8" s="6" t="n">
        <x:v>16</x:v>
      </x:c>
      <x:c r="J8" s="6" t="n">
        <x:v>0</x:v>
      </x:c>
      <x:c r="K8" s="6" t="n">
        <x:v>0</x:v>
      </x:c>
      <x:c r="L8" s="6" t="n">
        <x:v>5</x:v>
      </x:c>
      <x:c r="M8" s="11" t="n">
        <x:v>0.6972222222222222</x:v>
      </x:c>
      <x:c r="N8" s="6" t="n">
        <x:v>52500</x:v>
      </x:c>
    </x:row>
    <x:row r="9" ht="24" customHeight="1">
      <x:c r="A9" s="2" t="str">
        <x:v>2026-09-22_Night</x:v>
      </x:c>
      <x:c r="B9" s="6" t="str">
        <x:v>ナイト</x:v>
      </x:c>
      <x:c r="C9" s="6" t="n">
        <x:v>57000</x:v>
      </x:c>
      <x:c r="D9" s="6" t="n">
        <x:v>62500</x:v>
      </x:c>
      <x:c r="E9" s="6" t="n">
        <x:f>C9-D9</x:f>
        <x:v>-5500</x:v>
      </x:c>
      <x:c r="F9" s="6" t="n">
        <x:f>F8+E9</x:f>
        <x:v>-76500</x:v>
      </x:c>
      <x:c r="G9" s="6" t="n">
        <x:v>57000</x:v>
      </x:c>
      <x:c r="H9" s="6" t="n">
        <x:v>62500</x:v>
      </x:c>
      <x:c r="I9" s="6" t="n">
        <x:v>28</x:v>
      </x:c>
      <x:c r="J9" s="6" t="n">
        <x:v>0</x:v>
      </x:c>
      <x:c r="K9" s="6" t="n">
        <x:v>0</x:v>
      </x:c>
      <x:c r="L9" s="6" t="n">
        <x:v>4</x:v>
      </x:c>
      <x:c r="M9" s="11" t="n">
        <x:v>0.6407905982905983</x:v>
      </x:c>
      <x:c r="N9" s="6" t="n">
        <x:v>36500</x:v>
      </x:c>
    </x:row>
    <x:row r="10" ht="24" customHeight="1">
      <x:c r="A10" s="2" t="str">
        <x:v>2026-09-23_Day</x:v>
      </x:c>
      <x:c r="B10" s="6" t="str">
        <x:v>デイ</x:v>
      </x:c>
      <x:c r="C10" s="6" t="n">
        <x:v>20000</x:v>
      </x:c>
      <x:c r="D10" s="6" t="n">
        <x:v>63000</x:v>
      </x:c>
      <x:c r="E10" s="6" t="n">
        <x:f>C10-D10</x:f>
        <x:v>-43000</x:v>
      </x:c>
      <x:c r="F10" s="6" t="n">
        <x:f>F9+E10</x:f>
        <x:v>-119500</x:v>
      </x:c>
      <x:c r="G10" s="6" t="n">
        <x:v>20000</x:v>
      </x:c>
      <x:c r="H10" s="6" t="n">
        <x:v>63000</x:v>
      </x:c>
      <x:c r="I10" s="6" t="n">
        <x:v>13</x:v>
      </x:c>
      <x:c r="J10" s="6" t="n">
        <x:v>0</x:v>
      </x:c>
      <x:c r="K10" s="6" t="n">
        <x:v>0</x:v>
      </x:c>
      <x:c r="L10" s="6" t="n">
        <x:v>10</x:v>
      </x:c>
      <x:c r="M10" s="11" t="n">
        <x:v>0.6675793650793651</x:v>
      </x:c>
      <x:c r="N10" s="6" t="n">
        <x:v>53500</x:v>
      </x:c>
    </x:row>
    <x:row r="11" ht="24" customHeight="1">
      <x:c r="A11" s="2" t="str">
        <x:v>2026-09-23_Night</x:v>
      </x:c>
      <x:c r="B11" s="6" t="str">
        <x:v>ナイト</x:v>
      </x:c>
      <x:c r="C11" s="6" t="n">
        <x:v>49000</x:v>
      </x:c>
      <x:c r="D11" s="6" t="n">
        <x:v>118000</x:v>
      </x:c>
      <x:c r="E11" s="6" t="n">
        <x:f>C11-D11</x:f>
        <x:v>-69000</x:v>
      </x:c>
      <x:c r="F11" s="6" t="n">
        <x:f>F10+E11</x:f>
        <x:v>-188500</x:v>
      </x:c>
      <x:c r="G11" s="6" t="n">
        <x:v>49000</x:v>
      </x:c>
      <x:c r="H11" s="6" t="n">
        <x:v>118000</x:v>
      </x:c>
      <x:c r="I11" s="6" t="n">
        <x:v>27</x:v>
      </x:c>
      <x:c r="J11" s="6" t="n">
        <x:v>0</x:v>
      </x:c>
      <x:c r="K11" s="6" t="n">
        <x:v>0</x:v>
      </x:c>
      <x:c r="L11" s="6" t="n">
        <x:v>4</x:v>
      </x:c>
      <x:c r="M11" s="11" t="n">
        <x:v>0.6933760683760684</x:v>
      </x:c>
      <x:c r="N11" s="6" t="n">
        <x:v>76000</x:v>
      </x:c>
    </x:row>
    <x:row r="12" ht="24" customHeight="1">
      <x:c r="A12" s="2" t="str">
        <x:v>2026-09-24_Day</x:v>
      </x:c>
      <x:c r="B12" s="6" t="str">
        <x:v>デイ</x:v>
      </x:c>
      <x:c r="C12" s="6" t="n">
        <x:v>82500</x:v>
      </x:c>
      <x:c r="D12" s="6" t="n">
        <x:v>140500</x:v>
      </x:c>
      <x:c r="E12" s="6" t="n">
        <x:f>C12-D12</x:f>
        <x:v>-58000</x:v>
      </x:c>
      <x:c r="F12" s="6" t="n">
        <x:f>F11+E12</x:f>
        <x:v>-246500</x:v>
      </x:c>
      <x:c r="G12" s="6" t="n">
        <x:v>82500</x:v>
      </x:c>
      <x:c r="H12" s="6" t="n">
        <x:v>140500</x:v>
      </x:c>
      <x:c r="I12" s="6" t="n">
        <x:v>30</x:v>
      </x:c>
      <x:c r="J12" s="6" t="n">
        <x:v>0</x:v>
      </x:c>
      <x:c r="K12" s="6" t="n">
        <x:v>0</x:v>
      </x:c>
      <x:c r="L12" s="6" t="n">
        <x:v>10</x:v>
      </x:c>
      <x:c r="M12" s="11" t="n">
        <x:v>0.5617063492063492</x:v>
      </x:c>
      <x:c r="N12" s="6" t="n">
        <x:v>86500</x:v>
      </x:c>
    </x:row>
    <x:row r="13" ht="24" customHeight="1">
      <x:c r="A13" s="2" t="str">
        <x:v>2026-09-24_Night</x:v>
      </x:c>
      <x:c r="B13" s="6" t="str">
        <x:v>ナイト</x:v>
      </x:c>
      <x:c r="C13" s="6" t="n">
        <x:v>89500</x:v>
      </x:c>
      <x:c r="D13" s="6" t="n">
        <x:v>89000</x:v>
      </x:c>
      <x:c r="E13" s="6" t="n">
        <x:f>C13-D13</x:f>
        <x:v>500</x:v>
      </x:c>
      <x:c r="F13" s="6" t="n">
        <x:f>F12+E13</x:f>
        <x:v>-246000</x:v>
      </x:c>
      <x:c r="G13" s="6" t="n">
        <x:v>89500</x:v>
      </x:c>
      <x:c r="H13" s="6" t="n">
        <x:v>89000</x:v>
      </x:c>
      <x:c r="I13" s="6" t="n">
        <x:v>40</x:v>
      </x:c>
      <x:c r="J13" s="6" t="n">
        <x:v>0</x:v>
      </x:c>
      <x:c r="K13" s="6" t="n">
        <x:v>0</x:v>
      </x:c>
      <x:c r="L13" s="6" t="n">
        <x:v>4</x:v>
      </x:c>
      <x:c r="M13" s="11" t="n">
        <x:v>0.6586752136752136</x:v>
      </x:c>
      <x:c r="N13" s="6" t="n">
        <x:v>56000</x:v>
      </x:c>
    </x:row>
    <x:row r="14" ht="24" customHeight="1">
      <x:c r="A14" s="2" t="str">
        <x:v>2026-09-25_Day</x:v>
      </x:c>
      <x:c r="B14" s="6" t="str">
        <x:v>デイ</x:v>
      </x:c>
      <x:c r="C14" s="6" t="n">
        <x:v>28500</x:v>
      </x:c>
      <x:c r="D14" s="6" t="n">
        <x:v>105500</x:v>
      </x:c>
      <x:c r="E14" s="6" t="n">
        <x:f>C14-D14</x:f>
        <x:v>-77000</x:v>
      </x:c>
      <x:c r="F14" s="6" t="n">
        <x:f>F13+E14</x:f>
        <x:v>-323000</x:v>
      </x:c>
      <x:c r="G14" s="6" t="n">
        <x:v>28500</x:v>
      </x:c>
      <x:c r="H14" s="6" t="n">
        <x:v>105500</x:v>
      </x:c>
      <x:c r="I14" s="6" t="n">
        <x:v>27</x:v>
      </x:c>
      <x:c r="J14" s="6" t="n">
        <x:v>0</x:v>
      </x:c>
      <x:c r="K14" s="6" t="n">
        <x:v>0</x:v>
      </x:c>
      <x:c r="L14" s="6" t="n">
        <x:v>3</x:v>
      </x:c>
      <x:c r="M14" s="11" t="n">
        <x:v>0.5456746031746031</x:v>
      </x:c>
      <x:c r="N14" s="6" t="n">
        <x:v>88000</x:v>
      </x:c>
    </x:row>
    <x:row r="15" ht="24" customHeight="1">
      <x:c r="A15" s="2" t="str">
        <x:v>2026-09-25_Night</x:v>
      </x:c>
      <x:c r="B15" s="6" t="str">
        <x:v>ナイト</x:v>
      </x:c>
      <x:c r="C15" s="6" t="n">
        <x:v>35000</x:v>
      </x:c>
      <x:c r="D15" s="6" t="n">
        <x:v>71500</x:v>
      </x:c>
      <x:c r="E15" s="6" t="n">
        <x:f>C15-D15</x:f>
        <x:v>-36500</x:v>
      </x:c>
      <x:c r="F15" s="6" t="n">
        <x:f>F14+E15</x:f>
        <x:v>-359500</x:v>
      </x:c>
      <x:c r="G15" s="6" t="n">
        <x:v>35000</x:v>
      </x:c>
      <x:c r="H15" s="6" t="n">
        <x:v>71500</x:v>
      </x:c>
      <x:c r="I15" s="6" t="n">
        <x:v>33</x:v>
      </x:c>
      <x:c r="J15" s="6" t="n">
        <x:v>0</x:v>
      </x:c>
      <x:c r="K15" s="6" t="n">
        <x:v>0</x:v>
      </x:c>
      <x:c r="L15" s="6" t="n">
        <x:v>2</x:v>
      </x:c>
      <x:c r="M15" s="11" t="n">
        <x:v>0.5851709401709402</x:v>
      </x:c>
      <x:c r="N15" s="6" t="n">
        <x:v>57500</x:v>
      </x:c>
    </x:row>
    <x:row r="16" ht="24" customHeight="1">
      <x:c r="A16" s="2" t="str">
        <x:v>2026-09-28_Day</x:v>
      </x:c>
      <x:c r="B16" s="6" t="str">
        <x:v>デイ</x:v>
      </x:c>
      <x:c r="C16" s="6" t="n">
        <x:v>38500</x:v>
      </x:c>
      <x:c r="D16" s="6" t="n">
        <x:v>115000</x:v>
      </x:c>
      <x:c r="E16" s="6" t="n">
        <x:f>C16-D16</x:f>
        <x:v>-76500</x:v>
      </x:c>
      <x:c r="F16" s="6" t="n">
        <x:f>F15+E16</x:f>
        <x:v>-436000</x:v>
      </x:c>
      <x:c r="G16" s="6" t="n">
        <x:v>38500</x:v>
      </x:c>
      <x:c r="H16" s="6" t="n">
        <x:v>115000</x:v>
      </x:c>
      <x:c r="I16" s="6" t="n">
        <x:v>23</x:v>
      </x:c>
      <x:c r="J16" s="6" t="n">
        <x:v>0</x:v>
      </x:c>
      <x:c r="K16" s="6" t="n">
        <x:v>0</x:v>
      </x:c>
      <x:c r="L16" s="6" t="n">
        <x:v>10</x:v>
      </x:c>
      <x:c r="M16" s="11" t="n">
        <x:v>0.6426587301587302</x:v>
      </x:c>
      <x:c r="N16" s="6" t="n">
        <x:v>92500</x:v>
      </x:c>
    </x:row>
    <x:row r="17" ht="24" customHeight="1">
      <x:c r="A17" s="2" t="str">
        <x:v>2026-09-28_Night</x:v>
      </x:c>
      <x:c r="B17" s="6" t="str">
        <x:v>ナイト</x:v>
      </x:c>
      <x:c r="C17" s="6" t="n">
        <x:v>82500</x:v>
      </x:c>
      <x:c r="D17" s="6" t="n">
        <x:v>147500</x:v>
      </x:c>
      <x:c r="E17" s="6" t="n">
        <x:f>C17-D17</x:f>
        <x:v>-65000</x:v>
      </x:c>
      <x:c r="F17" s="6" t="n">
        <x:f>F16+E17</x:f>
        <x:v>-501000</x:v>
      </x:c>
      <x:c r="G17" s="6" t="n">
        <x:v>82500</x:v>
      </x:c>
      <x:c r="H17" s="6" t="n">
        <x:v>147500</x:v>
      </x:c>
      <x:c r="I17" s="6" t="n">
        <x:v>35</x:v>
      </x:c>
      <x:c r="J17" s="6" t="n">
        <x:v>0</x:v>
      </x:c>
      <x:c r="K17" s="6" t="n">
        <x:v>0</x:v>
      </x:c>
      <x:c r="L17" s="6" t="n">
        <x:v>6</x:v>
      </x:c>
      <x:c r="M17" s="11" t="n">
        <x:v>0.7282478632478633</x:v>
      </x:c>
      <x:c r="N17" s="6" t="n">
        <x:v>84000</x:v>
      </x:c>
    </x:row>
    <x:row r="18" ht="24" customHeight="1">
      <x:c r="A18" s="2" t="str">
        <x:v>2026-09-29_Day</x:v>
      </x:c>
      <x:c r="B18" s="6" t="str">
        <x:v>デイ</x:v>
      </x:c>
      <x:c r="C18" s="6" t="n">
        <x:v>40500</x:v>
      </x:c>
      <x:c r="D18" s="6" t="n">
        <x:v>92000</x:v>
      </x:c>
      <x:c r="E18" s="6" t="n">
        <x:f>C18-D18</x:f>
        <x:v>-51500</x:v>
      </x:c>
      <x:c r="F18" s="6" t="n">
        <x:f>F17+E18</x:f>
        <x:v>-552500</x:v>
      </x:c>
      <x:c r="G18" s="6" t="n">
        <x:v>40500</x:v>
      </x:c>
      <x:c r="H18" s="6" t="n">
        <x:v>92000</x:v>
      </x:c>
      <x:c r="I18" s="6" t="n">
        <x:v>23</x:v>
      </x:c>
      <x:c r="J18" s="6" t="n">
        <x:v>0</x:v>
      </x:c>
      <x:c r="K18" s="6" t="n">
        <x:v>0</x:v>
      </x:c>
      <x:c r="L18" s="6" t="n">
        <x:v>5</x:v>
      </x:c>
      <x:c r="M18" s="11" t="n">
        <x:v>0.543531746031746</x:v>
      </x:c>
      <x:c r="N18" s="6" t="n">
        <x:v>66500</x:v>
      </x:c>
    </x:row>
    <x:row r="19" ht="24" customHeight="1">
      <x:c r="A19" s="2" t="str">
        <x:v>2026-09-29_Night</x:v>
      </x:c>
      <x:c r="B19" s="6" t="str">
        <x:v>ナイト</x:v>
      </x:c>
      <x:c r="C19" s="6" t="n">
        <x:v>48000</x:v>
      </x:c>
      <x:c r="D19" s="6" t="n">
        <x:v>184000</x:v>
      </x:c>
      <x:c r="E19" s="6" t="n">
        <x:f>C19-D19</x:f>
        <x:v>-136000</x:v>
      </x:c>
      <x:c r="F19" s="6" t="n">
        <x:f>F18+E19</x:f>
        <x:v>-688500</x:v>
      </x:c>
      <x:c r="G19" s="6" t="n">
        <x:v>48000</x:v>
      </x:c>
      <x:c r="H19" s="6" t="n">
        <x:v>184000</x:v>
      </x:c>
      <x:c r="I19" s="6" t="n">
        <x:v>39</x:v>
      </x:c>
      <x:c r="J19" s="6" t="n">
        <x:v>0</x:v>
      </x:c>
      <x:c r="K19" s="6" t="n">
        <x:v>0</x:v>
      </x:c>
      <x:c r="L19" s="6" t="n">
        <x:v>4</x:v>
      </x:c>
      <x:c r="M19" s="11" t="n">
        <x:v>0.7679273504273504</x:v>
      </x:c>
      <x:c r="N19" s="6" t="n">
        <x:v>140000</x:v>
      </x:c>
    </x:row>
    <x:row r="20" ht="24" customHeight="1">
      <x:c r="A20" s="2" t="str">
        <x:v>2026-09-30_Day</x:v>
      </x:c>
      <x:c r="B20" s="6" t="str">
        <x:v>デイ</x:v>
      </x:c>
      <x:c r="C20" s="6" t="n">
        <x:v>62500</x:v>
      </x:c>
      <x:c r="D20" s="6" t="n">
        <x:v>59500</x:v>
      </x:c>
      <x:c r="E20" s="6" t="n">
        <x:f>C20-D20</x:f>
        <x:v>3000</x:v>
      </x:c>
      <x:c r="F20" s="6" t="n">
        <x:f>F19+E20</x:f>
        <x:v>-685500</x:v>
      </x:c>
      <x:c r="G20" s="6" t="n">
        <x:v>62500</x:v>
      </x:c>
      <x:c r="H20" s="6" t="n">
        <x:v>59500</x:v>
      </x:c>
      <x:c r="I20" s="6" t="n">
        <x:v>22</x:v>
      </x:c>
      <x:c r="J20" s="6" t="n">
        <x:v>0</x:v>
      </x:c>
      <x:c r="K20" s="6" t="n">
        <x:v>0</x:v>
      </x:c>
      <x:c r="L20" s="6" t="n">
        <x:v>3</x:v>
      </x:c>
      <x:c r="M20" s="11" t="n">
        <x:v>0.5184126984126984</x:v>
      </x:c>
      <x:c r="N20" s="6" t="n">
        <x:v>28500</x:v>
      </x:c>
    </x:row>
    <x:row r="21" ht="24" customHeight="1">
      <x:c r="A21" s="2" t="str">
        <x:v>2026-09-30_Night</x:v>
      </x:c>
      <x:c r="B21" s="6" t="str">
        <x:v>ナイト</x:v>
      </x:c>
      <x:c r="C21" s="6" t="n">
        <x:v>68000</x:v>
      </x:c>
      <x:c r="D21" s="6" t="n">
        <x:v>161500</x:v>
      </x:c>
      <x:c r="E21" s="6" t="n">
        <x:f>C21-D21</x:f>
        <x:v>-93500</x:v>
      </x:c>
      <x:c r="F21" s="6" t="n">
        <x:f>F20+E21</x:f>
        <x:v>-779000</x:v>
      </x:c>
      <x:c r="G21" s="6" t="n">
        <x:v>68000</x:v>
      </x:c>
      <x:c r="H21" s="6" t="n">
        <x:v>161500</x:v>
      </x:c>
      <x:c r="I21" s="6" t="n">
        <x:v>42</x:v>
      </x:c>
      <x:c r="J21" s="6" t="n">
        <x:v>0</x:v>
      </x:c>
      <x:c r="K21" s="6" t="n">
        <x:v>0</x:v>
      </x:c>
      <x:c r="L21" s="6" t="n">
        <x:v>5</x:v>
      </x:c>
      <x:c r="M21" s="11" t="n">
        <x:v>0.6092948717948717</x:v>
      </x:c>
      <x:c r="N21" s="6" t="n">
        <x:v>111500</x:v>
      </x:c>
    </x:row>
    <x:row r="22" ht="24" customHeight="1">
      <x:c r="A22" s="2" t="str">
        <x:v>2026-10-01_Day</x:v>
      </x:c>
      <x:c r="B22" s="6" t="str">
        <x:v>デイ</x:v>
      </x:c>
      <x:c r="C22" s="6" t="n">
        <x:v>31500</x:v>
      </x:c>
      <x:c r="D22" s="6" t="n">
        <x:v>77000</x:v>
      </x:c>
      <x:c r="E22" s="6" t="n">
        <x:f>C22-D22</x:f>
        <x:v>-45500</x:v>
      </x:c>
      <x:c r="F22" s="6" t="n">
        <x:f>F21+E22</x:f>
        <x:v>-824500</x:v>
      </x:c>
      <x:c r="G22" s="6" t="n">
        <x:v>31500</x:v>
      </x:c>
      <x:c r="H22" s="6" t="n">
        <x:v>77000</x:v>
      </x:c>
      <x:c r="I22" s="6" t="n">
        <x:v>21</x:v>
      </x:c>
      <x:c r="J22" s="6" t="n">
        <x:v>0</x:v>
      </x:c>
      <x:c r="K22" s="6" t="n">
        <x:v>0</x:v>
      </x:c>
      <x:c r="L22" s="6" t="n">
        <x:v>5</x:v>
      </x:c>
      <x:c r="M22" s="11" t="n">
        <x:v>0.48464285714285715</x:v>
      </x:c>
      <x:c r="N22" s="6" t="n">
        <x:v>47500</x:v>
      </x:c>
    </x:row>
    <x:row r="23" ht="24" customHeight="1">
      <x:c r="A23" s="2" t="str">
        <x:v>2026-10-01_Night</x:v>
      </x:c>
      <x:c r="B23" s="6" t="str">
        <x:v>ナイト</x:v>
      </x:c>
      <x:c r="C23" s="6" t="n">
        <x:v>91500</x:v>
      </x:c>
      <x:c r="D23" s="6" t="n">
        <x:v>68500</x:v>
      </x:c>
      <x:c r="E23" s="6" t="n">
        <x:f>C23-D23</x:f>
        <x:v>23000</x:v>
      </x:c>
      <x:c r="F23" s="6" t="n">
        <x:f>F22+E23</x:f>
        <x:v>-801500</x:v>
      </x:c>
      <x:c r="G23" s="6" t="n">
        <x:v>91500</x:v>
      </x:c>
      <x:c r="H23" s="6" t="n">
        <x:v>68500</x:v>
      </x:c>
      <x:c r="I23" s="6" t="n">
        <x:v>35</x:v>
      </x:c>
      <x:c r="J23" s="6" t="n">
        <x:v>0</x:v>
      </x:c>
      <x:c r="K23" s="6" t="n">
        <x:v>0</x:v>
      </x:c>
      <x:c r="L23" s="6" t="n">
        <x:v>4</x:v>
      </x:c>
      <x:c r="M23" s="11" t="n">
        <x:v>0.4741452991452991</x:v>
      </x:c>
      <x:c r="N23" s="6" t="n">
        <x:v>25500</x:v>
      </x:c>
    </x:row>
    <x:row r="24" ht="24" customHeight="1">
      <x:c r="A24" s="2" t="str">
        <x:v>2026-10-02_Day</x:v>
      </x:c>
      <x:c r="B24" s="6" t="str">
        <x:v>デイ</x:v>
      </x:c>
      <x:c r="C24" s="6" t="n">
        <x:v>45500</x:v>
      </x:c>
      <x:c r="D24" s="6" t="n">
        <x:v>24000</x:v>
      </x:c>
      <x:c r="E24" s="6" t="n">
        <x:f>C24-D24</x:f>
        <x:v>21500</x:v>
      </x:c>
      <x:c r="F24" s="6" t="n">
        <x:f>F23+E24</x:f>
        <x:v>-780000</x:v>
      </x:c>
      <x:c r="G24" s="6" t="n">
        <x:v>45500</x:v>
      </x:c>
      <x:c r="H24" s="6" t="n">
        <x:v>24000</x:v>
      </x:c>
      <x:c r="I24" s="6" t="n">
        <x:v>18</x:v>
      </x:c>
      <x:c r="J24" s="6" t="n">
        <x:v>0</x:v>
      </x:c>
      <x:c r="K24" s="6" t="n">
        <x:v>0</x:v>
      </x:c>
      <x:c r="L24" s="6" t="n">
        <x:v>8</x:v>
      </x:c>
      <x:c r="M24" s="11" t="n">
        <x:v>0.5561904761904762</x:v>
      </x:c>
      <x:c r="N24" s="6" t="n">
        <x:v>36000</x:v>
      </x:c>
    </x:row>
    <x:row r="25" ht="24" customHeight="1">
      <x:c r="A25" s="2" t="str">
        <x:v>2026-10-02_Night</x:v>
      </x:c>
      <x:c r="B25" s="6" t="str">
        <x:v>ナイト</x:v>
      </x:c>
      <x:c r="C25" s="6" t="n">
        <x:v>66000</x:v>
      </x:c>
      <x:c r="D25" s="6" t="n">
        <x:v>89000</x:v>
      </x:c>
      <x:c r="E25" s="6" t="n">
        <x:f>C25-D25</x:f>
        <x:v>-23000</x:v>
      </x:c>
      <x:c r="F25" s="6" t="n">
        <x:f>F24+E25</x:f>
        <x:v>-803000</x:v>
      </x:c>
      <x:c r="G25" s="6" t="n">
        <x:v>66000</x:v>
      </x:c>
      <x:c r="H25" s="6" t="n">
        <x:v>89000</x:v>
      </x:c>
      <x:c r="I25" s="6" t="n">
        <x:v>33</x:v>
      </x:c>
      <x:c r="J25" s="6" t="n">
        <x:v>0</x:v>
      </x:c>
      <x:c r="K25" s="6" t="n">
        <x:v>0</x:v>
      </x:c>
      <x:c r="L25" s="6" t="n">
        <x:v>10</x:v>
      </x:c>
      <x:c r="M25" s="11" t="n">
        <x:v>0.5699786324786325</x:v>
      </x:c>
      <x:c r="N25" s="6" t="n">
        <x:v>80500</x:v>
      </x:c>
    </x:row>
    <x:row r="26" ht="24" customHeight="1">
      <x:c r="A26" s="2" t="str">
        <x:v>2026-10-05_Day</x:v>
      </x:c>
      <x:c r="B26" s="6" t="str">
        <x:v>デイ</x:v>
      </x:c>
      <x:c r="C26" s="6" t="n">
        <x:v>43000</x:v>
      </x:c>
      <x:c r="D26" s="6" t="n">
        <x:v>128000</x:v>
      </x:c>
      <x:c r="E26" s="6" t="n">
        <x:f>C26-D26</x:f>
        <x:v>-85000</x:v>
      </x:c>
      <x:c r="F26" s="6" t="n">
        <x:f>F25+E26</x:f>
        <x:v>-888000</x:v>
      </x:c>
      <x:c r="G26" s="6" t="n">
        <x:v>43000</x:v>
      </x:c>
      <x:c r="H26" s="6" t="n">
        <x:v>128000</x:v>
      </x:c>
      <x:c r="I26" s="6" t="n">
        <x:v>26</x:v>
      </x:c>
      <x:c r="J26" s="6" t="n">
        <x:v>0</x:v>
      </x:c>
      <x:c r="K26" s="6" t="n">
        <x:v>0</x:v>
      </x:c>
      <x:c r="L26" s="6" t="n">
        <x:v>10</x:v>
      </x:c>
      <x:c r="M26" s="11" t="n">
        <x:v>0.6334126984126984</x:v>
      </x:c>
      <x:c r="N26" s="6" t="n">
        <x:v>114500</x:v>
      </x:c>
    </x:row>
    <x:row r="27" ht="24" customHeight="1">
      <x:c r="A27" s="2" t="str">
        <x:v>2026-10-05_Night</x:v>
      </x:c>
      <x:c r="B27" s="6" t="str">
        <x:v>ナイト</x:v>
      </x:c>
      <x:c r="C27" s="6" t="n">
        <x:v>54000</x:v>
      </x:c>
      <x:c r="D27" s="6" t="n">
        <x:v>115000</x:v>
      </x:c>
      <x:c r="E27" s="6" t="n">
        <x:f>C27-D27</x:f>
        <x:v>-61000</x:v>
      </x:c>
      <x:c r="F27" s="6" t="n">
        <x:f>F26+E27</x:f>
        <x:v>-949000</x:v>
      </x:c>
      <x:c r="G27" s="6" t="n">
        <x:v>54000</x:v>
      </x:c>
      <x:c r="H27" s="6" t="n">
        <x:v>115000</x:v>
      </x:c>
      <x:c r="I27" s="6" t="n">
        <x:v>25</x:v>
      </x:c>
      <x:c r="J27" s="6" t="n">
        <x:v>0</x:v>
      </x:c>
      <x:c r="K27" s="6" t="n">
        <x:v>0</x:v>
      </x:c>
      <x:c r="L27" s="6" t="n">
        <x:v>7</x:v>
      </x:c>
      <x:c r="M27" s="11" t="n">
        <x:v>0.7672435897435897</x:v>
      </x:c>
      <x:c r="N27" s="6" t="n">
        <x:v>78000</x:v>
      </x:c>
    </x:row>
    <x:row r="28" ht="24" customHeight="1">
      <x:c r="A28" s="2" t="str">
        <x:v>2026-10-06_Day</x:v>
      </x:c>
      <x:c r="B28" s="6" t="str">
        <x:v>デイ</x:v>
      </x:c>
      <x:c r="C28" s="6" t="n">
        <x:v>29000</x:v>
      </x:c>
      <x:c r="D28" s="6" t="n">
        <x:v>103000</x:v>
      </x:c>
      <x:c r="E28" s="6" t="n">
        <x:f>C28-D28</x:f>
        <x:v>-74000</x:v>
      </x:c>
      <x:c r="F28" s="6" t="n">
        <x:f>F27+E28</x:f>
        <x:v>-1023000</x:v>
      </x:c>
      <x:c r="G28" s="6" t="n">
        <x:v>29000</x:v>
      </x:c>
      <x:c r="H28" s="6" t="n">
        <x:v>103000</x:v>
      </x:c>
      <x:c r="I28" s="6" t="n">
        <x:v>19</x:v>
      </x:c>
      <x:c r="J28" s="6" t="n">
        <x:v>0</x:v>
      </x:c>
      <x:c r="K28" s="6" t="n">
        <x:v>0</x:v>
      </x:c>
      <x:c r="L28" s="6" t="n">
        <x:v>6</x:v>
      </x:c>
      <x:c r="M28" s="11" t="n">
        <x:v>0.6872619047619047</x:v>
      </x:c>
      <x:c r="N28" s="6" t="n">
        <x:v>118000</x:v>
      </x:c>
    </x:row>
    <x:row r="29" ht="24" customHeight="1">
      <x:c r="A29" s="2" t="str">
        <x:v>2026-10-06_Night</x:v>
      </x:c>
      <x:c r="B29" s="6" t="str">
        <x:v>ナイト</x:v>
      </x:c>
      <x:c r="C29" s="6" t="n">
        <x:v>47000</x:v>
      </x:c>
      <x:c r="D29" s="6" t="n">
        <x:v>110500</x:v>
      </x:c>
      <x:c r="E29" s="6" t="n">
        <x:f>C29-D29</x:f>
        <x:v>-63500</x:v>
      </x:c>
      <x:c r="F29" s="6" t="n">
        <x:f>F28+E29</x:f>
        <x:v>-1086500</x:v>
      </x:c>
      <x:c r="G29" s="6" t="n">
        <x:v>47000</x:v>
      </x:c>
      <x:c r="H29" s="6" t="n">
        <x:v>110500</x:v>
      </x:c>
      <x:c r="I29" s="6" t="n">
        <x:v>18</x:v>
      </x:c>
      <x:c r="J29" s="6" t="n">
        <x:v>0</x:v>
      </x:c>
      <x:c r="K29" s="6" t="n">
        <x:v>0</x:v>
      </x:c>
      <x:c r="L29" s="6" t="n">
        <x:v>6</x:v>
      </x:c>
      <x:c r="M29" s="11" t="n">
        <x:v>0.8086324786324787</x:v>
      </x:c>
      <x:c r="N29" s="6" t="n">
        <x:v>112000</x:v>
      </x:c>
    </x:row>
    <x:row r="30" ht="24" customHeight="1">
      <x:c r="A30" s="2" t="str">
        <x:v>2026-10-07_Day</x:v>
      </x:c>
      <x:c r="B30" s="6" t="str">
        <x:v>デイ</x:v>
      </x:c>
      <x:c r="C30" s="6" t="n">
        <x:v>29500</x:v>
      </x:c>
      <x:c r="D30" s="6" t="n">
        <x:v>48000</x:v>
      </x:c>
      <x:c r="E30" s="6" t="n">
        <x:f>C30-D30</x:f>
        <x:v>-18500</x:v>
      </x:c>
      <x:c r="F30" s="6" t="n">
        <x:f>F29+E30</x:f>
        <x:v>-1105000</x:v>
      </x:c>
      <x:c r="G30" s="6" t="n">
        <x:v>29500</x:v>
      </x:c>
      <x:c r="H30" s="6" t="n">
        <x:v>48000</x:v>
      </x:c>
      <x:c r="I30" s="6" t="n">
        <x:v>14</x:v>
      </x:c>
      <x:c r="J30" s="6" t="n">
        <x:v>0</x:v>
      </x:c>
      <x:c r="K30" s="6" t="n">
        <x:v>0</x:v>
      </x:c>
      <x:c r="L30" s="6" t="n">
        <x:v>5</x:v>
      </x:c>
      <x:c r="M30" s="11" t="n">
        <x:v>0.7041666666666667</x:v>
      </x:c>
      <x:c r="N30" s="6" t="n">
        <x:v>37500</x:v>
      </x:c>
    </x:row>
    <x:row r="31" ht="24" customHeight="1">
      <x:c r="A31" s="2" t="str">
        <x:v>2026-10-07_Night</x:v>
      </x:c>
      <x:c r="B31" s="6" t="str">
        <x:v>ナイト</x:v>
      </x:c>
      <x:c r="C31" s="6" t="n">
        <x:v>44500</x:v>
      </x:c>
      <x:c r="D31" s="6" t="n">
        <x:v>86000</x:v>
      </x:c>
      <x:c r="E31" s="6" t="n">
        <x:f>C31-D31</x:f>
        <x:v>-41500</x:v>
      </x:c>
      <x:c r="F31" s="6" t="n">
        <x:f>F30+E31</x:f>
        <x:v>-1146500</x:v>
      </x:c>
      <x:c r="G31" s="6" t="n">
        <x:v>44500</x:v>
      </x:c>
      <x:c r="H31" s="6" t="n">
        <x:v>86000</x:v>
      </x:c>
      <x:c r="I31" s="6" t="n">
        <x:v>31</x:v>
      </x:c>
      <x:c r="J31" s="6" t="n">
        <x:v>0</x:v>
      </x:c>
      <x:c r="K31" s="6" t="n">
        <x:v>0</x:v>
      </x:c>
      <x:c r="L31" s="6" t="n">
        <x:v>4</x:v>
      </x:c>
      <x:c r="M31" s="11" t="n">
        <x:v>0.7307051282051282</x:v>
      </x:c>
      <x:c r="N31" s="6" t="n">
        <x:v>64000</x:v>
      </x:c>
    </x:row>
    <x:row r="32" ht="24" customHeight="1">
      <x:c r="A32" s="2" t="str">
        <x:v>2026-10-08_Day</x:v>
      </x:c>
      <x:c r="B32" s="6" t="str">
        <x:v>デイ</x:v>
      </x:c>
      <x:c r="C32" s="6" t="n">
        <x:v>95000</x:v>
      </x:c>
      <x:c r="D32" s="6" t="n">
        <x:v>59500</x:v>
      </x:c>
      <x:c r="E32" s="6" t="n">
        <x:f>C32-D32</x:f>
        <x:v>35500</x:v>
      </x:c>
      <x:c r="F32" s="6" t="n">
        <x:f>F31+E32</x:f>
        <x:v>-1111000</x:v>
      </x:c>
      <x:c r="G32" s="6" t="n">
        <x:v>95000</x:v>
      </x:c>
      <x:c r="H32" s="6" t="n">
        <x:v>59500</x:v>
      </x:c>
      <x:c r="I32" s="6" t="n">
        <x:v>23</x:v>
      </x:c>
      <x:c r="J32" s="6" t="n">
        <x:v>0</x:v>
      </x:c>
      <x:c r="K32" s="6" t="n">
        <x:v>0</x:v>
      </x:c>
      <x:c r="L32" s="6" t="n">
        <x:v>6</x:v>
      </x:c>
      <x:c r="M32" s="11" t="n">
        <x:v>0.5416666666666666</x:v>
      </x:c>
      <x:c r="N32" s="6" t="n">
        <x:v>40500</x:v>
      </x:c>
    </x:row>
    <x:row r="33" ht="24" customHeight="1">
      <x:c r="A33" s="2" t="str">
        <x:v>2026-10-08_Night</x:v>
      </x:c>
      <x:c r="B33" s="6" t="str">
        <x:v>ナイト</x:v>
      </x:c>
      <x:c r="C33" s="6" t="n">
        <x:v>98500</x:v>
      </x:c>
      <x:c r="D33" s="6" t="n">
        <x:v>124500</x:v>
      </x:c>
      <x:c r="E33" s="6" t="n">
        <x:f>C33-D33</x:f>
        <x:v>-26000</x:v>
      </x:c>
      <x:c r="F33" s="6" t="n">
        <x:f>F32+E33</x:f>
        <x:v>-1137000</x:v>
      </x:c>
      <x:c r="G33" s="6" t="n">
        <x:v>98500</x:v>
      </x:c>
      <x:c r="H33" s="6" t="n">
        <x:v>124500</x:v>
      </x:c>
      <x:c r="I33" s="6" t="n">
        <x:v>33</x:v>
      </x:c>
      <x:c r="J33" s="6" t="n">
        <x:v>0</x:v>
      </x:c>
      <x:c r="K33" s="6" t="n">
        <x:v>0</x:v>
      </x:c>
      <x:c r="L33" s="6" t="n">
        <x:v>10</x:v>
      </x:c>
      <x:c r="M33" s="11" t="n">
        <x:v>0.671923076923077</x:v>
      </x:c>
      <x:c r="N33" s="6" t="n">
        <x:v>71000</x:v>
      </x:c>
    </x:row>
    <x:row r="34" ht="24" customHeight="1">
      <x:c r="A34" s="2" t="str">
        <x:v>2026-10-09_Day</x:v>
      </x:c>
      <x:c r="B34" s="6" t="str">
        <x:v>デイ</x:v>
      </x:c>
      <x:c r="C34" s="6" t="n">
        <x:v>40500</x:v>
      </x:c>
      <x:c r="D34" s="6" t="n">
        <x:v>55000</x:v>
      </x:c>
      <x:c r="E34" s="6" t="n">
        <x:f>C34-D34</x:f>
        <x:v>-14500</x:v>
      </x:c>
      <x:c r="F34" s="6" t="n">
        <x:f>F33+E34</x:f>
        <x:v>-1151500</x:v>
      </x:c>
      <x:c r="G34" s="6" t="n">
        <x:v>40500</x:v>
      </x:c>
      <x:c r="H34" s="6" t="n">
        <x:v>55000</x:v>
      </x:c>
      <x:c r="I34" s="6" t="n">
        <x:v>21</x:v>
      </x:c>
      <x:c r="J34" s="6" t="n">
        <x:v>0</x:v>
      </x:c>
      <x:c r="K34" s="6" t="n">
        <x:v>0</x:v>
      </x:c>
      <x:c r="L34" s="6" t="n">
        <x:v>4</x:v>
      </x:c>
      <x:c r="M34" s="11" t="n">
        <x:v>0.6538095238095238</x:v>
      </x:c>
      <x:c r="N34" s="6" t="n">
        <x:v>44500</x:v>
      </x:c>
    </x:row>
    <x:row r="35" ht="24" customHeight="1">
      <x:c r="A35" s="2" t="str">
        <x:v>2026-10-09_Night</x:v>
      </x:c>
      <x:c r="B35" s="6" t="str">
        <x:v>ナイト</x:v>
      </x:c>
      <x:c r="C35" s="6" t="n">
        <x:v>27000</x:v>
      </x:c>
      <x:c r="D35" s="6" t="n">
        <x:v>56500</x:v>
      </x:c>
      <x:c r="E35" s="6" t="n">
        <x:f>C35-D35</x:f>
        <x:v>-29500</x:v>
      </x:c>
      <x:c r="F35" s="6" t="n">
        <x:f>F34+E35</x:f>
        <x:v>-1181000</x:v>
      </x:c>
      <x:c r="G35" s="6" t="n">
        <x:v>27000</x:v>
      </x:c>
      <x:c r="H35" s="6" t="n">
        <x:v>56500</x:v>
      </x:c>
      <x:c r="I35" s="6" t="n">
        <x:v>26</x:v>
      </x:c>
      <x:c r="J35" s="6" t="n">
        <x:v>0</x:v>
      </x:c>
      <x:c r="K35" s="6" t="n">
        <x:v>0</x:v>
      </x:c>
      <x:c r="L35" s="6" t="n">
        <x:v>4</x:v>
      </x:c>
      <x:c r="M35" s="11" t="n">
        <x:v>0.7473931623931624</x:v>
      </x:c>
      <x:c r="N35" s="6" t="n">
        <x:v>45000</x:v>
      </x:c>
    </x:row>
    <x:row r="36" ht="24" customHeight="1">
      <x:c r="A36" s="2" t="str">
        <x:v>2026-10-12_Day</x:v>
      </x:c>
      <x:c r="B36" s="6" t="str">
        <x:v>デイ</x:v>
      </x:c>
      <x:c r="C36" s="6" t="n">
        <x:v>8500</x:v>
      </x:c>
      <x:c r="D36" s="6" t="n">
        <x:v>20500</x:v>
      </x:c>
      <x:c r="E36" s="6" t="n">
        <x:f>C36-D36</x:f>
        <x:v>-12000</x:v>
      </x:c>
      <x:c r="F36" s="6" t="n">
        <x:f>F35+E36</x:f>
        <x:v>-1193000</x:v>
      </x:c>
      <x:c r="G36" s="6" t="n">
        <x:v>8500</x:v>
      </x:c>
      <x:c r="H36" s="6" t="n">
        <x:v>20500</x:v>
      </x:c>
      <x:c r="I36" s="6" t="n">
        <x:v>7</x:v>
      </x:c>
      <x:c r="J36" s="6" t="n">
        <x:v>0</x:v>
      </x:c>
      <x:c r="K36" s="6" t="n">
        <x:v>0</x:v>
      </x:c>
      <x:c r="L36" s="6" t="n">
        <x:v>2</x:v>
      </x:c>
      <x:c r="M36" s="11" t="n">
        <x:v>0.8302380952380952</x:v>
      </x:c>
      <x:c r="N36" s="6" t="n">
        <x:v>25500</x:v>
      </x:c>
    </x:row>
    <x:row r="37" ht="24" customHeight="1">
      <x:c r="A37" s="2" t="str">
        <x:v>2026-10-12_Night</x:v>
      </x:c>
      <x:c r="B37" s="6" t="str">
        <x:v>ナイト</x:v>
      </x:c>
      <x:c r="C37" s="6" t="n">
        <x:v>36000</x:v>
      </x:c>
      <x:c r="D37" s="6" t="n">
        <x:v>85500</x:v>
      </x:c>
      <x:c r="E37" s="6" t="n">
        <x:f>C37-D37</x:f>
        <x:v>-49500</x:v>
      </x:c>
      <x:c r="F37" s="6" t="n">
        <x:f>F36+E37</x:f>
        <x:v>-1242500</x:v>
      </x:c>
      <x:c r="G37" s="6" t="n">
        <x:v>36000</x:v>
      </x:c>
      <x:c r="H37" s="6" t="n">
        <x:v>85500</x:v>
      </x:c>
      <x:c r="I37" s="6" t="n">
        <x:v>20</x:v>
      </x:c>
      <x:c r="J37" s="6" t="n">
        <x:v>0</x:v>
      </x:c>
      <x:c r="K37" s="6" t="n">
        <x:v>0</x:v>
      </x:c>
      <x:c r="L37" s="6" t="n">
        <x:v>4</x:v>
      </x:c>
      <x:c r="M37" s="11" t="n">
        <x:v>0.7915811965811966</x:v>
      </x:c>
      <x:c r="N37" s="6" t="n">
        <x:v>89000</x:v>
      </x:c>
    </x:row>
    <x:row r="38" ht="24" customHeight="1">
      <x:c r="A38" s="2" t="str">
        <x:v>2026-10-13_Day</x:v>
      </x:c>
      <x:c r="B38" s="6" t="str">
        <x:v>デイ</x:v>
      </x:c>
      <x:c r="C38" s="6" t="n">
        <x:v>36000</x:v>
      </x:c>
      <x:c r="D38" s="6" t="n">
        <x:v>56000</x:v>
      </x:c>
      <x:c r="E38" s="6" t="n">
        <x:f>C38-D38</x:f>
        <x:v>-20000</x:v>
      </x:c>
      <x:c r="F38" s="6" t="n">
        <x:f>F37+E38</x:f>
        <x:v>-1262500</x:v>
      </x:c>
      <x:c r="G38" s="6" t="n">
        <x:v>36000</x:v>
      </x:c>
      <x:c r="H38" s="6" t="n">
        <x:v>56000</x:v>
      </x:c>
      <x:c r="I38" s="6" t="n">
        <x:v>25</x:v>
      </x:c>
      <x:c r="J38" s="6" t="n">
        <x:v>0</x:v>
      </x:c>
      <x:c r="K38" s="6" t="n">
        <x:v>0</x:v>
      </x:c>
      <x:c r="L38" s="6" t="n">
        <x:v>4</x:v>
      </x:c>
      <x:c r="M38" s="11" t="n">
        <x:v>0.5838888888888889</x:v>
      </x:c>
      <x:c r="N38" s="6" t="n">
        <x:v>48000</x:v>
      </x:c>
    </x:row>
    <x:row r="39" ht="24" customHeight="1">
      <x:c r="A39" s="2" t="str">
        <x:v>2026-10-13_Night</x:v>
      </x:c>
      <x:c r="B39" s="6" t="str">
        <x:v>ナイト</x:v>
      </x:c>
      <x:c r="C39" s="6" t="n">
        <x:v>37500</x:v>
      </x:c>
      <x:c r="D39" s="6" t="n">
        <x:v>18500</x:v>
      </x:c>
      <x:c r="E39" s="6" t="n">
        <x:f>C39-D39</x:f>
        <x:v>19000</x:v>
      </x:c>
      <x:c r="F39" s="6" t="n">
        <x:f>F38+E39</x:f>
        <x:v>-1243500</x:v>
      </x:c>
      <x:c r="G39" s="6" t="n">
        <x:v>37500</x:v>
      </x:c>
      <x:c r="H39" s="6" t="n">
        <x:v>18500</x:v>
      </x:c>
      <x:c r="I39" s="6" t="n">
        <x:v>15</x:v>
      </x:c>
      <x:c r="J39" s="6" t="n">
        <x:v>0</x:v>
      </x:c>
      <x:c r="K39" s="6" t="n">
        <x:v>0</x:v>
      </x:c>
      <x:c r="L39" s="6" t="n">
        <x:v>4</x:v>
      </x:c>
      <x:c r="M39" s="11" t="n">
        <x:v>0.7530128205128205</x:v>
      </x:c>
      <x:c r="N39" s="6" t="n">
        <x:v>33000</x:v>
      </x:c>
    </x:row>
    <x:row r="40" ht="24" customHeight="1">
      <x:c r="A40" s="2" t="str">
        <x:v>2026-10-14_Day</x:v>
      </x:c>
      <x:c r="B40" s="6" t="str">
        <x:v>デイ</x:v>
      </x:c>
      <x:c r="C40" s="6" t="n">
        <x:v>28000</x:v>
      </x:c>
      <x:c r="D40" s="6" t="n">
        <x:v>75000</x:v>
      </x:c>
      <x:c r="E40" s="6" t="n">
        <x:f>C40-D40</x:f>
        <x:v>-47000</x:v>
      </x:c>
      <x:c r="F40" s="6" t="n">
        <x:f>F39+E40</x:f>
        <x:v>-1290500</x:v>
      </x:c>
      <x:c r="G40" s="6" t="n">
        <x:v>28000</x:v>
      </x:c>
      <x:c r="H40" s="6" t="n">
        <x:v>75000</x:v>
      </x:c>
      <x:c r="I40" s="6" t="n">
        <x:v>26</x:v>
      </x:c>
      <x:c r="J40" s="6" t="n">
        <x:v>0</x:v>
      </x:c>
      <x:c r="K40" s="6" t="n">
        <x:v>0</x:v>
      </x:c>
      <x:c r="L40" s="6" t="n">
        <x:v>4</x:v>
      </x:c>
      <x:c r="M40" s="11" t="n">
        <x:v>0.6877777777777778</x:v>
      </x:c>
      <x:c r="N40" s="6" t="n">
        <x:v>54500</x:v>
      </x:c>
    </x:row>
    <x:row r="41" ht="24" customHeight="1">
      <x:c r="A41" s="2" t="str">
        <x:v>2026-10-14_Night</x:v>
      </x:c>
      <x:c r="B41" s="6" t="str">
        <x:v>ナイト</x:v>
      </x:c>
      <x:c r="C41" s="6" t="n">
        <x:v>67000</x:v>
      </x:c>
      <x:c r="D41" s="6" t="n">
        <x:v>110500</x:v>
      </x:c>
      <x:c r="E41" s="6" t="n">
        <x:f>C41-D41</x:f>
        <x:v>-43500</x:v>
      </x:c>
      <x:c r="F41" s="6" t="n">
        <x:f>F40+E41</x:f>
        <x:v>-1334000</x:v>
      </x:c>
      <x:c r="G41" s="6" t="n">
        <x:v>67000</x:v>
      </x:c>
      <x:c r="H41" s="6" t="n">
        <x:v>110500</x:v>
      </x:c>
      <x:c r="I41" s="6" t="n">
        <x:v>33</x:v>
      </x:c>
      <x:c r="J41" s="6" t="n">
        <x:v>0</x:v>
      </x:c>
      <x:c r="K41" s="6" t="n">
        <x:v>0</x:v>
      </x:c>
      <x:c r="L41" s="6" t="n">
        <x:v>5</x:v>
      </x:c>
      <x:c r="M41" s="11" t="n">
        <x:v>0.6186111111111111</x:v>
      </x:c>
      <x:c r="N41" s="6" t="n">
        <x:v>73000</x:v>
      </x:c>
    </x:row>
    <x:row r="42" ht="24" customHeight="1">
      <x:c r="A42" s="2" t="str">
        <x:v>2026-10-15_Day</x:v>
      </x:c>
      <x:c r="B42" s="6" t="str">
        <x:v>デイ</x:v>
      </x:c>
      <x:c r="C42" s="6" t="n">
        <x:v>49000</x:v>
      </x:c>
      <x:c r="D42" s="6" t="n">
        <x:v>69000</x:v>
      </x:c>
      <x:c r="E42" s="6" t="n">
        <x:f>C42-D42</x:f>
        <x:v>-20000</x:v>
      </x:c>
      <x:c r="F42" s="6" t="n">
        <x:f>F41+E42</x:f>
        <x:v>-1354000</x:v>
      </x:c>
      <x:c r="G42" s="6" t="n">
        <x:v>49000</x:v>
      </x:c>
      <x:c r="H42" s="6" t="n">
        <x:v>69000</x:v>
      </x:c>
      <x:c r="I42" s="6" t="n">
        <x:v>30</x:v>
      </x:c>
      <x:c r="J42" s="6" t="n">
        <x:v>0</x:v>
      </x:c>
      <x:c r="K42" s="6" t="n">
        <x:v>0</x:v>
      </x:c>
      <x:c r="L42" s="6" t="n">
        <x:v>1</x:v>
      </x:c>
      <x:c r="M42" s="11" t="n">
        <x:v>0.29817460317460315</x:v>
      </x:c>
      <x:c r="N42" s="6" t="n">
        <x:v>37500</x:v>
      </x:c>
    </x:row>
    <x:row r="43" ht="24" customHeight="1">
      <x:c r="A43" s="2" t="str">
        <x:v>2026-10-15_Night</x:v>
      </x:c>
      <x:c r="B43" s="6" t="str">
        <x:v>ナイト</x:v>
      </x:c>
      <x:c r="C43" s="6" t="n">
        <x:v>81500</x:v>
      </x:c>
      <x:c r="D43" s="6" t="n">
        <x:v>123500</x:v>
      </x:c>
      <x:c r="E43" s="6" t="n">
        <x:f>C43-D43</x:f>
        <x:v>-42000</x:v>
      </x:c>
      <x:c r="F43" s="6" t="n">
        <x:f>F42+E43</x:f>
        <x:v>-1396000</x:v>
      </x:c>
      <x:c r="G43" s="6" t="n">
        <x:v>81500</x:v>
      </x:c>
      <x:c r="H43" s="6" t="n">
        <x:v>123500</x:v>
      </x:c>
      <x:c r="I43" s="6" t="n">
        <x:v>34</x:v>
      </x:c>
      <x:c r="J43" s="6" t="n">
        <x:v>0</x:v>
      </x:c>
      <x:c r="K43" s="6" t="n">
        <x:v>0</x:v>
      </x:c>
      <x:c r="L43" s="6" t="n">
        <x:v>6</x:v>
      </x:c>
      <x:c r="M43" s="11" t="n">
        <x:v>0.5755128205128205</x:v>
      </x:c>
      <x:c r="N43" s="6" t="n">
        <x:v>67000</x:v>
      </x:c>
    </x:row>
    <x:row r="44" ht="24" customHeight="1">
      <x:c r="A44" s="2" t="str">
        <x:v>2026-10-16_Day</x:v>
      </x:c>
      <x:c r="B44" s="6" t="str">
        <x:v>デイ</x:v>
      </x:c>
      <x:c r="C44" s="6" t="n">
        <x:v>59500</x:v>
      </x:c>
      <x:c r="D44" s="6" t="n">
        <x:v>49500</x:v>
      </x:c>
      <x:c r="E44" s="6" t="n">
        <x:f>C44-D44</x:f>
        <x:v>10000</x:v>
      </x:c>
      <x:c r="F44" s="6" t="n">
        <x:f>F43+E44</x:f>
        <x:v>-1386000</x:v>
      </x:c>
      <x:c r="G44" s="6" t="n">
        <x:v>59500</x:v>
      </x:c>
      <x:c r="H44" s="6" t="n">
        <x:v>49500</x:v>
      </x:c>
      <x:c r="I44" s="6" t="n">
        <x:v>21</x:v>
      </x:c>
      <x:c r="J44" s="6" t="n">
        <x:v>0</x:v>
      </x:c>
      <x:c r="K44" s="6" t="n">
        <x:v>0</x:v>
      </x:c>
      <x:c r="L44" s="6" t="n">
        <x:v>3</x:v>
      </x:c>
      <x:c r="M44" s="11" t="n">
        <x:v>0.555952380952381</x:v>
      </x:c>
      <x:c r="N44" s="6" t="n">
        <x:v>31500</x:v>
      </x:c>
    </x:row>
    <x:row r="45" ht="24" customHeight="1">
      <x:c r="A45" s="2" t="str">
        <x:v>2026-10-16_Night</x:v>
      </x:c>
      <x:c r="B45" s="6" t="str">
        <x:v>ナイト</x:v>
      </x:c>
      <x:c r="C45" s="6" t="n">
        <x:v>105500</x:v>
      </x:c>
      <x:c r="D45" s="6" t="n">
        <x:v>88000</x:v>
      </x:c>
      <x:c r="E45" s="6" t="n">
        <x:f>C45-D45</x:f>
        <x:v>17500</x:v>
      </x:c>
      <x:c r="F45" s="6" t="n">
        <x:f>F44+E45</x:f>
        <x:v>-1368500</x:v>
      </x:c>
      <x:c r="G45" s="6" t="n">
        <x:v>105500</x:v>
      </x:c>
      <x:c r="H45" s="6" t="n">
        <x:v>88000</x:v>
      </x:c>
      <x:c r="I45" s="6" t="n">
        <x:v>42</x:v>
      </x:c>
      <x:c r="J45" s="6" t="n">
        <x:v>0</x:v>
      </x:c>
      <x:c r="K45" s="6" t="n">
        <x:v>0</x:v>
      </x:c>
      <x:c r="L45" s="6" t="n">
        <x:v>5</x:v>
      </x:c>
      <x:c r="M45" s="11" t="n">
        <x:v>0.5554273504273505</x:v>
      </x:c>
      <x:c r="N45" s="6" t="n">
        <x:v>41000</x:v>
      </x:c>
    </x:row>
    <x:row r="46" ht="24" customHeight="1">
      <x:c r="A46" s="2" t="str">
        <x:v>2026-10-19_Day</x:v>
      </x:c>
      <x:c r="B46" s="6" t="str">
        <x:v>デイ</x:v>
      </x:c>
      <x:c r="C46" s="6" t="n">
        <x:v>24500</x:v>
      </x:c>
      <x:c r="D46" s="6" t="n">
        <x:v>62500</x:v>
      </x:c>
      <x:c r="E46" s="6" t="n">
        <x:f>C46-D46</x:f>
        <x:v>-38000</x:v>
      </x:c>
      <x:c r="F46" s="6" t="n">
        <x:f>F45+E46</x:f>
        <x:v>-1406500</x:v>
      </x:c>
      <x:c r="G46" s="6" t="n">
        <x:v>24500</x:v>
      </x:c>
      <x:c r="H46" s="6" t="n">
        <x:v>62500</x:v>
      </x:c>
      <x:c r="I46" s="6" t="n">
        <x:v>22</x:v>
      </x:c>
      <x:c r="J46" s="6" t="n">
        <x:v>0</x:v>
      </x:c>
      <x:c r="K46" s="6" t="n">
        <x:v>0</x:v>
      </x:c>
      <x:c r="L46" s="6" t="n">
        <x:v>3</x:v>
      </x:c>
      <x:c r="M46" s="11" t="n">
        <x:v>0.5846428571428571</x:v>
      </x:c>
      <x:c r="N46" s="6" t="n">
        <x:v>43500</x:v>
      </x:c>
    </x:row>
    <x:row r="47" ht="24" customHeight="1">
      <x:c r="A47" s="2" t="str">
        <x:v>2026-10-19_Night</x:v>
      </x:c>
      <x:c r="B47" s="6" t="str">
        <x:v>ナイト</x:v>
      </x:c>
      <x:c r="C47" s="6" t="n">
        <x:v>46000</x:v>
      </x:c>
      <x:c r="D47" s="6" t="n">
        <x:v>92000</x:v>
      </x:c>
      <x:c r="E47" s="6" t="n">
        <x:f>C47-D47</x:f>
        <x:v>-46000</x:v>
      </x:c>
      <x:c r="F47" s="6" t="n">
        <x:f>F46+E47</x:f>
        <x:v>-1452500</x:v>
      </x:c>
      <x:c r="G47" s="6" t="n">
        <x:v>46000</x:v>
      </x:c>
      <x:c r="H47" s="6" t="n">
        <x:v>92000</x:v>
      </x:c>
      <x:c r="I47" s="6" t="n">
        <x:v>36</x:v>
      </x:c>
      <x:c r="J47" s="6" t="n">
        <x:v>0</x:v>
      </x:c>
      <x:c r="K47" s="6" t="n">
        <x:v>0</x:v>
      </x:c>
      <x:c r="L47" s="6" t="n">
        <x:v>4</x:v>
      </x:c>
      <x:c r="M47" s="11" t="n">
        <x:v>0.6487606837606837</x:v>
      </x:c>
      <x:c r="N47" s="6" t="n">
        <x:v>59000</x:v>
      </x:c>
    </x:row>
    <x:row r="48" ht="24" customHeight="1">
      <x:c r="A48" s="2" t="str">
        <x:v>2026-10-20_Day</x:v>
      </x:c>
      <x:c r="B48" s="6" t="str">
        <x:v>デイ</x:v>
      </x:c>
      <x:c r="C48" s="6" t="n">
        <x:v>62500</x:v>
      </x:c>
      <x:c r="D48" s="6" t="n">
        <x:v>25000</x:v>
      </x:c>
      <x:c r="E48" s="6" t="n">
        <x:f>C48-D48</x:f>
        <x:v>37500</x:v>
      </x:c>
      <x:c r="F48" s="6" t="n">
        <x:f>F47+E48</x:f>
        <x:v>-1415000</x:v>
      </x:c>
      <x:c r="G48" s="6" t="n">
        <x:v>62500</x:v>
      </x:c>
      <x:c r="H48" s="6" t="n">
        <x:v>25000</x:v>
      </x:c>
      <x:c r="I48" s="6" t="n">
        <x:v>28</x:v>
      </x:c>
      <x:c r="J48" s="6" t="n">
        <x:v>0</x:v>
      </x:c>
      <x:c r="K48" s="6" t="n">
        <x:v>0</x:v>
      </x:c>
      <x:c r="L48" s="6" t="n">
        <x:v>4</x:v>
      </x:c>
      <x:c r="M48" s="11" t="n">
        <x:v>0.37694444444444447</x:v>
      </x:c>
      <x:c r="N48" s="6" t="n">
        <x:v>15500</x:v>
      </x:c>
    </x:row>
    <x:row r="49" ht="24" customHeight="1">
      <x:c r="A49" s="2" t="str">
        <x:v>2026-10-20_Night</x:v>
      </x:c>
      <x:c r="B49" s="6" t="str">
        <x:v>ナイト</x:v>
      </x:c>
      <x:c r="C49" s="6" t="n">
        <x:v>51500</x:v>
      </x:c>
      <x:c r="D49" s="6" t="n">
        <x:v>144000</x:v>
      </x:c>
      <x:c r="E49" s="6" t="n">
        <x:f>C49-D49</x:f>
        <x:v>-92500</x:v>
      </x:c>
      <x:c r="F49" s="6" t="n">
        <x:f>F48+E49</x:f>
        <x:v>-1507500</x:v>
      </x:c>
      <x:c r="G49" s="6" t="n">
        <x:v>51500</x:v>
      </x:c>
      <x:c r="H49" s="6" t="n">
        <x:v>144000</x:v>
      </x:c>
      <x:c r="I49" s="6" t="n">
        <x:v>36</x:v>
      </x:c>
      <x:c r="J49" s="6" t="n">
        <x:v>0</x:v>
      </x:c>
      <x:c r="K49" s="6" t="n">
        <x:v>0</x:v>
      </x:c>
      <x:c r="L49" s="6" t="n">
        <x:v>5</x:v>
      </x:c>
      <x:c r="M49" s="11" t="n">
        <x:v>0.6100213675213675</x:v>
      </x:c>
      <x:c r="N49" s="6" t="n">
        <x:v>119000</x:v>
      </x:c>
    </x:row>
    <x:row r="50" ht="24" customHeight="1">
      <x:c r="A50" s="2" t="str">
        <x:v>2026-10-21_Day</x:v>
      </x:c>
      <x:c r="B50" s="6" t="str">
        <x:v>デイ</x:v>
      </x:c>
      <x:c r="C50" s="6" t="n">
        <x:v>27000</x:v>
      </x:c>
      <x:c r="D50" s="6" t="n">
        <x:v>76000</x:v>
      </x:c>
      <x:c r="E50" s="6" t="n">
        <x:f>C50-D50</x:f>
        <x:v>-49000</x:v>
      </x:c>
      <x:c r="F50" s="6" t="n">
        <x:f>F49+E50</x:f>
        <x:v>-1556500</x:v>
      </x:c>
      <x:c r="G50" s="6" t="n">
        <x:v>27000</x:v>
      </x:c>
      <x:c r="H50" s="6" t="n">
        <x:v>76000</x:v>
      </x:c>
      <x:c r="I50" s="6" t="n">
        <x:v>19</x:v>
      </x:c>
      <x:c r="J50" s="6" t="n">
        <x:v>0</x:v>
      </x:c>
      <x:c r="K50" s="6" t="n">
        <x:v>0</x:v>
      </x:c>
      <x:c r="L50" s="6" t="n">
        <x:v>4</x:v>
      </x:c>
      <x:c r="M50" s="11" t="n">
        <x:v>0.4723809523809524</x:v>
      </x:c>
      <x:c r="N50" s="6" t="n">
        <x:v>61500</x:v>
      </x:c>
    </x:row>
    <x:row r="51" ht="24" customHeight="1">
      <x:c r="A51" s="2" t="str">
        <x:v>2026-10-21_Night</x:v>
      </x:c>
      <x:c r="B51" s="6" t="str">
        <x:v>ナイト</x:v>
      </x:c>
      <x:c r="C51" s="6" t="n">
        <x:v>67500</x:v>
      </x:c>
      <x:c r="D51" s="6" t="n">
        <x:v>60000</x:v>
      </x:c>
      <x:c r="E51" s="6" t="n">
        <x:f>C51-D51</x:f>
        <x:v>7500</x:v>
      </x:c>
      <x:c r="F51" s="6" t="n">
        <x:f>F50+E51</x:f>
        <x:v>-1549000</x:v>
      </x:c>
      <x:c r="G51" s="6" t="n">
        <x:v>67500</x:v>
      </x:c>
      <x:c r="H51" s="6" t="n">
        <x:v>60000</x:v>
      </x:c>
      <x:c r="I51" s="6" t="n">
        <x:v>28</x:v>
      </x:c>
      <x:c r="J51" s="6" t="n">
        <x:v>0</x:v>
      </x:c>
      <x:c r="K51" s="6" t="n">
        <x:v>0</x:v>
      </x:c>
      <x:c r="L51" s="6" t="n">
        <x:v>4</x:v>
      </x:c>
      <x:c r="M51" s="11" t="n">
        <x:v>0.6562606837606838</x:v>
      </x:c>
      <x:c r="N51" s="6" t="n">
        <x:v>29000</x:v>
      </x:c>
    </x:row>
    <x:row r="52" ht="24" customHeight="1">
      <x:c r="A52" s="2" t="str">
        <x:v>2026-10-22_Day</x:v>
      </x:c>
      <x:c r="B52" s="6" t="str">
        <x:v>デイ</x:v>
      </x:c>
      <x:c r="C52" s="6" t="n">
        <x:v>86000</x:v>
      </x:c>
      <x:c r="D52" s="6" t="n">
        <x:v>55500</x:v>
      </x:c>
      <x:c r="E52" s="6" t="n">
        <x:f>C52-D52</x:f>
        <x:v>30500</x:v>
      </x:c>
      <x:c r="F52" s="6" t="n">
        <x:f>F51+E52</x:f>
        <x:v>-1518500</x:v>
      </x:c>
      <x:c r="G52" s="6" t="n">
        <x:v>86000</x:v>
      </x:c>
      <x:c r="H52" s="6" t="n">
        <x:v>55500</x:v>
      </x:c>
      <x:c r="I52" s="6" t="n">
        <x:v>27</x:v>
      </x:c>
      <x:c r="J52" s="6" t="n">
        <x:v>0</x:v>
      </x:c>
      <x:c r="K52" s="6" t="n">
        <x:v>0</x:v>
      </x:c>
      <x:c r="L52" s="6" t="n">
        <x:v>10</x:v>
      </x:c>
      <x:c r="M52" s="11" t="n">
        <x:v>0.393531746031746</x:v>
      </x:c>
      <x:c r="N52" s="6" t="n">
        <x:v>39500</x:v>
      </x:c>
    </x:row>
    <x:row r="53" ht="24" customHeight="1">
      <x:c r="A53" s="2" t="str">
        <x:v>2026-10-22_Night</x:v>
      </x:c>
      <x:c r="B53" s="6" t="str">
        <x:v>ナイト</x:v>
      </x:c>
      <x:c r="C53" s="6" t="n">
        <x:v>103000</x:v>
      </x:c>
      <x:c r="D53" s="6" t="n">
        <x:v>92500</x:v>
      </x:c>
      <x:c r="E53" s="6" t="n">
        <x:f>C53-D53</x:f>
        <x:v>10500</x:v>
      </x:c>
      <x:c r="F53" s="6" t="n">
        <x:f>F52+E53</x:f>
        <x:v>-1508000</x:v>
      </x:c>
      <x:c r="G53" s="6" t="n">
        <x:v>103000</x:v>
      </x:c>
      <x:c r="H53" s="6" t="n">
        <x:v>92500</x:v>
      </x:c>
      <x:c r="I53" s="6" t="n">
        <x:v>40</x:v>
      </x:c>
      <x:c r="J53" s="6" t="n">
        <x:v>0</x:v>
      </x:c>
      <x:c r="K53" s="6" t="n">
        <x:v>0</x:v>
      </x:c>
      <x:c r="L53" s="6" t="n">
        <x:v>4</x:v>
      </x:c>
      <x:c r="M53" s="11" t="n">
        <x:v>0.5362179487179487</x:v>
      </x:c>
      <x:c r="N53" s="6" t="n">
        <x:v>38000</x:v>
      </x:c>
    </x:row>
    <x:row r="54" ht="24" customHeight="1">
      <x:c r="A54" s="2" t="str">
        <x:v>2026-10-23_Day</x:v>
      </x:c>
      <x:c r="B54" s="6" t="str">
        <x:v>デイ</x:v>
      </x:c>
      <x:c r="C54" s="6" t="n">
        <x:v>43500</x:v>
      </x:c>
      <x:c r="D54" s="6" t="n">
        <x:v>127500</x:v>
      </x:c>
      <x:c r="E54" s="6" t="n">
        <x:f>C54-D54</x:f>
        <x:v>-84000</x:v>
      </x:c>
      <x:c r="F54" s="6" t="n">
        <x:f>F53+E54</x:f>
        <x:v>-1592000</x:v>
      </x:c>
      <x:c r="G54" s="6" t="n">
        <x:v>43500</x:v>
      </x:c>
      <x:c r="H54" s="6" t="n">
        <x:v>127500</x:v>
      </x:c>
      <x:c r="I54" s="6" t="n">
        <x:v>31</x:v>
      </x:c>
      <x:c r="J54" s="6" t="n">
        <x:v>0</x:v>
      </x:c>
      <x:c r="K54" s="6" t="n">
        <x:v>0</x:v>
      </x:c>
      <x:c r="L54" s="6" t="n">
        <x:v>6</x:v>
      </x:c>
      <x:c r="M54" s="11" t="n">
        <x:v>0.33630952380952384</x:v>
      </x:c>
      <x:c r="N54" s="6" t="n">
        <x:v>86500</x:v>
      </x:c>
    </x:row>
    <x:row r="55" ht="24" customHeight="1">
      <x:c r="A55" s="2" t="str">
        <x:v>2026-10-23_Night</x:v>
      </x:c>
      <x:c r="B55" s="6" t="str">
        <x:v>ナイト</x:v>
      </x:c>
      <x:c r="C55" s="6" t="n">
        <x:v>62500</x:v>
      </x:c>
      <x:c r="D55" s="6" t="n">
        <x:v>84500</x:v>
      </x:c>
      <x:c r="E55" s="6" t="n">
        <x:f>C55-D55</x:f>
        <x:v>-22000</x:v>
      </x:c>
      <x:c r="F55" s="6" t="n">
        <x:f>F54+E55</x:f>
        <x:v>-1614000</x:v>
      </x:c>
      <x:c r="G55" s="6" t="n">
        <x:v>62500</x:v>
      </x:c>
      <x:c r="H55" s="6" t="n">
        <x:v>84500</x:v>
      </x:c>
      <x:c r="I55" s="6" t="n">
        <x:v>33</x:v>
      </x:c>
      <x:c r="J55" s="6" t="n">
        <x:v>0</x:v>
      </x:c>
      <x:c r="K55" s="6" t="n">
        <x:v>0</x:v>
      </x:c>
      <x:c r="L55" s="6" t="n">
        <x:v>4</x:v>
      </x:c>
      <x:c r="M55" s="11" t="n">
        <x:v>0.6118803418803419</x:v>
      </x:c>
      <x:c r="N55" s="6" t="n">
        <x:v>42500</x:v>
      </x:c>
    </x:row>
    <x:row r="56" ht="24" customHeight="1">
      <x:c r="A56" s="2" t="str">
        <x:v>2026-10-26_Day</x:v>
      </x:c>
      <x:c r="B56" s="6" t="str">
        <x:v>デイ</x:v>
      </x:c>
      <x:c r="C56" s="6" t="n">
        <x:v>55000</x:v>
      </x:c>
      <x:c r="D56" s="6" t="n">
        <x:v>121500</x:v>
      </x:c>
      <x:c r="E56" s="6" t="n">
        <x:f>C56-D56</x:f>
        <x:v>-66500</x:v>
      </x:c>
      <x:c r="F56" s="6" t="n">
        <x:f>F55+E56</x:f>
        <x:v>-1680500</x:v>
      </x:c>
      <x:c r="G56" s="6" t="n">
        <x:v>55000</x:v>
      </x:c>
      <x:c r="H56" s="6" t="n">
        <x:v>121500</x:v>
      </x:c>
      <x:c r="I56" s="6" t="n">
        <x:v>31</x:v>
      </x:c>
      <x:c r="J56" s="6" t="n">
        <x:v>0</x:v>
      </x:c>
      <x:c r="K56" s="6" t="n">
        <x:v>0</x:v>
      </x:c>
      <x:c r="L56" s="6" t="n">
        <x:v>7</x:v>
      </x:c>
      <x:c r="M56" s="11" t="n">
        <x:v>0.5952380952380952</x:v>
      </x:c>
      <x:c r="N56" s="6" t="n">
        <x:v>89500</x:v>
      </x:c>
    </x:row>
    <x:row r="57" ht="24" customHeight="1">
      <x:c r="A57" s="15" t="str">
        <x:v>累計／平均／最大</x:v>
      </x:c>
      <x:c r="B57" s="16"/>
      <x:c r="C57" s="16" t="n">
        <x:f>SUM(C6:C56)</x:f>
        <x:v>2663000</x:v>
      </x:c>
      <x:c r="D57" s="16" t="n">
        <x:f>SUM(D6:D56)</x:f>
        <x:v>4343500</x:v>
      </x:c>
      <x:c r="E57" s="16" t="n">
        <x:f>C57-D57</x:f>
        <x:v>-1680500</x:v>
      </x:c>
      <x:c r="F57" s="16" t="n">
        <x:f>F56</x:f>
        <x:v>-1680500</x:v>
      </x:c>
      <x:c r="G57" s="16" t="n">
        <x:f>SUM(G6:G56)</x:f>
        <x:v>2663000</x:v>
      </x:c>
      <x:c r="H57" s="16" t="n">
        <x:f>SUM(H6:H56)</x:f>
        <x:v>4343500</x:v>
      </x:c>
      <x:c r="I57" s="16" t="n">
        <x:f>SUM(I6:I56)</x:f>
        <x:v>1359</x:v>
      </x:c>
      <x:c r="J57" s="16" t="n">
        <x:f>SUM(J6:J56)</x:f>
        <x:v>0</x:v>
      </x:c>
      <x:c r="K57" s="16" t="n">
        <x:f>SUM(K6:K56)</x:f>
        <x:v>0</x:v>
      </x:c>
      <x:c r="L57" s="16" t="n">
        <x:f>MAX(L6:L56)</x:f>
        <x:v>10</x:v>
      </x:c>
      <x:c r="M57" s="17" t="n">
        <x:f>AVERAGE(M6:M56)</x:f>
        <x:v>0.6149784529196294</x:v>
      </x:c>
      <x:c r="N57" s="16" t="n">
        <x:f>MAX(N6:N56)</x:f>
        <x:v>140000</x:v>
      </x:c>
    </x:row>
  </x:sheetData>
  <x:conditionalFormatting sqref="E6:F56">
    <x:cfRule type="cellIs" dxfId="39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b1bcd8c7d7e4005"/>
  </x:tableParts>
</x:worksheet>
</file>

<file path=xl/worksheets/sheet4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1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4" customHeight="1">
      <x:c r="A1" s="3" t="str">
        <x:v>TOPIX R07　各セッションの利益・損失・収支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A2" s="4" t="str">
        <x:v>2026/09/21〜10/26デイ・51完了場。日経mini／TOPIXmini各上限10枚・手数料0。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4" customHeight="1">
      <x:c r="A3" s="4" t="str">
        <x:v>10分MA・冷却後に再参加・価格と1分傾き確認・保有中も比例枚数へ増減／T出口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4" customHeight="1">
      <x:c r="A4" s="4" t="str">
        <x:v>利益・損失＝FIFO返済配賦別。親＝初回から全返済まで。ラージ気配による模型で、mini実約定の検証ではありません。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42" customHeight="1">
      <x:c r="A5" s="10" t="str">
        <x:v>セッション</x:v>
      </x:c>
      <x:c r="B5" s="10" t="str">
        <x:v>区分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親利益（円）</x:v>
      </x:c>
      <x:c r="H5" s="10" t="str">
        <x:v>親損失（円）</x:v>
      </x:c>
      <x:c r="I5" s="10" t="str">
        <x:v>初回件数</x:v>
      </x:c>
      <x:c r="J5" s="10" t="str">
        <x:v>追加件数</x:v>
      </x:c>
      <x:c r="K5" s="10" t="str">
        <x:v>縮小件数</x:v>
      </x:c>
      <x:c r="L5" s="10" t="str">
        <x:v>最大保有枚数</x:v>
      </x:c>
      <x:c r="M5" s="10" t="str">
        <x:v>保有時間率</x:v>
      </x:c>
      <x:c r="N5" s="10" t="str">
        <x:v>時価最大DD（円）</x:v>
      </x:c>
    </x:row>
    <x:row r="6" ht="24" customHeight="1">
      <x:c r="A6" s="2" t="str">
        <x:v>2026-09-21_Day</x:v>
      </x:c>
      <x:c r="B6" s="6" t="str">
        <x:v>デイ</x:v>
      </x:c>
      <x:c r="C6" s="6" t="n">
        <x:v>22000</x:v>
      </x:c>
      <x:c r="D6" s="6" t="n">
        <x:v>97000</x:v>
      </x:c>
      <x:c r="E6" s="6" t="n">
        <x:f>C6-D6</x:f>
        <x:v>-75000</x:v>
      </x:c>
      <x:c r="F6" s="6" t="n">
        <x:f>E6</x:f>
        <x:v>-75000</x:v>
      </x:c>
      <x:c r="G6" s="6" t="n">
        <x:v>12500</x:v>
      </x:c>
      <x:c r="H6" s="6" t="n">
        <x:v>87500</x:v>
      </x:c>
      <x:c r="I6" s="6" t="n">
        <x:v>11</x:v>
      </x:c>
      <x:c r="J6" s="6" t="n">
        <x:v>27</x:v>
      </x:c>
      <x:c r="K6" s="6" t="n">
        <x:v>18</x:v>
      </x:c>
      <x:c r="L6" s="6" t="n">
        <x:v>10</x:v>
      </x:c>
      <x:c r="M6" s="11" t="n">
        <x:v>0.6226587301587302</x:v>
      </x:c>
      <x:c r="N6" s="6" t="n">
        <x:v>84500</x:v>
      </x:c>
    </x:row>
    <x:row r="7" ht="24" customHeight="1">
      <x:c r="A7" s="2" t="str">
        <x:v>2026-09-21_Night</x:v>
      </x:c>
      <x:c r="B7" s="6" t="str">
        <x:v>ナイト</x:v>
      </x:c>
      <x:c r="C7" s="6" t="n">
        <x:v>41000</x:v>
      </x:c>
      <x:c r="D7" s="6" t="n">
        <x:v>122000</x:v>
      </x:c>
      <x:c r="E7" s="6" t="n">
        <x:f>C7-D7</x:f>
        <x:v>-81000</x:v>
      </x:c>
      <x:c r="F7" s="6" t="n">
        <x:f>F6+E7</x:f>
        <x:v>-156000</x:v>
      </x:c>
      <x:c r="G7" s="6" t="n">
        <x:v>16000</x:v>
      </x:c>
      <x:c r="H7" s="6" t="n">
        <x:v>97000</x:v>
      </x:c>
      <x:c r="I7" s="6" t="n">
        <x:v>23</x:v>
      </x:c>
      <x:c r="J7" s="6" t="n">
        <x:v>61</x:v>
      </x:c>
      <x:c r="K7" s="6" t="n">
        <x:v>55</x:v>
      </x:c>
      <x:c r="L7" s="6" t="n">
        <x:v>6</x:v>
      </x:c>
      <x:c r="M7" s="11" t="n">
        <x:v>0.7774358974358975</x:v>
      </x:c>
      <x:c r="N7" s="6" t="n">
        <x:v>90500</x:v>
      </x:c>
    </x:row>
    <x:row r="8" ht="24" customHeight="1">
      <x:c r="A8" s="2" t="str">
        <x:v>2026-09-22_Day</x:v>
      </x:c>
      <x:c r="B8" s="6" t="str">
        <x:v>デイ</x:v>
      </x:c>
      <x:c r="C8" s="6" t="n">
        <x:v>23500</x:v>
      </x:c>
      <x:c r="D8" s="6" t="n">
        <x:v>140000</x:v>
      </x:c>
      <x:c r="E8" s="6" t="n">
        <x:f>C8-D8</x:f>
        <x:v>-116500</x:v>
      </x:c>
      <x:c r="F8" s="6" t="n">
        <x:f>F7+E8</x:f>
        <x:v>-272500</x:v>
      </x:c>
      <x:c r="G8" s="6" t="n">
        <x:v>5000</x:v>
      </x:c>
      <x:c r="H8" s="6" t="n">
        <x:v>121500</x:v>
      </x:c>
      <x:c r="I8" s="6" t="n">
        <x:v>16</x:v>
      </x:c>
      <x:c r="J8" s="6" t="n">
        <x:v>54</x:v>
      </x:c>
      <x:c r="K8" s="6" t="n">
        <x:v>47</x:v>
      </x:c>
      <x:c r="L8" s="6" t="n">
        <x:v>7</x:v>
      </x:c>
      <x:c r="M8" s="11" t="n">
        <x:v>0.6972222222222222</x:v>
      </x:c>
      <x:c r="N8" s="6" t="n">
        <x:v>125000</x:v>
      </x:c>
    </x:row>
    <x:row r="9" ht="24" customHeight="1">
      <x:c r="A9" s="2" t="str">
        <x:v>2026-09-22_Night</x:v>
      </x:c>
      <x:c r="B9" s="6" t="str">
        <x:v>ナイト</x:v>
      </x:c>
      <x:c r="C9" s="6" t="n">
        <x:v>118000</x:v>
      </x:c>
      <x:c r="D9" s="6" t="n">
        <x:v>147500</x:v>
      </x:c>
      <x:c r="E9" s="6" t="n">
        <x:f>C9-D9</x:f>
        <x:v>-29500</x:v>
      </x:c>
      <x:c r="F9" s="6" t="n">
        <x:f>F8+E9</x:f>
        <x:v>-302000</x:v>
      </x:c>
      <x:c r="G9" s="6" t="n">
        <x:v>84000</x:v>
      </x:c>
      <x:c r="H9" s="6" t="n">
        <x:v>113500</x:v>
      </x:c>
      <x:c r="I9" s="6" t="n">
        <x:v>28</x:v>
      </x:c>
      <x:c r="J9" s="6" t="n">
        <x:v>110</x:v>
      </x:c>
      <x:c r="K9" s="6" t="n">
        <x:v>67</x:v>
      </x:c>
      <x:c r="L9" s="6" t="n">
        <x:v>10</x:v>
      </x:c>
      <x:c r="M9" s="11" t="n">
        <x:v>0.6407905982905983</x:v>
      </x:c>
      <x:c r="N9" s="6" t="n">
        <x:v>69500</x:v>
      </x:c>
    </x:row>
    <x:row r="10" ht="24" customHeight="1">
      <x:c r="A10" s="2" t="str">
        <x:v>2026-09-23_Day</x:v>
      </x:c>
      <x:c r="B10" s="6" t="str">
        <x:v>デイ</x:v>
      </x:c>
      <x:c r="C10" s="6" t="n">
        <x:v>19000</x:v>
      </x:c>
      <x:c r="D10" s="6" t="n">
        <x:v>122000</x:v>
      </x:c>
      <x:c r="E10" s="6" t="n">
        <x:f>C10-D10</x:f>
        <x:v>-103000</x:v>
      </x:c>
      <x:c r="F10" s="6" t="n">
        <x:f>F9+E10</x:f>
        <x:v>-405000</x:v>
      </x:c>
      <x:c r="G10" s="6" t="n">
        <x:v>6500</x:v>
      </x:c>
      <x:c r="H10" s="6" t="n">
        <x:v>109500</x:v>
      </x:c>
      <x:c r="I10" s="6" t="n">
        <x:v>13</x:v>
      </x:c>
      <x:c r="J10" s="6" t="n">
        <x:v>53</x:v>
      </x:c>
      <x:c r="K10" s="6" t="n">
        <x:v>29</x:v>
      </x:c>
      <x:c r="L10" s="6" t="n">
        <x:v>10</x:v>
      </x:c>
      <x:c r="M10" s="11" t="n">
        <x:v>0.6675793650793651</x:v>
      </x:c>
      <x:c r="N10" s="6" t="n">
        <x:v>104000</x:v>
      </x:c>
    </x:row>
    <x:row r="11" ht="24" customHeight="1">
      <x:c r="A11" s="2" t="str">
        <x:v>2026-09-23_Night</x:v>
      </x:c>
      <x:c r="B11" s="6" t="str">
        <x:v>ナイト</x:v>
      </x:c>
      <x:c r="C11" s="6" t="n">
        <x:v>52000</x:v>
      </x:c>
      <x:c r="D11" s="6" t="n">
        <x:v>168000</x:v>
      </x:c>
      <x:c r="E11" s="6" t="n">
        <x:f>C11-D11</x:f>
        <x:v>-116000</x:v>
      </x:c>
      <x:c r="F11" s="6" t="n">
        <x:f>F10+E11</x:f>
        <x:v>-521000</x:v>
      </x:c>
      <x:c r="G11" s="6" t="n">
        <x:v>25500</x:v>
      </x:c>
      <x:c r="H11" s="6" t="n">
        <x:v>141500</x:v>
      </x:c>
      <x:c r="I11" s="6" t="n">
        <x:v>27</x:v>
      </x:c>
      <x:c r="J11" s="6" t="n">
        <x:v>58</x:v>
      </x:c>
      <x:c r="K11" s="6" t="n">
        <x:v>46</x:v>
      </x:c>
      <x:c r="L11" s="6" t="n">
        <x:v>6</x:v>
      </x:c>
      <x:c r="M11" s="11" t="n">
        <x:v>0.6933760683760684</x:v>
      </x:c>
      <x:c r="N11" s="6" t="n">
        <x:v>121000</x:v>
      </x:c>
    </x:row>
    <x:row r="12" ht="24" customHeight="1">
      <x:c r="A12" s="2" t="str">
        <x:v>2026-09-24_Day</x:v>
      </x:c>
      <x:c r="B12" s="6" t="str">
        <x:v>デイ</x:v>
      </x:c>
      <x:c r="C12" s="6" t="n">
        <x:v>129000</x:v>
      </x:c>
      <x:c r="D12" s="6" t="n">
        <x:v>270000</x:v>
      </x:c>
      <x:c r="E12" s="6" t="n">
        <x:f>C12-D12</x:f>
        <x:v>-141000</x:v>
      </x:c>
      <x:c r="F12" s="6" t="n">
        <x:f>F11+E12</x:f>
        <x:v>-662000</x:v>
      </x:c>
      <x:c r="G12" s="6" t="n">
        <x:v>97000</x:v>
      </x:c>
      <x:c r="H12" s="6" t="n">
        <x:v>238000</x:v>
      </x:c>
      <x:c r="I12" s="6" t="n">
        <x:v>30</x:v>
      </x:c>
      <x:c r="J12" s="6" t="n">
        <x:v>102</x:v>
      </x:c>
      <x:c r="K12" s="6" t="n">
        <x:v>54</x:v>
      </x:c>
      <x:c r="L12" s="6" t="n">
        <x:v>10</x:v>
      </x:c>
      <x:c r="M12" s="11" t="n">
        <x:v>0.5617063492063492</x:v>
      </x:c>
      <x:c r="N12" s="6" t="n">
        <x:v>172500</x:v>
      </x:c>
    </x:row>
    <x:row r="13" ht="24" customHeight="1">
      <x:c r="A13" s="2" t="str">
        <x:v>2026-09-24_Night</x:v>
      </x:c>
      <x:c r="B13" s="6" t="str">
        <x:v>ナイト</x:v>
      </x:c>
      <x:c r="C13" s="6" t="n">
        <x:v>140500</x:v>
      </x:c>
      <x:c r="D13" s="6" t="n">
        <x:v>271000</x:v>
      </x:c>
      <x:c r="E13" s="6" t="n">
        <x:f>C13-D13</x:f>
        <x:v>-130500</x:v>
      </x:c>
      <x:c r="F13" s="6" t="n">
        <x:f>F12+E13</x:f>
        <x:v>-792500</x:v>
      </x:c>
      <x:c r="G13" s="6" t="n">
        <x:v>72000</x:v>
      </x:c>
      <x:c r="H13" s="6" t="n">
        <x:v>202500</x:v>
      </x:c>
      <x:c r="I13" s="6" t="n">
        <x:v>40</x:v>
      </x:c>
      <x:c r="J13" s="6" t="n">
        <x:v>161</x:v>
      </x:c>
      <x:c r="K13" s="6" t="n">
        <x:v>103</x:v>
      </x:c>
      <x:c r="L13" s="6" t="n">
        <x:v>10</x:v>
      </x:c>
      <x:c r="M13" s="11" t="n">
        <x:v>0.6586752136752136</x:v>
      </x:c>
      <x:c r="N13" s="6" t="n">
        <x:v>198000</x:v>
      </x:c>
    </x:row>
    <x:row r="14" ht="24" customHeight="1">
      <x:c r="A14" s="2" t="str">
        <x:v>2026-09-25_Day</x:v>
      </x:c>
      <x:c r="B14" s="6" t="str">
        <x:v>デイ</x:v>
      </x:c>
      <x:c r="C14" s="6" t="n">
        <x:v>41500</x:v>
      </x:c>
      <x:c r="D14" s="6" t="n">
        <x:v>202000</x:v>
      </x:c>
      <x:c r="E14" s="6" t="n">
        <x:f>C14-D14</x:f>
        <x:v>-160500</x:v>
      </x:c>
      <x:c r="F14" s="6" t="n">
        <x:f>F13+E14</x:f>
        <x:v>-953000</x:v>
      </x:c>
      <x:c r="G14" s="6" t="n">
        <x:v>18000</x:v>
      </x:c>
      <x:c r="H14" s="6" t="n">
        <x:v>178500</x:v>
      </x:c>
      <x:c r="I14" s="6" t="n">
        <x:v>27</x:v>
      </x:c>
      <x:c r="J14" s="6" t="n">
        <x:v>77</x:v>
      </x:c>
      <x:c r="K14" s="6" t="n">
        <x:v>50</x:v>
      </x:c>
      <x:c r="L14" s="6" t="n">
        <x:v>7</x:v>
      </x:c>
      <x:c r="M14" s="11" t="n">
        <x:v>0.5456746031746031</x:v>
      </x:c>
      <x:c r="N14" s="6" t="n">
        <x:v>171500</x:v>
      </x:c>
    </x:row>
    <x:row r="15" ht="24" customHeight="1">
      <x:c r="A15" s="2" t="str">
        <x:v>2026-09-25_Night</x:v>
      </x:c>
      <x:c r="B15" s="6" t="str">
        <x:v>ナイト</x:v>
      </x:c>
      <x:c r="C15" s="6" t="n">
        <x:v>53500</x:v>
      </x:c>
      <x:c r="D15" s="6" t="n">
        <x:v>183500</x:v>
      </x:c>
      <x:c r="E15" s="6" t="n">
        <x:f>C15-D15</x:f>
        <x:v>-130000</x:v>
      </x:c>
      <x:c r="F15" s="6" t="n">
        <x:f>F14+E15</x:f>
        <x:v>-1083000</x:v>
      </x:c>
      <x:c r="G15" s="6" t="n">
        <x:v>24500</x:v>
      </x:c>
      <x:c r="H15" s="6" t="n">
        <x:v>154500</x:v>
      </x:c>
      <x:c r="I15" s="6" t="n">
        <x:v>33</x:v>
      </x:c>
      <x:c r="J15" s="6" t="n">
        <x:v>114</x:v>
      </x:c>
      <x:c r="K15" s="6" t="n">
        <x:v>64</x:v>
      </x:c>
      <x:c r="L15" s="6" t="n">
        <x:v>10</x:v>
      </x:c>
      <x:c r="M15" s="11" t="n">
        <x:v>0.5851709401709402</x:v>
      </x:c>
      <x:c r="N15" s="6" t="n">
        <x:v>163000</x:v>
      </x:c>
    </x:row>
    <x:row r="16" ht="24" customHeight="1">
      <x:c r="A16" s="2" t="str">
        <x:v>2026-09-28_Day</x:v>
      </x:c>
      <x:c r="B16" s="6" t="str">
        <x:v>デイ</x:v>
      </x:c>
      <x:c r="C16" s="6" t="n">
        <x:v>61000</x:v>
      </x:c>
      <x:c r="D16" s="6" t="n">
        <x:v>201500</x:v>
      </x:c>
      <x:c r="E16" s="6" t="n">
        <x:f>C16-D16</x:f>
        <x:v>-140500</x:v>
      </x:c>
      <x:c r="F16" s="6" t="n">
        <x:f>F15+E16</x:f>
        <x:v>-1223500</x:v>
      </x:c>
      <x:c r="G16" s="6" t="n">
        <x:v>37000</x:v>
      </x:c>
      <x:c r="H16" s="6" t="n">
        <x:v>177500</x:v>
      </x:c>
      <x:c r="I16" s="6" t="n">
        <x:v>23</x:v>
      </x:c>
      <x:c r="J16" s="6" t="n">
        <x:v>87</x:v>
      </x:c>
      <x:c r="K16" s="6" t="n">
        <x:v>48</x:v>
      </x:c>
      <x:c r="L16" s="6" t="n">
        <x:v>10</x:v>
      </x:c>
      <x:c r="M16" s="11" t="n">
        <x:v>0.6426587301587302</x:v>
      </x:c>
      <x:c r="N16" s="6" t="n">
        <x:v>176500</x:v>
      </x:c>
    </x:row>
    <x:row r="17" ht="24" customHeight="1">
      <x:c r="A17" s="2" t="str">
        <x:v>2026-09-28_Night</x:v>
      </x:c>
      <x:c r="B17" s="6" t="str">
        <x:v>ナイト</x:v>
      </x:c>
      <x:c r="C17" s="6" t="n">
        <x:v>117000</x:v>
      </x:c>
      <x:c r="D17" s="6" t="n">
        <x:v>224000</x:v>
      </x:c>
      <x:c r="E17" s="6" t="n">
        <x:f>C17-D17</x:f>
        <x:v>-107000</x:v>
      </x:c>
      <x:c r="F17" s="6" t="n">
        <x:f>F16+E17</x:f>
        <x:v>-1330500</x:v>
      </x:c>
      <x:c r="G17" s="6" t="n">
        <x:v>62500</x:v>
      </x:c>
      <x:c r="H17" s="6" t="n">
        <x:v>169500</x:v>
      </x:c>
      <x:c r="I17" s="6" t="n">
        <x:v>35</x:v>
      </x:c>
      <x:c r="J17" s="6" t="n">
        <x:v>125</x:v>
      </x:c>
      <x:c r="K17" s="6" t="n">
        <x:v>89</x:v>
      </x:c>
      <x:c r="L17" s="6" t="n">
        <x:v>8</x:v>
      </x:c>
      <x:c r="M17" s="11" t="n">
        <x:v>0.7282478632478633</x:v>
      </x:c>
      <x:c r="N17" s="6" t="n">
        <x:v>147000</x:v>
      </x:c>
    </x:row>
    <x:row r="18" ht="24" customHeight="1">
      <x:c r="A18" s="2" t="str">
        <x:v>2026-09-29_Day</x:v>
      </x:c>
      <x:c r="B18" s="6" t="str">
        <x:v>デイ</x:v>
      </x:c>
      <x:c r="C18" s="6" t="n">
        <x:v>82000</x:v>
      </x:c>
      <x:c r="D18" s="6" t="n">
        <x:v>189000</x:v>
      </x:c>
      <x:c r="E18" s="6" t="n">
        <x:f>C18-D18</x:f>
        <x:v>-107000</x:v>
      </x:c>
      <x:c r="F18" s="6" t="n">
        <x:f>F17+E18</x:f>
        <x:v>-1437500</x:v>
      </x:c>
      <x:c r="G18" s="6" t="n">
        <x:v>58000</x:v>
      </x:c>
      <x:c r="H18" s="6" t="n">
        <x:v>165000</x:v>
      </x:c>
      <x:c r="I18" s="6" t="n">
        <x:v>23</x:v>
      </x:c>
      <x:c r="J18" s="6" t="n">
        <x:v>90</x:v>
      </x:c>
      <x:c r="K18" s="6" t="n">
        <x:v>51</x:v>
      </x:c>
      <x:c r="L18" s="6" t="n">
        <x:v>9</x:v>
      </x:c>
      <x:c r="M18" s="11" t="n">
        <x:v>0.543531746031746</x:v>
      </x:c>
      <x:c r="N18" s="6" t="n">
        <x:v>120000</x:v>
      </x:c>
    </x:row>
    <x:row r="19" ht="24" customHeight="1">
      <x:c r="A19" s="2" t="str">
        <x:v>2026-09-29_Night</x:v>
      </x:c>
      <x:c r="B19" s="6" t="str">
        <x:v>ナイト</x:v>
      </x:c>
      <x:c r="C19" s="6" t="n">
        <x:v>49000</x:v>
      </x:c>
      <x:c r="D19" s="6" t="n">
        <x:v>314000</x:v>
      </x:c>
      <x:c r="E19" s="6" t="n">
        <x:f>C19-D19</x:f>
        <x:v>-265000</x:v>
      </x:c>
      <x:c r="F19" s="6" t="n">
        <x:f>F18+E19</x:f>
        <x:v>-1702500</x:v>
      </x:c>
      <x:c r="G19" s="6" t="n">
        <x:v>18000</x:v>
      </x:c>
      <x:c r="H19" s="6" t="n">
        <x:v>283000</x:v>
      </x:c>
      <x:c r="I19" s="6" t="n">
        <x:v>39</x:v>
      </x:c>
      <x:c r="J19" s="6" t="n">
        <x:v>135</x:v>
      </x:c>
      <x:c r="K19" s="6" t="n">
        <x:v>108</x:v>
      </x:c>
      <x:c r="L19" s="6" t="n">
        <x:v>8</x:v>
      </x:c>
      <x:c r="M19" s="11" t="n">
        <x:v>0.7679273504273504</x:v>
      </x:c>
      <x:c r="N19" s="6" t="n">
        <x:v>270000</x:v>
      </x:c>
    </x:row>
    <x:row r="20" ht="24" customHeight="1">
      <x:c r="A20" s="2" t="str">
        <x:v>2026-09-30_Day</x:v>
      </x:c>
      <x:c r="B20" s="6" t="str">
        <x:v>デイ</x:v>
      </x:c>
      <x:c r="C20" s="6" t="n">
        <x:v>97500</x:v>
      </x:c>
      <x:c r="D20" s="6" t="n">
        <x:v>192500</x:v>
      </x:c>
      <x:c r="E20" s="6" t="n">
        <x:f>C20-D20</x:f>
        <x:v>-95000</x:v>
      </x:c>
      <x:c r="F20" s="6" t="n">
        <x:f>F19+E20</x:f>
        <x:v>-1797500</x:v>
      </x:c>
      <x:c r="G20" s="6" t="n">
        <x:v>40500</x:v>
      </x:c>
      <x:c r="H20" s="6" t="n">
        <x:v>135500</x:v>
      </x:c>
      <x:c r="I20" s="6" t="n">
        <x:v>22</x:v>
      </x:c>
      <x:c r="J20" s="6" t="n">
        <x:v>119</x:v>
      </x:c>
      <x:c r="K20" s="6" t="n">
        <x:v>73</x:v>
      </x:c>
      <x:c r="L20" s="6" t="n">
        <x:v>10</x:v>
      </x:c>
      <x:c r="M20" s="11" t="n">
        <x:v>0.5184126984126984</x:v>
      </x:c>
      <x:c r="N20" s="6" t="n">
        <x:v>117500</x:v>
      </x:c>
    </x:row>
    <x:row r="21" ht="24" customHeight="1">
      <x:c r="A21" s="2" t="str">
        <x:v>2026-09-30_Night</x:v>
      </x:c>
      <x:c r="B21" s="6" t="str">
        <x:v>ナイト</x:v>
      </x:c>
      <x:c r="C21" s="6" t="n">
        <x:v>97500</x:v>
      </x:c>
      <x:c r="D21" s="6" t="n">
        <x:v>291000</x:v>
      </x:c>
      <x:c r="E21" s="6" t="n">
        <x:f>C21-D21</x:f>
        <x:v>-193500</x:v>
      </x:c>
      <x:c r="F21" s="6" t="n">
        <x:f>F20+E21</x:f>
        <x:v>-1991000</x:v>
      </x:c>
      <x:c r="G21" s="6" t="n">
        <x:v>60500</x:v>
      </x:c>
      <x:c r="H21" s="6" t="n">
        <x:v>254000</x:v>
      </x:c>
      <x:c r="I21" s="6" t="n">
        <x:v>42</x:v>
      </x:c>
      <x:c r="J21" s="6" t="n">
        <x:v>125</x:v>
      </x:c>
      <x:c r="K21" s="6" t="n">
        <x:v>92</x:v>
      </x:c>
      <x:c r="L21" s="6" t="n">
        <x:v>9</x:v>
      </x:c>
      <x:c r="M21" s="11" t="n">
        <x:v>0.6092948717948717</x:v>
      </x:c>
      <x:c r="N21" s="6" t="n">
        <x:v>198500</x:v>
      </x:c>
    </x:row>
    <x:row r="22" ht="24" customHeight="1">
      <x:c r="A22" s="2" t="str">
        <x:v>2026-10-01_Day</x:v>
      </x:c>
      <x:c r="B22" s="6" t="str">
        <x:v>デイ</x:v>
      </x:c>
      <x:c r="C22" s="6" t="n">
        <x:v>55000</x:v>
      </x:c>
      <x:c r="D22" s="6" t="n">
        <x:v>162000</x:v>
      </x:c>
      <x:c r="E22" s="6" t="n">
        <x:f>C22-D22</x:f>
        <x:v>-107000</x:v>
      </x:c>
      <x:c r="F22" s="6" t="n">
        <x:f>F21+E22</x:f>
        <x:v>-2098000</x:v>
      </x:c>
      <x:c r="G22" s="6" t="n">
        <x:v>33000</x:v>
      </x:c>
      <x:c r="H22" s="6" t="n">
        <x:v>140000</x:v>
      </x:c>
      <x:c r="I22" s="6" t="n">
        <x:v>21</x:v>
      </x:c>
      <x:c r="J22" s="6" t="n">
        <x:v>85</x:v>
      </x:c>
      <x:c r="K22" s="6" t="n">
        <x:v>54</x:v>
      </x:c>
      <x:c r="L22" s="6" t="n">
        <x:v>8</x:v>
      </x:c>
      <x:c r="M22" s="11" t="n">
        <x:v>0.48464285714285715</x:v>
      </x:c>
      <x:c r="N22" s="6" t="n">
        <x:v>107000</x:v>
      </x:c>
    </x:row>
    <x:row r="23" ht="24" customHeight="1">
      <x:c r="A23" s="2" t="str">
        <x:v>2026-10-01_Night</x:v>
      </x:c>
      <x:c r="B23" s="6" t="str">
        <x:v>ナイト</x:v>
      </x:c>
      <x:c r="C23" s="6" t="n">
        <x:v>91000</x:v>
      </x:c>
      <x:c r="D23" s="6" t="n">
        <x:v>238500</x:v>
      </x:c>
      <x:c r="E23" s="6" t="n">
        <x:f>C23-D23</x:f>
        <x:v>-147500</x:v>
      </x:c>
      <x:c r="F23" s="6" t="n">
        <x:f>F22+E23</x:f>
        <x:v>-2245500</x:v>
      </x:c>
      <x:c r="G23" s="6" t="n">
        <x:v>46000</x:v>
      </x:c>
      <x:c r="H23" s="6" t="n">
        <x:v>193500</x:v>
      </x:c>
      <x:c r="I23" s="6" t="n">
        <x:v>35</x:v>
      </x:c>
      <x:c r="J23" s="6" t="n">
        <x:v>131</x:v>
      </x:c>
      <x:c r="K23" s="6" t="n">
        <x:v>92</x:v>
      </x:c>
      <x:c r="L23" s="6" t="n">
        <x:v>7</x:v>
      </x:c>
      <x:c r="M23" s="11" t="n">
        <x:v>0.4741452991452991</x:v>
      </x:c>
      <x:c r="N23" s="6" t="n">
        <x:v>157000</x:v>
      </x:c>
    </x:row>
    <x:row r="24" ht="24" customHeight="1">
      <x:c r="A24" s="2" t="str">
        <x:v>2026-10-02_Day</x:v>
      </x:c>
      <x:c r="B24" s="6" t="str">
        <x:v>デイ</x:v>
      </x:c>
      <x:c r="C24" s="6" t="n">
        <x:v>61000</x:v>
      </x:c>
      <x:c r="D24" s="6" t="n">
        <x:v>121000</x:v>
      </x:c>
      <x:c r="E24" s="6" t="n">
        <x:f>C24-D24</x:f>
        <x:v>-60000</x:v>
      </x:c>
      <x:c r="F24" s="6" t="n">
        <x:f>F23+E24</x:f>
        <x:v>-2305500</x:v>
      </x:c>
      <x:c r="G24" s="6" t="n">
        <x:v>26500</x:v>
      </x:c>
      <x:c r="H24" s="6" t="n">
        <x:v>86500</x:v>
      </x:c>
      <x:c r="I24" s="6" t="n">
        <x:v>18</x:v>
      </x:c>
      <x:c r="J24" s="6" t="n">
        <x:v>87</x:v>
      </x:c>
      <x:c r="K24" s="6" t="n">
        <x:v>59</x:v>
      </x:c>
      <x:c r="L24" s="6" t="n">
        <x:v>9</x:v>
      </x:c>
      <x:c r="M24" s="11" t="n">
        <x:v>0.5561904761904762</x:v>
      </x:c>
      <x:c r="N24" s="6" t="n">
        <x:v>87500</x:v>
      </x:c>
    </x:row>
    <x:row r="25" ht="24" customHeight="1">
      <x:c r="A25" s="2" t="str">
        <x:v>2026-10-02_Night</x:v>
      </x:c>
      <x:c r="B25" s="6" t="str">
        <x:v>ナイト</x:v>
      </x:c>
      <x:c r="C25" s="6" t="n">
        <x:v>113000</x:v>
      </x:c>
      <x:c r="D25" s="6" t="n">
        <x:v>183000</x:v>
      </x:c>
      <x:c r="E25" s="6" t="n">
        <x:f>C25-D25</x:f>
        <x:v>-70000</x:v>
      </x:c>
      <x:c r="F25" s="6" t="n">
        <x:f>F24+E25</x:f>
        <x:v>-2375500</x:v>
      </x:c>
      <x:c r="G25" s="6" t="n">
        <x:v>64500</x:v>
      </x:c>
      <x:c r="H25" s="6" t="n">
        <x:v>134500</x:v>
      </x:c>
      <x:c r="I25" s="6" t="n">
        <x:v>33</x:v>
      </x:c>
      <x:c r="J25" s="6" t="n">
        <x:v>105</x:v>
      </x:c>
      <x:c r="K25" s="6" t="n">
        <x:v>74</x:v>
      </x:c>
      <x:c r="L25" s="6" t="n">
        <x:v>10</x:v>
      </x:c>
      <x:c r="M25" s="11" t="n">
        <x:v>0.5699786324786325</x:v>
      </x:c>
      <x:c r="N25" s="6" t="n">
        <x:v>92000</x:v>
      </x:c>
    </x:row>
    <x:row r="26" ht="24" customHeight="1">
      <x:c r="A26" s="2" t="str">
        <x:v>2026-10-05_Day</x:v>
      </x:c>
      <x:c r="B26" s="6" t="str">
        <x:v>デイ</x:v>
      </x:c>
      <x:c r="C26" s="6" t="n">
        <x:v>66000</x:v>
      </x:c>
      <x:c r="D26" s="6" t="n">
        <x:v>239000</x:v>
      </x:c>
      <x:c r="E26" s="6" t="n">
        <x:f>C26-D26</x:f>
        <x:v>-173000</x:v>
      </x:c>
      <x:c r="F26" s="6" t="n">
        <x:f>F25+E26</x:f>
        <x:v>-2548500</x:v>
      </x:c>
      <x:c r="G26" s="6" t="n">
        <x:v>33500</x:v>
      </x:c>
      <x:c r="H26" s="6" t="n">
        <x:v>206500</x:v>
      </x:c>
      <x:c r="I26" s="6" t="n">
        <x:v>26</x:v>
      </x:c>
      <x:c r="J26" s="6" t="n">
        <x:v>81</x:v>
      </x:c>
      <x:c r="K26" s="6" t="n">
        <x:v>46</x:v>
      </x:c>
      <x:c r="L26" s="6" t="n">
        <x:v>10</x:v>
      </x:c>
      <x:c r="M26" s="11" t="n">
        <x:v>0.6334126984126984</x:v>
      </x:c>
      <x:c r="N26" s="6" t="n">
        <x:v>197000</x:v>
      </x:c>
    </x:row>
    <x:row r="27" ht="24" customHeight="1">
      <x:c r="A27" s="2" t="str">
        <x:v>2026-10-05_Night</x:v>
      </x:c>
      <x:c r="B27" s="6" t="str">
        <x:v>ナイト</x:v>
      </x:c>
      <x:c r="C27" s="6" t="n">
        <x:v>65500</x:v>
      </x:c>
      <x:c r="D27" s="6" t="n">
        <x:v>186500</x:v>
      </x:c>
      <x:c r="E27" s="6" t="n">
        <x:f>C27-D27</x:f>
        <x:v>-121000</x:v>
      </x:c>
      <x:c r="F27" s="6" t="n">
        <x:f>F26+E27</x:f>
        <x:v>-2669500</x:v>
      </x:c>
      <x:c r="G27" s="6" t="n">
        <x:v>38000</x:v>
      </x:c>
      <x:c r="H27" s="6" t="n">
        <x:v>159000</x:v>
      </x:c>
      <x:c r="I27" s="6" t="n">
        <x:v>25</x:v>
      </x:c>
      <x:c r="J27" s="6" t="n">
        <x:v>94</x:v>
      </x:c>
      <x:c r="K27" s="6" t="n">
        <x:v>84</x:v>
      </x:c>
      <x:c r="L27" s="6" t="n">
        <x:v>10</x:v>
      </x:c>
      <x:c r="M27" s="11" t="n">
        <x:v>0.7672435897435897</x:v>
      </x:c>
      <x:c r="N27" s="6" t="n">
        <x:v>126500</x:v>
      </x:c>
    </x:row>
    <x:row r="28" ht="24" customHeight="1">
      <x:c r="A28" s="2" t="str">
        <x:v>2026-10-06_Day</x:v>
      </x:c>
      <x:c r="B28" s="6" t="str">
        <x:v>デイ</x:v>
      </x:c>
      <x:c r="C28" s="6" t="n">
        <x:v>40000</x:v>
      </x:c>
      <x:c r="D28" s="6" t="n">
        <x:v>203500</x:v>
      </x:c>
      <x:c r="E28" s="6" t="n">
        <x:f>C28-D28</x:f>
        <x:v>-163500</x:v>
      </x:c>
      <x:c r="F28" s="6" t="n">
        <x:f>F27+E28</x:f>
        <x:v>-2833000</x:v>
      </x:c>
      <x:c r="G28" s="6" t="n">
        <x:v>20500</x:v>
      </x:c>
      <x:c r="H28" s="6" t="n">
        <x:v>184000</x:v>
      </x:c>
      <x:c r="I28" s="6" t="n">
        <x:v>19</x:v>
      </x:c>
      <x:c r="J28" s="6" t="n">
        <x:v>76</x:v>
      </x:c>
      <x:c r="K28" s="6" t="n">
        <x:v>59</x:v>
      </x:c>
      <x:c r="L28" s="6" t="n">
        <x:v>9</x:v>
      </x:c>
      <x:c r="M28" s="11" t="n">
        <x:v>0.6872619047619047</x:v>
      </x:c>
      <x:c r="N28" s="6" t="n">
        <x:v>187000</x:v>
      </x:c>
    </x:row>
    <x:row r="29" ht="24" customHeight="1">
      <x:c r="A29" s="2" t="str">
        <x:v>2026-10-06_Night</x:v>
      </x:c>
      <x:c r="B29" s="6" t="str">
        <x:v>ナイト</x:v>
      </x:c>
      <x:c r="C29" s="6" t="n">
        <x:v>56500</x:v>
      </x:c>
      <x:c r="D29" s="6" t="n">
        <x:v>135500</x:v>
      </x:c>
      <x:c r="E29" s="6" t="n">
        <x:f>C29-D29</x:f>
        <x:v>-79000</x:v>
      </x:c>
      <x:c r="F29" s="6" t="n">
        <x:f>F28+E29</x:f>
        <x:v>-2912000</x:v>
      </x:c>
      <x:c r="G29" s="6" t="n">
        <x:v>7500</x:v>
      </x:c>
      <x:c r="H29" s="6" t="n">
        <x:v>86500</x:v>
      </x:c>
      <x:c r="I29" s="6" t="n">
        <x:v>18</x:v>
      </x:c>
      <x:c r="J29" s="6" t="n">
        <x:v>76</x:v>
      </x:c>
      <x:c r="K29" s="6" t="n">
        <x:v>57</x:v>
      </x:c>
      <x:c r="L29" s="6" t="n">
        <x:v>9</x:v>
      </x:c>
      <x:c r="M29" s="11" t="n">
        <x:v>0.8086324786324787</x:v>
      </x:c>
      <x:c r="N29" s="6" t="n">
        <x:v>85500</x:v>
      </x:c>
    </x:row>
    <x:row r="30" ht="24" customHeight="1">
      <x:c r="A30" s="2" t="str">
        <x:v>2026-10-07_Day</x:v>
      </x:c>
      <x:c r="B30" s="6" t="str">
        <x:v>デイ</x:v>
      </x:c>
      <x:c r="C30" s="6" t="n">
        <x:v>56500</x:v>
      </x:c>
      <x:c r="D30" s="6" t="n">
        <x:v>91000</x:v>
      </x:c>
      <x:c r="E30" s="6" t="n">
        <x:f>C30-D30</x:f>
        <x:v>-34500</x:v>
      </x:c>
      <x:c r="F30" s="6" t="n">
        <x:f>F29+E30</x:f>
        <x:v>-2946500</x:v>
      </x:c>
      <x:c r="G30" s="6" t="n">
        <x:v>34000</x:v>
      </x:c>
      <x:c r="H30" s="6" t="n">
        <x:v>68500</x:v>
      </x:c>
      <x:c r="I30" s="6" t="n">
        <x:v>14</x:v>
      </x:c>
      <x:c r="J30" s="6" t="n">
        <x:v>69</x:v>
      </x:c>
      <x:c r="K30" s="6" t="n">
        <x:v>48</x:v>
      </x:c>
      <x:c r="L30" s="6" t="n">
        <x:v>7</x:v>
      </x:c>
      <x:c r="M30" s="11" t="n">
        <x:v>0.7041666666666667</x:v>
      </x:c>
      <x:c r="N30" s="6" t="n">
        <x:v>59000</x:v>
      </x:c>
    </x:row>
    <x:row r="31" ht="24" customHeight="1">
      <x:c r="A31" s="2" t="str">
        <x:v>2026-10-07_Night</x:v>
      </x:c>
      <x:c r="B31" s="6" t="str">
        <x:v>ナイト</x:v>
      </x:c>
      <x:c r="C31" s="6" t="n">
        <x:v>37500</x:v>
      </x:c>
      <x:c r="D31" s="6" t="n">
        <x:v>213000</x:v>
      </x:c>
      <x:c r="E31" s="6" t="n">
        <x:f>C31-D31</x:f>
        <x:v>-175500</x:v>
      </x:c>
      <x:c r="F31" s="6" t="n">
        <x:f>F30+E31</x:f>
        <x:v>-3122000</x:v>
      </x:c>
      <x:c r="G31" s="6" t="n">
        <x:v>9500</x:v>
      </x:c>
      <x:c r="H31" s="6" t="n">
        <x:v>185000</x:v>
      </x:c>
      <x:c r="I31" s="6" t="n">
        <x:v>31</x:v>
      </x:c>
      <x:c r="J31" s="6" t="n">
        <x:v>98</x:v>
      </x:c>
      <x:c r="K31" s="6" t="n">
        <x:v>82</x:v>
      </x:c>
      <x:c r="L31" s="6" t="n">
        <x:v>6</x:v>
      </x:c>
      <x:c r="M31" s="11" t="n">
        <x:v>0.7307051282051282</x:v>
      </x:c>
      <x:c r="N31" s="6" t="n">
        <x:v>185500</x:v>
      </x:c>
    </x:row>
    <x:row r="32" ht="24" customHeight="1">
      <x:c r="A32" s="2" t="str">
        <x:v>2026-10-08_Day</x:v>
      </x:c>
      <x:c r="B32" s="6" t="str">
        <x:v>デイ</x:v>
      </x:c>
      <x:c r="C32" s="6" t="n">
        <x:v>147000</x:v>
      </x:c>
      <x:c r="D32" s="6" t="n">
        <x:v>154500</x:v>
      </x:c>
      <x:c r="E32" s="6" t="n">
        <x:f>C32-D32</x:f>
        <x:v>-7500</x:v>
      </x:c>
      <x:c r="F32" s="6" t="n">
        <x:f>F31+E32</x:f>
        <x:v>-3129500</x:v>
      </x:c>
      <x:c r="G32" s="6" t="n">
        <x:v>117000</x:v>
      </x:c>
      <x:c r="H32" s="6" t="n">
        <x:v>124500</x:v>
      </x:c>
      <x:c r="I32" s="6" t="n">
        <x:v>23</x:v>
      </x:c>
      <x:c r="J32" s="6" t="n">
        <x:v>88</x:v>
      </x:c>
      <x:c r="K32" s="6" t="n">
        <x:v>57</x:v>
      </x:c>
      <x:c r="L32" s="6" t="n">
        <x:v>10</x:v>
      </x:c>
      <x:c r="M32" s="11" t="n">
        <x:v>0.5416666666666666</x:v>
      </x:c>
      <x:c r="N32" s="6" t="n">
        <x:v>119500</x:v>
      </x:c>
    </x:row>
    <x:row r="33" ht="24" customHeight="1">
      <x:c r="A33" s="2" t="str">
        <x:v>2026-10-08_Night</x:v>
      </x:c>
      <x:c r="B33" s="6" t="str">
        <x:v>ナイト</x:v>
      </x:c>
      <x:c r="C33" s="6" t="n">
        <x:v>136000</x:v>
      </x:c>
      <x:c r="D33" s="6" t="n">
        <x:v>242000</x:v>
      </x:c>
      <x:c r="E33" s="6" t="n">
        <x:f>C33-D33</x:f>
        <x:v>-106000</x:v>
      </x:c>
      <x:c r="F33" s="6" t="n">
        <x:f>F32+E33</x:f>
        <x:v>-3235500</x:v>
      </x:c>
      <x:c r="G33" s="6" t="n">
        <x:v>88000</x:v>
      </x:c>
      <x:c r="H33" s="6" t="n">
        <x:v>194000</x:v>
      </x:c>
      <x:c r="I33" s="6" t="n">
        <x:v>33</x:v>
      </x:c>
      <x:c r="J33" s="6" t="n">
        <x:v>144</x:v>
      </x:c>
      <x:c r="K33" s="6" t="n">
        <x:v>113</x:v>
      </x:c>
      <x:c r="L33" s="6" t="n">
        <x:v>10</x:v>
      </x:c>
      <x:c r="M33" s="11" t="n">
        <x:v>0.671923076923077</x:v>
      </x:c>
      <x:c r="N33" s="6" t="n">
        <x:v>134500</x:v>
      </x:c>
    </x:row>
    <x:row r="34" ht="24" customHeight="1">
      <x:c r="A34" s="2" t="str">
        <x:v>2026-10-09_Day</x:v>
      </x:c>
      <x:c r="B34" s="6" t="str">
        <x:v>デイ</x:v>
      </x:c>
      <x:c r="C34" s="6" t="n">
        <x:v>59500</x:v>
      </x:c>
      <x:c r="D34" s="6" t="n">
        <x:v>149000</x:v>
      </x:c>
      <x:c r="E34" s="6" t="n">
        <x:f>C34-D34</x:f>
        <x:v>-89500</x:v>
      </x:c>
      <x:c r="F34" s="6" t="n">
        <x:f>F33+E34</x:f>
        <x:v>-3325000</x:v>
      </x:c>
      <x:c r="G34" s="6" t="n">
        <x:v>35500</x:v>
      </x:c>
      <x:c r="H34" s="6" t="n">
        <x:v>125000</x:v>
      </x:c>
      <x:c r="I34" s="6" t="n">
        <x:v>21</x:v>
      </x:c>
      <x:c r="J34" s="6" t="n">
        <x:v>82</x:v>
      </x:c>
      <x:c r="K34" s="6" t="n">
        <x:v>53</x:v>
      </x:c>
      <x:c r="L34" s="6" t="n">
        <x:v>7</x:v>
      </x:c>
      <x:c r="M34" s="11" t="n">
        <x:v>0.6538095238095238</x:v>
      </x:c>
      <x:c r="N34" s="6" t="n">
        <x:v>110500</x:v>
      </x:c>
    </x:row>
    <x:row r="35" ht="24" customHeight="1">
      <x:c r="A35" s="2" t="str">
        <x:v>2026-10-09_Night</x:v>
      </x:c>
      <x:c r="B35" s="6" t="str">
        <x:v>ナイト</x:v>
      </x:c>
      <x:c r="C35" s="6" t="n">
        <x:v>22000</x:v>
      </x:c>
      <x:c r="D35" s="6" t="n">
        <x:v>139500</x:v>
      </x:c>
      <x:c r="E35" s="6" t="n">
        <x:f>C35-D35</x:f>
        <x:v>-117500</x:v>
      </x:c>
      <x:c r="F35" s="6" t="n">
        <x:f>F34+E35</x:f>
        <x:v>-3442500</x:v>
      </x:c>
      <x:c r="G35" s="6" t="n">
        <x:v>9000</x:v>
      </x:c>
      <x:c r="H35" s="6" t="n">
        <x:v>126500</x:v>
      </x:c>
      <x:c r="I35" s="6" t="n">
        <x:v>26</x:v>
      </x:c>
      <x:c r="J35" s="6" t="n">
        <x:v>84</x:v>
      </x:c>
      <x:c r="K35" s="6" t="n">
        <x:v>66</x:v>
      </x:c>
      <x:c r="L35" s="6" t="n">
        <x:v>5</x:v>
      </x:c>
      <x:c r="M35" s="11" t="n">
        <x:v>0.7473931623931624</x:v>
      </x:c>
      <x:c r="N35" s="6" t="n">
        <x:v>121500</x:v>
      </x:c>
    </x:row>
    <x:row r="36" ht="24" customHeight="1">
      <x:c r="A36" s="2" t="str">
        <x:v>2026-10-12_Day</x:v>
      </x:c>
      <x:c r="B36" s="6" t="str">
        <x:v>デイ</x:v>
      </x:c>
      <x:c r="C36" s="6" t="n">
        <x:v>9000</x:v>
      </x:c>
      <x:c r="D36" s="6" t="n">
        <x:v>41000</x:v>
      </x:c>
      <x:c r="E36" s="6" t="n">
        <x:f>C36-D36</x:f>
        <x:v>-32000</x:v>
      </x:c>
      <x:c r="F36" s="6" t="n">
        <x:f>F35+E36</x:f>
        <x:v>-3474500</x:v>
      </x:c>
      <x:c r="G36" s="6" t="n">
        <x:v>4000</x:v>
      </x:c>
      <x:c r="H36" s="6" t="n">
        <x:v>36000</x:v>
      </x:c>
      <x:c r="I36" s="6" t="n">
        <x:v>7</x:v>
      </x:c>
      <x:c r="J36" s="6" t="n">
        <x:v>18</x:v>
      </x:c>
      <x:c r="K36" s="6" t="n">
        <x:v>19</x:v>
      </x:c>
      <x:c r="L36" s="6" t="n">
        <x:v>6</x:v>
      </x:c>
      <x:c r="M36" s="11" t="n">
        <x:v>0.8302380952380952</x:v>
      </x:c>
      <x:c r="N36" s="6" t="n">
        <x:v>42500</x:v>
      </x:c>
    </x:row>
    <x:row r="37" ht="24" customHeight="1">
      <x:c r="A37" s="2" t="str">
        <x:v>2026-10-12_Night</x:v>
      </x:c>
      <x:c r="B37" s="6" t="str">
        <x:v>ナイト</x:v>
      </x:c>
      <x:c r="C37" s="6" t="n">
        <x:v>36500</x:v>
      </x:c>
      <x:c r="D37" s="6" t="n">
        <x:v>142500</x:v>
      </x:c>
      <x:c r="E37" s="6" t="n">
        <x:f>C37-D37</x:f>
        <x:v>-106000</x:v>
      </x:c>
      <x:c r="F37" s="6" t="n">
        <x:f>F36+E37</x:f>
        <x:v>-3580500</x:v>
      </x:c>
      <x:c r="G37" s="6" t="n">
        <x:v>12000</x:v>
      </x:c>
      <x:c r="H37" s="6" t="n">
        <x:v>118000</x:v>
      </x:c>
      <x:c r="I37" s="6" t="n">
        <x:v>20</x:v>
      </x:c>
      <x:c r="J37" s="6" t="n">
        <x:v>58</x:v>
      </x:c>
      <x:c r="K37" s="6" t="n">
        <x:v>50</x:v>
      </x:c>
      <x:c r="L37" s="6" t="n">
        <x:v>6</x:v>
      </x:c>
      <x:c r="M37" s="11" t="n">
        <x:v>0.7915811965811966</x:v>
      </x:c>
      <x:c r="N37" s="6" t="n">
        <x:v>120000</x:v>
      </x:c>
    </x:row>
    <x:row r="38" ht="24" customHeight="1">
      <x:c r="A38" s="2" t="str">
        <x:v>2026-10-13_Day</x:v>
      </x:c>
      <x:c r="B38" s="6" t="str">
        <x:v>デイ</x:v>
      </x:c>
      <x:c r="C38" s="6" t="n">
        <x:v>44500</x:v>
      </x:c>
      <x:c r="D38" s="6" t="n">
        <x:v>172500</x:v>
      </x:c>
      <x:c r="E38" s="6" t="n">
        <x:f>C38-D38</x:f>
        <x:v>-128000</x:v>
      </x:c>
      <x:c r="F38" s="6" t="n">
        <x:f>F37+E38</x:f>
        <x:v>-3708500</x:v>
      </x:c>
      <x:c r="G38" s="6" t="n">
        <x:v>13500</x:v>
      </x:c>
      <x:c r="H38" s="6" t="n">
        <x:v>141500</x:v>
      </x:c>
      <x:c r="I38" s="6" t="n">
        <x:v>25</x:v>
      </x:c>
      <x:c r="J38" s="6" t="n">
        <x:v>80</x:v>
      </x:c>
      <x:c r="K38" s="6" t="n">
        <x:v>49</x:v>
      </x:c>
      <x:c r="L38" s="6" t="n">
        <x:v>9</x:v>
      </x:c>
      <x:c r="M38" s="11" t="n">
        <x:v>0.5838888888888889</x:v>
      </x:c>
      <x:c r="N38" s="6" t="n">
        <x:v>139000</x:v>
      </x:c>
    </x:row>
    <x:row r="39" ht="24" customHeight="1">
      <x:c r="A39" s="2" t="str">
        <x:v>2026-10-13_Night</x:v>
      </x:c>
      <x:c r="B39" s="6" t="str">
        <x:v>ナイト</x:v>
      </x:c>
      <x:c r="C39" s="6" t="n">
        <x:v>35500</x:v>
      </x:c>
      <x:c r="D39" s="6" t="n">
        <x:v>73500</x:v>
      </x:c>
      <x:c r="E39" s="6" t="n">
        <x:f>C39-D39</x:f>
        <x:v>-38000</x:v>
      </x:c>
      <x:c r="F39" s="6" t="n">
        <x:f>F38+E39</x:f>
        <x:v>-3746500</x:v>
      </x:c>
      <x:c r="G39" s="6" t="n">
        <x:v>17000</x:v>
      </x:c>
      <x:c r="H39" s="6" t="n">
        <x:v>55000</x:v>
      </x:c>
      <x:c r="I39" s="6" t="n">
        <x:v>15</x:v>
      </x:c>
      <x:c r="J39" s="6" t="n">
        <x:v>60</x:v>
      </x:c>
      <x:c r="K39" s="6" t="n">
        <x:v>49</x:v>
      </x:c>
      <x:c r="L39" s="6" t="n">
        <x:v>7</x:v>
      </x:c>
      <x:c r="M39" s="11" t="n">
        <x:v>0.7530128205128205</x:v>
      </x:c>
      <x:c r="N39" s="6" t="n">
        <x:v>58000</x:v>
      </x:c>
    </x:row>
    <x:row r="40" ht="24" customHeight="1">
      <x:c r="A40" s="2" t="str">
        <x:v>2026-10-14_Day</x:v>
      </x:c>
      <x:c r="B40" s="6" t="str">
        <x:v>デイ</x:v>
      </x:c>
      <x:c r="C40" s="6" t="n">
        <x:v>49000</x:v>
      </x:c>
      <x:c r="D40" s="6" t="n">
        <x:v>152000</x:v>
      </x:c>
      <x:c r="E40" s="6" t="n">
        <x:f>C40-D40</x:f>
        <x:v>-103000</x:v>
      </x:c>
      <x:c r="F40" s="6" t="n">
        <x:f>F39+E40</x:f>
        <x:v>-3849500</x:v>
      </x:c>
      <x:c r="G40" s="6" t="n">
        <x:v>22500</x:v>
      </x:c>
      <x:c r="H40" s="6" t="n">
        <x:v>125500</x:v>
      </x:c>
      <x:c r="I40" s="6" t="n">
        <x:v>26</x:v>
      </x:c>
      <x:c r="J40" s="6" t="n">
        <x:v>76</x:v>
      </x:c>
      <x:c r="K40" s="6" t="n">
        <x:v>42</x:v>
      </x:c>
      <x:c r="L40" s="6" t="n">
        <x:v>10</x:v>
      </x:c>
      <x:c r="M40" s="11" t="n">
        <x:v>0.6877777777777778</x:v>
      </x:c>
      <x:c r="N40" s="6" t="n">
        <x:v>126000</x:v>
      </x:c>
    </x:row>
    <x:row r="41" ht="24" customHeight="1">
      <x:c r="A41" s="2" t="str">
        <x:v>2026-10-14_Night</x:v>
      </x:c>
      <x:c r="B41" s="6" t="str">
        <x:v>ナイト</x:v>
      </x:c>
      <x:c r="C41" s="6" t="n">
        <x:v>112500</x:v>
      </x:c>
      <x:c r="D41" s="6" t="n">
        <x:v>258500</x:v>
      </x:c>
      <x:c r="E41" s="6" t="n">
        <x:f>C41-D41</x:f>
        <x:v>-146000</x:v>
      </x:c>
      <x:c r="F41" s="6" t="n">
        <x:f>F40+E41</x:f>
        <x:v>-3995500</x:v>
      </x:c>
      <x:c r="G41" s="6" t="n">
        <x:v>64000</x:v>
      </x:c>
      <x:c r="H41" s="6" t="n">
        <x:v>210000</x:v>
      </x:c>
      <x:c r="I41" s="6" t="n">
        <x:v>33</x:v>
      </x:c>
      <x:c r="J41" s="6" t="n">
        <x:v>134</x:v>
      </x:c>
      <x:c r="K41" s="6" t="n">
        <x:v>92</x:v>
      </x:c>
      <x:c r="L41" s="6" t="n">
        <x:v>9</x:v>
      </x:c>
      <x:c r="M41" s="11" t="n">
        <x:v>0.6186111111111111</x:v>
      </x:c>
      <x:c r="N41" s="6" t="n">
        <x:v>171500</x:v>
      </x:c>
    </x:row>
    <x:row r="42" ht="24" customHeight="1">
      <x:c r="A42" s="2" t="str">
        <x:v>2026-10-15_Day</x:v>
      </x:c>
      <x:c r="B42" s="6" t="str">
        <x:v>デイ</x:v>
      </x:c>
      <x:c r="C42" s="6" t="n">
        <x:v>160500</x:v>
      </x:c>
      <x:c r="D42" s="6" t="n">
        <x:v>167000</x:v>
      </x:c>
      <x:c r="E42" s="6" t="n">
        <x:f>C42-D42</x:f>
        <x:v>-6500</x:v>
      </x:c>
      <x:c r="F42" s="6" t="n">
        <x:f>F41+E42</x:f>
        <x:v>-4002000</x:v>
      </x:c>
      <x:c r="G42" s="6" t="n">
        <x:v>134500</x:v>
      </x:c>
      <x:c r="H42" s="6" t="n">
        <x:v>141000</x:v>
      </x:c>
      <x:c r="I42" s="6" t="n">
        <x:v>30</x:v>
      </x:c>
      <x:c r="J42" s="6" t="n">
        <x:v>107</x:v>
      </x:c>
      <x:c r="K42" s="6" t="n">
        <x:v>45</x:v>
      </x:c>
      <x:c r="L42" s="6" t="n">
        <x:v>10</x:v>
      </x:c>
      <x:c r="M42" s="11" t="n">
        <x:v>0.29817460317460315</x:v>
      </x:c>
      <x:c r="N42" s="6" t="n">
        <x:v>81000</x:v>
      </x:c>
    </x:row>
    <x:row r="43" ht="24" customHeight="1">
      <x:c r="A43" s="2" t="str">
        <x:v>2026-10-15_Night</x:v>
      </x:c>
      <x:c r="B43" s="6" t="str">
        <x:v>ナイト</x:v>
      </x:c>
      <x:c r="C43" s="6" t="n">
        <x:v>184000</x:v>
      </x:c>
      <x:c r="D43" s="6" t="n">
        <x:v>214500</x:v>
      </x:c>
      <x:c r="E43" s="6" t="n">
        <x:f>C43-D43</x:f>
        <x:v>-30500</x:v>
      </x:c>
      <x:c r="F43" s="6" t="n">
        <x:f>F42+E43</x:f>
        <x:v>-4032500</x:v>
      </x:c>
      <x:c r="G43" s="6" t="n">
        <x:v>144500</x:v>
      </x:c>
      <x:c r="H43" s="6" t="n">
        <x:v>175000</x:v>
      </x:c>
      <x:c r="I43" s="6" t="n">
        <x:v>34</x:v>
      </x:c>
      <x:c r="J43" s="6" t="n">
        <x:v>124</x:v>
      </x:c>
      <x:c r="K43" s="6" t="n">
        <x:v>82</x:v>
      </x:c>
      <x:c r="L43" s="6" t="n">
        <x:v>10</x:v>
      </x:c>
      <x:c r="M43" s="11" t="n">
        <x:v>0.5755128205128205</x:v>
      </x:c>
      <x:c r="N43" s="6" t="n">
        <x:v>99000</x:v>
      </x:c>
    </x:row>
    <x:row r="44" ht="24" customHeight="1">
      <x:c r="A44" s="2" t="str">
        <x:v>2026-10-16_Day</x:v>
      </x:c>
      <x:c r="B44" s="6" t="str">
        <x:v>デイ</x:v>
      </x:c>
      <x:c r="C44" s="6" t="n">
        <x:v>113500</x:v>
      </x:c>
      <x:c r="D44" s="6" t="n">
        <x:v>145500</x:v>
      </x:c>
      <x:c r="E44" s="6" t="n">
        <x:f>C44-D44</x:f>
        <x:v>-32000</x:v>
      </x:c>
      <x:c r="F44" s="6" t="n">
        <x:f>F43+E44</x:f>
        <x:v>-4064500</x:v>
      </x:c>
      <x:c r="G44" s="6" t="n">
        <x:v>77500</x:v>
      </x:c>
      <x:c r="H44" s="6" t="n">
        <x:v>109500</x:v>
      </x:c>
      <x:c r="I44" s="6" t="n">
        <x:v>21</x:v>
      </x:c>
      <x:c r="J44" s="6" t="n">
        <x:v>95</x:v>
      </x:c>
      <x:c r="K44" s="6" t="n">
        <x:v>45</x:v>
      </x:c>
      <x:c r="L44" s="6" t="n">
        <x:v>10</x:v>
      </x:c>
      <x:c r="M44" s="11" t="n">
        <x:v>0.555952380952381</x:v>
      </x:c>
      <x:c r="N44" s="6" t="n">
        <x:v>71500</x:v>
      </x:c>
    </x:row>
    <x:row r="45" ht="24" customHeight="1">
      <x:c r="A45" s="2" t="str">
        <x:v>2026-10-16_Night</x:v>
      </x:c>
      <x:c r="B45" s="6" t="str">
        <x:v>ナイト</x:v>
      </x:c>
      <x:c r="C45" s="6" t="n">
        <x:v>150500</x:v>
      </x:c>
      <x:c r="D45" s="6" t="n">
        <x:v>222000</x:v>
      </x:c>
      <x:c r="E45" s="6" t="n">
        <x:f>C45-D45</x:f>
        <x:v>-71500</x:v>
      </x:c>
      <x:c r="F45" s="6" t="n">
        <x:f>F44+E45</x:f>
        <x:v>-4136000</x:v>
      </x:c>
      <x:c r="G45" s="6" t="n">
        <x:v>90500</x:v>
      </x:c>
      <x:c r="H45" s="6" t="n">
        <x:v>162000</x:v>
      </x:c>
      <x:c r="I45" s="6" t="n">
        <x:v>42</x:v>
      </x:c>
      <x:c r="J45" s="6" t="n">
        <x:v>180</x:v>
      </x:c>
      <x:c r="K45" s="6" t="n">
        <x:v>98</x:v>
      </x:c>
      <x:c r="L45" s="6" t="n">
        <x:v>9</x:v>
      </x:c>
      <x:c r="M45" s="11" t="n">
        <x:v>0.5554273504273505</x:v>
      </x:c>
      <x:c r="N45" s="6" t="n">
        <x:v>93000</x:v>
      </x:c>
    </x:row>
    <x:row r="46" ht="24" customHeight="1">
      <x:c r="A46" s="2" t="str">
        <x:v>2026-10-19_Day</x:v>
      </x:c>
      <x:c r="B46" s="6" t="str">
        <x:v>デイ</x:v>
      </x:c>
      <x:c r="C46" s="6" t="n">
        <x:v>42000</x:v>
      </x:c>
      <x:c r="D46" s="6" t="n">
        <x:v>202000</x:v>
      </x:c>
      <x:c r="E46" s="6" t="n">
        <x:f>C46-D46</x:f>
        <x:v>-160000</x:v>
      </x:c>
      <x:c r="F46" s="6" t="n">
        <x:f>F45+E46</x:f>
        <x:v>-4296000</x:v>
      </x:c>
      <x:c r="G46" s="6" t="n">
        <x:v>15000</x:v>
      </x:c>
      <x:c r="H46" s="6" t="n">
        <x:v>175000</x:v>
      </x:c>
      <x:c r="I46" s="6" t="n">
        <x:v>22</x:v>
      </x:c>
      <x:c r="J46" s="6" t="n">
        <x:v>94</x:v>
      </x:c>
      <x:c r="K46" s="6" t="n">
        <x:v>41</x:v>
      </x:c>
      <x:c r="L46" s="6" t="n">
        <x:v>10</x:v>
      </x:c>
      <x:c r="M46" s="11" t="n">
        <x:v>0.5846428571428571</x:v>
      </x:c>
      <x:c r="N46" s="6" t="n">
        <x:v>168500</x:v>
      </x:c>
    </x:row>
    <x:row r="47" ht="24" customHeight="1">
      <x:c r="A47" s="2" t="str">
        <x:v>2026-10-19_Night</x:v>
      </x:c>
      <x:c r="B47" s="6" t="str">
        <x:v>ナイト</x:v>
      </x:c>
      <x:c r="C47" s="6" t="n">
        <x:v>85000</x:v>
      </x:c>
      <x:c r="D47" s="6" t="n">
        <x:v>209500</x:v>
      </x:c>
      <x:c r="E47" s="6" t="n">
        <x:f>C47-D47</x:f>
        <x:v>-124500</x:v>
      </x:c>
      <x:c r="F47" s="6" t="n">
        <x:f>F46+E47</x:f>
        <x:v>-4420500</x:v>
      </x:c>
      <x:c r="G47" s="6" t="n">
        <x:v>53000</x:v>
      </x:c>
      <x:c r="H47" s="6" t="n">
        <x:v>177500</x:v>
      </x:c>
      <x:c r="I47" s="6" t="n">
        <x:v>36</x:v>
      </x:c>
      <x:c r="J47" s="6" t="n">
        <x:v>114</x:v>
      </x:c>
      <x:c r="K47" s="6" t="n">
        <x:v>72</x:v>
      </x:c>
      <x:c r="L47" s="6" t="n">
        <x:v>9</x:v>
      </x:c>
      <x:c r="M47" s="11" t="n">
        <x:v>0.6487606837606837</x:v>
      </x:c>
      <x:c r="N47" s="6" t="n">
        <x:v>126000</x:v>
      </x:c>
    </x:row>
    <x:row r="48" ht="24" customHeight="1">
      <x:c r="A48" s="2" t="str">
        <x:v>2026-10-20_Day</x:v>
      </x:c>
      <x:c r="B48" s="6" t="str">
        <x:v>デイ</x:v>
      </x:c>
      <x:c r="C48" s="6" t="n">
        <x:v>86500</x:v>
      </x:c>
      <x:c r="D48" s="6" t="n">
        <x:v>122500</x:v>
      </x:c>
      <x:c r="E48" s="6" t="n">
        <x:f>C48-D48</x:f>
        <x:v>-36000</x:v>
      </x:c>
      <x:c r="F48" s="6" t="n">
        <x:f>F47+E48</x:f>
        <x:v>-4456500</x:v>
      </x:c>
      <x:c r="G48" s="6" t="n">
        <x:v>42000</x:v>
      </x:c>
      <x:c r="H48" s="6" t="n">
        <x:v>78000</x:v>
      </x:c>
      <x:c r="I48" s="6" t="n">
        <x:v>28</x:v>
      </x:c>
      <x:c r="J48" s="6" t="n">
        <x:v>104</x:v>
      </x:c>
      <x:c r="K48" s="6" t="n">
        <x:v>43</x:v>
      </x:c>
      <x:c r="L48" s="6" t="n">
        <x:v>8</x:v>
      </x:c>
      <x:c r="M48" s="11" t="n">
        <x:v>0.37694444444444447</x:v>
      </x:c>
      <x:c r="N48" s="6" t="n">
        <x:v>62000</x:v>
      </x:c>
    </x:row>
    <x:row r="49" ht="24" customHeight="1">
      <x:c r="A49" s="2" t="str">
        <x:v>2026-10-20_Night</x:v>
      </x:c>
      <x:c r="B49" s="6" t="str">
        <x:v>ナイト</x:v>
      </x:c>
      <x:c r="C49" s="6" t="n">
        <x:v>116500</x:v>
      </x:c>
      <x:c r="D49" s="6" t="n">
        <x:v>246000</x:v>
      </x:c>
      <x:c r="E49" s="6" t="n">
        <x:f>C49-D49</x:f>
        <x:v>-129500</x:v>
      </x:c>
      <x:c r="F49" s="6" t="n">
        <x:f>F48+E49</x:f>
        <x:v>-4586000</x:v>
      </x:c>
      <x:c r="G49" s="6" t="n">
        <x:v>70500</x:v>
      </x:c>
      <x:c r="H49" s="6" t="n">
        <x:v>200000</x:v>
      </x:c>
      <x:c r="I49" s="6" t="n">
        <x:v>36</x:v>
      </x:c>
      <x:c r="J49" s="6" t="n">
        <x:v>127</x:v>
      </x:c>
      <x:c r="K49" s="6" t="n">
        <x:v>69</x:v>
      </x:c>
      <x:c r="L49" s="6" t="n">
        <x:v>9</x:v>
      </x:c>
      <x:c r="M49" s="11" t="n">
        <x:v>0.6100213675213675</x:v>
      </x:c>
      <x:c r="N49" s="6" t="n">
        <x:v>159000</x:v>
      </x:c>
    </x:row>
    <x:row r="50" ht="24" customHeight="1">
      <x:c r="A50" s="2" t="str">
        <x:v>2026-10-21_Day</x:v>
      </x:c>
      <x:c r="B50" s="6" t="str">
        <x:v>デイ</x:v>
      </x:c>
      <x:c r="C50" s="6" t="n">
        <x:v>42500</x:v>
      </x:c>
      <x:c r="D50" s="6" t="n">
        <x:v>131500</x:v>
      </x:c>
      <x:c r="E50" s="6" t="n">
        <x:f>C50-D50</x:f>
        <x:v>-89000</x:v>
      </x:c>
      <x:c r="F50" s="6" t="n">
        <x:f>F49+E50</x:f>
        <x:v>-4675000</x:v>
      </x:c>
      <x:c r="G50" s="6" t="n">
        <x:v>20500</x:v>
      </x:c>
      <x:c r="H50" s="6" t="n">
        <x:v>109500</x:v>
      </x:c>
      <x:c r="I50" s="6" t="n">
        <x:v>19</x:v>
      </x:c>
      <x:c r="J50" s="6" t="n">
        <x:v>60</x:v>
      </x:c>
      <x:c r="K50" s="6" t="n">
        <x:v>43</x:v>
      </x:c>
      <x:c r="L50" s="6" t="n">
        <x:v>6</x:v>
      </x:c>
      <x:c r="M50" s="11" t="n">
        <x:v>0.4723809523809524</x:v>
      </x:c>
      <x:c r="N50" s="6" t="n">
        <x:v>108500</x:v>
      </x:c>
    </x:row>
    <x:row r="51" ht="24" customHeight="1">
      <x:c r="A51" s="2" t="str">
        <x:v>2026-10-21_Night</x:v>
      </x:c>
      <x:c r="B51" s="6" t="str">
        <x:v>ナイト</x:v>
      </x:c>
      <x:c r="C51" s="6" t="n">
        <x:v>85000</x:v>
      </x:c>
      <x:c r="D51" s="6" t="n">
        <x:v>152500</x:v>
      </x:c>
      <x:c r="E51" s="6" t="n">
        <x:f>C51-D51</x:f>
        <x:v>-67500</x:v>
      </x:c>
      <x:c r="F51" s="6" t="n">
        <x:f>F50+E51</x:f>
        <x:v>-4742500</x:v>
      </x:c>
      <x:c r="G51" s="6" t="n">
        <x:v>47500</x:v>
      </x:c>
      <x:c r="H51" s="6" t="n">
        <x:v>115000</x:v>
      </x:c>
      <x:c r="I51" s="6" t="n">
        <x:v>28</x:v>
      </x:c>
      <x:c r="J51" s="6" t="n">
        <x:v>91</x:v>
      </x:c>
      <x:c r="K51" s="6" t="n">
        <x:v>58</x:v>
      </x:c>
      <x:c r="L51" s="6" t="n">
        <x:v>7</x:v>
      </x:c>
      <x:c r="M51" s="11" t="n">
        <x:v>0.6562606837606838</x:v>
      </x:c>
      <x:c r="N51" s="6" t="n">
        <x:v>90500</x:v>
      </x:c>
    </x:row>
    <x:row r="52" ht="24" customHeight="1">
      <x:c r="A52" s="2" t="str">
        <x:v>2026-10-22_Day</x:v>
      </x:c>
      <x:c r="B52" s="6" t="str">
        <x:v>デイ</x:v>
      </x:c>
      <x:c r="C52" s="6" t="n">
        <x:v>131000</x:v>
      </x:c>
      <x:c r="D52" s="6" t="n">
        <x:v>116500</x:v>
      </x:c>
      <x:c r="E52" s="6" t="n">
        <x:f>C52-D52</x:f>
        <x:v>14500</x:v>
      </x:c>
      <x:c r="F52" s="6" t="n">
        <x:f>F51+E52</x:f>
        <x:v>-4728000</x:v>
      </x:c>
      <x:c r="G52" s="6" t="n">
        <x:v>94500</x:v>
      </x:c>
      <x:c r="H52" s="6" t="n">
        <x:v>80000</x:v>
      </x:c>
      <x:c r="I52" s="6" t="n">
        <x:v>27</x:v>
      </x:c>
      <x:c r="J52" s="6" t="n">
        <x:v>100</x:v>
      </x:c>
      <x:c r="K52" s="6" t="n">
        <x:v>30</x:v>
      </x:c>
      <x:c r="L52" s="6" t="n">
        <x:v>10</x:v>
      </x:c>
      <x:c r="M52" s="11" t="n">
        <x:v>0.393531746031746</x:v>
      </x:c>
      <x:c r="N52" s="6" t="n">
        <x:v>57000</x:v>
      </x:c>
    </x:row>
    <x:row r="53" ht="24" customHeight="1">
      <x:c r="A53" s="2" t="str">
        <x:v>2026-10-22_Night</x:v>
      </x:c>
      <x:c r="B53" s="6" t="str">
        <x:v>ナイト</x:v>
      </x:c>
      <x:c r="C53" s="6" t="n">
        <x:v>189500</x:v>
      </x:c>
      <x:c r="D53" s="6" t="n">
        <x:v>267000</x:v>
      </x:c>
      <x:c r="E53" s="6" t="n">
        <x:f>C53-D53</x:f>
        <x:v>-77500</x:v>
      </x:c>
      <x:c r="F53" s="6" t="n">
        <x:f>F52+E53</x:f>
        <x:v>-4805500</x:v>
      </x:c>
      <x:c r="G53" s="6" t="n">
        <x:v>129000</x:v>
      </x:c>
      <x:c r="H53" s="6" t="n">
        <x:v>206500</x:v>
      </x:c>
      <x:c r="I53" s="6" t="n">
        <x:v>40</x:v>
      </x:c>
      <x:c r="J53" s="6" t="n">
        <x:v>193</x:v>
      </x:c>
      <x:c r="K53" s="6" t="n">
        <x:v>116</x:v>
      </x:c>
      <x:c r="L53" s="6" t="n">
        <x:v>10</x:v>
      </x:c>
      <x:c r="M53" s="11" t="n">
        <x:v>0.5362179487179487</x:v>
      </x:c>
      <x:c r="N53" s="6" t="n">
        <x:v>142500</x:v>
      </x:c>
    </x:row>
    <x:row r="54" ht="24" customHeight="1">
      <x:c r="A54" s="2" t="str">
        <x:v>2026-10-23_Day</x:v>
      </x:c>
      <x:c r="B54" s="6" t="str">
        <x:v>デイ</x:v>
      </x:c>
      <x:c r="C54" s="6" t="n">
        <x:v>125000</x:v>
      </x:c>
      <x:c r="D54" s="6" t="n">
        <x:v>289000</x:v>
      </x:c>
      <x:c r="E54" s="6" t="n">
        <x:f>C54-D54</x:f>
        <x:v>-164000</x:v>
      </x:c>
      <x:c r="F54" s="6" t="n">
        <x:f>F53+E54</x:f>
        <x:v>-4969500</x:v>
      </x:c>
      <x:c r="G54" s="6" t="n">
        <x:v>96500</x:v>
      </x:c>
      <x:c r="H54" s="6" t="n">
        <x:v>260500</x:v>
      </x:c>
      <x:c r="I54" s="6" t="n">
        <x:v>31</x:v>
      </x:c>
      <x:c r="J54" s="6" t="n">
        <x:v>128</x:v>
      </x:c>
      <x:c r="K54" s="6" t="n">
        <x:v>66</x:v>
      </x:c>
      <x:c r="L54" s="6" t="n">
        <x:v>10</x:v>
      </x:c>
      <x:c r="M54" s="11" t="n">
        <x:v>0.33630952380952384</x:v>
      </x:c>
      <x:c r="N54" s="6" t="n">
        <x:v>194000</x:v>
      </x:c>
    </x:row>
    <x:row r="55" ht="24" customHeight="1">
      <x:c r="A55" s="2" t="str">
        <x:v>2026-10-23_Night</x:v>
      </x:c>
      <x:c r="B55" s="6" t="str">
        <x:v>ナイト</x:v>
      </x:c>
      <x:c r="C55" s="6" t="n">
        <x:v>94000</x:v>
      </x:c>
      <x:c r="D55" s="6" t="n">
        <x:v>214500</x:v>
      </x:c>
      <x:c r="E55" s="6" t="n">
        <x:f>C55-D55</x:f>
        <x:v>-120500</x:v>
      </x:c>
      <x:c r="F55" s="6" t="n">
        <x:f>F54+E55</x:f>
        <x:v>-5090000</x:v>
      </x:c>
      <x:c r="G55" s="6" t="n">
        <x:v>44000</x:v>
      </x:c>
      <x:c r="H55" s="6" t="n">
        <x:v>164500</x:v>
      </x:c>
      <x:c r="I55" s="6" t="n">
        <x:v>33</x:v>
      </x:c>
      <x:c r="J55" s="6" t="n">
        <x:v>121</x:v>
      </x:c>
      <x:c r="K55" s="6" t="n">
        <x:v>70</x:v>
      </x:c>
      <x:c r="L55" s="6" t="n">
        <x:v>8</x:v>
      </x:c>
      <x:c r="M55" s="11" t="n">
        <x:v>0.6118803418803419</x:v>
      </x:c>
      <x:c r="N55" s="6" t="n">
        <x:v>149000</x:v>
      </x:c>
    </x:row>
    <x:row r="56" ht="24" customHeight="1">
      <x:c r="A56" s="2" t="str">
        <x:v>2026-10-26_Day</x:v>
      </x:c>
      <x:c r="B56" s="6" t="str">
        <x:v>デイ</x:v>
      </x:c>
      <x:c r="C56" s="6" t="n">
        <x:v>59000</x:v>
      </x:c>
      <x:c r="D56" s="6" t="n">
        <x:v>220000</x:v>
      </x:c>
      <x:c r="E56" s="6" t="n">
        <x:f>C56-D56</x:f>
        <x:v>-161000</x:v>
      </x:c>
      <x:c r="F56" s="6" t="n">
        <x:f>F55+E56</x:f>
        <x:v>-5251000</x:v>
      </x:c>
      <x:c r="G56" s="6" t="n">
        <x:v>28500</x:v>
      </x:c>
      <x:c r="H56" s="6" t="n">
        <x:v>189500</x:v>
      </x:c>
      <x:c r="I56" s="6" t="n">
        <x:v>31</x:v>
      </x:c>
      <x:c r="J56" s="6" t="n">
        <x:v>101</x:v>
      </x:c>
      <x:c r="K56" s="6" t="n">
        <x:v>62</x:v>
      </x:c>
      <x:c r="L56" s="6" t="n">
        <x:v>9</x:v>
      </x:c>
      <x:c r="M56" s="11" t="n">
        <x:v>0.5952380952380952</x:v>
      </x:c>
      <x:c r="N56" s="6" t="n">
        <x:v>175500</x:v>
      </x:c>
    </x:row>
    <x:row r="57" ht="24" customHeight="1">
      <x:c r="A57" s="15" t="str">
        <x:v>累計／平均／最大</x:v>
      </x:c>
      <x:c r="B57" s="16"/>
      <x:c r="C57" s="16" t="n">
        <x:f>SUM(C6:C56)</x:f>
        <x:v>4102000</x:v>
      </x:c>
      <x:c r="D57" s="16" t="n">
        <x:f>SUM(D6:D56)</x:f>
        <x:v>9353000</x:v>
      </x:c>
      <x:c r="E57" s="16" t="n">
        <x:f>C57-D57</x:f>
        <x:v>-5251000</x:v>
      </x:c>
      <x:c r="F57" s="16" t="n">
        <x:f>F56</x:f>
        <x:v>-5251000</x:v>
      </x:c>
      <x:c r="G57" s="16" t="n">
        <x:f>SUM(G6:G56)</x:f>
        <x:v>2421000</x:v>
      </x:c>
      <x:c r="H57" s="16" t="n">
        <x:f>SUM(H6:H56)</x:f>
        <x:v>7672000</x:v>
      </x:c>
      <x:c r="I57" s="16" t="n">
        <x:f>SUM(I6:I56)</x:f>
        <x:v>1359</x:v>
      </x:c>
      <x:c r="J57" s="16" t="n">
        <x:f>SUM(J6:J56)</x:f>
        <x:v>4963</x:v>
      </x:c>
      <x:c r="K57" s="16" t="n">
        <x:f>SUM(K6:K56)</x:f>
        <x:v>3179</x:v>
      </x:c>
      <x:c r="L57" s="16" t="n">
        <x:f>MAX(L6:L56)</x:f>
        <x:v>10</x:v>
      </x:c>
      <x:c r="M57" s="17" t="n">
        <x:f>AVERAGE(M6:M56)</x:f>
        <x:v>0.6149784529196294</x:v>
      </x:c>
      <x:c r="N57" s="16" t="n">
        <x:f>MAX(N6:N56)</x:f>
        <x:v>270000</x:v>
      </x:c>
    </x:row>
  </x:sheetData>
  <x:conditionalFormatting sqref="E6:F56">
    <x:cfRule type="cellIs" dxfId="40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765e5e6b03b40f9"/>
  </x:tableParts>
</x:worksheet>
</file>

<file path=xl/worksheets/sheet4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1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4" customHeight="1">
      <x:c r="A1" s="3" t="str">
        <x:v>TOPIX R08　各セッションの利益・損失・収支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A2" s="4" t="str">
        <x:v>2026/09/21〜10/26デイ・51完了場。日経mini／TOPIXmini各上限10枚・手数料0。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4" customHeight="1">
      <x:c r="A3" s="4" t="str">
        <x:v>10分MA・冷却後に再参加・価格と1分傾き確認・利益方向だけ追加・2枚差で増減／T出口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4" customHeight="1">
      <x:c r="A4" s="4" t="str">
        <x:v>利益・損失＝FIFO返済配賦別。親＝初回から全返済まで。ラージ気配による模型で、mini実約定の検証ではありません。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42" customHeight="1">
      <x:c r="A5" s="10" t="str">
        <x:v>セッション</x:v>
      </x:c>
      <x:c r="B5" s="10" t="str">
        <x:v>区分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親利益（円）</x:v>
      </x:c>
      <x:c r="H5" s="10" t="str">
        <x:v>親損失（円）</x:v>
      </x:c>
      <x:c r="I5" s="10" t="str">
        <x:v>初回件数</x:v>
      </x:c>
      <x:c r="J5" s="10" t="str">
        <x:v>追加件数</x:v>
      </x:c>
      <x:c r="K5" s="10" t="str">
        <x:v>縮小件数</x:v>
      </x:c>
      <x:c r="L5" s="10" t="str">
        <x:v>最大保有枚数</x:v>
      </x:c>
      <x:c r="M5" s="10" t="str">
        <x:v>保有時間率</x:v>
      </x:c>
      <x:c r="N5" s="10" t="str">
        <x:v>時価最大DD（円）</x:v>
      </x:c>
    </x:row>
    <x:row r="6" ht="24" customHeight="1">
      <x:c r="A6" s="2" t="str">
        <x:v>2026-09-21_Day</x:v>
      </x:c>
      <x:c r="B6" s="6" t="str">
        <x:v>デイ</x:v>
      </x:c>
      <x:c r="C6" s="6" t="n">
        <x:v>20000</x:v>
      </x:c>
      <x:c r="D6" s="6" t="n">
        <x:v>68000</x:v>
      </x:c>
      <x:c r="E6" s="6" t="n">
        <x:f>C6-D6</x:f>
        <x:v>-48000</x:v>
      </x:c>
      <x:c r="F6" s="6" t="n">
        <x:f>E6</x:f>
        <x:v>-48000</x:v>
      </x:c>
      <x:c r="G6" s="6" t="n">
        <x:v>16500</x:v>
      </x:c>
      <x:c r="H6" s="6" t="n">
        <x:v>64500</x:v>
      </x:c>
      <x:c r="I6" s="6" t="n">
        <x:v>11</x:v>
      </x:c>
      <x:c r="J6" s="6" t="n">
        <x:v>9</x:v>
      </x:c>
      <x:c r="K6" s="6" t="n">
        <x:v>5</x:v>
      </x:c>
      <x:c r="L6" s="6" t="n">
        <x:v>6</x:v>
      </x:c>
      <x:c r="M6" s="11" t="n">
        <x:v>0.6226587301587302</x:v>
      </x:c>
      <x:c r="N6" s="6" t="n">
        <x:v>53500</x:v>
      </x:c>
    </x:row>
    <x:row r="7" ht="24" customHeight="1">
      <x:c r="A7" s="2" t="str">
        <x:v>2026-09-21_Night</x:v>
      </x:c>
      <x:c r="B7" s="6" t="str">
        <x:v>ナイト</x:v>
      </x:c>
      <x:c r="C7" s="6" t="n">
        <x:v>36000</x:v>
      </x:c>
      <x:c r="D7" s="6" t="n">
        <x:v>89000</x:v>
      </x:c>
      <x:c r="E7" s="6" t="n">
        <x:f>C7-D7</x:f>
        <x:v>-53000</x:v>
      </x:c>
      <x:c r="F7" s="6" t="n">
        <x:f>F6+E7</x:f>
        <x:v>-101000</x:v>
      </x:c>
      <x:c r="G7" s="6" t="n">
        <x:v>20500</x:v>
      </x:c>
      <x:c r="H7" s="6" t="n">
        <x:v>73500</x:v>
      </x:c>
      <x:c r="I7" s="6" t="n">
        <x:v>23</x:v>
      </x:c>
      <x:c r="J7" s="6" t="n">
        <x:v>13</x:v>
      </x:c>
      <x:c r="K7" s="6" t="n">
        <x:v>11</x:v>
      </x:c>
      <x:c r="L7" s="6" t="n">
        <x:v>6</x:v>
      </x:c>
      <x:c r="M7" s="11" t="n">
        <x:v>0.7774358974358975</x:v>
      </x:c>
      <x:c r="N7" s="6" t="n">
        <x:v>72000</x:v>
      </x:c>
    </x:row>
    <x:row r="8" ht="24" customHeight="1">
      <x:c r="A8" s="2" t="str">
        <x:v>2026-09-22_Day</x:v>
      </x:c>
      <x:c r="B8" s="6" t="str">
        <x:v>デイ</x:v>
      </x:c>
      <x:c r="C8" s="6" t="n">
        <x:v>24500</x:v>
      </x:c>
      <x:c r="D8" s="6" t="n">
        <x:v>111500</x:v>
      </x:c>
      <x:c r="E8" s="6" t="n">
        <x:f>C8-D8</x:f>
        <x:v>-87000</x:v>
      </x:c>
      <x:c r="F8" s="6" t="n">
        <x:f>F7+E8</x:f>
        <x:v>-188000</x:v>
      </x:c>
      <x:c r="G8" s="6" t="n">
        <x:v>8000</x:v>
      </x:c>
      <x:c r="H8" s="6" t="n">
        <x:v>95000</x:v>
      </x:c>
      <x:c r="I8" s="6" t="n">
        <x:v>16</x:v>
      </x:c>
      <x:c r="J8" s="6" t="n">
        <x:v>15</x:v>
      </x:c>
      <x:c r="K8" s="6" t="n">
        <x:v>8</x:v>
      </x:c>
      <x:c r="L8" s="6" t="n">
        <x:v>7</x:v>
      </x:c>
      <x:c r="M8" s="11" t="n">
        <x:v>0.6972222222222222</x:v>
      </x:c>
      <x:c r="N8" s="6" t="n">
        <x:v>97000</x:v>
      </x:c>
    </x:row>
    <x:row r="9" ht="24" customHeight="1">
      <x:c r="A9" s="2" t="str">
        <x:v>2026-09-22_Night</x:v>
      </x:c>
      <x:c r="B9" s="6" t="str">
        <x:v>ナイト</x:v>
      </x:c>
      <x:c r="C9" s="6" t="n">
        <x:v>98000</x:v>
      </x:c>
      <x:c r="D9" s="6" t="n">
        <x:v>100500</x:v>
      </x:c>
      <x:c r="E9" s="6" t="n">
        <x:f>C9-D9</x:f>
        <x:v>-2500</x:v>
      </x:c>
      <x:c r="F9" s="6" t="n">
        <x:f>F8+E9</x:f>
        <x:v>-190500</x:v>
      </x:c>
      <x:c r="G9" s="6" t="n">
        <x:v>79000</x:v>
      </x:c>
      <x:c r="H9" s="6" t="n">
        <x:v>81500</x:v>
      </x:c>
      <x:c r="I9" s="6" t="n">
        <x:v>28</x:v>
      </x:c>
      <x:c r="J9" s="6" t="n">
        <x:v>29</x:v>
      </x:c>
      <x:c r="K9" s="6" t="n">
        <x:v>11</x:v>
      </x:c>
      <x:c r="L9" s="6" t="n">
        <x:v>8</x:v>
      </x:c>
      <x:c r="M9" s="11" t="n">
        <x:v>0.6407905982905983</x:v>
      </x:c>
      <x:c r="N9" s="6" t="n">
        <x:v>40500</x:v>
      </x:c>
    </x:row>
    <x:row r="10" ht="24" customHeight="1">
      <x:c r="A10" s="2" t="str">
        <x:v>2026-09-23_Day</x:v>
      </x:c>
      <x:c r="B10" s="6" t="str">
        <x:v>デイ</x:v>
      </x:c>
      <x:c r="C10" s="6" t="n">
        <x:v>19000</x:v>
      </x:c>
      <x:c r="D10" s="6" t="n">
        <x:v>74500</x:v>
      </x:c>
      <x:c r="E10" s="6" t="n">
        <x:f>C10-D10</x:f>
        <x:v>-55500</x:v>
      </x:c>
      <x:c r="F10" s="6" t="n">
        <x:f>F9+E10</x:f>
        <x:v>-246000</x:v>
      </x:c>
      <x:c r="G10" s="6" t="n">
        <x:v>6500</x:v>
      </x:c>
      <x:c r="H10" s="6" t="n">
        <x:v>62000</x:v>
      </x:c>
      <x:c r="I10" s="6" t="n">
        <x:v>13</x:v>
      </x:c>
      <x:c r="J10" s="6" t="n">
        <x:v>11</x:v>
      </x:c>
      <x:c r="K10" s="6" t="n">
        <x:v>6</x:v>
      </x:c>
      <x:c r="L10" s="6" t="n">
        <x:v>10</x:v>
      </x:c>
      <x:c r="M10" s="11" t="n">
        <x:v>0.6675793650793651</x:v>
      </x:c>
      <x:c r="N10" s="6" t="n">
        <x:v>57500</x:v>
      </x:c>
    </x:row>
    <x:row r="11" ht="24" customHeight="1">
      <x:c r="A11" s="2" t="str">
        <x:v>2026-09-23_Night</x:v>
      </x:c>
      <x:c r="B11" s="6" t="str">
        <x:v>ナイト</x:v>
      </x:c>
      <x:c r="C11" s="6" t="n">
        <x:v>51000</x:v>
      </x:c>
      <x:c r="D11" s="6" t="n">
        <x:v>146000</x:v>
      </x:c>
      <x:c r="E11" s="6" t="n">
        <x:f>C11-D11</x:f>
        <x:v>-95000</x:v>
      </x:c>
      <x:c r="F11" s="6" t="n">
        <x:f>F10+E11</x:f>
        <x:v>-341000</x:v>
      </x:c>
      <x:c r="G11" s="6" t="n">
        <x:v>29000</x:v>
      </x:c>
      <x:c r="H11" s="6" t="n">
        <x:v>124000</x:v>
      </x:c>
      <x:c r="I11" s="6" t="n">
        <x:v>27</x:v>
      </x:c>
      <x:c r="J11" s="6" t="n">
        <x:v>14</x:v>
      </x:c>
      <x:c r="K11" s="6" t="n">
        <x:v>7</x:v>
      </x:c>
      <x:c r="L11" s="6" t="n">
        <x:v>6</x:v>
      </x:c>
      <x:c r="M11" s="11" t="n">
        <x:v>0.6933760683760684</x:v>
      </x:c>
      <x:c r="N11" s="6" t="n">
        <x:v>100000</x:v>
      </x:c>
    </x:row>
    <x:row r="12" ht="24" customHeight="1">
      <x:c r="A12" s="2" t="str">
        <x:v>2026-09-24_Day</x:v>
      </x:c>
      <x:c r="B12" s="6" t="str">
        <x:v>デイ</x:v>
      </x:c>
      <x:c r="C12" s="6" t="n">
        <x:v>109500</x:v>
      </x:c>
      <x:c r="D12" s="6" t="n">
        <x:v>230500</x:v>
      </x:c>
      <x:c r="E12" s="6" t="n">
        <x:f>C12-D12</x:f>
        <x:v>-121000</x:v>
      </x:c>
      <x:c r="F12" s="6" t="n">
        <x:f>F11+E12</x:f>
        <x:v>-462000</x:v>
      </x:c>
      <x:c r="G12" s="6" t="n">
        <x:v>85500</x:v>
      </x:c>
      <x:c r="H12" s="6" t="n">
        <x:v>206500</x:v>
      </x:c>
      <x:c r="I12" s="6" t="n">
        <x:v>30</x:v>
      </x:c>
      <x:c r="J12" s="6" t="n">
        <x:v>31</x:v>
      </x:c>
      <x:c r="K12" s="6" t="n">
        <x:v>11</x:v>
      </x:c>
      <x:c r="L12" s="6" t="n">
        <x:v>10</x:v>
      </x:c>
      <x:c r="M12" s="11" t="n">
        <x:v>0.5617063492063492</x:v>
      </x:c>
      <x:c r="N12" s="6" t="n">
        <x:v>148500</x:v>
      </x:c>
    </x:row>
    <x:row r="13" ht="24" customHeight="1">
      <x:c r="A13" s="2" t="str">
        <x:v>2026-09-24_Night</x:v>
      </x:c>
      <x:c r="B13" s="6" t="str">
        <x:v>ナイト</x:v>
      </x:c>
      <x:c r="C13" s="6" t="n">
        <x:v>109000</x:v>
      </x:c>
      <x:c r="D13" s="6" t="n">
        <x:v>230500</x:v>
      </x:c>
      <x:c r="E13" s="6" t="n">
        <x:f>C13-D13</x:f>
        <x:v>-121500</x:v>
      </x:c>
      <x:c r="F13" s="6" t="n">
        <x:f>F12+E13</x:f>
        <x:v>-583500</x:v>
      </x:c>
      <x:c r="G13" s="6" t="n">
        <x:v>66500</x:v>
      </x:c>
      <x:c r="H13" s="6" t="n">
        <x:v>188000</x:v>
      </x:c>
      <x:c r="I13" s="6" t="n">
        <x:v>40</x:v>
      </x:c>
      <x:c r="J13" s="6" t="n">
        <x:v>48</x:v>
      </x:c>
      <x:c r="K13" s="6" t="n">
        <x:v>21</x:v>
      </x:c>
      <x:c r="L13" s="6" t="n">
        <x:v>10</x:v>
      </x:c>
      <x:c r="M13" s="11" t="n">
        <x:v>0.6586752136752136</x:v>
      </x:c>
      <x:c r="N13" s="6" t="n">
        <x:v>185500</x:v>
      </x:c>
    </x:row>
    <x:row r="14" ht="24" customHeight="1">
      <x:c r="A14" s="2" t="str">
        <x:v>2026-09-25_Day</x:v>
      </x:c>
      <x:c r="B14" s="6" t="str">
        <x:v>デイ</x:v>
      </x:c>
      <x:c r="C14" s="6" t="n">
        <x:v>36000</x:v>
      </x:c>
      <x:c r="D14" s="6" t="n">
        <x:v>143000</x:v>
      </x:c>
      <x:c r="E14" s="6" t="n">
        <x:f>C14-D14</x:f>
        <x:v>-107000</x:v>
      </x:c>
      <x:c r="F14" s="6" t="n">
        <x:f>F13+E14</x:f>
        <x:v>-690500</x:v>
      </x:c>
      <x:c r="G14" s="6" t="n">
        <x:v>25000</x:v>
      </x:c>
      <x:c r="H14" s="6" t="n">
        <x:v>132000</x:v>
      </x:c>
      <x:c r="I14" s="6" t="n">
        <x:v>27</x:v>
      </x:c>
      <x:c r="J14" s="6" t="n">
        <x:v>16</x:v>
      </x:c>
      <x:c r="K14" s="6" t="n">
        <x:v>6</x:v>
      </x:c>
      <x:c r="L14" s="6" t="n">
        <x:v>7</x:v>
      </x:c>
      <x:c r="M14" s="11" t="n">
        <x:v>0.5456746031746031</x:v>
      </x:c>
      <x:c r="N14" s="6" t="n">
        <x:v>118000</x:v>
      </x:c>
    </x:row>
    <x:row r="15" ht="24" customHeight="1">
      <x:c r="A15" s="2" t="str">
        <x:v>2026-09-25_Night</x:v>
      </x:c>
      <x:c r="B15" s="6" t="str">
        <x:v>ナイト</x:v>
      </x:c>
      <x:c r="C15" s="6" t="n">
        <x:v>42000</x:v>
      </x:c>
      <x:c r="D15" s="6" t="n">
        <x:v>133000</x:v>
      </x:c>
      <x:c r="E15" s="6" t="n">
        <x:f>C15-D15</x:f>
        <x:v>-91000</x:v>
      </x:c>
      <x:c r="F15" s="6" t="n">
        <x:f>F14+E15</x:f>
        <x:v>-781500</x:v>
      </x:c>
      <x:c r="G15" s="6" t="n">
        <x:v>26000</x:v>
      </x:c>
      <x:c r="H15" s="6" t="n">
        <x:v>117000</x:v>
      </x:c>
      <x:c r="I15" s="6" t="n">
        <x:v>33</x:v>
      </x:c>
      <x:c r="J15" s="6" t="n">
        <x:v>25</x:v>
      </x:c>
      <x:c r="K15" s="6" t="n">
        <x:v>7</x:v>
      </x:c>
      <x:c r="L15" s="6" t="n">
        <x:v>10</x:v>
      </x:c>
      <x:c r="M15" s="11" t="n">
        <x:v>0.5851709401709402</x:v>
      </x:c>
      <x:c r="N15" s="6" t="n">
        <x:v>127500</x:v>
      </x:c>
    </x:row>
    <x:row r="16" ht="24" customHeight="1">
      <x:c r="A16" s="2" t="str">
        <x:v>2026-09-28_Day</x:v>
      </x:c>
      <x:c r="B16" s="6" t="str">
        <x:v>デイ</x:v>
      </x:c>
      <x:c r="C16" s="6" t="n">
        <x:v>51000</x:v>
      </x:c>
      <x:c r="D16" s="6" t="n">
        <x:v>164500</x:v>
      </x:c>
      <x:c r="E16" s="6" t="n">
        <x:f>C16-D16</x:f>
        <x:v>-113500</x:v>
      </x:c>
      <x:c r="F16" s="6" t="n">
        <x:f>F15+E16</x:f>
        <x:v>-895000</x:v>
      </x:c>
      <x:c r="G16" s="6" t="n">
        <x:v>34500</x:v>
      </x:c>
      <x:c r="H16" s="6" t="n">
        <x:v>148000</x:v>
      </x:c>
      <x:c r="I16" s="6" t="n">
        <x:v>23</x:v>
      </x:c>
      <x:c r="J16" s="6" t="n">
        <x:v>24</x:v>
      </x:c>
      <x:c r="K16" s="6" t="n">
        <x:v>9</x:v>
      </x:c>
      <x:c r="L16" s="6" t="n">
        <x:v>10</x:v>
      </x:c>
      <x:c r="M16" s="11" t="n">
        <x:v>0.6426587301587302</x:v>
      </x:c>
      <x:c r="N16" s="6" t="n">
        <x:v>140500</x:v>
      </x:c>
    </x:row>
    <x:row r="17" ht="24" customHeight="1">
      <x:c r="A17" s="2" t="str">
        <x:v>2026-09-28_Night</x:v>
      </x:c>
      <x:c r="B17" s="6" t="str">
        <x:v>ナイト</x:v>
      </x:c>
      <x:c r="C17" s="6" t="n">
        <x:v>108500</x:v>
      </x:c>
      <x:c r="D17" s="6" t="n">
        <x:v>175500</x:v>
      </x:c>
      <x:c r="E17" s="6" t="n">
        <x:f>C17-D17</x:f>
        <x:v>-67000</x:v>
      </x:c>
      <x:c r="F17" s="6" t="n">
        <x:f>F16+E17</x:f>
        <x:v>-962000</x:v>
      </x:c>
      <x:c r="G17" s="6" t="n">
        <x:v>83500</x:v>
      </x:c>
      <x:c r="H17" s="6" t="n">
        <x:v>150500</x:v>
      </x:c>
      <x:c r="I17" s="6" t="n">
        <x:v>35</x:v>
      </x:c>
      <x:c r="J17" s="6" t="n">
        <x:v>29</x:v>
      </x:c>
      <x:c r="K17" s="6" t="n">
        <x:v>19</x:v>
      </x:c>
      <x:c r="L17" s="6" t="n">
        <x:v>7</x:v>
      </x:c>
      <x:c r="M17" s="11" t="n">
        <x:v>0.7282478632478633</x:v>
      </x:c>
      <x:c r="N17" s="6" t="n">
        <x:v>117000</x:v>
      </x:c>
    </x:row>
    <x:row r="18" ht="24" customHeight="1">
      <x:c r="A18" s="2" t="str">
        <x:v>2026-09-29_Day</x:v>
      </x:c>
      <x:c r="B18" s="6" t="str">
        <x:v>デイ</x:v>
      </x:c>
      <x:c r="C18" s="6" t="n">
        <x:v>63500</x:v>
      </x:c>
      <x:c r="D18" s="6" t="n">
        <x:v>160500</x:v>
      </x:c>
      <x:c r="E18" s="6" t="n">
        <x:f>C18-D18</x:f>
        <x:v>-97000</x:v>
      </x:c>
      <x:c r="F18" s="6" t="n">
        <x:f>F17+E18</x:f>
        <x:v>-1059000</x:v>
      </x:c>
      <x:c r="G18" s="6" t="n">
        <x:v>51500</x:v>
      </x:c>
      <x:c r="H18" s="6" t="n">
        <x:v>148500</x:v>
      </x:c>
      <x:c r="I18" s="6" t="n">
        <x:v>23</x:v>
      </x:c>
      <x:c r="J18" s="6" t="n">
        <x:v>25</x:v>
      </x:c>
      <x:c r="K18" s="6" t="n">
        <x:v>9</x:v>
      </x:c>
      <x:c r="L18" s="6" t="n">
        <x:v>9</x:v>
      </x:c>
      <x:c r="M18" s="11" t="n">
        <x:v>0.543531746031746</x:v>
      </x:c>
      <x:c r="N18" s="6" t="n">
        <x:v>123000</x:v>
      </x:c>
    </x:row>
    <x:row r="19" ht="24" customHeight="1">
      <x:c r="A19" s="2" t="str">
        <x:v>2026-09-29_Night</x:v>
      </x:c>
      <x:c r="B19" s="6" t="str">
        <x:v>ナイト</x:v>
      </x:c>
      <x:c r="C19" s="6" t="n">
        <x:v>40000</x:v>
      </x:c>
      <x:c r="D19" s="6" t="n">
        <x:v>246000</x:v>
      </x:c>
      <x:c r="E19" s="6" t="n">
        <x:f>C19-D19</x:f>
        <x:v>-206000</x:v>
      </x:c>
      <x:c r="F19" s="6" t="n">
        <x:f>F18+E19</x:f>
        <x:v>-1265000</x:v>
      </x:c>
      <x:c r="G19" s="6" t="n">
        <x:v>19500</x:v>
      </x:c>
      <x:c r="H19" s="6" t="n">
        <x:v>225500</x:v>
      </x:c>
      <x:c r="I19" s="6" t="n">
        <x:v>39</x:v>
      </x:c>
      <x:c r="J19" s="6" t="n">
        <x:v>32</x:v>
      </x:c>
      <x:c r="K19" s="6" t="n">
        <x:v>21</x:v>
      </x:c>
      <x:c r="L19" s="6" t="n">
        <x:v>8</x:v>
      </x:c>
      <x:c r="M19" s="11" t="n">
        <x:v>0.7679273504273504</x:v>
      </x:c>
      <x:c r="N19" s="6" t="n">
        <x:v>209000</x:v>
      </x:c>
    </x:row>
    <x:row r="20" ht="24" customHeight="1">
      <x:c r="A20" s="2" t="str">
        <x:v>2026-09-30_Day</x:v>
      </x:c>
      <x:c r="B20" s="6" t="str">
        <x:v>デイ</x:v>
      </x:c>
      <x:c r="C20" s="6" t="n">
        <x:v>80500</x:v>
      </x:c>
      <x:c r="D20" s="6" t="n">
        <x:v>127500</x:v>
      </x:c>
      <x:c r="E20" s="6" t="n">
        <x:f>C20-D20</x:f>
        <x:v>-47000</x:v>
      </x:c>
      <x:c r="F20" s="6" t="n">
        <x:f>F19+E20</x:f>
        <x:v>-1312000</x:v>
      </x:c>
      <x:c r="G20" s="6" t="n">
        <x:v>53500</x:v>
      </x:c>
      <x:c r="H20" s="6" t="n">
        <x:v>100500</x:v>
      </x:c>
      <x:c r="I20" s="6" t="n">
        <x:v>22</x:v>
      </x:c>
      <x:c r="J20" s="6" t="n">
        <x:v>29</x:v>
      </x:c>
      <x:c r="K20" s="6" t="n">
        <x:v>11</x:v>
      </x:c>
      <x:c r="L20" s="6" t="n">
        <x:v>10</x:v>
      </x:c>
      <x:c r="M20" s="11" t="n">
        <x:v>0.5184126984126984</x:v>
      </x:c>
      <x:c r="N20" s="6" t="n">
        <x:v>66500</x:v>
      </x:c>
    </x:row>
    <x:row r="21" ht="24" customHeight="1">
      <x:c r="A21" s="2" t="str">
        <x:v>2026-09-30_Night</x:v>
      </x:c>
      <x:c r="B21" s="6" t="str">
        <x:v>ナイト</x:v>
      </x:c>
      <x:c r="C21" s="6" t="n">
        <x:v>78000</x:v>
      </x:c>
      <x:c r="D21" s="6" t="n">
        <x:v>216500</x:v>
      </x:c>
      <x:c r="E21" s="6" t="n">
        <x:f>C21-D21</x:f>
        <x:v>-138500</x:v>
      </x:c>
      <x:c r="F21" s="6" t="n">
        <x:f>F20+E21</x:f>
        <x:v>-1450500</x:v>
      </x:c>
      <x:c r="G21" s="6" t="n">
        <x:v>57500</x:v>
      </x:c>
      <x:c r="H21" s="6" t="n">
        <x:v>196000</x:v>
      </x:c>
      <x:c r="I21" s="6" t="n">
        <x:v>42</x:v>
      </x:c>
      <x:c r="J21" s="6" t="n">
        <x:v>31</x:v>
      </x:c>
      <x:c r="K21" s="6" t="n">
        <x:v>16</x:v>
      </x:c>
      <x:c r="L21" s="6" t="n">
        <x:v>8</x:v>
      </x:c>
      <x:c r="M21" s="11" t="n">
        <x:v>0.6092948717948717</x:v>
      </x:c>
      <x:c r="N21" s="6" t="n">
        <x:v>141500</x:v>
      </x:c>
    </x:row>
    <x:row r="22" ht="24" customHeight="1">
      <x:c r="A22" s="2" t="str">
        <x:v>2026-10-01_Day</x:v>
      </x:c>
      <x:c r="B22" s="6" t="str">
        <x:v>デイ</x:v>
      </x:c>
      <x:c r="C22" s="6" t="n">
        <x:v>43500</x:v>
      </x:c>
      <x:c r="D22" s="6" t="n">
        <x:v>103000</x:v>
      </x:c>
      <x:c r="E22" s="6" t="n">
        <x:f>C22-D22</x:f>
        <x:v>-59500</x:v>
      </x:c>
      <x:c r="F22" s="6" t="n">
        <x:f>F21+E22</x:f>
        <x:v>-1510000</x:v>
      </x:c>
      <x:c r="G22" s="6" t="n">
        <x:v>31000</x:v>
      </x:c>
      <x:c r="H22" s="6" t="n">
        <x:v>90500</x:v>
      </x:c>
      <x:c r="I22" s="6" t="n">
        <x:v>21</x:v>
      </x:c>
      <x:c r="J22" s="6" t="n">
        <x:v>18</x:v>
      </x:c>
      <x:c r="K22" s="6" t="n">
        <x:v>6</x:v>
      </x:c>
      <x:c r="L22" s="6" t="n">
        <x:v>7</x:v>
      </x:c>
      <x:c r="M22" s="11" t="n">
        <x:v>0.48464285714285715</x:v>
      </x:c>
      <x:c r="N22" s="6" t="n">
        <x:v>59500</x:v>
      </x:c>
    </x:row>
    <x:row r="23" ht="24" customHeight="1">
      <x:c r="A23" s="2" t="str">
        <x:v>2026-10-01_Night</x:v>
      </x:c>
      <x:c r="B23" s="6" t="str">
        <x:v>ナイト</x:v>
      </x:c>
      <x:c r="C23" s="6" t="n">
        <x:v>88000</x:v>
      </x:c>
      <x:c r="D23" s="6" t="n">
        <x:v>156000</x:v>
      </x:c>
      <x:c r="E23" s="6" t="n">
        <x:f>C23-D23</x:f>
        <x:v>-68000</x:v>
      </x:c>
      <x:c r="F23" s="6" t="n">
        <x:f>F22+E23</x:f>
        <x:v>-1578000</x:v>
      </x:c>
      <x:c r="G23" s="6" t="n">
        <x:v>68000</x:v>
      </x:c>
      <x:c r="H23" s="6" t="n">
        <x:v>136000</x:v>
      </x:c>
      <x:c r="I23" s="6" t="n">
        <x:v>35</x:v>
      </x:c>
      <x:c r="J23" s="6" t="n">
        <x:v>33</x:v>
      </x:c>
      <x:c r="K23" s="6" t="n">
        <x:v>17</x:v>
      </x:c>
      <x:c r="L23" s="6" t="n">
        <x:v>6</x:v>
      </x:c>
      <x:c r="M23" s="11" t="n">
        <x:v>0.4741452991452991</x:v>
      </x:c>
      <x:c r="N23" s="6" t="n">
        <x:v>82500</x:v>
      </x:c>
    </x:row>
    <x:row r="24" ht="24" customHeight="1">
      <x:c r="A24" s="2" t="str">
        <x:v>2026-10-02_Day</x:v>
      </x:c>
      <x:c r="B24" s="6" t="str">
        <x:v>デイ</x:v>
      </x:c>
      <x:c r="C24" s="6" t="n">
        <x:v>44500</x:v>
      </x:c>
      <x:c r="D24" s="6" t="n">
        <x:v>98000</x:v>
      </x:c>
      <x:c r="E24" s="6" t="n">
        <x:f>C24-D24</x:f>
        <x:v>-53500</x:v>
      </x:c>
      <x:c r="F24" s="6" t="n">
        <x:f>F23+E24</x:f>
        <x:v>-1631500</x:v>
      </x:c>
      <x:c r="G24" s="6" t="n">
        <x:v>24000</x:v>
      </x:c>
      <x:c r="H24" s="6" t="n">
        <x:v>77500</x:v>
      </x:c>
      <x:c r="I24" s="6" t="n">
        <x:v>18</x:v>
      </x:c>
      <x:c r="J24" s="6" t="n">
        <x:v>23</x:v>
      </x:c>
      <x:c r="K24" s="6" t="n">
        <x:v>10</x:v>
      </x:c>
      <x:c r="L24" s="6" t="n">
        <x:v>8</x:v>
      </x:c>
      <x:c r="M24" s="11" t="n">
        <x:v>0.5561904761904762</x:v>
      </x:c>
      <x:c r="N24" s="6" t="n">
        <x:v>75000</x:v>
      </x:c>
    </x:row>
    <x:row r="25" ht="24" customHeight="1">
      <x:c r="A25" s="2" t="str">
        <x:v>2026-10-02_Night</x:v>
      </x:c>
      <x:c r="B25" s="6" t="str">
        <x:v>ナイト</x:v>
      </x:c>
      <x:c r="C25" s="6" t="n">
        <x:v>84500</x:v>
      </x:c>
      <x:c r="D25" s="6" t="n">
        <x:v>110500</x:v>
      </x:c>
      <x:c r="E25" s="6" t="n">
        <x:f>C25-D25</x:f>
        <x:v>-26000</x:v>
      </x:c>
      <x:c r="F25" s="6" t="n">
        <x:f>F24+E25</x:f>
        <x:v>-1657500</x:v>
      </x:c>
      <x:c r="G25" s="6" t="n">
        <x:v>60500</x:v>
      </x:c>
      <x:c r="H25" s="6" t="n">
        <x:v>86500</x:v>
      </x:c>
      <x:c r="I25" s="6" t="n">
        <x:v>33</x:v>
      </x:c>
      <x:c r="J25" s="6" t="n">
        <x:v>21</x:v>
      </x:c>
      <x:c r="K25" s="6" t="n">
        <x:v>10</x:v>
      </x:c>
      <x:c r="L25" s="6" t="n">
        <x:v>10</x:v>
      </x:c>
      <x:c r="M25" s="11" t="n">
        <x:v>0.5699786324786325</x:v>
      </x:c>
      <x:c r="N25" s="6" t="n">
        <x:v>60000</x:v>
      </x:c>
    </x:row>
    <x:row r="26" ht="24" customHeight="1">
      <x:c r="A26" s="2" t="str">
        <x:v>2026-10-05_Day</x:v>
      </x:c>
      <x:c r="B26" s="6" t="str">
        <x:v>デイ</x:v>
      </x:c>
      <x:c r="C26" s="6" t="n">
        <x:v>52500</x:v>
      </x:c>
      <x:c r="D26" s="6" t="n">
        <x:v>191500</x:v>
      </x:c>
      <x:c r="E26" s="6" t="n">
        <x:f>C26-D26</x:f>
        <x:v>-139000</x:v>
      </x:c>
      <x:c r="F26" s="6" t="n">
        <x:f>F25+E26</x:f>
        <x:v>-1796500</x:v>
      </x:c>
      <x:c r="G26" s="6" t="n">
        <x:v>36000</x:v>
      </x:c>
      <x:c r="H26" s="6" t="n">
        <x:v>175000</x:v>
      </x:c>
      <x:c r="I26" s="6" t="n">
        <x:v>26</x:v>
      </x:c>
      <x:c r="J26" s="6" t="n">
        <x:v>23</x:v>
      </x:c>
      <x:c r="K26" s="6" t="n">
        <x:v>7</x:v>
      </x:c>
      <x:c r="L26" s="6" t="n">
        <x:v>10</x:v>
      </x:c>
      <x:c r="M26" s="11" t="n">
        <x:v>0.6334126984126984</x:v>
      </x:c>
      <x:c r="N26" s="6" t="n">
        <x:v>161000</x:v>
      </x:c>
    </x:row>
    <x:row r="27" ht="24" customHeight="1">
      <x:c r="A27" s="2" t="str">
        <x:v>2026-10-05_Night</x:v>
      </x:c>
      <x:c r="B27" s="6" t="str">
        <x:v>ナイト</x:v>
      </x:c>
      <x:c r="C27" s="6" t="n">
        <x:v>65000</x:v>
      </x:c>
      <x:c r="D27" s="6" t="n">
        <x:v>133000</x:v>
      </x:c>
      <x:c r="E27" s="6" t="n">
        <x:f>C27-D27</x:f>
        <x:v>-68000</x:v>
      </x:c>
      <x:c r="F27" s="6" t="n">
        <x:f>F26+E27</x:f>
        <x:v>-1864500</x:v>
      </x:c>
      <x:c r="G27" s="6" t="n">
        <x:v>48000</x:v>
      </x:c>
      <x:c r="H27" s="6" t="n">
        <x:v>116000</x:v>
      </x:c>
      <x:c r="I27" s="6" t="n">
        <x:v>25</x:v>
      </x:c>
      <x:c r="J27" s="6" t="n">
        <x:v>19</x:v>
      </x:c>
      <x:c r="K27" s="6" t="n">
        <x:v>14</x:v>
      </x:c>
      <x:c r="L27" s="6" t="n">
        <x:v>7</x:v>
      </x:c>
      <x:c r="M27" s="11" t="n">
        <x:v>0.7672435897435897</x:v>
      </x:c>
      <x:c r="N27" s="6" t="n">
        <x:v>72000</x:v>
      </x:c>
    </x:row>
    <x:row r="28" ht="24" customHeight="1">
      <x:c r="A28" s="2" t="str">
        <x:v>2026-10-06_Day</x:v>
      </x:c>
      <x:c r="B28" s="6" t="str">
        <x:v>デイ</x:v>
      </x:c>
      <x:c r="C28" s="6" t="n">
        <x:v>31000</x:v>
      </x:c>
      <x:c r="D28" s="6" t="n">
        <x:v>120000</x:v>
      </x:c>
      <x:c r="E28" s="6" t="n">
        <x:f>C28-D28</x:f>
        <x:v>-89000</x:v>
      </x:c>
      <x:c r="F28" s="6" t="n">
        <x:f>F27+E28</x:f>
        <x:v>-1953500</x:v>
      </x:c>
      <x:c r="G28" s="6" t="n">
        <x:v>19500</x:v>
      </x:c>
      <x:c r="H28" s="6" t="n">
        <x:v>108500</x:v>
      </x:c>
      <x:c r="I28" s="6" t="n">
        <x:v>19</x:v>
      </x:c>
      <x:c r="J28" s="6" t="n">
        <x:v>12</x:v>
      </x:c>
      <x:c r="K28" s="6" t="n">
        <x:v>7</x:v>
      </x:c>
      <x:c r="L28" s="6" t="n">
        <x:v>9</x:v>
      </x:c>
      <x:c r="M28" s="11" t="n">
        <x:v>0.6872619047619047</x:v>
      </x:c>
      <x:c r="N28" s="6" t="n">
        <x:v>111500</x:v>
      </x:c>
    </x:row>
    <x:row r="29" ht="24" customHeight="1">
      <x:c r="A29" s="2" t="str">
        <x:v>2026-10-06_Night</x:v>
      </x:c>
      <x:c r="B29" s="6" t="str">
        <x:v>ナイト</x:v>
      </x:c>
      <x:c r="C29" s="6" t="n">
        <x:v>50000</x:v>
      </x:c>
      <x:c r="D29" s="6" t="n">
        <x:v>102500</x:v>
      </x:c>
      <x:c r="E29" s="6" t="n">
        <x:f>C29-D29</x:f>
        <x:v>-52500</x:v>
      </x:c>
      <x:c r="F29" s="6" t="n">
        <x:f>F28+E29</x:f>
        <x:v>-2006000</x:v>
      </x:c>
      <x:c r="G29" s="6" t="n">
        <x:v>19000</x:v>
      </x:c>
      <x:c r="H29" s="6" t="n">
        <x:v>71500</x:v>
      </x:c>
      <x:c r="I29" s="6" t="n">
        <x:v>18</x:v>
      </x:c>
      <x:c r="J29" s="6" t="n">
        <x:v>19</x:v>
      </x:c>
      <x:c r="K29" s="6" t="n">
        <x:v>9</x:v>
      </x:c>
      <x:c r="L29" s="6" t="n">
        <x:v>7</x:v>
      </x:c>
      <x:c r="M29" s="11" t="n">
        <x:v>0.8086324786324787</x:v>
      </x:c>
      <x:c r="N29" s="6" t="n">
        <x:v>66500</x:v>
      </x:c>
    </x:row>
    <x:row r="30" ht="24" customHeight="1">
      <x:c r="A30" s="2" t="str">
        <x:v>2026-10-07_Day</x:v>
      </x:c>
      <x:c r="B30" s="6" t="str">
        <x:v>デイ</x:v>
      </x:c>
      <x:c r="C30" s="6" t="n">
        <x:v>49000</x:v>
      </x:c>
      <x:c r="D30" s="6" t="n">
        <x:v>58000</x:v>
      </x:c>
      <x:c r="E30" s="6" t="n">
        <x:f>C30-D30</x:f>
        <x:v>-9000</x:v>
      </x:c>
      <x:c r="F30" s="6" t="n">
        <x:f>F29+E30</x:f>
        <x:v>-2015000</x:v>
      </x:c>
      <x:c r="G30" s="6" t="n">
        <x:v>34500</x:v>
      </x:c>
      <x:c r="H30" s="6" t="n">
        <x:v>43500</x:v>
      </x:c>
      <x:c r="I30" s="6" t="n">
        <x:v>14</x:v>
      </x:c>
      <x:c r="J30" s="6" t="n">
        <x:v>17</x:v>
      </x:c>
      <x:c r="K30" s="6" t="n">
        <x:v>8</x:v>
      </x:c>
      <x:c r="L30" s="6" t="n">
        <x:v>7</x:v>
      </x:c>
      <x:c r="M30" s="11" t="n">
        <x:v>0.7041666666666667</x:v>
      </x:c>
      <x:c r="N30" s="6" t="n">
        <x:v>32000</x:v>
      </x:c>
    </x:row>
    <x:row r="31" ht="24" customHeight="1">
      <x:c r="A31" s="2" t="str">
        <x:v>2026-10-07_Night</x:v>
      </x:c>
      <x:c r="B31" s="6" t="str">
        <x:v>ナイト</x:v>
      </x:c>
      <x:c r="C31" s="6" t="n">
        <x:v>31500</x:v>
      </x:c>
      <x:c r="D31" s="6" t="n">
        <x:v>155500</x:v>
      </x:c>
      <x:c r="E31" s="6" t="n">
        <x:f>C31-D31</x:f>
        <x:v>-124000</x:v>
      </x:c>
      <x:c r="F31" s="6" t="n">
        <x:f>F30+E31</x:f>
        <x:v>-2139000</x:v>
      </x:c>
      <x:c r="G31" s="6" t="n">
        <x:v>12500</x:v>
      </x:c>
      <x:c r="H31" s="6" t="n">
        <x:v>136500</x:v>
      </x:c>
      <x:c r="I31" s="6" t="n">
        <x:v>31</x:v>
      </x:c>
      <x:c r="J31" s="6" t="n">
        <x:v>22</x:v>
      </x:c>
      <x:c r="K31" s="6" t="n">
        <x:v>18</x:v>
      </x:c>
      <x:c r="L31" s="6" t="n">
        <x:v>5</x:v>
      </x:c>
      <x:c r="M31" s="11" t="n">
        <x:v>0.7307051282051282</x:v>
      </x:c>
      <x:c r="N31" s="6" t="n">
        <x:v>132000</x:v>
      </x:c>
    </x:row>
    <x:row r="32" ht="24" customHeight="1">
      <x:c r="A32" s="2" t="str">
        <x:v>2026-10-08_Day</x:v>
      </x:c>
      <x:c r="B32" s="6" t="str">
        <x:v>デイ</x:v>
      </x:c>
      <x:c r="C32" s="6" t="n">
        <x:v>134000</x:v>
      </x:c>
      <x:c r="D32" s="6" t="n">
        <x:v>104500</x:v>
      </x:c>
      <x:c r="E32" s="6" t="n">
        <x:f>C32-D32</x:f>
        <x:v>29500</x:v>
      </x:c>
      <x:c r="F32" s="6" t="n">
        <x:f>F31+E32</x:f>
        <x:v>-2109500</x:v>
      </x:c>
      <x:c r="G32" s="6" t="n">
        <x:v>122500</x:v>
      </x:c>
      <x:c r="H32" s="6" t="n">
        <x:v>93000</x:v>
      </x:c>
      <x:c r="I32" s="6" t="n">
        <x:v>23</x:v>
      </x:c>
      <x:c r="J32" s="6" t="n">
        <x:v>22</x:v>
      </x:c>
      <x:c r="K32" s="6" t="n">
        <x:v>7</x:v>
      </x:c>
      <x:c r="L32" s="6" t="n">
        <x:v>10</x:v>
      </x:c>
      <x:c r="M32" s="11" t="n">
        <x:v>0.5416666666666666</x:v>
      </x:c>
      <x:c r="N32" s="6" t="n">
        <x:v>86500</x:v>
      </x:c>
    </x:row>
    <x:row r="33" ht="24" customHeight="1">
      <x:c r="A33" s="2" t="str">
        <x:v>2026-10-08_Night</x:v>
      </x:c>
      <x:c r="B33" s="6" t="str">
        <x:v>ナイト</x:v>
      </x:c>
      <x:c r="C33" s="6" t="n">
        <x:v>107500</x:v>
      </x:c>
      <x:c r="D33" s="6" t="n">
        <x:v>191000</x:v>
      </x:c>
      <x:c r="E33" s="6" t="n">
        <x:f>C33-D33</x:f>
        <x:v>-83500</x:v>
      </x:c>
      <x:c r="F33" s="6" t="n">
        <x:f>F32+E33</x:f>
        <x:v>-2193000</x:v>
      </x:c>
      <x:c r="G33" s="6" t="n">
        <x:v>70000</x:v>
      </x:c>
      <x:c r="H33" s="6" t="n">
        <x:v>153500</x:v>
      </x:c>
      <x:c r="I33" s="6" t="n">
        <x:v>33</x:v>
      </x:c>
      <x:c r="J33" s="6" t="n">
        <x:v>33</x:v>
      </x:c>
      <x:c r="K33" s="6" t="n">
        <x:v>22</x:v>
      </x:c>
      <x:c r="L33" s="6" t="n">
        <x:v>10</x:v>
      </x:c>
      <x:c r="M33" s="11" t="n">
        <x:v>0.671923076923077</x:v>
      </x:c>
      <x:c r="N33" s="6" t="n">
        <x:v>121000</x:v>
      </x:c>
    </x:row>
    <x:row r="34" ht="24" customHeight="1">
      <x:c r="A34" s="2" t="str">
        <x:v>2026-10-09_Day</x:v>
      </x:c>
      <x:c r="B34" s="6" t="str">
        <x:v>デイ</x:v>
      </x:c>
      <x:c r="C34" s="6" t="n">
        <x:v>42500</x:v>
      </x:c>
      <x:c r="D34" s="6" t="n">
        <x:v>100500</x:v>
      </x:c>
      <x:c r="E34" s="6" t="n">
        <x:f>C34-D34</x:f>
        <x:v>-58000</x:v>
      </x:c>
      <x:c r="F34" s="6" t="n">
        <x:f>F33+E34</x:f>
        <x:v>-2251000</x:v>
      </x:c>
      <x:c r="G34" s="6" t="n">
        <x:v>29000</x:v>
      </x:c>
      <x:c r="H34" s="6" t="n">
        <x:v>87000</x:v>
      </x:c>
      <x:c r="I34" s="6" t="n">
        <x:v>21</x:v>
      </x:c>
      <x:c r="J34" s="6" t="n">
        <x:v>19</x:v>
      </x:c>
      <x:c r="K34" s="6" t="n">
        <x:v>8</x:v>
      </x:c>
      <x:c r="L34" s="6" t="n">
        <x:v>6</x:v>
      </x:c>
      <x:c r="M34" s="11" t="n">
        <x:v>0.6538095238095238</x:v>
      </x:c>
      <x:c r="N34" s="6" t="n">
        <x:v>77500</x:v>
      </x:c>
    </x:row>
    <x:row r="35" ht="24" customHeight="1">
      <x:c r="A35" s="2" t="str">
        <x:v>2026-10-09_Night</x:v>
      </x:c>
      <x:c r="B35" s="6" t="str">
        <x:v>ナイト</x:v>
      </x:c>
      <x:c r="C35" s="6" t="n">
        <x:v>21500</x:v>
      </x:c>
      <x:c r="D35" s="6" t="n">
        <x:v>89000</x:v>
      </x:c>
      <x:c r="E35" s="6" t="n">
        <x:f>C35-D35</x:f>
        <x:v>-67500</x:v>
      </x:c>
      <x:c r="F35" s="6" t="n">
        <x:f>F34+E35</x:f>
        <x:v>-2318500</x:v>
      </x:c>
      <x:c r="G35" s="6" t="n">
        <x:v>10000</x:v>
      </x:c>
      <x:c r="H35" s="6" t="n">
        <x:v>77500</x:v>
      </x:c>
      <x:c r="I35" s="6" t="n">
        <x:v>26</x:v>
      </x:c>
      <x:c r="J35" s="6" t="n">
        <x:v>18</x:v>
      </x:c>
      <x:c r="K35" s="6" t="n">
        <x:v>11</x:v>
      </x:c>
      <x:c r="L35" s="6" t="n">
        <x:v>4</x:v>
      </x:c>
      <x:c r="M35" s="11" t="n">
        <x:v>0.7473931623931624</x:v>
      </x:c>
      <x:c r="N35" s="6" t="n">
        <x:v>74000</x:v>
      </x:c>
    </x:row>
    <x:row r="36" ht="24" customHeight="1">
      <x:c r="A36" s="2" t="str">
        <x:v>2026-10-12_Day</x:v>
      </x:c>
      <x:c r="B36" s="6" t="str">
        <x:v>デイ</x:v>
      </x:c>
      <x:c r="C36" s="6" t="n">
        <x:v>6500</x:v>
      </x:c>
      <x:c r="D36" s="6" t="n">
        <x:v>32500</x:v>
      </x:c>
      <x:c r="E36" s="6" t="n">
        <x:f>C36-D36</x:f>
        <x:v>-26000</x:v>
      </x:c>
      <x:c r="F36" s="6" t="n">
        <x:f>F35+E36</x:f>
        <x:v>-2344500</x:v>
      </x:c>
      <x:c r="G36" s="6" t="n">
        <x:v>3500</x:v>
      </x:c>
      <x:c r="H36" s="6" t="n">
        <x:v>29500</x:v>
      </x:c>
      <x:c r="I36" s="6" t="n">
        <x:v>7</x:v>
      </x:c>
      <x:c r="J36" s="6" t="n">
        <x:v>5</x:v>
      </x:c>
      <x:c r="K36" s="6" t="n">
        <x:v>4</x:v>
      </x:c>
      <x:c r="L36" s="6" t="n">
        <x:v>6</x:v>
      </x:c>
      <x:c r="M36" s="11" t="n">
        <x:v>0.8302380952380952</x:v>
      </x:c>
      <x:c r="N36" s="6" t="n">
        <x:v>40500</x:v>
      </x:c>
    </x:row>
    <x:row r="37" ht="24" customHeight="1">
      <x:c r="A37" s="2" t="str">
        <x:v>2026-10-12_Night</x:v>
      </x:c>
      <x:c r="B37" s="6" t="str">
        <x:v>ナイト</x:v>
      </x:c>
      <x:c r="C37" s="6" t="n">
        <x:v>23500</x:v>
      </x:c>
      <x:c r="D37" s="6" t="n">
        <x:v>122500</x:v>
      </x:c>
      <x:c r="E37" s="6" t="n">
        <x:f>C37-D37</x:f>
        <x:v>-99000</x:v>
      </x:c>
      <x:c r="F37" s="6" t="n">
        <x:f>F36+E37</x:f>
        <x:v>-2443500</x:v>
      </x:c>
      <x:c r="G37" s="6" t="n">
        <x:v>11000</x:v>
      </x:c>
      <x:c r="H37" s="6" t="n">
        <x:v>110000</x:v>
      </x:c>
      <x:c r="I37" s="6" t="n">
        <x:v>20</x:v>
      </x:c>
      <x:c r="J37" s="6" t="n">
        <x:v>14</x:v>
      </x:c>
      <x:c r="K37" s="6" t="n">
        <x:v>11</x:v>
      </x:c>
      <x:c r="L37" s="6" t="n">
        <x:v>5</x:v>
      </x:c>
      <x:c r="M37" s="11" t="n">
        <x:v>0.7915811965811966</x:v>
      </x:c>
      <x:c r="N37" s="6" t="n">
        <x:v>114500</x:v>
      </x:c>
    </x:row>
    <x:row r="38" ht="24" customHeight="1">
      <x:c r="A38" s="2" t="str">
        <x:v>2026-10-13_Day</x:v>
      </x:c>
      <x:c r="B38" s="6" t="str">
        <x:v>デイ</x:v>
      </x:c>
      <x:c r="C38" s="6" t="n">
        <x:v>32500</x:v>
      </x:c>
      <x:c r="D38" s="6" t="n">
        <x:v>95500</x:v>
      </x:c>
      <x:c r="E38" s="6" t="n">
        <x:f>C38-D38</x:f>
        <x:v>-63000</x:v>
      </x:c>
      <x:c r="F38" s="6" t="n">
        <x:f>F37+E38</x:f>
        <x:v>-2506500</x:v>
      </x:c>
      <x:c r="G38" s="6" t="n">
        <x:v>14500</x:v>
      </x:c>
      <x:c r="H38" s="6" t="n">
        <x:v>77500</x:v>
      </x:c>
      <x:c r="I38" s="6" t="n">
        <x:v>25</x:v>
      </x:c>
      <x:c r="J38" s="6" t="n">
        <x:v>15</x:v>
      </x:c>
      <x:c r="K38" s="6" t="n">
        <x:v>4</x:v>
      </x:c>
      <x:c r="L38" s="6" t="n">
        <x:v>7</x:v>
      </x:c>
      <x:c r="M38" s="11" t="n">
        <x:v>0.5838888888888889</x:v>
      </x:c>
      <x:c r="N38" s="6" t="n">
        <x:v>74000</x:v>
      </x:c>
    </x:row>
    <x:row r="39" ht="24" customHeight="1">
      <x:c r="A39" s="2" t="str">
        <x:v>2026-10-13_Night</x:v>
      </x:c>
      <x:c r="B39" s="6" t="str">
        <x:v>ナイト</x:v>
      </x:c>
      <x:c r="C39" s="6" t="n">
        <x:v>33500</x:v>
      </x:c>
      <x:c r="D39" s="6" t="n">
        <x:v>46500</x:v>
      </x:c>
      <x:c r="E39" s="6" t="n">
        <x:f>C39-D39</x:f>
        <x:v>-13000</x:v>
      </x:c>
      <x:c r="F39" s="6" t="n">
        <x:f>F38+E39</x:f>
        <x:v>-2519500</x:v>
      </x:c>
      <x:c r="G39" s="6" t="n">
        <x:v>25000</x:v>
      </x:c>
      <x:c r="H39" s="6" t="n">
        <x:v>38000</x:v>
      </x:c>
      <x:c r="I39" s="6" t="n">
        <x:v>15</x:v>
      </x:c>
      <x:c r="J39" s="6" t="n">
        <x:v>13</x:v>
      </x:c>
      <x:c r="K39" s="6" t="n">
        <x:v>6</x:v>
      </x:c>
      <x:c r="L39" s="6" t="n">
        <x:v>7</x:v>
      </x:c>
      <x:c r="M39" s="11" t="n">
        <x:v>0.7530128205128205</x:v>
      </x:c>
      <x:c r="N39" s="6" t="n">
        <x:v>46500</x:v>
      </x:c>
    </x:row>
    <x:row r="40" ht="24" customHeight="1">
      <x:c r="A40" s="2" t="str">
        <x:v>2026-10-14_Day</x:v>
      </x:c>
      <x:c r="B40" s="6" t="str">
        <x:v>デイ</x:v>
      </x:c>
      <x:c r="C40" s="6" t="n">
        <x:v>40000</x:v>
      </x:c>
      <x:c r="D40" s="6" t="n">
        <x:v>106000</x:v>
      </x:c>
      <x:c r="E40" s="6" t="n">
        <x:f>C40-D40</x:f>
        <x:v>-66000</x:v>
      </x:c>
      <x:c r="F40" s="6" t="n">
        <x:f>F39+E40</x:f>
        <x:v>-2585500</x:v>
      </x:c>
      <x:c r="G40" s="6" t="n">
        <x:v>25500</x:v>
      </x:c>
      <x:c r="H40" s="6" t="n">
        <x:v>91500</x:v>
      </x:c>
      <x:c r="I40" s="6" t="n">
        <x:v>26</x:v>
      </x:c>
      <x:c r="J40" s="6" t="n">
        <x:v>18</x:v>
      </x:c>
      <x:c r="K40" s="6" t="n">
        <x:v>5</x:v>
      </x:c>
      <x:c r="L40" s="6" t="n">
        <x:v>10</x:v>
      </x:c>
      <x:c r="M40" s="11" t="n">
        <x:v>0.6877777777777778</x:v>
      </x:c>
      <x:c r="N40" s="6" t="n">
        <x:v>84000</x:v>
      </x:c>
    </x:row>
    <x:row r="41" ht="24" customHeight="1">
      <x:c r="A41" s="2" t="str">
        <x:v>2026-10-14_Night</x:v>
      </x:c>
      <x:c r="B41" s="6" t="str">
        <x:v>ナイト</x:v>
      </x:c>
      <x:c r="C41" s="6" t="n">
        <x:v>93500</x:v>
      </x:c>
      <x:c r="D41" s="6" t="n">
        <x:v>205000</x:v>
      </x:c>
      <x:c r="E41" s="6" t="n">
        <x:f>C41-D41</x:f>
        <x:v>-111500</x:v>
      </x:c>
      <x:c r="F41" s="6" t="n">
        <x:f>F40+E41</x:f>
        <x:v>-2697000</x:v>
      </x:c>
      <x:c r="G41" s="6" t="n">
        <x:v>60000</x:v>
      </x:c>
      <x:c r="H41" s="6" t="n">
        <x:v>171500</x:v>
      </x:c>
      <x:c r="I41" s="6" t="n">
        <x:v>33</x:v>
      </x:c>
      <x:c r="J41" s="6" t="n">
        <x:v>35</x:v>
      </x:c>
      <x:c r="K41" s="6" t="n">
        <x:v>15</x:v>
      </x:c>
      <x:c r="L41" s="6" t="n">
        <x:v>9</x:v>
      </x:c>
      <x:c r="M41" s="11" t="n">
        <x:v>0.6186111111111111</x:v>
      </x:c>
      <x:c r="N41" s="6" t="n">
        <x:v>135000</x:v>
      </x:c>
    </x:row>
    <x:row r="42" ht="24" customHeight="1">
      <x:c r="A42" s="2" t="str">
        <x:v>2026-10-15_Day</x:v>
      </x:c>
      <x:c r="B42" s="6" t="str">
        <x:v>デイ</x:v>
      </x:c>
      <x:c r="C42" s="6" t="n">
        <x:v>134000</x:v>
      </x:c>
      <x:c r="D42" s="6" t="n">
        <x:v>127000</x:v>
      </x:c>
      <x:c r="E42" s="6" t="n">
        <x:f>C42-D42</x:f>
        <x:v>7000</x:v>
      </x:c>
      <x:c r="F42" s="6" t="n">
        <x:f>F41+E42</x:f>
        <x:v>-2690000</x:v>
      </x:c>
      <x:c r="G42" s="6" t="n">
        <x:v>115500</x:v>
      </x:c>
      <x:c r="H42" s="6" t="n">
        <x:v>108500</x:v>
      </x:c>
      <x:c r="I42" s="6" t="n">
        <x:v>30</x:v>
      </x:c>
      <x:c r="J42" s="6" t="n">
        <x:v>35</x:v>
      </x:c>
      <x:c r="K42" s="6" t="n">
        <x:v>8</x:v>
      </x:c>
      <x:c r="L42" s="6" t="n">
        <x:v>10</x:v>
      </x:c>
      <x:c r="M42" s="11" t="n">
        <x:v>0.29817460317460315</x:v>
      </x:c>
      <x:c r="N42" s="6" t="n">
        <x:v>69500</x:v>
      </x:c>
    </x:row>
    <x:row r="43" ht="24" customHeight="1">
      <x:c r="A43" s="2" t="str">
        <x:v>2026-10-15_Night</x:v>
      </x:c>
      <x:c r="B43" s="6" t="str">
        <x:v>ナイト</x:v>
      </x:c>
      <x:c r="C43" s="6" t="n">
        <x:v>160000</x:v>
      </x:c>
      <x:c r="D43" s="6" t="n">
        <x:v>163000</x:v>
      </x:c>
      <x:c r="E43" s="6" t="n">
        <x:f>C43-D43</x:f>
        <x:v>-3000</x:v>
      </x:c>
      <x:c r="F43" s="6" t="n">
        <x:f>F42+E43</x:f>
        <x:v>-2693000</x:v>
      </x:c>
      <x:c r="G43" s="6" t="n">
        <x:v>137000</x:v>
      </x:c>
      <x:c r="H43" s="6" t="n">
        <x:v>140000</x:v>
      </x:c>
      <x:c r="I43" s="6" t="n">
        <x:v>34</x:v>
      </x:c>
      <x:c r="J43" s="6" t="n">
        <x:v>34</x:v>
      </x:c>
      <x:c r="K43" s="6" t="n">
        <x:v>16</x:v>
      </x:c>
      <x:c r="L43" s="6" t="n">
        <x:v>10</x:v>
      </x:c>
      <x:c r="M43" s="11" t="n">
        <x:v>0.5755128205128205</x:v>
      </x:c>
      <x:c r="N43" s="6" t="n">
        <x:v>66000</x:v>
      </x:c>
    </x:row>
    <x:row r="44" ht="24" customHeight="1">
      <x:c r="A44" s="2" t="str">
        <x:v>2026-10-16_Day</x:v>
      </x:c>
      <x:c r="B44" s="6" t="str">
        <x:v>デイ</x:v>
      </x:c>
      <x:c r="C44" s="6" t="n">
        <x:v>77000</x:v>
      </x:c>
      <x:c r="D44" s="6" t="n">
        <x:v>98000</x:v>
      </x:c>
      <x:c r="E44" s="6" t="n">
        <x:f>C44-D44</x:f>
        <x:v>-21000</x:v>
      </x:c>
      <x:c r="F44" s="6" t="n">
        <x:f>F43+E44</x:f>
        <x:v>-2714000</x:v>
      </x:c>
      <x:c r="G44" s="6" t="n">
        <x:v>50500</x:v>
      </x:c>
      <x:c r="H44" s="6" t="n">
        <x:v>71500</x:v>
      </x:c>
      <x:c r="I44" s="6" t="n">
        <x:v>21</x:v>
      </x:c>
      <x:c r="J44" s="6" t="n">
        <x:v>27</x:v>
      </x:c>
      <x:c r="K44" s="6" t="n">
        <x:v>6</x:v>
      </x:c>
      <x:c r="L44" s="6" t="n">
        <x:v>9</x:v>
      </x:c>
      <x:c r="M44" s="11" t="n">
        <x:v>0.555952380952381</x:v>
      </x:c>
      <x:c r="N44" s="6" t="n">
        <x:v>54000</x:v>
      </x:c>
    </x:row>
    <x:row r="45" ht="24" customHeight="1">
      <x:c r="A45" s="2" t="str">
        <x:v>2026-10-16_Night</x:v>
      </x:c>
      <x:c r="B45" s="6" t="str">
        <x:v>ナイト</x:v>
      </x:c>
      <x:c r="C45" s="6" t="n">
        <x:v>132000</x:v>
      </x:c>
      <x:c r="D45" s="6" t="n">
        <x:v>175000</x:v>
      </x:c>
      <x:c r="E45" s="6" t="n">
        <x:f>C45-D45</x:f>
        <x:v>-43000</x:v>
      </x:c>
      <x:c r="F45" s="6" t="n">
        <x:f>F44+E45</x:f>
        <x:v>-2757000</x:v>
      </x:c>
      <x:c r="G45" s="6" t="n">
        <x:v>95500</x:v>
      </x:c>
      <x:c r="H45" s="6" t="n">
        <x:v>138500</x:v>
      </x:c>
      <x:c r="I45" s="6" t="n">
        <x:v>42</x:v>
      </x:c>
      <x:c r="J45" s="6" t="n">
        <x:v>54</x:v>
      </x:c>
      <x:c r="K45" s="6" t="n">
        <x:v>21</x:v>
      </x:c>
      <x:c r="L45" s="6" t="n">
        <x:v>9</x:v>
      </x:c>
      <x:c r="M45" s="11" t="n">
        <x:v>0.5554273504273505</x:v>
      </x:c>
      <x:c r="N45" s="6" t="n">
        <x:v>70500</x:v>
      </x:c>
    </x:row>
    <x:row r="46" ht="24" customHeight="1">
      <x:c r="A46" s="2" t="str">
        <x:v>2026-10-19_Day</x:v>
      </x:c>
      <x:c r="B46" s="6" t="str">
        <x:v>デイ</x:v>
      </x:c>
      <x:c r="C46" s="6" t="n">
        <x:v>36500</x:v>
      </x:c>
      <x:c r="D46" s="6" t="n">
        <x:v>178500</x:v>
      </x:c>
      <x:c r="E46" s="6" t="n">
        <x:f>C46-D46</x:f>
        <x:v>-142000</x:v>
      </x:c>
      <x:c r="F46" s="6" t="n">
        <x:f>F45+E46</x:f>
        <x:v>-2899000</x:v>
      </x:c>
      <x:c r="G46" s="6" t="n">
        <x:v>26000</x:v>
      </x:c>
      <x:c r="H46" s="6" t="n">
        <x:v>168000</x:v>
      </x:c>
      <x:c r="I46" s="6" t="n">
        <x:v>22</x:v>
      </x:c>
      <x:c r="J46" s="6" t="n">
        <x:v>23</x:v>
      </x:c>
      <x:c r="K46" s="6" t="n">
        <x:v>5</x:v>
      </x:c>
      <x:c r="L46" s="6" t="n">
        <x:v>10</x:v>
      </x:c>
      <x:c r="M46" s="11" t="n">
        <x:v>0.5846428571428571</x:v>
      </x:c>
      <x:c r="N46" s="6" t="n">
        <x:v>152500</x:v>
      </x:c>
    </x:row>
    <x:row r="47" ht="24" customHeight="1">
      <x:c r="A47" s="2" t="str">
        <x:v>2026-10-19_Night</x:v>
      </x:c>
      <x:c r="B47" s="6" t="str">
        <x:v>ナイト</x:v>
      </x:c>
      <x:c r="C47" s="6" t="n">
        <x:v>65500</x:v>
      </x:c>
      <x:c r="D47" s="6" t="n">
        <x:v>150500</x:v>
      </x:c>
      <x:c r="E47" s="6" t="n">
        <x:f>C47-D47</x:f>
        <x:v>-85000</x:v>
      </x:c>
      <x:c r="F47" s="6" t="n">
        <x:f>F46+E47</x:f>
        <x:v>-2984000</x:v>
      </x:c>
      <x:c r="G47" s="6" t="n">
        <x:v>43000</x:v>
      </x:c>
      <x:c r="H47" s="6" t="n">
        <x:v>128000</x:v>
      </x:c>
      <x:c r="I47" s="6" t="n">
        <x:v>36</x:v>
      </x:c>
      <x:c r="J47" s="6" t="n">
        <x:v>32</x:v>
      </x:c>
      <x:c r="K47" s="6" t="n">
        <x:v>13</x:v>
      </x:c>
      <x:c r="L47" s="6" t="n">
        <x:v>9</x:v>
      </x:c>
      <x:c r="M47" s="11" t="n">
        <x:v>0.6487606837606837</x:v>
      </x:c>
      <x:c r="N47" s="6" t="n">
        <x:v>89500</x:v>
      </x:c>
    </x:row>
    <x:row r="48" ht="24" customHeight="1">
      <x:c r="A48" s="2" t="str">
        <x:v>2026-10-20_Day</x:v>
      </x:c>
      <x:c r="B48" s="6" t="str">
        <x:v>デイ</x:v>
      </x:c>
      <x:c r="C48" s="6" t="n">
        <x:v>76000</x:v>
      </x:c>
      <x:c r="D48" s="6" t="n">
        <x:v>80500</x:v>
      </x:c>
      <x:c r="E48" s="6" t="n">
        <x:f>C48-D48</x:f>
        <x:v>-4500</x:v>
      </x:c>
      <x:c r="F48" s="6" t="n">
        <x:f>F47+E48</x:f>
        <x:v>-2988500</x:v>
      </x:c>
      <x:c r="G48" s="6" t="n">
        <x:v>39500</x:v>
      </x:c>
      <x:c r="H48" s="6" t="n">
        <x:v>44000</x:v>
      </x:c>
      <x:c r="I48" s="6" t="n">
        <x:v>28</x:v>
      </x:c>
      <x:c r="J48" s="6" t="n">
        <x:v>30</x:v>
      </x:c>
      <x:c r="K48" s="6" t="n">
        <x:v>7</x:v>
      </x:c>
      <x:c r="L48" s="6" t="n">
        <x:v>7</x:v>
      </x:c>
      <x:c r="M48" s="11" t="n">
        <x:v>0.37694444444444447</x:v>
      </x:c>
      <x:c r="N48" s="6" t="n">
        <x:v>46000</x:v>
      </x:c>
    </x:row>
    <x:row r="49" ht="24" customHeight="1">
      <x:c r="A49" s="2" t="str">
        <x:v>2026-10-20_Night</x:v>
      </x:c>
      <x:c r="B49" s="6" t="str">
        <x:v>ナイト</x:v>
      </x:c>
      <x:c r="C49" s="6" t="n">
        <x:v>91500</x:v>
      </x:c>
      <x:c r="D49" s="6" t="n">
        <x:v>205500</x:v>
      </x:c>
      <x:c r="E49" s="6" t="n">
        <x:f>C49-D49</x:f>
        <x:v>-114000</x:v>
      </x:c>
      <x:c r="F49" s="6" t="n">
        <x:f>F48+E49</x:f>
        <x:v>-3102500</x:v>
      </x:c>
      <x:c r="G49" s="6" t="n">
        <x:v>62000</x:v>
      </x:c>
      <x:c r="H49" s="6" t="n">
        <x:v>176000</x:v>
      </x:c>
      <x:c r="I49" s="6" t="n">
        <x:v>36</x:v>
      </x:c>
      <x:c r="J49" s="6" t="n">
        <x:v>39</x:v>
      </x:c>
      <x:c r="K49" s="6" t="n">
        <x:v>15</x:v>
      </x:c>
      <x:c r="L49" s="6" t="n">
        <x:v>9</x:v>
      </x:c>
      <x:c r="M49" s="11" t="n">
        <x:v>0.6100213675213675</x:v>
      </x:c>
      <x:c r="N49" s="6" t="n">
        <x:v>152500</x:v>
      </x:c>
    </x:row>
    <x:row r="50" ht="24" customHeight="1">
      <x:c r="A50" s="2" t="str">
        <x:v>2026-10-21_Day</x:v>
      </x:c>
      <x:c r="B50" s="6" t="str">
        <x:v>デイ</x:v>
      </x:c>
      <x:c r="C50" s="6" t="n">
        <x:v>33500</x:v>
      </x:c>
      <x:c r="D50" s="6" t="n">
        <x:v>117500</x:v>
      </x:c>
      <x:c r="E50" s="6" t="n">
        <x:f>C50-D50</x:f>
        <x:v>-84000</x:v>
      </x:c>
      <x:c r="F50" s="6" t="n">
        <x:f>F49+E50</x:f>
        <x:v>-3186500</x:v>
      </x:c>
      <x:c r="G50" s="6" t="n">
        <x:v>24000</x:v>
      </x:c>
      <x:c r="H50" s="6" t="n">
        <x:v>108000</x:v>
      </x:c>
      <x:c r="I50" s="6" t="n">
        <x:v>19</x:v>
      </x:c>
      <x:c r="J50" s="6" t="n">
        <x:v>17</x:v>
      </x:c>
      <x:c r="K50" s="6" t="n">
        <x:v>11</x:v>
      </x:c>
      <x:c r="L50" s="6" t="n">
        <x:v>5</x:v>
      </x:c>
      <x:c r="M50" s="11" t="n">
        <x:v>0.4723809523809524</x:v>
      </x:c>
      <x:c r="N50" s="6" t="n">
        <x:v>105000</x:v>
      </x:c>
    </x:row>
    <x:row r="51" ht="24" customHeight="1">
      <x:c r="A51" s="2" t="str">
        <x:v>2026-10-21_Night</x:v>
      </x:c>
      <x:c r="B51" s="6" t="str">
        <x:v>ナイト</x:v>
      </x:c>
      <x:c r="C51" s="6" t="n">
        <x:v>83000</x:v>
      </x:c>
      <x:c r="D51" s="6" t="n">
        <x:v>91500</x:v>
      </x:c>
      <x:c r="E51" s="6" t="n">
        <x:f>C51-D51</x:f>
        <x:v>-8500</x:v>
      </x:c>
      <x:c r="F51" s="6" t="n">
        <x:f>F50+E51</x:f>
        <x:v>-3195000</x:v>
      </x:c>
      <x:c r="G51" s="6" t="n">
        <x:v>63500</x:v>
      </x:c>
      <x:c r="H51" s="6" t="n">
        <x:v>72000</x:v>
      </x:c>
      <x:c r="I51" s="6" t="n">
        <x:v>28</x:v>
      </x:c>
      <x:c r="J51" s="6" t="n">
        <x:v>20</x:v>
      </x:c>
      <x:c r="K51" s="6" t="n">
        <x:v>7</x:v>
      </x:c>
      <x:c r="L51" s="6" t="n">
        <x:v>7</x:v>
      </x:c>
      <x:c r="M51" s="11" t="n">
        <x:v>0.6562606837606838</x:v>
      </x:c>
      <x:c r="N51" s="6" t="n">
        <x:v>47000</x:v>
      </x:c>
    </x:row>
    <x:row r="52" ht="24" customHeight="1">
      <x:c r="A52" s="2" t="str">
        <x:v>2026-10-22_Day</x:v>
      </x:c>
      <x:c r="B52" s="6" t="str">
        <x:v>デイ</x:v>
      </x:c>
      <x:c r="C52" s="6" t="n">
        <x:v>101000</x:v>
      </x:c>
      <x:c r="D52" s="6" t="n">
        <x:v>109000</x:v>
      </x:c>
      <x:c r="E52" s="6" t="n">
        <x:f>C52-D52</x:f>
        <x:v>-8000</x:v>
      </x:c>
      <x:c r="F52" s="6" t="n">
        <x:f>F51+E52</x:f>
        <x:v>-3203000</x:v>
      </x:c>
      <x:c r="G52" s="6" t="n">
        <x:v>75000</x:v>
      </x:c>
      <x:c r="H52" s="6" t="n">
        <x:v>83000</x:v>
      </x:c>
      <x:c r="I52" s="6" t="n">
        <x:v>27</x:v>
      </x:c>
      <x:c r="J52" s="6" t="n">
        <x:v>35</x:v>
      </x:c>
      <x:c r="K52" s="6" t="n">
        <x:v>5</x:v>
      </x:c>
      <x:c r="L52" s="6" t="n">
        <x:v>10</x:v>
      </x:c>
      <x:c r="M52" s="11" t="n">
        <x:v>0.393531746031746</x:v>
      </x:c>
      <x:c r="N52" s="6" t="n">
        <x:v>79000</x:v>
      </x:c>
    </x:row>
    <x:row r="53" ht="24" customHeight="1">
      <x:c r="A53" s="2" t="str">
        <x:v>2026-10-22_Night</x:v>
      </x:c>
      <x:c r="B53" s="6" t="str">
        <x:v>ナイト</x:v>
      </x:c>
      <x:c r="C53" s="6" t="n">
        <x:v>159000</x:v>
      </x:c>
      <x:c r="D53" s="6" t="n">
        <x:v>197000</x:v>
      </x:c>
      <x:c r="E53" s="6" t="n">
        <x:f>C53-D53</x:f>
        <x:v>-38000</x:v>
      </x:c>
      <x:c r="F53" s="6" t="n">
        <x:f>F52+E53</x:f>
        <x:v>-3241000</x:v>
      </x:c>
      <x:c r="G53" s="6" t="n">
        <x:v>124000</x:v>
      </x:c>
      <x:c r="H53" s="6" t="n">
        <x:v>162000</x:v>
      </x:c>
      <x:c r="I53" s="6" t="n">
        <x:v>40</x:v>
      </x:c>
      <x:c r="J53" s="6" t="n">
        <x:v>53</x:v>
      </x:c>
      <x:c r="K53" s="6" t="n">
        <x:v>20</x:v>
      </x:c>
      <x:c r="L53" s="6" t="n">
        <x:v>10</x:v>
      </x:c>
      <x:c r="M53" s="11" t="n">
        <x:v>0.5362179487179487</x:v>
      </x:c>
      <x:c r="N53" s="6" t="n">
        <x:v>116500</x:v>
      </x:c>
    </x:row>
    <x:row r="54" ht="24" customHeight="1">
      <x:c r="A54" s="2" t="str">
        <x:v>2026-10-23_Day</x:v>
      </x:c>
      <x:c r="B54" s="6" t="str">
        <x:v>デイ</x:v>
      </x:c>
      <x:c r="C54" s="6" t="n">
        <x:v>94000</x:v>
      </x:c>
      <x:c r="D54" s="6" t="n">
        <x:v>225500</x:v>
      </x:c>
      <x:c r="E54" s="6" t="n">
        <x:f>C54-D54</x:f>
        <x:v>-131500</x:v>
      </x:c>
      <x:c r="F54" s="6" t="n">
        <x:f>F53+E54</x:f>
        <x:v>-3372500</x:v>
      </x:c>
      <x:c r="G54" s="6" t="n">
        <x:v>74500</x:v>
      </x:c>
      <x:c r="H54" s="6" t="n">
        <x:v>206000</x:v>
      </x:c>
      <x:c r="I54" s="6" t="n">
        <x:v>31</x:v>
      </x:c>
      <x:c r="J54" s="6" t="n">
        <x:v>36</x:v>
      </x:c>
      <x:c r="K54" s="6" t="n">
        <x:v>12</x:v>
      </x:c>
      <x:c r="L54" s="6" t="n">
        <x:v>10</x:v>
      </x:c>
      <x:c r="M54" s="11" t="n">
        <x:v>0.33630952380952384</x:v>
      </x:c>
      <x:c r="N54" s="6" t="n">
        <x:v>173500</x:v>
      </x:c>
    </x:row>
    <x:row r="55" ht="24" customHeight="1">
      <x:c r="A55" s="2" t="str">
        <x:v>2026-10-23_Night</x:v>
      </x:c>
      <x:c r="B55" s="6" t="str">
        <x:v>ナイト</x:v>
      </x:c>
      <x:c r="C55" s="6" t="n">
        <x:v>71000</x:v>
      </x:c>
      <x:c r="D55" s="6" t="n">
        <x:v>151000</x:v>
      </x:c>
      <x:c r="E55" s="6" t="n">
        <x:f>C55-D55</x:f>
        <x:v>-80000</x:v>
      </x:c>
      <x:c r="F55" s="6" t="n">
        <x:f>F54+E55</x:f>
        <x:v>-3452500</x:v>
      </x:c>
      <x:c r="G55" s="6" t="n">
        <x:v>44000</x:v>
      </x:c>
      <x:c r="H55" s="6" t="n">
        <x:v>124000</x:v>
      </x:c>
      <x:c r="I55" s="6" t="n">
        <x:v>33</x:v>
      </x:c>
      <x:c r="J55" s="6" t="n">
        <x:v>34</x:v>
      </x:c>
      <x:c r="K55" s="6" t="n">
        <x:v>12</x:v>
      </x:c>
      <x:c r="L55" s="6" t="n">
        <x:v>7</x:v>
      </x:c>
      <x:c r="M55" s="11" t="n">
        <x:v>0.6118803418803419</x:v>
      </x:c>
      <x:c r="N55" s="6" t="n">
        <x:v>108500</x:v>
      </x:c>
    </x:row>
    <x:row r="56" ht="24" customHeight="1">
      <x:c r="A56" s="2" t="str">
        <x:v>2026-10-26_Day</x:v>
      </x:c>
      <x:c r="B56" s="6" t="str">
        <x:v>デイ</x:v>
      </x:c>
      <x:c r="C56" s="6" t="n">
        <x:v>53500</x:v>
      </x:c>
      <x:c r="D56" s="6" t="n">
        <x:v>177500</x:v>
      </x:c>
      <x:c r="E56" s="6" t="n">
        <x:f>C56-D56</x:f>
        <x:v>-124000</x:v>
      </x:c>
      <x:c r="F56" s="6" t="n">
        <x:f>F55+E56</x:f>
        <x:v>-3576500</x:v>
      </x:c>
      <x:c r="G56" s="6" t="n">
        <x:v>32000</x:v>
      </x:c>
      <x:c r="H56" s="6" t="n">
        <x:v>156000</x:v>
      </x:c>
      <x:c r="I56" s="6" t="n">
        <x:v>31</x:v>
      </x:c>
      <x:c r="J56" s="6" t="n">
        <x:v>27</x:v>
      </x:c>
      <x:c r="K56" s="6" t="n">
        <x:v>13</x:v>
      </x:c>
      <x:c r="L56" s="6" t="n">
        <x:v>8</x:v>
      </x:c>
      <x:c r="M56" s="11" t="n">
        <x:v>0.5952380952380952</x:v>
      </x:c>
      <x:c r="N56" s="6" t="n">
        <x:v>138500</x:v>
      </x:c>
    </x:row>
    <x:row r="57" ht="24" customHeight="1">
      <x:c r="A57" s="15" t="str">
        <x:v>累計／平均／最大</x:v>
      </x:c>
      <x:c r="B57" s="16"/>
      <x:c r="C57" s="16" t="n">
        <x:f>SUM(C6:C56)</x:f>
        <x:v>3408500</x:v>
      </x:c>
      <x:c r="D57" s="16" t="n">
        <x:f>SUM(D6:D56)</x:f>
        <x:v>6985000</x:v>
      </x:c>
      <x:c r="E57" s="16" t="n">
        <x:f>C57-D57</x:f>
        <x:v>-3576500</x:v>
      </x:c>
      <x:c r="F57" s="16" t="n">
        <x:f>F56</x:f>
        <x:v>-3576500</x:v>
      </x:c>
      <x:c r="G57" s="16" t="n">
        <x:f>SUM(G6:G56)</x:f>
        <x:v>2392500</x:v>
      </x:c>
      <x:c r="H57" s="16" t="n">
        <x:f>SUM(H6:H56)</x:f>
        <x:v>5969000</x:v>
      </x:c>
      <x:c r="I57" s="16" t="n">
        <x:f>SUM(I6:I56)</x:f>
        <x:v>1359</x:v>
      </x:c>
      <x:c r="J57" s="16" t="n">
        <x:f>SUM(J6:J56)</x:f>
        <x:v>1276</x:v>
      </x:c>
      <x:c r="K57" s="16" t="n">
        <x:f>SUM(K6:K56)</x:f>
        <x:v>548</x:v>
      </x:c>
      <x:c r="L57" s="16" t="n">
        <x:f>MAX(L6:L56)</x:f>
        <x:v>10</x:v>
      </x:c>
      <x:c r="M57" s="17" t="n">
        <x:f>AVERAGE(M6:M56)</x:f>
        <x:v>0.6149784529196294</x:v>
      </x:c>
      <x:c r="N57" s="16" t="n">
        <x:f>MAX(N6:N56)</x:f>
        <x:v>209000</x:v>
      </x:c>
    </x:row>
  </x:sheetData>
  <x:conditionalFormatting sqref="E6:F56">
    <x:cfRule type="cellIs" dxfId="41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1bbdc3c56ec4822"/>
  </x:tableParts>
</x:worksheet>
</file>

<file path=xl/worksheets/sheet4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1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4" customHeight="1">
      <x:c r="A1" s="3" t="str">
        <x:v>TOPIX M01　各セッションの利益・損失・収支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A2" s="4" t="str">
        <x:v>2026/09/21〜10/26デイ・51完了場。日経mini／TOPIXmini各上限10枚・手数料0。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4" customHeight="1">
      <x:c r="A3" s="4" t="str">
        <x:v>60秒の時間加重平均を30秒前と比較。入口だけ傾き比例枚数、利益追尾で返済。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4" customHeight="1">
      <x:c r="A4" s="4" t="str">
        <x:v>利益・損失＝FIFO返済配賦別。親＝初回から全返済まで。ラージ気配による模型で、mini実約定の検証ではありません。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42" customHeight="1">
      <x:c r="A5" s="10" t="str">
        <x:v>セッション</x:v>
      </x:c>
      <x:c r="B5" s="10" t="str">
        <x:v>区分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親利益（円）</x:v>
      </x:c>
      <x:c r="H5" s="10" t="str">
        <x:v>親損失（円）</x:v>
      </x:c>
      <x:c r="I5" s="10" t="str">
        <x:v>初回件数</x:v>
      </x:c>
      <x:c r="J5" s="10" t="str">
        <x:v>追加件数</x:v>
      </x:c>
      <x:c r="K5" s="10" t="str">
        <x:v>縮小件数</x:v>
      </x:c>
      <x:c r="L5" s="10" t="str">
        <x:v>最大保有枚数</x:v>
      </x:c>
      <x:c r="M5" s="10" t="str">
        <x:v>保有時間率</x:v>
      </x:c>
      <x:c r="N5" s="10" t="str">
        <x:v>時価最大DD（円）</x:v>
      </x:c>
    </x:row>
    <x:row r="6" ht="24" customHeight="1">
      <x:c r="A6" s="2" t="str">
        <x:v>2026-09-21_Day</x:v>
      </x:c>
      <x:c r="B6" s="6" t="str">
        <x:v>デイ</x:v>
      </x:c>
      <x:c r="C6" s="6" t="n">
        <x:v>272000</x:v>
      </x:c>
      <x:c r="D6" s="6" t="n">
        <x:v>584000</x:v>
      </x:c>
      <x:c r="E6" s="6" t="n">
        <x:f>C6-D6</x:f>
        <x:v>-312000</x:v>
      </x:c>
      <x:c r="F6" s="6" t="n">
        <x:f>E6</x:f>
        <x:v>-312000</x:v>
      </x:c>
      <x:c r="G6" s="6" t="n">
        <x:v>272000</x:v>
      </x:c>
      <x:c r="H6" s="6" t="n">
        <x:v>584000</x:v>
      </x:c>
      <x:c r="I6" s="6" t="n">
        <x:v>30</x:v>
      </x:c>
      <x:c r="J6" s="6" t="n">
        <x:v>0</x:v>
      </x:c>
      <x:c r="K6" s="6" t="n">
        <x:v>0</x:v>
      </x:c>
      <x:c r="L6" s="6" t="n">
        <x:v>10</x:v>
      </x:c>
      <x:c r="M6" s="11" t="n">
        <x:v>0.9353571428571429</x:v>
      </x:c>
      <x:c r="N6" s="6" t="n">
        <x:v>429500</x:v>
      </x:c>
    </x:row>
    <x:row r="7" ht="24" customHeight="1">
      <x:c r="A7" s="2" t="str">
        <x:v>2026-09-21_Night</x:v>
      </x:c>
      <x:c r="B7" s="6" t="str">
        <x:v>ナイト</x:v>
      </x:c>
      <x:c r="C7" s="6" t="n">
        <x:v>99500</x:v>
      </x:c>
      <x:c r="D7" s="6" t="n">
        <x:v>509000</x:v>
      </x:c>
      <x:c r="E7" s="6" t="n">
        <x:f>C7-D7</x:f>
        <x:v>-409500</x:v>
      </x:c>
      <x:c r="F7" s="6" t="n">
        <x:f>F6+E7</x:f>
        <x:v>-721500</x:v>
      </x:c>
      <x:c r="G7" s="6" t="n">
        <x:v>99500</x:v>
      </x:c>
      <x:c r="H7" s="6" t="n">
        <x:v>509000</x:v>
      </x:c>
      <x:c r="I7" s="6" t="n">
        <x:v>27</x:v>
      </x:c>
      <x:c r="J7" s="6" t="n">
        <x:v>0</x:v>
      </x:c>
      <x:c r="K7" s="6" t="n">
        <x:v>0</x:v>
      </x:c>
      <x:c r="L7" s="6" t="n">
        <x:v>10</x:v>
      </x:c>
      <x:c r="M7" s="11" t="n">
        <x:v>0.9590811965811966</x:v>
      </x:c>
      <x:c r="N7" s="6" t="n">
        <x:v>479500</x:v>
      </x:c>
    </x:row>
    <x:row r="8" ht="24" customHeight="1">
      <x:c r="A8" s="2" t="str">
        <x:v>2026-09-22_Day</x:v>
      </x:c>
      <x:c r="B8" s="6" t="str">
        <x:v>デイ</x:v>
      </x:c>
      <x:c r="C8" s="6" t="n">
        <x:v>233500</x:v>
      </x:c>
      <x:c r="D8" s="6" t="n">
        <x:v>377000</x:v>
      </x:c>
      <x:c r="E8" s="6" t="n">
        <x:f>C8-D8</x:f>
        <x:v>-143500</x:v>
      </x:c>
      <x:c r="F8" s="6" t="n">
        <x:f>F7+E8</x:f>
        <x:v>-865000</x:v>
      </x:c>
      <x:c r="G8" s="6" t="n">
        <x:v>233500</x:v>
      </x:c>
      <x:c r="H8" s="6" t="n">
        <x:v>377000</x:v>
      </x:c>
      <x:c r="I8" s="6" t="n">
        <x:v>31</x:v>
      </x:c>
      <x:c r="J8" s="6" t="n">
        <x:v>0</x:v>
      </x:c>
      <x:c r="K8" s="6" t="n">
        <x:v>0</x:v>
      </x:c>
      <x:c r="L8" s="6" t="n">
        <x:v>10</x:v>
      </x:c>
      <x:c r="M8" s="11" t="n">
        <x:v>0.9382936507936508</x:v>
      </x:c>
      <x:c r="N8" s="6" t="n">
        <x:v>274000</x:v>
      </x:c>
    </x:row>
    <x:row r="9" ht="24" customHeight="1">
      <x:c r="A9" s="2" t="str">
        <x:v>2026-09-22_Night</x:v>
      </x:c>
      <x:c r="B9" s="6" t="str">
        <x:v>ナイト</x:v>
      </x:c>
      <x:c r="C9" s="6" t="n">
        <x:v>546000</x:v>
      </x:c>
      <x:c r="D9" s="6" t="n">
        <x:v>954000</x:v>
      </x:c>
      <x:c r="E9" s="6" t="n">
        <x:f>C9-D9</x:f>
        <x:v>-408000</x:v>
      </x:c>
      <x:c r="F9" s="6" t="n">
        <x:f>F8+E9</x:f>
        <x:v>-1273000</x:v>
      </x:c>
      <x:c r="G9" s="6" t="n">
        <x:v>546000</x:v>
      </x:c>
      <x:c r="H9" s="6" t="n">
        <x:v>954000</x:v>
      </x:c>
      <x:c r="I9" s="6" t="n">
        <x:v>60</x:v>
      </x:c>
      <x:c r="J9" s="6" t="n">
        <x:v>0</x:v>
      </x:c>
      <x:c r="K9" s="6" t="n">
        <x:v>0</x:v>
      </x:c>
      <x:c r="L9" s="6" t="n">
        <x:v>10</x:v>
      </x:c>
      <x:c r="M9" s="11" t="n">
        <x:v>0.9029487179487179</x:v>
      </x:c>
      <x:c r="N9" s="6" t="n">
        <x:v>530500</x:v>
      </x:c>
    </x:row>
    <x:row r="10" ht="24" customHeight="1">
      <x:c r="A10" s="2" t="str">
        <x:v>2026-09-23_Day</x:v>
      </x:c>
      <x:c r="B10" s="6" t="str">
        <x:v>デイ</x:v>
      </x:c>
      <x:c r="C10" s="6" t="n">
        <x:v>333000</x:v>
      </x:c>
      <x:c r="D10" s="6" t="n">
        <x:v>437000</x:v>
      </x:c>
      <x:c r="E10" s="6" t="n">
        <x:f>C10-D10</x:f>
        <x:v>-104000</x:v>
      </x:c>
      <x:c r="F10" s="6" t="n">
        <x:f>F9+E10</x:f>
        <x:v>-1377000</x:v>
      </x:c>
      <x:c r="G10" s="6" t="n">
        <x:v>333000</x:v>
      </x:c>
      <x:c r="H10" s="6" t="n">
        <x:v>437000</x:v>
      </x:c>
      <x:c r="I10" s="6" t="n">
        <x:v>26</x:v>
      </x:c>
      <x:c r="J10" s="6" t="n">
        <x:v>0</x:v>
      </x:c>
      <x:c r="K10" s="6" t="n">
        <x:v>0</x:v>
      </x:c>
      <x:c r="L10" s="6" t="n">
        <x:v>10</x:v>
      </x:c>
      <x:c r="M10" s="11" t="n">
        <x:v>0.9519047619047619</x:v>
      </x:c>
      <x:c r="N10" s="6" t="n">
        <x:v>220000</x:v>
      </x:c>
    </x:row>
    <x:row r="11" ht="24" customHeight="1">
      <x:c r="A11" s="2" t="str">
        <x:v>2026-09-23_Night</x:v>
      </x:c>
      <x:c r="B11" s="6" t="str">
        <x:v>ナイト</x:v>
      </x:c>
      <x:c r="C11" s="6" t="n">
        <x:v>226500</x:v>
      </x:c>
      <x:c r="D11" s="6" t="n">
        <x:v>342500</x:v>
      </x:c>
      <x:c r="E11" s="6" t="n">
        <x:f>C11-D11</x:f>
        <x:v>-116000</x:v>
      </x:c>
      <x:c r="F11" s="6" t="n">
        <x:f>F10+E11</x:f>
        <x:v>-1493000</x:v>
      </x:c>
      <x:c r="G11" s="6" t="n">
        <x:v>226500</x:v>
      </x:c>
      <x:c r="H11" s="6" t="n">
        <x:v>342500</x:v>
      </x:c>
      <x:c r="I11" s="6" t="n">
        <x:v>34</x:v>
      </x:c>
      <x:c r="J11" s="6" t="n">
        <x:v>0</x:v>
      </x:c>
      <x:c r="K11" s="6" t="n">
        <x:v>0</x:v>
      </x:c>
      <x:c r="L11" s="6" t="n">
        <x:v>10</x:v>
      </x:c>
      <x:c r="M11" s="11" t="n">
        <x:v>0.9666880341880342</x:v>
      </x:c>
      <x:c r="N11" s="6" t="n">
        <x:v>192000</x:v>
      </x:c>
    </x:row>
    <x:row r="12" ht="24" customHeight="1">
      <x:c r="A12" s="2" t="str">
        <x:v>2026-09-24_Day</x:v>
      </x:c>
      <x:c r="B12" s="6" t="str">
        <x:v>デイ</x:v>
      </x:c>
      <x:c r="C12" s="6" t="n">
        <x:v>766500</x:v>
      </x:c>
      <x:c r="D12" s="6" t="n">
        <x:v>1646000</x:v>
      </x:c>
      <x:c r="E12" s="6" t="n">
        <x:f>C12-D12</x:f>
        <x:v>-879500</x:v>
      </x:c>
      <x:c r="F12" s="6" t="n">
        <x:f>F11+E12</x:f>
        <x:v>-2372500</x:v>
      </x:c>
      <x:c r="G12" s="6" t="n">
        <x:v>766500</x:v>
      </x:c>
      <x:c r="H12" s="6" t="n">
        <x:v>1646000</x:v>
      </x:c>
      <x:c r="I12" s="6" t="n">
        <x:v>73</x:v>
      </x:c>
      <x:c r="J12" s="6" t="n">
        <x:v>0</x:v>
      </x:c>
      <x:c r="K12" s="6" t="n">
        <x:v>0</x:v>
      </x:c>
      <x:c r="L12" s="6" t="n">
        <x:v>10</x:v>
      </x:c>
      <x:c r="M12" s="11" t="n">
        <x:v>0.9396428571428571</x:v>
      </x:c>
      <x:c r="N12" s="6" t="n">
        <x:v>1034500</x:v>
      </x:c>
    </x:row>
    <x:row r="13" ht="24" customHeight="1">
      <x:c r="A13" s="2" t="str">
        <x:v>2026-09-24_Night</x:v>
      </x:c>
      <x:c r="B13" s="6" t="str">
        <x:v>ナイト</x:v>
      </x:c>
      <x:c r="C13" s="6" t="n">
        <x:v>750000</x:v>
      </x:c>
      <x:c r="D13" s="6" t="n">
        <x:v>1379500</x:v>
      </x:c>
      <x:c r="E13" s="6" t="n">
        <x:f>C13-D13</x:f>
        <x:v>-629500</x:v>
      </x:c>
      <x:c r="F13" s="6" t="n">
        <x:f>F12+E13</x:f>
        <x:v>-3002000</x:v>
      </x:c>
      <x:c r="G13" s="6" t="n">
        <x:v>750000</x:v>
      </x:c>
      <x:c r="H13" s="6" t="n">
        <x:v>1379500</x:v>
      </x:c>
      <x:c r="I13" s="6" t="n">
        <x:v>80</x:v>
      </x:c>
      <x:c r="J13" s="6" t="n">
        <x:v>0</x:v>
      </x:c>
      <x:c r="K13" s="6" t="n">
        <x:v>0</x:v>
      </x:c>
      <x:c r="L13" s="6" t="n">
        <x:v>10</x:v>
      </x:c>
      <x:c r="M13" s="11" t="n">
        <x:v>0.9483974358974359</x:v>
      </x:c>
      <x:c r="N13" s="6" t="n">
        <x:v>717500</x:v>
      </x:c>
    </x:row>
    <x:row r="14" ht="24" customHeight="1">
      <x:c r="A14" s="2" t="str">
        <x:v>2026-09-25_Day</x:v>
      </x:c>
      <x:c r="B14" s="6" t="str">
        <x:v>デイ</x:v>
      </x:c>
      <x:c r="C14" s="6" t="n">
        <x:v>535000</x:v>
      </x:c>
      <x:c r="D14" s="6" t="n">
        <x:v>1369500</x:v>
      </x:c>
      <x:c r="E14" s="6" t="n">
        <x:f>C14-D14</x:f>
        <x:v>-834500</x:v>
      </x:c>
      <x:c r="F14" s="6" t="n">
        <x:f>F13+E14</x:f>
        <x:v>-3836500</x:v>
      </x:c>
      <x:c r="G14" s="6" t="n">
        <x:v>535000</x:v>
      </x:c>
      <x:c r="H14" s="6" t="n">
        <x:v>1369500</x:v>
      </x:c>
      <x:c r="I14" s="6" t="n">
        <x:v>62</x:v>
      </x:c>
      <x:c r="J14" s="6" t="n">
        <x:v>0</x:v>
      </x:c>
      <x:c r="K14" s="6" t="n">
        <x:v>0</x:v>
      </x:c>
      <x:c r="L14" s="6" t="n">
        <x:v>10</x:v>
      </x:c>
      <x:c r="M14" s="11" t="n">
        <x:v>0.9422619047619047</x:v>
      </x:c>
      <x:c r="N14" s="6" t="n">
        <x:v>901500</x:v>
      </x:c>
    </x:row>
    <x:row r="15" ht="24" customHeight="1">
      <x:c r="A15" s="2" t="str">
        <x:v>2026-09-25_Night</x:v>
      </x:c>
      <x:c r="B15" s="6" t="str">
        <x:v>ナイト</x:v>
      </x:c>
      <x:c r="C15" s="6" t="n">
        <x:v>499500</x:v>
      </x:c>
      <x:c r="D15" s="6" t="n">
        <x:v>732000</x:v>
      </x:c>
      <x:c r="E15" s="6" t="n">
        <x:f>C15-D15</x:f>
        <x:v>-232500</x:v>
      </x:c>
      <x:c r="F15" s="6" t="n">
        <x:f>F14+E15</x:f>
        <x:v>-4069000</x:v>
      </x:c>
      <x:c r="G15" s="6" t="n">
        <x:v>499500</x:v>
      </x:c>
      <x:c r="H15" s="6" t="n">
        <x:v>732000</x:v>
      </x:c>
      <x:c r="I15" s="6" t="n">
        <x:v>52</x:v>
      </x:c>
      <x:c r="J15" s="6" t="n">
        <x:v>0</x:v>
      </x:c>
      <x:c r="K15" s="6" t="n">
        <x:v>0</x:v>
      </x:c>
      <x:c r="L15" s="6" t="n">
        <x:v>10</x:v>
      </x:c>
      <x:c r="M15" s="11" t="n">
        <x:v>0.9618376068376069</x:v>
      </x:c>
      <x:c r="N15" s="6" t="n">
        <x:v>375500</x:v>
      </x:c>
    </x:row>
    <x:row r="16" ht="24" customHeight="1">
      <x:c r="A16" s="2" t="str">
        <x:v>2026-09-28_Day</x:v>
      </x:c>
      <x:c r="B16" s="6" t="str">
        <x:v>デイ</x:v>
      </x:c>
      <x:c r="C16" s="6" t="n">
        <x:v>629000</x:v>
      </x:c>
      <x:c r="D16" s="6" t="n">
        <x:v>830000</x:v>
      </x:c>
      <x:c r="E16" s="6" t="n">
        <x:f>C16-D16</x:f>
        <x:v>-201000</x:v>
      </x:c>
      <x:c r="F16" s="6" t="n">
        <x:f>F15+E16</x:f>
        <x:v>-4270000</x:v>
      </x:c>
      <x:c r="G16" s="6" t="n">
        <x:v>629000</x:v>
      </x:c>
      <x:c r="H16" s="6" t="n">
        <x:v>830000</x:v>
      </x:c>
      <x:c r="I16" s="6" t="n">
        <x:v>52</x:v>
      </x:c>
      <x:c r="J16" s="6" t="n">
        <x:v>0</x:v>
      </x:c>
      <x:c r="K16" s="6" t="n">
        <x:v>0</x:v>
      </x:c>
      <x:c r="L16" s="6" t="n">
        <x:v>10</x:v>
      </x:c>
      <x:c r="M16" s="11" t="n">
        <x:v>0.9461111111111111</x:v>
      </x:c>
      <x:c r="N16" s="6" t="n">
        <x:v>433000</x:v>
      </x:c>
    </x:row>
    <x:row r="17" ht="24" customHeight="1">
      <x:c r="A17" s="2" t="str">
        <x:v>2026-09-28_Night</x:v>
      </x:c>
      <x:c r="B17" s="6" t="str">
        <x:v>ナイト</x:v>
      </x:c>
      <x:c r="C17" s="6" t="n">
        <x:v>815000</x:v>
      </x:c>
      <x:c r="D17" s="6" t="n">
        <x:v>1162500</x:v>
      </x:c>
      <x:c r="E17" s="6" t="n">
        <x:f>C17-D17</x:f>
        <x:v>-347500</x:v>
      </x:c>
      <x:c r="F17" s="6" t="n">
        <x:f>F16+E17</x:f>
        <x:v>-4617500</x:v>
      </x:c>
      <x:c r="G17" s="6" t="n">
        <x:v>815000</x:v>
      </x:c>
      <x:c r="H17" s="6" t="n">
        <x:v>1162500</x:v>
      </x:c>
      <x:c r="I17" s="6" t="n">
        <x:v>67</x:v>
      </x:c>
      <x:c r="J17" s="6" t="n">
        <x:v>0</x:v>
      </x:c>
      <x:c r="K17" s="6" t="n">
        <x:v>0</x:v>
      </x:c>
      <x:c r="L17" s="6" t="n">
        <x:v>10</x:v>
      </x:c>
      <x:c r="M17" s="11" t="n">
        <x:v>0.9630555555555556</x:v>
      </x:c>
      <x:c r="N17" s="6" t="n">
        <x:v>767000</x:v>
      </x:c>
    </x:row>
    <x:row r="18" ht="24" customHeight="1">
      <x:c r="A18" s="2" t="str">
        <x:v>2026-09-29_Day</x:v>
      </x:c>
      <x:c r="B18" s="6" t="str">
        <x:v>デイ</x:v>
      </x:c>
      <x:c r="C18" s="6" t="n">
        <x:v>727500</x:v>
      </x:c>
      <x:c r="D18" s="6" t="n">
        <x:v>1337000</x:v>
      </x:c>
      <x:c r="E18" s="6" t="n">
        <x:f>C18-D18</x:f>
        <x:v>-609500</x:v>
      </x:c>
      <x:c r="F18" s="6" t="n">
        <x:f>F17+E18</x:f>
        <x:v>-5227000</x:v>
      </x:c>
      <x:c r="G18" s="6" t="n">
        <x:v>727500</x:v>
      </x:c>
      <x:c r="H18" s="6" t="n">
        <x:v>1337000</x:v>
      </x:c>
      <x:c r="I18" s="6" t="n">
        <x:v>70</x:v>
      </x:c>
      <x:c r="J18" s="6" t="n">
        <x:v>0</x:v>
      </x:c>
      <x:c r="K18" s="6" t="n">
        <x:v>0</x:v>
      </x:c>
      <x:c r="L18" s="6" t="n">
        <x:v>10</x:v>
      </x:c>
      <x:c r="M18" s="11" t="n">
        <x:v>0.9386111111111111</x:v>
      </x:c>
      <x:c r="N18" s="6" t="n">
        <x:v>789500</x:v>
      </x:c>
    </x:row>
    <x:row r="19" ht="24" customHeight="1">
      <x:c r="A19" s="2" t="str">
        <x:v>2026-09-29_Night</x:v>
      </x:c>
      <x:c r="B19" s="6" t="str">
        <x:v>ナイト</x:v>
      </x:c>
      <x:c r="C19" s="6" t="n">
        <x:v>326000</x:v>
      </x:c>
      <x:c r="D19" s="6" t="n">
        <x:v>984500</x:v>
      </x:c>
      <x:c r="E19" s="6" t="n">
        <x:f>C19-D19</x:f>
        <x:v>-658500</x:v>
      </x:c>
      <x:c r="F19" s="6" t="n">
        <x:f>F18+E19</x:f>
        <x:v>-5885500</x:v>
      </x:c>
      <x:c r="G19" s="6" t="n">
        <x:v>326000</x:v>
      </x:c>
      <x:c r="H19" s="6" t="n">
        <x:v>984500</x:v>
      </x:c>
      <x:c r="I19" s="6" t="n">
        <x:v>44</x:v>
      </x:c>
      <x:c r="J19" s="6" t="n">
        <x:v>0</x:v>
      </x:c>
      <x:c r="K19" s="6" t="n">
        <x:v>0</x:v>
      </x:c>
      <x:c r="L19" s="6" t="n">
        <x:v>10</x:v>
      </x:c>
      <x:c r="M19" s="11" t="n">
        <x:v>0.9688247863247863</x:v>
      </x:c>
      <x:c r="N19" s="6" t="n">
        <x:v>668500</x:v>
      </x:c>
    </x:row>
    <x:row r="20" ht="24" customHeight="1">
      <x:c r="A20" s="2" t="str">
        <x:v>2026-09-30_Day</x:v>
      </x:c>
      <x:c r="B20" s="6" t="str">
        <x:v>デイ</x:v>
      </x:c>
      <x:c r="C20" s="6" t="n">
        <x:v>683500</x:v>
      </x:c>
      <x:c r="D20" s="6" t="n">
        <x:v>790000</x:v>
      </x:c>
      <x:c r="E20" s="6" t="n">
        <x:f>C20-D20</x:f>
        <x:v>-106500</x:v>
      </x:c>
      <x:c r="F20" s="6" t="n">
        <x:f>F19+E20</x:f>
        <x:v>-5992000</x:v>
      </x:c>
      <x:c r="G20" s="6" t="n">
        <x:v>683500</x:v>
      </x:c>
      <x:c r="H20" s="6" t="n">
        <x:v>790000</x:v>
      </x:c>
      <x:c r="I20" s="6" t="n">
        <x:v>62</x:v>
      </x:c>
      <x:c r="J20" s="6" t="n">
        <x:v>0</x:v>
      </x:c>
      <x:c r="K20" s="6" t="n">
        <x:v>0</x:v>
      </x:c>
      <x:c r="L20" s="6" t="n">
        <x:v>10</x:v>
      </x:c>
      <x:c r="M20" s="11" t="n">
        <x:v>0.9441666666666667</x:v>
      </x:c>
      <x:c r="N20" s="6" t="n">
        <x:v>286000</x:v>
      </x:c>
    </x:row>
    <x:row r="21" ht="24" customHeight="1">
      <x:c r="A21" s="2" t="str">
        <x:v>2026-09-30_Night</x:v>
      </x:c>
      <x:c r="B21" s="6" t="str">
        <x:v>ナイト</x:v>
      </x:c>
      <x:c r="C21" s="6" t="n">
        <x:v>840500</x:v>
      </x:c>
      <x:c r="D21" s="6" t="n">
        <x:v>1539000</x:v>
      </x:c>
      <x:c r="E21" s="6" t="n">
        <x:f>C21-D21</x:f>
        <x:v>-698500</x:v>
      </x:c>
      <x:c r="F21" s="6" t="n">
        <x:f>F20+E21</x:f>
        <x:v>-6690500</x:v>
      </x:c>
      <x:c r="G21" s="6" t="n">
        <x:v>840500</x:v>
      </x:c>
      <x:c r="H21" s="6" t="n">
        <x:v>1539000</x:v>
      </x:c>
      <x:c r="I21" s="6" t="n">
        <x:v>84</x:v>
      </x:c>
      <x:c r="J21" s="6" t="n">
        <x:v>0</x:v>
      </x:c>
      <x:c r="K21" s="6" t="n">
        <x:v>0</x:v>
      </x:c>
      <x:c r="L21" s="6" t="n">
        <x:v>10</x:v>
      </x:c>
      <x:c r="M21" s="11" t="n">
        <x:v>0.9529914529914529</x:v>
      </x:c>
      <x:c r="N21" s="6" t="n">
        <x:v>720500</x:v>
      </x:c>
    </x:row>
    <x:row r="22" ht="24" customHeight="1">
      <x:c r="A22" s="2" t="str">
        <x:v>2026-10-01_Day</x:v>
      </x:c>
      <x:c r="B22" s="6" t="str">
        <x:v>デイ</x:v>
      </x:c>
      <x:c r="C22" s="6" t="n">
        <x:v>686500</x:v>
      </x:c>
      <x:c r="D22" s="6" t="n">
        <x:v>1120000</x:v>
      </x:c>
      <x:c r="E22" s="6" t="n">
        <x:f>C22-D22</x:f>
        <x:v>-433500</x:v>
      </x:c>
      <x:c r="F22" s="6" t="n">
        <x:f>F21+E22</x:f>
        <x:v>-7124000</x:v>
      </x:c>
      <x:c r="G22" s="6" t="n">
        <x:v>686500</x:v>
      </x:c>
      <x:c r="H22" s="6" t="n">
        <x:v>1120000</x:v>
      </x:c>
      <x:c r="I22" s="6" t="n">
        <x:v>61</x:v>
      </x:c>
      <x:c r="J22" s="6" t="n">
        <x:v>0</x:v>
      </x:c>
      <x:c r="K22" s="6" t="n">
        <x:v>0</x:v>
      </x:c>
      <x:c r="L22" s="6" t="n">
        <x:v>10</x:v>
      </x:c>
      <x:c r="M22" s="11" t="n">
        <x:v>0.9417063492063492</x:v>
      </x:c>
      <x:c r="N22" s="6" t="n">
        <x:v>515500</x:v>
      </x:c>
    </x:row>
    <x:row r="23" ht="24" customHeight="1">
      <x:c r="A23" s="2" t="str">
        <x:v>2026-10-01_Night</x:v>
      </x:c>
      <x:c r="B23" s="6" t="str">
        <x:v>ナイト</x:v>
      </x:c>
      <x:c r="C23" s="6" t="n">
        <x:v>857500</x:v>
      </x:c>
      <x:c r="D23" s="6" t="n">
        <x:v>1279000</x:v>
      </x:c>
      <x:c r="E23" s="6" t="n">
        <x:f>C23-D23</x:f>
        <x:v>-421500</x:v>
      </x:c>
      <x:c r="F23" s="6" t="n">
        <x:f>F22+E23</x:f>
        <x:v>-7545500</x:v>
      </x:c>
      <x:c r="G23" s="6" t="n">
        <x:v>857500</x:v>
      </x:c>
      <x:c r="H23" s="6" t="n">
        <x:v>1279000</x:v>
      </x:c>
      <x:c r="I23" s="6" t="n">
        <x:v>88</x:v>
      </x:c>
      <x:c r="J23" s="6" t="n">
        <x:v>0</x:v>
      </x:c>
      <x:c r="K23" s="6" t="n">
        <x:v>0</x:v>
      </x:c>
      <x:c r="L23" s="6" t="n">
        <x:v>10</x:v>
      </x:c>
      <x:c r="M23" s="11" t="n">
        <x:v>0.9486752136752137</x:v>
      </x:c>
      <x:c r="N23" s="6" t="n">
        <x:v>546500</x:v>
      </x:c>
    </x:row>
    <x:row r="24" ht="24" customHeight="1">
      <x:c r="A24" s="2" t="str">
        <x:v>2026-10-02_Day</x:v>
      </x:c>
      <x:c r="B24" s="6" t="str">
        <x:v>デイ</x:v>
      </x:c>
      <x:c r="C24" s="6" t="n">
        <x:v>565500</x:v>
      </x:c>
      <x:c r="D24" s="6" t="n">
        <x:v>1173500</x:v>
      </x:c>
      <x:c r="E24" s="6" t="n">
        <x:f>C24-D24</x:f>
        <x:v>-608000</x:v>
      </x:c>
      <x:c r="F24" s="6" t="n">
        <x:f>F23+E24</x:f>
        <x:v>-8153500</x:v>
      </x:c>
      <x:c r="G24" s="6" t="n">
        <x:v>565500</x:v>
      </x:c>
      <x:c r="H24" s="6" t="n">
        <x:v>1173500</x:v>
      </x:c>
      <x:c r="I24" s="6" t="n">
        <x:v>67</x:v>
      </x:c>
      <x:c r="J24" s="6" t="n">
        <x:v>0</x:v>
      </x:c>
      <x:c r="K24" s="6" t="n">
        <x:v>0</x:v>
      </x:c>
      <x:c r="L24" s="6" t="n">
        <x:v>10</x:v>
      </x:c>
      <x:c r="M24" s="11" t="n">
        <x:v>0.9421825396825397</x:v>
      </x:c>
      <x:c r="N24" s="6" t="n">
        <x:v>668000</x:v>
      </x:c>
    </x:row>
    <x:row r="25" ht="24" customHeight="1">
      <x:c r="A25" s="2" t="str">
        <x:v>2026-10-02_Night</x:v>
      </x:c>
      <x:c r="B25" s="6" t="str">
        <x:v>ナイト</x:v>
      </x:c>
      <x:c r="C25" s="6" t="n">
        <x:v>782000</x:v>
      </x:c>
      <x:c r="D25" s="6" t="n">
        <x:v>1388500</x:v>
      </x:c>
      <x:c r="E25" s="6" t="n">
        <x:f>C25-D25</x:f>
        <x:v>-606500</x:v>
      </x:c>
      <x:c r="F25" s="6" t="n">
        <x:f>F24+E25</x:f>
        <x:v>-8760000</x:v>
      </x:c>
      <x:c r="G25" s="6" t="n">
        <x:v>782000</x:v>
      </x:c>
      <x:c r="H25" s="6" t="n">
        <x:v>1388500</x:v>
      </x:c>
      <x:c r="I25" s="6" t="n">
        <x:v>83</x:v>
      </x:c>
      <x:c r="J25" s="6" t="n">
        <x:v>0</x:v>
      </x:c>
      <x:c r="K25" s="6" t="n">
        <x:v>0</x:v>
      </x:c>
      <x:c r="L25" s="6" t="n">
        <x:v>10</x:v>
      </x:c>
      <x:c r="M25" s="11" t="n">
        <x:v>0.9506196581196581</x:v>
      </x:c>
      <x:c r="N25" s="6" t="n">
        <x:v>801500</x:v>
      </x:c>
    </x:row>
    <x:row r="26" ht="24" customHeight="1">
      <x:c r="A26" s="2" t="str">
        <x:v>2026-10-05_Day</x:v>
      </x:c>
      <x:c r="B26" s="6" t="str">
        <x:v>デイ</x:v>
      </x:c>
      <x:c r="C26" s="6" t="n">
        <x:v>494000</x:v>
      </x:c>
      <x:c r="D26" s="6" t="n">
        <x:v>857000</x:v>
      </x:c>
      <x:c r="E26" s="6" t="n">
        <x:f>C26-D26</x:f>
        <x:v>-363000</x:v>
      </x:c>
      <x:c r="F26" s="6" t="n">
        <x:f>F25+E26</x:f>
        <x:v>-9123000</x:v>
      </x:c>
      <x:c r="G26" s="6" t="n">
        <x:v>494000</x:v>
      </x:c>
      <x:c r="H26" s="6" t="n">
        <x:v>857000</x:v>
      </x:c>
      <x:c r="I26" s="6" t="n">
        <x:v>49</x:v>
      </x:c>
      <x:c r="J26" s="6" t="n">
        <x:v>0</x:v>
      </x:c>
      <x:c r="K26" s="6" t="n">
        <x:v>0</x:v>
      </x:c>
      <x:c r="L26" s="6" t="n">
        <x:v>10</x:v>
      </x:c>
      <x:c r="M26" s="11" t="n">
        <x:v>0.9495634920634921</x:v>
      </x:c>
      <x:c r="N26" s="6" t="n">
        <x:v>509000</x:v>
      </x:c>
    </x:row>
    <x:row r="27" ht="24" customHeight="1">
      <x:c r="A27" s="2" t="str">
        <x:v>2026-10-05_Night</x:v>
      </x:c>
      <x:c r="B27" s="6" t="str">
        <x:v>ナイト</x:v>
      </x:c>
      <x:c r="C27" s="6" t="n">
        <x:v>438000</x:v>
      </x:c>
      <x:c r="D27" s="6" t="n">
        <x:v>556500</x:v>
      </x:c>
      <x:c r="E27" s="6" t="n">
        <x:f>C27-D27</x:f>
        <x:v>-118500</x:v>
      </x:c>
      <x:c r="F27" s="6" t="n">
        <x:f>F26+E27</x:f>
        <x:v>-9241500</x:v>
      </x:c>
      <x:c r="G27" s="6" t="n">
        <x:v>438000</x:v>
      </x:c>
      <x:c r="H27" s="6" t="n">
        <x:v>556500</x:v>
      </x:c>
      <x:c r="I27" s="6" t="n">
        <x:v>39</x:v>
      </x:c>
      <x:c r="J27" s="6" t="n">
        <x:v>0</x:v>
      </x:c>
      <x:c r="K27" s="6" t="n">
        <x:v>0</x:v>
      </x:c>
      <x:c r="L27" s="6" t="n">
        <x:v>10</x:v>
      </x:c>
      <x:c r="M27" s="11" t="n">
        <x:v>0.9696581196581197</x:v>
      </x:c>
      <x:c r="N27" s="6" t="n">
        <x:v>368000</x:v>
      </x:c>
    </x:row>
    <x:row r="28" ht="24" customHeight="1">
      <x:c r="A28" s="2" t="str">
        <x:v>2026-10-06_Day</x:v>
      </x:c>
      <x:c r="B28" s="6" t="str">
        <x:v>デイ</x:v>
      </x:c>
      <x:c r="C28" s="6" t="n">
        <x:v>277000</x:v>
      </x:c>
      <x:c r="D28" s="6" t="n">
        <x:v>612000</x:v>
      </x:c>
      <x:c r="E28" s="6" t="n">
        <x:f>C28-D28</x:f>
        <x:v>-335000</x:v>
      </x:c>
      <x:c r="F28" s="6" t="n">
        <x:f>F27+E28</x:f>
        <x:v>-9576500</x:v>
      </x:c>
      <x:c r="G28" s="6" t="n">
        <x:v>277000</x:v>
      </x:c>
      <x:c r="H28" s="6" t="n">
        <x:v>612000</x:v>
      </x:c>
      <x:c r="I28" s="6" t="n">
        <x:v>32</x:v>
      </x:c>
      <x:c r="J28" s="6" t="n">
        <x:v>0</x:v>
      </x:c>
      <x:c r="K28" s="6" t="n">
        <x:v>0</x:v>
      </x:c>
      <x:c r="L28" s="6" t="n">
        <x:v>10</x:v>
      </x:c>
      <x:c r="M28" s="11" t="n">
        <x:v>0.9533333333333334</x:v>
      </x:c>
      <x:c r="N28" s="6" t="n">
        <x:v>453000</x:v>
      </x:c>
    </x:row>
    <x:row r="29" ht="24" customHeight="1">
      <x:c r="A29" s="2" t="str">
        <x:v>2026-10-06_Night</x:v>
      </x:c>
      <x:c r="B29" s="6" t="str">
        <x:v>ナイト</x:v>
      </x:c>
      <x:c r="C29" s="6" t="n">
        <x:v>286500</x:v>
      </x:c>
      <x:c r="D29" s="6" t="n">
        <x:v>245000</x:v>
      </x:c>
      <x:c r="E29" s="6" t="n">
        <x:f>C29-D29</x:f>
        <x:v>41500</x:v>
      </x:c>
      <x:c r="F29" s="6" t="n">
        <x:f>F28+E29</x:f>
        <x:v>-9535000</x:v>
      </x:c>
      <x:c r="G29" s="6" t="n">
        <x:v>286500</x:v>
      </x:c>
      <x:c r="H29" s="6" t="n">
        <x:v>245000</x:v>
      </x:c>
      <x:c r="I29" s="6" t="n">
        <x:v>26</x:v>
      </x:c>
      <x:c r="J29" s="6" t="n">
        <x:v>0</x:v>
      </x:c>
      <x:c r="K29" s="6" t="n">
        <x:v>0</x:v>
      </x:c>
      <x:c r="L29" s="6" t="n">
        <x:v>10</x:v>
      </x:c>
      <x:c r="M29" s="11" t="n">
        <x:v>0.9746367521367522</x:v>
      </x:c>
      <x:c r="N29" s="6" t="n">
        <x:v>139000</x:v>
      </x:c>
    </x:row>
    <x:row r="30" ht="24" customHeight="1">
      <x:c r="A30" s="2" t="str">
        <x:v>2026-10-07_Day</x:v>
      </x:c>
      <x:c r="B30" s="6" t="str">
        <x:v>デイ</x:v>
      </x:c>
      <x:c r="C30" s="6" t="n">
        <x:v>453500</x:v>
      </x:c>
      <x:c r="D30" s="6" t="n">
        <x:v>504500</x:v>
      </x:c>
      <x:c r="E30" s="6" t="n">
        <x:f>C30-D30</x:f>
        <x:v>-51000</x:v>
      </x:c>
      <x:c r="F30" s="6" t="n">
        <x:f>F29+E30</x:f>
        <x:v>-9586000</x:v>
      </x:c>
      <x:c r="G30" s="6" t="n">
        <x:v>453500</x:v>
      </x:c>
      <x:c r="H30" s="6" t="n">
        <x:v>504500</x:v>
      </x:c>
      <x:c r="I30" s="6" t="n">
        <x:v>31</x:v>
      </x:c>
      <x:c r="J30" s="6" t="n">
        <x:v>0</x:v>
      </x:c>
      <x:c r="K30" s="6" t="n">
        <x:v>0</x:v>
      </x:c>
      <x:c r="L30" s="6" t="n">
        <x:v>10</x:v>
      </x:c>
      <x:c r="M30" s="11" t="n">
        <x:v>0.9584126984126984</x:v>
      </x:c>
      <x:c r="N30" s="6" t="n">
        <x:v>200000</x:v>
      </x:c>
    </x:row>
    <x:row r="31" ht="24" customHeight="1">
      <x:c r="A31" s="2" t="str">
        <x:v>2026-10-07_Night</x:v>
      </x:c>
      <x:c r="B31" s="6" t="str">
        <x:v>ナイト</x:v>
      </x:c>
      <x:c r="C31" s="6" t="n">
        <x:v>271500</x:v>
      </x:c>
      <x:c r="D31" s="6" t="n">
        <x:v>751500</x:v>
      </x:c>
      <x:c r="E31" s="6" t="n">
        <x:f>C31-D31</x:f>
        <x:v>-480000</x:v>
      </x:c>
      <x:c r="F31" s="6" t="n">
        <x:f>F30+E31</x:f>
        <x:v>-10066000</x:v>
      </x:c>
      <x:c r="G31" s="6" t="n">
        <x:v>271500</x:v>
      </x:c>
      <x:c r="H31" s="6" t="n">
        <x:v>751500</x:v>
      </x:c>
      <x:c r="I31" s="6" t="n">
        <x:v>41</x:v>
      </x:c>
      <x:c r="J31" s="6" t="n">
        <x:v>0</x:v>
      </x:c>
      <x:c r="K31" s="6" t="n">
        <x:v>0</x:v>
      </x:c>
      <x:c r="L31" s="6" t="n">
        <x:v>10</x:v>
      </x:c>
      <x:c r="M31" s="11" t="n">
        <x:v>0.9582264957264958</x:v>
      </x:c>
      <x:c r="N31" s="6" t="n">
        <x:v>518000</x:v>
      </x:c>
    </x:row>
    <x:row r="32" ht="24" customHeight="1">
      <x:c r="A32" s="2" t="str">
        <x:v>2026-10-08_Day</x:v>
      </x:c>
      <x:c r="B32" s="6" t="str">
        <x:v>デイ</x:v>
      </x:c>
      <x:c r="C32" s="6" t="n">
        <x:v>694000</x:v>
      </x:c>
      <x:c r="D32" s="6" t="n">
        <x:v>674500</x:v>
      </x:c>
      <x:c r="E32" s="6" t="n">
        <x:f>C32-D32</x:f>
        <x:v>19500</x:v>
      </x:c>
      <x:c r="F32" s="6" t="n">
        <x:f>F31+E32</x:f>
        <x:v>-10046500</x:v>
      </x:c>
      <x:c r="G32" s="6" t="n">
        <x:v>694000</x:v>
      </x:c>
      <x:c r="H32" s="6" t="n">
        <x:v>674500</x:v>
      </x:c>
      <x:c r="I32" s="6" t="n">
        <x:v>49</x:v>
      </x:c>
      <x:c r="J32" s="6" t="n">
        <x:v>0</x:v>
      </x:c>
      <x:c r="K32" s="6" t="n">
        <x:v>0</x:v>
      </x:c>
      <x:c r="L32" s="6" t="n">
        <x:v>10</x:v>
      </x:c>
      <x:c r="M32" s="11" t="n">
        <x:v>0.9472222222222222</x:v>
      </x:c>
      <x:c r="N32" s="6" t="n">
        <x:v>344500</x:v>
      </x:c>
    </x:row>
    <x:row r="33" ht="24" customHeight="1">
      <x:c r="A33" s="2" t="str">
        <x:v>2026-10-08_Night</x:v>
      </x:c>
      <x:c r="B33" s="6" t="str">
        <x:v>ナイト</x:v>
      </x:c>
      <x:c r="C33" s="6" t="n">
        <x:v>838000</x:v>
      </x:c>
      <x:c r="D33" s="6" t="n">
        <x:v>700000</x:v>
      </x:c>
      <x:c r="E33" s="6" t="n">
        <x:f>C33-D33</x:f>
        <x:v>138000</x:v>
      </x:c>
      <x:c r="F33" s="6" t="n">
        <x:f>F32+E33</x:f>
        <x:v>-9908500</x:v>
      </x:c>
      <x:c r="G33" s="6" t="n">
        <x:v>838000</x:v>
      </x:c>
      <x:c r="H33" s="6" t="n">
        <x:v>700000</x:v>
      </x:c>
      <x:c r="I33" s="6" t="n">
        <x:v>61</x:v>
      </x:c>
      <x:c r="J33" s="6" t="n">
        <x:v>0</x:v>
      </x:c>
      <x:c r="K33" s="6" t="n">
        <x:v>0</x:v>
      </x:c>
      <x:c r="L33" s="6" t="n">
        <x:v>10</x:v>
      </x:c>
      <x:c r="M33" s="11" t="n">
        <x:v>0.9623504273504273</x:v>
      </x:c>
      <x:c r="N33" s="6" t="n">
        <x:v>263500</x:v>
      </x:c>
    </x:row>
    <x:row r="34" ht="24" customHeight="1">
      <x:c r="A34" s="2" t="str">
        <x:v>2026-10-09_Day</x:v>
      </x:c>
      <x:c r="B34" s="6" t="str">
        <x:v>デイ</x:v>
      </x:c>
      <x:c r="C34" s="6" t="n">
        <x:v>570500</x:v>
      </x:c>
      <x:c r="D34" s="6" t="n">
        <x:v>987500</x:v>
      </x:c>
      <x:c r="E34" s="6" t="n">
        <x:f>C34-D34</x:f>
        <x:v>-417000</x:v>
      </x:c>
      <x:c r="F34" s="6" t="n">
        <x:f>F33+E34</x:f>
        <x:v>-10325500</x:v>
      </x:c>
      <x:c r="G34" s="6" t="n">
        <x:v>570500</x:v>
      </x:c>
      <x:c r="H34" s="6" t="n">
        <x:v>987500</x:v>
      </x:c>
      <x:c r="I34" s="6" t="n">
        <x:v>49</x:v>
      </x:c>
      <x:c r="J34" s="6" t="n">
        <x:v>0</x:v>
      </x:c>
      <x:c r="K34" s="6" t="n">
        <x:v>0</x:v>
      </x:c>
      <x:c r="L34" s="6" t="n">
        <x:v>10</x:v>
      </x:c>
      <x:c r="M34" s="11" t="n">
        <x:v>0.9492063492063492</x:v>
      </x:c>
      <x:c r="N34" s="6" t="n">
        <x:v>449500</x:v>
      </x:c>
    </x:row>
    <x:row r="35" ht="24" customHeight="1">
      <x:c r="A35" s="2" t="str">
        <x:v>2026-10-09_Night</x:v>
      </x:c>
      <x:c r="B35" s="6" t="str">
        <x:v>ナイト</x:v>
      </x:c>
      <x:c r="C35" s="6" t="n">
        <x:v>191500</x:v>
      </x:c>
      <x:c r="D35" s="6" t="n">
        <x:v>811000</x:v>
      </x:c>
      <x:c r="E35" s="6" t="n">
        <x:f>C35-D35</x:f>
        <x:v>-619500</x:v>
      </x:c>
      <x:c r="F35" s="6" t="n">
        <x:f>F34+E35</x:f>
        <x:v>-10945000</x:v>
      </x:c>
      <x:c r="G35" s="6" t="n">
        <x:v>191500</x:v>
      </x:c>
      <x:c r="H35" s="6" t="n">
        <x:v>811000</x:v>
      </x:c>
      <x:c r="I35" s="6" t="n">
        <x:v>34</x:v>
      </x:c>
      <x:c r="J35" s="6" t="n">
        <x:v>0</x:v>
      </x:c>
      <x:c r="K35" s="6" t="n">
        <x:v>0</x:v>
      </x:c>
      <x:c r="L35" s="6" t="n">
        <x:v>10</x:v>
      </x:c>
      <x:c r="M35" s="11" t="n">
        <x:v>0.940491452991453</x:v>
      </x:c>
      <x:c r="N35" s="6" t="n">
        <x:v>671500</x:v>
      </x:c>
    </x:row>
    <x:row r="36" ht="24" customHeight="1">
      <x:c r="A36" s="2" t="str">
        <x:v>2026-10-12_Day</x:v>
      </x:c>
      <x:c r="B36" s="6" t="str">
        <x:v>デイ</x:v>
      </x:c>
      <x:c r="C36" s="6" t="n">
        <x:v>67000</x:v>
      </x:c>
      <x:c r="D36" s="6" t="n">
        <x:v>270000</x:v>
      </x:c>
      <x:c r="E36" s="6" t="n">
        <x:f>C36-D36</x:f>
        <x:v>-203000</x:v>
      </x:c>
      <x:c r="F36" s="6" t="n">
        <x:f>F35+E36</x:f>
        <x:v>-11148000</x:v>
      </x:c>
      <x:c r="G36" s="6" t="n">
        <x:v>67000</x:v>
      </x:c>
      <x:c r="H36" s="6" t="n">
        <x:v>270000</x:v>
      </x:c>
      <x:c r="I36" s="6" t="n">
        <x:v>13</x:v>
      </x:c>
      <x:c r="J36" s="6" t="n">
        <x:v>0</x:v>
      </x:c>
      <x:c r="K36" s="6" t="n">
        <x:v>0</x:v>
      </x:c>
      <x:c r="L36" s="6" t="n">
        <x:v>10</x:v>
      </x:c>
      <x:c r="M36" s="11" t="n">
        <x:v>0.9621428571428572</x:v>
      </x:c>
      <x:c r="N36" s="6" t="n">
        <x:v>224000</x:v>
      </x:c>
    </x:row>
    <x:row r="37" ht="24" customHeight="1">
      <x:c r="A37" s="2" t="str">
        <x:v>2026-10-12_Night</x:v>
      </x:c>
      <x:c r="B37" s="6" t="str">
        <x:v>ナイト</x:v>
      </x:c>
      <x:c r="C37" s="6" t="n">
        <x:v>232500</x:v>
      </x:c>
      <x:c r="D37" s="6" t="n">
        <x:v>163000</x:v>
      </x:c>
      <x:c r="E37" s="6" t="n">
        <x:f>C37-D37</x:f>
        <x:v>69500</x:v>
      </x:c>
      <x:c r="F37" s="6" t="n">
        <x:f>F36+E37</x:f>
        <x:v>-11078500</x:v>
      </x:c>
      <x:c r="G37" s="6" t="n">
        <x:v>232500</x:v>
      </x:c>
      <x:c r="H37" s="6" t="n">
        <x:v>163000</x:v>
      </x:c>
      <x:c r="I37" s="6" t="n">
        <x:v>24</x:v>
      </x:c>
      <x:c r="J37" s="6" t="n">
        <x:v>0</x:v>
      </x:c>
      <x:c r="K37" s="6" t="n">
        <x:v>0</x:v>
      </x:c>
      <x:c r="L37" s="6" t="n">
        <x:v>10</x:v>
      </x:c>
      <x:c r="M37" s="11" t="n">
        <x:v>0.9715384615384616</x:v>
      </x:c>
      <x:c r="N37" s="6" t="n">
        <x:v>98500</x:v>
      </x:c>
    </x:row>
    <x:row r="38" ht="24" customHeight="1">
      <x:c r="A38" s="2" t="str">
        <x:v>2026-10-13_Day</x:v>
      </x:c>
      <x:c r="B38" s="6" t="str">
        <x:v>デイ</x:v>
      </x:c>
      <x:c r="C38" s="6" t="n">
        <x:v>578500</x:v>
      </x:c>
      <x:c r="D38" s="6" t="n">
        <x:v>1012000</x:v>
      </x:c>
      <x:c r="E38" s="6" t="n">
        <x:f>C38-D38</x:f>
        <x:v>-433500</x:v>
      </x:c>
      <x:c r="F38" s="6" t="n">
        <x:f>F37+E38</x:f>
        <x:v>-11512000</x:v>
      </x:c>
      <x:c r="G38" s="6" t="n">
        <x:v>578500</x:v>
      </x:c>
      <x:c r="H38" s="6" t="n">
        <x:v>1012000</x:v>
      </x:c>
      <x:c r="I38" s="6" t="n">
        <x:v>53</x:v>
      </x:c>
      <x:c r="J38" s="6" t="n">
        <x:v>0</x:v>
      </x:c>
      <x:c r="K38" s="6" t="n">
        <x:v>0</x:v>
      </x:c>
      <x:c r="L38" s="6" t="n">
        <x:v>10</x:v>
      </x:c>
      <x:c r="M38" s="11" t="n">
        <x:v>0.9437698412698413</x:v>
      </x:c>
      <x:c r="N38" s="6" t="n">
        <x:v>547000</x:v>
      </x:c>
    </x:row>
    <x:row r="39" ht="24" customHeight="1">
      <x:c r="A39" s="2" t="str">
        <x:v>2026-10-13_Night</x:v>
      </x:c>
      <x:c r="B39" s="6" t="str">
        <x:v>ナイト</x:v>
      </x:c>
      <x:c r="C39" s="6" t="n">
        <x:v>181000</x:v>
      </x:c>
      <x:c r="D39" s="6" t="n">
        <x:v>377000</x:v>
      </x:c>
      <x:c r="E39" s="6" t="n">
        <x:f>C39-D39</x:f>
        <x:v>-196000</x:v>
      </x:c>
      <x:c r="F39" s="6" t="n">
        <x:f>F38+E39</x:f>
        <x:v>-11708000</x:v>
      </x:c>
      <x:c r="G39" s="6" t="n">
        <x:v>181000</x:v>
      </x:c>
      <x:c r="H39" s="6" t="n">
        <x:v>377000</x:v>
      </x:c>
      <x:c r="I39" s="6" t="n">
        <x:v>33</x:v>
      </x:c>
      <x:c r="J39" s="6" t="n">
        <x:v>0</x:v>
      </x:c>
      <x:c r="K39" s="6" t="n">
        <x:v>0</x:v>
      </x:c>
      <x:c r="L39" s="6" t="n">
        <x:v>10</x:v>
      </x:c>
      <x:c r="M39" s="11" t="n">
        <x:v>0.968482905982906</x:v>
      </x:c>
      <x:c r="N39" s="6" t="n">
        <x:v>290000</x:v>
      </x:c>
    </x:row>
    <x:row r="40" ht="24" customHeight="1">
      <x:c r="A40" s="2" t="str">
        <x:v>2026-10-14_Day</x:v>
      </x:c>
      <x:c r="B40" s="6" t="str">
        <x:v>デイ</x:v>
      </x:c>
      <x:c r="C40" s="6" t="n">
        <x:v>260000</x:v>
      </x:c>
      <x:c r="D40" s="6" t="n">
        <x:v>880000</x:v>
      </x:c>
      <x:c r="E40" s="6" t="n">
        <x:f>C40-D40</x:f>
        <x:v>-620000</x:v>
      </x:c>
      <x:c r="F40" s="6" t="n">
        <x:f>F39+E40</x:f>
        <x:v>-12328000</x:v>
      </x:c>
      <x:c r="G40" s="6" t="n">
        <x:v>260000</x:v>
      </x:c>
      <x:c r="H40" s="6" t="n">
        <x:v>880000</x:v>
      </x:c>
      <x:c r="I40" s="6" t="n">
        <x:v>39</x:v>
      </x:c>
      <x:c r="J40" s="6" t="n">
        <x:v>0</x:v>
      </x:c>
      <x:c r="K40" s="6" t="n">
        <x:v>0</x:v>
      </x:c>
      <x:c r="L40" s="6" t="n">
        <x:v>10</x:v>
      </x:c>
      <x:c r="M40" s="11" t="n">
        <x:v>0.9542460317460317</x:v>
      </x:c>
      <x:c r="N40" s="6" t="n">
        <x:v>705000</x:v>
      </x:c>
    </x:row>
    <x:row r="41" ht="24" customHeight="1">
      <x:c r="A41" s="2" t="str">
        <x:v>2026-10-14_Night</x:v>
      </x:c>
      <x:c r="B41" s="6" t="str">
        <x:v>ナイト</x:v>
      </x:c>
      <x:c r="C41" s="6" t="n">
        <x:v>698500</x:v>
      </x:c>
      <x:c r="D41" s="6" t="n">
        <x:v>906500</x:v>
      </x:c>
      <x:c r="E41" s="6" t="n">
        <x:f>C41-D41</x:f>
        <x:v>-208000</x:v>
      </x:c>
      <x:c r="F41" s="6" t="n">
        <x:f>F40+E41</x:f>
        <x:v>-12536000</x:v>
      </x:c>
      <x:c r="G41" s="6" t="n">
        <x:v>698500</x:v>
      </x:c>
      <x:c r="H41" s="6" t="n">
        <x:v>906500</x:v>
      </x:c>
      <x:c r="I41" s="6" t="n">
        <x:v>65</x:v>
      </x:c>
      <x:c r="J41" s="6" t="n">
        <x:v>0</x:v>
      </x:c>
      <x:c r="K41" s="6" t="n">
        <x:v>0</x:v>
      </x:c>
      <x:c r="L41" s="6" t="n">
        <x:v>10</x:v>
      </x:c>
      <x:c r="M41" s="11" t="n">
        <x:v>0.9496367521367521</x:v>
      </x:c>
      <x:c r="N41" s="6" t="n">
        <x:v>380000</x:v>
      </x:c>
    </x:row>
    <x:row r="42" ht="24" customHeight="1">
      <x:c r="A42" s="2" t="str">
        <x:v>2026-10-15_Day</x:v>
      </x:c>
      <x:c r="B42" s="6" t="str">
        <x:v>デイ</x:v>
      </x:c>
      <x:c r="C42" s="6" t="n">
        <x:v>1269500</x:v>
      </x:c>
      <x:c r="D42" s="6" t="n">
        <x:v>1771500</x:v>
      </x:c>
      <x:c r="E42" s="6" t="n">
        <x:f>C42-D42</x:f>
        <x:v>-502000</x:v>
      </x:c>
      <x:c r="F42" s="6" t="n">
        <x:f>F41+E42</x:f>
        <x:v>-13038000</x:v>
      </x:c>
      <x:c r="G42" s="6" t="n">
        <x:v>1269500</x:v>
      </x:c>
      <x:c r="H42" s="6" t="n">
        <x:v>1771500</x:v>
      </x:c>
      <x:c r="I42" s="6" t="n">
        <x:v>97</x:v>
      </x:c>
      <x:c r="J42" s="6" t="n">
        <x:v>0</x:v>
      </x:c>
      <x:c r="K42" s="6" t="n">
        <x:v>0</x:v>
      </x:c>
      <x:c r="L42" s="6" t="n">
        <x:v>10</x:v>
      </x:c>
      <x:c r="M42" s="11" t="n">
        <x:v>0.9255555555555556</x:v>
      </x:c>
      <x:c r="N42" s="6" t="n">
        <x:v>688500</x:v>
      </x:c>
    </x:row>
    <x:row r="43" ht="24" customHeight="1">
      <x:c r="A43" s="2" t="str">
        <x:v>2026-10-15_Night</x:v>
      </x:c>
      <x:c r="B43" s="6" t="str">
        <x:v>ナイト</x:v>
      </x:c>
      <x:c r="C43" s="6" t="n">
        <x:v>816000</x:v>
      </x:c>
      <x:c r="D43" s="6" t="n">
        <x:v>1110500</x:v>
      </x:c>
      <x:c r="E43" s="6" t="n">
        <x:f>C43-D43</x:f>
        <x:v>-294500</x:v>
      </x:c>
      <x:c r="F43" s="6" t="n">
        <x:f>F42+E43</x:f>
        <x:v>-13332500</x:v>
      </x:c>
      <x:c r="G43" s="6" t="n">
        <x:v>816000</x:v>
      </x:c>
      <x:c r="H43" s="6" t="n">
        <x:v>1110500</x:v>
      </x:c>
      <x:c r="I43" s="6" t="n">
        <x:v>76</x:v>
      </x:c>
      <x:c r="J43" s="6" t="n">
        <x:v>0</x:v>
      </x:c>
      <x:c r="K43" s="6" t="n">
        <x:v>0</x:v>
      </x:c>
      <x:c r="L43" s="6" t="n">
        <x:v>10</x:v>
      </x:c>
      <x:c r="M43" s="11" t="n">
        <x:v>0.9607051282051282</x:v>
      </x:c>
      <x:c r="N43" s="6" t="n">
        <x:v>493000</x:v>
      </x:c>
    </x:row>
    <x:row r="44" ht="24" customHeight="1">
      <x:c r="A44" s="2" t="str">
        <x:v>2026-10-16_Day</x:v>
      </x:c>
      <x:c r="B44" s="6" t="str">
        <x:v>デイ</x:v>
      </x:c>
      <x:c r="C44" s="6" t="n">
        <x:v>787500</x:v>
      </x:c>
      <x:c r="D44" s="6" t="n">
        <x:v>1153000</x:v>
      </x:c>
      <x:c r="E44" s="6" t="n">
        <x:f>C44-D44</x:f>
        <x:v>-365500</x:v>
      </x:c>
      <x:c r="F44" s="6" t="n">
        <x:f>F43+E44</x:f>
        <x:v>-13698000</x:v>
      </x:c>
      <x:c r="G44" s="6" t="n">
        <x:v>787500</x:v>
      </x:c>
      <x:c r="H44" s="6" t="n">
        <x:v>1153000</x:v>
      </x:c>
      <x:c r="I44" s="6" t="n">
        <x:v>66</x:v>
      </x:c>
      <x:c r="J44" s="6" t="n">
        <x:v>0</x:v>
      </x:c>
      <x:c r="K44" s="6" t="n">
        <x:v>0</x:v>
      </x:c>
      <x:c r="L44" s="6" t="n">
        <x:v>10</x:v>
      </x:c>
      <x:c r="M44" s="11" t="n">
        <x:v>0.9432539682539682</x:v>
      </x:c>
      <x:c r="N44" s="6" t="n">
        <x:v>669000</x:v>
      </x:c>
    </x:row>
    <x:row r="45" ht="24" customHeight="1">
      <x:c r="A45" s="2" t="str">
        <x:v>2026-10-16_Night</x:v>
      </x:c>
      <x:c r="B45" s="6" t="str">
        <x:v>ナイト</x:v>
      </x:c>
      <x:c r="C45" s="6" t="n">
        <x:v>681000</x:v>
      </x:c>
      <x:c r="D45" s="6" t="n">
        <x:v>1408500</x:v>
      </x:c>
      <x:c r="E45" s="6" t="n">
        <x:f>C45-D45</x:f>
        <x:v>-727500</x:v>
      </x:c>
      <x:c r="F45" s="6" t="n">
        <x:f>F44+E45</x:f>
        <x:v>-14425500</x:v>
      </x:c>
      <x:c r="G45" s="6" t="n">
        <x:v>681000</x:v>
      </x:c>
      <x:c r="H45" s="6" t="n">
        <x:v>1408500</x:v>
      </x:c>
      <x:c r="I45" s="6" t="n">
        <x:v>83</x:v>
      </x:c>
      <x:c r="J45" s="6" t="n">
        <x:v>0</x:v>
      </x:c>
      <x:c r="K45" s="6" t="n">
        <x:v>0</x:v>
      </x:c>
      <x:c r="L45" s="6" t="n">
        <x:v>10</x:v>
      </x:c>
      <x:c r="M45" s="11" t="n">
        <x:v>0.9480555555555555</x:v>
      </x:c>
      <x:c r="N45" s="6" t="n">
        <x:v>789000</x:v>
      </x:c>
    </x:row>
    <x:row r="46" ht="24" customHeight="1">
      <x:c r="A46" s="2" t="str">
        <x:v>2026-10-19_Day</x:v>
      </x:c>
      <x:c r="B46" s="6" t="str">
        <x:v>デイ</x:v>
      </x:c>
      <x:c r="C46" s="6" t="n">
        <x:v>803000</x:v>
      </x:c>
      <x:c r="D46" s="6" t="n">
        <x:v>1495000</x:v>
      </x:c>
      <x:c r="E46" s="6" t="n">
        <x:f>C46-D46</x:f>
        <x:v>-692000</x:v>
      </x:c>
      <x:c r="F46" s="6" t="n">
        <x:f>F45+E46</x:f>
        <x:v>-15117500</x:v>
      </x:c>
      <x:c r="G46" s="6" t="n">
        <x:v>803000</x:v>
      </x:c>
      <x:c r="H46" s="6" t="n">
        <x:v>1495000</x:v>
      </x:c>
      <x:c r="I46" s="6" t="n">
        <x:v>76</x:v>
      </x:c>
      <x:c r="J46" s="6" t="n">
        <x:v>0</x:v>
      </x:c>
      <x:c r="K46" s="6" t="n">
        <x:v>0</x:v>
      </x:c>
      <x:c r="L46" s="6" t="n">
        <x:v>10</x:v>
      </x:c>
      <x:c r="M46" s="11" t="n">
        <x:v>0.9353571428571429</x:v>
      </x:c>
      <x:c r="N46" s="6" t="n">
        <x:v>816000</x:v>
      </x:c>
    </x:row>
    <x:row r="47" ht="24" customHeight="1">
      <x:c r="A47" s="2" t="str">
        <x:v>2026-10-19_Night</x:v>
      </x:c>
      <x:c r="B47" s="6" t="str">
        <x:v>ナイト</x:v>
      </x:c>
      <x:c r="C47" s="6" t="n">
        <x:v>365500</x:v>
      </x:c>
      <x:c r="D47" s="6" t="n">
        <x:v>865000</x:v>
      </x:c>
      <x:c r="E47" s="6" t="n">
        <x:f>C47-D47</x:f>
        <x:v>-499500</x:v>
      </x:c>
      <x:c r="F47" s="6" t="n">
        <x:f>F46+E47</x:f>
        <x:v>-15617000</x:v>
      </x:c>
      <x:c r="G47" s="6" t="n">
        <x:v>365500</x:v>
      </x:c>
      <x:c r="H47" s="6" t="n">
        <x:v>865000</x:v>
      </x:c>
      <x:c r="I47" s="6" t="n">
        <x:v>55</x:v>
      </x:c>
      <x:c r="J47" s="6" t="n">
        <x:v>0</x:v>
      </x:c>
      <x:c r="K47" s="6" t="n">
        <x:v>0</x:v>
      </x:c>
      <x:c r="L47" s="6" t="n">
        <x:v>10</x:v>
      </x:c>
      <x:c r="M47" s="11" t="n">
        <x:v>0.9582692307692308</x:v>
      </x:c>
      <x:c r="N47" s="6" t="n">
        <x:v>585000</x:v>
      </x:c>
    </x:row>
    <x:row r="48" ht="24" customHeight="1">
      <x:c r="A48" s="2" t="str">
        <x:v>2026-10-20_Day</x:v>
      </x:c>
      <x:c r="B48" s="6" t="str">
        <x:v>デイ</x:v>
      </x:c>
      <x:c r="C48" s="6" t="n">
        <x:v>915500</x:v>
      </x:c>
      <x:c r="D48" s="6" t="n">
        <x:v>1231500</x:v>
      </x:c>
      <x:c r="E48" s="6" t="n">
        <x:f>C48-D48</x:f>
        <x:v>-316000</x:v>
      </x:c>
      <x:c r="F48" s="6" t="n">
        <x:f>F47+E48</x:f>
        <x:v>-15933000</x:v>
      </x:c>
      <x:c r="G48" s="6" t="n">
        <x:v>915500</x:v>
      </x:c>
      <x:c r="H48" s="6" t="n">
        <x:v>1231500</x:v>
      </x:c>
      <x:c r="I48" s="6" t="n">
        <x:v>79</x:v>
      </x:c>
      <x:c r="J48" s="6" t="n">
        <x:v>0</x:v>
      </x:c>
      <x:c r="K48" s="6" t="n">
        <x:v>0</x:v>
      </x:c>
      <x:c r="L48" s="6" t="n">
        <x:v>10</x:v>
      </x:c>
      <x:c r="M48" s="11" t="n">
        <x:v>0.9328968253968254</x:v>
      </x:c>
      <x:c r="N48" s="6" t="n">
        <x:v>374000</x:v>
      </x:c>
    </x:row>
    <x:row r="49" ht="24" customHeight="1">
      <x:c r="A49" s="2" t="str">
        <x:v>2026-10-20_Night</x:v>
      </x:c>
      <x:c r="B49" s="6" t="str">
        <x:v>ナイト</x:v>
      </x:c>
      <x:c r="C49" s="6" t="n">
        <x:v>832500</x:v>
      </x:c>
      <x:c r="D49" s="6" t="n">
        <x:v>1211500</x:v>
      </x:c>
      <x:c r="E49" s="6" t="n">
        <x:f>C49-D49</x:f>
        <x:v>-379000</x:v>
      </x:c>
      <x:c r="F49" s="6" t="n">
        <x:f>F48+E49</x:f>
        <x:v>-16312000</x:v>
      </x:c>
      <x:c r="G49" s="6" t="n">
        <x:v>832500</x:v>
      </x:c>
      <x:c r="H49" s="6" t="n">
        <x:v>1211500</x:v>
      </x:c>
      <x:c r="I49" s="6" t="n">
        <x:v>72</x:v>
      </x:c>
      <x:c r="J49" s="6" t="n">
        <x:v>0</x:v>
      </x:c>
      <x:c r="K49" s="6" t="n">
        <x:v>0</x:v>
      </x:c>
      <x:c r="L49" s="6" t="n">
        <x:v>10</x:v>
      </x:c>
      <x:c r="M49" s="11" t="n">
        <x:v>0.960448717948718</x:v>
      </x:c>
      <x:c r="N49" s="6" t="n">
        <x:v>494500</x:v>
      </x:c>
    </x:row>
    <x:row r="50" ht="24" customHeight="1">
      <x:c r="A50" s="2" t="str">
        <x:v>2026-10-21_Day</x:v>
      </x:c>
      <x:c r="B50" s="6" t="str">
        <x:v>デイ</x:v>
      </x:c>
      <x:c r="C50" s="6" t="n">
        <x:v>367000</x:v>
      </x:c>
      <x:c r="D50" s="6" t="n">
        <x:v>1113000</x:v>
      </x:c>
      <x:c r="E50" s="6" t="n">
        <x:f>C50-D50</x:f>
        <x:v>-746000</x:v>
      </x:c>
      <x:c r="F50" s="6" t="n">
        <x:f>F49+E50</x:f>
        <x:v>-17058000</x:v>
      </x:c>
      <x:c r="G50" s="6" t="n">
        <x:v>367000</x:v>
      </x:c>
      <x:c r="H50" s="6" t="n">
        <x:v>1113000</x:v>
      </x:c>
      <x:c r="I50" s="6" t="n">
        <x:v>48</x:v>
      </x:c>
      <x:c r="J50" s="6" t="n">
        <x:v>0</x:v>
      </x:c>
      <x:c r="K50" s="6" t="n">
        <x:v>0</x:v>
      </x:c>
      <x:c r="L50" s="6" t="n">
        <x:v>10</x:v>
      </x:c>
      <x:c r="M50" s="11" t="n">
        <x:v>0.9428174603174603</x:v>
      </x:c>
      <x:c r="N50" s="6" t="n">
        <x:v>843000</x:v>
      </x:c>
    </x:row>
    <x:row r="51" ht="24" customHeight="1">
      <x:c r="A51" s="2" t="str">
        <x:v>2026-10-21_Night</x:v>
      </x:c>
      <x:c r="B51" s="6" t="str">
        <x:v>ナイト</x:v>
      </x:c>
      <x:c r="C51" s="6" t="n">
        <x:v>617000</x:v>
      </x:c>
      <x:c r="D51" s="6" t="n">
        <x:v>823000</x:v>
      </x:c>
      <x:c r="E51" s="6" t="n">
        <x:f>C51-D51</x:f>
        <x:v>-206000</x:v>
      </x:c>
      <x:c r="F51" s="6" t="n">
        <x:f>F50+E51</x:f>
        <x:v>-17264000</x:v>
      </x:c>
      <x:c r="G51" s="6" t="n">
        <x:v>617000</x:v>
      </x:c>
      <x:c r="H51" s="6" t="n">
        <x:v>823000</x:v>
      </x:c>
      <x:c r="I51" s="6" t="n">
        <x:v>59</x:v>
      </x:c>
      <x:c r="J51" s="6" t="n">
        <x:v>0</x:v>
      </x:c>
      <x:c r="K51" s="6" t="n">
        <x:v>0</x:v>
      </x:c>
      <x:c r="L51" s="6" t="n">
        <x:v>10</x:v>
      </x:c>
      <x:c r="M51" s="11" t="n">
        <x:v>0.9639529914529914</x:v>
      </x:c>
      <x:c r="N51" s="6" t="n">
        <x:v>432500</x:v>
      </x:c>
    </x:row>
    <x:row r="52" ht="24" customHeight="1">
      <x:c r="A52" s="2" t="str">
        <x:v>2026-10-22_Day</x:v>
      </x:c>
      <x:c r="B52" s="6" t="str">
        <x:v>デイ</x:v>
      </x:c>
      <x:c r="C52" s="6" t="n">
        <x:v>803500</x:v>
      </x:c>
      <x:c r="D52" s="6" t="n">
        <x:v>970000</x:v>
      </x:c>
      <x:c r="E52" s="6" t="n">
        <x:f>C52-D52</x:f>
        <x:v>-166500</x:v>
      </x:c>
      <x:c r="F52" s="6" t="n">
        <x:f>F51+E52</x:f>
        <x:v>-17430500</x:v>
      </x:c>
      <x:c r="G52" s="6" t="n">
        <x:v>803500</x:v>
      </x:c>
      <x:c r="H52" s="6" t="n">
        <x:v>970000</x:v>
      </x:c>
      <x:c r="I52" s="6" t="n">
        <x:v>66</x:v>
      </x:c>
      <x:c r="J52" s="6" t="n">
        <x:v>0</x:v>
      </x:c>
      <x:c r="K52" s="6" t="n">
        <x:v>0</x:v>
      </x:c>
      <x:c r="L52" s="6" t="n">
        <x:v>10</x:v>
      </x:c>
      <x:c r="M52" s="11" t="n">
        <x:v>0.9355952380952381</x:v>
      </x:c>
      <x:c r="N52" s="6" t="n">
        <x:v>454000</x:v>
      </x:c>
    </x:row>
    <x:row r="53" ht="24" customHeight="1">
      <x:c r="A53" s="2" t="str">
        <x:v>2026-10-22_Night</x:v>
      </x:c>
      <x:c r="B53" s="6" t="str">
        <x:v>ナイト</x:v>
      </x:c>
      <x:c r="C53" s="6" t="n">
        <x:v>823000</x:v>
      </x:c>
      <x:c r="D53" s="6" t="n">
        <x:v>1139500</x:v>
      </x:c>
      <x:c r="E53" s="6" t="n">
        <x:f>C53-D53</x:f>
        <x:v>-316500</x:v>
      </x:c>
      <x:c r="F53" s="6" t="n">
        <x:f>F52+E53</x:f>
        <x:v>-17747000</x:v>
      </x:c>
      <x:c r="G53" s="6" t="n">
        <x:v>823000</x:v>
      </x:c>
      <x:c r="H53" s="6" t="n">
        <x:v>1139500</x:v>
      </x:c>
      <x:c r="I53" s="6" t="n">
        <x:v>84</x:v>
      </x:c>
      <x:c r="J53" s="6" t="n">
        <x:v>0</x:v>
      </x:c>
      <x:c r="K53" s="6" t="n">
        <x:v>0</x:v>
      </x:c>
      <x:c r="L53" s="6" t="n">
        <x:v>10</x:v>
      </x:c>
      <x:c r="M53" s="11" t="n">
        <x:v>0.9487393162393163</x:v>
      </x:c>
      <x:c r="N53" s="6" t="n">
        <x:v>471000</x:v>
      </x:c>
    </x:row>
    <x:row r="54" ht="24" customHeight="1">
      <x:c r="A54" s="2" t="str">
        <x:v>2026-10-23_Day</x:v>
      </x:c>
      <x:c r="B54" s="6" t="str">
        <x:v>デイ</x:v>
      </x:c>
      <x:c r="C54" s="6" t="n">
        <x:v>1750500</x:v>
      </x:c>
      <x:c r="D54" s="6" t="n">
        <x:v>2686500</x:v>
      </x:c>
      <x:c r="E54" s="6" t="n">
        <x:f>C54-D54</x:f>
        <x:v>-936000</x:v>
      </x:c>
      <x:c r="F54" s="6" t="n">
        <x:f>F53+E54</x:f>
        <x:v>-18683000</x:v>
      </x:c>
      <x:c r="G54" s="6" t="n">
        <x:v>1750500</x:v>
      </x:c>
      <x:c r="H54" s="6" t="n">
        <x:v>2686500</x:v>
      </x:c>
      <x:c r="I54" s="6" t="n">
        <x:v>136</x:v>
      </x:c>
      <x:c r="J54" s="6" t="n">
        <x:v>0</x:v>
      </x:c>
      <x:c r="K54" s="6" t="n">
        <x:v>0</x:v>
      </x:c>
      <x:c r="L54" s="6" t="n">
        <x:v>10</x:v>
      </x:c>
      <x:c r="M54" s="11" t="n">
        <x:v>0.9114682539682539</x:v>
      </x:c>
      <x:c r="N54" s="6" t="n">
        <x:v>962500</x:v>
      </x:c>
    </x:row>
    <x:row r="55" ht="24" customHeight="1">
      <x:c r="A55" s="2" t="str">
        <x:v>2026-10-23_Night</x:v>
      </x:c>
      <x:c r="B55" s="6" t="str">
        <x:v>ナイト</x:v>
      </x:c>
      <x:c r="C55" s="6" t="n">
        <x:v>823500</x:v>
      </x:c>
      <x:c r="D55" s="6" t="n">
        <x:v>1064000</x:v>
      </x:c>
      <x:c r="E55" s="6" t="n">
        <x:f>C55-D55</x:f>
        <x:v>-240500</x:v>
      </x:c>
      <x:c r="F55" s="6" t="n">
        <x:f>F54+E55</x:f>
        <x:v>-18923500</x:v>
      </x:c>
      <x:c r="G55" s="6" t="n">
        <x:v>823500</x:v>
      </x:c>
      <x:c r="H55" s="6" t="n">
        <x:v>1064000</x:v>
      </x:c>
      <x:c r="I55" s="6" t="n">
        <x:v>69</x:v>
      </x:c>
      <x:c r="J55" s="6" t="n">
        <x:v>0</x:v>
      </x:c>
      <x:c r="K55" s="6" t="n">
        <x:v>0</x:v>
      </x:c>
      <x:c r="L55" s="6" t="n">
        <x:v>10</x:v>
      </x:c>
      <x:c r="M55" s="11" t="n">
        <x:v>0.9618803418803419</x:v>
      </x:c>
      <x:c r="N55" s="6" t="n">
        <x:v>400500</x:v>
      </x:c>
    </x:row>
    <x:row r="56" ht="24" customHeight="1">
      <x:c r="A56" s="2" t="str">
        <x:v>2026-10-26_Day</x:v>
      </x:c>
      <x:c r="B56" s="6" t="str">
        <x:v>デイ</x:v>
      </x:c>
      <x:c r="C56" s="6" t="n">
        <x:v>648500</x:v>
      </x:c>
      <x:c r="D56" s="6" t="n">
        <x:v>1872000</x:v>
      </x:c>
      <x:c r="E56" s="6" t="n">
        <x:f>C56-D56</x:f>
        <x:v>-1223500</x:v>
      </x:c>
      <x:c r="F56" s="6" t="n">
        <x:f>F55+E56</x:f>
        <x:v>-20147000</x:v>
      </x:c>
      <x:c r="G56" s="6" t="n">
        <x:v>648500</x:v>
      </x:c>
      <x:c r="H56" s="6" t="n">
        <x:v>1872000</x:v>
      </x:c>
      <x:c r="I56" s="6" t="n">
        <x:v>83</x:v>
      </x:c>
      <x:c r="J56" s="6" t="n">
        <x:v>0</x:v>
      </x:c>
      <x:c r="K56" s="6" t="n">
        <x:v>0</x:v>
      </x:c>
      <x:c r="L56" s="6" t="n">
        <x:v>10</x:v>
      </x:c>
      <x:c r="M56" s="11" t="n">
        <x:v>0.93</x:v>
      </x:c>
      <x:c r="N56" s="6" t="n">
        <x:v>1306500</x:v>
      </x:c>
    </x:row>
    <x:row r="57" ht="24" customHeight="1">
      <x:c r="A57" s="15" t="str">
        <x:v>累計／平均／最大</x:v>
      </x:c>
      <x:c r="B57" s="16"/>
      <x:c r="C57" s="16" t="n">
        <x:f>SUM(C6:C56)</x:f>
        <x:v>30010000</x:v>
      </x:c>
      <x:c r="D57" s="16" t="n">
        <x:f>SUM(D6:D56)</x:f>
        <x:v>50157000</x:v>
      </x:c>
      <x:c r="E57" s="16" t="n">
        <x:f>C57-D57</x:f>
        <x:v>-20147000</x:v>
      </x:c>
      <x:c r="F57" s="16" t="n">
        <x:f>F56</x:f>
        <x:v>-20147000</x:v>
      </x:c>
      <x:c r="G57" s="16" t="n">
        <x:f>SUM(G6:G56)</x:f>
        <x:v>30010000</x:v>
      </x:c>
      <x:c r="H57" s="16" t="n">
        <x:f>SUM(H6:H56)</x:f>
        <x:v>50157000</x:v>
      </x:c>
      <x:c r="I57" s="16" t="n">
        <x:f>SUM(I6:I56)</x:f>
        <x:v>2940</x:v>
      </x:c>
      <x:c r="J57" s="16" t="n">
        <x:f>SUM(J6:J56)</x:f>
        <x:v>0</x:v>
      </x:c>
      <x:c r="K57" s="16" t="n">
        <x:f>SUM(K6:K56)</x:f>
        <x:v>0</x:v>
      </x:c>
      <x:c r="L57" s="16" t="n">
        <x:f>MAX(L6:L56)</x:f>
        <x:v>10</x:v>
      </x:c>
      <x:c r="M57" s="17" t="n">
        <x:f>AVERAGE(M6:M56)</x:f>
        <x:v>0.9493190524072878</x:v>
      </x:c>
      <x:c r="N57" s="16" t="n">
        <x:f>MAX(N6:N56)</x:f>
        <x:v>1306500</x:v>
      </x:c>
    </x:row>
  </x:sheetData>
  <x:conditionalFormatting sqref="E6:F56">
    <x:cfRule type="cellIs" dxfId="42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bf5d175f85e4ac7"/>
  </x:tableParts>
</x:worksheet>
</file>

<file path=xl/worksheets/sheet4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1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4" customHeight="1">
      <x:c r="A1" s="3" t="str">
        <x:v>TOPIX M02　各セッションの利益・損失・収支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A2" s="4" t="str">
        <x:v>2026/09/21〜10/26デイ・51完了場。日経mini／TOPIXmini各上限10枚・手数料0。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4" customHeight="1">
      <x:c r="A3" s="4" t="str">
        <x:v>60秒の時間加重平均を30秒前と比較。入口だけ傾き比例枚数、利益追尾＋傾き反転で返済。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4" customHeight="1">
      <x:c r="A4" s="4" t="str">
        <x:v>利益・損失＝FIFO返済配賦別。親＝初回から全返済まで。ラージ気配による模型で、mini実約定の検証ではありません。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42" customHeight="1">
      <x:c r="A5" s="10" t="str">
        <x:v>セッション</x:v>
      </x:c>
      <x:c r="B5" s="10" t="str">
        <x:v>区分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親利益（円）</x:v>
      </x:c>
      <x:c r="H5" s="10" t="str">
        <x:v>親損失（円）</x:v>
      </x:c>
      <x:c r="I5" s="10" t="str">
        <x:v>初回件数</x:v>
      </x:c>
      <x:c r="J5" s="10" t="str">
        <x:v>追加件数</x:v>
      </x:c>
      <x:c r="K5" s="10" t="str">
        <x:v>縮小件数</x:v>
      </x:c>
      <x:c r="L5" s="10" t="str">
        <x:v>最大保有枚数</x:v>
      </x:c>
      <x:c r="M5" s="10" t="str">
        <x:v>保有時間率</x:v>
      </x:c>
      <x:c r="N5" s="10" t="str">
        <x:v>時価最大DD（円）</x:v>
      </x:c>
    </x:row>
    <x:row r="6" ht="24" customHeight="1">
      <x:c r="A6" s="2" t="str">
        <x:v>2026-09-21_Day</x:v>
      </x:c>
      <x:c r="B6" s="6" t="str">
        <x:v>デイ</x:v>
      </x:c>
      <x:c r="C6" s="6" t="n">
        <x:v>293000</x:v>
      </x:c>
      <x:c r="D6" s="6" t="n">
        <x:v>1070000</x:v>
      </x:c>
      <x:c r="E6" s="6" t="n">
        <x:f>C6-D6</x:f>
        <x:v>-777000</x:v>
      </x:c>
      <x:c r="F6" s="6" t="n">
        <x:f>E6</x:f>
        <x:v>-777000</x:v>
      </x:c>
      <x:c r="G6" s="6" t="n">
        <x:v>293000</x:v>
      </x:c>
      <x:c r="H6" s="6" t="n">
        <x:v>1070000</x:v>
      </x:c>
      <x:c r="I6" s="6" t="n">
        <x:v>181</x:v>
      </x:c>
      <x:c r="J6" s="6" t="n">
        <x:v>0</x:v>
      </x:c>
      <x:c r="K6" s="6" t="n">
        <x:v>0</x:v>
      </x:c>
      <x:c r="L6" s="6" t="n">
        <x:v>10</x:v>
      </x:c>
      <x:c r="M6" s="11" t="n">
        <x:v>0.6386904761904761</x:v>
      </x:c>
      <x:c r="N6" s="6" t="n">
        <x:v>800000</x:v>
      </x:c>
    </x:row>
    <x:row r="7" ht="24" customHeight="1">
      <x:c r="A7" s="2" t="str">
        <x:v>2026-09-21_Night</x:v>
      </x:c>
      <x:c r="B7" s="6" t="str">
        <x:v>ナイト</x:v>
      </x:c>
      <x:c r="C7" s="6" t="n">
        <x:v>239000</x:v>
      </x:c>
      <x:c r="D7" s="6" t="n">
        <x:v>1212000</x:v>
      </x:c>
      <x:c r="E7" s="6" t="n">
        <x:f>C7-D7</x:f>
        <x:v>-973000</x:v>
      </x:c>
      <x:c r="F7" s="6" t="n">
        <x:f>F6+E7</x:f>
        <x:v>-1750000</x:v>
      </x:c>
      <x:c r="G7" s="6" t="n">
        <x:v>239000</x:v>
      </x:c>
      <x:c r="H7" s="6" t="n">
        <x:v>1212000</x:v>
      </x:c>
      <x:c r="I7" s="6" t="n">
        <x:v>302</x:v>
      </x:c>
      <x:c r="J7" s="6" t="n">
        <x:v>0</x:v>
      </x:c>
      <x:c r="K7" s="6" t="n">
        <x:v>0</x:v>
      </x:c>
      <x:c r="L7" s="6" t="n">
        <x:v>10</x:v>
      </x:c>
      <x:c r="M7" s="11" t="n">
        <x:v>0.6573076923076923</x:v>
      </x:c>
      <x:c r="N7" s="6" t="n">
        <x:v>998000</x:v>
      </x:c>
    </x:row>
    <x:row r="8" ht="24" customHeight="1">
      <x:c r="A8" s="2" t="str">
        <x:v>2026-09-22_Day</x:v>
      </x:c>
      <x:c r="B8" s="6" t="str">
        <x:v>デイ</x:v>
      </x:c>
      <x:c r="C8" s="6" t="n">
        <x:v>238500</x:v>
      </x:c>
      <x:c r="D8" s="6" t="n">
        <x:v>1318000</x:v>
      </x:c>
      <x:c r="E8" s="6" t="n">
        <x:f>C8-D8</x:f>
        <x:v>-1079500</x:v>
      </x:c>
      <x:c r="F8" s="6" t="n">
        <x:f>F7+E8</x:f>
        <x:v>-2829500</x:v>
      </x:c>
      <x:c r="G8" s="6" t="n">
        <x:v>238500</x:v>
      </x:c>
      <x:c r="H8" s="6" t="n">
        <x:v>1318000</x:v>
      </x:c>
      <x:c r="I8" s="6" t="n">
        <x:v>213</x:v>
      </x:c>
      <x:c r="J8" s="6" t="n">
        <x:v>0</x:v>
      </x:c>
      <x:c r="K8" s="6" t="n">
        <x:v>0</x:v>
      </x:c>
      <x:c r="L8" s="6" t="n">
        <x:v>10</x:v>
      </x:c>
      <x:c r="M8" s="11" t="n">
        <x:v>0.7249603174603174</x:v>
      </x:c>
      <x:c r="N8" s="6" t="n">
        <x:v>1099500</x:v>
      </x:c>
    </x:row>
    <x:row r="9" ht="24" customHeight="1">
      <x:c r="A9" s="2" t="str">
        <x:v>2026-09-22_Night</x:v>
      </x:c>
      <x:c r="B9" s="6" t="str">
        <x:v>ナイト</x:v>
      </x:c>
      <x:c r="C9" s="6" t="n">
        <x:v>505500</x:v>
      </x:c>
      <x:c r="D9" s="6" t="n">
        <x:v>2157000</x:v>
      </x:c>
      <x:c r="E9" s="6" t="n">
        <x:f>C9-D9</x:f>
        <x:v>-1651500</x:v>
      </x:c>
      <x:c r="F9" s="6" t="n">
        <x:f>F8+E9</x:f>
        <x:v>-4481000</x:v>
      </x:c>
      <x:c r="G9" s="6" t="n">
        <x:v>505500</x:v>
      </x:c>
      <x:c r="H9" s="6" t="n">
        <x:v>2157000</x:v>
      </x:c>
      <x:c r="I9" s="6" t="n">
        <x:v>388</x:v>
      </x:c>
      <x:c r="J9" s="6" t="n">
        <x:v>0</x:v>
      </x:c>
      <x:c r="K9" s="6" t="n">
        <x:v>0</x:v>
      </x:c>
      <x:c r="L9" s="6" t="n">
        <x:v>10</x:v>
      </x:c>
      <x:c r="M9" s="11" t="n">
        <x:v>0.7191025641025641</x:v>
      </x:c>
      <x:c r="N9" s="6" t="n">
        <x:v>1667000</x:v>
      </x:c>
    </x:row>
    <x:row r="10" ht="24" customHeight="1">
      <x:c r="A10" s="2" t="str">
        <x:v>2026-09-23_Day</x:v>
      </x:c>
      <x:c r="B10" s="6" t="str">
        <x:v>デイ</x:v>
      </x:c>
      <x:c r="C10" s="6" t="n">
        <x:v>231500</x:v>
      </x:c>
      <x:c r="D10" s="6" t="n">
        <x:v>993500</x:v>
      </x:c>
      <x:c r="E10" s="6" t="n">
        <x:f>C10-D10</x:f>
        <x:v>-762000</x:v>
      </x:c>
      <x:c r="F10" s="6" t="n">
        <x:f>F9+E10</x:f>
        <x:v>-5243000</x:v>
      </x:c>
      <x:c r="G10" s="6" t="n">
        <x:v>231500</x:v>
      </x:c>
      <x:c r="H10" s="6" t="n">
        <x:v>993500</x:v>
      </x:c>
      <x:c r="I10" s="6" t="n">
        <x:v>181</x:v>
      </x:c>
      <x:c r="J10" s="6" t="n">
        <x:v>0</x:v>
      </x:c>
      <x:c r="K10" s="6" t="n">
        <x:v>0</x:v>
      </x:c>
      <x:c r="L10" s="6" t="n">
        <x:v>10</x:v>
      </x:c>
      <x:c r="M10" s="11" t="n">
        <x:v>0.6883730158730159</x:v>
      </x:c>
      <x:c r="N10" s="6" t="n">
        <x:v>810000</x:v>
      </x:c>
    </x:row>
    <x:row r="11" ht="24" customHeight="1">
      <x:c r="A11" s="2" t="str">
        <x:v>2026-09-23_Night</x:v>
      </x:c>
      <x:c r="B11" s="6" t="str">
        <x:v>ナイト</x:v>
      </x:c>
      <x:c r="C11" s="6" t="n">
        <x:v>229500</x:v>
      </x:c>
      <x:c r="D11" s="6" t="n">
        <x:v>1663500</x:v>
      </x:c>
      <x:c r="E11" s="6" t="n">
        <x:f>C11-D11</x:f>
        <x:v>-1434000</x:v>
      </x:c>
      <x:c r="F11" s="6" t="n">
        <x:f>F10+E11</x:f>
        <x:v>-6677000</x:v>
      </x:c>
      <x:c r="G11" s="6" t="n">
        <x:v>229500</x:v>
      </x:c>
      <x:c r="H11" s="6" t="n">
        <x:v>1663500</x:v>
      </x:c>
      <x:c r="I11" s="6" t="n">
        <x:v>344</x:v>
      </x:c>
      <x:c r="J11" s="6" t="n">
        <x:v>0</x:v>
      </x:c>
      <x:c r="K11" s="6" t="n">
        <x:v>0</x:v>
      </x:c>
      <x:c r="L11" s="6" t="n">
        <x:v>10</x:v>
      </x:c>
      <x:c r="M11" s="11" t="n">
        <x:v>0.6764529914529914</x:v>
      </x:c>
      <x:c r="N11" s="6" t="n">
        <x:v>1440500</x:v>
      </x:c>
    </x:row>
    <x:row r="12" ht="24" customHeight="1">
      <x:c r="A12" s="2" t="str">
        <x:v>2026-09-24_Day</x:v>
      </x:c>
      <x:c r="B12" s="6" t="str">
        <x:v>デイ</x:v>
      </x:c>
      <x:c r="C12" s="6" t="n">
        <x:v>917500</x:v>
      </x:c>
      <x:c r="D12" s="6" t="n">
        <x:v>2134000</x:v>
      </x:c>
      <x:c r="E12" s="6" t="n">
        <x:f>C12-D12</x:f>
        <x:v>-1216500</x:v>
      </x:c>
      <x:c r="F12" s="6" t="n">
        <x:f>F11+E12</x:f>
        <x:v>-7893500</x:v>
      </x:c>
      <x:c r="G12" s="6" t="n">
        <x:v>917500</x:v>
      </x:c>
      <x:c r="H12" s="6" t="n">
        <x:v>2134000</x:v>
      </x:c>
      <x:c r="I12" s="6" t="n">
        <x:v>303</x:v>
      </x:c>
      <x:c r="J12" s="6" t="n">
        <x:v>0</x:v>
      </x:c>
      <x:c r="K12" s="6" t="n">
        <x:v>0</x:v>
      </x:c>
      <x:c r="L12" s="6" t="n">
        <x:v>10</x:v>
      </x:c>
      <x:c r="M12" s="11" t="n">
        <x:v>0.7975793650793651</x:v>
      </x:c>
      <x:c r="N12" s="6" t="n">
        <x:v>1348000</x:v>
      </x:c>
    </x:row>
    <x:row r="13" ht="24" customHeight="1">
      <x:c r="A13" s="2" t="str">
        <x:v>2026-09-24_Night</x:v>
      </x:c>
      <x:c r="B13" s="6" t="str">
        <x:v>ナイト</x:v>
      </x:c>
      <x:c r="C13" s="6" t="n">
        <x:v>729500</x:v>
      </x:c>
      <x:c r="D13" s="6" t="n">
        <x:v>2500000</x:v>
      </x:c>
      <x:c r="E13" s="6" t="n">
        <x:f>C13-D13</x:f>
        <x:v>-1770500</x:v>
      </x:c>
      <x:c r="F13" s="6" t="n">
        <x:f>F12+E13</x:f>
        <x:v>-9664000</x:v>
      </x:c>
      <x:c r="G13" s="6" t="n">
        <x:v>729500</x:v>
      </x:c>
      <x:c r="H13" s="6" t="n">
        <x:v>2500000</x:v>
      </x:c>
      <x:c r="I13" s="6" t="n">
        <x:v>452</x:v>
      </x:c>
      <x:c r="J13" s="6" t="n">
        <x:v>0</x:v>
      </x:c>
      <x:c r="K13" s="6" t="n">
        <x:v>0</x:v>
      </x:c>
      <x:c r="L13" s="6" t="n">
        <x:v>10</x:v>
      </x:c>
      <x:c r="M13" s="11" t="n">
        <x:v>0.768974358974359</x:v>
      </x:c>
      <x:c r="N13" s="6" t="n">
        <x:v>1833500</x:v>
      </x:c>
    </x:row>
    <x:row r="14" ht="24" customHeight="1">
      <x:c r="A14" s="2" t="str">
        <x:v>2026-09-25_Day</x:v>
      </x:c>
      <x:c r="B14" s="6" t="str">
        <x:v>デイ</x:v>
      </x:c>
      <x:c r="C14" s="6" t="n">
        <x:v>691500</x:v>
      </x:c>
      <x:c r="D14" s="6" t="n">
        <x:v>1719000</x:v>
      </x:c>
      <x:c r="E14" s="6" t="n">
        <x:f>C14-D14</x:f>
        <x:v>-1027500</x:v>
      </x:c>
      <x:c r="F14" s="6" t="n">
        <x:f>F13+E14</x:f>
        <x:v>-10691500</x:v>
      </x:c>
      <x:c r="G14" s="6" t="n">
        <x:v>691500</x:v>
      </x:c>
      <x:c r="H14" s="6" t="n">
        <x:v>1719000</x:v>
      </x:c>
      <x:c r="I14" s="6" t="n">
        <x:v>263</x:v>
      </x:c>
      <x:c r="J14" s="6" t="n">
        <x:v>0</x:v>
      </x:c>
      <x:c r="K14" s="6" t="n">
        <x:v>0</x:v>
      </x:c>
      <x:c r="L14" s="6" t="n">
        <x:v>10</x:v>
      </x:c>
      <x:c r="M14" s="11" t="n">
        <x:v>0.8280555555555555</x:v>
      </x:c>
      <x:c r="N14" s="6" t="n">
        <x:v>1043000</x:v>
      </x:c>
    </x:row>
    <x:row r="15" ht="24" customHeight="1">
      <x:c r="A15" s="2" t="str">
        <x:v>2026-09-25_Night</x:v>
      </x:c>
      <x:c r="B15" s="6" t="str">
        <x:v>ナイト</x:v>
      </x:c>
      <x:c r="C15" s="6" t="n">
        <x:v>541000</x:v>
      </x:c>
      <x:c r="D15" s="6" t="n">
        <x:v>1895500</x:v>
      </x:c>
      <x:c r="E15" s="6" t="n">
        <x:f>C15-D15</x:f>
        <x:v>-1354500</x:v>
      </x:c>
      <x:c r="F15" s="6" t="n">
        <x:f>F14+E15</x:f>
        <x:v>-12046000</x:v>
      </x:c>
      <x:c r="G15" s="6" t="n">
        <x:v>541000</x:v>
      </x:c>
      <x:c r="H15" s="6" t="n">
        <x:v>1895500</x:v>
      </x:c>
      <x:c r="I15" s="6" t="n">
        <x:v>419</x:v>
      </x:c>
      <x:c r="J15" s="6" t="n">
        <x:v>0</x:v>
      </x:c>
      <x:c r="K15" s="6" t="n">
        <x:v>0</x:v>
      </x:c>
      <x:c r="L15" s="6" t="n">
        <x:v>10</x:v>
      </x:c>
      <x:c r="M15" s="11" t="n">
        <x:v>0.7370726495726496</x:v>
      </x:c>
      <x:c r="N15" s="6" t="n">
        <x:v>1423000</x:v>
      </x:c>
    </x:row>
    <x:row r="16" ht="24" customHeight="1">
      <x:c r="A16" s="2" t="str">
        <x:v>2026-09-28_Day</x:v>
      </x:c>
      <x:c r="B16" s="6" t="str">
        <x:v>デイ</x:v>
      </x:c>
      <x:c r="C16" s="6" t="n">
        <x:v>748000</x:v>
      </x:c>
      <x:c r="D16" s="6" t="n">
        <x:v>1702500</x:v>
      </x:c>
      <x:c r="E16" s="6" t="n">
        <x:f>C16-D16</x:f>
        <x:v>-954500</x:v>
      </x:c>
      <x:c r="F16" s="6" t="n">
        <x:f>F15+E16</x:f>
        <x:v>-13000500</x:v>
      </x:c>
      <x:c r="G16" s="6" t="n">
        <x:v>748000</x:v>
      </x:c>
      <x:c r="H16" s="6" t="n">
        <x:v>1702500</x:v>
      </x:c>
      <x:c r="I16" s="6" t="n">
        <x:v>282</x:v>
      </x:c>
      <x:c r="J16" s="6" t="n">
        <x:v>0</x:v>
      </x:c>
      <x:c r="K16" s="6" t="n">
        <x:v>0</x:v>
      </x:c>
      <x:c r="L16" s="6" t="n">
        <x:v>10</x:v>
      </x:c>
      <x:c r="M16" s="11" t="n">
        <x:v>0.8191269841269841</x:v>
      </x:c>
      <x:c r="N16" s="6" t="n">
        <x:v>1048000</x:v>
      </x:c>
    </x:row>
    <x:row r="17" ht="24" customHeight="1">
      <x:c r="A17" s="2" t="str">
        <x:v>2026-09-28_Night</x:v>
      </x:c>
      <x:c r="B17" s="6" t="str">
        <x:v>ナイト</x:v>
      </x:c>
      <x:c r="C17" s="6" t="n">
        <x:v>922000</x:v>
      </x:c>
      <x:c r="D17" s="6" t="n">
        <x:v>2221500</x:v>
      </x:c>
      <x:c r="E17" s="6" t="n">
        <x:f>C17-D17</x:f>
        <x:v>-1299500</x:v>
      </x:c>
      <x:c r="F17" s="6" t="n">
        <x:f>F16+E17</x:f>
        <x:v>-14300000</x:v>
      </x:c>
      <x:c r="G17" s="6" t="n">
        <x:v>922000</x:v>
      </x:c>
      <x:c r="H17" s="6" t="n">
        <x:v>2221500</x:v>
      </x:c>
      <x:c r="I17" s="6" t="n">
        <x:v>421</x:v>
      </x:c>
      <x:c r="J17" s="6" t="n">
        <x:v>0</x:v>
      </x:c>
      <x:c r="K17" s="6" t="n">
        <x:v>0</x:v>
      </x:c>
      <x:c r="L17" s="6" t="n">
        <x:v>10</x:v>
      </x:c>
      <x:c r="M17" s="11" t="n">
        <x:v>0.7472435897435897</x:v>
      </x:c>
      <x:c r="N17" s="6" t="n">
        <x:v>1305000</x:v>
      </x:c>
    </x:row>
    <x:row r="18" ht="24" customHeight="1">
      <x:c r="A18" s="2" t="str">
        <x:v>2026-09-29_Day</x:v>
      </x:c>
      <x:c r="B18" s="6" t="str">
        <x:v>デイ</x:v>
      </x:c>
      <x:c r="C18" s="6" t="n">
        <x:v>778000</x:v>
      </x:c>
      <x:c r="D18" s="6" t="n">
        <x:v>2249500</x:v>
      </x:c>
      <x:c r="E18" s="6" t="n">
        <x:f>C18-D18</x:f>
        <x:v>-1471500</x:v>
      </x:c>
      <x:c r="F18" s="6" t="n">
        <x:f>F17+E18</x:f>
        <x:v>-15771500</x:v>
      </x:c>
      <x:c r="G18" s="6" t="n">
        <x:v>778000</x:v>
      </x:c>
      <x:c r="H18" s="6" t="n">
        <x:v>2249500</x:v>
      </x:c>
      <x:c r="I18" s="6" t="n">
        <x:v>315</x:v>
      </x:c>
      <x:c r="J18" s="6" t="n">
        <x:v>0</x:v>
      </x:c>
      <x:c r="K18" s="6" t="n">
        <x:v>0</x:v>
      </x:c>
      <x:c r="L18" s="6" t="n">
        <x:v>10</x:v>
      </x:c>
      <x:c r="M18" s="11" t="n">
        <x:v>0.8051984126984127</x:v>
      </x:c>
      <x:c r="N18" s="6" t="n">
        <x:v>1638000</x:v>
      </x:c>
    </x:row>
    <x:row r="19" ht="24" customHeight="1">
      <x:c r="A19" s="2" t="str">
        <x:v>2026-09-29_Night</x:v>
      </x:c>
      <x:c r="B19" s="6" t="str">
        <x:v>ナイト</x:v>
      </x:c>
      <x:c r="C19" s="6" t="n">
        <x:v>442000</x:v>
      </x:c>
      <x:c r="D19" s="6" t="n">
        <x:v>1997000</x:v>
      </x:c>
      <x:c r="E19" s="6" t="n">
        <x:f>C19-D19</x:f>
        <x:v>-1555000</x:v>
      </x:c>
      <x:c r="F19" s="6" t="n">
        <x:f>F18+E19</x:f>
        <x:v>-17326500</x:v>
      </x:c>
      <x:c r="G19" s="6" t="n">
        <x:v>442000</x:v>
      </x:c>
      <x:c r="H19" s="6" t="n">
        <x:v>1997000</x:v>
      </x:c>
      <x:c r="I19" s="6" t="n">
        <x:v>430</x:v>
      </x:c>
      <x:c r="J19" s="6" t="n">
        <x:v>0</x:v>
      </x:c>
      <x:c r="K19" s="6" t="n">
        <x:v>0</x:v>
      </x:c>
      <x:c r="L19" s="6" t="n">
        <x:v>10</x:v>
      </x:c>
      <x:c r="M19" s="11" t="n">
        <x:v>0.7415598290598291</x:v>
      </x:c>
      <x:c r="N19" s="6" t="n">
        <x:v>1558000</x:v>
      </x:c>
    </x:row>
    <x:row r="20" ht="24" customHeight="1">
      <x:c r="A20" s="2" t="str">
        <x:v>2026-09-30_Day</x:v>
      </x:c>
      <x:c r="B20" s="6" t="str">
        <x:v>デイ</x:v>
      </x:c>
      <x:c r="C20" s="6" t="n">
        <x:v>648000</x:v>
      </x:c>
      <x:c r="D20" s="6" t="n">
        <x:v>2047500</x:v>
      </x:c>
      <x:c r="E20" s="6" t="n">
        <x:f>C20-D20</x:f>
        <x:v>-1399500</x:v>
      </x:c>
      <x:c r="F20" s="6" t="n">
        <x:f>F19+E20</x:f>
        <x:v>-18726000</x:v>
      </x:c>
      <x:c r="G20" s="6" t="n">
        <x:v>648000</x:v>
      </x:c>
      <x:c r="H20" s="6" t="n">
        <x:v>2047500</x:v>
      </x:c>
      <x:c r="I20" s="6" t="n">
        <x:v>297</x:v>
      </x:c>
      <x:c r="J20" s="6" t="n">
        <x:v>0</x:v>
      </x:c>
      <x:c r="K20" s="6" t="n">
        <x:v>0</x:v>
      </x:c>
      <x:c r="L20" s="6" t="n">
        <x:v>10</x:v>
      </x:c>
      <x:c r="M20" s="11" t="n">
        <x:v>0.8096031746031747</x:v>
      </x:c>
      <x:c r="N20" s="6" t="n">
        <x:v>1474000</x:v>
      </x:c>
    </x:row>
    <x:row r="21" ht="24" customHeight="1">
      <x:c r="A21" s="2" t="str">
        <x:v>2026-09-30_Night</x:v>
      </x:c>
      <x:c r="B21" s="6" t="str">
        <x:v>ナイト</x:v>
      </x:c>
      <x:c r="C21" s="6" t="n">
        <x:v>744500</x:v>
      </x:c>
      <x:c r="D21" s="6" t="n">
        <x:v>2537500</x:v>
      </x:c>
      <x:c r="E21" s="6" t="n">
        <x:f>C21-D21</x:f>
        <x:v>-1793000</x:v>
      </x:c>
      <x:c r="F21" s="6" t="n">
        <x:f>F20+E21</x:f>
        <x:v>-20519000</x:v>
      </x:c>
      <x:c r="G21" s="6" t="n">
        <x:v>744500</x:v>
      </x:c>
      <x:c r="H21" s="6" t="n">
        <x:v>2537500</x:v>
      </x:c>
      <x:c r="I21" s="6" t="n">
        <x:v>454</x:v>
      </x:c>
      <x:c r="J21" s="6" t="n">
        <x:v>0</x:v>
      </x:c>
      <x:c r="K21" s="6" t="n">
        <x:v>0</x:v>
      </x:c>
      <x:c r="L21" s="6" t="n">
        <x:v>10</x:v>
      </x:c>
      <x:c r="M21" s="11" t="n">
        <x:v>0.7777777777777778</x:v>
      </x:c>
      <x:c r="N21" s="6" t="n">
        <x:v>1831500</x:v>
      </x:c>
    </x:row>
    <x:row r="22" ht="24" customHeight="1">
      <x:c r="A22" s="2" t="str">
        <x:v>2026-10-01_Day</x:v>
      </x:c>
      <x:c r="B22" s="6" t="str">
        <x:v>デイ</x:v>
      </x:c>
      <x:c r="C22" s="6" t="n">
        <x:v>681500</x:v>
      </x:c>
      <x:c r="D22" s="6" t="n">
        <x:v>2090500</x:v>
      </x:c>
      <x:c r="E22" s="6" t="n">
        <x:f>C22-D22</x:f>
        <x:v>-1409000</x:v>
      </x:c>
      <x:c r="F22" s="6" t="n">
        <x:f>F21+E22</x:f>
        <x:v>-21928000</x:v>
      </x:c>
      <x:c r="G22" s="6" t="n">
        <x:v>681500</x:v>
      </x:c>
      <x:c r="H22" s="6" t="n">
        <x:v>2090500</x:v>
      </x:c>
      <x:c r="I22" s="6" t="n">
        <x:v>294</x:v>
      </x:c>
      <x:c r="J22" s="6" t="n">
        <x:v>0</x:v>
      </x:c>
      <x:c r="K22" s="6" t="n">
        <x:v>0</x:v>
      </x:c>
      <x:c r="L22" s="6" t="n">
        <x:v>10</x:v>
      </x:c>
      <x:c r="M22" s="11" t="n">
        <x:v>0.8092857142857143</x:v>
      </x:c>
      <x:c r="N22" s="6" t="n">
        <x:v>1479500</x:v>
      </x:c>
    </x:row>
    <x:row r="23" ht="24" customHeight="1">
      <x:c r="A23" s="2" t="str">
        <x:v>2026-10-01_Night</x:v>
      </x:c>
      <x:c r="B23" s="6" t="str">
        <x:v>ナイト</x:v>
      </x:c>
      <x:c r="C23" s="6" t="n">
        <x:v>782000</x:v>
      </x:c>
      <x:c r="D23" s="6" t="n">
        <x:v>3157500</x:v>
      </x:c>
      <x:c r="E23" s="6" t="n">
        <x:f>C23-D23</x:f>
        <x:v>-2375500</x:v>
      </x:c>
      <x:c r="F23" s="6" t="n">
        <x:f>F22+E23</x:f>
        <x:v>-24303500</x:v>
      </x:c>
      <x:c r="G23" s="6" t="n">
        <x:v>782000</x:v>
      </x:c>
      <x:c r="H23" s="6" t="n">
        <x:v>3157500</x:v>
      </x:c>
      <x:c r="I23" s="6" t="n">
        <x:v>465</x:v>
      </x:c>
      <x:c r="J23" s="6" t="n">
        <x:v>0</x:v>
      </x:c>
      <x:c r="K23" s="6" t="n">
        <x:v>0</x:v>
      </x:c>
      <x:c r="L23" s="6" t="n">
        <x:v>10</x:v>
      </x:c>
      <x:c r="M23" s="11" t="n">
        <x:v>0.7583333333333333</x:v>
      </x:c>
      <x:c r="N23" s="6" t="n">
        <x:v>2385500</x:v>
      </x:c>
    </x:row>
    <x:row r="24" ht="24" customHeight="1">
      <x:c r="A24" s="2" t="str">
        <x:v>2026-10-02_Day</x:v>
      </x:c>
      <x:c r="B24" s="6" t="str">
        <x:v>デイ</x:v>
      </x:c>
      <x:c r="C24" s="6" t="n">
        <x:v>575500</x:v>
      </x:c>
      <x:c r="D24" s="6" t="n">
        <x:v>1896000</x:v>
      </x:c>
      <x:c r="E24" s="6" t="n">
        <x:f>C24-D24</x:f>
        <x:v>-1320500</x:v>
      </x:c>
      <x:c r="F24" s="6" t="n">
        <x:f>F23+E24</x:f>
        <x:v>-25624000</x:v>
      </x:c>
      <x:c r="G24" s="6" t="n">
        <x:v>575500</x:v>
      </x:c>
      <x:c r="H24" s="6" t="n">
        <x:v>1896000</x:v>
      </x:c>
      <x:c r="I24" s="6" t="n">
        <x:v>303</x:v>
      </x:c>
      <x:c r="J24" s="6" t="n">
        <x:v>0</x:v>
      </x:c>
      <x:c r="K24" s="6" t="n">
        <x:v>0</x:v>
      </x:c>
      <x:c r="L24" s="6" t="n">
        <x:v>10</x:v>
      </x:c>
      <x:c r="M24" s="11" t="n">
        <x:v>0.8027777777777778</x:v>
      </x:c>
      <x:c r="N24" s="6" t="n">
        <x:v>1338000</x:v>
      </x:c>
    </x:row>
    <x:row r="25" ht="24" customHeight="1">
      <x:c r="A25" s="2" t="str">
        <x:v>2026-10-02_Night</x:v>
      </x:c>
      <x:c r="B25" s="6" t="str">
        <x:v>ナイト</x:v>
      </x:c>
      <x:c r="C25" s="6" t="n">
        <x:v>775000</x:v>
      </x:c>
      <x:c r="D25" s="6" t="n">
        <x:v>2398500</x:v>
      </x:c>
      <x:c r="E25" s="6" t="n">
        <x:f>C25-D25</x:f>
        <x:v>-1623500</x:v>
      </x:c>
      <x:c r="F25" s="6" t="n">
        <x:f>F24+E25</x:f>
        <x:v>-27247500</x:v>
      </x:c>
      <x:c r="G25" s="6" t="n">
        <x:v>775000</x:v>
      </x:c>
      <x:c r="H25" s="6" t="n">
        <x:v>2398500</x:v>
      </x:c>
      <x:c r="I25" s="6" t="n">
        <x:v>478</x:v>
      </x:c>
      <x:c r="J25" s="6" t="n">
        <x:v>0</x:v>
      </x:c>
      <x:c r="K25" s="6" t="n">
        <x:v>0</x:v>
      </x:c>
      <x:c r="L25" s="6" t="n">
        <x:v>10</x:v>
      </x:c>
      <x:c r="M25" s="11" t="n">
        <x:v>0.7632692307692308</x:v>
      </x:c>
      <x:c r="N25" s="6" t="n">
        <x:v>1660500</x:v>
      </x:c>
    </x:row>
    <x:row r="26" ht="24" customHeight="1">
      <x:c r="A26" s="2" t="str">
        <x:v>2026-10-05_Day</x:v>
      </x:c>
      <x:c r="B26" s="6" t="str">
        <x:v>デイ</x:v>
      </x:c>
      <x:c r="C26" s="6" t="n">
        <x:v>441500</x:v>
      </x:c>
      <x:c r="D26" s="6" t="n">
        <x:v>1846500</x:v>
      </x:c>
      <x:c r="E26" s="6" t="n">
        <x:f>C26-D26</x:f>
        <x:v>-1405000</x:v>
      </x:c>
      <x:c r="F26" s="6" t="n">
        <x:f>F25+E26</x:f>
        <x:v>-28652500</x:v>
      </x:c>
      <x:c r="G26" s="6" t="n">
        <x:v>441500</x:v>
      </x:c>
      <x:c r="H26" s="6" t="n">
        <x:v>1846500</x:v>
      </x:c>
      <x:c r="I26" s="6" t="n">
        <x:v>273</x:v>
      </x:c>
      <x:c r="J26" s="6" t="n">
        <x:v>0</x:v>
      </x:c>
      <x:c r="K26" s="6" t="n">
        <x:v>0</x:v>
      </x:c>
      <x:c r="L26" s="6" t="n">
        <x:v>10</x:v>
      </x:c>
      <x:c r="M26" s="11" t="n">
        <x:v>0.8153968253968253</x:v>
      </x:c>
      <x:c r="N26" s="6" t="n">
        <x:v>1416000</x:v>
      </x:c>
    </x:row>
    <x:row r="27" ht="24" customHeight="1">
      <x:c r="A27" s="2" t="str">
        <x:v>2026-10-05_Night</x:v>
      </x:c>
      <x:c r="B27" s="6" t="str">
        <x:v>ナイト</x:v>
      </x:c>
      <x:c r="C27" s="6" t="n">
        <x:v>573500</x:v>
      </x:c>
      <x:c r="D27" s="6" t="n">
        <x:v>2037500</x:v>
      </x:c>
      <x:c r="E27" s="6" t="n">
        <x:f>C27-D27</x:f>
        <x:v>-1464000</x:v>
      </x:c>
      <x:c r="F27" s="6" t="n">
        <x:f>F26+E27</x:f>
        <x:v>-30116500</x:v>
      </x:c>
      <x:c r="G27" s="6" t="n">
        <x:v>573500</x:v>
      </x:c>
      <x:c r="H27" s="6" t="n">
        <x:v>2037500</x:v>
      </x:c>
      <x:c r="I27" s="6" t="n">
        <x:v>418</x:v>
      </x:c>
      <x:c r="J27" s="6" t="n">
        <x:v>0</x:v>
      </x:c>
      <x:c r="K27" s="6" t="n">
        <x:v>0</x:v>
      </x:c>
      <x:c r="L27" s="6" t="n">
        <x:v>10</x:v>
      </x:c>
      <x:c r="M27" s="11" t="n">
        <x:v>0.7450213675213675</x:v>
      </x:c>
      <x:c r="N27" s="6" t="n">
        <x:v>1543500</x:v>
      </x:c>
    </x:row>
    <x:row r="28" ht="24" customHeight="1">
      <x:c r="A28" s="2" t="str">
        <x:v>2026-10-06_Day</x:v>
      </x:c>
      <x:c r="B28" s="6" t="str">
        <x:v>デイ</x:v>
      </x:c>
      <x:c r="C28" s="6" t="n">
        <x:v>318000</x:v>
      </x:c>
      <x:c r="D28" s="6" t="n">
        <x:v>1587500</x:v>
      </x:c>
      <x:c r="E28" s="6" t="n">
        <x:f>C28-D28</x:f>
        <x:v>-1269500</x:v>
      </x:c>
      <x:c r="F28" s="6" t="n">
        <x:f>F27+E28</x:f>
        <x:v>-31386000</x:v>
      </x:c>
      <x:c r="G28" s="6" t="n">
        <x:v>318000</x:v>
      </x:c>
      <x:c r="H28" s="6" t="n">
        <x:v>1587500</x:v>
      </x:c>
      <x:c r="I28" s="6" t="n">
        <x:v>272</x:v>
      </x:c>
      <x:c r="J28" s="6" t="n">
        <x:v>0</x:v>
      </x:c>
      <x:c r="K28" s="6" t="n">
        <x:v>0</x:v>
      </x:c>
      <x:c r="L28" s="6" t="n">
        <x:v>10</x:v>
      </x:c>
      <x:c r="M28" s="11" t="n">
        <x:v>0.8055555555555556</x:v>
      </x:c>
      <x:c r="N28" s="6" t="n">
        <x:v>1279500</x:v>
      </x:c>
    </x:row>
    <x:row r="29" ht="24" customHeight="1">
      <x:c r="A29" s="2" t="str">
        <x:v>2026-10-06_Night</x:v>
      </x:c>
      <x:c r="B29" s="6" t="str">
        <x:v>ナイト</x:v>
      </x:c>
      <x:c r="C29" s="6" t="n">
        <x:v>289500</x:v>
      </x:c>
      <x:c r="D29" s="6" t="n">
        <x:v>1434000</x:v>
      </x:c>
      <x:c r="E29" s="6" t="n">
        <x:f>C29-D29</x:f>
        <x:v>-1144500</x:v>
      </x:c>
      <x:c r="F29" s="6" t="n">
        <x:f>F28+E29</x:f>
        <x:v>-32530500</x:v>
      </x:c>
      <x:c r="G29" s="6" t="n">
        <x:v>289500</x:v>
      </x:c>
      <x:c r="H29" s="6" t="n">
        <x:v>1434000</x:v>
      </x:c>
      <x:c r="I29" s="6" t="n">
        <x:v>407</x:v>
      </x:c>
      <x:c r="J29" s="6" t="n">
        <x:v>0</x:v>
      </x:c>
      <x:c r="K29" s="6" t="n">
        <x:v>0</x:v>
      </x:c>
      <x:c r="L29" s="6" t="n">
        <x:v>10</x:v>
      </x:c>
      <x:c r="M29" s="11" t="n">
        <x:v>0.7103846153846154</x:v>
      </x:c>
      <x:c r="N29" s="6" t="n">
        <x:v>1166500</x:v>
      </x:c>
    </x:row>
    <x:row r="30" ht="24" customHeight="1">
      <x:c r="A30" s="2" t="str">
        <x:v>2026-10-07_Day</x:v>
      </x:c>
      <x:c r="B30" s="6" t="str">
        <x:v>デイ</x:v>
      </x:c>
      <x:c r="C30" s="6" t="n">
        <x:v>441500</x:v>
      </x:c>
      <x:c r="D30" s="6" t="n">
        <x:v>1046500</x:v>
      </x:c>
      <x:c r="E30" s="6" t="n">
        <x:f>C30-D30</x:f>
        <x:v>-605000</x:v>
      </x:c>
      <x:c r="F30" s="6" t="n">
        <x:f>F29+E30</x:f>
        <x:v>-33135500</x:v>
      </x:c>
      <x:c r="G30" s="6" t="n">
        <x:v>441500</x:v>
      </x:c>
      <x:c r="H30" s="6" t="n">
        <x:v>1046500</x:v>
      </x:c>
      <x:c r="I30" s="6" t="n">
        <x:v>241</x:v>
      </x:c>
      <x:c r="J30" s="6" t="n">
        <x:v>0</x:v>
      </x:c>
      <x:c r="K30" s="6" t="n">
        <x:v>0</x:v>
      </x:c>
      <x:c r="L30" s="6" t="n">
        <x:v>10</x:v>
      </x:c>
      <x:c r="M30" s="11" t="n">
        <x:v>0.7966269841269841</x:v>
      </x:c>
      <x:c r="N30" s="6" t="n">
        <x:v>638500</x:v>
      </x:c>
    </x:row>
    <x:row r="31" ht="24" customHeight="1">
      <x:c r="A31" s="2" t="str">
        <x:v>2026-10-07_Night</x:v>
      </x:c>
      <x:c r="B31" s="6" t="str">
        <x:v>ナイト</x:v>
      </x:c>
      <x:c r="C31" s="6" t="n">
        <x:v>377500</x:v>
      </x:c>
      <x:c r="D31" s="6" t="n">
        <x:v>1753500</x:v>
      </x:c>
      <x:c r="E31" s="6" t="n">
        <x:f>C31-D31</x:f>
        <x:v>-1376000</x:v>
      </x:c>
      <x:c r="F31" s="6" t="n">
        <x:f>F30+E31</x:f>
        <x:v>-34511500</x:v>
      </x:c>
      <x:c r="G31" s="6" t="n">
        <x:v>377500</x:v>
      </x:c>
      <x:c r="H31" s="6" t="n">
        <x:v>1753500</x:v>
      </x:c>
      <x:c r="I31" s="6" t="n">
        <x:v>405</x:v>
      </x:c>
      <x:c r="J31" s="6" t="n">
        <x:v>0</x:v>
      </x:c>
      <x:c r="K31" s="6" t="n">
        <x:v>0</x:v>
      </x:c>
      <x:c r="L31" s="6" t="n">
        <x:v>10</x:v>
      </x:c>
      <x:c r="M31" s="11" t="n">
        <x:v>0.7280341880341881</x:v>
      </x:c>
      <x:c r="N31" s="6" t="n">
        <x:v>1376000</x:v>
      </x:c>
    </x:row>
    <x:row r="32" ht="24" customHeight="1">
      <x:c r="A32" s="2" t="str">
        <x:v>2026-10-08_Day</x:v>
      </x:c>
      <x:c r="B32" s="6" t="str">
        <x:v>デイ</x:v>
      </x:c>
      <x:c r="C32" s="6" t="n">
        <x:v>476000</x:v>
      </x:c>
      <x:c r="D32" s="6" t="n">
        <x:v>1499000</x:v>
      </x:c>
      <x:c r="E32" s="6" t="n">
        <x:f>C32-D32</x:f>
        <x:v>-1023000</x:v>
      </x:c>
      <x:c r="F32" s="6" t="n">
        <x:f>F31+E32</x:f>
        <x:v>-35534500</x:v>
      </x:c>
      <x:c r="G32" s="6" t="n">
        <x:v>476000</x:v>
      </x:c>
      <x:c r="H32" s="6" t="n">
        <x:v>1499000</x:v>
      </x:c>
      <x:c r="I32" s="6" t="n">
        <x:v>278</x:v>
      </x:c>
      <x:c r="J32" s="6" t="n">
        <x:v>0</x:v>
      </x:c>
      <x:c r="K32" s="6" t="n">
        <x:v>0</x:v>
      </x:c>
      <x:c r="L32" s="6" t="n">
        <x:v>10</x:v>
      </x:c>
      <x:c r="M32" s="11" t="n">
        <x:v>0.8134523809523809</x:v>
      </x:c>
      <x:c r="N32" s="6" t="n">
        <x:v>1038000</x:v>
      </x:c>
    </x:row>
    <x:row r="33" ht="24" customHeight="1">
      <x:c r="A33" s="2" t="str">
        <x:v>2026-10-08_Night</x:v>
      </x:c>
      <x:c r="B33" s="6" t="str">
        <x:v>ナイト</x:v>
      </x:c>
      <x:c r="C33" s="6" t="n">
        <x:v>611000</x:v>
      </x:c>
      <x:c r="D33" s="6" t="n">
        <x:v>2664000</x:v>
      </x:c>
      <x:c r="E33" s="6" t="n">
        <x:f>C33-D33</x:f>
        <x:v>-2053000</x:v>
      </x:c>
      <x:c r="F33" s="6" t="n">
        <x:f>F32+E33</x:f>
        <x:v>-37587500</x:v>
      </x:c>
      <x:c r="G33" s="6" t="n">
        <x:v>611000</x:v>
      </x:c>
      <x:c r="H33" s="6" t="n">
        <x:v>2664000</x:v>
      </x:c>
      <x:c r="I33" s="6" t="n">
        <x:v>446</x:v>
      </x:c>
      <x:c r="J33" s="6" t="n">
        <x:v>0</x:v>
      </x:c>
      <x:c r="K33" s="6" t="n">
        <x:v>0</x:v>
      </x:c>
      <x:c r="L33" s="6" t="n">
        <x:v>10</x:v>
      </x:c>
      <x:c r="M33" s="11" t="n">
        <x:v>0.7577564102564103</x:v>
      </x:c>
      <x:c r="N33" s="6" t="n">
        <x:v>2128000</x:v>
      </x:c>
    </x:row>
    <x:row r="34" ht="24" customHeight="1">
      <x:c r="A34" s="2" t="str">
        <x:v>2026-10-09_Day</x:v>
      </x:c>
      <x:c r="B34" s="6" t="str">
        <x:v>デイ</x:v>
      </x:c>
      <x:c r="C34" s="6" t="n">
        <x:v>714500</x:v>
      </x:c>
      <x:c r="D34" s="6" t="n">
        <x:v>1779000</x:v>
      </x:c>
      <x:c r="E34" s="6" t="n">
        <x:f>C34-D34</x:f>
        <x:v>-1064500</x:v>
      </x:c>
      <x:c r="F34" s="6" t="n">
        <x:f>F33+E34</x:f>
        <x:v>-38652000</x:v>
      </x:c>
      <x:c r="G34" s="6" t="n">
        <x:v>714500</x:v>
      </x:c>
      <x:c r="H34" s="6" t="n">
        <x:v>1779000</x:v>
      </x:c>
      <x:c r="I34" s="6" t="n">
        <x:v>281</x:v>
      </x:c>
      <x:c r="J34" s="6" t="n">
        <x:v>0</x:v>
      </x:c>
      <x:c r="K34" s="6" t="n">
        <x:v>0</x:v>
      </x:c>
      <x:c r="L34" s="6" t="n">
        <x:v>10</x:v>
      </x:c>
      <x:c r="M34" s="11" t="n">
        <x:v>0.8105555555555556</x:v>
      </x:c>
      <x:c r="N34" s="6" t="n">
        <x:v>1177000</x:v>
      </x:c>
    </x:row>
    <x:row r="35" ht="24" customHeight="1">
      <x:c r="A35" s="2" t="str">
        <x:v>2026-10-09_Night</x:v>
      </x:c>
      <x:c r="B35" s="6" t="str">
        <x:v>ナイト</x:v>
      </x:c>
      <x:c r="C35" s="6" t="n">
        <x:v>289000</x:v>
      </x:c>
      <x:c r="D35" s="6" t="n">
        <x:v>1425000</x:v>
      </x:c>
      <x:c r="E35" s="6" t="n">
        <x:f>C35-D35</x:f>
        <x:v>-1136000</x:v>
      </x:c>
      <x:c r="F35" s="6" t="n">
        <x:f>F34+E35</x:f>
        <x:v>-39788000</x:v>
      </x:c>
      <x:c r="G35" s="6" t="n">
        <x:v>289000</x:v>
      </x:c>
      <x:c r="H35" s="6" t="n">
        <x:v>1425000</x:v>
      </x:c>
      <x:c r="I35" s="6" t="n">
        <x:v>373</x:v>
      </x:c>
      <x:c r="J35" s="6" t="n">
        <x:v>0</x:v>
      </x:c>
      <x:c r="K35" s="6" t="n">
        <x:v>0</x:v>
      </x:c>
      <x:c r="L35" s="6" t="n">
        <x:v>10</x:v>
      </x:c>
      <x:c r="M35" s="11" t="n">
        <x:v>0.701602564102564</x:v>
      </x:c>
      <x:c r="N35" s="6" t="n">
        <x:v>1146000</x:v>
      </x:c>
    </x:row>
    <x:row r="36" ht="24" customHeight="1">
      <x:c r="A36" s="2" t="str">
        <x:v>2026-10-12_Day</x:v>
      </x:c>
      <x:c r="B36" s="6" t="str">
        <x:v>デイ</x:v>
      </x:c>
      <x:c r="C36" s="6" t="n">
        <x:v>152500</x:v>
      </x:c>
      <x:c r="D36" s="6" t="n">
        <x:v>856500</x:v>
      </x:c>
      <x:c r="E36" s="6" t="n">
        <x:f>C36-D36</x:f>
        <x:v>-704000</x:v>
      </x:c>
      <x:c r="F36" s="6" t="n">
        <x:f>F35+E36</x:f>
        <x:v>-40492000</x:v>
      </x:c>
      <x:c r="G36" s="6" t="n">
        <x:v>152500</x:v>
      </x:c>
      <x:c r="H36" s="6" t="n">
        <x:v>856500</x:v>
      </x:c>
      <x:c r="I36" s="6" t="n">
        <x:v>193</x:v>
      </x:c>
      <x:c r="J36" s="6" t="n">
        <x:v>0</x:v>
      </x:c>
      <x:c r="K36" s="6" t="n">
        <x:v>0</x:v>
      </x:c>
      <x:c r="L36" s="6" t="n">
        <x:v>10</x:v>
      </x:c>
      <x:c r="M36" s="11" t="n">
        <x:v>0.6792857142857143</x:v>
      </x:c>
      <x:c r="N36" s="6" t="n">
        <x:v>710000</x:v>
      </x:c>
    </x:row>
    <x:row r="37" ht="24" customHeight="1">
      <x:c r="A37" s="2" t="str">
        <x:v>2026-10-12_Night</x:v>
      </x:c>
      <x:c r="B37" s="6" t="str">
        <x:v>ナイト</x:v>
      </x:c>
      <x:c r="C37" s="6" t="n">
        <x:v>118000</x:v>
      </x:c>
      <x:c r="D37" s="6" t="n">
        <x:v>1079000</x:v>
      </x:c>
      <x:c r="E37" s="6" t="n">
        <x:f>C37-D37</x:f>
        <x:v>-961000</x:v>
      </x:c>
      <x:c r="F37" s="6" t="n">
        <x:f>F36+E37</x:f>
        <x:v>-41453000</x:v>
      </x:c>
      <x:c r="G37" s="6" t="n">
        <x:v>118000</x:v>
      </x:c>
      <x:c r="H37" s="6" t="n">
        <x:v>1079000</x:v>
      </x:c>
      <x:c r="I37" s="6" t="n">
        <x:v>301</x:v>
      </x:c>
      <x:c r="J37" s="6" t="n">
        <x:v>0</x:v>
      </x:c>
      <x:c r="K37" s="6" t="n">
        <x:v>0</x:v>
      </x:c>
      <x:c r="L37" s="6" t="n">
        <x:v>10</x:v>
      </x:c>
      <x:c r="M37" s="11" t="n">
        <x:v>0.6782905982905983</x:v>
      </x:c>
      <x:c r="N37" s="6" t="n">
        <x:v>975000</x:v>
      </x:c>
    </x:row>
    <x:row r="38" ht="24" customHeight="1">
      <x:c r="A38" s="2" t="str">
        <x:v>2026-10-13_Day</x:v>
      </x:c>
      <x:c r="B38" s="6" t="str">
        <x:v>デイ</x:v>
      </x:c>
      <x:c r="C38" s="6" t="n">
        <x:v>598500</x:v>
      </x:c>
      <x:c r="D38" s="6" t="n">
        <x:v>2217000</x:v>
      </x:c>
      <x:c r="E38" s="6" t="n">
        <x:f>C38-D38</x:f>
        <x:v>-1618500</x:v>
      </x:c>
      <x:c r="F38" s="6" t="n">
        <x:f>F37+E38</x:f>
        <x:v>-43071500</x:v>
      </x:c>
      <x:c r="G38" s="6" t="n">
        <x:v>598500</x:v>
      </x:c>
      <x:c r="H38" s="6" t="n">
        <x:v>2217000</x:v>
      </x:c>
      <x:c r="I38" s="6" t="n">
        <x:v>297</x:v>
      </x:c>
      <x:c r="J38" s="6" t="n">
        <x:v>0</x:v>
      </x:c>
      <x:c r="K38" s="6" t="n">
        <x:v>0</x:v>
      </x:c>
      <x:c r="L38" s="6" t="n">
        <x:v>10</x:v>
      </x:c>
      <x:c r="M38" s="11" t="n">
        <x:v>0.8101190476190476</x:v>
      </x:c>
      <x:c r="N38" s="6" t="n">
        <x:v>1621000</x:v>
      </x:c>
    </x:row>
    <x:row r="39" ht="24" customHeight="1">
      <x:c r="A39" s="2" t="str">
        <x:v>2026-10-13_Night</x:v>
      </x:c>
      <x:c r="B39" s="6" t="str">
        <x:v>ナイト</x:v>
      </x:c>
      <x:c r="C39" s="6" t="n">
        <x:v>196500</x:v>
      </x:c>
      <x:c r="D39" s="6" t="n">
        <x:v>1287500</x:v>
      </x:c>
      <x:c r="E39" s="6" t="n">
        <x:f>C39-D39</x:f>
        <x:v>-1091000</x:v>
      </x:c>
      <x:c r="F39" s="6" t="n">
        <x:f>F38+E39</x:f>
        <x:v>-44162500</x:v>
      </x:c>
      <x:c r="G39" s="6" t="n">
        <x:v>196500</x:v>
      </x:c>
      <x:c r="H39" s="6" t="n">
        <x:v>1287500</x:v>
      </x:c>
      <x:c r="I39" s="6" t="n">
        <x:v>366</x:v>
      </x:c>
      <x:c r="J39" s="6" t="n">
        <x:v>0</x:v>
      </x:c>
      <x:c r="K39" s="6" t="n">
        <x:v>0</x:v>
      </x:c>
      <x:c r="L39" s="6" t="n">
        <x:v>10</x:v>
      </x:c>
      <x:c r="M39" s="11" t="n">
        <x:v>0.7028205128205128</x:v>
      </x:c>
      <x:c r="N39" s="6" t="n">
        <x:v>1103000</x:v>
      </x:c>
    </x:row>
    <x:row r="40" ht="24" customHeight="1">
      <x:c r="A40" s="2" t="str">
        <x:v>2026-10-14_Day</x:v>
      </x:c>
      <x:c r="B40" s="6" t="str">
        <x:v>デイ</x:v>
      </x:c>
      <x:c r="C40" s="6" t="n">
        <x:v>373500</x:v>
      </x:c>
      <x:c r="D40" s="6" t="n">
        <x:v>1613000</x:v>
      </x:c>
      <x:c r="E40" s="6" t="n">
        <x:f>C40-D40</x:f>
        <x:v>-1239500</x:v>
      </x:c>
      <x:c r="F40" s="6" t="n">
        <x:f>F39+E40</x:f>
        <x:v>-45402000</x:v>
      </x:c>
      <x:c r="G40" s="6" t="n">
        <x:v>373500</x:v>
      </x:c>
      <x:c r="H40" s="6" t="n">
        <x:v>1613000</x:v>
      </x:c>
      <x:c r="I40" s="6" t="n">
        <x:v>269</x:v>
      </x:c>
      <x:c r="J40" s="6" t="n">
        <x:v>0</x:v>
      </x:c>
      <x:c r="K40" s="6" t="n">
        <x:v>0</x:v>
      </x:c>
      <x:c r="L40" s="6" t="n">
        <x:v>10</x:v>
      </x:c>
      <x:c r="M40" s="11" t="n">
        <x:v>0.795952380952381</x:v>
      </x:c>
      <x:c r="N40" s="6" t="n">
        <x:v>1254500</x:v>
      </x:c>
    </x:row>
    <x:row r="41" ht="24" customHeight="1">
      <x:c r="A41" s="2" t="str">
        <x:v>2026-10-14_Night</x:v>
      </x:c>
      <x:c r="B41" s="6" t="str">
        <x:v>ナイト</x:v>
      </x:c>
      <x:c r="C41" s="6" t="n">
        <x:v>494500</x:v>
      </x:c>
      <x:c r="D41" s="6" t="n">
        <x:v>2046000</x:v>
      </x:c>
      <x:c r="E41" s="6" t="n">
        <x:f>C41-D41</x:f>
        <x:v>-1551500</x:v>
      </x:c>
      <x:c r="F41" s="6" t="n">
        <x:f>F40+E41</x:f>
        <x:v>-46953500</x:v>
      </x:c>
      <x:c r="G41" s="6" t="n">
        <x:v>494500</x:v>
      </x:c>
      <x:c r="H41" s="6" t="n">
        <x:v>2046000</x:v>
      </x:c>
      <x:c r="I41" s="6" t="n">
        <x:v>416</x:v>
      </x:c>
      <x:c r="J41" s="6" t="n">
        <x:v>0</x:v>
      </x:c>
      <x:c r="K41" s="6" t="n">
        <x:v>0</x:v>
      </x:c>
      <x:c r="L41" s="6" t="n">
        <x:v>10</x:v>
      </x:c>
      <x:c r="M41" s="11" t="n">
        <x:v>0.7783333333333333</x:v>
      </x:c>
      <x:c r="N41" s="6" t="n">
        <x:v>1558000</x:v>
      </x:c>
    </x:row>
    <x:row r="42" ht="24" customHeight="1">
      <x:c r="A42" s="2" t="str">
        <x:v>2026-10-15_Day</x:v>
      </x:c>
      <x:c r="B42" s="6" t="str">
        <x:v>デイ</x:v>
      </x:c>
      <x:c r="C42" s="6" t="n">
        <x:v>1259000</x:v>
      </x:c>
      <x:c r="D42" s="6" t="n">
        <x:v>2681000</x:v>
      </x:c>
      <x:c r="E42" s="6" t="n">
        <x:f>C42-D42</x:f>
        <x:v>-1422000</x:v>
      </x:c>
      <x:c r="F42" s="6" t="n">
        <x:f>F41+E42</x:f>
        <x:v>-48375500</x:v>
      </x:c>
      <x:c r="G42" s="6" t="n">
        <x:v>1259000</x:v>
      </x:c>
      <x:c r="H42" s="6" t="n">
        <x:v>2681000</x:v>
      </x:c>
      <x:c r="I42" s="6" t="n">
        <x:v>311</x:v>
      </x:c>
      <x:c r="J42" s="6" t="n">
        <x:v>0</x:v>
      </x:c>
      <x:c r="K42" s="6" t="n">
        <x:v>0</x:v>
      </x:c>
      <x:c r="L42" s="6" t="n">
        <x:v>10</x:v>
      </x:c>
      <x:c r="M42" s="11" t="n">
        <x:v>0.8226190476190476</x:v>
      </x:c>
      <x:c r="N42" s="6" t="n">
        <x:v>1484000</x:v>
      </x:c>
    </x:row>
    <x:row r="43" ht="24" customHeight="1">
      <x:c r="A43" s="2" t="str">
        <x:v>2026-10-15_Night</x:v>
      </x:c>
      <x:c r="B43" s="6" t="str">
        <x:v>ナイト</x:v>
      </x:c>
      <x:c r="C43" s="6" t="n">
        <x:v>871500</x:v>
      </x:c>
      <x:c r="D43" s="6" t="n">
        <x:v>2388000</x:v>
      </x:c>
      <x:c r="E43" s="6" t="n">
        <x:f>C43-D43</x:f>
        <x:v>-1516500</x:v>
      </x:c>
      <x:c r="F43" s="6" t="n">
        <x:f>F42+E43</x:f>
        <x:v>-49892000</x:v>
      </x:c>
      <x:c r="G43" s="6" t="n">
        <x:v>871500</x:v>
      </x:c>
      <x:c r="H43" s="6" t="n">
        <x:v>2388000</x:v>
      </x:c>
      <x:c r="I43" s="6" t="n">
        <x:v>449</x:v>
      </x:c>
      <x:c r="J43" s="6" t="n">
        <x:v>0</x:v>
      </x:c>
      <x:c r="K43" s="6" t="n">
        <x:v>0</x:v>
      </x:c>
      <x:c r="L43" s="6" t="n">
        <x:v>10</x:v>
      </x:c>
      <x:c r="M43" s="11" t="n">
        <x:v>0.7725427350427351</x:v>
      </x:c>
      <x:c r="N43" s="6" t="n">
        <x:v>1579000</x:v>
      </x:c>
    </x:row>
    <x:row r="44" ht="24" customHeight="1">
      <x:c r="A44" s="2" t="str">
        <x:v>2026-10-16_Day</x:v>
      </x:c>
      <x:c r="B44" s="6" t="str">
        <x:v>デイ</x:v>
      </x:c>
      <x:c r="C44" s="6" t="n">
        <x:v>780000</x:v>
      </x:c>
      <x:c r="D44" s="6" t="n">
        <x:v>2230500</x:v>
      </x:c>
      <x:c r="E44" s="6" t="n">
        <x:f>C44-D44</x:f>
        <x:v>-1450500</x:v>
      </x:c>
      <x:c r="F44" s="6" t="n">
        <x:f>F43+E44</x:f>
        <x:v>-51342500</x:v>
      </x:c>
      <x:c r="G44" s="6" t="n">
        <x:v>780000</x:v>
      </x:c>
      <x:c r="H44" s="6" t="n">
        <x:v>2230500</x:v>
      </x:c>
      <x:c r="I44" s="6" t="n">
        <x:v>310</x:v>
      </x:c>
      <x:c r="J44" s="6" t="n">
        <x:v>0</x:v>
      </x:c>
      <x:c r="K44" s="6" t="n">
        <x:v>0</x:v>
      </x:c>
      <x:c r="L44" s="6" t="n">
        <x:v>10</x:v>
      </x:c>
      <x:c r="M44" s="11" t="n">
        <x:v>0.7984523809523809</x:v>
      </x:c>
      <x:c r="N44" s="6" t="n">
        <x:v>1548500</x:v>
      </x:c>
    </x:row>
    <x:row r="45" ht="24" customHeight="1">
      <x:c r="A45" s="2" t="str">
        <x:v>2026-10-16_Night</x:v>
      </x:c>
      <x:c r="B45" s="6" t="str">
        <x:v>ナイト</x:v>
      </x:c>
      <x:c r="C45" s="6" t="n">
        <x:v>869500</x:v>
      </x:c>
      <x:c r="D45" s="6" t="n">
        <x:v>2679500</x:v>
      </x:c>
      <x:c r="E45" s="6" t="n">
        <x:f>C45-D45</x:f>
        <x:v>-1810000</x:v>
      </x:c>
      <x:c r="F45" s="6" t="n">
        <x:f>F44+E45</x:f>
        <x:v>-53152500</x:v>
      </x:c>
      <x:c r="G45" s="6" t="n">
        <x:v>869500</x:v>
      </x:c>
      <x:c r="H45" s="6" t="n">
        <x:v>2679500</x:v>
      </x:c>
      <x:c r="I45" s="6" t="n">
        <x:v>462</x:v>
      </x:c>
      <x:c r="J45" s="6" t="n">
        <x:v>0</x:v>
      </x:c>
      <x:c r="K45" s="6" t="n">
        <x:v>0</x:v>
      </x:c>
      <x:c r="L45" s="6" t="n">
        <x:v>10</x:v>
      </x:c>
      <x:c r="M45" s="11" t="n">
        <x:v>0.804465811965812</x:v>
      </x:c>
      <x:c r="N45" s="6" t="n">
        <x:v>1865000</x:v>
      </x:c>
    </x:row>
    <x:row r="46" ht="24" customHeight="1">
      <x:c r="A46" s="2" t="str">
        <x:v>2026-10-19_Day</x:v>
      </x:c>
      <x:c r="B46" s="6" t="str">
        <x:v>デイ</x:v>
      </x:c>
      <x:c r="C46" s="6" t="n">
        <x:v>776000</x:v>
      </x:c>
      <x:c r="D46" s="6" t="n">
        <x:v>2141000</x:v>
      </x:c>
      <x:c r="E46" s="6" t="n">
        <x:f>C46-D46</x:f>
        <x:v>-1365000</x:v>
      </x:c>
      <x:c r="F46" s="6" t="n">
        <x:f>F45+E46</x:f>
        <x:v>-54517500</x:v>
      </x:c>
      <x:c r="G46" s="6" t="n">
        <x:v>776000</x:v>
      </x:c>
      <x:c r="H46" s="6" t="n">
        <x:v>2141000</x:v>
      </x:c>
      <x:c r="I46" s="6" t="n">
        <x:v>303</x:v>
      </x:c>
      <x:c r="J46" s="6" t="n">
        <x:v>0</x:v>
      </x:c>
      <x:c r="K46" s="6" t="n">
        <x:v>0</x:v>
      </x:c>
      <x:c r="L46" s="6" t="n">
        <x:v>10</x:v>
      </x:c>
      <x:c r="M46" s="11" t="n">
        <x:v>0.8003571428571429</x:v>
      </x:c>
      <x:c r="N46" s="6" t="n">
        <x:v>1430000</x:v>
      </x:c>
    </x:row>
    <x:row r="47" ht="24" customHeight="1">
      <x:c r="A47" s="2" t="str">
        <x:v>2026-10-19_Night</x:v>
      </x:c>
      <x:c r="B47" s="6" t="str">
        <x:v>ナイト</x:v>
      </x:c>
      <x:c r="C47" s="6" t="n">
        <x:v>452000</x:v>
      </x:c>
      <x:c r="D47" s="6" t="n">
        <x:v>1831500</x:v>
      </x:c>
      <x:c r="E47" s="6" t="n">
        <x:f>C47-D47</x:f>
        <x:v>-1379500</x:v>
      </x:c>
      <x:c r="F47" s="6" t="n">
        <x:f>F46+E47</x:f>
        <x:v>-55897000</x:v>
      </x:c>
      <x:c r="G47" s="6" t="n">
        <x:v>452000</x:v>
      </x:c>
      <x:c r="H47" s="6" t="n">
        <x:v>1831500</x:v>
      </x:c>
      <x:c r="I47" s="6" t="n">
        <x:v>402</x:v>
      </x:c>
      <x:c r="J47" s="6" t="n">
        <x:v>0</x:v>
      </x:c>
      <x:c r="K47" s="6" t="n">
        <x:v>0</x:v>
      </x:c>
      <x:c r="L47" s="6" t="n">
        <x:v>10</x:v>
      </x:c>
      <x:c r="M47" s="11" t="n">
        <x:v>0.7462606837606838</x:v>
      </x:c>
      <x:c r="N47" s="6" t="n">
        <x:v>1379500</x:v>
      </x:c>
    </x:row>
    <x:row r="48" ht="24" customHeight="1">
      <x:c r="A48" s="2" t="str">
        <x:v>2026-10-20_Day</x:v>
      </x:c>
      <x:c r="B48" s="6" t="str">
        <x:v>デイ</x:v>
      </x:c>
      <x:c r="C48" s="6" t="n">
        <x:v>868000</x:v>
      </x:c>
      <x:c r="D48" s="6" t="n">
        <x:v>2025500</x:v>
      </x:c>
      <x:c r="E48" s="6" t="n">
        <x:f>C48-D48</x:f>
        <x:v>-1157500</x:v>
      </x:c>
      <x:c r="F48" s="6" t="n">
        <x:f>F47+E48</x:f>
        <x:v>-57054500</x:v>
      </x:c>
      <x:c r="G48" s="6" t="n">
        <x:v>868000</x:v>
      </x:c>
      <x:c r="H48" s="6" t="n">
        <x:v>2025500</x:v>
      </x:c>
      <x:c r="I48" s="6" t="n">
        <x:v>301</x:v>
      </x:c>
      <x:c r="J48" s="6" t="n">
        <x:v>0</x:v>
      </x:c>
      <x:c r="K48" s="6" t="n">
        <x:v>0</x:v>
      </x:c>
      <x:c r="L48" s="6" t="n">
        <x:v>10</x:v>
      </x:c>
      <x:c r="M48" s="11" t="n">
        <x:v>0.8102380952380952</x:v>
      </x:c>
      <x:c r="N48" s="6" t="n">
        <x:v>1187500</x:v>
      </x:c>
    </x:row>
    <x:row r="49" ht="24" customHeight="1">
      <x:c r="A49" s="2" t="str">
        <x:v>2026-10-20_Night</x:v>
      </x:c>
      <x:c r="B49" s="6" t="str">
        <x:v>ナイト</x:v>
      </x:c>
      <x:c r="C49" s="6" t="n">
        <x:v>723000</x:v>
      </x:c>
      <x:c r="D49" s="6" t="n">
        <x:v>2344000</x:v>
      </x:c>
      <x:c r="E49" s="6" t="n">
        <x:f>C49-D49</x:f>
        <x:v>-1621000</x:v>
      </x:c>
      <x:c r="F49" s="6" t="n">
        <x:f>F48+E49</x:f>
        <x:v>-58675500</x:v>
      </x:c>
      <x:c r="G49" s="6" t="n">
        <x:v>723000</x:v>
      </x:c>
      <x:c r="H49" s="6" t="n">
        <x:v>2344000</x:v>
      </x:c>
      <x:c r="I49" s="6" t="n">
        <x:v>459</x:v>
      </x:c>
      <x:c r="J49" s="6" t="n">
        <x:v>0</x:v>
      </x:c>
      <x:c r="K49" s="6" t="n">
        <x:v>0</x:v>
      </x:c>
      <x:c r="L49" s="6" t="n">
        <x:v>10</x:v>
      </x:c>
      <x:c r="M49" s="11" t="n">
        <x:v>0.7760683760683761</x:v>
      </x:c>
      <x:c r="N49" s="6" t="n">
        <x:v>1621000</x:v>
      </x:c>
    </x:row>
    <x:row r="50" ht="24" customHeight="1">
      <x:c r="A50" s="2" t="str">
        <x:v>2026-10-21_Day</x:v>
      </x:c>
      <x:c r="B50" s="6" t="str">
        <x:v>デイ</x:v>
      </x:c>
      <x:c r="C50" s="6" t="n">
        <x:v>525500</x:v>
      </x:c>
      <x:c r="D50" s="6" t="n">
        <x:v>1836500</x:v>
      </x:c>
      <x:c r="E50" s="6" t="n">
        <x:f>C50-D50</x:f>
        <x:v>-1311000</x:v>
      </x:c>
      <x:c r="F50" s="6" t="n">
        <x:f>F49+E50</x:f>
        <x:v>-59986500</x:v>
      </x:c>
      <x:c r="G50" s="6" t="n">
        <x:v>525500</x:v>
      </x:c>
      <x:c r="H50" s="6" t="n">
        <x:v>1836500</x:v>
      </x:c>
      <x:c r="I50" s="6" t="n">
        <x:v>287</x:v>
      </x:c>
      <x:c r="J50" s="6" t="n">
        <x:v>0</x:v>
      </x:c>
      <x:c r="K50" s="6" t="n">
        <x:v>0</x:v>
      </x:c>
      <x:c r="L50" s="6" t="n">
        <x:v>10</x:v>
      </x:c>
      <x:c r="M50" s="11" t="n">
        <x:v>0.8154761904761905</x:v>
      </x:c>
      <x:c r="N50" s="6" t="n">
        <x:v>1349500</x:v>
      </x:c>
    </x:row>
    <x:row r="51" ht="24" customHeight="1">
      <x:c r="A51" s="2" t="str">
        <x:v>2026-10-21_Night</x:v>
      </x:c>
      <x:c r="B51" s="6" t="str">
        <x:v>ナイト</x:v>
      </x:c>
      <x:c r="C51" s="6" t="n">
        <x:v>555500</x:v>
      </x:c>
      <x:c r="D51" s="6" t="n">
        <x:v>1623000</x:v>
      </x:c>
      <x:c r="E51" s="6" t="n">
        <x:f>C51-D51</x:f>
        <x:v>-1067500</x:v>
      </x:c>
      <x:c r="F51" s="6" t="n">
        <x:f>F50+E51</x:f>
        <x:v>-61054000</x:v>
      </x:c>
      <x:c r="G51" s="6" t="n">
        <x:v>555500</x:v>
      </x:c>
      <x:c r="H51" s="6" t="n">
        <x:v>1623000</x:v>
      </x:c>
      <x:c r="I51" s="6" t="n">
        <x:v>411</x:v>
      </x:c>
      <x:c r="J51" s="6" t="n">
        <x:v>0</x:v>
      </x:c>
      <x:c r="K51" s="6" t="n">
        <x:v>0</x:v>
      </x:c>
      <x:c r="L51" s="6" t="n">
        <x:v>10</x:v>
      </x:c>
      <x:c r="M51" s="11" t="n">
        <x:v>0.742991452991453</x:v>
      </x:c>
      <x:c r="N51" s="6" t="n">
        <x:v>1067500</x:v>
      </x:c>
    </x:row>
    <x:row r="52" ht="24" customHeight="1">
      <x:c r="A52" s="2" t="str">
        <x:v>2026-10-22_Day</x:v>
      </x:c>
      <x:c r="B52" s="6" t="str">
        <x:v>デイ</x:v>
      </x:c>
      <x:c r="C52" s="6" t="n">
        <x:v>840500</x:v>
      </x:c>
      <x:c r="D52" s="6" t="n">
        <x:v>1755000</x:v>
      </x:c>
      <x:c r="E52" s="6" t="n">
        <x:f>C52-D52</x:f>
        <x:v>-914500</x:v>
      </x:c>
      <x:c r="F52" s="6" t="n">
        <x:f>F51+E52</x:f>
        <x:v>-61968500</x:v>
      </x:c>
      <x:c r="G52" s="6" t="n">
        <x:v>840500</x:v>
      </x:c>
      <x:c r="H52" s="6" t="n">
        <x:v>1755000</x:v>
      </x:c>
      <x:c r="I52" s="6" t="n">
        <x:v>293</x:v>
      </x:c>
      <x:c r="J52" s="6" t="n">
        <x:v>0</x:v>
      </x:c>
      <x:c r="K52" s="6" t="n">
        <x:v>0</x:v>
      </x:c>
      <x:c r="L52" s="6" t="n">
        <x:v>10</x:v>
      </x:c>
      <x:c r="M52" s="11" t="n">
        <x:v>0.8187698412698413</x:v>
      </x:c>
      <x:c r="N52" s="6" t="n">
        <x:v>1052000</x:v>
      </x:c>
    </x:row>
    <x:row r="53" ht="24" customHeight="1">
      <x:c r="A53" s="2" t="str">
        <x:v>2026-10-22_Night</x:v>
      </x:c>
      <x:c r="B53" s="6" t="str">
        <x:v>ナイト</x:v>
      </x:c>
      <x:c r="C53" s="6" t="n">
        <x:v>817500</x:v>
      </x:c>
      <x:c r="D53" s="6" t="n">
        <x:v>2381500</x:v>
      </x:c>
      <x:c r="E53" s="6" t="n">
        <x:f>C53-D53</x:f>
        <x:v>-1564000</x:v>
      </x:c>
      <x:c r="F53" s="6" t="n">
        <x:f>F52+E53</x:f>
        <x:v>-63532500</x:v>
      </x:c>
      <x:c r="G53" s="6" t="n">
        <x:v>817500</x:v>
      </x:c>
      <x:c r="H53" s="6" t="n">
        <x:v>2381500</x:v>
      </x:c>
      <x:c r="I53" s="6" t="n">
        <x:v>460</x:v>
      </x:c>
      <x:c r="J53" s="6" t="n">
        <x:v>0</x:v>
      </x:c>
      <x:c r="K53" s="6" t="n">
        <x:v>0</x:v>
      </x:c>
      <x:c r="L53" s="6" t="n">
        <x:v>10</x:v>
      </x:c>
      <x:c r="M53" s="11" t="n">
        <x:v>0.7794230769230769</x:v>
      </x:c>
      <x:c r="N53" s="6" t="n">
        <x:v>1564000</x:v>
      </x:c>
    </x:row>
    <x:row r="54" ht="24" customHeight="1">
      <x:c r="A54" s="2" t="str">
        <x:v>2026-10-23_Day</x:v>
      </x:c>
      <x:c r="B54" s="6" t="str">
        <x:v>デイ</x:v>
      </x:c>
      <x:c r="C54" s="6" t="n">
        <x:v>1686500</x:v>
      </x:c>
      <x:c r="D54" s="6" t="n">
        <x:v>3131000</x:v>
      </x:c>
      <x:c r="E54" s="6" t="n">
        <x:f>C54-D54</x:f>
        <x:v>-1444500</x:v>
      </x:c>
      <x:c r="F54" s="6" t="n">
        <x:f>F53+E54</x:f>
        <x:v>-64977000</x:v>
      </x:c>
      <x:c r="G54" s="6" t="n">
        <x:v>1686500</x:v>
      </x:c>
      <x:c r="H54" s="6" t="n">
        <x:v>3131000</x:v>
      </x:c>
      <x:c r="I54" s="6" t="n">
        <x:v>351</x:v>
      </x:c>
      <x:c r="J54" s="6" t="n">
        <x:v>0</x:v>
      </x:c>
      <x:c r="K54" s="6" t="n">
        <x:v>0</x:v>
      </x:c>
      <x:c r="L54" s="6" t="n">
        <x:v>10</x:v>
      </x:c>
      <x:c r="M54" s="11" t="n">
        <x:v>0.8057142857142857</x:v>
      </x:c>
      <x:c r="N54" s="6" t="n">
        <x:v>1525500</x:v>
      </x:c>
    </x:row>
    <x:row r="55" ht="24" customHeight="1">
      <x:c r="A55" s="2" t="str">
        <x:v>2026-10-23_Night</x:v>
      </x:c>
      <x:c r="B55" s="6" t="str">
        <x:v>ナイト</x:v>
      </x:c>
      <x:c r="C55" s="6" t="n">
        <x:v>798000</x:v>
      </x:c>
      <x:c r="D55" s="6" t="n">
        <x:v>2837500</x:v>
      </x:c>
      <x:c r="E55" s="6" t="n">
        <x:f>C55-D55</x:f>
        <x:v>-2039500</x:v>
      </x:c>
      <x:c r="F55" s="6" t="n">
        <x:f>F54+E55</x:f>
        <x:v>-67016500</x:v>
      </x:c>
      <x:c r="G55" s="6" t="n">
        <x:v>798000</x:v>
      </x:c>
      <x:c r="H55" s="6" t="n">
        <x:v>2837500</x:v>
      </x:c>
      <x:c r="I55" s="6" t="n">
        <x:v>465</x:v>
      </x:c>
      <x:c r="J55" s="6" t="n">
        <x:v>0</x:v>
      </x:c>
      <x:c r="K55" s="6" t="n">
        <x:v>0</x:v>
      </x:c>
      <x:c r="L55" s="6" t="n">
        <x:v>10</x:v>
      </x:c>
      <x:c r="M55" s="11" t="n">
        <x:v>0.7415811965811966</x:v>
      </x:c>
      <x:c r="N55" s="6" t="n">
        <x:v>2041000</x:v>
      </x:c>
    </x:row>
    <x:row r="56" ht="24" customHeight="1">
      <x:c r="A56" s="2" t="str">
        <x:v>2026-10-26_Day</x:v>
      </x:c>
      <x:c r="B56" s="6" t="str">
        <x:v>デイ</x:v>
      </x:c>
      <x:c r="C56" s="6" t="n">
        <x:v>885000</x:v>
      </x:c>
      <x:c r="D56" s="6" t="n">
        <x:v>2805000</x:v>
      </x:c>
      <x:c r="E56" s="6" t="n">
        <x:f>C56-D56</x:f>
        <x:v>-1920000</x:v>
      </x:c>
      <x:c r="F56" s="6" t="n">
        <x:f>F55+E56</x:f>
        <x:v>-68936500</x:v>
      </x:c>
      <x:c r="G56" s="6" t="n">
        <x:v>885000</x:v>
      </x:c>
      <x:c r="H56" s="6" t="n">
        <x:v>2805000</x:v>
      </x:c>
      <x:c r="I56" s="6" t="n">
        <x:v>306</x:v>
      </x:c>
      <x:c r="J56" s="6" t="n">
        <x:v>0</x:v>
      </x:c>
      <x:c r="K56" s="6" t="n">
        <x:v>0</x:v>
      </x:c>
      <x:c r="L56" s="6" t="n">
        <x:v>10</x:v>
      </x:c>
      <x:c r="M56" s="11" t="n">
        <x:v>0.8091666666666667</x:v>
      </x:c>
      <x:c r="N56" s="6" t="n">
        <x:v>1931000</x:v>
      </x:c>
    </x:row>
    <x:row r="57" ht="24" customHeight="1">
      <x:c r="A57" s="15" t="str">
        <x:v>累計／平均／最大</x:v>
      </x:c>
      <x:c r="B57" s="16"/>
      <x:c r="C57" s="16" t="n">
        <x:f>SUM(C6:C56)</x:f>
        <x:v>30886000</x:v>
      </x:c>
      <x:c r="D57" s="16" t="n">
        <x:f>SUM(D6:D56)</x:f>
        <x:v>99822500</x:v>
      </x:c>
      <x:c r="E57" s="16" t="n">
        <x:f>C57-D57</x:f>
        <x:v>-68936500</x:v>
      </x:c>
      <x:c r="F57" s="16" t="n">
        <x:f>F56</x:f>
        <x:v>-68936500</x:v>
      </x:c>
      <x:c r="G57" s="16" t="n">
        <x:f>SUM(G6:G56)</x:f>
        <x:v>30886000</x:v>
      </x:c>
      <x:c r="H57" s="16" t="n">
        <x:f>SUM(H6:H56)</x:f>
        <x:v>99822500</x:v>
      </x:c>
      <x:c r="I57" s="16" t="n">
        <x:f>SUM(I6:I56)</x:f>
        <x:v>17591</x:v>
      </x:c>
      <x:c r="J57" s="16" t="n">
        <x:f>SUM(J6:J56)</x:f>
        <x:v>0</x:v>
      </x:c>
      <x:c r="K57" s="16" t="n">
        <x:f>SUM(K6:K56)</x:f>
        <x:v>0</x:v>
      </x:c>
      <x:c r="L57" s="16" t="n">
        <x:f>MAX(L6:L56)</x:f>
        <x:v>10</x:v>
      </x:c>
      <x:c r="M57" s="17" t="n">
        <x:f>AVERAGE(M6:M56)</x:f>
        <x:v>0.7655698005698004</x:v>
      </x:c>
      <x:c r="N57" s="16" t="n">
        <x:f>MAX(N6:N56)</x:f>
        <x:v>2385500</x:v>
      </x:c>
    </x:row>
  </x:sheetData>
  <x:conditionalFormatting sqref="E6:F56">
    <x:cfRule type="cellIs" dxfId="43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ad06cfb68df4e5a"/>
  </x:tableParts>
</x:worksheet>
</file>

<file path=xl/worksheets/sheet4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1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4" customHeight="1">
      <x:c r="A1" s="3" t="str">
        <x:v>TOPIX M03　各セッションの利益・損失・収支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A2" s="4" t="str">
        <x:v>2026/09/21〜10/26デイ・51完了場。日経mini／TOPIXmini各上限10枚・手数料0。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4" customHeight="1">
      <x:c r="A3" s="4" t="str">
        <x:v>60秒の時間加重平均を30秒前と比較。入口だけ傾き比例枚数、利益追尾＋傾き反転・増勢後の半減で返済。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4" customHeight="1">
      <x:c r="A4" s="4" t="str">
        <x:v>利益・損失＝FIFO返済配賦別。親＝初回から全返済まで。ラージ気配による模型で、mini実約定の検証ではありません。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42" customHeight="1">
      <x:c r="A5" s="10" t="str">
        <x:v>セッション</x:v>
      </x:c>
      <x:c r="B5" s="10" t="str">
        <x:v>区分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親利益（円）</x:v>
      </x:c>
      <x:c r="H5" s="10" t="str">
        <x:v>親損失（円）</x:v>
      </x:c>
      <x:c r="I5" s="10" t="str">
        <x:v>初回件数</x:v>
      </x:c>
      <x:c r="J5" s="10" t="str">
        <x:v>追加件数</x:v>
      </x:c>
      <x:c r="K5" s="10" t="str">
        <x:v>縮小件数</x:v>
      </x:c>
      <x:c r="L5" s="10" t="str">
        <x:v>最大保有枚数</x:v>
      </x:c>
      <x:c r="M5" s="10" t="str">
        <x:v>保有時間率</x:v>
      </x:c>
      <x:c r="N5" s="10" t="str">
        <x:v>時価最大DD（円）</x:v>
      </x:c>
    </x:row>
    <x:row r="6" ht="24" customHeight="1">
      <x:c r="A6" s="2" t="str">
        <x:v>2026-09-21_Day</x:v>
      </x:c>
      <x:c r="B6" s="6" t="str">
        <x:v>デイ</x:v>
      </x:c>
      <x:c r="C6" s="6" t="n">
        <x:v>299500</x:v>
      </x:c>
      <x:c r="D6" s="6" t="n">
        <x:v>1095000</x:v>
      </x:c>
      <x:c r="E6" s="6" t="n">
        <x:f>C6-D6</x:f>
        <x:v>-795500</x:v>
      </x:c>
      <x:c r="F6" s="6" t="n">
        <x:f>E6</x:f>
        <x:v>-795500</x:v>
      </x:c>
      <x:c r="G6" s="6" t="n">
        <x:v>299500</x:v>
      </x:c>
      <x:c r="H6" s="6" t="n">
        <x:v>1095000</x:v>
      </x:c>
      <x:c r="I6" s="6" t="n">
        <x:v>187</x:v>
      </x:c>
      <x:c r="J6" s="6" t="n">
        <x:v>0</x:v>
      </x:c>
      <x:c r="K6" s="6" t="n">
        <x:v>0</x:v>
      </x:c>
      <x:c r="L6" s="6" t="n">
        <x:v>10</x:v>
      </x:c>
      <x:c r="M6" s="11" t="n">
        <x:v>0.6226587301587302</x:v>
      </x:c>
      <x:c r="N6" s="6" t="n">
        <x:v>818500</x:v>
      </x:c>
    </x:row>
    <x:row r="7" ht="24" customHeight="1">
      <x:c r="A7" s="2" t="str">
        <x:v>2026-09-21_Night</x:v>
      </x:c>
      <x:c r="B7" s="6" t="str">
        <x:v>ナイト</x:v>
      </x:c>
      <x:c r="C7" s="6" t="n">
        <x:v>228000</x:v>
      </x:c>
      <x:c r="D7" s="6" t="n">
        <x:v>1222500</x:v>
      </x:c>
      <x:c r="E7" s="6" t="n">
        <x:f>C7-D7</x:f>
        <x:v>-994500</x:v>
      </x:c>
      <x:c r="F7" s="6" t="n">
        <x:f>F6+E7</x:f>
        <x:v>-1790000</x:v>
      </x:c>
      <x:c r="G7" s="6" t="n">
        <x:v>228000</x:v>
      </x:c>
      <x:c r="H7" s="6" t="n">
        <x:v>1222500</x:v>
      </x:c>
      <x:c r="I7" s="6" t="n">
        <x:v>323</x:v>
      </x:c>
      <x:c r="J7" s="6" t="n">
        <x:v>0</x:v>
      </x:c>
      <x:c r="K7" s="6" t="n">
        <x:v>0</x:v>
      </x:c>
      <x:c r="L7" s="6" t="n">
        <x:v>10</x:v>
      </x:c>
      <x:c r="M7" s="11" t="n">
        <x:v>0.6355555555555555</x:v>
      </x:c>
      <x:c r="N7" s="6" t="n">
        <x:v>1019500</x:v>
      </x:c>
    </x:row>
    <x:row r="8" ht="24" customHeight="1">
      <x:c r="A8" s="2" t="str">
        <x:v>2026-09-22_Day</x:v>
      </x:c>
      <x:c r="B8" s="6" t="str">
        <x:v>デイ</x:v>
      </x:c>
      <x:c r="C8" s="6" t="n">
        <x:v>238500</x:v>
      </x:c>
      <x:c r="D8" s="6" t="n">
        <x:v>1417000</x:v>
      </x:c>
      <x:c r="E8" s="6" t="n">
        <x:f>C8-D8</x:f>
        <x:v>-1178500</x:v>
      </x:c>
      <x:c r="F8" s="6" t="n">
        <x:f>F7+E8</x:f>
        <x:v>-2968500</x:v>
      </x:c>
      <x:c r="G8" s="6" t="n">
        <x:v>238500</x:v>
      </x:c>
      <x:c r="H8" s="6" t="n">
        <x:v>1417000</x:v>
      </x:c>
      <x:c r="I8" s="6" t="n">
        <x:v>231</x:v>
      </x:c>
      <x:c r="J8" s="6" t="n">
        <x:v>0</x:v>
      </x:c>
      <x:c r="K8" s="6" t="n">
        <x:v>0</x:v>
      </x:c>
      <x:c r="L8" s="6" t="n">
        <x:v>10</x:v>
      </x:c>
      <x:c r="M8" s="11" t="n">
        <x:v>0.7007142857142857</x:v>
      </x:c>
      <x:c r="N8" s="6" t="n">
        <x:v>1198500</x:v>
      </x:c>
    </x:row>
    <x:row r="9" ht="24" customHeight="1">
      <x:c r="A9" s="2" t="str">
        <x:v>2026-09-22_Night</x:v>
      </x:c>
      <x:c r="B9" s="6" t="str">
        <x:v>ナイト</x:v>
      </x:c>
      <x:c r="C9" s="6" t="n">
        <x:v>401500</x:v>
      </x:c>
      <x:c r="D9" s="6" t="n">
        <x:v>2043500</x:v>
      </x:c>
      <x:c r="E9" s="6" t="n">
        <x:f>C9-D9</x:f>
        <x:v>-1642000</x:v>
      </x:c>
      <x:c r="F9" s="6" t="n">
        <x:f>F8+E9</x:f>
        <x:v>-4610500</x:v>
      </x:c>
      <x:c r="G9" s="6" t="n">
        <x:v>401500</x:v>
      </x:c>
      <x:c r="H9" s="6" t="n">
        <x:v>2043500</x:v>
      </x:c>
      <x:c r="I9" s="6" t="n">
        <x:v>426</x:v>
      </x:c>
      <x:c r="J9" s="6" t="n">
        <x:v>0</x:v>
      </x:c>
      <x:c r="K9" s="6" t="n">
        <x:v>0</x:v>
      </x:c>
      <x:c r="L9" s="6" t="n">
        <x:v>10</x:v>
      </x:c>
      <x:c r="M9" s="11" t="n">
        <x:v>0.7066666666666667</x:v>
      </x:c>
      <x:c r="N9" s="6" t="n">
        <x:v>1658500</x:v>
      </x:c>
    </x:row>
    <x:row r="10" ht="24" customHeight="1">
      <x:c r="A10" s="2" t="str">
        <x:v>2026-09-23_Day</x:v>
      </x:c>
      <x:c r="B10" s="6" t="str">
        <x:v>デイ</x:v>
      </x:c>
      <x:c r="C10" s="6" t="n">
        <x:v>233000</x:v>
      </x:c>
      <x:c r="D10" s="6" t="n">
        <x:v>1013500</x:v>
      </x:c>
      <x:c r="E10" s="6" t="n">
        <x:f>C10-D10</x:f>
        <x:v>-780500</x:v>
      </x:c>
      <x:c r="F10" s="6" t="n">
        <x:f>F9+E10</x:f>
        <x:v>-5391000</x:v>
      </x:c>
      <x:c r="G10" s="6" t="n">
        <x:v>233000</x:v>
      </x:c>
      <x:c r="H10" s="6" t="n">
        <x:v>1013500</x:v>
      </x:c>
      <x:c r="I10" s="6" t="n">
        <x:v>194</x:v>
      </x:c>
      <x:c r="J10" s="6" t="n">
        <x:v>0</x:v>
      </x:c>
      <x:c r="K10" s="6" t="n">
        <x:v>0</x:v>
      </x:c>
      <x:c r="L10" s="6" t="n">
        <x:v>10</x:v>
      </x:c>
      <x:c r="M10" s="11" t="n">
        <x:v>0.6654761904761904</x:v>
      </x:c>
      <x:c r="N10" s="6" t="n">
        <x:v>828500</x:v>
      </x:c>
    </x:row>
    <x:row r="11" ht="24" customHeight="1">
      <x:c r="A11" s="2" t="str">
        <x:v>2026-09-23_Night</x:v>
      </x:c>
      <x:c r="B11" s="6" t="str">
        <x:v>ナイト</x:v>
      </x:c>
      <x:c r="C11" s="6" t="n">
        <x:v>230000</x:v>
      </x:c>
      <x:c r="D11" s="6" t="n">
        <x:v>1761500</x:v>
      </x:c>
      <x:c r="E11" s="6" t="n">
        <x:f>C11-D11</x:f>
        <x:v>-1531500</x:v>
      </x:c>
      <x:c r="F11" s="6" t="n">
        <x:f>F10+E11</x:f>
        <x:v>-6922500</x:v>
      </x:c>
      <x:c r="G11" s="6" t="n">
        <x:v>230000</x:v>
      </x:c>
      <x:c r="H11" s="6" t="n">
        <x:v>1761500</x:v>
      </x:c>
      <x:c r="I11" s="6" t="n">
        <x:v>372</x:v>
      </x:c>
      <x:c r="J11" s="6" t="n">
        <x:v>0</x:v>
      </x:c>
      <x:c r="K11" s="6" t="n">
        <x:v>0</x:v>
      </x:c>
      <x:c r="L11" s="6" t="n">
        <x:v>10</x:v>
      </x:c>
      <x:c r="M11" s="11" t="n">
        <x:v>0.6513461538461538</x:v>
      </x:c>
      <x:c r="N11" s="6" t="n">
        <x:v>1538000</x:v>
      </x:c>
    </x:row>
    <x:row r="12" ht="24" customHeight="1">
      <x:c r="A12" s="2" t="str">
        <x:v>2026-09-24_Day</x:v>
      </x:c>
      <x:c r="B12" s="6" t="str">
        <x:v>デイ</x:v>
      </x:c>
      <x:c r="C12" s="6" t="n">
        <x:v>821500</x:v>
      </x:c>
      <x:c r="D12" s="6" t="n">
        <x:v>2063000</x:v>
      </x:c>
      <x:c r="E12" s="6" t="n">
        <x:f>C12-D12</x:f>
        <x:v>-1241500</x:v>
      </x:c>
      <x:c r="F12" s="6" t="n">
        <x:f>F11+E12</x:f>
        <x:v>-8164000</x:v>
      </x:c>
      <x:c r="G12" s="6" t="n">
        <x:v>821500</x:v>
      </x:c>
      <x:c r="H12" s="6" t="n">
        <x:v>2063000</x:v>
      </x:c>
      <x:c r="I12" s="6" t="n">
        <x:v>339</x:v>
      </x:c>
      <x:c r="J12" s="6" t="n">
        <x:v>0</x:v>
      </x:c>
      <x:c r="K12" s="6" t="n">
        <x:v>0</x:v>
      </x:c>
      <x:c r="L12" s="6" t="n">
        <x:v>10</x:v>
      </x:c>
      <x:c r="M12" s="11" t="n">
        <x:v>0.7740873015873015</x:v>
      </x:c>
      <x:c r="N12" s="6" t="n">
        <x:v>1342000</x:v>
      </x:c>
    </x:row>
    <x:row r="13" ht="24" customHeight="1">
      <x:c r="A13" s="2" t="str">
        <x:v>2026-09-24_Night</x:v>
      </x:c>
      <x:c r="B13" s="6" t="str">
        <x:v>ナイト</x:v>
      </x:c>
      <x:c r="C13" s="6" t="n">
        <x:v>778500</x:v>
      </x:c>
      <x:c r="D13" s="6" t="n">
        <x:v>2485000</x:v>
      </x:c>
      <x:c r="E13" s="6" t="n">
        <x:f>C13-D13</x:f>
        <x:v>-1706500</x:v>
      </x:c>
      <x:c r="F13" s="6" t="n">
        <x:f>F12+E13</x:f>
        <x:v>-9870500</x:v>
      </x:c>
      <x:c r="G13" s="6" t="n">
        <x:v>778500</x:v>
      </x:c>
      <x:c r="H13" s="6" t="n">
        <x:v>2485000</x:v>
      </x:c>
      <x:c r="I13" s="6" t="n">
        <x:v>499</x:v>
      </x:c>
      <x:c r="J13" s="6" t="n">
        <x:v>0</x:v>
      </x:c>
      <x:c r="K13" s="6" t="n">
        <x:v>0</x:v>
      </x:c>
      <x:c r="L13" s="6" t="n">
        <x:v>10</x:v>
      </x:c>
      <x:c r="M13" s="11" t="n">
        <x:v>0.7384615384615385</x:v>
      </x:c>
      <x:c r="N13" s="6" t="n">
        <x:v>1750500</x:v>
      </x:c>
    </x:row>
    <x:row r="14" ht="24" customHeight="1">
      <x:c r="A14" s="2" t="str">
        <x:v>2026-09-25_Day</x:v>
      </x:c>
      <x:c r="B14" s="6" t="str">
        <x:v>デイ</x:v>
      </x:c>
      <x:c r="C14" s="6" t="n">
        <x:v>669500</x:v>
      </x:c>
      <x:c r="D14" s="6" t="n">
        <x:v>1644500</x:v>
      </x:c>
      <x:c r="E14" s="6" t="n">
        <x:f>C14-D14</x:f>
        <x:v>-975000</x:v>
      </x:c>
      <x:c r="F14" s="6" t="n">
        <x:f>F13+E14</x:f>
        <x:v>-10845500</x:v>
      </x:c>
      <x:c r="G14" s="6" t="n">
        <x:v>669500</x:v>
      </x:c>
      <x:c r="H14" s="6" t="n">
        <x:v>1644500</x:v>
      </x:c>
      <x:c r="I14" s="6" t="n">
        <x:v>328</x:v>
      </x:c>
      <x:c r="J14" s="6" t="n">
        <x:v>0</x:v>
      </x:c>
      <x:c r="K14" s="6" t="n">
        <x:v>0</x:v>
      </x:c>
      <x:c r="L14" s="6" t="n">
        <x:v>10</x:v>
      </x:c>
      <x:c r="M14" s="11" t="n">
        <x:v>0.788531746031746</x:v>
      </x:c>
      <x:c r="N14" s="6" t="n">
        <x:v>984000</x:v>
      </x:c>
    </x:row>
    <x:row r="15" ht="24" customHeight="1">
      <x:c r="A15" s="2" t="str">
        <x:v>2026-09-25_Night</x:v>
      </x:c>
      <x:c r="B15" s="6" t="str">
        <x:v>ナイト</x:v>
      </x:c>
      <x:c r="C15" s="6" t="n">
        <x:v>528000</x:v>
      </x:c>
      <x:c r="D15" s="6" t="n">
        <x:v>1930000</x:v>
      </x:c>
      <x:c r="E15" s="6" t="n">
        <x:f>C15-D15</x:f>
        <x:v>-1402000</x:v>
      </x:c>
      <x:c r="F15" s="6" t="n">
        <x:f>F14+E15</x:f>
        <x:v>-12247500</x:v>
      </x:c>
      <x:c r="G15" s="6" t="n">
        <x:v>528000</x:v>
      </x:c>
      <x:c r="H15" s="6" t="n">
        <x:v>1930000</x:v>
      </x:c>
      <x:c r="I15" s="6" t="n">
        <x:v>461</x:v>
      </x:c>
      <x:c r="J15" s="6" t="n">
        <x:v>0</x:v>
      </x:c>
      <x:c r="K15" s="6" t="n">
        <x:v>0</x:v>
      </x:c>
      <x:c r="L15" s="6" t="n">
        <x:v>10</x:v>
      </x:c>
      <x:c r="M15" s="11" t="n">
        <x:v>0.7179273504273505</x:v>
      </x:c>
      <x:c r="N15" s="6" t="n">
        <x:v>1469000</x:v>
      </x:c>
    </x:row>
    <x:row r="16" ht="24" customHeight="1">
      <x:c r="A16" s="2" t="str">
        <x:v>2026-09-28_Day</x:v>
      </x:c>
      <x:c r="B16" s="6" t="str">
        <x:v>デイ</x:v>
      </x:c>
      <x:c r="C16" s="6" t="n">
        <x:v>711000</x:v>
      </x:c>
      <x:c r="D16" s="6" t="n">
        <x:v>1777500</x:v>
      </x:c>
      <x:c r="E16" s="6" t="n">
        <x:f>C16-D16</x:f>
        <x:v>-1066500</x:v>
      </x:c>
      <x:c r="F16" s="6" t="n">
        <x:f>F15+E16</x:f>
        <x:v>-13314000</x:v>
      </x:c>
      <x:c r="G16" s="6" t="n">
        <x:v>711000</x:v>
      </x:c>
      <x:c r="H16" s="6" t="n">
        <x:v>1777500</x:v>
      </x:c>
      <x:c r="I16" s="6" t="n">
        <x:v>343</x:v>
      </x:c>
      <x:c r="J16" s="6" t="n">
        <x:v>0</x:v>
      </x:c>
      <x:c r="K16" s="6" t="n">
        <x:v>0</x:v>
      </x:c>
      <x:c r="L16" s="6" t="n">
        <x:v>10</x:v>
      </x:c>
      <x:c r="M16" s="11" t="n">
        <x:v>0.7860714285714285</x:v>
      </x:c>
      <x:c r="N16" s="6" t="n">
        <x:v>1083500</x:v>
      </x:c>
    </x:row>
    <x:row r="17" ht="24" customHeight="1">
      <x:c r="A17" s="2" t="str">
        <x:v>2026-09-28_Night</x:v>
      </x:c>
      <x:c r="B17" s="6" t="str">
        <x:v>ナイト</x:v>
      </x:c>
      <x:c r="C17" s="6" t="n">
        <x:v>849500</x:v>
      </x:c>
      <x:c r="D17" s="6" t="n">
        <x:v>2315000</x:v>
      </x:c>
      <x:c r="E17" s="6" t="n">
        <x:f>C17-D17</x:f>
        <x:v>-1465500</x:v>
      </x:c>
      <x:c r="F17" s="6" t="n">
        <x:f>F16+E17</x:f>
        <x:v>-14779500</x:v>
      </x:c>
      <x:c r="G17" s="6" t="n">
        <x:v>849500</x:v>
      </x:c>
      <x:c r="H17" s="6" t="n">
        <x:v>2315000</x:v>
      </x:c>
      <x:c r="I17" s="6" t="n">
        <x:v>474</x:v>
      </x:c>
      <x:c r="J17" s="6" t="n">
        <x:v>0</x:v>
      </x:c>
      <x:c r="K17" s="6" t="n">
        <x:v>0</x:v>
      </x:c>
      <x:c r="L17" s="6" t="n">
        <x:v>10</x:v>
      </x:c>
      <x:c r="M17" s="11" t="n">
        <x:v>0.716474358974359</x:v>
      </x:c>
      <x:c r="N17" s="6" t="n">
        <x:v>1471000</x:v>
      </x:c>
    </x:row>
    <x:row r="18" ht="24" customHeight="1">
      <x:c r="A18" s="2" t="str">
        <x:v>2026-09-29_Day</x:v>
      </x:c>
      <x:c r="B18" s="6" t="str">
        <x:v>デイ</x:v>
      </x:c>
      <x:c r="C18" s="6" t="n">
        <x:v>739000</x:v>
      </x:c>
      <x:c r="D18" s="6" t="n">
        <x:v>2297500</x:v>
      </x:c>
      <x:c r="E18" s="6" t="n">
        <x:f>C18-D18</x:f>
        <x:v>-1558500</x:v>
      </x:c>
      <x:c r="F18" s="6" t="n">
        <x:f>F17+E18</x:f>
        <x:v>-16338000</x:v>
      </x:c>
      <x:c r="G18" s="6" t="n">
        <x:v>739000</x:v>
      </x:c>
      <x:c r="H18" s="6" t="n">
        <x:v>2297500</x:v>
      </x:c>
      <x:c r="I18" s="6" t="n">
        <x:v>361</x:v>
      </x:c>
      <x:c r="J18" s="6" t="n">
        <x:v>0</x:v>
      </x:c>
      <x:c r="K18" s="6" t="n">
        <x:v>0</x:v>
      </x:c>
      <x:c r="L18" s="6" t="n">
        <x:v>10</x:v>
      </x:c>
      <x:c r="M18" s="11" t="n">
        <x:v>0.7794444444444445</x:v>
      </x:c>
      <x:c r="N18" s="6" t="n">
        <x:v>1725000</x:v>
      </x:c>
    </x:row>
    <x:row r="19" ht="24" customHeight="1">
      <x:c r="A19" s="2" t="str">
        <x:v>2026-09-29_Night</x:v>
      </x:c>
      <x:c r="B19" s="6" t="str">
        <x:v>ナイト</x:v>
      </x:c>
      <x:c r="C19" s="6" t="n">
        <x:v>426000</x:v>
      </x:c>
      <x:c r="D19" s="6" t="n">
        <x:v>2122500</x:v>
      </x:c>
      <x:c r="E19" s="6" t="n">
        <x:f>C19-D19</x:f>
        <x:v>-1696500</x:v>
      </x:c>
      <x:c r="F19" s="6" t="n">
        <x:f>F18+E19</x:f>
        <x:v>-18034500</x:v>
      </x:c>
      <x:c r="G19" s="6" t="n">
        <x:v>426000</x:v>
      </x:c>
      <x:c r="H19" s="6" t="n">
        <x:v>2122500</x:v>
      </x:c>
      <x:c r="I19" s="6" t="n">
        <x:v>489</x:v>
      </x:c>
      <x:c r="J19" s="6" t="n">
        <x:v>0</x:v>
      </x:c>
      <x:c r="K19" s="6" t="n">
        <x:v>0</x:v>
      </x:c>
      <x:c r="L19" s="6" t="n">
        <x:v>10</x:v>
      </x:c>
      <x:c r="M19" s="11" t="n">
        <x:v>0.7081623931623932</x:v>
      </x:c>
      <x:c r="N19" s="6" t="n">
        <x:v>1699500</x:v>
      </x:c>
    </x:row>
    <x:row r="20" ht="24" customHeight="1">
      <x:c r="A20" s="2" t="str">
        <x:v>2026-09-30_Day</x:v>
      </x:c>
      <x:c r="B20" s="6" t="str">
        <x:v>デイ</x:v>
      </x:c>
      <x:c r="C20" s="6" t="n">
        <x:v>600500</x:v>
      </x:c>
      <x:c r="D20" s="6" t="n">
        <x:v>1963500</x:v>
      </x:c>
      <x:c r="E20" s="6" t="n">
        <x:f>C20-D20</x:f>
        <x:v>-1363000</x:v>
      </x:c>
      <x:c r="F20" s="6" t="n">
        <x:f>F19+E20</x:f>
        <x:v>-19397500</x:v>
      </x:c>
      <x:c r="G20" s="6" t="n">
        <x:v>600500</x:v>
      </x:c>
      <x:c r="H20" s="6" t="n">
        <x:v>1963500</x:v>
      </x:c>
      <x:c r="I20" s="6" t="n">
        <x:v>356</x:v>
      </x:c>
      <x:c r="J20" s="6" t="n">
        <x:v>0</x:v>
      </x:c>
      <x:c r="K20" s="6" t="n">
        <x:v>0</x:v>
      </x:c>
      <x:c r="L20" s="6" t="n">
        <x:v>10</x:v>
      </x:c>
      <x:c r="M20" s="11" t="n">
        <x:v>0.7713095238095238</x:v>
      </x:c>
      <x:c r="N20" s="6" t="n">
        <x:v>1437500</x:v>
      </x:c>
    </x:row>
    <x:row r="21" ht="24" customHeight="1">
      <x:c r="A21" s="2" t="str">
        <x:v>2026-09-30_Night</x:v>
      </x:c>
      <x:c r="B21" s="6" t="str">
        <x:v>ナイト</x:v>
      </x:c>
      <x:c r="C21" s="6" t="n">
        <x:v>770000</x:v>
      </x:c>
      <x:c r="D21" s="6" t="n">
        <x:v>2607500</x:v>
      </x:c>
      <x:c r="E21" s="6" t="n">
        <x:f>C21-D21</x:f>
        <x:v>-1837500</x:v>
      </x:c>
      <x:c r="F21" s="6" t="n">
        <x:f>F20+E21</x:f>
        <x:v>-21235000</x:v>
      </x:c>
      <x:c r="G21" s="6" t="n">
        <x:v>770000</x:v>
      </x:c>
      <x:c r="H21" s="6" t="n">
        <x:v>2607500</x:v>
      </x:c>
      <x:c r="I21" s="6" t="n">
        <x:v>499</x:v>
      </x:c>
      <x:c r="J21" s="6" t="n">
        <x:v>0</x:v>
      </x:c>
      <x:c r="K21" s="6" t="n">
        <x:v>0</x:v>
      </x:c>
      <x:c r="L21" s="6" t="n">
        <x:v>10</x:v>
      </x:c>
      <x:c r="M21" s="11" t="n">
        <x:v>0.7567948717948718</x:v>
      </x:c>
      <x:c r="N21" s="6" t="n">
        <x:v>1876000</x:v>
      </x:c>
    </x:row>
    <x:row r="22" ht="24" customHeight="1">
      <x:c r="A22" s="2" t="str">
        <x:v>2026-10-01_Day</x:v>
      </x:c>
      <x:c r="B22" s="6" t="str">
        <x:v>デイ</x:v>
      </x:c>
      <x:c r="C22" s="6" t="n">
        <x:v>689000</x:v>
      </x:c>
      <x:c r="D22" s="6" t="n">
        <x:v>1958000</x:v>
      </x:c>
      <x:c r="E22" s="6" t="n">
        <x:f>C22-D22</x:f>
        <x:v>-1269000</x:v>
      </x:c>
      <x:c r="F22" s="6" t="n">
        <x:f>F21+E22</x:f>
        <x:v>-22504000</x:v>
      </x:c>
      <x:c r="G22" s="6" t="n">
        <x:v>689000</x:v>
      </x:c>
      <x:c r="H22" s="6" t="n">
        <x:v>1958000</x:v>
      </x:c>
      <x:c r="I22" s="6" t="n">
        <x:v>329</x:v>
      </x:c>
      <x:c r="J22" s="6" t="n">
        <x:v>0</x:v>
      </x:c>
      <x:c r="K22" s="6" t="n">
        <x:v>0</x:v>
      </x:c>
      <x:c r="L22" s="6" t="n">
        <x:v>10</x:v>
      </x:c>
      <x:c r="M22" s="11" t="n">
        <x:v>0.7827777777777778</x:v>
      </x:c>
      <x:c r="N22" s="6" t="n">
        <x:v>1339500</x:v>
      </x:c>
    </x:row>
    <x:row r="23" ht="24" customHeight="1">
      <x:c r="A23" s="2" t="str">
        <x:v>2026-10-01_Night</x:v>
      </x:c>
      <x:c r="B23" s="6" t="str">
        <x:v>ナイト</x:v>
      </x:c>
      <x:c r="C23" s="6" t="n">
        <x:v>765500</x:v>
      </x:c>
      <x:c r="D23" s="6" t="n">
        <x:v>3151500</x:v>
      </x:c>
      <x:c r="E23" s="6" t="n">
        <x:f>C23-D23</x:f>
        <x:v>-2386000</x:v>
      </x:c>
      <x:c r="F23" s="6" t="n">
        <x:f>F22+E23</x:f>
        <x:v>-24890000</x:v>
      </x:c>
      <x:c r="G23" s="6" t="n">
        <x:v>765500</x:v>
      </x:c>
      <x:c r="H23" s="6" t="n">
        <x:v>3151500</x:v>
      </x:c>
      <x:c r="I23" s="6" t="n">
        <x:v>519</x:v>
      </x:c>
      <x:c r="J23" s="6" t="n">
        <x:v>0</x:v>
      </x:c>
      <x:c r="K23" s="6" t="n">
        <x:v>0</x:v>
      </x:c>
      <x:c r="L23" s="6" t="n">
        <x:v>10</x:v>
      </x:c>
      <x:c r="M23" s="11" t="n">
        <x:v>0.7331196581196581</x:v>
      </x:c>
      <x:c r="N23" s="6" t="n">
        <x:v>2399500</x:v>
      </x:c>
    </x:row>
    <x:row r="24" ht="24" customHeight="1">
      <x:c r="A24" s="2" t="str">
        <x:v>2026-10-02_Day</x:v>
      </x:c>
      <x:c r="B24" s="6" t="str">
        <x:v>デイ</x:v>
      </x:c>
      <x:c r="C24" s="6" t="n">
        <x:v>549500</x:v>
      </x:c>
      <x:c r="D24" s="6" t="n">
        <x:v>1986000</x:v>
      </x:c>
      <x:c r="E24" s="6" t="n">
        <x:f>C24-D24</x:f>
        <x:v>-1436500</x:v>
      </x:c>
      <x:c r="F24" s="6" t="n">
        <x:f>F23+E24</x:f>
        <x:v>-26326500</x:v>
      </x:c>
      <x:c r="G24" s="6" t="n">
        <x:v>549500</x:v>
      </x:c>
      <x:c r="H24" s="6" t="n">
        <x:v>1986000</x:v>
      </x:c>
      <x:c r="I24" s="6" t="n">
        <x:v>344</x:v>
      </x:c>
      <x:c r="J24" s="6" t="n">
        <x:v>0</x:v>
      </x:c>
      <x:c r="K24" s="6" t="n">
        <x:v>0</x:v>
      </x:c>
      <x:c r="L24" s="6" t="n">
        <x:v>10</x:v>
      </x:c>
      <x:c r="M24" s="11" t="n">
        <x:v>0.7763095238095238</x:v>
      </x:c>
      <x:c r="N24" s="6" t="n">
        <x:v>1438000</x:v>
      </x:c>
    </x:row>
    <x:row r="25" ht="24" customHeight="1">
      <x:c r="A25" s="2" t="str">
        <x:v>2026-10-02_Night</x:v>
      </x:c>
      <x:c r="B25" s="6" t="str">
        <x:v>ナイト</x:v>
      </x:c>
      <x:c r="C25" s="6" t="n">
        <x:v>742500</x:v>
      </x:c>
      <x:c r="D25" s="6" t="n">
        <x:v>2450500</x:v>
      </x:c>
      <x:c r="E25" s="6" t="n">
        <x:f>C25-D25</x:f>
        <x:v>-1708000</x:v>
      </x:c>
      <x:c r="F25" s="6" t="n">
        <x:f>F24+E25</x:f>
        <x:v>-28034500</x:v>
      </x:c>
      <x:c r="G25" s="6" t="n">
        <x:v>742500</x:v>
      </x:c>
      <x:c r="H25" s="6" t="n">
        <x:v>2450500</x:v>
      </x:c>
      <x:c r="I25" s="6" t="n">
        <x:v>539</x:v>
      </x:c>
      <x:c r="J25" s="6" t="n">
        <x:v>0</x:v>
      </x:c>
      <x:c r="K25" s="6" t="n">
        <x:v>0</x:v>
      </x:c>
      <x:c r="L25" s="6" t="n">
        <x:v>10</x:v>
      </x:c>
      <x:c r="M25" s="11" t="n">
        <x:v>0.7523076923076923</x:v>
      </x:c>
      <x:c r="N25" s="6" t="n">
        <x:v>1750000</x:v>
      </x:c>
    </x:row>
    <x:row r="26" ht="24" customHeight="1">
      <x:c r="A26" s="2" t="str">
        <x:v>2026-10-05_Day</x:v>
      </x:c>
      <x:c r="B26" s="6" t="str">
        <x:v>デイ</x:v>
      </x:c>
      <x:c r="C26" s="6" t="n">
        <x:v>402500</x:v>
      </x:c>
      <x:c r="D26" s="6" t="n">
        <x:v>1792500</x:v>
      </x:c>
      <x:c r="E26" s="6" t="n">
        <x:f>C26-D26</x:f>
        <x:v>-1390000</x:v>
      </x:c>
      <x:c r="F26" s="6" t="n">
        <x:f>F25+E26</x:f>
        <x:v>-29424500</x:v>
      </x:c>
      <x:c r="G26" s="6" t="n">
        <x:v>402500</x:v>
      </x:c>
      <x:c r="H26" s="6" t="n">
        <x:v>1792500</x:v>
      </x:c>
      <x:c r="I26" s="6" t="n">
        <x:v>316</x:v>
      </x:c>
      <x:c r="J26" s="6" t="n">
        <x:v>0</x:v>
      </x:c>
      <x:c r="K26" s="6" t="n">
        <x:v>0</x:v>
      </x:c>
      <x:c r="L26" s="6" t="n">
        <x:v>10</x:v>
      </x:c>
      <x:c r="M26" s="11" t="n">
        <x:v>0.7828571428571428</x:v>
      </x:c>
      <x:c r="N26" s="6" t="n">
        <x:v>1397500</x:v>
      </x:c>
    </x:row>
    <x:row r="27" ht="24" customHeight="1">
      <x:c r="A27" s="2" t="str">
        <x:v>2026-10-05_Night</x:v>
      </x:c>
      <x:c r="B27" s="6" t="str">
        <x:v>ナイト</x:v>
      </x:c>
      <x:c r="C27" s="6" t="n">
        <x:v>554000</x:v>
      </x:c>
      <x:c r="D27" s="6" t="n">
        <x:v>2087000</x:v>
      </x:c>
      <x:c r="E27" s="6" t="n">
        <x:f>C27-D27</x:f>
        <x:v>-1533000</x:v>
      </x:c>
      <x:c r="F27" s="6" t="n">
        <x:f>F26+E27</x:f>
        <x:v>-30957500</x:v>
      </x:c>
      <x:c r="G27" s="6" t="n">
        <x:v>554000</x:v>
      </x:c>
      <x:c r="H27" s="6" t="n">
        <x:v>2087000</x:v>
      </x:c>
      <x:c r="I27" s="6" t="n">
        <x:v>464</x:v>
      </x:c>
      <x:c r="J27" s="6" t="n">
        <x:v>0</x:v>
      </x:c>
      <x:c r="K27" s="6" t="n">
        <x:v>0</x:v>
      </x:c>
      <x:c r="L27" s="6" t="n">
        <x:v>10</x:v>
      </x:c>
      <x:c r="M27" s="11" t="n">
        <x:v>0.7125854700854701</x:v>
      </x:c>
      <x:c r="N27" s="6" t="n">
        <x:v>1612500</x:v>
      </x:c>
    </x:row>
    <x:row r="28" ht="24" customHeight="1">
      <x:c r="A28" s="2" t="str">
        <x:v>2026-10-06_Day</x:v>
      </x:c>
      <x:c r="B28" s="6" t="str">
        <x:v>デイ</x:v>
      </x:c>
      <x:c r="C28" s="6" t="n">
        <x:v>298000</x:v>
      </x:c>
      <x:c r="D28" s="6" t="n">
        <x:v>1534000</x:v>
      </x:c>
      <x:c r="E28" s="6" t="n">
        <x:f>C28-D28</x:f>
        <x:v>-1236000</x:v>
      </x:c>
      <x:c r="F28" s="6" t="n">
        <x:f>F27+E28</x:f>
        <x:v>-32193500</x:v>
      </x:c>
      <x:c r="G28" s="6" t="n">
        <x:v>298000</x:v>
      </x:c>
      <x:c r="H28" s="6" t="n">
        <x:v>1534000</x:v>
      </x:c>
      <x:c r="I28" s="6" t="n">
        <x:v>326</x:v>
      </x:c>
      <x:c r="J28" s="6" t="n">
        <x:v>0</x:v>
      </x:c>
      <x:c r="K28" s="6" t="n">
        <x:v>0</x:v>
      </x:c>
      <x:c r="L28" s="6" t="n">
        <x:v>10</x:v>
      </x:c>
      <x:c r="M28" s="11" t="n">
        <x:v>0.7702777777777777</x:v>
      </x:c>
      <x:c r="N28" s="6" t="n">
        <x:v>1246500</x:v>
      </x:c>
    </x:row>
    <x:row r="29" ht="24" customHeight="1">
      <x:c r="A29" s="2" t="str">
        <x:v>2026-10-06_Night</x:v>
      </x:c>
      <x:c r="B29" s="6" t="str">
        <x:v>ナイト</x:v>
      </x:c>
      <x:c r="C29" s="6" t="n">
        <x:v>269000</x:v>
      </x:c>
      <x:c r="D29" s="6" t="n">
        <x:v>1507500</x:v>
      </x:c>
      <x:c r="E29" s="6" t="n">
        <x:f>C29-D29</x:f>
        <x:v>-1238500</x:v>
      </x:c>
      <x:c r="F29" s="6" t="n">
        <x:f>F28+E29</x:f>
        <x:v>-33432000</x:v>
      </x:c>
      <x:c r="G29" s="6" t="n">
        <x:v>269000</x:v>
      </x:c>
      <x:c r="H29" s="6" t="n">
        <x:v>1507500</x:v>
      </x:c>
      <x:c r="I29" s="6" t="n">
        <x:v>457</x:v>
      </x:c>
      <x:c r="J29" s="6" t="n">
        <x:v>0</x:v>
      </x:c>
      <x:c r="K29" s="6" t="n">
        <x:v>0</x:v>
      </x:c>
      <x:c r="L29" s="6" t="n">
        <x:v>10</x:v>
      </x:c>
      <x:c r="M29" s="11" t="n">
        <x:v>0.6883333333333334</x:v>
      </x:c>
      <x:c r="N29" s="6" t="n">
        <x:v>1260500</x:v>
      </x:c>
    </x:row>
    <x:row r="30" ht="24" customHeight="1">
      <x:c r="A30" s="2" t="str">
        <x:v>2026-10-07_Day</x:v>
      </x:c>
      <x:c r="B30" s="6" t="str">
        <x:v>デイ</x:v>
      </x:c>
      <x:c r="C30" s="6" t="n">
        <x:v>334500</x:v>
      </x:c>
      <x:c r="D30" s="6" t="n">
        <x:v>1098000</x:v>
      </x:c>
      <x:c r="E30" s="6" t="n">
        <x:f>C30-D30</x:f>
        <x:v>-763500</x:v>
      </x:c>
      <x:c r="F30" s="6" t="n">
        <x:f>F29+E30</x:f>
        <x:v>-34195500</x:v>
      </x:c>
      <x:c r="G30" s="6" t="n">
        <x:v>334500</x:v>
      </x:c>
      <x:c r="H30" s="6" t="n">
        <x:v>1098000</x:v>
      </x:c>
      <x:c r="I30" s="6" t="n">
        <x:v>293</x:v>
      </x:c>
      <x:c r="J30" s="6" t="n">
        <x:v>0</x:v>
      </x:c>
      <x:c r="K30" s="6" t="n">
        <x:v>0</x:v>
      </x:c>
      <x:c r="L30" s="6" t="n">
        <x:v>10</x:v>
      </x:c>
      <x:c r="M30" s="11" t="n">
        <x:v>0.7616666666666667</x:v>
      </x:c>
      <x:c r="N30" s="6" t="n">
        <x:v>787000</x:v>
      </x:c>
    </x:row>
    <x:row r="31" ht="24" customHeight="1">
      <x:c r="A31" s="2" t="str">
        <x:v>2026-10-07_Night</x:v>
      </x:c>
      <x:c r="B31" s="6" t="str">
        <x:v>ナイト</x:v>
      </x:c>
      <x:c r="C31" s="6" t="n">
        <x:v>334000</x:v>
      </x:c>
      <x:c r="D31" s="6" t="n">
        <x:v>1828500</x:v>
      </x:c>
      <x:c r="E31" s="6" t="n">
        <x:f>C31-D31</x:f>
        <x:v>-1494500</x:v>
      </x:c>
      <x:c r="F31" s="6" t="n">
        <x:f>F30+E31</x:f>
        <x:v>-35690000</x:v>
      </x:c>
      <x:c r="G31" s="6" t="n">
        <x:v>334000</x:v>
      </x:c>
      <x:c r="H31" s="6" t="n">
        <x:v>1828500</x:v>
      </x:c>
      <x:c r="I31" s="6" t="n">
        <x:v>457</x:v>
      </x:c>
      <x:c r="J31" s="6" t="n">
        <x:v>0</x:v>
      </x:c>
      <x:c r="K31" s="6" t="n">
        <x:v>0</x:v>
      </x:c>
      <x:c r="L31" s="6" t="n">
        <x:v>10</x:v>
      </x:c>
      <x:c r="M31" s="11" t="n">
        <x:v>0.6996153846153846</x:v>
      </x:c>
      <x:c r="N31" s="6" t="n">
        <x:v>1494500</x:v>
      </x:c>
    </x:row>
    <x:row r="32" ht="24" customHeight="1">
      <x:c r="A32" s="2" t="str">
        <x:v>2026-10-08_Day</x:v>
      </x:c>
      <x:c r="B32" s="6" t="str">
        <x:v>デイ</x:v>
      </x:c>
      <x:c r="C32" s="6" t="n">
        <x:v>558000</x:v>
      </x:c>
      <x:c r="D32" s="6" t="n">
        <x:v>1491500</x:v>
      </x:c>
      <x:c r="E32" s="6" t="n">
        <x:f>C32-D32</x:f>
        <x:v>-933500</x:v>
      </x:c>
      <x:c r="F32" s="6" t="n">
        <x:f>F31+E32</x:f>
        <x:v>-36623500</x:v>
      </x:c>
      <x:c r="G32" s="6" t="n">
        <x:v>558000</x:v>
      </x:c>
      <x:c r="H32" s="6" t="n">
        <x:v>1491500</x:v>
      </x:c>
      <x:c r="I32" s="6" t="n">
        <x:v>335</x:v>
      </x:c>
      <x:c r="J32" s="6" t="n">
        <x:v>0</x:v>
      </x:c>
      <x:c r="K32" s="6" t="n">
        <x:v>0</x:v>
      </x:c>
      <x:c r="L32" s="6" t="n">
        <x:v>10</x:v>
      </x:c>
      <x:c r="M32" s="11" t="n">
        <x:v>0.778531746031746</x:v>
      </x:c>
      <x:c r="N32" s="6" t="n">
        <x:v>953500</x:v>
      </x:c>
    </x:row>
    <x:row r="33" ht="24" customHeight="1">
      <x:c r="A33" s="2" t="str">
        <x:v>2026-10-08_Night</x:v>
      </x:c>
      <x:c r="B33" s="6" t="str">
        <x:v>ナイト</x:v>
      </x:c>
      <x:c r="C33" s="6" t="n">
        <x:v>651000</x:v>
      </x:c>
      <x:c r="D33" s="6" t="n">
        <x:v>2714000</x:v>
      </x:c>
      <x:c r="E33" s="6" t="n">
        <x:f>C33-D33</x:f>
        <x:v>-2063000</x:v>
      </x:c>
      <x:c r="F33" s="6" t="n">
        <x:f>F32+E33</x:f>
        <x:v>-38686500</x:v>
      </x:c>
      <x:c r="G33" s="6" t="n">
        <x:v>651000</x:v>
      </x:c>
      <x:c r="H33" s="6" t="n">
        <x:v>2714000</x:v>
      </x:c>
      <x:c r="I33" s="6" t="n">
        <x:v>499</x:v>
      </x:c>
      <x:c r="J33" s="6" t="n">
        <x:v>0</x:v>
      </x:c>
      <x:c r="K33" s="6" t="n">
        <x:v>0</x:v>
      </x:c>
      <x:c r="L33" s="6" t="n">
        <x:v>10</x:v>
      </x:c>
      <x:c r="M33" s="11" t="n">
        <x:v>0.7407692307692307</x:v>
      </x:c>
      <x:c r="N33" s="6" t="n">
        <x:v>2138000</x:v>
      </x:c>
    </x:row>
    <x:row r="34" ht="24" customHeight="1">
      <x:c r="A34" s="2" t="str">
        <x:v>2026-10-09_Day</x:v>
      </x:c>
      <x:c r="B34" s="6" t="str">
        <x:v>デイ</x:v>
      </x:c>
      <x:c r="C34" s="6" t="n">
        <x:v>663000</x:v>
      </x:c>
      <x:c r="D34" s="6" t="n">
        <x:v>1739500</x:v>
      </x:c>
      <x:c r="E34" s="6" t="n">
        <x:f>C34-D34</x:f>
        <x:v>-1076500</x:v>
      </x:c>
      <x:c r="F34" s="6" t="n">
        <x:f>F33+E34</x:f>
        <x:v>-39763000</x:v>
      </x:c>
      <x:c r="G34" s="6" t="n">
        <x:v>663000</x:v>
      </x:c>
      <x:c r="H34" s="6" t="n">
        <x:v>1739500</x:v>
      </x:c>
      <x:c r="I34" s="6" t="n">
        <x:v>319</x:v>
      </x:c>
      <x:c r="J34" s="6" t="n">
        <x:v>0</x:v>
      </x:c>
      <x:c r="K34" s="6" t="n">
        <x:v>0</x:v>
      </x:c>
      <x:c r="L34" s="6" t="n">
        <x:v>10</x:v>
      </x:c>
      <x:c r="M34" s="11" t="n">
        <x:v>0.7747619047619048</x:v>
      </x:c>
      <x:c r="N34" s="6" t="n">
        <x:v>1181000</x:v>
      </x:c>
    </x:row>
    <x:row r="35" ht="24" customHeight="1">
      <x:c r="A35" s="2" t="str">
        <x:v>2026-10-09_Night</x:v>
      </x:c>
      <x:c r="B35" s="6" t="str">
        <x:v>ナイト</x:v>
      </x:c>
      <x:c r="C35" s="6" t="n">
        <x:v>308000</x:v>
      </x:c>
      <x:c r="D35" s="6" t="n">
        <x:v>1447000</x:v>
      </x:c>
      <x:c r="E35" s="6" t="n">
        <x:f>C35-D35</x:f>
        <x:v>-1139000</x:v>
      </x:c>
      <x:c r="F35" s="6" t="n">
        <x:f>F34+E35</x:f>
        <x:v>-40902000</x:v>
      </x:c>
      <x:c r="G35" s="6" t="n">
        <x:v>308000</x:v>
      </x:c>
      <x:c r="H35" s="6" t="n">
        <x:v>1447000</x:v>
      </x:c>
      <x:c r="I35" s="6" t="n">
        <x:v>405</x:v>
      </x:c>
      <x:c r="J35" s="6" t="n">
        <x:v>0</x:v>
      </x:c>
      <x:c r="K35" s="6" t="n">
        <x:v>0</x:v>
      </x:c>
      <x:c r="L35" s="6" t="n">
        <x:v>10</x:v>
      </x:c>
      <x:c r="M35" s="11" t="n">
        <x:v>0.6823931623931624</x:v>
      </x:c>
      <x:c r="N35" s="6" t="n">
        <x:v>1149000</x:v>
      </x:c>
    </x:row>
    <x:row r="36" ht="24" customHeight="1">
      <x:c r="A36" s="2" t="str">
        <x:v>2026-10-12_Day</x:v>
      </x:c>
      <x:c r="B36" s="6" t="str">
        <x:v>デイ</x:v>
      </x:c>
      <x:c r="C36" s="6" t="n">
        <x:v>146500</x:v>
      </x:c>
      <x:c r="D36" s="6" t="n">
        <x:v>877000</x:v>
      </x:c>
      <x:c r="E36" s="6" t="n">
        <x:f>C36-D36</x:f>
        <x:v>-730500</x:v>
      </x:c>
      <x:c r="F36" s="6" t="n">
        <x:f>F35+E36</x:f>
        <x:v>-41632500</x:v>
      </x:c>
      <x:c r="G36" s="6" t="n">
        <x:v>146500</x:v>
      </x:c>
      <x:c r="H36" s="6" t="n">
        <x:v>877000</x:v>
      </x:c>
      <x:c r="I36" s="6" t="n">
        <x:v>206</x:v>
      </x:c>
      <x:c r="J36" s="6" t="n">
        <x:v>0</x:v>
      </x:c>
      <x:c r="K36" s="6" t="n">
        <x:v>0</x:v>
      </x:c>
      <x:c r="L36" s="6" t="n">
        <x:v>10</x:v>
      </x:c>
      <x:c r="M36" s="11" t="n">
        <x:v>0.6661111111111111</x:v>
      </x:c>
      <x:c r="N36" s="6" t="n">
        <x:v>736500</x:v>
      </x:c>
    </x:row>
    <x:row r="37" ht="24" customHeight="1">
      <x:c r="A37" s="2" t="str">
        <x:v>2026-10-12_Night</x:v>
      </x:c>
      <x:c r="B37" s="6" t="str">
        <x:v>ナイト</x:v>
      </x:c>
      <x:c r="C37" s="6" t="n">
        <x:v>104500</x:v>
      </x:c>
      <x:c r="D37" s="6" t="n">
        <x:v>1114000</x:v>
      </x:c>
      <x:c r="E37" s="6" t="n">
        <x:f>C37-D37</x:f>
        <x:v>-1009500</x:v>
      </x:c>
      <x:c r="F37" s="6" t="n">
        <x:f>F36+E37</x:f>
        <x:v>-42642000</x:v>
      </x:c>
      <x:c r="G37" s="6" t="n">
        <x:v>104500</x:v>
      </x:c>
      <x:c r="H37" s="6" t="n">
        <x:v>1114000</x:v>
      </x:c>
      <x:c r="I37" s="6" t="n">
        <x:v>325</x:v>
      </x:c>
      <x:c r="J37" s="6" t="n">
        <x:v>0</x:v>
      </x:c>
      <x:c r="K37" s="6" t="n">
        <x:v>0</x:v>
      </x:c>
      <x:c r="L37" s="6" t="n">
        <x:v>10</x:v>
      </x:c>
      <x:c r="M37" s="11" t="n">
        <x:v>0.655491452991453</x:v>
      </x:c>
      <x:c r="N37" s="6" t="n">
        <x:v>1023500</x:v>
      </x:c>
    </x:row>
    <x:row r="38" ht="24" customHeight="1">
      <x:c r="A38" s="2" t="str">
        <x:v>2026-10-13_Day</x:v>
      </x:c>
      <x:c r="B38" s="6" t="str">
        <x:v>デイ</x:v>
      </x:c>
      <x:c r="C38" s="6" t="n">
        <x:v>629000</x:v>
      </x:c>
      <x:c r="D38" s="6" t="n">
        <x:v>2290000</x:v>
      </x:c>
      <x:c r="E38" s="6" t="n">
        <x:f>C38-D38</x:f>
        <x:v>-1661000</x:v>
      </x:c>
      <x:c r="F38" s="6" t="n">
        <x:f>F37+E38</x:f>
        <x:v>-44303000</x:v>
      </x:c>
      <x:c r="G38" s="6" t="n">
        <x:v>629000</x:v>
      </x:c>
      <x:c r="H38" s="6" t="n">
        <x:v>2290000</x:v>
      </x:c>
      <x:c r="I38" s="6" t="n">
        <x:v>338</x:v>
      </x:c>
      <x:c r="J38" s="6" t="n">
        <x:v>0</x:v>
      </x:c>
      <x:c r="K38" s="6" t="n">
        <x:v>0</x:v>
      </x:c>
      <x:c r="L38" s="6" t="n">
        <x:v>10</x:v>
      </x:c>
      <x:c r="M38" s="11" t="n">
        <x:v>0.7780952380952381</x:v>
      </x:c>
      <x:c r="N38" s="6" t="n">
        <x:v>1662500</x:v>
      </x:c>
    </x:row>
    <x:row r="39" ht="24" customHeight="1">
      <x:c r="A39" s="2" t="str">
        <x:v>2026-10-13_Night</x:v>
      </x:c>
      <x:c r="B39" s="6" t="str">
        <x:v>ナイト</x:v>
      </x:c>
      <x:c r="C39" s="6" t="n">
        <x:v>201000</x:v>
      </x:c>
      <x:c r="D39" s="6" t="n">
        <x:v>1374500</x:v>
      </x:c>
      <x:c r="E39" s="6" t="n">
        <x:f>C39-D39</x:f>
        <x:v>-1173500</x:v>
      </x:c>
      <x:c r="F39" s="6" t="n">
        <x:f>F38+E39</x:f>
        <x:v>-45476500</x:v>
      </x:c>
      <x:c r="G39" s="6" t="n">
        <x:v>201000</x:v>
      </x:c>
      <x:c r="H39" s="6" t="n">
        <x:v>1374500</x:v>
      </x:c>
      <x:c r="I39" s="6" t="n">
        <x:v>407</x:v>
      </x:c>
      <x:c r="J39" s="6" t="n">
        <x:v>0</x:v>
      </x:c>
      <x:c r="K39" s="6" t="n">
        <x:v>0</x:v>
      </x:c>
      <x:c r="L39" s="6" t="n">
        <x:v>10</x:v>
      </x:c>
      <x:c r="M39" s="11" t="n">
        <x:v>0.6842948717948718</x:v>
      </x:c>
      <x:c r="N39" s="6" t="n">
        <x:v>1183500</x:v>
      </x:c>
    </x:row>
    <x:row r="40" ht="24" customHeight="1">
      <x:c r="A40" s="2" t="str">
        <x:v>2026-10-14_Day</x:v>
      </x:c>
      <x:c r="B40" s="6" t="str">
        <x:v>デイ</x:v>
      </x:c>
      <x:c r="C40" s="6" t="n">
        <x:v>424500</x:v>
      </x:c>
      <x:c r="D40" s="6" t="n">
        <x:v>1592000</x:v>
      </x:c>
      <x:c r="E40" s="6" t="n">
        <x:f>C40-D40</x:f>
        <x:v>-1167500</x:v>
      </x:c>
      <x:c r="F40" s="6" t="n">
        <x:f>F39+E40</x:f>
        <x:v>-46644000</x:v>
      </x:c>
      <x:c r="G40" s="6" t="n">
        <x:v>424500</x:v>
      </x:c>
      <x:c r="H40" s="6" t="n">
        <x:v>1592000</x:v>
      </x:c>
      <x:c r="I40" s="6" t="n">
        <x:v>322</x:v>
      </x:c>
      <x:c r="J40" s="6" t="n">
        <x:v>0</x:v>
      </x:c>
      <x:c r="K40" s="6" t="n">
        <x:v>0</x:v>
      </x:c>
      <x:c r="L40" s="6" t="n">
        <x:v>10</x:v>
      </x:c>
      <x:c r="M40" s="11" t="n">
        <x:v>0.7590873015873015</x:v>
      </x:c>
      <x:c r="N40" s="6" t="n">
        <x:v>1184500</x:v>
      </x:c>
    </x:row>
    <x:row r="41" ht="24" customHeight="1">
      <x:c r="A41" s="2" t="str">
        <x:v>2026-10-14_Night</x:v>
      </x:c>
      <x:c r="B41" s="6" t="str">
        <x:v>ナイト</x:v>
      </x:c>
      <x:c r="C41" s="6" t="n">
        <x:v>487500</x:v>
      </x:c>
      <x:c r="D41" s="6" t="n">
        <x:v>2107500</x:v>
      </x:c>
      <x:c r="E41" s="6" t="n">
        <x:f>C41-D41</x:f>
        <x:v>-1620000</x:v>
      </x:c>
      <x:c r="F41" s="6" t="n">
        <x:f>F40+E41</x:f>
        <x:v>-48264000</x:v>
      </x:c>
      <x:c r="G41" s="6" t="n">
        <x:v>487500</x:v>
      </x:c>
      <x:c r="H41" s="6" t="n">
        <x:v>2107500</x:v>
      </x:c>
      <x:c r="I41" s="6" t="n">
        <x:v>479</x:v>
      </x:c>
      <x:c r="J41" s="6" t="n">
        <x:v>0</x:v>
      </x:c>
      <x:c r="K41" s="6" t="n">
        <x:v>0</x:v>
      </x:c>
      <x:c r="L41" s="6" t="n">
        <x:v>10</x:v>
      </x:c>
      <x:c r="M41" s="11" t="n">
        <x:v>0.7456837606837606</x:v>
      </x:c>
      <x:c r="N41" s="6" t="n">
        <x:v>1628000</x:v>
      </x:c>
    </x:row>
    <x:row r="42" ht="24" customHeight="1">
      <x:c r="A42" s="2" t="str">
        <x:v>2026-10-15_Day</x:v>
      </x:c>
      <x:c r="B42" s="6" t="str">
        <x:v>デイ</x:v>
      </x:c>
      <x:c r="C42" s="6" t="n">
        <x:v>1170500</x:v>
      </x:c>
      <x:c r="D42" s="6" t="n">
        <x:v>2712500</x:v>
      </x:c>
      <x:c r="E42" s="6" t="n">
        <x:f>C42-D42</x:f>
        <x:v>-1542000</x:v>
      </x:c>
      <x:c r="F42" s="6" t="n">
        <x:f>F41+E42</x:f>
        <x:v>-49806000</x:v>
      </x:c>
      <x:c r="G42" s="6" t="n">
        <x:v>1170500</x:v>
      </x:c>
      <x:c r="H42" s="6" t="n">
        <x:v>2712500</x:v>
      </x:c>
      <x:c r="I42" s="6" t="n">
        <x:v>357</x:v>
      </x:c>
      <x:c r="J42" s="6" t="n">
        <x:v>0</x:v>
      </x:c>
      <x:c r="K42" s="6" t="n">
        <x:v>0</x:v>
      </x:c>
      <x:c r="L42" s="6" t="n">
        <x:v>10</x:v>
      </x:c>
      <x:c r="M42" s="11" t="n">
        <x:v>0.7926190476190477</x:v>
      </x:c>
      <x:c r="N42" s="6" t="n">
        <x:v>1558000</x:v>
      </x:c>
    </x:row>
    <x:row r="43" ht="24" customHeight="1">
      <x:c r="A43" s="2" t="str">
        <x:v>2026-10-15_Night</x:v>
      </x:c>
      <x:c r="B43" s="6" t="str">
        <x:v>ナイト</x:v>
      </x:c>
      <x:c r="C43" s="6" t="n">
        <x:v>864000</x:v>
      </x:c>
      <x:c r="D43" s="6" t="n">
        <x:v>2444000</x:v>
      </x:c>
      <x:c r="E43" s="6" t="n">
        <x:f>C43-D43</x:f>
        <x:v>-1580000</x:v>
      </x:c>
      <x:c r="F43" s="6" t="n">
        <x:f>F42+E43</x:f>
        <x:v>-51386000</x:v>
      </x:c>
      <x:c r="G43" s="6" t="n">
        <x:v>864000</x:v>
      </x:c>
      <x:c r="H43" s="6" t="n">
        <x:v>2444000</x:v>
      </x:c>
      <x:c r="I43" s="6" t="n">
        <x:v>505</x:v>
      </x:c>
      <x:c r="J43" s="6" t="n">
        <x:v>0</x:v>
      </x:c>
      <x:c r="K43" s="6" t="n">
        <x:v>0</x:v>
      </x:c>
      <x:c r="L43" s="6" t="n">
        <x:v>10</x:v>
      </x:c>
      <x:c r="M43" s="11" t="n">
        <x:v>0.7498290598290598</x:v>
      </x:c>
      <x:c r="N43" s="6" t="n">
        <x:v>1642500</x:v>
      </x:c>
    </x:row>
    <x:row r="44" ht="24" customHeight="1">
      <x:c r="A44" s="2" t="str">
        <x:v>2026-10-16_Day</x:v>
      </x:c>
      <x:c r="B44" s="6" t="str">
        <x:v>デイ</x:v>
      </x:c>
      <x:c r="C44" s="6" t="n">
        <x:v>711500</x:v>
      </x:c>
      <x:c r="D44" s="6" t="n">
        <x:v>2120500</x:v>
      </x:c>
      <x:c r="E44" s="6" t="n">
        <x:f>C44-D44</x:f>
        <x:v>-1409000</x:v>
      </x:c>
      <x:c r="F44" s="6" t="n">
        <x:f>F43+E44</x:f>
        <x:v>-52795000</x:v>
      </x:c>
      <x:c r="G44" s="6" t="n">
        <x:v>711500</x:v>
      </x:c>
      <x:c r="H44" s="6" t="n">
        <x:v>2120500</x:v>
      </x:c>
      <x:c r="I44" s="6" t="n">
        <x:v>343</x:v>
      </x:c>
      <x:c r="J44" s="6" t="n">
        <x:v>0</x:v>
      </x:c>
      <x:c r="K44" s="6" t="n">
        <x:v>0</x:v>
      </x:c>
      <x:c r="L44" s="6" t="n">
        <x:v>10</x:v>
      </x:c>
      <x:c r="M44" s="11" t="n">
        <x:v>0.7713492063492063</x:v>
      </x:c>
      <x:c r="N44" s="6" t="n">
        <x:v>1471500</x:v>
      </x:c>
    </x:row>
    <x:row r="45" ht="24" customHeight="1">
      <x:c r="A45" s="2" t="str">
        <x:v>2026-10-16_Night</x:v>
      </x:c>
      <x:c r="B45" s="6" t="str">
        <x:v>ナイト</x:v>
      </x:c>
      <x:c r="C45" s="6" t="n">
        <x:v>823500</x:v>
      </x:c>
      <x:c r="D45" s="6" t="n">
        <x:v>2700500</x:v>
      </x:c>
      <x:c r="E45" s="6" t="n">
        <x:f>C45-D45</x:f>
        <x:v>-1877000</x:v>
      </x:c>
      <x:c r="F45" s="6" t="n">
        <x:f>F44+E45</x:f>
        <x:v>-54672000</x:v>
      </x:c>
      <x:c r="G45" s="6" t="n">
        <x:v>823500</x:v>
      </x:c>
      <x:c r="H45" s="6" t="n">
        <x:v>2700500</x:v>
      </x:c>
      <x:c r="I45" s="6" t="n">
        <x:v>527</x:v>
      </x:c>
      <x:c r="J45" s="6" t="n">
        <x:v>0</x:v>
      </x:c>
      <x:c r="K45" s="6" t="n">
        <x:v>0</x:v>
      </x:c>
      <x:c r="L45" s="6" t="n">
        <x:v>10</x:v>
      </x:c>
      <x:c r="M45" s="11" t="n">
        <x:v>0.778974358974359</x:v>
      </x:c>
      <x:c r="N45" s="6" t="n">
        <x:v>1932000</x:v>
      </x:c>
    </x:row>
    <x:row r="46" ht="24" customHeight="1">
      <x:c r="A46" s="2" t="str">
        <x:v>2026-10-19_Day</x:v>
      </x:c>
      <x:c r="B46" s="6" t="str">
        <x:v>デイ</x:v>
      </x:c>
      <x:c r="C46" s="6" t="n">
        <x:v>771000</x:v>
      </x:c>
      <x:c r="D46" s="6" t="n">
        <x:v>2048000</x:v>
      </x:c>
      <x:c r="E46" s="6" t="n">
        <x:f>C46-D46</x:f>
        <x:v>-1277000</x:v>
      </x:c>
      <x:c r="F46" s="6" t="n">
        <x:f>F45+E46</x:f>
        <x:v>-55949000</x:v>
      </x:c>
      <x:c r="G46" s="6" t="n">
        <x:v>771000</x:v>
      </x:c>
      <x:c r="H46" s="6" t="n">
        <x:v>2048000</x:v>
      </x:c>
      <x:c r="I46" s="6" t="n">
        <x:v>357</x:v>
      </x:c>
      <x:c r="J46" s="6" t="n">
        <x:v>0</x:v>
      </x:c>
      <x:c r="K46" s="6" t="n">
        <x:v>0</x:v>
      </x:c>
      <x:c r="L46" s="6" t="n">
        <x:v>10</x:v>
      </x:c>
      <x:c r="M46" s="11" t="n">
        <x:v>0.7647619047619048</x:v>
      </x:c>
      <x:c r="N46" s="6" t="n">
        <x:v>1342000</x:v>
      </x:c>
    </x:row>
    <x:row r="47" ht="24" customHeight="1">
      <x:c r="A47" s="2" t="str">
        <x:v>2026-10-19_Night</x:v>
      </x:c>
      <x:c r="B47" s="6" t="str">
        <x:v>ナイト</x:v>
      </x:c>
      <x:c r="C47" s="6" t="n">
        <x:v>466000</x:v>
      </x:c>
      <x:c r="D47" s="6" t="n">
        <x:v>1858500</x:v>
      </x:c>
      <x:c r="E47" s="6" t="n">
        <x:f>C47-D47</x:f>
        <x:v>-1392500</x:v>
      </x:c>
      <x:c r="F47" s="6" t="n">
        <x:f>F46+E47</x:f>
        <x:v>-57341500</x:v>
      </x:c>
      <x:c r="G47" s="6" t="n">
        <x:v>466000</x:v>
      </x:c>
      <x:c r="H47" s="6" t="n">
        <x:v>1858500</x:v>
      </x:c>
      <x:c r="I47" s="6" t="n">
        <x:v>458</x:v>
      </x:c>
      <x:c r="J47" s="6" t="n">
        <x:v>0</x:v>
      </x:c>
      <x:c r="K47" s="6" t="n">
        <x:v>0</x:v>
      </x:c>
      <x:c r="L47" s="6" t="n">
        <x:v>10</x:v>
      </x:c>
      <x:c r="M47" s="11" t="n">
        <x:v>0.7167307692307693</x:v>
      </x:c>
      <x:c r="N47" s="6" t="n">
        <x:v>1392500</x:v>
      </x:c>
    </x:row>
    <x:row r="48" ht="24" customHeight="1">
      <x:c r="A48" s="2" t="str">
        <x:v>2026-10-20_Day</x:v>
      </x:c>
      <x:c r="B48" s="6" t="str">
        <x:v>デイ</x:v>
      </x:c>
      <x:c r="C48" s="6" t="n">
        <x:v>908500</x:v>
      </x:c>
      <x:c r="D48" s="6" t="n">
        <x:v>2001000</x:v>
      </x:c>
      <x:c r="E48" s="6" t="n">
        <x:f>C48-D48</x:f>
        <x:v>-1092500</x:v>
      </x:c>
      <x:c r="F48" s="6" t="n">
        <x:f>F47+E48</x:f>
        <x:v>-58434000</x:v>
      </x:c>
      <x:c r="G48" s="6" t="n">
        <x:v>908500</x:v>
      </x:c>
      <x:c r="H48" s="6" t="n">
        <x:v>2001000</x:v>
      </x:c>
      <x:c r="I48" s="6" t="n">
        <x:v>347</x:v>
      </x:c>
      <x:c r="J48" s="6" t="n">
        <x:v>0</x:v>
      </x:c>
      <x:c r="K48" s="6" t="n">
        <x:v>0</x:v>
      </x:c>
      <x:c r="L48" s="6" t="n">
        <x:v>10</x:v>
      </x:c>
      <x:c r="M48" s="11" t="n">
        <x:v>0.7777380952380952</x:v>
      </x:c>
      <x:c r="N48" s="6" t="n">
        <x:v>1166500</x:v>
      </x:c>
    </x:row>
    <x:row r="49" ht="24" customHeight="1">
      <x:c r="A49" s="2" t="str">
        <x:v>2026-10-20_Night</x:v>
      </x:c>
      <x:c r="B49" s="6" t="str">
        <x:v>ナイト</x:v>
      </x:c>
      <x:c r="C49" s="6" t="n">
        <x:v>662000</x:v>
      </x:c>
      <x:c r="D49" s="6" t="n">
        <x:v>2392500</x:v>
      </x:c>
      <x:c r="E49" s="6" t="n">
        <x:f>C49-D49</x:f>
        <x:v>-1730500</x:v>
      </x:c>
      <x:c r="F49" s="6" t="n">
        <x:f>F48+E49</x:f>
        <x:v>-60164500</x:v>
      </x:c>
      <x:c r="G49" s="6" t="n">
        <x:v>662000</x:v>
      </x:c>
      <x:c r="H49" s="6" t="n">
        <x:v>2392500</x:v>
      </x:c>
      <x:c r="I49" s="6" t="n">
        <x:v>500</x:v>
      </x:c>
      <x:c r="J49" s="6" t="n">
        <x:v>0</x:v>
      </x:c>
      <x:c r="K49" s="6" t="n">
        <x:v>0</x:v>
      </x:c>
      <x:c r="L49" s="6" t="n">
        <x:v>10</x:v>
      </x:c>
      <x:c r="M49" s="11" t="n">
        <x:v>0.7513034188034188</x:v>
      </x:c>
      <x:c r="N49" s="6" t="n">
        <x:v>1730500</x:v>
      </x:c>
    </x:row>
    <x:row r="50" ht="24" customHeight="1">
      <x:c r="A50" s="2" t="str">
        <x:v>2026-10-21_Day</x:v>
      </x:c>
      <x:c r="B50" s="6" t="str">
        <x:v>デイ</x:v>
      </x:c>
      <x:c r="C50" s="6" t="n">
        <x:v>547000</x:v>
      </x:c>
      <x:c r="D50" s="6" t="n">
        <x:v>1733000</x:v>
      </x:c>
      <x:c r="E50" s="6" t="n">
        <x:f>C50-D50</x:f>
        <x:v>-1186000</x:v>
      </x:c>
      <x:c r="F50" s="6" t="n">
        <x:f>F49+E50</x:f>
        <x:v>-61350500</x:v>
      </x:c>
      <x:c r="G50" s="6" t="n">
        <x:v>547000</x:v>
      </x:c>
      <x:c r="H50" s="6" t="n">
        <x:v>1733000</x:v>
      </x:c>
      <x:c r="I50" s="6" t="n">
        <x:v>327</x:v>
      </x:c>
      <x:c r="J50" s="6" t="n">
        <x:v>0</x:v>
      </x:c>
      <x:c r="K50" s="6" t="n">
        <x:v>0</x:v>
      </x:c>
      <x:c r="L50" s="6" t="n">
        <x:v>10</x:v>
      </x:c>
      <x:c r="M50" s="11" t="n">
        <x:v>0.7825793650793651</x:v>
      </x:c>
      <x:c r="N50" s="6" t="n">
        <x:v>1213500</x:v>
      </x:c>
    </x:row>
    <x:row r="51" ht="24" customHeight="1">
      <x:c r="A51" s="2" t="str">
        <x:v>2026-10-21_Night</x:v>
      </x:c>
      <x:c r="B51" s="6" t="str">
        <x:v>ナイト</x:v>
      </x:c>
      <x:c r="C51" s="6" t="n">
        <x:v>571000</x:v>
      </x:c>
      <x:c r="D51" s="6" t="n">
        <x:v>1700500</x:v>
      </x:c>
      <x:c r="E51" s="6" t="n">
        <x:f>C51-D51</x:f>
        <x:v>-1129500</x:v>
      </x:c>
      <x:c r="F51" s="6" t="n">
        <x:f>F50+E51</x:f>
        <x:v>-62480000</x:v>
      </x:c>
      <x:c r="G51" s="6" t="n">
        <x:v>571000</x:v>
      </x:c>
      <x:c r="H51" s="6" t="n">
        <x:v>1700500</x:v>
      </x:c>
      <x:c r="I51" s="6" t="n">
        <x:v>464</x:v>
      </x:c>
      <x:c r="J51" s="6" t="n">
        <x:v>0</x:v>
      </x:c>
      <x:c r="K51" s="6" t="n">
        <x:v>0</x:v>
      </x:c>
      <x:c r="L51" s="6" t="n">
        <x:v>10</x:v>
      </x:c>
      <x:c r="M51" s="11" t="n">
        <x:v>0.7178418803418803</x:v>
      </x:c>
      <x:c r="N51" s="6" t="n">
        <x:v>1129500</x:v>
      </x:c>
    </x:row>
    <x:row r="52" ht="24" customHeight="1">
      <x:c r="A52" s="2" t="str">
        <x:v>2026-10-22_Day</x:v>
      </x:c>
      <x:c r="B52" s="6" t="str">
        <x:v>デイ</x:v>
      </x:c>
      <x:c r="C52" s="6" t="n">
        <x:v>732500</x:v>
      </x:c>
      <x:c r="D52" s="6" t="n">
        <x:v>1685500</x:v>
      </x:c>
      <x:c r="E52" s="6" t="n">
        <x:f>C52-D52</x:f>
        <x:v>-953000</x:v>
      </x:c>
      <x:c r="F52" s="6" t="n">
        <x:f>F51+E52</x:f>
        <x:v>-63433000</x:v>
      </x:c>
      <x:c r="G52" s="6" t="n">
        <x:v>732500</x:v>
      </x:c>
      <x:c r="H52" s="6" t="n">
        <x:v>1685500</x:v>
      </x:c>
      <x:c r="I52" s="6" t="n">
        <x:v>338</x:v>
      </x:c>
      <x:c r="J52" s="6" t="n">
        <x:v>0</x:v>
      </x:c>
      <x:c r="K52" s="6" t="n">
        <x:v>0</x:v>
      </x:c>
      <x:c r="L52" s="6" t="n">
        <x:v>10</x:v>
      </x:c>
      <x:c r="M52" s="11" t="n">
        <x:v>0.7943650793650794</x:v>
      </x:c>
      <x:c r="N52" s="6" t="n">
        <x:v>1081500</x:v>
      </x:c>
    </x:row>
    <x:row r="53" ht="24" customHeight="1">
      <x:c r="A53" s="2" t="str">
        <x:v>2026-10-22_Night</x:v>
      </x:c>
      <x:c r="B53" s="6" t="str">
        <x:v>ナイト</x:v>
      </x:c>
      <x:c r="C53" s="6" t="n">
        <x:v>743000</x:v>
      </x:c>
      <x:c r="D53" s="6" t="n">
        <x:v>2466000</x:v>
      </x:c>
      <x:c r="E53" s="6" t="n">
        <x:f>C53-D53</x:f>
        <x:v>-1723000</x:v>
      </x:c>
      <x:c r="F53" s="6" t="n">
        <x:f>F52+E53</x:f>
        <x:v>-65156000</x:v>
      </x:c>
      <x:c r="G53" s="6" t="n">
        <x:v>743000</x:v>
      </x:c>
      <x:c r="H53" s="6" t="n">
        <x:v>2466000</x:v>
      </x:c>
      <x:c r="I53" s="6" t="n">
        <x:v>525</x:v>
      </x:c>
      <x:c r="J53" s="6" t="n">
        <x:v>0</x:v>
      </x:c>
      <x:c r="K53" s="6" t="n">
        <x:v>0</x:v>
      </x:c>
      <x:c r="L53" s="6" t="n">
        <x:v>10</x:v>
      </x:c>
      <x:c r="M53" s="11" t="n">
        <x:v>0.7518162393162393</x:v>
      </x:c>
      <x:c r="N53" s="6" t="n">
        <x:v>1723000</x:v>
      </x:c>
    </x:row>
    <x:row r="54" ht="24" customHeight="1">
      <x:c r="A54" s="2" t="str">
        <x:v>2026-10-23_Day</x:v>
      </x:c>
      <x:c r="B54" s="6" t="str">
        <x:v>デイ</x:v>
      </x:c>
      <x:c r="C54" s="6" t="n">
        <x:v>1570000</x:v>
      </x:c>
      <x:c r="D54" s="6" t="n">
        <x:v>3106500</x:v>
      </x:c>
      <x:c r="E54" s="6" t="n">
        <x:f>C54-D54</x:f>
        <x:v>-1536500</x:v>
      </x:c>
      <x:c r="F54" s="6" t="n">
        <x:f>F53+E54</x:f>
        <x:v>-66692500</x:v>
      </x:c>
      <x:c r="G54" s="6" t="n">
        <x:v>1570000</x:v>
      </x:c>
      <x:c r="H54" s="6" t="n">
        <x:v>3106500</x:v>
      </x:c>
      <x:c r="I54" s="6" t="n">
        <x:v>395</x:v>
      </x:c>
      <x:c r="J54" s="6" t="n">
        <x:v>0</x:v>
      </x:c>
      <x:c r="K54" s="6" t="n">
        <x:v>0</x:v>
      </x:c>
      <x:c r="L54" s="6" t="n">
        <x:v>10</x:v>
      </x:c>
      <x:c r="M54" s="11" t="n">
        <x:v>0.7829365079365079</x:v>
      </x:c>
      <x:c r="N54" s="6" t="n">
        <x:v>1602000</x:v>
      </x:c>
    </x:row>
    <x:row r="55" ht="24" customHeight="1">
      <x:c r="A55" s="2" t="str">
        <x:v>2026-10-23_Night</x:v>
      </x:c>
      <x:c r="B55" s="6" t="str">
        <x:v>ナイト</x:v>
      </x:c>
      <x:c r="C55" s="6" t="n">
        <x:v>735500</x:v>
      </x:c>
      <x:c r="D55" s="6" t="n">
        <x:v>2759500</x:v>
      </x:c>
      <x:c r="E55" s="6" t="n">
        <x:f>C55-D55</x:f>
        <x:v>-2024000</x:v>
      </x:c>
      <x:c r="F55" s="6" t="n">
        <x:f>F54+E55</x:f>
        <x:v>-68716500</x:v>
      </x:c>
      <x:c r="G55" s="6" t="n">
        <x:v>735500</x:v>
      </x:c>
      <x:c r="H55" s="6" t="n">
        <x:v>2759500</x:v>
      </x:c>
      <x:c r="I55" s="6" t="n">
        <x:v>512</x:v>
      </x:c>
      <x:c r="J55" s="6" t="n">
        <x:v>0</x:v>
      </x:c>
      <x:c r="K55" s="6" t="n">
        <x:v>0</x:v>
      </x:c>
      <x:c r="L55" s="6" t="n">
        <x:v>10</x:v>
      </x:c>
      <x:c r="M55" s="11" t="n">
        <x:v>0.721517094017094</x:v>
      </x:c>
      <x:c r="N55" s="6" t="n">
        <x:v>2025500</x:v>
      </x:c>
    </x:row>
    <x:row r="56" ht="24" customHeight="1">
      <x:c r="A56" s="2" t="str">
        <x:v>2026-10-26_Day</x:v>
      </x:c>
      <x:c r="B56" s="6" t="str">
        <x:v>デイ</x:v>
      </x:c>
      <x:c r="C56" s="6" t="n">
        <x:v>787500</x:v>
      </x:c>
      <x:c r="D56" s="6" t="n">
        <x:v>2626000</x:v>
      </x:c>
      <x:c r="E56" s="6" t="n">
        <x:f>C56-D56</x:f>
        <x:v>-1838500</x:v>
      </x:c>
      <x:c r="F56" s="6" t="n">
        <x:f>F55+E56</x:f>
        <x:v>-70555000</x:v>
      </x:c>
      <x:c r="G56" s="6" t="n">
        <x:v>787500</x:v>
      </x:c>
      <x:c r="H56" s="6" t="n">
        <x:v>2626000</x:v>
      </x:c>
      <x:c r="I56" s="6" t="n">
        <x:v>350</x:v>
      </x:c>
      <x:c r="J56" s="6" t="n">
        <x:v>0</x:v>
      </x:c>
      <x:c r="K56" s="6" t="n">
        <x:v>0</x:v>
      </x:c>
      <x:c r="L56" s="6" t="n">
        <x:v>10</x:v>
      </x:c>
      <x:c r="M56" s="11" t="n">
        <x:v>0.7831349206349206</x:v>
      </x:c>
      <x:c r="N56" s="6" t="n">
        <x:v>1852500</x:v>
      </x:c>
    </x:row>
    <x:row r="57" ht="24" customHeight="1">
      <x:c r="A57" s="15" t="str">
        <x:v>累計／平均／最大</x:v>
      </x:c>
      <x:c r="B57" s="16"/>
      <x:c r="C57" s="16" t="n">
        <x:f>SUM(C6:C56)</x:f>
        <x:v>29699000</x:v>
      </x:c>
      <x:c r="D57" s="16" t="n">
        <x:f>SUM(D6:D56)</x:f>
        <x:v>100254000</x:v>
      </x:c>
      <x:c r="E57" s="16" t="n">
        <x:f>C57-D57</x:f>
        <x:v>-70555000</x:v>
      </x:c>
      <x:c r="F57" s="16" t="n">
        <x:f>F56</x:f>
        <x:v>-70555000</x:v>
      </x:c>
      <x:c r="G57" s="16" t="n">
        <x:f>SUM(G6:G56)</x:f>
        <x:v>29699000</x:v>
      </x:c>
      <x:c r="H57" s="16" t="n">
        <x:f>SUM(H6:H56)</x:f>
        <x:v>100254000</x:v>
      </x:c>
      <x:c r="I57" s="16" t="n">
        <x:f>SUM(I6:I56)</x:f>
        <x:v>19866</x:v>
      </x:c>
      <x:c r="J57" s="16" t="n">
        <x:f>SUM(J6:J56)</x:f>
        <x:v>0</x:v>
      </x:c>
      <x:c r="K57" s="16" t="n">
        <x:f>SUM(K6:K56)</x:f>
        <x:v>0</x:v>
      </x:c>
      <x:c r="L57" s="16" t="n">
        <x:f>MAX(L6:L56)</x:f>
        <x:v>10</x:v>
      </x:c>
      <x:c r="M57" s="17" t="n">
        <x:f>AVERAGE(M6:M56)</x:f>
        <x:v>0.7388676410735234</x:v>
      </x:c>
      <x:c r="N57" s="16" t="n">
        <x:f>MAX(N6:N56)</x:f>
        <x:v>2399500</x:v>
      </x:c>
    </x:row>
  </x:sheetData>
  <x:conditionalFormatting sqref="E6:F56">
    <x:cfRule type="cellIs" dxfId="44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55741319b9a43e6"/>
  </x:tableParts>
</x:worksheet>
</file>

<file path=xl/worksheets/sheet4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1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4" customHeight="1">
      <x:c r="A1" s="3" t="str">
        <x:v>TOPIX M04　各セッションの利益・損失・収支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A2" s="4" t="str">
        <x:v>2026/09/21〜10/26デイ・51完了場。日経mini／TOPIXmini各上限10枚・手数料0。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4" customHeight="1">
      <x:c r="A3" s="4" t="str">
        <x:v>60秒の時間加重平均を30秒前と比較。保有中も傾き比例で増減、利益追尾で返済。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4" customHeight="1">
      <x:c r="A4" s="4" t="str">
        <x:v>利益・損失＝FIFO返済配賦別。親＝初回から全返済まで。ラージ気配による模型で、mini実約定の検証ではありません。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42" customHeight="1">
      <x:c r="A5" s="10" t="str">
        <x:v>セッション</x:v>
      </x:c>
      <x:c r="B5" s="10" t="str">
        <x:v>区分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親利益（円）</x:v>
      </x:c>
      <x:c r="H5" s="10" t="str">
        <x:v>親損失（円）</x:v>
      </x:c>
      <x:c r="I5" s="10" t="str">
        <x:v>初回件数</x:v>
      </x:c>
      <x:c r="J5" s="10" t="str">
        <x:v>追加件数</x:v>
      </x:c>
      <x:c r="K5" s="10" t="str">
        <x:v>縮小件数</x:v>
      </x:c>
      <x:c r="L5" s="10" t="str">
        <x:v>最大保有枚数</x:v>
      </x:c>
      <x:c r="M5" s="10" t="str">
        <x:v>保有時間率</x:v>
      </x:c>
      <x:c r="N5" s="10" t="str">
        <x:v>時価最大DD（円）</x:v>
      </x:c>
    </x:row>
    <x:row r="6" ht="24" customHeight="1">
      <x:c r="A6" s="2" t="str">
        <x:v>2026-09-21_Day</x:v>
      </x:c>
      <x:c r="B6" s="6" t="str">
        <x:v>デイ</x:v>
      </x:c>
      <x:c r="C6" s="6" t="n">
        <x:v>212500</x:v>
      </x:c>
      <x:c r="D6" s="6" t="n">
        <x:v>893000</x:v>
      </x:c>
      <x:c r="E6" s="6" t="n">
        <x:f>C6-D6</x:f>
        <x:v>-680500</x:v>
      </x:c>
      <x:c r="F6" s="6" t="n">
        <x:f>E6</x:f>
        <x:v>-680500</x:v>
      </x:c>
      <x:c r="G6" s="6" t="n">
        <x:v>126000</x:v>
      </x:c>
      <x:c r="H6" s="6" t="n">
        <x:v>806500</x:v>
      </x:c>
      <x:c r="I6" s="6" t="n">
        <x:v>30</x:v>
      </x:c>
      <x:c r="J6" s="6" t="n">
        <x:v>144</x:v>
      </x:c>
      <x:c r="K6" s="6" t="n">
        <x:v>169</x:v>
      </x:c>
      <x:c r="L6" s="6" t="n">
        <x:v>10</x:v>
      </x:c>
      <x:c r="M6" s="11" t="n">
        <x:v>0.9353571428571429</x:v>
      </x:c>
      <x:c r="N6" s="6" t="n">
        <x:v>706000</x:v>
      </x:c>
    </x:row>
    <x:row r="7" ht="24" customHeight="1">
      <x:c r="A7" s="2" t="str">
        <x:v>2026-09-21_Night</x:v>
      </x:c>
      <x:c r="B7" s="6" t="str">
        <x:v>ナイト</x:v>
      </x:c>
      <x:c r="C7" s="6" t="n">
        <x:v>99500</x:v>
      </x:c>
      <x:c r="D7" s="6" t="n">
        <x:v>921500</x:v>
      </x:c>
      <x:c r="E7" s="6" t="n">
        <x:f>C7-D7</x:f>
        <x:v>-822000</x:v>
      </x:c>
      <x:c r="F7" s="6" t="n">
        <x:f>F6+E7</x:f>
        <x:v>-1502500</x:v>
      </x:c>
      <x:c r="G7" s="6" t="n">
        <x:v>22500</x:v>
      </x:c>
      <x:c r="H7" s="6" t="n">
        <x:v>844500</x:v>
      </x:c>
      <x:c r="I7" s="6" t="n">
        <x:v>27</x:v>
      </x:c>
      <x:c r="J7" s="6" t="n">
        <x:v>304</x:v>
      </x:c>
      <x:c r="K7" s="6" t="n">
        <x:v>303</x:v>
      </x:c>
      <x:c r="L7" s="6" t="n">
        <x:v>10</x:v>
      </x:c>
      <x:c r="M7" s="11" t="n">
        <x:v>0.9590811965811966</x:v>
      </x:c>
      <x:c r="N7" s="6" t="n">
        <x:v>849500</x:v>
      </x:c>
    </x:row>
    <x:row r="8" ht="24" customHeight="1">
      <x:c r="A8" s="2" t="str">
        <x:v>2026-09-22_Day</x:v>
      </x:c>
      <x:c r="B8" s="6" t="str">
        <x:v>デイ</x:v>
      </x:c>
      <x:c r="C8" s="6" t="n">
        <x:v>154000</x:v>
      </x:c>
      <x:c r="D8" s="6" t="n">
        <x:v>1033500</x:v>
      </x:c>
      <x:c r="E8" s="6" t="n">
        <x:f>C8-D8</x:f>
        <x:v>-879500</x:v>
      </x:c>
      <x:c r="F8" s="6" t="n">
        <x:f>F7+E8</x:f>
        <x:v>-2382000</x:v>
      </x:c>
      <x:c r="G8" s="6" t="n">
        <x:v>40000</x:v>
      </x:c>
      <x:c r="H8" s="6" t="n">
        <x:v>919500</x:v>
      </x:c>
      <x:c r="I8" s="6" t="n">
        <x:v>31</x:v>
      </x:c>
      <x:c r="J8" s="6" t="n">
        <x:v>232</x:v>
      </x:c>
      <x:c r="K8" s="6" t="n">
        <x:v>229</x:v>
      </x:c>
      <x:c r="L8" s="6" t="n">
        <x:v>10</x:v>
      </x:c>
      <x:c r="M8" s="11" t="n">
        <x:v>0.9382936507936508</x:v>
      </x:c>
      <x:c r="N8" s="6" t="n">
        <x:v>895500</x:v>
      </x:c>
    </x:row>
    <x:row r="9" ht="24" customHeight="1">
      <x:c r="A9" s="2" t="str">
        <x:v>2026-09-22_Night</x:v>
      </x:c>
      <x:c r="B9" s="6" t="str">
        <x:v>ナイト</x:v>
      </x:c>
      <x:c r="C9" s="6" t="n">
        <x:v>323500</x:v>
      </x:c>
      <x:c r="D9" s="6" t="n">
        <x:v>1801500</x:v>
      </x:c>
      <x:c r="E9" s="6" t="n">
        <x:f>C9-D9</x:f>
        <x:v>-1478000</x:v>
      </x:c>
      <x:c r="F9" s="6" t="n">
        <x:f>F8+E9</x:f>
        <x:v>-3860000</x:v>
      </x:c>
      <x:c r="G9" s="6" t="n">
        <x:v>136500</x:v>
      </x:c>
      <x:c r="H9" s="6" t="n">
        <x:v>1614500</x:v>
      </x:c>
      <x:c r="I9" s="6" t="n">
        <x:v>60</x:v>
      </x:c>
      <x:c r="J9" s="6" t="n">
        <x:v>412</x:v>
      </x:c>
      <x:c r="K9" s="6" t="n">
        <x:v>427</x:v>
      </x:c>
      <x:c r="L9" s="6" t="n">
        <x:v>10</x:v>
      </x:c>
      <x:c r="M9" s="11" t="n">
        <x:v>0.9029487179487179</x:v>
      </x:c>
      <x:c r="N9" s="6" t="n">
        <x:v>1493000</x:v>
      </x:c>
    </x:row>
    <x:row r="10" ht="24" customHeight="1">
      <x:c r="A10" s="2" t="str">
        <x:v>2026-09-23_Day</x:v>
      </x:c>
      <x:c r="B10" s="6" t="str">
        <x:v>デイ</x:v>
      </x:c>
      <x:c r="C10" s="6" t="n">
        <x:v>155500</x:v>
      </x:c>
      <x:c r="D10" s="6" t="n">
        <x:v>839000</x:v>
      </x:c>
      <x:c r="E10" s="6" t="n">
        <x:f>C10-D10</x:f>
        <x:v>-683500</x:v>
      </x:c>
      <x:c r="F10" s="6" t="n">
        <x:f>F9+E10</x:f>
        <x:v>-4543500</x:v>
      </x:c>
      <x:c r="G10" s="6" t="n">
        <x:v>50000</x:v>
      </x:c>
      <x:c r="H10" s="6" t="n">
        <x:v>733500</x:v>
      </x:c>
      <x:c r="I10" s="6" t="n">
        <x:v>26</x:v>
      </x:c>
      <x:c r="J10" s="6" t="n">
        <x:v>177</x:v>
      </x:c>
      <x:c r="K10" s="6" t="n">
        <x:v>193</x:v>
      </x:c>
      <x:c r="L10" s="6" t="n">
        <x:v>10</x:v>
      </x:c>
      <x:c r="M10" s="11" t="n">
        <x:v>0.9519047619047619</x:v>
      </x:c>
      <x:c r="N10" s="6" t="n">
        <x:v>715500</x:v>
      </x:c>
    </x:row>
    <x:row r="11" ht="24" customHeight="1">
      <x:c r="A11" s="2" t="str">
        <x:v>2026-09-23_Night</x:v>
      </x:c>
      <x:c r="B11" s="6" t="str">
        <x:v>ナイト</x:v>
      </x:c>
      <x:c r="C11" s="6" t="n">
        <x:v>228000</x:v>
      </x:c>
      <x:c r="D11" s="6" t="n">
        <x:v>1255000</x:v>
      </x:c>
      <x:c r="E11" s="6" t="n">
        <x:f>C11-D11</x:f>
        <x:v>-1027000</x:v>
      </x:c>
      <x:c r="F11" s="6" t="n">
        <x:f>F10+E11</x:f>
        <x:v>-5570500</x:v>
      </x:c>
      <x:c r="G11" s="6" t="n">
        <x:v>55000</x:v>
      </x:c>
      <x:c r="H11" s="6" t="n">
        <x:v>1082000</x:v>
      </x:c>
      <x:c r="I11" s="6" t="n">
        <x:v>34</x:v>
      </x:c>
      <x:c r="J11" s="6" t="n">
        <x:v>343</x:v>
      </x:c>
      <x:c r="K11" s="6" t="n">
        <x:v>345</x:v>
      </x:c>
      <x:c r="L11" s="6" t="n">
        <x:v>10</x:v>
      </x:c>
      <x:c r="M11" s="11" t="n">
        <x:v>0.9666880341880342</x:v>
      </x:c>
      <x:c r="N11" s="6" t="n">
        <x:v>1028000</x:v>
      </x:c>
    </x:row>
    <x:row r="12" ht="24" customHeight="1">
      <x:c r="A12" s="2" t="str">
        <x:v>2026-09-24_Day</x:v>
      </x:c>
      <x:c r="B12" s="6" t="str">
        <x:v>デイ</x:v>
      </x:c>
      <x:c r="C12" s="6" t="n">
        <x:v>643000</x:v>
      </x:c>
      <x:c r="D12" s="6" t="n">
        <x:v>1830000</x:v>
      </x:c>
      <x:c r="E12" s="6" t="n">
        <x:f>C12-D12</x:f>
        <x:v>-1187000</x:v>
      </x:c>
      <x:c r="F12" s="6" t="n">
        <x:f>F11+E12</x:f>
        <x:v>-6757500</x:v>
      </x:c>
      <x:c r="G12" s="6" t="n">
        <x:v>429000</x:v>
      </x:c>
      <x:c r="H12" s="6" t="n">
        <x:v>1616000</x:v>
      </x:c>
      <x:c r="I12" s="6" t="n">
        <x:v>73</x:v>
      </x:c>
      <x:c r="J12" s="6" t="n">
        <x:v>314</x:v>
      </x:c>
      <x:c r="K12" s="6" t="n">
        <x:v>357</x:v>
      </x:c>
      <x:c r="L12" s="6" t="n">
        <x:v>10</x:v>
      </x:c>
      <x:c r="M12" s="11" t="n">
        <x:v>0.9396428571428571</x:v>
      </x:c>
      <x:c r="N12" s="6" t="n">
        <x:v>1268000</x:v>
      </x:c>
    </x:row>
    <x:row r="13" ht="24" customHeight="1">
      <x:c r="A13" s="2" t="str">
        <x:v>2026-09-24_Night</x:v>
      </x:c>
      <x:c r="B13" s="6" t="str">
        <x:v>ナイト</x:v>
      </x:c>
      <x:c r="C13" s="6" t="n">
        <x:v>615000</x:v>
      </x:c>
      <x:c r="D13" s="6" t="n">
        <x:v>1973000</x:v>
      </x:c>
      <x:c r="E13" s="6" t="n">
        <x:f>C13-D13</x:f>
        <x:v>-1358000</x:v>
      </x:c>
      <x:c r="F13" s="6" t="n">
        <x:f>F12+E13</x:f>
        <x:v>-8115500</x:v>
      </x:c>
      <x:c r="G13" s="6" t="n">
        <x:v>288000</x:v>
      </x:c>
      <x:c r="H13" s="6" t="n">
        <x:v>1646000</x:v>
      </x:c>
      <x:c r="I13" s="6" t="n">
        <x:v>80</x:v>
      </x:c>
      <x:c r="J13" s="6" t="n">
        <x:v>457</x:v>
      </x:c>
      <x:c r="K13" s="6" t="n">
        <x:v>509</x:v>
      </x:c>
      <x:c r="L13" s="6" t="n">
        <x:v>10</x:v>
      </x:c>
      <x:c r="M13" s="11" t="n">
        <x:v>0.9483974358974359</x:v>
      </x:c>
      <x:c r="N13" s="6" t="n">
        <x:v>1395500</x:v>
      </x:c>
    </x:row>
    <x:row r="14" ht="24" customHeight="1">
      <x:c r="A14" s="2" t="str">
        <x:v>2026-09-25_Day</x:v>
      </x:c>
      <x:c r="B14" s="6" t="str">
        <x:v>デイ</x:v>
      </x:c>
      <x:c r="C14" s="6" t="n">
        <x:v>403500</x:v>
      </x:c>
      <x:c r="D14" s="6" t="n">
        <x:v>1596000</x:v>
      </x:c>
      <x:c r="E14" s="6" t="n">
        <x:f>C14-D14</x:f>
        <x:v>-1192500</x:v>
      </x:c>
      <x:c r="F14" s="6" t="n">
        <x:f>F13+E14</x:f>
        <x:v>-9308000</x:v>
      </x:c>
      <x:c r="G14" s="6" t="n">
        <x:v>201500</x:v>
      </x:c>
      <x:c r="H14" s="6" t="n">
        <x:v>1394000</x:v>
      </x:c>
      <x:c r="I14" s="6" t="n">
        <x:v>62</x:v>
      </x:c>
      <x:c r="J14" s="6" t="n">
        <x:v>320</x:v>
      </x:c>
      <x:c r="K14" s="6" t="n">
        <x:v>363</x:v>
      </x:c>
      <x:c r="L14" s="6" t="n">
        <x:v>10</x:v>
      </x:c>
      <x:c r="M14" s="11" t="n">
        <x:v>0.9422619047619047</x:v>
      </x:c>
      <x:c r="N14" s="6" t="n">
        <x:v>1219000</x:v>
      </x:c>
    </x:row>
    <x:row r="15" ht="24" customHeight="1">
      <x:c r="A15" s="2" t="str">
        <x:v>2026-09-25_Night</x:v>
      </x:c>
      <x:c r="B15" s="6" t="str">
        <x:v>ナイト</x:v>
      </x:c>
      <x:c r="C15" s="6" t="n">
        <x:v>388000</x:v>
      </x:c>
      <x:c r="D15" s="6" t="n">
        <x:v>1639500</x:v>
      </x:c>
      <x:c r="E15" s="6" t="n">
        <x:f>C15-D15</x:f>
        <x:v>-1251500</x:v>
      </x:c>
      <x:c r="F15" s="6" t="n">
        <x:f>F14+E15</x:f>
        <x:v>-10559500</x:v>
      </x:c>
      <x:c r="G15" s="6" t="n">
        <x:v>188000</x:v>
      </x:c>
      <x:c r="H15" s="6" t="n">
        <x:v>1439500</x:v>
      </x:c>
      <x:c r="I15" s="6" t="n">
        <x:v>52</x:v>
      </x:c>
      <x:c r="J15" s="6" t="n">
        <x:v>483</x:v>
      </x:c>
      <x:c r="K15" s="6" t="n">
        <x:v>485</x:v>
      </x:c>
      <x:c r="L15" s="6" t="n">
        <x:v>10</x:v>
      </x:c>
      <x:c r="M15" s="11" t="n">
        <x:v>0.9618376068376069</x:v>
      </x:c>
      <x:c r="N15" s="6" t="n">
        <x:v>1329500</x:v>
      </x:c>
    </x:row>
    <x:row r="16" ht="24" customHeight="1">
      <x:c r="A16" s="2" t="str">
        <x:v>2026-09-28_Day</x:v>
      </x:c>
      <x:c r="B16" s="6" t="str">
        <x:v>デイ</x:v>
      </x:c>
      <x:c r="C16" s="6" t="n">
        <x:v>588500</x:v>
      </x:c>
      <x:c r="D16" s="6" t="n">
        <x:v>1307000</x:v>
      </x:c>
      <x:c r="E16" s="6" t="n">
        <x:f>C16-D16</x:f>
        <x:v>-718500</x:v>
      </x:c>
      <x:c r="F16" s="6" t="n">
        <x:f>F15+E16</x:f>
        <x:v>-11278000</x:v>
      </x:c>
      <x:c r="G16" s="6" t="n">
        <x:v>338000</x:v>
      </x:c>
      <x:c r="H16" s="6" t="n">
        <x:v>1056500</x:v>
      </x:c>
      <x:c r="I16" s="6" t="n">
        <x:v>52</x:v>
      </x:c>
      <x:c r="J16" s="6" t="n">
        <x:v>362</x:v>
      </x:c>
      <x:c r="K16" s="6" t="n">
        <x:v>363</x:v>
      </x:c>
      <x:c r="L16" s="6" t="n">
        <x:v>10</x:v>
      </x:c>
      <x:c r="M16" s="11" t="n">
        <x:v>0.9461111111111111</x:v>
      </x:c>
      <x:c r="N16" s="6" t="n">
        <x:v>752000</x:v>
      </x:c>
    </x:row>
    <x:row r="17" ht="24" customHeight="1">
      <x:c r="A17" s="2" t="str">
        <x:v>2026-09-28_Night</x:v>
      </x:c>
      <x:c r="B17" s="6" t="str">
        <x:v>ナイト</x:v>
      </x:c>
      <x:c r="C17" s="6" t="n">
        <x:v>662000</x:v>
      </x:c>
      <x:c r="D17" s="6" t="n">
        <x:v>1795000</x:v>
      </x:c>
      <x:c r="E17" s="6" t="n">
        <x:f>C17-D17</x:f>
        <x:v>-1133000</x:v>
      </x:c>
      <x:c r="F17" s="6" t="n">
        <x:f>F16+E17</x:f>
        <x:v>-12411000</x:v>
      </x:c>
      <x:c r="G17" s="6" t="n">
        <x:v>347000</x:v>
      </x:c>
      <x:c r="H17" s="6" t="n">
        <x:v>1480000</x:v>
      </x:c>
      <x:c r="I17" s="6" t="n">
        <x:v>67</x:v>
      </x:c>
      <x:c r="J17" s="6" t="n">
        <x:v>444</x:v>
      </x:c>
      <x:c r="K17" s="6" t="n">
        <x:v>494</x:v>
      </x:c>
      <x:c r="L17" s="6" t="n">
        <x:v>10</x:v>
      </x:c>
      <x:c r="M17" s="11" t="n">
        <x:v>0.9630555555555556</x:v>
      </x:c>
      <x:c r="N17" s="6" t="n">
        <x:v>1163500</x:v>
      </x:c>
    </x:row>
    <x:row r="18" ht="24" customHeight="1">
      <x:c r="A18" s="2" t="str">
        <x:v>2026-09-29_Day</x:v>
      </x:c>
      <x:c r="B18" s="6" t="str">
        <x:v>デイ</x:v>
      </x:c>
      <x:c r="C18" s="6" t="n">
        <x:v>624500</x:v>
      </x:c>
      <x:c r="D18" s="6" t="n">
        <x:v>1842500</x:v>
      </x:c>
      <x:c r="E18" s="6" t="n">
        <x:f>C18-D18</x:f>
        <x:v>-1218000</x:v>
      </x:c>
      <x:c r="F18" s="6" t="n">
        <x:f>F17+E18</x:f>
        <x:v>-13629000</x:v>
      </x:c>
      <x:c r="G18" s="6" t="n">
        <x:v>439500</x:v>
      </x:c>
      <x:c r="H18" s="6" t="n">
        <x:v>1657500</x:v>
      </x:c>
      <x:c r="I18" s="6" t="n">
        <x:v>70</x:v>
      </x:c>
      <x:c r="J18" s="6" t="n">
        <x:v>347</x:v>
      </x:c>
      <x:c r="K18" s="6" t="n">
        <x:v>385</x:v>
      </x:c>
      <x:c r="L18" s="6" t="n">
        <x:v>10</x:v>
      </x:c>
      <x:c r="M18" s="11" t="n">
        <x:v>0.9386111111111111</x:v>
      </x:c>
      <x:c r="N18" s="6" t="n">
        <x:v>1390500</x:v>
      </x:c>
    </x:row>
    <x:row r="19" ht="24" customHeight="1">
      <x:c r="A19" s="2" t="str">
        <x:v>2026-09-29_Night</x:v>
      </x:c>
      <x:c r="B19" s="6" t="str">
        <x:v>ナイト</x:v>
      </x:c>
      <x:c r="C19" s="6" t="n">
        <x:v>221000</x:v>
      </x:c>
      <x:c r="D19" s="6" t="n">
        <x:v>1695000</x:v>
      </x:c>
      <x:c r="E19" s="6" t="n">
        <x:f>C19-D19</x:f>
        <x:v>-1474000</x:v>
      </x:c>
      <x:c r="F19" s="6" t="n">
        <x:f>F18+E19</x:f>
        <x:v>-15103000</x:v>
      </x:c>
      <x:c r="G19" s="6" t="n">
        <x:v>47000</x:v>
      </x:c>
      <x:c r="H19" s="6" t="n">
        <x:v>1521000</x:v>
      </x:c>
      <x:c r="I19" s="6" t="n">
        <x:v>44</x:v>
      </x:c>
      <x:c r="J19" s="6" t="n">
        <x:v>429</x:v>
      </x:c>
      <x:c r="K19" s="6" t="n">
        <x:v>463</x:v>
      </x:c>
      <x:c r="L19" s="6" t="n">
        <x:v>10</x:v>
      </x:c>
      <x:c r="M19" s="11" t="n">
        <x:v>0.9688247863247863</x:v>
      </x:c>
      <x:c r="N19" s="6" t="n">
        <x:v>1474000</x:v>
      </x:c>
    </x:row>
    <x:row r="20" ht="24" customHeight="1">
      <x:c r="A20" s="2" t="str">
        <x:v>2026-09-30_Day</x:v>
      </x:c>
      <x:c r="B20" s="6" t="str">
        <x:v>デイ</x:v>
      </x:c>
      <x:c r="C20" s="6" t="n">
        <x:v>586500</x:v>
      </x:c>
      <x:c r="D20" s="6" t="n">
        <x:v>1677500</x:v>
      </x:c>
      <x:c r="E20" s="6" t="n">
        <x:f>C20-D20</x:f>
        <x:v>-1091000</x:v>
      </x:c>
      <x:c r="F20" s="6" t="n">
        <x:f>F19+E20</x:f>
        <x:v>-16194000</x:v>
      </x:c>
      <x:c r="G20" s="6" t="n">
        <x:v>339500</x:v>
      </x:c>
      <x:c r="H20" s="6" t="n">
        <x:v>1430500</x:v>
      </x:c>
      <x:c r="I20" s="6" t="n">
        <x:v>62</x:v>
      </x:c>
      <x:c r="J20" s="6" t="n">
        <x:v>365</x:v>
      </x:c>
      <x:c r="K20" s="6" t="n">
        <x:v>371</x:v>
      </x:c>
      <x:c r="L20" s="6" t="n">
        <x:v>10</x:v>
      </x:c>
      <x:c r="M20" s="11" t="n">
        <x:v>0.9441666666666667</x:v>
      </x:c>
      <x:c r="N20" s="6" t="n">
        <x:v>1138000</x:v>
      </x:c>
    </x:row>
    <x:row r="21" ht="24" customHeight="1">
      <x:c r="A21" s="2" t="str">
        <x:v>2026-09-30_Night</x:v>
      </x:c>
      <x:c r="B21" s="6" t="str">
        <x:v>ナイト</x:v>
      </x:c>
      <x:c r="C21" s="6" t="n">
        <x:v>569000</x:v>
      </x:c>
      <x:c r="D21" s="6" t="n">
        <x:v>2253500</x:v>
      </x:c>
      <x:c r="E21" s="6" t="n">
        <x:f>C21-D21</x:f>
        <x:v>-1684500</x:v>
      </x:c>
      <x:c r="F21" s="6" t="n">
        <x:f>F20+E21</x:f>
        <x:v>-17878500</x:v>
      </x:c>
      <x:c r="G21" s="6" t="n">
        <x:v>233500</x:v>
      </x:c>
      <x:c r="H21" s="6" t="n">
        <x:v>1918000</x:v>
      </x:c>
      <x:c r="I21" s="6" t="n">
        <x:v>84</x:v>
      </x:c>
      <x:c r="J21" s="6" t="n">
        <x:v>515</x:v>
      </x:c>
      <x:c r="K21" s="6" t="n">
        <x:v>561</x:v>
      </x:c>
      <x:c r="L21" s="6" t="n">
        <x:v>10</x:v>
      </x:c>
      <x:c r="M21" s="11" t="n">
        <x:v>0.9529914529914529</x:v>
      </x:c>
      <x:c r="N21" s="6" t="n">
        <x:v>1688500</x:v>
      </x:c>
    </x:row>
    <x:row r="22" ht="24" customHeight="1">
      <x:c r="A22" s="2" t="str">
        <x:v>2026-10-01_Day</x:v>
      </x:c>
      <x:c r="B22" s="6" t="str">
        <x:v>デイ</x:v>
      </x:c>
      <x:c r="C22" s="6" t="n">
        <x:v>500000</x:v>
      </x:c>
      <x:c r="D22" s="6" t="n">
        <x:v>1530000</x:v>
      </x:c>
      <x:c r="E22" s="6" t="n">
        <x:f>C22-D22</x:f>
        <x:v>-1030000</x:v>
      </x:c>
      <x:c r="F22" s="6" t="n">
        <x:f>F21+E22</x:f>
        <x:v>-18908500</x:v>
      </x:c>
      <x:c r="G22" s="6" t="n">
        <x:v>249500</x:v>
      </x:c>
      <x:c r="H22" s="6" t="n">
        <x:v>1279500</x:v>
      </x:c>
      <x:c r="I22" s="6" t="n">
        <x:v>61</x:v>
      </x:c>
      <x:c r="J22" s="6" t="n">
        <x:v>312</x:v>
      </x:c>
      <x:c r="K22" s="6" t="n">
        <x:v>366</x:v>
      </x:c>
      <x:c r="L22" s="6" t="n">
        <x:v>10</x:v>
      </x:c>
      <x:c r="M22" s="11" t="n">
        <x:v>0.9417063492063492</x:v>
      </x:c>
      <x:c r="N22" s="6" t="n">
        <x:v>1103500</x:v>
      </x:c>
    </x:row>
    <x:row r="23" ht="24" customHeight="1">
      <x:c r="A23" s="2" t="str">
        <x:v>2026-10-01_Night</x:v>
      </x:c>
      <x:c r="B23" s="6" t="str">
        <x:v>ナイト</x:v>
      </x:c>
      <x:c r="C23" s="6" t="n">
        <x:v>566500</x:v>
      </x:c>
      <x:c r="D23" s="6" t="n">
        <x:v>2468500</x:v>
      </x:c>
      <x:c r="E23" s="6" t="n">
        <x:f>C23-D23</x:f>
        <x:v>-1902000</x:v>
      </x:c>
      <x:c r="F23" s="6" t="n">
        <x:f>F22+E23</x:f>
        <x:v>-20810500</x:v>
      </x:c>
      <x:c r="G23" s="6" t="n">
        <x:v>226500</x:v>
      </x:c>
      <x:c r="H23" s="6" t="n">
        <x:v>2128500</x:v>
      </x:c>
      <x:c r="I23" s="6" t="n">
        <x:v>88</x:v>
      </x:c>
      <x:c r="J23" s="6" t="n">
        <x:v>540</x:v>
      </x:c>
      <x:c r="K23" s="6" t="n">
        <x:v>590</x:v>
      </x:c>
      <x:c r="L23" s="6" t="n">
        <x:v>10</x:v>
      </x:c>
      <x:c r="M23" s="11" t="n">
        <x:v>0.9486752136752137</x:v>
      </x:c>
      <x:c r="N23" s="6" t="n">
        <x:v>1902500</x:v>
      </x:c>
    </x:row>
    <x:row r="24" ht="24" customHeight="1">
      <x:c r="A24" s="2" t="str">
        <x:v>2026-10-02_Day</x:v>
      </x:c>
      <x:c r="B24" s="6" t="str">
        <x:v>デイ</x:v>
      </x:c>
      <x:c r="C24" s="6" t="n">
        <x:v>407500</x:v>
      </x:c>
      <x:c r="D24" s="6" t="n">
        <x:v>1618000</x:v>
      </x:c>
      <x:c r="E24" s="6" t="n">
        <x:f>C24-D24</x:f>
        <x:v>-1210500</x:v>
      </x:c>
      <x:c r="F24" s="6" t="n">
        <x:f>F23+E24</x:f>
        <x:v>-22021000</x:v>
      </x:c>
      <x:c r="G24" s="6" t="n">
        <x:v>182000</x:v>
      </x:c>
      <x:c r="H24" s="6" t="n">
        <x:v>1392500</x:v>
      </x:c>
      <x:c r="I24" s="6" t="n">
        <x:v>67</x:v>
      </x:c>
      <x:c r="J24" s="6" t="n">
        <x:v>344</x:v>
      </x:c>
      <x:c r="K24" s="6" t="n">
        <x:v>365</x:v>
      </x:c>
      <x:c r="L24" s="6" t="n">
        <x:v>10</x:v>
      </x:c>
      <x:c r="M24" s="11" t="n">
        <x:v>0.9421825396825397</x:v>
      </x:c>
      <x:c r="N24" s="6" t="n">
        <x:v>1223500</x:v>
      </x:c>
    </x:row>
    <x:row r="25" ht="24" customHeight="1">
      <x:c r="A25" s="2" t="str">
        <x:v>2026-10-02_Night</x:v>
      </x:c>
      <x:c r="B25" s="6" t="str">
        <x:v>ナイト</x:v>
      </x:c>
      <x:c r="C25" s="6" t="n">
        <x:v>571500</x:v>
      </x:c>
      <x:c r="D25" s="6" t="n">
        <x:v>2183500</x:v>
      </x:c>
      <x:c r="E25" s="6" t="n">
        <x:f>C25-D25</x:f>
        <x:v>-1612000</x:v>
      </x:c>
      <x:c r="F25" s="6" t="n">
        <x:f>F24+E25</x:f>
        <x:v>-23633000</x:v>
      </x:c>
      <x:c r="G25" s="6" t="n">
        <x:v>329000</x:v>
      </x:c>
      <x:c r="H25" s="6" t="n">
        <x:v>1941000</x:v>
      </x:c>
      <x:c r="I25" s="6" t="n">
        <x:v>83</x:v>
      </x:c>
      <x:c r="J25" s="6" t="n">
        <x:v>512</x:v>
      </x:c>
      <x:c r="K25" s="6" t="n">
        <x:v>536</x:v>
      </x:c>
      <x:c r="L25" s="6" t="n">
        <x:v>10</x:v>
      </x:c>
      <x:c r="M25" s="11" t="n">
        <x:v>0.9506196581196581</x:v>
      </x:c>
      <x:c r="N25" s="6" t="n">
        <x:v>1662000</x:v>
      </x:c>
    </x:row>
    <x:row r="26" ht="24" customHeight="1">
      <x:c r="A26" s="2" t="str">
        <x:v>2026-10-05_Day</x:v>
      </x:c>
      <x:c r="B26" s="6" t="str">
        <x:v>デイ</x:v>
      </x:c>
      <x:c r="C26" s="6" t="n">
        <x:v>400500</x:v>
      </x:c>
      <x:c r="D26" s="6" t="n">
        <x:v>1451000</x:v>
      </x:c>
      <x:c r="E26" s="6" t="n">
        <x:f>C26-D26</x:f>
        <x:v>-1050500</x:v>
      </x:c>
      <x:c r="F26" s="6" t="n">
        <x:f>F25+E26</x:f>
        <x:v>-24683500</x:v>
      </x:c>
      <x:c r="G26" s="6" t="n">
        <x:v>186500</x:v>
      </x:c>
      <x:c r="H26" s="6" t="n">
        <x:v>1237000</x:v>
      </x:c>
      <x:c r="I26" s="6" t="n">
        <x:v>49</x:v>
      </x:c>
      <x:c r="J26" s="6" t="n">
        <x:v>329</x:v>
      </x:c>
      <x:c r="K26" s="6" t="n">
        <x:v>353</x:v>
      </x:c>
      <x:c r="L26" s="6" t="n">
        <x:v>10</x:v>
      </x:c>
      <x:c r="M26" s="11" t="n">
        <x:v>0.9495634920634921</x:v>
      </x:c>
      <x:c r="N26" s="6" t="n">
        <x:v>1094000</x:v>
      </x:c>
    </x:row>
    <x:row r="27" ht="24" customHeight="1">
      <x:c r="A27" s="2" t="str">
        <x:v>2026-10-05_Night</x:v>
      </x:c>
      <x:c r="B27" s="6" t="str">
        <x:v>ナイト</x:v>
      </x:c>
      <x:c r="C27" s="6" t="n">
        <x:v>438000</x:v>
      </x:c>
      <x:c r="D27" s="6" t="n">
        <x:v>1503500</x:v>
      </x:c>
      <x:c r="E27" s="6" t="n">
        <x:f>C27-D27</x:f>
        <x:v>-1065500</x:v>
      </x:c>
      <x:c r="F27" s="6" t="n">
        <x:f>F26+E27</x:f>
        <x:v>-25749000</x:v>
      </x:c>
      <x:c r="G27" s="6" t="n">
        <x:v>161000</x:v>
      </x:c>
      <x:c r="H27" s="6" t="n">
        <x:v>1226500</x:v>
      </x:c>
      <x:c r="I27" s="6" t="n">
        <x:v>39</x:v>
      </x:c>
      <x:c r="J27" s="6" t="n">
        <x:v>476</x:v>
      </x:c>
      <x:c r="K27" s="6" t="n">
        <x:v>474</x:v>
      </x:c>
      <x:c r="L27" s="6" t="n">
        <x:v>10</x:v>
      </x:c>
      <x:c r="M27" s="11" t="n">
        <x:v>0.9696581196581197</x:v>
      </x:c>
      <x:c r="N27" s="6" t="n">
        <x:v>1099500</x:v>
      </x:c>
    </x:row>
    <x:row r="28" ht="24" customHeight="1">
      <x:c r="A28" s="2" t="str">
        <x:v>2026-10-06_Day</x:v>
      </x:c>
      <x:c r="B28" s="6" t="str">
        <x:v>デイ</x:v>
      </x:c>
      <x:c r="C28" s="6" t="n">
        <x:v>217000</x:v>
      </x:c>
      <x:c r="D28" s="6" t="n">
        <x:v>1146000</x:v>
      </x:c>
      <x:c r="E28" s="6" t="n">
        <x:f>C28-D28</x:f>
        <x:v>-929000</x:v>
      </x:c>
      <x:c r="F28" s="6" t="n">
        <x:f>F27+E28</x:f>
        <x:v>-26678000</x:v>
      </x:c>
      <x:c r="G28" s="6" t="n">
        <x:v>74000</x:v>
      </x:c>
      <x:c r="H28" s="6" t="n">
        <x:v>1003000</x:v>
      </x:c>
      <x:c r="I28" s="6" t="n">
        <x:v>32</x:v>
      </x:c>
      <x:c r="J28" s="6" t="n">
        <x:v>333</x:v>
      </x:c>
      <x:c r="K28" s="6" t="n">
        <x:v>366</x:v>
      </x:c>
      <x:c r="L28" s="6" t="n">
        <x:v>10</x:v>
      </x:c>
      <x:c r="M28" s="11" t="n">
        <x:v>0.9533333333333334</x:v>
      </x:c>
      <x:c r="N28" s="6" t="n">
        <x:v>942500</x:v>
      </x:c>
    </x:row>
    <x:row r="29" ht="24" customHeight="1">
      <x:c r="A29" s="2" t="str">
        <x:v>2026-10-06_Night</x:v>
      </x:c>
      <x:c r="B29" s="6" t="str">
        <x:v>ナイト</x:v>
      </x:c>
      <x:c r="C29" s="6" t="n">
        <x:v>253500</x:v>
      </x:c>
      <x:c r="D29" s="6" t="n">
        <x:v>1057000</x:v>
      </x:c>
      <x:c r="E29" s="6" t="n">
        <x:f>C29-D29</x:f>
        <x:v>-803500</x:v>
      </x:c>
      <x:c r="F29" s="6" t="n">
        <x:f>F28+E29</x:f>
        <x:v>-27481500</x:v>
      </x:c>
      <x:c r="G29" s="6" t="n">
        <x:v>45000</x:v>
      </x:c>
      <x:c r="H29" s="6" t="n">
        <x:v>848500</x:v>
      </x:c>
      <x:c r="I29" s="6" t="n">
        <x:v>26</x:v>
      </x:c>
      <x:c r="J29" s="6" t="n">
        <x:v>470</x:v>
      </x:c>
      <x:c r="K29" s="6" t="n">
        <x:v>489</x:v>
      </x:c>
      <x:c r="L29" s="6" t="n">
        <x:v>10</x:v>
      </x:c>
      <x:c r="M29" s="11" t="n">
        <x:v>0.9746367521367522</x:v>
      </x:c>
      <x:c r="N29" s="6" t="n">
        <x:v>807500</x:v>
      </x:c>
    </x:row>
    <x:row r="30" ht="24" customHeight="1">
      <x:c r="A30" s="2" t="str">
        <x:v>2026-10-07_Day</x:v>
      </x:c>
      <x:c r="B30" s="6" t="str">
        <x:v>デイ</x:v>
      </x:c>
      <x:c r="C30" s="6" t="n">
        <x:v>328500</x:v>
      </x:c>
      <x:c r="D30" s="6" t="n">
        <x:v>961000</x:v>
      </x:c>
      <x:c r="E30" s="6" t="n">
        <x:f>C30-D30</x:f>
        <x:v>-632500</x:v>
      </x:c>
      <x:c r="F30" s="6" t="n">
        <x:f>F29+E30</x:f>
        <x:v>-28114000</x:v>
      </x:c>
      <x:c r="G30" s="6" t="n">
        <x:v>97500</x:v>
      </x:c>
      <x:c r="H30" s="6" t="n">
        <x:v>730000</x:v>
      </x:c>
      <x:c r="I30" s="6" t="n">
        <x:v>31</x:v>
      </x:c>
      <x:c r="J30" s="6" t="n">
        <x:v>316</x:v>
      </x:c>
      <x:c r="K30" s="6" t="n">
        <x:v>349</x:v>
      </x:c>
      <x:c r="L30" s="6" t="n">
        <x:v>10</x:v>
      </x:c>
      <x:c r="M30" s="11" t="n">
        <x:v>0.9584126984126984</x:v>
      </x:c>
      <x:c r="N30" s="6" t="n">
        <x:v>667500</x:v>
      </x:c>
    </x:row>
    <x:row r="31" ht="24" customHeight="1">
      <x:c r="A31" s="2" t="str">
        <x:v>2026-10-07_Night</x:v>
      </x:c>
      <x:c r="B31" s="6" t="str">
        <x:v>ナイト</x:v>
      </x:c>
      <x:c r="C31" s="6" t="n">
        <x:v>222000</x:v>
      </x:c>
      <x:c r="D31" s="6" t="n">
        <x:v>1458500</x:v>
      </x:c>
      <x:c r="E31" s="6" t="n">
        <x:f>C31-D31</x:f>
        <x:v>-1236500</x:v>
      </x:c>
      <x:c r="F31" s="6" t="n">
        <x:f>F30+E31</x:f>
        <x:v>-29350500</x:v>
      </x:c>
      <x:c r="G31" s="6" t="n">
        <x:v>74000</x:v>
      </x:c>
      <x:c r="H31" s="6" t="n">
        <x:v>1310500</x:v>
      </x:c>
      <x:c r="I31" s="6" t="n">
        <x:v>41</x:v>
      </x:c>
      <x:c r="J31" s="6" t="n">
        <x:v>447</x:v>
      </x:c>
      <x:c r="K31" s="6" t="n">
        <x:v>455</x:v>
      </x:c>
      <x:c r="L31" s="6" t="n">
        <x:v>10</x:v>
      </x:c>
      <x:c r="M31" s="11" t="n">
        <x:v>0.9582264957264958</x:v>
      </x:c>
      <x:c r="N31" s="6" t="n">
        <x:v>1238000</x:v>
      </x:c>
    </x:row>
    <x:row r="32" ht="24" customHeight="1">
      <x:c r="A32" s="2" t="str">
        <x:v>2026-10-08_Day</x:v>
      </x:c>
      <x:c r="B32" s="6" t="str">
        <x:v>デイ</x:v>
      </x:c>
      <x:c r="C32" s="6" t="n">
        <x:v>471500</x:v>
      </x:c>
      <x:c r="D32" s="6" t="n">
        <x:v>1312000</x:v>
      </x:c>
      <x:c r="E32" s="6" t="n">
        <x:f>C32-D32</x:f>
        <x:v>-840500</x:v>
      </x:c>
      <x:c r="F32" s="6" t="n">
        <x:f>F31+E32</x:f>
        <x:v>-30191000</x:v>
      </x:c>
      <x:c r="G32" s="6" t="n">
        <x:v>277000</x:v>
      </x:c>
      <x:c r="H32" s="6" t="n">
        <x:v>1117500</x:v>
      </x:c>
      <x:c r="I32" s="6" t="n">
        <x:v>49</x:v>
      </x:c>
      <x:c r="J32" s="6" t="n">
        <x:v>368</x:v>
      </x:c>
      <x:c r="K32" s="6" t="n">
        <x:v>405</x:v>
      </x:c>
      <x:c r="L32" s="6" t="n">
        <x:v>10</x:v>
      </x:c>
      <x:c r="M32" s="11" t="n">
        <x:v>0.9472222222222222</x:v>
      </x:c>
      <x:c r="N32" s="6" t="n">
        <x:v>900500</x:v>
      </x:c>
    </x:row>
    <x:row r="33" ht="24" customHeight="1">
      <x:c r="A33" s="2" t="str">
        <x:v>2026-10-08_Night</x:v>
      </x:c>
      <x:c r="B33" s="6" t="str">
        <x:v>ナイト</x:v>
      </x:c>
      <x:c r="C33" s="6" t="n">
        <x:v>525500</x:v>
      </x:c>
      <x:c r="D33" s="6" t="n">
        <x:v>2030500</x:v>
      </x:c>
      <x:c r="E33" s="6" t="n">
        <x:f>C33-D33</x:f>
        <x:v>-1505000</x:v>
      </x:c>
      <x:c r="F33" s="6" t="n">
        <x:f>F32+E33</x:f>
        <x:v>-31696000</x:v>
      </x:c>
      <x:c r="G33" s="6" t="n">
        <x:v>176500</x:v>
      </x:c>
      <x:c r="H33" s="6" t="n">
        <x:v>1681500</x:v>
      </x:c>
      <x:c r="I33" s="6" t="n">
        <x:v>61</x:v>
      </x:c>
      <x:c r="J33" s="6" t="n">
        <x:v>566</x:v>
      </x:c>
      <x:c r="K33" s="6" t="n">
        <x:v>575</x:v>
      </x:c>
      <x:c r="L33" s="6" t="n">
        <x:v>10</x:v>
      </x:c>
      <x:c r="M33" s="11" t="n">
        <x:v>0.9623504273504273</x:v>
      </x:c>
      <x:c r="N33" s="6" t="n">
        <x:v>1580500</x:v>
      </x:c>
    </x:row>
    <x:row r="34" ht="24" customHeight="1">
      <x:c r="A34" s="2" t="str">
        <x:v>2026-10-09_Day</x:v>
      </x:c>
      <x:c r="B34" s="6" t="str">
        <x:v>デイ</x:v>
      </x:c>
      <x:c r="C34" s="6" t="n">
        <x:v>540000</x:v>
      </x:c>
      <x:c r="D34" s="6" t="n">
        <x:v>1431500</x:v>
      </x:c>
      <x:c r="E34" s="6" t="n">
        <x:f>C34-D34</x:f>
        <x:v>-891500</x:v>
      </x:c>
      <x:c r="F34" s="6" t="n">
        <x:f>F33+E34</x:f>
        <x:v>-32587500</x:v>
      </x:c>
      <x:c r="G34" s="6" t="n">
        <x:v>352500</x:v>
      </x:c>
      <x:c r="H34" s="6" t="n">
        <x:v>1244000</x:v>
      </x:c>
      <x:c r="I34" s="6" t="n">
        <x:v>49</x:v>
      </x:c>
      <x:c r="J34" s="6" t="n">
        <x:v>307</x:v>
      </x:c>
      <x:c r="K34" s="6" t="n">
        <x:v>325</x:v>
      </x:c>
      <x:c r="L34" s="6" t="n">
        <x:v>10</x:v>
      </x:c>
      <x:c r="M34" s="11" t="n">
        <x:v>0.9492063492063492</x:v>
      </x:c>
      <x:c r="N34" s="6" t="n">
        <x:v>901500</x:v>
      </x:c>
    </x:row>
    <x:row r="35" ht="24" customHeight="1">
      <x:c r="A35" s="2" t="str">
        <x:v>2026-10-09_Night</x:v>
      </x:c>
      <x:c r="B35" s="6" t="str">
        <x:v>ナイト</x:v>
      </x:c>
      <x:c r="C35" s="6" t="n">
        <x:v>182000</x:v>
      </x:c>
      <x:c r="D35" s="6" t="n">
        <x:v>1289500</x:v>
      </x:c>
      <x:c r="E35" s="6" t="n">
        <x:f>C35-D35</x:f>
        <x:v>-1107500</x:v>
      </x:c>
      <x:c r="F35" s="6" t="n">
        <x:f>F34+E35</x:f>
        <x:v>-33695000</x:v>
      </x:c>
      <x:c r="G35" s="6" t="n">
        <x:v>79000</x:v>
      </x:c>
      <x:c r="H35" s="6" t="n">
        <x:v>1186500</x:v>
      </x:c>
      <x:c r="I35" s="6" t="n">
        <x:v>34</x:v>
      </x:c>
      <x:c r="J35" s="6" t="n">
        <x:v>397</x:v>
      </x:c>
      <x:c r="K35" s="6" t="n">
        <x:v>437</x:v>
      </x:c>
      <x:c r="L35" s="6" t="n">
        <x:v>10</x:v>
      </x:c>
      <x:c r="M35" s="11" t="n">
        <x:v>0.940491452991453</x:v>
      </x:c>
      <x:c r="N35" s="6" t="n">
        <x:v>1116000</x:v>
      </x:c>
    </x:row>
    <x:row r="36" ht="24" customHeight="1">
      <x:c r="A36" s="2" t="str">
        <x:v>2026-10-12_Day</x:v>
      </x:c>
      <x:c r="B36" s="6" t="str">
        <x:v>デイ</x:v>
      </x:c>
      <x:c r="C36" s="6" t="n">
        <x:v>70500</x:v>
      </x:c>
      <x:c r="D36" s="6" t="n">
        <x:v>635000</x:v>
      </x:c>
      <x:c r="E36" s="6" t="n">
        <x:f>C36-D36</x:f>
        <x:v>-564500</x:v>
      </x:c>
      <x:c r="F36" s="6" t="n">
        <x:f>F35+E36</x:f>
        <x:v>-34259500</x:v>
      </x:c>
      <x:c r="G36" s="6" t="n">
        <x:v>32000</x:v>
      </x:c>
      <x:c r="H36" s="6" t="n">
        <x:v>596500</x:v>
      </x:c>
      <x:c r="I36" s="6" t="n">
        <x:v>13</x:v>
      </x:c>
      <x:c r="J36" s="6" t="n">
        <x:v>180</x:v>
      </x:c>
      <x:c r="K36" s="6" t="n">
        <x:v>183</x:v>
      </x:c>
      <x:c r="L36" s="6" t="n">
        <x:v>10</x:v>
      </x:c>
      <x:c r="M36" s="11" t="n">
        <x:v>0.9621428571428572</x:v>
      </x:c>
      <x:c r="N36" s="6" t="n">
        <x:v>570500</x:v>
      </x:c>
    </x:row>
    <x:row r="37" ht="24" customHeight="1">
      <x:c r="A37" s="2" t="str">
        <x:v>2026-10-12_Night</x:v>
      </x:c>
      <x:c r="B37" s="6" t="str">
        <x:v>ナイト</x:v>
      </x:c>
      <x:c r="C37" s="6" t="n">
        <x:v>108500</x:v>
      </x:c>
      <x:c r="D37" s="6" t="n">
        <x:v>990000</x:v>
      </x:c>
      <x:c r="E37" s="6" t="n">
        <x:f>C37-D37</x:f>
        <x:v>-881500</x:v>
      </x:c>
      <x:c r="F37" s="6" t="n">
        <x:f>F36+E37</x:f>
        <x:v>-35141000</x:v>
      </x:c>
      <x:c r="G37" s="6" t="n">
        <x:v>4000</x:v>
      </x:c>
      <x:c r="H37" s="6" t="n">
        <x:v>885500</x:v>
      </x:c>
      <x:c r="I37" s="6" t="n">
        <x:v>24</x:v>
      </x:c>
      <x:c r="J37" s="6" t="n">
        <x:v>349</x:v>
      </x:c>
      <x:c r="K37" s="6" t="n">
        <x:v>326</x:v>
      </x:c>
      <x:c r="L37" s="6" t="n">
        <x:v>10</x:v>
      </x:c>
      <x:c r="M37" s="11" t="n">
        <x:v>0.9715384615384616</x:v>
      </x:c>
      <x:c r="N37" s="6" t="n">
        <x:v>894000</x:v>
      </x:c>
    </x:row>
    <x:row r="38" ht="24" customHeight="1">
      <x:c r="A38" s="2" t="str">
        <x:v>2026-10-13_Day</x:v>
      </x:c>
      <x:c r="B38" s="6" t="str">
        <x:v>デイ</x:v>
      </x:c>
      <x:c r="C38" s="6" t="n">
        <x:v>438000</x:v>
      </x:c>
      <x:c r="D38" s="6" t="n">
        <x:v>1716000</x:v>
      </x:c>
      <x:c r="E38" s="6" t="n">
        <x:f>C38-D38</x:f>
        <x:v>-1278000</x:v>
      </x:c>
      <x:c r="F38" s="6" t="n">
        <x:f>F37+E38</x:f>
        <x:v>-36419000</x:v>
      </x:c>
      <x:c r="G38" s="6" t="n">
        <x:v>197500</x:v>
      </x:c>
      <x:c r="H38" s="6" t="n">
        <x:v>1475500</x:v>
      </x:c>
      <x:c r="I38" s="6" t="n">
        <x:v>53</x:v>
      </x:c>
      <x:c r="J38" s="6" t="n">
        <x:v>351</x:v>
      </x:c>
      <x:c r="K38" s="6" t="n">
        <x:v>381</x:v>
      </x:c>
      <x:c r="L38" s="6" t="n">
        <x:v>10</x:v>
      </x:c>
      <x:c r="M38" s="11" t="n">
        <x:v>0.9437698412698413</x:v>
      </x:c>
      <x:c r="N38" s="6" t="n">
        <x:v>1283500</x:v>
      </x:c>
    </x:row>
    <x:row r="39" ht="24" customHeight="1">
      <x:c r="A39" s="2" t="str">
        <x:v>2026-10-13_Night</x:v>
      </x:c>
      <x:c r="B39" s="6" t="str">
        <x:v>ナイト</x:v>
      </x:c>
      <x:c r="C39" s="6" t="n">
        <x:v>141500</x:v>
      </x:c>
      <x:c r="D39" s="6" t="n">
        <x:v>1053500</x:v>
      </x:c>
      <x:c r="E39" s="6" t="n">
        <x:f>C39-D39</x:f>
        <x:v>-912000</x:v>
      </x:c>
      <x:c r="F39" s="6" t="n">
        <x:f>F38+E39</x:f>
        <x:v>-37331000</x:v>
      </x:c>
      <x:c r="G39" s="6" t="n">
        <x:v>9000</x:v>
      </x:c>
      <x:c r="H39" s="6" t="n">
        <x:v>921000</x:v>
      </x:c>
      <x:c r="I39" s="6" t="n">
        <x:v>33</x:v>
      </x:c>
      <x:c r="J39" s="6" t="n">
        <x:v>408</x:v>
      </x:c>
      <x:c r="K39" s="6" t="n">
        <x:v>418</x:v>
      </x:c>
      <x:c r="L39" s="6" t="n">
        <x:v>10</x:v>
      </x:c>
      <x:c r="M39" s="11" t="n">
        <x:v>0.968482905982906</x:v>
      </x:c>
      <x:c r="N39" s="6" t="n">
        <x:v>932000</x:v>
      </x:c>
    </x:row>
    <x:row r="40" ht="24" customHeight="1">
      <x:c r="A40" s="2" t="str">
        <x:v>2026-10-14_Day</x:v>
      </x:c>
      <x:c r="B40" s="6" t="str">
        <x:v>デイ</x:v>
      </x:c>
      <x:c r="C40" s="6" t="n">
        <x:v>254500</x:v>
      </x:c>
      <x:c r="D40" s="6" t="n">
        <x:v>1352000</x:v>
      </x:c>
      <x:c r="E40" s="6" t="n">
        <x:f>C40-D40</x:f>
        <x:v>-1097500</x:v>
      </x:c>
      <x:c r="F40" s="6" t="n">
        <x:f>F39+E40</x:f>
        <x:v>-38428500</x:v>
      </x:c>
      <x:c r="G40" s="6" t="n">
        <x:v>106500</x:v>
      </x:c>
      <x:c r="H40" s="6" t="n">
        <x:v>1204000</x:v>
      </x:c>
      <x:c r="I40" s="6" t="n">
        <x:v>39</x:v>
      </x:c>
      <x:c r="J40" s="6" t="n">
        <x:v>300</x:v>
      </x:c>
      <x:c r="K40" s="6" t="n">
        <x:v>352</x:v>
      </x:c>
      <x:c r="L40" s="6" t="n">
        <x:v>10</x:v>
      </x:c>
      <x:c r="M40" s="11" t="n">
        <x:v>0.9542460317460317</x:v>
      </x:c>
      <x:c r="N40" s="6" t="n">
        <x:v>1114500</x:v>
      </x:c>
    </x:row>
    <x:row r="41" ht="24" customHeight="1">
      <x:c r="A41" s="2" t="str">
        <x:v>2026-10-14_Night</x:v>
      </x:c>
      <x:c r="B41" s="6" t="str">
        <x:v>ナイト</x:v>
      </x:c>
      <x:c r="C41" s="6" t="n">
        <x:v>463000</x:v>
      </x:c>
      <x:c r="D41" s="6" t="n">
        <x:v>1775500</x:v>
      </x:c>
      <x:c r="E41" s="6" t="n">
        <x:f>C41-D41</x:f>
        <x:v>-1312500</x:v>
      </x:c>
      <x:c r="F41" s="6" t="n">
        <x:f>F40+E41</x:f>
        <x:v>-39741000</x:v>
      </x:c>
      <x:c r="G41" s="6" t="n">
        <x:v>191000</x:v>
      </x:c>
      <x:c r="H41" s="6" t="n">
        <x:v>1503500</x:v>
      </x:c>
      <x:c r="I41" s="6" t="n">
        <x:v>65</x:v>
      </x:c>
      <x:c r="J41" s="6" t="n">
        <x:v>509</x:v>
      </x:c>
      <x:c r="K41" s="6" t="n">
        <x:v>530</x:v>
      </x:c>
      <x:c r="L41" s="6" t="n">
        <x:v>10</x:v>
      </x:c>
      <x:c r="M41" s="11" t="n">
        <x:v>0.9496367521367521</x:v>
      </x:c>
      <x:c r="N41" s="6" t="n">
        <x:v>1315500</x:v>
      </x:c>
    </x:row>
    <x:row r="42" ht="24" customHeight="1">
      <x:c r="A42" s="2" t="str">
        <x:v>2026-10-15_Day</x:v>
      </x:c>
      <x:c r="B42" s="6" t="str">
        <x:v>デイ</x:v>
      </x:c>
      <x:c r="C42" s="6" t="n">
        <x:v>972500</x:v>
      </x:c>
      <x:c r="D42" s="6" t="n">
        <x:v>2171500</x:v>
      </x:c>
      <x:c r="E42" s="6" t="n">
        <x:f>C42-D42</x:f>
        <x:v>-1199000</x:v>
      </x:c>
      <x:c r="F42" s="6" t="n">
        <x:f>F41+E42</x:f>
        <x:v>-40940000</x:v>
      </x:c>
      <x:c r="G42" s="6" t="n">
        <x:v>688000</x:v>
      </x:c>
      <x:c r="H42" s="6" t="n">
        <x:v>1887000</x:v>
      </x:c>
      <x:c r="I42" s="6" t="n">
        <x:v>97</x:v>
      </x:c>
      <x:c r="J42" s="6" t="n">
        <x:v>342</x:v>
      </x:c>
      <x:c r="K42" s="6" t="n">
        <x:v>395</x:v>
      </x:c>
      <x:c r="L42" s="6" t="n">
        <x:v>10</x:v>
      </x:c>
      <x:c r="M42" s="11" t="n">
        <x:v>0.9255555555555556</x:v>
      </x:c>
      <x:c r="N42" s="6" t="n">
        <x:v>1223500</x:v>
      </x:c>
    </x:row>
    <x:row r="43" ht="24" customHeight="1">
      <x:c r="A43" s="2" t="str">
        <x:v>2026-10-15_Night</x:v>
      </x:c>
      <x:c r="B43" s="6" t="str">
        <x:v>ナイト</x:v>
      </x:c>
      <x:c r="C43" s="6" t="n">
        <x:v>623000</x:v>
      </x:c>
      <x:c r="D43" s="6" t="n">
        <x:v>2075500</x:v>
      </x:c>
      <x:c r="E43" s="6" t="n">
        <x:f>C43-D43</x:f>
        <x:v>-1452500</x:v>
      </x:c>
      <x:c r="F43" s="6" t="n">
        <x:f>F42+E43</x:f>
        <x:v>-42392500</x:v>
      </x:c>
      <x:c r="G43" s="6" t="n">
        <x:v>364500</x:v>
      </x:c>
      <x:c r="H43" s="6" t="n">
        <x:v>1817000</x:v>
      </x:c>
      <x:c r="I43" s="6" t="n">
        <x:v>76</x:v>
      </x:c>
      <x:c r="J43" s="6" t="n">
        <x:v>562</x:v>
      </x:c>
      <x:c r="K43" s="6" t="n">
        <x:v>541</x:v>
      </x:c>
      <x:c r="L43" s="6" t="n">
        <x:v>10</x:v>
      </x:c>
      <x:c r="M43" s="11" t="n">
        <x:v>0.9607051282051282</x:v>
      </x:c>
      <x:c r="N43" s="6" t="n">
        <x:v>1511000</x:v>
      </x:c>
    </x:row>
    <x:row r="44" ht="24" customHeight="1">
      <x:c r="A44" s="2" t="str">
        <x:v>2026-10-16_Day</x:v>
      </x:c>
      <x:c r="B44" s="6" t="str">
        <x:v>デイ</x:v>
      </x:c>
      <x:c r="C44" s="6" t="n">
        <x:v>701500</x:v>
      </x:c>
      <x:c r="D44" s="6" t="n">
        <x:v>1825500</x:v>
      </x:c>
      <x:c r="E44" s="6" t="n">
        <x:f>C44-D44</x:f>
        <x:v>-1124000</x:v>
      </x:c>
      <x:c r="F44" s="6" t="n">
        <x:f>F43+E44</x:f>
        <x:v>-43516500</x:v>
      </x:c>
      <x:c r="G44" s="6" t="n">
        <x:v>430500</x:v>
      </x:c>
      <x:c r="H44" s="6" t="n">
        <x:v>1554500</x:v>
      </x:c>
      <x:c r="I44" s="6" t="n">
        <x:v>66</x:v>
      </x:c>
      <x:c r="J44" s="6" t="n">
        <x:v>335</x:v>
      </x:c>
      <x:c r="K44" s="6" t="n">
        <x:v>367</x:v>
      </x:c>
      <x:c r="L44" s="6" t="n">
        <x:v>10</x:v>
      </x:c>
      <x:c r="M44" s="11" t="n">
        <x:v>0.9432539682539682</x:v>
      </x:c>
      <x:c r="N44" s="6" t="n">
        <x:v>1247500</x:v>
      </x:c>
    </x:row>
    <x:row r="45" ht="24" customHeight="1">
      <x:c r="A45" s="2" t="str">
        <x:v>2026-10-16_Night</x:v>
      </x:c>
      <x:c r="B45" s="6" t="str">
        <x:v>ナイト</x:v>
      </x:c>
      <x:c r="C45" s="6" t="n">
        <x:v>540500</x:v>
      </x:c>
      <x:c r="D45" s="6" t="n">
        <x:v>2155500</x:v>
      </x:c>
      <x:c r="E45" s="6" t="n">
        <x:f>C45-D45</x:f>
        <x:v>-1615000</x:v>
      </x:c>
      <x:c r="F45" s="6" t="n">
        <x:f>F44+E45</x:f>
        <x:v>-45131500</x:v>
      </x:c>
      <x:c r="G45" s="6" t="n">
        <x:v>198000</x:v>
      </x:c>
      <x:c r="H45" s="6" t="n">
        <x:v>1813000</x:v>
      </x:c>
      <x:c r="I45" s="6" t="n">
        <x:v>83</x:v>
      </x:c>
      <x:c r="J45" s="6" t="n">
        <x:v>541</x:v>
      </x:c>
      <x:c r="K45" s="6" t="n">
        <x:v>589</x:v>
      </x:c>
      <x:c r="L45" s="6" t="n">
        <x:v>10</x:v>
      </x:c>
      <x:c r="M45" s="11" t="n">
        <x:v>0.9480555555555555</x:v>
      </x:c>
      <x:c r="N45" s="6" t="n">
        <x:v>1653000</x:v>
      </x:c>
    </x:row>
    <x:row r="46" ht="24" customHeight="1">
      <x:c r="A46" s="2" t="str">
        <x:v>2026-10-19_Day</x:v>
      </x:c>
      <x:c r="B46" s="6" t="str">
        <x:v>デイ</x:v>
      </x:c>
      <x:c r="C46" s="6" t="n">
        <x:v>603000</x:v>
      </x:c>
      <x:c r="D46" s="6" t="n">
        <x:v>1873500</x:v>
      </x:c>
      <x:c r="E46" s="6" t="n">
        <x:f>C46-D46</x:f>
        <x:v>-1270500</x:v>
      </x:c>
      <x:c r="F46" s="6" t="n">
        <x:f>F45+E46</x:f>
        <x:v>-46402000</x:v>
      </x:c>
      <x:c r="G46" s="6" t="n">
        <x:v>457500</x:v>
      </x:c>
      <x:c r="H46" s="6" t="n">
        <x:v>1728000</x:v>
      </x:c>
      <x:c r="I46" s="6" t="n">
        <x:v>76</x:v>
      </x:c>
      <x:c r="J46" s="6" t="n">
        <x:v>319</x:v>
      </x:c>
      <x:c r="K46" s="6" t="n">
        <x:v>355</x:v>
      </x:c>
      <x:c r="L46" s="6" t="n">
        <x:v>10</x:v>
      </x:c>
      <x:c r="M46" s="11" t="n">
        <x:v>0.9353571428571429</x:v>
      </x:c>
      <x:c r="N46" s="6" t="n">
        <x:v>1370500</x:v>
      </x:c>
    </x:row>
    <x:row r="47" ht="24" customHeight="1">
      <x:c r="A47" s="2" t="str">
        <x:v>2026-10-19_Night</x:v>
      </x:c>
      <x:c r="B47" s="6" t="str">
        <x:v>ナイト</x:v>
      </x:c>
      <x:c r="C47" s="6" t="n">
        <x:v>360500</x:v>
      </x:c>
      <x:c r="D47" s="6" t="n">
        <x:v>1658500</x:v>
      </x:c>
      <x:c r="E47" s="6" t="n">
        <x:f>C47-D47</x:f>
        <x:v>-1298000</x:v>
      </x:c>
      <x:c r="F47" s="6" t="n">
        <x:f>F46+E47</x:f>
        <x:v>-47700000</x:v>
      </x:c>
      <x:c r="G47" s="6" t="n">
        <x:v>100000</x:v>
      </x:c>
      <x:c r="H47" s="6" t="n">
        <x:v>1398000</x:v>
      </x:c>
      <x:c r="I47" s="6" t="n">
        <x:v>55</x:v>
      </x:c>
      <x:c r="J47" s="6" t="n">
        <x:v>471</x:v>
      </x:c>
      <x:c r="K47" s="6" t="n">
        <x:v>513</x:v>
      </x:c>
      <x:c r="L47" s="6" t="n">
        <x:v>10</x:v>
      </x:c>
      <x:c r="M47" s="11" t="n">
        <x:v>0.9582692307692308</x:v>
      </x:c>
      <x:c r="N47" s="6" t="n">
        <x:v>1299500</x:v>
      </x:c>
    </x:row>
    <x:row r="48" ht="24" customHeight="1">
      <x:c r="A48" s="2" t="str">
        <x:v>2026-10-20_Day</x:v>
      </x:c>
      <x:c r="B48" s="6" t="str">
        <x:v>デイ</x:v>
      </x:c>
      <x:c r="C48" s="6" t="n">
        <x:v>720000</x:v>
      </x:c>
      <x:c r="D48" s="6" t="n">
        <x:v>1600000</x:v>
      </x:c>
      <x:c r="E48" s="6" t="n">
        <x:f>C48-D48</x:f>
        <x:v>-880000</x:v>
      </x:c>
      <x:c r="F48" s="6" t="n">
        <x:f>F47+E48</x:f>
        <x:v>-48580000</x:v>
      </x:c>
      <x:c r="G48" s="6" t="n">
        <x:v>453500</x:v>
      </x:c>
      <x:c r="H48" s="6" t="n">
        <x:v>1333500</x:v>
      </x:c>
      <x:c r="I48" s="6" t="n">
        <x:v>79</x:v>
      </x:c>
      <x:c r="J48" s="6" t="n">
        <x:v>325</x:v>
      </x:c>
      <x:c r="K48" s="6" t="n">
        <x:v>395</x:v>
      </x:c>
      <x:c r="L48" s="6" t="n">
        <x:v>10</x:v>
      </x:c>
      <x:c r="M48" s="11" t="n">
        <x:v>0.9328968253968254</x:v>
      </x:c>
      <x:c r="N48" s="6" t="n">
        <x:v>889500</x:v>
      </x:c>
    </x:row>
    <x:row r="49" ht="24" customHeight="1">
      <x:c r="A49" s="2" t="str">
        <x:v>2026-10-20_Night</x:v>
      </x:c>
      <x:c r="B49" s="6" t="str">
        <x:v>ナイト</x:v>
      </x:c>
      <x:c r="C49" s="6" t="n">
        <x:v>604000</x:v>
      </x:c>
      <x:c r="D49" s="6" t="n">
        <x:v>1938500</x:v>
      </x:c>
      <x:c r="E49" s="6" t="n">
        <x:f>C49-D49</x:f>
        <x:v>-1334500</x:v>
      </x:c>
      <x:c r="F49" s="6" t="n">
        <x:f>F48+E49</x:f>
        <x:v>-49914500</x:v>
      </x:c>
      <x:c r="G49" s="6" t="n">
        <x:v>233500</x:v>
      </x:c>
      <x:c r="H49" s="6" t="n">
        <x:v>1568000</x:v>
      </x:c>
      <x:c r="I49" s="6" t="n">
        <x:v>72</x:v>
      </x:c>
      <x:c r="J49" s="6" t="n">
        <x:v>476</x:v>
      </x:c>
      <x:c r="K49" s="6" t="n">
        <x:v>528</x:v>
      </x:c>
      <x:c r="L49" s="6" t="n">
        <x:v>10</x:v>
      </x:c>
      <x:c r="M49" s="11" t="n">
        <x:v>0.960448717948718</x:v>
      </x:c>
      <x:c r="N49" s="6" t="n">
        <x:v>1334500</x:v>
      </x:c>
    </x:row>
    <x:row r="50" ht="24" customHeight="1">
      <x:c r="A50" s="2" t="str">
        <x:v>2026-10-21_Day</x:v>
      </x:c>
      <x:c r="B50" s="6" t="str">
        <x:v>デイ</x:v>
      </x:c>
      <x:c r="C50" s="6" t="n">
        <x:v>302500</x:v>
      </x:c>
      <x:c r="D50" s="6" t="n">
        <x:v>1444000</x:v>
      </x:c>
      <x:c r="E50" s="6" t="n">
        <x:f>C50-D50</x:f>
        <x:v>-1141500</x:v>
      </x:c>
      <x:c r="F50" s="6" t="n">
        <x:f>F49+E50</x:f>
        <x:v>-51056000</x:v>
      </x:c>
      <x:c r="G50" s="6" t="n">
        <x:v>162500</x:v>
      </x:c>
      <x:c r="H50" s="6" t="n">
        <x:v>1304000</x:v>
      </x:c>
      <x:c r="I50" s="6" t="n">
        <x:v>48</x:v>
      </x:c>
      <x:c r="J50" s="6" t="n">
        <x:v>340</x:v>
      </x:c>
      <x:c r="K50" s="6" t="n">
        <x:v>370</x:v>
      </x:c>
      <x:c r="L50" s="6" t="n">
        <x:v>10</x:v>
      </x:c>
      <x:c r="M50" s="11" t="n">
        <x:v>0.9428174603174603</x:v>
      </x:c>
      <x:c r="N50" s="6" t="n">
        <x:v>1180500</x:v>
      </x:c>
    </x:row>
    <x:row r="51" ht="24" customHeight="1">
      <x:c r="A51" s="2" t="str">
        <x:v>2026-10-21_Night</x:v>
      </x:c>
      <x:c r="B51" s="6" t="str">
        <x:v>ナイト</x:v>
      </x:c>
      <x:c r="C51" s="6" t="n">
        <x:v>396500</x:v>
      </x:c>
      <x:c r="D51" s="6" t="n">
        <x:v>1474500</x:v>
      </x:c>
      <x:c r="E51" s="6" t="n">
        <x:f>C51-D51</x:f>
        <x:v>-1078000</x:v>
      </x:c>
      <x:c r="F51" s="6" t="n">
        <x:f>F50+E51</x:f>
        <x:v>-52134000</x:v>
      </x:c>
      <x:c r="G51" s="6" t="n">
        <x:v>189500</x:v>
      </x:c>
      <x:c r="H51" s="6" t="n">
        <x:v>1267500</x:v>
      </x:c>
      <x:c r="I51" s="6" t="n">
        <x:v>59</x:v>
      </x:c>
      <x:c r="J51" s="6" t="n">
        <x:v>443</x:v>
      </x:c>
      <x:c r="K51" s="6" t="n">
        <x:v>516</x:v>
      </x:c>
      <x:c r="L51" s="6" t="n">
        <x:v>10</x:v>
      </x:c>
      <x:c r="M51" s="11" t="n">
        <x:v>0.9639529914529914</x:v>
      </x:c>
      <x:c r="N51" s="6" t="n">
        <x:v>1082000</x:v>
      </x:c>
    </x:row>
    <x:row r="52" ht="24" customHeight="1">
      <x:c r="A52" s="2" t="str">
        <x:v>2026-10-22_Day</x:v>
      </x:c>
      <x:c r="B52" s="6" t="str">
        <x:v>デイ</x:v>
      </x:c>
      <x:c r="C52" s="6" t="n">
        <x:v>738000</x:v>
      </x:c>
      <x:c r="D52" s="6" t="n">
        <x:v>1421000</x:v>
      </x:c>
      <x:c r="E52" s="6" t="n">
        <x:f>C52-D52</x:f>
        <x:v>-683000</x:v>
      </x:c>
      <x:c r="F52" s="6" t="n">
        <x:f>F51+E52</x:f>
        <x:v>-52817000</x:v>
      </x:c>
      <x:c r="G52" s="6" t="n">
        <x:v>387500</x:v>
      </x:c>
      <x:c r="H52" s="6" t="n">
        <x:v>1070500</x:v>
      </x:c>
      <x:c r="I52" s="6" t="n">
        <x:v>66</x:v>
      </x:c>
      <x:c r="J52" s="6" t="n">
        <x:v>319</x:v>
      </x:c>
      <x:c r="K52" s="6" t="n">
        <x:v>374</x:v>
      </x:c>
      <x:c r="L52" s="6" t="n">
        <x:v>10</x:v>
      </x:c>
      <x:c r="M52" s="11" t="n">
        <x:v>0.9355952380952381</x:v>
      </x:c>
      <x:c r="N52" s="6" t="n">
        <x:v>765000</x:v>
      </x:c>
    </x:row>
    <x:row r="53" ht="24" customHeight="1">
      <x:c r="A53" s="2" t="str">
        <x:v>2026-10-22_Night</x:v>
      </x:c>
      <x:c r="B53" s="6" t="str">
        <x:v>ナイト</x:v>
      </x:c>
      <x:c r="C53" s="6" t="n">
        <x:v>545000</x:v>
      </x:c>
      <x:c r="D53" s="6" t="n">
        <x:v>2059500</x:v>
      </x:c>
      <x:c r="E53" s="6" t="n">
        <x:f>C53-D53</x:f>
        <x:v>-1514500</x:v>
      </x:c>
      <x:c r="F53" s="6" t="n">
        <x:f>F52+E53</x:f>
        <x:v>-54331500</x:v>
      </x:c>
      <x:c r="G53" s="6" t="n">
        <x:v>213000</x:v>
      </x:c>
      <x:c r="H53" s="6" t="n">
        <x:v>1727500</x:v>
      </x:c>
      <x:c r="I53" s="6" t="n">
        <x:v>84</x:v>
      </x:c>
      <x:c r="J53" s="6" t="n">
        <x:v>504</x:v>
      </x:c>
      <x:c r="K53" s="6" t="n">
        <x:v>579</x:v>
      </x:c>
      <x:c r="L53" s="6" t="n">
        <x:v>10</x:v>
      </x:c>
      <x:c r="M53" s="11" t="n">
        <x:v>0.9487393162393163</x:v>
      </x:c>
      <x:c r="N53" s="6" t="n">
        <x:v>1519500</x:v>
      </x:c>
    </x:row>
    <x:row r="54" ht="24" customHeight="1">
      <x:c r="A54" s="2" t="str">
        <x:v>2026-10-23_Day</x:v>
      </x:c>
      <x:c r="B54" s="6" t="str">
        <x:v>デイ</x:v>
      </x:c>
      <x:c r="C54" s="6" t="n">
        <x:v>1240000</x:v>
      </x:c>
      <x:c r="D54" s="6" t="n">
        <x:v>2772500</x:v>
      </x:c>
      <x:c r="E54" s="6" t="n">
        <x:f>C54-D54</x:f>
        <x:v>-1532500</x:v>
      </x:c>
      <x:c r="F54" s="6" t="n">
        <x:f>F53+E54</x:f>
        <x:v>-55864000</x:v>
      </x:c>
      <x:c r="G54" s="6" t="n">
        <x:v>998500</x:v>
      </x:c>
      <x:c r="H54" s="6" t="n">
        <x:v>2531000</x:v>
      </x:c>
      <x:c r="I54" s="6" t="n">
        <x:v>136</x:v>
      </x:c>
      <x:c r="J54" s="6" t="n">
        <x:v>288</x:v>
      </x:c>
      <x:c r="K54" s="6" t="n">
        <x:v>374</x:v>
      </x:c>
      <x:c r="L54" s="6" t="n">
        <x:v>10</x:v>
      </x:c>
      <x:c r="M54" s="11" t="n">
        <x:v>0.9114682539682539</x:v>
      </x:c>
      <x:c r="N54" s="6" t="n">
        <x:v>1532500</x:v>
      </x:c>
    </x:row>
    <x:row r="55" ht="24" customHeight="1">
      <x:c r="A55" s="2" t="str">
        <x:v>2026-10-23_Night</x:v>
      </x:c>
      <x:c r="B55" s="6" t="str">
        <x:v>ナイト</x:v>
      </x:c>
      <x:c r="C55" s="6" t="n">
        <x:v>599000</x:v>
      </x:c>
      <x:c r="D55" s="6" t="n">
        <x:v>2238500</x:v>
      </x:c>
      <x:c r="E55" s="6" t="n">
        <x:f>C55-D55</x:f>
        <x:v>-1639500</x:v>
      </x:c>
      <x:c r="F55" s="6" t="n">
        <x:f>F54+E55</x:f>
        <x:v>-57503500</x:v>
      </x:c>
      <x:c r="G55" s="6" t="n">
        <x:v>190500</x:v>
      </x:c>
      <x:c r="H55" s="6" t="n">
        <x:v>1830000</x:v>
      </x:c>
      <x:c r="I55" s="6" t="n">
        <x:v>69</x:v>
      </x:c>
      <x:c r="J55" s="6" t="n">
        <x:v>523</x:v>
      </x:c>
      <x:c r="K55" s="6" t="n">
        <x:v>529</x:v>
      </x:c>
      <x:c r="L55" s="6" t="n">
        <x:v>10</x:v>
      </x:c>
      <x:c r="M55" s="11" t="n">
        <x:v>0.9618803418803419</x:v>
      </x:c>
      <x:c r="N55" s="6" t="n">
        <x:v>1641500</x:v>
      </x:c>
    </x:row>
    <x:row r="56" ht="24" customHeight="1">
      <x:c r="A56" s="2" t="str">
        <x:v>2026-10-26_Day</x:v>
      </x:c>
      <x:c r="B56" s="6" t="str">
        <x:v>デイ</x:v>
      </x:c>
      <x:c r="C56" s="6" t="n">
        <x:v>517500</x:v>
      </x:c>
      <x:c r="D56" s="6" t="n">
        <x:v>2171000</x:v>
      </x:c>
      <x:c r="E56" s="6" t="n">
        <x:f>C56-D56</x:f>
        <x:v>-1653500</x:v>
      </x:c>
      <x:c r="F56" s="6" t="n">
        <x:f>F55+E56</x:f>
        <x:v>-59157000</x:v>
      </x:c>
      <x:c r="G56" s="6" t="n">
        <x:v>283000</x:v>
      </x:c>
      <x:c r="H56" s="6" t="n">
        <x:v>1936500</x:v>
      </x:c>
      <x:c r="I56" s="6" t="n">
        <x:v>83</x:v>
      </x:c>
      <x:c r="J56" s="6" t="n">
        <x:v>325</x:v>
      </x:c>
      <x:c r="K56" s="6" t="n">
        <x:v>374</x:v>
      </x:c>
      <x:c r="L56" s="6" t="n">
        <x:v>10</x:v>
      </x:c>
      <x:c r="M56" s="11" t="n">
        <x:v>0.93</x:v>
      </x:c>
      <x:c r="N56" s="6" t="n">
        <x:v>1673000</x:v>
      </x:c>
    </x:row>
    <x:row r="57" ht="24" customHeight="1">
      <x:c r="A57" s="15" t="str">
        <x:v>累計／平均／最大</x:v>
      </x:c>
      <x:c r="B57" s="16"/>
      <x:c r="C57" s="16" t="n">
        <x:f>SUM(C6:C56)</x:f>
        <x:v>23037500</x:v>
      </x:c>
      <x:c r="D57" s="16" t="n">
        <x:f>SUM(D6:D56)</x:f>
        <x:v>82194500</x:v>
      </x:c>
      <x:c r="E57" s="16" t="n">
        <x:f>C57-D57</x:f>
        <x:v>-59157000</x:v>
      </x:c>
      <x:c r="F57" s="16" t="n">
        <x:f>F56</x:f>
        <x:v>-59157000</x:v>
      </x:c>
      <x:c r="G57" s="16" t="n">
        <x:f>SUM(G6:G56)</x:f>
        <x:v>11681000</x:v>
      </x:c>
      <x:c r="H57" s="16" t="n">
        <x:f>SUM(H6:H56)</x:f>
        <x:v>70838000</x:v>
      </x:c>
      <x:c r="I57" s="16" t="n">
        <x:f>SUM(I6:I56)</x:f>
        <x:v>2940</x:v>
      </x:c>
      <x:c r="J57" s="16" t="n">
        <x:f>SUM(J6:J56)</x:f>
        <x:v>19575</x:v>
      </x:c>
      <x:c r="K57" s="16" t="n">
        <x:f>SUM(K6:K56)</x:f>
        <x:v>21091</x:v>
      </x:c>
      <x:c r="L57" s="16" t="n">
        <x:f>MAX(L6:L56)</x:f>
        <x:v>10</x:v>
      </x:c>
      <x:c r="M57" s="17" t="n">
        <x:f>AVERAGE(M6:M56)</x:f>
        <x:v>0.9493190524072878</x:v>
      </x:c>
      <x:c r="N57" s="16" t="n">
        <x:f>MAX(N6:N56)</x:f>
        <x:v>1902500</x:v>
      </x:c>
    </x:row>
  </x:sheetData>
  <x:conditionalFormatting sqref="E6:F56">
    <x:cfRule type="cellIs" dxfId="45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09653f863df41ee"/>
  </x:tableParts>
</x:worksheet>
</file>

<file path=xl/worksheets/sheet4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1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4" customHeight="1">
      <x:c r="A1" s="3" t="str">
        <x:v>TOPIX M05　各セッションの利益・損失・収支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A2" s="4" t="str">
        <x:v>2026/09/21〜10/26デイ・51完了場。日経mini／TOPIXmini各上限10枚・手数料0。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4" customHeight="1">
      <x:c r="A3" s="4" t="str">
        <x:v>60秒の時間加重平均を30秒前と比較。保有中も傾き比例で増減、利益追尾＋傾き反転で返済。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4" customHeight="1">
      <x:c r="A4" s="4" t="str">
        <x:v>利益・損失＝FIFO返済配賦別。親＝初回から全返済まで。ラージ気配による模型で、mini実約定の検証ではありません。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42" customHeight="1">
      <x:c r="A5" s="10" t="str">
        <x:v>セッション</x:v>
      </x:c>
      <x:c r="B5" s="10" t="str">
        <x:v>区分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親利益（円）</x:v>
      </x:c>
      <x:c r="H5" s="10" t="str">
        <x:v>親損失（円）</x:v>
      </x:c>
      <x:c r="I5" s="10" t="str">
        <x:v>初回件数</x:v>
      </x:c>
      <x:c r="J5" s="10" t="str">
        <x:v>追加件数</x:v>
      </x:c>
      <x:c r="K5" s="10" t="str">
        <x:v>縮小件数</x:v>
      </x:c>
      <x:c r="L5" s="10" t="str">
        <x:v>最大保有枚数</x:v>
      </x:c>
      <x:c r="M5" s="10" t="str">
        <x:v>保有時間率</x:v>
      </x:c>
      <x:c r="N5" s="10" t="str">
        <x:v>時価最大DD（円）</x:v>
      </x:c>
    </x:row>
    <x:row r="6" ht="24" customHeight="1">
      <x:c r="A6" s="2" t="str">
        <x:v>2026-09-21_Day</x:v>
      </x:c>
      <x:c r="B6" s="6" t="str">
        <x:v>デイ</x:v>
      </x:c>
      <x:c r="C6" s="6" t="n">
        <x:v>303000</x:v>
      </x:c>
      <x:c r="D6" s="6" t="n">
        <x:v>1309000</x:v>
      </x:c>
      <x:c r="E6" s="6" t="n">
        <x:f>C6-D6</x:f>
        <x:v>-1006000</x:v>
      </x:c>
      <x:c r="F6" s="6" t="n">
        <x:f>E6</x:f>
        <x:v>-1006000</x:v>
      </x:c>
      <x:c r="G6" s="6" t="n">
        <x:v>253000</x:v>
      </x:c>
      <x:c r="H6" s="6" t="n">
        <x:v>1259000</x:v>
      </x:c>
      <x:c r="I6" s="6" t="n">
        <x:v>181</x:v>
      </x:c>
      <x:c r="J6" s="6" t="n">
        <x:v>95</x:v>
      </x:c>
      <x:c r="K6" s="6" t="n">
        <x:v>128</x:v>
      </x:c>
      <x:c r="L6" s="6" t="n">
        <x:v>10</x:v>
      </x:c>
      <x:c r="M6" s="11" t="n">
        <x:v>0.6386904761904761</x:v>
      </x:c>
      <x:c r="N6" s="6" t="n">
        <x:v>1029000</x:v>
      </x:c>
    </x:row>
    <x:row r="7" ht="24" customHeight="1">
      <x:c r="A7" s="2" t="str">
        <x:v>2026-09-21_Night</x:v>
      </x:c>
      <x:c r="B7" s="6" t="str">
        <x:v>ナイト</x:v>
      </x:c>
      <x:c r="C7" s="6" t="n">
        <x:v>225500</x:v>
      </x:c>
      <x:c r="D7" s="6" t="n">
        <x:v>1671500</x:v>
      </x:c>
      <x:c r="E7" s="6" t="n">
        <x:f>C7-D7</x:f>
        <x:v>-1446000</x:v>
      </x:c>
      <x:c r="F7" s="6" t="n">
        <x:f>F6+E7</x:f>
        <x:v>-2452000</x:v>
      </x:c>
      <x:c r="G7" s="6" t="n">
        <x:v>168000</x:v>
      </x:c>
      <x:c r="H7" s="6" t="n">
        <x:v>1614000</x:v>
      </x:c>
      <x:c r="I7" s="6" t="n">
        <x:v>302</x:v>
      </x:c>
      <x:c r="J7" s="6" t="n">
        <x:v>258</x:v>
      </x:c>
      <x:c r="K7" s="6" t="n">
        <x:v>319</x:v>
      </x:c>
      <x:c r="L7" s="6" t="n">
        <x:v>10</x:v>
      </x:c>
      <x:c r="M7" s="11" t="n">
        <x:v>0.6573076923076923</x:v>
      </x:c>
      <x:c r="N7" s="6" t="n">
        <x:v>1471000</x:v>
      </x:c>
    </x:row>
    <x:row r="8" ht="24" customHeight="1">
      <x:c r="A8" s="2" t="str">
        <x:v>2026-09-22_Day</x:v>
      </x:c>
      <x:c r="B8" s="6" t="str">
        <x:v>デイ</x:v>
      </x:c>
      <x:c r="C8" s="6" t="n">
        <x:v>245500</x:v>
      </x:c>
      <x:c r="D8" s="6" t="n">
        <x:v>1852500</x:v>
      </x:c>
      <x:c r="E8" s="6" t="n">
        <x:f>C8-D8</x:f>
        <x:v>-1607000</x:v>
      </x:c>
      <x:c r="F8" s="6" t="n">
        <x:f>F7+E8</x:f>
        <x:v>-4059000</x:v>
      </x:c>
      <x:c r="G8" s="6" t="n">
        <x:v>178500</x:v>
      </x:c>
      <x:c r="H8" s="6" t="n">
        <x:v>1785500</x:v>
      </x:c>
      <x:c r="I8" s="6" t="n">
        <x:v>213</x:v>
      </x:c>
      <x:c r="J8" s="6" t="n">
        <x:v>169</x:v>
      </x:c>
      <x:c r="K8" s="6" t="n">
        <x:v>196</x:v>
      </x:c>
      <x:c r="L8" s="6" t="n">
        <x:v>10</x:v>
      </x:c>
      <x:c r="M8" s="11" t="n">
        <x:v>0.7249603174603174</x:v>
      </x:c>
      <x:c r="N8" s="6" t="n">
        <x:v>1623000</x:v>
      </x:c>
    </x:row>
    <x:row r="9" ht="24" customHeight="1">
      <x:c r="A9" s="2" t="str">
        <x:v>2026-09-22_Night</x:v>
      </x:c>
      <x:c r="B9" s="6" t="str">
        <x:v>ナイト</x:v>
      </x:c>
      <x:c r="C9" s="6" t="n">
        <x:v>572000</x:v>
      </x:c>
      <x:c r="D9" s="6" t="n">
        <x:v>2978500</x:v>
      </x:c>
      <x:c r="E9" s="6" t="n">
        <x:f>C9-D9</x:f>
        <x:v>-2406500</x:v>
      </x:c>
      <x:c r="F9" s="6" t="n">
        <x:f>F8+E9</x:f>
        <x:v>-6465500</x:v>
      </x:c>
      <x:c r="G9" s="6" t="n">
        <x:v>471500</x:v>
      </x:c>
      <x:c r="H9" s="6" t="n">
        <x:v>2878000</x:v>
      </x:c>
      <x:c r="I9" s="6" t="n">
        <x:v>388</x:v>
      </x:c>
      <x:c r="J9" s="6" t="n">
        <x:v>346</x:v>
      </x:c>
      <x:c r="K9" s="6" t="n">
        <x:v>449</x:v>
      </x:c>
      <x:c r="L9" s="6" t="n">
        <x:v>10</x:v>
      </x:c>
      <x:c r="M9" s="11" t="n">
        <x:v>0.7191025641025641</x:v>
      </x:c>
      <x:c r="N9" s="6" t="n">
        <x:v>2461500</x:v>
      </x:c>
    </x:row>
    <x:row r="10" ht="24" customHeight="1">
      <x:c r="A10" s="2" t="str">
        <x:v>2026-09-23_Day</x:v>
      </x:c>
      <x:c r="B10" s="6" t="str">
        <x:v>デイ</x:v>
      </x:c>
      <x:c r="C10" s="6" t="n">
        <x:v>293000</x:v>
      </x:c>
      <x:c r="D10" s="6" t="n">
        <x:v>1336000</x:v>
      </x:c>
      <x:c r="E10" s="6" t="n">
        <x:f>C10-D10</x:f>
        <x:v>-1043000</x:v>
      </x:c>
      <x:c r="F10" s="6" t="n">
        <x:f>F9+E10</x:f>
        <x:v>-7508500</x:v>
      </x:c>
      <x:c r="G10" s="6" t="n">
        <x:v>217500</x:v>
      </x:c>
      <x:c r="H10" s="6" t="n">
        <x:v>1260500</x:v>
      </x:c>
      <x:c r="I10" s="6" t="n">
        <x:v>181</x:v>
      </x:c>
      <x:c r="J10" s="6" t="n">
        <x:v>131</x:v>
      </x:c>
      <x:c r="K10" s="6" t="n">
        <x:v>174</x:v>
      </x:c>
      <x:c r="L10" s="6" t="n">
        <x:v>10</x:v>
      </x:c>
      <x:c r="M10" s="11" t="n">
        <x:v>0.6883730158730159</x:v>
      </x:c>
      <x:c r="N10" s="6" t="n">
        <x:v>1073000</x:v>
      </x:c>
    </x:row>
    <x:row r="11" ht="24" customHeight="1">
      <x:c r="A11" s="2" t="str">
        <x:v>2026-09-23_Night</x:v>
      </x:c>
      <x:c r="B11" s="6" t="str">
        <x:v>ナイト</x:v>
      </x:c>
      <x:c r="C11" s="6" t="n">
        <x:v>288000</x:v>
      </x:c>
      <x:c r="D11" s="6" t="n">
        <x:v>2156500</x:v>
      </x:c>
      <x:c r="E11" s="6" t="n">
        <x:f>C11-D11</x:f>
        <x:v>-1868500</x:v>
      </x:c>
      <x:c r="F11" s="6" t="n">
        <x:f>F10+E11</x:f>
        <x:v>-9377000</x:v>
      </x:c>
      <x:c r="G11" s="6" t="n">
        <x:v>206000</x:v>
      </x:c>
      <x:c r="H11" s="6" t="n">
        <x:v>2074500</x:v>
      </x:c>
      <x:c r="I11" s="6" t="n">
        <x:v>344</x:v>
      </x:c>
      <x:c r="J11" s="6" t="n">
        <x:v>253</x:v>
      </x:c>
      <x:c r="K11" s="6" t="n">
        <x:v>356</x:v>
      </x:c>
      <x:c r="L11" s="6" t="n">
        <x:v>10</x:v>
      </x:c>
      <x:c r="M11" s="11" t="n">
        <x:v>0.6764529914529914</x:v>
      </x:c>
      <x:c r="N11" s="6" t="n">
        <x:v>1869500</x:v>
      </x:c>
    </x:row>
    <x:row r="12" ht="24" customHeight="1">
      <x:c r="A12" s="2" t="str">
        <x:v>2026-09-24_Day</x:v>
      </x:c>
      <x:c r="B12" s="6" t="str">
        <x:v>デイ</x:v>
      </x:c>
      <x:c r="C12" s="6" t="n">
        <x:v>992500</x:v>
      </x:c>
      <x:c r="D12" s="6" t="n">
        <x:v>2639500</x:v>
      </x:c>
      <x:c r="E12" s="6" t="n">
        <x:f>C12-D12</x:f>
        <x:v>-1647000</x:v>
      </x:c>
      <x:c r="F12" s="6" t="n">
        <x:f>F11+E12</x:f>
        <x:v>-11024000</x:v>
      </x:c>
      <x:c r="G12" s="6" t="n">
        <x:v>876000</x:v>
      </x:c>
      <x:c r="H12" s="6" t="n">
        <x:v>2523000</x:v>
      </x:c>
      <x:c r="I12" s="6" t="n">
        <x:v>303</x:v>
      </x:c>
      <x:c r="J12" s="6" t="n">
        <x:v>305</x:v>
      </x:c>
      <x:c r="K12" s="6" t="n">
        <x:v>444</x:v>
      </x:c>
      <x:c r="L12" s="6" t="n">
        <x:v>10</x:v>
      </x:c>
      <x:c r="M12" s="11" t="n">
        <x:v>0.7975793650793651</x:v>
      </x:c>
      <x:c r="N12" s="6" t="n">
        <x:v>1762000</x:v>
      </x:c>
    </x:row>
    <x:row r="13" ht="24" customHeight="1">
      <x:c r="A13" s="2" t="str">
        <x:v>2026-09-24_Night</x:v>
      </x:c>
      <x:c r="B13" s="6" t="str">
        <x:v>ナイト</x:v>
      </x:c>
      <x:c r="C13" s="6" t="n">
        <x:v>763500</x:v>
      </x:c>
      <x:c r="D13" s="6" t="n">
        <x:v>3445000</x:v>
      </x:c>
      <x:c r="E13" s="6" t="n">
        <x:f>C13-D13</x:f>
        <x:v>-2681500</x:v>
      </x:c>
      <x:c r="F13" s="6" t="n">
        <x:f>F12+E13</x:f>
        <x:v>-13705500</x:v>
      </x:c>
      <x:c r="G13" s="6" t="n">
        <x:v>619000</x:v>
      </x:c>
      <x:c r="H13" s="6" t="n">
        <x:v>3300500</x:v>
      </x:c>
      <x:c r="I13" s="6" t="n">
        <x:v>452</x:v>
      </x:c>
      <x:c r="J13" s="6" t="n">
        <x:v>413</x:v>
      </x:c>
      <x:c r="K13" s="6" t="n">
        <x:v>628</x:v>
      </x:c>
      <x:c r="L13" s="6" t="n">
        <x:v>10</x:v>
      </x:c>
      <x:c r="M13" s="11" t="n">
        <x:v>0.768974358974359</x:v>
      </x:c>
      <x:c r="N13" s="6" t="n">
        <x:v>2719500</x:v>
      </x:c>
    </x:row>
    <x:row r="14" ht="24" customHeight="1">
      <x:c r="A14" s="2" t="str">
        <x:v>2026-09-25_Day</x:v>
      </x:c>
      <x:c r="B14" s="6" t="str">
        <x:v>デイ</x:v>
      </x:c>
      <x:c r="C14" s="6" t="n">
        <x:v>790500</x:v>
      </x:c>
      <x:c r="D14" s="6" t="n">
        <x:v>2402500</x:v>
      </x:c>
      <x:c r="E14" s="6" t="n">
        <x:f>C14-D14</x:f>
        <x:v>-1612000</x:v>
      </x:c>
      <x:c r="F14" s="6" t="n">
        <x:f>F13+E14</x:f>
        <x:v>-15317500</x:v>
      </x:c>
      <x:c r="G14" s="6" t="n">
        <x:v>645000</x:v>
      </x:c>
      <x:c r="H14" s="6" t="n">
        <x:v>2257000</x:v>
      </x:c>
      <x:c r="I14" s="6" t="n">
        <x:v>263</x:v>
      </x:c>
      <x:c r="J14" s="6" t="n">
        <x:v>389</x:v>
      </x:c>
      <x:c r="K14" s="6" t="n">
        <x:v>500</x:v>
      </x:c>
      <x:c r="L14" s="6" t="n">
        <x:v>10</x:v>
      </x:c>
      <x:c r="M14" s="11" t="n">
        <x:v>0.8280555555555555</x:v>
      </x:c>
      <x:c r="N14" s="6" t="n">
        <x:v>1630000</x:v>
      </x:c>
    </x:row>
    <x:row r="15" ht="24" customHeight="1">
      <x:c r="A15" s="2" t="str">
        <x:v>2026-09-25_Night</x:v>
      </x:c>
      <x:c r="B15" s="6" t="str">
        <x:v>ナイト</x:v>
      </x:c>
      <x:c r="C15" s="6" t="n">
        <x:v>639000</x:v>
      </x:c>
      <x:c r="D15" s="6" t="n">
        <x:v>2752500</x:v>
      </x:c>
      <x:c r="E15" s="6" t="n">
        <x:f>C15-D15</x:f>
        <x:v>-2113500</x:v>
      </x:c>
      <x:c r="F15" s="6" t="n">
        <x:f>F14+E15</x:f>
        <x:v>-17431000</x:v>
      </x:c>
      <x:c r="G15" s="6" t="n">
        <x:v>475500</x:v>
      </x:c>
      <x:c r="H15" s="6" t="n">
        <x:v>2589000</x:v>
      </x:c>
      <x:c r="I15" s="6" t="n">
        <x:v>419</x:v>
      </x:c>
      <x:c r="J15" s="6" t="n">
        <x:v>422</x:v>
      </x:c>
      <x:c r="K15" s="6" t="n">
        <x:v>565</x:v>
      </x:c>
      <x:c r="L15" s="6" t="n">
        <x:v>10</x:v>
      </x:c>
      <x:c r="M15" s="11" t="n">
        <x:v>0.7370726495726496</x:v>
      </x:c>
      <x:c r="N15" s="6" t="n">
        <x:v>2202500</x:v>
      </x:c>
    </x:row>
    <x:row r="16" ht="24" customHeight="1">
      <x:c r="A16" s="2" t="str">
        <x:v>2026-09-28_Day</x:v>
      </x:c>
      <x:c r="B16" s="6" t="str">
        <x:v>デイ</x:v>
      </x:c>
      <x:c r="C16" s="6" t="n">
        <x:v>830000</x:v>
      </x:c>
      <x:c r="D16" s="6" t="n">
        <x:v>2380500</x:v>
      </x:c>
      <x:c r="E16" s="6" t="n">
        <x:f>C16-D16</x:f>
        <x:v>-1550500</x:v>
      </x:c>
      <x:c r="F16" s="6" t="n">
        <x:f>F15+E16</x:f>
        <x:v>-18981500</x:v>
      </x:c>
      <x:c r="G16" s="6" t="n">
        <x:v>720000</x:v>
      </x:c>
      <x:c r="H16" s="6" t="n">
        <x:v>2270500</x:v>
      </x:c>
      <x:c r="I16" s="6" t="n">
        <x:v>282</x:v>
      </x:c>
      <x:c r="J16" s="6" t="n">
        <x:v>376</x:v>
      </x:c>
      <x:c r="K16" s="6" t="n">
        <x:v>512</x:v>
      </x:c>
      <x:c r="L16" s="6" t="n">
        <x:v>10</x:v>
      </x:c>
      <x:c r="M16" s="11" t="n">
        <x:v>0.8191269841269841</x:v>
      </x:c>
      <x:c r="N16" s="6" t="n">
        <x:v>1596500</x:v>
      </x:c>
    </x:row>
    <x:row r="17" ht="24" customHeight="1">
      <x:c r="A17" s="2" t="str">
        <x:v>2026-09-28_Night</x:v>
      </x:c>
      <x:c r="B17" s="6" t="str">
        <x:v>ナイト</x:v>
      </x:c>
      <x:c r="C17" s="6" t="n">
        <x:v>1009500</x:v>
      </x:c>
      <x:c r="D17" s="6" t="n">
        <x:v>3127500</x:v>
      </x:c>
      <x:c r="E17" s="6" t="n">
        <x:f>C17-D17</x:f>
        <x:v>-2118000</x:v>
      </x:c>
      <x:c r="F17" s="6" t="n">
        <x:f>F16+E17</x:f>
        <x:v>-21099500</x:v>
      </x:c>
      <x:c r="G17" s="6" t="n">
        <x:v>844000</x:v>
      </x:c>
      <x:c r="H17" s="6" t="n">
        <x:v>2962000</x:v>
      </x:c>
      <x:c r="I17" s="6" t="n">
        <x:v>421</x:v>
      </x:c>
      <x:c r="J17" s="6" t="n">
        <x:v>411</x:v>
      </x:c>
      <x:c r="K17" s="6" t="n">
        <x:v>602</x:v>
      </x:c>
      <x:c r="L17" s="6" t="n">
        <x:v>10</x:v>
      </x:c>
      <x:c r="M17" s="11" t="n">
        <x:v>0.7472435897435897</x:v>
      </x:c>
      <x:c r="N17" s="6" t="n">
        <x:v>2146500</x:v>
      </x:c>
    </x:row>
    <x:row r="18" ht="24" customHeight="1">
      <x:c r="A18" s="2" t="str">
        <x:v>2026-09-29_Day</x:v>
      </x:c>
      <x:c r="B18" s="6" t="str">
        <x:v>デイ</x:v>
      </x:c>
      <x:c r="C18" s="6" t="n">
        <x:v>992000</x:v>
      </x:c>
      <x:c r="D18" s="6" t="n">
        <x:v>2811000</x:v>
      </x:c>
      <x:c r="E18" s="6" t="n">
        <x:f>C18-D18</x:f>
        <x:v>-1819000</x:v>
      </x:c>
      <x:c r="F18" s="6" t="n">
        <x:f>F17+E18</x:f>
        <x:v>-22918500</x:v>
      </x:c>
      <x:c r="G18" s="6" t="n">
        <x:v>876000</x:v>
      </x:c>
      <x:c r="H18" s="6" t="n">
        <x:v>2695000</x:v>
      </x:c>
      <x:c r="I18" s="6" t="n">
        <x:v>315</x:v>
      </x:c>
      <x:c r="J18" s="6" t="n">
        <x:v>299</x:v>
      </x:c>
      <x:c r="K18" s="6" t="n">
        <x:v>498</x:v>
      </x:c>
      <x:c r="L18" s="6" t="n">
        <x:v>10</x:v>
      </x:c>
      <x:c r="M18" s="11" t="n">
        <x:v>0.8051984126984127</x:v>
      </x:c>
      <x:c r="N18" s="6" t="n">
        <x:v>2000000</x:v>
      </x:c>
    </x:row>
    <x:row r="19" ht="24" customHeight="1">
      <x:c r="A19" s="2" t="str">
        <x:v>2026-09-29_Night</x:v>
      </x:c>
      <x:c r="B19" s="6" t="str">
        <x:v>ナイト</x:v>
      </x:c>
      <x:c r="C19" s="6" t="n">
        <x:v>473500</x:v>
      </x:c>
      <x:c r="D19" s="6" t="n">
        <x:v>2934500</x:v>
      </x:c>
      <x:c r="E19" s="6" t="n">
        <x:f>C19-D19</x:f>
        <x:v>-2461000</x:v>
      </x:c>
      <x:c r="F19" s="6" t="n">
        <x:f>F18+E19</x:f>
        <x:v>-25379500</x:v>
      </x:c>
      <x:c r="G19" s="6" t="n">
        <x:v>336000</x:v>
      </x:c>
      <x:c r="H19" s="6" t="n">
        <x:v>2797000</x:v>
      </x:c>
      <x:c r="I19" s="6" t="n">
        <x:v>430</x:v>
      </x:c>
      <x:c r="J19" s="6" t="n">
        <x:v>434</x:v>
      </x:c>
      <x:c r="K19" s="6" t="n">
        <x:v>609</x:v>
      </x:c>
      <x:c r="L19" s="6" t="n">
        <x:v>10</x:v>
      </x:c>
      <x:c r="M19" s="11" t="n">
        <x:v>0.7415598290598291</x:v>
      </x:c>
      <x:c r="N19" s="6" t="n">
        <x:v>2464000</x:v>
      </x:c>
    </x:row>
    <x:row r="20" ht="24" customHeight="1">
      <x:c r="A20" s="2" t="str">
        <x:v>2026-09-30_Day</x:v>
      </x:c>
      <x:c r="B20" s="6" t="str">
        <x:v>デイ</x:v>
      </x:c>
      <x:c r="C20" s="6" t="n">
        <x:v>750500</x:v>
      </x:c>
      <x:c r="D20" s="6" t="n">
        <x:v>2775500</x:v>
      </x:c>
      <x:c r="E20" s="6" t="n">
        <x:f>C20-D20</x:f>
        <x:v>-2025000</x:v>
      </x:c>
      <x:c r="F20" s="6" t="n">
        <x:f>F19+E20</x:f>
        <x:v>-27404500</x:v>
      </x:c>
      <x:c r="G20" s="6" t="n">
        <x:v>663500</x:v>
      </x:c>
      <x:c r="H20" s="6" t="n">
        <x:v>2688500</x:v>
      </x:c>
      <x:c r="I20" s="6" t="n">
        <x:v>297</x:v>
      </x:c>
      <x:c r="J20" s="6" t="n">
        <x:v>328</x:v>
      </x:c>
      <x:c r="K20" s="6" t="n">
        <x:v>504</x:v>
      </x:c>
      <x:c r="L20" s="6" t="n">
        <x:v>10</x:v>
      </x:c>
      <x:c r="M20" s="11" t="n">
        <x:v>0.8096031746031747</x:v>
      </x:c>
      <x:c r="N20" s="6" t="n">
        <x:v>2083000</x:v>
      </x:c>
    </x:row>
    <x:row r="21" ht="24" customHeight="1">
      <x:c r="A21" s="2" t="str">
        <x:v>2026-09-30_Night</x:v>
      </x:c>
      <x:c r="B21" s="6" t="str">
        <x:v>ナイト</x:v>
      </x:c>
      <x:c r="C21" s="6" t="n">
        <x:v>820000</x:v>
      </x:c>
      <x:c r="D21" s="6" t="n">
        <x:v>3497000</x:v>
      </x:c>
      <x:c r="E21" s="6" t="n">
        <x:f>C21-D21</x:f>
        <x:v>-2677000</x:v>
      </x:c>
      <x:c r="F21" s="6" t="n">
        <x:f>F20+E21</x:f>
        <x:v>-30081500</x:v>
      </x:c>
      <x:c r="G21" s="6" t="n">
        <x:v>647000</x:v>
      </x:c>
      <x:c r="H21" s="6" t="n">
        <x:v>3324000</x:v>
      </x:c>
      <x:c r="I21" s="6" t="n">
        <x:v>454</x:v>
      </x:c>
      <x:c r="J21" s="6" t="n">
        <x:v>467</x:v>
      </x:c>
      <x:c r="K21" s="6" t="n">
        <x:v>660</x:v>
      </x:c>
      <x:c r="L21" s="6" t="n">
        <x:v>10</x:v>
      </x:c>
      <x:c r="M21" s="11" t="n">
        <x:v>0.7777777777777778</x:v>
      </x:c>
      <x:c r="N21" s="6" t="n">
        <x:v>2711000</x:v>
      </x:c>
    </x:row>
    <x:row r="22" ht="24" customHeight="1">
      <x:c r="A22" s="2" t="str">
        <x:v>2026-10-01_Day</x:v>
      </x:c>
      <x:c r="B22" s="6" t="str">
        <x:v>デイ</x:v>
      </x:c>
      <x:c r="C22" s="6" t="n">
        <x:v>798500</x:v>
      </x:c>
      <x:c r="D22" s="6" t="n">
        <x:v>2656000</x:v>
      </x:c>
      <x:c r="E22" s="6" t="n">
        <x:f>C22-D22</x:f>
        <x:v>-1857500</x:v>
      </x:c>
      <x:c r="F22" s="6" t="n">
        <x:f>F21+E22</x:f>
        <x:v>-31939000</x:v>
      </x:c>
      <x:c r="G22" s="6" t="n">
        <x:v>683500</x:v>
      </x:c>
      <x:c r="H22" s="6" t="n">
        <x:v>2541000</x:v>
      </x:c>
      <x:c r="I22" s="6" t="n">
        <x:v>294</x:v>
      </x:c>
      <x:c r="J22" s="6" t="n">
        <x:v>321</x:v>
      </x:c>
      <x:c r="K22" s="6" t="n">
        <x:v>511</x:v>
      </x:c>
      <x:c r="L22" s="6" t="n">
        <x:v>10</x:v>
      </x:c>
      <x:c r="M22" s="11" t="n">
        <x:v>0.8092857142857143</x:v>
      </x:c>
      <x:c r="N22" s="6" t="n">
        <x:v>1948500</x:v>
      </x:c>
    </x:row>
    <x:row r="23" ht="24" customHeight="1">
      <x:c r="A23" s="2" t="str">
        <x:v>2026-10-01_Night</x:v>
      </x:c>
      <x:c r="B23" s="6" t="str">
        <x:v>ナイト</x:v>
      </x:c>
      <x:c r="C23" s="6" t="n">
        <x:v>849000</x:v>
      </x:c>
      <x:c r="D23" s="6" t="n">
        <x:v>4185000</x:v>
      </x:c>
      <x:c r="E23" s="6" t="n">
        <x:f>C23-D23</x:f>
        <x:v>-3336000</x:v>
      </x:c>
      <x:c r="F23" s="6" t="n">
        <x:f>F22+E23</x:f>
        <x:v>-35275000</x:v>
      </x:c>
      <x:c r="G23" s="6" t="n">
        <x:v>688000</x:v>
      </x:c>
      <x:c r="H23" s="6" t="n">
        <x:v>4024000</x:v>
      </x:c>
      <x:c r="I23" s="6" t="n">
        <x:v>465</x:v>
      </x:c>
      <x:c r="J23" s="6" t="n">
        <x:v>427</x:v>
      </x:c>
      <x:c r="K23" s="6" t="n">
        <x:v>666</x:v>
      </x:c>
      <x:c r="L23" s="6" t="n">
        <x:v>10</x:v>
      </x:c>
      <x:c r="M23" s="11" t="n">
        <x:v>0.7583333333333333</x:v>
      </x:c>
      <x:c r="N23" s="6" t="n">
        <x:v>3337000</x:v>
      </x:c>
    </x:row>
    <x:row r="24" ht="24" customHeight="1">
      <x:c r="A24" s="2" t="str">
        <x:v>2026-10-02_Day</x:v>
      </x:c>
      <x:c r="B24" s="6" t="str">
        <x:v>デイ</x:v>
      </x:c>
      <x:c r="C24" s="6" t="n">
        <x:v>623000</x:v>
      </x:c>
      <x:c r="D24" s="6" t="n">
        <x:v>2633500</x:v>
      </x:c>
      <x:c r="E24" s="6" t="n">
        <x:f>C24-D24</x:f>
        <x:v>-2010500</x:v>
      </x:c>
      <x:c r="F24" s="6" t="n">
        <x:f>F23+E24</x:f>
        <x:v>-37285500</x:v>
      </x:c>
      <x:c r="G24" s="6" t="n">
        <x:v>478000</x:v>
      </x:c>
      <x:c r="H24" s="6" t="n">
        <x:v>2488500</x:v>
      </x:c>
      <x:c r="I24" s="6" t="n">
        <x:v>303</x:v>
      </x:c>
      <x:c r="J24" s="6" t="n">
        <x:v>343</x:v>
      </x:c>
      <x:c r="K24" s="6" t="n">
        <x:v>498</x:v>
      </x:c>
      <x:c r="L24" s="6" t="n">
        <x:v>10</x:v>
      </x:c>
      <x:c r="M24" s="11" t="n">
        <x:v>0.8027777777777778</x:v>
      </x:c>
      <x:c r="N24" s="6" t="n">
        <x:v>2016000</x:v>
      </x:c>
    </x:row>
    <x:row r="25" ht="24" customHeight="1">
      <x:c r="A25" s="2" t="str">
        <x:v>2026-10-02_Night</x:v>
      </x:c>
      <x:c r="B25" s="6" t="str">
        <x:v>ナイト</x:v>
      </x:c>
      <x:c r="C25" s="6" t="n">
        <x:v>842500</x:v>
      </x:c>
      <x:c r="D25" s="6" t="n">
        <x:v>3432000</x:v>
      </x:c>
      <x:c r="E25" s="6" t="n">
        <x:f>C25-D25</x:f>
        <x:v>-2589500</x:v>
      </x:c>
      <x:c r="F25" s="6" t="n">
        <x:f>F24+E25</x:f>
        <x:v>-39875000</x:v>
      </x:c>
      <x:c r="G25" s="6" t="n">
        <x:v>680500</x:v>
      </x:c>
      <x:c r="H25" s="6" t="n">
        <x:v>3270000</x:v>
      </x:c>
      <x:c r="I25" s="6" t="n">
        <x:v>478</x:v>
      </x:c>
      <x:c r="J25" s="6" t="n">
        <x:v>490</x:v>
      </x:c>
      <x:c r="K25" s="6" t="n">
        <x:v>669</x:v>
      </x:c>
      <x:c r="L25" s="6" t="n">
        <x:v>10</x:v>
      </x:c>
      <x:c r="M25" s="11" t="n">
        <x:v>0.7632692307692308</x:v>
      </x:c>
      <x:c r="N25" s="6" t="n">
        <x:v>2608000</x:v>
      </x:c>
    </x:row>
    <x:row r="26" ht="24" customHeight="1">
      <x:c r="A26" s="2" t="str">
        <x:v>2026-10-05_Day</x:v>
      </x:c>
      <x:c r="B26" s="6" t="str">
        <x:v>デイ</x:v>
      </x:c>
      <x:c r="C26" s="6" t="n">
        <x:v>609000</x:v>
      </x:c>
      <x:c r="D26" s="6" t="n">
        <x:v>2325000</x:v>
      </x:c>
      <x:c r="E26" s="6" t="n">
        <x:f>C26-D26</x:f>
        <x:v>-1716000</x:v>
      </x:c>
      <x:c r="F26" s="6" t="n">
        <x:f>F25+E26</x:f>
        <x:v>-41591000</x:v>
      </x:c>
      <x:c r="G26" s="6" t="n">
        <x:v>470500</x:v>
      </x:c>
      <x:c r="H26" s="6" t="n">
        <x:v>2186500</x:v>
      </x:c>
      <x:c r="I26" s="6" t="n">
        <x:v>273</x:v>
      </x:c>
      <x:c r="J26" s="6" t="n">
        <x:v>326</x:v>
      </x:c>
      <x:c r="K26" s="6" t="n">
        <x:v>497</x:v>
      </x:c>
      <x:c r="L26" s="6" t="n">
        <x:v>10</x:v>
      </x:c>
      <x:c r="M26" s="11" t="n">
        <x:v>0.8153968253968253</x:v>
      </x:c>
      <x:c r="N26" s="6" t="n">
        <x:v>1727500</x:v>
      </x:c>
    </x:row>
    <x:row r="27" ht="24" customHeight="1">
      <x:c r="A27" s="2" t="str">
        <x:v>2026-10-05_Night</x:v>
      </x:c>
      <x:c r="B27" s="6" t="str">
        <x:v>ナイト</x:v>
      </x:c>
      <x:c r="C27" s="6" t="n">
        <x:v>647500</x:v>
      </x:c>
      <x:c r="D27" s="6" t="n">
        <x:v>2747000</x:v>
      </x:c>
      <x:c r="E27" s="6" t="n">
        <x:f>C27-D27</x:f>
        <x:v>-2099500</x:v>
      </x:c>
      <x:c r="F27" s="6" t="n">
        <x:f>F26+E27</x:f>
        <x:v>-43690500</x:v>
      </x:c>
      <x:c r="G27" s="6" t="n">
        <x:v>512500</x:v>
      </x:c>
      <x:c r="H27" s="6" t="n">
        <x:v>2612000</x:v>
      </x:c>
      <x:c r="I27" s="6" t="n">
        <x:v>418</x:v>
      </x:c>
      <x:c r="J27" s="6" t="n">
        <x:v>406</x:v>
      </x:c>
      <x:c r="K27" s="6" t="n">
        <x:v>564</x:v>
      </x:c>
      <x:c r="L27" s="6" t="n">
        <x:v>10</x:v>
      </x:c>
      <x:c r="M27" s="11" t="n">
        <x:v>0.7450213675213675</x:v>
      </x:c>
      <x:c r="N27" s="6" t="n">
        <x:v>2170000</x:v>
      </x:c>
    </x:row>
    <x:row r="28" ht="24" customHeight="1">
      <x:c r="A28" s="2" t="str">
        <x:v>2026-10-06_Day</x:v>
      </x:c>
      <x:c r="B28" s="6" t="str">
        <x:v>デイ</x:v>
      </x:c>
      <x:c r="C28" s="6" t="n">
        <x:v>449500</x:v>
      </x:c>
      <x:c r="D28" s="6" t="n">
        <x:v>2173000</x:v>
      </x:c>
      <x:c r="E28" s="6" t="n">
        <x:f>C28-D28</x:f>
        <x:v>-1723500</x:v>
      </x:c>
      <x:c r="F28" s="6" t="n">
        <x:f>F27+E28</x:f>
        <x:v>-45414000</x:v>
      </x:c>
      <x:c r="G28" s="6" t="n">
        <x:v>352000</x:v>
      </x:c>
      <x:c r="H28" s="6" t="n">
        <x:v>2075500</x:v>
      </x:c>
      <x:c r="I28" s="6" t="n">
        <x:v>272</x:v>
      </x:c>
      <x:c r="J28" s="6" t="n">
        <x:v>346</x:v>
      </x:c>
      <x:c r="K28" s="6" t="n">
        <x:v>544</x:v>
      </x:c>
      <x:c r="L28" s="6" t="n">
        <x:v>10</x:v>
      </x:c>
      <x:c r="M28" s="11" t="n">
        <x:v>0.8055555555555556</x:v>
      </x:c>
      <x:c r="N28" s="6" t="n">
        <x:v>1729500</x:v>
      </x:c>
    </x:row>
    <x:row r="29" ht="24" customHeight="1">
      <x:c r="A29" s="2" t="str">
        <x:v>2026-10-06_Night</x:v>
      </x:c>
      <x:c r="B29" s="6" t="str">
        <x:v>ナイト</x:v>
      </x:c>
      <x:c r="C29" s="6" t="n">
        <x:v>354000</x:v>
      </x:c>
      <x:c r="D29" s="6" t="n">
        <x:v>2126000</x:v>
      </x:c>
      <x:c r="E29" s="6" t="n">
        <x:f>C29-D29</x:f>
        <x:v>-1772000</x:v>
      </x:c>
      <x:c r="F29" s="6" t="n">
        <x:f>F28+E29</x:f>
        <x:v>-47186000</x:v>
      </x:c>
      <x:c r="G29" s="6" t="n">
        <x:v>253500</x:v>
      </x:c>
      <x:c r="H29" s="6" t="n">
        <x:v>2025500</x:v>
      </x:c>
      <x:c r="I29" s="6" t="n">
        <x:v>407</x:v>
      </x:c>
      <x:c r="J29" s="6" t="n">
        <x:v>420</x:v>
      </x:c>
      <x:c r="K29" s="6" t="n">
        <x:v>593</x:v>
      </x:c>
      <x:c r="L29" s="6" t="n">
        <x:v>10</x:v>
      </x:c>
      <x:c r="M29" s="11" t="n">
        <x:v>0.7103846153846154</x:v>
      </x:c>
      <x:c r="N29" s="6" t="n">
        <x:v>1790500</x:v>
      </x:c>
    </x:row>
    <x:row r="30" ht="24" customHeight="1">
      <x:c r="A30" s="2" t="str">
        <x:v>2026-10-07_Day</x:v>
      </x:c>
      <x:c r="B30" s="6" t="str">
        <x:v>デイ</x:v>
      </x:c>
      <x:c r="C30" s="6" t="n">
        <x:v>435500</x:v>
      </x:c>
      <x:c r="D30" s="6" t="n">
        <x:v>1634000</x:v>
      </x:c>
      <x:c r="E30" s="6" t="n">
        <x:f>C30-D30</x:f>
        <x:v>-1198500</x:v>
      </x:c>
      <x:c r="F30" s="6" t="n">
        <x:f>F29+E30</x:f>
        <x:v>-48384500</x:v>
      </x:c>
      <x:c r="G30" s="6" t="n">
        <x:v>310500</x:v>
      </x:c>
      <x:c r="H30" s="6" t="n">
        <x:v>1509000</x:v>
      </x:c>
      <x:c r="I30" s="6" t="n">
        <x:v>241</x:v>
      </x:c>
      <x:c r="J30" s="6" t="n">
        <x:v>344</x:v>
      </x:c>
      <x:c r="K30" s="6" t="n">
        <x:v>489</x:v>
      </x:c>
      <x:c r="L30" s="6" t="n">
        <x:v>10</x:v>
      </x:c>
      <x:c r="M30" s="11" t="n">
        <x:v>0.7966269841269841</x:v>
      </x:c>
      <x:c r="N30" s="6" t="n">
        <x:v>1198500</x:v>
      </x:c>
    </x:row>
    <x:row r="31" ht="24" customHeight="1">
      <x:c r="A31" s="2" t="str">
        <x:v>2026-10-07_Night</x:v>
      </x:c>
      <x:c r="B31" s="6" t="str">
        <x:v>ナイト</x:v>
      </x:c>
      <x:c r="C31" s="6" t="n">
        <x:v>418000</x:v>
      </x:c>
      <x:c r="D31" s="6" t="n">
        <x:v>2512000</x:v>
      </x:c>
      <x:c r="E31" s="6" t="n">
        <x:f>C31-D31</x:f>
        <x:v>-2094000</x:v>
      </x:c>
      <x:c r="F31" s="6" t="n">
        <x:f>F30+E31</x:f>
        <x:v>-50478500</x:v>
      </x:c>
      <x:c r="G31" s="6" t="n">
        <x:v>304500</x:v>
      </x:c>
      <x:c r="H31" s="6" t="n">
        <x:v>2398500</x:v>
      </x:c>
      <x:c r="I31" s="6" t="n">
        <x:v>405</x:v>
      </x:c>
      <x:c r="J31" s="6" t="n">
        <x:v>410</x:v>
      </x:c>
      <x:c r="K31" s="6" t="n">
        <x:v>540</x:v>
      </x:c>
      <x:c r="L31" s="6" t="n">
        <x:v>10</x:v>
      </x:c>
      <x:c r="M31" s="11" t="n">
        <x:v>0.7280341880341881</x:v>
      </x:c>
      <x:c r="N31" s="6" t="n">
        <x:v>2104500</x:v>
      </x:c>
    </x:row>
    <x:row r="32" ht="24" customHeight="1">
      <x:c r="A32" s="2" t="str">
        <x:v>2026-10-08_Day</x:v>
      </x:c>
      <x:c r="B32" s="6" t="str">
        <x:v>デイ</x:v>
      </x:c>
      <x:c r="C32" s="6" t="n">
        <x:v>632500</x:v>
      </x:c>
      <x:c r="D32" s="6" t="n">
        <x:v>2164500</x:v>
      </x:c>
      <x:c r="E32" s="6" t="n">
        <x:f>C32-D32</x:f>
        <x:v>-1532000</x:v>
      </x:c>
      <x:c r="F32" s="6" t="n">
        <x:f>F31+E32</x:f>
        <x:v>-52010500</x:v>
      </x:c>
      <x:c r="G32" s="6" t="n">
        <x:v>540000</x:v>
      </x:c>
      <x:c r="H32" s="6" t="n">
        <x:v>2072000</x:v>
      </x:c>
      <x:c r="I32" s="6" t="n">
        <x:v>278</x:v>
      </x:c>
      <x:c r="J32" s="6" t="n">
        <x:v>345</x:v>
      </x:c>
      <x:c r="K32" s="6" t="n">
        <x:v>552</x:v>
      </x:c>
      <x:c r="L32" s="6" t="n">
        <x:v>10</x:v>
      </x:c>
      <x:c r="M32" s="11" t="n">
        <x:v>0.8134523809523809</x:v>
      </x:c>
      <x:c r="N32" s="6" t="n">
        <x:v>1542000</x:v>
      </x:c>
    </x:row>
    <x:row r="33" ht="24" customHeight="1">
      <x:c r="A33" s="2" t="str">
        <x:v>2026-10-08_Night</x:v>
      </x:c>
      <x:c r="B33" s="6" t="str">
        <x:v>ナイト</x:v>
      </x:c>
      <x:c r="C33" s="6" t="n">
        <x:v>706500</x:v>
      </x:c>
      <x:c r="D33" s="6" t="n">
        <x:v>3530000</x:v>
      </x:c>
      <x:c r="E33" s="6" t="n">
        <x:f>C33-D33</x:f>
        <x:v>-2823500</x:v>
      </x:c>
      <x:c r="F33" s="6" t="n">
        <x:f>F32+E33</x:f>
        <x:v>-54834000</x:v>
      </x:c>
      <x:c r="G33" s="6" t="n">
        <x:v>543000</x:v>
      </x:c>
      <x:c r="H33" s="6" t="n">
        <x:v>3366500</x:v>
      </x:c>
      <x:c r="I33" s="6" t="n">
        <x:v>446</x:v>
      </x:c>
      <x:c r="J33" s="6" t="n">
        <x:v>474</x:v>
      </x:c>
      <x:c r="K33" s="6" t="n">
        <x:v>636</x:v>
      </x:c>
      <x:c r="L33" s="6" t="n">
        <x:v>10</x:v>
      </x:c>
      <x:c r="M33" s="11" t="n">
        <x:v>0.7577564102564103</x:v>
      </x:c>
      <x:c r="N33" s="6" t="n">
        <x:v>2898500</x:v>
      </x:c>
    </x:row>
    <x:row r="34" ht="24" customHeight="1">
      <x:c r="A34" s="2" t="str">
        <x:v>2026-10-09_Day</x:v>
      </x:c>
      <x:c r="B34" s="6" t="str">
        <x:v>デイ</x:v>
      </x:c>
      <x:c r="C34" s="6" t="n">
        <x:v>773500</x:v>
      </x:c>
      <x:c r="D34" s="6" t="n">
        <x:v>2469500</x:v>
      </x:c>
      <x:c r="E34" s="6" t="n">
        <x:f>C34-D34</x:f>
        <x:v>-1696000</x:v>
      </x:c>
      <x:c r="F34" s="6" t="n">
        <x:f>F33+E34</x:f>
        <x:v>-56530000</x:v>
      </x:c>
      <x:c r="G34" s="6" t="n">
        <x:v>655000</x:v>
      </x:c>
      <x:c r="H34" s="6" t="n">
        <x:v>2351000</x:v>
      </x:c>
      <x:c r="I34" s="6" t="n">
        <x:v>281</x:v>
      </x:c>
      <x:c r="J34" s="6" t="n">
        <x:v>339</x:v>
      </x:c>
      <x:c r="K34" s="6" t="n">
        <x:v>469</x:v>
      </x:c>
      <x:c r="L34" s="6" t="n">
        <x:v>10</x:v>
      </x:c>
      <x:c r="M34" s="11" t="n">
        <x:v>0.8105555555555556</x:v>
      </x:c>
      <x:c r="N34" s="6" t="n">
        <x:v>1779000</x:v>
      </x:c>
    </x:row>
    <x:row r="35" ht="24" customHeight="1">
      <x:c r="A35" s="2" t="str">
        <x:v>2026-10-09_Night</x:v>
      </x:c>
      <x:c r="B35" s="6" t="str">
        <x:v>ナイト</x:v>
      </x:c>
      <x:c r="C35" s="6" t="n">
        <x:v>310000</x:v>
      </x:c>
      <x:c r="D35" s="6" t="n">
        <x:v>2171000</x:v>
      </x:c>
      <x:c r="E35" s="6" t="n">
        <x:f>C35-D35</x:f>
        <x:v>-1861000</x:v>
      </x:c>
      <x:c r="F35" s="6" t="n">
        <x:f>F34+E35</x:f>
        <x:v>-58391000</x:v>
      </x:c>
      <x:c r="G35" s="6" t="n">
        <x:v>197000</x:v>
      </x:c>
      <x:c r="H35" s="6" t="n">
        <x:v>2058000</x:v>
      </x:c>
      <x:c r="I35" s="6" t="n">
        <x:v>373</x:v>
      </x:c>
      <x:c r="J35" s="6" t="n">
        <x:v>386</x:v>
      </x:c>
      <x:c r="K35" s="6" t="n">
        <x:v>552</x:v>
      </x:c>
      <x:c r="L35" s="6" t="n">
        <x:v>10</x:v>
      </x:c>
      <x:c r="M35" s="11" t="n">
        <x:v>0.701602564102564</x:v>
      </x:c>
      <x:c r="N35" s="6" t="n">
        <x:v>1869000</x:v>
      </x:c>
    </x:row>
    <x:row r="36" ht="24" customHeight="1">
      <x:c r="A36" s="2" t="str">
        <x:v>2026-10-12_Day</x:v>
      </x:c>
      <x:c r="B36" s="6" t="str">
        <x:v>デイ</x:v>
      </x:c>
      <x:c r="C36" s="6" t="n">
        <x:v>143500</x:v>
      </x:c>
      <x:c r="D36" s="6" t="n">
        <x:v>1226500</x:v>
      </x:c>
      <x:c r="E36" s="6" t="n">
        <x:f>C36-D36</x:f>
        <x:v>-1083000</x:v>
      </x:c>
      <x:c r="F36" s="6" t="n">
        <x:f>F35+E36</x:f>
        <x:v>-59474000</x:v>
      </x:c>
      <x:c r="G36" s="6" t="n">
        <x:v>107000</x:v>
      </x:c>
      <x:c r="H36" s="6" t="n">
        <x:v>1190000</x:v>
      </x:c>
      <x:c r="I36" s="6" t="n">
        <x:v>193</x:v>
      </x:c>
      <x:c r="J36" s="6" t="n">
        <x:v>150</x:v>
      </x:c>
      <x:c r="K36" s="6" t="n">
        <x:v>188</x:v>
      </x:c>
      <x:c r="L36" s="6" t="n">
        <x:v>10</x:v>
      </x:c>
      <x:c r="M36" s="11" t="n">
        <x:v>0.6792857142857143</x:v>
      </x:c>
      <x:c r="N36" s="6" t="n">
        <x:v>1090000</x:v>
      </x:c>
    </x:row>
    <x:row r="37" ht="24" customHeight="1">
      <x:c r="A37" s="2" t="str">
        <x:v>2026-10-12_Night</x:v>
      </x:c>
      <x:c r="B37" s="6" t="str">
        <x:v>ナイト</x:v>
      </x:c>
      <x:c r="C37" s="6" t="n">
        <x:v>131500</x:v>
      </x:c>
      <x:c r="D37" s="6" t="n">
        <x:v>1666000</x:v>
      </x:c>
      <x:c r="E37" s="6" t="n">
        <x:f>C37-D37</x:f>
        <x:v>-1534500</x:v>
      </x:c>
      <x:c r="F37" s="6" t="n">
        <x:f>F36+E37</x:f>
        <x:v>-61008500</x:v>
      </x:c>
      <x:c r="G37" s="6" t="n">
        <x:v>67500</x:v>
      </x:c>
      <x:c r="H37" s="6" t="n">
        <x:v>1602000</x:v>
      </x:c>
      <x:c r="I37" s="6" t="n">
        <x:v>301</x:v>
      </x:c>
      <x:c r="J37" s="6" t="n">
        <x:v>274</x:v>
      </x:c>
      <x:c r="K37" s="6" t="n">
        <x:v>321</x:v>
      </x:c>
      <x:c r="L37" s="6" t="n">
        <x:v>10</x:v>
      </x:c>
      <x:c r="M37" s="11" t="n">
        <x:v>0.6782905982905983</x:v>
      </x:c>
      <x:c r="N37" s="6" t="n">
        <x:v>1548500</x:v>
      </x:c>
    </x:row>
    <x:row r="38" ht="24" customHeight="1">
      <x:c r="A38" s="2" t="str">
        <x:v>2026-10-13_Day</x:v>
      </x:c>
      <x:c r="B38" s="6" t="str">
        <x:v>デイ</x:v>
      </x:c>
      <x:c r="C38" s="6" t="n">
        <x:v>706000</x:v>
      </x:c>
      <x:c r="D38" s="6" t="n">
        <x:v>2925000</x:v>
      </x:c>
      <x:c r="E38" s="6" t="n">
        <x:f>C38-D38</x:f>
        <x:v>-2219000</x:v>
      </x:c>
      <x:c r="F38" s="6" t="n">
        <x:f>F37+E38</x:f>
        <x:v>-63227500</x:v>
      </x:c>
      <x:c r="G38" s="6" t="n">
        <x:v>586000</x:v>
      </x:c>
      <x:c r="H38" s="6" t="n">
        <x:v>2805000</x:v>
      </x:c>
      <x:c r="I38" s="6" t="n">
        <x:v>297</x:v>
      </x:c>
      <x:c r="J38" s="6" t="n">
        <x:v>367</x:v>
      </x:c>
      <x:c r="K38" s="6" t="n">
        <x:v>504</x:v>
      </x:c>
      <x:c r="L38" s="6" t="n">
        <x:v>10</x:v>
      </x:c>
      <x:c r="M38" s="11" t="n">
        <x:v>0.8101190476190476</x:v>
      </x:c>
      <x:c r="N38" s="6" t="n">
        <x:v>2219500</x:v>
      </x:c>
    </x:row>
    <x:row r="39" ht="24" customHeight="1">
      <x:c r="A39" s="2" t="str">
        <x:v>2026-10-13_Night</x:v>
      </x:c>
      <x:c r="B39" s="6" t="str">
        <x:v>ナイト</x:v>
      </x:c>
      <x:c r="C39" s="6" t="n">
        <x:v>210500</x:v>
      </x:c>
      <x:c r="D39" s="6" t="n">
        <x:v>1942000</x:v>
      </x:c>
      <x:c r="E39" s="6" t="n">
        <x:f>C39-D39</x:f>
        <x:v>-1731500</x:v>
      </x:c>
      <x:c r="F39" s="6" t="n">
        <x:f>F38+E39</x:f>
        <x:v>-64959000</x:v>
      </x:c>
      <x:c r="G39" s="6" t="n">
        <x:v>129000</x:v>
      </x:c>
      <x:c r="H39" s="6" t="n">
        <x:v>1860500</x:v>
      </x:c>
      <x:c r="I39" s="6" t="n">
        <x:v>366</x:v>
      </x:c>
      <x:c r="J39" s="6" t="n">
        <x:v>353</x:v>
      </x:c>
      <x:c r="K39" s="6" t="n">
        <x:v>477</x:v>
      </x:c>
      <x:c r="L39" s="6" t="n">
        <x:v>10</x:v>
      </x:c>
      <x:c r="M39" s="11" t="n">
        <x:v>0.7028205128205128</x:v>
      </x:c>
      <x:c r="N39" s="6" t="n">
        <x:v>1753500</x:v>
      </x:c>
    </x:row>
    <x:row r="40" ht="24" customHeight="1">
      <x:c r="A40" s="2" t="str">
        <x:v>2026-10-14_Day</x:v>
      </x:c>
      <x:c r="B40" s="6" t="str">
        <x:v>デイ</x:v>
      </x:c>
      <x:c r="C40" s="6" t="n">
        <x:v>517500</x:v>
      </x:c>
      <x:c r="D40" s="6" t="n">
        <x:v>2199500</x:v>
      </x:c>
      <x:c r="E40" s="6" t="n">
        <x:f>C40-D40</x:f>
        <x:v>-1682000</x:v>
      </x:c>
      <x:c r="F40" s="6" t="n">
        <x:f>F39+E40</x:f>
        <x:v>-66641000</x:v>
      </x:c>
      <x:c r="G40" s="6" t="n">
        <x:v>416500</x:v>
      </x:c>
      <x:c r="H40" s="6" t="n">
        <x:v>2098500</x:v>
      </x:c>
      <x:c r="I40" s="6" t="n">
        <x:v>269</x:v>
      </x:c>
      <x:c r="J40" s="6" t="n">
        <x:v>302</x:v>
      </x:c>
      <x:c r="K40" s="6" t="n">
        <x:v>472</x:v>
      </x:c>
      <x:c r="L40" s="6" t="n">
        <x:v>10</x:v>
      </x:c>
      <x:c r="M40" s="11" t="n">
        <x:v>0.795952380952381</x:v>
      </x:c>
      <x:c r="N40" s="6" t="n">
        <x:v>1699000</x:v>
      </x:c>
    </x:row>
    <x:row r="41" ht="24" customHeight="1">
      <x:c r="A41" s="2" t="str">
        <x:v>2026-10-14_Night</x:v>
      </x:c>
      <x:c r="B41" s="6" t="str">
        <x:v>ナイト</x:v>
      </x:c>
      <x:c r="C41" s="6" t="n">
        <x:v>520000</x:v>
      </x:c>
      <x:c r="D41" s="6" t="n">
        <x:v>2995500</x:v>
      </x:c>
      <x:c r="E41" s="6" t="n">
        <x:f>C41-D41</x:f>
        <x:v>-2475500</x:v>
      </x:c>
      <x:c r="F41" s="6" t="n">
        <x:f>F40+E41</x:f>
        <x:v>-69116500</x:v>
      </x:c>
      <x:c r="G41" s="6" t="n">
        <x:v>370000</x:v>
      </x:c>
      <x:c r="H41" s="6" t="n">
        <x:v>2845500</x:v>
      </x:c>
      <x:c r="I41" s="6" t="n">
        <x:v>416</x:v>
      </x:c>
      <x:c r="J41" s="6" t="n">
        <x:v>504</x:v>
      </x:c>
      <x:c r="K41" s="6" t="n">
        <x:v>653</x:v>
      </x:c>
      <x:c r="L41" s="6" t="n">
        <x:v>10</x:v>
      </x:c>
      <x:c r="M41" s="11" t="n">
        <x:v>0.7783333333333333</x:v>
      </x:c>
      <x:c r="N41" s="6" t="n">
        <x:v>2486000</x:v>
      </x:c>
    </x:row>
    <x:row r="42" ht="24" customHeight="1">
      <x:c r="A42" s="2" t="str">
        <x:v>2026-10-15_Day</x:v>
      </x:c>
      <x:c r="B42" s="6" t="str">
        <x:v>デイ</x:v>
      </x:c>
      <x:c r="C42" s="6" t="n">
        <x:v>1341500</x:v>
      </x:c>
      <x:c r="D42" s="6" t="n">
        <x:v>3320500</x:v>
      </x:c>
      <x:c r="E42" s="6" t="n">
        <x:f>C42-D42</x:f>
        <x:v>-1979000</x:v>
      </x:c>
      <x:c r="F42" s="6" t="n">
        <x:f>F41+E42</x:f>
        <x:v>-71095500</x:v>
      </x:c>
      <x:c r="G42" s="6" t="n">
        <x:v>1179500</x:v>
      </x:c>
      <x:c r="H42" s="6" t="n">
        <x:v>3158500</x:v>
      </x:c>
      <x:c r="I42" s="6" t="n">
        <x:v>311</x:v>
      </x:c>
      <x:c r="J42" s="6" t="n">
        <x:v>323</x:v>
      </x:c>
      <x:c r="K42" s="6" t="n">
        <x:v>493</x:v>
      </x:c>
      <x:c r="L42" s="6" t="n">
        <x:v>10</x:v>
      </x:c>
      <x:c r="M42" s="11" t="n">
        <x:v>0.8226190476190476</x:v>
      </x:c>
      <x:c r="N42" s="6" t="n">
        <x:v>2001500</x:v>
      </x:c>
    </x:row>
    <x:row r="43" ht="24" customHeight="1">
      <x:c r="A43" s="2" t="str">
        <x:v>2026-10-15_Night</x:v>
      </x:c>
      <x:c r="B43" s="6" t="str">
        <x:v>ナイト</x:v>
      </x:c>
      <x:c r="C43" s="6" t="n">
        <x:v>908000</x:v>
      </x:c>
      <x:c r="D43" s="6" t="n">
        <x:v>3387000</x:v>
      </x:c>
      <x:c r="E43" s="6" t="n">
        <x:f>C43-D43</x:f>
        <x:v>-2479000</x:v>
      </x:c>
      <x:c r="F43" s="6" t="n">
        <x:f>F42+E43</x:f>
        <x:v>-73574500</x:v>
      </x:c>
      <x:c r="G43" s="6" t="n">
        <x:v>759500</x:v>
      </x:c>
      <x:c r="H43" s="6" t="n">
        <x:v>3238500</x:v>
      </x:c>
      <x:c r="I43" s="6" t="n">
        <x:v>449</x:v>
      </x:c>
      <x:c r="J43" s="6" t="n">
        <x:v>511</x:v>
      </x:c>
      <x:c r="K43" s="6" t="n">
        <x:v>643</x:v>
      </x:c>
      <x:c r="L43" s="6" t="n">
        <x:v>10</x:v>
      </x:c>
      <x:c r="M43" s="11" t="n">
        <x:v>0.7725427350427351</x:v>
      </x:c>
      <x:c r="N43" s="6" t="n">
        <x:v>2533500</x:v>
      </x:c>
    </x:row>
    <x:row r="44" ht="24" customHeight="1">
      <x:c r="A44" s="2" t="str">
        <x:v>2026-10-16_Day</x:v>
      </x:c>
      <x:c r="B44" s="6" t="str">
        <x:v>デイ</x:v>
      </x:c>
      <x:c r="C44" s="6" t="n">
        <x:v>880000</x:v>
      </x:c>
      <x:c r="D44" s="6" t="n">
        <x:v>2988000</x:v>
      </x:c>
      <x:c r="E44" s="6" t="n">
        <x:f>C44-D44</x:f>
        <x:v>-2108000</x:v>
      </x:c>
      <x:c r="F44" s="6" t="n">
        <x:f>F43+E44</x:f>
        <x:v>-75682500</x:v>
      </x:c>
      <x:c r="G44" s="6" t="n">
        <x:v>800000</x:v>
      </x:c>
      <x:c r="H44" s="6" t="n">
        <x:v>2908000</x:v>
      </x:c>
      <x:c r="I44" s="6" t="n">
        <x:v>310</x:v>
      </x:c>
      <x:c r="J44" s="6" t="n">
        <x:v>328</x:v>
      </x:c>
      <x:c r="K44" s="6" t="n">
        <x:v>486</x:v>
      </x:c>
      <x:c r="L44" s="6" t="n">
        <x:v>10</x:v>
      </x:c>
      <x:c r="M44" s="11" t="n">
        <x:v>0.7984523809523809</x:v>
      </x:c>
      <x:c r="N44" s="6" t="n">
        <x:v>2201500</x:v>
      </x:c>
    </x:row>
    <x:row r="45" ht="24" customHeight="1">
      <x:c r="A45" s="2" t="str">
        <x:v>2026-10-16_Night</x:v>
      </x:c>
      <x:c r="B45" s="6" t="str">
        <x:v>ナイト</x:v>
      </x:c>
      <x:c r="C45" s="6" t="n">
        <x:v>1005000</x:v>
      </x:c>
      <x:c r="D45" s="6" t="n">
        <x:v>3538000</x:v>
      </x:c>
      <x:c r="E45" s="6" t="n">
        <x:f>C45-D45</x:f>
        <x:v>-2533000</x:v>
      </x:c>
      <x:c r="F45" s="6" t="n">
        <x:f>F44+E45</x:f>
        <x:v>-78215500</x:v>
      </x:c>
      <x:c r="G45" s="6" t="n">
        <x:v>807000</x:v>
      </x:c>
      <x:c r="H45" s="6" t="n">
        <x:v>3340000</x:v>
      </x:c>
      <x:c r="I45" s="6" t="n">
        <x:v>462</x:v>
      </x:c>
      <x:c r="J45" s="6" t="n">
        <x:v>525</x:v>
      </x:c>
      <x:c r="K45" s="6" t="n">
        <x:v>734</x:v>
      </x:c>
      <x:c r="L45" s="6" t="n">
        <x:v>10</x:v>
      </x:c>
      <x:c r="M45" s="11" t="n">
        <x:v>0.804465811965812</x:v>
      </x:c>
      <x:c r="N45" s="6" t="n">
        <x:v>2568000</x:v>
      </x:c>
    </x:row>
    <x:row r="46" ht="24" customHeight="1">
      <x:c r="A46" s="2" t="str">
        <x:v>2026-10-19_Day</x:v>
      </x:c>
      <x:c r="B46" s="6" t="str">
        <x:v>デイ</x:v>
      </x:c>
      <x:c r="C46" s="6" t="n">
        <x:v>854000</x:v>
      </x:c>
      <x:c r="D46" s="6" t="n">
        <x:v>2778000</x:v>
      </x:c>
      <x:c r="E46" s="6" t="n">
        <x:f>C46-D46</x:f>
        <x:v>-1924000</x:v>
      </x:c>
      <x:c r="F46" s="6" t="n">
        <x:f>F45+E46</x:f>
        <x:v>-80139500</x:v>
      </x:c>
      <x:c r="G46" s="6" t="n">
        <x:v>747500</x:v>
      </x:c>
      <x:c r="H46" s="6" t="n">
        <x:v>2671500</x:v>
      </x:c>
      <x:c r="I46" s="6" t="n">
        <x:v>303</x:v>
      </x:c>
      <x:c r="J46" s="6" t="n">
        <x:v>319</x:v>
      </x:c>
      <x:c r="K46" s="6" t="n">
        <x:v>519</x:v>
      </x:c>
      <x:c r="L46" s="6" t="n">
        <x:v>10</x:v>
      </x:c>
      <x:c r="M46" s="11" t="n">
        <x:v>0.8003571428571429</x:v>
      </x:c>
      <x:c r="N46" s="6" t="n">
        <x:v>1989000</x:v>
      </x:c>
    </x:row>
    <x:row r="47" ht="24" customHeight="1">
      <x:c r="A47" s="2" t="str">
        <x:v>2026-10-19_Night</x:v>
      </x:c>
      <x:c r="B47" s="6" t="str">
        <x:v>ナイト</x:v>
      </x:c>
      <x:c r="C47" s="6" t="n">
        <x:v>573000</x:v>
      </x:c>
      <x:c r="D47" s="6" t="n">
        <x:v>2795000</x:v>
      </x:c>
      <x:c r="E47" s="6" t="n">
        <x:f>C47-D47</x:f>
        <x:v>-2222000</x:v>
      </x:c>
      <x:c r="F47" s="6" t="n">
        <x:f>F46+E47</x:f>
        <x:v>-82361500</x:v>
      </x:c>
      <x:c r="G47" s="6" t="n">
        <x:v>412000</x:v>
      </x:c>
      <x:c r="H47" s="6" t="n">
        <x:v>2634000</x:v>
      </x:c>
      <x:c r="I47" s="6" t="n">
        <x:v>402</x:v>
      </x:c>
      <x:c r="J47" s="6" t="n">
        <x:v>459</x:v>
      </x:c>
      <x:c r="K47" s="6" t="n">
        <x:v>609</x:v>
      </x:c>
      <x:c r="L47" s="6" t="n">
        <x:v>10</x:v>
      </x:c>
      <x:c r="M47" s="11" t="n">
        <x:v>0.7462606837606838</x:v>
      </x:c>
      <x:c r="N47" s="6" t="n">
        <x:v>2228000</x:v>
      </x:c>
    </x:row>
    <x:row r="48" ht="24" customHeight="1">
      <x:c r="A48" s="2" t="str">
        <x:v>2026-10-20_Day</x:v>
      </x:c>
      <x:c r="B48" s="6" t="str">
        <x:v>デイ</x:v>
      </x:c>
      <x:c r="C48" s="6" t="n">
        <x:v>921000</x:v>
      </x:c>
      <x:c r="D48" s="6" t="n">
        <x:v>2491500</x:v>
      </x:c>
      <x:c r="E48" s="6" t="n">
        <x:f>C48-D48</x:f>
        <x:v>-1570500</x:v>
      </x:c>
      <x:c r="F48" s="6" t="n">
        <x:f>F47+E48</x:f>
        <x:v>-83932000</x:v>
      </x:c>
      <x:c r="G48" s="6" t="n">
        <x:v>775500</x:v>
      </x:c>
      <x:c r="H48" s="6" t="n">
        <x:v>2346000</x:v>
      </x:c>
      <x:c r="I48" s="6" t="n">
        <x:v>301</x:v>
      </x:c>
      <x:c r="J48" s="6" t="n">
        <x:v>330</x:v>
      </x:c>
      <x:c r="K48" s="6" t="n">
        <x:v>491</x:v>
      </x:c>
      <x:c r="L48" s="6" t="n">
        <x:v>10</x:v>
      </x:c>
      <x:c r="M48" s="11" t="n">
        <x:v>0.8102380952380952</x:v>
      </x:c>
      <x:c r="N48" s="6" t="n">
        <x:v>1600500</x:v>
      </x:c>
    </x:row>
    <x:row r="49" ht="24" customHeight="1">
      <x:c r="A49" s="2" t="str">
        <x:v>2026-10-20_Night</x:v>
      </x:c>
      <x:c r="B49" s="6" t="str">
        <x:v>ナイト</x:v>
      </x:c>
      <x:c r="C49" s="6" t="n">
        <x:v>844000</x:v>
      </x:c>
      <x:c r="D49" s="6" t="n">
        <x:v>3203000</x:v>
      </x:c>
      <x:c r="E49" s="6" t="n">
        <x:f>C49-D49</x:f>
        <x:v>-2359000</x:v>
      </x:c>
      <x:c r="F49" s="6" t="n">
        <x:f>F48+E49</x:f>
        <x:v>-86291000</x:v>
      </x:c>
      <x:c r="G49" s="6" t="n">
        <x:v>704500</x:v>
      </x:c>
      <x:c r="H49" s="6" t="n">
        <x:v>3063500</x:v>
      </x:c>
      <x:c r="I49" s="6" t="n">
        <x:v>459</x:v>
      </x:c>
      <x:c r="J49" s="6" t="n">
        <x:v>393</x:v>
      </x:c>
      <x:c r="K49" s="6" t="n">
        <x:v>571</x:v>
      </x:c>
      <x:c r="L49" s="6" t="n">
        <x:v>10</x:v>
      </x:c>
      <x:c r="M49" s="11" t="n">
        <x:v>0.7760683760683761</x:v>
      </x:c>
      <x:c r="N49" s="6" t="n">
        <x:v>2359000</x:v>
      </x:c>
    </x:row>
    <x:row r="50" ht="24" customHeight="1">
      <x:c r="A50" s="2" t="str">
        <x:v>2026-10-21_Day</x:v>
      </x:c>
      <x:c r="B50" s="6" t="str">
        <x:v>デイ</x:v>
      </x:c>
      <x:c r="C50" s="6" t="n">
        <x:v>636000</x:v>
      </x:c>
      <x:c r="D50" s="6" t="n">
        <x:v>2483500</x:v>
      </x:c>
      <x:c r="E50" s="6" t="n">
        <x:f>C50-D50</x:f>
        <x:v>-1847500</x:v>
      </x:c>
      <x:c r="F50" s="6" t="n">
        <x:f>F49+E50</x:f>
        <x:v>-88138500</x:v>
      </x:c>
      <x:c r="G50" s="6" t="n">
        <x:v>523500</x:v>
      </x:c>
      <x:c r="H50" s="6" t="n">
        <x:v>2371000</x:v>
      </x:c>
      <x:c r="I50" s="6" t="n">
        <x:v>287</x:v>
      </x:c>
      <x:c r="J50" s="6" t="n">
        <x:v>352</x:v>
      </x:c>
      <x:c r="K50" s="6" t="n">
        <x:v>527</x:v>
      </x:c>
      <x:c r="L50" s="6" t="n">
        <x:v>10</x:v>
      </x:c>
      <x:c r="M50" s="11" t="n">
        <x:v>0.8154761904761905</x:v>
      </x:c>
      <x:c r="N50" s="6" t="n">
        <x:v>1877000</x:v>
      </x:c>
    </x:row>
    <x:row r="51" ht="24" customHeight="1">
      <x:c r="A51" s="2" t="str">
        <x:v>2026-10-21_Night</x:v>
      </x:c>
      <x:c r="B51" s="6" t="str">
        <x:v>ナイト</x:v>
      </x:c>
      <x:c r="C51" s="6" t="n">
        <x:v>666000</x:v>
      </x:c>
      <x:c r="D51" s="6" t="n">
        <x:v>2413000</x:v>
      </x:c>
      <x:c r="E51" s="6" t="n">
        <x:f>C51-D51</x:f>
        <x:v>-1747000</x:v>
      </x:c>
      <x:c r="F51" s="6" t="n">
        <x:f>F50+E51</x:f>
        <x:v>-89885500</x:v>
      </x:c>
      <x:c r="G51" s="6" t="n">
        <x:v>521000</x:v>
      </x:c>
      <x:c r="H51" s="6" t="n">
        <x:v>2268000</x:v>
      </x:c>
      <x:c r="I51" s="6" t="n">
        <x:v>411</x:v>
      </x:c>
      <x:c r="J51" s="6" t="n">
        <x:v>429</x:v>
      </x:c>
      <x:c r="K51" s="6" t="n">
        <x:v>601</x:v>
      </x:c>
      <x:c r="L51" s="6" t="n">
        <x:v>10</x:v>
      </x:c>
      <x:c r="M51" s="11" t="n">
        <x:v>0.742991452991453</x:v>
      </x:c>
      <x:c r="N51" s="6" t="n">
        <x:v>1747000</x:v>
      </x:c>
    </x:row>
    <x:row r="52" ht="24" customHeight="1">
      <x:c r="A52" s="2" t="str">
        <x:v>2026-10-22_Day</x:v>
      </x:c>
      <x:c r="B52" s="6" t="str">
        <x:v>デイ</x:v>
      </x:c>
      <x:c r="C52" s="6" t="n">
        <x:v>1028000</x:v>
      </x:c>
      <x:c r="D52" s="6" t="n">
        <x:v>2362000</x:v>
      </x:c>
      <x:c r="E52" s="6" t="n">
        <x:f>C52-D52</x:f>
        <x:v>-1334000</x:v>
      </x:c>
      <x:c r="F52" s="6" t="n">
        <x:f>F51+E52</x:f>
        <x:v>-91219500</x:v>
      </x:c>
      <x:c r="G52" s="6" t="n">
        <x:v>888500</x:v>
      </x:c>
      <x:c r="H52" s="6" t="n">
        <x:v>2222500</x:v>
      </x:c>
      <x:c r="I52" s="6" t="n">
        <x:v>293</x:v>
      </x:c>
      <x:c r="J52" s="6" t="n">
        <x:v>320</x:v>
      </x:c>
      <x:c r="K52" s="6" t="n">
        <x:v>493</x:v>
      </x:c>
      <x:c r="L52" s="6" t="n">
        <x:v>10</x:v>
      </x:c>
      <x:c r="M52" s="11" t="n">
        <x:v>0.8187698412698413</x:v>
      </x:c>
      <x:c r="N52" s="6" t="n">
        <x:v>1473000</x:v>
      </x:c>
    </x:row>
    <x:row r="53" ht="24" customHeight="1">
      <x:c r="A53" s="2" t="str">
        <x:v>2026-10-22_Night</x:v>
      </x:c>
      <x:c r="B53" s="6" t="str">
        <x:v>ナイト</x:v>
      </x:c>
      <x:c r="C53" s="6" t="n">
        <x:v>833500</x:v>
      </x:c>
      <x:c r="D53" s="6" t="n">
        <x:v>3447000</x:v>
      </x:c>
      <x:c r="E53" s="6" t="n">
        <x:f>C53-D53</x:f>
        <x:v>-2613500</x:v>
      </x:c>
      <x:c r="F53" s="6" t="n">
        <x:f>F52+E53</x:f>
        <x:v>-93833000</x:v>
      </x:c>
      <x:c r="G53" s="6" t="n">
        <x:v>636500</x:v>
      </x:c>
      <x:c r="H53" s="6" t="n">
        <x:v>3250000</x:v>
      </x:c>
      <x:c r="I53" s="6" t="n">
        <x:v>460</x:v>
      </x:c>
      <x:c r="J53" s="6" t="n">
        <x:v>489</x:v>
      </x:c>
      <x:c r="K53" s="6" t="n">
        <x:v>690</x:v>
      </x:c>
      <x:c r="L53" s="6" t="n">
        <x:v>10</x:v>
      </x:c>
      <x:c r="M53" s="11" t="n">
        <x:v>0.7794230769230769</x:v>
      </x:c>
      <x:c r="N53" s="6" t="n">
        <x:v>2613500</x:v>
      </x:c>
    </x:row>
    <x:row r="54" ht="24" customHeight="1">
      <x:c r="A54" s="2" t="str">
        <x:v>2026-10-23_Day</x:v>
      </x:c>
      <x:c r="B54" s="6" t="str">
        <x:v>デイ</x:v>
      </x:c>
      <x:c r="C54" s="6" t="n">
        <x:v>1749500</x:v>
      </x:c>
      <x:c r="D54" s="6" t="n">
        <x:v>3953500</x:v>
      </x:c>
      <x:c r="E54" s="6" t="n">
        <x:f>C54-D54</x:f>
        <x:v>-2204000</x:v>
      </x:c>
      <x:c r="F54" s="6" t="n">
        <x:f>F53+E54</x:f>
        <x:v>-96037000</x:v>
      </x:c>
      <x:c r="G54" s="6" t="n">
        <x:v>1590000</x:v>
      </x:c>
      <x:c r="H54" s="6" t="n">
        <x:v>3794000</x:v>
      </x:c>
      <x:c r="I54" s="6" t="n">
        <x:v>351</x:v>
      </x:c>
      <x:c r="J54" s="6" t="n">
        <x:v>271</x:v>
      </x:c>
      <x:c r="K54" s="6" t="n">
        <x:v>461</x:v>
      </x:c>
      <x:c r="L54" s="6" t="n">
        <x:v>10</x:v>
      </x:c>
      <x:c r="M54" s="11" t="n">
        <x:v>0.8057142857142857</x:v>
      </x:c>
      <x:c r="N54" s="6" t="n">
        <x:v>2248500</x:v>
      </x:c>
    </x:row>
    <x:row r="55" ht="24" customHeight="1">
      <x:c r="A55" s="2" t="str">
        <x:v>2026-10-23_Night</x:v>
      </x:c>
      <x:c r="B55" s="6" t="str">
        <x:v>ナイト</x:v>
      </x:c>
      <x:c r="C55" s="6" t="n">
        <x:v>789000</x:v>
      </x:c>
      <x:c r="D55" s="6" t="n">
        <x:v>3686500</x:v>
      </x:c>
      <x:c r="E55" s="6" t="n">
        <x:f>C55-D55</x:f>
        <x:v>-2897500</x:v>
      </x:c>
      <x:c r="F55" s="6" t="n">
        <x:f>F54+E55</x:f>
        <x:v>-98934500</x:v>
      </x:c>
      <x:c r="G55" s="6" t="n">
        <x:v>651000</x:v>
      </x:c>
      <x:c r="H55" s="6" t="n">
        <x:v>3548500</x:v>
      </x:c>
      <x:c r="I55" s="6" t="n">
        <x:v>465</x:v>
      </x:c>
      <x:c r="J55" s="6" t="n">
        <x:v>404</x:v>
      </x:c>
      <x:c r="K55" s="6" t="n">
        <x:v>596</x:v>
      </x:c>
      <x:c r="L55" s="6" t="n">
        <x:v>10</x:v>
      </x:c>
      <x:c r="M55" s="11" t="n">
        <x:v>0.7415811965811966</x:v>
      </x:c>
      <x:c r="N55" s="6" t="n">
        <x:v>2897500</x:v>
      </x:c>
    </x:row>
    <x:row r="56" ht="24" customHeight="1">
      <x:c r="A56" s="2" t="str">
        <x:v>2026-10-26_Day</x:v>
      </x:c>
      <x:c r="B56" s="6" t="str">
        <x:v>デイ</x:v>
      </x:c>
      <x:c r="C56" s="6" t="n">
        <x:v>886500</x:v>
      </x:c>
      <x:c r="D56" s="6" t="n">
        <x:v>3324500</x:v>
      </x:c>
      <x:c r="E56" s="6" t="n">
        <x:f>C56-D56</x:f>
        <x:v>-2438000</x:v>
      </x:c>
      <x:c r="F56" s="6" t="n">
        <x:f>F55+E56</x:f>
        <x:v>-101372500</x:v>
      </x:c>
      <x:c r="G56" s="6" t="n">
        <x:v>718000</x:v>
      </x:c>
      <x:c r="H56" s="6" t="n">
        <x:v>3156000</x:v>
      </x:c>
      <x:c r="I56" s="6" t="n">
        <x:v>306</x:v>
      </x:c>
      <x:c r="J56" s="6" t="n">
        <x:v>304</x:v>
      </x:c>
      <x:c r="K56" s="6" t="n">
        <x:v>500</x:v>
      </x:c>
      <x:c r="L56" s="6" t="n">
        <x:v>10</x:v>
      </x:c>
      <x:c r="M56" s="11" t="n">
        <x:v>0.8091666666666667</x:v>
      </x:c>
      <x:c r="N56" s="6" t="n">
        <x:v>2453000</x:v>
      </x:c>
    </x:row>
    <x:row r="57" ht="24" customHeight="1">
      <x:c r="A57" s="15" t="str">
        <x:v>累計／平均／最大</x:v>
      </x:c>
      <x:c r="B57" s="16"/>
      <x:c r="C57" s="16" t="n">
        <x:f>SUM(C6:C56)</x:f>
        <x:v>34581000</x:v>
      </x:c>
      <x:c r="D57" s="16" t="n">
        <x:f>SUM(D6:D56)</x:f>
        <x:v>135953500</x:v>
      </x:c>
      <x:c r="E57" s="16" t="n">
        <x:f>C57-D57</x:f>
        <x:v>-101372500</x:v>
      </x:c>
      <x:c r="F57" s="16" t="n">
        <x:f>F56</x:f>
        <x:v>-101372500</x:v>
      </x:c>
      <x:c r="G57" s="16" t="n">
        <x:f>SUM(G6:G56)</x:f>
        <x:v>28255000</x:v>
      </x:c>
      <x:c r="H57" s="16" t="n">
        <x:f>SUM(H6:H56)</x:f>
        <x:v>129627500</x:v>
      </x:c>
      <x:c r="I57" s="16" t="n">
        <x:f>SUM(I6:I56)</x:f>
        <x:v>17591</x:v>
      </x:c>
      <x:c r="J57" s="16" t="n">
        <x:f>SUM(J6:J56)</x:f>
        <x:v>18180</x:v>
      </x:c>
      <x:c r="K57" s="16" t="n">
        <x:f>SUM(K6:K56)</x:f>
        <x:v>25953</x:v>
      </x:c>
      <x:c r="L57" s="16" t="n">
        <x:f>MAX(L6:L56)</x:f>
        <x:v>10</x:v>
      </x:c>
      <x:c r="M57" s="17" t="n">
        <x:f>AVERAGE(M6:M56)</x:f>
        <x:v>0.7655698005698004</x:v>
      </x:c>
      <x:c r="N57" s="16" t="n">
        <x:f>MAX(N6:N56)</x:f>
        <x:v>3337000</x:v>
      </x:c>
    </x:row>
  </x:sheetData>
  <x:conditionalFormatting sqref="E6:F56">
    <x:cfRule type="cellIs" dxfId="46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946c8560d8c4b1c"/>
  </x:tableParts>
</x:worksheet>
</file>

<file path=xl/worksheets/sheet4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1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4" customHeight="1">
      <x:c r="A1" s="3" t="str">
        <x:v>TOPIX M06　各セッションの利益・損失・収支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A2" s="4" t="str">
        <x:v>2026/09/21〜10/26デイ・51完了場。日経mini／TOPIXmini各上限10枚・手数料0。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4" customHeight="1">
      <x:c r="A3" s="4" t="str">
        <x:v>60秒の時間加重平均を30秒前と比較。保有中も傾き比例で増減、利益追尾＋傾き反転・増勢後の半減で返済。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4" customHeight="1">
      <x:c r="A4" s="4" t="str">
        <x:v>利益・損失＝FIFO返済配賦別。親＝初回から全返済まで。ラージ気配による模型で、mini実約定の検証ではありません。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42" customHeight="1">
      <x:c r="A5" s="10" t="str">
        <x:v>セッション</x:v>
      </x:c>
      <x:c r="B5" s="10" t="str">
        <x:v>区分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親利益（円）</x:v>
      </x:c>
      <x:c r="H5" s="10" t="str">
        <x:v>親損失（円）</x:v>
      </x:c>
      <x:c r="I5" s="10" t="str">
        <x:v>初回件数</x:v>
      </x:c>
      <x:c r="J5" s="10" t="str">
        <x:v>追加件数</x:v>
      </x:c>
      <x:c r="K5" s="10" t="str">
        <x:v>縮小件数</x:v>
      </x:c>
      <x:c r="L5" s="10" t="str">
        <x:v>最大保有枚数</x:v>
      </x:c>
      <x:c r="M5" s="10" t="str">
        <x:v>保有時間率</x:v>
      </x:c>
      <x:c r="N5" s="10" t="str">
        <x:v>時価最大DD（円）</x:v>
      </x:c>
    </x:row>
    <x:row r="6" ht="24" customHeight="1">
      <x:c r="A6" s="2" t="str">
        <x:v>2026-09-21_Day</x:v>
      </x:c>
      <x:c r="B6" s="6" t="str">
        <x:v>デイ</x:v>
      </x:c>
      <x:c r="C6" s="6" t="n">
        <x:v>310500</x:v>
      </x:c>
      <x:c r="D6" s="6" t="n">
        <x:v>1338000</x:v>
      </x:c>
      <x:c r="E6" s="6" t="n">
        <x:f>C6-D6</x:f>
        <x:v>-1027500</x:v>
      </x:c>
      <x:c r="F6" s="6" t="n">
        <x:f>E6</x:f>
        <x:v>-1027500</x:v>
      </x:c>
      <x:c r="G6" s="6" t="n">
        <x:v>266000</x:v>
      </x:c>
      <x:c r="H6" s="6" t="n">
        <x:v>1293500</x:v>
      </x:c>
      <x:c r="I6" s="6" t="n">
        <x:v>187</x:v>
      </x:c>
      <x:c r="J6" s="6" t="n">
        <x:v>96</x:v>
      </x:c>
      <x:c r="K6" s="6" t="n">
        <x:v>110</x:v>
      </x:c>
      <x:c r="L6" s="6" t="n">
        <x:v>10</x:v>
      </x:c>
      <x:c r="M6" s="11" t="n">
        <x:v>0.6226587301587302</x:v>
      </x:c>
      <x:c r="N6" s="6" t="n">
        <x:v>1053500</x:v>
      </x:c>
    </x:row>
    <x:row r="7" ht="24" customHeight="1">
      <x:c r="A7" s="2" t="str">
        <x:v>2026-09-21_Night</x:v>
      </x:c>
      <x:c r="B7" s="6" t="str">
        <x:v>ナイト</x:v>
      </x:c>
      <x:c r="C7" s="6" t="n">
        <x:v>205000</x:v>
      </x:c>
      <x:c r="D7" s="6" t="n">
        <x:v>1694000</x:v>
      </x:c>
      <x:c r="E7" s="6" t="n">
        <x:f>C7-D7</x:f>
        <x:v>-1489000</x:v>
      </x:c>
      <x:c r="F7" s="6" t="n">
        <x:f>F6+E7</x:f>
        <x:v>-2516500</x:v>
      </x:c>
      <x:c r="G7" s="6" t="n">
        <x:v>155000</x:v>
      </x:c>
      <x:c r="H7" s="6" t="n">
        <x:v>1644000</x:v>
      </x:c>
      <x:c r="I7" s="6" t="n">
        <x:v>323</x:v>
      </x:c>
      <x:c r="J7" s="6" t="n">
        <x:v>258</x:v>
      </x:c>
      <x:c r="K7" s="6" t="n">
        <x:v>274</x:v>
      </x:c>
      <x:c r="L7" s="6" t="n">
        <x:v>10</x:v>
      </x:c>
      <x:c r="M7" s="11" t="n">
        <x:v>0.6355555555555555</x:v>
      </x:c>
      <x:c r="N7" s="6" t="n">
        <x:v>1514000</x:v>
      </x:c>
    </x:row>
    <x:row r="8" ht="24" customHeight="1">
      <x:c r="A8" s="2" t="str">
        <x:v>2026-09-22_Day</x:v>
      </x:c>
      <x:c r="B8" s="6" t="str">
        <x:v>デイ</x:v>
      </x:c>
      <x:c r="C8" s="6" t="n">
        <x:v>247500</x:v>
      </x:c>
      <x:c r="D8" s="6" t="n">
        <x:v>1901000</x:v>
      </x:c>
      <x:c r="E8" s="6" t="n">
        <x:f>C8-D8</x:f>
        <x:v>-1653500</x:v>
      </x:c>
      <x:c r="F8" s="6" t="n">
        <x:f>F7+E8</x:f>
        <x:v>-4170000</x:v>
      </x:c>
      <x:c r="G8" s="6" t="n">
        <x:v>193000</x:v>
      </x:c>
      <x:c r="H8" s="6" t="n">
        <x:v>1846500</x:v>
      </x:c>
      <x:c r="I8" s="6" t="n">
        <x:v>231</x:v>
      </x:c>
      <x:c r="J8" s="6" t="n">
        <x:v>166</x:v>
      </x:c>
      <x:c r="K8" s="6" t="n">
        <x:v>161</x:v>
      </x:c>
      <x:c r="L8" s="6" t="n">
        <x:v>10</x:v>
      </x:c>
      <x:c r="M8" s="11" t="n">
        <x:v>0.7007142857142857</x:v>
      </x:c>
      <x:c r="N8" s="6" t="n">
        <x:v>1669500</x:v>
      </x:c>
    </x:row>
    <x:row r="9" ht="24" customHeight="1">
      <x:c r="A9" s="2" t="str">
        <x:v>2026-09-22_Night</x:v>
      </x:c>
      <x:c r="B9" s="6" t="str">
        <x:v>ナイト</x:v>
      </x:c>
      <x:c r="C9" s="6" t="n">
        <x:v>504000</x:v>
      </x:c>
      <x:c r="D9" s="6" t="n">
        <x:v>3069500</x:v>
      </x:c>
      <x:c r="E9" s="6" t="n">
        <x:f>C9-D9</x:f>
        <x:v>-2565500</x:v>
      </x:c>
      <x:c r="F9" s="6" t="n">
        <x:f>F8+E9</x:f>
        <x:v>-6735500</x:v>
      </x:c>
      <x:c r="G9" s="6" t="n">
        <x:v>427500</x:v>
      </x:c>
      <x:c r="H9" s="6" t="n">
        <x:v>2993000</x:v>
      </x:c>
      <x:c r="I9" s="6" t="n">
        <x:v>426</x:v>
      </x:c>
      <x:c r="J9" s="6" t="n">
        <x:v>365</x:v>
      </x:c>
      <x:c r="K9" s="6" t="n">
        <x:v>356</x:v>
      </x:c>
      <x:c r="L9" s="6" t="n">
        <x:v>10</x:v>
      </x:c>
      <x:c r="M9" s="11" t="n">
        <x:v>0.7066666666666667</x:v>
      </x:c>
      <x:c r="N9" s="6" t="n">
        <x:v>2606500</x:v>
      </x:c>
    </x:row>
    <x:row r="10" ht="24" customHeight="1">
      <x:c r="A10" s="2" t="str">
        <x:v>2026-09-23_Day</x:v>
      </x:c>
      <x:c r="B10" s="6" t="str">
        <x:v>デイ</x:v>
      </x:c>
      <x:c r="C10" s="6" t="n">
        <x:v>312000</x:v>
      </x:c>
      <x:c r="D10" s="6" t="n">
        <x:v>1364000</x:v>
      </x:c>
      <x:c r="E10" s="6" t="n">
        <x:f>C10-D10</x:f>
        <x:v>-1052000</x:v>
      </x:c>
      <x:c r="F10" s="6" t="n">
        <x:f>F9+E10</x:f>
        <x:v>-7787500</x:v>
      </x:c>
      <x:c r="G10" s="6" t="n">
        <x:v>264500</x:v>
      </x:c>
      <x:c r="H10" s="6" t="n">
        <x:v>1316500</x:v>
      </x:c>
      <x:c r="I10" s="6" t="n">
        <x:v>194</x:v>
      </x:c>
      <x:c r="J10" s="6" t="n">
        <x:v>133</x:v>
      </x:c>
      <x:c r="K10" s="6" t="n">
        <x:v>142</x:v>
      </x:c>
      <x:c r="L10" s="6" t="n">
        <x:v>10</x:v>
      </x:c>
      <x:c r="M10" s="11" t="n">
        <x:v>0.6654761904761904</x:v>
      </x:c>
      <x:c r="N10" s="6" t="n">
        <x:v>1082000</x:v>
      </x:c>
    </x:row>
    <x:row r="11" ht="24" customHeight="1">
      <x:c r="A11" s="2" t="str">
        <x:v>2026-09-23_Night</x:v>
      </x:c>
      <x:c r="B11" s="6" t="str">
        <x:v>ナイト</x:v>
      </x:c>
      <x:c r="C11" s="6" t="n">
        <x:v>265500</x:v>
      </x:c>
      <x:c r="D11" s="6" t="n">
        <x:v>2249500</x:v>
      </x:c>
      <x:c r="E11" s="6" t="n">
        <x:f>C11-D11</x:f>
        <x:v>-1984000</x:v>
      </x:c>
      <x:c r="F11" s="6" t="n">
        <x:f>F10+E11</x:f>
        <x:v>-9771500</x:v>
      </x:c>
      <x:c r="G11" s="6" t="n">
        <x:v>202500</x:v>
      </x:c>
      <x:c r="H11" s="6" t="n">
        <x:v>2186500</x:v>
      </x:c>
      <x:c r="I11" s="6" t="n">
        <x:v>372</x:v>
      </x:c>
      <x:c r="J11" s="6" t="n">
        <x:v>255</x:v>
      </x:c>
      <x:c r="K11" s="6" t="n">
        <x:v>299</x:v>
      </x:c>
      <x:c r="L11" s="6" t="n">
        <x:v>10</x:v>
      </x:c>
      <x:c r="M11" s="11" t="n">
        <x:v>0.6513461538461538</x:v>
      </x:c>
      <x:c r="N11" s="6" t="n">
        <x:v>1985000</x:v>
      </x:c>
    </x:row>
    <x:row r="12" ht="24" customHeight="1">
      <x:c r="A12" s="2" t="str">
        <x:v>2026-09-24_Day</x:v>
      </x:c>
      <x:c r="B12" s="6" t="str">
        <x:v>デイ</x:v>
      </x:c>
      <x:c r="C12" s="6" t="n">
        <x:v>966000</x:v>
      </x:c>
      <x:c r="D12" s="6" t="n">
        <x:v>2671000</x:v>
      </x:c>
      <x:c r="E12" s="6" t="n">
        <x:f>C12-D12</x:f>
        <x:v>-1705000</x:v>
      </x:c>
      <x:c r="F12" s="6" t="n">
        <x:f>F11+E12</x:f>
        <x:v>-11476500</x:v>
      </x:c>
      <x:c r="G12" s="6" t="n">
        <x:v>867000</x:v>
      </x:c>
      <x:c r="H12" s="6" t="n">
        <x:v>2572000</x:v>
      </x:c>
      <x:c r="I12" s="6" t="n">
        <x:v>339</x:v>
      </x:c>
      <x:c r="J12" s="6" t="n">
        <x:v>335</x:v>
      </x:c>
      <x:c r="K12" s="6" t="n">
        <x:v>364</x:v>
      </x:c>
      <x:c r="L12" s="6" t="n">
        <x:v>10</x:v>
      </x:c>
      <x:c r="M12" s="11" t="n">
        <x:v>0.7740873015873015</x:v>
      </x:c>
      <x:c r="N12" s="6" t="n">
        <x:v>1798500</x:v>
      </x:c>
    </x:row>
    <x:row r="13" ht="24" customHeight="1">
      <x:c r="A13" s="2" t="str">
        <x:v>2026-09-24_Night</x:v>
      </x:c>
      <x:c r="B13" s="6" t="str">
        <x:v>ナイト</x:v>
      </x:c>
      <x:c r="C13" s="6" t="n">
        <x:v>811500</x:v>
      </x:c>
      <x:c r="D13" s="6" t="n">
        <x:v>3548000</x:v>
      </x:c>
      <x:c r="E13" s="6" t="n">
        <x:f>C13-D13</x:f>
        <x:v>-2736500</x:v>
      </x:c>
      <x:c r="F13" s="6" t="n">
        <x:f>F12+E13</x:f>
        <x:v>-14213000</x:v>
      </x:c>
      <x:c r="G13" s="6" t="n">
        <x:v>708000</x:v>
      </x:c>
      <x:c r="H13" s="6" t="n">
        <x:v>3444500</x:v>
      </x:c>
      <x:c r="I13" s="6" t="n">
        <x:v>499</x:v>
      </x:c>
      <x:c r="J13" s="6" t="n">
        <x:v>434</x:v>
      </x:c>
      <x:c r="K13" s="6" t="n">
        <x:v>505</x:v>
      </x:c>
      <x:c r="L13" s="6" t="n">
        <x:v>10</x:v>
      </x:c>
      <x:c r="M13" s="11" t="n">
        <x:v>0.7384615384615385</x:v>
      </x:c>
      <x:c r="N13" s="6" t="n">
        <x:v>2773500</x:v>
      </x:c>
    </x:row>
    <x:row r="14" ht="24" customHeight="1">
      <x:c r="A14" s="2" t="str">
        <x:v>2026-09-25_Day</x:v>
      </x:c>
      <x:c r="B14" s="6" t="str">
        <x:v>デイ</x:v>
      </x:c>
      <x:c r="C14" s="6" t="n">
        <x:v>771500</x:v>
      </x:c>
      <x:c r="D14" s="6" t="n">
        <x:v>2577500</x:v>
      </x:c>
      <x:c r="E14" s="6" t="n">
        <x:f>C14-D14</x:f>
        <x:v>-1806000</x:v>
      </x:c>
      <x:c r="F14" s="6" t="n">
        <x:f>F13+E14</x:f>
        <x:v>-16019000</x:v>
      </x:c>
      <x:c r="G14" s="6" t="n">
        <x:v>676000</x:v>
      </x:c>
      <x:c r="H14" s="6" t="n">
        <x:v>2482000</x:v>
      </x:c>
      <x:c r="I14" s="6" t="n">
        <x:v>328</x:v>
      </x:c>
      <x:c r="J14" s="6" t="n">
        <x:v>424</x:v>
      </x:c>
      <x:c r="K14" s="6" t="n">
        <x:v>349</x:v>
      </x:c>
      <x:c r="L14" s="6" t="n">
        <x:v>10</x:v>
      </x:c>
      <x:c r="M14" s="11" t="n">
        <x:v>0.788531746031746</x:v>
      </x:c>
      <x:c r="N14" s="6" t="n">
        <x:v>1821000</x:v>
      </x:c>
    </x:row>
    <x:row r="15" ht="24" customHeight="1">
      <x:c r="A15" s="2" t="str">
        <x:v>2026-09-25_Night</x:v>
      </x:c>
      <x:c r="B15" s="6" t="str">
        <x:v>ナイト</x:v>
      </x:c>
      <x:c r="C15" s="6" t="n">
        <x:v>611000</x:v>
      </x:c>
      <x:c r="D15" s="6" t="n">
        <x:v>2875500</x:v>
      </x:c>
      <x:c r="E15" s="6" t="n">
        <x:f>C15-D15</x:f>
        <x:v>-2264500</x:v>
      </x:c>
      <x:c r="F15" s="6" t="n">
        <x:f>F14+E15</x:f>
        <x:v>-18283500</x:v>
      </x:c>
      <x:c r="G15" s="6" t="n">
        <x:v>509000</x:v>
      </x:c>
      <x:c r="H15" s="6" t="n">
        <x:v>2773500</x:v>
      </x:c>
      <x:c r="I15" s="6" t="n">
        <x:v>461</x:v>
      </x:c>
      <x:c r="J15" s="6" t="n">
        <x:v>432</x:v>
      </x:c>
      <x:c r="K15" s="6" t="n">
        <x:v>465</x:v>
      </x:c>
      <x:c r="L15" s="6" t="n">
        <x:v>10</x:v>
      </x:c>
      <x:c r="M15" s="11" t="n">
        <x:v>0.7179273504273505</x:v>
      </x:c>
      <x:c r="N15" s="6" t="n">
        <x:v>2337000</x:v>
      </x:c>
    </x:row>
    <x:row r="16" ht="24" customHeight="1">
      <x:c r="A16" s="2" t="str">
        <x:v>2026-09-28_Day</x:v>
      </x:c>
      <x:c r="B16" s="6" t="str">
        <x:v>デイ</x:v>
      </x:c>
      <x:c r="C16" s="6" t="n">
        <x:v>830000</x:v>
      </x:c>
      <x:c r="D16" s="6" t="n">
        <x:v>2611000</x:v>
      </x:c>
      <x:c r="E16" s="6" t="n">
        <x:f>C16-D16</x:f>
        <x:v>-1781000</x:v>
      </x:c>
      <x:c r="F16" s="6" t="n">
        <x:f>F15+E16</x:f>
        <x:v>-20064500</x:v>
      </x:c>
      <x:c r="G16" s="6" t="n">
        <x:v>754500</x:v>
      </x:c>
      <x:c r="H16" s="6" t="n">
        <x:v>2535500</x:v>
      </x:c>
      <x:c r="I16" s="6" t="n">
        <x:v>343</x:v>
      </x:c>
      <x:c r="J16" s="6" t="n">
        <x:v>397</x:v>
      </x:c>
      <x:c r="K16" s="6" t="n">
        <x:v>385</x:v>
      </x:c>
      <x:c r="L16" s="6" t="n">
        <x:v>10</x:v>
      </x:c>
      <x:c r="M16" s="11" t="n">
        <x:v>0.7860714285714285</x:v>
      </x:c>
      <x:c r="N16" s="6" t="n">
        <x:v>1819500</x:v>
      </x:c>
    </x:row>
    <x:row r="17" ht="24" customHeight="1">
      <x:c r="A17" s="2" t="str">
        <x:v>2026-09-28_Night</x:v>
      </x:c>
      <x:c r="B17" s="6" t="str">
        <x:v>ナイト</x:v>
      </x:c>
      <x:c r="C17" s="6" t="n">
        <x:v>1019500</x:v>
      </x:c>
      <x:c r="D17" s="6" t="n">
        <x:v>3291000</x:v>
      </x:c>
      <x:c r="E17" s="6" t="n">
        <x:f>C17-D17</x:f>
        <x:v>-2271500</x:v>
      </x:c>
      <x:c r="F17" s="6" t="n">
        <x:f>F16+E17</x:f>
        <x:v>-22336000</x:v>
      </x:c>
      <x:c r="G17" s="6" t="n">
        <x:v>891000</x:v>
      </x:c>
      <x:c r="H17" s="6" t="n">
        <x:v>3162500</x:v>
      </x:c>
      <x:c r="I17" s="6" t="n">
        <x:v>474</x:v>
      </x:c>
      <x:c r="J17" s="6" t="n">
        <x:v>429</x:v>
      </x:c>
      <x:c r="K17" s="6" t="n">
        <x:v>477</x:v>
      </x:c>
      <x:c r="L17" s="6" t="n">
        <x:v>10</x:v>
      </x:c>
      <x:c r="M17" s="11" t="n">
        <x:v>0.716474358974359</x:v>
      </x:c>
      <x:c r="N17" s="6" t="n">
        <x:v>2300000</x:v>
      </x:c>
    </x:row>
    <x:row r="18" ht="24" customHeight="1">
      <x:c r="A18" s="2" t="str">
        <x:v>2026-09-29_Day</x:v>
      </x:c>
      <x:c r="B18" s="6" t="str">
        <x:v>デイ</x:v>
      </x:c>
      <x:c r="C18" s="6" t="n">
        <x:v>975000</x:v>
      </x:c>
      <x:c r="D18" s="6" t="n">
        <x:v>2945500</x:v>
      </x:c>
      <x:c r="E18" s="6" t="n">
        <x:f>C18-D18</x:f>
        <x:v>-1970500</x:v>
      </x:c>
      <x:c r="F18" s="6" t="n">
        <x:f>F17+E18</x:f>
        <x:v>-24306500</x:v>
      </x:c>
      <x:c r="G18" s="6" t="n">
        <x:v>876500</x:v>
      </x:c>
      <x:c r="H18" s="6" t="n">
        <x:v>2847000</x:v>
      </x:c>
      <x:c r="I18" s="6" t="n">
        <x:v>361</x:v>
      </x:c>
      <x:c r="J18" s="6" t="n">
        <x:v>333</x:v>
      </x:c>
      <x:c r="K18" s="6" t="n">
        <x:v>384</x:v>
      </x:c>
      <x:c r="L18" s="6" t="n">
        <x:v>10</x:v>
      </x:c>
      <x:c r="M18" s="11" t="n">
        <x:v>0.7794444444444445</x:v>
      </x:c>
      <x:c r="N18" s="6" t="n">
        <x:v>2151500</x:v>
      </x:c>
    </x:row>
    <x:row r="19" ht="24" customHeight="1">
      <x:c r="A19" s="2" t="str">
        <x:v>2026-09-29_Night</x:v>
      </x:c>
      <x:c r="B19" s="6" t="str">
        <x:v>ナイト</x:v>
      </x:c>
      <x:c r="C19" s="6" t="n">
        <x:v>495000</x:v>
      </x:c>
      <x:c r="D19" s="6" t="n">
        <x:v>3055000</x:v>
      </x:c>
      <x:c r="E19" s="6" t="n">
        <x:f>C19-D19</x:f>
        <x:v>-2560000</x:v>
      </x:c>
      <x:c r="F19" s="6" t="n">
        <x:f>F18+E19</x:f>
        <x:v>-26866500</x:v>
      </x:c>
      <x:c r="G19" s="6" t="n">
        <x:v>380500</x:v>
      </x:c>
      <x:c r="H19" s="6" t="n">
        <x:v>2940500</x:v>
      </x:c>
      <x:c r="I19" s="6" t="n">
        <x:v>489</x:v>
      </x:c>
      <x:c r="J19" s="6" t="n">
        <x:v>452</x:v>
      </x:c>
      <x:c r="K19" s="6" t="n">
        <x:v>475</x:v>
      </x:c>
      <x:c r="L19" s="6" t="n">
        <x:v>10</x:v>
      </x:c>
      <x:c r="M19" s="11" t="n">
        <x:v>0.7081623931623932</x:v>
      </x:c>
      <x:c r="N19" s="6" t="n">
        <x:v>2563000</x:v>
      </x:c>
    </x:row>
    <x:row r="20" ht="24" customHeight="1">
      <x:c r="A20" s="2" t="str">
        <x:v>2026-09-30_Day</x:v>
      </x:c>
      <x:c r="B20" s="6" t="str">
        <x:v>デイ</x:v>
      </x:c>
      <x:c r="C20" s="6" t="n">
        <x:v>786500</x:v>
      </x:c>
      <x:c r="D20" s="6" t="n">
        <x:v>2884000</x:v>
      </x:c>
      <x:c r="E20" s="6" t="n">
        <x:f>C20-D20</x:f>
        <x:v>-2097500</x:v>
      </x:c>
      <x:c r="F20" s="6" t="n">
        <x:f>F19+E20</x:f>
        <x:v>-28964000</x:v>
      </x:c>
      <x:c r="G20" s="6" t="n">
        <x:v>737500</x:v>
      </x:c>
      <x:c r="H20" s="6" t="n">
        <x:v>2835000</x:v>
      </x:c>
      <x:c r="I20" s="6" t="n">
        <x:v>356</x:v>
      </x:c>
      <x:c r="J20" s="6" t="n">
        <x:v>371</x:v>
      </x:c>
      <x:c r="K20" s="6" t="n">
        <x:v>351</x:v>
      </x:c>
      <x:c r="L20" s="6" t="n">
        <x:v>10</x:v>
      </x:c>
      <x:c r="M20" s="11" t="n">
        <x:v>0.7713095238095238</x:v>
      </x:c>
      <x:c r="N20" s="6" t="n">
        <x:v>2155500</x:v>
      </x:c>
    </x:row>
    <x:row r="21" ht="24" customHeight="1">
      <x:c r="A21" s="2" t="str">
        <x:v>2026-09-30_Night</x:v>
      </x:c>
      <x:c r="B21" s="6" t="str">
        <x:v>ナイト</x:v>
      </x:c>
      <x:c r="C21" s="6" t="n">
        <x:v>917000</x:v>
      </x:c>
      <x:c r="D21" s="6" t="n">
        <x:v>3572500</x:v>
      </x:c>
      <x:c r="E21" s="6" t="n">
        <x:f>C21-D21</x:f>
        <x:v>-2655500</x:v>
      </x:c>
      <x:c r="F21" s="6" t="n">
        <x:f>F20+E21</x:f>
        <x:v>-31619500</x:v>
      </x:c>
      <x:c r="G21" s="6" t="n">
        <x:v>793500</x:v>
      </x:c>
      <x:c r="H21" s="6" t="n">
        <x:v>3449000</x:v>
      </x:c>
      <x:c r="I21" s="6" t="n">
        <x:v>499</x:v>
      </x:c>
      <x:c r="J21" s="6" t="n">
        <x:v>479</x:v>
      </x:c>
      <x:c r="K21" s="6" t="n">
        <x:v>548</x:v>
      </x:c>
      <x:c r="L21" s="6" t="n">
        <x:v>10</x:v>
      </x:c>
      <x:c r="M21" s="11" t="n">
        <x:v>0.7567948717948718</x:v>
      </x:c>
      <x:c r="N21" s="6" t="n">
        <x:v>2689500</x:v>
      </x:c>
    </x:row>
    <x:row r="22" ht="24" customHeight="1">
      <x:c r="A22" s="2" t="str">
        <x:v>2026-10-01_Day</x:v>
      </x:c>
      <x:c r="B22" s="6" t="str">
        <x:v>デイ</x:v>
      </x:c>
      <x:c r="C22" s="6" t="n">
        <x:v>845000</x:v>
      </x:c>
      <x:c r="D22" s="6" t="n">
        <x:v>2699000</x:v>
      </x:c>
      <x:c r="E22" s="6" t="n">
        <x:f>C22-D22</x:f>
        <x:v>-1854000</x:v>
      </x:c>
      <x:c r="F22" s="6" t="n">
        <x:f>F21+E22</x:f>
        <x:v>-33473500</x:v>
      </x:c>
      <x:c r="G22" s="6" t="n">
        <x:v>769500</x:v>
      </x:c>
      <x:c r="H22" s="6" t="n">
        <x:v>2623500</x:v>
      </x:c>
      <x:c r="I22" s="6" t="n">
        <x:v>329</x:v>
      </x:c>
      <x:c r="J22" s="6" t="n">
        <x:v>356</x:v>
      </x:c>
      <x:c r="K22" s="6" t="n">
        <x:v>400</x:v>
      </x:c>
      <x:c r="L22" s="6" t="n">
        <x:v>10</x:v>
      </x:c>
      <x:c r="M22" s="11" t="n">
        <x:v>0.7827777777777778</x:v>
      </x:c>
      <x:c r="N22" s="6" t="n">
        <x:v>1945000</x:v>
      </x:c>
    </x:row>
    <x:row r="23" ht="24" customHeight="1">
      <x:c r="A23" s="2" t="str">
        <x:v>2026-10-01_Night</x:v>
      </x:c>
      <x:c r="B23" s="6" t="str">
        <x:v>ナイト</x:v>
      </x:c>
      <x:c r="C23" s="6" t="n">
        <x:v>877000</x:v>
      </x:c>
      <x:c r="D23" s="6" t="n">
        <x:v>4274500</x:v>
      </x:c>
      <x:c r="E23" s="6" t="n">
        <x:f>C23-D23</x:f>
        <x:v>-3397500</x:v>
      </x:c>
      <x:c r="F23" s="6" t="n">
        <x:f>F22+E23</x:f>
        <x:v>-36871000</x:v>
      </x:c>
      <x:c r="G23" s="6" t="n">
        <x:v>759500</x:v>
      </x:c>
      <x:c r="H23" s="6" t="n">
        <x:v>4157000</x:v>
      </x:c>
      <x:c r="I23" s="6" t="n">
        <x:v>519</x:v>
      </x:c>
      <x:c r="J23" s="6" t="n">
        <x:v>447</x:v>
      </x:c>
      <x:c r="K23" s="6" t="n">
        <x:v>536</x:v>
      </x:c>
      <x:c r="L23" s="6" t="n">
        <x:v>10</x:v>
      </x:c>
      <x:c r="M23" s="11" t="n">
        <x:v>0.7331196581196581</x:v>
      </x:c>
      <x:c r="N23" s="6" t="n">
        <x:v>3398500</x:v>
      </x:c>
    </x:row>
    <x:row r="24" ht="24" customHeight="1">
      <x:c r="A24" s="2" t="str">
        <x:v>2026-10-02_Day</x:v>
      </x:c>
      <x:c r="B24" s="6" t="str">
        <x:v>デイ</x:v>
      </x:c>
      <x:c r="C24" s="6" t="n">
        <x:v>623500</x:v>
      </x:c>
      <x:c r="D24" s="6" t="n">
        <x:v>2787500</x:v>
      </x:c>
      <x:c r="E24" s="6" t="n">
        <x:f>C24-D24</x:f>
        <x:v>-2164000</x:v>
      </x:c>
      <x:c r="F24" s="6" t="n">
        <x:f>F23+E24</x:f>
        <x:v>-39035000</x:v>
      </x:c>
      <x:c r="G24" s="6" t="n">
        <x:v>499000</x:v>
      </x:c>
      <x:c r="H24" s="6" t="n">
        <x:v>2663000</x:v>
      </x:c>
      <x:c r="I24" s="6" t="n">
        <x:v>344</x:v>
      </x:c>
      <x:c r="J24" s="6" t="n">
        <x:v>366</x:v>
      </x:c>
      <x:c r="K24" s="6" t="n">
        <x:v>400</x:v>
      </x:c>
      <x:c r="L24" s="6" t="n">
        <x:v>10</x:v>
      </x:c>
      <x:c r="M24" s="11" t="n">
        <x:v>0.7763095238095238</x:v>
      </x:c>
      <x:c r="N24" s="6" t="n">
        <x:v>2166000</x:v>
      </x:c>
    </x:row>
    <x:row r="25" ht="24" customHeight="1">
      <x:c r="A25" s="2" t="str">
        <x:v>2026-10-02_Night</x:v>
      </x:c>
      <x:c r="B25" s="6" t="str">
        <x:v>ナイト</x:v>
      </x:c>
      <x:c r="C25" s="6" t="n">
        <x:v>846500</x:v>
      </x:c>
      <x:c r="D25" s="6" t="n">
        <x:v>3595000</x:v>
      </x:c>
      <x:c r="E25" s="6" t="n">
        <x:f>C25-D25</x:f>
        <x:v>-2748500</x:v>
      </x:c>
      <x:c r="F25" s="6" t="n">
        <x:f>F24+E25</x:f>
        <x:v>-41783500</x:v>
      </x:c>
      <x:c r="G25" s="6" t="n">
        <x:v>721500</x:v>
      </x:c>
      <x:c r="H25" s="6" t="n">
        <x:v>3470000</x:v>
      </x:c>
      <x:c r="I25" s="6" t="n">
        <x:v>539</x:v>
      </x:c>
      <x:c r="J25" s="6" t="n">
        <x:v>512</x:v>
      </x:c>
      <x:c r="K25" s="6" t="n">
        <x:v>514</x:v>
      </x:c>
      <x:c r="L25" s="6" t="n">
        <x:v>10</x:v>
      </x:c>
      <x:c r="M25" s="11" t="n">
        <x:v>0.7523076923076923</x:v>
      </x:c>
      <x:c r="N25" s="6" t="n">
        <x:v>2775000</x:v>
      </x:c>
    </x:row>
    <x:row r="26" ht="24" customHeight="1">
      <x:c r="A26" s="2" t="str">
        <x:v>2026-10-05_Day</x:v>
      </x:c>
      <x:c r="B26" s="6" t="str">
        <x:v>デイ</x:v>
      </x:c>
      <x:c r="C26" s="6" t="n">
        <x:v>615500</x:v>
      </x:c>
      <x:c r="D26" s="6" t="n">
        <x:v>2426000</x:v>
      </x:c>
      <x:c r="E26" s="6" t="n">
        <x:f>C26-D26</x:f>
        <x:v>-1810500</x:v>
      </x:c>
      <x:c r="F26" s="6" t="n">
        <x:f>F25+E26</x:f>
        <x:v>-43594000</x:v>
      </x:c>
      <x:c r="G26" s="6" t="n">
        <x:v>552000</x:v>
      </x:c>
      <x:c r="H26" s="6" t="n">
        <x:v>2362500</x:v>
      </x:c>
      <x:c r="I26" s="6" t="n">
        <x:v>316</x:v>
      </x:c>
      <x:c r="J26" s="6" t="n">
        <x:v>362</x:v>
      </x:c>
      <x:c r="K26" s="6" t="n">
        <x:v>378</x:v>
      </x:c>
      <x:c r="L26" s="6" t="n">
        <x:v>10</x:v>
      </x:c>
      <x:c r="M26" s="11" t="n">
        <x:v>0.7828571428571428</x:v>
      </x:c>
      <x:c r="N26" s="6" t="n">
        <x:v>1819500</x:v>
      </x:c>
    </x:row>
    <x:row r="27" ht="24" customHeight="1">
      <x:c r="A27" s="2" t="str">
        <x:v>2026-10-05_Night</x:v>
      </x:c>
      <x:c r="B27" s="6" t="str">
        <x:v>ナイト</x:v>
      </x:c>
      <x:c r="C27" s="6" t="n">
        <x:v>644500</x:v>
      </x:c>
      <x:c r="D27" s="6" t="n">
        <x:v>2828000</x:v>
      </x:c>
      <x:c r="E27" s="6" t="n">
        <x:f>C27-D27</x:f>
        <x:v>-2183500</x:v>
      </x:c>
      <x:c r="F27" s="6" t="n">
        <x:f>F26+E27</x:f>
        <x:v>-45777500</x:v>
      </x:c>
      <x:c r="G27" s="6" t="n">
        <x:v>560500</x:v>
      </x:c>
      <x:c r="H27" s="6" t="n">
        <x:v>2744000</x:v>
      </x:c>
      <x:c r="I27" s="6" t="n">
        <x:v>464</x:v>
      </x:c>
      <x:c r="J27" s="6" t="n">
        <x:v>417</x:v>
      </x:c>
      <x:c r="K27" s="6" t="n">
        <x:v>453</x:v>
      </x:c>
      <x:c r="L27" s="6" t="n">
        <x:v>10</x:v>
      </x:c>
      <x:c r="M27" s="11" t="n">
        <x:v>0.7125854700854701</x:v>
      </x:c>
      <x:c r="N27" s="6" t="n">
        <x:v>2254000</x:v>
      </x:c>
    </x:row>
    <x:row r="28" ht="24" customHeight="1">
      <x:c r="A28" s="2" t="str">
        <x:v>2026-10-06_Day</x:v>
      </x:c>
      <x:c r="B28" s="6" t="str">
        <x:v>デイ</x:v>
      </x:c>
      <x:c r="C28" s="6" t="n">
        <x:v>440000</x:v>
      </x:c>
      <x:c r="D28" s="6" t="n">
        <x:v>2220000</x:v>
      </x:c>
      <x:c r="E28" s="6" t="n">
        <x:f>C28-D28</x:f>
        <x:v>-1780000</x:v>
      </x:c>
      <x:c r="F28" s="6" t="n">
        <x:f>F27+E28</x:f>
        <x:v>-47557500</x:v>
      </x:c>
      <x:c r="G28" s="6" t="n">
        <x:v>362500</x:v>
      </x:c>
      <x:c r="H28" s="6" t="n">
        <x:v>2142500</x:v>
      </x:c>
      <x:c r="I28" s="6" t="n">
        <x:v>326</x:v>
      </x:c>
      <x:c r="J28" s="6" t="n">
        <x:v>377</x:v>
      </x:c>
      <x:c r="K28" s="6" t="n">
        <x:v>416</x:v>
      </x:c>
      <x:c r="L28" s="6" t="n">
        <x:v>10</x:v>
      </x:c>
      <x:c r="M28" s="11" t="n">
        <x:v>0.7702777777777777</x:v>
      </x:c>
      <x:c r="N28" s="6" t="n">
        <x:v>1787500</x:v>
      </x:c>
    </x:row>
    <x:row r="29" ht="24" customHeight="1">
      <x:c r="A29" s="2" t="str">
        <x:v>2026-10-06_Night</x:v>
      </x:c>
      <x:c r="B29" s="6" t="str">
        <x:v>ナイト</x:v>
      </x:c>
      <x:c r="C29" s="6" t="n">
        <x:v>335000</x:v>
      </x:c>
      <x:c r="D29" s="6" t="n">
        <x:v>2246000</x:v>
      </x:c>
      <x:c r="E29" s="6" t="n">
        <x:f>C29-D29</x:f>
        <x:v>-1911000</x:v>
      </x:c>
      <x:c r="F29" s="6" t="n">
        <x:f>F28+E29</x:f>
        <x:v>-49468500</x:v>
      </x:c>
      <x:c r="G29" s="6" t="n">
        <x:v>261000</x:v>
      </x:c>
      <x:c r="H29" s="6" t="n">
        <x:v>2172000</x:v>
      </x:c>
      <x:c r="I29" s="6" t="n">
        <x:v>457</x:v>
      </x:c>
      <x:c r="J29" s="6" t="n">
        <x:v>437</x:v>
      </x:c>
      <x:c r="K29" s="6" t="n">
        <x:v>472</x:v>
      </x:c>
      <x:c r="L29" s="6" t="n">
        <x:v>10</x:v>
      </x:c>
      <x:c r="M29" s="11" t="n">
        <x:v>0.6883333333333334</x:v>
      </x:c>
      <x:c r="N29" s="6" t="n">
        <x:v>1929500</x:v>
      </x:c>
    </x:row>
    <x:row r="30" ht="24" customHeight="1">
      <x:c r="A30" s="2" t="str">
        <x:v>2026-10-07_Day</x:v>
      </x:c>
      <x:c r="B30" s="6" t="str">
        <x:v>デイ</x:v>
      </x:c>
      <x:c r="C30" s="6" t="n">
        <x:v>441500</x:v>
      </x:c>
      <x:c r="D30" s="6" t="n">
        <x:v>1728500</x:v>
      </x:c>
      <x:c r="E30" s="6" t="n">
        <x:f>C30-D30</x:f>
        <x:v>-1287000</x:v>
      </x:c>
      <x:c r="F30" s="6" t="n">
        <x:f>F29+E30</x:f>
        <x:v>-50755500</x:v>
      </x:c>
      <x:c r="G30" s="6" t="n">
        <x:v>367000</x:v>
      </x:c>
      <x:c r="H30" s="6" t="n">
        <x:v>1654000</x:v>
      </x:c>
      <x:c r="I30" s="6" t="n">
        <x:v>293</x:v>
      </x:c>
      <x:c r="J30" s="6" t="n">
        <x:v>354</x:v>
      </x:c>
      <x:c r="K30" s="6" t="n">
        <x:v>376</x:v>
      </x:c>
      <x:c r="L30" s="6" t="n">
        <x:v>10</x:v>
      </x:c>
      <x:c r="M30" s="11" t="n">
        <x:v>0.7616666666666667</x:v>
      </x:c>
      <x:c r="N30" s="6" t="n">
        <x:v>1287000</x:v>
      </x:c>
    </x:row>
    <x:row r="31" ht="24" customHeight="1">
      <x:c r="A31" s="2" t="str">
        <x:v>2026-10-07_Night</x:v>
      </x:c>
      <x:c r="B31" s="6" t="str">
        <x:v>ナイト</x:v>
      </x:c>
      <x:c r="C31" s="6" t="n">
        <x:v>434500</x:v>
      </x:c>
      <x:c r="D31" s="6" t="n">
        <x:v>2684500</x:v>
      </x:c>
      <x:c r="E31" s="6" t="n">
        <x:f>C31-D31</x:f>
        <x:v>-2250000</x:v>
      </x:c>
      <x:c r="F31" s="6" t="n">
        <x:f>F30+E31</x:f>
        <x:v>-53005500</x:v>
      </x:c>
      <x:c r="G31" s="6" t="n">
        <x:v>356500</x:v>
      </x:c>
      <x:c r="H31" s="6" t="n">
        <x:v>2606500</x:v>
      </x:c>
      <x:c r="I31" s="6" t="n">
        <x:v>457</x:v>
      </x:c>
      <x:c r="J31" s="6" t="n">
        <x:v>425</x:v>
      </x:c>
      <x:c r="K31" s="6" t="n">
        <x:v>415</x:v>
      </x:c>
      <x:c r="L31" s="6" t="n">
        <x:v>10</x:v>
      </x:c>
      <x:c r="M31" s="11" t="n">
        <x:v>0.6996153846153846</x:v>
      </x:c>
      <x:c r="N31" s="6" t="n">
        <x:v>2250500</x:v>
      </x:c>
    </x:row>
    <x:row r="32" ht="24" customHeight="1">
      <x:c r="A32" s="2" t="str">
        <x:v>2026-10-08_Day</x:v>
      </x:c>
      <x:c r="B32" s="6" t="str">
        <x:v>デイ</x:v>
      </x:c>
      <x:c r="C32" s="6" t="n">
        <x:v>629000</x:v>
      </x:c>
      <x:c r="D32" s="6" t="n">
        <x:v>2286000</x:v>
      </x:c>
      <x:c r="E32" s="6" t="n">
        <x:f>C32-D32</x:f>
        <x:v>-1657000</x:v>
      </x:c>
      <x:c r="F32" s="6" t="n">
        <x:f>F31+E32</x:f>
        <x:v>-54662500</x:v>
      </x:c>
      <x:c r="G32" s="6" t="n">
        <x:v>556000</x:v>
      </x:c>
      <x:c r="H32" s="6" t="n">
        <x:v>2213000</x:v>
      </x:c>
      <x:c r="I32" s="6" t="n">
        <x:v>335</x:v>
      </x:c>
      <x:c r="J32" s="6" t="n">
        <x:v>375</x:v>
      </x:c>
      <x:c r="K32" s="6" t="n">
        <x:v>425</x:v>
      </x:c>
      <x:c r="L32" s="6" t="n">
        <x:v>10</x:v>
      </x:c>
      <x:c r="M32" s="11" t="n">
        <x:v>0.778531746031746</x:v>
      </x:c>
      <x:c r="N32" s="6" t="n">
        <x:v>1667000</x:v>
      </x:c>
    </x:row>
    <x:row r="33" ht="24" customHeight="1">
      <x:c r="A33" s="2" t="str">
        <x:v>2026-10-08_Night</x:v>
      </x:c>
      <x:c r="B33" s="6" t="str">
        <x:v>ナイト</x:v>
      </x:c>
      <x:c r="C33" s="6" t="n">
        <x:v>678500</x:v>
      </x:c>
      <x:c r="D33" s="6" t="n">
        <x:v>3608000</x:v>
      </x:c>
      <x:c r="E33" s="6" t="n">
        <x:f>C33-D33</x:f>
        <x:v>-2929500</x:v>
      </x:c>
      <x:c r="F33" s="6" t="n">
        <x:f>F32+E33</x:f>
        <x:v>-57592000</x:v>
      </x:c>
      <x:c r="G33" s="6" t="n">
        <x:v>567000</x:v>
      </x:c>
      <x:c r="H33" s="6" t="n">
        <x:v>3496500</x:v>
      </x:c>
      <x:c r="I33" s="6" t="n">
        <x:v>499</x:v>
      </x:c>
      <x:c r="J33" s="6" t="n">
        <x:v>486</x:v>
      </x:c>
      <x:c r="K33" s="6" t="n">
        <x:v>520</x:v>
      </x:c>
      <x:c r="L33" s="6" t="n">
        <x:v>10</x:v>
      </x:c>
      <x:c r="M33" s="11" t="n">
        <x:v>0.7407692307692307</x:v>
      </x:c>
      <x:c r="N33" s="6" t="n">
        <x:v>3004500</x:v>
      </x:c>
    </x:row>
    <x:row r="34" ht="24" customHeight="1">
      <x:c r="A34" s="2" t="str">
        <x:v>2026-10-09_Day</x:v>
      </x:c>
      <x:c r="B34" s="6" t="str">
        <x:v>デイ</x:v>
      </x:c>
      <x:c r="C34" s="6" t="n">
        <x:v>799000</x:v>
      </x:c>
      <x:c r="D34" s="6" t="n">
        <x:v>2511000</x:v>
      </x:c>
      <x:c r="E34" s="6" t="n">
        <x:f>C34-D34</x:f>
        <x:v>-1712000</x:v>
      </x:c>
      <x:c r="F34" s="6" t="n">
        <x:f>F33+E34</x:f>
        <x:v>-59304000</x:v>
      </x:c>
      <x:c r="G34" s="6" t="n">
        <x:v>710500</x:v>
      </x:c>
      <x:c r="H34" s="6" t="n">
        <x:v>2422500</x:v>
      </x:c>
      <x:c r="I34" s="6" t="n">
        <x:v>319</x:v>
      </x:c>
      <x:c r="J34" s="6" t="n">
        <x:v>367</x:v>
      </x:c>
      <x:c r="K34" s="6" t="n">
        <x:v>362</x:v>
      </x:c>
      <x:c r="L34" s="6" t="n">
        <x:v>10</x:v>
      </x:c>
      <x:c r="M34" s="11" t="n">
        <x:v>0.7747619047619048</x:v>
      </x:c>
      <x:c r="N34" s="6" t="n">
        <x:v>1787000</x:v>
      </x:c>
    </x:row>
    <x:row r="35" ht="24" customHeight="1">
      <x:c r="A35" s="2" t="str">
        <x:v>2026-10-09_Night</x:v>
      </x:c>
      <x:c r="B35" s="6" t="str">
        <x:v>ナイト</x:v>
      </x:c>
      <x:c r="C35" s="6" t="n">
        <x:v>326500</x:v>
      </x:c>
      <x:c r="D35" s="6" t="n">
        <x:v>2249500</x:v>
      </x:c>
      <x:c r="E35" s="6" t="n">
        <x:f>C35-D35</x:f>
        <x:v>-1923000</x:v>
      </x:c>
      <x:c r="F35" s="6" t="n">
        <x:f>F34+E35</x:f>
        <x:v>-61227000</x:v>
      </x:c>
      <x:c r="G35" s="6" t="n">
        <x:v>233500</x:v>
      </x:c>
      <x:c r="H35" s="6" t="n">
        <x:v>2156500</x:v>
      </x:c>
      <x:c r="I35" s="6" t="n">
        <x:v>405</x:v>
      </x:c>
      <x:c r="J35" s="6" t="n">
        <x:v>404</x:v>
      </x:c>
      <x:c r="K35" s="6" t="n">
        <x:v>463</x:v>
      </x:c>
      <x:c r="L35" s="6" t="n">
        <x:v>10</x:v>
      </x:c>
      <x:c r="M35" s="11" t="n">
        <x:v>0.6823931623931624</x:v>
      </x:c>
      <x:c r="N35" s="6" t="n">
        <x:v>1931000</x:v>
      </x:c>
    </x:row>
    <x:row r="36" ht="24" customHeight="1">
      <x:c r="A36" s="2" t="str">
        <x:v>2026-10-12_Day</x:v>
      </x:c>
      <x:c r="B36" s="6" t="str">
        <x:v>デイ</x:v>
      </x:c>
      <x:c r="C36" s="6" t="n">
        <x:v>132000</x:v>
      </x:c>
      <x:c r="D36" s="6" t="n">
        <x:v>1272000</x:v>
      </x:c>
      <x:c r="E36" s="6" t="n">
        <x:f>C36-D36</x:f>
        <x:v>-1140000</x:v>
      </x:c>
      <x:c r="F36" s="6" t="n">
        <x:f>F35+E36</x:f>
        <x:v>-62367000</x:v>
      </x:c>
      <x:c r="G36" s="6" t="n">
        <x:v>105500</x:v>
      </x:c>
      <x:c r="H36" s="6" t="n">
        <x:v>1245500</x:v>
      </x:c>
      <x:c r="I36" s="6" t="n">
        <x:v>206</x:v>
      </x:c>
      <x:c r="J36" s="6" t="n">
        <x:v>151</x:v>
      </x:c>
      <x:c r="K36" s="6" t="n">
        <x:v>157</x:v>
      </x:c>
      <x:c r="L36" s="6" t="n">
        <x:v>10</x:v>
      </x:c>
      <x:c r="M36" s="11" t="n">
        <x:v>0.6661111111111111</x:v>
      </x:c>
      <x:c r="N36" s="6" t="n">
        <x:v>1147000</x:v>
      </x:c>
    </x:row>
    <x:row r="37" ht="24" customHeight="1">
      <x:c r="A37" s="2" t="str">
        <x:v>2026-10-12_Night</x:v>
      </x:c>
      <x:c r="B37" s="6" t="str">
        <x:v>ナイト</x:v>
      </x:c>
      <x:c r="C37" s="6" t="n">
        <x:v>118500</x:v>
      </x:c>
      <x:c r="D37" s="6" t="n">
        <x:v>1712500</x:v>
      </x:c>
      <x:c r="E37" s="6" t="n">
        <x:f>C37-D37</x:f>
        <x:v>-1594000</x:v>
      </x:c>
      <x:c r="F37" s="6" t="n">
        <x:f>F36+E37</x:f>
        <x:v>-63961000</x:v>
      </x:c>
      <x:c r="G37" s="6" t="n">
        <x:v>77000</x:v>
      </x:c>
      <x:c r="H37" s="6" t="n">
        <x:v>1671000</x:v>
      </x:c>
      <x:c r="I37" s="6" t="n">
        <x:v>325</x:v>
      </x:c>
      <x:c r="J37" s="6" t="n">
        <x:v>285</x:v>
      </x:c>
      <x:c r="K37" s="6" t="n">
        <x:v>261</x:v>
      </x:c>
      <x:c r="L37" s="6" t="n">
        <x:v>10</x:v>
      </x:c>
      <x:c r="M37" s="11" t="n">
        <x:v>0.655491452991453</x:v>
      </x:c>
      <x:c r="N37" s="6" t="n">
        <x:v>1608000</x:v>
      </x:c>
    </x:row>
    <x:row r="38" ht="24" customHeight="1">
      <x:c r="A38" s="2" t="str">
        <x:v>2026-10-13_Day</x:v>
      </x:c>
      <x:c r="B38" s="6" t="str">
        <x:v>デイ</x:v>
      </x:c>
      <x:c r="C38" s="6" t="n">
        <x:v>741000</x:v>
      </x:c>
      <x:c r="D38" s="6" t="n">
        <x:v>3084500</x:v>
      </x:c>
      <x:c r="E38" s="6" t="n">
        <x:f>C38-D38</x:f>
        <x:v>-2343500</x:v>
      </x:c>
      <x:c r="F38" s="6" t="n">
        <x:f>F37+E38</x:f>
        <x:v>-66304500</x:v>
      </x:c>
      <x:c r="G38" s="6" t="n">
        <x:v>663000</x:v>
      </x:c>
      <x:c r="H38" s="6" t="n">
        <x:v>3006500</x:v>
      </x:c>
      <x:c r="I38" s="6" t="n">
        <x:v>338</x:v>
      </x:c>
      <x:c r="J38" s="6" t="n">
        <x:v>393</x:v>
      </x:c>
      <x:c r="K38" s="6" t="n">
        <x:v>400</x:v>
      </x:c>
      <x:c r="L38" s="6" t="n">
        <x:v>10</x:v>
      </x:c>
      <x:c r="M38" s="11" t="n">
        <x:v>0.7780952380952381</x:v>
      </x:c>
      <x:c r="N38" s="6" t="n">
        <x:v>2344000</x:v>
      </x:c>
    </x:row>
    <x:row r="39" ht="24" customHeight="1">
      <x:c r="A39" s="2" t="str">
        <x:v>2026-10-13_Night</x:v>
      </x:c>
      <x:c r="B39" s="6" t="str">
        <x:v>ナイト</x:v>
      </x:c>
      <x:c r="C39" s="6" t="n">
        <x:v>215500</x:v>
      </x:c>
      <x:c r="D39" s="6" t="n">
        <x:v>2054000</x:v>
      </x:c>
      <x:c r="E39" s="6" t="n">
        <x:f>C39-D39</x:f>
        <x:v>-1838500</x:v>
      </x:c>
      <x:c r="F39" s="6" t="n">
        <x:f>F38+E39</x:f>
        <x:v>-68143000</x:v>
      </x:c>
      <x:c r="G39" s="6" t="n">
        <x:v>158500</x:v>
      </x:c>
      <x:c r="H39" s="6" t="n">
        <x:v>1997000</x:v>
      </x:c>
      <x:c r="I39" s="6" t="n">
        <x:v>407</x:v>
      </x:c>
      <x:c r="J39" s="6" t="n">
        <x:v>359</x:v>
      </x:c>
      <x:c r="K39" s="6" t="n">
        <x:v>387</x:v>
      </x:c>
      <x:c r="L39" s="6" t="n">
        <x:v>10</x:v>
      </x:c>
      <x:c r="M39" s="11" t="n">
        <x:v>0.6842948717948718</x:v>
      </x:c>
      <x:c r="N39" s="6" t="n">
        <x:v>1860500</x:v>
      </x:c>
    </x:row>
    <x:row r="40" ht="24" customHeight="1">
      <x:c r="A40" s="2" t="str">
        <x:v>2026-10-14_Day</x:v>
      </x:c>
      <x:c r="B40" s="6" t="str">
        <x:v>デイ</x:v>
      </x:c>
      <x:c r="C40" s="6" t="n">
        <x:v>511500</x:v>
      </x:c>
      <x:c r="D40" s="6" t="n">
        <x:v>2272000</x:v>
      </x:c>
      <x:c r="E40" s="6" t="n">
        <x:f>C40-D40</x:f>
        <x:v>-1760500</x:v>
      </x:c>
      <x:c r="F40" s="6" t="n">
        <x:f>F39+E40</x:f>
        <x:v>-69903500</x:v>
      </x:c>
      <x:c r="G40" s="6" t="n">
        <x:v>452000</x:v>
      </x:c>
      <x:c r="H40" s="6" t="n">
        <x:v>2212500</x:v>
      </x:c>
      <x:c r="I40" s="6" t="n">
        <x:v>322</x:v>
      </x:c>
      <x:c r="J40" s="6" t="n">
        <x:v>321</x:v>
      </x:c>
      <x:c r="K40" s="6" t="n">
        <x:v>357</x:v>
      </x:c>
      <x:c r="L40" s="6" t="n">
        <x:v>10</x:v>
      </x:c>
      <x:c r="M40" s="11" t="n">
        <x:v>0.7590873015873015</x:v>
      </x:c>
      <x:c r="N40" s="6" t="n">
        <x:v>1780500</x:v>
      </x:c>
    </x:row>
    <x:row r="41" ht="24" customHeight="1">
      <x:c r="A41" s="2" t="str">
        <x:v>2026-10-14_Night</x:v>
      </x:c>
      <x:c r="B41" s="6" t="str">
        <x:v>ナイト</x:v>
      </x:c>
      <x:c r="C41" s="6" t="n">
        <x:v>528000</x:v>
      </x:c>
      <x:c r="D41" s="6" t="n">
        <x:v>3126500</x:v>
      </x:c>
      <x:c r="E41" s="6" t="n">
        <x:f>C41-D41</x:f>
        <x:v>-2598500</x:v>
      </x:c>
      <x:c r="F41" s="6" t="n">
        <x:f>F40+E41</x:f>
        <x:v>-72502000</x:v>
      </x:c>
      <x:c r="G41" s="6" t="n">
        <x:v>400000</x:v>
      </x:c>
      <x:c r="H41" s="6" t="n">
        <x:v>2998500</x:v>
      </x:c>
      <x:c r="I41" s="6" t="n">
        <x:v>479</x:v>
      </x:c>
      <x:c r="J41" s="6" t="n">
        <x:v>512</x:v>
      </x:c>
      <x:c r="K41" s="6" t="n">
        <x:v>512</x:v>
      </x:c>
      <x:c r="L41" s="6" t="n">
        <x:v>10</x:v>
      </x:c>
      <x:c r="M41" s="11" t="n">
        <x:v>0.7456837606837606</x:v>
      </x:c>
      <x:c r="N41" s="6" t="n">
        <x:v>2604000</x:v>
      </x:c>
    </x:row>
    <x:row r="42" ht="24" customHeight="1">
      <x:c r="A42" s="2" t="str">
        <x:v>2026-10-15_Day</x:v>
      </x:c>
      <x:c r="B42" s="6" t="str">
        <x:v>デイ</x:v>
      </x:c>
      <x:c r="C42" s="6" t="n">
        <x:v>1358000</x:v>
      </x:c>
      <x:c r="D42" s="6" t="n">
        <x:v>3496500</x:v>
      </x:c>
      <x:c r="E42" s="6" t="n">
        <x:f>C42-D42</x:f>
        <x:v>-2138500</x:v>
      </x:c>
      <x:c r="F42" s="6" t="n">
        <x:f>F41+E42</x:f>
        <x:v>-74640500</x:v>
      </x:c>
      <x:c r="G42" s="6" t="n">
        <x:v>1228500</x:v>
      </x:c>
      <x:c r="H42" s="6" t="n">
        <x:v>3367000</x:v>
      </x:c>
      <x:c r="I42" s="6" t="n">
        <x:v>357</x:v>
      </x:c>
      <x:c r="J42" s="6" t="n">
        <x:v>351</x:v>
      </x:c>
      <x:c r="K42" s="6" t="n">
        <x:v>387</x:v>
      </x:c>
      <x:c r="L42" s="6" t="n">
        <x:v>10</x:v>
      </x:c>
      <x:c r="M42" s="11" t="n">
        <x:v>0.7926190476190477</x:v>
      </x:c>
      <x:c r="N42" s="6" t="n">
        <x:v>2148500</x:v>
      </x:c>
    </x:row>
    <x:row r="43" ht="24" customHeight="1">
      <x:c r="A43" s="2" t="str">
        <x:v>2026-10-15_Night</x:v>
      </x:c>
      <x:c r="B43" s="6" t="str">
        <x:v>ナイト</x:v>
      </x:c>
      <x:c r="C43" s="6" t="n">
        <x:v>925500</x:v>
      </x:c>
      <x:c r="D43" s="6" t="n">
        <x:v>3538000</x:v>
      </x:c>
      <x:c r="E43" s="6" t="n">
        <x:f>C43-D43</x:f>
        <x:v>-2612500</x:v>
      </x:c>
      <x:c r="F43" s="6" t="n">
        <x:f>F42+E43</x:f>
        <x:v>-77253000</x:v>
      </x:c>
      <x:c r="G43" s="6" t="n">
        <x:v>816500</x:v>
      </x:c>
      <x:c r="H43" s="6" t="n">
        <x:v>3429000</x:v>
      </x:c>
      <x:c r="I43" s="6" t="n">
        <x:v>505</x:v>
      </x:c>
      <x:c r="J43" s="6" t="n">
        <x:v>525</x:v>
      </x:c>
      <x:c r="K43" s="6" t="n">
        <x:v>527</x:v>
      </x:c>
      <x:c r="L43" s="6" t="n">
        <x:v>10</x:v>
      </x:c>
      <x:c r="M43" s="11" t="n">
        <x:v>0.7498290598290598</x:v>
      </x:c>
      <x:c r="N43" s="6" t="n">
        <x:v>2669000</x:v>
      </x:c>
    </x:row>
    <x:row r="44" ht="24" customHeight="1">
      <x:c r="A44" s="2" t="str">
        <x:v>2026-10-16_Day</x:v>
      </x:c>
      <x:c r="B44" s="6" t="str">
        <x:v>デイ</x:v>
      </x:c>
      <x:c r="C44" s="6" t="n">
        <x:v>881000</x:v>
      </x:c>
      <x:c r="D44" s="6" t="n">
        <x:v>3034000</x:v>
      </x:c>
      <x:c r="E44" s="6" t="n">
        <x:f>C44-D44</x:f>
        <x:v>-2153000</x:v>
      </x:c>
      <x:c r="F44" s="6" t="n">
        <x:f>F43+E44</x:f>
        <x:v>-79406000</x:v>
      </x:c>
      <x:c r="G44" s="6" t="n">
        <x:v>811000</x:v>
      </x:c>
      <x:c r="H44" s="6" t="n">
        <x:v>2964000</x:v>
      </x:c>
      <x:c r="I44" s="6" t="n">
        <x:v>343</x:v>
      </x:c>
      <x:c r="J44" s="6" t="n">
        <x:v>361</x:v>
      </x:c>
      <x:c r="K44" s="6" t="n">
        <x:v>379</x:v>
      </x:c>
      <x:c r="L44" s="6" t="n">
        <x:v>10</x:v>
      </x:c>
      <x:c r="M44" s="11" t="n">
        <x:v>0.7713492063492063</x:v>
      </x:c>
      <x:c r="N44" s="6" t="n">
        <x:v>2250500</x:v>
      </x:c>
    </x:row>
    <x:row r="45" ht="24" customHeight="1">
      <x:c r="A45" s="2" t="str">
        <x:v>2026-10-16_Night</x:v>
      </x:c>
      <x:c r="B45" s="6" t="str">
        <x:v>ナイト</x:v>
      </x:c>
      <x:c r="C45" s="6" t="n">
        <x:v>931500</x:v>
      </x:c>
      <x:c r="D45" s="6" t="n">
        <x:v>3727500</x:v>
      </x:c>
      <x:c r="E45" s="6" t="n">
        <x:f>C45-D45</x:f>
        <x:v>-2796000</x:v>
      </x:c>
      <x:c r="F45" s="6" t="n">
        <x:f>F44+E45</x:f>
        <x:v>-82202000</x:v>
      </x:c>
      <x:c r="G45" s="6" t="n">
        <x:v>774000</x:v>
      </x:c>
      <x:c r="H45" s="6" t="n">
        <x:v>3570000</x:v>
      </x:c>
      <x:c r="I45" s="6" t="n">
        <x:v>527</x:v>
      </x:c>
      <x:c r="J45" s="6" t="n">
        <x:v>543</x:v>
      </x:c>
      <x:c r="K45" s="6" t="n">
        <x:v>595</x:v>
      </x:c>
      <x:c r="L45" s="6" t="n">
        <x:v>10</x:v>
      </x:c>
      <x:c r="M45" s="11" t="n">
        <x:v>0.778974358974359</x:v>
      </x:c>
      <x:c r="N45" s="6" t="n">
        <x:v>2831000</x:v>
      </x:c>
    </x:row>
    <x:row r="46" ht="24" customHeight="1">
      <x:c r="A46" s="2" t="str">
        <x:v>2026-10-19_Day</x:v>
      </x:c>
      <x:c r="B46" s="6" t="str">
        <x:v>デイ</x:v>
      </x:c>
      <x:c r="C46" s="6" t="n">
        <x:v>868500</x:v>
      </x:c>
      <x:c r="D46" s="6" t="n">
        <x:v>2843000</x:v>
      </x:c>
      <x:c r="E46" s="6" t="n">
        <x:f>C46-D46</x:f>
        <x:v>-1974500</x:v>
      </x:c>
      <x:c r="F46" s="6" t="n">
        <x:f>F45+E46</x:f>
        <x:v>-84176500</x:v>
      </x:c>
      <x:c r="G46" s="6" t="n">
        <x:v>790000</x:v>
      </x:c>
      <x:c r="H46" s="6" t="n">
        <x:v>2764500</x:v>
      </x:c>
      <x:c r="I46" s="6" t="n">
        <x:v>357</x:v>
      </x:c>
      <x:c r="J46" s="6" t="n">
        <x:v>348</x:v>
      </x:c>
      <x:c r="K46" s="6" t="n">
        <x:v>389</x:v>
      </x:c>
      <x:c r="L46" s="6" t="n">
        <x:v>10</x:v>
      </x:c>
      <x:c r="M46" s="11" t="n">
        <x:v>0.7647619047619048</x:v>
      </x:c>
      <x:c r="N46" s="6" t="n">
        <x:v>2039500</x:v>
      </x:c>
    </x:row>
    <x:row r="47" ht="24" customHeight="1">
      <x:c r="A47" s="2" t="str">
        <x:v>2026-10-19_Night</x:v>
      </x:c>
      <x:c r="B47" s="6" t="str">
        <x:v>ナイト</x:v>
      </x:c>
      <x:c r="C47" s="6" t="n">
        <x:v>546000</x:v>
      </x:c>
      <x:c r="D47" s="6" t="n">
        <x:v>2899000</x:v>
      </x:c>
      <x:c r="E47" s="6" t="n">
        <x:f>C47-D47</x:f>
        <x:v>-2353000</x:v>
      </x:c>
      <x:c r="F47" s="6" t="n">
        <x:f>F46+E47</x:f>
        <x:v>-86529500</x:v>
      </x:c>
      <x:c r="G47" s="6" t="n">
        <x:v>441000</x:v>
      </x:c>
      <x:c r="H47" s="6" t="n">
        <x:v>2794000</x:v>
      </x:c>
      <x:c r="I47" s="6" t="n">
        <x:v>458</x:v>
      </x:c>
      <x:c r="J47" s="6" t="n">
        <x:v>469</x:v>
      </x:c>
      <x:c r="K47" s="6" t="n">
        <x:v>477</x:v>
      </x:c>
      <x:c r="L47" s="6" t="n">
        <x:v>10</x:v>
      </x:c>
      <x:c r="M47" s="11" t="n">
        <x:v>0.7167307692307693</x:v>
      </x:c>
      <x:c r="N47" s="6" t="n">
        <x:v>2359000</x:v>
      </x:c>
    </x:row>
    <x:row r="48" ht="24" customHeight="1">
      <x:c r="A48" s="2" t="str">
        <x:v>2026-10-20_Day</x:v>
      </x:c>
      <x:c r="B48" s="6" t="str">
        <x:v>デイ</x:v>
      </x:c>
      <x:c r="C48" s="6" t="n">
        <x:v>1007000</x:v>
      </x:c>
      <x:c r="D48" s="6" t="n">
        <x:v>2607500</x:v>
      </x:c>
      <x:c r="E48" s="6" t="n">
        <x:f>C48-D48</x:f>
        <x:v>-1600500</x:v>
      </x:c>
      <x:c r="F48" s="6" t="n">
        <x:f>F47+E48</x:f>
        <x:v>-88130000</x:v>
      </x:c>
      <x:c r="G48" s="6" t="n">
        <x:v>879000</x:v>
      </x:c>
      <x:c r="H48" s="6" t="n">
        <x:v>2479500</x:v>
      </x:c>
      <x:c r="I48" s="6" t="n">
        <x:v>347</x:v>
      </x:c>
      <x:c r="J48" s="6" t="n">
        <x:v>348</x:v>
      </x:c>
      <x:c r="K48" s="6" t="n">
        <x:v>381</x:v>
      </x:c>
      <x:c r="L48" s="6" t="n">
        <x:v>10</x:v>
      </x:c>
      <x:c r="M48" s="11" t="n">
        <x:v>0.7777380952380952</x:v>
      </x:c>
      <x:c r="N48" s="6" t="n">
        <x:v>1663500</x:v>
      </x:c>
    </x:row>
    <x:row r="49" ht="24" customHeight="1">
      <x:c r="A49" s="2" t="str">
        <x:v>2026-10-20_Night</x:v>
      </x:c>
      <x:c r="B49" s="6" t="str">
        <x:v>ナイト</x:v>
      </x:c>
      <x:c r="C49" s="6" t="n">
        <x:v>781000</x:v>
      </x:c>
      <x:c r="D49" s="6" t="n">
        <x:v>3306500</x:v>
      </x:c>
      <x:c r="E49" s="6" t="n">
        <x:f>C49-D49</x:f>
        <x:v>-2525500</x:v>
      </x:c>
      <x:c r="F49" s="6" t="n">
        <x:f>F48+E49</x:f>
        <x:v>-90655500</x:v>
      </x:c>
      <x:c r="G49" s="6" t="n">
        <x:v>670000</x:v>
      </x:c>
      <x:c r="H49" s="6" t="n">
        <x:v>3195500</x:v>
      </x:c>
      <x:c r="I49" s="6" t="n">
        <x:v>500</x:v>
      </x:c>
      <x:c r="J49" s="6" t="n">
        <x:v>414</x:v>
      </x:c>
      <x:c r="K49" s="6" t="n">
        <x:v>467</x:v>
      </x:c>
      <x:c r="L49" s="6" t="n">
        <x:v>10</x:v>
      </x:c>
      <x:c r="M49" s="11" t="n">
        <x:v>0.7513034188034188</x:v>
      </x:c>
      <x:c r="N49" s="6" t="n">
        <x:v>2525500</x:v>
      </x:c>
    </x:row>
    <x:row r="50" ht="24" customHeight="1">
      <x:c r="A50" s="2" t="str">
        <x:v>2026-10-21_Day</x:v>
      </x:c>
      <x:c r="B50" s="6" t="str">
        <x:v>デイ</x:v>
      </x:c>
      <x:c r="C50" s="6" t="n">
        <x:v>634500</x:v>
      </x:c>
      <x:c r="D50" s="6" t="n">
        <x:v>2556500</x:v>
      </x:c>
      <x:c r="E50" s="6" t="n">
        <x:f>C50-D50</x:f>
        <x:v>-1922000</x:v>
      </x:c>
      <x:c r="F50" s="6" t="n">
        <x:f>F49+E50</x:f>
        <x:v>-92577500</x:v>
      </x:c>
      <x:c r="G50" s="6" t="n">
        <x:v>556500</x:v>
      </x:c>
      <x:c r="H50" s="6" t="n">
        <x:v>2478500</x:v>
      </x:c>
      <x:c r="I50" s="6" t="n">
        <x:v>327</x:v>
      </x:c>
      <x:c r="J50" s="6" t="n">
        <x:v>386</x:v>
      </x:c>
      <x:c r="K50" s="6" t="n">
        <x:v>413</x:v>
      </x:c>
      <x:c r="L50" s="6" t="n">
        <x:v>10</x:v>
      </x:c>
      <x:c r="M50" s="11" t="n">
        <x:v>0.7825793650793651</x:v>
      </x:c>
      <x:c r="N50" s="6" t="n">
        <x:v>1950500</x:v>
      </x:c>
    </x:row>
    <x:row r="51" ht="24" customHeight="1">
      <x:c r="A51" s="2" t="str">
        <x:v>2026-10-21_Night</x:v>
      </x:c>
      <x:c r="B51" s="6" t="str">
        <x:v>ナイト</x:v>
      </x:c>
      <x:c r="C51" s="6" t="n">
        <x:v>659000</x:v>
      </x:c>
      <x:c r="D51" s="6" t="n">
        <x:v>2510000</x:v>
      </x:c>
      <x:c r="E51" s="6" t="n">
        <x:f>C51-D51</x:f>
        <x:v>-1851000</x:v>
      </x:c>
      <x:c r="F51" s="6" t="n">
        <x:f>F50+E51</x:f>
        <x:v>-94428500</x:v>
      </x:c>
      <x:c r="G51" s="6" t="n">
        <x:v>544500</x:v>
      </x:c>
      <x:c r="H51" s="6" t="n">
        <x:v>2395500</x:v>
      </x:c>
      <x:c r="I51" s="6" t="n">
        <x:v>464</x:v>
      </x:c>
      <x:c r="J51" s="6" t="n">
        <x:v>440</x:v>
      </x:c>
      <x:c r="K51" s="6" t="n">
        <x:v>478</x:v>
      </x:c>
      <x:c r="L51" s="6" t="n">
        <x:v>10</x:v>
      </x:c>
      <x:c r="M51" s="11" t="n">
        <x:v>0.7178418803418803</x:v>
      </x:c>
      <x:c r="N51" s="6" t="n">
        <x:v>1851000</x:v>
      </x:c>
    </x:row>
    <x:row r="52" ht="24" customHeight="1">
      <x:c r="A52" s="2" t="str">
        <x:v>2026-10-22_Day</x:v>
      </x:c>
      <x:c r="B52" s="6" t="str">
        <x:v>デイ</x:v>
      </x:c>
      <x:c r="C52" s="6" t="n">
        <x:v>1008000</x:v>
      </x:c>
      <x:c r="D52" s="6" t="n">
        <x:v>2463500</x:v>
      </x:c>
      <x:c r="E52" s="6" t="n">
        <x:f>C52-D52</x:f>
        <x:v>-1455500</x:v>
      </x:c>
      <x:c r="F52" s="6" t="n">
        <x:f>F51+E52</x:f>
        <x:v>-95884000</x:v>
      </x:c>
      <x:c r="G52" s="6" t="n">
        <x:v>893500</x:v>
      </x:c>
      <x:c r="H52" s="6" t="n">
        <x:v>2349000</x:v>
      </x:c>
      <x:c r="I52" s="6" t="n">
        <x:v>338</x:v>
      </x:c>
      <x:c r="J52" s="6" t="n">
        <x:v>354</x:v>
      </x:c>
      <x:c r="K52" s="6" t="n">
        <x:v>367</x:v>
      </x:c>
      <x:c r="L52" s="6" t="n">
        <x:v>10</x:v>
      </x:c>
      <x:c r="M52" s="11" t="n">
        <x:v>0.7943650793650794</x:v>
      </x:c>
      <x:c r="N52" s="6" t="n">
        <x:v>1587500</x:v>
      </x:c>
    </x:row>
    <x:row r="53" ht="24" customHeight="1">
      <x:c r="A53" s="2" t="str">
        <x:v>2026-10-22_Night</x:v>
      </x:c>
      <x:c r="B53" s="6" t="str">
        <x:v>ナイト</x:v>
      </x:c>
      <x:c r="C53" s="6" t="n">
        <x:v>829500</x:v>
      </x:c>
      <x:c r="D53" s="6" t="n">
        <x:v>3666000</x:v>
      </x:c>
      <x:c r="E53" s="6" t="n">
        <x:f>C53-D53</x:f>
        <x:v>-2836500</x:v>
      </x:c>
      <x:c r="F53" s="6" t="n">
        <x:f>F52+E53</x:f>
        <x:v>-98720500</x:v>
      </x:c>
      <x:c r="G53" s="6" t="n">
        <x:v>687000</x:v>
      </x:c>
      <x:c r="H53" s="6" t="n">
        <x:v>3523500</x:v>
      </x:c>
      <x:c r="I53" s="6" t="n">
        <x:v>525</x:v>
      </x:c>
      <x:c r="J53" s="6" t="n">
        <x:v>513</x:v>
      </x:c>
      <x:c r="K53" s="6" t="n">
        <x:v>536</x:v>
      </x:c>
      <x:c r="L53" s="6" t="n">
        <x:v>10</x:v>
      </x:c>
      <x:c r="M53" s="11" t="n">
        <x:v>0.7518162393162393</x:v>
      </x:c>
      <x:c r="N53" s="6" t="n">
        <x:v>2836500</x:v>
      </x:c>
    </x:row>
    <x:row r="54" ht="24" customHeight="1">
      <x:c r="A54" s="2" t="str">
        <x:v>2026-10-23_Day</x:v>
      </x:c>
      <x:c r="B54" s="6" t="str">
        <x:v>デイ</x:v>
      </x:c>
      <x:c r="C54" s="6" t="n">
        <x:v>1781000</x:v>
      </x:c>
      <x:c r="D54" s="6" t="n">
        <x:v>4041000</x:v>
      </x:c>
      <x:c r="E54" s="6" t="n">
        <x:f>C54-D54</x:f>
        <x:v>-2260000</x:v>
      </x:c>
      <x:c r="F54" s="6" t="n">
        <x:f>F53+E54</x:f>
        <x:v>-100980500</x:v>
      </x:c>
      <x:c r="G54" s="6" t="n">
        <x:v>1661000</x:v>
      </x:c>
      <x:c r="H54" s="6" t="n">
        <x:v>3921000</x:v>
      </x:c>
      <x:c r="I54" s="6" t="n">
        <x:v>395</x:v>
      </x:c>
      <x:c r="J54" s="6" t="n">
        <x:v>306</x:v>
      </x:c>
      <x:c r="K54" s="6" t="n">
        <x:v>357</x:v>
      </x:c>
      <x:c r="L54" s="6" t="n">
        <x:v>10</x:v>
      </x:c>
      <x:c r="M54" s="11" t="n">
        <x:v>0.7829365079365079</x:v>
      </x:c>
      <x:c r="N54" s="6" t="n">
        <x:v>2306000</x:v>
      </x:c>
    </x:row>
    <x:row r="55" ht="24" customHeight="1">
      <x:c r="A55" s="2" t="str">
        <x:v>2026-10-23_Night</x:v>
      </x:c>
      <x:c r="B55" s="6" t="str">
        <x:v>ナイト</x:v>
      </x:c>
      <x:c r="C55" s="6" t="n">
        <x:v>785500</x:v>
      </x:c>
      <x:c r="D55" s="6" t="n">
        <x:v>3734500</x:v>
      </x:c>
      <x:c r="E55" s="6" t="n">
        <x:f>C55-D55</x:f>
        <x:v>-2949000</x:v>
      </x:c>
      <x:c r="F55" s="6" t="n">
        <x:f>F54+E55</x:f>
        <x:v>-103929500</x:v>
      </x:c>
      <x:c r="G55" s="6" t="n">
        <x:v>685500</x:v>
      </x:c>
      <x:c r="H55" s="6" t="n">
        <x:v>3634500</x:v>
      </x:c>
      <x:c r="I55" s="6" t="n">
        <x:v>512</x:v>
      </x:c>
      <x:c r="J55" s="6" t="n">
        <x:v>430</x:v>
      </x:c>
      <x:c r="K55" s="6" t="n">
        <x:v>476</x:v>
      </x:c>
      <x:c r="L55" s="6" t="n">
        <x:v>10</x:v>
      </x:c>
      <x:c r="M55" s="11" t="n">
        <x:v>0.721517094017094</x:v>
      </x:c>
      <x:c r="N55" s="6" t="n">
        <x:v>2949000</x:v>
      </x:c>
    </x:row>
    <x:row r="56" ht="24" customHeight="1">
      <x:c r="A56" s="2" t="str">
        <x:v>2026-10-26_Day</x:v>
      </x:c>
      <x:c r="B56" s="6" t="str">
        <x:v>デイ</x:v>
      </x:c>
      <x:c r="C56" s="6" t="n">
        <x:v>866000</x:v>
      </x:c>
      <x:c r="D56" s="6" t="n">
        <x:v>3444500</x:v>
      </x:c>
      <x:c r="E56" s="6" t="n">
        <x:f>C56-D56</x:f>
        <x:v>-2578500</x:v>
      </x:c>
      <x:c r="F56" s="6" t="n">
        <x:f>F55+E56</x:f>
        <x:v>-106508000</x:v>
      </x:c>
      <x:c r="G56" s="6" t="n">
        <x:v>736500</x:v>
      </x:c>
      <x:c r="H56" s="6" t="n">
        <x:v>3315000</x:v>
      </x:c>
      <x:c r="I56" s="6" t="n">
        <x:v>350</x:v>
      </x:c>
      <x:c r="J56" s="6" t="n">
        <x:v>345</x:v>
      </x:c>
      <x:c r="K56" s="6" t="n">
        <x:v>392</x:v>
      </x:c>
      <x:c r="L56" s="6" t="n">
        <x:v>10</x:v>
      </x:c>
      <x:c r="M56" s="11" t="n">
        <x:v>0.7831349206349206</x:v>
      </x:c>
      <x:c r="N56" s="6" t="n">
        <x:v>2598000</x:v>
      </x:c>
    </x:row>
    <x:row r="57" ht="24" customHeight="1">
      <x:c r="A57" s="15" t="str">
        <x:v>累計／平均／最大</x:v>
      </x:c>
      <x:c r="B57" s="16"/>
      <x:c r="C57" s="16" t="n">
        <x:f>SUM(C6:C56)</x:f>
        <x:v>34672000</x:v>
      </x:c>
      <x:c r="D57" s="16" t="n">
        <x:f>SUM(D6:D56)</x:f>
        <x:v>141180000</x:v>
      </x:c>
      <x:c r="E57" s="16" t="n">
        <x:f>C57-D57</x:f>
        <x:v>-106508000</x:v>
      </x:c>
      <x:c r="F57" s="16" t="n">
        <x:f>F56</x:f>
        <x:v>-106508000</x:v>
      </x:c>
      <x:c r="G57" s="16" t="n">
        <x:f>SUM(G6:G56)</x:f>
        <x:v>30008500</x:v>
      </x:c>
      <x:c r="H57" s="16" t="n">
        <x:f>SUM(H6:H56)</x:f>
        <x:v>136516500</x:v>
      </x:c>
      <x:c r="I57" s="16" t="n">
        <x:f>SUM(I6:I56)</x:f>
        <x:v>19866</x:v>
      </x:c>
      <x:c r="J57" s="16" t="n">
        <x:f>SUM(J6:J56)</x:f>
        <x:v>19198</x:v>
      </x:c>
      <x:c r="K57" s="16" t="n">
        <x:f>SUM(K6:K56)</x:f>
        <x:v>20470</x:v>
      </x:c>
      <x:c r="L57" s="16" t="n">
        <x:f>MAX(L6:L56)</x:f>
        <x:v>10</x:v>
      </x:c>
      <x:c r="M57" s="17" t="n">
        <x:f>AVERAGE(M6:M56)</x:f>
        <x:v>0.7388676410735234</x:v>
      </x:c>
      <x:c r="N57" s="16" t="n">
        <x:f>MAX(N6:N56)</x:f>
        <x:v>3398500</x:v>
      </x:c>
    </x:row>
  </x:sheetData>
  <x:conditionalFormatting sqref="E6:F56">
    <x:cfRule type="cellIs" dxfId="47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b67aec99f2e4d35"/>
  </x:tableParts>
</x:worksheet>
</file>

<file path=xl/worksheets/sheet50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1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4" customHeight="1">
      <x:c r="A1" s="3" t="str">
        <x:v>TOPIX M07　各セッションの利益・損失・収支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A2" s="4" t="str">
        <x:v>2026/09/21〜10/26デイ・51完了場。日経mini／TOPIXmini各上限10枚・手数料0。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4" customHeight="1">
      <x:c r="A3" s="4" t="str">
        <x:v>180秒の時間加重平均を30秒前と比較。入口だけ傾き比例枚数、利益追尾で返済。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4" customHeight="1">
      <x:c r="A4" s="4" t="str">
        <x:v>利益・損失＝FIFO返済配賦別。親＝初回から全返済まで。ラージ気配による模型で、mini実約定の検証ではありません。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42" customHeight="1">
      <x:c r="A5" s="10" t="str">
        <x:v>セッション</x:v>
      </x:c>
      <x:c r="B5" s="10" t="str">
        <x:v>区分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親利益（円）</x:v>
      </x:c>
      <x:c r="H5" s="10" t="str">
        <x:v>親損失（円）</x:v>
      </x:c>
      <x:c r="I5" s="10" t="str">
        <x:v>初回件数</x:v>
      </x:c>
      <x:c r="J5" s="10" t="str">
        <x:v>追加件数</x:v>
      </x:c>
      <x:c r="K5" s="10" t="str">
        <x:v>縮小件数</x:v>
      </x:c>
      <x:c r="L5" s="10" t="str">
        <x:v>最大保有枚数</x:v>
      </x:c>
      <x:c r="M5" s="10" t="str">
        <x:v>保有時間率</x:v>
      </x:c>
      <x:c r="N5" s="10" t="str">
        <x:v>時価最大DD（円）</x:v>
      </x:c>
    </x:row>
    <x:row r="6" ht="24" customHeight="1">
      <x:c r="A6" s="2" t="str">
        <x:v>2026-09-21_Day</x:v>
      </x:c>
      <x:c r="B6" s="6" t="str">
        <x:v>デイ</x:v>
      </x:c>
      <x:c r="C6" s="6" t="n">
        <x:v>232500</x:v>
      </x:c>
      <x:c r="D6" s="6" t="n">
        <x:v>528500</x:v>
      </x:c>
      <x:c r="E6" s="6" t="n">
        <x:f>C6-D6</x:f>
        <x:v>-296000</x:v>
      </x:c>
      <x:c r="F6" s="6" t="n">
        <x:f>E6</x:f>
        <x:v>-296000</x:v>
      </x:c>
      <x:c r="G6" s="6" t="n">
        <x:v>232500</x:v>
      </x:c>
      <x:c r="H6" s="6" t="n">
        <x:v>528500</x:v>
      </x:c>
      <x:c r="I6" s="6" t="n">
        <x:v>33</x:v>
      </x:c>
      <x:c r="J6" s="6" t="n">
        <x:v>0</x:v>
      </x:c>
      <x:c r="K6" s="6" t="n">
        <x:v>0</x:v>
      </x:c>
      <x:c r="L6" s="6" t="n">
        <x:v>10</x:v>
      </x:c>
      <x:c r="M6" s="11" t="n">
        <x:v>0.8928968253968254</x:v>
      </x:c>
      <x:c r="N6" s="6" t="n">
        <x:v>458500</x:v>
      </x:c>
    </x:row>
    <x:row r="7" ht="24" customHeight="1">
      <x:c r="A7" s="2" t="str">
        <x:v>2026-09-21_Night</x:v>
      </x:c>
      <x:c r="B7" s="6" t="str">
        <x:v>ナイト</x:v>
      </x:c>
      <x:c r="C7" s="6" t="n">
        <x:v>87000</x:v>
      </x:c>
      <x:c r="D7" s="6" t="n">
        <x:v>381000</x:v>
      </x:c>
      <x:c r="E7" s="6" t="n">
        <x:f>C7-D7</x:f>
        <x:v>-294000</x:v>
      </x:c>
      <x:c r="F7" s="6" t="n">
        <x:f>F6+E7</x:f>
        <x:v>-590000</x:v>
      </x:c>
      <x:c r="G7" s="6" t="n">
        <x:v>87000</x:v>
      </x:c>
      <x:c r="H7" s="6" t="n">
        <x:v>381000</x:v>
      </x:c>
      <x:c r="I7" s="6" t="n">
        <x:v>27</x:v>
      </x:c>
      <x:c r="J7" s="6" t="n">
        <x:v>0</x:v>
      </x:c>
      <x:c r="K7" s="6" t="n">
        <x:v>0</x:v>
      </x:c>
      <x:c r="L7" s="6" t="n">
        <x:v>10</x:v>
      </x:c>
      <x:c r="M7" s="11" t="n">
        <x:v>0.9105555555555556</x:v>
      </x:c>
      <x:c r="N7" s="6" t="n">
        <x:v>364000</x:v>
      </x:c>
    </x:row>
    <x:row r="8" ht="24" customHeight="1">
      <x:c r="A8" s="2" t="str">
        <x:v>2026-09-22_Day</x:v>
      </x:c>
      <x:c r="B8" s="6" t="str">
        <x:v>デイ</x:v>
      </x:c>
      <x:c r="C8" s="6" t="n">
        <x:v>186000</x:v>
      </x:c>
      <x:c r="D8" s="6" t="n">
        <x:v>303000</x:v>
      </x:c>
      <x:c r="E8" s="6" t="n">
        <x:f>C8-D8</x:f>
        <x:v>-117000</x:v>
      </x:c>
      <x:c r="F8" s="6" t="n">
        <x:f>F7+E8</x:f>
        <x:v>-707000</x:v>
      </x:c>
      <x:c r="G8" s="6" t="n">
        <x:v>186000</x:v>
      </x:c>
      <x:c r="H8" s="6" t="n">
        <x:v>303000</x:v>
      </x:c>
      <x:c r="I8" s="6" t="n">
        <x:v>34</x:v>
      </x:c>
      <x:c r="J8" s="6" t="n">
        <x:v>0</x:v>
      </x:c>
      <x:c r="K8" s="6" t="n">
        <x:v>0</x:v>
      </x:c>
      <x:c r="L8" s="6" t="n">
        <x:v>10</x:v>
      </x:c>
      <x:c r="M8" s="11" t="n">
        <x:v>0.9112301587301588</x:v>
      </x:c>
      <x:c r="N8" s="6" t="n">
        <x:v>184500</x:v>
      </x:c>
    </x:row>
    <x:row r="9" ht="24" customHeight="1">
      <x:c r="A9" s="2" t="str">
        <x:v>2026-09-22_Night</x:v>
      </x:c>
      <x:c r="B9" s="6" t="str">
        <x:v>ナイト</x:v>
      </x:c>
      <x:c r="C9" s="6" t="n">
        <x:v>461000</x:v>
      </x:c>
      <x:c r="D9" s="6" t="n">
        <x:v>774500</x:v>
      </x:c>
      <x:c r="E9" s="6" t="n">
        <x:f>C9-D9</x:f>
        <x:v>-313500</x:v>
      </x:c>
      <x:c r="F9" s="6" t="n">
        <x:f>F8+E9</x:f>
        <x:v>-1020500</x:v>
      </x:c>
      <x:c r="G9" s="6" t="n">
        <x:v>461000</x:v>
      </x:c>
      <x:c r="H9" s="6" t="n">
        <x:v>774500</x:v>
      </x:c>
      <x:c r="I9" s="6" t="n">
        <x:v>62</x:v>
      </x:c>
      <x:c r="J9" s="6" t="n">
        <x:v>0</x:v>
      </x:c>
      <x:c r="K9" s="6" t="n">
        <x:v>0</x:v>
      </x:c>
      <x:c r="L9" s="6" t="n">
        <x:v>10</x:v>
      </x:c>
      <x:c r="M9" s="11" t="n">
        <x:v>0.9486752136752137</x:v>
      </x:c>
      <x:c r="N9" s="6" t="n">
        <x:v>421500</x:v>
      </x:c>
    </x:row>
    <x:row r="10" ht="24" customHeight="1">
      <x:c r="A10" s="2" t="str">
        <x:v>2026-09-23_Day</x:v>
      </x:c>
      <x:c r="B10" s="6" t="str">
        <x:v>デイ</x:v>
      </x:c>
      <x:c r="C10" s="6" t="n">
        <x:v>251000</x:v>
      </x:c>
      <x:c r="D10" s="6" t="n">
        <x:v>383000</x:v>
      </x:c>
      <x:c r="E10" s="6" t="n">
        <x:f>C10-D10</x:f>
        <x:v>-132000</x:v>
      </x:c>
      <x:c r="F10" s="6" t="n">
        <x:f>F9+E10</x:f>
        <x:v>-1152500</x:v>
      </x:c>
      <x:c r="G10" s="6" t="n">
        <x:v>251000</x:v>
      </x:c>
      <x:c r="H10" s="6" t="n">
        <x:v>383000</x:v>
      </x:c>
      <x:c r="I10" s="6" t="n">
        <x:v>25</x:v>
      </x:c>
      <x:c r="J10" s="6" t="n">
        <x:v>0</x:v>
      </x:c>
      <x:c r="K10" s="6" t="n">
        <x:v>0</x:v>
      </x:c>
      <x:c r="L10" s="6" t="n">
        <x:v>10</x:v>
      </x:c>
      <x:c r="M10" s="11" t="n">
        <x:v>0.9425</x:v>
      </x:c>
      <x:c r="N10" s="6" t="n">
        <x:v>232000</x:v>
      </x:c>
    </x:row>
    <x:row r="11" ht="24" customHeight="1">
      <x:c r="A11" s="2" t="str">
        <x:v>2026-09-23_Night</x:v>
      </x:c>
      <x:c r="B11" s="6" t="str">
        <x:v>ナイト</x:v>
      </x:c>
      <x:c r="C11" s="6" t="n">
        <x:v>181500</x:v>
      </x:c>
      <x:c r="D11" s="6" t="n">
        <x:v>456500</x:v>
      </x:c>
      <x:c r="E11" s="6" t="n">
        <x:f>C11-D11</x:f>
        <x:v>-275000</x:v>
      </x:c>
      <x:c r="F11" s="6" t="n">
        <x:f>F10+E11</x:f>
        <x:v>-1427500</x:v>
      </x:c>
      <x:c r="G11" s="6" t="n">
        <x:v>181500</x:v>
      </x:c>
      <x:c r="H11" s="6" t="n">
        <x:v>456500</x:v>
      </x:c>
      <x:c r="I11" s="6" t="n">
        <x:v>38</x:v>
      </x:c>
      <x:c r="J11" s="6" t="n">
        <x:v>0</x:v>
      </x:c>
      <x:c r="K11" s="6" t="n">
        <x:v>0</x:v>
      </x:c>
      <x:c r="L11" s="6" t="n">
        <x:v>10</x:v>
      </x:c>
      <x:c r="M11" s="11" t="n">
        <x:v>0.9429273504273504</x:v>
      </x:c>
      <x:c r="N11" s="6" t="n">
        <x:v>291500</x:v>
      </x:c>
    </x:row>
    <x:row r="12" ht="24" customHeight="1">
      <x:c r="A12" s="2" t="str">
        <x:v>2026-09-24_Day</x:v>
      </x:c>
      <x:c r="B12" s="6" t="str">
        <x:v>デイ</x:v>
      </x:c>
      <x:c r="C12" s="6" t="n">
        <x:v>724500</x:v>
      </x:c>
      <x:c r="D12" s="6" t="n">
        <x:v>1215500</x:v>
      </x:c>
      <x:c r="E12" s="6" t="n">
        <x:f>C12-D12</x:f>
        <x:v>-491000</x:v>
      </x:c>
      <x:c r="F12" s="6" t="n">
        <x:f>F11+E12</x:f>
        <x:v>-1918500</x:v>
      </x:c>
      <x:c r="G12" s="6" t="n">
        <x:v>724500</x:v>
      </x:c>
      <x:c r="H12" s="6" t="n">
        <x:v>1215500</x:v>
      </x:c>
      <x:c r="I12" s="6" t="n">
        <x:v>78</x:v>
      </x:c>
      <x:c r="J12" s="6" t="n">
        <x:v>0</x:v>
      </x:c>
      <x:c r="K12" s="6" t="n">
        <x:v>0</x:v>
      </x:c>
      <x:c r="L12" s="6" t="n">
        <x:v>10</x:v>
      </x:c>
      <x:c r="M12" s="11" t="n">
        <x:v>0.9235714285714286</x:v>
      </x:c>
      <x:c r="N12" s="6" t="n">
        <x:v>561000</x:v>
      </x:c>
    </x:row>
    <x:row r="13" ht="24" customHeight="1">
      <x:c r="A13" s="2" t="str">
        <x:v>2026-09-24_Night</x:v>
      </x:c>
      <x:c r="B13" s="6" t="str">
        <x:v>ナイト</x:v>
      </x:c>
      <x:c r="C13" s="6" t="n">
        <x:v>579000</x:v>
      </x:c>
      <x:c r="D13" s="6" t="n">
        <x:v>832000</x:v>
      </x:c>
      <x:c r="E13" s="6" t="n">
        <x:f>C13-D13</x:f>
        <x:v>-253000</x:v>
      </x:c>
      <x:c r="F13" s="6" t="n">
        <x:f>F12+E13</x:f>
        <x:v>-2171500</x:v>
      </x:c>
      <x:c r="G13" s="6" t="n">
        <x:v>579000</x:v>
      </x:c>
      <x:c r="H13" s="6" t="n">
        <x:v>832000</x:v>
      </x:c>
      <x:c r="I13" s="6" t="n">
        <x:v>74</x:v>
      </x:c>
      <x:c r="J13" s="6" t="n">
        <x:v>0</x:v>
      </x:c>
      <x:c r="K13" s="6" t="n">
        <x:v>0</x:v>
      </x:c>
      <x:c r="L13" s="6" t="n">
        <x:v>10</x:v>
      </x:c>
      <x:c r="M13" s="11" t="n">
        <x:v>0.9505128205128205</x:v>
      </x:c>
      <x:c r="N13" s="6" t="n">
        <x:v>336500</x:v>
      </x:c>
    </x:row>
    <x:row r="14" ht="24" customHeight="1">
      <x:c r="A14" s="2" t="str">
        <x:v>2026-09-25_Day</x:v>
      </x:c>
      <x:c r="B14" s="6" t="str">
        <x:v>デイ</x:v>
      </x:c>
      <x:c r="C14" s="6" t="n">
        <x:v>435500</x:v>
      </x:c>
      <x:c r="D14" s="6" t="n">
        <x:v>1116000</x:v>
      </x:c>
      <x:c r="E14" s="6" t="n">
        <x:f>C14-D14</x:f>
        <x:v>-680500</x:v>
      </x:c>
      <x:c r="F14" s="6" t="n">
        <x:f>F13+E14</x:f>
        <x:v>-2852000</x:v>
      </x:c>
      <x:c r="G14" s="6" t="n">
        <x:v>435500</x:v>
      </x:c>
      <x:c r="H14" s="6" t="n">
        <x:v>1116000</x:v>
      </x:c>
      <x:c r="I14" s="6" t="n">
        <x:v>59</x:v>
      </x:c>
      <x:c r="J14" s="6" t="n">
        <x:v>0</x:v>
      </x:c>
      <x:c r="K14" s="6" t="n">
        <x:v>0</x:v>
      </x:c>
      <x:c r="L14" s="6" t="n">
        <x:v>10</x:v>
      </x:c>
      <x:c r="M14" s="11" t="n">
        <x:v>0.9403571428571429</x:v>
      </x:c>
      <x:c r="N14" s="6" t="n">
        <x:v>710000</x:v>
      </x:c>
    </x:row>
    <x:row r="15" ht="24" customHeight="1">
      <x:c r="A15" s="2" t="str">
        <x:v>2026-09-25_Night</x:v>
      </x:c>
      <x:c r="B15" s="6" t="str">
        <x:v>ナイト</x:v>
      </x:c>
      <x:c r="C15" s="6" t="n">
        <x:v>480000</x:v>
      </x:c>
      <x:c r="D15" s="6" t="n">
        <x:v>562500</x:v>
      </x:c>
      <x:c r="E15" s="6" t="n">
        <x:f>C15-D15</x:f>
        <x:v>-82500</x:v>
      </x:c>
      <x:c r="F15" s="6" t="n">
        <x:f>F14+E15</x:f>
        <x:v>-2934500</x:v>
      </x:c>
      <x:c r="G15" s="6" t="n">
        <x:v>480000</x:v>
      </x:c>
      <x:c r="H15" s="6" t="n">
        <x:v>562500</x:v>
      </x:c>
      <x:c r="I15" s="6" t="n">
        <x:v>51</x:v>
      </x:c>
      <x:c r="J15" s="6" t="n">
        <x:v>0</x:v>
      </x:c>
      <x:c r="K15" s="6" t="n">
        <x:v>0</x:v>
      </x:c>
      <x:c r="L15" s="6" t="n">
        <x:v>10</x:v>
      </x:c>
      <x:c r="M15" s="11" t="n">
        <x:v>0.9575854700854701</x:v>
      </x:c>
      <x:c r="N15" s="6" t="n">
        <x:v>268000</x:v>
      </x:c>
    </x:row>
    <x:row r="16" ht="24" customHeight="1">
      <x:c r="A16" s="2" t="str">
        <x:v>2026-09-28_Day</x:v>
      </x:c>
      <x:c r="B16" s="6" t="str">
        <x:v>デイ</x:v>
      </x:c>
      <x:c r="C16" s="6" t="n">
        <x:v>550000</x:v>
      </x:c>
      <x:c r="D16" s="6" t="n">
        <x:v>881500</x:v>
      </x:c>
      <x:c r="E16" s="6" t="n">
        <x:f>C16-D16</x:f>
        <x:v>-331500</x:v>
      </x:c>
      <x:c r="F16" s="6" t="n">
        <x:f>F15+E16</x:f>
        <x:v>-3266000</x:v>
      </x:c>
      <x:c r="G16" s="6" t="n">
        <x:v>550000</x:v>
      </x:c>
      <x:c r="H16" s="6" t="n">
        <x:v>881500</x:v>
      </x:c>
      <x:c r="I16" s="6" t="n">
        <x:v>56</x:v>
      </x:c>
      <x:c r="J16" s="6" t="n">
        <x:v>0</x:v>
      </x:c>
      <x:c r="K16" s="6" t="n">
        <x:v>0</x:v>
      </x:c>
      <x:c r="L16" s="6" t="n">
        <x:v>10</x:v>
      </x:c>
      <x:c r="M16" s="11" t="n">
        <x:v>0.9301587301587302</x:v>
      </x:c>
      <x:c r="N16" s="6" t="n">
        <x:v>489500</x:v>
      </x:c>
    </x:row>
    <x:row r="17" ht="24" customHeight="1">
      <x:c r="A17" s="2" t="str">
        <x:v>2026-09-28_Night</x:v>
      </x:c>
      <x:c r="B17" s="6" t="str">
        <x:v>ナイト</x:v>
      </x:c>
      <x:c r="C17" s="6" t="n">
        <x:v>570000</x:v>
      </x:c>
      <x:c r="D17" s="6" t="n">
        <x:v>1149000</x:v>
      </x:c>
      <x:c r="E17" s="6" t="n">
        <x:f>C17-D17</x:f>
        <x:v>-579000</x:v>
      </x:c>
      <x:c r="F17" s="6" t="n">
        <x:f>F16+E17</x:f>
        <x:v>-3845000</x:v>
      </x:c>
      <x:c r="G17" s="6" t="n">
        <x:v>570000</x:v>
      </x:c>
      <x:c r="H17" s="6" t="n">
        <x:v>1149000</x:v>
      </x:c>
      <x:c r="I17" s="6" t="n">
        <x:v>64</x:v>
      </x:c>
      <x:c r="J17" s="6" t="n">
        <x:v>0</x:v>
      </x:c>
      <x:c r="K17" s="6" t="n">
        <x:v>0</x:v>
      </x:c>
      <x:c r="L17" s="6" t="n">
        <x:v>10</x:v>
      </x:c>
      <x:c r="M17" s="11" t="n">
        <x:v>0.9614957264957265</x:v>
      </x:c>
      <x:c r="N17" s="6" t="n">
        <x:v>755000</x:v>
      </x:c>
    </x:row>
    <x:row r="18" ht="24" customHeight="1">
      <x:c r="A18" s="2" t="str">
        <x:v>2026-09-29_Day</x:v>
      </x:c>
      <x:c r="B18" s="6" t="str">
        <x:v>デイ</x:v>
      </x:c>
      <x:c r="C18" s="6" t="n">
        <x:v>483000</x:v>
      </x:c>
      <x:c r="D18" s="6" t="n">
        <x:v>1138500</x:v>
      </x:c>
      <x:c r="E18" s="6" t="n">
        <x:f>C18-D18</x:f>
        <x:v>-655500</x:v>
      </x:c>
      <x:c r="F18" s="6" t="n">
        <x:f>F17+E18</x:f>
        <x:v>-4500500</x:v>
      </x:c>
      <x:c r="G18" s="6" t="n">
        <x:v>483000</x:v>
      </x:c>
      <x:c r="H18" s="6" t="n">
        <x:v>1138500</x:v>
      </x:c>
      <x:c r="I18" s="6" t="n">
        <x:v>69</x:v>
      </x:c>
      <x:c r="J18" s="6" t="n">
        <x:v>0</x:v>
      </x:c>
      <x:c r="K18" s="6" t="n">
        <x:v>0</x:v>
      </x:c>
      <x:c r="L18" s="6" t="n">
        <x:v>10</x:v>
      </x:c>
      <x:c r="M18" s="11" t="n">
        <x:v>0.9299206349206349</x:v>
      </x:c>
      <x:c r="N18" s="6" t="n">
        <x:v>683500</x:v>
      </x:c>
    </x:row>
    <x:row r="19" ht="24" customHeight="1">
      <x:c r="A19" s="2" t="str">
        <x:v>2026-09-29_Night</x:v>
      </x:c>
      <x:c r="B19" s="6" t="str">
        <x:v>ナイト</x:v>
      </x:c>
      <x:c r="C19" s="6" t="n">
        <x:v>286500</x:v>
      </x:c>
      <x:c r="D19" s="6" t="n">
        <x:v>708500</x:v>
      </x:c>
      <x:c r="E19" s="6" t="n">
        <x:f>C19-D19</x:f>
        <x:v>-422000</x:v>
      </x:c>
      <x:c r="F19" s="6" t="n">
        <x:f>F18+E19</x:f>
        <x:v>-4922500</x:v>
      </x:c>
      <x:c r="G19" s="6" t="n">
        <x:v>286500</x:v>
      </x:c>
      <x:c r="H19" s="6" t="n">
        <x:v>708500</x:v>
      </x:c>
      <x:c r="I19" s="6" t="n">
        <x:v>43</x:v>
      </x:c>
      <x:c r="J19" s="6" t="n">
        <x:v>0</x:v>
      </x:c>
      <x:c r="K19" s="6" t="n">
        <x:v>0</x:v>
      </x:c>
      <x:c r="L19" s="6" t="n">
        <x:v>10</x:v>
      </x:c>
      <x:c r="M19" s="11" t="n">
        <x:v>0.9656837606837607</x:v>
      </x:c>
      <x:c r="N19" s="6" t="n">
        <x:v>442000</x:v>
      </x:c>
    </x:row>
    <x:row r="20" ht="24" customHeight="1">
      <x:c r="A20" s="2" t="str">
        <x:v>2026-09-30_Day</x:v>
      </x:c>
      <x:c r="B20" s="6" t="str">
        <x:v>デイ</x:v>
      </x:c>
      <x:c r="C20" s="6" t="n">
        <x:v>703000</x:v>
      </x:c>
      <x:c r="D20" s="6" t="n">
        <x:v>750000</x:v>
      </x:c>
      <x:c r="E20" s="6" t="n">
        <x:f>C20-D20</x:f>
        <x:v>-47000</x:v>
      </x:c>
      <x:c r="F20" s="6" t="n">
        <x:f>F19+E20</x:f>
        <x:v>-4969500</x:v>
      </x:c>
      <x:c r="G20" s="6" t="n">
        <x:v>703000</x:v>
      </x:c>
      <x:c r="H20" s="6" t="n">
        <x:v>750000</x:v>
      </x:c>
      <x:c r="I20" s="6" t="n">
        <x:v>56</x:v>
      </x:c>
      <x:c r="J20" s="6" t="n">
        <x:v>0</x:v>
      </x:c>
      <x:c r="K20" s="6" t="n">
        <x:v>0</x:v>
      </x:c>
      <x:c r="L20" s="6" t="n">
        <x:v>10</x:v>
      </x:c>
      <x:c r="M20" s="11" t="n">
        <x:v>0.9407142857142857</x:v>
      </x:c>
      <x:c r="N20" s="6" t="n">
        <x:v>389000</x:v>
      </x:c>
    </x:row>
    <x:row r="21" ht="24" customHeight="1">
      <x:c r="A21" s="2" t="str">
        <x:v>2026-09-30_Night</x:v>
      </x:c>
      <x:c r="B21" s="6" t="str">
        <x:v>ナイト</x:v>
      </x:c>
      <x:c r="C21" s="6" t="n">
        <x:v>631500</x:v>
      </x:c>
      <x:c r="D21" s="6" t="n">
        <x:v>1330000</x:v>
      </x:c>
      <x:c r="E21" s="6" t="n">
        <x:f>C21-D21</x:f>
        <x:v>-698500</x:v>
      </x:c>
      <x:c r="F21" s="6" t="n">
        <x:f>F20+E21</x:f>
        <x:v>-5668000</x:v>
      </x:c>
      <x:c r="G21" s="6" t="n">
        <x:v>631500</x:v>
      </x:c>
      <x:c r="H21" s="6" t="n">
        <x:v>1330000</x:v>
      </x:c>
      <x:c r="I21" s="6" t="n">
        <x:v>85</x:v>
      </x:c>
      <x:c r="J21" s="6" t="n">
        <x:v>0</x:v>
      </x:c>
      <x:c r="K21" s="6" t="n">
        <x:v>0</x:v>
      </x:c>
      <x:c r="L21" s="6" t="n">
        <x:v>10</x:v>
      </x:c>
      <x:c r="M21" s="11" t="n">
        <x:v>0.9445940170940171</x:v>
      </x:c>
      <x:c r="N21" s="6" t="n">
        <x:v>723500</x:v>
      </x:c>
    </x:row>
    <x:row r="22" ht="24" customHeight="1">
      <x:c r="A22" s="2" t="str">
        <x:v>2026-10-01_Day</x:v>
      </x:c>
      <x:c r="B22" s="6" t="str">
        <x:v>デイ</x:v>
      </x:c>
      <x:c r="C22" s="6" t="n">
        <x:v>532500</x:v>
      </x:c>
      <x:c r="D22" s="6" t="n">
        <x:v>1166500</x:v>
      </x:c>
      <x:c r="E22" s="6" t="n">
        <x:f>C22-D22</x:f>
        <x:v>-634000</x:v>
      </x:c>
      <x:c r="F22" s="6" t="n">
        <x:f>F21+E22</x:f>
        <x:v>-6302000</x:v>
      </x:c>
      <x:c r="G22" s="6" t="n">
        <x:v>532500</x:v>
      </x:c>
      <x:c r="H22" s="6" t="n">
        <x:v>1166500</x:v>
      </x:c>
      <x:c r="I22" s="6" t="n">
        <x:v>64</x:v>
      </x:c>
      <x:c r="J22" s="6" t="n">
        <x:v>0</x:v>
      </x:c>
      <x:c r="K22" s="6" t="n">
        <x:v>0</x:v>
      </x:c>
      <x:c r="L22" s="6" t="n">
        <x:v>10</x:v>
      </x:c>
      <x:c r="M22" s="11" t="n">
        <x:v>0.9296031746031747</x:v>
      </x:c>
      <x:c r="N22" s="6" t="n">
        <x:v>667500</x:v>
      </x:c>
    </x:row>
    <x:row r="23" ht="24" customHeight="1">
      <x:c r="A23" s="2" t="str">
        <x:v>2026-10-01_Night</x:v>
      </x:c>
      <x:c r="B23" s="6" t="str">
        <x:v>ナイト</x:v>
      </x:c>
      <x:c r="C23" s="6" t="n">
        <x:v>688500</x:v>
      </x:c>
      <x:c r="D23" s="6" t="n">
        <x:v>1004000</x:v>
      </x:c>
      <x:c r="E23" s="6" t="n">
        <x:f>C23-D23</x:f>
        <x:v>-315500</x:v>
      </x:c>
      <x:c r="F23" s="6" t="n">
        <x:f>F22+E23</x:f>
        <x:v>-6617500</x:v>
      </x:c>
      <x:c r="G23" s="6" t="n">
        <x:v>688500</x:v>
      </x:c>
      <x:c r="H23" s="6" t="n">
        <x:v>1004000</x:v>
      </x:c>
      <x:c r="I23" s="6" t="n">
        <x:v>87</x:v>
      </x:c>
      <x:c r="J23" s="6" t="n">
        <x:v>0</x:v>
      </x:c>
      <x:c r="K23" s="6" t="n">
        <x:v>0</x:v>
      </x:c>
      <x:c r="L23" s="6" t="n">
        <x:v>10</x:v>
      </x:c>
      <x:c r="M23" s="11" t="n">
        <x:v>0.9443589743589743</x:v>
      </x:c>
      <x:c r="N23" s="6" t="n">
        <x:v>381000</x:v>
      </x:c>
    </x:row>
    <x:row r="24" ht="24" customHeight="1">
      <x:c r="A24" s="2" t="str">
        <x:v>2026-10-02_Day</x:v>
      </x:c>
      <x:c r="B24" s="6" t="str">
        <x:v>デイ</x:v>
      </x:c>
      <x:c r="C24" s="6" t="n">
        <x:v>468500</x:v>
      </x:c>
      <x:c r="D24" s="6" t="n">
        <x:v>1030500</x:v>
      </x:c>
      <x:c r="E24" s="6" t="n">
        <x:f>C24-D24</x:f>
        <x:v>-562000</x:v>
      </x:c>
      <x:c r="F24" s="6" t="n">
        <x:f>F23+E24</x:f>
        <x:v>-7179500</x:v>
      </x:c>
      <x:c r="G24" s="6" t="n">
        <x:v>468500</x:v>
      </x:c>
      <x:c r="H24" s="6" t="n">
        <x:v>1030500</x:v>
      </x:c>
      <x:c r="I24" s="6" t="n">
        <x:v>65</x:v>
      </x:c>
      <x:c r="J24" s="6" t="n">
        <x:v>0</x:v>
      </x:c>
      <x:c r="K24" s="6" t="n">
        <x:v>0</x:v>
      </x:c>
      <x:c r="L24" s="6" t="n">
        <x:v>10</x:v>
      </x:c>
      <x:c r="M24" s="11" t="n">
        <x:v>0.9358730158730159</x:v>
      </x:c>
      <x:c r="N24" s="6" t="n">
        <x:v>625500</x:v>
      </x:c>
    </x:row>
    <x:row r="25" ht="24" customHeight="1">
      <x:c r="A25" s="2" t="str">
        <x:v>2026-10-02_Night</x:v>
      </x:c>
      <x:c r="B25" s="6" t="str">
        <x:v>ナイト</x:v>
      </x:c>
      <x:c r="C25" s="6" t="n">
        <x:v>736500</x:v>
      </x:c>
      <x:c r="D25" s="6" t="n">
        <x:v>1169500</x:v>
      </x:c>
      <x:c r="E25" s="6" t="n">
        <x:f>C25-D25</x:f>
        <x:v>-433000</x:v>
      </x:c>
      <x:c r="F25" s="6" t="n">
        <x:f>F24+E25</x:f>
        <x:v>-7612500</x:v>
      </x:c>
      <x:c r="G25" s="6" t="n">
        <x:v>736500</x:v>
      </x:c>
      <x:c r="H25" s="6" t="n">
        <x:v>1169500</x:v>
      </x:c>
      <x:c r="I25" s="6" t="n">
        <x:v>80</x:v>
      </x:c>
      <x:c r="J25" s="6" t="n">
        <x:v>0</x:v>
      </x:c>
      <x:c r="K25" s="6" t="n">
        <x:v>0</x:v>
      </x:c>
      <x:c r="L25" s="6" t="n">
        <x:v>10</x:v>
      </x:c>
      <x:c r="M25" s="11" t="n">
        <x:v>0.9469017094017094</x:v>
      </x:c>
      <x:c r="N25" s="6" t="n">
        <x:v>659000</x:v>
      </x:c>
    </x:row>
    <x:row r="26" ht="24" customHeight="1">
      <x:c r="A26" s="2" t="str">
        <x:v>2026-10-05_Day</x:v>
      </x:c>
      <x:c r="B26" s="6" t="str">
        <x:v>デイ</x:v>
      </x:c>
      <x:c r="C26" s="6" t="n">
        <x:v>381500</x:v>
      </x:c>
      <x:c r="D26" s="6" t="n">
        <x:v>672500</x:v>
      </x:c>
      <x:c r="E26" s="6" t="n">
        <x:f>C26-D26</x:f>
        <x:v>-291000</x:v>
      </x:c>
      <x:c r="F26" s="6" t="n">
        <x:f>F25+E26</x:f>
        <x:v>-7903500</x:v>
      </x:c>
      <x:c r="G26" s="6" t="n">
        <x:v>381500</x:v>
      </x:c>
      <x:c r="H26" s="6" t="n">
        <x:v>672500</x:v>
      </x:c>
      <x:c r="I26" s="6" t="n">
        <x:v>53</x:v>
      </x:c>
      <x:c r="J26" s="6" t="n">
        <x:v>0</x:v>
      </x:c>
      <x:c r="K26" s="6" t="n">
        <x:v>0</x:v>
      </x:c>
      <x:c r="L26" s="6" t="n">
        <x:v>10</x:v>
      </x:c>
      <x:c r="M26" s="11" t="n">
        <x:v>0.9400396825396825</x:v>
      </x:c>
      <x:c r="N26" s="6" t="n">
        <x:v>415500</x:v>
      </x:c>
    </x:row>
    <x:row r="27" ht="24" customHeight="1">
      <x:c r="A27" s="2" t="str">
        <x:v>2026-10-05_Night</x:v>
      </x:c>
      <x:c r="B27" s="6" t="str">
        <x:v>ナイト</x:v>
      </x:c>
      <x:c r="C27" s="6" t="n">
        <x:v>352000</x:v>
      </x:c>
      <x:c r="D27" s="6" t="n">
        <x:v>608000</x:v>
      </x:c>
      <x:c r="E27" s="6" t="n">
        <x:f>C27-D27</x:f>
        <x:v>-256000</x:v>
      </x:c>
      <x:c r="F27" s="6" t="n">
        <x:f>F26+E27</x:f>
        <x:v>-8159500</x:v>
      </x:c>
      <x:c r="G27" s="6" t="n">
        <x:v>352000</x:v>
      </x:c>
      <x:c r="H27" s="6" t="n">
        <x:v>608000</x:v>
      </x:c>
      <x:c r="I27" s="6" t="n">
        <x:v>38</x:v>
      </x:c>
      <x:c r="J27" s="6" t="n">
        <x:v>0</x:v>
      </x:c>
      <x:c r="K27" s="6" t="n">
        <x:v>0</x:v>
      </x:c>
      <x:c r="L27" s="6" t="n">
        <x:v>10</x:v>
      </x:c>
      <x:c r="M27" s="11" t="n">
        <x:v>0.9570512820512821</x:v>
      </x:c>
      <x:c r="N27" s="6" t="n">
        <x:v>381000</x:v>
      </x:c>
    </x:row>
    <x:row r="28" ht="24" customHeight="1">
      <x:c r="A28" s="2" t="str">
        <x:v>2026-10-06_Day</x:v>
      </x:c>
      <x:c r="B28" s="6" t="str">
        <x:v>デイ</x:v>
      </x:c>
      <x:c r="C28" s="6" t="n">
        <x:v>213000</x:v>
      </x:c>
      <x:c r="D28" s="6" t="n">
        <x:v>421500</x:v>
      </x:c>
      <x:c r="E28" s="6" t="n">
        <x:f>C28-D28</x:f>
        <x:v>-208500</x:v>
      </x:c>
      <x:c r="F28" s="6" t="n">
        <x:f>F27+E28</x:f>
        <x:v>-8368000</x:v>
      </x:c>
      <x:c r="G28" s="6" t="n">
        <x:v>213000</x:v>
      </x:c>
      <x:c r="H28" s="6" t="n">
        <x:v>421500</x:v>
      </x:c>
      <x:c r="I28" s="6" t="n">
        <x:v>28</x:v>
      </x:c>
      <x:c r="J28" s="6" t="n">
        <x:v>0</x:v>
      </x:c>
      <x:c r="K28" s="6" t="n">
        <x:v>0</x:v>
      </x:c>
      <x:c r="L28" s="6" t="n">
        <x:v>10</x:v>
      </x:c>
      <x:c r="M28" s="11" t="n">
        <x:v>0.9408333333333333</x:v>
      </x:c>
      <x:c r="N28" s="6" t="n">
        <x:v>346000</x:v>
      </x:c>
    </x:row>
    <x:row r="29" ht="24" customHeight="1">
      <x:c r="A29" s="2" t="str">
        <x:v>2026-10-06_Night</x:v>
      </x:c>
      <x:c r="B29" s="6" t="str">
        <x:v>ナイト</x:v>
      </x:c>
      <x:c r="C29" s="6" t="n">
        <x:v>174500</x:v>
      </x:c>
      <x:c r="D29" s="6" t="n">
        <x:v>204500</x:v>
      </x:c>
      <x:c r="E29" s="6" t="n">
        <x:f>C29-D29</x:f>
        <x:v>-30000</x:v>
      </x:c>
      <x:c r="F29" s="6" t="n">
        <x:f>F28+E29</x:f>
        <x:v>-8398000</x:v>
      </x:c>
      <x:c r="G29" s="6" t="n">
        <x:v>174500</x:v>
      </x:c>
      <x:c r="H29" s="6" t="n">
        <x:v>204500</x:v>
      </x:c>
      <x:c r="I29" s="6" t="n">
        <x:v>20</x:v>
      </x:c>
      <x:c r="J29" s="6" t="n">
        <x:v>0</x:v>
      </x:c>
      <x:c r="K29" s="6" t="n">
        <x:v>0</x:v>
      </x:c>
      <x:c r="L29" s="6" t="n">
        <x:v>9</x:v>
      </x:c>
      <x:c r="M29" s="11" t="n">
        <x:v>0.9753632478632479</x:v>
      </x:c>
      <x:c r="N29" s="6" t="n">
        <x:v>143000</x:v>
      </x:c>
    </x:row>
    <x:row r="30" ht="24" customHeight="1">
      <x:c r="A30" s="2" t="str">
        <x:v>2026-10-07_Day</x:v>
      </x:c>
      <x:c r="B30" s="6" t="str">
        <x:v>デイ</x:v>
      </x:c>
      <x:c r="C30" s="6" t="n">
        <x:v>396000</x:v>
      </x:c>
      <x:c r="D30" s="6" t="n">
        <x:v>433000</x:v>
      </x:c>
      <x:c r="E30" s="6" t="n">
        <x:f>C30-D30</x:f>
        <x:v>-37000</x:v>
      </x:c>
      <x:c r="F30" s="6" t="n">
        <x:f>F29+E30</x:f>
        <x:v>-8435000</x:v>
      </x:c>
      <x:c r="G30" s="6" t="n">
        <x:v>396000</x:v>
      </x:c>
      <x:c r="H30" s="6" t="n">
        <x:v>433000</x:v>
      </x:c>
      <x:c r="I30" s="6" t="n">
        <x:v>31</x:v>
      </x:c>
      <x:c r="J30" s="6" t="n">
        <x:v>0</x:v>
      </x:c>
      <x:c r="K30" s="6" t="n">
        <x:v>0</x:v>
      </x:c>
      <x:c r="L30" s="6" t="n">
        <x:v>10</x:v>
      </x:c>
      <x:c r="M30" s="11" t="n">
        <x:v>0.9540873015873016</x:v>
      </x:c>
      <x:c r="N30" s="6" t="n">
        <x:v>234500</x:v>
      </x:c>
    </x:row>
    <x:row r="31" ht="24" customHeight="1">
      <x:c r="A31" s="2" t="str">
        <x:v>2026-10-07_Night</x:v>
      </x:c>
      <x:c r="B31" s="6" t="str">
        <x:v>ナイト</x:v>
      </x:c>
      <x:c r="C31" s="6" t="n">
        <x:v>246500</x:v>
      </x:c>
      <x:c r="D31" s="6" t="n">
        <x:v>572500</x:v>
      </x:c>
      <x:c r="E31" s="6" t="n">
        <x:f>C31-D31</x:f>
        <x:v>-326000</x:v>
      </x:c>
      <x:c r="F31" s="6" t="n">
        <x:f>F30+E31</x:f>
        <x:v>-8761000</x:v>
      </x:c>
      <x:c r="G31" s="6" t="n">
        <x:v>246500</x:v>
      </x:c>
      <x:c r="H31" s="6" t="n">
        <x:v>572500</x:v>
      </x:c>
      <x:c r="I31" s="6" t="n">
        <x:v>43</x:v>
      </x:c>
      <x:c r="J31" s="6" t="n">
        <x:v>0</x:v>
      </x:c>
      <x:c r="K31" s="6" t="n">
        <x:v>0</x:v>
      </x:c>
      <x:c r="L31" s="6" t="n">
        <x:v>10</x:v>
      </x:c>
      <x:c r="M31" s="11" t="n">
        <x:v>0.9586965811965812</x:v>
      </x:c>
      <x:c r="N31" s="6" t="n">
        <x:v>390000</x:v>
      </x:c>
    </x:row>
    <x:row r="32" ht="24" customHeight="1">
      <x:c r="A32" s="2" t="str">
        <x:v>2026-10-08_Day</x:v>
      </x:c>
      <x:c r="B32" s="6" t="str">
        <x:v>デイ</x:v>
      </x:c>
      <x:c r="C32" s="6" t="n">
        <x:v>640500</x:v>
      </x:c>
      <x:c r="D32" s="6" t="n">
        <x:v>682000</x:v>
      </x:c>
      <x:c r="E32" s="6" t="n">
        <x:f>C32-D32</x:f>
        <x:v>-41500</x:v>
      </x:c>
      <x:c r="F32" s="6" t="n">
        <x:f>F31+E32</x:f>
        <x:v>-8802500</x:v>
      </x:c>
      <x:c r="G32" s="6" t="n">
        <x:v>640500</x:v>
      </x:c>
      <x:c r="H32" s="6" t="n">
        <x:v>682000</x:v>
      </x:c>
      <x:c r="I32" s="6" t="n">
        <x:v>50</x:v>
      </x:c>
      <x:c r="J32" s="6" t="n">
        <x:v>0</x:v>
      </x:c>
      <x:c r="K32" s="6" t="n">
        <x:v>0</x:v>
      </x:c>
      <x:c r="L32" s="6" t="n">
        <x:v>10</x:v>
      </x:c>
      <x:c r="M32" s="11" t="n">
        <x:v>0.9371031746031746</x:v>
      </x:c>
      <x:c r="N32" s="6" t="n">
        <x:v>380000</x:v>
      </x:c>
    </x:row>
    <x:row r="33" ht="24" customHeight="1">
      <x:c r="A33" s="2" t="str">
        <x:v>2026-10-08_Night</x:v>
      </x:c>
      <x:c r="B33" s="6" t="str">
        <x:v>ナイト</x:v>
      </x:c>
      <x:c r="C33" s="6" t="n">
        <x:v>622500</x:v>
      </x:c>
      <x:c r="D33" s="6" t="n">
        <x:v>762000</x:v>
      </x:c>
      <x:c r="E33" s="6" t="n">
        <x:f>C33-D33</x:f>
        <x:v>-139500</x:v>
      </x:c>
      <x:c r="F33" s="6" t="n">
        <x:f>F32+E33</x:f>
        <x:v>-8942000</x:v>
      </x:c>
      <x:c r="G33" s="6" t="n">
        <x:v>622500</x:v>
      </x:c>
      <x:c r="H33" s="6" t="n">
        <x:v>762000</x:v>
      </x:c>
      <x:c r="I33" s="6" t="n">
        <x:v>58</x:v>
      </x:c>
      <x:c r="J33" s="6" t="n">
        <x:v>0</x:v>
      </x:c>
      <x:c r="K33" s="6" t="n">
        <x:v>0</x:v>
      </x:c>
      <x:c r="L33" s="6" t="n">
        <x:v>10</x:v>
      </x:c>
      <x:c r="M33" s="11" t="n">
        <x:v>0.9620726495726496</x:v>
      </x:c>
      <x:c r="N33" s="6" t="n">
        <x:v>283000</x:v>
      </x:c>
    </x:row>
    <x:row r="34" ht="24" customHeight="1">
      <x:c r="A34" s="2" t="str">
        <x:v>2026-10-09_Day</x:v>
      </x:c>
      <x:c r="B34" s="6" t="str">
        <x:v>デイ</x:v>
      </x:c>
      <x:c r="C34" s="6" t="n">
        <x:v>423500</x:v>
      </x:c>
      <x:c r="D34" s="6" t="n">
        <x:v>953500</x:v>
      </x:c>
      <x:c r="E34" s="6" t="n">
        <x:f>C34-D34</x:f>
        <x:v>-530000</x:v>
      </x:c>
      <x:c r="F34" s="6" t="n">
        <x:f>F33+E34</x:f>
        <x:v>-9472000</x:v>
      </x:c>
      <x:c r="G34" s="6" t="n">
        <x:v>423500</x:v>
      </x:c>
      <x:c r="H34" s="6" t="n">
        <x:v>953500</x:v>
      </x:c>
      <x:c r="I34" s="6" t="n">
        <x:v>47</x:v>
      </x:c>
      <x:c r="J34" s="6" t="n">
        <x:v>0</x:v>
      </x:c>
      <x:c r="K34" s="6" t="n">
        <x:v>0</x:v>
      </x:c>
      <x:c r="L34" s="6" t="n">
        <x:v>10</x:v>
      </x:c>
      <x:c r="M34" s="11" t="n">
        <x:v>0.9401984126984126</x:v>
      </x:c>
      <x:c r="N34" s="6" t="n">
        <x:v>540000</x:v>
      </x:c>
    </x:row>
    <x:row r="35" ht="24" customHeight="1">
      <x:c r="A35" s="2" t="str">
        <x:v>2026-10-09_Night</x:v>
      </x:c>
      <x:c r="B35" s="6" t="str">
        <x:v>ナイト</x:v>
      </x:c>
      <x:c r="C35" s="6" t="n">
        <x:v>116000</x:v>
      </x:c>
      <x:c r="D35" s="6" t="n">
        <x:v>391000</x:v>
      </x:c>
      <x:c r="E35" s="6" t="n">
        <x:f>C35-D35</x:f>
        <x:v>-275000</x:v>
      </x:c>
      <x:c r="F35" s="6" t="n">
        <x:f>F34+E35</x:f>
        <x:v>-9747000</x:v>
      </x:c>
      <x:c r="G35" s="6" t="n">
        <x:v>116000</x:v>
      </x:c>
      <x:c r="H35" s="6" t="n">
        <x:v>391000</x:v>
      </x:c>
      <x:c r="I35" s="6" t="n">
        <x:v>33</x:v>
      </x:c>
      <x:c r="J35" s="6" t="n">
        <x:v>0</x:v>
      </x:c>
      <x:c r="K35" s="6" t="n">
        <x:v>0</x:v>
      </x:c>
      <x:c r="L35" s="6" t="n">
        <x:v>10</x:v>
      </x:c>
      <x:c r="M35" s="11" t="n">
        <x:v>0.969059829059829</x:v>
      </x:c>
      <x:c r="N35" s="6" t="n">
        <x:v>326500</x:v>
      </x:c>
    </x:row>
    <x:row r="36" ht="24" customHeight="1">
      <x:c r="A36" s="2" t="str">
        <x:v>2026-10-12_Day</x:v>
      </x:c>
      <x:c r="B36" s="6" t="str">
        <x:v>デイ</x:v>
      </x:c>
      <x:c r="C36" s="6" t="n">
        <x:v>38000</x:v>
      </x:c>
      <x:c r="D36" s="6" t="n">
        <x:v>221500</x:v>
      </x:c>
      <x:c r="E36" s="6" t="n">
        <x:f>C36-D36</x:f>
        <x:v>-183500</x:v>
      </x:c>
      <x:c r="F36" s="6" t="n">
        <x:f>F35+E36</x:f>
        <x:v>-9930500</x:v>
      </x:c>
      <x:c r="G36" s="6" t="n">
        <x:v>38000</x:v>
      </x:c>
      <x:c r="H36" s="6" t="n">
        <x:v>221500</x:v>
      </x:c>
      <x:c r="I36" s="6" t="n">
        <x:v>14</x:v>
      </x:c>
      <x:c r="J36" s="6" t="n">
        <x:v>0</x:v>
      </x:c>
      <x:c r="K36" s="6" t="n">
        <x:v>0</x:v>
      </x:c>
      <x:c r="L36" s="6" t="n">
        <x:v>10</x:v>
      </x:c>
      <x:c r="M36" s="11" t="n">
        <x:v>0.9490079365079365</x:v>
      </x:c>
      <x:c r="N36" s="6" t="n">
        <x:v>188500</x:v>
      </x:c>
    </x:row>
    <x:row r="37" ht="24" customHeight="1">
      <x:c r="A37" s="2" t="str">
        <x:v>2026-10-12_Night</x:v>
      </x:c>
      <x:c r="B37" s="6" t="str">
        <x:v>ナイト</x:v>
      </x:c>
      <x:c r="C37" s="6" t="n">
        <x:v>103500</x:v>
      </x:c>
      <x:c r="D37" s="6" t="n">
        <x:v>297000</x:v>
      </x:c>
      <x:c r="E37" s="6" t="n">
        <x:f>C37-D37</x:f>
        <x:v>-193500</x:v>
      </x:c>
      <x:c r="F37" s="6" t="n">
        <x:f>F36+E37</x:f>
        <x:v>-10124000</x:v>
      </x:c>
      <x:c r="G37" s="6" t="n">
        <x:v>103500</x:v>
      </x:c>
      <x:c r="H37" s="6" t="n">
        <x:v>297000</x:v>
      </x:c>
      <x:c r="I37" s="6" t="n">
        <x:v>26</x:v>
      </x:c>
      <x:c r="J37" s="6" t="n">
        <x:v>0</x:v>
      </x:c>
      <x:c r="K37" s="6" t="n">
        <x:v>0</x:v>
      </x:c>
      <x:c r="L37" s="6" t="n">
        <x:v>10</x:v>
      </x:c>
      <x:c r="M37" s="11" t="n">
        <x:v>0.9501495726495727</x:v>
      </x:c>
      <x:c r="N37" s="6" t="n">
        <x:v>252500</x:v>
      </x:c>
    </x:row>
    <x:row r="38" ht="24" customHeight="1">
      <x:c r="A38" s="2" t="str">
        <x:v>2026-10-13_Day</x:v>
      </x:c>
      <x:c r="B38" s="6" t="str">
        <x:v>デイ</x:v>
      </x:c>
      <x:c r="C38" s="6" t="n">
        <x:v>474000</x:v>
      </x:c>
      <x:c r="D38" s="6" t="n">
        <x:v>1007000</x:v>
      </x:c>
      <x:c r="E38" s="6" t="n">
        <x:f>C38-D38</x:f>
        <x:v>-533000</x:v>
      </x:c>
      <x:c r="F38" s="6" t="n">
        <x:f>F37+E38</x:f>
        <x:v>-10657000</x:v>
      </x:c>
      <x:c r="G38" s="6" t="n">
        <x:v>474000</x:v>
      </x:c>
      <x:c r="H38" s="6" t="n">
        <x:v>1007000</x:v>
      </x:c>
      <x:c r="I38" s="6" t="n">
        <x:v>61</x:v>
      </x:c>
      <x:c r="J38" s="6" t="n">
        <x:v>0</x:v>
      </x:c>
      <x:c r="K38" s="6" t="n">
        <x:v>0</x:v>
      </x:c>
      <x:c r="L38" s="6" t="n">
        <x:v>10</x:v>
      </x:c>
      <x:c r="M38" s="11" t="n">
        <x:v>0.9244444444444444</x:v>
      </x:c>
      <x:c r="N38" s="6" t="n">
        <x:v>588000</x:v>
      </x:c>
    </x:row>
    <x:row r="39" ht="24" customHeight="1">
      <x:c r="A39" s="2" t="str">
        <x:v>2026-10-13_Night</x:v>
      </x:c>
      <x:c r="B39" s="6" t="str">
        <x:v>ナイト</x:v>
      </x:c>
      <x:c r="C39" s="6" t="n">
        <x:v>146500</x:v>
      </x:c>
      <x:c r="D39" s="6" t="n">
        <x:v>363000</x:v>
      </x:c>
      <x:c r="E39" s="6" t="n">
        <x:f>C39-D39</x:f>
        <x:v>-216500</x:v>
      </x:c>
      <x:c r="F39" s="6" t="n">
        <x:f>F38+E39</x:f>
        <x:v>-10873500</x:v>
      </x:c>
      <x:c r="G39" s="6" t="n">
        <x:v>146500</x:v>
      </x:c>
      <x:c r="H39" s="6" t="n">
        <x:v>363000</x:v>
      </x:c>
      <x:c r="I39" s="6" t="n">
        <x:v>35</x:v>
      </x:c>
      <x:c r="J39" s="6" t="n">
        <x:v>0</x:v>
      </x:c>
      <x:c r="K39" s="6" t="n">
        <x:v>0</x:v>
      </x:c>
      <x:c r="L39" s="6" t="n">
        <x:v>10</x:v>
      </x:c>
      <x:c r="M39" s="11" t="n">
        <x:v>0.9535042735042735</x:v>
      </x:c>
      <x:c r="N39" s="6" t="n">
        <x:v>288000</x:v>
      </x:c>
    </x:row>
    <x:row r="40" ht="24" customHeight="1">
      <x:c r="A40" s="2" t="str">
        <x:v>2026-10-14_Day</x:v>
      </x:c>
      <x:c r="B40" s="6" t="str">
        <x:v>デイ</x:v>
      </x:c>
      <x:c r="C40" s="6" t="n">
        <x:v>227500</x:v>
      </x:c>
      <x:c r="D40" s="6" t="n">
        <x:v>637000</x:v>
      </x:c>
      <x:c r="E40" s="6" t="n">
        <x:f>C40-D40</x:f>
        <x:v>-409500</x:v>
      </x:c>
      <x:c r="F40" s="6" t="n">
        <x:f>F39+E40</x:f>
        <x:v>-11283000</x:v>
      </x:c>
      <x:c r="G40" s="6" t="n">
        <x:v>227500</x:v>
      </x:c>
      <x:c r="H40" s="6" t="n">
        <x:v>637000</x:v>
      </x:c>
      <x:c r="I40" s="6" t="n">
        <x:v>41</x:v>
      </x:c>
      <x:c r="J40" s="6" t="n">
        <x:v>0</x:v>
      </x:c>
      <x:c r="K40" s="6" t="n">
        <x:v>0</x:v>
      </x:c>
      <x:c r="L40" s="6" t="n">
        <x:v>10</x:v>
      </x:c>
      <x:c r="M40" s="11" t="n">
        <x:v>0.9478968253968254</x:v>
      </x:c>
      <x:c r="N40" s="6" t="n">
        <x:v>448000</x:v>
      </x:c>
    </x:row>
    <x:row r="41" ht="24" customHeight="1">
      <x:c r="A41" s="2" t="str">
        <x:v>2026-10-14_Night</x:v>
      </x:c>
      <x:c r="B41" s="6" t="str">
        <x:v>ナイト</x:v>
      </x:c>
      <x:c r="C41" s="6" t="n">
        <x:v>498000</x:v>
      </x:c>
      <x:c r="D41" s="6" t="n">
        <x:v>886000</x:v>
      </x:c>
      <x:c r="E41" s="6" t="n">
        <x:f>C41-D41</x:f>
        <x:v>-388000</x:v>
      </x:c>
      <x:c r="F41" s="6" t="n">
        <x:f>F40+E41</x:f>
        <x:v>-11671000</x:v>
      </x:c>
      <x:c r="G41" s="6" t="n">
        <x:v>498000</x:v>
      </x:c>
      <x:c r="H41" s="6" t="n">
        <x:v>886000</x:v>
      </x:c>
      <x:c r="I41" s="6" t="n">
        <x:v>66</x:v>
      </x:c>
      <x:c r="J41" s="6" t="n">
        <x:v>0</x:v>
      </x:c>
      <x:c r="K41" s="6" t="n">
        <x:v>0</x:v>
      </x:c>
      <x:c r="L41" s="6" t="n">
        <x:v>10</x:v>
      </x:c>
      <x:c r="M41" s="11" t="n">
        <x:v>0.9451282051282052</x:v>
      </x:c>
      <x:c r="N41" s="6" t="n">
        <x:v>435000</x:v>
      </x:c>
    </x:row>
    <x:row r="42" ht="24" customHeight="1">
      <x:c r="A42" s="2" t="str">
        <x:v>2026-10-15_Day</x:v>
      </x:c>
      <x:c r="B42" s="6" t="str">
        <x:v>デイ</x:v>
      </x:c>
      <x:c r="C42" s="6" t="n">
        <x:v>1143000</x:v>
      </x:c>
      <x:c r="D42" s="6" t="n">
        <x:v>1470500</x:v>
      </x:c>
      <x:c r="E42" s="6" t="n">
        <x:f>C42-D42</x:f>
        <x:v>-327500</x:v>
      </x:c>
      <x:c r="F42" s="6" t="n">
        <x:f>F41+E42</x:f>
        <x:v>-11998500</x:v>
      </x:c>
      <x:c r="G42" s="6" t="n">
        <x:v>1143000</x:v>
      </x:c>
      <x:c r="H42" s="6" t="n">
        <x:v>1470500</x:v>
      </x:c>
      <x:c r="I42" s="6" t="n">
        <x:v>97</x:v>
      </x:c>
      <x:c r="J42" s="6" t="n">
        <x:v>0</x:v>
      </x:c>
      <x:c r="K42" s="6" t="n">
        <x:v>0</x:v>
      </x:c>
      <x:c r="L42" s="6" t="n">
        <x:v>10</x:v>
      </x:c>
      <x:c r="M42" s="11" t="n">
        <x:v>0.9086904761904762</x:v>
      </x:c>
      <x:c r="N42" s="6" t="n">
        <x:v>503500</x:v>
      </x:c>
    </x:row>
    <x:row r="43" ht="24" customHeight="1">
      <x:c r="A43" s="2" t="str">
        <x:v>2026-10-15_Night</x:v>
      </x:c>
      <x:c r="B43" s="6" t="str">
        <x:v>ナイト</x:v>
      </x:c>
      <x:c r="C43" s="6" t="n">
        <x:v>693500</x:v>
      </x:c>
      <x:c r="D43" s="6" t="n">
        <x:v>1048500</x:v>
      </x:c>
      <x:c r="E43" s="6" t="n">
        <x:f>C43-D43</x:f>
        <x:v>-355000</x:v>
      </x:c>
      <x:c r="F43" s="6" t="n">
        <x:f>F42+E43</x:f>
        <x:v>-12353500</x:v>
      </x:c>
      <x:c r="G43" s="6" t="n">
        <x:v>693500</x:v>
      </x:c>
      <x:c r="H43" s="6" t="n">
        <x:v>1048500</x:v>
      </x:c>
      <x:c r="I43" s="6" t="n">
        <x:v>76</x:v>
      </x:c>
      <x:c r="J43" s="6" t="n">
        <x:v>0</x:v>
      </x:c>
      <x:c r="K43" s="6" t="n">
        <x:v>0</x:v>
      </x:c>
      <x:c r="L43" s="6" t="n">
        <x:v>10</x:v>
      </x:c>
      <x:c r="M43" s="11" t="n">
        <x:v>0.9581410256410257</x:v>
      </x:c>
      <x:c r="N43" s="6" t="n">
        <x:v>424000</x:v>
      </x:c>
    </x:row>
    <x:row r="44" ht="24" customHeight="1">
      <x:c r="A44" s="2" t="str">
        <x:v>2026-10-16_Day</x:v>
      </x:c>
      <x:c r="B44" s="6" t="str">
        <x:v>デイ</x:v>
      </x:c>
      <x:c r="C44" s="6" t="n">
        <x:v>610000</x:v>
      </x:c>
      <x:c r="D44" s="6" t="n">
        <x:v>991500</x:v>
      </x:c>
      <x:c r="E44" s="6" t="n">
        <x:f>C44-D44</x:f>
        <x:v>-381500</x:v>
      </x:c>
      <x:c r="F44" s="6" t="n">
        <x:f>F43+E44</x:f>
        <x:v>-12735000</x:v>
      </x:c>
      <x:c r="G44" s="6" t="n">
        <x:v>610000</x:v>
      </x:c>
      <x:c r="H44" s="6" t="n">
        <x:v>991500</x:v>
      </x:c>
      <x:c r="I44" s="6" t="n">
        <x:v>66</x:v>
      </x:c>
      <x:c r="J44" s="6" t="n">
        <x:v>0</x:v>
      </x:c>
      <x:c r="K44" s="6" t="n">
        <x:v>0</x:v>
      </x:c>
      <x:c r="L44" s="6" t="n">
        <x:v>10</x:v>
      </x:c>
      <x:c r="M44" s="11" t="n">
        <x:v>0.9353968253968254</x:v>
      </x:c>
      <x:c r="N44" s="6" t="n">
        <x:v>517000</x:v>
      </x:c>
    </x:row>
    <x:row r="45" ht="24" customHeight="1">
      <x:c r="A45" s="2" t="str">
        <x:v>2026-10-16_Night</x:v>
      </x:c>
      <x:c r="B45" s="6" t="str">
        <x:v>ナイト</x:v>
      </x:c>
      <x:c r="C45" s="6" t="n">
        <x:v>661000</x:v>
      </x:c>
      <x:c r="D45" s="6" t="n">
        <x:v>1212500</x:v>
      </x:c>
      <x:c r="E45" s="6" t="n">
        <x:f>C45-D45</x:f>
        <x:v>-551500</x:v>
      </x:c>
      <x:c r="F45" s="6" t="n">
        <x:f>F44+E45</x:f>
        <x:v>-13286500</x:v>
      </x:c>
      <x:c r="G45" s="6" t="n">
        <x:v>661000</x:v>
      </x:c>
      <x:c r="H45" s="6" t="n">
        <x:v>1212500</x:v>
      </x:c>
      <x:c r="I45" s="6" t="n">
        <x:v>79</x:v>
      </x:c>
      <x:c r="J45" s="6" t="n">
        <x:v>0</x:v>
      </x:c>
      <x:c r="K45" s="6" t="n">
        <x:v>0</x:v>
      </x:c>
      <x:c r="L45" s="6" t="n">
        <x:v>10</x:v>
      </x:c>
      <x:c r="M45" s="11" t="n">
        <x:v>0.9516452991452992</x:v>
      </x:c>
      <x:c r="N45" s="6" t="n">
        <x:v>683000</x:v>
      </x:c>
    </x:row>
    <x:row r="46" ht="24" customHeight="1">
      <x:c r="A46" s="2" t="str">
        <x:v>2026-10-19_Day</x:v>
      </x:c>
      <x:c r="B46" s="6" t="str">
        <x:v>デイ</x:v>
      </x:c>
      <x:c r="C46" s="6" t="n">
        <x:v>644000</x:v>
      </x:c>
      <x:c r="D46" s="6" t="n">
        <x:v>1518000</x:v>
      </x:c>
      <x:c r="E46" s="6" t="n">
        <x:f>C46-D46</x:f>
        <x:v>-874000</x:v>
      </x:c>
      <x:c r="F46" s="6" t="n">
        <x:f>F45+E46</x:f>
        <x:v>-14160500</x:v>
      </x:c>
      <x:c r="G46" s="6" t="n">
        <x:v>644000</x:v>
      </x:c>
      <x:c r="H46" s="6" t="n">
        <x:v>1518000</x:v>
      </x:c>
      <x:c r="I46" s="6" t="n">
        <x:v>70</x:v>
      </x:c>
      <x:c r="J46" s="6" t="n">
        <x:v>0</x:v>
      </x:c>
      <x:c r="K46" s="6" t="n">
        <x:v>0</x:v>
      </x:c>
      <x:c r="L46" s="6" t="n">
        <x:v>10</x:v>
      </x:c>
      <x:c r="M46" s="11" t="n">
        <x:v>0.9255555555555556</x:v>
      </x:c>
      <x:c r="N46" s="6" t="n">
        <x:v>961000</x:v>
      </x:c>
    </x:row>
    <x:row r="47" ht="24" customHeight="1">
      <x:c r="A47" s="2" t="str">
        <x:v>2026-10-19_Night</x:v>
      </x:c>
      <x:c r="B47" s="6" t="str">
        <x:v>ナイト</x:v>
      </x:c>
      <x:c r="C47" s="6" t="n">
        <x:v>434500</x:v>
      </x:c>
      <x:c r="D47" s="6" t="n">
        <x:v>672000</x:v>
      </x:c>
      <x:c r="E47" s="6" t="n">
        <x:f>C47-D47</x:f>
        <x:v>-237500</x:v>
      </x:c>
      <x:c r="F47" s="6" t="n">
        <x:f>F46+E47</x:f>
        <x:v>-14398000</x:v>
      </x:c>
      <x:c r="G47" s="6" t="n">
        <x:v>434500</x:v>
      </x:c>
      <x:c r="H47" s="6" t="n">
        <x:v>672000</x:v>
      </x:c>
      <x:c r="I47" s="6" t="n">
        <x:v>52</x:v>
      </x:c>
      <x:c r="J47" s="6" t="n">
        <x:v>0</x:v>
      </x:c>
      <x:c r="K47" s="6" t="n">
        <x:v>0</x:v>
      </x:c>
      <x:c r="L47" s="6" t="n">
        <x:v>10</x:v>
      </x:c>
      <x:c r="M47" s="11" t="n">
        <x:v>0.9603205128205128</x:v>
      </x:c>
      <x:c r="N47" s="6" t="n">
        <x:v>283000</x:v>
      </x:c>
    </x:row>
    <x:row r="48" ht="24" customHeight="1">
      <x:c r="A48" s="2" t="str">
        <x:v>2026-10-20_Day</x:v>
      </x:c>
      <x:c r="B48" s="6" t="str">
        <x:v>デイ</x:v>
      </x:c>
      <x:c r="C48" s="6" t="n">
        <x:v>643500</x:v>
      </x:c>
      <x:c r="D48" s="6" t="n">
        <x:v>1144500</x:v>
      </x:c>
      <x:c r="E48" s="6" t="n">
        <x:f>C48-D48</x:f>
        <x:v>-501000</x:v>
      </x:c>
      <x:c r="F48" s="6" t="n">
        <x:f>F47+E48</x:f>
        <x:v>-14899000</x:v>
      </x:c>
      <x:c r="G48" s="6" t="n">
        <x:v>643500</x:v>
      </x:c>
      <x:c r="H48" s="6" t="n">
        <x:v>1144500</x:v>
      </x:c>
      <x:c r="I48" s="6" t="n">
        <x:v>67</x:v>
      </x:c>
      <x:c r="J48" s="6" t="n">
        <x:v>0</x:v>
      </x:c>
      <x:c r="K48" s="6" t="n">
        <x:v>0</x:v>
      </x:c>
      <x:c r="L48" s="6" t="n">
        <x:v>10</x:v>
      </x:c>
      <x:c r="M48" s="11" t="n">
        <x:v>0.9276587301587301</x:v>
      </x:c>
      <x:c r="N48" s="6" t="n">
        <x:v>558500</x:v>
      </x:c>
    </x:row>
    <x:row r="49" ht="24" customHeight="1">
      <x:c r="A49" s="2" t="str">
        <x:v>2026-10-20_Night</x:v>
      </x:c>
      <x:c r="B49" s="6" t="str">
        <x:v>ナイト</x:v>
      </x:c>
      <x:c r="C49" s="6" t="n">
        <x:v>768000</x:v>
      </x:c>
      <x:c r="D49" s="6" t="n">
        <x:v>936500</x:v>
      </x:c>
      <x:c r="E49" s="6" t="n">
        <x:f>C49-D49</x:f>
        <x:v>-168500</x:v>
      </x:c>
      <x:c r="F49" s="6" t="n">
        <x:f>F48+E49</x:f>
        <x:v>-15067500</x:v>
      </x:c>
      <x:c r="G49" s="6" t="n">
        <x:v>768000</x:v>
      </x:c>
      <x:c r="H49" s="6" t="n">
        <x:v>936500</x:v>
      </x:c>
      <x:c r="I49" s="6" t="n">
        <x:v>65</x:v>
      </x:c>
      <x:c r="J49" s="6" t="n">
        <x:v>0</x:v>
      </x:c>
      <x:c r="K49" s="6" t="n">
        <x:v>0</x:v>
      </x:c>
      <x:c r="L49" s="6" t="n">
        <x:v>10</x:v>
      </x:c>
      <x:c r="M49" s="11" t="n">
        <x:v>0.9587606837606838</x:v>
      </x:c>
      <x:c r="N49" s="6" t="n">
        <x:v>374000</x:v>
      </x:c>
    </x:row>
    <x:row r="50" ht="24" customHeight="1">
      <x:c r="A50" s="2" t="str">
        <x:v>2026-10-21_Day</x:v>
      </x:c>
      <x:c r="B50" s="6" t="str">
        <x:v>デイ</x:v>
      </x:c>
      <x:c r="C50" s="6" t="n">
        <x:v>292000</x:v>
      </x:c>
      <x:c r="D50" s="6" t="n">
        <x:v>1006500</x:v>
      </x:c>
      <x:c r="E50" s="6" t="n">
        <x:f>C50-D50</x:f>
        <x:v>-714500</x:v>
      </x:c>
      <x:c r="F50" s="6" t="n">
        <x:f>F49+E50</x:f>
        <x:v>-15782000</x:v>
      </x:c>
      <x:c r="G50" s="6" t="n">
        <x:v>292000</x:v>
      </x:c>
      <x:c r="H50" s="6" t="n">
        <x:v>1006500</x:v>
      </x:c>
      <x:c r="I50" s="6" t="n">
        <x:v>48</x:v>
      </x:c>
      <x:c r="J50" s="6" t="n">
        <x:v>0</x:v>
      </x:c>
      <x:c r="K50" s="6" t="n">
        <x:v>0</x:v>
      </x:c>
      <x:c r="L50" s="6" t="n">
        <x:v>10</x:v>
      </x:c>
      <x:c r="M50" s="11" t="n">
        <x:v>0.9212698412698412</x:v>
      </x:c>
      <x:c r="N50" s="6" t="n">
        <x:v>762500</x:v>
      </x:c>
    </x:row>
    <x:row r="51" ht="24" customHeight="1">
      <x:c r="A51" s="2" t="str">
        <x:v>2026-10-21_Night</x:v>
      </x:c>
      <x:c r="B51" s="6" t="str">
        <x:v>ナイト</x:v>
      </x:c>
      <x:c r="C51" s="6" t="n">
        <x:v>430500</x:v>
      </x:c>
      <x:c r="D51" s="6" t="n">
        <x:v>611000</x:v>
      </x:c>
      <x:c r="E51" s="6" t="n">
        <x:f>C51-D51</x:f>
        <x:v>-180500</x:v>
      </x:c>
      <x:c r="F51" s="6" t="n">
        <x:f>F50+E51</x:f>
        <x:v>-15962500</x:v>
      </x:c>
      <x:c r="G51" s="6" t="n">
        <x:v>430500</x:v>
      </x:c>
      <x:c r="H51" s="6" t="n">
        <x:v>611000</x:v>
      </x:c>
      <x:c r="I51" s="6" t="n">
        <x:v>50</x:v>
      </x:c>
      <x:c r="J51" s="6" t="n">
        <x:v>0</x:v>
      </x:c>
      <x:c r="K51" s="6" t="n">
        <x:v>0</x:v>
      </x:c>
      <x:c r="L51" s="6" t="n">
        <x:v>10</x:v>
      </x:c>
      <x:c r="M51" s="11" t="n">
        <x:v>0.9596153846153846</x:v>
      </x:c>
      <x:c r="N51" s="6" t="n">
        <x:v>326500</x:v>
      </x:c>
    </x:row>
    <x:row r="52" ht="24" customHeight="1">
      <x:c r="A52" s="2" t="str">
        <x:v>2026-10-22_Day</x:v>
      </x:c>
      <x:c r="B52" s="6" t="str">
        <x:v>デイ</x:v>
      </x:c>
      <x:c r="C52" s="6" t="n">
        <x:v>723000</x:v>
      </x:c>
      <x:c r="D52" s="6" t="n">
        <x:v>905000</x:v>
      </x:c>
      <x:c r="E52" s="6" t="n">
        <x:f>C52-D52</x:f>
        <x:v>-182000</x:v>
      </x:c>
      <x:c r="F52" s="6" t="n">
        <x:f>F51+E52</x:f>
        <x:v>-16144500</x:v>
      </x:c>
      <x:c r="G52" s="6" t="n">
        <x:v>723000</x:v>
      </x:c>
      <x:c r="H52" s="6" t="n">
        <x:v>905000</x:v>
      </x:c>
      <x:c r="I52" s="6" t="n">
        <x:v>68</x:v>
      </x:c>
      <x:c r="J52" s="6" t="n">
        <x:v>0</x:v>
      </x:c>
      <x:c r="K52" s="6" t="n">
        <x:v>0</x:v>
      </x:c>
      <x:c r="L52" s="6" t="n">
        <x:v>10</x:v>
      </x:c>
      <x:c r="M52" s="11" t="n">
        <x:v>0.9357539682539683</x:v>
      </x:c>
      <x:c r="N52" s="6" t="n">
        <x:v>372000</x:v>
      </x:c>
    </x:row>
    <x:row r="53" ht="24" customHeight="1">
      <x:c r="A53" s="2" t="str">
        <x:v>2026-10-22_Night</x:v>
      </x:c>
      <x:c r="B53" s="6" t="str">
        <x:v>ナイト</x:v>
      </x:c>
      <x:c r="C53" s="6" t="n">
        <x:v>690000</x:v>
      </x:c>
      <x:c r="D53" s="6" t="n">
        <x:v>890000</x:v>
      </x:c>
      <x:c r="E53" s="6" t="n">
        <x:f>C53-D53</x:f>
        <x:v>-200000</x:v>
      </x:c>
      <x:c r="F53" s="6" t="n">
        <x:f>F52+E53</x:f>
        <x:v>-16344500</x:v>
      </x:c>
      <x:c r="G53" s="6" t="n">
        <x:v>690000</x:v>
      </x:c>
      <x:c r="H53" s="6" t="n">
        <x:v>890000</x:v>
      </x:c>
      <x:c r="I53" s="6" t="n">
        <x:v>81</x:v>
      </x:c>
      <x:c r="J53" s="6" t="n">
        <x:v>0</x:v>
      </x:c>
      <x:c r="K53" s="6" t="n">
        <x:v>0</x:v>
      </x:c>
      <x:c r="L53" s="6" t="n">
        <x:v>10</x:v>
      </x:c>
      <x:c r="M53" s="11" t="n">
        <x:v>0.9440811965811966</x:v>
      </x:c>
      <x:c r="N53" s="6" t="n">
        <x:v>322500</x:v>
      </x:c>
    </x:row>
    <x:row r="54" ht="24" customHeight="1">
      <x:c r="A54" s="2" t="str">
        <x:v>2026-10-23_Day</x:v>
      </x:c>
      <x:c r="B54" s="6" t="str">
        <x:v>デイ</x:v>
      </x:c>
      <x:c r="C54" s="6" t="n">
        <x:v>1619000</x:v>
      </x:c>
      <x:c r="D54" s="6" t="n">
        <x:v>2248500</x:v>
      </x:c>
      <x:c r="E54" s="6" t="n">
        <x:f>C54-D54</x:f>
        <x:v>-629500</x:v>
      </x:c>
      <x:c r="F54" s="6" t="n">
        <x:f>F53+E54</x:f>
        <x:v>-16974000</x:v>
      </x:c>
      <x:c r="G54" s="6" t="n">
        <x:v>1619000</x:v>
      </x:c>
      <x:c r="H54" s="6" t="n">
        <x:v>2248500</x:v>
      </x:c>
      <x:c r="I54" s="6" t="n">
        <x:v>134</x:v>
      </x:c>
      <x:c r="J54" s="6" t="n">
        <x:v>0</x:v>
      </x:c>
      <x:c r="K54" s="6" t="n">
        <x:v>0</x:v>
      </x:c>
      <x:c r="L54" s="6" t="n">
        <x:v>10</x:v>
      </x:c>
      <x:c r="M54" s="11" t="n">
        <x:v>0.8953174603174603</x:v>
      </x:c>
      <x:c r="N54" s="6" t="n">
        <x:v>667500</x:v>
      </x:c>
    </x:row>
    <x:row r="55" ht="24" customHeight="1">
      <x:c r="A55" s="2" t="str">
        <x:v>2026-10-23_Night</x:v>
      </x:c>
      <x:c r="B55" s="6" t="str">
        <x:v>ナイト</x:v>
      </x:c>
      <x:c r="C55" s="6" t="n">
        <x:v>781500</x:v>
      </x:c>
      <x:c r="D55" s="6" t="n">
        <x:v>887000</x:v>
      </x:c>
      <x:c r="E55" s="6" t="n">
        <x:f>C55-D55</x:f>
        <x:v>-105500</x:v>
      </x:c>
      <x:c r="F55" s="6" t="n">
        <x:f>F54+E55</x:f>
        <x:v>-17079500</x:v>
      </x:c>
      <x:c r="G55" s="6" t="n">
        <x:v>781500</x:v>
      </x:c>
      <x:c r="H55" s="6" t="n">
        <x:v>887000</x:v>
      </x:c>
      <x:c r="I55" s="6" t="n">
        <x:v>72</x:v>
      </x:c>
      <x:c r="J55" s="6" t="n">
        <x:v>0</x:v>
      </x:c>
      <x:c r="K55" s="6" t="n">
        <x:v>0</x:v>
      </x:c>
      <x:c r="L55" s="6" t="n">
        <x:v>10</x:v>
      </x:c>
      <x:c r="M55" s="11" t="n">
        <x:v>0.9480555555555555</x:v>
      </x:c>
      <x:c r="N55" s="6" t="n">
        <x:v>333000</x:v>
      </x:c>
    </x:row>
    <x:row r="56" ht="24" customHeight="1">
      <x:c r="A56" s="2" t="str">
        <x:v>2026-10-26_Day</x:v>
      </x:c>
      <x:c r="B56" s="6" t="str">
        <x:v>デイ</x:v>
      </x:c>
      <x:c r="C56" s="6" t="n">
        <x:v>659500</x:v>
      </x:c>
      <x:c r="D56" s="6" t="n">
        <x:v>1580000</x:v>
      </x:c>
      <x:c r="E56" s="6" t="n">
        <x:f>C56-D56</x:f>
        <x:v>-920500</x:v>
      </x:c>
      <x:c r="F56" s="6" t="n">
        <x:f>F55+E56</x:f>
        <x:v>-18000000</x:v>
      </x:c>
      <x:c r="G56" s="6" t="n">
        <x:v>659500</x:v>
      </x:c>
      <x:c r="H56" s="6" t="n">
        <x:v>1580000</x:v>
      </x:c>
      <x:c r="I56" s="6" t="n">
        <x:v>88</x:v>
      </x:c>
      <x:c r="J56" s="6" t="n">
        <x:v>0</x:v>
      </x:c>
      <x:c r="K56" s="6" t="n">
        <x:v>0</x:v>
      </x:c>
      <x:c r="L56" s="6" t="n">
        <x:v>10</x:v>
      </x:c>
      <x:c r="M56" s="11" t="n">
        <x:v>0.9187301587301587</x:v>
      </x:c>
      <x:c r="N56" s="6" t="n">
        <x:v>978000</x:v>
      </x:c>
    </x:row>
    <x:row r="57" ht="24" customHeight="1">
      <x:c r="A57" s="15" t="str">
        <x:v>累計／平均／最大</x:v>
      </x:c>
      <x:c r="B57" s="16"/>
      <x:c r="C57" s="16" t="n">
        <x:f>SUM(C6:C56)</x:f>
        <x:v>25114500</x:v>
      </x:c>
      <x:c r="D57" s="16" t="n">
        <x:f>SUM(D6:D56)</x:f>
        <x:v>43114500</x:v>
      </x:c>
      <x:c r="E57" s="16" t="n">
        <x:f>C57-D57</x:f>
        <x:v>-18000000</x:v>
      </x:c>
      <x:c r="F57" s="16" t="n">
        <x:f>F56</x:f>
        <x:v>-18000000</x:v>
      </x:c>
      <x:c r="G57" s="16" t="n">
        <x:f>SUM(G6:G56)</x:f>
        <x:v>25114500</x:v>
      </x:c>
      <x:c r="H57" s="16" t="n">
        <x:f>SUM(H6:H56)</x:f>
        <x:v>43114500</x:v>
      </x:c>
      <x:c r="I57" s="16" t="n">
        <x:f>SUM(I6:I56)</x:f>
        <x:v>2907</x:v>
      </x:c>
      <x:c r="J57" s="16" t="n">
        <x:f>SUM(J6:J56)</x:f>
        <x:v>0</x:v>
      </x:c>
      <x:c r="K57" s="16" t="n">
        <x:f>SUM(K6:K56)</x:f>
        <x:v>0</x:v>
      </x:c>
      <x:c r="L57" s="16" t="n">
        <x:f>MAX(L6:L56)</x:f>
        <x:v>10</x:v>
      </x:c>
      <x:c r="M57" s="17" t="n">
        <x:f>AVERAGE(M6:M56)</x:f>
        <x:v>0.9412499102204984</x:v>
      </x:c>
      <x:c r="N57" s="16" t="n">
        <x:f>MAX(N6:N56)</x:f>
        <x:v>978000</x:v>
      </x:c>
    </x:row>
  </x:sheetData>
  <x:conditionalFormatting sqref="E6:F56">
    <x:cfRule type="cellIs" dxfId="48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4bffd7e74674c6a"/>
  </x:tableParts>
</x:worksheet>
</file>

<file path=xl/worksheets/sheet5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1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4" customHeight="1">
      <x:c r="A1" s="3" t="str">
        <x:v>TOPIX M08　各セッションの利益・損失・収支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A2" s="4" t="str">
        <x:v>2026/09/21〜10/26デイ・51完了場。日経mini／TOPIXmini各上限10枚・手数料0。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4" customHeight="1">
      <x:c r="A3" s="4" t="str">
        <x:v>180秒の時間加重平均を30秒前と比較。入口だけ傾き比例枚数、利益追尾＋傾き反転で返済。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4" customHeight="1">
      <x:c r="A4" s="4" t="str">
        <x:v>利益・損失＝FIFO返済配賦別。親＝初回から全返済まで。ラージ気配による模型で、mini実約定の検証ではありません。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42" customHeight="1">
      <x:c r="A5" s="10" t="str">
        <x:v>セッション</x:v>
      </x:c>
      <x:c r="B5" s="10" t="str">
        <x:v>区分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親利益（円）</x:v>
      </x:c>
      <x:c r="H5" s="10" t="str">
        <x:v>親損失（円）</x:v>
      </x:c>
      <x:c r="I5" s="10" t="str">
        <x:v>初回件数</x:v>
      </x:c>
      <x:c r="J5" s="10" t="str">
        <x:v>追加件数</x:v>
      </x:c>
      <x:c r="K5" s="10" t="str">
        <x:v>縮小件数</x:v>
      </x:c>
      <x:c r="L5" s="10" t="str">
        <x:v>最大保有枚数</x:v>
      </x:c>
      <x:c r="M5" s="10" t="str">
        <x:v>保有時間率</x:v>
      </x:c>
      <x:c r="N5" s="10" t="str">
        <x:v>時価最大DD（円）</x:v>
      </x:c>
    </x:row>
    <x:row r="6" ht="24" customHeight="1">
      <x:c r="A6" s="2" t="str">
        <x:v>2026-09-21_Day</x:v>
      </x:c>
      <x:c r="B6" s="6" t="str">
        <x:v>デイ</x:v>
      </x:c>
      <x:c r="C6" s="6" t="n">
        <x:v>190000</x:v>
      </x:c>
      <x:c r="D6" s="6" t="n">
        <x:v>543500</x:v>
      </x:c>
      <x:c r="E6" s="6" t="n">
        <x:f>C6-D6</x:f>
        <x:v>-353500</x:v>
      </x:c>
      <x:c r="F6" s="6" t="n">
        <x:f>E6</x:f>
        <x:v>-353500</x:v>
      </x:c>
      <x:c r="G6" s="6" t="n">
        <x:v>190000</x:v>
      </x:c>
      <x:c r="H6" s="6" t="n">
        <x:v>543500</x:v>
      </x:c>
      <x:c r="I6" s="6" t="n">
        <x:v>107</x:v>
      </x:c>
      <x:c r="J6" s="6" t="n">
        <x:v>0</x:v>
      </x:c>
      <x:c r="K6" s="6" t="n">
        <x:v>0</x:v>
      </x:c>
      <x:c r="L6" s="6" t="n">
        <x:v>10</x:v>
      </x:c>
      <x:c r="M6" s="11" t="n">
        <x:v>0.7176984126984127</x:v>
      </x:c>
      <x:c r="N6" s="6" t="n">
        <x:v>357000</x:v>
      </x:c>
    </x:row>
    <x:row r="7" ht="24" customHeight="1">
      <x:c r="A7" s="2" t="str">
        <x:v>2026-09-21_Night</x:v>
      </x:c>
      <x:c r="B7" s="6" t="str">
        <x:v>ナイト</x:v>
      </x:c>
      <x:c r="C7" s="6" t="n">
        <x:v>93500</x:v>
      </x:c>
      <x:c r="D7" s="6" t="n">
        <x:v>357000</x:v>
      </x:c>
      <x:c r="E7" s="6" t="n">
        <x:f>C7-D7</x:f>
        <x:v>-263500</x:v>
      </x:c>
      <x:c r="F7" s="6" t="n">
        <x:f>F6+E7</x:f>
        <x:v>-617000</x:v>
      </x:c>
      <x:c r="G7" s="6" t="n">
        <x:v>93500</x:v>
      </x:c>
      <x:c r="H7" s="6" t="n">
        <x:v>357000</x:v>
      </x:c>
      <x:c r="I7" s="6" t="n">
        <x:v>165</x:v>
      </x:c>
      <x:c r="J7" s="6" t="n">
        <x:v>0</x:v>
      </x:c>
      <x:c r="K7" s="6" t="n">
        <x:v>0</x:v>
      </x:c>
      <x:c r="L7" s="6" t="n">
        <x:v>10</x:v>
      </x:c>
      <x:c r="M7" s="11" t="n">
        <x:v>0.7430982905982906</x:v>
      </x:c>
      <x:c r="N7" s="6" t="n">
        <x:v>298000</x:v>
      </x:c>
    </x:row>
    <x:row r="8" ht="24" customHeight="1">
      <x:c r="A8" s="2" t="str">
        <x:v>2026-09-22_Day</x:v>
      </x:c>
      <x:c r="B8" s="6" t="str">
        <x:v>デイ</x:v>
      </x:c>
      <x:c r="C8" s="6" t="n">
        <x:v>140000</x:v>
      </x:c>
      <x:c r="D8" s="6" t="n">
        <x:v>700500</x:v>
      </x:c>
      <x:c r="E8" s="6" t="n">
        <x:f>C8-D8</x:f>
        <x:v>-560500</x:v>
      </x:c>
      <x:c r="F8" s="6" t="n">
        <x:f>F7+E8</x:f>
        <x:v>-1177500</x:v>
      </x:c>
      <x:c r="G8" s="6" t="n">
        <x:v>140000</x:v>
      </x:c>
      <x:c r="H8" s="6" t="n">
        <x:v>700500</x:v>
      </x:c>
      <x:c r="I8" s="6" t="n">
        <x:v>127</x:v>
      </x:c>
      <x:c r="J8" s="6" t="n">
        <x:v>0</x:v>
      </x:c>
      <x:c r="K8" s="6" t="n">
        <x:v>0</x:v>
      </x:c>
      <x:c r="L8" s="6" t="n">
        <x:v>10</x:v>
      </x:c>
      <x:c r="M8" s="11" t="n">
        <x:v>0.8003571428571429</x:v>
      </x:c>
      <x:c r="N8" s="6" t="n">
        <x:v>587000</x:v>
      </x:c>
    </x:row>
    <x:row r="9" ht="24" customHeight="1">
      <x:c r="A9" s="2" t="str">
        <x:v>2026-09-22_Night</x:v>
      </x:c>
      <x:c r="B9" s="6" t="str">
        <x:v>ナイト</x:v>
      </x:c>
      <x:c r="C9" s="6" t="n">
        <x:v>335000</x:v>
      </x:c>
      <x:c r="D9" s="6" t="n">
        <x:v>928000</x:v>
      </x:c>
      <x:c r="E9" s="6" t="n">
        <x:f>C9-D9</x:f>
        <x:v>-593000</x:v>
      </x:c>
      <x:c r="F9" s="6" t="n">
        <x:f>F8+E9</x:f>
        <x:v>-1770500</x:v>
      </x:c>
      <x:c r="G9" s="6" t="n">
        <x:v>335000</x:v>
      </x:c>
      <x:c r="H9" s="6" t="n">
        <x:v>928000</x:v>
      </x:c>
      <x:c r="I9" s="6" t="n">
        <x:v>197</x:v>
      </x:c>
      <x:c r="J9" s="6" t="n">
        <x:v>0</x:v>
      </x:c>
      <x:c r="K9" s="6" t="n">
        <x:v>0</x:v>
      </x:c>
      <x:c r="L9" s="6" t="n">
        <x:v>10</x:v>
      </x:c>
      <x:c r="M9" s="11" t="n">
        <x:v>0.8369871794871795</x:v>
      </x:c>
      <x:c r="N9" s="6" t="n">
        <x:v>666000</x:v>
      </x:c>
    </x:row>
    <x:row r="10" ht="24" customHeight="1">
      <x:c r="A10" s="2" t="str">
        <x:v>2026-09-23_Day</x:v>
      </x:c>
      <x:c r="B10" s="6" t="str">
        <x:v>デイ</x:v>
      </x:c>
      <x:c r="C10" s="6" t="n">
        <x:v>200500</x:v>
      </x:c>
      <x:c r="D10" s="6" t="n">
        <x:v>445000</x:v>
      </x:c>
      <x:c r="E10" s="6" t="n">
        <x:f>C10-D10</x:f>
        <x:v>-244500</x:v>
      </x:c>
      <x:c r="F10" s="6" t="n">
        <x:f>F9+E10</x:f>
        <x:v>-2015000</x:v>
      </x:c>
      <x:c r="G10" s="6" t="n">
        <x:v>200500</x:v>
      </x:c>
      <x:c r="H10" s="6" t="n">
        <x:v>445000</x:v>
      </x:c>
      <x:c r="I10" s="6" t="n">
        <x:v>110</x:v>
      </x:c>
      <x:c r="J10" s="6" t="n">
        <x:v>0</x:v>
      </x:c>
      <x:c r="K10" s="6" t="n">
        <x:v>0</x:v>
      </x:c>
      <x:c r="L10" s="6" t="n">
        <x:v>10</x:v>
      </x:c>
      <x:c r="M10" s="11" t="n">
        <x:v>0.7701190476190476</x:v>
      </x:c>
      <x:c r="N10" s="6" t="n">
        <x:v>393000</x:v>
      </x:c>
    </x:row>
    <x:row r="11" ht="24" customHeight="1">
      <x:c r="A11" s="2" t="str">
        <x:v>2026-09-23_Night</x:v>
      </x:c>
      <x:c r="B11" s="6" t="str">
        <x:v>ナイト</x:v>
      </x:c>
      <x:c r="C11" s="6" t="n">
        <x:v>144000</x:v>
      </x:c>
      <x:c r="D11" s="6" t="n">
        <x:v>615000</x:v>
      </x:c>
      <x:c r="E11" s="6" t="n">
        <x:f>C11-D11</x:f>
        <x:v>-471000</x:v>
      </x:c>
      <x:c r="F11" s="6" t="n">
        <x:f>F10+E11</x:f>
        <x:v>-2486000</x:v>
      </x:c>
      <x:c r="G11" s="6" t="n">
        <x:v>144000</x:v>
      </x:c>
      <x:c r="H11" s="6" t="n">
        <x:v>615000</x:v>
      </x:c>
      <x:c r="I11" s="6" t="n">
        <x:v>198</x:v>
      </x:c>
      <x:c r="J11" s="6" t="n">
        <x:v>0</x:v>
      </x:c>
      <x:c r="K11" s="6" t="n">
        <x:v>0</x:v>
      </x:c>
      <x:c r="L11" s="6" t="n">
        <x:v>10</x:v>
      </x:c>
      <x:c r="M11" s="11" t="n">
        <x:v>0.7793162393162393</x:v>
      </x:c>
      <x:c r="N11" s="6" t="n">
        <x:v>475000</x:v>
      </x:c>
    </x:row>
    <x:row r="12" ht="24" customHeight="1">
      <x:c r="A12" s="2" t="str">
        <x:v>2026-09-24_Day</x:v>
      </x:c>
      <x:c r="B12" s="6" t="str">
        <x:v>デイ</x:v>
      </x:c>
      <x:c r="C12" s="6" t="n">
        <x:v>708500</x:v>
      </x:c>
      <x:c r="D12" s="6" t="n">
        <x:v>1093000</x:v>
      </x:c>
      <x:c r="E12" s="6" t="n">
        <x:f>C12-D12</x:f>
        <x:v>-384500</x:v>
      </x:c>
      <x:c r="F12" s="6" t="n">
        <x:f>F11+E12</x:f>
        <x:v>-2870500</x:v>
      </x:c>
      <x:c r="G12" s="6" t="n">
        <x:v>708500</x:v>
      </x:c>
      <x:c r="H12" s="6" t="n">
        <x:v>1093000</x:v>
      </x:c>
      <x:c r="I12" s="6" t="n">
        <x:v>183</x:v>
      </x:c>
      <x:c r="J12" s="6" t="n">
        <x:v>0</x:v>
      </x:c>
      <x:c r="K12" s="6" t="n">
        <x:v>0</x:v>
      </x:c>
      <x:c r="L12" s="6" t="n">
        <x:v>10</x:v>
      </x:c>
      <x:c r="M12" s="11" t="n">
        <x:v>0.8446428571428571</x:v>
      </x:c>
      <x:c r="N12" s="6" t="n">
        <x:v>431000</x:v>
      </x:c>
    </x:row>
    <x:row r="13" ht="24" customHeight="1">
      <x:c r="A13" s="2" t="str">
        <x:v>2026-09-24_Night</x:v>
      </x:c>
      <x:c r="B13" s="6" t="str">
        <x:v>ナイト</x:v>
      </x:c>
      <x:c r="C13" s="6" t="n">
        <x:v>472500</x:v>
      </x:c>
      <x:c r="D13" s="6" t="n">
        <x:v>1136000</x:v>
      </x:c>
      <x:c r="E13" s="6" t="n">
        <x:f>C13-D13</x:f>
        <x:v>-663500</x:v>
      </x:c>
      <x:c r="F13" s="6" t="n">
        <x:f>F12+E13</x:f>
        <x:v>-3534000</x:v>
      </x:c>
      <x:c r="G13" s="6" t="n">
        <x:v>472500</x:v>
      </x:c>
      <x:c r="H13" s="6" t="n">
        <x:v>1136000</x:v>
      </x:c>
      <x:c r="I13" s="6" t="n">
        <x:v>249</x:v>
      </x:c>
      <x:c r="J13" s="6" t="n">
        <x:v>0</x:v>
      </x:c>
      <x:c r="K13" s="6" t="n">
        <x:v>0</x:v>
      </x:c>
      <x:c r="L13" s="6" t="n">
        <x:v>10</x:v>
      </x:c>
      <x:c r="M13" s="11" t="n">
        <x:v>0.8271367521367521</x:v>
      </x:c>
      <x:c r="N13" s="6" t="n">
        <x:v>727500</x:v>
      </x:c>
    </x:row>
    <x:row r="14" ht="24" customHeight="1">
      <x:c r="A14" s="2" t="str">
        <x:v>2026-09-25_Day</x:v>
      </x:c>
      <x:c r="B14" s="6" t="str">
        <x:v>デイ</x:v>
      </x:c>
      <x:c r="C14" s="6" t="n">
        <x:v>429000</x:v>
      </x:c>
      <x:c r="D14" s="6" t="n">
        <x:v>920000</x:v>
      </x:c>
      <x:c r="E14" s="6" t="n">
        <x:f>C14-D14</x:f>
        <x:v>-491000</x:v>
      </x:c>
      <x:c r="F14" s="6" t="n">
        <x:f>F13+E14</x:f>
        <x:v>-4025000</x:v>
      </x:c>
      <x:c r="G14" s="6" t="n">
        <x:v>429000</x:v>
      </x:c>
      <x:c r="H14" s="6" t="n">
        <x:v>920000</x:v>
      </x:c>
      <x:c r="I14" s="6" t="n">
        <x:v>177</x:v>
      </x:c>
      <x:c r="J14" s="6" t="n">
        <x:v>0</x:v>
      </x:c>
      <x:c r="K14" s="6" t="n">
        <x:v>0</x:v>
      </x:c>
      <x:c r="L14" s="6" t="n">
        <x:v>10</x:v>
      </x:c>
      <x:c r="M14" s="11" t="n">
        <x:v>0.8450396825396825</x:v>
      </x:c>
      <x:c r="N14" s="6" t="n">
        <x:v>494000</x:v>
      </x:c>
    </x:row>
    <x:row r="15" ht="24" customHeight="1">
      <x:c r="A15" s="2" t="str">
        <x:v>2026-09-25_Night</x:v>
      </x:c>
      <x:c r="B15" s="6" t="str">
        <x:v>ナイト</x:v>
      </x:c>
      <x:c r="C15" s="6" t="n">
        <x:v>382000</x:v>
      </x:c>
      <x:c r="D15" s="6" t="n">
        <x:v>697000</x:v>
      </x:c>
      <x:c r="E15" s="6" t="n">
        <x:f>C15-D15</x:f>
        <x:v>-315000</x:v>
      </x:c>
      <x:c r="F15" s="6" t="n">
        <x:f>F14+E15</x:f>
        <x:v>-4340000</x:v>
      </x:c>
      <x:c r="G15" s="6" t="n">
        <x:v>382000</x:v>
      </x:c>
      <x:c r="H15" s="6" t="n">
        <x:v>697000</x:v>
      </x:c>
      <x:c r="I15" s="6" t="n">
        <x:v>213</x:v>
      </x:c>
      <x:c r="J15" s="6" t="n">
        <x:v>0</x:v>
      </x:c>
      <x:c r="K15" s="6" t="n">
        <x:v>0</x:v>
      </x:c>
      <x:c r="L15" s="6" t="n">
        <x:v>10</x:v>
      </x:c>
      <x:c r="M15" s="11" t="n">
        <x:v>0.8204059829059829</x:v>
      </x:c>
      <x:c r="N15" s="6" t="n">
        <x:v>396000</x:v>
      </x:c>
    </x:row>
    <x:row r="16" ht="24" customHeight="1">
      <x:c r="A16" s="2" t="str">
        <x:v>2026-09-28_Day</x:v>
      </x:c>
      <x:c r="B16" s="6" t="str">
        <x:v>デイ</x:v>
      </x:c>
      <x:c r="C16" s="6" t="n">
        <x:v>268500</x:v>
      </x:c>
      <x:c r="D16" s="6" t="n">
        <x:v>967500</x:v>
      </x:c>
      <x:c r="E16" s="6" t="n">
        <x:f>C16-D16</x:f>
        <x:v>-699000</x:v>
      </x:c>
      <x:c r="F16" s="6" t="n">
        <x:f>F15+E16</x:f>
        <x:v>-5039000</x:v>
      </x:c>
      <x:c r="G16" s="6" t="n">
        <x:v>268500</x:v>
      </x:c>
      <x:c r="H16" s="6" t="n">
        <x:v>967500</x:v>
      </x:c>
      <x:c r="I16" s="6" t="n">
        <x:v>176</x:v>
      </x:c>
      <x:c r="J16" s="6" t="n">
        <x:v>0</x:v>
      </x:c>
      <x:c r="K16" s="6" t="n">
        <x:v>0</x:v>
      </x:c>
      <x:c r="L16" s="6" t="n">
        <x:v>10</x:v>
      </x:c>
      <x:c r="M16" s="11" t="n">
        <x:v>0.8345238095238096</x:v>
      </x:c>
      <x:c r="N16" s="6" t="n">
        <x:v>747500</x:v>
      </x:c>
    </x:row>
    <x:row r="17" ht="24" customHeight="1">
      <x:c r="A17" s="2" t="str">
        <x:v>2026-09-28_Night</x:v>
      </x:c>
      <x:c r="B17" s="6" t="str">
        <x:v>ナイト</x:v>
      </x:c>
      <x:c r="C17" s="6" t="n">
        <x:v>384500</x:v>
      </x:c>
      <x:c r="D17" s="6" t="n">
        <x:v>1022500</x:v>
      </x:c>
      <x:c r="E17" s="6" t="n">
        <x:f>C17-D17</x:f>
        <x:v>-638000</x:v>
      </x:c>
      <x:c r="F17" s="6" t="n">
        <x:f>F16+E17</x:f>
        <x:v>-5677000</x:v>
      </x:c>
      <x:c r="G17" s="6" t="n">
        <x:v>384500</x:v>
      </x:c>
      <x:c r="H17" s="6" t="n">
        <x:v>1022500</x:v>
      </x:c>
      <x:c r="I17" s="6" t="n">
        <x:v>236</x:v>
      </x:c>
      <x:c r="J17" s="6" t="n">
        <x:v>0</x:v>
      </x:c>
      <x:c r="K17" s="6" t="n">
        <x:v>0</x:v>
      </x:c>
      <x:c r="L17" s="6" t="n">
        <x:v>10</x:v>
      </x:c>
      <x:c r="M17" s="11" t="n">
        <x:v>0.8428418803418803</x:v>
      </x:c>
      <x:c r="N17" s="6" t="n">
        <x:v>661000</x:v>
      </x:c>
    </x:row>
    <x:row r="18" ht="24" customHeight="1">
      <x:c r="A18" s="2" t="str">
        <x:v>2026-09-29_Day</x:v>
      </x:c>
      <x:c r="B18" s="6" t="str">
        <x:v>デイ</x:v>
      </x:c>
      <x:c r="C18" s="6" t="n">
        <x:v>430000</x:v>
      </x:c>
      <x:c r="D18" s="6" t="n">
        <x:v>1219000</x:v>
      </x:c>
      <x:c r="E18" s="6" t="n">
        <x:f>C18-D18</x:f>
        <x:v>-789000</x:v>
      </x:c>
      <x:c r="F18" s="6" t="n">
        <x:f>F17+E18</x:f>
        <x:v>-6466000</x:v>
      </x:c>
      <x:c r="G18" s="6" t="n">
        <x:v>430000</x:v>
      </x:c>
      <x:c r="H18" s="6" t="n">
        <x:v>1219000</x:v>
      </x:c>
      <x:c r="I18" s="6" t="n">
        <x:v>195</x:v>
      </x:c>
      <x:c r="J18" s="6" t="n">
        <x:v>0</x:v>
      </x:c>
      <x:c r="K18" s="6" t="n">
        <x:v>0</x:v>
      </x:c>
      <x:c r="L18" s="6" t="n">
        <x:v>10</x:v>
      </x:c>
      <x:c r="M18" s="11" t="n">
        <x:v>0.8403571428571428</x:v>
      </x:c>
      <x:c r="N18" s="6" t="n">
        <x:v>797000</x:v>
      </x:c>
    </x:row>
    <x:row r="19" ht="24" customHeight="1">
      <x:c r="A19" s="2" t="str">
        <x:v>2026-09-29_Night</x:v>
      </x:c>
      <x:c r="B19" s="6" t="str">
        <x:v>ナイト</x:v>
      </x:c>
      <x:c r="C19" s="6" t="n">
        <x:v>227500</x:v>
      </x:c>
      <x:c r="D19" s="6" t="n">
        <x:v>854500</x:v>
      </x:c>
      <x:c r="E19" s="6" t="n">
        <x:f>C19-D19</x:f>
        <x:v>-627000</x:v>
      </x:c>
      <x:c r="F19" s="6" t="n">
        <x:f>F18+E19</x:f>
        <x:v>-7093000</x:v>
      </x:c>
      <x:c r="G19" s="6" t="n">
        <x:v>227500</x:v>
      </x:c>
      <x:c r="H19" s="6" t="n">
        <x:v>854500</x:v>
      </x:c>
      <x:c r="I19" s="6" t="n">
        <x:v>234</x:v>
      </x:c>
      <x:c r="J19" s="6" t="n">
        <x:v>0</x:v>
      </x:c>
      <x:c r="K19" s="6" t="n">
        <x:v>0</x:v>
      </x:c>
      <x:c r="L19" s="6" t="n">
        <x:v>10</x:v>
      </x:c>
      <x:c r="M19" s="11" t="n">
        <x:v>0.8433119658119658</x:v>
      </x:c>
      <x:c r="N19" s="6" t="n">
        <x:v>636000</x:v>
      </x:c>
    </x:row>
    <x:row r="20" ht="24" customHeight="1">
      <x:c r="A20" s="2" t="str">
        <x:v>2026-09-30_Day</x:v>
      </x:c>
      <x:c r="B20" s="6" t="str">
        <x:v>デイ</x:v>
      </x:c>
      <x:c r="C20" s="6" t="n">
        <x:v>355500</x:v>
      </x:c>
      <x:c r="D20" s="6" t="n">
        <x:v>898000</x:v>
      </x:c>
      <x:c r="E20" s="6" t="n">
        <x:f>C20-D20</x:f>
        <x:v>-542500</x:v>
      </x:c>
      <x:c r="F20" s="6" t="n">
        <x:f>F19+E20</x:f>
        <x:v>-7635500</x:v>
      </x:c>
      <x:c r="G20" s="6" t="n">
        <x:v>355500</x:v>
      </x:c>
      <x:c r="H20" s="6" t="n">
        <x:v>898000</x:v>
      </x:c>
      <x:c r="I20" s="6" t="n">
        <x:v>179</x:v>
      </x:c>
      <x:c r="J20" s="6" t="n">
        <x:v>0</x:v>
      </x:c>
      <x:c r="K20" s="6" t="n">
        <x:v>0</x:v>
      </x:c>
      <x:c r="L20" s="6" t="n">
        <x:v>10</x:v>
      </x:c>
      <x:c r="M20" s="11" t="n">
        <x:v>0.856904761904762</x:v>
      </x:c>
      <x:c r="N20" s="6" t="n">
        <x:v>558500</x:v>
      </x:c>
    </x:row>
    <x:row r="21" ht="24" customHeight="1">
      <x:c r="A21" s="2" t="str">
        <x:v>2026-09-30_Night</x:v>
      </x:c>
      <x:c r="B21" s="6" t="str">
        <x:v>ナイト</x:v>
      </x:c>
      <x:c r="C21" s="6" t="n">
        <x:v>379000</x:v>
      </x:c>
      <x:c r="D21" s="6" t="n">
        <x:v>1150500</x:v>
      </x:c>
      <x:c r="E21" s="6" t="n">
        <x:f>C21-D21</x:f>
        <x:v>-771500</x:v>
      </x:c>
      <x:c r="F21" s="6" t="n">
        <x:f>F20+E21</x:f>
        <x:v>-8407000</x:v>
      </x:c>
      <x:c r="G21" s="6" t="n">
        <x:v>379000</x:v>
      </x:c>
      <x:c r="H21" s="6" t="n">
        <x:v>1150500</x:v>
      </x:c>
      <x:c r="I21" s="6" t="n">
        <x:v>259</x:v>
      </x:c>
      <x:c r="J21" s="6" t="n">
        <x:v>0</x:v>
      </x:c>
      <x:c r="K21" s="6" t="n">
        <x:v>0</x:v>
      </x:c>
      <x:c r="L21" s="6" t="n">
        <x:v>10</x:v>
      </x:c>
      <x:c r="M21" s="11" t="n">
        <x:v>0.8327564102564102</x:v>
      </x:c>
      <x:c r="N21" s="6" t="n">
        <x:v>833000</x:v>
      </x:c>
    </x:row>
    <x:row r="22" ht="24" customHeight="1">
      <x:c r="A22" s="2" t="str">
        <x:v>2026-10-01_Day</x:v>
      </x:c>
      <x:c r="B22" s="6" t="str">
        <x:v>デイ</x:v>
      </x:c>
      <x:c r="C22" s="6" t="n">
        <x:v>328000</x:v>
      </x:c>
      <x:c r="D22" s="6" t="n">
        <x:v>911500</x:v>
      </x:c>
      <x:c r="E22" s="6" t="n">
        <x:f>C22-D22</x:f>
        <x:v>-583500</x:v>
      </x:c>
      <x:c r="F22" s="6" t="n">
        <x:f>F21+E22</x:f>
        <x:v>-8990500</x:v>
      </x:c>
      <x:c r="G22" s="6" t="n">
        <x:v>328000</x:v>
      </x:c>
      <x:c r="H22" s="6" t="n">
        <x:v>911500</x:v>
      </x:c>
      <x:c r="I22" s="6" t="n">
        <x:v>171</x:v>
      </x:c>
      <x:c r="J22" s="6" t="n">
        <x:v>0</x:v>
      </x:c>
      <x:c r="K22" s="6" t="n">
        <x:v>0</x:v>
      </x:c>
      <x:c r="L22" s="6" t="n">
        <x:v>10</x:v>
      </x:c>
      <x:c r="M22" s="11" t="n">
        <x:v>0.8378968253968254</x:v>
      </x:c>
      <x:c r="N22" s="6" t="n">
        <x:v>603000</x:v>
      </x:c>
    </x:row>
    <x:row r="23" ht="24" customHeight="1">
      <x:c r="A23" s="2" t="str">
        <x:v>2026-10-01_Night</x:v>
      </x:c>
      <x:c r="B23" s="6" t="str">
        <x:v>ナイト</x:v>
      </x:c>
      <x:c r="C23" s="6" t="n">
        <x:v>458500</x:v>
      </x:c>
      <x:c r="D23" s="6" t="n">
        <x:v>1421000</x:v>
      </x:c>
      <x:c r="E23" s="6" t="n">
        <x:f>C23-D23</x:f>
        <x:v>-962500</x:v>
      </x:c>
      <x:c r="F23" s="6" t="n">
        <x:f>F22+E23</x:f>
        <x:v>-9953000</x:v>
      </x:c>
      <x:c r="G23" s="6" t="n">
        <x:v>458500</x:v>
      </x:c>
      <x:c r="H23" s="6" t="n">
        <x:v>1421000</x:v>
      </x:c>
      <x:c r="I23" s="6" t="n">
        <x:v>282</x:v>
      </x:c>
      <x:c r="J23" s="6" t="n">
        <x:v>0</x:v>
      </x:c>
      <x:c r="K23" s="6" t="n">
        <x:v>0</x:v>
      </x:c>
      <x:c r="L23" s="6" t="n">
        <x:v>10</x:v>
      </x:c>
      <x:c r="M23" s="11" t="n">
        <x:v>0.8457905982905983</x:v>
      </x:c>
      <x:c r="N23" s="6" t="n">
        <x:v>971500</x:v>
      </x:c>
    </x:row>
    <x:row r="24" ht="24" customHeight="1">
      <x:c r="A24" s="2" t="str">
        <x:v>2026-10-02_Day</x:v>
      </x:c>
      <x:c r="B24" s="6" t="str">
        <x:v>デイ</x:v>
      </x:c>
      <x:c r="C24" s="6" t="n">
        <x:v>297500</x:v>
      </x:c>
      <x:c r="D24" s="6" t="n">
        <x:v>855000</x:v>
      </x:c>
      <x:c r="E24" s="6" t="n">
        <x:f>C24-D24</x:f>
        <x:v>-557500</x:v>
      </x:c>
      <x:c r="F24" s="6" t="n">
        <x:f>F23+E24</x:f>
        <x:v>-10510500</x:v>
      </x:c>
      <x:c r="G24" s="6" t="n">
        <x:v>297500</x:v>
      </x:c>
      <x:c r="H24" s="6" t="n">
        <x:v>855000</x:v>
      </x:c>
      <x:c r="I24" s="6" t="n">
        <x:v>165</x:v>
      </x:c>
      <x:c r="J24" s="6" t="n">
        <x:v>0</x:v>
      </x:c>
      <x:c r="K24" s="6" t="n">
        <x:v>0</x:v>
      </x:c>
      <x:c r="L24" s="6" t="n">
        <x:v>10</x:v>
      </x:c>
      <x:c r="M24" s="11" t="n">
        <x:v>0.8547619047619047</x:v>
      </x:c>
      <x:c r="N24" s="6" t="n">
        <x:v>606500</x:v>
      </x:c>
    </x:row>
    <x:row r="25" ht="24" customHeight="1">
      <x:c r="A25" s="2" t="str">
        <x:v>2026-10-02_Night</x:v>
      </x:c>
      <x:c r="B25" s="6" t="str">
        <x:v>ナイト</x:v>
      </x:c>
      <x:c r="C25" s="6" t="n">
        <x:v>552000</x:v>
      </x:c>
      <x:c r="D25" s="6" t="n">
        <x:v>1174000</x:v>
      </x:c>
      <x:c r="E25" s="6" t="n">
        <x:f>C25-D25</x:f>
        <x:v>-622000</x:v>
      </x:c>
      <x:c r="F25" s="6" t="n">
        <x:f>F24+E25</x:f>
        <x:v>-11132500</x:v>
      </x:c>
      <x:c r="G25" s="6" t="n">
        <x:v>552000</x:v>
      </x:c>
      <x:c r="H25" s="6" t="n">
        <x:v>1174000</x:v>
      </x:c>
      <x:c r="I25" s="6" t="n">
        <x:v>265</x:v>
      </x:c>
      <x:c r="J25" s="6" t="n">
        <x:v>0</x:v>
      </x:c>
      <x:c r="K25" s="6" t="n">
        <x:v>0</x:v>
      </x:c>
      <x:c r="L25" s="6" t="n">
        <x:v>10</x:v>
      </x:c>
      <x:c r="M25" s="11" t="n">
        <x:v>0.8322863247863248</x:v>
      </x:c>
      <x:c r="N25" s="6" t="n">
        <x:v>689500</x:v>
      </x:c>
    </x:row>
    <x:row r="26" ht="24" customHeight="1">
      <x:c r="A26" s="2" t="str">
        <x:v>2026-10-05_Day</x:v>
      </x:c>
      <x:c r="B26" s="6" t="str">
        <x:v>デイ</x:v>
      </x:c>
      <x:c r="C26" s="6" t="n">
        <x:v>275000</x:v>
      </x:c>
      <x:c r="D26" s="6" t="n">
        <x:v>678000</x:v>
      </x:c>
      <x:c r="E26" s="6" t="n">
        <x:f>C26-D26</x:f>
        <x:v>-403000</x:v>
      </x:c>
      <x:c r="F26" s="6" t="n">
        <x:f>F25+E26</x:f>
        <x:v>-11535500</x:v>
      </x:c>
      <x:c r="G26" s="6" t="n">
        <x:v>275000</x:v>
      </x:c>
      <x:c r="H26" s="6" t="n">
        <x:v>678000</x:v>
      </x:c>
      <x:c r="I26" s="6" t="n">
        <x:v>159</x:v>
      </x:c>
      <x:c r="J26" s="6" t="n">
        <x:v>0</x:v>
      </x:c>
      <x:c r="K26" s="6" t="n">
        <x:v>0</x:v>
      </x:c>
      <x:c r="L26" s="6" t="n">
        <x:v>10</x:v>
      </x:c>
      <x:c r="M26" s="11" t="n">
        <x:v>0.8425396825396826</x:v>
      </x:c>
      <x:c r="N26" s="6" t="n">
        <x:v>458500</x:v>
      </x:c>
    </x:row>
    <x:row r="27" ht="24" customHeight="1">
      <x:c r="A27" s="2" t="str">
        <x:v>2026-10-05_Night</x:v>
      </x:c>
      <x:c r="B27" s="6" t="str">
        <x:v>ナイト</x:v>
      </x:c>
      <x:c r="C27" s="6" t="n">
        <x:v>301000</x:v>
      </x:c>
      <x:c r="D27" s="6" t="n">
        <x:v>815000</x:v>
      </x:c>
      <x:c r="E27" s="6" t="n">
        <x:f>C27-D27</x:f>
        <x:v>-514000</x:v>
      </x:c>
      <x:c r="F27" s="6" t="n">
        <x:f>F26+E27</x:f>
        <x:v>-12049500</x:v>
      </x:c>
      <x:c r="G27" s="6" t="n">
        <x:v>301000</x:v>
      </x:c>
      <x:c r="H27" s="6" t="n">
        <x:v>815000</x:v>
      </x:c>
      <x:c r="I27" s="6" t="n">
        <x:v>231</x:v>
      </x:c>
      <x:c r="J27" s="6" t="n">
        <x:v>0</x:v>
      </x:c>
      <x:c r="K27" s="6" t="n">
        <x:v>0</x:v>
      </x:c>
      <x:c r="L27" s="6" t="n">
        <x:v>10</x:v>
      </x:c>
      <x:c r="M27" s="11" t="n">
        <x:v>0.8236538461538462</x:v>
      </x:c>
      <x:c r="N27" s="6" t="n">
        <x:v>548500</x:v>
      </x:c>
    </x:row>
    <x:row r="28" ht="24" customHeight="1">
      <x:c r="A28" s="2" t="str">
        <x:v>2026-10-06_Day</x:v>
      </x:c>
      <x:c r="B28" s="6" t="str">
        <x:v>デイ</x:v>
      </x:c>
      <x:c r="C28" s="6" t="n">
        <x:v>173500</x:v>
      </x:c>
      <x:c r="D28" s="6" t="n">
        <x:v>440500</x:v>
      </x:c>
      <x:c r="E28" s="6" t="n">
        <x:f>C28-D28</x:f>
        <x:v>-267000</x:v>
      </x:c>
      <x:c r="F28" s="6" t="n">
        <x:f>F27+E28</x:f>
        <x:v>-12316500</x:v>
      </x:c>
      <x:c r="G28" s="6" t="n">
        <x:v>173500</x:v>
      </x:c>
      <x:c r="H28" s="6" t="n">
        <x:v>440500</x:v>
      </x:c>
      <x:c r="I28" s="6" t="n">
        <x:v>155</x:v>
      </x:c>
      <x:c r="J28" s="6" t="n">
        <x:v>0</x:v>
      </x:c>
      <x:c r="K28" s="6" t="n">
        <x:v>0</x:v>
      </x:c>
      <x:c r="L28" s="6" t="n">
        <x:v>10</x:v>
      </x:c>
      <x:c r="M28" s="11" t="n">
        <x:v>0.8350793650793651</x:v>
      </x:c>
      <x:c r="N28" s="6" t="n">
        <x:v>269500</x:v>
      </x:c>
    </x:row>
    <x:row r="29" ht="24" customHeight="1">
      <x:c r="A29" s="2" t="str">
        <x:v>2026-10-06_Night</x:v>
      </x:c>
      <x:c r="B29" s="6" t="str">
        <x:v>ナイト</x:v>
      </x:c>
      <x:c r="C29" s="6" t="n">
        <x:v>116000</x:v>
      </x:c>
      <x:c r="D29" s="6" t="n">
        <x:v>365500</x:v>
      </x:c>
      <x:c r="E29" s="6" t="n">
        <x:f>C29-D29</x:f>
        <x:v>-249500</x:v>
      </x:c>
      <x:c r="F29" s="6" t="n">
        <x:f>F28+E29</x:f>
        <x:v>-12566000</x:v>
      </x:c>
      <x:c r="G29" s="6" t="n">
        <x:v>116000</x:v>
      </x:c>
      <x:c r="H29" s="6" t="n">
        <x:v>365500</x:v>
      </x:c>
      <x:c r="I29" s="6" t="n">
        <x:v>218</x:v>
      </x:c>
      <x:c r="J29" s="6" t="n">
        <x:v>0</x:v>
      </x:c>
      <x:c r="K29" s="6" t="n">
        <x:v>0</x:v>
      </x:c>
      <x:c r="L29" s="6" t="n">
        <x:v>10</x:v>
      </x:c>
      <x:c r="M29" s="11" t="n">
        <x:v>0.7907905982905983</x:v>
      </x:c>
      <x:c r="N29" s="6" t="n">
        <x:v>257500</x:v>
      </x:c>
    </x:row>
    <x:row r="30" ht="24" customHeight="1">
      <x:c r="A30" s="2" t="str">
        <x:v>2026-10-07_Day</x:v>
      </x:c>
      <x:c r="B30" s="6" t="str">
        <x:v>デイ</x:v>
      </x:c>
      <x:c r="C30" s="6" t="n">
        <x:v>248000</x:v>
      </x:c>
      <x:c r="D30" s="6" t="n">
        <x:v>461500</x:v>
      </x:c>
      <x:c r="E30" s="6" t="n">
        <x:f>C30-D30</x:f>
        <x:v>-213500</x:v>
      </x:c>
      <x:c r="F30" s="6" t="n">
        <x:f>F29+E30</x:f>
        <x:v>-12779500</x:v>
      </x:c>
      <x:c r="G30" s="6" t="n">
        <x:v>248000</x:v>
      </x:c>
      <x:c r="H30" s="6" t="n">
        <x:v>461500</x:v>
      </x:c>
      <x:c r="I30" s="6" t="n">
        <x:v>135</x:v>
      </x:c>
      <x:c r="J30" s="6" t="n">
        <x:v>0</x:v>
      </x:c>
      <x:c r="K30" s="6" t="n">
        <x:v>0</x:v>
      </x:c>
      <x:c r="L30" s="6" t="n">
        <x:v>10</x:v>
      </x:c>
      <x:c r="M30" s="11" t="n">
        <x:v>0.8369444444444445</x:v>
      </x:c>
      <x:c r="N30" s="6" t="n">
        <x:v>312500</x:v>
      </x:c>
    </x:row>
    <x:row r="31" ht="24" customHeight="1">
      <x:c r="A31" s="2" t="str">
        <x:v>2026-10-07_Night</x:v>
      </x:c>
      <x:c r="B31" s="6" t="str">
        <x:v>ナイト</x:v>
      </x:c>
      <x:c r="C31" s="6" t="n">
        <x:v>181500</x:v>
      </x:c>
      <x:c r="D31" s="6" t="n">
        <x:v>548000</x:v>
      </x:c>
      <x:c r="E31" s="6" t="n">
        <x:f>C31-D31</x:f>
        <x:v>-366500</x:v>
      </x:c>
      <x:c r="F31" s="6" t="n">
        <x:f>F30+E31</x:f>
        <x:v>-13146000</x:v>
      </x:c>
      <x:c r="G31" s="6" t="n">
        <x:v>181500</x:v>
      </x:c>
      <x:c r="H31" s="6" t="n">
        <x:v>548000</x:v>
      </x:c>
      <x:c r="I31" s="6" t="n">
        <x:v>220</x:v>
      </x:c>
      <x:c r="J31" s="6" t="n">
        <x:v>0</x:v>
      </x:c>
      <x:c r="K31" s="6" t="n">
        <x:v>0</x:v>
      </x:c>
      <x:c r="L31" s="6" t="n">
        <x:v>10</x:v>
      </x:c>
      <x:c r="M31" s="11" t="n">
        <x:v>0.8102350427350428</x:v>
      </x:c>
      <x:c r="N31" s="6" t="n">
        <x:v>370500</x:v>
      </x:c>
    </x:row>
    <x:row r="32" ht="24" customHeight="1">
      <x:c r="A32" s="2" t="str">
        <x:v>2026-10-08_Day</x:v>
      </x:c>
      <x:c r="B32" s="6" t="str">
        <x:v>デイ</x:v>
      </x:c>
      <x:c r="C32" s="6" t="n">
        <x:v>477500</x:v>
      </x:c>
      <x:c r="D32" s="6" t="n">
        <x:v>427500</x:v>
      </x:c>
      <x:c r="E32" s="6" t="n">
        <x:f>C32-D32</x:f>
        <x:v>50000</x:v>
      </x:c>
      <x:c r="F32" s="6" t="n">
        <x:f>F31+E32</x:f>
        <x:v>-13096000</x:v>
      </x:c>
      <x:c r="G32" s="6" t="n">
        <x:v>477500</x:v>
      </x:c>
      <x:c r="H32" s="6" t="n">
        <x:v>427500</x:v>
      </x:c>
      <x:c r="I32" s="6" t="n">
        <x:v>154</x:v>
      </x:c>
      <x:c r="J32" s="6" t="n">
        <x:v>0</x:v>
      </x:c>
      <x:c r="K32" s="6" t="n">
        <x:v>0</x:v>
      </x:c>
      <x:c r="L32" s="6" t="n">
        <x:v>10</x:v>
      </x:c>
      <x:c r="M32" s="11" t="n">
        <x:v>0.8439285714285715</x:v>
      </x:c>
      <x:c r="N32" s="6" t="n">
        <x:v>219000</x:v>
      </x:c>
    </x:row>
    <x:row r="33" ht="24" customHeight="1">
      <x:c r="A33" s="2" t="str">
        <x:v>2026-10-08_Night</x:v>
      </x:c>
      <x:c r="B33" s="6" t="str">
        <x:v>ナイト</x:v>
      </x:c>
      <x:c r="C33" s="6" t="n">
        <x:v>475500</x:v>
      </x:c>
      <x:c r="D33" s="6" t="n">
        <x:v>1009500</x:v>
      </x:c>
      <x:c r="E33" s="6" t="n">
        <x:f>C33-D33</x:f>
        <x:v>-534000</x:v>
      </x:c>
      <x:c r="F33" s="6" t="n">
        <x:f>F32+E33</x:f>
        <x:v>-13630000</x:v>
      </x:c>
      <x:c r="G33" s="6" t="n">
        <x:v>475500</x:v>
      </x:c>
      <x:c r="H33" s="6" t="n">
        <x:v>1009500</x:v>
      </x:c>
      <x:c r="I33" s="6" t="n">
        <x:v>268</x:v>
      </x:c>
      <x:c r="J33" s="6" t="n">
        <x:v>0</x:v>
      </x:c>
      <x:c r="K33" s="6" t="n">
        <x:v>0</x:v>
      </x:c>
      <x:c r="L33" s="6" t="n">
        <x:v>10</x:v>
      </x:c>
      <x:c r="M33" s="11" t="n">
        <x:v>0.8189957264957265</x:v>
      </x:c>
      <x:c r="N33" s="6" t="n">
        <x:v>564500</x:v>
      </x:c>
    </x:row>
    <x:row r="34" ht="24" customHeight="1">
      <x:c r="A34" s="2" t="str">
        <x:v>2026-10-09_Day</x:v>
      </x:c>
      <x:c r="B34" s="6" t="str">
        <x:v>デイ</x:v>
      </x:c>
      <x:c r="C34" s="6" t="n">
        <x:v>397500</x:v>
      </x:c>
      <x:c r="D34" s="6" t="n">
        <x:v>1013500</x:v>
      </x:c>
      <x:c r="E34" s="6" t="n">
        <x:f>C34-D34</x:f>
        <x:v>-616000</x:v>
      </x:c>
      <x:c r="F34" s="6" t="n">
        <x:f>F33+E34</x:f>
        <x:v>-14246000</x:v>
      </x:c>
      <x:c r="G34" s="6" t="n">
        <x:v>397500</x:v>
      </x:c>
      <x:c r="H34" s="6" t="n">
        <x:v>1013500</x:v>
      </x:c>
      <x:c r="I34" s="6" t="n">
        <x:v>156</x:v>
      </x:c>
      <x:c r="J34" s="6" t="n">
        <x:v>0</x:v>
      </x:c>
      <x:c r="K34" s="6" t="n">
        <x:v>0</x:v>
      </x:c>
      <x:c r="L34" s="6" t="n">
        <x:v>10</x:v>
      </x:c>
      <x:c r="M34" s="11" t="n">
        <x:v>0.8473015873015873</x:v>
      </x:c>
      <x:c r="N34" s="6" t="n">
        <x:v>652000</x:v>
      </x:c>
    </x:row>
    <x:row r="35" ht="24" customHeight="1">
      <x:c r="A35" s="2" t="str">
        <x:v>2026-10-09_Night</x:v>
      </x:c>
      <x:c r="B35" s="6" t="str">
        <x:v>ナイト</x:v>
      </x:c>
      <x:c r="C35" s="6" t="n">
        <x:v>110000</x:v>
      </x:c>
      <x:c r="D35" s="6" t="n">
        <x:v>532500</x:v>
      </x:c>
      <x:c r="E35" s="6" t="n">
        <x:f>C35-D35</x:f>
        <x:v>-422500</x:v>
      </x:c>
      <x:c r="F35" s="6" t="n">
        <x:f>F34+E35</x:f>
        <x:v>-14668500</x:v>
      </x:c>
      <x:c r="G35" s="6" t="n">
        <x:v>110000</x:v>
      </x:c>
      <x:c r="H35" s="6" t="n">
        <x:v>532500</x:v>
      </x:c>
      <x:c r="I35" s="6" t="n">
        <x:v>206</x:v>
      </x:c>
      <x:c r="J35" s="6" t="n">
        <x:v>0</x:v>
      </x:c>
      <x:c r="K35" s="6" t="n">
        <x:v>0</x:v>
      </x:c>
      <x:c r="L35" s="6" t="n">
        <x:v>10</x:v>
      </x:c>
      <x:c r="M35" s="11" t="n">
        <x:v>0.7847008547008547</x:v>
      </x:c>
      <x:c r="N35" s="6" t="n">
        <x:v>425000</x:v>
      </x:c>
    </x:row>
    <x:row r="36" ht="24" customHeight="1">
      <x:c r="A36" s="2" t="str">
        <x:v>2026-10-12_Day</x:v>
      </x:c>
      <x:c r="B36" s="6" t="str">
        <x:v>デイ</x:v>
      </x:c>
      <x:c r="C36" s="6" t="n">
        <x:v>55000</x:v>
      </x:c>
      <x:c r="D36" s="6" t="n">
        <x:v>282000</x:v>
      </x:c>
      <x:c r="E36" s="6" t="n">
        <x:f>C36-D36</x:f>
        <x:v>-227000</x:v>
      </x:c>
      <x:c r="F36" s="6" t="n">
        <x:f>F35+E36</x:f>
        <x:v>-14895500</x:v>
      </x:c>
      <x:c r="G36" s="6" t="n">
        <x:v>55000</x:v>
      </x:c>
      <x:c r="H36" s="6" t="n">
        <x:v>282000</x:v>
      </x:c>
      <x:c r="I36" s="6" t="n">
        <x:v>102</x:v>
      </x:c>
      <x:c r="J36" s="6" t="n">
        <x:v>0</x:v>
      </x:c>
      <x:c r="K36" s="6" t="n">
        <x:v>0</x:v>
      </x:c>
      <x:c r="L36" s="6" t="n">
        <x:v>10</x:v>
      </x:c>
      <x:c r="M36" s="11" t="n">
        <x:v>0.775079365079365</x:v>
      </x:c>
      <x:c r="N36" s="6" t="n">
        <x:v>227000</x:v>
      </x:c>
    </x:row>
    <x:row r="37" ht="24" customHeight="1">
      <x:c r="A37" s="2" t="str">
        <x:v>2026-10-12_Night</x:v>
      </x:c>
      <x:c r="B37" s="6" t="str">
        <x:v>ナイト</x:v>
      </x:c>
      <x:c r="C37" s="6" t="n">
        <x:v>70500</x:v>
      </x:c>
      <x:c r="D37" s="6" t="n">
        <x:v>274000</x:v>
      </x:c>
      <x:c r="E37" s="6" t="n">
        <x:f>C37-D37</x:f>
        <x:v>-203500</x:v>
      </x:c>
      <x:c r="F37" s="6" t="n">
        <x:f>F36+E37</x:f>
        <x:v>-15099000</x:v>
      </x:c>
      <x:c r="G37" s="6" t="n">
        <x:v>70500</x:v>
      </x:c>
      <x:c r="H37" s="6" t="n">
        <x:v>274000</x:v>
      </x:c>
      <x:c r="I37" s="6" t="n">
        <x:v>158</x:v>
      </x:c>
      <x:c r="J37" s="6" t="n">
        <x:v>0</x:v>
      </x:c>
      <x:c r="K37" s="6" t="n">
        <x:v>0</x:v>
      </x:c>
      <x:c r="L37" s="6" t="n">
        <x:v>10</x:v>
      </x:c>
      <x:c r="M37" s="11" t="n">
        <x:v>0.736965811965812</x:v>
      </x:c>
      <x:c r="N37" s="6" t="n">
        <x:v>204000</x:v>
      </x:c>
    </x:row>
    <x:row r="38" ht="24" customHeight="1">
      <x:c r="A38" s="2" t="str">
        <x:v>2026-10-13_Day</x:v>
      </x:c>
      <x:c r="B38" s="6" t="str">
        <x:v>デイ</x:v>
      </x:c>
      <x:c r="C38" s="6" t="n">
        <x:v>335000</x:v>
      </x:c>
      <x:c r="D38" s="6" t="n">
        <x:v>1138000</x:v>
      </x:c>
      <x:c r="E38" s="6" t="n">
        <x:f>C38-D38</x:f>
        <x:v>-803000</x:v>
      </x:c>
      <x:c r="F38" s="6" t="n">
        <x:f>F37+E38</x:f>
        <x:v>-15902000</x:v>
      </x:c>
      <x:c r="G38" s="6" t="n">
        <x:v>335000</x:v>
      </x:c>
      <x:c r="H38" s="6" t="n">
        <x:v>1138000</x:v>
      </x:c>
      <x:c r="I38" s="6" t="n">
        <x:v>186</x:v>
      </x:c>
      <x:c r="J38" s="6" t="n">
        <x:v>0</x:v>
      </x:c>
      <x:c r="K38" s="6" t="n">
        <x:v>0</x:v>
      </x:c>
      <x:c r="L38" s="6" t="n">
        <x:v>10</x:v>
      </x:c>
      <x:c r="M38" s="11" t="n">
        <x:v>0.8378571428571429</x:v>
      </x:c>
      <x:c r="N38" s="6" t="n">
        <x:v>810000</x:v>
      </x:c>
    </x:row>
    <x:row r="39" ht="24" customHeight="1">
      <x:c r="A39" s="2" t="str">
        <x:v>2026-10-13_Night</x:v>
      </x:c>
      <x:c r="B39" s="6" t="str">
        <x:v>ナイト</x:v>
      </x:c>
      <x:c r="C39" s="6" t="n">
        <x:v>83500</x:v>
      </x:c>
      <x:c r="D39" s="6" t="n">
        <x:v>322000</x:v>
      </x:c>
      <x:c r="E39" s="6" t="n">
        <x:f>C39-D39</x:f>
        <x:v>-238500</x:v>
      </x:c>
      <x:c r="F39" s="6" t="n">
        <x:f>F38+E39</x:f>
        <x:v>-16140500</x:v>
      </x:c>
      <x:c r="G39" s="6" t="n">
        <x:v>83500</x:v>
      </x:c>
      <x:c r="H39" s="6" t="n">
        <x:v>322000</x:v>
      </x:c>
      <x:c r="I39" s="6" t="n">
        <x:v>183</x:v>
      </x:c>
      <x:c r="J39" s="6" t="n">
        <x:v>0</x:v>
      </x:c>
      <x:c r="K39" s="6" t="n">
        <x:v>0</x:v>
      </x:c>
      <x:c r="L39" s="6" t="n">
        <x:v>10</x:v>
      </x:c>
      <x:c r="M39" s="11" t="n">
        <x:v>0.7702136752136752</x:v>
      </x:c>
      <x:c r="N39" s="6" t="n">
        <x:v>242500</x:v>
      </x:c>
    </x:row>
    <x:row r="40" ht="24" customHeight="1">
      <x:c r="A40" s="2" t="str">
        <x:v>2026-10-14_Day</x:v>
      </x:c>
      <x:c r="B40" s="6" t="str">
        <x:v>デイ</x:v>
      </x:c>
      <x:c r="C40" s="6" t="n">
        <x:v>162500</x:v>
      </x:c>
      <x:c r="D40" s="6" t="n">
        <x:v>813000</x:v>
      </x:c>
      <x:c r="E40" s="6" t="n">
        <x:f>C40-D40</x:f>
        <x:v>-650500</x:v>
      </x:c>
      <x:c r="F40" s="6" t="n">
        <x:f>F39+E40</x:f>
        <x:v>-16791000</x:v>
      </x:c>
      <x:c r="G40" s="6" t="n">
        <x:v>162500</x:v>
      </x:c>
      <x:c r="H40" s="6" t="n">
        <x:v>813000</x:v>
      </x:c>
      <x:c r="I40" s="6" t="n">
        <x:v>160</x:v>
      </x:c>
      <x:c r="J40" s="6" t="n">
        <x:v>0</x:v>
      </x:c>
      <x:c r="K40" s="6" t="n">
        <x:v>0</x:v>
      </x:c>
      <x:c r="L40" s="6" t="n">
        <x:v>10</x:v>
      </x:c>
      <x:c r="M40" s="11" t="n">
        <x:v>0.8390873015873016</x:v>
      </x:c>
      <x:c r="N40" s="6" t="n">
        <x:v>653000</x:v>
      </x:c>
    </x:row>
    <x:row r="41" ht="24" customHeight="1">
      <x:c r="A41" s="2" t="str">
        <x:v>2026-10-14_Night</x:v>
      </x:c>
      <x:c r="B41" s="6" t="str">
        <x:v>ナイト</x:v>
      </x:c>
      <x:c r="C41" s="6" t="n">
        <x:v>476500</x:v>
      </x:c>
      <x:c r="D41" s="6" t="n">
        <x:v>665000</x:v>
      </x:c>
      <x:c r="E41" s="6" t="n">
        <x:f>C41-D41</x:f>
        <x:v>-188500</x:v>
      </x:c>
      <x:c r="F41" s="6" t="n">
        <x:f>F40+E41</x:f>
        <x:v>-16979500</x:v>
      </x:c>
      <x:c r="G41" s="6" t="n">
        <x:v>476500</x:v>
      </x:c>
      <x:c r="H41" s="6" t="n">
        <x:v>665000</x:v>
      </x:c>
      <x:c r="I41" s="6" t="n">
        <x:v>213</x:v>
      </x:c>
      <x:c r="J41" s="6" t="n">
        <x:v>0</x:v>
      </x:c>
      <x:c r="K41" s="6" t="n">
        <x:v>0</x:v>
      </x:c>
      <x:c r="L41" s="6" t="n">
        <x:v>10</x:v>
      </x:c>
      <x:c r="M41" s="11" t="n">
        <x:v>0.8428632478632478</x:v>
      </x:c>
      <x:c r="N41" s="6" t="n">
        <x:v>228500</x:v>
      </x:c>
    </x:row>
    <x:row r="42" ht="24" customHeight="1">
      <x:c r="A42" s="2" t="str">
        <x:v>2026-10-15_Day</x:v>
      </x:c>
      <x:c r="B42" s="6" t="str">
        <x:v>デイ</x:v>
      </x:c>
      <x:c r="C42" s="6" t="n">
        <x:v>709000</x:v>
      </x:c>
      <x:c r="D42" s="6" t="n">
        <x:v>1562500</x:v>
      </x:c>
      <x:c r="E42" s="6" t="n">
        <x:f>C42-D42</x:f>
        <x:v>-853500</x:v>
      </x:c>
      <x:c r="F42" s="6" t="n">
        <x:f>F41+E42</x:f>
        <x:v>-17833000</x:v>
      </x:c>
      <x:c r="G42" s="6" t="n">
        <x:v>709000</x:v>
      </x:c>
      <x:c r="H42" s="6" t="n">
        <x:v>1562500</x:v>
      </x:c>
      <x:c r="I42" s="6" t="n">
        <x:v>196</x:v>
      </x:c>
      <x:c r="J42" s="6" t="n">
        <x:v>0</x:v>
      </x:c>
      <x:c r="K42" s="6" t="n">
        <x:v>0</x:v>
      </x:c>
      <x:c r="L42" s="6" t="n">
        <x:v>10</x:v>
      </x:c>
      <x:c r="M42" s="11" t="n">
        <x:v>0.8389285714285715</x:v>
      </x:c>
      <x:c r="N42" s="6" t="n">
        <x:v>897000</x:v>
      </x:c>
    </x:row>
    <x:row r="43" ht="24" customHeight="1">
      <x:c r="A43" s="2" t="str">
        <x:v>2026-10-15_Night</x:v>
      </x:c>
      <x:c r="B43" s="6" t="str">
        <x:v>ナイト</x:v>
      </x:c>
      <x:c r="C43" s="6" t="n">
        <x:v>434000</x:v>
      </x:c>
      <x:c r="D43" s="6" t="n">
        <x:v>1091000</x:v>
      </x:c>
      <x:c r="E43" s="6" t="n">
        <x:f>C43-D43</x:f>
        <x:v>-657000</x:v>
      </x:c>
      <x:c r="F43" s="6" t="n">
        <x:f>F42+E43</x:f>
        <x:v>-18490000</x:v>
      </x:c>
      <x:c r="G43" s="6" t="n">
        <x:v>434000</x:v>
      </x:c>
      <x:c r="H43" s="6" t="n">
        <x:v>1091000</x:v>
      </x:c>
      <x:c r="I43" s="6" t="n">
        <x:v>248</x:v>
      </x:c>
      <x:c r="J43" s="6" t="n">
        <x:v>0</x:v>
      </x:c>
      <x:c r="K43" s="6" t="n">
        <x:v>0</x:v>
      </x:c>
      <x:c r="L43" s="6" t="n">
        <x:v>10</x:v>
      </x:c>
      <x:c r="M43" s="11" t="n">
        <x:v>0.8503846153846154</x:v>
      </x:c>
      <x:c r="N43" s="6" t="n">
        <x:v>662500</x:v>
      </x:c>
    </x:row>
    <x:row r="44" ht="24" customHeight="1">
      <x:c r="A44" s="2" t="str">
        <x:v>2026-10-16_Day</x:v>
      </x:c>
      <x:c r="B44" s="6" t="str">
        <x:v>デイ</x:v>
      </x:c>
      <x:c r="C44" s="6" t="n">
        <x:v>350000</x:v>
      </x:c>
      <x:c r="D44" s="6" t="n">
        <x:v>1015500</x:v>
      </x:c>
      <x:c r="E44" s="6" t="n">
        <x:f>C44-D44</x:f>
        <x:v>-665500</x:v>
      </x:c>
      <x:c r="F44" s="6" t="n">
        <x:f>F43+E44</x:f>
        <x:v>-19155500</x:v>
      </x:c>
      <x:c r="G44" s="6" t="n">
        <x:v>350000</x:v>
      </x:c>
      <x:c r="H44" s="6" t="n">
        <x:v>1015500</x:v>
      </x:c>
      <x:c r="I44" s="6" t="n">
        <x:v>187</x:v>
      </x:c>
      <x:c r="J44" s="6" t="n">
        <x:v>0</x:v>
      </x:c>
      <x:c r="K44" s="6" t="n">
        <x:v>0</x:v>
      </x:c>
      <x:c r="L44" s="6" t="n">
        <x:v>10</x:v>
      </x:c>
      <x:c r="M44" s="11" t="n">
        <x:v>0.8338095238095238</x:v>
      </x:c>
      <x:c r="N44" s="6" t="n">
        <x:v>673000</x:v>
      </x:c>
    </x:row>
    <x:row r="45" ht="24" customHeight="1">
      <x:c r="A45" s="2" t="str">
        <x:v>2026-10-16_Night</x:v>
      </x:c>
      <x:c r="B45" s="6" t="str">
        <x:v>ナイト</x:v>
      </x:c>
      <x:c r="C45" s="6" t="n">
        <x:v>473000</x:v>
      </x:c>
      <x:c r="D45" s="6" t="n">
        <x:v>1082500</x:v>
      </x:c>
      <x:c r="E45" s="6" t="n">
        <x:f>C45-D45</x:f>
        <x:v>-609500</x:v>
      </x:c>
      <x:c r="F45" s="6" t="n">
        <x:f>F44+E45</x:f>
        <x:v>-19765000</x:v>
      </x:c>
      <x:c r="G45" s="6" t="n">
        <x:v>473000</x:v>
      </x:c>
      <x:c r="H45" s="6" t="n">
        <x:v>1082500</x:v>
      </x:c>
      <x:c r="I45" s="6" t="n">
        <x:v>270</x:v>
      </x:c>
      <x:c r="J45" s="6" t="n">
        <x:v>0</x:v>
      </x:c>
      <x:c r="K45" s="6" t="n">
        <x:v>0</x:v>
      </x:c>
      <x:c r="L45" s="6" t="n">
        <x:v>10</x:v>
      </x:c>
      <x:c r="M45" s="11" t="n">
        <x:v>0.842008547008547</x:v>
      </x:c>
      <x:c r="N45" s="6" t="n">
        <x:v>614500</x:v>
      </x:c>
    </x:row>
    <x:row r="46" ht="24" customHeight="1">
      <x:c r="A46" s="2" t="str">
        <x:v>2026-10-19_Day</x:v>
      </x:c>
      <x:c r="B46" s="6" t="str">
        <x:v>デイ</x:v>
      </x:c>
      <x:c r="C46" s="6" t="n">
        <x:v>504000</x:v>
      </x:c>
      <x:c r="D46" s="6" t="n">
        <x:v>1142000</x:v>
      </x:c>
      <x:c r="E46" s="6" t="n">
        <x:f>C46-D46</x:f>
        <x:v>-638000</x:v>
      </x:c>
      <x:c r="F46" s="6" t="n">
        <x:f>F45+E46</x:f>
        <x:v>-20403000</x:v>
      </x:c>
      <x:c r="G46" s="6" t="n">
        <x:v>504000</x:v>
      </x:c>
      <x:c r="H46" s="6" t="n">
        <x:v>1142000</x:v>
      </x:c>
      <x:c r="I46" s="6" t="n">
        <x:v>170</x:v>
      </x:c>
      <x:c r="J46" s="6" t="n">
        <x:v>0</x:v>
      </x:c>
      <x:c r="K46" s="6" t="n">
        <x:v>0</x:v>
      </x:c>
      <x:c r="L46" s="6" t="n">
        <x:v>10</x:v>
      </x:c>
      <x:c r="M46" s="11" t="n">
        <x:v>0.8390079365079365</x:v>
      </x:c>
      <x:c r="N46" s="6" t="n">
        <x:v>777000</x:v>
      </x:c>
    </x:row>
    <x:row r="47" ht="24" customHeight="1">
      <x:c r="A47" s="2" t="str">
        <x:v>2026-10-19_Night</x:v>
      </x:c>
      <x:c r="B47" s="6" t="str">
        <x:v>ナイト</x:v>
      </x:c>
      <x:c r="C47" s="6" t="n">
        <x:v>214500</x:v>
      </x:c>
      <x:c r="D47" s="6" t="n">
        <x:v>763000</x:v>
      </x:c>
      <x:c r="E47" s="6" t="n">
        <x:f>C47-D47</x:f>
        <x:v>-548500</x:v>
      </x:c>
      <x:c r="F47" s="6" t="n">
        <x:f>F46+E47</x:f>
        <x:v>-20951500</x:v>
      </x:c>
      <x:c r="G47" s="6" t="n">
        <x:v>214500</x:v>
      </x:c>
      <x:c r="H47" s="6" t="n">
        <x:v>763000</x:v>
      </x:c>
      <x:c r="I47" s="6" t="n">
        <x:v>231</x:v>
      </x:c>
      <x:c r="J47" s="6" t="n">
        <x:v>0</x:v>
      </x:c>
      <x:c r="K47" s="6" t="n">
        <x:v>0</x:v>
      </x:c>
      <x:c r="L47" s="6" t="n">
        <x:v>10</x:v>
      </x:c>
      <x:c r="M47" s="11" t="n">
        <x:v>0.8238888888888889</x:v>
      </x:c>
      <x:c r="N47" s="6" t="n">
        <x:v>553000</x:v>
      </x:c>
    </x:row>
    <x:row r="48" ht="24" customHeight="1">
      <x:c r="A48" s="2" t="str">
        <x:v>2026-10-20_Day</x:v>
      </x:c>
      <x:c r="B48" s="6" t="str">
        <x:v>デイ</x:v>
      </x:c>
      <x:c r="C48" s="6" t="n">
        <x:v>376500</x:v>
      </x:c>
      <x:c r="D48" s="6" t="n">
        <x:v>1017500</x:v>
      </x:c>
      <x:c r="E48" s="6" t="n">
        <x:f>C48-D48</x:f>
        <x:v>-641000</x:v>
      </x:c>
      <x:c r="F48" s="6" t="n">
        <x:f>F47+E48</x:f>
        <x:v>-21592500</x:v>
      </x:c>
      <x:c r="G48" s="6" t="n">
        <x:v>376500</x:v>
      </x:c>
      <x:c r="H48" s="6" t="n">
        <x:v>1017500</x:v>
      </x:c>
      <x:c r="I48" s="6" t="n">
        <x:v>165</x:v>
      </x:c>
      <x:c r="J48" s="6" t="n">
        <x:v>0</x:v>
      </x:c>
      <x:c r="K48" s="6" t="n">
        <x:v>0</x:v>
      </x:c>
      <x:c r="L48" s="6" t="n">
        <x:v>10</x:v>
      </x:c>
      <x:c r="M48" s="11" t="n">
        <x:v>0.8594047619047619</x:v>
      </x:c>
      <x:c r="N48" s="6" t="n">
        <x:v>661000</x:v>
      </x:c>
    </x:row>
    <x:row r="49" ht="24" customHeight="1">
      <x:c r="A49" s="2" t="str">
        <x:v>2026-10-20_Night</x:v>
      </x:c>
      <x:c r="B49" s="6" t="str">
        <x:v>ナイト</x:v>
      </x:c>
      <x:c r="C49" s="6" t="n">
        <x:v>464500</x:v>
      </x:c>
      <x:c r="D49" s="6" t="n">
        <x:v>821500</x:v>
      </x:c>
      <x:c r="E49" s="6" t="n">
        <x:f>C49-D49</x:f>
        <x:v>-357000</x:v>
      </x:c>
      <x:c r="F49" s="6" t="n">
        <x:f>F48+E49</x:f>
        <x:v>-21949500</x:v>
      </x:c>
      <x:c r="G49" s="6" t="n">
        <x:v>464500</x:v>
      </x:c>
      <x:c r="H49" s="6" t="n">
        <x:v>821500</x:v>
      </x:c>
      <x:c r="I49" s="6" t="n">
        <x:v>236</x:v>
      </x:c>
      <x:c r="J49" s="6" t="n">
        <x:v>0</x:v>
      </x:c>
      <x:c r="K49" s="6" t="n">
        <x:v>0</x:v>
      </x:c>
      <x:c r="L49" s="6" t="n">
        <x:v>10</x:v>
      </x:c>
      <x:c r="M49" s="11" t="n">
        <x:v>0.8248931623931623</x:v>
      </x:c>
      <x:c r="N49" s="6" t="n">
        <x:v>379000</x:v>
      </x:c>
    </x:row>
    <x:row r="50" ht="24" customHeight="1">
      <x:c r="A50" s="2" t="str">
        <x:v>2026-10-21_Day</x:v>
      </x:c>
      <x:c r="B50" s="6" t="str">
        <x:v>デイ</x:v>
      </x:c>
      <x:c r="C50" s="6" t="n">
        <x:v>184500</x:v>
      </x:c>
      <x:c r="D50" s="6" t="n">
        <x:v>820500</x:v>
      </x:c>
      <x:c r="E50" s="6" t="n">
        <x:f>C50-D50</x:f>
        <x:v>-636000</x:v>
      </x:c>
      <x:c r="F50" s="6" t="n">
        <x:f>F49+E50</x:f>
        <x:v>-22585500</x:v>
      </x:c>
      <x:c r="G50" s="6" t="n">
        <x:v>184500</x:v>
      </x:c>
      <x:c r="H50" s="6" t="n">
        <x:v>820500</x:v>
      </x:c>
      <x:c r="I50" s="6" t="n">
        <x:v>160</x:v>
      </x:c>
      <x:c r="J50" s="6" t="n">
        <x:v>0</x:v>
      </x:c>
      <x:c r="K50" s="6" t="n">
        <x:v>0</x:v>
      </x:c>
      <x:c r="L50" s="6" t="n">
        <x:v>10</x:v>
      </x:c>
      <x:c r="M50" s="11" t="n">
        <x:v>0.8338492063492063</x:v>
      </x:c>
      <x:c r="N50" s="6" t="n">
        <x:v>676500</x:v>
      </x:c>
    </x:row>
    <x:row r="51" ht="24" customHeight="1">
      <x:c r="A51" s="2" t="str">
        <x:v>2026-10-21_Night</x:v>
      </x:c>
      <x:c r="B51" s="6" t="str">
        <x:v>ナイト</x:v>
      </x:c>
      <x:c r="C51" s="6" t="n">
        <x:v>386000</x:v>
      </x:c>
      <x:c r="D51" s="6" t="n">
        <x:v>667500</x:v>
      </x:c>
      <x:c r="E51" s="6" t="n">
        <x:f>C51-D51</x:f>
        <x:v>-281500</x:v>
      </x:c>
      <x:c r="F51" s="6" t="n">
        <x:f>F50+E51</x:f>
        <x:v>-22867000</x:v>
      </x:c>
      <x:c r="G51" s="6" t="n">
        <x:v>386000</x:v>
      </x:c>
      <x:c r="H51" s="6" t="n">
        <x:v>667500</x:v>
      </x:c>
      <x:c r="I51" s="6" t="n">
        <x:v>225</x:v>
      </x:c>
      <x:c r="J51" s="6" t="n">
        <x:v>0</x:v>
      </x:c>
      <x:c r="K51" s="6" t="n">
        <x:v>0</x:v>
      </x:c>
      <x:c r="L51" s="6" t="n">
        <x:v>10</x:v>
      </x:c>
      <x:c r="M51" s="11" t="n">
        <x:v>0.8160897435897436</x:v>
      </x:c>
      <x:c r="N51" s="6" t="n">
        <x:v>288000</x:v>
      </x:c>
    </x:row>
    <x:row r="52" ht="24" customHeight="1">
      <x:c r="A52" s="2" t="str">
        <x:v>2026-10-22_Day</x:v>
      </x:c>
      <x:c r="B52" s="6" t="str">
        <x:v>デイ</x:v>
      </x:c>
      <x:c r="C52" s="6" t="n">
        <x:v>590000</x:v>
      </x:c>
      <x:c r="D52" s="6" t="n">
        <x:v>849500</x:v>
      </x:c>
      <x:c r="E52" s="6" t="n">
        <x:f>C52-D52</x:f>
        <x:v>-259500</x:v>
      </x:c>
      <x:c r="F52" s="6" t="n">
        <x:f>F51+E52</x:f>
        <x:v>-23126500</x:v>
      </x:c>
      <x:c r="G52" s="6" t="n">
        <x:v>590000</x:v>
      </x:c>
      <x:c r="H52" s="6" t="n">
        <x:v>849500</x:v>
      </x:c>
      <x:c r="I52" s="6" t="n">
        <x:v>165</x:v>
      </x:c>
      <x:c r="J52" s="6" t="n">
        <x:v>0</x:v>
      </x:c>
      <x:c r="K52" s="6" t="n">
        <x:v>0</x:v>
      </x:c>
      <x:c r="L52" s="6" t="n">
        <x:v>10</x:v>
      </x:c>
      <x:c r="M52" s="11" t="n">
        <x:v>0.8559523809523809</x:v>
      </x:c>
      <x:c r="N52" s="6" t="n">
        <x:v>404500</x:v>
      </x:c>
    </x:row>
    <x:row r="53" ht="24" customHeight="1">
      <x:c r="A53" s="2" t="str">
        <x:v>2026-10-22_Night</x:v>
      </x:c>
      <x:c r="B53" s="6" t="str">
        <x:v>ナイト</x:v>
      </x:c>
      <x:c r="C53" s="6" t="n">
        <x:v>500500</x:v>
      </x:c>
      <x:c r="D53" s="6" t="n">
        <x:v>848000</x:v>
      </x:c>
      <x:c r="E53" s="6" t="n">
        <x:f>C53-D53</x:f>
        <x:v>-347500</x:v>
      </x:c>
      <x:c r="F53" s="6" t="n">
        <x:f>F52+E53</x:f>
        <x:v>-23474000</x:v>
      </x:c>
      <x:c r="G53" s="6" t="n">
        <x:v>500500</x:v>
      </x:c>
      <x:c r="H53" s="6" t="n">
        <x:v>848000</x:v>
      </x:c>
      <x:c r="I53" s="6" t="n">
        <x:v>253</x:v>
      </x:c>
      <x:c r="J53" s="6" t="n">
        <x:v>0</x:v>
      </x:c>
      <x:c r="K53" s="6" t="n">
        <x:v>0</x:v>
      </x:c>
      <x:c r="L53" s="6" t="n">
        <x:v>10</x:v>
      </x:c>
      <x:c r="M53" s="11" t="n">
        <x:v>0.8439529914529914</x:v>
      </x:c>
      <x:c r="N53" s="6" t="n">
        <x:v>370500</x:v>
      </x:c>
    </x:row>
    <x:row r="54" ht="24" customHeight="1">
      <x:c r="A54" s="2" t="str">
        <x:v>2026-10-23_Day</x:v>
      </x:c>
      <x:c r="B54" s="6" t="str">
        <x:v>デイ</x:v>
      </x:c>
      <x:c r="C54" s="6" t="n">
        <x:v>1494500</x:v>
      </x:c>
      <x:c r="D54" s="6" t="n">
        <x:v>1958000</x:v>
      </x:c>
      <x:c r="E54" s="6" t="n">
        <x:f>C54-D54</x:f>
        <x:v>-463500</x:v>
      </x:c>
      <x:c r="F54" s="6" t="n">
        <x:f>F53+E54</x:f>
        <x:v>-23937500</x:v>
      </x:c>
      <x:c r="G54" s="6" t="n">
        <x:v>1494500</x:v>
      </x:c>
      <x:c r="H54" s="6" t="n">
        <x:v>1958000</x:v>
      </x:c>
      <x:c r="I54" s="6" t="n">
        <x:v>224</x:v>
      </x:c>
      <x:c r="J54" s="6" t="n">
        <x:v>0</x:v>
      </x:c>
      <x:c r="K54" s="6" t="n">
        <x:v>0</x:v>
      </x:c>
      <x:c r="L54" s="6" t="n">
        <x:v>10</x:v>
      </x:c>
      <x:c r="M54" s="11" t="n">
        <x:v>0.8404761904761905</x:v>
      </x:c>
      <x:c r="N54" s="6" t="n">
        <x:v>578000</x:v>
      </x:c>
    </x:row>
    <x:row r="55" ht="24" customHeight="1">
      <x:c r="A55" s="2" t="str">
        <x:v>2026-10-23_Night</x:v>
      </x:c>
      <x:c r="B55" s="6" t="str">
        <x:v>ナイト</x:v>
      </x:c>
      <x:c r="C55" s="6" t="n">
        <x:v>444500</x:v>
      </x:c>
      <x:c r="D55" s="6" t="n">
        <x:v>1334000</x:v>
      </x:c>
      <x:c r="E55" s="6" t="n">
        <x:f>C55-D55</x:f>
        <x:v>-889500</x:v>
      </x:c>
      <x:c r="F55" s="6" t="n">
        <x:f>F54+E55</x:f>
        <x:v>-24827000</x:v>
      </x:c>
      <x:c r="G55" s="6" t="n">
        <x:v>444500</x:v>
      </x:c>
      <x:c r="H55" s="6" t="n">
        <x:v>1334000</x:v>
      </x:c>
      <x:c r="I55" s="6" t="n">
        <x:v>273</x:v>
      </x:c>
      <x:c r="J55" s="6" t="n">
        <x:v>0</x:v>
      </x:c>
      <x:c r="K55" s="6" t="n">
        <x:v>0</x:v>
      </x:c>
      <x:c r="L55" s="6" t="n">
        <x:v>10</x:v>
      </x:c>
      <x:c r="M55" s="11" t="n">
        <x:v>0.8214529914529914</x:v>
      </x:c>
      <x:c r="N55" s="6" t="n">
        <x:v>899000</x:v>
      </x:c>
    </x:row>
    <x:row r="56" ht="24" customHeight="1">
      <x:c r="A56" s="2" t="str">
        <x:v>2026-10-26_Day</x:v>
      </x:c>
      <x:c r="B56" s="6" t="str">
        <x:v>デイ</x:v>
      </x:c>
      <x:c r="C56" s="6" t="n">
        <x:v>613500</x:v>
      </x:c>
      <x:c r="D56" s="6" t="n">
        <x:v>1267500</x:v>
      </x:c>
      <x:c r="E56" s="6" t="n">
        <x:f>C56-D56</x:f>
        <x:v>-654000</x:v>
      </x:c>
      <x:c r="F56" s="6" t="n">
        <x:f>F55+E56</x:f>
        <x:v>-25481000</x:v>
      </x:c>
      <x:c r="G56" s="6" t="n">
        <x:v>613500</x:v>
      </x:c>
      <x:c r="H56" s="6" t="n">
        <x:v>1267500</x:v>
      </x:c>
      <x:c r="I56" s="6" t="n">
        <x:v>186</x:v>
      </x:c>
      <x:c r="J56" s="6" t="n">
        <x:v>0</x:v>
      </x:c>
      <x:c r="K56" s="6" t="n">
        <x:v>0</x:v>
      </x:c>
      <x:c r="L56" s="6" t="n">
        <x:v>10</x:v>
      </x:c>
      <x:c r="M56" s="11" t="n">
        <x:v>0.8447619047619047</x:v>
      </x:c>
      <x:c r="N56" s="6" t="n">
        <x:v>668000</x:v>
      </x:c>
    </x:row>
    <x:row r="57" ht="24" customHeight="1">
      <x:c r="A57" s="15" t="str">
        <x:v>累計／平均／最大</x:v>
      </x:c>
      <x:c r="B57" s="16"/>
      <x:c r="C57" s="16" t="n">
        <x:f>SUM(C6:C56)</x:f>
        <x:v>18453500</x:v>
      </x:c>
      <x:c r="D57" s="16" t="n">
        <x:f>SUM(D6:D56)</x:f>
        <x:v>43934500</x:v>
      </x:c>
      <x:c r="E57" s="16" t="n">
        <x:f>C57-D57</x:f>
        <x:v>-25481000</x:v>
      </x:c>
      <x:c r="F57" s="16" t="n">
        <x:f>F56</x:f>
        <x:v>-25481000</x:v>
      </x:c>
      <x:c r="G57" s="16" t="n">
        <x:f>SUM(G6:G56)</x:f>
        <x:v>18453500</x:v>
      </x:c>
      <x:c r="H57" s="16" t="n">
        <x:f>SUM(H6:H56)</x:f>
        <x:v>43934500</x:v>
      </x:c>
      <x:c r="I57" s="16" t="n">
        <x:f>SUM(I6:I56)</x:f>
        <x:v>9981</x:v>
      </x:c>
      <x:c r="J57" s="16" t="n">
        <x:f>SUM(J6:J56)</x:f>
        <x:v>0</x:v>
      </x:c>
      <x:c r="K57" s="16" t="n">
        <x:f>SUM(K6:K56)</x:f>
        <x:v>0</x:v>
      </x:c>
      <x:c r="L57" s="16" t="n">
        <x:f>MAX(L6:L56)</x:f>
        <x:v>10</x:v>
      </x:c>
      <x:c r="M57" s="17" t="n">
        <x:f>AVERAGE(M6:M56)</x:f>
        <x:v>0.8237515861045273</x:v>
      </x:c>
      <x:c r="N57" s="16" t="n">
        <x:f>MAX(N6:N56)</x:f>
        <x:v>971500</x:v>
      </x:c>
    </x:row>
  </x:sheetData>
  <x:conditionalFormatting sqref="E6:F56">
    <x:cfRule type="cellIs" dxfId="49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36dc81ad01c423f"/>
  </x:tableParts>
</x:worksheet>
</file>

<file path=xl/worksheets/sheet5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1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4" customHeight="1">
      <x:c r="A1" s="3" t="str">
        <x:v>TOPIX M09　各セッションの利益・損失・収支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A2" s="4" t="str">
        <x:v>2026/09/21〜10/26デイ・51完了場。日経mini／TOPIXmini各上限10枚・手数料0。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4" customHeight="1">
      <x:c r="A3" s="4" t="str">
        <x:v>180秒の時間加重平均を30秒前と比較。入口だけ傾き比例枚数、利益追尾＋傾き反転・増勢後の半減で返済。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4" customHeight="1">
      <x:c r="A4" s="4" t="str">
        <x:v>利益・損失＝FIFO返済配賦別。親＝初回から全返済まで。ラージ気配による模型で、mini実約定の検証ではありません。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42" customHeight="1">
      <x:c r="A5" s="10" t="str">
        <x:v>セッション</x:v>
      </x:c>
      <x:c r="B5" s="10" t="str">
        <x:v>区分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親利益（円）</x:v>
      </x:c>
      <x:c r="H5" s="10" t="str">
        <x:v>親損失（円）</x:v>
      </x:c>
      <x:c r="I5" s="10" t="str">
        <x:v>初回件数</x:v>
      </x:c>
      <x:c r="J5" s="10" t="str">
        <x:v>追加件数</x:v>
      </x:c>
      <x:c r="K5" s="10" t="str">
        <x:v>縮小件数</x:v>
      </x:c>
      <x:c r="L5" s="10" t="str">
        <x:v>最大保有枚数</x:v>
      </x:c>
      <x:c r="M5" s="10" t="str">
        <x:v>保有時間率</x:v>
      </x:c>
      <x:c r="N5" s="10" t="str">
        <x:v>時価最大DD（円）</x:v>
      </x:c>
    </x:row>
    <x:row r="6" ht="24" customHeight="1">
      <x:c r="A6" s="2" t="str">
        <x:v>2026-09-21_Day</x:v>
      </x:c>
      <x:c r="B6" s="6" t="str">
        <x:v>デイ</x:v>
      </x:c>
      <x:c r="C6" s="6" t="n">
        <x:v>187500</x:v>
      </x:c>
      <x:c r="D6" s="6" t="n">
        <x:v>529000</x:v>
      </x:c>
      <x:c r="E6" s="6" t="n">
        <x:f>C6-D6</x:f>
        <x:v>-341500</x:v>
      </x:c>
      <x:c r="F6" s="6" t="n">
        <x:f>E6</x:f>
        <x:v>-341500</x:v>
      </x:c>
      <x:c r="G6" s="6" t="n">
        <x:v>187500</x:v>
      </x:c>
      <x:c r="H6" s="6" t="n">
        <x:v>529000</x:v>
      </x:c>
      <x:c r="I6" s="6" t="n">
        <x:v>112</x:v>
      </x:c>
      <x:c r="J6" s="6" t="n">
        <x:v>0</x:v>
      </x:c>
      <x:c r="K6" s="6" t="n">
        <x:v>0</x:v>
      </x:c>
      <x:c r="L6" s="6" t="n">
        <x:v>10</x:v>
      </x:c>
      <x:c r="M6" s="11" t="n">
        <x:v>0.7101190476190476</x:v>
      </x:c>
      <x:c r="N6" s="6" t="n">
        <x:v>345000</x:v>
      </x:c>
    </x:row>
    <x:row r="7" ht="24" customHeight="1">
      <x:c r="A7" s="2" t="str">
        <x:v>2026-09-21_Night</x:v>
      </x:c>
      <x:c r="B7" s="6" t="str">
        <x:v>ナイト</x:v>
      </x:c>
      <x:c r="C7" s="6" t="n">
        <x:v>114500</x:v>
      </x:c>
      <x:c r="D7" s="6" t="n">
        <x:v>443000</x:v>
      </x:c>
      <x:c r="E7" s="6" t="n">
        <x:f>C7-D7</x:f>
        <x:v>-328500</x:v>
      </x:c>
      <x:c r="F7" s="6" t="n">
        <x:f>F6+E7</x:f>
        <x:v>-670000</x:v>
      </x:c>
      <x:c r="G7" s="6" t="n">
        <x:v>114500</x:v>
      </x:c>
      <x:c r="H7" s="6" t="n">
        <x:v>443000</x:v>
      </x:c>
      <x:c r="I7" s="6" t="n">
        <x:v>202</x:v>
      </x:c>
      <x:c r="J7" s="6" t="n">
        <x:v>0</x:v>
      </x:c>
      <x:c r="K7" s="6" t="n">
        <x:v>0</x:v>
      </x:c>
      <x:c r="L7" s="6" t="n">
        <x:v>10</x:v>
      </x:c>
      <x:c r="M7" s="11" t="n">
        <x:v>0.7226709401709401</x:v>
      </x:c>
      <x:c r="N7" s="6" t="n">
        <x:v>363000</x:v>
      </x:c>
    </x:row>
    <x:row r="8" ht="24" customHeight="1">
      <x:c r="A8" s="2" t="str">
        <x:v>2026-09-22_Day</x:v>
      </x:c>
      <x:c r="B8" s="6" t="str">
        <x:v>デイ</x:v>
      </x:c>
      <x:c r="C8" s="6" t="n">
        <x:v>136500</x:v>
      </x:c>
      <x:c r="D8" s="6" t="n">
        <x:v>680500</x:v>
      </x:c>
      <x:c r="E8" s="6" t="n">
        <x:f>C8-D8</x:f>
        <x:v>-544000</x:v>
      </x:c>
      <x:c r="F8" s="6" t="n">
        <x:f>F7+E8</x:f>
        <x:v>-1214000</x:v>
      </x:c>
      <x:c r="G8" s="6" t="n">
        <x:v>136500</x:v>
      </x:c>
      <x:c r="H8" s="6" t="n">
        <x:v>680500</x:v>
      </x:c>
      <x:c r="I8" s="6" t="n">
        <x:v>151</x:v>
      </x:c>
      <x:c r="J8" s="6" t="n">
        <x:v>0</x:v>
      </x:c>
      <x:c r="K8" s="6" t="n">
        <x:v>0</x:v>
      </x:c>
      <x:c r="L8" s="6" t="n">
        <x:v>10</x:v>
      </x:c>
      <x:c r="M8" s="11" t="n">
        <x:v>0.775079365079365</x:v>
      </x:c>
      <x:c r="N8" s="6" t="n">
        <x:v>570500</x:v>
      </x:c>
    </x:row>
    <x:row r="9" ht="24" customHeight="1">
      <x:c r="A9" s="2" t="str">
        <x:v>2026-09-22_Night</x:v>
      </x:c>
      <x:c r="B9" s="6" t="str">
        <x:v>ナイト</x:v>
      </x:c>
      <x:c r="C9" s="6" t="n">
        <x:v>347000</x:v>
      </x:c>
      <x:c r="D9" s="6" t="n">
        <x:v>973000</x:v>
      </x:c>
      <x:c r="E9" s="6" t="n">
        <x:f>C9-D9</x:f>
        <x:v>-626000</x:v>
      </x:c>
      <x:c r="F9" s="6" t="n">
        <x:f>F8+E9</x:f>
        <x:v>-1840000</x:v>
      </x:c>
      <x:c r="G9" s="6" t="n">
        <x:v>347000</x:v>
      </x:c>
      <x:c r="H9" s="6" t="n">
        <x:v>973000</x:v>
      </x:c>
      <x:c r="I9" s="6" t="n">
        <x:v>233</x:v>
      </x:c>
      <x:c r="J9" s="6" t="n">
        <x:v>0</x:v>
      </x:c>
      <x:c r="K9" s="6" t="n">
        <x:v>0</x:v>
      </x:c>
      <x:c r="L9" s="6" t="n">
        <x:v>10</x:v>
      </x:c>
      <x:c r="M9" s="11" t="n">
        <x:v>0.8132905982905982</x:v>
      </x:c>
      <x:c r="N9" s="6" t="n">
        <x:v>689500</x:v>
      </x:c>
    </x:row>
    <x:row r="10" ht="24" customHeight="1">
      <x:c r="A10" s="2" t="str">
        <x:v>2026-09-23_Day</x:v>
      </x:c>
      <x:c r="B10" s="6" t="str">
        <x:v>デイ</x:v>
      </x:c>
      <x:c r="C10" s="6" t="n">
        <x:v>227500</x:v>
      </x:c>
      <x:c r="D10" s="6" t="n">
        <x:v>444000</x:v>
      </x:c>
      <x:c r="E10" s="6" t="n">
        <x:f>C10-D10</x:f>
        <x:v>-216500</x:v>
      </x:c>
      <x:c r="F10" s="6" t="n">
        <x:f>F9+E10</x:f>
        <x:v>-2056500</x:v>
      </x:c>
      <x:c r="G10" s="6" t="n">
        <x:v>227500</x:v>
      </x:c>
      <x:c r="H10" s="6" t="n">
        <x:v>444000</x:v>
      </x:c>
      <x:c r="I10" s="6" t="n">
        <x:v>126</x:v>
      </x:c>
      <x:c r="J10" s="6" t="n">
        <x:v>0</x:v>
      </x:c>
      <x:c r="K10" s="6" t="n">
        <x:v>0</x:v>
      </x:c>
      <x:c r="L10" s="6" t="n">
        <x:v>10</x:v>
      </x:c>
      <x:c r="M10" s="11" t="n">
        <x:v>0.7505952380952381</x:v>
      </x:c>
      <x:c r="N10" s="6" t="n">
        <x:v>358500</x:v>
      </x:c>
    </x:row>
    <x:row r="11" ht="24" customHeight="1">
      <x:c r="A11" s="2" t="str">
        <x:v>2026-09-23_Night</x:v>
      </x:c>
      <x:c r="B11" s="6" t="str">
        <x:v>ナイト</x:v>
      </x:c>
      <x:c r="C11" s="6" t="n">
        <x:v>150000</x:v>
      </x:c>
      <x:c r="D11" s="6" t="n">
        <x:v>653000</x:v>
      </x:c>
      <x:c r="E11" s="6" t="n">
        <x:f>C11-D11</x:f>
        <x:v>-503000</x:v>
      </x:c>
      <x:c r="F11" s="6" t="n">
        <x:f>F10+E11</x:f>
        <x:v>-2559500</x:v>
      </x:c>
      <x:c r="G11" s="6" t="n">
        <x:v>150000</x:v>
      </x:c>
      <x:c r="H11" s="6" t="n">
        <x:v>653000</x:v>
      </x:c>
      <x:c r="I11" s="6" t="n">
        <x:v>228</x:v>
      </x:c>
      <x:c r="J11" s="6" t="n">
        <x:v>0</x:v>
      </x:c>
      <x:c r="K11" s="6" t="n">
        <x:v>0</x:v>
      </x:c>
      <x:c r="L11" s="6" t="n">
        <x:v>10</x:v>
      </x:c>
      <x:c r="M11" s="11" t="n">
        <x:v>0.735897435897436</x:v>
      </x:c>
      <x:c r="N11" s="6" t="n">
        <x:v>507000</x:v>
      </x:c>
    </x:row>
    <x:row r="12" ht="24" customHeight="1">
      <x:c r="A12" s="2" t="str">
        <x:v>2026-09-24_Day</x:v>
      </x:c>
      <x:c r="B12" s="6" t="str">
        <x:v>デイ</x:v>
      </x:c>
      <x:c r="C12" s="6" t="n">
        <x:v>696500</x:v>
      </x:c>
      <x:c r="D12" s="6" t="n">
        <x:v>1109500</x:v>
      </x:c>
      <x:c r="E12" s="6" t="n">
        <x:f>C12-D12</x:f>
        <x:v>-413000</x:v>
      </x:c>
      <x:c r="F12" s="6" t="n">
        <x:f>F11+E12</x:f>
        <x:v>-2972500</x:v>
      </x:c>
      <x:c r="G12" s="6" t="n">
        <x:v>696500</x:v>
      </x:c>
      <x:c r="H12" s="6" t="n">
        <x:v>1109500</x:v>
      </x:c>
      <x:c r="I12" s="6" t="n">
        <x:v>218</x:v>
      </x:c>
      <x:c r="J12" s="6" t="n">
        <x:v>0</x:v>
      </x:c>
      <x:c r="K12" s="6" t="n">
        <x:v>0</x:v>
      </x:c>
      <x:c r="L12" s="6" t="n">
        <x:v>10</x:v>
      </x:c>
      <x:c r="M12" s="11" t="n">
        <x:v>0.8154365079365079</x:v>
      </x:c>
      <x:c r="N12" s="6" t="n">
        <x:v>465000</x:v>
      </x:c>
    </x:row>
    <x:row r="13" ht="24" customHeight="1">
      <x:c r="A13" s="2" t="str">
        <x:v>2026-09-24_Night</x:v>
      </x:c>
      <x:c r="B13" s="6" t="str">
        <x:v>ナイト</x:v>
      </x:c>
      <x:c r="C13" s="6" t="n">
        <x:v>462000</x:v>
      </x:c>
      <x:c r="D13" s="6" t="n">
        <x:v>1220500</x:v>
      </x:c>
      <x:c r="E13" s="6" t="n">
        <x:f>C13-D13</x:f>
        <x:v>-758500</x:v>
      </x:c>
      <x:c r="F13" s="6" t="n">
        <x:f>F12+E13</x:f>
        <x:v>-3731000</x:v>
      </x:c>
      <x:c r="G13" s="6" t="n">
        <x:v>462000</x:v>
      </x:c>
      <x:c r="H13" s="6" t="n">
        <x:v>1220500</x:v>
      </x:c>
      <x:c r="I13" s="6" t="n">
        <x:v>299</x:v>
      </x:c>
      <x:c r="J13" s="6" t="n">
        <x:v>0</x:v>
      </x:c>
      <x:c r="K13" s="6" t="n">
        <x:v>0</x:v>
      </x:c>
      <x:c r="L13" s="6" t="n">
        <x:v>10</x:v>
      </x:c>
      <x:c r="M13" s="11" t="n">
        <x:v>0.8064316239316239</x:v>
      </x:c>
      <x:c r="N13" s="6" t="n">
        <x:v>822500</x:v>
      </x:c>
    </x:row>
    <x:row r="14" ht="24" customHeight="1">
      <x:c r="A14" s="2" t="str">
        <x:v>2026-09-25_Day</x:v>
      </x:c>
      <x:c r="B14" s="6" t="str">
        <x:v>デイ</x:v>
      </x:c>
      <x:c r="C14" s="6" t="n">
        <x:v>427500</x:v>
      </x:c>
      <x:c r="D14" s="6" t="n">
        <x:v>982000</x:v>
      </x:c>
      <x:c r="E14" s="6" t="n">
        <x:f>C14-D14</x:f>
        <x:v>-554500</x:v>
      </x:c>
      <x:c r="F14" s="6" t="n">
        <x:f>F13+E14</x:f>
        <x:v>-4285500</x:v>
      </x:c>
      <x:c r="G14" s="6" t="n">
        <x:v>427500</x:v>
      </x:c>
      <x:c r="H14" s="6" t="n">
        <x:v>982000</x:v>
      </x:c>
      <x:c r="I14" s="6" t="n">
        <x:v>220</x:v>
      </x:c>
      <x:c r="J14" s="6" t="n">
        <x:v>0</x:v>
      </x:c>
      <x:c r="K14" s="6" t="n">
        <x:v>0</x:v>
      </x:c>
      <x:c r="L14" s="6" t="n">
        <x:v>10</x:v>
      </x:c>
      <x:c r="M14" s="11" t="n">
        <x:v>0.8145634920634921</x:v>
      </x:c>
      <x:c r="N14" s="6" t="n">
        <x:v>556500</x:v>
      </x:c>
    </x:row>
    <x:row r="15" ht="24" customHeight="1">
      <x:c r="A15" s="2" t="str">
        <x:v>2026-09-25_Night</x:v>
      </x:c>
      <x:c r="B15" s="6" t="str">
        <x:v>ナイト</x:v>
      </x:c>
      <x:c r="C15" s="6" t="n">
        <x:v>345500</x:v>
      </x:c>
      <x:c r="D15" s="6" t="n">
        <x:v>789000</x:v>
      </x:c>
      <x:c r="E15" s="6" t="n">
        <x:f>C15-D15</x:f>
        <x:v>-443500</x:v>
      </x:c>
      <x:c r="F15" s="6" t="n">
        <x:f>F14+E15</x:f>
        <x:v>-4729000</x:v>
      </x:c>
      <x:c r="G15" s="6" t="n">
        <x:v>345500</x:v>
      </x:c>
      <x:c r="H15" s="6" t="n">
        <x:v>789000</x:v>
      </x:c>
      <x:c r="I15" s="6" t="n">
        <x:v>261</x:v>
      </x:c>
      <x:c r="J15" s="6" t="n">
        <x:v>0</x:v>
      </x:c>
      <x:c r="K15" s="6" t="n">
        <x:v>0</x:v>
      </x:c>
      <x:c r="L15" s="6" t="n">
        <x:v>10</x:v>
      </x:c>
      <x:c r="M15" s="11" t="n">
        <x:v>0.7812606837606838</x:v>
      </x:c>
      <x:c r="N15" s="6" t="n">
        <x:v>518000</x:v>
      </x:c>
    </x:row>
    <x:row r="16" ht="24" customHeight="1">
      <x:c r="A16" s="2" t="str">
        <x:v>2026-09-28_Day</x:v>
      </x:c>
      <x:c r="B16" s="6" t="str">
        <x:v>デイ</x:v>
      </x:c>
      <x:c r="C16" s="6" t="n">
        <x:v>254000</x:v>
      </x:c>
      <x:c r="D16" s="6" t="n">
        <x:v>1000500</x:v>
      </x:c>
      <x:c r="E16" s="6" t="n">
        <x:f>C16-D16</x:f>
        <x:v>-746500</x:v>
      </x:c>
      <x:c r="F16" s="6" t="n">
        <x:f>F15+E16</x:f>
        <x:v>-5475500</x:v>
      </x:c>
      <x:c r="G16" s="6" t="n">
        <x:v>254000</x:v>
      </x:c>
      <x:c r="H16" s="6" t="n">
        <x:v>1000500</x:v>
      </x:c>
      <x:c r="I16" s="6" t="n">
        <x:v>227</x:v>
      </x:c>
      <x:c r="J16" s="6" t="n">
        <x:v>0</x:v>
      </x:c>
      <x:c r="K16" s="6" t="n">
        <x:v>0</x:v>
      </x:c>
      <x:c r="L16" s="6" t="n">
        <x:v>10</x:v>
      </x:c>
      <x:c r="M16" s="11" t="n">
        <x:v>0.7949603174603175</x:v>
      </x:c>
      <x:c r="N16" s="6" t="n">
        <x:v>795000</x:v>
      </x:c>
    </x:row>
    <x:row r="17" ht="24" customHeight="1">
      <x:c r="A17" s="2" t="str">
        <x:v>2026-09-28_Night</x:v>
      </x:c>
      <x:c r="B17" s="6" t="str">
        <x:v>ナイト</x:v>
      </x:c>
      <x:c r="C17" s="6" t="n">
        <x:v>382500</x:v>
      </x:c>
      <x:c r="D17" s="6" t="n">
        <x:v>1119000</x:v>
      </x:c>
      <x:c r="E17" s="6" t="n">
        <x:f>C17-D17</x:f>
        <x:v>-736500</x:v>
      </x:c>
      <x:c r="F17" s="6" t="n">
        <x:f>F16+E17</x:f>
        <x:v>-6212000</x:v>
      </x:c>
      <x:c r="G17" s="6" t="n">
        <x:v>382500</x:v>
      </x:c>
      <x:c r="H17" s="6" t="n">
        <x:v>1119000</x:v>
      </x:c>
      <x:c r="I17" s="6" t="n">
        <x:v>282</x:v>
      </x:c>
      <x:c r="J17" s="6" t="n">
        <x:v>0</x:v>
      </x:c>
      <x:c r="K17" s="6" t="n">
        <x:v>0</x:v>
      </x:c>
      <x:c r="L17" s="6" t="n">
        <x:v>10</x:v>
      </x:c>
      <x:c r="M17" s="11" t="n">
        <x:v>0.7911752136752137</x:v>
      </x:c>
      <x:c r="N17" s="6" t="n">
        <x:v>758000</x:v>
      </x:c>
    </x:row>
    <x:row r="18" ht="24" customHeight="1">
      <x:c r="A18" s="2" t="str">
        <x:v>2026-09-29_Day</x:v>
      </x:c>
      <x:c r="B18" s="6" t="str">
        <x:v>デイ</x:v>
      </x:c>
      <x:c r="C18" s="6" t="n">
        <x:v>454000</x:v>
      </x:c>
      <x:c r="D18" s="6" t="n">
        <x:v>1269000</x:v>
      </x:c>
      <x:c r="E18" s="6" t="n">
        <x:f>C18-D18</x:f>
        <x:v>-815000</x:v>
      </x:c>
      <x:c r="F18" s="6" t="n">
        <x:f>F17+E18</x:f>
        <x:v>-7027000</x:v>
      </x:c>
      <x:c r="G18" s="6" t="n">
        <x:v>454000</x:v>
      </x:c>
      <x:c r="H18" s="6" t="n">
        <x:v>1269000</x:v>
      </x:c>
      <x:c r="I18" s="6" t="n">
        <x:v>232</x:v>
      </x:c>
      <x:c r="J18" s="6" t="n">
        <x:v>0</x:v>
      </x:c>
      <x:c r="K18" s="6" t="n">
        <x:v>0</x:v>
      </x:c>
      <x:c r="L18" s="6" t="n">
        <x:v>10</x:v>
      </x:c>
      <x:c r="M18" s="11" t="n">
        <x:v>0.8117063492063492</x:v>
      </x:c>
      <x:c r="N18" s="6" t="n">
        <x:v>821500</x:v>
      </x:c>
    </x:row>
    <x:row r="19" ht="24" customHeight="1">
      <x:c r="A19" s="2" t="str">
        <x:v>2026-09-29_Night</x:v>
      </x:c>
      <x:c r="B19" s="6" t="str">
        <x:v>ナイト</x:v>
      </x:c>
      <x:c r="C19" s="6" t="n">
        <x:v>244000</x:v>
      </x:c>
      <x:c r="D19" s="6" t="n">
        <x:v>960000</x:v>
      </x:c>
      <x:c r="E19" s="6" t="n">
        <x:f>C19-D19</x:f>
        <x:v>-716000</x:v>
      </x:c>
      <x:c r="F19" s="6" t="n">
        <x:f>F18+E19</x:f>
        <x:v>-7743000</x:v>
      </x:c>
      <x:c r="G19" s="6" t="n">
        <x:v>244000</x:v>
      </x:c>
      <x:c r="H19" s="6" t="n">
        <x:v>960000</x:v>
      </x:c>
      <x:c r="I19" s="6" t="n">
        <x:v>288</x:v>
      </x:c>
      <x:c r="J19" s="6" t="n">
        <x:v>0</x:v>
      </x:c>
      <x:c r="K19" s="6" t="n">
        <x:v>0</x:v>
      </x:c>
      <x:c r="L19" s="6" t="n">
        <x:v>10</x:v>
      </x:c>
      <x:c r="M19" s="11" t="n">
        <x:v>0.808076923076923</x:v>
      </x:c>
      <x:c r="N19" s="6" t="n">
        <x:v>728000</x:v>
      </x:c>
    </x:row>
    <x:row r="20" ht="24" customHeight="1">
      <x:c r="A20" s="2" t="str">
        <x:v>2026-09-30_Day</x:v>
      </x:c>
      <x:c r="B20" s="6" t="str">
        <x:v>デイ</x:v>
      </x:c>
      <x:c r="C20" s="6" t="n">
        <x:v>384500</x:v>
      </x:c>
      <x:c r="D20" s="6" t="n">
        <x:v>946500</x:v>
      </x:c>
      <x:c r="E20" s="6" t="n">
        <x:f>C20-D20</x:f>
        <x:v>-562000</x:v>
      </x:c>
      <x:c r="F20" s="6" t="n">
        <x:f>F19+E20</x:f>
        <x:v>-8305000</x:v>
      </x:c>
      <x:c r="G20" s="6" t="n">
        <x:v>384500</x:v>
      </x:c>
      <x:c r="H20" s="6" t="n">
        <x:v>946500</x:v>
      </x:c>
      <x:c r="I20" s="6" t="n">
        <x:v>222</x:v>
      </x:c>
      <x:c r="J20" s="6" t="n">
        <x:v>0</x:v>
      </x:c>
      <x:c r="K20" s="6" t="n">
        <x:v>0</x:v>
      </x:c>
      <x:c r="L20" s="6" t="n">
        <x:v>10</x:v>
      </x:c>
      <x:c r="M20" s="11" t="n">
        <x:v>0.8205555555555556</x:v>
      </x:c>
      <x:c r="N20" s="6" t="n">
        <x:v>578000</x:v>
      </x:c>
    </x:row>
    <x:row r="21" ht="24" customHeight="1">
      <x:c r="A21" s="2" t="str">
        <x:v>2026-09-30_Night</x:v>
      </x:c>
      <x:c r="B21" s="6" t="str">
        <x:v>ナイト</x:v>
      </x:c>
      <x:c r="C21" s="6" t="n">
        <x:v>421000</x:v>
      </x:c>
      <x:c r="D21" s="6" t="n">
        <x:v>1232500</x:v>
      </x:c>
      <x:c r="E21" s="6" t="n">
        <x:f>C21-D21</x:f>
        <x:v>-811500</x:v>
      </x:c>
      <x:c r="F21" s="6" t="n">
        <x:f>F20+E21</x:f>
        <x:v>-9116500</x:v>
      </x:c>
      <x:c r="G21" s="6" t="n">
        <x:v>421000</x:v>
      </x:c>
      <x:c r="H21" s="6" t="n">
        <x:v>1232500</x:v>
      </x:c>
      <x:c r="I21" s="6" t="n">
        <x:v>309</x:v>
      </x:c>
      <x:c r="J21" s="6" t="n">
        <x:v>0</x:v>
      </x:c>
      <x:c r="K21" s="6" t="n">
        <x:v>0</x:v>
      </x:c>
      <x:c r="L21" s="6" t="n">
        <x:v>10</x:v>
      </x:c>
      <x:c r="M21" s="11" t="n">
        <x:v>0.8070512820512821</x:v>
      </x:c>
      <x:c r="N21" s="6" t="n">
        <x:v>873000</x:v>
      </x:c>
    </x:row>
    <x:row r="22" ht="24" customHeight="1">
      <x:c r="A22" s="2" t="str">
        <x:v>2026-10-01_Day</x:v>
      </x:c>
      <x:c r="B22" s="6" t="str">
        <x:v>デイ</x:v>
      </x:c>
      <x:c r="C22" s="6" t="n">
        <x:v>316500</x:v>
      </x:c>
      <x:c r="D22" s="6" t="n">
        <x:v>1013500</x:v>
      </x:c>
      <x:c r="E22" s="6" t="n">
        <x:f>C22-D22</x:f>
        <x:v>-697000</x:v>
      </x:c>
      <x:c r="F22" s="6" t="n">
        <x:f>F21+E22</x:f>
        <x:v>-9813500</x:v>
      </x:c>
      <x:c r="G22" s="6" t="n">
        <x:v>316500</x:v>
      </x:c>
      <x:c r="H22" s="6" t="n">
        <x:v>1013500</x:v>
      </x:c>
      <x:c r="I22" s="6" t="n">
        <x:v>213</x:v>
      </x:c>
      <x:c r="J22" s="6" t="n">
        <x:v>0</x:v>
      </x:c>
      <x:c r="K22" s="6" t="n">
        <x:v>0</x:v>
      </x:c>
      <x:c r="L22" s="6" t="n">
        <x:v>10</x:v>
      </x:c>
      <x:c r="M22" s="11" t="n">
        <x:v>0.8017460317460318</x:v>
      </x:c>
      <x:c r="N22" s="6" t="n">
        <x:v>716500</x:v>
      </x:c>
    </x:row>
    <x:row r="23" ht="24" customHeight="1">
      <x:c r="A23" s="2" t="str">
        <x:v>2026-10-01_Night</x:v>
      </x:c>
      <x:c r="B23" s="6" t="str">
        <x:v>ナイト</x:v>
      </x:c>
      <x:c r="C23" s="6" t="n">
        <x:v>445500</x:v>
      </x:c>
      <x:c r="D23" s="6" t="n">
        <x:v>1479500</x:v>
      </x:c>
      <x:c r="E23" s="6" t="n">
        <x:f>C23-D23</x:f>
        <x:v>-1034000</x:v>
      </x:c>
      <x:c r="F23" s="6" t="n">
        <x:f>F22+E23</x:f>
        <x:v>-10847500</x:v>
      </x:c>
      <x:c r="G23" s="6" t="n">
        <x:v>445500</x:v>
      </x:c>
      <x:c r="H23" s="6" t="n">
        <x:v>1479500</x:v>
      </x:c>
      <x:c r="I23" s="6" t="n">
        <x:v>334</x:v>
      </x:c>
      <x:c r="J23" s="6" t="n">
        <x:v>0</x:v>
      </x:c>
      <x:c r="K23" s="6" t="n">
        <x:v>0</x:v>
      </x:c>
      <x:c r="L23" s="6" t="n">
        <x:v>10</x:v>
      </x:c>
      <x:c r="M23" s="11" t="n">
        <x:v>0.8160683760683761</x:v>
      </x:c>
      <x:c r="N23" s="6" t="n">
        <x:v>1043000</x:v>
      </x:c>
    </x:row>
    <x:row r="24" ht="24" customHeight="1">
      <x:c r="A24" s="2" t="str">
        <x:v>2026-10-02_Day</x:v>
      </x:c>
      <x:c r="B24" s="6" t="str">
        <x:v>デイ</x:v>
      </x:c>
      <x:c r="C24" s="6" t="n">
        <x:v>295500</x:v>
      </x:c>
      <x:c r="D24" s="6" t="n">
        <x:v>858000</x:v>
      </x:c>
      <x:c r="E24" s="6" t="n">
        <x:f>C24-D24</x:f>
        <x:v>-562500</x:v>
      </x:c>
      <x:c r="F24" s="6" t="n">
        <x:f>F23+E24</x:f>
        <x:v>-11410000</x:v>
      </x:c>
      <x:c r="G24" s="6" t="n">
        <x:v>295500</x:v>
      </x:c>
      <x:c r="H24" s="6" t="n">
        <x:v>858000</x:v>
      </x:c>
      <x:c r="I24" s="6" t="n">
        <x:v>206</x:v>
      </x:c>
      <x:c r="J24" s="6" t="n">
        <x:v>0</x:v>
      </x:c>
      <x:c r="K24" s="6" t="n">
        <x:v>0</x:v>
      </x:c>
      <x:c r="L24" s="6" t="n">
        <x:v>10</x:v>
      </x:c>
      <x:c r="M24" s="11" t="n">
        <x:v>0.8257142857142857</x:v>
      </x:c>
      <x:c r="N24" s="6" t="n">
        <x:v>613500</x:v>
      </x:c>
    </x:row>
    <x:row r="25" ht="24" customHeight="1">
      <x:c r="A25" s="2" t="str">
        <x:v>2026-10-02_Night</x:v>
      </x:c>
      <x:c r="B25" s="6" t="str">
        <x:v>ナイト</x:v>
      </x:c>
      <x:c r="C25" s="6" t="n">
        <x:v>543000</x:v>
      </x:c>
      <x:c r="D25" s="6" t="n">
        <x:v>1244500</x:v>
      </x:c>
      <x:c r="E25" s="6" t="n">
        <x:f>C25-D25</x:f>
        <x:v>-701500</x:v>
      </x:c>
      <x:c r="F25" s="6" t="n">
        <x:f>F24+E25</x:f>
        <x:v>-12111500</x:v>
      </x:c>
      <x:c r="G25" s="6" t="n">
        <x:v>543000</x:v>
      </x:c>
      <x:c r="H25" s="6" t="n">
        <x:v>1244500</x:v>
      </x:c>
      <x:c r="I25" s="6" t="n">
        <x:v>311</x:v>
      </x:c>
      <x:c r="J25" s="6" t="n">
        <x:v>0</x:v>
      </x:c>
      <x:c r="K25" s="6" t="n">
        <x:v>0</x:v>
      </x:c>
      <x:c r="L25" s="6" t="n">
        <x:v>10</x:v>
      </x:c>
      <x:c r="M25" s="11" t="n">
        <x:v>0.8030128205128205</x:v>
      </x:c>
      <x:c r="N25" s="6" t="n">
        <x:v>735000</x:v>
      </x:c>
    </x:row>
    <x:row r="26" ht="24" customHeight="1">
      <x:c r="A26" s="2" t="str">
        <x:v>2026-10-05_Day</x:v>
      </x:c>
      <x:c r="B26" s="6" t="str">
        <x:v>デイ</x:v>
      </x:c>
      <x:c r="C26" s="6" t="n">
        <x:v>279500</x:v>
      </x:c>
      <x:c r="D26" s="6" t="n">
        <x:v>720000</x:v>
      </x:c>
      <x:c r="E26" s="6" t="n">
        <x:f>C26-D26</x:f>
        <x:v>-440500</x:v>
      </x:c>
      <x:c r="F26" s="6" t="n">
        <x:f>F25+E26</x:f>
        <x:v>-12552000</x:v>
      </x:c>
      <x:c r="G26" s="6" t="n">
        <x:v>279500</x:v>
      </x:c>
      <x:c r="H26" s="6" t="n">
        <x:v>720000</x:v>
      </x:c>
      <x:c r="I26" s="6" t="n">
        <x:v>203</x:v>
      </x:c>
      <x:c r="J26" s="6" t="n">
        <x:v>0</x:v>
      </x:c>
      <x:c r="K26" s="6" t="n">
        <x:v>0</x:v>
      </x:c>
      <x:c r="L26" s="6" t="n">
        <x:v>10</x:v>
      </x:c>
      <x:c r="M26" s="11" t="n">
        <x:v>0.8112698412698413</x:v>
      </x:c>
      <x:c r="N26" s="6" t="n">
        <x:v>495500</x:v>
      </x:c>
    </x:row>
    <x:row r="27" ht="24" customHeight="1">
      <x:c r="A27" s="2" t="str">
        <x:v>2026-10-05_Night</x:v>
      </x:c>
      <x:c r="B27" s="6" t="str">
        <x:v>ナイト</x:v>
      </x:c>
      <x:c r="C27" s="6" t="n">
        <x:v>291500</x:v>
      </x:c>
      <x:c r="D27" s="6" t="n">
        <x:v>862500</x:v>
      </x:c>
      <x:c r="E27" s="6" t="n">
        <x:f>C27-D27</x:f>
        <x:v>-571000</x:v>
      </x:c>
      <x:c r="F27" s="6" t="n">
        <x:f>F26+E27</x:f>
        <x:v>-13123000</x:v>
      </x:c>
      <x:c r="G27" s="6" t="n">
        <x:v>291500</x:v>
      </x:c>
      <x:c r="H27" s="6" t="n">
        <x:v>862500</x:v>
      </x:c>
      <x:c r="I27" s="6" t="n">
        <x:v>288</x:v>
      </x:c>
      <x:c r="J27" s="6" t="n">
        <x:v>0</x:v>
      </x:c>
      <x:c r="K27" s="6" t="n">
        <x:v>0</x:v>
      </x:c>
      <x:c r="L27" s="6" t="n">
        <x:v>10</x:v>
      </x:c>
      <x:c r="M27" s="11" t="n">
        <x:v>0.7828205128205128</x:v>
      </x:c>
      <x:c r="N27" s="6" t="n">
        <x:v>605500</x:v>
      </x:c>
    </x:row>
    <x:row r="28" ht="24" customHeight="1">
      <x:c r="A28" s="2" t="str">
        <x:v>2026-10-06_Day</x:v>
      </x:c>
      <x:c r="B28" s="6" t="str">
        <x:v>デイ</x:v>
      </x:c>
      <x:c r="C28" s="6" t="n">
        <x:v>208500</x:v>
      </x:c>
      <x:c r="D28" s="6" t="n">
        <x:v>494000</x:v>
      </x:c>
      <x:c r="E28" s="6" t="n">
        <x:f>C28-D28</x:f>
        <x:v>-285500</x:v>
      </x:c>
      <x:c r="F28" s="6" t="n">
        <x:f>F27+E28</x:f>
        <x:v>-13408500</x:v>
      </x:c>
      <x:c r="G28" s="6" t="n">
        <x:v>208500</x:v>
      </x:c>
      <x:c r="H28" s="6" t="n">
        <x:v>494000</x:v>
      </x:c>
      <x:c r="I28" s="6" t="n">
        <x:v>203</x:v>
      </x:c>
      <x:c r="J28" s="6" t="n">
        <x:v>0</x:v>
      </x:c>
      <x:c r="K28" s="6" t="n">
        <x:v>0</x:v>
      </x:c>
      <x:c r="L28" s="6" t="n">
        <x:v>10</x:v>
      </x:c>
      <x:c r="M28" s="11" t="n">
        <x:v>0.7953968253968254</x:v>
      </x:c>
      <x:c r="N28" s="6" t="n">
        <x:v>290000</x:v>
      </x:c>
    </x:row>
    <x:row r="29" ht="24" customHeight="1">
      <x:c r="A29" s="2" t="str">
        <x:v>2026-10-06_Night</x:v>
      </x:c>
      <x:c r="B29" s="6" t="str">
        <x:v>ナイト</x:v>
      </x:c>
      <x:c r="C29" s="6" t="n">
        <x:v>92000</x:v>
      </x:c>
      <x:c r="D29" s="6" t="n">
        <x:v>417500</x:v>
      </x:c>
      <x:c r="E29" s="6" t="n">
        <x:f>C29-D29</x:f>
        <x:v>-325500</x:v>
      </x:c>
      <x:c r="F29" s="6" t="n">
        <x:f>F28+E29</x:f>
        <x:v>-13734000</x:v>
      </x:c>
      <x:c r="G29" s="6" t="n">
        <x:v>92000</x:v>
      </x:c>
      <x:c r="H29" s="6" t="n">
        <x:v>417500</x:v>
      </x:c>
      <x:c r="I29" s="6" t="n">
        <x:v>277</x:v>
      </x:c>
      <x:c r="J29" s="6" t="n">
        <x:v>0</x:v>
      </x:c>
      <x:c r="K29" s="6" t="n">
        <x:v>0</x:v>
      </x:c>
      <x:c r="L29" s="6" t="n">
        <x:v>10</x:v>
      </x:c>
      <x:c r="M29" s="11" t="n">
        <x:v>0.7555128205128205</x:v>
      </x:c>
      <x:c r="N29" s="6" t="n">
        <x:v>332000</x:v>
      </x:c>
    </x:row>
    <x:row r="30" ht="24" customHeight="1">
      <x:c r="A30" s="2" t="str">
        <x:v>2026-10-07_Day</x:v>
      </x:c>
      <x:c r="B30" s="6" t="str">
        <x:v>デイ</x:v>
      </x:c>
      <x:c r="C30" s="6" t="n">
        <x:v>242000</x:v>
      </x:c>
      <x:c r="D30" s="6" t="n">
        <x:v>487000</x:v>
      </x:c>
      <x:c r="E30" s="6" t="n">
        <x:f>C30-D30</x:f>
        <x:v>-245000</x:v>
      </x:c>
      <x:c r="F30" s="6" t="n">
        <x:f>F29+E30</x:f>
        <x:v>-13979000</x:v>
      </x:c>
      <x:c r="G30" s="6" t="n">
        <x:v>242000</x:v>
      </x:c>
      <x:c r="H30" s="6" t="n">
        <x:v>487000</x:v>
      </x:c>
      <x:c r="I30" s="6" t="n">
        <x:v>175</x:v>
      </x:c>
      <x:c r="J30" s="6" t="n">
        <x:v>0</x:v>
      </x:c>
      <x:c r="K30" s="6" t="n">
        <x:v>0</x:v>
      </x:c>
      <x:c r="L30" s="6" t="n">
        <x:v>10</x:v>
      </x:c>
      <x:c r="M30" s="11" t="n">
        <x:v>0.7925396825396825</x:v>
      </x:c>
      <x:c r="N30" s="6" t="n">
        <x:v>336000</x:v>
      </x:c>
    </x:row>
    <x:row r="31" ht="24" customHeight="1">
      <x:c r="A31" s="2" t="str">
        <x:v>2026-10-07_Night</x:v>
      </x:c>
      <x:c r="B31" s="6" t="str">
        <x:v>ナイト</x:v>
      </x:c>
      <x:c r="C31" s="6" t="n">
        <x:v>189000</x:v>
      </x:c>
      <x:c r="D31" s="6" t="n">
        <x:v>631500</x:v>
      </x:c>
      <x:c r="E31" s="6" t="n">
        <x:f>C31-D31</x:f>
        <x:v>-442500</x:v>
      </x:c>
      <x:c r="F31" s="6" t="n">
        <x:f>F30+E31</x:f>
        <x:v>-14421500</x:v>
      </x:c>
      <x:c r="G31" s="6" t="n">
        <x:v>189000</x:v>
      </x:c>
      <x:c r="H31" s="6" t="n">
        <x:v>631500</x:v>
      </x:c>
      <x:c r="I31" s="6" t="n">
        <x:v>271</x:v>
      </x:c>
      <x:c r="J31" s="6" t="n">
        <x:v>0</x:v>
      </x:c>
      <x:c r="K31" s="6" t="n">
        <x:v>0</x:v>
      </x:c>
      <x:c r="L31" s="6" t="n">
        <x:v>10</x:v>
      </x:c>
      <x:c r="M31" s="11" t="n">
        <x:v>0.7736324786324786</x:v>
      </x:c>
      <x:c r="N31" s="6" t="n">
        <x:v>446500</x:v>
      </x:c>
    </x:row>
    <x:row r="32" ht="24" customHeight="1">
      <x:c r="A32" s="2" t="str">
        <x:v>2026-10-08_Day</x:v>
      </x:c>
      <x:c r="B32" s="6" t="str">
        <x:v>デイ</x:v>
      </x:c>
      <x:c r="C32" s="6" t="n">
        <x:v>459500</x:v>
      </x:c>
      <x:c r="D32" s="6" t="n">
        <x:v>465500</x:v>
      </x:c>
      <x:c r="E32" s="6" t="n">
        <x:f>C32-D32</x:f>
        <x:v>-6000</x:v>
      </x:c>
      <x:c r="F32" s="6" t="n">
        <x:f>F31+E32</x:f>
        <x:v>-14427500</x:v>
      </x:c>
      <x:c r="G32" s="6" t="n">
        <x:v>459500</x:v>
      </x:c>
      <x:c r="H32" s="6" t="n">
        <x:v>465500</x:v>
      </x:c>
      <x:c r="I32" s="6" t="n">
        <x:v>191</x:v>
      </x:c>
      <x:c r="J32" s="6" t="n">
        <x:v>0</x:v>
      </x:c>
      <x:c r="K32" s="6" t="n">
        <x:v>0</x:v>
      </x:c>
      <x:c r="L32" s="6" t="n">
        <x:v>10</x:v>
      </x:c>
      <x:c r="M32" s="11" t="n">
        <x:v>0.8100793650793651</x:v>
      </x:c>
      <x:c r="N32" s="6" t="n">
        <x:v>258500</x:v>
      </x:c>
    </x:row>
    <x:row r="33" ht="24" customHeight="1">
      <x:c r="A33" s="2" t="str">
        <x:v>2026-10-08_Night</x:v>
      </x:c>
      <x:c r="B33" s="6" t="str">
        <x:v>ナイト</x:v>
      </x:c>
      <x:c r="C33" s="6" t="n">
        <x:v>467000</x:v>
      </x:c>
      <x:c r="D33" s="6" t="n">
        <x:v>1057000</x:v>
      </x:c>
      <x:c r="E33" s="6" t="n">
        <x:f>C33-D33</x:f>
        <x:v>-590000</x:v>
      </x:c>
      <x:c r="F33" s="6" t="n">
        <x:f>F32+E33</x:f>
        <x:v>-15017500</x:v>
      </x:c>
      <x:c r="G33" s="6" t="n">
        <x:v>467000</x:v>
      </x:c>
      <x:c r="H33" s="6" t="n">
        <x:v>1057000</x:v>
      </x:c>
      <x:c r="I33" s="6" t="n">
        <x:v>310</x:v>
      </x:c>
      <x:c r="J33" s="6" t="n">
        <x:v>0</x:v>
      </x:c>
      <x:c r="K33" s="6" t="n">
        <x:v>0</x:v>
      </x:c>
      <x:c r="L33" s="6" t="n">
        <x:v>10</x:v>
      </x:c>
      <x:c r="M33" s="11" t="n">
        <x:v>0.7961965811965812</x:v>
      </x:c>
      <x:c r="N33" s="6" t="n">
        <x:v>620500</x:v>
      </x:c>
    </x:row>
    <x:row r="34" ht="24" customHeight="1">
      <x:c r="A34" s="2" t="str">
        <x:v>2026-10-09_Day</x:v>
      </x:c>
      <x:c r="B34" s="6" t="str">
        <x:v>デイ</x:v>
      </x:c>
      <x:c r="C34" s="6" t="n">
        <x:v>401500</x:v>
      </x:c>
      <x:c r="D34" s="6" t="n">
        <x:v>1060000</x:v>
      </x:c>
      <x:c r="E34" s="6" t="n">
        <x:f>C34-D34</x:f>
        <x:v>-658500</x:v>
      </x:c>
      <x:c r="F34" s="6" t="n">
        <x:f>F33+E34</x:f>
        <x:v>-15676000</x:v>
      </x:c>
      <x:c r="G34" s="6" t="n">
        <x:v>401500</x:v>
      </x:c>
      <x:c r="H34" s="6" t="n">
        <x:v>1060000</x:v>
      </x:c>
      <x:c r="I34" s="6" t="n">
        <x:v>197</x:v>
      </x:c>
      <x:c r="J34" s="6" t="n">
        <x:v>0</x:v>
      </x:c>
      <x:c r="K34" s="6" t="n">
        <x:v>0</x:v>
      </x:c>
      <x:c r="L34" s="6" t="n">
        <x:v>10</x:v>
      </x:c>
      <x:c r="M34" s="11" t="n">
        <x:v>0.8080952380952381</x:v>
      </x:c>
      <x:c r="N34" s="6" t="n">
        <x:v>694500</x:v>
      </x:c>
    </x:row>
    <x:row r="35" ht="24" customHeight="1">
      <x:c r="A35" s="2" t="str">
        <x:v>2026-10-09_Night</x:v>
      </x:c>
      <x:c r="B35" s="6" t="str">
        <x:v>ナイト</x:v>
      </x:c>
      <x:c r="C35" s="6" t="n">
        <x:v>124000</x:v>
      </x:c>
      <x:c r="D35" s="6" t="n">
        <x:v>596500</x:v>
      </x:c>
      <x:c r="E35" s="6" t="n">
        <x:f>C35-D35</x:f>
        <x:v>-472500</x:v>
      </x:c>
      <x:c r="F35" s="6" t="n">
        <x:f>F34+E35</x:f>
        <x:v>-16148500</x:v>
      </x:c>
      <x:c r="G35" s="6" t="n">
        <x:v>124000</x:v>
      </x:c>
      <x:c r="H35" s="6" t="n">
        <x:v>596500</x:v>
      </x:c>
      <x:c r="I35" s="6" t="n">
        <x:v>255</x:v>
      </x:c>
      <x:c r="J35" s="6" t="n">
        <x:v>0</x:v>
      </x:c>
      <x:c r="K35" s="6" t="n">
        <x:v>0</x:v>
      </x:c>
      <x:c r="L35" s="6" t="n">
        <x:v>10</x:v>
      </x:c>
      <x:c r="M35" s="11" t="n">
        <x:v>0.7514529914529915</x:v>
      </x:c>
      <x:c r="N35" s="6" t="n">
        <x:v>475000</x:v>
      </x:c>
    </x:row>
    <x:row r="36" ht="24" customHeight="1">
      <x:c r="A36" s="2" t="str">
        <x:v>2026-10-12_Day</x:v>
      </x:c>
      <x:c r="B36" s="6" t="str">
        <x:v>デイ</x:v>
      </x:c>
      <x:c r="C36" s="6" t="n">
        <x:v>47500</x:v>
      </x:c>
      <x:c r="D36" s="6" t="n">
        <x:v>320000</x:v>
      </x:c>
      <x:c r="E36" s="6" t="n">
        <x:f>C36-D36</x:f>
        <x:v>-272500</x:v>
      </x:c>
      <x:c r="F36" s="6" t="n">
        <x:f>F35+E36</x:f>
        <x:v>-16421000</x:v>
      </x:c>
      <x:c r="G36" s="6" t="n">
        <x:v>47500</x:v>
      </x:c>
      <x:c r="H36" s="6" t="n">
        <x:v>320000</x:v>
      </x:c>
      <x:c r="I36" s="6" t="n">
        <x:v>115</x:v>
      </x:c>
      <x:c r="J36" s="6" t="n">
        <x:v>0</x:v>
      </x:c>
      <x:c r="K36" s="6" t="n">
        <x:v>0</x:v>
      </x:c>
      <x:c r="L36" s="6" t="n">
        <x:v>10</x:v>
      </x:c>
      <x:c r="M36" s="11" t="n">
        <x:v>0.7342857142857143</x:v>
      </x:c>
      <x:c r="N36" s="6" t="n">
        <x:v>272500</x:v>
      </x:c>
    </x:row>
    <x:row r="37" ht="24" customHeight="1">
      <x:c r="A37" s="2" t="str">
        <x:v>2026-10-12_Night</x:v>
      </x:c>
      <x:c r="B37" s="6" t="str">
        <x:v>ナイト</x:v>
      </x:c>
      <x:c r="C37" s="6" t="n">
        <x:v>63500</x:v>
      </x:c>
      <x:c r="D37" s="6" t="n">
        <x:v>311000</x:v>
      </x:c>
      <x:c r="E37" s="6" t="n">
        <x:f>C37-D37</x:f>
        <x:v>-247500</x:v>
      </x:c>
      <x:c r="F37" s="6" t="n">
        <x:f>F36+E37</x:f>
        <x:v>-16668500</x:v>
      </x:c>
      <x:c r="G37" s="6" t="n">
        <x:v>63500</x:v>
      </x:c>
      <x:c r="H37" s="6" t="n">
        <x:v>311000</x:v>
      </x:c>
      <x:c r="I37" s="6" t="n">
        <x:v>188</x:v>
      </x:c>
      <x:c r="J37" s="6" t="n">
        <x:v>0</x:v>
      </x:c>
      <x:c r="K37" s="6" t="n">
        <x:v>0</x:v>
      </x:c>
      <x:c r="L37" s="6" t="n">
        <x:v>10</x:v>
      </x:c>
      <x:c r="M37" s="11" t="n">
        <x:v>0.6876923076923077</x:v>
      </x:c>
      <x:c r="N37" s="6" t="n">
        <x:v>248000</x:v>
      </x:c>
    </x:row>
    <x:row r="38" ht="24" customHeight="1">
      <x:c r="A38" s="2" t="str">
        <x:v>2026-10-13_Day</x:v>
      </x:c>
      <x:c r="B38" s="6" t="str">
        <x:v>デイ</x:v>
      </x:c>
      <x:c r="C38" s="6" t="n">
        <x:v>317000</x:v>
      </x:c>
      <x:c r="D38" s="6" t="n">
        <x:v>1199000</x:v>
      </x:c>
      <x:c r="E38" s="6" t="n">
        <x:f>C38-D38</x:f>
        <x:v>-882000</x:v>
      </x:c>
      <x:c r="F38" s="6" t="n">
        <x:f>F37+E38</x:f>
        <x:v>-17550500</x:v>
      </x:c>
      <x:c r="G38" s="6" t="n">
        <x:v>317000</x:v>
      </x:c>
      <x:c r="H38" s="6" t="n">
        <x:v>1199000</x:v>
      </x:c>
      <x:c r="I38" s="6" t="n">
        <x:v>231</x:v>
      </x:c>
      <x:c r="J38" s="6" t="n">
        <x:v>0</x:v>
      </x:c>
      <x:c r="K38" s="6" t="n">
        <x:v>0</x:v>
      </x:c>
      <x:c r="L38" s="6" t="n">
        <x:v>10</x:v>
      </x:c>
      <x:c r="M38" s="11" t="n">
        <x:v>0.8046031746031747</x:v>
      </x:c>
      <x:c r="N38" s="6" t="n">
        <x:v>889000</x:v>
      </x:c>
    </x:row>
    <x:row r="39" ht="24" customHeight="1">
      <x:c r="A39" s="2" t="str">
        <x:v>2026-10-13_Night</x:v>
      </x:c>
      <x:c r="B39" s="6" t="str">
        <x:v>ナイト</x:v>
      </x:c>
      <x:c r="C39" s="6" t="n">
        <x:v>89500</x:v>
      </x:c>
      <x:c r="D39" s="6" t="n">
        <x:v>383500</x:v>
      </x:c>
      <x:c r="E39" s="6" t="n">
        <x:f>C39-D39</x:f>
        <x:v>-294000</x:v>
      </x:c>
      <x:c r="F39" s="6" t="n">
        <x:f>F38+E39</x:f>
        <x:v>-17844500</x:v>
      </x:c>
      <x:c r="G39" s="6" t="n">
        <x:v>89500</x:v>
      </x:c>
      <x:c r="H39" s="6" t="n">
        <x:v>383500</x:v>
      </x:c>
      <x:c r="I39" s="6" t="n">
        <x:v>224</x:v>
      </x:c>
      <x:c r="J39" s="6" t="n">
        <x:v>0</x:v>
      </x:c>
      <x:c r="K39" s="6" t="n">
        <x:v>0</x:v>
      </x:c>
      <x:c r="L39" s="6" t="n">
        <x:v>10</x:v>
      </x:c>
      <x:c r="M39" s="11" t="n">
        <x:v>0.7367094017094017</x:v>
      </x:c>
      <x:c r="N39" s="6" t="n">
        <x:v>297000</x:v>
      </x:c>
    </x:row>
    <x:row r="40" ht="24" customHeight="1">
      <x:c r="A40" s="2" t="str">
        <x:v>2026-10-14_Day</x:v>
      </x:c>
      <x:c r="B40" s="6" t="str">
        <x:v>デイ</x:v>
      </x:c>
      <x:c r="C40" s="6" t="n">
        <x:v>157000</x:v>
      </x:c>
      <x:c r="D40" s="6" t="n">
        <x:v>848500</x:v>
      </x:c>
      <x:c r="E40" s="6" t="n">
        <x:f>C40-D40</x:f>
        <x:v>-691500</x:v>
      </x:c>
      <x:c r="F40" s="6" t="n">
        <x:f>F39+E40</x:f>
        <x:v>-18536000</x:v>
      </x:c>
      <x:c r="G40" s="6" t="n">
        <x:v>157000</x:v>
      </x:c>
      <x:c r="H40" s="6" t="n">
        <x:v>848500</x:v>
      </x:c>
      <x:c r="I40" s="6" t="n">
        <x:v>203</x:v>
      </x:c>
      <x:c r="J40" s="6" t="n">
        <x:v>0</x:v>
      </x:c>
      <x:c r="K40" s="6" t="n">
        <x:v>0</x:v>
      </x:c>
      <x:c r="L40" s="6" t="n">
        <x:v>10</x:v>
      </x:c>
      <x:c r="M40" s="11" t="n">
        <x:v>0.794404761904762</x:v>
      </x:c>
      <x:c r="N40" s="6" t="n">
        <x:v>692000</x:v>
      </x:c>
    </x:row>
    <x:row r="41" ht="24" customHeight="1">
      <x:c r="A41" s="2" t="str">
        <x:v>2026-10-14_Night</x:v>
      </x:c>
      <x:c r="B41" s="6" t="str">
        <x:v>ナイト</x:v>
      </x:c>
      <x:c r="C41" s="6" t="n">
        <x:v>456500</x:v>
      </x:c>
      <x:c r="D41" s="6" t="n">
        <x:v>737500</x:v>
      </x:c>
      <x:c r="E41" s="6" t="n">
        <x:f>C41-D41</x:f>
        <x:v>-281000</x:v>
      </x:c>
      <x:c r="F41" s="6" t="n">
        <x:f>F40+E41</x:f>
        <x:v>-18817000</x:v>
      </x:c>
      <x:c r="G41" s="6" t="n">
        <x:v>456500</x:v>
      </x:c>
      <x:c r="H41" s="6" t="n">
        <x:v>737500</x:v>
      </x:c>
      <x:c r="I41" s="6" t="n">
        <x:v>272</x:v>
      </x:c>
      <x:c r="J41" s="6" t="n">
        <x:v>0</x:v>
      </x:c>
      <x:c r="K41" s="6" t="n">
        <x:v>0</x:v>
      </x:c>
      <x:c r="L41" s="6" t="n">
        <x:v>10</x:v>
      </x:c>
      <x:c r="M41" s="11" t="n">
        <x:v>0.8034188034188035</x:v>
      </x:c>
      <x:c r="N41" s="6" t="n">
        <x:v>299500</x:v>
      </x:c>
    </x:row>
    <x:row r="42" ht="24" customHeight="1">
      <x:c r="A42" s="2" t="str">
        <x:v>2026-10-15_Day</x:v>
      </x:c>
      <x:c r="B42" s="6" t="str">
        <x:v>デイ</x:v>
      </x:c>
      <x:c r="C42" s="6" t="n">
        <x:v>703000</x:v>
      </x:c>
      <x:c r="D42" s="6" t="n">
        <x:v>1636500</x:v>
      </x:c>
      <x:c r="E42" s="6" t="n">
        <x:f>C42-D42</x:f>
        <x:v>-933500</x:v>
      </x:c>
      <x:c r="F42" s="6" t="n">
        <x:f>F41+E42</x:f>
        <x:v>-19750500</x:v>
      </x:c>
      <x:c r="G42" s="6" t="n">
        <x:v>703000</x:v>
      </x:c>
      <x:c r="H42" s="6" t="n">
        <x:v>1636500</x:v>
      </x:c>
      <x:c r="I42" s="6" t="n">
        <x:v>239</x:v>
      </x:c>
      <x:c r="J42" s="6" t="n">
        <x:v>0</x:v>
      </x:c>
      <x:c r="K42" s="6" t="n">
        <x:v>0</x:v>
      </x:c>
      <x:c r="L42" s="6" t="n">
        <x:v>10</x:v>
      </x:c>
      <x:c r="M42" s="11" t="n">
        <x:v>0.8136507936507936</x:v>
      </x:c>
      <x:c r="N42" s="6" t="n">
        <x:v>971000</x:v>
      </x:c>
    </x:row>
    <x:row r="43" ht="24" customHeight="1">
      <x:c r="A43" s="2" t="str">
        <x:v>2026-10-15_Night</x:v>
      </x:c>
      <x:c r="B43" s="6" t="str">
        <x:v>ナイト</x:v>
      </x:c>
      <x:c r="C43" s="6" t="n">
        <x:v>440000</x:v>
      </x:c>
      <x:c r="D43" s="6" t="n">
        <x:v>1200500</x:v>
      </x:c>
      <x:c r="E43" s="6" t="n">
        <x:f>C43-D43</x:f>
        <x:v>-760500</x:v>
      </x:c>
      <x:c r="F43" s="6" t="n">
        <x:f>F42+E43</x:f>
        <x:v>-20511000</x:v>
      </x:c>
      <x:c r="G43" s="6" t="n">
        <x:v>440000</x:v>
      </x:c>
      <x:c r="H43" s="6" t="n">
        <x:v>1200500</x:v>
      </x:c>
      <x:c r="I43" s="6" t="n">
        <x:v>297</x:v>
      </x:c>
      <x:c r="J43" s="6" t="n">
        <x:v>0</x:v>
      </x:c>
      <x:c r="K43" s="6" t="n">
        <x:v>0</x:v>
      </x:c>
      <x:c r="L43" s="6" t="n">
        <x:v>10</x:v>
      </x:c>
      <x:c r="M43" s="11" t="n">
        <x:v>0.8223290598290598</x:v>
      </x:c>
      <x:c r="N43" s="6" t="n">
        <x:v>766000</x:v>
      </x:c>
    </x:row>
    <x:row r="44" ht="24" customHeight="1">
      <x:c r="A44" s="2" t="str">
        <x:v>2026-10-16_Day</x:v>
      </x:c>
      <x:c r="B44" s="6" t="str">
        <x:v>デイ</x:v>
      </x:c>
      <x:c r="C44" s="6" t="n">
        <x:v>337500</x:v>
      </x:c>
      <x:c r="D44" s="6" t="n">
        <x:v>1023000</x:v>
      </x:c>
      <x:c r="E44" s="6" t="n">
        <x:f>C44-D44</x:f>
        <x:v>-685500</x:v>
      </x:c>
      <x:c r="F44" s="6" t="n">
        <x:f>F43+E44</x:f>
        <x:v>-21196500</x:v>
      </x:c>
      <x:c r="G44" s="6" t="n">
        <x:v>337500</x:v>
      </x:c>
      <x:c r="H44" s="6" t="n">
        <x:v>1023000</x:v>
      </x:c>
      <x:c r="I44" s="6" t="n">
        <x:v>235</x:v>
      </x:c>
      <x:c r="J44" s="6" t="n">
        <x:v>0</x:v>
      </x:c>
      <x:c r="K44" s="6" t="n">
        <x:v>0</x:v>
      </x:c>
      <x:c r="L44" s="6" t="n">
        <x:v>10</x:v>
      </x:c>
      <x:c r="M44" s="11" t="n">
        <x:v>0.7944444444444444</x:v>
      </x:c>
      <x:c r="N44" s="6" t="n">
        <x:v>693000</x:v>
      </x:c>
    </x:row>
    <x:row r="45" ht="24" customHeight="1">
      <x:c r="A45" s="2" t="str">
        <x:v>2026-10-16_Night</x:v>
      </x:c>
      <x:c r="B45" s="6" t="str">
        <x:v>ナイト</x:v>
      </x:c>
      <x:c r="C45" s="6" t="n">
        <x:v>464500</x:v>
      </x:c>
      <x:c r="D45" s="6" t="n">
        <x:v>1217500</x:v>
      </x:c>
      <x:c r="E45" s="6" t="n">
        <x:f>C45-D45</x:f>
        <x:v>-753000</x:v>
      </x:c>
      <x:c r="F45" s="6" t="n">
        <x:f>F44+E45</x:f>
        <x:v>-21949500</x:v>
      </x:c>
      <x:c r="G45" s="6" t="n">
        <x:v>464500</x:v>
      </x:c>
      <x:c r="H45" s="6" t="n">
        <x:v>1217500</x:v>
      </x:c>
      <x:c r="I45" s="6" t="n">
        <x:v>327</x:v>
      </x:c>
      <x:c r="J45" s="6" t="n">
        <x:v>0</x:v>
      </x:c>
      <x:c r="K45" s="6" t="n">
        <x:v>0</x:v>
      </x:c>
      <x:c r="L45" s="6" t="n">
        <x:v>10</x:v>
      </x:c>
      <x:c r="M45" s="11" t="n">
        <x:v>0.8141880341880342</x:v>
      </x:c>
      <x:c r="N45" s="6" t="n">
        <x:v>758000</x:v>
      </x:c>
    </x:row>
    <x:row r="46" ht="24" customHeight="1">
      <x:c r="A46" s="2" t="str">
        <x:v>2026-10-19_Day</x:v>
      </x:c>
      <x:c r="B46" s="6" t="str">
        <x:v>デイ</x:v>
      </x:c>
      <x:c r="C46" s="6" t="n">
        <x:v>526500</x:v>
      </x:c>
      <x:c r="D46" s="6" t="n">
        <x:v>1147500</x:v>
      </x:c>
      <x:c r="E46" s="6" t="n">
        <x:f>C46-D46</x:f>
        <x:v>-621000</x:v>
      </x:c>
      <x:c r="F46" s="6" t="n">
        <x:f>F45+E46</x:f>
        <x:v>-22570500</x:v>
      </x:c>
      <x:c r="G46" s="6" t="n">
        <x:v>526500</x:v>
      </x:c>
      <x:c r="H46" s="6" t="n">
        <x:v>1147500</x:v>
      </x:c>
      <x:c r="I46" s="6" t="n">
        <x:v>205</x:v>
      </x:c>
      <x:c r="J46" s="6" t="n">
        <x:v>0</x:v>
      </x:c>
      <x:c r="K46" s="6" t="n">
        <x:v>0</x:v>
      </x:c>
      <x:c r="L46" s="6" t="n">
        <x:v>10</x:v>
      </x:c>
      <x:c r="M46" s="11" t="n">
        <x:v>0.8114285714285714</x:v>
      </x:c>
      <x:c r="N46" s="6" t="n">
        <x:v>760000</x:v>
      </x:c>
    </x:row>
    <x:row r="47" ht="24" customHeight="1">
      <x:c r="A47" s="2" t="str">
        <x:v>2026-10-19_Night</x:v>
      </x:c>
      <x:c r="B47" s="6" t="str">
        <x:v>ナイト</x:v>
      </x:c>
      <x:c r="C47" s="6" t="n">
        <x:v>212500</x:v>
      </x:c>
      <x:c r="D47" s="6" t="n">
        <x:v>878500</x:v>
      </x:c>
      <x:c r="E47" s="6" t="n">
        <x:f>C47-D47</x:f>
        <x:v>-666000</x:v>
      </x:c>
      <x:c r="F47" s="6" t="n">
        <x:f>F46+E47</x:f>
        <x:v>-23236500</x:v>
      </x:c>
      <x:c r="G47" s="6" t="n">
        <x:v>212500</x:v>
      </x:c>
      <x:c r="H47" s="6" t="n">
        <x:v>878500</x:v>
      </x:c>
      <x:c r="I47" s="6" t="n">
        <x:v>289</x:v>
      </x:c>
      <x:c r="J47" s="6" t="n">
        <x:v>0</x:v>
      </x:c>
      <x:c r="K47" s="6" t="n">
        <x:v>0</x:v>
      </x:c>
      <x:c r="L47" s="6" t="n">
        <x:v>10</x:v>
      </x:c>
      <x:c r="M47" s="11" t="n">
        <x:v>0.778931623931624</x:v>
      </x:c>
      <x:c r="N47" s="6" t="n">
        <x:v>670000</x:v>
      </x:c>
    </x:row>
    <x:row r="48" ht="24" customHeight="1">
      <x:c r="A48" s="2" t="str">
        <x:v>2026-10-20_Day</x:v>
      </x:c>
      <x:c r="B48" s="6" t="str">
        <x:v>デイ</x:v>
      </x:c>
      <x:c r="C48" s="6" t="n">
        <x:v>433500</x:v>
      </x:c>
      <x:c r="D48" s="6" t="n">
        <x:v>1062500</x:v>
      </x:c>
      <x:c r="E48" s="6" t="n">
        <x:f>C48-D48</x:f>
        <x:v>-629000</x:v>
      </x:c>
      <x:c r="F48" s="6" t="n">
        <x:f>F47+E48</x:f>
        <x:v>-23865500</x:v>
      </x:c>
      <x:c r="G48" s="6" t="n">
        <x:v>433500</x:v>
      </x:c>
      <x:c r="H48" s="6" t="n">
        <x:v>1062500</x:v>
      </x:c>
      <x:c r="I48" s="6" t="n">
        <x:v>203</x:v>
      </x:c>
      <x:c r="J48" s="6" t="n">
        <x:v>0</x:v>
      </x:c>
      <x:c r="K48" s="6" t="n">
        <x:v>0</x:v>
      </x:c>
      <x:c r="L48" s="6" t="n">
        <x:v>10</x:v>
      </x:c>
      <x:c r="M48" s="11" t="n">
        <x:v>0.8344444444444444</x:v>
      </x:c>
      <x:c r="N48" s="6" t="n">
        <x:v>649000</x:v>
      </x:c>
    </x:row>
    <x:row r="49" ht="24" customHeight="1">
      <x:c r="A49" s="2" t="str">
        <x:v>2026-10-20_Night</x:v>
      </x:c>
      <x:c r="B49" s="6" t="str">
        <x:v>ナイト</x:v>
      </x:c>
      <x:c r="C49" s="6" t="n">
        <x:v>453500</x:v>
      </x:c>
      <x:c r="D49" s="6" t="n">
        <x:v>882000</x:v>
      </x:c>
      <x:c r="E49" s="6" t="n">
        <x:f>C49-D49</x:f>
        <x:v>-428500</x:v>
      </x:c>
      <x:c r="F49" s="6" t="n">
        <x:f>F48+E49</x:f>
        <x:v>-24294000</x:v>
      </x:c>
      <x:c r="G49" s="6" t="n">
        <x:v>453500</x:v>
      </x:c>
      <x:c r="H49" s="6" t="n">
        <x:v>882000</x:v>
      </x:c>
      <x:c r="I49" s="6" t="n">
        <x:v>281</x:v>
      </x:c>
      <x:c r="J49" s="6" t="n">
        <x:v>0</x:v>
      </x:c>
      <x:c r="K49" s="6" t="n">
        <x:v>0</x:v>
      </x:c>
      <x:c r="L49" s="6" t="n">
        <x:v>10</x:v>
      </x:c>
      <x:c r="M49" s="11" t="n">
        <x:v>0.7959615384615385</x:v>
      </x:c>
      <x:c r="N49" s="6" t="n">
        <x:v>439500</x:v>
      </x:c>
    </x:row>
    <x:row r="50" ht="24" customHeight="1">
      <x:c r="A50" s="2" t="str">
        <x:v>2026-10-21_Day</x:v>
      </x:c>
      <x:c r="B50" s="6" t="str">
        <x:v>デイ</x:v>
      </x:c>
      <x:c r="C50" s="6" t="n">
        <x:v>169000</x:v>
      </x:c>
      <x:c r="D50" s="6" t="n">
        <x:v>864500</x:v>
      </x:c>
      <x:c r="E50" s="6" t="n">
        <x:f>C50-D50</x:f>
        <x:v>-695500</x:v>
      </x:c>
      <x:c r="F50" s="6" t="n">
        <x:f>F49+E50</x:f>
        <x:v>-24989500</x:v>
      </x:c>
      <x:c r="G50" s="6" t="n">
        <x:v>169000</x:v>
      </x:c>
      <x:c r="H50" s="6" t="n">
        <x:v>864500</x:v>
      </x:c>
      <x:c r="I50" s="6" t="n">
        <x:v>197</x:v>
      </x:c>
      <x:c r="J50" s="6" t="n">
        <x:v>0</x:v>
      </x:c>
      <x:c r="K50" s="6" t="n">
        <x:v>0</x:v>
      </x:c>
      <x:c r="L50" s="6" t="n">
        <x:v>10</x:v>
      </x:c>
      <x:c r="M50" s="11" t="n">
        <x:v>0.803968253968254</x:v>
      </x:c>
      <x:c r="N50" s="6" t="n">
        <x:v>716000</x:v>
      </x:c>
    </x:row>
    <x:row r="51" ht="24" customHeight="1">
      <x:c r="A51" s="2" t="str">
        <x:v>2026-10-21_Night</x:v>
      </x:c>
      <x:c r="B51" s="6" t="str">
        <x:v>ナイト</x:v>
      </x:c>
      <x:c r="C51" s="6" t="n">
        <x:v>362500</x:v>
      </x:c>
      <x:c r="D51" s="6" t="n">
        <x:v>734500</x:v>
      </x:c>
      <x:c r="E51" s="6" t="n">
        <x:f>C51-D51</x:f>
        <x:v>-372000</x:v>
      </x:c>
      <x:c r="F51" s="6" t="n">
        <x:f>F50+E51</x:f>
        <x:v>-25361500</x:v>
      </x:c>
      <x:c r="G51" s="6" t="n">
        <x:v>362500</x:v>
      </x:c>
      <x:c r="H51" s="6" t="n">
        <x:v>734500</x:v>
      </x:c>
      <x:c r="I51" s="6" t="n">
        <x:v>266</x:v>
      </x:c>
      <x:c r="J51" s="6" t="n">
        <x:v>0</x:v>
      </x:c>
      <x:c r="K51" s="6" t="n">
        <x:v>0</x:v>
      </x:c>
      <x:c r="L51" s="6" t="n">
        <x:v>10</x:v>
      </x:c>
      <x:c r="M51" s="11" t="n">
        <x:v>0.788525641025641</x:v>
      </x:c>
      <x:c r="N51" s="6" t="n">
        <x:v>378000</x:v>
      </x:c>
    </x:row>
    <x:row r="52" ht="24" customHeight="1">
      <x:c r="A52" s="2" t="str">
        <x:v>2026-10-22_Day</x:v>
      </x:c>
      <x:c r="B52" s="6" t="str">
        <x:v>デイ</x:v>
      </x:c>
      <x:c r="C52" s="6" t="n">
        <x:v>558500</x:v>
      </x:c>
      <x:c r="D52" s="6" t="n">
        <x:v>914500</x:v>
      </x:c>
      <x:c r="E52" s="6" t="n">
        <x:f>C52-D52</x:f>
        <x:v>-356000</x:v>
      </x:c>
      <x:c r="F52" s="6" t="n">
        <x:f>F51+E52</x:f>
        <x:v>-25717500</x:v>
      </x:c>
      <x:c r="G52" s="6" t="n">
        <x:v>558500</x:v>
      </x:c>
      <x:c r="H52" s="6" t="n">
        <x:v>914500</x:v>
      </x:c>
      <x:c r="I52" s="6" t="n">
        <x:v>208</x:v>
      </x:c>
      <x:c r="J52" s="6" t="n">
        <x:v>0</x:v>
      </x:c>
      <x:c r="K52" s="6" t="n">
        <x:v>0</x:v>
      </x:c>
      <x:c r="L52" s="6" t="n">
        <x:v>10</x:v>
      </x:c>
      <x:c r="M52" s="11" t="n">
        <x:v>0.8274206349206349</x:v>
      </x:c>
      <x:c r="N52" s="6" t="n">
        <x:v>484000</x:v>
      </x:c>
    </x:row>
    <x:row r="53" ht="24" customHeight="1">
      <x:c r="A53" s="2" t="str">
        <x:v>2026-10-22_Night</x:v>
      </x:c>
      <x:c r="B53" s="6" t="str">
        <x:v>ナイト</x:v>
      </x:c>
      <x:c r="C53" s="6" t="n">
        <x:v>449000</x:v>
      </x:c>
      <x:c r="D53" s="6" t="n">
        <x:v>949000</x:v>
      </x:c>
      <x:c r="E53" s="6" t="n">
        <x:f>C53-D53</x:f>
        <x:v>-500000</x:v>
      </x:c>
      <x:c r="F53" s="6" t="n">
        <x:f>F52+E53</x:f>
        <x:v>-26217500</x:v>
      </x:c>
      <x:c r="G53" s="6" t="n">
        <x:v>449000</x:v>
      </x:c>
      <x:c r="H53" s="6" t="n">
        <x:v>949000</x:v>
      </x:c>
      <x:c r="I53" s="6" t="n">
        <x:v>308</x:v>
      </x:c>
      <x:c r="J53" s="6" t="n">
        <x:v>0</x:v>
      </x:c>
      <x:c r="K53" s="6" t="n">
        <x:v>0</x:v>
      </x:c>
      <x:c r="L53" s="6" t="n">
        <x:v>10</x:v>
      </x:c>
      <x:c r="M53" s="11" t="n">
        <x:v>0.8151068376068376</x:v>
      </x:c>
      <x:c r="N53" s="6" t="n">
        <x:v>523000</x:v>
      </x:c>
    </x:row>
    <x:row r="54" ht="24" customHeight="1">
      <x:c r="A54" s="2" t="str">
        <x:v>2026-10-23_Day</x:v>
      </x:c>
      <x:c r="B54" s="6" t="str">
        <x:v>デイ</x:v>
      </x:c>
      <x:c r="C54" s="6" t="n">
        <x:v>1486500</x:v>
      </x:c>
      <x:c r="D54" s="6" t="n">
        <x:v>2005000</x:v>
      </x:c>
      <x:c r="E54" s="6" t="n">
        <x:f>C54-D54</x:f>
        <x:v>-518500</x:v>
      </x:c>
      <x:c r="F54" s="6" t="n">
        <x:f>F53+E54</x:f>
        <x:v>-26736000</x:v>
      </x:c>
      <x:c r="G54" s="6" t="n">
        <x:v>1486500</x:v>
      </x:c>
      <x:c r="H54" s="6" t="n">
        <x:v>2005000</x:v>
      </x:c>
      <x:c r="I54" s="6" t="n">
        <x:v>256</x:v>
      </x:c>
      <x:c r="J54" s="6" t="n">
        <x:v>0</x:v>
      </x:c>
      <x:c r="K54" s="6" t="n">
        <x:v>0</x:v>
      </x:c>
      <x:c r="L54" s="6" t="n">
        <x:v>10</x:v>
      </x:c>
      <x:c r="M54" s="11" t="n">
        <x:v>0.8198412698412698</x:v>
      </x:c>
      <x:c r="N54" s="6" t="n">
        <x:v>577500</x:v>
      </x:c>
    </x:row>
    <x:row r="55" ht="24" customHeight="1">
      <x:c r="A55" s="2" t="str">
        <x:v>2026-10-23_Night</x:v>
      </x:c>
      <x:c r="B55" s="6" t="str">
        <x:v>ナイト</x:v>
      </x:c>
      <x:c r="C55" s="6" t="n">
        <x:v>452500</x:v>
      </x:c>
      <x:c r="D55" s="6" t="n">
        <x:v>1366000</x:v>
      </x:c>
      <x:c r="E55" s="6" t="n">
        <x:f>C55-D55</x:f>
        <x:v>-913500</x:v>
      </x:c>
      <x:c r="F55" s="6" t="n">
        <x:f>F54+E55</x:f>
        <x:v>-27649500</x:v>
      </x:c>
      <x:c r="G55" s="6" t="n">
        <x:v>452500</x:v>
      </x:c>
      <x:c r="H55" s="6" t="n">
        <x:v>1366000</x:v>
      </x:c>
      <x:c r="I55" s="6" t="n">
        <x:v>328</x:v>
      </x:c>
      <x:c r="J55" s="6" t="n">
        <x:v>0</x:v>
      </x:c>
      <x:c r="K55" s="6" t="n">
        <x:v>0</x:v>
      </x:c>
      <x:c r="L55" s="6" t="n">
        <x:v>10</x:v>
      </x:c>
      <x:c r="M55" s="11" t="n">
        <x:v>0.7939957264957265</x:v>
      </x:c>
      <x:c r="N55" s="6" t="n">
        <x:v>926000</x:v>
      </x:c>
    </x:row>
    <x:row r="56" ht="24" customHeight="1">
      <x:c r="A56" s="2" t="str">
        <x:v>2026-10-26_Day</x:v>
      </x:c>
      <x:c r="B56" s="6" t="str">
        <x:v>デイ</x:v>
      </x:c>
      <x:c r="C56" s="6" t="n">
        <x:v>578500</x:v>
      </x:c>
      <x:c r="D56" s="6" t="n">
        <x:v>1363500</x:v>
      </x:c>
      <x:c r="E56" s="6" t="n">
        <x:f>C56-D56</x:f>
        <x:v>-785000</x:v>
      </x:c>
      <x:c r="F56" s="6" t="n">
        <x:f>F55+E56</x:f>
        <x:v>-28434500</x:v>
      </x:c>
      <x:c r="G56" s="6" t="n">
        <x:v>578500</x:v>
      </x:c>
      <x:c r="H56" s="6" t="n">
        <x:v>1363500</x:v>
      </x:c>
      <x:c r="I56" s="6" t="n">
        <x:v>224</x:v>
      </x:c>
      <x:c r="J56" s="6" t="n">
        <x:v>0</x:v>
      </x:c>
      <x:c r="K56" s="6" t="n">
        <x:v>0</x:v>
      </x:c>
      <x:c r="L56" s="6" t="n">
        <x:v>10</x:v>
      </x:c>
      <x:c r="M56" s="11" t="n">
        <x:v>0.8161111111111111</x:v>
      </x:c>
      <x:c r="N56" s="6" t="n">
        <x:v>801000</x:v>
      </x:c>
    </x:row>
    <x:row r="57" ht="24" customHeight="1">
      <x:c r="A57" s="15" t="str">
        <x:v>累計／平均／最大</x:v>
      </x:c>
      <x:c r="B57" s="16"/>
      <x:c r="C57" s="16" t="n">
        <x:f>SUM(C6:C56)</x:f>
        <x:v>18348000</x:v>
      </x:c>
      <x:c r="D57" s="16" t="n">
        <x:f>SUM(D6:D56)</x:f>
        <x:v>46782500</x:v>
      </x:c>
      <x:c r="E57" s="16" t="n">
        <x:f>C57-D57</x:f>
        <x:v>-28434500</x:v>
      </x:c>
      <x:c r="F57" s="16" t="n">
        <x:f>F56</x:f>
        <x:v>-28434500</x:v>
      </x:c>
      <x:c r="G57" s="16" t="n">
        <x:f>SUM(G6:G56)</x:f>
        <x:v>18348000</x:v>
      </x:c>
      <x:c r="H57" s="16" t="n">
        <x:f>SUM(H6:H56)</x:f>
        <x:v>46782500</x:v>
      </x:c>
      <x:c r="I57" s="16" t="n">
        <x:f>SUM(I6:I56)</x:f>
        <x:v>12140</x:v>
      </x:c>
      <x:c r="J57" s="16" t="n">
        <x:f>SUM(J6:J56)</x:f>
        <x:v>0</x:v>
      </x:c>
      <x:c r="K57" s="16" t="n">
        <x:f>SUM(K6:K56)</x:f>
        <x:v>0</x:v>
      </x:c>
      <x:c r="L57" s="16" t="n">
        <x:f>MAX(L6:L56)</x:f>
        <x:v>10</x:v>
      </x:c>
      <x:c r="M57" s="17" t="n">
        <x:f>AVERAGE(M6:M56)</x:f>
        <x:v>0.7916445210562861</x:v>
      </x:c>
      <x:c r="N57" s="16" t="n">
        <x:f>MAX(N6:N56)</x:f>
        <x:v>1043000</x:v>
      </x:c>
    </x:row>
  </x:sheetData>
  <x:conditionalFormatting sqref="E6:F56">
    <x:cfRule type="cellIs" dxfId="50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31fcd2975924581"/>
  </x:tableParts>
</x:worksheet>
</file>

<file path=xl/worksheets/sheet5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1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4" customHeight="1">
      <x:c r="A1" s="3" t="str">
        <x:v>TOPIX M10　各セッションの利益・損失・収支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A2" s="4" t="str">
        <x:v>2026/09/21〜10/26デイ・51完了場。日経mini／TOPIXmini各上限10枚・手数料0。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4" customHeight="1">
      <x:c r="A3" s="4" t="str">
        <x:v>180秒の時間加重平均を30秒前と比較。保有中も傾き比例で増減、利益追尾で返済。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4" customHeight="1">
      <x:c r="A4" s="4" t="str">
        <x:v>利益・損失＝FIFO返済配賦別。親＝初回から全返済まで。ラージ気配による模型で、mini実約定の検証ではありません。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42" customHeight="1">
      <x:c r="A5" s="10" t="str">
        <x:v>セッション</x:v>
      </x:c>
      <x:c r="B5" s="10" t="str">
        <x:v>区分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親利益（円）</x:v>
      </x:c>
      <x:c r="H5" s="10" t="str">
        <x:v>親損失（円）</x:v>
      </x:c>
      <x:c r="I5" s="10" t="str">
        <x:v>初回件数</x:v>
      </x:c>
      <x:c r="J5" s="10" t="str">
        <x:v>追加件数</x:v>
      </x:c>
      <x:c r="K5" s="10" t="str">
        <x:v>縮小件数</x:v>
      </x:c>
      <x:c r="L5" s="10" t="str">
        <x:v>最大保有枚数</x:v>
      </x:c>
      <x:c r="M5" s="10" t="str">
        <x:v>保有時間率</x:v>
      </x:c>
      <x:c r="N5" s="10" t="str">
        <x:v>時価最大DD（円）</x:v>
      </x:c>
    </x:row>
    <x:row r="6" ht="24" customHeight="1">
      <x:c r="A6" s="2" t="str">
        <x:v>2026-09-21_Day</x:v>
      </x:c>
      <x:c r="B6" s="6" t="str">
        <x:v>デイ</x:v>
      </x:c>
      <x:c r="C6" s="6" t="n">
        <x:v>163000</x:v>
      </x:c>
      <x:c r="D6" s="6" t="n">
        <x:v>514000</x:v>
      </x:c>
      <x:c r="E6" s="6" t="n">
        <x:f>C6-D6</x:f>
        <x:v>-351000</x:v>
      </x:c>
      <x:c r="F6" s="6" t="n">
        <x:f>E6</x:f>
        <x:v>-351000</x:v>
      </x:c>
      <x:c r="G6" s="6" t="n">
        <x:v>92500</x:v>
      </x:c>
      <x:c r="H6" s="6" t="n">
        <x:v>443500</x:v>
      </x:c>
      <x:c r="I6" s="6" t="n">
        <x:v>33</x:v>
      </x:c>
      <x:c r="J6" s="6" t="n">
        <x:v>96</x:v>
      </x:c>
      <x:c r="K6" s="6" t="n">
        <x:v>116</x:v>
      </x:c>
      <x:c r="L6" s="6" t="n">
        <x:v>10</x:v>
      </x:c>
      <x:c r="M6" s="11" t="n">
        <x:v>0.8928968253968254</x:v>
      </x:c>
      <x:c r="N6" s="6" t="n">
        <x:v>394000</x:v>
      </x:c>
    </x:row>
    <x:row r="7" ht="24" customHeight="1">
      <x:c r="A7" s="2" t="str">
        <x:v>2026-09-21_Night</x:v>
      </x:c>
      <x:c r="B7" s="6" t="str">
        <x:v>ナイト</x:v>
      </x:c>
      <x:c r="C7" s="6" t="n">
        <x:v>62500</x:v>
      </x:c>
      <x:c r="D7" s="6" t="n">
        <x:v>499000</x:v>
      </x:c>
      <x:c r="E7" s="6" t="n">
        <x:f>C7-D7</x:f>
        <x:v>-436500</x:v>
      </x:c>
      <x:c r="F7" s="6" t="n">
        <x:f>F6+E7</x:f>
        <x:v>-787500</x:v>
      </x:c>
      <x:c r="G7" s="6" t="n">
        <x:v>6000</x:v>
      </x:c>
      <x:c r="H7" s="6" t="n">
        <x:v>442500</x:v>
      </x:c>
      <x:c r="I7" s="6" t="n">
        <x:v>27</x:v>
      </x:c>
      <x:c r="J7" s="6" t="n">
        <x:v>198</x:v>
      </x:c>
      <x:c r="K7" s="6" t="n">
        <x:v>231</x:v>
      </x:c>
      <x:c r="L7" s="6" t="n">
        <x:v>10</x:v>
      </x:c>
      <x:c r="M7" s="11" t="n">
        <x:v>0.9105555555555556</x:v>
      </x:c>
      <x:c r="N7" s="6" t="n">
        <x:v>438500</x:v>
      </x:c>
    </x:row>
    <x:row r="8" ht="24" customHeight="1">
      <x:c r="A8" s="2" t="str">
        <x:v>2026-09-22_Day</x:v>
      </x:c>
      <x:c r="B8" s="6" t="str">
        <x:v>デイ</x:v>
      </x:c>
      <x:c r="C8" s="6" t="n">
        <x:v>117500</x:v>
      </x:c>
      <x:c r="D8" s="6" t="n">
        <x:v>684000</x:v>
      </x:c>
      <x:c r="E8" s="6" t="n">
        <x:f>C8-D8</x:f>
        <x:v>-566500</x:v>
      </x:c>
      <x:c r="F8" s="6" t="n">
        <x:f>F7+E8</x:f>
        <x:v>-1354000</x:v>
      </x:c>
      <x:c r="G8" s="6" t="n">
        <x:v>41000</x:v>
      </x:c>
      <x:c r="H8" s="6" t="n">
        <x:v>607500</x:v>
      </x:c>
      <x:c r="I8" s="6" t="n">
        <x:v>34</x:v>
      </x:c>
      <x:c r="J8" s="6" t="n">
        <x:v>179</x:v>
      </x:c>
      <x:c r="K8" s="6" t="n">
        <x:v>201</x:v>
      </x:c>
      <x:c r="L8" s="6" t="n">
        <x:v>10</x:v>
      </x:c>
      <x:c r="M8" s="11" t="n">
        <x:v>0.9112301587301588</x:v>
      </x:c>
      <x:c r="N8" s="6" t="n">
        <x:v>580000</x:v>
      </x:c>
    </x:row>
    <x:row r="9" ht="24" customHeight="1">
      <x:c r="A9" s="2" t="str">
        <x:v>2026-09-22_Night</x:v>
      </x:c>
      <x:c r="B9" s="6" t="str">
        <x:v>ナイト</x:v>
      </x:c>
      <x:c r="C9" s="6" t="n">
        <x:v>381000</x:v>
      </x:c>
      <x:c r="D9" s="6" t="n">
        <x:v>1100000</x:v>
      </x:c>
      <x:c r="E9" s="6" t="n">
        <x:f>C9-D9</x:f>
        <x:v>-719000</x:v>
      </x:c>
      <x:c r="F9" s="6" t="n">
        <x:f>F8+E9</x:f>
        <x:v>-2073000</x:v>
      </x:c>
      <x:c r="G9" s="6" t="n">
        <x:v>252500</x:v>
      </x:c>
      <x:c r="H9" s="6" t="n">
        <x:v>971500</x:v>
      </x:c>
      <x:c r="I9" s="6" t="n">
        <x:v>62</x:v>
      </x:c>
      <x:c r="J9" s="6" t="n">
        <x:v>333</x:v>
      </x:c>
      <x:c r="K9" s="6" t="n">
        <x:v>369</x:v>
      </x:c>
      <x:c r="L9" s="6" t="n">
        <x:v>10</x:v>
      </x:c>
      <x:c r="M9" s="11" t="n">
        <x:v>0.9486752136752137</x:v>
      </x:c>
      <x:c r="N9" s="6" t="n">
        <x:v>771000</x:v>
      </x:c>
    </x:row>
    <x:row r="10" ht="24" customHeight="1">
      <x:c r="A10" s="2" t="str">
        <x:v>2026-09-23_Day</x:v>
      </x:c>
      <x:c r="B10" s="6" t="str">
        <x:v>デイ</x:v>
      </x:c>
      <x:c r="C10" s="6" t="n">
        <x:v>187500</x:v>
      </x:c>
      <x:c r="D10" s="6" t="n">
        <x:v>419000</x:v>
      </x:c>
      <x:c r="E10" s="6" t="n">
        <x:f>C10-D10</x:f>
        <x:v>-231500</x:v>
      </x:c>
      <x:c r="F10" s="6" t="n">
        <x:f>F9+E10</x:f>
        <x:v>-2304500</x:v>
      </x:c>
      <x:c r="G10" s="6" t="n">
        <x:v>127500</x:v>
      </x:c>
      <x:c r="H10" s="6" t="n">
        <x:v>359000</x:v>
      </x:c>
      <x:c r="I10" s="6" t="n">
        <x:v>25</x:v>
      </x:c>
      <x:c r="J10" s="6" t="n">
        <x:v>104</x:v>
      </x:c>
      <x:c r="K10" s="6" t="n">
        <x:v>142</x:v>
      </x:c>
      <x:c r="L10" s="6" t="n">
        <x:v>10</x:v>
      </x:c>
      <x:c r="M10" s="11" t="n">
        <x:v>0.9425</x:v>
      </x:c>
      <x:c r="N10" s="6" t="n">
        <x:v>336500</x:v>
      </x:c>
    </x:row>
    <x:row r="11" ht="24" customHeight="1">
      <x:c r="A11" s="2" t="str">
        <x:v>2026-09-23_Night</x:v>
      </x:c>
      <x:c r="B11" s="6" t="str">
        <x:v>ナイト</x:v>
      </x:c>
      <x:c r="C11" s="6" t="n">
        <x:v>108000</x:v>
      </x:c>
      <x:c r="D11" s="6" t="n">
        <x:v>692500</x:v>
      </x:c>
      <x:c r="E11" s="6" t="n">
        <x:f>C11-D11</x:f>
        <x:v>-584500</x:v>
      </x:c>
      <x:c r="F11" s="6" t="n">
        <x:f>F10+E11</x:f>
        <x:v>-2889000</x:v>
      </x:c>
      <x:c r="G11" s="6" t="n">
        <x:v>34000</x:v>
      </x:c>
      <x:c r="H11" s="6" t="n">
        <x:v>618500</x:v>
      </x:c>
      <x:c r="I11" s="6" t="n">
        <x:v>38</x:v>
      </x:c>
      <x:c r="J11" s="6" t="n">
        <x:v>229</x:v>
      </x:c>
      <x:c r="K11" s="6" t="n">
        <x:v>261</x:v>
      </x:c>
      <x:c r="L11" s="6" t="n">
        <x:v>10</x:v>
      </x:c>
      <x:c r="M11" s="11" t="n">
        <x:v>0.9429273504273504</x:v>
      </x:c>
      <x:c r="N11" s="6" t="n">
        <x:v>588500</x:v>
      </x:c>
    </x:row>
    <x:row r="12" ht="24" customHeight="1">
      <x:c r="A12" s="2" t="str">
        <x:v>2026-09-24_Day</x:v>
      </x:c>
      <x:c r="B12" s="6" t="str">
        <x:v>デイ</x:v>
      </x:c>
      <x:c r="C12" s="6" t="n">
        <x:v>663000</x:v>
      </x:c>
      <x:c r="D12" s="6" t="n">
        <x:v>1320000</x:v>
      </x:c>
      <x:c r="E12" s="6" t="n">
        <x:f>C12-D12</x:f>
        <x:v>-657000</x:v>
      </x:c>
      <x:c r="F12" s="6" t="n">
        <x:f>F11+E12</x:f>
        <x:v>-3546000</x:v>
      </x:c>
      <x:c r="G12" s="6" t="n">
        <x:v>498500</x:v>
      </x:c>
      <x:c r="H12" s="6" t="n">
        <x:v>1155500</x:v>
      </x:c>
      <x:c r="I12" s="6" t="n">
        <x:v>78</x:v>
      </x:c>
      <x:c r="J12" s="6" t="n">
        <x:v>270</x:v>
      </x:c>
      <x:c r="K12" s="6" t="n">
        <x:v>332</x:v>
      </x:c>
      <x:c r="L12" s="6" t="n">
        <x:v>10</x:v>
      </x:c>
      <x:c r="M12" s="11" t="n">
        <x:v>0.9235714285714286</x:v>
      </x:c>
      <x:c r="N12" s="6" t="n">
        <x:v>708500</x:v>
      </x:c>
    </x:row>
    <x:row r="13" ht="24" customHeight="1">
      <x:c r="A13" s="2" t="str">
        <x:v>2026-09-24_Night</x:v>
      </x:c>
      <x:c r="B13" s="6" t="str">
        <x:v>ナイト</x:v>
      </x:c>
      <x:c r="C13" s="6" t="n">
        <x:v>446000</x:v>
      </x:c>
      <x:c r="D13" s="6" t="n">
        <x:v>1258500</x:v>
      </x:c>
      <x:c r="E13" s="6" t="n">
        <x:f>C13-D13</x:f>
        <x:v>-812500</x:v>
      </x:c>
      <x:c r="F13" s="6" t="n">
        <x:f>F12+E13</x:f>
        <x:v>-4358500</x:v>
      </x:c>
      <x:c r="G13" s="6" t="n">
        <x:v>278000</x:v>
      </x:c>
      <x:c r="H13" s="6" t="n">
        <x:v>1090500</x:v>
      </x:c>
      <x:c r="I13" s="6" t="n">
        <x:v>74</x:v>
      </x:c>
      <x:c r="J13" s="6" t="n">
        <x:v>418</x:v>
      </x:c>
      <x:c r="K13" s="6" t="n">
        <x:v>454</x:v>
      </x:c>
      <x:c r="L13" s="6" t="n">
        <x:v>10</x:v>
      </x:c>
      <x:c r="M13" s="11" t="n">
        <x:v>0.9505128205128205</x:v>
      </x:c>
      <x:c r="N13" s="6" t="n">
        <x:v>858500</x:v>
      </x:c>
    </x:row>
    <x:row r="14" ht="24" customHeight="1">
      <x:c r="A14" s="2" t="str">
        <x:v>2026-09-25_Day</x:v>
      </x:c>
      <x:c r="B14" s="6" t="str">
        <x:v>デイ</x:v>
      </x:c>
      <x:c r="C14" s="6" t="n">
        <x:v>443000</x:v>
      </x:c>
      <x:c r="D14" s="6" t="n">
        <x:v>1204000</x:v>
      </x:c>
      <x:c r="E14" s="6" t="n">
        <x:f>C14-D14</x:f>
        <x:v>-761000</x:v>
      </x:c>
      <x:c r="F14" s="6" t="n">
        <x:f>F13+E14</x:f>
        <x:v>-5119500</x:v>
      </x:c>
      <x:c r="G14" s="6" t="n">
        <x:v>332500</x:v>
      </x:c>
      <x:c r="H14" s="6" t="n">
        <x:v>1093500</x:v>
      </x:c>
      <x:c r="I14" s="6" t="n">
        <x:v>59</x:v>
      </x:c>
      <x:c r="J14" s="6" t="n">
        <x:v>278</x:v>
      </x:c>
      <x:c r="K14" s="6" t="n">
        <x:v>322</x:v>
      </x:c>
      <x:c r="L14" s="6" t="n">
        <x:v>10</x:v>
      </x:c>
      <x:c r="M14" s="11" t="n">
        <x:v>0.9403571428571429</x:v>
      </x:c>
      <x:c r="N14" s="6" t="n">
        <x:v>764500</x:v>
      </x:c>
    </x:row>
    <x:row r="15" ht="24" customHeight="1">
      <x:c r="A15" s="2" t="str">
        <x:v>2026-09-25_Night</x:v>
      </x:c>
      <x:c r="B15" s="6" t="str">
        <x:v>ナイト</x:v>
      </x:c>
      <x:c r="C15" s="6" t="n">
        <x:v>361500</x:v>
      </x:c>
      <x:c r="D15" s="6" t="n">
        <x:v>797500</x:v>
      </x:c>
      <x:c r="E15" s="6" t="n">
        <x:f>C15-D15</x:f>
        <x:v>-436000</x:v>
      </x:c>
      <x:c r="F15" s="6" t="n">
        <x:f>F14+E15</x:f>
        <x:v>-5555500</x:v>
      </x:c>
      <x:c r="G15" s="6" t="n">
        <x:v>241500</x:v>
      </x:c>
      <x:c r="H15" s="6" t="n">
        <x:v>677500</x:v>
      </x:c>
      <x:c r="I15" s="6" t="n">
        <x:v>51</x:v>
      </x:c>
      <x:c r="J15" s="6" t="n">
        <x:v>339</x:v>
      </x:c>
      <x:c r="K15" s="6" t="n">
        <x:v>396</x:v>
      </x:c>
      <x:c r="L15" s="6" t="n">
        <x:v>10</x:v>
      </x:c>
      <x:c r="M15" s="11" t="n">
        <x:v>0.9575854700854701</x:v>
      </x:c>
      <x:c r="N15" s="6" t="n">
        <x:v>503500</x:v>
      </x:c>
    </x:row>
    <x:row r="16" ht="24" customHeight="1">
      <x:c r="A16" s="2" t="str">
        <x:v>2026-09-28_Day</x:v>
      </x:c>
      <x:c r="B16" s="6" t="str">
        <x:v>デイ</x:v>
      </x:c>
      <x:c r="C16" s="6" t="n">
        <x:v>422500</x:v>
      </x:c>
      <x:c r="D16" s="6" t="n">
        <x:v>1145500</x:v>
      </x:c>
      <x:c r="E16" s="6" t="n">
        <x:f>C16-D16</x:f>
        <x:v>-723000</x:v>
      </x:c>
      <x:c r="F16" s="6" t="n">
        <x:f>F15+E16</x:f>
        <x:v>-6278500</x:v>
      </x:c>
      <x:c r="G16" s="6" t="n">
        <x:v>326000</x:v>
      </x:c>
      <x:c r="H16" s="6" t="n">
        <x:v>1049000</x:v>
      </x:c>
      <x:c r="I16" s="6" t="n">
        <x:v>56</x:v>
      </x:c>
      <x:c r="J16" s="6" t="n">
        <x:v>294</x:v>
      </x:c>
      <x:c r="K16" s="6" t="n">
        <x:v>313</x:v>
      </x:c>
      <x:c r="L16" s="6" t="n">
        <x:v>10</x:v>
      </x:c>
      <x:c r="M16" s="11" t="n">
        <x:v>0.9301587301587302</x:v>
      </x:c>
      <x:c r="N16" s="6" t="n">
        <x:v>780500</x:v>
      </x:c>
    </x:row>
    <x:row r="17" ht="24" customHeight="1">
      <x:c r="A17" s="2" t="str">
        <x:v>2026-09-28_Night</x:v>
      </x:c>
      <x:c r="B17" s="6" t="str">
        <x:v>ナイト</x:v>
      </x:c>
      <x:c r="C17" s="6" t="n">
        <x:v>423500</x:v>
      </x:c>
      <x:c r="D17" s="6" t="n">
        <x:v>1216000</x:v>
      </x:c>
      <x:c r="E17" s="6" t="n">
        <x:f>C17-D17</x:f>
        <x:v>-792500</x:v>
      </x:c>
      <x:c r="F17" s="6" t="n">
        <x:f>F16+E17</x:f>
        <x:v>-7071000</x:v>
      </x:c>
      <x:c r="G17" s="6" t="n">
        <x:v>271000</x:v>
      </x:c>
      <x:c r="H17" s="6" t="n">
        <x:v>1063500</x:v>
      </x:c>
      <x:c r="I17" s="6" t="n">
        <x:v>64</x:v>
      </x:c>
      <x:c r="J17" s="6" t="n">
        <x:v>321</x:v>
      </x:c>
      <x:c r="K17" s="6" t="n">
        <x:v>399</x:v>
      </x:c>
      <x:c r="L17" s="6" t="n">
        <x:v>10</x:v>
      </x:c>
      <x:c r="M17" s="11" t="n">
        <x:v>0.9614957264957265</x:v>
      </x:c>
      <x:c r="N17" s="6" t="n">
        <x:v>816000</x:v>
      </x:c>
    </x:row>
    <x:row r="18" ht="24" customHeight="1">
      <x:c r="A18" s="2" t="str">
        <x:v>2026-09-29_Day</x:v>
      </x:c>
      <x:c r="B18" s="6" t="str">
        <x:v>デイ</x:v>
      </x:c>
      <x:c r="C18" s="6" t="n">
        <x:v>579500</x:v>
      </x:c>
      <x:c r="D18" s="6" t="n">
        <x:v>1363000</x:v>
      </x:c>
      <x:c r="E18" s="6" t="n">
        <x:f>C18-D18</x:f>
        <x:v>-783500</x:v>
      </x:c>
      <x:c r="F18" s="6" t="n">
        <x:f>F17+E18</x:f>
        <x:v>-7854500</x:v>
      </x:c>
      <x:c r="G18" s="6" t="n">
        <x:v>399000</x:v>
      </x:c>
      <x:c r="H18" s="6" t="n">
        <x:v>1182500</x:v>
      </x:c>
      <x:c r="I18" s="6" t="n">
        <x:v>69</x:v>
      </x:c>
      <x:c r="J18" s="6" t="n">
        <x:v>325</x:v>
      </x:c>
      <x:c r="K18" s="6" t="n">
        <x:v>371</x:v>
      </x:c>
      <x:c r="L18" s="6" t="n">
        <x:v>10</x:v>
      </x:c>
      <x:c r="M18" s="11" t="n">
        <x:v>0.9299206349206349</x:v>
      </x:c>
      <x:c r="N18" s="6" t="n">
        <x:v>864000</x:v>
      </x:c>
    </x:row>
    <x:row r="19" ht="24" customHeight="1">
      <x:c r="A19" s="2" t="str">
        <x:v>2026-09-29_Night</x:v>
      </x:c>
      <x:c r="B19" s="6" t="str">
        <x:v>ナイト</x:v>
      </x:c>
      <x:c r="C19" s="6" t="n">
        <x:v>187000</x:v>
      </x:c>
      <x:c r="D19" s="6" t="n">
        <x:v>1057000</x:v>
      </x:c>
      <x:c r="E19" s="6" t="n">
        <x:f>C19-D19</x:f>
        <x:v>-870000</x:v>
      </x:c>
      <x:c r="F19" s="6" t="n">
        <x:f>F18+E19</x:f>
        <x:v>-8724500</x:v>
      </x:c>
      <x:c r="G19" s="6" t="n">
        <x:v>103500</x:v>
      </x:c>
      <x:c r="H19" s="6" t="n">
        <x:v>973500</x:v>
      </x:c>
      <x:c r="I19" s="6" t="n">
        <x:v>43</x:v>
      </x:c>
      <x:c r="J19" s="6" t="n">
        <x:v>344</x:v>
      </x:c>
      <x:c r="K19" s="6" t="n">
        <x:v>417</x:v>
      </x:c>
      <x:c r="L19" s="6" t="n">
        <x:v>10</x:v>
      </x:c>
      <x:c r="M19" s="11" t="n">
        <x:v>0.9656837606837607</x:v>
      </x:c>
      <x:c r="N19" s="6" t="n">
        <x:v>904000</x:v>
      </x:c>
    </x:row>
    <x:row r="20" ht="24" customHeight="1">
      <x:c r="A20" s="2" t="str">
        <x:v>2026-09-30_Day</x:v>
      </x:c>
      <x:c r="B20" s="6" t="str">
        <x:v>デイ</x:v>
      </x:c>
      <x:c r="C20" s="6" t="n">
        <x:v>462000</x:v>
      </x:c>
      <x:c r="D20" s="6" t="n">
        <x:v>1183000</x:v>
      </x:c>
      <x:c r="E20" s="6" t="n">
        <x:f>C20-D20</x:f>
        <x:v>-721000</x:v>
      </x:c>
      <x:c r="F20" s="6" t="n">
        <x:f>F19+E20</x:f>
        <x:v>-9445500</x:v>
      </x:c>
      <x:c r="G20" s="6" t="n">
        <x:v>301500</x:v>
      </x:c>
      <x:c r="H20" s="6" t="n">
        <x:v>1022500</x:v>
      </x:c>
      <x:c r="I20" s="6" t="n">
        <x:v>56</x:v>
      </x:c>
      <x:c r="J20" s="6" t="n">
        <x:v>369</x:v>
      </x:c>
      <x:c r="K20" s="6" t="n">
        <x:v>398</x:v>
      </x:c>
      <x:c r="L20" s="6" t="n">
        <x:v>10</x:v>
      </x:c>
      <x:c r="M20" s="11" t="n">
        <x:v>0.9407142857142857</x:v>
      </x:c>
      <x:c r="N20" s="6" t="n">
        <x:v>762500</x:v>
      </x:c>
    </x:row>
    <x:row r="21" ht="24" customHeight="1">
      <x:c r="A21" s="2" t="str">
        <x:v>2026-09-30_Night</x:v>
      </x:c>
      <x:c r="B21" s="6" t="str">
        <x:v>ナイト</x:v>
      </x:c>
      <x:c r="C21" s="6" t="n">
        <x:v>484500</x:v>
      </x:c>
      <x:c r="D21" s="6" t="n">
        <x:v>1484500</x:v>
      </x:c>
      <x:c r="E21" s="6" t="n">
        <x:f>C21-D21</x:f>
        <x:v>-1000000</x:v>
      </x:c>
      <x:c r="F21" s="6" t="n">
        <x:f>F20+E21</x:f>
        <x:v>-10445500</x:v>
      </x:c>
      <x:c r="G21" s="6" t="n">
        <x:v>292000</x:v>
      </x:c>
      <x:c r="H21" s="6" t="n">
        <x:v>1292000</x:v>
      </x:c>
      <x:c r="I21" s="6" t="n">
        <x:v>85</x:v>
      </x:c>
      <x:c r="J21" s="6" t="n">
        <x:v>456</x:v>
      </x:c>
      <x:c r="K21" s="6" t="n">
        <x:v>502</x:v>
      </x:c>
      <x:c r="L21" s="6" t="n">
        <x:v>10</x:v>
      </x:c>
      <x:c r="M21" s="11" t="n">
        <x:v>0.9445940170940171</x:v>
      </x:c>
      <x:c r="N21" s="6" t="n">
        <x:v>1037500</x:v>
      </x:c>
    </x:row>
    <x:row r="22" ht="24" customHeight="1">
      <x:c r="A22" s="2" t="str">
        <x:v>2026-10-01_Day</x:v>
      </x:c>
      <x:c r="B22" s="6" t="str">
        <x:v>デイ</x:v>
      </x:c>
      <x:c r="C22" s="6" t="n">
        <x:v>392000</x:v>
      </x:c>
      <x:c r="D22" s="6" t="n">
        <x:v>1213500</x:v>
      </x:c>
      <x:c r="E22" s="6" t="n">
        <x:f>C22-D22</x:f>
        <x:v>-821500</x:v>
      </x:c>
      <x:c r="F22" s="6" t="n">
        <x:f>F21+E22</x:f>
        <x:v>-11267000</x:v>
      </x:c>
      <x:c r="G22" s="6" t="n">
        <x:v>274000</x:v>
      </x:c>
      <x:c r="H22" s="6" t="n">
        <x:v>1095500</x:v>
      </x:c>
      <x:c r="I22" s="6" t="n">
        <x:v>64</x:v>
      </x:c>
      <x:c r="J22" s="6" t="n">
        <x:v>280</x:v>
      </x:c>
      <x:c r="K22" s="6" t="n">
        <x:v>346</x:v>
      </x:c>
      <x:c r="L22" s="6" t="n">
        <x:v>10</x:v>
      </x:c>
      <x:c r="M22" s="11" t="n">
        <x:v>0.9296031746031747</x:v>
      </x:c>
      <x:c r="N22" s="6" t="n">
        <x:v>859000</x:v>
      </x:c>
    </x:row>
    <x:row r="23" ht="24" customHeight="1">
      <x:c r="A23" s="2" t="str">
        <x:v>2026-10-01_Night</x:v>
      </x:c>
      <x:c r="B23" s="6" t="str">
        <x:v>ナイト</x:v>
      </x:c>
      <x:c r="C23" s="6" t="n">
        <x:v>412500</x:v>
      </x:c>
      <x:c r="D23" s="6" t="n">
        <x:v>1678000</x:v>
      </x:c>
      <x:c r="E23" s="6" t="n">
        <x:f>C23-D23</x:f>
        <x:v>-1265500</x:v>
      </x:c>
      <x:c r="F23" s="6" t="n">
        <x:f>F22+E23</x:f>
        <x:v>-12532500</x:v>
      </x:c>
      <x:c r="G23" s="6" t="n">
        <x:v>163500</x:v>
      </x:c>
      <x:c r="H23" s="6" t="n">
        <x:v>1429000</x:v>
      </x:c>
      <x:c r="I23" s="6" t="n">
        <x:v>87</x:v>
      </x:c>
      <x:c r="J23" s="6" t="n">
        <x:v>508</x:v>
      </x:c>
      <x:c r="K23" s="6" t="n">
        <x:v>541</x:v>
      </x:c>
      <x:c r="L23" s="6" t="n">
        <x:v>10</x:v>
      </x:c>
      <x:c r="M23" s="11" t="n">
        <x:v>0.9443589743589743</x:v>
      </x:c>
      <x:c r="N23" s="6" t="n">
        <x:v>1272500</x:v>
      </x:c>
    </x:row>
    <x:row r="24" ht="24" customHeight="1">
      <x:c r="A24" s="2" t="str">
        <x:v>2026-10-02_Day</x:v>
      </x:c>
      <x:c r="B24" s="6" t="str">
        <x:v>デイ</x:v>
      </x:c>
      <x:c r="C24" s="6" t="n">
        <x:v>333500</x:v>
      </x:c>
      <x:c r="D24" s="6" t="n">
        <x:v>1194500</x:v>
      </x:c>
      <x:c r="E24" s="6" t="n">
        <x:f>C24-D24</x:f>
        <x:v>-861000</x:v>
      </x:c>
      <x:c r="F24" s="6" t="n">
        <x:f>F23+E24</x:f>
        <x:v>-13393500</x:v>
      </x:c>
      <x:c r="G24" s="6" t="n">
        <x:v>206000</x:v>
      </x:c>
      <x:c r="H24" s="6" t="n">
        <x:v>1067000</x:v>
      </x:c>
      <x:c r="I24" s="6" t="n">
        <x:v>65</x:v>
      </x:c>
      <x:c r="J24" s="6" t="n">
        <x:v>295</x:v>
      </x:c>
      <x:c r="K24" s="6" t="n">
        <x:v>338</x:v>
      </x:c>
      <x:c r="L24" s="6" t="n">
        <x:v>10</x:v>
      </x:c>
      <x:c r="M24" s="11" t="n">
        <x:v>0.9358730158730159</x:v>
      </x:c>
      <x:c r="N24" s="6" t="n">
        <x:v>890500</x:v>
      </x:c>
    </x:row>
    <x:row r="25" ht="24" customHeight="1">
      <x:c r="A25" s="2" t="str">
        <x:v>2026-10-02_Night</x:v>
      </x:c>
      <x:c r="B25" s="6" t="str">
        <x:v>ナイト</x:v>
      </x:c>
      <x:c r="C25" s="6" t="n">
        <x:v>593000</x:v>
      </x:c>
      <x:c r="D25" s="6" t="n">
        <x:v>1407500</x:v>
      </x:c>
      <x:c r="E25" s="6" t="n">
        <x:f>C25-D25</x:f>
        <x:v>-814500</x:v>
      </x:c>
      <x:c r="F25" s="6" t="n">
        <x:f>F24+E25</x:f>
        <x:v>-14208000</x:v>
      </x:c>
      <x:c r="G25" s="6" t="n">
        <x:v>420000</x:v>
      </x:c>
      <x:c r="H25" s="6" t="n">
        <x:v>1234500</x:v>
      </x:c>
      <x:c r="I25" s="6" t="n">
        <x:v>80</x:v>
      </x:c>
      <x:c r="J25" s="6" t="n">
        <x:v>403</x:v>
      </x:c>
      <x:c r="K25" s="6" t="n">
        <x:v>463</x:v>
      </x:c>
      <x:c r="L25" s="6" t="n">
        <x:v>10</x:v>
      </x:c>
      <x:c r="M25" s="11" t="n">
        <x:v>0.9469017094017094</x:v>
      </x:c>
      <x:c r="N25" s="6" t="n">
        <x:v>883500</x:v>
      </x:c>
    </x:row>
    <x:row r="26" ht="24" customHeight="1">
      <x:c r="A26" s="2" t="str">
        <x:v>2026-10-05_Day</x:v>
      </x:c>
      <x:c r="B26" s="6" t="str">
        <x:v>デイ</x:v>
      </x:c>
      <x:c r="C26" s="6" t="n">
        <x:v>299000</x:v>
      </x:c>
      <x:c r="D26" s="6" t="n">
        <x:v>841000</x:v>
      </x:c>
      <x:c r="E26" s="6" t="n">
        <x:f>C26-D26</x:f>
        <x:v>-542000</x:v>
      </x:c>
      <x:c r="F26" s="6" t="n">
        <x:f>F25+E26</x:f>
        <x:v>-14750000</x:v>
      </x:c>
      <x:c r="G26" s="6" t="n">
        <x:v>162000</x:v>
      </x:c>
      <x:c r="H26" s="6" t="n">
        <x:v>704000</x:v>
      </x:c>
      <x:c r="I26" s="6" t="n">
        <x:v>53</x:v>
      </x:c>
      <x:c r="J26" s="6" t="n">
        <x:v>253</x:v>
      </x:c>
      <x:c r="K26" s="6" t="n">
        <x:v>296</x:v>
      </x:c>
      <x:c r="L26" s="6" t="n">
        <x:v>10</x:v>
      </x:c>
      <x:c r="M26" s="11" t="n">
        <x:v>0.9400396825396825</x:v>
      </x:c>
      <x:c r="N26" s="6" t="n">
        <x:v>609000</x:v>
      </x:c>
    </x:row>
    <x:row r="27" ht="24" customHeight="1">
      <x:c r="A27" s="2" t="str">
        <x:v>2026-10-05_Night</x:v>
      </x:c>
      <x:c r="B27" s="6" t="str">
        <x:v>ナイト</x:v>
      </x:c>
      <x:c r="C27" s="6" t="n">
        <x:v>296500</x:v>
      </x:c>
      <x:c r="D27" s="6" t="n">
        <x:v>814500</x:v>
      </x:c>
      <x:c r="E27" s="6" t="n">
        <x:f>C27-D27</x:f>
        <x:v>-518000</x:v>
      </x:c>
      <x:c r="F27" s="6" t="n">
        <x:f>F26+E27</x:f>
        <x:v>-15268000</x:v>
      </x:c>
      <x:c r="G27" s="6" t="n">
        <x:v>178500</x:v>
      </x:c>
      <x:c r="H27" s="6" t="n">
        <x:v>696500</x:v>
      </x:c>
      <x:c r="I27" s="6" t="n">
        <x:v>38</x:v>
      </x:c>
      <x:c r="J27" s="6" t="n">
        <x:v>334</x:v>
      </x:c>
      <x:c r="K27" s="6" t="n">
        <x:v>377</x:v>
      </x:c>
      <x:c r="L27" s="6" t="n">
        <x:v>10</x:v>
      </x:c>
      <x:c r="M27" s="11" t="n">
        <x:v>0.9570512820512821</x:v>
      </x:c>
      <x:c r="N27" s="6" t="n">
        <x:v>536000</x:v>
      </x:c>
    </x:row>
    <x:row r="28" ht="24" customHeight="1">
      <x:c r="A28" s="2" t="str">
        <x:v>2026-10-06_Day</x:v>
      </x:c>
      <x:c r="B28" s="6" t="str">
        <x:v>デイ</x:v>
      </x:c>
      <x:c r="C28" s="6" t="n">
        <x:v>206000</x:v>
      </x:c>
      <x:c r="D28" s="6" t="n">
        <x:v>667000</x:v>
      </x:c>
      <x:c r="E28" s="6" t="n">
        <x:f>C28-D28</x:f>
        <x:v>-461000</x:v>
      </x:c>
      <x:c r="F28" s="6" t="n">
        <x:f>F27+E28</x:f>
        <x:v>-15729000</x:v>
      </x:c>
      <x:c r="G28" s="6" t="n">
        <x:v>89000</x:v>
      </x:c>
      <x:c r="H28" s="6" t="n">
        <x:v>550000</x:v>
      </x:c>
      <x:c r="I28" s="6" t="n">
        <x:v>28</x:v>
      </x:c>
      <x:c r="J28" s="6" t="n">
        <x:v>290</x:v>
      </x:c>
      <x:c r="K28" s="6" t="n">
        <x:v>288</x:v>
      </x:c>
      <x:c r="L28" s="6" t="n">
        <x:v>10</x:v>
      </x:c>
      <x:c r="M28" s="11" t="n">
        <x:v>0.9408333333333333</x:v>
      </x:c>
      <x:c r="N28" s="6" t="n">
        <x:v>467000</x:v>
      </x:c>
    </x:row>
    <x:row r="29" ht="24" customHeight="1">
      <x:c r="A29" s="2" t="str">
        <x:v>2026-10-06_Night</x:v>
      </x:c>
      <x:c r="B29" s="6" t="str">
        <x:v>ナイト</x:v>
      </x:c>
      <x:c r="C29" s="6" t="n">
        <x:v>118500</x:v>
      </x:c>
      <x:c r="D29" s="6" t="n">
        <x:v>463500</x:v>
      </x:c>
      <x:c r="E29" s="6" t="n">
        <x:f>C29-D29</x:f>
        <x:v>-345000</x:v>
      </x:c>
      <x:c r="F29" s="6" t="n">
        <x:f>F28+E29</x:f>
        <x:v>-16074000</x:v>
      </x:c>
      <x:c r="G29" s="6" t="n">
        <x:v>30000</x:v>
      </x:c>
      <x:c r="H29" s="6" t="n">
        <x:v>375000</x:v>
      </x:c>
      <x:c r="I29" s="6" t="n">
        <x:v>20</x:v>
      </x:c>
      <x:c r="J29" s="6" t="n">
        <x:v>315</x:v>
      </x:c>
      <x:c r="K29" s="6" t="n">
        <x:v>328</x:v>
      </x:c>
      <x:c r="L29" s="6" t="n">
        <x:v>10</x:v>
      </x:c>
      <x:c r="M29" s="11" t="n">
        <x:v>0.9753632478632479</x:v>
      </x:c>
      <x:c r="N29" s="6" t="n">
        <x:v>367000</x:v>
      </x:c>
    </x:row>
    <x:row r="30" ht="24" customHeight="1">
      <x:c r="A30" s="2" t="str">
        <x:v>2026-10-07_Day</x:v>
      </x:c>
      <x:c r="B30" s="6" t="str">
        <x:v>デイ</x:v>
      </x:c>
      <x:c r="C30" s="6" t="n">
        <x:v>282000</x:v>
      </x:c>
      <x:c r="D30" s="6" t="n">
        <x:v>587500</x:v>
      </x:c>
      <x:c r="E30" s="6" t="n">
        <x:f>C30-D30</x:f>
        <x:v>-305500</x:v>
      </x:c>
      <x:c r="F30" s="6" t="n">
        <x:f>F29+E30</x:f>
        <x:v>-16379500</x:v>
      </x:c>
      <x:c r="G30" s="6" t="n">
        <x:v>205000</x:v>
      </x:c>
      <x:c r="H30" s="6" t="n">
        <x:v>510500</x:v>
      </x:c>
      <x:c r="I30" s="6" t="n">
        <x:v>31</x:v>
      </x:c>
      <x:c r="J30" s="6" t="n">
        <x:v>246</x:v>
      </x:c>
      <x:c r="K30" s="6" t="n">
        <x:v>262</x:v>
      </x:c>
      <x:c r="L30" s="6" t="n">
        <x:v>10</x:v>
      </x:c>
      <x:c r="M30" s="11" t="n">
        <x:v>0.9540873015873016</x:v>
      </x:c>
      <x:c r="N30" s="6" t="n">
        <x:v>411000</x:v>
      </x:c>
    </x:row>
    <x:row r="31" ht="24" customHeight="1">
      <x:c r="A31" s="2" t="str">
        <x:v>2026-10-07_Night</x:v>
      </x:c>
      <x:c r="B31" s="6" t="str">
        <x:v>ナイト</x:v>
      </x:c>
      <x:c r="C31" s="6" t="n">
        <x:v>158500</x:v>
      </x:c>
      <x:c r="D31" s="6" t="n">
        <x:v>825000</x:v>
      </x:c>
      <x:c r="E31" s="6" t="n">
        <x:f>C31-D31</x:f>
        <x:v>-666500</x:v>
      </x:c>
      <x:c r="F31" s="6" t="n">
        <x:f>F30+E31</x:f>
        <x:v>-17046000</x:v>
      </x:c>
      <x:c r="G31" s="6" t="n">
        <x:v>65500</x:v>
      </x:c>
      <x:c r="H31" s="6" t="n">
        <x:v>732000</x:v>
      </x:c>
      <x:c r="I31" s="6" t="n">
        <x:v>43</x:v>
      </x:c>
      <x:c r="J31" s="6" t="n">
        <x:v>325</x:v>
      </x:c>
      <x:c r="K31" s="6" t="n">
        <x:v>359</x:v>
      </x:c>
      <x:c r="L31" s="6" t="n">
        <x:v>10</x:v>
      </x:c>
      <x:c r="M31" s="11" t="n">
        <x:v>0.9586965811965812</x:v>
      </x:c>
      <x:c r="N31" s="6" t="n">
        <x:v>691000</x:v>
      </x:c>
    </x:row>
    <x:row r="32" ht="24" customHeight="1">
      <x:c r="A32" s="2" t="str">
        <x:v>2026-10-08_Day</x:v>
      </x:c>
      <x:c r="B32" s="6" t="str">
        <x:v>デイ</x:v>
      </x:c>
      <x:c r="C32" s="6" t="n">
        <x:v>540500</x:v>
      </x:c>
      <x:c r="D32" s="6" t="n">
        <x:v>705000</x:v>
      </x:c>
      <x:c r="E32" s="6" t="n">
        <x:f>C32-D32</x:f>
        <x:v>-164500</x:v>
      </x:c>
      <x:c r="F32" s="6" t="n">
        <x:f>F31+E32</x:f>
        <x:v>-17210500</x:v>
      </x:c>
      <x:c r="G32" s="6" t="n">
        <x:v>421000</x:v>
      </x:c>
      <x:c r="H32" s="6" t="n">
        <x:v>585500</x:v>
      </x:c>
      <x:c r="I32" s="6" t="n">
        <x:v>50</x:v>
      </x:c>
      <x:c r="J32" s="6" t="n">
        <x:v>262</x:v>
      </x:c>
      <x:c r="K32" s="6" t="n">
        <x:v>316</x:v>
      </x:c>
      <x:c r="L32" s="6" t="n">
        <x:v>10</x:v>
      </x:c>
      <x:c r="M32" s="11" t="n">
        <x:v>0.9371031746031746</x:v>
      </x:c>
      <x:c r="N32" s="6" t="n">
        <x:v>418500</x:v>
      </x:c>
    </x:row>
    <x:row r="33" ht="24" customHeight="1">
      <x:c r="A33" s="2" t="str">
        <x:v>2026-10-08_Night</x:v>
      </x:c>
      <x:c r="B33" s="6" t="str">
        <x:v>ナイト</x:v>
      </x:c>
      <x:c r="C33" s="6" t="n">
        <x:v>353500</x:v>
      </x:c>
      <x:c r="D33" s="6" t="n">
        <x:v>1178500</x:v>
      </x:c>
      <x:c r="E33" s="6" t="n">
        <x:f>C33-D33</x:f>
        <x:v>-825000</x:v>
      </x:c>
      <x:c r="F33" s="6" t="n">
        <x:f>F32+E33</x:f>
        <x:v>-18035500</x:v>
      </x:c>
      <x:c r="G33" s="6" t="n">
        <x:v>170500</x:v>
      </x:c>
      <x:c r="H33" s="6" t="n">
        <x:v>995500</x:v>
      </x:c>
      <x:c r="I33" s="6" t="n">
        <x:v>58</x:v>
      </x:c>
      <x:c r="J33" s="6" t="n">
        <x:v>454</x:v>
      </x:c>
      <x:c r="K33" s="6" t="n">
        <x:v>488</x:v>
      </x:c>
      <x:c r="L33" s="6" t="n">
        <x:v>10</x:v>
      </x:c>
      <x:c r="M33" s="11" t="n">
        <x:v>0.9620726495726496</x:v>
      </x:c>
      <x:c r="N33" s="6" t="n">
        <x:v>855500</x:v>
      </x:c>
    </x:row>
    <x:row r="34" ht="24" customHeight="1">
      <x:c r="A34" s="2" t="str">
        <x:v>2026-10-09_Day</x:v>
      </x:c>
      <x:c r="B34" s="6" t="str">
        <x:v>デイ</x:v>
      </x:c>
      <x:c r="C34" s="6" t="n">
        <x:v>342500</x:v>
      </x:c>
      <x:c r="D34" s="6" t="n">
        <x:v>1117500</x:v>
      </x:c>
      <x:c r="E34" s="6" t="n">
        <x:f>C34-D34</x:f>
        <x:v>-775000</x:v>
      </x:c>
      <x:c r="F34" s="6" t="n">
        <x:f>F33+E34</x:f>
        <x:v>-18810500</x:v>
      </x:c>
      <x:c r="G34" s="6" t="n">
        <x:v>259500</x:v>
      </x:c>
      <x:c r="H34" s="6" t="n">
        <x:v>1034500</x:v>
      </x:c>
      <x:c r="I34" s="6" t="n">
        <x:v>47</x:v>
      </x:c>
      <x:c r="J34" s="6" t="n">
        <x:v>254</x:v>
      </x:c>
      <x:c r="K34" s="6" t="n">
        <x:v>312</x:v>
      </x:c>
      <x:c r="L34" s="6" t="n">
        <x:v>10</x:v>
      </x:c>
      <x:c r="M34" s="11" t="n">
        <x:v>0.9401984126984126</x:v>
      </x:c>
      <x:c r="N34" s="6" t="n">
        <x:v>796500</x:v>
      </x:c>
    </x:row>
    <x:row r="35" ht="24" customHeight="1">
      <x:c r="A35" s="2" t="str">
        <x:v>2026-10-09_Night</x:v>
      </x:c>
      <x:c r="B35" s="6" t="str">
        <x:v>ナイト</x:v>
      </x:c>
      <x:c r="C35" s="6" t="n">
        <x:v>93000</x:v>
      </x:c>
      <x:c r="D35" s="6" t="n">
        <x:v>686000</x:v>
      </x:c>
      <x:c r="E35" s="6" t="n">
        <x:f>C35-D35</x:f>
        <x:v>-593000</x:v>
      </x:c>
      <x:c r="F35" s="6" t="n">
        <x:f>F34+E35</x:f>
        <x:v>-19403500</x:v>
      </x:c>
      <x:c r="G35" s="6" t="n">
        <x:v>24000</x:v>
      </x:c>
      <x:c r="H35" s="6" t="n">
        <x:v>617000</x:v>
      </x:c>
      <x:c r="I35" s="6" t="n">
        <x:v>33</x:v>
      </x:c>
      <x:c r="J35" s="6" t="n">
        <x:v>288</x:v>
      </x:c>
      <x:c r="K35" s="6" t="n">
        <x:v>329</x:v>
      </x:c>
      <x:c r="L35" s="6" t="n">
        <x:v>10</x:v>
      </x:c>
      <x:c r="M35" s="11" t="n">
        <x:v>0.969059829059829</x:v>
      </x:c>
      <x:c r="N35" s="6" t="n">
        <x:v>594500</x:v>
      </x:c>
    </x:row>
    <x:row r="36" ht="24" customHeight="1">
      <x:c r="A36" s="2" t="str">
        <x:v>2026-10-12_Day</x:v>
      </x:c>
      <x:c r="B36" s="6" t="str">
        <x:v>デイ</x:v>
      </x:c>
      <x:c r="C36" s="6" t="n">
        <x:v>48500</x:v>
      </x:c>
      <x:c r="D36" s="6" t="n">
        <x:v>260000</x:v>
      </x:c>
      <x:c r="E36" s="6" t="n">
        <x:f>C36-D36</x:f>
        <x:v>-211500</x:v>
      </x:c>
      <x:c r="F36" s="6" t="n">
        <x:f>F35+E36</x:f>
        <x:v>-19615000</x:v>
      </x:c>
      <x:c r="G36" s="6" t="n">
        <x:v>23500</x:v>
      </x:c>
      <x:c r="H36" s="6" t="n">
        <x:v>235000</x:v>
      </x:c>
      <x:c r="I36" s="6" t="n">
        <x:v>14</x:v>
      </x:c>
      <x:c r="J36" s="6" t="n">
        <x:v>98</x:v>
      </x:c>
      <x:c r="K36" s="6" t="n">
        <x:v>118</x:v>
      </x:c>
      <x:c r="L36" s="6" t="n">
        <x:v>10</x:v>
      </x:c>
      <x:c r="M36" s="11" t="n">
        <x:v>0.9490079365079365</x:v>
      </x:c>
      <x:c r="N36" s="6" t="n">
        <x:v>216500</x:v>
      </x:c>
    </x:row>
    <x:row r="37" ht="24" customHeight="1">
      <x:c r="A37" s="2" t="str">
        <x:v>2026-10-12_Night</x:v>
      </x:c>
      <x:c r="B37" s="6" t="str">
        <x:v>ナイト</x:v>
      </x:c>
      <x:c r="C37" s="6" t="n">
        <x:v>58000</x:v>
      </x:c>
      <x:c r="D37" s="6" t="n">
        <x:v>454500</x:v>
      </x:c>
      <x:c r="E37" s="6" t="n">
        <x:f>C37-D37</x:f>
        <x:v>-396500</x:v>
      </x:c>
      <x:c r="F37" s="6" t="n">
        <x:f>F36+E37</x:f>
        <x:v>-20011500</x:v>
      </x:c>
      <x:c r="G37" s="6" t="n">
        <x:v>0</x:v>
      </x:c>
      <x:c r="H37" s="6" t="n">
        <x:v>396500</x:v>
      </x:c>
      <x:c r="I37" s="6" t="n">
        <x:v>26</x:v>
      </x:c>
      <x:c r="J37" s="6" t="n">
        <x:v>197</x:v>
      </x:c>
      <x:c r="K37" s="6" t="n">
        <x:v>233</x:v>
      </x:c>
      <x:c r="L37" s="6" t="n">
        <x:v>10</x:v>
      </x:c>
      <x:c r="M37" s="11" t="n">
        <x:v>0.9501495726495727</x:v>
      </x:c>
      <x:c r="N37" s="6" t="n">
        <x:v>397000</x:v>
      </x:c>
    </x:row>
    <x:row r="38" ht="24" customHeight="1">
      <x:c r="A38" s="2" t="str">
        <x:v>2026-10-13_Day</x:v>
      </x:c>
      <x:c r="B38" s="6" t="str">
        <x:v>デイ</x:v>
      </x:c>
      <x:c r="C38" s="6" t="n">
        <x:v>392000</x:v>
      </x:c>
      <x:c r="D38" s="6" t="n">
        <x:v>1207500</x:v>
      </x:c>
      <x:c r="E38" s="6" t="n">
        <x:f>C38-D38</x:f>
        <x:v>-815500</x:v>
      </x:c>
      <x:c r="F38" s="6" t="n">
        <x:f>F37+E38</x:f>
        <x:v>-20827000</x:v>
      </x:c>
      <x:c r="G38" s="6" t="n">
        <x:v>291000</x:v>
      </x:c>
      <x:c r="H38" s="6" t="n">
        <x:v>1106500</x:v>
      </x:c>
      <x:c r="I38" s="6" t="n">
        <x:v>61</x:v>
      </x:c>
      <x:c r="J38" s="6" t="n">
        <x:v>291</x:v>
      </x:c>
      <x:c r="K38" s="6" t="n">
        <x:v>325</x:v>
      </x:c>
      <x:c r="L38" s="6" t="n">
        <x:v>10</x:v>
      </x:c>
      <x:c r="M38" s="11" t="n">
        <x:v>0.9244444444444444</x:v>
      </x:c>
      <x:c r="N38" s="6" t="n">
        <x:v>825500</x:v>
      </x:c>
    </x:row>
    <x:row r="39" ht="24" customHeight="1">
      <x:c r="A39" s="2" t="str">
        <x:v>2026-10-13_Night</x:v>
      </x:c>
      <x:c r="B39" s="6" t="str">
        <x:v>ナイト</x:v>
      </x:c>
      <x:c r="C39" s="6" t="n">
        <x:v>97000</x:v>
      </x:c>
      <x:c r="D39" s="6" t="n">
        <x:v>480500</x:v>
      </x:c>
      <x:c r="E39" s="6" t="n">
        <x:f>C39-D39</x:f>
        <x:v>-383500</x:v>
      </x:c>
      <x:c r="F39" s="6" t="n">
        <x:f>F38+E39</x:f>
        <x:v>-21210500</x:v>
      </x:c>
      <x:c r="G39" s="6" t="n">
        <x:v>23000</x:v>
      </x:c>
      <x:c r="H39" s="6" t="n">
        <x:v>406500</x:v>
      </x:c>
      <x:c r="I39" s="6" t="n">
        <x:v>35</x:v>
      </x:c>
      <x:c r="J39" s="6" t="n">
        <x:v>281</x:v>
      </x:c>
      <x:c r="K39" s="6" t="n">
        <x:v>299</x:v>
      </x:c>
      <x:c r="L39" s="6" t="n">
        <x:v>10</x:v>
      </x:c>
      <x:c r="M39" s="11" t="n">
        <x:v>0.9535042735042735</x:v>
      </x:c>
      <x:c r="N39" s="6" t="n">
        <x:v>387000</x:v>
      </x:c>
    </x:row>
    <x:row r="40" ht="24" customHeight="1">
      <x:c r="A40" s="2" t="str">
        <x:v>2026-10-14_Day</x:v>
      </x:c>
      <x:c r="B40" s="6" t="str">
        <x:v>デイ</x:v>
      </x:c>
      <x:c r="C40" s="6" t="n">
        <x:v>159000</x:v>
      </x:c>
      <x:c r="D40" s="6" t="n">
        <x:v>855000</x:v>
      </x:c>
      <x:c r="E40" s="6" t="n">
        <x:f>C40-D40</x:f>
        <x:v>-696000</x:v>
      </x:c>
      <x:c r="F40" s="6" t="n">
        <x:f>F39+E40</x:f>
        <x:v>-21906500</x:v>
      </x:c>
      <x:c r="G40" s="6" t="n">
        <x:v>102000</x:v>
      </x:c>
      <x:c r="H40" s="6" t="n">
        <x:v>798000</x:v>
      </x:c>
      <x:c r="I40" s="6" t="n">
        <x:v>41</x:v>
      </x:c>
      <x:c r="J40" s="6" t="n">
        <x:v>247</x:v>
      </x:c>
      <x:c r="K40" s="6" t="n">
        <x:v>286</x:v>
      </x:c>
      <x:c r="L40" s="6" t="n">
        <x:v>10</x:v>
      </x:c>
      <x:c r="M40" s="11" t="n">
        <x:v>0.9478968253968254</x:v>
      </x:c>
      <x:c r="N40" s="6" t="n">
        <x:v>705000</x:v>
      </x:c>
    </x:row>
    <x:row r="41" ht="24" customHeight="1">
      <x:c r="A41" s="2" t="str">
        <x:v>2026-10-14_Night</x:v>
      </x:c>
      <x:c r="B41" s="6" t="str">
        <x:v>ナイト</x:v>
      </x:c>
      <x:c r="C41" s="6" t="n">
        <x:v>424000</x:v>
      </x:c>
      <x:c r="D41" s="6" t="n">
        <x:v>1126500</x:v>
      </x:c>
      <x:c r="E41" s="6" t="n">
        <x:f>C41-D41</x:f>
        <x:v>-702500</x:v>
      </x:c>
      <x:c r="F41" s="6" t="n">
        <x:f>F40+E41</x:f>
        <x:v>-22609000</x:v>
      </x:c>
      <x:c r="G41" s="6" t="n">
        <x:v>293500</x:v>
      </x:c>
      <x:c r="H41" s="6" t="n">
        <x:v>996000</x:v>
      </x:c>
      <x:c r="I41" s="6" t="n">
        <x:v>66</x:v>
      </x:c>
      <x:c r="J41" s="6" t="n">
        <x:v>375</x:v>
      </x:c>
      <x:c r="K41" s="6" t="n">
        <x:v>414</x:v>
      </x:c>
      <x:c r="L41" s="6" t="n">
        <x:v>10</x:v>
      </x:c>
      <x:c r="M41" s="11" t="n">
        <x:v>0.9451282051282052</x:v>
      </x:c>
      <x:c r="N41" s="6" t="n">
        <x:v>710500</x:v>
      </x:c>
    </x:row>
    <x:row r="42" ht="24" customHeight="1">
      <x:c r="A42" s="2" t="str">
        <x:v>2026-10-15_Day</x:v>
      </x:c>
      <x:c r="B42" s="6" t="str">
        <x:v>デイ</x:v>
      </x:c>
      <x:c r="C42" s="6" t="n">
        <x:v>840500</x:v>
      </x:c>
      <x:c r="D42" s="6" t="n">
        <x:v>1672500</x:v>
      </x:c>
      <x:c r="E42" s="6" t="n">
        <x:f>C42-D42</x:f>
        <x:v>-832000</x:v>
      </x:c>
      <x:c r="F42" s="6" t="n">
        <x:f>F41+E42</x:f>
        <x:v>-23441000</x:v>
      </x:c>
      <x:c r="G42" s="6" t="n">
        <x:v>646500</x:v>
      </x:c>
      <x:c r="H42" s="6" t="n">
        <x:v>1478500</x:v>
      </x:c>
      <x:c r="I42" s="6" t="n">
        <x:v>97</x:v>
      </x:c>
      <x:c r="J42" s="6" t="n">
        <x:v>301</x:v>
      </x:c>
      <x:c r="K42" s="6" t="n">
        <x:v>375</x:v>
      </x:c>
      <x:c r="L42" s="6" t="n">
        <x:v>10</x:v>
      </x:c>
      <x:c r="M42" s="11" t="n">
        <x:v>0.9086904761904762</x:v>
      </x:c>
      <x:c r="N42" s="6" t="n">
        <x:v>883500</x:v>
      </x:c>
    </x:row>
    <x:row r="43" ht="24" customHeight="1">
      <x:c r="A43" s="2" t="str">
        <x:v>2026-10-15_Night</x:v>
      </x:c>
      <x:c r="B43" s="6" t="str">
        <x:v>ナイト</x:v>
      </x:c>
      <x:c r="C43" s="6" t="n">
        <x:v>535000</x:v>
      </x:c>
      <x:c r="D43" s="6" t="n">
        <x:v>1357500</x:v>
      </x:c>
      <x:c r="E43" s="6" t="n">
        <x:f>C43-D43</x:f>
        <x:v>-822500</x:v>
      </x:c>
      <x:c r="F43" s="6" t="n">
        <x:f>F42+E43</x:f>
        <x:v>-24263500</x:v>
      </x:c>
      <x:c r="G43" s="6" t="n">
        <x:v>389500</x:v>
      </x:c>
      <x:c r="H43" s="6" t="n">
        <x:v>1212000</x:v>
      </x:c>
      <x:c r="I43" s="6" t="n">
        <x:v>76</x:v>
      </x:c>
      <x:c r="J43" s="6" t="n">
        <x:v>416</x:v>
      </x:c>
      <x:c r="K43" s="6" t="n">
        <x:v>487</x:v>
      </x:c>
      <x:c r="L43" s="6" t="n">
        <x:v>10</x:v>
      </x:c>
      <x:c r="M43" s="11" t="n">
        <x:v>0.9581410256410257</x:v>
      </x:c>
      <x:c r="N43" s="6" t="n">
        <x:v>828000</x:v>
      </x:c>
    </x:row>
    <x:row r="44" ht="24" customHeight="1">
      <x:c r="A44" s="2" t="str">
        <x:v>2026-10-16_Day</x:v>
      </x:c>
      <x:c r="B44" s="6" t="str">
        <x:v>デイ</x:v>
      </x:c>
      <x:c r="C44" s="6" t="n">
        <x:v>467000</x:v>
      </x:c>
      <x:c r="D44" s="6" t="n">
        <x:v>1345000</x:v>
      </x:c>
      <x:c r="E44" s="6" t="n">
        <x:f>C44-D44</x:f>
        <x:v>-878000</x:v>
      </x:c>
      <x:c r="F44" s="6" t="n">
        <x:f>F43+E44</x:f>
        <x:v>-25141500</x:v>
      </x:c>
      <x:c r="G44" s="6" t="n">
        <x:v>336000</x:v>
      </x:c>
      <x:c r="H44" s="6" t="n">
        <x:v>1214000</x:v>
      </x:c>
      <x:c r="I44" s="6" t="n">
        <x:v>66</x:v>
      </x:c>
      <x:c r="J44" s="6" t="n">
        <x:v>300</x:v>
      </x:c>
      <x:c r="K44" s="6" t="n">
        <x:v>308</x:v>
      </x:c>
      <x:c r="L44" s="6" t="n">
        <x:v>10</x:v>
      </x:c>
      <x:c r="M44" s="11" t="n">
        <x:v>0.9353968253968254</x:v>
      </x:c>
      <x:c r="N44" s="6" t="n">
        <x:v>903500</x:v>
      </x:c>
    </x:row>
    <x:row r="45" ht="24" customHeight="1">
      <x:c r="A45" s="2" t="str">
        <x:v>2026-10-16_Night</x:v>
      </x:c>
      <x:c r="B45" s="6" t="str">
        <x:v>ナイト</x:v>
      </x:c>
      <x:c r="C45" s="6" t="n">
        <x:v>477000</x:v>
      </x:c>
      <x:c r="D45" s="6" t="n">
        <x:v>1425500</x:v>
      </x:c>
      <x:c r="E45" s="6" t="n">
        <x:f>C45-D45</x:f>
        <x:v>-948500</x:v>
      </x:c>
      <x:c r="F45" s="6" t="n">
        <x:f>F44+E45</x:f>
        <x:v>-26090000</x:v>
      </x:c>
      <x:c r="G45" s="6" t="n">
        <x:v>259500</x:v>
      </x:c>
      <x:c r="H45" s="6" t="n">
        <x:v>1208000</x:v>
      </x:c>
      <x:c r="I45" s="6" t="n">
        <x:v>79</x:v>
      </x:c>
      <x:c r="J45" s="6" t="n">
        <x:v>481</x:v>
      </x:c>
      <x:c r="K45" s="6" t="n">
        <x:v>549</x:v>
      </x:c>
      <x:c r="L45" s="6" t="n">
        <x:v>10</x:v>
      </x:c>
      <x:c r="M45" s="11" t="n">
        <x:v>0.9516452991452992</x:v>
      </x:c>
      <x:c r="N45" s="6" t="n">
        <x:v>949000</x:v>
      </x:c>
    </x:row>
    <x:row r="46" ht="24" customHeight="1">
      <x:c r="A46" s="2" t="str">
        <x:v>2026-10-19_Day</x:v>
      </x:c>
      <x:c r="B46" s="6" t="str">
        <x:v>デイ</x:v>
      </x:c>
      <x:c r="C46" s="6" t="n">
        <x:v>563500</x:v>
      </x:c>
      <x:c r="D46" s="6" t="n">
        <x:v>1371500</x:v>
      </x:c>
      <x:c r="E46" s="6" t="n">
        <x:f>C46-D46</x:f>
        <x:v>-808000</x:v>
      </x:c>
      <x:c r="F46" s="6" t="n">
        <x:f>F45+E46</x:f>
        <x:v>-26898000</x:v>
      </x:c>
      <x:c r="G46" s="6" t="n">
        <x:v>465500</x:v>
      </x:c>
      <x:c r="H46" s="6" t="n">
        <x:v>1273500</x:v>
      </x:c>
      <x:c r="I46" s="6" t="n">
        <x:v>70</x:v>
      </x:c>
      <x:c r="J46" s="6" t="n">
        <x:v>235</x:v>
      </x:c>
      <x:c r="K46" s="6" t="n">
        <x:v>310</x:v>
      </x:c>
      <x:c r="L46" s="6" t="n">
        <x:v>10</x:v>
      </x:c>
      <x:c r="M46" s="11" t="n">
        <x:v>0.9255555555555556</x:v>
      </x:c>
      <x:c r="N46" s="6" t="n">
        <x:v>935500</x:v>
      </x:c>
    </x:row>
    <x:row r="47" ht="24" customHeight="1">
      <x:c r="A47" s="2" t="str">
        <x:v>2026-10-19_Night</x:v>
      </x:c>
      <x:c r="B47" s="6" t="str">
        <x:v>ナイト</x:v>
      </x:c>
      <x:c r="C47" s="6" t="n">
        <x:v>234000</x:v>
      </x:c>
      <x:c r="D47" s="6" t="n">
        <x:v>1005000</x:v>
      </x:c>
      <x:c r="E47" s="6" t="n">
        <x:f>C47-D47</x:f>
        <x:v>-771000</x:v>
      </x:c>
      <x:c r="F47" s="6" t="n">
        <x:f>F46+E47</x:f>
        <x:v>-27669000</x:v>
      </x:c>
      <x:c r="G47" s="6" t="n">
        <x:v>103000</x:v>
      </x:c>
      <x:c r="H47" s="6" t="n">
        <x:v>874000</x:v>
      </x:c>
      <x:c r="I47" s="6" t="n">
        <x:v>52</x:v>
      </x:c>
      <x:c r="J47" s="6" t="n">
        <x:v>371</x:v>
      </x:c>
      <x:c r="K47" s="6" t="n">
        <x:v>411</x:v>
      </x:c>
      <x:c r="L47" s="6" t="n">
        <x:v>10</x:v>
      </x:c>
      <x:c r="M47" s="11" t="n">
        <x:v>0.9603205128205128</x:v>
      </x:c>
      <x:c r="N47" s="6" t="n">
        <x:v>775000</x:v>
      </x:c>
    </x:row>
    <x:row r="48" ht="24" customHeight="1">
      <x:c r="A48" s="2" t="str">
        <x:v>2026-10-20_Day</x:v>
      </x:c>
      <x:c r="B48" s="6" t="str">
        <x:v>デイ</x:v>
      </x:c>
      <x:c r="C48" s="6" t="n">
        <x:v>508000</x:v>
      </x:c>
      <x:c r="D48" s="6" t="n">
        <x:v>1284000</x:v>
      </x:c>
      <x:c r="E48" s="6" t="n">
        <x:f>C48-D48</x:f>
        <x:v>-776000</x:v>
      </x:c>
      <x:c r="F48" s="6" t="n">
        <x:f>F47+E48</x:f>
        <x:v>-28445000</x:v>
      </x:c>
      <x:c r="G48" s="6" t="n">
        <x:v>371500</x:v>
      </x:c>
      <x:c r="H48" s="6" t="n">
        <x:v>1147500</x:v>
      </x:c>
      <x:c r="I48" s="6" t="n">
        <x:v>67</x:v>
      </x:c>
      <x:c r="J48" s="6" t="n">
        <x:v>313</x:v>
      </x:c>
      <x:c r="K48" s="6" t="n">
        <x:v>385</x:v>
      </x:c>
      <x:c r="L48" s="6" t="n">
        <x:v>10</x:v>
      </x:c>
      <x:c r="M48" s="11" t="n">
        <x:v>0.9276587301587301</x:v>
      </x:c>
      <x:c r="N48" s="6" t="n">
        <x:v>816500</x:v>
      </x:c>
    </x:row>
    <x:row r="49" ht="24" customHeight="1">
      <x:c r="A49" s="2" t="str">
        <x:v>2026-10-20_Night</x:v>
      </x:c>
      <x:c r="B49" s="6" t="str">
        <x:v>ナイト</x:v>
      </x:c>
      <x:c r="C49" s="6" t="n">
        <x:v>519000</x:v>
      </x:c>
      <x:c r="D49" s="6" t="n">
        <x:v>1169000</x:v>
      </x:c>
      <x:c r="E49" s="6" t="n">
        <x:f>C49-D49</x:f>
        <x:v>-650000</x:v>
      </x:c>
      <x:c r="F49" s="6" t="n">
        <x:f>F48+E49</x:f>
        <x:v>-29095000</x:v>
      </x:c>
      <x:c r="G49" s="6" t="n">
        <x:v>295000</x:v>
      </x:c>
      <x:c r="H49" s="6" t="n">
        <x:v>945000</x:v>
      </x:c>
      <x:c r="I49" s="6" t="n">
        <x:v>65</x:v>
      </x:c>
      <x:c r="J49" s="6" t="n">
        <x:v>382</x:v>
      </x:c>
      <x:c r="K49" s="6" t="n">
        <x:v>449</x:v>
      </x:c>
      <x:c r="L49" s="6" t="n">
        <x:v>10</x:v>
      </x:c>
      <x:c r="M49" s="11" t="n">
        <x:v>0.9587606837606838</x:v>
      </x:c>
      <x:c r="N49" s="6" t="n">
        <x:v>654500</x:v>
      </x:c>
    </x:row>
    <x:row r="50" ht="24" customHeight="1">
      <x:c r="A50" s="2" t="str">
        <x:v>2026-10-21_Day</x:v>
      </x:c>
      <x:c r="B50" s="6" t="str">
        <x:v>デイ</x:v>
      </x:c>
      <x:c r="C50" s="6" t="n">
        <x:v>173500</x:v>
      </x:c>
      <x:c r="D50" s="6" t="n">
        <x:v>1088000</x:v>
      </x:c>
      <x:c r="E50" s="6" t="n">
        <x:f>C50-D50</x:f>
        <x:v>-914500</x:v>
      </x:c>
      <x:c r="F50" s="6" t="n">
        <x:f>F49+E50</x:f>
        <x:v>-30009500</x:v>
      </x:c>
      <x:c r="G50" s="6" t="n">
        <x:v>87500</x:v>
      </x:c>
      <x:c r="H50" s="6" t="n">
        <x:v>1002000</x:v>
      </x:c>
      <x:c r="I50" s="6" t="n">
        <x:v>48</x:v>
      </x:c>
      <x:c r="J50" s="6" t="n">
        <x:v>246</x:v>
      </x:c>
      <x:c r="K50" s="6" t="n">
        <x:v>320</x:v>
      </x:c>
      <x:c r="L50" s="6" t="n">
        <x:v>10</x:v>
      </x:c>
      <x:c r="M50" s="11" t="n">
        <x:v>0.9212698412698412</x:v>
      </x:c>
      <x:c r="N50" s="6" t="n">
        <x:v>921000</x:v>
      </x:c>
    </x:row>
    <x:row r="51" ht="24" customHeight="1">
      <x:c r="A51" s="2" t="str">
        <x:v>2026-10-21_Night</x:v>
      </x:c>
      <x:c r="B51" s="6" t="str">
        <x:v>ナイト</x:v>
      </x:c>
      <x:c r="C51" s="6" t="n">
        <x:v>333500</x:v>
      </x:c>
      <x:c r="D51" s="6" t="n">
        <x:v>825000</x:v>
      </x:c>
      <x:c r="E51" s="6" t="n">
        <x:f>C51-D51</x:f>
        <x:v>-491500</x:v>
      </x:c>
      <x:c r="F51" s="6" t="n">
        <x:f>F50+E51</x:f>
        <x:v>-30501000</x:v>
      </x:c>
      <x:c r="G51" s="6" t="n">
        <x:v>196000</x:v>
      </x:c>
      <x:c r="H51" s="6" t="n">
        <x:v>687500</x:v>
      </x:c>
      <x:c r="I51" s="6" t="n">
        <x:v>50</x:v>
      </x:c>
      <x:c r="J51" s="6" t="n">
        <x:v>370</x:v>
      </x:c>
      <x:c r="K51" s="6" t="n">
        <x:v>382</x:v>
      </x:c>
      <x:c r="L51" s="6" t="n">
        <x:v>10</x:v>
      </x:c>
      <x:c r="M51" s="11" t="n">
        <x:v>0.9596153846153846</x:v>
      </x:c>
      <x:c r="N51" s="6" t="n">
        <x:v>508500</x:v>
      </x:c>
    </x:row>
    <x:row r="52" ht="24" customHeight="1">
      <x:c r="A52" s="2" t="str">
        <x:v>2026-10-22_Day</x:v>
      </x:c>
      <x:c r="B52" s="6" t="str">
        <x:v>デイ</x:v>
      </x:c>
      <x:c r="C52" s="6" t="n">
        <x:v>672000</x:v>
      </x:c>
      <x:c r="D52" s="6" t="n">
        <x:v>1075500</x:v>
      </x:c>
      <x:c r="E52" s="6" t="n">
        <x:f>C52-D52</x:f>
        <x:v>-403500</x:v>
      </x:c>
      <x:c r="F52" s="6" t="n">
        <x:f>F51+E52</x:f>
        <x:v>-30904500</x:v>
      </x:c>
      <x:c r="G52" s="6" t="n">
        <x:v>501500</x:v>
      </x:c>
      <x:c r="H52" s="6" t="n">
        <x:v>905000</x:v>
      </x:c>
      <x:c r="I52" s="6" t="n">
        <x:v>68</x:v>
      </x:c>
      <x:c r="J52" s="6" t="n">
        <x:v>319</x:v>
      </x:c>
      <x:c r="K52" s="6" t="n">
        <x:v>345</x:v>
      </x:c>
      <x:c r="L52" s="6" t="n">
        <x:v>10</x:v>
      </x:c>
      <x:c r="M52" s="11" t="n">
        <x:v>0.9357539682539683</x:v>
      </x:c>
      <x:c r="N52" s="6" t="n">
        <x:v>511000</x:v>
      </x:c>
    </x:row>
    <x:row r="53" ht="24" customHeight="1">
      <x:c r="A53" s="2" t="str">
        <x:v>2026-10-22_Night</x:v>
      </x:c>
      <x:c r="B53" s="6" t="str">
        <x:v>ナイト</x:v>
      </x:c>
      <x:c r="C53" s="6" t="n">
        <x:v>503500</x:v>
      </x:c>
      <x:c r="D53" s="6" t="n">
        <x:v>1211000</x:v>
      </x:c>
      <x:c r="E53" s="6" t="n">
        <x:f>C53-D53</x:f>
        <x:v>-707500</x:v>
      </x:c>
      <x:c r="F53" s="6" t="n">
        <x:f>F52+E53</x:f>
        <x:v>-31612000</x:v>
      </x:c>
      <x:c r="G53" s="6" t="n">
        <x:v>288000</x:v>
      </x:c>
      <x:c r="H53" s="6" t="n">
        <x:v>995500</x:v>
      </x:c>
      <x:c r="I53" s="6" t="n">
        <x:v>81</x:v>
      </x:c>
      <x:c r="J53" s="6" t="n">
        <x:v>466</x:v>
      </x:c>
      <x:c r="K53" s="6" t="n">
        <x:v>515</x:v>
      </x:c>
      <x:c r="L53" s="6" t="n">
        <x:v>10</x:v>
      </x:c>
      <x:c r="M53" s="11" t="n">
        <x:v>0.9440811965811966</x:v>
      </x:c>
      <x:c r="N53" s="6" t="n">
        <x:v>720000</x:v>
      </x:c>
    </x:row>
    <x:row r="54" ht="24" customHeight="1">
      <x:c r="A54" s="2" t="str">
        <x:v>2026-10-23_Day</x:v>
      </x:c>
      <x:c r="B54" s="6" t="str">
        <x:v>デイ</x:v>
      </x:c>
      <x:c r="C54" s="6" t="n">
        <x:v>1430000</x:v>
      </x:c>
      <x:c r="D54" s="6" t="n">
        <x:v>2075500</x:v>
      </x:c>
      <x:c r="E54" s="6" t="n">
        <x:f>C54-D54</x:f>
        <x:v>-645500</x:v>
      </x:c>
      <x:c r="F54" s="6" t="n">
        <x:f>F53+E54</x:f>
        <x:v>-32257500</x:v>
      </x:c>
      <x:c r="G54" s="6" t="n">
        <x:v>1285000</x:v>
      </x:c>
      <x:c r="H54" s="6" t="n">
        <x:v>1930500</x:v>
      </x:c>
      <x:c r="I54" s="6" t="n">
        <x:v>134</x:v>
      </x:c>
      <x:c r="J54" s="6" t="n">
        <x:v>246</x:v>
      </x:c>
      <x:c r="K54" s="6" t="n">
        <x:v>359</x:v>
      </x:c>
      <x:c r="L54" s="6" t="n">
        <x:v>10</x:v>
      </x:c>
      <x:c r="M54" s="11" t="n">
        <x:v>0.8953174603174603</x:v>
      </x:c>
      <x:c r="N54" s="6" t="n">
        <x:v>664500</x:v>
      </x:c>
    </x:row>
    <x:row r="55" ht="24" customHeight="1">
      <x:c r="A55" s="2" t="str">
        <x:v>2026-10-23_Night</x:v>
      </x:c>
      <x:c r="B55" s="6" t="str">
        <x:v>ナイト</x:v>
      </x:c>
      <x:c r="C55" s="6" t="n">
        <x:v>523000</x:v>
      </x:c>
      <x:c r="D55" s="6" t="n">
        <x:v>1461500</x:v>
      </x:c>
      <x:c r="E55" s="6" t="n">
        <x:f>C55-D55</x:f>
        <x:v>-938500</x:v>
      </x:c>
      <x:c r="F55" s="6" t="n">
        <x:f>F54+E55</x:f>
        <x:v>-33196000</x:v>
      </x:c>
      <x:c r="G55" s="6" t="n">
        <x:v>275000</x:v>
      </x:c>
      <x:c r="H55" s="6" t="n">
        <x:v>1213500</x:v>
      </x:c>
      <x:c r="I55" s="6" t="n">
        <x:v>72</x:v>
      </x:c>
      <x:c r="J55" s="6" t="n">
        <x:v>445</x:v>
      </x:c>
      <x:c r="K55" s="6" t="n">
        <x:v>485</x:v>
      </x:c>
      <x:c r="L55" s="6" t="n">
        <x:v>10</x:v>
      </x:c>
      <x:c r="M55" s="11" t="n">
        <x:v>0.9480555555555555</x:v>
      </x:c>
      <x:c r="N55" s="6" t="n">
        <x:v>940000</x:v>
      </x:c>
    </x:row>
    <x:row r="56" ht="24" customHeight="1">
      <x:c r="A56" s="2" t="str">
        <x:v>2026-10-26_Day</x:v>
      </x:c>
      <x:c r="B56" s="6" t="str">
        <x:v>デイ</x:v>
      </x:c>
      <x:c r="C56" s="6" t="n">
        <x:v>615000</x:v>
      </x:c>
      <x:c r="D56" s="6" t="n">
        <x:v>1628500</x:v>
      </x:c>
      <x:c r="E56" s="6" t="n">
        <x:f>C56-D56</x:f>
        <x:v>-1013500</x:v>
      </x:c>
      <x:c r="F56" s="6" t="n">
        <x:f>F55+E56</x:f>
        <x:v>-34209500</x:v>
      </x:c>
      <x:c r="G56" s="6" t="n">
        <x:v>453500</x:v>
      </x:c>
      <x:c r="H56" s="6" t="n">
        <x:v>1467000</x:v>
      </x:c>
      <x:c r="I56" s="6" t="n">
        <x:v>88</x:v>
      </x:c>
      <x:c r="J56" s="6" t="n">
        <x:v>280</x:v>
      </x:c>
      <x:c r="K56" s="6" t="n">
        <x:v>343</x:v>
      </x:c>
      <x:c r="L56" s="6" t="n">
        <x:v>10</x:v>
      </x:c>
      <x:c r="M56" s="11" t="n">
        <x:v>0.9187301587301587</x:v>
      </x:c>
      <x:c r="N56" s="6" t="n">
        <x:v>1034000</x:v>
      </x:c>
    </x:row>
    <x:row r="57" ht="24" customHeight="1">
      <x:c r="A57" s="15" t="str">
        <x:v>累計／平均／最大</x:v>
      </x:c>
      <x:c r="B57" s="16"/>
      <x:c r="C57" s="16" t="n">
        <x:f>SUM(C6:C56)</x:f>
        <x:v>19486000</x:v>
      </x:c>
      <x:c r="D57" s="16" t="n">
        <x:f>SUM(D6:D56)</x:f>
        <x:v>53695500</x:v>
      </x:c>
      <x:c r="E57" s="16" t="n">
        <x:f>C57-D57</x:f>
        <x:v>-34209500</x:v>
      </x:c>
      <x:c r="F57" s="16" t="n">
        <x:f>F56</x:f>
        <x:v>-34209500</x:v>
      </x:c>
      <x:c r="G57" s="16" t="n">
        <x:f>SUM(G6:G56)</x:f>
        <x:v>12951500</x:v>
      </x:c>
      <x:c r="H57" s="16" t="n">
        <x:f>SUM(H6:H56)</x:f>
        <x:v>47161000</x:v>
      </x:c>
      <x:c r="I57" s="16" t="n">
        <x:f>SUM(I6:I56)</x:f>
        <x:v>2907</x:v>
      </x:c>
      <x:c r="J57" s="16" t="n">
        <x:f>SUM(J6:J56)</x:f>
        <x:v>15720</x:v>
      </x:c>
      <x:c r="K57" s="16" t="n">
        <x:f>SUM(K6:K56)</x:f>
        <x:v>17965</x:v>
      </x:c>
      <x:c r="L57" s="16" t="n">
        <x:f>MAX(L6:L56)</x:f>
        <x:v>10</x:v>
      </x:c>
      <x:c r="M57" s="17" t="n">
        <x:f>AVERAGE(M6:M56)</x:f>
        <x:v>0.9412499102204984</x:v>
      </x:c>
      <x:c r="N57" s="16" t="n">
        <x:f>MAX(N6:N56)</x:f>
        <x:v>1272500</x:v>
      </x:c>
    </x:row>
  </x:sheetData>
  <x:conditionalFormatting sqref="E6:F56">
    <x:cfRule type="cellIs" dxfId="51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3425ff29c2f4406"/>
  </x:tableParts>
</x:worksheet>
</file>

<file path=xl/worksheets/sheet5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1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4" customHeight="1">
      <x:c r="A1" s="3" t="str">
        <x:v>TOPIX M11　各セッションの利益・損失・収支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A2" s="4" t="str">
        <x:v>2026/09/21〜10/26デイ・51完了場。日経mini／TOPIXmini各上限10枚・手数料0。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4" customHeight="1">
      <x:c r="A3" s="4" t="str">
        <x:v>180秒の時間加重平均を30秒前と比較。保有中も傾き比例で増減、利益追尾＋傾き反転で返済。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4" customHeight="1">
      <x:c r="A4" s="4" t="str">
        <x:v>利益・損失＝FIFO返済配賦別。親＝初回から全返済まで。ラージ気配による模型で、mini実約定の検証ではありません。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42" customHeight="1">
      <x:c r="A5" s="10" t="str">
        <x:v>セッション</x:v>
      </x:c>
      <x:c r="B5" s="10" t="str">
        <x:v>区分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親利益（円）</x:v>
      </x:c>
      <x:c r="H5" s="10" t="str">
        <x:v>親損失（円）</x:v>
      </x:c>
      <x:c r="I5" s="10" t="str">
        <x:v>初回件数</x:v>
      </x:c>
      <x:c r="J5" s="10" t="str">
        <x:v>追加件数</x:v>
      </x:c>
      <x:c r="K5" s="10" t="str">
        <x:v>縮小件数</x:v>
      </x:c>
      <x:c r="L5" s="10" t="str">
        <x:v>最大保有枚数</x:v>
      </x:c>
      <x:c r="M5" s="10" t="str">
        <x:v>保有時間率</x:v>
      </x:c>
      <x:c r="N5" s="10" t="str">
        <x:v>時価最大DD（円）</x:v>
      </x:c>
    </x:row>
    <x:row r="6" ht="24" customHeight="1">
      <x:c r="A6" s="2" t="str">
        <x:v>2026-09-21_Day</x:v>
      </x:c>
      <x:c r="B6" s="6" t="str">
        <x:v>デイ</x:v>
      </x:c>
      <x:c r="C6" s="6" t="n">
        <x:v>195000</x:v>
      </x:c>
      <x:c r="D6" s="6" t="n">
        <x:v>741000</x:v>
      </x:c>
      <x:c r="E6" s="6" t="n">
        <x:f>C6-D6</x:f>
        <x:v>-546000</x:v>
      </x:c>
      <x:c r="F6" s="6" t="n">
        <x:f>E6</x:f>
        <x:v>-546000</x:v>
      </x:c>
      <x:c r="G6" s="6" t="n">
        <x:v>153500</x:v>
      </x:c>
      <x:c r="H6" s="6" t="n">
        <x:v>699500</x:v>
      </x:c>
      <x:c r="I6" s="6" t="n">
        <x:v>107</x:v>
      </x:c>
      <x:c r="J6" s="6" t="n">
        <x:v>128</x:v>
      </x:c>
      <x:c r="K6" s="6" t="n">
        <x:v>144</x:v>
      </x:c>
      <x:c r="L6" s="6" t="n">
        <x:v>10</x:v>
      </x:c>
      <x:c r="M6" s="11" t="n">
        <x:v>0.7176984126984127</x:v>
      </x:c>
      <x:c r="N6" s="6" t="n">
        <x:v>562500</x:v>
      </x:c>
    </x:row>
    <x:row r="7" ht="24" customHeight="1">
      <x:c r="A7" s="2" t="str">
        <x:v>2026-09-21_Night</x:v>
      </x:c>
      <x:c r="B7" s="6" t="str">
        <x:v>ナイト</x:v>
      </x:c>
      <x:c r="C7" s="6" t="n">
        <x:v>145500</x:v>
      </x:c>
      <x:c r="D7" s="6" t="n">
        <x:v>760500</x:v>
      </x:c>
      <x:c r="E7" s="6" t="n">
        <x:f>C7-D7</x:f>
        <x:v>-615000</x:v>
      </x:c>
      <x:c r="F7" s="6" t="n">
        <x:f>F6+E7</x:f>
        <x:v>-1161000</x:v>
      </x:c>
      <x:c r="G7" s="6" t="n">
        <x:v>62500</x:v>
      </x:c>
      <x:c r="H7" s="6" t="n">
        <x:v>677500</x:v>
      </x:c>
      <x:c r="I7" s="6" t="n">
        <x:v>165</x:v>
      </x:c>
      <x:c r="J7" s="6" t="n">
        <x:v>302</x:v>
      </x:c>
      <x:c r="K7" s="6" t="n">
        <x:v>333</x:v>
      </x:c>
      <x:c r="L7" s="6" t="n">
        <x:v>10</x:v>
      </x:c>
      <x:c r="M7" s="11" t="n">
        <x:v>0.7430982905982906</x:v>
      </x:c>
      <x:c r="N7" s="6" t="n">
        <x:v>615000</x:v>
      </x:c>
    </x:row>
    <x:row r="8" ht="24" customHeight="1">
      <x:c r="A8" s="2" t="str">
        <x:v>2026-09-22_Day</x:v>
      </x:c>
      <x:c r="B8" s="6" t="str">
        <x:v>デイ</x:v>
      </x:c>
      <x:c r="C8" s="6" t="n">
        <x:v>126500</x:v>
      </x:c>
      <x:c r="D8" s="6" t="n">
        <x:v>1147500</x:v>
      </x:c>
      <x:c r="E8" s="6" t="n">
        <x:f>C8-D8</x:f>
        <x:v>-1021000</x:v>
      </x:c>
      <x:c r="F8" s="6" t="n">
        <x:f>F7+E8</x:f>
        <x:v>-2182000</x:v>
      </x:c>
      <x:c r="G8" s="6" t="n">
        <x:v>58000</x:v>
      </x:c>
      <x:c r="H8" s="6" t="n">
        <x:v>1079000</x:v>
      </x:c>
      <x:c r="I8" s="6" t="n">
        <x:v>127</x:v>
      </x:c>
      <x:c r="J8" s="6" t="n">
        <x:v>202</x:v>
      </x:c>
      <x:c r="K8" s="6" t="n">
        <x:v>263</x:v>
      </x:c>
      <x:c r="L8" s="6" t="n">
        <x:v>10</x:v>
      </x:c>
      <x:c r="M8" s="11" t="n">
        <x:v>0.8003571428571429</x:v>
      </x:c>
      <x:c r="N8" s="6" t="n">
        <x:v>1033500</x:v>
      </x:c>
    </x:row>
    <x:row r="9" ht="24" customHeight="1">
      <x:c r="A9" s="2" t="str">
        <x:v>2026-09-22_Night</x:v>
      </x:c>
      <x:c r="B9" s="6" t="str">
        <x:v>ナイト</x:v>
      </x:c>
      <x:c r="C9" s="6" t="n">
        <x:v>497500</x:v>
      </x:c>
      <x:c r="D9" s="6" t="n">
        <x:v>1566000</x:v>
      </x:c>
      <x:c r="E9" s="6" t="n">
        <x:f>C9-D9</x:f>
        <x:v>-1068500</x:v>
      </x:c>
      <x:c r="F9" s="6" t="n">
        <x:f>F8+E9</x:f>
        <x:v>-3250500</x:v>
      </x:c>
      <x:c r="G9" s="6" t="n">
        <x:v>402000</x:v>
      </x:c>
      <x:c r="H9" s="6" t="n">
        <x:v>1470500</x:v>
      </x:c>
      <x:c r="I9" s="6" t="n">
        <x:v>197</x:v>
      </x:c>
      <x:c r="J9" s="6" t="n">
        <x:v>473</x:v>
      </x:c>
      <x:c r="K9" s="6" t="n">
        <x:v>501</x:v>
      </x:c>
      <x:c r="L9" s="6" t="n">
        <x:v>10</x:v>
      </x:c>
      <x:c r="M9" s="11" t="n">
        <x:v>0.8369871794871795</x:v>
      </x:c>
      <x:c r="N9" s="6" t="n">
        <x:v>1137500</x:v>
      </x:c>
    </x:row>
    <x:row r="10" ht="24" customHeight="1">
      <x:c r="A10" s="2" t="str">
        <x:v>2026-09-23_Day</x:v>
      </x:c>
      <x:c r="B10" s="6" t="str">
        <x:v>デイ</x:v>
      </x:c>
      <x:c r="C10" s="6" t="n">
        <x:v>240500</x:v>
      </x:c>
      <x:c r="D10" s="6" t="n">
        <x:v>670000</x:v>
      </x:c>
      <x:c r="E10" s="6" t="n">
        <x:f>C10-D10</x:f>
        <x:v>-429500</x:v>
      </x:c>
      <x:c r="F10" s="6" t="n">
        <x:f>F9+E10</x:f>
        <x:v>-3680000</x:v>
      </x:c>
      <x:c r="G10" s="6" t="n">
        <x:v>190500</x:v>
      </x:c>
      <x:c r="H10" s="6" t="n">
        <x:v>620000</x:v>
      </x:c>
      <x:c r="I10" s="6" t="n">
        <x:v>110</x:v>
      </x:c>
      <x:c r="J10" s="6" t="n">
        <x:v>147</x:v>
      </x:c>
      <x:c r="K10" s="6" t="n">
        <x:v>193</x:v>
      </x:c>
      <x:c r="L10" s="6" t="n">
        <x:v>10</x:v>
      </x:c>
      <x:c r="M10" s="11" t="n">
        <x:v>0.7701190476190476</x:v>
      </x:c>
      <x:c r="N10" s="6" t="n">
        <x:v>556000</x:v>
      </x:c>
    </x:row>
    <x:row r="11" ht="24" customHeight="1">
      <x:c r="A11" s="2" t="str">
        <x:v>2026-09-23_Night</x:v>
      </x:c>
      <x:c r="B11" s="6" t="str">
        <x:v>ナイト</x:v>
      </x:c>
      <x:c r="C11" s="6" t="n">
        <x:v>185000</x:v>
      </x:c>
      <x:c r="D11" s="6" t="n">
        <x:v>1074000</x:v>
      </x:c>
      <x:c r="E11" s="6" t="n">
        <x:f>C11-D11</x:f>
        <x:v>-889000</x:v>
      </x:c>
      <x:c r="F11" s="6" t="n">
        <x:f>F10+E11</x:f>
        <x:v>-4569000</x:v>
      </x:c>
      <x:c r="G11" s="6" t="n">
        <x:v>101000</x:v>
      </x:c>
      <x:c r="H11" s="6" t="n">
        <x:v>990000</x:v>
      </x:c>
      <x:c r="I11" s="6" t="n">
        <x:v>198</x:v>
      </x:c>
      <x:c r="J11" s="6" t="n">
        <x:v>299</x:v>
      </x:c>
      <x:c r="K11" s="6" t="n">
        <x:v>356</x:v>
      </x:c>
      <x:c r="L11" s="6" t="n">
        <x:v>10</x:v>
      </x:c>
      <x:c r="M11" s="11" t="n">
        <x:v>0.7793162393162393</x:v>
      </x:c>
      <x:c r="N11" s="6" t="n">
        <x:v>893000</x:v>
      </x:c>
    </x:row>
    <x:row r="12" ht="24" customHeight="1">
      <x:c r="A12" s="2" t="str">
        <x:v>2026-09-24_Day</x:v>
      </x:c>
      <x:c r="B12" s="6" t="str">
        <x:v>デイ</x:v>
      </x:c>
      <x:c r="C12" s="6" t="n">
        <x:v>868000</x:v>
      </x:c>
      <x:c r="D12" s="6" t="n">
        <x:v>1689500</x:v>
      </x:c>
      <x:c r="E12" s="6" t="n">
        <x:f>C12-D12</x:f>
        <x:v>-821500</x:v>
      </x:c>
      <x:c r="F12" s="6" t="n">
        <x:f>F11+E12</x:f>
        <x:v>-5390500</x:v>
      </x:c>
      <x:c r="G12" s="6" t="n">
        <x:v>703000</x:v>
      </x:c>
      <x:c r="H12" s="6" t="n">
        <x:v>1524500</x:v>
      </x:c>
      <x:c r="I12" s="6" t="n">
        <x:v>183</x:v>
      </x:c>
      <x:c r="J12" s="6" t="n">
        <x:v>423</x:v>
      </x:c>
      <x:c r="K12" s="6" t="n">
        <x:v>462</x:v>
      </x:c>
      <x:c r="L12" s="6" t="n">
        <x:v>10</x:v>
      </x:c>
      <x:c r="M12" s="11" t="n">
        <x:v>0.8446428571428571</x:v>
      </x:c>
      <x:c r="N12" s="6" t="n">
        <x:v>866500</x:v>
      </x:c>
    </x:row>
    <x:row r="13" ht="24" customHeight="1">
      <x:c r="A13" s="2" t="str">
        <x:v>2026-09-24_Night</x:v>
      </x:c>
      <x:c r="B13" s="6" t="str">
        <x:v>ナイト</x:v>
      </x:c>
      <x:c r="C13" s="6" t="n">
        <x:v>589500</x:v>
      </x:c>
      <x:c r="D13" s="6" t="n">
        <x:v>1919000</x:v>
      </x:c>
      <x:c r="E13" s="6" t="n">
        <x:f>C13-D13</x:f>
        <x:v>-1329500</x:v>
      </x:c>
      <x:c r="F13" s="6" t="n">
        <x:f>F12+E13</x:f>
        <x:v>-6720000</x:v>
      </x:c>
      <x:c r="G13" s="6" t="n">
        <x:v>409000</x:v>
      </x:c>
      <x:c r="H13" s="6" t="n">
        <x:v>1738500</x:v>
      </x:c>
      <x:c r="I13" s="6" t="n">
        <x:v>249</x:v>
      </x:c>
      <x:c r="J13" s="6" t="n">
        <x:v>575</x:v>
      </x:c>
      <x:c r="K13" s="6" t="n">
        <x:v>646</x:v>
      </x:c>
      <x:c r="L13" s="6" t="n">
        <x:v>10</x:v>
      </x:c>
      <x:c r="M13" s="11" t="n">
        <x:v>0.8271367521367521</x:v>
      </x:c>
      <x:c r="N13" s="6" t="n">
        <x:v>1418500</x:v>
      </x:c>
    </x:row>
    <x:row r="14" ht="24" customHeight="1">
      <x:c r="A14" s="2" t="str">
        <x:v>2026-09-25_Day</x:v>
      </x:c>
      <x:c r="B14" s="6" t="str">
        <x:v>デイ</x:v>
      </x:c>
      <x:c r="C14" s="6" t="n">
        <x:v>631500</x:v>
      </x:c>
      <x:c r="D14" s="6" t="n">
        <x:v>1621000</x:v>
      </x:c>
      <x:c r="E14" s="6" t="n">
        <x:f>C14-D14</x:f>
        <x:v>-989500</x:v>
      </x:c>
      <x:c r="F14" s="6" t="n">
        <x:f>F13+E14</x:f>
        <x:v>-7709500</x:v>
      </x:c>
      <x:c r="G14" s="6" t="n">
        <x:v>530000</x:v>
      </x:c>
      <x:c r="H14" s="6" t="n">
        <x:v>1519500</x:v>
      </x:c>
      <x:c r="I14" s="6" t="n">
        <x:v>177</x:v>
      </x:c>
      <x:c r="J14" s="6" t="n">
        <x:v>444</x:v>
      </x:c>
      <x:c r="K14" s="6" t="n">
        <x:v>472</x:v>
      </x:c>
      <x:c r="L14" s="6" t="n">
        <x:v>10</x:v>
      </x:c>
      <x:c r="M14" s="11" t="n">
        <x:v>0.8450396825396825</x:v>
      </x:c>
      <x:c r="N14" s="6" t="n">
        <x:v>989500</x:v>
      </x:c>
    </x:row>
    <x:row r="15" ht="24" customHeight="1">
      <x:c r="A15" s="2" t="str">
        <x:v>2026-09-25_Night</x:v>
      </x:c>
      <x:c r="B15" s="6" t="str">
        <x:v>ナイト</x:v>
      </x:c>
      <x:c r="C15" s="6" t="n">
        <x:v>486500</x:v>
      </x:c>
      <x:c r="D15" s="6" t="n">
        <x:v>1299500</x:v>
      </x:c>
      <x:c r="E15" s="6" t="n">
        <x:f>C15-D15</x:f>
        <x:v>-813000</x:v>
      </x:c>
      <x:c r="F15" s="6" t="n">
        <x:f>F14+E15</x:f>
        <x:v>-8522500</x:v>
      </x:c>
      <x:c r="G15" s="6" t="n">
        <x:v>347500</x:v>
      </x:c>
      <x:c r="H15" s="6" t="n">
        <x:v>1160500</x:v>
      </x:c>
      <x:c r="I15" s="6" t="n">
        <x:v>213</x:v>
      </x:c>
      <x:c r="J15" s="6" t="n">
        <x:v>503</x:v>
      </x:c>
      <x:c r="K15" s="6" t="n">
        <x:v>558</x:v>
      </x:c>
      <x:c r="L15" s="6" t="n">
        <x:v>10</x:v>
      </x:c>
      <x:c r="M15" s="11" t="n">
        <x:v>0.8204059829059829</x:v>
      </x:c>
      <x:c r="N15" s="6" t="n">
        <x:v>880000</x:v>
      </x:c>
    </x:row>
    <x:row r="16" ht="24" customHeight="1">
      <x:c r="A16" s="2" t="str">
        <x:v>2026-09-28_Day</x:v>
      </x:c>
      <x:c r="B16" s="6" t="str">
        <x:v>デイ</x:v>
      </x:c>
      <x:c r="C16" s="6" t="n">
        <x:v>493000</x:v>
      </x:c>
      <x:c r="D16" s="6" t="n">
        <x:v>1585500</x:v>
      </x:c>
      <x:c r="E16" s="6" t="n">
        <x:f>C16-D16</x:f>
        <x:v>-1092500</x:v>
      </x:c>
      <x:c r="F16" s="6" t="n">
        <x:f>F15+E16</x:f>
        <x:v>-9615000</x:v>
      </x:c>
      <x:c r="G16" s="6" t="n">
        <x:v>412000</x:v>
      </x:c>
      <x:c r="H16" s="6" t="n">
        <x:v>1504500</x:v>
      </x:c>
      <x:c r="I16" s="6" t="n">
        <x:v>176</x:v>
      </x:c>
      <x:c r="J16" s="6" t="n">
        <x:v>447</x:v>
      </x:c>
      <x:c r="K16" s="6" t="n">
        <x:v>469</x:v>
      </x:c>
      <x:c r="L16" s="6" t="n">
        <x:v>10</x:v>
      </x:c>
      <x:c r="M16" s="11" t="n">
        <x:v>0.8345238095238096</x:v>
      </x:c>
      <x:c r="N16" s="6" t="n">
        <x:v>1161500</x:v>
      </x:c>
    </x:row>
    <x:row r="17" ht="24" customHeight="1">
      <x:c r="A17" s="2" t="str">
        <x:v>2026-09-28_Night</x:v>
      </x:c>
      <x:c r="B17" s="6" t="str">
        <x:v>ナイト</x:v>
      </x:c>
      <x:c r="C17" s="6" t="n">
        <x:v>588500</x:v>
      </x:c>
      <x:c r="D17" s="6" t="n">
        <x:v>1806500</x:v>
      </x:c>
      <x:c r="E17" s="6" t="n">
        <x:f>C17-D17</x:f>
        <x:v>-1218000</x:v>
      </x:c>
      <x:c r="F17" s="6" t="n">
        <x:f>F16+E17</x:f>
        <x:v>-10833000</x:v>
      </x:c>
      <x:c r="G17" s="6" t="n">
        <x:v>453500</x:v>
      </x:c>
      <x:c r="H17" s="6" t="n">
        <x:v>1671500</x:v>
      </x:c>
      <x:c r="I17" s="6" t="n">
        <x:v>236</x:v>
      </x:c>
      <x:c r="J17" s="6" t="n">
        <x:v>530</x:v>
      </x:c>
      <x:c r="K17" s="6" t="n">
        <x:v>577</x:v>
      </x:c>
      <x:c r="L17" s="6" t="n">
        <x:v>10</x:v>
      </x:c>
      <x:c r="M17" s="11" t="n">
        <x:v>0.8428418803418803</x:v>
      </x:c>
      <x:c r="N17" s="6" t="n">
        <x:v>1241000</x:v>
      </x:c>
    </x:row>
    <x:row r="18" ht="24" customHeight="1">
      <x:c r="A18" s="2" t="str">
        <x:v>2026-09-29_Day</x:v>
      </x:c>
      <x:c r="B18" s="6" t="str">
        <x:v>デイ</x:v>
      </x:c>
      <x:c r="C18" s="6" t="n">
        <x:v>660000</x:v>
      </x:c>
      <x:c r="D18" s="6" t="n">
        <x:v>1879000</x:v>
      </x:c>
      <x:c r="E18" s="6" t="n">
        <x:f>C18-D18</x:f>
        <x:v>-1219000</x:v>
      </x:c>
      <x:c r="F18" s="6" t="n">
        <x:f>F17+E18</x:f>
        <x:v>-12052000</x:v>
      </x:c>
      <x:c r="G18" s="6" t="n">
        <x:v>514500</x:v>
      </x:c>
      <x:c r="H18" s="6" t="n">
        <x:v>1733500</x:v>
      </x:c>
      <x:c r="I18" s="6" t="n">
        <x:v>195</x:v>
      </x:c>
      <x:c r="J18" s="6" t="n">
        <x:v>440</x:v>
      </x:c>
      <x:c r="K18" s="6" t="n">
        <x:v>513</x:v>
      </x:c>
      <x:c r="L18" s="6" t="n">
        <x:v>10</x:v>
      </x:c>
      <x:c r="M18" s="11" t="n">
        <x:v>0.8403571428571428</x:v>
      </x:c>
      <x:c r="N18" s="6" t="n">
        <x:v>1281000</x:v>
      </x:c>
    </x:row>
    <x:row r="19" ht="24" customHeight="1">
      <x:c r="A19" s="2" t="str">
        <x:v>2026-09-29_Night</x:v>
      </x:c>
      <x:c r="B19" s="6" t="str">
        <x:v>ナイト</x:v>
      </x:c>
      <x:c r="C19" s="6" t="n">
        <x:v>282500</x:v>
      </x:c>
      <x:c r="D19" s="6" t="n">
        <x:v>1698000</x:v>
      </x:c>
      <x:c r="E19" s="6" t="n">
        <x:f>C19-D19</x:f>
        <x:v>-1415500</x:v>
      </x:c>
      <x:c r="F19" s="6" t="n">
        <x:f>F18+E19</x:f>
        <x:v>-13467500</x:v>
      </x:c>
      <x:c r="G19" s="6" t="n">
        <x:v>168000</x:v>
      </x:c>
      <x:c r="H19" s="6" t="n">
        <x:v>1583500</x:v>
      </x:c>
      <x:c r="I19" s="6" t="n">
        <x:v>234</x:v>
      </x:c>
      <x:c r="J19" s="6" t="n">
        <x:v>547</x:v>
      </x:c>
      <x:c r="K19" s="6" t="n">
        <x:v>633</x:v>
      </x:c>
      <x:c r="L19" s="6" t="n">
        <x:v>10</x:v>
      </x:c>
      <x:c r="M19" s="11" t="n">
        <x:v>0.8433119658119658</x:v>
      </x:c>
      <x:c r="N19" s="6" t="n">
        <x:v>1437500</x:v>
      </x:c>
    </x:row>
    <x:row r="20" ht="24" customHeight="1">
      <x:c r="A20" s="2" t="str">
        <x:v>2026-09-30_Day</x:v>
      </x:c>
      <x:c r="B20" s="6" t="str">
        <x:v>デイ</x:v>
      </x:c>
      <x:c r="C20" s="6" t="n">
        <x:v>586500</x:v>
      </x:c>
      <x:c r="D20" s="6" t="n">
        <x:v>1574500</x:v>
      </x:c>
      <x:c r="E20" s="6" t="n">
        <x:f>C20-D20</x:f>
        <x:v>-988000</x:v>
      </x:c>
      <x:c r="F20" s="6" t="n">
        <x:f>F19+E20</x:f>
        <x:v>-14455500</x:v>
      </x:c>
      <x:c r="G20" s="6" t="n">
        <x:v>468000</x:v>
      </x:c>
      <x:c r="H20" s="6" t="n">
        <x:v>1456000</x:v>
      </x:c>
      <x:c r="I20" s="6" t="n">
        <x:v>179</x:v>
      </x:c>
      <x:c r="J20" s="6" t="n">
        <x:v>484</x:v>
      </x:c>
      <x:c r="K20" s="6" t="n">
        <x:v>522</x:v>
      </x:c>
      <x:c r="L20" s="6" t="n">
        <x:v>10</x:v>
      </x:c>
      <x:c r="M20" s="11" t="n">
        <x:v>0.856904761904762</x:v>
      </x:c>
      <x:c r="N20" s="6" t="n">
        <x:v>1031500</x:v>
      </x:c>
    </x:row>
    <x:row r="21" ht="24" customHeight="1">
      <x:c r="A21" s="2" t="str">
        <x:v>2026-09-30_Night</x:v>
      </x:c>
      <x:c r="B21" s="6" t="str">
        <x:v>ナイト</x:v>
      </x:c>
      <x:c r="C21" s="6" t="n">
        <x:v>591500</x:v>
      </x:c>
      <x:c r="D21" s="6" t="n">
        <x:v>1998500</x:v>
      </x:c>
      <x:c r="E21" s="6" t="n">
        <x:f>C21-D21</x:f>
        <x:v>-1407000</x:v>
      </x:c>
      <x:c r="F21" s="6" t="n">
        <x:f>F20+E21</x:f>
        <x:v>-15862500</x:v>
      </x:c>
      <x:c r="G21" s="6" t="n">
        <x:v>392000</x:v>
      </x:c>
      <x:c r="H21" s="6" t="n">
        <x:v>1799000</x:v>
      </x:c>
      <x:c r="I21" s="6" t="n">
        <x:v>259</x:v>
      </x:c>
      <x:c r="J21" s="6" t="n">
        <x:v>655</x:v>
      </x:c>
      <x:c r="K21" s="6" t="n">
        <x:v>679</x:v>
      </x:c>
      <x:c r="L21" s="6" t="n">
        <x:v>10</x:v>
      </x:c>
      <x:c r="M21" s="11" t="n">
        <x:v>0.8327564102564102</x:v>
      </x:c>
      <x:c r="N21" s="6" t="n">
        <x:v>1470500</x:v>
      </x:c>
    </x:row>
    <x:row r="22" ht="24" customHeight="1">
      <x:c r="A22" s="2" t="str">
        <x:v>2026-10-01_Day</x:v>
      </x:c>
      <x:c r="B22" s="6" t="str">
        <x:v>デイ</x:v>
      </x:c>
      <x:c r="C22" s="6" t="n">
        <x:v>496000</x:v>
      </x:c>
      <x:c r="D22" s="6" t="n">
        <x:v>1455500</x:v>
      </x:c>
      <x:c r="E22" s="6" t="n">
        <x:f>C22-D22</x:f>
        <x:v>-959500</x:v>
      </x:c>
      <x:c r="F22" s="6" t="n">
        <x:f>F21+E22</x:f>
        <x:v>-16822000</x:v>
      </x:c>
      <x:c r="G22" s="6" t="n">
        <x:v>368000</x:v>
      </x:c>
      <x:c r="H22" s="6" t="n">
        <x:v>1327500</x:v>
      </x:c>
      <x:c r="I22" s="6" t="n">
        <x:v>171</x:v>
      </x:c>
      <x:c r="J22" s="6" t="n">
        <x:v>417</x:v>
      </x:c>
      <x:c r="K22" s="6" t="n">
        <x:v>471</x:v>
      </x:c>
      <x:c r="L22" s="6" t="n">
        <x:v>10</x:v>
      </x:c>
      <x:c r="M22" s="11" t="n">
        <x:v>0.8378968253968254</x:v>
      </x:c>
      <x:c r="N22" s="6" t="n">
        <x:v>995000</x:v>
      </x:c>
    </x:row>
    <x:row r="23" ht="24" customHeight="1">
      <x:c r="A23" s="2" t="str">
        <x:v>2026-10-01_Night</x:v>
      </x:c>
      <x:c r="B23" s="6" t="str">
        <x:v>ナイト</x:v>
      </x:c>
      <x:c r="C23" s="6" t="n">
        <x:v>567500</x:v>
      </x:c>
      <x:c r="D23" s="6" t="n">
        <x:v>2382500</x:v>
      </x:c>
      <x:c r="E23" s="6" t="n">
        <x:f>C23-D23</x:f>
        <x:v>-1815000</x:v>
      </x:c>
      <x:c r="F23" s="6" t="n">
        <x:f>F22+E23</x:f>
        <x:v>-18637000</x:v>
      </x:c>
      <x:c r="G23" s="6" t="n">
        <x:v>365000</x:v>
      </x:c>
      <x:c r="H23" s="6" t="n">
        <x:v>2180000</x:v>
      </x:c>
      <x:c r="I23" s="6" t="n">
        <x:v>282</x:v>
      </x:c>
      <x:c r="J23" s="6" t="n">
        <x:v>646</x:v>
      </x:c>
      <x:c r="K23" s="6" t="n">
        <x:v>699</x:v>
      </x:c>
      <x:c r="L23" s="6" t="n">
        <x:v>10</x:v>
      </x:c>
      <x:c r="M23" s="11" t="n">
        <x:v>0.8457905982905983</x:v>
      </x:c>
      <x:c r="N23" s="6" t="n">
        <x:v>1824500</x:v>
      </x:c>
    </x:row>
    <x:row r="24" ht="24" customHeight="1">
      <x:c r="A24" s="2" t="str">
        <x:v>2026-10-02_Day</x:v>
      </x:c>
      <x:c r="B24" s="6" t="str">
        <x:v>デイ</x:v>
      </x:c>
      <x:c r="C24" s="6" t="n">
        <x:v>414000</x:v>
      </x:c>
      <x:c r="D24" s="6" t="n">
        <x:v>1565500</x:v>
      </x:c>
      <x:c r="E24" s="6" t="n">
        <x:f>C24-D24</x:f>
        <x:v>-1151500</x:v>
      </x:c>
      <x:c r="F24" s="6" t="n">
        <x:f>F23+E24</x:f>
        <x:v>-19788500</x:v>
      </x:c>
      <x:c r="G24" s="6" t="n">
        <x:v>249000</x:v>
      </x:c>
      <x:c r="H24" s="6" t="n">
        <x:v>1400500</x:v>
      </x:c>
      <x:c r="I24" s="6" t="n">
        <x:v>165</x:v>
      </x:c>
      <x:c r="J24" s="6" t="n">
        <x:v>503</x:v>
      </x:c>
      <x:c r="K24" s="6" t="n">
        <x:v>488</x:v>
      </x:c>
      <x:c r="L24" s="6" t="n">
        <x:v>10</x:v>
      </x:c>
      <x:c r="M24" s="11" t="n">
        <x:v>0.8547619047619047</x:v>
      </x:c>
      <x:c r="N24" s="6" t="n">
        <x:v>1177500</x:v>
      </x:c>
    </x:row>
    <x:row r="25" ht="24" customHeight="1">
      <x:c r="A25" s="2" t="str">
        <x:v>2026-10-02_Night</x:v>
      </x:c>
      <x:c r="B25" s="6" t="str">
        <x:v>ナイト</x:v>
      </x:c>
      <x:c r="C25" s="6" t="n">
        <x:v>748500</x:v>
      </x:c>
      <x:c r="D25" s="6" t="n">
        <x:v>1949000</x:v>
      </x:c>
      <x:c r="E25" s="6" t="n">
        <x:f>C25-D25</x:f>
        <x:v>-1200500</x:v>
      </x:c>
      <x:c r="F25" s="6" t="n">
        <x:f>F24+E25</x:f>
        <x:v>-20989000</x:v>
      </x:c>
      <x:c r="G25" s="6" t="n">
        <x:v>578500</x:v>
      </x:c>
      <x:c r="H25" s="6" t="n">
        <x:v>1779000</x:v>
      </x:c>
      <x:c r="I25" s="6" t="n">
        <x:v>265</x:v>
      </x:c>
      <x:c r="J25" s="6" t="n">
        <x:v>608</x:v>
      </x:c>
      <x:c r="K25" s="6" t="n">
        <x:v>665</x:v>
      </x:c>
      <x:c r="L25" s="6" t="n">
        <x:v>10</x:v>
      </x:c>
      <x:c r="M25" s="11" t="n">
        <x:v>0.8322863247863248</x:v>
      </x:c>
      <x:c r="N25" s="6" t="n">
        <x:v>1269500</x:v>
      </x:c>
    </x:row>
    <x:row r="26" ht="24" customHeight="1">
      <x:c r="A26" s="2" t="str">
        <x:v>2026-10-05_Day</x:v>
      </x:c>
      <x:c r="B26" s="6" t="str">
        <x:v>デイ</x:v>
      </x:c>
      <x:c r="C26" s="6" t="n">
        <x:v>439000</x:v>
      </x:c>
      <x:c r="D26" s="6" t="n">
        <x:v>1275500</x:v>
      </x:c>
      <x:c r="E26" s="6" t="n">
        <x:f>C26-D26</x:f>
        <x:v>-836500</x:v>
      </x:c>
      <x:c r="F26" s="6" t="n">
        <x:f>F25+E26</x:f>
        <x:v>-21825500</x:v>
      </x:c>
      <x:c r="G26" s="6" t="n">
        <x:v>329000</x:v>
      </x:c>
      <x:c r="H26" s="6" t="n">
        <x:v>1165500</x:v>
      </x:c>
      <x:c r="I26" s="6" t="n">
        <x:v>159</x:v>
      </x:c>
      <x:c r="J26" s="6" t="n">
        <x:v>426</x:v>
      </x:c>
      <x:c r="K26" s="6" t="n">
        <x:v>439</x:v>
      </x:c>
      <x:c r="L26" s="6" t="n">
        <x:v>10</x:v>
      </x:c>
      <x:c r="M26" s="11" t="n">
        <x:v>0.8425396825396826</x:v>
      </x:c>
      <x:c r="N26" s="6" t="n">
        <x:v>895500</x:v>
      </x:c>
    </x:row>
    <x:row r="27" ht="24" customHeight="1">
      <x:c r="A27" s="2" t="str">
        <x:v>2026-10-05_Night</x:v>
      </x:c>
      <x:c r="B27" s="6" t="str">
        <x:v>ナイト</x:v>
      </x:c>
      <x:c r="C27" s="6" t="n">
        <x:v>445000</x:v>
      </x:c>
      <x:c r="D27" s="6" t="n">
        <x:v>1459000</x:v>
      </x:c>
      <x:c r="E27" s="6" t="n">
        <x:f>C27-D27</x:f>
        <x:v>-1014000</x:v>
      </x:c>
      <x:c r="F27" s="6" t="n">
        <x:f>F26+E27</x:f>
        <x:v>-22839500</x:v>
      </x:c>
      <x:c r="G27" s="6" t="n">
        <x:v>306500</x:v>
      </x:c>
      <x:c r="H27" s="6" t="n">
        <x:v>1320500</x:v>
      </x:c>
      <x:c r="I27" s="6" t="n">
        <x:v>231</x:v>
      </x:c>
      <x:c r="J27" s="6" t="n">
        <x:v>497</x:v>
      </x:c>
      <x:c r="K27" s="6" t="n">
        <x:v>572</x:v>
      </x:c>
      <x:c r="L27" s="6" t="n">
        <x:v>10</x:v>
      </x:c>
      <x:c r="M27" s="11" t="n">
        <x:v>0.8236538461538462</x:v>
      </x:c>
      <x:c r="N27" s="6" t="n">
        <x:v>1067000</x:v>
      </x:c>
    </x:row>
    <x:row r="28" ht="24" customHeight="1">
      <x:c r="A28" s="2" t="str">
        <x:v>2026-10-06_Day</x:v>
      </x:c>
      <x:c r="B28" s="6" t="str">
        <x:v>デイ</x:v>
      </x:c>
      <x:c r="C28" s="6" t="n">
        <x:v>312500</x:v>
      </x:c>
      <x:c r="D28" s="6" t="n">
        <x:v>1010500</x:v>
      </x:c>
      <x:c r="E28" s="6" t="n">
        <x:f>C28-D28</x:f>
        <x:v>-698000</x:v>
      </x:c>
      <x:c r="F28" s="6" t="n">
        <x:f>F27+E28</x:f>
        <x:v>-23537500</x:v>
      </x:c>
      <x:c r="G28" s="6" t="n">
        <x:v>199000</x:v>
      </x:c>
      <x:c r="H28" s="6" t="n">
        <x:v>897000</x:v>
      </x:c>
      <x:c r="I28" s="6" t="n">
        <x:v>155</x:v>
      </x:c>
      <x:c r="J28" s="6" t="n">
        <x:v>443</x:v>
      </x:c>
      <x:c r="K28" s="6" t="n">
        <x:v>457</x:v>
      </x:c>
      <x:c r="L28" s="6" t="n">
        <x:v>10</x:v>
      </x:c>
      <x:c r="M28" s="11" t="n">
        <x:v>0.8350793650793651</x:v>
      </x:c>
      <x:c r="N28" s="6" t="n">
        <x:v>700000</x:v>
      </x:c>
    </x:row>
    <x:row r="29" ht="24" customHeight="1">
      <x:c r="A29" s="2" t="str">
        <x:v>2026-10-06_Night</x:v>
      </x:c>
      <x:c r="B29" s="6" t="str">
        <x:v>ナイト</x:v>
      </x:c>
      <x:c r="C29" s="6" t="n">
        <x:v>195000</x:v>
      </x:c>
      <x:c r="D29" s="6" t="n">
        <x:v>946500</x:v>
      </x:c>
      <x:c r="E29" s="6" t="n">
        <x:f>C29-D29</x:f>
        <x:v>-751500</x:v>
      </x:c>
      <x:c r="F29" s="6" t="n">
        <x:f>F28+E29</x:f>
        <x:v>-24289000</x:v>
      </x:c>
      <x:c r="G29" s="6" t="n">
        <x:v>90000</x:v>
      </x:c>
      <x:c r="H29" s="6" t="n">
        <x:v>841500</x:v>
      </x:c>
      <x:c r="I29" s="6" t="n">
        <x:v>218</x:v>
      </x:c>
      <x:c r="J29" s="6" t="n">
        <x:v>477</x:v>
      </x:c>
      <x:c r="K29" s="6" t="n">
        <x:v>529</x:v>
      </x:c>
      <x:c r="L29" s="6" t="n">
        <x:v>10</x:v>
      </x:c>
      <x:c r="M29" s="11" t="n">
        <x:v>0.7907905982905983</x:v>
      </x:c>
      <x:c r="N29" s="6" t="n">
        <x:v>771500</x:v>
      </x:c>
    </x:row>
    <x:row r="30" ht="24" customHeight="1">
      <x:c r="A30" s="2" t="str">
        <x:v>2026-10-07_Day</x:v>
      </x:c>
      <x:c r="B30" s="6" t="str">
        <x:v>デイ</x:v>
      </x:c>
      <x:c r="C30" s="6" t="n">
        <x:v>371000</x:v>
      </x:c>
      <x:c r="D30" s="6" t="n">
        <x:v>965500</x:v>
      </x:c>
      <x:c r="E30" s="6" t="n">
        <x:f>C30-D30</x:f>
        <x:v>-594500</x:v>
      </x:c>
      <x:c r="F30" s="6" t="n">
        <x:f>F29+E30</x:f>
        <x:v>-24883500</x:v>
      </x:c>
      <x:c r="G30" s="6" t="n">
        <x:v>272000</x:v>
      </x:c>
      <x:c r="H30" s="6" t="n">
        <x:v>866500</x:v>
      </x:c>
      <x:c r="I30" s="6" t="n">
        <x:v>135</x:v>
      </x:c>
      <x:c r="J30" s="6" t="n">
        <x:v>387</x:v>
      </x:c>
      <x:c r="K30" s="6" t="n">
        <x:v>410</x:v>
      </x:c>
      <x:c r="L30" s="6" t="n">
        <x:v>10</x:v>
      </x:c>
      <x:c r="M30" s="11" t="n">
        <x:v>0.8369444444444445</x:v>
      </x:c>
      <x:c r="N30" s="6" t="n">
        <x:v>614000</x:v>
      </x:c>
    </x:row>
    <x:row r="31" ht="24" customHeight="1">
      <x:c r="A31" s="2" t="str">
        <x:v>2026-10-07_Night</x:v>
      </x:c>
      <x:c r="B31" s="6" t="str">
        <x:v>ナイト</x:v>
      </x:c>
      <x:c r="C31" s="6" t="n">
        <x:v>255500</x:v>
      </x:c>
      <x:c r="D31" s="6" t="n">
        <x:v>1314500</x:v>
      </x:c>
      <x:c r="E31" s="6" t="n">
        <x:f>C31-D31</x:f>
        <x:v>-1059000</x:v>
      </x:c>
      <x:c r="F31" s="6" t="n">
        <x:f>F30+E31</x:f>
        <x:v>-25942500</x:v>
      </x:c>
      <x:c r="G31" s="6" t="n">
        <x:v>131000</x:v>
      </x:c>
      <x:c r="H31" s="6" t="n">
        <x:v>1190000</x:v>
      </x:c>
      <x:c r="I31" s="6" t="n">
        <x:v>220</x:v>
      </x:c>
      <x:c r="J31" s="6" t="n">
        <x:v>513</x:v>
      </x:c>
      <x:c r="K31" s="6" t="n">
        <x:v>550</x:v>
      </x:c>
      <x:c r="L31" s="6" t="n">
        <x:v>10</x:v>
      </x:c>
      <x:c r="M31" s="11" t="n">
        <x:v>0.8102350427350428</x:v>
      </x:c>
      <x:c r="N31" s="6" t="n">
        <x:v>1083000</x:v>
      </x:c>
    </x:row>
    <x:row r="32" ht="24" customHeight="1">
      <x:c r="A32" s="2" t="str">
        <x:v>2026-10-08_Day</x:v>
      </x:c>
      <x:c r="B32" s="6" t="str">
        <x:v>デイ</x:v>
      </x:c>
      <x:c r="C32" s="6" t="n">
        <x:v>628500</x:v>
      </x:c>
      <x:c r="D32" s="6" t="n">
        <x:v>1044500</x:v>
      </x:c>
      <x:c r="E32" s="6" t="n">
        <x:f>C32-D32</x:f>
        <x:v>-416000</x:v>
      </x:c>
      <x:c r="F32" s="6" t="n">
        <x:f>F31+E32</x:f>
        <x:v>-26358500</x:v>
      </x:c>
      <x:c r="G32" s="6" t="n">
        <x:v>489000</x:v>
      </x:c>
      <x:c r="H32" s="6" t="n">
        <x:v>905000</x:v>
      </x:c>
      <x:c r="I32" s="6" t="n">
        <x:v>154</x:v>
      </x:c>
      <x:c r="J32" s="6" t="n">
        <x:v>463</x:v>
      </x:c>
      <x:c r="K32" s="6" t="n">
        <x:v>475</x:v>
      </x:c>
      <x:c r="L32" s="6" t="n">
        <x:v>10</x:v>
      </x:c>
      <x:c r="M32" s="11" t="n">
        <x:v>0.8439285714285715</x:v>
      </x:c>
      <x:c r="N32" s="6" t="n">
        <x:v>623500</x:v>
      </x:c>
    </x:row>
    <x:row r="33" ht="24" customHeight="1">
      <x:c r="A33" s="2" t="str">
        <x:v>2026-10-08_Night</x:v>
      </x:c>
      <x:c r="B33" s="6" t="str">
        <x:v>ナイト</x:v>
      </x:c>
      <x:c r="C33" s="6" t="n">
        <x:v>480500</x:v>
      </x:c>
      <x:c r="D33" s="6" t="n">
        <x:v>1838000</x:v>
      </x:c>
      <x:c r="E33" s="6" t="n">
        <x:f>C33-D33</x:f>
        <x:v>-1357500</x:v>
      </x:c>
      <x:c r="F33" s="6" t="n">
        <x:f>F32+E33</x:f>
        <x:v>-27716000</x:v>
      </x:c>
      <x:c r="G33" s="6" t="n">
        <x:v>285500</x:v>
      </x:c>
      <x:c r="H33" s="6" t="n">
        <x:v>1643000</x:v>
      </x:c>
      <x:c r="I33" s="6" t="n">
        <x:v>268</x:v>
      </x:c>
      <x:c r="J33" s="6" t="n">
        <x:v>608</x:v>
      </x:c>
      <x:c r="K33" s="6" t="n">
        <x:v>681</x:v>
      </x:c>
      <x:c r="L33" s="6" t="n">
        <x:v>10</x:v>
      </x:c>
      <x:c r="M33" s="11" t="n">
        <x:v>0.8189957264957265</x:v>
      </x:c>
      <x:c r="N33" s="6" t="n">
        <x:v>1388000</x:v>
      </x:c>
    </x:row>
    <x:row r="34" ht="24" customHeight="1">
      <x:c r="A34" s="2" t="str">
        <x:v>2026-10-09_Day</x:v>
      </x:c>
      <x:c r="B34" s="6" t="str">
        <x:v>デイ</x:v>
      </x:c>
      <x:c r="C34" s="6" t="n">
        <x:v>453000</x:v>
      </x:c>
      <x:c r="D34" s="6" t="n">
        <x:v>1519000</x:v>
      </x:c>
      <x:c r="E34" s="6" t="n">
        <x:f>C34-D34</x:f>
        <x:v>-1066000</x:v>
      </x:c>
      <x:c r="F34" s="6" t="n">
        <x:f>F33+E34</x:f>
        <x:v>-28782000</x:v>
      </x:c>
      <x:c r="G34" s="6" t="n">
        <x:v>356000</x:v>
      </x:c>
      <x:c r="H34" s="6" t="n">
        <x:v>1422000</x:v>
      </x:c>
      <x:c r="I34" s="6" t="n">
        <x:v>156</x:v>
      </x:c>
      <x:c r="J34" s="6" t="n">
        <x:v>376</x:v>
      </x:c>
      <x:c r="K34" s="6" t="n">
        <x:v>448</x:v>
      </x:c>
      <x:c r="L34" s="6" t="n">
        <x:v>10</x:v>
      </x:c>
      <x:c r="M34" s="11" t="n">
        <x:v>0.8473015873015873</x:v>
      </x:c>
      <x:c r="N34" s="6" t="n">
        <x:v>1087500</x:v>
      </x:c>
    </x:row>
    <x:row r="35" ht="24" customHeight="1">
      <x:c r="A35" s="2" t="str">
        <x:v>2026-10-09_Night</x:v>
      </x:c>
      <x:c r="B35" s="6" t="str">
        <x:v>ナイト</x:v>
      </x:c>
      <x:c r="C35" s="6" t="n">
        <x:v>169500</x:v>
      </x:c>
      <x:c r="D35" s="6" t="n">
        <x:v>1168500</x:v>
      </x:c>
      <x:c r="E35" s="6" t="n">
        <x:f>C35-D35</x:f>
        <x:v>-999000</x:v>
      </x:c>
      <x:c r="F35" s="6" t="n">
        <x:f>F34+E35</x:f>
        <x:v>-29781000</x:v>
      </x:c>
      <x:c r="G35" s="6" t="n">
        <x:v>86500</x:v>
      </x:c>
      <x:c r="H35" s="6" t="n">
        <x:v>1085500</x:v>
      </x:c>
      <x:c r="I35" s="6" t="n">
        <x:v>206</x:v>
      </x:c>
      <x:c r="J35" s="6" t="n">
        <x:v>418</x:v>
      </x:c>
      <x:c r="K35" s="6" t="n">
        <x:v>484</x:v>
      </x:c>
      <x:c r="L35" s="6" t="n">
        <x:v>10</x:v>
      </x:c>
      <x:c r="M35" s="11" t="n">
        <x:v>0.7847008547008547</x:v>
      </x:c>
      <x:c r="N35" s="6" t="n">
        <x:v>1004500</x:v>
      </x:c>
    </x:row>
    <x:row r="36" ht="24" customHeight="1">
      <x:c r="A36" s="2" t="str">
        <x:v>2026-10-12_Day</x:v>
      </x:c>
      <x:c r="B36" s="6" t="str">
        <x:v>デイ</x:v>
      </x:c>
      <x:c r="C36" s="6" t="n">
        <x:v>77500</x:v>
      </x:c>
      <x:c r="D36" s="6" t="n">
        <x:v>526000</x:v>
      </x:c>
      <x:c r="E36" s="6" t="n">
        <x:f>C36-D36</x:f>
        <x:v>-448500</x:v>
      </x:c>
      <x:c r="F36" s="6" t="n">
        <x:f>F35+E36</x:f>
        <x:v>-30229500</x:v>
      </x:c>
      <x:c r="G36" s="6" t="n">
        <x:v>41500</x:v>
      </x:c>
      <x:c r="H36" s="6" t="n">
        <x:v>490000</x:v>
      </x:c>
      <x:c r="I36" s="6" t="n">
        <x:v>102</x:v>
      </x:c>
      <x:c r="J36" s="6" t="n">
        <x:v>169</x:v>
      </x:c>
      <x:c r="K36" s="6" t="n">
        <x:v>199</x:v>
      </x:c>
      <x:c r="L36" s="6" t="n">
        <x:v>10</x:v>
      </x:c>
      <x:c r="M36" s="11" t="n">
        <x:v>0.775079365079365</x:v>
      </x:c>
      <x:c r="N36" s="6" t="n">
        <x:v>448500</x:v>
      </x:c>
    </x:row>
    <x:row r="37" ht="24" customHeight="1">
      <x:c r="A37" s="2" t="str">
        <x:v>2026-10-12_Night</x:v>
      </x:c>
      <x:c r="B37" s="6" t="str">
        <x:v>ナイト</x:v>
      </x:c>
      <x:c r="C37" s="6" t="n">
        <x:v>88500</x:v>
      </x:c>
      <x:c r="D37" s="6" t="n">
        <x:v>706000</x:v>
      </x:c>
      <x:c r="E37" s="6" t="n">
        <x:f>C37-D37</x:f>
        <x:v>-617500</x:v>
      </x:c>
      <x:c r="F37" s="6" t="n">
        <x:f>F36+E37</x:f>
        <x:v>-30847000</x:v>
      </x:c>
      <x:c r="G37" s="6" t="n">
        <x:v>14500</x:v>
      </x:c>
      <x:c r="H37" s="6" t="n">
        <x:v>632000</x:v>
      </x:c>
      <x:c r="I37" s="6" t="n">
        <x:v>158</x:v>
      </x:c>
      <x:c r="J37" s="6" t="n">
        <x:v>275</x:v>
      </x:c>
      <x:c r="K37" s="6" t="n">
        <x:v>317</x:v>
      </x:c>
      <x:c r="L37" s="6" t="n">
        <x:v>10</x:v>
      </x:c>
      <x:c r="M37" s="11" t="n">
        <x:v>0.736965811965812</x:v>
      </x:c>
      <x:c r="N37" s="6" t="n">
        <x:v>618000</x:v>
      </x:c>
    </x:row>
    <x:row r="38" ht="24" customHeight="1">
      <x:c r="A38" s="2" t="str">
        <x:v>2026-10-13_Day</x:v>
      </x:c>
      <x:c r="B38" s="6" t="str">
        <x:v>デイ</x:v>
      </x:c>
      <x:c r="C38" s="6" t="n">
        <x:v>447500</x:v>
      </x:c>
      <x:c r="D38" s="6" t="n">
        <x:v>1740500</x:v>
      </x:c>
      <x:c r="E38" s="6" t="n">
        <x:f>C38-D38</x:f>
        <x:v>-1293000</x:v>
      </x:c>
      <x:c r="F38" s="6" t="n">
        <x:f>F37+E38</x:f>
        <x:v>-32140000</x:v>
      </x:c>
      <x:c r="G38" s="6" t="n">
        <x:v>327500</x:v>
      </x:c>
      <x:c r="H38" s="6" t="n">
        <x:v>1620500</x:v>
      </x:c>
      <x:c r="I38" s="6" t="n">
        <x:v>186</x:v>
      </x:c>
      <x:c r="J38" s="6" t="n">
        <x:v>429</x:v>
      </x:c>
      <x:c r="K38" s="6" t="n">
        <x:v>488</x:v>
      </x:c>
      <x:c r="L38" s="6" t="n">
        <x:v>10</x:v>
      </x:c>
      <x:c r="M38" s="11" t="n">
        <x:v>0.8378571428571429</x:v>
      </x:c>
      <x:c r="N38" s="6" t="n">
        <x:v>1297000</x:v>
      </x:c>
    </x:row>
    <x:row r="39" ht="24" customHeight="1">
      <x:c r="A39" s="2" t="str">
        <x:v>2026-10-13_Night</x:v>
      </x:c>
      <x:c r="B39" s="6" t="str">
        <x:v>ナイト</x:v>
      </x:c>
      <x:c r="C39" s="6" t="n">
        <x:v>138000</x:v>
      </x:c>
      <x:c r="D39" s="6" t="n">
        <x:v>793500</x:v>
      </x:c>
      <x:c r="E39" s="6" t="n">
        <x:f>C39-D39</x:f>
        <x:v>-655500</x:v>
      </x:c>
      <x:c r="F39" s="6" t="n">
        <x:f>F38+E39</x:f>
        <x:v>-32795500</x:v>
      </x:c>
      <x:c r="G39" s="6" t="n">
        <x:v>50000</x:v>
      </x:c>
      <x:c r="H39" s="6" t="n">
        <x:v>705500</x:v>
      </x:c>
      <x:c r="I39" s="6" t="n">
        <x:v>183</x:v>
      </x:c>
      <x:c r="J39" s="6" t="n">
        <x:v>411</x:v>
      </x:c>
      <x:c r="K39" s="6" t="n">
        <x:v>427</x:v>
      </x:c>
      <x:c r="L39" s="6" t="n">
        <x:v>10</x:v>
      </x:c>
      <x:c r="M39" s="11" t="n">
        <x:v>0.7702136752136752</x:v>
      </x:c>
      <x:c r="N39" s="6" t="n">
        <x:v>658500</x:v>
      </x:c>
    </x:row>
    <x:row r="40" ht="24" customHeight="1">
      <x:c r="A40" s="2" t="str">
        <x:v>2026-10-14_Day</x:v>
      </x:c>
      <x:c r="B40" s="6" t="str">
        <x:v>デイ</x:v>
      </x:c>
      <x:c r="C40" s="6" t="n">
        <x:v>244500</x:v>
      </x:c>
      <x:c r="D40" s="6" t="n">
        <x:v>1393000</x:v>
      </x:c>
      <x:c r="E40" s="6" t="n">
        <x:f>C40-D40</x:f>
        <x:v>-1148500</x:v>
      </x:c>
      <x:c r="F40" s="6" t="n">
        <x:f>F39+E40</x:f>
        <x:v>-33944000</x:v>
      </x:c>
      <x:c r="G40" s="6" t="n">
        <x:v>165500</x:v>
      </x:c>
      <x:c r="H40" s="6" t="n">
        <x:v>1314000</x:v>
      </x:c>
      <x:c r="I40" s="6" t="n">
        <x:v>160</x:v>
      </x:c>
      <x:c r="J40" s="6" t="n">
        <x:v>409</x:v>
      </x:c>
      <x:c r="K40" s="6" t="n">
        <x:v>464</x:v>
      </x:c>
      <x:c r="L40" s="6" t="n">
        <x:v>10</x:v>
      </x:c>
      <x:c r="M40" s="11" t="n">
        <x:v>0.8390873015873016</x:v>
      </x:c>
      <x:c r="N40" s="6" t="n">
        <x:v>1157500</x:v>
      </x:c>
    </x:row>
    <x:row r="41" ht="24" customHeight="1">
      <x:c r="A41" s="2" t="str">
        <x:v>2026-10-14_Night</x:v>
      </x:c>
      <x:c r="B41" s="6" t="str">
        <x:v>ナイト</x:v>
      </x:c>
      <x:c r="C41" s="6" t="n">
        <x:v>555500</x:v>
      </x:c>
      <x:c r="D41" s="6" t="n">
        <x:v>1547000</x:v>
      </x:c>
      <x:c r="E41" s="6" t="n">
        <x:f>C41-D41</x:f>
        <x:v>-991500</x:v>
      </x:c>
      <x:c r="F41" s="6" t="n">
        <x:f>F40+E41</x:f>
        <x:v>-34935500</x:v>
      </x:c>
      <x:c r="G41" s="6" t="n">
        <x:v>386000</x:v>
      </x:c>
      <x:c r="H41" s="6" t="n">
        <x:v>1377500</x:v>
      </x:c>
      <x:c r="I41" s="6" t="n">
        <x:v>213</x:v>
      </x:c>
      <x:c r="J41" s="6" t="n">
        <x:v>611</x:v>
      </x:c>
      <x:c r="K41" s="6" t="n">
        <x:v>621</x:v>
      </x:c>
      <x:c r="L41" s="6" t="n">
        <x:v>10</x:v>
      </x:c>
      <x:c r="M41" s="11" t="n">
        <x:v>0.8428632478632478</x:v>
      </x:c>
      <x:c r="N41" s="6" t="n">
        <x:v>996000</x:v>
      </x:c>
    </x:row>
    <x:row r="42" ht="24" customHeight="1">
      <x:c r="A42" s="2" t="str">
        <x:v>2026-10-15_Day</x:v>
      </x:c>
      <x:c r="B42" s="6" t="str">
        <x:v>デイ</x:v>
      </x:c>
      <x:c r="C42" s="6" t="n">
        <x:v>958500</x:v>
      </x:c>
      <x:c r="D42" s="6" t="n">
        <x:v>2400000</x:v>
      </x:c>
      <x:c r="E42" s="6" t="n">
        <x:f>C42-D42</x:f>
        <x:v>-1441500</x:v>
      </x:c>
      <x:c r="F42" s="6" t="n">
        <x:f>F41+E42</x:f>
        <x:v>-36377000</x:v>
      </x:c>
      <x:c r="G42" s="6" t="n">
        <x:v>783500</x:v>
      </x:c>
      <x:c r="H42" s="6" t="n">
        <x:v>2225000</x:v>
      </x:c>
      <x:c r="I42" s="6" t="n">
        <x:v>196</x:v>
      </x:c>
      <x:c r="J42" s="6" t="n">
        <x:v>473</x:v>
      </x:c>
      <x:c r="K42" s="6" t="n">
        <x:v>515</x:v>
      </x:c>
      <x:c r="L42" s="6" t="n">
        <x:v>10</x:v>
      </x:c>
      <x:c r="M42" s="11" t="n">
        <x:v>0.8389285714285715</x:v>
      </x:c>
      <x:c r="N42" s="6" t="n">
        <x:v>1490000</x:v>
      </x:c>
    </x:row>
    <x:row r="43" ht="24" customHeight="1">
      <x:c r="A43" s="2" t="str">
        <x:v>2026-10-15_Night</x:v>
      </x:c>
      <x:c r="B43" s="6" t="str">
        <x:v>ナイト</x:v>
      </x:c>
      <x:c r="C43" s="6" t="n">
        <x:v>645000</x:v>
      </x:c>
      <x:c r="D43" s="6" t="n">
        <x:v>1875500</x:v>
      </x:c>
      <x:c r="E43" s="6" t="n">
        <x:f>C43-D43</x:f>
        <x:v>-1230500</x:v>
      </x:c>
      <x:c r="F43" s="6" t="n">
        <x:f>F42+E43</x:f>
        <x:v>-37607500</x:v>
      </x:c>
      <x:c r="G43" s="6" t="n">
        <x:v>491000</x:v>
      </x:c>
      <x:c r="H43" s="6" t="n">
        <x:v>1721500</x:v>
      </x:c>
      <x:c r="I43" s="6" t="n">
        <x:v>248</x:v>
      </x:c>
      <x:c r="J43" s="6" t="n">
        <x:v>603</x:v>
      </x:c>
      <x:c r="K43" s="6" t="n">
        <x:v>663</x:v>
      </x:c>
      <x:c r="L43" s="6" t="n">
        <x:v>10</x:v>
      </x:c>
      <x:c r="M43" s="11" t="n">
        <x:v>0.8503846153846154</x:v>
      </x:c>
      <x:c r="N43" s="6" t="n">
        <x:v>1236000</x:v>
      </x:c>
    </x:row>
    <x:row r="44" ht="24" customHeight="1">
      <x:c r="A44" s="2" t="str">
        <x:v>2026-10-16_Day</x:v>
      </x:c>
      <x:c r="B44" s="6" t="str">
        <x:v>デイ</x:v>
      </x:c>
      <x:c r="C44" s="6" t="n">
        <x:v>512500</x:v>
      </x:c>
      <x:c r="D44" s="6" t="n">
        <x:v>1714000</x:v>
      </x:c>
      <x:c r="E44" s="6" t="n">
        <x:f>C44-D44</x:f>
        <x:v>-1201500</x:v>
      </x:c>
      <x:c r="F44" s="6" t="n">
        <x:f>F43+E44</x:f>
        <x:v>-38809000</x:v>
      </x:c>
      <x:c r="G44" s="6" t="n">
        <x:v>402000</x:v>
      </x:c>
      <x:c r="H44" s="6" t="n">
        <x:v>1603500</x:v>
      </x:c>
      <x:c r="I44" s="6" t="n">
        <x:v>187</x:v>
      </x:c>
      <x:c r="J44" s="6" t="n">
        <x:v>446</x:v>
      </x:c>
      <x:c r="K44" s="6" t="n">
        <x:v>467</x:v>
      </x:c>
      <x:c r="L44" s="6" t="n">
        <x:v>10</x:v>
      </x:c>
      <x:c r="M44" s="11" t="n">
        <x:v>0.8338095238095238</x:v>
      </x:c>
      <x:c r="N44" s="6" t="n">
        <x:v>1225500</x:v>
      </x:c>
    </x:row>
    <x:row r="45" ht="24" customHeight="1">
      <x:c r="A45" s="2" t="str">
        <x:v>2026-10-16_Night</x:v>
      </x:c>
      <x:c r="B45" s="6" t="str">
        <x:v>ナイト</x:v>
      </x:c>
      <x:c r="C45" s="6" t="n">
        <x:v>734000</x:v>
      </x:c>
      <x:c r="D45" s="6" t="n">
        <x:v>2058500</x:v>
      </x:c>
      <x:c r="E45" s="6" t="n">
        <x:f>C45-D45</x:f>
        <x:v>-1324500</x:v>
      </x:c>
      <x:c r="F45" s="6" t="n">
        <x:f>F44+E45</x:f>
        <x:v>-40133500</x:v>
      </x:c>
      <x:c r="G45" s="6" t="n">
        <x:v>508000</x:v>
      </x:c>
      <x:c r="H45" s="6" t="n">
        <x:v>1832500</x:v>
      </x:c>
      <x:c r="I45" s="6" t="n">
        <x:v>270</x:v>
      </x:c>
      <x:c r="J45" s="6" t="n">
        <x:v>728</x:v>
      </x:c>
      <x:c r="K45" s="6" t="n">
        <x:v>778</x:v>
      </x:c>
      <x:c r="L45" s="6" t="n">
        <x:v>10</x:v>
      </x:c>
      <x:c r="M45" s="11" t="n">
        <x:v>0.842008547008547</x:v>
      </x:c>
      <x:c r="N45" s="6" t="n">
        <x:v>1331500</x:v>
      </x:c>
    </x:row>
    <x:row r="46" ht="24" customHeight="1">
      <x:c r="A46" s="2" t="str">
        <x:v>2026-10-19_Day</x:v>
      </x:c>
      <x:c r="B46" s="6" t="str">
        <x:v>デイ</x:v>
      </x:c>
      <x:c r="C46" s="6" t="n">
        <x:v>701000</x:v>
      </x:c>
      <x:c r="D46" s="6" t="n">
        <x:v>1586000</x:v>
      </x:c>
      <x:c r="E46" s="6" t="n">
        <x:f>C46-D46</x:f>
        <x:v>-885000</x:v>
      </x:c>
      <x:c r="F46" s="6" t="n">
        <x:f>F45+E46</x:f>
        <x:v>-41018500</x:v>
      </x:c>
      <x:c r="G46" s="6" t="n">
        <x:v>588500</x:v>
      </x:c>
      <x:c r="H46" s="6" t="n">
        <x:v>1473500</x:v>
      </x:c>
      <x:c r="I46" s="6" t="n">
        <x:v>170</x:v>
      </x:c>
      <x:c r="J46" s="6" t="n">
        <x:v>409</x:v>
      </x:c>
      <x:c r="K46" s="6" t="n">
        <x:v>477</x:v>
      </x:c>
      <x:c r="L46" s="6" t="n">
        <x:v>10</x:v>
      </x:c>
      <x:c r="M46" s="11" t="n">
        <x:v>0.8390079365079365</x:v>
      </x:c>
      <x:c r="N46" s="6" t="n">
        <x:v>1040500</x:v>
      </x:c>
    </x:row>
    <x:row r="47" ht="24" customHeight="1">
      <x:c r="A47" s="2" t="str">
        <x:v>2026-10-19_Night</x:v>
      </x:c>
      <x:c r="B47" s="6" t="str">
        <x:v>ナイト</x:v>
      </x:c>
      <x:c r="C47" s="6" t="n">
        <x:v>357000</x:v>
      </x:c>
      <x:c r="D47" s="6" t="n">
        <x:v>1545500</x:v>
      </x:c>
      <x:c r="E47" s="6" t="n">
        <x:f>C47-D47</x:f>
        <x:v>-1188500</x:v>
      </x:c>
      <x:c r="F47" s="6" t="n">
        <x:f>F46+E47</x:f>
        <x:v>-42207000</x:v>
      </x:c>
      <x:c r="G47" s="6" t="n">
        <x:v>198000</x:v>
      </x:c>
      <x:c r="H47" s="6" t="n">
        <x:v>1386500</x:v>
      </x:c>
      <x:c r="I47" s="6" t="n">
        <x:v>231</x:v>
      </x:c>
      <x:c r="J47" s="6" t="n">
        <x:v>554</x:v>
      </x:c>
      <x:c r="K47" s="6" t="n">
        <x:v>604</x:v>
      </x:c>
      <x:c r="L47" s="6" t="n">
        <x:v>10</x:v>
      </x:c>
      <x:c r="M47" s="11" t="n">
        <x:v>0.8238888888888889</x:v>
      </x:c>
      <x:c r="N47" s="6" t="n">
        <x:v>1192500</x:v>
      </x:c>
    </x:row>
    <x:row r="48" ht="24" customHeight="1">
      <x:c r="A48" s="2" t="str">
        <x:v>2026-10-20_Day</x:v>
      </x:c>
      <x:c r="B48" s="6" t="str">
        <x:v>デイ</x:v>
      </x:c>
      <x:c r="C48" s="6" t="n">
        <x:v>585000</x:v>
      </x:c>
      <x:c r="D48" s="6" t="n">
        <x:v>1595500</x:v>
      </x:c>
      <x:c r="E48" s="6" t="n">
        <x:f>C48-D48</x:f>
        <x:v>-1010500</x:v>
      </x:c>
      <x:c r="F48" s="6" t="n">
        <x:f>F47+E48</x:f>
        <x:v>-43217500</x:v>
      </x:c>
      <x:c r="G48" s="6" t="n">
        <x:v>433000</x:v>
      </x:c>
      <x:c r="H48" s="6" t="n">
        <x:v>1443500</x:v>
      </x:c>
      <x:c r="I48" s="6" t="n">
        <x:v>165</x:v>
      </x:c>
      <x:c r="J48" s="6" t="n">
        <x:v>459</x:v>
      </x:c>
      <x:c r="K48" s="6" t="n">
        <x:v>523</x:v>
      </x:c>
      <x:c r="L48" s="6" t="n">
        <x:v>10</x:v>
      </x:c>
      <x:c r="M48" s="11" t="n">
        <x:v>0.8594047619047619</x:v>
      </x:c>
      <x:c r="N48" s="6" t="n">
        <x:v>1034500</x:v>
      </x:c>
    </x:row>
    <x:row r="49" ht="24" customHeight="1">
      <x:c r="A49" s="2" t="str">
        <x:v>2026-10-20_Night</x:v>
      </x:c>
      <x:c r="B49" s="6" t="str">
        <x:v>ナイト</x:v>
      </x:c>
      <x:c r="C49" s="6" t="n">
        <x:v>722000</x:v>
      </x:c>
      <x:c r="D49" s="6" t="n">
        <x:v>1711000</x:v>
      </x:c>
      <x:c r="E49" s="6" t="n">
        <x:f>C49-D49</x:f>
        <x:v>-989000</x:v>
      </x:c>
      <x:c r="F49" s="6" t="n">
        <x:f>F48+E49</x:f>
        <x:v>-44206500</x:v>
      </x:c>
      <x:c r="G49" s="6" t="n">
        <x:v>545000</x:v>
      </x:c>
      <x:c r="H49" s="6" t="n">
        <x:v>1534000</x:v>
      </x:c>
      <x:c r="I49" s="6" t="n">
        <x:v>236</x:v>
      </x:c>
      <x:c r="J49" s="6" t="n">
        <x:v>575</x:v>
      </x:c>
      <x:c r="K49" s="6" t="n">
        <x:v>626</x:v>
      </x:c>
      <x:c r="L49" s="6" t="n">
        <x:v>10</x:v>
      </x:c>
      <x:c r="M49" s="11" t="n">
        <x:v>0.8248931623931623</x:v>
      </x:c>
      <x:c r="N49" s="6" t="n">
        <x:v>993500</x:v>
      </x:c>
    </x:row>
    <x:row r="50" ht="24" customHeight="1">
      <x:c r="A50" s="2" t="str">
        <x:v>2026-10-21_Day</x:v>
      </x:c>
      <x:c r="B50" s="6" t="str">
        <x:v>デイ</x:v>
      </x:c>
      <x:c r="C50" s="6" t="n">
        <x:v>310000</x:v>
      </x:c>
      <x:c r="D50" s="6" t="n">
        <x:v>1397000</x:v>
      </x:c>
      <x:c r="E50" s="6" t="n">
        <x:f>C50-D50</x:f>
        <x:v>-1087000</x:v>
      </x:c>
      <x:c r="F50" s="6" t="n">
        <x:f>F49+E50</x:f>
        <x:v>-45293500</x:v>
      </x:c>
      <x:c r="G50" s="6" t="n">
        <x:v>223000</x:v>
      </x:c>
      <x:c r="H50" s="6" t="n">
        <x:v>1310000</x:v>
      </x:c>
      <x:c r="I50" s="6" t="n">
        <x:v>160</x:v>
      </x:c>
      <x:c r="J50" s="6" t="n">
        <x:v>416</x:v>
      </x:c>
      <x:c r="K50" s="6" t="n">
        <x:v>462</x:v>
      </x:c>
      <x:c r="L50" s="6" t="n">
        <x:v>10</x:v>
      </x:c>
      <x:c r="M50" s="11" t="n">
        <x:v>0.8338492063492063</x:v>
      </x:c>
      <x:c r="N50" s="6" t="n">
        <x:v>1095500</x:v>
      </x:c>
    </x:row>
    <x:row r="51" ht="24" customHeight="1">
      <x:c r="A51" s="2" t="str">
        <x:v>2026-10-21_Night</x:v>
      </x:c>
      <x:c r="B51" s="6" t="str">
        <x:v>ナイト</x:v>
      </x:c>
      <x:c r="C51" s="6" t="n">
        <x:v>475000</x:v>
      </x:c>
      <x:c r="D51" s="6" t="n">
        <x:v>1233000</x:v>
      </x:c>
      <x:c r="E51" s="6" t="n">
        <x:f>C51-D51</x:f>
        <x:v>-758000</x:v>
      </x:c>
      <x:c r="F51" s="6" t="n">
        <x:f>F50+E51</x:f>
        <x:v>-46051500</x:v>
      </x:c>
      <x:c r="G51" s="6" t="n">
        <x:v>335500</x:v>
      </x:c>
      <x:c r="H51" s="6" t="n">
        <x:v>1093500</x:v>
      </x:c>
      <x:c r="I51" s="6" t="n">
        <x:v>225</x:v>
      </x:c>
      <x:c r="J51" s="6" t="n">
        <x:v>527</x:v>
      </x:c>
      <x:c r="K51" s="6" t="n">
        <x:v>553</x:v>
      </x:c>
      <x:c r="L51" s="6" t="n">
        <x:v>10</x:v>
      </x:c>
      <x:c r="M51" s="11" t="n">
        <x:v>0.8160897435897436</x:v>
      </x:c>
      <x:c r="N51" s="6" t="n">
        <x:v>768000</x:v>
      </x:c>
    </x:row>
    <x:row r="52" ht="24" customHeight="1">
      <x:c r="A52" s="2" t="str">
        <x:v>2026-10-22_Day</x:v>
      </x:c>
      <x:c r="B52" s="6" t="str">
        <x:v>デイ</x:v>
      </x:c>
      <x:c r="C52" s="6" t="n">
        <x:v>767000</x:v>
      </x:c>
      <x:c r="D52" s="6" t="n">
        <x:v>1474000</x:v>
      </x:c>
      <x:c r="E52" s="6" t="n">
        <x:f>C52-D52</x:f>
        <x:v>-707000</x:v>
      </x:c>
      <x:c r="F52" s="6" t="n">
        <x:f>F51+E52</x:f>
        <x:v>-46758500</x:v>
      </x:c>
      <x:c r="G52" s="6" t="n">
        <x:v>612500</x:v>
      </x:c>
      <x:c r="H52" s="6" t="n">
        <x:v>1319500</x:v>
      </x:c>
      <x:c r="I52" s="6" t="n">
        <x:v>165</x:v>
      </x:c>
      <x:c r="J52" s="6" t="n">
        <x:v>474</x:v>
      </x:c>
      <x:c r="K52" s="6" t="n">
        <x:v>511</x:v>
      </x:c>
      <x:c r="L52" s="6" t="n">
        <x:v>10</x:v>
      </x:c>
      <x:c r="M52" s="11" t="n">
        <x:v>0.8559523809523809</x:v>
      </x:c>
      <x:c r="N52" s="6" t="n">
        <x:v>835000</x:v>
      </x:c>
    </x:row>
    <x:row r="53" ht="24" customHeight="1">
      <x:c r="A53" s="2" t="str">
        <x:v>2026-10-22_Night</x:v>
      </x:c>
      <x:c r="B53" s="6" t="str">
        <x:v>ナイト</x:v>
      </x:c>
      <x:c r="C53" s="6" t="n">
        <x:v>728500</x:v>
      </x:c>
      <x:c r="D53" s="6" t="n">
        <x:v>1743000</x:v>
      </x:c>
      <x:c r="E53" s="6" t="n">
        <x:f>C53-D53</x:f>
        <x:v>-1014500</x:v>
      </x:c>
      <x:c r="F53" s="6" t="n">
        <x:f>F52+E53</x:f>
        <x:v>-47773000</x:v>
      </x:c>
      <x:c r="G53" s="6" t="n">
        <x:v>489500</x:v>
      </x:c>
      <x:c r="H53" s="6" t="n">
        <x:v>1504000</x:v>
      </x:c>
      <x:c r="I53" s="6" t="n">
        <x:v>253</x:v>
      </x:c>
      <x:c r="J53" s="6" t="n">
        <x:v>664</x:v>
      </x:c>
      <x:c r="K53" s="6" t="n">
        <x:v>697</x:v>
      </x:c>
      <x:c r="L53" s="6" t="n">
        <x:v>10</x:v>
      </x:c>
      <x:c r="M53" s="11" t="n">
        <x:v>0.8439529914529914</x:v>
      </x:c>
      <x:c r="N53" s="6" t="n">
        <x:v>1027000</x:v>
      </x:c>
    </x:row>
    <x:row r="54" ht="24" customHeight="1">
      <x:c r="A54" s="2" t="str">
        <x:v>2026-10-23_Day</x:v>
      </x:c>
      <x:c r="B54" s="6" t="str">
        <x:v>デイ</x:v>
      </x:c>
      <x:c r="C54" s="6" t="n">
        <x:v>1702000</x:v>
      </x:c>
      <x:c r="D54" s="6" t="n">
        <x:v>2558000</x:v>
      </x:c>
      <x:c r="E54" s="6" t="n">
        <x:f>C54-D54</x:f>
        <x:v>-856000</x:v>
      </x:c>
      <x:c r="F54" s="6" t="n">
        <x:f>F53+E54</x:f>
        <x:v>-48629000</x:v>
      </x:c>
      <x:c r="G54" s="6" t="n">
        <x:v>1524500</x:v>
      </x:c>
      <x:c r="H54" s="6" t="n">
        <x:v>2380500</x:v>
      </x:c>
      <x:c r="I54" s="6" t="n">
        <x:v>224</x:v>
      </x:c>
      <x:c r="J54" s="6" t="n">
        <x:v>418</x:v>
      </x:c>
      <x:c r="K54" s="6" t="n">
        <x:v>457</x:v>
      </x:c>
      <x:c r="L54" s="6" t="n">
        <x:v>10</x:v>
      </x:c>
      <x:c r="M54" s="11" t="n">
        <x:v>0.8404761904761905</x:v>
      </x:c>
      <x:c r="N54" s="6" t="n">
        <x:v>872000</x:v>
      </x:c>
    </x:row>
    <x:row r="55" ht="24" customHeight="1">
      <x:c r="A55" s="2" t="str">
        <x:v>2026-10-23_Night</x:v>
      </x:c>
      <x:c r="B55" s="6" t="str">
        <x:v>ナイト</x:v>
      </x:c>
      <x:c r="C55" s="6" t="n">
        <x:v>575500</x:v>
      </x:c>
      <x:c r="D55" s="6" t="n">
        <x:v>2168500</x:v>
      </x:c>
      <x:c r="E55" s="6" t="n">
        <x:f>C55-D55</x:f>
        <x:v>-1593000</x:v>
      </x:c>
      <x:c r="F55" s="6" t="n">
        <x:f>F54+E55</x:f>
        <x:v>-50222000</x:v>
      </x:c>
      <x:c r="G55" s="6" t="n">
        <x:v>388500</x:v>
      </x:c>
      <x:c r="H55" s="6" t="n">
        <x:v>1981500</x:v>
      </x:c>
      <x:c r="I55" s="6" t="n">
        <x:v>273</x:v>
      </x:c>
      <x:c r="J55" s="6" t="n">
        <x:v>588</x:v>
      </x:c>
      <x:c r="K55" s="6" t="n">
        <x:v>666</x:v>
      </x:c>
      <x:c r="L55" s="6" t="n">
        <x:v>10</x:v>
      </x:c>
      <x:c r="M55" s="11" t="n">
        <x:v>0.8214529914529914</x:v>
      </x:c>
      <x:c r="N55" s="6" t="n">
        <x:v>1596500</x:v>
      </x:c>
    </x:row>
    <x:row r="56" ht="24" customHeight="1">
      <x:c r="A56" s="2" t="str">
        <x:v>2026-10-26_Day</x:v>
      </x:c>
      <x:c r="B56" s="6" t="str">
        <x:v>デイ</x:v>
      </x:c>
      <x:c r="C56" s="6" t="n">
        <x:v>714500</x:v>
      </x:c>
      <x:c r="D56" s="6" t="n">
        <x:v>2090500</x:v>
      </x:c>
      <x:c r="E56" s="6" t="n">
        <x:f>C56-D56</x:f>
        <x:v>-1376000</x:v>
      </x:c>
      <x:c r="F56" s="6" t="n">
        <x:f>F55+E56</x:f>
        <x:v>-51598000</x:v>
      </x:c>
      <x:c r="G56" s="6" t="n">
        <x:v>562500</x:v>
      </x:c>
      <x:c r="H56" s="6" t="n">
        <x:v>1938500</x:v>
      </x:c>
      <x:c r="I56" s="6" t="n">
        <x:v>186</x:v>
      </x:c>
      <x:c r="J56" s="6" t="n">
        <x:v>465</x:v>
      </x:c>
      <x:c r="K56" s="6" t="n">
        <x:v>493</x:v>
      </x:c>
      <x:c r="L56" s="6" t="n">
        <x:v>10</x:v>
      </x:c>
      <x:c r="M56" s="11" t="n">
        <x:v>0.8447619047619047</x:v>
      </x:c>
      <x:c r="N56" s="6" t="n">
        <x:v>1395500</x:v>
      </x:c>
    </x:row>
    <x:row r="57" ht="24" customHeight="1">
      <x:c r="A57" s="15" t="str">
        <x:v>累計／平均／最大</x:v>
      </x:c>
      <x:c r="B57" s="16"/>
      <x:c r="C57" s="16" t="n">
        <x:f>SUM(C6:C56)</x:f>
        <x:v>25182000</x:v>
      </x:c>
      <x:c r="D57" s="16" t="n">
        <x:f>SUM(D6:D56)</x:f>
        <x:v>76780000</x:v>
      </x:c>
      <x:c r="E57" s="16" t="n">
        <x:f>C57-D57</x:f>
        <x:v>-51598000</x:v>
      </x:c>
      <x:c r="F57" s="16" t="n">
        <x:f>F56</x:f>
        <x:v>-51598000</x:v>
      </x:c>
      <x:c r="G57" s="16" t="n">
        <x:f>SUM(G6:G56)</x:f>
        <x:v>18540000</x:v>
      </x:c>
      <x:c r="H57" s="16" t="n">
        <x:f>SUM(H6:H56)</x:f>
        <x:v>70138000</x:v>
      </x:c>
      <x:c r="I57" s="16" t="n">
        <x:f>SUM(I6:I56)</x:f>
        <x:v>9981</x:v>
      </x:c>
      <x:c r="J57" s="16" t="n">
        <x:f>SUM(J6:J56)</x:f>
        <x:v>23484</x:v>
      </x:c>
      <x:c r="K57" s="16" t="n">
        <x:f>SUM(K6:K56)</x:f>
        <x:v>25697</x:v>
      </x:c>
      <x:c r="L57" s="16" t="n">
        <x:f>MAX(L6:L56)</x:f>
        <x:v>10</x:v>
      </x:c>
      <x:c r="M57" s="17" t="n">
        <x:f>AVERAGE(M6:M56)</x:f>
        <x:v>0.8237515861045273</x:v>
      </x:c>
      <x:c r="N57" s="16" t="n">
        <x:f>MAX(N6:N56)</x:f>
        <x:v>1824500</x:v>
      </x:c>
    </x:row>
  </x:sheetData>
  <x:conditionalFormatting sqref="E6:F56">
    <x:cfRule type="cellIs" dxfId="52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1c911db80b74145"/>
  </x:tableParts>
</x:worksheet>
</file>

<file path=xl/worksheets/sheet5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1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4" customHeight="1">
      <x:c r="A1" s="3" t="str">
        <x:v>TOPIX M12　各セッションの利益・損失・収支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A2" s="4" t="str">
        <x:v>2026/09/21〜10/26デイ・51完了場。日経mini／TOPIXmini各上限10枚・手数料0。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4" customHeight="1">
      <x:c r="A3" s="4" t="str">
        <x:v>180秒の時間加重平均を30秒前と比較。保有中も傾き比例で増減、利益追尾＋傾き反転・増勢後の半減で返済。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4" customHeight="1">
      <x:c r="A4" s="4" t="str">
        <x:v>利益・損失＝FIFO返済配賦別。親＝初回から全返済まで。ラージ気配による模型で、mini実約定の検証ではありません。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42" customHeight="1">
      <x:c r="A5" s="10" t="str">
        <x:v>セッション</x:v>
      </x:c>
      <x:c r="B5" s="10" t="str">
        <x:v>区分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親利益（円）</x:v>
      </x:c>
      <x:c r="H5" s="10" t="str">
        <x:v>親損失（円）</x:v>
      </x:c>
      <x:c r="I5" s="10" t="str">
        <x:v>初回件数</x:v>
      </x:c>
      <x:c r="J5" s="10" t="str">
        <x:v>追加件数</x:v>
      </x:c>
      <x:c r="K5" s="10" t="str">
        <x:v>縮小件数</x:v>
      </x:c>
      <x:c r="L5" s="10" t="str">
        <x:v>最大保有枚数</x:v>
      </x:c>
      <x:c r="M5" s="10" t="str">
        <x:v>保有時間率</x:v>
      </x:c>
      <x:c r="N5" s="10" t="str">
        <x:v>時価最大DD（円）</x:v>
      </x:c>
    </x:row>
    <x:row r="6" ht="24" customHeight="1">
      <x:c r="A6" s="2" t="str">
        <x:v>2026-09-21_Day</x:v>
      </x:c>
      <x:c r="B6" s="6" t="str">
        <x:v>デイ</x:v>
      </x:c>
      <x:c r="C6" s="6" t="n">
        <x:v>195000</x:v>
      </x:c>
      <x:c r="D6" s="6" t="n">
        <x:v>739000</x:v>
      </x:c>
      <x:c r="E6" s="6" t="n">
        <x:f>C6-D6</x:f>
        <x:v>-544000</x:v>
      </x:c>
      <x:c r="F6" s="6" t="n">
        <x:f>E6</x:f>
        <x:v>-544000</x:v>
      </x:c>
      <x:c r="G6" s="6" t="n">
        <x:v>153500</x:v>
      </x:c>
      <x:c r="H6" s="6" t="n">
        <x:v>697500</x:v>
      </x:c>
      <x:c r="I6" s="6" t="n">
        <x:v>112</x:v>
      </x:c>
      <x:c r="J6" s="6" t="n">
        <x:v>129</x:v>
      </x:c>
      <x:c r="K6" s="6" t="n">
        <x:v>128</x:v>
      </x:c>
      <x:c r="L6" s="6" t="n">
        <x:v>10</x:v>
      </x:c>
      <x:c r="M6" s="11" t="n">
        <x:v>0.7101190476190476</x:v>
      </x:c>
      <x:c r="N6" s="6" t="n">
        <x:v>560500</x:v>
      </x:c>
    </x:row>
    <x:row r="7" ht="24" customHeight="1">
      <x:c r="A7" s="2" t="str">
        <x:v>2026-09-21_Night</x:v>
      </x:c>
      <x:c r="B7" s="6" t="str">
        <x:v>ナイト</x:v>
      </x:c>
      <x:c r="C7" s="6" t="n">
        <x:v>148000</x:v>
      </x:c>
      <x:c r="D7" s="6" t="n">
        <x:v>820000</x:v>
      </x:c>
      <x:c r="E7" s="6" t="n">
        <x:f>C7-D7</x:f>
        <x:v>-672000</x:v>
      </x:c>
      <x:c r="F7" s="6" t="n">
        <x:f>F6+E7</x:f>
        <x:v>-1216000</x:v>
      </x:c>
      <x:c r="G7" s="6" t="n">
        <x:v>86000</x:v>
      </x:c>
      <x:c r="H7" s="6" t="n">
        <x:v>758000</x:v>
      </x:c>
      <x:c r="I7" s="6" t="n">
        <x:v>202</x:v>
      </x:c>
      <x:c r="J7" s="6" t="n">
        <x:v>297</x:v>
      </x:c>
      <x:c r="K7" s="6" t="n">
        <x:v>270</x:v>
      </x:c>
      <x:c r="L7" s="6" t="n">
        <x:v>10</x:v>
      </x:c>
      <x:c r="M7" s="11" t="n">
        <x:v>0.7226709401709401</x:v>
      </x:c>
      <x:c r="N7" s="6" t="n">
        <x:v>672000</x:v>
      </x:c>
    </x:row>
    <x:row r="8" ht="24" customHeight="1">
      <x:c r="A8" s="2" t="str">
        <x:v>2026-09-22_Day</x:v>
      </x:c>
      <x:c r="B8" s="6" t="str">
        <x:v>デイ</x:v>
      </x:c>
      <x:c r="C8" s="6" t="n">
        <x:v>133000</x:v>
      </x:c>
      <x:c r="D8" s="6" t="n">
        <x:v>1160000</x:v>
      </x:c>
      <x:c r="E8" s="6" t="n">
        <x:f>C8-D8</x:f>
        <x:v>-1027000</x:v>
      </x:c>
      <x:c r="F8" s="6" t="n">
        <x:f>F7+E8</x:f>
        <x:v>-2243000</x:v>
      </x:c>
      <x:c r="G8" s="6" t="n">
        <x:v>73500</x:v>
      </x:c>
      <x:c r="H8" s="6" t="n">
        <x:v>1100500</x:v>
      </x:c>
      <x:c r="I8" s="6" t="n">
        <x:v>151</x:v>
      </x:c>
      <x:c r="J8" s="6" t="n">
        <x:v>207</x:v>
      </x:c>
      <x:c r="K8" s="6" t="n">
        <x:v>209</x:v>
      </x:c>
      <x:c r="L8" s="6" t="n">
        <x:v>10</x:v>
      </x:c>
      <x:c r="M8" s="11" t="n">
        <x:v>0.775079365079365</x:v>
      </x:c>
      <x:c r="N8" s="6" t="n">
        <x:v>1039500</x:v>
      </x:c>
    </x:row>
    <x:row r="9" ht="24" customHeight="1">
      <x:c r="A9" s="2" t="str">
        <x:v>2026-09-22_Night</x:v>
      </x:c>
      <x:c r="B9" s="6" t="str">
        <x:v>ナイト</x:v>
      </x:c>
      <x:c r="C9" s="6" t="n">
        <x:v>487500</x:v>
      </x:c>
      <x:c r="D9" s="6" t="n">
        <x:v>1619500</x:v>
      </x:c>
      <x:c r="E9" s="6" t="n">
        <x:f>C9-D9</x:f>
        <x:v>-1132000</x:v>
      </x:c>
      <x:c r="F9" s="6" t="n">
        <x:f>F8+E9</x:f>
        <x:v>-3375000</x:v>
      </x:c>
      <x:c r="G9" s="6" t="n">
        <x:v>400000</x:v>
      </x:c>
      <x:c r="H9" s="6" t="n">
        <x:v>1532000</x:v>
      </x:c>
      <x:c r="I9" s="6" t="n">
        <x:v>233</x:v>
      </x:c>
      <x:c r="J9" s="6" t="n">
        <x:v>469</x:v>
      </x:c>
      <x:c r="K9" s="6" t="n">
        <x:v>430</x:v>
      </x:c>
      <x:c r="L9" s="6" t="n">
        <x:v>10</x:v>
      </x:c>
      <x:c r="M9" s="11" t="n">
        <x:v>0.8132905982905982</x:v>
      </x:c>
      <x:c r="N9" s="6" t="n">
        <x:v>1201000</x:v>
      </x:c>
    </x:row>
    <x:row r="10" ht="24" customHeight="1">
      <x:c r="A10" s="2" t="str">
        <x:v>2026-09-23_Day</x:v>
      </x:c>
      <x:c r="B10" s="6" t="str">
        <x:v>デイ</x:v>
      </x:c>
      <x:c r="C10" s="6" t="n">
        <x:v>246500</x:v>
      </x:c>
      <x:c r="D10" s="6" t="n">
        <x:v>687000</x:v>
      </x:c>
      <x:c r="E10" s="6" t="n">
        <x:f>C10-D10</x:f>
        <x:v>-440500</x:v>
      </x:c>
      <x:c r="F10" s="6" t="n">
        <x:f>F9+E10</x:f>
        <x:v>-3815500</x:v>
      </x:c>
      <x:c r="G10" s="6" t="n">
        <x:v>198000</x:v>
      </x:c>
      <x:c r="H10" s="6" t="n">
        <x:v>638500</x:v>
      </x:c>
      <x:c r="I10" s="6" t="n">
        <x:v>126</x:v>
      </x:c>
      <x:c r="J10" s="6" t="n">
        <x:v>147</x:v>
      </x:c>
      <x:c r="K10" s="6" t="n">
        <x:v>159</x:v>
      </x:c>
      <x:c r="L10" s="6" t="n">
        <x:v>10</x:v>
      </x:c>
      <x:c r="M10" s="11" t="n">
        <x:v>0.7505952380952381</x:v>
      </x:c>
      <x:c r="N10" s="6" t="n">
        <x:v>567000</x:v>
      </x:c>
    </x:row>
    <x:row r="11" ht="24" customHeight="1">
      <x:c r="A11" s="2" t="str">
        <x:v>2026-09-23_Night</x:v>
      </x:c>
      <x:c r="B11" s="6" t="str">
        <x:v>ナイト</x:v>
      </x:c>
      <x:c r="C11" s="6" t="n">
        <x:v>184000</x:v>
      </x:c>
      <x:c r="D11" s="6" t="n">
        <x:v>1116000</x:v>
      </x:c>
      <x:c r="E11" s="6" t="n">
        <x:f>C11-D11</x:f>
        <x:v>-932000</x:v>
      </x:c>
      <x:c r="F11" s="6" t="n">
        <x:f>F10+E11</x:f>
        <x:v>-4747500</x:v>
      </x:c>
      <x:c r="G11" s="6" t="n">
        <x:v>116500</x:v>
      </x:c>
      <x:c r="H11" s="6" t="n">
        <x:v>1048500</x:v>
      </x:c>
      <x:c r="I11" s="6" t="n">
        <x:v>228</x:v>
      </x:c>
      <x:c r="J11" s="6" t="n">
        <x:v>295</x:v>
      </x:c>
      <x:c r="K11" s="6" t="n">
        <x:v>288</x:v>
      </x:c>
      <x:c r="L11" s="6" t="n">
        <x:v>10</x:v>
      </x:c>
      <x:c r="M11" s="11" t="n">
        <x:v>0.735897435897436</x:v>
      </x:c>
      <x:c r="N11" s="6" t="n">
        <x:v>936000</x:v>
      </x:c>
    </x:row>
    <x:row r="12" ht="24" customHeight="1">
      <x:c r="A12" s="2" t="str">
        <x:v>2026-09-24_Day</x:v>
      </x:c>
      <x:c r="B12" s="6" t="str">
        <x:v>デイ</x:v>
      </x:c>
      <x:c r="C12" s="6" t="n">
        <x:v>872500</x:v>
      </x:c>
      <x:c r="D12" s="6" t="n">
        <x:v>1749000</x:v>
      </x:c>
      <x:c r="E12" s="6" t="n">
        <x:f>C12-D12</x:f>
        <x:v>-876500</x:v>
      </x:c>
      <x:c r="F12" s="6" t="n">
        <x:f>F11+E12</x:f>
        <x:v>-5624000</x:v>
      </x:c>
      <x:c r="G12" s="6" t="n">
        <x:v>728500</x:v>
      </x:c>
      <x:c r="H12" s="6" t="n">
        <x:v>1605000</x:v>
      </x:c>
      <x:c r="I12" s="6" t="n">
        <x:v>218</x:v>
      </x:c>
      <x:c r="J12" s="6" t="n">
        <x:v>429</x:v>
      </x:c>
      <x:c r="K12" s="6" t="n">
        <x:v>387</x:v>
      </x:c>
      <x:c r="L12" s="6" t="n">
        <x:v>10</x:v>
      </x:c>
      <x:c r="M12" s="11" t="n">
        <x:v>0.8154365079365079</x:v>
      </x:c>
      <x:c r="N12" s="6" t="n">
        <x:v>921500</x:v>
      </x:c>
    </x:row>
    <x:row r="13" ht="24" customHeight="1">
      <x:c r="A13" s="2" t="str">
        <x:v>2026-09-24_Night</x:v>
      </x:c>
      <x:c r="B13" s="6" t="str">
        <x:v>ナイト</x:v>
      </x:c>
      <x:c r="C13" s="6" t="n">
        <x:v>595000</x:v>
      </x:c>
      <x:c r="D13" s="6" t="n">
        <x:v>1997000</x:v>
      </x:c>
      <x:c r="E13" s="6" t="n">
        <x:f>C13-D13</x:f>
        <x:v>-1402000</x:v>
      </x:c>
      <x:c r="F13" s="6" t="n">
        <x:f>F12+E13</x:f>
        <x:v>-7026000</x:v>
      </x:c>
      <x:c r="G13" s="6" t="n">
        <x:v>417500</x:v>
      </x:c>
      <x:c r="H13" s="6" t="n">
        <x:v>1819500</x:v>
      </x:c>
      <x:c r="I13" s="6" t="n">
        <x:v>299</x:v>
      </x:c>
      <x:c r="J13" s="6" t="n">
        <x:v>574</x:v>
      </x:c>
      <x:c r="K13" s="6" t="n">
        <x:v>546</x:v>
      </x:c>
      <x:c r="L13" s="6" t="n">
        <x:v>10</x:v>
      </x:c>
      <x:c r="M13" s="11" t="n">
        <x:v>0.8064316239316239</x:v>
      </x:c>
      <x:c r="N13" s="6" t="n">
        <x:v>1491000</x:v>
      </x:c>
    </x:row>
    <x:row r="14" ht="24" customHeight="1">
      <x:c r="A14" s="2" t="str">
        <x:v>2026-09-25_Day</x:v>
      </x:c>
      <x:c r="B14" s="6" t="str">
        <x:v>デイ</x:v>
      </x:c>
      <x:c r="C14" s="6" t="n">
        <x:v>627000</x:v>
      </x:c>
      <x:c r="D14" s="6" t="n">
        <x:v>1689500</x:v>
      </x:c>
      <x:c r="E14" s="6" t="n">
        <x:f>C14-D14</x:f>
        <x:v>-1062500</x:v>
      </x:c>
      <x:c r="F14" s="6" t="n">
        <x:f>F13+E14</x:f>
        <x:v>-8088500</x:v>
      </x:c>
      <x:c r="G14" s="6" t="n">
        <x:v>542000</x:v>
      </x:c>
      <x:c r="H14" s="6" t="n">
        <x:v>1604500</x:v>
      </x:c>
      <x:c r="I14" s="6" t="n">
        <x:v>220</x:v>
      </x:c>
      <x:c r="J14" s="6" t="n">
        <x:v>448</x:v>
      </x:c>
      <x:c r="K14" s="6" t="n">
        <x:v>390</x:v>
      </x:c>
      <x:c r="L14" s="6" t="n">
        <x:v>10</x:v>
      </x:c>
      <x:c r="M14" s="11" t="n">
        <x:v>0.8145634920634921</x:v>
      </x:c>
      <x:c r="N14" s="6" t="n">
        <x:v>1062500</x:v>
      </x:c>
    </x:row>
    <x:row r="15" ht="24" customHeight="1">
      <x:c r="A15" s="2" t="str">
        <x:v>2026-09-25_Night</x:v>
      </x:c>
      <x:c r="B15" s="6" t="str">
        <x:v>ナイト</x:v>
      </x:c>
      <x:c r="C15" s="6" t="n">
        <x:v>484500</x:v>
      </x:c>
      <x:c r="D15" s="6" t="n">
        <x:v>1386500</x:v>
      </x:c>
      <x:c r="E15" s="6" t="n">
        <x:f>C15-D15</x:f>
        <x:v>-902000</x:v>
      </x:c>
      <x:c r="F15" s="6" t="n">
        <x:f>F14+E15</x:f>
        <x:v>-8990500</x:v>
      </x:c>
      <x:c r="G15" s="6" t="n">
        <x:v>367000</x:v>
      </x:c>
      <x:c r="H15" s="6" t="n">
        <x:v>1269000</x:v>
      </x:c>
      <x:c r="I15" s="6" t="n">
        <x:v>261</x:v>
      </x:c>
      <x:c r="J15" s="6" t="n">
        <x:v>505</x:v>
      </x:c>
      <x:c r="K15" s="6" t="n">
        <x:v>463</x:v>
      </x:c>
      <x:c r="L15" s="6" t="n">
        <x:v>10</x:v>
      </x:c>
      <x:c r="M15" s="11" t="n">
        <x:v>0.7812606837606838</x:v>
      </x:c>
      <x:c r="N15" s="6" t="n">
        <x:v>969000</x:v>
      </x:c>
    </x:row>
    <x:row r="16" ht="24" customHeight="1">
      <x:c r="A16" s="2" t="str">
        <x:v>2026-09-28_Day</x:v>
      </x:c>
      <x:c r="B16" s="6" t="str">
        <x:v>デイ</x:v>
      </x:c>
      <x:c r="C16" s="6" t="n">
        <x:v>487000</x:v>
      </x:c>
      <x:c r="D16" s="6" t="n">
        <x:v>1599000</x:v>
      </x:c>
      <x:c r="E16" s="6" t="n">
        <x:f>C16-D16</x:f>
        <x:v>-1112000</x:v>
      </x:c>
      <x:c r="F16" s="6" t="n">
        <x:f>F15+E16</x:f>
        <x:v>-10102500</x:v>
      </x:c>
      <x:c r="G16" s="6" t="n">
        <x:v>401000</x:v>
      </x:c>
      <x:c r="H16" s="6" t="n">
        <x:v>1513000</x:v>
      </x:c>
      <x:c r="I16" s="6" t="n">
        <x:v>227</x:v>
      </x:c>
      <x:c r="J16" s="6" t="n">
        <x:v>450</x:v>
      </x:c>
      <x:c r="K16" s="6" t="n">
        <x:v>374</x:v>
      </x:c>
      <x:c r="L16" s="6" t="n">
        <x:v>10</x:v>
      </x:c>
      <x:c r="M16" s="11" t="n">
        <x:v>0.7949603174603175</x:v>
      </x:c>
      <x:c r="N16" s="6" t="n">
        <x:v>1181000</x:v>
      </x:c>
    </x:row>
    <x:row r="17" ht="24" customHeight="1">
      <x:c r="A17" s="2" t="str">
        <x:v>2026-09-28_Night</x:v>
      </x:c>
      <x:c r="B17" s="6" t="str">
        <x:v>ナイト</x:v>
      </x:c>
      <x:c r="C17" s="6" t="n">
        <x:v>592000</x:v>
      </x:c>
      <x:c r="D17" s="6" t="n">
        <x:v>1874000</x:v>
      </x:c>
      <x:c r="E17" s="6" t="n">
        <x:f>C17-D17</x:f>
        <x:v>-1282000</x:v>
      </x:c>
      <x:c r="F17" s="6" t="n">
        <x:f>F16+E17</x:f>
        <x:v>-11384500</x:v>
      </x:c>
      <x:c r="G17" s="6" t="n">
        <x:v>466500</x:v>
      </x:c>
      <x:c r="H17" s="6" t="n">
        <x:v>1748500</x:v>
      </x:c>
      <x:c r="I17" s="6" t="n">
        <x:v>282</x:v>
      </x:c>
      <x:c r="J17" s="6" t="n">
        <x:v>526</x:v>
      </x:c>
      <x:c r="K17" s="6" t="n">
        <x:v>488</x:v>
      </x:c>
      <x:c r="L17" s="6" t="n">
        <x:v>10</x:v>
      </x:c>
      <x:c r="M17" s="11" t="n">
        <x:v>0.7911752136752137</x:v>
      </x:c>
      <x:c r="N17" s="6" t="n">
        <x:v>1305000</x:v>
      </x:c>
    </x:row>
    <x:row r="18" ht="24" customHeight="1">
      <x:c r="A18" s="2" t="str">
        <x:v>2026-09-29_Day</x:v>
      </x:c>
      <x:c r="B18" s="6" t="str">
        <x:v>デイ</x:v>
      </x:c>
      <x:c r="C18" s="6" t="n">
        <x:v>666000</x:v>
      </x:c>
      <x:c r="D18" s="6" t="n">
        <x:v>1920500</x:v>
      </x:c>
      <x:c r="E18" s="6" t="n">
        <x:f>C18-D18</x:f>
        <x:v>-1254500</x:v>
      </x:c>
      <x:c r="F18" s="6" t="n">
        <x:f>F17+E18</x:f>
        <x:v>-12639000</x:v>
      </x:c>
      <x:c r="G18" s="6" t="n">
        <x:v>531000</x:v>
      </x:c>
      <x:c r="H18" s="6" t="n">
        <x:v>1785500</x:v>
      </x:c>
      <x:c r="I18" s="6" t="n">
        <x:v>232</x:v>
      </x:c>
      <x:c r="J18" s="6" t="n">
        <x:v>449</x:v>
      </x:c>
      <x:c r="K18" s="6" t="n">
        <x:v>447</x:v>
      </x:c>
      <x:c r="L18" s="6" t="n">
        <x:v>10</x:v>
      </x:c>
      <x:c r="M18" s="11" t="n">
        <x:v>0.8117063492063492</x:v>
      </x:c>
      <x:c r="N18" s="6" t="n">
        <x:v>1316500</x:v>
      </x:c>
    </x:row>
    <x:row r="19" ht="24" customHeight="1">
      <x:c r="A19" s="2" t="str">
        <x:v>2026-09-29_Night</x:v>
      </x:c>
      <x:c r="B19" s="6" t="str">
        <x:v>ナイト</x:v>
      </x:c>
      <x:c r="C19" s="6" t="n">
        <x:v>292500</x:v>
      </x:c>
      <x:c r="D19" s="6" t="n">
        <x:v>1770500</x:v>
      </x:c>
      <x:c r="E19" s="6" t="n">
        <x:f>C19-D19</x:f>
        <x:v>-1478000</x:v>
      </x:c>
      <x:c r="F19" s="6" t="n">
        <x:f>F18+E19</x:f>
        <x:v>-14117000</x:v>
      </x:c>
      <x:c r="G19" s="6" t="n">
        <x:v>181000</x:v>
      </x:c>
      <x:c r="H19" s="6" t="n">
        <x:v>1659000</x:v>
      </x:c>
      <x:c r="I19" s="6" t="n">
        <x:v>288</x:v>
      </x:c>
      <x:c r="J19" s="6" t="n">
        <x:v>540</x:v>
      </x:c>
      <x:c r="K19" s="6" t="n">
        <x:v>530</x:v>
      </x:c>
      <x:c r="L19" s="6" t="n">
        <x:v>10</x:v>
      </x:c>
      <x:c r="M19" s="11" t="n">
        <x:v>0.808076923076923</x:v>
      </x:c>
      <x:c r="N19" s="6" t="n">
        <x:v>1505000</x:v>
      </x:c>
    </x:row>
    <x:row r="20" ht="24" customHeight="1">
      <x:c r="A20" s="2" t="str">
        <x:v>2026-09-30_Day</x:v>
      </x:c>
      <x:c r="B20" s="6" t="str">
        <x:v>デイ</x:v>
      </x:c>
      <x:c r="C20" s="6" t="n">
        <x:v>588500</x:v>
      </x:c>
      <x:c r="D20" s="6" t="n">
        <x:v>1611500</x:v>
      </x:c>
      <x:c r="E20" s="6" t="n">
        <x:f>C20-D20</x:f>
        <x:v>-1023000</x:v>
      </x:c>
      <x:c r="F20" s="6" t="n">
        <x:f>F19+E20</x:f>
        <x:v>-15140000</x:v>
      </x:c>
      <x:c r="G20" s="6" t="n">
        <x:v>496500</x:v>
      </x:c>
      <x:c r="H20" s="6" t="n">
        <x:v>1519500</x:v>
      </x:c>
      <x:c r="I20" s="6" t="n">
        <x:v>222</x:v>
      </x:c>
      <x:c r="J20" s="6" t="n">
        <x:v>483</x:v>
      </x:c>
      <x:c r="K20" s="6" t="n">
        <x:v>433</x:v>
      </x:c>
      <x:c r="L20" s="6" t="n">
        <x:v>10</x:v>
      </x:c>
      <x:c r="M20" s="11" t="n">
        <x:v>0.8205555555555556</x:v>
      </x:c>
      <x:c r="N20" s="6" t="n">
        <x:v>1066500</x:v>
      </x:c>
    </x:row>
    <x:row r="21" ht="24" customHeight="1">
      <x:c r="A21" s="2" t="str">
        <x:v>2026-09-30_Night</x:v>
      </x:c>
      <x:c r="B21" s="6" t="str">
        <x:v>ナイト</x:v>
      </x:c>
      <x:c r="C21" s="6" t="n">
        <x:v>609000</x:v>
      </x:c>
      <x:c r="D21" s="6" t="n">
        <x:v>2090000</x:v>
      </x:c>
      <x:c r="E21" s="6" t="n">
        <x:f>C21-D21</x:f>
        <x:v>-1481000</x:v>
      </x:c>
      <x:c r="F21" s="6" t="n">
        <x:f>F20+E21</x:f>
        <x:v>-16621000</x:v>
      </x:c>
      <x:c r="G21" s="6" t="n">
        <x:v>419500</x:v>
      </x:c>
      <x:c r="H21" s="6" t="n">
        <x:v>1900500</x:v>
      </x:c>
      <x:c r="I21" s="6" t="n">
        <x:v>309</x:v>
      </x:c>
      <x:c r="J21" s="6" t="n">
        <x:v>643</x:v>
      </x:c>
      <x:c r="K21" s="6" t="n">
        <x:v>577</x:v>
      </x:c>
      <x:c r="L21" s="6" t="n">
        <x:v>10</x:v>
      </x:c>
      <x:c r="M21" s="11" t="n">
        <x:v>0.8070512820512821</x:v>
      </x:c>
      <x:c r="N21" s="6" t="n">
        <x:v>1544500</x:v>
      </x:c>
    </x:row>
    <x:row r="22" ht="24" customHeight="1">
      <x:c r="A22" s="2" t="str">
        <x:v>2026-10-01_Day</x:v>
      </x:c>
      <x:c r="B22" s="6" t="str">
        <x:v>デイ</x:v>
      </x:c>
      <x:c r="C22" s="6" t="n">
        <x:v>491000</x:v>
      </x:c>
      <x:c r="D22" s="6" t="n">
        <x:v>1552000</x:v>
      </x:c>
      <x:c r="E22" s="6" t="n">
        <x:f>C22-D22</x:f>
        <x:v>-1061000</x:v>
      </x:c>
      <x:c r="F22" s="6" t="n">
        <x:f>F21+E22</x:f>
        <x:v>-17682000</x:v>
      </x:c>
      <x:c r="G22" s="6" t="n">
        <x:v>371500</x:v>
      </x:c>
      <x:c r="H22" s="6" t="n">
        <x:v>1432500</x:v>
      </x:c>
      <x:c r="I22" s="6" t="n">
        <x:v>213</x:v>
      </x:c>
      <x:c r="J22" s="6" t="n">
        <x:v>415</x:v>
      </x:c>
      <x:c r="K22" s="6" t="n">
        <x:v>402</x:v>
      </x:c>
      <x:c r="L22" s="6" t="n">
        <x:v>10</x:v>
      </x:c>
      <x:c r="M22" s="11" t="n">
        <x:v>0.8017460317460318</x:v>
      </x:c>
      <x:c r="N22" s="6" t="n">
        <x:v>1096500</x:v>
      </x:c>
    </x:row>
    <x:row r="23" ht="24" customHeight="1">
      <x:c r="A23" s="2" t="str">
        <x:v>2026-10-01_Night</x:v>
      </x:c>
      <x:c r="B23" s="6" t="str">
        <x:v>ナイト</x:v>
      </x:c>
      <x:c r="C23" s="6" t="n">
        <x:v>564500</x:v>
      </x:c>
      <x:c r="D23" s="6" t="n">
        <x:v>2471000</x:v>
      </x:c>
      <x:c r="E23" s="6" t="n">
        <x:f>C23-D23</x:f>
        <x:v>-1906500</x:v>
      </x:c>
      <x:c r="F23" s="6" t="n">
        <x:f>F22+E23</x:f>
        <x:v>-19588500</x:v>
      </x:c>
      <x:c r="G23" s="6" t="n">
        <x:v>408500</x:v>
      </x:c>
      <x:c r="H23" s="6" t="n">
        <x:v>2315000</x:v>
      </x:c>
      <x:c r="I23" s="6" t="n">
        <x:v>334</x:v>
      </x:c>
      <x:c r="J23" s="6" t="n">
        <x:v>642</x:v>
      </x:c>
      <x:c r="K23" s="6" t="n">
        <x:v>596</x:v>
      </x:c>
      <x:c r="L23" s="6" t="n">
        <x:v>10</x:v>
      </x:c>
      <x:c r="M23" s="11" t="n">
        <x:v>0.8160683760683761</x:v>
      </x:c>
      <x:c r="N23" s="6" t="n">
        <x:v>1916000</x:v>
      </x:c>
    </x:row>
    <x:row r="24" ht="24" customHeight="1">
      <x:c r="A24" s="2" t="str">
        <x:v>2026-10-02_Day</x:v>
      </x:c>
      <x:c r="B24" s="6" t="str">
        <x:v>デイ</x:v>
      </x:c>
      <x:c r="C24" s="6" t="n">
        <x:v>426000</x:v>
      </x:c>
      <x:c r="D24" s="6" t="n">
        <x:v>1555500</x:v>
      </x:c>
      <x:c r="E24" s="6" t="n">
        <x:f>C24-D24</x:f>
        <x:v>-1129500</x:v>
      </x:c>
      <x:c r="F24" s="6" t="n">
        <x:f>F23+E24</x:f>
        <x:v>-20718000</x:v>
      </x:c>
      <x:c r="G24" s="6" t="n">
        <x:v>278000</x:v>
      </x:c>
      <x:c r="H24" s="6" t="n">
        <x:v>1407500</x:v>
      </x:c>
      <x:c r="I24" s="6" t="n">
        <x:v>206</x:v>
      </x:c>
      <x:c r="J24" s="6" t="n">
        <x:v>501</x:v>
      </x:c>
      <x:c r="K24" s="6" t="n">
        <x:v>417</x:v>
      </x:c>
      <x:c r="L24" s="6" t="n">
        <x:v>10</x:v>
      </x:c>
      <x:c r="M24" s="11" t="n">
        <x:v>0.8257142857142857</x:v>
      </x:c>
      <x:c r="N24" s="6" t="n">
        <x:v>1155500</x:v>
      </x:c>
    </x:row>
    <x:row r="25" ht="24" customHeight="1">
      <x:c r="A25" s="2" t="str">
        <x:v>2026-10-02_Night</x:v>
      </x:c>
      <x:c r="B25" s="6" t="str">
        <x:v>ナイト</x:v>
      </x:c>
      <x:c r="C25" s="6" t="n">
        <x:v>745000</x:v>
      </x:c>
      <x:c r="D25" s="6" t="n">
        <x:v>2004000</x:v>
      </x:c>
      <x:c r="E25" s="6" t="n">
        <x:f>C25-D25</x:f>
        <x:v>-1259000</x:v>
      </x:c>
      <x:c r="F25" s="6" t="n">
        <x:f>F24+E25</x:f>
        <x:v>-21977000</x:v>
      </x:c>
      <x:c r="G25" s="6" t="n">
        <x:v>576000</x:v>
      </x:c>
      <x:c r="H25" s="6" t="n">
        <x:v>1835000</x:v>
      </x:c>
      <x:c r="I25" s="6" t="n">
        <x:v>311</x:v>
      </x:c>
      <x:c r="J25" s="6" t="n">
        <x:v>602</x:v>
      </x:c>
      <x:c r="K25" s="6" t="n">
        <x:v>573</x:v>
      </x:c>
      <x:c r="L25" s="6" t="n">
        <x:v>10</x:v>
      </x:c>
      <x:c r="M25" s="11" t="n">
        <x:v>0.8030128205128205</x:v>
      </x:c>
      <x:c r="N25" s="6" t="n">
        <x:v>1329000</x:v>
      </x:c>
    </x:row>
    <x:row r="26" ht="24" customHeight="1">
      <x:c r="A26" s="2" t="str">
        <x:v>2026-10-05_Day</x:v>
      </x:c>
      <x:c r="B26" s="6" t="str">
        <x:v>デイ</x:v>
      </x:c>
      <x:c r="C26" s="6" t="n">
        <x:v>446500</x:v>
      </x:c>
      <x:c r="D26" s="6" t="n">
        <x:v>1352000</x:v>
      </x:c>
      <x:c r="E26" s="6" t="n">
        <x:f>C26-D26</x:f>
        <x:v>-905500</x:v>
      </x:c>
      <x:c r="F26" s="6" t="n">
        <x:f>F25+E26</x:f>
        <x:v>-22882500</x:v>
      </x:c>
      <x:c r="G26" s="6" t="n">
        <x:v>358500</x:v>
      </x:c>
      <x:c r="H26" s="6" t="n">
        <x:v>1264000</x:v>
      </x:c>
      <x:c r="I26" s="6" t="n">
        <x:v>203</x:v>
      </x:c>
      <x:c r="J26" s="6" t="n">
        <x:v>429</x:v>
      </x:c>
      <x:c r="K26" s="6" t="n">
        <x:v>358</x:v>
      </x:c>
      <x:c r="L26" s="6" t="n">
        <x:v>10</x:v>
      </x:c>
      <x:c r="M26" s="11" t="n">
        <x:v>0.8112698412698413</x:v>
      </x:c>
      <x:c r="N26" s="6" t="n">
        <x:v>961000</x:v>
      </x:c>
    </x:row>
    <x:row r="27" ht="24" customHeight="1">
      <x:c r="A27" s="2" t="str">
        <x:v>2026-10-05_Night</x:v>
      </x:c>
      <x:c r="B27" s="6" t="str">
        <x:v>ナイト</x:v>
      </x:c>
      <x:c r="C27" s="6" t="n">
        <x:v>453500</x:v>
      </x:c>
      <x:c r="D27" s="6" t="n">
        <x:v>1502500</x:v>
      </x:c>
      <x:c r="E27" s="6" t="n">
        <x:f>C27-D27</x:f>
        <x:v>-1049000</x:v>
      </x:c>
      <x:c r="F27" s="6" t="n">
        <x:f>F26+E27</x:f>
        <x:v>-23931500</x:v>
      </x:c>
      <x:c r="G27" s="6" t="n">
        <x:v>351000</x:v>
      </x:c>
      <x:c r="H27" s="6" t="n">
        <x:v>1400000</x:v>
      </x:c>
      <x:c r="I27" s="6" t="n">
        <x:v>288</x:v>
      </x:c>
      <x:c r="J27" s="6" t="n">
        <x:v>494</x:v>
      </x:c>
      <x:c r="K27" s="6" t="n">
        <x:v>475</x:v>
      </x:c>
      <x:c r="L27" s="6" t="n">
        <x:v>10</x:v>
      </x:c>
      <x:c r="M27" s="11" t="n">
        <x:v>0.7828205128205128</x:v>
      </x:c>
      <x:c r="N27" s="6" t="n">
        <x:v>1102000</x:v>
      </x:c>
    </x:row>
    <x:row r="28" ht="24" customHeight="1">
      <x:c r="A28" s="2" t="str">
        <x:v>2026-10-06_Day</x:v>
      </x:c>
      <x:c r="B28" s="6" t="str">
        <x:v>デイ</x:v>
      </x:c>
      <x:c r="C28" s="6" t="n">
        <x:v>313500</x:v>
      </x:c>
      <x:c r="D28" s="6" t="n">
        <x:v>1079500</x:v>
      </x:c>
      <x:c r="E28" s="6" t="n">
        <x:f>C28-D28</x:f>
        <x:v>-766000</x:v>
      </x:c>
      <x:c r="F28" s="6" t="n">
        <x:f>F27+E28</x:f>
        <x:v>-24697500</x:v>
      </x:c>
      <x:c r="G28" s="6" t="n">
        <x:v>220500</x:v>
      </x:c>
      <x:c r="H28" s="6" t="n">
        <x:v>986500</x:v>
      </x:c>
      <x:c r="I28" s="6" t="n">
        <x:v>203</x:v>
      </x:c>
      <x:c r="J28" s="6" t="n">
        <x:v>441</x:v>
      </x:c>
      <x:c r="K28" s="6" t="n">
        <x:v>379</x:v>
      </x:c>
      <x:c r="L28" s="6" t="n">
        <x:v>10</x:v>
      </x:c>
      <x:c r="M28" s="11" t="n">
        <x:v>0.7953968253968254</x:v>
      </x:c>
      <x:c r="N28" s="6" t="n">
        <x:v>766000</x:v>
      </x:c>
    </x:row>
    <x:row r="29" ht="24" customHeight="1">
      <x:c r="A29" s="2" t="str">
        <x:v>2026-10-06_Night</x:v>
      </x:c>
      <x:c r="B29" s="6" t="str">
        <x:v>ナイト</x:v>
      </x:c>
      <x:c r="C29" s="6" t="n">
        <x:v>192500</x:v>
      </x:c>
      <x:c r="D29" s="6" t="n">
        <x:v>1006500</x:v>
      </x:c>
      <x:c r="E29" s="6" t="n">
        <x:f>C29-D29</x:f>
        <x:v>-814000</x:v>
      </x:c>
      <x:c r="F29" s="6" t="n">
        <x:f>F28+E29</x:f>
        <x:v>-25511500</x:v>
      </x:c>
      <x:c r="G29" s="6" t="n">
        <x:v>116500</x:v>
      </x:c>
      <x:c r="H29" s="6" t="n">
        <x:v>930500</x:v>
      </x:c>
      <x:c r="I29" s="6" t="n">
        <x:v>277</x:v>
      </x:c>
      <x:c r="J29" s="6" t="n">
        <x:v>470</x:v>
      </x:c>
      <x:c r="K29" s="6" t="n">
        <x:v>418</x:v>
      </x:c>
      <x:c r="L29" s="6" t="n">
        <x:v>10</x:v>
      </x:c>
      <x:c r="M29" s="11" t="n">
        <x:v>0.7555128205128205</x:v>
      </x:c>
      <x:c r="N29" s="6" t="n">
        <x:v>834000</x:v>
      </x:c>
    </x:row>
    <x:row r="30" ht="24" customHeight="1">
      <x:c r="A30" s="2" t="str">
        <x:v>2026-10-07_Day</x:v>
      </x:c>
      <x:c r="B30" s="6" t="str">
        <x:v>デイ</x:v>
      </x:c>
      <x:c r="C30" s="6" t="n">
        <x:v>377500</x:v>
      </x:c>
      <x:c r="D30" s="6" t="n">
        <x:v>994500</x:v>
      </x:c>
      <x:c r="E30" s="6" t="n">
        <x:f>C30-D30</x:f>
        <x:v>-617000</x:v>
      </x:c>
      <x:c r="F30" s="6" t="n">
        <x:f>F29+E30</x:f>
        <x:v>-26128500</x:v>
      </x:c>
      <x:c r="G30" s="6" t="n">
        <x:v>303500</x:v>
      </x:c>
      <x:c r="H30" s="6" t="n">
        <x:v>920500</x:v>
      </x:c>
      <x:c r="I30" s="6" t="n">
        <x:v>175</x:v>
      </x:c>
      <x:c r="J30" s="6" t="n">
        <x:v>389</x:v>
      </x:c>
      <x:c r="K30" s="6" t="n">
        <x:v>332</x:v>
      </x:c>
      <x:c r="L30" s="6" t="n">
        <x:v>10</x:v>
      </x:c>
      <x:c r="M30" s="11" t="n">
        <x:v>0.7925396825396825</x:v>
      </x:c>
      <x:c r="N30" s="6" t="n">
        <x:v>631000</x:v>
      </x:c>
    </x:row>
    <x:row r="31" ht="24" customHeight="1">
      <x:c r="A31" s="2" t="str">
        <x:v>2026-10-07_Night</x:v>
      </x:c>
      <x:c r="B31" s="6" t="str">
        <x:v>ナイト</x:v>
      </x:c>
      <x:c r="C31" s="6" t="n">
        <x:v>252000</x:v>
      </x:c>
      <x:c r="D31" s="6" t="n">
        <x:v>1367000</x:v>
      </x:c>
      <x:c r="E31" s="6" t="n">
        <x:f>C31-D31</x:f>
        <x:v>-1115000</x:v>
      </x:c>
      <x:c r="F31" s="6" t="n">
        <x:f>F30+E31</x:f>
        <x:v>-27243500</x:v>
      </x:c>
      <x:c r="G31" s="6" t="n">
        <x:v>134000</x:v>
      </x:c>
      <x:c r="H31" s="6" t="n">
        <x:v>1249000</x:v>
      </x:c>
      <x:c r="I31" s="6" t="n">
        <x:v>271</x:v>
      </x:c>
      <x:c r="J31" s="6" t="n">
        <x:v>502</x:v>
      </x:c>
      <x:c r="K31" s="6" t="n">
        <x:v>448</x:v>
      </x:c>
      <x:c r="L31" s="6" t="n">
        <x:v>10</x:v>
      </x:c>
      <x:c r="M31" s="11" t="n">
        <x:v>0.7736324786324786</x:v>
      </x:c>
      <x:c r="N31" s="6" t="n">
        <x:v>1139000</x:v>
      </x:c>
    </x:row>
    <x:row r="32" ht="24" customHeight="1">
      <x:c r="A32" s="2" t="str">
        <x:v>2026-10-08_Day</x:v>
      </x:c>
      <x:c r="B32" s="6" t="str">
        <x:v>デイ</x:v>
      </x:c>
      <x:c r="C32" s="6" t="n">
        <x:v>637000</x:v>
      </x:c>
      <x:c r="D32" s="6" t="n">
        <x:v>1080500</x:v>
      </x:c>
      <x:c r="E32" s="6" t="n">
        <x:f>C32-D32</x:f>
        <x:v>-443500</x:v>
      </x:c>
      <x:c r="F32" s="6" t="n">
        <x:f>F31+E32</x:f>
        <x:v>-27687000</x:v>
      </x:c>
      <x:c r="G32" s="6" t="n">
        <x:v>539000</x:v>
      </x:c>
      <x:c r="H32" s="6" t="n">
        <x:v>982500</x:v>
      </x:c>
      <x:c r="I32" s="6" t="n">
        <x:v>191</x:v>
      </x:c>
      <x:c r="J32" s="6" t="n">
        <x:v>464</x:v>
      </x:c>
      <x:c r="K32" s="6" t="n">
        <x:v>406</x:v>
      </x:c>
      <x:c r="L32" s="6" t="n">
        <x:v>10</x:v>
      </x:c>
      <x:c r="M32" s="11" t="n">
        <x:v>0.8100793650793651</x:v>
      </x:c>
      <x:c r="N32" s="6" t="n">
        <x:v>650500</x:v>
      </x:c>
    </x:row>
    <x:row r="33" ht="24" customHeight="1">
      <x:c r="A33" s="2" t="str">
        <x:v>2026-10-08_Night</x:v>
      </x:c>
      <x:c r="B33" s="6" t="str">
        <x:v>ナイト</x:v>
      </x:c>
      <x:c r="C33" s="6" t="n">
        <x:v>491500</x:v>
      </x:c>
      <x:c r="D33" s="6" t="n">
        <x:v>1894000</x:v>
      </x:c>
      <x:c r="E33" s="6" t="n">
        <x:f>C33-D33</x:f>
        <x:v>-1402500</x:v>
      </x:c>
      <x:c r="F33" s="6" t="n">
        <x:f>F32+E33</x:f>
        <x:v>-29089500</x:v>
      </x:c>
      <x:c r="G33" s="6" t="n">
        <x:v>310000</x:v>
      </x:c>
      <x:c r="H33" s="6" t="n">
        <x:v>1712500</x:v>
      </x:c>
      <x:c r="I33" s="6" t="n">
        <x:v>310</x:v>
      </x:c>
      <x:c r="J33" s="6" t="n">
        <x:v>610</x:v>
      </x:c>
      <x:c r="K33" s="6" t="n">
        <x:v>594</x:v>
      </x:c>
      <x:c r="L33" s="6" t="n">
        <x:v>10</x:v>
      </x:c>
      <x:c r="M33" s="11" t="n">
        <x:v>0.7961965811965812</x:v>
      </x:c>
      <x:c r="N33" s="6" t="n">
        <x:v>1433000</x:v>
      </x:c>
    </x:row>
    <x:row r="34" ht="24" customHeight="1">
      <x:c r="A34" s="2" t="str">
        <x:v>2026-10-09_Day</x:v>
      </x:c>
      <x:c r="B34" s="6" t="str">
        <x:v>デイ</x:v>
      </x:c>
      <x:c r="C34" s="6" t="n">
        <x:v>452500</x:v>
      </x:c>
      <x:c r="D34" s="6" t="n">
        <x:v>1558000</x:v>
      </x:c>
      <x:c r="E34" s="6" t="n">
        <x:f>C34-D34</x:f>
        <x:v>-1105500</x:v>
      </x:c>
      <x:c r="F34" s="6" t="n">
        <x:f>F33+E34</x:f>
        <x:v>-30195000</x:v>
      </x:c>
      <x:c r="G34" s="6" t="n">
        <x:v>365000</x:v>
      </x:c>
      <x:c r="H34" s="6" t="n">
        <x:v>1470500</x:v>
      </x:c>
      <x:c r="I34" s="6" t="n">
        <x:v>197</x:v>
      </x:c>
      <x:c r="J34" s="6" t="n">
        <x:v>382</x:v>
      </x:c>
      <x:c r="K34" s="6" t="n">
        <x:v>376</x:v>
      </x:c>
      <x:c r="L34" s="6" t="n">
        <x:v>10</x:v>
      </x:c>
      <x:c r="M34" s="11" t="n">
        <x:v>0.8080952380952381</x:v>
      </x:c>
      <x:c r="N34" s="6" t="n">
        <x:v>1128000</x:v>
      </x:c>
    </x:row>
    <x:row r="35" ht="24" customHeight="1">
      <x:c r="A35" s="2" t="str">
        <x:v>2026-10-09_Night</x:v>
      </x:c>
      <x:c r="B35" s="6" t="str">
        <x:v>ナイト</x:v>
      </x:c>
      <x:c r="C35" s="6" t="n">
        <x:v>175500</x:v>
      </x:c>
      <x:c r="D35" s="6" t="n">
        <x:v>1198000</x:v>
      </x:c>
      <x:c r="E35" s="6" t="n">
        <x:f>C35-D35</x:f>
        <x:v>-1022500</x:v>
      </x:c>
      <x:c r="F35" s="6" t="n">
        <x:f>F34+E35</x:f>
        <x:v>-31217500</x:v>
      </x:c>
      <x:c r="G35" s="6" t="n">
        <x:v>115000</x:v>
      </x:c>
      <x:c r="H35" s="6" t="n">
        <x:v>1137500</x:v>
      </x:c>
      <x:c r="I35" s="6" t="n">
        <x:v>255</x:v>
      </x:c>
      <x:c r="J35" s="6" t="n">
        <x:v>418</x:v>
      </x:c>
      <x:c r="K35" s="6" t="n">
        <x:v>392</x:v>
      </x:c>
      <x:c r="L35" s="6" t="n">
        <x:v>10</x:v>
      </x:c>
      <x:c r="M35" s="11" t="n">
        <x:v>0.7514529914529915</x:v>
      </x:c>
      <x:c r="N35" s="6" t="n">
        <x:v>1028000</x:v>
      </x:c>
    </x:row>
    <x:row r="36" ht="24" customHeight="1">
      <x:c r="A36" s="2" t="str">
        <x:v>2026-10-12_Day</x:v>
      </x:c>
      <x:c r="B36" s="6" t="str">
        <x:v>デイ</x:v>
      </x:c>
      <x:c r="C36" s="6" t="n">
        <x:v>75000</x:v>
      </x:c>
      <x:c r="D36" s="6" t="n">
        <x:v>548000</x:v>
      </x:c>
      <x:c r="E36" s="6" t="n">
        <x:f>C36-D36</x:f>
        <x:v>-473000</x:v>
      </x:c>
      <x:c r="F36" s="6" t="n">
        <x:f>F35+E36</x:f>
        <x:v>-31690500</x:v>
      </x:c>
      <x:c r="G36" s="6" t="n">
        <x:v>48000</x:v>
      </x:c>
      <x:c r="H36" s="6" t="n">
        <x:v>521000</x:v>
      </x:c>
      <x:c r="I36" s="6" t="n">
        <x:v>115</x:v>
      </x:c>
      <x:c r="J36" s="6" t="n">
        <x:v>165</x:v>
      </x:c>
      <x:c r="K36" s="6" t="n">
        <x:v>178</x:v>
      </x:c>
      <x:c r="L36" s="6" t="n">
        <x:v>10</x:v>
      </x:c>
      <x:c r="M36" s="11" t="n">
        <x:v>0.7342857142857143</x:v>
      </x:c>
      <x:c r="N36" s="6" t="n">
        <x:v>473000</x:v>
      </x:c>
    </x:row>
    <x:row r="37" ht="24" customHeight="1">
      <x:c r="A37" s="2" t="str">
        <x:v>2026-10-12_Night</x:v>
      </x:c>
      <x:c r="B37" s="6" t="str">
        <x:v>ナイト</x:v>
      </x:c>
      <x:c r="C37" s="6" t="n">
        <x:v>80500</x:v>
      </x:c>
      <x:c r="D37" s="6" t="n">
        <x:v>718000</x:v>
      </x:c>
      <x:c r="E37" s="6" t="n">
        <x:f>C37-D37</x:f>
        <x:v>-637500</x:v>
      </x:c>
      <x:c r="F37" s="6" t="n">
        <x:f>F36+E37</x:f>
        <x:v>-32328000</x:v>
      </x:c>
      <x:c r="G37" s="6" t="n">
        <x:v>18000</x:v>
      </x:c>
      <x:c r="H37" s="6" t="n">
        <x:v>655500</x:v>
      </x:c>
      <x:c r="I37" s="6" t="n">
        <x:v>188</x:v>
      </x:c>
      <x:c r="J37" s="6" t="n">
        <x:v>269</x:v>
      </x:c>
      <x:c r="K37" s="6" t="n">
        <x:v>252</x:v>
      </x:c>
      <x:c r="L37" s="6" t="n">
        <x:v>10</x:v>
      </x:c>
      <x:c r="M37" s="11" t="n">
        <x:v>0.6876923076923077</x:v>
      </x:c>
      <x:c r="N37" s="6" t="n">
        <x:v>638000</x:v>
      </x:c>
    </x:row>
    <x:row r="38" ht="24" customHeight="1">
      <x:c r="A38" s="2" t="str">
        <x:v>2026-10-13_Day</x:v>
      </x:c>
      <x:c r="B38" s="6" t="str">
        <x:v>デイ</x:v>
      </x:c>
      <x:c r="C38" s="6" t="n">
        <x:v>447000</x:v>
      </x:c>
      <x:c r="D38" s="6" t="n">
        <x:v>1841000</x:v>
      </x:c>
      <x:c r="E38" s="6" t="n">
        <x:f>C38-D38</x:f>
        <x:v>-1394000</x:v>
      </x:c>
      <x:c r="F38" s="6" t="n">
        <x:f>F37+E38</x:f>
        <x:v>-33722000</x:v>
      </x:c>
      <x:c r="G38" s="6" t="n">
        <x:v>354500</x:v>
      </x:c>
      <x:c r="H38" s="6" t="n">
        <x:v>1748500</x:v>
      </x:c>
      <x:c r="I38" s="6" t="n">
        <x:v>231</x:v>
      </x:c>
      <x:c r="J38" s="6" t="n">
        <x:v>433</x:v>
      </x:c>
      <x:c r="K38" s="6" t="n">
        <x:v>408</x:v>
      </x:c>
      <x:c r="L38" s="6" t="n">
        <x:v>10</x:v>
      </x:c>
      <x:c r="M38" s="11" t="n">
        <x:v>0.8046031746031747</x:v>
      </x:c>
      <x:c r="N38" s="6" t="n">
        <x:v>1398000</x:v>
      </x:c>
    </x:row>
    <x:row r="39" ht="24" customHeight="1">
      <x:c r="A39" s="2" t="str">
        <x:v>2026-10-13_Night</x:v>
      </x:c>
      <x:c r="B39" s="6" t="str">
        <x:v>ナイト</x:v>
      </x:c>
      <x:c r="C39" s="6" t="n">
        <x:v>138500</x:v>
      </x:c>
      <x:c r="D39" s="6" t="n">
        <x:v>842000</x:v>
      </x:c>
      <x:c r="E39" s="6" t="n">
        <x:f>C39-D39</x:f>
        <x:v>-703500</x:v>
      </x:c>
      <x:c r="F39" s="6" t="n">
        <x:f>F38+E39</x:f>
        <x:v>-34425500</x:v>
      </x:c>
      <x:c r="G39" s="6" t="n">
        <x:v>63500</x:v>
      </x:c>
      <x:c r="H39" s="6" t="n">
        <x:v>767000</x:v>
      </x:c>
      <x:c r="I39" s="6" t="n">
        <x:v>224</x:v>
      </x:c>
      <x:c r="J39" s="6" t="n">
        <x:v>409</x:v>
      </x:c>
      <x:c r="K39" s="6" t="n">
        <x:v>351</x:v>
      </x:c>
      <x:c r="L39" s="6" t="n">
        <x:v>10</x:v>
      </x:c>
      <x:c r="M39" s="11" t="n">
        <x:v>0.7367094017094017</x:v>
      </x:c>
      <x:c r="N39" s="6" t="n">
        <x:v>706500</x:v>
      </x:c>
    </x:row>
    <x:row r="40" ht="24" customHeight="1">
      <x:c r="A40" s="2" t="str">
        <x:v>2026-10-14_Day</x:v>
      </x:c>
      <x:c r="B40" s="6" t="str">
        <x:v>デイ</x:v>
      </x:c>
      <x:c r="C40" s="6" t="n">
        <x:v>255000</x:v>
      </x:c>
      <x:c r="D40" s="6" t="n">
        <x:v>1470500</x:v>
      </x:c>
      <x:c r="E40" s="6" t="n">
        <x:f>C40-D40</x:f>
        <x:v>-1215500</x:v>
      </x:c>
      <x:c r="F40" s="6" t="n">
        <x:f>F39+E40</x:f>
        <x:v>-35641000</x:v>
      </x:c>
      <x:c r="G40" s="6" t="n">
        <x:v>191000</x:v>
      </x:c>
      <x:c r="H40" s="6" t="n">
        <x:v>1406500</x:v>
      </x:c>
      <x:c r="I40" s="6" t="n">
        <x:v>203</x:v>
      </x:c>
      <x:c r="J40" s="6" t="n">
        <x:v>412</x:v>
      </x:c>
      <x:c r="K40" s="6" t="n">
        <x:v>372</x:v>
      </x:c>
      <x:c r="L40" s="6" t="n">
        <x:v>10</x:v>
      </x:c>
      <x:c r="M40" s="11" t="n">
        <x:v>0.794404761904762</x:v>
      </x:c>
      <x:c r="N40" s="6" t="n">
        <x:v>1224500</x:v>
      </x:c>
    </x:row>
    <x:row r="41" ht="24" customHeight="1">
      <x:c r="A41" s="2" t="str">
        <x:v>2026-10-14_Night</x:v>
      </x:c>
      <x:c r="B41" s="6" t="str">
        <x:v>ナイト</x:v>
      </x:c>
      <x:c r="C41" s="6" t="n">
        <x:v>561000</x:v>
      </x:c>
      <x:c r="D41" s="6" t="n">
        <x:v>1621000</x:v>
      </x:c>
      <x:c r="E41" s="6" t="n">
        <x:f>C41-D41</x:f>
        <x:v>-1060000</x:v>
      </x:c>
      <x:c r="F41" s="6" t="n">
        <x:f>F40+E41</x:f>
        <x:v>-36701000</x:v>
      </x:c>
      <x:c r="G41" s="6" t="n">
        <x:v>419000</x:v>
      </x:c>
      <x:c r="H41" s="6" t="n">
        <x:v>1479000</x:v>
      </x:c>
      <x:c r="I41" s="6" t="n">
        <x:v>272</x:v>
      </x:c>
      <x:c r="J41" s="6" t="n">
        <x:v>615</x:v>
      </x:c>
      <x:c r="K41" s="6" t="n">
        <x:v>505</x:v>
      </x:c>
      <x:c r="L41" s="6" t="n">
        <x:v>10</x:v>
      </x:c>
      <x:c r="M41" s="11" t="n">
        <x:v>0.8034188034188035</x:v>
      </x:c>
      <x:c r="N41" s="6" t="n">
        <x:v>1064500</x:v>
      </x:c>
    </x:row>
    <x:row r="42" ht="24" customHeight="1">
      <x:c r="A42" s="2" t="str">
        <x:v>2026-10-15_Day</x:v>
      </x:c>
      <x:c r="B42" s="6" t="str">
        <x:v>デイ</x:v>
      </x:c>
      <x:c r="C42" s="6" t="n">
        <x:v>940500</x:v>
      </x:c>
      <x:c r="D42" s="6" t="n">
        <x:v>2463000</x:v>
      </x:c>
      <x:c r="E42" s="6" t="n">
        <x:f>C42-D42</x:f>
        <x:v>-1522500</x:v>
      </x:c>
      <x:c r="F42" s="6" t="n">
        <x:f>F41+E42</x:f>
        <x:v>-38223500</x:v>
      </x:c>
      <x:c r="G42" s="6" t="n">
        <x:v>774500</x:v>
      </x:c>
      <x:c r="H42" s="6" t="n">
        <x:v>2297000</x:v>
      </x:c>
      <x:c r="I42" s="6" t="n">
        <x:v>239</x:v>
      </x:c>
      <x:c r="J42" s="6" t="n">
        <x:v>474</x:v>
      </x:c>
      <x:c r="K42" s="6" t="n">
        <x:v>443</x:v>
      </x:c>
      <x:c r="L42" s="6" t="n">
        <x:v>10</x:v>
      </x:c>
      <x:c r="M42" s="11" t="n">
        <x:v>0.8136507936507936</x:v>
      </x:c>
      <x:c r="N42" s="6" t="n">
        <x:v>1571000</x:v>
      </x:c>
    </x:row>
    <x:row r="43" ht="24" customHeight="1">
      <x:c r="A43" s="2" t="str">
        <x:v>2026-10-15_Night</x:v>
      </x:c>
      <x:c r="B43" s="6" t="str">
        <x:v>ナイト</x:v>
      </x:c>
      <x:c r="C43" s="6" t="n">
        <x:v>645500</x:v>
      </x:c>
      <x:c r="D43" s="6" t="n">
        <x:v>1977500</x:v>
      </x:c>
      <x:c r="E43" s="6" t="n">
        <x:f>C43-D43</x:f>
        <x:v>-1332000</x:v>
      </x:c>
      <x:c r="F43" s="6" t="n">
        <x:f>F42+E43</x:f>
        <x:v>-39555500</x:v>
      </x:c>
      <x:c r="G43" s="6" t="n">
        <x:v>509500</x:v>
      </x:c>
      <x:c r="H43" s="6" t="n">
        <x:v>1841500</x:v>
      </x:c>
      <x:c r="I43" s="6" t="n">
        <x:v>297</x:v>
      </x:c>
      <x:c r="J43" s="6" t="n">
        <x:v>601</x:v>
      </x:c>
      <x:c r="K43" s="6" t="n">
        <x:v>577</x:v>
      </x:c>
      <x:c r="L43" s="6" t="n">
        <x:v>10</x:v>
      </x:c>
      <x:c r="M43" s="11" t="n">
        <x:v>0.8223290598290598</x:v>
      </x:c>
      <x:c r="N43" s="6" t="n">
        <x:v>1337500</x:v>
      </x:c>
    </x:row>
    <x:row r="44" ht="24" customHeight="1">
      <x:c r="A44" s="2" t="str">
        <x:v>2026-10-16_Day</x:v>
      </x:c>
      <x:c r="B44" s="6" t="str">
        <x:v>デイ</x:v>
      </x:c>
      <x:c r="C44" s="6" t="n">
        <x:v>513000</x:v>
      </x:c>
      <x:c r="D44" s="6" t="n">
        <x:v>1775500</x:v>
      </x:c>
      <x:c r="E44" s="6" t="n">
        <x:f>C44-D44</x:f>
        <x:v>-1262500</x:v>
      </x:c>
      <x:c r="F44" s="6" t="n">
        <x:f>F43+E44</x:f>
        <x:v>-40818000</x:v>
      </x:c>
      <x:c r="G44" s="6" t="n">
        <x:v>414000</x:v>
      </x:c>
      <x:c r="H44" s="6" t="n">
        <x:v>1676500</x:v>
      </x:c>
      <x:c r="I44" s="6" t="n">
        <x:v>235</x:v>
      </x:c>
      <x:c r="J44" s="6" t="n">
        <x:v>441</x:v>
      </x:c>
      <x:c r="K44" s="6" t="n">
        <x:v>392</x:v>
      </x:c>
      <x:c r="L44" s="6" t="n">
        <x:v>10</x:v>
      </x:c>
      <x:c r="M44" s="11" t="n">
        <x:v>0.7944444444444444</x:v>
      </x:c>
      <x:c r="N44" s="6" t="n">
        <x:v>1286500</x:v>
      </x:c>
    </x:row>
    <x:row r="45" ht="24" customHeight="1">
      <x:c r="A45" s="2" t="str">
        <x:v>2026-10-16_Night</x:v>
      </x:c>
      <x:c r="B45" s="6" t="str">
        <x:v>ナイト</x:v>
      </x:c>
      <x:c r="C45" s="6" t="n">
        <x:v>727000</x:v>
      </x:c>
      <x:c r="D45" s="6" t="n">
        <x:v>2115500</x:v>
      </x:c>
      <x:c r="E45" s="6" t="n">
        <x:f>C45-D45</x:f>
        <x:v>-1388500</x:v>
      </x:c>
      <x:c r="F45" s="6" t="n">
        <x:f>F44+E45</x:f>
        <x:v>-42206500</x:v>
      </x:c>
      <x:c r="G45" s="6" t="n">
        <x:v>529500</x:v>
      </x:c>
      <x:c r="H45" s="6" t="n">
        <x:v>1918000</x:v>
      </x:c>
      <x:c r="I45" s="6" t="n">
        <x:v>327</x:v>
      </x:c>
      <x:c r="J45" s="6" t="n">
        <x:v>722</x:v>
      </x:c>
      <x:c r="K45" s="6" t="n">
        <x:v>665</x:v>
      </x:c>
      <x:c r="L45" s="6" t="n">
        <x:v>10</x:v>
      </x:c>
      <x:c r="M45" s="11" t="n">
        <x:v>0.8141880341880342</x:v>
      </x:c>
      <x:c r="N45" s="6" t="n">
        <x:v>1395500</x:v>
      </x:c>
    </x:row>
    <x:row r="46" ht="24" customHeight="1">
      <x:c r="A46" s="2" t="str">
        <x:v>2026-10-19_Day</x:v>
      </x:c>
      <x:c r="B46" s="6" t="str">
        <x:v>デイ</x:v>
      </x:c>
      <x:c r="C46" s="6" t="n">
        <x:v>709000</x:v>
      </x:c>
      <x:c r="D46" s="6" t="n">
        <x:v>1585500</x:v>
      </x:c>
      <x:c r="E46" s="6" t="n">
        <x:f>C46-D46</x:f>
        <x:v>-876500</x:v>
      </x:c>
      <x:c r="F46" s="6" t="n">
        <x:f>F45+E46</x:f>
        <x:v>-43083000</x:v>
      </x:c>
      <x:c r="G46" s="6" t="n">
        <x:v>608500</x:v>
      </x:c>
      <x:c r="H46" s="6" t="n">
        <x:v>1485000</x:v>
      </x:c>
      <x:c r="I46" s="6" t="n">
        <x:v>205</x:v>
      </x:c>
      <x:c r="J46" s="6" t="n">
        <x:v>408</x:v>
      </x:c>
      <x:c r="K46" s="6" t="n">
        <x:v>413</x:v>
      </x:c>
      <x:c r="L46" s="6" t="n">
        <x:v>10</x:v>
      </x:c>
      <x:c r="M46" s="11" t="n">
        <x:v>0.8114285714285714</x:v>
      </x:c>
      <x:c r="N46" s="6" t="n">
        <x:v>1032000</x:v>
      </x:c>
    </x:row>
    <x:row r="47" ht="24" customHeight="1">
      <x:c r="A47" s="2" t="str">
        <x:v>2026-10-19_Night</x:v>
      </x:c>
      <x:c r="B47" s="6" t="str">
        <x:v>ナイト</x:v>
      </x:c>
      <x:c r="C47" s="6" t="n">
        <x:v>360500</x:v>
      </x:c>
      <x:c r="D47" s="6" t="n">
        <x:v>1632000</x:v>
      </x:c>
      <x:c r="E47" s="6" t="n">
        <x:f>C47-D47</x:f>
        <x:v>-1271500</x:v>
      </x:c>
      <x:c r="F47" s="6" t="n">
        <x:f>F46+E47</x:f>
        <x:v>-44354500</x:v>
      </x:c>
      <x:c r="G47" s="6" t="n">
        <x:v>229000</x:v>
      </x:c>
      <x:c r="H47" s="6" t="n">
        <x:v>1500500</x:v>
      </x:c>
      <x:c r="I47" s="6" t="n">
        <x:v>289</x:v>
      </x:c>
      <x:c r="J47" s="6" t="n">
        <x:v>549</x:v>
      </x:c>
      <x:c r="K47" s="6" t="n">
        <x:v>495</x:v>
      </x:c>
      <x:c r="L47" s="6" t="n">
        <x:v>10</x:v>
      </x:c>
      <x:c r="M47" s="11" t="n">
        <x:v>0.778931623931624</x:v>
      </x:c>
      <x:c r="N47" s="6" t="n">
        <x:v>1275500</x:v>
      </x:c>
    </x:row>
    <x:row r="48" ht="24" customHeight="1">
      <x:c r="A48" s="2" t="str">
        <x:v>2026-10-20_Day</x:v>
      </x:c>
      <x:c r="B48" s="6" t="str">
        <x:v>デイ</x:v>
      </x:c>
      <x:c r="C48" s="6" t="n">
        <x:v>608500</x:v>
      </x:c>
      <x:c r="D48" s="6" t="n">
        <x:v>1667500</x:v>
      </x:c>
      <x:c r="E48" s="6" t="n">
        <x:f>C48-D48</x:f>
        <x:v>-1059000</x:v>
      </x:c>
      <x:c r="F48" s="6" t="n">
        <x:f>F47+E48</x:f>
        <x:v>-45413500</x:v>
      </x:c>
      <x:c r="G48" s="6" t="n">
        <x:v>475500</x:v>
      </x:c>
      <x:c r="H48" s="6" t="n">
        <x:v>1534500</x:v>
      </x:c>
      <x:c r="I48" s="6" t="n">
        <x:v>203</x:v>
      </x:c>
      <x:c r="J48" s="6" t="n">
        <x:v>460</x:v>
      </x:c>
      <x:c r="K48" s="6" t="n">
        <x:v>458</x:v>
      </x:c>
      <x:c r="L48" s="6" t="n">
        <x:v>10</x:v>
      </x:c>
      <x:c r="M48" s="11" t="n">
        <x:v>0.8344444444444444</x:v>
      </x:c>
      <x:c r="N48" s="6" t="n">
        <x:v>1083000</x:v>
      </x:c>
    </x:row>
    <x:row r="49" ht="24" customHeight="1">
      <x:c r="A49" s="2" t="str">
        <x:v>2026-10-20_Night</x:v>
      </x:c>
      <x:c r="B49" s="6" t="str">
        <x:v>ナイト</x:v>
      </x:c>
      <x:c r="C49" s="6" t="n">
        <x:v>705000</x:v>
      </x:c>
      <x:c r="D49" s="6" t="n">
        <x:v>1767500</x:v>
      </x:c>
      <x:c r="E49" s="6" t="n">
        <x:f>C49-D49</x:f>
        <x:v>-1062500</x:v>
      </x:c>
      <x:c r="F49" s="6" t="n">
        <x:f>F48+E49</x:f>
        <x:v>-46476000</x:v>
      </x:c>
      <x:c r="G49" s="6" t="n">
        <x:v>553500</x:v>
      </x:c>
      <x:c r="H49" s="6" t="n">
        <x:v>1616000</x:v>
      </x:c>
      <x:c r="I49" s="6" t="n">
        <x:v>281</x:v>
      </x:c>
      <x:c r="J49" s="6" t="n">
        <x:v>574</x:v>
      </x:c>
      <x:c r="K49" s="6" t="n">
        <x:v>538</x:v>
      </x:c>
      <x:c r="L49" s="6" t="n">
        <x:v>10</x:v>
      </x:c>
      <x:c r="M49" s="11" t="n">
        <x:v>0.7959615384615385</x:v>
      </x:c>
      <x:c r="N49" s="6" t="n">
        <x:v>1067000</x:v>
      </x:c>
    </x:row>
    <x:row r="50" ht="24" customHeight="1">
      <x:c r="A50" s="2" t="str">
        <x:v>2026-10-21_Day</x:v>
      </x:c>
      <x:c r="B50" s="6" t="str">
        <x:v>デイ</x:v>
      </x:c>
      <x:c r="C50" s="6" t="n">
        <x:v>319000</x:v>
      </x:c>
      <x:c r="D50" s="6" t="n">
        <x:v>1426000</x:v>
      </x:c>
      <x:c r="E50" s="6" t="n">
        <x:f>C50-D50</x:f>
        <x:v>-1107000</x:v>
      </x:c>
      <x:c r="F50" s="6" t="n">
        <x:f>F49+E50</x:f>
        <x:v>-47583000</x:v>
      </x:c>
      <x:c r="G50" s="6" t="n">
        <x:v>247000</x:v>
      </x:c>
      <x:c r="H50" s="6" t="n">
        <x:v>1354000</x:v>
      </x:c>
      <x:c r="I50" s="6" t="n">
        <x:v>197</x:v>
      </x:c>
      <x:c r="J50" s="6" t="n">
        <x:v>420</x:v>
      </x:c>
      <x:c r="K50" s="6" t="n">
        <x:v>390</x:v>
      </x:c>
      <x:c r="L50" s="6" t="n">
        <x:v>10</x:v>
      </x:c>
      <x:c r="M50" s="11" t="n">
        <x:v>0.803968253968254</x:v>
      </x:c>
      <x:c r="N50" s="6" t="n">
        <x:v>1113500</x:v>
      </x:c>
    </x:row>
    <x:row r="51" ht="24" customHeight="1">
      <x:c r="A51" s="2" t="str">
        <x:v>2026-10-21_Night</x:v>
      </x:c>
      <x:c r="B51" s="6" t="str">
        <x:v>ナイト</x:v>
      </x:c>
      <x:c r="C51" s="6" t="n">
        <x:v>476000</x:v>
      </x:c>
      <x:c r="D51" s="6" t="n">
        <x:v>1290000</x:v>
      </x:c>
      <x:c r="E51" s="6" t="n">
        <x:f>C51-D51</x:f>
        <x:v>-814000</x:v>
      </x:c>
      <x:c r="F51" s="6" t="n">
        <x:f>F50+E51</x:f>
        <x:v>-48397000</x:v>
      </x:c>
      <x:c r="G51" s="6" t="n">
        <x:v>357000</x:v>
      </x:c>
      <x:c r="H51" s="6" t="n">
        <x:v>1171000</x:v>
      </x:c>
      <x:c r="I51" s="6" t="n">
        <x:v>266</x:v>
      </x:c>
      <x:c r="J51" s="6" t="n">
        <x:v>524</x:v>
      </x:c>
      <x:c r="K51" s="6" t="n">
        <x:v>481</x:v>
      </x:c>
      <x:c r="L51" s="6" t="n">
        <x:v>10</x:v>
      </x:c>
      <x:c r="M51" s="11" t="n">
        <x:v>0.788525641025641</x:v>
      </x:c>
      <x:c r="N51" s="6" t="n">
        <x:v>823500</x:v>
      </x:c>
    </x:row>
    <x:row r="52" ht="24" customHeight="1">
      <x:c r="A52" s="2" t="str">
        <x:v>2026-10-22_Day</x:v>
      </x:c>
      <x:c r="B52" s="6" t="str">
        <x:v>デイ</x:v>
      </x:c>
      <x:c r="C52" s="6" t="n">
        <x:v>775500</x:v>
      </x:c>
      <x:c r="D52" s="6" t="n">
        <x:v>1539500</x:v>
      </x:c>
      <x:c r="E52" s="6" t="n">
        <x:f>C52-D52</x:f>
        <x:v>-764000</x:v>
      </x:c>
      <x:c r="F52" s="6" t="n">
        <x:f>F51+E52</x:f>
        <x:v>-49161000</x:v>
      </x:c>
      <x:c r="G52" s="6" t="n">
        <x:v>624500</x:v>
      </x:c>
      <x:c r="H52" s="6" t="n">
        <x:v>1388500</x:v>
      </x:c>
      <x:c r="I52" s="6" t="n">
        <x:v>208</x:v>
      </x:c>
      <x:c r="J52" s="6" t="n">
        <x:v>473</x:v>
      </x:c>
      <x:c r="K52" s="6" t="n">
        <x:v>437</x:v>
      </x:c>
      <x:c r="L52" s="6" t="n">
        <x:v>10</x:v>
      </x:c>
      <x:c r="M52" s="11" t="n">
        <x:v>0.8274206349206349</x:v>
      </x:c>
      <x:c r="N52" s="6" t="n">
        <x:v>892000</x:v>
      </x:c>
    </x:row>
    <x:row r="53" ht="24" customHeight="1">
      <x:c r="A53" s="2" t="str">
        <x:v>2026-10-22_Night</x:v>
      </x:c>
      <x:c r="B53" s="6" t="str">
        <x:v>ナイト</x:v>
      </x:c>
      <x:c r="C53" s="6" t="n">
        <x:v>714500</x:v>
      </x:c>
      <x:c r="D53" s="6" t="n">
        <x:v>1819500</x:v>
      </x:c>
      <x:c r="E53" s="6" t="n">
        <x:f>C53-D53</x:f>
        <x:v>-1105000</x:v>
      </x:c>
      <x:c r="F53" s="6" t="n">
        <x:f>F52+E53</x:f>
        <x:v>-50266000</x:v>
      </x:c>
      <x:c r="G53" s="6" t="n">
        <x:v>502000</x:v>
      </x:c>
      <x:c r="H53" s="6" t="n">
        <x:v>1607000</x:v>
      </x:c>
      <x:c r="I53" s="6" t="n">
        <x:v>308</x:v>
      </x:c>
      <x:c r="J53" s="6" t="n">
        <x:v>653</x:v>
      </x:c>
      <x:c r="K53" s="6" t="n">
        <x:v>596</x:v>
      </x:c>
      <x:c r="L53" s="6" t="n">
        <x:v>10</x:v>
      </x:c>
      <x:c r="M53" s="11" t="n">
        <x:v>0.8151068376068376</x:v>
      </x:c>
      <x:c r="N53" s="6" t="n">
        <x:v>1117500</x:v>
      </x:c>
    </x:row>
    <x:row r="54" ht="24" customHeight="1">
      <x:c r="A54" s="2" t="str">
        <x:v>2026-10-23_Day</x:v>
      </x:c>
      <x:c r="B54" s="6" t="str">
        <x:v>デイ</x:v>
      </x:c>
      <x:c r="C54" s="6" t="n">
        <x:v>1697000</x:v>
      </x:c>
      <x:c r="D54" s="6" t="n">
        <x:v>2621000</x:v>
      </x:c>
      <x:c r="E54" s="6" t="n">
        <x:f>C54-D54</x:f>
        <x:v>-924000</x:v>
      </x:c>
      <x:c r="F54" s="6" t="n">
        <x:f>F53+E54</x:f>
        <x:v>-51190000</x:v>
      </x:c>
      <x:c r="G54" s="6" t="n">
        <x:v>1530500</x:v>
      </x:c>
      <x:c r="H54" s="6" t="n">
        <x:v>2454500</x:v>
      </x:c>
      <x:c r="I54" s="6" t="n">
        <x:v>256</x:v>
      </x:c>
      <x:c r="J54" s="6" t="n">
        <x:v>421</x:v>
      </x:c>
      <x:c r="K54" s="6" t="n">
        <x:v>391</x:v>
      </x:c>
      <x:c r="L54" s="6" t="n">
        <x:v>10</x:v>
      </x:c>
      <x:c r="M54" s="11" t="n">
        <x:v>0.8198412698412698</x:v>
      </x:c>
      <x:c r="N54" s="6" t="n">
        <x:v>942500</x:v>
      </x:c>
    </x:row>
    <x:row r="55" ht="24" customHeight="1">
      <x:c r="A55" s="2" t="str">
        <x:v>2026-10-23_Night</x:v>
      </x:c>
      <x:c r="B55" s="6" t="str">
        <x:v>ナイト</x:v>
      </x:c>
      <x:c r="C55" s="6" t="n">
        <x:v>575000</x:v>
      </x:c>
      <x:c r="D55" s="6" t="n">
        <x:v>2226500</x:v>
      </x:c>
      <x:c r="E55" s="6" t="n">
        <x:f>C55-D55</x:f>
        <x:v>-1651500</x:v>
      </x:c>
      <x:c r="F55" s="6" t="n">
        <x:f>F54+E55</x:f>
        <x:v>-52841500</x:v>
      </x:c>
      <x:c r="G55" s="6" t="n">
        <x:v>409000</x:v>
      </x:c>
      <x:c r="H55" s="6" t="n">
        <x:v>2060500</x:v>
      </x:c>
      <x:c r="I55" s="6" t="n">
        <x:v>328</x:v>
      </x:c>
      <x:c r="J55" s="6" t="n">
        <x:v>584</x:v>
      </x:c>
      <x:c r="K55" s="6" t="n">
        <x:v>558</x:v>
      </x:c>
      <x:c r="L55" s="6" t="n">
        <x:v>10</x:v>
      </x:c>
      <x:c r="M55" s="11" t="n">
        <x:v>0.7939957264957265</x:v>
      </x:c>
      <x:c r="N55" s="6" t="n">
        <x:v>1653000</x:v>
      </x:c>
    </x:row>
    <x:row r="56" ht="24" customHeight="1">
      <x:c r="A56" s="2" t="str">
        <x:v>2026-10-26_Day</x:v>
      </x:c>
      <x:c r="B56" s="6" t="str">
        <x:v>デイ</x:v>
      </x:c>
      <x:c r="C56" s="6" t="n">
        <x:v>691000</x:v>
      </x:c>
      <x:c r="D56" s="6" t="n">
        <x:v>2153000</x:v>
      </x:c>
      <x:c r="E56" s="6" t="n">
        <x:f>C56-D56</x:f>
        <x:v>-1462000</x:v>
      </x:c>
      <x:c r="F56" s="6" t="n">
        <x:f>F55+E56</x:f>
        <x:v>-54303500</x:v>
      </x:c>
      <x:c r="G56" s="6" t="n">
        <x:v>555000</x:v>
      </x:c>
      <x:c r="H56" s="6" t="n">
        <x:v>2017000</x:v>
      </x:c>
      <x:c r="I56" s="6" t="n">
        <x:v>224</x:v>
      </x:c>
      <x:c r="J56" s="6" t="n">
        <x:v>466</x:v>
      </x:c>
      <x:c r="K56" s="6" t="n">
        <x:v>421</x:v>
      </x:c>
      <x:c r="L56" s="6" t="n">
        <x:v>10</x:v>
      </x:c>
      <x:c r="M56" s="11" t="n">
        <x:v>0.8161111111111111</x:v>
      </x:c>
      <x:c r="N56" s="6" t="n">
        <x:v>1478000</x:v>
      </x:c>
    </x:row>
    <x:row r="57" ht="24" customHeight="1">
      <x:c r="A57" s="15" t="str">
        <x:v>累計／平均／最大</x:v>
      </x:c>
      <x:c r="B57" s="16"/>
      <x:c r="C57" s="16" t="n">
        <x:f>SUM(C6:C56)</x:f>
        <x:v>25240500</x:v>
      </x:c>
      <x:c r="D57" s="16" t="n">
        <x:f>SUM(D6:D56)</x:f>
        <x:v>79544000</x:v>
      </x:c>
      <x:c r="E57" s="16" t="n">
        <x:f>C57-D57</x:f>
        <x:v>-54303500</x:v>
      </x:c>
      <x:c r="F57" s="16" t="n">
        <x:f>F56</x:f>
        <x:v>-54303500</x:v>
      </x:c>
      <x:c r="G57" s="16" t="n">
        <x:f>SUM(G6:G56)</x:f>
        <x:v>19438000</x:v>
      </x:c>
      <x:c r="H57" s="16" t="n">
        <x:f>SUM(H6:H56)</x:f>
        <x:v>73741500</x:v>
      </x:c>
      <x:c r="I57" s="16" t="n">
        <x:f>SUM(I6:I56)</x:f>
        <x:v>12140</x:v>
      </x:c>
      <x:c r="J57" s="16" t="n">
        <x:f>SUM(J6:J56)</x:f>
        <x:v>23423</x:v>
      </x:c>
      <x:c r="K57" s="16" t="n">
        <x:f>SUM(K6:K56)</x:f>
        <x:v>21606</x:v>
      </x:c>
      <x:c r="L57" s="16" t="n">
        <x:f>MAX(L6:L56)</x:f>
        <x:v>10</x:v>
      </x:c>
      <x:c r="M57" s="17" t="n">
        <x:f>AVERAGE(M6:M56)</x:f>
        <x:v>0.7916445210562861</x:v>
      </x:c>
      <x:c r="N57" s="16" t="n">
        <x:f>MAX(N6:N56)</x:f>
        <x:v>1916000</x:v>
      </x:c>
    </x:row>
  </x:sheetData>
  <x:conditionalFormatting sqref="E6:F56">
    <x:cfRule type="cellIs" dxfId="53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91baa27db4644de"/>
  </x:tableParts>
</x:worksheet>
</file>

<file path=xl/worksheets/sheet5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1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4" customHeight="1">
      <x:c r="A1" s="3" t="str">
        <x:v>TOPIX M13　各セッションの利益・損失・収支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A2" s="4" t="str">
        <x:v>2026/09/21〜10/26デイ・51完了場。日経mini／TOPIXmini各上限10枚・手数料0。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4" customHeight="1">
      <x:c r="A3" s="4" t="str">
        <x:v>300秒の時間加重平均を60秒前と比較。入口だけ傾き比例枚数、利益追尾で返済。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4" customHeight="1">
      <x:c r="A4" s="4" t="str">
        <x:v>利益・損失＝FIFO返済配賦別。親＝初回から全返済まで。ラージ気配による模型で、mini実約定の検証ではありません。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42" customHeight="1">
      <x:c r="A5" s="10" t="str">
        <x:v>セッション</x:v>
      </x:c>
      <x:c r="B5" s="10" t="str">
        <x:v>区分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親利益（円）</x:v>
      </x:c>
      <x:c r="H5" s="10" t="str">
        <x:v>親損失（円）</x:v>
      </x:c>
      <x:c r="I5" s="10" t="str">
        <x:v>初回件数</x:v>
      </x:c>
      <x:c r="J5" s="10" t="str">
        <x:v>追加件数</x:v>
      </x:c>
      <x:c r="K5" s="10" t="str">
        <x:v>縮小件数</x:v>
      </x:c>
      <x:c r="L5" s="10" t="str">
        <x:v>最大保有枚数</x:v>
      </x:c>
      <x:c r="M5" s="10" t="str">
        <x:v>保有時間率</x:v>
      </x:c>
      <x:c r="N5" s="10" t="str">
        <x:v>時価最大DD（円）</x:v>
      </x:c>
    </x:row>
    <x:row r="6" ht="24" customHeight="1">
      <x:c r="A6" s="2" t="str">
        <x:v>2026-09-21_Day</x:v>
      </x:c>
      <x:c r="B6" s="6" t="str">
        <x:v>デイ</x:v>
      </x:c>
      <x:c r="C6" s="6" t="n">
        <x:v>109500</x:v>
      </x:c>
      <x:c r="D6" s="6" t="n">
        <x:v>455500</x:v>
      </x:c>
      <x:c r="E6" s="6" t="n">
        <x:f>C6-D6</x:f>
        <x:v>-346000</x:v>
      </x:c>
      <x:c r="F6" s="6" t="n">
        <x:f>E6</x:f>
        <x:v>-346000</x:v>
      </x:c>
      <x:c r="G6" s="6" t="n">
        <x:v>109500</x:v>
      </x:c>
      <x:c r="H6" s="6" t="n">
        <x:v>455500</x:v>
      </x:c>
      <x:c r="I6" s="6" t="n">
        <x:v>30</x:v>
      </x:c>
      <x:c r="J6" s="6" t="n">
        <x:v>0</x:v>
      </x:c>
      <x:c r="K6" s="6" t="n">
        <x:v>0</x:v>
      </x:c>
      <x:c r="L6" s="6" t="n">
        <x:v>10</x:v>
      </x:c>
      <x:c r="M6" s="11" t="n">
        <x:v>0.8905952380952381</x:v>
      </x:c>
      <x:c r="N6" s="6" t="n">
        <x:v>415500</x:v>
      </x:c>
    </x:row>
    <x:row r="7" ht="24" customHeight="1">
      <x:c r="A7" s="2" t="str">
        <x:v>2026-09-21_Night</x:v>
      </x:c>
      <x:c r="B7" s="6" t="str">
        <x:v>ナイト</x:v>
      </x:c>
      <x:c r="C7" s="6" t="n">
        <x:v>93000</x:v>
      </x:c>
      <x:c r="D7" s="6" t="n">
        <x:v>215000</x:v>
      </x:c>
      <x:c r="E7" s="6" t="n">
        <x:f>C7-D7</x:f>
        <x:v>-122000</x:v>
      </x:c>
      <x:c r="F7" s="6" t="n">
        <x:f>F6+E7</x:f>
        <x:v>-468000</x:v>
      </x:c>
      <x:c r="G7" s="6" t="n">
        <x:v>93000</x:v>
      </x:c>
      <x:c r="H7" s="6" t="n">
        <x:v>215000</x:v>
      </x:c>
      <x:c r="I7" s="6" t="n">
        <x:v>24</x:v>
      </x:c>
      <x:c r="J7" s="6" t="n">
        <x:v>0</x:v>
      </x:c>
      <x:c r="K7" s="6" t="n">
        <x:v>0</x:v>
      </x:c>
      <x:c r="L7" s="6" t="n">
        <x:v>10</x:v>
      </x:c>
      <x:c r="M7" s="11" t="n">
        <x:v>0.9076923076923077</x:v>
      </x:c>
      <x:c r="N7" s="6" t="n">
        <x:v>190000</x:v>
      </x:c>
    </x:row>
    <x:row r="8" ht="24" customHeight="1">
      <x:c r="A8" s="2" t="str">
        <x:v>2026-09-22_Day</x:v>
      </x:c>
      <x:c r="B8" s="6" t="str">
        <x:v>デイ</x:v>
      </x:c>
      <x:c r="C8" s="6" t="n">
        <x:v>104000</x:v>
      </x:c>
      <x:c r="D8" s="6" t="n">
        <x:v>212500</x:v>
      </x:c>
      <x:c r="E8" s="6" t="n">
        <x:f>C8-D8</x:f>
        <x:v>-108500</x:v>
      </x:c>
      <x:c r="F8" s="6" t="n">
        <x:f>F7+E8</x:f>
        <x:v>-576500</x:v>
      </x:c>
      <x:c r="G8" s="6" t="n">
        <x:v>104000</x:v>
      </x:c>
      <x:c r="H8" s="6" t="n">
        <x:v>212500</x:v>
      </x:c>
      <x:c r="I8" s="6" t="n">
        <x:v>27</x:v>
      </x:c>
      <x:c r="J8" s="6" t="n">
        <x:v>0</x:v>
      </x:c>
      <x:c r="K8" s="6" t="n">
        <x:v>0</x:v>
      </x:c>
      <x:c r="L8" s="6" t="n">
        <x:v>10</x:v>
      </x:c>
      <x:c r="M8" s="11" t="n">
        <x:v>0.9059126984126984</x:v>
      </x:c>
      <x:c r="N8" s="6" t="n">
        <x:v>178500</x:v>
      </x:c>
    </x:row>
    <x:row r="9" ht="24" customHeight="1">
      <x:c r="A9" s="2" t="str">
        <x:v>2026-09-22_Night</x:v>
      </x:c>
      <x:c r="B9" s="6" t="str">
        <x:v>ナイト</x:v>
      </x:c>
      <x:c r="C9" s="6" t="n">
        <x:v>287500</x:v>
      </x:c>
      <x:c r="D9" s="6" t="n">
        <x:v>763500</x:v>
      </x:c>
      <x:c r="E9" s="6" t="n">
        <x:f>C9-D9</x:f>
        <x:v>-476000</x:v>
      </x:c>
      <x:c r="F9" s="6" t="n">
        <x:f>F8+E9</x:f>
        <x:v>-1052500</x:v>
      </x:c>
      <x:c r="G9" s="6" t="n">
        <x:v>287500</x:v>
      </x:c>
      <x:c r="H9" s="6" t="n">
        <x:v>763500</x:v>
      </x:c>
      <x:c r="I9" s="6" t="n">
        <x:v>63</x:v>
      </x:c>
      <x:c r="J9" s="6" t="n">
        <x:v>0</x:v>
      </x:c>
      <x:c r="K9" s="6" t="n">
        <x:v>0</x:v>
      </x:c>
      <x:c r="L9" s="6" t="n">
        <x:v>10</x:v>
      </x:c>
      <x:c r="M9" s="11" t="n">
        <x:v>0.9375854700854701</x:v>
      </x:c>
      <x:c r="N9" s="6" t="n">
        <x:v>522500</x:v>
      </x:c>
    </x:row>
    <x:row r="10" ht="24" customHeight="1">
      <x:c r="A10" s="2" t="str">
        <x:v>2026-09-23_Day</x:v>
      </x:c>
      <x:c r="B10" s="6" t="str">
        <x:v>デイ</x:v>
      </x:c>
      <x:c r="C10" s="6" t="n">
        <x:v>265000</x:v>
      </x:c>
      <x:c r="D10" s="6" t="n">
        <x:v>316500</x:v>
      </x:c>
      <x:c r="E10" s="6" t="n">
        <x:f>C10-D10</x:f>
        <x:v>-51500</x:v>
      </x:c>
      <x:c r="F10" s="6" t="n">
        <x:f>F9+E10</x:f>
        <x:v>-1104000</x:v>
      </x:c>
      <x:c r="G10" s="6" t="n">
        <x:v>265000</x:v>
      </x:c>
      <x:c r="H10" s="6" t="n">
        <x:v>316500</x:v>
      </x:c>
      <x:c r="I10" s="6" t="n">
        <x:v>27</x:v>
      </x:c>
      <x:c r="J10" s="6" t="n">
        <x:v>0</x:v>
      </x:c>
      <x:c r="K10" s="6" t="n">
        <x:v>0</x:v>
      </x:c>
      <x:c r="L10" s="6" t="n">
        <x:v>10</x:v>
      </x:c>
      <x:c r="M10" s="11" t="n">
        <x:v>0.9331746031746032</x:v>
      </x:c>
      <x:c r="N10" s="6" t="n">
        <x:v>215000</x:v>
      </x:c>
    </x:row>
    <x:row r="11" ht="24" customHeight="1">
      <x:c r="A11" s="2" t="str">
        <x:v>2026-09-23_Night</x:v>
      </x:c>
      <x:c r="B11" s="6" t="str">
        <x:v>ナイト</x:v>
      </x:c>
      <x:c r="C11" s="6" t="n">
        <x:v>121000</x:v>
      </x:c>
      <x:c r="D11" s="6" t="n">
        <x:v>317500</x:v>
      </x:c>
      <x:c r="E11" s="6" t="n">
        <x:f>C11-D11</x:f>
        <x:v>-196500</x:v>
      </x:c>
      <x:c r="F11" s="6" t="n">
        <x:f>F10+E11</x:f>
        <x:v>-1300500</x:v>
      </x:c>
      <x:c r="G11" s="6" t="n">
        <x:v>121000</x:v>
      </x:c>
      <x:c r="H11" s="6" t="n">
        <x:v>317500</x:v>
      </x:c>
      <x:c r="I11" s="6" t="n">
        <x:v>35</x:v>
      </x:c>
      <x:c r="J11" s="6" t="n">
        <x:v>0</x:v>
      </x:c>
      <x:c r="K11" s="6" t="n">
        <x:v>0</x:v>
      </x:c>
      <x:c r="L11" s="6" t="n">
        <x:v>10</x:v>
      </x:c>
      <x:c r="M11" s="11" t="n">
        <x:v>0.9221367521367522</x:v>
      </x:c>
      <x:c r="N11" s="6" t="n">
        <x:v>242500</x:v>
      </x:c>
    </x:row>
    <x:row r="12" ht="24" customHeight="1">
      <x:c r="A12" s="2" t="str">
        <x:v>2026-09-24_Day</x:v>
      </x:c>
      <x:c r="B12" s="6" t="str">
        <x:v>デイ</x:v>
      </x:c>
      <x:c r="C12" s="6" t="n">
        <x:v>542000</x:v>
      </x:c>
      <x:c r="D12" s="6" t="n">
        <x:v>1193000</x:v>
      </x:c>
      <x:c r="E12" s="6" t="n">
        <x:f>C12-D12</x:f>
        <x:v>-651000</x:v>
      </x:c>
      <x:c r="F12" s="6" t="n">
        <x:f>F11+E12</x:f>
        <x:v>-1951500</x:v>
      </x:c>
      <x:c r="G12" s="6" t="n">
        <x:v>542000</x:v>
      </x:c>
      <x:c r="H12" s="6" t="n">
        <x:v>1193000</x:v>
      </x:c>
      <x:c r="I12" s="6" t="n">
        <x:v>79</x:v>
      </x:c>
      <x:c r="J12" s="6" t="n">
        <x:v>0</x:v>
      </x:c>
      <x:c r="K12" s="6" t="n">
        <x:v>0</x:v>
      </x:c>
      <x:c r="L12" s="6" t="n">
        <x:v>10</x:v>
      </x:c>
      <x:c r="M12" s="11" t="n">
        <x:v>0.9106746031746031</x:v>
      </x:c>
      <x:c r="N12" s="6" t="n">
        <x:v>716000</x:v>
      </x:c>
    </x:row>
    <x:row r="13" ht="24" customHeight="1">
      <x:c r="A13" s="2" t="str">
        <x:v>2026-09-24_Night</x:v>
      </x:c>
      <x:c r="B13" s="6" t="str">
        <x:v>ナイト</x:v>
      </x:c>
      <x:c r="C13" s="6" t="n">
        <x:v>466000</x:v>
      </x:c>
      <x:c r="D13" s="6" t="n">
        <x:v>869000</x:v>
      </x:c>
      <x:c r="E13" s="6" t="n">
        <x:f>C13-D13</x:f>
        <x:v>-403000</x:v>
      </x:c>
      <x:c r="F13" s="6" t="n">
        <x:f>F12+E13</x:f>
        <x:v>-2354500</x:v>
      </x:c>
      <x:c r="G13" s="6" t="n">
        <x:v>466000</x:v>
      </x:c>
      <x:c r="H13" s="6" t="n">
        <x:v>869000</x:v>
      </x:c>
      <x:c r="I13" s="6" t="n">
        <x:v>77</x:v>
      </x:c>
      <x:c r="J13" s="6" t="n">
        <x:v>0</x:v>
      </x:c>
      <x:c r="K13" s="6" t="n">
        <x:v>0</x:v>
      </x:c>
      <x:c r="L13" s="6" t="n">
        <x:v>10</x:v>
      </x:c>
      <x:c r="M13" s="11" t="n">
        <x:v>0.9448290598290598</x:v>
      </x:c>
      <x:c r="N13" s="6" t="n">
        <x:v>483500</x:v>
      </x:c>
    </x:row>
    <x:row r="14" ht="24" customHeight="1">
      <x:c r="A14" s="2" t="str">
        <x:v>2026-09-25_Day</x:v>
      </x:c>
      <x:c r="B14" s="6" t="str">
        <x:v>デイ</x:v>
      </x:c>
      <x:c r="C14" s="6" t="n">
        <x:v>478000</x:v>
      </x:c>
      <x:c r="D14" s="6" t="n">
        <x:v>766000</x:v>
      </x:c>
      <x:c r="E14" s="6" t="n">
        <x:f>C14-D14</x:f>
        <x:v>-288000</x:v>
      </x:c>
      <x:c r="F14" s="6" t="n">
        <x:f>F13+E14</x:f>
        <x:v>-2642500</x:v>
      </x:c>
      <x:c r="G14" s="6" t="n">
        <x:v>478000</x:v>
      </x:c>
      <x:c r="H14" s="6" t="n">
        <x:v>766000</x:v>
      </x:c>
      <x:c r="I14" s="6" t="n">
        <x:v>56</x:v>
      </x:c>
      <x:c r="J14" s="6" t="n">
        <x:v>0</x:v>
      </x:c>
      <x:c r="K14" s="6" t="n">
        <x:v>0</x:v>
      </x:c>
      <x:c r="L14" s="6" t="n">
        <x:v>10</x:v>
      </x:c>
      <x:c r="M14" s="11" t="n">
        <x:v>0.9360714285714286</x:v>
      </x:c>
      <x:c r="N14" s="6" t="n">
        <x:v>331500</x:v>
      </x:c>
    </x:row>
    <x:row r="15" ht="24" customHeight="1">
      <x:c r="A15" s="2" t="str">
        <x:v>2026-09-25_Night</x:v>
      </x:c>
      <x:c r="B15" s="6" t="str">
        <x:v>ナイト</x:v>
      </x:c>
      <x:c r="C15" s="6" t="n">
        <x:v>442000</x:v>
      </x:c>
      <x:c r="D15" s="6" t="n">
        <x:v>406500</x:v>
      </x:c>
      <x:c r="E15" s="6" t="n">
        <x:f>C15-D15</x:f>
        <x:v>35500</x:v>
      </x:c>
      <x:c r="F15" s="6" t="n">
        <x:f>F14+E15</x:f>
        <x:v>-2607000</x:v>
      </x:c>
      <x:c r="G15" s="6" t="n">
        <x:v>442000</x:v>
      </x:c>
      <x:c r="H15" s="6" t="n">
        <x:v>406500</x:v>
      </x:c>
      <x:c r="I15" s="6" t="n">
        <x:v>49</x:v>
      </x:c>
      <x:c r="J15" s="6" t="n">
        <x:v>0</x:v>
      </x:c>
      <x:c r="K15" s="6" t="n">
        <x:v>0</x:v>
      </x:c>
      <x:c r="L15" s="6" t="n">
        <x:v>10</x:v>
      </x:c>
      <x:c r="M15" s="11" t="n">
        <x:v>0.9517307692307693</x:v>
      </x:c>
      <x:c r="N15" s="6" t="n">
        <x:v>154000</x:v>
      </x:c>
    </x:row>
    <x:row r="16" ht="24" customHeight="1">
      <x:c r="A16" s="2" t="str">
        <x:v>2026-09-28_Day</x:v>
      </x:c>
      <x:c r="B16" s="6" t="str">
        <x:v>デイ</x:v>
      </x:c>
      <x:c r="C16" s="6" t="n">
        <x:v>398000</x:v>
      </x:c>
      <x:c r="D16" s="6" t="n">
        <x:v>487500</x:v>
      </x:c>
      <x:c r="E16" s="6" t="n">
        <x:f>C16-D16</x:f>
        <x:v>-89500</x:v>
      </x:c>
      <x:c r="F16" s="6" t="n">
        <x:f>F15+E16</x:f>
        <x:v>-2696500</x:v>
      </x:c>
      <x:c r="G16" s="6" t="n">
        <x:v>398000</x:v>
      </x:c>
      <x:c r="H16" s="6" t="n">
        <x:v>487500</x:v>
      </x:c>
      <x:c r="I16" s="6" t="n">
        <x:v>50</x:v>
      </x:c>
      <x:c r="J16" s="6" t="n">
        <x:v>0</x:v>
      </x:c>
      <x:c r="K16" s="6" t="n">
        <x:v>0</x:v>
      </x:c>
      <x:c r="L16" s="6" t="n">
        <x:v>10</x:v>
      </x:c>
      <x:c r="M16" s="11" t="n">
        <x:v>0.9079365079365079</x:v>
      </x:c>
      <x:c r="N16" s="6" t="n">
        <x:v>191500</x:v>
      </x:c>
    </x:row>
    <x:row r="17" ht="24" customHeight="1">
      <x:c r="A17" s="2" t="str">
        <x:v>2026-09-28_Night</x:v>
      </x:c>
      <x:c r="B17" s="6" t="str">
        <x:v>ナイト</x:v>
      </x:c>
      <x:c r="C17" s="6" t="n">
        <x:v>331000</x:v>
      </x:c>
      <x:c r="D17" s="6" t="n">
        <x:v>852500</x:v>
      </x:c>
      <x:c r="E17" s="6" t="n">
        <x:f>C17-D17</x:f>
        <x:v>-521500</x:v>
      </x:c>
      <x:c r="F17" s="6" t="n">
        <x:f>F16+E17</x:f>
        <x:v>-3218000</x:v>
      </x:c>
      <x:c r="G17" s="6" t="n">
        <x:v>331000</x:v>
      </x:c>
      <x:c r="H17" s="6" t="n">
        <x:v>852500</x:v>
      </x:c>
      <x:c r="I17" s="6" t="n">
        <x:v>61</x:v>
      </x:c>
      <x:c r="J17" s="6" t="n">
        <x:v>0</x:v>
      </x:c>
      <x:c r="K17" s="6" t="n">
        <x:v>0</x:v>
      </x:c>
      <x:c r="L17" s="6" t="n">
        <x:v>10</x:v>
      </x:c>
      <x:c r="M17" s="11" t="n">
        <x:v>0.9369871794871795</x:v>
      </x:c>
      <x:c r="N17" s="6" t="n">
        <x:v>549000</x:v>
      </x:c>
    </x:row>
    <x:row r="18" ht="24" customHeight="1">
      <x:c r="A18" s="2" t="str">
        <x:v>2026-09-29_Day</x:v>
      </x:c>
      <x:c r="B18" s="6" t="str">
        <x:v>デイ</x:v>
      </x:c>
      <x:c r="C18" s="6" t="n">
        <x:v>471500</x:v>
      </x:c>
      <x:c r="D18" s="6" t="n">
        <x:v>841500</x:v>
      </x:c>
      <x:c r="E18" s="6" t="n">
        <x:f>C18-D18</x:f>
        <x:v>-370000</x:v>
      </x:c>
      <x:c r="F18" s="6" t="n">
        <x:f>F17+E18</x:f>
        <x:v>-3588000</x:v>
      </x:c>
      <x:c r="G18" s="6" t="n">
        <x:v>471500</x:v>
      </x:c>
      <x:c r="H18" s="6" t="n">
        <x:v>841500</x:v>
      </x:c>
      <x:c r="I18" s="6" t="n">
        <x:v>71</x:v>
      </x:c>
      <x:c r="J18" s="6" t="n">
        <x:v>0</x:v>
      </x:c>
      <x:c r="K18" s="6" t="n">
        <x:v>0</x:v>
      </x:c>
      <x:c r="L18" s="6" t="n">
        <x:v>10</x:v>
      </x:c>
      <x:c r="M18" s="11" t="n">
        <x:v>0.9199206349206349</x:v>
      </x:c>
      <x:c r="N18" s="6" t="n">
        <x:v>456500</x:v>
      </x:c>
    </x:row>
    <x:row r="19" ht="24" customHeight="1">
      <x:c r="A19" s="2" t="str">
        <x:v>2026-09-29_Night</x:v>
      </x:c>
      <x:c r="B19" s="6" t="str">
        <x:v>ナイト</x:v>
      </x:c>
      <x:c r="C19" s="6" t="n">
        <x:v>294500</x:v>
      </x:c>
      <x:c r="D19" s="6" t="n">
        <x:v>557500</x:v>
      </x:c>
      <x:c r="E19" s="6" t="n">
        <x:f>C19-D19</x:f>
        <x:v>-263000</x:v>
      </x:c>
      <x:c r="F19" s="6" t="n">
        <x:f>F18+E19</x:f>
        <x:v>-3851000</x:v>
      </x:c>
      <x:c r="G19" s="6" t="n">
        <x:v>294500</x:v>
      </x:c>
      <x:c r="H19" s="6" t="n">
        <x:v>557500</x:v>
      </x:c>
      <x:c r="I19" s="6" t="n">
        <x:v>55</x:v>
      </x:c>
      <x:c r="J19" s="6" t="n">
        <x:v>0</x:v>
      </x:c>
      <x:c r="K19" s="6" t="n">
        <x:v>0</x:v>
      </x:c>
      <x:c r="L19" s="6" t="n">
        <x:v>10</x:v>
      </x:c>
      <x:c r="M19" s="11" t="n">
        <x:v>0.9521581196581197</x:v>
      </x:c>
      <x:c r="N19" s="6" t="n">
        <x:v>336000</x:v>
      </x:c>
    </x:row>
    <x:row r="20" ht="24" customHeight="1">
      <x:c r="A20" s="2" t="str">
        <x:v>2026-09-30_Day</x:v>
      </x:c>
      <x:c r="B20" s="6" t="str">
        <x:v>デイ</x:v>
      </x:c>
      <x:c r="C20" s="6" t="n">
        <x:v>508000</x:v>
      </x:c>
      <x:c r="D20" s="6" t="n">
        <x:v>453500</x:v>
      </x:c>
      <x:c r="E20" s="6" t="n">
        <x:f>C20-D20</x:f>
        <x:v>54500</x:v>
      </x:c>
      <x:c r="F20" s="6" t="n">
        <x:f>F19+E20</x:f>
        <x:v>-3796500</x:v>
      </x:c>
      <x:c r="G20" s="6" t="n">
        <x:v>508000</x:v>
      </x:c>
      <x:c r="H20" s="6" t="n">
        <x:v>453500</x:v>
      </x:c>
      <x:c r="I20" s="6" t="n">
        <x:v>55</x:v>
      </x:c>
      <x:c r="J20" s="6" t="n">
        <x:v>0</x:v>
      </x:c>
      <x:c r="K20" s="6" t="n">
        <x:v>0</x:v>
      </x:c>
      <x:c r="L20" s="6" t="n">
        <x:v>10</x:v>
      </x:c>
      <x:c r="M20" s="11" t="n">
        <x:v>0.9243253968253968</x:v>
      </x:c>
      <x:c r="N20" s="6" t="n">
        <x:v>209000</x:v>
      </x:c>
    </x:row>
    <x:row r="21" ht="24" customHeight="1">
      <x:c r="A21" s="2" t="str">
        <x:v>2026-09-30_Night</x:v>
      </x:c>
      <x:c r="B21" s="6" t="str">
        <x:v>ナイト</x:v>
      </x:c>
      <x:c r="C21" s="6" t="n">
        <x:v>423500</x:v>
      </x:c>
      <x:c r="D21" s="6" t="n">
        <x:v>1007000</x:v>
      </x:c>
      <x:c r="E21" s="6" t="n">
        <x:f>C21-D21</x:f>
        <x:v>-583500</x:v>
      </x:c>
      <x:c r="F21" s="6" t="n">
        <x:f>F20+E21</x:f>
        <x:v>-4380000</x:v>
      </x:c>
      <x:c r="G21" s="6" t="n">
        <x:v>423500</x:v>
      </x:c>
      <x:c r="H21" s="6" t="n">
        <x:v>1007000</x:v>
      </x:c>
      <x:c r="I21" s="6" t="n">
        <x:v>78</x:v>
      </x:c>
      <x:c r="J21" s="6" t="n">
        <x:v>0</x:v>
      </x:c>
      <x:c r="K21" s="6" t="n">
        <x:v>0</x:v>
      </x:c>
      <x:c r="L21" s="6" t="n">
        <x:v>10</x:v>
      </x:c>
      <x:c r="M21" s="11" t="n">
        <x:v>0.9341025641025641</x:v>
      </x:c>
      <x:c r="N21" s="6" t="n">
        <x:v>606000</x:v>
      </x:c>
    </x:row>
    <x:row r="22" ht="24" customHeight="1">
      <x:c r="A22" s="2" t="str">
        <x:v>2026-10-01_Day</x:v>
      </x:c>
      <x:c r="B22" s="6" t="str">
        <x:v>デイ</x:v>
      </x:c>
      <x:c r="C22" s="6" t="n">
        <x:v>411500</x:v>
      </x:c>
      <x:c r="D22" s="6" t="n">
        <x:v>813500</x:v>
      </x:c>
      <x:c r="E22" s="6" t="n">
        <x:f>C22-D22</x:f>
        <x:v>-402000</x:v>
      </x:c>
      <x:c r="F22" s="6" t="n">
        <x:f>F21+E22</x:f>
        <x:v>-4782000</x:v>
      </x:c>
      <x:c r="G22" s="6" t="n">
        <x:v>411500</x:v>
      </x:c>
      <x:c r="H22" s="6" t="n">
        <x:v>813500</x:v>
      </x:c>
      <x:c r="I22" s="6" t="n">
        <x:v>59</x:v>
      </x:c>
      <x:c r="J22" s="6" t="n">
        <x:v>0</x:v>
      </x:c>
      <x:c r="K22" s="6" t="n">
        <x:v>0</x:v>
      </x:c>
      <x:c r="L22" s="6" t="n">
        <x:v>10</x:v>
      </x:c>
      <x:c r="M22" s="11" t="n">
        <x:v>0.9243650793650794</x:v>
      </x:c>
      <x:c r="N22" s="6" t="n">
        <x:v>409500</x:v>
      </x:c>
    </x:row>
    <x:row r="23" ht="24" customHeight="1">
      <x:c r="A23" s="2" t="str">
        <x:v>2026-10-01_Night</x:v>
      </x:c>
      <x:c r="B23" s="6" t="str">
        <x:v>ナイト</x:v>
      </x:c>
      <x:c r="C23" s="6" t="n">
        <x:v>431000</x:v>
      </x:c>
      <x:c r="D23" s="6" t="n">
        <x:v>876000</x:v>
      </x:c>
      <x:c r="E23" s="6" t="n">
        <x:f>C23-D23</x:f>
        <x:v>-445000</x:v>
      </x:c>
      <x:c r="F23" s="6" t="n">
        <x:f>F22+E23</x:f>
        <x:v>-5227000</x:v>
      </x:c>
      <x:c r="G23" s="6" t="n">
        <x:v>431000</x:v>
      </x:c>
      <x:c r="H23" s="6" t="n">
        <x:v>876000</x:v>
      </x:c>
      <x:c r="I23" s="6" t="n">
        <x:v>85</x:v>
      </x:c>
      <x:c r="J23" s="6" t="n">
        <x:v>0</x:v>
      </x:c>
      <x:c r="K23" s="6" t="n">
        <x:v>0</x:v>
      </x:c>
      <x:c r="L23" s="6" t="n">
        <x:v>10</x:v>
      </x:c>
      <x:c r="M23" s="11" t="n">
        <x:v>0.9356196581196581</x:v>
      </x:c>
      <x:c r="N23" s="6" t="n">
        <x:v>465500</x:v>
      </x:c>
    </x:row>
    <x:row r="24" ht="24" customHeight="1">
      <x:c r="A24" s="2" t="str">
        <x:v>2026-10-02_Day</x:v>
      </x:c>
      <x:c r="B24" s="6" t="str">
        <x:v>デイ</x:v>
      </x:c>
      <x:c r="C24" s="6" t="n">
        <x:v>330000</x:v>
      </x:c>
      <x:c r="D24" s="6" t="n">
        <x:v>667000</x:v>
      </x:c>
      <x:c r="E24" s="6" t="n">
        <x:f>C24-D24</x:f>
        <x:v>-337000</x:v>
      </x:c>
      <x:c r="F24" s="6" t="n">
        <x:f>F23+E24</x:f>
        <x:v>-5564000</x:v>
      </x:c>
      <x:c r="G24" s="6" t="n">
        <x:v>330000</x:v>
      </x:c>
      <x:c r="H24" s="6" t="n">
        <x:v>667000</x:v>
      </x:c>
      <x:c r="I24" s="6" t="n">
        <x:v>60</x:v>
      </x:c>
      <x:c r="J24" s="6" t="n">
        <x:v>0</x:v>
      </x:c>
      <x:c r="K24" s="6" t="n">
        <x:v>0</x:v>
      </x:c>
      <x:c r="L24" s="6" t="n">
        <x:v>10</x:v>
      </x:c>
      <x:c r="M24" s="11" t="n">
        <x:v>0.9299603174603175</x:v>
      </x:c>
      <x:c r="N24" s="6" t="n">
        <x:v>402500</x:v>
      </x:c>
    </x:row>
    <x:row r="25" ht="24" customHeight="1">
      <x:c r="A25" s="2" t="str">
        <x:v>2026-10-02_Night</x:v>
      </x:c>
      <x:c r="B25" s="6" t="str">
        <x:v>ナイト</x:v>
      </x:c>
      <x:c r="C25" s="6" t="n">
        <x:v>636000</x:v>
      </x:c>
      <x:c r="D25" s="6" t="n">
        <x:v>1042000</x:v>
      </x:c>
      <x:c r="E25" s="6" t="n">
        <x:f>C25-D25</x:f>
        <x:v>-406000</x:v>
      </x:c>
      <x:c r="F25" s="6" t="n">
        <x:f>F24+E25</x:f>
        <x:v>-5970000</x:v>
      </x:c>
      <x:c r="G25" s="6" t="n">
        <x:v>636000</x:v>
      </x:c>
      <x:c r="H25" s="6" t="n">
        <x:v>1042000</x:v>
      </x:c>
      <x:c r="I25" s="6" t="n">
        <x:v>82</x:v>
      </x:c>
      <x:c r="J25" s="6" t="n">
        <x:v>0</x:v>
      </x:c>
      <x:c r="K25" s="6" t="n">
        <x:v>0</x:v>
      </x:c>
      <x:c r="L25" s="6" t="n">
        <x:v>10</x:v>
      </x:c>
      <x:c r="M25" s="11" t="n">
        <x:v>0.9326282051282051</x:v>
      </x:c>
      <x:c r="N25" s="6" t="n">
        <x:v>607000</x:v>
      </x:c>
    </x:row>
    <x:row r="26" ht="24" customHeight="1">
      <x:c r="A26" s="2" t="str">
        <x:v>2026-10-05_Day</x:v>
      </x:c>
      <x:c r="B26" s="6" t="str">
        <x:v>デイ</x:v>
      </x:c>
      <x:c r="C26" s="6" t="n">
        <x:v>295500</x:v>
      </x:c>
      <x:c r="D26" s="6" t="n">
        <x:v>579500</x:v>
      </x:c>
      <x:c r="E26" s="6" t="n">
        <x:f>C26-D26</x:f>
        <x:v>-284000</x:v>
      </x:c>
      <x:c r="F26" s="6" t="n">
        <x:f>F25+E26</x:f>
        <x:v>-6254000</x:v>
      </x:c>
      <x:c r="G26" s="6" t="n">
        <x:v>295500</x:v>
      </x:c>
      <x:c r="H26" s="6" t="n">
        <x:v>579500</x:v>
      </x:c>
      <x:c r="I26" s="6" t="n">
        <x:v>45</x:v>
      </x:c>
      <x:c r="J26" s="6" t="n">
        <x:v>0</x:v>
      </x:c>
      <x:c r="K26" s="6" t="n">
        <x:v>0</x:v>
      </x:c>
      <x:c r="L26" s="6" t="n">
        <x:v>10</x:v>
      </x:c>
      <x:c r="M26" s="11" t="n">
        <x:v>0.939047619047619</x:v>
      </x:c>
      <x:c r="N26" s="6" t="n">
        <x:v>326000</x:v>
      </x:c>
    </x:row>
    <x:row r="27" ht="24" customHeight="1">
      <x:c r="A27" s="2" t="str">
        <x:v>2026-10-05_Night</x:v>
      </x:c>
      <x:c r="B27" s="6" t="str">
        <x:v>ナイト</x:v>
      </x:c>
      <x:c r="C27" s="6" t="n">
        <x:v>242000</x:v>
      </x:c>
      <x:c r="D27" s="6" t="n">
        <x:v>521000</x:v>
      </x:c>
      <x:c r="E27" s="6" t="n">
        <x:f>C27-D27</x:f>
        <x:v>-279000</x:v>
      </x:c>
      <x:c r="F27" s="6" t="n">
        <x:f>F26+E27</x:f>
        <x:v>-6533000</x:v>
      </x:c>
      <x:c r="G27" s="6" t="n">
        <x:v>242000</x:v>
      </x:c>
      <x:c r="H27" s="6" t="n">
        <x:v>521000</x:v>
      </x:c>
      <x:c r="I27" s="6" t="n">
        <x:v>36</x:v>
      </x:c>
      <x:c r="J27" s="6" t="n">
        <x:v>0</x:v>
      </x:c>
      <x:c r="K27" s="6" t="n">
        <x:v>0</x:v>
      </x:c>
      <x:c r="L27" s="6" t="n">
        <x:v>10</x:v>
      </x:c>
      <x:c r="M27" s="11" t="n">
        <x:v>0.9561538461538461</x:v>
      </x:c>
      <x:c r="N27" s="6" t="n">
        <x:v>385500</x:v>
      </x:c>
    </x:row>
    <x:row r="28" ht="24" customHeight="1">
      <x:c r="A28" s="2" t="str">
        <x:v>2026-10-06_Day</x:v>
      </x:c>
      <x:c r="B28" s="6" t="str">
        <x:v>デイ</x:v>
      </x:c>
      <x:c r="C28" s="6" t="n">
        <x:v>185000</x:v>
      </x:c>
      <x:c r="D28" s="6" t="n">
        <x:v>348500</x:v>
      </x:c>
      <x:c r="E28" s="6" t="n">
        <x:f>C28-D28</x:f>
        <x:v>-163500</x:v>
      </x:c>
      <x:c r="F28" s="6" t="n">
        <x:f>F27+E28</x:f>
        <x:v>-6696500</x:v>
      </x:c>
      <x:c r="G28" s="6" t="n">
        <x:v>185000</x:v>
      </x:c>
      <x:c r="H28" s="6" t="n">
        <x:v>348500</x:v>
      </x:c>
      <x:c r="I28" s="6" t="n">
        <x:v>27</x:v>
      </x:c>
      <x:c r="J28" s="6" t="n">
        <x:v>0</x:v>
      </x:c>
      <x:c r="K28" s="6" t="n">
        <x:v>0</x:v>
      </x:c>
      <x:c r="L28" s="6" t="n">
        <x:v>10</x:v>
      </x:c>
      <x:c r="M28" s="11" t="n">
        <x:v>0.9233333333333333</x:v>
      </x:c>
      <x:c r="N28" s="6" t="n">
        <x:v>287000</x:v>
      </x:c>
    </x:row>
    <x:row r="29" ht="24" customHeight="1">
      <x:c r="A29" s="2" t="str">
        <x:v>2026-10-06_Night</x:v>
      </x:c>
      <x:c r="B29" s="6" t="str">
        <x:v>ナイト</x:v>
      </x:c>
      <x:c r="C29" s="6" t="n">
        <x:v>136500</x:v>
      </x:c>
      <x:c r="D29" s="6" t="n">
        <x:v>258500</x:v>
      </x:c>
      <x:c r="E29" s="6" t="n">
        <x:f>C29-D29</x:f>
        <x:v>-122000</x:v>
      </x:c>
      <x:c r="F29" s="6" t="n">
        <x:f>F28+E29</x:f>
        <x:v>-6818500</x:v>
      </x:c>
      <x:c r="G29" s="6" t="n">
        <x:v>136500</x:v>
      </x:c>
      <x:c r="H29" s="6" t="n">
        <x:v>258500</x:v>
      </x:c>
      <x:c r="I29" s="6" t="n">
        <x:v>22</x:v>
      </x:c>
      <x:c r="J29" s="6" t="n">
        <x:v>0</x:v>
      </x:c>
      <x:c r="K29" s="6" t="n">
        <x:v>0</x:v>
      </x:c>
      <x:c r="L29" s="6" t="n">
        <x:v>9</x:v>
      </x:c>
      <x:c r="M29" s="11" t="n">
        <x:v>0.9678418803418803</x:v>
      </x:c>
      <x:c r="N29" s="6" t="n">
        <x:v>181000</x:v>
      </x:c>
    </x:row>
    <x:row r="30" ht="24" customHeight="1">
      <x:c r="A30" s="2" t="str">
        <x:v>2026-10-07_Day</x:v>
      </x:c>
      <x:c r="B30" s="6" t="str">
        <x:v>デイ</x:v>
      </x:c>
      <x:c r="C30" s="6" t="n">
        <x:v>271000</x:v>
      </x:c>
      <x:c r="D30" s="6" t="n">
        <x:v>367500</x:v>
      </x:c>
      <x:c r="E30" s="6" t="n">
        <x:f>C30-D30</x:f>
        <x:v>-96500</x:v>
      </x:c>
      <x:c r="F30" s="6" t="n">
        <x:f>F29+E30</x:f>
        <x:v>-6915000</x:v>
      </x:c>
      <x:c r="G30" s="6" t="n">
        <x:v>271000</x:v>
      </x:c>
      <x:c r="H30" s="6" t="n">
        <x:v>367500</x:v>
      </x:c>
      <x:c r="I30" s="6" t="n">
        <x:v>30</x:v>
      </x:c>
      <x:c r="J30" s="6" t="n">
        <x:v>0</x:v>
      </x:c>
      <x:c r="K30" s="6" t="n">
        <x:v>0</x:v>
      </x:c>
      <x:c r="L30" s="6" t="n">
        <x:v>10</x:v>
      </x:c>
      <x:c r="M30" s="11" t="n">
        <x:v>0.9488095238095238</x:v>
      </x:c>
      <x:c r="N30" s="6" t="n">
        <x:v>177000</x:v>
      </x:c>
    </x:row>
    <x:row r="31" ht="24" customHeight="1">
      <x:c r="A31" s="2" t="str">
        <x:v>2026-10-07_Night</x:v>
      </x:c>
      <x:c r="B31" s="6" t="str">
        <x:v>ナイト</x:v>
      </x:c>
      <x:c r="C31" s="6" t="n">
        <x:v>224000</x:v>
      </x:c>
      <x:c r="D31" s="6" t="n">
        <x:v>406500</x:v>
      </x:c>
      <x:c r="E31" s="6" t="n">
        <x:f>C31-D31</x:f>
        <x:v>-182500</x:v>
      </x:c>
      <x:c r="F31" s="6" t="n">
        <x:f>F30+E31</x:f>
        <x:v>-7097500</x:v>
      </x:c>
      <x:c r="G31" s="6" t="n">
        <x:v>224000</x:v>
      </x:c>
      <x:c r="H31" s="6" t="n">
        <x:v>406500</x:v>
      </x:c>
      <x:c r="I31" s="6" t="n">
        <x:v>45</x:v>
      </x:c>
      <x:c r="J31" s="6" t="n">
        <x:v>0</x:v>
      </x:c>
      <x:c r="K31" s="6" t="n">
        <x:v>0</x:v>
      </x:c>
      <x:c r="L31" s="6" t="n">
        <x:v>10</x:v>
      </x:c>
      <x:c r="M31" s="11" t="n">
        <x:v>0.9429487179487179</x:v>
      </x:c>
      <x:c r="N31" s="6" t="n">
        <x:v>228000</x:v>
      </x:c>
    </x:row>
    <x:row r="32" ht="24" customHeight="1">
      <x:c r="A32" s="2" t="str">
        <x:v>2026-10-08_Day</x:v>
      </x:c>
      <x:c r="B32" s="6" t="str">
        <x:v>デイ</x:v>
      </x:c>
      <x:c r="C32" s="6" t="n">
        <x:v>562000</x:v>
      </x:c>
      <x:c r="D32" s="6" t="n">
        <x:v>415000</x:v>
      </x:c>
      <x:c r="E32" s="6" t="n">
        <x:f>C32-D32</x:f>
        <x:v>147000</x:v>
      </x:c>
      <x:c r="F32" s="6" t="n">
        <x:f>F31+E32</x:f>
        <x:v>-6950500</x:v>
      </x:c>
      <x:c r="G32" s="6" t="n">
        <x:v>562000</x:v>
      </x:c>
      <x:c r="H32" s="6" t="n">
        <x:v>415000</x:v>
      </x:c>
      <x:c r="I32" s="6" t="n">
        <x:v>47</x:v>
      </x:c>
      <x:c r="J32" s="6" t="n">
        <x:v>0</x:v>
      </x:c>
      <x:c r="K32" s="6" t="n">
        <x:v>0</x:v>
      </x:c>
      <x:c r="L32" s="6" t="n">
        <x:v>10</x:v>
      </x:c>
      <x:c r="M32" s="11" t="n">
        <x:v>0.9269047619047619</x:v>
      </x:c>
      <x:c r="N32" s="6" t="n">
        <x:v>219000</x:v>
      </x:c>
    </x:row>
    <x:row r="33" ht="24" customHeight="1">
      <x:c r="A33" s="2" t="str">
        <x:v>2026-10-08_Night</x:v>
      </x:c>
      <x:c r="B33" s="6" t="str">
        <x:v>ナイト</x:v>
      </x:c>
      <x:c r="C33" s="6" t="n">
        <x:v>422500</x:v>
      </x:c>
      <x:c r="D33" s="6" t="n">
        <x:v>677000</x:v>
      </x:c>
      <x:c r="E33" s="6" t="n">
        <x:f>C33-D33</x:f>
        <x:v>-254500</x:v>
      </x:c>
      <x:c r="F33" s="6" t="n">
        <x:f>F32+E33</x:f>
        <x:v>-7205000</x:v>
      </x:c>
      <x:c r="G33" s="6" t="n">
        <x:v>422500</x:v>
      </x:c>
      <x:c r="H33" s="6" t="n">
        <x:v>677000</x:v>
      </x:c>
      <x:c r="I33" s="6" t="n">
        <x:v>61</x:v>
      </x:c>
      <x:c r="J33" s="6" t="n">
        <x:v>0</x:v>
      </x:c>
      <x:c r="K33" s="6" t="n">
        <x:v>0</x:v>
      </x:c>
      <x:c r="L33" s="6" t="n">
        <x:v>10</x:v>
      </x:c>
      <x:c r="M33" s="11" t="n">
        <x:v>0.9501923076923077</x:v>
      </x:c>
      <x:c r="N33" s="6" t="n">
        <x:v>331000</x:v>
      </x:c>
    </x:row>
    <x:row r="34" ht="24" customHeight="1">
      <x:c r="A34" s="2" t="str">
        <x:v>2026-10-09_Day</x:v>
      </x:c>
      <x:c r="B34" s="6" t="str">
        <x:v>デイ</x:v>
      </x:c>
      <x:c r="C34" s="6" t="n">
        <x:v>212000</x:v>
      </x:c>
      <x:c r="D34" s="6" t="n">
        <x:v>711000</x:v>
      </x:c>
      <x:c r="E34" s="6" t="n">
        <x:f>C34-D34</x:f>
        <x:v>-499000</x:v>
      </x:c>
      <x:c r="F34" s="6" t="n">
        <x:f>F33+E34</x:f>
        <x:v>-7704000</x:v>
      </x:c>
      <x:c r="G34" s="6" t="n">
        <x:v>212000</x:v>
      </x:c>
      <x:c r="H34" s="6" t="n">
        <x:v>711000</x:v>
      </x:c>
      <x:c r="I34" s="6" t="n">
        <x:v>50</x:v>
      </x:c>
      <x:c r="J34" s="6" t="n">
        <x:v>0</x:v>
      </x:c>
      <x:c r="K34" s="6" t="n">
        <x:v>0</x:v>
      </x:c>
      <x:c r="L34" s="6" t="n">
        <x:v>10</x:v>
      </x:c>
      <x:c r="M34" s="11" t="n">
        <x:v>0.9254761904761905</x:v>
      </x:c>
      <x:c r="N34" s="6" t="n">
        <x:v>534000</x:v>
      </x:c>
    </x:row>
    <x:row r="35" ht="24" customHeight="1">
      <x:c r="A35" s="2" t="str">
        <x:v>2026-10-09_Night</x:v>
      </x:c>
      <x:c r="B35" s="6" t="str">
        <x:v>ナイト</x:v>
      </x:c>
      <x:c r="C35" s="6" t="n">
        <x:v>98000</x:v>
      </x:c>
      <x:c r="D35" s="6" t="n">
        <x:v>201000</x:v>
      </x:c>
      <x:c r="E35" s="6" t="n">
        <x:f>C35-D35</x:f>
        <x:v>-103000</x:v>
      </x:c>
      <x:c r="F35" s="6" t="n">
        <x:f>F34+E35</x:f>
        <x:v>-7807000</x:v>
      </x:c>
      <x:c r="G35" s="6" t="n">
        <x:v>98000</x:v>
      </x:c>
      <x:c r="H35" s="6" t="n">
        <x:v>201000</x:v>
      </x:c>
      <x:c r="I35" s="6" t="n">
        <x:v>29</x:v>
      </x:c>
      <x:c r="J35" s="6" t="n">
        <x:v>0</x:v>
      </x:c>
      <x:c r="K35" s="6" t="n">
        <x:v>0</x:v>
      </x:c>
      <x:c r="L35" s="6" t="n">
        <x:v>10</x:v>
      </x:c>
      <x:c r="M35" s="11" t="n">
        <x:v>0.9664529914529915</x:v>
      </x:c>
      <x:c r="N35" s="6" t="n">
        <x:v>180500</x:v>
      </x:c>
    </x:row>
    <x:row r="36" ht="24" customHeight="1">
      <x:c r="A36" s="2" t="str">
        <x:v>2026-10-12_Day</x:v>
      </x:c>
      <x:c r="B36" s="6" t="str">
        <x:v>デイ</x:v>
      </x:c>
      <x:c r="C36" s="6" t="n">
        <x:v>24000</x:v>
      </x:c>
      <x:c r="D36" s="6" t="n">
        <x:v>145000</x:v>
      </x:c>
      <x:c r="E36" s="6" t="n">
        <x:f>C36-D36</x:f>
        <x:v>-121000</x:v>
      </x:c>
      <x:c r="F36" s="6" t="n">
        <x:f>F35+E36</x:f>
        <x:v>-7928000</x:v>
      </x:c>
      <x:c r="G36" s="6" t="n">
        <x:v>24000</x:v>
      </x:c>
      <x:c r="H36" s="6" t="n">
        <x:v>145000</x:v>
      </x:c>
      <x:c r="I36" s="6" t="n">
        <x:v>10</x:v>
      </x:c>
      <x:c r="J36" s="6" t="n">
        <x:v>0</x:v>
      </x:c>
      <x:c r="K36" s="6" t="n">
        <x:v>0</x:v>
      </x:c>
      <x:c r="L36" s="6" t="n">
        <x:v>10</x:v>
      </x:c>
      <x:c r="M36" s="11" t="n">
        <x:v>0.921984126984127</x:v>
      </x:c>
      <x:c r="N36" s="6" t="n">
        <x:v>166000</x:v>
      </x:c>
    </x:row>
    <x:row r="37" ht="24" customHeight="1">
      <x:c r="A37" s="2" t="str">
        <x:v>2026-10-12_Night</x:v>
      </x:c>
      <x:c r="B37" s="6" t="str">
        <x:v>ナイト</x:v>
      </x:c>
      <x:c r="C37" s="6" t="n">
        <x:v>80000</x:v>
      </x:c>
      <x:c r="D37" s="6" t="n">
        <x:v>195500</x:v>
      </x:c>
      <x:c r="E37" s="6" t="n">
        <x:f>C37-D37</x:f>
        <x:v>-115500</x:v>
      </x:c>
      <x:c r="F37" s="6" t="n">
        <x:f>F36+E37</x:f>
        <x:v>-8043500</x:v>
      </x:c>
      <x:c r="G37" s="6" t="n">
        <x:v>80000</x:v>
      </x:c>
      <x:c r="H37" s="6" t="n">
        <x:v>195500</x:v>
      </x:c>
      <x:c r="I37" s="6" t="n">
        <x:v>22</x:v>
      </x:c>
      <x:c r="J37" s="6" t="n">
        <x:v>0</x:v>
      </x:c>
      <x:c r="K37" s="6" t="n">
        <x:v>0</x:v>
      </x:c>
      <x:c r="L37" s="6" t="n">
        <x:v>8</x:v>
      </x:c>
      <x:c r="M37" s="11" t="n">
        <x:v>0.9604700854700855</x:v>
      </x:c>
      <x:c r="N37" s="6" t="n">
        <x:v>179000</x:v>
      </x:c>
    </x:row>
    <x:row r="38" ht="24" customHeight="1">
      <x:c r="A38" s="2" t="str">
        <x:v>2026-10-13_Day</x:v>
      </x:c>
      <x:c r="B38" s="6" t="str">
        <x:v>デイ</x:v>
      </x:c>
      <x:c r="C38" s="6" t="n">
        <x:v>476000</x:v>
      </x:c>
      <x:c r="D38" s="6" t="n">
        <x:v>611000</x:v>
      </x:c>
      <x:c r="E38" s="6" t="n">
        <x:f>C38-D38</x:f>
        <x:v>-135000</x:v>
      </x:c>
      <x:c r="F38" s="6" t="n">
        <x:f>F37+E38</x:f>
        <x:v>-8178500</x:v>
      </x:c>
      <x:c r="G38" s="6" t="n">
        <x:v>476000</x:v>
      </x:c>
      <x:c r="H38" s="6" t="n">
        <x:v>611000</x:v>
      </x:c>
      <x:c r="I38" s="6" t="n">
        <x:v>53</x:v>
      </x:c>
      <x:c r="J38" s="6" t="n">
        <x:v>0</x:v>
      </x:c>
      <x:c r="K38" s="6" t="n">
        <x:v>0</x:v>
      </x:c>
      <x:c r="L38" s="6" t="n">
        <x:v>10</x:v>
      </x:c>
      <x:c r="M38" s="11" t="n">
        <x:v>0.9140079365079365</x:v>
      </x:c>
      <x:c r="N38" s="6" t="n">
        <x:v>341500</x:v>
      </x:c>
    </x:row>
    <x:row r="39" ht="24" customHeight="1">
      <x:c r="A39" s="2" t="str">
        <x:v>2026-10-13_Night</x:v>
      </x:c>
      <x:c r="B39" s="6" t="str">
        <x:v>ナイト</x:v>
      </x:c>
      <x:c r="C39" s="6" t="n">
        <x:v>109500</x:v>
      </x:c>
      <x:c r="D39" s="6" t="n">
        <x:v>281500</x:v>
      </x:c>
      <x:c r="E39" s="6" t="n">
        <x:f>C39-D39</x:f>
        <x:v>-172000</x:v>
      </x:c>
      <x:c r="F39" s="6" t="n">
        <x:f>F38+E39</x:f>
        <x:v>-8350500</x:v>
      </x:c>
      <x:c r="G39" s="6" t="n">
        <x:v>109500</x:v>
      </x:c>
      <x:c r="H39" s="6" t="n">
        <x:v>281500</x:v>
      </x:c>
      <x:c r="I39" s="6" t="n">
        <x:v>32</x:v>
      </x:c>
      <x:c r="J39" s="6" t="n">
        <x:v>0</x:v>
      </x:c>
      <x:c r="K39" s="6" t="n">
        <x:v>0</x:v>
      </x:c>
      <x:c r="L39" s="6" t="n">
        <x:v>8</x:v>
      </x:c>
      <x:c r="M39" s="11" t="n">
        <x:v>0.9301495726495727</x:v>
      </x:c>
      <x:c r="N39" s="6" t="n">
        <x:v>210500</x:v>
      </x:c>
    </x:row>
    <x:row r="40" ht="24" customHeight="1">
      <x:c r="A40" s="2" t="str">
        <x:v>2026-10-14_Day</x:v>
      </x:c>
      <x:c r="B40" s="6" t="str">
        <x:v>デイ</x:v>
      </x:c>
      <x:c r="C40" s="6" t="n">
        <x:v>204500</x:v>
      </x:c>
      <x:c r="D40" s="6" t="n">
        <x:v>462500</x:v>
      </x:c>
      <x:c r="E40" s="6" t="n">
        <x:f>C40-D40</x:f>
        <x:v>-258000</x:v>
      </x:c>
      <x:c r="F40" s="6" t="n">
        <x:f>F39+E40</x:f>
        <x:v>-8608500</x:v>
      </x:c>
      <x:c r="G40" s="6" t="n">
        <x:v>204500</x:v>
      </x:c>
      <x:c r="H40" s="6" t="n">
        <x:v>462500</x:v>
      </x:c>
      <x:c r="I40" s="6" t="n">
        <x:v>44</x:v>
      </x:c>
      <x:c r="J40" s="6" t="n">
        <x:v>0</x:v>
      </x:c>
      <x:c r="K40" s="6" t="n">
        <x:v>0</x:v>
      </x:c>
      <x:c r="L40" s="6" t="n">
        <x:v>10</x:v>
      </x:c>
      <x:c r="M40" s="11" t="n">
        <x:v>0.9375396825396826</x:v>
      </x:c>
      <x:c r="N40" s="6" t="n">
        <x:v>315500</x:v>
      </x:c>
    </x:row>
    <x:row r="41" ht="24" customHeight="1">
      <x:c r="A41" s="2" t="str">
        <x:v>2026-10-14_Night</x:v>
      </x:c>
      <x:c r="B41" s="6" t="str">
        <x:v>ナイト</x:v>
      </x:c>
      <x:c r="C41" s="6" t="n">
        <x:v>409500</x:v>
      </x:c>
      <x:c r="D41" s="6" t="n">
        <x:v>561000</x:v>
      </x:c>
      <x:c r="E41" s="6" t="n">
        <x:f>C41-D41</x:f>
        <x:v>-151500</x:v>
      </x:c>
      <x:c r="F41" s="6" t="n">
        <x:f>F40+E41</x:f>
        <x:v>-8760000</x:v>
      </x:c>
      <x:c r="G41" s="6" t="n">
        <x:v>409500</x:v>
      </x:c>
      <x:c r="H41" s="6" t="n">
        <x:v>561000</x:v>
      </x:c>
      <x:c r="I41" s="6" t="n">
        <x:v>68</x:v>
      </x:c>
      <x:c r="J41" s="6" t="n">
        <x:v>0</x:v>
      </x:c>
      <x:c r="K41" s="6" t="n">
        <x:v>0</x:v>
      </x:c>
      <x:c r="L41" s="6" t="n">
        <x:v>10</x:v>
      </x:c>
      <x:c r="M41" s="11" t="n">
        <x:v>0.9468162393162393</x:v>
      </x:c>
      <x:c r="N41" s="6" t="n">
        <x:v>184500</x:v>
      </x:c>
    </x:row>
    <x:row r="42" ht="24" customHeight="1">
      <x:c r="A42" s="2" t="str">
        <x:v>2026-10-15_Day</x:v>
      </x:c>
      <x:c r="B42" s="6" t="str">
        <x:v>デイ</x:v>
      </x:c>
      <x:c r="C42" s="6" t="n">
        <x:v>923000</x:v>
      </x:c>
      <x:c r="D42" s="6" t="n">
        <x:v>981000</x:v>
      </x:c>
      <x:c r="E42" s="6" t="n">
        <x:f>C42-D42</x:f>
        <x:v>-58000</x:v>
      </x:c>
      <x:c r="F42" s="6" t="n">
        <x:f>F41+E42</x:f>
        <x:v>-8818000</x:v>
      </x:c>
      <x:c r="G42" s="6" t="n">
        <x:v>923000</x:v>
      </x:c>
      <x:c r="H42" s="6" t="n">
        <x:v>981000</x:v>
      </x:c>
      <x:c r="I42" s="6" t="n">
        <x:v>92</x:v>
      </x:c>
      <x:c r="J42" s="6" t="n">
        <x:v>0</x:v>
      </x:c>
      <x:c r="K42" s="6" t="n">
        <x:v>0</x:v>
      </x:c>
      <x:c r="L42" s="6" t="n">
        <x:v>10</x:v>
      </x:c>
      <x:c r="M42" s="11" t="n">
        <x:v>0.8712301587301587</x:v>
      </x:c>
      <x:c r="N42" s="6" t="n">
        <x:v>298000</x:v>
      </x:c>
    </x:row>
    <x:row r="43" ht="24" customHeight="1">
      <x:c r="A43" s="2" t="str">
        <x:v>2026-10-15_Night</x:v>
      </x:c>
      <x:c r="B43" s="6" t="str">
        <x:v>ナイト</x:v>
      </x:c>
      <x:c r="C43" s="6" t="n">
        <x:v>554000</x:v>
      </x:c>
      <x:c r="D43" s="6" t="n">
        <x:v>721500</x:v>
      </x:c>
      <x:c r="E43" s="6" t="n">
        <x:f>C43-D43</x:f>
        <x:v>-167500</x:v>
      </x:c>
      <x:c r="F43" s="6" t="n">
        <x:f>F42+E43</x:f>
        <x:v>-8985500</x:v>
      </x:c>
      <x:c r="G43" s="6" t="n">
        <x:v>554000</x:v>
      </x:c>
      <x:c r="H43" s="6" t="n">
        <x:v>721500</x:v>
      </x:c>
      <x:c r="I43" s="6" t="n">
        <x:v>74</x:v>
      </x:c>
      <x:c r="J43" s="6" t="n">
        <x:v>0</x:v>
      </x:c>
      <x:c r="K43" s="6" t="n">
        <x:v>0</x:v>
      </x:c>
      <x:c r="L43" s="6" t="n">
        <x:v>10</x:v>
      </x:c>
      <x:c r="M43" s="11" t="n">
        <x:v>0.9497222222222222</x:v>
      </x:c>
      <x:c r="N43" s="6" t="n">
        <x:v>370000</x:v>
      </x:c>
    </x:row>
    <x:row r="44" ht="24" customHeight="1">
      <x:c r="A44" s="2" t="str">
        <x:v>2026-10-16_Day</x:v>
      </x:c>
      <x:c r="B44" s="6" t="str">
        <x:v>デイ</x:v>
      </x:c>
      <x:c r="C44" s="6" t="n">
        <x:v>426000</x:v>
      </x:c>
      <x:c r="D44" s="6" t="n">
        <x:v>730000</x:v>
      </x:c>
      <x:c r="E44" s="6" t="n">
        <x:f>C44-D44</x:f>
        <x:v>-304000</x:v>
      </x:c>
      <x:c r="F44" s="6" t="n">
        <x:f>F43+E44</x:f>
        <x:v>-9289500</x:v>
      </x:c>
      <x:c r="G44" s="6" t="n">
        <x:v>426000</x:v>
      </x:c>
      <x:c r="H44" s="6" t="n">
        <x:v>730000</x:v>
      </x:c>
      <x:c r="I44" s="6" t="n">
        <x:v>52</x:v>
      </x:c>
      <x:c r="J44" s="6" t="n">
        <x:v>0</x:v>
      </x:c>
      <x:c r="K44" s="6" t="n">
        <x:v>0</x:v>
      </x:c>
      <x:c r="L44" s="6" t="n">
        <x:v>10</x:v>
      </x:c>
      <x:c r="M44" s="11" t="n">
        <x:v>0.9260714285714285</x:v>
      </x:c>
      <x:c r="N44" s="6" t="n">
        <x:v>350000</x:v>
      </x:c>
    </x:row>
    <x:row r="45" ht="24" customHeight="1">
      <x:c r="A45" s="2" t="str">
        <x:v>2026-10-16_Night</x:v>
      </x:c>
      <x:c r="B45" s="6" t="str">
        <x:v>ナイト</x:v>
      </x:c>
      <x:c r="C45" s="6" t="n">
        <x:v>615500</x:v>
      </x:c>
      <x:c r="D45" s="6" t="n">
        <x:v>935000</x:v>
      </x:c>
      <x:c r="E45" s="6" t="n">
        <x:f>C45-D45</x:f>
        <x:v>-319500</x:v>
      </x:c>
      <x:c r="F45" s="6" t="n">
        <x:f>F44+E45</x:f>
        <x:v>-9609000</x:v>
      </x:c>
      <x:c r="G45" s="6" t="n">
        <x:v>615500</x:v>
      </x:c>
      <x:c r="H45" s="6" t="n">
        <x:v>935000</x:v>
      </x:c>
      <x:c r="I45" s="6" t="n">
        <x:v>81</x:v>
      </x:c>
      <x:c r="J45" s="6" t="n">
        <x:v>0</x:v>
      </x:c>
      <x:c r="K45" s="6" t="n">
        <x:v>0</x:v>
      </x:c>
      <x:c r="L45" s="6" t="n">
        <x:v>10</x:v>
      </x:c>
      <x:c r="M45" s="11" t="n">
        <x:v>0.9491452991452991</x:v>
      </x:c>
      <x:c r="N45" s="6" t="n">
        <x:v>512000</x:v>
      </x:c>
    </x:row>
    <x:row r="46" ht="24" customHeight="1">
      <x:c r="A46" s="2" t="str">
        <x:v>2026-10-19_Day</x:v>
      </x:c>
      <x:c r="B46" s="6" t="str">
        <x:v>デイ</x:v>
      </x:c>
      <x:c r="C46" s="6" t="n">
        <x:v>648000</x:v>
      </x:c>
      <x:c r="D46" s="6" t="n">
        <x:v>1023000</x:v>
      </x:c>
      <x:c r="E46" s="6" t="n">
        <x:f>C46-D46</x:f>
        <x:v>-375000</x:v>
      </x:c>
      <x:c r="F46" s="6" t="n">
        <x:f>F45+E46</x:f>
        <x:v>-9984000</x:v>
      </x:c>
      <x:c r="G46" s="6" t="n">
        <x:v>648000</x:v>
      </x:c>
      <x:c r="H46" s="6" t="n">
        <x:v>1023000</x:v>
      </x:c>
      <x:c r="I46" s="6" t="n">
        <x:v>67</x:v>
      </x:c>
      <x:c r="J46" s="6" t="n">
        <x:v>0</x:v>
      </x:c>
      <x:c r="K46" s="6" t="n">
        <x:v>0</x:v>
      </x:c>
      <x:c r="L46" s="6" t="n">
        <x:v>10</x:v>
      </x:c>
      <x:c r="M46" s="11" t="n">
        <x:v>0.9103571428571429</x:v>
      </x:c>
      <x:c r="N46" s="6" t="n">
        <x:v>450000</x:v>
      </x:c>
    </x:row>
    <x:row r="47" ht="24" customHeight="1">
      <x:c r="A47" s="2" t="str">
        <x:v>2026-10-19_Night</x:v>
      </x:c>
      <x:c r="B47" s="6" t="str">
        <x:v>ナイト</x:v>
      </x:c>
      <x:c r="C47" s="6" t="n">
        <x:v>307000</x:v>
      </x:c>
      <x:c r="D47" s="6" t="n">
        <x:v>460000</x:v>
      </x:c>
      <x:c r="E47" s="6" t="n">
        <x:f>C47-D47</x:f>
        <x:v>-153000</x:v>
      </x:c>
      <x:c r="F47" s="6" t="n">
        <x:f>F46+E47</x:f>
        <x:v>-10137000</x:v>
      </x:c>
      <x:c r="G47" s="6" t="n">
        <x:v>307000</x:v>
      </x:c>
      <x:c r="H47" s="6" t="n">
        <x:v>460000</x:v>
      </x:c>
      <x:c r="I47" s="6" t="n">
        <x:v>49</x:v>
      </x:c>
      <x:c r="J47" s="6" t="n">
        <x:v>0</x:v>
      </x:c>
      <x:c r="K47" s="6" t="n">
        <x:v>0</x:v>
      </x:c>
      <x:c r="L47" s="6" t="n">
        <x:v>10</x:v>
      </x:c>
      <x:c r="M47" s="11" t="n">
        <x:v>0.9533760683760684</x:v>
      </x:c>
      <x:c r="N47" s="6" t="n">
        <x:v>183500</x:v>
      </x:c>
    </x:row>
    <x:row r="48" ht="24" customHeight="1">
      <x:c r="A48" s="2" t="str">
        <x:v>2026-10-20_Day</x:v>
      </x:c>
      <x:c r="B48" s="6" t="str">
        <x:v>デイ</x:v>
      </x:c>
      <x:c r="C48" s="6" t="n">
        <x:v>468000</x:v>
      </x:c>
      <x:c r="D48" s="6" t="n">
        <x:v>732000</x:v>
      </x:c>
      <x:c r="E48" s="6" t="n">
        <x:f>C48-D48</x:f>
        <x:v>-264000</x:v>
      </x:c>
      <x:c r="F48" s="6" t="n">
        <x:f>F47+E48</x:f>
        <x:v>-10401000</x:v>
      </x:c>
      <x:c r="G48" s="6" t="n">
        <x:v>468000</x:v>
      </x:c>
      <x:c r="H48" s="6" t="n">
        <x:v>732000</x:v>
      </x:c>
      <x:c r="I48" s="6" t="n">
        <x:v>69</x:v>
      </x:c>
      <x:c r="J48" s="6" t="n">
        <x:v>0</x:v>
      </x:c>
      <x:c r="K48" s="6" t="n">
        <x:v>0</x:v>
      </x:c>
      <x:c r="L48" s="6" t="n">
        <x:v>10</x:v>
      </x:c>
      <x:c r="M48" s="11" t="n">
        <x:v>0.915079365079365</x:v>
      </x:c>
      <x:c r="N48" s="6" t="n">
        <x:v>336500</x:v>
      </x:c>
    </x:row>
    <x:row r="49" ht="24" customHeight="1">
      <x:c r="A49" s="2" t="str">
        <x:v>2026-10-20_Night</x:v>
      </x:c>
      <x:c r="B49" s="6" t="str">
        <x:v>ナイト</x:v>
      </x:c>
      <x:c r="C49" s="6" t="n">
        <x:v>592500</x:v>
      </x:c>
      <x:c r="D49" s="6" t="n">
        <x:v>731500</x:v>
      </x:c>
      <x:c r="E49" s="6" t="n">
        <x:f>C49-D49</x:f>
        <x:v>-139000</x:v>
      </x:c>
      <x:c r="F49" s="6" t="n">
        <x:f>F48+E49</x:f>
        <x:v>-10540000</x:v>
      </x:c>
      <x:c r="G49" s="6" t="n">
        <x:v>592500</x:v>
      </x:c>
      <x:c r="H49" s="6" t="n">
        <x:v>731500</x:v>
      </x:c>
      <x:c r="I49" s="6" t="n">
        <x:v>64</x:v>
      </x:c>
      <x:c r="J49" s="6" t="n">
        <x:v>0</x:v>
      </x:c>
      <x:c r="K49" s="6" t="n">
        <x:v>0</x:v>
      </x:c>
      <x:c r="L49" s="6" t="n">
        <x:v>10</x:v>
      </x:c>
      <x:c r="M49" s="11" t="n">
        <x:v>0.9504700854700855</x:v>
      </x:c>
      <x:c r="N49" s="6" t="n">
        <x:v>387000</x:v>
      </x:c>
    </x:row>
    <x:row r="50" ht="24" customHeight="1">
      <x:c r="A50" s="2" t="str">
        <x:v>2026-10-21_Day</x:v>
      </x:c>
      <x:c r="B50" s="6" t="str">
        <x:v>デイ</x:v>
      </x:c>
      <x:c r="C50" s="6" t="n">
        <x:v>225000</x:v>
      </x:c>
      <x:c r="D50" s="6" t="n">
        <x:v>430000</x:v>
      </x:c>
      <x:c r="E50" s="6" t="n">
        <x:f>C50-D50</x:f>
        <x:v>-205000</x:v>
      </x:c>
      <x:c r="F50" s="6" t="n">
        <x:f>F49+E50</x:f>
        <x:v>-10745000</x:v>
      </x:c>
      <x:c r="G50" s="6" t="n">
        <x:v>225000</x:v>
      </x:c>
      <x:c r="H50" s="6" t="n">
        <x:v>430000</x:v>
      </x:c>
      <x:c r="I50" s="6" t="n">
        <x:v>45</x:v>
      </x:c>
      <x:c r="J50" s="6" t="n">
        <x:v>0</x:v>
      </x:c>
      <x:c r="K50" s="6" t="n">
        <x:v>0</x:v>
      </x:c>
      <x:c r="L50" s="6" t="n">
        <x:v>10</x:v>
      </x:c>
      <x:c r="M50" s="11" t="n">
        <x:v>0.8884126984126984</x:v>
      </x:c>
      <x:c r="N50" s="6" t="n">
        <x:v>256000</x:v>
      </x:c>
    </x:row>
    <x:row r="51" ht="24" customHeight="1">
      <x:c r="A51" s="2" t="str">
        <x:v>2026-10-21_Night</x:v>
      </x:c>
      <x:c r="B51" s="6" t="str">
        <x:v>ナイト</x:v>
      </x:c>
      <x:c r="C51" s="6" t="n">
        <x:v>462000</x:v>
      </x:c>
      <x:c r="D51" s="6" t="n">
        <x:v>462500</x:v>
      </x:c>
      <x:c r="E51" s="6" t="n">
        <x:f>C51-D51</x:f>
        <x:v>-500</x:v>
      </x:c>
      <x:c r="F51" s="6" t="n">
        <x:f>F50+E51</x:f>
        <x:v>-10745500</x:v>
      </x:c>
      <x:c r="G51" s="6" t="n">
        <x:v>462000</x:v>
      </x:c>
      <x:c r="H51" s="6" t="n">
        <x:v>462500</x:v>
      </x:c>
      <x:c r="I51" s="6" t="n">
        <x:v>51</x:v>
      </x:c>
      <x:c r="J51" s="6" t="n">
        <x:v>0</x:v>
      </x:c>
      <x:c r="K51" s="6" t="n">
        <x:v>0</x:v>
      </x:c>
      <x:c r="L51" s="6" t="n">
        <x:v>10</x:v>
      </x:c>
      <x:c r="M51" s="11" t="n">
        <x:v>0.9588888888888889</x:v>
      </x:c>
      <x:c r="N51" s="6" t="n">
        <x:v>224000</x:v>
      </x:c>
    </x:row>
    <x:row r="52" ht="24" customHeight="1">
      <x:c r="A52" s="2" t="str">
        <x:v>2026-10-22_Day</x:v>
      </x:c>
      <x:c r="B52" s="6" t="str">
        <x:v>デイ</x:v>
      </x:c>
      <x:c r="C52" s="6" t="n">
        <x:v>605000</x:v>
      </x:c>
      <x:c r="D52" s="6" t="n">
        <x:v>901000</x:v>
      </x:c>
      <x:c r="E52" s="6" t="n">
        <x:f>C52-D52</x:f>
        <x:v>-296000</x:v>
      </x:c>
      <x:c r="F52" s="6" t="n">
        <x:f>F51+E52</x:f>
        <x:v>-11041500</x:v>
      </x:c>
      <x:c r="G52" s="6" t="n">
        <x:v>605000</x:v>
      </x:c>
      <x:c r="H52" s="6" t="n">
        <x:v>901000</x:v>
      </x:c>
      <x:c r="I52" s="6" t="n">
        <x:v>65</x:v>
      </x:c>
      <x:c r="J52" s="6" t="n">
        <x:v>0</x:v>
      </x:c>
      <x:c r="K52" s="6" t="n">
        <x:v>0</x:v>
      </x:c>
      <x:c r="L52" s="6" t="n">
        <x:v>10</x:v>
      </x:c>
      <x:c r="M52" s="11" t="n">
        <x:v>0.9144047619047619</x:v>
      </x:c>
      <x:c r="N52" s="6" t="n">
        <x:v>400500</x:v>
      </x:c>
    </x:row>
    <x:row r="53" ht="24" customHeight="1">
      <x:c r="A53" s="2" t="str">
        <x:v>2026-10-22_Night</x:v>
      </x:c>
      <x:c r="B53" s="6" t="str">
        <x:v>ナイト</x:v>
      </x:c>
      <x:c r="C53" s="6" t="n">
        <x:v>503500</x:v>
      </x:c>
      <x:c r="D53" s="6" t="n">
        <x:v>821500</x:v>
      </x:c>
      <x:c r="E53" s="6" t="n">
        <x:f>C53-D53</x:f>
        <x:v>-318000</x:v>
      </x:c>
      <x:c r="F53" s="6" t="n">
        <x:f>F52+E53</x:f>
        <x:v>-11359500</x:v>
      </x:c>
      <x:c r="G53" s="6" t="n">
        <x:v>503500</x:v>
      </x:c>
      <x:c r="H53" s="6" t="n">
        <x:v>821500</x:v>
      </x:c>
      <x:c r="I53" s="6" t="n">
        <x:v>80</x:v>
      </x:c>
      <x:c r="J53" s="6" t="n">
        <x:v>0</x:v>
      </x:c>
      <x:c r="K53" s="6" t="n">
        <x:v>0</x:v>
      </x:c>
      <x:c r="L53" s="6" t="n">
        <x:v>10</x:v>
      </x:c>
      <x:c r="M53" s="11" t="n">
        <x:v>0.9273076923076923</x:v>
      </x:c>
      <x:c r="N53" s="6" t="n">
        <x:v>358500</x:v>
      </x:c>
    </x:row>
    <x:row r="54" ht="24" customHeight="1">
      <x:c r="A54" s="2" t="str">
        <x:v>2026-10-23_Day</x:v>
      </x:c>
      <x:c r="B54" s="6" t="str">
        <x:v>デイ</x:v>
      </x:c>
      <x:c r="C54" s="6" t="n">
        <x:v>1231500</x:v>
      </x:c>
      <x:c r="D54" s="6" t="n">
        <x:v>1771500</x:v>
      </x:c>
      <x:c r="E54" s="6" t="n">
        <x:f>C54-D54</x:f>
        <x:v>-540000</x:v>
      </x:c>
      <x:c r="F54" s="6" t="n">
        <x:f>F53+E54</x:f>
        <x:v>-11899500</x:v>
      </x:c>
      <x:c r="G54" s="6" t="n">
        <x:v>1231500</x:v>
      </x:c>
      <x:c r="H54" s="6" t="n">
        <x:v>1771500</x:v>
      </x:c>
      <x:c r="I54" s="6" t="n">
        <x:v>118</x:v>
      </x:c>
      <x:c r="J54" s="6" t="n">
        <x:v>0</x:v>
      </x:c>
      <x:c r="K54" s="6" t="n">
        <x:v>0</x:v>
      </x:c>
      <x:c r="L54" s="6" t="n">
        <x:v>10</x:v>
      </x:c>
      <x:c r="M54" s="11" t="n">
        <x:v>0.8697222222222222</x:v>
      </x:c>
      <x:c r="N54" s="6" t="n">
        <x:v>584000</x:v>
      </x:c>
    </x:row>
    <x:row r="55" ht="24" customHeight="1">
      <x:c r="A55" s="2" t="str">
        <x:v>2026-10-23_Night</x:v>
      </x:c>
      <x:c r="B55" s="6" t="str">
        <x:v>ナイト</x:v>
      </x:c>
      <x:c r="C55" s="6" t="n">
        <x:v>518000</x:v>
      </x:c>
      <x:c r="D55" s="6" t="n">
        <x:v>720000</x:v>
      </x:c>
      <x:c r="E55" s="6" t="n">
        <x:f>C55-D55</x:f>
        <x:v>-202000</x:v>
      </x:c>
      <x:c r="F55" s="6" t="n">
        <x:f>F54+E55</x:f>
        <x:v>-12101500</x:v>
      </x:c>
      <x:c r="G55" s="6" t="n">
        <x:v>518000</x:v>
      </x:c>
      <x:c r="H55" s="6" t="n">
        <x:v>720000</x:v>
      </x:c>
      <x:c r="I55" s="6" t="n">
        <x:v>64</x:v>
      </x:c>
      <x:c r="J55" s="6" t="n">
        <x:v>0</x:v>
      </x:c>
      <x:c r="K55" s="6" t="n">
        <x:v>0</x:v>
      </x:c>
      <x:c r="L55" s="6" t="n">
        <x:v>10</x:v>
      </x:c>
      <x:c r="M55" s="11" t="n">
        <x:v>0.9296367521367521</x:v>
      </x:c>
      <x:c r="N55" s="6" t="n">
        <x:v>349000</x:v>
      </x:c>
    </x:row>
    <x:row r="56" ht="24" customHeight="1">
      <x:c r="A56" s="2" t="str">
        <x:v>2026-10-26_Day</x:v>
      </x:c>
      <x:c r="B56" s="6" t="str">
        <x:v>デイ</x:v>
      </x:c>
      <x:c r="C56" s="6" t="n">
        <x:v>616000</x:v>
      </x:c>
      <x:c r="D56" s="6" t="n">
        <x:v>1030000</x:v>
      </x:c>
      <x:c r="E56" s="6" t="n">
        <x:f>C56-D56</x:f>
        <x:v>-414000</x:v>
      </x:c>
      <x:c r="F56" s="6" t="n">
        <x:f>F55+E56</x:f>
        <x:v>-12515500</x:v>
      </x:c>
      <x:c r="G56" s="6" t="n">
        <x:v>616000</x:v>
      </x:c>
      <x:c r="H56" s="6" t="n">
        <x:v>1030000</x:v>
      </x:c>
      <x:c r="I56" s="6" t="n">
        <x:v>81</x:v>
      </x:c>
      <x:c r="J56" s="6" t="n">
        <x:v>0</x:v>
      </x:c>
      <x:c r="K56" s="6" t="n">
        <x:v>0</x:v>
      </x:c>
      <x:c r="L56" s="6" t="n">
        <x:v>10</x:v>
      </x:c>
      <x:c r="M56" s="11" t="n">
        <x:v>0.9089285714285714</x:v>
      </x:c>
      <x:c r="N56" s="6" t="n">
        <x:v>504000</x:v>
      </x:c>
    </x:row>
    <x:row r="57" ht="24" customHeight="1">
      <x:c r="A57" s="15" t="str">
        <x:v>累計／平均／最大</x:v>
      </x:c>
      <x:c r="B57" s="16"/>
      <x:c r="C57" s="16" t="n">
        <x:f>SUM(C6:C56)</x:f>
        <x:v>19790000</x:v>
      </x:c>
      <x:c r="D57" s="16" t="n">
        <x:f>SUM(D6:D56)</x:f>
        <x:v>32305500</x:v>
      </x:c>
      <x:c r="E57" s="16" t="n">
        <x:f>C57-D57</x:f>
        <x:v>-12515500</x:v>
      </x:c>
      <x:c r="F57" s="16" t="n">
        <x:f>F56</x:f>
        <x:v>-12515500</x:v>
      </x:c>
      <x:c r="G57" s="16" t="n">
        <x:f>SUM(G6:G56)</x:f>
        <x:v>19790000</x:v>
      </x:c>
      <x:c r="H57" s="16" t="n">
        <x:f>SUM(H6:H56)</x:f>
        <x:v>32305500</x:v>
      </x:c>
      <x:c r="I57" s="16" t="n">
        <x:f>SUM(I6:I56)</x:f>
        <x:v>2796</x:v>
      </x:c>
      <x:c r="J57" s="16" t="n">
        <x:f>SUM(J6:J56)</x:f>
        <x:v>0</x:v>
      </x:c>
      <x:c r="K57" s="16" t="n">
        <x:f>SUM(K6:K56)</x:f>
        <x:v>0</x:v>
      </x:c>
      <x:c r="L57" s="16" t="n">
        <x:f>MAX(L6:L56)</x:f>
        <x:v>10</x:v>
      </x:c>
      <x:c r="M57" s="17" t="n">
        <x:f>AVERAGE(M6:M56)</x:f>
        <x:v>0.9297899758193873</x:v>
      </x:c>
      <x:c r="N57" s="16" t="n">
        <x:f>MAX(N6:N56)</x:f>
        <x:v>716000</x:v>
      </x:c>
    </x:row>
  </x:sheetData>
  <x:conditionalFormatting sqref="E6:F56">
    <x:cfRule type="cellIs" dxfId="54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af63880df8143b5"/>
  </x:tableParts>
</x:worksheet>
</file>

<file path=xl/worksheets/sheet5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1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4" customHeight="1">
      <x:c r="A1" s="3" t="str">
        <x:v>TOPIX M14　各セッションの利益・損失・収支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A2" s="4" t="str">
        <x:v>2026/09/21〜10/26デイ・51完了場。日経mini／TOPIXmini各上限10枚・手数料0。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4" customHeight="1">
      <x:c r="A3" s="4" t="str">
        <x:v>300秒の時間加重平均を60秒前と比較。入口だけ傾き比例枚数、利益追尾＋傾き反転で返済。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4" customHeight="1">
      <x:c r="A4" s="4" t="str">
        <x:v>利益・損失＝FIFO返済配賦別。親＝初回から全返済まで。ラージ気配による模型で、mini実約定の検証ではありません。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42" customHeight="1">
      <x:c r="A5" s="10" t="str">
        <x:v>セッション</x:v>
      </x:c>
      <x:c r="B5" s="10" t="str">
        <x:v>区分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親利益（円）</x:v>
      </x:c>
      <x:c r="H5" s="10" t="str">
        <x:v>親損失（円）</x:v>
      </x:c>
      <x:c r="I5" s="10" t="str">
        <x:v>初回件数</x:v>
      </x:c>
      <x:c r="J5" s="10" t="str">
        <x:v>追加件数</x:v>
      </x:c>
      <x:c r="K5" s="10" t="str">
        <x:v>縮小件数</x:v>
      </x:c>
      <x:c r="L5" s="10" t="str">
        <x:v>最大保有枚数</x:v>
      </x:c>
      <x:c r="M5" s="10" t="str">
        <x:v>保有時間率</x:v>
      </x:c>
      <x:c r="N5" s="10" t="str">
        <x:v>時価最大DD（円）</x:v>
      </x:c>
    </x:row>
    <x:row r="6" ht="24" customHeight="1">
      <x:c r="A6" s="2" t="str">
        <x:v>2026-09-21_Day</x:v>
      </x:c>
      <x:c r="B6" s="6" t="str">
        <x:v>デイ</x:v>
      </x:c>
      <x:c r="C6" s="6" t="n">
        <x:v>154000</x:v>
      </x:c>
      <x:c r="D6" s="6" t="n">
        <x:v>382500</x:v>
      </x:c>
      <x:c r="E6" s="6" t="n">
        <x:f>C6-D6</x:f>
        <x:v>-228500</x:v>
      </x:c>
      <x:c r="F6" s="6" t="n">
        <x:f>E6</x:f>
        <x:v>-228500</x:v>
      </x:c>
      <x:c r="G6" s="6" t="n">
        <x:v>154000</x:v>
      </x:c>
      <x:c r="H6" s="6" t="n">
        <x:v>382500</x:v>
      </x:c>
      <x:c r="I6" s="6" t="n">
        <x:v>62</x:v>
      </x:c>
      <x:c r="J6" s="6" t="n">
        <x:v>0</x:v>
      </x:c>
      <x:c r="K6" s="6" t="n">
        <x:v>0</x:v>
      </x:c>
      <x:c r="L6" s="6" t="n">
        <x:v>10</x:v>
      </x:c>
      <x:c r="M6" s="11" t="n">
        <x:v>0.7309920634920635</x:v>
      </x:c>
      <x:c r="N6" s="6" t="n">
        <x:v>268500</x:v>
      </x:c>
    </x:row>
    <x:row r="7" ht="24" customHeight="1">
      <x:c r="A7" s="2" t="str">
        <x:v>2026-09-21_Night</x:v>
      </x:c>
      <x:c r="B7" s="6" t="str">
        <x:v>ナイト</x:v>
      </x:c>
      <x:c r="C7" s="6" t="n">
        <x:v>63500</x:v>
      </x:c>
      <x:c r="D7" s="6" t="n">
        <x:v>229000</x:v>
      </x:c>
      <x:c r="E7" s="6" t="n">
        <x:f>C7-D7</x:f>
        <x:v>-165500</x:v>
      </x:c>
      <x:c r="F7" s="6" t="n">
        <x:f>F6+E7</x:f>
        <x:v>-394000</x:v>
      </x:c>
      <x:c r="G7" s="6" t="n">
        <x:v>63500</x:v>
      </x:c>
      <x:c r="H7" s="6" t="n">
        <x:v>229000</x:v>
      </x:c>
      <x:c r="I7" s="6" t="n">
        <x:v>104</x:v>
      </x:c>
      <x:c r="J7" s="6" t="n">
        <x:v>0</x:v>
      </x:c>
      <x:c r="K7" s="6" t="n">
        <x:v>0</x:v>
      </x:c>
      <x:c r="L7" s="6" t="n">
        <x:v>10</x:v>
      </x:c>
      <x:c r="M7" s="11" t="n">
        <x:v>0.8117094017094018</x:v>
      </x:c>
      <x:c r="N7" s="6" t="n">
        <x:v>201500</x:v>
      </x:c>
    </x:row>
    <x:row r="8" ht="24" customHeight="1">
      <x:c r="A8" s="2" t="str">
        <x:v>2026-09-22_Day</x:v>
      </x:c>
      <x:c r="B8" s="6" t="str">
        <x:v>デイ</x:v>
      </x:c>
      <x:c r="C8" s="6" t="n">
        <x:v>103500</x:v>
      </x:c>
      <x:c r="D8" s="6" t="n">
        <x:v>320500</x:v>
      </x:c>
      <x:c r="E8" s="6" t="n">
        <x:f>C8-D8</x:f>
        <x:v>-217000</x:v>
      </x:c>
      <x:c r="F8" s="6" t="n">
        <x:f>F7+E8</x:f>
        <x:v>-611000</x:v>
      </x:c>
      <x:c r="G8" s="6" t="n">
        <x:v>103500</x:v>
      </x:c>
      <x:c r="H8" s="6" t="n">
        <x:v>320500</x:v>
      </x:c>
      <x:c r="I8" s="6" t="n">
        <x:v>85</x:v>
      </x:c>
      <x:c r="J8" s="6" t="n">
        <x:v>0</x:v>
      </x:c>
      <x:c r="K8" s="6" t="n">
        <x:v>0</x:v>
      </x:c>
      <x:c r="L8" s="6" t="n">
        <x:v>10</x:v>
      </x:c>
      <x:c r="M8" s="11" t="n">
        <x:v>0.751547619047619</x:v>
      </x:c>
      <x:c r="N8" s="6" t="n">
        <x:v>240000</x:v>
      </x:c>
    </x:row>
    <x:row r="9" ht="24" customHeight="1">
      <x:c r="A9" s="2" t="str">
        <x:v>2026-09-22_Night</x:v>
      </x:c>
      <x:c r="B9" s="6" t="str">
        <x:v>ナイト</x:v>
      </x:c>
      <x:c r="C9" s="6" t="n">
        <x:v>281500</x:v>
      </x:c>
      <x:c r="D9" s="6" t="n">
        <x:v>623500</x:v>
      </x:c>
      <x:c r="E9" s="6" t="n">
        <x:f>C9-D9</x:f>
        <x:v>-342000</x:v>
      </x:c>
      <x:c r="F9" s="6" t="n">
        <x:f>F8+E9</x:f>
        <x:v>-953000</x:v>
      </x:c>
      <x:c r="G9" s="6" t="n">
        <x:v>281500</x:v>
      </x:c>
      <x:c r="H9" s="6" t="n">
        <x:v>623500</x:v>
      </x:c>
      <x:c r="I9" s="6" t="n">
        <x:v>143</x:v>
      </x:c>
      <x:c r="J9" s="6" t="n">
        <x:v>0</x:v>
      </x:c>
      <x:c r="K9" s="6" t="n">
        <x:v>0</x:v>
      </x:c>
      <x:c r="L9" s="6" t="n">
        <x:v>10</x:v>
      </x:c>
      <x:c r="M9" s="11" t="n">
        <x:v>0.8283119658119659</x:v>
      </x:c>
      <x:c r="N9" s="6" t="n">
        <x:v>350500</x:v>
      </x:c>
    </x:row>
    <x:row r="10" ht="24" customHeight="1">
      <x:c r="A10" s="2" t="str">
        <x:v>2026-09-23_Day</x:v>
      </x:c>
      <x:c r="B10" s="6" t="str">
        <x:v>デイ</x:v>
      </x:c>
      <x:c r="C10" s="6" t="n">
        <x:v>222500</x:v>
      </x:c>
      <x:c r="D10" s="6" t="n">
        <x:v>315500</x:v>
      </x:c>
      <x:c r="E10" s="6" t="n">
        <x:f>C10-D10</x:f>
        <x:v>-93000</x:v>
      </x:c>
      <x:c r="F10" s="6" t="n">
        <x:f>F9+E10</x:f>
        <x:v>-1046000</x:v>
      </x:c>
      <x:c r="G10" s="6" t="n">
        <x:v>222500</x:v>
      </x:c>
      <x:c r="H10" s="6" t="n">
        <x:v>315500</x:v>
      </x:c>
      <x:c r="I10" s="6" t="n">
        <x:v>69</x:v>
      </x:c>
      <x:c r="J10" s="6" t="n">
        <x:v>0</x:v>
      </x:c>
      <x:c r="K10" s="6" t="n">
        <x:v>0</x:v>
      </x:c>
      <x:c r="L10" s="6" t="n">
        <x:v>10</x:v>
      </x:c>
      <x:c r="M10" s="11" t="n">
        <x:v>0.8369841269841269</x:v>
      </x:c>
      <x:c r="N10" s="6" t="n">
        <x:v>184000</x:v>
      </x:c>
    </x:row>
    <x:row r="11" ht="24" customHeight="1">
      <x:c r="A11" s="2" t="str">
        <x:v>2026-09-23_Night</x:v>
      </x:c>
      <x:c r="B11" s="6" t="str">
        <x:v>ナイト</x:v>
      </x:c>
      <x:c r="C11" s="6" t="n">
        <x:v>100000</x:v>
      </x:c>
      <x:c r="D11" s="6" t="n">
        <x:v>358000</x:v>
      </x:c>
      <x:c r="E11" s="6" t="n">
        <x:f>C11-D11</x:f>
        <x:v>-258000</x:v>
      </x:c>
      <x:c r="F11" s="6" t="n">
        <x:f>F10+E11</x:f>
        <x:v>-1304000</x:v>
      </x:c>
      <x:c r="G11" s="6" t="n">
        <x:v>100000</x:v>
      </x:c>
      <x:c r="H11" s="6" t="n">
        <x:v>358000</x:v>
      </x:c>
      <x:c r="I11" s="6" t="n">
        <x:v>115</x:v>
      </x:c>
      <x:c r="J11" s="6" t="n">
        <x:v>0</x:v>
      </x:c>
      <x:c r="K11" s="6" t="n">
        <x:v>0</x:v>
      </x:c>
      <x:c r="L11" s="6" t="n">
        <x:v>10</x:v>
      </x:c>
      <x:c r="M11" s="11" t="n">
        <x:v>0.818034188034188</x:v>
      </x:c>
      <x:c r="N11" s="6" t="n">
        <x:v>259500</x:v>
      </x:c>
    </x:row>
    <x:row r="12" ht="24" customHeight="1">
      <x:c r="A12" s="2" t="str">
        <x:v>2026-09-24_Day</x:v>
      </x:c>
      <x:c r="B12" s="6" t="str">
        <x:v>デイ</x:v>
      </x:c>
      <x:c r="C12" s="6" t="n">
        <x:v>476500</x:v>
      </x:c>
      <x:c r="D12" s="6" t="n">
        <x:v>1029000</x:v>
      </x:c>
      <x:c r="E12" s="6" t="n">
        <x:f>C12-D12</x:f>
        <x:v>-552500</x:v>
      </x:c>
      <x:c r="F12" s="6" t="n">
        <x:f>F11+E12</x:f>
        <x:v>-1856500</x:v>
      </x:c>
      <x:c r="G12" s="6" t="n">
        <x:v>476500</x:v>
      </x:c>
      <x:c r="H12" s="6" t="n">
        <x:v>1029000</x:v>
      </x:c>
      <x:c r="I12" s="6" t="n">
        <x:v>131</x:v>
      </x:c>
      <x:c r="J12" s="6" t="n">
        <x:v>0</x:v>
      </x:c>
      <x:c r="K12" s="6" t="n">
        <x:v>0</x:v>
      </x:c>
      <x:c r="L12" s="6" t="n">
        <x:v>10</x:v>
      </x:c>
      <x:c r="M12" s="11" t="n">
        <x:v>0.8338888888888889</x:v>
      </x:c>
      <x:c r="N12" s="6" t="n">
        <x:v>617500</x:v>
      </x:c>
    </x:row>
    <x:row r="13" ht="24" customHeight="1">
      <x:c r="A13" s="2" t="str">
        <x:v>2026-09-24_Night</x:v>
      </x:c>
      <x:c r="B13" s="6" t="str">
        <x:v>ナイト</x:v>
      </x:c>
      <x:c r="C13" s="6" t="n">
        <x:v>314000</x:v>
      </x:c>
      <x:c r="D13" s="6" t="n">
        <x:v>837000</x:v>
      </x:c>
      <x:c r="E13" s="6" t="n">
        <x:f>C13-D13</x:f>
        <x:v>-523000</x:v>
      </x:c>
      <x:c r="F13" s="6" t="n">
        <x:f>F12+E13</x:f>
        <x:v>-2379500</x:v>
      </x:c>
      <x:c r="G13" s="6" t="n">
        <x:v>314000</x:v>
      </x:c>
      <x:c r="H13" s="6" t="n">
        <x:v>837000</x:v>
      </x:c>
      <x:c r="I13" s="6" t="n">
        <x:v>170</x:v>
      </x:c>
      <x:c r="J13" s="6" t="n">
        <x:v>0</x:v>
      </x:c>
      <x:c r="K13" s="6" t="n">
        <x:v>0</x:v>
      </x:c>
      <x:c r="L13" s="6" t="n">
        <x:v>10</x:v>
      </x:c>
      <x:c r="M13" s="11" t="n">
        <x:v>0.8382692307692308</x:v>
      </x:c>
      <x:c r="N13" s="6" t="n">
        <x:v>607000</x:v>
      </x:c>
    </x:row>
    <x:row r="14" ht="24" customHeight="1">
      <x:c r="A14" s="2" t="str">
        <x:v>2026-09-25_Day</x:v>
      </x:c>
      <x:c r="B14" s="6" t="str">
        <x:v>デイ</x:v>
      </x:c>
      <x:c r="C14" s="6" t="n">
        <x:v>333000</x:v>
      </x:c>
      <x:c r="D14" s="6" t="n">
        <x:v>591000</x:v>
      </x:c>
      <x:c r="E14" s="6" t="n">
        <x:f>C14-D14</x:f>
        <x:v>-258000</x:v>
      </x:c>
      <x:c r="F14" s="6" t="n">
        <x:f>F13+E14</x:f>
        <x:v>-2637500</x:v>
      </x:c>
      <x:c r="G14" s="6" t="n">
        <x:v>333000</x:v>
      </x:c>
      <x:c r="H14" s="6" t="n">
        <x:v>591000</x:v>
      </x:c>
      <x:c r="I14" s="6" t="n">
        <x:v>116</x:v>
      </x:c>
      <x:c r="J14" s="6" t="n">
        <x:v>0</x:v>
      </x:c>
      <x:c r="K14" s="6" t="n">
        <x:v>0</x:v>
      </x:c>
      <x:c r="L14" s="6" t="n">
        <x:v>10</x:v>
      </x:c>
      <x:c r="M14" s="11" t="n">
        <x:v>0.8418253968253968</x:v>
      </x:c>
      <x:c r="N14" s="6" t="n">
        <x:v>296500</x:v>
      </x:c>
    </x:row>
    <x:row r="15" ht="24" customHeight="1">
      <x:c r="A15" s="2" t="str">
        <x:v>2026-09-25_Night</x:v>
      </x:c>
      <x:c r="B15" s="6" t="str">
        <x:v>ナイト</x:v>
      </x:c>
      <x:c r="C15" s="6" t="n">
        <x:v>308000</x:v>
      </x:c>
      <x:c r="D15" s="6" t="n">
        <x:v>432500</x:v>
      </x:c>
      <x:c r="E15" s="6" t="n">
        <x:f>C15-D15</x:f>
        <x:v>-124500</x:v>
      </x:c>
      <x:c r="F15" s="6" t="n">
        <x:f>F14+E15</x:f>
        <x:v>-2762000</x:v>
      </x:c>
      <x:c r="G15" s="6" t="n">
        <x:v>308000</x:v>
      </x:c>
      <x:c r="H15" s="6" t="n">
        <x:v>432500</x:v>
      </x:c>
      <x:c r="I15" s="6" t="n">
        <x:v>133</x:v>
      </x:c>
      <x:c r="J15" s="6" t="n">
        <x:v>0</x:v>
      </x:c>
      <x:c r="K15" s="6" t="n">
        <x:v>0</x:v>
      </x:c>
      <x:c r="L15" s="6" t="n">
        <x:v>10</x:v>
      </x:c>
      <x:c r="M15" s="11" t="n">
        <x:v>0.8125</x:v>
      </x:c>
      <x:c r="N15" s="6" t="n">
        <x:v>264000</x:v>
      </x:c>
    </x:row>
    <x:row r="16" ht="24" customHeight="1">
      <x:c r="A16" s="2" t="str">
        <x:v>2026-09-28_Day</x:v>
      </x:c>
      <x:c r="B16" s="6" t="str">
        <x:v>デイ</x:v>
      </x:c>
      <x:c r="C16" s="6" t="n">
        <x:v>268500</x:v>
      </x:c>
      <x:c r="D16" s="6" t="n">
        <x:v>569000</x:v>
      </x:c>
      <x:c r="E16" s="6" t="n">
        <x:f>C16-D16</x:f>
        <x:v>-300500</x:v>
      </x:c>
      <x:c r="F16" s="6" t="n">
        <x:f>F15+E16</x:f>
        <x:v>-3062500</x:v>
      </x:c>
      <x:c r="G16" s="6" t="n">
        <x:v>268500</x:v>
      </x:c>
      <x:c r="H16" s="6" t="n">
        <x:v>569000</x:v>
      </x:c>
      <x:c r="I16" s="6" t="n">
        <x:v>111</x:v>
      </x:c>
      <x:c r="J16" s="6" t="n">
        <x:v>0</x:v>
      </x:c>
      <x:c r="K16" s="6" t="n">
        <x:v>0</x:v>
      </x:c>
      <x:c r="L16" s="6" t="n">
        <x:v>10</x:v>
      </x:c>
      <x:c r="M16" s="11" t="n">
        <x:v>0.8223412698412699</x:v>
      </x:c>
      <x:c r="N16" s="6" t="n">
        <x:v>359500</x:v>
      </x:c>
    </x:row>
    <x:row r="17" ht="24" customHeight="1">
      <x:c r="A17" s="2" t="str">
        <x:v>2026-09-28_Night</x:v>
      </x:c>
      <x:c r="B17" s="6" t="str">
        <x:v>ナイト</x:v>
      </x:c>
      <x:c r="C17" s="6" t="n">
        <x:v>259500</x:v>
      </x:c>
      <x:c r="D17" s="6" t="n">
        <x:v>752500</x:v>
      </x:c>
      <x:c r="E17" s="6" t="n">
        <x:f>C17-D17</x:f>
        <x:v>-493000</x:v>
      </x:c>
      <x:c r="F17" s="6" t="n">
        <x:f>F16+E17</x:f>
        <x:v>-3555500</x:v>
      </x:c>
      <x:c r="G17" s="6" t="n">
        <x:v>259500</x:v>
      </x:c>
      <x:c r="H17" s="6" t="n">
        <x:v>752500</x:v>
      </x:c>
      <x:c r="I17" s="6" t="n">
        <x:v>162</x:v>
      </x:c>
      <x:c r="J17" s="6" t="n">
        <x:v>0</x:v>
      </x:c>
      <x:c r="K17" s="6" t="n">
        <x:v>0</x:v>
      </x:c>
      <x:c r="L17" s="6" t="n">
        <x:v>10</x:v>
      </x:c>
      <x:c r="M17" s="11" t="n">
        <x:v>0.8297435897435897</x:v>
      </x:c>
      <x:c r="N17" s="6" t="n">
        <x:v>496000</x:v>
      </x:c>
    </x:row>
    <x:row r="18" ht="24" customHeight="1">
      <x:c r="A18" s="2" t="str">
        <x:v>2026-09-29_Day</x:v>
      </x:c>
      <x:c r="B18" s="6" t="str">
        <x:v>デイ</x:v>
      </x:c>
      <x:c r="C18" s="6" t="n">
        <x:v>388000</x:v>
      </x:c>
      <x:c r="D18" s="6" t="n">
        <x:v>850500</x:v>
      </x:c>
      <x:c r="E18" s="6" t="n">
        <x:f>C18-D18</x:f>
        <x:v>-462500</x:v>
      </x:c>
      <x:c r="F18" s="6" t="n">
        <x:f>F17+E18</x:f>
        <x:v>-4018000</x:v>
      </x:c>
      <x:c r="G18" s="6" t="n">
        <x:v>388000</x:v>
      </x:c>
      <x:c r="H18" s="6" t="n">
        <x:v>850500</x:v>
      </x:c>
      <x:c r="I18" s="6" t="n">
        <x:v>132</x:v>
      </x:c>
      <x:c r="J18" s="6" t="n">
        <x:v>0</x:v>
      </x:c>
      <x:c r="K18" s="6" t="n">
        <x:v>0</x:v>
      </x:c>
      <x:c r="L18" s="6" t="n">
        <x:v>10</x:v>
      </x:c>
      <x:c r="M18" s="11" t="n">
        <x:v>0.8339682539682539</x:v>
      </x:c>
      <x:c r="N18" s="6" t="n">
        <x:v>482500</x:v>
      </x:c>
    </x:row>
    <x:row r="19" ht="24" customHeight="1">
      <x:c r="A19" s="2" t="str">
        <x:v>2026-09-29_Night</x:v>
      </x:c>
      <x:c r="B19" s="6" t="str">
        <x:v>ナイト</x:v>
      </x:c>
      <x:c r="C19" s="6" t="n">
        <x:v>165500</x:v>
      </x:c>
      <x:c r="D19" s="6" t="n">
        <x:v>418000</x:v>
      </x:c>
      <x:c r="E19" s="6" t="n">
        <x:f>C19-D19</x:f>
        <x:v>-252500</x:v>
      </x:c>
      <x:c r="F19" s="6" t="n">
        <x:f>F18+E19</x:f>
        <x:v>-4270500</x:v>
      </x:c>
      <x:c r="G19" s="6" t="n">
        <x:v>165500</x:v>
      </x:c>
      <x:c r="H19" s="6" t="n">
        <x:v>418000</x:v>
      </x:c>
      <x:c r="I19" s="6" t="n">
        <x:v>141</x:v>
      </x:c>
      <x:c r="J19" s="6" t="n">
        <x:v>0</x:v>
      </x:c>
      <x:c r="K19" s="6" t="n">
        <x:v>0</x:v>
      </x:c>
      <x:c r="L19" s="6" t="n">
        <x:v>10</x:v>
      </x:c>
      <x:c r="M19" s="11" t="n">
        <x:v>0.847948717948718</x:v>
      </x:c>
      <x:c r="N19" s="6" t="n">
        <x:v>285500</x:v>
      </x:c>
    </x:row>
    <x:row r="20" ht="24" customHeight="1">
      <x:c r="A20" s="2" t="str">
        <x:v>2026-09-30_Day</x:v>
      </x:c>
      <x:c r="B20" s="6" t="str">
        <x:v>デイ</x:v>
      </x:c>
      <x:c r="C20" s="6" t="n">
        <x:v>391000</x:v>
      </x:c>
      <x:c r="D20" s="6" t="n">
        <x:v>590500</x:v>
      </x:c>
      <x:c r="E20" s="6" t="n">
        <x:f>C20-D20</x:f>
        <x:v>-199500</x:v>
      </x:c>
      <x:c r="F20" s="6" t="n">
        <x:f>F19+E20</x:f>
        <x:v>-4470000</x:v>
      </x:c>
      <x:c r="G20" s="6" t="n">
        <x:v>391000</x:v>
      </x:c>
      <x:c r="H20" s="6" t="n">
        <x:v>590500</x:v>
      </x:c>
      <x:c r="I20" s="6" t="n">
        <x:v>112</x:v>
      </x:c>
      <x:c r="J20" s="6" t="n">
        <x:v>0</x:v>
      </x:c>
      <x:c r="K20" s="6" t="n">
        <x:v>0</x:v>
      </x:c>
      <x:c r="L20" s="6" t="n">
        <x:v>10</x:v>
      </x:c>
      <x:c r="M20" s="11" t="n">
        <x:v>0.8455952380952381</x:v>
      </x:c>
      <x:c r="N20" s="6" t="n">
        <x:v>279500</x:v>
      </x:c>
    </x:row>
    <x:row r="21" ht="24" customHeight="1">
      <x:c r="A21" s="2" t="str">
        <x:v>2026-09-30_Night</x:v>
      </x:c>
      <x:c r="B21" s="6" t="str">
        <x:v>ナイト</x:v>
      </x:c>
      <x:c r="C21" s="6" t="n">
        <x:v>292500</x:v>
      </x:c>
      <x:c r="D21" s="6" t="n">
        <x:v>835000</x:v>
      </x:c>
      <x:c r="E21" s="6" t="n">
        <x:f>C21-D21</x:f>
        <x:v>-542500</x:v>
      </x:c>
      <x:c r="F21" s="6" t="n">
        <x:f>F20+E21</x:f>
        <x:v>-5012500</x:v>
      </x:c>
      <x:c r="G21" s="6" t="n">
        <x:v>292500</x:v>
      </x:c>
      <x:c r="H21" s="6" t="n">
        <x:v>835000</x:v>
      </x:c>
      <x:c r="I21" s="6" t="n">
        <x:v>169</x:v>
      </x:c>
      <x:c r="J21" s="6" t="n">
        <x:v>0</x:v>
      </x:c>
      <x:c r="K21" s="6" t="n">
        <x:v>0</x:v>
      </x:c>
      <x:c r="L21" s="6" t="n">
        <x:v>10</x:v>
      </x:c>
      <x:c r="M21" s="11" t="n">
        <x:v>0.8205555555555556</x:v>
      </x:c>
      <x:c r="N21" s="6" t="n">
        <x:v>562500</x:v>
      </x:c>
    </x:row>
    <x:row r="22" ht="24" customHeight="1">
      <x:c r="A22" s="2" t="str">
        <x:v>2026-10-01_Day</x:v>
      </x:c>
      <x:c r="B22" s="6" t="str">
        <x:v>デイ</x:v>
      </x:c>
      <x:c r="C22" s="6" t="n">
        <x:v>304500</x:v>
      </x:c>
      <x:c r="D22" s="6" t="n">
        <x:v>720500</x:v>
      </x:c>
      <x:c r="E22" s="6" t="n">
        <x:f>C22-D22</x:f>
        <x:v>-416000</x:v>
      </x:c>
      <x:c r="F22" s="6" t="n">
        <x:f>F21+E22</x:f>
        <x:v>-5428500</x:v>
      </x:c>
      <x:c r="G22" s="6" t="n">
        <x:v>304500</x:v>
      </x:c>
      <x:c r="H22" s="6" t="n">
        <x:v>720500</x:v>
      </x:c>
      <x:c r="I22" s="6" t="n">
        <x:v>104</x:v>
      </x:c>
      <x:c r="J22" s="6" t="n">
        <x:v>0</x:v>
      </x:c>
      <x:c r="K22" s="6" t="n">
        <x:v>0</x:v>
      </x:c>
      <x:c r="L22" s="6" t="n">
        <x:v>10</x:v>
      </x:c>
      <x:c r="M22" s="11" t="n">
        <x:v>0.8334920634920635</x:v>
      </x:c>
      <x:c r="N22" s="6" t="n">
        <x:v>423500</x:v>
      </x:c>
    </x:row>
    <x:row r="23" ht="24" customHeight="1">
      <x:c r="A23" s="2" t="str">
        <x:v>2026-10-01_Night</x:v>
      </x:c>
      <x:c r="B23" s="6" t="str">
        <x:v>ナイト</x:v>
      </x:c>
      <x:c r="C23" s="6" t="n">
        <x:v>360000</x:v>
      </x:c>
      <x:c r="D23" s="6" t="n">
        <x:v>664500</x:v>
      </x:c>
      <x:c r="E23" s="6" t="n">
        <x:f>C23-D23</x:f>
        <x:v>-304500</x:v>
      </x:c>
      <x:c r="F23" s="6" t="n">
        <x:f>F22+E23</x:f>
        <x:v>-5733000</x:v>
      </x:c>
      <x:c r="G23" s="6" t="n">
        <x:v>360000</x:v>
      </x:c>
      <x:c r="H23" s="6" t="n">
        <x:v>664500</x:v>
      </x:c>
      <x:c r="I23" s="6" t="n">
        <x:v>163</x:v>
      </x:c>
      <x:c r="J23" s="6" t="n">
        <x:v>0</x:v>
      </x:c>
      <x:c r="K23" s="6" t="n">
        <x:v>0</x:v>
      </x:c>
      <x:c r="L23" s="6" t="n">
        <x:v>10</x:v>
      </x:c>
      <x:c r="M23" s="11" t="n">
        <x:v>0.8191666666666667</x:v>
      </x:c>
      <x:c r="N23" s="6" t="n">
        <x:v>324500</x:v>
      </x:c>
    </x:row>
    <x:row r="24" ht="24" customHeight="1">
      <x:c r="A24" s="2" t="str">
        <x:v>2026-10-02_Day</x:v>
      </x:c>
      <x:c r="B24" s="6" t="str">
        <x:v>デイ</x:v>
      </x:c>
      <x:c r="C24" s="6" t="n">
        <x:v>263000</x:v>
      </x:c>
      <x:c r="D24" s="6" t="n">
        <x:v>488500</x:v>
      </x:c>
      <x:c r="E24" s="6" t="n">
        <x:f>C24-D24</x:f>
        <x:v>-225500</x:v>
      </x:c>
      <x:c r="F24" s="6" t="n">
        <x:f>F23+E24</x:f>
        <x:v>-5958500</x:v>
      </x:c>
      <x:c r="G24" s="6" t="n">
        <x:v>263000</x:v>
      </x:c>
      <x:c r="H24" s="6" t="n">
        <x:v>488500</x:v>
      </x:c>
      <x:c r="I24" s="6" t="n">
        <x:v>107</x:v>
      </x:c>
      <x:c r="J24" s="6" t="n">
        <x:v>0</x:v>
      </x:c>
      <x:c r="K24" s="6" t="n">
        <x:v>0</x:v>
      </x:c>
      <x:c r="L24" s="6" t="n">
        <x:v>10</x:v>
      </x:c>
      <x:c r="M24" s="11" t="n">
        <x:v>0.858015873015873</x:v>
      </x:c>
      <x:c r="N24" s="6" t="n">
        <x:v>292500</x:v>
      </x:c>
    </x:row>
    <x:row r="25" ht="24" customHeight="1">
      <x:c r="A25" s="2" t="str">
        <x:v>2026-10-02_Night</x:v>
      </x:c>
      <x:c r="B25" s="6" t="str">
        <x:v>ナイト</x:v>
      </x:c>
      <x:c r="C25" s="6" t="n">
        <x:v>553000</x:v>
      </x:c>
      <x:c r="D25" s="6" t="n">
        <x:v>857500</x:v>
      </x:c>
      <x:c r="E25" s="6" t="n">
        <x:f>C25-D25</x:f>
        <x:v>-304500</x:v>
      </x:c>
      <x:c r="F25" s="6" t="n">
        <x:f>F24+E25</x:f>
        <x:v>-6263000</x:v>
      </x:c>
      <x:c r="G25" s="6" t="n">
        <x:v>553000</x:v>
      </x:c>
      <x:c r="H25" s="6" t="n">
        <x:v>857500</x:v>
      </x:c>
      <x:c r="I25" s="6" t="n">
        <x:v>164</x:v>
      </x:c>
      <x:c r="J25" s="6" t="n">
        <x:v>0</x:v>
      </x:c>
      <x:c r="K25" s="6" t="n">
        <x:v>0</x:v>
      </x:c>
      <x:c r="L25" s="6" t="n">
        <x:v>10</x:v>
      </x:c>
      <x:c r="M25" s="11" t="n">
        <x:v>0.8269017094017094</x:v>
      </x:c>
      <x:c r="N25" s="6" t="n">
        <x:v>499500</x:v>
      </x:c>
    </x:row>
    <x:row r="26" ht="24" customHeight="1">
      <x:c r="A26" s="2" t="str">
        <x:v>2026-10-05_Day</x:v>
      </x:c>
      <x:c r="B26" s="6" t="str">
        <x:v>デイ</x:v>
      </x:c>
      <x:c r="C26" s="6" t="n">
        <x:v>180500</x:v>
      </x:c>
      <x:c r="D26" s="6" t="n">
        <x:v>585000</x:v>
      </x:c>
      <x:c r="E26" s="6" t="n">
        <x:f>C26-D26</x:f>
        <x:v>-404500</x:v>
      </x:c>
      <x:c r="F26" s="6" t="n">
        <x:f>F25+E26</x:f>
        <x:v>-6667500</x:v>
      </x:c>
      <x:c r="G26" s="6" t="n">
        <x:v>180500</x:v>
      </x:c>
      <x:c r="H26" s="6" t="n">
        <x:v>585000</x:v>
      </x:c>
      <x:c r="I26" s="6" t="n">
        <x:v>100</x:v>
      </x:c>
      <x:c r="J26" s="6" t="n">
        <x:v>0</x:v>
      </x:c>
      <x:c r="K26" s="6" t="n">
        <x:v>0</x:v>
      </x:c>
      <x:c r="L26" s="6" t="n">
        <x:v>10</x:v>
      </x:c>
      <x:c r="M26" s="11" t="n">
        <x:v>0.8356746031746032</x:v>
      </x:c>
      <x:c r="N26" s="6" t="n">
        <x:v>412000</x:v>
      </x:c>
    </x:row>
    <x:row r="27" ht="24" customHeight="1">
      <x:c r="A27" s="2" t="str">
        <x:v>2026-10-05_Night</x:v>
      </x:c>
      <x:c r="B27" s="6" t="str">
        <x:v>ナイト</x:v>
      </x:c>
      <x:c r="C27" s="6" t="n">
        <x:v>182500</x:v>
      </x:c>
      <x:c r="D27" s="6" t="n">
        <x:v>403500</x:v>
      </x:c>
      <x:c r="E27" s="6" t="n">
        <x:f>C27-D27</x:f>
        <x:v>-221000</x:v>
      </x:c>
      <x:c r="F27" s="6" t="n">
        <x:f>F26+E27</x:f>
        <x:v>-6888500</x:v>
      </x:c>
      <x:c r="G27" s="6" t="n">
        <x:v>182500</x:v>
      </x:c>
      <x:c r="H27" s="6" t="n">
        <x:v>403500</x:v>
      </x:c>
      <x:c r="I27" s="6" t="n">
        <x:v>128</x:v>
      </x:c>
      <x:c r="J27" s="6" t="n">
        <x:v>0</x:v>
      </x:c>
      <x:c r="K27" s="6" t="n">
        <x:v>0</x:v>
      </x:c>
      <x:c r="L27" s="6" t="n">
        <x:v>10</x:v>
      </x:c>
      <x:c r="M27" s="11" t="n">
        <x:v>0.8389316239316239</x:v>
      </x:c>
      <x:c r="N27" s="6" t="n">
        <x:v>298000</x:v>
      </x:c>
    </x:row>
    <x:row r="28" ht="24" customHeight="1">
      <x:c r="A28" s="2" t="str">
        <x:v>2026-10-06_Day</x:v>
      </x:c>
      <x:c r="B28" s="6" t="str">
        <x:v>デイ</x:v>
      </x:c>
      <x:c r="C28" s="6" t="n">
        <x:v>153500</x:v>
      </x:c>
      <x:c r="D28" s="6" t="n">
        <x:v>241000</x:v>
      </x:c>
      <x:c r="E28" s="6" t="n">
        <x:f>C28-D28</x:f>
        <x:v>-87500</x:v>
      </x:c>
      <x:c r="F28" s="6" t="n">
        <x:f>F27+E28</x:f>
        <x:v>-6976000</x:v>
      </x:c>
      <x:c r="G28" s="6" t="n">
        <x:v>153500</x:v>
      </x:c>
      <x:c r="H28" s="6" t="n">
        <x:v>241000</x:v>
      </x:c>
      <x:c r="I28" s="6" t="n">
        <x:v>80</x:v>
      </x:c>
      <x:c r="J28" s="6" t="n">
        <x:v>0</x:v>
      </x:c>
      <x:c r="K28" s="6" t="n">
        <x:v>0</x:v>
      </x:c>
      <x:c r="L28" s="6" t="n">
        <x:v>10</x:v>
      </x:c>
      <x:c r="M28" s="11" t="n">
        <x:v>0.8238095238095238</x:v>
      </x:c>
      <x:c r="N28" s="6" t="n">
        <x:v>155500</x:v>
      </x:c>
    </x:row>
    <x:row r="29" ht="24" customHeight="1">
      <x:c r="A29" s="2" t="str">
        <x:v>2026-10-06_Night</x:v>
      </x:c>
      <x:c r="B29" s="6" t="str">
        <x:v>ナイト</x:v>
      </x:c>
      <x:c r="C29" s="6" t="n">
        <x:v>97000</x:v>
      </x:c>
      <x:c r="D29" s="6" t="n">
        <x:v>223500</x:v>
      </x:c>
      <x:c r="E29" s="6" t="n">
        <x:f>C29-D29</x:f>
        <x:v>-126500</x:v>
      </x:c>
      <x:c r="F29" s="6" t="n">
        <x:f>F28+E29</x:f>
        <x:v>-7102500</x:v>
      </x:c>
      <x:c r="G29" s="6" t="n">
        <x:v>97000</x:v>
      </x:c>
      <x:c r="H29" s="6" t="n">
        <x:v>223500</x:v>
      </x:c>
      <x:c r="I29" s="6" t="n">
        <x:v>116</x:v>
      </x:c>
      <x:c r="J29" s="6" t="n">
        <x:v>0</x:v>
      </x:c>
      <x:c r="K29" s="6" t="n">
        <x:v>0</x:v>
      </x:c>
      <x:c r="L29" s="6" t="n">
        <x:v>10</x:v>
      </x:c>
      <x:c r="M29" s="11" t="n">
        <x:v>0.7826709401709402</x:v>
      </x:c>
      <x:c r="N29" s="6" t="n">
        <x:v>153500</x:v>
      </x:c>
    </x:row>
    <x:row r="30" ht="24" customHeight="1">
      <x:c r="A30" s="2" t="str">
        <x:v>2026-10-07_Day</x:v>
      </x:c>
      <x:c r="B30" s="6" t="str">
        <x:v>デイ</x:v>
      </x:c>
      <x:c r="C30" s="6" t="n">
        <x:v>240000</x:v>
      </x:c>
      <x:c r="D30" s="6" t="n">
        <x:v>371500</x:v>
      </x:c>
      <x:c r="E30" s="6" t="n">
        <x:f>C30-D30</x:f>
        <x:v>-131500</x:v>
      </x:c>
      <x:c r="F30" s="6" t="n">
        <x:f>F29+E30</x:f>
        <x:v>-7234000</x:v>
      </x:c>
      <x:c r="G30" s="6" t="n">
        <x:v>240000</x:v>
      </x:c>
      <x:c r="H30" s="6" t="n">
        <x:v>371500</x:v>
      </x:c>
      <x:c r="I30" s="6" t="n">
        <x:v>76</x:v>
      </x:c>
      <x:c r="J30" s="6" t="n">
        <x:v>0</x:v>
      </x:c>
      <x:c r="K30" s="6" t="n">
        <x:v>0</x:v>
      </x:c>
      <x:c r="L30" s="6" t="n">
        <x:v>10</x:v>
      </x:c>
      <x:c r="M30" s="11" t="n">
        <x:v>0.8297222222222222</x:v>
      </x:c>
      <x:c r="N30" s="6" t="n">
        <x:v>247000</x:v>
      </x:c>
    </x:row>
    <x:row r="31" ht="24" customHeight="1">
      <x:c r="A31" s="2" t="str">
        <x:v>2026-10-07_Night</x:v>
      </x:c>
      <x:c r="B31" s="6" t="str">
        <x:v>ナイト</x:v>
      </x:c>
      <x:c r="C31" s="6" t="n">
        <x:v>140000</x:v>
      </x:c>
      <x:c r="D31" s="6" t="n">
        <x:v>388000</x:v>
      </x:c>
      <x:c r="E31" s="6" t="n">
        <x:f>C31-D31</x:f>
        <x:v>-248000</x:v>
      </x:c>
      <x:c r="F31" s="6" t="n">
        <x:f>F30+E31</x:f>
        <x:v>-7482000</x:v>
      </x:c>
      <x:c r="G31" s="6" t="n">
        <x:v>140000</x:v>
      </x:c>
      <x:c r="H31" s="6" t="n">
        <x:v>388000</x:v>
      </x:c>
      <x:c r="I31" s="6" t="n">
        <x:v>141</x:v>
      </x:c>
      <x:c r="J31" s="6" t="n">
        <x:v>0</x:v>
      </x:c>
      <x:c r="K31" s="6" t="n">
        <x:v>0</x:v>
      </x:c>
      <x:c r="L31" s="6" t="n">
        <x:v>10</x:v>
      </x:c>
      <x:c r="M31" s="11" t="n">
        <x:v>0.8101495726495727</x:v>
      </x:c>
      <x:c r="N31" s="6" t="n">
        <x:v>248000</x:v>
      </x:c>
    </x:row>
    <x:row r="32" ht="24" customHeight="1">
      <x:c r="A32" s="2" t="str">
        <x:v>2026-10-08_Day</x:v>
      </x:c>
      <x:c r="B32" s="6" t="str">
        <x:v>デイ</x:v>
      </x:c>
      <x:c r="C32" s="6" t="n">
        <x:v>509000</x:v>
      </x:c>
      <x:c r="D32" s="6" t="n">
        <x:v>272000</x:v>
      </x:c>
      <x:c r="E32" s="6" t="n">
        <x:f>C32-D32</x:f>
        <x:v>237000</x:v>
      </x:c>
      <x:c r="F32" s="6" t="n">
        <x:f>F31+E32</x:f>
        <x:v>-7245000</x:v>
      </x:c>
      <x:c r="G32" s="6" t="n">
        <x:v>509000</x:v>
      </x:c>
      <x:c r="H32" s="6" t="n">
        <x:v>272000</x:v>
      </x:c>
      <x:c r="I32" s="6" t="n">
        <x:v>92</x:v>
      </x:c>
      <x:c r="J32" s="6" t="n">
        <x:v>0</x:v>
      </x:c>
      <x:c r="K32" s="6" t="n">
        <x:v>0</x:v>
      </x:c>
      <x:c r="L32" s="6" t="n">
        <x:v>10</x:v>
      </x:c>
      <x:c r="M32" s="11" t="n">
        <x:v>0.8488888888888889</x:v>
      </x:c>
      <x:c r="N32" s="6" t="n">
        <x:v>125000</x:v>
      </x:c>
    </x:row>
    <x:row r="33" ht="24" customHeight="1">
      <x:c r="A33" s="2" t="str">
        <x:v>2026-10-08_Night</x:v>
      </x:c>
      <x:c r="B33" s="6" t="str">
        <x:v>ナイト</x:v>
      </x:c>
      <x:c r="C33" s="6" t="n">
        <x:v>265500</x:v>
      </x:c>
      <x:c r="D33" s="6" t="n">
        <x:v>661000</x:v>
      </x:c>
      <x:c r="E33" s="6" t="n">
        <x:f>C33-D33</x:f>
        <x:v>-395500</x:v>
      </x:c>
      <x:c r="F33" s="6" t="n">
        <x:f>F32+E33</x:f>
        <x:v>-7640500</x:v>
      </x:c>
      <x:c r="G33" s="6" t="n">
        <x:v>265500</x:v>
      </x:c>
      <x:c r="H33" s="6" t="n">
        <x:v>661000</x:v>
      </x:c>
      <x:c r="I33" s="6" t="n">
        <x:v>160</x:v>
      </x:c>
      <x:c r="J33" s="6" t="n">
        <x:v>0</x:v>
      </x:c>
      <x:c r="K33" s="6" t="n">
        <x:v>0</x:v>
      </x:c>
      <x:c r="L33" s="6" t="n">
        <x:v>10</x:v>
      </x:c>
      <x:c r="M33" s="11" t="n">
        <x:v>0.8142094017094017</x:v>
      </x:c>
      <x:c r="N33" s="6" t="n">
        <x:v>400500</x:v>
      </x:c>
    </x:row>
    <x:row r="34" ht="24" customHeight="1">
      <x:c r="A34" s="2" t="str">
        <x:v>2026-10-09_Day</x:v>
      </x:c>
      <x:c r="B34" s="6" t="str">
        <x:v>デイ</x:v>
      </x:c>
      <x:c r="C34" s="6" t="n">
        <x:v>193000</x:v>
      </x:c>
      <x:c r="D34" s="6" t="n">
        <x:v>790500</x:v>
      </x:c>
      <x:c r="E34" s="6" t="n">
        <x:f>C34-D34</x:f>
        <x:v>-597500</x:v>
      </x:c>
      <x:c r="F34" s="6" t="n">
        <x:f>F33+E34</x:f>
        <x:v>-8238000</x:v>
      </x:c>
      <x:c r="G34" s="6" t="n">
        <x:v>193000</x:v>
      </x:c>
      <x:c r="H34" s="6" t="n">
        <x:v>790500</x:v>
      </x:c>
      <x:c r="I34" s="6" t="n">
        <x:v>108</x:v>
      </x:c>
      <x:c r="J34" s="6" t="n">
        <x:v>0</x:v>
      </x:c>
      <x:c r="K34" s="6" t="n">
        <x:v>0</x:v>
      </x:c>
      <x:c r="L34" s="6" t="n">
        <x:v>10</x:v>
      </x:c>
      <x:c r="M34" s="11" t="n">
        <x:v>0.8318253968253968</x:v>
      </x:c>
      <x:c r="N34" s="6" t="n">
        <x:v>603500</x:v>
      </x:c>
    </x:row>
    <x:row r="35" ht="24" customHeight="1">
      <x:c r="A35" s="2" t="str">
        <x:v>2026-10-09_Night</x:v>
      </x:c>
      <x:c r="B35" s="6" t="str">
        <x:v>ナイト</x:v>
      </x:c>
      <x:c r="C35" s="6" t="n">
        <x:v>63000</x:v>
      </x:c>
      <x:c r="D35" s="6" t="n">
        <x:v>281000</x:v>
      </x:c>
      <x:c r="E35" s="6" t="n">
        <x:f>C35-D35</x:f>
        <x:v>-218000</x:v>
      </x:c>
      <x:c r="F35" s="6" t="n">
        <x:f>F34+E35</x:f>
        <x:v>-8456000</x:v>
      </x:c>
      <x:c r="G35" s="6" t="n">
        <x:v>63000</x:v>
      </x:c>
      <x:c r="H35" s="6" t="n">
        <x:v>281000</x:v>
      </x:c>
      <x:c r="I35" s="6" t="n">
        <x:v>119</x:v>
      </x:c>
      <x:c r="J35" s="6" t="n">
        <x:v>0</x:v>
      </x:c>
      <x:c r="K35" s="6" t="n">
        <x:v>0</x:v>
      </x:c>
      <x:c r="L35" s="6" t="n">
        <x:v>10</x:v>
      </x:c>
      <x:c r="M35" s="11" t="n">
        <x:v>0.8055555555555556</x:v>
      </x:c>
      <x:c r="N35" s="6" t="n">
        <x:v>220500</x:v>
      </x:c>
    </x:row>
    <x:row r="36" ht="24" customHeight="1">
      <x:c r="A36" s="2" t="str">
        <x:v>2026-10-12_Day</x:v>
      </x:c>
      <x:c r="B36" s="6" t="str">
        <x:v>デイ</x:v>
      </x:c>
      <x:c r="C36" s="6" t="n">
        <x:v>34500</x:v>
      </x:c>
      <x:c r="D36" s="6" t="n">
        <x:v>137500</x:v>
      </x:c>
      <x:c r="E36" s="6" t="n">
        <x:f>C36-D36</x:f>
        <x:v>-103000</x:v>
      </x:c>
      <x:c r="F36" s="6" t="n">
        <x:f>F35+E36</x:f>
        <x:v>-8559000</x:v>
      </x:c>
      <x:c r="G36" s="6" t="n">
        <x:v>34500</x:v>
      </x:c>
      <x:c r="H36" s="6" t="n">
        <x:v>137500</x:v>
      </x:c>
      <x:c r="I36" s="6" t="n">
        <x:v>58</x:v>
      </x:c>
      <x:c r="J36" s="6" t="n">
        <x:v>0</x:v>
      </x:c>
      <x:c r="K36" s="6" t="n">
        <x:v>0</x:v>
      </x:c>
      <x:c r="L36" s="6" t="n">
        <x:v>10</x:v>
      </x:c>
      <x:c r="M36" s="11" t="n">
        <x:v>0.7578174603174603</x:v>
      </x:c>
      <x:c r="N36" s="6" t="n">
        <x:v>125000</x:v>
      </x:c>
    </x:row>
    <x:row r="37" ht="24" customHeight="1">
      <x:c r="A37" s="2" t="str">
        <x:v>2026-10-12_Night</x:v>
      </x:c>
      <x:c r="B37" s="6" t="str">
        <x:v>ナイト</x:v>
      </x:c>
      <x:c r="C37" s="6" t="n">
        <x:v>73500</x:v>
      </x:c>
      <x:c r="D37" s="6" t="n">
        <x:v>147500</x:v>
      </x:c>
      <x:c r="E37" s="6" t="n">
        <x:f>C37-D37</x:f>
        <x:v>-74000</x:v>
      </x:c>
      <x:c r="F37" s="6" t="n">
        <x:f>F36+E37</x:f>
        <x:v>-8633000</x:v>
      </x:c>
      <x:c r="G37" s="6" t="n">
        <x:v>73500</x:v>
      </x:c>
      <x:c r="H37" s="6" t="n">
        <x:v>147500</x:v>
      </x:c>
      <x:c r="I37" s="6" t="n">
        <x:v>96</x:v>
      </x:c>
      <x:c r="J37" s="6" t="n">
        <x:v>0</x:v>
      </x:c>
      <x:c r="K37" s="6" t="n">
        <x:v>0</x:v>
      </x:c>
      <x:c r="L37" s="6" t="n">
        <x:v>7</x:v>
      </x:c>
      <x:c r="M37" s="11" t="n">
        <x:v>0.7689102564102565</x:v>
      </x:c>
      <x:c r="N37" s="6" t="n">
        <x:v>84500</x:v>
      </x:c>
    </x:row>
    <x:row r="38" ht="24" customHeight="1">
      <x:c r="A38" s="2" t="str">
        <x:v>2026-10-13_Day</x:v>
      </x:c>
      <x:c r="B38" s="6" t="str">
        <x:v>デイ</x:v>
      </x:c>
      <x:c r="C38" s="6" t="n">
        <x:v>309500</x:v>
      </x:c>
      <x:c r="D38" s="6" t="n">
        <x:v>798000</x:v>
      </x:c>
      <x:c r="E38" s="6" t="n">
        <x:f>C38-D38</x:f>
        <x:v>-488500</x:v>
      </x:c>
      <x:c r="F38" s="6" t="n">
        <x:f>F37+E38</x:f>
        <x:v>-9121500</x:v>
      </x:c>
      <x:c r="G38" s="6" t="n">
        <x:v>309500</x:v>
      </x:c>
      <x:c r="H38" s="6" t="n">
        <x:v>798000</x:v>
      </x:c>
      <x:c r="I38" s="6" t="n">
        <x:v>123</x:v>
      </x:c>
      <x:c r="J38" s="6" t="n">
        <x:v>0</x:v>
      </x:c>
      <x:c r="K38" s="6" t="n">
        <x:v>0</x:v>
      </x:c>
      <x:c r="L38" s="6" t="n">
        <x:v>10</x:v>
      </x:c>
      <x:c r="M38" s="11" t="n">
        <x:v>0.8431349206349207</x:v>
      </x:c>
      <x:c r="N38" s="6" t="n">
        <x:v>562500</x:v>
      </x:c>
    </x:row>
    <x:row r="39" ht="24" customHeight="1">
      <x:c r="A39" s="2" t="str">
        <x:v>2026-10-13_Night</x:v>
      </x:c>
      <x:c r="B39" s="6" t="str">
        <x:v>ナイト</x:v>
      </x:c>
      <x:c r="C39" s="6" t="n">
        <x:v>86000</x:v>
      </x:c>
      <x:c r="D39" s="6" t="n">
        <x:v>176500</x:v>
      </x:c>
      <x:c r="E39" s="6" t="n">
        <x:f>C39-D39</x:f>
        <x:v>-90500</x:v>
      </x:c>
      <x:c r="F39" s="6" t="n">
        <x:f>F38+E39</x:f>
        <x:v>-9212000</x:v>
      </x:c>
      <x:c r="G39" s="6" t="n">
        <x:v>86000</x:v>
      </x:c>
      <x:c r="H39" s="6" t="n">
        <x:v>176500</x:v>
      </x:c>
      <x:c r="I39" s="6" t="n">
        <x:v>108</x:v>
      </x:c>
      <x:c r="J39" s="6" t="n">
        <x:v>0</x:v>
      </x:c>
      <x:c r="K39" s="6" t="n">
        <x:v>0</x:v>
      </x:c>
      <x:c r="L39" s="6" t="n">
        <x:v>9</x:v>
      </x:c>
      <x:c r="M39" s="11" t="n">
        <x:v>0.7997435897435897</x:v>
      </x:c>
      <x:c r="N39" s="6" t="n">
        <x:v>118000</x:v>
      </x:c>
    </x:row>
    <x:row r="40" ht="24" customHeight="1">
      <x:c r="A40" s="2" t="str">
        <x:v>2026-10-14_Day</x:v>
      </x:c>
      <x:c r="B40" s="6" t="str">
        <x:v>デイ</x:v>
      </x:c>
      <x:c r="C40" s="6" t="n">
        <x:v>185000</x:v>
      </x:c>
      <x:c r="D40" s="6" t="n">
        <x:v>454000</x:v>
      </x:c>
      <x:c r="E40" s="6" t="n">
        <x:f>C40-D40</x:f>
        <x:v>-269000</x:v>
      </x:c>
      <x:c r="F40" s="6" t="n">
        <x:f>F39+E40</x:f>
        <x:v>-9481000</x:v>
      </x:c>
      <x:c r="G40" s="6" t="n">
        <x:v>185000</x:v>
      </x:c>
      <x:c r="H40" s="6" t="n">
        <x:v>454000</x:v>
      </x:c>
      <x:c r="I40" s="6" t="n">
        <x:v>97</x:v>
      </x:c>
      <x:c r="J40" s="6" t="n">
        <x:v>0</x:v>
      </x:c>
      <x:c r="K40" s="6" t="n">
        <x:v>0</x:v>
      </x:c>
      <x:c r="L40" s="6" t="n">
        <x:v>10</x:v>
      </x:c>
      <x:c r="M40" s="11" t="n">
        <x:v>0.839047619047619</x:v>
      </x:c>
      <x:c r="N40" s="6" t="n">
        <x:v>291500</x:v>
      </x:c>
    </x:row>
    <x:row r="41" ht="24" customHeight="1">
      <x:c r="A41" s="2" t="str">
        <x:v>2026-10-14_Night</x:v>
      </x:c>
      <x:c r="B41" s="6" t="str">
        <x:v>ナイト</x:v>
      </x:c>
      <x:c r="C41" s="6" t="n">
        <x:v>332500</x:v>
      </x:c>
      <x:c r="D41" s="6" t="n">
        <x:v>444000</x:v>
      </x:c>
      <x:c r="E41" s="6" t="n">
        <x:f>C41-D41</x:f>
        <x:v>-111500</x:v>
      </x:c>
      <x:c r="F41" s="6" t="n">
        <x:f>F40+E41</x:f>
        <x:v>-9592500</x:v>
      </x:c>
      <x:c r="G41" s="6" t="n">
        <x:v>332500</x:v>
      </x:c>
      <x:c r="H41" s="6" t="n">
        <x:v>444000</x:v>
      </x:c>
      <x:c r="I41" s="6" t="n">
        <x:v>133</x:v>
      </x:c>
      <x:c r="J41" s="6" t="n">
        <x:v>0</x:v>
      </x:c>
      <x:c r="K41" s="6" t="n">
        <x:v>0</x:v>
      </x:c>
      <x:c r="L41" s="6" t="n">
        <x:v>10</x:v>
      </x:c>
      <x:c r="M41" s="11" t="n">
        <x:v>0.8513247863247864</x:v>
      </x:c>
      <x:c r="N41" s="6" t="n">
        <x:v>150000</x:v>
      </x:c>
    </x:row>
    <x:row r="42" ht="24" customHeight="1">
      <x:c r="A42" s="2" t="str">
        <x:v>2026-10-15_Day</x:v>
      </x:c>
      <x:c r="B42" s="6" t="str">
        <x:v>デイ</x:v>
      </x:c>
      <x:c r="C42" s="6" t="n">
        <x:v>836000</x:v>
      </x:c>
      <x:c r="D42" s="6" t="n">
        <x:v>935000</x:v>
      </x:c>
      <x:c r="E42" s="6" t="n">
        <x:f>C42-D42</x:f>
        <x:v>-99000</x:v>
      </x:c>
      <x:c r="F42" s="6" t="n">
        <x:f>F41+E42</x:f>
        <x:v>-9691500</x:v>
      </x:c>
      <x:c r="G42" s="6" t="n">
        <x:v>836000</x:v>
      </x:c>
      <x:c r="H42" s="6" t="n">
        <x:v>935000</x:v>
      </x:c>
      <x:c r="I42" s="6" t="n">
        <x:v>140</x:v>
      </x:c>
      <x:c r="J42" s="6" t="n">
        <x:v>0</x:v>
      </x:c>
      <x:c r="K42" s="6" t="n">
        <x:v>0</x:v>
      </x:c>
      <x:c r="L42" s="6" t="n">
        <x:v>10</x:v>
      </x:c>
      <x:c r="M42" s="11" t="n">
        <x:v>0.8080555555555555</x:v>
      </x:c>
      <x:c r="N42" s="6" t="n">
        <x:v>341000</x:v>
      </x:c>
    </x:row>
    <x:row r="43" ht="24" customHeight="1">
      <x:c r="A43" s="2" t="str">
        <x:v>2026-10-15_Night</x:v>
      </x:c>
      <x:c r="B43" s="6" t="str">
        <x:v>ナイト</x:v>
      </x:c>
      <x:c r="C43" s="6" t="n">
        <x:v>411500</x:v>
      </x:c>
      <x:c r="D43" s="6" t="n">
        <x:v>629000</x:v>
      </x:c>
      <x:c r="E43" s="6" t="n">
        <x:f>C43-D43</x:f>
        <x:v>-217500</x:v>
      </x:c>
      <x:c r="F43" s="6" t="n">
        <x:f>F42+E43</x:f>
        <x:v>-9909000</x:v>
      </x:c>
      <x:c r="G43" s="6" t="n">
        <x:v>411500</x:v>
      </x:c>
      <x:c r="H43" s="6" t="n">
        <x:v>629000</x:v>
      </x:c>
      <x:c r="I43" s="6" t="n">
        <x:v>158</x:v>
      </x:c>
      <x:c r="J43" s="6" t="n">
        <x:v>0</x:v>
      </x:c>
      <x:c r="K43" s="6" t="n">
        <x:v>0</x:v>
      </x:c>
      <x:c r="L43" s="6" t="n">
        <x:v>10</x:v>
      </x:c>
      <x:c r="M43" s="11" t="n">
        <x:v>0.7943376068376068</x:v>
      </x:c>
      <x:c r="N43" s="6" t="n">
        <x:v>342500</x:v>
      </x:c>
    </x:row>
    <x:row r="44" ht="24" customHeight="1">
      <x:c r="A44" s="2" t="str">
        <x:v>2026-10-16_Day</x:v>
      </x:c>
      <x:c r="B44" s="6" t="str">
        <x:v>デイ</x:v>
      </x:c>
      <x:c r="C44" s="6" t="n">
        <x:v>408500</x:v>
      </x:c>
      <x:c r="D44" s="6" t="n">
        <x:v>600500</x:v>
      </x:c>
      <x:c r="E44" s="6" t="n">
        <x:f>C44-D44</x:f>
        <x:v>-192000</x:v>
      </x:c>
      <x:c r="F44" s="6" t="n">
        <x:f>F43+E44</x:f>
        <x:v>-10101000</x:v>
      </x:c>
      <x:c r="G44" s="6" t="n">
        <x:v>408500</x:v>
      </x:c>
      <x:c r="H44" s="6" t="n">
        <x:v>600500</x:v>
      </x:c>
      <x:c r="I44" s="6" t="n">
        <x:v>109</x:v>
      </x:c>
      <x:c r="J44" s="6" t="n">
        <x:v>0</x:v>
      </x:c>
      <x:c r="K44" s="6" t="n">
        <x:v>0</x:v>
      </x:c>
      <x:c r="L44" s="6" t="n">
        <x:v>10</x:v>
      </x:c>
      <x:c r="M44" s="11" t="n">
        <x:v>0.848015873015873</x:v>
      </x:c>
      <x:c r="N44" s="6" t="n">
        <x:v>204500</x:v>
      </x:c>
    </x:row>
    <x:row r="45" ht="24" customHeight="1">
      <x:c r="A45" s="2" t="str">
        <x:v>2026-10-16_Night</x:v>
      </x:c>
      <x:c r="B45" s="6" t="str">
        <x:v>ナイト</x:v>
      </x:c>
      <x:c r="C45" s="6" t="n">
        <x:v>440000</x:v>
      </x:c>
      <x:c r="D45" s="6" t="n">
        <x:v>732500</x:v>
      </x:c>
      <x:c r="E45" s="6" t="n">
        <x:f>C45-D45</x:f>
        <x:v>-292500</x:v>
      </x:c>
      <x:c r="F45" s="6" t="n">
        <x:f>F44+E45</x:f>
        <x:v>-10393500</x:v>
      </x:c>
      <x:c r="G45" s="6" t="n">
        <x:v>440000</x:v>
      </x:c>
      <x:c r="H45" s="6" t="n">
        <x:v>732500</x:v>
      </x:c>
      <x:c r="I45" s="6" t="n">
        <x:v>177</x:v>
      </x:c>
      <x:c r="J45" s="6" t="n">
        <x:v>0</x:v>
      </x:c>
      <x:c r="K45" s="6" t="n">
        <x:v>0</x:v>
      </x:c>
      <x:c r="L45" s="6" t="n">
        <x:v>10</x:v>
      </x:c>
      <x:c r="M45" s="11" t="n">
        <x:v>0.8483547008547009</x:v>
      </x:c>
      <x:c r="N45" s="6" t="n">
        <x:v>296500</x:v>
      </x:c>
    </x:row>
    <x:row r="46" ht="24" customHeight="1">
      <x:c r="A46" s="2" t="str">
        <x:v>2026-10-19_Day</x:v>
      </x:c>
      <x:c r="B46" s="6" t="str">
        <x:v>デイ</x:v>
      </x:c>
      <x:c r="C46" s="6" t="n">
        <x:v>538500</x:v>
      </x:c>
      <x:c r="D46" s="6" t="n">
        <x:v>921000</x:v>
      </x:c>
      <x:c r="E46" s="6" t="n">
        <x:f>C46-D46</x:f>
        <x:v>-382500</x:v>
      </x:c>
      <x:c r="F46" s="6" t="n">
        <x:f>F45+E46</x:f>
        <x:v>-10776000</x:v>
      </x:c>
      <x:c r="G46" s="6" t="n">
        <x:v>538500</x:v>
      </x:c>
      <x:c r="H46" s="6" t="n">
        <x:v>921000</x:v>
      </x:c>
      <x:c r="I46" s="6" t="n">
        <x:v>126</x:v>
      </x:c>
      <x:c r="J46" s="6" t="n">
        <x:v>0</x:v>
      </x:c>
      <x:c r="K46" s="6" t="n">
        <x:v>0</x:v>
      </x:c>
      <x:c r="L46" s="6" t="n">
        <x:v>10</x:v>
      </x:c>
      <x:c r="M46" s="11" t="n">
        <x:v>0.824484126984127</x:v>
      </x:c>
      <x:c r="N46" s="6" t="n">
        <x:v>472500</x:v>
      </x:c>
    </x:row>
    <x:row r="47" ht="24" customHeight="1">
      <x:c r="A47" s="2" t="str">
        <x:v>2026-10-19_Night</x:v>
      </x:c>
      <x:c r="B47" s="6" t="str">
        <x:v>ナイト</x:v>
      </x:c>
      <x:c r="C47" s="6" t="n">
        <x:v>227000</x:v>
      </x:c>
      <x:c r="D47" s="6" t="n">
        <x:v>445000</x:v>
      </x:c>
      <x:c r="E47" s="6" t="n">
        <x:f>C47-D47</x:f>
        <x:v>-218000</x:v>
      </x:c>
      <x:c r="F47" s="6" t="n">
        <x:f>F46+E47</x:f>
        <x:v>-10994000</x:v>
      </x:c>
      <x:c r="G47" s="6" t="n">
        <x:v>227000</x:v>
      </x:c>
      <x:c r="H47" s="6" t="n">
        <x:v>445000</x:v>
      </x:c>
      <x:c r="I47" s="6" t="n">
        <x:v>150</x:v>
      </x:c>
      <x:c r="J47" s="6" t="n">
        <x:v>0</x:v>
      </x:c>
      <x:c r="K47" s="6" t="n">
        <x:v>0</x:v>
      </x:c>
      <x:c r="L47" s="6" t="n">
        <x:v>10</x:v>
      </x:c>
      <x:c r="M47" s="11" t="n">
        <x:v>0.8286752136752137</x:v>
      </x:c>
      <x:c r="N47" s="6" t="n">
        <x:v>226500</x:v>
      </x:c>
    </x:row>
    <x:row r="48" ht="24" customHeight="1">
      <x:c r="A48" s="2" t="str">
        <x:v>2026-10-20_Day</x:v>
      </x:c>
      <x:c r="B48" s="6" t="str">
        <x:v>デイ</x:v>
      </x:c>
      <x:c r="C48" s="6" t="n">
        <x:v>483500</x:v>
      </x:c>
      <x:c r="D48" s="6" t="n">
        <x:v>776000</x:v>
      </x:c>
      <x:c r="E48" s="6" t="n">
        <x:f>C48-D48</x:f>
        <x:v>-292500</x:v>
      </x:c>
      <x:c r="F48" s="6" t="n">
        <x:f>F47+E48</x:f>
        <x:v>-11286500</x:v>
      </x:c>
      <x:c r="G48" s="6" t="n">
        <x:v>483500</x:v>
      </x:c>
      <x:c r="H48" s="6" t="n">
        <x:v>776000</x:v>
      </x:c>
      <x:c r="I48" s="6" t="n">
        <x:v>117</x:v>
      </x:c>
      <x:c r="J48" s="6" t="n">
        <x:v>0</x:v>
      </x:c>
      <x:c r="K48" s="6" t="n">
        <x:v>0</x:v>
      </x:c>
      <x:c r="L48" s="6" t="n">
        <x:v>10</x:v>
      </x:c>
      <x:c r="M48" s="11" t="n">
        <x:v>0.8532936507936508</x:v>
      </x:c>
      <x:c r="N48" s="6" t="n">
        <x:v>321000</x:v>
      </x:c>
    </x:row>
    <x:row r="49" ht="24" customHeight="1">
      <x:c r="A49" s="2" t="str">
        <x:v>2026-10-20_Night</x:v>
      </x:c>
      <x:c r="B49" s="6" t="str">
        <x:v>ナイト</x:v>
      </x:c>
      <x:c r="C49" s="6" t="n">
        <x:v>418000</x:v>
      </x:c>
      <x:c r="D49" s="6" t="n">
        <x:v>613500</x:v>
      </x:c>
      <x:c r="E49" s="6" t="n">
        <x:f>C49-D49</x:f>
        <x:v>-195500</x:v>
      </x:c>
      <x:c r="F49" s="6" t="n">
        <x:f>F48+E49</x:f>
        <x:v>-11482000</x:v>
      </x:c>
      <x:c r="G49" s="6" t="n">
        <x:v>418000</x:v>
      </x:c>
      <x:c r="H49" s="6" t="n">
        <x:v>613500</x:v>
      </x:c>
      <x:c r="I49" s="6" t="n">
        <x:v>155</x:v>
      </x:c>
      <x:c r="J49" s="6" t="n">
        <x:v>0</x:v>
      </x:c>
      <x:c r="K49" s="6" t="n">
        <x:v>0</x:v>
      </x:c>
      <x:c r="L49" s="6" t="n">
        <x:v>10</x:v>
      </x:c>
      <x:c r="M49" s="11" t="n">
        <x:v>0.831025641025641</x:v>
      </x:c>
      <x:c r="N49" s="6" t="n">
        <x:v>263500</x:v>
      </x:c>
    </x:row>
    <x:row r="50" ht="24" customHeight="1">
      <x:c r="A50" s="2" t="str">
        <x:v>2026-10-21_Day</x:v>
      </x:c>
      <x:c r="B50" s="6" t="str">
        <x:v>デイ</x:v>
      </x:c>
      <x:c r="C50" s="6" t="n">
        <x:v>138000</x:v>
      </x:c>
      <x:c r="D50" s="6" t="n">
        <x:v>383000</x:v>
      </x:c>
      <x:c r="E50" s="6" t="n">
        <x:f>C50-D50</x:f>
        <x:v>-245000</x:v>
      </x:c>
      <x:c r="F50" s="6" t="n">
        <x:f>F49+E50</x:f>
        <x:v>-11727000</x:v>
      </x:c>
      <x:c r="G50" s="6" t="n">
        <x:v>138000</x:v>
      </x:c>
      <x:c r="H50" s="6" t="n">
        <x:v>383000</x:v>
      </x:c>
      <x:c r="I50" s="6" t="n">
        <x:v>98</x:v>
      </x:c>
      <x:c r="J50" s="6" t="n">
        <x:v>0</x:v>
      </x:c>
      <x:c r="K50" s="6" t="n">
        <x:v>0</x:v>
      </x:c>
      <x:c r="L50" s="6" t="n">
        <x:v>10</x:v>
      </x:c>
      <x:c r="M50" s="11" t="n">
        <x:v>0.8186904761904762</x:v>
      </x:c>
      <x:c r="N50" s="6" t="n">
        <x:v>274000</x:v>
      </x:c>
    </x:row>
    <x:row r="51" ht="24" customHeight="1">
      <x:c r="A51" s="2" t="str">
        <x:v>2026-10-21_Night</x:v>
      </x:c>
      <x:c r="B51" s="6" t="str">
        <x:v>ナイト</x:v>
      </x:c>
      <x:c r="C51" s="6" t="n">
        <x:v>275000</x:v>
      </x:c>
      <x:c r="D51" s="6" t="n">
        <x:v>443500</x:v>
      </x:c>
      <x:c r="E51" s="6" t="n">
        <x:f>C51-D51</x:f>
        <x:v>-168500</x:v>
      </x:c>
      <x:c r="F51" s="6" t="n">
        <x:f>F50+E51</x:f>
        <x:v>-11895500</x:v>
      </x:c>
      <x:c r="G51" s="6" t="n">
        <x:v>275000</x:v>
      </x:c>
      <x:c r="H51" s="6" t="n">
        <x:v>443500</x:v>
      </x:c>
      <x:c r="I51" s="6" t="n">
        <x:v>143</x:v>
      </x:c>
      <x:c r="J51" s="6" t="n">
        <x:v>0</x:v>
      </x:c>
      <x:c r="K51" s="6" t="n">
        <x:v>0</x:v>
      </x:c>
      <x:c r="L51" s="6" t="n">
        <x:v>10</x:v>
      </x:c>
      <x:c r="M51" s="11" t="n">
        <x:v>0.8209188034188034</x:v>
      </x:c>
      <x:c r="N51" s="6" t="n">
        <x:v>207000</x:v>
      </x:c>
    </x:row>
    <x:row r="52" ht="24" customHeight="1">
      <x:c r="A52" s="2" t="str">
        <x:v>2026-10-22_Day</x:v>
      </x:c>
      <x:c r="B52" s="6" t="str">
        <x:v>デイ</x:v>
      </x:c>
      <x:c r="C52" s="6" t="n">
        <x:v>475000</x:v>
      </x:c>
      <x:c r="D52" s="6" t="n">
        <x:v>639000</x:v>
      </x:c>
      <x:c r="E52" s="6" t="n">
        <x:f>C52-D52</x:f>
        <x:v>-164000</x:v>
      </x:c>
      <x:c r="F52" s="6" t="n">
        <x:f>F51+E52</x:f>
        <x:v>-12059500</x:v>
      </x:c>
      <x:c r="G52" s="6" t="n">
        <x:v>475000</x:v>
      </x:c>
      <x:c r="H52" s="6" t="n">
        <x:v>639000</x:v>
      </x:c>
      <x:c r="I52" s="6" t="n">
        <x:v>111</x:v>
      </x:c>
      <x:c r="J52" s="6" t="n">
        <x:v>0</x:v>
      </x:c>
      <x:c r="K52" s="6" t="n">
        <x:v>0</x:v>
      </x:c>
      <x:c r="L52" s="6" t="n">
        <x:v>10</x:v>
      </x:c>
      <x:c r="M52" s="11" t="n">
        <x:v>0.8547222222222223</x:v>
      </x:c>
      <x:c r="N52" s="6" t="n">
        <x:v>268500</x:v>
      </x:c>
    </x:row>
    <x:row r="53" ht="24" customHeight="1">
      <x:c r="A53" s="2" t="str">
        <x:v>2026-10-22_Night</x:v>
      </x:c>
      <x:c r="B53" s="6" t="str">
        <x:v>ナイト</x:v>
      </x:c>
      <x:c r="C53" s="6" t="n">
        <x:v>403500</x:v>
      </x:c>
      <x:c r="D53" s="6" t="n">
        <x:v>644000</x:v>
      </x:c>
      <x:c r="E53" s="6" t="n">
        <x:f>C53-D53</x:f>
        <x:v>-240500</x:v>
      </x:c>
      <x:c r="F53" s="6" t="n">
        <x:f>F52+E53</x:f>
        <x:v>-12300000</x:v>
      </x:c>
      <x:c r="G53" s="6" t="n">
        <x:v>403500</x:v>
      </x:c>
      <x:c r="H53" s="6" t="n">
        <x:v>644000</x:v>
      </x:c>
      <x:c r="I53" s="6" t="n">
        <x:v>163</x:v>
      </x:c>
      <x:c r="J53" s="6" t="n">
        <x:v>0</x:v>
      </x:c>
      <x:c r="K53" s="6" t="n">
        <x:v>0</x:v>
      </x:c>
      <x:c r="L53" s="6" t="n">
        <x:v>10</x:v>
      </x:c>
      <x:c r="M53" s="11" t="n">
        <x:v>0.8398717948717949</x:v>
      </x:c>
      <x:c r="N53" s="6" t="n">
        <x:v>285500</x:v>
      </x:c>
    </x:row>
    <x:row r="54" ht="24" customHeight="1">
      <x:c r="A54" s="2" t="str">
        <x:v>2026-10-23_Day</x:v>
      </x:c>
      <x:c r="B54" s="6" t="str">
        <x:v>デイ</x:v>
      </x:c>
      <x:c r="C54" s="6" t="n">
        <x:v>1183000</x:v>
      </x:c>
      <x:c r="D54" s="6" t="n">
        <x:v>1763500</x:v>
      </x:c>
      <x:c r="E54" s="6" t="n">
        <x:f>C54-D54</x:f>
        <x:v>-580500</x:v>
      </x:c>
      <x:c r="F54" s="6" t="n">
        <x:f>F53+E54</x:f>
        <x:v>-12880500</x:v>
      </x:c>
      <x:c r="G54" s="6" t="n">
        <x:v>1183000</x:v>
      </x:c>
      <x:c r="H54" s="6" t="n">
        <x:v>1763500</x:v>
      </x:c>
      <x:c r="I54" s="6" t="n">
        <x:v>168</x:v>
      </x:c>
      <x:c r="J54" s="6" t="n">
        <x:v>0</x:v>
      </x:c>
      <x:c r="K54" s="6" t="n">
        <x:v>0</x:v>
      </x:c>
      <x:c r="L54" s="6" t="n">
        <x:v>10</x:v>
      </x:c>
      <x:c r="M54" s="11" t="n">
        <x:v>0.8129761904761905</x:v>
      </x:c>
      <x:c r="N54" s="6" t="n">
        <x:v>632000</x:v>
      </x:c>
    </x:row>
    <x:row r="55" ht="24" customHeight="1">
      <x:c r="A55" s="2" t="str">
        <x:v>2026-10-23_Night</x:v>
      </x:c>
      <x:c r="B55" s="6" t="str">
        <x:v>ナイト</x:v>
      </x:c>
      <x:c r="C55" s="6" t="n">
        <x:v>356500</x:v>
      </x:c>
      <x:c r="D55" s="6" t="n">
        <x:v>799000</x:v>
      </x:c>
      <x:c r="E55" s="6" t="n">
        <x:f>C55-D55</x:f>
        <x:v>-442500</x:v>
      </x:c>
      <x:c r="F55" s="6" t="n">
        <x:f>F54+E55</x:f>
        <x:v>-13323000</x:v>
      </x:c>
      <x:c r="G55" s="6" t="n">
        <x:v>356500</x:v>
      </x:c>
      <x:c r="H55" s="6" t="n">
        <x:v>799000</x:v>
      </x:c>
      <x:c r="I55" s="6" t="n">
        <x:v>170</x:v>
      </x:c>
      <x:c r="J55" s="6" t="n">
        <x:v>0</x:v>
      </x:c>
      <x:c r="K55" s="6" t="n">
        <x:v>0</x:v>
      </x:c>
      <x:c r="L55" s="6" t="n">
        <x:v>10</x:v>
      </x:c>
      <x:c r="M55" s="11" t="n">
        <x:v>0.8322222222222222</x:v>
      </x:c>
      <x:c r="N55" s="6" t="n">
        <x:v>520000</x:v>
      </x:c>
    </x:row>
    <x:row r="56" ht="24" customHeight="1">
      <x:c r="A56" s="2" t="str">
        <x:v>2026-10-26_Day</x:v>
      </x:c>
      <x:c r="B56" s="6" t="str">
        <x:v>デイ</x:v>
      </x:c>
      <x:c r="C56" s="6" t="n">
        <x:v>464500</x:v>
      </x:c>
      <x:c r="D56" s="6" t="n">
        <x:v>1184000</x:v>
      </x:c>
      <x:c r="E56" s="6" t="n">
        <x:f>C56-D56</x:f>
        <x:v>-719500</x:v>
      </x:c>
      <x:c r="F56" s="6" t="n">
        <x:f>F55+E56</x:f>
        <x:v>-14042500</x:v>
      </x:c>
      <x:c r="G56" s="6" t="n">
        <x:v>464500</x:v>
      </x:c>
      <x:c r="H56" s="6" t="n">
        <x:v>1184000</x:v>
      </x:c>
      <x:c r="I56" s="6" t="n">
        <x:v>140</x:v>
      </x:c>
      <x:c r="J56" s="6" t="n">
        <x:v>0</x:v>
      </x:c>
      <x:c r="K56" s="6" t="n">
        <x:v>0</x:v>
      </x:c>
      <x:c r="L56" s="6" t="n">
        <x:v>10</x:v>
      </x:c>
      <x:c r="M56" s="11" t="n">
        <x:v>0.8381746031746031</x:v>
      </x:c>
      <x:c r="N56" s="6" t="n">
        <x:v>777500</x:v>
      </x:c>
    </x:row>
    <x:row r="57" ht="24" customHeight="1">
      <x:c r="A57" s="15" t="str">
        <x:v>累計／平均／最大</x:v>
      </x:c>
      <x:c r="B57" s="16"/>
      <x:c r="C57" s="16" t="n">
        <x:f>SUM(C6:C56)</x:f>
        <x:v>15705500</x:v>
      </x:c>
      <x:c r="D57" s="16" t="n">
        <x:f>SUM(D6:D56)</x:f>
        <x:v>29748000</x:v>
      </x:c>
      <x:c r="E57" s="16" t="n">
        <x:f>C57-D57</x:f>
        <x:v>-14042500</x:v>
      </x:c>
      <x:c r="F57" s="16" t="n">
        <x:f>F56</x:f>
        <x:v>-14042500</x:v>
      </x:c>
      <x:c r="G57" s="16" t="n">
        <x:f>SUM(G6:G56)</x:f>
        <x:v>15705500</x:v>
      </x:c>
      <x:c r="H57" s="16" t="n">
        <x:f>SUM(H6:H56)</x:f>
        <x:v>29748000</x:v>
      </x:c>
      <x:c r="I57" s="16" t="n">
        <x:f>SUM(I6:I56)</x:f>
        <x:v>6353</x:v>
      </x:c>
      <x:c r="J57" s="16" t="n">
        <x:f>SUM(J6:J56)</x:f>
        <x:v>0</x:v>
      </x:c>
      <x:c r="K57" s="16" t="n">
        <x:f>SUM(K6:K56)</x:f>
        <x:v>0</x:v>
      </x:c>
      <x:c r="L57" s="16" t="n">
        <x:f>MAX(L6:L56)</x:f>
        <x:v>10</x:v>
      </x:c>
      <x:c r="M57" s="17" t="n">
        <x:f>AVERAGE(M6:M56)</x:f>
        <x:v>0.823078958078958</x:v>
      </x:c>
      <x:c r="N57" s="16" t="n">
        <x:f>MAX(N6:N56)</x:f>
        <x:v>777500</x:v>
      </x:c>
    </x:row>
  </x:sheetData>
  <x:conditionalFormatting sqref="E6:F56">
    <x:cfRule type="cellIs" dxfId="55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1e7261bbd864c90"/>
  </x:tableParts>
</x:worksheet>
</file>

<file path=xl/worksheets/sheet5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1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4" customHeight="1">
      <x:c r="A1" s="3" t="str">
        <x:v>TOPIX M15　各セッションの利益・損失・収支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A2" s="4" t="str">
        <x:v>2026/09/21〜10/26デイ・51完了場。日経mini／TOPIXmini各上限10枚・手数料0。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4" customHeight="1">
      <x:c r="A3" s="4" t="str">
        <x:v>300秒の時間加重平均を60秒前と比較。入口だけ傾き比例枚数、利益追尾＋傾き反転・増勢後の半減で返済。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4" customHeight="1">
      <x:c r="A4" s="4" t="str">
        <x:v>利益・損失＝FIFO返済配賦別。親＝初回から全返済まで。ラージ気配による模型で、mini実約定の検証ではありません。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42" customHeight="1">
      <x:c r="A5" s="10" t="str">
        <x:v>セッション</x:v>
      </x:c>
      <x:c r="B5" s="10" t="str">
        <x:v>区分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親利益（円）</x:v>
      </x:c>
      <x:c r="H5" s="10" t="str">
        <x:v>親損失（円）</x:v>
      </x:c>
      <x:c r="I5" s="10" t="str">
        <x:v>初回件数</x:v>
      </x:c>
      <x:c r="J5" s="10" t="str">
        <x:v>追加件数</x:v>
      </x:c>
      <x:c r="K5" s="10" t="str">
        <x:v>縮小件数</x:v>
      </x:c>
      <x:c r="L5" s="10" t="str">
        <x:v>最大保有枚数</x:v>
      </x:c>
      <x:c r="M5" s="10" t="str">
        <x:v>保有時間率</x:v>
      </x:c>
      <x:c r="N5" s="10" t="str">
        <x:v>時価最大DD（円）</x:v>
      </x:c>
    </x:row>
    <x:row r="6" ht="24" customHeight="1">
      <x:c r="A6" s="2" t="str">
        <x:v>2026-09-21_Day</x:v>
      </x:c>
      <x:c r="B6" s="6" t="str">
        <x:v>デイ</x:v>
      </x:c>
      <x:c r="C6" s="6" t="n">
        <x:v>156000</x:v>
      </x:c>
      <x:c r="D6" s="6" t="n">
        <x:v>391500</x:v>
      </x:c>
      <x:c r="E6" s="6" t="n">
        <x:f>C6-D6</x:f>
        <x:v>-235500</x:v>
      </x:c>
      <x:c r="F6" s="6" t="n">
        <x:f>E6</x:f>
        <x:v>-235500</x:v>
      </x:c>
      <x:c r="G6" s="6" t="n">
        <x:v>156000</x:v>
      </x:c>
      <x:c r="H6" s="6" t="n">
        <x:v>391500</x:v>
      </x:c>
      <x:c r="I6" s="6" t="n">
        <x:v>71</x:v>
      </x:c>
      <x:c r="J6" s="6" t="n">
        <x:v>0</x:v>
      </x:c>
      <x:c r="K6" s="6" t="n">
        <x:v>0</x:v>
      </x:c>
      <x:c r="L6" s="6" t="n">
        <x:v>10</x:v>
      </x:c>
      <x:c r="M6" s="11" t="n">
        <x:v>0.6819444444444445</x:v>
      </x:c>
      <x:c r="N6" s="6" t="n">
        <x:v>274000</x:v>
      </x:c>
    </x:row>
    <x:row r="7" ht="24" customHeight="1">
      <x:c r="A7" s="2" t="str">
        <x:v>2026-09-21_Night</x:v>
      </x:c>
      <x:c r="B7" s="6" t="str">
        <x:v>ナイト</x:v>
      </x:c>
      <x:c r="C7" s="6" t="n">
        <x:v>65500</x:v>
      </x:c>
      <x:c r="D7" s="6" t="n">
        <x:v>249500</x:v>
      </x:c>
      <x:c r="E7" s="6" t="n">
        <x:f>C7-D7</x:f>
        <x:v>-184000</x:v>
      </x:c>
      <x:c r="F7" s="6" t="n">
        <x:f>F6+E7</x:f>
        <x:v>-419500</x:v>
      </x:c>
      <x:c r="G7" s="6" t="n">
        <x:v>65500</x:v>
      </x:c>
      <x:c r="H7" s="6" t="n">
        <x:v>249500</x:v>
      </x:c>
      <x:c r="I7" s="6" t="n">
        <x:v>129</x:v>
      </x:c>
      <x:c r="J7" s="6" t="n">
        <x:v>0</x:v>
      </x:c>
      <x:c r="K7" s="6" t="n">
        <x:v>0</x:v>
      </x:c>
      <x:c r="L7" s="6" t="n">
        <x:v>10</x:v>
      </x:c>
      <x:c r="M7" s="11" t="n">
        <x:v>0.7131623931623932</x:v>
      </x:c>
      <x:c r="N7" s="6" t="n">
        <x:v>218500</x:v>
      </x:c>
    </x:row>
    <x:row r="8" ht="24" customHeight="1">
      <x:c r="A8" s="2" t="str">
        <x:v>2026-09-22_Day</x:v>
      </x:c>
      <x:c r="B8" s="6" t="str">
        <x:v>デイ</x:v>
      </x:c>
      <x:c r="C8" s="6" t="n">
        <x:v>108500</x:v>
      </x:c>
      <x:c r="D8" s="6" t="n">
        <x:v>330000</x:v>
      </x:c>
      <x:c r="E8" s="6" t="n">
        <x:f>C8-D8</x:f>
        <x:v>-221500</x:v>
      </x:c>
      <x:c r="F8" s="6" t="n">
        <x:f>F7+E8</x:f>
        <x:v>-641000</x:v>
      </x:c>
      <x:c r="G8" s="6" t="n">
        <x:v>108500</x:v>
      </x:c>
      <x:c r="H8" s="6" t="n">
        <x:v>330000</x:v>
      </x:c>
      <x:c r="I8" s="6" t="n">
        <x:v>99</x:v>
      </x:c>
      <x:c r="J8" s="6" t="n">
        <x:v>0</x:v>
      </x:c>
      <x:c r="K8" s="6" t="n">
        <x:v>0</x:v>
      </x:c>
      <x:c r="L8" s="6" t="n">
        <x:v>10</x:v>
      </x:c>
      <x:c r="M8" s="11" t="n">
        <x:v>0.7268650793650794</x:v>
      </x:c>
      <x:c r="N8" s="6" t="n">
        <x:v>241000</x:v>
      </x:c>
    </x:row>
    <x:row r="9" ht="24" customHeight="1">
      <x:c r="A9" s="2" t="str">
        <x:v>2026-09-22_Night</x:v>
      </x:c>
      <x:c r="B9" s="6" t="str">
        <x:v>ナイト</x:v>
      </x:c>
      <x:c r="C9" s="6" t="n">
        <x:v>275000</x:v>
      </x:c>
      <x:c r="D9" s="6" t="n">
        <x:v>646000</x:v>
      </x:c>
      <x:c r="E9" s="6" t="n">
        <x:f>C9-D9</x:f>
        <x:v>-371000</x:v>
      </x:c>
      <x:c r="F9" s="6" t="n">
        <x:f>F8+E9</x:f>
        <x:v>-1012000</x:v>
      </x:c>
      <x:c r="G9" s="6" t="n">
        <x:v>275000</x:v>
      </x:c>
      <x:c r="H9" s="6" t="n">
        <x:v>646000</x:v>
      </x:c>
      <x:c r="I9" s="6" t="n">
        <x:v>162</x:v>
      </x:c>
      <x:c r="J9" s="6" t="n">
        <x:v>0</x:v>
      </x:c>
      <x:c r="K9" s="6" t="n">
        <x:v>0</x:v>
      </x:c>
      <x:c r="L9" s="6" t="n">
        <x:v>10</x:v>
      </x:c>
      <x:c r="M9" s="11" t="n">
        <x:v>0.7991880341880342</x:v>
      </x:c>
      <x:c r="N9" s="6" t="n">
        <x:v>379500</x:v>
      </x:c>
    </x:row>
    <x:row r="10" ht="24" customHeight="1">
      <x:c r="A10" s="2" t="str">
        <x:v>2026-09-23_Day</x:v>
      </x:c>
      <x:c r="B10" s="6" t="str">
        <x:v>デイ</x:v>
      </x:c>
      <x:c r="C10" s="6" t="n">
        <x:v>228500</x:v>
      </x:c>
      <x:c r="D10" s="6" t="n">
        <x:v>323500</x:v>
      </x:c>
      <x:c r="E10" s="6" t="n">
        <x:f>C10-D10</x:f>
        <x:v>-95000</x:v>
      </x:c>
      <x:c r="F10" s="6" t="n">
        <x:f>F9+E10</x:f>
        <x:v>-1107000</x:v>
      </x:c>
      <x:c r="G10" s="6" t="n">
        <x:v>228500</x:v>
      </x:c>
      <x:c r="H10" s="6" t="n">
        <x:v>323500</x:v>
      </x:c>
      <x:c r="I10" s="6" t="n">
        <x:v>75</x:v>
      </x:c>
      <x:c r="J10" s="6" t="n">
        <x:v>0</x:v>
      </x:c>
      <x:c r="K10" s="6" t="n">
        <x:v>0</x:v>
      </x:c>
      <x:c r="L10" s="6" t="n">
        <x:v>10</x:v>
      </x:c>
      <x:c r="M10" s="11" t="n">
        <x:v>0.7897222222222222</x:v>
      </x:c>
      <x:c r="N10" s="6" t="n">
        <x:v>186500</x:v>
      </x:c>
    </x:row>
    <x:row r="11" ht="24" customHeight="1">
      <x:c r="A11" s="2" t="str">
        <x:v>2026-09-23_Night</x:v>
      </x:c>
      <x:c r="B11" s="6" t="str">
        <x:v>ナイト</x:v>
      </x:c>
      <x:c r="C11" s="6" t="n">
        <x:v>113000</x:v>
      </x:c>
      <x:c r="D11" s="6" t="n">
        <x:v>390000</x:v>
      </x:c>
      <x:c r="E11" s="6" t="n">
        <x:f>C11-D11</x:f>
        <x:v>-277000</x:v>
      </x:c>
      <x:c r="F11" s="6" t="n">
        <x:f>F10+E11</x:f>
        <x:v>-1384000</x:v>
      </x:c>
      <x:c r="G11" s="6" t="n">
        <x:v>113000</x:v>
      </x:c>
      <x:c r="H11" s="6" t="n">
        <x:v>390000</x:v>
      </x:c>
      <x:c r="I11" s="6" t="n">
        <x:v>133</x:v>
      </x:c>
      <x:c r="J11" s="6" t="n">
        <x:v>0</x:v>
      </x:c>
      <x:c r="K11" s="6" t="n">
        <x:v>0</x:v>
      </x:c>
      <x:c r="L11" s="6" t="n">
        <x:v>10</x:v>
      </x:c>
      <x:c r="M11" s="11" t="n">
        <x:v>0.801559829059829</x:v>
      </x:c>
      <x:c r="N11" s="6" t="n">
        <x:v>278000</x:v>
      </x:c>
    </x:row>
    <x:row r="12" ht="24" customHeight="1">
      <x:c r="A12" s="2" t="str">
        <x:v>2026-09-24_Day</x:v>
      </x:c>
      <x:c r="B12" s="6" t="str">
        <x:v>デイ</x:v>
      </x:c>
      <x:c r="C12" s="6" t="n">
        <x:v>484500</x:v>
      </x:c>
      <x:c r="D12" s="6" t="n">
        <x:v>1041000</x:v>
      </x:c>
      <x:c r="E12" s="6" t="n">
        <x:f>C12-D12</x:f>
        <x:v>-556500</x:v>
      </x:c>
      <x:c r="F12" s="6" t="n">
        <x:f>F11+E12</x:f>
        <x:v>-1940500</x:v>
      </x:c>
      <x:c r="G12" s="6" t="n">
        <x:v>484500</x:v>
      </x:c>
      <x:c r="H12" s="6" t="n">
        <x:v>1041000</x:v>
      </x:c>
      <x:c r="I12" s="6" t="n">
        <x:v>149</x:v>
      </x:c>
      <x:c r="J12" s="6" t="n">
        <x:v>0</x:v>
      </x:c>
      <x:c r="K12" s="6" t="n">
        <x:v>0</x:v>
      </x:c>
      <x:c r="L12" s="6" t="n">
        <x:v>10</x:v>
      </x:c>
      <x:c r="M12" s="11" t="n">
        <x:v>0.8050793650793651</x:v>
      </x:c>
      <x:c r="N12" s="6" t="n">
        <x:v>621500</x:v>
      </x:c>
    </x:row>
    <x:row r="13" ht="24" customHeight="1">
      <x:c r="A13" s="2" t="str">
        <x:v>2026-09-24_Night</x:v>
      </x:c>
      <x:c r="B13" s="6" t="str">
        <x:v>ナイト</x:v>
      </x:c>
      <x:c r="C13" s="6" t="n">
        <x:v>315500</x:v>
      </x:c>
      <x:c r="D13" s="6" t="n">
        <x:v>871000</x:v>
      </x:c>
      <x:c r="E13" s="6" t="n">
        <x:f>C13-D13</x:f>
        <x:v>-555500</x:v>
      </x:c>
      <x:c r="F13" s="6" t="n">
        <x:f>F12+E13</x:f>
        <x:v>-2496000</x:v>
      </x:c>
      <x:c r="G13" s="6" t="n">
        <x:v>315500</x:v>
      </x:c>
      <x:c r="H13" s="6" t="n">
        <x:v>871000</x:v>
      </x:c>
      <x:c r="I13" s="6" t="n">
        <x:v>204</x:v>
      </x:c>
      <x:c r="J13" s="6" t="n">
        <x:v>0</x:v>
      </x:c>
      <x:c r="K13" s="6" t="n">
        <x:v>0</x:v>
      </x:c>
      <x:c r="L13" s="6" t="n">
        <x:v>10</x:v>
      </x:c>
      <x:c r="M13" s="11" t="n">
        <x:v>0.8132905982905982</x:v>
      </x:c>
      <x:c r="N13" s="6" t="n">
        <x:v>648000</x:v>
      </x:c>
    </x:row>
    <x:row r="14" ht="24" customHeight="1">
      <x:c r="A14" s="2" t="str">
        <x:v>2026-09-25_Day</x:v>
      </x:c>
      <x:c r="B14" s="6" t="str">
        <x:v>デイ</x:v>
      </x:c>
      <x:c r="C14" s="6" t="n">
        <x:v>338000</x:v>
      </x:c>
      <x:c r="D14" s="6" t="n">
        <x:v>617500</x:v>
      </x:c>
      <x:c r="E14" s="6" t="n">
        <x:f>C14-D14</x:f>
        <x:v>-279500</x:v>
      </x:c>
      <x:c r="F14" s="6" t="n">
        <x:f>F13+E14</x:f>
        <x:v>-2775500</x:v>
      </x:c>
      <x:c r="G14" s="6" t="n">
        <x:v>338000</x:v>
      </x:c>
      <x:c r="H14" s="6" t="n">
        <x:v>617500</x:v>
      </x:c>
      <x:c r="I14" s="6" t="n">
        <x:v>142</x:v>
      </x:c>
      <x:c r="J14" s="6" t="n">
        <x:v>0</x:v>
      </x:c>
      <x:c r="K14" s="6" t="n">
        <x:v>0</x:v>
      </x:c>
      <x:c r="L14" s="6" t="n">
        <x:v>10</x:v>
      </x:c>
      <x:c r="M14" s="11" t="n">
        <x:v>0.8079761904761905</x:v>
      </x:c>
      <x:c r="N14" s="6" t="n">
        <x:v>310500</x:v>
      </x:c>
    </x:row>
    <x:row r="15" ht="24" customHeight="1">
      <x:c r="A15" s="2" t="str">
        <x:v>2026-09-25_Night</x:v>
      </x:c>
      <x:c r="B15" s="6" t="str">
        <x:v>ナイト</x:v>
      </x:c>
      <x:c r="C15" s="6" t="n">
        <x:v>299500</x:v>
      </x:c>
      <x:c r="D15" s="6" t="n">
        <x:v>485000</x:v>
      </x:c>
      <x:c r="E15" s="6" t="n">
        <x:f>C15-D15</x:f>
        <x:v>-185500</x:v>
      </x:c>
      <x:c r="F15" s="6" t="n">
        <x:f>F14+E15</x:f>
        <x:v>-2961000</x:v>
      </x:c>
      <x:c r="G15" s="6" t="n">
        <x:v>299500</x:v>
      </x:c>
      <x:c r="H15" s="6" t="n">
        <x:v>485000</x:v>
      </x:c>
      <x:c r="I15" s="6" t="n">
        <x:v>168</x:v>
      </x:c>
      <x:c r="J15" s="6" t="n">
        <x:v>0</x:v>
      </x:c>
      <x:c r="K15" s="6" t="n">
        <x:v>0</x:v>
      </x:c>
      <x:c r="L15" s="6" t="n">
        <x:v>10</x:v>
      </x:c>
      <x:c r="M15" s="11" t="n">
        <x:v>0.7646794871794872</x:v>
      </x:c>
      <x:c r="N15" s="6" t="n">
        <x:v>300500</x:v>
      </x:c>
    </x:row>
    <x:row r="16" ht="24" customHeight="1">
      <x:c r="A16" s="2" t="str">
        <x:v>2026-09-28_Day</x:v>
      </x:c>
      <x:c r="B16" s="6" t="str">
        <x:v>デイ</x:v>
      </x:c>
      <x:c r="C16" s="6" t="n">
        <x:v>273000</x:v>
      </x:c>
      <x:c r="D16" s="6" t="n">
        <x:v>597500</x:v>
      </x:c>
      <x:c r="E16" s="6" t="n">
        <x:f>C16-D16</x:f>
        <x:v>-324500</x:v>
      </x:c>
      <x:c r="F16" s="6" t="n">
        <x:f>F15+E16</x:f>
        <x:v>-3285500</x:v>
      </x:c>
      <x:c r="G16" s="6" t="n">
        <x:v>273000</x:v>
      </x:c>
      <x:c r="H16" s="6" t="n">
        <x:v>597500</x:v>
      </x:c>
      <x:c r="I16" s="6" t="n">
        <x:v>136</x:v>
      </x:c>
      <x:c r="J16" s="6" t="n">
        <x:v>0</x:v>
      </x:c>
      <x:c r="K16" s="6" t="n">
        <x:v>0</x:v>
      </x:c>
      <x:c r="L16" s="6" t="n">
        <x:v>10</x:v>
      </x:c>
      <x:c r="M16" s="11" t="n">
        <x:v>0.7938095238095239</x:v>
      </x:c>
      <x:c r="N16" s="6" t="n">
        <x:v>382500</x:v>
      </x:c>
    </x:row>
    <x:row r="17" ht="24" customHeight="1">
      <x:c r="A17" s="2" t="str">
        <x:v>2026-09-28_Night</x:v>
      </x:c>
      <x:c r="B17" s="6" t="str">
        <x:v>ナイト</x:v>
      </x:c>
      <x:c r="C17" s="6" t="n">
        <x:v>257500</x:v>
      </x:c>
      <x:c r="D17" s="6" t="n">
        <x:v>775500</x:v>
      </x:c>
      <x:c r="E17" s="6" t="n">
        <x:f>C17-D17</x:f>
        <x:v>-518000</x:v>
      </x:c>
      <x:c r="F17" s="6" t="n">
        <x:f>F16+E17</x:f>
        <x:v>-3803500</x:v>
      </x:c>
      <x:c r="G17" s="6" t="n">
        <x:v>257500</x:v>
      </x:c>
      <x:c r="H17" s="6" t="n">
        <x:v>775500</x:v>
      </x:c>
      <x:c r="I17" s="6" t="n">
        <x:v>202</x:v>
      </x:c>
      <x:c r="J17" s="6" t="n">
        <x:v>0</x:v>
      </x:c>
      <x:c r="K17" s="6" t="n">
        <x:v>0</x:v>
      </x:c>
      <x:c r="L17" s="6" t="n">
        <x:v>10</x:v>
      </x:c>
      <x:c r="M17" s="11" t="n">
        <x:v>0.7896794871794872</x:v>
      </x:c>
      <x:c r="N17" s="6" t="n">
        <x:v>521000</x:v>
      </x:c>
    </x:row>
    <x:row r="18" ht="24" customHeight="1">
      <x:c r="A18" s="2" t="str">
        <x:v>2026-09-29_Day</x:v>
      </x:c>
      <x:c r="B18" s="6" t="str">
        <x:v>デイ</x:v>
      </x:c>
      <x:c r="C18" s="6" t="n">
        <x:v>401000</x:v>
      </x:c>
      <x:c r="D18" s="6" t="n">
        <x:v>864500</x:v>
      </x:c>
      <x:c r="E18" s="6" t="n">
        <x:f>C18-D18</x:f>
        <x:v>-463500</x:v>
      </x:c>
      <x:c r="F18" s="6" t="n">
        <x:f>F17+E18</x:f>
        <x:v>-4267000</x:v>
      </x:c>
      <x:c r="G18" s="6" t="n">
        <x:v>401000</x:v>
      </x:c>
      <x:c r="H18" s="6" t="n">
        <x:v>864500</x:v>
      </x:c>
      <x:c r="I18" s="6" t="n">
        <x:v>153</x:v>
      </x:c>
      <x:c r="J18" s="6" t="n">
        <x:v>0</x:v>
      </x:c>
      <x:c r="K18" s="6" t="n">
        <x:v>0</x:v>
      </x:c>
      <x:c r="L18" s="6" t="n">
        <x:v>10</x:v>
      </x:c>
      <x:c r="M18" s="11" t="n">
        <x:v>0.8121428571428572</x:v>
      </x:c>
      <x:c r="N18" s="6" t="n">
        <x:v>483500</x:v>
      </x:c>
    </x:row>
    <x:row r="19" ht="24" customHeight="1">
      <x:c r="A19" s="2" t="str">
        <x:v>2026-09-29_Night</x:v>
      </x:c>
      <x:c r="B19" s="6" t="str">
        <x:v>ナイト</x:v>
      </x:c>
      <x:c r="C19" s="6" t="n">
        <x:v>169500</x:v>
      </x:c>
      <x:c r="D19" s="6" t="n">
        <x:v>468500</x:v>
      </x:c>
      <x:c r="E19" s="6" t="n">
        <x:f>C19-D19</x:f>
        <x:v>-299000</x:v>
      </x:c>
      <x:c r="F19" s="6" t="n">
        <x:f>F18+E19</x:f>
        <x:v>-4566000</x:v>
      </x:c>
      <x:c r="G19" s="6" t="n">
        <x:v>169500</x:v>
      </x:c>
      <x:c r="H19" s="6" t="n">
        <x:v>468500</x:v>
      </x:c>
      <x:c r="I19" s="6" t="n">
        <x:v>182</x:v>
      </x:c>
      <x:c r="J19" s="6" t="n">
        <x:v>0</x:v>
      </x:c>
      <x:c r="K19" s="6" t="n">
        <x:v>0</x:v>
      </x:c>
      <x:c r="L19" s="6" t="n">
        <x:v>10</x:v>
      </x:c>
      <x:c r="M19" s="11" t="n">
        <x:v>0.8163888888888889</x:v>
      </x:c>
      <x:c r="N19" s="6" t="n">
        <x:v>331500</x:v>
      </x:c>
    </x:row>
    <x:row r="20" ht="24" customHeight="1">
      <x:c r="A20" s="2" t="str">
        <x:v>2026-09-30_Day</x:v>
      </x:c>
      <x:c r="B20" s="6" t="str">
        <x:v>デイ</x:v>
      </x:c>
      <x:c r="C20" s="6" t="n">
        <x:v>390000</x:v>
      </x:c>
      <x:c r="D20" s="6" t="n">
        <x:v>614500</x:v>
      </x:c>
      <x:c r="E20" s="6" t="n">
        <x:f>C20-D20</x:f>
        <x:v>-224500</x:v>
      </x:c>
      <x:c r="F20" s="6" t="n">
        <x:f>F19+E20</x:f>
        <x:v>-4790500</x:v>
      </x:c>
      <x:c r="G20" s="6" t="n">
        <x:v>390000</x:v>
      </x:c>
      <x:c r="H20" s="6" t="n">
        <x:v>614500</x:v>
      </x:c>
      <x:c r="I20" s="6" t="n">
        <x:v>132</x:v>
      </x:c>
      <x:c r="J20" s="6" t="n">
        <x:v>0</x:v>
      </x:c>
      <x:c r="K20" s="6" t="n">
        <x:v>0</x:v>
      </x:c>
      <x:c r="L20" s="6" t="n">
        <x:v>10</x:v>
      </x:c>
      <x:c r="M20" s="11" t="n">
        <x:v>0.8263492063492064</x:v>
      </x:c>
      <x:c r="N20" s="6" t="n">
        <x:v>297500</x:v>
      </x:c>
    </x:row>
    <x:row r="21" ht="24" customHeight="1">
      <x:c r="A21" s="2" t="str">
        <x:v>2026-09-30_Night</x:v>
      </x:c>
      <x:c r="B21" s="6" t="str">
        <x:v>ナイト</x:v>
      </x:c>
      <x:c r="C21" s="6" t="n">
        <x:v>308000</x:v>
      </x:c>
      <x:c r="D21" s="6" t="n">
        <x:v>877000</x:v>
      </x:c>
      <x:c r="E21" s="6" t="n">
        <x:f>C21-D21</x:f>
        <x:v>-569000</x:v>
      </x:c>
      <x:c r="F21" s="6" t="n">
        <x:f>F20+E21</x:f>
        <x:v>-5359500</x:v>
      </x:c>
      <x:c r="G21" s="6" t="n">
        <x:v>308000</x:v>
      </x:c>
      <x:c r="H21" s="6" t="n">
        <x:v>877000</x:v>
      </x:c>
      <x:c r="I21" s="6" t="n">
        <x:v>206</x:v>
      </x:c>
      <x:c r="J21" s="6" t="n">
        <x:v>0</x:v>
      </x:c>
      <x:c r="K21" s="6" t="n">
        <x:v>0</x:v>
      </x:c>
      <x:c r="L21" s="6" t="n">
        <x:v>10</x:v>
      </x:c>
      <x:c r="M21" s="11" t="n">
        <x:v>0.7939957264957265</x:v>
      </x:c>
      <x:c r="N21" s="6" t="n">
        <x:v>589000</x:v>
      </x:c>
    </x:row>
    <x:row r="22" ht="24" customHeight="1">
      <x:c r="A22" s="2" t="str">
        <x:v>2026-10-01_Day</x:v>
      </x:c>
      <x:c r="B22" s="6" t="str">
        <x:v>デイ</x:v>
      </x:c>
      <x:c r="C22" s="6" t="n">
        <x:v>297500</x:v>
      </x:c>
      <x:c r="D22" s="6" t="n">
        <x:v>762500</x:v>
      </x:c>
      <x:c r="E22" s="6" t="n">
        <x:f>C22-D22</x:f>
        <x:v>-465000</x:v>
      </x:c>
      <x:c r="F22" s="6" t="n">
        <x:f>F21+E22</x:f>
        <x:v>-5824500</x:v>
      </x:c>
      <x:c r="G22" s="6" t="n">
        <x:v>297500</x:v>
      </x:c>
      <x:c r="H22" s="6" t="n">
        <x:v>762500</x:v>
      </x:c>
      <x:c r="I22" s="6" t="n">
        <x:v>127</x:v>
      </x:c>
      <x:c r="J22" s="6" t="n">
        <x:v>0</x:v>
      </x:c>
      <x:c r="K22" s="6" t="n">
        <x:v>0</x:v>
      </x:c>
      <x:c r="L22" s="6" t="n">
        <x:v>10</x:v>
      </x:c>
      <x:c r="M22" s="11" t="n">
        <x:v>0.8092857142857143</x:v>
      </x:c>
      <x:c r="N22" s="6" t="n">
        <x:v>472500</x:v>
      </x:c>
    </x:row>
    <x:row r="23" ht="24" customHeight="1">
      <x:c r="A23" s="2" t="str">
        <x:v>2026-10-01_Night</x:v>
      </x:c>
      <x:c r="B23" s="6" t="str">
        <x:v>ナイト</x:v>
      </x:c>
      <x:c r="C23" s="6" t="n">
        <x:v>350500</x:v>
      </x:c>
      <x:c r="D23" s="6" t="n">
        <x:v>724500</x:v>
      </x:c>
      <x:c r="E23" s="6" t="n">
        <x:f>C23-D23</x:f>
        <x:v>-374000</x:v>
      </x:c>
      <x:c r="F23" s="6" t="n">
        <x:f>F22+E23</x:f>
        <x:v>-6198500</x:v>
      </x:c>
      <x:c r="G23" s="6" t="n">
        <x:v>350500</x:v>
      </x:c>
      <x:c r="H23" s="6" t="n">
        <x:v>724500</x:v>
      </x:c>
      <x:c r="I23" s="6" t="n">
        <x:v>192</x:v>
      </x:c>
      <x:c r="J23" s="6" t="n">
        <x:v>0</x:v>
      </x:c>
      <x:c r="K23" s="6" t="n">
        <x:v>0</x:v>
      </x:c>
      <x:c r="L23" s="6" t="n">
        <x:v>10</x:v>
      </x:c>
      <x:c r="M23" s="11" t="n">
        <x:v>0.8207264957264957</x:v>
      </x:c>
      <x:c r="N23" s="6" t="n">
        <x:v>389000</x:v>
      </x:c>
    </x:row>
    <x:row r="24" ht="24" customHeight="1">
      <x:c r="A24" s="2" t="str">
        <x:v>2026-10-02_Day</x:v>
      </x:c>
      <x:c r="B24" s="6" t="str">
        <x:v>デイ</x:v>
      </x:c>
      <x:c r="C24" s="6" t="n">
        <x:v>254000</x:v>
      </x:c>
      <x:c r="D24" s="6" t="n">
        <x:v>540000</x:v>
      </x:c>
      <x:c r="E24" s="6" t="n">
        <x:f>C24-D24</x:f>
        <x:v>-286000</x:v>
      </x:c>
      <x:c r="F24" s="6" t="n">
        <x:f>F23+E24</x:f>
        <x:v>-6484500</x:v>
      </x:c>
      <x:c r="G24" s="6" t="n">
        <x:v>254000</x:v>
      </x:c>
      <x:c r="H24" s="6" t="n">
        <x:v>540000</x:v>
      </x:c>
      <x:c r="I24" s="6" t="n">
        <x:v>134</x:v>
      </x:c>
      <x:c r="J24" s="6" t="n">
        <x:v>0</x:v>
      </x:c>
      <x:c r="K24" s="6" t="n">
        <x:v>0</x:v>
      </x:c>
      <x:c r="L24" s="6" t="n">
        <x:v>10</x:v>
      </x:c>
      <x:c r="M24" s="11" t="n">
        <x:v>0.8365873015873015</x:v>
      </x:c>
      <x:c r="N24" s="6" t="n">
        <x:v>331000</x:v>
      </x:c>
    </x:row>
    <x:row r="25" ht="24" customHeight="1">
      <x:c r="A25" s="2" t="str">
        <x:v>2026-10-02_Night</x:v>
      </x:c>
      <x:c r="B25" s="6" t="str">
        <x:v>ナイト</x:v>
      </x:c>
      <x:c r="C25" s="6" t="n">
        <x:v>564500</x:v>
      </x:c>
      <x:c r="D25" s="6" t="n">
        <x:v>912500</x:v>
      </x:c>
      <x:c r="E25" s="6" t="n">
        <x:f>C25-D25</x:f>
        <x:v>-348000</x:v>
      </x:c>
      <x:c r="F25" s="6" t="n">
        <x:f>F24+E25</x:f>
        <x:v>-6832500</x:v>
      </x:c>
      <x:c r="G25" s="6" t="n">
        <x:v>564500</x:v>
      </x:c>
      <x:c r="H25" s="6" t="n">
        <x:v>912500</x:v>
      </x:c>
      <x:c r="I25" s="6" t="n">
        <x:v>200</x:v>
      </x:c>
      <x:c r="J25" s="6" t="n">
        <x:v>0</x:v>
      </x:c>
      <x:c r="K25" s="6" t="n">
        <x:v>0</x:v>
      </x:c>
      <x:c r="L25" s="6" t="n">
        <x:v>10</x:v>
      </x:c>
      <x:c r="M25" s="11" t="n">
        <x:v>0.7963034188034188</x:v>
      </x:c>
      <x:c r="N25" s="6" t="n">
        <x:v>526000</x:v>
      </x:c>
    </x:row>
    <x:row r="26" ht="24" customHeight="1">
      <x:c r="A26" s="2" t="str">
        <x:v>2026-10-05_Day</x:v>
      </x:c>
      <x:c r="B26" s="6" t="str">
        <x:v>デイ</x:v>
      </x:c>
      <x:c r="C26" s="6" t="n">
        <x:v>169000</x:v>
      </x:c>
      <x:c r="D26" s="6" t="n">
        <x:v>629500</x:v>
      </x:c>
      <x:c r="E26" s="6" t="n">
        <x:f>C26-D26</x:f>
        <x:v>-460500</x:v>
      </x:c>
      <x:c r="F26" s="6" t="n">
        <x:f>F25+E26</x:f>
        <x:v>-7293000</x:v>
      </x:c>
      <x:c r="G26" s="6" t="n">
        <x:v>169000</x:v>
      </x:c>
      <x:c r="H26" s="6" t="n">
        <x:v>629500</x:v>
      </x:c>
      <x:c r="I26" s="6" t="n">
        <x:v>122</x:v>
      </x:c>
      <x:c r="J26" s="6" t="n">
        <x:v>0</x:v>
      </x:c>
      <x:c r="K26" s="6" t="n">
        <x:v>0</x:v>
      </x:c>
      <x:c r="L26" s="6" t="n">
        <x:v>10</x:v>
      </x:c>
      <x:c r="M26" s="11" t="n">
        <x:v>0.8131349206349207</x:v>
      </x:c>
      <x:c r="N26" s="6" t="n">
        <x:v>468000</x:v>
      </x:c>
    </x:row>
    <x:row r="27" ht="24" customHeight="1">
      <x:c r="A27" s="2" t="str">
        <x:v>2026-10-05_Night</x:v>
      </x:c>
      <x:c r="B27" s="6" t="str">
        <x:v>ナイト</x:v>
      </x:c>
      <x:c r="C27" s="6" t="n">
        <x:v>170500</x:v>
      </x:c>
      <x:c r="D27" s="6" t="n">
        <x:v>443000</x:v>
      </x:c>
      <x:c r="E27" s="6" t="n">
        <x:f>C27-D27</x:f>
        <x:v>-272500</x:v>
      </x:c>
      <x:c r="F27" s="6" t="n">
        <x:f>F26+E27</x:f>
        <x:v>-7565500</x:v>
      </x:c>
      <x:c r="G27" s="6" t="n">
        <x:v>170500</x:v>
      </x:c>
      <x:c r="H27" s="6" t="n">
        <x:v>443000</x:v>
      </x:c>
      <x:c r="I27" s="6" t="n">
        <x:v>159</x:v>
      </x:c>
      <x:c r="J27" s="6" t="n">
        <x:v>0</x:v>
      </x:c>
      <x:c r="K27" s="6" t="n">
        <x:v>0</x:v>
      </x:c>
      <x:c r="L27" s="6" t="n">
        <x:v>10</x:v>
      </x:c>
      <x:c r="M27" s="11" t="n">
        <x:v>0.8048076923076923</x:v>
      </x:c>
      <x:c r="N27" s="6" t="n">
        <x:v>324000</x:v>
      </x:c>
    </x:row>
    <x:row r="28" ht="24" customHeight="1">
      <x:c r="A28" s="2" t="str">
        <x:v>2026-10-06_Day</x:v>
      </x:c>
      <x:c r="B28" s="6" t="str">
        <x:v>デイ</x:v>
      </x:c>
      <x:c r="C28" s="6" t="n">
        <x:v>166000</x:v>
      </x:c>
      <x:c r="D28" s="6" t="n">
        <x:v>283000</x:v>
      </x:c>
      <x:c r="E28" s="6" t="n">
        <x:f>C28-D28</x:f>
        <x:v>-117000</x:v>
      </x:c>
      <x:c r="F28" s="6" t="n">
        <x:f>F27+E28</x:f>
        <x:v>-7682500</x:v>
      </x:c>
      <x:c r="G28" s="6" t="n">
        <x:v>166000</x:v>
      </x:c>
      <x:c r="H28" s="6" t="n">
        <x:v>283000</x:v>
      </x:c>
      <x:c r="I28" s="6" t="n">
        <x:v>110</x:v>
      </x:c>
      <x:c r="J28" s="6" t="n">
        <x:v>0</x:v>
      </x:c>
      <x:c r="K28" s="6" t="n">
        <x:v>0</x:v>
      </x:c>
      <x:c r="L28" s="6" t="n">
        <x:v>10</x:v>
      </x:c>
      <x:c r="M28" s="11" t="n">
        <x:v>0.7882539682539682</x:v>
      </x:c>
      <x:c r="N28" s="6" t="n">
        <x:v>186000</x:v>
      </x:c>
    </x:row>
    <x:row r="29" ht="24" customHeight="1">
      <x:c r="A29" s="2" t="str">
        <x:v>2026-10-06_Night</x:v>
      </x:c>
      <x:c r="B29" s="6" t="str">
        <x:v>ナイト</x:v>
      </x:c>
      <x:c r="C29" s="6" t="n">
        <x:v>100500</x:v>
      </x:c>
      <x:c r="D29" s="6" t="n">
        <x:v>248500</x:v>
      </x:c>
      <x:c r="E29" s="6" t="n">
        <x:f>C29-D29</x:f>
        <x:v>-148000</x:v>
      </x:c>
      <x:c r="F29" s="6" t="n">
        <x:f>F28+E29</x:f>
        <x:v>-7830500</x:v>
      </x:c>
      <x:c r="G29" s="6" t="n">
        <x:v>100500</x:v>
      </x:c>
      <x:c r="H29" s="6" t="n">
        <x:v>248500</x:v>
      </x:c>
      <x:c r="I29" s="6" t="n">
        <x:v>147</x:v>
      </x:c>
      <x:c r="J29" s="6" t="n">
        <x:v>0</x:v>
      </x:c>
      <x:c r="K29" s="6" t="n">
        <x:v>0</x:v>
      </x:c>
      <x:c r="L29" s="6" t="n">
        <x:v>10</x:v>
      </x:c>
      <x:c r="M29" s="11" t="n">
        <x:v>0.7468803418803419</x:v>
      </x:c>
      <x:c r="N29" s="6" t="n">
        <x:v>175000</x:v>
      </x:c>
    </x:row>
    <x:row r="30" ht="24" customHeight="1">
      <x:c r="A30" s="2" t="str">
        <x:v>2026-10-07_Day</x:v>
      </x:c>
      <x:c r="B30" s="6" t="str">
        <x:v>デイ</x:v>
      </x:c>
      <x:c r="C30" s="6" t="n">
        <x:v>247500</x:v>
      </x:c>
      <x:c r="D30" s="6" t="n">
        <x:v>412000</x:v>
      </x:c>
      <x:c r="E30" s="6" t="n">
        <x:f>C30-D30</x:f>
        <x:v>-164500</x:v>
      </x:c>
      <x:c r="F30" s="6" t="n">
        <x:f>F29+E30</x:f>
        <x:v>-7995000</x:v>
      </x:c>
      <x:c r="G30" s="6" t="n">
        <x:v>247500</x:v>
      </x:c>
      <x:c r="H30" s="6" t="n">
        <x:v>412000</x:v>
      </x:c>
      <x:c r="I30" s="6" t="n">
        <x:v>96</x:v>
      </x:c>
      <x:c r="J30" s="6" t="n">
        <x:v>0</x:v>
      </x:c>
      <x:c r="K30" s="6" t="n">
        <x:v>0</x:v>
      </x:c>
      <x:c r="L30" s="6" t="n">
        <x:v>10</x:v>
      </x:c>
      <x:c r="M30" s="11" t="n">
        <x:v>0.7980555555555555</x:v>
      </x:c>
      <x:c r="N30" s="6" t="n">
        <x:v>278000</x:v>
      </x:c>
    </x:row>
    <x:row r="31" ht="24" customHeight="1">
      <x:c r="A31" s="2" t="str">
        <x:v>2026-10-07_Night</x:v>
      </x:c>
      <x:c r="B31" s="6" t="str">
        <x:v>ナイト</x:v>
      </x:c>
      <x:c r="C31" s="6" t="n">
        <x:v>141500</x:v>
      </x:c>
      <x:c r="D31" s="6" t="n">
        <x:v>435500</x:v>
      </x:c>
      <x:c r="E31" s="6" t="n">
        <x:f>C31-D31</x:f>
        <x:v>-294000</x:v>
      </x:c>
      <x:c r="F31" s="6" t="n">
        <x:f>F30+E31</x:f>
        <x:v>-8289000</x:v>
      </x:c>
      <x:c r="G31" s="6" t="n">
        <x:v>141500</x:v>
      </x:c>
      <x:c r="H31" s="6" t="n">
        <x:v>435500</x:v>
      </x:c>
      <x:c r="I31" s="6" t="n">
        <x:v>169</x:v>
      </x:c>
      <x:c r="J31" s="6" t="n">
        <x:v>0</x:v>
      </x:c>
      <x:c r="K31" s="6" t="n">
        <x:v>0</x:v>
      </x:c>
      <x:c r="L31" s="6" t="n">
        <x:v>10</x:v>
      </x:c>
      <x:c r="M31" s="11" t="n">
        <x:v>0.7790170940170941</x:v>
      </x:c>
      <x:c r="N31" s="6" t="n">
        <x:v>294500</x:v>
      </x:c>
    </x:row>
    <x:row r="32" ht="24" customHeight="1">
      <x:c r="A32" s="2" t="str">
        <x:v>2026-10-08_Day</x:v>
      </x:c>
      <x:c r="B32" s="6" t="str">
        <x:v>デイ</x:v>
      </x:c>
      <x:c r="C32" s="6" t="n">
        <x:v>517500</x:v>
      </x:c>
      <x:c r="D32" s="6" t="n">
        <x:v>298500</x:v>
      </x:c>
      <x:c r="E32" s="6" t="n">
        <x:f>C32-D32</x:f>
        <x:v>219000</x:v>
      </x:c>
      <x:c r="F32" s="6" t="n">
        <x:f>F31+E32</x:f>
        <x:v>-8070000</x:v>
      </x:c>
      <x:c r="G32" s="6" t="n">
        <x:v>517500</x:v>
      </x:c>
      <x:c r="H32" s="6" t="n">
        <x:v>298500</x:v>
      </x:c>
      <x:c r="I32" s="6" t="n">
        <x:v>112</x:v>
      </x:c>
      <x:c r="J32" s="6" t="n">
        <x:v>0</x:v>
      </x:c>
      <x:c r="K32" s="6" t="n">
        <x:v>0</x:v>
      </x:c>
      <x:c r="L32" s="6" t="n">
        <x:v>10</x:v>
      </x:c>
      <x:c r="M32" s="11" t="n">
        <x:v>0.8236904761904762</x:v>
      </x:c>
      <x:c r="N32" s="6" t="n">
        <x:v>132000</x:v>
      </x:c>
    </x:row>
    <x:row r="33" ht="24" customHeight="1">
      <x:c r="A33" s="2" t="str">
        <x:v>2026-10-08_Night</x:v>
      </x:c>
      <x:c r="B33" s="6" t="str">
        <x:v>ナイト</x:v>
      </x:c>
      <x:c r="C33" s="6" t="n">
        <x:v>269500</x:v>
      </x:c>
      <x:c r="D33" s="6" t="n">
        <x:v>722000</x:v>
      </x:c>
      <x:c r="E33" s="6" t="n">
        <x:f>C33-D33</x:f>
        <x:v>-452500</x:v>
      </x:c>
      <x:c r="F33" s="6" t="n">
        <x:f>F32+E33</x:f>
        <x:v>-8522500</x:v>
      </x:c>
      <x:c r="G33" s="6" t="n">
        <x:v>269500</x:v>
      </x:c>
      <x:c r="H33" s="6" t="n">
        <x:v>722000</x:v>
      </x:c>
      <x:c r="I33" s="6" t="n">
        <x:v>193</x:v>
      </x:c>
      <x:c r="J33" s="6" t="n">
        <x:v>0</x:v>
      </x:c>
      <x:c r="K33" s="6" t="n">
        <x:v>0</x:v>
      </x:c>
      <x:c r="L33" s="6" t="n">
        <x:v>10</x:v>
      </x:c>
      <x:c r="M33" s="11" t="n">
        <x:v>0.7911324786324786</x:v>
      </x:c>
      <x:c r="N33" s="6" t="n">
        <x:v>457500</x:v>
      </x:c>
    </x:row>
    <x:row r="34" ht="24" customHeight="1">
      <x:c r="A34" s="2" t="str">
        <x:v>2026-10-09_Day</x:v>
      </x:c>
      <x:c r="B34" s="6" t="str">
        <x:v>デイ</x:v>
      </x:c>
      <x:c r="C34" s="6" t="n">
        <x:v>193000</x:v>
      </x:c>
      <x:c r="D34" s="6" t="n">
        <x:v>821500</x:v>
      </x:c>
      <x:c r="E34" s="6" t="n">
        <x:f>C34-D34</x:f>
        <x:v>-628500</x:v>
      </x:c>
      <x:c r="F34" s="6" t="n">
        <x:f>F33+E34</x:f>
        <x:v>-9151000</x:v>
      </x:c>
      <x:c r="G34" s="6" t="n">
        <x:v>193000</x:v>
      </x:c>
      <x:c r="H34" s="6" t="n">
        <x:v>821500</x:v>
      </x:c>
      <x:c r="I34" s="6" t="n">
        <x:v>133</x:v>
      </x:c>
      <x:c r="J34" s="6" t="n">
        <x:v>0</x:v>
      </x:c>
      <x:c r="K34" s="6" t="n">
        <x:v>0</x:v>
      </x:c>
      <x:c r="L34" s="6" t="n">
        <x:v>10</x:v>
      </x:c>
      <x:c r="M34" s="11" t="n">
        <x:v>0.7950396825396825</x:v>
      </x:c>
      <x:c r="N34" s="6" t="n">
        <x:v>633500</x:v>
      </x:c>
    </x:row>
    <x:row r="35" ht="24" customHeight="1">
      <x:c r="A35" s="2" t="str">
        <x:v>2026-10-09_Night</x:v>
      </x:c>
      <x:c r="B35" s="6" t="str">
        <x:v>ナイト</x:v>
      </x:c>
      <x:c r="C35" s="6" t="n">
        <x:v>64500</x:v>
      </x:c>
      <x:c r="D35" s="6" t="n">
        <x:v>309500</x:v>
      </x:c>
      <x:c r="E35" s="6" t="n">
        <x:f>C35-D35</x:f>
        <x:v>-245000</x:v>
      </x:c>
      <x:c r="F35" s="6" t="n">
        <x:f>F34+E35</x:f>
        <x:v>-9396000</x:v>
      </x:c>
      <x:c r="G35" s="6" t="n">
        <x:v>64500</x:v>
      </x:c>
      <x:c r="H35" s="6" t="n">
        <x:v>309500</x:v>
      </x:c>
      <x:c r="I35" s="6" t="n">
        <x:v>148</x:v>
      </x:c>
      <x:c r="J35" s="6" t="n">
        <x:v>0</x:v>
      </x:c>
      <x:c r="K35" s="6" t="n">
        <x:v>0</x:v>
      </x:c>
      <x:c r="L35" s="6" t="n">
        <x:v>10</x:v>
      </x:c>
      <x:c r="M35" s="11" t="n">
        <x:v>0.7696794871794872</x:v>
      </x:c>
      <x:c r="N35" s="6" t="n">
        <x:v>248000</x:v>
      </x:c>
    </x:row>
    <x:row r="36" ht="24" customHeight="1">
      <x:c r="A36" s="2" t="str">
        <x:v>2026-10-12_Day</x:v>
      </x:c>
      <x:c r="B36" s="6" t="str">
        <x:v>デイ</x:v>
      </x:c>
      <x:c r="C36" s="6" t="n">
        <x:v>34000</x:v>
      </x:c>
      <x:c r="D36" s="6" t="n">
        <x:v>154500</x:v>
      </x:c>
      <x:c r="E36" s="6" t="n">
        <x:f>C36-D36</x:f>
        <x:v>-120500</x:v>
      </x:c>
      <x:c r="F36" s="6" t="n">
        <x:f>F35+E36</x:f>
        <x:v>-9516500</x:v>
      </x:c>
      <x:c r="G36" s="6" t="n">
        <x:v>34000</x:v>
      </x:c>
      <x:c r="H36" s="6" t="n">
        <x:v>154500</x:v>
      </x:c>
      <x:c r="I36" s="6" t="n">
        <x:v>72</x:v>
      </x:c>
      <x:c r="J36" s="6" t="n">
        <x:v>0</x:v>
      </x:c>
      <x:c r="K36" s="6" t="n">
        <x:v>0</x:v>
      </x:c>
      <x:c r="L36" s="6" t="n">
        <x:v>10</x:v>
      </x:c>
      <x:c r="M36" s="11" t="n">
        <x:v>0.7308730158730159</x:v>
      </x:c>
      <x:c r="N36" s="6" t="n">
        <x:v>139000</x:v>
      </x:c>
    </x:row>
    <x:row r="37" ht="24" customHeight="1">
      <x:c r="A37" s="2" t="str">
        <x:v>2026-10-12_Night</x:v>
      </x:c>
      <x:c r="B37" s="6" t="str">
        <x:v>ナイト</x:v>
      </x:c>
      <x:c r="C37" s="6" t="n">
        <x:v>71500</x:v>
      </x:c>
      <x:c r="D37" s="6" t="n">
        <x:v>162000</x:v>
      </x:c>
      <x:c r="E37" s="6" t="n">
        <x:f>C37-D37</x:f>
        <x:v>-90500</x:v>
      </x:c>
      <x:c r="F37" s="6" t="n">
        <x:f>F36+E37</x:f>
        <x:v>-9607000</x:v>
      </x:c>
      <x:c r="G37" s="6" t="n">
        <x:v>71500</x:v>
      </x:c>
      <x:c r="H37" s="6" t="n">
        <x:v>162000</x:v>
      </x:c>
      <x:c r="I37" s="6" t="n">
        <x:v>111</x:v>
      </x:c>
      <x:c r="J37" s="6" t="n">
        <x:v>0</x:v>
      </x:c>
      <x:c r="K37" s="6" t="n">
        <x:v>0</x:v>
      </x:c>
      <x:c r="L37" s="6" t="n">
        <x:v>7</x:v>
      </x:c>
      <x:c r="M37" s="11" t="n">
        <x:v>0.7284615384615385</x:v>
      </x:c>
      <x:c r="N37" s="6" t="n">
        <x:v>98500</x:v>
      </x:c>
    </x:row>
    <x:row r="38" ht="24" customHeight="1">
      <x:c r="A38" s="2" t="str">
        <x:v>2026-10-13_Day</x:v>
      </x:c>
      <x:c r="B38" s="6" t="str">
        <x:v>デイ</x:v>
      </x:c>
      <x:c r="C38" s="6" t="n">
        <x:v>333000</x:v>
      </x:c>
      <x:c r="D38" s="6" t="n">
        <x:v>845500</x:v>
      </x:c>
      <x:c r="E38" s="6" t="n">
        <x:f>C38-D38</x:f>
        <x:v>-512500</x:v>
      </x:c>
      <x:c r="F38" s="6" t="n">
        <x:f>F37+E38</x:f>
        <x:v>-10119500</x:v>
      </x:c>
      <x:c r="G38" s="6" t="n">
        <x:v>333000</x:v>
      </x:c>
      <x:c r="H38" s="6" t="n">
        <x:v>845500</x:v>
      </x:c>
      <x:c r="I38" s="6" t="n">
        <x:v>154</x:v>
      </x:c>
      <x:c r="J38" s="6" t="n">
        <x:v>0</x:v>
      </x:c>
      <x:c r="K38" s="6" t="n">
        <x:v>0</x:v>
      </x:c>
      <x:c r="L38" s="6" t="n">
        <x:v>10</x:v>
      </x:c>
      <x:c r="M38" s="11" t="n">
        <x:v>0.8062301587301587</x:v>
      </x:c>
      <x:c r="N38" s="6" t="n">
        <x:v>582500</x:v>
      </x:c>
    </x:row>
    <x:row r="39" ht="24" customHeight="1">
      <x:c r="A39" s="2" t="str">
        <x:v>2026-10-13_Night</x:v>
      </x:c>
      <x:c r="B39" s="6" t="str">
        <x:v>ナイト</x:v>
      </x:c>
      <x:c r="C39" s="6" t="n">
        <x:v>91000</x:v>
      </x:c>
      <x:c r="D39" s="6" t="n">
        <x:v>203500</x:v>
      </x:c>
      <x:c r="E39" s="6" t="n">
        <x:f>C39-D39</x:f>
        <x:v>-112500</x:v>
      </x:c>
      <x:c r="F39" s="6" t="n">
        <x:f>F38+E39</x:f>
        <x:v>-10232000</x:v>
      </x:c>
      <x:c r="G39" s="6" t="n">
        <x:v>91000</x:v>
      </x:c>
      <x:c r="H39" s="6" t="n">
        <x:v>203500</x:v>
      </x:c>
      <x:c r="I39" s="6" t="n">
        <x:v>136</x:v>
      </x:c>
      <x:c r="J39" s="6" t="n">
        <x:v>0</x:v>
      </x:c>
      <x:c r="K39" s="6" t="n">
        <x:v>0</x:v>
      </x:c>
      <x:c r="L39" s="6" t="n">
        <x:v>9</x:v>
      </x:c>
      <x:c r="M39" s="11" t="n">
        <x:v>0.7763034188034188</x:v>
      </x:c>
      <x:c r="N39" s="6" t="n">
        <x:v>136500</x:v>
      </x:c>
    </x:row>
    <x:row r="40" ht="24" customHeight="1">
      <x:c r="A40" s="2" t="str">
        <x:v>2026-10-14_Day</x:v>
      </x:c>
      <x:c r="B40" s="6" t="str">
        <x:v>デイ</x:v>
      </x:c>
      <x:c r="C40" s="6" t="n">
        <x:v>195500</x:v>
      </x:c>
      <x:c r="D40" s="6" t="n">
        <x:v>491000</x:v>
      </x:c>
      <x:c r="E40" s="6" t="n">
        <x:f>C40-D40</x:f>
        <x:v>-295500</x:v>
      </x:c>
      <x:c r="F40" s="6" t="n">
        <x:f>F39+E40</x:f>
        <x:v>-10527500</x:v>
      </x:c>
      <x:c r="G40" s="6" t="n">
        <x:v>195500</x:v>
      </x:c>
      <x:c r="H40" s="6" t="n">
        <x:v>491000</x:v>
      </x:c>
      <x:c r="I40" s="6" t="n">
        <x:v>131</x:v>
      </x:c>
      <x:c r="J40" s="6" t="n">
        <x:v>0</x:v>
      </x:c>
      <x:c r="K40" s="6" t="n">
        <x:v>0</x:v>
      </x:c>
      <x:c r="L40" s="6" t="n">
        <x:v>10</x:v>
      </x:c>
      <x:c r="M40" s="11" t="n">
        <x:v>0.7926190476190477</x:v>
      </x:c>
      <x:c r="N40" s="6" t="n">
        <x:v>312500</x:v>
      </x:c>
    </x:row>
    <x:row r="41" ht="24" customHeight="1">
      <x:c r="A41" s="2" t="str">
        <x:v>2026-10-14_Night</x:v>
      </x:c>
      <x:c r="B41" s="6" t="str">
        <x:v>ナイト</x:v>
      </x:c>
      <x:c r="C41" s="6" t="n">
        <x:v>321500</x:v>
      </x:c>
      <x:c r="D41" s="6" t="n">
        <x:v>458000</x:v>
      </x:c>
      <x:c r="E41" s="6" t="n">
        <x:f>C41-D41</x:f>
        <x:v>-136500</x:v>
      </x:c>
      <x:c r="F41" s="6" t="n">
        <x:f>F40+E41</x:f>
        <x:v>-10664000</x:v>
      </x:c>
      <x:c r="G41" s="6" t="n">
        <x:v>321500</x:v>
      </x:c>
      <x:c r="H41" s="6" t="n">
        <x:v>458000</x:v>
      </x:c>
      <x:c r="I41" s="6" t="n">
        <x:v>172</x:v>
      </x:c>
      <x:c r="J41" s="6" t="n">
        <x:v>0</x:v>
      </x:c>
      <x:c r="K41" s="6" t="n">
        <x:v>0</x:v>
      </x:c>
      <x:c r="L41" s="6" t="n">
        <x:v>10</x:v>
      </x:c>
      <x:c r="M41" s="11" t="n">
        <x:v>0.8269230769230769</x:v>
      </x:c>
      <x:c r="N41" s="6" t="n">
        <x:v>162500</x:v>
      </x:c>
    </x:row>
    <x:row r="42" ht="24" customHeight="1">
      <x:c r="A42" s="2" t="str">
        <x:v>2026-10-15_Day</x:v>
      </x:c>
      <x:c r="B42" s="6" t="str">
        <x:v>デイ</x:v>
      </x:c>
      <x:c r="C42" s="6" t="n">
        <x:v>830000</x:v>
      </x:c>
      <x:c r="D42" s="6" t="n">
        <x:v>953000</x:v>
      </x:c>
      <x:c r="E42" s="6" t="n">
        <x:f>C42-D42</x:f>
        <x:v>-123000</x:v>
      </x:c>
      <x:c r="F42" s="6" t="n">
        <x:f>F41+E42</x:f>
        <x:v>-10787000</x:v>
      </x:c>
      <x:c r="G42" s="6" t="n">
        <x:v>830000</x:v>
      </x:c>
      <x:c r="H42" s="6" t="n">
        <x:v>953000</x:v>
      </x:c>
      <x:c r="I42" s="6" t="n">
        <x:v>159</x:v>
      </x:c>
      <x:c r="J42" s="6" t="n">
        <x:v>0</x:v>
      </x:c>
      <x:c r="K42" s="6" t="n">
        <x:v>0</x:v>
      </x:c>
      <x:c r="L42" s="6" t="n">
        <x:v>10</x:v>
      </x:c>
      <x:c r="M42" s="11" t="n">
        <x:v>0.7839285714285714</x:v>
      </x:c>
      <x:c r="N42" s="6" t="n">
        <x:v>352000</x:v>
      </x:c>
    </x:row>
    <x:row r="43" ht="24" customHeight="1">
      <x:c r="A43" s="2" t="str">
        <x:v>2026-10-15_Night</x:v>
      </x:c>
      <x:c r="B43" s="6" t="str">
        <x:v>ナイト</x:v>
      </x:c>
      <x:c r="C43" s="6" t="n">
        <x:v>417500</x:v>
      </x:c>
      <x:c r="D43" s="6" t="n">
        <x:v>672500</x:v>
      </x:c>
      <x:c r="E43" s="6" t="n">
        <x:f>C43-D43</x:f>
        <x:v>-255000</x:v>
      </x:c>
      <x:c r="F43" s="6" t="n">
        <x:f>F42+E43</x:f>
        <x:v>-11042000</x:v>
      </x:c>
      <x:c r="G43" s="6" t="n">
        <x:v>417500</x:v>
      </x:c>
      <x:c r="H43" s="6" t="n">
        <x:v>672500</x:v>
      </x:c>
      <x:c r="I43" s="6" t="n">
        <x:v>193</x:v>
      </x:c>
      <x:c r="J43" s="6" t="n">
        <x:v>0</x:v>
      </x:c>
      <x:c r="K43" s="6" t="n">
        <x:v>0</x:v>
      </x:c>
      <x:c r="L43" s="6" t="n">
        <x:v>10</x:v>
      </x:c>
      <x:c r="M43" s="11" t="n">
        <x:v>0.7660683760683761</x:v>
      </x:c>
      <x:c r="N43" s="6" t="n">
        <x:v>351500</x:v>
      </x:c>
    </x:row>
    <x:row r="44" ht="24" customHeight="1">
      <x:c r="A44" s="2" t="str">
        <x:v>2026-10-16_Day</x:v>
      </x:c>
      <x:c r="B44" s="6" t="str">
        <x:v>デイ</x:v>
      </x:c>
      <x:c r="C44" s="6" t="n">
        <x:v>401000</x:v>
      </x:c>
      <x:c r="D44" s="6" t="n">
        <x:v>617500</x:v>
      </x:c>
      <x:c r="E44" s="6" t="n">
        <x:f>C44-D44</x:f>
        <x:v>-216500</x:v>
      </x:c>
      <x:c r="F44" s="6" t="n">
        <x:f>F43+E44</x:f>
        <x:v>-11258500</x:v>
      </x:c>
      <x:c r="G44" s="6" t="n">
        <x:v>401000</x:v>
      </x:c>
      <x:c r="H44" s="6" t="n">
        <x:v>617500</x:v>
      </x:c>
      <x:c r="I44" s="6" t="n">
        <x:v>132</x:v>
      </x:c>
      <x:c r="J44" s="6" t="n">
        <x:v>0</x:v>
      </x:c>
      <x:c r="K44" s="6" t="n">
        <x:v>0</x:v>
      </x:c>
      <x:c r="L44" s="6" t="n">
        <x:v>10</x:v>
      </x:c>
      <x:c r="M44" s="11" t="n">
        <x:v>0.8228174603174603</x:v>
      </x:c>
      <x:c r="N44" s="6" t="n">
        <x:v>230000</x:v>
      </x:c>
    </x:row>
    <x:row r="45" ht="24" customHeight="1">
      <x:c r="A45" s="2" t="str">
        <x:v>2026-10-16_Night</x:v>
      </x:c>
      <x:c r="B45" s="6" t="str">
        <x:v>ナイト</x:v>
      </x:c>
      <x:c r="C45" s="6" t="n">
        <x:v>452000</x:v>
      </x:c>
      <x:c r="D45" s="6" t="n">
        <x:v>799000</x:v>
      </x:c>
      <x:c r="E45" s="6" t="n">
        <x:f>C45-D45</x:f>
        <x:v>-347000</x:v>
      </x:c>
      <x:c r="F45" s="6" t="n">
        <x:f>F44+E45</x:f>
        <x:v>-11605500</x:v>
      </x:c>
      <x:c r="G45" s="6" t="n">
        <x:v>452000</x:v>
      </x:c>
      <x:c r="H45" s="6" t="n">
        <x:v>799000</x:v>
      </x:c>
      <x:c r="I45" s="6" t="n">
        <x:v>213</x:v>
      </x:c>
      <x:c r="J45" s="6" t="n">
        <x:v>0</x:v>
      </x:c>
      <x:c r="K45" s="6" t="n">
        <x:v>0</x:v>
      </x:c>
      <x:c r="L45" s="6" t="n">
        <x:v>10</x:v>
      </x:c>
      <x:c r="M45" s="11" t="n">
        <x:v>0.8260897435897436</x:v>
      </x:c>
      <x:c r="N45" s="6" t="n">
        <x:v>351000</x:v>
      </x:c>
    </x:row>
    <x:row r="46" ht="24" customHeight="1">
      <x:c r="A46" s="2" t="str">
        <x:v>2026-10-19_Day</x:v>
      </x:c>
      <x:c r="B46" s="6" t="str">
        <x:v>デイ</x:v>
      </x:c>
      <x:c r="C46" s="6" t="n">
        <x:v>542000</x:v>
      </x:c>
      <x:c r="D46" s="6" t="n">
        <x:v>929500</x:v>
      </x:c>
      <x:c r="E46" s="6" t="n">
        <x:f>C46-D46</x:f>
        <x:v>-387500</x:v>
      </x:c>
      <x:c r="F46" s="6" t="n">
        <x:f>F45+E46</x:f>
        <x:v>-11993000</x:v>
      </x:c>
      <x:c r="G46" s="6" t="n">
        <x:v>542000</x:v>
      </x:c>
      <x:c r="H46" s="6" t="n">
        <x:v>929500</x:v>
      </x:c>
      <x:c r="I46" s="6" t="n">
        <x:v>145</x:v>
      </x:c>
      <x:c r="J46" s="6" t="n">
        <x:v>0</x:v>
      </x:c>
      <x:c r="K46" s="6" t="n">
        <x:v>0</x:v>
      </x:c>
      <x:c r="L46" s="6" t="n">
        <x:v>10</x:v>
      </x:c>
      <x:c r="M46" s="11" t="n">
        <x:v>0.8042063492063493</x:v>
      </x:c>
      <x:c r="N46" s="6" t="n">
        <x:v>477500</x:v>
      </x:c>
    </x:row>
    <x:row r="47" ht="24" customHeight="1">
      <x:c r="A47" s="2" t="str">
        <x:v>2026-10-19_Night</x:v>
      </x:c>
      <x:c r="B47" s="6" t="str">
        <x:v>ナイト</x:v>
      </x:c>
      <x:c r="C47" s="6" t="n">
        <x:v>208500</x:v>
      </x:c>
      <x:c r="D47" s="6" t="n">
        <x:v>473000</x:v>
      </x:c>
      <x:c r="E47" s="6" t="n">
        <x:f>C47-D47</x:f>
        <x:v>-264500</x:v>
      </x:c>
      <x:c r="F47" s="6" t="n">
        <x:f>F46+E47</x:f>
        <x:v>-12257500</x:v>
      </x:c>
      <x:c r="G47" s="6" t="n">
        <x:v>208500</x:v>
      </x:c>
      <x:c r="H47" s="6" t="n">
        <x:v>473000</x:v>
      </x:c>
      <x:c r="I47" s="6" t="n">
        <x:v>184</x:v>
      </x:c>
      <x:c r="J47" s="6" t="n">
        <x:v>0</x:v>
      </x:c>
      <x:c r="K47" s="6" t="n">
        <x:v>0</x:v>
      </x:c>
      <x:c r="L47" s="6" t="n">
        <x:v>10</x:v>
      </x:c>
      <x:c r="M47" s="11" t="n">
        <x:v>0.7961752136752137</x:v>
      </x:c>
      <x:c r="N47" s="6" t="n">
        <x:v>267000</x:v>
      </x:c>
    </x:row>
    <x:row r="48" ht="24" customHeight="1">
      <x:c r="A48" s="2" t="str">
        <x:v>2026-10-20_Day</x:v>
      </x:c>
      <x:c r="B48" s="6" t="str">
        <x:v>デイ</x:v>
      </x:c>
      <x:c r="C48" s="6" t="n">
        <x:v>492000</x:v>
      </x:c>
      <x:c r="D48" s="6" t="n">
        <x:v>786000</x:v>
      </x:c>
      <x:c r="E48" s="6" t="n">
        <x:f>C48-D48</x:f>
        <x:v>-294000</x:v>
      </x:c>
      <x:c r="F48" s="6" t="n">
        <x:f>F47+E48</x:f>
        <x:v>-12551500</x:v>
      </x:c>
      <x:c r="G48" s="6" t="n">
        <x:v>492000</x:v>
      </x:c>
      <x:c r="H48" s="6" t="n">
        <x:v>786000</x:v>
      </x:c>
      <x:c r="I48" s="6" t="n">
        <x:v>143</x:v>
      </x:c>
      <x:c r="J48" s="6" t="n">
        <x:v>0</x:v>
      </x:c>
      <x:c r="K48" s="6" t="n">
        <x:v>0</x:v>
      </x:c>
      <x:c r="L48" s="6" t="n">
        <x:v>10</x:v>
      </x:c>
      <x:c r="M48" s="11" t="n">
        <x:v>0.8298412698412698</x:v>
      </x:c>
      <x:c r="N48" s="6" t="n">
        <x:v>327500</x:v>
      </x:c>
    </x:row>
    <x:row r="49" ht="24" customHeight="1">
      <x:c r="A49" s="2" t="str">
        <x:v>2026-10-20_Night</x:v>
      </x:c>
      <x:c r="B49" s="6" t="str">
        <x:v>ナイト</x:v>
      </x:c>
      <x:c r="C49" s="6" t="n">
        <x:v>399500</x:v>
      </x:c>
      <x:c r="D49" s="6" t="n">
        <x:v>650500</x:v>
      </x:c>
      <x:c r="E49" s="6" t="n">
        <x:f>C49-D49</x:f>
        <x:v>-251000</x:v>
      </x:c>
      <x:c r="F49" s="6" t="n">
        <x:f>F48+E49</x:f>
        <x:v>-12802500</x:v>
      </x:c>
      <x:c r="G49" s="6" t="n">
        <x:v>399500</x:v>
      </x:c>
      <x:c r="H49" s="6" t="n">
        <x:v>650500</x:v>
      </x:c>
      <x:c r="I49" s="6" t="n">
        <x:v>183</x:v>
      </x:c>
      <x:c r="J49" s="6" t="n">
        <x:v>0</x:v>
      </x:c>
      <x:c r="K49" s="6" t="n">
        <x:v>0</x:v>
      </x:c>
      <x:c r="L49" s="6" t="n">
        <x:v>10</x:v>
      </x:c>
      <x:c r="M49" s="11" t="n">
        <x:v>0.7990811965811966</x:v>
      </x:c>
      <x:c r="N49" s="6" t="n">
        <x:v>307500</x:v>
      </x:c>
    </x:row>
    <x:row r="50" ht="24" customHeight="1">
      <x:c r="A50" s="2" t="str">
        <x:v>2026-10-21_Day</x:v>
      </x:c>
      <x:c r="B50" s="6" t="str">
        <x:v>デイ</x:v>
      </x:c>
      <x:c r="C50" s="6" t="n">
        <x:v>143500</x:v>
      </x:c>
      <x:c r="D50" s="6" t="n">
        <x:v>469500</x:v>
      </x:c>
      <x:c r="E50" s="6" t="n">
        <x:f>C50-D50</x:f>
        <x:v>-326000</x:v>
      </x:c>
      <x:c r="F50" s="6" t="n">
        <x:f>F49+E50</x:f>
        <x:v>-13128500</x:v>
      </x:c>
      <x:c r="G50" s="6" t="n">
        <x:v>143500</x:v>
      </x:c>
      <x:c r="H50" s="6" t="n">
        <x:v>469500</x:v>
      </x:c>
      <x:c r="I50" s="6" t="n">
        <x:v>120</x:v>
      </x:c>
      <x:c r="J50" s="6" t="n">
        <x:v>0</x:v>
      </x:c>
      <x:c r="K50" s="6" t="n">
        <x:v>0</x:v>
      </x:c>
      <x:c r="L50" s="6" t="n">
        <x:v>10</x:v>
      </x:c>
      <x:c r="M50" s="11" t="n">
        <x:v>0.7867063492063492</x:v>
      </x:c>
      <x:c r="N50" s="6" t="n">
        <x:v>354500</x:v>
      </x:c>
    </x:row>
    <x:row r="51" ht="24" customHeight="1">
      <x:c r="A51" s="2" t="str">
        <x:v>2026-10-21_Night</x:v>
      </x:c>
      <x:c r="B51" s="6" t="str">
        <x:v>ナイト</x:v>
      </x:c>
      <x:c r="C51" s="6" t="n">
        <x:v>281500</x:v>
      </x:c>
      <x:c r="D51" s="6" t="n">
        <x:v>491000</x:v>
      </x:c>
      <x:c r="E51" s="6" t="n">
        <x:f>C51-D51</x:f>
        <x:v>-209500</x:v>
      </x:c>
      <x:c r="F51" s="6" t="n">
        <x:f>F50+E51</x:f>
        <x:v>-13338000</x:v>
      </x:c>
      <x:c r="G51" s="6" t="n">
        <x:v>281500</x:v>
      </x:c>
      <x:c r="H51" s="6" t="n">
        <x:v>491000</x:v>
      </x:c>
      <x:c r="I51" s="6" t="n">
        <x:v>173</x:v>
      </x:c>
      <x:c r="J51" s="6" t="n">
        <x:v>0</x:v>
      </x:c>
      <x:c r="K51" s="6" t="n">
        <x:v>0</x:v>
      </x:c>
      <x:c r="L51" s="6" t="n">
        <x:v>10</x:v>
      </x:c>
      <x:c r="M51" s="11" t="n">
        <x:v>0.8004059829059829</x:v>
      </x:c>
      <x:c r="N51" s="6" t="n">
        <x:v>248000</x:v>
      </x:c>
    </x:row>
    <x:row r="52" ht="24" customHeight="1">
      <x:c r="A52" s="2" t="str">
        <x:v>2026-10-22_Day</x:v>
      </x:c>
      <x:c r="B52" s="6" t="str">
        <x:v>デイ</x:v>
      </x:c>
      <x:c r="C52" s="6" t="n">
        <x:v>468500</x:v>
      </x:c>
      <x:c r="D52" s="6" t="n">
        <x:v>684000</x:v>
      </x:c>
      <x:c r="E52" s="6" t="n">
        <x:f>C52-D52</x:f>
        <x:v>-215500</x:v>
      </x:c>
      <x:c r="F52" s="6" t="n">
        <x:f>F51+E52</x:f>
        <x:v>-13553500</x:v>
      </x:c>
      <x:c r="G52" s="6" t="n">
        <x:v>468500</x:v>
      </x:c>
      <x:c r="H52" s="6" t="n">
        <x:v>684000</x:v>
      </x:c>
      <x:c r="I52" s="6" t="n">
        <x:v>137</x:v>
      </x:c>
      <x:c r="J52" s="6" t="n">
        <x:v>0</x:v>
      </x:c>
      <x:c r="K52" s="6" t="n">
        <x:v>0</x:v>
      </x:c>
      <x:c r="L52" s="6" t="n">
        <x:v>10</x:v>
      </x:c>
      <x:c r="M52" s="11" t="n">
        <x:v>0.8286507936507936</x:v>
      </x:c>
      <x:c r="N52" s="6" t="n">
        <x:v>320000</x:v>
      </x:c>
    </x:row>
    <x:row r="53" ht="24" customHeight="1">
      <x:c r="A53" s="2" t="str">
        <x:v>2026-10-22_Night</x:v>
      </x:c>
      <x:c r="B53" s="6" t="str">
        <x:v>ナイト</x:v>
      </x:c>
      <x:c r="C53" s="6" t="n">
        <x:v>397000</x:v>
      </x:c>
      <x:c r="D53" s="6" t="n">
        <x:v>662000</x:v>
      </x:c>
      <x:c r="E53" s="6" t="n">
        <x:f>C53-D53</x:f>
        <x:v>-265000</x:v>
      </x:c>
      <x:c r="F53" s="6" t="n">
        <x:f>F52+E53</x:f>
        <x:v>-13818500</x:v>
      </x:c>
      <x:c r="G53" s="6" t="n">
        <x:v>397000</x:v>
      </x:c>
      <x:c r="H53" s="6" t="n">
        <x:v>662000</x:v>
      </x:c>
      <x:c r="I53" s="6" t="n">
        <x:v>187</x:v>
      </x:c>
      <x:c r="J53" s="6" t="n">
        <x:v>0</x:v>
      </x:c>
      <x:c r="K53" s="6" t="n">
        <x:v>0</x:v>
      </x:c>
      <x:c r="L53" s="6" t="n">
        <x:v>10</x:v>
      </x:c>
      <x:c r="M53" s="11" t="n">
        <x:v>0.8154059829059829</x:v>
      </x:c>
      <x:c r="N53" s="6" t="n">
        <x:v>293500</x:v>
      </x:c>
    </x:row>
    <x:row r="54" ht="24" customHeight="1">
      <x:c r="A54" s="2" t="str">
        <x:v>2026-10-23_Day</x:v>
      </x:c>
      <x:c r="B54" s="6" t="str">
        <x:v>デイ</x:v>
      </x:c>
      <x:c r="C54" s="6" t="n">
        <x:v>1174000</x:v>
      </x:c>
      <x:c r="D54" s="6" t="n">
        <x:v>1782500</x:v>
      </x:c>
      <x:c r="E54" s="6" t="n">
        <x:f>C54-D54</x:f>
        <x:v>-608500</x:v>
      </x:c>
      <x:c r="F54" s="6" t="n">
        <x:f>F53+E54</x:f>
        <x:v>-14427000</x:v>
      </x:c>
      <x:c r="G54" s="6" t="n">
        <x:v>1174000</x:v>
      </x:c>
      <x:c r="H54" s="6" t="n">
        <x:v>1782500</x:v>
      </x:c>
      <x:c r="I54" s="6" t="n">
        <x:v>182</x:v>
      </x:c>
      <x:c r="J54" s="6" t="n">
        <x:v>0</x:v>
      </x:c>
      <x:c r="K54" s="6" t="n">
        <x:v>0</x:v>
      </x:c>
      <x:c r="L54" s="6" t="n">
        <x:v>10</x:v>
      </x:c>
      <x:c r="M54" s="11" t="n">
        <x:v>0.800952380952381</x:v>
      </x:c>
      <x:c r="N54" s="6" t="n">
        <x:v>660000</x:v>
      </x:c>
    </x:row>
    <x:row r="55" ht="24" customHeight="1">
      <x:c r="A55" s="2" t="str">
        <x:v>2026-10-23_Night</x:v>
      </x:c>
      <x:c r="B55" s="6" t="str">
        <x:v>ナイト</x:v>
      </x:c>
      <x:c r="C55" s="6" t="n">
        <x:v>361500</x:v>
      </x:c>
      <x:c r="D55" s="6" t="n">
        <x:v>860000</x:v>
      </x:c>
      <x:c r="E55" s="6" t="n">
        <x:f>C55-D55</x:f>
        <x:v>-498500</x:v>
      </x:c>
      <x:c r="F55" s="6" t="n">
        <x:f>F54+E55</x:f>
        <x:v>-14925500</x:v>
      </x:c>
      <x:c r="G55" s="6" t="n">
        <x:v>361500</x:v>
      </x:c>
      <x:c r="H55" s="6" t="n">
        <x:v>860000</x:v>
      </x:c>
      <x:c r="I55" s="6" t="n">
        <x:v>203</x:v>
      </x:c>
      <x:c r="J55" s="6" t="n">
        <x:v>0</x:v>
      </x:c>
      <x:c r="K55" s="6" t="n">
        <x:v>0</x:v>
      </x:c>
      <x:c r="L55" s="6" t="n">
        <x:v>10</x:v>
      </x:c>
      <x:c r="M55" s="11" t="n">
        <x:v>0.7874145299145299</x:v>
      </x:c>
      <x:c r="N55" s="6" t="n">
        <x:v>572000</x:v>
      </x:c>
    </x:row>
    <x:row r="56" ht="24" customHeight="1">
      <x:c r="A56" s="2" t="str">
        <x:v>2026-10-26_Day</x:v>
      </x:c>
      <x:c r="B56" s="6" t="str">
        <x:v>デイ</x:v>
      </x:c>
      <x:c r="C56" s="6" t="n">
        <x:v>459000</x:v>
      </x:c>
      <x:c r="D56" s="6" t="n">
        <x:v>1219500</x:v>
      </x:c>
      <x:c r="E56" s="6" t="n">
        <x:f>C56-D56</x:f>
        <x:v>-760500</x:v>
      </x:c>
      <x:c r="F56" s="6" t="n">
        <x:f>F55+E56</x:f>
        <x:v>-15686000</x:v>
      </x:c>
      <x:c r="G56" s="6" t="n">
        <x:v>459000</x:v>
      </x:c>
      <x:c r="H56" s="6" t="n">
        <x:v>1219500</x:v>
      </x:c>
      <x:c r="I56" s="6" t="n">
        <x:v>167</x:v>
      </x:c>
      <x:c r="J56" s="6" t="n">
        <x:v>0</x:v>
      </x:c>
      <x:c r="K56" s="6" t="n">
        <x:v>0</x:v>
      </x:c>
      <x:c r="L56" s="6" t="n">
        <x:v>10</x:v>
      </x:c>
      <x:c r="M56" s="11" t="n">
        <x:v>0.8110714285714286</x:v>
      </x:c>
      <x:c r="N56" s="6" t="n">
        <x:v>818500</x:v>
      </x:c>
    </x:row>
    <x:row r="57" ht="24" customHeight="1">
      <x:c r="A57" s="15" t="str">
        <x:v>累計／平均／最大</x:v>
      </x:c>
      <x:c r="B57" s="16"/>
      <x:c r="C57" s="16" t="n">
        <x:f>SUM(C6:C56)</x:f>
        <x:v>15763000</x:v>
      </x:c>
      <x:c r="D57" s="16" t="n">
        <x:f>SUM(D6:D56)</x:f>
        <x:v>31449000</x:v>
      </x:c>
      <x:c r="E57" s="16" t="n">
        <x:f>C57-D57</x:f>
        <x:v>-15686000</x:v>
      </x:c>
      <x:c r="F57" s="16" t="n">
        <x:f>F56</x:f>
        <x:v>-15686000</x:v>
      </x:c>
      <x:c r="G57" s="16" t="n">
        <x:f>SUM(G6:G56)</x:f>
        <x:v>15763000</x:v>
      </x:c>
      <x:c r="H57" s="16" t="n">
        <x:f>SUM(H6:H56)</x:f>
        <x:v>31449000</x:v>
      </x:c>
      <x:c r="I57" s="16" t="n">
        <x:f>SUM(I6:I56)</x:f>
        <x:v>7682</x:v>
      </x:c>
      <x:c r="J57" s="16" t="n">
        <x:f>SUM(J6:J56)</x:f>
        <x:v>0</x:v>
      </x:c>
      <x:c r="K57" s="16" t="n">
        <x:f>SUM(K6:K56)</x:f>
        <x:v>0</x:v>
      </x:c>
      <x:c r="L57" s="16" t="n">
        <x:f>MAX(L6:L56)</x:f>
        <x:v>10</x:v>
      </x:c>
      <x:c r="M57" s="17" t="n">
        <x:f>AVERAGE(M6:M56)</x:f>
        <x:v>0.7927187028657616</x:v>
      </x:c>
      <x:c r="N57" s="16" t="n">
        <x:f>MAX(N6:N56)</x:f>
        <x:v>818500</x:v>
      </x:c>
    </x:row>
  </x:sheetData>
  <x:conditionalFormatting sqref="E6:F56">
    <x:cfRule type="cellIs" dxfId="56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c3fac3507fa4830"/>
  </x:tableParts>
</x:worksheet>
</file>

<file path=xl/worksheets/sheet5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1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4" customHeight="1">
      <x:c r="A1" s="3" t="str">
        <x:v>TOPIX M16　各セッションの利益・損失・収支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A2" s="4" t="str">
        <x:v>2026/09/21〜10/26デイ・51完了場。日経mini／TOPIXmini各上限10枚・手数料0。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4" customHeight="1">
      <x:c r="A3" s="4" t="str">
        <x:v>300秒の時間加重平均を60秒前と比較。保有中も傾き比例で増減、利益追尾で返済。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4" customHeight="1">
      <x:c r="A4" s="4" t="str">
        <x:v>利益・損失＝FIFO返済配賦別。親＝初回から全返済まで。ラージ気配による模型で、mini実約定の検証ではありません。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42" customHeight="1">
      <x:c r="A5" s="10" t="str">
        <x:v>セッション</x:v>
      </x:c>
      <x:c r="B5" s="10" t="str">
        <x:v>区分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親利益（円）</x:v>
      </x:c>
      <x:c r="H5" s="10" t="str">
        <x:v>親損失（円）</x:v>
      </x:c>
      <x:c r="I5" s="10" t="str">
        <x:v>初回件数</x:v>
      </x:c>
      <x:c r="J5" s="10" t="str">
        <x:v>追加件数</x:v>
      </x:c>
      <x:c r="K5" s="10" t="str">
        <x:v>縮小件数</x:v>
      </x:c>
      <x:c r="L5" s="10" t="str">
        <x:v>最大保有枚数</x:v>
      </x:c>
      <x:c r="M5" s="10" t="str">
        <x:v>保有時間率</x:v>
      </x:c>
      <x:c r="N5" s="10" t="str">
        <x:v>時価最大DD（円）</x:v>
      </x:c>
    </x:row>
    <x:row r="6" ht="24" customHeight="1">
      <x:c r="A6" s="2" t="str">
        <x:v>2026-09-21_Day</x:v>
      </x:c>
      <x:c r="B6" s="6" t="str">
        <x:v>デイ</x:v>
      </x:c>
      <x:c r="C6" s="6" t="n">
        <x:v>80000</x:v>
      </x:c>
      <x:c r="D6" s="6" t="n">
        <x:v>456000</x:v>
      </x:c>
      <x:c r="E6" s="6" t="n">
        <x:f>C6-D6</x:f>
        <x:v>-376000</x:v>
      </x:c>
      <x:c r="F6" s="6" t="n">
        <x:f>E6</x:f>
        <x:v>-376000</x:v>
      </x:c>
      <x:c r="G6" s="6" t="n">
        <x:v>52500</x:v>
      </x:c>
      <x:c r="H6" s="6" t="n">
        <x:v>428500</x:v>
      </x:c>
      <x:c r="I6" s="6" t="n">
        <x:v>30</x:v>
      </x:c>
      <x:c r="J6" s="6" t="n">
        <x:v>62</x:v>
      </x:c>
      <x:c r="K6" s="6" t="n">
        <x:v>69</x:v>
      </x:c>
      <x:c r="L6" s="6" t="n">
        <x:v>10</x:v>
      </x:c>
      <x:c r="M6" s="11" t="n">
        <x:v>0.8905952380952381</x:v>
      </x:c>
      <x:c r="N6" s="6" t="n">
        <x:v>395000</x:v>
      </x:c>
    </x:row>
    <x:row r="7" ht="24" customHeight="1">
      <x:c r="A7" s="2" t="str">
        <x:v>2026-09-21_Night</x:v>
      </x:c>
      <x:c r="B7" s="6" t="str">
        <x:v>ナイト</x:v>
      </x:c>
      <x:c r="C7" s="6" t="n">
        <x:v>57500</x:v>
      </x:c>
      <x:c r="D7" s="6" t="n">
        <x:v>277500</x:v>
      </x:c>
      <x:c r="E7" s="6" t="n">
        <x:f>C7-D7</x:f>
        <x:v>-220000</x:v>
      </x:c>
      <x:c r="F7" s="6" t="n">
        <x:f>F6+E7</x:f>
        <x:v>-596000</x:v>
      </x:c>
      <x:c r="G7" s="6" t="n">
        <x:v>23500</x:v>
      </x:c>
      <x:c r="H7" s="6" t="n">
        <x:v>243500</x:v>
      </x:c>
      <x:c r="I7" s="6" t="n">
        <x:v>24</x:v>
      </x:c>
      <x:c r="J7" s="6" t="n">
        <x:v>130</x:v>
      </x:c>
      <x:c r="K7" s="6" t="n">
        <x:v>145</x:v>
      </x:c>
      <x:c r="L7" s="6" t="n">
        <x:v>10</x:v>
      </x:c>
      <x:c r="M7" s="11" t="n">
        <x:v>0.9076923076923077</x:v>
      </x:c>
      <x:c r="N7" s="6" t="n">
        <x:v>234500</x:v>
      </x:c>
    </x:row>
    <x:row r="8" ht="24" customHeight="1">
      <x:c r="A8" s="2" t="str">
        <x:v>2026-09-22_Day</x:v>
      </x:c>
      <x:c r="B8" s="6" t="str">
        <x:v>デイ</x:v>
      </x:c>
      <x:c r="C8" s="6" t="n">
        <x:v>86500</x:v>
      </x:c>
      <x:c r="D8" s="6" t="n">
        <x:v>390500</x:v>
      </x:c>
      <x:c r="E8" s="6" t="n">
        <x:f>C8-D8</x:f>
        <x:v>-304000</x:v>
      </x:c>
      <x:c r="F8" s="6" t="n">
        <x:f>F7+E8</x:f>
        <x:v>-900000</x:v>
      </x:c>
      <x:c r="G8" s="6" t="n">
        <x:v>36000</x:v>
      </x:c>
      <x:c r="H8" s="6" t="n">
        <x:v>340000</x:v>
      </x:c>
      <x:c r="I8" s="6" t="n">
        <x:v>27</x:v>
      </x:c>
      <x:c r="J8" s="6" t="n">
        <x:v>132</x:v>
      </x:c>
      <x:c r="K8" s="6" t="n">
        <x:v>141</x:v>
      </x:c>
      <x:c r="L8" s="6" t="n">
        <x:v>10</x:v>
      </x:c>
      <x:c r="M8" s="11" t="n">
        <x:v>0.9059126984126984</x:v>
      </x:c>
      <x:c r="N8" s="6" t="n">
        <x:v>330500</x:v>
      </x:c>
    </x:row>
    <x:row r="9" ht="24" customHeight="1">
      <x:c r="A9" s="2" t="str">
        <x:v>2026-09-22_Night</x:v>
      </x:c>
      <x:c r="B9" s="6" t="str">
        <x:v>ナイト</x:v>
      </x:c>
      <x:c r="C9" s="6" t="n">
        <x:v>222000</x:v>
      </x:c>
      <x:c r="D9" s="6" t="n">
        <x:v>880000</x:v>
      </x:c>
      <x:c r="E9" s="6" t="n">
        <x:f>C9-D9</x:f>
        <x:v>-658000</x:v>
      </x:c>
      <x:c r="F9" s="6" t="n">
        <x:f>F8+E9</x:f>
        <x:v>-1558000</x:v>
      </x:c>
      <x:c r="G9" s="6" t="n">
        <x:v>133500</x:v>
      </x:c>
      <x:c r="H9" s="6" t="n">
        <x:v>791500</x:v>
      </x:c>
      <x:c r="I9" s="6" t="n">
        <x:v>63</x:v>
      </x:c>
      <x:c r="J9" s="6" t="n">
        <x:v>222</x:v>
      </x:c>
      <x:c r="K9" s="6" t="n">
        <x:v>269</x:v>
      </x:c>
      <x:c r="L9" s="6" t="n">
        <x:v>10</x:v>
      </x:c>
      <x:c r="M9" s="11" t="n">
        <x:v>0.9375854700854701</x:v>
      </x:c>
      <x:c r="N9" s="6" t="n">
        <x:v>664000</x:v>
      </x:c>
    </x:row>
    <x:row r="10" ht="24" customHeight="1">
      <x:c r="A10" s="2" t="str">
        <x:v>2026-09-23_Day</x:v>
      </x:c>
      <x:c r="B10" s="6" t="str">
        <x:v>デイ</x:v>
      </x:c>
      <x:c r="C10" s="6" t="n">
        <x:v>194500</x:v>
      </x:c>
      <x:c r="D10" s="6" t="n">
        <x:v>339500</x:v>
      </x:c>
      <x:c r="E10" s="6" t="n">
        <x:f>C10-D10</x:f>
        <x:v>-145000</x:v>
      </x:c>
      <x:c r="F10" s="6" t="n">
        <x:f>F9+E10</x:f>
        <x:v>-1703000</x:v>
      </x:c>
      <x:c r="G10" s="6" t="n">
        <x:v>134500</x:v>
      </x:c>
      <x:c r="H10" s="6" t="n">
        <x:v>279500</x:v>
      </x:c>
      <x:c r="I10" s="6" t="n">
        <x:v>27</x:v>
      </x:c>
      <x:c r="J10" s="6" t="n">
        <x:v>94</x:v>
      </x:c>
      <x:c r="K10" s="6" t="n">
        <x:v>110</x:v>
      </x:c>
      <x:c r="L10" s="6" t="n">
        <x:v>10</x:v>
      </x:c>
      <x:c r="M10" s="11" t="n">
        <x:v>0.9331746031746032</x:v>
      </x:c>
      <x:c r="N10" s="6" t="n">
        <x:v>241000</x:v>
      </x:c>
    </x:row>
    <x:row r="11" ht="24" customHeight="1">
      <x:c r="A11" s="2" t="str">
        <x:v>2026-09-23_Night</x:v>
      </x:c>
      <x:c r="B11" s="6" t="str">
        <x:v>ナイト</x:v>
      </x:c>
      <x:c r="C11" s="6" t="n">
        <x:v>94500</x:v>
      </x:c>
      <x:c r="D11" s="6" t="n">
        <x:v>447000</x:v>
      </x:c>
      <x:c r="E11" s="6" t="n">
        <x:f>C11-D11</x:f>
        <x:v>-352500</x:v>
      </x:c>
      <x:c r="F11" s="6" t="n">
        <x:f>F10+E11</x:f>
        <x:v>-2055500</x:v>
      </x:c>
      <x:c r="G11" s="6" t="n">
        <x:v>54500</x:v>
      </x:c>
      <x:c r="H11" s="6" t="n">
        <x:v>407000</x:v>
      </x:c>
      <x:c r="I11" s="6" t="n">
        <x:v>35</x:v>
      </x:c>
      <x:c r="J11" s="6" t="n">
        <x:v>151</x:v>
      </x:c>
      <x:c r="K11" s="6" t="n">
        <x:v>161</x:v>
      </x:c>
      <x:c r="L11" s="6" t="n">
        <x:v>10</x:v>
      </x:c>
      <x:c r="M11" s="11" t="n">
        <x:v>0.9221367521367522</x:v>
      </x:c>
      <x:c r="N11" s="6" t="n">
        <x:v>355000</x:v>
      </x:c>
    </x:row>
    <x:row r="12" ht="24" customHeight="1">
      <x:c r="A12" s="2" t="str">
        <x:v>2026-09-24_Day</x:v>
      </x:c>
      <x:c r="B12" s="6" t="str">
        <x:v>デイ</x:v>
      </x:c>
      <x:c r="C12" s="6" t="n">
        <x:v>582500</x:v>
      </x:c>
      <x:c r="D12" s="6" t="n">
        <x:v>1217500</x:v>
      </x:c>
      <x:c r="E12" s="6" t="n">
        <x:f>C12-D12</x:f>
        <x:v>-635000</x:v>
      </x:c>
      <x:c r="F12" s="6" t="n">
        <x:f>F11+E12</x:f>
        <x:v>-2690500</x:v>
      </x:c>
      <x:c r="G12" s="6" t="n">
        <x:v>483000</x:v>
      </x:c>
      <x:c r="H12" s="6" t="n">
        <x:v>1118000</x:v>
      </x:c>
      <x:c r="I12" s="6" t="n">
        <x:v>79</x:v>
      </x:c>
      <x:c r="J12" s="6" t="n">
        <x:v>202</x:v>
      </x:c>
      <x:c r="K12" s="6" t="n">
        <x:v>242</x:v>
      </x:c>
      <x:c r="L12" s="6" t="n">
        <x:v>10</x:v>
      </x:c>
      <x:c r="M12" s="11" t="n">
        <x:v>0.9106746031746031</x:v>
      </x:c>
      <x:c r="N12" s="6" t="n">
        <x:v>700000</x:v>
      </x:c>
    </x:row>
    <x:row r="13" ht="24" customHeight="1">
      <x:c r="A13" s="2" t="str">
        <x:v>2026-09-24_Night</x:v>
      </x:c>
      <x:c r="B13" s="6" t="str">
        <x:v>ナイト</x:v>
      </x:c>
      <x:c r="C13" s="6" t="n">
        <x:v>364500</x:v>
      </x:c>
      <x:c r="D13" s="6" t="n">
        <x:v>1014000</x:v>
      </x:c>
      <x:c r="E13" s="6" t="n">
        <x:f>C13-D13</x:f>
        <x:v>-649500</x:v>
      </x:c>
      <x:c r="F13" s="6" t="n">
        <x:f>F12+E13</x:f>
        <x:v>-3340000</x:v>
      </x:c>
      <x:c r="G13" s="6" t="n">
        <x:v>244500</x:v>
      </x:c>
      <x:c r="H13" s="6" t="n">
        <x:v>894000</x:v>
      </x:c>
      <x:c r="I13" s="6" t="n">
        <x:v>77</x:v>
      </x:c>
      <x:c r="J13" s="6" t="n">
        <x:v>261</x:v>
      </x:c>
      <x:c r="K13" s="6" t="n">
        <x:v>332</x:v>
      </x:c>
      <x:c r="L13" s="6" t="n">
        <x:v>10</x:v>
      </x:c>
      <x:c r="M13" s="11" t="n">
        <x:v>0.9448290598290598</x:v>
      </x:c>
      <x:c r="N13" s="6" t="n">
        <x:v>722500</x:v>
      </x:c>
    </x:row>
    <x:row r="14" ht="24" customHeight="1">
      <x:c r="A14" s="2" t="str">
        <x:v>2026-09-25_Day</x:v>
      </x:c>
      <x:c r="B14" s="6" t="str">
        <x:v>デイ</x:v>
      </x:c>
      <x:c r="C14" s="6" t="n">
        <x:v>411000</x:v>
      </x:c>
      <x:c r="D14" s="6" t="n">
        <x:v>718000</x:v>
      </x:c>
      <x:c r="E14" s="6" t="n">
        <x:f>C14-D14</x:f>
        <x:v>-307000</x:v>
      </x:c>
      <x:c r="F14" s="6" t="n">
        <x:f>F13+E14</x:f>
        <x:v>-3647000</x:v>
      </x:c>
      <x:c r="G14" s="6" t="n">
        <x:v>322500</x:v>
      </x:c>
      <x:c r="H14" s="6" t="n">
        <x:v>629500</x:v>
      </x:c>
      <x:c r="I14" s="6" t="n">
        <x:v>56</x:v>
      </x:c>
      <x:c r="J14" s="6" t="n">
        <x:v>193</x:v>
      </x:c>
      <x:c r="K14" s="6" t="n">
        <x:v>243</x:v>
      </x:c>
      <x:c r="L14" s="6" t="n">
        <x:v>10</x:v>
      </x:c>
      <x:c r="M14" s="11" t="n">
        <x:v>0.9360714285714286</x:v>
      </x:c>
      <x:c r="N14" s="6" t="n">
        <x:v>340000</x:v>
      </x:c>
    </x:row>
    <x:row r="15" ht="24" customHeight="1">
      <x:c r="A15" s="2" t="str">
        <x:v>2026-09-25_Night</x:v>
      </x:c>
      <x:c r="B15" s="6" t="str">
        <x:v>ナイト</x:v>
      </x:c>
      <x:c r="C15" s="6" t="n">
        <x:v>326500</x:v>
      </x:c>
      <x:c r="D15" s="6" t="n">
        <x:v>469000</x:v>
      </x:c>
      <x:c r="E15" s="6" t="n">
        <x:f>C15-D15</x:f>
        <x:v>-142500</x:v>
      </x:c>
      <x:c r="F15" s="6" t="n">
        <x:f>F14+E15</x:f>
        <x:v>-3789500</x:v>
      </x:c>
      <x:c r="G15" s="6" t="n">
        <x:v>254500</x:v>
      </x:c>
      <x:c r="H15" s="6" t="n">
        <x:v>397000</x:v>
      </x:c>
      <x:c r="I15" s="6" t="n">
        <x:v>49</x:v>
      </x:c>
      <x:c r="J15" s="6" t="n">
        <x:v>218</x:v>
      </x:c>
      <x:c r="K15" s="6" t="n">
        <x:v>268</x:v>
      </x:c>
      <x:c r="L15" s="6" t="n">
        <x:v>10</x:v>
      </x:c>
      <x:c r="M15" s="11" t="n">
        <x:v>0.9517307692307693</x:v>
      </x:c>
      <x:c r="N15" s="6" t="n">
        <x:v>216000</x:v>
      </x:c>
    </x:row>
    <x:row r="16" ht="24" customHeight="1">
      <x:c r="A16" s="2" t="str">
        <x:v>2026-09-28_Day</x:v>
      </x:c>
      <x:c r="B16" s="6" t="str">
        <x:v>デイ</x:v>
      </x:c>
      <x:c r="C16" s="6" t="n">
        <x:v>342500</x:v>
      </x:c>
      <x:c r="D16" s="6" t="n">
        <x:v>650500</x:v>
      </x:c>
      <x:c r="E16" s="6" t="n">
        <x:f>C16-D16</x:f>
        <x:v>-308000</x:v>
      </x:c>
      <x:c r="F16" s="6" t="n">
        <x:f>F15+E16</x:f>
        <x:v>-4097500</x:v>
      </x:c>
      <x:c r="G16" s="6" t="n">
        <x:v>264500</x:v>
      </x:c>
      <x:c r="H16" s="6" t="n">
        <x:v>572500</x:v>
      </x:c>
      <x:c r="I16" s="6" t="n">
        <x:v>50</x:v>
      </x:c>
      <x:c r="J16" s="6" t="n">
        <x:v>204</x:v>
      </x:c>
      <x:c r="K16" s="6" t="n">
        <x:v>223</x:v>
      </x:c>
      <x:c r="L16" s="6" t="n">
        <x:v>10</x:v>
      </x:c>
      <x:c r="M16" s="11" t="n">
        <x:v>0.9079365079365079</x:v>
      </x:c>
      <x:c r="N16" s="6" t="n">
        <x:v>429000</x:v>
      </x:c>
    </x:row>
    <x:row r="17" ht="24" customHeight="1">
      <x:c r="A17" s="2" t="str">
        <x:v>2026-09-28_Night</x:v>
      </x:c>
      <x:c r="B17" s="6" t="str">
        <x:v>ナイト</x:v>
      </x:c>
      <x:c r="C17" s="6" t="n">
        <x:v>240000</x:v>
      </x:c>
      <x:c r="D17" s="6" t="n">
        <x:v>882500</x:v>
      </x:c>
      <x:c r="E17" s="6" t="n">
        <x:f>C17-D17</x:f>
        <x:v>-642500</x:v>
      </x:c>
      <x:c r="F17" s="6" t="n">
        <x:f>F16+E17</x:f>
        <x:v>-4740000</x:v>
      </x:c>
      <x:c r="G17" s="6" t="n">
        <x:v>144000</x:v>
      </x:c>
      <x:c r="H17" s="6" t="n">
        <x:v>786500</x:v>
      </x:c>
      <x:c r="I17" s="6" t="n">
        <x:v>61</x:v>
      </x:c>
      <x:c r="J17" s="6" t="n">
        <x:v>230</x:v>
      </x:c>
      <x:c r="K17" s="6" t="n">
        <x:v>317</x:v>
      </x:c>
      <x:c r="L17" s="6" t="n">
        <x:v>10</x:v>
      </x:c>
      <x:c r="M17" s="11" t="n">
        <x:v>0.9369871794871795</x:v>
      </x:c>
      <x:c r="N17" s="6" t="n">
        <x:v>645500</x:v>
      </x:c>
    </x:row>
    <x:row r="18" ht="24" customHeight="1">
      <x:c r="A18" s="2" t="str">
        <x:v>2026-09-29_Day</x:v>
      </x:c>
      <x:c r="B18" s="6" t="str">
        <x:v>デイ</x:v>
      </x:c>
      <x:c r="C18" s="6" t="n">
        <x:v>384000</x:v>
      </x:c>
      <x:c r="D18" s="6" t="n">
        <x:v>1000500</x:v>
      </x:c>
      <x:c r="E18" s="6" t="n">
        <x:f>C18-D18</x:f>
        <x:v>-616500</x:v>
      </x:c>
      <x:c r="F18" s="6" t="n">
        <x:f>F17+E18</x:f>
        <x:v>-5356500</x:v>
      </x:c>
      <x:c r="G18" s="6" t="n">
        <x:v>248000</x:v>
      </x:c>
      <x:c r="H18" s="6" t="n">
        <x:v>864500</x:v>
      </x:c>
      <x:c r="I18" s="6" t="n">
        <x:v>71</x:v>
      </x:c>
      <x:c r="J18" s="6" t="n">
        <x:v>237</x:v>
      </x:c>
      <x:c r="K18" s="6" t="n">
        <x:v>267</x:v>
      </x:c>
      <x:c r="L18" s="6" t="n">
        <x:v>10</x:v>
      </x:c>
      <x:c r="M18" s="11" t="n">
        <x:v>0.9199206349206349</x:v>
      </x:c>
      <x:c r="N18" s="6" t="n">
        <x:v>637000</x:v>
      </x:c>
    </x:row>
    <x:row r="19" ht="24" customHeight="1">
      <x:c r="A19" s="2" t="str">
        <x:v>2026-09-29_Night</x:v>
      </x:c>
      <x:c r="B19" s="6" t="str">
        <x:v>ナイト</x:v>
      </x:c>
      <x:c r="C19" s="6" t="n">
        <x:v>154000</x:v>
      </x:c>
      <x:c r="D19" s="6" t="n">
        <x:v>689000</x:v>
      </x:c>
      <x:c r="E19" s="6" t="n">
        <x:f>C19-D19</x:f>
        <x:v>-535000</x:v>
      </x:c>
      <x:c r="F19" s="6" t="n">
        <x:f>F18+E19</x:f>
        <x:v>-5891500</x:v>
      </x:c>
      <x:c r="G19" s="6" t="n">
        <x:v>73000</x:v>
      </x:c>
      <x:c r="H19" s="6" t="n">
        <x:v>608000</x:v>
      </x:c>
      <x:c r="I19" s="6" t="n">
        <x:v>55</x:v>
      </x:c>
      <x:c r="J19" s="6" t="n">
        <x:v>227</x:v>
      </x:c>
      <x:c r="K19" s="6" t="n">
        <x:v>286</x:v>
      </x:c>
      <x:c r="L19" s="6" t="n">
        <x:v>10</x:v>
      </x:c>
      <x:c r="M19" s="11" t="n">
        <x:v>0.9521581196581197</x:v>
      </x:c>
      <x:c r="N19" s="6" t="n">
        <x:v>548500</x:v>
      </x:c>
    </x:row>
    <x:row r="20" ht="24" customHeight="1">
      <x:c r="A20" s="2" t="str">
        <x:v>2026-09-30_Day</x:v>
      </x:c>
      <x:c r="B20" s="6" t="str">
        <x:v>デイ</x:v>
      </x:c>
      <x:c r="C20" s="6" t="n">
        <x:v>351500</x:v>
      </x:c>
      <x:c r="D20" s="6" t="n">
        <x:v>798000</x:v>
      </x:c>
      <x:c r="E20" s="6" t="n">
        <x:f>C20-D20</x:f>
        <x:v>-446500</x:v>
      </x:c>
      <x:c r="F20" s="6" t="n">
        <x:f>F19+E20</x:f>
        <x:v>-6338000</x:v>
      </x:c>
      <x:c r="G20" s="6" t="n">
        <x:v>242500</x:v>
      </x:c>
      <x:c r="H20" s="6" t="n">
        <x:v>689000</x:v>
      </x:c>
      <x:c r="I20" s="6" t="n">
        <x:v>55</x:v>
      </x:c>
      <x:c r="J20" s="6" t="n">
        <x:v>243</x:v>
      </x:c>
      <x:c r="K20" s="6" t="n">
        <x:v>259</x:v>
      </x:c>
      <x:c r="L20" s="6" t="n">
        <x:v>10</x:v>
      </x:c>
      <x:c r="M20" s="11" t="n">
        <x:v>0.9243253968253968</x:v>
      </x:c>
      <x:c r="N20" s="6" t="n">
        <x:v>453000</x:v>
      </x:c>
    </x:row>
    <x:row r="21" ht="24" customHeight="1">
      <x:c r="A21" s="2" t="str">
        <x:v>2026-09-30_Night</x:v>
      </x:c>
      <x:c r="B21" s="6" t="str">
        <x:v>ナイト</x:v>
      </x:c>
      <x:c r="C21" s="6" t="n">
        <x:v>337500</x:v>
      </x:c>
      <x:c r="D21" s="6" t="n">
        <x:v>1121000</x:v>
      </x:c>
      <x:c r="E21" s="6" t="n">
        <x:f>C21-D21</x:f>
        <x:v>-783500</x:v>
      </x:c>
      <x:c r="F21" s="6" t="n">
        <x:f>F20+E21</x:f>
        <x:v>-7121500</x:v>
      </x:c>
      <x:c r="G21" s="6" t="n">
        <x:v>213500</x:v>
      </x:c>
      <x:c r="H21" s="6" t="n">
        <x:v>997000</x:v>
      </x:c>
      <x:c r="I21" s="6" t="n">
        <x:v>78</x:v>
      </x:c>
      <x:c r="J21" s="6" t="n">
        <x:v>322</x:v>
      </x:c>
      <x:c r="K21" s="6" t="n">
        <x:v>387</x:v>
      </x:c>
      <x:c r="L21" s="6" t="n">
        <x:v>10</x:v>
      </x:c>
      <x:c r="M21" s="11" t="n">
        <x:v>0.9341025641025641</x:v>
      </x:c>
      <x:c r="N21" s="6" t="n">
        <x:v>812000</x:v>
      </x:c>
    </x:row>
    <x:row r="22" ht="24" customHeight="1">
      <x:c r="A22" s="2" t="str">
        <x:v>2026-10-01_Day</x:v>
      </x:c>
      <x:c r="B22" s="6" t="str">
        <x:v>デイ</x:v>
      </x:c>
      <x:c r="C22" s="6" t="n">
        <x:v>404000</x:v>
      </x:c>
      <x:c r="D22" s="6" t="n">
        <x:v>844500</x:v>
      </x:c>
      <x:c r="E22" s="6" t="n">
        <x:f>C22-D22</x:f>
        <x:v>-440500</x:v>
      </x:c>
      <x:c r="F22" s="6" t="n">
        <x:f>F21+E22</x:f>
        <x:v>-7562000</x:v>
      </x:c>
      <x:c r="G22" s="6" t="n">
        <x:v>318000</x:v>
      </x:c>
      <x:c r="H22" s="6" t="n">
        <x:v>758500</x:v>
      </x:c>
      <x:c r="I22" s="6" t="n">
        <x:v>59</x:v>
      </x:c>
      <x:c r="J22" s="6" t="n">
        <x:v>250</x:v>
      </x:c>
      <x:c r="K22" s="6" t="n">
        <x:v>259</x:v>
      </x:c>
      <x:c r="L22" s="6" t="n">
        <x:v>10</x:v>
      </x:c>
      <x:c r="M22" s="11" t="n">
        <x:v>0.9243650793650794</x:v>
      </x:c>
      <x:c r="N22" s="6" t="n">
        <x:v>495000</x:v>
      </x:c>
    </x:row>
    <x:row r="23" ht="24" customHeight="1">
      <x:c r="A23" s="2" t="str">
        <x:v>2026-10-01_Night</x:v>
      </x:c>
      <x:c r="B23" s="6" t="str">
        <x:v>ナイト</x:v>
      </x:c>
      <x:c r="C23" s="6" t="n">
        <x:v>345500</x:v>
      </x:c>
      <x:c r="D23" s="6" t="n">
        <x:v>1022000</x:v>
      </x:c>
      <x:c r="E23" s="6" t="n">
        <x:f>C23-D23</x:f>
        <x:v>-676500</x:v>
      </x:c>
      <x:c r="F23" s="6" t="n">
        <x:f>F22+E23</x:f>
        <x:v>-8238500</x:v>
      </x:c>
      <x:c r="G23" s="6" t="n">
        <x:v>198000</x:v>
      </x:c>
      <x:c r="H23" s="6" t="n">
        <x:v>874500</x:v>
      </x:c>
      <x:c r="I23" s="6" t="n">
        <x:v>85</x:v>
      </x:c>
      <x:c r="J23" s="6" t="n">
        <x:v>358</x:v>
      </x:c>
      <x:c r="K23" s="6" t="n">
        <x:v>425</x:v>
      </x:c>
      <x:c r="L23" s="6" t="n">
        <x:v>10</x:v>
      </x:c>
      <x:c r="M23" s="11" t="n">
        <x:v>0.9356196581196581</x:v>
      </x:c>
      <x:c r="N23" s="6" t="n">
        <x:v>679000</x:v>
      </x:c>
    </x:row>
    <x:row r="24" ht="24" customHeight="1">
      <x:c r="A24" s="2" t="str">
        <x:v>2026-10-02_Day</x:v>
      </x:c>
      <x:c r="B24" s="6" t="str">
        <x:v>デイ</x:v>
      </x:c>
      <x:c r="C24" s="6" t="n">
        <x:v>261500</x:v>
      </x:c>
      <x:c r="D24" s="6" t="n">
        <x:v>781500</x:v>
      </x:c>
      <x:c r="E24" s="6" t="n">
        <x:f>C24-D24</x:f>
        <x:v>-520000</x:v>
      </x:c>
      <x:c r="F24" s="6" t="n">
        <x:f>F23+E24</x:f>
        <x:v>-8758500</x:v>
      </x:c>
      <x:c r="G24" s="6" t="n">
        <x:v>149500</x:v>
      </x:c>
      <x:c r="H24" s="6" t="n">
        <x:v>669500</x:v>
      </x:c>
      <x:c r="I24" s="6" t="n">
        <x:v>60</x:v>
      </x:c>
      <x:c r="J24" s="6" t="n">
        <x:v>236</x:v>
      </x:c>
      <x:c r="K24" s="6" t="n">
        <x:v>274</x:v>
      </x:c>
      <x:c r="L24" s="6" t="n">
        <x:v>10</x:v>
      </x:c>
      <x:c r="M24" s="11" t="n">
        <x:v>0.9299603174603175</x:v>
      </x:c>
      <x:c r="N24" s="6" t="n">
        <x:v>559000</x:v>
      </x:c>
    </x:row>
    <x:row r="25" ht="24" customHeight="1">
      <x:c r="A25" s="2" t="str">
        <x:v>2026-10-02_Night</x:v>
      </x:c>
      <x:c r="B25" s="6" t="str">
        <x:v>ナイト</x:v>
      </x:c>
      <x:c r="C25" s="6" t="n">
        <x:v>504500</x:v>
      </x:c>
      <x:c r="D25" s="6" t="n">
        <x:v>1175000</x:v>
      </x:c>
      <x:c r="E25" s="6" t="n">
        <x:f>C25-D25</x:f>
        <x:v>-670500</x:v>
      </x:c>
      <x:c r="F25" s="6" t="n">
        <x:f>F24+E25</x:f>
        <x:v>-9429000</x:v>
      </x:c>
      <x:c r="G25" s="6" t="n">
        <x:v>404000</x:v>
      </x:c>
      <x:c r="H25" s="6" t="n">
        <x:v>1074500</x:v>
      </x:c>
      <x:c r="I25" s="6" t="n">
        <x:v>82</x:v>
      </x:c>
      <x:c r="J25" s="6" t="n">
        <x:v>268</x:v>
      </x:c>
      <x:c r="K25" s="6" t="n">
        <x:v>338</x:v>
      </x:c>
      <x:c r="L25" s="6" t="n">
        <x:v>10</x:v>
      </x:c>
      <x:c r="M25" s="11" t="n">
        <x:v>0.9326282051282051</x:v>
      </x:c>
      <x:c r="N25" s="6" t="n">
        <x:v>801500</x:v>
      </x:c>
    </x:row>
    <x:row r="26" ht="24" customHeight="1">
      <x:c r="A26" s="2" t="str">
        <x:v>2026-10-05_Day</x:v>
      </x:c>
      <x:c r="B26" s="6" t="str">
        <x:v>デイ</x:v>
      </x:c>
      <x:c r="C26" s="6" t="n">
        <x:v>211000</x:v>
      </x:c>
      <x:c r="D26" s="6" t="n">
        <x:v>664000</x:v>
      </x:c>
      <x:c r="E26" s="6" t="n">
        <x:f>C26-D26</x:f>
        <x:v>-453000</x:v>
      </x:c>
      <x:c r="F26" s="6" t="n">
        <x:f>F25+E26</x:f>
        <x:v>-9882000</x:v>
      </x:c>
      <x:c r="G26" s="6" t="n">
        <x:v>117500</x:v>
      </x:c>
      <x:c r="H26" s="6" t="n">
        <x:v>570500</x:v>
      </x:c>
      <x:c r="I26" s="6" t="n">
        <x:v>45</x:v>
      </x:c>
      <x:c r="J26" s="6" t="n">
        <x:v>179</x:v>
      </x:c>
      <x:c r="K26" s="6" t="n">
        <x:v>240</x:v>
      </x:c>
      <x:c r="L26" s="6" t="n">
        <x:v>10</x:v>
      </x:c>
      <x:c r="M26" s="11" t="n">
        <x:v>0.939047619047619</x:v>
      </x:c>
      <x:c r="N26" s="6" t="n">
        <x:v>458500</x:v>
      </x:c>
    </x:row>
    <x:row r="27" ht="24" customHeight="1">
      <x:c r="A27" s="2" t="str">
        <x:v>2026-10-05_Night</x:v>
      </x:c>
      <x:c r="B27" s="6" t="str">
        <x:v>ナイト</x:v>
      </x:c>
      <x:c r="C27" s="6" t="n">
        <x:v>246000</x:v>
      </x:c>
      <x:c r="D27" s="6" t="n">
        <x:v>585000</x:v>
      </x:c>
      <x:c r="E27" s="6" t="n">
        <x:f>C27-D27</x:f>
        <x:v>-339000</x:v>
      </x:c>
      <x:c r="F27" s="6" t="n">
        <x:f>F26+E27</x:f>
        <x:v>-10221000</x:v>
      </x:c>
      <x:c r="G27" s="6" t="n">
        <x:v>147000</x:v>
      </x:c>
      <x:c r="H27" s="6" t="n">
        <x:v>486000</x:v>
      </x:c>
      <x:c r="I27" s="6" t="n">
        <x:v>36</x:v>
      </x:c>
      <x:c r="J27" s="6" t="n">
        <x:v>199</x:v>
      </x:c>
      <x:c r="K27" s="6" t="n">
        <x:v>231</x:v>
      </x:c>
      <x:c r="L27" s="6" t="n">
        <x:v>10</x:v>
      </x:c>
      <x:c r="M27" s="11" t="n">
        <x:v>0.9561538461538461</x:v>
      </x:c>
      <x:c r="N27" s="6" t="n">
        <x:v>399000</x:v>
      </x:c>
    </x:row>
    <x:row r="28" ht="24" customHeight="1">
      <x:c r="A28" s="2" t="str">
        <x:v>2026-10-06_Day</x:v>
      </x:c>
      <x:c r="B28" s="6" t="str">
        <x:v>デイ</x:v>
      </x:c>
      <x:c r="C28" s="6" t="n">
        <x:v>158000</x:v>
      </x:c>
      <x:c r="D28" s="6" t="n">
        <x:v>389500</x:v>
      </x:c>
      <x:c r="E28" s="6" t="n">
        <x:f>C28-D28</x:f>
        <x:v>-231500</x:v>
      </x:c>
      <x:c r="F28" s="6" t="n">
        <x:f>F27+E28</x:f>
        <x:v>-10452500</x:v>
      </x:c>
      <x:c r="G28" s="6" t="n">
        <x:v>101500</x:v>
      </x:c>
      <x:c r="H28" s="6" t="n">
        <x:v>333000</x:v>
      </x:c>
      <x:c r="I28" s="6" t="n">
        <x:v>27</x:v>
      </x:c>
      <x:c r="J28" s="6" t="n">
        <x:v>168</x:v>
      </x:c>
      <x:c r="K28" s="6" t="n">
        <x:v>189</x:v>
      </x:c>
      <x:c r="L28" s="6" t="n">
        <x:v>10</x:v>
      </x:c>
      <x:c r="M28" s="11" t="n">
        <x:v>0.9233333333333333</x:v>
      </x:c>
      <x:c r="N28" s="6" t="n">
        <x:v>278500</x:v>
      </x:c>
    </x:row>
    <x:row r="29" ht="24" customHeight="1">
      <x:c r="A29" s="2" t="str">
        <x:v>2026-10-06_Night</x:v>
      </x:c>
      <x:c r="B29" s="6" t="str">
        <x:v>ナイト</x:v>
      </x:c>
      <x:c r="C29" s="6" t="n">
        <x:v>103500</x:v>
      </x:c>
      <x:c r="D29" s="6" t="n">
        <x:v>305000</x:v>
      </x:c>
      <x:c r="E29" s="6" t="n">
        <x:f>C29-D29</x:f>
        <x:v>-201500</x:v>
      </x:c>
      <x:c r="F29" s="6" t="n">
        <x:f>F28+E29</x:f>
        <x:v>-10654000</x:v>
      </x:c>
      <x:c r="G29" s="6" t="n">
        <x:v>40000</x:v>
      </x:c>
      <x:c r="H29" s="6" t="n">
        <x:v>241500</x:v>
      </x:c>
      <x:c r="I29" s="6" t="n">
        <x:v>22</x:v>
      </x:c>
      <x:c r="J29" s="6" t="n">
        <x:v>164</x:v>
      </x:c>
      <x:c r="K29" s="6" t="n">
        <x:v>189</x:v>
      </x:c>
      <x:c r="L29" s="6" t="n">
        <x:v>10</x:v>
      </x:c>
      <x:c r="M29" s="11" t="n">
        <x:v>0.9678418803418803</x:v>
      </x:c>
      <x:c r="N29" s="6" t="n">
        <x:v>207500</x:v>
      </x:c>
    </x:row>
    <x:row r="30" ht="24" customHeight="1">
      <x:c r="A30" s="2" t="str">
        <x:v>2026-10-07_Day</x:v>
      </x:c>
      <x:c r="B30" s="6" t="str">
        <x:v>デイ</x:v>
      </x:c>
      <x:c r="C30" s="6" t="n">
        <x:v>256500</x:v>
      </x:c>
      <x:c r="D30" s="6" t="n">
        <x:v>395500</x:v>
      </x:c>
      <x:c r="E30" s="6" t="n">
        <x:f>C30-D30</x:f>
        <x:v>-139000</x:v>
      </x:c>
      <x:c r="F30" s="6" t="n">
        <x:f>F29+E30</x:f>
        <x:v>-10793000</x:v>
      </x:c>
      <x:c r="G30" s="6" t="n">
        <x:v>202500</x:v>
      </x:c>
      <x:c r="H30" s="6" t="n">
        <x:v>341500</x:v>
      </x:c>
      <x:c r="I30" s="6" t="n">
        <x:v>30</x:v>
      </x:c>
      <x:c r="J30" s="6" t="n">
        <x:v>155</x:v>
      </x:c>
      <x:c r="K30" s="6" t="n">
        <x:v>177</x:v>
      </x:c>
      <x:c r="L30" s="6" t="n">
        <x:v>10</x:v>
      </x:c>
      <x:c r="M30" s="11" t="n">
        <x:v>0.9488095238095238</x:v>
      </x:c>
      <x:c r="N30" s="6" t="n">
        <x:v>241000</x:v>
      </x:c>
    </x:row>
    <x:row r="31" ht="24" customHeight="1">
      <x:c r="A31" s="2" t="str">
        <x:v>2026-10-07_Night</x:v>
      </x:c>
      <x:c r="B31" s="6" t="str">
        <x:v>ナイト</x:v>
      </x:c>
      <x:c r="C31" s="6" t="n">
        <x:v>142000</x:v>
      </x:c>
      <x:c r="D31" s="6" t="n">
        <x:v>542000</x:v>
      </x:c>
      <x:c r="E31" s="6" t="n">
        <x:f>C31-D31</x:f>
        <x:v>-400000</x:v>
      </x:c>
      <x:c r="F31" s="6" t="n">
        <x:f>F30+E31</x:f>
        <x:v>-11193000</x:v>
      </x:c>
      <x:c r="G31" s="6" t="n">
        <x:v>73500</x:v>
      </x:c>
      <x:c r="H31" s="6" t="n">
        <x:v>473500</x:v>
      </x:c>
      <x:c r="I31" s="6" t="n">
        <x:v>45</x:v>
      </x:c>
      <x:c r="J31" s="6" t="n">
        <x:v>213</x:v>
      </x:c>
      <x:c r="K31" s="6" t="n">
        <x:v>252</x:v>
      </x:c>
      <x:c r="L31" s="6" t="n">
        <x:v>10</x:v>
      </x:c>
      <x:c r="M31" s="11" t="n">
        <x:v>0.9429487179487179</x:v>
      </x:c>
      <x:c r="N31" s="6" t="n">
        <x:v>401000</x:v>
      </x:c>
    </x:row>
    <x:row r="32" ht="24" customHeight="1">
      <x:c r="A32" s="2" t="str">
        <x:v>2026-10-08_Day</x:v>
      </x:c>
      <x:c r="B32" s="6" t="str">
        <x:v>デイ</x:v>
      </x:c>
      <x:c r="C32" s="6" t="n">
        <x:v>527000</x:v>
      </x:c>
      <x:c r="D32" s="6" t="n">
        <x:v>509500</x:v>
      </x:c>
      <x:c r="E32" s="6" t="n">
        <x:f>C32-D32</x:f>
        <x:v>17500</x:v>
      </x:c>
      <x:c r="F32" s="6" t="n">
        <x:f>F31+E32</x:f>
        <x:v>-11175500</x:v>
      </x:c>
      <x:c r="G32" s="6" t="n">
        <x:v>461000</x:v>
      </x:c>
      <x:c r="H32" s="6" t="n">
        <x:v>443500</x:v>
      </x:c>
      <x:c r="I32" s="6" t="n">
        <x:v>47</x:v>
      </x:c>
      <x:c r="J32" s="6" t="n">
        <x:v>193</x:v>
      </x:c>
      <x:c r="K32" s="6" t="n">
        <x:v>236</x:v>
      </x:c>
      <x:c r="L32" s="6" t="n">
        <x:v>10</x:v>
      </x:c>
      <x:c r="M32" s="11" t="n">
        <x:v>0.9269047619047619</x:v>
      </x:c>
      <x:c r="N32" s="6" t="n">
        <x:v>291500</x:v>
      </x:c>
    </x:row>
    <x:row r="33" ht="24" customHeight="1">
      <x:c r="A33" s="2" t="str">
        <x:v>2026-10-08_Night</x:v>
      </x:c>
      <x:c r="B33" s="6" t="str">
        <x:v>ナイト</x:v>
      </x:c>
      <x:c r="C33" s="6" t="n">
        <x:v>251500</x:v>
      </x:c>
      <x:c r="D33" s="6" t="n">
        <x:v>841500</x:v>
      </x:c>
      <x:c r="E33" s="6" t="n">
        <x:f>C33-D33</x:f>
        <x:v>-590000</x:v>
      </x:c>
      <x:c r="F33" s="6" t="n">
        <x:f>F32+E33</x:f>
        <x:v>-11765500</x:v>
      </x:c>
      <x:c r="G33" s="6" t="n">
        <x:v>111000</x:v>
      </x:c>
      <x:c r="H33" s="6" t="n">
        <x:v>701000</x:v>
      </x:c>
      <x:c r="I33" s="6" t="n">
        <x:v>61</x:v>
      </x:c>
      <x:c r="J33" s="6" t="n">
        <x:v>280</x:v>
      </x:c>
      <x:c r="K33" s="6" t="n">
        <x:v>333</x:v>
      </x:c>
      <x:c r="L33" s="6" t="n">
        <x:v>10</x:v>
      </x:c>
      <x:c r="M33" s="11" t="n">
        <x:v>0.9501923076923077</x:v>
      </x:c>
      <x:c r="N33" s="6" t="n">
        <x:v>599000</x:v>
      </x:c>
    </x:row>
    <x:row r="34" ht="24" customHeight="1">
      <x:c r="A34" s="2" t="str">
        <x:v>2026-10-09_Day</x:v>
      </x:c>
      <x:c r="B34" s="6" t="str">
        <x:v>デイ</x:v>
      </x:c>
      <x:c r="C34" s="6" t="n">
        <x:v>182500</x:v>
      </x:c>
      <x:c r="D34" s="6" t="n">
        <x:v>880500</x:v>
      </x:c>
      <x:c r="E34" s="6" t="n">
        <x:f>C34-D34</x:f>
        <x:v>-698000</x:v>
      </x:c>
      <x:c r="F34" s="6" t="n">
        <x:f>F33+E34</x:f>
        <x:v>-12463500</x:v>
      </x:c>
      <x:c r="G34" s="6" t="n">
        <x:v>117000</x:v>
      </x:c>
      <x:c r="H34" s="6" t="n">
        <x:v>815000</x:v>
      </x:c>
      <x:c r="I34" s="6" t="n">
        <x:v>50</x:v>
      </x:c>
      <x:c r="J34" s="6" t="n">
        <x:v>188</x:v>
      </x:c>
      <x:c r="K34" s="6" t="n">
        <x:v>215</x:v>
      </x:c>
      <x:c r="L34" s="6" t="n">
        <x:v>10</x:v>
      </x:c>
      <x:c r="M34" s="11" t="n">
        <x:v>0.9254761904761905</x:v>
      </x:c>
      <x:c r="N34" s="6" t="n">
        <x:v>703000</x:v>
      </x:c>
    </x:row>
    <x:row r="35" ht="24" customHeight="1">
      <x:c r="A35" s="2" t="str">
        <x:v>2026-10-09_Night</x:v>
      </x:c>
      <x:c r="B35" s="6" t="str">
        <x:v>ナイト</x:v>
      </x:c>
      <x:c r="C35" s="6" t="n">
        <x:v>78500</x:v>
      </x:c>
      <x:c r="D35" s="6" t="n">
        <x:v>325500</x:v>
      </x:c>
      <x:c r="E35" s="6" t="n">
        <x:f>C35-D35</x:f>
        <x:v>-247000</x:v>
      </x:c>
      <x:c r="F35" s="6" t="n">
        <x:f>F34+E35</x:f>
        <x:v>-12710500</x:v>
      </x:c>
      <x:c r="G35" s="6" t="n">
        <x:v>34500</x:v>
      </x:c>
      <x:c r="H35" s="6" t="n">
        <x:v>281500</x:v>
      </x:c>
      <x:c r="I35" s="6" t="n">
        <x:v>29</x:v>
      </x:c>
      <x:c r="J35" s="6" t="n">
        <x:v>160</x:v>
      </x:c>
      <x:c r="K35" s="6" t="n">
        <x:v>186</x:v>
      </x:c>
      <x:c r="L35" s="6" t="n">
        <x:v>10</x:v>
      </x:c>
      <x:c r="M35" s="11" t="n">
        <x:v>0.9664529914529915</x:v>
      </x:c>
      <x:c r="N35" s="6" t="n">
        <x:v>249000</x:v>
      </x:c>
    </x:row>
    <x:row r="36" ht="24" customHeight="1">
      <x:c r="A36" s="2" t="str">
        <x:v>2026-10-12_Day</x:v>
      </x:c>
      <x:c r="B36" s="6" t="str">
        <x:v>デイ</x:v>
      </x:c>
      <x:c r="C36" s="6" t="n">
        <x:v>32500</x:v>
      </x:c>
      <x:c r="D36" s="6" t="n">
        <x:v>135500</x:v>
      </x:c>
      <x:c r="E36" s="6" t="n">
        <x:f>C36-D36</x:f>
        <x:v>-103000</x:v>
      </x:c>
      <x:c r="F36" s="6" t="n">
        <x:f>F35+E36</x:f>
        <x:v>-12813500</x:v>
      </x:c>
      <x:c r="G36" s="6" t="n">
        <x:v>15500</x:v>
      </x:c>
      <x:c r="H36" s="6" t="n">
        <x:v>118500</x:v>
      </x:c>
      <x:c r="I36" s="6" t="n">
        <x:v>10</x:v>
      </x:c>
      <x:c r="J36" s="6" t="n">
        <x:v>56</x:v>
      </x:c>
      <x:c r="K36" s="6" t="n">
        <x:v>69</x:v>
      </x:c>
      <x:c r="L36" s="6" t="n">
        <x:v>10</x:v>
      </x:c>
      <x:c r="M36" s="11" t="n">
        <x:v>0.921984126984127</x:v>
      </x:c>
      <x:c r="N36" s="6" t="n">
        <x:v>119000</x:v>
      </x:c>
    </x:row>
    <x:row r="37" ht="24" customHeight="1">
      <x:c r="A37" s="2" t="str">
        <x:v>2026-10-12_Night</x:v>
      </x:c>
      <x:c r="B37" s="6" t="str">
        <x:v>ナイト</x:v>
      </x:c>
      <x:c r="C37" s="6" t="n">
        <x:v>32000</x:v>
      </x:c>
      <x:c r="D37" s="6" t="n">
        <x:v>287000</x:v>
      </x:c>
      <x:c r="E37" s="6" t="n">
        <x:f>C37-D37</x:f>
        <x:v>-255000</x:v>
      </x:c>
      <x:c r="F37" s="6" t="n">
        <x:f>F36+E37</x:f>
        <x:v>-13068500</x:v>
      </x:c>
      <x:c r="G37" s="6" t="n">
        <x:v>0</x:v>
      </x:c>
      <x:c r="H37" s="6" t="n">
        <x:v>255000</x:v>
      </x:c>
      <x:c r="I37" s="6" t="n">
        <x:v>22</x:v>
      </x:c>
      <x:c r="J37" s="6" t="n">
        <x:v>126</x:v>
      </x:c>
      <x:c r="K37" s="6" t="n">
        <x:v>134</x:v>
      </x:c>
      <x:c r="L37" s="6" t="n">
        <x:v>8</x:v>
      </x:c>
      <x:c r="M37" s="11" t="n">
        <x:v>0.9604700854700855</x:v>
      </x:c>
      <x:c r="N37" s="6" t="n">
        <x:v>262500</x:v>
      </x:c>
    </x:row>
    <x:row r="38" ht="24" customHeight="1">
      <x:c r="A38" s="2" t="str">
        <x:v>2026-10-13_Day</x:v>
      </x:c>
      <x:c r="B38" s="6" t="str">
        <x:v>デイ</x:v>
      </x:c>
      <x:c r="C38" s="6" t="n">
        <x:v>369500</x:v>
      </x:c>
      <x:c r="D38" s="6" t="n">
        <x:v>819500</x:v>
      </x:c>
      <x:c r="E38" s="6" t="n">
        <x:f>C38-D38</x:f>
        <x:v>-450000</x:v>
      </x:c>
      <x:c r="F38" s="6" t="n">
        <x:f>F37+E38</x:f>
        <x:v>-13518500</x:v>
      </x:c>
      <x:c r="G38" s="6" t="n">
        <x:v>293000</x:v>
      </x:c>
      <x:c r="H38" s="6" t="n">
        <x:v>743000</x:v>
      </x:c>
      <x:c r="I38" s="6" t="n">
        <x:v>53</x:v>
      </x:c>
      <x:c r="J38" s="6" t="n">
        <x:v>173</x:v>
      </x:c>
      <x:c r="K38" s="6" t="n">
        <x:v>211</x:v>
      </x:c>
      <x:c r="L38" s="6" t="n">
        <x:v>10</x:v>
      </x:c>
      <x:c r="M38" s="11" t="n">
        <x:v>0.9140079365079365</x:v>
      </x:c>
      <x:c r="N38" s="6" t="n">
        <x:v>570000</x:v>
      </x:c>
    </x:row>
    <x:row r="39" ht="24" customHeight="1">
      <x:c r="A39" s="2" t="str">
        <x:v>2026-10-13_Night</x:v>
      </x:c>
      <x:c r="B39" s="6" t="str">
        <x:v>ナイト</x:v>
      </x:c>
      <x:c r="C39" s="6" t="n">
        <x:v>82000</x:v>
      </x:c>
      <x:c r="D39" s="6" t="n">
        <x:v>320500</x:v>
      </x:c>
      <x:c r="E39" s="6" t="n">
        <x:f>C39-D39</x:f>
        <x:v>-238500</x:v>
      </x:c>
      <x:c r="F39" s="6" t="n">
        <x:f>F38+E39</x:f>
        <x:v>-13757000</x:v>
      </x:c>
      <x:c r="G39" s="6" t="n">
        <x:v>18500</x:v>
      </x:c>
      <x:c r="H39" s="6" t="n">
        <x:v>257000</x:v>
      </x:c>
      <x:c r="I39" s="6" t="n">
        <x:v>32</x:v>
      </x:c>
      <x:c r="J39" s="6" t="n">
        <x:v>145</x:v>
      </x:c>
      <x:c r="K39" s="6" t="n">
        <x:v>170</x:v>
      </x:c>
      <x:c r="L39" s="6" t="n">
        <x:v>10</x:v>
      </x:c>
      <x:c r="M39" s="11" t="n">
        <x:v>0.9301495726495727</x:v>
      </x:c>
      <x:c r="N39" s="6" t="n">
        <x:v>245000</x:v>
      </x:c>
    </x:row>
    <x:row r="40" ht="24" customHeight="1">
      <x:c r="A40" s="2" t="str">
        <x:v>2026-10-14_Day</x:v>
      </x:c>
      <x:c r="B40" s="6" t="str">
        <x:v>デイ</x:v>
      </x:c>
      <x:c r="C40" s="6" t="n">
        <x:v>157000</x:v>
      </x:c>
      <x:c r="D40" s="6" t="n">
        <x:v>546000</x:v>
      </x:c>
      <x:c r="E40" s="6" t="n">
        <x:f>C40-D40</x:f>
        <x:v>-389000</x:v>
      </x:c>
      <x:c r="F40" s="6" t="n">
        <x:f>F39+E40</x:f>
        <x:v>-14146000</x:v>
      </x:c>
      <x:c r="G40" s="6" t="n">
        <x:v>128000</x:v>
      </x:c>
      <x:c r="H40" s="6" t="n">
        <x:v>517000</x:v>
      </x:c>
      <x:c r="I40" s="6" t="n">
        <x:v>44</x:v>
      </x:c>
      <x:c r="J40" s="6" t="n">
        <x:v>158</x:v>
      </x:c>
      <x:c r="K40" s="6" t="n">
        <x:v>193</x:v>
      </x:c>
      <x:c r="L40" s="6" t="n">
        <x:v>10</x:v>
      </x:c>
      <x:c r="M40" s="11" t="n">
        <x:v>0.9375396825396826</x:v>
      </x:c>
      <x:c r="N40" s="6" t="n">
        <x:v>436500</x:v>
      </x:c>
    </x:row>
    <x:row r="41" ht="24" customHeight="1">
      <x:c r="A41" s="2" t="str">
        <x:v>2026-10-14_Night</x:v>
      </x:c>
      <x:c r="B41" s="6" t="str">
        <x:v>ナイト</x:v>
      </x:c>
      <x:c r="C41" s="6" t="n">
        <x:v>365000</x:v>
      </x:c>
      <x:c r="D41" s="6" t="n">
        <x:v>749500</x:v>
      </x:c>
      <x:c r="E41" s="6" t="n">
        <x:f>C41-D41</x:f>
        <x:v>-384500</x:v>
      </x:c>
      <x:c r="F41" s="6" t="n">
        <x:f>F40+E41</x:f>
        <x:v>-14530500</x:v>
      </x:c>
      <x:c r="G41" s="6" t="n">
        <x:v>285500</x:v>
      </x:c>
      <x:c r="H41" s="6" t="n">
        <x:v>670000</x:v>
      </x:c>
      <x:c r="I41" s="6" t="n">
        <x:v>68</x:v>
      </x:c>
      <x:c r="J41" s="6" t="n">
        <x:v>260</x:v>
      </x:c>
      <x:c r="K41" s="6" t="n">
        <x:v>304</x:v>
      </x:c>
      <x:c r="L41" s="6" t="n">
        <x:v>10</x:v>
      </x:c>
      <x:c r="M41" s="11" t="n">
        <x:v>0.9468162393162393</x:v>
      </x:c>
      <x:c r="N41" s="6" t="n">
        <x:v>400500</x:v>
      </x:c>
    </x:row>
    <x:row r="42" ht="24" customHeight="1">
      <x:c r="A42" s="2" t="str">
        <x:v>2026-10-15_Day</x:v>
      </x:c>
      <x:c r="B42" s="6" t="str">
        <x:v>デイ</x:v>
      </x:c>
      <x:c r="C42" s="6" t="n">
        <x:v>682000</x:v>
      </x:c>
      <x:c r="D42" s="6" t="n">
        <x:v>1262500</x:v>
      </x:c>
      <x:c r="E42" s="6" t="n">
        <x:f>C42-D42</x:f>
        <x:v>-580500</x:v>
      </x:c>
      <x:c r="F42" s="6" t="n">
        <x:f>F41+E42</x:f>
        <x:v>-15111000</x:v>
      </x:c>
      <x:c r="G42" s="6" t="n">
        <x:v>537500</x:v>
      </x:c>
      <x:c r="H42" s="6" t="n">
        <x:v>1118000</x:v>
      </x:c>
      <x:c r="I42" s="6" t="n">
        <x:v>92</x:v>
      </x:c>
      <x:c r="J42" s="6" t="n">
        <x:v>269</x:v>
      </x:c>
      <x:c r="K42" s="6" t="n">
        <x:v>321</x:v>
      </x:c>
      <x:c r="L42" s="6" t="n">
        <x:v>10</x:v>
      </x:c>
      <x:c r="M42" s="11" t="n">
        <x:v>0.8712301587301587</x:v>
      </x:c>
      <x:c r="N42" s="6" t="n">
        <x:v>634500</x:v>
      </x:c>
    </x:row>
    <x:row r="43" ht="24" customHeight="1">
      <x:c r="A43" s="2" t="str">
        <x:v>2026-10-15_Night</x:v>
      </x:c>
      <x:c r="B43" s="6" t="str">
        <x:v>ナイト</x:v>
      </x:c>
      <x:c r="C43" s="6" t="n">
        <x:v>397500</x:v>
      </x:c>
      <x:c r="D43" s="6" t="n">
        <x:v>916500</x:v>
      </x:c>
      <x:c r="E43" s="6" t="n">
        <x:f>C43-D43</x:f>
        <x:v>-519000</x:v>
      </x:c>
      <x:c r="F43" s="6" t="n">
        <x:f>F42+E43</x:f>
        <x:v>-15630000</x:v>
      </x:c>
      <x:c r="G43" s="6" t="n">
        <x:v>283000</x:v>
      </x:c>
      <x:c r="H43" s="6" t="n">
        <x:v>802000</x:v>
      </x:c>
      <x:c r="I43" s="6" t="n">
        <x:v>74</x:v>
      </x:c>
      <x:c r="J43" s="6" t="n">
        <x:v>320</x:v>
      </x:c>
      <x:c r="K43" s="6" t="n">
        <x:v>346</x:v>
      </x:c>
      <x:c r="L43" s="6" t="n">
        <x:v>10</x:v>
      </x:c>
      <x:c r="M43" s="11" t="n">
        <x:v>0.9497222222222222</x:v>
      </x:c>
      <x:c r="N43" s="6" t="n">
        <x:v>519500</x:v>
      </x:c>
    </x:row>
    <x:row r="44" ht="24" customHeight="1">
      <x:c r="A44" s="2" t="str">
        <x:v>2026-10-16_Day</x:v>
      </x:c>
      <x:c r="B44" s="6" t="str">
        <x:v>デイ</x:v>
      </x:c>
      <x:c r="C44" s="6" t="n">
        <x:v>421500</x:v>
      </x:c>
      <x:c r="D44" s="6" t="n">
        <x:v>801000</x:v>
      </x:c>
      <x:c r="E44" s="6" t="n">
        <x:f>C44-D44</x:f>
        <x:v>-379500</x:v>
      </x:c>
      <x:c r="F44" s="6" t="n">
        <x:f>F43+E44</x:f>
        <x:v>-16009500</x:v>
      </x:c>
      <x:c r="G44" s="6" t="n">
        <x:v>302000</x:v>
      </x:c>
      <x:c r="H44" s="6" t="n">
        <x:v>681500</x:v>
      </x:c>
      <x:c r="I44" s="6" t="n">
        <x:v>52</x:v>
      </x:c>
      <x:c r="J44" s="6" t="n">
        <x:v>216</x:v>
      </x:c>
      <x:c r="K44" s="6" t="n">
        <x:v>260</x:v>
      </x:c>
      <x:c r="L44" s="6" t="n">
        <x:v>10</x:v>
      </x:c>
      <x:c r="M44" s="11" t="n">
        <x:v>0.9260714285714285</x:v>
      </x:c>
      <x:c r="N44" s="6" t="n">
        <x:v>448000</x:v>
      </x:c>
    </x:row>
    <x:row r="45" ht="24" customHeight="1">
      <x:c r="A45" s="2" t="str">
        <x:v>2026-10-16_Night</x:v>
      </x:c>
      <x:c r="B45" s="6" t="str">
        <x:v>ナイト</x:v>
      </x:c>
      <x:c r="C45" s="6" t="n">
        <x:v>422000</x:v>
      </x:c>
      <x:c r="D45" s="6" t="n">
        <x:v>1024000</x:v>
      </x:c>
      <x:c r="E45" s="6" t="n">
        <x:f>C45-D45</x:f>
        <x:v>-602000</x:v>
      </x:c>
      <x:c r="F45" s="6" t="n">
        <x:f>F44+E45</x:f>
        <x:v>-16611500</x:v>
      </x:c>
      <x:c r="G45" s="6" t="n">
        <x:v>287500</x:v>
      </x:c>
      <x:c r="H45" s="6" t="n">
        <x:v>889500</x:v>
      </x:c>
      <x:c r="I45" s="6" t="n">
        <x:v>81</x:v>
      </x:c>
      <x:c r="J45" s="6" t="n">
        <x:v>347</x:v>
      </x:c>
      <x:c r="K45" s="6" t="n">
        <x:v>430</x:v>
      </x:c>
      <x:c r="L45" s="6" t="n">
        <x:v>10</x:v>
      </x:c>
      <x:c r="M45" s="11" t="n">
        <x:v>0.9491452991452991</x:v>
      </x:c>
      <x:c r="N45" s="6" t="n">
        <x:v>607000</x:v>
      </x:c>
    </x:row>
    <x:row r="46" ht="24" customHeight="1">
      <x:c r="A46" s="2" t="str">
        <x:v>2026-10-19_Day</x:v>
      </x:c>
      <x:c r="B46" s="6" t="str">
        <x:v>デイ</x:v>
      </x:c>
      <x:c r="C46" s="6" t="n">
        <x:v>497000</x:v>
      </x:c>
      <x:c r="D46" s="6" t="n">
        <x:v>1076000</x:v>
      </x:c>
      <x:c r="E46" s="6" t="n">
        <x:f>C46-D46</x:f>
        <x:v>-579000</x:v>
      </x:c>
      <x:c r="F46" s="6" t="n">
        <x:f>F45+E46</x:f>
        <x:v>-17190500</x:v>
      </x:c>
      <x:c r="G46" s="6" t="n">
        <x:v>412000</x:v>
      </x:c>
      <x:c r="H46" s="6" t="n">
        <x:v>991000</x:v>
      </x:c>
      <x:c r="I46" s="6" t="n">
        <x:v>67</x:v>
      </x:c>
      <x:c r="J46" s="6" t="n">
        <x:v>170</x:v>
      </x:c>
      <x:c r="K46" s="6" t="n">
        <x:v>235</x:v>
      </x:c>
      <x:c r="L46" s="6" t="n">
        <x:v>10</x:v>
      </x:c>
      <x:c r="M46" s="11" t="n">
        <x:v>0.9103571428571429</x:v>
      </x:c>
      <x:c r="N46" s="6" t="n">
        <x:v>677500</x:v>
      </x:c>
    </x:row>
    <x:row r="47" ht="24" customHeight="1">
      <x:c r="A47" s="2" t="str">
        <x:v>2026-10-19_Night</x:v>
      </x:c>
      <x:c r="B47" s="6" t="str">
        <x:v>ナイト</x:v>
      </x:c>
      <x:c r="C47" s="6" t="n">
        <x:v>198000</x:v>
      </x:c>
      <x:c r="D47" s="6" t="n">
        <x:v>680000</x:v>
      </x:c>
      <x:c r="E47" s="6" t="n">
        <x:f>C47-D47</x:f>
        <x:v>-482000</x:v>
      </x:c>
      <x:c r="F47" s="6" t="n">
        <x:f>F46+E47</x:f>
        <x:v>-17672500</x:v>
      </x:c>
      <x:c r="G47" s="6" t="n">
        <x:v>106000</x:v>
      </x:c>
      <x:c r="H47" s="6" t="n">
        <x:v>588000</x:v>
      </x:c>
      <x:c r="I47" s="6" t="n">
        <x:v>49</x:v>
      </x:c>
      <x:c r="J47" s="6" t="n">
        <x:v>265</x:v>
      </x:c>
      <x:c r="K47" s="6" t="n">
        <x:v>295</x:v>
      </x:c>
      <x:c r="L47" s="6" t="n">
        <x:v>10</x:v>
      </x:c>
      <x:c r="M47" s="11" t="n">
        <x:v>0.9533760683760684</x:v>
      </x:c>
      <x:c r="N47" s="6" t="n">
        <x:v>484500</x:v>
      </x:c>
    </x:row>
    <x:row r="48" ht="24" customHeight="1">
      <x:c r="A48" s="2" t="str">
        <x:v>2026-10-20_Day</x:v>
      </x:c>
      <x:c r="B48" s="6" t="str">
        <x:v>デイ</x:v>
      </x:c>
      <x:c r="C48" s="6" t="n">
        <x:v>407000</x:v>
      </x:c>
      <x:c r="D48" s="6" t="n">
        <x:v>831000</x:v>
      </x:c>
      <x:c r="E48" s="6" t="n">
        <x:f>C48-D48</x:f>
        <x:v>-424000</x:v>
      </x:c>
      <x:c r="F48" s="6" t="n">
        <x:f>F47+E48</x:f>
        <x:v>-18096500</x:v>
      </x:c>
      <x:c r="G48" s="6" t="n">
        <x:v>281500</x:v>
      </x:c>
      <x:c r="H48" s="6" t="n">
        <x:v>705500</x:v>
      </x:c>
      <x:c r="I48" s="6" t="n">
        <x:v>69</x:v>
      </x:c>
      <x:c r="J48" s="6" t="n">
        <x:v>229</x:v>
      </x:c>
      <x:c r="K48" s="6" t="n">
        <x:v>259</x:v>
      </x:c>
      <x:c r="L48" s="6" t="n">
        <x:v>10</x:v>
      </x:c>
      <x:c r="M48" s="11" t="n">
        <x:v>0.915079365079365</x:v>
      </x:c>
      <x:c r="N48" s="6" t="n">
        <x:v>468000</x:v>
      </x:c>
    </x:row>
    <x:row r="49" ht="24" customHeight="1">
      <x:c r="A49" s="2" t="str">
        <x:v>2026-10-20_Night</x:v>
      </x:c>
      <x:c r="B49" s="6" t="str">
        <x:v>ナイト</x:v>
      </x:c>
      <x:c r="C49" s="6" t="n">
        <x:v>415000</x:v>
      </x:c>
      <x:c r="D49" s="6" t="n">
        <x:v>848500</x:v>
      </x:c>
      <x:c r="E49" s="6" t="n">
        <x:f>C49-D49</x:f>
        <x:v>-433500</x:v>
      </x:c>
      <x:c r="F49" s="6" t="n">
        <x:f>F48+E49</x:f>
        <x:v>-18530000</x:v>
      </x:c>
      <x:c r="G49" s="6" t="n">
        <x:v>265000</x:v>
      </x:c>
      <x:c r="H49" s="6" t="n">
        <x:v>698500</x:v>
      </x:c>
      <x:c r="I49" s="6" t="n">
        <x:v>64</x:v>
      </x:c>
      <x:c r="J49" s="6" t="n">
        <x:v>277</x:v>
      </x:c>
      <x:c r="K49" s="6" t="n">
        <x:v>344</x:v>
      </x:c>
      <x:c r="L49" s="6" t="n">
        <x:v>10</x:v>
      </x:c>
      <x:c r="M49" s="11" t="n">
        <x:v>0.9504700854700855</x:v>
      </x:c>
      <x:c r="N49" s="6" t="n">
        <x:v>448500</x:v>
      </x:c>
    </x:row>
    <x:row r="50" ht="24" customHeight="1">
      <x:c r="A50" s="2" t="str">
        <x:v>2026-10-21_Day</x:v>
      </x:c>
      <x:c r="B50" s="6" t="str">
        <x:v>デイ</x:v>
      </x:c>
      <x:c r="C50" s="6" t="n">
        <x:v>137000</x:v>
      </x:c>
      <x:c r="D50" s="6" t="n">
        <x:v>601000</x:v>
      </x:c>
      <x:c r="E50" s="6" t="n">
        <x:f>C50-D50</x:f>
        <x:v>-464000</x:v>
      </x:c>
      <x:c r="F50" s="6" t="n">
        <x:f>F49+E50</x:f>
        <x:v>-18994000</x:v>
      </x:c>
      <x:c r="G50" s="6" t="n">
        <x:v>78500</x:v>
      </x:c>
      <x:c r="H50" s="6" t="n">
        <x:v>542500</x:v>
      </x:c>
      <x:c r="I50" s="6" t="n">
        <x:v>45</x:v>
      </x:c>
      <x:c r="J50" s="6" t="n">
        <x:v>200</x:v>
      </x:c>
      <x:c r="K50" s="6" t="n">
        <x:v>235</x:v>
      </x:c>
      <x:c r="L50" s="6" t="n">
        <x:v>10</x:v>
      </x:c>
      <x:c r="M50" s="11" t="n">
        <x:v>0.8884126984126984</x:v>
      </x:c>
      <x:c r="N50" s="6" t="n">
        <x:v>466500</x:v>
      </x:c>
    </x:row>
    <x:row r="51" ht="24" customHeight="1">
      <x:c r="A51" s="2" t="str">
        <x:v>2026-10-21_Night</x:v>
      </x:c>
      <x:c r="B51" s="6" t="str">
        <x:v>ナイト</x:v>
      </x:c>
      <x:c r="C51" s="6" t="n">
        <x:v>318000</x:v>
      </x:c>
      <x:c r="D51" s="6" t="n">
        <x:v>592500</x:v>
      </x:c>
      <x:c r="E51" s="6" t="n">
        <x:f>C51-D51</x:f>
        <x:v>-274500</x:v>
      </x:c>
      <x:c r="F51" s="6" t="n">
        <x:f>F50+E51</x:f>
        <x:v>-19268500</x:v>
      </x:c>
      <x:c r="G51" s="6" t="n">
        <x:v>186500</x:v>
      </x:c>
      <x:c r="H51" s="6" t="n">
        <x:v>461000</x:v>
      </x:c>
      <x:c r="I51" s="6" t="n">
        <x:v>51</x:v>
      </x:c>
      <x:c r="J51" s="6" t="n">
        <x:v>255</x:v>
      </x:c>
      <x:c r="K51" s="6" t="n">
        <x:v>265</x:v>
      </x:c>
      <x:c r="L51" s="6" t="n">
        <x:v>10</x:v>
      </x:c>
      <x:c r="M51" s="11" t="n">
        <x:v>0.9588888888888889</x:v>
      </x:c>
      <x:c r="N51" s="6" t="n">
        <x:v>294500</x:v>
      </x:c>
    </x:row>
    <x:row r="52" ht="24" customHeight="1">
      <x:c r="A52" s="2" t="str">
        <x:v>2026-10-22_Day</x:v>
      </x:c>
      <x:c r="B52" s="6" t="str">
        <x:v>デイ</x:v>
      </x:c>
      <x:c r="C52" s="6" t="n">
        <x:v>552000</x:v>
      </x:c>
      <x:c r="D52" s="6" t="n">
        <x:v>965500</x:v>
      </x:c>
      <x:c r="E52" s="6" t="n">
        <x:f>C52-D52</x:f>
        <x:v>-413500</x:v>
      </x:c>
      <x:c r="F52" s="6" t="n">
        <x:f>F51+E52</x:f>
        <x:v>-19682000</x:v>
      </x:c>
      <x:c r="G52" s="6" t="n">
        <x:v>425000</x:v>
      </x:c>
      <x:c r="H52" s="6" t="n">
        <x:v>838500</x:v>
      </x:c>
      <x:c r="I52" s="6" t="n">
        <x:v>65</x:v>
      </x:c>
      <x:c r="J52" s="6" t="n">
        <x:v>227</x:v>
      </x:c>
      <x:c r="K52" s="6" t="n">
        <x:v>284</x:v>
      </x:c>
      <x:c r="L52" s="6" t="n">
        <x:v>10</x:v>
      </x:c>
      <x:c r="M52" s="11" t="n">
        <x:v>0.9144047619047619</x:v>
      </x:c>
      <x:c r="N52" s="6" t="n">
        <x:v>510500</x:v>
      </x:c>
    </x:row>
    <x:row r="53" ht="24" customHeight="1">
      <x:c r="A53" s="2" t="str">
        <x:v>2026-10-22_Night</x:v>
      </x:c>
      <x:c r="B53" s="6" t="str">
        <x:v>ナイト</x:v>
      </x:c>
      <x:c r="C53" s="6" t="n">
        <x:v>428000</x:v>
      </x:c>
      <x:c r="D53" s="6" t="n">
        <x:v>839000</x:v>
      </x:c>
      <x:c r="E53" s="6" t="n">
        <x:f>C53-D53</x:f>
        <x:v>-411000</x:v>
      </x:c>
      <x:c r="F53" s="6" t="n">
        <x:f>F52+E53</x:f>
        <x:v>-20093000</x:v>
      </x:c>
      <x:c r="G53" s="6" t="n">
        <x:v>278000</x:v>
      </x:c>
      <x:c r="H53" s="6" t="n">
        <x:v>689000</x:v>
      </x:c>
      <x:c r="I53" s="6" t="n">
        <x:v>80</x:v>
      </x:c>
      <x:c r="J53" s="6" t="n">
        <x:v>326</x:v>
      </x:c>
      <x:c r="K53" s="6" t="n">
        <x:v>415</x:v>
      </x:c>
      <x:c r="L53" s="6" t="n">
        <x:v>10</x:v>
      </x:c>
      <x:c r="M53" s="11" t="n">
        <x:v>0.9273076923076923</x:v>
      </x:c>
      <x:c r="N53" s="6" t="n">
        <x:v>426500</x:v>
      </x:c>
    </x:row>
    <x:row r="54" ht="24" customHeight="1">
      <x:c r="A54" s="2" t="str">
        <x:v>2026-10-23_Day</x:v>
      </x:c>
      <x:c r="B54" s="6" t="str">
        <x:v>デイ</x:v>
      </x:c>
      <x:c r="C54" s="6" t="n">
        <x:v>1235000</x:v>
      </x:c>
      <x:c r="D54" s="6" t="n">
        <x:v>1810500</x:v>
      </x:c>
      <x:c r="E54" s="6" t="n">
        <x:f>C54-D54</x:f>
        <x:v>-575500</x:v>
      </x:c>
      <x:c r="F54" s="6" t="n">
        <x:f>F53+E54</x:f>
        <x:v>-20668500</x:v>
      </x:c>
      <x:c r="G54" s="6" t="n">
        <x:v>1169500</x:v>
      </x:c>
      <x:c r="H54" s="6" t="n">
        <x:v>1745000</x:v>
      </x:c>
      <x:c r="I54" s="6" t="n">
        <x:v>118</x:v>
      </x:c>
      <x:c r="J54" s="6" t="n">
        <x:v>222</x:v>
      </x:c>
      <x:c r="K54" s="6" t="n">
        <x:v>297</x:v>
      </x:c>
      <x:c r="L54" s="6" t="n">
        <x:v>10</x:v>
      </x:c>
      <x:c r="M54" s="11" t="n">
        <x:v>0.8697222222222222</x:v>
      </x:c>
      <x:c r="N54" s="6" t="n">
        <x:v>605500</x:v>
      </x:c>
    </x:row>
    <x:row r="55" ht="24" customHeight="1">
      <x:c r="A55" s="2" t="str">
        <x:v>2026-10-23_Night</x:v>
      </x:c>
      <x:c r="B55" s="6" t="str">
        <x:v>ナイト</x:v>
      </x:c>
      <x:c r="C55" s="6" t="n">
        <x:v>354500</x:v>
      </x:c>
      <x:c r="D55" s="6" t="n">
        <x:v>1000000</x:v>
      </x:c>
      <x:c r="E55" s="6" t="n">
        <x:f>C55-D55</x:f>
        <x:v>-645500</x:v>
      </x:c>
      <x:c r="F55" s="6" t="n">
        <x:f>F54+E55</x:f>
        <x:v>-21314000</x:v>
      </x:c>
      <x:c r="G55" s="6" t="n">
        <x:v>226500</x:v>
      </x:c>
      <x:c r="H55" s="6" t="n">
        <x:v>872000</x:v>
      </x:c>
      <x:c r="I55" s="6" t="n">
        <x:v>64</x:v>
      </x:c>
      <x:c r="J55" s="6" t="n">
        <x:v>303</x:v>
      </x:c>
      <x:c r="K55" s="6" t="n">
        <x:v>364</x:v>
      </x:c>
      <x:c r="L55" s="6" t="n">
        <x:v>10</x:v>
      </x:c>
      <x:c r="M55" s="11" t="n">
        <x:v>0.9296367521367521</x:v>
      </x:c>
      <x:c r="N55" s="6" t="n">
        <x:v>677500</x:v>
      </x:c>
    </x:row>
    <x:row r="56" ht="24" customHeight="1">
      <x:c r="A56" s="2" t="str">
        <x:v>2026-10-26_Day</x:v>
      </x:c>
      <x:c r="B56" s="6" t="str">
        <x:v>デイ</x:v>
      </x:c>
      <x:c r="C56" s="6" t="n">
        <x:v>540500</x:v>
      </x:c>
      <x:c r="D56" s="6" t="n">
        <x:v>1196500</x:v>
      </x:c>
      <x:c r="E56" s="6" t="n">
        <x:f>C56-D56</x:f>
        <x:v>-656000</x:v>
      </x:c>
      <x:c r="F56" s="6" t="n">
        <x:f>F55+E56</x:f>
        <x:v>-21970000</x:v>
      </x:c>
      <x:c r="G56" s="6" t="n">
        <x:v>441000</x:v>
      </x:c>
      <x:c r="H56" s="6" t="n">
        <x:v>1097000</x:v>
      </x:c>
      <x:c r="I56" s="6" t="n">
        <x:v>81</x:v>
      </x:c>
      <x:c r="J56" s="6" t="n">
        <x:v>204</x:v>
      </x:c>
      <x:c r="K56" s="6" t="n">
        <x:v>245</x:v>
      </x:c>
      <x:c r="L56" s="6" t="n">
        <x:v>10</x:v>
      </x:c>
      <x:c r="M56" s="11" t="n">
        <x:v>0.9089285714285714</x:v>
      </x:c>
      <x:c r="N56" s="6" t="n">
        <x:v>672500</x:v>
      </x:c>
    </x:row>
    <x:row r="57" ht="24" customHeight="1">
      <x:c r="A57" s="15" t="str">
        <x:v>累計／平均／最大</x:v>
      </x:c>
      <x:c r="B57" s="16"/>
      <x:c r="C57" s="16" t="n">
        <x:f>SUM(C6:C56)</x:f>
        <x:v>15944000</x:v>
      </x:c>
      <x:c r="D57" s="16" t="n">
        <x:f>SUM(D6:D56)</x:f>
        <x:v>37914000</x:v>
      </x:c>
      <x:c r="E57" s="16" t="n">
        <x:f>C57-D57</x:f>
        <x:v>-21970000</x:v>
      </x:c>
      <x:c r="F57" s="16" t="n">
        <x:f>F56</x:f>
        <x:v>-21970000</x:v>
      </x:c>
      <x:c r="G57" s="16" t="n">
        <x:f>SUM(G6:G56)</x:f>
        <x:v>11419500</x:v>
      </x:c>
      <x:c r="H57" s="16" t="n">
        <x:f>SUM(H6:H56)</x:f>
        <x:v>33389500</x:v>
      </x:c>
      <x:c r="I57" s="16" t="n">
        <x:f>SUM(I6:I56)</x:f>
        <x:v>2796</x:v>
      </x:c>
      <x:c r="J57" s="16" t="n">
        <x:f>SUM(J6:J56)</x:f>
        <x:v>10887</x:v>
      </x:c>
      <x:c r="K57" s="16" t="n">
        <x:f>SUM(K6:K56)</x:f>
        <x:v>12939</x:v>
      </x:c>
      <x:c r="L57" s="16" t="n">
        <x:f>MAX(L6:L56)</x:f>
        <x:v>10</x:v>
      </x:c>
      <x:c r="M57" s="17" t="n">
        <x:f>AVERAGE(M6:M56)</x:f>
        <x:v>0.9297899758193873</x:v>
      </x:c>
      <x:c r="N57" s="16" t="n">
        <x:f>MAX(N6:N56)</x:f>
        <x:v>812000</x:v>
      </x:c>
    </x:row>
  </x:sheetData>
  <x:conditionalFormatting sqref="E6:F56">
    <x:cfRule type="cellIs" dxfId="57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4c5c9c6858b4a46"/>
  </x:tableParts>
</x:worksheet>
</file>

<file path=xl/worksheets/sheet60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1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4" customHeight="1">
      <x:c r="A1" s="3" t="str">
        <x:v>TOPIX M17　各セッションの利益・損失・収支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A2" s="4" t="str">
        <x:v>2026/09/21〜10/26デイ・51完了場。日経mini／TOPIXmini各上限10枚・手数料0。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4" customHeight="1">
      <x:c r="A3" s="4" t="str">
        <x:v>300秒の時間加重平均を60秒前と比較。保有中も傾き比例で増減、利益追尾＋傾き反転で返済。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4" customHeight="1">
      <x:c r="A4" s="4" t="str">
        <x:v>利益・損失＝FIFO返済配賦別。親＝初回から全返済まで。ラージ気配による模型で、mini実約定の検証ではありません。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42" customHeight="1">
      <x:c r="A5" s="10" t="str">
        <x:v>セッション</x:v>
      </x:c>
      <x:c r="B5" s="10" t="str">
        <x:v>区分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親利益（円）</x:v>
      </x:c>
      <x:c r="H5" s="10" t="str">
        <x:v>親損失（円）</x:v>
      </x:c>
      <x:c r="I5" s="10" t="str">
        <x:v>初回件数</x:v>
      </x:c>
      <x:c r="J5" s="10" t="str">
        <x:v>追加件数</x:v>
      </x:c>
      <x:c r="K5" s="10" t="str">
        <x:v>縮小件数</x:v>
      </x:c>
      <x:c r="L5" s="10" t="str">
        <x:v>最大保有枚数</x:v>
      </x:c>
      <x:c r="M5" s="10" t="str">
        <x:v>保有時間率</x:v>
      </x:c>
      <x:c r="N5" s="10" t="str">
        <x:v>時価最大DD（円）</x:v>
      </x:c>
    </x:row>
    <x:row r="6" ht="24" customHeight="1">
      <x:c r="A6" s="2" t="str">
        <x:v>2026-09-21_Day</x:v>
      </x:c>
      <x:c r="B6" s="6" t="str">
        <x:v>デイ</x:v>
      </x:c>
      <x:c r="C6" s="6" t="n">
        <x:v>137500</x:v>
      </x:c>
      <x:c r="D6" s="6" t="n">
        <x:v>501500</x:v>
      </x:c>
      <x:c r="E6" s="6" t="n">
        <x:f>C6-D6</x:f>
        <x:v>-364000</x:v>
      </x:c>
      <x:c r="F6" s="6" t="n">
        <x:f>E6</x:f>
        <x:v>-364000</x:v>
      </x:c>
      <x:c r="G6" s="6" t="n">
        <x:v>81500</x:v>
      </x:c>
      <x:c r="H6" s="6" t="n">
        <x:v>445500</x:v>
      </x:c>
      <x:c r="I6" s="6" t="n">
        <x:v>62</x:v>
      </x:c>
      <x:c r="J6" s="6" t="n">
        <x:v>101</x:v>
      </x:c>
      <x:c r="K6" s="6" t="n">
        <x:v>95</x:v>
      </x:c>
      <x:c r="L6" s="6" t="n">
        <x:v>10</x:v>
      </x:c>
      <x:c r="M6" s="11" t="n">
        <x:v>0.7309920634920635</x:v>
      </x:c>
      <x:c r="N6" s="6" t="n">
        <x:v>381000</x:v>
      </x:c>
    </x:row>
    <x:row r="7" ht="24" customHeight="1">
      <x:c r="A7" s="2" t="str">
        <x:v>2026-09-21_Night</x:v>
      </x:c>
      <x:c r="B7" s="6" t="str">
        <x:v>ナイト</x:v>
      </x:c>
      <x:c r="C7" s="6" t="n">
        <x:v>85500</x:v>
      </x:c>
      <x:c r="D7" s="6" t="n">
        <x:v>463500</x:v>
      </x:c>
      <x:c r="E7" s="6" t="n">
        <x:f>C7-D7</x:f>
        <x:v>-378000</x:v>
      </x:c>
      <x:c r="F7" s="6" t="n">
        <x:f>F6+E7</x:f>
        <x:v>-742000</x:v>
      </x:c>
      <x:c r="G7" s="6" t="n">
        <x:v>35000</x:v>
      </x:c>
      <x:c r="H7" s="6" t="n">
        <x:v>413000</x:v>
      </x:c>
      <x:c r="I7" s="6" t="n">
        <x:v>104</x:v>
      </x:c>
      <x:c r="J7" s="6" t="n">
        <x:v>205</x:v>
      </x:c>
      <x:c r="K7" s="6" t="n">
        <x:v>207</x:v>
      </x:c>
      <x:c r="L7" s="6" t="n">
        <x:v>10</x:v>
      </x:c>
      <x:c r="M7" s="11" t="n">
        <x:v>0.8117094017094018</x:v>
      </x:c>
      <x:c r="N7" s="6" t="n">
        <x:v>393000</x:v>
      </x:c>
    </x:row>
    <x:row r="8" ht="24" customHeight="1">
      <x:c r="A8" s="2" t="str">
        <x:v>2026-09-22_Day</x:v>
      </x:c>
      <x:c r="B8" s="6" t="str">
        <x:v>デイ</x:v>
      </x:c>
      <x:c r="C8" s="6" t="n">
        <x:v>110500</x:v>
      </x:c>
      <x:c r="D8" s="6" t="n">
        <x:v>588500</x:v>
      </x:c>
      <x:c r="E8" s="6" t="n">
        <x:f>C8-D8</x:f>
        <x:v>-478000</x:v>
      </x:c>
      <x:c r="F8" s="6" t="n">
        <x:f>F7+E8</x:f>
        <x:v>-1220000</x:v>
      </x:c>
      <x:c r="G8" s="6" t="n">
        <x:v>53500</x:v>
      </x:c>
      <x:c r="H8" s="6" t="n">
        <x:v>531500</x:v>
      </x:c>
      <x:c r="I8" s="6" t="n">
        <x:v>85</x:v>
      </x:c>
      <x:c r="J8" s="6" t="n">
        <x:v>175</x:v>
      </x:c>
      <x:c r="K8" s="6" t="n">
        <x:v>187</x:v>
      </x:c>
      <x:c r="L8" s="6" t="n">
        <x:v>10</x:v>
      </x:c>
      <x:c r="M8" s="11" t="n">
        <x:v>0.751547619047619</x:v>
      </x:c>
      <x:c r="N8" s="6" t="n">
        <x:v>488500</x:v>
      </x:c>
    </x:row>
    <x:row r="9" ht="24" customHeight="1">
      <x:c r="A9" s="2" t="str">
        <x:v>2026-09-22_Night</x:v>
      </x:c>
      <x:c r="B9" s="6" t="str">
        <x:v>ナイト</x:v>
      </x:c>
      <x:c r="C9" s="6" t="n">
        <x:v>325000</x:v>
      </x:c>
      <x:c r="D9" s="6" t="n">
        <x:v>1073500</x:v>
      </x:c>
      <x:c r="E9" s="6" t="n">
        <x:f>C9-D9</x:f>
        <x:v>-748500</x:v>
      </x:c>
      <x:c r="F9" s="6" t="n">
        <x:f>F8+E9</x:f>
        <x:v>-1968500</x:v>
      </x:c>
      <x:c r="G9" s="6" t="n">
        <x:v>200500</x:v>
      </x:c>
      <x:c r="H9" s="6" t="n">
        <x:v>949000</x:v>
      </x:c>
      <x:c r="I9" s="6" t="n">
        <x:v>143</x:v>
      </x:c>
      <x:c r="J9" s="6" t="n">
        <x:v>329</x:v>
      </x:c>
      <x:c r="K9" s="6" t="n">
        <x:v>341</x:v>
      </x:c>
      <x:c r="L9" s="6" t="n">
        <x:v>10</x:v>
      </x:c>
      <x:c r="M9" s="11" t="n">
        <x:v>0.8283119658119659</x:v>
      </x:c>
      <x:c r="N9" s="6" t="n">
        <x:v>753500</x:v>
      </x:c>
    </x:row>
    <x:row r="10" ht="24" customHeight="1">
      <x:c r="A10" s="2" t="str">
        <x:v>2026-09-23_Day</x:v>
      </x:c>
      <x:c r="B10" s="6" t="str">
        <x:v>デイ</x:v>
      </x:c>
      <x:c r="C10" s="6" t="n">
        <x:v>216500</x:v>
      </x:c>
      <x:c r="D10" s="6" t="n">
        <x:v>450500</x:v>
      </x:c>
      <x:c r="E10" s="6" t="n">
        <x:f>C10-D10</x:f>
        <x:v>-234000</x:v>
      </x:c>
      <x:c r="F10" s="6" t="n">
        <x:f>F9+E10</x:f>
        <x:v>-2202500</x:v>
      </x:c>
      <x:c r="G10" s="6" t="n">
        <x:v>151500</x:v>
      </x:c>
      <x:c r="H10" s="6" t="n">
        <x:v>385500</x:v>
      </x:c>
      <x:c r="I10" s="6" t="n">
        <x:v>69</x:v>
      </x:c>
      <x:c r="J10" s="6" t="n">
        <x:v>137</x:v>
      </x:c>
      <x:c r="K10" s="6" t="n">
        <x:v>142</x:v>
      </x:c>
      <x:c r="L10" s="6" t="n">
        <x:v>10</x:v>
      </x:c>
      <x:c r="M10" s="11" t="n">
        <x:v>0.8369841269841269</x:v>
      </x:c>
      <x:c r="N10" s="6" t="n">
        <x:v>332000</x:v>
      </x:c>
    </x:row>
    <x:row r="11" ht="24" customHeight="1">
      <x:c r="A11" s="2" t="str">
        <x:v>2026-09-23_Night</x:v>
      </x:c>
      <x:c r="B11" s="6" t="str">
        <x:v>ナイト</x:v>
      </x:c>
      <x:c r="C11" s="6" t="n">
        <x:v>122000</x:v>
      </x:c>
      <x:c r="D11" s="6" t="n">
        <x:v>576000</x:v>
      </x:c>
      <x:c r="E11" s="6" t="n">
        <x:f>C11-D11</x:f>
        <x:v>-454000</x:v>
      </x:c>
      <x:c r="F11" s="6" t="n">
        <x:f>F10+E11</x:f>
        <x:v>-2656500</x:v>
      </x:c>
      <x:c r="G11" s="6" t="n">
        <x:v>70500</x:v>
      </x:c>
      <x:c r="H11" s="6" t="n">
        <x:v>524500</x:v>
      </x:c>
      <x:c r="I11" s="6" t="n">
        <x:v>115</x:v>
      </x:c>
      <x:c r="J11" s="6" t="n">
        <x:v>214</x:v>
      </x:c>
      <x:c r="K11" s="6" t="n">
        <x:v>214</x:v>
      </x:c>
      <x:c r="L11" s="6" t="n">
        <x:v>10</x:v>
      </x:c>
      <x:c r="M11" s="11" t="n">
        <x:v>0.818034188034188</x:v>
      </x:c>
      <x:c r="N11" s="6" t="n">
        <x:v>455000</x:v>
      </x:c>
    </x:row>
    <x:row r="12" ht="24" customHeight="1">
      <x:c r="A12" s="2" t="str">
        <x:v>2026-09-24_Day</x:v>
      </x:c>
      <x:c r="B12" s="6" t="str">
        <x:v>デイ</x:v>
      </x:c>
      <x:c r="C12" s="6" t="n">
        <x:v>625500</x:v>
      </x:c>
      <x:c r="D12" s="6" t="n">
        <x:v>1411000</x:v>
      </x:c>
      <x:c r="E12" s="6" t="n">
        <x:f>C12-D12</x:f>
        <x:v>-785500</x:v>
      </x:c>
      <x:c r="F12" s="6" t="n">
        <x:f>F11+E12</x:f>
        <x:v>-3442000</x:v>
      </x:c>
      <x:c r="G12" s="6" t="n">
        <x:v>538000</x:v>
      </x:c>
      <x:c r="H12" s="6" t="n">
        <x:v>1323500</x:v>
      </x:c>
      <x:c r="I12" s="6" t="n">
        <x:v>131</x:v>
      </x:c>
      <x:c r="J12" s="6" t="n">
        <x:v>301</x:v>
      </x:c>
      <x:c r="K12" s="6" t="n">
        <x:v>307</x:v>
      </x:c>
      <x:c r="L12" s="6" t="n">
        <x:v>10</x:v>
      </x:c>
      <x:c r="M12" s="11" t="n">
        <x:v>0.8338888888888889</x:v>
      </x:c>
      <x:c r="N12" s="6" t="n">
        <x:v>850500</x:v>
      </x:c>
    </x:row>
    <x:row r="13" ht="24" customHeight="1">
      <x:c r="A13" s="2" t="str">
        <x:v>2026-09-24_Night</x:v>
      </x:c>
      <x:c r="B13" s="6" t="str">
        <x:v>ナイト</x:v>
      </x:c>
      <x:c r="C13" s="6" t="n">
        <x:v>427500</x:v>
      </x:c>
      <x:c r="D13" s="6" t="n">
        <x:v>1373500</x:v>
      </x:c>
      <x:c r="E13" s="6" t="n">
        <x:f>C13-D13</x:f>
        <x:v>-946000</x:v>
      </x:c>
      <x:c r="F13" s="6" t="n">
        <x:f>F12+E13</x:f>
        <x:v>-4388000</x:v>
      </x:c>
      <x:c r="G13" s="6" t="n">
        <x:v>307500</x:v>
      </x:c>
      <x:c r="H13" s="6" t="n">
        <x:v>1253500</x:v>
      </x:c>
      <x:c r="I13" s="6" t="n">
        <x:v>170</x:v>
      </x:c>
      <x:c r="J13" s="6" t="n">
        <x:v>417</x:v>
      </x:c>
      <x:c r="K13" s="6" t="n">
        <x:v>449</x:v>
      </x:c>
      <x:c r="L13" s="6" t="n">
        <x:v>10</x:v>
      </x:c>
      <x:c r="M13" s="11" t="n">
        <x:v>0.8382692307692308</x:v>
      </x:c>
      <x:c r="N13" s="6" t="n">
        <x:v>1021500</x:v>
      </x:c>
    </x:row>
    <x:row r="14" ht="24" customHeight="1">
      <x:c r="A14" s="2" t="str">
        <x:v>2026-09-25_Day</x:v>
      </x:c>
      <x:c r="B14" s="6" t="str">
        <x:v>デイ</x:v>
      </x:c>
      <x:c r="C14" s="6" t="n">
        <x:v>431500</x:v>
      </x:c>
      <x:c r="D14" s="6" t="n">
        <x:v>895500</x:v>
      </x:c>
      <x:c r="E14" s="6" t="n">
        <x:f>C14-D14</x:f>
        <x:v>-464000</x:v>
      </x:c>
      <x:c r="F14" s="6" t="n">
        <x:f>F13+E14</x:f>
        <x:v>-4852000</x:v>
      </x:c>
      <x:c r="G14" s="6" t="n">
        <x:v>340500</x:v>
      </x:c>
      <x:c r="H14" s="6" t="n">
        <x:v>804500</x:v>
      </x:c>
      <x:c r="I14" s="6" t="n">
        <x:v>116</x:v>
      </x:c>
      <x:c r="J14" s="6" t="n">
        <x:v>310</x:v>
      </x:c>
      <x:c r="K14" s="6" t="n">
        <x:v>313</x:v>
      </x:c>
      <x:c r="L14" s="6" t="n">
        <x:v>10</x:v>
      </x:c>
      <x:c r="M14" s="11" t="n">
        <x:v>0.8418253968253968</x:v>
      </x:c>
      <x:c r="N14" s="6" t="n">
        <x:v>500500</x:v>
      </x:c>
    </x:row>
    <x:row r="15" ht="24" customHeight="1">
      <x:c r="A15" s="2" t="str">
        <x:v>2026-09-25_Night</x:v>
      </x:c>
      <x:c r="B15" s="6" t="str">
        <x:v>ナイト</x:v>
      </x:c>
      <x:c r="C15" s="6" t="n">
        <x:v>362500</x:v>
      </x:c>
      <x:c r="D15" s="6" t="n">
        <x:v>767500</x:v>
      </x:c>
      <x:c r="E15" s="6" t="n">
        <x:f>C15-D15</x:f>
        <x:v>-405000</x:v>
      </x:c>
      <x:c r="F15" s="6" t="n">
        <x:f>F14+E15</x:f>
        <x:v>-5257000</x:v>
      </x:c>
      <x:c r="G15" s="6" t="n">
        <x:v>291000</x:v>
      </x:c>
      <x:c r="H15" s="6" t="n">
        <x:v>696000</x:v>
      </x:c>
      <x:c r="I15" s="6" t="n">
        <x:v>133</x:v>
      </x:c>
      <x:c r="J15" s="6" t="n">
        <x:v>364</x:v>
      </x:c>
      <x:c r="K15" s="6" t="n">
        <x:v>377</x:v>
      </x:c>
      <x:c r="L15" s="6" t="n">
        <x:v>10</x:v>
      </x:c>
      <x:c r="M15" s="11" t="n">
        <x:v>0.8125</x:v>
      </x:c>
      <x:c r="N15" s="6" t="n">
        <x:v>467500</x:v>
      </x:c>
    </x:row>
    <x:row r="16" ht="24" customHeight="1">
      <x:c r="A16" s="2" t="str">
        <x:v>2026-09-28_Day</x:v>
      </x:c>
      <x:c r="B16" s="6" t="str">
        <x:v>デイ</x:v>
      </x:c>
      <x:c r="C16" s="6" t="n">
        <x:v>359000</x:v>
      </x:c>
      <x:c r="D16" s="6" t="n">
        <x:v>901000</x:v>
      </x:c>
      <x:c r="E16" s="6" t="n">
        <x:f>C16-D16</x:f>
        <x:v>-542000</x:v>
      </x:c>
      <x:c r="F16" s="6" t="n">
        <x:f>F15+E16</x:f>
        <x:v>-5799000</x:v>
      </x:c>
      <x:c r="G16" s="6" t="n">
        <x:v>277500</x:v>
      </x:c>
      <x:c r="H16" s="6" t="n">
        <x:v>819500</x:v>
      </x:c>
      <x:c r="I16" s="6" t="n">
        <x:v>111</x:v>
      </x:c>
      <x:c r="J16" s="6" t="n">
        <x:v>291</x:v>
      </x:c>
      <x:c r="K16" s="6" t="n">
        <x:v>290</x:v>
      </x:c>
      <x:c r="L16" s="6" t="n">
        <x:v>10</x:v>
      </x:c>
      <x:c r="M16" s="11" t="n">
        <x:v>0.8223412698412699</x:v>
      </x:c>
      <x:c r="N16" s="6" t="n">
        <x:v>628500</x:v>
      </x:c>
    </x:row>
    <x:row r="17" ht="24" customHeight="1">
      <x:c r="A17" s="2" t="str">
        <x:v>2026-09-28_Night</x:v>
      </x:c>
      <x:c r="B17" s="6" t="str">
        <x:v>ナイト</x:v>
      </x:c>
      <x:c r="C17" s="6" t="n">
        <x:v>338000</x:v>
      </x:c>
      <x:c r="D17" s="6" t="n">
        <x:v>1203000</x:v>
      </x:c>
      <x:c r="E17" s="6" t="n">
        <x:f>C17-D17</x:f>
        <x:v>-865000</x:v>
      </x:c>
      <x:c r="F17" s="6" t="n">
        <x:f>F16+E17</x:f>
        <x:v>-6664000</x:v>
      </x:c>
      <x:c r="G17" s="6" t="n">
        <x:v>242500</x:v>
      </x:c>
      <x:c r="H17" s="6" t="n">
        <x:v>1107500</x:v>
      </x:c>
      <x:c r="I17" s="6" t="n">
        <x:v>162</x:v>
      </x:c>
      <x:c r="J17" s="6" t="n">
        <x:v>377</x:v>
      </x:c>
      <x:c r="K17" s="6" t="n">
        <x:v>413</x:v>
      </x:c>
      <x:c r="L17" s="6" t="n">
        <x:v>10</x:v>
      </x:c>
      <x:c r="M17" s="11" t="n">
        <x:v>0.8297435897435897</x:v>
      </x:c>
      <x:c r="N17" s="6" t="n">
        <x:v>868000</x:v>
      </x:c>
    </x:row>
    <x:row r="18" ht="24" customHeight="1">
      <x:c r="A18" s="2" t="str">
        <x:v>2026-09-29_Day</x:v>
      </x:c>
      <x:c r="B18" s="6" t="str">
        <x:v>デイ</x:v>
      </x:c>
      <x:c r="C18" s="6" t="n">
        <x:v>457500</x:v>
      </x:c>
      <x:c r="D18" s="6" t="n">
        <x:v>1182000</x:v>
      </x:c>
      <x:c r="E18" s="6" t="n">
        <x:f>C18-D18</x:f>
        <x:v>-724500</x:v>
      </x:c>
      <x:c r="F18" s="6" t="n">
        <x:f>F17+E18</x:f>
        <x:v>-7388500</x:v>
      </x:c>
      <x:c r="G18" s="6" t="n">
        <x:v>336000</x:v>
      </x:c>
      <x:c r="H18" s="6" t="n">
        <x:v>1060500</x:v>
      </x:c>
      <x:c r="I18" s="6" t="n">
        <x:v>132</x:v>
      </x:c>
      <x:c r="J18" s="6" t="n">
        <x:v>339</x:v>
      </x:c>
      <x:c r="K18" s="6" t="n">
        <x:v>335</x:v>
      </x:c>
      <x:c r="L18" s="6" t="n">
        <x:v>10</x:v>
      </x:c>
      <x:c r="M18" s="11" t="n">
        <x:v>0.8339682539682539</x:v>
      </x:c>
      <x:c r="N18" s="6" t="n">
        <x:v>744500</x:v>
      </x:c>
    </x:row>
    <x:row r="19" ht="24" customHeight="1">
      <x:c r="A19" s="2" t="str">
        <x:v>2026-09-29_Night</x:v>
      </x:c>
      <x:c r="B19" s="6" t="str">
        <x:v>ナイト</x:v>
      </x:c>
      <x:c r="C19" s="6" t="n">
        <x:v>192000</x:v>
      </x:c>
      <x:c r="D19" s="6" t="n">
        <x:v>906500</x:v>
      </x:c>
      <x:c r="E19" s="6" t="n">
        <x:f>C19-D19</x:f>
        <x:v>-714500</x:v>
      </x:c>
      <x:c r="F19" s="6" t="n">
        <x:f>F18+E19</x:f>
        <x:v>-8103000</x:v>
      </x:c>
      <x:c r="G19" s="6" t="n">
        <x:v>91500</x:v>
      </x:c>
      <x:c r="H19" s="6" t="n">
        <x:v>806000</x:v>
      </x:c>
      <x:c r="I19" s="6" t="n">
        <x:v>141</x:v>
      </x:c>
      <x:c r="J19" s="6" t="n">
        <x:v>380</x:v>
      </x:c>
      <x:c r="K19" s="6" t="n">
        <x:v>396</x:v>
      </x:c>
      <x:c r="L19" s="6" t="n">
        <x:v>10</x:v>
      </x:c>
      <x:c r="M19" s="11" t="n">
        <x:v>0.847948717948718</x:v>
      </x:c>
      <x:c r="N19" s="6" t="n">
        <x:v>726500</x:v>
      </x:c>
    </x:row>
    <x:row r="20" ht="24" customHeight="1">
      <x:c r="A20" s="2" t="str">
        <x:v>2026-09-30_Day</x:v>
      </x:c>
      <x:c r="B20" s="6" t="str">
        <x:v>デイ</x:v>
      </x:c>
      <x:c r="C20" s="6" t="n">
        <x:v>373000</x:v>
      </x:c>
      <x:c r="D20" s="6" t="n">
        <x:v>984500</x:v>
      </x:c>
      <x:c r="E20" s="6" t="n">
        <x:f>C20-D20</x:f>
        <x:v>-611500</x:v>
      </x:c>
      <x:c r="F20" s="6" t="n">
        <x:f>F19+E20</x:f>
        <x:v>-8714500</x:v>
      </x:c>
      <x:c r="G20" s="6" t="n">
        <x:v>272000</x:v>
      </x:c>
      <x:c r="H20" s="6" t="n">
        <x:v>883500</x:v>
      </x:c>
      <x:c r="I20" s="6" t="n">
        <x:v>112</x:v>
      </x:c>
      <x:c r="J20" s="6" t="n">
        <x:v>313</x:v>
      </x:c>
      <x:c r="K20" s="6" t="n">
        <x:v>317</x:v>
      </x:c>
      <x:c r="L20" s="6" t="n">
        <x:v>10</x:v>
      </x:c>
      <x:c r="M20" s="11" t="n">
        <x:v>0.8455952380952381</x:v>
      </x:c>
      <x:c r="N20" s="6" t="n">
        <x:v>618000</x:v>
      </x:c>
    </x:row>
    <x:row r="21" ht="24" customHeight="1">
      <x:c r="A21" s="2" t="str">
        <x:v>2026-09-30_Night</x:v>
      </x:c>
      <x:c r="B21" s="6" t="str">
        <x:v>ナイト</x:v>
      </x:c>
      <x:c r="C21" s="6" t="n">
        <x:v>406000</x:v>
      </x:c>
      <x:c r="D21" s="6" t="n">
        <x:v>1345500</x:v>
      </x:c>
      <x:c r="E21" s="6" t="n">
        <x:f>C21-D21</x:f>
        <x:v>-939500</x:v>
      </x:c>
      <x:c r="F21" s="6" t="n">
        <x:f>F20+E21</x:f>
        <x:v>-9654000</x:v>
      </x:c>
      <x:c r="G21" s="6" t="n">
        <x:v>245500</x:v>
      </x:c>
      <x:c r="H21" s="6" t="n">
        <x:v>1185000</x:v>
      </x:c>
      <x:c r="I21" s="6" t="n">
        <x:v>169</x:v>
      </x:c>
      <x:c r="J21" s="6" t="n">
        <x:v>477</x:v>
      </x:c>
      <x:c r="K21" s="6" t="n">
        <x:v>488</x:v>
      </x:c>
      <x:c r="L21" s="6" t="n">
        <x:v>10</x:v>
      </x:c>
      <x:c r="M21" s="11" t="n">
        <x:v>0.8205555555555556</x:v>
      </x:c>
      <x:c r="N21" s="6" t="n">
        <x:v>972500</x:v>
      </x:c>
    </x:row>
    <x:row r="22" ht="24" customHeight="1">
      <x:c r="A22" s="2" t="str">
        <x:v>2026-10-01_Day</x:v>
      </x:c>
      <x:c r="B22" s="6" t="str">
        <x:v>デイ</x:v>
      </x:c>
      <x:c r="C22" s="6" t="n">
        <x:v>460000</x:v>
      </x:c>
      <x:c r="D22" s="6" t="n">
        <x:v>933500</x:v>
      </x:c>
      <x:c r="E22" s="6" t="n">
        <x:f>C22-D22</x:f>
        <x:v>-473500</x:v>
      </x:c>
      <x:c r="F22" s="6" t="n">
        <x:f>F21+E22</x:f>
        <x:v>-10127500</x:v>
      </x:c>
      <x:c r="G22" s="6" t="n">
        <x:v>360500</x:v>
      </x:c>
      <x:c r="H22" s="6" t="n">
        <x:v>834000</x:v>
      </x:c>
      <x:c r="I22" s="6" t="n">
        <x:v>104</x:v>
      </x:c>
      <x:c r="J22" s="6" t="n">
        <x:v>339</x:v>
      </x:c>
      <x:c r="K22" s="6" t="n">
        <x:v>321</x:v>
      </x:c>
      <x:c r="L22" s="6" t="n">
        <x:v>10</x:v>
      </x:c>
      <x:c r="M22" s="11" t="n">
        <x:v>0.8334920634920635</x:v>
      </x:c>
      <x:c r="N22" s="6" t="n">
        <x:v>528000</x:v>
      </x:c>
    </x:row>
    <x:row r="23" ht="24" customHeight="1">
      <x:c r="A23" s="2" t="str">
        <x:v>2026-10-01_Night</x:v>
      </x:c>
      <x:c r="B23" s="6" t="str">
        <x:v>ナイト</x:v>
      </x:c>
      <x:c r="C23" s="6" t="n">
        <x:v>488500</x:v>
      </x:c>
      <x:c r="D23" s="6" t="n">
        <x:v>1191000</x:v>
      </x:c>
      <x:c r="E23" s="6" t="n">
        <x:f>C23-D23</x:f>
        <x:v>-702500</x:v>
      </x:c>
      <x:c r="F23" s="6" t="n">
        <x:f>F22+E23</x:f>
        <x:v>-10830000</x:v>
      </x:c>
      <x:c r="G23" s="6" t="n">
        <x:v>325000</x:v>
      </x:c>
      <x:c r="H23" s="6" t="n">
        <x:v>1027500</x:v>
      </x:c>
      <x:c r="I23" s="6" t="n">
        <x:v>163</x:v>
      </x:c>
      <x:c r="J23" s="6" t="n">
        <x:v>495</x:v>
      </x:c>
      <x:c r="K23" s="6" t="n">
        <x:v>526</x:v>
      </x:c>
      <x:c r="L23" s="6" t="n">
        <x:v>10</x:v>
      </x:c>
      <x:c r="M23" s="11" t="n">
        <x:v>0.8191666666666667</x:v>
      </x:c>
      <x:c r="N23" s="6" t="n">
        <x:v>703000</x:v>
      </x:c>
    </x:row>
    <x:row r="24" ht="24" customHeight="1">
      <x:c r="A24" s="2" t="str">
        <x:v>2026-10-02_Day</x:v>
      </x:c>
      <x:c r="B24" s="6" t="str">
        <x:v>デイ</x:v>
      </x:c>
      <x:c r="C24" s="6" t="n">
        <x:v>309000</x:v>
      </x:c>
      <x:c r="D24" s="6" t="n">
        <x:v>891000</x:v>
      </x:c>
      <x:c r="E24" s="6" t="n">
        <x:f>C24-D24</x:f>
        <x:v>-582000</x:v>
      </x:c>
      <x:c r="F24" s="6" t="n">
        <x:f>F23+E24</x:f>
        <x:v>-11412000</x:v>
      </x:c>
      <x:c r="G24" s="6" t="n">
        <x:v>176000</x:v>
      </x:c>
      <x:c r="H24" s="6" t="n">
        <x:v>758000</x:v>
      </x:c>
      <x:c r="I24" s="6" t="n">
        <x:v>107</x:v>
      </x:c>
      <x:c r="J24" s="6" t="n">
        <x:v>342</x:v>
      </x:c>
      <x:c r="K24" s="6" t="n">
        <x:v>345</x:v>
      </x:c>
      <x:c r="L24" s="6" t="n">
        <x:v>10</x:v>
      </x:c>
      <x:c r="M24" s="11" t="n">
        <x:v>0.858015873015873</x:v>
      </x:c>
      <x:c r="N24" s="6" t="n">
        <x:v>621000</x:v>
      </x:c>
    </x:row>
    <x:row r="25" ht="24" customHeight="1">
      <x:c r="A25" s="2" t="str">
        <x:v>2026-10-02_Night</x:v>
      </x:c>
      <x:c r="B25" s="6" t="str">
        <x:v>ナイト</x:v>
      </x:c>
      <x:c r="C25" s="6" t="n">
        <x:v>562000</x:v>
      </x:c>
      <x:c r="D25" s="6" t="n">
        <x:v>1249500</x:v>
      </x:c>
      <x:c r="E25" s="6" t="n">
        <x:f>C25-D25</x:f>
        <x:v>-687500</x:v>
      </x:c>
      <x:c r="F25" s="6" t="n">
        <x:f>F24+E25</x:f>
        <x:v>-12099500</x:v>
      </x:c>
      <x:c r="G25" s="6" t="n">
        <x:v>449000</x:v>
      </x:c>
      <x:c r="H25" s="6" t="n">
        <x:v>1136500</x:v>
      </x:c>
      <x:c r="I25" s="6" t="n">
        <x:v>164</x:v>
      </x:c>
      <x:c r="J25" s="6" t="n">
        <x:v>390</x:v>
      </x:c>
      <x:c r="K25" s="6" t="n">
        <x:v>423</x:v>
      </x:c>
      <x:c r="L25" s="6" t="n">
        <x:v>10</x:v>
      </x:c>
      <x:c r="M25" s="11" t="n">
        <x:v>0.8269017094017094</x:v>
      </x:c>
      <x:c r="N25" s="6" t="n">
        <x:v>785000</x:v>
      </x:c>
    </x:row>
    <x:row r="26" ht="24" customHeight="1">
      <x:c r="A26" s="2" t="str">
        <x:v>2026-10-05_Day</x:v>
      </x:c>
      <x:c r="B26" s="6" t="str">
        <x:v>デイ</x:v>
      </x:c>
      <x:c r="C26" s="6" t="n">
        <x:v>286500</x:v>
      </x:c>
      <x:c r="D26" s="6" t="n">
        <x:v>902000</x:v>
      </x:c>
      <x:c r="E26" s="6" t="n">
        <x:f>C26-D26</x:f>
        <x:v>-615500</x:v>
      </x:c>
      <x:c r="F26" s="6" t="n">
        <x:f>F25+E26</x:f>
        <x:v>-12715000</x:v>
      </x:c>
      <x:c r="G26" s="6" t="n">
        <x:v>184000</x:v>
      </x:c>
      <x:c r="H26" s="6" t="n">
        <x:v>799500</x:v>
      </x:c>
      <x:c r="I26" s="6" t="n">
        <x:v>100</x:v>
      </x:c>
      <x:c r="J26" s="6" t="n">
        <x:v>291</x:v>
      </x:c>
      <x:c r="K26" s="6" t="n">
        <x:v>307</x:v>
      </x:c>
      <x:c r="L26" s="6" t="n">
        <x:v>10</x:v>
      </x:c>
      <x:c r="M26" s="11" t="n">
        <x:v>0.8356746031746032</x:v>
      </x:c>
      <x:c r="N26" s="6" t="n">
        <x:v>617000</x:v>
      </x:c>
    </x:row>
    <x:row r="27" ht="24" customHeight="1">
      <x:c r="A27" s="2" t="str">
        <x:v>2026-10-05_Night</x:v>
      </x:c>
      <x:c r="B27" s="6" t="str">
        <x:v>ナイト</x:v>
      </x:c>
      <x:c r="C27" s="6" t="n">
        <x:v>312500</x:v>
      </x:c>
      <x:c r="D27" s="6" t="n">
        <x:v>828500</x:v>
      </x:c>
      <x:c r="E27" s="6" t="n">
        <x:f>C27-D27</x:f>
        <x:v>-516000</x:v>
      </x:c>
      <x:c r="F27" s="6" t="n">
        <x:f>F26+E27</x:f>
        <x:v>-13231000</x:v>
      </x:c>
      <x:c r="G27" s="6" t="n">
        <x:v>234500</x:v>
      </x:c>
      <x:c r="H27" s="6" t="n">
        <x:v>750500</x:v>
      </x:c>
      <x:c r="I27" s="6" t="n">
        <x:v>128</x:v>
      </x:c>
      <x:c r="J27" s="6" t="n">
        <x:v>338</x:v>
      </x:c>
      <x:c r="K27" s="6" t="n">
        <x:v>343</x:v>
      </x:c>
      <x:c r="L27" s="6" t="n">
        <x:v>10</x:v>
      </x:c>
      <x:c r="M27" s="11" t="n">
        <x:v>0.8389316239316239</x:v>
      </x:c>
      <x:c r="N27" s="6" t="n">
        <x:v>555000</x:v>
      </x:c>
    </x:row>
    <x:row r="28" ht="24" customHeight="1">
      <x:c r="A28" s="2" t="str">
        <x:v>2026-10-06_Day</x:v>
      </x:c>
      <x:c r="B28" s="6" t="str">
        <x:v>デイ</x:v>
      </x:c>
      <x:c r="C28" s="6" t="n">
        <x:v>240500</x:v>
      </x:c>
      <x:c r="D28" s="6" t="n">
        <x:v>510500</x:v>
      </x:c>
      <x:c r="E28" s="6" t="n">
        <x:f>C28-D28</x:f>
        <x:v>-270000</x:v>
      </x:c>
      <x:c r="F28" s="6" t="n">
        <x:f>F27+E28</x:f>
        <x:v>-13501000</x:v>
      </x:c>
      <x:c r="G28" s="6" t="n">
        <x:v>142000</x:v>
      </x:c>
      <x:c r="H28" s="6" t="n">
        <x:v>412000</x:v>
      </x:c>
      <x:c r="I28" s="6" t="n">
        <x:v>80</x:v>
      </x:c>
      <x:c r="J28" s="6" t="n">
        <x:v>280</x:v>
      </x:c>
      <x:c r="K28" s="6" t="n">
        <x:v>262</x:v>
      </x:c>
      <x:c r="L28" s="6" t="n">
        <x:v>10</x:v>
      </x:c>
      <x:c r="M28" s="11" t="n">
        <x:v>0.8238095238095238</x:v>
      </x:c>
      <x:c r="N28" s="6" t="n">
        <x:v>321500</x:v>
      </x:c>
    </x:row>
    <x:row r="29" ht="24" customHeight="1">
      <x:c r="A29" s="2" t="str">
        <x:v>2026-10-06_Night</x:v>
      </x:c>
      <x:c r="B29" s="6" t="str">
        <x:v>ナイト</x:v>
      </x:c>
      <x:c r="C29" s="6" t="n">
        <x:v>151000</x:v>
      </x:c>
      <x:c r="D29" s="6" t="n">
        <x:v>513500</x:v>
      </x:c>
      <x:c r="E29" s="6" t="n">
        <x:f>C29-D29</x:f>
        <x:v>-362500</x:v>
      </x:c>
      <x:c r="F29" s="6" t="n">
        <x:f>F28+E29</x:f>
        <x:v>-13863500</x:v>
      </x:c>
      <x:c r="G29" s="6" t="n">
        <x:v>84500</x:v>
      </x:c>
      <x:c r="H29" s="6" t="n">
        <x:v>447000</x:v>
      </x:c>
      <x:c r="I29" s="6" t="n">
        <x:v>116</x:v>
      </x:c>
      <x:c r="J29" s="6" t="n">
        <x:v>301</x:v>
      </x:c>
      <x:c r="K29" s="6" t="n">
        <x:v>304</x:v>
      </x:c>
      <x:c r="L29" s="6" t="n">
        <x:v>10</x:v>
      </x:c>
      <x:c r="M29" s="11" t="n">
        <x:v>0.7826709401709402</x:v>
      </x:c>
      <x:c r="N29" s="6" t="n">
        <x:v>364500</x:v>
      </x:c>
    </x:row>
    <x:row r="30" ht="24" customHeight="1">
      <x:c r="A30" s="2" t="str">
        <x:v>2026-10-07_Day</x:v>
      </x:c>
      <x:c r="B30" s="6" t="str">
        <x:v>デイ</x:v>
      </x:c>
      <x:c r="C30" s="6" t="n">
        <x:v>301500</x:v>
      </x:c>
      <x:c r="D30" s="6" t="n">
        <x:v>560500</x:v>
      </x:c>
      <x:c r="E30" s="6" t="n">
        <x:f>C30-D30</x:f>
        <x:v>-259000</x:v>
      </x:c>
      <x:c r="F30" s="6" t="n">
        <x:f>F29+E30</x:f>
        <x:v>-14122500</x:v>
      </x:c>
      <x:c r="G30" s="6" t="n">
        <x:v>236500</x:v>
      </x:c>
      <x:c r="H30" s="6" t="n">
        <x:v>495500</x:v>
      </x:c>
      <x:c r="I30" s="6" t="n">
        <x:v>76</x:v>
      </x:c>
      <x:c r="J30" s="6" t="n">
        <x:v>246</x:v>
      </x:c>
      <x:c r="K30" s="6" t="n">
        <x:v>255</x:v>
      </x:c>
      <x:c r="L30" s="6" t="n">
        <x:v>10</x:v>
      </x:c>
      <x:c r="M30" s="11" t="n">
        <x:v>0.8297222222222222</x:v>
      </x:c>
      <x:c r="N30" s="6" t="n">
        <x:v>326500</x:v>
      </x:c>
    </x:row>
    <x:row r="31" ht="24" customHeight="1">
      <x:c r="A31" s="2" t="str">
        <x:v>2026-10-07_Night</x:v>
      </x:c>
      <x:c r="B31" s="6" t="str">
        <x:v>ナイト</x:v>
      </x:c>
      <x:c r="C31" s="6" t="n">
        <x:v>196500</x:v>
      </x:c>
      <x:c r="D31" s="6" t="n">
        <x:v>833500</x:v>
      </x:c>
      <x:c r="E31" s="6" t="n">
        <x:f>C31-D31</x:f>
        <x:v>-637000</x:v>
      </x:c>
      <x:c r="F31" s="6" t="n">
        <x:f>F30+E31</x:f>
        <x:v>-14759500</x:v>
      </x:c>
      <x:c r="G31" s="6" t="n">
        <x:v>107000</x:v>
      </x:c>
      <x:c r="H31" s="6" t="n">
        <x:v>744000</x:v>
      </x:c>
      <x:c r="I31" s="6" t="n">
        <x:v>141</x:v>
      </x:c>
      <x:c r="J31" s="6" t="n">
        <x:v>335</x:v>
      </x:c>
      <x:c r="K31" s="6" t="n">
        <x:v>352</x:v>
      </x:c>
      <x:c r="L31" s="6" t="n">
        <x:v>10</x:v>
      </x:c>
      <x:c r="M31" s="11" t="n">
        <x:v>0.8101495726495727</x:v>
      </x:c>
      <x:c r="N31" s="6" t="n">
        <x:v>640000</x:v>
      </x:c>
    </x:row>
    <x:row r="32" ht="24" customHeight="1">
      <x:c r="A32" s="2" t="str">
        <x:v>2026-10-08_Day</x:v>
      </x:c>
      <x:c r="B32" s="6" t="str">
        <x:v>デイ</x:v>
      </x:c>
      <x:c r="C32" s="6" t="n">
        <x:v>578500</x:v>
      </x:c>
      <x:c r="D32" s="6" t="n">
        <x:v>618000</x:v>
      </x:c>
      <x:c r="E32" s="6" t="n">
        <x:f>C32-D32</x:f>
        <x:v>-39500</x:v>
      </x:c>
      <x:c r="F32" s="6" t="n">
        <x:f>F31+E32</x:f>
        <x:v>-14799000</x:v>
      </x:c>
      <x:c r="G32" s="6" t="n">
        <x:v>481500</x:v>
      </x:c>
      <x:c r="H32" s="6" t="n">
        <x:v>521000</x:v>
      </x:c>
      <x:c r="I32" s="6" t="n">
        <x:v>92</x:v>
      </x:c>
      <x:c r="J32" s="6" t="n">
        <x:v>296</x:v>
      </x:c>
      <x:c r="K32" s="6" t="n">
        <x:v>301</x:v>
      </x:c>
      <x:c r="L32" s="6" t="n">
        <x:v>10</x:v>
      </x:c>
      <x:c r="M32" s="11" t="n">
        <x:v>0.8488888888888889</x:v>
      </x:c>
      <x:c r="N32" s="6" t="n">
        <x:v>360000</x:v>
      </x:c>
    </x:row>
    <x:row r="33" ht="24" customHeight="1">
      <x:c r="A33" s="2" t="str">
        <x:v>2026-10-08_Night</x:v>
      </x:c>
      <x:c r="B33" s="6" t="str">
        <x:v>ナイト</x:v>
      </x:c>
      <x:c r="C33" s="6" t="n">
        <x:v>315000</x:v>
      </x:c>
      <x:c r="D33" s="6" t="n">
        <x:v>1057500</x:v>
      </x:c>
      <x:c r="E33" s="6" t="n">
        <x:f>C33-D33</x:f>
        <x:v>-742500</x:v>
      </x:c>
      <x:c r="F33" s="6" t="n">
        <x:f>F32+E33</x:f>
        <x:v>-15541500</x:v>
      </x:c>
      <x:c r="G33" s="6" t="n">
        <x:v>200000</x:v>
      </x:c>
      <x:c r="H33" s="6" t="n">
        <x:v>942500</x:v>
      </x:c>
      <x:c r="I33" s="6" t="n">
        <x:v>160</x:v>
      </x:c>
      <x:c r="J33" s="6" t="n">
        <x:v>405</x:v>
      </x:c>
      <x:c r="K33" s="6" t="n">
        <x:v>431</x:v>
      </x:c>
      <x:c r="L33" s="6" t="n">
        <x:v>10</x:v>
      </x:c>
      <x:c r="M33" s="11" t="n">
        <x:v>0.8142094017094017</x:v>
      </x:c>
      <x:c r="N33" s="6" t="n">
        <x:v>748000</x:v>
      </x:c>
    </x:row>
    <x:row r="34" ht="24" customHeight="1">
      <x:c r="A34" s="2" t="str">
        <x:v>2026-10-09_Day</x:v>
      </x:c>
      <x:c r="B34" s="6" t="str">
        <x:v>デイ</x:v>
      </x:c>
      <x:c r="C34" s="6" t="n">
        <x:v>239500</x:v>
      </x:c>
      <x:c r="D34" s="6" t="n">
        <x:v>1140000</x:v>
      </x:c>
      <x:c r="E34" s="6" t="n">
        <x:f>C34-D34</x:f>
        <x:v>-900500</x:v>
      </x:c>
      <x:c r="F34" s="6" t="n">
        <x:f>F33+E34</x:f>
        <x:v>-16442000</x:v>
      </x:c>
      <x:c r="G34" s="6" t="n">
        <x:v>158000</x:v>
      </x:c>
      <x:c r="H34" s="6" t="n">
        <x:v>1058500</x:v>
      </x:c>
      <x:c r="I34" s="6" t="n">
        <x:v>108</x:v>
      </x:c>
      <x:c r="J34" s="6" t="n">
        <x:v>283</x:v>
      </x:c>
      <x:c r="K34" s="6" t="n">
        <x:v>277</x:v>
      </x:c>
      <x:c r="L34" s="6" t="n">
        <x:v>10</x:v>
      </x:c>
      <x:c r="M34" s="11" t="n">
        <x:v>0.8318253968253968</x:v>
      </x:c>
      <x:c r="N34" s="6" t="n">
        <x:v>923000</x:v>
      </x:c>
    </x:row>
    <x:row r="35" ht="24" customHeight="1">
      <x:c r="A35" s="2" t="str">
        <x:v>2026-10-09_Night</x:v>
      </x:c>
      <x:c r="B35" s="6" t="str">
        <x:v>ナイト</x:v>
      </x:c>
      <x:c r="C35" s="6" t="n">
        <x:v>92500</x:v>
      </x:c>
      <x:c r="D35" s="6" t="n">
        <x:v>556000</x:v>
      </x:c>
      <x:c r="E35" s="6" t="n">
        <x:f>C35-D35</x:f>
        <x:v>-463500</x:v>
      </x:c>
      <x:c r="F35" s="6" t="n">
        <x:f>F34+E35</x:f>
        <x:v>-16905500</x:v>
      </x:c>
      <x:c r="G35" s="6" t="n">
        <x:v>54000</x:v>
      </x:c>
      <x:c r="H35" s="6" t="n">
        <x:v>517500</x:v>
      </x:c>
      <x:c r="I35" s="6" t="n">
        <x:v>119</x:v>
      </x:c>
      <x:c r="J35" s="6" t="n">
        <x:v>254</x:v>
      </x:c>
      <x:c r="K35" s="6" t="n">
        <x:v>271</x:v>
      </x:c>
      <x:c r="L35" s="6" t="n">
        <x:v>10</x:v>
      </x:c>
      <x:c r="M35" s="11" t="n">
        <x:v>0.8055555555555556</x:v>
      </x:c>
      <x:c r="N35" s="6" t="n">
        <x:v>465000</x:v>
      </x:c>
    </x:row>
    <x:row r="36" ht="24" customHeight="1">
      <x:c r="A36" s="2" t="str">
        <x:v>2026-10-12_Day</x:v>
      </x:c>
      <x:c r="B36" s="6" t="str">
        <x:v>デイ</x:v>
      </x:c>
      <x:c r="C36" s="6" t="n">
        <x:v>51000</x:v>
      </x:c>
      <x:c r="D36" s="6" t="n">
        <x:v>240500</x:v>
      </x:c>
      <x:c r="E36" s="6" t="n">
        <x:f>C36-D36</x:f>
        <x:v>-189500</x:v>
      </x:c>
      <x:c r="F36" s="6" t="n">
        <x:f>F35+E36</x:f>
        <x:v>-17095000</x:v>
      </x:c>
      <x:c r="G36" s="6" t="n">
        <x:v>20000</x:v>
      </x:c>
      <x:c r="H36" s="6" t="n">
        <x:v>209500</x:v>
      </x:c>
      <x:c r="I36" s="6" t="n">
        <x:v>58</x:v>
      </x:c>
      <x:c r="J36" s="6" t="n">
        <x:v>103</x:v>
      </x:c>
      <x:c r="K36" s="6" t="n">
        <x:v>109</x:v>
      </x:c>
      <x:c r="L36" s="6" t="n">
        <x:v>10</x:v>
      </x:c>
      <x:c r="M36" s="11" t="n">
        <x:v>0.7578174603174603</x:v>
      </x:c>
      <x:c r="N36" s="6" t="n">
        <x:v>198500</x:v>
      </x:c>
    </x:row>
    <x:row r="37" ht="24" customHeight="1">
      <x:c r="A37" s="2" t="str">
        <x:v>2026-10-12_Night</x:v>
      </x:c>
      <x:c r="B37" s="6" t="str">
        <x:v>ナイト</x:v>
      </x:c>
      <x:c r="C37" s="6" t="n">
        <x:v>81000</x:v>
      </x:c>
      <x:c r="D37" s="6" t="n">
        <x:v>406500</x:v>
      </x:c>
      <x:c r="E37" s="6" t="n">
        <x:f>C37-D37</x:f>
        <x:v>-325500</x:v>
      </x:c>
      <x:c r="F37" s="6" t="n">
        <x:f>F36+E37</x:f>
        <x:v>-17420500</x:v>
      </x:c>
      <x:c r="G37" s="6" t="n">
        <x:v>21500</x:v>
      </x:c>
      <x:c r="H37" s="6" t="n">
        <x:v>347000</x:v>
      </x:c>
      <x:c r="I37" s="6" t="n">
        <x:v>96</x:v>
      </x:c>
      <x:c r="J37" s="6" t="n">
        <x:v>202</x:v>
      </x:c>
      <x:c r="K37" s="6" t="n">
        <x:v>190</x:v>
      </x:c>
      <x:c r="L37" s="6" t="n">
        <x:v>8</x:v>
      </x:c>
      <x:c r="M37" s="11" t="n">
        <x:v>0.7689102564102565</x:v>
      </x:c>
      <x:c r="N37" s="6" t="n">
        <x:v>331000</x:v>
      </x:c>
    </x:row>
    <x:row r="38" ht="24" customHeight="1">
      <x:c r="A38" s="2" t="str">
        <x:v>2026-10-13_Day</x:v>
      </x:c>
      <x:c r="B38" s="6" t="str">
        <x:v>デイ</x:v>
      </x:c>
      <x:c r="C38" s="6" t="n">
        <x:v>381500</x:v>
      </x:c>
      <x:c r="D38" s="6" t="n">
        <x:v>1193500</x:v>
      </x:c>
      <x:c r="E38" s="6" t="n">
        <x:f>C38-D38</x:f>
        <x:v>-812000</x:v>
      </x:c>
      <x:c r="F38" s="6" t="n">
        <x:f>F37+E38</x:f>
        <x:v>-18232500</x:v>
      </x:c>
      <x:c r="G38" s="6" t="n">
        <x:v>293000</x:v>
      </x:c>
      <x:c r="H38" s="6" t="n">
        <x:v>1105000</x:v>
      </x:c>
      <x:c r="I38" s="6" t="n">
        <x:v>123</x:v>
      </x:c>
      <x:c r="J38" s="6" t="n">
        <x:v>300</x:v>
      </x:c>
      <x:c r="K38" s="6" t="n">
        <x:v>312</x:v>
      </x:c>
      <x:c r="L38" s="6" t="n">
        <x:v>10</x:v>
      </x:c>
      <x:c r="M38" s="11" t="n">
        <x:v>0.8431349206349207</x:v>
      </x:c>
      <x:c r="N38" s="6" t="n">
        <x:v>871500</x:v>
      </x:c>
    </x:row>
    <x:row r="39" ht="24" customHeight="1">
      <x:c r="A39" s="2" t="str">
        <x:v>2026-10-13_Night</x:v>
      </x:c>
      <x:c r="B39" s="6" t="str">
        <x:v>ナイト</x:v>
      </x:c>
      <x:c r="C39" s="6" t="n">
        <x:v>122500</x:v>
      </x:c>
      <x:c r="D39" s="6" t="n">
        <x:v>431500</x:v>
      </x:c>
      <x:c r="E39" s="6" t="n">
        <x:f>C39-D39</x:f>
        <x:v>-309000</x:v>
      </x:c>
      <x:c r="F39" s="6" t="n">
        <x:f>F38+E39</x:f>
        <x:v>-18541500</x:v>
      </x:c>
      <x:c r="G39" s="6" t="n">
        <x:v>52500</x:v>
      </x:c>
      <x:c r="H39" s="6" t="n">
        <x:v>361500</x:v>
      </x:c>
      <x:c r="I39" s="6" t="n">
        <x:v>108</x:v>
      </x:c>
      <x:c r="J39" s="6" t="n">
        <x:v>246</x:v>
      </x:c>
      <x:c r="K39" s="6" t="n">
        <x:v>252</x:v>
      </x:c>
      <x:c r="L39" s="6" t="n">
        <x:v>10</x:v>
      </x:c>
      <x:c r="M39" s="11" t="n">
        <x:v>0.7997435897435897</x:v>
      </x:c>
      <x:c r="N39" s="6" t="n">
        <x:v>314500</x:v>
      </x:c>
    </x:row>
    <x:row r="40" ht="24" customHeight="1">
      <x:c r="A40" s="2" t="str">
        <x:v>2026-10-14_Day</x:v>
      </x:c>
      <x:c r="B40" s="6" t="str">
        <x:v>デイ</x:v>
      </x:c>
      <x:c r="C40" s="6" t="n">
        <x:v>208500</x:v>
      </x:c>
      <x:c r="D40" s="6" t="n">
        <x:v>776500</x:v>
      </x:c>
      <x:c r="E40" s="6" t="n">
        <x:f>C40-D40</x:f>
        <x:v>-568000</x:v>
      </x:c>
      <x:c r="F40" s="6" t="n">
        <x:f>F39+E40</x:f>
        <x:v>-19109500</x:v>
      </x:c>
      <x:c r="G40" s="6" t="n">
        <x:v>154000</x:v>
      </x:c>
      <x:c r="H40" s="6" t="n">
        <x:v>722000</x:v>
      </x:c>
      <x:c r="I40" s="6" t="n">
        <x:v>97</x:v>
      </x:c>
      <x:c r="J40" s="6" t="n">
        <x:v>265</x:v>
      </x:c>
      <x:c r="K40" s="6" t="n">
        <x:v>278</x:v>
      </x:c>
      <x:c r="L40" s="6" t="n">
        <x:v>10</x:v>
      </x:c>
      <x:c r="M40" s="11" t="n">
        <x:v>0.839047619047619</x:v>
      </x:c>
      <x:c r="N40" s="6" t="n">
        <x:v>568000</x:v>
      </x:c>
    </x:row>
    <x:row r="41" ht="24" customHeight="1">
      <x:c r="A41" s="2" t="str">
        <x:v>2026-10-14_Night</x:v>
      </x:c>
      <x:c r="B41" s="6" t="str">
        <x:v>ナイト</x:v>
      </x:c>
      <x:c r="C41" s="6" t="n">
        <x:v>434000</x:v>
      </x:c>
      <x:c r="D41" s="6" t="n">
        <x:v>886000</x:v>
      </x:c>
      <x:c r="E41" s="6" t="n">
        <x:f>C41-D41</x:f>
        <x:v>-452000</x:v>
      </x:c>
      <x:c r="F41" s="6" t="n">
        <x:f>F40+E41</x:f>
        <x:v>-19561500</x:v>
      </x:c>
      <x:c r="G41" s="6" t="n">
        <x:v>328500</x:v>
      </x:c>
      <x:c r="H41" s="6" t="n">
        <x:v>780500</x:v>
      </x:c>
      <x:c r="I41" s="6" t="n">
        <x:v>133</x:v>
      </x:c>
      <x:c r="J41" s="6" t="n">
        <x:v>398</x:v>
      </x:c>
      <x:c r="K41" s="6" t="n">
        <x:v>398</x:v>
      </x:c>
      <x:c r="L41" s="6" t="n">
        <x:v>10</x:v>
      </x:c>
      <x:c r="M41" s="11" t="n">
        <x:v>0.8513247863247864</x:v>
      </x:c>
      <x:c r="N41" s="6" t="n">
        <x:v>465500</x:v>
      </x:c>
    </x:row>
    <x:row r="42" ht="24" customHeight="1">
      <x:c r="A42" s="2" t="str">
        <x:v>2026-10-15_Day</x:v>
      </x:c>
      <x:c r="B42" s="6" t="str">
        <x:v>デイ</x:v>
      </x:c>
      <x:c r="C42" s="6" t="n">
        <x:v>747500</x:v>
      </x:c>
      <x:c r="D42" s="6" t="n">
        <x:v>1503500</x:v>
      </x:c>
      <x:c r="E42" s="6" t="n">
        <x:f>C42-D42</x:f>
        <x:v>-756000</x:v>
      </x:c>
      <x:c r="F42" s="6" t="n">
        <x:f>F41+E42</x:f>
        <x:v>-20317500</x:v>
      </x:c>
      <x:c r="G42" s="6" t="n">
        <x:v>583500</x:v>
      </x:c>
      <x:c r="H42" s="6" t="n">
        <x:v>1339500</x:v>
      </x:c>
      <x:c r="I42" s="6" t="n">
        <x:v>140</x:v>
      </x:c>
      <x:c r="J42" s="6" t="n">
        <x:v>378</x:v>
      </x:c>
      <x:c r="K42" s="6" t="n">
        <x:v>385</x:v>
      </x:c>
      <x:c r="L42" s="6" t="n">
        <x:v>10</x:v>
      </x:c>
      <x:c r="M42" s="11" t="n">
        <x:v>0.8080555555555555</x:v>
      </x:c>
      <x:c r="N42" s="6" t="n">
        <x:v>808000</x:v>
      </x:c>
    </x:row>
    <x:row r="43" ht="24" customHeight="1">
      <x:c r="A43" s="2" t="str">
        <x:v>2026-10-15_Night</x:v>
      </x:c>
      <x:c r="B43" s="6" t="str">
        <x:v>ナイト</x:v>
      </x:c>
      <x:c r="C43" s="6" t="n">
        <x:v>423000</x:v>
      </x:c>
      <x:c r="D43" s="6" t="n">
        <x:v>1100000</x:v>
      </x:c>
      <x:c r="E43" s="6" t="n">
        <x:f>C43-D43</x:f>
        <x:v>-677000</x:v>
      </x:c>
      <x:c r="F43" s="6" t="n">
        <x:f>F42+E43</x:f>
        <x:v>-20994500</x:v>
      </x:c>
      <x:c r="G43" s="6" t="n">
        <x:v>300000</x:v>
      </x:c>
      <x:c r="H43" s="6" t="n">
        <x:v>977000</x:v>
      </x:c>
      <x:c r="I43" s="6" t="n">
        <x:v>158</x:v>
      </x:c>
      <x:c r="J43" s="6" t="n">
        <x:v>429</x:v>
      </x:c>
      <x:c r="K43" s="6" t="n">
        <x:v>430</x:v>
      </x:c>
      <x:c r="L43" s="6" t="n">
        <x:v>10</x:v>
      </x:c>
      <x:c r="M43" s="11" t="n">
        <x:v>0.7943376068376068</x:v>
      </x:c>
      <x:c r="N43" s="6" t="n">
        <x:v>677000</x:v>
      </x:c>
    </x:row>
    <x:row r="44" ht="24" customHeight="1">
      <x:c r="A44" s="2" t="str">
        <x:v>2026-10-16_Day</x:v>
      </x:c>
      <x:c r="B44" s="6" t="str">
        <x:v>デイ</x:v>
      </x:c>
      <x:c r="C44" s="6" t="n">
        <x:v>479500</x:v>
      </x:c>
      <x:c r="D44" s="6" t="n">
        <x:v>949500</x:v>
      </x:c>
      <x:c r="E44" s="6" t="n">
        <x:f>C44-D44</x:f>
        <x:v>-470000</x:v>
      </x:c>
      <x:c r="F44" s="6" t="n">
        <x:f>F43+E44</x:f>
        <x:v>-21464500</x:v>
      </x:c>
      <x:c r="G44" s="6" t="n">
        <x:v>346000</x:v>
      </x:c>
      <x:c r="H44" s="6" t="n">
        <x:v>816000</x:v>
      </x:c>
      <x:c r="I44" s="6" t="n">
        <x:v>109</x:v>
      </x:c>
      <x:c r="J44" s="6" t="n">
        <x:v>333</x:v>
      </x:c>
      <x:c r="K44" s="6" t="n">
        <x:v>336</x:v>
      </x:c>
      <x:c r="L44" s="6" t="n">
        <x:v>10</x:v>
      </x:c>
      <x:c r="M44" s="11" t="n">
        <x:v>0.848015873015873</x:v>
      </x:c>
      <x:c r="N44" s="6" t="n">
        <x:v>502500</x:v>
      </x:c>
    </x:row>
    <x:row r="45" ht="24" customHeight="1">
      <x:c r="A45" s="2" t="str">
        <x:v>2026-10-16_Night</x:v>
      </x:c>
      <x:c r="B45" s="6" t="str">
        <x:v>ナイト</x:v>
      </x:c>
      <x:c r="C45" s="6" t="n">
        <x:v>524500</x:v>
      </x:c>
      <x:c r="D45" s="6" t="n">
        <x:v>1344500</x:v>
      </x:c>
      <x:c r="E45" s="6" t="n">
        <x:f>C45-D45</x:f>
        <x:v>-820000</x:v>
      </x:c>
      <x:c r="F45" s="6" t="n">
        <x:f>F44+E45</x:f>
        <x:v>-22284500</x:v>
      </x:c>
      <x:c r="G45" s="6" t="n">
        <x:v>385000</x:v>
      </x:c>
      <x:c r="H45" s="6" t="n">
        <x:v>1205000</x:v>
      </x:c>
      <x:c r="I45" s="6" t="n">
        <x:v>177</x:v>
      </x:c>
      <x:c r="J45" s="6" t="n">
        <x:v>532</x:v>
      </x:c>
      <x:c r="K45" s="6" t="n">
        <x:v>548</x:v>
      </x:c>
      <x:c r="L45" s="6" t="n">
        <x:v>10</x:v>
      </x:c>
      <x:c r="M45" s="11" t="n">
        <x:v>0.8483547008547009</x:v>
      </x:c>
      <x:c r="N45" s="6" t="n">
        <x:v>824000</x:v>
      </x:c>
    </x:row>
    <x:row r="46" ht="24" customHeight="1">
      <x:c r="A46" s="2" t="str">
        <x:v>2026-10-19_Day</x:v>
      </x:c>
      <x:c r="B46" s="6" t="str">
        <x:v>デイ</x:v>
      </x:c>
      <x:c r="C46" s="6" t="n">
        <x:v>556500</x:v>
      </x:c>
      <x:c r="D46" s="6" t="n">
        <x:v>1219000</x:v>
      </x:c>
      <x:c r="E46" s="6" t="n">
        <x:f>C46-D46</x:f>
        <x:v>-662500</x:v>
      </x:c>
      <x:c r="F46" s="6" t="n">
        <x:f>F45+E46</x:f>
        <x:v>-22947000</x:v>
      </x:c>
      <x:c r="G46" s="6" t="n">
        <x:v>449500</x:v>
      </x:c>
      <x:c r="H46" s="6" t="n">
        <x:v>1112000</x:v>
      </x:c>
      <x:c r="I46" s="6" t="n">
        <x:v>126</x:v>
      </x:c>
      <x:c r="J46" s="6" t="n">
        <x:v>277</x:v>
      </x:c>
      <x:c r="K46" s="6" t="n">
        <x:v>281</x:v>
      </x:c>
      <x:c r="L46" s="6" t="n">
        <x:v>10</x:v>
      </x:c>
      <x:c r="M46" s="11" t="n">
        <x:v>0.824484126984127</x:v>
      </x:c>
      <x:c r="N46" s="6" t="n">
        <x:v>765500</x:v>
      </x:c>
    </x:row>
    <x:row r="47" ht="24" customHeight="1">
      <x:c r="A47" s="2" t="str">
        <x:v>2026-10-19_Night</x:v>
      </x:c>
      <x:c r="B47" s="6" t="str">
        <x:v>ナイト</x:v>
      </x:c>
      <x:c r="C47" s="6" t="n">
        <x:v>236500</x:v>
      </x:c>
      <x:c r="D47" s="6" t="n">
        <x:v>924500</x:v>
      </x:c>
      <x:c r="E47" s="6" t="n">
        <x:f>C47-D47</x:f>
        <x:v>-688000</x:v>
      </x:c>
      <x:c r="F47" s="6" t="n">
        <x:f>F46+E47</x:f>
        <x:v>-23635000</x:v>
      </x:c>
      <x:c r="G47" s="6" t="n">
        <x:v>133500</x:v>
      </x:c>
      <x:c r="H47" s="6" t="n">
        <x:v>821500</x:v>
      </x:c>
      <x:c r="I47" s="6" t="n">
        <x:v>150</x:v>
      </x:c>
      <x:c r="J47" s="6" t="n">
        <x:v>371</x:v>
      </x:c>
      <x:c r="K47" s="6" t="n">
        <x:v>391</x:v>
      </x:c>
      <x:c r="L47" s="6" t="n">
        <x:v>10</x:v>
      </x:c>
      <x:c r="M47" s="11" t="n">
        <x:v>0.8286752136752137</x:v>
      </x:c>
      <x:c r="N47" s="6" t="n">
        <x:v>690000</x:v>
      </x:c>
    </x:row>
    <x:row r="48" ht="24" customHeight="1">
      <x:c r="A48" s="2" t="str">
        <x:v>2026-10-20_Day</x:v>
      </x:c>
      <x:c r="B48" s="6" t="str">
        <x:v>デイ</x:v>
      </x:c>
      <x:c r="C48" s="6" t="n">
        <x:v>537000</x:v>
      </x:c>
      <x:c r="D48" s="6" t="n">
        <x:v>1122500</x:v>
      </x:c>
      <x:c r="E48" s="6" t="n">
        <x:f>C48-D48</x:f>
        <x:v>-585500</x:v>
      </x:c>
      <x:c r="F48" s="6" t="n">
        <x:f>F47+E48</x:f>
        <x:v>-24220500</x:v>
      </x:c>
      <x:c r="G48" s="6" t="n">
        <x:v>375000</x:v>
      </x:c>
      <x:c r="H48" s="6" t="n">
        <x:v>960500</x:v>
      </x:c>
      <x:c r="I48" s="6" t="n">
        <x:v>117</x:v>
      </x:c>
      <x:c r="J48" s="6" t="n">
        <x:v>362</x:v>
      </x:c>
      <x:c r="K48" s="6" t="n">
        <x:v>346</x:v>
      </x:c>
      <x:c r="L48" s="6" t="n">
        <x:v>10</x:v>
      </x:c>
      <x:c r="M48" s="11" t="n">
        <x:v>0.8532936507936508</x:v>
      </x:c>
      <x:c r="N48" s="6" t="n">
        <x:v>603500</x:v>
      </x:c>
    </x:row>
    <x:row r="49" ht="24" customHeight="1">
      <x:c r="A49" s="2" t="str">
        <x:v>2026-10-20_Night</x:v>
      </x:c>
      <x:c r="B49" s="6" t="str">
        <x:v>ナイト</x:v>
      </x:c>
      <x:c r="C49" s="6" t="n">
        <x:v>517500</x:v>
      </x:c>
      <x:c r="D49" s="6" t="n">
        <x:v>1044000</x:v>
      </x:c>
      <x:c r="E49" s="6" t="n">
        <x:f>C49-D49</x:f>
        <x:v>-526500</x:v>
      </x:c>
      <x:c r="F49" s="6" t="n">
        <x:f>F48+E49</x:f>
        <x:v>-24747000</x:v>
      </x:c>
      <x:c r="G49" s="6" t="n">
        <x:v>370000</x:v>
      </x:c>
      <x:c r="H49" s="6" t="n">
        <x:v>896500</x:v>
      </x:c>
      <x:c r="I49" s="6" t="n">
        <x:v>155</x:v>
      </x:c>
      <x:c r="J49" s="6" t="n">
        <x:v>423</x:v>
      </x:c>
      <x:c r="K49" s="6" t="n">
        <x:v>436</x:v>
      </x:c>
      <x:c r="L49" s="6" t="n">
        <x:v>10</x:v>
      </x:c>
      <x:c r="M49" s="11" t="n">
        <x:v>0.831025641025641</x:v>
      </x:c>
      <x:c r="N49" s="6" t="n">
        <x:v>556500</x:v>
      </x:c>
    </x:row>
    <x:row r="50" ht="24" customHeight="1">
      <x:c r="A50" s="2" t="str">
        <x:v>2026-10-21_Day</x:v>
      </x:c>
      <x:c r="B50" s="6" t="str">
        <x:v>デイ</x:v>
      </x:c>
      <x:c r="C50" s="6" t="n">
        <x:v>167000</x:v>
      </x:c>
      <x:c r="D50" s="6" t="n">
        <x:v>728500</x:v>
      </x:c>
      <x:c r="E50" s="6" t="n">
        <x:f>C50-D50</x:f>
        <x:v>-561500</x:v>
      </x:c>
      <x:c r="F50" s="6" t="n">
        <x:f>F49+E50</x:f>
        <x:v>-25308500</x:v>
      </x:c>
      <x:c r="G50" s="6" t="n">
        <x:v>99500</x:v>
      </x:c>
      <x:c r="H50" s="6" t="n">
        <x:v>661000</x:v>
      </x:c>
      <x:c r="I50" s="6" t="n">
        <x:v>98</x:v>
      </x:c>
      <x:c r="J50" s="6" t="n">
        <x:v>277</x:v>
      </x:c>
      <x:c r="K50" s="6" t="n">
        <x:v>290</x:v>
      </x:c>
      <x:c r="L50" s="6" t="n">
        <x:v>10</x:v>
      </x:c>
      <x:c r="M50" s="11" t="n">
        <x:v>0.8186904761904762</x:v>
      </x:c>
      <x:c r="N50" s="6" t="n">
        <x:v>563500</x:v>
      </x:c>
    </x:row>
    <x:row r="51" ht="24" customHeight="1">
      <x:c r="A51" s="2" t="str">
        <x:v>2026-10-21_Night</x:v>
      </x:c>
      <x:c r="B51" s="6" t="str">
        <x:v>ナイト</x:v>
      </x:c>
      <x:c r="C51" s="6" t="n">
        <x:v>368000</x:v>
      </x:c>
      <x:c r="D51" s="6" t="n">
        <x:v>756500</x:v>
      </x:c>
      <x:c r="E51" s="6" t="n">
        <x:f>C51-D51</x:f>
        <x:v>-388500</x:v>
      </x:c>
      <x:c r="F51" s="6" t="n">
        <x:f>F50+E51</x:f>
        <x:v>-25697000</x:v>
      </x:c>
      <x:c r="G51" s="6" t="n">
        <x:v>265500</x:v>
      </x:c>
      <x:c r="H51" s="6" t="n">
        <x:v>654000</x:v>
      </x:c>
      <x:c r="I51" s="6" t="n">
        <x:v>143</x:v>
      </x:c>
      <x:c r="J51" s="6" t="n">
        <x:v>364</x:v>
      </x:c>
      <x:c r="K51" s="6" t="n">
        <x:v>347</x:v>
      </x:c>
      <x:c r="L51" s="6" t="n">
        <x:v>10</x:v>
      </x:c>
      <x:c r="M51" s="11" t="n">
        <x:v>0.8209188034188034</x:v>
      </x:c>
      <x:c r="N51" s="6" t="n">
        <x:v>413500</x:v>
      </x:c>
    </x:row>
    <x:row r="52" ht="24" customHeight="1">
      <x:c r="A52" s="2" t="str">
        <x:v>2026-10-22_Day</x:v>
      </x:c>
      <x:c r="B52" s="6" t="str">
        <x:v>デイ</x:v>
      </x:c>
      <x:c r="C52" s="6" t="n">
        <x:v>625500</x:v>
      </x:c>
      <x:c r="D52" s="6" t="n">
        <x:v>1048000</x:v>
      </x:c>
      <x:c r="E52" s="6" t="n">
        <x:f>C52-D52</x:f>
        <x:v>-422500</x:v>
      </x:c>
      <x:c r="F52" s="6" t="n">
        <x:f>F51+E52</x:f>
        <x:v>-26119500</x:v>
      </x:c>
      <x:c r="G52" s="6" t="n">
        <x:v>524000</x:v>
      </x:c>
      <x:c r="H52" s="6" t="n">
        <x:v>946500</x:v>
      </x:c>
      <x:c r="I52" s="6" t="n">
        <x:v>111</x:v>
      </x:c>
      <x:c r="J52" s="6" t="n">
        <x:v>341</x:v>
      </x:c>
      <x:c r="K52" s="6" t="n">
        <x:v>345</x:v>
      </x:c>
      <x:c r="L52" s="6" t="n">
        <x:v>10</x:v>
      </x:c>
      <x:c r="M52" s="11" t="n">
        <x:v>0.8547222222222223</x:v>
      </x:c>
      <x:c r="N52" s="6" t="n">
        <x:v>519500</x:v>
      </x:c>
    </x:row>
    <x:row r="53" ht="24" customHeight="1">
      <x:c r="A53" s="2" t="str">
        <x:v>2026-10-22_Night</x:v>
      </x:c>
      <x:c r="B53" s="6" t="str">
        <x:v>ナイト</x:v>
      </x:c>
      <x:c r="C53" s="6" t="n">
        <x:v>525500</x:v>
      </x:c>
      <x:c r="D53" s="6" t="n">
        <x:v>1024000</x:v>
      </x:c>
      <x:c r="E53" s="6" t="n">
        <x:f>C53-D53</x:f>
        <x:v>-498500</x:v>
      </x:c>
      <x:c r="F53" s="6" t="n">
        <x:f>F52+E53</x:f>
        <x:v>-26618000</x:v>
      </x:c>
      <x:c r="G53" s="6" t="n">
        <x:v>341000</x:v>
      </x:c>
      <x:c r="H53" s="6" t="n">
        <x:v>839500</x:v>
      </x:c>
      <x:c r="I53" s="6" t="n">
        <x:v>163</x:v>
      </x:c>
      <x:c r="J53" s="6" t="n">
        <x:v>457</x:v>
      </x:c>
      <x:c r="K53" s="6" t="n">
        <x:v>498</x:v>
      </x:c>
      <x:c r="L53" s="6" t="n">
        <x:v>10</x:v>
      </x:c>
      <x:c r="M53" s="11" t="n">
        <x:v>0.8398717948717949</x:v>
      </x:c>
      <x:c r="N53" s="6" t="n">
        <x:v>515500</x:v>
      </x:c>
    </x:row>
    <x:row r="54" ht="24" customHeight="1">
      <x:c r="A54" s="2" t="str">
        <x:v>2026-10-23_Day</x:v>
      </x:c>
      <x:c r="B54" s="6" t="str">
        <x:v>デイ</x:v>
      </x:c>
      <x:c r="C54" s="6" t="n">
        <x:v>1339500</x:v>
      </x:c>
      <x:c r="D54" s="6" t="n">
        <x:v>2039000</x:v>
      </x:c>
      <x:c r="E54" s="6" t="n">
        <x:f>C54-D54</x:f>
        <x:v>-699500</x:v>
      </x:c>
      <x:c r="F54" s="6" t="n">
        <x:f>F53+E54</x:f>
        <x:v>-27317500</x:v>
      </x:c>
      <x:c r="G54" s="6" t="n">
        <x:v>1255000</x:v>
      </x:c>
      <x:c r="H54" s="6" t="n">
        <x:v>1954500</x:v>
      </x:c>
      <x:c r="I54" s="6" t="n">
        <x:v>168</x:v>
      </x:c>
      <x:c r="J54" s="6" t="n">
        <x:v>325</x:v>
      </x:c>
      <x:c r="K54" s="6" t="n">
        <x:v>335</x:v>
      </x:c>
      <x:c r="L54" s="6" t="n">
        <x:v>10</x:v>
      </x:c>
      <x:c r="M54" s="11" t="n">
        <x:v>0.8129761904761905</x:v>
      </x:c>
      <x:c r="N54" s="6" t="n">
        <x:v>709000</x:v>
      </x:c>
    </x:row>
    <x:row r="55" ht="24" customHeight="1">
      <x:c r="A55" s="2" t="str">
        <x:v>2026-10-23_Night</x:v>
      </x:c>
      <x:c r="B55" s="6" t="str">
        <x:v>ナイト</x:v>
      </x:c>
      <x:c r="C55" s="6" t="n">
        <x:v>389500</x:v>
      </x:c>
      <x:c r="D55" s="6" t="n">
        <x:v>1293000</x:v>
      </x:c>
      <x:c r="E55" s="6" t="n">
        <x:f>C55-D55</x:f>
        <x:v>-903500</x:v>
      </x:c>
      <x:c r="F55" s="6" t="n">
        <x:f>F54+E55</x:f>
        <x:v>-28221000</x:v>
      </x:c>
      <x:c r="G55" s="6" t="n">
        <x:v>268000</x:v>
      </x:c>
      <x:c r="H55" s="6" t="n">
        <x:v>1171500</x:v>
      </x:c>
      <x:c r="I55" s="6" t="n">
        <x:v>170</x:v>
      </x:c>
      <x:c r="J55" s="6" t="n">
        <x:v>433</x:v>
      </x:c>
      <x:c r="K55" s="6" t="n">
        <x:v>464</x:v>
      </x:c>
      <x:c r="L55" s="6" t="n">
        <x:v>10</x:v>
      </x:c>
      <x:c r="M55" s="11" t="n">
        <x:v>0.8322222222222222</x:v>
      </x:c>
      <x:c r="N55" s="6" t="n">
        <x:v>944500</x:v>
      </x:c>
    </x:row>
    <x:row r="56" ht="24" customHeight="1">
      <x:c r="A56" s="2" t="str">
        <x:v>2026-10-26_Day</x:v>
      </x:c>
      <x:c r="B56" s="6" t="str">
        <x:v>デイ</x:v>
      </x:c>
      <x:c r="C56" s="6" t="n">
        <x:v>603000</x:v>
      </x:c>
      <x:c r="D56" s="6" t="n">
        <x:v>1586500</x:v>
      </x:c>
      <x:c r="E56" s="6" t="n">
        <x:f>C56-D56</x:f>
        <x:v>-983500</x:v>
      </x:c>
      <x:c r="F56" s="6" t="n">
        <x:f>F55+E56</x:f>
        <x:v>-29204500</x:v>
      </x:c>
      <x:c r="G56" s="6" t="n">
        <x:v>504000</x:v>
      </x:c>
      <x:c r="H56" s="6" t="n">
        <x:v>1487500</x:v>
      </x:c>
      <x:c r="I56" s="6" t="n">
        <x:v>140</x:v>
      </x:c>
      <x:c r="J56" s="6" t="n">
        <x:v>360</x:v>
      </x:c>
      <x:c r="K56" s="6" t="n">
        <x:v>357</x:v>
      </x:c>
      <x:c r="L56" s="6" t="n">
        <x:v>10</x:v>
      </x:c>
      <x:c r="M56" s="11" t="n">
        <x:v>0.8381746031746031</x:v>
      </x:c>
      <x:c r="N56" s="6" t="n">
        <x:v>1018000</x:v>
      </x:c>
    </x:row>
    <x:row r="57" ht="24" customHeight="1">
      <x:c r="A57" s="15" t="str">
        <x:v>累計／平均／最大</x:v>
      </x:c>
      <x:c r="B57" s="16"/>
      <x:c r="C57" s="16" t="n">
        <x:f>SUM(C6:C56)</x:f>
        <x:v>18821500</x:v>
      </x:c>
      <x:c r="D57" s="16" t="n">
        <x:f>SUM(D6:D56)</x:f>
        <x:v>48026000</x:v>
      </x:c>
      <x:c r="E57" s="16" t="n">
        <x:f>C57-D57</x:f>
        <x:v>-29204500</x:v>
      </x:c>
      <x:c r="F57" s="16" t="n">
        <x:f>F56</x:f>
        <x:v>-29204500</x:v>
      </x:c>
      <x:c r="G57" s="16" t="n">
        <x:f>SUM(G6:G56)</x:f>
        <x:v>13796000</x:v>
      </x:c>
      <x:c r="H57" s="16" t="n">
        <x:f>SUM(H6:H56)</x:f>
        <x:v>43000500</x:v>
      </x:c>
      <x:c r="I57" s="16" t="n">
        <x:f>SUM(I6:I56)</x:f>
        <x:v>6353</x:v>
      </x:c>
      <x:c r="J57" s="16" t="n">
        <x:f>SUM(J6:J56)</x:f>
        <x:v>16501</x:v>
      </x:c>
      <x:c r="K57" s="16" t="n">
        <x:f>SUM(K6:K56)</x:f>
        <x:v>16917</x:v>
      </x:c>
      <x:c r="L57" s="16" t="n">
        <x:f>MAX(L6:L56)</x:f>
        <x:v>10</x:v>
      </x:c>
      <x:c r="M57" s="17" t="n">
        <x:f>AVERAGE(M6:M56)</x:f>
        <x:v>0.823078958078958</x:v>
      </x:c>
      <x:c r="N57" s="16" t="n">
        <x:f>MAX(N6:N56)</x:f>
        <x:v>1021500</x:v>
      </x:c>
    </x:row>
  </x:sheetData>
  <x:conditionalFormatting sqref="E6:F56">
    <x:cfRule type="cellIs" dxfId="58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f1ebe8008c845a9"/>
  </x:tableParts>
</x:worksheet>
</file>

<file path=xl/worksheets/sheet6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1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4" customHeight="1">
      <x:c r="A1" s="3" t="str">
        <x:v>TOPIX M18　各セッションの利益・損失・収支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A2" s="4" t="str">
        <x:v>2026/09/21〜10/26デイ・51完了場。日経mini／TOPIXmini各上限10枚・手数料0。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4" customHeight="1">
      <x:c r="A3" s="4" t="str">
        <x:v>300秒の時間加重平均を60秒前と比較。保有中も傾き比例で増減、利益追尾＋傾き反転・増勢後の半減で返済。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4" customHeight="1">
      <x:c r="A4" s="4" t="str">
        <x:v>利益・損失＝FIFO返済配賦別。親＝初回から全返済まで。ラージ気配による模型で、mini実約定の検証ではありません。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42" customHeight="1">
      <x:c r="A5" s="10" t="str">
        <x:v>セッション</x:v>
      </x:c>
      <x:c r="B5" s="10" t="str">
        <x:v>区分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親利益（円）</x:v>
      </x:c>
      <x:c r="H5" s="10" t="str">
        <x:v>親損失（円）</x:v>
      </x:c>
      <x:c r="I5" s="10" t="str">
        <x:v>初回件数</x:v>
      </x:c>
      <x:c r="J5" s="10" t="str">
        <x:v>追加件数</x:v>
      </x:c>
      <x:c r="K5" s="10" t="str">
        <x:v>縮小件数</x:v>
      </x:c>
      <x:c r="L5" s="10" t="str">
        <x:v>最大保有枚数</x:v>
      </x:c>
      <x:c r="M5" s="10" t="str">
        <x:v>保有時間率</x:v>
      </x:c>
      <x:c r="N5" s="10" t="str">
        <x:v>時価最大DD（円）</x:v>
      </x:c>
    </x:row>
    <x:row r="6" ht="24" customHeight="1">
      <x:c r="A6" s="2" t="str">
        <x:v>2026-09-21_Day</x:v>
      </x:c>
      <x:c r="B6" s="6" t="str">
        <x:v>デイ</x:v>
      </x:c>
      <x:c r="C6" s="6" t="n">
        <x:v>137500</x:v>
      </x:c>
      <x:c r="D6" s="6" t="n">
        <x:v>515500</x:v>
      </x:c>
      <x:c r="E6" s="6" t="n">
        <x:f>C6-D6</x:f>
        <x:v>-378000</x:v>
      </x:c>
      <x:c r="F6" s="6" t="n">
        <x:f>E6</x:f>
        <x:v>-378000</x:v>
      </x:c>
      <x:c r="G6" s="6" t="n">
        <x:v>84500</x:v>
      </x:c>
      <x:c r="H6" s="6" t="n">
        <x:v>462500</x:v>
      </x:c>
      <x:c r="I6" s="6" t="n">
        <x:v>71</x:v>
      </x:c>
      <x:c r="J6" s="6" t="n">
        <x:v>101</x:v>
      </x:c>
      <x:c r="K6" s="6" t="n">
        <x:v>85</x:v>
      </x:c>
      <x:c r="L6" s="6" t="n">
        <x:v>10</x:v>
      </x:c>
      <x:c r="M6" s="11" t="n">
        <x:v>0.6819444444444445</x:v>
      </x:c>
      <x:c r="N6" s="6" t="n">
        <x:v>395000</x:v>
      </x:c>
    </x:row>
    <x:row r="7" ht="24" customHeight="1">
      <x:c r="A7" s="2" t="str">
        <x:v>2026-09-21_Night</x:v>
      </x:c>
      <x:c r="B7" s="6" t="str">
        <x:v>ナイト</x:v>
      </x:c>
      <x:c r="C7" s="6" t="n">
        <x:v>86000</x:v>
      </x:c>
      <x:c r="D7" s="6" t="n">
        <x:v>479000</x:v>
      </x:c>
      <x:c r="E7" s="6" t="n">
        <x:f>C7-D7</x:f>
        <x:v>-393000</x:v>
      </x:c>
      <x:c r="F7" s="6" t="n">
        <x:f>F6+E7</x:f>
        <x:v>-771000</x:v>
      </x:c>
      <x:c r="G7" s="6" t="n">
        <x:v>41000</x:v>
      </x:c>
      <x:c r="H7" s="6" t="n">
        <x:v>434000</x:v>
      </x:c>
      <x:c r="I7" s="6" t="n">
        <x:v>129</x:v>
      </x:c>
      <x:c r="J7" s="6" t="n">
        <x:v>205</x:v>
      </x:c>
      <x:c r="K7" s="6" t="n">
        <x:v>171</x:v>
      </x:c>
      <x:c r="L7" s="6" t="n">
        <x:v>10</x:v>
      </x:c>
      <x:c r="M7" s="11" t="n">
        <x:v>0.7131623931623932</x:v>
      </x:c>
      <x:c r="N7" s="6" t="n">
        <x:v>405500</x:v>
      </x:c>
    </x:row>
    <x:row r="8" ht="24" customHeight="1">
      <x:c r="A8" s="2" t="str">
        <x:v>2026-09-22_Day</x:v>
      </x:c>
      <x:c r="B8" s="6" t="str">
        <x:v>デイ</x:v>
      </x:c>
      <x:c r="C8" s="6" t="n">
        <x:v>109000</x:v>
      </x:c>
      <x:c r="D8" s="6" t="n">
        <x:v>607500</x:v>
      </x:c>
      <x:c r="E8" s="6" t="n">
        <x:f>C8-D8</x:f>
        <x:v>-498500</x:v>
      </x:c>
      <x:c r="F8" s="6" t="n">
        <x:f>F7+E8</x:f>
        <x:v>-1269500</x:v>
      </x:c>
      <x:c r="G8" s="6" t="n">
        <x:v>55500</x:v>
      </x:c>
      <x:c r="H8" s="6" t="n">
        <x:v>554000</x:v>
      </x:c>
      <x:c r="I8" s="6" t="n">
        <x:v>99</x:v>
      </x:c>
      <x:c r="J8" s="6" t="n">
        <x:v>177</x:v>
      </x:c>
      <x:c r="K8" s="6" t="n">
        <x:v>163</x:v>
      </x:c>
      <x:c r="L8" s="6" t="n">
        <x:v>10</x:v>
      </x:c>
      <x:c r="M8" s="11" t="n">
        <x:v>0.7268650793650794</x:v>
      </x:c>
      <x:c r="N8" s="6" t="n">
        <x:v>506000</x:v>
      </x:c>
    </x:row>
    <x:row r="9" ht="24" customHeight="1">
      <x:c r="A9" s="2" t="str">
        <x:v>2026-09-22_Night</x:v>
      </x:c>
      <x:c r="B9" s="6" t="str">
        <x:v>ナイト</x:v>
      </x:c>
      <x:c r="C9" s="6" t="n">
        <x:v>318000</x:v>
      </x:c>
      <x:c r="D9" s="6" t="n">
        <x:v>1088000</x:v>
      </x:c>
      <x:c r="E9" s="6" t="n">
        <x:f>C9-D9</x:f>
        <x:v>-770000</x:v>
      </x:c>
      <x:c r="F9" s="6" t="n">
        <x:f>F8+E9</x:f>
        <x:v>-2039500</x:v>
      </x:c>
      <x:c r="G9" s="6" t="n">
        <x:v>199000</x:v>
      </x:c>
      <x:c r="H9" s="6" t="n">
        <x:v>969000</x:v>
      </x:c>
      <x:c r="I9" s="6" t="n">
        <x:v>162</x:v>
      </x:c>
      <x:c r="J9" s="6" t="n">
        <x:v>329</x:v>
      </x:c>
      <x:c r="K9" s="6" t="n">
        <x:v>306</x:v>
      </x:c>
      <x:c r="L9" s="6" t="n">
        <x:v>10</x:v>
      </x:c>
      <x:c r="M9" s="11" t="n">
        <x:v>0.7991880341880342</x:v>
      </x:c>
      <x:c r="N9" s="6" t="n">
        <x:v>775000</x:v>
      </x:c>
    </x:row>
    <x:row r="10" ht="24" customHeight="1">
      <x:c r="A10" s="2" t="str">
        <x:v>2026-09-23_Day</x:v>
      </x:c>
      <x:c r="B10" s="6" t="str">
        <x:v>デイ</x:v>
      </x:c>
      <x:c r="C10" s="6" t="n">
        <x:v>220000</x:v>
      </x:c>
      <x:c r="D10" s="6" t="n">
        <x:v>446000</x:v>
      </x:c>
      <x:c r="E10" s="6" t="n">
        <x:f>C10-D10</x:f>
        <x:v>-226000</x:v>
      </x:c>
      <x:c r="F10" s="6" t="n">
        <x:f>F9+E10</x:f>
        <x:v>-2265500</x:v>
      </x:c>
      <x:c r="G10" s="6" t="n">
        <x:v>155500</x:v>
      </x:c>
      <x:c r="H10" s="6" t="n">
        <x:v>381500</x:v>
      </x:c>
      <x:c r="I10" s="6" t="n">
        <x:v>75</x:v>
      </x:c>
      <x:c r="J10" s="6" t="n">
        <x:v>137</x:v>
      </x:c>
      <x:c r="K10" s="6" t="n">
        <x:v>129</x:v>
      </x:c>
      <x:c r="L10" s="6" t="n">
        <x:v>10</x:v>
      </x:c>
      <x:c r="M10" s="11" t="n">
        <x:v>0.7897222222222222</x:v>
      </x:c>
      <x:c r="N10" s="6" t="n">
        <x:v>324000</x:v>
      </x:c>
    </x:row>
    <x:row r="11" ht="24" customHeight="1">
      <x:c r="A11" s="2" t="str">
        <x:v>2026-09-23_Night</x:v>
      </x:c>
      <x:c r="B11" s="6" t="str">
        <x:v>ナイト</x:v>
      </x:c>
      <x:c r="C11" s="6" t="n">
        <x:v>125000</x:v>
      </x:c>
      <x:c r="D11" s="6" t="n">
        <x:v>607500</x:v>
      </x:c>
      <x:c r="E11" s="6" t="n">
        <x:f>C11-D11</x:f>
        <x:v>-482500</x:v>
      </x:c>
      <x:c r="F11" s="6" t="n">
        <x:f>F10+E11</x:f>
        <x:v>-2748000</x:v>
      </x:c>
      <x:c r="G11" s="6" t="n">
        <x:v>74500</x:v>
      </x:c>
      <x:c r="H11" s="6" t="n">
        <x:v>557000</x:v>
      </x:c>
      <x:c r="I11" s="6" t="n">
        <x:v>133</x:v>
      </x:c>
      <x:c r="J11" s="6" t="n">
        <x:v>215</x:v>
      </x:c>
      <x:c r="K11" s="6" t="n">
        <x:v>185</x:v>
      </x:c>
      <x:c r="L11" s="6" t="n">
        <x:v>10</x:v>
      </x:c>
      <x:c r="M11" s="11" t="n">
        <x:v>0.801559829059829</x:v>
      </x:c>
      <x:c r="N11" s="6" t="n">
        <x:v>483500</x:v>
      </x:c>
    </x:row>
    <x:row r="12" ht="24" customHeight="1">
      <x:c r="A12" s="2" t="str">
        <x:v>2026-09-24_Day</x:v>
      </x:c>
      <x:c r="B12" s="6" t="str">
        <x:v>デイ</x:v>
      </x:c>
      <x:c r="C12" s="6" t="n">
        <x:v>627000</x:v>
      </x:c>
      <x:c r="D12" s="6" t="n">
        <x:v>1407500</x:v>
      </x:c>
      <x:c r="E12" s="6" t="n">
        <x:f>C12-D12</x:f>
        <x:v>-780500</x:v>
      </x:c>
      <x:c r="F12" s="6" t="n">
        <x:f>F11+E12</x:f>
        <x:v>-3528500</x:v>
      </x:c>
      <x:c r="G12" s="6" t="n">
        <x:v>543500</x:v>
      </x:c>
      <x:c r="H12" s="6" t="n">
        <x:v>1324000</x:v>
      </x:c>
      <x:c r="I12" s="6" t="n">
        <x:v>149</x:v>
      </x:c>
      <x:c r="J12" s="6" t="n">
        <x:v>300</x:v>
      </x:c>
      <x:c r="K12" s="6" t="n">
        <x:v>285</x:v>
      </x:c>
      <x:c r="L12" s="6" t="n">
        <x:v>10</x:v>
      </x:c>
      <x:c r="M12" s="11" t="n">
        <x:v>0.8050793650793651</x:v>
      </x:c>
      <x:c r="N12" s="6" t="n">
        <x:v>845500</x:v>
      </x:c>
    </x:row>
    <x:row r="13" ht="24" customHeight="1">
      <x:c r="A13" s="2" t="str">
        <x:v>2026-09-24_Night</x:v>
      </x:c>
      <x:c r="B13" s="6" t="str">
        <x:v>ナイト</x:v>
      </x:c>
      <x:c r="C13" s="6" t="n">
        <x:v>429000</x:v>
      </x:c>
      <x:c r="D13" s="6" t="n">
        <x:v>1406500</x:v>
      </x:c>
      <x:c r="E13" s="6" t="n">
        <x:f>C13-D13</x:f>
        <x:v>-977500</x:v>
      </x:c>
      <x:c r="F13" s="6" t="n">
        <x:f>F12+E13</x:f>
        <x:v>-4506000</x:v>
      </x:c>
      <x:c r="G13" s="6" t="n">
        <x:v>313500</x:v>
      </x:c>
      <x:c r="H13" s="6" t="n">
        <x:v>1291000</x:v>
      </x:c>
      <x:c r="I13" s="6" t="n">
        <x:v>204</x:v>
      </x:c>
      <x:c r="J13" s="6" t="n">
        <x:v>416</x:v>
      </x:c>
      <x:c r="K13" s="6" t="n">
        <x:v>391</x:v>
      </x:c>
      <x:c r="L13" s="6" t="n">
        <x:v>10</x:v>
      </x:c>
      <x:c r="M13" s="11" t="n">
        <x:v>0.8132905982905982</x:v>
      </x:c>
      <x:c r="N13" s="6" t="n">
        <x:v>1049000</x:v>
      </x:c>
    </x:row>
    <x:row r="14" ht="24" customHeight="1">
      <x:c r="A14" s="2" t="str">
        <x:v>2026-09-25_Day</x:v>
      </x:c>
      <x:c r="B14" s="6" t="str">
        <x:v>デイ</x:v>
      </x:c>
      <x:c r="C14" s="6" t="n">
        <x:v>440500</x:v>
      </x:c>
      <x:c r="D14" s="6" t="n">
        <x:v>903000</x:v>
      </x:c>
      <x:c r="E14" s="6" t="n">
        <x:f>C14-D14</x:f>
        <x:v>-462500</x:v>
      </x:c>
      <x:c r="F14" s="6" t="n">
        <x:f>F13+E14</x:f>
        <x:v>-4968500</x:v>
      </x:c>
      <x:c r="G14" s="6" t="n">
        <x:v>359500</x:v>
      </x:c>
      <x:c r="H14" s="6" t="n">
        <x:v>822000</x:v>
      </x:c>
      <x:c r="I14" s="6" t="n">
        <x:v>142</x:v>
      </x:c>
      <x:c r="J14" s="6" t="n">
        <x:v>314</x:v>
      </x:c>
      <x:c r="K14" s="6" t="n">
        <x:v>276</x:v>
      </x:c>
      <x:c r="L14" s="6" t="n">
        <x:v>10</x:v>
      </x:c>
      <x:c r="M14" s="11" t="n">
        <x:v>0.8079761904761905</x:v>
      </x:c>
      <x:c r="N14" s="6" t="n">
        <x:v>495500</x:v>
      </x:c>
    </x:row>
    <x:row r="15" ht="24" customHeight="1">
      <x:c r="A15" s="2" t="str">
        <x:v>2026-09-25_Night</x:v>
      </x:c>
      <x:c r="B15" s="6" t="str">
        <x:v>ナイト</x:v>
      </x:c>
      <x:c r="C15" s="6" t="n">
        <x:v>352500</x:v>
      </x:c>
      <x:c r="D15" s="6" t="n">
        <x:v>801500</x:v>
      </x:c>
      <x:c r="E15" s="6" t="n">
        <x:f>C15-D15</x:f>
        <x:v>-449000</x:v>
      </x:c>
      <x:c r="F15" s="6" t="n">
        <x:f>F14+E15</x:f>
        <x:v>-5417500</x:v>
      </x:c>
      <x:c r="G15" s="6" t="n">
        <x:v>281000</x:v>
      </x:c>
      <x:c r="H15" s="6" t="n">
        <x:v>730000</x:v>
      </x:c>
      <x:c r="I15" s="6" t="n">
        <x:v>168</x:v>
      </x:c>
      <x:c r="J15" s="6" t="n">
        <x:v>363</x:v>
      </x:c>
      <x:c r="K15" s="6" t="n">
        <x:v>332</x:v>
      </x:c>
      <x:c r="L15" s="6" t="n">
        <x:v>10</x:v>
      </x:c>
      <x:c r="M15" s="11" t="n">
        <x:v>0.7646794871794872</x:v>
      </x:c>
      <x:c r="N15" s="6" t="n">
        <x:v>511000</x:v>
      </x:c>
    </x:row>
    <x:row r="16" ht="24" customHeight="1">
      <x:c r="A16" s="2" t="str">
        <x:v>2026-09-28_Day</x:v>
      </x:c>
      <x:c r="B16" s="6" t="str">
        <x:v>デイ</x:v>
      </x:c>
      <x:c r="C16" s="6" t="n">
        <x:v>360000</x:v>
      </x:c>
      <x:c r="D16" s="6" t="n">
        <x:v>938000</x:v>
      </x:c>
      <x:c r="E16" s="6" t="n">
        <x:f>C16-D16</x:f>
        <x:v>-578000</x:v>
      </x:c>
      <x:c r="F16" s="6" t="n">
        <x:f>F15+E16</x:f>
        <x:v>-5995500</x:v>
      </x:c>
      <x:c r="G16" s="6" t="n">
        <x:v>281000</x:v>
      </x:c>
      <x:c r="H16" s="6" t="n">
        <x:v>859000</x:v>
      </x:c>
      <x:c r="I16" s="6" t="n">
        <x:v>136</x:v>
      </x:c>
      <x:c r="J16" s="6" t="n">
        <x:v>292</x:v>
      </x:c>
      <x:c r="K16" s="6" t="n">
        <x:v>267</x:v>
      </x:c>
      <x:c r="L16" s="6" t="n">
        <x:v>10</x:v>
      </x:c>
      <x:c r="M16" s="11" t="n">
        <x:v>0.7938095238095239</x:v>
      </x:c>
      <x:c r="N16" s="6" t="n">
        <x:v>664500</x:v>
      </x:c>
    </x:row>
    <x:row r="17" ht="24" customHeight="1">
      <x:c r="A17" s="2" t="str">
        <x:v>2026-09-28_Night</x:v>
      </x:c>
      <x:c r="B17" s="6" t="str">
        <x:v>ナイト</x:v>
      </x:c>
      <x:c r="C17" s="6" t="n">
        <x:v>349500</x:v>
      </x:c>
      <x:c r="D17" s="6" t="n">
        <x:v>1244000</x:v>
      </x:c>
      <x:c r="E17" s="6" t="n">
        <x:f>C17-D17</x:f>
        <x:v>-894500</x:v>
      </x:c>
      <x:c r="F17" s="6" t="n">
        <x:f>F16+E17</x:f>
        <x:v>-6890000</x:v>
      </x:c>
      <x:c r="G17" s="6" t="n">
        <x:v>264000</x:v>
      </x:c>
      <x:c r="H17" s="6" t="n">
        <x:v>1158500</x:v>
      </x:c>
      <x:c r="I17" s="6" t="n">
        <x:v>202</x:v>
      </x:c>
      <x:c r="J17" s="6" t="n">
        <x:v>382</x:v>
      </x:c>
      <x:c r="K17" s="6" t="n">
        <x:v>355</x:v>
      </x:c>
      <x:c r="L17" s="6" t="n">
        <x:v>10</x:v>
      </x:c>
      <x:c r="M17" s="11" t="n">
        <x:v>0.7896794871794872</x:v>
      </x:c>
      <x:c r="N17" s="6" t="n">
        <x:v>897500</x:v>
      </x:c>
    </x:row>
    <x:row r="18" ht="24" customHeight="1">
      <x:c r="A18" s="2" t="str">
        <x:v>2026-09-29_Day</x:v>
      </x:c>
      <x:c r="B18" s="6" t="str">
        <x:v>デイ</x:v>
      </x:c>
      <x:c r="C18" s="6" t="n">
        <x:v>465000</x:v>
      </x:c>
      <x:c r="D18" s="6" t="n">
        <x:v>1176500</x:v>
      </x:c>
      <x:c r="E18" s="6" t="n">
        <x:f>C18-D18</x:f>
        <x:v>-711500</x:v>
      </x:c>
      <x:c r="F18" s="6" t="n">
        <x:f>F17+E18</x:f>
        <x:v>-7601500</x:v>
      </x:c>
      <x:c r="G18" s="6" t="n">
        <x:v>344000</x:v>
      </x:c>
      <x:c r="H18" s="6" t="n">
        <x:v>1055500</x:v>
      </x:c>
      <x:c r="I18" s="6" t="n">
        <x:v>153</x:v>
      </x:c>
      <x:c r="J18" s="6" t="n">
        <x:v>341</x:v>
      </x:c>
      <x:c r="K18" s="6" t="n">
        <x:v>305</x:v>
      </x:c>
      <x:c r="L18" s="6" t="n">
        <x:v>10</x:v>
      </x:c>
      <x:c r="M18" s="11" t="n">
        <x:v>0.8121428571428572</x:v>
      </x:c>
      <x:c r="N18" s="6" t="n">
        <x:v>731500</x:v>
      </x:c>
    </x:row>
    <x:row r="19" ht="24" customHeight="1">
      <x:c r="A19" s="2" t="str">
        <x:v>2026-09-29_Night</x:v>
      </x:c>
      <x:c r="B19" s="6" t="str">
        <x:v>ナイト</x:v>
      </x:c>
      <x:c r="C19" s="6" t="n">
        <x:v>190500</x:v>
      </x:c>
      <x:c r="D19" s="6" t="n">
        <x:v>929500</x:v>
      </x:c>
      <x:c r="E19" s="6" t="n">
        <x:f>C19-D19</x:f>
        <x:v>-739000</x:v>
      </x:c>
      <x:c r="F19" s="6" t="n">
        <x:f>F18+E19</x:f>
        <x:v>-8340500</x:v>
      </x:c>
      <x:c r="G19" s="6" t="n">
        <x:v>99500</x:v>
      </x:c>
      <x:c r="H19" s="6" t="n">
        <x:v>838500</x:v>
      </x:c>
      <x:c r="I19" s="6" t="n">
        <x:v>182</x:v>
      </x:c>
      <x:c r="J19" s="6" t="n">
        <x:v>380</x:v>
      </x:c>
      <x:c r="K19" s="6" t="n">
        <x:v>337</x:v>
      </x:c>
      <x:c r="L19" s="6" t="n">
        <x:v>10</x:v>
      </x:c>
      <x:c r="M19" s="11" t="n">
        <x:v>0.8163888888888889</x:v>
      </x:c>
      <x:c r="N19" s="6" t="n">
        <x:v>751000</x:v>
      </x:c>
    </x:row>
    <x:row r="20" ht="24" customHeight="1">
      <x:c r="A20" s="2" t="str">
        <x:v>2026-09-30_Day</x:v>
      </x:c>
      <x:c r="B20" s="6" t="str">
        <x:v>デイ</x:v>
      </x:c>
      <x:c r="C20" s="6" t="n">
        <x:v>376500</x:v>
      </x:c>
      <x:c r="D20" s="6" t="n">
        <x:v>980000</x:v>
      </x:c>
      <x:c r="E20" s="6" t="n">
        <x:f>C20-D20</x:f>
        <x:v>-603500</x:v>
      </x:c>
      <x:c r="F20" s="6" t="n">
        <x:f>F19+E20</x:f>
        <x:v>-8944000</x:v>
      </x:c>
      <x:c r="G20" s="6" t="n">
        <x:v>284500</x:v>
      </x:c>
      <x:c r="H20" s="6" t="n">
        <x:v>888000</x:v>
      </x:c>
      <x:c r="I20" s="6" t="n">
        <x:v>132</x:v>
      </x:c>
      <x:c r="J20" s="6" t="n">
        <x:v>315</x:v>
      </x:c>
      <x:c r="K20" s="6" t="n">
        <x:v>287</x:v>
      </x:c>
      <x:c r="L20" s="6" t="n">
        <x:v>10</x:v>
      </x:c>
      <x:c r="M20" s="11" t="n">
        <x:v>0.8263492063492064</x:v>
      </x:c>
      <x:c r="N20" s="6" t="n">
        <x:v>610000</x:v>
      </x:c>
    </x:row>
    <x:row r="21" ht="24" customHeight="1">
      <x:c r="A21" s="2" t="str">
        <x:v>2026-09-30_Night</x:v>
      </x:c>
      <x:c r="B21" s="6" t="str">
        <x:v>ナイト</x:v>
      </x:c>
      <x:c r="C21" s="6" t="n">
        <x:v>414500</x:v>
      </x:c>
      <x:c r="D21" s="6" t="n">
        <x:v>1398000</x:v>
      </x:c>
      <x:c r="E21" s="6" t="n">
        <x:f>C21-D21</x:f>
        <x:v>-983500</x:v>
      </x:c>
      <x:c r="F21" s="6" t="n">
        <x:f>F20+E21</x:f>
        <x:v>-9927500</x:v>
      </x:c>
      <x:c r="G21" s="6" t="n">
        <x:v>268500</x:v>
      </x:c>
      <x:c r="H21" s="6" t="n">
        <x:v>1252000</x:v>
      </x:c>
      <x:c r="I21" s="6" t="n">
        <x:v>206</x:v>
      </x:c>
      <x:c r="J21" s="6" t="n">
        <x:v>478</x:v>
      </x:c>
      <x:c r="K21" s="6" t="n">
        <x:v>436</x:v>
      </x:c>
      <x:c r="L21" s="6" t="n">
        <x:v>10</x:v>
      </x:c>
      <x:c r="M21" s="11" t="n">
        <x:v>0.7939957264957265</x:v>
      </x:c>
      <x:c r="N21" s="6" t="n">
        <x:v>1016500</x:v>
      </x:c>
    </x:row>
    <x:row r="22" ht="24" customHeight="1">
      <x:c r="A22" s="2" t="str">
        <x:v>2026-10-01_Day</x:v>
      </x:c>
      <x:c r="B22" s="6" t="str">
        <x:v>デイ</x:v>
      </x:c>
      <x:c r="C22" s="6" t="n">
        <x:v>465000</x:v>
      </x:c>
      <x:c r="D22" s="6" t="n">
        <x:v>959000</x:v>
      </x:c>
      <x:c r="E22" s="6" t="n">
        <x:f>C22-D22</x:f>
        <x:v>-494000</x:v>
      </x:c>
      <x:c r="F22" s="6" t="n">
        <x:f>F21+E22</x:f>
        <x:v>-10421500</x:v>
      </x:c>
      <x:c r="G22" s="6" t="n">
        <x:v>367000</x:v>
      </x:c>
      <x:c r="H22" s="6" t="n">
        <x:v>861000</x:v>
      </x:c>
      <x:c r="I22" s="6" t="n">
        <x:v>127</x:v>
      </x:c>
      <x:c r="J22" s="6" t="n">
        <x:v>342</x:v>
      </x:c>
      <x:c r="K22" s="6" t="n">
        <x:v>287</x:v>
      </x:c>
      <x:c r="L22" s="6" t="n">
        <x:v>10</x:v>
      </x:c>
      <x:c r="M22" s="11" t="n">
        <x:v>0.8092857142857143</x:v>
      </x:c>
      <x:c r="N22" s="6" t="n">
        <x:v>548500</x:v>
      </x:c>
    </x:row>
    <x:row r="23" ht="24" customHeight="1">
      <x:c r="A23" s="2" t="str">
        <x:v>2026-10-01_Night</x:v>
      </x:c>
      <x:c r="B23" s="6" t="str">
        <x:v>ナイト</x:v>
      </x:c>
      <x:c r="C23" s="6" t="n">
        <x:v>479000</x:v>
      </x:c>
      <x:c r="D23" s="6" t="n">
        <x:v>1240500</x:v>
      </x:c>
      <x:c r="E23" s="6" t="n">
        <x:f>C23-D23</x:f>
        <x:v>-761500</x:v>
      </x:c>
      <x:c r="F23" s="6" t="n">
        <x:f>F22+E23</x:f>
        <x:v>-11183000</x:v>
      </x:c>
      <x:c r="G23" s="6" t="n">
        <x:v>333000</x:v>
      </x:c>
      <x:c r="H23" s="6" t="n">
        <x:v>1094500</x:v>
      </x:c>
      <x:c r="I23" s="6" t="n">
        <x:v>192</x:v>
      </x:c>
      <x:c r="J23" s="6" t="n">
        <x:v>495</x:v>
      </x:c>
      <x:c r="K23" s="6" t="n">
        <x:v>484</x:v>
      </x:c>
      <x:c r="L23" s="6" t="n">
        <x:v>10</x:v>
      </x:c>
      <x:c r="M23" s="11" t="n">
        <x:v>0.8207264957264957</x:v>
      </x:c>
      <x:c r="N23" s="6" t="n">
        <x:v>763000</x:v>
      </x:c>
    </x:row>
    <x:row r="24" ht="24" customHeight="1">
      <x:c r="A24" s="2" t="str">
        <x:v>2026-10-02_Day</x:v>
      </x:c>
      <x:c r="B24" s="6" t="str">
        <x:v>デイ</x:v>
      </x:c>
      <x:c r="C24" s="6" t="n">
        <x:v>305500</x:v>
      </x:c>
      <x:c r="D24" s="6" t="n">
        <x:v>924500</x:v>
      </x:c>
      <x:c r="E24" s="6" t="n">
        <x:f>C24-D24</x:f>
        <x:v>-619000</x:v>
      </x:c>
      <x:c r="F24" s="6" t="n">
        <x:f>F23+E24</x:f>
        <x:v>-11802000</x:v>
      </x:c>
      <x:c r="G24" s="6" t="n">
        <x:v>180500</x:v>
      </x:c>
      <x:c r="H24" s="6" t="n">
        <x:v>799500</x:v>
      </x:c>
      <x:c r="I24" s="6" t="n">
        <x:v>134</x:v>
      </x:c>
      <x:c r="J24" s="6" t="n">
        <x:v>344</x:v>
      </x:c>
      <x:c r="K24" s="6" t="n">
        <x:v>308</x:v>
      </x:c>
      <x:c r="L24" s="6" t="n">
        <x:v>10</x:v>
      </x:c>
      <x:c r="M24" s="11" t="n">
        <x:v>0.8365873015873015</x:v>
      </x:c>
      <x:c r="N24" s="6" t="n">
        <x:v>658000</x:v>
      </x:c>
    </x:row>
    <x:row r="25" ht="24" customHeight="1">
      <x:c r="A25" s="2" t="str">
        <x:v>2026-10-02_Night</x:v>
      </x:c>
      <x:c r="B25" s="6" t="str">
        <x:v>ナイト</x:v>
      </x:c>
      <x:c r="C25" s="6" t="n">
        <x:v>564000</x:v>
      </x:c>
      <x:c r="D25" s="6" t="n">
        <x:v>1291000</x:v>
      </x:c>
      <x:c r="E25" s="6" t="n">
        <x:f>C25-D25</x:f>
        <x:v>-727000</x:v>
      </x:c>
      <x:c r="F25" s="6" t="n">
        <x:f>F24+E25</x:f>
        <x:v>-12529000</x:v>
      </x:c>
      <x:c r="G25" s="6" t="n">
        <x:v>453500</x:v>
      </x:c>
      <x:c r="H25" s="6" t="n">
        <x:v>1180500</x:v>
      </x:c>
      <x:c r="I25" s="6" t="n">
        <x:v>200</x:v>
      </x:c>
      <x:c r="J25" s="6" t="n">
        <x:v>391</x:v>
      </x:c>
      <x:c r="K25" s="6" t="n">
        <x:v>380</x:v>
      </x:c>
      <x:c r="L25" s="6" t="n">
        <x:v>10</x:v>
      </x:c>
      <x:c r="M25" s="11" t="n">
        <x:v>0.7963034188034188</x:v>
      </x:c>
      <x:c r="N25" s="6" t="n">
        <x:v>824500</x:v>
      </x:c>
    </x:row>
    <x:row r="26" ht="24" customHeight="1">
      <x:c r="A26" s="2" t="str">
        <x:v>2026-10-05_Day</x:v>
      </x:c>
      <x:c r="B26" s="6" t="str">
        <x:v>デイ</x:v>
      </x:c>
      <x:c r="C26" s="6" t="n">
        <x:v>277500</x:v>
      </x:c>
      <x:c r="D26" s="6" t="n">
        <x:v>928000</x:v>
      </x:c>
      <x:c r="E26" s="6" t="n">
        <x:f>C26-D26</x:f>
        <x:v>-650500</x:v>
      </x:c>
      <x:c r="F26" s="6" t="n">
        <x:f>F25+E26</x:f>
        <x:v>-13179500</x:v>
      </x:c>
      <x:c r="G26" s="6" t="n">
        <x:v>201000</x:v>
      </x:c>
      <x:c r="H26" s="6" t="n">
        <x:v>851500</x:v>
      </x:c>
      <x:c r="I26" s="6" t="n">
        <x:v>122</x:v>
      </x:c>
      <x:c r="J26" s="6" t="n">
        <x:v>290</x:v>
      </x:c>
      <x:c r="K26" s="6" t="n">
        <x:v>279</x:v>
      </x:c>
      <x:c r="L26" s="6" t="n">
        <x:v>10</x:v>
      </x:c>
      <x:c r="M26" s="11" t="n">
        <x:v>0.8131349206349207</x:v>
      </x:c>
      <x:c r="N26" s="6" t="n">
        <x:v>652000</x:v>
      </x:c>
    </x:row>
    <x:row r="27" ht="24" customHeight="1">
      <x:c r="A27" s="2" t="str">
        <x:v>2026-10-05_Night</x:v>
      </x:c>
      <x:c r="B27" s="6" t="str">
        <x:v>ナイト</x:v>
      </x:c>
      <x:c r="C27" s="6" t="n">
        <x:v>307500</x:v>
      </x:c>
      <x:c r="D27" s="6" t="n">
        <x:v>867000</x:v>
      </x:c>
      <x:c r="E27" s="6" t="n">
        <x:f>C27-D27</x:f>
        <x:v>-559500</x:v>
      </x:c>
      <x:c r="F27" s="6" t="n">
        <x:f>F26+E27</x:f>
        <x:v>-13739000</x:v>
      </x:c>
      <x:c r="G27" s="6" t="n">
        <x:v>242000</x:v>
      </x:c>
      <x:c r="H27" s="6" t="n">
        <x:v>801500</x:v>
      </x:c>
      <x:c r="I27" s="6" t="n">
        <x:v>159</x:v>
      </x:c>
      <x:c r="J27" s="6" t="n">
        <x:v>340</x:v>
      </x:c>
      <x:c r="K27" s="6" t="n">
        <x:v>303</x:v>
      </x:c>
      <x:c r="L27" s="6" t="n">
        <x:v>10</x:v>
      </x:c>
      <x:c r="M27" s="11" t="n">
        <x:v>0.8048076923076923</x:v>
      </x:c>
      <x:c r="N27" s="6" t="n">
        <x:v>598500</x:v>
      </x:c>
    </x:row>
    <x:row r="28" ht="24" customHeight="1">
      <x:c r="A28" s="2" t="str">
        <x:v>2026-10-06_Day</x:v>
      </x:c>
      <x:c r="B28" s="6" t="str">
        <x:v>デイ</x:v>
      </x:c>
      <x:c r="C28" s="6" t="n">
        <x:v>237500</x:v>
      </x:c>
      <x:c r="D28" s="6" t="n">
        <x:v>543500</x:v>
      </x:c>
      <x:c r="E28" s="6" t="n">
        <x:f>C28-D28</x:f>
        <x:v>-306000</x:v>
      </x:c>
      <x:c r="F28" s="6" t="n">
        <x:f>F27+E28</x:f>
        <x:v>-14045000</x:v>
      </x:c>
      <x:c r="G28" s="6" t="n">
        <x:v>150000</x:v>
      </x:c>
      <x:c r="H28" s="6" t="n">
        <x:v>456000</x:v>
      </x:c>
      <x:c r="I28" s="6" t="n">
        <x:v>110</x:v>
      </x:c>
      <x:c r="J28" s="6" t="n">
        <x:v>279</x:v>
      </x:c>
      <x:c r="K28" s="6" t="n">
        <x:v>237</x:v>
      </x:c>
      <x:c r="L28" s="6" t="n">
        <x:v>10</x:v>
      </x:c>
      <x:c r="M28" s="11" t="n">
        <x:v>0.7882539682539682</x:v>
      </x:c>
      <x:c r="N28" s="6" t="n">
        <x:v>348000</x:v>
      </x:c>
    </x:row>
    <x:row r="29" ht="24" customHeight="1">
      <x:c r="A29" s="2" t="str">
        <x:v>2026-10-06_Night</x:v>
      </x:c>
      <x:c r="B29" s="6" t="str">
        <x:v>ナイト</x:v>
      </x:c>
      <x:c r="C29" s="6" t="n">
        <x:v>154000</x:v>
      </x:c>
      <x:c r="D29" s="6" t="n">
        <x:v>535500</x:v>
      </x:c>
      <x:c r="E29" s="6" t="n">
        <x:f>C29-D29</x:f>
        <x:v>-381500</x:v>
      </x:c>
      <x:c r="F29" s="6" t="n">
        <x:f>F28+E29</x:f>
        <x:v>-14426500</x:v>
      </x:c>
      <x:c r="G29" s="6" t="n">
        <x:v>97500</x:v>
      </x:c>
      <x:c r="H29" s="6" t="n">
        <x:v>479000</x:v>
      </x:c>
      <x:c r="I29" s="6" t="n">
        <x:v>147</x:v>
      </x:c>
      <x:c r="J29" s="6" t="n">
        <x:v>301</x:v>
      </x:c>
      <x:c r="K29" s="6" t="n">
        <x:v>260</x:v>
      </x:c>
      <x:c r="L29" s="6" t="n">
        <x:v>10</x:v>
      </x:c>
      <x:c r="M29" s="11" t="n">
        <x:v>0.7468803418803419</x:v>
      </x:c>
      <x:c r="N29" s="6" t="n">
        <x:v>383500</x:v>
      </x:c>
    </x:row>
    <x:row r="30" ht="24" customHeight="1">
      <x:c r="A30" s="2" t="str">
        <x:v>2026-10-07_Day</x:v>
      </x:c>
      <x:c r="B30" s="6" t="str">
        <x:v>デイ</x:v>
      </x:c>
      <x:c r="C30" s="6" t="n">
        <x:v>306000</x:v>
      </x:c>
      <x:c r="D30" s="6" t="n">
        <x:v>590000</x:v>
      </x:c>
      <x:c r="E30" s="6" t="n">
        <x:f>C30-D30</x:f>
        <x:v>-284000</x:v>
      </x:c>
      <x:c r="F30" s="6" t="n">
        <x:f>F29+E30</x:f>
        <x:v>-14710500</x:v>
      </x:c>
      <x:c r="G30" s="6" t="n">
        <x:v>246000</x:v>
      </x:c>
      <x:c r="H30" s="6" t="n">
        <x:v>530000</x:v>
      </x:c>
      <x:c r="I30" s="6" t="n">
        <x:v>96</x:v>
      </x:c>
      <x:c r="J30" s="6" t="n">
        <x:v>245</x:v>
      </x:c>
      <x:c r="K30" s="6" t="n">
        <x:v>228</x:v>
      </x:c>
      <x:c r="L30" s="6" t="n">
        <x:v>10</x:v>
      </x:c>
      <x:c r="M30" s="11" t="n">
        <x:v>0.7980555555555555</x:v>
      </x:c>
      <x:c r="N30" s="6" t="n">
        <x:v>351500</x:v>
      </x:c>
    </x:row>
    <x:row r="31" ht="24" customHeight="1">
      <x:c r="A31" s="2" t="str">
        <x:v>2026-10-07_Night</x:v>
      </x:c>
      <x:c r="B31" s="6" t="str">
        <x:v>ナイト</x:v>
      </x:c>
      <x:c r="C31" s="6" t="n">
        <x:v>194000</x:v>
      </x:c>
      <x:c r="D31" s="6" t="n">
        <x:v>860500</x:v>
      </x:c>
      <x:c r="E31" s="6" t="n">
        <x:f>C31-D31</x:f>
        <x:v>-666500</x:v>
      </x:c>
      <x:c r="F31" s="6" t="n">
        <x:f>F30+E31</x:f>
        <x:v>-15377000</x:v>
      </x:c>
      <x:c r="G31" s="6" t="n">
        <x:v>113000</x:v>
      </x:c>
      <x:c r="H31" s="6" t="n">
        <x:v>779500</x:v>
      </x:c>
      <x:c r="I31" s="6" t="n">
        <x:v>169</x:v>
      </x:c>
      <x:c r="J31" s="6" t="n">
        <x:v>335</x:v>
      </x:c>
      <x:c r="K31" s="6" t="n">
        <x:v>310</x:v>
      </x:c>
      <x:c r="L31" s="6" t="n">
        <x:v>10</x:v>
      </x:c>
      <x:c r="M31" s="11" t="n">
        <x:v>0.7790170940170941</x:v>
      </x:c>
      <x:c r="N31" s="6" t="n">
        <x:v>670000</x:v>
      </x:c>
    </x:row>
    <x:row r="32" ht="24" customHeight="1">
      <x:c r="A32" s="2" t="str">
        <x:v>2026-10-08_Day</x:v>
      </x:c>
      <x:c r="B32" s="6" t="str">
        <x:v>デイ</x:v>
      </x:c>
      <x:c r="C32" s="6" t="n">
        <x:v>582000</x:v>
      </x:c>
      <x:c r="D32" s="6" t="n">
        <x:v>635000</x:v>
      </x:c>
      <x:c r="E32" s="6" t="n">
        <x:f>C32-D32</x:f>
        <x:v>-53000</x:v>
      </x:c>
      <x:c r="F32" s="6" t="n">
        <x:f>F31+E32</x:f>
        <x:v>-15430000</x:v>
      </x:c>
      <x:c r="G32" s="6" t="n">
        <x:v>484000</x:v>
      </x:c>
      <x:c r="H32" s="6" t="n">
        <x:v>537000</x:v>
      </x:c>
      <x:c r="I32" s="6" t="n">
        <x:v>112</x:v>
      </x:c>
      <x:c r="J32" s="6" t="n">
        <x:v>296</x:v>
      </x:c>
      <x:c r="K32" s="6" t="n">
        <x:v>278</x:v>
      </x:c>
      <x:c r="L32" s="6" t="n">
        <x:v>10</x:v>
      </x:c>
      <x:c r="M32" s="11" t="n">
        <x:v>0.8236904761904762</x:v>
      </x:c>
      <x:c r="N32" s="6" t="n">
        <x:v>368500</x:v>
      </x:c>
    </x:row>
    <x:row r="33" ht="24" customHeight="1">
      <x:c r="A33" s="2" t="str">
        <x:v>2026-10-08_Night</x:v>
      </x:c>
      <x:c r="B33" s="6" t="str">
        <x:v>ナイト</x:v>
      </x:c>
      <x:c r="C33" s="6" t="n">
        <x:v>320500</x:v>
      </x:c>
      <x:c r="D33" s="6" t="n">
        <x:v>1088500</x:v>
      </x:c>
      <x:c r="E33" s="6" t="n">
        <x:f>C33-D33</x:f>
        <x:v>-768000</x:v>
      </x:c>
      <x:c r="F33" s="6" t="n">
        <x:f>F32+E33</x:f>
        <x:v>-16198000</x:v>
      </x:c>
      <x:c r="G33" s="6" t="n">
        <x:v>211000</x:v>
      </x:c>
      <x:c r="H33" s="6" t="n">
        <x:v>979000</x:v>
      </x:c>
      <x:c r="I33" s="6" t="n">
        <x:v>193</x:v>
      </x:c>
      <x:c r="J33" s="6" t="n">
        <x:v>404</x:v>
      </x:c>
      <x:c r="K33" s="6" t="n">
        <x:v>388</x:v>
      </x:c>
      <x:c r="L33" s="6" t="n">
        <x:v>10</x:v>
      </x:c>
      <x:c r="M33" s="11" t="n">
        <x:v>0.7911324786324786</x:v>
      </x:c>
      <x:c r="N33" s="6" t="n">
        <x:v>772500</x:v>
      </x:c>
    </x:row>
    <x:row r="34" ht="24" customHeight="1">
      <x:c r="A34" s="2" t="str">
        <x:v>2026-10-09_Day</x:v>
      </x:c>
      <x:c r="B34" s="6" t="str">
        <x:v>デイ</x:v>
      </x:c>
      <x:c r="C34" s="6" t="n">
        <x:v>240000</x:v>
      </x:c>
      <x:c r="D34" s="6" t="n">
        <x:v>1171500</x:v>
      </x:c>
      <x:c r="E34" s="6" t="n">
        <x:f>C34-D34</x:f>
        <x:v>-931500</x:v>
      </x:c>
      <x:c r="F34" s="6" t="n">
        <x:f>F33+E34</x:f>
        <x:v>-17129500</x:v>
      </x:c>
      <x:c r="G34" s="6" t="n">
        <x:v>163500</x:v>
      </x:c>
      <x:c r="H34" s="6" t="n">
        <x:v>1095000</x:v>
      </x:c>
      <x:c r="I34" s="6" t="n">
        <x:v>133</x:v>
      </x:c>
      <x:c r="J34" s="6" t="n">
        <x:v>284</x:v>
      </x:c>
      <x:c r="K34" s="6" t="n">
        <x:v>248</x:v>
      </x:c>
      <x:c r="L34" s="6" t="n">
        <x:v>10</x:v>
      </x:c>
      <x:c r="M34" s="11" t="n">
        <x:v>0.7950396825396825</x:v>
      </x:c>
      <x:c r="N34" s="6" t="n">
        <x:v>954000</x:v>
      </x:c>
    </x:row>
    <x:row r="35" ht="24" customHeight="1">
      <x:c r="A35" s="2" t="str">
        <x:v>2026-10-09_Night</x:v>
      </x:c>
      <x:c r="B35" s="6" t="str">
        <x:v>ナイト</x:v>
      </x:c>
      <x:c r="C35" s="6" t="n">
        <x:v>97000</x:v>
      </x:c>
      <x:c r="D35" s="6" t="n">
        <x:v>569000</x:v>
      </x:c>
      <x:c r="E35" s="6" t="n">
        <x:f>C35-D35</x:f>
        <x:v>-472000</x:v>
      </x:c>
      <x:c r="F35" s="6" t="n">
        <x:f>F34+E35</x:f>
        <x:v>-17601500</x:v>
      </x:c>
      <x:c r="G35" s="6" t="n">
        <x:v>67500</x:v>
      </x:c>
      <x:c r="H35" s="6" t="n">
        <x:v>539500</x:v>
      </x:c>
      <x:c r="I35" s="6" t="n">
        <x:v>148</x:v>
      </x:c>
      <x:c r="J35" s="6" t="n">
        <x:v>254</x:v>
      </x:c>
      <x:c r="K35" s="6" t="n">
        <x:v>229</x:v>
      </x:c>
      <x:c r="L35" s="6" t="n">
        <x:v>10</x:v>
      </x:c>
      <x:c r="M35" s="11" t="n">
        <x:v>0.7696794871794872</x:v>
      </x:c>
      <x:c r="N35" s="6" t="n">
        <x:v>473500</x:v>
      </x:c>
    </x:row>
    <x:row r="36" ht="24" customHeight="1">
      <x:c r="A36" s="2" t="str">
        <x:v>2026-10-12_Day</x:v>
      </x:c>
      <x:c r="B36" s="6" t="str">
        <x:v>デイ</x:v>
      </x:c>
      <x:c r="C36" s="6" t="n">
        <x:v>49000</x:v>
      </x:c>
      <x:c r="D36" s="6" t="n">
        <x:v>251500</x:v>
      </x:c>
      <x:c r="E36" s="6" t="n">
        <x:f>C36-D36</x:f>
        <x:v>-202500</x:v>
      </x:c>
      <x:c r="F36" s="6" t="n">
        <x:f>F35+E36</x:f>
        <x:v>-17804000</x:v>
      </x:c>
      <x:c r="G36" s="6" t="n">
        <x:v>24000</x:v>
      </x:c>
      <x:c r="H36" s="6" t="n">
        <x:v>226500</x:v>
      </x:c>
      <x:c r="I36" s="6" t="n">
        <x:v>72</x:v>
      </x:c>
      <x:c r="J36" s="6" t="n">
        <x:v>106</x:v>
      </x:c>
      <x:c r="K36" s="6" t="n">
        <x:v>91</x:v>
      </x:c>
      <x:c r="L36" s="6" t="n">
        <x:v>10</x:v>
      </x:c>
      <x:c r="M36" s="11" t="n">
        <x:v>0.7308730158730159</x:v>
      </x:c>
      <x:c r="N36" s="6" t="n">
        <x:v>207500</x:v>
      </x:c>
    </x:row>
    <x:row r="37" ht="24" customHeight="1">
      <x:c r="A37" s="2" t="str">
        <x:v>2026-10-12_Night</x:v>
      </x:c>
      <x:c r="B37" s="6" t="str">
        <x:v>ナイト</x:v>
      </x:c>
      <x:c r="C37" s="6" t="n">
        <x:v>73500</x:v>
      </x:c>
      <x:c r="D37" s="6" t="n">
        <x:v>415500</x:v>
      </x:c>
      <x:c r="E37" s="6" t="n">
        <x:f>C37-D37</x:f>
        <x:v>-342000</x:v>
      </x:c>
      <x:c r="F37" s="6" t="n">
        <x:f>F36+E37</x:f>
        <x:v>-18146000</x:v>
      </x:c>
      <x:c r="G37" s="6" t="n">
        <x:v>32000</x:v>
      </x:c>
      <x:c r="H37" s="6" t="n">
        <x:v>374000</x:v>
      </x:c>
      <x:c r="I37" s="6" t="n">
        <x:v>111</x:v>
      </x:c>
      <x:c r="J37" s="6" t="n">
        <x:v>201</x:v>
      </x:c>
      <x:c r="K37" s="6" t="n">
        <x:v>160</x:v>
      </x:c>
      <x:c r="L37" s="6" t="n">
        <x:v>8</x:v>
      </x:c>
      <x:c r="M37" s="11" t="n">
        <x:v>0.7284615384615385</x:v>
      </x:c>
      <x:c r="N37" s="6" t="n">
        <x:v>347500</x:v>
      </x:c>
    </x:row>
    <x:row r="38" ht="24" customHeight="1">
      <x:c r="A38" s="2" t="str">
        <x:v>2026-10-13_Day</x:v>
      </x:c>
      <x:c r="B38" s="6" t="str">
        <x:v>デイ</x:v>
      </x:c>
      <x:c r="C38" s="6" t="n">
        <x:v>403500</x:v>
      </x:c>
      <x:c r="D38" s="6" t="n">
        <x:v>1247000</x:v>
      </x:c>
      <x:c r="E38" s="6" t="n">
        <x:f>C38-D38</x:f>
        <x:v>-843500</x:v>
      </x:c>
      <x:c r="F38" s="6" t="n">
        <x:f>F37+E38</x:f>
        <x:v>-18989500</x:v>
      </x:c>
      <x:c r="G38" s="6" t="n">
        <x:v>326000</x:v>
      </x:c>
      <x:c r="H38" s="6" t="n">
        <x:v>1169500</x:v>
      </x:c>
      <x:c r="I38" s="6" t="n">
        <x:v>154</x:v>
      </x:c>
      <x:c r="J38" s="6" t="n">
        <x:v>299</x:v>
      </x:c>
      <x:c r="K38" s="6" t="n">
        <x:v>271</x:v>
      </x:c>
      <x:c r="L38" s="6" t="n">
        <x:v>10</x:v>
      </x:c>
      <x:c r="M38" s="11" t="n">
        <x:v>0.8062301587301587</x:v>
      </x:c>
      <x:c r="N38" s="6" t="n">
        <x:v>904000</x:v>
      </x:c>
    </x:row>
    <x:row r="39" ht="24" customHeight="1">
      <x:c r="A39" s="2" t="str">
        <x:v>2026-10-13_Night</x:v>
      </x:c>
      <x:c r="B39" s="6" t="str">
        <x:v>ナイト</x:v>
      </x:c>
      <x:c r="C39" s="6" t="n">
        <x:v>124000</x:v>
      </x:c>
      <x:c r="D39" s="6" t="n">
        <x:v>454500</x:v>
      </x:c>
      <x:c r="E39" s="6" t="n">
        <x:f>C39-D39</x:f>
        <x:v>-330500</x:v>
      </x:c>
      <x:c r="F39" s="6" t="n">
        <x:f>F38+E39</x:f>
        <x:v>-19320000</x:v>
      </x:c>
      <x:c r="G39" s="6" t="n">
        <x:v>54000</x:v>
      </x:c>
      <x:c r="H39" s="6" t="n">
        <x:v>384500</x:v>
      </x:c>
      <x:c r="I39" s="6" t="n">
        <x:v>136</x:v>
      </x:c>
      <x:c r="J39" s="6" t="n">
        <x:v>245</x:v>
      </x:c>
      <x:c r="K39" s="6" t="n">
        <x:v>216</x:v>
      </x:c>
      <x:c r="L39" s="6" t="n">
        <x:v>10</x:v>
      </x:c>
      <x:c r="M39" s="11" t="n">
        <x:v>0.7763034188034188</x:v>
      </x:c>
      <x:c r="N39" s="6" t="n">
        <x:v>335000</x:v>
      </x:c>
    </x:row>
    <x:row r="40" ht="24" customHeight="1">
      <x:c r="A40" s="2" t="str">
        <x:v>2026-10-14_Day</x:v>
      </x:c>
      <x:c r="B40" s="6" t="str">
        <x:v>デイ</x:v>
      </x:c>
      <x:c r="C40" s="6" t="n">
        <x:v>215500</x:v>
      </x:c>
      <x:c r="D40" s="6" t="n">
        <x:v>804000</x:v>
      </x:c>
      <x:c r="E40" s="6" t="n">
        <x:f>C40-D40</x:f>
        <x:v>-588500</x:v>
      </x:c>
      <x:c r="F40" s="6" t="n">
        <x:f>F39+E40</x:f>
        <x:v>-19908500</x:v>
      </x:c>
      <x:c r="G40" s="6" t="n">
        <x:v>165000</x:v>
      </x:c>
      <x:c r="H40" s="6" t="n">
        <x:v>753500</x:v>
      </x:c>
      <x:c r="I40" s="6" t="n">
        <x:v>131</x:v>
      </x:c>
      <x:c r="J40" s="6" t="n">
        <x:v>264</x:v>
      </x:c>
      <x:c r="K40" s="6" t="n">
        <x:v>239</x:v>
      </x:c>
      <x:c r="L40" s="6" t="n">
        <x:v>10</x:v>
      </x:c>
      <x:c r="M40" s="11" t="n">
        <x:v>0.7926190476190477</x:v>
      </x:c>
      <x:c r="N40" s="6" t="n">
        <x:v>588500</x:v>
      </x:c>
    </x:row>
    <x:row r="41" ht="24" customHeight="1">
      <x:c r="A41" s="2" t="str">
        <x:v>2026-10-14_Night</x:v>
      </x:c>
      <x:c r="B41" s="6" t="str">
        <x:v>ナイト</x:v>
      </x:c>
      <x:c r="C41" s="6" t="n">
        <x:v>428000</x:v>
      </x:c>
      <x:c r="D41" s="6" t="n">
        <x:v>907500</x:v>
      </x:c>
      <x:c r="E41" s="6" t="n">
        <x:f>C41-D41</x:f>
        <x:v>-479500</x:v>
      </x:c>
      <x:c r="F41" s="6" t="n">
        <x:f>F40+E41</x:f>
        <x:v>-20388000</x:v>
      </x:c>
      <x:c r="G41" s="6" t="n">
        <x:v>342000</x:v>
      </x:c>
      <x:c r="H41" s="6" t="n">
        <x:v>821500</x:v>
      </x:c>
      <x:c r="I41" s="6" t="n">
        <x:v>172</x:v>
      </x:c>
      <x:c r="J41" s="6" t="n">
        <x:v>399</x:v>
      </x:c>
      <x:c r="K41" s="6" t="n">
        <x:v>346</x:v>
      </x:c>
      <x:c r="L41" s="6" t="n">
        <x:v>10</x:v>
      </x:c>
      <x:c r="M41" s="11" t="n">
        <x:v>0.8269230769230769</x:v>
      </x:c>
      <x:c r="N41" s="6" t="n">
        <x:v>493500</x:v>
      </x:c>
    </x:row>
    <x:row r="42" ht="24" customHeight="1">
      <x:c r="A42" s="2" t="str">
        <x:v>2026-10-15_Day</x:v>
      </x:c>
      <x:c r="B42" s="6" t="str">
        <x:v>デイ</x:v>
      </x:c>
      <x:c r="C42" s="6" t="n">
        <x:v>742500</x:v>
      </x:c>
      <x:c r="D42" s="6" t="n">
        <x:v>1528000</x:v>
      </x:c>
      <x:c r="E42" s="6" t="n">
        <x:f>C42-D42</x:f>
        <x:v>-785500</x:v>
      </x:c>
      <x:c r="F42" s="6" t="n">
        <x:f>F41+E42</x:f>
        <x:v>-21173500</x:v>
      </x:c>
      <x:c r="G42" s="6" t="n">
        <x:v>579500</x:v>
      </x:c>
      <x:c r="H42" s="6" t="n">
        <x:v>1365000</x:v>
      </x:c>
      <x:c r="I42" s="6" t="n">
        <x:v>159</x:v>
      </x:c>
      <x:c r="J42" s="6" t="n">
        <x:v>379</x:v>
      </x:c>
      <x:c r="K42" s="6" t="n">
        <x:v>358</x:v>
      </x:c>
      <x:c r="L42" s="6" t="n">
        <x:v>10</x:v>
      </x:c>
      <x:c r="M42" s="11" t="n">
        <x:v>0.7839285714285714</x:v>
      </x:c>
      <x:c r="N42" s="6" t="n">
        <x:v>837500</x:v>
      </x:c>
    </x:row>
    <x:row r="43" ht="24" customHeight="1">
      <x:c r="A43" s="2" t="str">
        <x:v>2026-10-15_Night</x:v>
      </x:c>
      <x:c r="B43" s="6" t="str">
        <x:v>ナイト</x:v>
      </x:c>
      <x:c r="C43" s="6" t="n">
        <x:v>421000</x:v>
      </x:c>
      <x:c r="D43" s="6" t="n">
        <x:v>1151500</x:v>
      </x:c>
      <x:c r="E43" s="6" t="n">
        <x:f>C43-D43</x:f>
        <x:v>-730500</x:v>
      </x:c>
      <x:c r="F43" s="6" t="n">
        <x:f>F42+E43</x:f>
        <x:v>-21904000</x:v>
      </x:c>
      <x:c r="G43" s="6" t="n">
        <x:v>303500</x:v>
      </x:c>
      <x:c r="H43" s="6" t="n">
        <x:v>1034000</x:v>
      </x:c>
      <x:c r="I43" s="6" t="n">
        <x:v>193</x:v>
      </x:c>
      <x:c r="J43" s="6" t="n">
        <x:v>429</x:v>
      </x:c>
      <x:c r="K43" s="6" t="n">
        <x:v>384</x:v>
      </x:c>
      <x:c r="L43" s="6" t="n">
        <x:v>10</x:v>
      </x:c>
      <x:c r="M43" s="11" t="n">
        <x:v>0.7660683760683761</x:v>
      </x:c>
      <x:c r="N43" s="6" t="n">
        <x:v>730500</x:v>
      </x:c>
    </x:row>
    <x:row r="44" ht="24" customHeight="1">
      <x:c r="A44" s="2" t="str">
        <x:v>2026-10-16_Day</x:v>
      </x:c>
      <x:c r="B44" s="6" t="str">
        <x:v>デイ</x:v>
      </x:c>
      <x:c r="C44" s="6" t="n">
        <x:v>484500</x:v>
      </x:c>
      <x:c r="D44" s="6" t="n">
        <x:v>982000</x:v>
      </x:c>
      <x:c r="E44" s="6" t="n">
        <x:f>C44-D44</x:f>
        <x:v>-497500</x:v>
      </x:c>
      <x:c r="F44" s="6" t="n">
        <x:f>F43+E44</x:f>
        <x:v>-22401500</x:v>
      </x:c>
      <x:c r="G44" s="6" t="n">
        <x:v>358500</x:v>
      </x:c>
      <x:c r="H44" s="6" t="n">
        <x:v>856000</x:v>
      </x:c>
      <x:c r="I44" s="6" t="n">
        <x:v>132</x:v>
      </x:c>
      <x:c r="J44" s="6" t="n">
        <x:v>333</x:v>
      </x:c>
      <x:c r="K44" s="6" t="n">
        <x:v>314</x:v>
      </x:c>
      <x:c r="L44" s="6" t="n">
        <x:v>10</x:v>
      </x:c>
      <x:c r="M44" s="11" t="n">
        <x:v>0.8228174603174603</x:v>
      </x:c>
      <x:c r="N44" s="6" t="n">
        <x:v>531000</x:v>
      </x:c>
    </x:row>
    <x:row r="45" ht="24" customHeight="1">
      <x:c r="A45" s="2" t="str">
        <x:v>2026-10-16_Night</x:v>
      </x:c>
      <x:c r="B45" s="6" t="str">
        <x:v>ナイト</x:v>
      </x:c>
      <x:c r="C45" s="6" t="n">
        <x:v>539500</x:v>
      </x:c>
      <x:c r="D45" s="6" t="n">
        <x:v>1387500</x:v>
      </x:c>
      <x:c r="E45" s="6" t="n">
        <x:f>C45-D45</x:f>
        <x:v>-848000</x:v>
      </x:c>
      <x:c r="F45" s="6" t="n">
        <x:f>F44+E45</x:f>
        <x:v>-23249500</x:v>
      </x:c>
      <x:c r="G45" s="6" t="n">
        <x:v>406000</x:v>
      </x:c>
      <x:c r="H45" s="6" t="n">
        <x:v>1254000</x:v>
      </x:c>
      <x:c r="I45" s="6" t="n">
        <x:v>213</x:v>
      </x:c>
      <x:c r="J45" s="6" t="n">
        <x:v>534</x:v>
      </x:c>
      <x:c r="K45" s="6" t="n">
        <x:v>486</x:v>
      </x:c>
      <x:c r="L45" s="6" t="n">
        <x:v>10</x:v>
      </x:c>
      <x:c r="M45" s="11" t="n">
        <x:v>0.8260897435897436</x:v>
      </x:c>
      <x:c r="N45" s="6" t="n">
        <x:v>852000</x:v>
      </x:c>
    </x:row>
    <x:row r="46" ht="24" customHeight="1">
      <x:c r="A46" s="2" t="str">
        <x:v>2026-10-19_Day</x:v>
      </x:c>
      <x:c r="B46" s="6" t="str">
        <x:v>デイ</x:v>
      </x:c>
      <x:c r="C46" s="6" t="n">
        <x:v>559000</x:v>
      </x:c>
      <x:c r="D46" s="6" t="n">
        <x:v>1222000</x:v>
      </x:c>
      <x:c r="E46" s="6" t="n">
        <x:f>C46-D46</x:f>
        <x:v>-663000</x:v>
      </x:c>
      <x:c r="F46" s="6" t="n">
        <x:f>F45+E46</x:f>
        <x:v>-23912500</x:v>
      </x:c>
      <x:c r="G46" s="6" t="n">
        <x:v>453000</x:v>
      </x:c>
      <x:c r="H46" s="6" t="n">
        <x:v>1116000</x:v>
      </x:c>
      <x:c r="I46" s="6" t="n">
        <x:v>145</x:v>
      </x:c>
      <x:c r="J46" s="6" t="n">
        <x:v>279</x:v>
      </x:c>
      <x:c r="K46" s="6" t="n">
        <x:v>263</x:v>
      </x:c>
      <x:c r="L46" s="6" t="n">
        <x:v>10</x:v>
      </x:c>
      <x:c r="M46" s="11" t="n">
        <x:v>0.8042063492063493</x:v>
      </x:c>
      <x:c r="N46" s="6" t="n">
        <x:v>766000</x:v>
      </x:c>
    </x:row>
    <x:row r="47" ht="24" customHeight="1">
      <x:c r="A47" s="2" t="str">
        <x:v>2026-10-19_Night</x:v>
      </x:c>
      <x:c r="B47" s="6" t="str">
        <x:v>ナイト</x:v>
      </x:c>
      <x:c r="C47" s="6" t="n">
        <x:v>237500</x:v>
      </x:c>
      <x:c r="D47" s="6" t="n">
        <x:v>955500</x:v>
      </x:c>
      <x:c r="E47" s="6" t="n">
        <x:f>C47-D47</x:f>
        <x:v>-718000</x:v>
      </x:c>
      <x:c r="F47" s="6" t="n">
        <x:f>F46+E47</x:f>
        <x:v>-24630500</x:v>
      </x:c>
      <x:c r="G47" s="6" t="n">
        <x:v>144000</x:v>
      </x:c>
      <x:c r="H47" s="6" t="n">
        <x:v>862000</x:v>
      </x:c>
      <x:c r="I47" s="6" t="n">
        <x:v>184</x:v>
      </x:c>
      <x:c r="J47" s="6" t="n">
        <x:v>369</x:v>
      </x:c>
      <x:c r="K47" s="6" t="n">
        <x:v>346</x:v>
      </x:c>
      <x:c r="L47" s="6" t="n">
        <x:v>10</x:v>
      </x:c>
      <x:c r="M47" s="11" t="n">
        <x:v>0.7961752136752137</x:v>
      </x:c>
      <x:c r="N47" s="6" t="n">
        <x:v>720000</x:v>
      </x:c>
    </x:row>
    <x:row r="48" ht="24" customHeight="1">
      <x:c r="A48" s="2" t="str">
        <x:v>2026-10-20_Day</x:v>
      </x:c>
      <x:c r="B48" s="6" t="str">
        <x:v>デイ</x:v>
      </x:c>
      <x:c r="C48" s="6" t="n">
        <x:v>536500</x:v>
      </x:c>
      <x:c r="D48" s="6" t="n">
        <x:v>1147500</x:v>
      </x:c>
      <x:c r="E48" s="6" t="n">
        <x:f>C48-D48</x:f>
        <x:v>-611000</x:v>
      </x:c>
      <x:c r="F48" s="6" t="n">
        <x:f>F47+E48</x:f>
        <x:v>-25241500</x:v>
      </x:c>
      <x:c r="G48" s="6" t="n">
        <x:v>391000</x:v>
      </x:c>
      <x:c r="H48" s="6" t="n">
        <x:v>1002000</x:v>
      </x:c>
      <x:c r="I48" s="6" t="n">
        <x:v>143</x:v>
      </x:c>
      <x:c r="J48" s="6" t="n">
        <x:v>365</x:v>
      </x:c>
      <x:c r="K48" s="6" t="n">
        <x:v>311</x:v>
      </x:c>
      <x:c r="L48" s="6" t="n">
        <x:v>10</x:v>
      </x:c>
      <x:c r="M48" s="11" t="n">
        <x:v>0.8298412698412698</x:v>
      </x:c>
      <x:c r="N48" s="6" t="n">
        <x:v>628500</x:v>
      </x:c>
    </x:row>
    <x:row r="49" ht="24" customHeight="1">
      <x:c r="A49" s="2" t="str">
        <x:v>2026-10-20_Night</x:v>
      </x:c>
      <x:c r="B49" s="6" t="str">
        <x:v>ナイト</x:v>
      </x:c>
      <x:c r="C49" s="6" t="n">
        <x:v>507000</x:v>
      </x:c>
      <x:c r="D49" s="6" t="n">
        <x:v>1061500</x:v>
      </x:c>
      <x:c r="E49" s="6" t="n">
        <x:f>C49-D49</x:f>
        <x:v>-554500</x:v>
      </x:c>
      <x:c r="F49" s="6" t="n">
        <x:f>F48+E49</x:f>
        <x:v>-25796000</x:v>
      </x:c>
      <x:c r="G49" s="6" t="n">
        <x:v>368000</x:v>
      </x:c>
      <x:c r="H49" s="6" t="n">
        <x:v>922500</x:v>
      </x:c>
      <x:c r="I49" s="6" t="n">
        <x:v>183</x:v>
      </x:c>
      <x:c r="J49" s="6" t="n">
        <x:v>418</x:v>
      </x:c>
      <x:c r="K49" s="6" t="n">
        <x:v>398</x:v>
      </x:c>
      <x:c r="L49" s="6" t="n">
        <x:v>10</x:v>
      </x:c>
      <x:c r="M49" s="11" t="n">
        <x:v>0.7990811965811966</x:v>
      </x:c>
      <x:c r="N49" s="6" t="n">
        <x:v>575500</x:v>
      </x:c>
    </x:row>
    <x:row r="50" ht="24" customHeight="1">
      <x:c r="A50" s="2" t="str">
        <x:v>2026-10-21_Day</x:v>
      </x:c>
      <x:c r="B50" s="6" t="str">
        <x:v>デイ</x:v>
      </x:c>
      <x:c r="C50" s="6" t="n">
        <x:v>169500</x:v>
      </x:c>
      <x:c r="D50" s="6" t="n">
        <x:v>772500</x:v>
      </x:c>
      <x:c r="E50" s="6" t="n">
        <x:f>C50-D50</x:f>
        <x:v>-603000</x:v>
      </x:c>
      <x:c r="F50" s="6" t="n">
        <x:f>F49+E50</x:f>
        <x:v>-26399000</x:v>
      </x:c>
      <x:c r="G50" s="6" t="n">
        <x:v>111500</x:v>
      </x:c>
      <x:c r="H50" s="6" t="n">
        <x:v>714500</x:v>
      </x:c>
      <x:c r="I50" s="6" t="n">
        <x:v>120</x:v>
      </x:c>
      <x:c r="J50" s="6" t="n">
        <x:v>276</x:v>
      </x:c>
      <x:c r="K50" s="6" t="n">
        <x:v>267</x:v>
      </x:c>
      <x:c r="L50" s="6" t="n">
        <x:v>10</x:v>
      </x:c>
      <x:c r="M50" s="11" t="n">
        <x:v>0.7867063492063492</x:v>
      </x:c>
      <x:c r="N50" s="6" t="n">
        <x:v>605000</x:v>
      </x:c>
    </x:row>
    <x:row r="51" ht="24" customHeight="1">
      <x:c r="A51" s="2" t="str">
        <x:v>2026-10-21_Night</x:v>
      </x:c>
      <x:c r="B51" s="6" t="str">
        <x:v>ナイト</x:v>
      </x:c>
      <x:c r="C51" s="6" t="n">
        <x:v>370500</x:v>
      </x:c>
      <x:c r="D51" s="6" t="n">
        <x:v>788000</x:v>
      </x:c>
      <x:c r="E51" s="6" t="n">
        <x:f>C51-D51</x:f>
        <x:v>-417500</x:v>
      </x:c>
      <x:c r="F51" s="6" t="n">
        <x:f>F50+E51</x:f>
        <x:v>-26816500</x:v>
      </x:c>
      <x:c r="G51" s="6" t="n">
        <x:v>274500</x:v>
      </x:c>
      <x:c r="H51" s="6" t="n">
        <x:v>692000</x:v>
      </x:c>
      <x:c r="I51" s="6" t="n">
        <x:v>173</x:v>
      </x:c>
      <x:c r="J51" s="6" t="n">
        <x:v>364</x:v>
      </x:c>
      <x:c r="K51" s="6" t="n">
        <x:v>308</x:v>
      </x:c>
      <x:c r="L51" s="6" t="n">
        <x:v>10</x:v>
      </x:c>
      <x:c r="M51" s="11" t="n">
        <x:v>0.8004059829059829</x:v>
      </x:c>
      <x:c r="N51" s="6" t="n">
        <x:v>442500</x:v>
      </x:c>
    </x:row>
    <x:row r="52" ht="24" customHeight="1">
      <x:c r="A52" s="2" t="str">
        <x:v>2026-10-22_Day</x:v>
      </x:c>
      <x:c r="B52" s="6" t="str">
        <x:v>デイ</x:v>
      </x:c>
      <x:c r="C52" s="6" t="n">
        <x:v>629000</x:v>
      </x:c>
      <x:c r="D52" s="6" t="n">
        <x:v>1072500</x:v>
      </x:c>
      <x:c r="E52" s="6" t="n">
        <x:f>C52-D52</x:f>
        <x:v>-443500</x:v>
      </x:c>
      <x:c r="F52" s="6" t="n">
        <x:f>F51+E52</x:f>
        <x:v>-27260000</x:v>
      </x:c>
      <x:c r="G52" s="6" t="n">
        <x:v>536500</x:v>
      </x:c>
      <x:c r="H52" s="6" t="n">
        <x:v>980000</x:v>
      </x:c>
      <x:c r="I52" s="6" t="n">
        <x:v>137</x:v>
      </x:c>
      <x:c r="J52" s="6" t="n">
        <x:v>339</x:v>
      </x:c>
      <x:c r="K52" s="6" t="n">
        <x:v>315</x:v>
      </x:c>
      <x:c r="L52" s="6" t="n">
        <x:v>10</x:v>
      </x:c>
      <x:c r="M52" s="11" t="n">
        <x:v>0.8286507936507936</x:v>
      </x:c>
      <x:c r="N52" s="6" t="n">
        <x:v>540500</x:v>
      </x:c>
    </x:row>
    <x:row r="53" ht="24" customHeight="1">
      <x:c r="A53" s="2" t="str">
        <x:v>2026-10-22_Night</x:v>
      </x:c>
      <x:c r="B53" s="6" t="str">
        <x:v>ナイト</x:v>
      </x:c>
      <x:c r="C53" s="6" t="n">
        <x:v>514500</x:v>
      </x:c>
      <x:c r="D53" s="6" t="n">
        <x:v>1024000</x:v>
      </x:c>
      <x:c r="E53" s="6" t="n">
        <x:f>C53-D53</x:f>
        <x:v>-509500</x:v>
      </x:c>
      <x:c r="F53" s="6" t="n">
        <x:f>F52+E53</x:f>
        <x:v>-27769500</x:v>
      </x:c>
      <x:c r="G53" s="6" t="n">
        <x:v>341000</x:v>
      </x:c>
      <x:c r="H53" s="6" t="n">
        <x:v>850500</x:v>
      </x:c>
      <x:c r="I53" s="6" t="n">
        <x:v>187</x:v>
      </x:c>
      <x:c r="J53" s="6" t="n">
        <x:v>456</x:v>
      </x:c>
      <x:c r="K53" s="6" t="n">
        <x:v>463</x:v>
      </x:c>
      <x:c r="L53" s="6" t="n">
        <x:v>10</x:v>
      </x:c>
      <x:c r="M53" s="11" t="n">
        <x:v>0.8154059829059829</x:v>
      </x:c>
      <x:c r="N53" s="6" t="n">
        <x:v>526500</x:v>
      </x:c>
    </x:row>
    <x:row r="54" ht="24" customHeight="1">
      <x:c r="A54" s="2" t="str">
        <x:v>2026-10-23_Day</x:v>
      </x:c>
      <x:c r="B54" s="6" t="str">
        <x:v>デイ</x:v>
      </x:c>
      <x:c r="C54" s="6" t="n">
        <x:v>1328500</x:v>
      </x:c>
      <x:c r="D54" s="6" t="n">
        <x:v>2066500</x:v>
      </x:c>
      <x:c r="E54" s="6" t="n">
        <x:f>C54-D54</x:f>
        <x:v>-738000</x:v>
      </x:c>
      <x:c r="F54" s="6" t="n">
        <x:f>F53+E54</x:f>
        <x:v>-28507500</x:v>
      </x:c>
      <x:c r="G54" s="6" t="n">
        <x:v>1243500</x:v>
      </x:c>
      <x:c r="H54" s="6" t="n">
        <x:v>1981500</x:v>
      </x:c>
      <x:c r="I54" s="6" t="n">
        <x:v>182</x:v>
      </x:c>
      <x:c r="J54" s="6" t="n">
        <x:v>327</x:v>
      </x:c>
      <x:c r="K54" s="6" t="n">
        <x:v>316</x:v>
      </x:c>
      <x:c r="L54" s="6" t="n">
        <x:v>10</x:v>
      </x:c>
      <x:c r="M54" s="11" t="n">
        <x:v>0.800952380952381</x:v>
      </x:c>
      <x:c r="N54" s="6" t="n">
        <x:v>747500</x:v>
      </x:c>
    </x:row>
    <x:row r="55" ht="24" customHeight="1">
      <x:c r="A55" s="2" t="str">
        <x:v>2026-10-23_Night</x:v>
      </x:c>
      <x:c r="B55" s="6" t="str">
        <x:v>ナイト</x:v>
      </x:c>
      <x:c r="C55" s="6" t="n">
        <x:v>389500</x:v>
      </x:c>
      <x:c r="D55" s="6" t="n">
        <x:v>1335500</x:v>
      </x:c>
      <x:c r="E55" s="6" t="n">
        <x:f>C55-D55</x:f>
        <x:v>-946000</x:v>
      </x:c>
      <x:c r="F55" s="6" t="n">
        <x:f>F54+E55</x:f>
        <x:v>-29453500</x:v>
      </x:c>
      <x:c r="G55" s="6" t="n">
        <x:v>276000</x:v>
      </x:c>
      <x:c r="H55" s="6" t="n">
        <x:v>1222000</x:v>
      </x:c>
      <x:c r="I55" s="6" t="n">
        <x:v>203</x:v>
      </x:c>
      <x:c r="J55" s="6" t="n">
        <x:v>429</x:v>
      </x:c>
      <x:c r="K55" s="6" t="n">
        <x:v>417</x:v>
      </x:c>
      <x:c r="L55" s="6" t="n">
        <x:v>10</x:v>
      </x:c>
      <x:c r="M55" s="11" t="n">
        <x:v>0.7874145299145299</x:v>
      </x:c>
      <x:c r="N55" s="6" t="n">
        <x:v>984500</x:v>
      </x:c>
    </x:row>
    <x:row r="56" ht="24" customHeight="1">
      <x:c r="A56" s="2" t="str">
        <x:v>2026-10-26_Day</x:v>
      </x:c>
      <x:c r="B56" s="6" t="str">
        <x:v>デイ</x:v>
      </x:c>
      <x:c r="C56" s="6" t="n">
        <x:v>604000</x:v>
      </x:c>
      <x:c r="D56" s="6" t="n">
        <x:v>1622500</x:v>
      </x:c>
      <x:c r="E56" s="6" t="n">
        <x:f>C56-D56</x:f>
        <x:v>-1018500</x:v>
      </x:c>
      <x:c r="F56" s="6" t="n">
        <x:f>F55+E56</x:f>
        <x:v>-30472000</x:v>
      </x:c>
      <x:c r="G56" s="6" t="n">
        <x:v>506500</x:v>
      </x:c>
      <x:c r="H56" s="6" t="n">
        <x:v>1525000</x:v>
      </x:c>
      <x:c r="I56" s="6" t="n">
        <x:v>167</x:v>
      </x:c>
      <x:c r="J56" s="6" t="n">
        <x:v>360</x:v>
      </x:c>
      <x:c r="K56" s="6" t="n">
        <x:v>318</x:v>
      </x:c>
      <x:c r="L56" s="6" t="n">
        <x:v>10</x:v>
      </x:c>
      <x:c r="M56" s="11" t="n">
        <x:v>0.8110714285714286</x:v>
      </x:c>
      <x:c r="N56" s="6" t="n">
        <x:v>1053000</x:v>
      </x:c>
    </x:row>
    <x:row r="57" ht="24" customHeight="1">
      <x:c r="A57" s="15" t="str">
        <x:v>累計／平均／最大</x:v>
      </x:c>
      <x:c r="B57" s="16"/>
      <x:c r="C57" s="16" t="n">
        <x:f>SUM(C6:C56)</x:f>
        <x:v>18856500</x:v>
      </x:c>
      <x:c r="D57" s="16" t="n">
        <x:f>SUM(D6:D56)</x:f>
        <x:v>49328500</x:v>
      </x:c>
      <x:c r="E57" s="16" t="n">
        <x:f>C57-D57</x:f>
        <x:v>-30472000</x:v>
      </x:c>
      <x:c r="F57" s="16" t="n">
        <x:f>F56</x:f>
        <x:v>-30472000</x:v>
      </x:c>
      <x:c r="G57" s="16" t="n">
        <x:f>SUM(G6:G56)</x:f>
        <x:v>14194500</x:v>
      </x:c>
      <x:c r="H57" s="16" t="n">
        <x:f>SUM(H6:H56)</x:f>
        <x:v>44666500</x:v>
      </x:c>
      <x:c r="I57" s="16" t="n">
        <x:f>SUM(I6:I56)</x:f>
        <x:v>7682</x:v>
      </x:c>
      <x:c r="J57" s="16" t="n">
        <x:f>SUM(J6:J56)</x:f>
        <x:v>16516</x:v>
      </x:c>
      <x:c r="K57" s="16" t="n">
        <x:f>SUM(K6:K56)</x:f>
        <x:v>15116</x:v>
      </x:c>
      <x:c r="L57" s="16" t="n">
        <x:f>MAX(L6:L56)</x:f>
        <x:v>10</x:v>
      </x:c>
      <x:c r="M57" s="17" t="n">
        <x:f>AVERAGE(M6:M56)</x:f>
        <x:v>0.7927187028657616</x:v>
      </x:c>
      <x:c r="N57" s="16" t="n">
        <x:f>MAX(N6:N56)</x:f>
        <x:v>1053000</x:v>
      </x:c>
    </x:row>
  </x:sheetData>
  <x:conditionalFormatting sqref="E6:F56">
    <x:cfRule type="cellIs" dxfId="59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da9311b22504bc7"/>
  </x:tableParts>
</x:worksheet>
</file>

<file path=xl/worksheets/sheet6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1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4" customHeight="1">
      <x:c r="A1" s="3" t="str">
        <x:v>TOPIX M19　各セッションの利益・損失・収支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A2" s="4" t="str">
        <x:v>2026/09/21〜10/26デイ・51完了場。日経mini／TOPIXmini各上限10枚・手数料0。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4" customHeight="1">
      <x:c r="A3" s="4" t="str">
        <x:v>600秒の時間加重平均を60秒前と比較。入口だけ傾き比例枚数、利益追尾で返済。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4" customHeight="1">
      <x:c r="A4" s="4" t="str">
        <x:v>利益・損失＝FIFO返済配賦別。親＝初回から全返済まで。ラージ気配による模型で、mini実約定の検証ではありません。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42" customHeight="1">
      <x:c r="A5" s="10" t="str">
        <x:v>セッション</x:v>
      </x:c>
      <x:c r="B5" s="10" t="str">
        <x:v>区分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親利益（円）</x:v>
      </x:c>
      <x:c r="H5" s="10" t="str">
        <x:v>親損失（円）</x:v>
      </x:c>
      <x:c r="I5" s="10" t="str">
        <x:v>初回件数</x:v>
      </x:c>
      <x:c r="J5" s="10" t="str">
        <x:v>追加件数</x:v>
      </x:c>
      <x:c r="K5" s="10" t="str">
        <x:v>縮小件数</x:v>
      </x:c>
      <x:c r="L5" s="10" t="str">
        <x:v>最大保有枚数</x:v>
      </x:c>
      <x:c r="M5" s="10" t="str">
        <x:v>保有時間率</x:v>
      </x:c>
      <x:c r="N5" s="10" t="str">
        <x:v>時価最大DD（円）</x:v>
      </x:c>
    </x:row>
    <x:row r="6" ht="24" customHeight="1">
      <x:c r="A6" s="2" t="str">
        <x:v>2026-09-21_Day</x:v>
      </x:c>
      <x:c r="B6" s="6" t="str">
        <x:v>デイ</x:v>
      </x:c>
      <x:c r="C6" s="6" t="n">
        <x:v>29000</x:v>
      </x:c>
      <x:c r="D6" s="6" t="n">
        <x:v>283500</x:v>
      </x:c>
      <x:c r="E6" s="6" t="n">
        <x:f>C6-D6</x:f>
        <x:v>-254500</x:v>
      </x:c>
      <x:c r="F6" s="6" t="n">
        <x:f>E6</x:f>
        <x:v>-254500</x:v>
      </x:c>
      <x:c r="G6" s="6" t="n">
        <x:v>29000</x:v>
      </x:c>
      <x:c r="H6" s="6" t="n">
        <x:v>283500</x:v>
      </x:c>
      <x:c r="I6" s="6" t="n">
        <x:v>20</x:v>
      </x:c>
      <x:c r="J6" s="6" t="n">
        <x:v>0</x:v>
      </x:c>
      <x:c r="K6" s="6" t="n">
        <x:v>0</x:v>
      </x:c>
      <x:c r="L6" s="6" t="n">
        <x:v>8</x:v>
      </x:c>
      <x:c r="M6" s="11" t="n">
        <x:v>0.7254365079365079</x:v>
      </x:c>
      <x:c r="N6" s="6" t="n">
        <x:v>265500</x:v>
      </x:c>
    </x:row>
    <x:row r="7" ht="24" customHeight="1">
      <x:c r="A7" s="2" t="str">
        <x:v>2026-09-21_Night</x:v>
      </x:c>
      <x:c r="B7" s="6" t="str">
        <x:v>ナイト</x:v>
      </x:c>
      <x:c r="C7" s="6" t="n">
        <x:v>42500</x:v>
      </x:c>
      <x:c r="D7" s="6" t="n">
        <x:v>131500</x:v>
      </x:c>
      <x:c r="E7" s="6" t="n">
        <x:f>C7-D7</x:f>
        <x:v>-89000</x:v>
      </x:c>
      <x:c r="F7" s="6" t="n">
        <x:f>F6+E7</x:f>
        <x:v>-343500</x:v>
      </x:c>
      <x:c r="G7" s="6" t="n">
        <x:v>42500</x:v>
      </x:c>
      <x:c r="H7" s="6" t="n">
        <x:v>131500</x:v>
      </x:c>
      <x:c r="I7" s="6" t="n">
        <x:v>23</x:v>
      </x:c>
      <x:c r="J7" s="6" t="n">
        <x:v>0</x:v>
      </x:c>
      <x:c r="K7" s="6" t="n">
        <x:v>0</x:v>
      </x:c>
      <x:c r="L7" s="6" t="n">
        <x:v>6</x:v>
      </x:c>
      <x:c r="M7" s="11" t="n">
        <x:v>0.918034188034188</x:v>
      </x:c>
      <x:c r="N7" s="6" t="n">
        <x:v>123500</x:v>
      </x:c>
    </x:row>
    <x:row r="8" ht="24" customHeight="1">
      <x:c r="A8" s="2" t="str">
        <x:v>2026-09-22_Day</x:v>
      </x:c>
      <x:c r="B8" s="6" t="str">
        <x:v>デイ</x:v>
      </x:c>
      <x:c r="C8" s="6" t="n">
        <x:v>115500</x:v>
      </x:c>
      <x:c r="D8" s="6" t="n">
        <x:v>160000</x:v>
      </x:c>
      <x:c r="E8" s="6" t="n">
        <x:f>C8-D8</x:f>
        <x:v>-44500</x:v>
      </x:c>
      <x:c r="F8" s="6" t="n">
        <x:f>F7+E8</x:f>
        <x:v>-388000</x:v>
      </x:c>
      <x:c r="G8" s="6" t="n">
        <x:v>115500</x:v>
      </x:c>
      <x:c r="H8" s="6" t="n">
        <x:v>160000</x:v>
      </x:c>
      <x:c r="I8" s="6" t="n">
        <x:v>28</x:v>
      </x:c>
      <x:c r="J8" s="6" t="n">
        <x:v>0</x:v>
      </x:c>
      <x:c r="K8" s="6" t="n">
        <x:v>0</x:v>
      </x:c>
      <x:c r="L8" s="6" t="n">
        <x:v>10</x:v>
      </x:c>
      <x:c r="M8" s="11" t="n">
        <x:v>0.8721825396825397</x:v>
      </x:c>
      <x:c r="N8" s="6" t="n">
        <x:v>92500</x:v>
      </x:c>
    </x:row>
    <x:row r="9" ht="24" customHeight="1">
      <x:c r="A9" s="2" t="str">
        <x:v>2026-09-22_Night</x:v>
      </x:c>
      <x:c r="B9" s="6" t="str">
        <x:v>ナイト</x:v>
      </x:c>
      <x:c r="C9" s="6" t="n">
        <x:v>261500</x:v>
      </x:c>
      <x:c r="D9" s="6" t="n">
        <x:v>432500</x:v>
      </x:c>
      <x:c r="E9" s="6" t="n">
        <x:f>C9-D9</x:f>
        <x:v>-171000</x:v>
      </x:c>
      <x:c r="F9" s="6" t="n">
        <x:f>F8+E9</x:f>
        <x:v>-559000</x:v>
      </x:c>
      <x:c r="G9" s="6" t="n">
        <x:v>261500</x:v>
      </x:c>
      <x:c r="H9" s="6" t="n">
        <x:v>432500</x:v>
      </x:c>
      <x:c r="I9" s="6" t="n">
        <x:v>58</x:v>
      </x:c>
      <x:c r="J9" s="6" t="n">
        <x:v>0</x:v>
      </x:c>
      <x:c r="K9" s="6" t="n">
        <x:v>0</x:v>
      </x:c>
      <x:c r="L9" s="6" t="n">
        <x:v>9</x:v>
      </x:c>
      <x:c r="M9" s="11" t="n">
        <x:v>0.9263675213675213</x:v>
      </x:c>
      <x:c r="N9" s="6" t="n">
        <x:v>215000</x:v>
      </x:c>
    </x:row>
    <x:row r="10" ht="24" customHeight="1">
      <x:c r="A10" s="2" t="str">
        <x:v>2026-09-23_Day</x:v>
      </x:c>
      <x:c r="B10" s="6" t="str">
        <x:v>デイ</x:v>
      </x:c>
      <x:c r="C10" s="6" t="n">
        <x:v>207500</x:v>
      </x:c>
      <x:c r="D10" s="6" t="n">
        <x:v>201000</x:v>
      </x:c>
      <x:c r="E10" s="6" t="n">
        <x:f>C10-D10</x:f>
        <x:v>6500</x:v>
      </x:c>
      <x:c r="F10" s="6" t="n">
        <x:f>F9+E10</x:f>
        <x:v>-552500</x:v>
      </x:c>
      <x:c r="G10" s="6" t="n">
        <x:v>207500</x:v>
      </x:c>
      <x:c r="H10" s="6" t="n">
        <x:v>201000</x:v>
      </x:c>
      <x:c r="I10" s="6" t="n">
        <x:v>24</x:v>
      </x:c>
      <x:c r="J10" s="6" t="n">
        <x:v>0</x:v>
      </x:c>
      <x:c r="K10" s="6" t="n">
        <x:v>0</x:v>
      </x:c>
      <x:c r="L10" s="6" t="n">
        <x:v>10</x:v>
      </x:c>
      <x:c r="M10" s="11" t="n">
        <x:v>0.9091269841269841</x:v>
      </x:c>
      <x:c r="N10" s="6" t="n">
        <x:v>105500</x:v>
      </x:c>
    </x:row>
    <x:row r="11" ht="24" customHeight="1">
      <x:c r="A11" s="2" t="str">
        <x:v>2026-09-23_Night</x:v>
      </x:c>
      <x:c r="B11" s="6" t="str">
        <x:v>ナイト</x:v>
      </x:c>
      <x:c r="C11" s="6" t="n">
        <x:v>91000</x:v>
      </x:c>
      <x:c r="D11" s="6" t="n">
        <x:v>132500</x:v>
      </x:c>
      <x:c r="E11" s="6" t="n">
        <x:f>C11-D11</x:f>
        <x:v>-41500</x:v>
      </x:c>
      <x:c r="F11" s="6" t="n">
        <x:f>F10+E11</x:f>
        <x:v>-594000</x:v>
      </x:c>
      <x:c r="G11" s="6" t="n">
        <x:v>91000</x:v>
      </x:c>
      <x:c r="H11" s="6" t="n">
        <x:v>132500</x:v>
      </x:c>
      <x:c r="I11" s="6" t="n">
        <x:v>33</x:v>
      </x:c>
      <x:c r="J11" s="6" t="n">
        <x:v>0</x:v>
      </x:c>
      <x:c r="K11" s="6" t="n">
        <x:v>0</x:v>
      </x:c>
      <x:c r="L11" s="6" t="n">
        <x:v>5</x:v>
      </x:c>
      <x:c r="M11" s="11" t="n">
        <x:v>0.8657478632478632</x:v>
      </x:c>
      <x:c r="N11" s="6" t="n">
        <x:v>58500</x:v>
      </x:c>
    </x:row>
    <x:row r="12" ht="24" customHeight="1">
      <x:c r="A12" s="2" t="str">
        <x:v>2026-09-24_Day</x:v>
      </x:c>
      <x:c r="B12" s="6" t="str">
        <x:v>デイ</x:v>
      </x:c>
      <x:c r="C12" s="6" t="n">
        <x:v>369500</x:v>
      </x:c>
      <x:c r="D12" s="6" t="n">
        <x:v>835000</x:v>
      </x:c>
      <x:c r="E12" s="6" t="n">
        <x:f>C12-D12</x:f>
        <x:v>-465500</x:v>
      </x:c>
      <x:c r="F12" s="6" t="n">
        <x:f>F11+E12</x:f>
        <x:v>-1059500</x:v>
      </x:c>
      <x:c r="G12" s="6" t="n">
        <x:v>369500</x:v>
      </x:c>
      <x:c r="H12" s="6" t="n">
        <x:v>835000</x:v>
      </x:c>
      <x:c r="I12" s="6" t="n">
        <x:v>70</x:v>
      </x:c>
      <x:c r="J12" s="6" t="n">
        <x:v>0</x:v>
      </x:c>
      <x:c r="K12" s="6" t="n">
        <x:v>0</x:v>
      </x:c>
      <x:c r="L12" s="6" t="n">
        <x:v>10</x:v>
      </x:c>
      <x:c r="M12" s="11" t="n">
        <x:v>0.8659523809523809</x:v>
      </x:c>
      <x:c r="N12" s="6" t="n">
        <x:v>553500</x:v>
      </x:c>
    </x:row>
    <x:row r="13" ht="24" customHeight="1">
      <x:c r="A13" s="2" t="str">
        <x:v>2026-09-24_Night</x:v>
      </x:c>
      <x:c r="B13" s="6" t="str">
        <x:v>ナイト</x:v>
      </x:c>
      <x:c r="C13" s="6" t="n">
        <x:v>264500</x:v>
      </x:c>
      <x:c r="D13" s="6" t="n">
        <x:v>486000</x:v>
      </x:c>
      <x:c r="E13" s="6" t="n">
        <x:f>C13-D13</x:f>
        <x:v>-221500</x:v>
      </x:c>
      <x:c r="F13" s="6" t="n">
        <x:f>F12+E13</x:f>
        <x:v>-1281000</x:v>
      </x:c>
      <x:c r="G13" s="6" t="n">
        <x:v>264500</x:v>
      </x:c>
      <x:c r="H13" s="6" t="n">
        <x:v>486000</x:v>
      </x:c>
      <x:c r="I13" s="6" t="n">
        <x:v>66</x:v>
      </x:c>
      <x:c r="J13" s="6" t="n">
        <x:v>0</x:v>
      </x:c>
      <x:c r="K13" s="6" t="n">
        <x:v>0</x:v>
      </x:c>
      <x:c r="L13" s="6" t="n">
        <x:v>10</x:v>
      </x:c>
      <x:c r="M13" s="11" t="n">
        <x:v>0.8851282051282051</x:v>
      </x:c>
      <x:c r="N13" s="6" t="n">
        <x:v>293000</x:v>
      </x:c>
    </x:row>
    <x:row r="14" ht="24" customHeight="1">
      <x:c r="A14" s="2" t="str">
        <x:v>2026-09-25_Day</x:v>
      </x:c>
      <x:c r="B14" s="6" t="str">
        <x:v>デイ</x:v>
      </x:c>
      <x:c r="C14" s="6" t="n">
        <x:v>340500</x:v>
      </x:c>
      <x:c r="D14" s="6" t="n">
        <x:v>420000</x:v>
      </x:c>
      <x:c r="E14" s="6" t="n">
        <x:f>C14-D14</x:f>
        <x:v>-79500</x:v>
      </x:c>
      <x:c r="F14" s="6" t="n">
        <x:f>F13+E14</x:f>
        <x:v>-1360500</x:v>
      </x:c>
      <x:c r="G14" s="6" t="n">
        <x:v>340500</x:v>
      </x:c>
      <x:c r="H14" s="6" t="n">
        <x:v>420000</x:v>
      </x:c>
      <x:c r="I14" s="6" t="n">
        <x:v>50</x:v>
      </x:c>
      <x:c r="J14" s="6" t="n">
        <x:v>0</x:v>
      </x:c>
      <x:c r="K14" s="6" t="n">
        <x:v>0</x:v>
      </x:c>
      <x:c r="L14" s="6" t="n">
        <x:v>10</x:v>
      </x:c>
      <x:c r="M14" s="11" t="n">
        <x:v>0.9128968253968254</x:v>
      </x:c>
      <x:c r="N14" s="6" t="n">
        <x:v>194500</x:v>
      </x:c>
    </x:row>
    <x:row r="15" ht="24" customHeight="1">
      <x:c r="A15" s="2" t="str">
        <x:v>2026-09-25_Night</x:v>
      </x:c>
      <x:c r="B15" s="6" t="str">
        <x:v>ナイト</x:v>
      </x:c>
      <x:c r="C15" s="6" t="n">
        <x:v>311000</x:v>
      </x:c>
      <x:c r="D15" s="6" t="n">
        <x:v>246000</x:v>
      </x:c>
      <x:c r="E15" s="6" t="n">
        <x:f>C15-D15</x:f>
        <x:v>65000</x:v>
      </x:c>
      <x:c r="F15" s="6" t="n">
        <x:f>F14+E15</x:f>
        <x:v>-1295500</x:v>
      </x:c>
      <x:c r="G15" s="6" t="n">
        <x:v>311000</x:v>
      </x:c>
      <x:c r="H15" s="6" t="n">
        <x:v>246000</x:v>
      </x:c>
      <x:c r="I15" s="6" t="n">
        <x:v>47</x:v>
      </x:c>
      <x:c r="J15" s="6" t="n">
        <x:v>0</x:v>
      </x:c>
      <x:c r="K15" s="6" t="n">
        <x:v>0</x:v>
      </x:c>
      <x:c r="L15" s="6" t="n">
        <x:v>10</x:v>
      </x:c>
      <x:c r="M15" s="11" t="n">
        <x:v>0.9341239316239316</x:v>
      </x:c>
      <x:c r="N15" s="6" t="n">
        <x:v>135000</x:v>
      </x:c>
    </x:row>
    <x:row r="16" ht="24" customHeight="1">
      <x:c r="A16" s="2" t="str">
        <x:v>2026-09-28_Day</x:v>
      </x:c>
      <x:c r="B16" s="6" t="str">
        <x:v>デイ</x:v>
      </x:c>
      <x:c r="C16" s="6" t="n">
        <x:v>217500</x:v>
      </x:c>
      <x:c r="D16" s="6" t="n">
        <x:v>403000</x:v>
      </x:c>
      <x:c r="E16" s="6" t="n">
        <x:f>C16-D16</x:f>
        <x:v>-185500</x:v>
      </x:c>
      <x:c r="F16" s="6" t="n">
        <x:f>F15+E16</x:f>
        <x:v>-1481000</x:v>
      </x:c>
      <x:c r="G16" s="6" t="n">
        <x:v>217500</x:v>
      </x:c>
      <x:c r="H16" s="6" t="n">
        <x:v>403000</x:v>
      </x:c>
      <x:c r="I16" s="6" t="n">
        <x:v>42</x:v>
      </x:c>
      <x:c r="J16" s="6" t="n">
        <x:v>0</x:v>
      </x:c>
      <x:c r="K16" s="6" t="n">
        <x:v>0</x:v>
      </x:c>
      <x:c r="L16" s="6" t="n">
        <x:v>10</x:v>
      </x:c>
      <x:c r="M16" s="11" t="n">
        <x:v>0.8634126984126984</x:v>
      </x:c>
      <x:c r="N16" s="6" t="n">
        <x:v>287500</x:v>
      </x:c>
    </x:row>
    <x:row r="17" ht="24" customHeight="1">
      <x:c r="A17" s="2" t="str">
        <x:v>2026-09-28_Night</x:v>
      </x:c>
      <x:c r="B17" s="6" t="str">
        <x:v>ナイト</x:v>
      </x:c>
      <x:c r="C17" s="6" t="n">
        <x:v>203500</x:v>
      </x:c>
      <x:c r="D17" s="6" t="n">
        <x:v>515000</x:v>
      </x:c>
      <x:c r="E17" s="6" t="n">
        <x:f>C17-D17</x:f>
        <x:v>-311500</x:v>
      </x:c>
      <x:c r="F17" s="6" t="n">
        <x:f>F16+E17</x:f>
        <x:v>-1792500</x:v>
      </x:c>
      <x:c r="G17" s="6" t="n">
        <x:v>203500</x:v>
      </x:c>
      <x:c r="H17" s="6" t="n">
        <x:v>515000</x:v>
      </x:c>
      <x:c r="I17" s="6" t="n">
        <x:v>56</x:v>
      </x:c>
      <x:c r="J17" s="6" t="n">
        <x:v>0</x:v>
      </x:c>
      <x:c r="K17" s="6" t="n">
        <x:v>0</x:v>
      </x:c>
      <x:c r="L17" s="6" t="n">
        <x:v>10</x:v>
      </x:c>
      <x:c r="M17" s="11" t="n">
        <x:v>0.9228418803418803</x:v>
      </x:c>
      <x:c r="N17" s="6" t="n">
        <x:v>345500</x:v>
      </x:c>
    </x:row>
    <x:row r="18" ht="24" customHeight="1">
      <x:c r="A18" s="2" t="str">
        <x:v>2026-09-29_Day</x:v>
      </x:c>
      <x:c r="B18" s="6" t="str">
        <x:v>デイ</x:v>
      </x:c>
      <x:c r="C18" s="6" t="n">
        <x:v>320500</x:v>
      </x:c>
      <x:c r="D18" s="6" t="n">
        <x:v>360500</x:v>
      </x:c>
      <x:c r="E18" s="6" t="n">
        <x:f>C18-D18</x:f>
        <x:v>-40000</x:v>
      </x:c>
      <x:c r="F18" s="6" t="n">
        <x:f>F17+E18</x:f>
        <x:v>-1832500</x:v>
      </x:c>
      <x:c r="G18" s="6" t="n">
        <x:v>320500</x:v>
      </x:c>
      <x:c r="H18" s="6" t="n">
        <x:v>360500</x:v>
      </x:c>
      <x:c r="I18" s="6" t="n">
        <x:v>58</x:v>
      </x:c>
      <x:c r="J18" s="6" t="n">
        <x:v>0</x:v>
      </x:c>
      <x:c r="K18" s="6" t="n">
        <x:v>0</x:v>
      </x:c>
      <x:c r="L18" s="6" t="n">
        <x:v>10</x:v>
      </x:c>
      <x:c r="M18" s="11" t="n">
        <x:v>0.8968650793650793</x:v>
      </x:c>
      <x:c r="N18" s="6" t="n">
        <x:v>147500</x:v>
      </x:c>
    </x:row>
    <x:row r="19" ht="24" customHeight="1">
      <x:c r="A19" s="2" t="str">
        <x:v>2026-09-29_Night</x:v>
      </x:c>
      <x:c r="B19" s="6" t="str">
        <x:v>ナイト</x:v>
      </x:c>
      <x:c r="C19" s="6" t="n">
        <x:v>140000</x:v>
      </x:c>
      <x:c r="D19" s="6" t="n">
        <x:v>245000</x:v>
      </x:c>
      <x:c r="E19" s="6" t="n">
        <x:f>C19-D19</x:f>
        <x:v>-105000</x:v>
      </x:c>
      <x:c r="F19" s="6" t="n">
        <x:f>F18+E19</x:f>
        <x:v>-1937500</x:v>
      </x:c>
      <x:c r="G19" s="6" t="n">
        <x:v>140000</x:v>
      </x:c>
      <x:c r="H19" s="6" t="n">
        <x:v>245000</x:v>
      </x:c>
      <x:c r="I19" s="6" t="n">
        <x:v>49</x:v>
      </x:c>
      <x:c r="J19" s="6" t="n">
        <x:v>0</x:v>
      </x:c>
      <x:c r="K19" s="6" t="n">
        <x:v>0</x:v>
      </x:c>
      <x:c r="L19" s="6" t="n">
        <x:v>8</x:v>
      </x:c>
      <x:c r="M19" s="11" t="n">
        <x:v>0.9360683760683761</x:v>
      </x:c>
      <x:c r="N19" s="6" t="n">
        <x:v>114500</x:v>
      </x:c>
    </x:row>
    <x:row r="20" ht="24" customHeight="1">
      <x:c r="A20" s="2" t="str">
        <x:v>2026-09-30_Day</x:v>
      </x:c>
      <x:c r="B20" s="6" t="str">
        <x:v>デイ</x:v>
      </x:c>
      <x:c r="C20" s="6" t="n">
        <x:v>417500</x:v>
      </x:c>
      <x:c r="D20" s="6" t="n">
        <x:v>305000</x:v>
      </x:c>
      <x:c r="E20" s="6" t="n">
        <x:f>C20-D20</x:f>
        <x:v>112500</x:v>
      </x:c>
      <x:c r="F20" s="6" t="n">
        <x:f>F19+E20</x:f>
        <x:v>-1825000</x:v>
      </x:c>
      <x:c r="G20" s="6" t="n">
        <x:v>417500</x:v>
      </x:c>
      <x:c r="H20" s="6" t="n">
        <x:v>305000</x:v>
      </x:c>
      <x:c r="I20" s="6" t="n">
        <x:v>46</x:v>
      </x:c>
      <x:c r="J20" s="6" t="n">
        <x:v>0</x:v>
      </x:c>
      <x:c r="K20" s="6" t="n">
        <x:v>0</x:v>
      </x:c>
      <x:c r="L20" s="6" t="n">
        <x:v>10</x:v>
      </x:c>
      <x:c r="M20" s="11" t="n">
        <x:v>0.8958333333333334</x:v>
      </x:c>
      <x:c r="N20" s="6" t="n">
        <x:v>106000</x:v>
      </x:c>
    </x:row>
    <x:row r="21" ht="24" customHeight="1">
      <x:c r="A21" s="2" t="str">
        <x:v>2026-09-30_Night</x:v>
      </x:c>
      <x:c r="B21" s="6" t="str">
        <x:v>ナイト</x:v>
      </x:c>
      <x:c r="C21" s="6" t="n">
        <x:v>274500</x:v>
      </x:c>
      <x:c r="D21" s="6" t="n">
        <x:v>550000</x:v>
      </x:c>
      <x:c r="E21" s="6" t="n">
        <x:f>C21-D21</x:f>
        <x:v>-275500</x:v>
      </x:c>
      <x:c r="F21" s="6" t="n">
        <x:f>F20+E21</x:f>
        <x:v>-2100500</x:v>
      </x:c>
      <x:c r="G21" s="6" t="n">
        <x:v>274500</x:v>
      </x:c>
      <x:c r="H21" s="6" t="n">
        <x:v>550000</x:v>
      </x:c>
      <x:c r="I21" s="6" t="n">
        <x:v>77</x:v>
      </x:c>
      <x:c r="J21" s="6" t="n">
        <x:v>0</x:v>
      </x:c>
      <x:c r="K21" s="6" t="n">
        <x:v>0</x:v>
      </x:c>
      <x:c r="L21" s="6" t="n">
        <x:v>10</x:v>
      </x:c>
      <x:c r="M21" s="11" t="n">
        <x:v>0.8763675213675214</x:v>
      </x:c>
      <x:c r="N21" s="6" t="n">
        <x:v>282500</x:v>
      </x:c>
    </x:row>
    <x:row r="22" ht="24" customHeight="1">
      <x:c r="A22" s="2" t="str">
        <x:v>2026-10-01_Day</x:v>
      </x:c>
      <x:c r="B22" s="6" t="str">
        <x:v>デイ</x:v>
      </x:c>
      <x:c r="C22" s="6" t="n">
        <x:v>309000</x:v>
      </x:c>
      <x:c r="D22" s="6" t="n">
        <x:v>532000</x:v>
      </x:c>
      <x:c r="E22" s="6" t="n">
        <x:f>C22-D22</x:f>
        <x:v>-223000</x:v>
      </x:c>
      <x:c r="F22" s="6" t="n">
        <x:f>F21+E22</x:f>
        <x:v>-2323500</x:v>
      </x:c>
      <x:c r="G22" s="6" t="n">
        <x:v>309000</x:v>
      </x:c>
      <x:c r="H22" s="6" t="n">
        <x:v>532000</x:v>
      </x:c>
      <x:c r="I22" s="6" t="n">
        <x:v>57</x:v>
      </x:c>
      <x:c r="J22" s="6" t="n">
        <x:v>0</x:v>
      </x:c>
      <x:c r="K22" s="6" t="n">
        <x:v>0</x:v>
      </x:c>
      <x:c r="L22" s="6" t="n">
        <x:v>10</x:v>
      </x:c>
      <x:c r="M22" s="11" t="n">
        <x:v>0.9025396825396825</x:v>
      </x:c>
      <x:c r="N22" s="6" t="n">
        <x:v>235000</x:v>
      </x:c>
    </x:row>
    <x:row r="23" ht="24" customHeight="1">
      <x:c r="A23" s="2" t="str">
        <x:v>2026-10-01_Night</x:v>
      </x:c>
      <x:c r="B23" s="6" t="str">
        <x:v>ナイト</x:v>
      </x:c>
      <x:c r="C23" s="6" t="n">
        <x:v>384000</x:v>
      </x:c>
      <x:c r="D23" s="6" t="n">
        <x:v>498500</x:v>
      </x:c>
      <x:c r="E23" s="6" t="n">
        <x:f>C23-D23</x:f>
        <x:v>-114500</x:v>
      </x:c>
      <x:c r="F23" s="6" t="n">
        <x:f>F22+E23</x:f>
        <x:v>-2438000</x:v>
      </x:c>
      <x:c r="G23" s="6" t="n">
        <x:v>384000</x:v>
      </x:c>
      <x:c r="H23" s="6" t="n">
        <x:v>498500</x:v>
      </x:c>
      <x:c r="I23" s="6" t="n">
        <x:v>81</x:v>
      </x:c>
      <x:c r="J23" s="6" t="n">
        <x:v>0</x:v>
      </x:c>
      <x:c r="K23" s="6" t="n">
        <x:v>0</x:v>
      </x:c>
      <x:c r="L23" s="6" t="n">
        <x:v>10</x:v>
      </x:c>
      <x:c r="M23" s="11" t="n">
        <x:v>0.913931623931624</x:v>
      </x:c>
      <x:c r="N23" s="6" t="n">
        <x:v>165500</x:v>
      </x:c>
    </x:row>
    <x:row r="24" ht="24" customHeight="1">
      <x:c r="A24" s="2" t="str">
        <x:v>2026-10-02_Day</x:v>
      </x:c>
      <x:c r="B24" s="6" t="str">
        <x:v>デイ</x:v>
      </x:c>
      <x:c r="C24" s="6" t="n">
        <x:v>306500</x:v>
      </x:c>
      <x:c r="D24" s="6" t="n">
        <x:v>471000</x:v>
      </x:c>
      <x:c r="E24" s="6" t="n">
        <x:f>C24-D24</x:f>
        <x:v>-164500</x:v>
      </x:c>
      <x:c r="F24" s="6" t="n">
        <x:f>F23+E24</x:f>
        <x:v>-2602500</x:v>
      </x:c>
      <x:c r="G24" s="6" t="n">
        <x:v>306500</x:v>
      </x:c>
      <x:c r="H24" s="6" t="n">
        <x:v>471000</x:v>
      </x:c>
      <x:c r="I24" s="6" t="n">
        <x:v>61</x:v>
      </x:c>
      <x:c r="J24" s="6" t="n">
        <x:v>0</x:v>
      </x:c>
      <x:c r="K24" s="6" t="n">
        <x:v>0</x:v>
      </x:c>
      <x:c r="L24" s="6" t="n">
        <x:v>10</x:v>
      </x:c>
      <x:c r="M24" s="11" t="n">
        <x:v>0.9136111111111112</x:v>
      </x:c>
      <x:c r="N24" s="6" t="n">
        <x:v>197000</x:v>
      </x:c>
    </x:row>
    <x:row r="25" ht="24" customHeight="1">
      <x:c r="A25" s="2" t="str">
        <x:v>2026-10-02_Night</x:v>
      </x:c>
      <x:c r="B25" s="6" t="str">
        <x:v>ナイト</x:v>
      </x:c>
      <x:c r="C25" s="6" t="n">
        <x:v>368000</x:v>
      </x:c>
      <x:c r="D25" s="6" t="n">
        <x:v>745500</x:v>
      </x:c>
      <x:c r="E25" s="6" t="n">
        <x:f>C25-D25</x:f>
        <x:v>-377500</x:v>
      </x:c>
      <x:c r="F25" s="6" t="n">
        <x:f>F24+E25</x:f>
        <x:v>-2980000</x:v>
      </x:c>
      <x:c r="G25" s="6" t="n">
        <x:v>368000</x:v>
      </x:c>
      <x:c r="H25" s="6" t="n">
        <x:v>745500</x:v>
      </x:c>
      <x:c r="I25" s="6" t="n">
        <x:v>76</x:v>
      </x:c>
      <x:c r="J25" s="6" t="n">
        <x:v>0</x:v>
      </x:c>
      <x:c r="K25" s="6" t="n">
        <x:v>0</x:v>
      </x:c>
      <x:c r="L25" s="6" t="n">
        <x:v>10</x:v>
      </x:c>
      <x:c r="M25" s="11" t="n">
        <x:v>0.8716666666666667</x:v>
      </x:c>
      <x:c r="N25" s="6" t="n">
        <x:v>477000</x:v>
      </x:c>
    </x:row>
    <x:row r="26" ht="24" customHeight="1">
      <x:c r="A26" s="2" t="str">
        <x:v>2026-10-05_Day</x:v>
      </x:c>
      <x:c r="B26" s="6" t="str">
        <x:v>デイ</x:v>
      </x:c>
      <x:c r="C26" s="6" t="n">
        <x:v>169000</x:v>
      </x:c>
      <x:c r="D26" s="6" t="n">
        <x:v>408000</x:v>
      </x:c>
      <x:c r="E26" s="6" t="n">
        <x:f>C26-D26</x:f>
        <x:v>-239000</x:v>
      </x:c>
      <x:c r="F26" s="6" t="n">
        <x:f>F25+E26</x:f>
        <x:v>-3219000</x:v>
      </x:c>
      <x:c r="G26" s="6" t="n">
        <x:v>169000</x:v>
      </x:c>
      <x:c r="H26" s="6" t="n">
        <x:v>408000</x:v>
      </x:c>
      <x:c r="I26" s="6" t="n">
        <x:v>45</x:v>
      </x:c>
      <x:c r="J26" s="6" t="n">
        <x:v>0</x:v>
      </x:c>
      <x:c r="K26" s="6" t="n">
        <x:v>0</x:v>
      </x:c>
      <x:c r="L26" s="6" t="n">
        <x:v>10</x:v>
      </x:c>
      <x:c r="M26" s="11" t="n">
        <x:v>0.9101587301587302</x:v>
      </x:c>
      <x:c r="N26" s="6" t="n">
        <x:v>306000</x:v>
      </x:c>
    </x:row>
    <x:row r="27" ht="24" customHeight="1">
      <x:c r="A27" s="2" t="str">
        <x:v>2026-10-05_Night</x:v>
      </x:c>
      <x:c r="B27" s="6" t="str">
        <x:v>ナイト</x:v>
      </x:c>
      <x:c r="C27" s="6" t="n">
        <x:v>196000</x:v>
      </x:c>
      <x:c r="D27" s="6" t="n">
        <x:v>352500</x:v>
      </x:c>
      <x:c r="E27" s="6" t="n">
        <x:f>C27-D27</x:f>
        <x:v>-156500</x:v>
      </x:c>
      <x:c r="F27" s="6" t="n">
        <x:f>F26+E27</x:f>
        <x:v>-3375500</x:v>
      </x:c>
      <x:c r="G27" s="6" t="n">
        <x:v>196000</x:v>
      </x:c>
      <x:c r="H27" s="6" t="n">
        <x:v>352500</x:v>
      </x:c>
      <x:c r="I27" s="6" t="n">
        <x:v>36</x:v>
      </x:c>
      <x:c r="J27" s="6" t="n">
        <x:v>0</x:v>
      </x:c>
      <x:c r="K27" s="6" t="n">
        <x:v>0</x:v>
      </x:c>
      <x:c r="L27" s="6" t="n">
        <x:v>9</x:v>
      </x:c>
      <x:c r="M27" s="11" t="n">
        <x:v>0.9482264957264958</x:v>
      </x:c>
      <x:c r="N27" s="6" t="n">
        <x:v>191500</x:v>
      </x:c>
    </x:row>
    <x:row r="28" ht="24" customHeight="1">
      <x:c r="A28" s="2" t="str">
        <x:v>2026-10-06_Day</x:v>
      </x:c>
      <x:c r="B28" s="6" t="str">
        <x:v>デイ</x:v>
      </x:c>
      <x:c r="C28" s="6" t="n">
        <x:v>89500</x:v>
      </x:c>
      <x:c r="D28" s="6" t="n">
        <x:v>221000</x:v>
      </x:c>
      <x:c r="E28" s="6" t="n">
        <x:f>C28-D28</x:f>
        <x:v>-131500</x:v>
      </x:c>
      <x:c r="F28" s="6" t="n">
        <x:f>F27+E28</x:f>
        <x:v>-3507000</x:v>
      </x:c>
      <x:c r="G28" s="6" t="n">
        <x:v>89500</x:v>
      </x:c>
      <x:c r="H28" s="6" t="n">
        <x:v>221000</x:v>
      </x:c>
      <x:c r="I28" s="6" t="n">
        <x:v>27</x:v>
      </x:c>
      <x:c r="J28" s="6" t="n">
        <x:v>0</x:v>
      </x:c>
      <x:c r="K28" s="6" t="n">
        <x:v>0</x:v>
      </x:c>
      <x:c r="L28" s="6" t="n">
        <x:v>9</x:v>
      </x:c>
      <x:c r="M28" s="11" t="n">
        <x:v>0.8873809523809524</x:v>
      </x:c>
      <x:c r="N28" s="6" t="n">
        <x:v>208000</x:v>
      </x:c>
    </x:row>
    <x:row r="29" ht="24" customHeight="1">
      <x:c r="A29" s="2" t="str">
        <x:v>2026-10-06_Night</x:v>
      </x:c>
      <x:c r="B29" s="6" t="str">
        <x:v>ナイト</x:v>
      </x:c>
      <x:c r="C29" s="6" t="n">
        <x:v>101000</x:v>
      </x:c>
      <x:c r="D29" s="6" t="n">
        <x:v>230000</x:v>
      </x:c>
      <x:c r="E29" s="6" t="n">
        <x:f>C29-D29</x:f>
        <x:v>-129000</x:v>
      </x:c>
      <x:c r="F29" s="6" t="n">
        <x:f>F28+E29</x:f>
        <x:v>-3636000</x:v>
      </x:c>
      <x:c r="G29" s="6" t="n">
        <x:v>101000</x:v>
      </x:c>
      <x:c r="H29" s="6" t="n">
        <x:v>230000</x:v>
      </x:c>
      <x:c r="I29" s="6" t="n">
        <x:v>21</x:v>
      </x:c>
      <x:c r="J29" s="6" t="n">
        <x:v>0</x:v>
      </x:c>
      <x:c r="K29" s="6" t="n">
        <x:v>0</x:v>
      </x:c>
      <x:c r="L29" s="6" t="n">
        <x:v>7</x:v>
      </x:c>
      <x:c r="M29" s="11" t="n">
        <x:v>0.9518162393162393</x:v>
      </x:c>
      <x:c r="N29" s="6" t="n">
        <x:v>163000</x:v>
      </x:c>
    </x:row>
    <x:row r="30" ht="24" customHeight="1">
      <x:c r="A30" s="2" t="str">
        <x:v>2026-10-07_Day</x:v>
      </x:c>
      <x:c r="B30" s="6" t="str">
        <x:v>デイ</x:v>
      </x:c>
      <x:c r="C30" s="6" t="n">
        <x:v>262500</x:v>
      </x:c>
      <x:c r="D30" s="6" t="n">
        <x:v>198000</x:v>
      </x:c>
      <x:c r="E30" s="6" t="n">
        <x:f>C30-D30</x:f>
        <x:v>64500</x:v>
      </x:c>
      <x:c r="F30" s="6" t="n">
        <x:f>F29+E30</x:f>
        <x:v>-3571500</x:v>
      </x:c>
      <x:c r="G30" s="6" t="n">
        <x:v>262500</x:v>
      </x:c>
      <x:c r="H30" s="6" t="n">
        <x:v>198000</x:v>
      </x:c>
      <x:c r="I30" s="6" t="n">
        <x:v>31</x:v>
      </x:c>
      <x:c r="J30" s="6" t="n">
        <x:v>0</x:v>
      </x:c>
      <x:c r="K30" s="6" t="n">
        <x:v>0</x:v>
      </x:c>
      <x:c r="L30" s="6" t="n">
        <x:v>10</x:v>
      </x:c>
      <x:c r="M30" s="11" t="n">
        <x:v>0.9178174603174604</x:v>
      </x:c>
      <x:c r="N30" s="6" t="n">
        <x:v>106000</x:v>
      </x:c>
    </x:row>
    <x:row r="31" ht="24" customHeight="1">
      <x:c r="A31" s="2" t="str">
        <x:v>2026-10-07_Night</x:v>
      </x:c>
      <x:c r="B31" s="6" t="str">
        <x:v>ナイト</x:v>
      </x:c>
      <x:c r="C31" s="6" t="n">
        <x:v>114000</x:v>
      </x:c>
      <x:c r="D31" s="6" t="n">
        <x:v>195000</x:v>
      </x:c>
      <x:c r="E31" s="6" t="n">
        <x:f>C31-D31</x:f>
        <x:v>-81000</x:v>
      </x:c>
      <x:c r="F31" s="6" t="n">
        <x:f>F30+E31</x:f>
        <x:v>-3652500</x:v>
      </x:c>
      <x:c r="G31" s="6" t="n">
        <x:v>114000</x:v>
      </x:c>
      <x:c r="H31" s="6" t="n">
        <x:v>195000</x:v>
      </x:c>
      <x:c r="I31" s="6" t="n">
        <x:v>42</x:v>
      </x:c>
      <x:c r="J31" s="6" t="n">
        <x:v>0</x:v>
      </x:c>
      <x:c r="K31" s="6" t="n">
        <x:v>0</x:v>
      </x:c>
      <x:c r="L31" s="6" t="n">
        <x:v>8</x:v>
      </x:c>
      <x:c r="M31" s="11" t="n">
        <x:v>0.9244230769230769</x:v>
      </x:c>
      <x:c r="N31" s="6" t="n">
        <x:v>97500</x:v>
      </x:c>
    </x:row>
    <x:row r="32" ht="24" customHeight="1">
      <x:c r="A32" s="2" t="str">
        <x:v>2026-10-08_Day</x:v>
      </x:c>
      <x:c r="B32" s="6" t="str">
        <x:v>デイ</x:v>
      </x:c>
      <x:c r="C32" s="6" t="n">
        <x:v>350500</x:v>
      </x:c>
      <x:c r="D32" s="6" t="n">
        <x:v>306500</x:v>
      </x:c>
      <x:c r="E32" s="6" t="n">
        <x:f>C32-D32</x:f>
        <x:v>44000</x:v>
      </x:c>
      <x:c r="F32" s="6" t="n">
        <x:f>F31+E32</x:f>
        <x:v>-3608500</x:v>
      </x:c>
      <x:c r="G32" s="6" t="n">
        <x:v>350500</x:v>
      </x:c>
      <x:c r="H32" s="6" t="n">
        <x:v>306500</x:v>
      </x:c>
      <x:c r="I32" s="6" t="n">
        <x:v>48</x:v>
      </x:c>
      <x:c r="J32" s="6" t="n">
        <x:v>0</x:v>
      </x:c>
      <x:c r="K32" s="6" t="n">
        <x:v>0</x:v>
      </x:c>
      <x:c r="L32" s="6" t="n">
        <x:v>10</x:v>
      </x:c>
      <x:c r="M32" s="11" t="n">
        <x:v>0.8865079365079365</x:v>
      </x:c>
      <x:c r="N32" s="6" t="n">
        <x:v>157500</x:v>
      </x:c>
    </x:row>
    <x:row r="33" ht="24" customHeight="1">
      <x:c r="A33" s="2" t="str">
        <x:v>2026-10-08_Night</x:v>
      </x:c>
      <x:c r="B33" s="6" t="str">
        <x:v>ナイト</x:v>
      </x:c>
      <x:c r="C33" s="6" t="n">
        <x:v>244000</x:v>
      </x:c>
      <x:c r="D33" s="6" t="n">
        <x:v>517000</x:v>
      </x:c>
      <x:c r="E33" s="6" t="n">
        <x:f>C33-D33</x:f>
        <x:v>-273000</x:v>
      </x:c>
      <x:c r="F33" s="6" t="n">
        <x:f>F32+E33</x:f>
        <x:v>-3881500</x:v>
      </x:c>
      <x:c r="G33" s="6" t="n">
        <x:v>244000</x:v>
      </x:c>
      <x:c r="H33" s="6" t="n">
        <x:v>517000</x:v>
      </x:c>
      <x:c r="I33" s="6" t="n">
        <x:v>59</x:v>
      </x:c>
      <x:c r="J33" s="6" t="n">
        <x:v>0</x:v>
      </x:c>
      <x:c r="K33" s="6" t="n">
        <x:v>0</x:v>
      </x:c>
      <x:c r="L33" s="6" t="n">
        <x:v>10</x:v>
      </x:c>
      <x:c r="M33" s="11" t="n">
        <x:v>0.941517094017094</x:v>
      </x:c>
      <x:c r="N33" s="6" t="n">
        <x:v>314000</x:v>
      </x:c>
    </x:row>
    <x:row r="34" ht="24" customHeight="1">
      <x:c r="A34" s="2" t="str">
        <x:v>2026-10-09_Day</x:v>
      </x:c>
      <x:c r="B34" s="6" t="str">
        <x:v>デイ</x:v>
      </x:c>
      <x:c r="C34" s="6" t="n">
        <x:v>137000</x:v>
      </x:c>
      <x:c r="D34" s="6" t="n">
        <x:v>507000</x:v>
      </x:c>
      <x:c r="E34" s="6" t="n">
        <x:f>C34-D34</x:f>
        <x:v>-370000</x:v>
      </x:c>
      <x:c r="F34" s="6" t="n">
        <x:f>F33+E34</x:f>
        <x:v>-4251500</x:v>
      </x:c>
      <x:c r="G34" s="6" t="n">
        <x:v>137000</x:v>
      </x:c>
      <x:c r="H34" s="6" t="n">
        <x:v>507000</x:v>
      </x:c>
      <x:c r="I34" s="6" t="n">
        <x:v>48</x:v>
      </x:c>
      <x:c r="J34" s="6" t="n">
        <x:v>0</x:v>
      </x:c>
      <x:c r="K34" s="6" t="n">
        <x:v>0</x:v>
      </x:c>
      <x:c r="L34" s="6" t="n">
        <x:v>10</x:v>
      </x:c>
      <x:c r="M34" s="11" t="n">
        <x:v>0.8901587301587301</x:v>
      </x:c>
      <x:c r="N34" s="6" t="n">
        <x:v>396000</x:v>
      </x:c>
    </x:row>
    <x:row r="35" ht="24" customHeight="1">
      <x:c r="A35" s="2" t="str">
        <x:v>2026-10-09_Night</x:v>
      </x:c>
      <x:c r="B35" s="6" t="str">
        <x:v>ナイト</x:v>
      </x:c>
      <x:c r="C35" s="6" t="n">
        <x:v>57000</x:v>
      </x:c>
      <x:c r="D35" s="6" t="n">
        <x:v>178000</x:v>
      </x:c>
      <x:c r="E35" s="6" t="n">
        <x:f>C35-D35</x:f>
        <x:v>-121000</x:v>
      </x:c>
      <x:c r="F35" s="6" t="n">
        <x:f>F34+E35</x:f>
        <x:v>-4372500</x:v>
      </x:c>
      <x:c r="G35" s="6" t="n">
        <x:v>57000</x:v>
      </x:c>
      <x:c r="H35" s="6" t="n">
        <x:v>178000</x:v>
      </x:c>
      <x:c r="I35" s="6" t="n">
        <x:v>28</x:v>
      </x:c>
      <x:c r="J35" s="6" t="n">
        <x:v>0</x:v>
      </x:c>
      <x:c r="K35" s="6" t="n">
        <x:v>0</x:v>
      </x:c>
      <x:c r="L35" s="6" t="n">
        <x:v>6</x:v>
      </x:c>
      <x:c r="M35" s="11" t="n">
        <x:v>0.9558119658119658</x:v>
      </x:c>
      <x:c r="N35" s="6" t="n">
        <x:v>152500</x:v>
      </x:c>
    </x:row>
    <x:row r="36" ht="24" customHeight="1">
      <x:c r="A36" s="2" t="str">
        <x:v>2026-10-12_Day</x:v>
      </x:c>
      <x:c r="B36" s="6" t="str">
        <x:v>デイ</x:v>
      </x:c>
      <x:c r="C36" s="6" t="n">
        <x:v>50000</x:v>
      </x:c>
      <x:c r="D36" s="6" t="n">
        <x:v>88500</x:v>
      </x:c>
      <x:c r="E36" s="6" t="n">
        <x:f>C36-D36</x:f>
        <x:v>-38500</x:v>
      </x:c>
      <x:c r="F36" s="6" t="n">
        <x:f>F35+E36</x:f>
        <x:v>-4411000</x:v>
      </x:c>
      <x:c r="G36" s="6" t="n">
        <x:v>50000</x:v>
      </x:c>
      <x:c r="H36" s="6" t="n">
        <x:v>88500</x:v>
      </x:c>
      <x:c r="I36" s="6" t="n">
        <x:v>13</x:v>
      </x:c>
      <x:c r="J36" s="6" t="n">
        <x:v>0</x:v>
      </x:c>
      <x:c r="K36" s="6" t="n">
        <x:v>0</x:v>
      </x:c>
      <x:c r="L36" s="6" t="n">
        <x:v>10</x:v>
      </x:c>
      <x:c r="M36" s="11" t="n">
        <x:v>0.9049206349206349</x:v>
      </x:c>
      <x:c r="N36" s="6" t="n">
        <x:v>84500</x:v>
      </x:c>
    </x:row>
    <x:row r="37" ht="24" customHeight="1">
      <x:c r="A37" s="2" t="str">
        <x:v>2026-10-12_Night</x:v>
      </x:c>
      <x:c r="B37" s="6" t="str">
        <x:v>ナイト</x:v>
      </x:c>
      <x:c r="C37" s="6" t="n">
        <x:v>39500</x:v>
      </x:c>
      <x:c r="D37" s="6" t="n">
        <x:v>143000</x:v>
      </x:c>
      <x:c r="E37" s="6" t="n">
        <x:f>C37-D37</x:f>
        <x:v>-103500</x:v>
      </x:c>
      <x:c r="F37" s="6" t="n">
        <x:f>F36+E37</x:f>
        <x:v>-4514500</x:v>
      </x:c>
      <x:c r="G37" s="6" t="n">
        <x:v>39500</x:v>
      </x:c>
      <x:c r="H37" s="6" t="n">
        <x:v>143000</x:v>
      </x:c>
      <x:c r="I37" s="6" t="n">
        <x:v>22</x:v>
      </x:c>
      <x:c r="J37" s="6" t="n">
        <x:v>0</x:v>
      </x:c>
      <x:c r="K37" s="6" t="n">
        <x:v>0</x:v>
      </x:c>
      <x:c r="L37" s="6" t="n">
        <x:v>5</x:v>
      </x:c>
      <x:c r="M37" s="11" t="n">
        <x:v>0.936965811965812</x:v>
      </x:c>
      <x:c r="N37" s="6" t="n">
        <x:v>129000</x:v>
      </x:c>
    </x:row>
    <x:row r="38" ht="24" customHeight="1">
      <x:c r="A38" s="2" t="str">
        <x:v>2026-10-13_Day</x:v>
      </x:c>
      <x:c r="B38" s="6" t="str">
        <x:v>デイ</x:v>
      </x:c>
      <x:c r="C38" s="6" t="n">
        <x:v>236000</x:v>
      </x:c>
      <x:c r="D38" s="6" t="n">
        <x:v>554000</x:v>
      </x:c>
      <x:c r="E38" s="6" t="n">
        <x:f>C38-D38</x:f>
        <x:v>-318000</x:v>
      </x:c>
      <x:c r="F38" s="6" t="n">
        <x:f>F37+E38</x:f>
        <x:v>-4832500</x:v>
      </x:c>
      <x:c r="G38" s="6" t="n">
        <x:v>236000</x:v>
      </x:c>
      <x:c r="H38" s="6" t="n">
        <x:v>554000</x:v>
      </x:c>
      <x:c r="I38" s="6" t="n">
        <x:v>54</x:v>
      </x:c>
      <x:c r="J38" s="6" t="n">
        <x:v>0</x:v>
      </x:c>
      <x:c r="K38" s="6" t="n">
        <x:v>0</x:v>
      </x:c>
      <x:c r="L38" s="6" t="n">
        <x:v>10</x:v>
      </x:c>
      <x:c r="M38" s="11" t="n">
        <x:v>0.8681746031746032</x:v>
      </x:c>
      <x:c r="N38" s="6" t="n">
        <x:v>385500</x:v>
      </x:c>
    </x:row>
    <x:row r="39" ht="24" customHeight="1">
      <x:c r="A39" s="2" t="str">
        <x:v>2026-10-13_Night</x:v>
      </x:c>
      <x:c r="B39" s="6" t="str">
        <x:v>ナイト</x:v>
      </x:c>
      <x:c r="C39" s="6" t="n">
        <x:v>113500</x:v>
      </x:c>
      <x:c r="D39" s="6" t="n">
        <x:v>168500</x:v>
      </x:c>
      <x:c r="E39" s="6" t="n">
        <x:f>C39-D39</x:f>
        <x:v>-55000</x:v>
      </x:c>
      <x:c r="F39" s="6" t="n">
        <x:f>F38+E39</x:f>
        <x:v>-4887500</x:v>
      </x:c>
      <x:c r="G39" s="6" t="n">
        <x:v>113500</x:v>
      </x:c>
      <x:c r="H39" s="6" t="n">
        <x:v>168500</x:v>
      </x:c>
      <x:c r="I39" s="6" t="n">
        <x:v>29</x:v>
      </x:c>
      <x:c r="J39" s="6" t="n">
        <x:v>0</x:v>
      </x:c>
      <x:c r="K39" s="6" t="n">
        <x:v>0</x:v>
      </x:c>
      <x:c r="L39" s="6" t="n">
        <x:v>8</x:v>
      </x:c>
      <x:c r="M39" s="11" t="n">
        <x:v>0.8642948717948717</x:v>
      </x:c>
      <x:c r="N39" s="6" t="n">
        <x:v>81000</x:v>
      </x:c>
    </x:row>
    <x:row r="40" ht="24" customHeight="1">
      <x:c r="A40" s="2" t="str">
        <x:v>2026-10-14_Day</x:v>
      </x:c>
      <x:c r="B40" s="6" t="str">
        <x:v>デイ</x:v>
      </x:c>
      <x:c r="C40" s="6" t="n">
        <x:v>104500</x:v>
      </x:c>
      <x:c r="D40" s="6" t="n">
        <x:v>401000</x:v>
      </x:c>
      <x:c r="E40" s="6" t="n">
        <x:f>C40-D40</x:f>
        <x:v>-296500</x:v>
      </x:c>
      <x:c r="F40" s="6" t="n">
        <x:f>F39+E40</x:f>
        <x:v>-5184000</x:v>
      </x:c>
      <x:c r="G40" s="6" t="n">
        <x:v>104500</x:v>
      </x:c>
      <x:c r="H40" s="6" t="n">
        <x:v>401000</x:v>
      </x:c>
      <x:c r="I40" s="6" t="n">
        <x:v>37</x:v>
      </x:c>
      <x:c r="J40" s="6" t="n">
        <x:v>0</x:v>
      </x:c>
      <x:c r="K40" s="6" t="n">
        <x:v>0</x:v>
      </x:c>
      <x:c r="L40" s="6" t="n">
        <x:v>10</x:v>
      </x:c>
      <x:c r="M40" s="11" t="n">
        <x:v>0.926984126984127</x:v>
      </x:c>
      <x:c r="N40" s="6" t="n">
        <x:v>299500</x:v>
      </x:c>
    </x:row>
    <x:row r="41" ht="24" customHeight="1">
      <x:c r="A41" s="2" t="str">
        <x:v>2026-10-14_Night</x:v>
      </x:c>
      <x:c r="B41" s="6" t="str">
        <x:v>ナイト</x:v>
      </x:c>
      <x:c r="C41" s="6" t="n">
        <x:v>273000</x:v>
      </x:c>
      <x:c r="D41" s="6" t="n">
        <x:v>497000</x:v>
      </x:c>
      <x:c r="E41" s="6" t="n">
        <x:f>C41-D41</x:f>
        <x:v>-224000</x:v>
      </x:c>
      <x:c r="F41" s="6" t="n">
        <x:f>F40+E41</x:f>
        <x:v>-5408000</x:v>
      </x:c>
      <x:c r="G41" s="6" t="n">
        <x:v>273000</x:v>
      </x:c>
      <x:c r="H41" s="6" t="n">
        <x:v>497000</x:v>
      </x:c>
      <x:c r="I41" s="6" t="n">
        <x:v>64</x:v>
      </x:c>
      <x:c r="J41" s="6" t="n">
        <x:v>0</x:v>
      </x:c>
      <x:c r="K41" s="6" t="n">
        <x:v>0</x:v>
      </x:c>
      <x:c r="L41" s="6" t="n">
        <x:v>10</x:v>
      </x:c>
      <x:c r="M41" s="11" t="n">
        <x:v>0.9144017094017094</x:v>
      </x:c>
      <x:c r="N41" s="6" t="n">
        <x:v>248500</x:v>
      </x:c>
    </x:row>
    <x:row r="42" ht="24" customHeight="1">
      <x:c r="A42" s="2" t="str">
        <x:v>2026-10-15_Day</x:v>
      </x:c>
      <x:c r="B42" s="6" t="str">
        <x:v>デイ</x:v>
      </x:c>
      <x:c r="C42" s="6" t="n">
        <x:v>658000</x:v>
      </x:c>
      <x:c r="D42" s="6" t="n">
        <x:v>708500</x:v>
      </x:c>
      <x:c r="E42" s="6" t="n">
        <x:f>C42-D42</x:f>
        <x:v>-50500</x:v>
      </x:c>
      <x:c r="F42" s="6" t="n">
        <x:f>F41+E42</x:f>
        <x:v>-5458500</x:v>
      </x:c>
      <x:c r="G42" s="6" t="n">
        <x:v>658000</x:v>
      </x:c>
      <x:c r="H42" s="6" t="n">
        <x:v>708500</x:v>
      </x:c>
      <x:c r="I42" s="6" t="n">
        <x:v>81</x:v>
      </x:c>
      <x:c r="J42" s="6" t="n">
        <x:v>0</x:v>
      </x:c>
      <x:c r="K42" s="6" t="n">
        <x:v>0</x:v>
      </x:c>
      <x:c r="L42" s="6" t="n">
        <x:v>10</x:v>
      </x:c>
      <x:c r="M42" s="11" t="n">
        <x:v>0.8201587301587302</x:v>
      </x:c>
      <x:c r="N42" s="6" t="n">
        <x:v>194000</x:v>
      </x:c>
    </x:row>
    <x:row r="43" ht="24" customHeight="1">
      <x:c r="A43" s="2" t="str">
        <x:v>2026-10-15_Night</x:v>
      </x:c>
      <x:c r="B43" s="6" t="str">
        <x:v>ナイト</x:v>
      </x:c>
      <x:c r="C43" s="6" t="n">
        <x:v>378000</x:v>
      </x:c>
      <x:c r="D43" s="6" t="n">
        <x:v>614000</x:v>
      </x:c>
      <x:c r="E43" s="6" t="n">
        <x:f>C43-D43</x:f>
        <x:v>-236000</x:v>
      </x:c>
      <x:c r="F43" s="6" t="n">
        <x:f>F42+E43</x:f>
        <x:v>-5694500</x:v>
      </x:c>
      <x:c r="G43" s="6" t="n">
        <x:v>378000</x:v>
      </x:c>
      <x:c r="H43" s="6" t="n">
        <x:v>614000</x:v>
      </x:c>
      <x:c r="I43" s="6" t="n">
        <x:v>72</x:v>
      </x:c>
      <x:c r="J43" s="6" t="n">
        <x:v>0</x:v>
      </x:c>
      <x:c r="K43" s="6" t="n">
        <x:v>0</x:v>
      </x:c>
      <x:c r="L43" s="6" t="n">
        <x:v>10</x:v>
      </x:c>
      <x:c r="M43" s="11" t="n">
        <x:v>0.9332905982905982</x:v>
      </x:c>
      <x:c r="N43" s="6" t="n">
        <x:v>298000</x:v>
      </x:c>
    </x:row>
    <x:row r="44" ht="24" customHeight="1">
      <x:c r="A44" s="2" t="str">
        <x:v>2026-10-16_Day</x:v>
      </x:c>
      <x:c r="B44" s="6" t="str">
        <x:v>デイ</x:v>
      </x:c>
      <x:c r="C44" s="6" t="n">
        <x:v>378500</x:v>
      </x:c>
      <x:c r="D44" s="6" t="n">
        <x:v>514500</x:v>
      </x:c>
      <x:c r="E44" s="6" t="n">
        <x:f>C44-D44</x:f>
        <x:v>-136000</x:v>
      </x:c>
      <x:c r="F44" s="6" t="n">
        <x:f>F43+E44</x:f>
        <x:v>-5830500</x:v>
      </x:c>
      <x:c r="G44" s="6" t="n">
        <x:v>378500</x:v>
      </x:c>
      <x:c r="H44" s="6" t="n">
        <x:v>514500</x:v>
      </x:c>
      <x:c r="I44" s="6" t="n">
        <x:v>55</x:v>
      </x:c>
      <x:c r="J44" s="6" t="n">
        <x:v>0</x:v>
      </x:c>
      <x:c r="K44" s="6" t="n">
        <x:v>0</x:v>
      </x:c>
      <x:c r="L44" s="6" t="n">
        <x:v>10</x:v>
      </x:c>
      <x:c r="M44" s="11" t="n">
        <x:v>0.8878968253968254</x:v>
      </x:c>
      <x:c r="N44" s="6" t="n">
        <x:v>255500</x:v>
      </x:c>
    </x:row>
    <x:row r="45" ht="24" customHeight="1">
      <x:c r="A45" s="2" t="str">
        <x:v>2026-10-16_Night</x:v>
      </x:c>
      <x:c r="B45" s="6" t="str">
        <x:v>ナイト</x:v>
      </x:c>
      <x:c r="C45" s="6" t="n">
        <x:v>454500</x:v>
      </x:c>
      <x:c r="D45" s="6" t="n">
        <x:v>594500</x:v>
      </x:c>
      <x:c r="E45" s="6" t="n">
        <x:f>C45-D45</x:f>
        <x:v>-140000</x:v>
      </x:c>
      <x:c r="F45" s="6" t="n">
        <x:f>F44+E45</x:f>
        <x:v>-5970500</x:v>
      </x:c>
      <x:c r="G45" s="6" t="n">
        <x:v>454500</x:v>
      </x:c>
      <x:c r="H45" s="6" t="n">
        <x:v>594500</x:v>
      </x:c>
      <x:c r="I45" s="6" t="n">
        <x:v>79</x:v>
      </x:c>
      <x:c r="J45" s="6" t="n">
        <x:v>0</x:v>
      </x:c>
      <x:c r="K45" s="6" t="n">
        <x:v>0</x:v>
      </x:c>
      <x:c r="L45" s="6" t="n">
        <x:v>10</x:v>
      </x:c>
      <x:c r="M45" s="11" t="n">
        <x:v>0.920982905982906</x:v>
      </x:c>
      <x:c r="N45" s="6" t="n">
        <x:v>219000</x:v>
      </x:c>
    </x:row>
    <x:row r="46" ht="24" customHeight="1">
      <x:c r="A46" s="2" t="str">
        <x:v>2026-10-19_Day</x:v>
      </x:c>
      <x:c r="B46" s="6" t="str">
        <x:v>デイ</x:v>
      </x:c>
      <x:c r="C46" s="6" t="n">
        <x:v>450000</x:v>
      </x:c>
      <x:c r="D46" s="6" t="n">
        <x:v>705000</x:v>
      </x:c>
      <x:c r="E46" s="6" t="n">
        <x:f>C46-D46</x:f>
        <x:v>-255000</x:v>
      </x:c>
      <x:c r="F46" s="6" t="n">
        <x:f>F45+E46</x:f>
        <x:v>-6225500</x:v>
      </x:c>
      <x:c r="G46" s="6" t="n">
        <x:v>450000</x:v>
      </x:c>
      <x:c r="H46" s="6" t="n">
        <x:v>705000</x:v>
      </x:c>
      <x:c r="I46" s="6" t="n">
        <x:v>65</x:v>
      </x:c>
      <x:c r="J46" s="6" t="n">
        <x:v>0</x:v>
      </x:c>
      <x:c r="K46" s="6" t="n">
        <x:v>0</x:v>
      </x:c>
      <x:c r="L46" s="6" t="n">
        <x:v>10</x:v>
      </x:c>
      <x:c r="M46" s="11" t="n">
        <x:v>0.888452380952381</x:v>
      </x:c>
      <x:c r="N46" s="6" t="n">
        <x:v>354000</x:v>
      </x:c>
    </x:row>
    <x:row r="47" ht="24" customHeight="1">
      <x:c r="A47" s="2" t="str">
        <x:v>2026-10-19_Night</x:v>
      </x:c>
      <x:c r="B47" s="6" t="str">
        <x:v>ナイト</x:v>
      </x:c>
      <x:c r="C47" s="6" t="n">
        <x:v>219500</x:v>
      </x:c>
      <x:c r="D47" s="6" t="n">
        <x:v>285000</x:v>
      </x:c>
      <x:c r="E47" s="6" t="n">
        <x:f>C47-D47</x:f>
        <x:v>-65500</x:v>
      </x:c>
      <x:c r="F47" s="6" t="n">
        <x:f>F46+E47</x:f>
        <x:v>-6291000</x:v>
      </x:c>
      <x:c r="G47" s="6" t="n">
        <x:v>219500</x:v>
      </x:c>
      <x:c r="H47" s="6" t="n">
        <x:v>285000</x:v>
      </x:c>
      <x:c r="I47" s="6" t="n">
        <x:v>49</x:v>
      </x:c>
      <x:c r="J47" s="6" t="n">
        <x:v>0</x:v>
      </x:c>
      <x:c r="K47" s="6" t="n">
        <x:v>0</x:v>
      </x:c>
      <x:c r="L47" s="6" t="n">
        <x:v>10</x:v>
      </x:c>
      <x:c r="M47" s="11" t="n">
        <x:v>0.9430128205128205</x:v>
      </x:c>
      <x:c r="N47" s="6" t="n">
        <x:v>96500</x:v>
      </x:c>
    </x:row>
    <x:row r="48" ht="24" customHeight="1">
      <x:c r="A48" s="2" t="str">
        <x:v>2026-10-20_Day</x:v>
      </x:c>
      <x:c r="B48" s="6" t="str">
        <x:v>デイ</x:v>
      </x:c>
      <x:c r="C48" s="6" t="n">
        <x:v>332500</x:v>
      </x:c>
      <x:c r="D48" s="6" t="n">
        <x:v>550500</x:v>
      </x:c>
      <x:c r="E48" s="6" t="n">
        <x:f>C48-D48</x:f>
        <x:v>-218000</x:v>
      </x:c>
      <x:c r="F48" s="6" t="n">
        <x:f>F47+E48</x:f>
        <x:v>-6509000</x:v>
      </x:c>
      <x:c r="G48" s="6" t="n">
        <x:v>332500</x:v>
      </x:c>
      <x:c r="H48" s="6" t="n">
        <x:v>550500</x:v>
      </x:c>
      <x:c r="I48" s="6" t="n">
        <x:v>65</x:v>
      </x:c>
      <x:c r="J48" s="6" t="n">
        <x:v>0</x:v>
      </x:c>
      <x:c r="K48" s="6" t="n">
        <x:v>0</x:v>
      </x:c>
      <x:c r="L48" s="6" t="n">
        <x:v>10</x:v>
      </x:c>
      <x:c r="M48" s="11" t="n">
        <x:v>0.861031746031746</x:v>
      </x:c>
      <x:c r="N48" s="6" t="n">
        <x:v>274500</x:v>
      </x:c>
    </x:row>
    <x:row r="49" ht="24" customHeight="1">
      <x:c r="A49" s="2" t="str">
        <x:v>2026-10-20_Night</x:v>
      </x:c>
      <x:c r="B49" s="6" t="str">
        <x:v>ナイト</x:v>
      </x:c>
      <x:c r="C49" s="6" t="n">
        <x:v>381500</x:v>
      </x:c>
      <x:c r="D49" s="6" t="n">
        <x:v>525500</x:v>
      </x:c>
      <x:c r="E49" s="6" t="n">
        <x:f>C49-D49</x:f>
        <x:v>-144000</x:v>
      </x:c>
      <x:c r="F49" s="6" t="n">
        <x:f>F48+E49</x:f>
        <x:v>-6653000</x:v>
      </x:c>
      <x:c r="G49" s="6" t="n">
        <x:v>381500</x:v>
      </x:c>
      <x:c r="H49" s="6" t="n">
        <x:v>525500</x:v>
      </x:c>
      <x:c r="I49" s="6" t="n">
        <x:v>64</x:v>
      </x:c>
      <x:c r="J49" s="6" t="n">
        <x:v>0</x:v>
      </x:c>
      <x:c r="K49" s="6" t="n">
        <x:v>0</x:v>
      </x:c>
      <x:c r="L49" s="6" t="n">
        <x:v>10</x:v>
      </x:c>
      <x:c r="M49" s="11" t="n">
        <x:v>0.9263888888888889</x:v>
      </x:c>
      <x:c r="N49" s="6" t="n">
        <x:v>330000</x:v>
      </x:c>
    </x:row>
    <x:row r="50" ht="24" customHeight="1">
      <x:c r="A50" s="2" t="str">
        <x:v>2026-10-21_Day</x:v>
      </x:c>
      <x:c r="B50" s="6" t="str">
        <x:v>デイ</x:v>
      </x:c>
      <x:c r="C50" s="6" t="n">
        <x:v>101000</x:v>
      </x:c>
      <x:c r="D50" s="6" t="n">
        <x:v>247000</x:v>
      </x:c>
      <x:c r="E50" s="6" t="n">
        <x:f>C50-D50</x:f>
        <x:v>-146000</x:v>
      </x:c>
      <x:c r="F50" s="6" t="n">
        <x:f>F49+E50</x:f>
        <x:v>-6799000</x:v>
      </x:c>
      <x:c r="G50" s="6" t="n">
        <x:v>101000</x:v>
      </x:c>
      <x:c r="H50" s="6" t="n">
        <x:v>247000</x:v>
      </x:c>
      <x:c r="I50" s="6" t="n">
        <x:v>35</x:v>
      </x:c>
      <x:c r="J50" s="6" t="n">
        <x:v>0</x:v>
      </x:c>
      <x:c r="K50" s="6" t="n">
        <x:v>0</x:v>
      </x:c>
      <x:c r="L50" s="6" t="n">
        <x:v>9</x:v>
      </x:c>
      <x:c r="M50" s="11" t="n">
        <x:v>0.8459523809523809</x:v>
      </x:c>
      <x:c r="N50" s="6" t="n">
        <x:v>187000</x:v>
      </x:c>
    </x:row>
    <x:row r="51" ht="24" customHeight="1">
      <x:c r="A51" s="2" t="str">
        <x:v>2026-10-21_Night</x:v>
      </x:c>
      <x:c r="B51" s="6" t="str">
        <x:v>ナイト</x:v>
      </x:c>
      <x:c r="C51" s="6" t="n">
        <x:v>346000</x:v>
      </x:c>
      <x:c r="D51" s="6" t="n">
        <x:v>341500</x:v>
      </x:c>
      <x:c r="E51" s="6" t="n">
        <x:f>C51-D51</x:f>
        <x:v>4500</x:v>
      </x:c>
      <x:c r="F51" s="6" t="n">
        <x:f>F50+E51</x:f>
        <x:v>-6794500</x:v>
      </x:c>
      <x:c r="G51" s="6" t="n">
        <x:v>346000</x:v>
      </x:c>
      <x:c r="H51" s="6" t="n">
        <x:v>341500</x:v>
      </x:c>
      <x:c r="I51" s="6" t="n">
        <x:v>50</x:v>
      </x:c>
      <x:c r="J51" s="6" t="n">
        <x:v>0</x:v>
      </x:c>
      <x:c r="K51" s="6" t="n">
        <x:v>0</x:v>
      </x:c>
      <x:c r="L51" s="6" t="n">
        <x:v>10</x:v>
      </x:c>
      <x:c r="M51" s="11" t="n">
        <x:v>0.950491452991453</x:v>
      </x:c>
      <x:c r="N51" s="6" t="n">
        <x:v>119500</x:v>
      </x:c>
    </x:row>
    <x:row r="52" ht="24" customHeight="1">
      <x:c r="A52" s="2" t="str">
        <x:v>2026-10-22_Day</x:v>
      </x:c>
      <x:c r="B52" s="6" t="str">
        <x:v>デイ</x:v>
      </x:c>
      <x:c r="C52" s="6" t="n">
        <x:v>340000</x:v>
      </x:c>
      <x:c r="D52" s="6" t="n">
        <x:v>545000</x:v>
      </x:c>
      <x:c r="E52" s="6" t="n">
        <x:f>C52-D52</x:f>
        <x:v>-205000</x:v>
      </x:c>
      <x:c r="F52" s="6" t="n">
        <x:f>F51+E52</x:f>
        <x:v>-6999500</x:v>
      </x:c>
      <x:c r="G52" s="6" t="n">
        <x:v>340000</x:v>
      </x:c>
      <x:c r="H52" s="6" t="n">
        <x:v>545000</x:v>
      </x:c>
      <x:c r="I52" s="6" t="n">
        <x:v>58</x:v>
      </x:c>
      <x:c r="J52" s="6" t="n">
        <x:v>0</x:v>
      </x:c>
      <x:c r="K52" s="6" t="n">
        <x:v>0</x:v>
      </x:c>
      <x:c r="L52" s="6" t="n">
        <x:v>10</x:v>
      </x:c>
      <x:c r="M52" s="11" t="n">
        <x:v>0.8590476190476191</x:v>
      </x:c>
      <x:c r="N52" s="6" t="n">
        <x:v>276500</x:v>
      </x:c>
    </x:row>
    <x:row r="53" ht="24" customHeight="1">
      <x:c r="A53" s="2" t="str">
        <x:v>2026-10-22_Night</x:v>
      </x:c>
      <x:c r="B53" s="6" t="str">
        <x:v>ナイト</x:v>
      </x:c>
      <x:c r="C53" s="6" t="n">
        <x:v>323000</x:v>
      </x:c>
      <x:c r="D53" s="6" t="n">
        <x:v>718000</x:v>
      </x:c>
      <x:c r="E53" s="6" t="n">
        <x:f>C53-D53</x:f>
        <x:v>-395000</x:v>
      </x:c>
      <x:c r="F53" s="6" t="n">
        <x:f>F52+E53</x:f>
        <x:v>-7394500</x:v>
      </x:c>
      <x:c r="G53" s="6" t="n">
        <x:v>323000</x:v>
      </x:c>
      <x:c r="H53" s="6" t="n">
        <x:v>718000</x:v>
      </x:c>
      <x:c r="I53" s="6" t="n">
        <x:v>81</x:v>
      </x:c>
      <x:c r="J53" s="6" t="n">
        <x:v>0</x:v>
      </x:c>
      <x:c r="K53" s="6" t="n">
        <x:v>0</x:v>
      </x:c>
      <x:c r="L53" s="6" t="n">
        <x:v>10</x:v>
      </x:c>
      <x:c r="M53" s="11" t="n">
        <x:v>0.9138247863247864</x:v>
      </x:c>
      <x:c r="N53" s="6" t="n">
        <x:v>406000</x:v>
      </x:c>
    </x:row>
    <x:row r="54" ht="24" customHeight="1">
      <x:c r="A54" s="2" t="str">
        <x:v>2026-10-23_Day</x:v>
      </x:c>
      <x:c r="B54" s="6" t="str">
        <x:v>デイ</x:v>
      </x:c>
      <x:c r="C54" s="6" t="n">
        <x:v>897500</x:v>
      </x:c>
      <x:c r="D54" s="6" t="n">
        <x:v>1518500</x:v>
      </x:c>
      <x:c r="E54" s="6" t="n">
        <x:f>C54-D54</x:f>
        <x:v>-621000</x:v>
      </x:c>
      <x:c r="F54" s="6" t="n">
        <x:f>F53+E54</x:f>
        <x:v>-8015500</x:v>
      </x:c>
      <x:c r="G54" s="6" t="n">
        <x:v>897500</x:v>
      </x:c>
      <x:c r="H54" s="6" t="n">
        <x:v>1518500</x:v>
      </x:c>
      <x:c r="I54" s="6" t="n">
        <x:v>110</x:v>
      </x:c>
      <x:c r="J54" s="6" t="n">
        <x:v>0</x:v>
      </x:c>
      <x:c r="K54" s="6" t="n">
        <x:v>0</x:v>
      </x:c>
      <x:c r="L54" s="6" t="n">
        <x:v>10</x:v>
      </x:c>
      <x:c r="M54" s="11" t="n">
        <x:v>0.7980158730158731</x:v>
      </x:c>
      <x:c r="N54" s="6" t="n">
        <x:v>689500</x:v>
      </x:c>
    </x:row>
    <x:row r="55" ht="24" customHeight="1">
      <x:c r="A55" s="2" t="str">
        <x:v>2026-10-23_Night</x:v>
      </x:c>
      <x:c r="B55" s="6" t="str">
        <x:v>ナイト</x:v>
      </x:c>
      <x:c r="C55" s="6" t="n">
        <x:v>457500</x:v>
      </x:c>
      <x:c r="D55" s="6" t="n">
        <x:v>491500</x:v>
      </x:c>
      <x:c r="E55" s="6" t="n">
        <x:f>C55-D55</x:f>
        <x:v>-34000</x:v>
      </x:c>
      <x:c r="F55" s="6" t="n">
        <x:f>F54+E55</x:f>
        <x:v>-8049500</x:v>
      </x:c>
      <x:c r="G55" s="6" t="n">
        <x:v>457500</x:v>
      </x:c>
      <x:c r="H55" s="6" t="n">
        <x:v>491500</x:v>
      </x:c>
      <x:c r="I55" s="6" t="n">
        <x:v>69</x:v>
      </x:c>
      <x:c r="J55" s="6" t="n">
        <x:v>0</x:v>
      </x:c>
      <x:c r="K55" s="6" t="n">
        <x:v>0</x:v>
      </x:c>
      <x:c r="L55" s="6" t="n">
        <x:v>10</x:v>
      </x:c>
      <x:c r="M55" s="11" t="n">
        <x:v>0.9108119658119658</x:v>
      </x:c>
      <x:c r="N55" s="6" t="n">
        <x:v>193000</x:v>
      </x:c>
    </x:row>
    <x:row r="56" ht="24" customHeight="1">
      <x:c r="A56" s="2" t="str">
        <x:v>2026-10-26_Day</x:v>
      </x:c>
      <x:c r="B56" s="6" t="str">
        <x:v>デイ</x:v>
      </x:c>
      <x:c r="C56" s="6" t="n">
        <x:v>462000</x:v>
      </x:c>
      <x:c r="D56" s="6" t="n">
        <x:v>636000</x:v>
      </x:c>
      <x:c r="E56" s="6" t="n">
        <x:f>C56-D56</x:f>
        <x:v>-174000</x:v>
      </x:c>
      <x:c r="F56" s="6" t="n">
        <x:f>F55+E56</x:f>
        <x:v>-8223500</x:v>
      </x:c>
      <x:c r="G56" s="6" t="n">
        <x:v>462000</x:v>
      </x:c>
      <x:c r="H56" s="6" t="n">
        <x:v>636000</x:v>
      </x:c>
      <x:c r="I56" s="6" t="n">
        <x:v>72</x:v>
      </x:c>
      <x:c r="J56" s="6" t="n">
        <x:v>0</x:v>
      </x:c>
      <x:c r="K56" s="6" t="n">
        <x:v>0</x:v>
      </x:c>
      <x:c r="L56" s="6" t="n">
        <x:v>10</x:v>
      </x:c>
      <x:c r="M56" s="11" t="n">
        <x:v>0.8853571428571428</x:v>
      </x:c>
      <x:c r="N56" s="6" t="n">
        <x:v>304000</x:v>
      </x:c>
    </x:row>
    <x:row r="57" ht="24" customHeight="1">
      <x:c r="A57" s="15" t="str">
        <x:v>累計／平均／最大</x:v>
      </x:c>
      <x:c r="B57" s="16"/>
      <x:c r="C57" s="16" t="n">
        <x:f>SUM(C6:C56)</x:f>
        <x:v>13690000</x:v>
      </x:c>
      <x:c r="D57" s="16" t="n">
        <x:f>SUM(D6:D56)</x:f>
        <x:v>21913500</x:v>
      </x:c>
      <x:c r="E57" s="16" t="n">
        <x:f>C57-D57</x:f>
        <x:v>-8223500</x:v>
      </x:c>
      <x:c r="F57" s="16" t="n">
        <x:f>F56</x:f>
        <x:v>-8223500</x:v>
      </x:c>
      <x:c r="G57" s="16" t="n">
        <x:f>SUM(G6:G56)</x:f>
        <x:v>13690000</x:v>
      </x:c>
      <x:c r="H57" s="16" t="n">
        <x:f>SUM(H6:H56)</x:f>
        <x:v>21913500</x:v>
      </x:c>
      <x:c r="I57" s="16" t="n">
        <x:f>SUM(I6:I56)</x:f>
        <x:v>2631</x:v>
      </x:c>
      <x:c r="J57" s="16" t="n">
        <x:f>SUM(J6:J56)</x:f>
        <x:v>0</x:v>
      </x:c>
      <x:c r="K57" s="16" t="n">
        <x:f>SUM(K6:K56)</x:f>
        <x:v>0</x:v>
      </x:c>
      <x:c r="L57" s="16" t="n">
        <x:f>MAX(L6:L56)</x:f>
        <x:v>10</x:v>
      </x:c>
      <x:c r="M57" s="17" t="n">
        <x:f>AVERAGE(M6:M56)</x:f>
        <x:v>0.8976943426943427</x:v>
      </x:c>
      <x:c r="N57" s="16" t="n">
        <x:f>MAX(N6:N56)</x:f>
        <x:v>689500</x:v>
      </x:c>
    </x:row>
  </x:sheetData>
  <x:conditionalFormatting sqref="E6:F56">
    <x:cfRule type="cellIs" dxfId="60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e1526ed523149d2"/>
  </x:tableParts>
</x:worksheet>
</file>

<file path=xl/worksheets/sheet6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1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4" customHeight="1">
      <x:c r="A1" s="3" t="str">
        <x:v>TOPIX M20　各セッションの利益・損失・収支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A2" s="4" t="str">
        <x:v>2026/09/21〜10/26デイ・51完了場。日経mini／TOPIXmini各上限10枚・手数料0。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4" customHeight="1">
      <x:c r="A3" s="4" t="str">
        <x:v>600秒の時間加重平均を60秒前と比較。入口だけ傾き比例枚数、利益追尾＋傾き反転で返済。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4" customHeight="1">
      <x:c r="A4" s="4" t="str">
        <x:v>利益・損失＝FIFO返済配賦別。親＝初回から全返済まで。ラージ気配による模型で、mini実約定の検証ではありません。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42" customHeight="1">
      <x:c r="A5" s="10" t="str">
        <x:v>セッション</x:v>
      </x:c>
      <x:c r="B5" s="10" t="str">
        <x:v>区分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親利益（円）</x:v>
      </x:c>
      <x:c r="H5" s="10" t="str">
        <x:v>親損失（円）</x:v>
      </x:c>
      <x:c r="I5" s="10" t="str">
        <x:v>初回件数</x:v>
      </x:c>
      <x:c r="J5" s="10" t="str">
        <x:v>追加件数</x:v>
      </x:c>
      <x:c r="K5" s="10" t="str">
        <x:v>縮小件数</x:v>
      </x:c>
      <x:c r="L5" s="10" t="str">
        <x:v>最大保有枚数</x:v>
      </x:c>
      <x:c r="M5" s="10" t="str">
        <x:v>保有時間率</x:v>
      </x:c>
      <x:c r="N5" s="10" t="str">
        <x:v>時価最大DD（円）</x:v>
      </x:c>
    </x:row>
    <x:row r="6" ht="24" customHeight="1">
      <x:c r="A6" s="2" t="str">
        <x:v>2026-09-21_Day</x:v>
      </x:c>
      <x:c r="B6" s="6" t="str">
        <x:v>デイ</x:v>
      </x:c>
      <x:c r="C6" s="6" t="n">
        <x:v>27500</x:v>
      </x:c>
      <x:c r="D6" s="6" t="n">
        <x:v>162000</x:v>
      </x:c>
      <x:c r="E6" s="6" t="n">
        <x:f>C6-D6</x:f>
        <x:v>-134500</x:v>
      </x:c>
      <x:c r="F6" s="6" t="n">
        <x:f>E6</x:f>
        <x:v>-134500</x:v>
      </x:c>
      <x:c r="G6" s="6" t="n">
        <x:v>27500</x:v>
      </x:c>
      <x:c r="H6" s="6" t="n">
        <x:v>162000</x:v>
      </x:c>
      <x:c r="I6" s="6" t="n">
        <x:v>33</x:v>
      </x:c>
      <x:c r="J6" s="6" t="n">
        <x:v>0</x:v>
      </x:c>
      <x:c r="K6" s="6" t="n">
        <x:v>0</x:v>
      </x:c>
      <x:c r="L6" s="6" t="n">
        <x:v>8</x:v>
      </x:c>
      <x:c r="M6" s="11" t="n">
        <x:v>0.5592063492063492</x:v>
      </x:c>
      <x:c r="N6" s="6" t="n">
        <x:v>138500</x:v>
      </x:c>
    </x:row>
    <x:row r="7" ht="24" customHeight="1">
      <x:c r="A7" s="2" t="str">
        <x:v>2026-09-21_Night</x:v>
      </x:c>
      <x:c r="B7" s="6" t="str">
        <x:v>ナイト</x:v>
      </x:c>
      <x:c r="C7" s="6" t="n">
        <x:v>38500</x:v>
      </x:c>
      <x:c r="D7" s="6" t="n">
        <x:v>113500</x:v>
      </x:c>
      <x:c r="E7" s="6" t="n">
        <x:f>C7-D7</x:f>
        <x:v>-75000</x:v>
      </x:c>
      <x:c r="F7" s="6" t="n">
        <x:f>F6+E7</x:f>
        <x:v>-209500</x:v>
      </x:c>
      <x:c r="G7" s="6" t="n">
        <x:v>38500</x:v>
      </x:c>
      <x:c r="H7" s="6" t="n">
        <x:v>113500</x:v>
      </x:c>
      <x:c r="I7" s="6" t="n">
        <x:v>57</x:v>
      </x:c>
      <x:c r="J7" s="6" t="n">
        <x:v>0</x:v>
      </x:c>
      <x:c r="K7" s="6" t="n">
        <x:v>0</x:v>
      </x:c>
      <x:c r="L7" s="6" t="n">
        <x:v>6</x:v>
      </x:c>
      <x:c r="M7" s="11" t="n">
        <x:v>0.7594017094017094</x:v>
      </x:c>
      <x:c r="N7" s="6" t="n">
        <x:v>90500</x:v>
      </x:c>
    </x:row>
    <x:row r="8" ht="24" customHeight="1">
      <x:c r="A8" s="2" t="str">
        <x:v>2026-09-22_Day</x:v>
      </x:c>
      <x:c r="B8" s="6" t="str">
        <x:v>デイ</x:v>
      </x:c>
      <x:c r="C8" s="6" t="n">
        <x:v>95500</x:v>
      </x:c>
      <x:c r="D8" s="6" t="n">
        <x:v>197000</x:v>
      </x:c>
      <x:c r="E8" s="6" t="n">
        <x:f>C8-D8</x:f>
        <x:v>-101500</x:v>
      </x:c>
      <x:c r="F8" s="6" t="n">
        <x:f>F7+E8</x:f>
        <x:v>-311000</x:v>
      </x:c>
      <x:c r="G8" s="6" t="n">
        <x:v>95500</x:v>
      </x:c>
      <x:c r="H8" s="6" t="n">
        <x:v>197000</x:v>
      </x:c>
      <x:c r="I8" s="6" t="n">
        <x:v>60</x:v>
      </x:c>
      <x:c r="J8" s="6" t="n">
        <x:v>0</x:v>
      </x:c>
      <x:c r="K8" s="6" t="n">
        <x:v>0</x:v>
      </x:c>
      <x:c r="L8" s="6" t="n">
        <x:v>10</x:v>
      </x:c>
      <x:c r="M8" s="11" t="n">
        <x:v>0.7304761904761905</x:v>
      </x:c>
      <x:c r="N8" s="6" t="n">
        <x:v>138500</x:v>
      </x:c>
    </x:row>
    <x:row r="9" ht="24" customHeight="1">
      <x:c r="A9" s="2" t="str">
        <x:v>2026-09-22_Night</x:v>
      </x:c>
      <x:c r="B9" s="6" t="str">
        <x:v>ナイト</x:v>
      </x:c>
      <x:c r="C9" s="6" t="n">
        <x:v>213500</x:v>
      </x:c>
      <x:c r="D9" s="6" t="n">
        <x:v>437000</x:v>
      </x:c>
      <x:c r="E9" s="6" t="n">
        <x:f>C9-D9</x:f>
        <x:v>-223500</x:v>
      </x:c>
      <x:c r="F9" s="6" t="n">
        <x:f>F8+E9</x:f>
        <x:v>-534500</x:v>
      </x:c>
      <x:c r="G9" s="6" t="n">
        <x:v>213500</x:v>
      </x:c>
      <x:c r="H9" s="6" t="n">
        <x:v>437000</x:v>
      </x:c>
      <x:c r="I9" s="6" t="n">
        <x:v>97</x:v>
      </x:c>
      <x:c r="J9" s="6" t="n">
        <x:v>0</x:v>
      </x:c>
      <x:c r="K9" s="6" t="n">
        <x:v>0</x:v>
      </x:c>
      <x:c r="L9" s="6" t="n">
        <x:v>9</x:v>
      </x:c>
      <x:c r="M9" s="11" t="n">
        <x:v>0.7957692307692308</x:v>
      </x:c>
      <x:c r="N9" s="6" t="n">
        <x:v>255500</x:v>
      </x:c>
    </x:row>
    <x:row r="10" ht="24" customHeight="1">
      <x:c r="A10" s="2" t="str">
        <x:v>2026-09-23_Day</x:v>
      </x:c>
      <x:c r="B10" s="6" t="str">
        <x:v>デイ</x:v>
      </x:c>
      <x:c r="C10" s="6" t="n">
        <x:v>184000</x:v>
      </x:c>
      <x:c r="D10" s="6" t="n">
        <x:v>227500</x:v>
      </x:c>
      <x:c r="E10" s="6" t="n">
        <x:f>C10-D10</x:f>
        <x:v>-43500</x:v>
      </x:c>
      <x:c r="F10" s="6" t="n">
        <x:f>F9+E10</x:f>
        <x:v>-578000</x:v>
      </x:c>
      <x:c r="G10" s="6" t="n">
        <x:v>184000</x:v>
      </x:c>
      <x:c r="H10" s="6" t="n">
        <x:v>227500</x:v>
      </x:c>
      <x:c r="I10" s="6" t="n">
        <x:v>42</x:v>
      </x:c>
      <x:c r="J10" s="6" t="n">
        <x:v>0</x:v>
      </x:c>
      <x:c r="K10" s="6" t="n">
        <x:v>0</x:v>
      </x:c>
      <x:c r="L10" s="6" t="n">
        <x:v>10</x:v>
      </x:c>
      <x:c r="M10" s="11" t="n">
        <x:v>0.6999206349206349</x:v>
      </x:c>
      <x:c r="N10" s="6" t="n">
        <x:v>108500</x:v>
      </x:c>
    </x:row>
    <x:row r="11" ht="24" customHeight="1">
      <x:c r="A11" s="2" t="str">
        <x:v>2026-09-23_Night</x:v>
      </x:c>
      <x:c r="B11" s="6" t="str">
        <x:v>ナイト</x:v>
      </x:c>
      <x:c r="C11" s="6" t="n">
        <x:v>70000</x:v>
      </x:c>
      <x:c r="D11" s="6" t="n">
        <x:v>160000</x:v>
      </x:c>
      <x:c r="E11" s="6" t="n">
        <x:f>C11-D11</x:f>
        <x:v>-90000</x:v>
      </x:c>
      <x:c r="F11" s="6" t="n">
        <x:f>F10+E11</x:f>
        <x:v>-668000</x:v>
      </x:c>
      <x:c r="G11" s="6" t="n">
        <x:v>70000</x:v>
      </x:c>
      <x:c r="H11" s="6" t="n">
        <x:v>160000</x:v>
      </x:c>
      <x:c r="I11" s="6" t="n">
        <x:v>71</x:v>
      </x:c>
      <x:c r="J11" s="6" t="n">
        <x:v>0</x:v>
      </x:c>
      <x:c r="K11" s="6" t="n">
        <x:v>0</x:v>
      </x:c>
      <x:c r="L11" s="6" t="n">
        <x:v>5</x:v>
      </x:c>
      <x:c r="M11" s="11" t="n">
        <x:v>0.7150427350427351</x:v>
      </x:c>
      <x:c r="N11" s="6" t="n">
        <x:v>105000</x:v>
      </x:c>
    </x:row>
    <x:row r="12" ht="24" customHeight="1">
      <x:c r="A12" s="2" t="str">
        <x:v>2026-09-24_Day</x:v>
      </x:c>
      <x:c r="B12" s="6" t="str">
        <x:v>デイ</x:v>
      </x:c>
      <x:c r="C12" s="6" t="n">
        <x:v>313500</x:v>
      </x:c>
      <x:c r="D12" s="6" t="n">
        <x:v>767000</x:v>
      </x:c>
      <x:c r="E12" s="6" t="n">
        <x:f>C12-D12</x:f>
        <x:v>-453500</x:v>
      </x:c>
      <x:c r="F12" s="6" t="n">
        <x:f>F11+E12</x:f>
        <x:v>-1121500</x:v>
      </x:c>
      <x:c r="G12" s="6" t="n">
        <x:v>313500</x:v>
      </x:c>
      <x:c r="H12" s="6" t="n">
        <x:v>767000</x:v>
      </x:c>
      <x:c r="I12" s="6" t="n">
        <x:v>94</x:v>
      </x:c>
      <x:c r="J12" s="6" t="n">
        <x:v>0</x:v>
      </x:c>
      <x:c r="K12" s="6" t="n">
        <x:v>0</x:v>
      </x:c>
      <x:c r="L12" s="6" t="n">
        <x:v>10</x:v>
      </x:c>
      <x:c r="M12" s="11" t="n">
        <x:v>0.7893253968253968</x:v>
      </x:c>
      <x:c r="N12" s="6" t="n">
        <x:v>541500</x:v>
      </x:c>
    </x:row>
    <x:row r="13" ht="24" customHeight="1">
      <x:c r="A13" s="2" t="str">
        <x:v>2026-09-24_Night</x:v>
      </x:c>
      <x:c r="B13" s="6" t="str">
        <x:v>ナイト</x:v>
      </x:c>
      <x:c r="C13" s="6" t="n">
        <x:v>217000</x:v>
      </x:c>
      <x:c r="D13" s="6" t="n">
        <x:v>489000</x:v>
      </x:c>
      <x:c r="E13" s="6" t="n">
        <x:f>C13-D13</x:f>
        <x:v>-272000</x:v>
      </x:c>
      <x:c r="F13" s="6" t="n">
        <x:f>F12+E13</x:f>
        <x:v>-1393500</x:v>
      </x:c>
      <x:c r="G13" s="6" t="n">
        <x:v>217000</x:v>
      </x:c>
      <x:c r="H13" s="6" t="n">
        <x:v>489000</x:v>
      </x:c>
      <x:c r="I13" s="6" t="n">
        <x:v>107</x:v>
      </x:c>
      <x:c r="J13" s="6" t="n">
        <x:v>0</x:v>
      </x:c>
      <x:c r="K13" s="6" t="n">
        <x:v>0</x:v>
      </x:c>
      <x:c r="L13" s="6" t="n">
        <x:v>10</x:v>
      </x:c>
      <x:c r="M13" s="11" t="n">
        <x:v>0.8023290598290598</x:v>
      </x:c>
      <x:c r="N13" s="6" t="n">
        <x:v>334500</x:v>
      </x:c>
    </x:row>
    <x:row r="14" ht="24" customHeight="1">
      <x:c r="A14" s="2" t="str">
        <x:v>2026-09-25_Day</x:v>
      </x:c>
      <x:c r="B14" s="6" t="str">
        <x:v>デイ</x:v>
      </x:c>
      <x:c r="C14" s="6" t="n">
        <x:v>305500</x:v>
      </x:c>
      <x:c r="D14" s="6" t="n">
        <x:v>416500</x:v>
      </x:c>
      <x:c r="E14" s="6" t="n">
        <x:f>C14-D14</x:f>
        <x:v>-111000</x:v>
      </x:c>
      <x:c r="F14" s="6" t="n">
        <x:f>F13+E14</x:f>
        <x:v>-1504500</x:v>
      </x:c>
      <x:c r="G14" s="6" t="n">
        <x:v>305500</x:v>
      </x:c>
      <x:c r="H14" s="6" t="n">
        <x:v>416500</x:v>
      </x:c>
      <x:c r="I14" s="6" t="n">
        <x:v>80</x:v>
      </x:c>
      <x:c r="J14" s="6" t="n">
        <x:v>0</x:v>
      </x:c>
      <x:c r="K14" s="6" t="n">
        <x:v>0</x:v>
      </x:c>
      <x:c r="L14" s="6" t="n">
        <x:v>10</x:v>
      </x:c>
      <x:c r="M14" s="11" t="n">
        <x:v>0.8434920634920635</x:v>
      </x:c>
      <x:c r="N14" s="6" t="n">
        <x:v>177500</x:v>
      </x:c>
    </x:row>
    <x:row r="15" ht="24" customHeight="1">
      <x:c r="A15" s="2" t="str">
        <x:v>2026-09-25_Night</x:v>
      </x:c>
      <x:c r="B15" s="6" t="str">
        <x:v>ナイト</x:v>
      </x:c>
      <x:c r="C15" s="6" t="n">
        <x:v>227000</x:v>
      </x:c>
      <x:c r="D15" s="6" t="n">
        <x:v>320000</x:v>
      </x:c>
      <x:c r="E15" s="6" t="n">
        <x:f>C15-D15</x:f>
        <x:v>-93000</x:v>
      </x:c>
      <x:c r="F15" s="6" t="n">
        <x:f>F14+E15</x:f>
        <x:v>-1597500</x:v>
      </x:c>
      <x:c r="G15" s="6" t="n">
        <x:v>227000</x:v>
      </x:c>
      <x:c r="H15" s="6" t="n">
        <x:v>320000</x:v>
      </x:c>
      <x:c r="I15" s="6" t="n">
        <x:v>98</x:v>
      </x:c>
      <x:c r="J15" s="6" t="n">
        <x:v>0</x:v>
      </x:c>
      <x:c r="K15" s="6" t="n">
        <x:v>0</x:v>
      </x:c>
      <x:c r="L15" s="6" t="n">
        <x:v>10</x:v>
      </x:c>
      <x:c r="M15" s="11" t="n">
        <x:v>0.7847008547008547</x:v>
      </x:c>
      <x:c r="N15" s="6" t="n">
        <x:v>178000</x:v>
      </x:c>
    </x:row>
    <x:row r="16" ht="24" customHeight="1">
      <x:c r="A16" s="2" t="str">
        <x:v>2026-09-28_Day</x:v>
      </x:c>
      <x:c r="B16" s="6" t="str">
        <x:v>デイ</x:v>
      </x:c>
      <x:c r="C16" s="6" t="n">
        <x:v>165500</x:v>
      </x:c>
      <x:c r="D16" s="6" t="n">
        <x:v>442500</x:v>
      </x:c>
      <x:c r="E16" s="6" t="n">
        <x:f>C16-D16</x:f>
        <x:v>-277000</x:v>
      </x:c>
      <x:c r="F16" s="6" t="n">
        <x:f>F15+E16</x:f>
        <x:v>-1874500</x:v>
      </x:c>
      <x:c r="G16" s="6" t="n">
        <x:v>165500</x:v>
      </x:c>
      <x:c r="H16" s="6" t="n">
        <x:v>442500</x:v>
      </x:c>
      <x:c r="I16" s="6" t="n">
        <x:v>75</x:v>
      </x:c>
      <x:c r="J16" s="6" t="n">
        <x:v>0</x:v>
      </x:c>
      <x:c r="K16" s="6" t="n">
        <x:v>0</x:v>
      </x:c>
      <x:c r="L16" s="6" t="n">
        <x:v>10</x:v>
      </x:c>
      <x:c r="M16" s="11" t="n">
        <x:v>0.7678571428571429</x:v>
      </x:c>
      <x:c r="N16" s="6" t="n">
        <x:v>402500</x:v>
      </x:c>
    </x:row>
    <x:row r="17" ht="24" customHeight="1">
      <x:c r="A17" s="2" t="str">
        <x:v>2026-09-28_Night</x:v>
      </x:c>
      <x:c r="B17" s="6" t="str">
        <x:v>ナイト</x:v>
      </x:c>
      <x:c r="C17" s="6" t="n">
        <x:v>185000</x:v>
      </x:c>
      <x:c r="D17" s="6" t="n">
        <x:v>509500</x:v>
      </x:c>
      <x:c r="E17" s="6" t="n">
        <x:f>C17-D17</x:f>
        <x:v>-324500</x:v>
      </x:c>
      <x:c r="F17" s="6" t="n">
        <x:f>F16+E17</x:f>
        <x:v>-2199000</x:v>
      </x:c>
      <x:c r="G17" s="6" t="n">
        <x:v>185000</x:v>
      </x:c>
      <x:c r="H17" s="6" t="n">
        <x:v>509500</x:v>
      </x:c>
      <x:c r="I17" s="6" t="n">
        <x:v>110</x:v>
      </x:c>
      <x:c r="J17" s="6" t="n">
        <x:v>0</x:v>
      </x:c>
      <x:c r="K17" s="6" t="n">
        <x:v>0</x:v>
      </x:c>
      <x:c r="L17" s="6" t="n">
        <x:v>10</x:v>
      </x:c>
      <x:c r="M17" s="11" t="n">
        <x:v>0.7625641025641026</x:v>
      </x:c>
      <x:c r="N17" s="6" t="n">
        <x:v>342000</x:v>
      </x:c>
    </x:row>
    <x:row r="18" ht="24" customHeight="1">
      <x:c r="A18" s="2" t="str">
        <x:v>2026-09-29_Day</x:v>
      </x:c>
      <x:c r="B18" s="6" t="str">
        <x:v>デイ</x:v>
      </x:c>
      <x:c r="C18" s="6" t="n">
        <x:v>296500</x:v>
      </x:c>
      <x:c r="D18" s="6" t="n">
        <x:v>403000</x:v>
      </x:c>
      <x:c r="E18" s="6" t="n">
        <x:f>C18-D18</x:f>
        <x:v>-106500</x:v>
      </x:c>
      <x:c r="F18" s="6" t="n">
        <x:f>F17+E18</x:f>
        <x:v>-2305500</x:v>
      </x:c>
      <x:c r="G18" s="6" t="n">
        <x:v>296500</x:v>
      </x:c>
      <x:c r="H18" s="6" t="n">
        <x:v>403000</x:v>
      </x:c>
      <x:c r="I18" s="6" t="n">
        <x:v>88</x:v>
      </x:c>
      <x:c r="J18" s="6" t="n">
        <x:v>0</x:v>
      </x:c>
      <x:c r="K18" s="6" t="n">
        <x:v>0</x:v>
      </x:c>
      <x:c r="L18" s="6" t="n">
        <x:v>10</x:v>
      </x:c>
      <x:c r="M18" s="11" t="n">
        <x:v>0.7854761904761904</x:v>
      </x:c>
      <x:c r="N18" s="6" t="n">
        <x:v>180500</x:v>
      </x:c>
    </x:row>
    <x:row r="19" ht="24" customHeight="1">
      <x:c r="A19" s="2" t="str">
        <x:v>2026-09-29_Night</x:v>
      </x:c>
      <x:c r="B19" s="6" t="str">
        <x:v>ナイト</x:v>
      </x:c>
      <x:c r="C19" s="6" t="n">
        <x:v>108000</x:v>
      </x:c>
      <x:c r="D19" s="6" t="n">
        <x:v>277500</x:v>
      </x:c>
      <x:c r="E19" s="6" t="n">
        <x:f>C19-D19</x:f>
        <x:v>-169500</x:v>
      </x:c>
      <x:c r="F19" s="6" t="n">
        <x:f>F18+E19</x:f>
        <x:v>-2475000</x:v>
      </x:c>
      <x:c r="G19" s="6" t="n">
        <x:v>108000</x:v>
      </x:c>
      <x:c r="H19" s="6" t="n">
        <x:v>277500</x:v>
      </x:c>
      <x:c r="I19" s="6" t="n">
        <x:v>93</x:v>
      </x:c>
      <x:c r="J19" s="6" t="n">
        <x:v>0</x:v>
      </x:c>
      <x:c r="K19" s="6" t="n">
        <x:v>0</x:v>
      </x:c>
      <x:c r="L19" s="6" t="n">
        <x:v>9</x:v>
      </x:c>
      <x:c r="M19" s="11" t="n">
        <x:v>0.8014529914529914</x:v>
      </x:c>
      <x:c r="N19" s="6" t="n">
        <x:v>176500</x:v>
      </x:c>
    </x:row>
    <x:row r="20" ht="24" customHeight="1">
      <x:c r="A20" s="2" t="str">
        <x:v>2026-09-30_Day</x:v>
      </x:c>
      <x:c r="B20" s="6" t="str">
        <x:v>デイ</x:v>
      </x:c>
      <x:c r="C20" s="6" t="n">
        <x:v>332500</x:v>
      </x:c>
      <x:c r="D20" s="6" t="n">
        <x:v>370000</x:v>
      </x:c>
      <x:c r="E20" s="6" t="n">
        <x:f>C20-D20</x:f>
        <x:v>-37500</x:v>
      </x:c>
      <x:c r="F20" s="6" t="n">
        <x:f>F19+E20</x:f>
        <x:v>-2512500</x:v>
      </x:c>
      <x:c r="G20" s="6" t="n">
        <x:v>332500</x:v>
      </x:c>
      <x:c r="H20" s="6" t="n">
        <x:v>370000</x:v>
      </x:c>
      <x:c r="I20" s="6" t="n">
        <x:v>69</x:v>
      </x:c>
      <x:c r="J20" s="6" t="n">
        <x:v>0</x:v>
      </x:c>
      <x:c r="K20" s="6" t="n">
        <x:v>0</x:v>
      </x:c>
      <x:c r="L20" s="6" t="n">
        <x:v>10</x:v>
      </x:c>
      <x:c r="M20" s="11" t="n">
        <x:v>0.7831349206349206</x:v>
      </x:c>
      <x:c r="N20" s="6" t="n">
        <x:v>123500</x:v>
      </x:c>
    </x:row>
    <x:row r="21" ht="24" customHeight="1">
      <x:c r="A21" s="2" t="str">
        <x:v>2026-09-30_Night</x:v>
      </x:c>
      <x:c r="B21" s="6" t="str">
        <x:v>ナイト</x:v>
      </x:c>
      <x:c r="C21" s="6" t="n">
        <x:v>214500</x:v>
      </x:c>
      <x:c r="D21" s="6" t="n">
        <x:v>604500</x:v>
      </x:c>
      <x:c r="E21" s="6" t="n">
        <x:f>C21-D21</x:f>
        <x:v>-390000</x:v>
      </x:c>
      <x:c r="F21" s="6" t="n">
        <x:f>F20+E21</x:f>
        <x:v>-2902500</x:v>
      </x:c>
      <x:c r="G21" s="6" t="n">
        <x:v>214500</x:v>
      </x:c>
      <x:c r="H21" s="6" t="n">
        <x:v>604500</x:v>
      </x:c>
      <x:c r="I21" s="6" t="n">
        <x:v>119</x:v>
      </x:c>
      <x:c r="J21" s="6" t="n">
        <x:v>0</x:v>
      </x:c>
      <x:c r="K21" s="6" t="n">
        <x:v>0</x:v>
      </x:c>
      <x:c r="L21" s="6" t="n">
        <x:v>10</x:v>
      </x:c>
      <x:c r="M21" s="11" t="n">
        <x:v>0.7764957264957265</x:v>
      </x:c>
      <x:c r="N21" s="6" t="n">
        <x:v>394500</x:v>
      </x:c>
    </x:row>
    <x:row r="22" ht="24" customHeight="1">
      <x:c r="A22" s="2" t="str">
        <x:v>2026-10-01_Day</x:v>
      </x:c>
      <x:c r="B22" s="6" t="str">
        <x:v>デイ</x:v>
      </x:c>
      <x:c r="C22" s="6" t="n">
        <x:v>262000</x:v>
      </x:c>
      <x:c r="D22" s="6" t="n">
        <x:v>568000</x:v>
      </x:c>
      <x:c r="E22" s="6" t="n">
        <x:f>C22-D22</x:f>
        <x:v>-306000</x:v>
      </x:c>
      <x:c r="F22" s="6" t="n">
        <x:f>F21+E22</x:f>
        <x:v>-3208500</x:v>
      </x:c>
      <x:c r="G22" s="6" t="n">
        <x:v>262000</x:v>
      </x:c>
      <x:c r="H22" s="6" t="n">
        <x:v>568000</x:v>
      </x:c>
      <x:c r="I22" s="6" t="n">
        <x:v>78</x:v>
      </x:c>
      <x:c r="J22" s="6" t="n">
        <x:v>0</x:v>
      </x:c>
      <x:c r="K22" s="6" t="n">
        <x:v>0</x:v>
      </x:c>
      <x:c r="L22" s="6" t="n">
        <x:v>10</x:v>
      </x:c>
      <x:c r="M22" s="11" t="n">
        <x:v>0.8091269841269841</x:v>
      </x:c>
      <x:c r="N22" s="6" t="n">
        <x:v>309000</x:v>
      </x:c>
    </x:row>
    <x:row r="23" ht="24" customHeight="1">
      <x:c r="A23" s="2" t="str">
        <x:v>2026-10-01_Night</x:v>
      </x:c>
      <x:c r="B23" s="6" t="str">
        <x:v>ナイト</x:v>
      </x:c>
      <x:c r="C23" s="6" t="n">
        <x:v>345000</x:v>
      </x:c>
      <x:c r="D23" s="6" t="n">
        <x:v>514000</x:v>
      </x:c>
      <x:c r="E23" s="6" t="n">
        <x:f>C23-D23</x:f>
        <x:v>-169000</x:v>
      </x:c>
      <x:c r="F23" s="6" t="n">
        <x:f>F22+E23</x:f>
        <x:v>-3377500</x:v>
      </x:c>
      <x:c r="G23" s="6" t="n">
        <x:v>345000</x:v>
      </x:c>
      <x:c r="H23" s="6" t="n">
        <x:v>514000</x:v>
      </x:c>
      <x:c r="I23" s="6" t="n">
        <x:v>114</x:v>
      </x:c>
      <x:c r="J23" s="6" t="n">
        <x:v>0</x:v>
      </x:c>
      <x:c r="K23" s="6" t="n">
        <x:v>0</x:v>
      </x:c>
      <x:c r="L23" s="6" t="n">
        <x:v>10</x:v>
      </x:c>
      <x:c r="M23" s="11" t="n">
        <x:v>0.8027136752136752</x:v>
      </x:c>
      <x:c r="N23" s="6" t="n">
        <x:v>259500</x:v>
      </x:c>
    </x:row>
    <x:row r="24" ht="24" customHeight="1">
      <x:c r="A24" s="2" t="str">
        <x:v>2026-10-02_Day</x:v>
      </x:c>
      <x:c r="B24" s="6" t="str">
        <x:v>デイ</x:v>
      </x:c>
      <x:c r="C24" s="6" t="n">
        <x:v>318500</x:v>
      </x:c>
      <x:c r="D24" s="6" t="n">
        <x:v>399500</x:v>
      </x:c>
      <x:c r="E24" s="6" t="n">
        <x:f>C24-D24</x:f>
        <x:v>-81000</x:v>
      </x:c>
      <x:c r="F24" s="6" t="n">
        <x:f>F23+E24</x:f>
        <x:v>-3458500</x:v>
      </x:c>
      <x:c r="G24" s="6" t="n">
        <x:v>318500</x:v>
      </x:c>
      <x:c r="H24" s="6" t="n">
        <x:v>399500</x:v>
      </x:c>
      <x:c r="I24" s="6" t="n">
        <x:v>82</x:v>
      </x:c>
      <x:c r="J24" s="6" t="n">
        <x:v>0</x:v>
      </x:c>
      <x:c r="K24" s="6" t="n">
        <x:v>0</x:v>
      </x:c>
      <x:c r="L24" s="6" t="n">
        <x:v>10</x:v>
      </x:c>
      <x:c r="M24" s="11" t="n">
        <x:v>0.8145238095238095</x:v>
      </x:c>
      <x:c r="N24" s="6" t="n">
        <x:v>143500</x:v>
      </x:c>
    </x:row>
    <x:row r="25" ht="24" customHeight="1">
      <x:c r="A25" s="2" t="str">
        <x:v>2026-10-02_Night</x:v>
      </x:c>
      <x:c r="B25" s="6" t="str">
        <x:v>ナイト</x:v>
      </x:c>
      <x:c r="C25" s="6" t="n">
        <x:v>330000</x:v>
      </x:c>
      <x:c r="D25" s="6" t="n">
        <x:v>712500</x:v>
      </x:c>
      <x:c r="E25" s="6" t="n">
        <x:f>C25-D25</x:f>
        <x:v>-382500</x:v>
      </x:c>
      <x:c r="F25" s="6" t="n">
        <x:f>F24+E25</x:f>
        <x:v>-3841000</x:v>
      </x:c>
      <x:c r="G25" s="6" t="n">
        <x:v>330000</x:v>
      </x:c>
      <x:c r="H25" s="6" t="n">
        <x:v>712500</x:v>
      </x:c>
      <x:c r="I25" s="6" t="n">
        <x:v>108</x:v>
      </x:c>
      <x:c r="J25" s="6" t="n">
        <x:v>0</x:v>
      </x:c>
      <x:c r="K25" s="6" t="n">
        <x:v>0</x:v>
      </x:c>
      <x:c r="L25" s="6" t="n">
        <x:v>10</x:v>
      </x:c>
      <x:c r="M25" s="11" t="n">
        <x:v>0.7039316239316239</x:v>
      </x:c>
      <x:c r="N25" s="6" t="n">
        <x:v>475500</x:v>
      </x:c>
    </x:row>
    <x:row r="26" ht="24" customHeight="1">
      <x:c r="A26" s="2" t="str">
        <x:v>2026-10-05_Day</x:v>
      </x:c>
      <x:c r="B26" s="6" t="str">
        <x:v>デイ</x:v>
      </x:c>
      <x:c r="C26" s="6" t="n">
        <x:v>128000</x:v>
      </x:c>
      <x:c r="D26" s="6" t="n">
        <x:v>389500</x:v>
      </x:c>
      <x:c r="E26" s="6" t="n">
        <x:f>C26-D26</x:f>
        <x:v>-261500</x:v>
      </x:c>
      <x:c r="F26" s="6" t="n">
        <x:f>F25+E26</x:f>
        <x:v>-4102500</x:v>
      </x:c>
      <x:c r="G26" s="6" t="n">
        <x:v>128000</x:v>
      </x:c>
      <x:c r="H26" s="6" t="n">
        <x:v>389500</x:v>
      </x:c>
      <x:c r="I26" s="6" t="n">
        <x:v>76</x:v>
      </x:c>
      <x:c r="J26" s="6" t="n">
        <x:v>0</x:v>
      </x:c>
      <x:c r="K26" s="6" t="n">
        <x:v>0</x:v>
      </x:c>
      <x:c r="L26" s="6" t="n">
        <x:v>10</x:v>
      </x:c>
      <x:c r="M26" s="11" t="n">
        <x:v>0.7596031746031746</x:v>
      </x:c>
      <x:c r="N26" s="6" t="n">
        <x:v>301500</x:v>
      </x:c>
    </x:row>
    <x:row r="27" ht="24" customHeight="1">
      <x:c r="A27" s="2" t="str">
        <x:v>2026-10-05_Night</x:v>
      </x:c>
      <x:c r="B27" s="6" t="str">
        <x:v>ナイト</x:v>
      </x:c>
      <x:c r="C27" s="6" t="n">
        <x:v>203000</x:v>
      </x:c>
      <x:c r="D27" s="6" t="n">
        <x:v>264500</x:v>
      </x:c>
      <x:c r="E27" s="6" t="n">
        <x:f>C27-D27</x:f>
        <x:v>-61500</x:v>
      </x:c>
      <x:c r="F27" s="6" t="n">
        <x:f>F26+E27</x:f>
        <x:v>-4164000</x:v>
      </x:c>
      <x:c r="G27" s="6" t="n">
        <x:v>203000</x:v>
      </x:c>
      <x:c r="H27" s="6" t="n">
        <x:v>264500</x:v>
      </x:c>
      <x:c r="I27" s="6" t="n">
        <x:v>76</x:v>
      </x:c>
      <x:c r="J27" s="6" t="n">
        <x:v>0</x:v>
      </x:c>
      <x:c r="K27" s="6" t="n">
        <x:v>0</x:v>
      </x:c>
      <x:c r="L27" s="6" t="n">
        <x:v>9</x:v>
      </x:c>
      <x:c r="M27" s="11" t="n">
        <x:v>0.7458974358974358</x:v>
      </x:c>
      <x:c r="N27" s="6" t="n">
        <x:v>138000</x:v>
      </x:c>
    </x:row>
    <x:row r="28" ht="24" customHeight="1">
      <x:c r="A28" s="2" t="str">
        <x:v>2026-10-06_Day</x:v>
      </x:c>
      <x:c r="B28" s="6" t="str">
        <x:v>デイ</x:v>
      </x:c>
      <x:c r="C28" s="6" t="n">
        <x:v>57500</x:v>
      </x:c>
      <x:c r="D28" s="6" t="n">
        <x:v>235000</x:v>
      </x:c>
      <x:c r="E28" s="6" t="n">
        <x:f>C28-D28</x:f>
        <x:v>-177500</x:v>
      </x:c>
      <x:c r="F28" s="6" t="n">
        <x:f>F27+E28</x:f>
        <x:v>-4341500</x:v>
      </x:c>
      <x:c r="G28" s="6" t="n">
        <x:v>57500</x:v>
      </x:c>
      <x:c r="H28" s="6" t="n">
        <x:v>235000</x:v>
      </x:c>
      <x:c r="I28" s="6" t="n">
        <x:v>53</x:v>
      </x:c>
      <x:c r="J28" s="6" t="n">
        <x:v>0</x:v>
      </x:c>
      <x:c r="K28" s="6" t="n">
        <x:v>0</x:v>
      </x:c>
      <x:c r="L28" s="6" t="n">
        <x:v>9</x:v>
      </x:c>
      <x:c r="M28" s="11" t="n">
        <x:v>0.7842857142857143</x:v>
      </x:c>
      <x:c r="N28" s="6" t="n">
        <x:v>212500</x:v>
      </x:c>
    </x:row>
    <x:row r="29" ht="24" customHeight="1">
      <x:c r="A29" s="2" t="str">
        <x:v>2026-10-06_Night</x:v>
      </x:c>
      <x:c r="B29" s="6" t="str">
        <x:v>ナイト</x:v>
      </x:c>
      <x:c r="C29" s="6" t="n">
        <x:v>65500</x:v>
      </x:c>
      <x:c r="D29" s="6" t="n">
        <x:v>214000</x:v>
      </x:c>
      <x:c r="E29" s="6" t="n">
        <x:f>C29-D29</x:f>
        <x:v>-148500</x:v>
      </x:c>
      <x:c r="F29" s="6" t="n">
        <x:f>F28+E29</x:f>
        <x:v>-4490000</x:v>
      </x:c>
      <x:c r="G29" s="6" t="n">
        <x:v>65500</x:v>
      </x:c>
      <x:c r="H29" s="6" t="n">
        <x:v>214000</x:v>
      </x:c>
      <x:c r="I29" s="6" t="n">
        <x:v>67</x:v>
      </x:c>
      <x:c r="J29" s="6" t="n">
        <x:v>0</x:v>
      </x:c>
      <x:c r="K29" s="6" t="n">
        <x:v>0</x:v>
      </x:c>
      <x:c r="L29" s="6" t="n">
        <x:v>9</x:v>
      </x:c>
      <x:c r="M29" s="11" t="n">
        <x:v>0.6410683760683761</x:v>
      </x:c>
      <x:c r="N29" s="6" t="n">
        <x:v>160500</x:v>
      </x:c>
    </x:row>
    <x:row r="30" ht="24" customHeight="1">
      <x:c r="A30" s="2" t="str">
        <x:v>2026-10-07_Day</x:v>
      </x:c>
      <x:c r="B30" s="6" t="str">
        <x:v>デイ</x:v>
      </x:c>
      <x:c r="C30" s="6" t="n">
        <x:v>230500</x:v>
      </x:c>
      <x:c r="D30" s="6" t="n">
        <x:v>225500</x:v>
      </x:c>
      <x:c r="E30" s="6" t="n">
        <x:f>C30-D30</x:f>
        <x:v>5000</x:v>
      </x:c>
      <x:c r="F30" s="6" t="n">
        <x:f>F29+E30</x:f>
        <x:v>-4485000</x:v>
      </x:c>
      <x:c r="G30" s="6" t="n">
        <x:v>230500</x:v>
      </x:c>
      <x:c r="H30" s="6" t="n">
        <x:v>225500</x:v>
      </x:c>
      <x:c r="I30" s="6" t="n">
        <x:v>57</x:v>
      </x:c>
      <x:c r="J30" s="6" t="n">
        <x:v>0</x:v>
      </x:c>
      <x:c r="K30" s="6" t="n">
        <x:v>0</x:v>
      </x:c>
      <x:c r="L30" s="6" t="n">
        <x:v>10</x:v>
      </x:c>
      <x:c r="M30" s="11" t="n">
        <x:v>0.8336904761904762</x:v>
      </x:c>
      <x:c r="N30" s="6" t="n">
        <x:v>137500</x:v>
      </x:c>
    </x:row>
    <x:row r="31" ht="24" customHeight="1">
      <x:c r="A31" s="2" t="str">
        <x:v>2026-10-07_Night</x:v>
      </x:c>
      <x:c r="B31" s="6" t="str">
        <x:v>ナイト</x:v>
      </x:c>
      <x:c r="C31" s="6" t="n">
        <x:v>79500</x:v>
      </x:c>
      <x:c r="D31" s="6" t="n">
        <x:v>233500</x:v>
      </x:c>
      <x:c r="E31" s="6" t="n">
        <x:f>C31-D31</x:f>
        <x:v>-154000</x:v>
      </x:c>
      <x:c r="F31" s="6" t="n">
        <x:f>F30+E31</x:f>
        <x:v>-4639000</x:v>
      </x:c>
      <x:c r="G31" s="6" t="n">
        <x:v>79500</x:v>
      </x:c>
      <x:c r="H31" s="6" t="n">
        <x:v>233500</x:v>
      </x:c>
      <x:c r="I31" s="6" t="n">
        <x:v>92</x:v>
      </x:c>
      <x:c r="J31" s="6" t="n">
        <x:v>0</x:v>
      </x:c>
      <x:c r="K31" s="6" t="n">
        <x:v>0</x:v>
      </x:c>
      <x:c r="L31" s="6" t="n">
        <x:v>8</x:v>
      </x:c>
      <x:c r="M31" s="11" t="n">
        <x:v>0.7689957264957265</x:v>
      </x:c>
      <x:c r="N31" s="6" t="n">
        <x:v>161000</x:v>
      </x:c>
    </x:row>
    <x:row r="32" ht="24" customHeight="1">
      <x:c r="A32" s="2" t="str">
        <x:v>2026-10-08_Day</x:v>
      </x:c>
      <x:c r="B32" s="6" t="str">
        <x:v>デイ</x:v>
      </x:c>
      <x:c r="C32" s="6" t="n">
        <x:v>328000</x:v>
      </x:c>
      <x:c r="D32" s="6" t="n">
        <x:v>238500</x:v>
      </x:c>
      <x:c r="E32" s="6" t="n">
        <x:f>C32-D32</x:f>
        <x:v>89500</x:v>
      </x:c>
      <x:c r="F32" s="6" t="n">
        <x:f>F31+E32</x:f>
        <x:v>-4549500</x:v>
      </x:c>
      <x:c r="G32" s="6" t="n">
        <x:v>328000</x:v>
      </x:c>
      <x:c r="H32" s="6" t="n">
        <x:v>238500</x:v>
      </x:c>
      <x:c r="I32" s="6" t="n">
        <x:v>65</x:v>
      </x:c>
      <x:c r="J32" s="6" t="n">
        <x:v>0</x:v>
      </x:c>
      <x:c r="K32" s="6" t="n">
        <x:v>0</x:v>
      </x:c>
      <x:c r="L32" s="6" t="n">
        <x:v>10</x:v>
      </x:c>
      <x:c r="M32" s="11" t="n">
        <x:v>0.7727777777777778</x:v>
      </x:c>
      <x:c r="N32" s="6" t="n">
        <x:v>118000</x:v>
      </x:c>
    </x:row>
    <x:row r="33" ht="24" customHeight="1">
      <x:c r="A33" s="2" t="str">
        <x:v>2026-10-08_Night</x:v>
      </x:c>
      <x:c r="B33" s="6" t="str">
        <x:v>ナイト</x:v>
      </x:c>
      <x:c r="C33" s="6" t="n">
        <x:v>229500</x:v>
      </x:c>
      <x:c r="D33" s="6" t="n">
        <x:v>510500</x:v>
      </x:c>
      <x:c r="E33" s="6" t="n">
        <x:f>C33-D33</x:f>
        <x:v>-281000</x:v>
      </x:c>
      <x:c r="F33" s="6" t="n">
        <x:f>F32+E33</x:f>
        <x:v>-4830500</x:v>
      </x:c>
      <x:c r="G33" s="6" t="n">
        <x:v>229500</x:v>
      </x:c>
      <x:c r="H33" s="6" t="n">
        <x:v>510500</x:v>
      </x:c>
      <x:c r="I33" s="6" t="n">
        <x:v>108</x:v>
      </x:c>
      <x:c r="J33" s="6" t="n">
        <x:v>0</x:v>
      </x:c>
      <x:c r="K33" s="6" t="n">
        <x:v>0</x:v>
      </x:c>
      <x:c r="L33" s="6" t="n">
        <x:v>10</x:v>
      </x:c>
      <x:c r="M33" s="11" t="n">
        <x:v>0.7989957264957265</x:v>
      </x:c>
      <x:c r="N33" s="6" t="n">
        <x:v>321500</x:v>
      </x:c>
    </x:row>
    <x:row r="34" ht="24" customHeight="1">
      <x:c r="A34" s="2" t="str">
        <x:v>2026-10-09_Day</x:v>
      </x:c>
      <x:c r="B34" s="6" t="str">
        <x:v>デイ</x:v>
      </x:c>
      <x:c r="C34" s="6" t="n">
        <x:v>99500</x:v>
      </x:c>
      <x:c r="D34" s="6" t="n">
        <x:v>524500</x:v>
      </x:c>
      <x:c r="E34" s="6" t="n">
        <x:f>C34-D34</x:f>
        <x:v>-425000</x:v>
      </x:c>
      <x:c r="F34" s="6" t="n">
        <x:f>F33+E34</x:f>
        <x:v>-5255500</x:v>
      </x:c>
      <x:c r="G34" s="6" t="n">
        <x:v>99500</x:v>
      </x:c>
      <x:c r="H34" s="6" t="n">
        <x:v>524500</x:v>
      </x:c>
      <x:c r="I34" s="6" t="n">
        <x:v>76</x:v>
      </x:c>
      <x:c r="J34" s="6" t="n">
        <x:v>0</x:v>
      </x:c>
      <x:c r="K34" s="6" t="n">
        <x:v>0</x:v>
      </x:c>
      <x:c r="L34" s="6" t="n">
        <x:v>10</x:v>
      </x:c>
      <x:c r="M34" s="11" t="n">
        <x:v>0.7848809523809523</x:v>
      </x:c>
      <x:c r="N34" s="6" t="n">
        <x:v>426000</x:v>
      </x:c>
    </x:row>
    <x:row r="35" ht="24" customHeight="1">
      <x:c r="A35" s="2" t="str">
        <x:v>2026-10-09_Night</x:v>
      </x:c>
      <x:c r="B35" s="6" t="str">
        <x:v>ナイト</x:v>
      </x:c>
      <x:c r="C35" s="6" t="n">
        <x:v>37000</x:v>
      </x:c>
      <x:c r="D35" s="6" t="n">
        <x:v>167500</x:v>
      </x:c>
      <x:c r="E35" s="6" t="n">
        <x:f>C35-D35</x:f>
        <x:v>-130500</x:v>
      </x:c>
      <x:c r="F35" s="6" t="n">
        <x:f>F34+E35</x:f>
        <x:v>-5386000</x:v>
      </x:c>
      <x:c r="G35" s="6" t="n">
        <x:v>37000</x:v>
      </x:c>
      <x:c r="H35" s="6" t="n">
        <x:v>167500</x:v>
      </x:c>
      <x:c r="I35" s="6" t="n">
        <x:v>76</x:v>
      </x:c>
      <x:c r="J35" s="6" t="n">
        <x:v>0</x:v>
      </x:c>
      <x:c r="K35" s="6" t="n">
        <x:v>0</x:v>
      </x:c>
      <x:c r="L35" s="6" t="n">
        <x:v>6</x:v>
      </x:c>
      <x:c r="M35" s="11" t="n">
        <x:v>0.6736965811965812</x:v>
      </x:c>
      <x:c r="N35" s="6" t="n">
        <x:v>134500</x:v>
      </x:c>
    </x:row>
    <x:row r="36" ht="24" customHeight="1">
      <x:c r="A36" s="2" t="str">
        <x:v>2026-10-12_Day</x:v>
      </x:c>
      <x:c r="B36" s="6" t="str">
        <x:v>デイ</x:v>
      </x:c>
      <x:c r="C36" s="6" t="n">
        <x:v>15000</x:v>
      </x:c>
      <x:c r="D36" s="6" t="n">
        <x:v>126000</x:v>
      </x:c>
      <x:c r="E36" s="6" t="n">
        <x:f>C36-D36</x:f>
        <x:v>-111000</x:v>
      </x:c>
      <x:c r="F36" s="6" t="n">
        <x:f>F35+E36</x:f>
        <x:v>-5497000</x:v>
      </x:c>
      <x:c r="G36" s="6" t="n">
        <x:v>15000</x:v>
      </x:c>
      <x:c r="H36" s="6" t="n">
        <x:v>126000</x:v>
      </x:c>
      <x:c r="I36" s="6" t="n">
        <x:v>36</x:v>
      </x:c>
      <x:c r="J36" s="6" t="n">
        <x:v>0</x:v>
      </x:c>
      <x:c r="K36" s="6" t="n">
        <x:v>0</x:v>
      </x:c>
      <x:c r="L36" s="6" t="n">
        <x:v>10</x:v>
      </x:c>
      <x:c r="M36" s="11" t="n">
        <x:v>0.6386111111111111</x:v>
      </x:c>
      <x:c r="N36" s="6" t="n">
        <x:v>134000</x:v>
      </x:c>
    </x:row>
    <x:row r="37" ht="24" customHeight="1">
      <x:c r="A37" s="2" t="str">
        <x:v>2026-10-12_Night</x:v>
      </x:c>
      <x:c r="B37" s="6" t="str">
        <x:v>ナイト</x:v>
      </x:c>
      <x:c r="C37" s="6" t="n">
        <x:v>43000</x:v>
      </x:c>
      <x:c r="D37" s="6" t="n">
        <x:v>119500</x:v>
      </x:c>
      <x:c r="E37" s="6" t="n">
        <x:f>C37-D37</x:f>
        <x:v>-76500</x:v>
      </x:c>
      <x:c r="F37" s="6" t="n">
        <x:f>F36+E37</x:f>
        <x:v>-5573500</x:v>
      </x:c>
      <x:c r="G37" s="6" t="n">
        <x:v>43000</x:v>
      </x:c>
      <x:c r="H37" s="6" t="n">
        <x:v>119500</x:v>
      </x:c>
      <x:c r="I37" s="6" t="n">
        <x:v>55</x:v>
      </x:c>
      <x:c r="J37" s="6" t="n">
        <x:v>0</x:v>
      </x:c>
      <x:c r="K37" s="6" t="n">
        <x:v>0</x:v>
      </x:c>
      <x:c r="L37" s="6" t="n">
        <x:v>5</x:v>
      </x:c>
      <x:c r="M37" s="11" t="n">
        <x:v>0.8029059829059829</x:v>
      </x:c>
      <x:c r="N37" s="6" t="n">
        <x:v>82500</x:v>
      </x:c>
    </x:row>
    <x:row r="38" ht="24" customHeight="1">
      <x:c r="A38" s="2" t="str">
        <x:v>2026-10-13_Day</x:v>
      </x:c>
      <x:c r="B38" s="6" t="str">
        <x:v>デイ</x:v>
      </x:c>
      <x:c r="C38" s="6" t="n">
        <x:v>203500</x:v>
      </x:c>
      <x:c r="D38" s="6" t="n">
        <x:v>658500</x:v>
      </x:c>
      <x:c r="E38" s="6" t="n">
        <x:f>C38-D38</x:f>
        <x:v>-455000</x:v>
      </x:c>
      <x:c r="F38" s="6" t="n">
        <x:f>F37+E38</x:f>
        <x:v>-6028500</x:v>
      </x:c>
      <x:c r="G38" s="6" t="n">
        <x:v>203500</x:v>
      </x:c>
      <x:c r="H38" s="6" t="n">
        <x:v>658500</x:v>
      </x:c>
      <x:c r="I38" s="6" t="n">
        <x:v>92</x:v>
      </x:c>
      <x:c r="J38" s="6" t="n">
        <x:v>0</x:v>
      </x:c>
      <x:c r="K38" s="6" t="n">
        <x:v>0</x:v>
      </x:c>
      <x:c r="L38" s="6" t="n">
        <x:v>10</x:v>
      </x:c>
      <x:c r="M38" s="11" t="n">
        <x:v>0.7244047619047619</x:v>
      </x:c>
      <x:c r="N38" s="6" t="n">
        <x:v>472000</x:v>
      </x:c>
    </x:row>
    <x:row r="39" ht="24" customHeight="1">
      <x:c r="A39" s="2" t="str">
        <x:v>2026-10-13_Night</x:v>
      </x:c>
      <x:c r="B39" s="6" t="str">
        <x:v>ナイト</x:v>
      </x:c>
      <x:c r="C39" s="6" t="n">
        <x:v>76000</x:v>
      </x:c>
      <x:c r="D39" s="6" t="n">
        <x:v>182500</x:v>
      </x:c>
      <x:c r="E39" s="6" t="n">
        <x:f>C39-D39</x:f>
        <x:v>-106500</x:v>
      </x:c>
      <x:c r="F39" s="6" t="n">
        <x:f>F38+E39</x:f>
        <x:v>-6135000</x:v>
      </x:c>
      <x:c r="G39" s="6" t="n">
        <x:v>76000</x:v>
      </x:c>
      <x:c r="H39" s="6" t="n">
        <x:v>182500</x:v>
      </x:c>
      <x:c r="I39" s="6" t="n">
        <x:v>64</x:v>
      </x:c>
      <x:c r="J39" s="6" t="n">
        <x:v>0</x:v>
      </x:c>
      <x:c r="K39" s="6" t="n">
        <x:v>0</x:v>
      </x:c>
      <x:c r="L39" s="6" t="n">
        <x:v>8</x:v>
      </x:c>
      <x:c r="M39" s="11" t="n">
        <x:v>0.7124572649572649</x:v>
      </x:c>
      <x:c r="N39" s="6" t="n">
        <x:v>132500</x:v>
      </x:c>
    </x:row>
    <x:row r="40" ht="24" customHeight="1">
      <x:c r="A40" s="2" t="str">
        <x:v>2026-10-14_Day</x:v>
      </x:c>
      <x:c r="B40" s="6" t="str">
        <x:v>デイ</x:v>
      </x:c>
      <x:c r="C40" s="6" t="n">
        <x:v>92000</x:v>
      </x:c>
      <x:c r="D40" s="6" t="n">
        <x:v>343500</x:v>
      </x:c>
      <x:c r="E40" s="6" t="n">
        <x:f>C40-D40</x:f>
        <x:v>-251500</x:v>
      </x:c>
      <x:c r="F40" s="6" t="n">
        <x:f>F39+E40</x:f>
        <x:v>-6386500</x:v>
      </x:c>
      <x:c r="G40" s="6" t="n">
        <x:v>92000</x:v>
      </x:c>
      <x:c r="H40" s="6" t="n">
        <x:v>343500</x:v>
      </x:c>
      <x:c r="I40" s="6" t="n">
        <x:v>73</x:v>
      </x:c>
      <x:c r="J40" s="6" t="n">
        <x:v>0</x:v>
      </x:c>
      <x:c r="K40" s="6" t="n">
        <x:v>0</x:v>
      </x:c>
      <x:c r="L40" s="6" t="n">
        <x:v>10</x:v>
      </x:c>
      <x:c r="M40" s="11" t="n">
        <x:v>0.7510714285714286</x:v>
      </x:c>
      <x:c r="N40" s="6" t="n">
        <x:v>262500</x:v>
      </x:c>
    </x:row>
    <x:row r="41" ht="24" customHeight="1">
      <x:c r="A41" s="2" t="str">
        <x:v>2026-10-14_Night</x:v>
      </x:c>
      <x:c r="B41" s="6" t="str">
        <x:v>ナイト</x:v>
      </x:c>
      <x:c r="C41" s="6" t="n">
        <x:v>246000</x:v>
      </x:c>
      <x:c r="D41" s="6" t="n">
        <x:v>381000</x:v>
      </x:c>
      <x:c r="E41" s="6" t="n">
        <x:f>C41-D41</x:f>
        <x:v>-135000</x:v>
      </x:c>
      <x:c r="F41" s="6" t="n">
        <x:f>F40+E41</x:f>
        <x:v>-6521500</x:v>
      </x:c>
      <x:c r="G41" s="6" t="n">
        <x:v>246000</x:v>
      </x:c>
      <x:c r="H41" s="6" t="n">
        <x:v>381000</x:v>
      </x:c>
      <x:c r="I41" s="6" t="n">
        <x:v>90</x:v>
      </x:c>
      <x:c r="J41" s="6" t="n">
        <x:v>0</x:v>
      </x:c>
      <x:c r="K41" s="6" t="n">
        <x:v>0</x:v>
      </x:c>
      <x:c r="L41" s="6" t="n">
        <x:v>10</x:v>
      </x:c>
      <x:c r="M41" s="11" t="n">
        <x:v>0.862051282051282</x:v>
      </x:c>
      <x:c r="N41" s="6" t="n">
        <x:v>152500</x:v>
      </x:c>
    </x:row>
    <x:row r="42" ht="24" customHeight="1">
      <x:c r="A42" s="2" t="str">
        <x:v>2026-10-15_Day</x:v>
      </x:c>
      <x:c r="B42" s="6" t="str">
        <x:v>デイ</x:v>
      </x:c>
      <x:c r="C42" s="6" t="n">
        <x:v>617000</x:v>
      </x:c>
      <x:c r="D42" s="6" t="n">
        <x:v>733000</x:v>
      </x:c>
      <x:c r="E42" s="6" t="n">
        <x:f>C42-D42</x:f>
        <x:v>-116000</x:v>
      </x:c>
      <x:c r="F42" s="6" t="n">
        <x:f>F41+E42</x:f>
        <x:v>-6637500</x:v>
      </x:c>
      <x:c r="G42" s="6" t="n">
        <x:v>617000</x:v>
      </x:c>
      <x:c r="H42" s="6" t="n">
        <x:v>733000</x:v>
      </x:c>
      <x:c r="I42" s="6" t="n">
        <x:v>107</x:v>
      </x:c>
      <x:c r="J42" s="6" t="n">
        <x:v>0</x:v>
      </x:c>
      <x:c r="K42" s="6" t="n">
        <x:v>0</x:v>
      </x:c>
      <x:c r="L42" s="6" t="n">
        <x:v>10</x:v>
      </x:c>
      <x:c r="M42" s="11" t="n">
        <x:v>0.7517460317460317</x:v>
      </x:c>
      <x:c r="N42" s="6" t="n">
        <x:v>267500</x:v>
      </x:c>
    </x:row>
    <x:row r="43" ht="24" customHeight="1">
      <x:c r="A43" s="2" t="str">
        <x:v>2026-10-15_Night</x:v>
      </x:c>
      <x:c r="B43" s="6" t="str">
        <x:v>ナイト</x:v>
      </x:c>
      <x:c r="C43" s="6" t="n">
        <x:v>314000</x:v>
      </x:c>
      <x:c r="D43" s="6" t="n">
        <x:v>578000</x:v>
      </x:c>
      <x:c r="E43" s="6" t="n">
        <x:f>C43-D43</x:f>
        <x:v>-264000</x:v>
      </x:c>
      <x:c r="F43" s="6" t="n">
        <x:f>F42+E43</x:f>
        <x:v>-6901500</x:v>
      </x:c>
      <x:c r="G43" s="6" t="n">
        <x:v>314000</x:v>
      </x:c>
      <x:c r="H43" s="6" t="n">
        <x:v>578000</x:v>
      </x:c>
      <x:c r="I43" s="6" t="n">
        <x:v>116</x:v>
      </x:c>
      <x:c r="J43" s="6" t="n">
        <x:v>0</x:v>
      </x:c>
      <x:c r="K43" s="6" t="n">
        <x:v>0</x:v>
      </x:c>
      <x:c r="L43" s="6" t="n">
        <x:v>10</x:v>
      </x:c>
      <x:c r="M43" s="11" t="n">
        <x:v>0.7816452991452991</x:v>
      </x:c>
      <x:c r="N43" s="6" t="n">
        <x:v>299500</x:v>
      </x:c>
    </x:row>
    <x:row r="44" ht="24" customHeight="1">
      <x:c r="A44" s="2" t="str">
        <x:v>2026-10-16_Day</x:v>
      </x:c>
      <x:c r="B44" s="6" t="str">
        <x:v>デイ</x:v>
      </x:c>
      <x:c r="C44" s="6" t="n">
        <x:v>354500</x:v>
      </x:c>
      <x:c r="D44" s="6" t="n">
        <x:v>471000</x:v>
      </x:c>
      <x:c r="E44" s="6" t="n">
        <x:f>C44-D44</x:f>
        <x:v>-116500</x:v>
      </x:c>
      <x:c r="F44" s="6" t="n">
        <x:f>F43+E44</x:f>
        <x:v>-7018000</x:v>
      </x:c>
      <x:c r="G44" s="6" t="n">
        <x:v>354500</x:v>
      </x:c>
      <x:c r="H44" s="6" t="n">
        <x:v>471000</x:v>
      </x:c>
      <x:c r="I44" s="6" t="n">
        <x:v>78</x:v>
      </x:c>
      <x:c r="J44" s="6" t="n">
        <x:v>0</x:v>
      </x:c>
      <x:c r="K44" s="6" t="n">
        <x:v>0</x:v>
      </x:c>
      <x:c r="L44" s="6" t="n">
        <x:v>10</x:v>
      </x:c>
      <x:c r="M44" s="11" t="n">
        <x:v>0.7914285714285715</x:v>
      </x:c>
      <x:c r="N44" s="6" t="n">
        <x:v>228000</x:v>
      </x:c>
    </x:row>
    <x:row r="45" ht="24" customHeight="1">
      <x:c r="A45" s="2" t="str">
        <x:v>2026-10-16_Night</x:v>
      </x:c>
      <x:c r="B45" s="6" t="str">
        <x:v>ナイト</x:v>
      </x:c>
      <x:c r="C45" s="6" t="n">
        <x:v>382500</x:v>
      </x:c>
      <x:c r="D45" s="6" t="n">
        <x:v>517500</x:v>
      </x:c>
      <x:c r="E45" s="6" t="n">
        <x:f>C45-D45</x:f>
        <x:v>-135000</x:v>
      </x:c>
      <x:c r="F45" s="6" t="n">
        <x:f>F44+E45</x:f>
        <x:v>-7153000</x:v>
      </x:c>
      <x:c r="G45" s="6" t="n">
        <x:v>382500</x:v>
      </x:c>
      <x:c r="H45" s="6" t="n">
        <x:v>517500</x:v>
      </x:c>
      <x:c r="I45" s="6" t="n">
        <x:v>121</x:v>
      </x:c>
      <x:c r="J45" s="6" t="n">
        <x:v>0</x:v>
      </x:c>
      <x:c r="K45" s="6" t="n">
        <x:v>0</x:v>
      </x:c>
      <x:c r="L45" s="6" t="n">
        <x:v>10</x:v>
      </x:c>
      <x:c r="M45" s="11" t="n">
        <x:v>0.8247008547008547</x:v>
      </x:c>
      <x:c r="N45" s="6" t="n">
        <x:v>142000</x:v>
      </x:c>
    </x:row>
    <x:row r="46" ht="24" customHeight="1">
      <x:c r="A46" s="2" t="str">
        <x:v>2026-10-19_Day</x:v>
      </x:c>
      <x:c r="B46" s="6" t="str">
        <x:v>デイ</x:v>
      </x:c>
      <x:c r="C46" s="6" t="n">
        <x:v>407000</x:v>
      </x:c>
      <x:c r="D46" s="6" t="n">
        <x:v>731000</x:v>
      </x:c>
      <x:c r="E46" s="6" t="n">
        <x:f>C46-D46</x:f>
        <x:v>-324000</x:v>
      </x:c>
      <x:c r="F46" s="6" t="n">
        <x:f>F45+E46</x:f>
        <x:v>-7477000</x:v>
      </x:c>
      <x:c r="G46" s="6" t="n">
        <x:v>407000</x:v>
      </x:c>
      <x:c r="H46" s="6" t="n">
        <x:v>731000</x:v>
      </x:c>
      <x:c r="I46" s="6" t="n">
        <x:v>90</x:v>
      </x:c>
      <x:c r="J46" s="6" t="n">
        <x:v>0</x:v>
      </x:c>
      <x:c r="K46" s="6" t="n">
        <x:v>0</x:v>
      </x:c>
      <x:c r="L46" s="6" t="n">
        <x:v>10</x:v>
      </x:c>
      <x:c r="M46" s="11" t="n">
        <x:v>0.768095238095238</x:v>
      </x:c>
      <x:c r="N46" s="6" t="n">
        <x:v>418000</x:v>
      </x:c>
    </x:row>
    <x:row r="47" ht="24" customHeight="1">
      <x:c r="A47" s="2" t="str">
        <x:v>2026-10-19_Night</x:v>
      </x:c>
      <x:c r="B47" s="6" t="str">
        <x:v>ナイト</x:v>
      </x:c>
      <x:c r="C47" s="6" t="n">
        <x:v>174000</x:v>
      </x:c>
      <x:c r="D47" s="6" t="n">
        <x:v>317500</x:v>
      </x:c>
      <x:c r="E47" s="6" t="n">
        <x:f>C47-D47</x:f>
        <x:v>-143500</x:v>
      </x:c>
      <x:c r="F47" s="6" t="n">
        <x:f>F46+E47</x:f>
        <x:v>-7620500</x:v>
      </x:c>
      <x:c r="G47" s="6" t="n">
        <x:v>174000</x:v>
      </x:c>
      <x:c r="H47" s="6" t="n">
        <x:v>317500</x:v>
      </x:c>
      <x:c r="I47" s="6" t="n">
        <x:v>96</x:v>
      </x:c>
      <x:c r="J47" s="6" t="n">
        <x:v>0</x:v>
      </x:c>
      <x:c r="K47" s="6" t="n">
        <x:v>0</x:v>
      </x:c>
      <x:c r="L47" s="6" t="n">
        <x:v>10</x:v>
      </x:c>
      <x:c r="M47" s="11" t="n">
        <x:v>0.7772649572649573</x:v>
      </x:c>
      <x:c r="N47" s="6" t="n">
        <x:v>166500</x:v>
      </x:c>
    </x:row>
    <x:row r="48" ht="24" customHeight="1">
      <x:c r="A48" s="2" t="str">
        <x:v>2026-10-20_Day</x:v>
      </x:c>
      <x:c r="B48" s="6" t="str">
        <x:v>デイ</x:v>
      </x:c>
      <x:c r="C48" s="6" t="n">
        <x:v>334500</x:v>
      </x:c>
      <x:c r="D48" s="6" t="n">
        <x:v>628000</x:v>
      </x:c>
      <x:c r="E48" s="6" t="n">
        <x:f>C48-D48</x:f>
        <x:v>-293500</x:v>
      </x:c>
      <x:c r="F48" s="6" t="n">
        <x:f>F47+E48</x:f>
        <x:v>-7914000</x:v>
      </x:c>
      <x:c r="G48" s="6" t="n">
        <x:v>334500</x:v>
      </x:c>
      <x:c r="H48" s="6" t="n">
        <x:v>628000</x:v>
      </x:c>
      <x:c r="I48" s="6" t="n">
        <x:v>94</x:v>
      </x:c>
      <x:c r="J48" s="6" t="n">
        <x:v>0</x:v>
      </x:c>
      <x:c r="K48" s="6" t="n">
        <x:v>0</x:v>
      </x:c>
      <x:c r="L48" s="6" t="n">
        <x:v>10</x:v>
      </x:c>
      <x:c r="M48" s="11" t="n">
        <x:v>0.8262301587301587</x:v>
      </x:c>
      <x:c r="N48" s="6" t="n">
        <x:v>324500</x:v>
      </x:c>
    </x:row>
    <x:row r="49" ht="24" customHeight="1">
      <x:c r="A49" s="2" t="str">
        <x:v>2026-10-20_Night</x:v>
      </x:c>
      <x:c r="B49" s="6" t="str">
        <x:v>ナイト</x:v>
      </x:c>
      <x:c r="C49" s="6" t="n">
        <x:v>292500</x:v>
      </x:c>
      <x:c r="D49" s="6" t="n">
        <x:v>393500</x:v>
      </x:c>
      <x:c r="E49" s="6" t="n">
        <x:f>C49-D49</x:f>
        <x:v>-101000</x:v>
      </x:c>
      <x:c r="F49" s="6" t="n">
        <x:f>F48+E49</x:f>
        <x:v>-8015000</x:v>
      </x:c>
      <x:c r="G49" s="6" t="n">
        <x:v>292500</x:v>
      </x:c>
      <x:c r="H49" s="6" t="n">
        <x:v>393500</x:v>
      </x:c>
      <x:c r="I49" s="6" t="n">
        <x:v>105</x:v>
      </x:c>
      <x:c r="J49" s="6" t="n">
        <x:v>0</x:v>
      </x:c>
      <x:c r="K49" s="6" t="n">
        <x:v>0</x:v>
      </x:c>
      <x:c r="L49" s="6" t="n">
        <x:v>10</x:v>
      </x:c>
      <x:c r="M49" s="11" t="n">
        <x:v>0.7724786324786325</x:v>
      </x:c>
      <x:c r="N49" s="6" t="n">
        <x:v>244000</x:v>
      </x:c>
    </x:row>
    <x:row r="50" ht="24" customHeight="1">
      <x:c r="A50" s="2" t="str">
        <x:v>2026-10-21_Day</x:v>
      </x:c>
      <x:c r="B50" s="6" t="str">
        <x:v>デイ</x:v>
      </x:c>
      <x:c r="C50" s="6" t="n">
        <x:v>80000</x:v>
      </x:c>
      <x:c r="D50" s="6" t="n">
        <x:v>233500</x:v>
      </x:c>
      <x:c r="E50" s="6" t="n">
        <x:f>C50-D50</x:f>
        <x:v>-153500</x:v>
      </x:c>
      <x:c r="F50" s="6" t="n">
        <x:f>F49+E50</x:f>
        <x:v>-8168500</x:v>
      </x:c>
      <x:c r="G50" s="6" t="n">
        <x:v>80000</x:v>
      </x:c>
      <x:c r="H50" s="6" t="n">
        <x:v>233500</x:v>
      </x:c>
      <x:c r="I50" s="6" t="n">
        <x:v>58</x:v>
      </x:c>
      <x:c r="J50" s="6" t="n">
        <x:v>0</x:v>
      </x:c>
      <x:c r="K50" s="6" t="n">
        <x:v>0</x:v>
      </x:c>
      <x:c r="L50" s="6" t="n">
        <x:v>9</x:v>
      </x:c>
      <x:c r="M50" s="11" t="n">
        <x:v>0.7432936507936508</x:v>
      </x:c>
      <x:c r="N50" s="6" t="n">
        <x:v>155000</x:v>
      </x:c>
    </x:row>
    <x:row r="51" ht="24" customHeight="1">
      <x:c r="A51" s="2" t="str">
        <x:v>2026-10-21_Night</x:v>
      </x:c>
      <x:c r="B51" s="6" t="str">
        <x:v>ナイト</x:v>
      </x:c>
      <x:c r="C51" s="6" t="n">
        <x:v>274000</x:v>
      </x:c>
      <x:c r="D51" s="6" t="n">
        <x:v>346500</x:v>
      </x:c>
      <x:c r="E51" s="6" t="n">
        <x:f>C51-D51</x:f>
        <x:v>-72500</x:v>
      </x:c>
      <x:c r="F51" s="6" t="n">
        <x:f>F50+E51</x:f>
        <x:v>-8241000</x:v>
      </x:c>
      <x:c r="G51" s="6" t="n">
        <x:v>274000</x:v>
      </x:c>
      <x:c r="H51" s="6" t="n">
        <x:v>346500</x:v>
      </x:c>
      <x:c r="I51" s="6" t="n">
        <x:v>99</x:v>
      </x:c>
      <x:c r="J51" s="6" t="n">
        <x:v>0</x:v>
      </x:c>
      <x:c r="K51" s="6" t="n">
        <x:v>0</x:v>
      </x:c>
      <x:c r="L51" s="6" t="n">
        <x:v>10</x:v>
      </x:c>
      <x:c r="M51" s="11" t="n">
        <x:v>0.7578632478632479</x:v>
      </x:c>
      <x:c r="N51" s="6" t="n">
        <x:v>191000</x:v>
      </x:c>
    </x:row>
    <x:row r="52" ht="24" customHeight="1">
      <x:c r="A52" s="2" t="str">
        <x:v>2026-10-22_Day</x:v>
      </x:c>
      <x:c r="B52" s="6" t="str">
        <x:v>デイ</x:v>
      </x:c>
      <x:c r="C52" s="6" t="n">
        <x:v>316000</x:v>
      </x:c>
      <x:c r="D52" s="6" t="n">
        <x:v>566000</x:v>
      </x:c>
      <x:c r="E52" s="6" t="n">
        <x:f>C52-D52</x:f>
        <x:v>-250000</x:v>
      </x:c>
      <x:c r="F52" s="6" t="n">
        <x:f>F51+E52</x:f>
        <x:v>-8491000</x:v>
      </x:c>
      <x:c r="G52" s="6" t="n">
        <x:v>316000</x:v>
      </x:c>
      <x:c r="H52" s="6" t="n">
        <x:v>566000</x:v>
      </x:c>
      <x:c r="I52" s="6" t="n">
        <x:v>81</x:v>
      </x:c>
      <x:c r="J52" s="6" t="n">
        <x:v>0</x:v>
      </x:c>
      <x:c r="K52" s="6" t="n">
        <x:v>0</x:v>
      </x:c>
      <x:c r="L52" s="6" t="n">
        <x:v>10</x:v>
      </x:c>
      <x:c r="M52" s="11" t="n">
        <x:v>0.792420634920635</x:v>
      </x:c>
      <x:c r="N52" s="6" t="n">
        <x:v>325000</x:v>
      </x:c>
    </x:row>
    <x:row r="53" ht="24" customHeight="1">
      <x:c r="A53" s="2" t="str">
        <x:v>2026-10-22_Night</x:v>
      </x:c>
      <x:c r="B53" s="6" t="str">
        <x:v>ナイト</x:v>
      </x:c>
      <x:c r="C53" s="6" t="n">
        <x:v>321500</x:v>
      </x:c>
      <x:c r="D53" s="6" t="n">
        <x:v>549500</x:v>
      </x:c>
      <x:c r="E53" s="6" t="n">
        <x:f>C53-D53</x:f>
        <x:v>-228000</x:v>
      </x:c>
      <x:c r="F53" s="6" t="n">
        <x:f>F52+E53</x:f>
        <x:v>-8719000</x:v>
      </x:c>
      <x:c r="G53" s="6" t="n">
        <x:v>321500</x:v>
      </x:c>
      <x:c r="H53" s="6" t="n">
        <x:v>549500</x:v>
      </x:c>
      <x:c r="I53" s="6" t="n">
        <x:v>112</x:v>
      </x:c>
      <x:c r="J53" s="6" t="n">
        <x:v>0</x:v>
      </x:c>
      <x:c r="K53" s="6" t="n">
        <x:v>0</x:v>
      </x:c>
      <x:c r="L53" s="6" t="n">
        <x:v>10</x:v>
      </x:c>
      <x:c r="M53" s="11" t="n">
        <x:v>0.8594017094017095</x:v>
      </x:c>
      <x:c r="N53" s="6" t="n">
        <x:v>236000</x:v>
      </x:c>
    </x:row>
    <x:row r="54" ht="24" customHeight="1">
      <x:c r="A54" s="2" t="str">
        <x:v>2026-10-23_Day</x:v>
      </x:c>
      <x:c r="B54" s="6" t="str">
        <x:v>デイ</x:v>
      </x:c>
      <x:c r="C54" s="6" t="n">
        <x:v>837000</x:v>
      </x:c>
      <x:c r="D54" s="6" t="n">
        <x:v>1409500</x:v>
      </x:c>
      <x:c r="E54" s="6" t="n">
        <x:f>C54-D54</x:f>
        <x:v>-572500</x:v>
      </x:c>
      <x:c r="F54" s="6" t="n">
        <x:f>F53+E54</x:f>
        <x:v>-9291500</x:v>
      </x:c>
      <x:c r="G54" s="6" t="n">
        <x:v>837000</x:v>
      </x:c>
      <x:c r="H54" s="6" t="n">
        <x:v>1409500</x:v>
      </x:c>
      <x:c r="I54" s="6" t="n">
        <x:v>126</x:v>
      </x:c>
      <x:c r="J54" s="6" t="n">
        <x:v>0</x:v>
      </x:c>
      <x:c r="K54" s="6" t="n">
        <x:v>0</x:v>
      </x:c>
      <x:c r="L54" s="6" t="n">
        <x:v>10</x:v>
      </x:c>
      <x:c r="M54" s="11" t="n">
        <x:v>0.7744047619047619</x:v>
      </x:c>
      <x:c r="N54" s="6" t="n">
        <x:v>631500</x:v>
      </x:c>
    </x:row>
    <x:row r="55" ht="24" customHeight="1">
      <x:c r="A55" s="2" t="str">
        <x:v>2026-10-23_Night</x:v>
      </x:c>
      <x:c r="B55" s="6" t="str">
        <x:v>ナイト</x:v>
      </x:c>
      <x:c r="C55" s="6" t="n">
        <x:v>377000</x:v>
      </x:c>
      <x:c r="D55" s="6" t="n">
        <x:v>510000</x:v>
      </x:c>
      <x:c r="E55" s="6" t="n">
        <x:f>C55-D55</x:f>
        <x:v>-133000</x:v>
      </x:c>
      <x:c r="F55" s="6" t="n">
        <x:f>F54+E55</x:f>
        <x:v>-9424500</x:v>
      </x:c>
      <x:c r="G55" s="6" t="n">
        <x:v>377000</x:v>
      </x:c>
      <x:c r="H55" s="6" t="n">
        <x:v>510000</x:v>
      </x:c>
      <x:c r="I55" s="6" t="n">
        <x:v>116</x:v>
      </x:c>
      <x:c r="J55" s="6" t="n">
        <x:v>0</x:v>
      </x:c>
      <x:c r="K55" s="6" t="n">
        <x:v>0</x:v>
      </x:c>
      <x:c r="L55" s="6" t="n">
        <x:v>10</x:v>
      </x:c>
      <x:c r="M55" s="11" t="n">
        <x:v>0.7914316239316239</x:v>
      </x:c>
      <x:c r="N55" s="6" t="n">
        <x:v>233500</x:v>
      </x:c>
    </x:row>
    <x:row r="56" ht="24" customHeight="1">
      <x:c r="A56" s="2" t="str">
        <x:v>2026-10-26_Day</x:v>
      </x:c>
      <x:c r="B56" s="6" t="str">
        <x:v>デイ</x:v>
      </x:c>
      <x:c r="C56" s="6" t="n">
        <x:v>386000</x:v>
      </x:c>
      <x:c r="D56" s="6" t="n">
        <x:v>695000</x:v>
      </x:c>
      <x:c r="E56" s="6" t="n">
        <x:f>C56-D56</x:f>
        <x:v>-309000</x:v>
      </x:c>
      <x:c r="F56" s="6" t="n">
        <x:f>F55+E56</x:f>
        <x:v>-9733500</x:v>
      </x:c>
      <x:c r="G56" s="6" t="n">
        <x:v>386000</x:v>
      </x:c>
      <x:c r="H56" s="6" t="n">
        <x:v>695000</x:v>
      </x:c>
      <x:c r="I56" s="6" t="n">
        <x:v>107</x:v>
      </x:c>
      <x:c r="J56" s="6" t="n">
        <x:v>0</x:v>
      </x:c>
      <x:c r="K56" s="6" t="n">
        <x:v>0</x:v>
      </x:c>
      <x:c r="L56" s="6" t="n">
        <x:v>10</x:v>
      </x:c>
      <x:c r="M56" s="11" t="n">
        <x:v>0.7607539682539682</x:v>
      </x:c>
      <x:c r="N56" s="6" t="n">
        <x:v>444500</x:v>
      </x:c>
    </x:row>
    <x:row r="57" ht="24" customHeight="1">
      <x:c r="A57" s="15" t="str">
        <x:v>累計／平均／最大</x:v>
      </x:c>
      <x:c r="B57" s="16"/>
      <x:c r="C57" s="16" t="n">
        <x:f>SUM(C6:C56)</x:f>
        <x:v>11850500</x:v>
      </x:c>
      <x:c r="D57" s="16" t="n">
        <x:f>SUM(D6:D56)</x:f>
        <x:v>21584000</x:v>
      </x:c>
      <x:c r="E57" s="16" t="n">
        <x:f>C57-D57</x:f>
        <x:v>-9733500</x:v>
      </x:c>
      <x:c r="F57" s="16" t="n">
        <x:f>F56</x:f>
        <x:v>-9733500</x:v>
      </x:c>
      <x:c r="G57" s="16" t="n">
        <x:f>SUM(G6:G56)</x:f>
        <x:v>11850500</x:v>
      </x:c>
      <x:c r="H57" s="16" t="n">
        <x:f>SUM(H6:H56)</x:f>
        <x:v>21584000</x:v>
      </x:c>
      <x:c r="I57" s="16" t="n">
        <x:f>SUM(I6:I56)</x:f>
        <x:v>4337</x:v>
      </x:c>
      <x:c r="J57" s="16" t="n">
        <x:f>SUM(J6:J56)</x:f>
        <x:v>0</x:v>
      </x:c>
      <x:c r="K57" s="16" t="n">
        <x:f>SUM(K6:K56)</x:f>
        <x:v>0</x:v>
      </x:c>
      <x:c r="L57" s="16" t="n">
        <x:f>MAX(L6:L56)</x:f>
        <x:v>10</x:v>
      </x:c>
      <x:c r="M57" s="17" t="n">
        <x:f>AVERAGE(M6:M56)</x:f>
        <x:v>0.7669704804998922</x:v>
      </x:c>
      <x:c r="N57" s="16" t="n">
        <x:f>MAX(N6:N56)</x:f>
        <x:v>631500</x:v>
      </x:c>
    </x:row>
  </x:sheetData>
  <x:conditionalFormatting sqref="E6:F56">
    <x:cfRule type="cellIs" dxfId="61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e39216419ec45b7"/>
  </x:tableParts>
</x:worksheet>
</file>

<file path=xl/worksheets/sheet6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1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4" customHeight="1">
      <x:c r="A1" s="3" t="str">
        <x:v>TOPIX M21　各セッションの利益・損失・収支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A2" s="4" t="str">
        <x:v>2026/09/21〜10/26デイ・51完了場。日経mini／TOPIXmini各上限10枚・手数料0。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4" customHeight="1">
      <x:c r="A3" s="4" t="str">
        <x:v>600秒の時間加重平均を60秒前と比較。入口だけ傾き比例枚数、利益追尾＋傾き反転・増勢後の半減で返済。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4" customHeight="1">
      <x:c r="A4" s="4" t="str">
        <x:v>利益・損失＝FIFO返済配賦別。親＝初回から全返済まで。ラージ気配による模型で、mini実約定の検証ではありません。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42" customHeight="1">
      <x:c r="A5" s="10" t="str">
        <x:v>セッション</x:v>
      </x:c>
      <x:c r="B5" s="10" t="str">
        <x:v>区分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親利益（円）</x:v>
      </x:c>
      <x:c r="H5" s="10" t="str">
        <x:v>親損失（円）</x:v>
      </x:c>
      <x:c r="I5" s="10" t="str">
        <x:v>初回件数</x:v>
      </x:c>
      <x:c r="J5" s="10" t="str">
        <x:v>追加件数</x:v>
      </x:c>
      <x:c r="K5" s="10" t="str">
        <x:v>縮小件数</x:v>
      </x:c>
      <x:c r="L5" s="10" t="str">
        <x:v>最大保有枚数</x:v>
      </x:c>
      <x:c r="M5" s="10" t="str">
        <x:v>保有時間率</x:v>
      </x:c>
      <x:c r="N5" s="10" t="str">
        <x:v>時価最大DD（円）</x:v>
      </x:c>
    </x:row>
    <x:row r="6" ht="24" customHeight="1">
      <x:c r="A6" s="2" t="str">
        <x:v>2026-09-21_Day</x:v>
      </x:c>
      <x:c r="B6" s="6" t="str">
        <x:v>デイ</x:v>
      </x:c>
      <x:c r="C6" s="6" t="n">
        <x:v>27500</x:v>
      </x:c>
      <x:c r="D6" s="6" t="n">
        <x:v>162500</x:v>
      </x:c>
      <x:c r="E6" s="6" t="n">
        <x:f>C6-D6</x:f>
        <x:v>-135000</x:v>
      </x:c>
      <x:c r="F6" s="6" t="n">
        <x:f>E6</x:f>
        <x:v>-135000</x:v>
      </x:c>
      <x:c r="G6" s="6" t="n">
        <x:v>27500</x:v>
      </x:c>
      <x:c r="H6" s="6" t="n">
        <x:v>162500</x:v>
      </x:c>
      <x:c r="I6" s="6" t="n">
        <x:v>34</x:v>
      </x:c>
      <x:c r="J6" s="6" t="n">
        <x:v>0</x:v>
      </x:c>
      <x:c r="K6" s="6" t="n">
        <x:v>0</x:v>
      </x:c>
      <x:c r="L6" s="6" t="n">
        <x:v>8</x:v>
      </x:c>
      <x:c r="M6" s="11" t="n">
        <x:v>0.5581746031746032</x:v>
      </x:c>
      <x:c r="N6" s="6" t="n">
        <x:v>139000</x:v>
      </x:c>
    </x:row>
    <x:row r="7" ht="24" customHeight="1">
      <x:c r="A7" s="2" t="str">
        <x:v>2026-09-21_Night</x:v>
      </x:c>
      <x:c r="B7" s="6" t="str">
        <x:v>ナイト</x:v>
      </x:c>
      <x:c r="C7" s="6" t="n">
        <x:v>44000</x:v>
      </x:c>
      <x:c r="D7" s="6" t="n">
        <x:v>123000</x:v>
      </x:c>
      <x:c r="E7" s="6" t="n">
        <x:f>C7-D7</x:f>
        <x:v>-79000</x:v>
      </x:c>
      <x:c r="F7" s="6" t="n">
        <x:f>F6+E7</x:f>
        <x:v>-214000</x:v>
      </x:c>
      <x:c r="G7" s="6" t="n">
        <x:v>44000</x:v>
      </x:c>
      <x:c r="H7" s="6" t="n">
        <x:v>123000</x:v>
      </x:c>
      <x:c r="I7" s="6" t="n">
        <x:v>73</x:v>
      </x:c>
      <x:c r="J7" s="6" t="n">
        <x:v>0</x:v>
      </x:c>
      <x:c r="K7" s="6" t="n">
        <x:v>0</x:v>
      </x:c>
      <x:c r="L7" s="6" t="n">
        <x:v>6</x:v>
      </x:c>
      <x:c r="M7" s="11" t="n">
        <x:v>0.7376282051282051</x:v>
      </x:c>
      <x:c r="N7" s="6" t="n">
        <x:v>94500</x:v>
      </x:c>
    </x:row>
    <x:row r="8" ht="24" customHeight="1">
      <x:c r="A8" s="2" t="str">
        <x:v>2026-09-22_Day</x:v>
      </x:c>
      <x:c r="B8" s="6" t="str">
        <x:v>デイ</x:v>
      </x:c>
      <x:c r="C8" s="6" t="n">
        <x:v>96500</x:v>
      </x:c>
      <x:c r="D8" s="6" t="n">
        <x:v>199000</x:v>
      </x:c>
      <x:c r="E8" s="6" t="n">
        <x:f>C8-D8</x:f>
        <x:v>-102500</x:v>
      </x:c>
      <x:c r="F8" s="6" t="n">
        <x:f>F7+E8</x:f>
        <x:v>-316500</x:v>
      </x:c>
      <x:c r="G8" s="6" t="n">
        <x:v>96500</x:v>
      </x:c>
      <x:c r="H8" s="6" t="n">
        <x:v>199000</x:v>
      </x:c>
      <x:c r="I8" s="6" t="n">
        <x:v>71</x:v>
      </x:c>
      <x:c r="J8" s="6" t="n">
        <x:v>0</x:v>
      </x:c>
      <x:c r="K8" s="6" t="n">
        <x:v>0</x:v>
      </x:c>
      <x:c r="L8" s="6" t="n">
        <x:v>10</x:v>
      </x:c>
      <x:c r="M8" s="11" t="n">
        <x:v>0.7211904761904762</x:v>
      </x:c>
      <x:c r="N8" s="6" t="n">
        <x:v>139500</x:v>
      </x:c>
    </x:row>
    <x:row r="9" ht="24" customHeight="1">
      <x:c r="A9" s="2" t="str">
        <x:v>2026-09-22_Night</x:v>
      </x:c>
      <x:c r="B9" s="6" t="str">
        <x:v>ナイト</x:v>
      </x:c>
      <x:c r="C9" s="6" t="n">
        <x:v>216000</x:v>
      </x:c>
      <x:c r="D9" s="6" t="n">
        <x:v>447000</x:v>
      </x:c>
      <x:c r="E9" s="6" t="n">
        <x:f>C9-D9</x:f>
        <x:v>-231000</x:v>
      </x:c>
      <x:c r="F9" s="6" t="n">
        <x:f>F8+E9</x:f>
        <x:v>-547500</x:v>
      </x:c>
      <x:c r="G9" s="6" t="n">
        <x:v>216000</x:v>
      </x:c>
      <x:c r="H9" s="6" t="n">
        <x:v>447000</x:v>
      </x:c>
      <x:c r="I9" s="6" t="n">
        <x:v>108</x:v>
      </x:c>
      <x:c r="J9" s="6" t="n">
        <x:v>0</x:v>
      </x:c>
      <x:c r="K9" s="6" t="n">
        <x:v>0</x:v>
      </x:c>
      <x:c r="L9" s="6" t="n">
        <x:v>9</x:v>
      </x:c>
      <x:c r="M9" s="11" t="n">
        <x:v>0.7792735042735043</x:v>
      </x:c>
      <x:c r="N9" s="6" t="n">
        <x:v>262000</x:v>
      </x:c>
    </x:row>
    <x:row r="10" ht="24" customHeight="1">
      <x:c r="A10" s="2" t="str">
        <x:v>2026-09-23_Day</x:v>
      </x:c>
      <x:c r="B10" s="6" t="str">
        <x:v>デイ</x:v>
      </x:c>
      <x:c r="C10" s="6" t="n">
        <x:v>185000</x:v>
      </x:c>
      <x:c r="D10" s="6" t="n">
        <x:v>232500</x:v>
      </x:c>
      <x:c r="E10" s="6" t="n">
        <x:f>C10-D10</x:f>
        <x:v>-47500</x:v>
      </x:c>
      <x:c r="F10" s="6" t="n">
        <x:f>F9+E10</x:f>
        <x:v>-595000</x:v>
      </x:c>
      <x:c r="G10" s="6" t="n">
        <x:v>185000</x:v>
      </x:c>
      <x:c r="H10" s="6" t="n">
        <x:v>232500</x:v>
      </x:c>
      <x:c r="I10" s="6" t="n">
        <x:v>47</x:v>
      </x:c>
      <x:c r="J10" s="6" t="n">
        <x:v>0</x:v>
      </x:c>
      <x:c r="K10" s="6" t="n">
        <x:v>0</x:v>
      </x:c>
      <x:c r="L10" s="6" t="n">
        <x:v>10</x:v>
      </x:c>
      <x:c r="M10" s="11" t="n">
        <x:v>0.6791666666666667</x:v>
      </x:c>
      <x:c r="N10" s="6" t="n">
        <x:v>114000</x:v>
      </x:c>
    </x:row>
    <x:row r="11" ht="24" customHeight="1">
      <x:c r="A11" s="2" t="str">
        <x:v>2026-09-23_Night</x:v>
      </x:c>
      <x:c r="B11" s="6" t="str">
        <x:v>ナイト</x:v>
      </x:c>
      <x:c r="C11" s="6" t="n">
        <x:v>70000</x:v>
      </x:c>
      <x:c r="D11" s="6" t="n">
        <x:v>163000</x:v>
      </x:c>
      <x:c r="E11" s="6" t="n">
        <x:f>C11-D11</x:f>
        <x:v>-93000</x:v>
      </x:c>
      <x:c r="F11" s="6" t="n">
        <x:f>F10+E11</x:f>
        <x:v>-688000</x:v>
      </x:c>
      <x:c r="G11" s="6" t="n">
        <x:v>70000</x:v>
      </x:c>
      <x:c r="H11" s="6" t="n">
        <x:v>163000</x:v>
      </x:c>
      <x:c r="I11" s="6" t="n">
        <x:v>78</x:v>
      </x:c>
      <x:c r="J11" s="6" t="n">
        <x:v>0</x:v>
      </x:c>
      <x:c r="K11" s="6" t="n">
        <x:v>0</x:v>
      </x:c>
      <x:c r="L11" s="6" t="n">
        <x:v>5</x:v>
      </x:c>
      <x:c r="M11" s="11" t="n">
        <x:v>0.7142735042735042</x:v>
      </x:c>
      <x:c r="N11" s="6" t="n">
        <x:v>108000</x:v>
      </x:c>
    </x:row>
    <x:row r="12" ht="24" customHeight="1">
      <x:c r="A12" s="2" t="str">
        <x:v>2026-09-24_Day</x:v>
      </x:c>
      <x:c r="B12" s="6" t="str">
        <x:v>デイ</x:v>
      </x:c>
      <x:c r="C12" s="6" t="n">
        <x:v>321500</x:v>
      </x:c>
      <x:c r="D12" s="6" t="n">
        <x:v>763500</x:v>
      </x:c>
      <x:c r="E12" s="6" t="n">
        <x:f>C12-D12</x:f>
        <x:v>-442000</x:v>
      </x:c>
      <x:c r="F12" s="6" t="n">
        <x:f>F11+E12</x:f>
        <x:v>-1130000</x:v>
      </x:c>
      <x:c r="G12" s="6" t="n">
        <x:v>321500</x:v>
      </x:c>
      <x:c r="H12" s="6" t="n">
        <x:v>763500</x:v>
      </x:c>
      <x:c r="I12" s="6" t="n">
        <x:v>108</x:v>
      </x:c>
      <x:c r="J12" s="6" t="n">
        <x:v>0</x:v>
      </x:c>
      <x:c r="K12" s="6" t="n">
        <x:v>0</x:v>
      </x:c>
      <x:c r="L12" s="6" t="n">
        <x:v>10</x:v>
      </x:c>
      <x:c r="M12" s="11" t="n">
        <x:v>0.7609126984126984</x:v>
      </x:c>
      <x:c r="N12" s="6" t="n">
        <x:v>530000</x:v>
      </x:c>
    </x:row>
    <x:row r="13" ht="24" customHeight="1">
      <x:c r="A13" s="2" t="str">
        <x:v>2026-09-24_Night</x:v>
      </x:c>
      <x:c r="B13" s="6" t="str">
        <x:v>ナイト</x:v>
      </x:c>
      <x:c r="C13" s="6" t="n">
        <x:v>224500</x:v>
      </x:c>
      <x:c r="D13" s="6" t="n">
        <x:v>511500</x:v>
      </x:c>
      <x:c r="E13" s="6" t="n">
        <x:f>C13-D13</x:f>
        <x:v>-287000</x:v>
      </x:c>
      <x:c r="F13" s="6" t="n">
        <x:f>F12+E13</x:f>
        <x:v>-1417000</x:v>
      </x:c>
      <x:c r="G13" s="6" t="n">
        <x:v>224500</x:v>
      </x:c>
      <x:c r="H13" s="6" t="n">
        <x:v>511500</x:v>
      </x:c>
      <x:c r="I13" s="6" t="n">
        <x:v>125</x:v>
      </x:c>
      <x:c r="J13" s="6" t="n">
        <x:v>0</x:v>
      </x:c>
      <x:c r="K13" s="6" t="n">
        <x:v>0</x:v>
      </x:c>
      <x:c r="L13" s="6" t="n">
        <x:v>10</x:v>
      </x:c>
      <x:c r="M13" s="11" t="n">
        <x:v>0.7861752136752137</x:v>
      </x:c>
      <x:c r="N13" s="6" t="n">
        <x:v>349000</x:v>
      </x:c>
    </x:row>
    <x:row r="14" ht="24" customHeight="1">
      <x:c r="A14" s="2" t="str">
        <x:v>2026-09-25_Day</x:v>
      </x:c>
      <x:c r="B14" s="6" t="str">
        <x:v>デイ</x:v>
      </x:c>
      <x:c r="C14" s="6" t="n">
        <x:v>306000</x:v>
      </x:c>
      <x:c r="D14" s="6" t="n">
        <x:v>417500</x:v>
      </x:c>
      <x:c r="E14" s="6" t="n">
        <x:f>C14-D14</x:f>
        <x:v>-111500</x:v>
      </x:c>
      <x:c r="F14" s="6" t="n">
        <x:f>F13+E14</x:f>
        <x:v>-1528500</x:v>
      </x:c>
      <x:c r="G14" s="6" t="n">
        <x:v>306000</x:v>
      </x:c>
      <x:c r="H14" s="6" t="n">
        <x:v>417500</x:v>
      </x:c>
      <x:c r="I14" s="6" t="n">
        <x:v>90</x:v>
      </x:c>
      <x:c r="J14" s="6" t="n">
        <x:v>0</x:v>
      </x:c>
      <x:c r="K14" s="6" t="n">
        <x:v>0</x:v>
      </x:c>
      <x:c r="L14" s="6" t="n">
        <x:v>10</x:v>
      </x:c>
      <x:c r="M14" s="11" t="n">
        <x:v>0.8145238095238095</x:v>
      </x:c>
      <x:c r="N14" s="6" t="n">
        <x:v>164500</x:v>
      </x:c>
    </x:row>
    <x:row r="15" ht="24" customHeight="1">
      <x:c r="A15" s="2" t="str">
        <x:v>2026-09-25_Night</x:v>
      </x:c>
      <x:c r="B15" s="6" t="str">
        <x:v>ナイト</x:v>
      </x:c>
      <x:c r="C15" s="6" t="n">
        <x:v>223000</x:v>
      </x:c>
      <x:c r="D15" s="6" t="n">
        <x:v>327500</x:v>
      </x:c>
      <x:c r="E15" s="6" t="n">
        <x:f>C15-D15</x:f>
        <x:v>-104500</x:v>
      </x:c>
      <x:c r="F15" s="6" t="n">
        <x:f>F14+E15</x:f>
        <x:v>-1633000</x:v>
      </x:c>
      <x:c r="G15" s="6" t="n">
        <x:v>223000</x:v>
      </x:c>
      <x:c r="H15" s="6" t="n">
        <x:v>327500</x:v>
      </x:c>
      <x:c r="I15" s="6" t="n">
        <x:v>109</x:v>
      </x:c>
      <x:c r="J15" s="6" t="n">
        <x:v>0</x:v>
      </x:c>
      <x:c r="K15" s="6" t="n">
        <x:v>0</x:v>
      </x:c>
      <x:c r="L15" s="6" t="n">
        <x:v>10</x:v>
      </x:c>
      <x:c r="M15" s="11" t="n">
        <x:v>0.7600213675213675</x:v>
      </x:c>
      <x:c r="N15" s="6" t="n">
        <x:v>189500</x:v>
      </x:c>
    </x:row>
    <x:row r="16" ht="24" customHeight="1">
      <x:c r="A16" s="2" t="str">
        <x:v>2026-09-28_Day</x:v>
      </x:c>
      <x:c r="B16" s="6" t="str">
        <x:v>デイ</x:v>
      </x:c>
      <x:c r="C16" s="6" t="n">
        <x:v>167000</x:v>
      </x:c>
      <x:c r="D16" s="6" t="n">
        <x:v>443500</x:v>
      </x:c>
      <x:c r="E16" s="6" t="n">
        <x:f>C16-D16</x:f>
        <x:v>-276500</x:v>
      </x:c>
      <x:c r="F16" s="6" t="n">
        <x:f>F15+E16</x:f>
        <x:v>-1909500</x:v>
      </x:c>
      <x:c r="G16" s="6" t="n">
        <x:v>167000</x:v>
      </x:c>
      <x:c r="H16" s="6" t="n">
        <x:v>443500</x:v>
      </x:c>
      <x:c r="I16" s="6" t="n">
        <x:v>85</x:v>
      </x:c>
      <x:c r="J16" s="6" t="n">
        <x:v>0</x:v>
      </x:c>
      <x:c r="K16" s="6" t="n">
        <x:v>0</x:v>
      </x:c>
      <x:c r="L16" s="6" t="n">
        <x:v>10</x:v>
      </x:c>
      <x:c r="M16" s="11" t="n">
        <x:v>0.748968253968254</x:v>
      </x:c>
      <x:c r="N16" s="6" t="n">
        <x:v>402000</x:v>
      </x:c>
    </x:row>
    <x:row r="17" ht="24" customHeight="1">
      <x:c r="A17" s="2" t="str">
        <x:v>2026-09-28_Night</x:v>
      </x:c>
      <x:c r="B17" s="6" t="str">
        <x:v>ナイト</x:v>
      </x:c>
      <x:c r="C17" s="6" t="n">
        <x:v>205500</x:v>
      </x:c>
      <x:c r="D17" s="6" t="n">
        <x:v>529000</x:v>
      </x:c>
      <x:c r="E17" s="6" t="n">
        <x:f>C17-D17</x:f>
        <x:v>-323500</x:v>
      </x:c>
      <x:c r="F17" s="6" t="n">
        <x:f>F16+E17</x:f>
        <x:v>-2233000</x:v>
      </x:c>
      <x:c r="G17" s="6" t="n">
        <x:v>205500</x:v>
      </x:c>
      <x:c r="H17" s="6" t="n">
        <x:v>529000</x:v>
      </x:c>
      <x:c r="I17" s="6" t="n">
        <x:v>129</x:v>
      </x:c>
      <x:c r="J17" s="6" t="n">
        <x:v>0</x:v>
      </x:c>
      <x:c r="K17" s="6" t="n">
        <x:v>0</x:v>
      </x:c>
      <x:c r="L17" s="6" t="n">
        <x:v>10</x:v>
      </x:c>
      <x:c r="M17" s="11" t="n">
        <x:v>0.7410256410256411</x:v>
      </x:c>
      <x:c r="N17" s="6" t="n">
        <x:v>341000</x:v>
      </x:c>
    </x:row>
    <x:row r="18" ht="24" customHeight="1">
      <x:c r="A18" s="2" t="str">
        <x:v>2026-09-29_Day</x:v>
      </x:c>
      <x:c r="B18" s="6" t="str">
        <x:v>デイ</x:v>
      </x:c>
      <x:c r="C18" s="6" t="n">
        <x:v>301000</x:v>
      </x:c>
      <x:c r="D18" s="6" t="n">
        <x:v>418500</x:v>
      </x:c>
      <x:c r="E18" s="6" t="n">
        <x:f>C18-D18</x:f>
        <x:v>-117500</x:v>
      </x:c>
      <x:c r="F18" s="6" t="n">
        <x:f>F17+E18</x:f>
        <x:v>-2350500</x:v>
      </x:c>
      <x:c r="G18" s="6" t="n">
        <x:v>301000</x:v>
      </x:c>
      <x:c r="H18" s="6" t="n">
        <x:v>418500</x:v>
      </x:c>
      <x:c r="I18" s="6" t="n">
        <x:v>96</x:v>
      </x:c>
      <x:c r="J18" s="6" t="n">
        <x:v>0</x:v>
      </x:c>
      <x:c r="K18" s="6" t="n">
        <x:v>0</x:v>
      </x:c>
      <x:c r="L18" s="6" t="n">
        <x:v>10</x:v>
      </x:c>
      <x:c r="M18" s="11" t="n">
        <x:v>0.7667063492063492</x:v>
      </x:c>
      <x:c r="N18" s="6" t="n">
        <x:v>190000</x:v>
      </x:c>
    </x:row>
    <x:row r="19" ht="24" customHeight="1">
      <x:c r="A19" s="2" t="str">
        <x:v>2026-09-29_Night</x:v>
      </x:c>
      <x:c r="B19" s="6" t="str">
        <x:v>ナイト</x:v>
      </x:c>
      <x:c r="C19" s="6" t="n">
        <x:v>106000</x:v>
      </x:c>
      <x:c r="D19" s="6" t="n">
        <x:v>286500</x:v>
      </x:c>
      <x:c r="E19" s="6" t="n">
        <x:f>C19-D19</x:f>
        <x:v>-180500</x:v>
      </x:c>
      <x:c r="F19" s="6" t="n">
        <x:f>F18+E19</x:f>
        <x:v>-2531000</x:v>
      </x:c>
      <x:c r="G19" s="6" t="n">
        <x:v>106000</x:v>
      </x:c>
      <x:c r="H19" s="6" t="n">
        <x:v>286500</x:v>
      </x:c>
      <x:c r="I19" s="6" t="n">
        <x:v>114</x:v>
      </x:c>
      <x:c r="J19" s="6" t="n">
        <x:v>0</x:v>
      </x:c>
      <x:c r="K19" s="6" t="n">
        <x:v>0</x:v>
      </x:c>
      <x:c r="L19" s="6" t="n">
        <x:v>9</x:v>
      </x:c>
      <x:c r="M19" s="11" t="n">
        <x:v>0.7817307692307692</x:v>
      </x:c>
      <x:c r="N19" s="6" t="n">
        <x:v>187500</x:v>
      </x:c>
    </x:row>
    <x:row r="20" ht="24" customHeight="1">
      <x:c r="A20" s="2" t="str">
        <x:v>2026-09-30_Day</x:v>
      </x:c>
      <x:c r="B20" s="6" t="str">
        <x:v>デイ</x:v>
      </x:c>
      <x:c r="C20" s="6" t="n">
        <x:v>325000</x:v>
      </x:c>
      <x:c r="D20" s="6" t="n">
        <x:v>380500</x:v>
      </x:c>
      <x:c r="E20" s="6" t="n">
        <x:f>C20-D20</x:f>
        <x:v>-55500</x:v>
      </x:c>
      <x:c r="F20" s="6" t="n">
        <x:f>F19+E20</x:f>
        <x:v>-2586500</x:v>
      </x:c>
      <x:c r="G20" s="6" t="n">
        <x:v>325000</x:v>
      </x:c>
      <x:c r="H20" s="6" t="n">
        <x:v>380500</x:v>
      </x:c>
      <x:c r="I20" s="6" t="n">
        <x:v>78</x:v>
      </x:c>
      <x:c r="J20" s="6" t="n">
        <x:v>0</x:v>
      </x:c>
      <x:c r="K20" s="6" t="n">
        <x:v>0</x:v>
      </x:c>
      <x:c r="L20" s="6" t="n">
        <x:v>10</x:v>
      </x:c>
      <x:c r="M20" s="11" t="n">
        <x:v>0.7716269841269842</x:v>
      </x:c>
      <x:c r="N20" s="6" t="n">
        <x:v>131000</x:v>
      </x:c>
    </x:row>
    <x:row r="21" ht="24" customHeight="1">
      <x:c r="A21" s="2" t="str">
        <x:v>2026-09-30_Night</x:v>
      </x:c>
      <x:c r="B21" s="6" t="str">
        <x:v>ナイト</x:v>
      </x:c>
      <x:c r="C21" s="6" t="n">
        <x:v>211000</x:v>
      </x:c>
      <x:c r="D21" s="6" t="n">
        <x:v>612000</x:v>
      </x:c>
      <x:c r="E21" s="6" t="n">
        <x:f>C21-D21</x:f>
        <x:v>-401000</x:v>
      </x:c>
      <x:c r="F21" s="6" t="n">
        <x:f>F20+E21</x:f>
        <x:v>-2987500</x:v>
      </x:c>
      <x:c r="G21" s="6" t="n">
        <x:v>211000</x:v>
      </x:c>
      <x:c r="H21" s="6" t="n">
        <x:v>612000</x:v>
      </x:c>
      <x:c r="I21" s="6" t="n">
        <x:v>129</x:v>
      </x:c>
      <x:c r="J21" s="6" t="n">
        <x:v>0</x:v>
      </x:c>
      <x:c r="K21" s="6" t="n">
        <x:v>0</x:v>
      </x:c>
      <x:c r="L21" s="6" t="n">
        <x:v>10</x:v>
      </x:c>
      <x:c r="M21" s="11" t="n">
        <x:v>0.7591239316239317</x:v>
      </x:c>
      <x:c r="N21" s="6" t="n">
        <x:v>405500</x:v>
      </x:c>
    </x:row>
    <x:row r="22" ht="24" customHeight="1">
      <x:c r="A22" s="2" t="str">
        <x:v>2026-10-01_Day</x:v>
      </x:c>
      <x:c r="B22" s="6" t="str">
        <x:v>デイ</x:v>
      </x:c>
      <x:c r="C22" s="6" t="n">
        <x:v>270500</x:v>
      </x:c>
      <x:c r="D22" s="6" t="n">
        <x:v>582500</x:v>
      </x:c>
      <x:c r="E22" s="6" t="n">
        <x:f>C22-D22</x:f>
        <x:v>-312000</x:v>
      </x:c>
      <x:c r="F22" s="6" t="n">
        <x:f>F21+E22</x:f>
        <x:v>-3299500</x:v>
      </x:c>
      <x:c r="G22" s="6" t="n">
        <x:v>270500</x:v>
      </x:c>
      <x:c r="H22" s="6" t="n">
        <x:v>582500</x:v>
      </x:c>
      <x:c r="I22" s="6" t="n">
        <x:v>89</x:v>
      </x:c>
      <x:c r="J22" s="6" t="n">
        <x:v>0</x:v>
      </x:c>
      <x:c r="K22" s="6" t="n">
        <x:v>0</x:v>
      </x:c>
      <x:c r="L22" s="6" t="n">
        <x:v>10</x:v>
      </x:c>
      <x:c r="M22" s="11" t="n">
        <x:v>0.7993650793650794</x:v>
      </x:c>
      <x:c r="N22" s="6" t="n">
        <x:v>315000</x:v>
      </x:c>
    </x:row>
    <x:row r="23" ht="24" customHeight="1">
      <x:c r="A23" s="2" t="str">
        <x:v>2026-10-01_Night</x:v>
      </x:c>
      <x:c r="B23" s="6" t="str">
        <x:v>ナイト</x:v>
      </x:c>
      <x:c r="C23" s="6" t="n">
        <x:v>334500</x:v>
      </x:c>
      <x:c r="D23" s="6" t="n">
        <x:v>509500</x:v>
      </x:c>
      <x:c r="E23" s="6" t="n">
        <x:f>C23-D23</x:f>
        <x:v>-175000</x:v>
      </x:c>
      <x:c r="F23" s="6" t="n">
        <x:f>F22+E23</x:f>
        <x:v>-3474500</x:v>
      </x:c>
      <x:c r="G23" s="6" t="n">
        <x:v>334500</x:v>
      </x:c>
      <x:c r="H23" s="6" t="n">
        <x:v>509500</x:v>
      </x:c>
      <x:c r="I23" s="6" t="n">
        <x:v>130</x:v>
      </x:c>
      <x:c r="J23" s="6" t="n">
        <x:v>0</x:v>
      </x:c>
      <x:c r="K23" s="6" t="n">
        <x:v>0</x:v>
      </x:c>
      <x:c r="L23" s="6" t="n">
        <x:v>10</x:v>
      </x:c>
      <x:c r="M23" s="11" t="n">
        <x:v>0.7919871794871794</x:v>
      </x:c>
      <x:c r="N23" s="6" t="n">
        <x:v>282000</x:v>
      </x:c>
    </x:row>
    <x:row r="24" ht="24" customHeight="1">
      <x:c r="A24" s="2" t="str">
        <x:v>2026-10-02_Day</x:v>
      </x:c>
      <x:c r="B24" s="6" t="str">
        <x:v>デイ</x:v>
      </x:c>
      <x:c r="C24" s="6" t="n">
        <x:v>339500</x:v>
      </x:c>
      <x:c r="D24" s="6" t="n">
        <x:v>412500</x:v>
      </x:c>
      <x:c r="E24" s="6" t="n">
        <x:f>C24-D24</x:f>
        <x:v>-73000</x:v>
      </x:c>
      <x:c r="F24" s="6" t="n">
        <x:f>F23+E24</x:f>
        <x:v>-3547500</x:v>
      </x:c>
      <x:c r="G24" s="6" t="n">
        <x:v>339500</x:v>
      </x:c>
      <x:c r="H24" s="6" t="n">
        <x:v>412500</x:v>
      </x:c>
      <x:c r="I24" s="6" t="n">
        <x:v>92</x:v>
      </x:c>
      <x:c r="J24" s="6" t="n">
        <x:v>0</x:v>
      </x:c>
      <x:c r="K24" s="6" t="n">
        <x:v>0</x:v>
      </x:c>
      <x:c r="L24" s="6" t="n">
        <x:v>10</x:v>
      </x:c>
      <x:c r="M24" s="11" t="n">
        <x:v>0.8021428571428572</x:v>
      </x:c>
      <x:c r="N24" s="6" t="n">
        <x:v>139000</x:v>
      </x:c>
    </x:row>
    <x:row r="25" ht="24" customHeight="1">
      <x:c r="A25" s="2" t="str">
        <x:v>2026-10-02_Night</x:v>
      </x:c>
      <x:c r="B25" s="6" t="str">
        <x:v>ナイト</x:v>
      </x:c>
      <x:c r="C25" s="6" t="n">
        <x:v>328000</x:v>
      </x:c>
      <x:c r="D25" s="6" t="n">
        <x:v>714500</x:v>
      </x:c>
      <x:c r="E25" s="6" t="n">
        <x:f>C25-D25</x:f>
        <x:v>-386500</x:v>
      </x:c>
      <x:c r="F25" s="6" t="n">
        <x:f>F24+E25</x:f>
        <x:v>-3934000</x:v>
      </x:c>
      <x:c r="G25" s="6" t="n">
        <x:v>328000</x:v>
      </x:c>
      <x:c r="H25" s="6" t="n">
        <x:v>714500</x:v>
      </x:c>
      <x:c r="I25" s="6" t="n">
        <x:v>116</x:v>
      </x:c>
      <x:c r="J25" s="6" t="n">
        <x:v>0</x:v>
      </x:c>
      <x:c r="K25" s="6" t="n">
        <x:v>0</x:v>
      </x:c>
      <x:c r="L25" s="6" t="n">
        <x:v>10</x:v>
      </x:c>
      <x:c r="M25" s="11" t="n">
        <x:v>0.6928846153846154</x:v>
      </x:c>
      <x:c r="N25" s="6" t="n">
        <x:v>478000</x:v>
      </x:c>
    </x:row>
    <x:row r="26" ht="24" customHeight="1">
      <x:c r="A26" s="2" t="str">
        <x:v>2026-10-05_Day</x:v>
      </x:c>
      <x:c r="B26" s="6" t="str">
        <x:v>デイ</x:v>
      </x:c>
      <x:c r="C26" s="6" t="n">
        <x:v>130500</x:v>
      </x:c>
      <x:c r="D26" s="6" t="n">
        <x:v>395500</x:v>
      </x:c>
      <x:c r="E26" s="6" t="n">
        <x:f>C26-D26</x:f>
        <x:v>-265000</x:v>
      </x:c>
      <x:c r="F26" s="6" t="n">
        <x:f>F25+E26</x:f>
        <x:v>-4199000</x:v>
      </x:c>
      <x:c r="G26" s="6" t="n">
        <x:v>130500</x:v>
      </x:c>
      <x:c r="H26" s="6" t="n">
        <x:v>395500</x:v>
      </x:c>
      <x:c r="I26" s="6" t="n">
        <x:v>87</x:v>
      </x:c>
      <x:c r="J26" s="6" t="n">
        <x:v>0</x:v>
      </x:c>
      <x:c r="K26" s="6" t="n">
        <x:v>0</x:v>
      </x:c>
      <x:c r="L26" s="6" t="n">
        <x:v>10</x:v>
      </x:c>
      <x:c r="M26" s="11" t="n">
        <x:v>0.736468253968254</x:v>
      </x:c>
      <x:c r="N26" s="6" t="n">
        <x:v>305000</x:v>
      </x:c>
    </x:row>
    <x:row r="27" ht="24" customHeight="1">
      <x:c r="A27" s="2" t="str">
        <x:v>2026-10-05_Night</x:v>
      </x:c>
      <x:c r="B27" s="6" t="str">
        <x:v>ナイト</x:v>
      </x:c>
      <x:c r="C27" s="6" t="n">
        <x:v>204000</x:v>
      </x:c>
      <x:c r="D27" s="6" t="n">
        <x:v>277500</x:v>
      </x:c>
      <x:c r="E27" s="6" t="n">
        <x:f>C27-D27</x:f>
        <x:v>-73500</x:v>
      </x:c>
      <x:c r="F27" s="6" t="n">
        <x:f>F26+E27</x:f>
        <x:v>-4272500</x:v>
      </x:c>
      <x:c r="G27" s="6" t="n">
        <x:v>204000</x:v>
      </x:c>
      <x:c r="H27" s="6" t="n">
        <x:v>277500</x:v>
      </x:c>
      <x:c r="I27" s="6" t="n">
        <x:v>88</x:v>
      </x:c>
      <x:c r="J27" s="6" t="n">
        <x:v>0</x:v>
      </x:c>
      <x:c r="K27" s="6" t="n">
        <x:v>0</x:v>
      </x:c>
      <x:c r="L27" s="6" t="n">
        <x:v>9</x:v>
      </x:c>
      <x:c r="M27" s="11" t="n">
        <x:v>0.727948717948718</x:v>
      </x:c>
      <x:c r="N27" s="6" t="n">
        <x:v>151000</x:v>
      </x:c>
    </x:row>
    <x:row r="28" ht="24" customHeight="1">
      <x:c r="A28" s="2" t="str">
        <x:v>2026-10-06_Day</x:v>
      </x:c>
      <x:c r="B28" s="6" t="str">
        <x:v>デイ</x:v>
      </x:c>
      <x:c r="C28" s="6" t="n">
        <x:v>58000</x:v>
      </x:c>
      <x:c r="D28" s="6" t="n">
        <x:v>248500</x:v>
      </x:c>
      <x:c r="E28" s="6" t="n">
        <x:f>C28-D28</x:f>
        <x:v>-190500</x:v>
      </x:c>
      <x:c r="F28" s="6" t="n">
        <x:f>F27+E28</x:f>
        <x:v>-4463000</x:v>
      </x:c>
      <x:c r="G28" s="6" t="n">
        <x:v>58000</x:v>
      </x:c>
      <x:c r="H28" s="6" t="n">
        <x:v>248500</x:v>
      </x:c>
      <x:c r="I28" s="6" t="n">
        <x:v>67</x:v>
      </x:c>
      <x:c r="J28" s="6" t="n">
        <x:v>0</x:v>
      </x:c>
      <x:c r="K28" s="6" t="n">
        <x:v>0</x:v>
      </x:c>
      <x:c r="L28" s="6" t="n">
        <x:v>9</x:v>
      </x:c>
      <x:c r="M28" s="11" t="n">
        <x:v>0.7617063492063492</x:v>
      </x:c>
      <x:c r="N28" s="6" t="n">
        <x:v>224500</x:v>
      </x:c>
    </x:row>
    <x:row r="29" ht="24" customHeight="1">
      <x:c r="A29" s="2" t="str">
        <x:v>2026-10-06_Night</x:v>
      </x:c>
      <x:c r="B29" s="6" t="str">
        <x:v>ナイト</x:v>
      </x:c>
      <x:c r="C29" s="6" t="n">
        <x:v>65500</x:v>
      </x:c>
      <x:c r="D29" s="6" t="n">
        <x:v>218000</x:v>
      </x:c>
      <x:c r="E29" s="6" t="n">
        <x:f>C29-D29</x:f>
        <x:v>-152500</x:v>
      </x:c>
      <x:c r="F29" s="6" t="n">
        <x:f>F28+E29</x:f>
        <x:v>-4615500</x:v>
      </x:c>
      <x:c r="G29" s="6" t="n">
        <x:v>65500</x:v>
      </x:c>
      <x:c r="H29" s="6" t="n">
        <x:v>218000</x:v>
      </x:c>
      <x:c r="I29" s="6" t="n">
        <x:v>77</x:v>
      </x:c>
      <x:c r="J29" s="6" t="n">
        <x:v>0</x:v>
      </x:c>
      <x:c r="K29" s="6" t="n">
        <x:v>0</x:v>
      </x:c>
      <x:c r="L29" s="6" t="n">
        <x:v>9</x:v>
      </x:c>
      <x:c r="M29" s="11" t="n">
        <x:v>0.6271581196581196</x:v>
      </x:c>
      <x:c r="N29" s="6" t="n">
        <x:v>164500</x:v>
      </x:c>
    </x:row>
    <x:row r="30" ht="24" customHeight="1">
      <x:c r="A30" s="2" t="str">
        <x:v>2026-10-07_Day</x:v>
      </x:c>
      <x:c r="B30" s="6" t="str">
        <x:v>デイ</x:v>
      </x:c>
      <x:c r="C30" s="6" t="n">
        <x:v>213500</x:v>
      </x:c>
      <x:c r="D30" s="6" t="n">
        <x:v>237000</x:v>
      </x:c>
      <x:c r="E30" s="6" t="n">
        <x:f>C30-D30</x:f>
        <x:v>-23500</x:v>
      </x:c>
      <x:c r="F30" s="6" t="n">
        <x:f>F29+E30</x:f>
        <x:v>-4639000</x:v>
      </x:c>
      <x:c r="G30" s="6" t="n">
        <x:v>213500</x:v>
      </x:c>
      <x:c r="H30" s="6" t="n">
        <x:v>237000</x:v>
      </x:c>
      <x:c r="I30" s="6" t="n">
        <x:v>71</x:v>
      </x:c>
      <x:c r="J30" s="6" t="n">
        <x:v>0</x:v>
      </x:c>
      <x:c r="K30" s="6" t="n">
        <x:v>0</x:v>
      </x:c>
      <x:c r="L30" s="6" t="n">
        <x:v>10</x:v>
      </x:c>
      <x:c r="M30" s="11" t="n">
        <x:v>0.8139285714285714</x:v>
      </x:c>
      <x:c r="N30" s="6" t="n">
        <x:v>154000</x:v>
      </x:c>
    </x:row>
    <x:row r="31" ht="24" customHeight="1">
      <x:c r="A31" s="2" t="str">
        <x:v>2026-10-07_Night</x:v>
      </x:c>
      <x:c r="B31" s="6" t="str">
        <x:v>ナイト</x:v>
      </x:c>
      <x:c r="C31" s="6" t="n">
        <x:v>81500</x:v>
      </x:c>
      <x:c r="D31" s="6" t="n">
        <x:v>251000</x:v>
      </x:c>
      <x:c r="E31" s="6" t="n">
        <x:f>C31-D31</x:f>
        <x:v>-169500</x:v>
      </x:c>
      <x:c r="F31" s="6" t="n">
        <x:f>F30+E31</x:f>
        <x:v>-4808500</x:v>
      </x:c>
      <x:c r="G31" s="6" t="n">
        <x:v>81500</x:v>
      </x:c>
      <x:c r="H31" s="6" t="n">
        <x:v>251000</x:v>
      </x:c>
      <x:c r="I31" s="6" t="n">
        <x:v>107</x:v>
      </x:c>
      <x:c r="J31" s="6" t="n">
        <x:v>0</x:v>
      </x:c>
      <x:c r="K31" s="6" t="n">
        <x:v>0</x:v>
      </x:c>
      <x:c r="L31" s="6" t="n">
        <x:v>8</x:v>
      </x:c>
      <x:c r="M31" s="11" t="n">
        <x:v>0.7510256410256411</x:v>
      </x:c>
      <x:c r="N31" s="6" t="n">
        <x:v>176500</x:v>
      </x:c>
    </x:row>
    <x:row r="32" ht="24" customHeight="1">
      <x:c r="A32" s="2" t="str">
        <x:v>2026-10-08_Day</x:v>
      </x:c>
      <x:c r="B32" s="6" t="str">
        <x:v>デイ</x:v>
      </x:c>
      <x:c r="C32" s="6" t="n">
        <x:v>328500</x:v>
      </x:c>
      <x:c r="D32" s="6" t="n">
        <x:v>245000</x:v>
      </x:c>
      <x:c r="E32" s="6" t="n">
        <x:f>C32-D32</x:f>
        <x:v>83500</x:v>
      </x:c>
      <x:c r="F32" s="6" t="n">
        <x:f>F31+E32</x:f>
        <x:v>-4725000</x:v>
      </x:c>
      <x:c r="G32" s="6" t="n">
        <x:v>328500</x:v>
      </x:c>
      <x:c r="H32" s="6" t="n">
        <x:v>245000</x:v>
      </x:c>
      <x:c r="I32" s="6" t="n">
        <x:v>78</x:v>
      </x:c>
      <x:c r="J32" s="6" t="n">
        <x:v>0</x:v>
      </x:c>
      <x:c r="K32" s="6" t="n">
        <x:v>0</x:v>
      </x:c>
      <x:c r="L32" s="6" t="n">
        <x:v>10</x:v>
      </x:c>
      <x:c r="M32" s="11" t="n">
        <x:v>0.758968253968254</x:v>
      </x:c>
      <x:c r="N32" s="6" t="n">
        <x:v>124000</x:v>
      </x:c>
    </x:row>
    <x:row r="33" ht="24" customHeight="1">
      <x:c r="A33" s="2" t="str">
        <x:v>2026-10-08_Night</x:v>
      </x:c>
      <x:c r="B33" s="6" t="str">
        <x:v>ナイト</x:v>
      </x:c>
      <x:c r="C33" s="6" t="n">
        <x:v>233000</x:v>
      </x:c>
      <x:c r="D33" s="6" t="n">
        <x:v>526000</x:v>
      </x:c>
      <x:c r="E33" s="6" t="n">
        <x:f>C33-D33</x:f>
        <x:v>-293000</x:v>
      </x:c>
      <x:c r="F33" s="6" t="n">
        <x:f>F32+E33</x:f>
        <x:v>-5018000</x:v>
      </x:c>
      <x:c r="G33" s="6" t="n">
        <x:v>233000</x:v>
      </x:c>
      <x:c r="H33" s="6" t="n">
        <x:v>526000</x:v>
      </x:c>
      <x:c r="I33" s="6" t="n">
        <x:v>127</x:v>
      </x:c>
      <x:c r="J33" s="6" t="n">
        <x:v>0</x:v>
      </x:c>
      <x:c r="K33" s="6" t="n">
        <x:v>0</x:v>
      </x:c>
      <x:c r="L33" s="6" t="n">
        <x:v>10</x:v>
      </x:c>
      <x:c r="M33" s="11" t="n">
        <x:v>0.7696153846153846</x:v>
      </x:c>
      <x:c r="N33" s="6" t="n">
        <x:v>333000</x:v>
      </x:c>
    </x:row>
    <x:row r="34" ht="24" customHeight="1">
      <x:c r="A34" s="2" t="str">
        <x:v>2026-10-09_Day</x:v>
      </x:c>
      <x:c r="B34" s="6" t="str">
        <x:v>デイ</x:v>
      </x:c>
      <x:c r="C34" s="6" t="n">
        <x:v>103500</x:v>
      </x:c>
      <x:c r="D34" s="6" t="n">
        <x:v>544000</x:v>
      </x:c>
      <x:c r="E34" s="6" t="n">
        <x:f>C34-D34</x:f>
        <x:v>-440500</x:v>
      </x:c>
      <x:c r="F34" s="6" t="n">
        <x:f>F33+E34</x:f>
        <x:v>-5458500</x:v>
      </x:c>
      <x:c r="G34" s="6" t="n">
        <x:v>103500</x:v>
      </x:c>
      <x:c r="H34" s="6" t="n">
        <x:v>544000</x:v>
      </x:c>
      <x:c r="I34" s="6" t="n">
        <x:v>88</x:v>
      </x:c>
      <x:c r="J34" s="6" t="n">
        <x:v>0</x:v>
      </x:c>
      <x:c r="K34" s="6" t="n">
        <x:v>0</x:v>
      </x:c>
      <x:c r="L34" s="6" t="n">
        <x:v>10</x:v>
      </x:c>
      <x:c r="M34" s="11" t="n">
        <x:v>0.7631349206349206</x:v>
      </x:c>
      <x:c r="N34" s="6" t="n">
        <x:v>441500</x:v>
      </x:c>
    </x:row>
    <x:row r="35" ht="24" customHeight="1">
      <x:c r="A35" s="2" t="str">
        <x:v>2026-10-09_Night</x:v>
      </x:c>
      <x:c r="B35" s="6" t="str">
        <x:v>ナイト</x:v>
      </x:c>
      <x:c r="C35" s="6" t="n">
        <x:v>34500</x:v>
      </x:c>
      <x:c r="D35" s="6" t="n">
        <x:v>174500</x:v>
      </x:c>
      <x:c r="E35" s="6" t="n">
        <x:f>C35-D35</x:f>
        <x:v>-140000</x:v>
      </x:c>
      <x:c r="F35" s="6" t="n">
        <x:f>F34+E35</x:f>
        <x:v>-5598500</x:v>
      </x:c>
      <x:c r="G35" s="6" t="n">
        <x:v>34500</x:v>
      </x:c>
      <x:c r="H35" s="6" t="n">
        <x:v>174500</x:v>
      </x:c>
      <x:c r="I35" s="6" t="n">
        <x:v>87</x:v>
      </x:c>
      <x:c r="J35" s="6" t="n">
        <x:v>0</x:v>
      </x:c>
      <x:c r="K35" s="6" t="n">
        <x:v>0</x:v>
      </x:c>
      <x:c r="L35" s="6" t="n">
        <x:v>6</x:v>
      </x:c>
      <x:c r="M35" s="11" t="n">
        <x:v>0.654508547008547</x:v>
      </x:c>
      <x:c r="N35" s="6" t="n">
        <x:v>144000</x:v>
      </x:c>
    </x:row>
    <x:row r="36" ht="24" customHeight="1">
      <x:c r="A36" s="2" t="str">
        <x:v>2026-10-12_Day</x:v>
      </x:c>
      <x:c r="B36" s="6" t="str">
        <x:v>デイ</x:v>
      </x:c>
      <x:c r="C36" s="6" t="n">
        <x:v>15500</x:v>
      </x:c>
      <x:c r="D36" s="6" t="n">
        <x:v>128500</x:v>
      </x:c>
      <x:c r="E36" s="6" t="n">
        <x:f>C36-D36</x:f>
        <x:v>-113000</x:v>
      </x:c>
      <x:c r="F36" s="6" t="n">
        <x:f>F35+E36</x:f>
        <x:v>-5711500</x:v>
      </x:c>
      <x:c r="G36" s="6" t="n">
        <x:v>15500</x:v>
      </x:c>
      <x:c r="H36" s="6" t="n">
        <x:v>128500</x:v>
      </x:c>
      <x:c r="I36" s="6" t="n">
        <x:v>40</x:v>
      </x:c>
      <x:c r="J36" s="6" t="n">
        <x:v>0</x:v>
      </x:c>
      <x:c r="K36" s="6" t="n">
        <x:v>0</x:v>
      </x:c>
      <x:c r="L36" s="6" t="n">
        <x:v>10</x:v>
      </x:c>
      <x:c r="M36" s="11" t="n">
        <x:v>0.6245238095238095</x:v>
      </x:c>
      <x:c r="N36" s="6" t="n">
        <x:v>136000</x:v>
      </x:c>
    </x:row>
    <x:row r="37" ht="24" customHeight="1">
      <x:c r="A37" s="2" t="str">
        <x:v>2026-10-12_Night</x:v>
      </x:c>
      <x:c r="B37" s="6" t="str">
        <x:v>ナイト</x:v>
      </x:c>
      <x:c r="C37" s="6" t="n">
        <x:v>42000</x:v>
      </x:c>
      <x:c r="D37" s="6" t="n">
        <x:v>112500</x:v>
      </x:c>
      <x:c r="E37" s="6" t="n">
        <x:f>C37-D37</x:f>
        <x:v>-70500</x:v>
      </x:c>
      <x:c r="F37" s="6" t="n">
        <x:f>F36+E37</x:f>
        <x:v>-5782000</x:v>
      </x:c>
      <x:c r="G37" s="6" t="n">
        <x:v>42000</x:v>
      </x:c>
      <x:c r="H37" s="6" t="n">
        <x:v>112500</x:v>
      </x:c>
      <x:c r="I37" s="6" t="n">
        <x:v>60</x:v>
      </x:c>
      <x:c r="J37" s="6" t="n">
        <x:v>0</x:v>
      </x:c>
      <x:c r="K37" s="6" t="n">
        <x:v>0</x:v>
      </x:c>
      <x:c r="L37" s="6" t="n">
        <x:v>5</x:v>
      </x:c>
      <x:c r="M37" s="11" t="n">
        <x:v>0.7970940170940171</x:v>
      </x:c>
      <x:c r="N37" s="6" t="n">
        <x:v>74500</x:v>
      </x:c>
    </x:row>
    <x:row r="38" ht="24" customHeight="1">
      <x:c r="A38" s="2" t="str">
        <x:v>2026-10-13_Day</x:v>
      </x:c>
      <x:c r="B38" s="6" t="str">
        <x:v>デイ</x:v>
      </x:c>
      <x:c r="C38" s="6" t="n">
        <x:v>199500</x:v>
      </x:c>
      <x:c r="D38" s="6" t="n">
        <x:v>661500</x:v>
      </x:c>
      <x:c r="E38" s="6" t="n">
        <x:f>C38-D38</x:f>
        <x:v>-462000</x:v>
      </x:c>
      <x:c r="F38" s="6" t="n">
        <x:f>F37+E38</x:f>
        <x:v>-6244000</x:v>
      </x:c>
      <x:c r="G38" s="6" t="n">
        <x:v>199500</x:v>
      </x:c>
      <x:c r="H38" s="6" t="n">
        <x:v>661500</x:v>
      </x:c>
      <x:c r="I38" s="6" t="n">
        <x:v>98</x:v>
      </x:c>
      <x:c r="J38" s="6" t="n">
        <x:v>0</x:v>
      </x:c>
      <x:c r="K38" s="6" t="n">
        <x:v>0</x:v>
      </x:c>
      <x:c r="L38" s="6" t="n">
        <x:v>10</x:v>
      </x:c>
      <x:c r="M38" s="11" t="n">
        <x:v>0.7173809523809523</x:v>
      </x:c>
      <x:c r="N38" s="6" t="n">
        <x:v>479000</x:v>
      </x:c>
    </x:row>
    <x:row r="39" ht="24" customHeight="1">
      <x:c r="A39" s="2" t="str">
        <x:v>2026-10-13_Night</x:v>
      </x:c>
      <x:c r="B39" s="6" t="str">
        <x:v>ナイト</x:v>
      </x:c>
      <x:c r="C39" s="6" t="n">
        <x:v>77000</x:v>
      </x:c>
      <x:c r="D39" s="6" t="n">
        <x:v>193000</x:v>
      </x:c>
      <x:c r="E39" s="6" t="n">
        <x:f>C39-D39</x:f>
        <x:v>-116000</x:v>
      </x:c>
      <x:c r="F39" s="6" t="n">
        <x:f>F38+E39</x:f>
        <x:v>-6360000</x:v>
      </x:c>
      <x:c r="G39" s="6" t="n">
        <x:v>77000</x:v>
      </x:c>
      <x:c r="H39" s="6" t="n">
        <x:v>193000</x:v>
      </x:c>
      <x:c r="I39" s="6" t="n">
        <x:v>73</x:v>
      </x:c>
      <x:c r="J39" s="6" t="n">
        <x:v>0</x:v>
      </x:c>
      <x:c r="K39" s="6" t="n">
        <x:v>0</x:v>
      </x:c>
      <x:c r="L39" s="6" t="n">
        <x:v>8</x:v>
      </x:c>
      <x:c r="M39" s="11" t="n">
        <x:v>0.6932905982905982</x:v>
      </x:c>
      <x:c r="N39" s="6" t="n">
        <x:v>139500</x:v>
      </x:c>
    </x:row>
    <x:row r="40" ht="24" customHeight="1">
      <x:c r="A40" s="2" t="str">
        <x:v>2026-10-14_Day</x:v>
      </x:c>
      <x:c r="B40" s="6" t="str">
        <x:v>デイ</x:v>
      </x:c>
      <x:c r="C40" s="6" t="n">
        <x:v>125500</x:v>
      </x:c>
      <x:c r="D40" s="6" t="n">
        <x:v>366000</x:v>
      </x:c>
      <x:c r="E40" s="6" t="n">
        <x:f>C40-D40</x:f>
        <x:v>-240500</x:v>
      </x:c>
      <x:c r="F40" s="6" t="n">
        <x:f>F39+E40</x:f>
        <x:v>-6600500</x:v>
      </x:c>
      <x:c r="G40" s="6" t="n">
        <x:v>125500</x:v>
      </x:c>
      <x:c r="H40" s="6" t="n">
        <x:v>366000</x:v>
      </x:c>
      <x:c r="I40" s="6" t="n">
        <x:v>83</x:v>
      </x:c>
      <x:c r="J40" s="6" t="n">
        <x:v>0</x:v>
      </x:c>
      <x:c r="K40" s="6" t="n">
        <x:v>0</x:v>
      </x:c>
      <x:c r="L40" s="6" t="n">
        <x:v>10</x:v>
      </x:c>
      <x:c r="M40" s="11" t="n">
        <x:v>0.7262698412698413</x:v>
      </x:c>
      <x:c r="N40" s="6" t="n">
        <x:v>259000</x:v>
      </x:c>
    </x:row>
    <x:row r="41" ht="24" customHeight="1">
      <x:c r="A41" s="2" t="str">
        <x:v>2026-10-14_Night</x:v>
      </x:c>
      <x:c r="B41" s="6" t="str">
        <x:v>ナイト</x:v>
      </x:c>
      <x:c r="C41" s="6" t="n">
        <x:v>259000</x:v>
      </x:c>
      <x:c r="D41" s="6" t="n">
        <x:v>394500</x:v>
      </x:c>
      <x:c r="E41" s="6" t="n">
        <x:f>C41-D41</x:f>
        <x:v>-135500</x:v>
      </x:c>
      <x:c r="F41" s="6" t="n">
        <x:f>F40+E41</x:f>
        <x:v>-6736000</x:v>
      </x:c>
      <x:c r="G41" s="6" t="n">
        <x:v>259000</x:v>
      </x:c>
      <x:c r="H41" s="6" t="n">
        <x:v>394500</x:v>
      </x:c>
      <x:c r="I41" s="6" t="n">
        <x:v>105</x:v>
      </x:c>
      <x:c r="J41" s="6" t="n">
        <x:v>0</x:v>
      </x:c>
      <x:c r="K41" s="6" t="n">
        <x:v>0</x:v>
      </x:c>
      <x:c r="L41" s="6" t="n">
        <x:v>10</x:v>
      </x:c>
      <x:c r="M41" s="11" t="n">
        <x:v>0.8389316239316239</x:v>
      </x:c>
      <x:c r="N41" s="6" t="n">
        <x:v>153500</x:v>
      </x:c>
    </x:row>
    <x:row r="42" ht="24" customHeight="1">
      <x:c r="A42" s="2" t="str">
        <x:v>2026-10-15_Day</x:v>
      </x:c>
      <x:c r="B42" s="6" t="str">
        <x:v>デイ</x:v>
      </x:c>
      <x:c r="C42" s="6" t="n">
        <x:v>632000</x:v>
      </x:c>
      <x:c r="D42" s="6" t="n">
        <x:v>743000</x:v>
      </x:c>
      <x:c r="E42" s="6" t="n">
        <x:f>C42-D42</x:f>
        <x:v>-111000</x:v>
      </x:c>
      <x:c r="F42" s="6" t="n">
        <x:f>F41+E42</x:f>
        <x:v>-6847000</x:v>
      </x:c>
      <x:c r="G42" s="6" t="n">
        <x:v>632000</x:v>
      </x:c>
      <x:c r="H42" s="6" t="n">
        <x:v>743000</x:v>
      </x:c>
      <x:c r="I42" s="6" t="n">
        <x:v>116</x:v>
      </x:c>
      <x:c r="J42" s="6" t="n">
        <x:v>0</x:v>
      </x:c>
      <x:c r="K42" s="6" t="n">
        <x:v>0</x:v>
      </x:c>
      <x:c r="L42" s="6" t="n">
        <x:v>10</x:v>
      </x:c>
      <x:c r="M42" s="11" t="n">
        <x:v>0.7461507936507936</x:v>
      </x:c>
      <x:c r="N42" s="6" t="n">
        <x:v>261000</x:v>
      </x:c>
    </x:row>
    <x:row r="43" ht="24" customHeight="1">
      <x:c r="A43" s="2" t="str">
        <x:v>2026-10-15_Night</x:v>
      </x:c>
      <x:c r="B43" s="6" t="str">
        <x:v>ナイト</x:v>
      </x:c>
      <x:c r="C43" s="6" t="n">
        <x:v>323000</x:v>
      </x:c>
      <x:c r="D43" s="6" t="n">
        <x:v>589500</x:v>
      </x:c>
      <x:c r="E43" s="6" t="n">
        <x:f>C43-D43</x:f>
        <x:v>-266500</x:v>
      </x:c>
      <x:c r="F43" s="6" t="n">
        <x:f>F42+E43</x:f>
        <x:v>-7113500</x:v>
      </x:c>
      <x:c r="G43" s="6" t="n">
        <x:v>323000</x:v>
      </x:c>
      <x:c r="H43" s="6" t="n">
        <x:v>589500</x:v>
      </x:c>
      <x:c r="I43" s="6" t="n">
        <x:v>131</x:v>
      </x:c>
      <x:c r="J43" s="6" t="n">
        <x:v>0</x:v>
      </x:c>
      <x:c r="K43" s="6" t="n">
        <x:v>0</x:v>
      </x:c>
      <x:c r="L43" s="6" t="n">
        <x:v>10</x:v>
      </x:c>
      <x:c r="M43" s="11" t="n">
        <x:v>0.772008547008547</x:v>
      </x:c>
      <x:c r="N43" s="6" t="n">
        <x:v>306000</x:v>
      </x:c>
    </x:row>
    <x:row r="44" ht="24" customHeight="1">
      <x:c r="A44" s="2" t="str">
        <x:v>2026-10-16_Day</x:v>
      </x:c>
      <x:c r="B44" s="6" t="str">
        <x:v>デイ</x:v>
      </x:c>
      <x:c r="C44" s="6" t="n">
        <x:v>362000</x:v>
      </x:c>
      <x:c r="D44" s="6" t="n">
        <x:v>482000</x:v>
      </x:c>
      <x:c r="E44" s="6" t="n">
        <x:f>C44-D44</x:f>
        <x:v>-120000</x:v>
      </x:c>
      <x:c r="F44" s="6" t="n">
        <x:f>F43+E44</x:f>
        <x:v>-7233500</x:v>
      </x:c>
      <x:c r="G44" s="6" t="n">
        <x:v>362000</x:v>
      </x:c>
      <x:c r="H44" s="6" t="n">
        <x:v>482000</x:v>
      </x:c>
      <x:c r="I44" s="6" t="n">
        <x:v>90</x:v>
      </x:c>
      <x:c r="J44" s="6" t="n">
        <x:v>0</x:v>
      </x:c>
      <x:c r="K44" s="6" t="n">
        <x:v>0</x:v>
      </x:c>
      <x:c r="L44" s="6" t="n">
        <x:v>10</x:v>
      </x:c>
      <x:c r="M44" s="11" t="n">
        <x:v>0.7782142857142857</x:v>
      </x:c>
      <x:c r="N44" s="6" t="n">
        <x:v>227500</x:v>
      </x:c>
    </x:row>
    <x:row r="45" ht="24" customHeight="1">
      <x:c r="A45" s="2" t="str">
        <x:v>2026-10-16_Night</x:v>
      </x:c>
      <x:c r="B45" s="6" t="str">
        <x:v>ナイト</x:v>
      </x:c>
      <x:c r="C45" s="6" t="n">
        <x:v>384500</x:v>
      </x:c>
      <x:c r="D45" s="6" t="n">
        <x:v>531000</x:v>
      </x:c>
      <x:c r="E45" s="6" t="n">
        <x:f>C45-D45</x:f>
        <x:v>-146500</x:v>
      </x:c>
      <x:c r="F45" s="6" t="n">
        <x:f>F44+E45</x:f>
        <x:v>-7380000</x:v>
      </x:c>
      <x:c r="G45" s="6" t="n">
        <x:v>384500</x:v>
      </x:c>
      <x:c r="H45" s="6" t="n">
        <x:v>531000</x:v>
      </x:c>
      <x:c r="I45" s="6" t="n">
        <x:v>138</x:v>
      </x:c>
      <x:c r="J45" s="6" t="n">
        <x:v>0</x:v>
      </x:c>
      <x:c r="K45" s="6" t="n">
        <x:v>0</x:v>
      </x:c>
      <x:c r="L45" s="6" t="n">
        <x:v>10</x:v>
      </x:c>
      <x:c r="M45" s="11" t="n">
        <x:v>0.8101923076923077</x:v>
      </x:c>
      <x:c r="N45" s="6" t="n">
        <x:v>153500</x:v>
      </x:c>
    </x:row>
    <x:row r="46" ht="24" customHeight="1">
      <x:c r="A46" s="2" t="str">
        <x:v>2026-10-19_Day</x:v>
      </x:c>
      <x:c r="B46" s="6" t="str">
        <x:v>デイ</x:v>
      </x:c>
      <x:c r="C46" s="6" t="n">
        <x:v>402500</x:v>
      </x:c>
      <x:c r="D46" s="6" t="n">
        <x:v>737500</x:v>
      </x:c>
      <x:c r="E46" s="6" t="n">
        <x:f>C46-D46</x:f>
        <x:v>-335000</x:v>
      </x:c>
      <x:c r="F46" s="6" t="n">
        <x:f>F45+E46</x:f>
        <x:v>-7715000</x:v>
      </x:c>
      <x:c r="G46" s="6" t="n">
        <x:v>402500</x:v>
      </x:c>
      <x:c r="H46" s="6" t="n">
        <x:v>737500</x:v>
      </x:c>
      <x:c r="I46" s="6" t="n">
        <x:v>104</x:v>
      </x:c>
      <x:c r="J46" s="6" t="n">
        <x:v>0</x:v>
      </x:c>
      <x:c r="K46" s="6" t="n">
        <x:v>0</x:v>
      </x:c>
      <x:c r="L46" s="6" t="n">
        <x:v>10</x:v>
      </x:c>
      <x:c r="M46" s="11" t="n">
        <x:v>0.7414285714285714</x:v>
      </x:c>
      <x:c r="N46" s="6" t="n">
        <x:v>429000</x:v>
      </x:c>
    </x:row>
    <x:row r="47" ht="24" customHeight="1">
      <x:c r="A47" s="2" t="str">
        <x:v>2026-10-19_Night</x:v>
      </x:c>
      <x:c r="B47" s="6" t="str">
        <x:v>ナイト</x:v>
      </x:c>
      <x:c r="C47" s="6" t="n">
        <x:v>173000</x:v>
      </x:c>
      <x:c r="D47" s="6" t="n">
        <x:v>308000</x:v>
      </x:c>
      <x:c r="E47" s="6" t="n">
        <x:f>C47-D47</x:f>
        <x:v>-135000</x:v>
      </x:c>
      <x:c r="F47" s="6" t="n">
        <x:f>F46+E47</x:f>
        <x:v>-7850000</x:v>
      </x:c>
      <x:c r="G47" s="6" t="n">
        <x:v>173000</x:v>
      </x:c>
      <x:c r="H47" s="6" t="n">
        <x:v>308000</x:v>
      </x:c>
      <x:c r="I47" s="6" t="n">
        <x:v>110</x:v>
      </x:c>
      <x:c r="J47" s="6" t="n">
        <x:v>0</x:v>
      </x:c>
      <x:c r="K47" s="6" t="n">
        <x:v>0</x:v>
      </x:c>
      <x:c r="L47" s="6" t="n">
        <x:v>10</x:v>
      </x:c>
      <x:c r="M47" s="11" t="n">
        <x:v>0.7631196581196581</x:v>
      </x:c>
      <x:c r="N47" s="6" t="n">
        <x:v>158000</x:v>
      </x:c>
    </x:row>
    <x:row r="48" ht="24" customHeight="1">
      <x:c r="A48" s="2" t="str">
        <x:v>2026-10-20_Day</x:v>
      </x:c>
      <x:c r="B48" s="6" t="str">
        <x:v>デイ</x:v>
      </x:c>
      <x:c r="C48" s="6" t="n">
        <x:v>333000</x:v>
      </x:c>
      <x:c r="D48" s="6" t="n">
        <x:v>658000</x:v>
      </x:c>
      <x:c r="E48" s="6" t="n">
        <x:f>C48-D48</x:f>
        <x:v>-325000</x:v>
      </x:c>
      <x:c r="F48" s="6" t="n">
        <x:f>F47+E48</x:f>
        <x:v>-8175000</x:v>
      </x:c>
      <x:c r="G48" s="6" t="n">
        <x:v>333000</x:v>
      </x:c>
      <x:c r="H48" s="6" t="n">
        <x:v>658000</x:v>
      </x:c>
      <x:c r="I48" s="6" t="n">
        <x:v>102</x:v>
      </x:c>
      <x:c r="J48" s="6" t="n">
        <x:v>0</x:v>
      </x:c>
      <x:c r="K48" s="6" t="n">
        <x:v>0</x:v>
      </x:c>
      <x:c r="L48" s="6" t="n">
        <x:v>10</x:v>
      </x:c>
      <x:c r="M48" s="11" t="n">
        <x:v>0.8105952380952381</x:v>
      </x:c>
      <x:c r="N48" s="6" t="n">
        <x:v>351500</x:v>
      </x:c>
    </x:row>
    <x:row r="49" ht="24" customHeight="1">
      <x:c r="A49" s="2" t="str">
        <x:v>2026-10-20_Night</x:v>
      </x:c>
      <x:c r="B49" s="6" t="str">
        <x:v>ナイト</x:v>
      </x:c>
      <x:c r="C49" s="6" t="n">
        <x:v>292000</x:v>
      </x:c>
      <x:c r="D49" s="6" t="n">
        <x:v>390500</x:v>
      </x:c>
      <x:c r="E49" s="6" t="n">
        <x:f>C49-D49</x:f>
        <x:v>-98500</x:v>
      </x:c>
      <x:c r="F49" s="6" t="n">
        <x:f>F48+E49</x:f>
        <x:v>-8273500</x:v>
      </x:c>
      <x:c r="G49" s="6" t="n">
        <x:v>292000</x:v>
      </x:c>
      <x:c r="H49" s="6" t="n">
        <x:v>390500</x:v>
      </x:c>
      <x:c r="I49" s="6" t="n">
        <x:v>116</x:v>
      </x:c>
      <x:c r="J49" s="6" t="n">
        <x:v>0</x:v>
      </x:c>
      <x:c r="K49" s="6" t="n">
        <x:v>0</x:v>
      </x:c>
      <x:c r="L49" s="6" t="n">
        <x:v>10</x:v>
      </x:c>
      <x:c r="M49" s="11" t="n">
        <x:v>0.7459615384615385</x:v>
      </x:c>
      <x:c r="N49" s="6" t="n">
        <x:v>239500</x:v>
      </x:c>
    </x:row>
    <x:row r="50" ht="24" customHeight="1">
      <x:c r="A50" s="2" t="str">
        <x:v>2026-10-21_Day</x:v>
      </x:c>
      <x:c r="B50" s="6" t="str">
        <x:v>デイ</x:v>
      </x:c>
      <x:c r="C50" s="6" t="n">
        <x:v>82000</x:v>
      </x:c>
      <x:c r="D50" s="6" t="n">
        <x:v>252000</x:v>
      </x:c>
      <x:c r="E50" s="6" t="n">
        <x:f>C50-D50</x:f>
        <x:v>-170000</x:v>
      </x:c>
      <x:c r="F50" s="6" t="n">
        <x:f>F49+E50</x:f>
        <x:v>-8443500</x:v>
      </x:c>
      <x:c r="G50" s="6" t="n">
        <x:v>82000</x:v>
      </x:c>
      <x:c r="H50" s="6" t="n">
        <x:v>252000</x:v>
      </x:c>
      <x:c r="I50" s="6" t="n">
        <x:v>70</x:v>
      </x:c>
      <x:c r="J50" s="6" t="n">
        <x:v>0</x:v>
      </x:c>
      <x:c r="K50" s="6" t="n">
        <x:v>0</x:v>
      </x:c>
      <x:c r="L50" s="6" t="n">
        <x:v>9</x:v>
      </x:c>
      <x:c r="M50" s="11" t="n">
        <x:v>0.7211507936507936</x:v>
      </x:c>
      <x:c r="N50" s="6" t="n">
        <x:v>171500</x:v>
      </x:c>
    </x:row>
    <x:row r="51" ht="24" customHeight="1">
      <x:c r="A51" s="2" t="str">
        <x:v>2026-10-21_Night</x:v>
      </x:c>
      <x:c r="B51" s="6" t="str">
        <x:v>ナイト</x:v>
      </x:c>
      <x:c r="C51" s="6" t="n">
        <x:v>277500</x:v>
      </x:c>
      <x:c r="D51" s="6" t="n">
        <x:v>349500</x:v>
      </x:c>
      <x:c r="E51" s="6" t="n">
        <x:f>C51-D51</x:f>
        <x:v>-72000</x:v>
      </x:c>
      <x:c r="F51" s="6" t="n">
        <x:f>F50+E51</x:f>
        <x:v>-8515500</x:v>
      </x:c>
      <x:c r="G51" s="6" t="n">
        <x:v>277500</x:v>
      </x:c>
      <x:c r="H51" s="6" t="n">
        <x:v>349500</x:v>
      </x:c>
      <x:c r="I51" s="6" t="n">
        <x:v>103</x:v>
      </x:c>
      <x:c r="J51" s="6" t="n">
        <x:v>0</x:v>
      </x:c>
      <x:c r="K51" s="6" t="n">
        <x:v>0</x:v>
      </x:c>
      <x:c r="L51" s="6" t="n">
        <x:v>10</x:v>
      </x:c>
      <x:c r="M51" s="11" t="n">
        <x:v>0.7516880341880342</x:v>
      </x:c>
      <x:c r="N51" s="6" t="n">
        <x:v>192000</x:v>
      </x:c>
    </x:row>
    <x:row r="52" ht="24" customHeight="1">
      <x:c r="A52" s="2" t="str">
        <x:v>2026-10-22_Day</x:v>
      </x:c>
      <x:c r="B52" s="6" t="str">
        <x:v>デイ</x:v>
      </x:c>
      <x:c r="C52" s="6" t="n">
        <x:v>313500</x:v>
      </x:c>
      <x:c r="D52" s="6" t="n">
        <x:v>571000</x:v>
      </x:c>
      <x:c r="E52" s="6" t="n">
        <x:f>C52-D52</x:f>
        <x:v>-257500</x:v>
      </x:c>
      <x:c r="F52" s="6" t="n">
        <x:f>F51+E52</x:f>
        <x:v>-8773000</x:v>
      </x:c>
      <x:c r="G52" s="6" t="n">
        <x:v>313500</x:v>
      </x:c>
      <x:c r="H52" s="6" t="n">
        <x:v>571000</x:v>
      </x:c>
      <x:c r="I52" s="6" t="n">
        <x:v>88</x:v>
      </x:c>
      <x:c r="J52" s="6" t="n">
        <x:v>0</x:v>
      </x:c>
      <x:c r="K52" s="6" t="n">
        <x:v>0</x:v>
      </x:c>
      <x:c r="L52" s="6" t="n">
        <x:v>10</x:v>
      </x:c>
      <x:c r="M52" s="11" t="n">
        <x:v>0.773015873015873</x:v>
      </x:c>
      <x:c r="N52" s="6" t="n">
        <x:v>332000</x:v>
      </x:c>
    </x:row>
    <x:row r="53" ht="24" customHeight="1">
      <x:c r="A53" s="2" t="str">
        <x:v>2026-10-22_Night</x:v>
      </x:c>
      <x:c r="B53" s="6" t="str">
        <x:v>ナイト</x:v>
      </x:c>
      <x:c r="C53" s="6" t="n">
        <x:v>325500</x:v>
      </x:c>
      <x:c r="D53" s="6" t="n">
        <x:v>573000</x:v>
      </x:c>
      <x:c r="E53" s="6" t="n">
        <x:f>C53-D53</x:f>
        <x:v>-247500</x:v>
      </x:c>
      <x:c r="F53" s="6" t="n">
        <x:f>F52+E53</x:f>
        <x:v>-9020500</x:v>
      </x:c>
      <x:c r="G53" s="6" t="n">
        <x:v>325500</x:v>
      </x:c>
      <x:c r="H53" s="6" t="n">
        <x:v>573000</x:v>
      </x:c>
      <x:c r="I53" s="6" t="n">
        <x:v>126</x:v>
      </x:c>
      <x:c r="J53" s="6" t="n">
        <x:v>0</x:v>
      </x:c>
      <x:c r="K53" s="6" t="n">
        <x:v>0</x:v>
      </x:c>
      <x:c r="L53" s="6" t="n">
        <x:v>10</x:v>
      </x:c>
      <x:c r="M53" s="11" t="n">
        <x:v>0.851431623931624</x:v>
      </x:c>
      <x:c r="N53" s="6" t="n">
        <x:v>255000</x:v>
      </x:c>
    </x:row>
    <x:row r="54" ht="24" customHeight="1">
      <x:c r="A54" s="2" t="str">
        <x:v>2026-10-23_Day</x:v>
      </x:c>
      <x:c r="B54" s="6" t="str">
        <x:v>デイ</x:v>
      </x:c>
      <x:c r="C54" s="6" t="n">
        <x:v>844000</x:v>
      </x:c>
      <x:c r="D54" s="6" t="n">
        <x:v>1422500</x:v>
      </x:c>
      <x:c r="E54" s="6" t="n">
        <x:f>C54-D54</x:f>
        <x:v>-578500</x:v>
      </x:c>
      <x:c r="F54" s="6" t="n">
        <x:f>F53+E54</x:f>
        <x:v>-9599000</x:v>
      </x:c>
      <x:c r="G54" s="6" t="n">
        <x:v>844000</x:v>
      </x:c>
      <x:c r="H54" s="6" t="n">
        <x:v>1422500</x:v>
      </x:c>
      <x:c r="I54" s="6" t="n">
        <x:v>138</x:v>
      </x:c>
      <x:c r="J54" s="6" t="n">
        <x:v>0</x:v>
      </x:c>
      <x:c r="K54" s="6" t="n">
        <x:v>0</x:v>
      </x:c>
      <x:c r="L54" s="6" t="n">
        <x:v>10</x:v>
      </x:c>
      <x:c r="M54" s="11" t="n">
        <x:v>0.7613492063492063</x:v>
      </x:c>
      <x:c r="N54" s="6" t="n">
        <x:v>639000</x:v>
      </x:c>
    </x:row>
    <x:row r="55" ht="24" customHeight="1">
      <x:c r="A55" s="2" t="str">
        <x:v>2026-10-23_Night</x:v>
      </x:c>
      <x:c r="B55" s="6" t="str">
        <x:v>ナイト</x:v>
      </x:c>
      <x:c r="C55" s="6" t="n">
        <x:v>379000</x:v>
      </x:c>
      <x:c r="D55" s="6" t="n">
        <x:v>514500</x:v>
      </x:c>
      <x:c r="E55" s="6" t="n">
        <x:f>C55-D55</x:f>
        <x:v>-135500</x:v>
      </x:c>
      <x:c r="F55" s="6" t="n">
        <x:f>F54+E55</x:f>
        <x:v>-9734500</x:v>
      </x:c>
      <x:c r="G55" s="6" t="n">
        <x:v>379000</x:v>
      </x:c>
      <x:c r="H55" s="6" t="n">
        <x:v>514500</x:v>
      </x:c>
      <x:c r="I55" s="6" t="n">
        <x:v>130</x:v>
      </x:c>
      <x:c r="J55" s="6" t="n">
        <x:v>0</x:v>
      </x:c>
      <x:c r="K55" s="6" t="n">
        <x:v>0</x:v>
      </x:c>
      <x:c r="L55" s="6" t="n">
        <x:v>10</x:v>
      </x:c>
      <x:c r="M55" s="11" t="n">
        <x:v>0.7827350427350427</x:v>
      </x:c>
      <x:c r="N55" s="6" t="n">
        <x:v>236500</x:v>
      </x:c>
    </x:row>
    <x:row r="56" ht="24" customHeight="1">
      <x:c r="A56" s="2" t="str">
        <x:v>2026-10-26_Day</x:v>
      </x:c>
      <x:c r="B56" s="6" t="str">
        <x:v>デイ</x:v>
      </x:c>
      <x:c r="C56" s="6" t="n">
        <x:v>391000</x:v>
      </x:c>
      <x:c r="D56" s="6" t="n">
        <x:v>706500</x:v>
      </x:c>
      <x:c r="E56" s="6" t="n">
        <x:f>C56-D56</x:f>
        <x:v>-315500</x:v>
      </x:c>
      <x:c r="F56" s="6" t="n">
        <x:f>F55+E56</x:f>
        <x:v>-10050000</x:v>
      </x:c>
      <x:c r="G56" s="6" t="n">
        <x:v>391000</x:v>
      </x:c>
      <x:c r="H56" s="6" t="n">
        <x:v>706500</x:v>
      </x:c>
      <x:c r="I56" s="6" t="n">
        <x:v>123</x:v>
      </x:c>
      <x:c r="J56" s="6" t="n">
        <x:v>0</x:v>
      </x:c>
      <x:c r="K56" s="6" t="n">
        <x:v>0</x:v>
      </x:c>
      <x:c r="L56" s="6" t="n">
        <x:v>10</x:v>
      </x:c>
      <x:c r="M56" s="11" t="n">
        <x:v>0.7386507936507937</x:v>
      </x:c>
      <x:c r="N56" s="6" t="n">
        <x:v>451000</x:v>
      </x:c>
    </x:row>
    <x:row r="57" ht="24" customHeight="1">
      <x:c r="A57" s="15" t="str">
        <x:v>累計／平均／最大</x:v>
      </x:c>
      <x:c r="B57" s="16"/>
      <x:c r="C57" s="16" t="n">
        <x:f>SUM(C6:C56)</x:f>
        <x:v>11987500</x:v>
      </x:c>
      <x:c r="D57" s="16" t="n">
        <x:f>SUM(D6:D56)</x:f>
        <x:v>22037500</x:v>
      </x:c>
      <x:c r="E57" s="16" t="n">
        <x:f>C57-D57</x:f>
        <x:v>-10050000</x:v>
      </x:c>
      <x:c r="F57" s="16" t="n">
        <x:f>F56</x:f>
        <x:v>-10050000</x:v>
      </x:c>
      <x:c r="G57" s="16" t="n">
        <x:f>SUM(G6:G56)</x:f>
        <x:v>11987500</x:v>
      </x:c>
      <x:c r="H57" s="16" t="n">
        <x:f>SUM(H6:H56)</x:f>
        <x:v>22037500</x:v>
      </x:c>
      <x:c r="I57" s="16" t="n">
        <x:f>SUM(I6:I56)</x:f>
        <x:v>4922</x:v>
      </x:c>
      <x:c r="J57" s="16" t="n">
        <x:f>SUM(J6:J56)</x:f>
        <x:v>0</x:v>
      </x:c>
      <x:c r="K57" s="16" t="n">
        <x:f>SUM(K6:K56)</x:f>
        <x:v>0</x:v>
      </x:c>
      <x:c r="L57" s="16" t="n">
        <x:f>MAX(L6:L56)</x:f>
        <x:v>10</x:v>
      </x:c>
      <x:c r="M57" s="17" t="n">
        <x:f>AVERAGE(M6:M56)</x:f>
        <x:v>0.7505205415499533</x:v>
      </x:c>
      <x:c r="N57" s="16" t="n">
        <x:f>MAX(N6:N56)</x:f>
        <x:v>639000</x:v>
      </x:c>
    </x:row>
  </x:sheetData>
  <x:conditionalFormatting sqref="E6:F56">
    <x:cfRule type="cellIs" dxfId="62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3d457bb880e4844"/>
  </x:tableParts>
</x:worksheet>
</file>

<file path=xl/worksheets/sheet6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1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4" customHeight="1">
      <x:c r="A1" s="3" t="str">
        <x:v>TOPIX M22　各セッションの利益・損失・収支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A2" s="4" t="str">
        <x:v>2026/09/21〜10/26デイ・51完了場。日経mini／TOPIXmini各上限10枚・手数料0。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4" customHeight="1">
      <x:c r="A3" s="4" t="str">
        <x:v>600秒の時間加重平均を60秒前と比較。保有中も傾き比例で増減、利益追尾で返済。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4" customHeight="1">
      <x:c r="A4" s="4" t="str">
        <x:v>利益・損失＝FIFO返済配賦別。親＝初回から全返済まで。ラージ気配による模型で、mini実約定の検証ではありません。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42" customHeight="1">
      <x:c r="A5" s="10" t="str">
        <x:v>セッション</x:v>
      </x:c>
      <x:c r="B5" s="10" t="str">
        <x:v>区分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親利益（円）</x:v>
      </x:c>
      <x:c r="H5" s="10" t="str">
        <x:v>親損失（円）</x:v>
      </x:c>
      <x:c r="I5" s="10" t="str">
        <x:v>初回件数</x:v>
      </x:c>
      <x:c r="J5" s="10" t="str">
        <x:v>追加件数</x:v>
      </x:c>
      <x:c r="K5" s="10" t="str">
        <x:v>縮小件数</x:v>
      </x:c>
      <x:c r="L5" s="10" t="str">
        <x:v>最大保有枚数</x:v>
      </x:c>
      <x:c r="M5" s="10" t="str">
        <x:v>保有時間率</x:v>
      </x:c>
      <x:c r="N5" s="10" t="str">
        <x:v>時価最大DD（円）</x:v>
      </x:c>
    </x:row>
    <x:row r="6" ht="24" customHeight="1">
      <x:c r="A6" s="2" t="str">
        <x:v>2026-09-21_Day</x:v>
      </x:c>
      <x:c r="B6" s="6" t="str">
        <x:v>デイ</x:v>
      </x:c>
      <x:c r="C6" s="6" t="n">
        <x:v>26500</x:v>
      </x:c>
      <x:c r="D6" s="6" t="n">
        <x:v>252500</x:v>
      </x:c>
      <x:c r="E6" s="6" t="n">
        <x:f>C6-D6</x:f>
        <x:v>-226000</x:v>
      </x:c>
      <x:c r="F6" s="6" t="n">
        <x:f>E6</x:f>
        <x:v>-226000</x:v>
      </x:c>
      <x:c r="G6" s="6" t="n">
        <x:v>15000</x:v>
      </x:c>
      <x:c r="H6" s="6" t="n">
        <x:v>241000</x:v>
      </x:c>
      <x:c r="I6" s="6" t="n">
        <x:v>20</x:v>
      </x:c>
      <x:c r="J6" s="6" t="n">
        <x:v>30</x:v>
      </x:c>
      <x:c r="K6" s="6" t="n">
        <x:v>41</x:v>
      </x:c>
      <x:c r="L6" s="6" t="n">
        <x:v>10</x:v>
      </x:c>
      <x:c r="M6" s="11" t="n">
        <x:v>0.7254365079365079</x:v>
      </x:c>
      <x:c r="N6" s="6" t="n">
        <x:v>234000</x:v>
      </x:c>
    </x:row>
    <x:row r="7" ht="24" customHeight="1">
      <x:c r="A7" s="2" t="str">
        <x:v>2026-09-21_Night</x:v>
      </x:c>
      <x:c r="B7" s="6" t="str">
        <x:v>ナイト</x:v>
      </x:c>
      <x:c r="C7" s="6" t="n">
        <x:v>38000</x:v>
      </x:c>
      <x:c r="D7" s="6" t="n">
        <x:v>158000</x:v>
      </x:c>
      <x:c r="E7" s="6" t="n">
        <x:f>C7-D7</x:f>
        <x:v>-120000</x:v>
      </x:c>
      <x:c r="F7" s="6" t="n">
        <x:f>F6+E7</x:f>
        <x:v>-346000</x:v>
      </x:c>
      <x:c r="G7" s="6" t="n">
        <x:v>17000</x:v>
      </x:c>
      <x:c r="H7" s="6" t="n">
        <x:v>137000</x:v>
      </x:c>
      <x:c r="I7" s="6" t="n">
        <x:v>23</x:v>
      </x:c>
      <x:c r="J7" s="6" t="n">
        <x:v>61</x:v>
      </x:c>
      <x:c r="K7" s="6" t="n">
        <x:v>73</x:v>
      </x:c>
      <x:c r="L7" s="6" t="n">
        <x:v>6</x:v>
      </x:c>
      <x:c r="M7" s="11" t="n">
        <x:v>0.918034188034188</x:v>
      </x:c>
      <x:c r="N7" s="6" t="n">
        <x:v>129500</x:v>
      </x:c>
    </x:row>
    <x:row r="8" ht="24" customHeight="1">
      <x:c r="A8" s="2" t="str">
        <x:v>2026-09-22_Day</x:v>
      </x:c>
      <x:c r="B8" s="6" t="str">
        <x:v>デイ</x:v>
      </x:c>
      <x:c r="C8" s="6" t="n">
        <x:v>85000</x:v>
      </x:c>
      <x:c r="D8" s="6" t="n">
        <x:v>267000</x:v>
      </x:c>
      <x:c r="E8" s="6" t="n">
        <x:f>C8-D8</x:f>
        <x:v>-182000</x:v>
      </x:c>
      <x:c r="F8" s="6" t="n">
        <x:f>F7+E8</x:f>
        <x:v>-528000</x:v>
      </x:c>
      <x:c r="G8" s="6" t="n">
        <x:v>36500</x:v>
      </x:c>
      <x:c r="H8" s="6" t="n">
        <x:v>218500</x:v>
      </x:c>
      <x:c r="I8" s="6" t="n">
        <x:v>28</x:v>
      </x:c>
      <x:c r="J8" s="6" t="n">
        <x:v>85</x:v>
      </x:c>
      <x:c r="K8" s="6" t="n">
        <x:v>87</x:v>
      </x:c>
      <x:c r="L8" s="6" t="n">
        <x:v>10</x:v>
      </x:c>
      <x:c r="M8" s="11" t="n">
        <x:v>0.8721825396825397</x:v>
      </x:c>
      <x:c r="N8" s="6" t="n">
        <x:v>193000</x:v>
      </x:c>
    </x:row>
    <x:row r="9" ht="24" customHeight="1">
      <x:c r="A9" s="2" t="str">
        <x:v>2026-09-22_Night</x:v>
      </x:c>
      <x:c r="B9" s="6" t="str">
        <x:v>ナイト</x:v>
      </x:c>
      <x:c r="C9" s="6" t="n">
        <x:v>197500</x:v>
      </x:c>
      <x:c r="D9" s="6" t="n">
        <x:v>519500</x:v>
      </x:c>
      <x:c r="E9" s="6" t="n">
        <x:f>C9-D9</x:f>
        <x:v>-322000</x:v>
      </x:c>
      <x:c r="F9" s="6" t="n">
        <x:f>F8+E9</x:f>
        <x:v>-850000</x:v>
      </x:c>
      <x:c r="G9" s="6" t="n">
        <x:v>127500</x:v>
      </x:c>
      <x:c r="H9" s="6" t="n">
        <x:v>449500</x:v>
      </x:c>
      <x:c r="I9" s="6" t="n">
        <x:v>58</x:v>
      </x:c>
      <x:c r="J9" s="6" t="n">
        <x:v>146</x:v>
      </x:c>
      <x:c r="K9" s="6" t="n">
        <x:v>154</x:v>
      </x:c>
      <x:c r="L9" s="6" t="n">
        <x:v>10</x:v>
      </x:c>
      <x:c r="M9" s="11" t="n">
        <x:v>0.9263675213675213</x:v>
      </x:c>
      <x:c r="N9" s="6" t="n">
        <x:v>329500</x:v>
      </x:c>
    </x:row>
    <x:row r="10" ht="24" customHeight="1">
      <x:c r="A10" s="2" t="str">
        <x:v>2026-09-23_Day</x:v>
      </x:c>
      <x:c r="B10" s="6" t="str">
        <x:v>デイ</x:v>
      </x:c>
      <x:c r="C10" s="6" t="n">
        <x:v>150500</x:v>
      </x:c>
      <x:c r="D10" s="6" t="n">
        <x:v>289500</x:v>
      </x:c>
      <x:c r="E10" s="6" t="n">
        <x:f>C10-D10</x:f>
        <x:v>-139000</x:v>
      </x:c>
      <x:c r="F10" s="6" t="n">
        <x:f>F9+E10</x:f>
        <x:v>-989000</x:v>
      </x:c>
      <x:c r="G10" s="6" t="n">
        <x:v>111000</x:v>
      </x:c>
      <x:c r="H10" s="6" t="n">
        <x:v>250000</x:v>
      </x:c>
      <x:c r="I10" s="6" t="n">
        <x:v>24</x:v>
      </x:c>
      <x:c r="J10" s="6" t="n">
        <x:v>66</x:v>
      </x:c>
      <x:c r="K10" s="6" t="n">
        <x:v>75</x:v>
      </x:c>
      <x:c r="L10" s="6" t="n">
        <x:v>10</x:v>
      </x:c>
      <x:c r="M10" s="11" t="n">
        <x:v>0.9091269841269841</x:v>
      </x:c>
      <x:c r="N10" s="6" t="n">
        <x:v>194500</x:v>
      </x:c>
    </x:row>
    <x:row r="11" ht="24" customHeight="1">
      <x:c r="A11" s="2" t="str">
        <x:v>2026-09-23_Night</x:v>
      </x:c>
      <x:c r="B11" s="6" t="str">
        <x:v>ナイト</x:v>
      </x:c>
      <x:c r="C11" s="6" t="n">
        <x:v>64500</x:v>
      </x:c>
      <x:c r="D11" s="6" t="n">
        <x:v>223500</x:v>
      </x:c>
      <x:c r="E11" s="6" t="n">
        <x:f>C11-D11</x:f>
        <x:v>-159000</x:v>
      </x:c>
      <x:c r="F11" s="6" t="n">
        <x:f>F10+E11</x:f>
        <x:v>-1148000</x:v>
      </x:c>
      <x:c r="G11" s="6" t="n">
        <x:v>38000</x:v>
      </x:c>
      <x:c r="H11" s="6" t="n">
        <x:v>197000</x:v>
      </x:c>
      <x:c r="I11" s="6" t="n">
        <x:v>33</x:v>
      </x:c>
      <x:c r="J11" s="6" t="n">
        <x:v>78</x:v>
      </x:c>
      <x:c r="K11" s="6" t="n">
        <x:v>77</x:v>
      </x:c>
      <x:c r="L11" s="6" t="n">
        <x:v>6</x:v>
      </x:c>
      <x:c r="M11" s="11" t="n">
        <x:v>0.8657478632478632</x:v>
      </x:c>
      <x:c r="N11" s="6" t="n">
        <x:v>164000</x:v>
      </x:c>
    </x:row>
    <x:row r="12" ht="24" customHeight="1">
      <x:c r="A12" s="2" t="str">
        <x:v>2026-09-24_Day</x:v>
      </x:c>
      <x:c r="B12" s="6" t="str">
        <x:v>デイ</x:v>
      </x:c>
      <x:c r="C12" s="6" t="n">
        <x:v>369500</x:v>
      </x:c>
      <x:c r="D12" s="6" t="n">
        <x:v>907000</x:v>
      </x:c>
      <x:c r="E12" s="6" t="n">
        <x:f>C12-D12</x:f>
        <x:v>-537500</x:v>
      </x:c>
      <x:c r="F12" s="6" t="n">
        <x:f>F11+E12</x:f>
        <x:v>-1685500</x:v>
      </x:c>
      <x:c r="G12" s="6" t="n">
        <x:v>285500</x:v>
      </x:c>
      <x:c r="H12" s="6" t="n">
        <x:v>823000</x:v>
      </x:c>
      <x:c r="I12" s="6" t="n">
        <x:v>70</x:v>
      </x:c>
      <x:c r="J12" s="6" t="n">
        <x:v>158</x:v>
      </x:c>
      <x:c r="K12" s="6" t="n">
        <x:v>170</x:v>
      </x:c>
      <x:c r="L12" s="6" t="n">
        <x:v>10</x:v>
      </x:c>
      <x:c r="M12" s="11" t="n">
        <x:v>0.8659523809523809</x:v>
      </x:c>
      <x:c r="N12" s="6" t="n">
        <x:v>600000</x:v>
      </x:c>
    </x:row>
    <x:row r="13" ht="24" customHeight="1">
      <x:c r="A13" s="2" t="str">
        <x:v>2026-09-24_Night</x:v>
      </x:c>
      <x:c r="B13" s="6" t="str">
        <x:v>ナイト</x:v>
      </x:c>
      <x:c r="C13" s="6" t="n">
        <x:v>257500</x:v>
      </x:c>
      <x:c r="D13" s="6" t="n">
        <x:v>604500</x:v>
      </x:c>
      <x:c r="E13" s="6" t="n">
        <x:f>C13-D13</x:f>
        <x:v>-347000</x:v>
      </x:c>
      <x:c r="F13" s="6" t="n">
        <x:f>F12+E13</x:f>
        <x:v>-2032500</x:v>
      </x:c>
      <x:c r="G13" s="6" t="n">
        <x:v>173500</x:v>
      </x:c>
      <x:c r="H13" s="6" t="n">
        <x:v>520500</x:v>
      </x:c>
      <x:c r="I13" s="6" t="n">
        <x:v>66</x:v>
      </x:c>
      <x:c r="J13" s="6" t="n">
        <x:v>189</x:v>
      </x:c>
      <x:c r="K13" s="6" t="n">
        <x:v>194</x:v>
      </x:c>
      <x:c r="L13" s="6" t="n">
        <x:v>10</x:v>
      </x:c>
      <x:c r="M13" s="11" t="n">
        <x:v>0.8851282051282051</x:v>
      </x:c>
      <x:c r="N13" s="6" t="n">
        <x:v>427500</x:v>
      </x:c>
    </x:row>
    <x:row r="14" ht="24" customHeight="1">
      <x:c r="A14" s="2" t="str">
        <x:v>2026-09-25_Day</x:v>
      </x:c>
      <x:c r="B14" s="6" t="str">
        <x:v>デイ</x:v>
      </x:c>
      <x:c r="C14" s="6" t="n">
        <x:v>343000</x:v>
      </x:c>
      <x:c r="D14" s="6" t="n">
        <x:v>472500</x:v>
      </x:c>
      <x:c r="E14" s="6" t="n">
        <x:f>C14-D14</x:f>
        <x:v>-129500</x:v>
      </x:c>
      <x:c r="F14" s="6" t="n">
        <x:f>F13+E14</x:f>
        <x:v>-2162000</x:v>
      </x:c>
      <x:c r="G14" s="6" t="n">
        <x:v>267000</x:v>
      </x:c>
      <x:c r="H14" s="6" t="n">
        <x:v>396500</x:v>
      </x:c>
      <x:c r="I14" s="6" t="n">
        <x:v>50</x:v>
      </x:c>
      <x:c r="J14" s="6" t="n">
        <x:v>137</x:v>
      </x:c>
      <x:c r="K14" s="6" t="n">
        <x:v>160</x:v>
      </x:c>
      <x:c r="L14" s="6" t="n">
        <x:v>10</x:v>
      </x:c>
      <x:c r="M14" s="11" t="n">
        <x:v>0.9128968253968254</x:v>
      </x:c>
      <x:c r="N14" s="6" t="n">
        <x:v>191500</x:v>
      </x:c>
    </x:row>
    <x:row r="15" ht="24" customHeight="1">
      <x:c r="A15" s="2" t="str">
        <x:v>2026-09-25_Night</x:v>
      </x:c>
      <x:c r="B15" s="6" t="str">
        <x:v>ナイト</x:v>
      </x:c>
      <x:c r="C15" s="6" t="n">
        <x:v>226000</x:v>
      </x:c>
      <x:c r="D15" s="6" t="n">
        <x:v>309000</x:v>
      </x:c>
      <x:c r="E15" s="6" t="n">
        <x:f>C15-D15</x:f>
        <x:v>-83000</x:v>
      </x:c>
      <x:c r="F15" s="6" t="n">
        <x:f>F14+E15</x:f>
        <x:v>-2245000</x:v>
      </x:c>
      <x:c r="G15" s="6" t="n">
        <x:v>166000</x:v>
      </x:c>
      <x:c r="H15" s="6" t="n">
        <x:v>249000</x:v>
      </x:c>
      <x:c r="I15" s="6" t="n">
        <x:v>47</x:v>
      </x:c>
      <x:c r="J15" s="6" t="n">
        <x:v>145</x:v>
      </x:c>
      <x:c r="K15" s="6" t="n">
        <x:v>151</x:v>
      </x:c>
      <x:c r="L15" s="6" t="n">
        <x:v>10</x:v>
      </x:c>
      <x:c r="M15" s="11" t="n">
        <x:v>0.9341239316239316</x:v>
      </x:c>
      <x:c r="N15" s="6" t="n">
        <x:v>187000</x:v>
      </x:c>
    </x:row>
    <x:row r="16" ht="24" customHeight="1">
      <x:c r="A16" s="2" t="str">
        <x:v>2026-09-28_Day</x:v>
      </x:c>
      <x:c r="B16" s="6" t="str">
        <x:v>デイ</x:v>
      </x:c>
      <x:c r="C16" s="6" t="n">
        <x:v>176500</x:v>
      </x:c>
      <x:c r="D16" s="6" t="n">
        <x:v>472500</x:v>
      </x:c>
      <x:c r="E16" s="6" t="n">
        <x:f>C16-D16</x:f>
        <x:v>-296000</x:v>
      </x:c>
      <x:c r="F16" s="6" t="n">
        <x:f>F15+E16</x:f>
        <x:v>-2541000</x:v>
      </x:c>
      <x:c r="G16" s="6" t="n">
        <x:v>126000</x:v>
      </x:c>
      <x:c r="H16" s="6" t="n">
        <x:v>422000</x:v>
      </x:c>
      <x:c r="I16" s="6" t="n">
        <x:v>42</x:v>
      </x:c>
      <x:c r="J16" s="6" t="n">
        <x:v>109</x:v>
      </x:c>
      <x:c r="K16" s="6" t="n">
        <x:v>122</x:v>
      </x:c>
      <x:c r="L16" s="6" t="n">
        <x:v>10</x:v>
      </x:c>
      <x:c r="M16" s="11" t="n">
        <x:v>0.8634126984126984</x:v>
      </x:c>
      <x:c r="N16" s="6" t="n">
        <x:v>389500</x:v>
      </x:c>
    </x:row>
    <x:row r="17" ht="24" customHeight="1">
      <x:c r="A17" s="2" t="str">
        <x:v>2026-09-28_Night</x:v>
      </x:c>
      <x:c r="B17" s="6" t="str">
        <x:v>ナイト</x:v>
      </x:c>
      <x:c r="C17" s="6" t="n">
        <x:v>205500</x:v>
      </x:c>
      <x:c r="D17" s="6" t="n">
        <x:v>549000</x:v>
      </x:c>
      <x:c r="E17" s="6" t="n">
        <x:f>C17-D17</x:f>
        <x:v>-343500</x:v>
      </x:c>
      <x:c r="F17" s="6" t="n">
        <x:f>F16+E17</x:f>
        <x:v>-2884500</x:v>
      </x:c>
      <x:c r="G17" s="6" t="n">
        <x:v>128000</x:v>
      </x:c>
      <x:c r="H17" s="6" t="n">
        <x:v>471500</x:v>
      </x:c>
      <x:c r="I17" s="6" t="n">
        <x:v>56</x:v>
      </x:c>
      <x:c r="J17" s="6" t="n">
        <x:v>141</x:v>
      </x:c>
      <x:c r="K17" s="6" t="n">
        <x:v>159</x:v>
      </x:c>
      <x:c r="L17" s="6" t="n">
        <x:v>10</x:v>
      </x:c>
      <x:c r="M17" s="11" t="n">
        <x:v>0.9228418803418803</x:v>
      </x:c>
      <x:c r="N17" s="6" t="n">
        <x:v>359000</x:v>
      </x:c>
    </x:row>
    <x:row r="18" ht="24" customHeight="1">
      <x:c r="A18" s="2" t="str">
        <x:v>2026-09-29_Day</x:v>
      </x:c>
      <x:c r="B18" s="6" t="str">
        <x:v>デイ</x:v>
      </x:c>
      <x:c r="C18" s="6" t="n">
        <x:v>322000</x:v>
      </x:c>
      <x:c r="D18" s="6" t="n">
        <x:v>458000</x:v>
      </x:c>
      <x:c r="E18" s="6" t="n">
        <x:f>C18-D18</x:f>
        <x:v>-136000</x:v>
      </x:c>
      <x:c r="F18" s="6" t="n">
        <x:f>F17+E18</x:f>
        <x:v>-3020500</x:v>
      </x:c>
      <x:c r="G18" s="6" t="n">
        <x:v>247000</x:v>
      </x:c>
      <x:c r="H18" s="6" t="n">
        <x:v>383000</x:v>
      </x:c>
      <x:c r="I18" s="6" t="n">
        <x:v>58</x:v>
      </x:c>
      <x:c r="J18" s="6" t="n">
        <x:v>152</x:v>
      </x:c>
      <x:c r="K18" s="6" t="n">
        <x:v>148</x:v>
      </x:c>
      <x:c r="L18" s="6" t="n">
        <x:v>10</x:v>
      </x:c>
      <x:c r="M18" s="11" t="n">
        <x:v>0.8968650793650793</x:v>
      </x:c>
      <x:c r="N18" s="6" t="n">
        <x:v>175000</x:v>
      </x:c>
    </x:row>
    <x:row r="19" ht="24" customHeight="1">
      <x:c r="A19" s="2" t="str">
        <x:v>2026-09-29_Night</x:v>
      </x:c>
      <x:c r="B19" s="6" t="str">
        <x:v>ナイト</x:v>
      </x:c>
      <x:c r="C19" s="6" t="n">
        <x:v>84000</x:v>
      </x:c>
      <x:c r="D19" s="6" t="n">
        <x:v>403000</x:v>
      </x:c>
      <x:c r="E19" s="6" t="n">
        <x:f>C19-D19</x:f>
        <x:v>-319000</x:v>
      </x:c>
      <x:c r="F19" s="6" t="n">
        <x:f>F18+E19</x:f>
        <x:v>-3339500</x:v>
      </x:c>
      <x:c r="G19" s="6" t="n">
        <x:v>44500</x:v>
      </x:c>
      <x:c r="H19" s="6" t="n">
        <x:v>363500</x:v>
      </x:c>
      <x:c r="I19" s="6" t="n">
        <x:v>49</x:v>
      </x:c>
      <x:c r="J19" s="6" t="n">
        <x:v>151</x:v>
      </x:c>
      <x:c r="K19" s="6" t="n">
        <x:v>163</x:v>
      </x:c>
      <x:c r="L19" s="6" t="n">
        <x:v>9</x:v>
      </x:c>
      <x:c r="M19" s="11" t="n">
        <x:v>0.9360683760683761</x:v>
      </x:c>
      <x:c r="N19" s="6" t="n">
        <x:v>324000</x:v>
      </x:c>
    </x:row>
    <x:row r="20" ht="24" customHeight="1">
      <x:c r="A20" s="2" t="str">
        <x:v>2026-09-30_Day</x:v>
      </x:c>
      <x:c r="B20" s="6" t="str">
        <x:v>デイ</x:v>
      </x:c>
      <x:c r="C20" s="6" t="n">
        <x:v>291000</x:v>
      </x:c>
      <x:c r="D20" s="6" t="n">
        <x:v>473000</x:v>
      </x:c>
      <x:c r="E20" s="6" t="n">
        <x:f>C20-D20</x:f>
        <x:v>-182000</x:v>
      </x:c>
      <x:c r="F20" s="6" t="n">
        <x:f>F19+E20</x:f>
        <x:v>-3521500</x:v>
      </x:c>
      <x:c r="G20" s="6" t="n">
        <x:v>205000</x:v>
      </x:c>
      <x:c r="H20" s="6" t="n">
        <x:v>387000</x:v>
      </x:c>
      <x:c r="I20" s="6" t="n">
        <x:v>46</x:v>
      </x:c>
      <x:c r="J20" s="6" t="n">
        <x:v>164</x:v>
      </x:c>
      <x:c r="K20" s="6" t="n">
        <x:v>180</x:v>
      </x:c>
      <x:c r="L20" s="6" t="n">
        <x:v>10</x:v>
      </x:c>
      <x:c r="M20" s="11" t="n">
        <x:v>0.8958333333333334</x:v>
      </x:c>
      <x:c r="N20" s="6" t="n">
        <x:v>194500</x:v>
      </x:c>
    </x:row>
    <x:row r="21" ht="24" customHeight="1">
      <x:c r="A21" s="2" t="str">
        <x:v>2026-09-30_Night</x:v>
      </x:c>
      <x:c r="B21" s="6" t="str">
        <x:v>ナイト</x:v>
      </x:c>
      <x:c r="C21" s="6" t="n">
        <x:v>215000</x:v>
      </x:c>
      <x:c r="D21" s="6" t="n">
        <x:v>716000</x:v>
      </x:c>
      <x:c r="E21" s="6" t="n">
        <x:f>C21-D21</x:f>
        <x:v>-501000</x:v>
      </x:c>
      <x:c r="F21" s="6" t="n">
        <x:f>F20+E21</x:f>
        <x:v>-4022500</x:v>
      </x:c>
      <x:c r="G21" s="6" t="n">
        <x:v>126500</x:v>
      </x:c>
      <x:c r="H21" s="6" t="n">
        <x:v>627500</x:v>
      </x:c>
      <x:c r="I21" s="6" t="n">
        <x:v>77</x:v>
      </x:c>
      <x:c r="J21" s="6" t="n">
        <x:v>198</x:v>
      </x:c>
      <x:c r="K21" s="6" t="n">
        <x:v>218</x:v>
      </x:c>
      <x:c r="L21" s="6" t="n">
        <x:v>10</x:v>
      </x:c>
      <x:c r="M21" s="11" t="n">
        <x:v>0.8763675213675214</x:v>
      </x:c>
      <x:c r="N21" s="6" t="n">
        <x:v>506000</x:v>
      </x:c>
    </x:row>
    <x:row r="22" ht="24" customHeight="1">
      <x:c r="A22" s="2" t="str">
        <x:v>2026-10-01_Day</x:v>
      </x:c>
      <x:c r="B22" s="6" t="str">
        <x:v>デイ</x:v>
      </x:c>
      <x:c r="C22" s="6" t="n">
        <x:v>276500</x:v>
      </x:c>
      <x:c r="D22" s="6" t="n">
        <x:v>641000</x:v>
      </x:c>
      <x:c r="E22" s="6" t="n">
        <x:f>C22-D22</x:f>
        <x:v>-364500</x:v>
      </x:c>
      <x:c r="F22" s="6" t="n">
        <x:f>F21+E22</x:f>
        <x:v>-4387000</x:v>
      </x:c>
      <x:c r="G22" s="6" t="n">
        <x:v>193500</x:v>
      </x:c>
      <x:c r="H22" s="6" t="n">
        <x:v>558000</x:v>
      </x:c>
      <x:c r="I22" s="6" t="n">
        <x:v>57</x:v>
      </x:c>
      <x:c r="J22" s="6" t="n">
        <x:v>164</x:v>
      </x:c>
      <x:c r="K22" s="6" t="n">
        <x:v>166</x:v>
      </x:c>
      <x:c r="L22" s="6" t="n">
        <x:v>10</x:v>
      </x:c>
      <x:c r="M22" s="11" t="n">
        <x:v>0.9025396825396825</x:v>
      </x:c>
      <x:c r="N22" s="6" t="n">
        <x:v>367500</x:v>
      </x:c>
    </x:row>
    <x:row r="23" ht="24" customHeight="1">
      <x:c r="A23" s="2" t="str">
        <x:v>2026-10-01_Night</x:v>
      </x:c>
      <x:c r="B23" s="6" t="str">
        <x:v>ナイト</x:v>
      </x:c>
      <x:c r="C23" s="6" t="n">
        <x:v>300000</x:v>
      </x:c>
      <x:c r="D23" s="6" t="n">
        <x:v>711000</x:v>
      </x:c>
      <x:c r="E23" s="6" t="n">
        <x:f>C23-D23</x:f>
        <x:v>-411000</x:v>
      </x:c>
      <x:c r="F23" s="6" t="n">
        <x:f>F22+E23</x:f>
        <x:v>-4798000</x:v>
      </x:c>
      <x:c r="G23" s="6" t="n">
        <x:v>180500</x:v>
      </x:c>
      <x:c r="H23" s="6" t="n">
        <x:v>591500</x:v>
      </x:c>
      <x:c r="I23" s="6" t="n">
        <x:v>81</x:v>
      </x:c>
      <x:c r="J23" s="6" t="n">
        <x:v>250</x:v>
      </x:c>
      <x:c r="K23" s="6" t="n">
        <x:v>259</x:v>
      </x:c>
      <x:c r="L23" s="6" t="n">
        <x:v>10</x:v>
      </x:c>
      <x:c r="M23" s="11" t="n">
        <x:v>0.913931623931624</x:v>
      </x:c>
      <x:c r="N23" s="6" t="n">
        <x:v>426000</x:v>
      </x:c>
    </x:row>
    <x:row r="24" ht="24" customHeight="1">
      <x:c r="A24" s="2" t="str">
        <x:v>2026-10-02_Day</x:v>
      </x:c>
      <x:c r="B24" s="6" t="str">
        <x:v>デイ</x:v>
      </x:c>
      <x:c r="C24" s="6" t="n">
        <x:v>277000</x:v>
      </x:c>
      <x:c r="D24" s="6" t="n">
        <x:v>552000</x:v>
      </x:c>
      <x:c r="E24" s="6" t="n">
        <x:f>C24-D24</x:f>
        <x:v>-275000</x:v>
      </x:c>
      <x:c r="F24" s="6" t="n">
        <x:f>F23+E24</x:f>
        <x:v>-5073000</x:v>
      </x:c>
      <x:c r="G24" s="6" t="n">
        <x:v>198000</x:v>
      </x:c>
      <x:c r="H24" s="6" t="n">
        <x:v>473000</x:v>
      </x:c>
      <x:c r="I24" s="6" t="n">
        <x:v>61</x:v>
      </x:c>
      <x:c r="J24" s="6" t="n">
        <x:v>151</x:v>
      </x:c>
      <x:c r="K24" s="6" t="n">
        <x:v>168</x:v>
      </x:c>
      <x:c r="L24" s="6" t="n">
        <x:v>10</x:v>
      </x:c>
      <x:c r="M24" s="11" t="n">
        <x:v>0.9136111111111112</x:v>
      </x:c>
      <x:c r="N24" s="6" t="n">
        <x:v>294000</x:v>
      </x:c>
    </x:row>
    <x:row r="25" ht="24" customHeight="1">
      <x:c r="A25" s="2" t="str">
        <x:v>2026-10-02_Night</x:v>
      </x:c>
      <x:c r="B25" s="6" t="str">
        <x:v>ナイト</x:v>
      </x:c>
      <x:c r="C25" s="6" t="n">
        <x:v>368500</x:v>
      </x:c>
      <x:c r="D25" s="6" t="n">
        <x:v>793000</x:v>
      </x:c>
      <x:c r="E25" s="6" t="n">
        <x:f>C25-D25</x:f>
        <x:v>-424500</x:v>
      </x:c>
      <x:c r="F25" s="6" t="n">
        <x:f>F24+E25</x:f>
        <x:v>-5497500</x:v>
      </x:c>
      <x:c r="G25" s="6" t="n">
        <x:v>281500</x:v>
      </x:c>
      <x:c r="H25" s="6" t="n">
        <x:v>706000</x:v>
      </x:c>
      <x:c r="I25" s="6" t="n">
        <x:v>76</x:v>
      </x:c>
      <x:c r="J25" s="6" t="n">
        <x:v>184</x:v>
      </x:c>
      <x:c r="K25" s="6" t="n">
        <x:v>200</x:v>
      </x:c>
      <x:c r="L25" s="6" t="n">
        <x:v>10</x:v>
      </x:c>
      <x:c r="M25" s="11" t="n">
        <x:v>0.8716666666666667</x:v>
      </x:c>
      <x:c r="N25" s="6" t="n">
        <x:v>442000</x:v>
      </x:c>
    </x:row>
    <x:row r="26" ht="24" customHeight="1">
      <x:c r="A26" s="2" t="str">
        <x:v>2026-10-05_Day</x:v>
      </x:c>
      <x:c r="B26" s="6" t="str">
        <x:v>デイ</x:v>
      </x:c>
      <x:c r="C26" s="6" t="n">
        <x:v>132000</x:v>
      </x:c>
      <x:c r="D26" s="6" t="n">
        <x:v>475500</x:v>
      </x:c>
      <x:c r="E26" s="6" t="n">
        <x:f>C26-D26</x:f>
        <x:v>-343500</x:v>
      </x:c>
      <x:c r="F26" s="6" t="n">
        <x:f>F25+E26</x:f>
        <x:v>-5841000</x:v>
      </x:c>
      <x:c r="G26" s="6" t="n">
        <x:v>71500</x:v>
      </x:c>
      <x:c r="H26" s="6" t="n">
        <x:v>415000</x:v>
      </x:c>
      <x:c r="I26" s="6" t="n">
        <x:v>45</x:v>
      </x:c>
      <x:c r="J26" s="6" t="n">
        <x:v>105</x:v>
      </x:c>
      <x:c r="K26" s="6" t="n">
        <x:v>129</x:v>
      </x:c>
      <x:c r="L26" s="6" t="n">
        <x:v>10</x:v>
      </x:c>
      <x:c r="M26" s="11" t="n">
        <x:v>0.9101587301587302</x:v>
      </x:c>
      <x:c r="N26" s="6" t="n">
        <x:v>388500</x:v>
      </x:c>
    </x:row>
    <x:row r="27" ht="24" customHeight="1">
      <x:c r="A27" s="2" t="str">
        <x:v>2026-10-05_Night</x:v>
      </x:c>
      <x:c r="B27" s="6" t="str">
        <x:v>ナイト</x:v>
      </x:c>
      <x:c r="C27" s="6" t="n">
        <x:v>186500</x:v>
      </x:c>
      <x:c r="D27" s="6" t="n">
        <x:v>367500</x:v>
      </x:c>
      <x:c r="E27" s="6" t="n">
        <x:f>C27-D27</x:f>
        <x:v>-181000</x:v>
      </x:c>
      <x:c r="F27" s="6" t="n">
        <x:f>F26+E27</x:f>
        <x:v>-6022000</x:v>
      </x:c>
      <x:c r="G27" s="6" t="n">
        <x:v>129500</x:v>
      </x:c>
      <x:c r="H27" s="6" t="n">
        <x:v>310500</x:v>
      </x:c>
      <x:c r="I27" s="6" t="n">
        <x:v>36</x:v>
      </x:c>
      <x:c r="J27" s="6" t="n">
        <x:v>118</x:v>
      </x:c>
      <x:c r="K27" s="6" t="n">
        <x:v>142</x:v>
      </x:c>
      <x:c r="L27" s="6" t="n">
        <x:v>10</x:v>
      </x:c>
      <x:c r="M27" s="11" t="n">
        <x:v>0.9482264957264958</x:v>
      </x:c>
      <x:c r="N27" s="6" t="n">
        <x:v>199000</x:v>
      </x:c>
    </x:row>
    <x:row r="28" ht="24" customHeight="1">
      <x:c r="A28" s="2" t="str">
        <x:v>2026-10-06_Day</x:v>
      </x:c>
      <x:c r="B28" s="6" t="str">
        <x:v>デイ</x:v>
      </x:c>
      <x:c r="C28" s="6" t="n">
        <x:v>79000</x:v>
      </x:c>
      <x:c r="D28" s="6" t="n">
        <x:v>274000</x:v>
      </x:c>
      <x:c r="E28" s="6" t="n">
        <x:f>C28-D28</x:f>
        <x:v>-195000</x:v>
      </x:c>
      <x:c r="F28" s="6" t="n">
        <x:f>F27+E28</x:f>
        <x:v>-6217000</x:v>
      </x:c>
      <x:c r="G28" s="6" t="n">
        <x:v>51000</x:v>
      </x:c>
      <x:c r="H28" s="6" t="n">
        <x:v>246000</x:v>
      </x:c>
      <x:c r="I28" s="6" t="n">
        <x:v>27</x:v>
      </x:c>
      <x:c r="J28" s="6" t="n">
        <x:v>102</x:v>
      </x:c>
      <x:c r="K28" s="6" t="n">
        <x:v>108</x:v>
      </x:c>
      <x:c r="L28" s="6" t="n">
        <x:v>9</x:v>
      </x:c>
      <x:c r="M28" s="11" t="n">
        <x:v>0.8873809523809524</x:v>
      </x:c>
      <x:c r="N28" s="6" t="n">
        <x:v>233000</x:v>
      </x:c>
    </x:row>
    <x:row r="29" ht="24" customHeight="1">
      <x:c r="A29" s="2" t="str">
        <x:v>2026-10-06_Night</x:v>
      </x:c>
      <x:c r="B29" s="6" t="str">
        <x:v>ナイト</x:v>
      </x:c>
      <x:c r="C29" s="6" t="n">
        <x:v>57500</x:v>
      </x:c>
      <x:c r="D29" s="6" t="n">
        <x:v>218000</x:v>
      </x:c>
      <x:c r="E29" s="6" t="n">
        <x:f>C29-D29</x:f>
        <x:v>-160500</x:v>
      </x:c>
      <x:c r="F29" s="6" t="n">
        <x:f>F28+E29</x:f>
        <x:v>-6377500</x:v>
      </x:c>
      <x:c r="G29" s="6" t="n">
        <x:v>19500</x:v>
      </x:c>
      <x:c r="H29" s="6" t="n">
        <x:v>180000</x:v>
      </x:c>
      <x:c r="I29" s="6" t="n">
        <x:v>21</x:v>
      </x:c>
      <x:c r="J29" s="6" t="n">
        <x:v>85</x:v>
      </x:c>
      <x:c r="K29" s="6" t="n">
        <x:v>106</x:v>
      </x:c>
      <x:c r="L29" s="6" t="n">
        <x:v>9</x:v>
      </x:c>
      <x:c r="M29" s="11" t="n">
        <x:v>0.9518162393162393</x:v>
      </x:c>
      <x:c r="N29" s="6" t="n">
        <x:v>167000</x:v>
      </x:c>
    </x:row>
    <x:row r="30" ht="24" customHeight="1">
      <x:c r="A30" s="2" t="str">
        <x:v>2026-10-07_Day</x:v>
      </x:c>
      <x:c r="B30" s="6" t="str">
        <x:v>デイ</x:v>
      </x:c>
      <x:c r="C30" s="6" t="n">
        <x:v>251000</x:v>
      </x:c>
      <x:c r="D30" s="6" t="n">
        <x:v>260500</x:v>
      </x:c>
      <x:c r="E30" s="6" t="n">
        <x:f>C30-D30</x:f>
        <x:v>-9500</x:v>
      </x:c>
      <x:c r="F30" s="6" t="n">
        <x:f>F29+E30</x:f>
        <x:v>-6387000</x:v>
      </x:c>
      <x:c r="G30" s="6" t="n">
        <x:v>211000</x:v>
      </x:c>
      <x:c r="H30" s="6" t="n">
        <x:v>220500</x:v>
      </x:c>
      <x:c r="I30" s="6" t="n">
        <x:v>31</x:v>
      </x:c>
      <x:c r="J30" s="6" t="n">
        <x:v>95</x:v>
      </x:c>
      <x:c r="K30" s="6" t="n">
        <x:v>89</x:v>
      </x:c>
      <x:c r="L30" s="6" t="n">
        <x:v>10</x:v>
      </x:c>
      <x:c r="M30" s="11" t="n">
        <x:v>0.9178174603174604</x:v>
      </x:c>
      <x:c r="N30" s="6" t="n">
        <x:v>146500</x:v>
      </x:c>
    </x:row>
    <x:row r="31" ht="24" customHeight="1">
      <x:c r="A31" s="2" t="str">
        <x:v>2026-10-07_Night</x:v>
      </x:c>
      <x:c r="B31" s="6" t="str">
        <x:v>ナイト</x:v>
      </x:c>
      <x:c r="C31" s="6" t="n">
        <x:v>76000</x:v>
      </x:c>
      <x:c r="D31" s="6" t="n">
        <x:v>319000</x:v>
      </x:c>
      <x:c r="E31" s="6" t="n">
        <x:f>C31-D31</x:f>
        <x:v>-243000</x:v>
      </x:c>
      <x:c r="F31" s="6" t="n">
        <x:f>F30+E31</x:f>
        <x:v>-6630000</x:v>
      </x:c>
      <x:c r="G31" s="6" t="n">
        <x:v>36500</x:v>
      </x:c>
      <x:c r="H31" s="6" t="n">
        <x:v>279500</x:v>
      </x:c>
      <x:c r="I31" s="6" t="n">
        <x:v>42</x:v>
      </x:c>
      <x:c r="J31" s="6" t="n">
        <x:v>123</x:v>
      </x:c>
      <x:c r="K31" s="6" t="n">
        <x:v>137</x:v>
      </x:c>
      <x:c r="L31" s="6" t="n">
        <x:v>10</x:v>
      </x:c>
      <x:c r="M31" s="11" t="n">
        <x:v>0.9244230769230769</x:v>
      </x:c>
      <x:c r="N31" s="6" t="n">
        <x:v>253000</x:v>
      </x:c>
    </x:row>
    <x:row r="32" ht="24" customHeight="1">
      <x:c r="A32" s="2" t="str">
        <x:v>2026-10-08_Day</x:v>
      </x:c>
      <x:c r="B32" s="6" t="str">
        <x:v>デイ</x:v>
      </x:c>
      <x:c r="C32" s="6" t="n">
        <x:v>391000</x:v>
      </x:c>
      <x:c r="D32" s="6" t="n">
        <x:v>373000</x:v>
      </x:c>
      <x:c r="E32" s="6" t="n">
        <x:f>C32-D32</x:f>
        <x:v>18000</x:v>
      </x:c>
      <x:c r="F32" s="6" t="n">
        <x:f>F31+E32</x:f>
        <x:v>-6612000</x:v>
      </x:c>
      <x:c r="G32" s="6" t="n">
        <x:v>351000</x:v>
      </x:c>
      <x:c r="H32" s="6" t="n">
        <x:v>333000</x:v>
      </x:c>
      <x:c r="I32" s="6" t="n">
        <x:v>48</x:v>
      </x:c>
      <x:c r="J32" s="6" t="n">
        <x:v>111</x:v>
      </x:c>
      <x:c r="K32" s="6" t="n">
        <x:v>124</x:v>
      </x:c>
      <x:c r="L32" s="6" t="n">
        <x:v>10</x:v>
      </x:c>
      <x:c r="M32" s="11" t="n">
        <x:v>0.8865079365079365</x:v>
      </x:c>
      <x:c r="N32" s="6" t="n">
        <x:v>226500</x:v>
      </x:c>
    </x:row>
    <x:row r="33" ht="24" customHeight="1">
      <x:c r="A33" s="2" t="str">
        <x:v>2026-10-08_Night</x:v>
      </x:c>
      <x:c r="B33" s="6" t="str">
        <x:v>ナイト</x:v>
      </x:c>
      <x:c r="C33" s="6" t="n">
        <x:v>196000</x:v>
      </x:c>
      <x:c r="D33" s="6" t="n">
        <x:v>595500</x:v>
      </x:c>
      <x:c r="E33" s="6" t="n">
        <x:f>C33-D33</x:f>
        <x:v>-399500</x:v>
      </x:c>
      <x:c r="F33" s="6" t="n">
        <x:f>F32+E33</x:f>
        <x:v>-7011500</x:v>
      </x:c>
      <x:c r="G33" s="6" t="n">
        <x:v>119500</x:v>
      </x:c>
      <x:c r="H33" s="6" t="n">
        <x:v>519000</x:v>
      </x:c>
      <x:c r="I33" s="6" t="n">
        <x:v>59</x:v>
      </x:c>
      <x:c r="J33" s="6" t="n">
        <x:v>183</x:v>
      </x:c>
      <x:c r="K33" s="6" t="n">
        <x:v>211</x:v>
      </x:c>
      <x:c r="L33" s="6" t="n">
        <x:v>10</x:v>
      </x:c>
      <x:c r="M33" s="11" t="n">
        <x:v>0.941517094017094</x:v>
      </x:c>
      <x:c r="N33" s="6" t="n">
        <x:v>441500</x:v>
      </x:c>
    </x:row>
    <x:row r="34" ht="24" customHeight="1">
      <x:c r="A34" s="2" t="str">
        <x:v>2026-10-09_Day</x:v>
      </x:c>
      <x:c r="B34" s="6" t="str">
        <x:v>デイ</x:v>
      </x:c>
      <x:c r="C34" s="6" t="n">
        <x:v>114000</x:v>
      </x:c>
      <x:c r="D34" s="6" t="n">
        <x:v>519000</x:v>
      </x:c>
      <x:c r="E34" s="6" t="n">
        <x:f>C34-D34</x:f>
        <x:v>-405000</x:v>
      </x:c>
      <x:c r="F34" s="6" t="n">
        <x:f>F33+E34</x:f>
        <x:v>-7416500</x:v>
      </x:c>
      <x:c r="G34" s="6" t="n">
        <x:v>69000</x:v>
      </x:c>
      <x:c r="H34" s="6" t="n">
        <x:v>474000</x:v>
      </x:c>
      <x:c r="I34" s="6" t="n">
        <x:v>48</x:v>
      </x:c>
      <x:c r="J34" s="6" t="n">
        <x:v>114</x:v>
      </x:c>
      <x:c r="K34" s="6" t="n">
        <x:v>130</x:v>
      </x:c>
      <x:c r="L34" s="6" t="n">
        <x:v>10</x:v>
      </x:c>
      <x:c r="M34" s="11" t="n">
        <x:v>0.8901587301587301</x:v>
      </x:c>
      <x:c r="N34" s="6" t="n">
        <x:v>405000</x:v>
      </x:c>
    </x:row>
    <x:row r="35" ht="24" customHeight="1">
      <x:c r="A35" s="2" t="str">
        <x:v>2026-10-09_Night</x:v>
      </x:c>
      <x:c r="B35" s="6" t="str">
        <x:v>ナイト</x:v>
      </x:c>
      <x:c r="C35" s="6" t="n">
        <x:v>46000</x:v>
      </x:c>
      <x:c r="D35" s="6" t="n">
        <x:v>194500</x:v>
      </x:c>
      <x:c r="E35" s="6" t="n">
        <x:f>C35-D35</x:f>
        <x:v>-148500</x:v>
      </x:c>
      <x:c r="F35" s="6" t="n">
        <x:f>F34+E35</x:f>
        <x:v>-7565000</x:v>
      </x:c>
      <x:c r="G35" s="6" t="n">
        <x:v>21500</x:v>
      </x:c>
      <x:c r="H35" s="6" t="n">
        <x:v>170000</x:v>
      </x:c>
      <x:c r="I35" s="6" t="n">
        <x:v>28</x:v>
      </x:c>
      <x:c r="J35" s="6" t="n">
        <x:v>77</x:v>
      </x:c>
      <x:c r="K35" s="6" t="n">
        <x:v>84</x:v>
      </x:c>
      <x:c r="L35" s="6" t="n">
        <x:v>9</x:v>
      </x:c>
      <x:c r="M35" s="11" t="n">
        <x:v>0.9558119658119658</x:v>
      </x:c>
      <x:c r="N35" s="6" t="n">
        <x:v>154500</x:v>
      </x:c>
    </x:row>
    <x:row r="36" ht="24" customHeight="1">
      <x:c r="A36" s="2" t="str">
        <x:v>2026-10-12_Day</x:v>
      </x:c>
      <x:c r="B36" s="6" t="str">
        <x:v>デイ</x:v>
      </x:c>
      <x:c r="C36" s="6" t="n">
        <x:v>43000</x:v>
      </x:c>
      <x:c r="D36" s="6" t="n">
        <x:v>107500</x:v>
      </x:c>
      <x:c r="E36" s="6" t="n">
        <x:f>C36-D36</x:f>
        <x:v>-64500</x:v>
      </x:c>
      <x:c r="F36" s="6" t="n">
        <x:f>F35+E36</x:f>
        <x:v>-7629500</x:v>
      </x:c>
      <x:c r="G36" s="6" t="n">
        <x:v>30500</x:v>
      </x:c>
      <x:c r="H36" s="6" t="n">
        <x:v>95000</x:v>
      </x:c>
      <x:c r="I36" s="6" t="n">
        <x:v>13</x:v>
      </x:c>
      <x:c r="J36" s="6" t="n">
        <x:v>19</x:v>
      </x:c>
      <x:c r="K36" s="6" t="n">
        <x:v>26</x:v>
      </x:c>
      <x:c r="L36" s="6" t="n">
        <x:v>10</x:v>
      </x:c>
      <x:c r="M36" s="11" t="n">
        <x:v>0.9049206349206349</x:v>
      </x:c>
      <x:c r="N36" s="6" t="n">
        <x:v>106000</x:v>
      </x:c>
    </x:row>
    <x:row r="37" ht="24" customHeight="1">
      <x:c r="A37" s="2" t="str">
        <x:v>2026-10-12_Night</x:v>
      </x:c>
      <x:c r="B37" s="6" t="str">
        <x:v>ナイト</x:v>
      </x:c>
      <x:c r="C37" s="6" t="n">
        <x:v>32000</x:v>
      </x:c>
      <x:c r="D37" s="6" t="n">
        <x:v>163000</x:v>
      </x:c>
      <x:c r="E37" s="6" t="n">
        <x:f>C37-D37</x:f>
        <x:v>-131000</x:v>
      </x:c>
      <x:c r="F37" s="6" t="n">
        <x:f>F36+E37</x:f>
        <x:v>-7760500</x:v>
      </x:c>
      <x:c r="G37" s="6" t="n">
        <x:v>10000</x:v>
      </x:c>
      <x:c r="H37" s="6" t="n">
        <x:v>141000</x:v>
      </x:c>
      <x:c r="I37" s="6" t="n">
        <x:v>22</x:v>
      </x:c>
      <x:c r="J37" s="6" t="n">
        <x:v>60</x:v>
      </x:c>
      <x:c r="K37" s="6" t="n">
        <x:v>70</x:v>
      </x:c>
      <x:c r="L37" s="6" t="n">
        <x:v>6</x:v>
      </x:c>
      <x:c r="M37" s="11" t="n">
        <x:v>0.936965811965812</x:v>
      </x:c>
      <x:c r="N37" s="6" t="n">
        <x:v>136000</x:v>
      </x:c>
    </x:row>
    <x:row r="38" ht="24" customHeight="1">
      <x:c r="A38" s="2" t="str">
        <x:v>2026-10-13_Day</x:v>
      </x:c>
      <x:c r="B38" s="6" t="str">
        <x:v>デイ</x:v>
      </x:c>
      <x:c r="C38" s="6" t="n">
        <x:v>197000</x:v>
      </x:c>
      <x:c r="D38" s="6" t="n">
        <x:v>645000</x:v>
      </x:c>
      <x:c r="E38" s="6" t="n">
        <x:f>C38-D38</x:f>
        <x:v>-448000</x:v>
      </x:c>
      <x:c r="F38" s="6" t="n">
        <x:f>F37+E38</x:f>
        <x:v>-8208500</x:v>
      </x:c>
      <x:c r="G38" s="6" t="n">
        <x:v>154000</x:v>
      </x:c>
      <x:c r="H38" s="6" t="n">
        <x:v>602000</x:v>
      </x:c>
      <x:c r="I38" s="6" t="n">
        <x:v>54</x:v>
      </x:c>
      <x:c r="J38" s="6" t="n">
        <x:v>108</x:v>
      </x:c>
      <x:c r="K38" s="6" t="n">
        <x:v>120</x:v>
      </x:c>
      <x:c r="L38" s="6" t="n">
        <x:v>10</x:v>
      </x:c>
      <x:c r="M38" s="11" t="n">
        <x:v>0.8681746031746032</x:v>
      </x:c>
      <x:c r="N38" s="6" t="n">
        <x:v>481500</x:v>
      </x:c>
    </x:row>
    <x:row r="39" ht="24" customHeight="1">
      <x:c r="A39" s="2" t="str">
        <x:v>2026-10-13_Night</x:v>
      </x:c>
      <x:c r="B39" s="6" t="str">
        <x:v>ナイト</x:v>
      </x:c>
      <x:c r="C39" s="6" t="n">
        <x:v>78500</x:v>
      </x:c>
      <x:c r="D39" s="6" t="n">
        <x:v>189500</x:v>
      </x:c>
      <x:c r="E39" s="6" t="n">
        <x:f>C39-D39</x:f>
        <x:v>-111000</x:v>
      </x:c>
      <x:c r="F39" s="6" t="n">
        <x:f>F38+E39</x:f>
        <x:v>-8319500</x:v>
      </x:c>
      <x:c r="G39" s="6" t="n">
        <x:v>36000</x:v>
      </x:c>
      <x:c r="H39" s="6" t="n">
        <x:v>147000</x:v>
      </x:c>
      <x:c r="I39" s="6" t="n">
        <x:v>29</x:v>
      </x:c>
      <x:c r="J39" s="6" t="n">
        <x:v>82</x:v>
      </x:c>
      <x:c r="K39" s="6" t="n">
        <x:v>95</x:v>
      </x:c>
      <x:c r="L39" s="6" t="n">
        <x:v>9</x:v>
      </x:c>
      <x:c r="M39" s="11" t="n">
        <x:v>0.8642948717948717</x:v>
      </x:c>
      <x:c r="N39" s="6" t="n">
        <x:v>119500</x:v>
      </x:c>
    </x:row>
    <x:row r="40" ht="24" customHeight="1">
      <x:c r="A40" s="2" t="str">
        <x:v>2026-10-14_Day</x:v>
      </x:c>
      <x:c r="B40" s="6" t="str">
        <x:v>デイ</x:v>
      </x:c>
      <x:c r="C40" s="6" t="n">
        <x:v>118500</x:v>
      </x:c>
      <x:c r="D40" s="6" t="n">
        <x:v>375500</x:v>
      </x:c>
      <x:c r="E40" s="6" t="n">
        <x:f>C40-D40</x:f>
        <x:v>-257000</x:v>
      </x:c>
      <x:c r="F40" s="6" t="n">
        <x:f>F39+E40</x:f>
        <x:v>-8576500</x:v>
      </x:c>
      <x:c r="G40" s="6" t="n">
        <x:v>87000</x:v>
      </x:c>
      <x:c r="H40" s="6" t="n">
        <x:v>344000</x:v>
      </x:c>
      <x:c r="I40" s="6" t="n">
        <x:v>37</x:v>
      </x:c>
      <x:c r="J40" s="6" t="n">
        <x:v>70</x:v>
      </x:c>
      <x:c r="K40" s="6" t="n">
        <x:v>86</x:v>
      </x:c>
      <x:c r="L40" s="6" t="n">
        <x:v>10</x:v>
      </x:c>
      <x:c r="M40" s="11" t="n">
        <x:v>0.926984126984127</x:v>
      </x:c>
      <x:c r="N40" s="6" t="n">
        <x:v>258000</x:v>
      </x:c>
    </x:row>
    <x:row r="41" ht="24" customHeight="1">
      <x:c r="A41" s="2" t="str">
        <x:v>2026-10-14_Night</x:v>
      </x:c>
      <x:c r="B41" s="6" t="str">
        <x:v>ナイト</x:v>
      </x:c>
      <x:c r="C41" s="6" t="n">
        <x:v>289500</x:v>
      </x:c>
      <x:c r="D41" s="6" t="n">
        <x:v>546500</x:v>
      </x:c>
      <x:c r="E41" s="6" t="n">
        <x:f>C41-D41</x:f>
        <x:v>-257000</x:v>
      </x:c>
      <x:c r="F41" s="6" t="n">
        <x:f>F40+E41</x:f>
        <x:v>-8833500</x:v>
      </x:c>
      <x:c r="G41" s="6" t="n">
        <x:v>203500</x:v>
      </x:c>
      <x:c r="H41" s="6" t="n">
        <x:v>460500</x:v>
      </x:c>
      <x:c r="I41" s="6" t="n">
        <x:v>64</x:v>
      </x:c>
      <x:c r="J41" s="6" t="n">
        <x:v>172</x:v>
      </x:c>
      <x:c r="K41" s="6" t="n">
        <x:v>205</x:v>
      </x:c>
      <x:c r="L41" s="6" t="n">
        <x:v>10</x:v>
      </x:c>
      <x:c r="M41" s="11" t="n">
        <x:v>0.9144017094017094</x:v>
      </x:c>
      <x:c r="N41" s="6" t="n">
        <x:v>266500</x:v>
      </x:c>
    </x:row>
    <x:row r="42" ht="24" customHeight="1">
      <x:c r="A42" s="2" t="str">
        <x:v>2026-10-15_Day</x:v>
      </x:c>
      <x:c r="B42" s="6" t="str">
        <x:v>デイ</x:v>
      </x:c>
      <x:c r="C42" s="6" t="n">
        <x:v>620000</x:v>
      </x:c>
      <x:c r="D42" s="6" t="n">
        <x:v>841500</x:v>
      </x:c>
      <x:c r="E42" s="6" t="n">
        <x:f>C42-D42</x:f>
        <x:v>-221500</x:v>
      </x:c>
      <x:c r="F42" s="6" t="n">
        <x:f>F41+E42</x:f>
        <x:v>-9055000</x:v>
      </x:c>
      <x:c r="G42" s="6" t="n">
        <x:v>491000</x:v>
      </x:c>
      <x:c r="H42" s="6" t="n">
        <x:v>712500</x:v>
      </x:c>
      <x:c r="I42" s="6" t="n">
        <x:v>81</x:v>
      </x:c>
      <x:c r="J42" s="6" t="n">
        <x:v>187</x:v>
      </x:c>
      <x:c r="K42" s="6" t="n">
        <x:v>191</x:v>
      </x:c>
      <x:c r="L42" s="6" t="n">
        <x:v>10</x:v>
      </x:c>
      <x:c r="M42" s="11" t="n">
        <x:v>0.8201587301587302</x:v>
      </x:c>
      <x:c r="N42" s="6" t="n">
        <x:v>341000</x:v>
      </x:c>
    </x:row>
    <x:row r="43" ht="24" customHeight="1">
      <x:c r="A43" s="2" t="str">
        <x:v>2026-10-15_Night</x:v>
      </x:c>
      <x:c r="B43" s="6" t="str">
        <x:v>ナイト</x:v>
      </x:c>
      <x:c r="C43" s="6" t="n">
        <x:v>321500</x:v>
      </x:c>
      <x:c r="D43" s="6" t="n">
        <x:v>671000</x:v>
      </x:c>
      <x:c r="E43" s="6" t="n">
        <x:f>C43-D43</x:f>
        <x:v>-349500</x:v>
      </x:c>
      <x:c r="F43" s="6" t="n">
        <x:f>F42+E43</x:f>
        <x:v>-9404500</x:v>
      </x:c>
      <x:c r="G43" s="6" t="n">
        <x:v>231000</x:v>
      </x:c>
      <x:c r="H43" s="6" t="n">
        <x:v>580500</x:v>
      </x:c>
      <x:c r="I43" s="6" t="n">
        <x:v>72</x:v>
      </x:c>
      <x:c r="J43" s="6" t="n">
        <x:v>171</x:v>
      </x:c>
      <x:c r="K43" s="6" t="n">
        <x:v>200</x:v>
      </x:c>
      <x:c r="L43" s="6" t="n">
        <x:v>10</x:v>
      </x:c>
      <x:c r="M43" s="11" t="n">
        <x:v>0.9332905982905982</x:v>
      </x:c>
      <x:c r="N43" s="6" t="n">
        <x:v>360500</x:v>
      </x:c>
    </x:row>
    <x:row r="44" ht="24" customHeight="1">
      <x:c r="A44" s="2" t="str">
        <x:v>2026-10-16_Day</x:v>
      </x:c>
      <x:c r="B44" s="6" t="str">
        <x:v>デイ</x:v>
      </x:c>
      <x:c r="C44" s="6" t="n">
        <x:v>386500</x:v>
      </x:c>
      <x:c r="D44" s="6" t="n">
        <x:v>615000</x:v>
      </x:c>
      <x:c r="E44" s="6" t="n">
        <x:f>C44-D44</x:f>
        <x:v>-228500</x:v>
      </x:c>
      <x:c r="F44" s="6" t="n">
        <x:f>F43+E44</x:f>
        <x:v>-9633000</x:v>
      </x:c>
      <x:c r="G44" s="6" t="n">
        <x:v>274000</x:v>
      </x:c>
      <x:c r="H44" s="6" t="n">
        <x:v>502500</x:v>
      </x:c>
      <x:c r="I44" s="6" t="n">
        <x:v>55</x:v>
      </x:c>
      <x:c r="J44" s="6" t="n">
        <x:v>151</x:v>
      </x:c>
      <x:c r="K44" s="6" t="n">
        <x:v>155</x:v>
      </x:c>
      <x:c r="L44" s="6" t="n">
        <x:v>10</x:v>
      </x:c>
      <x:c r="M44" s="11" t="n">
        <x:v>0.8878968253968254</x:v>
      </x:c>
      <x:c r="N44" s="6" t="n">
        <x:v>324000</x:v>
      </x:c>
    </x:row>
    <x:row r="45" ht="24" customHeight="1">
      <x:c r="A45" s="2" t="str">
        <x:v>2026-10-16_Night</x:v>
      </x:c>
      <x:c r="B45" s="6" t="str">
        <x:v>ナイト</x:v>
      </x:c>
      <x:c r="C45" s="6" t="n">
        <x:v>342500</x:v>
      </x:c>
      <x:c r="D45" s="6" t="n">
        <x:v>699500</x:v>
      </x:c>
      <x:c r="E45" s="6" t="n">
        <x:f>C45-D45</x:f>
        <x:v>-357000</x:v>
      </x:c>
      <x:c r="F45" s="6" t="n">
        <x:f>F44+E45</x:f>
        <x:v>-9990000</x:v>
      </x:c>
      <x:c r="G45" s="6" t="n">
        <x:v>229000</x:v>
      </x:c>
      <x:c r="H45" s="6" t="n">
        <x:v>586000</x:v>
      </x:c>
      <x:c r="I45" s="6" t="n">
        <x:v>79</x:v>
      </x:c>
      <x:c r="J45" s="6" t="n">
        <x:v>243</x:v>
      </x:c>
      <x:c r="K45" s="6" t="n">
        <x:v>268</x:v>
      </x:c>
      <x:c r="L45" s="6" t="n">
        <x:v>10</x:v>
      </x:c>
      <x:c r="M45" s="11" t="n">
        <x:v>0.920982905982906</x:v>
      </x:c>
      <x:c r="N45" s="6" t="n">
        <x:v>360000</x:v>
      </x:c>
    </x:row>
    <x:row r="46" ht="24" customHeight="1">
      <x:c r="A46" s="2" t="str">
        <x:v>2026-10-19_Day</x:v>
      </x:c>
      <x:c r="B46" s="6" t="str">
        <x:v>デイ</x:v>
      </x:c>
      <x:c r="C46" s="6" t="n">
        <x:v>463500</x:v>
      </x:c>
      <x:c r="D46" s="6" t="n">
        <x:v>757000</x:v>
      </x:c>
      <x:c r="E46" s="6" t="n">
        <x:f>C46-D46</x:f>
        <x:v>-293500</x:v>
      </x:c>
      <x:c r="F46" s="6" t="n">
        <x:f>F45+E46</x:f>
        <x:v>-10283500</x:v>
      </x:c>
      <x:c r="G46" s="6" t="n">
        <x:v>399000</x:v>
      </x:c>
      <x:c r="H46" s="6" t="n">
        <x:v>692500</x:v>
      </x:c>
      <x:c r="I46" s="6" t="n">
        <x:v>65</x:v>
      </x:c>
      <x:c r="J46" s="6" t="n">
        <x:v>130</x:v>
      </x:c>
      <x:c r="K46" s="6" t="n">
        <x:v>127</x:v>
      </x:c>
      <x:c r="L46" s="6" t="n">
        <x:v>10</x:v>
      </x:c>
      <x:c r="M46" s="11" t="n">
        <x:v>0.888452380952381</x:v>
      </x:c>
      <x:c r="N46" s="6" t="n">
        <x:v>367500</x:v>
      </x:c>
    </x:row>
    <x:row r="47" ht="24" customHeight="1">
      <x:c r="A47" s="2" t="str">
        <x:v>2026-10-19_Night</x:v>
      </x:c>
      <x:c r="B47" s="6" t="str">
        <x:v>ナイト</x:v>
      </x:c>
      <x:c r="C47" s="6" t="n">
        <x:v>174500</x:v>
      </x:c>
      <x:c r="D47" s="6" t="n">
        <x:v>386500</x:v>
      </x:c>
      <x:c r="E47" s="6" t="n">
        <x:f>C47-D47</x:f>
        <x:v>-212000</x:v>
      </x:c>
      <x:c r="F47" s="6" t="n">
        <x:f>F46+E47</x:f>
        <x:v>-10495500</x:v>
      </x:c>
      <x:c r="G47" s="6" t="n">
        <x:v>105500</x:v>
      </x:c>
      <x:c r="H47" s="6" t="n">
        <x:v>317500</x:v>
      </x:c>
      <x:c r="I47" s="6" t="n">
        <x:v>49</x:v>
      </x:c>
      <x:c r="J47" s="6" t="n">
        <x:v>157</x:v>
      </x:c>
      <x:c r="K47" s="6" t="n">
        <x:v>171</x:v>
      </x:c>
      <x:c r="L47" s="6" t="n">
        <x:v>10</x:v>
      </x:c>
      <x:c r="M47" s="11" t="n">
        <x:v>0.9430128205128205</x:v>
      </x:c>
      <x:c r="N47" s="6" t="n">
        <x:v>215500</x:v>
      </x:c>
    </x:row>
    <x:row r="48" ht="24" customHeight="1">
      <x:c r="A48" s="2" t="str">
        <x:v>2026-10-20_Day</x:v>
      </x:c>
      <x:c r="B48" s="6" t="str">
        <x:v>デイ</x:v>
      </x:c>
      <x:c r="C48" s="6" t="n">
        <x:v>310500</x:v>
      </x:c>
      <x:c r="D48" s="6" t="n">
        <x:v>633500</x:v>
      </x:c>
      <x:c r="E48" s="6" t="n">
        <x:f>C48-D48</x:f>
        <x:v>-323000</x:v>
      </x:c>
      <x:c r="F48" s="6" t="n">
        <x:f>F47+E48</x:f>
        <x:v>-10818500</x:v>
      </x:c>
      <x:c r="G48" s="6" t="n">
        <x:v>247000</x:v>
      </x:c>
      <x:c r="H48" s="6" t="n">
        <x:v>570000</x:v>
      </x:c>
      <x:c r="I48" s="6" t="n">
        <x:v>65</x:v>
      </x:c>
      <x:c r="J48" s="6" t="n">
        <x:v>165</x:v>
      </x:c>
      <x:c r="K48" s="6" t="n">
        <x:v>166</x:v>
      </x:c>
      <x:c r="L48" s="6" t="n">
        <x:v>10</x:v>
      </x:c>
      <x:c r="M48" s="11" t="n">
        <x:v>0.861031746031746</x:v>
      </x:c>
      <x:c r="N48" s="6" t="n">
        <x:v>336500</x:v>
      </x:c>
    </x:row>
    <x:row r="49" ht="24" customHeight="1">
      <x:c r="A49" s="2" t="str">
        <x:v>2026-10-20_Night</x:v>
      </x:c>
      <x:c r="B49" s="6" t="str">
        <x:v>ナイト</x:v>
      </x:c>
      <x:c r="C49" s="6" t="n">
        <x:v>297000</x:v>
      </x:c>
      <x:c r="D49" s="6" t="n">
        <x:v>592500</x:v>
      </x:c>
      <x:c r="E49" s="6" t="n">
        <x:f>C49-D49</x:f>
        <x:v>-295500</x:v>
      </x:c>
      <x:c r="F49" s="6" t="n">
        <x:f>F48+E49</x:f>
        <x:v>-11114000</x:v>
      </x:c>
      <x:c r="G49" s="6" t="n">
        <x:v>192500</x:v>
      </x:c>
      <x:c r="H49" s="6" t="n">
        <x:v>488000</x:v>
      </x:c>
      <x:c r="I49" s="6" t="n">
        <x:v>64</x:v>
      </x:c>
      <x:c r="J49" s="6" t="n">
        <x:v>173</x:v>
      </x:c>
      <x:c r="K49" s="6" t="n">
        <x:v>213</x:v>
      </x:c>
      <x:c r="L49" s="6" t="n">
        <x:v>10</x:v>
      </x:c>
      <x:c r="M49" s="11" t="n">
        <x:v>0.9263888888888889</x:v>
      </x:c>
      <x:c r="N49" s="6" t="n">
        <x:v>314000</x:v>
      </x:c>
    </x:row>
    <x:row r="50" ht="24" customHeight="1">
      <x:c r="A50" s="2" t="str">
        <x:v>2026-10-21_Day</x:v>
      </x:c>
      <x:c r="B50" s="6" t="str">
        <x:v>デイ</x:v>
      </x:c>
      <x:c r="C50" s="6" t="n">
        <x:v>64000</x:v>
      </x:c>
      <x:c r="D50" s="6" t="n">
        <x:v>307000</x:v>
      </x:c>
      <x:c r="E50" s="6" t="n">
        <x:f>C50-D50</x:f>
        <x:v>-243000</x:v>
      </x:c>
      <x:c r="F50" s="6" t="n">
        <x:f>F49+E50</x:f>
        <x:v>-11357000</x:v>
      </x:c>
      <x:c r="G50" s="6" t="n">
        <x:v>23000</x:v>
      </x:c>
      <x:c r="H50" s="6" t="n">
        <x:v>266000</x:v>
      </x:c>
      <x:c r="I50" s="6" t="n">
        <x:v>35</x:v>
      </x:c>
      <x:c r="J50" s="6" t="n">
        <x:v>97</x:v>
      </x:c>
      <x:c r="K50" s="6" t="n">
        <x:v>113</x:v>
      </x:c>
      <x:c r="L50" s="6" t="n">
        <x:v>9</x:v>
      </x:c>
      <x:c r="M50" s="11" t="n">
        <x:v>0.8459523809523809</x:v>
      </x:c>
      <x:c r="N50" s="6" t="n">
        <x:v>249000</x:v>
      </x:c>
    </x:row>
    <x:row r="51" ht="24" customHeight="1">
      <x:c r="A51" s="2" t="str">
        <x:v>2026-10-21_Night</x:v>
      </x:c>
      <x:c r="B51" s="6" t="str">
        <x:v>ナイト</x:v>
      </x:c>
      <x:c r="C51" s="6" t="n">
        <x:v>251500</x:v>
      </x:c>
      <x:c r="D51" s="6" t="n">
        <x:v>423500</x:v>
      </x:c>
      <x:c r="E51" s="6" t="n">
        <x:f>C51-D51</x:f>
        <x:v>-172000</x:v>
      </x:c>
      <x:c r="F51" s="6" t="n">
        <x:f>F50+E51</x:f>
        <x:v>-11529000</x:v>
      </x:c>
      <x:c r="G51" s="6" t="n">
        <x:v>160500</x:v>
      </x:c>
      <x:c r="H51" s="6" t="n">
        <x:v>332500</x:v>
      </x:c>
      <x:c r="I51" s="6" t="n">
        <x:v>50</x:v>
      </x:c>
      <x:c r="J51" s="6" t="n">
        <x:v>142</x:v>
      </x:c>
      <x:c r="K51" s="6" t="n">
        <x:v>159</x:v>
      </x:c>
      <x:c r="L51" s="6" t="n">
        <x:v>10</x:v>
      </x:c>
      <x:c r="M51" s="11" t="n">
        <x:v>0.950491452991453</x:v>
      </x:c>
      <x:c r="N51" s="6" t="n">
        <x:v>201000</x:v>
      </x:c>
    </x:row>
    <x:row r="52" ht="24" customHeight="1">
      <x:c r="A52" s="2" t="str">
        <x:v>2026-10-22_Day</x:v>
      </x:c>
      <x:c r="B52" s="6" t="str">
        <x:v>デイ</x:v>
      </x:c>
      <x:c r="C52" s="6" t="n">
        <x:v>275000</x:v>
      </x:c>
      <x:c r="D52" s="6" t="n">
        <x:v>589500</x:v>
      </x:c>
      <x:c r="E52" s="6" t="n">
        <x:f>C52-D52</x:f>
        <x:v>-314500</x:v>
      </x:c>
      <x:c r="F52" s="6" t="n">
        <x:f>F51+E52</x:f>
        <x:v>-11843500</x:v>
      </x:c>
      <x:c r="G52" s="6" t="n">
        <x:v>197500</x:v>
      </x:c>
      <x:c r="H52" s="6" t="n">
        <x:v>512000</x:v>
      </x:c>
      <x:c r="I52" s="6" t="n">
        <x:v>58</x:v>
      </x:c>
      <x:c r="J52" s="6" t="n">
        <x:v>159</x:v>
      </x:c>
      <x:c r="K52" s="6" t="n">
        <x:v>180</x:v>
      </x:c>
      <x:c r="L52" s="6" t="n">
        <x:v>10</x:v>
      </x:c>
      <x:c r="M52" s="11" t="n">
        <x:v>0.8590476190476191</x:v>
      </x:c>
      <x:c r="N52" s="6" t="n">
        <x:v>386000</x:v>
      </x:c>
    </x:row>
    <x:row r="53" ht="24" customHeight="1">
      <x:c r="A53" s="2" t="str">
        <x:v>2026-10-22_Night</x:v>
      </x:c>
      <x:c r="B53" s="6" t="str">
        <x:v>ナイト</x:v>
      </x:c>
      <x:c r="C53" s="6" t="n">
        <x:v>334500</x:v>
      </x:c>
      <x:c r="D53" s="6" t="n">
        <x:v>701000</x:v>
      </x:c>
      <x:c r="E53" s="6" t="n">
        <x:f>C53-D53</x:f>
        <x:v>-366500</x:v>
      </x:c>
      <x:c r="F53" s="6" t="n">
        <x:f>F52+E53</x:f>
        <x:v>-12210000</x:v>
      </x:c>
      <x:c r="G53" s="6" t="n">
        <x:v>219000</x:v>
      </x:c>
      <x:c r="H53" s="6" t="n">
        <x:v>585500</x:v>
      </x:c>
      <x:c r="I53" s="6" t="n">
        <x:v>81</x:v>
      </x:c>
      <x:c r="J53" s="6" t="n">
        <x:v>242</x:v>
      </x:c>
      <x:c r="K53" s="6" t="n">
        <x:v>263</x:v>
      </x:c>
      <x:c r="L53" s="6" t="n">
        <x:v>10</x:v>
      </x:c>
      <x:c r="M53" s="11" t="n">
        <x:v>0.9138247863247864</x:v>
      </x:c>
      <x:c r="N53" s="6" t="n">
        <x:v>373500</x:v>
      </x:c>
    </x:row>
    <x:row r="54" ht="24" customHeight="1">
      <x:c r="A54" s="2" t="str">
        <x:v>2026-10-23_Day</x:v>
      </x:c>
      <x:c r="B54" s="6" t="str">
        <x:v>デイ</x:v>
      </x:c>
      <x:c r="C54" s="6" t="n">
        <x:v>884500</x:v>
      </x:c>
      <x:c r="D54" s="6" t="n">
        <x:v>1530000</x:v>
      </x:c>
      <x:c r="E54" s="6" t="n">
        <x:f>C54-D54</x:f>
        <x:v>-645500</x:v>
      </x:c>
      <x:c r="F54" s="6" t="n">
        <x:f>F53+E54</x:f>
        <x:v>-12855500</x:v>
      </x:c>
      <x:c r="G54" s="6" t="n">
        <x:v>802500</x:v>
      </x:c>
      <x:c r="H54" s="6" t="n">
        <x:v>1448000</x:v>
      </x:c>
      <x:c r="I54" s="6" t="n">
        <x:v>110</x:v>
      </x:c>
      <x:c r="J54" s="6" t="n">
        <x:v>182</x:v>
      </x:c>
      <x:c r="K54" s="6" t="n">
        <x:v>222</x:v>
      </x:c>
      <x:c r="L54" s="6" t="n">
        <x:v>10</x:v>
      </x:c>
      <x:c r="M54" s="11" t="n">
        <x:v>0.7980158730158731</x:v>
      </x:c>
      <x:c r="N54" s="6" t="n">
        <x:v>722000</x:v>
      </x:c>
    </x:row>
    <x:row r="55" ht="24" customHeight="1">
      <x:c r="A55" s="2" t="str">
        <x:v>2026-10-23_Night</x:v>
      </x:c>
      <x:c r="B55" s="6" t="str">
        <x:v>ナイト</x:v>
      </x:c>
      <x:c r="C55" s="6" t="n">
        <x:v>359500</x:v>
      </x:c>
      <x:c r="D55" s="6" t="n">
        <x:v>660000</x:v>
      </x:c>
      <x:c r="E55" s="6" t="n">
        <x:f>C55-D55</x:f>
        <x:v>-300500</x:v>
      </x:c>
      <x:c r="F55" s="6" t="n">
        <x:f>F54+E55</x:f>
        <x:v>-13156000</x:v>
      </x:c>
      <x:c r="G55" s="6" t="n">
        <x:v>234000</x:v>
      </x:c>
      <x:c r="H55" s="6" t="n">
        <x:v>534500</x:v>
      </x:c>
      <x:c r="I55" s="6" t="n">
        <x:v>69</x:v>
      </x:c>
      <x:c r="J55" s="6" t="n">
        <x:v>210</x:v>
      </x:c>
      <x:c r="K55" s="6" t="n">
        <x:v>222</x:v>
      </x:c>
      <x:c r="L55" s="6" t="n">
        <x:v>10</x:v>
      </x:c>
      <x:c r="M55" s="11" t="n">
        <x:v>0.9108119658119658</x:v>
      </x:c>
      <x:c r="N55" s="6" t="n">
        <x:v>338500</x:v>
      </x:c>
    </x:row>
    <x:row r="56" ht="24" customHeight="1">
      <x:c r="A56" s="2" t="str">
        <x:v>2026-10-26_Day</x:v>
      </x:c>
      <x:c r="B56" s="6" t="str">
        <x:v>デイ</x:v>
      </x:c>
      <x:c r="C56" s="6" t="n">
        <x:v>420000</x:v>
      </x:c>
      <x:c r="D56" s="6" t="n">
        <x:v>738500</x:v>
      </x:c>
      <x:c r="E56" s="6" t="n">
        <x:f>C56-D56</x:f>
        <x:v>-318500</x:v>
      </x:c>
      <x:c r="F56" s="6" t="n">
        <x:f>F55+E56</x:f>
        <x:v>-13474500</x:v>
      </x:c>
      <x:c r="G56" s="6" t="n">
        <x:v>350000</x:v>
      </x:c>
      <x:c r="H56" s="6" t="n">
        <x:v>668500</x:v>
      </x:c>
      <x:c r="I56" s="6" t="n">
        <x:v>72</x:v>
      </x:c>
      <x:c r="J56" s="6" t="n">
        <x:v>139</x:v>
      </x:c>
      <x:c r="K56" s="6" t="n">
        <x:v>158</x:v>
      </x:c>
      <x:c r="L56" s="6" t="n">
        <x:v>10</x:v>
      </x:c>
      <x:c r="M56" s="11" t="n">
        <x:v>0.8853571428571428</x:v>
      </x:c>
      <x:c r="N56" s="6" t="n">
        <x:v>459500</x:v>
      </x:c>
    </x:row>
    <x:row r="57" ht="24" customHeight="1">
      <x:c r="A57" s="15" t="str">
        <x:v>累計／平均／最大</x:v>
      </x:c>
      <x:c r="B57" s="16"/>
      <x:c r="C57" s="16" t="n">
        <x:f>SUM(C6:C56)</x:f>
        <x:v>12066500</x:v>
      </x:c>
      <x:c r="D57" s="16" t="n">
        <x:f>SUM(D6:D56)</x:f>
        <x:v>25541000</x:v>
      </x:c>
      <x:c r="E57" s="16" t="n">
        <x:f>C57-D57</x:f>
        <x:v>-13474500</x:v>
      </x:c>
      <x:c r="F57" s="16" t="n">
        <x:f>F56</x:f>
        <x:v>-13474500</x:v>
      </x:c>
      <x:c r="G57" s="16" t="n">
        <x:f>SUM(G6:G56)</x:f>
        <x:v>8724000</x:v>
      </x:c>
      <x:c r="H57" s="16" t="n">
        <x:f>SUM(H6:H56)</x:f>
        <x:v>22198500</x:v>
      </x:c>
      <x:c r="I57" s="16" t="n">
        <x:f>SUM(I6:I56)</x:f>
        <x:v>2631</x:v>
      </x:c>
      <x:c r="J57" s="16" t="n">
        <x:f>SUM(J6:J56)</x:f>
        <x:v>6931</x:v>
      </x:c>
      <x:c r="K57" s="16" t="n">
        <x:f>SUM(K6:K56)</x:f>
        <x:v>7635</x:v>
      </x:c>
      <x:c r="L57" s="16" t="n">
        <x:f>MAX(L6:L56)</x:f>
        <x:v>10</x:v>
      </x:c>
      <x:c r="M57" s="17" t="n">
        <x:f>AVERAGE(M6:M56)</x:f>
        <x:v>0.8976943426943427</x:v>
      </x:c>
      <x:c r="N57" s="16" t="n">
        <x:f>MAX(N6:N56)</x:f>
        <x:v>722000</x:v>
      </x:c>
    </x:row>
  </x:sheetData>
  <x:conditionalFormatting sqref="E6:F56">
    <x:cfRule type="cellIs" dxfId="63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ef1ccd4c9e74946"/>
  </x:tableParts>
</x:worksheet>
</file>

<file path=xl/worksheets/sheet6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1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4" customHeight="1">
      <x:c r="A1" s="3" t="str">
        <x:v>TOPIX M23　各セッションの利益・損失・収支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A2" s="4" t="str">
        <x:v>2026/09/21〜10/26デイ・51完了場。日経mini／TOPIXmini各上限10枚・手数料0。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4" customHeight="1">
      <x:c r="A3" s="4" t="str">
        <x:v>600秒の時間加重平均を60秒前と比較。保有中も傾き比例で増減、利益追尾＋傾き反転で返済。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4" customHeight="1">
      <x:c r="A4" s="4" t="str">
        <x:v>利益・損失＝FIFO返済配賦別。親＝初回から全返済まで。ラージ気配による模型で、mini実約定の検証ではありません。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42" customHeight="1">
      <x:c r="A5" s="10" t="str">
        <x:v>セッション</x:v>
      </x:c>
      <x:c r="B5" s="10" t="str">
        <x:v>区分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親利益（円）</x:v>
      </x:c>
      <x:c r="H5" s="10" t="str">
        <x:v>親損失（円）</x:v>
      </x:c>
      <x:c r="I5" s="10" t="str">
        <x:v>初回件数</x:v>
      </x:c>
      <x:c r="J5" s="10" t="str">
        <x:v>追加件数</x:v>
      </x:c>
      <x:c r="K5" s="10" t="str">
        <x:v>縮小件数</x:v>
      </x:c>
      <x:c r="L5" s="10" t="str">
        <x:v>最大保有枚数</x:v>
      </x:c>
      <x:c r="M5" s="10" t="str">
        <x:v>保有時間率</x:v>
      </x:c>
      <x:c r="N5" s="10" t="str">
        <x:v>時価最大DD（円）</x:v>
      </x:c>
    </x:row>
    <x:row r="6" ht="24" customHeight="1">
      <x:c r="A6" s="2" t="str">
        <x:v>2026-09-21_Day</x:v>
      </x:c>
      <x:c r="B6" s="6" t="str">
        <x:v>デイ</x:v>
      </x:c>
      <x:c r="C6" s="6" t="n">
        <x:v>33500</x:v>
      </x:c>
      <x:c r="D6" s="6" t="n">
        <x:v>224500</x:v>
      </x:c>
      <x:c r="E6" s="6" t="n">
        <x:f>C6-D6</x:f>
        <x:v>-191000</x:v>
      </x:c>
      <x:c r="F6" s="6" t="n">
        <x:f>E6</x:f>
        <x:v>-191000</x:v>
      </x:c>
      <x:c r="G6" s="6" t="n">
        <x:v>18000</x:v>
      </x:c>
      <x:c r="H6" s="6" t="n">
        <x:v>209000</x:v>
      </x:c>
      <x:c r="I6" s="6" t="n">
        <x:v>33</x:v>
      </x:c>
      <x:c r="J6" s="6" t="n">
        <x:v>46</x:v>
      </x:c>
      <x:c r="K6" s="6" t="n">
        <x:v>42</x:v>
      </x:c>
      <x:c r="L6" s="6" t="n">
        <x:v>10</x:v>
      </x:c>
      <x:c r="M6" s="11" t="n">
        <x:v>0.5592063492063492</x:v>
      </x:c>
      <x:c r="N6" s="6" t="n">
        <x:v>195500</x:v>
      </x:c>
    </x:row>
    <x:row r="7" ht="24" customHeight="1">
      <x:c r="A7" s="2" t="str">
        <x:v>2026-09-21_Night</x:v>
      </x:c>
      <x:c r="B7" s="6" t="str">
        <x:v>ナイト</x:v>
      </x:c>
      <x:c r="C7" s="6" t="n">
        <x:v>52000</x:v>
      </x:c>
      <x:c r="D7" s="6" t="n">
        <x:v>202500</x:v>
      </x:c>
      <x:c r="E7" s="6" t="n">
        <x:f>C7-D7</x:f>
        <x:v>-150500</x:v>
      </x:c>
      <x:c r="F7" s="6" t="n">
        <x:f>F6+E7</x:f>
        <x:v>-341500</x:v>
      </x:c>
      <x:c r="G7" s="6" t="n">
        <x:v>18000</x:v>
      </x:c>
      <x:c r="H7" s="6" t="n">
        <x:v>168500</x:v>
      </x:c>
      <x:c r="I7" s="6" t="n">
        <x:v>57</x:v>
      </x:c>
      <x:c r="J7" s="6" t="n">
        <x:v>92</x:v>
      </x:c>
      <x:c r="K7" s="6" t="n">
        <x:v>95</x:v>
      </x:c>
      <x:c r="L7" s="6" t="n">
        <x:v>6</x:v>
      </x:c>
      <x:c r="M7" s="11" t="n">
        <x:v>0.7594017094017094</x:v>
      </x:c>
      <x:c r="N7" s="6" t="n">
        <x:v>160000</x:v>
      </x:c>
    </x:row>
    <x:row r="8" ht="24" customHeight="1">
      <x:c r="A8" s="2" t="str">
        <x:v>2026-09-22_Day</x:v>
      </x:c>
      <x:c r="B8" s="6" t="str">
        <x:v>デイ</x:v>
      </x:c>
      <x:c r="C8" s="6" t="n">
        <x:v>86500</x:v>
      </x:c>
      <x:c r="D8" s="6" t="n">
        <x:v>333500</x:v>
      </x:c>
      <x:c r="E8" s="6" t="n">
        <x:f>C8-D8</x:f>
        <x:v>-247000</x:v>
      </x:c>
      <x:c r="F8" s="6" t="n">
        <x:f>F7+E8</x:f>
        <x:v>-588500</x:v>
      </x:c>
      <x:c r="G8" s="6" t="n">
        <x:v>46000</x:v>
      </x:c>
      <x:c r="H8" s="6" t="n">
        <x:v>293000</x:v>
      </x:c>
      <x:c r="I8" s="6" t="n">
        <x:v>60</x:v>
      </x:c>
      <x:c r="J8" s="6" t="n">
        <x:v>96</x:v>
      </x:c>
      <x:c r="K8" s="6" t="n">
        <x:v>105</x:v>
      </x:c>
      <x:c r="L8" s="6" t="n">
        <x:v>10</x:v>
      </x:c>
      <x:c r="M8" s="11" t="n">
        <x:v>0.7304761904761905</x:v>
      </x:c>
      <x:c r="N8" s="6" t="n">
        <x:v>255500</x:v>
      </x:c>
    </x:row>
    <x:row r="9" ht="24" customHeight="1">
      <x:c r="A9" s="2" t="str">
        <x:v>2026-09-22_Night</x:v>
      </x:c>
      <x:c r="B9" s="6" t="str">
        <x:v>ナイト</x:v>
      </x:c>
      <x:c r="C9" s="6" t="n">
        <x:v>241000</x:v>
      </x:c>
      <x:c r="D9" s="6" t="n">
        <x:v>581500</x:v>
      </x:c>
      <x:c r="E9" s="6" t="n">
        <x:f>C9-D9</x:f>
        <x:v>-340500</x:v>
      </x:c>
      <x:c r="F9" s="6" t="n">
        <x:f>F8+E9</x:f>
        <x:v>-929000</x:v>
      </x:c>
      <x:c r="G9" s="6" t="n">
        <x:v>171000</x:v>
      </x:c>
      <x:c r="H9" s="6" t="n">
        <x:v>511500</x:v>
      </x:c>
      <x:c r="I9" s="6" t="n">
        <x:v>97</x:v>
      </x:c>
      <x:c r="J9" s="6" t="n">
        <x:v>196</x:v>
      </x:c>
      <x:c r="K9" s="6" t="n">
        <x:v>182</x:v>
      </x:c>
      <x:c r="L9" s="6" t="n">
        <x:v>10</x:v>
      </x:c>
      <x:c r="M9" s="11" t="n">
        <x:v>0.7957692307692308</x:v>
      </x:c>
      <x:c r="N9" s="6" t="n">
        <x:v>364500</x:v>
      </x:c>
    </x:row>
    <x:row r="10" ht="24" customHeight="1">
      <x:c r="A10" s="2" t="str">
        <x:v>2026-09-23_Day</x:v>
      </x:c>
      <x:c r="B10" s="6" t="str">
        <x:v>デイ</x:v>
      </x:c>
      <x:c r="C10" s="6" t="n">
        <x:v>152000</x:v>
      </x:c>
      <x:c r="D10" s="6" t="n">
        <x:v>325000</x:v>
      </x:c>
      <x:c r="E10" s="6" t="n">
        <x:f>C10-D10</x:f>
        <x:v>-173000</x:v>
      </x:c>
      <x:c r="F10" s="6" t="n">
        <x:f>F9+E10</x:f>
        <x:v>-1102000</x:v>
      </x:c>
      <x:c r="G10" s="6" t="n">
        <x:v>116500</x:v>
      </x:c>
      <x:c r="H10" s="6" t="n">
        <x:v>289500</x:v>
      </x:c>
      <x:c r="I10" s="6" t="n">
        <x:v>42</x:v>
      </x:c>
      <x:c r="J10" s="6" t="n">
        <x:v>83</x:v>
      </x:c>
      <x:c r="K10" s="6" t="n">
        <x:v>85</x:v>
      </x:c>
      <x:c r="L10" s="6" t="n">
        <x:v>10</x:v>
      </x:c>
      <x:c r="M10" s="11" t="n">
        <x:v>0.6999206349206349</x:v>
      </x:c>
      <x:c r="N10" s="6" t="n">
        <x:v>225000</x:v>
      </x:c>
    </x:row>
    <x:row r="11" ht="24" customHeight="1">
      <x:c r="A11" s="2" t="str">
        <x:v>2026-09-23_Night</x:v>
      </x:c>
      <x:c r="B11" s="6" t="str">
        <x:v>ナイト</x:v>
      </x:c>
      <x:c r="C11" s="6" t="n">
        <x:v>67500</x:v>
      </x:c>
      <x:c r="D11" s="6" t="n">
        <x:v>279500</x:v>
      </x:c>
      <x:c r="E11" s="6" t="n">
        <x:f>C11-D11</x:f>
        <x:v>-212000</x:v>
      </x:c>
      <x:c r="F11" s="6" t="n">
        <x:f>F10+E11</x:f>
        <x:v>-1314000</x:v>
      </x:c>
      <x:c r="G11" s="6" t="n">
        <x:v>41000</x:v>
      </x:c>
      <x:c r="H11" s="6" t="n">
        <x:v>253000</x:v>
      </x:c>
      <x:c r="I11" s="6" t="n">
        <x:v>71</x:v>
      </x:c>
      <x:c r="J11" s="6" t="n">
        <x:v>99</x:v>
      </x:c>
      <x:c r="K11" s="6" t="n">
        <x:v>92</x:v>
      </x:c>
      <x:c r="L11" s="6" t="n">
        <x:v>6</x:v>
      </x:c>
      <x:c r="M11" s="11" t="n">
        <x:v>0.7150427350427351</x:v>
      </x:c>
      <x:c r="N11" s="6" t="n">
        <x:v>216000</x:v>
      </x:c>
    </x:row>
    <x:row r="12" ht="24" customHeight="1">
      <x:c r="A12" s="2" t="str">
        <x:v>2026-09-24_Day</x:v>
      </x:c>
      <x:c r="B12" s="6" t="str">
        <x:v>デイ</x:v>
      </x:c>
      <x:c r="C12" s="6" t="n">
        <x:v>380000</x:v>
      </x:c>
      <x:c r="D12" s="6" t="n">
        <x:v>968500</x:v>
      </x:c>
      <x:c r="E12" s="6" t="n">
        <x:f>C12-D12</x:f>
        <x:v>-588500</x:v>
      </x:c>
      <x:c r="F12" s="6" t="n">
        <x:f>F11+E12</x:f>
        <x:v>-1902500</x:v>
      </x:c>
      <x:c r="G12" s="6" t="n">
        <x:v>297000</x:v>
      </x:c>
      <x:c r="H12" s="6" t="n">
        <x:v>885500</x:v>
      </x:c>
      <x:c r="I12" s="6" t="n">
        <x:v>94</x:v>
      </x:c>
      <x:c r="J12" s="6" t="n">
        <x:v>194</x:v>
      </x:c>
      <x:c r="K12" s="6" t="n">
        <x:v>197</x:v>
      </x:c>
      <x:c r="L12" s="6" t="n">
        <x:v>10</x:v>
      </x:c>
      <x:c r="M12" s="11" t="n">
        <x:v>0.7893253968253968</x:v>
      </x:c>
      <x:c r="N12" s="6" t="n">
        <x:v>651000</x:v>
      </x:c>
    </x:row>
    <x:row r="13" ht="24" customHeight="1">
      <x:c r="A13" s="2" t="str">
        <x:v>2026-09-24_Night</x:v>
      </x:c>
      <x:c r="B13" s="6" t="str">
        <x:v>ナイト</x:v>
      </x:c>
      <x:c r="C13" s="6" t="n">
        <x:v>272500</x:v>
      </x:c>
      <x:c r="D13" s="6" t="n">
        <x:v>687000</x:v>
      </x:c>
      <x:c r="E13" s="6" t="n">
        <x:f>C13-D13</x:f>
        <x:v>-414500</x:v>
      </x:c>
      <x:c r="F13" s="6" t="n">
        <x:f>F12+E13</x:f>
        <x:v>-2317000</x:v>
      </x:c>
      <x:c r="G13" s="6" t="n">
        <x:v>185500</x:v>
      </x:c>
      <x:c r="H13" s="6" t="n">
        <x:v>600000</x:v>
      </x:c>
      <x:c r="I13" s="6" t="n">
        <x:v>107</x:v>
      </x:c>
      <x:c r="J13" s="6" t="n">
        <x:v>225</x:v>
      </x:c>
      <x:c r="K13" s="6" t="n">
        <x:v>215</x:v>
      </x:c>
      <x:c r="L13" s="6" t="n">
        <x:v>10</x:v>
      </x:c>
      <x:c r="M13" s="11" t="n">
        <x:v>0.8023290598290598</x:v>
      </x:c>
      <x:c r="N13" s="6" t="n">
        <x:v>495000</x:v>
      </x:c>
    </x:row>
    <x:row r="14" ht="24" customHeight="1">
      <x:c r="A14" s="2" t="str">
        <x:v>2026-09-25_Day</x:v>
      </x:c>
      <x:c r="B14" s="6" t="str">
        <x:v>デイ</x:v>
      </x:c>
      <x:c r="C14" s="6" t="n">
        <x:v>336500</x:v>
      </x:c>
      <x:c r="D14" s="6" t="n">
        <x:v>581500</x:v>
      </x:c>
      <x:c r="E14" s="6" t="n">
        <x:f>C14-D14</x:f>
        <x:v>-245000</x:v>
      </x:c>
      <x:c r="F14" s="6" t="n">
        <x:f>F13+E14</x:f>
        <x:v>-2562000</x:v>
      </x:c>
      <x:c r="G14" s="6" t="n">
        <x:v>256000</x:v>
      </x:c>
      <x:c r="H14" s="6" t="n">
        <x:v>501000</x:v>
      </x:c>
      <x:c r="I14" s="6" t="n">
        <x:v>80</x:v>
      </x:c>
      <x:c r="J14" s="6" t="n">
        <x:v>187</x:v>
      </x:c>
      <x:c r="K14" s="6" t="n">
        <x:v>185</x:v>
      </x:c>
      <x:c r="L14" s="6" t="n">
        <x:v>10</x:v>
      </x:c>
      <x:c r="M14" s="11" t="n">
        <x:v>0.8434920634920635</x:v>
      </x:c>
      <x:c r="N14" s="6" t="n">
        <x:v>279000</x:v>
      </x:c>
    </x:row>
    <x:row r="15" ht="24" customHeight="1">
      <x:c r="A15" s="2" t="str">
        <x:v>2026-09-25_Night</x:v>
      </x:c>
      <x:c r="B15" s="6" t="str">
        <x:v>ナイト</x:v>
      </x:c>
      <x:c r="C15" s="6" t="n">
        <x:v>228000</x:v>
      </x:c>
      <x:c r="D15" s="6" t="n">
        <x:v>449500</x:v>
      </x:c>
      <x:c r="E15" s="6" t="n">
        <x:f>C15-D15</x:f>
        <x:v>-221500</x:v>
      </x:c>
      <x:c r="F15" s="6" t="n">
        <x:f>F14+E15</x:f>
        <x:v>-2783500</x:v>
      </x:c>
      <x:c r="G15" s="6" t="n">
        <x:v>178000</x:v>
      </x:c>
      <x:c r="H15" s="6" t="n">
        <x:v>399500</x:v>
      </x:c>
      <x:c r="I15" s="6" t="n">
        <x:v>98</x:v>
      </x:c>
      <x:c r="J15" s="6" t="n">
        <x:v>176</x:v>
      </x:c>
      <x:c r="K15" s="6" t="n">
        <x:v>174</x:v>
      </x:c>
      <x:c r="L15" s="6" t="n">
        <x:v>10</x:v>
      </x:c>
      <x:c r="M15" s="11" t="n">
        <x:v>0.7847008547008547</x:v>
      </x:c>
      <x:c r="N15" s="6" t="n">
        <x:v>282000</x:v>
      </x:c>
    </x:row>
    <x:row r="16" ht="24" customHeight="1">
      <x:c r="A16" s="2" t="str">
        <x:v>2026-09-28_Day</x:v>
      </x:c>
      <x:c r="B16" s="6" t="str">
        <x:v>デイ</x:v>
      </x:c>
      <x:c r="C16" s="6" t="n">
        <x:v>199000</x:v>
      </x:c>
      <x:c r="D16" s="6" t="n">
        <x:v>541500</x:v>
      </x:c>
      <x:c r="E16" s="6" t="n">
        <x:f>C16-D16</x:f>
        <x:v>-342500</x:v>
      </x:c>
      <x:c r="F16" s="6" t="n">
        <x:f>F15+E16</x:f>
        <x:v>-3126000</x:v>
      </x:c>
      <x:c r="G16" s="6" t="n">
        <x:v>146000</x:v>
      </x:c>
      <x:c r="H16" s="6" t="n">
        <x:v>488500</x:v>
      </x:c>
      <x:c r="I16" s="6" t="n">
        <x:v>75</x:v>
      </x:c>
      <x:c r="J16" s="6" t="n">
        <x:v>138</x:v>
      </x:c>
      <x:c r="K16" s="6" t="n">
        <x:v>133</x:v>
      </x:c>
      <x:c r="L16" s="6" t="n">
        <x:v>10</x:v>
      </x:c>
      <x:c r="M16" s="11" t="n">
        <x:v>0.7678571428571429</x:v>
      </x:c>
      <x:c r="N16" s="6" t="n">
        <x:v>461000</x:v>
      </x:c>
    </x:row>
    <x:row r="17" ht="24" customHeight="1">
      <x:c r="A17" s="2" t="str">
        <x:v>2026-09-28_Night</x:v>
      </x:c>
      <x:c r="B17" s="6" t="str">
        <x:v>ナイト</x:v>
      </x:c>
      <x:c r="C17" s="6" t="n">
        <x:v>247000</x:v>
      </x:c>
      <x:c r="D17" s="6" t="n">
        <x:v>683500</x:v>
      </x:c>
      <x:c r="E17" s="6" t="n">
        <x:f>C17-D17</x:f>
        <x:v>-436500</x:v>
      </x:c>
      <x:c r="F17" s="6" t="n">
        <x:f>F16+E17</x:f>
        <x:v>-3562500</x:v>
      </x:c>
      <x:c r="G17" s="6" t="n">
        <x:v>159000</x:v>
      </x:c>
      <x:c r="H17" s="6" t="n">
        <x:v>595500</x:v>
      </x:c>
      <x:c r="I17" s="6" t="n">
        <x:v>110</x:v>
      </x:c>
      <x:c r="J17" s="6" t="n">
        <x:v>211</x:v>
      </x:c>
      <x:c r="K17" s="6" t="n">
        <x:v>208</x:v>
      </x:c>
      <x:c r="L17" s="6" t="n">
        <x:v>10</x:v>
      </x:c>
      <x:c r="M17" s="11" t="n">
        <x:v>0.7625641025641026</x:v>
      </x:c>
      <x:c r="N17" s="6" t="n">
        <x:v>443000</x:v>
      </x:c>
    </x:row>
    <x:row r="18" ht="24" customHeight="1">
      <x:c r="A18" s="2" t="str">
        <x:v>2026-09-29_Day</x:v>
      </x:c>
      <x:c r="B18" s="6" t="str">
        <x:v>デイ</x:v>
      </x:c>
      <x:c r="C18" s="6" t="n">
        <x:v>323500</x:v>
      </x:c>
      <x:c r="D18" s="6" t="n">
        <x:v>549000</x:v>
      </x:c>
      <x:c r="E18" s="6" t="n">
        <x:f>C18-D18</x:f>
        <x:v>-225500</x:v>
      </x:c>
      <x:c r="F18" s="6" t="n">
        <x:f>F17+E18</x:f>
        <x:v>-3788000</x:v>
      </x:c>
      <x:c r="G18" s="6" t="n">
        <x:v>253000</x:v>
      </x:c>
      <x:c r="H18" s="6" t="n">
        <x:v>478500</x:v>
      </x:c>
      <x:c r="I18" s="6" t="n">
        <x:v>88</x:v>
      </x:c>
      <x:c r="J18" s="6" t="n">
        <x:v>167</x:v>
      </x:c>
      <x:c r="K18" s="6" t="n">
        <x:v>165</x:v>
      </x:c>
      <x:c r="L18" s="6" t="n">
        <x:v>10</x:v>
      </x:c>
      <x:c r="M18" s="11" t="n">
        <x:v>0.7854761904761904</x:v>
      </x:c>
      <x:c r="N18" s="6" t="n">
        <x:v>240000</x:v>
      </x:c>
    </x:row>
    <x:row r="19" ht="24" customHeight="1">
      <x:c r="A19" s="2" t="str">
        <x:v>2026-09-29_Night</x:v>
      </x:c>
      <x:c r="B19" s="6" t="str">
        <x:v>ナイト</x:v>
      </x:c>
      <x:c r="C19" s="6" t="n">
        <x:v>113500</x:v>
      </x:c>
      <x:c r="D19" s="6" t="n">
        <x:v>483500</x:v>
      </x:c>
      <x:c r="E19" s="6" t="n">
        <x:f>C19-D19</x:f>
        <x:v>-370000</x:v>
      </x:c>
      <x:c r="F19" s="6" t="n">
        <x:f>F18+E19</x:f>
        <x:v>-4158000</x:v>
      </x:c>
      <x:c r="G19" s="6" t="n">
        <x:v>61000</x:v>
      </x:c>
      <x:c r="H19" s="6" t="n">
        <x:v>431000</x:v>
      </x:c>
      <x:c r="I19" s="6" t="n">
        <x:v>93</x:v>
      </x:c>
      <x:c r="J19" s="6" t="n">
        <x:v>200</x:v>
      </x:c>
      <x:c r="K19" s="6" t="n">
        <x:v>191</x:v>
      </x:c>
      <x:c r="L19" s="6" t="n">
        <x:v>9</x:v>
      </x:c>
      <x:c r="M19" s="11" t="n">
        <x:v>0.8014529914529914</x:v>
      </x:c>
      <x:c r="N19" s="6" t="n">
        <x:v>375000</x:v>
      </x:c>
    </x:row>
    <x:row r="20" ht="24" customHeight="1">
      <x:c r="A20" s="2" t="str">
        <x:v>2026-09-30_Day</x:v>
      </x:c>
      <x:c r="B20" s="6" t="str">
        <x:v>デイ</x:v>
      </x:c>
      <x:c r="C20" s="6" t="n">
        <x:v>295000</x:v>
      </x:c>
      <x:c r="D20" s="6" t="n">
        <x:v>528500</x:v>
      </x:c>
      <x:c r="E20" s="6" t="n">
        <x:f>C20-D20</x:f>
        <x:v>-233500</x:v>
      </x:c>
      <x:c r="F20" s="6" t="n">
        <x:f>F19+E20</x:f>
        <x:v>-4391500</x:v>
      </x:c>
      <x:c r="G20" s="6" t="n">
        <x:v>210000</x:v>
      </x:c>
      <x:c r="H20" s="6" t="n">
        <x:v>443500</x:v>
      </x:c>
      <x:c r="I20" s="6" t="n">
        <x:v>69</x:v>
      </x:c>
      <x:c r="J20" s="6" t="n">
        <x:v>192</x:v>
      </x:c>
      <x:c r="K20" s="6" t="n">
        <x:v>201</x:v>
      </x:c>
      <x:c r="L20" s="6" t="n">
        <x:v>10</x:v>
      </x:c>
      <x:c r="M20" s="11" t="n">
        <x:v>0.7831349206349206</x:v>
      </x:c>
      <x:c r="N20" s="6" t="n">
        <x:v>236500</x:v>
      </x:c>
    </x:row>
    <x:row r="21" ht="24" customHeight="1">
      <x:c r="A21" s="2" t="str">
        <x:v>2026-09-30_Night</x:v>
      </x:c>
      <x:c r="B21" s="6" t="str">
        <x:v>ナイト</x:v>
      </x:c>
      <x:c r="C21" s="6" t="n">
        <x:v>234000</x:v>
      </x:c>
      <x:c r="D21" s="6" t="n">
        <x:v>801000</x:v>
      </x:c>
      <x:c r="E21" s="6" t="n">
        <x:f>C21-D21</x:f>
        <x:v>-567000</x:v>
      </x:c>
      <x:c r="F21" s="6" t="n">
        <x:f>F20+E21</x:f>
        <x:v>-4958500</x:v>
      </x:c>
      <x:c r="G21" s="6" t="n">
        <x:v>139500</x:v>
      </x:c>
      <x:c r="H21" s="6" t="n">
        <x:v>706500</x:v>
      </x:c>
      <x:c r="I21" s="6" t="n">
        <x:v>119</x:v>
      </x:c>
      <x:c r="J21" s="6" t="n">
        <x:v>238</x:v>
      </x:c>
      <x:c r="K21" s="6" t="n">
        <x:v>241</x:v>
      </x:c>
      <x:c r="L21" s="6" t="n">
        <x:v>10</x:v>
      </x:c>
      <x:c r="M21" s="11" t="n">
        <x:v>0.7764957264957265</x:v>
      </x:c>
      <x:c r="N21" s="6" t="n">
        <x:v>571500</x:v>
      </x:c>
    </x:row>
    <x:row r="22" ht="24" customHeight="1">
      <x:c r="A22" s="2" t="str">
        <x:v>2026-10-01_Day</x:v>
      </x:c>
      <x:c r="B22" s="6" t="str">
        <x:v>デイ</x:v>
      </x:c>
      <x:c r="C22" s="6" t="n">
        <x:v>270000</x:v>
      </x:c>
      <x:c r="D22" s="6" t="n">
        <x:v>708000</x:v>
      </x:c>
      <x:c r="E22" s="6" t="n">
        <x:f>C22-D22</x:f>
        <x:v>-438000</x:v>
      </x:c>
      <x:c r="F22" s="6" t="n">
        <x:f>F21+E22</x:f>
        <x:v>-5396500</x:v>
      </x:c>
      <x:c r="G22" s="6" t="n">
        <x:v>190000</x:v>
      </x:c>
      <x:c r="H22" s="6" t="n">
        <x:v>628000</x:v>
      </x:c>
      <x:c r="I22" s="6" t="n">
        <x:v>78</x:v>
      </x:c>
      <x:c r="J22" s="6" t="n">
        <x:v>190</x:v>
      </x:c>
      <x:c r="K22" s="6" t="n">
        <x:v>182</x:v>
      </x:c>
      <x:c r="L22" s="6" t="n">
        <x:v>10</x:v>
      </x:c>
      <x:c r="M22" s="11" t="n">
        <x:v>0.8091269841269841</x:v>
      </x:c>
      <x:c r="N22" s="6" t="n">
        <x:v>441000</x:v>
      </x:c>
    </x:row>
    <x:row r="23" ht="24" customHeight="1">
      <x:c r="A23" s="2" t="str">
        <x:v>2026-10-01_Night</x:v>
      </x:c>
      <x:c r="B23" s="6" t="str">
        <x:v>ナイト</x:v>
      </x:c>
      <x:c r="C23" s="6" t="n">
        <x:v>333500</x:v>
      </x:c>
      <x:c r="D23" s="6" t="n">
        <x:v>793000</x:v>
      </x:c>
      <x:c r="E23" s="6" t="n">
        <x:f>C23-D23</x:f>
        <x:v>-459500</x:v>
      </x:c>
      <x:c r="F23" s="6" t="n">
        <x:f>F22+E23</x:f>
        <x:v>-5856000</x:v>
      </x:c>
      <x:c r="G23" s="6" t="n">
        <x:v>197000</x:v>
      </x:c>
      <x:c r="H23" s="6" t="n">
        <x:v>656500</x:v>
      </x:c>
      <x:c r="I23" s="6" t="n">
        <x:v>114</x:v>
      </x:c>
      <x:c r="J23" s="6" t="n">
        <x:v>299</x:v>
      </x:c>
      <x:c r="K23" s="6" t="n">
        <x:v>290</x:v>
      </x:c>
      <x:c r="L23" s="6" t="n">
        <x:v>10</x:v>
      </x:c>
      <x:c r="M23" s="11" t="n">
        <x:v>0.8027136752136752</x:v>
      </x:c>
      <x:c r="N23" s="6" t="n">
        <x:v>475000</x:v>
      </x:c>
    </x:row>
    <x:row r="24" ht="24" customHeight="1">
      <x:c r="A24" s="2" t="str">
        <x:v>2026-10-02_Day</x:v>
      </x:c>
      <x:c r="B24" s="6" t="str">
        <x:v>デイ</x:v>
      </x:c>
      <x:c r="C24" s="6" t="n">
        <x:v>314500</x:v>
      </x:c>
      <x:c r="D24" s="6" t="n">
        <x:v>570500</x:v>
      </x:c>
      <x:c r="E24" s="6" t="n">
        <x:f>C24-D24</x:f>
        <x:v>-256000</x:v>
      </x:c>
      <x:c r="F24" s="6" t="n">
        <x:f>F23+E24</x:f>
        <x:v>-6112000</x:v>
      </x:c>
      <x:c r="G24" s="6" t="n">
        <x:v>222500</x:v>
      </x:c>
      <x:c r="H24" s="6" t="n">
        <x:v>478500</x:v>
      </x:c>
      <x:c r="I24" s="6" t="n">
        <x:v>82</x:v>
      </x:c>
      <x:c r="J24" s="6" t="n">
        <x:v>175</x:v>
      </x:c>
      <x:c r="K24" s="6" t="n">
        <x:v>180</x:v>
      </x:c>
      <x:c r="L24" s="6" t="n">
        <x:v>10</x:v>
      </x:c>
      <x:c r="M24" s="11" t="n">
        <x:v>0.8145238095238095</x:v>
      </x:c>
      <x:c r="N24" s="6" t="n">
        <x:v>275500</x:v>
      </x:c>
    </x:row>
    <x:row r="25" ht="24" customHeight="1">
      <x:c r="A25" s="2" t="str">
        <x:v>2026-10-02_Night</x:v>
      </x:c>
      <x:c r="B25" s="6" t="str">
        <x:v>ナイト</x:v>
      </x:c>
      <x:c r="C25" s="6" t="n">
        <x:v>380000</x:v>
      </x:c>
      <x:c r="D25" s="6" t="n">
        <x:v>825500</x:v>
      </x:c>
      <x:c r="E25" s="6" t="n">
        <x:f>C25-D25</x:f>
        <x:v>-445500</x:v>
      </x:c>
      <x:c r="F25" s="6" t="n">
        <x:f>F24+E25</x:f>
        <x:v>-6557500</x:v>
      </x:c>
      <x:c r="G25" s="6" t="n">
        <x:v>287500</x:v>
      </x:c>
      <x:c r="H25" s="6" t="n">
        <x:v>733000</x:v>
      </x:c>
      <x:c r="I25" s="6" t="n">
        <x:v>108</x:v>
      </x:c>
      <x:c r="J25" s="6" t="n">
        <x:v>214</x:v>
      </x:c>
      <x:c r="K25" s="6" t="n">
        <x:v>219</x:v>
      </x:c>
      <x:c r="L25" s="6" t="n">
        <x:v>10</x:v>
      </x:c>
      <x:c r="M25" s="11" t="n">
        <x:v>0.7039316239316239</x:v>
      </x:c>
      <x:c r="N25" s="6" t="n">
        <x:v>457000</x:v>
      </x:c>
    </x:row>
    <x:row r="26" ht="24" customHeight="1">
      <x:c r="A26" s="2" t="str">
        <x:v>2026-10-05_Day</x:v>
      </x:c>
      <x:c r="B26" s="6" t="str">
        <x:v>デイ</x:v>
      </x:c>
      <x:c r="C26" s="6" t="n">
        <x:v>146500</x:v>
      </x:c>
      <x:c r="D26" s="6" t="n">
        <x:v>542500</x:v>
      </x:c>
      <x:c r="E26" s="6" t="n">
        <x:f>C26-D26</x:f>
        <x:v>-396000</x:v>
      </x:c>
      <x:c r="F26" s="6" t="n">
        <x:f>F25+E26</x:f>
        <x:v>-6953500</x:v>
      </x:c>
      <x:c r="G26" s="6" t="n">
        <x:v>92000</x:v>
      </x:c>
      <x:c r="H26" s="6" t="n">
        <x:v>488000</x:v>
      </x:c>
      <x:c r="I26" s="6" t="n">
        <x:v>76</x:v>
      </x:c>
      <x:c r="J26" s="6" t="n">
        <x:v>148</x:v>
      </x:c>
      <x:c r="K26" s="6" t="n">
        <x:v>152</x:v>
      </x:c>
      <x:c r="L26" s="6" t="n">
        <x:v>10</x:v>
      </x:c>
      <x:c r="M26" s="11" t="n">
        <x:v>0.7596031746031746</x:v>
      </x:c>
      <x:c r="N26" s="6" t="n">
        <x:v>434000</x:v>
      </x:c>
    </x:row>
    <x:row r="27" ht="24" customHeight="1">
      <x:c r="A27" s="2" t="str">
        <x:v>2026-10-05_Night</x:v>
      </x:c>
      <x:c r="B27" s="6" t="str">
        <x:v>ナイト</x:v>
      </x:c>
      <x:c r="C27" s="6" t="n">
        <x:v>223000</x:v>
      </x:c>
      <x:c r="D27" s="6" t="n">
        <x:v>412500</x:v>
      </x:c>
      <x:c r="E27" s="6" t="n">
        <x:f>C27-D27</x:f>
        <x:v>-189500</x:v>
      </x:c>
      <x:c r="F27" s="6" t="n">
        <x:f>F26+E27</x:f>
        <x:v>-7143000</x:v>
      </x:c>
      <x:c r="G27" s="6" t="n">
        <x:v>151000</x:v>
      </x:c>
      <x:c r="H27" s="6" t="n">
        <x:v>340500</x:v>
      </x:c>
      <x:c r="I27" s="6" t="n">
        <x:v>76</x:v>
      </x:c>
      <x:c r="J27" s="6" t="n">
        <x:v>172</x:v>
      </x:c>
      <x:c r="K27" s="6" t="n">
        <x:v>178</x:v>
      </x:c>
      <x:c r="L27" s="6" t="n">
        <x:v>10</x:v>
      </x:c>
      <x:c r="M27" s="11" t="n">
        <x:v>0.7458974358974358</x:v>
      </x:c>
      <x:c r="N27" s="6" t="n">
        <x:v>214000</x:v>
      </x:c>
    </x:row>
    <x:row r="28" ht="24" customHeight="1">
      <x:c r="A28" s="2" t="str">
        <x:v>2026-10-06_Day</x:v>
      </x:c>
      <x:c r="B28" s="6" t="str">
        <x:v>デイ</x:v>
      </x:c>
      <x:c r="C28" s="6" t="n">
        <x:v>81500</x:v>
      </x:c>
      <x:c r="D28" s="6" t="n">
        <x:v>364500</x:v>
      </x:c>
      <x:c r="E28" s="6" t="n">
        <x:f>C28-D28</x:f>
        <x:v>-283000</x:v>
      </x:c>
      <x:c r="F28" s="6" t="n">
        <x:f>F27+E28</x:f>
        <x:v>-7426000</x:v>
      </x:c>
      <x:c r="G28" s="6" t="n">
        <x:v>54500</x:v>
      </x:c>
      <x:c r="H28" s="6" t="n">
        <x:v>337500</x:v>
      </x:c>
      <x:c r="I28" s="6" t="n">
        <x:v>53</x:v>
      </x:c>
      <x:c r="J28" s="6" t="n">
        <x:v>131</x:v>
      </x:c>
      <x:c r="K28" s="6" t="n">
        <x:v>128</x:v>
      </x:c>
      <x:c r="L28" s="6" t="n">
        <x:v>9</x:v>
      </x:c>
      <x:c r="M28" s="11" t="n">
        <x:v>0.7842857142857143</x:v>
      </x:c>
      <x:c r="N28" s="6" t="n">
        <x:v>330000</x:v>
      </x:c>
    </x:row>
    <x:row r="29" ht="24" customHeight="1">
      <x:c r="A29" s="2" t="str">
        <x:v>2026-10-06_Night</x:v>
      </x:c>
      <x:c r="B29" s="6" t="str">
        <x:v>ナイト</x:v>
      </x:c>
      <x:c r="C29" s="6" t="n">
        <x:v>103000</x:v>
      </x:c>
      <x:c r="D29" s="6" t="n">
        <x:v>295000</x:v>
      </x:c>
      <x:c r="E29" s="6" t="n">
        <x:f>C29-D29</x:f>
        <x:v>-192000</x:v>
      </x:c>
      <x:c r="F29" s="6" t="n">
        <x:f>F28+E29</x:f>
        <x:v>-7618000</x:v>
      </x:c>
      <x:c r="G29" s="6" t="n">
        <x:v>45500</x:v>
      </x:c>
      <x:c r="H29" s="6" t="n">
        <x:v>237500</x:v>
      </x:c>
      <x:c r="I29" s="6" t="n">
        <x:v>67</x:v>
      </x:c>
      <x:c r="J29" s="6" t="n">
        <x:v>126</x:v>
      </x:c>
      <x:c r="K29" s="6" t="n">
        <x:v>126</x:v>
      </x:c>
      <x:c r="L29" s="6" t="n">
        <x:v>9</x:v>
      </x:c>
      <x:c r="M29" s="11" t="n">
        <x:v>0.6410683760683761</x:v>
      </x:c>
      <x:c r="N29" s="6" t="n">
        <x:v>198500</x:v>
      </x:c>
    </x:row>
    <x:row r="30" ht="24" customHeight="1">
      <x:c r="A30" s="2" t="str">
        <x:v>2026-10-07_Day</x:v>
      </x:c>
      <x:c r="B30" s="6" t="str">
        <x:v>デイ</x:v>
      </x:c>
      <x:c r="C30" s="6" t="n">
        <x:v>255500</x:v>
      </x:c>
      <x:c r="D30" s="6" t="n">
        <x:v>333000</x:v>
      </x:c>
      <x:c r="E30" s="6" t="n">
        <x:f>C30-D30</x:f>
        <x:v>-77500</x:v>
      </x:c>
      <x:c r="F30" s="6" t="n">
        <x:f>F29+E30</x:f>
        <x:v>-7695500</x:v>
      </x:c>
      <x:c r="G30" s="6" t="n">
        <x:v>218500</x:v>
      </x:c>
      <x:c r="H30" s="6" t="n">
        <x:v>296000</x:v>
      </x:c>
      <x:c r="I30" s="6" t="n">
        <x:v>57</x:v>
      </x:c>
      <x:c r="J30" s="6" t="n">
        <x:v>111</x:v>
      </x:c>
      <x:c r="K30" s="6" t="n">
        <x:v>108</x:v>
      </x:c>
      <x:c r="L30" s="6" t="n">
        <x:v>10</x:v>
      </x:c>
      <x:c r="M30" s="11" t="n">
        <x:v>0.8336904761904762</x:v>
      </x:c>
      <x:c r="N30" s="6" t="n">
        <x:v>204500</x:v>
      </x:c>
    </x:row>
    <x:row r="31" ht="24" customHeight="1">
      <x:c r="A31" s="2" t="str">
        <x:v>2026-10-07_Night</x:v>
      </x:c>
      <x:c r="B31" s="6" t="str">
        <x:v>ナイト</x:v>
      </x:c>
      <x:c r="C31" s="6" t="n">
        <x:v>83500</x:v>
      </x:c>
      <x:c r="D31" s="6" t="n">
        <x:v>396000</x:v>
      </x:c>
      <x:c r="E31" s="6" t="n">
        <x:f>C31-D31</x:f>
        <x:v>-312500</x:v>
      </x:c>
      <x:c r="F31" s="6" t="n">
        <x:f>F30+E31</x:f>
        <x:v>-8008000</x:v>
      </x:c>
      <x:c r="G31" s="6" t="n">
        <x:v>41500</x:v>
      </x:c>
      <x:c r="H31" s="6" t="n">
        <x:v>354000</x:v>
      </x:c>
      <x:c r="I31" s="6" t="n">
        <x:v>92</x:v>
      </x:c>
      <x:c r="J31" s="6" t="n">
        <x:v>147</x:v>
      </x:c>
      <x:c r="K31" s="6" t="n">
        <x:v>146</x:v>
      </x:c>
      <x:c r="L31" s="6" t="n">
        <x:v>10</x:v>
      </x:c>
      <x:c r="M31" s="11" t="n">
        <x:v>0.7689957264957265</x:v>
      </x:c>
      <x:c r="N31" s="6" t="n">
        <x:v>322500</x:v>
      </x:c>
    </x:row>
    <x:row r="32" ht="24" customHeight="1">
      <x:c r="A32" s="2" t="str">
        <x:v>2026-10-08_Day</x:v>
      </x:c>
      <x:c r="B32" s="6" t="str">
        <x:v>デイ</x:v>
      </x:c>
      <x:c r="C32" s="6" t="n">
        <x:v>416500</x:v>
      </x:c>
      <x:c r="D32" s="6" t="n">
        <x:v>364500</x:v>
      </x:c>
      <x:c r="E32" s="6" t="n">
        <x:f>C32-D32</x:f>
        <x:v>52000</x:v>
      </x:c>
      <x:c r="F32" s="6" t="n">
        <x:f>F31+E32</x:f>
        <x:v>-7956000</x:v>
      </x:c>
      <x:c r="G32" s="6" t="n">
        <x:v>373000</x:v>
      </x:c>
      <x:c r="H32" s="6" t="n">
        <x:v>321000</x:v>
      </x:c>
      <x:c r="I32" s="6" t="n">
        <x:v>65</x:v>
      </x:c>
      <x:c r="J32" s="6" t="n">
        <x:v>141</x:v>
      </x:c>
      <x:c r="K32" s="6" t="n">
        <x:v>142</x:v>
      </x:c>
      <x:c r="L32" s="6" t="n">
        <x:v>10</x:v>
      </x:c>
      <x:c r="M32" s="11" t="n">
        <x:v>0.7727777777777778</x:v>
      </x:c>
      <x:c r="N32" s="6" t="n">
        <x:v>208000</x:v>
      </x:c>
    </x:row>
    <x:row r="33" ht="24" customHeight="1">
      <x:c r="A33" s="2" t="str">
        <x:v>2026-10-08_Night</x:v>
      </x:c>
      <x:c r="B33" s="6" t="str">
        <x:v>ナイト</x:v>
      </x:c>
      <x:c r="C33" s="6" t="n">
        <x:v>255500</x:v>
      </x:c>
      <x:c r="D33" s="6" t="n">
        <x:v>692500</x:v>
      </x:c>
      <x:c r="E33" s="6" t="n">
        <x:f>C33-D33</x:f>
        <x:v>-437000</x:v>
      </x:c>
      <x:c r="F33" s="6" t="n">
        <x:f>F32+E33</x:f>
        <x:v>-8393000</x:v>
      </x:c>
      <x:c r="G33" s="6" t="n">
        <x:v>179500</x:v>
      </x:c>
      <x:c r="H33" s="6" t="n">
        <x:v>616500</x:v>
      </x:c>
      <x:c r="I33" s="6" t="n">
        <x:v>108</x:v>
      </x:c>
      <x:c r="J33" s="6" t="n">
        <x:v>252</x:v>
      </x:c>
      <x:c r="K33" s="6" t="n">
        <x:v>246</x:v>
      </x:c>
      <x:c r="L33" s="6" t="n">
        <x:v>10</x:v>
      </x:c>
      <x:c r="M33" s="11" t="n">
        <x:v>0.7989957264957265</x:v>
      </x:c>
      <x:c r="N33" s="6" t="n">
        <x:v>477500</x:v>
      </x:c>
    </x:row>
    <x:row r="34" ht="24" customHeight="1">
      <x:c r="A34" s="2" t="str">
        <x:v>2026-10-09_Day</x:v>
      </x:c>
      <x:c r="B34" s="6" t="str">
        <x:v>デイ</x:v>
      </x:c>
      <x:c r="C34" s="6" t="n">
        <x:v>136500</x:v>
      </x:c>
      <x:c r="D34" s="6" t="n">
        <x:v>591500</x:v>
      </x:c>
      <x:c r="E34" s="6" t="n">
        <x:f>C34-D34</x:f>
        <x:v>-455000</x:v>
      </x:c>
      <x:c r="F34" s="6" t="n">
        <x:f>F33+E34</x:f>
        <x:v>-8848000</x:v>
      </x:c>
      <x:c r="G34" s="6" t="n">
        <x:v>93500</x:v>
      </x:c>
      <x:c r="H34" s="6" t="n">
        <x:v>548500</x:v>
      </x:c>
      <x:c r="I34" s="6" t="n">
        <x:v>76</x:v>
      </x:c>
      <x:c r="J34" s="6" t="n">
        <x:v>139</x:v>
      </x:c>
      <x:c r="K34" s="6" t="n">
        <x:v>142</x:v>
      </x:c>
      <x:c r="L34" s="6" t="n">
        <x:v>10</x:v>
      </x:c>
      <x:c r="M34" s="11" t="n">
        <x:v>0.7848809523809523</x:v>
      </x:c>
      <x:c r="N34" s="6" t="n">
        <x:v>459000</x:v>
      </x:c>
    </x:row>
    <x:row r="35" ht="24" customHeight="1">
      <x:c r="A35" s="2" t="str">
        <x:v>2026-10-09_Night</x:v>
      </x:c>
      <x:c r="B35" s="6" t="str">
        <x:v>ナイト</x:v>
      </x:c>
      <x:c r="C35" s="6" t="n">
        <x:v>43000</x:v>
      </x:c>
      <x:c r="D35" s="6" t="n">
        <x:v>282500</x:v>
      </x:c>
      <x:c r="E35" s="6" t="n">
        <x:f>C35-D35</x:f>
        <x:v>-239500</x:v>
      </x:c>
      <x:c r="F35" s="6" t="n">
        <x:f>F34+E35</x:f>
        <x:v>-9087500</x:v>
      </x:c>
      <x:c r="G35" s="6" t="n">
        <x:v>23000</x:v>
      </x:c>
      <x:c r="H35" s="6" t="n">
        <x:v>262500</x:v>
      </x:c>
      <x:c r="I35" s="6" t="n">
        <x:v>76</x:v>
      </x:c>
      <x:c r="J35" s="6" t="n">
        <x:v>116</x:v>
      </x:c>
      <x:c r="K35" s="6" t="n">
        <x:v>113</x:v>
      </x:c>
      <x:c r="L35" s="6" t="n">
        <x:v>9</x:v>
      </x:c>
      <x:c r="M35" s="11" t="n">
        <x:v>0.6736965811965812</x:v>
      </x:c>
      <x:c r="N35" s="6" t="n">
        <x:v>243000</x:v>
      </x:c>
    </x:row>
    <x:row r="36" ht="24" customHeight="1">
      <x:c r="A36" s="2" t="str">
        <x:v>2026-10-12_Day</x:v>
      </x:c>
      <x:c r="B36" s="6" t="str">
        <x:v>デイ</x:v>
      </x:c>
      <x:c r="C36" s="6" t="n">
        <x:v>20500</x:v>
      </x:c>
      <x:c r="D36" s="6" t="n">
        <x:v>166500</x:v>
      </x:c>
      <x:c r="E36" s="6" t="n">
        <x:f>C36-D36</x:f>
        <x:v>-146000</x:v>
      </x:c>
      <x:c r="F36" s="6" t="n">
        <x:f>F35+E36</x:f>
        <x:v>-9233500</x:v>
      </x:c>
      <x:c r="G36" s="6" t="n">
        <x:v>8500</x:v>
      </x:c>
      <x:c r="H36" s="6" t="n">
        <x:v>154500</x:v>
      </x:c>
      <x:c r="I36" s="6" t="n">
        <x:v>36</x:v>
      </x:c>
      <x:c r="J36" s="6" t="n">
        <x:v>37</x:v>
      </x:c>
      <x:c r="K36" s="6" t="n">
        <x:v>41</x:v>
      </x:c>
      <x:c r="L36" s="6" t="n">
        <x:v>10</x:v>
      </x:c>
      <x:c r="M36" s="11" t="n">
        <x:v>0.6386111111111111</x:v>
      </x:c>
      <x:c r="N36" s="6" t="n">
        <x:v>161000</x:v>
      </x:c>
    </x:row>
    <x:row r="37" ht="24" customHeight="1">
      <x:c r="A37" s="2" t="str">
        <x:v>2026-10-12_Night</x:v>
      </x:c>
      <x:c r="B37" s="6" t="str">
        <x:v>ナイト</x:v>
      </x:c>
      <x:c r="C37" s="6" t="n">
        <x:v>54000</x:v>
      </x:c>
      <x:c r="D37" s="6" t="n">
        <x:v>190000</x:v>
      </x:c>
      <x:c r="E37" s="6" t="n">
        <x:f>C37-D37</x:f>
        <x:v>-136000</x:v>
      </x:c>
      <x:c r="F37" s="6" t="n">
        <x:f>F36+E37</x:f>
        <x:v>-9369500</x:v>
      </x:c>
      <x:c r="G37" s="6" t="n">
        <x:v>21000</x:v>
      </x:c>
      <x:c r="H37" s="6" t="n">
        <x:v>157000</x:v>
      </x:c>
      <x:c r="I37" s="6" t="n">
        <x:v>55</x:v>
      </x:c>
      <x:c r="J37" s="6" t="n">
        <x:v>86</x:v>
      </x:c>
      <x:c r="K37" s="6" t="n">
        <x:v>79</x:v>
      </x:c>
      <x:c r="L37" s="6" t="n">
        <x:v>6</x:v>
      </x:c>
      <x:c r="M37" s="11" t="n">
        <x:v>0.8029059829059829</x:v>
      </x:c>
      <x:c r="N37" s="6" t="n">
        <x:v>136500</x:v>
      </x:c>
    </x:row>
    <x:row r="38" ht="24" customHeight="1">
      <x:c r="A38" s="2" t="str">
        <x:v>2026-10-13_Day</x:v>
      </x:c>
      <x:c r="B38" s="6" t="str">
        <x:v>デイ</x:v>
      </x:c>
      <x:c r="C38" s="6" t="n">
        <x:v>205000</x:v>
      </x:c>
      <x:c r="D38" s="6" t="n">
        <x:v>753500</x:v>
      </x:c>
      <x:c r="E38" s="6" t="n">
        <x:f>C38-D38</x:f>
        <x:v>-548500</x:v>
      </x:c>
      <x:c r="F38" s="6" t="n">
        <x:f>F37+E38</x:f>
        <x:v>-9918000</x:v>
      </x:c>
      <x:c r="G38" s="6" t="n">
        <x:v>162500</x:v>
      </x:c>
      <x:c r="H38" s="6" t="n">
        <x:v>711000</x:v>
      </x:c>
      <x:c r="I38" s="6" t="n">
        <x:v>92</x:v>
      </x:c>
      <x:c r="J38" s="6" t="n">
        <x:v>133</x:v>
      </x:c>
      <x:c r="K38" s="6" t="n">
        <x:v>138</x:v>
      </x:c>
      <x:c r="L38" s="6" t="n">
        <x:v>10</x:v>
      </x:c>
      <x:c r="M38" s="11" t="n">
        <x:v>0.7244047619047619</x:v>
      </x:c>
      <x:c r="N38" s="6" t="n">
        <x:v>581000</x:v>
      </x:c>
    </x:row>
    <x:row r="39" ht="24" customHeight="1">
      <x:c r="A39" s="2" t="str">
        <x:v>2026-10-13_Night</x:v>
      </x:c>
      <x:c r="B39" s="6" t="str">
        <x:v>ナイト</x:v>
      </x:c>
      <x:c r="C39" s="6" t="n">
        <x:v>93000</x:v>
      </x:c>
      <x:c r="D39" s="6" t="n">
        <x:v>243000</x:v>
      </x:c>
      <x:c r="E39" s="6" t="n">
        <x:f>C39-D39</x:f>
        <x:v>-150000</x:v>
      </x:c>
      <x:c r="F39" s="6" t="n">
        <x:f>F38+E39</x:f>
        <x:v>-10068000</x:v>
      </x:c>
      <x:c r="G39" s="6" t="n">
        <x:v>47000</x:v>
      </x:c>
      <x:c r="H39" s="6" t="n">
        <x:v>197000</x:v>
      </x:c>
      <x:c r="I39" s="6" t="n">
        <x:v>64</x:v>
      </x:c>
      <x:c r="J39" s="6" t="n">
        <x:v>103</x:v>
      </x:c>
      <x:c r="K39" s="6" t="n">
        <x:v>105</x:v>
      </x:c>
      <x:c r="L39" s="6" t="n">
        <x:v>9</x:v>
      </x:c>
      <x:c r="M39" s="11" t="n">
        <x:v>0.7124572649572649</x:v>
      </x:c>
      <x:c r="N39" s="6" t="n">
        <x:v>172500</x:v>
      </x:c>
    </x:row>
    <x:row r="40" ht="24" customHeight="1">
      <x:c r="A40" s="2" t="str">
        <x:v>2026-10-14_Day</x:v>
      </x:c>
      <x:c r="B40" s="6" t="str">
        <x:v>デイ</x:v>
      </x:c>
      <x:c r="C40" s="6" t="n">
        <x:v>129500</x:v>
      </x:c>
      <x:c r="D40" s="6" t="n">
        <x:v>450500</x:v>
      </x:c>
      <x:c r="E40" s="6" t="n">
        <x:f>C40-D40</x:f>
        <x:v>-321000</x:v>
      </x:c>
      <x:c r="F40" s="6" t="n">
        <x:f>F39+E40</x:f>
        <x:v>-10389000</x:v>
      </x:c>
      <x:c r="G40" s="6" t="n">
        <x:v>85000</x:v>
      </x:c>
      <x:c r="H40" s="6" t="n">
        <x:v>406000</x:v>
      </x:c>
      <x:c r="I40" s="6" t="n">
        <x:v>73</x:v>
      </x:c>
      <x:c r="J40" s="6" t="n">
        <x:v>123</x:v>
      </x:c>
      <x:c r="K40" s="6" t="n">
        <x:v>121</x:v>
      </x:c>
      <x:c r="L40" s="6" t="n">
        <x:v>10</x:v>
      </x:c>
      <x:c r="M40" s="11" t="n">
        <x:v>0.7510714285714286</x:v>
      </x:c>
      <x:c r="N40" s="6" t="n">
        <x:v>327500</x:v>
      </x:c>
    </x:row>
    <x:row r="41" ht="24" customHeight="1">
      <x:c r="A41" s="2" t="str">
        <x:v>2026-10-14_Night</x:v>
      </x:c>
      <x:c r="B41" s="6" t="str">
        <x:v>ナイト</x:v>
      </x:c>
      <x:c r="C41" s="6" t="n">
        <x:v>335000</x:v>
      </x:c>
      <x:c r="D41" s="6" t="n">
        <x:v>555500</x:v>
      </x:c>
      <x:c r="E41" s="6" t="n">
        <x:f>C41-D41</x:f>
        <x:v>-220500</x:v>
      </x:c>
      <x:c r="F41" s="6" t="n">
        <x:f>F40+E41</x:f>
        <x:v>-10609500</x:v>
      </x:c>
      <x:c r="G41" s="6" t="n">
        <x:v>241000</x:v>
      </x:c>
      <x:c r="H41" s="6" t="n">
        <x:v>461500</x:v>
      </x:c>
      <x:c r="I41" s="6" t="n">
        <x:v>90</x:v>
      </x:c>
      <x:c r="J41" s="6" t="n">
        <x:v>229</x:v>
      </x:c>
      <x:c r="K41" s="6" t="n">
        <x:v>225</x:v>
      </x:c>
      <x:c r="L41" s="6" t="n">
        <x:v>10</x:v>
      </x:c>
      <x:c r="M41" s="11" t="n">
        <x:v>0.862051282051282</x:v>
      </x:c>
      <x:c r="N41" s="6" t="n">
        <x:v>234500</x:v>
      </x:c>
    </x:row>
    <x:row r="42" ht="24" customHeight="1">
      <x:c r="A42" s="2" t="str">
        <x:v>2026-10-15_Day</x:v>
      </x:c>
      <x:c r="B42" s="6" t="str">
        <x:v>デイ</x:v>
      </x:c>
      <x:c r="C42" s="6" t="n">
        <x:v>646500</x:v>
      </x:c>
      <x:c r="D42" s="6" t="n">
        <x:v>927500</x:v>
      </x:c>
      <x:c r="E42" s="6" t="n">
        <x:f>C42-D42</x:f>
        <x:v>-281000</x:v>
      </x:c>
      <x:c r="F42" s="6" t="n">
        <x:f>F41+E42</x:f>
        <x:v>-10890500</x:v>
      </x:c>
      <x:c r="G42" s="6" t="n">
        <x:v>515500</x:v>
      </x:c>
      <x:c r="H42" s="6" t="n">
        <x:v>796500</x:v>
      </x:c>
      <x:c r="I42" s="6" t="n">
        <x:v>107</x:v>
      </x:c>
      <x:c r="J42" s="6" t="n">
        <x:v>210</x:v>
      </x:c>
      <x:c r="K42" s="6" t="n">
        <x:v>203</x:v>
      </x:c>
      <x:c r="L42" s="6" t="n">
        <x:v>10</x:v>
      </x:c>
      <x:c r="M42" s="11" t="n">
        <x:v>0.7517460317460317</x:v>
      </x:c>
      <x:c r="N42" s="6" t="n">
        <x:v>391000</x:v>
      </x:c>
    </x:row>
    <x:row r="43" ht="24" customHeight="1">
      <x:c r="A43" s="2" t="str">
        <x:v>2026-10-15_Night</x:v>
      </x:c>
      <x:c r="B43" s="6" t="str">
        <x:v>ナイト</x:v>
      </x:c>
      <x:c r="C43" s="6" t="n">
        <x:v>359500</x:v>
      </x:c>
      <x:c r="D43" s="6" t="n">
        <x:v>747500</x:v>
      </x:c>
      <x:c r="E43" s="6" t="n">
        <x:f>C43-D43</x:f>
        <x:v>-388000</x:v>
      </x:c>
      <x:c r="F43" s="6" t="n">
        <x:f>F42+E43</x:f>
        <x:v>-11278500</x:v>
      </x:c>
      <x:c r="G43" s="6" t="n">
        <x:v>273500</x:v>
      </x:c>
      <x:c r="H43" s="6" t="n">
        <x:v>661500</x:v>
      </x:c>
      <x:c r="I43" s="6" t="n">
        <x:v>116</x:v>
      </x:c>
      <x:c r="J43" s="6" t="n">
        <x:v>227</x:v>
      </x:c>
      <x:c r="K43" s="6" t="n">
        <x:v>228</x:v>
      </x:c>
      <x:c r="L43" s="6" t="n">
        <x:v>10</x:v>
      </x:c>
      <x:c r="M43" s="11" t="n">
        <x:v>0.7816452991452991</x:v>
      </x:c>
      <x:c r="N43" s="6" t="n">
        <x:v>388000</x:v>
      </x:c>
    </x:row>
    <x:row r="44" ht="24" customHeight="1">
      <x:c r="A44" s="2" t="str">
        <x:v>2026-10-16_Day</x:v>
      </x:c>
      <x:c r="B44" s="6" t="str">
        <x:v>デイ</x:v>
      </x:c>
      <x:c r="C44" s="6" t="n">
        <x:v>412000</x:v>
      </x:c>
      <x:c r="D44" s="6" t="n">
        <x:v>647000</x:v>
      </x:c>
      <x:c r="E44" s="6" t="n">
        <x:f>C44-D44</x:f>
        <x:v>-235000</x:v>
      </x:c>
      <x:c r="F44" s="6" t="n">
        <x:f>F43+E44</x:f>
        <x:v>-11513500</x:v>
      </x:c>
      <x:c r="G44" s="6" t="n">
        <x:v>311500</x:v>
      </x:c>
      <x:c r="H44" s="6" t="n">
        <x:v>546500</x:v>
      </x:c>
      <x:c r="I44" s="6" t="n">
        <x:v>78</x:v>
      </x:c>
      <x:c r="J44" s="6" t="n">
        <x:v>176</x:v>
      </x:c>
      <x:c r="K44" s="6" t="n">
        <x:v>165</x:v>
      </x:c>
      <x:c r="L44" s="6" t="n">
        <x:v>10</x:v>
      </x:c>
      <x:c r="M44" s="11" t="n">
        <x:v>0.7914285714285715</x:v>
      </x:c>
      <x:c r="N44" s="6" t="n">
        <x:v>330500</x:v>
      </x:c>
    </x:row>
    <x:row r="45" ht="24" customHeight="1">
      <x:c r="A45" s="2" t="str">
        <x:v>2026-10-16_Night</x:v>
      </x:c>
      <x:c r="B45" s="6" t="str">
        <x:v>ナイト</x:v>
      </x:c>
      <x:c r="C45" s="6" t="n">
        <x:v>381000</x:v>
      </x:c>
      <x:c r="D45" s="6" t="n">
        <x:v>747500</x:v>
      </x:c>
      <x:c r="E45" s="6" t="n">
        <x:f>C45-D45</x:f>
        <x:v>-366500</x:v>
      </x:c>
      <x:c r="F45" s="6" t="n">
        <x:f>F44+E45</x:f>
        <x:v>-11880000</x:v>
      </x:c>
      <x:c r="G45" s="6" t="n">
        <x:v>260500</x:v>
      </x:c>
      <x:c r="H45" s="6" t="n">
        <x:v>627000</x:v>
      </x:c>
      <x:c r="I45" s="6" t="n">
        <x:v>121</x:v>
      </x:c>
      <x:c r="J45" s="6" t="n">
        <x:v>300</x:v>
      </x:c>
      <x:c r="K45" s="6" t="n">
        <x:v>297</x:v>
      </x:c>
      <x:c r="L45" s="6" t="n">
        <x:v>10</x:v>
      </x:c>
      <x:c r="M45" s="11" t="n">
        <x:v>0.8247008547008547</x:v>
      </x:c>
      <x:c r="N45" s="6" t="n">
        <x:v>369000</x:v>
      </x:c>
    </x:row>
    <x:row r="46" ht="24" customHeight="1">
      <x:c r="A46" s="2" t="str">
        <x:v>2026-10-19_Day</x:v>
      </x:c>
      <x:c r="B46" s="6" t="str">
        <x:v>デイ</x:v>
      </x:c>
      <x:c r="C46" s="6" t="n">
        <x:v>459000</x:v>
      </x:c>
      <x:c r="D46" s="6" t="n">
        <x:v>834000</x:v>
      </x:c>
      <x:c r="E46" s="6" t="n">
        <x:f>C46-D46</x:f>
        <x:v>-375000</x:v>
      </x:c>
      <x:c r="F46" s="6" t="n">
        <x:f>F45+E46</x:f>
        <x:v>-12255000</x:v>
      </x:c>
      <x:c r="G46" s="6" t="n">
        <x:v>392500</x:v>
      </x:c>
      <x:c r="H46" s="6" t="n">
        <x:v>767500</x:v>
      </x:c>
      <x:c r="I46" s="6" t="n">
        <x:v>90</x:v>
      </x:c>
      <x:c r="J46" s="6" t="n">
        <x:v>158</x:v>
      </x:c>
      <x:c r="K46" s="6" t="n">
        <x:v>144</x:v>
      </x:c>
      <x:c r="L46" s="6" t="n">
        <x:v>10</x:v>
      </x:c>
      <x:c r="M46" s="11" t="n">
        <x:v>0.768095238095238</x:v>
      </x:c>
      <x:c r="N46" s="6" t="n">
        <x:v>444000</x:v>
      </x:c>
    </x:row>
    <x:row r="47" ht="24" customHeight="1">
      <x:c r="A47" s="2" t="str">
        <x:v>2026-10-19_Night</x:v>
      </x:c>
      <x:c r="B47" s="6" t="str">
        <x:v>ナイト</x:v>
      </x:c>
      <x:c r="C47" s="6" t="n">
        <x:v>199500</x:v>
      </x:c>
      <x:c r="D47" s="6" t="n">
        <x:v>471500</x:v>
      </x:c>
      <x:c r="E47" s="6" t="n">
        <x:f>C47-D47</x:f>
        <x:v>-272000</x:v>
      </x:c>
      <x:c r="F47" s="6" t="n">
        <x:f>F46+E47</x:f>
        <x:v>-12527000</x:v>
      </x:c>
      <x:c r="G47" s="6" t="n">
        <x:v>125500</x:v>
      </x:c>
      <x:c r="H47" s="6" t="n">
        <x:v>397500</x:v>
      </x:c>
      <x:c r="I47" s="6" t="n">
        <x:v>96</x:v>
      </x:c>
      <x:c r="J47" s="6" t="n">
        <x:v>194</x:v>
      </x:c>
      <x:c r="K47" s="6" t="n">
        <x:v>192</x:v>
      </x:c>
      <x:c r="L47" s="6" t="n">
        <x:v>10</x:v>
      </x:c>
      <x:c r="M47" s="11" t="n">
        <x:v>0.7772649572649573</x:v>
      </x:c>
      <x:c r="N47" s="6" t="n">
        <x:v>277000</x:v>
      </x:c>
    </x:row>
    <x:row r="48" ht="24" customHeight="1">
      <x:c r="A48" s="2" t="str">
        <x:v>2026-10-20_Day</x:v>
      </x:c>
      <x:c r="B48" s="6" t="str">
        <x:v>デイ</x:v>
      </x:c>
      <x:c r="C48" s="6" t="n">
        <x:v>353500</x:v>
      </x:c>
      <x:c r="D48" s="6" t="n">
        <x:v>804000</x:v>
      </x:c>
      <x:c r="E48" s="6" t="n">
        <x:f>C48-D48</x:f>
        <x:v>-450500</x:v>
      </x:c>
      <x:c r="F48" s="6" t="n">
        <x:f>F47+E48</x:f>
        <x:v>-12977500</x:v>
      </x:c>
      <x:c r="G48" s="6" t="n">
        <x:v>278500</x:v>
      </x:c>
      <x:c r="H48" s="6" t="n">
        <x:v>729000</x:v>
      </x:c>
      <x:c r="I48" s="6" t="n">
        <x:v>94</x:v>
      </x:c>
      <x:c r="J48" s="6" t="n">
        <x:v>199</x:v>
      </x:c>
      <x:c r="K48" s="6" t="n">
        <x:v>181</x:v>
      </x:c>
      <x:c r="L48" s="6" t="n">
        <x:v>10</x:v>
      </x:c>
      <x:c r="M48" s="11" t="n">
        <x:v>0.8262301587301587</x:v>
      </x:c>
      <x:c r="N48" s="6" t="n">
        <x:v>450500</x:v>
      </x:c>
    </x:row>
    <x:row r="49" ht="24" customHeight="1">
      <x:c r="A49" s="2" t="str">
        <x:v>2026-10-20_Night</x:v>
      </x:c>
      <x:c r="B49" s="6" t="str">
        <x:v>ナイト</x:v>
      </x:c>
      <x:c r="C49" s="6" t="n">
        <x:v>322500</x:v>
      </x:c>
      <x:c r="D49" s="6" t="n">
        <x:v>637000</x:v>
      </x:c>
      <x:c r="E49" s="6" t="n">
        <x:f>C49-D49</x:f>
        <x:v>-314500</x:v>
      </x:c>
      <x:c r="F49" s="6" t="n">
        <x:f>F48+E49</x:f>
        <x:v>-13292000</x:v>
      </x:c>
      <x:c r="G49" s="6" t="n">
        <x:v>216000</x:v>
      </x:c>
      <x:c r="H49" s="6" t="n">
        <x:v>530500</x:v>
      </x:c>
      <x:c r="I49" s="6" t="n">
        <x:v>105</x:v>
      </x:c>
      <x:c r="J49" s="6" t="n">
        <x:v>227</x:v>
      </x:c>
      <x:c r="K49" s="6" t="n">
        <x:v>236</x:v>
      </x:c>
      <x:c r="L49" s="6" t="n">
        <x:v>10</x:v>
      </x:c>
      <x:c r="M49" s="11" t="n">
        <x:v>0.7724786324786325</x:v>
      </x:c>
      <x:c r="N49" s="6" t="n">
        <x:v>334000</x:v>
      </x:c>
    </x:row>
    <x:row r="50" ht="24" customHeight="1">
      <x:c r="A50" s="2" t="str">
        <x:v>2026-10-21_Day</x:v>
      </x:c>
      <x:c r="B50" s="6" t="str">
        <x:v>デイ</x:v>
      </x:c>
      <x:c r="C50" s="6" t="n">
        <x:v>80500</x:v>
      </x:c>
      <x:c r="D50" s="6" t="n">
        <x:v>360000</x:v>
      </x:c>
      <x:c r="E50" s="6" t="n">
        <x:f>C50-D50</x:f>
        <x:v>-279500</x:v>
      </x:c>
      <x:c r="F50" s="6" t="n">
        <x:f>F49+E50</x:f>
        <x:v>-13571500</x:v>
      </x:c>
      <x:c r="G50" s="6" t="n">
        <x:v>32000</x:v>
      </x:c>
      <x:c r="H50" s="6" t="n">
        <x:v>311500</x:v>
      </x:c>
      <x:c r="I50" s="6" t="n">
        <x:v>58</x:v>
      </x:c>
      <x:c r="J50" s="6" t="n">
        <x:v>125</x:v>
      </x:c>
      <x:c r="K50" s="6" t="n">
        <x:v>128</x:v>
      </x:c>
      <x:c r="L50" s="6" t="n">
        <x:v>9</x:v>
      </x:c>
      <x:c r="M50" s="11" t="n">
        <x:v>0.7432936507936508</x:v>
      </x:c>
      <x:c r="N50" s="6" t="n">
        <x:v>280000</x:v>
      </x:c>
    </x:row>
    <x:row r="51" ht="24" customHeight="1">
      <x:c r="A51" s="2" t="str">
        <x:v>2026-10-21_Night</x:v>
      </x:c>
      <x:c r="B51" s="6" t="str">
        <x:v>ナイト</x:v>
      </x:c>
      <x:c r="C51" s="6" t="n">
        <x:v>264500</x:v>
      </x:c>
      <x:c r="D51" s="6" t="n">
        <x:v>492500</x:v>
      </x:c>
      <x:c r="E51" s="6" t="n">
        <x:f>C51-D51</x:f>
        <x:v>-228000</x:v>
      </x:c>
      <x:c r="F51" s="6" t="n">
        <x:f>F50+E51</x:f>
        <x:v>-13799500</x:v>
      </x:c>
      <x:c r="G51" s="6" t="n">
        <x:v>188000</x:v>
      </x:c>
      <x:c r="H51" s="6" t="n">
        <x:v>416000</x:v>
      </x:c>
      <x:c r="I51" s="6" t="n">
        <x:v>99</x:v>
      </x:c>
      <x:c r="J51" s="6" t="n">
        <x:v>173</x:v>
      </x:c>
      <x:c r="K51" s="6" t="n">
        <x:v>174</x:v>
      </x:c>
      <x:c r="L51" s="6" t="n">
        <x:v>10</x:v>
      </x:c>
      <x:c r="M51" s="11" t="n">
        <x:v>0.7578632478632479</x:v>
      </x:c>
      <x:c r="N51" s="6" t="n">
        <x:v>253500</x:v>
      </x:c>
    </x:row>
    <x:row r="52" ht="24" customHeight="1">
      <x:c r="A52" s="2" t="str">
        <x:v>2026-10-22_Day</x:v>
      </x:c>
      <x:c r="B52" s="6" t="str">
        <x:v>デイ</x:v>
      </x:c>
      <x:c r="C52" s="6" t="n">
        <x:v>312000</x:v>
      </x:c>
      <x:c r="D52" s="6" t="n">
        <x:v>630500</x:v>
      </x:c>
      <x:c r="E52" s="6" t="n">
        <x:f>C52-D52</x:f>
        <x:v>-318500</x:v>
      </x:c>
      <x:c r="F52" s="6" t="n">
        <x:f>F51+E52</x:f>
        <x:v>-14118000</x:v>
      </x:c>
      <x:c r="G52" s="6" t="n">
        <x:v>223500</x:v>
      </x:c>
      <x:c r="H52" s="6" t="n">
        <x:v>542000</x:v>
      </x:c>
      <x:c r="I52" s="6" t="n">
        <x:v>81</x:v>
      </x:c>
      <x:c r="J52" s="6" t="n">
        <x:v>186</x:v>
      </x:c>
      <x:c r="K52" s="6" t="n">
        <x:v>197</x:v>
      </x:c>
      <x:c r="L52" s="6" t="n">
        <x:v>10</x:v>
      </x:c>
      <x:c r="M52" s="11" t="n">
        <x:v>0.792420634920635</x:v>
      </x:c>
      <x:c r="N52" s="6" t="n">
        <x:v>390000</x:v>
      </x:c>
    </x:row>
    <x:row r="53" ht="24" customHeight="1">
      <x:c r="A53" s="2" t="str">
        <x:v>2026-10-22_Night</x:v>
      </x:c>
      <x:c r="B53" s="6" t="str">
        <x:v>ナイト</x:v>
      </x:c>
      <x:c r="C53" s="6" t="n">
        <x:v>372000</x:v>
      </x:c>
      <x:c r="D53" s="6" t="n">
        <x:v>712500</x:v>
      </x:c>
      <x:c r="E53" s="6" t="n">
        <x:f>C53-D53</x:f>
        <x:v>-340500</x:v>
      </x:c>
      <x:c r="F53" s="6" t="n">
        <x:f>F52+E53</x:f>
        <x:v>-14458500</x:v>
      </x:c>
      <x:c r="G53" s="6" t="n">
        <x:v>253500</x:v>
      </x:c>
      <x:c r="H53" s="6" t="n">
        <x:v>594000</x:v>
      </x:c>
      <x:c r="I53" s="6" t="n">
        <x:v>112</x:v>
      </x:c>
      <x:c r="J53" s="6" t="n">
        <x:v>291</x:v>
      </x:c>
      <x:c r="K53" s="6" t="n">
        <x:v>277</x:v>
      </x:c>
      <x:c r="L53" s="6" t="n">
        <x:v>10</x:v>
      </x:c>
      <x:c r="M53" s="11" t="n">
        <x:v>0.8594017094017095</x:v>
      </x:c>
      <x:c r="N53" s="6" t="n">
        <x:v>349500</x:v>
      </x:c>
    </x:row>
    <x:row r="54" ht="24" customHeight="1">
      <x:c r="A54" s="2" t="str">
        <x:v>2026-10-23_Day</x:v>
      </x:c>
      <x:c r="B54" s="6" t="str">
        <x:v>デイ</x:v>
      </x:c>
      <x:c r="C54" s="6" t="n">
        <x:v>906000</x:v>
      </x:c>
      <x:c r="D54" s="6" t="n">
        <x:v>1584500</x:v>
      </x:c>
      <x:c r="E54" s="6" t="n">
        <x:f>C54-D54</x:f>
        <x:v>-678500</x:v>
      </x:c>
      <x:c r="F54" s="6" t="n">
        <x:f>F53+E54</x:f>
        <x:v>-15137000</x:v>
      </x:c>
      <x:c r="G54" s="6" t="n">
        <x:v>813500</x:v>
      </x:c>
      <x:c r="H54" s="6" t="n">
        <x:v>1492000</x:v>
      </x:c>
      <x:c r="I54" s="6" t="n">
        <x:v>126</x:v>
      </x:c>
      <x:c r="J54" s="6" t="n">
        <x:v>229</x:v>
      </x:c>
      <x:c r="K54" s="6" t="n">
        <x:v>243</x:v>
      </x:c>
      <x:c r="L54" s="6" t="n">
        <x:v>10</x:v>
      </x:c>
      <x:c r="M54" s="11" t="n">
        <x:v>0.7744047619047619</x:v>
      </x:c>
      <x:c r="N54" s="6" t="n">
        <x:v>747500</x:v>
      </x:c>
    </x:row>
    <x:row r="55" ht="24" customHeight="1">
      <x:c r="A55" s="2" t="str">
        <x:v>2026-10-23_Night</x:v>
      </x:c>
      <x:c r="B55" s="6" t="str">
        <x:v>ナイト</x:v>
      </x:c>
      <x:c r="C55" s="6" t="n">
        <x:v>351500</x:v>
      </x:c>
      <x:c r="D55" s="6" t="n">
        <x:v>750000</x:v>
      </x:c>
      <x:c r="E55" s="6" t="n">
        <x:f>C55-D55</x:f>
        <x:v>-398500</x:v>
      </x:c>
      <x:c r="F55" s="6" t="n">
        <x:f>F54+E55</x:f>
        <x:v>-15535500</x:v>
      </x:c>
      <x:c r="G55" s="6" t="n">
        <x:v>230500</x:v>
      </x:c>
      <x:c r="H55" s="6" t="n">
        <x:v>629000</x:v>
      </x:c>
      <x:c r="I55" s="6" t="n">
        <x:v>116</x:v>
      </x:c>
      <x:c r="J55" s="6" t="n">
        <x:v>248</x:v>
      </x:c>
      <x:c r="K55" s="6" t="n">
        <x:v>246</x:v>
      </x:c>
      <x:c r="L55" s="6" t="n">
        <x:v>10</x:v>
      </x:c>
      <x:c r="M55" s="11" t="n">
        <x:v>0.7914316239316239</x:v>
      </x:c>
      <x:c r="N55" s="6" t="n">
        <x:v>444000</x:v>
      </x:c>
    </x:row>
    <x:row r="56" ht="24" customHeight="1">
      <x:c r="A56" s="2" t="str">
        <x:v>2026-10-26_Day</x:v>
      </x:c>
      <x:c r="B56" s="6" t="str">
        <x:v>デイ</x:v>
      </x:c>
      <x:c r="C56" s="6" t="n">
        <x:v>413000</x:v>
      </x:c>
      <x:c r="D56" s="6" t="n">
        <x:v>837500</x:v>
      </x:c>
      <x:c r="E56" s="6" t="n">
        <x:f>C56-D56</x:f>
        <x:v>-424500</x:v>
      </x:c>
      <x:c r="F56" s="6" t="n">
        <x:f>F55+E56</x:f>
        <x:v>-15960000</x:v>
      </x:c>
      <x:c r="G56" s="6" t="n">
        <x:v>346500</x:v>
      </x:c>
      <x:c r="H56" s="6" t="n">
        <x:v>771000</x:v>
      </x:c>
      <x:c r="I56" s="6" t="n">
        <x:v>107</x:v>
      </x:c>
      <x:c r="J56" s="6" t="n">
        <x:v>174</x:v>
      </x:c>
      <x:c r="K56" s="6" t="n">
        <x:v>175</x:v>
      </x:c>
      <x:c r="L56" s="6" t="n">
        <x:v>10</x:v>
      </x:c>
      <x:c r="M56" s="11" t="n">
        <x:v>0.7607539682539682</x:v>
      </x:c>
      <x:c r="N56" s="6" t="n">
        <x:v>565000</x:v>
      </x:c>
    </x:row>
    <x:row r="57" ht="24" customHeight="1">
      <x:c r="A57" s="15" t="str">
        <x:v>累計／平均／最大</x:v>
      </x:c>
      <x:c r="B57" s="16"/>
      <x:c r="C57" s="16" t="n">
        <x:f>SUM(C6:C56)</x:f>
        <x:v>12974000</x:v>
      </x:c>
      <x:c r="D57" s="16" t="n">
        <x:f>SUM(D6:D56)</x:f>
        <x:v>28934000</x:v>
      </x:c>
      <x:c r="E57" s="16" t="n">
        <x:f>C57-D57</x:f>
        <x:v>-15960000</x:v>
      </x:c>
      <x:c r="F57" s="16" t="n">
        <x:f>F56</x:f>
        <x:v>-15960000</x:v>
      </x:c>
      <x:c r="G57" s="16" t="n">
        <x:f>SUM(G6:G56)</x:f>
        <x:v>9490500</x:v>
      </x:c>
      <x:c r="H57" s="16" t="n">
        <x:f>SUM(H6:H56)</x:f>
        <x:v>25450500</x:v>
      </x:c>
      <x:c r="I57" s="16" t="n">
        <x:f>SUM(I6:I56)</x:f>
        <x:v>4337</x:v>
      </x:c>
      <x:c r="J57" s="16" t="n">
        <x:f>SUM(J6:J56)</x:f>
        <x:v>8729</x:v>
      </x:c>
      <x:c r="K57" s="16" t="n">
        <x:f>SUM(K6:K56)</x:f>
        <x:v>8658</x:v>
      </x:c>
      <x:c r="L57" s="16" t="n">
        <x:f>MAX(L6:L56)</x:f>
        <x:v>10</x:v>
      </x:c>
      <x:c r="M57" s="17" t="n">
        <x:f>AVERAGE(M6:M56)</x:f>
        <x:v>0.7669704804998922</x:v>
      </x:c>
      <x:c r="N57" s="16" t="n">
        <x:f>MAX(N6:N56)</x:f>
        <x:v>747500</x:v>
      </x:c>
    </x:row>
  </x:sheetData>
  <x:conditionalFormatting sqref="E6:F56">
    <x:cfRule type="cellIs" dxfId="64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c0226d0b77d43ee"/>
  </x:tableParts>
</x:worksheet>
</file>

<file path=xl/worksheets/sheet6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1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4" customHeight="1">
      <x:c r="A1" s="3" t="str">
        <x:v>TOPIX M24　各セッションの利益・損失・収支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A2" s="4" t="str">
        <x:v>2026/09/21〜10/26デイ・51完了場。日経mini／TOPIXmini各上限10枚・手数料0。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4" customHeight="1">
      <x:c r="A3" s="4" t="str">
        <x:v>600秒の時間加重平均を60秒前と比較。保有中も傾き比例で増減、利益追尾＋傾き反転・増勢後の半減で返済。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4" customHeight="1">
      <x:c r="A4" s="4" t="str">
        <x:v>利益・損失＝FIFO返済配賦別。親＝初回から全返済まで。ラージ気配による模型で、mini実約定の検証ではありません。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42" customHeight="1">
      <x:c r="A5" s="10" t="str">
        <x:v>セッション</x:v>
      </x:c>
      <x:c r="B5" s="10" t="str">
        <x:v>区分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親利益（円）</x:v>
      </x:c>
      <x:c r="H5" s="10" t="str">
        <x:v>親損失（円）</x:v>
      </x:c>
      <x:c r="I5" s="10" t="str">
        <x:v>初回件数</x:v>
      </x:c>
      <x:c r="J5" s="10" t="str">
        <x:v>追加件数</x:v>
      </x:c>
      <x:c r="K5" s="10" t="str">
        <x:v>縮小件数</x:v>
      </x:c>
      <x:c r="L5" s="10" t="str">
        <x:v>最大保有枚数</x:v>
      </x:c>
      <x:c r="M5" s="10" t="str">
        <x:v>保有時間率</x:v>
      </x:c>
      <x:c r="N5" s="10" t="str">
        <x:v>時価最大DD（円）</x:v>
      </x:c>
    </x:row>
    <x:row r="6" ht="24" customHeight="1">
      <x:c r="A6" s="2" t="str">
        <x:v>2026-09-21_Day</x:v>
      </x:c>
      <x:c r="B6" s="6" t="str">
        <x:v>デイ</x:v>
      </x:c>
      <x:c r="C6" s="6" t="n">
        <x:v>33500</x:v>
      </x:c>
      <x:c r="D6" s="6" t="n">
        <x:v>225000</x:v>
      </x:c>
      <x:c r="E6" s="6" t="n">
        <x:f>C6-D6</x:f>
        <x:v>-191500</x:v>
      </x:c>
      <x:c r="F6" s="6" t="n">
        <x:f>E6</x:f>
        <x:v>-191500</x:v>
      </x:c>
      <x:c r="G6" s="6" t="n">
        <x:v>18000</x:v>
      </x:c>
      <x:c r="H6" s="6" t="n">
        <x:v>209500</x:v>
      </x:c>
      <x:c r="I6" s="6" t="n">
        <x:v>34</x:v>
      </x:c>
      <x:c r="J6" s="6" t="n">
        <x:v>46</x:v>
      </x:c>
      <x:c r="K6" s="6" t="n">
        <x:v>41</x:v>
      </x:c>
      <x:c r="L6" s="6" t="n">
        <x:v>10</x:v>
      </x:c>
      <x:c r="M6" s="11" t="n">
        <x:v>0.5581746031746032</x:v>
      </x:c>
      <x:c r="N6" s="6" t="n">
        <x:v>196000</x:v>
      </x:c>
    </x:row>
    <x:row r="7" ht="24" customHeight="1">
      <x:c r="A7" s="2" t="str">
        <x:v>2026-09-21_Night</x:v>
      </x:c>
      <x:c r="B7" s="6" t="str">
        <x:v>ナイト</x:v>
      </x:c>
      <x:c r="C7" s="6" t="n">
        <x:v>55500</x:v>
      </x:c>
      <x:c r="D7" s="6" t="n">
        <x:v>212000</x:v>
      </x:c>
      <x:c r="E7" s="6" t="n">
        <x:f>C7-D7</x:f>
        <x:v>-156500</x:v>
      </x:c>
      <x:c r="F7" s="6" t="n">
        <x:f>F6+E7</x:f>
        <x:v>-348000</x:v>
      </x:c>
      <x:c r="G7" s="6" t="n">
        <x:v>21500</x:v>
      </x:c>
      <x:c r="H7" s="6" t="n">
        <x:v>178000</x:v>
      </x:c>
      <x:c r="I7" s="6" t="n">
        <x:v>73</x:v>
      </x:c>
      <x:c r="J7" s="6" t="n">
        <x:v>91</x:v>
      </x:c>
      <x:c r="K7" s="6" t="n">
        <x:v>83</x:v>
      </x:c>
      <x:c r="L7" s="6" t="n">
        <x:v>6</x:v>
      </x:c>
      <x:c r="M7" s="11" t="n">
        <x:v>0.7376282051282051</x:v>
      </x:c>
      <x:c r="N7" s="6" t="n">
        <x:v>166000</x:v>
      </x:c>
    </x:row>
    <x:row r="8" ht="24" customHeight="1">
      <x:c r="A8" s="2" t="str">
        <x:v>2026-09-22_Day</x:v>
      </x:c>
      <x:c r="B8" s="6" t="str">
        <x:v>デイ</x:v>
      </x:c>
      <x:c r="C8" s="6" t="n">
        <x:v>90500</x:v>
      </x:c>
      <x:c r="D8" s="6" t="n">
        <x:v>344000</x:v>
      </x:c>
      <x:c r="E8" s="6" t="n">
        <x:f>C8-D8</x:f>
        <x:v>-253500</x:v>
      </x:c>
      <x:c r="F8" s="6" t="n">
        <x:f>F7+E8</x:f>
        <x:v>-601500</x:v>
      </x:c>
      <x:c r="G8" s="6" t="n">
        <x:v>49000</x:v>
      </x:c>
      <x:c r="H8" s="6" t="n">
        <x:v>302500</x:v>
      </x:c>
      <x:c r="I8" s="6" t="n">
        <x:v>71</x:v>
      </x:c>
      <x:c r="J8" s="6" t="n">
        <x:v>96</x:v>
      </x:c>
      <x:c r="K8" s="6" t="n">
        <x:v>94</x:v>
      </x:c>
      <x:c r="L8" s="6" t="n">
        <x:v>10</x:v>
      </x:c>
      <x:c r="M8" s="11" t="n">
        <x:v>0.7211904761904762</x:v>
      </x:c>
      <x:c r="N8" s="6" t="n">
        <x:v>262000</x:v>
      </x:c>
    </x:row>
    <x:row r="9" ht="24" customHeight="1">
      <x:c r="A9" s="2" t="str">
        <x:v>2026-09-22_Night</x:v>
      </x:c>
      <x:c r="B9" s="6" t="str">
        <x:v>ナイト</x:v>
      </x:c>
      <x:c r="C9" s="6" t="n">
        <x:v>242000</x:v>
      </x:c>
      <x:c r="D9" s="6" t="n">
        <x:v>591500</x:v>
      </x:c>
      <x:c r="E9" s="6" t="n">
        <x:f>C9-D9</x:f>
        <x:v>-349500</x:v>
      </x:c>
      <x:c r="F9" s="6" t="n">
        <x:f>F8+E9</x:f>
        <x:v>-951000</x:v>
      </x:c>
      <x:c r="G9" s="6" t="n">
        <x:v>174500</x:v>
      </x:c>
      <x:c r="H9" s="6" t="n">
        <x:v>524000</x:v>
      </x:c>
      <x:c r="I9" s="6" t="n">
        <x:v>108</x:v>
      </x:c>
      <x:c r="J9" s="6" t="n">
        <x:v>195</x:v>
      </x:c>
      <x:c r="K9" s="6" t="n">
        <x:v>173</x:v>
      </x:c>
      <x:c r="L9" s="6" t="n">
        <x:v>10</x:v>
      </x:c>
      <x:c r="M9" s="11" t="n">
        <x:v>0.7792735042735043</x:v>
      </x:c>
      <x:c r="N9" s="6" t="n">
        <x:v>374500</x:v>
      </x:c>
    </x:row>
    <x:row r="10" ht="24" customHeight="1">
      <x:c r="A10" s="2" t="str">
        <x:v>2026-09-23_Day</x:v>
      </x:c>
      <x:c r="B10" s="6" t="str">
        <x:v>デイ</x:v>
      </x:c>
      <x:c r="C10" s="6" t="n">
        <x:v>153000</x:v>
      </x:c>
      <x:c r="D10" s="6" t="n">
        <x:v>333000</x:v>
      </x:c>
      <x:c r="E10" s="6" t="n">
        <x:f>C10-D10</x:f>
        <x:v>-180000</x:v>
      </x:c>
      <x:c r="F10" s="6" t="n">
        <x:f>F9+E10</x:f>
        <x:v>-1131000</x:v>
      </x:c>
      <x:c r="G10" s="6" t="n">
        <x:v>116500</x:v>
      </x:c>
      <x:c r="H10" s="6" t="n">
        <x:v>296500</x:v>
      </x:c>
      <x:c r="I10" s="6" t="n">
        <x:v>47</x:v>
      </x:c>
      <x:c r="J10" s="6" t="n">
        <x:v>82</x:v>
      </x:c>
      <x:c r="K10" s="6" t="n">
        <x:v>80</x:v>
      </x:c>
      <x:c r="L10" s="6" t="n">
        <x:v>10</x:v>
      </x:c>
      <x:c r="M10" s="11" t="n">
        <x:v>0.6791666666666667</x:v>
      </x:c>
      <x:c r="N10" s="6" t="n">
        <x:v>232000</x:v>
      </x:c>
    </x:row>
    <x:row r="11" ht="24" customHeight="1">
      <x:c r="A11" s="2" t="str">
        <x:v>2026-09-23_Night</x:v>
      </x:c>
      <x:c r="B11" s="6" t="str">
        <x:v>ナイト</x:v>
      </x:c>
      <x:c r="C11" s="6" t="n">
        <x:v>69500</x:v>
      </x:c>
      <x:c r="D11" s="6" t="n">
        <x:v>284500</x:v>
      </x:c>
      <x:c r="E11" s="6" t="n">
        <x:f>C11-D11</x:f>
        <x:v>-215000</x:v>
      </x:c>
      <x:c r="F11" s="6" t="n">
        <x:f>F10+E11</x:f>
        <x:v>-1346000</x:v>
      </x:c>
      <x:c r="G11" s="6" t="n">
        <x:v>42500</x:v>
      </x:c>
      <x:c r="H11" s="6" t="n">
        <x:v>257500</x:v>
      </x:c>
      <x:c r="I11" s="6" t="n">
        <x:v>78</x:v>
      </x:c>
      <x:c r="J11" s="6" t="n">
        <x:v>99</x:v>
      </x:c>
      <x:c r="K11" s="6" t="n">
        <x:v>84</x:v>
      </x:c>
      <x:c r="L11" s="6" t="n">
        <x:v>6</x:v>
      </x:c>
      <x:c r="M11" s="11" t="n">
        <x:v>0.7142735042735042</x:v>
      </x:c>
      <x:c r="N11" s="6" t="n">
        <x:v>219000</x:v>
      </x:c>
    </x:row>
    <x:row r="12" ht="24" customHeight="1">
      <x:c r="A12" s="2" t="str">
        <x:v>2026-09-24_Day</x:v>
      </x:c>
      <x:c r="B12" s="6" t="str">
        <x:v>デイ</x:v>
      </x:c>
      <x:c r="C12" s="6" t="n">
        <x:v>387000</x:v>
      </x:c>
      <x:c r="D12" s="6" t="n">
        <x:v>977500</x:v>
      </x:c>
      <x:c r="E12" s="6" t="n">
        <x:f>C12-D12</x:f>
        <x:v>-590500</x:v>
      </x:c>
      <x:c r="F12" s="6" t="n">
        <x:f>F11+E12</x:f>
        <x:v>-1936500</x:v>
      </x:c>
      <x:c r="G12" s="6" t="n">
        <x:v>305000</x:v>
      </x:c>
      <x:c r="H12" s="6" t="n">
        <x:v>895500</x:v>
      </x:c>
      <x:c r="I12" s="6" t="n">
        <x:v>108</x:v>
      </x:c>
      <x:c r="J12" s="6" t="n">
        <x:v>195</x:v>
      </x:c>
      <x:c r="K12" s="6" t="n">
        <x:v>189</x:v>
      </x:c>
      <x:c r="L12" s="6" t="n">
        <x:v>10</x:v>
      </x:c>
      <x:c r="M12" s="11" t="n">
        <x:v>0.7609126984126984</x:v>
      </x:c>
      <x:c r="N12" s="6" t="n">
        <x:v>653000</x:v>
      </x:c>
    </x:row>
    <x:row r="13" ht="24" customHeight="1">
      <x:c r="A13" s="2" t="str">
        <x:v>2026-09-24_Night</x:v>
      </x:c>
      <x:c r="B13" s="6" t="str">
        <x:v>ナイト</x:v>
      </x:c>
      <x:c r="C13" s="6" t="n">
        <x:v>276500</x:v>
      </x:c>
      <x:c r="D13" s="6" t="n">
        <x:v>711500</x:v>
      </x:c>
      <x:c r="E13" s="6" t="n">
        <x:f>C13-D13</x:f>
        <x:v>-435000</x:v>
      </x:c>
      <x:c r="F13" s="6" t="n">
        <x:f>F12+E13</x:f>
        <x:v>-2371500</x:v>
      </x:c>
      <x:c r="G13" s="6" t="n">
        <x:v>188500</x:v>
      </x:c>
      <x:c r="H13" s="6" t="n">
        <x:v>623500</x:v>
      </x:c>
      <x:c r="I13" s="6" t="n">
        <x:v>125</x:v>
      </x:c>
      <x:c r="J13" s="6" t="n">
        <x:v>226</x:v>
      </x:c>
      <x:c r="K13" s="6" t="n">
        <x:v>204</x:v>
      </x:c>
      <x:c r="L13" s="6" t="n">
        <x:v>10</x:v>
      </x:c>
      <x:c r="M13" s="11" t="n">
        <x:v>0.7861752136752137</x:v>
      </x:c>
      <x:c r="N13" s="6" t="n">
        <x:v>515000</x:v>
      </x:c>
    </x:row>
    <x:row r="14" ht="24" customHeight="1">
      <x:c r="A14" s="2" t="str">
        <x:v>2026-09-25_Day</x:v>
      </x:c>
      <x:c r="B14" s="6" t="str">
        <x:v>デイ</x:v>
      </x:c>
      <x:c r="C14" s="6" t="n">
        <x:v>337500</x:v>
      </x:c>
      <x:c r="D14" s="6" t="n">
        <x:v>589500</x:v>
      </x:c>
      <x:c r="E14" s="6" t="n">
        <x:f>C14-D14</x:f>
        <x:v>-252000</x:v>
      </x:c>
      <x:c r="F14" s="6" t="n">
        <x:f>F13+E14</x:f>
        <x:v>-2623500</x:v>
      </x:c>
      <x:c r="G14" s="6" t="n">
        <x:v>260000</x:v>
      </x:c>
      <x:c r="H14" s="6" t="n">
        <x:v>512000</x:v>
      </x:c>
      <x:c r="I14" s="6" t="n">
        <x:v>90</x:v>
      </x:c>
      <x:c r="J14" s="6" t="n">
        <x:v>187</x:v>
      </x:c>
      <x:c r="K14" s="6" t="n">
        <x:v>179</x:v>
      </x:c>
      <x:c r="L14" s="6" t="n">
        <x:v>10</x:v>
      </x:c>
      <x:c r="M14" s="11" t="n">
        <x:v>0.8145238095238095</x:v>
      </x:c>
      <x:c r="N14" s="6" t="n">
        <x:v>286000</x:v>
      </x:c>
    </x:row>
    <x:row r="15" ht="24" customHeight="1">
      <x:c r="A15" s="2" t="str">
        <x:v>2026-09-25_Night</x:v>
      </x:c>
      <x:c r="B15" s="6" t="str">
        <x:v>ナイト</x:v>
      </x:c>
      <x:c r="C15" s="6" t="n">
        <x:v>226500</x:v>
      </x:c>
      <x:c r="D15" s="6" t="n">
        <x:v>457500</x:v>
      </x:c>
      <x:c r="E15" s="6" t="n">
        <x:f>C15-D15</x:f>
        <x:v>-231000</x:v>
      </x:c>
      <x:c r="F15" s="6" t="n">
        <x:f>F14+E15</x:f>
        <x:v>-2854500</x:v>
      </x:c>
      <x:c r="G15" s="6" t="n">
        <x:v>178500</x:v>
      </x:c>
      <x:c r="H15" s="6" t="n">
        <x:v>409500</x:v>
      </x:c>
      <x:c r="I15" s="6" t="n">
        <x:v>109</x:v>
      </x:c>
      <x:c r="J15" s="6" t="n">
        <x:v>176</x:v>
      </x:c>
      <x:c r="K15" s="6" t="n">
        <x:v>165</x:v>
      </x:c>
      <x:c r="L15" s="6" t="n">
        <x:v>10</x:v>
      </x:c>
      <x:c r="M15" s="11" t="n">
        <x:v>0.7600213675213675</x:v>
      </x:c>
      <x:c r="N15" s="6" t="n">
        <x:v>291500</x:v>
      </x:c>
    </x:row>
    <x:row r="16" ht="24" customHeight="1">
      <x:c r="A16" s="2" t="str">
        <x:v>2026-09-28_Day</x:v>
      </x:c>
      <x:c r="B16" s="6" t="str">
        <x:v>デイ</x:v>
      </x:c>
      <x:c r="C16" s="6" t="n">
        <x:v>199000</x:v>
      </x:c>
      <x:c r="D16" s="6" t="n">
        <x:v>538500</x:v>
      </x:c>
      <x:c r="E16" s="6" t="n">
        <x:f>C16-D16</x:f>
        <x:v>-339500</x:v>
      </x:c>
      <x:c r="F16" s="6" t="n">
        <x:f>F15+E16</x:f>
        <x:v>-3194000</x:v>
      </x:c>
      <x:c r="G16" s="6" t="n">
        <x:v>146500</x:v>
      </x:c>
      <x:c r="H16" s="6" t="n">
        <x:v>486000</x:v>
      </x:c>
      <x:c r="I16" s="6" t="n">
        <x:v>85</x:v>
      </x:c>
      <x:c r="J16" s="6" t="n">
        <x:v>138</x:v>
      </x:c>
      <x:c r="K16" s="6" t="n">
        <x:v>127</x:v>
      </x:c>
      <x:c r="L16" s="6" t="n">
        <x:v>10</x:v>
      </x:c>
      <x:c r="M16" s="11" t="n">
        <x:v>0.748968253968254</x:v>
      </x:c>
      <x:c r="N16" s="6" t="n">
        <x:v>458000</x:v>
      </x:c>
    </x:row>
    <x:row r="17" ht="24" customHeight="1">
      <x:c r="A17" s="2" t="str">
        <x:v>2026-09-28_Night</x:v>
      </x:c>
      <x:c r="B17" s="6" t="str">
        <x:v>ナイト</x:v>
      </x:c>
      <x:c r="C17" s="6" t="n">
        <x:v>256500</x:v>
      </x:c>
      <x:c r="D17" s="6" t="n">
        <x:v>702000</x:v>
      </x:c>
      <x:c r="E17" s="6" t="n">
        <x:f>C17-D17</x:f>
        <x:v>-445500</x:v>
      </x:c>
      <x:c r="F17" s="6" t="n">
        <x:f>F16+E17</x:f>
        <x:v>-3639500</x:v>
      </x:c>
      <x:c r="G17" s="6" t="n">
        <x:v>169500</x:v>
      </x:c>
      <x:c r="H17" s="6" t="n">
        <x:v>615000</x:v>
      </x:c>
      <x:c r="I17" s="6" t="n">
        <x:v>129</x:v>
      </x:c>
      <x:c r="J17" s="6" t="n">
        <x:v>210</x:v>
      </x:c>
      <x:c r="K17" s="6" t="n">
        <x:v>196</x:v>
      </x:c>
      <x:c r="L17" s="6" t="n">
        <x:v>10</x:v>
      </x:c>
      <x:c r="M17" s="11" t="n">
        <x:v>0.7410256410256411</x:v>
      </x:c>
      <x:c r="N17" s="6" t="n">
        <x:v>452000</x:v>
      </x:c>
    </x:row>
    <x:row r="18" ht="24" customHeight="1">
      <x:c r="A18" s="2" t="str">
        <x:v>2026-09-29_Day</x:v>
      </x:c>
      <x:c r="B18" s="6" t="str">
        <x:v>デイ</x:v>
      </x:c>
      <x:c r="C18" s="6" t="n">
        <x:v>323000</x:v>
      </x:c>
      <x:c r="D18" s="6" t="n">
        <x:v>558500</x:v>
      </x:c>
      <x:c r="E18" s="6" t="n">
        <x:f>C18-D18</x:f>
        <x:v>-235500</x:v>
      </x:c>
      <x:c r="F18" s="6" t="n">
        <x:f>F17+E18</x:f>
        <x:v>-3875000</x:v>
      </x:c>
      <x:c r="G18" s="6" t="n">
        <x:v>253000</x:v>
      </x:c>
      <x:c r="H18" s="6" t="n">
        <x:v>488500</x:v>
      </x:c>
      <x:c r="I18" s="6" t="n">
        <x:v>96</x:v>
      </x:c>
      <x:c r="J18" s="6" t="n">
        <x:v>167</x:v>
      </x:c>
      <x:c r="K18" s="6" t="n">
        <x:v>163</x:v>
      </x:c>
      <x:c r="L18" s="6" t="n">
        <x:v>10</x:v>
      </x:c>
      <x:c r="M18" s="11" t="n">
        <x:v>0.7667063492063492</x:v>
      </x:c>
      <x:c r="N18" s="6" t="n">
        <x:v>250000</x:v>
      </x:c>
    </x:row>
    <x:row r="19" ht="24" customHeight="1">
      <x:c r="A19" s="2" t="str">
        <x:v>2026-09-29_Night</x:v>
      </x:c>
      <x:c r="B19" s="6" t="str">
        <x:v>ナイト</x:v>
      </x:c>
      <x:c r="C19" s="6" t="n">
        <x:v>113000</x:v>
      </x:c>
      <x:c r="D19" s="6" t="n">
        <x:v>496000</x:v>
      </x:c>
      <x:c r="E19" s="6" t="n">
        <x:f>C19-D19</x:f>
        <x:v>-383000</x:v>
      </x:c>
      <x:c r="F19" s="6" t="n">
        <x:f>F18+E19</x:f>
        <x:v>-4258000</x:v>
      </x:c>
      <x:c r="G19" s="6" t="n">
        <x:v>64000</x:v>
      </x:c>
      <x:c r="H19" s="6" t="n">
        <x:v>447000</x:v>
      </x:c>
      <x:c r="I19" s="6" t="n">
        <x:v>114</x:v>
      </x:c>
      <x:c r="J19" s="6" t="n">
        <x:v>200</x:v>
      </x:c>
      <x:c r="K19" s="6" t="n">
        <x:v>177</x:v>
      </x:c>
      <x:c r="L19" s="6" t="n">
        <x:v>9</x:v>
      </x:c>
      <x:c r="M19" s="11" t="n">
        <x:v>0.7817307692307692</x:v>
      </x:c>
      <x:c r="N19" s="6" t="n">
        <x:v>388000</x:v>
      </x:c>
    </x:row>
    <x:row r="20" ht="24" customHeight="1">
      <x:c r="A20" s="2" t="str">
        <x:v>2026-09-30_Day</x:v>
      </x:c>
      <x:c r="B20" s="6" t="str">
        <x:v>デイ</x:v>
      </x:c>
      <x:c r="C20" s="6" t="n">
        <x:v>300500</x:v>
      </x:c>
      <x:c r="D20" s="6" t="n">
        <x:v>535000</x:v>
      </x:c>
      <x:c r="E20" s="6" t="n">
        <x:f>C20-D20</x:f>
        <x:v>-234500</x:v>
      </x:c>
      <x:c r="F20" s="6" t="n">
        <x:f>F19+E20</x:f>
        <x:v>-4492500</x:v>
      </x:c>
      <x:c r="G20" s="6" t="n">
        <x:v>213500</x:v>
      </x:c>
      <x:c r="H20" s="6" t="n">
        <x:v>448000</x:v>
      </x:c>
      <x:c r="I20" s="6" t="n">
        <x:v>78</x:v>
      </x:c>
      <x:c r="J20" s="6" t="n">
        <x:v>191</x:v>
      </x:c>
      <x:c r="K20" s="6" t="n">
        <x:v>198</x:v>
      </x:c>
      <x:c r="L20" s="6" t="n">
        <x:v>10</x:v>
      </x:c>
      <x:c r="M20" s="11" t="n">
        <x:v>0.7716269841269842</x:v>
      </x:c>
      <x:c r="N20" s="6" t="n">
        <x:v>237500</x:v>
      </x:c>
    </x:row>
    <x:row r="21" ht="24" customHeight="1">
      <x:c r="A21" s="2" t="str">
        <x:v>2026-09-30_Night</x:v>
      </x:c>
      <x:c r="B21" s="6" t="str">
        <x:v>ナイト</x:v>
      </x:c>
      <x:c r="C21" s="6" t="n">
        <x:v>234000</x:v>
      </x:c>
      <x:c r="D21" s="6" t="n">
        <x:v>806000</x:v>
      </x:c>
      <x:c r="E21" s="6" t="n">
        <x:f>C21-D21</x:f>
        <x:v>-572000</x:v>
      </x:c>
      <x:c r="F21" s="6" t="n">
        <x:f>F20+E21</x:f>
        <x:v>-5064500</x:v>
      </x:c>
      <x:c r="G21" s="6" t="n">
        <x:v>141000</x:v>
      </x:c>
      <x:c r="H21" s="6" t="n">
        <x:v>713000</x:v>
      </x:c>
      <x:c r="I21" s="6" t="n">
        <x:v>129</x:v>
      </x:c>
      <x:c r="J21" s="6" t="n">
        <x:v>237</x:v>
      </x:c>
      <x:c r="K21" s="6" t="n">
        <x:v>232</x:v>
      </x:c>
      <x:c r="L21" s="6" t="n">
        <x:v>10</x:v>
      </x:c>
      <x:c r="M21" s="11" t="n">
        <x:v>0.7591239316239317</x:v>
      </x:c>
      <x:c r="N21" s="6" t="n">
        <x:v>576500</x:v>
      </x:c>
    </x:row>
    <x:row r="22" ht="24" customHeight="1">
      <x:c r="A22" s="2" t="str">
        <x:v>2026-10-01_Day</x:v>
      </x:c>
      <x:c r="B22" s="6" t="str">
        <x:v>デイ</x:v>
      </x:c>
      <x:c r="C22" s="6" t="n">
        <x:v>277500</x:v>
      </x:c>
      <x:c r="D22" s="6" t="n">
        <x:v>727500</x:v>
      </x:c>
      <x:c r="E22" s="6" t="n">
        <x:f>C22-D22</x:f>
        <x:v>-450000</x:v>
      </x:c>
      <x:c r="F22" s="6" t="n">
        <x:f>F21+E22</x:f>
        <x:v>-5514500</x:v>
      </x:c>
      <x:c r="G22" s="6" t="n">
        <x:v>199500</x:v>
      </x:c>
      <x:c r="H22" s="6" t="n">
        <x:v>649500</x:v>
      </x:c>
      <x:c r="I22" s="6" t="n">
        <x:v>89</x:v>
      </x:c>
      <x:c r="J22" s="6" t="n">
        <x:v>189</x:v>
      </x:c>
      <x:c r="K22" s="6" t="n">
        <x:v>178</x:v>
      </x:c>
      <x:c r="L22" s="6" t="n">
        <x:v>10</x:v>
      </x:c>
      <x:c r="M22" s="11" t="n">
        <x:v>0.7993650793650794</x:v>
      </x:c>
      <x:c r="N22" s="6" t="n">
        <x:v>453000</x:v>
      </x:c>
    </x:row>
    <x:row r="23" ht="24" customHeight="1">
      <x:c r="A23" s="2" t="str">
        <x:v>2026-10-01_Night</x:v>
      </x:c>
      <x:c r="B23" s="6" t="str">
        <x:v>ナイト</x:v>
      </x:c>
      <x:c r="C23" s="6" t="n">
        <x:v>337000</x:v>
      </x:c>
      <x:c r="D23" s="6" t="n">
        <x:v>803500</x:v>
      </x:c>
      <x:c r="E23" s="6" t="n">
        <x:f>C23-D23</x:f>
        <x:v>-466500</x:v>
      </x:c>
      <x:c r="F23" s="6" t="n">
        <x:f>F22+E23</x:f>
        <x:v>-5981000</x:v>
      </x:c>
      <x:c r="G23" s="6" t="n">
        <x:v>214000</x:v>
      </x:c>
      <x:c r="H23" s="6" t="n">
        <x:v>680500</x:v>
      </x:c>
      <x:c r="I23" s="6" t="n">
        <x:v>130</x:v>
      </x:c>
      <x:c r="J23" s="6" t="n">
        <x:v>302</x:v>
      </x:c>
      <x:c r="K23" s="6" t="n">
        <x:v>276</x:v>
      </x:c>
      <x:c r="L23" s="6" t="n">
        <x:v>10</x:v>
      </x:c>
      <x:c r="M23" s="11" t="n">
        <x:v>0.7919871794871794</x:v>
      </x:c>
      <x:c r="N23" s="6" t="n">
        <x:v>482000</x:v>
      </x:c>
    </x:row>
    <x:row r="24" ht="24" customHeight="1">
      <x:c r="A24" s="2" t="str">
        <x:v>2026-10-02_Day</x:v>
      </x:c>
      <x:c r="B24" s="6" t="str">
        <x:v>デイ</x:v>
      </x:c>
      <x:c r="C24" s="6" t="n">
        <x:v>315000</x:v>
      </x:c>
      <x:c r="D24" s="6" t="n">
        <x:v>584000</x:v>
      </x:c>
      <x:c r="E24" s="6" t="n">
        <x:f>C24-D24</x:f>
        <x:v>-269000</x:v>
      </x:c>
      <x:c r="F24" s="6" t="n">
        <x:f>F23+E24</x:f>
        <x:v>-6250000</x:v>
      </x:c>
      <x:c r="G24" s="6" t="n">
        <x:v>226500</x:v>
      </x:c>
      <x:c r="H24" s="6" t="n">
        <x:v>495500</x:v>
      </x:c>
      <x:c r="I24" s="6" t="n">
        <x:v>92</x:v>
      </x:c>
      <x:c r="J24" s="6" t="n">
        <x:v>174</x:v>
      </x:c>
      <x:c r="K24" s="6" t="n">
        <x:v>178</x:v>
      </x:c>
      <x:c r="L24" s="6" t="n">
        <x:v>10</x:v>
      </x:c>
      <x:c r="M24" s="11" t="n">
        <x:v>0.8021428571428572</x:v>
      </x:c>
      <x:c r="N24" s="6" t="n">
        <x:v>288500</x:v>
      </x:c>
    </x:row>
    <x:row r="25" ht="24" customHeight="1">
      <x:c r="A25" s="2" t="str">
        <x:v>2026-10-02_Night</x:v>
      </x:c>
      <x:c r="B25" s="6" t="str">
        <x:v>ナイト</x:v>
      </x:c>
      <x:c r="C25" s="6" t="n">
        <x:v>376500</x:v>
      </x:c>
      <x:c r="D25" s="6" t="n">
        <x:v>828500</x:v>
      </x:c>
      <x:c r="E25" s="6" t="n">
        <x:f>C25-D25</x:f>
        <x:v>-452000</x:v>
      </x:c>
      <x:c r="F25" s="6" t="n">
        <x:f>F24+E25</x:f>
        <x:v>-6702000</x:v>
      </x:c>
      <x:c r="G25" s="6" t="n">
        <x:v>285500</x:v>
      </x:c>
      <x:c r="H25" s="6" t="n">
        <x:v>737500</x:v>
      </x:c>
      <x:c r="I25" s="6" t="n">
        <x:v>116</x:v>
      </x:c>
      <x:c r="J25" s="6" t="n">
        <x:v>214</x:v>
      </x:c>
      <x:c r="K25" s="6" t="n">
        <x:v>215</x:v>
      </x:c>
      <x:c r="L25" s="6" t="n">
        <x:v>10</x:v>
      </x:c>
      <x:c r="M25" s="11" t="n">
        <x:v>0.6928846153846154</x:v>
      </x:c>
      <x:c r="N25" s="6" t="n">
        <x:v>462500</x:v>
      </x:c>
    </x:row>
    <x:row r="26" ht="24" customHeight="1">
      <x:c r="A26" s="2" t="str">
        <x:v>2026-10-05_Day</x:v>
      </x:c>
      <x:c r="B26" s="6" t="str">
        <x:v>デイ</x:v>
      </x:c>
      <x:c r="C26" s="6" t="n">
        <x:v>147500</x:v>
      </x:c>
      <x:c r="D26" s="6" t="n">
        <x:v>547500</x:v>
      </x:c>
      <x:c r="E26" s="6" t="n">
        <x:f>C26-D26</x:f>
        <x:v>-400000</x:v>
      </x:c>
      <x:c r="F26" s="6" t="n">
        <x:f>F25+E26</x:f>
        <x:v>-7102000</x:v>
      </x:c>
      <x:c r="G26" s="6" t="n">
        <x:v>94500</x:v>
      </x:c>
      <x:c r="H26" s="6" t="n">
        <x:v>494500</x:v>
      </x:c>
      <x:c r="I26" s="6" t="n">
        <x:v>87</x:v>
      </x:c>
      <x:c r="J26" s="6" t="n">
        <x:v>149</x:v>
      </x:c>
      <x:c r="K26" s="6" t="n">
        <x:v>147</x:v>
      </x:c>
      <x:c r="L26" s="6" t="n">
        <x:v>10</x:v>
      </x:c>
      <x:c r="M26" s="11" t="n">
        <x:v>0.736468253968254</x:v>
      </x:c>
      <x:c r="N26" s="6" t="n">
        <x:v>438000</x:v>
      </x:c>
    </x:row>
    <x:row r="27" ht="24" customHeight="1">
      <x:c r="A27" s="2" t="str">
        <x:v>2026-10-05_Night</x:v>
      </x:c>
      <x:c r="B27" s="6" t="str">
        <x:v>ナイト</x:v>
      </x:c>
      <x:c r="C27" s="6" t="n">
        <x:v>222500</x:v>
      </x:c>
      <x:c r="D27" s="6" t="n">
        <x:v>432000</x:v>
      </x:c>
      <x:c r="E27" s="6" t="n">
        <x:f>C27-D27</x:f>
        <x:v>-209500</x:v>
      </x:c>
      <x:c r="F27" s="6" t="n">
        <x:f>F26+E27</x:f>
        <x:v>-7311500</x:v>
      </x:c>
      <x:c r="G27" s="6" t="n">
        <x:v>152000</x:v>
      </x:c>
      <x:c r="H27" s="6" t="n">
        <x:v>361500</x:v>
      </x:c>
      <x:c r="I27" s="6" t="n">
        <x:v>88</x:v>
      </x:c>
      <x:c r="J27" s="6" t="n">
        <x:v>171</x:v>
      </x:c>
      <x:c r="K27" s="6" t="n">
        <x:v>171</x:v>
      </x:c>
      <x:c r="L27" s="6" t="n">
        <x:v>10</x:v>
      </x:c>
      <x:c r="M27" s="11" t="n">
        <x:v>0.727948717948718</x:v>
      </x:c>
      <x:c r="N27" s="6" t="n">
        <x:v>223000</x:v>
      </x:c>
    </x:row>
    <x:row r="28" ht="24" customHeight="1">
      <x:c r="A28" s="2" t="str">
        <x:v>2026-10-06_Day</x:v>
      </x:c>
      <x:c r="B28" s="6" t="str">
        <x:v>デイ</x:v>
      </x:c>
      <x:c r="C28" s="6" t="n">
        <x:v>83500</x:v>
      </x:c>
      <x:c r="D28" s="6" t="n">
        <x:v>380500</x:v>
      </x:c>
      <x:c r="E28" s="6" t="n">
        <x:f>C28-D28</x:f>
        <x:v>-297000</x:v>
      </x:c>
      <x:c r="F28" s="6" t="n">
        <x:f>F27+E28</x:f>
        <x:v>-7608500</x:v>
      </x:c>
      <x:c r="G28" s="6" t="n">
        <x:v>56500</x:v>
      </x:c>
      <x:c r="H28" s="6" t="n">
        <x:v>353500</x:v>
      </x:c>
      <x:c r="I28" s="6" t="n">
        <x:v>67</x:v>
      </x:c>
      <x:c r="J28" s="6" t="n">
        <x:v>131</x:v>
      </x:c>
      <x:c r="K28" s="6" t="n">
        <x:v>122</x:v>
      </x:c>
      <x:c r="L28" s="6" t="n">
        <x:v>9</x:v>
      </x:c>
      <x:c r="M28" s="11" t="n">
        <x:v>0.7617063492063492</x:v>
      </x:c>
      <x:c r="N28" s="6" t="n">
        <x:v>344000</x:v>
      </x:c>
    </x:row>
    <x:row r="29" ht="24" customHeight="1">
      <x:c r="A29" s="2" t="str">
        <x:v>2026-10-06_Night</x:v>
      </x:c>
      <x:c r="B29" s="6" t="str">
        <x:v>ナイト</x:v>
      </x:c>
      <x:c r="C29" s="6" t="n">
        <x:v>104000</x:v>
      </x:c>
      <x:c r="D29" s="6" t="n">
        <x:v>300000</x:v>
      </x:c>
      <x:c r="E29" s="6" t="n">
        <x:f>C29-D29</x:f>
        <x:v>-196000</x:v>
      </x:c>
      <x:c r="F29" s="6" t="n">
        <x:f>F28+E29</x:f>
        <x:v>-7804500</x:v>
      </x:c>
      <x:c r="G29" s="6" t="n">
        <x:v>50500</x:v>
      </x:c>
      <x:c r="H29" s="6" t="n">
        <x:v>246500</x:v>
      </x:c>
      <x:c r="I29" s="6" t="n">
        <x:v>77</x:v>
      </x:c>
      <x:c r="J29" s="6" t="n">
        <x:v>126</x:v>
      </x:c>
      <x:c r="K29" s="6" t="n">
        <x:v>121</x:v>
      </x:c>
      <x:c r="L29" s="6" t="n">
        <x:v>9</x:v>
      </x:c>
      <x:c r="M29" s="11" t="n">
        <x:v>0.6271581196581196</x:v>
      </x:c>
      <x:c r="N29" s="6" t="n">
        <x:v>202500</x:v>
      </x:c>
    </x:row>
    <x:row r="30" ht="24" customHeight="1">
      <x:c r="A30" s="2" t="str">
        <x:v>2026-10-07_Day</x:v>
      </x:c>
      <x:c r="B30" s="6" t="str">
        <x:v>デイ</x:v>
      </x:c>
      <x:c r="C30" s="6" t="n">
        <x:v>251000</x:v>
      </x:c>
      <x:c r="D30" s="6" t="n">
        <x:v>339000</x:v>
      </x:c>
      <x:c r="E30" s="6" t="n">
        <x:f>C30-D30</x:f>
        <x:v>-88000</x:v>
      </x:c>
      <x:c r="F30" s="6" t="n">
        <x:f>F29+E30</x:f>
        <x:v>-7892500</x:v>
      </x:c>
      <x:c r="G30" s="6" t="n">
        <x:v>214500</x:v>
      </x:c>
      <x:c r="H30" s="6" t="n">
        <x:v>302500</x:v>
      </x:c>
      <x:c r="I30" s="6" t="n">
        <x:v>71</x:v>
      </x:c>
      <x:c r="J30" s="6" t="n">
        <x:v>112</x:v>
      </x:c>
      <x:c r="K30" s="6" t="n">
        <x:v>100</x:v>
      </x:c>
      <x:c r="L30" s="6" t="n">
        <x:v>10</x:v>
      </x:c>
      <x:c r="M30" s="11" t="n">
        <x:v>0.8139285714285714</x:v>
      </x:c>
      <x:c r="N30" s="6" t="n">
        <x:v>220500</x:v>
      </x:c>
    </x:row>
    <x:row r="31" ht="24" customHeight="1">
      <x:c r="A31" s="2" t="str">
        <x:v>2026-10-07_Night</x:v>
      </x:c>
      <x:c r="B31" s="6" t="str">
        <x:v>ナイト</x:v>
      </x:c>
      <x:c r="C31" s="6" t="n">
        <x:v>85500</x:v>
      </x:c>
      <x:c r="D31" s="6" t="n">
        <x:v>408500</x:v>
      </x:c>
      <x:c r="E31" s="6" t="n">
        <x:f>C31-D31</x:f>
        <x:v>-323000</x:v>
      </x:c>
      <x:c r="F31" s="6" t="n">
        <x:f>F30+E31</x:f>
        <x:v>-8215500</x:v>
      </x:c>
      <x:c r="G31" s="6" t="n">
        <x:v>43500</x:v>
      </x:c>
      <x:c r="H31" s="6" t="n">
        <x:v>366500</x:v>
      </x:c>
      <x:c r="I31" s="6" t="n">
        <x:v>107</x:v>
      </x:c>
      <x:c r="J31" s="6" t="n">
        <x:v>146</x:v>
      </x:c>
      <x:c r="K31" s="6" t="n">
        <x:v>135</x:v>
      </x:c>
      <x:c r="L31" s="6" t="n">
        <x:v>10</x:v>
      </x:c>
      <x:c r="M31" s="11" t="n">
        <x:v>0.7510256410256411</x:v>
      </x:c>
      <x:c r="N31" s="6" t="n">
        <x:v>333000</x:v>
      </x:c>
    </x:row>
    <x:row r="32" ht="24" customHeight="1">
      <x:c r="A32" s="2" t="str">
        <x:v>2026-10-08_Day</x:v>
      </x:c>
      <x:c r="B32" s="6" t="str">
        <x:v>デイ</x:v>
      </x:c>
      <x:c r="C32" s="6" t="n">
        <x:v>418500</x:v>
      </x:c>
      <x:c r="D32" s="6" t="n">
        <x:v>375000</x:v>
      </x:c>
      <x:c r="E32" s="6" t="n">
        <x:f>C32-D32</x:f>
        <x:v>43500</x:v>
      </x:c>
      <x:c r="F32" s="6" t="n">
        <x:f>F31+E32</x:f>
        <x:v>-8172000</x:v>
      </x:c>
      <x:c r="G32" s="6" t="n">
        <x:v>373500</x:v>
      </x:c>
      <x:c r="H32" s="6" t="n">
        <x:v>330000</x:v>
      </x:c>
      <x:c r="I32" s="6" t="n">
        <x:v>78</x:v>
      </x:c>
      <x:c r="J32" s="6" t="n">
        <x:v>141</x:v>
      </x:c>
      <x:c r="K32" s="6" t="n">
        <x:v>136</x:v>
      </x:c>
      <x:c r="L32" s="6" t="n">
        <x:v>10</x:v>
      </x:c>
      <x:c r="M32" s="11" t="n">
        <x:v>0.758968253968254</x:v>
      </x:c>
      <x:c r="N32" s="6" t="n">
        <x:v>216500</x:v>
      </x:c>
    </x:row>
    <x:row r="33" ht="24" customHeight="1">
      <x:c r="A33" s="2" t="str">
        <x:v>2026-10-08_Night</x:v>
      </x:c>
      <x:c r="B33" s="6" t="str">
        <x:v>ナイト</x:v>
      </x:c>
      <x:c r="C33" s="6" t="n">
        <x:v>260500</x:v>
      </x:c>
      <x:c r="D33" s="6" t="n">
        <x:v>705000</x:v>
      </x:c>
      <x:c r="E33" s="6" t="n">
        <x:f>C33-D33</x:f>
        <x:v>-444500</x:v>
      </x:c>
      <x:c r="F33" s="6" t="n">
        <x:f>F32+E33</x:f>
        <x:v>-8616500</x:v>
      </x:c>
      <x:c r="G33" s="6" t="n">
        <x:v>179500</x:v>
      </x:c>
      <x:c r="H33" s="6" t="n">
        <x:v>624000</x:v>
      </x:c>
      <x:c r="I33" s="6" t="n">
        <x:v>127</x:v>
      </x:c>
      <x:c r="J33" s="6" t="n">
        <x:v>251</x:v>
      </x:c>
      <x:c r="K33" s="6" t="n">
        <x:v>229</x:v>
      </x:c>
      <x:c r="L33" s="6" t="n">
        <x:v>10</x:v>
      </x:c>
      <x:c r="M33" s="11" t="n">
        <x:v>0.7696153846153846</x:v>
      </x:c>
      <x:c r="N33" s="6" t="n">
        <x:v>485000</x:v>
      </x:c>
    </x:row>
    <x:row r="34" ht="24" customHeight="1">
      <x:c r="A34" s="2" t="str">
        <x:v>2026-10-09_Day</x:v>
      </x:c>
      <x:c r="B34" s="6" t="str">
        <x:v>デイ</x:v>
      </x:c>
      <x:c r="C34" s="6" t="n">
        <x:v>139000</x:v>
      </x:c>
      <x:c r="D34" s="6" t="n">
        <x:v>605500</x:v>
      </x:c>
      <x:c r="E34" s="6" t="n">
        <x:f>C34-D34</x:f>
        <x:v>-466500</x:v>
      </x:c>
      <x:c r="F34" s="6" t="n">
        <x:f>F33+E34</x:f>
        <x:v>-9083000</x:v>
      </x:c>
      <x:c r="G34" s="6" t="n">
        <x:v>94000</x:v>
      </x:c>
      <x:c r="H34" s="6" t="n">
        <x:v>560500</x:v>
      </x:c>
      <x:c r="I34" s="6" t="n">
        <x:v>88</x:v>
      </x:c>
      <x:c r="J34" s="6" t="n">
        <x:v>139</x:v>
      </x:c>
      <x:c r="K34" s="6" t="n">
        <x:v>136</x:v>
      </x:c>
      <x:c r="L34" s="6" t="n">
        <x:v>10</x:v>
      </x:c>
      <x:c r="M34" s="11" t="n">
        <x:v>0.7631349206349206</x:v>
      </x:c>
      <x:c r="N34" s="6" t="n">
        <x:v>470500</x:v>
      </x:c>
    </x:row>
    <x:row r="35" ht="24" customHeight="1">
      <x:c r="A35" s="2" t="str">
        <x:v>2026-10-09_Night</x:v>
      </x:c>
      <x:c r="B35" s="6" t="str">
        <x:v>ナイト</x:v>
      </x:c>
      <x:c r="C35" s="6" t="n">
        <x:v>42500</x:v>
      </x:c>
      <x:c r="D35" s="6" t="n">
        <x:v>288000</x:v>
      </x:c>
      <x:c r="E35" s="6" t="n">
        <x:f>C35-D35</x:f>
        <x:v>-245500</x:v>
      </x:c>
      <x:c r="F35" s="6" t="n">
        <x:f>F34+E35</x:f>
        <x:v>-9328500</x:v>
      </x:c>
      <x:c r="G35" s="6" t="n">
        <x:v>23000</x:v>
      </x:c>
      <x:c r="H35" s="6" t="n">
        <x:v>268500</x:v>
      </x:c>
      <x:c r="I35" s="6" t="n">
        <x:v>87</x:v>
      </x:c>
      <x:c r="J35" s="6" t="n">
        <x:v>116</x:v>
      </x:c>
      <x:c r="K35" s="6" t="n">
        <x:v>107</x:v>
      </x:c>
      <x:c r="L35" s="6" t="n">
        <x:v>9</x:v>
      </x:c>
      <x:c r="M35" s="11" t="n">
        <x:v>0.654508547008547</x:v>
      </x:c>
      <x:c r="N35" s="6" t="n">
        <x:v>249000</x:v>
      </x:c>
    </x:row>
    <x:row r="36" ht="24" customHeight="1">
      <x:c r="A36" s="2" t="str">
        <x:v>2026-10-12_Day</x:v>
      </x:c>
      <x:c r="B36" s="6" t="str">
        <x:v>デイ</x:v>
      </x:c>
      <x:c r="C36" s="6" t="n">
        <x:v>20500</x:v>
      </x:c>
      <x:c r="D36" s="6" t="n">
        <x:v>167500</x:v>
      </x:c>
      <x:c r="E36" s="6" t="n">
        <x:f>C36-D36</x:f>
        <x:v>-147000</x:v>
      </x:c>
      <x:c r="F36" s="6" t="n">
        <x:f>F35+E36</x:f>
        <x:v>-9475500</x:v>
      </x:c>
      <x:c r="G36" s="6" t="n">
        <x:v>8500</x:v>
      </x:c>
      <x:c r="H36" s="6" t="n">
        <x:v>155500</x:v>
      </x:c>
      <x:c r="I36" s="6" t="n">
        <x:v>40</x:v>
      </x:c>
      <x:c r="J36" s="6" t="n">
        <x:v>37</x:v>
      </x:c>
      <x:c r="K36" s="6" t="n">
        <x:v>40</x:v>
      </x:c>
      <x:c r="L36" s="6" t="n">
        <x:v>10</x:v>
      </x:c>
      <x:c r="M36" s="11" t="n">
        <x:v>0.6245238095238095</x:v>
      </x:c>
      <x:c r="N36" s="6" t="n">
        <x:v>162000</x:v>
      </x:c>
    </x:row>
    <x:row r="37" ht="24" customHeight="1">
      <x:c r="A37" s="2" t="str">
        <x:v>2026-10-12_Night</x:v>
      </x:c>
      <x:c r="B37" s="6" t="str">
        <x:v>ナイト</x:v>
      </x:c>
      <x:c r="C37" s="6" t="n">
        <x:v>52000</x:v>
      </x:c>
      <x:c r="D37" s="6" t="n">
        <x:v>192500</x:v>
      </x:c>
      <x:c r="E37" s="6" t="n">
        <x:f>C37-D37</x:f>
        <x:v>-140500</x:v>
      </x:c>
      <x:c r="F37" s="6" t="n">
        <x:f>F36+E37</x:f>
        <x:v>-9616000</x:v>
      </x:c>
      <x:c r="G37" s="6" t="n">
        <x:v>22500</x:v>
      </x:c>
      <x:c r="H37" s="6" t="n">
        <x:v>163000</x:v>
      </x:c>
      <x:c r="I37" s="6" t="n">
        <x:v>60</x:v>
      </x:c>
      <x:c r="J37" s="6" t="n">
        <x:v>87</x:v>
      </x:c>
      <x:c r="K37" s="6" t="n">
        <x:v>74</x:v>
      </x:c>
      <x:c r="L37" s="6" t="n">
        <x:v>6</x:v>
      </x:c>
      <x:c r="M37" s="11" t="n">
        <x:v>0.7970940170940171</x:v>
      </x:c>
      <x:c r="N37" s="6" t="n">
        <x:v>141000</x:v>
      </x:c>
    </x:row>
    <x:row r="38" ht="24" customHeight="1">
      <x:c r="A38" s="2" t="str">
        <x:v>2026-10-13_Day</x:v>
      </x:c>
      <x:c r="B38" s="6" t="str">
        <x:v>デイ</x:v>
      </x:c>
      <x:c r="C38" s="6" t="n">
        <x:v>208500</x:v>
      </x:c>
      <x:c r="D38" s="6" t="n">
        <x:v>766500</x:v>
      </x:c>
      <x:c r="E38" s="6" t="n">
        <x:f>C38-D38</x:f>
        <x:v>-558000</x:v>
      </x:c>
      <x:c r="F38" s="6" t="n">
        <x:f>F37+E38</x:f>
        <x:v>-10174000</x:v>
      </x:c>
      <x:c r="G38" s="6" t="n">
        <x:v>167000</x:v>
      </x:c>
      <x:c r="H38" s="6" t="n">
        <x:v>725000</x:v>
      </x:c>
      <x:c r="I38" s="6" t="n">
        <x:v>98</x:v>
      </x:c>
      <x:c r="J38" s="6" t="n">
        <x:v>134</x:v>
      </x:c>
      <x:c r="K38" s="6" t="n">
        <x:v>133</x:v>
      </x:c>
      <x:c r="L38" s="6" t="n">
        <x:v>10</x:v>
      </x:c>
      <x:c r="M38" s="11" t="n">
        <x:v>0.7173809523809523</x:v>
      </x:c>
      <x:c r="N38" s="6" t="n">
        <x:v>590500</x:v>
      </x:c>
    </x:row>
    <x:row r="39" ht="24" customHeight="1">
      <x:c r="A39" s="2" t="str">
        <x:v>2026-10-13_Night</x:v>
      </x:c>
      <x:c r="B39" s="6" t="str">
        <x:v>ナイト</x:v>
      </x:c>
      <x:c r="C39" s="6" t="n">
        <x:v>96000</x:v>
      </x:c>
      <x:c r="D39" s="6" t="n">
        <x:v>255500</x:v>
      </x:c>
      <x:c r="E39" s="6" t="n">
        <x:f>C39-D39</x:f>
        <x:v>-159500</x:v>
      </x:c>
      <x:c r="F39" s="6" t="n">
        <x:f>F38+E39</x:f>
        <x:v>-10333500</x:v>
      </x:c>
      <x:c r="G39" s="6" t="n">
        <x:v>49500</x:v>
      </x:c>
      <x:c r="H39" s="6" t="n">
        <x:v>209000</x:v>
      </x:c>
      <x:c r="I39" s="6" t="n">
        <x:v>73</x:v>
      </x:c>
      <x:c r="J39" s="6" t="n">
        <x:v>103</x:v>
      </x:c>
      <x:c r="K39" s="6" t="n">
        <x:v>102</x:v>
      </x:c>
      <x:c r="L39" s="6" t="n">
        <x:v>9</x:v>
      </x:c>
      <x:c r="M39" s="11" t="n">
        <x:v>0.6932905982905982</x:v>
      </x:c>
      <x:c r="N39" s="6" t="n">
        <x:v>179500</x:v>
      </x:c>
    </x:row>
    <x:row r="40" ht="24" customHeight="1">
      <x:c r="A40" s="2" t="str">
        <x:v>2026-10-14_Day</x:v>
      </x:c>
      <x:c r="B40" s="6" t="str">
        <x:v>デイ</x:v>
      </x:c>
      <x:c r="C40" s="6" t="n">
        <x:v>153000</x:v>
      </x:c>
      <x:c r="D40" s="6" t="n">
        <x:v>455500</x:v>
      </x:c>
      <x:c r="E40" s="6" t="n">
        <x:f>C40-D40</x:f>
        <x:v>-302500</x:v>
      </x:c>
      <x:c r="F40" s="6" t="n">
        <x:f>F39+E40</x:f>
        <x:v>-10636000</x:v>
      </x:c>
      <x:c r="G40" s="6" t="n">
        <x:v>109000</x:v>
      </x:c>
      <x:c r="H40" s="6" t="n">
        <x:v>411500</x:v>
      </x:c>
      <x:c r="I40" s="6" t="n">
        <x:v>83</x:v>
      </x:c>
      <x:c r="J40" s="6" t="n">
        <x:v>122</x:v>
      </x:c>
      <x:c r="K40" s="6" t="n">
        <x:v>116</x:v>
      </x:c>
      <x:c r="L40" s="6" t="n">
        <x:v>10</x:v>
      </x:c>
      <x:c r="M40" s="11" t="n">
        <x:v>0.7262698412698413</x:v>
      </x:c>
      <x:c r="N40" s="6" t="n">
        <x:v>315000</x:v>
      </x:c>
    </x:row>
    <x:row r="41" ht="24" customHeight="1">
      <x:c r="A41" s="2" t="str">
        <x:v>2026-10-14_Night</x:v>
      </x:c>
      <x:c r="B41" s="6" t="str">
        <x:v>ナイト</x:v>
      </x:c>
      <x:c r="C41" s="6" t="n">
        <x:v>337000</x:v>
      </x:c>
      <x:c r="D41" s="6" t="n">
        <x:v>567000</x:v>
      </x:c>
      <x:c r="E41" s="6" t="n">
        <x:f>C41-D41</x:f>
        <x:v>-230000</x:v>
      </x:c>
      <x:c r="F41" s="6" t="n">
        <x:f>F40+E41</x:f>
        <x:v>-10866000</x:v>
      </x:c>
      <x:c r="G41" s="6" t="n">
        <x:v>245000</x:v>
      </x:c>
      <x:c r="H41" s="6" t="n">
        <x:v>475000</x:v>
      </x:c>
      <x:c r="I41" s="6" t="n">
        <x:v>105</x:v>
      </x:c>
      <x:c r="J41" s="6" t="n">
        <x:v>227</x:v>
      </x:c>
      <x:c r="K41" s="6" t="n">
        <x:v>220</x:v>
      </x:c>
      <x:c r="L41" s="6" t="n">
        <x:v>10</x:v>
      </x:c>
      <x:c r="M41" s="11" t="n">
        <x:v>0.8389316239316239</x:v>
      </x:c>
      <x:c r="N41" s="6" t="n">
        <x:v>245000</x:v>
      </x:c>
    </x:row>
    <x:row r="42" ht="24" customHeight="1">
      <x:c r="A42" s="2" t="str">
        <x:v>2026-10-15_Day</x:v>
      </x:c>
      <x:c r="B42" s="6" t="str">
        <x:v>デイ</x:v>
      </x:c>
      <x:c r="C42" s="6" t="n">
        <x:v>648000</x:v>
      </x:c>
      <x:c r="D42" s="6" t="n">
        <x:v>936000</x:v>
      </x:c>
      <x:c r="E42" s="6" t="n">
        <x:f>C42-D42</x:f>
        <x:v>-288000</x:v>
      </x:c>
      <x:c r="F42" s="6" t="n">
        <x:f>F41+E42</x:f>
        <x:v>-11154000</x:v>
      </x:c>
      <x:c r="G42" s="6" t="n">
        <x:v>513500</x:v>
      </x:c>
      <x:c r="H42" s="6" t="n">
        <x:v>801500</x:v>
      </x:c>
      <x:c r="I42" s="6" t="n">
        <x:v>116</x:v>
      </x:c>
      <x:c r="J42" s="6" t="n">
        <x:v>210</x:v>
      </x:c>
      <x:c r="K42" s="6" t="n">
        <x:v>196</x:v>
      </x:c>
      <x:c r="L42" s="6" t="n">
        <x:v>10</x:v>
      </x:c>
      <x:c r="M42" s="11" t="n">
        <x:v>0.7461507936507936</x:v>
      </x:c>
      <x:c r="N42" s="6" t="n">
        <x:v>396500</x:v>
      </x:c>
    </x:row>
    <x:row r="43" ht="24" customHeight="1">
      <x:c r="A43" s="2" t="str">
        <x:v>2026-10-15_Night</x:v>
      </x:c>
      <x:c r="B43" s="6" t="str">
        <x:v>ナイト</x:v>
      </x:c>
      <x:c r="C43" s="6" t="n">
        <x:v>366000</x:v>
      </x:c>
      <x:c r="D43" s="6" t="n">
        <x:v>762500</x:v>
      </x:c>
      <x:c r="E43" s="6" t="n">
        <x:f>C43-D43</x:f>
        <x:v>-396500</x:v>
      </x:c>
      <x:c r="F43" s="6" t="n">
        <x:f>F42+E43</x:f>
        <x:v>-11550500</x:v>
      </x:c>
      <x:c r="G43" s="6" t="n">
        <x:v>276500</x:v>
      </x:c>
      <x:c r="H43" s="6" t="n">
        <x:v>673000</x:v>
      </x:c>
      <x:c r="I43" s="6" t="n">
        <x:v>131</x:v>
      </x:c>
      <x:c r="J43" s="6" t="n">
        <x:v>228</x:v>
      </x:c>
      <x:c r="K43" s="6" t="n">
        <x:v>220</x:v>
      </x:c>
      <x:c r="L43" s="6" t="n">
        <x:v>10</x:v>
      </x:c>
      <x:c r="M43" s="11" t="n">
        <x:v>0.772008547008547</x:v>
      </x:c>
      <x:c r="N43" s="6" t="n">
        <x:v>396500</x:v>
      </x:c>
    </x:row>
    <x:row r="44" ht="24" customHeight="1">
      <x:c r="A44" s="2" t="str">
        <x:v>2026-10-16_Day</x:v>
      </x:c>
      <x:c r="B44" s="6" t="str">
        <x:v>デイ</x:v>
      </x:c>
      <x:c r="C44" s="6" t="n">
        <x:v>407500</x:v>
      </x:c>
      <x:c r="D44" s="6" t="n">
        <x:v>657500</x:v>
      </x:c>
      <x:c r="E44" s="6" t="n">
        <x:f>C44-D44</x:f>
        <x:v>-250000</x:v>
      </x:c>
      <x:c r="F44" s="6" t="n">
        <x:f>F43+E44</x:f>
        <x:v>-11800500</x:v>
      </x:c>
      <x:c r="G44" s="6" t="n">
        <x:v>316000</x:v>
      </x:c>
      <x:c r="H44" s="6" t="n">
        <x:v>566000</x:v>
      </x:c>
      <x:c r="I44" s="6" t="n">
        <x:v>90</x:v>
      </x:c>
      <x:c r="J44" s="6" t="n">
        <x:v>175</x:v>
      </x:c>
      <x:c r="K44" s="6" t="n">
        <x:v>159</x:v>
      </x:c>
      <x:c r="L44" s="6" t="n">
        <x:v>10</x:v>
      </x:c>
      <x:c r="M44" s="11" t="n">
        <x:v>0.7782142857142857</x:v>
      </x:c>
      <x:c r="N44" s="6" t="n">
        <x:v>342500</x:v>
      </x:c>
    </x:row>
    <x:row r="45" ht="24" customHeight="1">
      <x:c r="A45" s="2" t="str">
        <x:v>2026-10-16_Night</x:v>
      </x:c>
      <x:c r="B45" s="6" t="str">
        <x:v>ナイト</x:v>
      </x:c>
      <x:c r="C45" s="6" t="n">
        <x:v>385500</x:v>
      </x:c>
      <x:c r="D45" s="6" t="n">
        <x:v>761500</x:v>
      </x:c>
      <x:c r="E45" s="6" t="n">
        <x:f>C45-D45</x:f>
        <x:v>-376000</x:v>
      </x:c>
      <x:c r="F45" s="6" t="n">
        <x:f>F44+E45</x:f>
        <x:v>-12176500</x:v>
      </x:c>
      <x:c r="G45" s="6" t="n">
        <x:v>262000</x:v>
      </x:c>
      <x:c r="H45" s="6" t="n">
        <x:v>638000</x:v>
      </x:c>
      <x:c r="I45" s="6" t="n">
        <x:v>138</x:v>
      </x:c>
      <x:c r="J45" s="6" t="n">
        <x:v>300</x:v>
      </x:c>
      <x:c r="K45" s="6" t="n">
        <x:v>284</x:v>
      </x:c>
      <x:c r="L45" s="6" t="n">
        <x:v>10</x:v>
      </x:c>
      <x:c r="M45" s="11" t="n">
        <x:v>0.8101923076923077</x:v>
      </x:c>
      <x:c r="N45" s="6" t="n">
        <x:v>378500</x:v>
      </x:c>
    </x:row>
    <x:row r="46" ht="24" customHeight="1">
      <x:c r="A46" s="2" t="str">
        <x:v>2026-10-19_Day</x:v>
      </x:c>
      <x:c r="B46" s="6" t="str">
        <x:v>デイ</x:v>
      </x:c>
      <x:c r="C46" s="6" t="n">
        <x:v>451500</x:v>
      </x:c>
      <x:c r="D46" s="6" t="n">
        <x:v>837500</x:v>
      </x:c>
      <x:c r="E46" s="6" t="n">
        <x:f>C46-D46</x:f>
        <x:v>-386000</x:v>
      </x:c>
      <x:c r="F46" s="6" t="n">
        <x:f>F45+E46</x:f>
        <x:v>-12562500</x:v>
      </x:c>
      <x:c r="G46" s="6" t="n">
        <x:v>387000</x:v>
      </x:c>
      <x:c r="H46" s="6" t="n">
        <x:v>773000</x:v>
      </x:c>
      <x:c r="I46" s="6" t="n">
        <x:v>104</x:v>
      </x:c>
      <x:c r="J46" s="6" t="n">
        <x:v>158</x:v>
      </x:c>
      <x:c r="K46" s="6" t="n">
        <x:v>140</x:v>
      </x:c>
      <x:c r="L46" s="6" t="n">
        <x:v>10</x:v>
      </x:c>
      <x:c r="M46" s="11" t="n">
        <x:v>0.7414285714285714</x:v>
      </x:c>
      <x:c r="N46" s="6" t="n">
        <x:v>455000</x:v>
      </x:c>
    </x:row>
    <x:row r="47" ht="24" customHeight="1">
      <x:c r="A47" s="2" t="str">
        <x:v>2026-10-19_Night</x:v>
      </x:c>
      <x:c r="B47" s="6" t="str">
        <x:v>ナイト</x:v>
      </x:c>
      <x:c r="C47" s="6" t="n">
        <x:v>197500</x:v>
      </x:c>
      <x:c r="D47" s="6" t="n">
        <x:v>474000</x:v>
      </x:c>
      <x:c r="E47" s="6" t="n">
        <x:f>C47-D47</x:f>
        <x:v>-276500</x:v>
      </x:c>
      <x:c r="F47" s="6" t="n">
        <x:f>F46+E47</x:f>
        <x:v>-12839000</x:v>
      </x:c>
      <x:c r="G47" s="6" t="n">
        <x:v>125500</x:v>
      </x:c>
      <x:c r="H47" s="6" t="n">
        <x:v>402000</x:v>
      </x:c>
      <x:c r="I47" s="6" t="n">
        <x:v>110</x:v>
      </x:c>
      <x:c r="J47" s="6" t="n">
        <x:v>196</x:v>
      </x:c>
      <x:c r="K47" s="6" t="n">
        <x:v>181</x:v>
      </x:c>
      <x:c r="L47" s="6" t="n">
        <x:v>10</x:v>
      </x:c>
      <x:c r="M47" s="11" t="n">
        <x:v>0.7631196581196581</x:v>
      </x:c>
      <x:c r="N47" s="6" t="n">
        <x:v>281500</x:v>
      </x:c>
    </x:row>
    <x:row r="48" ht="24" customHeight="1">
      <x:c r="A48" s="2" t="str">
        <x:v>2026-10-20_Day</x:v>
      </x:c>
      <x:c r="B48" s="6" t="str">
        <x:v>デイ</x:v>
      </x:c>
      <x:c r="C48" s="6" t="n">
        <x:v>355000</x:v>
      </x:c>
      <x:c r="D48" s="6" t="n">
        <x:v>824500</x:v>
      </x:c>
      <x:c r="E48" s="6" t="n">
        <x:f>C48-D48</x:f>
        <x:v>-469500</x:v>
      </x:c>
      <x:c r="F48" s="6" t="n">
        <x:f>F47+E48</x:f>
        <x:v>-13308500</x:v>
      </x:c>
      <x:c r="G48" s="6" t="n">
        <x:v>282500</x:v>
      </x:c>
      <x:c r="H48" s="6" t="n">
        <x:v>752000</x:v>
      </x:c>
      <x:c r="I48" s="6" t="n">
        <x:v>102</x:v>
      </x:c>
      <x:c r="J48" s="6" t="n">
        <x:v>198</x:v>
      </x:c>
      <x:c r="K48" s="6" t="n">
        <x:v>180</x:v>
      </x:c>
      <x:c r="L48" s="6" t="n">
        <x:v>10</x:v>
      </x:c>
      <x:c r="M48" s="11" t="n">
        <x:v>0.8105952380952381</x:v>
      </x:c>
      <x:c r="N48" s="6" t="n">
        <x:v>469500</x:v>
      </x:c>
    </x:row>
    <x:row r="49" ht="24" customHeight="1">
      <x:c r="A49" s="2" t="str">
        <x:v>2026-10-20_Night</x:v>
      </x:c>
      <x:c r="B49" s="6" t="str">
        <x:v>ナイト</x:v>
      </x:c>
      <x:c r="C49" s="6" t="n">
        <x:v>323000</x:v>
      </x:c>
      <x:c r="D49" s="6" t="n">
        <x:v>639000</x:v>
      </x:c>
      <x:c r="E49" s="6" t="n">
        <x:f>C49-D49</x:f>
        <x:v>-316000</x:v>
      </x:c>
      <x:c r="F49" s="6" t="n">
        <x:f>F48+E49</x:f>
        <x:v>-13624500</x:v>
      </x:c>
      <x:c r="G49" s="6" t="n">
        <x:v>219500</x:v>
      </x:c>
      <x:c r="H49" s="6" t="n">
        <x:v>535500</x:v>
      </x:c>
      <x:c r="I49" s="6" t="n">
        <x:v>116</x:v>
      </x:c>
      <x:c r="J49" s="6" t="n">
        <x:v>226</x:v>
      </x:c>
      <x:c r="K49" s="6" t="n">
        <x:v>226</x:v>
      </x:c>
      <x:c r="L49" s="6" t="n">
        <x:v>10</x:v>
      </x:c>
      <x:c r="M49" s="11" t="n">
        <x:v>0.7459615384615385</x:v>
      </x:c>
      <x:c r="N49" s="6" t="n">
        <x:v>335500</x:v>
      </x:c>
    </x:row>
    <x:row r="50" ht="24" customHeight="1">
      <x:c r="A50" s="2" t="str">
        <x:v>2026-10-21_Day</x:v>
      </x:c>
      <x:c r="B50" s="6" t="str">
        <x:v>デイ</x:v>
      </x:c>
      <x:c r="C50" s="6" t="n">
        <x:v>84000</x:v>
      </x:c>
      <x:c r="D50" s="6" t="n">
        <x:v>381000</x:v>
      </x:c>
      <x:c r="E50" s="6" t="n">
        <x:f>C50-D50</x:f>
        <x:v>-297000</x:v>
      </x:c>
      <x:c r="F50" s="6" t="n">
        <x:f>F49+E50</x:f>
        <x:v>-13921500</x:v>
      </x:c>
      <x:c r="G50" s="6" t="n">
        <x:v>36500</x:v>
      </x:c>
      <x:c r="H50" s="6" t="n">
        <x:v>333500</x:v>
      </x:c>
      <x:c r="I50" s="6" t="n">
        <x:v>70</x:v>
      </x:c>
      <x:c r="J50" s="6" t="n">
        <x:v>124</x:v>
      </x:c>
      <x:c r="K50" s="6" t="n">
        <x:v>122</x:v>
      </x:c>
      <x:c r="L50" s="6" t="n">
        <x:v>9</x:v>
      </x:c>
      <x:c r="M50" s="11" t="n">
        <x:v>0.7211507936507936</x:v>
      </x:c>
      <x:c r="N50" s="6" t="n">
        <x:v>297500</x:v>
      </x:c>
    </x:row>
    <x:row r="51" ht="24" customHeight="1">
      <x:c r="A51" s="2" t="str">
        <x:v>2026-10-21_Night</x:v>
      </x:c>
      <x:c r="B51" s="6" t="str">
        <x:v>ナイト</x:v>
      </x:c>
      <x:c r="C51" s="6" t="n">
        <x:v>266500</x:v>
      </x:c>
      <x:c r="D51" s="6" t="n">
        <x:v>493000</x:v>
      </x:c>
      <x:c r="E51" s="6" t="n">
        <x:f>C51-D51</x:f>
        <x:v>-226500</x:v>
      </x:c>
      <x:c r="F51" s="6" t="n">
        <x:f>F50+E51</x:f>
        <x:v>-14148000</x:v>
      </x:c>
      <x:c r="G51" s="6" t="n">
        <x:v>194500</x:v>
      </x:c>
      <x:c r="H51" s="6" t="n">
        <x:v>421000</x:v>
      </x:c>
      <x:c r="I51" s="6" t="n">
        <x:v>103</x:v>
      </x:c>
      <x:c r="J51" s="6" t="n">
        <x:v>173</x:v>
      </x:c>
      <x:c r="K51" s="6" t="n">
        <x:v>168</x:v>
      </x:c>
      <x:c r="L51" s="6" t="n">
        <x:v>10</x:v>
      </x:c>
      <x:c r="M51" s="11" t="n">
        <x:v>0.7516880341880342</x:v>
      </x:c>
      <x:c r="N51" s="6" t="n">
        <x:v>255500</x:v>
      </x:c>
    </x:row>
    <x:row r="52" ht="24" customHeight="1">
      <x:c r="A52" s="2" t="str">
        <x:v>2026-10-22_Day</x:v>
      </x:c>
      <x:c r="B52" s="6" t="str">
        <x:v>デイ</x:v>
      </x:c>
      <x:c r="C52" s="6" t="n">
        <x:v>313000</x:v>
      </x:c>
      <x:c r="D52" s="6" t="n">
        <x:v>634500</x:v>
      </x:c>
      <x:c r="E52" s="6" t="n">
        <x:f>C52-D52</x:f>
        <x:v>-321500</x:v>
      </x:c>
      <x:c r="F52" s="6" t="n">
        <x:f>F51+E52</x:f>
        <x:v>-14469500</x:v>
      </x:c>
      <x:c r="G52" s="6" t="n">
        <x:v>225500</x:v>
      </x:c>
      <x:c r="H52" s="6" t="n">
        <x:v>547000</x:v>
      </x:c>
      <x:c r="I52" s="6" t="n">
        <x:v>88</x:v>
      </x:c>
      <x:c r="J52" s="6" t="n">
        <x:v>186</x:v>
      </x:c>
      <x:c r="K52" s="6" t="n">
        <x:v>194</x:v>
      </x:c>
      <x:c r="L52" s="6" t="n">
        <x:v>10</x:v>
      </x:c>
      <x:c r="M52" s="11" t="n">
        <x:v>0.773015873015873</x:v>
      </x:c>
      <x:c r="N52" s="6" t="n">
        <x:v>393000</x:v>
      </x:c>
    </x:row>
    <x:row r="53" ht="24" customHeight="1">
      <x:c r="A53" s="2" t="str">
        <x:v>2026-10-22_Night</x:v>
      </x:c>
      <x:c r="B53" s="6" t="str">
        <x:v>ナイト</x:v>
      </x:c>
      <x:c r="C53" s="6" t="n">
        <x:v>374500</x:v>
      </x:c>
      <x:c r="D53" s="6" t="n">
        <x:v>732500</x:v>
      </x:c>
      <x:c r="E53" s="6" t="n">
        <x:f>C53-D53</x:f>
        <x:v>-358000</x:v>
      </x:c>
      <x:c r="F53" s="6" t="n">
        <x:f>F52+E53</x:f>
        <x:v>-14827500</x:v>
      </x:c>
      <x:c r="G53" s="6" t="n">
        <x:v>264000</x:v>
      </x:c>
      <x:c r="H53" s="6" t="n">
        <x:v>622000</x:v>
      </x:c>
      <x:c r="I53" s="6" t="n">
        <x:v>126</x:v>
      </x:c>
      <x:c r="J53" s="6" t="n">
        <x:v>290</x:v>
      </x:c>
      <x:c r="K53" s="6" t="n">
        <x:v>270</x:v>
      </x:c>
      <x:c r="L53" s="6" t="n">
        <x:v>10</x:v>
      </x:c>
      <x:c r="M53" s="11" t="n">
        <x:v>0.851431623931624</x:v>
      </x:c>
      <x:c r="N53" s="6" t="n">
        <x:v>366500</x:v>
      </x:c>
    </x:row>
    <x:row r="54" ht="24" customHeight="1">
      <x:c r="A54" s="2" t="str">
        <x:v>2026-10-23_Day</x:v>
      </x:c>
      <x:c r="B54" s="6" t="str">
        <x:v>デイ</x:v>
      </x:c>
      <x:c r="C54" s="6" t="n">
        <x:v>909500</x:v>
      </x:c>
      <x:c r="D54" s="6" t="n">
        <x:v>1595500</x:v>
      </x:c>
      <x:c r="E54" s="6" t="n">
        <x:f>C54-D54</x:f>
        <x:v>-686000</x:v>
      </x:c>
      <x:c r="F54" s="6" t="n">
        <x:f>F53+E54</x:f>
        <x:v>-15513500</x:v>
      </x:c>
      <x:c r="G54" s="6" t="n">
        <x:v>821500</x:v>
      </x:c>
      <x:c r="H54" s="6" t="n">
        <x:v>1507500</x:v>
      </x:c>
      <x:c r="I54" s="6" t="n">
        <x:v>138</x:v>
      </x:c>
      <x:c r="J54" s="6" t="n">
        <x:v>227</x:v>
      </x:c>
      <x:c r="K54" s="6" t="n">
        <x:v>240</x:v>
      </x:c>
      <x:c r="L54" s="6" t="n">
        <x:v>10</x:v>
      </x:c>
      <x:c r="M54" s="11" t="n">
        <x:v>0.7613492063492063</x:v>
      </x:c>
      <x:c r="N54" s="6" t="n">
        <x:v>756500</x:v>
      </x:c>
    </x:row>
    <x:row r="55" ht="24" customHeight="1">
      <x:c r="A55" s="2" t="str">
        <x:v>2026-10-23_Night</x:v>
      </x:c>
      <x:c r="B55" s="6" t="str">
        <x:v>ナイト</x:v>
      </x:c>
      <x:c r="C55" s="6" t="n">
        <x:v>353500</x:v>
      </x:c>
      <x:c r="D55" s="6" t="n">
        <x:v>769500</x:v>
      </x:c>
      <x:c r="E55" s="6" t="n">
        <x:f>C55-D55</x:f>
        <x:v>-416000</x:v>
      </x:c>
      <x:c r="F55" s="6" t="n">
        <x:f>F54+E55</x:f>
        <x:v>-15929500</x:v>
      </x:c>
      <x:c r="G55" s="6" t="n">
        <x:v>236500</x:v>
      </x:c>
      <x:c r="H55" s="6" t="n">
        <x:v>652500</x:v>
      </x:c>
      <x:c r="I55" s="6" t="n">
        <x:v>130</x:v>
      </x:c>
      <x:c r="J55" s="6" t="n">
        <x:v>250</x:v>
      </x:c>
      <x:c r="K55" s="6" t="n">
        <x:v>235</x:v>
      </x:c>
      <x:c r="L55" s="6" t="n">
        <x:v>10</x:v>
      </x:c>
      <x:c r="M55" s="11" t="n">
        <x:v>0.7827350427350427</x:v>
      </x:c>
      <x:c r="N55" s="6" t="n">
        <x:v>461500</x:v>
      </x:c>
    </x:row>
    <x:row r="56" ht="24" customHeight="1">
      <x:c r="A56" s="2" t="str">
        <x:v>2026-10-26_Day</x:v>
      </x:c>
      <x:c r="B56" s="6" t="str">
        <x:v>デイ</x:v>
      </x:c>
      <x:c r="C56" s="6" t="n">
        <x:v>419500</x:v>
      </x:c>
      <x:c r="D56" s="6" t="n">
        <x:v>856000</x:v>
      </x:c>
      <x:c r="E56" s="6" t="n">
        <x:f>C56-D56</x:f>
        <x:v>-436500</x:v>
      </x:c>
      <x:c r="F56" s="6" t="n">
        <x:f>F55+E56</x:f>
        <x:v>-16366000</x:v>
      </x:c>
      <x:c r="G56" s="6" t="n">
        <x:v>346500</x:v>
      </x:c>
      <x:c r="H56" s="6" t="n">
        <x:v>783000</x:v>
      </x:c>
      <x:c r="I56" s="6" t="n">
        <x:v>123</x:v>
      </x:c>
      <x:c r="J56" s="6" t="n">
        <x:v>174</x:v>
      </x:c>
      <x:c r="K56" s="6" t="n">
        <x:v>166</x:v>
      </x:c>
      <x:c r="L56" s="6" t="n">
        <x:v>10</x:v>
      </x:c>
      <x:c r="M56" s="11" t="n">
        <x:v>0.7386507936507937</x:v>
      </x:c>
      <x:c r="N56" s="6" t="n">
        <x:v>577000</x:v>
      </x:c>
    </x:row>
    <x:row r="57" ht="24" customHeight="1">
      <x:c r="A57" s="15" t="str">
        <x:v>累計／平均／最大</x:v>
      </x:c>
      <x:c r="B57" s="16"/>
      <x:c r="C57" s="16" t="n">
        <x:f>SUM(C6:C56)</x:f>
        <x:v>13079500</x:v>
      </x:c>
      <x:c r="D57" s="16" t="n">
        <x:f>SUM(D6:D56)</x:f>
        <x:v>29445500</x:v>
      </x:c>
      <x:c r="E57" s="16" t="n">
        <x:f>C57-D57</x:f>
        <x:v>-16366000</x:v>
      </x:c>
      <x:c r="F57" s="16" t="n">
        <x:f>F56</x:f>
        <x:v>-16366000</x:v>
      </x:c>
      <x:c r="G57" s="16" t="n">
        <x:f>SUM(G6:G56)</x:f>
        <x:v>9657500</x:v>
      </x:c>
      <x:c r="H57" s="16" t="n">
        <x:f>SUM(H6:H56)</x:f>
        <x:v>26023500</x:v>
      </x:c>
      <x:c r="I57" s="16" t="n">
        <x:f>SUM(I6:I56)</x:f>
        <x:v>4922</x:v>
      </x:c>
      <x:c r="J57" s="16" t="n">
        <x:f>SUM(J6:J56)</x:f>
        <x:v>8722</x:v>
      </x:c>
      <x:c r="K57" s="16" t="n">
        <x:f>SUM(K6:K56)</x:f>
        <x:v>8302</x:v>
      </x:c>
      <x:c r="L57" s="16" t="n">
        <x:f>MAX(L6:L56)</x:f>
        <x:v>10</x:v>
      </x:c>
      <x:c r="M57" s="17" t="n">
        <x:f>AVERAGE(M6:M56)</x:f>
        <x:v>0.7505205415499533</x:v>
      </x:c>
      <x:c r="N57" s="16" t="n">
        <x:f>MAX(N6:N56)</x:f>
        <x:v>756500</x:v>
      </x:c>
    </x:row>
  </x:sheetData>
  <x:conditionalFormatting sqref="E6:F56">
    <x:cfRule type="cellIs" dxfId="65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0654eeb52d3441a"/>
  </x:tableParts>
</x:worksheet>
</file>

<file path=xl/worksheets/sheet6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1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4" customHeight="1">
      <x:c r="A1" s="3" t="str">
        <x:v>TOPIX F01　各セッションの利益・損失・収支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A2" s="4" t="str">
        <x:v>2026/09/21〜10/26デイ・51完了場。日経mini／TOPIXmini各上限10枚・手数料0。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4" customHeight="1">
      <x:c r="A3" s="4" t="str">
        <x:v>180秒の時間加重平均を30秒前と比較。固定1枚、利益追尾＋傾き反転・増勢後の半減で返済。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4" customHeight="1">
      <x:c r="A4" s="4" t="str">
        <x:v>利益・損失＝FIFO返済配賦別。親＝初回から全返済まで。ラージ気配による模型で、mini実約定の検証ではありません。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42" customHeight="1">
      <x:c r="A5" s="10" t="str">
        <x:v>セッション</x:v>
      </x:c>
      <x:c r="B5" s="10" t="str">
        <x:v>区分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親利益（円）</x:v>
      </x:c>
      <x:c r="H5" s="10" t="str">
        <x:v>親損失（円）</x:v>
      </x:c>
      <x:c r="I5" s="10" t="str">
        <x:v>初回件数</x:v>
      </x:c>
      <x:c r="J5" s="10" t="str">
        <x:v>追加件数</x:v>
      </x:c>
      <x:c r="K5" s="10" t="str">
        <x:v>縮小件数</x:v>
      </x:c>
      <x:c r="L5" s="10" t="str">
        <x:v>最大保有枚数</x:v>
      </x:c>
      <x:c r="M5" s="10" t="str">
        <x:v>保有時間率</x:v>
      </x:c>
      <x:c r="N5" s="10" t="str">
        <x:v>時価最大DD（円）</x:v>
      </x:c>
    </x:row>
    <x:row r="6" ht="24" customHeight="1">
      <x:c r="A6" s="2" t="str">
        <x:v>2026-09-21_Day</x:v>
      </x:c>
      <x:c r="B6" s="6" t="str">
        <x:v>デイ</x:v>
      </x:c>
      <x:c r="C6" s="6" t="n">
        <x:v>36000</x:v>
      </x:c>
      <x:c r="D6" s="6" t="n">
        <x:v>129000</x:v>
      </x:c>
      <x:c r="E6" s="6" t="n">
        <x:f>C6-D6</x:f>
        <x:v>-93000</x:v>
      </x:c>
      <x:c r="F6" s="6" t="n">
        <x:f>E6</x:f>
        <x:v>-93000</x:v>
      </x:c>
      <x:c r="G6" s="6" t="n">
        <x:v>36000</x:v>
      </x:c>
      <x:c r="H6" s="6" t="n">
        <x:v>129000</x:v>
      </x:c>
      <x:c r="I6" s="6" t="n">
        <x:v>112</x:v>
      </x:c>
      <x:c r="J6" s="6" t="n">
        <x:v>0</x:v>
      </x:c>
      <x:c r="K6" s="6" t="n">
        <x:v>0</x:v>
      </x:c>
      <x:c r="L6" s="6" t="n">
        <x:v>1</x:v>
      </x:c>
      <x:c r="M6" s="11" t="n">
        <x:v>0.7101190476190476</x:v>
      </x:c>
      <x:c r="N6" s="6" t="n">
        <x:v>94500</x:v>
      </x:c>
    </x:row>
    <x:row r="7" ht="24" customHeight="1">
      <x:c r="A7" s="2" t="str">
        <x:v>2026-09-21_Night</x:v>
      </x:c>
      <x:c r="B7" s="6" t="str">
        <x:v>ナイト</x:v>
      </x:c>
      <x:c r="C7" s="6" t="n">
        <x:v>40000</x:v>
      </x:c>
      <x:c r="D7" s="6" t="n">
        <x:v>200000</x:v>
      </x:c>
      <x:c r="E7" s="6" t="n">
        <x:f>C7-D7</x:f>
        <x:v>-160000</x:v>
      </x:c>
      <x:c r="F7" s="6" t="n">
        <x:f>F6+E7</x:f>
        <x:v>-253000</x:v>
      </x:c>
      <x:c r="G7" s="6" t="n">
        <x:v>40000</x:v>
      </x:c>
      <x:c r="H7" s="6" t="n">
        <x:v>200000</x:v>
      </x:c>
      <x:c r="I7" s="6" t="n">
        <x:v>202</x:v>
      </x:c>
      <x:c r="J7" s="6" t="n">
        <x:v>0</x:v>
      </x:c>
      <x:c r="K7" s="6" t="n">
        <x:v>0</x:v>
      </x:c>
      <x:c r="L7" s="6" t="n">
        <x:v>1</x:v>
      </x:c>
      <x:c r="M7" s="11" t="n">
        <x:v>0.7226709401709401</x:v>
      </x:c>
      <x:c r="N7" s="6" t="n">
        <x:v>164500</x:v>
      </x:c>
    </x:row>
    <x:row r="8" ht="24" customHeight="1">
      <x:c r="A8" s="2" t="str">
        <x:v>2026-09-22_Day</x:v>
      </x:c>
      <x:c r="B8" s="6" t="str">
        <x:v>デイ</x:v>
      </x:c>
      <x:c r="C8" s="6" t="n">
        <x:v>26500</x:v>
      </x:c>
      <x:c r="D8" s="6" t="n">
        <x:v>192500</x:v>
      </x:c>
      <x:c r="E8" s="6" t="n">
        <x:f>C8-D8</x:f>
        <x:v>-166000</x:v>
      </x:c>
      <x:c r="F8" s="6" t="n">
        <x:f>F7+E8</x:f>
        <x:v>-419000</x:v>
      </x:c>
      <x:c r="G8" s="6" t="n">
        <x:v>26500</x:v>
      </x:c>
      <x:c r="H8" s="6" t="n">
        <x:v>192500</x:v>
      </x:c>
      <x:c r="I8" s="6" t="n">
        <x:v>151</x:v>
      </x:c>
      <x:c r="J8" s="6" t="n">
        <x:v>0</x:v>
      </x:c>
      <x:c r="K8" s="6" t="n">
        <x:v>0</x:v>
      </x:c>
      <x:c r="L8" s="6" t="n">
        <x:v>1</x:v>
      </x:c>
      <x:c r="M8" s="11" t="n">
        <x:v>0.775079365079365</x:v>
      </x:c>
      <x:c r="N8" s="6" t="n">
        <x:v>170500</x:v>
      </x:c>
    </x:row>
    <x:row r="9" ht="24" customHeight="1">
      <x:c r="A9" s="2" t="str">
        <x:v>2026-09-22_Night</x:v>
      </x:c>
      <x:c r="B9" s="6" t="str">
        <x:v>ナイト</x:v>
      </x:c>
      <x:c r="C9" s="6" t="n">
        <x:v>98500</x:v>
      </x:c>
      <x:c r="D9" s="6" t="n">
        <x:v>266500</x:v>
      </x:c>
      <x:c r="E9" s="6" t="n">
        <x:f>C9-D9</x:f>
        <x:v>-168000</x:v>
      </x:c>
      <x:c r="F9" s="6" t="n">
        <x:f>F8+E9</x:f>
        <x:v>-587000</x:v>
      </x:c>
      <x:c r="G9" s="6" t="n">
        <x:v>98500</x:v>
      </x:c>
      <x:c r="H9" s="6" t="n">
        <x:v>266500</x:v>
      </x:c>
      <x:c r="I9" s="6" t="n">
        <x:v>233</x:v>
      </x:c>
      <x:c r="J9" s="6" t="n">
        <x:v>0</x:v>
      </x:c>
      <x:c r="K9" s="6" t="n">
        <x:v>0</x:v>
      </x:c>
      <x:c r="L9" s="6" t="n">
        <x:v>1</x:v>
      </x:c>
      <x:c r="M9" s="11" t="n">
        <x:v>0.8132905982905982</x:v>
      </x:c>
      <x:c r="N9" s="6" t="n">
        <x:v>178500</x:v>
      </x:c>
    </x:row>
    <x:row r="10" ht="24" customHeight="1">
      <x:c r="A10" s="2" t="str">
        <x:v>2026-09-23_Day</x:v>
      </x:c>
      <x:c r="B10" s="6" t="str">
        <x:v>デイ</x:v>
      </x:c>
      <x:c r="C10" s="6" t="n">
        <x:v>42000</x:v>
      </x:c>
      <x:c r="D10" s="6" t="n">
        <x:v>135000</x:v>
      </x:c>
      <x:c r="E10" s="6" t="n">
        <x:f>C10-D10</x:f>
        <x:v>-93000</x:v>
      </x:c>
      <x:c r="F10" s="6" t="n">
        <x:f>F9+E10</x:f>
        <x:v>-680000</x:v>
      </x:c>
      <x:c r="G10" s="6" t="n">
        <x:v>42000</x:v>
      </x:c>
      <x:c r="H10" s="6" t="n">
        <x:v>135000</x:v>
      </x:c>
      <x:c r="I10" s="6" t="n">
        <x:v>126</x:v>
      </x:c>
      <x:c r="J10" s="6" t="n">
        <x:v>0</x:v>
      </x:c>
      <x:c r="K10" s="6" t="n">
        <x:v>0</x:v>
      </x:c>
      <x:c r="L10" s="6" t="n">
        <x:v>1</x:v>
      </x:c>
      <x:c r="M10" s="11" t="n">
        <x:v>0.7505952380952381</x:v>
      </x:c>
      <x:c r="N10" s="6" t="n">
        <x:v>106000</x:v>
      </x:c>
    </x:row>
    <x:row r="11" ht="24" customHeight="1">
      <x:c r="A11" s="2" t="str">
        <x:v>2026-09-23_Night</x:v>
      </x:c>
      <x:c r="B11" s="6" t="str">
        <x:v>ナイト</x:v>
      </x:c>
      <x:c r="C11" s="6" t="n">
        <x:v>47500</x:v>
      </x:c>
      <x:c r="D11" s="6" t="n">
        <x:v>244500</x:v>
      </x:c>
      <x:c r="E11" s="6" t="n">
        <x:f>C11-D11</x:f>
        <x:v>-197000</x:v>
      </x:c>
      <x:c r="F11" s="6" t="n">
        <x:f>F10+E11</x:f>
        <x:v>-877000</x:v>
      </x:c>
      <x:c r="G11" s="6" t="n">
        <x:v>47500</x:v>
      </x:c>
      <x:c r="H11" s="6" t="n">
        <x:v>244500</x:v>
      </x:c>
      <x:c r="I11" s="6" t="n">
        <x:v>228</x:v>
      </x:c>
      <x:c r="J11" s="6" t="n">
        <x:v>0</x:v>
      </x:c>
      <x:c r="K11" s="6" t="n">
        <x:v>0</x:v>
      </x:c>
      <x:c r="L11" s="6" t="n">
        <x:v>1</x:v>
      </x:c>
      <x:c r="M11" s="11" t="n">
        <x:v>0.735897435897436</x:v>
      </x:c>
      <x:c r="N11" s="6" t="n">
        <x:v>198000</x:v>
      </x:c>
    </x:row>
    <x:row r="12" ht="24" customHeight="1">
      <x:c r="A12" s="2" t="str">
        <x:v>2026-09-24_Day</x:v>
      </x:c>
      <x:c r="B12" s="6" t="str">
        <x:v>デイ</x:v>
      </x:c>
      <x:c r="C12" s="6" t="n">
        <x:v>127000</x:v>
      </x:c>
      <x:c r="D12" s="6" t="n">
        <x:v>257500</x:v>
      </x:c>
      <x:c r="E12" s="6" t="n">
        <x:f>C12-D12</x:f>
        <x:v>-130500</x:v>
      </x:c>
      <x:c r="F12" s="6" t="n">
        <x:f>F11+E12</x:f>
        <x:v>-1007500</x:v>
      </x:c>
      <x:c r="G12" s="6" t="n">
        <x:v>127000</x:v>
      </x:c>
      <x:c r="H12" s="6" t="n">
        <x:v>257500</x:v>
      </x:c>
      <x:c r="I12" s="6" t="n">
        <x:v>218</x:v>
      </x:c>
      <x:c r="J12" s="6" t="n">
        <x:v>0</x:v>
      </x:c>
      <x:c r="K12" s="6" t="n">
        <x:v>0</x:v>
      </x:c>
      <x:c r="L12" s="6" t="n">
        <x:v>1</x:v>
      </x:c>
      <x:c r="M12" s="11" t="n">
        <x:v>0.8154365079365079</x:v>
      </x:c>
      <x:c r="N12" s="6" t="n">
        <x:v>136000</x:v>
      </x:c>
    </x:row>
    <x:row r="13" ht="24" customHeight="1">
      <x:c r="A13" s="2" t="str">
        <x:v>2026-09-24_Night</x:v>
      </x:c>
      <x:c r="B13" s="6" t="str">
        <x:v>ナイト</x:v>
      </x:c>
      <x:c r="C13" s="6" t="n">
        <x:v>115000</x:v>
      </x:c>
      <x:c r="D13" s="6" t="n">
        <x:v>326000</x:v>
      </x:c>
      <x:c r="E13" s="6" t="n">
        <x:f>C13-D13</x:f>
        <x:v>-211000</x:v>
      </x:c>
      <x:c r="F13" s="6" t="n">
        <x:f>F12+E13</x:f>
        <x:v>-1218500</x:v>
      </x:c>
      <x:c r="G13" s="6" t="n">
        <x:v>115000</x:v>
      </x:c>
      <x:c r="H13" s="6" t="n">
        <x:v>326000</x:v>
      </x:c>
      <x:c r="I13" s="6" t="n">
        <x:v>299</x:v>
      </x:c>
      <x:c r="J13" s="6" t="n">
        <x:v>0</x:v>
      </x:c>
      <x:c r="K13" s="6" t="n">
        <x:v>0</x:v>
      </x:c>
      <x:c r="L13" s="6" t="n">
        <x:v>1</x:v>
      </x:c>
      <x:c r="M13" s="11" t="n">
        <x:v>0.8064316239316239</x:v>
      </x:c>
      <x:c r="N13" s="6" t="n">
        <x:v>221500</x:v>
      </x:c>
    </x:row>
    <x:row r="14" ht="24" customHeight="1">
      <x:c r="A14" s="2" t="str">
        <x:v>2026-09-25_Day</x:v>
      </x:c>
      <x:c r="B14" s="6" t="str">
        <x:v>デイ</x:v>
      </x:c>
      <x:c r="C14" s="6" t="n">
        <x:v>97500</x:v>
      </x:c>
      <x:c r="D14" s="6" t="n">
        <x:v>265500</x:v>
      </x:c>
      <x:c r="E14" s="6" t="n">
        <x:f>C14-D14</x:f>
        <x:v>-168000</x:v>
      </x:c>
      <x:c r="F14" s="6" t="n">
        <x:f>F13+E14</x:f>
        <x:v>-1386500</x:v>
      </x:c>
      <x:c r="G14" s="6" t="n">
        <x:v>97500</x:v>
      </x:c>
      <x:c r="H14" s="6" t="n">
        <x:v>265500</x:v>
      </x:c>
      <x:c r="I14" s="6" t="n">
        <x:v>220</x:v>
      </x:c>
      <x:c r="J14" s="6" t="n">
        <x:v>0</x:v>
      </x:c>
      <x:c r="K14" s="6" t="n">
        <x:v>0</x:v>
      </x:c>
      <x:c r="L14" s="6" t="n">
        <x:v>1</x:v>
      </x:c>
      <x:c r="M14" s="11" t="n">
        <x:v>0.8145634920634921</x:v>
      </x:c>
      <x:c r="N14" s="6" t="n">
        <x:v>168500</x:v>
      </x:c>
    </x:row>
    <x:row r="15" ht="24" customHeight="1">
      <x:c r="A15" s="2" t="str">
        <x:v>2026-09-25_Night</x:v>
      </x:c>
      <x:c r="B15" s="6" t="str">
        <x:v>ナイト</x:v>
      </x:c>
      <x:c r="C15" s="6" t="n">
        <x:v>87500</x:v>
      </x:c>
      <x:c r="D15" s="6" t="n">
        <x:v>266500</x:v>
      </x:c>
      <x:c r="E15" s="6" t="n">
        <x:f>C15-D15</x:f>
        <x:v>-179000</x:v>
      </x:c>
      <x:c r="F15" s="6" t="n">
        <x:f>F14+E15</x:f>
        <x:v>-1565500</x:v>
      </x:c>
      <x:c r="G15" s="6" t="n">
        <x:v>87500</x:v>
      </x:c>
      <x:c r="H15" s="6" t="n">
        <x:v>266500</x:v>
      </x:c>
      <x:c r="I15" s="6" t="n">
        <x:v>261</x:v>
      </x:c>
      <x:c r="J15" s="6" t="n">
        <x:v>0</x:v>
      </x:c>
      <x:c r="K15" s="6" t="n">
        <x:v>0</x:v>
      </x:c>
      <x:c r="L15" s="6" t="n">
        <x:v>1</x:v>
      </x:c>
      <x:c r="M15" s="11" t="n">
        <x:v>0.7812606837606838</x:v>
      </x:c>
      <x:c r="N15" s="6" t="n">
        <x:v>188500</x:v>
      </x:c>
    </x:row>
    <x:row r="16" ht="24" customHeight="1">
      <x:c r="A16" s="2" t="str">
        <x:v>2026-09-28_Day</x:v>
      </x:c>
      <x:c r="B16" s="6" t="str">
        <x:v>デイ</x:v>
      </x:c>
      <x:c r="C16" s="6" t="n">
        <x:v>74000</x:v>
      </x:c>
      <x:c r="D16" s="6" t="n">
        <x:v>271500</x:v>
      </x:c>
      <x:c r="E16" s="6" t="n">
        <x:f>C16-D16</x:f>
        <x:v>-197500</x:v>
      </x:c>
      <x:c r="F16" s="6" t="n">
        <x:f>F15+E16</x:f>
        <x:v>-1763000</x:v>
      </x:c>
      <x:c r="G16" s="6" t="n">
        <x:v>74000</x:v>
      </x:c>
      <x:c r="H16" s="6" t="n">
        <x:v>271500</x:v>
      </x:c>
      <x:c r="I16" s="6" t="n">
        <x:v>227</x:v>
      </x:c>
      <x:c r="J16" s="6" t="n">
        <x:v>0</x:v>
      </x:c>
      <x:c r="K16" s="6" t="n">
        <x:v>0</x:v>
      </x:c>
      <x:c r="L16" s="6" t="n">
        <x:v>1</x:v>
      </x:c>
      <x:c r="M16" s="11" t="n">
        <x:v>0.7949603174603175</x:v>
      </x:c>
      <x:c r="N16" s="6" t="n">
        <x:v>213000</x:v>
      </x:c>
    </x:row>
    <x:row r="17" ht="24" customHeight="1">
      <x:c r="A17" s="2" t="str">
        <x:v>2026-09-28_Night</x:v>
      </x:c>
      <x:c r="B17" s="6" t="str">
        <x:v>ナイト</x:v>
      </x:c>
      <x:c r="C17" s="6" t="n">
        <x:v>104500</x:v>
      </x:c>
      <x:c r="D17" s="6" t="n">
        <x:v>320500</x:v>
      </x:c>
      <x:c r="E17" s="6" t="n">
        <x:f>C17-D17</x:f>
        <x:v>-216000</x:v>
      </x:c>
      <x:c r="F17" s="6" t="n">
        <x:f>F16+E17</x:f>
        <x:v>-1979000</x:v>
      </x:c>
      <x:c r="G17" s="6" t="n">
        <x:v>104500</x:v>
      </x:c>
      <x:c r="H17" s="6" t="n">
        <x:v>320500</x:v>
      </x:c>
      <x:c r="I17" s="6" t="n">
        <x:v>282</x:v>
      </x:c>
      <x:c r="J17" s="6" t="n">
        <x:v>0</x:v>
      </x:c>
      <x:c r="K17" s="6" t="n">
        <x:v>0</x:v>
      </x:c>
      <x:c r="L17" s="6" t="n">
        <x:v>1</x:v>
      </x:c>
      <x:c r="M17" s="11" t="n">
        <x:v>0.7911752136752137</x:v>
      </x:c>
      <x:c r="N17" s="6" t="n">
        <x:v>219500</x:v>
      </x:c>
    </x:row>
    <x:row r="18" ht="24" customHeight="1">
      <x:c r="A18" s="2" t="str">
        <x:v>2026-09-29_Day</x:v>
      </x:c>
      <x:c r="B18" s="6" t="str">
        <x:v>デイ</x:v>
      </x:c>
      <x:c r="C18" s="6" t="n">
        <x:v>105000</x:v>
      </x:c>
      <x:c r="D18" s="6" t="n">
        <x:v>295000</x:v>
      </x:c>
      <x:c r="E18" s="6" t="n">
        <x:f>C18-D18</x:f>
        <x:v>-190000</x:v>
      </x:c>
      <x:c r="F18" s="6" t="n">
        <x:f>F17+E18</x:f>
        <x:v>-2169000</x:v>
      </x:c>
      <x:c r="G18" s="6" t="n">
        <x:v>105000</x:v>
      </x:c>
      <x:c r="H18" s="6" t="n">
        <x:v>295000</x:v>
      </x:c>
      <x:c r="I18" s="6" t="n">
        <x:v>232</x:v>
      </x:c>
      <x:c r="J18" s="6" t="n">
        <x:v>0</x:v>
      </x:c>
      <x:c r="K18" s="6" t="n">
        <x:v>0</x:v>
      </x:c>
      <x:c r="L18" s="6" t="n">
        <x:v>1</x:v>
      </x:c>
      <x:c r="M18" s="11" t="n">
        <x:v>0.8117063492063492</x:v>
      </x:c>
      <x:c r="N18" s="6" t="n">
        <x:v>197500</x:v>
      </x:c>
    </x:row>
    <x:row r="19" ht="24" customHeight="1">
      <x:c r="A19" s="2" t="str">
        <x:v>2026-09-29_Night</x:v>
      </x:c>
      <x:c r="B19" s="6" t="str">
        <x:v>ナイト</x:v>
      </x:c>
      <x:c r="C19" s="6" t="n">
        <x:v>67500</x:v>
      </x:c>
      <x:c r="D19" s="6" t="n">
        <x:v>322500</x:v>
      </x:c>
      <x:c r="E19" s="6" t="n">
        <x:f>C19-D19</x:f>
        <x:v>-255000</x:v>
      </x:c>
      <x:c r="F19" s="6" t="n">
        <x:f>F18+E19</x:f>
        <x:v>-2424000</x:v>
      </x:c>
      <x:c r="G19" s="6" t="n">
        <x:v>67500</x:v>
      </x:c>
      <x:c r="H19" s="6" t="n">
        <x:v>322500</x:v>
      </x:c>
      <x:c r="I19" s="6" t="n">
        <x:v>288</x:v>
      </x:c>
      <x:c r="J19" s="6" t="n">
        <x:v>0</x:v>
      </x:c>
      <x:c r="K19" s="6" t="n">
        <x:v>0</x:v>
      </x:c>
      <x:c r="L19" s="6" t="n">
        <x:v>1</x:v>
      </x:c>
      <x:c r="M19" s="11" t="n">
        <x:v>0.808076923076923</x:v>
      </x:c>
      <x:c r="N19" s="6" t="n">
        <x:v>259000</x:v>
      </x:c>
    </x:row>
    <x:row r="20" ht="24" customHeight="1">
      <x:c r="A20" s="2" t="str">
        <x:v>2026-09-30_Day</x:v>
      </x:c>
      <x:c r="B20" s="6" t="str">
        <x:v>デイ</x:v>
      </x:c>
      <x:c r="C20" s="6" t="n">
        <x:v>88500</x:v>
      </x:c>
      <x:c r="D20" s="6" t="n">
        <x:v>258500</x:v>
      </x:c>
      <x:c r="E20" s="6" t="n">
        <x:f>C20-D20</x:f>
        <x:v>-170000</x:v>
      </x:c>
      <x:c r="F20" s="6" t="n">
        <x:f>F19+E20</x:f>
        <x:v>-2594000</x:v>
      </x:c>
      <x:c r="G20" s="6" t="n">
        <x:v>88500</x:v>
      </x:c>
      <x:c r="H20" s="6" t="n">
        <x:v>258500</x:v>
      </x:c>
      <x:c r="I20" s="6" t="n">
        <x:v>222</x:v>
      </x:c>
      <x:c r="J20" s="6" t="n">
        <x:v>0</x:v>
      </x:c>
      <x:c r="K20" s="6" t="n">
        <x:v>0</x:v>
      </x:c>
      <x:c r="L20" s="6" t="n">
        <x:v>1</x:v>
      </x:c>
      <x:c r="M20" s="11" t="n">
        <x:v>0.8205555555555556</x:v>
      </x:c>
      <x:c r="N20" s="6" t="n">
        <x:v>174000</x:v>
      </x:c>
    </x:row>
    <x:row r="21" ht="24" customHeight="1">
      <x:c r="A21" s="2" t="str">
        <x:v>2026-09-30_Night</x:v>
      </x:c>
      <x:c r="B21" s="6" t="str">
        <x:v>ナイト</x:v>
      </x:c>
      <x:c r="C21" s="6" t="n">
        <x:v>127000</x:v>
      </x:c>
      <x:c r="D21" s="6" t="n">
        <x:v>344500</x:v>
      </x:c>
      <x:c r="E21" s="6" t="n">
        <x:f>C21-D21</x:f>
        <x:v>-217500</x:v>
      </x:c>
      <x:c r="F21" s="6" t="n">
        <x:f>F20+E21</x:f>
        <x:v>-2811500</x:v>
      </x:c>
      <x:c r="G21" s="6" t="n">
        <x:v>127000</x:v>
      </x:c>
      <x:c r="H21" s="6" t="n">
        <x:v>344500</x:v>
      </x:c>
      <x:c r="I21" s="6" t="n">
        <x:v>309</x:v>
      </x:c>
      <x:c r="J21" s="6" t="n">
        <x:v>0</x:v>
      </x:c>
      <x:c r="K21" s="6" t="n">
        <x:v>0</x:v>
      </x:c>
      <x:c r="L21" s="6" t="n">
        <x:v>1</x:v>
      </x:c>
      <x:c r="M21" s="11" t="n">
        <x:v>0.8070512820512821</x:v>
      </x:c>
      <x:c r="N21" s="6" t="n">
        <x:v>225000</x:v>
      </x:c>
    </x:row>
    <x:row r="22" ht="24" customHeight="1">
      <x:c r="A22" s="2" t="str">
        <x:v>2026-10-01_Day</x:v>
      </x:c>
      <x:c r="B22" s="6" t="str">
        <x:v>デイ</x:v>
      </x:c>
      <x:c r="C22" s="6" t="n">
        <x:v>88000</x:v>
      </x:c>
      <x:c r="D22" s="6" t="n">
        <x:v>261500</x:v>
      </x:c>
      <x:c r="E22" s="6" t="n">
        <x:f>C22-D22</x:f>
        <x:v>-173500</x:v>
      </x:c>
      <x:c r="F22" s="6" t="n">
        <x:f>F21+E22</x:f>
        <x:v>-2985000</x:v>
      </x:c>
      <x:c r="G22" s="6" t="n">
        <x:v>88000</x:v>
      </x:c>
      <x:c r="H22" s="6" t="n">
        <x:v>261500</x:v>
      </x:c>
      <x:c r="I22" s="6" t="n">
        <x:v>213</x:v>
      </x:c>
      <x:c r="J22" s="6" t="n">
        <x:v>0</x:v>
      </x:c>
      <x:c r="K22" s="6" t="n">
        <x:v>0</x:v>
      </x:c>
      <x:c r="L22" s="6" t="n">
        <x:v>1</x:v>
      </x:c>
      <x:c r="M22" s="11" t="n">
        <x:v>0.8017460317460318</x:v>
      </x:c>
      <x:c r="N22" s="6" t="n">
        <x:v>180000</x:v>
      </x:c>
    </x:row>
    <x:row r="23" ht="24" customHeight="1">
      <x:c r="A23" s="2" t="str">
        <x:v>2026-10-01_Night</x:v>
      </x:c>
      <x:c r="B23" s="6" t="str">
        <x:v>ナイト</x:v>
      </x:c>
      <x:c r="C23" s="6" t="n">
        <x:v>130500</x:v>
      </x:c>
      <x:c r="D23" s="6" t="n">
        <x:v>406000</x:v>
      </x:c>
      <x:c r="E23" s="6" t="n">
        <x:f>C23-D23</x:f>
        <x:v>-275500</x:v>
      </x:c>
      <x:c r="F23" s="6" t="n">
        <x:f>F22+E23</x:f>
        <x:v>-3260500</x:v>
      </x:c>
      <x:c r="G23" s="6" t="n">
        <x:v>130500</x:v>
      </x:c>
      <x:c r="H23" s="6" t="n">
        <x:v>406000</x:v>
      </x:c>
      <x:c r="I23" s="6" t="n">
        <x:v>334</x:v>
      </x:c>
      <x:c r="J23" s="6" t="n">
        <x:v>0</x:v>
      </x:c>
      <x:c r="K23" s="6" t="n">
        <x:v>0</x:v>
      </x:c>
      <x:c r="L23" s="6" t="n">
        <x:v>1</x:v>
      </x:c>
      <x:c r="M23" s="11" t="n">
        <x:v>0.8160683760683761</x:v>
      </x:c>
      <x:c r="N23" s="6" t="n">
        <x:v>280500</x:v>
      </x:c>
    </x:row>
    <x:row r="24" ht="24" customHeight="1">
      <x:c r="A24" s="2" t="str">
        <x:v>2026-10-02_Day</x:v>
      </x:c>
      <x:c r="B24" s="6" t="str">
        <x:v>デイ</x:v>
      </x:c>
      <x:c r="C24" s="6" t="n">
        <x:v>78500</x:v>
      </x:c>
      <x:c r="D24" s="6" t="n">
        <x:v>237500</x:v>
      </x:c>
      <x:c r="E24" s="6" t="n">
        <x:f>C24-D24</x:f>
        <x:v>-159000</x:v>
      </x:c>
      <x:c r="F24" s="6" t="n">
        <x:f>F23+E24</x:f>
        <x:v>-3419500</x:v>
      </x:c>
      <x:c r="G24" s="6" t="n">
        <x:v>78500</x:v>
      </x:c>
      <x:c r="H24" s="6" t="n">
        <x:v>237500</x:v>
      </x:c>
      <x:c r="I24" s="6" t="n">
        <x:v>206</x:v>
      </x:c>
      <x:c r="J24" s="6" t="n">
        <x:v>0</x:v>
      </x:c>
      <x:c r="K24" s="6" t="n">
        <x:v>0</x:v>
      </x:c>
      <x:c r="L24" s="6" t="n">
        <x:v>1</x:v>
      </x:c>
      <x:c r="M24" s="11" t="n">
        <x:v>0.8257142857142857</x:v>
      </x:c>
      <x:c r="N24" s="6" t="n">
        <x:v>167500</x:v>
      </x:c>
    </x:row>
    <x:row r="25" ht="24" customHeight="1">
      <x:c r="A25" s="2" t="str">
        <x:v>2026-10-02_Night</x:v>
      </x:c>
      <x:c r="B25" s="6" t="str">
        <x:v>ナイト</x:v>
      </x:c>
      <x:c r="C25" s="6" t="n">
        <x:v>123500</x:v>
      </x:c>
      <x:c r="D25" s="6" t="n">
        <x:v>350000</x:v>
      </x:c>
      <x:c r="E25" s="6" t="n">
        <x:f>C25-D25</x:f>
        <x:v>-226500</x:v>
      </x:c>
      <x:c r="F25" s="6" t="n">
        <x:f>F24+E25</x:f>
        <x:v>-3646000</x:v>
      </x:c>
      <x:c r="G25" s="6" t="n">
        <x:v>123500</x:v>
      </x:c>
      <x:c r="H25" s="6" t="n">
        <x:v>350000</x:v>
      </x:c>
      <x:c r="I25" s="6" t="n">
        <x:v>311</x:v>
      </x:c>
      <x:c r="J25" s="6" t="n">
        <x:v>0</x:v>
      </x:c>
      <x:c r="K25" s="6" t="n">
        <x:v>0</x:v>
      </x:c>
      <x:c r="L25" s="6" t="n">
        <x:v>1</x:v>
      </x:c>
      <x:c r="M25" s="11" t="n">
        <x:v>0.8030128205128205</x:v>
      </x:c>
      <x:c r="N25" s="6" t="n">
        <x:v>234000</x:v>
      </x:c>
    </x:row>
    <x:row r="26" ht="24" customHeight="1">
      <x:c r="A26" s="2" t="str">
        <x:v>2026-10-05_Day</x:v>
      </x:c>
      <x:c r="B26" s="6" t="str">
        <x:v>デイ</x:v>
      </x:c>
      <x:c r="C26" s="6" t="n">
        <x:v>81000</x:v>
      </x:c>
      <x:c r="D26" s="6" t="n">
        <x:v>227000</x:v>
      </x:c>
      <x:c r="E26" s="6" t="n">
        <x:f>C26-D26</x:f>
        <x:v>-146000</x:v>
      </x:c>
      <x:c r="F26" s="6" t="n">
        <x:f>F25+E26</x:f>
        <x:v>-3792000</x:v>
      </x:c>
      <x:c r="G26" s="6" t="n">
        <x:v>81000</x:v>
      </x:c>
      <x:c r="H26" s="6" t="n">
        <x:v>227000</x:v>
      </x:c>
      <x:c r="I26" s="6" t="n">
        <x:v>203</x:v>
      </x:c>
      <x:c r="J26" s="6" t="n">
        <x:v>0</x:v>
      </x:c>
      <x:c r="K26" s="6" t="n">
        <x:v>0</x:v>
      </x:c>
      <x:c r="L26" s="6" t="n">
        <x:v>1</x:v>
      </x:c>
      <x:c r="M26" s="11" t="n">
        <x:v>0.8112698412698413</x:v>
      </x:c>
      <x:c r="N26" s="6" t="n">
        <x:v>151500</x:v>
      </x:c>
    </x:row>
    <x:row r="27" ht="24" customHeight="1">
      <x:c r="A27" s="2" t="str">
        <x:v>2026-10-05_Night</x:v>
      </x:c>
      <x:c r="B27" s="6" t="str">
        <x:v>ナイト</x:v>
      </x:c>
      <x:c r="C27" s="6" t="n">
        <x:v>80000</x:v>
      </x:c>
      <x:c r="D27" s="6" t="n">
        <x:v>289500</x:v>
      </x:c>
      <x:c r="E27" s="6" t="n">
        <x:f>C27-D27</x:f>
        <x:v>-209500</x:v>
      </x:c>
      <x:c r="F27" s="6" t="n">
        <x:f>F26+E27</x:f>
        <x:v>-4001500</x:v>
      </x:c>
      <x:c r="G27" s="6" t="n">
        <x:v>80000</x:v>
      </x:c>
      <x:c r="H27" s="6" t="n">
        <x:v>289500</x:v>
      </x:c>
      <x:c r="I27" s="6" t="n">
        <x:v>288</x:v>
      </x:c>
      <x:c r="J27" s="6" t="n">
        <x:v>0</x:v>
      </x:c>
      <x:c r="K27" s="6" t="n">
        <x:v>0</x:v>
      </x:c>
      <x:c r="L27" s="6" t="n">
        <x:v>1</x:v>
      </x:c>
      <x:c r="M27" s="11" t="n">
        <x:v>0.7828205128205128</x:v>
      </x:c>
      <x:c r="N27" s="6" t="n">
        <x:v>217000</x:v>
      </x:c>
    </x:row>
    <x:row r="28" ht="24" customHeight="1">
      <x:c r="A28" s="2" t="str">
        <x:v>2026-10-06_Day</x:v>
      </x:c>
      <x:c r="B28" s="6" t="str">
        <x:v>デイ</x:v>
      </x:c>
      <x:c r="C28" s="6" t="n">
        <x:v>64000</x:v>
      </x:c>
      <x:c r="D28" s="6" t="n">
        <x:v>199000</x:v>
      </x:c>
      <x:c r="E28" s="6" t="n">
        <x:f>C28-D28</x:f>
        <x:v>-135000</x:v>
      </x:c>
      <x:c r="F28" s="6" t="n">
        <x:f>F27+E28</x:f>
        <x:v>-4136500</x:v>
      </x:c>
      <x:c r="G28" s="6" t="n">
        <x:v>64000</x:v>
      </x:c>
      <x:c r="H28" s="6" t="n">
        <x:v>199000</x:v>
      </x:c>
      <x:c r="I28" s="6" t="n">
        <x:v>203</x:v>
      </x:c>
      <x:c r="J28" s="6" t="n">
        <x:v>0</x:v>
      </x:c>
      <x:c r="K28" s="6" t="n">
        <x:v>0</x:v>
      </x:c>
      <x:c r="L28" s="6" t="n">
        <x:v>1</x:v>
      </x:c>
      <x:c r="M28" s="11" t="n">
        <x:v>0.7953968253968254</x:v>
      </x:c>
      <x:c r="N28" s="6" t="n">
        <x:v>136000</x:v>
      </x:c>
    </x:row>
    <x:row r="29" ht="24" customHeight="1">
      <x:c r="A29" s="2" t="str">
        <x:v>2026-10-06_Night</x:v>
      </x:c>
      <x:c r="B29" s="6" t="str">
        <x:v>ナイト</x:v>
      </x:c>
      <x:c r="C29" s="6" t="n">
        <x:v>51500</x:v>
      </x:c>
      <x:c r="D29" s="6" t="n">
        <x:v>240500</x:v>
      </x:c>
      <x:c r="E29" s="6" t="n">
        <x:f>C29-D29</x:f>
        <x:v>-189000</x:v>
      </x:c>
      <x:c r="F29" s="6" t="n">
        <x:f>F28+E29</x:f>
        <x:v>-4325500</x:v>
      </x:c>
      <x:c r="G29" s="6" t="n">
        <x:v>51500</x:v>
      </x:c>
      <x:c r="H29" s="6" t="n">
        <x:v>240500</x:v>
      </x:c>
      <x:c r="I29" s="6" t="n">
        <x:v>277</x:v>
      </x:c>
      <x:c r="J29" s="6" t="n">
        <x:v>0</x:v>
      </x:c>
      <x:c r="K29" s="6" t="n">
        <x:v>0</x:v>
      </x:c>
      <x:c r="L29" s="6" t="n">
        <x:v>1</x:v>
      </x:c>
      <x:c r="M29" s="11" t="n">
        <x:v>0.7555128205128205</x:v>
      </x:c>
      <x:c r="N29" s="6" t="n">
        <x:v>192000</x:v>
      </x:c>
    </x:row>
    <x:row r="30" ht="24" customHeight="1">
      <x:c r="A30" s="2" t="str">
        <x:v>2026-10-07_Day</x:v>
      </x:c>
      <x:c r="B30" s="6" t="str">
        <x:v>デイ</x:v>
      </x:c>
      <x:c r="C30" s="6" t="n">
        <x:v>70500</x:v>
      </x:c>
      <x:c r="D30" s="6" t="n">
        <x:v>167500</x:v>
      </x:c>
      <x:c r="E30" s="6" t="n">
        <x:f>C30-D30</x:f>
        <x:v>-97000</x:v>
      </x:c>
      <x:c r="F30" s="6" t="n">
        <x:f>F29+E30</x:f>
        <x:v>-4422500</x:v>
      </x:c>
      <x:c r="G30" s="6" t="n">
        <x:v>70500</x:v>
      </x:c>
      <x:c r="H30" s="6" t="n">
        <x:v>167500</x:v>
      </x:c>
      <x:c r="I30" s="6" t="n">
        <x:v>175</x:v>
      </x:c>
      <x:c r="J30" s="6" t="n">
        <x:v>0</x:v>
      </x:c>
      <x:c r="K30" s="6" t="n">
        <x:v>0</x:v>
      </x:c>
      <x:c r="L30" s="6" t="n">
        <x:v>1</x:v>
      </x:c>
      <x:c r="M30" s="11" t="n">
        <x:v>0.7925396825396825</x:v>
      </x:c>
      <x:c r="N30" s="6" t="n">
        <x:v>105000</x:v>
      </x:c>
    </x:row>
    <x:row r="31" ht="24" customHeight="1">
      <x:c r="A31" s="2" t="str">
        <x:v>2026-10-07_Night</x:v>
      </x:c>
      <x:c r="B31" s="6" t="str">
        <x:v>ナイト</x:v>
      </x:c>
      <x:c r="C31" s="6" t="n">
        <x:v>62000</x:v>
      </x:c>
      <x:c r="D31" s="6" t="n">
        <x:v>266000</x:v>
      </x:c>
      <x:c r="E31" s="6" t="n">
        <x:f>C31-D31</x:f>
        <x:v>-204000</x:v>
      </x:c>
      <x:c r="F31" s="6" t="n">
        <x:f>F30+E31</x:f>
        <x:v>-4626500</x:v>
      </x:c>
      <x:c r="G31" s="6" t="n">
        <x:v>62000</x:v>
      </x:c>
      <x:c r="H31" s="6" t="n">
        <x:v>266000</x:v>
      </x:c>
      <x:c r="I31" s="6" t="n">
        <x:v>271</x:v>
      </x:c>
      <x:c r="J31" s="6" t="n">
        <x:v>0</x:v>
      </x:c>
      <x:c r="K31" s="6" t="n">
        <x:v>0</x:v>
      </x:c>
      <x:c r="L31" s="6" t="n">
        <x:v>1</x:v>
      </x:c>
      <x:c r="M31" s="11" t="n">
        <x:v>0.7736324786324786</x:v>
      </x:c>
      <x:c r="N31" s="6" t="n">
        <x:v>208000</x:v>
      </x:c>
    </x:row>
    <x:row r="32" ht="24" customHeight="1">
      <x:c r="A32" s="2" t="str">
        <x:v>2026-10-08_Day</x:v>
      </x:c>
      <x:c r="B32" s="6" t="str">
        <x:v>デイ</x:v>
      </x:c>
      <x:c r="C32" s="6" t="n">
        <x:v>106000</x:v>
      </x:c>
      <x:c r="D32" s="6" t="n">
        <x:v>166500</x:v>
      </x:c>
      <x:c r="E32" s="6" t="n">
        <x:f>C32-D32</x:f>
        <x:v>-60500</x:v>
      </x:c>
      <x:c r="F32" s="6" t="n">
        <x:f>F31+E32</x:f>
        <x:v>-4687000</x:v>
      </x:c>
      <x:c r="G32" s="6" t="n">
        <x:v>106000</x:v>
      </x:c>
      <x:c r="H32" s="6" t="n">
        <x:v>166500</x:v>
      </x:c>
      <x:c r="I32" s="6" t="n">
        <x:v>191</x:v>
      </x:c>
      <x:c r="J32" s="6" t="n">
        <x:v>0</x:v>
      </x:c>
      <x:c r="K32" s="6" t="n">
        <x:v>0</x:v>
      </x:c>
      <x:c r="L32" s="6" t="n">
        <x:v>1</x:v>
      </x:c>
      <x:c r="M32" s="11" t="n">
        <x:v>0.8100793650793651</x:v>
      </x:c>
      <x:c r="N32" s="6" t="n">
        <x:v>89000</x:v>
      </x:c>
    </x:row>
    <x:row r="33" ht="24" customHeight="1">
      <x:c r="A33" s="2" t="str">
        <x:v>2026-10-08_Night</x:v>
      </x:c>
      <x:c r="B33" s="6" t="str">
        <x:v>ナイト</x:v>
      </x:c>
      <x:c r="C33" s="6" t="n">
        <x:v>117500</x:v>
      </x:c>
      <x:c r="D33" s="6" t="n">
        <x:v>334500</x:v>
      </x:c>
      <x:c r="E33" s="6" t="n">
        <x:f>C33-D33</x:f>
        <x:v>-217000</x:v>
      </x:c>
      <x:c r="F33" s="6" t="n">
        <x:f>F32+E33</x:f>
        <x:v>-4904000</x:v>
      </x:c>
      <x:c r="G33" s="6" t="n">
        <x:v>117500</x:v>
      </x:c>
      <x:c r="H33" s="6" t="n">
        <x:v>334500</x:v>
      </x:c>
      <x:c r="I33" s="6" t="n">
        <x:v>310</x:v>
      </x:c>
      <x:c r="J33" s="6" t="n">
        <x:v>0</x:v>
      </x:c>
      <x:c r="K33" s="6" t="n">
        <x:v>0</x:v>
      </x:c>
      <x:c r="L33" s="6" t="n">
        <x:v>1</x:v>
      </x:c>
      <x:c r="M33" s="11" t="n">
        <x:v>0.7961965811965812</x:v>
      </x:c>
      <x:c r="N33" s="6" t="n">
        <x:v>220500</x:v>
      </x:c>
    </x:row>
    <x:row r="34" ht="24" customHeight="1">
      <x:c r="A34" s="2" t="str">
        <x:v>2026-10-09_Day</x:v>
      </x:c>
      <x:c r="B34" s="6" t="str">
        <x:v>デイ</x:v>
      </x:c>
      <x:c r="C34" s="6" t="n">
        <x:v>81000</x:v>
      </x:c>
      <x:c r="D34" s="6" t="n">
        <x:v>243000</x:v>
      </x:c>
      <x:c r="E34" s="6" t="n">
        <x:f>C34-D34</x:f>
        <x:v>-162000</x:v>
      </x:c>
      <x:c r="F34" s="6" t="n">
        <x:f>F33+E34</x:f>
        <x:v>-5066000</x:v>
      </x:c>
      <x:c r="G34" s="6" t="n">
        <x:v>81000</x:v>
      </x:c>
      <x:c r="H34" s="6" t="n">
        <x:v>243000</x:v>
      </x:c>
      <x:c r="I34" s="6" t="n">
        <x:v>197</x:v>
      </x:c>
      <x:c r="J34" s="6" t="n">
        <x:v>0</x:v>
      </x:c>
      <x:c r="K34" s="6" t="n">
        <x:v>0</x:v>
      </x:c>
      <x:c r="L34" s="6" t="n">
        <x:v>1</x:v>
      </x:c>
      <x:c r="M34" s="11" t="n">
        <x:v>0.8080952380952381</x:v>
      </x:c>
      <x:c r="N34" s="6" t="n">
        <x:v>169000</x:v>
      </x:c>
    </x:row>
    <x:row r="35" ht="24" customHeight="1">
      <x:c r="A35" s="2" t="str">
        <x:v>2026-10-09_Night</x:v>
      </x:c>
      <x:c r="B35" s="6" t="str">
        <x:v>ナイト</x:v>
      </x:c>
      <x:c r="C35" s="6" t="n">
        <x:v>46500</x:v>
      </x:c>
      <x:c r="D35" s="6" t="n">
        <x:v>261000</x:v>
      </x:c>
      <x:c r="E35" s="6" t="n">
        <x:f>C35-D35</x:f>
        <x:v>-214500</x:v>
      </x:c>
      <x:c r="F35" s="6" t="n">
        <x:f>F34+E35</x:f>
        <x:v>-5280500</x:v>
      </x:c>
      <x:c r="G35" s="6" t="n">
        <x:v>46500</x:v>
      </x:c>
      <x:c r="H35" s="6" t="n">
        <x:v>261000</x:v>
      </x:c>
      <x:c r="I35" s="6" t="n">
        <x:v>255</x:v>
      </x:c>
      <x:c r="J35" s="6" t="n">
        <x:v>0</x:v>
      </x:c>
      <x:c r="K35" s="6" t="n">
        <x:v>0</x:v>
      </x:c>
      <x:c r="L35" s="6" t="n">
        <x:v>1</x:v>
      </x:c>
      <x:c r="M35" s="11" t="n">
        <x:v>0.7514529914529915</x:v>
      </x:c>
      <x:c r="N35" s="6" t="n">
        <x:v>217000</x:v>
      </x:c>
    </x:row>
    <x:row r="36" ht="24" customHeight="1">
      <x:c r="A36" s="2" t="str">
        <x:v>2026-10-12_Day</x:v>
      </x:c>
      <x:c r="B36" s="6" t="str">
        <x:v>デイ</x:v>
      </x:c>
      <x:c r="C36" s="6" t="n">
        <x:v>18000</x:v>
      </x:c>
      <x:c r="D36" s="6" t="n">
        <x:v>116500</x:v>
      </x:c>
      <x:c r="E36" s="6" t="n">
        <x:f>C36-D36</x:f>
        <x:v>-98500</x:v>
      </x:c>
      <x:c r="F36" s="6" t="n">
        <x:f>F35+E36</x:f>
        <x:v>-5379000</x:v>
      </x:c>
      <x:c r="G36" s="6" t="n">
        <x:v>18000</x:v>
      </x:c>
      <x:c r="H36" s="6" t="n">
        <x:v>116500</x:v>
      </x:c>
      <x:c r="I36" s="6" t="n">
        <x:v>115</x:v>
      </x:c>
      <x:c r="J36" s="6" t="n">
        <x:v>0</x:v>
      </x:c>
      <x:c r="K36" s="6" t="n">
        <x:v>0</x:v>
      </x:c>
      <x:c r="L36" s="6" t="n">
        <x:v>1</x:v>
      </x:c>
      <x:c r="M36" s="11" t="n">
        <x:v>0.7342857142857143</x:v>
      </x:c>
      <x:c r="N36" s="6" t="n">
        <x:v>98500</x:v>
      </x:c>
    </x:row>
    <x:row r="37" ht="24" customHeight="1">
      <x:c r="A37" s="2" t="str">
        <x:v>2026-10-12_Night</x:v>
      </x:c>
      <x:c r="B37" s="6" t="str">
        <x:v>ナイト</x:v>
      </x:c>
      <x:c r="C37" s="6" t="n">
        <x:v>24000</x:v>
      </x:c>
      <x:c r="D37" s="6" t="n">
        <x:v>160000</x:v>
      </x:c>
      <x:c r="E37" s="6" t="n">
        <x:f>C37-D37</x:f>
        <x:v>-136000</x:v>
      </x:c>
      <x:c r="F37" s="6" t="n">
        <x:f>F36+E37</x:f>
        <x:v>-5515000</x:v>
      </x:c>
      <x:c r="G37" s="6" t="n">
        <x:v>24000</x:v>
      </x:c>
      <x:c r="H37" s="6" t="n">
        <x:v>160000</x:v>
      </x:c>
      <x:c r="I37" s="6" t="n">
        <x:v>188</x:v>
      </x:c>
      <x:c r="J37" s="6" t="n">
        <x:v>0</x:v>
      </x:c>
      <x:c r="K37" s="6" t="n">
        <x:v>0</x:v>
      </x:c>
      <x:c r="L37" s="6" t="n">
        <x:v>1</x:v>
      </x:c>
      <x:c r="M37" s="11" t="n">
        <x:v>0.6876923076923077</x:v>
      </x:c>
      <x:c r="N37" s="6" t="n">
        <x:v>136500</x:v>
      </x:c>
    </x:row>
    <x:row r="38" ht="24" customHeight="1">
      <x:c r="A38" s="2" t="str">
        <x:v>2026-10-13_Day</x:v>
      </x:c>
      <x:c r="B38" s="6" t="str">
        <x:v>デイ</x:v>
      </x:c>
      <x:c r="C38" s="6" t="n">
        <x:v>67000</x:v>
      </x:c>
      <x:c r="D38" s="6" t="n">
        <x:v>296500</x:v>
      </x:c>
      <x:c r="E38" s="6" t="n">
        <x:f>C38-D38</x:f>
        <x:v>-229500</x:v>
      </x:c>
      <x:c r="F38" s="6" t="n">
        <x:f>F37+E38</x:f>
        <x:v>-5744500</x:v>
      </x:c>
      <x:c r="G38" s="6" t="n">
        <x:v>67000</x:v>
      </x:c>
      <x:c r="H38" s="6" t="n">
        <x:v>296500</x:v>
      </x:c>
      <x:c r="I38" s="6" t="n">
        <x:v>231</x:v>
      </x:c>
      <x:c r="J38" s="6" t="n">
        <x:v>0</x:v>
      </x:c>
      <x:c r="K38" s="6" t="n">
        <x:v>0</x:v>
      </x:c>
      <x:c r="L38" s="6" t="n">
        <x:v>1</x:v>
      </x:c>
      <x:c r="M38" s="11" t="n">
        <x:v>0.8046031746031747</x:v>
      </x:c>
      <x:c r="N38" s="6" t="n">
        <x:v>231000</x:v>
      </x:c>
    </x:row>
    <x:row r="39" ht="24" customHeight="1">
      <x:c r="A39" s="2" t="str">
        <x:v>2026-10-13_Night</x:v>
      </x:c>
      <x:c r="B39" s="6" t="str">
        <x:v>ナイト</x:v>
      </x:c>
      <x:c r="C39" s="6" t="n">
        <x:v>49000</x:v>
      </x:c>
      <x:c r="D39" s="6" t="n">
        <x:v>193500</x:v>
      </x:c>
      <x:c r="E39" s="6" t="n">
        <x:f>C39-D39</x:f>
        <x:v>-144500</x:v>
      </x:c>
      <x:c r="F39" s="6" t="n">
        <x:f>F38+E39</x:f>
        <x:v>-5889000</x:v>
      </x:c>
      <x:c r="G39" s="6" t="n">
        <x:v>49000</x:v>
      </x:c>
      <x:c r="H39" s="6" t="n">
        <x:v>193500</x:v>
      </x:c>
      <x:c r="I39" s="6" t="n">
        <x:v>224</x:v>
      </x:c>
      <x:c r="J39" s="6" t="n">
        <x:v>0</x:v>
      </x:c>
      <x:c r="K39" s="6" t="n">
        <x:v>0</x:v>
      </x:c>
      <x:c r="L39" s="6" t="n">
        <x:v>1</x:v>
      </x:c>
      <x:c r="M39" s="11" t="n">
        <x:v>0.7367094017094017</x:v>
      </x:c>
      <x:c r="N39" s="6" t="n">
        <x:v>145000</x:v>
      </x:c>
    </x:row>
    <x:row r="40" ht="24" customHeight="1">
      <x:c r="A40" s="2" t="str">
        <x:v>2026-10-14_Day</x:v>
      </x:c>
      <x:c r="B40" s="6" t="str">
        <x:v>デイ</x:v>
      </x:c>
      <x:c r="C40" s="6" t="n">
        <x:v>50500</x:v>
      </x:c>
      <x:c r="D40" s="6" t="n">
        <x:v>247500</x:v>
      </x:c>
      <x:c r="E40" s="6" t="n">
        <x:f>C40-D40</x:f>
        <x:v>-197000</x:v>
      </x:c>
      <x:c r="F40" s="6" t="n">
        <x:f>F39+E40</x:f>
        <x:v>-6086000</x:v>
      </x:c>
      <x:c r="G40" s="6" t="n">
        <x:v>50500</x:v>
      </x:c>
      <x:c r="H40" s="6" t="n">
        <x:v>247500</x:v>
      </x:c>
      <x:c r="I40" s="6" t="n">
        <x:v>203</x:v>
      </x:c>
      <x:c r="J40" s="6" t="n">
        <x:v>0</x:v>
      </x:c>
      <x:c r="K40" s="6" t="n">
        <x:v>0</x:v>
      </x:c>
      <x:c r="L40" s="6" t="n">
        <x:v>1</x:v>
      </x:c>
      <x:c r="M40" s="11" t="n">
        <x:v>0.794404761904762</x:v>
      </x:c>
      <x:c r="N40" s="6" t="n">
        <x:v>198000</x:v>
      </x:c>
    </x:row>
    <x:row r="41" ht="24" customHeight="1">
      <x:c r="A41" s="2" t="str">
        <x:v>2026-10-14_Night</x:v>
      </x:c>
      <x:c r="B41" s="6" t="str">
        <x:v>ナイト</x:v>
      </x:c>
      <x:c r="C41" s="6" t="n">
        <x:v>115500</x:v>
      </x:c>
      <x:c r="D41" s="6" t="n">
        <x:v>274000</x:v>
      </x:c>
      <x:c r="E41" s="6" t="n">
        <x:f>C41-D41</x:f>
        <x:v>-158500</x:v>
      </x:c>
      <x:c r="F41" s="6" t="n">
        <x:f>F40+E41</x:f>
        <x:v>-6244500</x:v>
      </x:c>
      <x:c r="G41" s="6" t="n">
        <x:v>115500</x:v>
      </x:c>
      <x:c r="H41" s="6" t="n">
        <x:v>274000</x:v>
      </x:c>
      <x:c r="I41" s="6" t="n">
        <x:v>272</x:v>
      </x:c>
      <x:c r="J41" s="6" t="n">
        <x:v>0</x:v>
      </x:c>
      <x:c r="K41" s="6" t="n">
        <x:v>0</x:v>
      </x:c>
      <x:c r="L41" s="6" t="n">
        <x:v>1</x:v>
      </x:c>
      <x:c r="M41" s="11" t="n">
        <x:v>0.8034188034188035</x:v>
      </x:c>
      <x:c r="N41" s="6" t="n">
        <x:v>161500</x:v>
      </x:c>
    </x:row>
    <x:row r="42" ht="24" customHeight="1">
      <x:c r="A42" s="2" t="str">
        <x:v>2026-10-15_Day</x:v>
      </x:c>
      <x:c r="B42" s="6" t="str">
        <x:v>デイ</x:v>
      </x:c>
      <x:c r="C42" s="6" t="n">
        <x:v>138500</x:v>
      </x:c>
      <x:c r="D42" s="6" t="n">
        <x:v>335000</x:v>
      </x:c>
      <x:c r="E42" s="6" t="n">
        <x:f>C42-D42</x:f>
        <x:v>-196500</x:v>
      </x:c>
      <x:c r="F42" s="6" t="n">
        <x:f>F41+E42</x:f>
        <x:v>-6441000</x:v>
      </x:c>
      <x:c r="G42" s="6" t="n">
        <x:v>138500</x:v>
      </x:c>
      <x:c r="H42" s="6" t="n">
        <x:v>335000</x:v>
      </x:c>
      <x:c r="I42" s="6" t="n">
        <x:v>239</x:v>
      </x:c>
      <x:c r="J42" s="6" t="n">
        <x:v>0</x:v>
      </x:c>
      <x:c r="K42" s="6" t="n">
        <x:v>0</x:v>
      </x:c>
      <x:c r="L42" s="6" t="n">
        <x:v>1</x:v>
      </x:c>
      <x:c r="M42" s="11" t="n">
        <x:v>0.8136507936507936</x:v>
      </x:c>
      <x:c r="N42" s="6" t="n">
        <x:v>204000</x:v>
      </x:c>
    </x:row>
    <x:row r="43" ht="24" customHeight="1">
      <x:c r="A43" s="2" t="str">
        <x:v>2026-10-15_Night</x:v>
      </x:c>
      <x:c r="B43" s="6" t="str">
        <x:v>ナイト</x:v>
      </x:c>
      <x:c r="C43" s="6" t="n">
        <x:v>115000</x:v>
      </x:c>
      <x:c r="D43" s="6" t="n">
        <x:v>343000</x:v>
      </x:c>
      <x:c r="E43" s="6" t="n">
        <x:f>C43-D43</x:f>
        <x:v>-228000</x:v>
      </x:c>
      <x:c r="F43" s="6" t="n">
        <x:f>F42+E43</x:f>
        <x:v>-6669000</x:v>
      </x:c>
      <x:c r="G43" s="6" t="n">
        <x:v>115000</x:v>
      </x:c>
      <x:c r="H43" s="6" t="n">
        <x:v>343000</x:v>
      </x:c>
      <x:c r="I43" s="6" t="n">
        <x:v>297</x:v>
      </x:c>
      <x:c r="J43" s="6" t="n">
        <x:v>0</x:v>
      </x:c>
      <x:c r="K43" s="6" t="n">
        <x:v>0</x:v>
      </x:c>
      <x:c r="L43" s="6" t="n">
        <x:v>1</x:v>
      </x:c>
      <x:c r="M43" s="11" t="n">
        <x:v>0.8223290598290598</x:v>
      </x:c>
      <x:c r="N43" s="6" t="n">
        <x:v>229000</x:v>
      </x:c>
    </x:row>
    <x:row r="44" ht="24" customHeight="1">
      <x:c r="A44" s="2" t="str">
        <x:v>2026-10-16_Day</x:v>
      </x:c>
      <x:c r="B44" s="6" t="str">
        <x:v>デイ</x:v>
      </x:c>
      <x:c r="C44" s="6" t="n">
        <x:v>91500</x:v>
      </x:c>
      <x:c r="D44" s="6" t="n">
        <x:v>284000</x:v>
      </x:c>
      <x:c r="E44" s="6" t="n">
        <x:f>C44-D44</x:f>
        <x:v>-192500</x:v>
      </x:c>
      <x:c r="F44" s="6" t="n">
        <x:f>F43+E44</x:f>
        <x:v>-6861500</x:v>
      </x:c>
      <x:c r="G44" s="6" t="n">
        <x:v>91500</x:v>
      </x:c>
      <x:c r="H44" s="6" t="n">
        <x:v>284000</x:v>
      </x:c>
      <x:c r="I44" s="6" t="n">
        <x:v>235</x:v>
      </x:c>
      <x:c r="J44" s="6" t="n">
        <x:v>0</x:v>
      </x:c>
      <x:c r="K44" s="6" t="n">
        <x:v>0</x:v>
      </x:c>
      <x:c r="L44" s="6" t="n">
        <x:v>1</x:v>
      </x:c>
      <x:c r="M44" s="11" t="n">
        <x:v>0.7944444444444444</x:v>
      </x:c>
      <x:c r="N44" s="6" t="n">
        <x:v>194500</x:v>
      </x:c>
    </x:row>
    <x:row r="45" ht="24" customHeight="1">
      <x:c r="A45" s="2" t="str">
        <x:v>2026-10-16_Night</x:v>
      </x:c>
      <x:c r="B45" s="6" t="str">
        <x:v>ナイト</x:v>
      </x:c>
      <x:c r="C45" s="6" t="n">
        <x:v>140500</x:v>
      </x:c>
      <x:c r="D45" s="6" t="n">
        <x:v>324000</x:v>
      </x:c>
      <x:c r="E45" s="6" t="n">
        <x:f>C45-D45</x:f>
        <x:v>-183500</x:v>
      </x:c>
      <x:c r="F45" s="6" t="n">
        <x:f>F44+E45</x:f>
        <x:v>-7045000</x:v>
      </x:c>
      <x:c r="G45" s="6" t="n">
        <x:v>140500</x:v>
      </x:c>
      <x:c r="H45" s="6" t="n">
        <x:v>324000</x:v>
      </x:c>
      <x:c r="I45" s="6" t="n">
        <x:v>327</x:v>
      </x:c>
      <x:c r="J45" s="6" t="n">
        <x:v>0</x:v>
      </x:c>
      <x:c r="K45" s="6" t="n">
        <x:v>0</x:v>
      </x:c>
      <x:c r="L45" s="6" t="n">
        <x:v>1</x:v>
      </x:c>
      <x:c r="M45" s="11" t="n">
        <x:v>0.8141880341880342</x:v>
      </x:c>
      <x:c r="N45" s="6" t="n">
        <x:v>186000</x:v>
      </x:c>
    </x:row>
    <x:row r="46" ht="24" customHeight="1">
      <x:c r="A46" s="2" t="str">
        <x:v>2026-10-19_Day</x:v>
      </x:c>
      <x:c r="B46" s="6" t="str">
        <x:v>デイ</x:v>
      </x:c>
      <x:c r="C46" s="6" t="n">
        <x:v>99000</x:v>
      </x:c>
      <x:c r="D46" s="6" t="n">
        <x:v>241000</x:v>
      </x:c>
      <x:c r="E46" s="6" t="n">
        <x:f>C46-D46</x:f>
        <x:v>-142000</x:v>
      </x:c>
      <x:c r="F46" s="6" t="n">
        <x:f>F45+E46</x:f>
        <x:v>-7187000</x:v>
      </x:c>
      <x:c r="G46" s="6" t="n">
        <x:v>99000</x:v>
      </x:c>
      <x:c r="H46" s="6" t="n">
        <x:v>241000</x:v>
      </x:c>
      <x:c r="I46" s="6" t="n">
        <x:v>205</x:v>
      </x:c>
      <x:c r="J46" s="6" t="n">
        <x:v>0</x:v>
      </x:c>
      <x:c r="K46" s="6" t="n">
        <x:v>0</x:v>
      </x:c>
      <x:c r="L46" s="6" t="n">
        <x:v>1</x:v>
      </x:c>
      <x:c r="M46" s="11" t="n">
        <x:v>0.8114285714285714</x:v>
      </x:c>
      <x:c r="N46" s="6" t="n">
        <x:v>159500</x:v>
      </x:c>
    </x:row>
    <x:row r="47" ht="24" customHeight="1">
      <x:c r="A47" s="2" t="str">
        <x:v>2026-10-19_Night</x:v>
      </x:c>
      <x:c r="B47" s="6" t="str">
        <x:v>ナイト</x:v>
      </x:c>
      <x:c r="C47" s="6" t="n">
        <x:v>74000</x:v>
      </x:c>
      <x:c r="D47" s="6" t="n">
        <x:v>286000</x:v>
      </x:c>
      <x:c r="E47" s="6" t="n">
        <x:f>C47-D47</x:f>
        <x:v>-212000</x:v>
      </x:c>
      <x:c r="F47" s="6" t="n">
        <x:f>F46+E47</x:f>
        <x:v>-7399000</x:v>
      </x:c>
      <x:c r="G47" s="6" t="n">
        <x:v>74000</x:v>
      </x:c>
      <x:c r="H47" s="6" t="n">
        <x:v>286000</x:v>
      </x:c>
      <x:c r="I47" s="6" t="n">
        <x:v>289</x:v>
      </x:c>
      <x:c r="J47" s="6" t="n">
        <x:v>0</x:v>
      </x:c>
      <x:c r="K47" s="6" t="n">
        <x:v>0</x:v>
      </x:c>
      <x:c r="L47" s="6" t="n">
        <x:v>1</x:v>
      </x:c>
      <x:c r="M47" s="11" t="n">
        <x:v>0.778931623931624</x:v>
      </x:c>
      <x:c r="N47" s="6" t="n">
        <x:v>214000</x:v>
      </x:c>
    </x:row>
    <x:row r="48" ht="24" customHeight="1">
      <x:c r="A48" s="2" t="str">
        <x:v>2026-10-20_Day</x:v>
      </x:c>
      <x:c r="B48" s="6" t="str">
        <x:v>デイ</x:v>
      </x:c>
      <x:c r="C48" s="6" t="n">
        <x:v>97000</x:v>
      </x:c>
      <x:c r="D48" s="6" t="n">
        <x:v>234000</x:v>
      </x:c>
      <x:c r="E48" s="6" t="n">
        <x:f>C48-D48</x:f>
        <x:v>-137000</x:v>
      </x:c>
      <x:c r="F48" s="6" t="n">
        <x:f>F47+E48</x:f>
        <x:v>-7536000</x:v>
      </x:c>
      <x:c r="G48" s="6" t="n">
        <x:v>97000</x:v>
      </x:c>
      <x:c r="H48" s="6" t="n">
        <x:v>234000</x:v>
      </x:c>
      <x:c r="I48" s="6" t="n">
        <x:v>203</x:v>
      </x:c>
      <x:c r="J48" s="6" t="n">
        <x:v>0</x:v>
      </x:c>
      <x:c r="K48" s="6" t="n">
        <x:v>0</x:v>
      </x:c>
      <x:c r="L48" s="6" t="n">
        <x:v>1</x:v>
      </x:c>
      <x:c r="M48" s="11" t="n">
        <x:v>0.8344444444444444</x:v>
      </x:c>
      <x:c r="N48" s="6" t="n">
        <x:v>139500</x:v>
      </x:c>
    </x:row>
    <x:row r="49" ht="24" customHeight="1">
      <x:c r="A49" s="2" t="str">
        <x:v>2026-10-20_Night</x:v>
      </x:c>
      <x:c r="B49" s="6" t="str">
        <x:v>ナイト</x:v>
      </x:c>
      <x:c r="C49" s="6" t="n">
        <x:v>114500</x:v>
      </x:c>
      <x:c r="D49" s="6" t="n">
        <x:v>261500</x:v>
      </x:c>
      <x:c r="E49" s="6" t="n">
        <x:f>C49-D49</x:f>
        <x:v>-147000</x:v>
      </x:c>
      <x:c r="F49" s="6" t="n">
        <x:f>F48+E49</x:f>
        <x:v>-7683000</x:v>
      </x:c>
      <x:c r="G49" s="6" t="n">
        <x:v>114500</x:v>
      </x:c>
      <x:c r="H49" s="6" t="n">
        <x:v>261500</x:v>
      </x:c>
      <x:c r="I49" s="6" t="n">
        <x:v>281</x:v>
      </x:c>
      <x:c r="J49" s="6" t="n">
        <x:v>0</x:v>
      </x:c>
      <x:c r="K49" s="6" t="n">
        <x:v>0</x:v>
      </x:c>
      <x:c r="L49" s="6" t="n">
        <x:v>1</x:v>
      </x:c>
      <x:c r="M49" s="11" t="n">
        <x:v>0.7959615384615385</x:v>
      </x:c>
      <x:c r="N49" s="6" t="n">
        <x:v>149500</x:v>
      </x:c>
    </x:row>
    <x:row r="50" ht="24" customHeight="1">
      <x:c r="A50" s="2" t="str">
        <x:v>2026-10-21_Day</x:v>
      </x:c>
      <x:c r="B50" s="6" t="str">
        <x:v>デイ</x:v>
      </x:c>
      <x:c r="C50" s="6" t="n">
        <x:v>62000</x:v>
      </x:c>
      <x:c r="D50" s="6" t="n">
        <x:v>240500</x:v>
      </x:c>
      <x:c r="E50" s="6" t="n">
        <x:f>C50-D50</x:f>
        <x:v>-178500</x:v>
      </x:c>
      <x:c r="F50" s="6" t="n">
        <x:f>F49+E50</x:f>
        <x:v>-7861500</x:v>
      </x:c>
      <x:c r="G50" s="6" t="n">
        <x:v>62000</x:v>
      </x:c>
      <x:c r="H50" s="6" t="n">
        <x:v>240500</x:v>
      </x:c>
      <x:c r="I50" s="6" t="n">
        <x:v>197</x:v>
      </x:c>
      <x:c r="J50" s="6" t="n">
        <x:v>0</x:v>
      </x:c>
      <x:c r="K50" s="6" t="n">
        <x:v>0</x:v>
      </x:c>
      <x:c r="L50" s="6" t="n">
        <x:v>1</x:v>
      </x:c>
      <x:c r="M50" s="11" t="n">
        <x:v>0.803968253968254</x:v>
      </x:c>
      <x:c r="N50" s="6" t="n">
        <x:v>183500</x:v>
      </x:c>
    </x:row>
    <x:row r="51" ht="24" customHeight="1">
      <x:c r="A51" s="2" t="str">
        <x:v>2026-10-21_Night</x:v>
      </x:c>
      <x:c r="B51" s="6" t="str">
        <x:v>ナイト</x:v>
      </x:c>
      <x:c r="C51" s="6" t="n">
        <x:v>99000</x:v>
      </x:c>
      <x:c r="D51" s="6" t="n">
        <x:v>243500</x:v>
      </x:c>
      <x:c r="E51" s="6" t="n">
        <x:f>C51-D51</x:f>
        <x:v>-144500</x:v>
      </x:c>
      <x:c r="F51" s="6" t="n">
        <x:f>F50+E51</x:f>
        <x:v>-8006000</x:v>
      </x:c>
      <x:c r="G51" s="6" t="n">
        <x:v>99000</x:v>
      </x:c>
      <x:c r="H51" s="6" t="n">
        <x:v>243500</x:v>
      </x:c>
      <x:c r="I51" s="6" t="n">
        <x:v>266</x:v>
      </x:c>
      <x:c r="J51" s="6" t="n">
        <x:v>0</x:v>
      </x:c>
      <x:c r="K51" s="6" t="n">
        <x:v>0</x:v>
      </x:c>
      <x:c r="L51" s="6" t="n">
        <x:v>1</x:v>
      </x:c>
      <x:c r="M51" s="11" t="n">
        <x:v>0.788525641025641</x:v>
      </x:c>
      <x:c r="N51" s="6" t="n">
        <x:v>146500</x:v>
      </x:c>
    </x:row>
    <x:row r="52" ht="24" customHeight="1">
      <x:c r="A52" s="2" t="str">
        <x:v>2026-10-22_Day</x:v>
      </x:c>
      <x:c r="B52" s="6" t="str">
        <x:v>デイ</x:v>
      </x:c>
      <x:c r="C52" s="6" t="n">
        <x:v>122500</x:v>
      </x:c>
      <x:c r="D52" s="6" t="n">
        <x:v>215000</x:v>
      </x:c>
      <x:c r="E52" s="6" t="n">
        <x:f>C52-D52</x:f>
        <x:v>-92500</x:v>
      </x:c>
      <x:c r="F52" s="6" t="n">
        <x:f>F51+E52</x:f>
        <x:v>-8098500</x:v>
      </x:c>
      <x:c r="G52" s="6" t="n">
        <x:v>122500</x:v>
      </x:c>
      <x:c r="H52" s="6" t="n">
        <x:v>215000</x:v>
      </x:c>
      <x:c r="I52" s="6" t="n">
        <x:v>208</x:v>
      </x:c>
      <x:c r="J52" s="6" t="n">
        <x:v>0</x:v>
      </x:c>
      <x:c r="K52" s="6" t="n">
        <x:v>0</x:v>
      </x:c>
      <x:c r="L52" s="6" t="n">
        <x:v>1</x:v>
      </x:c>
      <x:c r="M52" s="11" t="n">
        <x:v>0.8274206349206349</x:v>
      </x:c>
      <x:c r="N52" s="6" t="n">
        <x:v>115500</x:v>
      </x:c>
    </x:row>
    <x:row r="53" ht="24" customHeight="1">
      <x:c r="A53" s="2" t="str">
        <x:v>2026-10-22_Night</x:v>
      </x:c>
      <x:c r="B53" s="6" t="str">
        <x:v>ナイト</x:v>
      </x:c>
      <x:c r="C53" s="6" t="n">
        <x:v>133000</x:v>
      </x:c>
      <x:c r="D53" s="6" t="n">
        <x:v>299000</x:v>
      </x:c>
      <x:c r="E53" s="6" t="n">
        <x:f>C53-D53</x:f>
        <x:v>-166000</x:v>
      </x:c>
      <x:c r="F53" s="6" t="n">
        <x:f>F52+E53</x:f>
        <x:v>-8264500</x:v>
      </x:c>
      <x:c r="G53" s="6" t="n">
        <x:v>133000</x:v>
      </x:c>
      <x:c r="H53" s="6" t="n">
        <x:v>299000</x:v>
      </x:c>
      <x:c r="I53" s="6" t="n">
        <x:v>308</x:v>
      </x:c>
      <x:c r="J53" s="6" t="n">
        <x:v>0</x:v>
      </x:c>
      <x:c r="K53" s="6" t="n">
        <x:v>0</x:v>
      </x:c>
      <x:c r="L53" s="6" t="n">
        <x:v>1</x:v>
      </x:c>
      <x:c r="M53" s="11" t="n">
        <x:v>0.8151068376068376</x:v>
      </x:c>
      <x:c r="N53" s="6" t="n">
        <x:v>168500</x:v>
      </x:c>
    </x:row>
    <x:row r="54" ht="24" customHeight="1">
      <x:c r="A54" s="2" t="str">
        <x:v>2026-10-23_Day</x:v>
      </x:c>
      <x:c r="B54" s="6" t="str">
        <x:v>デイ</x:v>
      </x:c>
      <x:c r="C54" s="6" t="n">
        <x:v>227500</x:v>
      </x:c>
      <x:c r="D54" s="6" t="n">
        <x:v>326000</x:v>
      </x:c>
      <x:c r="E54" s="6" t="n">
        <x:f>C54-D54</x:f>
        <x:v>-98500</x:v>
      </x:c>
      <x:c r="F54" s="6" t="n">
        <x:f>F53+E54</x:f>
        <x:v>-8363000</x:v>
      </x:c>
      <x:c r="G54" s="6" t="n">
        <x:v>227500</x:v>
      </x:c>
      <x:c r="H54" s="6" t="n">
        <x:v>326000</x:v>
      </x:c>
      <x:c r="I54" s="6" t="n">
        <x:v>256</x:v>
      </x:c>
      <x:c r="J54" s="6" t="n">
        <x:v>0</x:v>
      </x:c>
      <x:c r="K54" s="6" t="n">
        <x:v>0</x:v>
      </x:c>
      <x:c r="L54" s="6" t="n">
        <x:v>1</x:v>
      </x:c>
      <x:c r="M54" s="11" t="n">
        <x:v>0.8198412698412698</x:v>
      </x:c>
      <x:c r="N54" s="6" t="n">
        <x:v>102500</x:v>
      </x:c>
    </x:row>
    <x:row r="55" ht="24" customHeight="1">
      <x:c r="A55" s="2" t="str">
        <x:v>2026-10-23_Night</x:v>
      </x:c>
      <x:c r="B55" s="6" t="str">
        <x:v>ナイト</x:v>
      </x:c>
      <x:c r="C55" s="6" t="n">
        <x:v>109500</x:v>
      </x:c>
      <x:c r="D55" s="6" t="n">
        <x:v>354000</x:v>
      </x:c>
      <x:c r="E55" s="6" t="n">
        <x:f>C55-D55</x:f>
        <x:v>-244500</x:v>
      </x:c>
      <x:c r="F55" s="6" t="n">
        <x:f>F54+E55</x:f>
        <x:v>-8607500</x:v>
      </x:c>
      <x:c r="G55" s="6" t="n">
        <x:v>109500</x:v>
      </x:c>
      <x:c r="H55" s="6" t="n">
        <x:v>354000</x:v>
      </x:c>
      <x:c r="I55" s="6" t="n">
        <x:v>328</x:v>
      </x:c>
      <x:c r="J55" s="6" t="n">
        <x:v>0</x:v>
      </x:c>
      <x:c r="K55" s="6" t="n">
        <x:v>0</x:v>
      </x:c>
      <x:c r="L55" s="6" t="n">
        <x:v>1</x:v>
      </x:c>
      <x:c r="M55" s="11" t="n">
        <x:v>0.7939957264957265</x:v>
      </x:c>
      <x:c r="N55" s="6" t="n">
        <x:v>249000</x:v>
      </x:c>
    </x:row>
    <x:row r="56" ht="24" customHeight="1">
      <x:c r="A56" s="2" t="str">
        <x:v>2026-10-26_Day</x:v>
      </x:c>
      <x:c r="B56" s="6" t="str">
        <x:v>デイ</x:v>
      </x:c>
      <x:c r="C56" s="6" t="n">
        <x:v>103500</x:v>
      </x:c>
      <x:c r="D56" s="6" t="n">
        <x:v>279500</x:v>
      </x:c>
      <x:c r="E56" s="6" t="n">
        <x:f>C56-D56</x:f>
        <x:v>-176000</x:v>
      </x:c>
      <x:c r="F56" s="6" t="n">
        <x:f>F55+E56</x:f>
        <x:v>-8783500</x:v>
      </x:c>
      <x:c r="G56" s="6" t="n">
        <x:v>103500</x:v>
      </x:c>
      <x:c r="H56" s="6" t="n">
        <x:v>279500</x:v>
      </x:c>
      <x:c r="I56" s="6" t="n">
        <x:v>224</x:v>
      </x:c>
      <x:c r="J56" s="6" t="n">
        <x:v>0</x:v>
      </x:c>
      <x:c r="K56" s="6" t="n">
        <x:v>0</x:v>
      </x:c>
      <x:c r="L56" s="6" t="n">
        <x:v>1</x:v>
      </x:c>
      <x:c r="M56" s="11" t="n">
        <x:v>0.8161111111111111</x:v>
      </x:c>
      <x:c r="N56" s="6" t="n">
        <x:v>177000</x:v>
      </x:c>
    </x:row>
    <x:row r="57" ht="24" customHeight="1">
      <x:c r="A57" s="15" t="str">
        <x:v>累計／平均／最大</x:v>
      </x:c>
      <x:c r="B57" s="16"/>
      <x:c r="C57" s="16" t="n">
        <x:f>SUM(C6:C56)</x:f>
        <x:v>4515500</x:v>
      </x:c>
      <x:c r="D57" s="16" t="n">
        <x:f>SUM(D6:D56)</x:f>
        <x:v>13299000</x:v>
      </x:c>
      <x:c r="E57" s="16" t="n">
        <x:f>C57-D57</x:f>
        <x:v>-8783500</x:v>
      </x:c>
      <x:c r="F57" s="16" t="n">
        <x:f>F56</x:f>
        <x:v>-8783500</x:v>
      </x:c>
      <x:c r="G57" s="16" t="n">
        <x:f>SUM(G6:G56)</x:f>
        <x:v>4515500</x:v>
      </x:c>
      <x:c r="H57" s="16" t="n">
        <x:f>SUM(H6:H56)</x:f>
        <x:v>13299000</x:v>
      </x:c>
      <x:c r="I57" s="16" t="n">
        <x:f>SUM(I6:I56)</x:f>
        <x:v>12140</x:v>
      </x:c>
      <x:c r="J57" s="16" t="n">
        <x:f>SUM(J6:J56)</x:f>
        <x:v>0</x:v>
      </x:c>
      <x:c r="K57" s="16" t="n">
        <x:f>SUM(K6:K56)</x:f>
        <x:v>0</x:v>
      </x:c>
      <x:c r="L57" s="16" t="n">
        <x:f>MAX(L6:L56)</x:f>
        <x:v>1</x:v>
      </x:c>
      <x:c r="M57" s="17" t="n">
        <x:f>AVERAGE(M6:M56)</x:f>
        <x:v>0.7916445210562861</x:v>
      </x:c>
      <x:c r="N57" s="16" t="n">
        <x:f>MAX(N6:N56)</x:f>
        <x:v>280500</x:v>
      </x:c>
    </x:row>
  </x:sheetData>
  <x:conditionalFormatting sqref="E6:F56">
    <x:cfRule type="cellIs" dxfId="66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d8e8defa09e42d0"/>
  </x:tableParts>
</x:worksheet>
</file>

<file path=xl/worksheets/sheet6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1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4" customHeight="1">
      <x:c r="A1" s="3" t="str">
        <x:v>TOPIX F10　各セッションの利益・損失・収支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A2" s="4" t="str">
        <x:v>2026/09/21〜10/26デイ・51完了場。日経mini／TOPIXmini各上限10枚・手数料0。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4" customHeight="1">
      <x:c r="A3" s="4" t="str">
        <x:v>180秒の時間加重平均を30秒前と比較。固定10枚、利益追尾＋傾き反転・増勢後の半減で返済。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4" customHeight="1">
      <x:c r="A4" s="4" t="str">
        <x:v>利益・損失＝FIFO返済配賦別。親＝初回から全返済まで。ラージ気配による模型で、mini実約定の検証ではありません。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42" customHeight="1">
      <x:c r="A5" s="10" t="str">
        <x:v>セッション</x:v>
      </x:c>
      <x:c r="B5" s="10" t="str">
        <x:v>区分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親利益（円）</x:v>
      </x:c>
      <x:c r="H5" s="10" t="str">
        <x:v>親損失（円）</x:v>
      </x:c>
      <x:c r="I5" s="10" t="str">
        <x:v>初回件数</x:v>
      </x:c>
      <x:c r="J5" s="10" t="str">
        <x:v>追加件数</x:v>
      </x:c>
      <x:c r="K5" s="10" t="str">
        <x:v>縮小件数</x:v>
      </x:c>
      <x:c r="L5" s="10" t="str">
        <x:v>最大保有枚数</x:v>
      </x:c>
      <x:c r="M5" s="10" t="str">
        <x:v>保有時間率</x:v>
      </x:c>
      <x:c r="N5" s="10" t="str">
        <x:v>時価最大DD（円）</x:v>
      </x:c>
    </x:row>
    <x:row r="6" ht="24" customHeight="1">
      <x:c r="A6" s="2" t="str">
        <x:v>2026-09-21_Day</x:v>
      </x:c>
      <x:c r="B6" s="6" t="str">
        <x:v>デイ</x:v>
      </x:c>
      <x:c r="C6" s="6" t="n">
        <x:v>360000</x:v>
      </x:c>
      <x:c r="D6" s="6" t="n">
        <x:v>1290000</x:v>
      </x:c>
      <x:c r="E6" s="6" t="n">
        <x:f>C6-D6</x:f>
        <x:v>-930000</x:v>
      </x:c>
      <x:c r="F6" s="6" t="n">
        <x:f>E6</x:f>
        <x:v>-930000</x:v>
      </x:c>
      <x:c r="G6" s="6" t="n">
        <x:v>360000</x:v>
      </x:c>
      <x:c r="H6" s="6" t="n">
        <x:v>1290000</x:v>
      </x:c>
      <x:c r="I6" s="6" t="n">
        <x:v>112</x:v>
      </x:c>
      <x:c r="J6" s="6" t="n">
        <x:v>0</x:v>
      </x:c>
      <x:c r="K6" s="6" t="n">
        <x:v>0</x:v>
      </x:c>
      <x:c r="L6" s="6" t="n">
        <x:v>10</x:v>
      </x:c>
      <x:c r="M6" s="11" t="n">
        <x:v>0.7101190476190476</x:v>
      </x:c>
      <x:c r="N6" s="6" t="n">
        <x:v>945000</x:v>
      </x:c>
    </x:row>
    <x:row r="7" ht="24" customHeight="1">
      <x:c r="A7" s="2" t="str">
        <x:v>2026-09-21_Night</x:v>
      </x:c>
      <x:c r="B7" s="6" t="str">
        <x:v>ナイト</x:v>
      </x:c>
      <x:c r="C7" s="6" t="n">
        <x:v>400000</x:v>
      </x:c>
      <x:c r="D7" s="6" t="n">
        <x:v>2000000</x:v>
      </x:c>
      <x:c r="E7" s="6" t="n">
        <x:f>C7-D7</x:f>
        <x:v>-1600000</x:v>
      </x:c>
      <x:c r="F7" s="6" t="n">
        <x:f>F6+E7</x:f>
        <x:v>-2530000</x:v>
      </x:c>
      <x:c r="G7" s="6" t="n">
        <x:v>400000</x:v>
      </x:c>
      <x:c r="H7" s="6" t="n">
        <x:v>2000000</x:v>
      </x:c>
      <x:c r="I7" s="6" t="n">
        <x:v>202</x:v>
      </x:c>
      <x:c r="J7" s="6" t="n">
        <x:v>0</x:v>
      </x:c>
      <x:c r="K7" s="6" t="n">
        <x:v>0</x:v>
      </x:c>
      <x:c r="L7" s="6" t="n">
        <x:v>10</x:v>
      </x:c>
      <x:c r="M7" s="11" t="n">
        <x:v>0.7226709401709401</x:v>
      </x:c>
      <x:c r="N7" s="6" t="n">
        <x:v>1645000</x:v>
      </x:c>
    </x:row>
    <x:row r="8" ht="24" customHeight="1">
      <x:c r="A8" s="2" t="str">
        <x:v>2026-09-22_Day</x:v>
      </x:c>
      <x:c r="B8" s="6" t="str">
        <x:v>デイ</x:v>
      </x:c>
      <x:c r="C8" s="6" t="n">
        <x:v>265000</x:v>
      </x:c>
      <x:c r="D8" s="6" t="n">
        <x:v>1925000</x:v>
      </x:c>
      <x:c r="E8" s="6" t="n">
        <x:f>C8-D8</x:f>
        <x:v>-1660000</x:v>
      </x:c>
      <x:c r="F8" s="6" t="n">
        <x:f>F7+E8</x:f>
        <x:v>-4190000</x:v>
      </x:c>
      <x:c r="G8" s="6" t="n">
        <x:v>265000</x:v>
      </x:c>
      <x:c r="H8" s="6" t="n">
        <x:v>1925000</x:v>
      </x:c>
      <x:c r="I8" s="6" t="n">
        <x:v>151</x:v>
      </x:c>
      <x:c r="J8" s="6" t="n">
        <x:v>0</x:v>
      </x:c>
      <x:c r="K8" s="6" t="n">
        <x:v>0</x:v>
      </x:c>
      <x:c r="L8" s="6" t="n">
        <x:v>10</x:v>
      </x:c>
      <x:c r="M8" s="11" t="n">
        <x:v>0.775079365079365</x:v>
      </x:c>
      <x:c r="N8" s="6" t="n">
        <x:v>1705000</x:v>
      </x:c>
    </x:row>
    <x:row r="9" ht="24" customHeight="1">
      <x:c r="A9" s="2" t="str">
        <x:v>2026-09-22_Night</x:v>
      </x:c>
      <x:c r="B9" s="6" t="str">
        <x:v>ナイト</x:v>
      </x:c>
      <x:c r="C9" s="6" t="n">
        <x:v>985000</x:v>
      </x:c>
      <x:c r="D9" s="6" t="n">
        <x:v>2665000</x:v>
      </x:c>
      <x:c r="E9" s="6" t="n">
        <x:f>C9-D9</x:f>
        <x:v>-1680000</x:v>
      </x:c>
      <x:c r="F9" s="6" t="n">
        <x:f>F8+E9</x:f>
        <x:v>-5870000</x:v>
      </x:c>
      <x:c r="G9" s="6" t="n">
        <x:v>985000</x:v>
      </x:c>
      <x:c r="H9" s="6" t="n">
        <x:v>2665000</x:v>
      </x:c>
      <x:c r="I9" s="6" t="n">
        <x:v>233</x:v>
      </x:c>
      <x:c r="J9" s="6" t="n">
        <x:v>0</x:v>
      </x:c>
      <x:c r="K9" s="6" t="n">
        <x:v>0</x:v>
      </x:c>
      <x:c r="L9" s="6" t="n">
        <x:v>10</x:v>
      </x:c>
      <x:c r="M9" s="11" t="n">
        <x:v>0.8132905982905982</x:v>
      </x:c>
      <x:c r="N9" s="6" t="n">
        <x:v>1785000</x:v>
      </x:c>
    </x:row>
    <x:row r="10" ht="24" customHeight="1">
      <x:c r="A10" s="2" t="str">
        <x:v>2026-09-23_Day</x:v>
      </x:c>
      <x:c r="B10" s="6" t="str">
        <x:v>デイ</x:v>
      </x:c>
      <x:c r="C10" s="6" t="n">
        <x:v>420000</x:v>
      </x:c>
      <x:c r="D10" s="6" t="n">
        <x:v>1350000</x:v>
      </x:c>
      <x:c r="E10" s="6" t="n">
        <x:f>C10-D10</x:f>
        <x:v>-930000</x:v>
      </x:c>
      <x:c r="F10" s="6" t="n">
        <x:f>F9+E10</x:f>
        <x:v>-6800000</x:v>
      </x:c>
      <x:c r="G10" s="6" t="n">
        <x:v>420000</x:v>
      </x:c>
      <x:c r="H10" s="6" t="n">
        <x:v>1350000</x:v>
      </x:c>
      <x:c r="I10" s="6" t="n">
        <x:v>126</x:v>
      </x:c>
      <x:c r="J10" s="6" t="n">
        <x:v>0</x:v>
      </x:c>
      <x:c r="K10" s="6" t="n">
        <x:v>0</x:v>
      </x:c>
      <x:c r="L10" s="6" t="n">
        <x:v>10</x:v>
      </x:c>
      <x:c r="M10" s="11" t="n">
        <x:v>0.7505952380952381</x:v>
      </x:c>
      <x:c r="N10" s="6" t="n">
        <x:v>1060000</x:v>
      </x:c>
    </x:row>
    <x:row r="11" ht="24" customHeight="1">
      <x:c r="A11" s="2" t="str">
        <x:v>2026-09-23_Night</x:v>
      </x:c>
      <x:c r="B11" s="6" t="str">
        <x:v>ナイト</x:v>
      </x:c>
      <x:c r="C11" s="6" t="n">
        <x:v>475000</x:v>
      </x:c>
      <x:c r="D11" s="6" t="n">
        <x:v>2445000</x:v>
      </x:c>
      <x:c r="E11" s="6" t="n">
        <x:f>C11-D11</x:f>
        <x:v>-1970000</x:v>
      </x:c>
      <x:c r="F11" s="6" t="n">
        <x:f>F10+E11</x:f>
        <x:v>-8770000</x:v>
      </x:c>
      <x:c r="G11" s="6" t="n">
        <x:v>475000</x:v>
      </x:c>
      <x:c r="H11" s="6" t="n">
        <x:v>2445000</x:v>
      </x:c>
      <x:c r="I11" s="6" t="n">
        <x:v>228</x:v>
      </x:c>
      <x:c r="J11" s="6" t="n">
        <x:v>0</x:v>
      </x:c>
      <x:c r="K11" s="6" t="n">
        <x:v>0</x:v>
      </x:c>
      <x:c r="L11" s="6" t="n">
        <x:v>10</x:v>
      </x:c>
      <x:c r="M11" s="11" t="n">
        <x:v>0.735897435897436</x:v>
      </x:c>
      <x:c r="N11" s="6" t="n">
        <x:v>1980000</x:v>
      </x:c>
    </x:row>
    <x:row r="12" ht="24" customHeight="1">
      <x:c r="A12" s="2" t="str">
        <x:v>2026-09-24_Day</x:v>
      </x:c>
      <x:c r="B12" s="6" t="str">
        <x:v>デイ</x:v>
      </x:c>
      <x:c r="C12" s="6" t="n">
        <x:v>1270000</x:v>
      </x:c>
      <x:c r="D12" s="6" t="n">
        <x:v>2575000</x:v>
      </x:c>
      <x:c r="E12" s="6" t="n">
        <x:f>C12-D12</x:f>
        <x:v>-1305000</x:v>
      </x:c>
      <x:c r="F12" s="6" t="n">
        <x:f>F11+E12</x:f>
        <x:v>-10075000</x:v>
      </x:c>
      <x:c r="G12" s="6" t="n">
        <x:v>1270000</x:v>
      </x:c>
      <x:c r="H12" s="6" t="n">
        <x:v>2575000</x:v>
      </x:c>
      <x:c r="I12" s="6" t="n">
        <x:v>218</x:v>
      </x:c>
      <x:c r="J12" s="6" t="n">
        <x:v>0</x:v>
      </x:c>
      <x:c r="K12" s="6" t="n">
        <x:v>0</x:v>
      </x:c>
      <x:c r="L12" s="6" t="n">
        <x:v>10</x:v>
      </x:c>
      <x:c r="M12" s="11" t="n">
        <x:v>0.8154365079365079</x:v>
      </x:c>
      <x:c r="N12" s="6" t="n">
        <x:v>1360000</x:v>
      </x:c>
    </x:row>
    <x:row r="13" ht="24" customHeight="1">
      <x:c r="A13" s="2" t="str">
        <x:v>2026-09-24_Night</x:v>
      </x:c>
      <x:c r="B13" s="6" t="str">
        <x:v>ナイト</x:v>
      </x:c>
      <x:c r="C13" s="6" t="n">
        <x:v>1150000</x:v>
      </x:c>
      <x:c r="D13" s="6" t="n">
        <x:v>3260000</x:v>
      </x:c>
      <x:c r="E13" s="6" t="n">
        <x:f>C13-D13</x:f>
        <x:v>-2110000</x:v>
      </x:c>
      <x:c r="F13" s="6" t="n">
        <x:f>F12+E13</x:f>
        <x:v>-12185000</x:v>
      </x:c>
      <x:c r="G13" s="6" t="n">
        <x:v>1150000</x:v>
      </x:c>
      <x:c r="H13" s="6" t="n">
        <x:v>3260000</x:v>
      </x:c>
      <x:c r="I13" s="6" t="n">
        <x:v>299</x:v>
      </x:c>
      <x:c r="J13" s="6" t="n">
        <x:v>0</x:v>
      </x:c>
      <x:c r="K13" s="6" t="n">
        <x:v>0</x:v>
      </x:c>
      <x:c r="L13" s="6" t="n">
        <x:v>10</x:v>
      </x:c>
      <x:c r="M13" s="11" t="n">
        <x:v>0.8064316239316239</x:v>
      </x:c>
      <x:c r="N13" s="6" t="n">
        <x:v>2215000</x:v>
      </x:c>
    </x:row>
    <x:row r="14" ht="24" customHeight="1">
      <x:c r="A14" s="2" t="str">
        <x:v>2026-09-25_Day</x:v>
      </x:c>
      <x:c r="B14" s="6" t="str">
        <x:v>デイ</x:v>
      </x:c>
      <x:c r="C14" s="6" t="n">
        <x:v>975000</x:v>
      </x:c>
      <x:c r="D14" s="6" t="n">
        <x:v>2655000</x:v>
      </x:c>
      <x:c r="E14" s="6" t="n">
        <x:f>C14-D14</x:f>
        <x:v>-1680000</x:v>
      </x:c>
      <x:c r="F14" s="6" t="n">
        <x:f>F13+E14</x:f>
        <x:v>-13865000</x:v>
      </x:c>
      <x:c r="G14" s="6" t="n">
        <x:v>975000</x:v>
      </x:c>
      <x:c r="H14" s="6" t="n">
        <x:v>2655000</x:v>
      </x:c>
      <x:c r="I14" s="6" t="n">
        <x:v>220</x:v>
      </x:c>
      <x:c r="J14" s="6" t="n">
        <x:v>0</x:v>
      </x:c>
      <x:c r="K14" s="6" t="n">
        <x:v>0</x:v>
      </x:c>
      <x:c r="L14" s="6" t="n">
        <x:v>10</x:v>
      </x:c>
      <x:c r="M14" s="11" t="n">
        <x:v>0.8145634920634921</x:v>
      </x:c>
      <x:c r="N14" s="6" t="n">
        <x:v>1685000</x:v>
      </x:c>
    </x:row>
    <x:row r="15" ht="24" customHeight="1">
      <x:c r="A15" s="2" t="str">
        <x:v>2026-09-25_Night</x:v>
      </x:c>
      <x:c r="B15" s="6" t="str">
        <x:v>ナイト</x:v>
      </x:c>
      <x:c r="C15" s="6" t="n">
        <x:v>875000</x:v>
      </x:c>
      <x:c r="D15" s="6" t="n">
        <x:v>2665000</x:v>
      </x:c>
      <x:c r="E15" s="6" t="n">
        <x:f>C15-D15</x:f>
        <x:v>-1790000</x:v>
      </x:c>
      <x:c r="F15" s="6" t="n">
        <x:f>F14+E15</x:f>
        <x:v>-15655000</x:v>
      </x:c>
      <x:c r="G15" s="6" t="n">
        <x:v>875000</x:v>
      </x:c>
      <x:c r="H15" s="6" t="n">
        <x:v>2665000</x:v>
      </x:c>
      <x:c r="I15" s="6" t="n">
        <x:v>261</x:v>
      </x:c>
      <x:c r="J15" s="6" t="n">
        <x:v>0</x:v>
      </x:c>
      <x:c r="K15" s="6" t="n">
        <x:v>0</x:v>
      </x:c>
      <x:c r="L15" s="6" t="n">
        <x:v>10</x:v>
      </x:c>
      <x:c r="M15" s="11" t="n">
        <x:v>0.7812606837606838</x:v>
      </x:c>
      <x:c r="N15" s="6" t="n">
        <x:v>1885000</x:v>
      </x:c>
    </x:row>
    <x:row r="16" ht="24" customHeight="1">
      <x:c r="A16" s="2" t="str">
        <x:v>2026-09-28_Day</x:v>
      </x:c>
      <x:c r="B16" s="6" t="str">
        <x:v>デイ</x:v>
      </x:c>
      <x:c r="C16" s="6" t="n">
        <x:v>740000</x:v>
      </x:c>
      <x:c r="D16" s="6" t="n">
        <x:v>2715000</x:v>
      </x:c>
      <x:c r="E16" s="6" t="n">
        <x:f>C16-D16</x:f>
        <x:v>-1975000</x:v>
      </x:c>
      <x:c r="F16" s="6" t="n">
        <x:f>F15+E16</x:f>
        <x:v>-17630000</x:v>
      </x:c>
      <x:c r="G16" s="6" t="n">
        <x:v>740000</x:v>
      </x:c>
      <x:c r="H16" s="6" t="n">
        <x:v>2715000</x:v>
      </x:c>
      <x:c r="I16" s="6" t="n">
        <x:v>227</x:v>
      </x:c>
      <x:c r="J16" s="6" t="n">
        <x:v>0</x:v>
      </x:c>
      <x:c r="K16" s="6" t="n">
        <x:v>0</x:v>
      </x:c>
      <x:c r="L16" s="6" t="n">
        <x:v>10</x:v>
      </x:c>
      <x:c r="M16" s="11" t="n">
        <x:v>0.7949603174603175</x:v>
      </x:c>
      <x:c r="N16" s="6" t="n">
        <x:v>2130000</x:v>
      </x:c>
    </x:row>
    <x:row r="17" ht="24" customHeight="1">
      <x:c r="A17" s="2" t="str">
        <x:v>2026-09-28_Night</x:v>
      </x:c>
      <x:c r="B17" s="6" t="str">
        <x:v>ナイト</x:v>
      </x:c>
      <x:c r="C17" s="6" t="n">
        <x:v>1045000</x:v>
      </x:c>
      <x:c r="D17" s="6" t="n">
        <x:v>3205000</x:v>
      </x:c>
      <x:c r="E17" s="6" t="n">
        <x:f>C17-D17</x:f>
        <x:v>-2160000</x:v>
      </x:c>
      <x:c r="F17" s="6" t="n">
        <x:f>F16+E17</x:f>
        <x:v>-19790000</x:v>
      </x:c>
      <x:c r="G17" s="6" t="n">
        <x:v>1045000</x:v>
      </x:c>
      <x:c r="H17" s="6" t="n">
        <x:v>3205000</x:v>
      </x:c>
      <x:c r="I17" s="6" t="n">
        <x:v>282</x:v>
      </x:c>
      <x:c r="J17" s="6" t="n">
        <x:v>0</x:v>
      </x:c>
      <x:c r="K17" s="6" t="n">
        <x:v>0</x:v>
      </x:c>
      <x:c r="L17" s="6" t="n">
        <x:v>10</x:v>
      </x:c>
      <x:c r="M17" s="11" t="n">
        <x:v>0.7911752136752137</x:v>
      </x:c>
      <x:c r="N17" s="6" t="n">
        <x:v>2195000</x:v>
      </x:c>
    </x:row>
    <x:row r="18" ht="24" customHeight="1">
      <x:c r="A18" s="2" t="str">
        <x:v>2026-09-29_Day</x:v>
      </x:c>
      <x:c r="B18" s="6" t="str">
        <x:v>デイ</x:v>
      </x:c>
      <x:c r="C18" s="6" t="n">
        <x:v>1050000</x:v>
      </x:c>
      <x:c r="D18" s="6" t="n">
        <x:v>2950000</x:v>
      </x:c>
      <x:c r="E18" s="6" t="n">
        <x:f>C18-D18</x:f>
        <x:v>-1900000</x:v>
      </x:c>
      <x:c r="F18" s="6" t="n">
        <x:f>F17+E18</x:f>
        <x:v>-21690000</x:v>
      </x:c>
      <x:c r="G18" s="6" t="n">
        <x:v>1050000</x:v>
      </x:c>
      <x:c r="H18" s="6" t="n">
        <x:v>2950000</x:v>
      </x:c>
      <x:c r="I18" s="6" t="n">
        <x:v>232</x:v>
      </x:c>
      <x:c r="J18" s="6" t="n">
        <x:v>0</x:v>
      </x:c>
      <x:c r="K18" s="6" t="n">
        <x:v>0</x:v>
      </x:c>
      <x:c r="L18" s="6" t="n">
        <x:v>10</x:v>
      </x:c>
      <x:c r="M18" s="11" t="n">
        <x:v>0.8117063492063492</x:v>
      </x:c>
      <x:c r="N18" s="6" t="n">
        <x:v>1975000</x:v>
      </x:c>
    </x:row>
    <x:row r="19" ht="24" customHeight="1">
      <x:c r="A19" s="2" t="str">
        <x:v>2026-09-29_Night</x:v>
      </x:c>
      <x:c r="B19" s="6" t="str">
        <x:v>ナイト</x:v>
      </x:c>
      <x:c r="C19" s="6" t="n">
        <x:v>675000</x:v>
      </x:c>
      <x:c r="D19" s="6" t="n">
        <x:v>3225000</x:v>
      </x:c>
      <x:c r="E19" s="6" t="n">
        <x:f>C19-D19</x:f>
        <x:v>-2550000</x:v>
      </x:c>
      <x:c r="F19" s="6" t="n">
        <x:f>F18+E19</x:f>
        <x:v>-24240000</x:v>
      </x:c>
      <x:c r="G19" s="6" t="n">
        <x:v>675000</x:v>
      </x:c>
      <x:c r="H19" s="6" t="n">
        <x:v>3225000</x:v>
      </x:c>
      <x:c r="I19" s="6" t="n">
        <x:v>288</x:v>
      </x:c>
      <x:c r="J19" s="6" t="n">
        <x:v>0</x:v>
      </x:c>
      <x:c r="K19" s="6" t="n">
        <x:v>0</x:v>
      </x:c>
      <x:c r="L19" s="6" t="n">
        <x:v>10</x:v>
      </x:c>
      <x:c r="M19" s="11" t="n">
        <x:v>0.808076923076923</x:v>
      </x:c>
      <x:c r="N19" s="6" t="n">
        <x:v>2590000</x:v>
      </x:c>
    </x:row>
    <x:row r="20" ht="24" customHeight="1">
      <x:c r="A20" s="2" t="str">
        <x:v>2026-09-30_Day</x:v>
      </x:c>
      <x:c r="B20" s="6" t="str">
        <x:v>デイ</x:v>
      </x:c>
      <x:c r="C20" s="6" t="n">
        <x:v>885000</x:v>
      </x:c>
      <x:c r="D20" s="6" t="n">
        <x:v>2585000</x:v>
      </x:c>
      <x:c r="E20" s="6" t="n">
        <x:f>C20-D20</x:f>
        <x:v>-1700000</x:v>
      </x:c>
      <x:c r="F20" s="6" t="n">
        <x:f>F19+E20</x:f>
        <x:v>-25940000</x:v>
      </x:c>
      <x:c r="G20" s="6" t="n">
        <x:v>885000</x:v>
      </x:c>
      <x:c r="H20" s="6" t="n">
        <x:v>2585000</x:v>
      </x:c>
      <x:c r="I20" s="6" t="n">
        <x:v>222</x:v>
      </x:c>
      <x:c r="J20" s="6" t="n">
        <x:v>0</x:v>
      </x:c>
      <x:c r="K20" s="6" t="n">
        <x:v>0</x:v>
      </x:c>
      <x:c r="L20" s="6" t="n">
        <x:v>10</x:v>
      </x:c>
      <x:c r="M20" s="11" t="n">
        <x:v>0.8205555555555556</x:v>
      </x:c>
      <x:c r="N20" s="6" t="n">
        <x:v>1740000</x:v>
      </x:c>
    </x:row>
    <x:row r="21" ht="24" customHeight="1">
      <x:c r="A21" s="2" t="str">
        <x:v>2026-09-30_Night</x:v>
      </x:c>
      <x:c r="B21" s="6" t="str">
        <x:v>ナイト</x:v>
      </x:c>
      <x:c r="C21" s="6" t="n">
        <x:v>1270000</x:v>
      </x:c>
      <x:c r="D21" s="6" t="n">
        <x:v>3445000</x:v>
      </x:c>
      <x:c r="E21" s="6" t="n">
        <x:f>C21-D21</x:f>
        <x:v>-2175000</x:v>
      </x:c>
      <x:c r="F21" s="6" t="n">
        <x:f>F20+E21</x:f>
        <x:v>-28115000</x:v>
      </x:c>
      <x:c r="G21" s="6" t="n">
        <x:v>1270000</x:v>
      </x:c>
      <x:c r="H21" s="6" t="n">
        <x:v>3445000</x:v>
      </x:c>
      <x:c r="I21" s="6" t="n">
        <x:v>309</x:v>
      </x:c>
      <x:c r="J21" s="6" t="n">
        <x:v>0</x:v>
      </x:c>
      <x:c r="K21" s="6" t="n">
        <x:v>0</x:v>
      </x:c>
      <x:c r="L21" s="6" t="n">
        <x:v>10</x:v>
      </x:c>
      <x:c r="M21" s="11" t="n">
        <x:v>0.8070512820512821</x:v>
      </x:c>
      <x:c r="N21" s="6" t="n">
        <x:v>2250000</x:v>
      </x:c>
    </x:row>
    <x:row r="22" ht="24" customHeight="1">
      <x:c r="A22" s="2" t="str">
        <x:v>2026-10-01_Day</x:v>
      </x:c>
      <x:c r="B22" s="6" t="str">
        <x:v>デイ</x:v>
      </x:c>
      <x:c r="C22" s="6" t="n">
        <x:v>880000</x:v>
      </x:c>
      <x:c r="D22" s="6" t="n">
        <x:v>2615000</x:v>
      </x:c>
      <x:c r="E22" s="6" t="n">
        <x:f>C22-D22</x:f>
        <x:v>-1735000</x:v>
      </x:c>
      <x:c r="F22" s="6" t="n">
        <x:f>F21+E22</x:f>
        <x:v>-29850000</x:v>
      </x:c>
      <x:c r="G22" s="6" t="n">
        <x:v>880000</x:v>
      </x:c>
      <x:c r="H22" s="6" t="n">
        <x:v>2615000</x:v>
      </x:c>
      <x:c r="I22" s="6" t="n">
        <x:v>213</x:v>
      </x:c>
      <x:c r="J22" s="6" t="n">
        <x:v>0</x:v>
      </x:c>
      <x:c r="K22" s="6" t="n">
        <x:v>0</x:v>
      </x:c>
      <x:c r="L22" s="6" t="n">
        <x:v>10</x:v>
      </x:c>
      <x:c r="M22" s="11" t="n">
        <x:v>0.8017460317460318</x:v>
      </x:c>
      <x:c r="N22" s="6" t="n">
        <x:v>1800000</x:v>
      </x:c>
    </x:row>
    <x:row r="23" ht="24" customHeight="1">
      <x:c r="A23" s="2" t="str">
        <x:v>2026-10-01_Night</x:v>
      </x:c>
      <x:c r="B23" s="6" t="str">
        <x:v>ナイト</x:v>
      </x:c>
      <x:c r="C23" s="6" t="n">
        <x:v>1305000</x:v>
      </x:c>
      <x:c r="D23" s="6" t="n">
        <x:v>4060000</x:v>
      </x:c>
      <x:c r="E23" s="6" t="n">
        <x:f>C23-D23</x:f>
        <x:v>-2755000</x:v>
      </x:c>
      <x:c r="F23" s="6" t="n">
        <x:f>F22+E23</x:f>
        <x:v>-32605000</x:v>
      </x:c>
      <x:c r="G23" s="6" t="n">
        <x:v>1305000</x:v>
      </x:c>
      <x:c r="H23" s="6" t="n">
        <x:v>4060000</x:v>
      </x:c>
      <x:c r="I23" s="6" t="n">
        <x:v>334</x:v>
      </x:c>
      <x:c r="J23" s="6" t="n">
        <x:v>0</x:v>
      </x:c>
      <x:c r="K23" s="6" t="n">
        <x:v>0</x:v>
      </x:c>
      <x:c r="L23" s="6" t="n">
        <x:v>10</x:v>
      </x:c>
      <x:c r="M23" s="11" t="n">
        <x:v>0.8160683760683761</x:v>
      </x:c>
      <x:c r="N23" s="6" t="n">
        <x:v>2805000</x:v>
      </x:c>
    </x:row>
    <x:row r="24" ht="24" customHeight="1">
      <x:c r="A24" s="2" t="str">
        <x:v>2026-10-02_Day</x:v>
      </x:c>
      <x:c r="B24" s="6" t="str">
        <x:v>デイ</x:v>
      </x:c>
      <x:c r="C24" s="6" t="n">
        <x:v>785000</x:v>
      </x:c>
      <x:c r="D24" s="6" t="n">
        <x:v>2375000</x:v>
      </x:c>
      <x:c r="E24" s="6" t="n">
        <x:f>C24-D24</x:f>
        <x:v>-1590000</x:v>
      </x:c>
      <x:c r="F24" s="6" t="n">
        <x:f>F23+E24</x:f>
        <x:v>-34195000</x:v>
      </x:c>
      <x:c r="G24" s="6" t="n">
        <x:v>785000</x:v>
      </x:c>
      <x:c r="H24" s="6" t="n">
        <x:v>2375000</x:v>
      </x:c>
      <x:c r="I24" s="6" t="n">
        <x:v>206</x:v>
      </x:c>
      <x:c r="J24" s="6" t="n">
        <x:v>0</x:v>
      </x:c>
      <x:c r="K24" s="6" t="n">
        <x:v>0</x:v>
      </x:c>
      <x:c r="L24" s="6" t="n">
        <x:v>10</x:v>
      </x:c>
      <x:c r="M24" s="11" t="n">
        <x:v>0.8257142857142857</x:v>
      </x:c>
      <x:c r="N24" s="6" t="n">
        <x:v>1675000</x:v>
      </x:c>
    </x:row>
    <x:row r="25" ht="24" customHeight="1">
      <x:c r="A25" s="2" t="str">
        <x:v>2026-10-02_Night</x:v>
      </x:c>
      <x:c r="B25" s="6" t="str">
        <x:v>ナイト</x:v>
      </x:c>
      <x:c r="C25" s="6" t="n">
        <x:v>1235000</x:v>
      </x:c>
      <x:c r="D25" s="6" t="n">
        <x:v>3500000</x:v>
      </x:c>
      <x:c r="E25" s="6" t="n">
        <x:f>C25-D25</x:f>
        <x:v>-2265000</x:v>
      </x:c>
      <x:c r="F25" s="6" t="n">
        <x:f>F24+E25</x:f>
        <x:v>-36460000</x:v>
      </x:c>
      <x:c r="G25" s="6" t="n">
        <x:v>1235000</x:v>
      </x:c>
      <x:c r="H25" s="6" t="n">
        <x:v>3500000</x:v>
      </x:c>
      <x:c r="I25" s="6" t="n">
        <x:v>311</x:v>
      </x:c>
      <x:c r="J25" s="6" t="n">
        <x:v>0</x:v>
      </x:c>
      <x:c r="K25" s="6" t="n">
        <x:v>0</x:v>
      </x:c>
      <x:c r="L25" s="6" t="n">
        <x:v>10</x:v>
      </x:c>
      <x:c r="M25" s="11" t="n">
        <x:v>0.8030128205128205</x:v>
      </x:c>
      <x:c r="N25" s="6" t="n">
        <x:v>2340000</x:v>
      </x:c>
    </x:row>
    <x:row r="26" ht="24" customHeight="1">
      <x:c r="A26" s="2" t="str">
        <x:v>2026-10-05_Day</x:v>
      </x:c>
      <x:c r="B26" s="6" t="str">
        <x:v>デイ</x:v>
      </x:c>
      <x:c r="C26" s="6" t="n">
        <x:v>810000</x:v>
      </x:c>
      <x:c r="D26" s="6" t="n">
        <x:v>2270000</x:v>
      </x:c>
      <x:c r="E26" s="6" t="n">
        <x:f>C26-D26</x:f>
        <x:v>-1460000</x:v>
      </x:c>
      <x:c r="F26" s="6" t="n">
        <x:f>F25+E26</x:f>
        <x:v>-37920000</x:v>
      </x:c>
      <x:c r="G26" s="6" t="n">
        <x:v>810000</x:v>
      </x:c>
      <x:c r="H26" s="6" t="n">
        <x:v>2270000</x:v>
      </x:c>
      <x:c r="I26" s="6" t="n">
        <x:v>203</x:v>
      </x:c>
      <x:c r="J26" s="6" t="n">
        <x:v>0</x:v>
      </x:c>
      <x:c r="K26" s="6" t="n">
        <x:v>0</x:v>
      </x:c>
      <x:c r="L26" s="6" t="n">
        <x:v>10</x:v>
      </x:c>
      <x:c r="M26" s="11" t="n">
        <x:v>0.8112698412698413</x:v>
      </x:c>
      <x:c r="N26" s="6" t="n">
        <x:v>1515000</x:v>
      </x:c>
    </x:row>
    <x:row r="27" ht="24" customHeight="1">
      <x:c r="A27" s="2" t="str">
        <x:v>2026-10-05_Night</x:v>
      </x:c>
      <x:c r="B27" s="6" t="str">
        <x:v>ナイト</x:v>
      </x:c>
      <x:c r="C27" s="6" t="n">
        <x:v>800000</x:v>
      </x:c>
      <x:c r="D27" s="6" t="n">
        <x:v>2895000</x:v>
      </x:c>
      <x:c r="E27" s="6" t="n">
        <x:f>C27-D27</x:f>
        <x:v>-2095000</x:v>
      </x:c>
      <x:c r="F27" s="6" t="n">
        <x:f>F26+E27</x:f>
        <x:v>-40015000</x:v>
      </x:c>
      <x:c r="G27" s="6" t="n">
        <x:v>800000</x:v>
      </x:c>
      <x:c r="H27" s="6" t="n">
        <x:v>2895000</x:v>
      </x:c>
      <x:c r="I27" s="6" t="n">
        <x:v>288</x:v>
      </x:c>
      <x:c r="J27" s="6" t="n">
        <x:v>0</x:v>
      </x:c>
      <x:c r="K27" s="6" t="n">
        <x:v>0</x:v>
      </x:c>
      <x:c r="L27" s="6" t="n">
        <x:v>10</x:v>
      </x:c>
      <x:c r="M27" s="11" t="n">
        <x:v>0.7828205128205128</x:v>
      </x:c>
      <x:c r="N27" s="6" t="n">
        <x:v>2170000</x:v>
      </x:c>
    </x:row>
    <x:row r="28" ht="24" customHeight="1">
      <x:c r="A28" s="2" t="str">
        <x:v>2026-10-06_Day</x:v>
      </x:c>
      <x:c r="B28" s="6" t="str">
        <x:v>デイ</x:v>
      </x:c>
      <x:c r="C28" s="6" t="n">
        <x:v>640000</x:v>
      </x:c>
      <x:c r="D28" s="6" t="n">
        <x:v>1990000</x:v>
      </x:c>
      <x:c r="E28" s="6" t="n">
        <x:f>C28-D28</x:f>
        <x:v>-1350000</x:v>
      </x:c>
      <x:c r="F28" s="6" t="n">
        <x:f>F27+E28</x:f>
        <x:v>-41365000</x:v>
      </x:c>
      <x:c r="G28" s="6" t="n">
        <x:v>640000</x:v>
      </x:c>
      <x:c r="H28" s="6" t="n">
        <x:v>1990000</x:v>
      </x:c>
      <x:c r="I28" s="6" t="n">
        <x:v>203</x:v>
      </x:c>
      <x:c r="J28" s="6" t="n">
        <x:v>0</x:v>
      </x:c>
      <x:c r="K28" s="6" t="n">
        <x:v>0</x:v>
      </x:c>
      <x:c r="L28" s="6" t="n">
        <x:v>10</x:v>
      </x:c>
      <x:c r="M28" s="11" t="n">
        <x:v>0.7953968253968254</x:v>
      </x:c>
      <x:c r="N28" s="6" t="n">
        <x:v>1360000</x:v>
      </x:c>
    </x:row>
    <x:row r="29" ht="24" customHeight="1">
      <x:c r="A29" s="2" t="str">
        <x:v>2026-10-06_Night</x:v>
      </x:c>
      <x:c r="B29" s="6" t="str">
        <x:v>ナイト</x:v>
      </x:c>
      <x:c r="C29" s="6" t="n">
        <x:v>515000</x:v>
      </x:c>
      <x:c r="D29" s="6" t="n">
        <x:v>2405000</x:v>
      </x:c>
      <x:c r="E29" s="6" t="n">
        <x:f>C29-D29</x:f>
        <x:v>-1890000</x:v>
      </x:c>
      <x:c r="F29" s="6" t="n">
        <x:f>F28+E29</x:f>
        <x:v>-43255000</x:v>
      </x:c>
      <x:c r="G29" s="6" t="n">
        <x:v>515000</x:v>
      </x:c>
      <x:c r="H29" s="6" t="n">
        <x:v>2405000</x:v>
      </x:c>
      <x:c r="I29" s="6" t="n">
        <x:v>277</x:v>
      </x:c>
      <x:c r="J29" s="6" t="n">
        <x:v>0</x:v>
      </x:c>
      <x:c r="K29" s="6" t="n">
        <x:v>0</x:v>
      </x:c>
      <x:c r="L29" s="6" t="n">
        <x:v>10</x:v>
      </x:c>
      <x:c r="M29" s="11" t="n">
        <x:v>0.7555128205128205</x:v>
      </x:c>
      <x:c r="N29" s="6" t="n">
        <x:v>1920000</x:v>
      </x:c>
    </x:row>
    <x:row r="30" ht="24" customHeight="1">
      <x:c r="A30" s="2" t="str">
        <x:v>2026-10-07_Day</x:v>
      </x:c>
      <x:c r="B30" s="6" t="str">
        <x:v>デイ</x:v>
      </x:c>
      <x:c r="C30" s="6" t="n">
        <x:v>705000</x:v>
      </x:c>
      <x:c r="D30" s="6" t="n">
        <x:v>1675000</x:v>
      </x:c>
      <x:c r="E30" s="6" t="n">
        <x:f>C30-D30</x:f>
        <x:v>-970000</x:v>
      </x:c>
      <x:c r="F30" s="6" t="n">
        <x:f>F29+E30</x:f>
        <x:v>-44225000</x:v>
      </x:c>
      <x:c r="G30" s="6" t="n">
        <x:v>705000</x:v>
      </x:c>
      <x:c r="H30" s="6" t="n">
        <x:v>1675000</x:v>
      </x:c>
      <x:c r="I30" s="6" t="n">
        <x:v>175</x:v>
      </x:c>
      <x:c r="J30" s="6" t="n">
        <x:v>0</x:v>
      </x:c>
      <x:c r="K30" s="6" t="n">
        <x:v>0</x:v>
      </x:c>
      <x:c r="L30" s="6" t="n">
        <x:v>10</x:v>
      </x:c>
      <x:c r="M30" s="11" t="n">
        <x:v>0.7925396825396825</x:v>
      </x:c>
      <x:c r="N30" s="6" t="n">
        <x:v>1050000</x:v>
      </x:c>
    </x:row>
    <x:row r="31" ht="24" customHeight="1">
      <x:c r="A31" s="2" t="str">
        <x:v>2026-10-07_Night</x:v>
      </x:c>
      <x:c r="B31" s="6" t="str">
        <x:v>ナイト</x:v>
      </x:c>
      <x:c r="C31" s="6" t="n">
        <x:v>620000</x:v>
      </x:c>
      <x:c r="D31" s="6" t="n">
        <x:v>2660000</x:v>
      </x:c>
      <x:c r="E31" s="6" t="n">
        <x:f>C31-D31</x:f>
        <x:v>-2040000</x:v>
      </x:c>
      <x:c r="F31" s="6" t="n">
        <x:f>F30+E31</x:f>
        <x:v>-46265000</x:v>
      </x:c>
      <x:c r="G31" s="6" t="n">
        <x:v>620000</x:v>
      </x:c>
      <x:c r="H31" s="6" t="n">
        <x:v>2660000</x:v>
      </x:c>
      <x:c r="I31" s="6" t="n">
        <x:v>271</x:v>
      </x:c>
      <x:c r="J31" s="6" t="n">
        <x:v>0</x:v>
      </x:c>
      <x:c r="K31" s="6" t="n">
        <x:v>0</x:v>
      </x:c>
      <x:c r="L31" s="6" t="n">
        <x:v>10</x:v>
      </x:c>
      <x:c r="M31" s="11" t="n">
        <x:v>0.7736324786324786</x:v>
      </x:c>
      <x:c r="N31" s="6" t="n">
        <x:v>2080000</x:v>
      </x:c>
    </x:row>
    <x:row r="32" ht="24" customHeight="1">
      <x:c r="A32" s="2" t="str">
        <x:v>2026-10-08_Day</x:v>
      </x:c>
      <x:c r="B32" s="6" t="str">
        <x:v>デイ</x:v>
      </x:c>
      <x:c r="C32" s="6" t="n">
        <x:v>1060000</x:v>
      </x:c>
      <x:c r="D32" s="6" t="n">
        <x:v>1665000</x:v>
      </x:c>
      <x:c r="E32" s="6" t="n">
        <x:f>C32-D32</x:f>
        <x:v>-605000</x:v>
      </x:c>
      <x:c r="F32" s="6" t="n">
        <x:f>F31+E32</x:f>
        <x:v>-46870000</x:v>
      </x:c>
      <x:c r="G32" s="6" t="n">
        <x:v>1060000</x:v>
      </x:c>
      <x:c r="H32" s="6" t="n">
        <x:v>1665000</x:v>
      </x:c>
      <x:c r="I32" s="6" t="n">
        <x:v>191</x:v>
      </x:c>
      <x:c r="J32" s="6" t="n">
        <x:v>0</x:v>
      </x:c>
      <x:c r="K32" s="6" t="n">
        <x:v>0</x:v>
      </x:c>
      <x:c r="L32" s="6" t="n">
        <x:v>10</x:v>
      </x:c>
      <x:c r="M32" s="11" t="n">
        <x:v>0.8100793650793651</x:v>
      </x:c>
      <x:c r="N32" s="6" t="n">
        <x:v>890000</x:v>
      </x:c>
    </x:row>
    <x:row r="33" ht="24" customHeight="1">
      <x:c r="A33" s="2" t="str">
        <x:v>2026-10-08_Night</x:v>
      </x:c>
      <x:c r="B33" s="6" t="str">
        <x:v>ナイト</x:v>
      </x:c>
      <x:c r="C33" s="6" t="n">
        <x:v>1175000</x:v>
      </x:c>
      <x:c r="D33" s="6" t="n">
        <x:v>3345000</x:v>
      </x:c>
      <x:c r="E33" s="6" t="n">
        <x:f>C33-D33</x:f>
        <x:v>-2170000</x:v>
      </x:c>
      <x:c r="F33" s="6" t="n">
        <x:f>F32+E33</x:f>
        <x:v>-49040000</x:v>
      </x:c>
      <x:c r="G33" s="6" t="n">
        <x:v>1175000</x:v>
      </x:c>
      <x:c r="H33" s="6" t="n">
        <x:v>3345000</x:v>
      </x:c>
      <x:c r="I33" s="6" t="n">
        <x:v>310</x:v>
      </x:c>
      <x:c r="J33" s="6" t="n">
        <x:v>0</x:v>
      </x:c>
      <x:c r="K33" s="6" t="n">
        <x:v>0</x:v>
      </x:c>
      <x:c r="L33" s="6" t="n">
        <x:v>10</x:v>
      </x:c>
      <x:c r="M33" s="11" t="n">
        <x:v>0.7961965811965812</x:v>
      </x:c>
      <x:c r="N33" s="6" t="n">
        <x:v>2205000</x:v>
      </x:c>
    </x:row>
    <x:row r="34" ht="24" customHeight="1">
      <x:c r="A34" s="2" t="str">
        <x:v>2026-10-09_Day</x:v>
      </x:c>
      <x:c r="B34" s="6" t="str">
        <x:v>デイ</x:v>
      </x:c>
      <x:c r="C34" s="6" t="n">
        <x:v>810000</x:v>
      </x:c>
      <x:c r="D34" s="6" t="n">
        <x:v>2430000</x:v>
      </x:c>
      <x:c r="E34" s="6" t="n">
        <x:f>C34-D34</x:f>
        <x:v>-1620000</x:v>
      </x:c>
      <x:c r="F34" s="6" t="n">
        <x:f>F33+E34</x:f>
        <x:v>-50660000</x:v>
      </x:c>
      <x:c r="G34" s="6" t="n">
        <x:v>810000</x:v>
      </x:c>
      <x:c r="H34" s="6" t="n">
        <x:v>2430000</x:v>
      </x:c>
      <x:c r="I34" s="6" t="n">
        <x:v>197</x:v>
      </x:c>
      <x:c r="J34" s="6" t="n">
        <x:v>0</x:v>
      </x:c>
      <x:c r="K34" s="6" t="n">
        <x:v>0</x:v>
      </x:c>
      <x:c r="L34" s="6" t="n">
        <x:v>10</x:v>
      </x:c>
      <x:c r="M34" s="11" t="n">
        <x:v>0.8080952380952381</x:v>
      </x:c>
      <x:c r="N34" s="6" t="n">
        <x:v>1690000</x:v>
      </x:c>
    </x:row>
    <x:row r="35" ht="24" customHeight="1">
      <x:c r="A35" s="2" t="str">
        <x:v>2026-10-09_Night</x:v>
      </x:c>
      <x:c r="B35" s="6" t="str">
        <x:v>ナイト</x:v>
      </x:c>
      <x:c r="C35" s="6" t="n">
        <x:v>465000</x:v>
      </x:c>
      <x:c r="D35" s="6" t="n">
        <x:v>2610000</x:v>
      </x:c>
      <x:c r="E35" s="6" t="n">
        <x:f>C35-D35</x:f>
        <x:v>-2145000</x:v>
      </x:c>
      <x:c r="F35" s="6" t="n">
        <x:f>F34+E35</x:f>
        <x:v>-52805000</x:v>
      </x:c>
      <x:c r="G35" s="6" t="n">
        <x:v>465000</x:v>
      </x:c>
      <x:c r="H35" s="6" t="n">
        <x:v>2610000</x:v>
      </x:c>
      <x:c r="I35" s="6" t="n">
        <x:v>255</x:v>
      </x:c>
      <x:c r="J35" s="6" t="n">
        <x:v>0</x:v>
      </x:c>
      <x:c r="K35" s="6" t="n">
        <x:v>0</x:v>
      </x:c>
      <x:c r="L35" s="6" t="n">
        <x:v>10</x:v>
      </x:c>
      <x:c r="M35" s="11" t="n">
        <x:v>0.7514529914529915</x:v>
      </x:c>
      <x:c r="N35" s="6" t="n">
        <x:v>2170000</x:v>
      </x:c>
    </x:row>
    <x:row r="36" ht="24" customHeight="1">
      <x:c r="A36" s="2" t="str">
        <x:v>2026-10-12_Day</x:v>
      </x:c>
      <x:c r="B36" s="6" t="str">
        <x:v>デイ</x:v>
      </x:c>
      <x:c r="C36" s="6" t="n">
        <x:v>180000</x:v>
      </x:c>
      <x:c r="D36" s="6" t="n">
        <x:v>1165000</x:v>
      </x:c>
      <x:c r="E36" s="6" t="n">
        <x:f>C36-D36</x:f>
        <x:v>-985000</x:v>
      </x:c>
      <x:c r="F36" s="6" t="n">
        <x:f>F35+E36</x:f>
        <x:v>-53790000</x:v>
      </x:c>
      <x:c r="G36" s="6" t="n">
        <x:v>180000</x:v>
      </x:c>
      <x:c r="H36" s="6" t="n">
        <x:v>1165000</x:v>
      </x:c>
      <x:c r="I36" s="6" t="n">
        <x:v>115</x:v>
      </x:c>
      <x:c r="J36" s="6" t="n">
        <x:v>0</x:v>
      </x:c>
      <x:c r="K36" s="6" t="n">
        <x:v>0</x:v>
      </x:c>
      <x:c r="L36" s="6" t="n">
        <x:v>10</x:v>
      </x:c>
      <x:c r="M36" s="11" t="n">
        <x:v>0.7342857142857143</x:v>
      </x:c>
      <x:c r="N36" s="6" t="n">
        <x:v>985000</x:v>
      </x:c>
    </x:row>
    <x:row r="37" ht="24" customHeight="1">
      <x:c r="A37" s="2" t="str">
        <x:v>2026-10-12_Night</x:v>
      </x:c>
      <x:c r="B37" s="6" t="str">
        <x:v>ナイト</x:v>
      </x:c>
      <x:c r="C37" s="6" t="n">
        <x:v>240000</x:v>
      </x:c>
      <x:c r="D37" s="6" t="n">
        <x:v>1600000</x:v>
      </x:c>
      <x:c r="E37" s="6" t="n">
        <x:f>C37-D37</x:f>
        <x:v>-1360000</x:v>
      </x:c>
      <x:c r="F37" s="6" t="n">
        <x:f>F36+E37</x:f>
        <x:v>-55150000</x:v>
      </x:c>
      <x:c r="G37" s="6" t="n">
        <x:v>240000</x:v>
      </x:c>
      <x:c r="H37" s="6" t="n">
        <x:v>1600000</x:v>
      </x:c>
      <x:c r="I37" s="6" t="n">
        <x:v>188</x:v>
      </x:c>
      <x:c r="J37" s="6" t="n">
        <x:v>0</x:v>
      </x:c>
      <x:c r="K37" s="6" t="n">
        <x:v>0</x:v>
      </x:c>
      <x:c r="L37" s="6" t="n">
        <x:v>10</x:v>
      </x:c>
      <x:c r="M37" s="11" t="n">
        <x:v>0.6876923076923077</x:v>
      </x:c>
      <x:c r="N37" s="6" t="n">
        <x:v>1365000</x:v>
      </x:c>
    </x:row>
    <x:row r="38" ht="24" customHeight="1">
      <x:c r="A38" s="2" t="str">
        <x:v>2026-10-13_Day</x:v>
      </x:c>
      <x:c r="B38" s="6" t="str">
        <x:v>デイ</x:v>
      </x:c>
      <x:c r="C38" s="6" t="n">
        <x:v>670000</x:v>
      </x:c>
      <x:c r="D38" s="6" t="n">
        <x:v>2965000</x:v>
      </x:c>
      <x:c r="E38" s="6" t="n">
        <x:f>C38-D38</x:f>
        <x:v>-2295000</x:v>
      </x:c>
      <x:c r="F38" s="6" t="n">
        <x:f>F37+E38</x:f>
        <x:v>-57445000</x:v>
      </x:c>
      <x:c r="G38" s="6" t="n">
        <x:v>670000</x:v>
      </x:c>
      <x:c r="H38" s="6" t="n">
        <x:v>2965000</x:v>
      </x:c>
      <x:c r="I38" s="6" t="n">
        <x:v>231</x:v>
      </x:c>
      <x:c r="J38" s="6" t="n">
        <x:v>0</x:v>
      </x:c>
      <x:c r="K38" s="6" t="n">
        <x:v>0</x:v>
      </x:c>
      <x:c r="L38" s="6" t="n">
        <x:v>10</x:v>
      </x:c>
      <x:c r="M38" s="11" t="n">
        <x:v>0.8046031746031747</x:v>
      </x:c>
      <x:c r="N38" s="6" t="n">
        <x:v>2310000</x:v>
      </x:c>
    </x:row>
    <x:row r="39" ht="24" customHeight="1">
      <x:c r="A39" s="2" t="str">
        <x:v>2026-10-13_Night</x:v>
      </x:c>
      <x:c r="B39" s="6" t="str">
        <x:v>ナイト</x:v>
      </x:c>
      <x:c r="C39" s="6" t="n">
        <x:v>490000</x:v>
      </x:c>
      <x:c r="D39" s="6" t="n">
        <x:v>1935000</x:v>
      </x:c>
      <x:c r="E39" s="6" t="n">
        <x:f>C39-D39</x:f>
        <x:v>-1445000</x:v>
      </x:c>
      <x:c r="F39" s="6" t="n">
        <x:f>F38+E39</x:f>
        <x:v>-58890000</x:v>
      </x:c>
      <x:c r="G39" s="6" t="n">
        <x:v>490000</x:v>
      </x:c>
      <x:c r="H39" s="6" t="n">
        <x:v>1935000</x:v>
      </x:c>
      <x:c r="I39" s="6" t="n">
        <x:v>224</x:v>
      </x:c>
      <x:c r="J39" s="6" t="n">
        <x:v>0</x:v>
      </x:c>
      <x:c r="K39" s="6" t="n">
        <x:v>0</x:v>
      </x:c>
      <x:c r="L39" s="6" t="n">
        <x:v>10</x:v>
      </x:c>
      <x:c r="M39" s="11" t="n">
        <x:v>0.7367094017094017</x:v>
      </x:c>
      <x:c r="N39" s="6" t="n">
        <x:v>1450000</x:v>
      </x:c>
    </x:row>
    <x:row r="40" ht="24" customHeight="1">
      <x:c r="A40" s="2" t="str">
        <x:v>2026-10-14_Day</x:v>
      </x:c>
      <x:c r="B40" s="6" t="str">
        <x:v>デイ</x:v>
      </x:c>
      <x:c r="C40" s="6" t="n">
        <x:v>505000</x:v>
      </x:c>
      <x:c r="D40" s="6" t="n">
        <x:v>2475000</x:v>
      </x:c>
      <x:c r="E40" s="6" t="n">
        <x:f>C40-D40</x:f>
        <x:v>-1970000</x:v>
      </x:c>
      <x:c r="F40" s="6" t="n">
        <x:f>F39+E40</x:f>
        <x:v>-60860000</x:v>
      </x:c>
      <x:c r="G40" s="6" t="n">
        <x:v>505000</x:v>
      </x:c>
      <x:c r="H40" s="6" t="n">
        <x:v>2475000</x:v>
      </x:c>
      <x:c r="I40" s="6" t="n">
        <x:v>203</x:v>
      </x:c>
      <x:c r="J40" s="6" t="n">
        <x:v>0</x:v>
      </x:c>
      <x:c r="K40" s="6" t="n">
        <x:v>0</x:v>
      </x:c>
      <x:c r="L40" s="6" t="n">
        <x:v>10</x:v>
      </x:c>
      <x:c r="M40" s="11" t="n">
        <x:v>0.794404761904762</x:v>
      </x:c>
      <x:c r="N40" s="6" t="n">
        <x:v>1980000</x:v>
      </x:c>
    </x:row>
    <x:row r="41" ht="24" customHeight="1">
      <x:c r="A41" s="2" t="str">
        <x:v>2026-10-14_Night</x:v>
      </x:c>
      <x:c r="B41" s="6" t="str">
        <x:v>ナイト</x:v>
      </x:c>
      <x:c r="C41" s="6" t="n">
        <x:v>1155000</x:v>
      </x:c>
      <x:c r="D41" s="6" t="n">
        <x:v>2740000</x:v>
      </x:c>
      <x:c r="E41" s="6" t="n">
        <x:f>C41-D41</x:f>
        <x:v>-1585000</x:v>
      </x:c>
      <x:c r="F41" s="6" t="n">
        <x:f>F40+E41</x:f>
        <x:v>-62445000</x:v>
      </x:c>
      <x:c r="G41" s="6" t="n">
        <x:v>1155000</x:v>
      </x:c>
      <x:c r="H41" s="6" t="n">
        <x:v>2740000</x:v>
      </x:c>
      <x:c r="I41" s="6" t="n">
        <x:v>272</x:v>
      </x:c>
      <x:c r="J41" s="6" t="n">
        <x:v>0</x:v>
      </x:c>
      <x:c r="K41" s="6" t="n">
        <x:v>0</x:v>
      </x:c>
      <x:c r="L41" s="6" t="n">
        <x:v>10</x:v>
      </x:c>
      <x:c r="M41" s="11" t="n">
        <x:v>0.8034188034188035</x:v>
      </x:c>
      <x:c r="N41" s="6" t="n">
        <x:v>1615000</x:v>
      </x:c>
    </x:row>
    <x:row r="42" ht="24" customHeight="1">
      <x:c r="A42" s="2" t="str">
        <x:v>2026-10-15_Day</x:v>
      </x:c>
      <x:c r="B42" s="6" t="str">
        <x:v>デイ</x:v>
      </x:c>
      <x:c r="C42" s="6" t="n">
        <x:v>1385000</x:v>
      </x:c>
      <x:c r="D42" s="6" t="n">
        <x:v>3350000</x:v>
      </x:c>
      <x:c r="E42" s="6" t="n">
        <x:f>C42-D42</x:f>
        <x:v>-1965000</x:v>
      </x:c>
      <x:c r="F42" s="6" t="n">
        <x:f>F41+E42</x:f>
        <x:v>-64410000</x:v>
      </x:c>
      <x:c r="G42" s="6" t="n">
        <x:v>1385000</x:v>
      </x:c>
      <x:c r="H42" s="6" t="n">
        <x:v>3350000</x:v>
      </x:c>
      <x:c r="I42" s="6" t="n">
        <x:v>239</x:v>
      </x:c>
      <x:c r="J42" s="6" t="n">
        <x:v>0</x:v>
      </x:c>
      <x:c r="K42" s="6" t="n">
        <x:v>0</x:v>
      </x:c>
      <x:c r="L42" s="6" t="n">
        <x:v>10</x:v>
      </x:c>
      <x:c r="M42" s="11" t="n">
        <x:v>0.8136507936507936</x:v>
      </x:c>
      <x:c r="N42" s="6" t="n">
        <x:v>2040000</x:v>
      </x:c>
    </x:row>
    <x:row r="43" ht="24" customHeight="1">
      <x:c r="A43" s="2" t="str">
        <x:v>2026-10-15_Night</x:v>
      </x:c>
      <x:c r="B43" s="6" t="str">
        <x:v>ナイト</x:v>
      </x:c>
      <x:c r="C43" s="6" t="n">
        <x:v>1150000</x:v>
      </x:c>
      <x:c r="D43" s="6" t="n">
        <x:v>3430000</x:v>
      </x:c>
      <x:c r="E43" s="6" t="n">
        <x:f>C43-D43</x:f>
        <x:v>-2280000</x:v>
      </x:c>
      <x:c r="F43" s="6" t="n">
        <x:f>F42+E43</x:f>
        <x:v>-66690000</x:v>
      </x:c>
      <x:c r="G43" s="6" t="n">
        <x:v>1150000</x:v>
      </x:c>
      <x:c r="H43" s="6" t="n">
        <x:v>3430000</x:v>
      </x:c>
      <x:c r="I43" s="6" t="n">
        <x:v>297</x:v>
      </x:c>
      <x:c r="J43" s="6" t="n">
        <x:v>0</x:v>
      </x:c>
      <x:c r="K43" s="6" t="n">
        <x:v>0</x:v>
      </x:c>
      <x:c r="L43" s="6" t="n">
        <x:v>10</x:v>
      </x:c>
      <x:c r="M43" s="11" t="n">
        <x:v>0.8223290598290598</x:v>
      </x:c>
      <x:c r="N43" s="6" t="n">
        <x:v>2290000</x:v>
      </x:c>
    </x:row>
    <x:row r="44" ht="24" customHeight="1">
      <x:c r="A44" s="2" t="str">
        <x:v>2026-10-16_Day</x:v>
      </x:c>
      <x:c r="B44" s="6" t="str">
        <x:v>デイ</x:v>
      </x:c>
      <x:c r="C44" s="6" t="n">
        <x:v>915000</x:v>
      </x:c>
      <x:c r="D44" s="6" t="n">
        <x:v>2840000</x:v>
      </x:c>
      <x:c r="E44" s="6" t="n">
        <x:f>C44-D44</x:f>
        <x:v>-1925000</x:v>
      </x:c>
      <x:c r="F44" s="6" t="n">
        <x:f>F43+E44</x:f>
        <x:v>-68615000</x:v>
      </x:c>
      <x:c r="G44" s="6" t="n">
        <x:v>915000</x:v>
      </x:c>
      <x:c r="H44" s="6" t="n">
        <x:v>2840000</x:v>
      </x:c>
      <x:c r="I44" s="6" t="n">
        <x:v>235</x:v>
      </x:c>
      <x:c r="J44" s="6" t="n">
        <x:v>0</x:v>
      </x:c>
      <x:c r="K44" s="6" t="n">
        <x:v>0</x:v>
      </x:c>
      <x:c r="L44" s="6" t="n">
        <x:v>10</x:v>
      </x:c>
      <x:c r="M44" s="11" t="n">
        <x:v>0.7944444444444444</x:v>
      </x:c>
      <x:c r="N44" s="6" t="n">
        <x:v>1945000</x:v>
      </x:c>
    </x:row>
    <x:row r="45" ht="24" customHeight="1">
      <x:c r="A45" s="2" t="str">
        <x:v>2026-10-16_Night</x:v>
      </x:c>
      <x:c r="B45" s="6" t="str">
        <x:v>ナイト</x:v>
      </x:c>
      <x:c r="C45" s="6" t="n">
        <x:v>1405000</x:v>
      </x:c>
      <x:c r="D45" s="6" t="n">
        <x:v>3240000</x:v>
      </x:c>
      <x:c r="E45" s="6" t="n">
        <x:f>C45-D45</x:f>
        <x:v>-1835000</x:v>
      </x:c>
      <x:c r="F45" s="6" t="n">
        <x:f>F44+E45</x:f>
        <x:v>-70450000</x:v>
      </x:c>
      <x:c r="G45" s="6" t="n">
        <x:v>1405000</x:v>
      </x:c>
      <x:c r="H45" s="6" t="n">
        <x:v>3240000</x:v>
      </x:c>
      <x:c r="I45" s="6" t="n">
        <x:v>327</x:v>
      </x:c>
      <x:c r="J45" s="6" t="n">
        <x:v>0</x:v>
      </x:c>
      <x:c r="K45" s="6" t="n">
        <x:v>0</x:v>
      </x:c>
      <x:c r="L45" s="6" t="n">
        <x:v>10</x:v>
      </x:c>
      <x:c r="M45" s="11" t="n">
        <x:v>0.8141880341880342</x:v>
      </x:c>
      <x:c r="N45" s="6" t="n">
        <x:v>1860000</x:v>
      </x:c>
    </x:row>
    <x:row r="46" ht="24" customHeight="1">
      <x:c r="A46" s="2" t="str">
        <x:v>2026-10-19_Day</x:v>
      </x:c>
      <x:c r="B46" s="6" t="str">
        <x:v>デイ</x:v>
      </x:c>
      <x:c r="C46" s="6" t="n">
        <x:v>990000</x:v>
      </x:c>
      <x:c r="D46" s="6" t="n">
        <x:v>2410000</x:v>
      </x:c>
      <x:c r="E46" s="6" t="n">
        <x:f>C46-D46</x:f>
        <x:v>-1420000</x:v>
      </x:c>
      <x:c r="F46" s="6" t="n">
        <x:f>F45+E46</x:f>
        <x:v>-71870000</x:v>
      </x:c>
      <x:c r="G46" s="6" t="n">
        <x:v>990000</x:v>
      </x:c>
      <x:c r="H46" s="6" t="n">
        <x:v>2410000</x:v>
      </x:c>
      <x:c r="I46" s="6" t="n">
        <x:v>205</x:v>
      </x:c>
      <x:c r="J46" s="6" t="n">
        <x:v>0</x:v>
      </x:c>
      <x:c r="K46" s="6" t="n">
        <x:v>0</x:v>
      </x:c>
      <x:c r="L46" s="6" t="n">
        <x:v>10</x:v>
      </x:c>
      <x:c r="M46" s="11" t="n">
        <x:v>0.8114285714285714</x:v>
      </x:c>
      <x:c r="N46" s="6" t="n">
        <x:v>1595000</x:v>
      </x:c>
    </x:row>
    <x:row r="47" ht="24" customHeight="1">
      <x:c r="A47" s="2" t="str">
        <x:v>2026-10-19_Night</x:v>
      </x:c>
      <x:c r="B47" s="6" t="str">
        <x:v>ナイト</x:v>
      </x:c>
      <x:c r="C47" s="6" t="n">
        <x:v>740000</x:v>
      </x:c>
      <x:c r="D47" s="6" t="n">
        <x:v>2860000</x:v>
      </x:c>
      <x:c r="E47" s="6" t="n">
        <x:f>C47-D47</x:f>
        <x:v>-2120000</x:v>
      </x:c>
      <x:c r="F47" s="6" t="n">
        <x:f>F46+E47</x:f>
        <x:v>-73990000</x:v>
      </x:c>
      <x:c r="G47" s="6" t="n">
        <x:v>740000</x:v>
      </x:c>
      <x:c r="H47" s="6" t="n">
        <x:v>2860000</x:v>
      </x:c>
      <x:c r="I47" s="6" t="n">
        <x:v>289</x:v>
      </x:c>
      <x:c r="J47" s="6" t="n">
        <x:v>0</x:v>
      </x:c>
      <x:c r="K47" s="6" t="n">
        <x:v>0</x:v>
      </x:c>
      <x:c r="L47" s="6" t="n">
        <x:v>10</x:v>
      </x:c>
      <x:c r="M47" s="11" t="n">
        <x:v>0.778931623931624</x:v>
      </x:c>
      <x:c r="N47" s="6" t="n">
        <x:v>2140000</x:v>
      </x:c>
    </x:row>
    <x:row r="48" ht="24" customHeight="1">
      <x:c r="A48" s="2" t="str">
        <x:v>2026-10-20_Day</x:v>
      </x:c>
      <x:c r="B48" s="6" t="str">
        <x:v>デイ</x:v>
      </x:c>
      <x:c r="C48" s="6" t="n">
        <x:v>970000</x:v>
      </x:c>
      <x:c r="D48" s="6" t="n">
        <x:v>2340000</x:v>
      </x:c>
      <x:c r="E48" s="6" t="n">
        <x:f>C48-D48</x:f>
        <x:v>-1370000</x:v>
      </x:c>
      <x:c r="F48" s="6" t="n">
        <x:f>F47+E48</x:f>
        <x:v>-75360000</x:v>
      </x:c>
      <x:c r="G48" s="6" t="n">
        <x:v>970000</x:v>
      </x:c>
      <x:c r="H48" s="6" t="n">
        <x:v>2340000</x:v>
      </x:c>
      <x:c r="I48" s="6" t="n">
        <x:v>203</x:v>
      </x:c>
      <x:c r="J48" s="6" t="n">
        <x:v>0</x:v>
      </x:c>
      <x:c r="K48" s="6" t="n">
        <x:v>0</x:v>
      </x:c>
      <x:c r="L48" s="6" t="n">
        <x:v>10</x:v>
      </x:c>
      <x:c r="M48" s="11" t="n">
        <x:v>0.8344444444444444</x:v>
      </x:c>
      <x:c r="N48" s="6" t="n">
        <x:v>1395000</x:v>
      </x:c>
    </x:row>
    <x:row r="49" ht="24" customHeight="1">
      <x:c r="A49" s="2" t="str">
        <x:v>2026-10-20_Night</x:v>
      </x:c>
      <x:c r="B49" s="6" t="str">
        <x:v>ナイト</x:v>
      </x:c>
      <x:c r="C49" s="6" t="n">
        <x:v>1145000</x:v>
      </x:c>
      <x:c r="D49" s="6" t="n">
        <x:v>2615000</x:v>
      </x:c>
      <x:c r="E49" s="6" t="n">
        <x:f>C49-D49</x:f>
        <x:v>-1470000</x:v>
      </x:c>
      <x:c r="F49" s="6" t="n">
        <x:f>F48+E49</x:f>
        <x:v>-76830000</x:v>
      </x:c>
      <x:c r="G49" s="6" t="n">
        <x:v>1145000</x:v>
      </x:c>
      <x:c r="H49" s="6" t="n">
        <x:v>2615000</x:v>
      </x:c>
      <x:c r="I49" s="6" t="n">
        <x:v>281</x:v>
      </x:c>
      <x:c r="J49" s="6" t="n">
        <x:v>0</x:v>
      </x:c>
      <x:c r="K49" s="6" t="n">
        <x:v>0</x:v>
      </x:c>
      <x:c r="L49" s="6" t="n">
        <x:v>10</x:v>
      </x:c>
      <x:c r="M49" s="11" t="n">
        <x:v>0.7959615384615385</x:v>
      </x:c>
      <x:c r="N49" s="6" t="n">
        <x:v>1495000</x:v>
      </x:c>
    </x:row>
    <x:row r="50" ht="24" customHeight="1">
      <x:c r="A50" s="2" t="str">
        <x:v>2026-10-21_Day</x:v>
      </x:c>
      <x:c r="B50" s="6" t="str">
        <x:v>デイ</x:v>
      </x:c>
      <x:c r="C50" s="6" t="n">
        <x:v>620000</x:v>
      </x:c>
      <x:c r="D50" s="6" t="n">
        <x:v>2405000</x:v>
      </x:c>
      <x:c r="E50" s="6" t="n">
        <x:f>C50-D50</x:f>
        <x:v>-1785000</x:v>
      </x:c>
      <x:c r="F50" s="6" t="n">
        <x:f>F49+E50</x:f>
        <x:v>-78615000</x:v>
      </x:c>
      <x:c r="G50" s="6" t="n">
        <x:v>620000</x:v>
      </x:c>
      <x:c r="H50" s="6" t="n">
        <x:v>2405000</x:v>
      </x:c>
      <x:c r="I50" s="6" t="n">
        <x:v>197</x:v>
      </x:c>
      <x:c r="J50" s="6" t="n">
        <x:v>0</x:v>
      </x:c>
      <x:c r="K50" s="6" t="n">
        <x:v>0</x:v>
      </x:c>
      <x:c r="L50" s="6" t="n">
        <x:v>10</x:v>
      </x:c>
      <x:c r="M50" s="11" t="n">
        <x:v>0.803968253968254</x:v>
      </x:c>
      <x:c r="N50" s="6" t="n">
        <x:v>1835000</x:v>
      </x:c>
    </x:row>
    <x:row r="51" ht="24" customHeight="1">
      <x:c r="A51" s="2" t="str">
        <x:v>2026-10-21_Night</x:v>
      </x:c>
      <x:c r="B51" s="6" t="str">
        <x:v>ナイト</x:v>
      </x:c>
      <x:c r="C51" s="6" t="n">
        <x:v>990000</x:v>
      </x:c>
      <x:c r="D51" s="6" t="n">
        <x:v>2435000</x:v>
      </x:c>
      <x:c r="E51" s="6" t="n">
        <x:f>C51-D51</x:f>
        <x:v>-1445000</x:v>
      </x:c>
      <x:c r="F51" s="6" t="n">
        <x:f>F50+E51</x:f>
        <x:v>-80060000</x:v>
      </x:c>
      <x:c r="G51" s="6" t="n">
        <x:v>990000</x:v>
      </x:c>
      <x:c r="H51" s="6" t="n">
        <x:v>2435000</x:v>
      </x:c>
      <x:c r="I51" s="6" t="n">
        <x:v>266</x:v>
      </x:c>
      <x:c r="J51" s="6" t="n">
        <x:v>0</x:v>
      </x:c>
      <x:c r="K51" s="6" t="n">
        <x:v>0</x:v>
      </x:c>
      <x:c r="L51" s="6" t="n">
        <x:v>10</x:v>
      </x:c>
      <x:c r="M51" s="11" t="n">
        <x:v>0.788525641025641</x:v>
      </x:c>
      <x:c r="N51" s="6" t="n">
        <x:v>1465000</x:v>
      </x:c>
    </x:row>
    <x:row r="52" ht="24" customHeight="1">
      <x:c r="A52" s="2" t="str">
        <x:v>2026-10-22_Day</x:v>
      </x:c>
      <x:c r="B52" s="6" t="str">
        <x:v>デイ</x:v>
      </x:c>
      <x:c r="C52" s="6" t="n">
        <x:v>1225000</x:v>
      </x:c>
      <x:c r="D52" s="6" t="n">
        <x:v>2150000</x:v>
      </x:c>
      <x:c r="E52" s="6" t="n">
        <x:f>C52-D52</x:f>
        <x:v>-925000</x:v>
      </x:c>
      <x:c r="F52" s="6" t="n">
        <x:f>F51+E52</x:f>
        <x:v>-80985000</x:v>
      </x:c>
      <x:c r="G52" s="6" t="n">
        <x:v>1225000</x:v>
      </x:c>
      <x:c r="H52" s="6" t="n">
        <x:v>2150000</x:v>
      </x:c>
      <x:c r="I52" s="6" t="n">
        <x:v>208</x:v>
      </x:c>
      <x:c r="J52" s="6" t="n">
        <x:v>0</x:v>
      </x:c>
      <x:c r="K52" s="6" t="n">
        <x:v>0</x:v>
      </x:c>
      <x:c r="L52" s="6" t="n">
        <x:v>10</x:v>
      </x:c>
      <x:c r="M52" s="11" t="n">
        <x:v>0.8274206349206349</x:v>
      </x:c>
      <x:c r="N52" s="6" t="n">
        <x:v>1155000</x:v>
      </x:c>
    </x:row>
    <x:row r="53" ht="24" customHeight="1">
      <x:c r="A53" s="2" t="str">
        <x:v>2026-10-22_Night</x:v>
      </x:c>
      <x:c r="B53" s="6" t="str">
        <x:v>ナイト</x:v>
      </x:c>
      <x:c r="C53" s="6" t="n">
        <x:v>1330000</x:v>
      </x:c>
      <x:c r="D53" s="6" t="n">
        <x:v>2990000</x:v>
      </x:c>
      <x:c r="E53" s="6" t="n">
        <x:f>C53-D53</x:f>
        <x:v>-1660000</x:v>
      </x:c>
      <x:c r="F53" s="6" t="n">
        <x:f>F52+E53</x:f>
        <x:v>-82645000</x:v>
      </x:c>
      <x:c r="G53" s="6" t="n">
        <x:v>1330000</x:v>
      </x:c>
      <x:c r="H53" s="6" t="n">
        <x:v>2990000</x:v>
      </x:c>
      <x:c r="I53" s="6" t="n">
        <x:v>308</x:v>
      </x:c>
      <x:c r="J53" s="6" t="n">
        <x:v>0</x:v>
      </x:c>
      <x:c r="K53" s="6" t="n">
        <x:v>0</x:v>
      </x:c>
      <x:c r="L53" s="6" t="n">
        <x:v>10</x:v>
      </x:c>
      <x:c r="M53" s="11" t="n">
        <x:v>0.8151068376068376</x:v>
      </x:c>
      <x:c r="N53" s="6" t="n">
        <x:v>1685000</x:v>
      </x:c>
    </x:row>
    <x:row r="54" ht="24" customHeight="1">
      <x:c r="A54" s="2" t="str">
        <x:v>2026-10-23_Day</x:v>
      </x:c>
      <x:c r="B54" s="6" t="str">
        <x:v>デイ</x:v>
      </x:c>
      <x:c r="C54" s="6" t="n">
        <x:v>2275000</x:v>
      </x:c>
      <x:c r="D54" s="6" t="n">
        <x:v>3260000</x:v>
      </x:c>
      <x:c r="E54" s="6" t="n">
        <x:f>C54-D54</x:f>
        <x:v>-985000</x:v>
      </x:c>
      <x:c r="F54" s="6" t="n">
        <x:f>F53+E54</x:f>
        <x:v>-83630000</x:v>
      </x:c>
      <x:c r="G54" s="6" t="n">
        <x:v>2275000</x:v>
      </x:c>
      <x:c r="H54" s="6" t="n">
        <x:v>3260000</x:v>
      </x:c>
      <x:c r="I54" s="6" t="n">
        <x:v>256</x:v>
      </x:c>
      <x:c r="J54" s="6" t="n">
        <x:v>0</x:v>
      </x:c>
      <x:c r="K54" s="6" t="n">
        <x:v>0</x:v>
      </x:c>
      <x:c r="L54" s="6" t="n">
        <x:v>10</x:v>
      </x:c>
      <x:c r="M54" s="11" t="n">
        <x:v>0.8198412698412698</x:v>
      </x:c>
      <x:c r="N54" s="6" t="n">
        <x:v>1025000</x:v>
      </x:c>
    </x:row>
    <x:row r="55" ht="24" customHeight="1">
      <x:c r="A55" s="2" t="str">
        <x:v>2026-10-23_Night</x:v>
      </x:c>
      <x:c r="B55" s="6" t="str">
        <x:v>ナイト</x:v>
      </x:c>
      <x:c r="C55" s="6" t="n">
        <x:v>1095000</x:v>
      </x:c>
      <x:c r="D55" s="6" t="n">
        <x:v>3540000</x:v>
      </x:c>
      <x:c r="E55" s="6" t="n">
        <x:f>C55-D55</x:f>
        <x:v>-2445000</x:v>
      </x:c>
      <x:c r="F55" s="6" t="n">
        <x:f>F54+E55</x:f>
        <x:v>-86075000</x:v>
      </x:c>
      <x:c r="G55" s="6" t="n">
        <x:v>1095000</x:v>
      </x:c>
      <x:c r="H55" s="6" t="n">
        <x:v>3540000</x:v>
      </x:c>
      <x:c r="I55" s="6" t="n">
        <x:v>328</x:v>
      </x:c>
      <x:c r="J55" s="6" t="n">
        <x:v>0</x:v>
      </x:c>
      <x:c r="K55" s="6" t="n">
        <x:v>0</x:v>
      </x:c>
      <x:c r="L55" s="6" t="n">
        <x:v>10</x:v>
      </x:c>
      <x:c r="M55" s="11" t="n">
        <x:v>0.7939957264957265</x:v>
      </x:c>
      <x:c r="N55" s="6" t="n">
        <x:v>2490000</x:v>
      </x:c>
    </x:row>
    <x:row r="56" ht="24" customHeight="1">
      <x:c r="A56" s="2" t="str">
        <x:v>2026-10-26_Day</x:v>
      </x:c>
      <x:c r="B56" s="6" t="str">
        <x:v>デイ</x:v>
      </x:c>
      <x:c r="C56" s="6" t="n">
        <x:v>1035000</x:v>
      </x:c>
      <x:c r="D56" s="6" t="n">
        <x:v>2795000</x:v>
      </x:c>
      <x:c r="E56" s="6" t="n">
        <x:f>C56-D56</x:f>
        <x:v>-1760000</x:v>
      </x:c>
      <x:c r="F56" s="6" t="n">
        <x:f>F55+E56</x:f>
        <x:v>-87835000</x:v>
      </x:c>
      <x:c r="G56" s="6" t="n">
        <x:v>1035000</x:v>
      </x:c>
      <x:c r="H56" s="6" t="n">
        <x:v>2795000</x:v>
      </x:c>
      <x:c r="I56" s="6" t="n">
        <x:v>224</x:v>
      </x:c>
      <x:c r="J56" s="6" t="n">
        <x:v>0</x:v>
      </x:c>
      <x:c r="K56" s="6" t="n">
        <x:v>0</x:v>
      </x:c>
      <x:c r="L56" s="6" t="n">
        <x:v>10</x:v>
      </x:c>
      <x:c r="M56" s="11" t="n">
        <x:v>0.8161111111111111</x:v>
      </x:c>
      <x:c r="N56" s="6" t="n">
        <x:v>1770000</x:v>
      </x:c>
    </x:row>
    <x:row r="57" ht="24" customHeight="1">
      <x:c r="A57" s="15" t="str">
        <x:v>累計／平均／最大</x:v>
      </x:c>
      <x:c r="B57" s="16"/>
      <x:c r="C57" s="16" t="n">
        <x:f>SUM(C6:C56)</x:f>
        <x:v>45155000</x:v>
      </x:c>
      <x:c r="D57" s="16" t="n">
        <x:f>SUM(D6:D56)</x:f>
        <x:v>132990000</x:v>
      </x:c>
      <x:c r="E57" s="16" t="n">
        <x:f>C57-D57</x:f>
        <x:v>-87835000</x:v>
      </x:c>
      <x:c r="F57" s="16" t="n">
        <x:f>F56</x:f>
        <x:v>-87835000</x:v>
      </x:c>
      <x:c r="G57" s="16" t="n">
        <x:f>SUM(G6:G56)</x:f>
        <x:v>45155000</x:v>
      </x:c>
      <x:c r="H57" s="16" t="n">
        <x:f>SUM(H6:H56)</x:f>
        <x:v>132990000</x:v>
      </x:c>
      <x:c r="I57" s="16" t="n">
        <x:f>SUM(I6:I56)</x:f>
        <x:v>12140</x:v>
      </x:c>
      <x:c r="J57" s="16" t="n">
        <x:f>SUM(J6:J56)</x:f>
        <x:v>0</x:v>
      </x:c>
      <x:c r="K57" s="16" t="n">
        <x:f>SUM(K6:K56)</x:f>
        <x:v>0</x:v>
      </x:c>
      <x:c r="L57" s="16" t="n">
        <x:f>MAX(L6:L56)</x:f>
        <x:v>10</x:v>
      </x:c>
      <x:c r="M57" s="17" t="n">
        <x:f>AVERAGE(M6:M56)</x:f>
        <x:v>0.7916445210562861</x:v>
      </x:c>
      <x:c r="N57" s="16" t="n">
        <x:f>MAX(N6:N56)</x:f>
        <x:v>2805000</x:v>
      </x:c>
    </x:row>
  </x:sheetData>
  <x:conditionalFormatting sqref="E6:F56">
    <x:cfRule type="cellIs" dxfId="67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348f46083c249ea"/>
  </x:tableParts>
</x:worksheet>
</file>

<file path=xl/worksheets/sheet70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4" customHeight="1">
      <x:c r="A1" s="3" t="str">
        <x:v>10月26日ナイトの既取得途中参考</x:v>
      </x:c>
      <x:c r="B1" s="2"/>
      <x:c r="C1" s="2"/>
      <x:c r="D1" s="2"/>
      <x:c r="E1" s="2"/>
      <x:c r="F1" s="2"/>
      <x:c r="G1" s="2"/>
      <x:c r="H1" s="2"/>
    </x:row>
    <x:row r="2" ht="24" customHeight="1">
      <x:c r="A2" s="4" t="str">
        <x:v>2026/09/21〜10/26デイ・51完了場。日経mini／TOPIXmini各上限10枚・手数料0。</x:v>
      </x:c>
      <x:c r="B2" s="2"/>
      <x:c r="C2" s="2"/>
      <x:c r="D2" s="2"/>
      <x:c r="E2" s="2"/>
      <x:c r="F2" s="2"/>
      <x:c r="G2" s="2"/>
      <x:c r="H2" s="2"/>
    </x:row>
    <x:row r="3" ht="24" customHeight="1">
      <x:c r="A3" s="4" t="str">
        <x:v>21:13:52未満。末尾で仮精算せず、51完了場の比較から除外。</x:v>
      </x:c>
      <x:c r="B3" s="2"/>
      <x:c r="C3" s="2"/>
      <x:c r="D3" s="2"/>
      <x:c r="E3" s="2"/>
      <x:c r="F3" s="2"/>
      <x:c r="G3" s="2"/>
      <x:c r="H3" s="2"/>
    </x:row>
    <x:row r="4" ht="24" customHeight="1">
      <x:c r="A4" s="4" t="str">
        <x:v>利益・損失＝FIFO返済配賦別。親＝初回から全返済まで。ラージ気配による模型で、mini実約定の検証ではありません。</x:v>
      </x:c>
      <x:c r="B4" s="2"/>
      <x:c r="C4" s="2"/>
      <x:c r="D4" s="2"/>
      <x:c r="E4" s="2"/>
      <x:c r="F4" s="2"/>
      <x:c r="G4" s="2"/>
      <x:c r="H4" s="2"/>
    </x:row>
    <x:row r="5" ht="42" customHeight="1">
      <x:c r="A5" s="10" t="str">
        <x:v>銘柄・手法</x:v>
      </x:c>
      <x:c r="B5" s="10" t="str">
        <x:v>実現利益（円）</x:v>
      </x:c>
      <x:c r="C5" s="10" t="str">
        <x:v>実現損失（円）</x:v>
      </x:c>
      <x:c r="D5" s="10" t="str">
        <x:v>実現収支（円）</x:v>
      </x:c>
      <x:c r="E5" s="10" t="str">
        <x:v>未返済含み（円）</x:v>
      </x:c>
      <x:c r="F5" s="10" t="str">
        <x:v>時価収支（円）</x:v>
      </x:c>
      <x:c r="G5" s="10" t="str">
        <x:v>初回件数</x:v>
      </x:c>
      <x:c r="H5" s="10" t="str">
        <x:v>未返済枚数</x:v>
      </x:c>
    </x:row>
    <x:row r="6" ht="24" customHeight="1">
      <x:c r="A6" s="2" t="str">
        <x:v>日経_R01</x:v>
      </x:c>
      <x:c r="B6" s="6" t="n">
        <x:v>176000</x:v>
      </x:c>
      <x:c r="C6" s="6" t="n">
        <x:v>305000</x:v>
      </x:c>
      <x:c r="D6" s="6" t="n">
        <x:f>B6-C6</x:f>
        <x:v>-129000</x:v>
      </x:c>
      <x:c r="E6" s="6" t="n">
        <x:v>-2000</x:v>
      </x:c>
      <x:c r="F6" s="6" t="n">
        <x:f>D6+E6</x:f>
        <x:v>-131000</x:v>
      </x:c>
      <x:c r="G6" s="6" t="n">
        <x:v>60</x:v>
      </x:c>
      <x:c r="H6" s="6" t="n">
        <x:v>2</x:v>
      </x:c>
    </x:row>
    <x:row r="7" ht="24" customHeight="1">
      <x:c r="A7" s="2" t="str">
        <x:v>日経_R02</x:v>
      </x:c>
      <x:c r="B7" s="6" t="n">
        <x:v>172000</x:v>
      </x:c>
      <x:c r="C7" s="6" t="n">
        <x:v>332000</x:v>
      </x:c>
      <x:c r="D7" s="6" t="n">
        <x:f>B7-C7</x:f>
        <x:v>-160000</x:v>
      </x:c>
      <x:c r="E7" s="6" t="n">
        <x:v>-2000</x:v>
      </x:c>
      <x:c r="F7" s="6" t="n">
        <x:f>D7+E7</x:f>
        <x:v>-162000</x:v>
      </x:c>
      <x:c r="G7" s="6" t="n">
        <x:v>55</x:v>
      </x:c>
      <x:c r="H7" s="6" t="n">
        <x:v>2</x:v>
      </x:c>
    </x:row>
    <x:row r="8" ht="24" customHeight="1">
      <x:c r="A8" s="2" t="str">
        <x:v>日経_R03</x:v>
      </x:c>
      <x:c r="B8" s="6" t="n">
        <x:v>265000</x:v>
      </x:c>
      <x:c r="C8" s="6" t="n">
        <x:v>649000</x:v>
      </x:c>
      <x:c r="D8" s="6" t="n">
        <x:f>B8-C8</x:f>
        <x:v>-384000</x:v>
      </x:c>
      <x:c r="E8" s="6" t="n">
        <x:v>-8000</x:v>
      </x:c>
      <x:c r="F8" s="6" t="n">
        <x:f>D8+E8</x:f>
        <x:v>-392000</x:v>
      </x:c>
      <x:c r="G8" s="6" t="n">
        <x:v>55</x:v>
      </x:c>
      <x:c r="H8" s="6" t="n">
        <x:v>4</x:v>
      </x:c>
    </x:row>
    <x:row r="9" ht="24" customHeight="1">
      <x:c r="A9" s="2" t="str">
        <x:v>日経_R04</x:v>
      </x:c>
      <x:c r="B9" s="6" t="n">
        <x:v>218000</x:v>
      </x:c>
      <x:c r="C9" s="6" t="n">
        <x:v>468000</x:v>
      </x:c>
      <x:c r="D9" s="6" t="n">
        <x:f>B9-C9</x:f>
        <x:v>-250000</x:v>
      </x:c>
      <x:c r="E9" s="6" t="n">
        <x:v>-15000</x:v>
      </x:c>
      <x:c r="F9" s="6" t="n">
        <x:f>D9+E9</x:f>
        <x:v>-265000</x:v>
      </x:c>
      <x:c r="G9" s="6" t="n">
        <x:v>55</x:v>
      </x:c>
      <x:c r="H9" s="6" t="n">
        <x:v>5</x:v>
      </x:c>
    </x:row>
    <x:row r="10" ht="24" customHeight="1">
      <x:c r="A10" s="2" t="str">
        <x:v>日経_R05</x:v>
      </x:c>
      <x:c r="B10" s="6" t="n">
        <x:v>25000</x:v>
      </x:c>
      <x:c r="C10" s="6" t="n">
        <x:v>40000</x:v>
      </x:c>
      <x:c r="D10" s="6" t="n">
        <x:f>B10-C10</x:f>
        <x:v>-15000</x:v>
      </x:c>
      <x:c r="E10" s="6" t="n">
        <x:v>-4000</x:v>
      </x:c>
      <x:c r="F10" s="6" t="n">
        <x:f>D10+E10</x:f>
        <x:v>-19000</x:v>
      </x:c>
      <x:c r="G10" s="6" t="n">
        <x:v>12</x:v>
      </x:c>
      <x:c r="H10" s="6" t="n">
        <x:v>1</x:v>
      </x:c>
    </x:row>
    <x:row r="11" ht="24" customHeight="1">
      <x:c r="A11" s="2" t="str">
        <x:v>日経_R06</x:v>
      </x:c>
      <x:c r="B11" s="6" t="n">
        <x:v>32000</x:v>
      </x:c>
      <x:c r="C11" s="6" t="n">
        <x:v>64000</x:v>
      </x:c>
      <x:c r="D11" s="6" t="n">
        <x:f>B11-C11</x:f>
        <x:v>-32000</x:v>
      </x:c>
      <x:c r="E11" s="6" t="n">
        <x:v>-5000</x:v>
      </x:c>
      <x:c r="F11" s="6" t="n">
        <x:f>D11+E11</x:f>
        <x:v>-37000</x:v>
      </x:c>
      <x:c r="G11" s="6" t="n">
        <x:v>12</x:v>
      </x:c>
      <x:c r="H11" s="6" t="n">
        <x:v>1</x:v>
      </x:c>
    </x:row>
    <x:row r="12" ht="24" customHeight="1">
      <x:c r="A12" s="2" t="str">
        <x:v>日経_R07</x:v>
      </x:c>
      <x:c r="B12" s="6" t="n">
        <x:v>55000</x:v>
      </x:c>
      <x:c r="C12" s="6" t="n">
        <x:v>134000</x:v>
      </x:c>
      <x:c r="D12" s="6" t="n">
        <x:f>B12-C12</x:f>
        <x:v>-79000</x:v>
      </x:c>
      <x:c r="E12" s="6" t="n">
        <x:v>-4000</x:v>
      </x:c>
      <x:c r="F12" s="6" t="n">
        <x:f>D12+E12</x:f>
        <x:v>-83000</x:v>
      </x:c>
      <x:c r="G12" s="6" t="n">
        <x:v>12</x:v>
      </x:c>
      <x:c r="H12" s="6" t="n">
        <x:v>1</x:v>
      </x:c>
    </x:row>
    <x:row r="13" ht="24" customHeight="1">
      <x:c r="A13" s="2" t="str">
        <x:v>日経_R08</x:v>
      </x:c>
      <x:c r="B13" s="6" t="n">
        <x:v>39000</x:v>
      </x:c>
      <x:c r="C13" s="6" t="n">
        <x:v>92000</x:v>
      </x:c>
      <x:c r="D13" s="6" t="n">
        <x:f>B13-C13</x:f>
        <x:v>-53000</x:v>
      </x:c>
      <x:c r="E13" s="6" t="n">
        <x:v>-5000</x:v>
      </x:c>
      <x:c r="F13" s="6" t="n">
        <x:f>D13+E13</x:f>
        <x:v>-58000</x:v>
      </x:c>
      <x:c r="G13" s="6" t="n">
        <x:v>12</x:v>
      </x:c>
      <x:c r="H13" s="6" t="n">
        <x:v>1</x:v>
      </x:c>
    </x:row>
    <x:row r="14" ht="24" customHeight="1">
      <x:c r="A14" s="2" t="str">
        <x:v>日経_M01</x:v>
      </x:c>
      <x:c r="B14" s="6" t="n">
        <x:v>583000</x:v>
      </x:c>
      <x:c r="C14" s="6" t="n">
        <x:v>1125000</x:v>
      </x:c>
      <x:c r="D14" s="6" t="n">
        <x:f>B14-C14</x:f>
        <x:v>-542000</x:v>
      </x:c>
      <x:c r="E14" s="6" t="n">
        <x:v>-9000</x:v>
      </x:c>
      <x:c r="F14" s="6" t="n">
        <x:f>D14+E14</x:f>
        <x:v>-551000</x:v>
      </x:c>
      <x:c r="G14" s="6" t="n">
        <x:v>39</x:v>
      </x:c>
      <x:c r="H14" s="6" t="n">
        <x:v>9</x:v>
      </x:c>
    </x:row>
    <x:row r="15" ht="24" customHeight="1">
      <x:c r="A15" s="2" t="str">
        <x:v>日経_M02</x:v>
      </x:c>
      <x:c r="B15" s="6" t="n">
        <x:v>495000</x:v>
      </x:c>
      <x:c r="C15" s="6" t="n">
        <x:v>2019000</x:v>
      </x:c>
      <x:c r="D15" s="6" t="n">
        <x:f>B15-C15</x:f>
        <x:v>-1524000</x:v>
      </x:c>
      <x:c r="E15" s="6" t="n">
        <x:v>-10000</x:v>
      </x:c>
      <x:c r="F15" s="6" t="n">
        <x:f>D15+E15</x:f>
        <x:v>-1534000</x:v>
      </x:c>
      <x:c r="G15" s="6" t="n">
        <x:v>136</x:v>
      </x:c>
      <x:c r="H15" s="6" t="n">
        <x:v>5</x:v>
      </x:c>
    </x:row>
    <x:row r="16" ht="24" customHeight="1">
      <x:c r="A16" s="2" t="str">
        <x:v>日経_M03</x:v>
      </x:c>
      <x:c r="B16" s="6" t="n">
        <x:v>521000</x:v>
      </x:c>
      <x:c r="C16" s="6" t="n">
        <x:v>2023000</x:v>
      </x:c>
      <x:c r="D16" s="6" t="n">
        <x:f>B16-C16</x:f>
        <x:v>-1502000</x:v>
      </x:c>
      <x:c r="E16" s="6" t="n">
        <x:v>-10000</x:v>
      </x:c>
      <x:c r="F16" s="6" t="n">
        <x:f>D16+E16</x:f>
        <x:v>-1512000</x:v>
      </x:c>
      <x:c r="G16" s="6" t="n">
        <x:v>145</x:v>
      </x:c>
      <x:c r="H16" s="6" t="n">
        <x:v>5</x:v>
      </x:c>
    </x:row>
    <x:row r="17" ht="24" customHeight="1">
      <x:c r="A17" s="2" t="str">
        <x:v>日経_M04</x:v>
      </x:c>
      <x:c r="B17" s="6" t="n">
        <x:v>318000</x:v>
      </x:c>
      <x:c r="C17" s="6" t="n">
        <x:v>1626000</x:v>
      </x:c>
      <x:c r="D17" s="6" t="n">
        <x:f>B17-C17</x:f>
        <x:v>-1308000</x:v>
      </x:c>
      <x:c r="E17" s="6" t="n">
        <x:v>-5000</x:v>
      </x:c>
      <x:c r="F17" s="6" t="n">
        <x:f>D17+E17</x:f>
        <x:v>-1313000</x:v>
      </x:c>
      <x:c r="G17" s="6" t="n">
        <x:v>39</x:v>
      </x:c>
      <x:c r="H17" s="6" t="n">
        <x:v>1</x:v>
      </x:c>
    </x:row>
    <x:row r="18" ht="24" customHeight="1">
      <x:c r="A18" s="2" t="str">
        <x:v>日経_M05</x:v>
      </x:c>
      <x:c r="B18" s="6" t="n">
        <x:v>459000</x:v>
      </x:c>
      <x:c r="C18" s="6" t="n">
        <x:v>2355000</x:v>
      </x:c>
      <x:c r="D18" s="6" t="n">
        <x:f>B18-C18</x:f>
        <x:v>-1896000</x:v>
      </x:c>
      <x:c r="E18" s="6" t="n">
        <x:v>-17000</x:v>
      </x:c>
      <x:c r="F18" s="6" t="n">
        <x:f>D18+E18</x:f>
        <x:v>-1913000</x:v>
      </x:c>
      <x:c r="G18" s="6" t="n">
        <x:v>136</x:v>
      </x:c>
      <x:c r="H18" s="6" t="n">
        <x:v>6</x:v>
      </x:c>
    </x:row>
    <x:row r="19" ht="24" customHeight="1">
      <x:c r="A19" s="2" t="str">
        <x:v>日経_M06</x:v>
      </x:c>
      <x:c r="B19" s="6" t="n">
        <x:v>468000</x:v>
      </x:c>
      <x:c r="C19" s="6" t="n">
        <x:v>2394000</x:v>
      </x:c>
      <x:c r="D19" s="6" t="n">
        <x:f>B19-C19</x:f>
        <x:v>-1926000</x:v>
      </x:c>
      <x:c r="E19" s="6" t="n">
        <x:v>-17000</x:v>
      </x:c>
      <x:c r="F19" s="6" t="n">
        <x:f>D19+E19</x:f>
        <x:v>-1943000</x:v>
      </x:c>
      <x:c r="G19" s="6" t="n">
        <x:v>145</x:v>
      </x:c>
      <x:c r="H19" s="6" t="n">
        <x:v>6</x:v>
      </x:c>
    </x:row>
    <x:row r="20" ht="24" customHeight="1">
      <x:c r="A20" s="2" t="str">
        <x:v>日経_M07</x:v>
      </x:c>
      <x:c r="B20" s="6" t="n">
        <x:v>650000</x:v>
      </x:c>
      <x:c r="C20" s="6" t="n">
        <x:v>644000</x:v>
      </x:c>
      <x:c r="D20" s="6" t="n">
        <x:f>B20-C20</x:f>
        <x:v>6000</x:v>
      </x:c>
      <x:c r="E20" s="6" t="n">
        <x:v>-12000</x:v>
      </x:c>
      <x:c r="F20" s="6" t="n">
        <x:f>D20+E20</x:f>
        <x:v>-6000</x:v>
      </x:c>
      <x:c r="G20" s="6" t="n">
        <x:v>39</x:v>
      </x:c>
      <x:c r="H20" s="6" t="n">
        <x:v>6</x:v>
      </x:c>
    </x:row>
    <x:row r="21" ht="24" customHeight="1">
      <x:c r="A21" s="2" t="str">
        <x:v>日経_M08</x:v>
      </x:c>
      <x:c r="B21" s="6" t="n">
        <x:v>478000</x:v>
      </x:c>
      <x:c r="C21" s="6" t="n">
        <x:v>912000</x:v>
      </x:c>
      <x:c r="D21" s="6" t="n">
        <x:f>B21-C21</x:f>
        <x:v>-434000</x:v>
      </x:c>
      <x:c r="E21" s="6" t="n">
        <x:v>-6000</x:v>
      </x:c>
      <x:c r="F21" s="6" t="n">
        <x:f>D21+E21</x:f>
        <x:v>-440000</x:v>
      </x:c>
      <x:c r="G21" s="6" t="n">
        <x:v>85</x:v>
      </x:c>
      <x:c r="H21" s="6" t="n">
        <x:v>3</x:v>
      </x:c>
    </x:row>
    <x:row r="22" ht="24" customHeight="1">
      <x:c r="A22" s="2" t="str">
        <x:v>日経_M09</x:v>
      </x:c>
      <x:c r="B22" s="6" t="n">
        <x:v>469000</x:v>
      </x:c>
      <x:c r="C22" s="6" t="n">
        <x:v>898000</x:v>
      </x:c>
      <x:c r="D22" s="6" t="n">
        <x:f>B22-C22</x:f>
        <x:v>-429000</x:v>
      </x:c>
      <x:c r="E22" s="6" t="n">
        <x:v>-6000</x:v>
      </x:c>
      <x:c r="F22" s="6" t="n">
        <x:f>D22+E22</x:f>
        <x:v>-435000</x:v>
      </x:c>
      <x:c r="G22" s="6" t="n">
        <x:v>89</x:v>
      </x:c>
      <x:c r="H22" s="6" t="n">
        <x:v>3</x:v>
      </x:c>
    </x:row>
    <x:row r="23" ht="24" customHeight="1">
      <x:c r="A23" s="2" t="str">
        <x:v>日経_M10</x:v>
      </x:c>
      <x:c r="B23" s="6" t="n">
        <x:v>383000</x:v>
      </x:c>
      <x:c r="C23" s="6" t="n">
        <x:v>758000</x:v>
      </x:c>
      <x:c r="D23" s="6" t="n">
        <x:f>B23-C23</x:f>
        <x:v>-375000</x:v>
      </x:c>
      <x:c r="E23" s="6" t="n">
        <x:v>-5000</x:v>
      </x:c>
      <x:c r="F23" s="6" t="n">
        <x:f>D23+E23</x:f>
        <x:v>-380000</x:v>
      </x:c>
      <x:c r="G23" s="6" t="n">
        <x:v>39</x:v>
      </x:c>
      <x:c r="H23" s="6" t="n">
        <x:v>1</x:v>
      </x:c>
    </x:row>
    <x:row r="24" ht="24" customHeight="1">
      <x:c r="A24" s="2" t="str">
        <x:v>日経_M11</x:v>
      </x:c>
      <x:c r="B24" s="6" t="n">
        <x:v>437000</x:v>
      </x:c>
      <x:c r="C24" s="6" t="n">
        <x:v>1291000</x:v>
      </x:c>
      <x:c r="D24" s="6" t="n">
        <x:f>B24-C24</x:f>
        <x:v>-854000</x:v>
      </x:c>
      <x:c r="E24" s="6" t="n">
        <x:v>-8000</x:v>
      </x:c>
      <x:c r="F24" s="6" t="n">
        <x:f>D24+E24</x:f>
        <x:v>-862000</x:v>
      </x:c>
      <x:c r="G24" s="6" t="n">
        <x:v>85</x:v>
      </x:c>
      <x:c r="H24" s="6" t="n">
        <x:v>4</x:v>
      </x:c>
    </x:row>
    <x:row r="25" ht="24" customHeight="1">
      <x:c r="A25" s="2" t="str">
        <x:v>日経_M12</x:v>
      </x:c>
      <x:c r="B25" s="6" t="n">
        <x:v>437000</x:v>
      </x:c>
      <x:c r="C25" s="6" t="n">
        <x:v>1300000</x:v>
      </x:c>
      <x:c r="D25" s="6" t="n">
        <x:f>B25-C25</x:f>
        <x:v>-863000</x:v>
      </x:c>
      <x:c r="E25" s="6" t="n">
        <x:v>-8000</x:v>
      </x:c>
      <x:c r="F25" s="6" t="n">
        <x:f>D25+E25</x:f>
        <x:v>-871000</x:v>
      </x:c>
      <x:c r="G25" s="6" t="n">
        <x:v>89</x:v>
      </x:c>
      <x:c r="H25" s="6" t="n">
        <x:v>4</x:v>
      </x:c>
    </x:row>
    <x:row r="26" ht="24" customHeight="1">
      <x:c r="A26" s="2" t="str">
        <x:v>日経_M13</x:v>
      </x:c>
      <x:c r="B26" s="6" t="n">
        <x:v>504000</x:v>
      </x:c>
      <x:c r="C26" s="6" t="n">
        <x:v>489000</x:v>
      </x:c>
      <x:c r="D26" s="6" t="n">
        <x:f>B26-C26</x:f>
        <x:v>15000</x:v>
      </x:c>
      <x:c r="E26" s="6" t="n">
        <x:v>-16000</x:v>
      </x:c>
      <x:c r="F26" s="6" t="n">
        <x:f>D26+E26</x:f>
        <x:v>-1000</x:v>
      </x:c>
      <x:c r="G26" s="6" t="n">
        <x:v>35</x:v>
      </x:c>
      <x:c r="H26" s="6" t="n">
        <x:v>8</x:v>
      </x:c>
    </x:row>
    <x:row r="27" ht="24" customHeight="1">
      <x:c r="A27" s="2" t="str">
        <x:v>日経_M14</x:v>
      </x:c>
      <x:c r="B27" s="6" t="n">
        <x:v>302000</x:v>
      </x:c>
      <x:c r="C27" s="6" t="n">
        <x:v>583000</x:v>
      </x:c>
      <x:c r="D27" s="6" t="n">
        <x:f>B27-C27</x:f>
        <x:v>-281000</x:v>
      </x:c>
      <x:c r="E27" s="6" t="n">
        <x:v>-4000</x:v>
      </x:c>
      <x:c r="F27" s="6" t="n">
        <x:f>D27+E27</x:f>
        <x:v>-285000</x:v>
      </x:c>
      <x:c r="G27" s="6" t="n">
        <x:v>61</x:v>
      </x:c>
      <x:c r="H27" s="6" t="n">
        <x:v>2</x:v>
      </x:c>
    </x:row>
    <x:row r="28" ht="24" customHeight="1">
      <x:c r="A28" s="2" t="str">
        <x:v>日経_M15</x:v>
      </x:c>
      <x:c r="B28" s="6" t="n">
        <x:v>301000</x:v>
      </x:c>
      <x:c r="C28" s="6" t="n">
        <x:v>613000</x:v>
      </x:c>
      <x:c r="D28" s="6" t="n">
        <x:f>B28-C28</x:f>
        <x:v>-312000</x:v>
      </x:c>
      <x:c r="E28" s="6" t="n">
        <x:v>-4000</x:v>
      </x:c>
      <x:c r="F28" s="6" t="n">
        <x:f>D28+E28</x:f>
        <x:v>-316000</x:v>
      </x:c>
      <x:c r="G28" s="6" t="n">
        <x:v>64</x:v>
      </x:c>
      <x:c r="H28" s="6" t="n">
        <x:v>2</x:v>
      </x:c>
    </x:row>
    <x:row r="29" ht="24" customHeight="1">
      <x:c r="A29" s="2" t="str">
        <x:v>日経_M16</x:v>
      </x:c>
      <x:c r="B29" s="6" t="n">
        <x:v>309000</x:v>
      </x:c>
      <x:c r="C29" s="6" t="n">
        <x:v>722000</x:v>
      </x:c>
      <x:c r="D29" s="6" t="n">
        <x:f>B29-C29</x:f>
        <x:v>-413000</x:v>
      </x:c>
      <x:c r="E29" s="6" t="n">
        <x:v>-4000</x:v>
      </x:c>
      <x:c r="F29" s="6" t="n">
        <x:f>D29+E29</x:f>
        <x:v>-417000</x:v>
      </x:c>
      <x:c r="G29" s="6" t="n">
        <x:v>35</x:v>
      </x:c>
      <x:c r="H29" s="6" t="n">
        <x:v>1</x:v>
      </x:c>
    </x:row>
    <x:row r="30" ht="24" customHeight="1">
      <x:c r="A30" s="2" t="str">
        <x:v>日経_M17</x:v>
      </x:c>
      <x:c r="B30" s="6" t="n">
        <x:v>321000</x:v>
      </x:c>
      <x:c r="C30" s="6" t="n">
        <x:v>879000</x:v>
      </x:c>
      <x:c r="D30" s="6" t="n">
        <x:f>B30-C30</x:f>
        <x:v>-558000</x:v>
      </x:c>
      <x:c r="E30" s="6" t="n">
        <x:v>-10000</x:v>
      </x:c>
      <x:c r="F30" s="6" t="n">
        <x:f>D30+E30</x:f>
        <x:v>-568000</x:v>
      </x:c>
      <x:c r="G30" s="6" t="n">
        <x:v>61</x:v>
      </x:c>
      <x:c r="H30" s="6" t="n">
        <x:v>4</x:v>
      </x:c>
    </x:row>
    <x:row r="31" ht="24" customHeight="1">
      <x:c r="A31" s="2" t="str">
        <x:v>日経_M18</x:v>
      </x:c>
      <x:c r="B31" s="6" t="n">
        <x:v>320000</x:v>
      </x:c>
      <x:c r="C31" s="6" t="n">
        <x:v>878000</x:v>
      </x:c>
      <x:c r="D31" s="6" t="n">
        <x:f>B31-C31</x:f>
        <x:v>-558000</x:v>
      </x:c>
      <x:c r="E31" s="6" t="n">
        <x:v>-10000</x:v>
      </x:c>
      <x:c r="F31" s="6" t="n">
        <x:f>D31+E31</x:f>
        <x:v>-568000</x:v>
      </x:c>
      <x:c r="G31" s="6" t="n">
        <x:v>64</x:v>
      </x:c>
      <x:c r="H31" s="6" t="n">
        <x:v>4</x:v>
      </x:c>
    </x:row>
    <x:row r="32" ht="24" customHeight="1">
      <x:c r="A32" s="2" t="str">
        <x:v>日経_M19</x:v>
      </x:c>
      <x:c r="B32" s="6" t="n">
        <x:v>354000</x:v>
      </x:c>
      <x:c r="C32" s="6" t="n">
        <x:v>183000</x:v>
      </x:c>
      <x:c r="D32" s="6" t="n">
        <x:f>B32-C32</x:f>
        <x:v>171000</x:v>
      </x:c>
      <x:c r="E32" s="6" t="n">
        <x:v>-5000</x:v>
      </x:c>
      <x:c r="F32" s="6" t="n">
        <x:f>D32+E32</x:f>
        <x:v>166000</x:v>
      </x:c>
      <x:c r="G32" s="6" t="n">
        <x:v>29</x:v>
      </x:c>
      <x:c r="H32" s="6" t="n">
        <x:v>1</x:v>
      </x:c>
    </x:row>
    <x:row r="33" ht="24" customHeight="1">
      <x:c r="A33" s="2" t="str">
        <x:v>日経_M20</x:v>
      </x:c>
      <x:c r="B33" s="6" t="n">
        <x:v>239000</x:v>
      </x:c>
      <x:c r="C33" s="6" t="n">
        <x:v>272000</x:v>
      </x:c>
      <x:c r="D33" s="6" t="n">
        <x:f>B33-C33</x:f>
        <x:v>-33000</x:v>
      </x:c>
      <x:c r="E33" s="6" t="n">
        <x:v>-5000</x:v>
      </x:c>
      <x:c r="F33" s="6" t="n">
        <x:f>D33+E33</x:f>
        <x:v>-38000</x:v>
      </x:c>
      <x:c r="G33" s="6" t="n">
        <x:v>41</x:v>
      </x:c>
      <x:c r="H33" s="6" t="n">
        <x:v>1</x:v>
      </x:c>
    </x:row>
    <x:row r="34" ht="24" customHeight="1">
      <x:c r="A34" s="2" t="str">
        <x:v>日経_M21</x:v>
      </x:c>
      <x:c r="B34" s="6" t="n">
        <x:v>250000</x:v>
      </x:c>
      <x:c r="C34" s="6" t="n">
        <x:v>293000</x:v>
      </x:c>
      <x:c r="D34" s="6" t="n">
        <x:f>B34-C34</x:f>
        <x:v>-43000</x:v>
      </x:c>
      <x:c r="E34" s="6" t="n">
        <x:v>-2000</x:v>
      </x:c>
      <x:c r="F34" s="6" t="n">
        <x:f>D34+E34</x:f>
        <x:v>-45000</x:v>
      </x:c>
      <x:c r="G34" s="6" t="n">
        <x:v>45</x:v>
      </x:c>
      <x:c r="H34" s="6" t="n">
        <x:v>2</x:v>
      </x:c>
    </x:row>
    <x:row r="35" ht="24" customHeight="1">
      <x:c r="A35" s="2" t="str">
        <x:v>日経_M22</x:v>
      </x:c>
      <x:c r="B35" s="6" t="n">
        <x:v>221000</x:v>
      </x:c>
      <x:c r="C35" s="6" t="n">
        <x:v>390000</x:v>
      </x:c>
      <x:c r="D35" s="6" t="n">
        <x:f>B35-C35</x:f>
        <x:v>-169000</x:v>
      </x:c>
      <x:c r="E35" s="6" t="n">
        <x:v>-4000</x:v>
      </x:c>
      <x:c r="F35" s="6" t="n">
        <x:f>D35+E35</x:f>
        <x:v>-173000</x:v>
      </x:c>
      <x:c r="G35" s="6" t="n">
        <x:v>29</x:v>
      </x:c>
      <x:c r="H35" s="6" t="n">
        <x:v>1</x:v>
      </x:c>
    </x:row>
    <x:row r="36" ht="24" customHeight="1">
      <x:c r="A36" s="2" t="str">
        <x:v>日経_M23</x:v>
      </x:c>
      <x:c r="B36" s="6" t="n">
        <x:v>231000</x:v>
      </x:c>
      <x:c r="C36" s="6" t="n">
        <x:v>448000</x:v>
      </x:c>
      <x:c r="D36" s="6" t="n">
        <x:f>B36-C36</x:f>
        <x:v>-217000</x:v>
      </x:c>
      <x:c r="E36" s="6" t="n">
        <x:v>-4000</x:v>
      </x:c>
      <x:c r="F36" s="6" t="n">
        <x:f>D36+E36</x:f>
        <x:v>-221000</x:v>
      </x:c>
      <x:c r="G36" s="6" t="n">
        <x:v>41</x:v>
      </x:c>
      <x:c r="H36" s="6" t="n">
        <x:v>1</x:v>
      </x:c>
    </x:row>
    <x:row r="37" ht="24" customHeight="1">
      <x:c r="A37" s="2" t="str">
        <x:v>日経_M24</x:v>
      </x:c>
      <x:c r="B37" s="6" t="n">
        <x:v>236000</x:v>
      </x:c>
      <x:c r="C37" s="6" t="n">
        <x:v>462000</x:v>
      </x:c>
      <x:c r="D37" s="6" t="n">
        <x:f>B37-C37</x:f>
        <x:v>-226000</x:v>
      </x:c>
      <x:c r="E37" s="6" t="n">
        <x:v>-1000</x:v>
      </x:c>
      <x:c r="F37" s="6" t="n">
        <x:f>D37+E37</x:f>
        <x:v>-227000</x:v>
      </x:c>
      <x:c r="G37" s="6" t="n">
        <x:v>45</x:v>
      </x:c>
      <x:c r="H37" s="6" t="n">
        <x:v>1</x:v>
      </x:c>
    </x:row>
    <x:row r="38" ht="24" customHeight="1">
      <x:c r="A38" s="2" t="str">
        <x:v>日経_F01</x:v>
      </x:c>
      <x:c r="B38" s="6" t="n">
        <x:v>87000</x:v>
      </x:c>
      <x:c r="C38" s="6" t="n">
        <x:v>172000</x:v>
      </x:c>
      <x:c r="D38" s="6" t="n">
        <x:f>B38-C38</x:f>
        <x:v>-85000</x:v>
      </x:c>
      <x:c r="E38" s="6" t="n">
        <x:v>-2000</x:v>
      </x:c>
      <x:c r="F38" s="6" t="n">
        <x:f>D38+E38</x:f>
        <x:v>-87000</x:v>
      </x:c>
      <x:c r="G38" s="6" t="n">
        <x:v>89</x:v>
      </x:c>
      <x:c r="H38" s="6" t="n">
        <x:v>1</x:v>
      </x:c>
    </x:row>
    <x:row r="39" ht="24" customHeight="1">
      <x:c r="A39" s="2" t="str">
        <x:v>日経_F10</x:v>
      </x:c>
      <x:c r="B39" s="6" t="n">
        <x:v>870000</x:v>
      </x:c>
      <x:c r="C39" s="6" t="n">
        <x:v>1720000</x:v>
      </x:c>
      <x:c r="D39" s="6" t="n">
        <x:f>B39-C39</x:f>
        <x:v>-850000</x:v>
      </x:c>
      <x:c r="E39" s="6" t="n">
        <x:v>-20000</x:v>
      </x:c>
      <x:c r="F39" s="6" t="n">
        <x:f>D39+E39</x:f>
        <x:v>-870000</x:v>
      </x:c>
      <x:c r="G39" s="6" t="n">
        <x:v>89</x:v>
      </x:c>
      <x:c r="H39" s="6" t="n">
        <x:v>10</x:v>
      </x:c>
    </x:row>
    <x:row r="40" ht="24" customHeight="1">
      <x:c r="A40" s="2" t="str">
        <x:v>TOPIX_R01</x:v>
      </x:c>
      <x:c r="B40" s="6" t="n">
        <x:v>79500</x:v>
      </x:c>
      <x:c r="C40" s="6" t="n">
        <x:v>153000</x:v>
      </x:c>
      <x:c r="D40" s="6" t="n">
        <x:f>B40-C40</x:f>
        <x:v>-73500</x:v>
      </x:c>
      <x:c r="E40" s="6" t="n">
        <x:v>-500</x:v>
      </x:c>
      <x:c r="F40" s="6" t="n">
        <x:f>D40+E40</x:f>
        <x:v>-74000</x:v>
      </x:c>
      <x:c r="G40" s="6" t="n">
        <x:v>67</x:v>
      </x:c>
      <x:c r="H40" s="6" t="n">
        <x:v>1</x:v>
      </x:c>
    </x:row>
    <x:row r="41" ht="24" customHeight="1">
      <x:c r="A41" s="2" t="str">
        <x:v>TOPIX_R02</x:v>
      </x:c>
      <x:c r="B41" s="6" t="n">
        <x:v>73500</x:v>
      </x:c>
      <x:c r="C41" s="6" t="n">
        <x:v>150000</x:v>
      </x:c>
      <x:c r="D41" s="6" t="n">
        <x:f>B41-C41</x:f>
        <x:v>-76500</x:v>
      </x:c>
      <x:c r="E41" s="6" t="n">
        <x:v>-500</x:v>
      </x:c>
      <x:c r="F41" s="6" t="n">
        <x:f>D41+E41</x:f>
        <x:v>-77000</x:v>
      </x:c>
      <x:c r="G41" s="6" t="n">
        <x:v>60</x:v>
      </x:c>
      <x:c r="H41" s="6" t="n">
        <x:v>1</x:v>
      </x:c>
    </x:row>
    <x:row r="42" ht="24" customHeight="1">
      <x:c r="A42" s="2" t="str">
        <x:v>TOPIX_R03</x:v>
      </x:c>
      <x:c r="B42" s="6" t="n">
        <x:v>113500</x:v>
      </x:c>
      <x:c r="C42" s="6" t="n">
        <x:v>308500</x:v>
      </x:c>
      <x:c r="D42" s="6" t="n">
        <x:f>B42-C42</x:f>
        <x:v>-195000</x:v>
      </x:c>
      <x:c r="E42" s="6" t="n">
        <x:v>-4000</x:v>
      </x:c>
      <x:c r="F42" s="6" t="n">
        <x:f>D42+E42</x:f>
        <x:v>-199000</x:v>
      </x:c>
      <x:c r="G42" s="6" t="n">
        <x:v>60</x:v>
      </x:c>
      <x:c r="H42" s="6" t="n">
        <x:v>5</x:v>
      </x:c>
    </x:row>
    <x:row r="43" ht="24" customHeight="1">
      <x:c r="A43" s="2" t="str">
        <x:v>TOPIX_R04</x:v>
      </x:c>
      <x:c r="B43" s="6" t="n">
        <x:v>93500</x:v>
      </x:c>
      <x:c r="C43" s="6" t="n">
        <x:v>267500</x:v>
      </x:c>
      <x:c r="D43" s="6" t="n">
        <x:f>B43-C43</x:f>
        <x:v>-174000</x:v>
      </x:c>
      <x:c r="E43" s="6" t="n">
        <x:v>-6500</x:v>
      </x:c>
      <x:c r="F43" s="6" t="n">
        <x:f>D43+E43</x:f>
        <x:v>-180500</x:v>
      </x:c>
      <x:c r="G43" s="6" t="n">
        <x:v>60</x:v>
      </x:c>
      <x:c r="H43" s="6" t="n">
        <x:v>5</x:v>
      </x:c>
    </x:row>
    <x:row r="44" ht="24" customHeight="1">
      <x:c r="A44" s="2" t="str">
        <x:v>TOPIX_R05</x:v>
      </x:c>
      <x:c r="B44" s="6" t="n">
        <x:v>38000</x:v>
      </x:c>
      <x:c r="C44" s="6" t="n">
        <x:v>48500</x:v>
      </x:c>
      <x:c r="D44" s="6" t="n">
        <x:f>B44-C44</x:f>
        <x:v>-10500</x:v>
      </x:c>
      <x:c r="E44" s="6" t="n">
        <x:v>-2000</x:v>
      </x:c>
      <x:c r="F44" s="6" t="n">
        <x:f>D44+E44</x:f>
        <x:v>-12500</x:v>
      </x:c>
      <x:c r="G44" s="6" t="n">
        <x:v>14</x:v>
      </x:c>
      <x:c r="H44" s="6" t="n">
        <x:v>1</x:v>
      </x:c>
    </x:row>
    <x:row r="45" ht="24" customHeight="1">
      <x:c r="A45" s="2" t="str">
        <x:v>TOPIX_R06</x:v>
      </x:c>
      <x:c r="B45" s="6" t="n">
        <x:v>31000</x:v>
      </x:c>
      <x:c r="C45" s="6" t="n">
        <x:v>39000</x:v>
      </x:c>
      <x:c r="D45" s="6" t="n">
        <x:f>B45-C45</x:f>
        <x:v>-8000</x:v>
      </x:c>
      <x:c r="E45" s="6" t="n">
        <x:v>-2000</x:v>
      </x:c>
      <x:c r="F45" s="6" t="n">
        <x:f>D45+E45</x:f>
        <x:v>-10000</x:v>
      </x:c>
      <x:c r="G45" s="6" t="n">
        <x:v>12</x:v>
      </x:c>
      <x:c r="H45" s="6" t="n">
        <x:v>1</x:v>
      </x:c>
    </x:row>
    <x:row r="46" ht="24" customHeight="1">
      <x:c r="A46" s="2" t="str">
        <x:v>TOPIX_R07</x:v>
      </x:c>
      <x:c r="B46" s="6" t="n">
        <x:v>30500</x:v>
      </x:c>
      <x:c r="C46" s="6" t="n">
        <x:v>74000</x:v>
      </x:c>
      <x:c r="D46" s="6" t="n">
        <x:f>B46-C46</x:f>
        <x:v>-43500</x:v>
      </x:c>
      <x:c r="E46" s="6" t="n">
        <x:v>-2000</x:v>
      </x:c>
      <x:c r="F46" s="6" t="n">
        <x:f>D46+E46</x:f>
        <x:v>-45500</x:v>
      </x:c>
      <x:c r="G46" s="6" t="n">
        <x:v>12</x:v>
      </x:c>
      <x:c r="H46" s="6" t="n">
        <x:v>1</x:v>
      </x:c>
    </x:row>
    <x:row r="47" ht="24" customHeight="1">
      <x:c r="A47" s="2" t="str">
        <x:v>TOPIX_R08</x:v>
      </x:c>
      <x:c r="B47" s="6" t="n">
        <x:v>23000</x:v>
      </x:c>
      <x:c r="C47" s="6" t="n">
        <x:v>55000</x:v>
      </x:c>
      <x:c r="D47" s="6" t="n">
        <x:f>B47-C47</x:f>
        <x:v>-32000</x:v>
      </x:c>
      <x:c r="E47" s="6" t="n">
        <x:v>-2000</x:v>
      </x:c>
      <x:c r="F47" s="6" t="n">
        <x:f>D47+E47</x:f>
        <x:v>-34000</x:v>
      </x:c>
      <x:c r="G47" s="6" t="n">
        <x:v>12</x:v>
      </x:c>
      <x:c r="H47" s="6" t="n">
        <x:v>1</x:v>
      </x:c>
    </x:row>
    <x:row r="48" ht="24" customHeight="1">
      <x:c r="A48" s="2" t="str">
        <x:v>TOPIX_M01</x:v>
      </x:c>
      <x:c r="B48" s="6" t="n">
        <x:v>134500</x:v>
      </x:c>
      <x:c r="C48" s="6" t="n">
        <x:v>260000</x:v>
      </x:c>
      <x:c r="D48" s="6" t="n">
        <x:f>B48-C48</x:f>
        <x:v>-125500</x:v>
      </x:c>
      <x:c r="E48" s="6" t="n">
        <x:v>-30000</x:v>
      </x:c>
      <x:c r="F48" s="6" t="n">
        <x:f>D48+E48</x:f>
        <x:v>-155500</x:v>
      </x:c>
      <x:c r="G48" s="6" t="n">
        <x:v>15</x:v>
      </x:c>
      <x:c r="H48" s="6" t="n">
        <x:v>10</x:v>
      </x:c>
    </x:row>
    <x:row r="49" ht="24" customHeight="1">
      <x:c r="A49" s="2" t="str">
        <x:v>TOPIX_M02</x:v>
      </x:c>
      <x:c r="B49" s="6" t="n">
        <x:v>152500</x:v>
      </x:c>
      <x:c r="C49" s="6" t="n">
        <x:v>839000</x:v>
      </x:c>
      <x:c r="D49" s="6" t="n">
        <x:f>B49-C49</x:f>
        <x:v>-686500</x:v>
      </x:c>
      <x:c r="E49" s="6" t="n">
        <x:v>1500</x:v>
      </x:c>
      <x:c r="F49" s="6" t="n">
        <x:f>D49+E49</x:f>
        <x:v>-685000</x:v>
      </x:c>
      <x:c r="G49" s="6" t="n">
        <x:v>136</x:v>
      </x:c>
      <x:c r="H49" s="6" t="n">
        <x:v>3</x:v>
      </x:c>
    </x:row>
    <x:row r="50" ht="24" customHeight="1">
      <x:c r="A50" s="2" t="str">
        <x:v>TOPIX_M03</x:v>
      </x:c>
      <x:c r="B50" s="6" t="n">
        <x:v>190000</x:v>
      </x:c>
      <x:c r="C50" s="6" t="n">
        <x:v>849500</x:v>
      </x:c>
      <x:c r="D50" s="6" t="n">
        <x:f>B50-C50</x:f>
        <x:v>-659500</x:v>
      </x:c>
      <x:c r="E50" s="6" t="n">
        <x:v>0</x:v>
      </x:c>
      <x:c r="F50" s="6" t="n">
        <x:f>D50+E50</x:f>
        <x:v>-659500</x:v>
      </x:c>
      <x:c r="G50" s="6" t="n">
        <x:v>152</x:v>
      </x:c>
      <x:c r="H50" s="6" t="n">
        <x:v>0</x:v>
      </x:c>
    </x:row>
    <x:row r="51" ht="24" customHeight="1">
      <x:c r="A51" s="2" t="str">
        <x:v>TOPIX_M04</x:v>
      </x:c>
      <x:c r="B51" s="6" t="n">
        <x:v>96500</x:v>
      </x:c>
      <x:c r="C51" s="6" t="n">
        <x:v>618500</x:v>
      </x:c>
      <x:c r="D51" s="6" t="n">
        <x:f>B51-C51</x:f>
        <x:v>-522000</x:v>
      </x:c>
      <x:c r="E51" s="6" t="n">
        <x:v>-2500</x:v>
      </x:c>
      <x:c r="F51" s="6" t="n">
        <x:f>D51+E51</x:f>
        <x:v>-524500</x:v>
      </x:c>
      <x:c r="G51" s="6" t="n">
        <x:v>15</x:v>
      </x:c>
      <x:c r="H51" s="6" t="n">
        <x:v>1</x:v>
      </x:c>
    </x:row>
    <x:row r="52" ht="24" customHeight="1">
      <x:c r="A52" s="2" t="str">
        <x:v>TOPIX_M05</x:v>
      </x:c>
      <x:c r="B52" s="6" t="n">
        <x:v>178000</x:v>
      </x:c>
      <x:c r="C52" s="6" t="n">
        <x:v>1078500</x:v>
      </x:c>
      <x:c r="D52" s="6" t="n">
        <x:f>B52-C52</x:f>
        <x:v>-900500</x:v>
      </x:c>
      <x:c r="E52" s="6" t="n">
        <x:v>-1000</x:v>
      </x:c>
      <x:c r="F52" s="6" t="n">
        <x:f>D52+E52</x:f>
        <x:v>-901500</x:v>
      </x:c>
      <x:c r="G52" s="6" t="n">
        <x:v>136</x:v>
      </x:c>
      <x:c r="H52" s="6" t="n">
        <x:v>1</x:v>
      </x:c>
    </x:row>
    <x:row r="53" ht="24" customHeight="1">
      <x:c r="A53" s="2" t="str">
        <x:v>TOPIX_M06</x:v>
      </x:c>
      <x:c r="B53" s="6" t="n">
        <x:v>176500</x:v>
      </x:c>
      <x:c r="C53" s="6" t="n">
        <x:v>1097500</x:v>
      </x:c>
      <x:c r="D53" s="6" t="n">
        <x:f>B53-C53</x:f>
        <x:v>-921000</x:v>
      </x:c>
      <x:c r="E53" s="6" t="n">
        <x:v>0</x:v>
      </x:c>
      <x:c r="F53" s="6" t="n">
        <x:f>D53+E53</x:f>
        <x:v>-921000</x:v>
      </x:c>
      <x:c r="G53" s="6" t="n">
        <x:v>152</x:v>
      </x:c>
      <x:c r="H53" s="6" t="n">
        <x:v>0</x:v>
      </x:c>
    </x:row>
    <x:row r="54" ht="24" customHeight="1">
      <x:c r="A54" s="2" t="str">
        <x:v>TOPIX_M07</x:v>
      </x:c>
      <x:c r="B54" s="6" t="n">
        <x:v>111500</x:v>
      </x:c>
      <x:c r="C54" s="6" t="n">
        <x:v>230000</x:v>
      </x:c>
      <x:c r="D54" s="6" t="n">
        <x:f>B54-C54</x:f>
        <x:v>-118500</x:v>
      </x:c>
      <x:c r="E54" s="6" t="n">
        <x:v>-30000</x:v>
      </x:c>
      <x:c r="F54" s="6" t="n">
        <x:f>D54+E54</x:f>
        <x:v>-148500</x:v>
      </x:c>
      <x:c r="G54" s="6" t="n">
        <x:v>16</x:v>
      </x:c>
      <x:c r="H54" s="6" t="n">
        <x:v>10</x:v>
      </x:c>
    </x:row>
    <x:row r="55" ht="24" customHeight="1">
      <x:c r="A55" s="2" t="str">
        <x:v>TOPIX_M08</x:v>
      </x:c>
      <x:c r="B55" s="6" t="n">
        <x:v>102500</x:v>
      </x:c>
      <x:c r="C55" s="6" t="n">
        <x:v>227000</x:v>
      </x:c>
      <x:c r="D55" s="6" t="n">
        <x:f>B55-C55</x:f>
        <x:v>-124500</x:v>
      </x:c>
      <x:c r="E55" s="6" t="n">
        <x:v>-500</x:v>
      </x:c>
      <x:c r="F55" s="6" t="n">
        <x:f>D55+E55</x:f>
        <x:v>-125000</x:v>
      </x:c>
      <x:c r="G55" s="6" t="n">
        <x:v>71</x:v>
      </x:c>
      <x:c r="H55" s="6" t="n">
        <x:v>1</x:v>
      </x:c>
    </x:row>
    <x:row r="56" ht="24" customHeight="1">
      <x:c r="A56" s="2" t="str">
        <x:v>TOPIX_M09</x:v>
      </x:c>
      <x:c r="B56" s="6" t="n">
        <x:v>113500</x:v>
      </x:c>
      <x:c r="C56" s="6" t="n">
        <x:v>298500</x:v>
      </x:c>
      <x:c r="D56" s="6" t="n">
        <x:f>B56-C56</x:f>
        <x:v>-185000</x:v>
      </x:c>
      <x:c r="E56" s="6" t="n">
        <x:v>-500</x:v>
      </x:c>
      <x:c r="F56" s="6" t="n">
        <x:f>D56+E56</x:f>
        <x:v>-185500</x:v>
      </x:c>
      <x:c r="G56" s="6" t="n">
        <x:v>90</x:v>
      </x:c>
      <x:c r="H56" s="6" t="n">
        <x:v>1</x:v>
      </x:c>
    </x:row>
    <x:row r="57" ht="24" customHeight="1">
      <x:c r="A57" s="2" t="str">
        <x:v>TOPIX_M10</x:v>
      </x:c>
      <x:c r="B57" s="6" t="n">
        <x:v>69500</x:v>
      </x:c>
      <x:c r="C57" s="6" t="n">
        <x:v>321000</x:v>
      </x:c>
      <x:c r="D57" s="6" t="n">
        <x:f>B57-C57</x:f>
        <x:v>-251500</x:v>
      </x:c>
      <x:c r="E57" s="6" t="n">
        <x:v>-3000</x:v>
      </x:c>
      <x:c r="F57" s="6" t="n">
        <x:f>D57+E57</x:f>
        <x:v>-254500</x:v>
      </x:c>
      <x:c r="G57" s="6" t="n">
        <x:v>16</x:v>
      </x:c>
      <x:c r="H57" s="6" t="n">
        <x:v>1</x:v>
      </x:c>
    </x:row>
    <x:row r="58" ht="24" customHeight="1">
      <x:c r="A58" s="2" t="str">
        <x:v>TOPIX_M11</x:v>
      </x:c>
      <x:c r="B58" s="6" t="n">
        <x:v>133000</x:v>
      </x:c>
      <x:c r="C58" s="6" t="n">
        <x:v>460500</x:v>
      </x:c>
      <x:c r="D58" s="6" t="n">
        <x:f>B58-C58</x:f>
        <x:v>-327500</x:v>
      </x:c>
      <x:c r="E58" s="6" t="n">
        <x:v>-4000</x:v>
      </x:c>
      <x:c r="F58" s="6" t="n">
        <x:f>D58+E58</x:f>
        <x:v>-331500</x:v>
      </x:c>
      <x:c r="G58" s="6" t="n">
        <x:v>71</x:v>
      </x:c>
      <x:c r="H58" s="6" t="n">
        <x:v>5</x:v>
      </x:c>
    </x:row>
    <x:row r="59" ht="24" customHeight="1">
      <x:c r="A59" s="2" t="str">
        <x:v>TOPIX_M12</x:v>
      </x:c>
      <x:c r="B59" s="6" t="n">
        <x:v>136000</x:v>
      </x:c>
      <x:c r="C59" s="6" t="n">
        <x:v>483000</x:v>
      </x:c>
      <x:c r="D59" s="6" t="n">
        <x:f>B59-C59</x:f>
        <x:v>-347000</x:v>
      </x:c>
      <x:c r="E59" s="6" t="n">
        <x:v>-4000</x:v>
      </x:c>
      <x:c r="F59" s="6" t="n">
        <x:f>D59+E59</x:f>
        <x:v>-351000</x:v>
      </x:c>
      <x:c r="G59" s="6" t="n">
        <x:v>90</x:v>
      </x:c>
      <x:c r="H59" s="6" t="n">
        <x:v>5</x:v>
      </x:c>
    </x:row>
    <x:row r="60" ht="24" customHeight="1">
      <x:c r="A60" s="2" t="str">
        <x:v>TOPIX_M13</x:v>
      </x:c>
      <x:c r="B60" s="6" t="n">
        <x:v>74000</x:v>
      </x:c>
      <x:c r="C60" s="6" t="n">
        <x:v>110500</x:v>
      </x:c>
      <x:c r="D60" s="6" t="n">
        <x:f>B60-C60</x:f>
        <x:v>-36500</x:v>
      </x:c>
      <x:c r="E60" s="6" t="n">
        <x:v>-24000</x:v>
      </x:c>
      <x:c r="F60" s="6" t="n">
        <x:f>D60+E60</x:f>
        <x:v>-60500</x:v>
      </x:c>
      <x:c r="G60" s="6" t="n">
        <x:v>16</x:v>
      </x:c>
      <x:c r="H60" s="6" t="n">
        <x:v>8</x:v>
      </x:c>
    </x:row>
    <x:row r="61" ht="24" customHeight="1">
      <x:c r="A61" s="2" t="str">
        <x:v>TOPIX_M14</x:v>
      </x:c>
      <x:c r="B61" s="6" t="n">
        <x:v>38000</x:v>
      </x:c>
      <x:c r="C61" s="6" t="n">
        <x:v>130500</x:v>
      </x:c>
      <x:c r="D61" s="6" t="n">
        <x:f>B61-C61</x:f>
        <x:v>-92500</x:v>
      </x:c>
      <x:c r="E61" s="6" t="n">
        <x:v>-1000</x:v>
      </x:c>
      <x:c r="F61" s="6" t="n">
        <x:f>D61+E61</x:f>
        <x:v>-93500</x:v>
      </x:c>
      <x:c r="G61" s="6" t="n">
        <x:v>45</x:v>
      </x:c>
      <x:c r="H61" s="6" t="n">
        <x:v>2</x:v>
      </x:c>
    </x:row>
    <x:row r="62" ht="24" customHeight="1">
      <x:c r="A62" s="2" t="str">
        <x:v>TOPIX_M15</x:v>
      </x:c>
      <x:c r="B62" s="6" t="n">
        <x:v>38000</x:v>
      </x:c>
      <x:c r="C62" s="6" t="n">
        <x:v>146000</x:v>
      </x:c>
      <x:c r="D62" s="6" t="n">
        <x:f>B62-C62</x:f>
        <x:v>-108000</x:v>
      </x:c>
      <x:c r="E62" s="6" t="n">
        <x:v>-1000</x:v>
      </x:c>
      <x:c r="F62" s="6" t="n">
        <x:f>D62+E62</x:f>
        <x:v>-109000</x:v>
      </x:c>
      <x:c r="G62" s="6" t="n">
        <x:v>57</x:v>
      </x:c>
      <x:c r="H62" s="6" t="n">
        <x:v>2</x:v>
      </x:c>
    </x:row>
    <x:row r="63" ht="24" customHeight="1">
      <x:c r="A63" s="2" t="str">
        <x:v>TOPIX_M16</x:v>
      </x:c>
      <x:c r="B63" s="6" t="n">
        <x:v>74500</x:v>
      </x:c>
      <x:c r="C63" s="6" t="n">
        <x:v>208500</x:v>
      </x:c>
      <x:c r="D63" s="6" t="n">
        <x:f>B63-C63</x:f>
        <x:v>-134000</x:v>
      </x:c>
      <x:c r="E63" s="6" t="n">
        <x:v>-3000</x:v>
      </x:c>
      <x:c r="F63" s="6" t="n">
        <x:f>D63+E63</x:f>
        <x:v>-137000</x:v>
      </x:c>
      <x:c r="G63" s="6" t="n">
        <x:v>16</x:v>
      </x:c>
      <x:c r="H63" s="6" t="n">
        <x:v>1</x:v>
      </x:c>
    </x:row>
    <x:row r="64" ht="24" customHeight="1">
      <x:c r="A64" s="2" t="str">
        <x:v>TOPIX_M17</x:v>
      </x:c>
      <x:c r="B64" s="6" t="n">
        <x:v>78500</x:v>
      </x:c>
      <x:c r="C64" s="6" t="n">
        <x:v>262000</x:v>
      </x:c>
      <x:c r="D64" s="6" t="n">
        <x:f>B64-C64</x:f>
        <x:v>-183500</x:v>
      </x:c>
      <x:c r="E64" s="6" t="n">
        <x:v>-1500</x:v>
      </x:c>
      <x:c r="F64" s="6" t="n">
        <x:f>D64+E64</x:f>
        <x:v>-185000</x:v>
      </x:c>
      <x:c r="G64" s="6" t="n">
        <x:v>45</x:v>
      </x:c>
      <x:c r="H64" s="6" t="n">
        <x:v>2</x:v>
      </x:c>
    </x:row>
    <x:row r="65" ht="24" customHeight="1">
      <x:c r="A65" s="2" t="str">
        <x:v>TOPIX_M18</x:v>
      </x:c>
      <x:c r="B65" s="6" t="n">
        <x:v>79000</x:v>
      </x:c>
      <x:c r="C65" s="6" t="n">
        <x:v>279000</x:v>
      </x:c>
      <x:c r="D65" s="6" t="n">
        <x:f>B65-C65</x:f>
        <x:v>-200000</x:v>
      </x:c>
      <x:c r="E65" s="6" t="n">
        <x:v>-1500</x:v>
      </x:c>
      <x:c r="F65" s="6" t="n">
        <x:f>D65+E65</x:f>
        <x:v>-201500</x:v>
      </x:c>
      <x:c r="G65" s="6" t="n">
        <x:v>57</x:v>
      </x:c>
      <x:c r="H65" s="6" t="n">
        <x:v>2</x:v>
      </x:c>
    </x:row>
    <x:row r="66" ht="24" customHeight="1">
      <x:c r="A66" s="2" t="str">
        <x:v>TOPIX_M19</x:v>
      </x:c>
      <x:c r="B66" s="6" t="n">
        <x:v>67000</x:v>
      </x:c>
      <x:c r="C66" s="6" t="n">
        <x:v>53500</x:v>
      </x:c>
      <x:c r="D66" s="6" t="n">
        <x:f>B66-C66</x:f>
        <x:v>13500</x:v>
      </x:c>
      <x:c r="E66" s="6" t="n">
        <x:v>-2500</x:v>
      </x:c>
      <x:c r="F66" s="6" t="n">
        <x:f>D66+E66</x:f>
        <x:v>11000</x:v>
      </x:c>
      <x:c r="G66" s="6" t="n">
        <x:v>17</x:v>
      </x:c>
      <x:c r="H66" s="6" t="n">
        <x:v>1</x:v>
      </x:c>
    </x:row>
    <x:row r="67" ht="24" customHeight="1">
      <x:c r="A67" s="2" t="str">
        <x:v>TOPIX_M20</x:v>
      </x:c>
      <x:c r="B67" s="6" t="n">
        <x:v>48500</x:v>
      </x:c>
      <x:c r="C67" s="6" t="n">
        <x:v>70000</x:v>
      </x:c>
      <x:c r="D67" s="6" t="n">
        <x:f>B67-C67</x:f>
        <x:v>-21500</x:v>
      </x:c>
      <x:c r="E67" s="6" t="n">
        <x:v>-2000</x:v>
      </x:c>
      <x:c r="F67" s="6" t="n">
        <x:f>D67+E67</x:f>
        <x:v>-23500</x:v>
      </x:c>
      <x:c r="G67" s="6" t="n">
        <x:v>31</x:v>
      </x:c>
      <x:c r="H67" s="6" t="n">
        <x:v>1</x:v>
      </x:c>
    </x:row>
    <x:row r="68" ht="24" customHeight="1">
      <x:c r="A68" s="2" t="str">
        <x:v>TOPIX_M21</x:v>
      </x:c>
      <x:c r="B68" s="6" t="n">
        <x:v>42000</x:v>
      </x:c>
      <x:c r="C68" s="6" t="n">
        <x:v>76000</x:v>
      </x:c>
      <x:c r="D68" s="6" t="n">
        <x:f>B68-C68</x:f>
        <x:v>-34000</x:v>
      </x:c>
      <x:c r="E68" s="6" t="n">
        <x:v>0</x:v>
      </x:c>
      <x:c r="F68" s="6" t="n">
        <x:f>D68+E68</x:f>
        <x:v>-34000</x:v>
      </x:c>
      <x:c r="G68" s="6" t="n">
        <x:v>36</x:v>
      </x:c>
      <x:c r="H68" s="6" t="n">
        <x:v>0</x:v>
      </x:c>
    </x:row>
    <x:row r="69" ht="24" customHeight="1">
      <x:c r="A69" s="2" t="str">
        <x:v>TOPIX_M22</x:v>
      </x:c>
      <x:c r="B69" s="6" t="n">
        <x:v>46000</x:v>
      </x:c>
      <x:c r="C69" s="6" t="n">
        <x:v>109000</x:v>
      </x:c>
      <x:c r="D69" s="6" t="n">
        <x:f>B69-C69</x:f>
        <x:v>-63000</x:v>
      </x:c>
      <x:c r="E69" s="6" t="n">
        <x:v>-2000</x:v>
      </x:c>
      <x:c r="F69" s="6" t="n">
        <x:f>D69+E69</x:f>
        <x:v>-65000</x:v>
      </x:c>
      <x:c r="G69" s="6" t="n">
        <x:v>17</x:v>
      </x:c>
      <x:c r="H69" s="6" t="n">
        <x:v>1</x:v>
      </x:c>
    </x:row>
    <x:row r="70" ht="24" customHeight="1">
      <x:c r="A70" s="2" t="str">
        <x:v>TOPIX_M23</x:v>
      </x:c>
      <x:c r="B70" s="6" t="n">
        <x:v>55500</x:v>
      </x:c>
      <x:c r="C70" s="6" t="n">
        <x:v>137000</x:v>
      </x:c>
      <x:c r="D70" s="6" t="n">
        <x:f>B70-C70</x:f>
        <x:v>-81500</x:v>
      </x:c>
      <x:c r="E70" s="6" t="n">
        <x:v>-2000</x:v>
      </x:c>
      <x:c r="F70" s="6" t="n">
        <x:f>D70+E70</x:f>
        <x:v>-83500</x:v>
      </x:c>
      <x:c r="G70" s="6" t="n">
        <x:v>31</x:v>
      </x:c>
      <x:c r="H70" s="6" t="n">
        <x:v>1</x:v>
      </x:c>
    </x:row>
    <x:row r="71" ht="24" customHeight="1">
      <x:c r="A71" s="2" t="str">
        <x:v>TOPIX_M24</x:v>
      </x:c>
      <x:c r="B71" s="6" t="n">
        <x:v>56000</x:v>
      </x:c>
      <x:c r="C71" s="6" t="n">
        <x:v>143500</x:v>
      </x:c>
      <x:c r="D71" s="6" t="n">
        <x:f>B71-C71</x:f>
        <x:v>-87500</x:v>
      </x:c>
      <x:c r="E71" s="6" t="n">
        <x:v>0</x:v>
      </x:c>
      <x:c r="F71" s="6" t="n">
        <x:f>D71+E71</x:f>
        <x:v>-87500</x:v>
      </x:c>
      <x:c r="G71" s="6" t="n">
        <x:v>36</x:v>
      </x:c>
      <x:c r="H71" s="6" t="n">
        <x:v>0</x:v>
      </x:c>
    </x:row>
    <x:row r="72" ht="24" customHeight="1">
      <x:c r="A72" s="2" t="str">
        <x:v>TOPIX_F01</x:v>
      </x:c>
      <x:c r="B72" s="6" t="n">
        <x:v>31500</x:v>
      </x:c>
      <x:c r="C72" s="6" t="n">
        <x:v>85000</x:v>
      </x:c>
      <x:c r="D72" s="6" t="n">
        <x:f>B72-C72</x:f>
        <x:v>-53500</x:v>
      </x:c>
      <x:c r="E72" s="6" t="n">
        <x:v>-500</x:v>
      </x:c>
      <x:c r="F72" s="6" t="n">
        <x:f>D72+E72</x:f>
        <x:v>-54000</x:v>
      </x:c>
      <x:c r="G72" s="6" t="n">
        <x:v>90</x:v>
      </x:c>
      <x:c r="H72" s="6" t="n">
        <x:v>1</x:v>
      </x:c>
    </x:row>
    <x:row r="73" ht="24" customHeight="1">
      <x:c r="A73" s="2" t="str">
        <x:v>TOPIX_F10</x:v>
      </x:c>
      <x:c r="B73" s="6" t="n">
        <x:v>315000</x:v>
      </x:c>
      <x:c r="C73" s="6" t="n">
        <x:v>850000</x:v>
      </x:c>
      <x:c r="D73" s="6" t="n">
        <x:f>B73-C73</x:f>
        <x:v>-535000</x:v>
      </x:c>
      <x:c r="E73" s="6" t="n">
        <x:v>-5000</x:v>
      </x:c>
      <x:c r="F73" s="6" t="n">
        <x:f>D73+E73</x:f>
        <x:v>-540000</x:v>
      </x:c>
      <x:c r="G73" s="6" t="n">
        <x:v>90</x:v>
      </x:c>
      <x:c r="H73" s="6" t="n">
        <x:v>10</x:v>
      </x:c>
    </x:row>
  </x:sheetData>
  <x:pageMargins left="0.7" right="0.7" top="0.75" bottom="0.75" header="0.3" footer="0.3"/>
  <x:tableParts count="1">
    <x:tablePart xmlns:r="http://schemas.openxmlformats.org/officeDocument/2006/relationships" r:id="R7dc309374abe44a5"/>
  </x:tableParts>
</x:worksheet>
</file>