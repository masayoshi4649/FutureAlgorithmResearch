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b475df3bb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32f99845b5b94cb3"/>
    <x:sheet xmlns:r="http://schemas.openxmlformats.org/officeDocument/2006/relationships" name="日経_D07" sheetId="2" r:id="Rf178f83eab67495d"/>
    <x:sheet xmlns:r="http://schemas.openxmlformats.org/officeDocument/2006/relationships" name="日経_S01" sheetId="3" r:id="R656e339e04dc42e0"/>
    <x:sheet xmlns:r="http://schemas.openxmlformats.org/officeDocument/2006/relationships" name="日経_J02" sheetId="4" r:id="R3b94e82aeb0841d6"/>
    <x:sheet xmlns:r="http://schemas.openxmlformats.org/officeDocument/2006/relationships" name="日経_O01" sheetId="5" r:id="Rbe141e6049a6441f"/>
    <x:sheet xmlns:r="http://schemas.openxmlformats.org/officeDocument/2006/relationships" name="日経_O05" sheetId="6" r:id="Rc8f4ed051926459f"/>
    <x:sheet xmlns:r="http://schemas.openxmlformats.org/officeDocument/2006/relationships" name="日経_F05" sheetId="7" r:id="R18e79ed977bb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&quot;—&quot;"/>
  </x:numFmts>
  <x:fonts count="6">
    <x:font>
      <x:sz val="11"/>
      <x:name val="Carlito"/>
    </x:font>
    <x:font>
      <x:sz val="10"/>
      <x:color rgb="FF21384D"/>
      <x:name val="Yu Gothic"/>
    </x:font>
    <x:font>
      <x:b/>
      <x:sz val="14"/>
      <x:color rgb="FF21384D"/>
      <x:name val="Yu Gothic"/>
    </x:font>
    <x:font>
      <x:sz val="10"/>
      <x:color rgb="FF536B80"/>
      <x:name val="Yu Gothic"/>
    </x:font>
    <x:font>
      <x:b/>
      <x:sz val="10"/>
      <x:color rgb="FFFFFFFF"/>
      <x:name val="Yu Gothic"/>
    </x:font>
    <x:font>
      <x:b/>
      <x:sz val="10"/>
      <x:color rgb="FF21384D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64D7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3AABD"/>
      </x:top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8"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c271a46994a31" /><Relationship Type="http://schemas.openxmlformats.org/officeDocument/2006/relationships/theme" Target="/xl/theme/theme1.xml" Id="R45c9c5def1cf4c49" /><Relationship Type="http://schemas.openxmlformats.org/officeDocument/2006/relationships/sharedStrings" Target="/xl/sharedStrings.xml" Id="R27a79c89cd5e47bd" /><Relationship Type="http://schemas.openxmlformats.org/officeDocument/2006/relationships/worksheet" Target="/xl/worksheets/sheet1.xml" Id="R32f99845b5b94cb3" /><Relationship Type="http://schemas.openxmlformats.org/officeDocument/2006/relationships/worksheet" Target="/xl/worksheets/sheet2.xml" Id="Rf178f83eab67495d" /><Relationship Type="http://schemas.openxmlformats.org/officeDocument/2006/relationships/worksheet" Target="/xl/worksheets/sheet3.xml" Id="R656e339e04dc42e0" /><Relationship Type="http://schemas.openxmlformats.org/officeDocument/2006/relationships/worksheet" Target="/xl/worksheets/sheet4.xml" Id="R3b94e82aeb0841d6" /><Relationship Type="http://schemas.openxmlformats.org/officeDocument/2006/relationships/worksheet" Target="/xl/worksheets/sheet5.xml" Id="Rbe141e6049a6441f" /><Relationship Type="http://schemas.openxmlformats.org/officeDocument/2006/relationships/worksheet" Target="/xl/worksheets/sheet6.xml" Id="Rc8f4ed051926459f" /><Relationship Type="http://schemas.openxmlformats.org/officeDocument/2006/relationships/worksheet" Target="/xl/worksheets/sheet7.xml" Id="R18e79ed977bb450c" /></Relationships>
</file>

<file path=xl/tables/table1.xml><?xml version="1.0" encoding="utf-8"?>
<x:table xmlns:x="http://schemas.openxmlformats.org/spreadsheetml/2006/main" id="7" name="D158_comparison" displayName="D158_comparison" ref="A5:M11" headerRowCount="1" totalsRowCount="0" totalsRowShown="0">
  <x:autoFilter ref="A5:M11"/>
  <x:tableColumns count="13">
    <x:tableColumn id="1" name="手法"/>
    <x:tableColumn id="2" name="利益（円）"/>
    <x:tableColumn id="3" name="損失（円）"/>
    <x:tableColumn id="4" name="収支（円）"/>
    <x:tableColumn id="5" name="D07との差（円）"/>
    <x:tableColumn id="6" name="赤字場数"/>
    <x:tableColumn id="7" name="平均赤字（円）"/>
    <x:tableColumn id="8" name="最大赤字（円）"/>
    <x:tableColumn id="9" name="上位3黒字除外（円）"/>
    <x:tableColumn id="10" name="途中最悪収支（円）"/>
    <x:tableColumn id="11" name="最大下落額（円）"/>
    <x:tableColumn id="12" name="対象場数"/>
    <x:tableColumn id="13" name="収支ゼロ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158_D07" displayName="D158_D07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158_S01" displayName="D158_S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D158_J02" displayName="D158_J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D158_O01" displayName="D158_O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D158_O05" displayName="D158_O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D158_F05" displayName="D158_F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e2dda3f21449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62b038e7e542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c2789111c94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62907ef3b504f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51c72c32b7449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06be35717f74d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8a220e1b5e44d27" /></Relationships>
</file>

<file path=xl/worksheets/sheet1.xml><?xml version="1.0" encoding="utf-8"?>
<x:worksheet xmlns:x="http://schemas.openxmlformats.org/spreadsheetml/2006/main">
  <x:sheetPr>
    <x:tabColor rgb="FF264D70"/>
  </x:sheetPr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D07と改修候補の日中比較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同じ完了26デイ・日経mini10枚相当・手数料0。保存済み結果を同じ親会計で比較。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D07は00154の現行Go基準。夜間と途中場を含めず、全6手法に無取引場なし。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1" t="str">
        <x:v>手法</x:v>
      </x:c>
      <x:c r="B5" s="11" t="str">
        <x:v>利益（円）</x:v>
      </x:c>
      <x:c r="C5" s="11" t="str">
        <x:v>損失（円）</x:v>
      </x:c>
      <x:c r="D5" s="11" t="str">
        <x:v>収支（円）</x:v>
      </x:c>
      <x:c r="E5" s="11" t="str">
        <x:v>D07との差（円）</x:v>
      </x:c>
      <x:c r="F5" s="11" t="str">
        <x:v>赤字場数</x:v>
      </x:c>
      <x:c r="G5" s="11" t="str">
        <x:v>平均赤字（円）</x:v>
      </x:c>
      <x:c r="H5" s="11" t="str">
        <x:v>最大赤字（円）</x:v>
      </x:c>
      <x:c r="I5" s="11" t="str">
        <x:v>上位3黒字除外（円）</x:v>
      </x:c>
      <x:c r="J5" s="11" t="str">
        <x:v>途中最悪収支（円）</x:v>
      </x:c>
      <x:c r="K5" s="11" t="str">
        <x:v>最大下落額（円）</x:v>
      </x:c>
      <x:c r="L5" s="11" t="str">
        <x:v>対象場数</x:v>
      </x:c>
      <x:c r="M5" s="11" t="str">
        <x:v>収支ゼロ場</x:v>
      </x:c>
    </x:row>
    <x:row r="6" ht="25" customHeight="1">
      <x:c r="A6" s="2" t="str">
        <x:v>D07</x:v>
      </x:c>
      <x:c r="B6" s="6" t="n">
        <x:f>'日経_D07'!C32</x:f>
        <x:v>4444000</x:v>
      </x:c>
      <x:c r="C6" s="6" t="n">
        <x:f>'日経_D07'!D32</x:f>
        <x:v>2538000</x:v>
      </x:c>
      <x:c r="D6" s="6" t="n">
        <x:f>'日経_D07'!E32</x:f>
        <x:v>1906000</x:v>
      </x:c>
      <x:c r="E6" s="6" t="n">
        <x:f>D6-$D$6</x:f>
        <x:v>0</x:v>
      </x:c>
      <x:c r="F6" s="6" t="n">
        <x:f>COUNTIF('日経_D07'!E6:E31,"&lt;0")</x:f>
        <x:v>8</x:v>
      </x:c>
      <x:c r="G6" s="6" t="n">
        <x:f>-SUMIF('日経_D07'!E6:E31,"&lt;0")/F6</x:f>
        <x:v>65875</x:v>
      </x:c>
      <x:c r="H6" s="6" t="n">
        <x:f>-MIN('日経_D07'!E6:E31)</x:f>
        <x:v>121000</x:v>
      </x:c>
      <x:c r="I6" s="6" t="n">
        <x:f>D6-MAX(0,LARGE('日経_D07'!E6:E31,1))-MAX(0,LARGE('日経_D07'!E6:E31,2))-MAX(0,LARGE('日経_D07'!E6:E31,3))</x:f>
        <x:v>416000</x:v>
      </x:c>
      <x:c r="J6" s="6" t="n">
        <x:f>'日経_D07'!G32</x:f>
        <x:v>-203000</x:v>
      </x:c>
      <x:c r="K6" s="6" t="n">
        <x:f>'日経_D07'!H32</x:f>
        <x:v>373000</x:v>
      </x:c>
      <x:c r="L6" s="6" t="n">
        <x:f>COUNTA('日経_D07'!A6:A31)</x:f>
        <x:v>26</x:v>
      </x:c>
      <x:c r="M6" s="6" t="n">
        <x:f>COUNTIF('日経_D07'!E6:E31,"=0")</x:f>
        <x:v>0</x:v>
      </x:c>
    </x:row>
    <x:row r="7" ht="25" customHeight="1">
      <x:c r="A7" s="2" t="str">
        <x:v>S01</x:v>
      </x:c>
      <x:c r="B7" s="6" t="n">
        <x:f>'日経_S01'!C32</x:f>
        <x:v>4231000</x:v>
      </x:c>
      <x:c r="C7" s="6" t="n">
        <x:f>'日経_S01'!D32</x:f>
        <x:v>2296000</x:v>
      </x:c>
      <x:c r="D7" s="6" t="n">
        <x:f>'日経_S01'!E32</x:f>
        <x:v>1935000</x:v>
      </x:c>
      <x:c r="E7" s="6" t="n">
        <x:f>D7-$D$6</x:f>
        <x:v>29000</x:v>
      </x:c>
      <x:c r="F7" s="6" t="n">
        <x:f>COUNTIF('日経_S01'!E6:E31,"&lt;0")</x:f>
        <x:v>8</x:v>
      </x:c>
      <x:c r="G7" s="6" t="n">
        <x:f>-SUMIF('日経_S01'!E6:E31,"&lt;0")/F7</x:f>
        <x:v>53500</x:v>
      </x:c>
      <x:c r="H7" s="6" t="n">
        <x:f>-MIN('日経_S01'!E6:E31)</x:f>
        <x:v>113000</x:v>
      </x:c>
      <x:c r="I7" s="6" t="n">
        <x:f>D7-MAX(0,LARGE('日経_S01'!E6:E31,1))-MAX(0,LARGE('日経_S01'!E6:E31,2))-MAX(0,LARGE('日経_S01'!E6:E31,3))</x:f>
        <x:v>919000</x:v>
      </x:c>
      <x:c r="J7" s="6" t="n">
        <x:f>'日経_S01'!G32</x:f>
        <x:v>-203000</x:v>
      </x:c>
      <x:c r="K7" s="6" t="n">
        <x:f>'日経_S01'!H32</x:f>
        <x:v>294000</x:v>
      </x:c>
      <x:c r="L7" s="6" t="n">
        <x:f>COUNTA('日経_S01'!A6:A31)</x:f>
        <x:v>26</x:v>
      </x:c>
      <x:c r="M7" s="6" t="n">
        <x:f>COUNTIF('日経_S01'!E6:E31,"=0")</x:f>
        <x:v>0</x:v>
      </x:c>
    </x:row>
    <x:row r="8" ht="25" customHeight="1">
      <x:c r="A8" s="2" t="str">
        <x:v>J02</x:v>
      </x:c>
      <x:c r="B8" s="6" t="n">
        <x:f>'日経_J02'!C32</x:f>
        <x:v>3459400</x:v>
      </x:c>
      <x:c r="C8" s="6" t="n">
        <x:f>'日経_J02'!D32</x:f>
        <x:v>1699400</x:v>
      </x:c>
      <x:c r="D8" s="6" t="n">
        <x:f>'日経_J02'!E32</x:f>
        <x:v>1760000</x:v>
      </x:c>
      <x:c r="E8" s="6" t="n">
        <x:f>D8-$D$6</x:f>
        <x:v>-146000</x:v>
      </x:c>
      <x:c r="F8" s="6" t="n">
        <x:f>COUNTIF('日経_J02'!E6:E31,"&lt;0")</x:f>
        <x:v>9</x:v>
      </x:c>
      <x:c r="G8" s="6" t="n">
        <x:f>-SUMIF('日経_J02'!E6:E31,"&lt;0")/F8</x:f>
        <x:v>72144.44444444444</x:v>
      </x:c>
      <x:c r="H8" s="6" t="n">
        <x:f>-MIN('日経_J02'!E6:E31)</x:f>
        <x:v>130600</x:v>
      </x:c>
      <x:c r="I8" s="6" t="n">
        <x:f>D8-MAX(0,LARGE('日経_J02'!E6:E31,1))-MAX(0,LARGE('日経_J02'!E6:E31,2))-MAX(0,LARGE('日経_J02'!E6:E31,3))</x:f>
        <x:v>586200</x:v>
      </x:c>
      <x:c r="J8" s="6" t="n">
        <x:f>'日経_J02'!G32</x:f>
        <x:v>-189200</x:v>
      </x:c>
      <x:c r="K8" s="6" t="n">
        <x:f>'日経_J02'!H32</x:f>
        <x:v>263800</x:v>
      </x:c>
      <x:c r="L8" s="6" t="n">
        <x:f>COUNTA('日経_J02'!A6:A31)</x:f>
        <x:v>26</x:v>
      </x:c>
      <x:c r="M8" s="6" t="n">
        <x:f>COUNTIF('日経_J02'!E6:E31,"=0")</x:f>
        <x:v>0</x:v>
      </x:c>
    </x:row>
    <x:row r="9" ht="25" customHeight="1">
      <x:c r="A9" s="2" t="str">
        <x:v>O01</x:v>
      </x:c>
      <x:c r="B9" s="6" t="n">
        <x:f>'日経_O01'!C32</x:f>
        <x:v>6541600</x:v>
      </x:c>
      <x:c r="C9" s="6" t="n">
        <x:f>'日経_O01'!D32</x:f>
        <x:v>3204800</x:v>
      </x:c>
      <x:c r="D9" s="6" t="n">
        <x:f>'日経_O01'!E32</x:f>
        <x:v>3336800</x:v>
      </x:c>
      <x:c r="E9" s="6" t="n">
        <x:f>D9-$D$6</x:f>
        <x:v>1430800</x:v>
      </x:c>
      <x:c r="F9" s="6" t="n">
        <x:f>COUNTIF('日経_O01'!E6:E31,"&lt;0")</x:f>
        <x:v>10</x:v>
      </x:c>
      <x:c r="G9" s="6" t="n">
        <x:f>-SUMIF('日経_O01'!E6:E31,"&lt;0")/F9</x:f>
        <x:v>110890</x:v>
      </x:c>
      <x:c r="H9" s="6" t="n">
        <x:f>-MIN('日経_O01'!E6:E31)</x:f>
        <x:v>310500</x:v>
      </x:c>
      <x:c r="I9" s="6" t="n">
        <x:f>D9-MAX(0,LARGE('日経_O01'!E6:E31,1))-MAX(0,LARGE('日経_O01'!E6:E31,2))-MAX(0,LARGE('日経_O01'!E6:E31,3))</x:f>
        <x:v>1188700</x:v>
      </x:c>
      <x:c r="J9" s="6" t="n">
        <x:f>'日経_O01'!G32</x:f>
        <x:v>-347300</x:v>
      </x:c>
      <x:c r="K9" s="6" t="n">
        <x:f>'日経_O01'!H32</x:f>
        <x:v>498500</x:v>
      </x:c>
      <x:c r="L9" s="6" t="n">
        <x:f>COUNTA('日経_O01'!A6:A31)</x:f>
        <x:v>26</x:v>
      </x:c>
      <x:c r="M9" s="6" t="n">
        <x:f>COUNTIF('日経_O01'!E6:E31,"=0")</x:f>
        <x:v>0</x:v>
      </x:c>
    </x:row>
    <x:row r="10" ht="25" customHeight="1">
      <x:c r="A10" s="2" t="str">
        <x:v>O05</x:v>
      </x:c>
      <x:c r="B10" s="6" t="n">
        <x:f>'日経_O05'!C32</x:f>
        <x:v>5303200</x:v>
      </x:c>
      <x:c r="C10" s="6" t="n">
        <x:f>'日経_O05'!D32</x:f>
        <x:v>3630500</x:v>
      </x:c>
      <x:c r="D10" s="6" t="n">
        <x:f>'日経_O05'!E32</x:f>
        <x:v>1672700</x:v>
      </x:c>
      <x:c r="E10" s="6" t="n">
        <x:f>D10-$D$6</x:f>
        <x:v>-233300</x:v>
      </x:c>
      <x:c r="F10" s="6" t="n">
        <x:f>COUNTIF('日経_O05'!E6:E31,"&lt;0")</x:f>
        <x:v>10</x:v>
      </x:c>
      <x:c r="G10" s="6" t="n">
        <x:f>-SUMIF('日経_O05'!E6:E31,"&lt;0")/F10</x:f>
        <x:v>148290</x:v>
      </x:c>
      <x:c r="H10" s="6" t="n">
        <x:f>-MIN('日経_O05'!E6:E31)</x:f>
        <x:v>288000</x:v>
      </x:c>
      <x:c r="I10" s="6" t="n">
        <x:f>D10-MAX(0,LARGE('日経_O05'!E6:E31,1))-MAX(0,LARGE('日経_O05'!E6:E31,2))-MAX(0,LARGE('日経_O05'!E6:E31,3))</x:f>
        <x:v>131100</x:v>
      </x:c>
      <x:c r="J10" s="6" t="n">
        <x:f>'日経_O05'!G32</x:f>
        <x:v>-380600</x:v>
      </x:c>
      <x:c r="K10" s="6" t="n">
        <x:f>'日経_O05'!H32</x:f>
        <x:v>600400</x:v>
      </x:c>
      <x:c r="L10" s="6" t="n">
        <x:f>COUNTA('日経_O05'!A6:A31)</x:f>
        <x:v>26</x:v>
      </x:c>
      <x:c r="M10" s="6" t="n">
        <x:f>COUNTIF('日経_O05'!E6:E31,"=0")</x:f>
        <x:v>0</x:v>
      </x:c>
    </x:row>
    <x:row r="11" ht="25" customHeight="1">
      <x:c r="A11" s="2" t="str">
        <x:v>F05</x:v>
      </x:c>
      <x:c r="B11" s="6" t="n">
        <x:f>'日経_F05'!C32</x:f>
        <x:v>234000</x:v>
      </x:c>
      <x:c r="C11" s="6" t="n">
        <x:f>'日経_F05'!D32</x:f>
        <x:v>600000</x:v>
      </x:c>
      <x:c r="D11" s="6" t="n">
        <x:f>'日経_F05'!E32</x:f>
        <x:v>-366000</x:v>
      </x:c>
      <x:c r="E11" s="6" t="n">
        <x:f>D11-$D$6</x:f>
        <x:v>-2272000</x:v>
      </x:c>
      <x:c r="F11" s="6" t="n">
        <x:f>COUNTIF('日経_F05'!E6:E31,"&lt;0")</x:f>
        <x:v>14</x:v>
      </x:c>
      <x:c r="G11" s="6" t="n">
        <x:f>-SUMIF('日経_F05'!E6:E31,"&lt;0")/F11</x:f>
        <x:v>33571.42857142857</x:v>
      </x:c>
      <x:c r="H11" s="6" t="n">
        <x:f>-MIN('日経_F05'!E6:E31)</x:f>
        <x:v>100000</x:v>
      </x:c>
      <x:c r="I11" s="6" t="n">
        <x:f>D11-MAX(0,LARGE('日経_F05'!E6:E31,1))-MAX(0,LARGE('日経_F05'!E6:E31,2))-MAX(0,LARGE('日経_F05'!E6:E31,3))</x:f>
        <x:v>-431000</x:v>
      </x:c>
      <x:c r="J11" s="6" t="n">
        <x:f>'日経_F05'!G32</x:f>
        <x:v>-104000</x:v>
      </x:c>
      <x:c r="K11" s="6" t="n">
        <x:f>'日経_F05'!H32</x:f>
        <x:v>106000</x:v>
      </x:c>
      <x:c r="L11" s="6" t="n">
        <x:f>COUNTA('日経_F05'!A6:A31)</x:f>
        <x:v>26</x:v>
      </x:c>
      <x:c r="M11" s="6" t="n">
        <x:f>COUNTIF('日経_F05'!E6:E31,"=0")</x:f>
        <x:v>2</x:v>
      </x:c>
    </x:row>
  </x:sheetData>
  <x:conditionalFormatting sqref="D6:E11">
    <x:cfRule type="cellIs" dxfId="6" priority="1" operator="lessThan">
      <x:formula>0</x:formula>
    </x:cfRule>
  </x:conditionalFormatting>
  <x:conditionalFormatting sqref="I6:J11">
    <x:cfRule type="cellIs" dxfId="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e2dda3f214493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D07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研究00154の現行Go基準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片側mini10枚相当・手数料0。途中最悪は確定＋含み、最大下落は当場ピークからの落差。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1" t="str">
        <x:v>セッション</x:v>
      </x:c>
      <x:c r="B5" s="11" t="str">
        <x:v>場の方向</x:v>
      </x:c>
      <x:c r="C5" s="11" t="str">
        <x:v>利益（円）</x:v>
      </x:c>
      <x:c r="D5" s="11" t="str">
        <x:v>損失（円）</x:v>
      </x:c>
      <x:c r="E5" s="11" t="str">
        <x:v>収支（円）</x:v>
      </x:c>
      <x:c r="F5" s="11" t="str">
        <x:v>累計（円）</x:v>
      </x:c>
      <x:c r="G5" s="11" t="str">
        <x:v>途中最悪収支（円）</x:v>
      </x:c>
      <x:c r="H5" s="11" t="str">
        <x:v>最大下落額（円）</x:v>
      </x:c>
    </x:row>
    <x:row r="6" ht="25" customHeight="1">
      <x:c r="A6" s="2" t="str">
        <x:v>2026-09-21_Day</x:v>
      </x:c>
      <x:c r="B6" s="7" t="str">
        <x:v>上昇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</x:row>
    <x:row r="7" ht="25" customHeight="1">
      <x:c r="A7" s="2" t="str">
        <x:v>2026-09-22_Day</x:v>
      </x:c>
      <x:c r="B7" s="7" t="str">
        <x:v>下落</x:v>
      </x:c>
      <x:c r="C7" s="6" t="n">
        <x:v>0</x:v>
      </x:c>
      <x:c r="D7" s="6" t="n">
        <x:v>70000</x:v>
      </x:c>
      <x:c r="E7" s="6" t="n">
        <x:f>C7-D7</x:f>
        <x:v>-70000</x:v>
      </x:c>
      <x:c r="F7" s="6" t="n">
        <x:f>F6+E7</x:f>
        <x:v>-40000</x:v>
      </x:c>
      <x:c r="G7" s="6" t="n">
        <x:v>-70000</x:v>
      </x:c>
      <x:c r="H7" s="6" t="n">
        <x:v>80000</x:v>
      </x:c>
    </x:row>
    <x:row r="8" ht="25" customHeight="1">
      <x:c r="A8" s="2" t="str">
        <x:v>2026-09-23_Day</x:v>
      </x:c>
      <x:c r="B8" s="7" t="str">
        <x:v>下落</x:v>
      </x:c>
      <x:c r="C8" s="6" t="n">
        <x:v>50000</x:v>
      </x:c>
      <x:c r="D8" s="6" t="n">
        <x:v>0</x:v>
      </x:c>
      <x:c r="E8" s="6" t="n">
        <x:f>C8-D8</x:f>
        <x:v>50000</x:v>
      </x:c>
      <x:c r="F8" s="6" t="n">
        <x:f>F7+E8</x:f>
        <x:v>10000</x:v>
      </x:c>
      <x:c r="G8" s="6" t="n">
        <x:v>-15000</x:v>
      </x:c>
      <x:c r="H8" s="6" t="n">
        <x:v>40000</x:v>
      </x:c>
    </x:row>
    <x:row r="9" ht="25" customHeight="1">
      <x:c r="A9" s="2" t="str">
        <x:v>2026-09-24_Day</x:v>
      </x:c>
      <x:c r="B9" s="7" t="str">
        <x:v>下落</x:v>
      </x:c>
      <x:c r="C9" s="6" t="n">
        <x:v>128000</x:v>
      </x:c>
      <x:c r="D9" s="6" t="n">
        <x:v>60000</x:v>
      </x:c>
      <x:c r="E9" s="6" t="n">
        <x:f>C9-D9</x:f>
        <x:v>68000</x:v>
      </x:c>
      <x:c r="F9" s="6" t="n">
        <x:f>F8+E9</x:f>
        <x:v>78000</x:v>
      </x:c>
      <x:c r="G9" s="6" t="n">
        <x:v>-14000</x:v>
      </x:c>
      <x:c r="H9" s="6" t="n">
        <x:v>123000</x:v>
      </x:c>
    </x:row>
    <x:row r="10" ht="25" customHeight="1">
      <x:c r="A10" s="2" t="str">
        <x:v>2026-09-25_Day</x:v>
      </x:c>
      <x:c r="B10" s="7" t="str">
        <x:v>上昇</x:v>
      </x:c>
      <x:c r="C10" s="6" t="n">
        <x:v>141000</x:v>
      </x:c>
      <x:c r="D10" s="6" t="n">
        <x:v>48000</x:v>
      </x:c>
      <x:c r="E10" s="6" t="n">
        <x:f>C10-D10</x:f>
        <x:v>93000</x:v>
      </x:c>
      <x:c r="F10" s="6" t="n">
        <x:f>F9+E10</x:f>
        <x:v>171000</x:v>
      </x:c>
      <x:c r="G10" s="6" t="n">
        <x:v>-10000</x:v>
      </x:c>
      <x:c r="H10" s="6" t="n">
        <x:v>123000</x:v>
      </x:c>
    </x:row>
    <x:row r="11" ht="25" customHeight="1">
      <x:c r="A11" s="2" t="str">
        <x:v>2026-09-28_Day</x:v>
      </x:c>
      <x:c r="B11" s="7" t="str">
        <x:v>下落</x:v>
      </x:c>
      <x:c r="C11" s="6" t="n">
        <x:v>107000</x:v>
      </x:c>
      <x:c r="D11" s="6" t="n">
        <x:v>137000</x:v>
      </x:c>
      <x:c r="E11" s="6" t="n">
        <x:f>C11-D11</x:f>
        <x:v>-30000</x:v>
      </x:c>
      <x:c r="F11" s="6" t="n">
        <x:f>F10+E11</x:f>
        <x:v>141000</x:v>
      </x:c>
      <x:c r="G11" s="6" t="n">
        <x:v>-119000</x:v>
      </x:c>
      <x:c r="H11" s="6" t="n">
        <x:v>158000</x:v>
      </x:c>
    </x:row>
    <x:row r="12" ht="25" customHeight="1">
      <x:c r="A12" s="2" t="str">
        <x:v>2026-09-29_Day</x:v>
      </x:c>
      <x:c r="B12" s="7" t="str">
        <x:v>下落</x:v>
      </x:c>
      <x:c r="C12" s="6" t="n">
        <x:v>195000</x:v>
      </x:c>
      <x:c r="D12" s="6" t="n">
        <x:v>125000</x:v>
      </x:c>
      <x:c r="E12" s="6" t="n">
        <x:f>C12-D12</x:f>
        <x:v>70000</x:v>
      </x:c>
      <x:c r="F12" s="6" t="n">
        <x:f>F11+E12</x:f>
        <x:v>211000</x:v>
      </x:c>
      <x:c r="G12" s="6" t="n">
        <x:v>-133000</x:v>
      </x:c>
      <x:c r="H12" s="6" t="n">
        <x:v>218000</x:v>
      </x:c>
    </x:row>
    <x:row r="13" ht="25" customHeight="1">
      <x:c r="A13" s="2" t="str">
        <x:v>2026-09-30_Day</x:v>
      </x:c>
      <x:c r="B13" s="7" t="str">
        <x:v>上昇</x:v>
      </x:c>
      <x:c r="C13" s="6" t="n">
        <x:v>185000</x:v>
      </x:c>
      <x:c r="D13" s="6" t="n">
        <x:v>75000</x:v>
      </x:c>
      <x:c r="E13" s="6" t="n">
        <x:f>C13-D13</x:f>
        <x:v>110000</x:v>
      </x:c>
      <x:c r="F13" s="6" t="n">
        <x:f>F12+E13</x:f>
        <x:v>321000</x:v>
      </x:c>
      <x:c r="G13" s="6" t="n">
        <x:v>-81000</x:v>
      </x:c>
      <x:c r="H13" s="6" t="n">
        <x:v>106000</x:v>
      </x:c>
    </x:row>
    <x:row r="14" ht="25" customHeight="1">
      <x:c r="A14" s="2" t="str">
        <x:v>2026-10-01_Day</x:v>
      </x:c>
      <x:c r="B14" s="7" t="str">
        <x:v>上昇</x:v>
      </x:c>
      <x:c r="C14" s="6" t="n">
        <x:v>240000</x:v>
      </x:c>
      <x:c r="D14" s="6" t="n">
        <x:v>144000</x:v>
      </x:c>
      <x:c r="E14" s="6" t="n">
        <x:f>C14-D14</x:f>
        <x:v>96000</x:v>
      </x:c>
      <x:c r="F14" s="6" t="n">
        <x:f>F13+E14</x:f>
        <x:v>417000</x:v>
      </x:c>
      <x:c r="G14" s="6" t="n">
        <x:v>-72000</x:v>
      </x:c>
      <x:c r="H14" s="6" t="n">
        <x:v>82000</x:v>
      </x:c>
    </x:row>
    <x:row r="15" ht="25" customHeight="1">
      <x:c r="A15" s="2" t="str">
        <x:v>2026-10-02_Day</x:v>
      </x:c>
      <x:c r="B15" s="7" t="str">
        <x:v>上昇</x:v>
      </x:c>
      <x:c r="C15" s="6" t="n">
        <x:v>64000</x:v>
      </x:c>
      <x:c r="D15" s="6" t="n">
        <x:v>73000</x:v>
      </x:c>
      <x:c r="E15" s="6" t="n">
        <x:f>C15-D15</x:f>
        <x:v>-9000</x:v>
      </x:c>
      <x:c r="F15" s="6" t="n">
        <x:f>F14+E15</x:f>
        <x:v>408000</x:v>
      </x:c>
      <x:c r="G15" s="6" t="n">
        <x:v>-46000</x:v>
      </x:c>
      <x:c r="H15" s="6" t="n">
        <x:v>139000</x:v>
      </x:c>
    </x:row>
    <x:row r="16" ht="25" customHeight="1">
      <x:c r="A16" s="2" t="str">
        <x:v>2026-10-05_Day</x:v>
      </x:c>
      <x:c r="B16" s="7" t="str">
        <x:v>上昇</x:v>
      </x:c>
      <x:c r="C16" s="6" t="n">
        <x:v>48000</x:v>
      </x:c>
      <x:c r="D16" s="6" t="n">
        <x:v>156000</x:v>
      </x:c>
      <x:c r="E16" s="6" t="n">
        <x:f>C16-D16</x:f>
        <x:v>-108000</x:v>
      </x:c>
      <x:c r="F16" s="6" t="n">
        <x:f>F15+E16</x:f>
        <x:v>300000</x:v>
      </x:c>
      <x:c r="G16" s="6" t="n">
        <x:v>-153000</x:v>
      </x:c>
      <x:c r="H16" s="6" t="n">
        <x:v>182000</x:v>
      </x:c>
    </x:row>
    <x:row r="17" ht="25" customHeight="1">
      <x:c r="A17" s="2" t="str">
        <x:v>2026-10-06_Day</x:v>
      </x:c>
      <x:c r="B17" s="7" t="str">
        <x:v>上昇</x:v>
      </x:c>
      <x:c r="C17" s="6" t="n">
        <x:v>115000</x:v>
      </x:c>
      <x:c r="D17" s="6" t="n">
        <x:v>160000</x:v>
      </x:c>
      <x:c r="E17" s="6" t="n">
        <x:f>C17-D17</x:f>
        <x:v>-45000</x:v>
      </x:c>
      <x:c r="F17" s="6" t="n">
        <x:f>F16+E17</x:f>
        <x:v>255000</x:v>
      </x:c>
      <x:c r="G17" s="6" t="n">
        <x:v>-74000</x:v>
      </x:c>
      <x:c r="H17" s="6" t="n">
        <x:v>98000</x:v>
      </x:c>
    </x:row>
    <x:row r="18" ht="25" customHeight="1">
      <x:c r="A18" s="2" t="str">
        <x:v>2026-10-07_Day</x:v>
      </x:c>
      <x:c r="B18" s="7" t="str">
        <x:v>下落</x:v>
      </x:c>
      <x:c r="C18" s="6" t="n">
        <x:v>167000</x:v>
      </x:c>
      <x:c r="D18" s="6" t="n">
        <x:v>46000</x:v>
      </x:c>
      <x:c r="E18" s="6" t="n">
        <x:f>C18-D18</x:f>
        <x:v>121000</x:v>
      </x:c>
      <x:c r="F18" s="6" t="n">
        <x:f>F17+E18</x:f>
        <x:v>376000</x:v>
      </x:c>
      <x:c r="G18" s="6" t="n">
        <x:v>-6000</x:v>
      </x:c>
      <x:c r="H18" s="6" t="n">
        <x:v>62000</x:v>
      </x:c>
    </x:row>
    <x:row r="19" ht="25" customHeight="1">
      <x:c r="A19" s="2" t="str">
        <x:v>2026-10-08_Day</x:v>
      </x:c>
      <x:c r="B19" s="7" t="str">
        <x:v>下落</x:v>
      </x:c>
      <x:c r="C19" s="6" t="n">
        <x:v>121000</x:v>
      </x:c>
      <x:c r="D19" s="6" t="n">
        <x:v>118000</x:v>
      </x:c>
      <x:c r="E19" s="6" t="n">
        <x:f>C19-D19</x:f>
        <x:v>3000</x:v>
      </x:c>
      <x:c r="F19" s="6" t="n">
        <x:f>F18+E19</x:f>
        <x:v>379000</x:v>
      </x:c>
      <x:c r="G19" s="6" t="n">
        <x:v>-111000</x:v>
      </x:c>
      <x:c r="H19" s="6" t="n">
        <x:v>139000</x:v>
      </x:c>
    </x:row>
    <x:row r="20" ht="25" customHeight="1">
      <x:c r="A20" s="2" t="str">
        <x:v>2026-10-09_Day</x:v>
      </x:c>
      <x:c r="B20" s="7" t="str">
        <x:v>上昇</x:v>
      </x:c>
      <x:c r="C20" s="6" t="n">
        <x:v>111000</x:v>
      </x:c>
      <x:c r="D20" s="6" t="n">
        <x:v>68000</x:v>
      </x:c>
      <x:c r="E20" s="6" t="n">
        <x:f>C20-D20</x:f>
        <x:v>43000</x:v>
      </x:c>
      <x:c r="F20" s="6" t="n">
        <x:f>F19+E20</x:f>
        <x:v>422000</x:v>
      </x:c>
      <x:c r="G20" s="6" t="n">
        <x:v>-53000</x:v>
      </x:c>
      <x:c r="H20" s="6" t="n">
        <x:v>98000</x:v>
      </x:c>
    </x:row>
    <x:row r="21" ht="25" customHeight="1">
      <x:c r="A21" s="2" t="str">
        <x:v>2026-10-12_Day</x:v>
      </x:c>
      <x:c r="B21" s="7" t="str">
        <x:v>下落</x:v>
      </x:c>
      <x:c r="C21" s="6" t="n">
        <x:v>61000</x:v>
      </x:c>
      <x:c r="D21" s="6" t="n">
        <x:v>53000</x:v>
      </x:c>
      <x:c r="E21" s="6" t="n">
        <x:f>C21-D21</x:f>
        <x:v>8000</x:v>
      </x:c>
      <x:c r="F21" s="6" t="n">
        <x:f>F20+E21</x:f>
        <x:v>430000</x:v>
      </x:c>
      <x:c r="G21" s="6" t="n">
        <x:v>-63000</x:v>
      </x:c>
      <x:c r="H21" s="6" t="n">
        <x:v>73000</x:v>
      </x:c>
    </x:row>
    <x:row r="22" ht="25" customHeight="1">
      <x:c r="A22" s="2" t="str">
        <x:v>2026-10-13_Day</x:v>
      </x:c>
      <x:c r="B22" s="7" t="str">
        <x:v>下落</x:v>
      </x:c>
      <x:c r="C22" s="6" t="n">
        <x:v>180000</x:v>
      </x:c>
      <x:c r="D22" s="6" t="n">
        <x:v>169000</x:v>
      </x:c>
      <x:c r="E22" s="6" t="n">
        <x:f>C22-D22</x:f>
        <x:v>11000</x:v>
      </x:c>
      <x:c r="F22" s="6" t="n">
        <x:f>F21+E22</x:f>
        <x:v>441000</x:v>
      </x:c>
      <x:c r="G22" s="6" t="n">
        <x:v>-50000</x:v>
      </x:c>
      <x:c r="H22" s="6" t="n">
        <x:v>120000</x:v>
      </x:c>
    </x:row>
    <x:row r="23" ht="25" customHeight="1">
      <x:c r="A23" s="2" t="str">
        <x:v>2026-10-14_Day</x:v>
      </x:c>
      <x:c r="B23" s="7" t="str">
        <x:v>上昇</x:v>
      </x:c>
      <x:c r="C23" s="6" t="n">
        <x:v>149000</x:v>
      </x:c>
      <x:c r="D23" s="6" t="n">
        <x:v>48000</x:v>
      </x:c>
      <x:c r="E23" s="6" t="n">
        <x:f>C23-D23</x:f>
        <x:v>101000</x:v>
      </x:c>
      <x:c r="F23" s="6" t="n">
        <x:f>F22+E23</x:f>
        <x:v>542000</x:v>
      </x:c>
      <x:c r="G23" s="6" t="n">
        <x:v>-58000</x:v>
      </x:c>
      <x:c r="H23" s="6" t="n">
        <x:v>75000</x:v>
      </x:c>
    </x:row>
    <x:row r="24" ht="25" customHeight="1">
      <x:c r="A24" s="2" t="str">
        <x:v>2026-10-15_Day</x:v>
      </x:c>
      <x:c r="B24" s="7" t="str">
        <x:v>下落</x:v>
      </x:c>
      <x:c r="C24" s="6" t="n">
        <x:v>457000</x:v>
      </x:c>
      <x:c r="D24" s="6" t="n">
        <x:v>66000</x:v>
      </x:c>
      <x:c r="E24" s="6" t="n">
        <x:f>C24-D24</x:f>
        <x:v>391000</x:v>
      </x:c>
      <x:c r="F24" s="6" t="n">
        <x:f>F23+E24</x:f>
        <x:v>933000</x:v>
      </x:c>
      <x:c r="G24" s="6" t="n">
        <x:v>-18000</x:v>
      </x:c>
      <x:c r="H24" s="6" t="n">
        <x:v>197000</x:v>
      </x:c>
    </x:row>
    <x:row r="25" ht="25" customHeight="1">
      <x:c r="A25" s="2" t="str">
        <x:v>2026-10-16_Day</x:v>
      </x:c>
      <x:c r="B25" s="7" t="str">
        <x:v>上昇</x:v>
      </x:c>
      <x:c r="C25" s="6" t="n">
        <x:v>123000</x:v>
      </x:c>
      <x:c r="D25" s="6" t="n">
        <x:v>244000</x:v>
      </x:c>
      <x:c r="E25" s="6" t="n">
        <x:f>C25-D25</x:f>
        <x:v>-121000</x:v>
      </x:c>
      <x:c r="F25" s="6" t="n">
        <x:f>F24+E25</x:f>
        <x:v>812000</x:v>
      </x:c>
      <x:c r="G25" s="6" t="n">
        <x:v>-188000</x:v>
      </x:c>
      <x:c r="H25" s="6" t="n">
        <x:v>210000</x:v>
      </x:c>
    </x:row>
    <x:row r="26" ht="25" customHeight="1">
      <x:c r="A26" s="2" t="str">
        <x:v>2026-10-19_Day</x:v>
      </x:c>
      <x:c r="B26" s="7" t="str">
        <x:v>上昇</x:v>
      </x:c>
      <x:c r="C26" s="6" t="n">
        <x:v>398000</x:v>
      </x:c>
      <x:c r="D26" s="6" t="n">
        <x:v>0</x:v>
      </x:c>
      <x:c r="E26" s="6" t="n">
        <x:f>C26-D26</x:f>
        <x:v>398000</x:v>
      </x:c>
      <x:c r="F26" s="6" t="n">
        <x:f>F25+E26</x:f>
        <x:v>1210000</x:v>
      </x:c>
      <x:c r="G26" s="6" t="n">
        <x:v>-13000</x:v>
      </x:c>
      <x:c r="H26" s="6" t="n">
        <x:v>224000</x:v>
      </x:c>
    </x:row>
    <x:row r="27" ht="25" customHeight="1">
      <x:c r="A27" s="2" t="str">
        <x:v>2026-10-20_Day</x:v>
      </x:c>
      <x:c r="B27" s="7" t="str">
        <x:v>下落</x:v>
      </x:c>
      <x:c r="C27" s="6" t="n">
        <x:v>182000</x:v>
      </x:c>
      <x:c r="D27" s="6" t="n">
        <x:v>206000</x:v>
      </x:c>
      <x:c r="E27" s="6" t="n">
        <x:f>C27-D27</x:f>
        <x:v>-24000</x:v>
      </x:c>
      <x:c r="F27" s="6" t="n">
        <x:f>F26+E27</x:f>
        <x:v>1186000</x:v>
      </x:c>
      <x:c r="G27" s="6" t="n">
        <x:v>-109000</x:v>
      </x:c>
      <x:c r="H27" s="6" t="n">
        <x:v>373000</x:v>
      </x:c>
    </x:row>
    <x:row r="28" ht="25" customHeight="1">
      <x:c r="A28" s="2" t="str">
        <x:v>2026-10-21_Day</x:v>
      </x:c>
      <x:c r="B28" s="7" t="str">
        <x:v>下落</x:v>
      </x:c>
      <x:c r="C28" s="6" t="n">
        <x:v>73000</x:v>
      </x:c>
      <x:c r="D28" s="6" t="n">
        <x:v>193000</x:v>
      </x:c>
      <x:c r="E28" s="6" t="n">
        <x:f>C28-D28</x:f>
        <x:v>-120000</x:v>
      </x:c>
      <x:c r="F28" s="6" t="n">
        <x:f>F27+E28</x:f>
        <x:v>1066000</x:v>
      </x:c>
      <x:c r="G28" s="6" t="n">
        <x:v>-203000</x:v>
      </x:c>
      <x:c r="H28" s="6" t="n">
        <x:v>216000</x:v>
      </x:c>
    </x:row>
    <x:row r="29" ht="25" customHeight="1">
      <x:c r="A29" s="2" t="str">
        <x:v>2026-10-22_Day</x:v>
      </x:c>
      <x:c r="B29" s="7" t="str">
        <x:v>下落</x:v>
      </x:c>
      <x:c r="C29" s="6" t="n">
        <x:v>701000</x:v>
      </x:c>
      <x:c r="D29" s="6" t="n">
        <x:v>0</x:v>
      </x:c>
      <x:c r="E29" s="6" t="n">
        <x:f>C29-D29</x:f>
        <x:v>701000</x:v>
      </x:c>
      <x:c r="F29" s="6" t="n">
        <x:f>F28+E29</x:f>
        <x:v>1767000</x:v>
      </x:c>
      <x:c r="G29" s="6" t="n">
        <x:v>-6000</x:v>
      </x:c>
      <x:c r="H29" s="6" t="n">
        <x:v>126000</x:v>
      </x:c>
    </x:row>
    <x:row r="30" ht="25" customHeight="1">
      <x:c r="A30" s="2" t="str">
        <x:v>2026-10-23_Day</x:v>
      </x:c>
      <x:c r="B30" s="7" t="str">
        <x:v>上昇</x:v>
      </x:c>
      <x:c r="C30" s="6" t="n">
        <x:v>219000</x:v>
      </x:c>
      <x:c r="D30" s="6" t="n">
        <x:v>89000</x:v>
      </x:c>
      <x:c r="E30" s="6" t="n">
        <x:f>C30-D30</x:f>
        <x:v>130000</x:v>
      </x:c>
      <x:c r="F30" s="6" t="n">
        <x:f>F29+E30</x:f>
        <x:v>1897000</x:v>
      </x:c>
      <x:c r="G30" s="6" t="n">
        <x:v>-56000</x:v>
      </x:c>
      <x:c r="H30" s="6" t="n">
        <x:v>122000</x:v>
      </x:c>
    </x:row>
    <x:row r="31" ht="25" customHeight="1">
      <x:c r="A31" s="2" t="str">
        <x:v>2026-10-26_Day</x:v>
      </x:c>
      <x:c r="B31" s="7" t="str">
        <x:v>下落</x:v>
      </x:c>
      <x:c r="C31" s="6" t="n">
        <x:v>199000</x:v>
      </x:c>
      <x:c r="D31" s="6" t="n">
        <x:v>190000</x:v>
      </x:c>
      <x:c r="E31" s="6" t="n">
        <x:f>C31-D31</x:f>
        <x:v>9000</x:v>
      </x:c>
      <x:c r="F31" s="6" t="n">
        <x:f>F30+E31</x:f>
        <x:v>1906000</x:v>
      </x:c>
      <x:c r="G31" s="6" t="n">
        <x:v>-134000</x:v>
      </x:c>
      <x:c r="H31" s="6" t="n">
        <x:v>287000</x:v>
      </x:c>
    </x:row>
    <x:row r="32" ht="25" customHeight="1">
      <x:c r="A32" s="14" t="str">
        <x:v>累計／場内最悪値</x:v>
      </x:c>
      <x:c r="B32" s="15"/>
      <x:c r="C32" s="15" t="n">
        <x:f>SUM(C6:C31)</x:f>
        <x:v>4444000</x:v>
      </x:c>
      <x:c r="D32" s="15" t="n">
        <x:f>SUM(D6:D31)</x:f>
        <x:v>2538000</x:v>
      </x:c>
      <x:c r="E32" s="15" t="n">
        <x:f>C32-D32</x:f>
        <x:v>1906000</x:v>
      </x:c>
      <x:c r="F32" s="15" t="n">
        <x:f>F31</x:f>
        <x:v>1906000</x:v>
      </x:c>
      <x:c r="G32" s="15" t="n">
        <x:f>MIN(G6:G31)</x:f>
        <x:v>-203000</x:v>
      </x:c>
      <x:c r="H32" s="15" t="n">
        <x:f>MAX(H6:H31)</x:f>
        <x:v>373000</x:v>
      </x:c>
    </x:row>
  </x:sheetData>
  <x:conditionalFormatting sqref="E6:G31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62b038e7e5427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S01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別入口の親利益保護と再参加抑止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片側mini10枚相当・手数料0。途中最悪は確定＋含み、最大下落は当場ピークからの落差。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1" t="str">
        <x:v>セッション</x:v>
      </x:c>
      <x:c r="B5" s="11" t="str">
        <x:v>場の方向</x:v>
      </x:c>
      <x:c r="C5" s="11" t="str">
        <x:v>利益（円）</x:v>
      </x:c>
      <x:c r="D5" s="11" t="str">
        <x:v>損失（円）</x:v>
      </x:c>
      <x:c r="E5" s="11" t="str">
        <x:v>収支（円）</x:v>
      </x:c>
      <x:c r="F5" s="11" t="str">
        <x:v>累計（円）</x:v>
      </x:c>
      <x:c r="G5" s="11" t="str">
        <x:v>途中最悪収支（円）</x:v>
      </x:c>
      <x:c r="H5" s="11" t="str">
        <x:v>最大下落額（円）</x:v>
      </x:c>
    </x:row>
    <x:row r="6" ht="25" customHeight="1">
      <x:c r="A6" s="2" t="str">
        <x:v>2026-09-21_Day</x:v>
      </x:c>
      <x:c r="B6" s="7" t="str">
        <x:v>上昇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</x:row>
    <x:row r="7" ht="25" customHeight="1">
      <x:c r="A7" s="2" t="str">
        <x:v>2026-09-22_Day</x:v>
      </x:c>
      <x:c r="B7" s="7" t="str">
        <x:v>下落</x:v>
      </x:c>
      <x:c r="C7" s="6" t="n">
        <x:v>0</x:v>
      </x:c>
      <x:c r="D7" s="6" t="n">
        <x:v>70000</x:v>
      </x:c>
      <x:c r="E7" s="6" t="n">
        <x:f>C7-D7</x:f>
        <x:v>-70000</x:v>
      </x:c>
      <x:c r="F7" s="6" t="n">
        <x:f>F6+E7</x:f>
        <x:v>-40000</x:v>
      </x:c>
      <x:c r="G7" s="6" t="n">
        <x:v>-70000</x:v>
      </x:c>
      <x:c r="H7" s="6" t="n">
        <x:v>80000</x:v>
      </x:c>
    </x:row>
    <x:row r="8" ht="25" customHeight="1">
      <x:c r="A8" s="2" t="str">
        <x:v>2026-09-23_Day</x:v>
      </x:c>
      <x:c r="B8" s="7" t="str">
        <x:v>下落</x:v>
      </x:c>
      <x:c r="C8" s="6" t="n">
        <x:v>50000</x:v>
      </x:c>
      <x:c r="D8" s="6" t="n">
        <x:v>0</x:v>
      </x:c>
      <x:c r="E8" s="6" t="n">
        <x:f>C8-D8</x:f>
        <x:v>50000</x:v>
      </x:c>
      <x:c r="F8" s="6" t="n">
        <x:f>F7+E8</x:f>
        <x:v>10000</x:v>
      </x:c>
      <x:c r="G8" s="6" t="n">
        <x:v>-15000</x:v>
      </x:c>
      <x:c r="H8" s="6" t="n">
        <x:v>40000</x:v>
      </x:c>
    </x:row>
    <x:row r="9" ht="25" customHeight="1">
      <x:c r="A9" s="2" t="str">
        <x:v>2026-09-24_Day</x:v>
      </x:c>
      <x:c r="B9" s="7" t="str">
        <x:v>下落</x:v>
      </x:c>
      <x:c r="C9" s="6" t="n">
        <x:v>175000</x:v>
      </x:c>
      <x:c r="D9" s="6" t="n">
        <x:v>60000</x:v>
      </x:c>
      <x:c r="E9" s="6" t="n">
        <x:f>C9-D9</x:f>
        <x:v>115000</x:v>
      </x:c>
      <x:c r="F9" s="6" t="n">
        <x:f>F8+E9</x:f>
        <x:v>125000</x:v>
      </x:c>
      <x:c r="G9" s="6" t="n">
        <x:v>-14000</x:v>
      </x:c>
      <x:c r="H9" s="6" t="n">
        <x:v>143000</x:v>
      </x:c>
    </x:row>
    <x:row r="10" ht="25" customHeight="1">
      <x:c r="A10" s="2" t="str">
        <x:v>2026-09-25_Day</x:v>
      </x:c>
      <x:c r="B10" s="7" t="str">
        <x:v>上昇</x:v>
      </x:c>
      <x:c r="C10" s="6" t="n">
        <x:v>151000</x:v>
      </x:c>
      <x:c r="D10" s="6" t="n">
        <x:v>16000</x:v>
      </x:c>
      <x:c r="E10" s="6" t="n">
        <x:f>C10-D10</x:f>
        <x:v>135000</x:v>
      </x:c>
      <x:c r="F10" s="6" t="n">
        <x:f>F9+E10</x:f>
        <x:v>260000</x:v>
      </x:c>
      <x:c r="G10" s="6" t="n">
        <x:v>-10000</x:v>
      </x:c>
      <x:c r="H10" s="6" t="n">
        <x:v>81000</x:v>
      </x:c>
    </x:row>
    <x:row r="11" ht="25" customHeight="1">
      <x:c r="A11" s="2" t="str">
        <x:v>2026-09-28_Day</x:v>
      </x:c>
      <x:c r="B11" s="7" t="str">
        <x:v>下落</x:v>
      </x:c>
      <x:c r="C11" s="6" t="n">
        <x:v>125000</x:v>
      </x:c>
      <x:c r="D11" s="6" t="n">
        <x:v>137000</x:v>
      </x:c>
      <x:c r="E11" s="6" t="n">
        <x:f>C11-D11</x:f>
        <x:v>-12000</x:v>
      </x:c>
      <x:c r="F11" s="6" t="n">
        <x:f>F10+E11</x:f>
        <x:v>248000</x:v>
      </x:c>
      <x:c r="G11" s="6" t="n">
        <x:v>-101000</x:v>
      </x:c>
      <x:c r="H11" s="6" t="n">
        <x:v>145000</x:v>
      </x:c>
    </x:row>
    <x:row r="12" ht="25" customHeight="1">
      <x:c r="A12" s="2" t="str">
        <x:v>2026-09-29_Day</x:v>
      </x:c>
      <x:c r="B12" s="7" t="str">
        <x:v>下落</x:v>
      </x:c>
      <x:c r="C12" s="6" t="n">
        <x:v>206000</x:v>
      </x:c>
      <x:c r="D12" s="6" t="n">
        <x:v>125000</x:v>
      </x:c>
      <x:c r="E12" s="6" t="n">
        <x:f>C12-D12</x:f>
        <x:v>81000</x:v>
      </x:c>
      <x:c r="F12" s="6" t="n">
        <x:f>F11+E12</x:f>
        <x:v>329000</x:v>
      </x:c>
      <x:c r="G12" s="6" t="n">
        <x:v>-125000</x:v>
      </x:c>
      <x:c r="H12" s="6" t="n">
        <x:v>218000</x:v>
      </x:c>
    </x:row>
    <x:row r="13" ht="25" customHeight="1">
      <x:c r="A13" s="2" t="str">
        <x:v>2026-09-30_Day</x:v>
      </x:c>
      <x:c r="B13" s="7" t="str">
        <x:v>上昇</x:v>
      </x:c>
      <x:c r="C13" s="6" t="n">
        <x:v>194000</x:v>
      </x:c>
      <x:c r="D13" s="6" t="n">
        <x:v>75000</x:v>
      </x:c>
      <x:c r="E13" s="6" t="n">
        <x:f>C13-D13</x:f>
        <x:v>119000</x:v>
      </x:c>
      <x:c r="F13" s="6" t="n">
        <x:f>F12+E13</x:f>
        <x:v>448000</x:v>
      </x:c>
      <x:c r="G13" s="6" t="n">
        <x:v>-72000</x:v>
      </x:c>
      <x:c r="H13" s="6" t="n">
        <x:v>91000</x:v>
      </x:c>
    </x:row>
    <x:row r="14" ht="25" customHeight="1">
      <x:c r="A14" s="2" t="str">
        <x:v>2026-10-01_Day</x:v>
      </x:c>
      <x:c r="B14" s="7" t="str">
        <x:v>上昇</x:v>
      </x:c>
      <x:c r="C14" s="6" t="n">
        <x:v>248000</x:v>
      </x:c>
      <x:c r="D14" s="6" t="n">
        <x:v>110000</x:v>
      </x:c>
      <x:c r="E14" s="6" t="n">
        <x:f>C14-D14</x:f>
        <x:v>138000</x:v>
      </x:c>
      <x:c r="F14" s="6" t="n">
        <x:f>F13+E14</x:f>
        <x:v>586000</x:v>
      </x:c>
      <x:c r="G14" s="6" t="n">
        <x:v>-72000</x:v>
      </x:c>
      <x:c r="H14" s="6" t="n">
        <x:v>90000</x:v>
      </x:c>
    </x:row>
    <x:row r="15" ht="25" customHeight="1">
      <x:c r="A15" s="2" t="str">
        <x:v>2026-10-02_Day</x:v>
      </x:c>
      <x:c r="B15" s="7" t="str">
        <x:v>上昇</x:v>
      </x:c>
      <x:c r="C15" s="6" t="n">
        <x:v>31000</x:v>
      </x:c>
      <x:c r="D15" s="6" t="n">
        <x:v>73000</x:v>
      </x:c>
      <x:c r="E15" s="6" t="n">
        <x:f>C15-D15</x:f>
        <x:v>-42000</x:v>
      </x:c>
      <x:c r="F15" s="6" t="n">
        <x:f>F14+E15</x:f>
        <x:v>544000</x:v>
      </x:c>
      <x:c r="G15" s="6" t="n">
        <x:v>-81000</x:v>
      </x:c>
      <x:c r="H15" s="6" t="n">
        <x:v>159000</x:v>
      </x:c>
    </x:row>
    <x:row r="16" ht="25" customHeight="1">
      <x:c r="A16" s="2" t="str">
        <x:v>2026-10-05_Day</x:v>
      </x:c>
      <x:c r="B16" s="7" t="str">
        <x:v>上昇</x:v>
      </x:c>
      <x:c r="C16" s="6" t="n">
        <x:v>86000</x:v>
      </x:c>
      <x:c r="D16" s="6" t="n">
        <x:v>156000</x:v>
      </x:c>
      <x:c r="E16" s="6" t="n">
        <x:f>C16-D16</x:f>
        <x:v>-70000</x:v>
      </x:c>
      <x:c r="F16" s="6" t="n">
        <x:f>F15+E16</x:f>
        <x:v>474000</x:v>
      </x:c>
      <x:c r="G16" s="6" t="n">
        <x:v>-115000</x:v>
      </x:c>
      <x:c r="H16" s="6" t="n">
        <x:v>165000</x:v>
      </x:c>
    </x:row>
    <x:row r="17" ht="25" customHeight="1">
      <x:c r="A17" s="2" t="str">
        <x:v>2026-10-06_Day</x:v>
      </x:c>
      <x:c r="B17" s="7" t="str">
        <x:v>上昇</x:v>
      </x:c>
      <x:c r="C17" s="6" t="n">
        <x:v>142000</x:v>
      </x:c>
      <x:c r="D17" s="6" t="n">
        <x:v>160000</x:v>
      </x:c>
      <x:c r="E17" s="6" t="n">
        <x:f>C17-D17</x:f>
        <x:v>-18000</x:v>
      </x:c>
      <x:c r="F17" s="6" t="n">
        <x:f>F16+E17</x:f>
        <x:v>456000</x:v>
      </x:c>
      <x:c r="G17" s="6" t="n">
        <x:v>-74000</x:v>
      </x:c>
      <x:c r="H17" s="6" t="n">
        <x:v>98000</x:v>
      </x:c>
    </x:row>
    <x:row r="18" ht="25" customHeight="1">
      <x:c r="A18" s="2" t="str">
        <x:v>2026-10-07_Day</x:v>
      </x:c>
      <x:c r="B18" s="7" t="str">
        <x:v>下落</x:v>
      </x:c>
      <x:c r="C18" s="6" t="n">
        <x:v>167000</x:v>
      </x:c>
      <x:c r="D18" s="6" t="n">
        <x:v>46000</x:v>
      </x:c>
      <x:c r="E18" s="6" t="n">
        <x:f>C18-D18</x:f>
        <x:v>121000</x:v>
      </x:c>
      <x:c r="F18" s="6" t="n">
        <x:f>F17+E18</x:f>
        <x:v>577000</x:v>
      </x:c>
      <x:c r="G18" s="6" t="n">
        <x:v>-6000</x:v>
      </x:c>
      <x:c r="H18" s="6" t="n">
        <x:v>62000</x:v>
      </x:c>
    </x:row>
    <x:row r="19" ht="25" customHeight="1">
      <x:c r="A19" s="2" t="str">
        <x:v>2026-10-08_Day</x:v>
      </x:c>
      <x:c r="B19" s="7" t="str">
        <x:v>下落</x:v>
      </x:c>
      <x:c r="C19" s="6" t="n">
        <x:v>126000</x:v>
      </x:c>
      <x:c r="D19" s="6" t="n">
        <x:v>90000</x:v>
      </x:c>
      <x:c r="E19" s="6" t="n">
        <x:f>C19-D19</x:f>
        <x:v>36000</x:v>
      </x:c>
      <x:c r="F19" s="6" t="n">
        <x:f>F18+E19</x:f>
        <x:v>613000</x:v>
      </x:c>
      <x:c r="G19" s="6" t="n">
        <x:v>-78000</x:v>
      </x:c>
      <x:c r="H19" s="6" t="n">
        <x:v>119000</x:v>
      </x:c>
    </x:row>
    <x:row r="20" ht="25" customHeight="1">
      <x:c r="A20" s="2" t="str">
        <x:v>2026-10-09_Day</x:v>
      </x:c>
      <x:c r="B20" s="7" t="str">
        <x:v>上昇</x:v>
      </x:c>
      <x:c r="C20" s="6" t="n">
        <x:v>128000</x:v>
      </x:c>
      <x:c r="D20" s="6" t="n">
        <x:v>65000</x:v>
      </x:c>
      <x:c r="E20" s="6" t="n">
        <x:f>C20-D20</x:f>
        <x:v>63000</x:v>
      </x:c>
      <x:c r="F20" s="6" t="n">
        <x:f>F19+E20</x:f>
        <x:v>676000</x:v>
      </x:c>
      <x:c r="G20" s="6" t="n">
        <x:v>-33000</x:v>
      </x:c>
      <x:c r="H20" s="6" t="n">
        <x:v>98000</x:v>
      </x:c>
    </x:row>
    <x:row r="21" ht="25" customHeight="1">
      <x:c r="A21" s="2" t="str">
        <x:v>2026-10-12_Day</x:v>
      </x:c>
      <x:c r="B21" s="7" t="str">
        <x:v>下落</x:v>
      </x:c>
      <x:c r="C21" s="6" t="n">
        <x:v>65000</x:v>
      </x:c>
      <x:c r="D21" s="6" t="n">
        <x:v>25000</x:v>
      </x:c>
      <x:c r="E21" s="6" t="n">
        <x:f>C21-D21</x:f>
        <x:v>40000</x:v>
      </x:c>
      <x:c r="F21" s="6" t="n">
        <x:f>F20+E21</x:f>
        <x:v>716000</x:v>
      </x:c>
      <x:c r="G21" s="6" t="n">
        <x:v>-31000</x:v>
      </x:c>
      <x:c r="H21" s="6" t="n">
        <x:v>70000</x:v>
      </x:c>
    </x:row>
    <x:row r="22" ht="25" customHeight="1">
      <x:c r="A22" s="2" t="str">
        <x:v>2026-10-13_Day</x:v>
      </x:c>
      <x:c r="B22" s="7" t="str">
        <x:v>下落</x:v>
      </x:c>
      <x:c r="C22" s="6" t="n">
        <x:v>208000</x:v>
      </x:c>
      <x:c r="D22" s="6" t="n">
        <x:v>151000</x:v>
      </x:c>
      <x:c r="E22" s="6" t="n">
        <x:f>C22-D22</x:f>
        <x:v>57000</x:v>
      </x:c>
      <x:c r="F22" s="6" t="n">
        <x:f>F21+E22</x:f>
        <x:v>773000</x:v>
      </x:c>
      <x:c r="G22" s="6" t="n">
        <x:v>-36000</x:v>
      </x:c>
      <x:c r="H22" s="6" t="n">
        <x:v>113000</x:v>
      </x:c>
    </x:row>
    <x:row r="23" ht="25" customHeight="1">
      <x:c r="A23" s="2" t="str">
        <x:v>2026-10-14_Day</x:v>
      </x:c>
      <x:c r="B23" s="7" t="str">
        <x:v>上昇</x:v>
      </x:c>
      <x:c r="C23" s="6" t="n">
        <x:v>149000</x:v>
      </x:c>
      <x:c r="D23" s="6" t="n">
        <x:v>48000</x:v>
      </x:c>
      <x:c r="E23" s="6" t="n">
        <x:f>C23-D23</x:f>
        <x:v>101000</x:v>
      </x:c>
      <x:c r="F23" s="6" t="n">
        <x:f>F22+E23</x:f>
        <x:v>874000</x:v>
      </x:c>
      <x:c r="G23" s="6" t="n">
        <x:v>-58000</x:v>
      </x:c>
      <x:c r="H23" s="6" t="n">
        <x:v>75000</x:v>
      </x:c>
    </x:row>
    <x:row r="24" ht="25" customHeight="1">
      <x:c r="A24" s="2" t="str">
        <x:v>2026-10-15_Day</x:v>
      </x:c>
      <x:c r="B24" s="7" t="str">
        <x:v>下落</x:v>
      </x:c>
      <x:c r="C24" s="6" t="n">
        <x:v>302000</x:v>
      </x:c>
      <x:c r="D24" s="6" t="n">
        <x:v>66000</x:v>
      </x:c>
      <x:c r="E24" s="6" t="n">
        <x:f>C24-D24</x:f>
        <x:v>236000</x:v>
      </x:c>
      <x:c r="F24" s="6" t="n">
        <x:f>F23+E24</x:f>
        <x:v>1110000</x:v>
      </x:c>
      <x:c r="G24" s="6" t="n">
        <x:v>-68000</x:v>
      </x:c>
      <x:c r="H24" s="6" t="n">
        <x:v>118000</x:v>
      </x:c>
    </x:row>
    <x:row r="25" ht="25" customHeight="1">
      <x:c r="A25" s="2" t="str">
        <x:v>2026-10-16_Day</x:v>
      </x:c>
      <x:c r="B25" s="7" t="str">
        <x:v>上昇</x:v>
      </x:c>
      <x:c r="C25" s="6" t="n">
        <x:v>145000</x:v>
      </x:c>
      <x:c r="D25" s="6" t="n">
        <x:v>218000</x:v>
      </x:c>
      <x:c r="E25" s="6" t="n">
        <x:f>C25-D25</x:f>
        <x:v>-73000</x:v>
      </x:c>
      <x:c r="F25" s="6" t="n">
        <x:f>F24+E25</x:f>
        <x:v>1037000</x:v>
      </x:c>
      <x:c r="G25" s="6" t="n">
        <x:v>-140000</x:v>
      </x:c>
      <x:c r="H25" s="6" t="n">
        <x:v>162000</x:v>
      </x:c>
    </x:row>
    <x:row r="26" ht="25" customHeight="1">
      <x:c r="A26" s="2" t="str">
        <x:v>2026-10-19_Day</x:v>
      </x:c>
      <x:c r="B26" s="7" t="str">
        <x:v>上昇</x:v>
      </x:c>
      <x:c r="C26" s="6" t="n">
        <x:v>329000</x:v>
      </x:c>
      <x:c r="D26" s="6" t="n">
        <x:v>0</x:v>
      </x:c>
      <x:c r="E26" s="6" t="n">
        <x:f>C26-D26</x:f>
        <x:v>329000</x:v>
      </x:c>
      <x:c r="F26" s="6" t="n">
        <x:f>F25+E26</x:f>
        <x:v>1366000</x:v>
      </x:c>
      <x:c r="G26" s="6" t="n">
        <x:v>-8000</x:v>
      </x:c>
      <x:c r="H26" s="6" t="n">
        <x:v>192000</x:v>
      </x:c>
    </x:row>
    <x:row r="27" ht="25" customHeight="1">
      <x:c r="A27" s="2" t="str">
        <x:v>2026-10-20_Day</x:v>
      </x:c>
      <x:c r="B27" s="7" t="str">
        <x:v>下落</x:v>
      </x:c>
      <x:c r="C27" s="6" t="n">
        <x:v>203000</x:v>
      </x:c>
      <x:c r="D27" s="6" t="n">
        <x:v>178000</x:v>
      </x:c>
      <x:c r="E27" s="6" t="n">
        <x:f>C27-D27</x:f>
        <x:v>25000</x:v>
      </x:c>
      <x:c r="F27" s="6" t="n">
        <x:f>F26+E27</x:f>
        <x:v>1391000</x:v>
      </x:c>
      <x:c r="G27" s="6" t="n">
        <x:v>-60000</x:v>
      </x:c>
      <x:c r="H27" s="6" t="n">
        <x:v>294000</x:v>
      </x:c>
    </x:row>
    <x:row r="28" ht="25" customHeight="1">
      <x:c r="A28" s="2" t="str">
        <x:v>2026-10-21_Day</x:v>
      </x:c>
      <x:c r="B28" s="7" t="str">
        <x:v>下落</x:v>
      </x:c>
      <x:c r="C28" s="6" t="n">
        <x:v>80000</x:v>
      </x:c>
      <x:c r="D28" s="6" t="n">
        <x:v>193000</x:v>
      </x:c>
      <x:c r="E28" s="6" t="n">
        <x:f>C28-D28</x:f>
        <x:v>-113000</x:v>
      </x:c>
      <x:c r="F28" s="6" t="n">
        <x:f>F27+E28</x:f>
        <x:v>1278000</x:v>
      </x:c>
      <x:c r="G28" s="6" t="n">
        <x:v>-203000</x:v>
      </x:c>
      <x:c r="H28" s="6" t="n">
        <x:v>216000</x:v>
      </x:c>
    </x:row>
    <x:row r="29" ht="25" customHeight="1">
      <x:c r="A29" s="2" t="str">
        <x:v>2026-10-22_Day</x:v>
      </x:c>
      <x:c r="B29" s="7" t="str">
        <x:v>下落</x:v>
      </x:c>
      <x:c r="C29" s="6" t="n">
        <x:v>399000</x:v>
      </x:c>
      <x:c r="D29" s="6" t="n">
        <x:v>0</x:v>
      </x:c>
      <x:c r="E29" s="6" t="n">
        <x:f>C29-D29</x:f>
        <x:v>399000</x:v>
      </x:c>
      <x:c r="F29" s="6" t="n">
        <x:f>F28+E29</x:f>
        <x:v>1677000</x:v>
      </x:c>
      <x:c r="G29" s="6" t="n">
        <x:v>-17000</x:v>
      </x:c>
      <x:c r="H29" s="6" t="n">
        <x:v>93000</x:v>
      </x:c>
    </x:row>
    <x:row r="30" ht="25" customHeight="1">
      <x:c r="A30" s="2" t="str">
        <x:v>2026-10-23_Day</x:v>
      </x:c>
      <x:c r="B30" s="7" t="str">
        <x:v>上昇</x:v>
      </x:c>
      <x:c r="C30" s="6" t="n">
        <x:v>332000</x:v>
      </x:c>
      <x:c r="D30" s="6" t="n">
        <x:v>44000</x:v>
      </x:c>
      <x:c r="E30" s="6" t="n">
        <x:f>C30-D30</x:f>
        <x:v>288000</x:v>
      </x:c>
      <x:c r="F30" s="6" t="n">
        <x:f>F29+E30</x:f>
        <x:v>1965000</x:v>
      </x:c>
      <x:c r="G30" s="6" t="n">
        <x:v>-24000</x:v>
      </x:c>
      <x:c r="H30" s="6" t="n">
        <x:v>82000</x:v>
      </x:c>
    </x:row>
    <x:row r="31" ht="25" customHeight="1">
      <x:c r="A31" s="2" t="str">
        <x:v>2026-10-26_Day</x:v>
      </x:c>
      <x:c r="B31" s="7" t="str">
        <x:v>下落</x:v>
      </x:c>
      <x:c r="C31" s="6" t="n">
        <x:v>160000</x:v>
      </x:c>
      <x:c r="D31" s="6" t="n">
        <x:v>190000</x:v>
      </x:c>
      <x:c r="E31" s="6" t="n">
        <x:f>C31-D31</x:f>
        <x:v>-30000</x:v>
      </x:c>
      <x:c r="F31" s="6" t="n">
        <x:f>F30+E31</x:f>
        <x:v>1935000</x:v>
      </x:c>
      <x:c r="G31" s="6" t="n">
        <x:v>-126000</x:v>
      </x:c>
      <x:c r="H31" s="6" t="n">
        <x:v>254000</x:v>
      </x:c>
    </x:row>
    <x:row r="32" ht="25" customHeight="1">
      <x:c r="A32" s="14" t="str">
        <x:v>累計／場内最悪値</x:v>
      </x:c>
      <x:c r="B32" s="15"/>
      <x:c r="C32" s="15" t="n">
        <x:f>SUM(C6:C31)</x:f>
        <x:v>4231000</x:v>
      </x:c>
      <x:c r="D32" s="15" t="n">
        <x:f>SUM(D6:D31)</x:f>
        <x:v>2296000</x:v>
      </x:c>
      <x:c r="E32" s="15" t="n">
        <x:f>C32-D32</x:f>
        <x:v>1935000</x:v>
      </x:c>
      <x:c r="F32" s="15" t="n">
        <x:f>F31</x:f>
        <x:v>1935000</x:v>
      </x:c>
      <x:c r="G32" s="15" t="n">
        <x:f>MIN(G6:G31)</x:f>
        <x:v>-203000</x:v>
      </x:c>
      <x:c r="H32" s="15" t="n">
        <x:f>MAX(H6:H31)</x:f>
        <x:v>294000</x:v>
      </x:c>
    </x:row>
  </x:sheetData>
  <x:conditionalFormatting sqref="E6:G31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c2789111c94d1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S01の初回を最低10microと支持で配分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片側mini10枚相当・手数料0。途中最悪は確定＋含み、最大下落は当場ピークからの落差。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1" t="str">
        <x:v>セッション</x:v>
      </x:c>
      <x:c r="B5" s="11" t="str">
        <x:v>場の方向</x:v>
      </x:c>
      <x:c r="C5" s="11" t="str">
        <x:v>利益（円）</x:v>
      </x:c>
      <x:c r="D5" s="11" t="str">
        <x:v>損失（円）</x:v>
      </x:c>
      <x:c r="E5" s="11" t="str">
        <x:v>収支（円）</x:v>
      </x:c>
      <x:c r="F5" s="11" t="str">
        <x:v>累計（円）</x:v>
      </x:c>
      <x:c r="G5" s="11" t="str">
        <x:v>途中最悪収支（円）</x:v>
      </x:c>
      <x:c r="H5" s="11" t="str">
        <x:v>最大下落額（円）</x:v>
      </x:c>
    </x:row>
    <x:row r="6" ht="25" customHeight="1">
      <x:c r="A6" s="2" t="str">
        <x:v>2026-09-21_Day</x:v>
      </x:c>
      <x:c r="B6" s="7" t="str">
        <x:v>上昇</x:v>
      </x:c>
      <x:c r="C6" s="6" t="n">
        <x:v>7200</x:v>
      </x:c>
      <x:c r="D6" s="6" t="n">
        <x:v>0</x:v>
      </x:c>
      <x:c r="E6" s="6" t="n">
        <x:f>C6-D6</x:f>
        <x:v>7200</x:v>
      </x:c>
      <x:c r="F6" s="6" t="n">
        <x:f>E6</x:f>
        <x:v>7200</x:v>
      </x:c>
      <x:c r="G6" s="6" t="n">
        <x:v>-12000</x:v>
      </x:c>
      <x:c r="H6" s="6" t="n">
        <x:v>13000</x:v>
      </x:c>
    </x:row>
    <x:row r="7" ht="25" customHeight="1">
      <x:c r="A7" s="2" t="str">
        <x:v>2026-09-22_Day</x:v>
      </x:c>
      <x:c r="B7" s="7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-6800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7" t="str">
        <x:v>下落</x:v>
      </x:c>
      <x:c r="C8" s="6" t="n">
        <x:v>10000</x:v>
      </x:c>
      <x:c r="D8" s="6" t="n">
        <x:v>0</x:v>
      </x:c>
      <x:c r="E8" s="6" t="n">
        <x:f>C8-D8</x:f>
        <x:v>10000</x:v>
      </x:c>
      <x:c r="F8" s="6" t="n">
        <x:f>F7+E8</x:f>
        <x:v>3200</x:v>
      </x:c>
      <x:c r="G8" s="6" t="n">
        <x:v>-3000</x:v>
      </x:c>
      <x:c r="H8" s="6" t="n">
        <x:v>8000</x:v>
      </x:c>
    </x:row>
    <x:row r="9" ht="25" customHeight="1">
      <x:c r="A9" s="2" t="str">
        <x:v>2026-09-24_Day</x:v>
      </x:c>
      <x:c r="B9" s="7" t="str">
        <x:v>下落</x:v>
      </x:c>
      <x:c r="C9" s="6" t="n">
        <x:v>234200</x:v>
      </x:c>
      <x:c r="D9" s="6" t="n">
        <x:v>12000</x:v>
      </x:c>
      <x:c r="E9" s="6" t="n">
        <x:f>C9-D9</x:f>
        <x:v>222200</x:v>
      </x:c>
      <x:c r="F9" s="6" t="n">
        <x:f>F8+E9</x:f>
        <x:v>225400</x:v>
      </x:c>
      <x:c r="G9" s="6" t="n">
        <x:v>-18200</x:v>
      </x:c>
      <x:c r="H9" s="6" t="n">
        <x:v>169300</x:v>
      </x:c>
    </x:row>
    <x:row r="10" ht="25" customHeight="1">
      <x:c r="A10" s="2" t="str">
        <x:v>2026-09-25_Day</x:v>
      </x:c>
      <x:c r="B10" s="7" t="str">
        <x:v>上昇</x:v>
      </x:c>
      <x:c r="C10" s="6" t="n">
        <x:v>149400</x:v>
      </x:c>
      <x:c r="D10" s="6" t="n">
        <x:v>8000</x:v>
      </x:c>
      <x:c r="E10" s="6" t="n">
        <x:f>C10-D10</x:f>
        <x:v>141400</x:v>
      </x:c>
      <x:c r="F10" s="6" t="n">
        <x:f>F9+E10</x:f>
        <x:v>366800</x:v>
      </x:c>
      <x:c r="G10" s="6" t="n">
        <x:v>-58000</x:v>
      </x:c>
      <x:c r="H10" s="6" t="n">
        <x:v>96800</x:v>
      </x:c>
    </x:row>
    <x:row r="11" ht="25" customHeight="1">
      <x:c r="A11" s="2" t="str">
        <x:v>2026-09-28_Day</x:v>
      </x:c>
      <x:c r="B11" s="7" t="str">
        <x:v>下落</x:v>
      </x:c>
      <x:c r="C11" s="6" t="n">
        <x:v>65900</x:v>
      </x:c>
      <x:c r="D11" s="6" t="n">
        <x:v>46000</x:v>
      </x:c>
      <x:c r="E11" s="6" t="n">
        <x:f>C11-D11</x:f>
        <x:v>19900</x:v>
      </x:c>
      <x:c r="F11" s="6" t="n">
        <x:f>F10+E11</x:f>
        <x:v>386700</x:v>
      </x:c>
      <x:c r="G11" s="6" t="n">
        <x:v>-75200</x:v>
      </x:c>
      <x:c r="H11" s="6" t="n">
        <x:v>89300</x:v>
      </x:c>
    </x:row>
    <x:row r="12" ht="25" customHeight="1">
      <x:c r="A12" s="2" t="str">
        <x:v>2026-09-29_Day</x:v>
      </x:c>
      <x:c r="B12" s="7" t="str">
        <x:v>下落</x:v>
      </x:c>
      <x:c r="C12" s="6" t="n">
        <x:v>94000</x:v>
      </x:c>
      <x:c r="D12" s="6" t="n">
        <x:v>194800</x:v>
      </x:c>
      <x:c r="E12" s="6" t="n">
        <x:f>C12-D12</x:f>
        <x:v>-100800</x:v>
      </x:c>
      <x:c r="F12" s="6" t="n">
        <x:f>F11+E12</x:f>
        <x:v>285900</x:v>
      </x:c>
      <x:c r="G12" s="6" t="n">
        <x:v>-189200</x:v>
      </x:c>
      <x:c r="H12" s="6" t="n">
        <x:v>207400</x:v>
      </x:c>
    </x:row>
    <x:row r="13" ht="25" customHeight="1">
      <x:c r="A13" s="2" t="str">
        <x:v>2026-09-30_Day</x:v>
      </x:c>
      <x:c r="B13" s="7" t="str">
        <x:v>上昇</x:v>
      </x:c>
      <x:c r="C13" s="6" t="n">
        <x:v>47500</x:v>
      </x:c>
      <x:c r="D13" s="6" t="n">
        <x:v>25400</x:v>
      </x:c>
      <x:c r="E13" s="6" t="n">
        <x:f>C13-D13</x:f>
        <x:v>22100</x:v>
      </x:c>
      <x:c r="F13" s="6" t="n">
        <x:f>F12+E13</x:f>
        <x:v>308000</x:v>
      </x:c>
      <x:c r="G13" s="6" t="n">
        <x:v>-16900</x:v>
      </x:c>
      <x:c r="H13" s="6" t="n">
        <x:v>26400</x:v>
      </x:c>
    </x:row>
    <x:row r="14" ht="25" customHeight="1">
      <x:c r="A14" s="2" t="str">
        <x:v>2026-10-01_Day</x:v>
      </x:c>
      <x:c r="B14" s="7" t="str">
        <x:v>上昇</x:v>
      </x:c>
      <x:c r="C14" s="6" t="n">
        <x:v>66000</x:v>
      </x:c>
      <x:c r="D14" s="6" t="n">
        <x:v>142700</x:v>
      </x:c>
      <x:c r="E14" s="6" t="n">
        <x:f>C14-D14</x:f>
        <x:v>-76700</x:v>
      </x:c>
      <x:c r="F14" s="6" t="n">
        <x:f>F13+E14</x:f>
        <x:v>231300</x:v>
      </x:c>
      <x:c r="G14" s="6" t="n">
        <x:v>-92700</x:v>
      </x:c>
      <x:c r="H14" s="6" t="n">
        <x:v>108900</x:v>
      </x:c>
    </x:row>
    <x:row r="15" ht="25" customHeight="1">
      <x:c r="A15" s="2" t="str">
        <x:v>2026-10-02_Day</x:v>
      </x:c>
      <x:c r="B15" s="7" t="str">
        <x:v>上昇</x:v>
      </x:c>
      <x:c r="C15" s="6" t="n">
        <x:v>19400</x:v>
      </x:c>
      <x:c r="D15" s="6" t="n">
        <x:v>42000</x:v>
      </x:c>
      <x:c r="E15" s="6" t="n">
        <x:f>C15-D15</x:f>
        <x:v>-22600</x:v>
      </x:c>
      <x:c r="F15" s="6" t="n">
        <x:f>F14+E15</x:f>
        <x:v>208700</x:v>
      </x:c>
      <x:c r="G15" s="6" t="n">
        <x:v>-40500</x:v>
      </x:c>
      <x:c r="H15" s="6" t="n">
        <x:v>87300</x:v>
      </x:c>
    </x:row>
    <x:row r="16" ht="25" customHeight="1">
      <x:c r="A16" s="2" t="str">
        <x:v>2026-10-05_Day</x:v>
      </x:c>
      <x:c r="B16" s="7" t="str">
        <x:v>上昇</x:v>
      </x:c>
      <x:c r="C16" s="6" t="n">
        <x:v>65700</x:v>
      </x:c>
      <x:c r="D16" s="6" t="n">
        <x:v>59400</x:v>
      </x:c>
      <x:c r="E16" s="6" t="n">
        <x:f>C16-D16</x:f>
        <x:v>6300</x:v>
      </x:c>
      <x:c r="F16" s="6" t="n">
        <x:f>F15+E16</x:f>
        <x:v>215000</x:v>
      </x:c>
      <x:c r="G16" s="6" t="n">
        <x:v>-19200</x:v>
      </x:c>
      <x:c r="H16" s="6" t="n">
        <x:v>78700</x:v>
      </x:c>
    </x:row>
    <x:row r="17" ht="25" customHeight="1">
      <x:c r="A17" s="2" t="str">
        <x:v>2026-10-06_Day</x:v>
      </x:c>
      <x:c r="B17" s="7" t="str">
        <x:v>上昇</x:v>
      </x:c>
      <x:c r="C17" s="6" t="n">
        <x:v>36600</x:v>
      </x:c>
      <x:c r="D17" s="6" t="n">
        <x:v>167200</x:v>
      </x:c>
      <x:c r="E17" s="6" t="n">
        <x:f>C17-D17</x:f>
        <x:v>-130600</x:v>
      </x:c>
      <x:c r="F17" s="6" t="n">
        <x:f>F16+E17</x:f>
        <x:v>84400</x:v>
      </x:c>
      <x:c r="G17" s="6" t="n">
        <x:v>-130600</x:v>
      </x:c>
      <x:c r="H17" s="6" t="n">
        <x:v>170700</x:v>
      </x:c>
    </x:row>
    <x:row r="18" ht="25" customHeight="1">
      <x:c r="A18" s="2" t="str">
        <x:v>2026-10-07_Day</x:v>
      </x:c>
      <x:c r="B18" s="7" t="str">
        <x:v>下落</x:v>
      </x:c>
      <x:c r="C18" s="6" t="n">
        <x:v>245800</x:v>
      </x:c>
      <x:c r="D18" s="6" t="n">
        <x:v>43300</x:v>
      </x:c>
      <x:c r="E18" s="6" t="n">
        <x:f>C18-D18</x:f>
        <x:v>202500</x:v>
      </x:c>
      <x:c r="F18" s="6" t="n">
        <x:f>F17+E18</x:f>
        <x:v>286900</x:v>
      </x:c>
      <x:c r="G18" s="6" t="n">
        <x:v>-12900</x:v>
      </x:c>
      <x:c r="H18" s="6" t="n">
        <x:v>86300</x:v>
      </x:c>
    </x:row>
    <x:row r="19" ht="25" customHeight="1">
      <x:c r="A19" s="2" t="str">
        <x:v>2026-10-08_Day</x:v>
      </x:c>
      <x:c r="B19" s="7" t="str">
        <x:v>下落</x:v>
      </x:c>
      <x:c r="C19" s="6" t="n">
        <x:v>35400</x:v>
      </x:c>
      <x:c r="D19" s="6" t="n">
        <x:v>23000</x:v>
      </x:c>
      <x:c r="E19" s="6" t="n">
        <x:f>C19-D19</x:f>
        <x:v>12400</x:v>
      </x:c>
      <x:c r="F19" s="6" t="n">
        <x:f>F18+E19</x:f>
        <x:v>299300</x:v>
      </x:c>
      <x:c r="G19" s="6" t="n">
        <x:v>-27300</x:v>
      </x:c>
      <x:c r="H19" s="6" t="n">
        <x:v>32300</x:v>
      </x:c>
    </x:row>
    <x:row r="20" ht="25" customHeight="1">
      <x:c r="A20" s="2" t="str">
        <x:v>2026-10-09_Day</x:v>
      </x:c>
      <x:c r="B20" s="7" t="str">
        <x:v>上昇</x:v>
      </x:c>
      <x:c r="C20" s="6" t="n">
        <x:v>58200</x:v>
      </x:c>
      <x:c r="D20" s="6" t="n">
        <x:v>44900</x:v>
      </x:c>
      <x:c r="E20" s="6" t="n">
        <x:f>C20-D20</x:f>
        <x:v>13300</x:v>
      </x:c>
      <x:c r="F20" s="6" t="n">
        <x:f>F19+E20</x:f>
        <x:v>312600</x:v>
      </x:c>
      <x:c r="G20" s="6" t="n">
        <x:v>-101300</x:v>
      </x:c>
      <x:c r="H20" s="6" t="n">
        <x:v>198200</x:v>
      </x:c>
    </x:row>
    <x:row r="21" ht="25" customHeight="1">
      <x:c r="A21" s="2" t="str">
        <x:v>2026-10-12_Day</x:v>
      </x:c>
      <x:c r="B21" s="7" t="str">
        <x:v>下落</x:v>
      </x:c>
      <x:c r="C21" s="6" t="n">
        <x:v>14200</x:v>
      </x:c>
      <x:c r="D21" s="6" t="n">
        <x:v>5000</x:v>
      </x:c>
      <x:c r="E21" s="6" t="n">
        <x:f>C21-D21</x:f>
        <x:v>9200</x:v>
      </x:c>
      <x:c r="F21" s="6" t="n">
        <x:f>F20+E21</x:f>
        <x:v>321800</x:v>
      </x:c>
      <x:c r="G21" s="6" t="n">
        <x:v>-5000</x:v>
      </x:c>
      <x:c r="H21" s="6" t="n">
        <x:v>14000</x:v>
      </x:c>
    </x:row>
    <x:row r="22" ht="25" customHeight="1">
      <x:c r="A22" s="2" t="str">
        <x:v>2026-10-13_Day</x:v>
      </x:c>
      <x:c r="B22" s="7" t="str">
        <x:v>下落</x:v>
      </x:c>
      <x:c r="C22" s="6" t="n">
        <x:v>160800</x:v>
      </x:c>
      <x:c r="D22" s="6" t="n">
        <x:v>220600</x:v>
      </x:c>
      <x:c r="E22" s="6" t="n">
        <x:f>C22-D22</x:f>
        <x:v>-59800</x:v>
      </x:c>
      <x:c r="F22" s="6" t="n">
        <x:f>F21+E22</x:f>
        <x:v>262000</x:v>
      </x:c>
      <x:c r="G22" s="6" t="n">
        <x:v>-115500</x:v>
      </x:c>
      <x:c r="H22" s="6" t="n">
        <x:v>222800</x:v>
      </x:c>
    </x:row>
    <x:row r="23" ht="25" customHeight="1">
      <x:c r="A23" s="2" t="str">
        <x:v>2026-10-14_Day</x:v>
      </x:c>
      <x:c r="B23" s="7" t="str">
        <x:v>上昇</x:v>
      </x:c>
      <x:c r="C23" s="6" t="n">
        <x:v>38700</x:v>
      </x:c>
      <x:c r="D23" s="6" t="n">
        <x:v>99900</x:v>
      </x:c>
      <x:c r="E23" s="6" t="n">
        <x:f>C23-D23</x:f>
        <x:v>-61200</x:v>
      </x:c>
      <x:c r="F23" s="6" t="n">
        <x:f>F22+E23</x:f>
        <x:v>200800</x:v>
      </x:c>
      <x:c r="G23" s="6" t="n">
        <x:v>-101900</x:v>
      </x:c>
      <x:c r="H23" s="6" t="n">
        <x:v>141000</x:v>
      </x:c>
    </x:row>
    <x:row r="24" ht="25" customHeight="1">
      <x:c r="A24" s="2" t="str">
        <x:v>2026-10-15_Day</x:v>
      </x:c>
      <x:c r="B24" s="7" t="str">
        <x:v>下落</x:v>
      </x:c>
      <x:c r="C24" s="6" t="n">
        <x:v>333100</x:v>
      </x:c>
      <x:c r="D24" s="6" t="n">
        <x:v>33000</x:v>
      </x:c>
      <x:c r="E24" s="6" t="n">
        <x:f>C24-D24</x:f>
        <x:v>300100</x:v>
      </x:c>
      <x:c r="F24" s="6" t="n">
        <x:f>F23+E24</x:f>
        <x:v>500900</x:v>
      </x:c>
      <x:c r="G24" s="6" t="n">
        <x:v>-31500</x:v>
      </x:c>
      <x:c r="H24" s="6" t="n">
        <x:v>161300</x:v>
      </x:c>
    </x:row>
    <x:row r="25" ht="25" customHeight="1">
      <x:c r="A25" s="2" t="str">
        <x:v>2026-10-16_Day</x:v>
      </x:c>
      <x:c r="B25" s="7" t="str">
        <x:v>上昇</x:v>
      </x:c>
      <x:c r="C25" s="6" t="n">
        <x:v>69100</x:v>
      </x:c>
      <x:c r="D25" s="6" t="n">
        <x:v>153900</x:v>
      </x:c>
      <x:c r="E25" s="6" t="n">
        <x:f>C25-D25</x:f>
        <x:v>-84800</x:v>
      </x:c>
      <x:c r="F25" s="6" t="n">
        <x:f>F24+E25</x:f>
        <x:v>416100</x:v>
      </x:c>
      <x:c r="G25" s="6" t="n">
        <x:v>-98200</x:v>
      </x:c>
      <x:c r="H25" s="6" t="n">
        <x:v>130200</x:v>
      </x:c>
    </x:row>
    <x:row r="26" ht="25" customHeight="1">
      <x:c r="A26" s="2" t="str">
        <x:v>2026-10-19_Day</x:v>
      </x:c>
      <x:c r="B26" s="7" t="str">
        <x:v>上昇</x:v>
      </x:c>
      <x:c r="C26" s="6" t="n">
        <x:v>564500</x:v>
      </x:c>
      <x:c r="D26" s="6" t="n">
        <x:v>0</x:v>
      </x:c>
      <x:c r="E26" s="6" t="n">
        <x:f>C26-D26</x:f>
        <x:v>564500</x:v>
      </x:c>
      <x:c r="F26" s="6" t="n">
        <x:f>F25+E26</x:f>
        <x:v>980600</x:v>
      </x:c>
      <x:c r="G26" s="6" t="n">
        <x:v>-20800</x:v>
      </x:c>
      <x:c r="H26" s="6" t="n">
        <x:v>259200</x:v>
      </x:c>
    </x:row>
    <x:row r="27" ht="25" customHeight="1">
      <x:c r="A27" s="2" t="str">
        <x:v>2026-10-20_Day</x:v>
      </x:c>
      <x:c r="B27" s="7" t="str">
        <x:v>下落</x:v>
      </x:c>
      <x:c r="C27" s="6" t="n">
        <x:v>97900</x:v>
      </x:c>
      <x:c r="D27" s="6" t="n">
        <x:v>83900</x:v>
      </x:c>
      <x:c r="E27" s="6" t="n">
        <x:f>C27-D27</x:f>
        <x:v>14000</x:v>
      </x:c>
      <x:c r="F27" s="6" t="n">
        <x:f>F26+E27</x:f>
        <x:v>994600</x:v>
      </x:c>
      <x:c r="G27" s="6" t="n">
        <x:v>-12000</x:v>
      </x:c>
      <x:c r="H27" s="6" t="n">
        <x:v>136700</x:v>
      </x:c>
    </x:row>
    <x:row r="28" ht="25" customHeight="1">
      <x:c r="A28" s="2" t="str">
        <x:v>2026-10-21_Day</x:v>
      </x:c>
      <x:c r="B28" s="7" t="str">
        <x:v>下落</x:v>
      </x:c>
      <x:c r="C28" s="6" t="n">
        <x:v>54300</x:v>
      </x:c>
      <x:c r="D28" s="6" t="n">
        <x:v>153100</x:v>
      </x:c>
      <x:c r="E28" s="6" t="n">
        <x:f>C28-D28</x:f>
        <x:v>-98800</x:v>
      </x:c>
      <x:c r="F28" s="6" t="n">
        <x:f>F27+E28</x:f>
        <x:v>895800</x:v>
      </x:c>
      <x:c r="G28" s="6" t="n">
        <x:v>-160300</x:v>
      </x:c>
      <x:c r="H28" s="6" t="n">
        <x:v>166800</x:v>
      </x:c>
    </x:row>
    <x:row r="29" ht="25" customHeight="1">
      <x:c r="A29" s="2" t="str">
        <x:v>2026-10-22_Day</x:v>
      </x:c>
      <x:c r="B29" s="7" t="str">
        <x:v>下落</x:v>
      </x:c>
      <x:c r="C29" s="6" t="n">
        <x:v>259900</x:v>
      </x:c>
      <x:c r="D29" s="6" t="n">
        <x:v>0</x:v>
      </x:c>
      <x:c r="E29" s="6" t="n">
        <x:f>C29-D29</x:f>
        <x:v>259900</x:v>
      </x:c>
      <x:c r="F29" s="6" t="n">
        <x:f>F28+E29</x:f>
        <x:v>1155700</x:v>
      </x:c>
      <x:c r="G29" s="6" t="n">
        <x:v>-17300</x:v>
      </x:c>
      <x:c r="H29" s="6" t="n">
        <x:v>59400</x:v>
      </x:c>
    </x:row>
    <x:row r="30" ht="25" customHeight="1">
      <x:c r="A30" s="2" t="str">
        <x:v>2026-10-23_Day</x:v>
      </x:c>
      <x:c r="B30" s="7" t="str">
        <x:v>上昇</x:v>
      </x:c>
      <x:c r="C30" s="6" t="n">
        <x:v>341100</x:v>
      </x:c>
      <x:c r="D30" s="6" t="n">
        <x:v>31900</x:v>
      </x:c>
      <x:c r="E30" s="6" t="n">
        <x:f>C30-D30</x:f>
        <x:v>309200</x:v>
      </x:c>
      <x:c r="F30" s="6" t="n">
        <x:f>F29+E30</x:f>
        <x:v>1464900</x:v>
      </x:c>
      <x:c r="G30" s="6" t="n">
        <x:v>-68400</x:v>
      </x:c>
      <x:c r="H30" s="6" t="n">
        <x:v>136800</x:v>
      </x:c>
    </x:row>
    <x:row r="31" ht="25" customHeight="1">
      <x:c r="A31" s="2" t="str">
        <x:v>2026-10-26_Day</x:v>
      </x:c>
      <x:c r="B31" s="7" t="str">
        <x:v>下落</x:v>
      </x:c>
      <x:c r="C31" s="6" t="n">
        <x:v>390500</x:v>
      </x:c>
      <x:c r="D31" s="6" t="n">
        <x:v>95400</x:v>
      </x:c>
      <x:c r="E31" s="6" t="n">
        <x:f>C31-D31</x:f>
        <x:v>295100</x:v>
      </x:c>
      <x:c r="F31" s="6" t="n">
        <x:f>F30+E31</x:f>
        <x:v>1760000</x:v>
      </x:c>
      <x:c r="G31" s="6" t="n">
        <x:v>-14000</x:v>
      </x:c>
      <x:c r="H31" s="6" t="n">
        <x:v>263800</x:v>
      </x:c>
    </x:row>
    <x:row r="32" ht="25" customHeight="1">
      <x:c r="A32" s="14" t="str">
        <x:v>累計／場内最悪値</x:v>
      </x:c>
      <x:c r="B32" s="15"/>
      <x:c r="C32" s="15" t="n">
        <x:f>SUM(C6:C31)</x:f>
        <x:v>3459400</x:v>
      </x:c>
      <x:c r="D32" s="15" t="n">
        <x:f>SUM(D6:D31)</x:f>
        <x:v>1699400</x:v>
      </x:c>
      <x:c r="E32" s="15" t="n">
        <x:f>C32-D32</x:f>
        <x:v>1760000</x:v>
      </x:c>
      <x:c r="F32" s="15" t="n">
        <x:f>F31</x:f>
        <x:v>1760000</x:v>
      </x:c>
      <x:c r="G32" s="15" t="n">
        <x:f>MIN(G6:G31)</x:f>
        <x:v>-189200</x:v>
      </x:c>
      <x:c r="H32" s="15" t="n">
        <x:f>MAX(H6:H31)</x:f>
        <x:v>263800</x:v>
      </x:c>
    </x:row>
  </x:sheetData>
  <x:conditionalFormatting sqref="E6:G31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2907ef3b504f8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J02に40pt順行後の追加を加える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片側mini10枚相当・手数料0。途中最悪は確定＋含み、最大下落は当場ピークからの落差。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1" t="str">
        <x:v>セッション</x:v>
      </x:c>
      <x:c r="B5" s="11" t="str">
        <x:v>場の方向</x:v>
      </x:c>
      <x:c r="C5" s="11" t="str">
        <x:v>利益（円）</x:v>
      </x:c>
      <x:c r="D5" s="11" t="str">
        <x:v>損失（円）</x:v>
      </x:c>
      <x:c r="E5" s="11" t="str">
        <x:v>収支（円）</x:v>
      </x:c>
      <x:c r="F5" s="11" t="str">
        <x:v>累計（円）</x:v>
      </x:c>
      <x:c r="G5" s="11" t="str">
        <x:v>途中最悪収支（円）</x:v>
      </x:c>
      <x:c r="H5" s="11" t="str">
        <x:v>最大下落額（円）</x:v>
      </x:c>
    </x:row>
    <x:row r="6" ht="25" customHeight="1">
      <x:c r="A6" s="2" t="str">
        <x:v>2026-09-21_Day</x:v>
      </x:c>
      <x:c r="B6" s="7" t="str">
        <x:v>上昇</x:v>
      </x:c>
      <x:c r="C6" s="6" t="n">
        <x:v>5200</x:v>
      </x:c>
      <x:c r="D6" s="6" t="n">
        <x:v>15600</x:v>
      </x:c>
      <x:c r="E6" s="6" t="n">
        <x:f>C6-D6</x:f>
        <x:v>-10400</x:v>
      </x:c>
      <x:c r="F6" s="6" t="n">
        <x:f>E6</x:f>
        <x:v>-10400</x:v>
      </x:c>
      <x:c r="G6" s="6" t="n">
        <x:v>-18600</x:v>
      </x:c>
      <x:c r="H6" s="6" t="n">
        <x:v>24600</x:v>
      </x:c>
    </x:row>
    <x:row r="7" ht="25" customHeight="1">
      <x:c r="A7" s="2" t="str">
        <x:v>2026-09-22_Day</x:v>
      </x:c>
      <x:c r="B7" s="7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-24400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7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-13600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7" t="str">
        <x:v>下落</x:v>
      </x:c>
      <x:c r="C9" s="6" t="n">
        <x:v>393000</x:v>
      </x:c>
      <x:c r="D9" s="6" t="n">
        <x:v>12000</x:v>
      </x:c>
      <x:c r="E9" s="6" t="n">
        <x:f>C9-D9</x:f>
        <x:v>381000</x:v>
      </x:c>
      <x:c r="F9" s="6" t="n">
        <x:f>F8+E9</x:f>
        <x:v>367400</x:v>
      </x:c>
      <x:c r="G9" s="6" t="n">
        <x:v>-44600</x:v>
      </x:c>
      <x:c r="H9" s="6" t="n">
        <x:v>311100</x:v>
      </x:c>
    </x:row>
    <x:row r="10" ht="25" customHeight="1">
      <x:c r="A10" s="2" t="str">
        <x:v>2026-09-25_Day</x:v>
      </x:c>
      <x:c r="B10" s="7" t="str">
        <x:v>上昇</x:v>
      </x:c>
      <x:c r="C10" s="6" t="n">
        <x:v>212500</x:v>
      </x:c>
      <x:c r="D10" s="6" t="n">
        <x:v>8000</x:v>
      </x:c>
      <x:c r="E10" s="6" t="n">
        <x:f>C10-D10</x:f>
        <x:v>204500</x:v>
      </x:c>
      <x:c r="F10" s="6" t="n">
        <x:f>F9+E10</x:f>
        <x:v>571900</x:v>
      </x:c>
      <x:c r="G10" s="6" t="n">
        <x:v>-11800</x:v>
      </x:c>
      <x:c r="H10" s="6" t="n">
        <x:v>195100</x:v>
      </x:c>
    </x:row>
    <x:row r="11" ht="25" customHeight="1">
      <x:c r="A11" s="2" t="str">
        <x:v>2026-09-28_Day</x:v>
      </x:c>
      <x:c r="B11" s="7" t="str">
        <x:v>下落</x:v>
      </x:c>
      <x:c r="C11" s="6" t="n">
        <x:v>184300</x:v>
      </x:c>
      <x:c r="D11" s="6" t="n">
        <x:v>81100</x:v>
      </x:c>
      <x:c r="E11" s="6" t="n">
        <x:f>C11-D11</x:f>
        <x:v>103200</x:v>
      </x:c>
      <x:c r="F11" s="6" t="n">
        <x:f>F10+E11</x:f>
        <x:v>675100</x:v>
      </x:c>
      <x:c r="G11" s="6" t="n">
        <x:v>-92400</x:v>
      </x:c>
      <x:c r="H11" s="6" t="n">
        <x:v>252300</x:v>
      </x:c>
    </x:row>
    <x:row r="12" ht="25" customHeight="1">
      <x:c r="A12" s="2" t="str">
        <x:v>2026-09-29_Day</x:v>
      </x:c>
      <x:c r="B12" s="7" t="str">
        <x:v>下落</x:v>
      </x:c>
      <x:c r="C12" s="6" t="n">
        <x:v>221500</x:v>
      </x:c>
      <x:c r="D12" s="6" t="n">
        <x:v>208800</x:v>
      </x:c>
      <x:c r="E12" s="6" t="n">
        <x:f>C12-D12</x:f>
        <x:v>12700</x:v>
      </x:c>
      <x:c r="F12" s="6" t="n">
        <x:f>F11+E12</x:f>
        <x:v>687800</x:v>
      </x:c>
      <x:c r="G12" s="6" t="n">
        <x:v>-278400</x:v>
      </x:c>
      <x:c r="H12" s="6" t="n">
        <x:v>303200</x:v>
      </x:c>
    </x:row>
    <x:row r="13" ht="25" customHeight="1">
      <x:c r="A13" s="2" t="str">
        <x:v>2026-09-30_Day</x:v>
      </x:c>
      <x:c r="B13" s="7" t="str">
        <x:v>上昇</x:v>
      </x:c>
      <x:c r="C13" s="6" t="n">
        <x:v>260000</x:v>
      </x:c>
      <x:c r="D13" s="6" t="n">
        <x:v>25400</x:v>
      </x:c>
      <x:c r="E13" s="6" t="n">
        <x:f>C13-D13</x:f>
        <x:v>234600</x:v>
      </x:c>
      <x:c r="F13" s="6" t="n">
        <x:f>F12+E13</x:f>
        <x:v>922400</x:v>
      </x:c>
      <x:c r="G13" s="6" t="n">
        <x:v>-56600</x:v>
      </x:c>
      <x:c r="H13" s="6" t="n">
        <x:v>82000</x:v>
      </x:c>
    </x:row>
    <x:row r="14" ht="25" customHeight="1">
      <x:c r="A14" s="2" t="str">
        <x:v>2026-10-01_Day</x:v>
      </x:c>
      <x:c r="B14" s="7" t="str">
        <x:v>上昇</x:v>
      </x:c>
      <x:c r="C14" s="6" t="n">
        <x:v>372000</x:v>
      </x:c>
      <x:c r="D14" s="6" t="n">
        <x:v>142700</x:v>
      </x:c>
      <x:c r="E14" s="6" t="n">
        <x:f>C14-D14</x:f>
        <x:v>229300</x:v>
      </x:c>
      <x:c r="F14" s="6" t="n">
        <x:f>F13+E14</x:f>
        <x:v>1151700</x:v>
      </x:c>
      <x:c r="G14" s="6" t="n">
        <x:v>-145100</x:v>
      </x:c>
      <x:c r="H14" s="6" t="n">
        <x:v>161300</x:v>
      </x:c>
    </x:row>
    <x:row r="15" ht="25" customHeight="1">
      <x:c r="A15" s="2" t="str">
        <x:v>2026-10-02_Day</x:v>
      </x:c>
      <x:c r="B15" s="7" t="str">
        <x:v>上昇</x:v>
      </x:c>
      <x:c r="C15" s="6" t="n">
        <x:v>14700</x:v>
      </x:c>
      <x:c r="D15" s="6" t="n">
        <x:v>149000</x:v>
      </x:c>
      <x:c r="E15" s="6" t="n">
        <x:f>C15-D15</x:f>
        <x:v>-134300</x:v>
      </x:c>
      <x:c r="F15" s="6" t="n">
        <x:f>F14+E15</x:f>
        <x:v>1017400</x:v>
      </x:c>
      <x:c r="G15" s="6" t="n">
        <x:v>-179100</x:v>
      </x:c>
      <x:c r="H15" s="6" t="n">
        <x:v>240700</x:v>
      </x:c>
    </x:row>
    <x:row r="16" ht="25" customHeight="1">
      <x:c r="A16" s="2" t="str">
        <x:v>2026-10-05_Day</x:v>
      </x:c>
      <x:c r="B16" s="7" t="str">
        <x:v>上昇</x:v>
      </x:c>
      <x:c r="C16" s="6" t="n">
        <x:v>96000</x:v>
      </x:c>
      <x:c r="D16" s="6" t="n">
        <x:v>220000</x:v>
      </x:c>
      <x:c r="E16" s="6" t="n">
        <x:f>C16-D16</x:f>
        <x:v>-124000</x:v>
      </x:c>
      <x:c r="F16" s="6" t="n">
        <x:f>F15+E16</x:f>
        <x:v>893400</x:v>
      </x:c>
      <x:c r="G16" s="6" t="n">
        <x:v>-188500</x:v>
      </x:c>
      <x:c r="H16" s="6" t="n">
        <x:v>317300</x:v>
      </x:c>
    </x:row>
    <x:row r="17" ht="25" customHeight="1">
      <x:c r="A17" s="2" t="str">
        <x:v>2026-10-06_Day</x:v>
      </x:c>
      <x:c r="B17" s="7" t="str">
        <x:v>上昇</x:v>
      </x:c>
      <x:c r="C17" s="6" t="n">
        <x:v>127800</x:v>
      </x:c>
      <x:c r="D17" s="6" t="n">
        <x:v>438300</x:v>
      </x:c>
      <x:c r="E17" s="6" t="n">
        <x:f>C17-D17</x:f>
        <x:v>-310500</x:v>
      </x:c>
      <x:c r="F17" s="6" t="n">
        <x:f>F16+E17</x:f>
        <x:v>582900</x:v>
      </x:c>
      <x:c r="G17" s="6" t="n">
        <x:v>-347300</x:v>
      </x:c>
      <x:c r="H17" s="6" t="n">
        <x:v>398000</x:v>
      </x:c>
    </x:row>
    <x:row r="18" ht="25" customHeight="1">
      <x:c r="A18" s="2" t="str">
        <x:v>2026-10-07_Day</x:v>
      </x:c>
      <x:c r="B18" s="7" t="str">
        <x:v>下落</x:v>
      </x:c>
      <x:c r="C18" s="6" t="n">
        <x:v>267900</x:v>
      </x:c>
      <x:c r="D18" s="6" t="n">
        <x:v>43300</x:v>
      </x:c>
      <x:c r="E18" s="6" t="n">
        <x:f>C18-D18</x:f>
        <x:v>224600</x:v>
      </x:c>
      <x:c r="F18" s="6" t="n">
        <x:f>F17+E18</x:f>
        <x:v>807500</x:v>
      </x:c>
      <x:c r="G18" s="6" t="n">
        <x:v>-12900</x:v>
      </x:c>
      <x:c r="H18" s="6" t="n">
        <x:v>110700</x:v>
      </x:c>
    </x:row>
    <x:row r="19" ht="25" customHeight="1">
      <x:c r="A19" s="2" t="str">
        <x:v>2026-10-08_Day</x:v>
      </x:c>
      <x:c r="B19" s="7" t="str">
        <x:v>下落</x:v>
      </x:c>
      <x:c r="C19" s="6" t="n">
        <x:v>108300</x:v>
      </x:c>
      <x:c r="D19" s="6" t="n">
        <x:v>64600</x:v>
      </x:c>
      <x:c r="E19" s="6" t="n">
        <x:f>C19-D19</x:f>
        <x:v>43700</x:v>
      </x:c>
      <x:c r="F19" s="6" t="n">
        <x:f>F18+E19</x:f>
        <x:v>851200</x:v>
      </x:c>
      <x:c r="G19" s="6" t="n">
        <x:v>-79600</x:v>
      </x:c>
      <x:c r="H19" s="6" t="n">
        <x:v>103300</x:v>
      </x:c>
    </x:row>
    <x:row r="20" ht="25" customHeight="1">
      <x:c r="A20" s="2" t="str">
        <x:v>2026-10-09_Day</x:v>
      </x:c>
      <x:c r="B20" s="7" t="str">
        <x:v>上昇</x:v>
      </x:c>
      <x:c r="C20" s="6" t="n">
        <x:v>112100</x:v>
      </x:c>
      <x:c r="D20" s="6" t="n">
        <x:v>142500</x:v>
      </x:c>
      <x:c r="E20" s="6" t="n">
        <x:f>C20-D20</x:f>
        <x:v>-30400</x:v>
      </x:c>
      <x:c r="F20" s="6" t="n">
        <x:f>F19+E20</x:f>
        <x:v>820800</x:v>
      </x:c>
      <x:c r="G20" s="6" t="n">
        <x:v>-105000</x:v>
      </x:c>
      <x:c r="H20" s="6" t="n">
        <x:v>266700</x:v>
      </x:c>
    </x:row>
    <x:row r="21" ht="25" customHeight="1">
      <x:c r="A21" s="2" t="str">
        <x:v>2026-10-12_Day</x:v>
      </x:c>
      <x:c r="B21" s="7" t="str">
        <x:v>下落</x:v>
      </x:c>
      <x:c r="C21" s="6" t="n">
        <x:v>1800</x:v>
      </x:c>
      <x:c r="D21" s="6" t="n">
        <x:v>15400</x:v>
      </x:c>
      <x:c r="E21" s="6" t="n">
        <x:f>C21-D21</x:f>
        <x:v>-13600</x:v>
      </x:c>
      <x:c r="F21" s="6" t="n">
        <x:f>F20+E21</x:f>
        <x:v>807200</x:v>
      </x:c>
      <x:c r="G21" s="6" t="n">
        <x:v>-18600</x:v>
      </x:c>
      <x:c r="H21" s="6" t="n">
        <x:v>28300</x:v>
      </x:c>
    </x:row>
    <x:row r="22" ht="25" customHeight="1">
      <x:c r="A22" s="2" t="str">
        <x:v>2026-10-13_Day</x:v>
      </x:c>
      <x:c r="B22" s="7" t="str">
        <x:v>下落</x:v>
      </x:c>
      <x:c r="C22" s="6" t="n">
        <x:v>269600</x:v>
      </x:c>
      <x:c r="D22" s="6" t="n">
        <x:v>245600</x:v>
      </x:c>
      <x:c r="E22" s="6" t="n">
        <x:f>C22-D22</x:f>
        <x:v>24000</x:v>
      </x:c>
      <x:c r="F22" s="6" t="n">
        <x:f>F21+E22</x:f>
        <x:v>831200</x:v>
      </x:c>
      <x:c r="G22" s="6" t="n">
        <x:v>-119000</x:v>
      </x:c>
      <x:c r="H22" s="6" t="n">
        <x:v>234000</x:v>
      </x:c>
    </x:row>
    <x:row r="23" ht="25" customHeight="1">
      <x:c r="A23" s="2" t="str">
        <x:v>2026-10-14_Day</x:v>
      </x:c>
      <x:c r="B23" s="7" t="str">
        <x:v>上昇</x:v>
      </x:c>
      <x:c r="C23" s="6" t="n">
        <x:v>193500</x:v>
      </x:c>
      <x:c r="D23" s="6" t="n">
        <x:v>187100</x:v>
      </x:c>
      <x:c r="E23" s="6" t="n">
        <x:f>C23-D23</x:f>
        <x:v>6400</x:v>
      </x:c>
      <x:c r="F23" s="6" t="n">
        <x:f>F22+E23</x:f>
        <x:v>837600</x:v>
      </x:c>
      <x:c r="G23" s="6" t="n">
        <x:v>-165200</x:v>
      </x:c>
      <x:c r="H23" s="6" t="n">
        <x:v>208800</x:v>
      </x:c>
    </x:row>
    <x:row r="24" ht="25" customHeight="1">
      <x:c r="A24" s="2" t="str">
        <x:v>2026-10-15_Day</x:v>
      </x:c>
      <x:c r="B24" s="7" t="str">
        <x:v>下落</x:v>
      </x:c>
      <x:c r="C24" s="6" t="n">
        <x:v>492700</x:v>
      </x:c>
      <x:c r="D24" s="6" t="n">
        <x:v>51000</x:v>
      </x:c>
      <x:c r="E24" s="6" t="n">
        <x:f>C24-D24</x:f>
        <x:v>441700</x:v>
      </x:c>
      <x:c r="F24" s="6" t="n">
        <x:f>F23+E24</x:f>
        <x:v>1279300</x:v>
      </x:c>
      <x:c r="G24" s="6" t="n">
        <x:v>-65000</x:v>
      </x:c>
      <x:c r="H24" s="6" t="n">
        <x:v>254400</x:v>
      </x:c>
    </x:row>
    <x:row r="25" ht="25" customHeight="1">
      <x:c r="A25" s="2" t="str">
        <x:v>2026-10-16_Day</x:v>
      </x:c>
      <x:c r="B25" s="7" t="str">
        <x:v>上昇</x:v>
      </x:c>
      <x:c r="C25" s="6" t="n">
        <x:v>131200</x:v>
      </x:c>
      <x:c r="D25" s="6" t="n">
        <x:v>316100</x:v>
      </x:c>
      <x:c r="E25" s="6" t="n">
        <x:f>C25-D25</x:f>
        <x:v>-184900</x:v>
      </x:c>
      <x:c r="F25" s="6" t="n">
        <x:f>F24+E25</x:f>
        <x:v>1094400</x:v>
      </x:c>
      <x:c r="G25" s="6" t="n">
        <x:v>-240300</x:v>
      </x:c>
      <x:c r="H25" s="6" t="n">
        <x:v>274400</x:v>
      </x:c>
    </x:row>
    <x:row r="26" ht="25" customHeight="1">
      <x:c r="A26" s="2" t="str">
        <x:v>2026-10-19_Day</x:v>
      </x:c>
      <x:c r="B26" s="7" t="str">
        <x:v>上昇</x:v>
      </x:c>
      <x:c r="C26" s="6" t="n">
        <x:v>725900</x:v>
      </x:c>
      <x:c r="D26" s="6" t="n">
        <x:v>0</x:v>
      </x:c>
      <x:c r="E26" s="6" t="n">
        <x:f>C26-D26</x:f>
        <x:v>725900</x:v>
      </x:c>
      <x:c r="F26" s="6" t="n">
        <x:f>F25+E26</x:f>
        <x:v>1820300</x:v>
      </x:c>
      <x:c r="G26" s="6" t="n">
        <x:v>-20800</x:v>
      </x:c>
      <x:c r="H26" s="6" t="n">
        <x:v>320000</x:v>
      </x:c>
    </x:row>
    <x:row r="27" ht="25" customHeight="1">
      <x:c r="A27" s="2" t="str">
        <x:v>2026-10-20_Day</x:v>
      </x:c>
      <x:c r="B27" s="7" t="str">
        <x:v>下落</x:v>
      </x:c>
      <x:c r="C27" s="6" t="n">
        <x:v>198700</x:v>
      </x:c>
      <x:c r="D27" s="6" t="n">
        <x:v>261600</x:v>
      </x:c>
      <x:c r="E27" s="6" t="n">
        <x:f>C27-D27</x:f>
        <x:v>-62900</x:v>
      </x:c>
      <x:c r="F27" s="6" t="n">
        <x:f>F26+E27</x:f>
        <x:v>1757400</x:v>
      </x:c>
      <x:c r="G27" s="6" t="n">
        <x:v>-212100</x:v>
      </x:c>
      <x:c r="H27" s="6" t="n">
        <x:v>498500</x:v>
      </x:c>
    </x:row>
    <x:row r="28" ht="25" customHeight="1">
      <x:c r="A28" s="2" t="str">
        <x:v>2026-10-21_Day</x:v>
      </x:c>
      <x:c r="B28" s="7" t="str">
        <x:v>下落</x:v>
      </x:c>
      <x:c r="C28" s="6" t="n">
        <x:v>57000</x:v>
      </x:c>
      <x:c r="D28" s="6" t="n">
        <x:v>280900</x:v>
      </x:c>
      <x:c r="E28" s="6" t="n">
        <x:f>C28-D28</x:f>
        <x:v>-223900</x:v>
      </x:c>
      <x:c r="F28" s="6" t="n">
        <x:f>F27+E28</x:f>
        <x:v>1533500</x:v>
      </x:c>
      <x:c r="G28" s="6" t="n">
        <x:v>-309100</x:v>
      </x:c>
      <x:c r="H28" s="6" t="n">
        <x:v>327600</x:v>
      </x:c>
    </x:row>
    <x:row r="29" ht="25" customHeight="1">
      <x:c r="A29" s="2" t="str">
        <x:v>2026-10-22_Day</x:v>
      </x:c>
      <x:c r="B29" s="7" t="str">
        <x:v>下落</x:v>
      </x:c>
      <x:c r="C29" s="6" t="n">
        <x:v>681400</x:v>
      </x:c>
      <x:c r="D29" s="6" t="n">
        <x:v>0</x:v>
      </x:c>
      <x:c r="E29" s="6" t="n">
        <x:f>C29-D29</x:f>
        <x:v>681400</x:v>
      </x:c>
      <x:c r="F29" s="6" t="n">
        <x:f>F28+E29</x:f>
        <x:v>2214900</x:v>
      </x:c>
      <x:c r="G29" s="6" t="n">
        <x:v>-3000</x:v>
      </x:c>
      <x:c r="H29" s="6" t="n">
        <x:v>186900</x:v>
      </x:c>
    </x:row>
    <x:row r="30" ht="25" customHeight="1">
      <x:c r="A30" s="2" t="str">
        <x:v>2026-10-23_Day</x:v>
      </x:c>
      <x:c r="B30" s="7" t="str">
        <x:v>上昇</x:v>
      </x:c>
      <x:c r="C30" s="6" t="n">
        <x:v>856700</x:v>
      </x:c>
      <x:c r="D30" s="6" t="n">
        <x:v>115900</x:v>
      </x:c>
      <x:c r="E30" s="6" t="n">
        <x:f>C30-D30</x:f>
        <x:v>740800</x:v>
      </x:c>
      <x:c r="F30" s="6" t="n">
        <x:f>F29+E30</x:f>
        <x:v>2955700</x:v>
      </x:c>
      <x:c r="G30" s="6" t="n">
        <x:v>-119700</x:v>
      </x:c>
      <x:c r="H30" s="6" t="n">
        <x:v>251500</x:v>
      </x:c>
    </x:row>
    <x:row r="31" ht="25" customHeight="1">
      <x:c r="A31" s="2" t="str">
        <x:v>2026-10-26_Day</x:v>
      </x:c>
      <x:c r="B31" s="7" t="str">
        <x:v>下落</x:v>
      </x:c>
      <x:c r="C31" s="6" t="n">
        <x:v>547000</x:v>
      </x:c>
      <x:c r="D31" s="6" t="n">
        <x:v>165900</x:v>
      </x:c>
      <x:c r="E31" s="6" t="n">
        <x:f>C31-D31</x:f>
        <x:v>381100</x:v>
      </x:c>
      <x:c r="F31" s="6" t="n">
        <x:f>F30+E31</x:f>
        <x:v>3336800</x:v>
      </x:c>
      <x:c r="G31" s="6" t="n">
        <x:v>-74600</x:v>
      </x:c>
      <x:c r="H31" s="6" t="n">
        <x:v>424500</x:v>
      </x:c>
    </x:row>
    <x:row r="32" ht="25" customHeight="1">
      <x:c r="A32" s="14" t="str">
        <x:v>累計／場内最悪値</x:v>
      </x:c>
      <x:c r="B32" s="15"/>
      <x:c r="C32" s="15" t="n">
        <x:f>SUM(C6:C31)</x:f>
        <x:v>6541600</x:v>
      </x:c>
      <x:c r="D32" s="15" t="n">
        <x:f>SUM(D6:D31)</x:f>
        <x:v>3204800</x:v>
      </x:c>
      <x:c r="E32" s="15" t="n">
        <x:f>C32-D32</x:f>
        <x:v>3336800</x:v>
      </x:c>
      <x:c r="F32" s="15" t="n">
        <x:f>F31</x:f>
        <x:v>3336800</x:v>
      </x:c>
      <x:c r="G32" s="15" t="n">
        <x:f>MIN(G6:G31)</x:f>
        <x:v>-347300</x:v>
      </x:c>
      <x:c r="H32" s="15" t="n">
        <x:f>MAX(H6:H31)</x:f>
        <x:v>498500</x:v>
      </x:c>
    </x:row>
  </x:sheetData>
  <x:conditionalFormatting sqref="E6:G31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1c72c32b74491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O01に逆玉の利益追尾と逆行回復追加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片側mini10枚相当・手数料0。途中最悪は確定＋含み、最大下落は当場ピークからの落差。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1" t="str">
        <x:v>セッション</x:v>
      </x:c>
      <x:c r="B5" s="11" t="str">
        <x:v>場の方向</x:v>
      </x:c>
      <x:c r="C5" s="11" t="str">
        <x:v>利益（円）</x:v>
      </x:c>
      <x:c r="D5" s="11" t="str">
        <x:v>損失（円）</x:v>
      </x:c>
      <x:c r="E5" s="11" t="str">
        <x:v>収支（円）</x:v>
      </x:c>
      <x:c r="F5" s="11" t="str">
        <x:v>累計（円）</x:v>
      </x:c>
      <x:c r="G5" s="11" t="str">
        <x:v>途中最悪収支（円）</x:v>
      </x:c>
      <x:c r="H5" s="11" t="str">
        <x:v>最大下落額（円）</x:v>
      </x:c>
    </x:row>
    <x:row r="6" ht="25" customHeight="1">
      <x:c r="A6" s="2" t="str">
        <x:v>2026-09-21_Day</x:v>
      </x:c>
      <x:c r="B6" s="7" t="str">
        <x:v>上昇</x:v>
      </x:c>
      <x:c r="C6" s="6" t="n">
        <x:v>6600</x:v>
      </x:c>
      <x:c r="D6" s="6" t="n">
        <x:v>0</x:v>
      </x:c>
      <x:c r="E6" s="6" t="n">
        <x:f>C6-D6</x:f>
        <x:v>6600</x:v>
      </x:c>
      <x:c r="F6" s="6" t="n">
        <x:f>E6</x:f>
        <x:v>6600</x:v>
      </x:c>
      <x:c r="G6" s="6" t="n">
        <x:v>-12000</x:v>
      </x:c>
      <x:c r="H6" s="6" t="n">
        <x:v>32000</x:v>
      </x:c>
    </x:row>
    <x:row r="7" ht="25" customHeight="1">
      <x:c r="A7" s="2" t="str">
        <x:v>2026-09-22_Day</x:v>
      </x:c>
      <x:c r="B7" s="7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-7400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7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3400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7" t="str">
        <x:v>下落</x:v>
      </x:c>
      <x:c r="C9" s="6" t="n">
        <x:v>306200</x:v>
      </x:c>
      <x:c r="D9" s="6" t="n">
        <x:v>18000</x:v>
      </x:c>
      <x:c r="E9" s="6" t="n">
        <x:f>C9-D9</x:f>
        <x:v>288200</x:v>
      </x:c>
      <x:c r="F9" s="6" t="n">
        <x:f>F8+E9</x:f>
        <x:v>291600</x:v>
      </x:c>
      <x:c r="G9" s="6" t="n">
        <x:v>-61800</x:v>
      </x:c>
      <x:c r="H9" s="6" t="n">
        <x:v>336300</x:v>
      </x:c>
    </x:row>
    <x:row r="10" ht="25" customHeight="1">
      <x:c r="A10" s="2" t="str">
        <x:v>2026-09-25_Day</x:v>
      </x:c>
      <x:c r="B10" s="7" t="str">
        <x:v>上昇</x:v>
      </x:c>
      <x:c r="C10" s="6" t="n">
        <x:v>166200</x:v>
      </x:c>
      <x:c r="D10" s="6" t="n">
        <x:v>8000</x:v>
      </x:c>
      <x:c r="E10" s="6" t="n">
        <x:f>C10-D10</x:f>
        <x:v>158200</x:v>
      </x:c>
      <x:c r="F10" s="6" t="n">
        <x:f>F9+E10</x:f>
        <x:v>449800</x:v>
      </x:c>
      <x:c r="G10" s="6" t="n">
        <x:v>-11800</x:v>
      </x:c>
      <x:c r="H10" s="6" t="n">
        <x:v>224400</x:v>
      </x:c>
    </x:row>
    <x:row r="11" ht="25" customHeight="1">
      <x:c r="A11" s="2" t="str">
        <x:v>2026-09-28_Day</x:v>
      </x:c>
      <x:c r="B11" s="7" t="str">
        <x:v>下落</x:v>
      </x:c>
      <x:c r="C11" s="6" t="n">
        <x:v>229700</x:v>
      </x:c>
      <x:c r="D11" s="6" t="n">
        <x:v>98900</x:v>
      </x:c>
      <x:c r="E11" s="6" t="n">
        <x:f>C11-D11</x:f>
        <x:v>130800</x:v>
      </x:c>
      <x:c r="F11" s="6" t="n">
        <x:f>F10+E11</x:f>
        <x:v>580600</x:v>
      </x:c>
      <x:c r="G11" s="6" t="n">
        <x:v>-84400</x:v>
      </x:c>
      <x:c r="H11" s="6" t="n">
        <x:v>261000</x:v>
      </x:c>
    </x:row>
    <x:row r="12" ht="25" customHeight="1">
      <x:c r="A12" s="2" t="str">
        <x:v>2026-09-29_Day</x:v>
      </x:c>
      <x:c r="B12" s="7" t="str">
        <x:v>下落</x:v>
      </x:c>
      <x:c r="C12" s="6" t="n">
        <x:v>238300</x:v>
      </x:c>
      <x:c r="D12" s="6" t="n">
        <x:v>230300</x:v>
      </x:c>
      <x:c r="E12" s="6" t="n">
        <x:f>C12-D12</x:f>
        <x:v>8000</x:v>
      </x:c>
      <x:c r="F12" s="6" t="n">
        <x:f>F11+E12</x:f>
        <x:v>588600</x:v>
      </x:c>
      <x:c r="G12" s="6" t="n">
        <x:v>-277500</x:v>
      </x:c>
      <x:c r="H12" s="6" t="n">
        <x:v>314100</x:v>
      </x:c>
    </x:row>
    <x:row r="13" ht="25" customHeight="1">
      <x:c r="A13" s="2" t="str">
        <x:v>2026-09-30_Day</x:v>
      </x:c>
      <x:c r="B13" s="7" t="str">
        <x:v>上昇</x:v>
      </x:c>
      <x:c r="C13" s="6" t="n">
        <x:v>208600</x:v>
      </x:c>
      <x:c r="D13" s="6" t="n">
        <x:v>64200</x:v>
      </x:c>
      <x:c r="E13" s="6" t="n">
        <x:f>C13-D13</x:f>
        <x:v>144400</x:v>
      </x:c>
      <x:c r="F13" s="6" t="n">
        <x:f>F12+E13</x:f>
        <x:v>733000</x:v>
      </x:c>
      <x:c r="G13" s="6" t="n">
        <x:v>-64500</x:v>
      </x:c>
      <x:c r="H13" s="6" t="n">
        <x:v>81700</x:v>
      </x:c>
    </x:row>
    <x:row r="14" ht="25" customHeight="1">
      <x:c r="A14" s="2" t="str">
        <x:v>2026-10-01_Day</x:v>
      </x:c>
      <x:c r="B14" s="7" t="str">
        <x:v>上昇</x:v>
      </x:c>
      <x:c r="C14" s="6" t="n">
        <x:v>319200</x:v>
      </x:c>
      <x:c r="D14" s="6" t="n">
        <x:v>166600</x:v>
      </x:c>
      <x:c r="E14" s="6" t="n">
        <x:f>C14-D14</x:f>
        <x:v>152600</x:v>
      </x:c>
      <x:c r="F14" s="6" t="n">
        <x:f>F13+E14</x:f>
        <x:v>885600</x:v>
      </x:c>
      <x:c r="G14" s="6" t="n">
        <x:v>-151700</x:v>
      </x:c>
      <x:c r="H14" s="6" t="n">
        <x:v>167900</x:v>
      </x:c>
    </x:row>
    <x:row r="15" ht="25" customHeight="1">
      <x:c r="A15" s="2" t="str">
        <x:v>2026-10-02_Day</x:v>
      </x:c>
      <x:c r="B15" s="7" t="str">
        <x:v>上昇</x:v>
      </x:c>
      <x:c r="C15" s="6" t="n">
        <x:v>8900</x:v>
      </x:c>
      <x:c r="D15" s="6" t="n">
        <x:v>205000</x:v>
      </x:c>
      <x:c r="E15" s="6" t="n">
        <x:f>C15-D15</x:f>
        <x:v>-196100</x:v>
      </x:c>
      <x:c r="F15" s="6" t="n">
        <x:f>F14+E15</x:f>
        <x:v>689500</x:v>
      </x:c>
      <x:c r="G15" s="6" t="n">
        <x:v>-221400</x:v>
      </x:c>
      <x:c r="H15" s="6" t="n">
        <x:v>280400</x:v>
      </x:c>
    </x:row>
    <x:row r="16" ht="25" customHeight="1">
      <x:c r="A16" s="2" t="str">
        <x:v>2026-10-05_Day</x:v>
      </x:c>
      <x:c r="B16" s="7" t="str">
        <x:v>上昇</x:v>
      </x:c>
      <x:c r="C16" s="6" t="n">
        <x:v>101600</x:v>
      </x:c>
      <x:c r="D16" s="6" t="n">
        <x:v>222100</x:v>
      </x:c>
      <x:c r="E16" s="6" t="n">
        <x:f>C16-D16</x:f>
        <x:v>-120500</x:v>
      </x:c>
      <x:c r="F16" s="6" t="n">
        <x:f>F15+E16</x:f>
        <x:v>569000</x:v>
      </x:c>
      <x:c r="G16" s="6" t="n">
        <x:v>-209100</x:v>
      </x:c>
      <x:c r="H16" s="6" t="n">
        <x:v>337900</x:v>
      </x:c>
    </x:row>
    <x:row r="17" ht="25" customHeight="1">
      <x:c r="A17" s="2" t="str">
        <x:v>2026-10-06_Day</x:v>
      </x:c>
      <x:c r="B17" s="7" t="str">
        <x:v>上昇</x:v>
      </x:c>
      <x:c r="C17" s="6" t="n">
        <x:v>124900</x:v>
      </x:c>
      <x:c r="D17" s="6" t="n">
        <x:v>324700</x:v>
      </x:c>
      <x:c r="E17" s="6" t="n">
        <x:f>C17-D17</x:f>
        <x:v>-199800</x:v>
      </x:c>
      <x:c r="F17" s="6" t="n">
        <x:f>F16+E17</x:f>
        <x:v>369200</x:v>
      </x:c>
      <x:c r="G17" s="6" t="n">
        <x:v>-236600</x:v>
      </x:c>
      <x:c r="H17" s="6" t="n">
        <x:v>303700</x:v>
      </x:c>
    </x:row>
    <x:row r="18" ht="25" customHeight="1">
      <x:c r="A18" s="2" t="str">
        <x:v>2026-10-07_Day</x:v>
      </x:c>
      <x:c r="B18" s="7" t="str">
        <x:v>下落</x:v>
      </x:c>
      <x:c r="C18" s="6" t="n">
        <x:v>249400</x:v>
      </x:c>
      <x:c r="D18" s="6" t="n">
        <x:v>84400</x:v>
      </x:c>
      <x:c r="E18" s="6" t="n">
        <x:f>C18-D18</x:f>
        <x:v>165000</x:v>
      </x:c>
      <x:c r="F18" s="6" t="n">
        <x:f>F17+E18</x:f>
        <x:v>534200</x:v>
      </x:c>
      <x:c r="G18" s="6" t="n">
        <x:v>-16800</x:v>
      </x:c>
      <x:c r="H18" s="6" t="n">
        <x:v>113800</x:v>
      </x:c>
    </x:row>
    <x:row r="19" ht="25" customHeight="1">
      <x:c r="A19" s="2" t="str">
        <x:v>2026-10-08_Day</x:v>
      </x:c>
      <x:c r="B19" s="7" t="str">
        <x:v>下落</x:v>
      </x:c>
      <x:c r="C19" s="6" t="n">
        <x:v>130300</x:v>
      </x:c>
      <x:c r="D19" s="6" t="n">
        <x:v>63300</x:v>
      </x:c>
      <x:c r="E19" s="6" t="n">
        <x:f>C19-D19</x:f>
        <x:v>67000</x:v>
      </x:c>
      <x:c r="F19" s="6" t="n">
        <x:f>F18+E19</x:f>
        <x:v>601200</x:v>
      </x:c>
      <x:c r="G19" s="6" t="n">
        <x:v>-61900</x:v>
      </x:c>
      <x:c r="H19" s="6" t="n">
        <x:v>98700</x:v>
      </x:c>
    </x:row>
    <x:row r="20" ht="25" customHeight="1">
      <x:c r="A20" s="2" t="str">
        <x:v>2026-10-09_Day</x:v>
      </x:c>
      <x:c r="B20" s="7" t="str">
        <x:v>上昇</x:v>
      </x:c>
      <x:c r="C20" s="6" t="n">
        <x:v>121200</x:v>
      </x:c>
      <x:c r="D20" s="6" t="n">
        <x:v>170200</x:v>
      </x:c>
      <x:c r="E20" s="6" t="n">
        <x:f>C20-D20</x:f>
        <x:v>-49000</x:v>
      </x:c>
      <x:c r="F20" s="6" t="n">
        <x:f>F19+E20</x:f>
        <x:v>552200</x:v>
      </x:c>
      <x:c r="G20" s="6" t="n">
        <x:v>-110900</x:v>
      </x:c>
      <x:c r="H20" s="6" t="n">
        <x:v>283600</x:v>
      </x:c>
    </x:row>
    <x:row r="21" ht="25" customHeight="1">
      <x:c r="A21" s="2" t="str">
        <x:v>2026-10-12_Day</x:v>
      </x:c>
      <x:c r="B21" s="7" t="str">
        <x:v>下落</x:v>
      </x:c>
      <x:c r="C21" s="6" t="n">
        <x:v>1800</x:v>
      </x:c>
      <x:c r="D21" s="6" t="n">
        <x:v>17800</x:v>
      </x:c>
      <x:c r="E21" s="6" t="n">
        <x:f>C21-D21</x:f>
        <x:v>-16000</x:v>
      </x:c>
      <x:c r="F21" s="6" t="n">
        <x:f>F20+E21</x:f>
        <x:v>536200</x:v>
      </x:c>
      <x:c r="G21" s="6" t="n">
        <x:v>-19800</x:v>
      </x:c>
      <x:c r="H21" s="6" t="n">
        <x:v>28300</x:v>
      </x:c>
    </x:row>
    <x:row r="22" ht="25" customHeight="1">
      <x:c r="A22" s="2" t="str">
        <x:v>2026-10-13_Day</x:v>
      </x:c>
      <x:c r="B22" s="7" t="str">
        <x:v>下落</x:v>
      </x:c>
      <x:c r="C22" s="6" t="n">
        <x:v>198900</x:v>
      </x:c>
      <x:c r="D22" s="6" t="n">
        <x:v>295600</x:v>
      </x:c>
      <x:c r="E22" s="6" t="n">
        <x:f>C22-D22</x:f>
        <x:v>-96700</x:v>
      </x:c>
      <x:c r="F22" s="6" t="n">
        <x:f>F21+E22</x:f>
        <x:v>439500</x:v>
      </x:c>
      <x:c r="G22" s="6" t="n">
        <x:v>-221000</x:v>
      </x:c>
      <x:c r="H22" s="6" t="n">
        <x:v>295000</x:v>
      </x:c>
    </x:row>
    <x:row r="23" ht="25" customHeight="1">
      <x:c r="A23" s="2" t="str">
        <x:v>2026-10-14_Day</x:v>
      </x:c>
      <x:c r="B23" s="7" t="str">
        <x:v>上昇</x:v>
      </x:c>
      <x:c r="C23" s="6" t="n">
        <x:v>219000</x:v>
      </x:c>
      <x:c r="D23" s="6" t="n">
        <x:v>173800</x:v>
      </x:c>
      <x:c r="E23" s="6" t="n">
        <x:f>C23-D23</x:f>
        <x:v>45200</x:v>
      </x:c>
      <x:c r="F23" s="6" t="n">
        <x:f>F22+E23</x:f>
        <x:v>484700</x:v>
      </x:c>
      <x:c r="G23" s="6" t="n">
        <x:v>-151900</x:v>
      </x:c>
      <x:c r="H23" s="6" t="n">
        <x:v>191000</x:v>
      </x:c>
    </x:row>
    <x:row r="24" ht="25" customHeight="1">
      <x:c r="A24" s="2" t="str">
        <x:v>2026-10-15_Day</x:v>
      </x:c>
      <x:c r="B24" s="7" t="str">
        <x:v>下落</x:v>
      </x:c>
      <x:c r="C24" s="6" t="n">
        <x:v>429300</x:v>
      </x:c>
      <x:c r="D24" s="6" t="n">
        <x:v>46600</x:v>
      </x:c>
      <x:c r="E24" s="6" t="n">
        <x:f>C24-D24</x:f>
        <x:v>382700</x:v>
      </x:c>
      <x:c r="F24" s="6" t="n">
        <x:f>F23+E24</x:f>
        <x:v>867400</x:v>
      </x:c>
      <x:c r="G24" s="6" t="n">
        <x:v>-46400</x:v>
      </x:c>
      <x:c r="H24" s="6" t="n">
        <x:v>277900</x:v>
      </x:c>
    </x:row>
    <x:row r="25" ht="25" customHeight="1">
      <x:c r="A25" s="2" t="str">
        <x:v>2026-10-16_Day</x:v>
      </x:c>
      <x:c r="B25" s="7" t="str">
        <x:v>上昇</x:v>
      </x:c>
      <x:c r="C25" s="6" t="n">
        <x:v>115700</x:v>
      </x:c>
      <x:c r="D25" s="6" t="n">
        <x:v>386700</x:v>
      </x:c>
      <x:c r="E25" s="6" t="n">
        <x:f>C25-D25</x:f>
        <x:v>-271000</x:v>
      </x:c>
      <x:c r="F25" s="6" t="n">
        <x:f>F24+E25</x:f>
        <x:v>596400</x:v>
      </x:c>
      <x:c r="G25" s="6" t="n">
        <x:v>-326400</x:v>
      </x:c>
      <x:c r="H25" s="6" t="n">
        <x:v>344200</x:v>
      </x:c>
    </x:row>
    <x:row r="26" ht="25" customHeight="1">
      <x:c r="A26" s="2" t="str">
        <x:v>2026-10-19_Day</x:v>
      </x:c>
      <x:c r="B26" s="7" t="str">
        <x:v>上昇</x:v>
      </x:c>
      <x:c r="C26" s="6" t="n">
        <x:v>562700</x:v>
      </x:c>
      <x:c r="D26" s="6" t="n">
        <x:v>0</x:v>
      </x:c>
      <x:c r="E26" s="6" t="n">
        <x:f>C26-D26</x:f>
        <x:v>562700</x:v>
      </x:c>
      <x:c r="F26" s="6" t="n">
        <x:f>F25+E26</x:f>
        <x:v>1159100</x:v>
      </x:c>
      <x:c r="G26" s="6" t="n">
        <x:v>-20800</x:v>
      </x:c>
      <x:c r="H26" s="6" t="n">
        <x:v>318400</x:v>
      </x:c>
    </x:row>
    <x:row r="27" ht="25" customHeight="1">
      <x:c r="A27" s="2" t="str">
        <x:v>2026-10-20_Day</x:v>
      </x:c>
      <x:c r="B27" s="7" t="str">
        <x:v>下落</x:v>
      </x:c>
      <x:c r="C27" s="6" t="n">
        <x:v>143900</x:v>
      </x:c>
      <x:c r="D27" s="6" t="n">
        <x:v>375700</x:v>
      </x:c>
      <x:c r="E27" s="6" t="n">
        <x:f>C27-D27</x:f>
        <x:v>-231800</x:v>
      </x:c>
      <x:c r="F27" s="6" t="n">
        <x:f>F26+E27</x:f>
        <x:v>927300</x:v>
      </x:c>
      <x:c r="G27" s="6" t="n">
        <x:v>-340300</x:v>
      </x:c>
      <x:c r="H27" s="6" t="n">
        <x:v>600400</x:v>
      </x:c>
    </x:row>
    <x:row r="28" ht="25" customHeight="1">
      <x:c r="A28" s="2" t="str">
        <x:v>2026-10-21_Day</x:v>
      </x:c>
      <x:c r="B28" s="7" t="str">
        <x:v>下落</x:v>
      </x:c>
      <x:c r="C28" s="6" t="n">
        <x:v>72300</x:v>
      </x:c>
      <x:c r="D28" s="6" t="n">
        <x:v>360300</x:v>
      </x:c>
      <x:c r="E28" s="6" t="n">
        <x:f>C28-D28</x:f>
        <x:v>-288000</x:v>
      </x:c>
      <x:c r="F28" s="6" t="n">
        <x:f>F27+E28</x:f>
        <x:v>639300</x:v>
      </x:c>
      <x:c r="G28" s="6" t="n">
        <x:v>-380600</x:v>
      </x:c>
      <x:c r="H28" s="6" t="n">
        <x:v>413800</x:v>
      </x:c>
    </x:row>
    <x:row r="29" ht="25" customHeight="1">
      <x:c r="A29" s="2" t="str">
        <x:v>2026-10-22_Day</x:v>
      </x:c>
      <x:c r="B29" s="7" t="str">
        <x:v>下落</x:v>
      </x:c>
      <x:c r="C29" s="6" t="n">
        <x:v>596200</x:v>
      </x:c>
      <x:c r="D29" s="6" t="n">
        <x:v>0</x:v>
      </x:c>
      <x:c r="E29" s="6" t="n">
        <x:f>C29-D29</x:f>
        <x:v>596200</x:v>
      </x:c>
      <x:c r="F29" s="6" t="n">
        <x:f>F28+E29</x:f>
        <x:v>1235500</x:v>
      </x:c>
      <x:c r="G29" s="6" t="n">
        <x:v>-10400</x:v>
      </x:c>
      <x:c r="H29" s="6" t="n">
        <x:v>229400</x:v>
      </x:c>
    </x:row>
    <x:row r="30" ht="25" customHeight="1">
      <x:c r="A30" s="2" t="str">
        <x:v>2026-10-23_Day</x:v>
      </x:c>
      <x:c r="B30" s="7" t="str">
        <x:v>上昇</x:v>
      </x:c>
      <x:c r="C30" s="6" t="n">
        <x:v>439600</x:v>
      </x:c>
      <x:c r="D30" s="6" t="n">
        <x:v>125100</x:v>
      </x:c>
      <x:c r="E30" s="6" t="n">
        <x:f>C30-D30</x:f>
        <x:v>314500</x:v>
      </x:c>
      <x:c r="F30" s="6" t="n">
        <x:f>F29+E30</x:f>
        <x:v>1550000</x:v>
      </x:c>
      <x:c r="G30" s="6" t="n">
        <x:v>-147200</x:v>
      </x:c>
      <x:c r="H30" s="6" t="n">
        <x:v>261800</x:v>
      </x:c>
    </x:row>
    <x:row r="31" ht="25" customHeight="1">
      <x:c r="A31" s="2" t="str">
        <x:v>2026-10-26_Day</x:v>
      </x:c>
      <x:c r="B31" s="7" t="str">
        <x:v>下落</x:v>
      </x:c>
      <x:c r="C31" s="6" t="n">
        <x:v>301900</x:v>
      </x:c>
      <x:c r="D31" s="6" t="n">
        <x:v>179200</x:v>
      </x:c>
      <x:c r="E31" s="6" t="n">
        <x:f>C31-D31</x:f>
        <x:v>122700</x:v>
      </x:c>
      <x:c r="F31" s="6" t="n">
        <x:f>F30+E31</x:f>
        <x:v>1672700</x:v>
      </x:c>
      <x:c r="G31" s="6" t="n">
        <x:v>-320300</x:v>
      </x:c>
      <x:c r="H31" s="6" t="n">
        <x:v>527100</x:v>
      </x:c>
    </x:row>
    <x:row r="32" ht="25" customHeight="1">
      <x:c r="A32" s="14" t="str">
        <x:v>累計／場内最悪値</x:v>
      </x:c>
      <x:c r="B32" s="15"/>
      <x:c r="C32" s="15" t="n">
        <x:f>SUM(C6:C31)</x:f>
        <x:v>5303200</x:v>
      </x:c>
      <x:c r="D32" s="15" t="n">
        <x:f>SUM(D6:D31)</x:f>
        <x:v>3630500</x:v>
      </x:c>
      <x:c r="E32" s="15" t="n">
        <x:f>C32-D32</x:f>
        <x:v>1672700</x:v>
      </x:c>
      <x:c r="F32" s="15" t="n">
        <x:f>F31</x:f>
        <x:v>1672700</x:v>
      </x:c>
      <x:c r="G32" s="15" t="n">
        <x:f>MIN(G6:G31)</x:f>
        <x:v>-380600</x:v>
      </x:c>
      <x:c r="H32" s="15" t="n">
        <x:f>MAX(H6:H31)</x:f>
        <x:v>600400</x:v>
      </x:c>
    </x:row>
  </x:sheetData>
  <x:conditionalFormatting sqref="E6:G31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6be35717f74d1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S01の玉別利益を20pt追尾で保護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片側mini10枚相当・手数料0。途中最悪は確定＋含み、最大下落は当場ピークからの落差。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1" t="str">
        <x:v>セッション</x:v>
      </x:c>
      <x:c r="B5" s="11" t="str">
        <x:v>場の方向</x:v>
      </x:c>
      <x:c r="C5" s="11" t="str">
        <x:v>利益（円）</x:v>
      </x:c>
      <x:c r="D5" s="11" t="str">
        <x:v>損失（円）</x:v>
      </x:c>
      <x:c r="E5" s="11" t="str">
        <x:v>収支（円）</x:v>
      </x:c>
      <x:c r="F5" s="11" t="str">
        <x:v>累計（円）</x:v>
      </x:c>
      <x:c r="G5" s="11" t="str">
        <x:v>途中最悪収支（円）</x:v>
      </x:c>
      <x:c r="H5" s="11" t="str">
        <x:v>最大下落額（円）</x:v>
      </x:c>
    </x:row>
    <x:row r="6" ht="25" customHeight="1">
      <x:c r="A6" s="2" t="str">
        <x:v>2026-09-21_Day</x:v>
      </x:c>
      <x:c r="B6" s="7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-10000</x:v>
      </x:c>
      <x:c r="H6" s="6" t="n">
        <x:v>12000</x:v>
      </x:c>
    </x:row>
    <x:row r="7" ht="25" customHeight="1">
      <x:c r="A7" s="2" t="str">
        <x:v>2026-09-22_Day</x:v>
      </x:c>
      <x:c r="B7" s="7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-30000</x:v>
      </x:c>
      <x:c r="G7" s="6" t="n">
        <x:v>-30000</x:v>
      </x:c>
      <x:c r="H7" s="6" t="n">
        <x:v>35000</x:v>
      </x:c>
    </x:row>
    <x:row r="8" ht="25" customHeight="1">
      <x:c r="A8" s="2" t="str">
        <x:v>2026-09-23_Day</x:v>
      </x:c>
      <x:c r="B8" s="7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-30000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7" t="str">
        <x:v>下落</x:v>
      </x:c>
      <x:c r="C9" s="6" t="n">
        <x:v>9000</x:v>
      </x:c>
      <x:c r="D9" s="6" t="n">
        <x:v>6000</x:v>
      </x:c>
      <x:c r="E9" s="6" t="n">
        <x:f>C9-D9</x:f>
        <x:v>3000</x:v>
      </x:c>
      <x:c r="F9" s="6" t="n">
        <x:f>F8+E9</x:f>
        <x:v>-27000</x:v>
      </x:c>
      <x:c r="G9" s="6" t="n">
        <x:v>-26000</x:v>
      </x:c>
      <x:c r="H9" s="6" t="n">
        <x:v>36000</x:v>
      </x:c>
    </x:row>
    <x:row r="10" ht="25" customHeight="1">
      <x:c r="A10" s="2" t="str">
        <x:v>2026-09-25_Day</x:v>
      </x:c>
      <x:c r="B10" s="7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-41000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7" t="str">
        <x:v>下落</x:v>
      </x:c>
      <x:c r="C11" s="6" t="n">
        <x:v>6000</x:v>
      </x:c>
      <x:c r="D11" s="6" t="n">
        <x:v>40000</x:v>
      </x:c>
      <x:c r="E11" s="6" t="n">
        <x:f>C11-D11</x:f>
        <x:v>-34000</x:v>
      </x:c>
      <x:c r="F11" s="6" t="n">
        <x:f>F10+E11</x:f>
        <x:v>-75000</x:v>
      </x:c>
      <x:c r="G11" s="6" t="n">
        <x:v>-38000</x:v>
      </x:c>
      <x:c r="H11" s="6" t="n">
        <x:v>45000</x:v>
      </x:c>
    </x:row>
    <x:row r="12" ht="25" customHeight="1">
      <x:c r="A12" s="2" t="str">
        <x:v>2026-09-29_Day</x:v>
      </x:c>
      <x:c r="B12" s="7" t="str">
        <x:v>下落</x:v>
      </x:c>
      <x:c r="C12" s="6" t="n">
        <x:v>8000</x:v>
      </x:c>
      <x:c r="D12" s="6" t="n">
        <x:v>57000</x:v>
      </x:c>
      <x:c r="E12" s="6" t="n">
        <x:f>C12-D12</x:f>
        <x:v>-49000</x:v>
      </x:c>
      <x:c r="F12" s="6" t="n">
        <x:f>F11+E12</x:f>
        <x:v>-124000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7" t="str">
        <x:v>上昇</x:v>
      </x:c>
      <x:c r="C13" s="6" t="n">
        <x:v>1000</x:v>
      </x:c>
      <x:c r="D13" s="6" t="n">
        <x:v>55000</x:v>
      </x:c>
      <x:c r="E13" s="6" t="n">
        <x:f>C13-D13</x:f>
        <x:v>-54000</x:v>
      </x:c>
      <x:c r="F13" s="6" t="n">
        <x:f>F12+E13</x:f>
        <x:v>-178000</x:v>
      </x:c>
      <x:c r="G13" s="6" t="n">
        <x:v>-68000</x:v>
      </x:c>
      <x:c r="H13" s="6" t="n">
        <x:v>71000</x:v>
      </x:c>
    </x:row>
    <x:row r="14" ht="25" customHeight="1">
      <x:c r="A14" s="2" t="str">
        <x:v>2026-10-01_Day</x:v>
      </x:c>
      <x:c r="B14" s="7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-176000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7" t="str">
        <x:v>上昇</x:v>
      </x:c>
      <x:c r="C15" s="6" t="n">
        <x:v>13000</x:v>
      </x:c>
      <x:c r="D15" s="6" t="n">
        <x:v>0</x:v>
      </x:c>
      <x:c r="E15" s="6" t="n">
        <x:f>C15-D15</x:f>
        <x:v>13000</x:v>
      </x:c>
      <x:c r="F15" s="6" t="n">
        <x:f>F14+E15</x:f>
        <x:v>-163000</x:v>
      </x:c>
      <x:c r="G15" s="6" t="n">
        <x:v>-14000</x:v>
      </x:c>
      <x:c r="H15" s="6" t="n">
        <x:v>16000</x:v>
      </x:c>
    </x:row>
    <x:row r="16" ht="25" customHeight="1">
      <x:c r="A16" s="2" t="str">
        <x:v>2026-10-05_Day</x:v>
      </x:c>
      <x:c r="B16" s="7" t="str">
        <x:v>上昇</x:v>
      </x:c>
      <x:c r="C16" s="6" t="n">
        <x:v>10000</x:v>
      </x:c>
      <x:c r="D16" s="6" t="n">
        <x:v>31000</x:v>
      </x:c>
      <x:c r="E16" s="6" t="n">
        <x:f>C16-D16</x:f>
        <x:v>-21000</x:v>
      </x:c>
      <x:c r="F16" s="6" t="n">
        <x:f>F15+E16</x:f>
        <x:v>-184000</x:v>
      </x:c>
      <x:c r="G16" s="6" t="n">
        <x:v>-51000</x:v>
      </x:c>
      <x:c r="H16" s="6" t="n">
        <x:v>51000</x:v>
      </x:c>
    </x:row>
    <x:row r="17" ht="25" customHeight="1">
      <x:c r="A17" s="2" t="str">
        <x:v>2026-10-06_Day</x:v>
      </x:c>
      <x:c r="B17" s="7" t="str">
        <x:v>上昇</x:v>
      </x:c>
      <x:c r="C17" s="6" t="n">
        <x:v>7000</x:v>
      </x:c>
      <x:c r="D17" s="6" t="n">
        <x:v>28000</x:v>
      </x:c>
      <x:c r="E17" s="6" t="n">
        <x:f>C17-D17</x:f>
        <x:v>-21000</x:v>
      </x:c>
      <x:c r="F17" s="6" t="n">
        <x:f>F16+E17</x:f>
        <x:v>-205000</x:v>
      </x:c>
      <x:c r="G17" s="6" t="n">
        <x:v>-27000</x:v>
      </x:c>
      <x:c r="H17" s="6" t="n">
        <x:v>36000</x:v>
      </x:c>
    </x:row>
    <x:row r="18" ht="25" customHeight="1">
      <x:c r="A18" s="2" t="str">
        <x:v>2026-10-07_Day</x:v>
      </x:c>
      <x:c r="B18" s="7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-228000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7" t="str">
        <x:v>下落</x:v>
      </x:c>
      <x:c r="C19" s="6" t="n">
        <x:v>0</x:v>
      </x:c>
      <x:c r="D19" s="6" t="n">
        <x:v>70000</x:v>
      </x:c>
      <x:c r="E19" s="6" t="n">
        <x:f>C19-D19</x:f>
        <x:v>-70000</x:v>
      </x:c>
      <x:c r="F19" s="6" t="n">
        <x:f>F18+E19</x:f>
        <x:v>-298000</x:v>
      </x:c>
      <x:c r="G19" s="6" t="n">
        <x:v>-85000</x:v>
      </x:c>
      <x:c r="H19" s="6" t="n">
        <x:v>90000</x:v>
      </x:c>
    </x:row>
    <x:row r="20" ht="25" customHeight="1">
      <x:c r="A20" s="2" t="str">
        <x:v>2026-10-09_Day</x:v>
      </x:c>
      <x:c r="B20" s="7" t="str">
        <x:v>上昇</x:v>
      </x:c>
      <x:c r="C20" s="6" t="n">
        <x:v>20000</x:v>
      </x:c>
      <x:c r="D20" s="6" t="n">
        <x:v>38000</x:v>
      </x:c>
      <x:c r="E20" s="6" t="n">
        <x:f>C20-D20</x:f>
        <x:v>-18000</x:v>
      </x:c>
      <x:c r="F20" s="6" t="n">
        <x:f>F19+E20</x:f>
        <x:v>-316000</x:v>
      </x:c>
      <x:c r="G20" s="6" t="n">
        <x:v>-22000</x:v>
      </x:c>
      <x:c r="H20" s="6" t="n">
        <x:v>44000</x:v>
      </x:c>
    </x:row>
    <x:row r="21" ht="25" customHeight="1">
      <x:c r="A21" s="2" t="str">
        <x:v>2026-10-12_Day</x:v>
      </x:c>
      <x:c r="B21" s="7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-336000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7" t="str">
        <x:v>下落</x:v>
      </x:c>
      <x:c r="C22" s="6" t="n">
        <x:v>4000</x:v>
      </x:c>
      <x:c r="D22" s="6" t="n">
        <x:v>104000</x:v>
      </x:c>
      <x:c r="E22" s="6" t="n">
        <x:f>C22-D22</x:f>
        <x:v>-100000</x:v>
      </x:c>
      <x:c r="F22" s="6" t="n">
        <x:f>F21+E22</x:f>
        <x:v>-436000</x:v>
      </x:c>
      <x:c r="G22" s="6" t="n">
        <x:v>-104000</x:v>
      </x:c>
      <x:c r="H22" s="6" t="n">
        <x:v>106000</x:v>
      </x:c>
    </x:row>
    <x:row r="23" ht="25" customHeight="1">
      <x:c r="A23" s="2" t="str">
        <x:v>2026-10-14_Day</x:v>
      </x:c>
      <x:c r="B23" s="7" t="str">
        <x:v>上昇</x:v>
      </x:c>
      <x:c r="C23" s="6" t="n">
        <x:v>41000</x:v>
      </x:c>
      <x:c r="D23" s="6" t="n">
        <x:v>0</x:v>
      </x:c>
      <x:c r="E23" s="6" t="n">
        <x:f>C23-D23</x:f>
        <x:v>41000</x:v>
      </x:c>
      <x:c r="F23" s="6" t="n">
        <x:f>F22+E23</x:f>
        <x:v>-395000</x:v>
      </x:c>
      <x:c r="G23" s="6" t="n">
        <x:v>-20000</x:v>
      </x:c>
      <x:c r="H23" s="6" t="n">
        <x:v>20000</x:v>
      </x:c>
    </x:row>
    <x:row r="24" ht="25" customHeight="1">
      <x:c r="A24" s="2" t="str">
        <x:v>2026-10-15_Day</x:v>
      </x:c>
      <x:c r="B24" s="7" t="str">
        <x:v>下落</x:v>
      </x:c>
      <x:c r="C24" s="6" t="n">
        <x:v>11000</x:v>
      </x:c>
      <x:c r="D24" s="6" t="n">
        <x:v>0</x:v>
      </x:c>
      <x:c r="E24" s="6" t="n">
        <x:f>C24-D24</x:f>
        <x:v>11000</x:v>
      </x:c>
      <x:c r="F24" s="6" t="n">
        <x:f>F23+E24</x:f>
        <x:v>-384000</x:v>
      </x:c>
      <x:c r="G24" s="6" t="n">
        <x:v>-18000</x:v>
      </x:c>
      <x:c r="H24" s="6" t="n">
        <x:v>24000</x:v>
      </x:c>
    </x:row>
    <x:row r="25" ht="25" customHeight="1">
      <x:c r="A25" s="2" t="str">
        <x:v>2026-10-16_Day</x:v>
      </x:c>
      <x:c r="B25" s="7" t="str">
        <x:v>上昇</x:v>
      </x:c>
      <x:c r="C25" s="6" t="n">
        <x:v>20000</x:v>
      </x:c>
      <x:c r="D25" s="6" t="n">
        <x:v>9000</x:v>
      </x:c>
      <x:c r="E25" s="6" t="n">
        <x:f>C25-D25</x:f>
        <x:v>11000</x:v>
      </x:c>
      <x:c r="F25" s="6" t="n">
        <x:f>F24+E25</x:f>
        <x:v>-373000</x:v>
      </x:c>
      <x:c r="G25" s="6" t="n">
        <x:v>-20000</x:v>
      </x:c>
      <x:c r="H25" s="6" t="n">
        <x:v>50000</x:v>
      </x:c>
    </x:row>
    <x:row r="26" ht="25" customHeight="1">
      <x:c r="A26" s="2" t="str">
        <x:v>2026-10-19_Day</x:v>
      </x:c>
      <x:c r="B26" s="7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-370000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7" t="str">
        <x:v>下落</x:v>
      </x:c>
      <x:c r="C27" s="6" t="n">
        <x:v>25000</x:v>
      </x:c>
      <x:c r="D27" s="6" t="n">
        <x:v>26000</x:v>
      </x:c>
      <x:c r="E27" s="6" t="n">
        <x:f>C27-D27</x:f>
        <x:v>-1000</x:v>
      </x:c>
      <x:c r="F27" s="6" t="n">
        <x:f>F26+E27</x:f>
        <x:v>-371000</x:v>
      </x:c>
      <x:c r="G27" s="6" t="n">
        <x:v>-24000</x:v>
      </x:c>
      <x:c r="H27" s="6" t="n">
        <x:v>36000</x:v>
      </x:c>
    </x:row>
    <x:row r="28" ht="25" customHeight="1">
      <x:c r="A28" s="2" t="str">
        <x:v>2026-10-21_Day</x:v>
      </x:c>
      <x:c r="B28" s="7" t="str">
        <x:v>下落</x:v>
      </x:c>
      <x:c r="C28" s="6" t="n">
        <x:v>13000</x:v>
      </x:c>
      <x:c r="D28" s="6" t="n">
        <x:v>28000</x:v>
      </x:c>
      <x:c r="E28" s="6" t="n">
        <x:f>C28-D28</x:f>
        <x:v>-15000</x:v>
      </x:c>
      <x:c r="F28" s="6" t="n">
        <x:f>F27+E28</x:f>
        <x:v>-386000</x:v>
      </x:c>
      <x:c r="G28" s="6" t="n">
        <x:v>-40000</x:v>
      </x:c>
      <x:c r="H28" s="6" t="n">
        <x:v>48000</x:v>
      </x:c>
    </x:row>
    <x:row r="29" ht="25" customHeight="1">
      <x:c r="A29" s="2" t="str">
        <x:v>2026-10-22_Day</x:v>
      </x:c>
      <x:c r="B29" s="7" t="str">
        <x:v>下落</x:v>
      </x:c>
      <x:c r="C29" s="6" t="n">
        <x:v>10000</x:v>
      </x:c>
      <x:c r="D29" s="6" t="n">
        <x:v>0</x:v>
      </x:c>
      <x:c r="E29" s="6" t="n">
        <x:f>C29-D29</x:f>
        <x:v>10000</x:v>
      </x:c>
      <x:c r="F29" s="6" t="n">
        <x:f>F28+E29</x:f>
        <x:v>-376000</x:v>
      </x:c>
      <x:c r="G29" s="6" t="n">
        <x:v>-15000</x:v>
      </x:c>
      <x:c r="H29" s="6" t="n">
        <x:v>17000</x:v>
      </x:c>
    </x:row>
    <x:row r="30" ht="25" customHeight="1">
      <x:c r="A30" s="2" t="str">
        <x:v>2026-10-23_Day</x:v>
      </x:c>
      <x:c r="B30" s="7" t="str">
        <x:v>上昇</x:v>
      </x:c>
      <x:c r="C30" s="6" t="n">
        <x:v>16000</x:v>
      </x:c>
      <x:c r="D30" s="6" t="n">
        <x:v>11000</x:v>
      </x:c>
      <x:c r="E30" s="6" t="n">
        <x:f>C30-D30</x:f>
        <x:v>5000</x:v>
      </x:c>
      <x:c r="F30" s="6" t="n">
        <x:f>F29+E30</x:f>
        <x:v>-371000</x:v>
      </x:c>
      <x:c r="G30" s="6" t="n">
        <x:v>-34000</x:v>
      </x:c>
      <x:c r="H30" s="6" t="n">
        <x:v>49000</x:v>
      </x:c>
    </x:row>
    <x:row r="31" ht="25" customHeight="1">
      <x:c r="A31" s="2" t="str">
        <x:v>2026-10-26_Day</x:v>
      </x:c>
      <x:c r="B31" s="7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-366000</x:v>
      </x:c>
      <x:c r="G31" s="6" t="n">
        <x:v>-70000</x:v>
      </x:c>
      <x:c r="H31" s="6" t="n">
        <x:v>78000</x:v>
      </x:c>
    </x:row>
    <x:row r="32" ht="25" customHeight="1">
      <x:c r="A32" s="14" t="str">
        <x:v>累計／場内最悪値</x:v>
      </x:c>
      <x:c r="B32" s="15"/>
      <x:c r="C32" s="15" t="n">
        <x:f>SUM(C6:C31)</x:f>
        <x:v>234000</x:v>
      </x:c>
      <x:c r="D32" s="15" t="n">
        <x:f>SUM(D6:D31)</x:f>
        <x:v>600000</x:v>
      </x:c>
      <x:c r="E32" s="15" t="n">
        <x:f>C32-D32</x:f>
        <x:v>-366000</x:v>
      </x:c>
      <x:c r="F32" s="15" t="n">
        <x:f>F31</x:f>
        <x:v>-366000</x:v>
      </x:c>
      <x:c r="G32" s="15" t="n">
        <x:f>MIN(G6:G31)</x:f>
        <x:v>-104000</x:v>
      </x:c>
      <x:c r="H32" s="15" t="n">
        <x:f>MAX(H6:H31)</x:f>
        <x:v>106000</x:v>
      </x:c>
    </x:row>
  </x:sheetData>
  <x:conditionalFormatting sqref="E6:G31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a220e1b5e44d27"/>
  </x:tableParts>
</x:worksheet>
</file>