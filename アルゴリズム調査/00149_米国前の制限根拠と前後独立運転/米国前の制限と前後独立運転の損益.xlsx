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ccf39496d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bd34ecc8a2de4905"/>
    <x:sheet xmlns:r="http://schemas.openxmlformats.org/officeDocument/2006/relationships" name="日経_C00" sheetId="2" r:id="R33a448d80b284522"/>
    <x:sheet xmlns:r="http://schemas.openxmlformats.org/officeDocument/2006/relationships" name="日経_C01" sheetId="3" r:id="R978c395f17a84bb6"/>
    <x:sheet xmlns:r="http://schemas.openxmlformats.org/officeDocument/2006/relationships" name="日経_C02" sheetId="4" r:id="Rd24ca07a1b7c42d4"/>
    <x:sheet xmlns:r="http://schemas.openxmlformats.org/officeDocument/2006/relationships" name="日経_C03" sheetId="5" r:id="R007c32d4ab5646f6"/>
    <x:sheet xmlns:r="http://schemas.openxmlformats.org/officeDocument/2006/relationships" name="日経_C04" sheetId="6" r:id="Rb4fec445d0c741ba"/>
    <x:sheet xmlns:r="http://schemas.openxmlformats.org/officeDocument/2006/relationships" name="日経_C05" sheetId="7" r:id="Rf2fe12203b4f4457"/>
    <x:sheet xmlns:r="http://schemas.openxmlformats.org/officeDocument/2006/relationships" name="日経_C06" sheetId="8" r:id="R15de79b707bd433b"/>
    <x:sheet xmlns:r="http://schemas.openxmlformats.org/officeDocument/2006/relationships" name="日経_C07" sheetId="9" r:id="Ra62377a835364a14"/>
    <x:sheet xmlns:r="http://schemas.openxmlformats.org/officeDocument/2006/relationships" name="日経_C08" sheetId="10" r:id="R21382e3271ea4750"/>
    <x:sheet xmlns:r="http://schemas.openxmlformats.org/officeDocument/2006/relationships" name="日経_R01" sheetId="11" r:id="Raf0bc36ab28349d5"/>
    <x:sheet xmlns:r="http://schemas.openxmlformats.org/officeDocument/2006/relationships" name="日経_R02" sheetId="12" r:id="R6dc1224eecd5454b"/>
    <x:sheet xmlns:r="http://schemas.openxmlformats.org/officeDocument/2006/relationships" name="日経_R03" sheetId="13" r:id="R597f60883d874ec8"/>
    <x:sheet xmlns:r="http://schemas.openxmlformats.org/officeDocument/2006/relationships" name="日経_R04" sheetId="14" r:id="R7dd3cc89113f4a93"/>
    <x:sheet xmlns:r="http://schemas.openxmlformats.org/officeDocument/2006/relationships" name="日経_R05" sheetId="15" r:id="R7a36db71601449ef"/>
    <x:sheet xmlns:r="http://schemas.openxmlformats.org/officeDocument/2006/relationships" name="日経_R06" sheetId="16" r:id="R88db9a2e66b94746"/>
    <x:sheet xmlns:r="http://schemas.openxmlformats.org/officeDocument/2006/relationships" name="日経_R07" sheetId="17" r:id="R2b5b2c925b844e19"/>
    <x:sheet xmlns:r="http://schemas.openxmlformats.org/officeDocument/2006/relationships" name="日経_S01" sheetId="18" r:id="R0aaf9d9bcec448b3"/>
    <x:sheet xmlns:r="http://schemas.openxmlformats.org/officeDocument/2006/relationships" name="日経_S02" sheetId="19" r:id="R21358ff9afbc488e"/>
    <x:sheet xmlns:r="http://schemas.openxmlformats.org/officeDocument/2006/relationships" name="日経_S03" sheetId="20" r:id="R093aa7b07a504e5c"/>
    <x:sheet xmlns:r="http://schemas.openxmlformats.org/officeDocument/2006/relationships" name="日経_S04" sheetId="21" r:id="Ra7f6efed375b46bf"/>
    <x:sheet xmlns:r="http://schemas.openxmlformats.org/officeDocument/2006/relationships" name="当夜途中" sheetId="22" r:id="Re9a0901f9e434f44"/>
    <x:sheet xmlns:r="http://schemas.openxmlformats.org/officeDocument/2006/relationships" name="市場特性" sheetId="23" r:id="R38b01b28d498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&quot;—&quot;"/>
    <x:numFmt numFmtId="201" formatCode="#,##0"/>
    <x:numFmt numFmtId="202" formatCode="0.00"/>
    <x:numFmt numFmtId="203" formatCode="#,##0.0"/>
    <x:numFmt numFmtId="204" formatCode="0.0%"/>
  </x:numFmts>
  <x:fonts count="6">
    <x:font>
      <x:sz val="11"/>
      <x:name val="Carlito"/>
    </x:font>
    <x:font>
      <x:sz val="10"/>
      <x:color rgb="FF1B3048"/>
      <x:name val="Yu Gothic"/>
    </x:font>
    <x:font>
      <x:b/>
      <x:sz val="14"/>
      <x:color rgb="FF1B3048"/>
      <x:name val="Yu Gothic"/>
    </x:font>
    <x:font>
      <x:sz val="10"/>
      <x:color rgb="FF52677C"/>
      <x:name val="Yu Gothic"/>
    </x:font>
    <x:font>
      <x:b/>
      <x:sz val="10"/>
      <x:color rgb="FFFFFFFF"/>
      <x:name val="Yu Gothic"/>
    </x:font>
    <x:font>
      <x:b/>
      <x:sz val="10"/>
      <x:color rgb="FF1B3048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44A70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A5B5C5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A5B5C5"/>
      </x:top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horizontal="right" vertical="center"/>
    </x:xf>
    <x:xf numFmtId="201" fontId="5" fillId="0" borderId="5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4"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4507d84754e41" /><Relationship Type="http://schemas.openxmlformats.org/officeDocument/2006/relationships/theme" Target="/xl/theme/theme1.xml" Id="Rb39e0b4001e4459e" /><Relationship Type="http://schemas.openxmlformats.org/officeDocument/2006/relationships/sharedStrings" Target="/xl/sharedStrings.xml" Id="R562e5922391c4fc7" /><Relationship Type="http://schemas.openxmlformats.org/officeDocument/2006/relationships/worksheet" Target="/xl/worksheets/sheet1.xml" Id="Rbd34ecc8a2de4905" /><Relationship Type="http://schemas.openxmlformats.org/officeDocument/2006/relationships/worksheet" Target="/xl/worksheets/sheet2.xml" Id="R33a448d80b284522" /><Relationship Type="http://schemas.openxmlformats.org/officeDocument/2006/relationships/worksheet" Target="/xl/worksheets/sheet3.xml" Id="R978c395f17a84bb6" /><Relationship Type="http://schemas.openxmlformats.org/officeDocument/2006/relationships/worksheet" Target="/xl/worksheets/sheet4.xml" Id="Rd24ca07a1b7c42d4" /><Relationship Type="http://schemas.openxmlformats.org/officeDocument/2006/relationships/worksheet" Target="/xl/worksheets/sheet5.xml" Id="R007c32d4ab5646f6" /><Relationship Type="http://schemas.openxmlformats.org/officeDocument/2006/relationships/worksheet" Target="/xl/worksheets/sheet6.xml" Id="Rb4fec445d0c741ba" /><Relationship Type="http://schemas.openxmlformats.org/officeDocument/2006/relationships/worksheet" Target="/xl/worksheets/sheet7.xml" Id="Rf2fe12203b4f4457" /><Relationship Type="http://schemas.openxmlformats.org/officeDocument/2006/relationships/worksheet" Target="/xl/worksheets/sheet8.xml" Id="R15de79b707bd433b" /><Relationship Type="http://schemas.openxmlformats.org/officeDocument/2006/relationships/worksheet" Target="/xl/worksheets/sheet9.xml" Id="Ra62377a835364a14" /><Relationship Type="http://schemas.openxmlformats.org/officeDocument/2006/relationships/worksheet" Target="/xl/worksheets/sheet10.xml" Id="R21382e3271ea4750" /><Relationship Type="http://schemas.openxmlformats.org/officeDocument/2006/relationships/worksheet" Target="/xl/worksheets/sheet11.xml" Id="Raf0bc36ab28349d5" /><Relationship Type="http://schemas.openxmlformats.org/officeDocument/2006/relationships/worksheet" Target="/xl/worksheets/sheet12.xml" Id="R6dc1224eecd5454b" /><Relationship Type="http://schemas.openxmlformats.org/officeDocument/2006/relationships/worksheet" Target="/xl/worksheets/sheet13.xml" Id="R597f60883d874ec8" /><Relationship Type="http://schemas.openxmlformats.org/officeDocument/2006/relationships/worksheet" Target="/xl/worksheets/sheet14.xml" Id="R7dd3cc89113f4a93" /><Relationship Type="http://schemas.openxmlformats.org/officeDocument/2006/relationships/worksheet" Target="/xl/worksheets/sheet15.xml" Id="R7a36db71601449ef" /><Relationship Type="http://schemas.openxmlformats.org/officeDocument/2006/relationships/worksheet" Target="/xl/worksheets/sheet16.xml" Id="R88db9a2e66b94746" /><Relationship Type="http://schemas.openxmlformats.org/officeDocument/2006/relationships/worksheet" Target="/xl/worksheets/sheet17.xml" Id="R2b5b2c925b844e19" /><Relationship Type="http://schemas.openxmlformats.org/officeDocument/2006/relationships/worksheet" Target="/xl/worksheets/sheet18.xml" Id="R0aaf9d9bcec448b3" /><Relationship Type="http://schemas.openxmlformats.org/officeDocument/2006/relationships/worksheet" Target="/xl/worksheets/sheet19.xml" Id="R21358ff9afbc488e" /><Relationship Type="http://schemas.openxmlformats.org/officeDocument/2006/relationships/worksheet" Target="/xl/worksheets/sheet20.xml" Id="R093aa7b07a504e5c" /><Relationship Type="http://schemas.openxmlformats.org/officeDocument/2006/relationships/worksheet" Target="/xl/worksheets/sheet21.xml" Id="Ra7f6efed375b46bf" /><Relationship Type="http://schemas.openxmlformats.org/officeDocument/2006/relationships/worksheet" Target="/xl/worksheets/sheet22.xml" Id="Re9a0901f9e434f44" /><Relationship Type="http://schemas.openxmlformats.org/officeDocument/2006/relationships/worksheet" Target="/xl/worksheets/sheet23.xml" Id="R38b01b28d4984e7c" /></Relationships>
</file>

<file path=xl/tables/table1.xml><?xml version="1.0" encoding="utf-8"?>
<x:table xmlns:x="http://schemas.openxmlformats.org/spreadsheetml/2006/main" id="21" name="Comparison149" displayName="Comparison149" ref="A6:N26" headerRowCount="1" totalsRowCount="0" totalsRowShown="0">
  <x:autoFilter ref="A6:N26"/>
  <x:tableColumns count="14">
    <x:tableColumn id="1" name="手法ID"/>
    <x:tableColumn id="2" name="前半収支（円）"/>
    <x:tableColumn id="3" name="後半収支（円）"/>
    <x:tableColumn id="4" name="全夜収支（円）"/>
    <x:tableColumn id="5" name="総利益（円）"/>
    <x:tableColumn id="6" name="総損失（円）"/>
    <x:tableColumn id="7" name="利益損失比"/>
    <x:tableColumn id="8" name="黒字場数"/>
    <x:tableColumn id="9" name="赤字場数"/>
    <x:tableColumn id="10" name="最大赤字（円）"/>
    <x:tableColumn id="11" name="上位3黒字除外（円）"/>
    <x:tableColumn id="12" name="新規件数"/>
    <x:tableColumn id="13" name="無取引場数"/>
    <x:tableColumn id="14" name="C00差（円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ethod149_C00" displayName="Method149_C00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ethod149_C01" displayName="Method149_C01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Method149_C02" displayName="Method149_C02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Method149_C03" displayName="Method149_C03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Method149_C04" displayName="Method149_C04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Method149_C05" displayName="Method149_C05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Method149_C06" displayName="Method149_C06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Method149_C07" displayName="Method149_C07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Method149_C08" displayName="Method149_C08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Method149_R01" displayName="Method149_R01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Method149_R02" displayName="Method149_R02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Method149_R03" displayName="Method149_R03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Method149_R04" displayName="Method149_R04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Method149_R05" displayName="Method149_R05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Method149_R06" displayName="Method149_R06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Method149_R07" displayName="Method149_R07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Method149_S01" displayName="Method149_S01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Method149_S02" displayName="Method149_S02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Method149_S03" displayName="Method149_S03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Method149_S04" displayName="Method149_S04" ref="A6:O31" headerRowCount="1" totalsRowCount="0" totalsRowShown="0">
  <x:autoFilter ref="A6:O31"/>
  <x:tableColumns count="15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rtial149" displayName="Partial149" ref="A6:F26" headerRowCount="1" totalsRowCount="0" totalsRowShown="0">
  <x:autoFilter ref="A6:F26"/>
  <x:tableColumns count="6">
    <x:tableColumn id="1" name="手法ID"/>
    <x:tableColumn id="2" name="実現収支（円）"/>
    <x:tableColumn id="3" name="含み損益（円）"/>
    <x:tableColumn id="4" name="合計評価（円）"/>
    <x:tableColumn id="5" name="新規件数"/>
    <x:tableColumn id="6" name="最大片側保有枚数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Market149" displayName="Market149" ref="A6:I16" headerRowCount="1" totalsRowCount="0" totalsRowShown="0">
  <x:autoFilter ref="A6:I16"/>
  <x:tableColumns count="9">
    <x:tableColumn id="1" name="指標"/>
    <x:tableColumn id="2" name="単位"/>
    <x:tableColumn id="3" name="比較夜数"/>
    <x:tableColumn id="4" name="米国前平均"/>
    <x:tableColumn id="5" name="米国後平均"/>
    <x:tableColumn id="6" name="前−後"/>
    <x:tableColumn id="7" name="差95%下限"/>
    <x:tableColumn id="8" name="差95%上限"/>
    <x:tableColumn id="9" name="対象と分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296609dd7b49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b988caf75246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930429859141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1c7e879023444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6a1b681dafd41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3637a15a97945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bad7978722646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e539f74fb1748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9a73b335342477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12ee966fd5547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326ecfe4da548d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ada47918a0d48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d1790bbd115461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99a8991d77146a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27b70cffe4648a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9a9160717fc404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ae069278f84d426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875b26d5ec04f3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1b9d22bd67d1426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6fbd2cf2a946423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d21a27f17405457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a5945ea340fe49f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d14ae969dee0416a" /></Relationships>
</file>

<file path=xl/worksheets/sheet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4" t="str">
        <x:v>米国前の制限と前後独立運転の比較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6" t="str">
        <x:v>C00は今回のGo再生基準。旧145の保存D07とは別模型。R条件は米国開始で指標・戦略状態を初期化。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6" t="str">
        <x:v>条件の説明は同じフォルダの補足md。前後段の区分と枚数は各手法シートで確認できます。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2" customHeight="1">
      <x:c r="A6" s="15" t="str">
        <x:v>手法ID</x:v>
      </x:c>
      <x:c r="B6" s="16" t="str">
        <x:v>前半収支（円）</x:v>
      </x:c>
      <x:c r="C6" s="16" t="str">
        <x:v>後半収支（円）</x:v>
      </x:c>
      <x:c r="D6" s="16" t="str">
        <x:v>全夜収支（円）</x:v>
      </x:c>
      <x:c r="E6" s="16" t="str">
        <x:v>総利益（円）</x:v>
      </x:c>
      <x:c r="F6" s="16" t="str">
        <x:v>総損失（円）</x:v>
      </x:c>
      <x:c r="G6" s="16" t="str">
        <x:v>利益損失比</x:v>
      </x:c>
      <x:c r="H6" s="16" t="str">
        <x:v>黒字場数</x:v>
      </x:c>
      <x:c r="I6" s="16" t="str">
        <x:v>赤字場数</x:v>
      </x:c>
      <x:c r="J6" s="16" t="str">
        <x:v>最大赤字（円）</x:v>
      </x:c>
      <x:c r="K6" s="16" t="str">
        <x:v>上位3黒字除外（円）</x:v>
      </x:c>
      <x:c r="L6" s="16" t="str">
        <x:v>新規件数</x:v>
      </x:c>
      <x:c r="M6" s="16" t="str">
        <x:v>無取引場数</x:v>
      </x:c>
      <x:c r="N6" s="17" t="str">
        <x:v>C00差（円）</x:v>
      </x:c>
    </x:row>
    <x:row r="7" ht="23" customHeight="1">
      <x:c r="A7" s="2" t="str">
        <x:v>C00</x:v>
      </x:c>
      <x:c r="B7" s="19" t="n">
        <x:f>'日経_C00'!D32</x:f>
        <x:v>-2000</x:v>
      </x:c>
      <x:c r="C7" s="19" t="n">
        <x:f>'日経_C00'!G32</x:f>
        <x:v>1155000</x:v>
      </x:c>
      <x:c r="D7" s="19" t="n">
        <x:f>'日経_C00'!J32</x:f>
        <x:v>1153000</x:v>
      </x:c>
      <x:c r="E7" s="19" t="n">
        <x:f>'日経_C00'!H32</x:f>
        <x:v>2160000</x:v>
      </x:c>
      <x:c r="F7" s="19" t="n">
        <x:f>'日経_C00'!I32</x:f>
        <x:v>1007000</x:v>
      </x:c>
      <x:c r="G7" s="27" t="n">
        <x:f>IF(F7=0,"損失なし",E7/F7)</x:f>
        <x:v>2.144985104270109</x:v>
      </x:c>
      <x:c r="H7" s="2" t="n">
        <x:f>COUNTIFS('日経_C00'!$J$7:$J$31,"&gt;0")</x:f>
        <x:v>16</x:v>
      </x:c>
      <x:c r="I7" s="2" t="n">
        <x:f>COUNTIFS('日経_C00'!$J$7:$J$31,"&lt;0")</x:f>
        <x:v>9</x:v>
      </x:c>
      <x:c r="J7" s="19" t="n">
        <x:f>MAX(0,-MIN('日経_C00'!$J$7:$J$31))</x:f>
        <x:v>53000</x:v>
      </x:c>
      <x:c r="K7" s="19" t="n">
        <x:f>D7-MAX(0,LARGE('日経_C00'!$J$7:$J$31,1))-MAX(0,LARGE('日経_C00'!$J$7:$J$31,2))-MAX(0,LARGE('日経_C00'!$J$7:$J$31,3))</x:f>
        <x:v>430000</x:v>
      </x:c>
      <x:c r="L7" s="2" t="n">
        <x:f>'日経_C00'!L32</x:f>
        <x:v>150</x:v>
      </x:c>
      <x:c r="M7" s="2" t="n">
        <x:f>COUNTIFS('日経_C00'!$L$7:$L$31,0)</x:f>
        <x:v>0</x:v>
      </x:c>
      <x:c r="N7" s="19" t="n">
        <x:f>D7-$D$7</x:f>
        <x:v>0</x:v>
      </x:c>
    </x:row>
    <x:row r="8" ht="23" customHeight="1">
      <x:c r="A8" s="2" t="str">
        <x:v>C01</x:v>
      </x:c>
      <x:c r="B8" s="19" t="n">
        <x:f>'日経_C01'!D32</x:f>
        <x:v>-273000</x:v>
      </x:c>
      <x:c r="C8" s="19" t="n">
        <x:f>'日経_C01'!G32</x:f>
        <x:v>1093000</x:v>
      </x:c>
      <x:c r="D8" s="19" t="n">
        <x:f>'日経_C01'!J32</x:f>
        <x:v>820000</x:v>
      </x:c>
      <x:c r="E8" s="19" t="n">
        <x:f>'日経_C01'!H32</x:f>
        <x:v>2074000</x:v>
      </x:c>
      <x:c r="F8" s="19" t="n">
        <x:f>'日経_C01'!I32</x:f>
        <x:v>1254000</x:v>
      </x:c>
      <x:c r="G8" s="27" t="n">
        <x:f>IF(F8=0,"損失なし",E8/F8)</x:f>
        <x:v>1.653907496012759</x:v>
      </x:c>
      <x:c r="H8" s="2" t="n">
        <x:f>COUNTIFS('日経_C01'!$J$7:$J$31,"&gt;0")</x:f>
        <x:v>13</x:v>
      </x:c>
      <x:c r="I8" s="2" t="n">
        <x:f>COUNTIFS('日経_C01'!$J$7:$J$31,"&lt;0")</x:f>
        <x:v>12</x:v>
      </x:c>
      <x:c r="J8" s="19" t="n">
        <x:f>MAX(0,-MIN('日経_C01'!$J$7:$J$31))</x:f>
        <x:v>53000</x:v>
      </x:c>
      <x:c r="K8" s="19" t="n">
        <x:f>D8-MAX(0,LARGE('日経_C01'!$J$7:$J$31,1))-MAX(0,LARGE('日経_C01'!$J$7:$J$31,2))-MAX(0,LARGE('日経_C01'!$J$7:$J$31,3))</x:f>
        <x:v>218000</x:v>
      </x:c>
      <x:c r="L8" s="2" t="n">
        <x:f>'日経_C01'!L32</x:f>
        <x:v>153</x:v>
      </x:c>
      <x:c r="M8" s="2" t="n">
        <x:f>COUNTIFS('日経_C01'!$L$7:$L$31,0)</x:f>
        <x:v>0</x:v>
      </x:c>
      <x:c r="N8" s="19" t="n">
        <x:f>D8-$D$7</x:f>
        <x:v>-333000</x:v>
      </x:c>
    </x:row>
    <x:row r="9" ht="23" customHeight="1">
      <x:c r="A9" s="2" t="str">
        <x:v>C02</x:v>
      </x:c>
      <x:c r="B9" s="19" t="n">
        <x:f>'日経_C02'!D32</x:f>
        <x:v>-217000</x:v>
      </x:c>
      <x:c r="C9" s="19" t="n">
        <x:f>'日経_C02'!G32</x:f>
        <x:v>1083000</x:v>
      </x:c>
      <x:c r="D9" s="19" t="n">
        <x:f>'日経_C02'!J32</x:f>
        <x:v>866000</x:v>
      </x:c>
      <x:c r="E9" s="19" t="n">
        <x:f>'日経_C02'!H32</x:f>
        <x:v>2075000</x:v>
      </x:c>
      <x:c r="F9" s="19" t="n">
        <x:f>'日経_C02'!I32</x:f>
        <x:v>1209000</x:v>
      </x:c>
      <x:c r="G9" s="27" t="n">
        <x:f>IF(F9=0,"損失なし",E9/F9)</x:f>
        <x:v>1.7162944582299422</x:v>
      </x:c>
      <x:c r="H9" s="2" t="n">
        <x:f>COUNTIFS('日経_C02'!$J$7:$J$31,"&gt;0")</x:f>
        <x:v>14</x:v>
      </x:c>
      <x:c r="I9" s="2" t="n">
        <x:f>COUNTIFS('日経_C02'!$J$7:$J$31,"&lt;0")</x:f>
        <x:v>11</x:v>
      </x:c>
      <x:c r="J9" s="19" t="n">
        <x:f>MAX(0,-MIN('日経_C02'!$J$7:$J$31))</x:f>
        <x:v>53000</x:v>
      </x:c>
      <x:c r="K9" s="19" t="n">
        <x:f>D9-MAX(0,LARGE('日経_C02'!$J$7:$J$31,1))-MAX(0,LARGE('日経_C02'!$J$7:$J$31,2))-MAX(0,LARGE('日経_C02'!$J$7:$J$31,3))</x:f>
        <x:v>264000</x:v>
      </x:c>
      <x:c r="L9" s="2" t="n">
        <x:f>'日経_C02'!L32</x:f>
        <x:v>153</x:v>
      </x:c>
      <x:c r="M9" s="2" t="n">
        <x:f>COUNTIFS('日経_C02'!$L$7:$L$31,0)</x:f>
        <x:v>0</x:v>
      </x:c>
      <x:c r="N9" s="19" t="n">
        <x:f>D9-$D$7</x:f>
        <x:v>-287000</x:v>
      </x:c>
    </x:row>
    <x:row r="10" ht="23" customHeight="1">
      <x:c r="A10" s="2" t="str">
        <x:v>C03</x:v>
      </x:c>
      <x:c r="B10" s="19" t="n">
        <x:f>'日経_C03'!D32</x:f>
        <x:v>-32000</x:v>
      </x:c>
      <x:c r="C10" s="19" t="n">
        <x:f>'日経_C03'!G32</x:f>
        <x:v>1165000</x:v>
      </x:c>
      <x:c r="D10" s="19" t="n">
        <x:f>'日経_C03'!J32</x:f>
        <x:v>1133000</x:v>
      </x:c>
      <x:c r="E10" s="19" t="n">
        <x:f>'日経_C03'!H32</x:f>
        <x:v>2175000</x:v>
      </x:c>
      <x:c r="F10" s="19" t="n">
        <x:f>'日経_C03'!I32</x:f>
        <x:v>1042000</x:v>
      </x:c>
      <x:c r="G10" s="27" t="n">
        <x:f>IF(F10=0,"損失なし",E10/F10)</x:f>
        <x:v>2.087332053742802</x:v>
      </x:c>
      <x:c r="H10" s="2" t="n">
        <x:f>COUNTIFS('日経_C03'!$J$7:$J$31,"&gt;0")</x:f>
        <x:v>15</x:v>
      </x:c>
      <x:c r="I10" s="2" t="n">
        <x:f>COUNTIFS('日経_C03'!$J$7:$J$31,"&lt;0")</x:f>
        <x:v>10</x:v>
      </x:c>
      <x:c r="J10" s="19" t="n">
        <x:f>MAX(0,-MIN('日経_C03'!$J$7:$J$31))</x:f>
        <x:v>53000</x:v>
      </x:c>
      <x:c r="K10" s="19" t="n">
        <x:f>D10-MAX(0,LARGE('日経_C03'!$J$7:$J$31,1))-MAX(0,LARGE('日経_C03'!$J$7:$J$31,2))-MAX(0,LARGE('日経_C03'!$J$7:$J$31,3))</x:f>
        <x:v>410000</x:v>
      </x:c>
      <x:c r="L10" s="2" t="n">
        <x:f>'日経_C03'!L32</x:f>
        <x:v>151</x:v>
      </x:c>
      <x:c r="M10" s="2" t="n">
        <x:f>COUNTIFS('日経_C03'!$L$7:$L$31,0)</x:f>
        <x:v>0</x:v>
      </x:c>
      <x:c r="N10" s="19" t="n">
        <x:f>D10-$D$7</x:f>
        <x:v>-20000</x:v>
      </x:c>
    </x:row>
    <x:row r="11" ht="23" customHeight="1">
      <x:c r="A11" s="2" t="str">
        <x:v>C04</x:v>
      </x:c>
      <x:c r="B11" s="19" t="n">
        <x:f>'日経_C04'!D32</x:f>
        <x:v>-163000</x:v>
      </x:c>
      <x:c r="C11" s="19" t="n">
        <x:f>'日経_C04'!G32</x:f>
        <x:v>818000</x:v>
      </x:c>
      <x:c r="D11" s="19" t="n">
        <x:f>'日経_C04'!J32</x:f>
        <x:v>655000</x:v>
      </x:c>
      <x:c r="E11" s="19" t="n">
        <x:f>'日経_C04'!H32</x:f>
        <x:v>2104000</x:v>
      </x:c>
      <x:c r="F11" s="19" t="n">
        <x:f>'日経_C04'!I32</x:f>
        <x:v>1449000</x:v>
      </x:c>
      <x:c r="G11" s="27" t="n">
        <x:f>IF(F11=0,"損失なし",E11/F11)</x:f>
        <x:v>1.4520358868184955</x:v>
      </x:c>
      <x:c r="H11" s="2" t="n">
        <x:f>COUNTIFS('日経_C04'!$J$7:$J$31,"&gt;0")</x:f>
        <x:v>14</x:v>
      </x:c>
      <x:c r="I11" s="2" t="n">
        <x:f>COUNTIFS('日経_C04'!$J$7:$J$31,"&lt;0")</x:f>
        <x:v>11</x:v>
      </x:c>
      <x:c r="J11" s="19" t="n">
        <x:f>MAX(0,-MIN('日経_C04'!$J$7:$J$31))</x:f>
        <x:v>98000</x:v>
      </x:c>
      <x:c r="K11" s="19" t="n">
        <x:f>D11-MAX(0,LARGE('日経_C04'!$J$7:$J$31,1))-MAX(0,LARGE('日経_C04'!$J$7:$J$31,2))-MAX(0,LARGE('日経_C04'!$J$7:$J$31,3))</x:f>
        <x:v>112000</x:v>
      </x:c>
      <x:c r="L11" s="2" t="n">
        <x:f>'日経_C04'!L32</x:f>
        <x:v>160</x:v>
      </x:c>
      <x:c r="M11" s="2" t="n">
        <x:f>COUNTIFS('日経_C04'!$L$7:$L$31,0)</x:f>
        <x:v>0</x:v>
      </x:c>
      <x:c r="N11" s="19" t="n">
        <x:f>D11-$D$7</x:f>
        <x:v>-498000</x:v>
      </x:c>
    </x:row>
    <x:row r="12" ht="23" customHeight="1">
      <x:c r="A12" s="2" t="str">
        <x:v>C05</x:v>
      </x:c>
      <x:c r="B12" s="19" t="n">
        <x:f>'日経_C05'!D32</x:f>
        <x:v>-434000</x:v>
      </x:c>
      <x:c r="C12" s="19" t="n">
        <x:f>'日経_C05'!G32</x:f>
        <x:v>887000</x:v>
      </x:c>
      <x:c r="D12" s="19" t="n">
        <x:f>'日経_C05'!J32</x:f>
        <x:v>453000</x:v>
      </x:c>
      <x:c r="E12" s="19" t="n">
        <x:f>'日経_C05'!H32</x:f>
        <x:v>2167000</x:v>
      </x:c>
      <x:c r="F12" s="19" t="n">
        <x:f>'日経_C05'!I32</x:f>
        <x:v>1714000</x:v>
      </x:c>
      <x:c r="G12" s="27" t="n">
        <x:f>IF(F12=0,"損失なし",E12/F12)</x:f>
        <x:v>1.264294049008168</x:v>
      </x:c>
      <x:c r="H12" s="2" t="n">
        <x:f>COUNTIFS('日経_C05'!$J$7:$J$31,"&gt;0")</x:f>
        <x:v>14</x:v>
      </x:c>
      <x:c r="I12" s="2" t="n">
        <x:f>COUNTIFS('日経_C05'!$J$7:$J$31,"&lt;0")</x:f>
        <x:v>11</x:v>
      </x:c>
      <x:c r="J12" s="19" t="n">
        <x:f>MAX(0,-MIN('日経_C05'!$J$7:$J$31))</x:f>
        <x:v>98000</x:v>
      </x:c>
      <x:c r="K12" s="19" t="n">
        <x:f>D12-MAX(0,LARGE('日経_C05'!$J$7:$J$31,1))-MAX(0,LARGE('日経_C05'!$J$7:$J$31,2))-MAX(0,LARGE('日経_C05'!$J$7:$J$31,3))</x:f>
        <x:v>-29000</x:v>
      </x:c>
      <x:c r="L12" s="2" t="n">
        <x:f>'日経_C05'!L32</x:f>
        <x:v>169</x:v>
      </x:c>
      <x:c r="M12" s="2" t="n">
        <x:f>COUNTIFS('日経_C05'!$L$7:$L$31,0)</x:f>
        <x:v>0</x:v>
      </x:c>
      <x:c r="N12" s="19" t="n">
        <x:f>D12-$D$7</x:f>
        <x:v>-700000</x:v>
      </x:c>
    </x:row>
    <x:row r="13" ht="23" customHeight="1">
      <x:c r="A13" s="2" t="str">
        <x:v>C06</x:v>
      </x:c>
      <x:c r="B13" s="19" t="n">
        <x:f>'日経_C06'!D32</x:f>
        <x:v>-432000</x:v>
      </x:c>
      <x:c r="C13" s="19" t="n">
        <x:f>'日経_C06'!G32</x:f>
        <x:v>497000</x:v>
      </x:c>
      <x:c r="D13" s="19" t="n">
        <x:f>'日経_C06'!J32</x:f>
        <x:v>65000</x:v>
      </x:c>
      <x:c r="E13" s="19" t="n">
        <x:f>'日経_C06'!H32</x:f>
        <x:v>1060000</x:v>
      </x:c>
      <x:c r="F13" s="19" t="n">
        <x:f>'日経_C06'!I32</x:f>
        <x:v>995000</x:v>
      </x:c>
      <x:c r="G13" s="27" t="n">
        <x:f>IF(F13=0,"損失なし",E13/F13)</x:f>
        <x:v>1.065326633165829</x:v>
      </x:c>
      <x:c r="H13" s="2" t="n">
        <x:f>COUNTIFS('日経_C06'!$J$7:$J$31,"&gt;0")</x:f>
        <x:v>13</x:v>
      </x:c>
      <x:c r="I13" s="2" t="n">
        <x:f>COUNTIFS('日経_C06'!$J$7:$J$31,"&lt;0")</x:f>
        <x:v>12</x:v>
      </x:c>
      <x:c r="J13" s="19" t="n">
        <x:f>MAX(0,-MIN('日経_C06'!$J$7:$J$31))</x:f>
        <x:v>79000</x:v>
      </x:c>
      <x:c r="K13" s="19" t="n">
        <x:f>D13-MAX(0,LARGE('日経_C06'!$J$7:$J$31,1))-MAX(0,LARGE('日経_C06'!$J$7:$J$31,2))-MAX(0,LARGE('日経_C06'!$J$7:$J$31,3))</x:f>
        <x:v>-157000</x:v>
      </x:c>
      <x:c r="L13" s="2" t="n">
        <x:f>'日経_C06'!L32</x:f>
        <x:v>48</x:v>
      </x:c>
      <x:c r="M13" s="2" t="n">
        <x:f>COUNTIFS('日経_C06'!$L$7:$L$31,0)</x:f>
        <x:v>0</x:v>
      </x:c>
      <x:c r="N13" s="19" t="n">
        <x:f>D13-$D$7</x:f>
        <x:v>-1088000</x:v>
      </x:c>
    </x:row>
    <x:row r="14" ht="23" customHeight="1">
      <x:c r="A14" s="2" t="str">
        <x:v>C07</x:v>
      </x:c>
      <x:c r="B14" s="19" t="n">
        <x:f>'日経_C07'!D32</x:f>
        <x:v>-1000</x:v>
      </x:c>
      <x:c r="C14" s="19" t="n">
        <x:f>'日経_C07'!G32</x:f>
        <x:v>239000</x:v>
      </x:c>
      <x:c r="D14" s="19" t="n">
        <x:f>'日経_C07'!J32</x:f>
        <x:v>238000</x:v>
      </x:c>
      <x:c r="E14" s="19" t="n">
        <x:f>'日経_C07'!H32</x:f>
        <x:v>607000</x:v>
      </x:c>
      <x:c r="F14" s="19" t="n">
        <x:f>'日経_C07'!I32</x:f>
        <x:v>369000</x:v>
      </x:c>
      <x:c r="G14" s="27" t="n">
        <x:f>IF(F14=0,"損失なし",E14/F14)</x:f>
        <x:v>1.6449864498644986</x:v>
      </x:c>
      <x:c r="H14" s="2" t="n">
        <x:f>COUNTIFS('日経_C07'!$J$7:$J$31,"&gt;0")</x:f>
        <x:v>4</x:v>
      </x:c>
      <x:c r="I14" s="2" t="n">
        <x:f>COUNTIFS('日経_C07'!$J$7:$J$31,"&lt;0")</x:f>
        <x:v>6</x:v>
      </x:c>
      <x:c r="J14" s="19" t="n">
        <x:f>MAX(0,-MIN('日経_C07'!$J$7:$J$31))</x:f>
        <x:v>23000</x:v>
      </x:c>
      <x:c r="K14" s="19" t="n">
        <x:f>D14-MAX(0,LARGE('日経_C07'!$J$7:$J$31,1))-MAX(0,LARGE('日経_C07'!$J$7:$J$31,2))-MAX(0,LARGE('日経_C07'!$J$7:$J$31,3))</x:f>
        <x:v>-67000</x:v>
      </x:c>
      <x:c r="L14" s="2" t="n">
        <x:f>'日経_C07'!L32</x:f>
        <x:v>52</x:v>
      </x:c>
      <x:c r="M14" s="2" t="n">
        <x:f>COUNTIFS('日経_C07'!$L$7:$L$31,0)</x:f>
        <x:v>15</x:v>
      </x:c>
      <x:c r="N14" s="19" t="n">
        <x:f>D14-$D$7</x:f>
        <x:v>-915000</x:v>
      </x:c>
    </x:row>
    <x:row r="15" ht="23" customHeight="1">
      <x:c r="A15" s="2" t="str">
        <x:v>C08</x:v>
      </x:c>
      <x:c r="B15" s="19" t="n">
        <x:f>'日経_C08'!D32</x:f>
        <x:v>-1000</x:v>
      </x:c>
      <x:c r="C15" s="19" t="n">
        <x:f>'日経_C08'!G32</x:f>
        <x:v>151000</x:v>
      </x:c>
      <x:c r="D15" s="19" t="n">
        <x:f>'日経_C08'!J32</x:f>
        <x:v>150000</x:v>
      </x:c>
      <x:c r="E15" s="19" t="n">
        <x:f>'日経_C08'!H32</x:f>
        <x:v>500000</x:v>
      </x:c>
      <x:c r="F15" s="19" t="n">
        <x:f>'日経_C08'!I32</x:f>
        <x:v>350000</x:v>
      </x:c>
      <x:c r="G15" s="27" t="n">
        <x:f>IF(F15=0,"損失なし",E15/F15)</x:f>
        <x:v>1.4285714285714286</x:v>
      </x:c>
      <x:c r="H15" s="2" t="n">
        <x:f>COUNTIFS('日経_C08'!$J$7:$J$31,"&gt;0")</x:f>
        <x:v>12</x:v>
      </x:c>
      <x:c r="I15" s="2" t="n">
        <x:f>COUNTIFS('日経_C08'!$J$7:$J$31,"&lt;0")</x:f>
        <x:v>9</x:v>
      </x:c>
      <x:c r="J15" s="19" t="n">
        <x:f>MAX(0,-MIN('日経_C08'!$J$7:$J$31))</x:f>
        <x:v>43000</x:v>
      </x:c>
      <x:c r="K15" s="19" t="n">
        <x:f>D15-MAX(0,LARGE('日経_C08'!$J$7:$J$31,1))-MAX(0,LARGE('日経_C08'!$J$7:$J$31,2))-MAX(0,LARGE('日経_C08'!$J$7:$J$31,3))</x:f>
        <x:v>-8000</x:v>
      </x:c>
      <x:c r="L15" s="2" t="n">
        <x:f>'日経_C08'!L32</x:f>
        <x:v>69</x:v>
      </x:c>
      <x:c r="M15" s="2" t="n">
        <x:f>COUNTIFS('日経_C08'!$L$7:$L$31,0)</x:f>
        <x:v>4</x:v>
      </x:c>
      <x:c r="N15" s="19" t="n">
        <x:f>D15-$D$7</x:f>
        <x:v>-1003000</x:v>
      </x:c>
    </x:row>
    <x:row r="16" ht="23" customHeight="1">
      <x:c r="A16" s="2" t="str">
        <x:v>R01</x:v>
      </x:c>
      <x:c r="B16" s="19" t="n">
        <x:f>'日経_R01'!D32</x:f>
        <x:v>-434000</x:v>
      </x:c>
      <x:c r="C16" s="19" t="n">
        <x:f>'日経_R01'!G32</x:f>
        <x:v>78000</x:v>
      </x:c>
      <x:c r="D16" s="19" t="n">
        <x:f>'日経_R01'!J32</x:f>
        <x:v>-356000</x:v>
      </x:c>
      <x:c r="E16" s="19" t="n">
        <x:f>'日経_R01'!H32</x:f>
        <x:v>1505000</x:v>
      </x:c>
      <x:c r="F16" s="19" t="n">
        <x:f>'日経_R01'!I32</x:f>
        <x:v>1861000</x:v>
      </x:c>
      <x:c r="G16" s="27" t="n">
        <x:f>IF(F16=0,"損失なし",E16/F16)</x:f>
        <x:v>0.8087049973132724</x:v>
      </x:c>
      <x:c r="H16" s="2" t="n">
        <x:f>COUNTIFS('日経_R01'!$J$7:$J$31,"&gt;0")</x:f>
        <x:v>11</x:v>
      </x:c>
      <x:c r="I16" s="2" t="n">
        <x:f>COUNTIFS('日経_R01'!$J$7:$J$31,"&lt;0")</x:f>
        <x:v>14</x:v>
      </x:c>
      <x:c r="J16" s="19" t="n">
        <x:f>MAX(0,-MIN('日経_R01'!$J$7:$J$31))</x:f>
        <x:v>134000</x:v>
      </x:c>
      <x:c r="K16" s="19" t="n">
        <x:f>D16-MAX(0,LARGE('日経_R01'!$J$7:$J$31,1))-MAX(0,LARGE('日経_R01'!$J$7:$J$31,2))-MAX(0,LARGE('日経_R01'!$J$7:$J$31,3))</x:f>
        <x:v>-674000</x:v>
      </x:c>
      <x:c r="L16" s="2" t="n">
        <x:f>'日経_R01'!L32</x:f>
        <x:v>139</x:v>
      </x:c>
      <x:c r="M16" s="2" t="n">
        <x:f>COUNTIFS('日経_R01'!$L$7:$L$31,0)</x:f>
        <x:v>0</x:v>
      </x:c>
      <x:c r="N16" s="19" t="n">
        <x:f>D16-$D$7</x:f>
        <x:v>-1509000</x:v>
      </x:c>
    </x:row>
    <x:row r="17" ht="23" customHeight="1">
      <x:c r="A17" s="2" t="str">
        <x:v>R02</x:v>
      </x:c>
      <x:c r="B17" s="19" t="n">
        <x:f>'日経_R02'!D32</x:f>
        <x:v>-434000</x:v>
      </x:c>
      <x:c r="C17" s="19" t="n">
        <x:f>'日経_R02'!G32</x:f>
        <x:v>78000</x:v>
      </x:c>
      <x:c r="D17" s="19" t="n">
        <x:f>'日経_R02'!J32</x:f>
        <x:v>-356000</x:v>
      </x:c>
      <x:c r="E17" s="19" t="n">
        <x:f>'日経_R02'!H32</x:f>
        <x:v>1505000</x:v>
      </x:c>
      <x:c r="F17" s="19" t="n">
        <x:f>'日経_R02'!I32</x:f>
        <x:v>1861000</x:v>
      </x:c>
      <x:c r="G17" s="27" t="n">
        <x:f>IF(F17=0,"損失なし",E17/F17)</x:f>
        <x:v>0.8087049973132724</x:v>
      </x:c>
      <x:c r="H17" s="2" t="n">
        <x:f>COUNTIFS('日経_R02'!$J$7:$J$31,"&gt;0")</x:f>
        <x:v>11</x:v>
      </x:c>
      <x:c r="I17" s="2" t="n">
        <x:f>COUNTIFS('日経_R02'!$J$7:$J$31,"&lt;0")</x:f>
        <x:v>14</x:v>
      </x:c>
      <x:c r="J17" s="19" t="n">
        <x:f>MAX(0,-MIN('日経_R02'!$J$7:$J$31))</x:f>
        <x:v>134000</x:v>
      </x:c>
      <x:c r="K17" s="19" t="n">
        <x:f>D17-MAX(0,LARGE('日経_R02'!$J$7:$J$31,1))-MAX(0,LARGE('日経_R02'!$J$7:$J$31,2))-MAX(0,LARGE('日経_R02'!$J$7:$J$31,3))</x:f>
        <x:v>-674000</x:v>
      </x:c>
      <x:c r="L17" s="2" t="n">
        <x:f>'日経_R02'!L32</x:f>
        <x:v>139</x:v>
      </x:c>
      <x:c r="M17" s="2" t="n">
        <x:f>COUNTIFS('日経_R02'!$L$7:$L$31,0)</x:f>
        <x:v>0</x:v>
      </x:c>
      <x:c r="N17" s="19" t="n">
        <x:f>D17-$D$7</x:f>
        <x:v>-1509000</x:v>
      </x:c>
    </x:row>
    <x:row r="18" ht="23" customHeight="1">
      <x:c r="A18" s="2" t="str">
        <x:v>R03</x:v>
      </x:c>
      <x:c r="B18" s="19" t="n">
        <x:f>'日経_R03'!D32</x:f>
        <x:v>-434000</x:v>
      </x:c>
      <x:c r="C18" s="19" t="n">
        <x:f>'日経_R03'!G32</x:f>
        <x:v>424000</x:v>
      </x:c>
      <x:c r="D18" s="19" t="n">
        <x:f>'日経_R03'!J32</x:f>
        <x:v>-10000</x:v>
      </x:c>
      <x:c r="E18" s="19" t="n">
        <x:f>'日経_R03'!H32</x:f>
        <x:v>1699000</x:v>
      </x:c>
      <x:c r="F18" s="19" t="n">
        <x:f>'日経_R03'!I32</x:f>
        <x:v>1709000</x:v>
      </x:c>
      <x:c r="G18" s="27" t="n">
        <x:f>IF(F18=0,"損失なし",E18/F18)</x:f>
        <x:v>0.9941486249268578</x:v>
      </x:c>
      <x:c r="H18" s="2" t="n">
        <x:f>COUNTIFS('日経_R03'!$J$7:$J$31,"&gt;0")</x:f>
        <x:v>13</x:v>
      </x:c>
      <x:c r="I18" s="2" t="n">
        <x:f>COUNTIFS('日経_R03'!$J$7:$J$31,"&lt;0")</x:f>
        <x:v>12</x:v>
      </x:c>
      <x:c r="J18" s="19" t="n">
        <x:f>MAX(0,-MIN('日経_R03'!$J$7:$J$31))</x:f>
        <x:v>139000</x:v>
      </x:c>
      <x:c r="K18" s="19" t="n">
        <x:f>D18-MAX(0,LARGE('日経_R03'!$J$7:$J$31,1))-MAX(0,LARGE('日経_R03'!$J$7:$J$31,2))-MAX(0,LARGE('日経_R03'!$J$7:$J$31,3))</x:f>
        <x:v>-431000</x:v>
      </x:c>
      <x:c r="L18" s="2" t="n">
        <x:f>'日経_R03'!L32</x:f>
        <x:v>138</x:v>
      </x:c>
      <x:c r="M18" s="2" t="n">
        <x:f>COUNTIFS('日経_R03'!$L$7:$L$31,0)</x:f>
        <x:v>0</x:v>
      </x:c>
      <x:c r="N18" s="19" t="n">
        <x:f>D18-$D$7</x:f>
        <x:v>-1163000</x:v>
      </x:c>
    </x:row>
    <x:row r="19" ht="23" customHeight="1">
      <x:c r="A19" s="2" t="str">
        <x:v>R04</x:v>
      </x:c>
      <x:c r="B19" s="19" t="n">
        <x:f>'日経_R04'!D32</x:f>
        <x:v>-436000</x:v>
      </x:c>
      <x:c r="C19" s="19" t="n">
        <x:f>'日経_R04'!G32</x:f>
        <x:v>78000</x:v>
      </x:c>
      <x:c r="D19" s="19" t="n">
        <x:f>'日経_R04'!J32</x:f>
        <x:v>-358000</x:v>
      </x:c>
      <x:c r="E19" s="19" t="n">
        <x:f>'日経_R04'!H32</x:f>
        <x:v>1503000</x:v>
      </x:c>
      <x:c r="F19" s="19" t="n">
        <x:f>'日経_R04'!I32</x:f>
        <x:v>1861000</x:v>
      </x:c>
      <x:c r="G19" s="27" t="n">
        <x:f>IF(F19=0,"損失なし",E19/F19)</x:f>
        <x:v>0.8076303062869425</x:v>
      </x:c>
      <x:c r="H19" s="2" t="n">
        <x:f>COUNTIFS('日経_R04'!$J$7:$J$31,"&gt;0")</x:f>
        <x:v>11</x:v>
      </x:c>
      <x:c r="I19" s="2" t="n">
        <x:f>COUNTIFS('日経_R04'!$J$7:$J$31,"&lt;0")</x:f>
        <x:v>14</x:v>
      </x:c>
      <x:c r="J19" s="19" t="n">
        <x:f>MAX(0,-MIN('日経_R04'!$J$7:$J$31))</x:f>
        <x:v>134000</x:v>
      </x:c>
      <x:c r="K19" s="19" t="n">
        <x:f>D19-MAX(0,LARGE('日経_R04'!$J$7:$J$31,1))-MAX(0,LARGE('日経_R04'!$J$7:$J$31,2))-MAX(0,LARGE('日経_R04'!$J$7:$J$31,3))</x:f>
        <x:v>-676000</x:v>
      </x:c>
      <x:c r="L19" s="2" t="n">
        <x:f>'日経_R04'!L32</x:f>
        <x:v>139</x:v>
      </x:c>
      <x:c r="M19" s="2" t="n">
        <x:f>COUNTIFS('日経_R04'!$L$7:$L$31,0)</x:f>
        <x:v>0</x:v>
      </x:c>
      <x:c r="N19" s="19" t="n">
        <x:f>D19-$D$7</x:f>
        <x:v>-1511000</x:v>
      </x:c>
    </x:row>
    <x:row r="20" ht="23" customHeight="1">
      <x:c r="A20" s="2" t="str">
        <x:v>R05</x:v>
      </x:c>
      <x:c r="B20" s="19" t="n">
        <x:f>'日経_R05'!D32</x:f>
        <x:v>-430000</x:v>
      </x:c>
      <x:c r="C20" s="19" t="n">
        <x:f>'日経_R05'!G32</x:f>
        <x:v>78000</x:v>
      </x:c>
      <x:c r="D20" s="19" t="n">
        <x:f>'日経_R05'!J32</x:f>
        <x:v>-352000</x:v>
      </x:c>
      <x:c r="E20" s="19" t="n">
        <x:f>'日経_R05'!H32</x:f>
        <x:v>1509000</x:v>
      </x:c>
      <x:c r="F20" s="19" t="n">
        <x:f>'日経_R05'!I32</x:f>
        <x:v>1861000</x:v>
      </x:c>
      <x:c r="G20" s="27" t="n">
        <x:f>IF(F20=0,"損失なし",E20/F20)</x:f>
        <x:v>0.8108543793659323</x:v>
      </x:c>
      <x:c r="H20" s="2" t="n">
        <x:f>COUNTIFS('日経_R05'!$J$7:$J$31,"&gt;0")</x:f>
        <x:v>11</x:v>
      </x:c>
      <x:c r="I20" s="2" t="n">
        <x:f>COUNTIFS('日経_R05'!$J$7:$J$31,"&lt;0")</x:f>
        <x:v>14</x:v>
      </x:c>
      <x:c r="J20" s="19" t="n">
        <x:f>MAX(0,-MIN('日経_R05'!$J$7:$J$31))</x:f>
        <x:v>134000</x:v>
      </x:c>
      <x:c r="K20" s="19" t="n">
        <x:f>D20-MAX(0,LARGE('日経_R05'!$J$7:$J$31,1))-MAX(0,LARGE('日経_R05'!$J$7:$J$31,2))-MAX(0,LARGE('日経_R05'!$J$7:$J$31,3))</x:f>
        <x:v>-669000</x:v>
      </x:c>
      <x:c r="L20" s="2" t="n">
        <x:f>'日経_R05'!L32</x:f>
        <x:v>137</x:v>
      </x:c>
      <x:c r="M20" s="2" t="n">
        <x:f>COUNTIFS('日経_R05'!$L$7:$L$31,0)</x:f>
        <x:v>0</x:v>
      </x:c>
      <x:c r="N20" s="19" t="n">
        <x:f>D20-$D$7</x:f>
        <x:v>-1505000</x:v>
      </x:c>
    </x:row>
    <x:row r="21" ht="23" customHeight="1">
      <x:c r="A21" s="2" t="str">
        <x:v>R06</x:v>
      </x:c>
      <x:c r="B21" s="19" t="n">
        <x:f>'日経_R06'!D32</x:f>
        <x:v>-432000</x:v>
      </x:c>
      <x:c r="C21" s="19" t="n">
        <x:f>'日経_R06'!G32</x:f>
        <x:v>78000</x:v>
      </x:c>
      <x:c r="D21" s="19" t="n">
        <x:f>'日経_R06'!J32</x:f>
        <x:v>-354000</x:v>
      </x:c>
      <x:c r="E21" s="19" t="n">
        <x:f>'日経_R06'!H32</x:f>
        <x:v>1437000</x:v>
      </x:c>
      <x:c r="F21" s="19" t="n">
        <x:f>'日経_R06'!I32</x:f>
        <x:v>1791000</x:v>
      </x:c>
      <x:c r="G21" s="27" t="n">
        <x:f>IF(F21=0,"損失なし",E21/F21)</x:f>
        <x:v>0.8023450586264657</x:v>
      </x:c>
      <x:c r="H21" s="2" t="n">
        <x:f>COUNTIFS('日経_R06'!$J$7:$J$31,"&gt;0")</x:f>
        <x:v>11</x:v>
      </x:c>
      <x:c r="I21" s="2" t="n">
        <x:f>COUNTIFS('日経_R06'!$J$7:$J$31,"&lt;0")</x:f>
        <x:v>14</x:v>
      </x:c>
      <x:c r="J21" s="19" t="n">
        <x:f>MAX(0,-MIN('日経_R06'!$J$7:$J$31))</x:f>
        <x:v>134000</x:v>
      </x:c>
      <x:c r="K21" s="19" t="n">
        <x:f>D21-MAX(0,LARGE('日経_R06'!$J$7:$J$31,1))-MAX(0,LARGE('日経_R06'!$J$7:$J$31,2))-MAX(0,LARGE('日経_R06'!$J$7:$J$31,3))</x:f>
        <x:v>-672000</x:v>
      </x:c>
      <x:c r="L21" s="2" t="n">
        <x:f>'日経_R06'!L32</x:f>
        <x:v>123</x:v>
      </x:c>
      <x:c r="M21" s="2" t="n">
        <x:f>COUNTIFS('日経_R06'!$L$7:$L$31,0)</x:f>
        <x:v>0</x:v>
      </x:c>
      <x:c r="N21" s="19" t="n">
        <x:f>D21-$D$7</x:f>
        <x:v>-1507000</x:v>
      </x:c>
    </x:row>
    <x:row r="22" ht="23" customHeight="1">
      <x:c r="A22" s="2" t="str">
        <x:v>R07</x:v>
      </x:c>
      <x:c r="B22" s="19" t="n">
        <x:f>'日経_R07'!D32</x:f>
        <x:v>-2000</x:v>
      </x:c>
      <x:c r="C22" s="19" t="n">
        <x:f>'日経_R07'!G32</x:f>
        <x:v>78000</x:v>
      </x:c>
      <x:c r="D22" s="19" t="n">
        <x:f>'日経_R07'!J32</x:f>
        <x:v>76000</x:v>
      </x:c>
      <x:c r="E22" s="19" t="n">
        <x:f>'日経_R07'!H32</x:f>
        <x:v>1082000</x:v>
      </x:c>
      <x:c r="F22" s="19" t="n">
        <x:f>'日経_R07'!I32</x:f>
        <x:v>1006000</x:v>
      </x:c>
      <x:c r="G22" s="27" t="n">
        <x:f>IF(F22=0,"損失なし",E22/F22)</x:f>
        <x:v>1.0755467196819086</x:v>
      </x:c>
      <x:c r="H22" s="2" t="n">
        <x:f>COUNTIFS('日経_R07'!$J$7:$J$31,"&gt;0")</x:f>
        <x:v>14</x:v>
      </x:c>
      <x:c r="I22" s="2" t="n">
        <x:f>COUNTIFS('日経_R07'!$J$7:$J$31,"&lt;0")</x:f>
        <x:v>11</x:v>
      </x:c>
      <x:c r="J22" s="19" t="n">
        <x:f>MAX(0,-MIN('日経_R07'!$J$7:$J$31))</x:f>
        <x:v>86000</x:v>
      </x:c>
      <x:c r="K22" s="19" t="n">
        <x:f>D22-MAX(0,LARGE('日経_R07'!$J$7:$J$31,1))-MAX(0,LARGE('日経_R07'!$J$7:$J$31,2))-MAX(0,LARGE('日経_R07'!$J$7:$J$31,3))</x:f>
        <x:v>-193000</x:v>
      </x:c>
      <x:c r="L22" s="2" t="n">
        <x:f>'日経_R07'!L32</x:f>
        <x:v>105</x:v>
      </x:c>
      <x:c r="M22" s="2" t="n">
        <x:f>COUNTIFS('日経_R07'!$L$7:$L$31,0)</x:f>
        <x:v>0</x:v>
      </x:c>
      <x:c r="N22" s="19" t="n">
        <x:f>D22-$D$7</x:f>
        <x:v>-1077000</x:v>
      </x:c>
    </x:row>
    <x:row r="23" ht="23" customHeight="1">
      <x:c r="A23" s="2" t="str">
        <x:v>S01</x:v>
      </x:c>
      <x:c r="B23" s="19" t="n">
        <x:f>'日経_S01'!D32</x:f>
        <x:v>-434000</x:v>
      </x:c>
      <x:c r="C23" s="19" t="n">
        <x:f>'日経_S01'!G32</x:f>
        <x:v>584000</x:v>
      </x:c>
      <x:c r="D23" s="19" t="n">
        <x:f>'日経_S01'!J32</x:f>
        <x:v>150000</x:v>
      </x:c>
      <x:c r="E23" s="19" t="n">
        <x:f>'日経_S01'!H32</x:f>
        <x:v>2457000</x:v>
      </x:c>
      <x:c r="F23" s="19" t="n">
        <x:f>'日経_S01'!I32</x:f>
        <x:v>2307000</x:v>
      </x:c>
      <x:c r="G23" s="27" t="n">
        <x:f>IF(F23=0,"損失なし",E23/F23)</x:f>
        <x:v>1.0650195058517555</x:v>
      </x:c>
      <x:c r="H23" s="2" t="n">
        <x:f>COUNTIFS('日経_S01'!$J$7:$J$31,"&gt;0")</x:f>
        <x:v>13</x:v>
      </x:c>
      <x:c r="I23" s="2" t="n">
        <x:f>COUNTIFS('日経_S01'!$J$7:$J$31,"&lt;0")</x:f>
        <x:v>12</x:v>
      </x:c>
      <x:c r="J23" s="19" t="n">
        <x:f>MAX(0,-MIN('日経_S01'!$J$7:$J$31))</x:f>
        <x:v>139000</x:v>
      </x:c>
      <x:c r="K23" s="19" t="n">
        <x:f>D23-MAX(0,LARGE('日経_S01'!$J$7:$J$31,1))-MAX(0,LARGE('日経_S01'!$J$7:$J$31,2))-MAX(0,LARGE('日経_S01'!$J$7:$J$31,3))</x:f>
        <x:v>-310000</x:v>
      </x:c>
      <x:c r="L23" s="2" t="n">
        <x:f>'日経_S01'!L32</x:f>
        <x:v>191</x:v>
      </x:c>
      <x:c r="M23" s="2" t="n">
        <x:f>COUNTIFS('日経_S01'!$L$7:$L$31,0)</x:f>
        <x:v>0</x:v>
      </x:c>
      <x:c r="N23" s="19" t="n">
        <x:f>D23-$D$7</x:f>
        <x:v>-1003000</x:v>
      </x:c>
    </x:row>
    <x:row r="24" ht="23" customHeight="1">
      <x:c r="A24" s="2" t="str">
        <x:v>S02</x:v>
      </x:c>
      <x:c r="B24" s="19" t="n">
        <x:f>'日経_S02'!D32</x:f>
        <x:v>-434000</x:v>
      </x:c>
      <x:c r="C24" s="19" t="n">
        <x:f>'日経_S02'!G32</x:f>
        <x:v>1143000</x:v>
      </x:c>
      <x:c r="D24" s="19" t="n">
        <x:f>'日経_S02'!J32</x:f>
        <x:v>709000</x:v>
      </x:c>
      <x:c r="E24" s="19" t="n">
        <x:f>'日経_S02'!H32</x:f>
        <x:v>2583000</x:v>
      </x:c>
      <x:c r="F24" s="19" t="n">
        <x:f>'日経_S02'!I32</x:f>
        <x:v>1874000</x:v>
      </x:c>
      <x:c r="G24" s="27" t="n">
        <x:f>IF(F24=0,"損失なし",E24/F24)</x:f>
        <x:v>1.378335112059765</x:v>
      </x:c>
      <x:c r="H24" s="2" t="n">
        <x:f>COUNTIFS('日経_S02'!$J$7:$J$31,"&gt;0")</x:f>
        <x:v>15</x:v>
      </x:c>
      <x:c r="I24" s="2" t="n">
        <x:f>COUNTIFS('日経_S02'!$J$7:$J$31,"&lt;0")</x:f>
        <x:v>10</x:v>
      </x:c>
      <x:c r="J24" s="19" t="n">
        <x:f>MAX(0,-MIN('日経_S02'!$J$7:$J$31))</x:f>
        <x:v>106000</x:v>
      </x:c>
      <x:c r="K24" s="19" t="n">
        <x:f>D24-MAX(0,LARGE('日経_S02'!$J$7:$J$31,1))-MAX(0,LARGE('日経_S02'!$J$7:$J$31,2))-MAX(0,LARGE('日経_S02'!$J$7:$J$31,3))</x:f>
        <x:v>75000</x:v>
      </x:c>
      <x:c r="L24" s="2" t="n">
        <x:f>'日経_S02'!L32</x:f>
        <x:v>184</x:v>
      </x:c>
      <x:c r="M24" s="2" t="n">
        <x:f>COUNTIFS('日経_S02'!$L$7:$L$31,0)</x:f>
        <x:v>0</x:v>
      </x:c>
      <x:c r="N24" s="19" t="n">
        <x:f>D24-$D$7</x:f>
        <x:v>-444000</x:v>
      </x:c>
    </x:row>
    <x:row r="25" ht="23" customHeight="1">
      <x:c r="A25" s="2" t="str">
        <x:v>S03</x:v>
      </x:c>
      <x:c r="B25" s="19" t="n">
        <x:f>'日経_S03'!D32</x:f>
        <x:v>-434000</x:v>
      </x:c>
      <x:c r="C25" s="19" t="n">
        <x:f>'日経_S03'!G32</x:f>
        <x:v>424000</x:v>
      </x:c>
      <x:c r="D25" s="19" t="n">
        <x:f>'日経_S03'!J32</x:f>
        <x:v>-10000</x:v>
      </x:c>
      <x:c r="E25" s="19" t="n">
        <x:f>'日経_S03'!H32</x:f>
        <x:v>1699000</x:v>
      </x:c>
      <x:c r="F25" s="19" t="n">
        <x:f>'日経_S03'!I32</x:f>
        <x:v>1709000</x:v>
      </x:c>
      <x:c r="G25" s="27" t="n">
        <x:f>IF(F25=0,"損失なし",E25/F25)</x:f>
        <x:v>0.9941486249268578</x:v>
      </x:c>
      <x:c r="H25" s="2" t="n">
        <x:f>COUNTIFS('日経_S03'!$J$7:$J$31,"&gt;0")</x:f>
        <x:v>13</x:v>
      </x:c>
      <x:c r="I25" s="2" t="n">
        <x:f>COUNTIFS('日経_S03'!$J$7:$J$31,"&lt;0")</x:f>
        <x:v>12</x:v>
      </x:c>
      <x:c r="J25" s="19" t="n">
        <x:f>MAX(0,-MIN('日経_S03'!$J$7:$J$31))</x:f>
        <x:v>139000</x:v>
      </x:c>
      <x:c r="K25" s="19" t="n">
        <x:f>D25-MAX(0,LARGE('日経_S03'!$J$7:$J$31,1))-MAX(0,LARGE('日経_S03'!$J$7:$J$31,2))-MAX(0,LARGE('日経_S03'!$J$7:$J$31,3))</x:f>
        <x:v>-431000</x:v>
      </x:c>
      <x:c r="L25" s="2" t="n">
        <x:f>'日経_S03'!L32</x:f>
        <x:v>138</x:v>
      </x:c>
      <x:c r="M25" s="2" t="n">
        <x:f>COUNTIFS('日経_S03'!$L$7:$L$31,0)</x:f>
        <x:v>0</x:v>
      </x:c>
      <x:c r="N25" s="19" t="n">
        <x:f>D25-$D$7</x:f>
        <x:v>-1163000</x:v>
      </x:c>
    </x:row>
    <x:row r="26" ht="23" customHeight="1">
      <x:c r="A26" s="2" t="str">
        <x:v>S04</x:v>
      </x:c>
      <x:c r="B26" s="19" t="n">
        <x:f>'日経_S04'!D32</x:f>
        <x:v>-2000</x:v>
      </x:c>
      <x:c r="C26" s="19" t="n">
        <x:f>'日経_S04'!G32</x:f>
        <x:v>1143000</x:v>
      </x:c>
      <x:c r="D26" s="19" t="n">
        <x:f>'日経_S04'!J32</x:f>
        <x:v>1141000</x:v>
      </x:c>
      <x:c r="E26" s="19" t="n">
        <x:f>'日経_S04'!H32</x:f>
        <x:v>2160000</x:v>
      </x:c>
      <x:c r="F26" s="19" t="n">
        <x:f>'日経_S04'!I32</x:f>
        <x:v>1019000</x:v>
      </x:c>
      <x:c r="G26" s="27" t="n">
        <x:f>IF(F26=0,"損失なし",E26/F26)</x:f>
        <x:v>2.1197252208047104</x:v>
      </x:c>
      <x:c r="H26" s="2" t="n">
        <x:f>COUNTIFS('日経_S04'!$J$7:$J$31,"&gt;0")</x:f>
        <x:v>16</x:v>
      </x:c>
      <x:c r="I26" s="2" t="n">
        <x:f>COUNTIFS('日経_S04'!$J$7:$J$31,"&lt;0")</x:f>
        <x:v>9</x:v>
      </x:c>
      <x:c r="J26" s="19" t="n">
        <x:f>MAX(0,-MIN('日経_S04'!$J$7:$J$31))</x:f>
        <x:v>53000</x:v>
      </x:c>
      <x:c r="K26" s="19" t="n">
        <x:f>D26-MAX(0,LARGE('日経_S04'!$J$7:$J$31,1))-MAX(0,LARGE('日経_S04'!$J$7:$J$31,2))-MAX(0,LARGE('日経_S04'!$J$7:$J$31,3))</x:f>
        <x:v>418000</x:v>
      </x:c>
      <x:c r="L26" s="2" t="n">
        <x:f>'日経_S04'!L32</x:f>
        <x:v>150</x:v>
      </x:c>
      <x:c r="M26" s="2" t="n">
        <x:f>COUNTIFS('日経_S04'!$L$7:$L$31,0)</x:f>
        <x:v>0</x:v>
      </x:c>
      <x:c r="N26" s="19" t="n">
        <x:f>D26-$D$7</x:f>
        <x:v>-12000</x:v>
      </x:c>
    </x:row>
  </x:sheetData>
  <x:conditionalFormatting sqref="B7:F26">
    <x:cfRule type="cellIs" dxfId="20" priority="1" operator="lessThan">
      <x:formula>0</x:formula>
    </x:cfRule>
  </x:conditionalFormatting>
  <x:conditionalFormatting sqref="J7:K26">
    <x:cfRule type="cellIs" dxfId="21" priority="2" operator="lessThan">
      <x:formula>0</x:formula>
    </x:cfRule>
  </x:conditionalFormatting>
  <x:conditionalFormatting sqref="N7:N26">
    <x:cfRule type="cellIs" dxfId="22" priority="3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296609dd7b4958"/>
  </x:tableParts>
</x:worksheet>
</file>

<file path=xl/worksheets/sheet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C00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現Go D07をそのまま再生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</x:row>
    <x:row r="8" ht="23" customHeight="1">
      <x:c r="A8" s="2" t="str">
        <x:v>2026-09-22_Night</x:v>
      </x:c>
      <x:c r="B8" s="19" t="n">
        <x:v>0</x:v>
      </x:c>
      <x:c r="C8" s="19" t="n">
        <x:v>0</x:v>
      </x:c>
      <x:c r="D8" s="19" t="n">
        <x:f>B8-C8</x:f>
        <x:v>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24000</x:v>
      </x:c>
      <x:c r="I8" s="19" t="n">
        <x:f>C8+F8</x:f>
        <x:v>0</x:v>
      </x:c>
      <x:c r="J8" s="19" t="n">
        <x:f>H8-I8</x:f>
        <x:v>24000</x:v>
      </x:c>
      <x:c r="K8" s="19" t="n">
        <x:f>K7+J8</x:f>
        <x:v>-21000</x:v>
      </x:c>
      <x:c r="L8" s="20" t="n">
        <x:v>1</x:v>
      </x:c>
      <x:c r="M8" s="20" t="n">
        <x:v>0</x:v>
      </x:c>
      <x:c r="N8" s="20" t="n">
        <x:v>1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-57000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0</x:v>
      </x:c>
      <x:c r="D10" s="19" t="n">
        <x:f>B10-C10</x:f>
        <x:v>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0</x:v>
      </x:c>
      <x:c r="J10" s="19" t="n">
        <x:f>H10-I10</x:f>
        <x:v>20000</x:v>
      </x:c>
      <x:c r="K10" s="19" t="n">
        <x:f>K9+J10</x:f>
        <x:v>-37000</x:v>
      </x:c>
      <x:c r="L10" s="20" t="n">
        <x:v>2</x:v>
      </x:c>
      <x:c r="M10" s="20" t="n">
        <x:v>0</x:v>
      </x:c>
      <x:c r="N10" s="20" t="n">
        <x:v>2</x:v>
      </x:c>
      <x:c r="O10" s="20" t="n">
        <x:v>2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-36000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-56000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9000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52000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</x:row>
    <x:row r="15" ht="23" customHeight="1">
      <x:c r="A15" s="2" t="str">
        <x:v>2026-10-01_Night</x:v>
      </x:c>
      <x:c r="B15" s="19" t="n">
        <x:v>17000</x:v>
      </x:c>
      <x:c r="C15" s="19" t="n">
        <x:v>18000</x:v>
      </x:c>
      <x:c r="D15" s="19" t="n">
        <x:f>B15-C15</x:f>
        <x:v>-1000</x:v>
      </x:c>
      <x:c r="E15" s="19" t="n">
        <x:v>190000</x:v>
      </x:c>
      <x:c r="F15" s="19" t="n">
        <x:v>80000</x:v>
      </x:c>
      <x:c r="G15" s="19" t="n">
        <x:f>E15-F15</x:f>
        <x:v>110000</x:v>
      </x:c>
      <x:c r="H15" s="19" t="n">
        <x:f>B15+E15</x:f>
        <x:v>207000</x:v>
      </x:c>
      <x:c r="I15" s="19" t="n">
        <x:f>C15+F15</x:f>
        <x:v>98000</x:v>
      </x:c>
      <x:c r="J15" s="19" t="n">
        <x:f>H15-I15</x:f>
        <x:v>109000</x:v>
      </x:c>
      <x:c r="K15" s="19" t="n">
        <x:f>K14+J15</x:f>
        <x:v>161000</x:v>
      </x:c>
      <x:c r="L15" s="20" t="n">
        <x:v>13</x:v>
      </x:c>
      <x:c r="M15" s="20" t="n">
        <x:v>5</x:v>
      </x:c>
      <x:c r="N15" s="20" t="n">
        <x:v>8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417000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451000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441000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398000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</x:row>
    <x:row r="20" ht="23" customHeight="1">
      <x:c r="A20" s="2" t="str">
        <x:v>2026-10-08_Night</x:v>
      </x:c>
      <x:c r="B20" s="19" t="n">
        <x:v>5000</x:v>
      </x:c>
      <x:c r="C20" s="19" t="n">
        <x:v>0</x:v>
      </x:c>
      <x:c r="D20" s="19" t="n">
        <x:f>B20-C20</x:f>
        <x:v>5000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20000</x:v>
      </x:c>
      <x:c r="J20" s="19" t="n">
        <x:f>H20-I20</x:f>
        <x:v>311000</x:v>
      </x:c>
      <x:c r="K20" s="19" t="n">
        <x:f>K19+J20</x:f>
        <x:v>709000</x:v>
      </x:c>
      <x:c r="L20" s="20" t="n">
        <x:v>17</x:v>
      </x:c>
      <x:c r="M20" s="20" t="n">
        <x:v>2</x:v>
      </x:c>
      <x:c r="N20" s="20" t="n">
        <x:v>15</x:v>
      </x:c>
      <x:c r="O20" s="20" t="n">
        <x:v>8</x:v>
      </x:c>
    </x:row>
    <x:row r="21" ht="23" customHeight="1">
      <x:c r="A21" s="2" t="str">
        <x:v>2026-10-09_Night</x:v>
      </x:c>
      <x:c r="B21" s="19" t="n">
        <x:v>0</x:v>
      </x:c>
      <x:c r="C21" s="19" t="n">
        <x:v>0</x:v>
      </x:c>
      <x:c r="D21" s="19" t="n">
        <x:f>B21-C21</x:f>
        <x:v>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0</x:v>
      </x:c>
      <x:c r="J21" s="19" t="n">
        <x:f>H21-I21</x:f>
        <x:v>14000</x:v>
      </x:c>
      <x:c r="K21" s="19" t="n">
        <x:f>K20+J21</x:f>
        <x:v>723000</x:v>
      </x:c>
      <x:c r="L21" s="20" t="n">
        <x:v>1</x:v>
      </x:c>
      <x:c r="M21" s="20" t="n">
        <x:v>0</x:v>
      </x:c>
      <x:c r="N21" s="20" t="n">
        <x:v>1</x:v>
      </x:c>
      <x:c r="O21" s="20" t="n">
        <x:v>5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805000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0</x:v>
      </x:c>
      <x:c r="D23" s="19" t="n">
        <x:f>B23-C23</x:f>
        <x:v>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53000</x:v>
      </x:c>
      <x:c r="J23" s="19" t="n">
        <x:f>H23-I23</x:f>
        <x:v>-53000</x:v>
      </x:c>
      <x:c r="K23" s="19" t="n">
        <x:f>K22+J23</x:f>
        <x:v>752000</x:v>
      </x:c>
      <x:c r="L23" s="20" t="n">
        <x:v>2</x:v>
      </x:c>
      <x:c r="M23" s="20" t="n">
        <x:v>0</x:v>
      </x:c>
      <x:c r="N23" s="20" t="n">
        <x:v>2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0</x:v>
      </x:c>
      <x:c r="D24" s="19" t="n">
        <x:f>B24-C24</x:f>
        <x:v>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61000</x:v>
      </x:c>
      <x:c r="J24" s="19" t="n">
        <x:f>H24-I24</x:f>
        <x:v>136000</x:v>
      </x:c>
      <x:c r="K24" s="19" t="n">
        <x:f>K23+J24</x:f>
        <x:v>888000</x:v>
      </x:c>
      <x:c r="L24" s="20" t="n">
        <x:v>4</x:v>
      </x:c>
      <x:c r="M24" s="20" t="n">
        <x:v>0</x:v>
      </x:c>
      <x:c r="N24" s="20" t="n">
        <x:v>4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910000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0</x:v>
      </x:c>
      <x:c r="D26" s="19" t="n">
        <x:f>B26-C26</x:f>
        <x:v>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126000</x:v>
      </x:c>
      <x:c r="J26" s="19" t="n">
        <x:f>H26-I26</x:f>
        <x:v>32000</x:v>
      </x:c>
      <x:c r="K26" s="19" t="n">
        <x:f>K25+J26</x:f>
        <x:v>942000</x:v>
      </x:c>
      <x:c r="L26" s="20" t="n">
        <x:v>13</x:v>
      </x:c>
      <x:c r="M26" s="20" t="n">
        <x:v>0</x:v>
      </x:c>
      <x:c r="N26" s="20" t="n">
        <x:v>13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934000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1034000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1010000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</x:row>
    <x:row r="30" ht="23" customHeight="1">
      <x:c r="A30" s="2" t="str">
        <x:v>2026-10-22_Night</x:v>
      </x:c>
      <x:c r="B30" s="19" t="n">
        <x:v>0</x:v>
      </x:c>
      <x:c r="C30" s="19" t="n">
        <x:v>0</x:v>
      </x:c>
      <x:c r="D30" s="19" t="n">
        <x:f>B30-C30</x:f>
        <x:v>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0</x:v>
      </x:c>
      <x:c r="J30" s="19" t="n">
        <x:f>H30-I30</x:f>
        <x:v>156000</x:v>
      </x:c>
      <x:c r="K30" s="19" t="n">
        <x:f>K29+J30</x:f>
        <x:v>1166000</x:v>
      </x:c>
      <x:c r="L30" s="20" t="n">
        <x:v>3</x:v>
      </x:c>
      <x:c r="M30" s="20" t="n">
        <x:v>0</x:v>
      </x:c>
      <x:c r="N30" s="20" t="n">
        <x:v>3</x:v>
      </x:c>
      <x:c r="O30" s="20" t="n">
        <x:v>6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1153000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</x:row>
    <x:row r="32" ht="23" customHeight="1">
      <x:c r="A32" s="24" t="str">
        <x:v>25夜累計</x:v>
      </x:c>
      <x:c r="B32" s="25" t="n">
        <x:f>SUM(B7:B31)</x:f>
        <x:v>68000</x:v>
      </x:c>
      <x:c r="C32" s="25" t="n">
        <x:f>SUM(C7:C31)</x:f>
        <x:v>70000</x:v>
      </x:c>
      <x:c r="D32" s="25" t="n">
        <x:f>B32-C32</x:f>
        <x:v>-2000</x:v>
      </x:c>
      <x:c r="E32" s="25" t="n">
        <x:f>SUM(E7:E31)</x:f>
        <x:v>2092000</x:v>
      </x:c>
      <x:c r="F32" s="25" t="n">
        <x:f>SUM(F7:F31)</x:f>
        <x:v>937000</x:v>
      </x:c>
      <x:c r="G32" s="25" t="n">
        <x:f>E32-F32</x:f>
        <x:v>1155000</x:v>
      </x:c>
      <x:c r="H32" s="25" t="n">
        <x:f>B32+E32</x:f>
        <x:v>2160000</x:v>
      </x:c>
      <x:c r="I32" s="25" t="n">
        <x:f>C32+F32</x:f>
        <x:v>1007000</x:v>
      </x:c>
      <x:c r="J32" s="25" t="n">
        <x:f>H32-I32</x:f>
        <x:v>1153000</x:v>
      </x:c>
      <x:c r="K32" s="25" t="n">
        <x:f>K31</x:f>
        <x:v>1153000</x:v>
      </x:c>
      <x:c r="L32" s="26" t="n">
        <x:f>SUM(L7:L31)</x:f>
        <x:v>150</x:v>
      </x:c>
      <x:c r="M32" s="26" t="n">
        <x:f>SUM(M7:M31)</x:f>
        <x:v>16</x:v>
      </x:c>
      <x:c r="N32" s="26" t="n">
        <x:f>SUM(N7:N31)</x:f>
        <x:v>134</x:v>
      </x:c>
      <x:c r="O32" s="26" t="n">
        <x:f>MAX(O7:O31)</x:f>
        <x:v>10</x:v>
      </x:c>
    </x:row>
  </x:sheetData>
  <x:conditionalFormatting sqref="B7:K32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b988caf7524638"/>
  </x:tableParts>
</x:worksheet>
</file>

<file path=xl/worksheets/sheet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C01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主担当だけ17時から解禁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0</x:v>
      </x:c>
      <x:c r="F8" s="19" t="n">
        <x:v>0</x:v>
      </x:c>
      <x:c r="G8" s="19" t="n">
        <x:f>E8-F8</x:f>
        <x:v>0</x:v>
      </x:c>
      <x:c r="H8" s="19" t="n">
        <x:f>B8+E8</x:f>
        <x:v>34000</x:v>
      </x:c>
      <x:c r="I8" s="19" t="n">
        <x:f>C8+F8</x:f>
        <x:v>0</x:v>
      </x:c>
      <x:c r="J8" s="19" t="n">
        <x:f>H8-I8</x:f>
        <x:v>34000</x:v>
      </x:c>
      <x:c r="K8" s="19" t="n">
        <x:f>K7+J8</x:f>
        <x:v>-11000</x:v>
      </x:c>
      <x:c r="L8" s="20" t="n">
        <x:v>1</x:v>
      </x:c>
      <x:c r="M8" s="20" t="n">
        <x:v>1</x:v>
      </x:c>
      <x:c r="N8" s="20" t="n">
        <x:v>0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33000</x:v>
      </x:c>
      <x:c r="F9" s="19" t="n">
        <x:v>45000</x:v>
      </x:c>
      <x:c r="G9" s="19" t="n">
        <x:f>E9-F9</x:f>
        <x:v>-12000</x:v>
      </x:c>
      <x:c r="H9" s="19" t="n">
        <x:f>B9+E9</x:f>
        <x:v>33000</x:v>
      </x:c>
      <x:c r="I9" s="19" t="n">
        <x:f>C9+F9</x:f>
        <x:v>45000</x:v>
      </x:c>
      <x:c r="J9" s="19" t="n">
        <x:f>H9-I9</x:f>
        <x:v>-12000</x:v>
      </x:c>
      <x:c r="K9" s="19" t="n">
        <x:f>K8+J9</x:f>
        <x:v>-23000</x:v>
      </x:c>
      <x:c r="L9" s="20" t="n">
        <x:v>4</x:v>
      </x:c>
      <x:c r="M9" s="20" t="n">
        <x:v>0</x:v>
      </x:c>
      <x:c r="N9" s="20" t="n">
        <x:v>4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-62000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46000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139000</x:v>
      </x:c>
      <x:c r="F15" s="19" t="n">
        <x:v>80000</x:v>
      </x:c>
      <x:c r="G15" s="19" t="n">
        <x:f>E15-F15</x:f>
        <x:v>59000</x:v>
      </x:c>
      <x:c r="H15" s="19" t="n">
        <x:f>B15+E15</x:f>
        <x:v>156000</x:v>
      </x:c>
      <x:c r="I15" s="19" t="n">
        <x:f>C15+F15</x:f>
        <x:v>138000</x:v>
      </x:c>
      <x:c r="J15" s="19" t="n">
        <x:f>H15-I15</x:f>
        <x:v>18000</x:v>
      </x:c>
      <x:c r="K15" s="19" t="n">
        <x:f>K14+J15</x:f>
        <x:v>64000</x:v>
      </x:c>
      <x:c r="L15" s="20" t="n">
        <x:v>13</x:v>
      </x:c>
      <x:c r="M15" s="20" t="n">
        <x:v>6</x:v>
      </x:c>
      <x:c r="N15" s="20" t="n">
        <x:v>7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320000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354000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344000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301000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277000</x:v>
      </x:c>
      <x:c r="F20" s="19" t="n">
        <x:v>20000</x:v>
      </x:c>
      <x:c r="G20" s="19" t="n">
        <x:f>E20-F20</x:f>
        <x:v>257000</x:v>
      </x:c>
      <x:c r="H20" s="19" t="n">
        <x:f>B20+E20</x:f>
        <x:v>282000</x:v>
      </x:c>
      <x:c r="I20" s="19" t="n">
        <x:f>C20+F20</x:f>
        <x:v>65000</x:v>
      </x:c>
      <x:c r="J20" s="19" t="n">
        <x:f>H20-I20</x:f>
        <x:v>217000</x:v>
      </x:c>
      <x:c r="K20" s="19" t="n">
        <x:f>K19+J20</x:f>
        <x:v>518000</x:v>
      </x:c>
      <x:c r="L20" s="20" t="n">
        <x:v>17</x:v>
      </x:c>
      <x:c r="M20" s="20" t="n">
        <x:v>3</x:v>
      </x:c>
      <x:c r="N20" s="20" t="n">
        <x:v>14</x:v>
      </x:c>
      <x:c r="O20" s="20" t="n">
        <x:v>8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0</x:v>
      </x:c>
      <x:c r="F21" s="19" t="n">
        <x:v>0</x:v>
      </x:c>
      <x:c r="G21" s="19" t="n">
        <x:f>E21-F21</x:f>
        <x:v>0</x:v>
      </x:c>
      <x:c r="H21" s="19" t="n">
        <x:f>B21+E21</x:f>
        <x:v>0</x:v>
      </x:c>
      <x:c r="I21" s="19" t="n">
        <x:f>C21+F21</x:f>
        <x:v>30000</x:v>
      </x:c>
      <x:c r="J21" s="19" t="n">
        <x:f>H21-I21</x:f>
        <x:v>-30000</x:v>
      </x:c>
      <x:c r="K21" s="19" t="n">
        <x:f>K20+J21</x:f>
        <x:v>488000</x:v>
      </x:c>
      <x:c r="L21" s="20" t="n">
        <x:v>1</x:v>
      </x:c>
      <x:c r="M21" s="20" t="n">
        <x:v>1</x:v>
      </x:c>
      <x:c r="N21" s="20" t="n">
        <x:v>0</x:v>
      </x:c>
      <x:c r="O21" s="20" t="n">
        <x:v>5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570000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8000</x:v>
      </x:c>
      <x:c r="G23" s="19" t="n">
        <x:f>E23-F23</x:f>
        <x:v>-8000</x:v>
      </x:c>
      <x:c r="H23" s="19" t="n">
        <x:f>B23+E23</x:f>
        <x:v>0</x:v>
      </x:c>
      <x:c r="I23" s="19" t="n">
        <x:f>C23+F23</x:f>
        <x:v>53000</x:v>
      </x:c>
      <x:c r="J23" s="19" t="n">
        <x:f>H23-I23</x:f>
        <x:v>-53000</x:v>
      </x:c>
      <x:c r="K23" s="19" t="n">
        <x:f>K22+J23</x:f>
        <x:v>517000</x:v>
      </x:c>
      <x:c r="L23" s="20" t="n">
        <x:v>2</x:v>
      </x:c>
      <x:c r="M23" s="20" t="n">
        <x:v>1</x:v>
      </x:c>
      <x:c r="N23" s="20" t="n">
        <x:v>1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43000</x:v>
      </x:c>
      <x:c r="G24" s="19" t="n">
        <x:f>E24-F24</x:f>
        <x:v>154000</x:v>
      </x:c>
      <x:c r="H24" s="19" t="n">
        <x:f>B24+E24</x:f>
        <x:v>197000</x:v>
      </x:c>
      <x:c r="I24" s="19" t="n">
        <x:f>C24+F24</x:f>
        <x:v>68000</x:v>
      </x:c>
      <x:c r="J24" s="19" t="n">
        <x:f>H24-I24</x:f>
        <x:v>129000</x:v>
      </x:c>
      <x:c r="K24" s="19" t="n">
        <x:f>K23+J24</x:f>
        <x:v>646000</x:v>
      </x:c>
      <x:c r="L24" s="20" t="n">
        <x:v>4</x:v>
      </x:c>
      <x:c r="M24" s="20" t="n">
        <x:v>1</x:v>
      </x:c>
      <x:c r="N24" s="20" t="n">
        <x:v>3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668000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147000</x:v>
      </x:c>
      <x:c r="F26" s="19" t="n">
        <x:v>126000</x:v>
      </x:c>
      <x:c r="G26" s="19" t="n">
        <x:f>E26-F26</x:f>
        <x:v>21000</x:v>
      </x:c>
      <x:c r="H26" s="19" t="n">
        <x:f>B26+E26</x:f>
        <x:v>147000</x:v>
      </x:c>
      <x:c r="I26" s="19" t="n">
        <x:f>C26+F26</x:f>
        <x:v>171000</x:v>
      </x:c>
      <x:c r="J26" s="19" t="n">
        <x:f>H26-I26</x:f>
        <x:v>-24000</x:v>
      </x:c>
      <x:c r="K26" s="19" t="n">
        <x:f>K25+J26</x:f>
        <x:v>644000</x:v>
      </x:c>
      <x:c r="L26" s="20" t="n">
        <x:v>13</x:v>
      </x:c>
      <x:c r="M26" s="20" t="n">
        <x:v>1</x:v>
      </x:c>
      <x:c r="N26" s="20" t="n">
        <x:v>12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636000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736000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712000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833000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820000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</x:row>
    <x:row r="32" ht="23" customHeight="1">
      <x:c r="A32" s="24" t="str">
        <x:v>25夜累計</x:v>
      </x:c>
      <x:c r="B32" s="25" t="n">
        <x:f>SUM(B7:B31)</x:f>
        <x:v>102000</x:v>
      </x:c>
      <x:c r="C32" s="25" t="n">
        <x:f>SUM(C7:C31)</x:f>
        <x:v>375000</x:v>
      </x:c>
      <x:c r="D32" s="25" t="n">
        <x:f>B32-C32</x:f>
        <x:v>-273000</x:v>
      </x:c>
      <x:c r="E32" s="25" t="n">
        <x:f>SUM(E7:E31)</x:f>
        <x:v>1972000</x:v>
      </x:c>
      <x:c r="F32" s="25" t="n">
        <x:f>SUM(F7:F31)</x:f>
        <x:v>879000</x:v>
      </x:c>
      <x:c r="G32" s="25" t="n">
        <x:f>E32-F32</x:f>
        <x:v>1093000</x:v>
      </x:c>
      <x:c r="H32" s="25" t="n">
        <x:f>B32+E32</x:f>
        <x:v>2074000</x:v>
      </x:c>
      <x:c r="I32" s="25" t="n">
        <x:f>C32+F32</x:f>
        <x:v>1254000</x:v>
      </x:c>
      <x:c r="J32" s="25" t="n">
        <x:f>H32-I32</x:f>
        <x:v>820000</x:v>
      </x:c>
      <x:c r="K32" s="25" t="n">
        <x:f>K31</x:f>
        <x:v>820000</x:v>
      </x:c>
      <x:c r="L32" s="26" t="n">
        <x:f>SUM(L7:L31)</x:f>
        <x:v>153</x:v>
      </x:c>
      <x:c r="M32" s="26" t="n">
        <x:f>SUM(M7:M31)</x:f>
        <x:v>25</x:v>
      </x:c>
      <x:c r="N32" s="26" t="n">
        <x:f>SUM(N7:N31)</x:f>
        <x:v>128</x:v>
      </x:c>
      <x:c r="O32" s="26" t="n">
        <x:f>MAX(O7:O31)</x:f>
        <x:v>10</x:v>
      </x:c>
    </x:row>
  </x:sheetData>
  <x:conditionalFormatting sqref="B7:K32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9304298591415f"/>
  </x:tableParts>
</x:worksheet>
</file>

<file path=xl/worksheets/sheet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C02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主担当だけ19時から解禁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</x:row>
    <x:row r="8" ht="23" customHeight="1">
      <x:c r="A8" s="2" t="str">
        <x:v>2026-09-22_Night</x:v>
      </x:c>
      <x:c r="B8" s="19" t="n">
        <x:v>0</x:v>
      </x:c>
      <x:c r="C8" s="19" t="n">
        <x:v>0</x:v>
      </x:c>
      <x:c r="D8" s="19" t="n">
        <x:f>B8-C8</x:f>
        <x:v>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24000</x:v>
      </x:c>
      <x:c r="I8" s="19" t="n">
        <x:f>C8+F8</x:f>
        <x:v>0</x:v>
      </x:c>
      <x:c r="J8" s="19" t="n">
        <x:f>H8-I8</x:f>
        <x:v>24000</x:v>
      </x:c>
      <x:c r="K8" s="19" t="n">
        <x:f>K7+J8</x:f>
        <x:v>-21000</x:v>
      </x:c>
      <x:c r="L8" s="20" t="n">
        <x:v>1</x:v>
      </x:c>
      <x:c r="M8" s="20" t="n">
        <x:v>0</x:v>
      </x:c>
      <x:c r="N8" s="20" t="n">
        <x:v>1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33000</x:v>
      </x:c>
      <x:c r="F9" s="19" t="n">
        <x:v>45000</x:v>
      </x:c>
      <x:c r="G9" s="19" t="n">
        <x:f>E9-F9</x:f>
        <x:v>-12000</x:v>
      </x:c>
      <x:c r="H9" s="19" t="n">
        <x:f>B9+E9</x:f>
        <x:v>33000</x:v>
      </x:c>
      <x:c r="I9" s="19" t="n">
        <x:f>C9+F9</x:f>
        <x:v>45000</x:v>
      </x:c>
      <x:c r="J9" s="19" t="n">
        <x:f>H9-I9</x:f>
        <x:v>-12000</x:v>
      </x:c>
      <x:c r="K9" s="19" t="n">
        <x:f>K8+J9</x:f>
        <x:v>-33000</x:v>
      </x:c>
      <x:c r="L9" s="20" t="n">
        <x:v>4</x:v>
      </x:c>
      <x:c r="M9" s="20" t="n">
        <x:v>0</x:v>
      </x:c>
      <x:c r="N9" s="20" t="n">
        <x:v>4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-53000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-52000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-72000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-7000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36000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139000</x:v>
      </x:c>
      <x:c r="F15" s="19" t="n">
        <x:v>80000</x:v>
      </x:c>
      <x:c r="G15" s="19" t="n">
        <x:f>E15-F15</x:f>
        <x:v>59000</x:v>
      </x:c>
      <x:c r="H15" s="19" t="n">
        <x:f>B15+E15</x:f>
        <x:v>156000</x:v>
      </x:c>
      <x:c r="I15" s="19" t="n">
        <x:f>C15+F15</x:f>
        <x:v>138000</x:v>
      </x:c>
      <x:c r="J15" s="19" t="n">
        <x:f>H15-I15</x:f>
        <x:v>18000</x:v>
      </x:c>
      <x:c r="K15" s="19" t="n">
        <x:f>K14+J15</x:f>
        <x:v>54000</x:v>
      </x:c>
      <x:c r="L15" s="20" t="n">
        <x:v>13</x:v>
      </x:c>
      <x:c r="M15" s="20" t="n">
        <x:v>6</x:v>
      </x:c>
      <x:c r="N15" s="20" t="n">
        <x:v>7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310000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344000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334000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291000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277000</x:v>
      </x:c>
      <x:c r="F20" s="19" t="n">
        <x:v>20000</x:v>
      </x:c>
      <x:c r="G20" s="19" t="n">
        <x:f>E20-F20</x:f>
        <x:v>257000</x:v>
      </x:c>
      <x:c r="H20" s="19" t="n">
        <x:f>B20+E20</x:f>
        <x:v>282000</x:v>
      </x:c>
      <x:c r="I20" s="19" t="n">
        <x:f>C20+F20</x:f>
        <x:v>65000</x:v>
      </x:c>
      <x:c r="J20" s="19" t="n">
        <x:f>H20-I20</x:f>
        <x:v>217000</x:v>
      </x:c>
      <x:c r="K20" s="19" t="n">
        <x:f>K19+J20</x:f>
        <x:v>508000</x:v>
      </x:c>
      <x:c r="L20" s="20" t="n">
        <x:v>17</x:v>
      </x:c>
      <x:c r="M20" s="20" t="n">
        <x:v>3</x:v>
      </x:c>
      <x:c r="N20" s="20" t="n">
        <x:v>14</x:v>
      </x:c>
      <x:c r="O20" s="20" t="n">
        <x:v>8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0</x:v>
      </x:c>
      <x:c r="F21" s="19" t="n">
        <x:v>0</x:v>
      </x:c>
      <x:c r="G21" s="19" t="n">
        <x:f>E21-F21</x:f>
        <x:v>0</x:v>
      </x:c>
      <x:c r="H21" s="19" t="n">
        <x:f>B21+E21</x:f>
        <x:v>0</x:v>
      </x:c>
      <x:c r="I21" s="19" t="n">
        <x:f>C21+F21</x:f>
        <x:v>30000</x:v>
      </x:c>
      <x:c r="J21" s="19" t="n">
        <x:f>H21-I21</x:f>
        <x:v>-30000</x:v>
      </x:c>
      <x:c r="K21" s="19" t="n">
        <x:f>K20+J21</x:f>
        <x:v>478000</x:v>
      </x:c>
      <x:c r="L21" s="20" t="n">
        <x:v>1</x:v>
      </x:c>
      <x:c r="M21" s="20" t="n">
        <x:v>1</x:v>
      </x:c>
      <x:c r="N21" s="20" t="n">
        <x:v>0</x:v>
      </x:c>
      <x:c r="O21" s="20" t="n">
        <x:v>5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560000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0</x:v>
      </x:c>
      <x:c r="D23" s="19" t="n">
        <x:f>B23-C23</x:f>
        <x:v>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53000</x:v>
      </x:c>
      <x:c r="J23" s="19" t="n">
        <x:f>H23-I23</x:f>
        <x:v>-53000</x:v>
      </x:c>
      <x:c r="K23" s="19" t="n">
        <x:f>K22+J23</x:f>
        <x:v>507000</x:v>
      </x:c>
      <x:c r="L23" s="20" t="n">
        <x:v>2</x:v>
      </x:c>
      <x:c r="M23" s="20" t="n">
        <x:v>0</x:v>
      </x:c>
      <x:c r="N23" s="20" t="n">
        <x:v>2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43000</x:v>
      </x:c>
      <x:c r="G24" s="19" t="n">
        <x:f>E24-F24</x:f>
        <x:v>154000</x:v>
      </x:c>
      <x:c r="H24" s="19" t="n">
        <x:f>B24+E24</x:f>
        <x:v>197000</x:v>
      </x:c>
      <x:c r="I24" s="19" t="n">
        <x:f>C24+F24</x:f>
        <x:v>68000</x:v>
      </x:c>
      <x:c r="J24" s="19" t="n">
        <x:f>H24-I24</x:f>
        <x:v>129000</x:v>
      </x:c>
      <x:c r="K24" s="19" t="n">
        <x:f>K23+J24</x:f>
        <x:v>636000</x:v>
      </x:c>
      <x:c r="L24" s="20" t="n">
        <x:v>4</x:v>
      </x:c>
      <x:c r="M24" s="20" t="n">
        <x:v>1</x:v>
      </x:c>
      <x:c r="N24" s="20" t="n">
        <x:v>3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658000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0</x:v>
      </x:c>
      <x:c r="D26" s="19" t="n">
        <x:f>B26-C26</x:f>
        <x:v>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126000</x:v>
      </x:c>
      <x:c r="J26" s="19" t="n">
        <x:f>H26-I26</x:f>
        <x:v>32000</x:v>
      </x:c>
      <x:c r="K26" s="19" t="n">
        <x:f>K25+J26</x:f>
        <x:v>690000</x:v>
      </x:c>
      <x:c r="L26" s="20" t="n">
        <x:v>13</x:v>
      </x:c>
      <x:c r="M26" s="20" t="n">
        <x:v>0</x:v>
      </x:c>
      <x:c r="N26" s="20" t="n">
        <x:v>13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682000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782000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758000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879000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866000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</x:row>
    <x:row r="32" ht="23" customHeight="1">
      <x:c r="A32" s="24" t="str">
        <x:v>25夜累計</x:v>
      </x:c>
      <x:c r="B32" s="25" t="n">
        <x:f>SUM(B7:B31)</x:f>
        <x:v>68000</x:v>
      </x:c>
      <x:c r="C32" s="25" t="n">
        <x:f>SUM(C7:C31)</x:f>
        <x:v>285000</x:v>
      </x:c>
      <x:c r="D32" s="25" t="n">
        <x:f>B32-C32</x:f>
        <x:v>-217000</x:v>
      </x:c>
      <x:c r="E32" s="25" t="n">
        <x:f>SUM(E7:E31)</x:f>
        <x:v>2007000</x:v>
      </x:c>
      <x:c r="F32" s="25" t="n">
        <x:f>SUM(F7:F31)</x:f>
        <x:v>924000</x:v>
      </x:c>
      <x:c r="G32" s="25" t="n">
        <x:f>E32-F32</x:f>
        <x:v>1083000</x:v>
      </x:c>
      <x:c r="H32" s="25" t="n">
        <x:f>B32+E32</x:f>
        <x:v>2075000</x:v>
      </x:c>
      <x:c r="I32" s="25" t="n">
        <x:f>C32+F32</x:f>
        <x:v>1209000</x:v>
      </x:c>
      <x:c r="J32" s="25" t="n">
        <x:f>H32-I32</x:f>
        <x:v>866000</x:v>
      </x:c>
      <x:c r="K32" s="25" t="n">
        <x:f>K31</x:f>
        <x:v>866000</x:v>
      </x:c>
      <x:c r="L32" s="26" t="n">
        <x:f>SUM(L7:L31)</x:f>
        <x:v>153</x:v>
      </x:c>
      <x:c r="M32" s="26" t="n">
        <x:f>SUM(M7:M31)</x:f>
        <x:v>22</x:v>
      </x:c>
      <x:c r="N32" s="26" t="n">
        <x:f>SUM(N7:N31)</x:f>
        <x:v>131</x:v>
      </x:c>
      <x:c r="O32" s="26" t="n">
        <x:f>MAX(O7:O31)</x:f>
        <x:v>10</x:v>
      </x:c>
    </x:row>
  </x:sheetData>
  <x:conditionalFormatting sqref="B7:K32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c7e87902344417"/>
  </x:tableParts>
</x:worksheet>
</file>

<file path=xl/worksheets/sheet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C03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主担当だけ21時から解禁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</x:row>
    <x:row r="8" ht="23" customHeight="1">
      <x:c r="A8" s="2" t="str">
        <x:v>2026-09-22_Night</x:v>
      </x:c>
      <x:c r="B8" s="19" t="n">
        <x:v>0</x:v>
      </x:c>
      <x:c r="C8" s="19" t="n">
        <x:v>0</x:v>
      </x:c>
      <x:c r="D8" s="19" t="n">
        <x:f>B8-C8</x:f>
        <x:v>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24000</x:v>
      </x:c>
      <x:c r="I8" s="19" t="n">
        <x:f>C8+F8</x:f>
        <x:v>0</x:v>
      </x:c>
      <x:c r="J8" s="19" t="n">
        <x:f>H8-I8</x:f>
        <x:v>24000</x:v>
      </x:c>
      <x:c r="K8" s="19" t="n">
        <x:f>K7+J8</x:f>
        <x:v>-21000</x:v>
      </x:c>
      <x:c r="L8" s="20" t="n">
        <x:v>1</x:v>
      </x:c>
      <x:c r="M8" s="20" t="n">
        <x:v>0</x:v>
      </x:c>
      <x:c r="N8" s="20" t="n">
        <x:v>1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33000</x:v>
      </x:c>
      <x:c r="F9" s="19" t="n">
        <x:v>45000</x:v>
      </x:c>
      <x:c r="G9" s="19" t="n">
        <x:f>E9-F9</x:f>
        <x:v>-12000</x:v>
      </x:c>
      <x:c r="H9" s="19" t="n">
        <x:f>B9+E9</x:f>
        <x:v>33000</x:v>
      </x:c>
      <x:c r="I9" s="19" t="n">
        <x:f>C9+F9</x:f>
        <x:v>45000</x:v>
      </x:c>
      <x:c r="J9" s="19" t="n">
        <x:f>H9-I9</x:f>
        <x:v>-12000</x:v>
      </x:c>
      <x:c r="K9" s="19" t="n">
        <x:f>K8+J9</x:f>
        <x:v>-33000</x:v>
      </x:c>
      <x:c r="L9" s="20" t="n">
        <x:v>4</x:v>
      </x:c>
      <x:c r="M9" s="20" t="n">
        <x:v>0</x:v>
      </x:c>
      <x:c r="N9" s="20" t="n">
        <x:v>4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0</x:v>
      </x:c>
      <x:c r="D10" s="19" t="n">
        <x:f>B10-C10</x:f>
        <x:v>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0</x:v>
      </x:c>
      <x:c r="J10" s="19" t="n">
        <x:f>H10-I10</x:f>
        <x:v>20000</x:v>
      </x:c>
      <x:c r="K10" s="19" t="n">
        <x:f>K9+J10</x:f>
        <x:v>-13000</x:v>
      </x:c>
      <x:c r="L10" s="20" t="n">
        <x:v>2</x:v>
      </x:c>
      <x:c r="M10" s="20" t="n">
        <x:v>0</x:v>
      </x:c>
      <x:c r="N10" s="20" t="n">
        <x:v>2</x:v>
      </x:c>
      <x:c r="O10" s="20" t="n">
        <x:v>2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-12000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-32000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76000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</x:row>
    <x:row r="15" ht="23" customHeight="1">
      <x:c r="A15" s="2" t="str">
        <x:v>2026-10-01_Night</x:v>
      </x:c>
      <x:c r="B15" s="19" t="n">
        <x:v>17000</x:v>
      </x:c>
      <x:c r="C15" s="19" t="n">
        <x:v>18000</x:v>
      </x:c>
      <x:c r="D15" s="19" t="n">
        <x:f>B15-C15</x:f>
        <x:v>-1000</x:v>
      </x:c>
      <x:c r="E15" s="19" t="n">
        <x:v>190000</x:v>
      </x:c>
      <x:c r="F15" s="19" t="n">
        <x:v>80000</x:v>
      </x:c>
      <x:c r="G15" s="19" t="n">
        <x:f>E15-F15</x:f>
        <x:v>110000</x:v>
      </x:c>
      <x:c r="H15" s="19" t="n">
        <x:f>B15+E15</x:f>
        <x:v>207000</x:v>
      </x:c>
      <x:c r="I15" s="19" t="n">
        <x:f>C15+F15</x:f>
        <x:v>98000</x:v>
      </x:c>
      <x:c r="J15" s="19" t="n">
        <x:f>H15-I15</x:f>
        <x:v>109000</x:v>
      </x:c>
      <x:c r="K15" s="19" t="n">
        <x:f>K14+J15</x:f>
        <x:v>185000</x:v>
      </x:c>
      <x:c r="L15" s="20" t="n">
        <x:v>13</x:v>
      </x:c>
      <x:c r="M15" s="20" t="n">
        <x:v>5</x:v>
      </x:c>
      <x:c r="N15" s="20" t="n">
        <x:v>8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441000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475000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465000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422000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</x:row>
    <x:row r="20" ht="23" customHeight="1">
      <x:c r="A20" s="2" t="str">
        <x:v>2026-10-08_Night</x:v>
      </x:c>
      <x:c r="B20" s="19" t="n">
        <x:v>5000</x:v>
      </x:c>
      <x:c r="C20" s="19" t="n">
        <x:v>0</x:v>
      </x:c>
      <x:c r="D20" s="19" t="n">
        <x:f>B20-C20</x:f>
        <x:v>5000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20000</x:v>
      </x:c>
      <x:c r="J20" s="19" t="n">
        <x:f>H20-I20</x:f>
        <x:v>311000</x:v>
      </x:c>
      <x:c r="K20" s="19" t="n">
        <x:f>K19+J20</x:f>
        <x:v>733000</x:v>
      </x:c>
      <x:c r="L20" s="20" t="n">
        <x:v>17</x:v>
      </x:c>
      <x:c r="M20" s="20" t="n">
        <x:v>2</x:v>
      </x:c>
      <x:c r="N20" s="20" t="n">
        <x:v>15</x:v>
      </x:c>
      <x:c r="O20" s="20" t="n">
        <x:v>8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0</x:v>
      </x:c>
      <x:c r="F21" s="19" t="n">
        <x:v>0</x:v>
      </x:c>
      <x:c r="G21" s="19" t="n">
        <x:f>E21-F21</x:f>
        <x:v>0</x:v>
      </x:c>
      <x:c r="H21" s="19" t="n">
        <x:f>B21+E21</x:f>
        <x:v>0</x:v>
      </x:c>
      <x:c r="I21" s="19" t="n">
        <x:f>C21+F21</x:f>
        <x:v>30000</x:v>
      </x:c>
      <x:c r="J21" s="19" t="n">
        <x:f>H21-I21</x:f>
        <x:v>-30000</x:v>
      </x:c>
      <x:c r="K21" s="19" t="n">
        <x:f>K20+J21</x:f>
        <x:v>703000</x:v>
      </x:c>
      <x:c r="L21" s="20" t="n">
        <x:v>1</x:v>
      </x:c>
      <x:c r="M21" s="20" t="n">
        <x:v>1</x:v>
      </x:c>
      <x:c r="N21" s="20" t="n">
        <x:v>0</x:v>
      </x:c>
      <x:c r="O21" s="20" t="n">
        <x:v>5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785000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0</x:v>
      </x:c>
      <x:c r="D23" s="19" t="n">
        <x:f>B23-C23</x:f>
        <x:v>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53000</x:v>
      </x:c>
      <x:c r="J23" s="19" t="n">
        <x:f>H23-I23</x:f>
        <x:v>-53000</x:v>
      </x:c>
      <x:c r="K23" s="19" t="n">
        <x:f>K22+J23</x:f>
        <x:v>732000</x:v>
      </x:c>
      <x:c r="L23" s="20" t="n">
        <x:v>2</x:v>
      </x:c>
      <x:c r="M23" s="20" t="n">
        <x:v>0</x:v>
      </x:c>
      <x:c r="N23" s="20" t="n">
        <x:v>2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0</x:v>
      </x:c>
      <x:c r="D24" s="19" t="n">
        <x:f>B24-C24</x:f>
        <x:v>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61000</x:v>
      </x:c>
      <x:c r="J24" s="19" t="n">
        <x:f>H24-I24</x:f>
        <x:v>136000</x:v>
      </x:c>
      <x:c r="K24" s="19" t="n">
        <x:f>K23+J24</x:f>
        <x:v>868000</x:v>
      </x:c>
      <x:c r="L24" s="20" t="n">
        <x:v>4</x:v>
      </x:c>
      <x:c r="M24" s="20" t="n">
        <x:v>0</x:v>
      </x:c>
      <x:c r="N24" s="20" t="n">
        <x:v>4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890000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0</x:v>
      </x:c>
      <x:c r="D26" s="19" t="n">
        <x:f>B26-C26</x:f>
        <x:v>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126000</x:v>
      </x:c>
      <x:c r="J26" s="19" t="n">
        <x:f>H26-I26</x:f>
        <x:v>32000</x:v>
      </x:c>
      <x:c r="K26" s="19" t="n">
        <x:f>K25+J26</x:f>
        <x:v>922000</x:v>
      </x:c>
      <x:c r="L26" s="20" t="n">
        <x:v>13</x:v>
      </x:c>
      <x:c r="M26" s="20" t="n">
        <x:v>0</x:v>
      </x:c>
      <x:c r="N26" s="20" t="n">
        <x:v>13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914000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1014000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990000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</x:row>
    <x:row r="30" ht="23" customHeight="1">
      <x:c r="A30" s="2" t="str">
        <x:v>2026-10-22_Night</x:v>
      </x:c>
      <x:c r="B30" s="19" t="n">
        <x:v>0</x:v>
      </x:c>
      <x:c r="C30" s="19" t="n">
        <x:v>0</x:v>
      </x:c>
      <x:c r="D30" s="19" t="n">
        <x:f>B30-C30</x:f>
        <x:v>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0</x:v>
      </x:c>
      <x:c r="J30" s="19" t="n">
        <x:f>H30-I30</x:f>
        <x:v>156000</x:v>
      </x:c>
      <x:c r="K30" s="19" t="n">
        <x:f>K29+J30</x:f>
        <x:v>1146000</x:v>
      </x:c>
      <x:c r="L30" s="20" t="n">
        <x:v>3</x:v>
      </x:c>
      <x:c r="M30" s="20" t="n">
        <x:v>0</x:v>
      </x:c>
      <x:c r="N30" s="20" t="n">
        <x:v>3</x:v>
      </x:c>
      <x:c r="O30" s="20" t="n">
        <x:v>6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1133000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</x:row>
    <x:row r="32" ht="23" customHeight="1">
      <x:c r="A32" s="24" t="str">
        <x:v>25夜累計</x:v>
      </x:c>
      <x:c r="B32" s="25" t="n">
        <x:f>SUM(B7:B31)</x:f>
        <x:v>68000</x:v>
      </x:c>
      <x:c r="C32" s="25" t="n">
        <x:f>SUM(C7:C31)</x:f>
        <x:v>100000</x:v>
      </x:c>
      <x:c r="D32" s="25" t="n">
        <x:f>B32-C32</x:f>
        <x:v>-32000</x:v>
      </x:c>
      <x:c r="E32" s="25" t="n">
        <x:f>SUM(E7:E31)</x:f>
        <x:v>2107000</x:v>
      </x:c>
      <x:c r="F32" s="25" t="n">
        <x:f>SUM(F7:F31)</x:f>
        <x:v>942000</x:v>
      </x:c>
      <x:c r="G32" s="25" t="n">
        <x:f>E32-F32</x:f>
        <x:v>1165000</x:v>
      </x:c>
      <x:c r="H32" s="25" t="n">
        <x:f>B32+E32</x:f>
        <x:v>2175000</x:v>
      </x:c>
      <x:c r="I32" s="25" t="n">
        <x:f>C32+F32</x:f>
        <x:v>1042000</x:v>
      </x:c>
      <x:c r="J32" s="25" t="n">
        <x:f>H32-I32</x:f>
        <x:v>1133000</x:v>
      </x:c>
      <x:c r="K32" s="25" t="n">
        <x:f>K31</x:f>
        <x:v>1133000</x:v>
      </x:c>
      <x:c r="L32" s="26" t="n">
        <x:f>SUM(L7:L31)</x:f>
        <x:v>151</x:v>
      </x:c>
      <x:c r="M32" s="26" t="n">
        <x:f>SUM(M7:M31)</x:f>
        <x:v>17</x:v>
      </x:c>
      <x:c r="N32" s="26" t="n">
        <x:f>SUM(N7:N31)</x:f>
        <x:v>134</x:v>
      </x:c>
      <x:c r="O32" s="26" t="n">
        <x:f>MAX(O7:O31)</x:f>
        <x:v>10</x:v>
      </x:c>
    </x:row>
  </x:sheetData>
  <x:conditionalFormatting sqref="B7:K32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a1b681dafd4172"/>
  </x:tableParts>
</x:worksheet>
</file>

<file path=xl/worksheets/sheet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C04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主担当枠のZ04補完だけ17時から解禁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52000</x:v>
      </x:c>
      <x:c r="C7" s="19" t="n">
        <x:v>0</x:v>
      </x:c>
      <x:c r="D7" s="19" t="n">
        <x:f>B7-C7</x:f>
        <x:v>52000</x:v>
      </x:c>
      <x:c r="E7" s="19" t="n">
        <x:v>0</x:v>
      </x:c>
      <x:c r="F7" s="19" t="n">
        <x:v>0</x:v>
      </x:c>
      <x:c r="G7" s="19" t="n">
        <x:f>E7-F7</x:f>
        <x:v>0</x:v>
      </x:c>
      <x:c r="H7" s="19" t="n">
        <x:f>B7+E7</x:f>
        <x:v>52000</x:v>
      </x:c>
      <x:c r="I7" s="19" t="n">
        <x:f>C7+F7</x:f>
        <x:v>0</x:v>
      </x:c>
      <x:c r="J7" s="19" t="n">
        <x:f>H7-I7</x:f>
        <x:v>52000</x:v>
      </x:c>
      <x:c r="K7" s="19" t="n">
        <x:f>J7</x:f>
        <x:v>52000</x:v>
      </x:c>
      <x:c r="L7" s="20" t="n">
        <x:v>1</x:v>
      </x:c>
      <x:c r="M7" s="20" t="n">
        <x:v>1</x:v>
      </x:c>
      <x:c r="N7" s="20" t="n">
        <x:v>0</x:v>
      </x:c>
      <x:c r="O7" s="20" t="n">
        <x:v>5</x:v>
      </x:c>
    </x:row>
    <x:row r="8" ht="23" customHeight="1">
      <x:c r="A8" s="2" t="str">
        <x:v>2026-09-22_Night</x:v>
      </x:c>
      <x:c r="B8" s="19" t="n">
        <x:v>17000</x:v>
      </x:c>
      <x:c r="C8" s="19" t="n">
        <x:v>0</x:v>
      </x:c>
      <x:c r="D8" s="19" t="n">
        <x:f>B8-C8</x:f>
        <x:v>17000</x:v>
      </x:c>
      <x:c r="E8" s="19" t="n">
        <x:v>0</x:v>
      </x:c>
      <x:c r="F8" s="19" t="n">
        <x:v>0</x:v>
      </x:c>
      <x:c r="G8" s="19" t="n">
        <x:f>E8-F8</x:f>
        <x:v>0</x:v>
      </x:c>
      <x:c r="H8" s="19" t="n">
        <x:f>B8+E8</x:f>
        <x:v>17000</x:v>
      </x:c>
      <x:c r="I8" s="19" t="n">
        <x:f>C8+F8</x:f>
        <x:v>0</x:v>
      </x:c>
      <x:c r="J8" s="19" t="n">
        <x:f>H8-I8</x:f>
        <x:v>17000</x:v>
      </x:c>
      <x:c r="K8" s="19" t="n">
        <x:f>K7+J8</x:f>
        <x:v>69000</x:v>
      </x:c>
      <x:c r="L8" s="20" t="n">
        <x:v>1</x:v>
      </x:c>
      <x:c r="M8" s="20" t="n">
        <x:v>1</x:v>
      </x:c>
      <x:c r="N8" s="20" t="n">
        <x:v>0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40000</x:v>
      </x:c>
      <x:c r="D9" s="19" t="n">
        <x:f>B9-C9</x:f>
        <x:v>-40000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80000</x:v>
      </x:c>
      <x:c r="J9" s="19" t="n">
        <x:f>H9-I9</x:f>
        <x:v>-76000</x:v>
      </x:c>
      <x:c r="K9" s="19" t="n">
        <x:f>K8+J9</x:f>
        <x:v>-7000</x:v>
      </x:c>
      <x:c r="L9" s="20" t="n">
        <x:v>4</x:v>
      </x:c>
      <x:c r="M9" s="20" t="n">
        <x:v>1</x:v>
      </x:c>
      <x:c r="N9" s="20" t="n">
        <x:v>3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39000</x:v>
      </x:c>
      <x:c r="D10" s="19" t="n">
        <x:f>B10-C10</x:f>
        <x:v>-39000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39000</x:v>
      </x:c>
      <x:c r="J10" s="19" t="n">
        <x:f>H10-I10</x:f>
        <x:v>-19000</x:v>
      </x:c>
      <x:c r="K10" s="19" t="n">
        <x:f>K9+J10</x:f>
        <x:v>-26000</x:v>
      </x:c>
      <x:c r="L10" s="20" t="n">
        <x:v>3</x:v>
      </x:c>
      <x:c r="M10" s="20" t="n">
        <x:v>1</x:v>
      </x:c>
      <x:c r="N10" s="20" t="n">
        <x:v>2</x:v>
      </x:c>
      <x:c r="O10" s="20" t="n">
        <x:v>3</x:v>
      </x:c>
    </x:row>
    <x:row r="11" ht="23" customHeight="1">
      <x:c r="A11" s="2" t="str">
        <x:v>2026-09-25_Night</x:v>
      </x:c>
      <x:c r="B11" s="19" t="n">
        <x:v>26000</x:v>
      </x:c>
      <x:c r="C11" s="19" t="n">
        <x:v>0</x:v>
      </x:c>
      <x:c r="D11" s="19" t="n">
        <x:f>B11-C11</x:f>
        <x:v>26000</x:v>
      </x:c>
      <x:c r="E11" s="19" t="n">
        <x:v>0</x:v>
      </x:c>
      <x:c r="F11" s="19" t="n">
        <x:v>16000</x:v>
      </x:c>
      <x:c r="G11" s="19" t="n">
        <x:f>E11-F11</x:f>
        <x:v>-16000</x:v>
      </x:c>
      <x:c r="H11" s="19" t="n">
        <x:f>B11+E11</x:f>
        <x:v>26000</x:v>
      </x:c>
      <x:c r="I11" s="19" t="n">
        <x:f>C11+F11</x:f>
        <x:v>16000</x:v>
      </x:c>
      <x:c r="J11" s="19" t="n">
        <x:f>H11-I11</x:f>
        <x:v>10000</x:v>
      </x:c>
      <x:c r="K11" s="19" t="n">
        <x:f>K10+J11</x:f>
        <x:v>-16000</x:v>
      </x:c>
      <x:c r="L11" s="20" t="n">
        <x:v>2</x:v>
      </x:c>
      <x:c r="M11" s="20" t="n">
        <x:v>1</x:v>
      </x:c>
      <x:c r="N11" s="20" t="n">
        <x:v>1</x:v>
      </x:c>
      <x:c r="O11" s="20" t="n">
        <x:v>2</x:v>
      </x:c>
    </x:row>
    <x:row r="12" ht="23" customHeight="1">
      <x:c r="A12" s="2" t="str">
        <x:v>2026-09-28_Night</x:v>
      </x:c>
      <x:c r="B12" s="19" t="n">
        <x:v>9000</x:v>
      </x:c>
      <x:c r="C12" s="19" t="n">
        <x:v>21000</x:v>
      </x:c>
      <x:c r="D12" s="19" t="n">
        <x:f>B12-C12</x:f>
        <x:v>-12000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51000</x:v>
      </x:c>
      <x:c r="J12" s="19" t="n">
        <x:f>H12-I12</x:f>
        <x:v>-41000</x:v>
      </x:c>
      <x:c r="K12" s="19" t="n">
        <x:f>K11+J12</x:f>
        <x:v>-57000</x:v>
      </x:c>
      <x:c r="L12" s="20" t="n">
        <x:v>6</x:v>
      </x:c>
      <x:c r="M12" s="20" t="n">
        <x:v>2</x:v>
      </x:c>
      <x:c r="N12" s="20" t="n">
        <x:v>4</x:v>
      </x:c>
      <x:c r="O12" s="20" t="n">
        <x:v>3</x:v>
      </x:c>
    </x:row>
    <x:row r="13" ht="23" customHeight="1">
      <x:c r="A13" s="2" t="str">
        <x:v>2026-09-29_Night</x:v>
      </x:c>
      <x:c r="B13" s="19" t="n">
        <x:v>0</x:v>
      </x:c>
      <x:c r="C13" s="19" t="n">
        <x:v>50000</x:v>
      </x:c>
      <x:c r="D13" s="19" t="n">
        <x:f>B13-C13</x:f>
        <x:v>-50000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72000</x:v>
      </x:c>
      <x:c r="J13" s="19" t="n">
        <x:f>H13-I13</x:f>
        <x:v>15000</x:v>
      </x:c>
      <x:c r="K13" s="19" t="n">
        <x:f>K12+J13</x:f>
        <x:v>-42000</x:v>
      </x:c>
      <x:c r="L13" s="20" t="n">
        <x:v>7</x:v>
      </x:c>
      <x:c r="M13" s="20" t="n">
        <x:v>1</x:v>
      </x:c>
      <x:c r="N13" s="20" t="n">
        <x:v>6</x:v>
      </x:c>
      <x:c r="O13" s="20" t="n">
        <x:v>5</x:v>
      </x:c>
    </x:row>
    <x:row r="14" ht="23" customHeight="1">
      <x:c r="A14" s="2" t="str">
        <x:v>2026-09-30_Night</x:v>
      </x:c>
      <x:c r="B14" s="19" t="n">
        <x:v>32000</x:v>
      </x:c>
      <x:c r="C14" s="19" t="n">
        <x:v>0</x:v>
      </x:c>
      <x:c r="D14" s="19" t="n">
        <x:f>B14-C14</x:f>
        <x:v>32000</x:v>
      </x:c>
      <x:c r="E14" s="19" t="n">
        <x:v>13000</x:v>
      </x:c>
      <x:c r="F14" s="19" t="n">
        <x:v>0</x:v>
      </x:c>
      <x:c r="G14" s="19" t="n">
        <x:f>E14-F14</x:f>
        <x:v>13000</x:v>
      </x:c>
      <x:c r="H14" s="19" t="n">
        <x:f>B14+E14</x:f>
        <x:v>45000</x:v>
      </x:c>
      <x:c r="I14" s="19" t="n">
        <x:f>C14+F14</x:f>
        <x:v>0</x:v>
      </x:c>
      <x:c r="J14" s="19" t="n">
        <x:f>H14-I14</x:f>
        <x:v>45000</x:v>
      </x:c>
      <x:c r="K14" s="19" t="n">
        <x:f>K13+J14</x:f>
        <x:v>3000</x:v>
      </x:c>
      <x:c r="L14" s="20" t="n">
        <x:v>3</x:v>
      </x:c>
      <x:c r="M14" s="20" t="n">
        <x:v>1</x:v>
      </x:c>
      <x:c r="N14" s="20" t="n">
        <x:v>2</x:v>
      </x:c>
      <x:c r="O14" s="20" t="n">
        <x:v>3</x:v>
      </x:c>
    </x:row>
    <x:row r="15" ht="23" customHeight="1">
      <x:c r="A15" s="2" t="str">
        <x:v>2026-10-01_Night</x:v>
      </x:c>
      <x:c r="B15" s="19" t="n">
        <x:v>17000</x:v>
      </x:c>
      <x:c r="C15" s="19" t="n">
        <x:v>18000</x:v>
      </x:c>
      <x:c r="D15" s="19" t="n">
        <x:f>B15-C15</x:f>
        <x:v>-1000</x:v>
      </x:c>
      <x:c r="E15" s="19" t="n">
        <x:v>139000</x:v>
      </x:c>
      <x:c r="F15" s="19" t="n">
        <x:v>80000</x:v>
      </x:c>
      <x:c r="G15" s="19" t="n">
        <x:f>E15-F15</x:f>
        <x:v>59000</x:v>
      </x:c>
      <x:c r="H15" s="19" t="n">
        <x:f>B15+E15</x:f>
        <x:v>156000</x:v>
      </x:c>
      <x:c r="I15" s="19" t="n">
        <x:f>C15+F15</x:f>
        <x:v>98000</x:v>
      </x:c>
      <x:c r="J15" s="19" t="n">
        <x:f>H15-I15</x:f>
        <x:v>58000</x:v>
      </x:c>
      <x:c r="K15" s="19" t="n">
        <x:f>K14+J15</x:f>
        <x:v>61000</x:v>
      </x:c>
      <x:c r="L15" s="20" t="n">
        <x:v>13</x:v>
      </x:c>
      <x:c r="M15" s="20" t="n">
        <x:v>6</x:v>
      </x:c>
      <x:c r="N15" s="20" t="n">
        <x:v>7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48000</x:v>
      </x:c>
      <x:c r="D16" s="19" t="n">
        <x:f>B16-C16</x:f>
        <x:v>-48000</x:v>
      </x:c>
      <x:c r="E16" s="19" t="n">
        <x:v>245000</x:v>
      </x:c>
      <x:c r="F16" s="19" t="n">
        <x:v>38000</x:v>
      </x:c>
      <x:c r="G16" s="19" t="n">
        <x:f>E16-F16</x:f>
        <x:v>207000</x:v>
      </x:c>
      <x:c r="H16" s="19" t="n">
        <x:f>B16+E16</x:f>
        <x:v>245000</x:v>
      </x:c>
      <x:c r="I16" s="19" t="n">
        <x:f>C16+F16</x:f>
        <x:v>86000</x:v>
      </x:c>
      <x:c r="J16" s="19" t="n">
        <x:f>H16-I16</x:f>
        <x:v>159000</x:v>
      </x:c>
      <x:c r="K16" s="19" t="n">
        <x:f>K15+J16</x:f>
        <x:v>220000</x:v>
      </x:c>
      <x:c r="L16" s="20" t="n">
        <x:v>15</x:v>
      </x:c>
      <x:c r="M16" s="20" t="n">
        <x:v>1</x:v>
      </x:c>
      <x:c r="N16" s="20" t="n">
        <x:v>14</x:v>
      </x:c>
      <x:c r="O16" s="20" t="n">
        <x:v>10</x:v>
      </x:c>
    </x:row>
    <x:row r="17" ht="23" customHeight="1">
      <x:c r="A17" s="2" t="str">
        <x:v>2026-10-05_Night</x:v>
      </x:c>
      <x:c r="B17" s="19" t="n">
        <x:v>53000</x:v>
      </x:c>
      <x:c r="C17" s="19" t="n">
        <x:v>0</x:v>
      </x:c>
      <x:c r="D17" s="19" t="n">
        <x:f>B17-C17</x:f>
        <x:v>53000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151000</x:v>
      </x:c>
      <x:c r="I17" s="19" t="n">
        <x:f>C17+F17</x:f>
        <x:v>64000</x:v>
      </x:c>
      <x:c r="J17" s="19" t="n">
        <x:f>H17-I17</x:f>
        <x:v>87000</x:v>
      </x:c>
      <x:c r="K17" s="19" t="n">
        <x:f>K16+J17</x:f>
        <x:v>307000</x:v>
      </x:c>
      <x:c r="L17" s="20" t="n">
        <x:v>8</x:v>
      </x:c>
      <x:c r="M17" s="20" t="n">
        <x:v>1</x:v>
      </x:c>
      <x:c r="N17" s="20" t="n">
        <x:v>7</x:v>
      </x:c>
      <x:c r="O17" s="20" t="n">
        <x:v>5</x:v>
      </x:c>
    </x:row>
    <x:row r="18" ht="23" customHeight="1">
      <x:c r="A18" s="2" t="str">
        <x:v>2026-10-06_Night</x:v>
      </x:c>
      <x:c r="B18" s="19" t="n">
        <x:v>87000</x:v>
      </x:c>
      <x:c r="C18" s="19" t="n">
        <x:v>0</x:v>
      </x:c>
      <x:c r="D18" s="19" t="n">
        <x:f>B18-C18</x:f>
        <x:v>87000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120000</x:v>
      </x:c>
      <x:c r="I18" s="19" t="n">
        <x:f>C18+F18</x:f>
        <x:v>43000</x:v>
      </x:c>
      <x:c r="J18" s="19" t="n">
        <x:f>H18-I18</x:f>
        <x:v>77000</x:v>
      </x:c>
      <x:c r="K18" s="19" t="n">
        <x:f>K17+J18</x:f>
        <x:v>384000</x:v>
      </x:c>
      <x:c r="L18" s="20" t="n">
        <x:v>5</x:v>
      </x:c>
      <x:c r="M18" s="20" t="n">
        <x:v>1</x:v>
      </x:c>
      <x:c r="N18" s="20" t="n">
        <x:v>4</x:v>
      </x:c>
      <x:c r="O18" s="20" t="n">
        <x:v>7</x:v>
      </x:c>
    </x:row>
    <x:row r="19" ht="23" customHeight="1">
      <x:c r="A19" s="2" t="str">
        <x:v>2026-10-07_Night</x:v>
      </x:c>
      <x:c r="B19" s="19" t="n">
        <x:v>0</x:v>
      </x:c>
      <x:c r="C19" s="19" t="n">
        <x:v>76000</x:v>
      </x:c>
      <x:c r="D19" s="19" t="n">
        <x:f>B19-C19</x:f>
        <x:v>-76000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98000</x:v>
      </x:c>
      <x:c r="J19" s="19" t="n">
        <x:f>H19-I19</x:f>
        <x:v>-98000</x:v>
      </x:c>
      <x:c r="K19" s="19" t="n">
        <x:f>K18+J19</x:f>
        <x:v>286000</x:v>
      </x:c>
      <x:c r="L19" s="20" t="n">
        <x:v>5</x:v>
      </x:c>
      <x:c r="M19" s="20" t="n">
        <x:v>3</x:v>
      </x:c>
      <x:c r="N19" s="20" t="n">
        <x:v>2</x:v>
      </x:c>
      <x:c r="O19" s="20" t="n">
        <x:v>5</x:v>
      </x:c>
    </x:row>
    <x:row r="20" ht="23" customHeight="1">
      <x:c r="A20" s="2" t="str">
        <x:v>2026-10-08_Night</x:v>
      </x:c>
      <x:c r="B20" s="19" t="n">
        <x:v>19000</x:v>
      </x:c>
      <x:c r="C20" s="19" t="n">
        <x:v>0</x:v>
      </x:c>
      <x:c r="D20" s="19" t="n">
        <x:f>B20-C20</x:f>
        <x:v>19000</x:v>
      </x:c>
      <x:c r="E20" s="19" t="n">
        <x:v>277000</x:v>
      </x:c>
      <x:c r="F20" s="19" t="n">
        <x:v>20000</x:v>
      </x:c>
      <x:c r="G20" s="19" t="n">
        <x:f>E20-F20</x:f>
        <x:v>257000</x:v>
      </x:c>
      <x:c r="H20" s="19" t="n">
        <x:f>B20+E20</x:f>
        <x:v>296000</x:v>
      </x:c>
      <x:c r="I20" s="19" t="n">
        <x:f>C20+F20</x:f>
        <x:v>20000</x:v>
      </x:c>
      <x:c r="J20" s="19" t="n">
        <x:f>H20-I20</x:f>
        <x:v>276000</x:v>
      </x:c>
      <x:c r="K20" s="19" t="n">
        <x:f>K19+J20</x:f>
        <x:v>562000</x:v>
      </x:c>
      <x:c r="L20" s="20" t="n">
        <x:v>17</x:v>
      </x:c>
      <x:c r="M20" s="20" t="n">
        <x:v>3</x:v>
      </x:c>
      <x:c r="N20" s="20" t="n">
        <x:v>14</x:v>
      </x:c>
      <x:c r="O20" s="20" t="n">
        <x:v>8</x:v>
      </x:c>
    </x:row>
    <x:row r="21" ht="23" customHeight="1">
      <x:c r="A21" s="2" t="str">
        <x:v>2026-10-09_Night</x:v>
      </x:c>
      <x:c r="B21" s="19" t="n">
        <x:v>0</x:v>
      </x:c>
      <x:c r="C21" s="19" t="n">
        <x:v>16000</x:v>
      </x:c>
      <x:c r="D21" s="19" t="n">
        <x:f>B21-C21</x:f>
        <x:v>-16000</x:v>
      </x:c>
      <x:c r="E21" s="19" t="n">
        <x:v>0</x:v>
      </x:c>
      <x:c r="F21" s="19" t="n">
        <x:v>0</x:v>
      </x:c>
      <x:c r="G21" s="19" t="n">
        <x:f>E21-F21</x:f>
        <x:v>0</x:v>
      </x:c>
      <x:c r="H21" s="19" t="n">
        <x:f>B21+E21</x:f>
        <x:v>0</x:v>
      </x:c>
      <x:c r="I21" s="19" t="n">
        <x:f>C21+F21</x:f>
        <x:v>16000</x:v>
      </x:c>
      <x:c r="J21" s="19" t="n">
        <x:f>H21-I21</x:f>
        <x:v>-16000</x:v>
      </x:c>
      <x:c r="K21" s="19" t="n">
        <x:f>K20+J21</x:f>
        <x:v>546000</x:v>
      </x:c>
      <x:c r="L21" s="20" t="n">
        <x:v>1</x:v>
      </x:c>
      <x:c r="M21" s="20" t="n">
        <x:v>1</x:v>
      </x:c>
      <x:c r="N21" s="20" t="n">
        <x:v>0</x:v>
      </x:c>
      <x:c r="O21" s="20" t="n">
        <x:v>4</x:v>
      </x:c>
    </x:row>
    <x:row r="22" ht="23" customHeight="1">
      <x:c r="A22" s="2" t="str">
        <x:v>2026-10-12_Night</x:v>
      </x:c>
      <x:c r="B22" s="19" t="n">
        <x:v>11000</x:v>
      </x:c>
      <x:c r="C22" s="19" t="n">
        <x:v>0</x:v>
      </x:c>
      <x:c r="D22" s="19" t="n">
        <x:f>B22-C22</x:f>
        <x:v>11000</x:v>
      </x:c>
      <x:c r="E22" s="19" t="n">
        <x:v>0</x:v>
      </x:c>
      <x:c r="F22" s="19" t="n">
        <x:v>0</x:v>
      </x:c>
      <x:c r="G22" s="19" t="n">
        <x:f>E22-F22</x:f>
        <x:v>0</x:v>
      </x:c>
      <x:c r="H22" s="19" t="n">
        <x:f>B22+E22</x:f>
        <x:v>11000</x:v>
      </x:c>
      <x:c r="I22" s="19" t="n">
        <x:f>C22+F22</x:f>
        <x:v>0</x:v>
      </x:c>
      <x:c r="J22" s="19" t="n">
        <x:f>H22-I22</x:f>
        <x:v>11000</x:v>
      </x:c>
      <x:c r="K22" s="19" t="n">
        <x:f>K21+J22</x:f>
        <x:v>557000</x:v>
      </x:c>
      <x:c r="L22" s="20" t="n">
        <x:v>1</x:v>
      </x:c>
      <x:c r="M22" s="20" t="n">
        <x:v>1</x:v>
      </x:c>
      <x:c r="N22" s="20" t="n">
        <x:v>0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8000</x:v>
      </x:c>
      <x:c r="D23" s="19" t="n">
        <x:f>B23-C23</x:f>
        <x:v>-8000</x:v>
      </x:c>
      <x:c r="E23" s="19" t="n">
        <x:v>0</x:v>
      </x:c>
      <x:c r="F23" s="19" t="n">
        <x:v>8000</x:v>
      </x:c>
      <x:c r="G23" s="19" t="n">
        <x:f>E23-F23</x:f>
        <x:v>-8000</x:v>
      </x:c>
      <x:c r="H23" s="19" t="n">
        <x:f>B23+E23</x:f>
        <x:v>0</x:v>
      </x:c>
      <x:c r="I23" s="19" t="n">
        <x:f>C23+F23</x:f>
        <x:v>16000</x:v>
      </x:c>
      <x:c r="J23" s="19" t="n">
        <x:f>H23-I23</x:f>
        <x:v>-16000</x:v>
      </x:c>
      <x:c r="K23" s="19" t="n">
        <x:f>K22+J23</x:f>
        <x:v>541000</x:v>
      </x:c>
      <x:c r="L23" s="20" t="n">
        <x:v>2</x:v>
      </x:c>
      <x:c r="M23" s="20" t="n">
        <x:v>1</x:v>
      </x:c>
      <x:c r="N23" s="20" t="n">
        <x:v>1</x:v>
      </x:c>
      <x:c r="O23" s="20" t="n">
        <x:v>4</x:v>
      </x:c>
    </x:row>
    <x:row r="24" ht="23" customHeight="1">
      <x:c r="A24" s="2" t="str">
        <x:v>2026-10-14_Night</x:v>
      </x:c>
      <x:c r="B24" s="19" t="n">
        <x:v>0</x:v>
      </x:c>
      <x:c r="C24" s="19" t="n">
        <x:v>55000</x:v>
      </x:c>
      <x:c r="D24" s="19" t="n">
        <x:f>B24-C24</x:f>
        <x:v>-55000</x:v>
      </x:c>
      <x:c r="E24" s="19" t="n">
        <x:v>197000</x:v>
      </x:c>
      <x:c r="F24" s="19" t="n">
        <x:v>43000</x:v>
      </x:c>
      <x:c r="G24" s="19" t="n">
        <x:f>E24-F24</x:f>
        <x:v>154000</x:v>
      </x:c>
      <x:c r="H24" s="19" t="n">
        <x:f>B24+E24</x:f>
        <x:v>197000</x:v>
      </x:c>
      <x:c r="I24" s="19" t="n">
        <x:f>C24+F24</x:f>
        <x:v>98000</x:v>
      </x:c>
      <x:c r="J24" s="19" t="n">
        <x:f>H24-I24</x:f>
        <x:v>99000</x:v>
      </x:c>
      <x:c r="K24" s="19" t="n">
        <x:f>K23+J24</x:f>
        <x:v>640000</x:v>
      </x:c>
      <x:c r="L24" s="20" t="n">
        <x:v>4</x:v>
      </x:c>
      <x:c r="M24" s="20" t="n">
        <x:v>1</x:v>
      </x:c>
      <x:c r="N24" s="20" t="n">
        <x:v>3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50000</x:v>
      </x:c>
      <x:c r="D25" s="19" t="n">
        <x:f>B25-C25</x:f>
        <x:v>-50000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103000</x:v>
      </x:c>
      <x:c r="J25" s="19" t="n">
        <x:f>H25-I25</x:f>
        <x:v>-28000</x:v>
      </x:c>
      <x:c r="K25" s="19" t="n">
        <x:f>K24+J25</x:f>
        <x:v>612000</x:v>
      </x:c>
      <x:c r="L25" s="20" t="n">
        <x:v>8</x:v>
      </x:c>
      <x:c r="M25" s="20" t="n">
        <x:v>1</x:v>
      </x:c>
      <x:c r="N25" s="20" t="n">
        <x:v>7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55000</x:v>
      </x:c>
      <x:c r="D26" s="19" t="n">
        <x:f>B26-C26</x:f>
        <x:v>-55000</x:v>
      </x:c>
      <x:c r="E26" s="19" t="n">
        <x:v>147000</x:v>
      </x:c>
      <x:c r="F26" s="19" t="n">
        <x:v>126000</x:v>
      </x:c>
      <x:c r="G26" s="19" t="n">
        <x:f>E26-F26</x:f>
        <x:v>21000</x:v>
      </x:c>
      <x:c r="H26" s="19" t="n">
        <x:f>B26+E26</x:f>
        <x:v>147000</x:v>
      </x:c>
      <x:c r="I26" s="19" t="n">
        <x:f>C26+F26</x:f>
        <x:v>181000</x:v>
      </x:c>
      <x:c r="J26" s="19" t="n">
        <x:f>H26-I26</x:f>
        <x:v>-34000</x:v>
      </x:c>
      <x:c r="K26" s="19" t="n">
        <x:f>K25+J26</x:f>
        <x:v>578000</x:v>
      </x:c>
      <x:c r="L26" s="20" t="n">
        <x:v>13</x:v>
      </x:c>
      <x:c r="M26" s="20" t="n">
        <x:v>1</x:v>
      </x:c>
      <x:c r="N26" s="20" t="n">
        <x:v>12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20000</x:v>
      </x:c>
      <x:c r="D27" s="19" t="n">
        <x:f>B27-C27</x:f>
        <x:v>-20000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113000</x:v>
      </x:c>
      <x:c r="J27" s="19" t="n">
        <x:f>H27-I27</x:f>
        <x:v>-28000</x:v>
      </x:c>
      <x:c r="K27" s="19" t="n">
        <x:f>K26+J27</x:f>
        <x:v>550000</x:v>
      </x:c>
      <x:c r="L27" s="20" t="n">
        <x:v>13</x:v>
      </x:c>
      <x:c r="M27" s="20" t="n">
        <x:v>1</x:v>
      </x:c>
      <x:c r="N27" s="20" t="n">
        <x:v>12</x:v>
      </x:c>
      <x:c r="O27" s="20" t="n">
        <x:v>5</x:v>
      </x:c>
    </x:row>
    <x:row r="28" ht="23" customHeight="1">
      <x:c r="A28" s="2" t="str">
        <x:v>2026-10-20_Night</x:v>
      </x:c>
      <x:c r="B28" s="19" t="n">
        <x:v>80000</x:v>
      </x:c>
      <x:c r="C28" s="19" t="n">
        <x:v>0</x:v>
      </x:c>
      <x:c r="D28" s="19" t="n">
        <x:f>B28-C28</x:f>
        <x:v>80000</x:v>
      </x:c>
      <x:c r="E28" s="19" t="n">
        <x:v>36000</x:v>
      </x:c>
      <x:c r="F28" s="19" t="n">
        <x:v>24000</x:v>
      </x:c>
      <x:c r="G28" s="19" t="n">
        <x:f>E28-F28</x:f>
        <x:v>12000</x:v>
      </x:c>
      <x:c r="H28" s="19" t="n">
        <x:f>B28+E28</x:f>
        <x:v>116000</x:v>
      </x:c>
      <x:c r="I28" s="19" t="n">
        <x:f>C28+F28</x:f>
        <x:v>24000</x:v>
      </x:c>
      <x:c r="J28" s="19" t="n">
        <x:f>H28-I28</x:f>
        <x:v>92000</x:v>
      </x:c>
      <x:c r="K28" s="19" t="n">
        <x:f>K27+J28</x:f>
        <x:v>642000</x:v>
      </x:c>
      <x:c r="L28" s="20" t="n">
        <x:v>9</x:v>
      </x:c>
      <x:c r="M28" s="20" t="n">
        <x:v>3</x:v>
      </x:c>
      <x:c r="N28" s="20" t="n">
        <x:v>6</x:v>
      </x:c>
      <x:c r="O28" s="20" t="n">
        <x:v>5</x:v>
      </x:c>
    </x:row>
    <x:row r="29" ht="23" customHeight="1">
      <x:c r="A29" s="2" t="str">
        <x:v>2026-10-21_Night</x:v>
      </x:c>
      <x:c r="B29" s="19" t="n">
        <x:v>51000</x:v>
      </x:c>
      <x:c r="C29" s="19" t="n">
        <x:v>0</x:v>
      </x:c>
      <x:c r="D29" s="19" t="n">
        <x:f>B29-C29</x:f>
        <x:v>51000</x:v>
      </x:c>
      <x:c r="E29" s="19" t="n">
        <x:v>23000</x:v>
      </x:c>
      <x:c r="F29" s="19" t="n">
        <x:v>85000</x:v>
      </x:c>
      <x:c r="G29" s="19" t="n">
        <x:f>E29-F29</x:f>
        <x:v>-62000</x:v>
      </x:c>
      <x:c r="H29" s="19" t="n">
        <x:f>B29+E29</x:f>
        <x:v>74000</x:v>
      </x:c>
      <x:c r="I29" s="19" t="n">
        <x:f>C29+F29</x:f>
        <x:v>85000</x:v>
      </x:c>
      <x:c r="J29" s="19" t="n">
        <x:f>H29-I29</x:f>
        <x:v>-11000</x:v>
      </x:c>
      <x:c r="K29" s="19" t="n">
        <x:f>K28+J29</x:f>
        <x:v>631000</x:v>
      </x:c>
      <x:c r="L29" s="20" t="n">
        <x:v>5</x:v>
      </x:c>
      <x:c r="M29" s="20" t="n">
        <x:v>1</x:v>
      </x:c>
      <x:c r="N29" s="20" t="n">
        <x:v>4</x:v>
      </x:c>
      <x:c r="O29" s="20" t="n">
        <x:v>7</x:v>
      </x:c>
    </x:row>
    <x:row r="30" ht="23" customHeight="1">
      <x:c r="A30" s="2" t="str">
        <x:v>2026-10-22_Night</x:v>
      </x:c>
      <x:c r="B30" s="19" t="n">
        <x:v>0</x:v>
      </x:c>
      <x:c r="C30" s="19" t="n">
        <x:v>48000</x:v>
      </x:c>
      <x:c r="D30" s="19" t="n">
        <x:f>B30-C30</x:f>
        <x:v>-48000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48000</x:v>
      </x:c>
      <x:c r="J30" s="19" t="n">
        <x:f>H30-I30</x:f>
        <x:v>108000</x:v>
      </x:c>
      <x:c r="K30" s="19" t="n">
        <x:f>K29+J30</x:f>
        <x:v>739000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</x:row>
    <x:row r="31" ht="23" customHeight="1">
      <x:c r="A31" s="2" t="str">
        <x:v>2026-10-23_Night</x:v>
      </x:c>
      <x:c r="B31" s="19" t="n">
        <x:v>3000</x:v>
      </x:c>
      <x:c r="C31" s="19" t="n">
        <x:v>76000</x:v>
      </x:c>
      <x:c r="D31" s="19" t="n">
        <x:f>B31-C31</x:f>
        <x:v>-73000</x:v>
      </x:c>
      <x:c r="E31" s="19" t="n">
        <x:v>11000</x:v>
      </x:c>
      <x:c r="F31" s="19" t="n">
        <x:v>22000</x:v>
      </x:c>
      <x:c r="G31" s="19" t="n">
        <x:f>E31-F31</x:f>
        <x:v>-11000</x:v>
      </x:c>
      <x:c r="H31" s="19" t="n">
        <x:f>B31+E31</x:f>
        <x:v>14000</x:v>
      </x:c>
      <x:c r="I31" s="19" t="n">
        <x:f>C31+F31</x:f>
        <x:v>98000</x:v>
      </x:c>
      <x:c r="J31" s="19" t="n">
        <x:f>H31-I31</x:f>
        <x:v>-84000</x:v>
      </x:c>
      <x:c r="K31" s="19" t="n">
        <x:f>K30+J31</x:f>
        <x:v>655000</x:v>
      </x:c>
      <x:c r="L31" s="20" t="n">
        <x:v>10</x:v>
      </x:c>
      <x:c r="M31" s="20" t="n">
        <x:v>5</x:v>
      </x:c>
      <x:c r="N31" s="20" t="n">
        <x:v>5</x:v>
      </x:c>
      <x:c r="O31" s="20" t="n">
        <x:v>4</x:v>
      </x:c>
    </x:row>
    <x:row r="32" ht="23" customHeight="1">
      <x:c r="A32" s="24" t="str">
        <x:v>25夜累計</x:v>
      </x:c>
      <x:c r="B32" s="25" t="n">
        <x:f>SUM(B7:B31)</x:f>
        <x:v>457000</x:v>
      </x:c>
      <x:c r="C32" s="25" t="n">
        <x:f>SUM(C7:C31)</x:f>
        <x:v>620000</x:v>
      </x:c>
      <x:c r="D32" s="25" t="n">
        <x:f>B32-C32</x:f>
        <x:v>-163000</x:v>
      </x:c>
      <x:c r="E32" s="25" t="n">
        <x:f>SUM(E7:E31)</x:f>
        <x:v>1647000</x:v>
      </x:c>
      <x:c r="F32" s="25" t="n">
        <x:f>SUM(F7:F31)</x:f>
        <x:v>829000</x:v>
      </x:c>
      <x:c r="G32" s="25" t="n">
        <x:f>E32-F32</x:f>
        <x:v>818000</x:v>
      </x:c>
      <x:c r="H32" s="25" t="n">
        <x:f>B32+E32</x:f>
        <x:v>2104000</x:v>
      </x:c>
      <x:c r="I32" s="25" t="n">
        <x:f>C32+F32</x:f>
        <x:v>1449000</x:v>
      </x:c>
      <x:c r="J32" s="25" t="n">
        <x:f>H32-I32</x:f>
        <x:v>655000</x:v>
      </x:c>
      <x:c r="K32" s="25" t="n">
        <x:f>K31</x:f>
        <x:v>655000</x:v>
      </x:c>
      <x:c r="L32" s="26" t="n">
        <x:f>SUM(L7:L31)</x:f>
        <x:v>160</x:v>
      </x:c>
      <x:c r="M32" s="26" t="n">
        <x:f>SUM(M7:M31)</x:f>
        <x:v>41</x:v>
      </x:c>
      <x:c r="N32" s="26" t="n">
        <x:f>SUM(N7:N31)</x:f>
        <x:v>119</x:v>
      </x:c>
      <x:c r="O32" s="26" t="n">
        <x:f>MAX(O7:O31)</x:f>
        <x:v>10</x:v>
      </x:c>
    </x:row>
  </x:sheetData>
  <x:conditionalFormatting sqref="B7:K32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637a15a9794592"/>
  </x:tableParts>
</x:worksheet>
</file>

<file path=xl/worksheets/sheet7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C05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主担当とZ04補完を17時から解禁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52000</x:v>
      </x:c>
      <x:c r="C7" s="19" t="n">
        <x:v>0</x:v>
      </x:c>
      <x:c r="D7" s="19" t="n">
        <x:f>B7-C7</x:f>
        <x:v>52000</x:v>
      </x:c>
      <x:c r="E7" s="19" t="n">
        <x:v>0</x:v>
      </x:c>
      <x:c r="F7" s="19" t="n">
        <x:v>0</x:v>
      </x:c>
      <x:c r="G7" s="19" t="n">
        <x:f>E7-F7</x:f>
        <x:v>0</x:v>
      </x:c>
      <x:c r="H7" s="19" t="n">
        <x:f>B7+E7</x:f>
        <x:v>52000</x:v>
      </x:c>
      <x:c r="I7" s="19" t="n">
        <x:f>C7+F7</x:f>
        <x:v>0</x:v>
      </x:c>
      <x:c r="J7" s="19" t="n">
        <x:f>H7-I7</x:f>
        <x:v>52000</x:v>
      </x:c>
      <x:c r="K7" s="19" t="n">
        <x:f>J7</x:f>
        <x:v>52000</x:v>
      </x:c>
      <x:c r="L7" s="20" t="n">
        <x:v>1</x:v>
      </x:c>
      <x:c r="M7" s="20" t="n">
        <x:v>1</x:v>
      </x:c>
      <x:c r="N7" s="20" t="n">
        <x:v>0</x:v>
      </x:c>
      <x:c r="O7" s="20" t="n">
        <x:v>5</x:v>
      </x:c>
    </x:row>
    <x:row r="8" ht="23" customHeight="1">
      <x:c r="A8" s="2" t="str">
        <x:v>2026-09-22_Night</x:v>
      </x:c>
      <x:c r="B8" s="19" t="n">
        <x:v>51000</x:v>
      </x:c>
      <x:c r="C8" s="19" t="n">
        <x:v>0</x:v>
      </x:c>
      <x:c r="D8" s="19" t="n">
        <x:f>B8-C8</x:f>
        <x:v>51000</x:v>
      </x:c>
      <x:c r="E8" s="19" t="n">
        <x:v>0</x:v>
      </x:c>
      <x:c r="F8" s="19" t="n">
        <x:v>0</x:v>
      </x:c>
      <x:c r="G8" s="19" t="n">
        <x:f>E8-F8</x:f>
        <x:v>0</x:v>
      </x:c>
      <x:c r="H8" s="19" t="n">
        <x:f>B8+E8</x:f>
        <x:v>51000</x:v>
      </x:c>
      <x:c r="I8" s="19" t="n">
        <x:f>C8+F8</x:f>
        <x:v>0</x:v>
      </x:c>
      <x:c r="J8" s="19" t="n">
        <x:f>H8-I8</x:f>
        <x:v>51000</x:v>
      </x:c>
      <x:c r="K8" s="19" t="n">
        <x:f>K7+J8</x:f>
        <x:v>103000</x:v>
      </x:c>
      <x:c r="L8" s="20" t="n">
        <x:v>2</x:v>
      </x:c>
      <x:c r="M8" s="20" t="n">
        <x:v>2</x:v>
      </x:c>
      <x:c r="N8" s="20" t="n">
        <x:v>0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40000</x:v>
      </x:c>
      <x:c r="D9" s="19" t="n">
        <x:f>B9-C9</x:f>
        <x:v>-40000</x:v>
      </x:c>
      <x:c r="E9" s="19" t="n">
        <x:v>33000</x:v>
      </x:c>
      <x:c r="F9" s="19" t="n">
        <x:v>0</x:v>
      </x:c>
      <x:c r="G9" s="19" t="n">
        <x:f>E9-F9</x:f>
        <x:v>33000</x:v>
      </x:c>
      <x:c r="H9" s="19" t="n">
        <x:f>B9+E9</x:f>
        <x:v>33000</x:v>
      </x:c>
      <x:c r="I9" s="19" t="n">
        <x:f>C9+F9</x:f>
        <x:v>40000</x:v>
      </x:c>
      <x:c r="J9" s="19" t="n">
        <x:f>H9-I9</x:f>
        <x:v>-7000</x:v>
      </x:c>
      <x:c r="K9" s="19" t="n">
        <x:f>K8+J9</x:f>
        <x:v>96000</x:v>
      </x:c>
      <x:c r="L9" s="20" t="n">
        <x:v>4</x:v>
      </x:c>
      <x:c r="M9" s="20" t="n">
        <x:v>1</x:v>
      </x:c>
      <x:c r="N9" s="20" t="n">
        <x:v>3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79000</x:v>
      </x:c>
      <x:c r="D10" s="19" t="n">
        <x:f>B10-C10</x:f>
        <x:v>-79000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79000</x:v>
      </x:c>
      <x:c r="J10" s="19" t="n">
        <x:f>H10-I10</x:f>
        <x:v>-59000</x:v>
      </x:c>
      <x:c r="K10" s="19" t="n">
        <x:f>K9+J10</x:f>
        <x:v>37000</x:v>
      </x:c>
      <x:c r="L10" s="20" t="n">
        <x:v>4</x:v>
      </x:c>
      <x:c r="M10" s="20" t="n">
        <x:v>2</x:v>
      </x:c>
      <x:c r="N10" s="20" t="n">
        <x:v>2</x:v>
      </x:c>
      <x:c r="O10" s="20" t="n">
        <x:v>5</x:v>
      </x:c>
    </x:row>
    <x:row r="11" ht="23" customHeight="1">
      <x:c r="A11" s="2" t="str">
        <x:v>2026-09-25_Night</x:v>
      </x:c>
      <x:c r="B11" s="19" t="n">
        <x:v>26000</x:v>
      </x:c>
      <x:c r="C11" s="19" t="n">
        <x:v>0</x:v>
      </x:c>
      <x:c r="D11" s="19" t="n">
        <x:f>B11-C11</x:f>
        <x:v>26000</x:v>
      </x:c>
      <x:c r="E11" s="19" t="n">
        <x:v>0</x:v>
      </x:c>
      <x:c r="F11" s="19" t="n">
        <x:v>16000</x:v>
      </x:c>
      <x:c r="G11" s="19" t="n">
        <x:f>E11-F11</x:f>
        <x:v>-16000</x:v>
      </x:c>
      <x:c r="H11" s="19" t="n">
        <x:f>B11+E11</x:f>
        <x:v>26000</x:v>
      </x:c>
      <x:c r="I11" s="19" t="n">
        <x:f>C11+F11</x:f>
        <x:v>16000</x:v>
      </x:c>
      <x:c r="J11" s="19" t="n">
        <x:f>H11-I11</x:f>
        <x:v>10000</x:v>
      </x:c>
      <x:c r="K11" s="19" t="n">
        <x:f>K10+J11</x:f>
        <x:v>47000</x:v>
      </x:c>
      <x:c r="L11" s="20" t="n">
        <x:v>2</x:v>
      </x:c>
      <x:c r="M11" s="20" t="n">
        <x:v>1</x:v>
      </x:c>
      <x:c r="N11" s="20" t="n">
        <x:v>1</x:v>
      </x:c>
      <x:c r="O11" s="20" t="n">
        <x:v>2</x:v>
      </x:c>
    </x:row>
    <x:row r="12" ht="23" customHeight="1">
      <x:c r="A12" s="2" t="str">
        <x:v>2026-09-28_Night</x:v>
      </x:c>
      <x:c r="B12" s="19" t="n">
        <x:v>9000</x:v>
      </x:c>
      <x:c r="C12" s="19" t="n">
        <x:v>21000</x:v>
      </x:c>
      <x:c r="D12" s="19" t="n">
        <x:f>B12-C12</x:f>
        <x:v>-12000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51000</x:v>
      </x:c>
      <x:c r="J12" s="19" t="n">
        <x:f>H12-I12</x:f>
        <x:v>-41000</x:v>
      </x:c>
      <x:c r="K12" s="19" t="n">
        <x:f>K11+J12</x:f>
        <x:v>6000</x:v>
      </x:c>
      <x:c r="L12" s="20" t="n">
        <x:v>6</x:v>
      </x:c>
      <x:c r="M12" s="20" t="n">
        <x:v>2</x:v>
      </x:c>
      <x:c r="N12" s="20" t="n">
        <x:v>4</x:v>
      </x:c>
      <x:c r="O12" s="20" t="n">
        <x:v>3</x:v>
      </x:c>
    </x:row>
    <x:row r="13" ht="23" customHeight="1">
      <x:c r="A13" s="2" t="str">
        <x:v>2026-09-29_Night</x:v>
      </x:c>
      <x:c r="B13" s="19" t="n">
        <x:v>0</x:v>
      </x:c>
      <x:c r="C13" s="19" t="n">
        <x:v>50000</x:v>
      </x:c>
      <x:c r="D13" s="19" t="n">
        <x:f>B13-C13</x:f>
        <x:v>-50000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72000</x:v>
      </x:c>
      <x:c r="J13" s="19" t="n">
        <x:f>H13-I13</x:f>
        <x:v>15000</x:v>
      </x:c>
      <x:c r="K13" s="19" t="n">
        <x:f>K12+J13</x:f>
        <x:v>21000</x:v>
      </x:c>
      <x:c r="L13" s="20" t="n">
        <x:v>7</x:v>
      </x:c>
      <x:c r="M13" s="20" t="n">
        <x:v>1</x:v>
      </x:c>
      <x:c r="N13" s="20" t="n">
        <x:v>6</x:v>
      </x:c>
      <x:c r="O13" s="20" t="n">
        <x:v>5</x:v>
      </x:c>
    </x:row>
    <x:row r="14" ht="23" customHeight="1">
      <x:c r="A14" s="2" t="str">
        <x:v>2026-09-30_Night</x:v>
      </x:c>
      <x:c r="B14" s="19" t="n">
        <x:v>32000</x:v>
      </x:c>
      <x:c r="C14" s="19" t="n">
        <x:v>0</x:v>
      </x:c>
      <x:c r="D14" s="19" t="n">
        <x:f>B14-C14</x:f>
        <x:v>32000</x:v>
      </x:c>
      <x:c r="E14" s="19" t="n">
        <x:v>13000</x:v>
      </x:c>
      <x:c r="F14" s="19" t="n">
        <x:v>0</x:v>
      </x:c>
      <x:c r="G14" s="19" t="n">
        <x:f>E14-F14</x:f>
        <x:v>13000</x:v>
      </x:c>
      <x:c r="H14" s="19" t="n">
        <x:f>B14+E14</x:f>
        <x:v>45000</x:v>
      </x:c>
      <x:c r="I14" s="19" t="n">
        <x:f>C14+F14</x:f>
        <x:v>0</x:v>
      </x:c>
      <x:c r="J14" s="19" t="n">
        <x:f>H14-I14</x:f>
        <x:v>45000</x:v>
      </x:c>
      <x:c r="K14" s="19" t="n">
        <x:f>K13+J14</x:f>
        <x:v>66000</x:v>
      </x:c>
      <x:c r="L14" s="20" t="n">
        <x:v>3</x:v>
      </x:c>
      <x:c r="M14" s="20" t="n">
        <x:v>1</x:v>
      </x:c>
      <x:c r="N14" s="20" t="n">
        <x:v>2</x:v>
      </x:c>
      <x:c r="O14" s="20" t="n">
        <x:v>3</x:v>
      </x:c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139000</x:v>
      </x:c>
      <x:c r="F15" s="19" t="n">
        <x:v>80000</x:v>
      </x:c>
      <x:c r="G15" s="19" t="n">
        <x:f>E15-F15</x:f>
        <x:v>59000</x:v>
      </x:c>
      <x:c r="H15" s="19" t="n">
        <x:f>B15+E15</x:f>
        <x:v>156000</x:v>
      </x:c>
      <x:c r="I15" s="19" t="n">
        <x:f>C15+F15</x:f>
        <x:v>138000</x:v>
      </x:c>
      <x:c r="J15" s="19" t="n">
        <x:f>H15-I15</x:f>
        <x:v>18000</x:v>
      </x:c>
      <x:c r="K15" s="19" t="n">
        <x:f>K14+J15</x:f>
        <x:v>84000</x:v>
      </x:c>
      <x:c r="L15" s="20" t="n">
        <x:v>14</x:v>
      </x:c>
      <x:c r="M15" s="20" t="n">
        <x:v>7</x:v>
      </x:c>
      <x:c r="N15" s="20" t="n">
        <x:v>7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48000</x:v>
      </x:c>
      <x:c r="D16" s="19" t="n">
        <x:f>B16-C16</x:f>
        <x:v>-48000</x:v>
      </x:c>
      <x:c r="E16" s="19" t="n">
        <x:v>245000</x:v>
      </x:c>
      <x:c r="F16" s="19" t="n">
        <x:v>38000</x:v>
      </x:c>
      <x:c r="G16" s="19" t="n">
        <x:f>E16-F16</x:f>
        <x:v>207000</x:v>
      </x:c>
      <x:c r="H16" s="19" t="n">
        <x:f>B16+E16</x:f>
        <x:v>245000</x:v>
      </x:c>
      <x:c r="I16" s="19" t="n">
        <x:f>C16+F16</x:f>
        <x:v>86000</x:v>
      </x:c>
      <x:c r="J16" s="19" t="n">
        <x:f>H16-I16</x:f>
        <x:v>159000</x:v>
      </x:c>
      <x:c r="K16" s="19" t="n">
        <x:f>K15+J16</x:f>
        <x:v>243000</x:v>
      </x:c>
      <x:c r="L16" s="20" t="n">
        <x:v>15</x:v>
      </x:c>
      <x:c r="M16" s="20" t="n">
        <x:v>1</x:v>
      </x:c>
      <x:c r="N16" s="20" t="n">
        <x:v>14</x:v>
      </x:c>
      <x:c r="O16" s="20" t="n">
        <x:v>10</x:v>
      </x:c>
    </x:row>
    <x:row r="17" ht="23" customHeight="1">
      <x:c r="A17" s="2" t="str">
        <x:v>2026-10-05_Night</x:v>
      </x:c>
      <x:c r="B17" s="19" t="n">
        <x:v>53000</x:v>
      </x:c>
      <x:c r="C17" s="19" t="n">
        <x:v>0</x:v>
      </x:c>
      <x:c r="D17" s="19" t="n">
        <x:f>B17-C17</x:f>
        <x:v>53000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151000</x:v>
      </x:c>
      <x:c r="I17" s="19" t="n">
        <x:f>C17+F17</x:f>
        <x:v>64000</x:v>
      </x:c>
      <x:c r="J17" s="19" t="n">
        <x:f>H17-I17</x:f>
        <x:v>87000</x:v>
      </x:c>
      <x:c r="K17" s="19" t="n">
        <x:f>K16+J17</x:f>
        <x:v>330000</x:v>
      </x:c>
      <x:c r="L17" s="20" t="n">
        <x:v>8</x:v>
      </x:c>
      <x:c r="M17" s="20" t="n">
        <x:v>1</x:v>
      </x:c>
      <x:c r="N17" s="20" t="n">
        <x:v>7</x:v>
      </x:c>
      <x:c r="O17" s="20" t="n">
        <x:v>5</x:v>
      </x:c>
    </x:row>
    <x:row r="18" ht="23" customHeight="1">
      <x:c r="A18" s="2" t="str">
        <x:v>2026-10-06_Night</x:v>
      </x:c>
      <x:c r="B18" s="19" t="n">
        <x:v>87000</x:v>
      </x:c>
      <x:c r="C18" s="19" t="n">
        <x:v>0</x:v>
      </x:c>
      <x:c r="D18" s="19" t="n">
        <x:f>B18-C18</x:f>
        <x:v>87000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120000</x:v>
      </x:c>
      <x:c r="I18" s="19" t="n">
        <x:f>C18+F18</x:f>
        <x:v>43000</x:v>
      </x:c>
      <x:c r="J18" s="19" t="n">
        <x:f>H18-I18</x:f>
        <x:v>77000</x:v>
      </x:c>
      <x:c r="K18" s="19" t="n">
        <x:f>K17+J18</x:f>
        <x:v>407000</x:v>
      </x:c>
      <x:c r="L18" s="20" t="n">
        <x:v>5</x:v>
      </x:c>
      <x:c r="M18" s="20" t="n">
        <x:v>1</x:v>
      </x:c>
      <x:c r="N18" s="20" t="n">
        <x:v>4</x:v>
      </x:c>
      <x:c r="O18" s="20" t="n">
        <x:v>7</x:v>
      </x:c>
    </x:row>
    <x:row r="19" ht="23" customHeight="1">
      <x:c r="A19" s="2" t="str">
        <x:v>2026-10-07_Night</x:v>
      </x:c>
      <x:c r="B19" s="19" t="n">
        <x:v>0</x:v>
      </x:c>
      <x:c r="C19" s="19" t="n">
        <x:v>76000</x:v>
      </x:c>
      <x:c r="D19" s="19" t="n">
        <x:f>B19-C19</x:f>
        <x:v>-76000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98000</x:v>
      </x:c>
      <x:c r="J19" s="19" t="n">
        <x:f>H19-I19</x:f>
        <x:v>-98000</x:v>
      </x:c>
      <x:c r="K19" s="19" t="n">
        <x:f>K18+J19</x:f>
        <x:v>309000</x:v>
      </x:c>
      <x:c r="L19" s="20" t="n">
        <x:v>5</x:v>
      </x:c>
      <x:c r="M19" s="20" t="n">
        <x:v>3</x:v>
      </x:c>
      <x:c r="N19" s="20" t="n">
        <x:v>2</x:v>
      </x:c>
      <x:c r="O19" s="20" t="n">
        <x:v>5</x:v>
      </x:c>
    </x:row>
    <x:row r="20" ht="23" customHeight="1">
      <x:c r="A20" s="2" t="str">
        <x:v>2026-10-08_Night</x:v>
      </x:c>
      <x:c r="B20" s="19" t="n">
        <x:v>19000</x:v>
      </x:c>
      <x:c r="C20" s="19" t="n">
        <x:v>45000</x:v>
      </x:c>
      <x:c r="D20" s="19" t="n">
        <x:f>B20-C20</x:f>
        <x:v>-26000</x:v>
      </x:c>
      <x:c r="E20" s="19" t="n">
        <x:v>277000</x:v>
      </x:c>
      <x:c r="F20" s="19" t="n">
        <x:v>20000</x:v>
      </x:c>
      <x:c r="G20" s="19" t="n">
        <x:f>E20-F20</x:f>
        <x:v>257000</x:v>
      </x:c>
      <x:c r="H20" s="19" t="n">
        <x:f>B20+E20</x:f>
        <x:v>296000</x:v>
      </x:c>
      <x:c r="I20" s="19" t="n">
        <x:f>C20+F20</x:f>
        <x:v>65000</x:v>
      </x:c>
      <x:c r="J20" s="19" t="n">
        <x:f>H20-I20</x:f>
        <x:v>231000</x:v>
      </x:c>
      <x:c r="K20" s="19" t="n">
        <x:f>K19+J20</x:f>
        <x:v>540000</x:v>
      </x:c>
      <x:c r="L20" s="20" t="n">
        <x:v>18</x:v>
      </x:c>
      <x:c r="M20" s="20" t="n">
        <x:v>4</x:v>
      </x:c>
      <x:c r="N20" s="20" t="n">
        <x:v>14</x:v>
      </x:c>
      <x:c r="O20" s="20" t="n">
        <x:v>8</x:v>
      </x:c>
    </x:row>
    <x:row r="21" ht="23" customHeight="1">
      <x:c r="A21" s="2" t="str">
        <x:v>2026-10-09_Night</x:v>
      </x:c>
      <x:c r="B21" s="19" t="n">
        <x:v>0</x:v>
      </x:c>
      <x:c r="C21" s="19" t="n">
        <x:v>46000</x:v>
      </x:c>
      <x:c r="D21" s="19" t="n">
        <x:f>B21-C21</x:f>
        <x:v>-46000</x:v>
      </x:c>
      <x:c r="E21" s="19" t="n">
        <x:v>0</x:v>
      </x:c>
      <x:c r="F21" s="19" t="n">
        <x:v>0</x:v>
      </x:c>
      <x:c r="G21" s="19" t="n">
        <x:f>E21-F21</x:f>
        <x:v>0</x:v>
      </x:c>
      <x:c r="H21" s="19" t="n">
        <x:f>B21+E21</x:f>
        <x:v>0</x:v>
      </x:c>
      <x:c r="I21" s="19" t="n">
        <x:f>C21+F21</x:f>
        <x:v>46000</x:v>
      </x:c>
      <x:c r="J21" s="19" t="n">
        <x:f>H21-I21</x:f>
        <x:v>-46000</x:v>
      </x:c>
      <x:c r="K21" s="19" t="n">
        <x:f>K20+J21</x:f>
        <x:v>494000</x:v>
      </x:c>
      <x:c r="L21" s="20" t="n">
        <x:v>2</x:v>
      </x:c>
      <x:c r="M21" s="20" t="n">
        <x:v>2</x:v>
      </x:c>
      <x:c r="N21" s="20" t="n">
        <x:v>0</x:v>
      </x:c>
      <x:c r="O21" s="20" t="n">
        <x:v>5</x:v>
      </x:c>
    </x:row>
    <x:row r="22" ht="23" customHeight="1">
      <x:c r="A22" s="2" t="str">
        <x:v>2026-10-12_Night</x:v>
      </x:c>
      <x:c r="B22" s="19" t="n">
        <x:v>11000</x:v>
      </x:c>
      <x:c r="C22" s="19" t="n">
        <x:v>0</x:v>
      </x:c>
      <x:c r="D22" s="19" t="n">
        <x:f>B22-C22</x:f>
        <x:v>11000</x:v>
      </x:c>
      <x:c r="E22" s="19" t="n">
        <x:v>0</x:v>
      </x:c>
      <x:c r="F22" s="19" t="n">
        <x:v>0</x:v>
      </x:c>
      <x:c r="G22" s="19" t="n">
        <x:f>E22-F22</x:f>
        <x:v>0</x:v>
      </x:c>
      <x:c r="H22" s="19" t="n">
        <x:f>B22+E22</x:f>
        <x:v>11000</x:v>
      </x:c>
      <x:c r="I22" s="19" t="n">
        <x:f>C22+F22</x:f>
        <x:v>0</x:v>
      </x:c>
      <x:c r="J22" s="19" t="n">
        <x:f>H22-I22</x:f>
        <x:v>11000</x:v>
      </x:c>
      <x:c r="K22" s="19" t="n">
        <x:f>K21+J22</x:f>
        <x:v>505000</x:v>
      </x:c>
      <x:c r="L22" s="20" t="n">
        <x:v>1</x:v>
      </x:c>
      <x:c r="M22" s="20" t="n">
        <x:v>1</x:v>
      </x:c>
      <x:c r="N22" s="20" t="n">
        <x:v>0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53000</x:v>
      </x:c>
      <x:c r="D23" s="19" t="n">
        <x:f>B23-C23</x:f>
        <x:v>-53000</x:v>
      </x:c>
      <x:c r="E23" s="19" t="n">
        <x:v>0</x:v>
      </x:c>
      <x:c r="F23" s="19" t="n">
        <x:v>8000</x:v>
      </x:c>
      <x:c r="G23" s="19" t="n">
        <x:f>E23-F23</x:f>
        <x:v>-8000</x:v>
      </x:c>
      <x:c r="H23" s="19" t="n">
        <x:f>B23+E23</x:f>
        <x:v>0</x:v>
      </x:c>
      <x:c r="I23" s="19" t="n">
        <x:f>C23+F23</x:f>
        <x:v>61000</x:v>
      </x:c>
      <x:c r="J23" s="19" t="n">
        <x:f>H23-I23</x:f>
        <x:v>-61000</x:v>
      </x:c>
      <x:c r="K23" s="19" t="n">
        <x:f>K22+J23</x:f>
        <x:v>444000</x:v>
      </x:c>
      <x:c r="L23" s="20" t="n">
        <x:v>3</x:v>
      </x:c>
      <x:c r="M23" s="20" t="n">
        <x:v>2</x:v>
      </x:c>
      <x:c r="N23" s="20" t="n">
        <x:v>1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80000</x:v>
      </x:c>
      <x:c r="D24" s="19" t="n">
        <x:f>B24-C24</x:f>
        <x:v>-80000</x:v>
      </x:c>
      <x:c r="E24" s="19" t="n">
        <x:v>197000</x:v>
      </x:c>
      <x:c r="F24" s="19" t="n">
        <x:v>43000</x:v>
      </x:c>
      <x:c r="G24" s="19" t="n">
        <x:f>E24-F24</x:f>
        <x:v>154000</x:v>
      </x:c>
      <x:c r="H24" s="19" t="n">
        <x:f>B24+E24</x:f>
        <x:v>197000</x:v>
      </x:c>
      <x:c r="I24" s="19" t="n">
        <x:f>C24+F24</x:f>
        <x:v>123000</x:v>
      </x:c>
      <x:c r="J24" s="19" t="n">
        <x:f>H24-I24</x:f>
        <x:v>74000</x:v>
      </x:c>
      <x:c r="K24" s="19" t="n">
        <x:f>K23+J24</x:f>
        <x:v>518000</x:v>
      </x:c>
      <x:c r="L24" s="20" t="n">
        <x:v>5</x:v>
      </x:c>
      <x:c r="M24" s="20" t="n">
        <x:v>2</x:v>
      </x:c>
      <x:c r="N24" s="20" t="n">
        <x:v>3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50000</x:v>
      </x:c>
      <x:c r="D25" s="19" t="n">
        <x:f>B25-C25</x:f>
        <x:v>-50000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103000</x:v>
      </x:c>
      <x:c r="J25" s="19" t="n">
        <x:f>H25-I25</x:f>
        <x:v>-28000</x:v>
      </x:c>
      <x:c r="K25" s="19" t="n">
        <x:f>K24+J25</x:f>
        <x:v>490000</x:v>
      </x:c>
      <x:c r="L25" s="20" t="n">
        <x:v>8</x:v>
      </x:c>
      <x:c r="M25" s="20" t="n">
        <x:v>1</x:v>
      </x:c>
      <x:c r="N25" s="20" t="n">
        <x:v>7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100000</x:v>
      </x:c>
      <x:c r="D26" s="19" t="n">
        <x:f>B26-C26</x:f>
        <x:v>-100000</x:v>
      </x:c>
      <x:c r="E26" s="19" t="n">
        <x:v>147000</x:v>
      </x:c>
      <x:c r="F26" s="19" t="n">
        <x:v>126000</x:v>
      </x:c>
      <x:c r="G26" s="19" t="n">
        <x:f>E26-F26</x:f>
        <x:v>21000</x:v>
      </x:c>
      <x:c r="H26" s="19" t="n">
        <x:f>B26+E26</x:f>
        <x:v>147000</x:v>
      </x:c>
      <x:c r="I26" s="19" t="n">
        <x:f>C26+F26</x:f>
        <x:v>226000</x:v>
      </x:c>
      <x:c r="J26" s="19" t="n">
        <x:f>H26-I26</x:f>
        <x:v>-79000</x:v>
      </x:c>
      <x:c r="K26" s="19" t="n">
        <x:f>K25+J26</x:f>
        <x:v>411000</x:v>
      </x:c>
      <x:c r="L26" s="20" t="n">
        <x:v>14</x:v>
      </x:c>
      <x:c r="M26" s="20" t="n">
        <x:v>2</x:v>
      </x:c>
      <x:c r="N26" s="20" t="n">
        <x:v>12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20000</x:v>
      </x:c>
      <x:c r="D27" s="19" t="n">
        <x:f>B27-C27</x:f>
        <x:v>-20000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113000</x:v>
      </x:c>
      <x:c r="J27" s="19" t="n">
        <x:f>H27-I27</x:f>
        <x:v>-28000</x:v>
      </x:c>
      <x:c r="K27" s="19" t="n">
        <x:f>K26+J27</x:f>
        <x:v>383000</x:v>
      </x:c>
      <x:c r="L27" s="20" t="n">
        <x:v>13</x:v>
      </x:c>
      <x:c r="M27" s="20" t="n">
        <x:v>1</x:v>
      </x:c>
      <x:c r="N27" s="20" t="n">
        <x:v>12</x:v>
      </x:c>
      <x:c r="O27" s="20" t="n">
        <x:v>5</x:v>
      </x:c>
    </x:row>
    <x:row r="28" ht="23" customHeight="1">
      <x:c r="A28" s="2" t="str">
        <x:v>2026-10-20_Night</x:v>
      </x:c>
      <x:c r="B28" s="19" t="n">
        <x:v>80000</x:v>
      </x:c>
      <x:c r="C28" s="19" t="n">
        <x:v>0</x:v>
      </x:c>
      <x:c r="D28" s="19" t="n">
        <x:f>B28-C28</x:f>
        <x:v>80000</x:v>
      </x:c>
      <x:c r="E28" s="19" t="n">
        <x:v>36000</x:v>
      </x:c>
      <x:c r="F28" s="19" t="n">
        <x:v>24000</x:v>
      </x:c>
      <x:c r="G28" s="19" t="n">
        <x:f>E28-F28</x:f>
        <x:v>12000</x:v>
      </x:c>
      <x:c r="H28" s="19" t="n">
        <x:f>B28+E28</x:f>
        <x:v>116000</x:v>
      </x:c>
      <x:c r="I28" s="19" t="n">
        <x:f>C28+F28</x:f>
        <x:v>24000</x:v>
      </x:c>
      <x:c r="J28" s="19" t="n">
        <x:f>H28-I28</x:f>
        <x:v>92000</x:v>
      </x:c>
      <x:c r="K28" s="19" t="n">
        <x:f>K27+J28</x:f>
        <x:v>475000</x:v>
      </x:c>
      <x:c r="L28" s="20" t="n">
        <x:v>9</x:v>
      </x:c>
      <x:c r="M28" s="20" t="n">
        <x:v>3</x:v>
      </x:c>
      <x:c r="N28" s="20" t="n">
        <x:v>6</x:v>
      </x:c>
      <x:c r="O28" s="20" t="n">
        <x:v>5</x:v>
      </x:c>
    </x:row>
    <x:row r="29" ht="23" customHeight="1">
      <x:c r="A29" s="2" t="str">
        <x:v>2026-10-21_Night</x:v>
      </x:c>
      <x:c r="B29" s="19" t="n">
        <x:v>51000</x:v>
      </x:c>
      <x:c r="C29" s="19" t="n">
        <x:v>0</x:v>
      </x:c>
      <x:c r="D29" s="19" t="n">
        <x:f>B29-C29</x:f>
        <x:v>51000</x:v>
      </x:c>
      <x:c r="E29" s="19" t="n">
        <x:v>23000</x:v>
      </x:c>
      <x:c r="F29" s="19" t="n">
        <x:v>85000</x:v>
      </x:c>
      <x:c r="G29" s="19" t="n">
        <x:f>E29-F29</x:f>
        <x:v>-62000</x:v>
      </x:c>
      <x:c r="H29" s="19" t="n">
        <x:f>B29+E29</x:f>
        <x:v>74000</x:v>
      </x:c>
      <x:c r="I29" s="19" t="n">
        <x:f>C29+F29</x:f>
        <x:v>85000</x:v>
      </x:c>
      <x:c r="J29" s="19" t="n">
        <x:f>H29-I29</x:f>
        <x:v>-11000</x:v>
      </x:c>
      <x:c r="K29" s="19" t="n">
        <x:f>K28+J29</x:f>
        <x:v>464000</x:v>
      </x:c>
      <x:c r="L29" s="20" t="n">
        <x:v>5</x:v>
      </x:c>
      <x:c r="M29" s="20" t="n">
        <x:v>1</x:v>
      </x:c>
      <x:c r="N29" s="20" t="n">
        <x:v>4</x:v>
      </x:c>
      <x:c r="O29" s="20" t="n">
        <x:v>7</x:v>
      </x:c>
    </x:row>
    <x:row r="30" ht="23" customHeight="1">
      <x:c r="A30" s="2" t="str">
        <x:v>2026-10-22_Night</x:v>
      </x:c>
      <x:c r="B30" s="19" t="n">
        <x:v>0</x:v>
      </x:c>
      <x:c r="C30" s="19" t="n">
        <x:v>83000</x:v>
      </x:c>
      <x:c r="D30" s="19" t="n">
        <x:f>B30-C30</x:f>
        <x:v>-83000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83000</x:v>
      </x:c>
      <x:c r="J30" s="19" t="n">
        <x:f>H30-I30</x:f>
        <x:v>73000</x:v>
      </x:c>
      <x:c r="K30" s="19" t="n">
        <x:f>K29+J30</x:f>
        <x:v>537000</x:v>
      </x:c>
      <x:c r="L30" s="20" t="n">
        <x:v>5</x:v>
      </x:c>
      <x:c r="M30" s="20" t="n">
        <x:v>2</x:v>
      </x:c>
      <x:c r="N30" s="20" t="n">
        <x:v>3</x:v>
      </x:c>
      <x:c r="O30" s="20" t="n">
        <x:v>6</x:v>
      </x:c>
    </x:row>
    <x:row r="31" ht="23" customHeight="1">
      <x:c r="A31" s="2" t="str">
        <x:v>2026-10-23_Night</x:v>
      </x:c>
      <x:c r="B31" s="19" t="n">
        <x:v>3000</x:v>
      </x:c>
      <x:c r="C31" s="19" t="n">
        <x:v>76000</x:v>
      </x:c>
      <x:c r="D31" s="19" t="n">
        <x:f>B31-C31</x:f>
        <x:v>-73000</x:v>
      </x:c>
      <x:c r="E31" s="19" t="n">
        <x:v>11000</x:v>
      </x:c>
      <x:c r="F31" s="19" t="n">
        <x:v>22000</x:v>
      </x:c>
      <x:c r="G31" s="19" t="n">
        <x:f>E31-F31</x:f>
        <x:v>-11000</x:v>
      </x:c>
      <x:c r="H31" s="19" t="n">
        <x:f>B31+E31</x:f>
        <x:v>14000</x:v>
      </x:c>
      <x:c r="I31" s="19" t="n">
        <x:f>C31+F31</x:f>
        <x:v>98000</x:v>
      </x:c>
      <x:c r="J31" s="19" t="n">
        <x:f>H31-I31</x:f>
        <x:v>-84000</x:v>
      </x:c>
      <x:c r="K31" s="19" t="n">
        <x:f>K30+J31</x:f>
        <x:v>453000</x:v>
      </x:c>
      <x:c r="L31" s="20" t="n">
        <x:v>10</x:v>
      </x:c>
      <x:c r="M31" s="20" t="n">
        <x:v>5</x:v>
      </x:c>
      <x:c r="N31" s="20" t="n">
        <x:v>5</x:v>
      </x:c>
      <x:c r="O31" s="20" t="n">
        <x:v>4</x:v>
      </x:c>
    </x:row>
    <x:row r="32" ht="23" customHeight="1">
      <x:c r="A32" s="24" t="str">
        <x:v>25夜累計</x:v>
      </x:c>
      <x:c r="B32" s="25" t="n">
        <x:f>SUM(B7:B31)</x:f>
        <x:v>491000</x:v>
      </x:c>
      <x:c r="C32" s="25" t="n">
        <x:f>SUM(C7:C31)</x:f>
        <x:v>925000</x:v>
      </x:c>
      <x:c r="D32" s="25" t="n">
        <x:f>B32-C32</x:f>
        <x:v>-434000</x:v>
      </x:c>
      <x:c r="E32" s="25" t="n">
        <x:f>SUM(E7:E31)</x:f>
        <x:v>1676000</x:v>
      </x:c>
      <x:c r="F32" s="25" t="n">
        <x:f>SUM(F7:F31)</x:f>
        <x:v>789000</x:v>
      </x:c>
      <x:c r="G32" s="25" t="n">
        <x:f>E32-F32</x:f>
        <x:v>887000</x:v>
      </x:c>
      <x:c r="H32" s="25" t="n">
        <x:f>B32+E32</x:f>
        <x:v>2167000</x:v>
      </x:c>
      <x:c r="I32" s="25" t="n">
        <x:f>C32+F32</x:f>
        <x:v>1714000</x:v>
      </x:c>
      <x:c r="J32" s="25" t="n">
        <x:f>H32-I32</x:f>
        <x:v>453000</x:v>
      </x:c>
      <x:c r="K32" s="25" t="n">
        <x:f>K31</x:f>
        <x:v>453000</x:v>
      </x:c>
      <x:c r="L32" s="26" t="n">
        <x:f>SUM(L7:L31)</x:f>
        <x:v>169</x:v>
      </x:c>
      <x:c r="M32" s="26" t="n">
        <x:f>SUM(M7:M31)</x:f>
        <x:v>50</x:v>
      </x:c>
      <x:c r="N32" s="26" t="n">
        <x:f>SUM(N7:N31)</x:f>
        <x:v>119</x:v>
      </x:c>
      <x:c r="O32" s="26" t="n">
        <x:f>MAX(O7:O31)</x:f>
        <x:v>10</x:v>
      </x:c>
    </x:row>
  </x:sheetData>
  <x:conditionalFormatting sqref="B7:K32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ad797872264604"/>
  </x:tableParts>
</x:worksheet>
</file>

<file path=xl/worksheets/sheet8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C06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主担当枠5枚だけ・17時解禁、再配分なし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52000</x:v>
      </x:c>
      <x:c r="C7" s="19" t="n">
        <x:v>0</x:v>
      </x:c>
      <x:c r="D7" s="19" t="n">
        <x:f>B7-C7</x:f>
        <x:v>52000</x:v>
      </x:c>
      <x:c r="E7" s="19" t="n">
        <x:v>0</x:v>
      </x:c>
      <x:c r="F7" s="19" t="n">
        <x:v>0</x:v>
      </x:c>
      <x:c r="G7" s="19" t="n">
        <x:f>E7-F7</x:f>
        <x:v>0</x:v>
      </x:c>
      <x:c r="H7" s="19" t="n">
        <x:f>B7+E7</x:f>
        <x:v>52000</x:v>
      </x:c>
      <x:c r="I7" s="19" t="n">
        <x:f>C7+F7</x:f>
        <x:v>0</x:v>
      </x:c>
      <x:c r="J7" s="19" t="n">
        <x:f>H7-I7</x:f>
        <x:v>52000</x:v>
      </x:c>
      <x:c r="K7" s="19" t="n">
        <x:f>J7</x:f>
        <x:v>52000</x:v>
      </x:c>
      <x:c r="L7" s="20" t="n">
        <x:v>1</x:v>
      </x:c>
      <x:c r="M7" s="20" t="n">
        <x:v>1</x:v>
      </x:c>
      <x:c r="N7" s="20" t="n">
        <x:v>0</x:v>
      </x:c>
      <x:c r="O7" s="20" t="n">
        <x:v>5</x:v>
      </x:c>
    </x:row>
    <x:row r="8" ht="23" customHeight="1">
      <x:c r="A8" s="2" t="str">
        <x:v>2026-09-22_Night</x:v>
      </x:c>
      <x:c r="B8" s="19" t="n">
        <x:v>51000</x:v>
      </x:c>
      <x:c r="C8" s="19" t="n">
        <x:v>0</x:v>
      </x:c>
      <x:c r="D8" s="19" t="n">
        <x:f>B8-C8</x:f>
        <x:v>51000</x:v>
      </x:c>
      <x:c r="E8" s="19" t="n">
        <x:v>0</x:v>
      </x:c>
      <x:c r="F8" s="19" t="n">
        <x:v>0</x:v>
      </x:c>
      <x:c r="G8" s="19" t="n">
        <x:f>E8-F8</x:f>
        <x:v>0</x:v>
      </x:c>
      <x:c r="H8" s="19" t="n">
        <x:f>B8+E8</x:f>
        <x:v>51000</x:v>
      </x:c>
      <x:c r="I8" s="19" t="n">
        <x:f>C8+F8</x:f>
        <x:v>0</x:v>
      </x:c>
      <x:c r="J8" s="19" t="n">
        <x:f>H8-I8</x:f>
        <x:v>51000</x:v>
      </x:c>
      <x:c r="K8" s="19" t="n">
        <x:f>K7+J8</x:f>
        <x:v>103000</x:v>
      </x:c>
      <x:c r="L8" s="20" t="n">
        <x:v>2</x:v>
      </x:c>
      <x:c r="M8" s="20" t="n">
        <x:v>2</x:v>
      </x:c>
      <x:c r="N8" s="20" t="n">
        <x:v>0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40000</x:v>
      </x:c>
      <x:c r="D9" s="19" t="n">
        <x:f>B9-C9</x:f>
        <x:v>-40000</x:v>
      </x:c>
      <x:c r="E9" s="19" t="n">
        <x:v>29000</x:v>
      </x:c>
      <x:c r="F9" s="19" t="n">
        <x:v>0</x:v>
      </x:c>
      <x:c r="G9" s="19" t="n">
        <x:f>E9-F9</x:f>
        <x:v>29000</x:v>
      </x:c>
      <x:c r="H9" s="19" t="n">
        <x:f>B9+E9</x:f>
        <x:v>29000</x:v>
      </x:c>
      <x:c r="I9" s="19" t="n">
        <x:f>C9+F9</x:f>
        <x:v>40000</x:v>
      </x:c>
      <x:c r="J9" s="19" t="n">
        <x:f>H9-I9</x:f>
        <x:v>-11000</x:v>
      </x:c>
      <x:c r="K9" s="19" t="n">
        <x:f>K8+J9</x:f>
        <x:v>92000</x:v>
      </x:c>
      <x:c r="L9" s="20" t="n">
        <x:v>2</x:v>
      </x:c>
      <x:c r="M9" s="20" t="n">
        <x:v>1</x:v>
      </x:c>
      <x:c r="N9" s="20" t="n">
        <x:v>1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79000</x:v>
      </x:c>
      <x:c r="D10" s="19" t="n">
        <x:f>B10-C10</x:f>
        <x:v>-79000</x:v>
      </x:c>
      <x:c r="E10" s="19" t="n">
        <x:v>0</x:v>
      </x:c>
      <x:c r="F10" s="19" t="n">
        <x:v>0</x:v>
      </x:c>
      <x:c r="G10" s="19" t="n">
        <x:f>E10-F10</x:f>
        <x:v>0</x:v>
      </x:c>
      <x:c r="H10" s="19" t="n">
        <x:f>B10+E10</x:f>
        <x:v>0</x:v>
      </x:c>
      <x:c r="I10" s="19" t="n">
        <x:f>C10+F10</x:f>
        <x:v>79000</x:v>
      </x:c>
      <x:c r="J10" s="19" t="n">
        <x:f>H10-I10</x:f>
        <x:v>-79000</x:v>
      </x:c>
      <x:c r="K10" s="19" t="n">
        <x:f>K9+J10</x:f>
        <x:v>13000</x:v>
      </x:c>
      <x:c r="L10" s="20" t="n">
        <x:v>2</x:v>
      </x:c>
      <x:c r="M10" s="20" t="n">
        <x:v>2</x:v>
      </x:c>
      <x:c r="N10" s="20" t="n">
        <x:v>0</x:v>
      </x:c>
      <x:c r="O10" s="20" t="n">
        <x:v>5</x:v>
      </x:c>
    </x:row>
    <x:row r="11" ht="23" customHeight="1">
      <x:c r="A11" s="2" t="str">
        <x:v>2026-09-25_Night</x:v>
      </x:c>
      <x:c r="B11" s="19" t="n">
        <x:v>26000</x:v>
      </x:c>
      <x:c r="C11" s="19" t="n">
        <x:v>0</x:v>
      </x:c>
      <x:c r="D11" s="19" t="n">
        <x:f>B11-C11</x:f>
        <x:v>26000</x:v>
      </x:c>
      <x:c r="E11" s="19" t="n">
        <x:v>0</x:v>
      </x:c>
      <x:c r="F11" s="19" t="n">
        <x:v>0</x:v>
      </x:c>
      <x:c r="G11" s="19" t="n">
        <x:f>E11-F11</x:f>
        <x:v>0</x:v>
      </x:c>
      <x:c r="H11" s="19" t="n">
        <x:f>B11+E11</x:f>
        <x:v>26000</x:v>
      </x:c>
      <x:c r="I11" s="19" t="n">
        <x:f>C11+F11</x:f>
        <x:v>0</x:v>
      </x:c>
      <x:c r="J11" s="19" t="n">
        <x:f>H11-I11</x:f>
        <x:v>26000</x:v>
      </x:c>
      <x:c r="K11" s="19" t="n">
        <x:f>K10+J11</x:f>
        <x:v>39000</x:v>
      </x:c>
      <x:c r="L11" s="20" t="n">
        <x:v>1</x:v>
      </x:c>
      <x:c r="M11" s="20" t="n">
        <x:v>1</x:v>
      </x:c>
      <x:c r="N11" s="20" t="n">
        <x:v>0</x:v>
      </x:c>
      <x:c r="O11" s="20" t="n">
        <x:v>2</x:v>
      </x:c>
    </x:row>
    <x:row r="12" ht="23" customHeight="1">
      <x:c r="A12" s="2" t="str">
        <x:v>2026-09-28_Night</x:v>
      </x:c>
      <x:c r="B12" s="19" t="n">
        <x:v>0</x:v>
      </x:c>
      <x:c r="C12" s="19" t="n">
        <x:v>21000</x:v>
      </x:c>
      <x:c r="D12" s="19" t="n">
        <x:f>B12-C12</x:f>
        <x:v>-21000</x:v>
      </x:c>
      <x:c r="E12" s="19" t="n">
        <x:v>0</x:v>
      </x:c>
      <x:c r="F12" s="19" t="n">
        <x:v>0</x:v>
      </x:c>
      <x:c r="G12" s="19" t="n">
        <x:f>E12-F12</x:f>
        <x:v>0</x:v>
      </x:c>
      <x:c r="H12" s="19" t="n">
        <x:f>B12+E12</x:f>
        <x:v>0</x:v>
      </x:c>
      <x:c r="I12" s="19" t="n">
        <x:f>C12+F12</x:f>
        <x:v>21000</x:v>
      </x:c>
      <x:c r="J12" s="19" t="n">
        <x:f>H12-I12</x:f>
        <x:v>-21000</x:v>
      </x:c>
      <x:c r="K12" s="19" t="n">
        <x:f>K11+J12</x:f>
        <x:v>18000</x:v>
      </x:c>
      <x:c r="L12" s="20" t="n">
        <x:v>1</x:v>
      </x:c>
      <x:c r="M12" s="20" t="n">
        <x:v>1</x:v>
      </x:c>
      <x:c r="N12" s="20" t="n">
        <x:v>0</x:v>
      </x:c>
      <x:c r="O12" s="20" t="n">
        <x:v>3</x:v>
      </x:c>
    </x:row>
    <x:row r="13" ht="23" customHeight="1">
      <x:c r="A13" s="2" t="str">
        <x:v>2026-09-29_Night</x:v>
      </x:c>
      <x:c r="B13" s="19" t="n">
        <x:v>0</x:v>
      </x:c>
      <x:c r="C13" s="19" t="n">
        <x:v>50000</x:v>
      </x:c>
      <x:c r="D13" s="19" t="n">
        <x:f>B13-C13</x:f>
        <x:v>-50000</x:v>
      </x:c>
      <x:c r="E13" s="19" t="n">
        <x:v>87000</x:v>
      </x:c>
      <x:c r="F13" s="19" t="n">
        <x:v>0</x:v>
      </x:c>
      <x:c r="G13" s="19" t="n">
        <x:f>E13-F13</x:f>
        <x:v>87000</x:v>
      </x:c>
      <x:c r="H13" s="19" t="n">
        <x:f>B13+E13</x:f>
        <x:v>87000</x:v>
      </x:c>
      <x:c r="I13" s="19" t="n">
        <x:f>C13+F13</x:f>
        <x:v>50000</x:v>
      </x:c>
      <x:c r="J13" s="19" t="n">
        <x:f>H13-I13</x:f>
        <x:v>37000</x:v>
      </x:c>
      <x:c r="K13" s="19" t="n">
        <x:f>K12+J13</x:f>
        <x:v>55000</x:v>
      </x:c>
      <x:c r="L13" s="20" t="n">
        <x:v>3</x:v>
      </x:c>
      <x:c r="M13" s="20" t="n">
        <x:v>1</x:v>
      </x:c>
      <x:c r="N13" s="20" t="n">
        <x:v>2</x:v>
      </x:c>
      <x:c r="O13" s="20" t="n">
        <x:v>5</x:v>
      </x:c>
    </x:row>
    <x:row r="14" ht="23" customHeight="1">
      <x:c r="A14" s="2" t="str">
        <x:v>2026-09-30_Night</x:v>
      </x:c>
      <x:c r="B14" s="19" t="n">
        <x:v>32000</x:v>
      </x:c>
      <x:c r="C14" s="19" t="n">
        <x:v>0</x:v>
      </x:c>
      <x:c r="D14" s="19" t="n">
        <x:f>B14-C14</x:f>
        <x:v>32000</x:v>
      </x:c>
      <x:c r="E14" s="19" t="n">
        <x:v>0</x:v>
      </x:c>
      <x:c r="F14" s="19" t="n">
        <x:v>0</x:v>
      </x:c>
      <x:c r="G14" s="19" t="n">
        <x:f>E14-F14</x:f>
        <x:v>0</x:v>
      </x:c>
      <x:c r="H14" s="19" t="n">
        <x:f>B14+E14</x:f>
        <x:v>32000</x:v>
      </x:c>
      <x:c r="I14" s="19" t="n">
        <x:f>C14+F14</x:f>
        <x:v>0</x:v>
      </x:c>
      <x:c r="J14" s="19" t="n">
        <x:f>H14-I14</x:f>
        <x:v>32000</x:v>
      </x:c>
      <x:c r="K14" s="19" t="n">
        <x:f>K13+J14</x:f>
        <x:v>87000</x:v>
      </x:c>
      <x:c r="L14" s="20" t="n">
        <x:v>1</x:v>
      </x:c>
      <x:c r="M14" s="20" t="n">
        <x:v>1</x:v>
      </x:c>
      <x:c r="N14" s="20" t="n">
        <x:v>0</x:v>
      </x:c>
      <x:c r="O14" s="20" t="n">
        <x:v>3</x:v>
      </x:c>
    </x:row>
    <x:row r="15" ht="23" customHeight="1">
      <x:c r="A15" s="2" t="str">
        <x:v>2026-10-01_Night</x:v>
      </x:c>
      <x:c r="B15" s="19" t="n">
        <x:v>0</x:v>
      </x:c>
      <x:c r="C15" s="19" t="n">
        <x:v>40000</x:v>
      </x:c>
      <x:c r="D15" s="19" t="n">
        <x:f>B15-C15</x:f>
        <x:v>-40000</x:v>
      </x:c>
      <x:c r="E15" s="19" t="n">
        <x:v>0</x:v>
      </x:c>
      <x:c r="F15" s="19" t="n">
        <x:v>0</x:v>
      </x:c>
      <x:c r="G15" s="19" t="n">
        <x:f>E15-F15</x:f>
        <x:v>0</x:v>
      </x:c>
      <x:c r="H15" s="19" t="n">
        <x:f>B15+E15</x:f>
        <x:v>0</x:v>
      </x:c>
      <x:c r="I15" s="19" t="n">
        <x:f>C15+F15</x:f>
        <x:v>40000</x:v>
      </x:c>
      <x:c r="J15" s="19" t="n">
        <x:f>H15-I15</x:f>
        <x:v>-40000</x:v>
      </x:c>
      <x:c r="K15" s="19" t="n">
        <x:f>K14+J15</x:f>
        <x:v>47000</x:v>
      </x:c>
      <x:c r="L15" s="20" t="n">
        <x:v>2</x:v>
      </x:c>
      <x:c r="M15" s="20" t="n">
        <x:v>2</x:v>
      </x:c>
      <x:c r="N15" s="20" t="n">
        <x:v>0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48000</x:v>
      </x:c>
      <x:c r="D16" s="19" t="n">
        <x:f>B16-C16</x:f>
        <x:v>-48000</x:v>
      </x:c>
      <x:c r="E16" s="19" t="n">
        <x:v>101000</x:v>
      </x:c>
      <x:c r="F16" s="19" t="n">
        <x:v>0</x:v>
      </x:c>
      <x:c r="G16" s="19" t="n">
        <x:f>E16-F16</x:f>
        <x:v>101000</x:v>
      </x:c>
      <x:c r="H16" s="19" t="n">
        <x:f>B16+E16</x:f>
        <x:v>101000</x:v>
      </x:c>
      <x:c r="I16" s="19" t="n">
        <x:f>C16+F16</x:f>
        <x:v>48000</x:v>
      </x:c>
      <x:c r="J16" s="19" t="n">
        <x:f>H16-I16</x:f>
        <x:v>53000</x:v>
      </x:c>
      <x:c r="K16" s="19" t="n">
        <x:f>K15+J16</x:f>
        <x:v>100000</x:v>
      </x:c>
      <x:c r="L16" s="20" t="n">
        <x:v>2</x:v>
      </x:c>
      <x:c r="M16" s="20" t="n">
        <x:v>1</x:v>
      </x:c>
      <x:c r="N16" s="20" t="n">
        <x:v>1</x:v>
      </x:c>
      <x:c r="O16" s="20" t="n">
        <x:v>5</x:v>
      </x:c>
    </x:row>
    <x:row r="17" ht="23" customHeight="1">
      <x:c r="A17" s="2" t="str">
        <x:v>2026-10-05_Night</x:v>
      </x:c>
      <x:c r="B17" s="19" t="n">
        <x:v>53000</x:v>
      </x:c>
      <x:c r="C17" s="19" t="n">
        <x:v>0</x:v>
      </x:c>
      <x:c r="D17" s="19" t="n">
        <x:f>B17-C17</x:f>
        <x:v>53000</x:v>
      </x:c>
      <x:c r="E17" s="19" t="n">
        <x:v>0</x:v>
      </x:c>
      <x:c r="F17" s="19" t="n">
        <x:v>20000</x:v>
      </x:c>
      <x:c r="G17" s="19" t="n">
        <x:f>E17-F17</x:f>
        <x:v>-20000</x:v>
      </x:c>
      <x:c r="H17" s="19" t="n">
        <x:f>B17+E17</x:f>
        <x:v>53000</x:v>
      </x:c>
      <x:c r="I17" s="19" t="n">
        <x:f>C17+F17</x:f>
        <x:v>20000</x:v>
      </x:c>
      <x:c r="J17" s="19" t="n">
        <x:f>H17-I17</x:f>
        <x:v>33000</x:v>
      </x:c>
      <x:c r="K17" s="19" t="n">
        <x:f>K16+J17</x:f>
        <x:v>133000</x:v>
      </x:c>
      <x:c r="L17" s="20" t="n">
        <x:v>2</x:v>
      </x:c>
      <x:c r="M17" s="20" t="n">
        <x:v>1</x:v>
      </x:c>
      <x:c r="N17" s="20" t="n">
        <x:v>1</x:v>
      </x:c>
      <x:c r="O17" s="20" t="n">
        <x:v>5</x:v>
      </x:c>
    </x:row>
    <x:row r="18" ht="23" customHeight="1">
      <x:c r="A18" s="2" t="str">
        <x:v>2026-10-06_Night</x:v>
      </x:c>
      <x:c r="B18" s="19" t="n">
        <x:v>87000</x:v>
      </x:c>
      <x:c r="C18" s="19" t="n">
        <x:v>0</x:v>
      </x:c>
      <x:c r="D18" s="19" t="n">
        <x:f>B18-C18</x:f>
        <x:v>87000</x:v>
      </x:c>
      <x:c r="E18" s="19" t="n">
        <x:v>0</x:v>
      </x:c>
      <x:c r="F18" s="19" t="n">
        <x:v>35000</x:v>
      </x:c>
      <x:c r="G18" s="19" t="n">
        <x:f>E18-F18</x:f>
        <x:v>-35000</x:v>
      </x:c>
      <x:c r="H18" s="19" t="n">
        <x:f>B18+E18</x:f>
        <x:v>87000</x:v>
      </x:c>
      <x:c r="I18" s="19" t="n">
        <x:f>C18+F18</x:f>
        <x:v>35000</x:v>
      </x:c>
      <x:c r="J18" s="19" t="n">
        <x:f>H18-I18</x:f>
        <x:v>52000</x:v>
      </x:c>
      <x:c r="K18" s="19" t="n">
        <x:f>K17+J18</x:f>
        <x:v>185000</x:v>
      </x:c>
      <x:c r="L18" s="20" t="n">
        <x:v>2</x:v>
      </x:c>
      <x:c r="M18" s="20" t="n">
        <x:v>1</x:v>
      </x:c>
      <x:c r="N18" s="20" t="n">
        <x:v>1</x:v>
      </x:c>
      <x:c r="O18" s="20" t="n">
        <x:v>5</x:v>
      </x:c>
    </x:row>
    <x:row r="19" ht="23" customHeight="1">
      <x:c r="A19" s="2" t="str">
        <x:v>2026-10-07_Night</x:v>
      </x:c>
      <x:c r="B19" s="19" t="n">
        <x:v>0</x:v>
      </x:c>
      <x:c r="C19" s="19" t="n">
        <x:v>55000</x:v>
      </x:c>
      <x:c r="D19" s="19" t="n">
        <x:f>B19-C19</x:f>
        <x:v>-55000</x:v>
      </x:c>
      <x:c r="E19" s="19" t="n">
        <x:v>0</x:v>
      </x:c>
      <x:c r="F19" s="19" t="n">
        <x:v>0</x:v>
      </x:c>
      <x:c r="G19" s="19" t="n">
        <x:f>E19-F19</x:f>
        <x:v>0</x:v>
      </x:c>
      <x:c r="H19" s="19" t="n">
        <x:f>B19+E19</x:f>
        <x:v>0</x:v>
      </x:c>
      <x:c r="I19" s="19" t="n">
        <x:f>C19+F19</x:f>
        <x:v>55000</x:v>
      </x:c>
      <x:c r="J19" s="19" t="n">
        <x:f>H19-I19</x:f>
        <x:v>-55000</x:v>
      </x:c>
      <x:c r="K19" s="19" t="n">
        <x:f>K18+J19</x:f>
        <x:v>130000</x:v>
      </x:c>
      <x:c r="L19" s="20" t="n">
        <x:v>1</x:v>
      </x:c>
      <x:c r="M19" s="20" t="n">
        <x:v>1</x:v>
      </x:c>
      <x:c r="N19" s="20" t="n">
        <x:v>0</x:v>
      </x:c>
      <x:c r="O19" s="20" t="n">
        <x:v>5</x:v>
      </x:c>
    </x:row>
    <x:row r="20" ht="23" customHeight="1">
      <x:c r="A20" s="2" t="str">
        <x:v>2026-10-08_Night</x:v>
      </x:c>
      <x:c r="B20" s="19" t="n">
        <x:v>14000</x:v>
      </x:c>
      <x:c r="C20" s="19" t="n">
        <x:v>45000</x:v>
      </x:c>
      <x:c r="D20" s="19" t="n">
        <x:f>B20-C20</x:f>
        <x:v>-31000</x:v>
      </x:c>
      <x:c r="E20" s="19" t="n">
        <x:v>23000</x:v>
      </x:c>
      <x:c r="F20" s="19" t="n">
        <x:v>0</x:v>
      </x:c>
      <x:c r="G20" s="19" t="n">
        <x:f>E20-F20</x:f>
        <x:v>23000</x:v>
      </x:c>
      <x:c r="H20" s="19" t="n">
        <x:f>B20+E20</x:f>
        <x:v>37000</x:v>
      </x:c>
      <x:c r="I20" s="19" t="n">
        <x:f>C20+F20</x:f>
        <x:v>45000</x:v>
      </x:c>
      <x:c r="J20" s="19" t="n">
        <x:f>H20-I20</x:f>
        <x:v>-8000</x:v>
      </x:c>
      <x:c r="K20" s="19" t="n">
        <x:f>K19+J20</x:f>
        <x:v>122000</x:v>
      </x:c>
      <x:c r="L20" s="20" t="n">
        <x:v>3</x:v>
      </x:c>
      <x:c r="M20" s="20" t="n">
        <x:v>2</x:v>
      </x:c>
      <x:c r="N20" s="20" t="n">
        <x:v>1</x:v>
      </x:c>
      <x:c r="O20" s="20" t="n">
        <x:v>5</x:v>
      </x:c>
    </x:row>
    <x:row r="21" ht="23" customHeight="1">
      <x:c r="A21" s="2" t="str">
        <x:v>2026-10-09_Night</x:v>
      </x:c>
      <x:c r="B21" s="19" t="n">
        <x:v>0</x:v>
      </x:c>
      <x:c r="C21" s="19" t="n">
        <x:v>46000</x:v>
      </x:c>
      <x:c r="D21" s="19" t="n">
        <x:f>B21-C21</x:f>
        <x:v>-46000</x:v>
      </x:c>
      <x:c r="E21" s="19" t="n">
        <x:v>0</x:v>
      </x:c>
      <x:c r="F21" s="19" t="n">
        <x:v>0</x:v>
      </x:c>
      <x:c r="G21" s="19" t="n">
        <x:f>E21-F21</x:f>
        <x:v>0</x:v>
      </x:c>
      <x:c r="H21" s="19" t="n">
        <x:f>B21+E21</x:f>
        <x:v>0</x:v>
      </x:c>
      <x:c r="I21" s="19" t="n">
        <x:f>C21+F21</x:f>
        <x:v>46000</x:v>
      </x:c>
      <x:c r="J21" s="19" t="n">
        <x:f>H21-I21</x:f>
        <x:v>-46000</x:v>
      </x:c>
      <x:c r="K21" s="19" t="n">
        <x:f>K20+J21</x:f>
        <x:v>76000</x:v>
      </x:c>
      <x:c r="L21" s="20" t="n">
        <x:v>2</x:v>
      </x:c>
      <x:c r="M21" s="20" t="n">
        <x:v>2</x:v>
      </x:c>
      <x:c r="N21" s="20" t="n">
        <x:v>0</x:v>
      </x:c>
      <x:c r="O21" s="20" t="n">
        <x:v>5</x:v>
      </x:c>
    </x:row>
    <x:row r="22" ht="23" customHeight="1">
      <x:c r="A22" s="2" t="str">
        <x:v>2026-10-12_Night</x:v>
      </x:c>
      <x:c r="B22" s="19" t="n">
        <x:v>11000</x:v>
      </x:c>
      <x:c r="C22" s="19" t="n">
        <x:v>0</x:v>
      </x:c>
      <x:c r="D22" s="19" t="n">
        <x:f>B22-C22</x:f>
        <x:v>11000</x:v>
      </x:c>
      <x:c r="E22" s="19" t="n">
        <x:v>0</x:v>
      </x:c>
      <x:c r="F22" s="19" t="n">
        <x:v>0</x:v>
      </x:c>
      <x:c r="G22" s="19" t="n">
        <x:f>E22-F22</x:f>
        <x:v>0</x:v>
      </x:c>
      <x:c r="H22" s="19" t="n">
        <x:f>B22+E22</x:f>
        <x:v>11000</x:v>
      </x:c>
      <x:c r="I22" s="19" t="n">
        <x:f>C22+F22</x:f>
        <x:v>0</x:v>
      </x:c>
      <x:c r="J22" s="19" t="n">
        <x:f>H22-I22</x:f>
        <x:v>11000</x:v>
      </x:c>
      <x:c r="K22" s="19" t="n">
        <x:f>K21+J22</x:f>
        <x:v>87000</x:v>
      </x:c>
      <x:c r="L22" s="20" t="n">
        <x:v>1</x:v>
      </x:c>
      <x:c r="M22" s="20" t="n">
        <x:v>1</x:v>
      </x:c>
      <x:c r="N22" s="20" t="n">
        <x:v>0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53000</x:v>
      </x:c>
      <x:c r="D23" s="19" t="n">
        <x:f>B23-C23</x:f>
        <x:v>-53000</x:v>
      </x:c>
      <x:c r="E23" s="19" t="n">
        <x:v>0</x:v>
      </x:c>
      <x:c r="F23" s="19" t="n">
        <x:v>0</x:v>
      </x:c>
      <x:c r="G23" s="19" t="n">
        <x:f>E23-F23</x:f>
        <x:v>0</x:v>
      </x:c>
      <x:c r="H23" s="19" t="n">
        <x:f>B23+E23</x:f>
        <x:v>0</x:v>
      </x:c>
      <x:c r="I23" s="19" t="n">
        <x:f>C23+F23</x:f>
        <x:v>53000</x:v>
      </x:c>
      <x:c r="J23" s="19" t="n">
        <x:f>H23-I23</x:f>
        <x:v>-53000</x:v>
      </x:c>
      <x:c r="K23" s="19" t="n">
        <x:f>K22+J23</x:f>
        <x:v>34000</x:v>
      </x:c>
      <x:c r="L23" s="20" t="n">
        <x:v>2</x:v>
      </x:c>
      <x:c r="M23" s="20" t="n">
        <x:v>2</x:v>
      </x:c>
      <x:c r="N23" s="20" t="n">
        <x:v>0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80000</x:v>
      </x:c>
      <x:c r="D24" s="19" t="n">
        <x:f>B24-C24</x:f>
        <x:v>-80000</x:v>
      </x:c>
      <x:c r="E24" s="19" t="n">
        <x:v>197000</x:v>
      </x:c>
      <x:c r="F24" s="19" t="n">
        <x:v>0</x:v>
      </x:c>
      <x:c r="G24" s="19" t="n">
        <x:f>E24-F24</x:f>
        <x:v>197000</x:v>
      </x:c>
      <x:c r="H24" s="19" t="n">
        <x:f>B24+E24</x:f>
        <x:v>197000</x:v>
      </x:c>
      <x:c r="I24" s="19" t="n">
        <x:f>C24+F24</x:f>
        <x:v>80000</x:v>
      </x:c>
      <x:c r="J24" s="19" t="n">
        <x:f>H24-I24</x:f>
        <x:v>117000</x:v>
      </x:c>
      <x:c r="K24" s="19" t="n">
        <x:f>K23+J24</x:f>
        <x:v>151000</x:v>
      </x:c>
      <x:c r="L24" s="20" t="n">
        <x:v>3</x:v>
      </x:c>
      <x:c r="M24" s="20" t="n">
        <x:v>2</x:v>
      </x:c>
      <x:c r="N24" s="20" t="n">
        <x:v>1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50000</x:v>
      </x:c>
      <x:c r="D25" s="19" t="n">
        <x:f>B25-C25</x:f>
        <x:v>-50000</x:v>
      </x:c>
      <x:c r="E25" s="19" t="n">
        <x:v>0</x:v>
      </x:c>
      <x:c r="F25" s="19" t="n">
        <x:v>0</x:v>
      </x:c>
      <x:c r="G25" s="19" t="n">
        <x:f>E25-F25</x:f>
        <x:v>0</x:v>
      </x:c>
      <x:c r="H25" s="19" t="n">
        <x:f>B25+E25</x:f>
        <x:v>0</x:v>
      </x:c>
      <x:c r="I25" s="19" t="n">
        <x:f>C25+F25</x:f>
        <x:v>50000</x:v>
      </x:c>
      <x:c r="J25" s="19" t="n">
        <x:f>H25-I25</x:f>
        <x:v>-50000</x:v>
      </x:c>
      <x:c r="K25" s="19" t="n">
        <x:f>K24+J25</x:f>
        <x:v>101000</x:v>
      </x:c>
      <x:c r="L25" s="20" t="n">
        <x:v>1</x:v>
      </x:c>
      <x:c r="M25" s="20" t="n">
        <x:v>1</x:v>
      </x:c>
      <x:c r="N25" s="20" t="n">
        <x:v>0</x:v>
      </x:c>
      <x:c r="O25" s="20" t="n">
        <x:v>2</x:v>
      </x:c>
    </x:row>
    <x:row r="26" ht="23" customHeight="1">
      <x:c r="A26" s="2" t="str">
        <x:v>2026-10-16_Night</x:v>
      </x:c>
      <x:c r="B26" s="19" t="n">
        <x:v>0</x:v>
      </x:c>
      <x:c r="C26" s="19" t="n">
        <x:v>100000</x:v>
      </x:c>
      <x:c r="D26" s="19" t="n">
        <x:f>B26-C26</x:f>
        <x:v>-100000</x:v>
      </x:c>
      <x:c r="E26" s="19" t="n">
        <x:v>55000</x:v>
      </x:c>
      <x:c r="F26" s="19" t="n">
        <x:v>0</x:v>
      </x:c>
      <x:c r="G26" s="19" t="n">
        <x:f>E26-F26</x:f>
        <x:v>55000</x:v>
      </x:c>
      <x:c r="H26" s="19" t="n">
        <x:f>B26+E26</x:f>
        <x:v>55000</x:v>
      </x:c>
      <x:c r="I26" s="19" t="n">
        <x:f>C26+F26</x:f>
        <x:v>100000</x:v>
      </x:c>
      <x:c r="J26" s="19" t="n">
        <x:f>H26-I26</x:f>
        <x:v>-45000</x:v>
      </x:c>
      <x:c r="K26" s="19" t="n">
        <x:f>K25+J26</x:f>
        <x:v>56000</x:v>
      </x:c>
      <x:c r="L26" s="20" t="n">
        <x:v>4</x:v>
      </x:c>
      <x:c r="M26" s="20" t="n">
        <x:v>2</x:v>
      </x:c>
      <x:c r="N26" s="20" t="n">
        <x:v>2</x:v>
      </x:c>
      <x:c r="O26" s="20" t="n">
        <x:v>5</x:v>
      </x:c>
    </x:row>
    <x:row r="27" ht="23" customHeight="1">
      <x:c r="A27" s="2" t="str">
        <x:v>2026-10-19_Night</x:v>
      </x:c>
      <x:c r="B27" s="19" t="n">
        <x:v>0</x:v>
      </x:c>
      <x:c r="C27" s="19" t="n">
        <x:v>20000</x:v>
      </x:c>
      <x:c r="D27" s="19" t="n">
        <x:f>B27-C27</x:f>
        <x:v>-20000</x:v>
      </x:c>
      <x:c r="E27" s="19" t="n">
        <x:v>45000</x:v>
      </x:c>
      <x:c r="F27" s="19" t="n">
        <x:v>0</x:v>
      </x:c>
      <x:c r="G27" s="19" t="n">
        <x:f>E27-F27</x:f>
        <x:v>45000</x:v>
      </x:c>
      <x:c r="H27" s="19" t="n">
        <x:f>B27+E27</x:f>
        <x:v>45000</x:v>
      </x:c>
      <x:c r="I27" s="19" t="n">
        <x:f>C27+F27</x:f>
        <x:v>20000</x:v>
      </x:c>
      <x:c r="J27" s="19" t="n">
        <x:f>H27-I27</x:f>
        <x:v>25000</x:v>
      </x:c>
      <x:c r="K27" s="19" t="n">
        <x:f>K26+J27</x:f>
        <x:v>81000</x:v>
      </x:c>
      <x:c r="L27" s="20" t="n">
        <x:v>2</x:v>
      </x:c>
      <x:c r="M27" s="20" t="n">
        <x:v>1</x:v>
      </x:c>
      <x:c r="N27" s="20" t="n">
        <x:v>1</x:v>
      </x:c>
      <x:c r="O27" s="20" t="n">
        <x:v>5</x:v>
      </x:c>
    </x:row>
    <x:row r="28" ht="23" customHeight="1">
      <x:c r="A28" s="2" t="str">
        <x:v>2026-10-20_Night</x:v>
      </x:c>
      <x:c r="B28" s="19" t="n">
        <x:v>46000</x:v>
      </x:c>
      <x:c r="C28" s="19" t="n">
        <x:v>0</x:v>
      </x:c>
      <x:c r="D28" s="19" t="n">
        <x:f>B28-C28</x:f>
        <x:v>46000</x:v>
      </x:c>
      <x:c r="E28" s="19" t="n">
        <x:v>0</x:v>
      </x:c>
      <x:c r="F28" s="19" t="n">
        <x:v>0</x:v>
      </x:c>
      <x:c r="G28" s="19" t="n">
        <x:f>E28-F28</x:f>
        <x:v>0</x:v>
      </x:c>
      <x:c r="H28" s="19" t="n">
        <x:f>B28+E28</x:f>
        <x:v>46000</x:v>
      </x:c>
      <x:c r="I28" s="19" t="n">
        <x:f>C28+F28</x:f>
        <x:v>0</x:v>
      </x:c>
      <x:c r="J28" s="19" t="n">
        <x:f>H28-I28</x:f>
        <x:v>46000</x:v>
      </x:c>
      <x:c r="K28" s="19" t="n">
        <x:f>K27+J28</x:f>
        <x:v>127000</x:v>
      </x:c>
      <x:c r="L28" s="20" t="n">
        <x:v>1</x:v>
      </x:c>
      <x:c r="M28" s="20" t="n">
        <x:v>1</x:v>
      </x:c>
      <x:c r="N28" s="20" t="n">
        <x:v>0</x:v>
      </x:c>
      <x:c r="O28" s="20" t="n">
        <x:v>5</x:v>
      </x:c>
    </x:row>
    <x:row r="29" ht="23" customHeight="1">
      <x:c r="A29" s="2" t="str">
        <x:v>2026-10-21_Night</x:v>
      </x:c>
      <x:c r="B29" s="19" t="n">
        <x:v>51000</x:v>
      </x:c>
      <x:c r="C29" s="19" t="n">
        <x:v>0</x:v>
      </x:c>
      <x:c r="D29" s="19" t="n">
        <x:f>B29-C29</x:f>
        <x:v>51000</x:v>
      </x:c>
      <x:c r="E29" s="19" t="n">
        <x:v>0</x:v>
      </x:c>
      <x:c r="F29" s="19" t="n">
        <x:v>85000</x:v>
      </x:c>
      <x:c r="G29" s="19" t="n">
        <x:f>E29-F29</x:f>
        <x:v>-85000</x:v>
      </x:c>
      <x:c r="H29" s="19" t="n">
        <x:f>B29+E29</x:f>
        <x:v>51000</x:v>
      </x:c>
      <x:c r="I29" s="19" t="n">
        <x:f>C29+F29</x:f>
        <x:v>85000</x:v>
      </x:c>
      <x:c r="J29" s="19" t="n">
        <x:f>H29-I29</x:f>
        <x:v>-34000</x:v>
      </x:c>
      <x:c r="K29" s="19" t="n">
        <x:f>K28+J29</x:f>
        <x:v>93000</x:v>
      </x:c>
      <x:c r="L29" s="20" t="n">
        <x:v>3</x:v>
      </x:c>
      <x:c r="M29" s="20" t="n">
        <x:v>1</x:v>
      </x:c>
      <x:c r="N29" s="20" t="n">
        <x:v>2</x:v>
      </x:c>
      <x:c r="O29" s="20" t="n">
        <x:v>5</x:v>
      </x:c>
    </x:row>
    <x:row r="30" ht="23" customHeight="1">
      <x:c r="A30" s="2" t="str">
        <x:v>2026-10-22_Night</x:v>
      </x:c>
      <x:c r="B30" s="19" t="n">
        <x:v>0</x:v>
      </x:c>
      <x:c r="C30" s="19" t="n">
        <x:v>83000</x:v>
      </x:c>
      <x:c r="D30" s="19" t="n">
        <x:f>B30-C30</x:f>
        <x:v>-83000</x:v>
      </x:c>
      <x:c r="E30" s="19" t="n">
        <x:v>100000</x:v>
      </x:c>
      <x:c r="F30" s="19" t="n">
        <x:v>0</x:v>
      </x:c>
      <x:c r="G30" s="19" t="n">
        <x:f>E30-F30</x:f>
        <x:v>100000</x:v>
      </x:c>
      <x:c r="H30" s="19" t="n">
        <x:f>B30+E30</x:f>
        <x:v>100000</x:v>
      </x:c>
      <x:c r="I30" s="19" t="n">
        <x:f>C30+F30</x:f>
        <x:v>83000</x:v>
      </x:c>
      <x:c r="J30" s="19" t="n">
        <x:f>H30-I30</x:f>
        <x:v>17000</x:v>
      </x:c>
      <x:c r="K30" s="19" t="n">
        <x:f>K29+J30</x:f>
        <x:v>110000</x:v>
      </x:c>
      <x:c r="L30" s="20" t="n">
        <x:v>3</x:v>
      </x:c>
      <x:c r="M30" s="20" t="n">
        <x:v>2</x:v>
      </x:c>
      <x:c r="N30" s="20" t="n">
        <x:v>1</x:v>
      </x:c>
      <x:c r="O30" s="20" t="n">
        <x:v>5</x:v>
      </x:c>
    </x:row>
    <x:row r="31" ht="23" customHeight="1">
      <x:c r="A31" s="2" t="str">
        <x:v>2026-10-23_Night</x:v>
      </x:c>
      <x:c r="B31" s="19" t="n">
        <x:v>0</x:v>
      </x:c>
      <x:c r="C31" s="19" t="n">
        <x:v>45000</x:v>
      </x:c>
      <x:c r="D31" s="19" t="n">
        <x:f>B31-C31</x:f>
        <x:v>-45000</x:v>
      </x:c>
      <x:c r="E31" s="19" t="n">
        <x:v>0</x:v>
      </x:c>
      <x:c r="F31" s="19" t="n">
        <x:v>0</x:v>
      </x:c>
      <x:c r="G31" s="19" t="n">
        <x:f>E31-F31</x:f>
        <x:v>0</x:v>
      </x:c>
      <x:c r="H31" s="19" t="n">
        <x:f>B31+E31</x:f>
        <x:v>0</x:v>
      </x:c>
      <x:c r="I31" s="19" t="n">
        <x:f>C31+F31</x:f>
        <x:v>45000</x:v>
      </x:c>
      <x:c r="J31" s="19" t="n">
        <x:f>H31-I31</x:f>
        <x:v>-45000</x:v>
      </x:c>
      <x:c r="K31" s="19" t="n">
        <x:f>K30+J31</x:f>
        <x:v>65000</x:v>
      </x:c>
      <x:c r="L31" s="20" t="n">
        <x:v>1</x:v>
      </x:c>
      <x:c r="M31" s="20" t="n">
        <x:v>1</x:v>
      </x:c>
      <x:c r="N31" s="20" t="n">
        <x:v>0</x:v>
      </x:c>
      <x:c r="O31" s="20" t="n">
        <x:v>3</x:v>
      </x:c>
    </x:row>
    <x:row r="32" ht="23" customHeight="1">
      <x:c r="A32" s="24" t="str">
        <x:v>25夜累計</x:v>
      </x:c>
      <x:c r="B32" s="25" t="n">
        <x:f>SUM(B7:B31)</x:f>
        <x:v>423000</x:v>
      </x:c>
      <x:c r="C32" s="25" t="n">
        <x:f>SUM(C7:C31)</x:f>
        <x:v>855000</x:v>
      </x:c>
      <x:c r="D32" s="25" t="n">
        <x:f>B32-C32</x:f>
        <x:v>-432000</x:v>
      </x:c>
      <x:c r="E32" s="25" t="n">
        <x:f>SUM(E7:E31)</x:f>
        <x:v>637000</x:v>
      </x:c>
      <x:c r="F32" s="25" t="n">
        <x:f>SUM(F7:F31)</x:f>
        <x:v>140000</x:v>
      </x:c>
      <x:c r="G32" s="25" t="n">
        <x:f>E32-F32</x:f>
        <x:v>497000</x:v>
      </x:c>
      <x:c r="H32" s="25" t="n">
        <x:f>B32+E32</x:f>
        <x:v>1060000</x:v>
      </x:c>
      <x:c r="I32" s="25" t="n">
        <x:f>C32+F32</x:f>
        <x:v>995000</x:v>
      </x:c>
      <x:c r="J32" s="25" t="n">
        <x:f>H32-I32</x:f>
        <x:v>65000</x:v>
      </x:c>
      <x:c r="K32" s="25" t="n">
        <x:f>K31</x:f>
        <x:v>65000</x:v>
      </x:c>
      <x:c r="L32" s="26" t="n">
        <x:f>SUM(L7:L31)</x:f>
        <x:v>48</x:v>
      </x:c>
      <x:c r="M32" s="26" t="n">
        <x:f>SUM(M7:M31)</x:f>
        <x:v>34</x:v>
      </x:c>
      <x:c r="N32" s="26" t="n">
        <x:f>SUM(N7:N31)</x:f>
        <x:v>14</x:v>
      </x:c>
      <x:c r="O32" s="26" t="n">
        <x:f>MAX(O7:O31)</x:f>
        <x:v>5</x:v>
      </x:c>
    </x:row>
  </x:sheetData>
  <x:conditionalFormatting sqref="B7:K32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539f74fb174857"/>
  </x:tableParts>
</x:worksheet>
</file>

<file path=xl/worksheets/sheet9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C07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追加担当3枚だけ、再配分なし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0</x:v>
      </x:c>
      <x:c r="G7" s="19" t="n">
        <x:f>E7-F7</x:f>
        <x:v>0</x:v>
      </x:c>
      <x:c r="H7" s="19" t="n">
        <x:f>B7+E7</x:f>
        <x:v>0</x:v>
      </x:c>
      <x:c r="I7" s="19" t="n">
        <x:f>C7+F7</x:f>
        <x:v>0</x:v>
      </x:c>
      <x:c r="J7" s="19" t="n">
        <x:f>H7-I7</x:f>
        <x:v>0</x:v>
      </x:c>
      <x:c r="K7" s="19" t="n">
        <x:f>J7</x:f>
        <x:v>0</x:v>
      </x:c>
      <x:c r="L7" s="20" t="n">
        <x:v>0</x:v>
      </x:c>
      <x:c r="M7" s="20" t="n">
        <x:v>0</x:v>
      </x:c>
      <x:c r="N7" s="20" t="n">
        <x:v>0</x:v>
      </x:c>
      <x:c r="O7" s="20" t="n">
        <x:v>0</x:v>
      </x:c>
    </x:row>
    <x:row r="8" ht="23" customHeight="1">
      <x:c r="A8" s="2" t="str">
        <x:v>2026-09-22_Night</x:v>
      </x:c>
      <x:c r="B8" s="19" t="n">
        <x:v>0</x:v>
      </x:c>
      <x:c r="C8" s="19" t="n">
        <x:v>0</x:v>
      </x:c>
      <x:c r="D8" s="19" t="n">
        <x:f>B8-C8</x:f>
        <x:v>0</x:v>
      </x:c>
      <x:c r="E8" s="19" t="n">
        <x:v>0</x:v>
      </x:c>
      <x:c r="F8" s="19" t="n">
        <x:v>0</x:v>
      </x:c>
      <x:c r="G8" s="19" t="n">
        <x:f>E8-F8</x:f>
        <x:v>0</x:v>
      </x:c>
      <x:c r="H8" s="19" t="n">
        <x:f>B8+E8</x:f>
        <x:v>0</x:v>
      </x:c>
      <x:c r="I8" s="19" t="n">
        <x:f>C8+F8</x:f>
        <x:v>0</x:v>
      </x:c>
      <x:c r="J8" s="19" t="n">
        <x:f>H8-I8</x:f>
        <x:v>0</x:v>
      </x:c>
      <x:c r="K8" s="19" t="n">
        <x:f>K7+J8</x:f>
        <x:v>0</x:v>
      </x:c>
      <x:c r="L8" s="20" t="n">
        <x:v>0</x:v>
      </x:c>
      <x:c r="M8" s="20" t="n">
        <x:v>0</x:v>
      </x:c>
      <x:c r="N8" s="20" t="n">
        <x:v>0</x:v>
      </x:c>
      <x:c r="O8" s="20" t="n">
        <x:v>0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0</x:v>
      </x:c>
      <x:c r="F9" s="19" t="n">
        <x:v>0</x:v>
      </x:c>
      <x:c r="G9" s="19" t="n">
        <x:f>E9-F9</x:f>
        <x:v>0</x:v>
      </x:c>
      <x:c r="H9" s="19" t="n">
        <x:f>B9+E9</x:f>
        <x:v>0</x:v>
      </x:c>
      <x:c r="I9" s="19" t="n">
        <x:f>C9+F9</x:f>
        <x:v>0</x:v>
      </x:c>
      <x:c r="J9" s="19" t="n">
        <x:f>H9-I9</x:f>
        <x:v>0</x:v>
      </x:c>
      <x:c r="K9" s="19" t="n">
        <x:f>K8+J9</x:f>
        <x:v>0</x:v>
      </x:c>
      <x:c r="L9" s="20" t="n">
        <x:v>0</x:v>
      </x:c>
      <x:c r="M9" s="20" t="n">
        <x:v>0</x:v>
      </x:c>
      <x:c r="N9" s="20" t="n">
        <x:v>0</x:v>
      </x:c>
      <x:c r="O9" s="20" t="n">
        <x:v>0</x:v>
      </x:c>
    </x:row>
    <x:row r="10" ht="23" customHeight="1">
      <x:c r="A10" s="2" t="str">
        <x:v>2026-09-24_Night</x:v>
      </x:c>
      <x:c r="B10" s="19" t="n">
        <x:v>0</x:v>
      </x:c>
      <x:c r="C10" s="19" t="n">
        <x:v>0</x:v>
      </x:c>
      <x:c r="D10" s="19" t="n">
        <x:f>B10-C10</x:f>
        <x:v>0</x:v>
      </x:c>
      <x:c r="E10" s="19" t="n">
        <x:v>0</x:v>
      </x:c>
      <x:c r="F10" s="19" t="n">
        <x:v>0</x:v>
      </x:c>
      <x:c r="G10" s="19" t="n">
        <x:f>E10-F10</x:f>
        <x:v>0</x:v>
      </x:c>
      <x:c r="H10" s="19" t="n">
        <x:f>B10+E10</x:f>
        <x:v>0</x:v>
      </x:c>
      <x:c r="I10" s="19" t="n">
        <x:f>C10+F10</x:f>
        <x:v>0</x:v>
      </x:c>
      <x:c r="J10" s="19" t="n">
        <x:f>H10-I10</x:f>
        <x:v>0</x:v>
      </x:c>
      <x:c r="K10" s="19" t="n">
        <x:f>K9+J10</x:f>
        <x:v>0</x:v>
      </x:c>
      <x:c r="L10" s="20" t="n">
        <x:v>0</x:v>
      </x:c>
      <x:c r="M10" s="20" t="n">
        <x:v>0</x:v>
      </x:c>
      <x:c r="N10" s="20" t="n">
        <x:v>0</x:v>
      </x:c>
      <x:c r="O10" s="20" t="n">
        <x:v>0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0</x:v>
      </x:c>
      <x:c r="F11" s="19" t="n">
        <x:v>0</x:v>
      </x:c>
      <x:c r="G11" s="19" t="n">
        <x:f>E11-F11</x:f>
        <x:v>0</x:v>
      </x:c>
      <x:c r="H11" s="19" t="n">
        <x:f>B11+E11</x:f>
        <x:v>0</x:v>
      </x:c>
      <x:c r="I11" s="19" t="n">
        <x:f>C11+F11</x:f>
        <x:v>0</x:v>
      </x:c>
      <x:c r="J11" s="19" t="n">
        <x:f>H11-I11</x:f>
        <x:v>0</x:v>
      </x:c>
      <x:c r="K11" s="19" t="n">
        <x:f>K10+J11</x:f>
        <x:v>0</x:v>
      </x:c>
      <x:c r="L11" s="20" t="n">
        <x:v>0</x:v>
      </x:c>
      <x:c r="M11" s="20" t="n">
        <x:v>0</x:v>
      </x:c>
      <x:c r="N11" s="20" t="n">
        <x:v>0</x:v>
      </x:c>
      <x:c r="O11" s="20" t="n">
        <x:v>0</x:v>
      </x:c>
    </x:row>
    <x:row r="12" ht="23" customHeight="1">
      <x:c r="A12" s="2" t="str">
        <x:v>2026-09-28_Night</x:v>
      </x:c>
      <x:c r="B12" s="19" t="n">
        <x:v>0</x:v>
      </x:c>
      <x:c r="C12" s="19" t="n">
        <x:v>0</x:v>
      </x:c>
      <x:c r="D12" s="19" t="n">
        <x:f>B12-C12</x:f>
        <x:v>0</x:v>
      </x:c>
      <x:c r="E12" s="19" t="n">
        <x:v>1000</x:v>
      </x:c>
      <x:c r="F12" s="19" t="n">
        <x:v>20000</x:v>
      </x:c>
      <x:c r="G12" s="19" t="n">
        <x:f>E12-F12</x:f>
        <x:v>-19000</x:v>
      </x:c>
      <x:c r="H12" s="19" t="n">
        <x:f>B12+E12</x:f>
        <x:v>1000</x:v>
      </x:c>
      <x:c r="I12" s="19" t="n">
        <x:f>C12+F12</x:f>
        <x:v>20000</x:v>
      </x:c>
      <x:c r="J12" s="19" t="n">
        <x:f>H12-I12</x:f>
        <x:v>-19000</x:v>
      </x:c>
      <x:c r="K12" s="19" t="n">
        <x:f>K11+J12</x:f>
        <x:v>-19000</x:v>
      </x:c>
      <x:c r="L12" s="20" t="n">
        <x:v>3</x:v>
      </x:c>
      <x:c r="M12" s="20" t="n">
        <x:v>0</x:v>
      </x:c>
      <x:c r="N12" s="20" t="n">
        <x:v>3</x:v>
      </x:c>
      <x:c r="O12" s="20" t="n">
        <x:v>3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0</x:v>
      </x:c>
      <x:c r="F13" s="19" t="n">
        <x:v>0</x:v>
      </x:c>
      <x:c r="G13" s="19" t="n">
        <x:f>E13-F13</x:f>
        <x:v>0</x:v>
      </x:c>
      <x:c r="H13" s="19" t="n">
        <x:f>B13+E13</x:f>
        <x:v>0</x:v>
      </x:c>
      <x:c r="I13" s="19" t="n">
        <x:f>C13+F13</x:f>
        <x:v>0</x:v>
      </x:c>
      <x:c r="J13" s="19" t="n">
        <x:f>H13-I13</x:f>
        <x:v>0</x:v>
      </x:c>
      <x:c r="K13" s="19" t="n">
        <x:f>K12+J13</x:f>
        <x:v>-19000</x:v>
      </x:c>
      <x:c r="L13" s="20" t="n">
        <x:v>0</x:v>
      </x:c>
      <x:c r="M13" s="20" t="n">
        <x:v>0</x:v>
      </x:c>
      <x:c r="N13" s="20" t="n">
        <x:v>0</x:v>
      </x:c>
      <x:c r="O13" s="20" t="n">
        <x:v>0</x:v>
      </x:c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0</x:v>
      </x:c>
      <x:c r="F14" s="19" t="n">
        <x:v>0</x:v>
      </x:c>
      <x:c r="G14" s="19" t="n">
        <x:f>E14-F14</x:f>
        <x:v>0</x:v>
      </x:c>
      <x:c r="H14" s="19" t="n">
        <x:f>B14+E14</x:f>
        <x:v>0</x:v>
      </x:c>
      <x:c r="I14" s="19" t="n">
        <x:f>C14+F14</x:f>
        <x:v>0</x:v>
      </x:c>
      <x:c r="J14" s="19" t="n">
        <x:f>H14-I14</x:f>
        <x:v>0</x:v>
      </x:c>
      <x:c r="K14" s="19" t="n">
        <x:f>K13+J14</x:f>
        <x:v>-19000</x:v>
      </x:c>
      <x:c r="L14" s="20" t="n">
        <x:v>0</x:v>
      </x:c>
      <x:c r="M14" s="20" t="n">
        <x:v>0</x:v>
      </x:c>
      <x:c r="N14" s="20" t="n">
        <x:v>0</x:v>
      </x:c>
      <x:c r="O14" s="20" t="n">
        <x:v>0</x:v>
      </x:c>
    </x:row>
    <x:row r="15" ht="23" customHeight="1">
      <x:c r="A15" s="2" t="str">
        <x:v>2026-10-01_Night</x:v>
      </x:c>
      <x:c r="B15" s="19" t="n">
        <x:v>17000</x:v>
      </x:c>
      <x:c r="C15" s="19" t="n">
        <x:v>18000</x:v>
      </x:c>
      <x:c r="D15" s="19" t="n">
        <x:f>B15-C15</x:f>
        <x:v>-1000</x:v>
      </x:c>
      <x:c r="E15" s="19" t="n">
        <x:v>74000</x:v>
      </x:c>
      <x:c r="F15" s="19" t="n">
        <x:v>50000</x:v>
      </x:c>
      <x:c r="G15" s="19" t="n">
        <x:f>E15-F15</x:f>
        <x:v>24000</x:v>
      </x:c>
      <x:c r="H15" s="19" t="n">
        <x:f>B15+E15</x:f>
        <x:v>91000</x:v>
      </x:c>
      <x:c r="I15" s="19" t="n">
        <x:f>C15+F15</x:f>
        <x:v>68000</x:v>
      </x:c>
      <x:c r="J15" s="19" t="n">
        <x:f>H15-I15</x:f>
        <x:v>23000</x:v>
      </x:c>
      <x:c r="K15" s="19" t="n">
        <x:f>K14+J15</x:f>
        <x:v>4000</x:v>
      </x:c>
      <x:c r="L15" s="20" t="n">
        <x:v>6</x:v>
      </x:c>
      <x:c r="M15" s="20" t="n">
        <x:v>3</x:v>
      </x:c>
      <x:c r="N15" s="20" t="n">
        <x:v>3</x:v>
      </x:c>
      <x:c r="O15" s="20" t="n">
        <x:v>3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104000</x:v>
      </x:c>
      <x:c r="F16" s="19" t="n">
        <x:v>38000</x:v>
      </x:c>
      <x:c r="G16" s="19" t="n">
        <x:f>E16-F16</x:f>
        <x:v>66000</x:v>
      </x:c>
      <x:c r="H16" s="19" t="n">
        <x:f>B16+E16</x:f>
        <x:v>104000</x:v>
      </x:c>
      <x:c r="I16" s="19" t="n">
        <x:f>C16+F16</x:f>
        <x:v>38000</x:v>
      </x:c>
      <x:c r="J16" s="19" t="n">
        <x:f>H16-I16</x:f>
        <x:v>66000</x:v>
      </x:c>
      <x:c r="K16" s="19" t="n">
        <x:f>K15+J16</x:f>
        <x:v>70000</x:v>
      </x:c>
      <x:c r="L16" s="20" t="n">
        <x:v>9</x:v>
      </x:c>
      <x:c r="M16" s="20" t="n">
        <x:v>0</x:v>
      </x:c>
      <x:c r="N16" s="20" t="n">
        <x:v>9</x:v>
      </x:c>
      <x:c r="O16" s="20" t="n">
        <x:v>3</x:v>
      </x:c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69000</x:v>
      </x:c>
      <x:c r="F17" s="19" t="n">
        <x:v>44000</x:v>
      </x:c>
      <x:c r="G17" s="19" t="n">
        <x:f>E17-F17</x:f>
        <x:v>25000</x:v>
      </x:c>
      <x:c r="H17" s="19" t="n">
        <x:f>B17+E17</x:f>
        <x:v>69000</x:v>
      </x:c>
      <x:c r="I17" s="19" t="n">
        <x:f>C17+F17</x:f>
        <x:v>44000</x:v>
      </x:c>
      <x:c r="J17" s="19" t="n">
        <x:f>H17-I17</x:f>
        <x:v>25000</x:v>
      </x:c>
      <x:c r="K17" s="19" t="n">
        <x:f>K16+J17</x:f>
        <x:v>95000</x:v>
      </x:c>
      <x:c r="L17" s="20" t="n">
        <x:v>4</x:v>
      </x:c>
      <x:c r="M17" s="20" t="n">
        <x:v>0</x:v>
      </x:c>
      <x:c r="N17" s="20" t="n">
        <x:v>4</x:v>
      </x:c>
      <x:c r="O17" s="20" t="n">
        <x:v>3</x:v>
      </x:c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0</x:v>
      </x:c>
      <x:c r="F18" s="19" t="n">
        <x:v>0</x:v>
      </x:c>
      <x:c r="G18" s="19" t="n">
        <x:f>E18-F18</x:f>
        <x:v>0</x:v>
      </x:c>
      <x:c r="H18" s="19" t="n">
        <x:f>B18+E18</x:f>
        <x:v>0</x:v>
      </x:c>
      <x:c r="I18" s="19" t="n">
        <x:f>C18+F18</x:f>
        <x:v>0</x:v>
      </x:c>
      <x:c r="J18" s="19" t="n">
        <x:f>H18-I18</x:f>
        <x:v>0</x:v>
      </x:c>
      <x:c r="K18" s="19" t="n">
        <x:f>K17+J18</x:f>
        <x:v>95000</x:v>
      </x:c>
      <x:c r="L18" s="20" t="n">
        <x:v>0</x:v>
      </x:c>
      <x:c r="M18" s="20" t="n">
        <x:v>0</x:v>
      </x:c>
      <x:c r="N18" s="20" t="n">
        <x:v>0</x:v>
      </x:c>
      <x:c r="O18" s="20" t="n">
        <x:v>0</x:v>
      </x:c>
    </x:row>
    <x:row r="19" ht="23" customHeight="1">
      <x:c r="A19" s="2" t="str">
        <x:v>2026-10-07_Night</x:v>
      </x:c>
      <x:c r="B19" s="19" t="n">
        <x:v>0</x:v>
      </x:c>
      <x:c r="C19" s="19" t="n">
        <x:v>0</x:v>
      </x:c>
      <x:c r="D19" s="19" t="n">
        <x:f>B19-C19</x:f>
        <x:v>0</x:v>
      </x:c>
      <x:c r="E19" s="19" t="n">
        <x:v>0</x:v>
      </x:c>
      <x:c r="F19" s="19" t="n">
        <x:v>0</x:v>
      </x:c>
      <x:c r="G19" s="19" t="n">
        <x:f>E19-F19</x:f>
        <x:v>0</x:v>
      </x:c>
      <x:c r="H19" s="19" t="n">
        <x:f>B19+E19</x:f>
        <x:v>0</x:v>
      </x:c>
      <x:c r="I19" s="19" t="n">
        <x:f>C19+F19</x:f>
        <x:v>0</x:v>
      </x:c>
      <x:c r="J19" s="19" t="n">
        <x:f>H19-I19</x:f>
        <x:v>0</x:v>
      </x:c>
      <x:c r="K19" s="19" t="n">
        <x:f>K18+J19</x:f>
        <x:v>95000</x:v>
      </x:c>
      <x:c r="L19" s="20" t="n">
        <x:v>0</x:v>
      </x:c>
      <x:c r="M19" s="20" t="n">
        <x:v>0</x:v>
      </x:c>
      <x:c r="N19" s="20" t="n">
        <x:v>0</x:v>
      </x:c>
      <x:c r="O19" s="20" t="n">
        <x:v>0</x:v>
      </x:c>
    </x:row>
    <x:row r="20" ht="23" customHeight="1">
      <x:c r="A20" s="2" t="str">
        <x:v>2026-10-08_Night</x:v>
      </x:c>
      <x:c r="B20" s="19" t="n">
        <x:v>0</x:v>
      </x:c>
      <x:c r="C20" s="19" t="n">
        <x:v>0</x:v>
      </x:c>
      <x:c r="D20" s="19" t="n">
        <x:f>B20-C20</x:f>
        <x:v>0</x:v>
      </x:c>
      <x:c r="E20" s="19" t="n">
        <x:v>234000</x:v>
      </x:c>
      <x:c r="F20" s="19" t="n">
        <x:v>20000</x:v>
      </x:c>
      <x:c r="G20" s="19" t="n">
        <x:f>E20-F20</x:f>
        <x:v>214000</x:v>
      </x:c>
      <x:c r="H20" s="19" t="n">
        <x:f>B20+E20</x:f>
        <x:v>234000</x:v>
      </x:c>
      <x:c r="I20" s="19" t="n">
        <x:f>C20+F20</x:f>
        <x:v>20000</x:v>
      </x:c>
      <x:c r="J20" s="19" t="n">
        <x:f>H20-I20</x:f>
        <x:v>214000</x:v>
      </x:c>
      <x:c r="K20" s="19" t="n">
        <x:f>K19+J20</x:f>
        <x:v>309000</x:v>
      </x:c>
      <x:c r="L20" s="20" t="n">
        <x:v>11</x:v>
      </x:c>
      <x:c r="M20" s="20" t="n">
        <x:v>0</x:v>
      </x:c>
      <x:c r="N20" s="20" t="n">
        <x:v>11</x:v>
      </x:c>
      <x:c r="O20" s="20" t="n">
        <x:v>3</x:v>
      </x:c>
    </x:row>
    <x:row r="21" ht="23" customHeight="1">
      <x:c r="A21" s="2" t="str">
        <x:v>2026-10-09_Night</x:v>
      </x:c>
      <x:c r="B21" s="19" t="n">
        <x:v>0</x:v>
      </x:c>
      <x:c r="C21" s="19" t="n">
        <x:v>0</x:v>
      </x:c>
      <x:c r="D21" s="19" t="n">
        <x:f>B21-C21</x:f>
        <x:v>0</x:v>
      </x:c>
      <x:c r="E21" s="19" t="n">
        <x:v>0</x:v>
      </x:c>
      <x:c r="F21" s="19" t="n">
        <x:v>0</x:v>
      </x:c>
      <x:c r="G21" s="19" t="n">
        <x:f>E21-F21</x:f>
        <x:v>0</x:v>
      </x:c>
      <x:c r="H21" s="19" t="n">
        <x:f>B21+E21</x:f>
        <x:v>0</x:v>
      </x:c>
      <x:c r="I21" s="19" t="n">
        <x:f>C21+F21</x:f>
        <x:v>0</x:v>
      </x:c>
      <x:c r="J21" s="19" t="n">
        <x:f>H21-I21</x:f>
        <x:v>0</x:v>
      </x:c>
      <x:c r="K21" s="19" t="n">
        <x:f>K20+J21</x:f>
        <x:v>309000</x:v>
      </x:c>
      <x:c r="L21" s="20" t="n">
        <x:v>0</x:v>
      </x:c>
      <x:c r="M21" s="20" t="n">
        <x:v>0</x:v>
      </x:c>
      <x:c r="N21" s="20" t="n">
        <x:v>0</x:v>
      </x:c>
      <x:c r="O21" s="20" t="n">
        <x:v>0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0</x:v>
      </x:c>
      <x:c r="F22" s="19" t="n">
        <x:v>0</x:v>
      </x:c>
      <x:c r="G22" s="19" t="n">
        <x:f>E22-F22</x:f>
        <x:v>0</x:v>
      </x:c>
      <x:c r="H22" s="19" t="n">
        <x:f>B22+E22</x:f>
        <x:v>0</x:v>
      </x:c>
      <x:c r="I22" s="19" t="n">
        <x:f>C22+F22</x:f>
        <x:v>0</x:v>
      </x:c>
      <x:c r="J22" s="19" t="n">
        <x:f>H22-I22</x:f>
        <x:v>0</x:v>
      </x:c>
      <x:c r="K22" s="19" t="n">
        <x:f>K21+J22</x:f>
        <x:v>309000</x:v>
      </x:c>
      <x:c r="L22" s="20" t="n">
        <x:v>0</x:v>
      </x:c>
      <x:c r="M22" s="20" t="n">
        <x:v>0</x:v>
      </x:c>
      <x:c r="N22" s="20" t="n">
        <x:v>0</x:v>
      </x:c>
      <x:c r="O22" s="20" t="n">
        <x:v>0</x:v>
      </x:c>
    </x:row>
    <x:row r="23" ht="23" customHeight="1">
      <x:c r="A23" s="2" t="str">
        <x:v>2026-10-13_Night</x:v>
      </x:c>
      <x:c r="B23" s="19" t="n">
        <x:v>0</x:v>
      </x:c>
      <x:c r="C23" s="19" t="n">
        <x:v>0</x:v>
      </x:c>
      <x:c r="D23" s="19" t="n">
        <x:f>B23-C23</x:f>
        <x:v>0</x:v>
      </x:c>
      <x:c r="E23" s="19" t="n">
        <x:v>0</x:v>
      </x:c>
      <x:c r="F23" s="19" t="n">
        <x:v>0</x:v>
      </x:c>
      <x:c r="G23" s="19" t="n">
        <x:f>E23-F23</x:f>
        <x:v>0</x:v>
      </x:c>
      <x:c r="H23" s="19" t="n">
        <x:f>B23+E23</x:f>
        <x:v>0</x:v>
      </x:c>
      <x:c r="I23" s="19" t="n">
        <x:f>C23+F23</x:f>
        <x:v>0</x:v>
      </x:c>
      <x:c r="J23" s="19" t="n">
        <x:f>H23-I23</x:f>
        <x:v>0</x:v>
      </x:c>
      <x:c r="K23" s="19" t="n">
        <x:f>K22+J23</x:f>
        <x:v>309000</x:v>
      </x:c>
      <x:c r="L23" s="20" t="n">
        <x:v>0</x:v>
      </x:c>
      <x:c r="M23" s="20" t="n">
        <x:v>0</x:v>
      </x:c>
      <x:c r="N23" s="20" t="n">
        <x:v>0</x:v>
      </x:c>
      <x:c r="O23" s="20" t="n">
        <x:v>0</x:v>
      </x:c>
    </x:row>
    <x:row r="24" ht="23" customHeight="1">
      <x:c r="A24" s="2" t="str">
        <x:v>2026-10-14_Night</x:v>
      </x:c>
      <x:c r="B24" s="19" t="n">
        <x:v>0</x:v>
      </x:c>
      <x:c r="C24" s="19" t="n">
        <x:v>0</x:v>
      </x:c>
      <x:c r="D24" s="19" t="n">
        <x:f>B24-C24</x:f>
        <x:v>0</x:v>
      </x:c>
      <x:c r="E24" s="19" t="n">
        <x:v>0</x:v>
      </x:c>
      <x:c r="F24" s="19" t="n">
        <x:v>0</x:v>
      </x:c>
      <x:c r="G24" s="19" t="n">
        <x:f>E24-F24</x:f>
        <x:v>0</x:v>
      </x:c>
      <x:c r="H24" s="19" t="n">
        <x:f>B24+E24</x:f>
        <x:v>0</x:v>
      </x:c>
      <x:c r="I24" s="19" t="n">
        <x:f>C24+F24</x:f>
        <x:v>0</x:v>
      </x:c>
      <x:c r="J24" s="19" t="n">
        <x:f>H24-I24</x:f>
        <x:v>0</x:v>
      </x:c>
      <x:c r="K24" s="19" t="n">
        <x:f>K23+J24</x:f>
        <x:v>309000</x:v>
      </x:c>
      <x:c r="L24" s="20" t="n">
        <x:v>0</x:v>
      </x:c>
      <x:c r="M24" s="20" t="n">
        <x:v>0</x:v>
      </x:c>
      <x:c r="N24" s="20" t="n">
        <x:v>0</x:v>
      </x:c>
      <x:c r="O24" s="20" t="n">
        <x:v>0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0</x:v>
      </x:c>
      <x:c r="F25" s="19" t="n">
        <x:v>23000</x:v>
      </x:c>
      <x:c r="G25" s="19" t="n">
        <x:f>E25-F25</x:f>
        <x:v>-23000</x:v>
      </x:c>
      <x:c r="H25" s="19" t="n">
        <x:f>B25+E25</x:f>
        <x:v>0</x:v>
      </x:c>
      <x:c r="I25" s="19" t="n">
        <x:f>C25+F25</x:f>
        <x:v>23000</x:v>
      </x:c>
      <x:c r="J25" s="19" t="n">
        <x:f>H25-I25</x:f>
        <x:v>-23000</x:v>
      </x:c>
      <x:c r="K25" s="19" t="n">
        <x:f>K24+J25</x:f>
        <x:v>286000</x:v>
      </x:c>
      <x:c r="L25" s="20" t="n">
        <x:v>2</x:v>
      </x:c>
      <x:c r="M25" s="20" t="n">
        <x:v>0</x:v>
      </x:c>
      <x:c r="N25" s="20" t="n">
        <x:v>2</x:v>
      </x:c>
      <x:c r="O25" s="20" t="n">
        <x:v>2</x:v>
      </x:c>
    </x:row>
    <x:row r="26" ht="23" customHeight="1">
      <x:c r="A26" s="2" t="str">
        <x:v>2026-10-16_Night</x:v>
      </x:c>
      <x:c r="B26" s="19" t="n">
        <x:v>0</x:v>
      </x:c>
      <x:c r="C26" s="19" t="n">
        <x:v>0</x:v>
      </x:c>
      <x:c r="D26" s="19" t="n">
        <x:f>B26-C26</x:f>
        <x:v>0</x:v>
      </x:c>
      <x:c r="E26" s="19" t="n">
        <x:v>55000</x:v>
      </x:c>
      <x:c r="F26" s="19" t="n">
        <x:v>58000</x:v>
      </x:c>
      <x:c r="G26" s="19" t="n">
        <x:f>E26-F26</x:f>
        <x:v>-3000</x:v>
      </x:c>
      <x:c r="H26" s="19" t="n">
        <x:f>B26+E26</x:f>
        <x:v>55000</x:v>
      </x:c>
      <x:c r="I26" s="19" t="n">
        <x:f>C26+F26</x:f>
        <x:v>58000</x:v>
      </x:c>
      <x:c r="J26" s="19" t="n">
        <x:f>H26-I26</x:f>
        <x:v>-3000</x:v>
      </x:c>
      <x:c r="K26" s="19" t="n">
        <x:f>K25+J26</x:f>
        <x:v>283000</x:v>
      </x:c>
      <x:c r="L26" s="20" t="n">
        <x:v>5</x:v>
      </x:c>
      <x:c r="M26" s="20" t="n">
        <x:v>0</x:v>
      </x:c>
      <x:c r="N26" s="20" t="n">
        <x:v>5</x:v>
      </x:c>
      <x:c r="O26" s="20" t="n">
        <x:v>3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40000</x:v>
      </x:c>
      <x:c r="F27" s="19" t="n">
        <x:v>59000</x:v>
      </x:c>
      <x:c r="G27" s="19" t="n">
        <x:f>E27-F27</x:f>
        <x:v>-19000</x:v>
      </x:c>
      <x:c r="H27" s="19" t="n">
        <x:f>B27+E27</x:f>
        <x:v>40000</x:v>
      </x:c>
      <x:c r="I27" s="19" t="n">
        <x:f>C27+F27</x:f>
        <x:v>59000</x:v>
      </x:c>
      <x:c r="J27" s="19" t="n">
        <x:f>H27-I27</x:f>
        <x:v>-19000</x:v>
      </x:c>
      <x:c r="K27" s="19" t="n">
        <x:f>K26+J27</x:f>
        <x:v>264000</x:v>
      </x:c>
      <x:c r="L27" s="20" t="n">
        <x:v>8</x:v>
      </x:c>
      <x:c r="M27" s="20" t="n">
        <x:v>0</x:v>
      </x:c>
      <x:c r="N27" s="20" t="n">
        <x:v>8</x:v>
      </x:c>
      <x:c r="O27" s="20" t="n">
        <x:v>3</x:v>
      </x:c>
    </x:row>
    <x:row r="28" ht="23" customHeight="1">
      <x:c r="A28" s="2" t="str">
        <x:v>2026-10-20_Night</x:v>
      </x:c>
      <x:c r="B28" s="19" t="n">
        <x:v>0</x:v>
      </x:c>
      <x:c r="C28" s="19" t="n">
        <x:v>0</x:v>
      </x:c>
      <x:c r="D28" s="19" t="n">
        <x:f>B28-C28</x:f>
        <x:v>0</x:v>
      </x:c>
      <x:c r="E28" s="19" t="n">
        <x:v>13000</x:v>
      </x:c>
      <x:c r="F28" s="19" t="n">
        <x:v>24000</x:v>
      </x:c>
      <x:c r="G28" s="19" t="n">
        <x:f>E28-F28</x:f>
        <x:v>-11000</x:v>
      </x:c>
      <x:c r="H28" s="19" t="n">
        <x:f>B28+E28</x:f>
        <x:v>13000</x:v>
      </x:c>
      <x:c r="I28" s="19" t="n">
        <x:f>C28+F28</x:f>
        <x:v>24000</x:v>
      </x:c>
      <x:c r="J28" s="19" t="n">
        <x:f>H28-I28</x:f>
        <x:v>-11000</x:v>
      </x:c>
      <x:c r="K28" s="19" t="n">
        <x:f>K27+J28</x:f>
        <x:v>253000</x:v>
      </x:c>
      <x:c r="L28" s="20" t="n">
        <x:v>3</x:v>
      </x:c>
      <x:c r="M28" s="20" t="n">
        <x:v>0</x:v>
      </x:c>
      <x:c r="N28" s="20" t="n">
        <x:v>3</x:v>
      </x:c>
      <x:c r="O28" s="20" t="n">
        <x:v>3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0</x:v>
      </x:c>
      <x:c r="F29" s="19" t="n">
        <x:v>0</x:v>
      </x:c>
      <x:c r="G29" s="19" t="n">
        <x:f>E29-F29</x:f>
        <x:v>0</x:v>
      </x:c>
      <x:c r="H29" s="19" t="n">
        <x:f>B29+E29</x:f>
        <x:v>0</x:v>
      </x:c>
      <x:c r="I29" s="19" t="n">
        <x:f>C29+F29</x:f>
        <x:v>0</x:v>
      </x:c>
      <x:c r="J29" s="19" t="n">
        <x:f>H29-I29</x:f>
        <x:v>0</x:v>
      </x:c>
      <x:c r="K29" s="19" t="n">
        <x:f>K28+J29</x:f>
        <x:v>253000</x:v>
      </x:c>
      <x:c r="L29" s="20" t="n">
        <x:v>0</x:v>
      </x:c>
      <x:c r="M29" s="20" t="n">
        <x:v>0</x:v>
      </x:c>
      <x:c r="N29" s="20" t="n">
        <x:v>0</x:v>
      </x:c>
      <x:c r="O29" s="20" t="n">
        <x:v>0</x:v>
      </x:c>
    </x:row>
    <x:row r="30" ht="23" customHeight="1">
      <x:c r="A30" s="2" t="str">
        <x:v>2026-10-22_Night</x:v>
      </x:c>
      <x:c r="B30" s="19" t="n">
        <x:v>0</x:v>
      </x:c>
      <x:c r="C30" s="19" t="n">
        <x:v>0</x:v>
      </x:c>
      <x:c r="D30" s="19" t="n">
        <x:f>B30-C30</x:f>
        <x:v>0</x:v>
      </x:c>
      <x:c r="E30" s="19" t="n">
        <x:v>0</x:v>
      </x:c>
      <x:c r="F30" s="19" t="n">
        <x:v>0</x:v>
      </x:c>
      <x:c r="G30" s="19" t="n">
        <x:f>E30-F30</x:f>
        <x:v>0</x:v>
      </x:c>
      <x:c r="H30" s="19" t="n">
        <x:f>B30+E30</x:f>
        <x:v>0</x:v>
      </x:c>
      <x:c r="I30" s="19" t="n">
        <x:f>C30+F30</x:f>
        <x:v>0</x:v>
      </x:c>
      <x:c r="J30" s="19" t="n">
        <x:f>H30-I30</x:f>
        <x:v>0</x:v>
      </x:c>
      <x:c r="K30" s="19" t="n">
        <x:f>K29+J30</x:f>
        <x:v>253000</x:v>
      </x:c>
      <x:c r="L30" s="20" t="n">
        <x:v>0</x:v>
      </x:c>
      <x:c r="M30" s="20" t="n">
        <x:v>0</x:v>
      </x:c>
      <x:c r="N30" s="20" t="n">
        <x:v>0</x:v>
      </x:c>
      <x:c r="O30" s="20" t="n">
        <x:v>0</x:v>
      </x:c>
    </x:row>
    <x:row r="31" ht="23" customHeight="1">
      <x:c r="A31" s="2" t="str">
        <x:v>2026-10-23_Night</x:v>
      </x:c>
      <x:c r="B31" s="19" t="n">
        <x:v>0</x:v>
      </x:c>
      <x:c r="C31" s="19" t="n">
        <x:v>0</x:v>
      </x:c>
      <x:c r="D31" s="19" t="n">
        <x:f>B31-C31</x:f>
        <x:v>0</x:v>
      </x:c>
      <x:c r="E31" s="19" t="n">
        <x:v>0</x:v>
      </x:c>
      <x:c r="F31" s="19" t="n">
        <x:v>15000</x:v>
      </x:c>
      <x:c r="G31" s="19" t="n">
        <x:f>E31-F31</x:f>
        <x:v>-15000</x:v>
      </x:c>
      <x:c r="H31" s="19" t="n">
        <x:f>B31+E31</x:f>
        <x:v>0</x:v>
      </x:c>
      <x:c r="I31" s="19" t="n">
        <x:f>C31+F31</x:f>
        <x:v>15000</x:v>
      </x:c>
      <x:c r="J31" s="19" t="n">
        <x:f>H31-I31</x:f>
        <x:v>-15000</x:v>
      </x:c>
      <x:c r="K31" s="19" t="n">
        <x:f>K30+J31</x:f>
        <x:v>238000</x:v>
      </x:c>
      <x:c r="L31" s="20" t="n">
        <x:v>1</x:v>
      </x:c>
      <x:c r="M31" s="20" t="n">
        <x:v>0</x:v>
      </x:c>
      <x:c r="N31" s="20" t="n">
        <x:v>1</x:v>
      </x:c>
      <x:c r="O31" s="20" t="n">
        <x:v>2</x:v>
      </x:c>
    </x:row>
    <x:row r="32" ht="23" customHeight="1">
      <x:c r="A32" s="24" t="str">
        <x:v>25夜累計</x:v>
      </x:c>
      <x:c r="B32" s="25" t="n">
        <x:f>SUM(B7:B31)</x:f>
        <x:v>17000</x:v>
      </x:c>
      <x:c r="C32" s="25" t="n">
        <x:f>SUM(C7:C31)</x:f>
        <x:v>18000</x:v>
      </x:c>
      <x:c r="D32" s="25" t="n">
        <x:f>B32-C32</x:f>
        <x:v>-1000</x:v>
      </x:c>
      <x:c r="E32" s="25" t="n">
        <x:f>SUM(E7:E31)</x:f>
        <x:v>590000</x:v>
      </x:c>
      <x:c r="F32" s="25" t="n">
        <x:f>SUM(F7:F31)</x:f>
        <x:v>351000</x:v>
      </x:c>
      <x:c r="G32" s="25" t="n">
        <x:f>E32-F32</x:f>
        <x:v>239000</x:v>
      </x:c>
      <x:c r="H32" s="25" t="n">
        <x:f>B32+E32</x:f>
        <x:v>607000</x:v>
      </x:c>
      <x:c r="I32" s="25" t="n">
        <x:f>C32+F32</x:f>
        <x:v>369000</x:v>
      </x:c>
      <x:c r="J32" s="25" t="n">
        <x:f>H32-I32</x:f>
        <x:v>238000</x:v>
      </x:c>
      <x:c r="K32" s="25" t="n">
        <x:f>K31</x:f>
        <x:v>238000</x:v>
      </x:c>
      <x:c r="L32" s="26" t="n">
        <x:f>SUM(L7:L31)</x:f>
        <x:v>52</x:v>
      </x:c>
      <x:c r="M32" s="26" t="n">
        <x:f>SUM(M7:M31)</x:f>
        <x:v>3</x:v>
      </x:c>
      <x:c r="N32" s="26" t="n">
        <x:f>SUM(N7:N31)</x:f>
        <x:v>49</x:v>
      </x:c>
      <x:c r="O32" s="26" t="n">
        <x:f>MAX(O7:O31)</x:f>
        <x:v>3</x:v>
      </x:c>
    </x:row>
  </x:sheetData>
  <x:conditionalFormatting sqref="B7:K32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a73b3353424776"/>
  </x:tableParts>
</x:worksheet>
</file>

<file path=xl/worksheets/sheet10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C08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別入口担当2枚だけ、再配分なし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0</x:v>
      </x:c>
      <x:c r="G7" s="19" t="n">
        <x:f>E7-F7</x:f>
        <x:v>0</x:v>
      </x:c>
      <x:c r="H7" s="19" t="n">
        <x:f>B7+E7</x:f>
        <x:v>0</x:v>
      </x:c>
      <x:c r="I7" s="19" t="n">
        <x:f>C7+F7</x:f>
        <x:v>0</x:v>
      </x:c>
      <x:c r="J7" s="19" t="n">
        <x:f>H7-I7</x:f>
        <x:v>0</x:v>
      </x:c>
      <x:c r="K7" s="19" t="n">
        <x:f>J7</x:f>
        <x:v>0</x:v>
      </x:c>
      <x:c r="L7" s="20" t="n">
        <x:v>0</x:v>
      </x:c>
      <x:c r="M7" s="20" t="n">
        <x:v>0</x:v>
      </x:c>
      <x:c r="N7" s="20" t="n">
        <x:v>0</x:v>
      </x:c>
      <x:c r="O7" s="20" t="n">
        <x:v>0</x:v>
      </x:c>
    </x:row>
    <x:row r="8" ht="23" customHeight="1">
      <x:c r="A8" s="2" t="str">
        <x:v>2026-09-22_Night</x:v>
      </x:c>
      <x:c r="B8" s="19" t="n">
        <x:v>0</x:v>
      </x:c>
      <x:c r="C8" s="19" t="n">
        <x:v>0</x:v>
      </x:c>
      <x:c r="D8" s="19" t="n">
        <x:f>B8-C8</x:f>
        <x:v>0</x:v>
      </x:c>
      <x:c r="E8" s="19" t="n">
        <x:v>0</x:v>
      </x:c>
      <x:c r="F8" s="19" t="n">
        <x:v>0</x:v>
      </x:c>
      <x:c r="G8" s="19" t="n">
        <x:f>E8-F8</x:f>
        <x:v>0</x:v>
      </x:c>
      <x:c r="H8" s="19" t="n">
        <x:f>B8+E8</x:f>
        <x:v>0</x:v>
      </x:c>
      <x:c r="I8" s="19" t="n">
        <x:f>C8+F8</x:f>
        <x:v>0</x:v>
      </x:c>
      <x:c r="J8" s="19" t="n">
        <x:f>H8-I8</x:f>
        <x:v>0</x:v>
      </x:c>
      <x:c r="K8" s="19" t="n">
        <x:f>K7+J8</x:f>
        <x:v>0</x:v>
      </x:c>
      <x:c r="L8" s="20" t="n">
        <x:v>0</x:v>
      </x:c>
      <x:c r="M8" s="20" t="n">
        <x:v>0</x:v>
      </x:c>
      <x:c r="N8" s="20" t="n">
        <x:v>0</x:v>
      </x:c>
      <x:c r="O8" s="20" t="n">
        <x:v>0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0</x:v>
      </x:c>
      <x:c r="G9" s="19" t="n">
        <x:f>E9-F9</x:f>
        <x:v>4000</x:v>
      </x:c>
      <x:c r="H9" s="19" t="n">
        <x:f>B9+E9</x:f>
        <x:v>4000</x:v>
      </x:c>
      <x:c r="I9" s="19" t="n">
        <x:f>C9+F9</x:f>
        <x:v>0</x:v>
      </x:c>
      <x:c r="J9" s="19" t="n">
        <x:f>H9-I9</x:f>
        <x:v>4000</x:v>
      </x:c>
      <x:c r="K9" s="19" t="n">
        <x:f>K8+J9</x:f>
        <x:v>4000</x:v>
      </x:c>
      <x:c r="L9" s="20" t="n">
        <x:v>2</x:v>
      </x:c>
      <x:c r="M9" s="20" t="n">
        <x:v>0</x:v>
      </x:c>
      <x:c r="N9" s="20" t="n">
        <x:v>2</x:v>
      </x:c>
      <x:c r="O9" s="20" t="n">
        <x:v>2</x:v>
      </x:c>
    </x:row>
    <x:row r="10" ht="23" customHeight="1">
      <x:c r="A10" s="2" t="str">
        <x:v>2026-09-24_Night</x:v>
      </x:c>
      <x:c r="B10" s="19" t="n">
        <x:v>0</x:v>
      </x:c>
      <x:c r="C10" s="19" t="n">
        <x:v>0</x:v>
      </x:c>
      <x:c r="D10" s="19" t="n">
        <x:f>B10-C10</x:f>
        <x:v>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0</x:v>
      </x:c>
      <x:c r="J10" s="19" t="n">
        <x:f>H10-I10</x:f>
        <x:v>20000</x:v>
      </x:c>
      <x:c r="K10" s="19" t="n">
        <x:f>K9+J10</x:f>
        <x:v>24000</x:v>
      </x:c>
      <x:c r="L10" s="20" t="n">
        <x:v>2</x:v>
      </x:c>
      <x:c r="M10" s="20" t="n">
        <x:v>0</x:v>
      </x:c>
      <x:c r="N10" s="20" t="n">
        <x:v>2</x:v>
      </x:c>
      <x:c r="O10" s="20" t="n">
        <x:v>2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0</x:v>
      </x:c>
      <x:c r="F11" s="19" t="n">
        <x:v>16000</x:v>
      </x:c>
      <x:c r="G11" s="19" t="n">
        <x:f>E11-F11</x:f>
        <x:v>-16000</x:v>
      </x:c>
      <x:c r="H11" s="19" t="n">
        <x:f>B11+E11</x:f>
        <x:v>0</x:v>
      </x:c>
      <x:c r="I11" s="19" t="n">
        <x:f>C11+F11</x:f>
        <x:v>16000</x:v>
      </x:c>
      <x:c r="J11" s="19" t="n">
        <x:f>H11-I11</x:f>
        <x:v>-16000</x:v>
      </x:c>
      <x:c r="K11" s="19" t="n">
        <x:f>K10+J11</x:f>
        <x:v>8000</x:v>
      </x:c>
      <x:c r="L11" s="20" t="n">
        <x:v>1</x:v>
      </x:c>
      <x:c r="M11" s="20" t="n">
        <x:v>0</x:v>
      </x:c>
      <x:c r="N11" s="20" t="n">
        <x:v>1</x:v>
      </x:c>
      <x:c r="O11" s="20" t="n">
        <x:v>1</x:v>
      </x:c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0</x:v>
      </x:c>
      <x:c r="F12" s="19" t="n">
        <x:v>10000</x:v>
      </x:c>
      <x:c r="G12" s="19" t="n">
        <x:f>E12-F12</x:f>
        <x:v>-10000</x:v>
      </x:c>
      <x:c r="H12" s="19" t="n">
        <x:f>B12+E12</x:f>
        <x:v>9000</x:v>
      </x:c>
      <x:c r="I12" s="19" t="n">
        <x:f>C12+F12</x:f>
        <x:v>10000</x:v>
      </x:c>
      <x:c r="J12" s="19" t="n">
        <x:f>H12-I12</x:f>
        <x:v>-1000</x:v>
      </x:c>
      <x:c r="K12" s="19" t="n">
        <x:f>K11+J12</x:f>
        <x:v>7000</x:v>
      </x:c>
      <x:c r="L12" s="20" t="n">
        <x:v>2</x:v>
      </x:c>
      <x:c r="M12" s="20" t="n">
        <x:v>1</x:v>
      </x:c>
      <x:c r="N12" s="20" t="n">
        <x:v>1</x:v>
      </x:c>
      <x:c r="O12" s="20" t="n">
        <x:v>1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0</x:v>
      </x:c>
      <x:c r="F13" s="19" t="n">
        <x:v>22000</x:v>
      </x:c>
      <x:c r="G13" s="19" t="n">
        <x:f>E13-F13</x:f>
        <x:v>-22000</x:v>
      </x:c>
      <x:c r="H13" s="19" t="n">
        <x:f>B13+E13</x:f>
        <x:v>0</x:v>
      </x:c>
      <x:c r="I13" s="19" t="n">
        <x:f>C13+F13</x:f>
        <x:v>22000</x:v>
      </x:c>
      <x:c r="J13" s="19" t="n">
        <x:f>H13-I13</x:f>
        <x:v>-22000</x:v>
      </x:c>
      <x:c r="K13" s="19" t="n">
        <x:f>K12+J13</x:f>
        <x:v>-15000</x:v>
      </x:c>
      <x:c r="L13" s="20" t="n">
        <x:v>4</x:v>
      </x:c>
      <x:c r="M13" s="20" t="n">
        <x:v>0</x:v>
      </x:c>
      <x:c r="N13" s="20" t="n">
        <x:v>4</x:v>
      </x:c>
      <x:c r="O13" s="20" t="n">
        <x:v>2</x:v>
      </x:c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13000</x:v>
      </x:c>
      <x:c r="F14" s="19" t="n">
        <x:v>0</x:v>
      </x:c>
      <x:c r="G14" s="19" t="n">
        <x:f>E14-F14</x:f>
        <x:v>13000</x:v>
      </x:c>
      <x:c r="H14" s="19" t="n">
        <x:f>B14+E14</x:f>
        <x:v>13000</x:v>
      </x:c>
      <x:c r="I14" s="19" t="n">
        <x:f>C14+F14</x:f>
        <x:v>0</x:v>
      </x:c>
      <x:c r="J14" s="19" t="n">
        <x:f>H14-I14</x:f>
        <x:v>13000</x:v>
      </x:c>
      <x:c r="K14" s="19" t="n">
        <x:f>K13+J14</x:f>
        <x:v>-2000</x:v>
      </x:c>
      <x:c r="L14" s="20" t="n">
        <x:v>2</x:v>
      </x:c>
      <x:c r="M14" s="20" t="n">
        <x:v>0</x:v>
      </x:c>
      <x:c r="N14" s="20" t="n">
        <x:v>2</x:v>
      </x:c>
      <x:c r="O14" s="20" t="n">
        <x:v>2</x:v>
      </x:c>
    </x:row>
    <x:row r="15" ht="23" customHeight="1">
      <x:c r="A15" s="2" t="str">
        <x:v>2026-10-01_Night</x:v>
      </x:c>
      <x:c r="B15" s="19" t="n">
        <x:v>0</x:v>
      </x:c>
      <x:c r="C15" s="19" t="n">
        <x:v>0</x:v>
      </x:c>
      <x:c r="D15" s="19" t="n">
        <x:f>B15-C15</x:f>
        <x:v>0</x:v>
      </x:c>
      <x:c r="E15" s="19" t="n">
        <x:v>65000</x:v>
      </x:c>
      <x:c r="F15" s="19" t="n">
        <x:v>30000</x:v>
      </x:c>
      <x:c r="G15" s="19" t="n">
        <x:f>E15-F15</x:f>
        <x:v>35000</x:v>
      </x:c>
      <x:c r="H15" s="19" t="n">
        <x:f>B15+E15</x:f>
        <x:v>65000</x:v>
      </x:c>
      <x:c r="I15" s="19" t="n">
        <x:f>C15+F15</x:f>
        <x:v>30000</x:v>
      </x:c>
      <x:c r="J15" s="19" t="n">
        <x:f>H15-I15</x:f>
        <x:v>35000</x:v>
      </x:c>
      <x:c r="K15" s="19" t="n">
        <x:f>K14+J15</x:f>
        <x:v>33000</x:v>
      </x:c>
      <x:c r="L15" s="20" t="n">
        <x:v>6</x:v>
      </x:c>
      <x:c r="M15" s="20" t="n">
        <x:v>2</x:v>
      </x:c>
      <x:c r="N15" s="20" t="n">
        <x:v>4</x:v>
      </x:c>
      <x:c r="O15" s="20" t="n">
        <x:v>2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40000</x:v>
      </x:c>
      <x:c r="F16" s="19" t="n">
        <x:v>0</x:v>
      </x:c>
      <x:c r="G16" s="19" t="n">
        <x:f>E16-F16</x:f>
        <x:v>40000</x:v>
      </x:c>
      <x:c r="H16" s="19" t="n">
        <x:f>B16+E16</x:f>
        <x:v>40000</x:v>
      </x:c>
      <x:c r="I16" s="19" t="n">
        <x:f>C16+F16</x:f>
        <x:v>0</x:v>
      </x:c>
      <x:c r="J16" s="19" t="n">
        <x:f>H16-I16</x:f>
        <x:v>40000</x:v>
      </x:c>
      <x:c r="K16" s="19" t="n">
        <x:f>K15+J16</x:f>
        <x:v>73000</x:v>
      </x:c>
      <x:c r="L16" s="20" t="n">
        <x:v>4</x:v>
      </x:c>
      <x:c r="M16" s="20" t="n">
        <x:v>0</x:v>
      </x:c>
      <x:c r="N16" s="20" t="n">
        <x:v>4</x:v>
      </x:c>
      <x:c r="O16" s="20" t="n">
        <x:v>2</x:v>
      </x:c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29000</x:v>
      </x:c>
      <x:c r="F17" s="19" t="n">
        <x:v>0</x:v>
      </x:c>
      <x:c r="G17" s="19" t="n">
        <x:f>E17-F17</x:f>
        <x:v>29000</x:v>
      </x:c>
      <x:c r="H17" s="19" t="n">
        <x:f>B17+E17</x:f>
        <x:v>29000</x:v>
      </x:c>
      <x:c r="I17" s="19" t="n">
        <x:f>C17+F17</x:f>
        <x:v>0</x:v>
      </x:c>
      <x:c r="J17" s="19" t="n">
        <x:f>H17-I17</x:f>
        <x:v>29000</x:v>
      </x:c>
      <x:c r="K17" s="19" t="n">
        <x:f>K16+J17</x:f>
        <x:v>102000</x:v>
      </x:c>
      <x:c r="L17" s="20" t="n">
        <x:v>2</x:v>
      </x:c>
      <x:c r="M17" s="20" t="n">
        <x:v>0</x:v>
      </x:c>
      <x:c r="N17" s="20" t="n">
        <x:v>2</x:v>
      </x:c>
      <x:c r="O17" s="20" t="n">
        <x:v>2</x:v>
      </x:c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8000</x:v>
      </x:c>
      <x:c r="G18" s="19" t="n">
        <x:f>E18-F18</x:f>
        <x:v>25000</x:v>
      </x:c>
      <x:c r="H18" s="19" t="n">
        <x:f>B18+E18</x:f>
        <x:v>33000</x:v>
      </x:c>
      <x:c r="I18" s="19" t="n">
        <x:f>C18+F18</x:f>
        <x:v>8000</x:v>
      </x:c>
      <x:c r="J18" s="19" t="n">
        <x:f>H18-I18</x:f>
        <x:v>25000</x:v>
      </x:c>
      <x:c r="K18" s="19" t="n">
        <x:f>K17+J18</x:f>
        <x:v>127000</x:v>
      </x:c>
      <x:c r="L18" s="20" t="n">
        <x:v>3</x:v>
      </x:c>
      <x:c r="M18" s="20" t="n">
        <x:v>0</x:v>
      </x:c>
      <x:c r="N18" s="20" t="n">
        <x:v>3</x:v>
      </x:c>
      <x:c r="O18" s="20" t="n">
        <x:v>2</x:v>
      </x:c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84000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</x:row>
    <x:row r="20" ht="23" customHeight="1">
      <x:c r="A20" s="2" t="str">
        <x:v>2026-10-08_Night</x:v>
      </x:c>
      <x:c r="B20" s="19" t="n">
        <x:v>5000</x:v>
      </x:c>
      <x:c r="C20" s="19" t="n">
        <x:v>0</x:v>
      </x:c>
      <x:c r="D20" s="19" t="n">
        <x:f>B20-C20</x:f>
        <x:v>5000</x:v>
      </x:c>
      <x:c r="E20" s="19" t="n">
        <x:v>20000</x:v>
      </x:c>
      <x:c r="F20" s="19" t="n">
        <x:v>0</x:v>
      </x:c>
      <x:c r="G20" s="19" t="n">
        <x:f>E20-F20</x:f>
        <x:v>20000</x:v>
      </x:c>
      <x:c r="H20" s="19" t="n">
        <x:f>B20+E20</x:f>
        <x:v>25000</x:v>
      </x:c>
      <x:c r="I20" s="19" t="n">
        <x:f>C20+F20</x:f>
        <x:v>0</x:v>
      </x:c>
      <x:c r="J20" s="19" t="n">
        <x:f>H20-I20</x:f>
        <x:v>25000</x:v>
      </x:c>
      <x:c r="K20" s="19" t="n">
        <x:f>K19+J20</x:f>
        <x:v>109000</x:v>
      </x:c>
      <x:c r="L20" s="20" t="n">
        <x:v>4</x:v>
      </x:c>
      <x:c r="M20" s="20" t="n">
        <x:v>2</x:v>
      </x:c>
      <x:c r="N20" s="20" t="n">
        <x:v>2</x:v>
      </x:c>
      <x:c r="O20" s="20" t="n">
        <x:v>2</x:v>
      </x:c>
    </x:row>
    <x:row r="21" ht="23" customHeight="1">
      <x:c r="A21" s="2" t="str">
        <x:v>2026-10-09_Night</x:v>
      </x:c>
      <x:c r="B21" s="19" t="n">
        <x:v>0</x:v>
      </x:c>
      <x:c r="C21" s="19" t="n">
        <x:v>0</x:v>
      </x:c>
      <x:c r="D21" s="19" t="n">
        <x:f>B21-C21</x:f>
        <x:v>0</x:v>
      </x:c>
      <x:c r="E21" s="19" t="n">
        <x:v>0</x:v>
      </x:c>
      <x:c r="F21" s="19" t="n">
        <x:v>0</x:v>
      </x:c>
      <x:c r="G21" s="19" t="n">
        <x:f>E21-F21</x:f>
        <x:v>0</x:v>
      </x:c>
      <x:c r="H21" s="19" t="n">
        <x:f>B21+E21</x:f>
        <x:v>0</x:v>
      </x:c>
      <x:c r="I21" s="19" t="n">
        <x:f>C21+F21</x:f>
        <x:v>0</x:v>
      </x:c>
      <x:c r="J21" s="19" t="n">
        <x:f>H21-I21</x:f>
        <x:v>0</x:v>
      </x:c>
      <x:c r="K21" s="19" t="n">
        <x:f>K20+J21</x:f>
        <x:v>109000</x:v>
      </x:c>
      <x:c r="L21" s="20" t="n">
        <x:v>0</x:v>
      </x:c>
      <x:c r="M21" s="20" t="n">
        <x:v>0</x:v>
      </x:c>
      <x:c r="N21" s="20" t="n">
        <x:v>0</x:v>
      </x:c>
      <x:c r="O21" s="20" t="n">
        <x:v>0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0</x:v>
      </x:c>
      <x:c r="F22" s="19" t="n">
        <x:v>0</x:v>
      </x:c>
      <x:c r="G22" s="19" t="n">
        <x:f>E22-F22</x:f>
        <x:v>0</x:v>
      </x:c>
      <x:c r="H22" s="19" t="n">
        <x:f>B22+E22</x:f>
        <x:v>0</x:v>
      </x:c>
      <x:c r="I22" s="19" t="n">
        <x:f>C22+F22</x:f>
        <x:v>0</x:v>
      </x:c>
      <x:c r="J22" s="19" t="n">
        <x:f>H22-I22</x:f>
        <x:v>0</x:v>
      </x:c>
      <x:c r="K22" s="19" t="n">
        <x:f>K21+J22</x:f>
        <x:v>109000</x:v>
      </x:c>
      <x:c r="L22" s="20" t="n">
        <x:v>0</x:v>
      </x:c>
      <x:c r="M22" s="20" t="n">
        <x:v>0</x:v>
      </x:c>
      <x:c r="N22" s="20" t="n">
        <x:v>0</x:v>
      </x:c>
      <x:c r="O22" s="20" t="n">
        <x:v>0</x:v>
      </x:c>
    </x:row>
    <x:row r="23" ht="23" customHeight="1">
      <x:c r="A23" s="2" t="str">
        <x:v>2026-10-13_Night</x:v>
      </x:c>
      <x:c r="B23" s="19" t="n">
        <x:v>0</x:v>
      </x:c>
      <x:c r="C23" s="19" t="n">
        <x:v>0</x:v>
      </x:c>
      <x:c r="D23" s="19" t="n">
        <x:f>B23-C23</x:f>
        <x:v>0</x:v>
      </x:c>
      <x:c r="E23" s="19" t="n">
        <x:v>0</x:v>
      </x:c>
      <x:c r="F23" s="19" t="n">
        <x:v>8000</x:v>
      </x:c>
      <x:c r="G23" s="19" t="n">
        <x:f>E23-F23</x:f>
        <x:v>-8000</x:v>
      </x:c>
      <x:c r="H23" s="19" t="n">
        <x:f>B23+E23</x:f>
        <x:v>0</x:v>
      </x:c>
      <x:c r="I23" s="19" t="n">
        <x:f>C23+F23</x:f>
        <x:v>8000</x:v>
      </x:c>
      <x:c r="J23" s="19" t="n">
        <x:f>H23-I23</x:f>
        <x:v>-8000</x:v>
      </x:c>
      <x:c r="K23" s="19" t="n">
        <x:f>K22+J23</x:f>
        <x:v>101000</x:v>
      </x:c>
      <x:c r="L23" s="20" t="n">
        <x:v>1</x:v>
      </x:c>
      <x:c r="M23" s="20" t="n">
        <x:v>0</x:v>
      </x:c>
      <x:c r="N23" s="20" t="n">
        <x:v>1</x:v>
      </x:c>
      <x:c r="O23" s="20" t="n">
        <x:v>1</x:v>
      </x:c>
    </x:row>
    <x:row r="24" ht="23" customHeight="1">
      <x:c r="A24" s="2" t="str">
        <x:v>2026-10-14_Night</x:v>
      </x:c>
      <x:c r="B24" s="19" t="n">
        <x:v>0</x:v>
      </x:c>
      <x:c r="C24" s="19" t="n">
        <x:v>0</x:v>
      </x:c>
      <x:c r="D24" s="19" t="n">
        <x:f>B24-C24</x:f>
        <x:v>0</x:v>
      </x:c>
      <x:c r="E24" s="19" t="n">
        <x:v>0</x:v>
      </x:c>
      <x:c r="F24" s="19" t="n">
        <x:v>43000</x:v>
      </x:c>
      <x:c r="G24" s="19" t="n">
        <x:f>E24-F24</x:f>
        <x:v>-43000</x:v>
      </x:c>
      <x:c r="H24" s="19" t="n">
        <x:f>B24+E24</x:f>
        <x:v>0</x:v>
      </x:c>
      <x:c r="I24" s="19" t="n">
        <x:f>C24+F24</x:f>
        <x:v>43000</x:v>
      </x:c>
      <x:c r="J24" s="19" t="n">
        <x:f>H24-I24</x:f>
        <x:v>-43000</x:v>
      </x:c>
      <x:c r="K24" s="19" t="n">
        <x:f>K23+J24</x:f>
        <x:v>58000</x:v>
      </x:c>
      <x:c r="L24" s="20" t="n">
        <x:v>2</x:v>
      </x:c>
      <x:c r="M24" s="20" t="n">
        <x:v>0</x:v>
      </x:c>
      <x:c r="N24" s="20" t="n">
        <x:v>2</x:v>
      </x:c>
      <x:c r="O24" s="20" t="n">
        <x:v>1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30000</x:v>
      </x:c>
      <x:c r="G25" s="19" t="n">
        <x:f>E25-F25</x:f>
        <x:v>45000</x:v>
      </x:c>
      <x:c r="H25" s="19" t="n">
        <x:f>B25+E25</x:f>
        <x:v>75000</x:v>
      </x:c>
      <x:c r="I25" s="19" t="n">
        <x:f>C25+F25</x:f>
        <x:v>30000</x:v>
      </x:c>
      <x:c r="J25" s="19" t="n">
        <x:f>H25-I25</x:f>
        <x:v>45000</x:v>
      </x:c>
      <x:c r="K25" s="19" t="n">
        <x:f>K24+J25</x:f>
        <x:v>103000</x:v>
      </x:c>
      <x:c r="L25" s="20" t="n">
        <x:v>5</x:v>
      </x:c>
      <x:c r="M25" s="20" t="n">
        <x:v>0</x:v>
      </x:c>
      <x:c r="N25" s="20" t="n">
        <x:v>5</x:v>
      </x:c>
      <x:c r="O25" s="20" t="n">
        <x:v>2</x:v>
      </x:c>
    </x:row>
    <x:row r="26" ht="23" customHeight="1">
      <x:c r="A26" s="2" t="str">
        <x:v>2026-10-16_Night</x:v>
      </x:c>
      <x:c r="B26" s="19" t="n">
        <x:v>0</x:v>
      </x:c>
      <x:c r="C26" s="19" t="n">
        <x:v>0</x:v>
      </x:c>
      <x:c r="D26" s="19" t="n">
        <x:f>B26-C26</x:f>
        <x:v>0</x:v>
      </x:c>
      <x:c r="E26" s="19" t="n">
        <x:v>37000</x:v>
      </x:c>
      <x:c r="F26" s="19" t="n">
        <x:v>68000</x:v>
      </x:c>
      <x:c r="G26" s="19" t="n">
        <x:f>E26-F26</x:f>
        <x:v>-31000</x:v>
      </x:c>
      <x:c r="H26" s="19" t="n">
        <x:f>B26+E26</x:f>
        <x:v>37000</x:v>
      </x:c>
      <x:c r="I26" s="19" t="n">
        <x:f>C26+F26</x:f>
        <x:v>68000</x:v>
      </x:c>
      <x:c r="J26" s="19" t="n">
        <x:f>H26-I26</x:f>
        <x:v>-31000</x:v>
      </x:c>
      <x:c r="K26" s="19" t="n">
        <x:f>K25+J26</x:f>
        <x:v>72000</x:v>
      </x:c>
      <x:c r="L26" s="20" t="n">
        <x:v>5</x:v>
      </x:c>
      <x:c r="M26" s="20" t="n">
        <x:v>0</x:v>
      </x:c>
      <x:c r="N26" s="20" t="n">
        <x:v>5</x:v>
      </x:c>
      <x:c r="O26" s="20" t="n">
        <x:v>2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0</x:v>
      </x:c>
      <x:c r="F27" s="19" t="n">
        <x:v>34000</x:v>
      </x:c>
      <x:c r="G27" s="19" t="n">
        <x:f>E27-F27</x:f>
        <x:v>-34000</x:v>
      </x:c>
      <x:c r="H27" s="19" t="n">
        <x:f>B27+E27</x:f>
        <x:v>0</x:v>
      </x:c>
      <x:c r="I27" s="19" t="n">
        <x:f>C27+F27</x:f>
        <x:v>34000</x:v>
      </x:c>
      <x:c r="J27" s="19" t="n">
        <x:f>H27-I27</x:f>
        <x:v>-34000</x:v>
      </x:c>
      <x:c r="K27" s="19" t="n">
        <x:f>K26+J27</x:f>
        <x:v>38000</x:v>
      </x:c>
      <x:c r="L27" s="20" t="n">
        <x:v>3</x:v>
      </x:c>
      <x:c r="M27" s="20" t="n">
        <x:v>0</x:v>
      </x:c>
      <x:c r="N27" s="20" t="n">
        <x:v>3</x:v>
      </x:c>
      <x:c r="O27" s="20" t="n">
        <x:v>2</x:v>
      </x:c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23000</x:v>
      </x:c>
      <x:c r="F28" s="19" t="n">
        <x:v>0</x:v>
      </x:c>
      <x:c r="G28" s="19" t="n">
        <x:f>E28-F28</x:f>
        <x:v>23000</x:v>
      </x:c>
      <x:c r="H28" s="19" t="n">
        <x:f>B28+E28</x:f>
        <x:v>57000</x:v>
      </x:c>
      <x:c r="I28" s="19" t="n">
        <x:f>C28+F28</x:f>
        <x:v>0</x:v>
      </x:c>
      <x:c r="J28" s="19" t="n">
        <x:f>H28-I28</x:f>
        <x:v>57000</x:v>
      </x:c>
      <x:c r="K28" s="19" t="n">
        <x:f>K27+J28</x:f>
        <x:v>95000</x:v>
      </x:c>
      <x:c r="L28" s="20" t="n">
        <x:v>5</x:v>
      </x:c>
      <x:c r="M28" s="20" t="n">
        <x:v>2</x:v>
      </x:c>
      <x:c r="N28" s="20" t="n">
        <x:v>3</x:v>
      </x:c>
      <x:c r="O28" s="20" t="n">
        <x:v>2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23000</x:v>
      </x:c>
      <x:c r="F29" s="19" t="n">
        <x:v>0</x:v>
      </x:c>
      <x:c r="G29" s="19" t="n">
        <x:f>E29-F29</x:f>
        <x:v>23000</x:v>
      </x:c>
      <x:c r="H29" s="19" t="n">
        <x:f>B29+E29</x:f>
        <x:v>23000</x:v>
      </x:c>
      <x:c r="I29" s="19" t="n">
        <x:f>C29+F29</x:f>
        <x:v>0</x:v>
      </x:c>
      <x:c r="J29" s="19" t="n">
        <x:f>H29-I29</x:f>
        <x:v>23000</x:v>
      </x:c>
      <x:c r="K29" s="19" t="n">
        <x:f>K28+J29</x:f>
        <x:v>118000</x:v>
      </x:c>
      <x:c r="L29" s="20" t="n">
        <x:v>2</x:v>
      </x:c>
      <x:c r="M29" s="20" t="n">
        <x:v>0</x:v>
      </x:c>
      <x:c r="N29" s="20" t="n">
        <x:v>2</x:v>
      </x:c>
      <x:c r="O29" s="20" t="n">
        <x:v>2</x:v>
      </x:c>
    </x:row>
    <x:row r="30" ht="23" customHeight="1">
      <x:c r="A30" s="2" t="str">
        <x:v>2026-10-22_Night</x:v>
      </x:c>
      <x:c r="B30" s="19" t="n">
        <x:v>0</x:v>
      </x:c>
      <x:c r="C30" s="19" t="n">
        <x:v>0</x:v>
      </x:c>
      <x:c r="D30" s="19" t="n">
        <x:f>B30-C30</x:f>
        <x:v>0</x:v>
      </x:c>
      <x:c r="E30" s="19" t="n">
        <x:v>56000</x:v>
      </x:c>
      <x:c r="F30" s="19" t="n">
        <x:v>0</x:v>
      </x:c>
      <x:c r="G30" s="19" t="n">
        <x:f>E30-F30</x:f>
        <x:v>56000</x:v>
      </x:c>
      <x:c r="H30" s="19" t="n">
        <x:f>B30+E30</x:f>
        <x:v>56000</x:v>
      </x:c>
      <x:c r="I30" s="19" t="n">
        <x:f>C30+F30</x:f>
        <x:v>0</x:v>
      </x:c>
      <x:c r="J30" s="19" t="n">
        <x:f>H30-I30</x:f>
        <x:v>56000</x:v>
      </x:c>
      <x:c r="K30" s="19" t="n">
        <x:f>K29+J30</x:f>
        <x:v>174000</x:v>
      </x:c>
      <x:c r="L30" s="20" t="n">
        <x:v>2</x:v>
      </x:c>
      <x:c r="M30" s="20" t="n">
        <x:v>0</x:v>
      </x:c>
      <x:c r="N30" s="20" t="n">
        <x:v>2</x:v>
      </x:c>
      <x:c r="O30" s="20" t="n">
        <x:v>2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11000</x:v>
      </x:c>
      <x:c r="F31" s="19" t="n">
        <x:v>7000</x:v>
      </x:c>
      <x:c r="G31" s="19" t="n">
        <x:f>E31-F31</x:f>
        <x:v>4000</x:v>
      </x:c>
      <x:c r="H31" s="19" t="n">
        <x:f>B31+E31</x:f>
        <x:v>14000</x:v>
      </x:c>
      <x:c r="I31" s="19" t="n">
        <x:f>C31+F31</x:f>
        <x:v>38000</x:v>
      </x:c>
      <x:c r="J31" s="19" t="n">
        <x:f>H31-I31</x:f>
        <x:v>-24000</x:v>
      </x:c>
      <x:c r="K31" s="19" t="n">
        <x:f>K30+J31</x:f>
        <x:v>150000</x:v>
      </x:c>
      <x:c r="L31" s="20" t="n">
        <x:v>8</x:v>
      </x:c>
      <x:c r="M31" s="20" t="n">
        <x:v>4</x:v>
      </x:c>
      <x:c r="N31" s="20" t="n">
        <x:v>4</x:v>
      </x:c>
      <x:c r="O31" s="20" t="n">
        <x:v>2</x:v>
      </x:c>
    </x:row>
    <x:row r="32" ht="23" customHeight="1">
      <x:c r="A32" s="24" t="str">
        <x:v>25夜累計</x:v>
      </x:c>
      <x:c r="B32" s="25" t="n">
        <x:f>SUM(B7:B31)</x:f>
        <x:v>51000</x:v>
      </x:c>
      <x:c r="C32" s="25" t="n">
        <x:f>SUM(C7:C31)</x:f>
        <x:v>52000</x:v>
      </x:c>
      <x:c r="D32" s="25" t="n">
        <x:f>B32-C32</x:f>
        <x:v>-1000</x:v>
      </x:c>
      <x:c r="E32" s="25" t="n">
        <x:f>SUM(E7:E31)</x:f>
        <x:v>449000</x:v>
      </x:c>
      <x:c r="F32" s="25" t="n">
        <x:f>SUM(F7:F31)</x:f>
        <x:v>298000</x:v>
      </x:c>
      <x:c r="G32" s="25" t="n">
        <x:f>E32-F32</x:f>
        <x:v>151000</x:v>
      </x:c>
      <x:c r="H32" s="25" t="n">
        <x:f>B32+E32</x:f>
        <x:v>500000</x:v>
      </x:c>
      <x:c r="I32" s="25" t="n">
        <x:f>C32+F32</x:f>
        <x:v>350000</x:v>
      </x:c>
      <x:c r="J32" s="25" t="n">
        <x:f>H32-I32</x:f>
        <x:v>150000</x:v>
      </x:c>
      <x:c r="K32" s="25" t="n">
        <x:f>K31</x:f>
        <x:v>150000</x:v>
      </x:c>
      <x:c r="L32" s="26" t="n">
        <x:f>SUM(L7:L31)</x:f>
        <x:v>69</x:v>
      </x:c>
      <x:c r="M32" s="26" t="n">
        <x:f>SUM(M7:M31)</x:f>
        <x:v>13</x:v>
      </x:c>
      <x:c r="N32" s="26" t="n">
        <x:f>SUM(N7:N31)</x:f>
        <x:v>56</x:v>
      </x:c>
      <x:c r="O32" s="26" t="n">
        <x:f>MAX(O7:O31)</x:f>
        <x:v>2</x:v>
      </x:c>
    </x:row>
  </x:sheetData>
  <x:conditionalFormatting sqref="B7:K32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2ee966fd5547ca"/>
  </x:tableParts>
</x:worksheet>
</file>

<file path=xl/worksheets/sheet1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R01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前半C05・US15分前全返済・US後全リセット最低5分準備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52000</x:v>
      </x:c>
      <x:c r="C7" s="19" t="n">
        <x:v>0</x:v>
      </x:c>
      <x:c r="D7" s="19" t="n">
        <x:f>B7-C7</x:f>
        <x:v>52000</x:v>
      </x:c>
      <x:c r="E7" s="19" t="n">
        <x:v>72000</x:v>
      </x:c>
      <x:c r="F7" s="19" t="n">
        <x:v>0</x:v>
      </x:c>
      <x:c r="G7" s="19" t="n">
        <x:f>E7-F7</x:f>
        <x:v>72000</x:v>
      </x:c>
      <x:c r="H7" s="19" t="n">
        <x:f>B7+E7</x:f>
        <x:v>124000</x:v>
      </x:c>
      <x:c r="I7" s="19" t="n">
        <x:f>C7+F7</x:f>
        <x:v>0</x:v>
      </x:c>
      <x:c r="J7" s="19" t="n">
        <x:f>H7-I7</x:f>
        <x:v>124000</x:v>
      </x:c>
      <x:c r="K7" s="19" t="n">
        <x:f>J7</x:f>
        <x:v>124000</x:v>
      </x:c>
      <x:c r="L7" s="20" t="n">
        <x:v>2</x:v>
      </x:c>
      <x:c r="M7" s="20" t="n">
        <x:v>1</x:v>
      </x:c>
      <x:c r="N7" s="20" t="n">
        <x:v>1</x:v>
      </x:c>
      <x:c r="O7" s="20" t="n">
        <x:v>5</x:v>
      </x:c>
    </x:row>
    <x:row r="8" ht="23" customHeight="1">
      <x:c r="A8" s="2" t="str">
        <x:v>2026-09-22_Night</x:v>
      </x:c>
      <x:c r="B8" s="19" t="n">
        <x:v>51000</x:v>
      </x:c>
      <x:c r="C8" s="19" t="n">
        <x:v>0</x:v>
      </x:c>
      <x:c r="D8" s="19" t="n">
        <x:f>B8-C8</x:f>
        <x:v>51000</x:v>
      </x:c>
      <x:c r="E8" s="19" t="n">
        <x:v>16000</x:v>
      </x:c>
      <x:c r="F8" s="19" t="n">
        <x:v>3000</x:v>
      </x:c>
      <x:c r="G8" s="19" t="n">
        <x:f>E8-F8</x:f>
        <x:v>13000</x:v>
      </x:c>
      <x:c r="H8" s="19" t="n">
        <x:f>B8+E8</x:f>
        <x:v>67000</x:v>
      </x:c>
      <x:c r="I8" s="19" t="n">
        <x:f>C8+F8</x:f>
        <x:v>3000</x:v>
      </x:c>
      <x:c r="J8" s="19" t="n">
        <x:f>H8-I8</x:f>
        <x:v>64000</x:v>
      </x:c>
      <x:c r="K8" s="19" t="n">
        <x:f>K7+J8</x:f>
        <x:v>188000</x:v>
      </x:c>
      <x:c r="L8" s="20" t="n">
        <x:v>9</x:v>
      </x:c>
      <x:c r="M8" s="20" t="n">
        <x:v>2</x:v>
      </x:c>
      <x:c r="N8" s="20" t="n">
        <x:v>7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40000</x:v>
      </x:c>
      <x:c r="D9" s="19" t="n">
        <x:f>B9-C9</x:f>
        <x:v>-40000</x:v>
      </x:c>
      <x:c r="E9" s="19" t="n">
        <x:v>14000</x:v>
      </x:c>
      <x:c r="F9" s="19" t="n">
        <x:v>40000</x:v>
      </x:c>
      <x:c r="G9" s="19" t="n">
        <x:f>E9-F9</x:f>
        <x:v>-26000</x:v>
      </x:c>
      <x:c r="H9" s="19" t="n">
        <x:f>B9+E9</x:f>
        <x:v>14000</x:v>
      </x:c>
      <x:c r="I9" s="19" t="n">
        <x:f>C9+F9</x:f>
        <x:v>80000</x:v>
      </x:c>
      <x:c r="J9" s="19" t="n">
        <x:f>H9-I9</x:f>
        <x:v>-66000</x:v>
      </x:c>
      <x:c r="K9" s="19" t="n">
        <x:f>K8+J9</x:f>
        <x:v>122000</x:v>
      </x:c>
      <x:c r="L9" s="20" t="n">
        <x:v>4</x:v>
      </x:c>
      <x:c r="M9" s="20" t="n">
        <x:v>1</x:v>
      </x:c>
      <x:c r="N9" s="20" t="n">
        <x:v>3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79000</x:v>
      </x:c>
      <x:c r="D10" s="19" t="n">
        <x:f>B10-C10</x:f>
        <x:v>-79000</x:v>
      </x:c>
      <x:c r="E10" s="19" t="n">
        <x:v>14000</x:v>
      </x:c>
      <x:c r="F10" s="19" t="n">
        <x:v>60000</x:v>
      </x:c>
      <x:c r="G10" s="19" t="n">
        <x:f>E10-F10</x:f>
        <x:v>-46000</x:v>
      </x:c>
      <x:c r="H10" s="19" t="n">
        <x:f>B10+E10</x:f>
        <x:v>14000</x:v>
      </x:c>
      <x:c r="I10" s="19" t="n">
        <x:f>C10+F10</x:f>
        <x:v>139000</x:v>
      </x:c>
      <x:c r="J10" s="19" t="n">
        <x:f>H10-I10</x:f>
        <x:v>-125000</x:v>
      </x:c>
      <x:c r="K10" s="19" t="n">
        <x:f>K9+J10</x:f>
        <x:v>-3000</x:v>
      </x:c>
      <x:c r="L10" s="20" t="n">
        <x:v>5</x:v>
      </x:c>
      <x:c r="M10" s="20" t="n">
        <x:v>2</x:v>
      </x:c>
      <x:c r="N10" s="20" t="n">
        <x:v>3</x:v>
      </x:c>
      <x:c r="O10" s="20" t="n">
        <x:v>5</x:v>
      </x:c>
    </x:row>
    <x:row r="11" ht="23" customHeight="1">
      <x:c r="A11" s="2" t="str">
        <x:v>2026-09-25_Night</x:v>
      </x:c>
      <x:c r="B11" s="19" t="n">
        <x:v>26000</x:v>
      </x:c>
      <x:c r="C11" s="19" t="n">
        <x:v>0</x:v>
      </x:c>
      <x:c r="D11" s="19" t="n">
        <x:f>B11-C11</x:f>
        <x:v>26000</x:v>
      </x:c>
      <x:c r="E11" s="19" t="n">
        <x:v>0</x:v>
      </x:c>
      <x:c r="F11" s="19" t="n">
        <x:v>40000</x:v>
      </x:c>
      <x:c r="G11" s="19" t="n">
        <x:f>E11-F11</x:f>
        <x:v>-40000</x:v>
      </x:c>
      <x:c r="H11" s="19" t="n">
        <x:f>B11+E11</x:f>
        <x:v>26000</x:v>
      </x:c>
      <x:c r="I11" s="19" t="n">
        <x:f>C11+F11</x:f>
        <x:v>40000</x:v>
      </x:c>
      <x:c r="J11" s="19" t="n">
        <x:f>H11-I11</x:f>
        <x:v>-14000</x:v>
      </x:c>
      <x:c r="K11" s="19" t="n">
        <x:f>K10+J11</x:f>
        <x:v>-17000</x:v>
      </x:c>
      <x:c r="L11" s="20" t="n">
        <x:v>2</x:v>
      </x:c>
      <x:c r="M11" s="20" t="n">
        <x:v>1</x:v>
      </x:c>
      <x:c r="N11" s="20" t="n">
        <x:v>1</x:v>
      </x:c>
      <x:c r="O11" s="20" t="n">
        <x:v>5</x:v>
      </x:c>
    </x:row>
    <x:row r="12" ht="23" customHeight="1">
      <x:c r="A12" s="2" t="str">
        <x:v>2026-09-28_Night</x:v>
      </x:c>
      <x:c r="B12" s="19" t="n">
        <x:v>9000</x:v>
      </x:c>
      <x:c r="C12" s="19" t="n">
        <x:v>21000</x:v>
      </x:c>
      <x:c r="D12" s="19" t="n">
        <x:f>B12-C12</x:f>
        <x:v>-12000</x:v>
      </x:c>
      <x:c r="E12" s="19" t="n">
        <x:v>26000</x:v>
      </x:c>
      <x:c r="F12" s="19" t="n">
        <x:v>0</x:v>
      </x:c>
      <x:c r="G12" s="19" t="n">
        <x:f>E12-F12</x:f>
        <x:v>26000</x:v>
      </x:c>
      <x:c r="H12" s="19" t="n">
        <x:f>B12+E12</x:f>
        <x:v>35000</x:v>
      </x:c>
      <x:c r="I12" s="19" t="n">
        <x:f>C12+F12</x:f>
        <x:v>21000</x:v>
      </x:c>
      <x:c r="J12" s="19" t="n">
        <x:f>H12-I12</x:f>
        <x:v>14000</x:v>
      </x:c>
      <x:c r="K12" s="19" t="n">
        <x:f>K11+J12</x:f>
        <x:v>-3000</x:v>
      </x:c>
      <x:c r="L12" s="20" t="n">
        <x:v>3</x:v>
      </x:c>
      <x:c r="M12" s="20" t="n">
        <x:v>2</x:v>
      </x:c>
      <x:c r="N12" s="20" t="n">
        <x:v>1</x:v>
      </x:c>
      <x:c r="O12" s="20" t="n">
        <x:v>4</x:v>
      </x:c>
    </x:row>
    <x:row r="13" ht="23" customHeight="1">
      <x:c r="A13" s="2" t="str">
        <x:v>2026-09-29_Night</x:v>
      </x:c>
      <x:c r="B13" s="19" t="n">
        <x:v>0</x:v>
      </x:c>
      <x:c r="C13" s="19" t="n">
        <x:v>50000</x:v>
      </x:c>
      <x:c r="D13" s="19" t="n">
        <x:f>B13-C13</x:f>
        <x:v>-50000</x:v>
      </x:c>
      <x:c r="E13" s="19" t="n">
        <x:v>73000</x:v>
      </x:c>
      <x:c r="F13" s="19" t="n">
        <x:v>14000</x:v>
      </x:c>
      <x:c r="G13" s="19" t="n">
        <x:f>E13-F13</x:f>
        <x:v>59000</x:v>
      </x:c>
      <x:c r="H13" s="19" t="n">
        <x:f>B13+E13</x:f>
        <x:v>73000</x:v>
      </x:c>
      <x:c r="I13" s="19" t="n">
        <x:f>C13+F13</x:f>
        <x:v>64000</x:v>
      </x:c>
      <x:c r="J13" s="19" t="n">
        <x:f>H13-I13</x:f>
        <x:v>9000</x:v>
      </x:c>
      <x:c r="K13" s="19" t="n">
        <x:f>K12+J13</x:f>
        <x:v>6000</x:v>
      </x:c>
      <x:c r="L13" s="20" t="n">
        <x:v>5</x:v>
      </x:c>
      <x:c r="M13" s="20" t="n">
        <x:v>1</x:v>
      </x:c>
      <x:c r="N13" s="20" t="n">
        <x:v>4</x:v>
      </x:c>
      <x:c r="O13" s="20" t="n">
        <x:v>5</x:v>
      </x:c>
    </x:row>
    <x:row r="14" ht="23" customHeight="1">
      <x:c r="A14" s="2" t="str">
        <x:v>2026-09-30_Night</x:v>
      </x:c>
      <x:c r="B14" s="19" t="n">
        <x:v>32000</x:v>
      </x:c>
      <x:c r="C14" s="19" t="n">
        <x:v>0</x:v>
      </x:c>
      <x:c r="D14" s="19" t="n">
        <x:f>B14-C14</x:f>
        <x:v>32000</x:v>
      </x:c>
      <x:c r="E14" s="19" t="n">
        <x:v>65000</x:v>
      </x:c>
      <x:c r="F14" s="19" t="n">
        <x:v>52000</x:v>
      </x:c>
      <x:c r="G14" s="19" t="n">
        <x:f>E14-F14</x:f>
        <x:v>13000</x:v>
      </x:c>
      <x:c r="H14" s="19" t="n">
        <x:f>B14+E14</x:f>
        <x:v>97000</x:v>
      </x:c>
      <x:c r="I14" s="19" t="n">
        <x:f>C14+F14</x:f>
        <x:v>52000</x:v>
      </x:c>
      <x:c r="J14" s="19" t="n">
        <x:f>H14-I14</x:f>
        <x:v>45000</x:v>
      </x:c>
      <x:c r="K14" s="19" t="n">
        <x:f>K13+J14</x:f>
        <x:v>51000</x:v>
      </x:c>
      <x:c r="L14" s="20" t="n">
        <x:v>5</x:v>
      </x:c>
      <x:c r="M14" s="20" t="n">
        <x:v>1</x:v>
      </x:c>
      <x:c r="N14" s="20" t="n">
        <x:v>4</x:v>
      </x:c>
      <x:c r="O14" s="20" t="n">
        <x:v>5</x:v>
      </x:c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83000</x:v>
      </x:c>
      <x:c r="F15" s="19" t="n">
        <x:v>17000</x:v>
      </x:c>
      <x:c r="G15" s="19" t="n">
        <x:f>E15-F15</x:f>
        <x:v>66000</x:v>
      </x:c>
      <x:c r="H15" s="19" t="n">
        <x:f>B15+E15</x:f>
        <x:v>100000</x:v>
      </x:c>
      <x:c r="I15" s="19" t="n">
        <x:f>C15+F15</x:f>
        <x:v>75000</x:v>
      </x:c>
      <x:c r="J15" s="19" t="n">
        <x:f>H15-I15</x:f>
        <x:v>25000</x:v>
      </x:c>
      <x:c r="K15" s="19" t="n">
        <x:f>K14+J15</x:f>
        <x:v>76000</x:v>
      </x:c>
      <x:c r="L15" s="20" t="n">
        <x:v>11</x:v>
      </x:c>
      <x:c r="M15" s="20" t="n">
        <x:v>7</x:v>
      </x:c>
      <x:c r="N15" s="20" t="n">
        <x:v>4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48000</x:v>
      </x:c>
      <x:c r="D16" s="19" t="n">
        <x:f>B16-C16</x:f>
        <x:v>-48000</x:v>
      </x:c>
      <x:c r="E16" s="19" t="n">
        <x:v>24000</x:v>
      </x:c>
      <x:c r="F16" s="19" t="n">
        <x:v>110000</x:v>
      </x:c>
      <x:c r="G16" s="19" t="n">
        <x:f>E16-F16</x:f>
        <x:v>-86000</x:v>
      </x:c>
      <x:c r="H16" s="19" t="n">
        <x:f>B16+E16</x:f>
        <x:v>24000</x:v>
      </x:c>
      <x:c r="I16" s="19" t="n">
        <x:f>C16+F16</x:f>
        <x:v>158000</x:v>
      </x:c>
      <x:c r="J16" s="19" t="n">
        <x:f>H16-I16</x:f>
        <x:v>-134000</x:v>
      </x:c>
      <x:c r="K16" s="19" t="n">
        <x:f>K15+J16</x:f>
        <x:v>-58000</x:v>
      </x:c>
      <x:c r="L16" s="20" t="n">
        <x:v>8</x:v>
      </x:c>
      <x:c r="M16" s="20" t="n">
        <x:v>1</x:v>
      </x:c>
      <x:c r="N16" s="20" t="n">
        <x:v>7</x:v>
      </x:c>
      <x:c r="O16" s="20" t="n">
        <x:v>4</x:v>
      </x:c>
    </x:row>
    <x:row r="17" ht="23" customHeight="1">
      <x:c r="A17" s="2" t="str">
        <x:v>2026-10-05_Night</x:v>
      </x:c>
      <x:c r="B17" s="19" t="n">
        <x:v>53000</x:v>
      </x:c>
      <x:c r="C17" s="19" t="n">
        <x:v>0</x:v>
      </x:c>
      <x:c r="D17" s="19" t="n">
        <x:f>B17-C17</x:f>
        <x:v>53000</x:v>
      </x:c>
      <x:c r="E17" s="19" t="n">
        <x:v>0</x:v>
      </x:c>
      <x:c r="F17" s="19" t="n">
        <x:v>80000</x:v>
      </x:c>
      <x:c r="G17" s="19" t="n">
        <x:f>E17-F17</x:f>
        <x:v>-80000</x:v>
      </x:c>
      <x:c r="H17" s="19" t="n">
        <x:f>B17+E17</x:f>
        <x:v>53000</x:v>
      </x:c>
      <x:c r="I17" s="19" t="n">
        <x:f>C17+F17</x:f>
        <x:v>80000</x:v>
      </x:c>
      <x:c r="J17" s="19" t="n">
        <x:f>H17-I17</x:f>
        <x:v>-27000</x:v>
      </x:c>
      <x:c r="K17" s="19" t="n">
        <x:f>K16+J17</x:f>
        <x:v>-85000</x:v>
      </x:c>
      <x:c r="L17" s="20" t="n">
        <x:v>3</x:v>
      </x:c>
      <x:c r="M17" s="20" t="n">
        <x:v>1</x:v>
      </x:c>
      <x:c r="N17" s="20" t="n">
        <x:v>2</x:v>
      </x:c>
      <x:c r="O17" s="20" t="n">
        <x:v>5</x:v>
      </x:c>
    </x:row>
    <x:row r="18" ht="23" customHeight="1">
      <x:c r="A18" s="2" t="str">
        <x:v>2026-10-06_Night</x:v>
      </x:c>
      <x:c r="B18" s="19" t="n">
        <x:v>87000</x:v>
      </x:c>
      <x:c r="C18" s="19" t="n">
        <x:v>0</x:v>
      </x:c>
      <x:c r="D18" s="19" t="n">
        <x:f>B18-C18</x:f>
        <x:v>87000</x:v>
      </x:c>
      <x:c r="E18" s="19" t="n">
        <x:v>43000</x:v>
      </x:c>
      <x:c r="F18" s="19" t="n">
        <x:v>0</x:v>
      </x:c>
      <x:c r="G18" s="19" t="n">
        <x:f>E18-F18</x:f>
        <x:v>43000</x:v>
      </x:c>
      <x:c r="H18" s="19" t="n">
        <x:f>B18+E18</x:f>
        <x:v>130000</x:v>
      </x:c>
      <x:c r="I18" s="19" t="n">
        <x:f>C18+F18</x:f>
        <x:v>0</x:v>
      </x:c>
      <x:c r="J18" s="19" t="n">
        <x:f>H18-I18</x:f>
        <x:v>130000</x:v>
      </x:c>
      <x:c r="K18" s="19" t="n">
        <x:f>K17+J18</x:f>
        <x:v>45000</x:v>
      </x:c>
      <x:c r="L18" s="20" t="n">
        <x:v>4</x:v>
      </x:c>
      <x:c r="M18" s="20" t="n">
        <x:v>1</x:v>
      </x:c>
      <x:c r="N18" s="20" t="n">
        <x:v>3</x:v>
      </x:c>
      <x:c r="O18" s="20" t="n">
        <x:v>5</x:v>
      </x:c>
    </x:row>
    <x:row r="19" ht="23" customHeight="1">
      <x:c r="A19" s="2" t="str">
        <x:v>2026-10-07_Night</x:v>
      </x:c>
      <x:c r="B19" s="19" t="n">
        <x:v>0</x:v>
      </x:c>
      <x:c r="C19" s="19" t="n">
        <x:v>76000</x:v>
      </x:c>
      <x:c r="D19" s="19" t="n">
        <x:f>B19-C19</x:f>
        <x:v>-76000</x:v>
      </x:c>
      <x:c r="E19" s="19" t="n">
        <x:v>0</x:v>
      </x:c>
      <x:c r="F19" s="19" t="n">
        <x:v>54000</x:v>
      </x:c>
      <x:c r="G19" s="19" t="n">
        <x:f>E19-F19</x:f>
        <x:v>-54000</x:v>
      </x:c>
      <x:c r="H19" s="19" t="n">
        <x:f>B19+E19</x:f>
        <x:v>0</x:v>
      </x:c>
      <x:c r="I19" s="19" t="n">
        <x:f>C19+F19</x:f>
        <x:v>130000</x:v>
      </x:c>
      <x:c r="J19" s="19" t="n">
        <x:f>H19-I19</x:f>
        <x:v>-130000</x:v>
      </x:c>
      <x:c r="K19" s="19" t="n">
        <x:f>K18+J19</x:f>
        <x:v>-85000</x:v>
      </x:c>
      <x:c r="L19" s="20" t="n">
        <x:v>6</x:v>
      </x:c>
      <x:c r="M19" s="20" t="n">
        <x:v>3</x:v>
      </x:c>
      <x:c r="N19" s="20" t="n">
        <x:v>3</x:v>
      </x:c>
      <x:c r="O19" s="20" t="n">
        <x:v>5</x:v>
      </x:c>
    </x:row>
    <x:row r="20" ht="23" customHeight="1">
      <x:c r="A20" s="2" t="str">
        <x:v>2026-10-08_Night</x:v>
      </x:c>
      <x:c r="B20" s="19" t="n">
        <x:v>19000</x:v>
      </x:c>
      <x:c r="C20" s="19" t="n">
        <x:v>45000</x:v>
      </x:c>
      <x:c r="D20" s="19" t="n">
        <x:f>B20-C20</x:f>
        <x:v>-26000</x:v>
      </x:c>
      <x:c r="E20" s="19" t="n">
        <x:v>19000</x:v>
      </x:c>
      <x:c r="F20" s="19" t="n">
        <x:v>56000</x:v>
      </x:c>
      <x:c r="G20" s="19" t="n">
        <x:f>E20-F20</x:f>
        <x:v>-37000</x:v>
      </x:c>
      <x:c r="H20" s="19" t="n">
        <x:f>B20+E20</x:f>
        <x:v>38000</x:v>
      </x:c>
      <x:c r="I20" s="19" t="n">
        <x:f>C20+F20</x:f>
        <x:v>101000</x:v>
      </x:c>
      <x:c r="J20" s="19" t="n">
        <x:f>H20-I20</x:f>
        <x:v>-63000</x:v>
      </x:c>
      <x:c r="K20" s="19" t="n">
        <x:f>K19+J20</x:f>
        <x:v>-148000</x:v>
      </x:c>
      <x:c r="L20" s="20" t="n">
        <x:v>7</x:v>
      </x:c>
      <x:c r="M20" s="20" t="n">
        <x:v>4</x:v>
      </x:c>
      <x:c r="N20" s="20" t="n">
        <x:v>3</x:v>
      </x:c>
      <x:c r="O20" s="20" t="n">
        <x:v>6</x:v>
      </x:c>
    </x:row>
    <x:row r="21" ht="23" customHeight="1">
      <x:c r="A21" s="2" t="str">
        <x:v>2026-10-09_Night</x:v>
      </x:c>
      <x:c r="B21" s="19" t="n">
        <x:v>0</x:v>
      </x:c>
      <x:c r="C21" s="19" t="n">
        <x:v>46000</x:v>
      </x:c>
      <x:c r="D21" s="19" t="n">
        <x:f>B21-C21</x:f>
        <x:v>-46000</x:v>
      </x:c>
      <x:c r="E21" s="19" t="n">
        <x:v>11000</x:v>
      </x:c>
      <x:c r="F21" s="19" t="n">
        <x:v>0</x:v>
      </x:c>
      <x:c r="G21" s="19" t="n">
        <x:f>E21-F21</x:f>
        <x:v>11000</x:v>
      </x:c>
      <x:c r="H21" s="19" t="n">
        <x:f>B21+E21</x:f>
        <x:v>11000</x:v>
      </x:c>
      <x:c r="I21" s="19" t="n">
        <x:f>C21+F21</x:f>
        <x:v>46000</x:v>
      </x:c>
      <x:c r="J21" s="19" t="n">
        <x:f>H21-I21</x:f>
        <x:v>-35000</x:v>
      </x:c>
      <x:c r="K21" s="19" t="n">
        <x:f>K20+J21</x:f>
        <x:v>-183000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</x:row>
    <x:row r="22" ht="23" customHeight="1">
      <x:c r="A22" s="2" t="str">
        <x:v>2026-10-12_Night</x:v>
      </x:c>
      <x:c r="B22" s="19" t="n">
        <x:v>11000</x:v>
      </x:c>
      <x:c r="C22" s="19" t="n">
        <x:v>0</x:v>
      </x:c>
      <x:c r="D22" s="19" t="n">
        <x:f>B22-C22</x:f>
        <x:v>11000</x:v>
      </x:c>
      <x:c r="E22" s="19" t="n">
        <x:v>31000</x:v>
      </x:c>
      <x:c r="F22" s="19" t="n">
        <x:v>0</x:v>
      </x:c>
      <x:c r="G22" s="19" t="n">
        <x:f>E22-F22</x:f>
        <x:v>31000</x:v>
      </x:c>
      <x:c r="H22" s="19" t="n">
        <x:f>B22+E22</x:f>
        <x:v>42000</x:v>
      </x:c>
      <x:c r="I22" s="19" t="n">
        <x:f>C22+F22</x:f>
        <x:v>0</x:v>
      </x:c>
      <x:c r="J22" s="19" t="n">
        <x:f>H22-I22</x:f>
        <x:v>42000</x:v>
      </x:c>
      <x:c r="K22" s="19" t="n">
        <x:f>K21+J22</x:f>
        <x:v>-141000</x:v>
      </x:c>
      <x:c r="L22" s="20" t="n">
        <x:v>2</x:v>
      </x:c>
      <x:c r="M22" s="20" t="n">
        <x:v>1</x:v>
      </x:c>
      <x:c r="N22" s="20" t="n">
        <x:v>1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53000</x:v>
      </x:c>
      <x:c r="D23" s="19" t="n">
        <x:f>B23-C23</x:f>
        <x:v>-53000</x:v>
      </x:c>
      <x:c r="E23" s="19" t="n">
        <x:v>0</x:v>
      </x:c>
      <x:c r="F23" s="19" t="n">
        <x:v>28000</x:v>
      </x:c>
      <x:c r="G23" s="19" t="n">
        <x:f>E23-F23</x:f>
        <x:v>-28000</x:v>
      </x:c>
      <x:c r="H23" s="19" t="n">
        <x:f>B23+E23</x:f>
        <x:v>0</x:v>
      </x:c>
      <x:c r="I23" s="19" t="n">
        <x:f>C23+F23</x:f>
        <x:v>81000</x:v>
      </x:c>
      <x:c r="J23" s="19" t="n">
        <x:f>H23-I23</x:f>
        <x:v>-81000</x:v>
      </x:c>
      <x:c r="K23" s="19" t="n">
        <x:f>K22+J23</x:f>
        <x:v>-222000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80000</x:v>
      </x:c>
      <x:c r="D24" s="19" t="n">
        <x:f>B24-C24</x:f>
        <x:v>-80000</x:v>
      </x:c>
      <x:c r="E24" s="19" t="n">
        <x:v>193000</x:v>
      </x:c>
      <x:c r="F24" s="19" t="n">
        <x:v>61000</x:v>
      </x:c>
      <x:c r="G24" s="19" t="n">
        <x:f>E24-F24</x:f>
        <x:v>132000</x:v>
      </x:c>
      <x:c r="H24" s="19" t="n">
        <x:f>B24+E24</x:f>
        <x:v>193000</x:v>
      </x:c>
      <x:c r="I24" s="19" t="n">
        <x:f>C24+F24</x:f>
        <x:v>141000</x:v>
      </x:c>
      <x:c r="J24" s="19" t="n">
        <x:f>H24-I24</x:f>
        <x:v>52000</x:v>
      </x:c>
      <x:c r="K24" s="19" t="n">
        <x:f>K23+J24</x:f>
        <x:v>-170000</x:v>
      </x:c>
      <x:c r="L24" s="20" t="n">
        <x:v>6</x:v>
      </x:c>
      <x:c r="M24" s="20" t="n">
        <x:v>2</x:v>
      </x:c>
      <x:c r="N24" s="20" t="n">
        <x:v>4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50000</x:v>
      </x:c>
      <x:c r="D25" s="19" t="n">
        <x:f>B25-C25</x:f>
        <x:v>-50000</x:v>
      </x:c>
      <x:c r="E25" s="19" t="n">
        <x:v>67000</x:v>
      </x:c>
      <x:c r="F25" s="19" t="n">
        <x:v>53000</x:v>
      </x:c>
      <x:c r="G25" s="19" t="n">
        <x:f>E25-F25</x:f>
        <x:v>14000</x:v>
      </x:c>
      <x:c r="H25" s="19" t="n">
        <x:f>B25+E25</x:f>
        <x:v>67000</x:v>
      </x:c>
      <x:c r="I25" s="19" t="n">
        <x:f>C25+F25</x:f>
        <x:v>103000</x:v>
      </x:c>
      <x:c r="J25" s="19" t="n">
        <x:f>H25-I25</x:f>
        <x:v>-36000</x:v>
      </x:c>
      <x:c r="K25" s="19" t="n">
        <x:f>K24+J25</x:f>
        <x:v>-206000</x:v>
      </x:c>
      <x:c r="L25" s="20" t="n">
        <x:v>7</x:v>
      </x:c>
      <x:c r="M25" s="20" t="n">
        <x:v>1</x:v>
      </x:c>
      <x:c r="N25" s="20" t="n">
        <x:v>6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100000</x:v>
      </x:c>
      <x:c r="D26" s="19" t="n">
        <x:f>B26-C26</x:f>
        <x:v>-100000</x:v>
      </x:c>
      <x:c r="E26" s="19" t="n">
        <x:v>149000</x:v>
      </x:c>
      <x:c r="F26" s="19" t="n">
        <x:v>100000</x:v>
      </x:c>
      <x:c r="G26" s="19" t="n">
        <x:f>E26-F26</x:f>
        <x:v>49000</x:v>
      </x:c>
      <x:c r="H26" s="19" t="n">
        <x:f>B26+E26</x:f>
        <x:v>149000</x:v>
      </x:c>
      <x:c r="I26" s="19" t="n">
        <x:f>C26+F26</x:f>
        <x:v>200000</x:v>
      </x:c>
      <x:c r="J26" s="19" t="n">
        <x:f>H26-I26</x:f>
        <x:v>-51000</x:v>
      </x:c>
      <x:c r="K26" s="19" t="n">
        <x:f>K25+J26</x:f>
        <x:v>-257000</x:v>
      </x:c>
      <x:c r="L26" s="20" t="n">
        <x:v>14</x:v>
      </x:c>
      <x:c r="M26" s="20" t="n">
        <x:v>2</x:v>
      </x:c>
      <x:c r="N26" s="20" t="n">
        <x:v>12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20000</x:v>
      </x:c>
      <x:c r="D27" s="19" t="n">
        <x:f>B27-C27</x:f>
        <x:v>-20000</x:v>
      </x:c>
      <x:c r="E27" s="19" t="n">
        <x:v>41000</x:v>
      </x:c>
      <x:c r="F27" s="19" t="n">
        <x:v>24000</x:v>
      </x:c>
      <x:c r="G27" s="19" t="n">
        <x:f>E27-F27</x:f>
        <x:v>17000</x:v>
      </x:c>
      <x:c r="H27" s="19" t="n">
        <x:f>B27+E27</x:f>
        <x:v>41000</x:v>
      </x:c>
      <x:c r="I27" s="19" t="n">
        <x:f>C27+F27</x:f>
        <x:v>44000</x:v>
      </x:c>
      <x:c r="J27" s="19" t="n">
        <x:f>H27-I27</x:f>
        <x:v>-3000</x:v>
      </x:c>
      <x:c r="K27" s="19" t="n">
        <x:f>K26+J27</x:f>
        <x:v>-260000</x:v>
      </x:c>
      <x:c r="L27" s="20" t="n">
        <x:v>3</x:v>
      </x:c>
      <x:c r="M27" s="20" t="n">
        <x:v>1</x:v>
      </x:c>
      <x:c r="N27" s="20" t="n">
        <x:v>2</x:v>
      </x:c>
      <x:c r="O27" s="20" t="n">
        <x:v>5</x:v>
      </x:c>
    </x:row>
    <x:row r="28" ht="23" customHeight="1">
      <x:c r="A28" s="2" t="str">
        <x:v>2026-10-20_Night</x:v>
      </x:c>
      <x:c r="B28" s="19" t="n">
        <x:v>80000</x:v>
      </x:c>
      <x:c r="C28" s="19" t="n">
        <x:v>0</x:v>
      </x:c>
      <x:c r="D28" s="19" t="n">
        <x:f>B28-C28</x:f>
        <x:v>80000</x:v>
      </x:c>
      <x:c r="E28" s="19" t="n">
        <x:v>24000</x:v>
      </x:c>
      <x:c r="F28" s="19" t="n">
        <x:v>60000</x:v>
      </x:c>
      <x:c r="G28" s="19" t="n">
        <x:f>E28-F28</x:f>
        <x:v>-36000</x:v>
      </x:c>
      <x:c r="H28" s="19" t="n">
        <x:f>B28+E28</x:f>
        <x:v>104000</x:v>
      </x:c>
      <x:c r="I28" s="19" t="n">
        <x:f>C28+F28</x:f>
        <x:v>60000</x:v>
      </x:c>
      <x:c r="J28" s="19" t="n">
        <x:f>H28-I28</x:f>
        <x:v>44000</x:v>
      </x:c>
      <x:c r="K28" s="19" t="n">
        <x:f>K27+J28</x:f>
        <x:v>-216000</x:v>
      </x:c>
      <x:c r="L28" s="20" t="n">
        <x:v>10</x:v>
      </x:c>
      <x:c r="M28" s="20" t="n">
        <x:v>3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51000</x:v>
      </x:c>
      <x:c r="C29" s="19" t="n">
        <x:v>0</x:v>
      </x:c>
      <x:c r="D29" s="19" t="n">
        <x:f>B29-C29</x:f>
        <x:v>51000</x:v>
      </x:c>
      <x:c r="E29" s="19" t="n">
        <x:v>0</x:v>
      </x:c>
      <x:c r="F29" s="19" t="n">
        <x:v>22000</x:v>
      </x:c>
      <x:c r="G29" s="19" t="n">
        <x:f>E29-F29</x:f>
        <x:v>-22000</x:v>
      </x:c>
      <x:c r="H29" s="19" t="n">
        <x:f>B29+E29</x:f>
        <x:v>51000</x:v>
      </x:c>
      <x:c r="I29" s="19" t="n">
        <x:f>C29+F29</x:f>
        <x:v>22000</x:v>
      </x:c>
      <x:c r="J29" s="19" t="n">
        <x:f>H29-I29</x:f>
        <x:v>29000</x:v>
      </x:c>
      <x:c r="K29" s="19" t="n">
        <x:f>K28+J29</x:f>
        <x:v>-187000</x:v>
      </x:c>
      <x:c r="L29" s="20" t="n">
        <x:v>2</x:v>
      </x:c>
      <x:c r="M29" s="20" t="n">
        <x:v>1</x:v>
      </x:c>
      <x:c r="N29" s="20" t="n">
        <x:v>1</x:v>
      </x:c>
      <x:c r="O29" s="20" t="n">
        <x:v>4</x:v>
      </x:c>
    </x:row>
    <x:row r="30" ht="23" customHeight="1">
      <x:c r="A30" s="2" t="str">
        <x:v>2026-10-22_Night</x:v>
      </x:c>
      <x:c r="B30" s="19" t="n">
        <x:v>0</x:v>
      </x:c>
      <x:c r="C30" s="19" t="n">
        <x:v>83000</x:v>
      </x:c>
      <x:c r="D30" s="19" t="n">
        <x:f>B30-C30</x:f>
        <x:v>-83000</x:v>
      </x:c>
      <x:c r="E30" s="19" t="n">
        <x:v>0</x:v>
      </x:c>
      <x:c r="F30" s="19" t="n">
        <x:v>45000</x:v>
      </x:c>
      <x:c r="G30" s="19" t="n">
        <x:f>E30-F30</x:f>
        <x:v>-45000</x:v>
      </x:c>
      <x:c r="H30" s="19" t="n">
        <x:f>B30+E30</x:f>
        <x:v>0</x:v>
      </x:c>
      <x:c r="I30" s="19" t="n">
        <x:f>C30+F30</x:f>
        <x:v>128000</x:v>
      </x:c>
      <x:c r="J30" s="19" t="n">
        <x:f>H30-I30</x:f>
        <x:v>-128000</x:v>
      </x:c>
      <x:c r="K30" s="19" t="n">
        <x:f>K29+J30</x:f>
        <x:v>-315000</x:v>
      </x:c>
      <x:c r="L30" s="20" t="n">
        <x:v>5</x:v>
      </x:c>
      <x:c r="M30" s="20" t="n">
        <x:v>2</x:v>
      </x:c>
      <x:c r="N30" s="20" t="n">
        <x:v>3</x:v>
      </x:c>
      <x:c r="O30" s="20" t="n">
        <x:v>5</x:v>
      </x:c>
    </x:row>
    <x:row r="31" ht="23" customHeight="1">
      <x:c r="A31" s="2" t="str">
        <x:v>2026-10-23_Night</x:v>
      </x:c>
      <x:c r="B31" s="19" t="n">
        <x:v>3000</x:v>
      </x:c>
      <x:c r="C31" s="19" t="n">
        <x:v>76000</x:v>
      </x:c>
      <x:c r="D31" s="19" t="n">
        <x:f>B31-C31</x:f>
        <x:v>-73000</x:v>
      </x:c>
      <x:c r="E31" s="19" t="n">
        <x:v>49000</x:v>
      </x:c>
      <x:c r="F31" s="19" t="n">
        <x:v>17000</x:v>
      </x:c>
      <x:c r="G31" s="19" t="n">
        <x:f>E31-F31</x:f>
        <x:v>32000</x:v>
      </x:c>
      <x:c r="H31" s="19" t="n">
        <x:f>B31+E31</x:f>
        <x:v>52000</x:v>
      </x:c>
      <x:c r="I31" s="19" t="n">
        <x:f>C31+F31</x:f>
        <x:v>93000</x:v>
      </x:c>
      <x:c r="J31" s="19" t="n">
        <x:f>H31-I31</x:f>
        <x:v>-41000</x:v>
      </x:c>
      <x:c r="K31" s="19" t="n">
        <x:f>K30+J31</x:f>
        <x:v>-356000</x:v>
      </x:c>
      <x:c r="L31" s="20" t="n">
        <x:v>9</x:v>
      </x:c>
      <x:c r="M31" s="20" t="n">
        <x:v>5</x:v>
      </x:c>
      <x:c r="N31" s="20" t="n">
        <x:v>4</x:v>
      </x:c>
      <x:c r="O31" s="20" t="n">
        <x:v>4</x:v>
      </x:c>
    </x:row>
    <x:row r="32" ht="23" customHeight="1">
      <x:c r="A32" s="24" t="str">
        <x:v>25夜累計</x:v>
      </x:c>
      <x:c r="B32" s="25" t="n">
        <x:f>SUM(B7:B31)</x:f>
        <x:v>491000</x:v>
      </x:c>
      <x:c r="C32" s="25" t="n">
        <x:f>SUM(C7:C31)</x:f>
        <x:v>925000</x:v>
      </x:c>
      <x:c r="D32" s="25" t="n">
        <x:f>B32-C32</x:f>
        <x:v>-434000</x:v>
      </x:c>
      <x:c r="E32" s="25" t="n">
        <x:f>SUM(E7:E31)</x:f>
        <x:v>1014000</x:v>
      </x:c>
      <x:c r="F32" s="25" t="n">
        <x:f>SUM(F7:F31)</x:f>
        <x:v>936000</x:v>
      </x:c>
      <x:c r="G32" s="25" t="n">
        <x:f>E32-F32</x:f>
        <x:v>78000</x:v>
      </x:c>
      <x:c r="H32" s="25" t="n">
        <x:f>B32+E32</x:f>
        <x:v>1505000</x:v>
      </x:c>
      <x:c r="I32" s="25" t="n">
        <x:f>C32+F32</x:f>
        <x:v>1861000</x:v>
      </x:c>
      <x:c r="J32" s="25" t="n">
        <x:f>H32-I32</x:f>
        <x:v>-356000</x:v>
      </x:c>
      <x:c r="K32" s="25" t="n">
        <x:f>K31</x:f>
        <x:v>-356000</x:v>
      </x:c>
      <x:c r="L32" s="26" t="n">
        <x:f>SUM(L7:L31)</x:f>
        <x:v>139</x:v>
      </x:c>
      <x:c r="M32" s="26" t="n">
        <x:f>SUM(M7:M31)</x:f>
        <x:v>50</x:v>
      </x:c>
      <x:c r="N32" s="26" t="n">
        <x:f>SUM(N7:N31)</x:f>
        <x:v>89</x:v>
      </x:c>
      <x:c r="O32" s="26" t="n">
        <x:f>MAX(O7:O31)</x:f>
        <x:v>7</x:v>
      </x:c>
    </x:row>
  </x:sheetData>
  <x:conditionalFormatting sqref="B7:K32">
    <x:cfRule type="cellIs" dxfId="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26ecfe4da548d7"/>
  </x:tableParts>
</x:worksheet>
</file>

<file path=xl/worksheets/sheet1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R02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前半C05・US15分前全返済・US後全リセット最低15分準備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52000</x:v>
      </x:c>
      <x:c r="C7" s="19" t="n">
        <x:v>0</x:v>
      </x:c>
      <x:c r="D7" s="19" t="n">
        <x:f>B7-C7</x:f>
        <x:v>52000</x:v>
      </x:c>
      <x:c r="E7" s="19" t="n">
        <x:v>72000</x:v>
      </x:c>
      <x:c r="F7" s="19" t="n">
        <x:v>0</x:v>
      </x:c>
      <x:c r="G7" s="19" t="n">
        <x:f>E7-F7</x:f>
        <x:v>72000</x:v>
      </x:c>
      <x:c r="H7" s="19" t="n">
        <x:f>B7+E7</x:f>
        <x:v>124000</x:v>
      </x:c>
      <x:c r="I7" s="19" t="n">
        <x:f>C7+F7</x:f>
        <x:v>0</x:v>
      </x:c>
      <x:c r="J7" s="19" t="n">
        <x:f>H7-I7</x:f>
        <x:v>124000</x:v>
      </x:c>
      <x:c r="K7" s="19" t="n">
        <x:f>J7</x:f>
        <x:v>124000</x:v>
      </x:c>
      <x:c r="L7" s="20" t="n">
        <x:v>2</x:v>
      </x:c>
      <x:c r="M7" s="20" t="n">
        <x:v>1</x:v>
      </x:c>
      <x:c r="N7" s="20" t="n">
        <x:v>1</x:v>
      </x:c>
      <x:c r="O7" s="20" t="n">
        <x:v>5</x:v>
      </x:c>
    </x:row>
    <x:row r="8" ht="23" customHeight="1">
      <x:c r="A8" s="2" t="str">
        <x:v>2026-09-22_Night</x:v>
      </x:c>
      <x:c r="B8" s="19" t="n">
        <x:v>51000</x:v>
      </x:c>
      <x:c r="C8" s="19" t="n">
        <x:v>0</x:v>
      </x:c>
      <x:c r="D8" s="19" t="n">
        <x:f>B8-C8</x:f>
        <x:v>51000</x:v>
      </x:c>
      <x:c r="E8" s="19" t="n">
        <x:v>16000</x:v>
      </x:c>
      <x:c r="F8" s="19" t="n">
        <x:v>3000</x:v>
      </x:c>
      <x:c r="G8" s="19" t="n">
        <x:f>E8-F8</x:f>
        <x:v>13000</x:v>
      </x:c>
      <x:c r="H8" s="19" t="n">
        <x:f>B8+E8</x:f>
        <x:v>67000</x:v>
      </x:c>
      <x:c r="I8" s="19" t="n">
        <x:f>C8+F8</x:f>
        <x:v>3000</x:v>
      </x:c>
      <x:c r="J8" s="19" t="n">
        <x:f>H8-I8</x:f>
        <x:v>64000</x:v>
      </x:c>
      <x:c r="K8" s="19" t="n">
        <x:f>K7+J8</x:f>
        <x:v>188000</x:v>
      </x:c>
      <x:c r="L8" s="20" t="n">
        <x:v>9</x:v>
      </x:c>
      <x:c r="M8" s="20" t="n">
        <x:v>2</x:v>
      </x:c>
      <x:c r="N8" s="20" t="n">
        <x:v>7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40000</x:v>
      </x:c>
      <x:c r="D9" s="19" t="n">
        <x:f>B9-C9</x:f>
        <x:v>-40000</x:v>
      </x:c>
      <x:c r="E9" s="19" t="n">
        <x:v>14000</x:v>
      </x:c>
      <x:c r="F9" s="19" t="n">
        <x:v>40000</x:v>
      </x:c>
      <x:c r="G9" s="19" t="n">
        <x:f>E9-F9</x:f>
        <x:v>-26000</x:v>
      </x:c>
      <x:c r="H9" s="19" t="n">
        <x:f>B9+E9</x:f>
        <x:v>14000</x:v>
      </x:c>
      <x:c r="I9" s="19" t="n">
        <x:f>C9+F9</x:f>
        <x:v>80000</x:v>
      </x:c>
      <x:c r="J9" s="19" t="n">
        <x:f>H9-I9</x:f>
        <x:v>-66000</x:v>
      </x:c>
      <x:c r="K9" s="19" t="n">
        <x:f>K8+J9</x:f>
        <x:v>122000</x:v>
      </x:c>
      <x:c r="L9" s="20" t="n">
        <x:v>4</x:v>
      </x:c>
      <x:c r="M9" s="20" t="n">
        <x:v>1</x:v>
      </x:c>
      <x:c r="N9" s="20" t="n">
        <x:v>3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79000</x:v>
      </x:c>
      <x:c r="D10" s="19" t="n">
        <x:f>B10-C10</x:f>
        <x:v>-79000</x:v>
      </x:c>
      <x:c r="E10" s="19" t="n">
        <x:v>14000</x:v>
      </x:c>
      <x:c r="F10" s="19" t="n">
        <x:v>60000</x:v>
      </x:c>
      <x:c r="G10" s="19" t="n">
        <x:f>E10-F10</x:f>
        <x:v>-46000</x:v>
      </x:c>
      <x:c r="H10" s="19" t="n">
        <x:f>B10+E10</x:f>
        <x:v>14000</x:v>
      </x:c>
      <x:c r="I10" s="19" t="n">
        <x:f>C10+F10</x:f>
        <x:v>139000</x:v>
      </x:c>
      <x:c r="J10" s="19" t="n">
        <x:f>H10-I10</x:f>
        <x:v>-125000</x:v>
      </x:c>
      <x:c r="K10" s="19" t="n">
        <x:f>K9+J10</x:f>
        <x:v>-3000</x:v>
      </x:c>
      <x:c r="L10" s="20" t="n">
        <x:v>5</x:v>
      </x:c>
      <x:c r="M10" s="20" t="n">
        <x:v>2</x:v>
      </x:c>
      <x:c r="N10" s="20" t="n">
        <x:v>3</x:v>
      </x:c>
      <x:c r="O10" s="20" t="n">
        <x:v>5</x:v>
      </x:c>
    </x:row>
    <x:row r="11" ht="23" customHeight="1">
      <x:c r="A11" s="2" t="str">
        <x:v>2026-09-25_Night</x:v>
      </x:c>
      <x:c r="B11" s="19" t="n">
        <x:v>26000</x:v>
      </x:c>
      <x:c r="C11" s="19" t="n">
        <x:v>0</x:v>
      </x:c>
      <x:c r="D11" s="19" t="n">
        <x:f>B11-C11</x:f>
        <x:v>26000</x:v>
      </x:c>
      <x:c r="E11" s="19" t="n">
        <x:v>0</x:v>
      </x:c>
      <x:c r="F11" s="19" t="n">
        <x:v>40000</x:v>
      </x:c>
      <x:c r="G11" s="19" t="n">
        <x:f>E11-F11</x:f>
        <x:v>-40000</x:v>
      </x:c>
      <x:c r="H11" s="19" t="n">
        <x:f>B11+E11</x:f>
        <x:v>26000</x:v>
      </x:c>
      <x:c r="I11" s="19" t="n">
        <x:f>C11+F11</x:f>
        <x:v>40000</x:v>
      </x:c>
      <x:c r="J11" s="19" t="n">
        <x:f>H11-I11</x:f>
        <x:v>-14000</x:v>
      </x:c>
      <x:c r="K11" s="19" t="n">
        <x:f>K10+J11</x:f>
        <x:v>-17000</x:v>
      </x:c>
      <x:c r="L11" s="20" t="n">
        <x:v>2</x:v>
      </x:c>
      <x:c r="M11" s="20" t="n">
        <x:v>1</x:v>
      </x:c>
      <x:c r="N11" s="20" t="n">
        <x:v>1</x:v>
      </x:c>
      <x:c r="O11" s="20" t="n">
        <x:v>5</x:v>
      </x:c>
    </x:row>
    <x:row r="12" ht="23" customHeight="1">
      <x:c r="A12" s="2" t="str">
        <x:v>2026-09-28_Night</x:v>
      </x:c>
      <x:c r="B12" s="19" t="n">
        <x:v>9000</x:v>
      </x:c>
      <x:c r="C12" s="19" t="n">
        <x:v>21000</x:v>
      </x:c>
      <x:c r="D12" s="19" t="n">
        <x:f>B12-C12</x:f>
        <x:v>-12000</x:v>
      </x:c>
      <x:c r="E12" s="19" t="n">
        <x:v>26000</x:v>
      </x:c>
      <x:c r="F12" s="19" t="n">
        <x:v>0</x:v>
      </x:c>
      <x:c r="G12" s="19" t="n">
        <x:f>E12-F12</x:f>
        <x:v>26000</x:v>
      </x:c>
      <x:c r="H12" s="19" t="n">
        <x:f>B12+E12</x:f>
        <x:v>35000</x:v>
      </x:c>
      <x:c r="I12" s="19" t="n">
        <x:f>C12+F12</x:f>
        <x:v>21000</x:v>
      </x:c>
      <x:c r="J12" s="19" t="n">
        <x:f>H12-I12</x:f>
        <x:v>14000</x:v>
      </x:c>
      <x:c r="K12" s="19" t="n">
        <x:f>K11+J12</x:f>
        <x:v>-3000</x:v>
      </x:c>
      <x:c r="L12" s="20" t="n">
        <x:v>3</x:v>
      </x:c>
      <x:c r="M12" s="20" t="n">
        <x:v>2</x:v>
      </x:c>
      <x:c r="N12" s="20" t="n">
        <x:v>1</x:v>
      </x:c>
      <x:c r="O12" s="20" t="n">
        <x:v>4</x:v>
      </x:c>
    </x:row>
    <x:row r="13" ht="23" customHeight="1">
      <x:c r="A13" s="2" t="str">
        <x:v>2026-09-29_Night</x:v>
      </x:c>
      <x:c r="B13" s="19" t="n">
        <x:v>0</x:v>
      </x:c>
      <x:c r="C13" s="19" t="n">
        <x:v>50000</x:v>
      </x:c>
      <x:c r="D13" s="19" t="n">
        <x:f>B13-C13</x:f>
        <x:v>-50000</x:v>
      </x:c>
      <x:c r="E13" s="19" t="n">
        <x:v>73000</x:v>
      </x:c>
      <x:c r="F13" s="19" t="n">
        <x:v>14000</x:v>
      </x:c>
      <x:c r="G13" s="19" t="n">
        <x:f>E13-F13</x:f>
        <x:v>59000</x:v>
      </x:c>
      <x:c r="H13" s="19" t="n">
        <x:f>B13+E13</x:f>
        <x:v>73000</x:v>
      </x:c>
      <x:c r="I13" s="19" t="n">
        <x:f>C13+F13</x:f>
        <x:v>64000</x:v>
      </x:c>
      <x:c r="J13" s="19" t="n">
        <x:f>H13-I13</x:f>
        <x:v>9000</x:v>
      </x:c>
      <x:c r="K13" s="19" t="n">
        <x:f>K12+J13</x:f>
        <x:v>6000</x:v>
      </x:c>
      <x:c r="L13" s="20" t="n">
        <x:v>5</x:v>
      </x:c>
      <x:c r="M13" s="20" t="n">
        <x:v>1</x:v>
      </x:c>
      <x:c r="N13" s="20" t="n">
        <x:v>4</x:v>
      </x:c>
      <x:c r="O13" s="20" t="n">
        <x:v>5</x:v>
      </x:c>
    </x:row>
    <x:row r="14" ht="23" customHeight="1">
      <x:c r="A14" s="2" t="str">
        <x:v>2026-09-30_Night</x:v>
      </x:c>
      <x:c r="B14" s="19" t="n">
        <x:v>32000</x:v>
      </x:c>
      <x:c r="C14" s="19" t="n">
        <x:v>0</x:v>
      </x:c>
      <x:c r="D14" s="19" t="n">
        <x:f>B14-C14</x:f>
        <x:v>32000</x:v>
      </x:c>
      <x:c r="E14" s="19" t="n">
        <x:v>65000</x:v>
      </x:c>
      <x:c r="F14" s="19" t="n">
        <x:v>52000</x:v>
      </x:c>
      <x:c r="G14" s="19" t="n">
        <x:f>E14-F14</x:f>
        <x:v>13000</x:v>
      </x:c>
      <x:c r="H14" s="19" t="n">
        <x:f>B14+E14</x:f>
        <x:v>97000</x:v>
      </x:c>
      <x:c r="I14" s="19" t="n">
        <x:f>C14+F14</x:f>
        <x:v>52000</x:v>
      </x:c>
      <x:c r="J14" s="19" t="n">
        <x:f>H14-I14</x:f>
        <x:v>45000</x:v>
      </x:c>
      <x:c r="K14" s="19" t="n">
        <x:f>K13+J14</x:f>
        <x:v>51000</x:v>
      </x:c>
      <x:c r="L14" s="20" t="n">
        <x:v>5</x:v>
      </x:c>
      <x:c r="M14" s="20" t="n">
        <x:v>1</x:v>
      </x:c>
      <x:c r="N14" s="20" t="n">
        <x:v>4</x:v>
      </x:c>
      <x:c r="O14" s="20" t="n">
        <x:v>5</x:v>
      </x:c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83000</x:v>
      </x:c>
      <x:c r="F15" s="19" t="n">
        <x:v>17000</x:v>
      </x:c>
      <x:c r="G15" s="19" t="n">
        <x:f>E15-F15</x:f>
        <x:v>66000</x:v>
      </x:c>
      <x:c r="H15" s="19" t="n">
        <x:f>B15+E15</x:f>
        <x:v>100000</x:v>
      </x:c>
      <x:c r="I15" s="19" t="n">
        <x:f>C15+F15</x:f>
        <x:v>75000</x:v>
      </x:c>
      <x:c r="J15" s="19" t="n">
        <x:f>H15-I15</x:f>
        <x:v>25000</x:v>
      </x:c>
      <x:c r="K15" s="19" t="n">
        <x:f>K14+J15</x:f>
        <x:v>76000</x:v>
      </x:c>
      <x:c r="L15" s="20" t="n">
        <x:v>11</x:v>
      </x:c>
      <x:c r="M15" s="20" t="n">
        <x:v>7</x:v>
      </x:c>
      <x:c r="N15" s="20" t="n">
        <x:v>4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48000</x:v>
      </x:c>
      <x:c r="D16" s="19" t="n">
        <x:f>B16-C16</x:f>
        <x:v>-48000</x:v>
      </x:c>
      <x:c r="E16" s="19" t="n">
        <x:v>24000</x:v>
      </x:c>
      <x:c r="F16" s="19" t="n">
        <x:v>110000</x:v>
      </x:c>
      <x:c r="G16" s="19" t="n">
        <x:f>E16-F16</x:f>
        <x:v>-86000</x:v>
      </x:c>
      <x:c r="H16" s="19" t="n">
        <x:f>B16+E16</x:f>
        <x:v>24000</x:v>
      </x:c>
      <x:c r="I16" s="19" t="n">
        <x:f>C16+F16</x:f>
        <x:v>158000</x:v>
      </x:c>
      <x:c r="J16" s="19" t="n">
        <x:f>H16-I16</x:f>
        <x:v>-134000</x:v>
      </x:c>
      <x:c r="K16" s="19" t="n">
        <x:f>K15+J16</x:f>
        <x:v>-58000</x:v>
      </x:c>
      <x:c r="L16" s="20" t="n">
        <x:v>8</x:v>
      </x:c>
      <x:c r="M16" s="20" t="n">
        <x:v>1</x:v>
      </x:c>
      <x:c r="N16" s="20" t="n">
        <x:v>7</x:v>
      </x:c>
      <x:c r="O16" s="20" t="n">
        <x:v>4</x:v>
      </x:c>
    </x:row>
    <x:row r="17" ht="23" customHeight="1">
      <x:c r="A17" s="2" t="str">
        <x:v>2026-10-05_Night</x:v>
      </x:c>
      <x:c r="B17" s="19" t="n">
        <x:v>53000</x:v>
      </x:c>
      <x:c r="C17" s="19" t="n">
        <x:v>0</x:v>
      </x:c>
      <x:c r="D17" s="19" t="n">
        <x:f>B17-C17</x:f>
        <x:v>53000</x:v>
      </x:c>
      <x:c r="E17" s="19" t="n">
        <x:v>0</x:v>
      </x:c>
      <x:c r="F17" s="19" t="n">
        <x:v>80000</x:v>
      </x:c>
      <x:c r="G17" s="19" t="n">
        <x:f>E17-F17</x:f>
        <x:v>-80000</x:v>
      </x:c>
      <x:c r="H17" s="19" t="n">
        <x:f>B17+E17</x:f>
        <x:v>53000</x:v>
      </x:c>
      <x:c r="I17" s="19" t="n">
        <x:f>C17+F17</x:f>
        <x:v>80000</x:v>
      </x:c>
      <x:c r="J17" s="19" t="n">
        <x:f>H17-I17</x:f>
        <x:v>-27000</x:v>
      </x:c>
      <x:c r="K17" s="19" t="n">
        <x:f>K16+J17</x:f>
        <x:v>-85000</x:v>
      </x:c>
      <x:c r="L17" s="20" t="n">
        <x:v>3</x:v>
      </x:c>
      <x:c r="M17" s="20" t="n">
        <x:v>1</x:v>
      </x:c>
      <x:c r="N17" s="20" t="n">
        <x:v>2</x:v>
      </x:c>
      <x:c r="O17" s="20" t="n">
        <x:v>5</x:v>
      </x:c>
    </x:row>
    <x:row r="18" ht="23" customHeight="1">
      <x:c r="A18" s="2" t="str">
        <x:v>2026-10-06_Night</x:v>
      </x:c>
      <x:c r="B18" s="19" t="n">
        <x:v>87000</x:v>
      </x:c>
      <x:c r="C18" s="19" t="n">
        <x:v>0</x:v>
      </x:c>
      <x:c r="D18" s="19" t="n">
        <x:f>B18-C18</x:f>
        <x:v>87000</x:v>
      </x:c>
      <x:c r="E18" s="19" t="n">
        <x:v>43000</x:v>
      </x:c>
      <x:c r="F18" s="19" t="n">
        <x:v>0</x:v>
      </x:c>
      <x:c r="G18" s="19" t="n">
        <x:f>E18-F18</x:f>
        <x:v>43000</x:v>
      </x:c>
      <x:c r="H18" s="19" t="n">
        <x:f>B18+E18</x:f>
        <x:v>130000</x:v>
      </x:c>
      <x:c r="I18" s="19" t="n">
        <x:f>C18+F18</x:f>
        <x:v>0</x:v>
      </x:c>
      <x:c r="J18" s="19" t="n">
        <x:f>H18-I18</x:f>
        <x:v>130000</x:v>
      </x:c>
      <x:c r="K18" s="19" t="n">
        <x:f>K17+J18</x:f>
        <x:v>45000</x:v>
      </x:c>
      <x:c r="L18" s="20" t="n">
        <x:v>4</x:v>
      </x:c>
      <x:c r="M18" s="20" t="n">
        <x:v>1</x:v>
      </x:c>
      <x:c r="N18" s="20" t="n">
        <x:v>3</x:v>
      </x:c>
      <x:c r="O18" s="20" t="n">
        <x:v>5</x:v>
      </x:c>
    </x:row>
    <x:row r="19" ht="23" customHeight="1">
      <x:c r="A19" s="2" t="str">
        <x:v>2026-10-07_Night</x:v>
      </x:c>
      <x:c r="B19" s="19" t="n">
        <x:v>0</x:v>
      </x:c>
      <x:c r="C19" s="19" t="n">
        <x:v>76000</x:v>
      </x:c>
      <x:c r="D19" s="19" t="n">
        <x:f>B19-C19</x:f>
        <x:v>-76000</x:v>
      </x:c>
      <x:c r="E19" s="19" t="n">
        <x:v>0</x:v>
      </x:c>
      <x:c r="F19" s="19" t="n">
        <x:v>54000</x:v>
      </x:c>
      <x:c r="G19" s="19" t="n">
        <x:f>E19-F19</x:f>
        <x:v>-54000</x:v>
      </x:c>
      <x:c r="H19" s="19" t="n">
        <x:f>B19+E19</x:f>
        <x:v>0</x:v>
      </x:c>
      <x:c r="I19" s="19" t="n">
        <x:f>C19+F19</x:f>
        <x:v>130000</x:v>
      </x:c>
      <x:c r="J19" s="19" t="n">
        <x:f>H19-I19</x:f>
        <x:v>-130000</x:v>
      </x:c>
      <x:c r="K19" s="19" t="n">
        <x:f>K18+J19</x:f>
        <x:v>-85000</x:v>
      </x:c>
      <x:c r="L19" s="20" t="n">
        <x:v>6</x:v>
      </x:c>
      <x:c r="M19" s="20" t="n">
        <x:v>3</x:v>
      </x:c>
      <x:c r="N19" s="20" t="n">
        <x:v>3</x:v>
      </x:c>
      <x:c r="O19" s="20" t="n">
        <x:v>5</x:v>
      </x:c>
    </x:row>
    <x:row r="20" ht="23" customHeight="1">
      <x:c r="A20" s="2" t="str">
        <x:v>2026-10-08_Night</x:v>
      </x:c>
      <x:c r="B20" s="19" t="n">
        <x:v>19000</x:v>
      </x:c>
      <x:c r="C20" s="19" t="n">
        <x:v>45000</x:v>
      </x:c>
      <x:c r="D20" s="19" t="n">
        <x:f>B20-C20</x:f>
        <x:v>-26000</x:v>
      </x:c>
      <x:c r="E20" s="19" t="n">
        <x:v>19000</x:v>
      </x:c>
      <x:c r="F20" s="19" t="n">
        <x:v>56000</x:v>
      </x:c>
      <x:c r="G20" s="19" t="n">
        <x:f>E20-F20</x:f>
        <x:v>-37000</x:v>
      </x:c>
      <x:c r="H20" s="19" t="n">
        <x:f>B20+E20</x:f>
        <x:v>38000</x:v>
      </x:c>
      <x:c r="I20" s="19" t="n">
        <x:f>C20+F20</x:f>
        <x:v>101000</x:v>
      </x:c>
      <x:c r="J20" s="19" t="n">
        <x:f>H20-I20</x:f>
        <x:v>-63000</x:v>
      </x:c>
      <x:c r="K20" s="19" t="n">
        <x:f>K19+J20</x:f>
        <x:v>-148000</x:v>
      </x:c>
      <x:c r="L20" s="20" t="n">
        <x:v>7</x:v>
      </x:c>
      <x:c r="M20" s="20" t="n">
        <x:v>4</x:v>
      </x:c>
      <x:c r="N20" s="20" t="n">
        <x:v>3</x:v>
      </x:c>
      <x:c r="O20" s="20" t="n">
        <x:v>6</x:v>
      </x:c>
    </x:row>
    <x:row r="21" ht="23" customHeight="1">
      <x:c r="A21" s="2" t="str">
        <x:v>2026-10-09_Night</x:v>
      </x:c>
      <x:c r="B21" s="19" t="n">
        <x:v>0</x:v>
      </x:c>
      <x:c r="C21" s="19" t="n">
        <x:v>46000</x:v>
      </x:c>
      <x:c r="D21" s="19" t="n">
        <x:f>B21-C21</x:f>
        <x:v>-46000</x:v>
      </x:c>
      <x:c r="E21" s="19" t="n">
        <x:v>11000</x:v>
      </x:c>
      <x:c r="F21" s="19" t="n">
        <x:v>0</x:v>
      </x:c>
      <x:c r="G21" s="19" t="n">
        <x:f>E21-F21</x:f>
        <x:v>11000</x:v>
      </x:c>
      <x:c r="H21" s="19" t="n">
        <x:f>B21+E21</x:f>
        <x:v>11000</x:v>
      </x:c>
      <x:c r="I21" s="19" t="n">
        <x:f>C21+F21</x:f>
        <x:v>46000</x:v>
      </x:c>
      <x:c r="J21" s="19" t="n">
        <x:f>H21-I21</x:f>
        <x:v>-35000</x:v>
      </x:c>
      <x:c r="K21" s="19" t="n">
        <x:f>K20+J21</x:f>
        <x:v>-183000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</x:row>
    <x:row r="22" ht="23" customHeight="1">
      <x:c r="A22" s="2" t="str">
        <x:v>2026-10-12_Night</x:v>
      </x:c>
      <x:c r="B22" s="19" t="n">
        <x:v>11000</x:v>
      </x:c>
      <x:c r="C22" s="19" t="n">
        <x:v>0</x:v>
      </x:c>
      <x:c r="D22" s="19" t="n">
        <x:f>B22-C22</x:f>
        <x:v>11000</x:v>
      </x:c>
      <x:c r="E22" s="19" t="n">
        <x:v>31000</x:v>
      </x:c>
      <x:c r="F22" s="19" t="n">
        <x:v>0</x:v>
      </x:c>
      <x:c r="G22" s="19" t="n">
        <x:f>E22-F22</x:f>
        <x:v>31000</x:v>
      </x:c>
      <x:c r="H22" s="19" t="n">
        <x:f>B22+E22</x:f>
        <x:v>42000</x:v>
      </x:c>
      <x:c r="I22" s="19" t="n">
        <x:f>C22+F22</x:f>
        <x:v>0</x:v>
      </x:c>
      <x:c r="J22" s="19" t="n">
        <x:f>H22-I22</x:f>
        <x:v>42000</x:v>
      </x:c>
      <x:c r="K22" s="19" t="n">
        <x:f>K21+J22</x:f>
        <x:v>-141000</x:v>
      </x:c>
      <x:c r="L22" s="20" t="n">
        <x:v>2</x:v>
      </x:c>
      <x:c r="M22" s="20" t="n">
        <x:v>1</x:v>
      </x:c>
      <x:c r="N22" s="20" t="n">
        <x:v>1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53000</x:v>
      </x:c>
      <x:c r="D23" s="19" t="n">
        <x:f>B23-C23</x:f>
        <x:v>-53000</x:v>
      </x:c>
      <x:c r="E23" s="19" t="n">
        <x:v>0</x:v>
      </x:c>
      <x:c r="F23" s="19" t="n">
        <x:v>28000</x:v>
      </x:c>
      <x:c r="G23" s="19" t="n">
        <x:f>E23-F23</x:f>
        <x:v>-28000</x:v>
      </x:c>
      <x:c r="H23" s="19" t="n">
        <x:f>B23+E23</x:f>
        <x:v>0</x:v>
      </x:c>
      <x:c r="I23" s="19" t="n">
        <x:f>C23+F23</x:f>
        <x:v>81000</x:v>
      </x:c>
      <x:c r="J23" s="19" t="n">
        <x:f>H23-I23</x:f>
        <x:v>-81000</x:v>
      </x:c>
      <x:c r="K23" s="19" t="n">
        <x:f>K22+J23</x:f>
        <x:v>-222000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80000</x:v>
      </x:c>
      <x:c r="D24" s="19" t="n">
        <x:f>B24-C24</x:f>
        <x:v>-80000</x:v>
      </x:c>
      <x:c r="E24" s="19" t="n">
        <x:v>193000</x:v>
      </x:c>
      <x:c r="F24" s="19" t="n">
        <x:v>61000</x:v>
      </x:c>
      <x:c r="G24" s="19" t="n">
        <x:f>E24-F24</x:f>
        <x:v>132000</x:v>
      </x:c>
      <x:c r="H24" s="19" t="n">
        <x:f>B24+E24</x:f>
        <x:v>193000</x:v>
      </x:c>
      <x:c r="I24" s="19" t="n">
        <x:f>C24+F24</x:f>
        <x:v>141000</x:v>
      </x:c>
      <x:c r="J24" s="19" t="n">
        <x:f>H24-I24</x:f>
        <x:v>52000</x:v>
      </x:c>
      <x:c r="K24" s="19" t="n">
        <x:f>K23+J24</x:f>
        <x:v>-170000</x:v>
      </x:c>
      <x:c r="L24" s="20" t="n">
        <x:v>6</x:v>
      </x:c>
      <x:c r="M24" s="20" t="n">
        <x:v>2</x:v>
      </x:c>
      <x:c r="N24" s="20" t="n">
        <x:v>4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50000</x:v>
      </x:c>
      <x:c r="D25" s="19" t="n">
        <x:f>B25-C25</x:f>
        <x:v>-50000</x:v>
      </x:c>
      <x:c r="E25" s="19" t="n">
        <x:v>67000</x:v>
      </x:c>
      <x:c r="F25" s="19" t="n">
        <x:v>53000</x:v>
      </x:c>
      <x:c r="G25" s="19" t="n">
        <x:f>E25-F25</x:f>
        <x:v>14000</x:v>
      </x:c>
      <x:c r="H25" s="19" t="n">
        <x:f>B25+E25</x:f>
        <x:v>67000</x:v>
      </x:c>
      <x:c r="I25" s="19" t="n">
        <x:f>C25+F25</x:f>
        <x:v>103000</x:v>
      </x:c>
      <x:c r="J25" s="19" t="n">
        <x:f>H25-I25</x:f>
        <x:v>-36000</x:v>
      </x:c>
      <x:c r="K25" s="19" t="n">
        <x:f>K24+J25</x:f>
        <x:v>-206000</x:v>
      </x:c>
      <x:c r="L25" s="20" t="n">
        <x:v>7</x:v>
      </x:c>
      <x:c r="M25" s="20" t="n">
        <x:v>1</x:v>
      </x:c>
      <x:c r="N25" s="20" t="n">
        <x:v>6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100000</x:v>
      </x:c>
      <x:c r="D26" s="19" t="n">
        <x:f>B26-C26</x:f>
        <x:v>-100000</x:v>
      </x:c>
      <x:c r="E26" s="19" t="n">
        <x:v>149000</x:v>
      </x:c>
      <x:c r="F26" s="19" t="n">
        <x:v>100000</x:v>
      </x:c>
      <x:c r="G26" s="19" t="n">
        <x:f>E26-F26</x:f>
        <x:v>49000</x:v>
      </x:c>
      <x:c r="H26" s="19" t="n">
        <x:f>B26+E26</x:f>
        <x:v>149000</x:v>
      </x:c>
      <x:c r="I26" s="19" t="n">
        <x:f>C26+F26</x:f>
        <x:v>200000</x:v>
      </x:c>
      <x:c r="J26" s="19" t="n">
        <x:f>H26-I26</x:f>
        <x:v>-51000</x:v>
      </x:c>
      <x:c r="K26" s="19" t="n">
        <x:f>K25+J26</x:f>
        <x:v>-257000</x:v>
      </x:c>
      <x:c r="L26" s="20" t="n">
        <x:v>14</x:v>
      </x:c>
      <x:c r="M26" s="20" t="n">
        <x:v>2</x:v>
      </x:c>
      <x:c r="N26" s="20" t="n">
        <x:v>12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20000</x:v>
      </x:c>
      <x:c r="D27" s="19" t="n">
        <x:f>B27-C27</x:f>
        <x:v>-20000</x:v>
      </x:c>
      <x:c r="E27" s="19" t="n">
        <x:v>41000</x:v>
      </x:c>
      <x:c r="F27" s="19" t="n">
        <x:v>24000</x:v>
      </x:c>
      <x:c r="G27" s="19" t="n">
        <x:f>E27-F27</x:f>
        <x:v>17000</x:v>
      </x:c>
      <x:c r="H27" s="19" t="n">
        <x:f>B27+E27</x:f>
        <x:v>41000</x:v>
      </x:c>
      <x:c r="I27" s="19" t="n">
        <x:f>C27+F27</x:f>
        <x:v>44000</x:v>
      </x:c>
      <x:c r="J27" s="19" t="n">
        <x:f>H27-I27</x:f>
        <x:v>-3000</x:v>
      </x:c>
      <x:c r="K27" s="19" t="n">
        <x:f>K26+J27</x:f>
        <x:v>-260000</x:v>
      </x:c>
      <x:c r="L27" s="20" t="n">
        <x:v>3</x:v>
      </x:c>
      <x:c r="M27" s="20" t="n">
        <x:v>1</x:v>
      </x:c>
      <x:c r="N27" s="20" t="n">
        <x:v>2</x:v>
      </x:c>
      <x:c r="O27" s="20" t="n">
        <x:v>5</x:v>
      </x:c>
    </x:row>
    <x:row r="28" ht="23" customHeight="1">
      <x:c r="A28" s="2" t="str">
        <x:v>2026-10-20_Night</x:v>
      </x:c>
      <x:c r="B28" s="19" t="n">
        <x:v>80000</x:v>
      </x:c>
      <x:c r="C28" s="19" t="n">
        <x:v>0</x:v>
      </x:c>
      <x:c r="D28" s="19" t="n">
        <x:f>B28-C28</x:f>
        <x:v>80000</x:v>
      </x:c>
      <x:c r="E28" s="19" t="n">
        <x:v>24000</x:v>
      </x:c>
      <x:c r="F28" s="19" t="n">
        <x:v>60000</x:v>
      </x:c>
      <x:c r="G28" s="19" t="n">
        <x:f>E28-F28</x:f>
        <x:v>-36000</x:v>
      </x:c>
      <x:c r="H28" s="19" t="n">
        <x:f>B28+E28</x:f>
        <x:v>104000</x:v>
      </x:c>
      <x:c r="I28" s="19" t="n">
        <x:f>C28+F28</x:f>
        <x:v>60000</x:v>
      </x:c>
      <x:c r="J28" s="19" t="n">
        <x:f>H28-I28</x:f>
        <x:v>44000</x:v>
      </x:c>
      <x:c r="K28" s="19" t="n">
        <x:f>K27+J28</x:f>
        <x:v>-216000</x:v>
      </x:c>
      <x:c r="L28" s="20" t="n">
        <x:v>10</x:v>
      </x:c>
      <x:c r="M28" s="20" t="n">
        <x:v>3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51000</x:v>
      </x:c>
      <x:c r="C29" s="19" t="n">
        <x:v>0</x:v>
      </x:c>
      <x:c r="D29" s="19" t="n">
        <x:f>B29-C29</x:f>
        <x:v>51000</x:v>
      </x:c>
      <x:c r="E29" s="19" t="n">
        <x:v>0</x:v>
      </x:c>
      <x:c r="F29" s="19" t="n">
        <x:v>22000</x:v>
      </x:c>
      <x:c r="G29" s="19" t="n">
        <x:f>E29-F29</x:f>
        <x:v>-22000</x:v>
      </x:c>
      <x:c r="H29" s="19" t="n">
        <x:f>B29+E29</x:f>
        <x:v>51000</x:v>
      </x:c>
      <x:c r="I29" s="19" t="n">
        <x:f>C29+F29</x:f>
        <x:v>22000</x:v>
      </x:c>
      <x:c r="J29" s="19" t="n">
        <x:f>H29-I29</x:f>
        <x:v>29000</x:v>
      </x:c>
      <x:c r="K29" s="19" t="n">
        <x:f>K28+J29</x:f>
        <x:v>-187000</x:v>
      </x:c>
      <x:c r="L29" s="20" t="n">
        <x:v>2</x:v>
      </x:c>
      <x:c r="M29" s="20" t="n">
        <x:v>1</x:v>
      </x:c>
      <x:c r="N29" s="20" t="n">
        <x:v>1</x:v>
      </x:c>
      <x:c r="O29" s="20" t="n">
        <x:v>4</x:v>
      </x:c>
    </x:row>
    <x:row r="30" ht="23" customHeight="1">
      <x:c r="A30" s="2" t="str">
        <x:v>2026-10-22_Night</x:v>
      </x:c>
      <x:c r="B30" s="19" t="n">
        <x:v>0</x:v>
      </x:c>
      <x:c r="C30" s="19" t="n">
        <x:v>83000</x:v>
      </x:c>
      <x:c r="D30" s="19" t="n">
        <x:f>B30-C30</x:f>
        <x:v>-83000</x:v>
      </x:c>
      <x:c r="E30" s="19" t="n">
        <x:v>0</x:v>
      </x:c>
      <x:c r="F30" s="19" t="n">
        <x:v>45000</x:v>
      </x:c>
      <x:c r="G30" s="19" t="n">
        <x:f>E30-F30</x:f>
        <x:v>-45000</x:v>
      </x:c>
      <x:c r="H30" s="19" t="n">
        <x:f>B30+E30</x:f>
        <x:v>0</x:v>
      </x:c>
      <x:c r="I30" s="19" t="n">
        <x:f>C30+F30</x:f>
        <x:v>128000</x:v>
      </x:c>
      <x:c r="J30" s="19" t="n">
        <x:f>H30-I30</x:f>
        <x:v>-128000</x:v>
      </x:c>
      <x:c r="K30" s="19" t="n">
        <x:f>K29+J30</x:f>
        <x:v>-315000</x:v>
      </x:c>
      <x:c r="L30" s="20" t="n">
        <x:v>5</x:v>
      </x:c>
      <x:c r="M30" s="20" t="n">
        <x:v>2</x:v>
      </x:c>
      <x:c r="N30" s="20" t="n">
        <x:v>3</x:v>
      </x:c>
      <x:c r="O30" s="20" t="n">
        <x:v>5</x:v>
      </x:c>
    </x:row>
    <x:row r="31" ht="23" customHeight="1">
      <x:c r="A31" s="2" t="str">
        <x:v>2026-10-23_Night</x:v>
      </x:c>
      <x:c r="B31" s="19" t="n">
        <x:v>3000</x:v>
      </x:c>
      <x:c r="C31" s="19" t="n">
        <x:v>76000</x:v>
      </x:c>
      <x:c r="D31" s="19" t="n">
        <x:f>B31-C31</x:f>
        <x:v>-73000</x:v>
      </x:c>
      <x:c r="E31" s="19" t="n">
        <x:v>49000</x:v>
      </x:c>
      <x:c r="F31" s="19" t="n">
        <x:v>17000</x:v>
      </x:c>
      <x:c r="G31" s="19" t="n">
        <x:f>E31-F31</x:f>
        <x:v>32000</x:v>
      </x:c>
      <x:c r="H31" s="19" t="n">
        <x:f>B31+E31</x:f>
        <x:v>52000</x:v>
      </x:c>
      <x:c r="I31" s="19" t="n">
        <x:f>C31+F31</x:f>
        <x:v>93000</x:v>
      </x:c>
      <x:c r="J31" s="19" t="n">
        <x:f>H31-I31</x:f>
        <x:v>-41000</x:v>
      </x:c>
      <x:c r="K31" s="19" t="n">
        <x:f>K30+J31</x:f>
        <x:v>-356000</x:v>
      </x:c>
      <x:c r="L31" s="20" t="n">
        <x:v>9</x:v>
      </x:c>
      <x:c r="M31" s="20" t="n">
        <x:v>5</x:v>
      </x:c>
      <x:c r="N31" s="20" t="n">
        <x:v>4</x:v>
      </x:c>
      <x:c r="O31" s="20" t="n">
        <x:v>4</x:v>
      </x:c>
    </x:row>
    <x:row r="32" ht="23" customHeight="1">
      <x:c r="A32" s="24" t="str">
        <x:v>25夜累計</x:v>
      </x:c>
      <x:c r="B32" s="25" t="n">
        <x:f>SUM(B7:B31)</x:f>
        <x:v>491000</x:v>
      </x:c>
      <x:c r="C32" s="25" t="n">
        <x:f>SUM(C7:C31)</x:f>
        <x:v>925000</x:v>
      </x:c>
      <x:c r="D32" s="25" t="n">
        <x:f>B32-C32</x:f>
        <x:v>-434000</x:v>
      </x:c>
      <x:c r="E32" s="25" t="n">
        <x:f>SUM(E7:E31)</x:f>
        <x:v>1014000</x:v>
      </x:c>
      <x:c r="F32" s="25" t="n">
        <x:f>SUM(F7:F31)</x:f>
        <x:v>936000</x:v>
      </x:c>
      <x:c r="G32" s="25" t="n">
        <x:f>E32-F32</x:f>
        <x:v>78000</x:v>
      </x:c>
      <x:c r="H32" s="25" t="n">
        <x:f>B32+E32</x:f>
        <x:v>1505000</x:v>
      </x:c>
      <x:c r="I32" s="25" t="n">
        <x:f>C32+F32</x:f>
        <x:v>1861000</x:v>
      </x:c>
      <x:c r="J32" s="25" t="n">
        <x:f>H32-I32</x:f>
        <x:v>-356000</x:v>
      </x:c>
      <x:c r="K32" s="25" t="n">
        <x:f>K31</x:f>
        <x:v>-356000</x:v>
      </x:c>
      <x:c r="L32" s="26" t="n">
        <x:f>SUM(L7:L31)</x:f>
        <x:v>139</x:v>
      </x:c>
      <x:c r="M32" s="26" t="n">
        <x:f>SUM(M7:M31)</x:f>
        <x:v>50</x:v>
      </x:c>
      <x:c r="N32" s="26" t="n">
        <x:f>SUM(N7:N31)</x:f>
        <x:v>89</x:v>
      </x:c>
      <x:c r="O32" s="26" t="n">
        <x:f>MAX(O7:O31)</x:f>
        <x:v>7</x:v>
      </x:c>
    </x:row>
  </x:sheetData>
  <x:conditionalFormatting sqref="B7:K32">
    <x:cfRule type="cellIs" dxfId="1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da47918a0d48e2"/>
  </x:tableParts>
</x:worksheet>
</file>

<file path=xl/worksheets/sheet1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R03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前半C05・US15分前全返済・US後全リセット最低30分準備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52000</x:v>
      </x:c>
      <x:c r="C7" s="19" t="n">
        <x:v>0</x:v>
      </x:c>
      <x:c r="D7" s="19" t="n">
        <x:f>B7-C7</x:f>
        <x:v>52000</x:v>
      </x:c>
      <x:c r="E7" s="19" t="n">
        <x:v>100000</x:v>
      </x:c>
      <x:c r="F7" s="19" t="n">
        <x:v>0</x:v>
      </x:c>
      <x:c r="G7" s="19" t="n">
        <x:f>E7-F7</x:f>
        <x:v>100000</x:v>
      </x:c>
      <x:c r="H7" s="19" t="n">
        <x:f>B7+E7</x:f>
        <x:v>152000</x:v>
      </x:c>
      <x:c r="I7" s="19" t="n">
        <x:f>C7+F7</x:f>
        <x:v>0</x:v>
      </x:c>
      <x:c r="J7" s="19" t="n">
        <x:f>H7-I7</x:f>
        <x:v>152000</x:v>
      </x:c>
      <x:c r="K7" s="19" t="n">
        <x:f>J7</x:f>
        <x:v>152000</x:v>
      </x:c>
      <x:c r="L7" s="20" t="n">
        <x:v>2</x:v>
      </x:c>
      <x:c r="M7" s="20" t="n">
        <x:v>1</x:v>
      </x:c>
      <x:c r="N7" s="20" t="n">
        <x:v>1</x:v>
      </x:c>
      <x:c r="O7" s="20" t="n">
        <x:v>5</x:v>
      </x:c>
    </x:row>
    <x:row r="8" ht="23" customHeight="1">
      <x:c r="A8" s="2" t="str">
        <x:v>2026-09-22_Night</x:v>
      </x:c>
      <x:c r="B8" s="19" t="n">
        <x:v>51000</x:v>
      </x:c>
      <x:c r="C8" s="19" t="n">
        <x:v>0</x:v>
      </x:c>
      <x:c r="D8" s="19" t="n">
        <x:f>B8-C8</x:f>
        <x:v>51000</x:v>
      </x:c>
      <x:c r="E8" s="19" t="n">
        <x:v>16000</x:v>
      </x:c>
      <x:c r="F8" s="19" t="n">
        <x:v>3000</x:v>
      </x:c>
      <x:c r="G8" s="19" t="n">
        <x:f>E8-F8</x:f>
        <x:v>13000</x:v>
      </x:c>
      <x:c r="H8" s="19" t="n">
        <x:f>B8+E8</x:f>
        <x:v>67000</x:v>
      </x:c>
      <x:c r="I8" s="19" t="n">
        <x:f>C8+F8</x:f>
        <x:v>3000</x:v>
      </x:c>
      <x:c r="J8" s="19" t="n">
        <x:f>H8-I8</x:f>
        <x:v>64000</x:v>
      </x:c>
      <x:c r="K8" s="19" t="n">
        <x:f>K7+J8</x:f>
        <x:v>216000</x:v>
      </x:c>
      <x:c r="L8" s="20" t="n">
        <x:v>9</x:v>
      </x:c>
      <x:c r="M8" s="20" t="n">
        <x:v>2</x:v>
      </x:c>
      <x:c r="N8" s="20" t="n">
        <x:v>7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40000</x:v>
      </x:c>
      <x:c r="D9" s="19" t="n">
        <x:f>B9-C9</x:f>
        <x:v>-40000</x:v>
      </x:c>
      <x:c r="E9" s="19" t="n">
        <x:v>24000</x:v>
      </x:c>
      <x:c r="F9" s="19" t="n">
        <x:v>40000</x:v>
      </x:c>
      <x:c r="G9" s="19" t="n">
        <x:f>E9-F9</x:f>
        <x:v>-16000</x:v>
      </x:c>
      <x:c r="H9" s="19" t="n">
        <x:f>B9+E9</x:f>
        <x:v>24000</x:v>
      </x:c>
      <x:c r="I9" s="19" t="n">
        <x:f>C9+F9</x:f>
        <x:v>80000</x:v>
      </x:c>
      <x:c r="J9" s="19" t="n">
        <x:f>H9-I9</x:f>
        <x:v>-56000</x:v>
      </x:c>
      <x:c r="K9" s="19" t="n">
        <x:f>K8+J9</x:f>
        <x:v>160000</x:v>
      </x:c>
      <x:c r="L9" s="20" t="n">
        <x:v>4</x:v>
      </x:c>
      <x:c r="M9" s="20" t="n">
        <x:v>1</x:v>
      </x:c>
      <x:c r="N9" s="20" t="n">
        <x:v>3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79000</x:v>
      </x:c>
      <x:c r="D10" s="19" t="n">
        <x:f>B10-C10</x:f>
        <x:v>-79000</x:v>
      </x:c>
      <x:c r="E10" s="19" t="n">
        <x:v>14000</x:v>
      </x:c>
      <x:c r="F10" s="19" t="n">
        <x:v>60000</x:v>
      </x:c>
      <x:c r="G10" s="19" t="n">
        <x:f>E10-F10</x:f>
        <x:v>-46000</x:v>
      </x:c>
      <x:c r="H10" s="19" t="n">
        <x:f>B10+E10</x:f>
        <x:v>14000</x:v>
      </x:c>
      <x:c r="I10" s="19" t="n">
        <x:f>C10+F10</x:f>
        <x:v>139000</x:v>
      </x:c>
      <x:c r="J10" s="19" t="n">
        <x:f>H10-I10</x:f>
        <x:v>-125000</x:v>
      </x:c>
      <x:c r="K10" s="19" t="n">
        <x:f>K9+J10</x:f>
        <x:v>35000</x:v>
      </x:c>
      <x:c r="L10" s="20" t="n">
        <x:v>5</x:v>
      </x:c>
      <x:c r="M10" s="20" t="n">
        <x:v>2</x:v>
      </x:c>
      <x:c r="N10" s="20" t="n">
        <x:v>3</x:v>
      </x:c>
      <x:c r="O10" s="20" t="n">
        <x:v>5</x:v>
      </x:c>
    </x:row>
    <x:row r="11" ht="23" customHeight="1">
      <x:c r="A11" s="2" t="str">
        <x:v>2026-09-25_Night</x:v>
      </x:c>
      <x:c r="B11" s="19" t="n">
        <x:v>26000</x:v>
      </x:c>
      <x:c r="C11" s="19" t="n">
        <x:v>0</x:v>
      </x:c>
      <x:c r="D11" s="19" t="n">
        <x:f>B11-C11</x:f>
        <x:v>26000</x:v>
      </x:c>
      <x:c r="E11" s="19" t="n">
        <x:v>25000</x:v>
      </x:c>
      <x:c r="F11" s="19" t="n">
        <x:v>0</x:v>
      </x:c>
      <x:c r="G11" s="19" t="n">
        <x:f>E11-F11</x:f>
        <x:v>25000</x:v>
      </x:c>
      <x:c r="H11" s="19" t="n">
        <x:f>B11+E11</x:f>
        <x:v>51000</x:v>
      </x:c>
      <x:c r="I11" s="19" t="n">
        <x:f>C11+F11</x:f>
        <x:v>0</x:v>
      </x:c>
      <x:c r="J11" s="19" t="n">
        <x:f>H11-I11</x:f>
        <x:v>51000</x:v>
      </x:c>
      <x:c r="K11" s="19" t="n">
        <x:f>K10+J11</x:f>
        <x:v>86000</x:v>
      </x:c>
      <x:c r="L11" s="20" t="n">
        <x:v>2</x:v>
      </x:c>
      <x:c r="M11" s="20" t="n">
        <x:v>1</x:v>
      </x:c>
      <x:c r="N11" s="20" t="n">
        <x:v>1</x:v>
      </x:c>
      <x:c r="O11" s="20" t="n">
        <x:v>5</x:v>
      </x:c>
    </x:row>
    <x:row r="12" ht="23" customHeight="1">
      <x:c r="A12" s="2" t="str">
        <x:v>2026-09-28_Night</x:v>
      </x:c>
      <x:c r="B12" s="19" t="n">
        <x:v>9000</x:v>
      </x:c>
      <x:c r="C12" s="19" t="n">
        <x:v>21000</x:v>
      </x:c>
      <x:c r="D12" s="19" t="n">
        <x:f>B12-C12</x:f>
        <x:v>-12000</x:v>
      </x:c>
      <x:c r="E12" s="19" t="n">
        <x:v>56000</x:v>
      </x:c>
      <x:c r="F12" s="19" t="n">
        <x:v>0</x:v>
      </x:c>
      <x:c r="G12" s="19" t="n">
        <x:f>E12-F12</x:f>
        <x:v>56000</x:v>
      </x:c>
      <x:c r="H12" s="19" t="n">
        <x:f>B12+E12</x:f>
        <x:v>65000</x:v>
      </x:c>
      <x:c r="I12" s="19" t="n">
        <x:f>C12+F12</x:f>
        <x:v>21000</x:v>
      </x:c>
      <x:c r="J12" s="19" t="n">
        <x:f>H12-I12</x:f>
        <x:v>44000</x:v>
      </x:c>
      <x:c r="K12" s="19" t="n">
        <x:f>K11+J12</x:f>
        <x:v>130000</x:v>
      </x:c>
      <x:c r="L12" s="20" t="n">
        <x:v>3</x:v>
      </x:c>
      <x:c r="M12" s="20" t="n">
        <x:v>2</x:v>
      </x:c>
      <x:c r="N12" s="20" t="n">
        <x:v>1</x:v>
      </x:c>
      <x:c r="O12" s="20" t="n">
        <x:v>5</x:v>
      </x:c>
    </x:row>
    <x:row r="13" ht="23" customHeight="1">
      <x:c r="A13" s="2" t="str">
        <x:v>2026-09-29_Night</x:v>
      </x:c>
      <x:c r="B13" s="19" t="n">
        <x:v>0</x:v>
      </x:c>
      <x:c r="C13" s="19" t="n">
        <x:v>50000</x:v>
      </x:c>
      <x:c r="D13" s="19" t="n">
        <x:f>B13-C13</x:f>
        <x:v>-50000</x:v>
      </x:c>
      <x:c r="E13" s="19" t="n">
        <x:v>0</x:v>
      </x:c>
      <x:c r="F13" s="19" t="n">
        <x:v>46000</x:v>
      </x:c>
      <x:c r="G13" s="19" t="n">
        <x:f>E13-F13</x:f>
        <x:v>-46000</x:v>
      </x:c>
      <x:c r="H13" s="19" t="n">
        <x:f>B13+E13</x:f>
        <x:v>0</x:v>
      </x:c>
      <x:c r="I13" s="19" t="n">
        <x:f>C13+F13</x:f>
        <x:v>96000</x:v>
      </x:c>
      <x:c r="J13" s="19" t="n">
        <x:f>H13-I13</x:f>
        <x:v>-96000</x:v>
      </x:c>
      <x:c r="K13" s="19" t="n">
        <x:f>K12+J13</x:f>
        <x:v>34000</x:v>
      </x:c>
      <x:c r="L13" s="20" t="n">
        <x:v>5</x:v>
      </x:c>
      <x:c r="M13" s="20" t="n">
        <x:v>1</x:v>
      </x:c>
      <x:c r="N13" s="20" t="n">
        <x:v>4</x:v>
      </x:c>
      <x:c r="O13" s="20" t="n">
        <x:v>5</x:v>
      </x:c>
    </x:row>
    <x:row r="14" ht="23" customHeight="1">
      <x:c r="A14" s="2" t="str">
        <x:v>2026-09-30_Night</x:v>
      </x:c>
      <x:c r="B14" s="19" t="n">
        <x:v>32000</x:v>
      </x:c>
      <x:c r="C14" s="19" t="n">
        <x:v>0</x:v>
      </x:c>
      <x:c r="D14" s="19" t="n">
        <x:f>B14-C14</x:f>
        <x:v>32000</x:v>
      </x:c>
      <x:c r="E14" s="19" t="n">
        <x:v>84000</x:v>
      </x:c>
      <x:c r="F14" s="19" t="n">
        <x:v>0</x:v>
      </x:c>
      <x:c r="G14" s="19" t="n">
        <x:f>E14-F14</x:f>
        <x:v>84000</x:v>
      </x:c>
      <x:c r="H14" s="19" t="n">
        <x:f>B14+E14</x:f>
        <x:v>116000</x:v>
      </x:c>
      <x:c r="I14" s="19" t="n">
        <x:f>C14+F14</x:f>
        <x:v>0</x:v>
      </x:c>
      <x:c r="J14" s="19" t="n">
        <x:f>H14-I14</x:f>
        <x:v>116000</x:v>
      </x:c>
      <x:c r="K14" s="19" t="n">
        <x:f>K13+J14</x:f>
        <x:v>150000</x:v>
      </x:c>
      <x:c r="L14" s="20" t="n">
        <x:v>4</x:v>
      </x:c>
      <x:c r="M14" s="20" t="n">
        <x:v>1</x:v>
      </x:c>
      <x:c r="N14" s="20" t="n">
        <x:v>3</x:v>
      </x:c>
      <x:c r="O14" s="20" t="n">
        <x:v>4</x:v>
      </x:c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79000</x:v>
      </x:c>
      <x:c r="F15" s="19" t="n">
        <x:v>17000</x:v>
      </x:c>
      <x:c r="G15" s="19" t="n">
        <x:f>E15-F15</x:f>
        <x:v>62000</x:v>
      </x:c>
      <x:c r="H15" s="19" t="n">
        <x:f>B15+E15</x:f>
        <x:v>96000</x:v>
      </x:c>
      <x:c r="I15" s="19" t="n">
        <x:f>C15+F15</x:f>
        <x:v>75000</x:v>
      </x:c>
      <x:c r="J15" s="19" t="n">
        <x:f>H15-I15</x:f>
        <x:v>21000</x:v>
      </x:c>
      <x:c r="K15" s="19" t="n">
        <x:f>K14+J15</x:f>
        <x:v>171000</x:v>
      </x:c>
      <x:c r="L15" s="20" t="n">
        <x:v>11</x:v>
      </x:c>
      <x:c r="M15" s="20" t="n">
        <x:v>7</x:v>
      </x:c>
      <x:c r="N15" s="20" t="n">
        <x:v>4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48000</x:v>
      </x:c>
      <x:c r="D16" s="19" t="n">
        <x:f>B16-C16</x:f>
        <x:v>-48000</x:v>
      </x:c>
      <x:c r="E16" s="19" t="n">
        <x:v>101000</x:v>
      </x:c>
      <x:c r="F16" s="19" t="n">
        <x:v>50000</x:v>
      </x:c>
      <x:c r="G16" s="19" t="n">
        <x:f>E16-F16</x:f>
        <x:v>51000</x:v>
      </x:c>
      <x:c r="H16" s="19" t="n">
        <x:f>B16+E16</x:f>
        <x:v>101000</x:v>
      </x:c>
      <x:c r="I16" s="19" t="n">
        <x:f>C16+F16</x:f>
        <x:v>98000</x:v>
      </x:c>
      <x:c r="J16" s="19" t="n">
        <x:f>H16-I16</x:f>
        <x:v>3000</x:v>
      </x:c>
      <x:c r="K16" s="19" t="n">
        <x:f>K15+J16</x:f>
        <x:v>174000</x:v>
      </x:c>
      <x:c r="L16" s="20" t="n">
        <x:v>8</x:v>
      </x:c>
      <x:c r="M16" s="20" t="n">
        <x:v>1</x:v>
      </x:c>
      <x:c r="N16" s="20" t="n">
        <x:v>7</x:v>
      </x:c>
      <x:c r="O16" s="20" t="n">
        <x:v>4</x:v>
      </x:c>
    </x:row>
    <x:row r="17" ht="23" customHeight="1">
      <x:c r="A17" s="2" t="str">
        <x:v>2026-10-05_Night</x:v>
      </x:c>
      <x:c r="B17" s="19" t="n">
        <x:v>53000</x:v>
      </x:c>
      <x:c r="C17" s="19" t="n">
        <x:v>0</x:v>
      </x:c>
      <x:c r="D17" s="19" t="n">
        <x:f>B17-C17</x:f>
        <x:v>53000</x:v>
      </x:c>
      <x:c r="E17" s="19" t="n">
        <x:v>5000</x:v>
      </x:c>
      <x:c r="F17" s="19" t="n">
        <x:v>20000</x:v>
      </x:c>
      <x:c r="G17" s="19" t="n">
        <x:f>E17-F17</x:f>
        <x:v>-15000</x:v>
      </x:c>
      <x:c r="H17" s="19" t="n">
        <x:f>B17+E17</x:f>
        <x:v>58000</x:v>
      </x:c>
      <x:c r="I17" s="19" t="n">
        <x:f>C17+F17</x:f>
        <x:v>20000</x:v>
      </x:c>
      <x:c r="J17" s="19" t="n">
        <x:f>H17-I17</x:f>
        <x:v>38000</x:v>
      </x:c>
      <x:c r="K17" s="19" t="n">
        <x:f>K16+J17</x:f>
        <x:v>212000</x:v>
      </x:c>
      <x:c r="L17" s="20" t="n">
        <x:v>3</x:v>
      </x:c>
      <x:c r="M17" s="20" t="n">
        <x:v>1</x:v>
      </x:c>
      <x:c r="N17" s="20" t="n">
        <x:v>2</x:v>
      </x:c>
      <x:c r="O17" s="20" t="n">
        <x:v>5</x:v>
      </x:c>
    </x:row>
    <x:row r="18" ht="23" customHeight="1">
      <x:c r="A18" s="2" t="str">
        <x:v>2026-10-06_Night</x:v>
      </x:c>
      <x:c r="B18" s="19" t="n">
        <x:v>87000</x:v>
      </x:c>
      <x:c r="C18" s="19" t="n">
        <x:v>0</x:v>
      </x:c>
      <x:c r="D18" s="19" t="n">
        <x:f>B18-C18</x:f>
        <x:v>87000</x:v>
      </x:c>
      <x:c r="E18" s="19" t="n">
        <x:v>48000</x:v>
      </x:c>
      <x:c r="F18" s="19" t="n">
        <x:v>0</x:v>
      </x:c>
      <x:c r="G18" s="19" t="n">
        <x:f>E18-F18</x:f>
        <x:v>48000</x:v>
      </x:c>
      <x:c r="H18" s="19" t="n">
        <x:f>B18+E18</x:f>
        <x:v>135000</x:v>
      </x:c>
      <x:c r="I18" s="19" t="n">
        <x:f>C18+F18</x:f>
        <x:v>0</x:v>
      </x:c>
      <x:c r="J18" s="19" t="n">
        <x:f>H18-I18</x:f>
        <x:v>135000</x:v>
      </x:c>
      <x:c r="K18" s="19" t="n">
        <x:f>K17+J18</x:f>
        <x:v>347000</x:v>
      </x:c>
      <x:c r="L18" s="20" t="n">
        <x:v>4</x:v>
      </x:c>
      <x:c r="M18" s="20" t="n">
        <x:v>1</x:v>
      </x:c>
      <x:c r="N18" s="20" t="n">
        <x:v>3</x:v>
      </x:c>
      <x:c r="O18" s="20" t="n">
        <x:v>5</x:v>
      </x:c>
    </x:row>
    <x:row r="19" ht="23" customHeight="1">
      <x:c r="A19" s="2" t="str">
        <x:v>2026-10-07_Night</x:v>
      </x:c>
      <x:c r="B19" s="19" t="n">
        <x:v>0</x:v>
      </x:c>
      <x:c r="C19" s="19" t="n">
        <x:v>76000</x:v>
      </x:c>
      <x:c r="D19" s="19" t="n">
        <x:f>B19-C19</x:f>
        <x:v>-76000</x:v>
      </x:c>
      <x:c r="E19" s="19" t="n">
        <x:v>9000</x:v>
      </x:c>
      <x:c r="F19" s="19" t="n">
        <x:v>22000</x:v>
      </x:c>
      <x:c r="G19" s="19" t="n">
        <x:f>E19-F19</x:f>
        <x:v>-13000</x:v>
      </x:c>
      <x:c r="H19" s="19" t="n">
        <x:f>B19+E19</x:f>
        <x:v>9000</x:v>
      </x:c>
      <x:c r="I19" s="19" t="n">
        <x:f>C19+F19</x:f>
        <x:v>98000</x:v>
      </x:c>
      <x:c r="J19" s="19" t="n">
        <x:f>H19-I19</x:f>
        <x:v>-89000</x:v>
      </x:c>
      <x:c r="K19" s="19" t="n">
        <x:f>K18+J19</x:f>
        <x:v>258000</x:v>
      </x:c>
      <x:c r="L19" s="20" t="n">
        <x:v>6</x:v>
      </x:c>
      <x:c r="M19" s="20" t="n">
        <x:v>3</x:v>
      </x:c>
      <x:c r="N19" s="20" t="n">
        <x:v>3</x:v>
      </x:c>
      <x:c r="O19" s="20" t="n">
        <x:v>5</x:v>
      </x:c>
    </x:row>
    <x:row r="20" ht="23" customHeight="1">
      <x:c r="A20" s="2" t="str">
        <x:v>2026-10-08_Night</x:v>
      </x:c>
      <x:c r="B20" s="19" t="n">
        <x:v>19000</x:v>
      </x:c>
      <x:c r="C20" s="19" t="n">
        <x:v>45000</x:v>
      </x:c>
      <x:c r="D20" s="19" t="n">
        <x:f>B20-C20</x:f>
        <x:v>-26000</x:v>
      </x:c>
      <x:c r="E20" s="19" t="n">
        <x:v>19000</x:v>
      </x:c>
      <x:c r="F20" s="19" t="n">
        <x:v>61000</x:v>
      </x:c>
      <x:c r="G20" s="19" t="n">
        <x:f>E20-F20</x:f>
        <x:v>-42000</x:v>
      </x:c>
      <x:c r="H20" s="19" t="n">
        <x:f>B20+E20</x:f>
        <x:v>38000</x:v>
      </x:c>
      <x:c r="I20" s="19" t="n">
        <x:f>C20+F20</x:f>
        <x:v>106000</x:v>
      </x:c>
      <x:c r="J20" s="19" t="n">
        <x:f>H20-I20</x:f>
        <x:v>-68000</x:v>
      </x:c>
      <x:c r="K20" s="19" t="n">
        <x:f>K19+J20</x:f>
        <x:v>190000</x:v>
      </x:c>
      <x:c r="L20" s="20" t="n">
        <x:v>7</x:v>
      </x:c>
      <x:c r="M20" s="20" t="n">
        <x:v>4</x:v>
      </x:c>
      <x:c r="N20" s="20" t="n">
        <x:v>3</x:v>
      </x:c>
      <x:c r="O20" s="20" t="n">
        <x:v>6</x:v>
      </x:c>
    </x:row>
    <x:row r="21" ht="23" customHeight="1">
      <x:c r="A21" s="2" t="str">
        <x:v>2026-10-09_Night</x:v>
      </x:c>
      <x:c r="B21" s="19" t="n">
        <x:v>0</x:v>
      </x:c>
      <x:c r="C21" s="19" t="n">
        <x:v>46000</x:v>
      </x:c>
      <x:c r="D21" s="19" t="n">
        <x:f>B21-C21</x:f>
        <x:v>-46000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46000</x:v>
      </x:c>
      <x:c r="J21" s="19" t="n">
        <x:f>H21-I21</x:f>
        <x:v>-32000</x:v>
      </x:c>
      <x:c r="K21" s="19" t="n">
        <x:f>K20+J21</x:f>
        <x:v>158000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</x:row>
    <x:row r="22" ht="23" customHeight="1">
      <x:c r="A22" s="2" t="str">
        <x:v>2026-10-12_Night</x:v>
      </x:c>
      <x:c r="B22" s="19" t="n">
        <x:v>11000</x:v>
      </x:c>
      <x:c r="C22" s="19" t="n">
        <x:v>0</x:v>
      </x:c>
      <x:c r="D22" s="19" t="n">
        <x:f>B22-C22</x:f>
        <x:v>11000</x:v>
      </x:c>
      <x:c r="E22" s="19" t="n">
        <x:v>34000</x:v>
      </x:c>
      <x:c r="F22" s="19" t="n">
        <x:v>0</x:v>
      </x:c>
      <x:c r="G22" s="19" t="n">
        <x:f>E22-F22</x:f>
        <x:v>34000</x:v>
      </x:c>
      <x:c r="H22" s="19" t="n">
        <x:f>B22+E22</x:f>
        <x:v>45000</x:v>
      </x:c>
      <x:c r="I22" s="19" t="n">
        <x:f>C22+F22</x:f>
        <x:v>0</x:v>
      </x:c>
      <x:c r="J22" s="19" t="n">
        <x:f>H22-I22</x:f>
        <x:v>45000</x:v>
      </x:c>
      <x:c r="K22" s="19" t="n">
        <x:f>K21+J22</x:f>
        <x:v>203000</x:v>
      </x:c>
      <x:c r="L22" s="20" t="n">
        <x:v>2</x:v>
      </x:c>
      <x:c r="M22" s="20" t="n">
        <x:v>1</x:v>
      </x:c>
      <x:c r="N22" s="20" t="n">
        <x:v>1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53000</x:v>
      </x:c>
      <x:c r="D23" s="19" t="n">
        <x:f>B23-C23</x:f>
        <x:v>-53000</x:v>
      </x:c>
      <x:c r="E23" s="19" t="n">
        <x:v>25000</x:v>
      </x:c>
      <x:c r="F23" s="19" t="n">
        <x:v>10000</x:v>
      </x:c>
      <x:c r="G23" s="19" t="n">
        <x:f>E23-F23</x:f>
        <x:v>15000</x:v>
      </x:c>
      <x:c r="H23" s="19" t="n">
        <x:f>B23+E23</x:f>
        <x:v>25000</x:v>
      </x:c>
      <x:c r="I23" s="19" t="n">
        <x:f>C23+F23</x:f>
        <x:v>63000</x:v>
      </x:c>
      <x:c r="J23" s="19" t="n">
        <x:f>H23-I23</x:f>
        <x:v>-38000</x:v>
      </x:c>
      <x:c r="K23" s="19" t="n">
        <x:f>K22+J23</x:f>
        <x:v>165000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80000</x:v>
      </x:c>
      <x:c r="D24" s="19" t="n">
        <x:f>B24-C24</x:f>
        <x:v>-80000</x:v>
      </x:c>
      <x:c r="E24" s="19" t="n">
        <x:v>193000</x:v>
      </x:c>
      <x:c r="F24" s="19" t="n">
        <x:v>61000</x:v>
      </x:c>
      <x:c r="G24" s="19" t="n">
        <x:f>E24-F24</x:f>
        <x:v>132000</x:v>
      </x:c>
      <x:c r="H24" s="19" t="n">
        <x:f>B24+E24</x:f>
        <x:v>193000</x:v>
      </x:c>
      <x:c r="I24" s="19" t="n">
        <x:f>C24+F24</x:f>
        <x:v>141000</x:v>
      </x:c>
      <x:c r="J24" s="19" t="n">
        <x:f>H24-I24</x:f>
        <x:v>52000</x:v>
      </x:c>
      <x:c r="K24" s="19" t="n">
        <x:f>K23+J24</x:f>
        <x:v>217000</x:v>
      </x:c>
      <x:c r="L24" s="20" t="n">
        <x:v>6</x:v>
      </x:c>
      <x:c r="M24" s="20" t="n">
        <x:v>2</x:v>
      </x:c>
      <x:c r="N24" s="20" t="n">
        <x:v>4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50000</x:v>
      </x:c>
      <x:c r="D25" s="19" t="n">
        <x:f>B25-C25</x:f>
        <x:v>-50000</x:v>
      </x:c>
      <x:c r="E25" s="19" t="n">
        <x:v>66000</x:v>
      </x:c>
      <x:c r="F25" s="19" t="n">
        <x:v>109000</x:v>
      </x:c>
      <x:c r="G25" s="19" t="n">
        <x:f>E25-F25</x:f>
        <x:v>-43000</x:v>
      </x:c>
      <x:c r="H25" s="19" t="n">
        <x:f>B25+E25</x:f>
        <x:v>66000</x:v>
      </x:c>
      <x:c r="I25" s="19" t="n">
        <x:f>C25+F25</x:f>
        <x:v>159000</x:v>
      </x:c>
      <x:c r="J25" s="19" t="n">
        <x:f>H25-I25</x:f>
        <x:v>-93000</x:v>
      </x:c>
      <x:c r="K25" s="19" t="n">
        <x:f>K24+J25</x:f>
        <x:v>124000</x:v>
      </x:c>
      <x:c r="L25" s="20" t="n">
        <x:v>7</x:v>
      </x:c>
      <x:c r="M25" s="20" t="n">
        <x:v>1</x:v>
      </x:c>
      <x:c r="N25" s="20" t="n">
        <x:v>6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100000</x:v>
      </x:c>
      <x:c r="D26" s="19" t="n">
        <x:f>B26-C26</x:f>
        <x:v>-100000</x:v>
      </x:c>
      <x:c r="E26" s="19" t="n">
        <x:v>150000</x:v>
      </x:c>
      <x:c r="F26" s="19" t="n">
        <x:v>100000</x:v>
      </x:c>
      <x:c r="G26" s="19" t="n">
        <x:f>E26-F26</x:f>
        <x:v>50000</x:v>
      </x:c>
      <x:c r="H26" s="19" t="n">
        <x:f>B26+E26</x:f>
        <x:v>150000</x:v>
      </x:c>
      <x:c r="I26" s="19" t="n">
        <x:f>C26+F26</x:f>
        <x:v>200000</x:v>
      </x:c>
      <x:c r="J26" s="19" t="n">
        <x:f>H26-I26</x:f>
        <x:v>-50000</x:v>
      </x:c>
      <x:c r="K26" s="19" t="n">
        <x:f>K25+J26</x:f>
        <x:v>74000</x:v>
      </x:c>
      <x:c r="L26" s="20" t="n">
        <x:v>14</x:v>
      </x:c>
      <x:c r="M26" s="20" t="n">
        <x:v>2</x:v>
      </x:c>
      <x:c r="N26" s="20" t="n">
        <x:v>12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20000</x:v>
      </x:c>
      <x:c r="D27" s="19" t="n">
        <x:f>B27-C27</x:f>
        <x:v>-20000</x:v>
      </x:c>
      <x:c r="E27" s="19" t="n">
        <x:v>41000</x:v>
      </x:c>
      <x:c r="F27" s="19" t="n">
        <x:v>36000</x:v>
      </x:c>
      <x:c r="G27" s="19" t="n">
        <x:f>E27-F27</x:f>
        <x:v>5000</x:v>
      </x:c>
      <x:c r="H27" s="19" t="n">
        <x:f>B27+E27</x:f>
        <x:v>41000</x:v>
      </x:c>
      <x:c r="I27" s="19" t="n">
        <x:f>C27+F27</x:f>
        <x:v>56000</x:v>
      </x:c>
      <x:c r="J27" s="19" t="n">
        <x:f>H27-I27</x:f>
        <x:v>-15000</x:v>
      </x:c>
      <x:c r="K27" s="19" t="n">
        <x:f>K26+J27</x:f>
        <x:v>59000</x:v>
      </x:c>
      <x:c r="L27" s="20" t="n">
        <x:v>3</x:v>
      </x:c>
      <x:c r="M27" s="20" t="n">
        <x:v>1</x:v>
      </x:c>
      <x:c r="N27" s="20" t="n">
        <x:v>2</x:v>
      </x:c>
      <x:c r="O27" s="20" t="n">
        <x:v>5</x:v>
      </x:c>
    </x:row>
    <x:row r="28" ht="23" customHeight="1">
      <x:c r="A28" s="2" t="str">
        <x:v>2026-10-20_Night</x:v>
      </x:c>
      <x:c r="B28" s="19" t="n">
        <x:v>80000</x:v>
      </x:c>
      <x:c r="C28" s="19" t="n">
        <x:v>0</x:v>
      </x:c>
      <x:c r="D28" s="19" t="n">
        <x:f>B28-C28</x:f>
        <x:v>80000</x:v>
      </x:c>
      <x:c r="E28" s="19" t="n">
        <x:v>78000</x:v>
      </x:c>
      <x:c r="F28" s="19" t="n">
        <x:v>24000</x:v>
      </x:c>
      <x:c r="G28" s="19" t="n">
        <x:f>E28-F28</x:f>
        <x:v>54000</x:v>
      </x:c>
      <x:c r="H28" s="19" t="n">
        <x:f>B28+E28</x:f>
        <x:v>158000</x:v>
      </x:c>
      <x:c r="I28" s="19" t="n">
        <x:f>C28+F28</x:f>
        <x:v>24000</x:v>
      </x:c>
      <x:c r="J28" s="19" t="n">
        <x:f>H28-I28</x:f>
        <x:v>134000</x:v>
      </x:c>
      <x:c r="K28" s="19" t="n">
        <x:f>K27+J28</x:f>
        <x:v>193000</x:v>
      </x:c>
      <x:c r="L28" s="20" t="n">
        <x:v>10</x:v>
      </x:c>
      <x:c r="M28" s="20" t="n">
        <x:v>3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51000</x:v>
      </x:c>
      <x:c r="C29" s="19" t="n">
        <x:v>0</x:v>
      </x:c>
      <x:c r="D29" s="19" t="n">
        <x:f>B29-C29</x:f>
        <x:v>51000</x:v>
      </x:c>
      <x:c r="E29" s="19" t="n">
        <x:v>16000</x:v>
      </x:c>
      <x:c r="F29" s="19" t="n">
        <x:v>0</x:v>
      </x:c>
      <x:c r="G29" s="19" t="n">
        <x:f>E29-F29</x:f>
        <x:v>16000</x:v>
      </x:c>
      <x:c r="H29" s="19" t="n">
        <x:f>B29+E29</x:f>
        <x:v>67000</x:v>
      </x:c>
      <x:c r="I29" s="19" t="n">
        <x:f>C29+F29</x:f>
        <x:v>0</x:v>
      </x:c>
      <x:c r="J29" s="19" t="n">
        <x:f>H29-I29</x:f>
        <x:v>67000</x:v>
      </x:c>
      <x:c r="K29" s="19" t="n">
        <x:f>K28+J29</x:f>
        <x:v>260000</x:v>
      </x:c>
      <x:c r="L29" s="20" t="n">
        <x:v>2</x:v>
      </x:c>
      <x:c r="M29" s="20" t="n">
        <x:v>1</x:v>
      </x:c>
      <x:c r="N29" s="20" t="n">
        <x:v>1</x:v>
      </x:c>
      <x:c r="O29" s="20" t="n">
        <x:v>4</x:v>
      </x:c>
    </x:row>
    <x:row r="30" ht="23" customHeight="1">
      <x:c r="A30" s="2" t="str">
        <x:v>2026-10-22_Night</x:v>
      </x:c>
      <x:c r="B30" s="19" t="n">
        <x:v>0</x:v>
      </x:c>
      <x:c r="C30" s="19" t="n">
        <x:v>83000</x:v>
      </x:c>
      <x:c r="D30" s="19" t="n">
        <x:f>B30-C30</x:f>
        <x:v>-83000</x:v>
      </x:c>
      <x:c r="E30" s="19" t="n">
        <x:v>0</x:v>
      </x:c>
      <x:c r="F30" s="19" t="n">
        <x:v>48000</x:v>
      </x:c>
      <x:c r="G30" s="19" t="n">
        <x:f>E30-F30</x:f>
        <x:v>-48000</x:v>
      </x:c>
      <x:c r="H30" s="19" t="n">
        <x:f>B30+E30</x:f>
        <x:v>0</x:v>
      </x:c>
      <x:c r="I30" s="19" t="n">
        <x:f>C30+F30</x:f>
        <x:v>131000</x:v>
      </x:c>
      <x:c r="J30" s="19" t="n">
        <x:f>H30-I30</x:f>
        <x:v>-131000</x:v>
      </x:c>
      <x:c r="K30" s="19" t="n">
        <x:f>K29+J30</x:f>
        <x:v>129000</x:v>
      </x:c>
      <x:c r="L30" s="20" t="n">
        <x:v>5</x:v>
      </x:c>
      <x:c r="M30" s="20" t="n">
        <x:v>2</x:v>
      </x:c>
      <x:c r="N30" s="20" t="n">
        <x:v>3</x:v>
      </x:c>
      <x:c r="O30" s="20" t="n">
        <x:v>5</x:v>
      </x:c>
    </x:row>
    <x:row r="31" ht="23" customHeight="1">
      <x:c r="A31" s="2" t="str">
        <x:v>2026-10-23_Night</x:v>
      </x:c>
      <x:c r="B31" s="19" t="n">
        <x:v>3000</x:v>
      </x:c>
      <x:c r="C31" s="19" t="n">
        <x:v>76000</x:v>
      </x:c>
      <x:c r="D31" s="19" t="n">
        <x:f>B31-C31</x:f>
        <x:v>-73000</x:v>
      </x:c>
      <x:c r="E31" s="19" t="n">
        <x:v>11000</x:v>
      </x:c>
      <x:c r="F31" s="19" t="n">
        <x:v>77000</x:v>
      </x:c>
      <x:c r="G31" s="19" t="n">
        <x:f>E31-F31</x:f>
        <x:v>-66000</x:v>
      </x:c>
      <x:c r="H31" s="19" t="n">
        <x:f>B31+E31</x:f>
        <x:v>14000</x:v>
      </x:c>
      <x:c r="I31" s="19" t="n">
        <x:f>C31+F31</x:f>
        <x:v>153000</x:v>
      </x:c>
      <x:c r="J31" s="19" t="n">
        <x:f>H31-I31</x:f>
        <x:v>-139000</x:v>
      </x:c>
      <x:c r="K31" s="19" t="n">
        <x:f>K30+J31</x:f>
        <x:v>-10000</x:v>
      </x:c>
      <x:c r="L31" s="20" t="n">
        <x:v>9</x:v>
      </x:c>
      <x:c r="M31" s="20" t="n">
        <x:v>5</x:v>
      </x:c>
      <x:c r="N31" s="20" t="n">
        <x:v>4</x:v>
      </x:c>
      <x:c r="O31" s="20" t="n">
        <x:v>4</x:v>
      </x:c>
    </x:row>
    <x:row r="32" ht="23" customHeight="1">
      <x:c r="A32" s="24" t="str">
        <x:v>25夜累計</x:v>
      </x:c>
      <x:c r="B32" s="25" t="n">
        <x:f>SUM(B7:B31)</x:f>
        <x:v>491000</x:v>
      </x:c>
      <x:c r="C32" s="25" t="n">
        <x:f>SUM(C7:C31)</x:f>
        <x:v>925000</x:v>
      </x:c>
      <x:c r="D32" s="25" t="n">
        <x:f>B32-C32</x:f>
        <x:v>-434000</x:v>
      </x:c>
      <x:c r="E32" s="25" t="n">
        <x:f>SUM(E7:E31)</x:f>
        <x:v>1208000</x:v>
      </x:c>
      <x:c r="F32" s="25" t="n">
        <x:f>SUM(F7:F31)</x:f>
        <x:v>784000</x:v>
      </x:c>
      <x:c r="G32" s="25" t="n">
        <x:f>E32-F32</x:f>
        <x:v>424000</x:v>
      </x:c>
      <x:c r="H32" s="25" t="n">
        <x:f>B32+E32</x:f>
        <x:v>1699000</x:v>
      </x:c>
      <x:c r="I32" s="25" t="n">
        <x:f>C32+F32</x:f>
        <x:v>1709000</x:v>
      </x:c>
      <x:c r="J32" s="25" t="n">
        <x:f>H32-I32</x:f>
        <x:v>-10000</x:v>
      </x:c>
      <x:c r="K32" s="25" t="n">
        <x:f>K31</x:f>
        <x:v>-10000</x:v>
      </x:c>
      <x:c r="L32" s="26" t="n">
        <x:f>SUM(L7:L31)</x:f>
        <x:v>138</x:v>
      </x:c>
      <x:c r="M32" s="26" t="n">
        <x:f>SUM(M7:M31)</x:f>
        <x:v>50</x:v>
      </x:c>
      <x:c r="N32" s="26" t="n">
        <x:f>SUM(N7:N31)</x:f>
        <x:v>88</x:v>
      </x:c>
      <x:c r="O32" s="26" t="n">
        <x:f>MAX(O7:O31)</x:f>
        <x:v>7</x:v>
      </x:c>
    </x:row>
  </x:sheetData>
  <x:conditionalFormatting sqref="B7:K32">
    <x:cfRule type="cellIs" dxfId="1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1790bbd115461d"/>
  </x:tableParts>
</x:worksheet>
</file>

<file path=xl/worksheets/sheet1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R04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前半C05・US5分前全返済・US後全リセット最低15分準備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52000</x:v>
      </x:c>
      <x:c r="C7" s="19" t="n">
        <x:v>0</x:v>
      </x:c>
      <x:c r="D7" s="19" t="n">
        <x:f>B7-C7</x:f>
        <x:v>52000</x:v>
      </x:c>
      <x:c r="E7" s="19" t="n">
        <x:v>72000</x:v>
      </x:c>
      <x:c r="F7" s="19" t="n">
        <x:v>0</x:v>
      </x:c>
      <x:c r="G7" s="19" t="n">
        <x:f>E7-F7</x:f>
        <x:v>72000</x:v>
      </x:c>
      <x:c r="H7" s="19" t="n">
        <x:f>B7+E7</x:f>
        <x:v>124000</x:v>
      </x:c>
      <x:c r="I7" s="19" t="n">
        <x:f>C7+F7</x:f>
        <x:v>0</x:v>
      </x:c>
      <x:c r="J7" s="19" t="n">
        <x:f>H7-I7</x:f>
        <x:v>124000</x:v>
      </x:c>
      <x:c r="K7" s="19" t="n">
        <x:f>J7</x:f>
        <x:v>124000</x:v>
      </x:c>
      <x:c r="L7" s="20" t="n">
        <x:v>2</x:v>
      </x:c>
      <x:c r="M7" s="20" t="n">
        <x:v>1</x:v>
      </x:c>
      <x:c r="N7" s="20" t="n">
        <x:v>1</x:v>
      </x:c>
      <x:c r="O7" s="20" t="n">
        <x:v>5</x:v>
      </x:c>
    </x:row>
    <x:row r="8" ht="23" customHeight="1">
      <x:c r="A8" s="2" t="str">
        <x:v>2026-09-22_Night</x:v>
      </x:c>
      <x:c r="B8" s="19" t="n">
        <x:v>51000</x:v>
      </x:c>
      <x:c r="C8" s="19" t="n">
        <x:v>0</x:v>
      </x:c>
      <x:c r="D8" s="19" t="n">
        <x:f>B8-C8</x:f>
        <x:v>51000</x:v>
      </x:c>
      <x:c r="E8" s="19" t="n">
        <x:v>16000</x:v>
      </x:c>
      <x:c r="F8" s="19" t="n">
        <x:v>3000</x:v>
      </x:c>
      <x:c r="G8" s="19" t="n">
        <x:f>E8-F8</x:f>
        <x:v>13000</x:v>
      </x:c>
      <x:c r="H8" s="19" t="n">
        <x:f>B8+E8</x:f>
        <x:v>67000</x:v>
      </x:c>
      <x:c r="I8" s="19" t="n">
        <x:f>C8+F8</x:f>
        <x:v>3000</x:v>
      </x:c>
      <x:c r="J8" s="19" t="n">
        <x:f>H8-I8</x:f>
        <x:v>64000</x:v>
      </x:c>
      <x:c r="K8" s="19" t="n">
        <x:f>K7+J8</x:f>
        <x:v>188000</x:v>
      </x:c>
      <x:c r="L8" s="20" t="n">
        <x:v>9</x:v>
      </x:c>
      <x:c r="M8" s="20" t="n">
        <x:v>2</x:v>
      </x:c>
      <x:c r="N8" s="20" t="n">
        <x:v>7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40000</x:v>
      </x:c>
      <x:c r="D9" s="19" t="n">
        <x:f>B9-C9</x:f>
        <x:v>-40000</x:v>
      </x:c>
      <x:c r="E9" s="19" t="n">
        <x:v>14000</x:v>
      </x:c>
      <x:c r="F9" s="19" t="n">
        <x:v>40000</x:v>
      </x:c>
      <x:c r="G9" s="19" t="n">
        <x:f>E9-F9</x:f>
        <x:v>-26000</x:v>
      </x:c>
      <x:c r="H9" s="19" t="n">
        <x:f>B9+E9</x:f>
        <x:v>14000</x:v>
      </x:c>
      <x:c r="I9" s="19" t="n">
        <x:f>C9+F9</x:f>
        <x:v>80000</x:v>
      </x:c>
      <x:c r="J9" s="19" t="n">
        <x:f>H9-I9</x:f>
        <x:v>-66000</x:v>
      </x:c>
      <x:c r="K9" s="19" t="n">
        <x:f>K8+J9</x:f>
        <x:v>122000</x:v>
      </x:c>
      <x:c r="L9" s="20" t="n">
        <x:v>4</x:v>
      </x:c>
      <x:c r="M9" s="20" t="n">
        <x:v>1</x:v>
      </x:c>
      <x:c r="N9" s="20" t="n">
        <x:v>3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79000</x:v>
      </x:c>
      <x:c r="D10" s="19" t="n">
        <x:f>B10-C10</x:f>
        <x:v>-79000</x:v>
      </x:c>
      <x:c r="E10" s="19" t="n">
        <x:v>14000</x:v>
      </x:c>
      <x:c r="F10" s="19" t="n">
        <x:v>60000</x:v>
      </x:c>
      <x:c r="G10" s="19" t="n">
        <x:f>E10-F10</x:f>
        <x:v>-46000</x:v>
      </x:c>
      <x:c r="H10" s="19" t="n">
        <x:f>B10+E10</x:f>
        <x:v>14000</x:v>
      </x:c>
      <x:c r="I10" s="19" t="n">
        <x:f>C10+F10</x:f>
        <x:v>139000</x:v>
      </x:c>
      <x:c r="J10" s="19" t="n">
        <x:f>H10-I10</x:f>
        <x:v>-125000</x:v>
      </x:c>
      <x:c r="K10" s="19" t="n">
        <x:f>K9+J10</x:f>
        <x:v>-3000</x:v>
      </x:c>
      <x:c r="L10" s="20" t="n">
        <x:v>5</x:v>
      </x:c>
      <x:c r="M10" s="20" t="n">
        <x:v>2</x:v>
      </x:c>
      <x:c r="N10" s="20" t="n">
        <x:v>3</x:v>
      </x:c>
      <x:c r="O10" s="20" t="n">
        <x:v>5</x:v>
      </x:c>
    </x:row>
    <x:row r="11" ht="23" customHeight="1">
      <x:c r="A11" s="2" t="str">
        <x:v>2026-09-25_Night</x:v>
      </x:c>
      <x:c r="B11" s="19" t="n">
        <x:v>26000</x:v>
      </x:c>
      <x:c r="C11" s="19" t="n">
        <x:v>0</x:v>
      </x:c>
      <x:c r="D11" s="19" t="n">
        <x:f>B11-C11</x:f>
        <x:v>26000</x:v>
      </x:c>
      <x:c r="E11" s="19" t="n">
        <x:v>0</x:v>
      </x:c>
      <x:c r="F11" s="19" t="n">
        <x:v>40000</x:v>
      </x:c>
      <x:c r="G11" s="19" t="n">
        <x:f>E11-F11</x:f>
        <x:v>-40000</x:v>
      </x:c>
      <x:c r="H11" s="19" t="n">
        <x:f>B11+E11</x:f>
        <x:v>26000</x:v>
      </x:c>
      <x:c r="I11" s="19" t="n">
        <x:f>C11+F11</x:f>
        <x:v>40000</x:v>
      </x:c>
      <x:c r="J11" s="19" t="n">
        <x:f>H11-I11</x:f>
        <x:v>-14000</x:v>
      </x:c>
      <x:c r="K11" s="19" t="n">
        <x:f>K10+J11</x:f>
        <x:v>-17000</x:v>
      </x:c>
      <x:c r="L11" s="20" t="n">
        <x:v>2</x:v>
      </x:c>
      <x:c r="M11" s="20" t="n">
        <x:v>1</x:v>
      </x:c>
      <x:c r="N11" s="20" t="n">
        <x:v>1</x:v>
      </x:c>
      <x:c r="O11" s="20" t="n">
        <x:v>5</x:v>
      </x:c>
    </x:row>
    <x:row r="12" ht="23" customHeight="1">
      <x:c r="A12" s="2" t="str">
        <x:v>2026-09-28_Night</x:v>
      </x:c>
      <x:c r="B12" s="19" t="n">
        <x:v>9000</x:v>
      </x:c>
      <x:c r="C12" s="19" t="n">
        <x:v>21000</x:v>
      </x:c>
      <x:c r="D12" s="19" t="n">
        <x:f>B12-C12</x:f>
        <x:v>-12000</x:v>
      </x:c>
      <x:c r="E12" s="19" t="n">
        <x:v>26000</x:v>
      </x:c>
      <x:c r="F12" s="19" t="n">
        <x:v>0</x:v>
      </x:c>
      <x:c r="G12" s="19" t="n">
        <x:f>E12-F12</x:f>
        <x:v>26000</x:v>
      </x:c>
      <x:c r="H12" s="19" t="n">
        <x:f>B12+E12</x:f>
        <x:v>35000</x:v>
      </x:c>
      <x:c r="I12" s="19" t="n">
        <x:f>C12+F12</x:f>
        <x:v>21000</x:v>
      </x:c>
      <x:c r="J12" s="19" t="n">
        <x:f>H12-I12</x:f>
        <x:v>14000</x:v>
      </x:c>
      <x:c r="K12" s="19" t="n">
        <x:f>K11+J12</x:f>
        <x:v>-3000</x:v>
      </x:c>
      <x:c r="L12" s="20" t="n">
        <x:v>3</x:v>
      </x:c>
      <x:c r="M12" s="20" t="n">
        <x:v>2</x:v>
      </x:c>
      <x:c r="N12" s="20" t="n">
        <x:v>1</x:v>
      </x:c>
      <x:c r="O12" s="20" t="n">
        <x:v>4</x:v>
      </x:c>
    </x:row>
    <x:row r="13" ht="23" customHeight="1">
      <x:c r="A13" s="2" t="str">
        <x:v>2026-09-29_Night</x:v>
      </x:c>
      <x:c r="B13" s="19" t="n">
        <x:v>0</x:v>
      </x:c>
      <x:c r="C13" s="19" t="n">
        <x:v>50000</x:v>
      </x:c>
      <x:c r="D13" s="19" t="n">
        <x:f>B13-C13</x:f>
        <x:v>-50000</x:v>
      </x:c>
      <x:c r="E13" s="19" t="n">
        <x:v>73000</x:v>
      </x:c>
      <x:c r="F13" s="19" t="n">
        <x:v>14000</x:v>
      </x:c>
      <x:c r="G13" s="19" t="n">
        <x:f>E13-F13</x:f>
        <x:v>59000</x:v>
      </x:c>
      <x:c r="H13" s="19" t="n">
        <x:f>B13+E13</x:f>
        <x:v>73000</x:v>
      </x:c>
      <x:c r="I13" s="19" t="n">
        <x:f>C13+F13</x:f>
        <x:v>64000</x:v>
      </x:c>
      <x:c r="J13" s="19" t="n">
        <x:f>H13-I13</x:f>
        <x:v>9000</x:v>
      </x:c>
      <x:c r="K13" s="19" t="n">
        <x:f>K12+J13</x:f>
        <x:v>6000</x:v>
      </x:c>
      <x:c r="L13" s="20" t="n">
        <x:v>5</x:v>
      </x:c>
      <x:c r="M13" s="20" t="n">
        <x:v>1</x:v>
      </x:c>
      <x:c r="N13" s="20" t="n">
        <x:v>4</x:v>
      </x:c>
      <x:c r="O13" s="20" t="n">
        <x:v>5</x:v>
      </x:c>
    </x:row>
    <x:row r="14" ht="23" customHeight="1">
      <x:c r="A14" s="2" t="str">
        <x:v>2026-09-30_Night</x:v>
      </x:c>
      <x:c r="B14" s="19" t="n">
        <x:v>32000</x:v>
      </x:c>
      <x:c r="C14" s="19" t="n">
        <x:v>0</x:v>
      </x:c>
      <x:c r="D14" s="19" t="n">
        <x:f>B14-C14</x:f>
        <x:v>32000</x:v>
      </x:c>
      <x:c r="E14" s="19" t="n">
        <x:v>65000</x:v>
      </x:c>
      <x:c r="F14" s="19" t="n">
        <x:v>52000</x:v>
      </x:c>
      <x:c r="G14" s="19" t="n">
        <x:f>E14-F14</x:f>
        <x:v>13000</x:v>
      </x:c>
      <x:c r="H14" s="19" t="n">
        <x:f>B14+E14</x:f>
        <x:v>97000</x:v>
      </x:c>
      <x:c r="I14" s="19" t="n">
        <x:f>C14+F14</x:f>
        <x:v>52000</x:v>
      </x:c>
      <x:c r="J14" s="19" t="n">
        <x:f>H14-I14</x:f>
        <x:v>45000</x:v>
      </x:c>
      <x:c r="K14" s="19" t="n">
        <x:f>K13+J14</x:f>
        <x:v>51000</x:v>
      </x:c>
      <x:c r="L14" s="20" t="n">
        <x:v>5</x:v>
      </x:c>
      <x:c r="M14" s="20" t="n">
        <x:v>1</x:v>
      </x:c>
      <x:c r="N14" s="20" t="n">
        <x:v>4</x:v>
      </x:c>
      <x:c r="O14" s="20" t="n">
        <x:v>5</x:v>
      </x:c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83000</x:v>
      </x:c>
      <x:c r="F15" s="19" t="n">
        <x:v>17000</x:v>
      </x:c>
      <x:c r="G15" s="19" t="n">
        <x:f>E15-F15</x:f>
        <x:v>66000</x:v>
      </x:c>
      <x:c r="H15" s="19" t="n">
        <x:f>B15+E15</x:f>
        <x:v>100000</x:v>
      </x:c>
      <x:c r="I15" s="19" t="n">
        <x:f>C15+F15</x:f>
        <x:v>75000</x:v>
      </x:c>
      <x:c r="J15" s="19" t="n">
        <x:f>H15-I15</x:f>
        <x:v>25000</x:v>
      </x:c>
      <x:c r="K15" s="19" t="n">
        <x:f>K14+J15</x:f>
        <x:v>76000</x:v>
      </x:c>
      <x:c r="L15" s="20" t="n">
        <x:v>11</x:v>
      </x:c>
      <x:c r="M15" s="20" t="n">
        <x:v>7</x:v>
      </x:c>
      <x:c r="N15" s="20" t="n">
        <x:v>4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48000</x:v>
      </x:c>
      <x:c r="D16" s="19" t="n">
        <x:f>B16-C16</x:f>
        <x:v>-48000</x:v>
      </x:c>
      <x:c r="E16" s="19" t="n">
        <x:v>24000</x:v>
      </x:c>
      <x:c r="F16" s="19" t="n">
        <x:v>110000</x:v>
      </x:c>
      <x:c r="G16" s="19" t="n">
        <x:f>E16-F16</x:f>
        <x:v>-86000</x:v>
      </x:c>
      <x:c r="H16" s="19" t="n">
        <x:f>B16+E16</x:f>
        <x:v>24000</x:v>
      </x:c>
      <x:c r="I16" s="19" t="n">
        <x:f>C16+F16</x:f>
        <x:v>158000</x:v>
      </x:c>
      <x:c r="J16" s="19" t="n">
        <x:f>H16-I16</x:f>
        <x:v>-134000</x:v>
      </x:c>
      <x:c r="K16" s="19" t="n">
        <x:f>K15+J16</x:f>
        <x:v>-58000</x:v>
      </x:c>
      <x:c r="L16" s="20" t="n">
        <x:v>8</x:v>
      </x:c>
      <x:c r="M16" s="20" t="n">
        <x:v>1</x:v>
      </x:c>
      <x:c r="N16" s="20" t="n">
        <x:v>7</x:v>
      </x:c>
      <x:c r="O16" s="20" t="n">
        <x:v>4</x:v>
      </x:c>
    </x:row>
    <x:row r="17" ht="23" customHeight="1">
      <x:c r="A17" s="2" t="str">
        <x:v>2026-10-05_Night</x:v>
      </x:c>
      <x:c r="B17" s="19" t="n">
        <x:v>53000</x:v>
      </x:c>
      <x:c r="C17" s="19" t="n">
        <x:v>0</x:v>
      </x:c>
      <x:c r="D17" s="19" t="n">
        <x:f>B17-C17</x:f>
        <x:v>53000</x:v>
      </x:c>
      <x:c r="E17" s="19" t="n">
        <x:v>0</x:v>
      </x:c>
      <x:c r="F17" s="19" t="n">
        <x:v>80000</x:v>
      </x:c>
      <x:c r="G17" s="19" t="n">
        <x:f>E17-F17</x:f>
        <x:v>-80000</x:v>
      </x:c>
      <x:c r="H17" s="19" t="n">
        <x:f>B17+E17</x:f>
        <x:v>53000</x:v>
      </x:c>
      <x:c r="I17" s="19" t="n">
        <x:f>C17+F17</x:f>
        <x:v>80000</x:v>
      </x:c>
      <x:c r="J17" s="19" t="n">
        <x:f>H17-I17</x:f>
        <x:v>-27000</x:v>
      </x:c>
      <x:c r="K17" s="19" t="n">
        <x:f>K16+J17</x:f>
        <x:v>-85000</x:v>
      </x:c>
      <x:c r="L17" s="20" t="n">
        <x:v>3</x:v>
      </x:c>
      <x:c r="M17" s="20" t="n">
        <x:v>1</x:v>
      </x:c>
      <x:c r="N17" s="20" t="n">
        <x:v>2</x:v>
      </x:c>
      <x:c r="O17" s="20" t="n">
        <x:v>5</x:v>
      </x:c>
    </x:row>
    <x:row r="18" ht="23" customHeight="1">
      <x:c r="A18" s="2" t="str">
        <x:v>2026-10-06_Night</x:v>
      </x:c>
      <x:c r="B18" s="19" t="n">
        <x:v>87000</x:v>
      </x:c>
      <x:c r="C18" s="19" t="n">
        <x:v>0</x:v>
      </x:c>
      <x:c r="D18" s="19" t="n">
        <x:f>B18-C18</x:f>
        <x:v>87000</x:v>
      </x:c>
      <x:c r="E18" s="19" t="n">
        <x:v>43000</x:v>
      </x:c>
      <x:c r="F18" s="19" t="n">
        <x:v>0</x:v>
      </x:c>
      <x:c r="G18" s="19" t="n">
        <x:f>E18-F18</x:f>
        <x:v>43000</x:v>
      </x:c>
      <x:c r="H18" s="19" t="n">
        <x:f>B18+E18</x:f>
        <x:v>130000</x:v>
      </x:c>
      <x:c r="I18" s="19" t="n">
        <x:f>C18+F18</x:f>
        <x:v>0</x:v>
      </x:c>
      <x:c r="J18" s="19" t="n">
        <x:f>H18-I18</x:f>
        <x:v>130000</x:v>
      </x:c>
      <x:c r="K18" s="19" t="n">
        <x:f>K17+J18</x:f>
        <x:v>45000</x:v>
      </x:c>
      <x:c r="L18" s="20" t="n">
        <x:v>4</x:v>
      </x:c>
      <x:c r="M18" s="20" t="n">
        <x:v>1</x:v>
      </x:c>
      <x:c r="N18" s="20" t="n">
        <x:v>3</x:v>
      </x:c>
      <x:c r="O18" s="20" t="n">
        <x:v>5</x:v>
      </x:c>
    </x:row>
    <x:row r="19" ht="23" customHeight="1">
      <x:c r="A19" s="2" t="str">
        <x:v>2026-10-07_Night</x:v>
      </x:c>
      <x:c r="B19" s="19" t="n">
        <x:v>0</x:v>
      </x:c>
      <x:c r="C19" s="19" t="n">
        <x:v>76000</x:v>
      </x:c>
      <x:c r="D19" s="19" t="n">
        <x:f>B19-C19</x:f>
        <x:v>-76000</x:v>
      </x:c>
      <x:c r="E19" s="19" t="n">
        <x:v>0</x:v>
      </x:c>
      <x:c r="F19" s="19" t="n">
        <x:v>54000</x:v>
      </x:c>
      <x:c r="G19" s="19" t="n">
        <x:f>E19-F19</x:f>
        <x:v>-54000</x:v>
      </x:c>
      <x:c r="H19" s="19" t="n">
        <x:f>B19+E19</x:f>
        <x:v>0</x:v>
      </x:c>
      <x:c r="I19" s="19" t="n">
        <x:f>C19+F19</x:f>
        <x:v>130000</x:v>
      </x:c>
      <x:c r="J19" s="19" t="n">
        <x:f>H19-I19</x:f>
        <x:v>-130000</x:v>
      </x:c>
      <x:c r="K19" s="19" t="n">
        <x:f>K18+J19</x:f>
        <x:v>-85000</x:v>
      </x:c>
      <x:c r="L19" s="20" t="n">
        <x:v>6</x:v>
      </x:c>
      <x:c r="M19" s="20" t="n">
        <x:v>3</x:v>
      </x:c>
      <x:c r="N19" s="20" t="n">
        <x:v>3</x:v>
      </x:c>
      <x:c r="O19" s="20" t="n">
        <x:v>5</x:v>
      </x:c>
    </x:row>
    <x:row r="20" ht="23" customHeight="1">
      <x:c r="A20" s="2" t="str">
        <x:v>2026-10-08_Night</x:v>
      </x:c>
      <x:c r="B20" s="19" t="n">
        <x:v>19000</x:v>
      </x:c>
      <x:c r="C20" s="19" t="n">
        <x:v>45000</x:v>
      </x:c>
      <x:c r="D20" s="19" t="n">
        <x:f>B20-C20</x:f>
        <x:v>-26000</x:v>
      </x:c>
      <x:c r="E20" s="19" t="n">
        <x:v>19000</x:v>
      </x:c>
      <x:c r="F20" s="19" t="n">
        <x:v>56000</x:v>
      </x:c>
      <x:c r="G20" s="19" t="n">
        <x:f>E20-F20</x:f>
        <x:v>-37000</x:v>
      </x:c>
      <x:c r="H20" s="19" t="n">
        <x:f>B20+E20</x:f>
        <x:v>38000</x:v>
      </x:c>
      <x:c r="I20" s="19" t="n">
        <x:f>C20+F20</x:f>
        <x:v>101000</x:v>
      </x:c>
      <x:c r="J20" s="19" t="n">
        <x:f>H20-I20</x:f>
        <x:v>-63000</x:v>
      </x:c>
      <x:c r="K20" s="19" t="n">
        <x:f>K19+J20</x:f>
        <x:v>-148000</x:v>
      </x:c>
      <x:c r="L20" s="20" t="n">
        <x:v>7</x:v>
      </x:c>
      <x:c r="M20" s="20" t="n">
        <x:v>4</x:v>
      </x:c>
      <x:c r="N20" s="20" t="n">
        <x:v>3</x:v>
      </x:c>
      <x:c r="O20" s="20" t="n">
        <x:v>6</x:v>
      </x:c>
    </x:row>
    <x:row r="21" ht="23" customHeight="1">
      <x:c r="A21" s="2" t="str">
        <x:v>2026-10-09_Night</x:v>
      </x:c>
      <x:c r="B21" s="19" t="n">
        <x:v>0</x:v>
      </x:c>
      <x:c r="C21" s="19" t="n">
        <x:v>46000</x:v>
      </x:c>
      <x:c r="D21" s="19" t="n">
        <x:f>B21-C21</x:f>
        <x:v>-46000</x:v>
      </x:c>
      <x:c r="E21" s="19" t="n">
        <x:v>11000</x:v>
      </x:c>
      <x:c r="F21" s="19" t="n">
        <x:v>0</x:v>
      </x:c>
      <x:c r="G21" s="19" t="n">
        <x:f>E21-F21</x:f>
        <x:v>11000</x:v>
      </x:c>
      <x:c r="H21" s="19" t="n">
        <x:f>B21+E21</x:f>
        <x:v>11000</x:v>
      </x:c>
      <x:c r="I21" s="19" t="n">
        <x:f>C21+F21</x:f>
        <x:v>46000</x:v>
      </x:c>
      <x:c r="J21" s="19" t="n">
        <x:f>H21-I21</x:f>
        <x:v>-35000</x:v>
      </x:c>
      <x:c r="K21" s="19" t="n">
        <x:f>K20+J21</x:f>
        <x:v>-183000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</x:row>
    <x:row r="22" ht="23" customHeight="1">
      <x:c r="A22" s="2" t="str">
        <x:v>2026-10-12_Night</x:v>
      </x:c>
      <x:c r="B22" s="19" t="n">
        <x:v>11000</x:v>
      </x:c>
      <x:c r="C22" s="19" t="n">
        <x:v>0</x:v>
      </x:c>
      <x:c r="D22" s="19" t="n">
        <x:f>B22-C22</x:f>
        <x:v>11000</x:v>
      </x:c>
      <x:c r="E22" s="19" t="n">
        <x:v>31000</x:v>
      </x:c>
      <x:c r="F22" s="19" t="n">
        <x:v>0</x:v>
      </x:c>
      <x:c r="G22" s="19" t="n">
        <x:f>E22-F22</x:f>
        <x:v>31000</x:v>
      </x:c>
      <x:c r="H22" s="19" t="n">
        <x:f>B22+E22</x:f>
        <x:v>42000</x:v>
      </x:c>
      <x:c r="I22" s="19" t="n">
        <x:f>C22+F22</x:f>
        <x:v>0</x:v>
      </x:c>
      <x:c r="J22" s="19" t="n">
        <x:f>H22-I22</x:f>
        <x:v>42000</x:v>
      </x:c>
      <x:c r="K22" s="19" t="n">
        <x:f>K21+J22</x:f>
        <x:v>-141000</x:v>
      </x:c>
      <x:c r="L22" s="20" t="n">
        <x:v>2</x:v>
      </x:c>
      <x:c r="M22" s="20" t="n">
        <x:v>1</x:v>
      </x:c>
      <x:c r="N22" s="20" t="n">
        <x:v>1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53000</x:v>
      </x:c>
      <x:c r="D23" s="19" t="n">
        <x:f>B23-C23</x:f>
        <x:v>-53000</x:v>
      </x:c>
      <x:c r="E23" s="19" t="n">
        <x:v>0</x:v>
      </x:c>
      <x:c r="F23" s="19" t="n">
        <x:v>28000</x:v>
      </x:c>
      <x:c r="G23" s="19" t="n">
        <x:f>E23-F23</x:f>
        <x:v>-28000</x:v>
      </x:c>
      <x:c r="H23" s="19" t="n">
        <x:f>B23+E23</x:f>
        <x:v>0</x:v>
      </x:c>
      <x:c r="I23" s="19" t="n">
        <x:f>C23+F23</x:f>
        <x:v>81000</x:v>
      </x:c>
      <x:c r="J23" s="19" t="n">
        <x:f>H23-I23</x:f>
        <x:v>-81000</x:v>
      </x:c>
      <x:c r="K23" s="19" t="n">
        <x:f>K22+J23</x:f>
        <x:v>-222000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80000</x:v>
      </x:c>
      <x:c r="D24" s="19" t="n">
        <x:f>B24-C24</x:f>
        <x:v>-80000</x:v>
      </x:c>
      <x:c r="E24" s="19" t="n">
        <x:v>193000</x:v>
      </x:c>
      <x:c r="F24" s="19" t="n">
        <x:v>61000</x:v>
      </x:c>
      <x:c r="G24" s="19" t="n">
        <x:f>E24-F24</x:f>
        <x:v>132000</x:v>
      </x:c>
      <x:c r="H24" s="19" t="n">
        <x:f>B24+E24</x:f>
        <x:v>193000</x:v>
      </x:c>
      <x:c r="I24" s="19" t="n">
        <x:f>C24+F24</x:f>
        <x:v>141000</x:v>
      </x:c>
      <x:c r="J24" s="19" t="n">
        <x:f>H24-I24</x:f>
        <x:v>52000</x:v>
      </x:c>
      <x:c r="K24" s="19" t="n">
        <x:f>K23+J24</x:f>
        <x:v>-170000</x:v>
      </x:c>
      <x:c r="L24" s="20" t="n">
        <x:v>6</x:v>
      </x:c>
      <x:c r="M24" s="20" t="n">
        <x:v>2</x:v>
      </x:c>
      <x:c r="N24" s="20" t="n">
        <x:v>4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50000</x:v>
      </x:c>
      <x:c r="D25" s="19" t="n">
        <x:f>B25-C25</x:f>
        <x:v>-50000</x:v>
      </x:c>
      <x:c r="E25" s="19" t="n">
        <x:v>67000</x:v>
      </x:c>
      <x:c r="F25" s="19" t="n">
        <x:v>53000</x:v>
      </x:c>
      <x:c r="G25" s="19" t="n">
        <x:f>E25-F25</x:f>
        <x:v>14000</x:v>
      </x:c>
      <x:c r="H25" s="19" t="n">
        <x:f>B25+E25</x:f>
        <x:v>67000</x:v>
      </x:c>
      <x:c r="I25" s="19" t="n">
        <x:f>C25+F25</x:f>
        <x:v>103000</x:v>
      </x:c>
      <x:c r="J25" s="19" t="n">
        <x:f>H25-I25</x:f>
        <x:v>-36000</x:v>
      </x:c>
      <x:c r="K25" s="19" t="n">
        <x:f>K24+J25</x:f>
        <x:v>-206000</x:v>
      </x:c>
      <x:c r="L25" s="20" t="n">
        <x:v>7</x:v>
      </x:c>
      <x:c r="M25" s="20" t="n">
        <x:v>1</x:v>
      </x:c>
      <x:c r="N25" s="20" t="n">
        <x:v>6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100000</x:v>
      </x:c>
      <x:c r="D26" s="19" t="n">
        <x:f>B26-C26</x:f>
        <x:v>-100000</x:v>
      </x:c>
      <x:c r="E26" s="19" t="n">
        <x:v>149000</x:v>
      </x:c>
      <x:c r="F26" s="19" t="n">
        <x:v>100000</x:v>
      </x:c>
      <x:c r="G26" s="19" t="n">
        <x:f>E26-F26</x:f>
        <x:v>49000</x:v>
      </x:c>
      <x:c r="H26" s="19" t="n">
        <x:f>B26+E26</x:f>
        <x:v>149000</x:v>
      </x:c>
      <x:c r="I26" s="19" t="n">
        <x:f>C26+F26</x:f>
        <x:v>200000</x:v>
      </x:c>
      <x:c r="J26" s="19" t="n">
        <x:f>H26-I26</x:f>
        <x:v>-51000</x:v>
      </x:c>
      <x:c r="K26" s="19" t="n">
        <x:f>K25+J26</x:f>
        <x:v>-257000</x:v>
      </x:c>
      <x:c r="L26" s="20" t="n">
        <x:v>14</x:v>
      </x:c>
      <x:c r="M26" s="20" t="n">
        <x:v>2</x:v>
      </x:c>
      <x:c r="N26" s="20" t="n">
        <x:v>12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20000</x:v>
      </x:c>
      <x:c r="D27" s="19" t="n">
        <x:f>B27-C27</x:f>
        <x:v>-20000</x:v>
      </x:c>
      <x:c r="E27" s="19" t="n">
        <x:v>41000</x:v>
      </x:c>
      <x:c r="F27" s="19" t="n">
        <x:v>24000</x:v>
      </x:c>
      <x:c r="G27" s="19" t="n">
        <x:f>E27-F27</x:f>
        <x:v>17000</x:v>
      </x:c>
      <x:c r="H27" s="19" t="n">
        <x:f>B27+E27</x:f>
        <x:v>41000</x:v>
      </x:c>
      <x:c r="I27" s="19" t="n">
        <x:f>C27+F27</x:f>
        <x:v>44000</x:v>
      </x:c>
      <x:c r="J27" s="19" t="n">
        <x:f>H27-I27</x:f>
        <x:v>-3000</x:v>
      </x:c>
      <x:c r="K27" s="19" t="n">
        <x:f>K26+J27</x:f>
        <x:v>-260000</x:v>
      </x:c>
      <x:c r="L27" s="20" t="n">
        <x:v>3</x:v>
      </x:c>
      <x:c r="M27" s="20" t="n">
        <x:v>1</x:v>
      </x:c>
      <x:c r="N27" s="20" t="n">
        <x:v>2</x:v>
      </x:c>
      <x:c r="O27" s="20" t="n">
        <x:v>5</x:v>
      </x:c>
    </x:row>
    <x:row r="28" ht="23" customHeight="1">
      <x:c r="A28" s="2" t="str">
        <x:v>2026-10-20_Night</x:v>
      </x:c>
      <x:c r="B28" s="19" t="n">
        <x:v>78000</x:v>
      </x:c>
      <x:c r="C28" s="19" t="n">
        <x:v>0</x:v>
      </x:c>
      <x:c r="D28" s="19" t="n">
        <x:f>B28-C28</x:f>
        <x:v>78000</x:v>
      </x:c>
      <x:c r="E28" s="19" t="n">
        <x:v>24000</x:v>
      </x:c>
      <x:c r="F28" s="19" t="n">
        <x:v>60000</x:v>
      </x:c>
      <x:c r="G28" s="19" t="n">
        <x:f>E28-F28</x:f>
        <x:v>-36000</x:v>
      </x:c>
      <x:c r="H28" s="19" t="n">
        <x:f>B28+E28</x:f>
        <x:v>102000</x:v>
      </x:c>
      <x:c r="I28" s="19" t="n">
        <x:f>C28+F28</x:f>
        <x:v>60000</x:v>
      </x:c>
      <x:c r="J28" s="19" t="n">
        <x:f>H28-I28</x:f>
        <x:v>42000</x:v>
      </x:c>
      <x:c r="K28" s="19" t="n">
        <x:f>K27+J28</x:f>
        <x:v>-218000</x:v>
      </x:c>
      <x:c r="L28" s="20" t="n">
        <x:v>10</x:v>
      </x:c>
      <x:c r="M28" s="20" t="n">
        <x:v>3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51000</x:v>
      </x:c>
      <x:c r="C29" s="19" t="n">
        <x:v>0</x:v>
      </x:c>
      <x:c r="D29" s="19" t="n">
        <x:f>B29-C29</x:f>
        <x:v>51000</x:v>
      </x:c>
      <x:c r="E29" s="19" t="n">
        <x:v>0</x:v>
      </x:c>
      <x:c r="F29" s="19" t="n">
        <x:v>22000</x:v>
      </x:c>
      <x:c r="G29" s="19" t="n">
        <x:f>E29-F29</x:f>
        <x:v>-22000</x:v>
      </x:c>
      <x:c r="H29" s="19" t="n">
        <x:f>B29+E29</x:f>
        <x:v>51000</x:v>
      </x:c>
      <x:c r="I29" s="19" t="n">
        <x:f>C29+F29</x:f>
        <x:v>22000</x:v>
      </x:c>
      <x:c r="J29" s="19" t="n">
        <x:f>H29-I29</x:f>
        <x:v>29000</x:v>
      </x:c>
      <x:c r="K29" s="19" t="n">
        <x:f>K28+J29</x:f>
        <x:v>-189000</x:v>
      </x:c>
      <x:c r="L29" s="20" t="n">
        <x:v>2</x:v>
      </x:c>
      <x:c r="M29" s="20" t="n">
        <x:v>1</x:v>
      </x:c>
      <x:c r="N29" s="20" t="n">
        <x:v>1</x:v>
      </x:c>
      <x:c r="O29" s="20" t="n">
        <x:v>4</x:v>
      </x:c>
    </x:row>
    <x:row r="30" ht="23" customHeight="1">
      <x:c r="A30" s="2" t="str">
        <x:v>2026-10-22_Night</x:v>
      </x:c>
      <x:c r="B30" s="19" t="n">
        <x:v>0</x:v>
      </x:c>
      <x:c r="C30" s="19" t="n">
        <x:v>83000</x:v>
      </x:c>
      <x:c r="D30" s="19" t="n">
        <x:f>B30-C30</x:f>
        <x:v>-83000</x:v>
      </x:c>
      <x:c r="E30" s="19" t="n">
        <x:v>0</x:v>
      </x:c>
      <x:c r="F30" s="19" t="n">
        <x:v>45000</x:v>
      </x:c>
      <x:c r="G30" s="19" t="n">
        <x:f>E30-F30</x:f>
        <x:v>-45000</x:v>
      </x:c>
      <x:c r="H30" s="19" t="n">
        <x:f>B30+E30</x:f>
        <x:v>0</x:v>
      </x:c>
      <x:c r="I30" s="19" t="n">
        <x:f>C30+F30</x:f>
        <x:v>128000</x:v>
      </x:c>
      <x:c r="J30" s="19" t="n">
        <x:f>H30-I30</x:f>
        <x:v>-128000</x:v>
      </x:c>
      <x:c r="K30" s="19" t="n">
        <x:f>K29+J30</x:f>
        <x:v>-317000</x:v>
      </x:c>
      <x:c r="L30" s="20" t="n">
        <x:v>5</x:v>
      </x:c>
      <x:c r="M30" s="20" t="n">
        <x:v>2</x:v>
      </x:c>
      <x:c r="N30" s="20" t="n">
        <x:v>3</x:v>
      </x:c>
      <x:c r="O30" s="20" t="n">
        <x:v>5</x:v>
      </x:c>
    </x:row>
    <x:row r="31" ht="23" customHeight="1">
      <x:c r="A31" s="2" t="str">
        <x:v>2026-10-23_Night</x:v>
      </x:c>
      <x:c r="B31" s="19" t="n">
        <x:v>3000</x:v>
      </x:c>
      <x:c r="C31" s="19" t="n">
        <x:v>76000</x:v>
      </x:c>
      <x:c r="D31" s="19" t="n">
        <x:f>B31-C31</x:f>
        <x:v>-73000</x:v>
      </x:c>
      <x:c r="E31" s="19" t="n">
        <x:v>49000</x:v>
      </x:c>
      <x:c r="F31" s="19" t="n">
        <x:v>17000</x:v>
      </x:c>
      <x:c r="G31" s="19" t="n">
        <x:f>E31-F31</x:f>
        <x:v>32000</x:v>
      </x:c>
      <x:c r="H31" s="19" t="n">
        <x:f>B31+E31</x:f>
        <x:v>52000</x:v>
      </x:c>
      <x:c r="I31" s="19" t="n">
        <x:f>C31+F31</x:f>
        <x:v>93000</x:v>
      </x:c>
      <x:c r="J31" s="19" t="n">
        <x:f>H31-I31</x:f>
        <x:v>-41000</x:v>
      </x:c>
      <x:c r="K31" s="19" t="n">
        <x:f>K30+J31</x:f>
        <x:v>-358000</x:v>
      </x:c>
      <x:c r="L31" s="20" t="n">
        <x:v>9</x:v>
      </x:c>
      <x:c r="M31" s="20" t="n">
        <x:v>5</x:v>
      </x:c>
      <x:c r="N31" s="20" t="n">
        <x:v>4</x:v>
      </x:c>
      <x:c r="O31" s="20" t="n">
        <x:v>4</x:v>
      </x:c>
    </x:row>
    <x:row r="32" ht="23" customHeight="1">
      <x:c r="A32" s="24" t="str">
        <x:v>25夜累計</x:v>
      </x:c>
      <x:c r="B32" s="25" t="n">
        <x:f>SUM(B7:B31)</x:f>
        <x:v>489000</x:v>
      </x:c>
      <x:c r="C32" s="25" t="n">
        <x:f>SUM(C7:C31)</x:f>
        <x:v>925000</x:v>
      </x:c>
      <x:c r="D32" s="25" t="n">
        <x:f>B32-C32</x:f>
        <x:v>-436000</x:v>
      </x:c>
      <x:c r="E32" s="25" t="n">
        <x:f>SUM(E7:E31)</x:f>
        <x:v>1014000</x:v>
      </x:c>
      <x:c r="F32" s="25" t="n">
        <x:f>SUM(F7:F31)</x:f>
        <x:v>936000</x:v>
      </x:c>
      <x:c r="G32" s="25" t="n">
        <x:f>E32-F32</x:f>
        <x:v>78000</x:v>
      </x:c>
      <x:c r="H32" s="25" t="n">
        <x:f>B32+E32</x:f>
        <x:v>1503000</x:v>
      </x:c>
      <x:c r="I32" s="25" t="n">
        <x:f>C32+F32</x:f>
        <x:v>1861000</x:v>
      </x:c>
      <x:c r="J32" s="25" t="n">
        <x:f>H32-I32</x:f>
        <x:v>-358000</x:v>
      </x:c>
      <x:c r="K32" s="25" t="n">
        <x:f>K31</x:f>
        <x:v>-358000</x:v>
      </x:c>
      <x:c r="L32" s="26" t="n">
        <x:f>SUM(L7:L31)</x:f>
        <x:v>139</x:v>
      </x:c>
      <x:c r="M32" s="26" t="n">
        <x:f>SUM(M7:M31)</x:f>
        <x:v>50</x:v>
      </x:c>
      <x:c r="N32" s="26" t="n">
        <x:f>SUM(N7:N31)</x:f>
        <x:v>89</x:v>
      </x:c>
      <x:c r="O32" s="26" t="n">
        <x:f>MAX(O7:O31)</x:f>
        <x:v>7</x:v>
      </x:c>
    </x:row>
  </x:sheetData>
  <x:conditionalFormatting sqref="B7:K32">
    <x:cfRule type="cellIs" dxfId="1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9a8991d77146aa"/>
  </x:tableParts>
</x:worksheet>
</file>

<file path=xl/worksheets/sheet1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R05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前半C05・US30分前全返済・US後全リセット最低15分準備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51000</x:v>
      </x:c>
      <x:c r="C7" s="19" t="n">
        <x:v>0</x:v>
      </x:c>
      <x:c r="D7" s="19" t="n">
        <x:f>B7-C7</x:f>
        <x:v>51000</x:v>
      </x:c>
      <x:c r="E7" s="19" t="n">
        <x:v>72000</x:v>
      </x:c>
      <x:c r="F7" s="19" t="n">
        <x:v>0</x:v>
      </x:c>
      <x:c r="G7" s="19" t="n">
        <x:f>E7-F7</x:f>
        <x:v>72000</x:v>
      </x:c>
      <x:c r="H7" s="19" t="n">
        <x:f>B7+E7</x:f>
        <x:v>123000</x:v>
      </x:c>
      <x:c r="I7" s="19" t="n">
        <x:f>C7+F7</x:f>
        <x:v>0</x:v>
      </x:c>
      <x:c r="J7" s="19" t="n">
        <x:f>H7-I7</x:f>
        <x:v>123000</x:v>
      </x:c>
      <x:c r="K7" s="19" t="n">
        <x:f>J7</x:f>
        <x:v>123000</x:v>
      </x:c>
      <x:c r="L7" s="20" t="n">
        <x:v>2</x:v>
      </x:c>
      <x:c r="M7" s="20" t="n">
        <x:v>1</x:v>
      </x:c>
      <x:c r="N7" s="20" t="n">
        <x:v>1</x:v>
      </x:c>
      <x:c r="O7" s="20" t="n">
        <x:v>5</x:v>
      </x:c>
    </x:row>
    <x:row r="8" ht="23" customHeight="1">
      <x:c r="A8" s="2" t="str">
        <x:v>2026-09-22_Night</x:v>
      </x:c>
      <x:c r="B8" s="19" t="n">
        <x:v>51000</x:v>
      </x:c>
      <x:c r="C8" s="19" t="n">
        <x:v>0</x:v>
      </x:c>
      <x:c r="D8" s="19" t="n">
        <x:f>B8-C8</x:f>
        <x:v>51000</x:v>
      </x:c>
      <x:c r="E8" s="19" t="n">
        <x:v>16000</x:v>
      </x:c>
      <x:c r="F8" s="19" t="n">
        <x:v>3000</x:v>
      </x:c>
      <x:c r="G8" s="19" t="n">
        <x:f>E8-F8</x:f>
        <x:v>13000</x:v>
      </x:c>
      <x:c r="H8" s="19" t="n">
        <x:f>B8+E8</x:f>
        <x:v>67000</x:v>
      </x:c>
      <x:c r="I8" s="19" t="n">
        <x:f>C8+F8</x:f>
        <x:v>3000</x:v>
      </x:c>
      <x:c r="J8" s="19" t="n">
        <x:f>H8-I8</x:f>
        <x:v>64000</x:v>
      </x:c>
      <x:c r="K8" s="19" t="n">
        <x:f>K7+J8</x:f>
        <x:v>187000</x:v>
      </x:c>
      <x:c r="L8" s="20" t="n">
        <x:v>9</x:v>
      </x:c>
      <x:c r="M8" s="20" t="n">
        <x:v>2</x:v>
      </x:c>
      <x:c r="N8" s="20" t="n">
        <x:v>7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40000</x:v>
      </x:c>
      <x:c r="D9" s="19" t="n">
        <x:f>B9-C9</x:f>
        <x:v>-40000</x:v>
      </x:c>
      <x:c r="E9" s="19" t="n">
        <x:v>14000</x:v>
      </x:c>
      <x:c r="F9" s="19" t="n">
        <x:v>40000</x:v>
      </x:c>
      <x:c r="G9" s="19" t="n">
        <x:f>E9-F9</x:f>
        <x:v>-26000</x:v>
      </x:c>
      <x:c r="H9" s="19" t="n">
        <x:f>B9+E9</x:f>
        <x:v>14000</x:v>
      </x:c>
      <x:c r="I9" s="19" t="n">
        <x:f>C9+F9</x:f>
        <x:v>80000</x:v>
      </x:c>
      <x:c r="J9" s="19" t="n">
        <x:f>H9-I9</x:f>
        <x:v>-66000</x:v>
      </x:c>
      <x:c r="K9" s="19" t="n">
        <x:f>K8+J9</x:f>
        <x:v>121000</x:v>
      </x:c>
      <x:c r="L9" s="20" t="n">
        <x:v>4</x:v>
      </x:c>
      <x:c r="M9" s="20" t="n">
        <x:v>1</x:v>
      </x:c>
      <x:c r="N9" s="20" t="n">
        <x:v>3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79000</x:v>
      </x:c>
      <x:c r="D10" s="19" t="n">
        <x:f>B10-C10</x:f>
        <x:v>-79000</x:v>
      </x:c>
      <x:c r="E10" s="19" t="n">
        <x:v>14000</x:v>
      </x:c>
      <x:c r="F10" s="19" t="n">
        <x:v>60000</x:v>
      </x:c>
      <x:c r="G10" s="19" t="n">
        <x:f>E10-F10</x:f>
        <x:v>-46000</x:v>
      </x:c>
      <x:c r="H10" s="19" t="n">
        <x:f>B10+E10</x:f>
        <x:v>14000</x:v>
      </x:c>
      <x:c r="I10" s="19" t="n">
        <x:f>C10+F10</x:f>
        <x:v>139000</x:v>
      </x:c>
      <x:c r="J10" s="19" t="n">
        <x:f>H10-I10</x:f>
        <x:v>-125000</x:v>
      </x:c>
      <x:c r="K10" s="19" t="n">
        <x:f>K9+J10</x:f>
        <x:v>-4000</x:v>
      </x:c>
      <x:c r="L10" s="20" t="n">
        <x:v>5</x:v>
      </x:c>
      <x:c r="M10" s="20" t="n">
        <x:v>2</x:v>
      </x:c>
      <x:c r="N10" s="20" t="n">
        <x:v>3</x:v>
      </x:c>
      <x:c r="O10" s="20" t="n">
        <x:v>5</x:v>
      </x:c>
    </x:row>
    <x:row r="11" ht="23" customHeight="1">
      <x:c r="A11" s="2" t="str">
        <x:v>2026-09-25_Night</x:v>
      </x:c>
      <x:c r="B11" s="19" t="n">
        <x:v>26000</x:v>
      </x:c>
      <x:c r="C11" s="19" t="n">
        <x:v>0</x:v>
      </x:c>
      <x:c r="D11" s="19" t="n">
        <x:f>B11-C11</x:f>
        <x:v>26000</x:v>
      </x:c>
      <x:c r="E11" s="19" t="n">
        <x:v>0</x:v>
      </x:c>
      <x:c r="F11" s="19" t="n">
        <x:v>40000</x:v>
      </x:c>
      <x:c r="G11" s="19" t="n">
        <x:f>E11-F11</x:f>
        <x:v>-40000</x:v>
      </x:c>
      <x:c r="H11" s="19" t="n">
        <x:f>B11+E11</x:f>
        <x:v>26000</x:v>
      </x:c>
      <x:c r="I11" s="19" t="n">
        <x:f>C11+F11</x:f>
        <x:v>40000</x:v>
      </x:c>
      <x:c r="J11" s="19" t="n">
        <x:f>H11-I11</x:f>
        <x:v>-14000</x:v>
      </x:c>
      <x:c r="K11" s="19" t="n">
        <x:f>K10+J11</x:f>
        <x:v>-18000</x:v>
      </x:c>
      <x:c r="L11" s="20" t="n">
        <x:v>2</x:v>
      </x:c>
      <x:c r="M11" s="20" t="n">
        <x:v>1</x:v>
      </x:c>
      <x:c r="N11" s="20" t="n">
        <x:v>1</x:v>
      </x:c>
      <x:c r="O11" s="20" t="n">
        <x:v>5</x:v>
      </x:c>
    </x:row>
    <x:row r="12" ht="23" customHeight="1">
      <x:c r="A12" s="2" t="str">
        <x:v>2026-09-28_Night</x:v>
      </x:c>
      <x:c r="B12" s="19" t="n">
        <x:v>9000</x:v>
      </x:c>
      <x:c r="C12" s="19" t="n">
        <x:v>21000</x:v>
      </x:c>
      <x:c r="D12" s="19" t="n">
        <x:f>B12-C12</x:f>
        <x:v>-12000</x:v>
      </x:c>
      <x:c r="E12" s="19" t="n">
        <x:v>26000</x:v>
      </x:c>
      <x:c r="F12" s="19" t="n">
        <x:v>0</x:v>
      </x:c>
      <x:c r="G12" s="19" t="n">
        <x:f>E12-F12</x:f>
        <x:v>26000</x:v>
      </x:c>
      <x:c r="H12" s="19" t="n">
        <x:f>B12+E12</x:f>
        <x:v>35000</x:v>
      </x:c>
      <x:c r="I12" s="19" t="n">
        <x:f>C12+F12</x:f>
        <x:v>21000</x:v>
      </x:c>
      <x:c r="J12" s="19" t="n">
        <x:f>H12-I12</x:f>
        <x:v>14000</x:v>
      </x:c>
      <x:c r="K12" s="19" t="n">
        <x:f>K11+J12</x:f>
        <x:v>-4000</x:v>
      </x:c>
      <x:c r="L12" s="20" t="n">
        <x:v>3</x:v>
      </x:c>
      <x:c r="M12" s="20" t="n">
        <x:v>2</x:v>
      </x:c>
      <x:c r="N12" s="20" t="n">
        <x:v>1</x:v>
      </x:c>
      <x:c r="O12" s="20" t="n">
        <x:v>4</x:v>
      </x:c>
    </x:row>
    <x:row r="13" ht="23" customHeight="1">
      <x:c r="A13" s="2" t="str">
        <x:v>2026-09-29_Night</x:v>
      </x:c>
      <x:c r="B13" s="19" t="n">
        <x:v>0</x:v>
      </x:c>
      <x:c r="C13" s="19" t="n">
        <x:v>50000</x:v>
      </x:c>
      <x:c r="D13" s="19" t="n">
        <x:f>B13-C13</x:f>
        <x:v>-50000</x:v>
      </x:c>
      <x:c r="E13" s="19" t="n">
        <x:v>73000</x:v>
      </x:c>
      <x:c r="F13" s="19" t="n">
        <x:v>14000</x:v>
      </x:c>
      <x:c r="G13" s="19" t="n">
        <x:f>E13-F13</x:f>
        <x:v>59000</x:v>
      </x:c>
      <x:c r="H13" s="19" t="n">
        <x:f>B13+E13</x:f>
        <x:v>73000</x:v>
      </x:c>
      <x:c r="I13" s="19" t="n">
        <x:f>C13+F13</x:f>
        <x:v>64000</x:v>
      </x:c>
      <x:c r="J13" s="19" t="n">
        <x:f>H13-I13</x:f>
        <x:v>9000</x:v>
      </x:c>
      <x:c r="K13" s="19" t="n">
        <x:f>K12+J13</x:f>
        <x:v>5000</x:v>
      </x:c>
      <x:c r="L13" s="20" t="n">
        <x:v>5</x:v>
      </x:c>
      <x:c r="M13" s="20" t="n">
        <x:v>1</x:v>
      </x:c>
      <x:c r="N13" s="20" t="n">
        <x:v>4</x:v>
      </x:c>
      <x:c r="O13" s="20" t="n">
        <x:v>5</x:v>
      </x:c>
    </x:row>
    <x:row r="14" ht="23" customHeight="1">
      <x:c r="A14" s="2" t="str">
        <x:v>2026-09-30_Night</x:v>
      </x:c>
      <x:c r="B14" s="19" t="n">
        <x:v>32000</x:v>
      </x:c>
      <x:c r="C14" s="19" t="n">
        <x:v>0</x:v>
      </x:c>
      <x:c r="D14" s="19" t="n">
        <x:f>B14-C14</x:f>
        <x:v>32000</x:v>
      </x:c>
      <x:c r="E14" s="19" t="n">
        <x:v>65000</x:v>
      </x:c>
      <x:c r="F14" s="19" t="n">
        <x:v>52000</x:v>
      </x:c>
      <x:c r="G14" s="19" t="n">
        <x:f>E14-F14</x:f>
        <x:v>13000</x:v>
      </x:c>
      <x:c r="H14" s="19" t="n">
        <x:f>B14+E14</x:f>
        <x:v>97000</x:v>
      </x:c>
      <x:c r="I14" s="19" t="n">
        <x:f>C14+F14</x:f>
        <x:v>52000</x:v>
      </x:c>
      <x:c r="J14" s="19" t="n">
        <x:f>H14-I14</x:f>
        <x:v>45000</x:v>
      </x:c>
      <x:c r="K14" s="19" t="n">
        <x:f>K13+J14</x:f>
        <x:v>50000</x:v>
      </x:c>
      <x:c r="L14" s="20" t="n">
        <x:v>5</x:v>
      </x:c>
      <x:c r="M14" s="20" t="n">
        <x:v>1</x:v>
      </x:c>
      <x:c r="N14" s="20" t="n">
        <x:v>4</x:v>
      </x:c>
      <x:c r="O14" s="20" t="n">
        <x:v>5</x:v>
      </x:c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83000</x:v>
      </x:c>
      <x:c r="F15" s="19" t="n">
        <x:v>17000</x:v>
      </x:c>
      <x:c r="G15" s="19" t="n">
        <x:f>E15-F15</x:f>
        <x:v>66000</x:v>
      </x:c>
      <x:c r="H15" s="19" t="n">
        <x:f>B15+E15</x:f>
        <x:v>100000</x:v>
      </x:c>
      <x:c r="I15" s="19" t="n">
        <x:f>C15+F15</x:f>
        <x:v>75000</x:v>
      </x:c>
      <x:c r="J15" s="19" t="n">
        <x:f>H15-I15</x:f>
        <x:v>25000</x:v>
      </x:c>
      <x:c r="K15" s="19" t="n">
        <x:f>K14+J15</x:f>
        <x:v>75000</x:v>
      </x:c>
      <x:c r="L15" s="20" t="n">
        <x:v>11</x:v>
      </x:c>
      <x:c r="M15" s="20" t="n">
        <x:v>7</x:v>
      </x:c>
      <x:c r="N15" s="20" t="n">
        <x:v>4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48000</x:v>
      </x:c>
      <x:c r="D16" s="19" t="n">
        <x:f>B16-C16</x:f>
        <x:v>-48000</x:v>
      </x:c>
      <x:c r="E16" s="19" t="n">
        <x:v>24000</x:v>
      </x:c>
      <x:c r="F16" s="19" t="n">
        <x:v>110000</x:v>
      </x:c>
      <x:c r="G16" s="19" t="n">
        <x:f>E16-F16</x:f>
        <x:v>-86000</x:v>
      </x:c>
      <x:c r="H16" s="19" t="n">
        <x:f>B16+E16</x:f>
        <x:v>24000</x:v>
      </x:c>
      <x:c r="I16" s="19" t="n">
        <x:f>C16+F16</x:f>
        <x:v>158000</x:v>
      </x:c>
      <x:c r="J16" s="19" t="n">
        <x:f>H16-I16</x:f>
        <x:v>-134000</x:v>
      </x:c>
      <x:c r="K16" s="19" t="n">
        <x:f>K15+J16</x:f>
        <x:v>-59000</x:v>
      </x:c>
      <x:c r="L16" s="20" t="n">
        <x:v>8</x:v>
      </x:c>
      <x:c r="M16" s="20" t="n">
        <x:v>1</x:v>
      </x:c>
      <x:c r="N16" s="20" t="n">
        <x:v>7</x:v>
      </x:c>
      <x:c r="O16" s="20" t="n">
        <x:v>4</x:v>
      </x:c>
    </x:row>
    <x:row r="17" ht="23" customHeight="1">
      <x:c r="A17" s="2" t="str">
        <x:v>2026-10-05_Night</x:v>
      </x:c>
      <x:c r="B17" s="19" t="n">
        <x:v>53000</x:v>
      </x:c>
      <x:c r="C17" s="19" t="n">
        <x:v>0</x:v>
      </x:c>
      <x:c r="D17" s="19" t="n">
        <x:f>B17-C17</x:f>
        <x:v>53000</x:v>
      </x:c>
      <x:c r="E17" s="19" t="n">
        <x:v>0</x:v>
      </x:c>
      <x:c r="F17" s="19" t="n">
        <x:v>80000</x:v>
      </x:c>
      <x:c r="G17" s="19" t="n">
        <x:f>E17-F17</x:f>
        <x:v>-80000</x:v>
      </x:c>
      <x:c r="H17" s="19" t="n">
        <x:f>B17+E17</x:f>
        <x:v>53000</x:v>
      </x:c>
      <x:c r="I17" s="19" t="n">
        <x:f>C17+F17</x:f>
        <x:v>80000</x:v>
      </x:c>
      <x:c r="J17" s="19" t="n">
        <x:f>H17-I17</x:f>
        <x:v>-27000</x:v>
      </x:c>
      <x:c r="K17" s="19" t="n">
        <x:f>K16+J17</x:f>
        <x:v>-86000</x:v>
      </x:c>
      <x:c r="L17" s="20" t="n">
        <x:v>3</x:v>
      </x:c>
      <x:c r="M17" s="20" t="n">
        <x:v>1</x:v>
      </x:c>
      <x:c r="N17" s="20" t="n">
        <x:v>2</x:v>
      </x:c>
      <x:c r="O17" s="20" t="n">
        <x:v>5</x:v>
      </x:c>
    </x:row>
    <x:row r="18" ht="23" customHeight="1">
      <x:c r="A18" s="2" t="str">
        <x:v>2026-10-06_Night</x:v>
      </x:c>
      <x:c r="B18" s="19" t="n">
        <x:v>87000</x:v>
      </x:c>
      <x:c r="C18" s="19" t="n">
        <x:v>0</x:v>
      </x:c>
      <x:c r="D18" s="19" t="n">
        <x:f>B18-C18</x:f>
        <x:v>87000</x:v>
      </x:c>
      <x:c r="E18" s="19" t="n">
        <x:v>43000</x:v>
      </x:c>
      <x:c r="F18" s="19" t="n">
        <x:v>0</x:v>
      </x:c>
      <x:c r="G18" s="19" t="n">
        <x:f>E18-F18</x:f>
        <x:v>43000</x:v>
      </x:c>
      <x:c r="H18" s="19" t="n">
        <x:f>B18+E18</x:f>
        <x:v>130000</x:v>
      </x:c>
      <x:c r="I18" s="19" t="n">
        <x:f>C18+F18</x:f>
        <x:v>0</x:v>
      </x:c>
      <x:c r="J18" s="19" t="n">
        <x:f>H18-I18</x:f>
        <x:v>130000</x:v>
      </x:c>
      <x:c r="K18" s="19" t="n">
        <x:f>K17+J18</x:f>
        <x:v>44000</x:v>
      </x:c>
      <x:c r="L18" s="20" t="n">
        <x:v>4</x:v>
      </x:c>
      <x:c r="M18" s="20" t="n">
        <x:v>1</x:v>
      </x:c>
      <x:c r="N18" s="20" t="n">
        <x:v>3</x:v>
      </x:c>
      <x:c r="O18" s="20" t="n">
        <x:v>5</x:v>
      </x:c>
    </x:row>
    <x:row r="19" ht="23" customHeight="1">
      <x:c r="A19" s="2" t="str">
        <x:v>2026-10-07_Night</x:v>
      </x:c>
      <x:c r="B19" s="19" t="n">
        <x:v>0</x:v>
      </x:c>
      <x:c r="C19" s="19" t="n">
        <x:v>76000</x:v>
      </x:c>
      <x:c r="D19" s="19" t="n">
        <x:f>B19-C19</x:f>
        <x:v>-76000</x:v>
      </x:c>
      <x:c r="E19" s="19" t="n">
        <x:v>0</x:v>
      </x:c>
      <x:c r="F19" s="19" t="n">
        <x:v>54000</x:v>
      </x:c>
      <x:c r="G19" s="19" t="n">
        <x:f>E19-F19</x:f>
        <x:v>-54000</x:v>
      </x:c>
      <x:c r="H19" s="19" t="n">
        <x:f>B19+E19</x:f>
        <x:v>0</x:v>
      </x:c>
      <x:c r="I19" s="19" t="n">
        <x:f>C19+F19</x:f>
        <x:v>130000</x:v>
      </x:c>
      <x:c r="J19" s="19" t="n">
        <x:f>H19-I19</x:f>
        <x:v>-130000</x:v>
      </x:c>
      <x:c r="K19" s="19" t="n">
        <x:f>K18+J19</x:f>
        <x:v>-86000</x:v>
      </x:c>
      <x:c r="L19" s="20" t="n">
        <x:v>6</x:v>
      </x:c>
      <x:c r="M19" s="20" t="n">
        <x:v>3</x:v>
      </x:c>
      <x:c r="N19" s="20" t="n">
        <x:v>3</x:v>
      </x:c>
      <x:c r="O19" s="20" t="n">
        <x:v>5</x:v>
      </x:c>
    </x:row>
    <x:row r="20" ht="23" customHeight="1">
      <x:c r="A20" s="2" t="str">
        <x:v>2026-10-08_Night</x:v>
      </x:c>
      <x:c r="B20" s="19" t="n">
        <x:v>32000</x:v>
      </x:c>
      <x:c r="C20" s="19" t="n">
        <x:v>45000</x:v>
      </x:c>
      <x:c r="D20" s="19" t="n">
        <x:f>B20-C20</x:f>
        <x:v>-13000</x:v>
      </x:c>
      <x:c r="E20" s="19" t="n">
        <x:v>19000</x:v>
      </x:c>
      <x:c r="F20" s="19" t="n">
        <x:v>56000</x:v>
      </x:c>
      <x:c r="G20" s="19" t="n">
        <x:f>E20-F20</x:f>
        <x:v>-37000</x:v>
      </x:c>
      <x:c r="H20" s="19" t="n">
        <x:f>B20+E20</x:f>
        <x:v>51000</x:v>
      </x:c>
      <x:c r="I20" s="19" t="n">
        <x:f>C20+F20</x:f>
        <x:v>101000</x:v>
      </x:c>
      <x:c r="J20" s="19" t="n">
        <x:f>H20-I20</x:f>
        <x:v>-50000</x:v>
      </x:c>
      <x:c r="K20" s="19" t="n">
        <x:f>K19+J20</x:f>
        <x:v>-136000</x:v>
      </x:c>
      <x:c r="L20" s="20" t="n">
        <x:v>7</x:v>
      </x:c>
      <x:c r="M20" s="20" t="n">
        <x:v>4</x:v>
      </x:c>
      <x:c r="N20" s="20" t="n">
        <x:v>3</x:v>
      </x:c>
      <x:c r="O20" s="20" t="n">
        <x:v>6</x:v>
      </x:c>
    </x:row>
    <x:row r="21" ht="23" customHeight="1">
      <x:c r="A21" s="2" t="str">
        <x:v>2026-10-09_Night</x:v>
      </x:c>
      <x:c r="B21" s="19" t="n">
        <x:v>0</x:v>
      </x:c>
      <x:c r="C21" s="19" t="n">
        <x:v>46000</x:v>
      </x:c>
      <x:c r="D21" s="19" t="n">
        <x:f>B21-C21</x:f>
        <x:v>-46000</x:v>
      </x:c>
      <x:c r="E21" s="19" t="n">
        <x:v>11000</x:v>
      </x:c>
      <x:c r="F21" s="19" t="n">
        <x:v>0</x:v>
      </x:c>
      <x:c r="G21" s="19" t="n">
        <x:f>E21-F21</x:f>
        <x:v>11000</x:v>
      </x:c>
      <x:c r="H21" s="19" t="n">
        <x:f>B21+E21</x:f>
        <x:v>11000</x:v>
      </x:c>
      <x:c r="I21" s="19" t="n">
        <x:f>C21+F21</x:f>
        <x:v>46000</x:v>
      </x:c>
      <x:c r="J21" s="19" t="n">
        <x:f>H21-I21</x:f>
        <x:v>-35000</x:v>
      </x:c>
      <x:c r="K21" s="19" t="n">
        <x:f>K20+J21</x:f>
        <x:v>-171000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</x:row>
    <x:row r="22" ht="23" customHeight="1">
      <x:c r="A22" s="2" t="str">
        <x:v>2026-10-12_Night</x:v>
      </x:c>
      <x:c r="B22" s="19" t="n">
        <x:v>11000</x:v>
      </x:c>
      <x:c r="C22" s="19" t="n">
        <x:v>0</x:v>
      </x:c>
      <x:c r="D22" s="19" t="n">
        <x:f>B22-C22</x:f>
        <x:v>11000</x:v>
      </x:c>
      <x:c r="E22" s="19" t="n">
        <x:v>31000</x:v>
      </x:c>
      <x:c r="F22" s="19" t="n">
        <x:v>0</x:v>
      </x:c>
      <x:c r="G22" s="19" t="n">
        <x:f>E22-F22</x:f>
        <x:v>31000</x:v>
      </x:c>
      <x:c r="H22" s="19" t="n">
        <x:f>B22+E22</x:f>
        <x:v>42000</x:v>
      </x:c>
      <x:c r="I22" s="19" t="n">
        <x:f>C22+F22</x:f>
        <x:v>0</x:v>
      </x:c>
      <x:c r="J22" s="19" t="n">
        <x:f>H22-I22</x:f>
        <x:v>42000</x:v>
      </x:c>
      <x:c r="K22" s="19" t="n">
        <x:f>K21+J22</x:f>
        <x:v>-129000</x:v>
      </x:c>
      <x:c r="L22" s="20" t="n">
        <x:v>2</x:v>
      </x:c>
      <x:c r="M22" s="20" t="n">
        <x:v>1</x:v>
      </x:c>
      <x:c r="N22" s="20" t="n">
        <x:v>1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53000</x:v>
      </x:c>
      <x:c r="D23" s="19" t="n">
        <x:f>B23-C23</x:f>
        <x:v>-53000</x:v>
      </x:c>
      <x:c r="E23" s="19" t="n">
        <x:v>0</x:v>
      </x:c>
      <x:c r="F23" s="19" t="n">
        <x:v>28000</x:v>
      </x:c>
      <x:c r="G23" s="19" t="n">
        <x:f>E23-F23</x:f>
        <x:v>-28000</x:v>
      </x:c>
      <x:c r="H23" s="19" t="n">
        <x:f>B23+E23</x:f>
        <x:v>0</x:v>
      </x:c>
      <x:c r="I23" s="19" t="n">
        <x:f>C23+F23</x:f>
        <x:v>81000</x:v>
      </x:c>
      <x:c r="J23" s="19" t="n">
        <x:f>H23-I23</x:f>
        <x:v>-81000</x:v>
      </x:c>
      <x:c r="K23" s="19" t="n">
        <x:f>K22+J23</x:f>
        <x:v>-210000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80000</x:v>
      </x:c>
      <x:c r="D24" s="19" t="n">
        <x:f>B24-C24</x:f>
        <x:v>-80000</x:v>
      </x:c>
      <x:c r="E24" s="19" t="n">
        <x:v>193000</x:v>
      </x:c>
      <x:c r="F24" s="19" t="n">
        <x:v>61000</x:v>
      </x:c>
      <x:c r="G24" s="19" t="n">
        <x:f>E24-F24</x:f>
        <x:v>132000</x:v>
      </x:c>
      <x:c r="H24" s="19" t="n">
        <x:f>B24+E24</x:f>
        <x:v>193000</x:v>
      </x:c>
      <x:c r="I24" s="19" t="n">
        <x:f>C24+F24</x:f>
        <x:v>141000</x:v>
      </x:c>
      <x:c r="J24" s="19" t="n">
        <x:f>H24-I24</x:f>
        <x:v>52000</x:v>
      </x:c>
      <x:c r="K24" s="19" t="n">
        <x:f>K23+J24</x:f>
        <x:v>-158000</x:v>
      </x:c>
      <x:c r="L24" s="20" t="n">
        <x:v>6</x:v>
      </x:c>
      <x:c r="M24" s="20" t="n">
        <x:v>2</x:v>
      </x:c>
      <x:c r="N24" s="20" t="n">
        <x:v>4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50000</x:v>
      </x:c>
      <x:c r="D25" s="19" t="n">
        <x:f>B25-C25</x:f>
        <x:v>-50000</x:v>
      </x:c>
      <x:c r="E25" s="19" t="n">
        <x:v>67000</x:v>
      </x:c>
      <x:c r="F25" s="19" t="n">
        <x:v>53000</x:v>
      </x:c>
      <x:c r="G25" s="19" t="n">
        <x:f>E25-F25</x:f>
        <x:v>14000</x:v>
      </x:c>
      <x:c r="H25" s="19" t="n">
        <x:f>B25+E25</x:f>
        <x:v>67000</x:v>
      </x:c>
      <x:c r="I25" s="19" t="n">
        <x:f>C25+F25</x:f>
        <x:v>103000</x:v>
      </x:c>
      <x:c r="J25" s="19" t="n">
        <x:f>H25-I25</x:f>
        <x:v>-36000</x:v>
      </x:c>
      <x:c r="K25" s="19" t="n">
        <x:f>K24+J25</x:f>
        <x:v>-194000</x:v>
      </x:c>
      <x:c r="L25" s="20" t="n">
        <x:v>7</x:v>
      </x:c>
      <x:c r="M25" s="20" t="n">
        <x:v>1</x:v>
      </x:c>
      <x:c r="N25" s="20" t="n">
        <x:v>6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100000</x:v>
      </x:c>
      <x:c r="D26" s="19" t="n">
        <x:f>B26-C26</x:f>
        <x:v>-100000</x:v>
      </x:c>
      <x:c r="E26" s="19" t="n">
        <x:v>149000</x:v>
      </x:c>
      <x:c r="F26" s="19" t="n">
        <x:v>100000</x:v>
      </x:c>
      <x:c r="G26" s="19" t="n">
        <x:f>E26-F26</x:f>
        <x:v>49000</x:v>
      </x:c>
      <x:c r="H26" s="19" t="n">
        <x:f>B26+E26</x:f>
        <x:v>149000</x:v>
      </x:c>
      <x:c r="I26" s="19" t="n">
        <x:f>C26+F26</x:f>
        <x:v>200000</x:v>
      </x:c>
      <x:c r="J26" s="19" t="n">
        <x:f>H26-I26</x:f>
        <x:v>-51000</x:v>
      </x:c>
      <x:c r="K26" s="19" t="n">
        <x:f>K25+J26</x:f>
        <x:v>-245000</x:v>
      </x:c>
      <x:c r="L26" s="20" t="n">
        <x:v>14</x:v>
      </x:c>
      <x:c r="M26" s="20" t="n">
        <x:v>2</x:v>
      </x:c>
      <x:c r="N26" s="20" t="n">
        <x:v>12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20000</x:v>
      </x:c>
      <x:c r="D27" s="19" t="n">
        <x:f>B27-C27</x:f>
        <x:v>-20000</x:v>
      </x:c>
      <x:c r="E27" s="19" t="n">
        <x:v>41000</x:v>
      </x:c>
      <x:c r="F27" s="19" t="n">
        <x:v>24000</x:v>
      </x:c>
      <x:c r="G27" s="19" t="n">
        <x:f>E27-F27</x:f>
        <x:v>17000</x:v>
      </x:c>
      <x:c r="H27" s="19" t="n">
        <x:f>B27+E27</x:f>
        <x:v>41000</x:v>
      </x:c>
      <x:c r="I27" s="19" t="n">
        <x:f>C27+F27</x:f>
        <x:v>44000</x:v>
      </x:c>
      <x:c r="J27" s="19" t="n">
        <x:f>H27-I27</x:f>
        <x:v>-3000</x:v>
      </x:c>
      <x:c r="K27" s="19" t="n">
        <x:f>K26+J27</x:f>
        <x:v>-248000</x:v>
      </x:c>
      <x:c r="L27" s="20" t="n">
        <x:v>3</x:v>
      </x:c>
      <x:c r="M27" s="20" t="n">
        <x:v>1</x:v>
      </x:c>
      <x:c r="N27" s="20" t="n">
        <x:v>2</x:v>
      </x:c>
      <x:c r="O27" s="20" t="n">
        <x:v>5</x:v>
      </x:c>
    </x:row>
    <x:row r="28" ht="23" customHeight="1">
      <x:c r="A28" s="2" t="str">
        <x:v>2026-10-20_Night</x:v>
      </x:c>
      <x:c r="B28" s="19" t="n">
        <x:v>75000</x:v>
      </x:c>
      <x:c r="C28" s="19" t="n">
        <x:v>0</x:v>
      </x:c>
      <x:c r="D28" s="19" t="n">
        <x:f>B28-C28</x:f>
        <x:v>75000</x:v>
      </x:c>
      <x:c r="E28" s="19" t="n">
        <x:v>24000</x:v>
      </x:c>
      <x:c r="F28" s="19" t="n">
        <x:v>60000</x:v>
      </x:c>
      <x:c r="G28" s="19" t="n">
        <x:f>E28-F28</x:f>
        <x:v>-36000</x:v>
      </x:c>
      <x:c r="H28" s="19" t="n">
        <x:f>B28+E28</x:f>
        <x:v>99000</x:v>
      </x:c>
      <x:c r="I28" s="19" t="n">
        <x:f>C28+F28</x:f>
        <x:v>60000</x:v>
      </x:c>
      <x:c r="J28" s="19" t="n">
        <x:f>H28-I28</x:f>
        <x:v>39000</x:v>
      </x:c>
      <x:c r="K28" s="19" t="n">
        <x:f>K27+J28</x:f>
        <x:v>-209000</x:v>
      </x:c>
      <x:c r="L28" s="20" t="n">
        <x:v>10</x:v>
      </x:c>
      <x:c r="M28" s="20" t="n">
        <x:v>3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51000</x:v>
      </x:c>
      <x:c r="C29" s="19" t="n">
        <x:v>0</x:v>
      </x:c>
      <x:c r="D29" s="19" t="n">
        <x:f>B29-C29</x:f>
        <x:v>51000</x:v>
      </x:c>
      <x:c r="E29" s="19" t="n">
        <x:v>0</x:v>
      </x:c>
      <x:c r="F29" s="19" t="n">
        <x:v>22000</x:v>
      </x:c>
      <x:c r="G29" s="19" t="n">
        <x:f>E29-F29</x:f>
        <x:v>-22000</x:v>
      </x:c>
      <x:c r="H29" s="19" t="n">
        <x:f>B29+E29</x:f>
        <x:v>51000</x:v>
      </x:c>
      <x:c r="I29" s="19" t="n">
        <x:f>C29+F29</x:f>
        <x:v>22000</x:v>
      </x:c>
      <x:c r="J29" s="19" t="n">
        <x:f>H29-I29</x:f>
        <x:v>29000</x:v>
      </x:c>
      <x:c r="K29" s="19" t="n">
        <x:f>K28+J29</x:f>
        <x:v>-180000</x:v>
      </x:c>
      <x:c r="L29" s="20" t="n">
        <x:v>2</x:v>
      </x:c>
      <x:c r="M29" s="20" t="n">
        <x:v>1</x:v>
      </x:c>
      <x:c r="N29" s="20" t="n">
        <x:v>1</x:v>
      </x:c>
      <x:c r="O29" s="20" t="n">
        <x:v>4</x:v>
      </x:c>
    </x:row>
    <x:row r="30" ht="23" customHeight="1">
      <x:c r="A30" s="2" t="str">
        <x:v>2026-10-22_Night</x:v>
      </x:c>
      <x:c r="B30" s="19" t="n">
        <x:v>0</x:v>
      </x:c>
      <x:c r="C30" s="19" t="n">
        <x:v>83000</x:v>
      </x:c>
      <x:c r="D30" s="19" t="n">
        <x:f>B30-C30</x:f>
        <x:v>-83000</x:v>
      </x:c>
      <x:c r="E30" s="19" t="n">
        <x:v>0</x:v>
      </x:c>
      <x:c r="F30" s="19" t="n">
        <x:v>45000</x:v>
      </x:c>
      <x:c r="G30" s="19" t="n">
        <x:f>E30-F30</x:f>
        <x:v>-45000</x:v>
      </x:c>
      <x:c r="H30" s="19" t="n">
        <x:f>B30+E30</x:f>
        <x:v>0</x:v>
      </x:c>
      <x:c r="I30" s="19" t="n">
        <x:f>C30+F30</x:f>
        <x:v>128000</x:v>
      </x:c>
      <x:c r="J30" s="19" t="n">
        <x:f>H30-I30</x:f>
        <x:v>-128000</x:v>
      </x:c>
      <x:c r="K30" s="19" t="n">
        <x:f>K29+J30</x:f>
        <x:v>-308000</x:v>
      </x:c>
      <x:c r="L30" s="20" t="n">
        <x:v>5</x:v>
      </x:c>
      <x:c r="M30" s="20" t="n">
        <x:v>2</x:v>
      </x:c>
      <x:c r="N30" s="20" t="n">
        <x:v>3</x:v>
      </x:c>
      <x:c r="O30" s="20" t="n">
        <x:v>5</x:v>
      </x:c>
    </x:row>
    <x:row r="31" ht="23" customHeight="1">
      <x:c r="A31" s="2" t="str">
        <x:v>2026-10-23_Night</x:v>
      </x:c>
      <x:c r="B31" s="19" t="n">
        <x:v>0</x:v>
      </x:c>
      <x:c r="C31" s="19" t="n">
        <x:v>76000</x:v>
      </x:c>
      <x:c r="D31" s="19" t="n">
        <x:f>B31-C31</x:f>
        <x:v>-76000</x:v>
      </x:c>
      <x:c r="E31" s="19" t="n">
        <x:v>49000</x:v>
      </x:c>
      <x:c r="F31" s="19" t="n">
        <x:v>17000</x:v>
      </x:c>
      <x:c r="G31" s="19" t="n">
        <x:f>E31-F31</x:f>
        <x:v>32000</x:v>
      </x:c>
      <x:c r="H31" s="19" t="n">
        <x:f>B31+E31</x:f>
        <x:v>49000</x:v>
      </x:c>
      <x:c r="I31" s="19" t="n">
        <x:f>C31+F31</x:f>
        <x:v>93000</x:v>
      </x:c>
      <x:c r="J31" s="19" t="n">
        <x:f>H31-I31</x:f>
        <x:v>-44000</x:v>
      </x:c>
      <x:c r="K31" s="19" t="n">
        <x:f>K30+J31</x:f>
        <x:v>-352000</x:v>
      </x:c>
      <x:c r="L31" s="20" t="n">
        <x:v>7</x:v>
      </x:c>
      <x:c r="M31" s="20" t="n">
        <x:v>3</x:v>
      </x:c>
      <x:c r="N31" s="20" t="n">
        <x:v>4</x:v>
      </x:c>
      <x:c r="O31" s="20" t="n">
        <x:v>4</x:v>
      </x:c>
    </x:row>
    <x:row r="32" ht="23" customHeight="1">
      <x:c r="A32" s="24" t="str">
        <x:v>25夜累計</x:v>
      </x:c>
      <x:c r="B32" s="25" t="n">
        <x:f>SUM(B7:B31)</x:f>
        <x:v>495000</x:v>
      </x:c>
      <x:c r="C32" s="25" t="n">
        <x:f>SUM(C7:C31)</x:f>
        <x:v>925000</x:v>
      </x:c>
      <x:c r="D32" s="25" t="n">
        <x:f>B32-C32</x:f>
        <x:v>-430000</x:v>
      </x:c>
      <x:c r="E32" s="25" t="n">
        <x:f>SUM(E7:E31)</x:f>
        <x:v>1014000</x:v>
      </x:c>
      <x:c r="F32" s="25" t="n">
        <x:f>SUM(F7:F31)</x:f>
        <x:v>936000</x:v>
      </x:c>
      <x:c r="G32" s="25" t="n">
        <x:f>E32-F32</x:f>
        <x:v>78000</x:v>
      </x:c>
      <x:c r="H32" s="25" t="n">
        <x:f>B32+E32</x:f>
        <x:v>1509000</x:v>
      </x:c>
      <x:c r="I32" s="25" t="n">
        <x:f>C32+F32</x:f>
        <x:v>1861000</x:v>
      </x:c>
      <x:c r="J32" s="25" t="n">
        <x:f>H32-I32</x:f>
        <x:v>-352000</x:v>
      </x:c>
      <x:c r="K32" s="25" t="n">
        <x:f>K31</x:f>
        <x:v>-352000</x:v>
      </x:c>
      <x:c r="L32" s="26" t="n">
        <x:f>SUM(L7:L31)</x:f>
        <x:v>137</x:v>
      </x:c>
      <x:c r="M32" s="26" t="n">
        <x:f>SUM(M7:M31)</x:f>
        <x:v>48</x:v>
      </x:c>
      <x:c r="N32" s="26" t="n">
        <x:f>SUM(N7:N31)</x:f>
        <x:v>89</x:v>
      </x:c>
      <x:c r="O32" s="26" t="n">
        <x:f>MAX(O7:O31)</x:f>
        <x:v>7</x:v>
      </x:c>
    </x:row>
  </x:sheetData>
  <x:conditionalFormatting sqref="B7:K32">
    <x:cfRule type="cellIs" dxfId="1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7b70cffe4648ad"/>
  </x:tableParts>
</x:worksheet>
</file>

<file path=xl/worksheets/sheet1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R06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前半主担当枠5枚・US15分前全返済・後半全担当リセット15分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52000</x:v>
      </x:c>
      <x:c r="C7" s="19" t="n">
        <x:v>0</x:v>
      </x:c>
      <x:c r="D7" s="19" t="n">
        <x:f>B7-C7</x:f>
        <x:v>52000</x:v>
      </x:c>
      <x:c r="E7" s="19" t="n">
        <x:v>72000</x:v>
      </x:c>
      <x:c r="F7" s="19" t="n">
        <x:v>0</x:v>
      </x:c>
      <x:c r="G7" s="19" t="n">
        <x:f>E7-F7</x:f>
        <x:v>72000</x:v>
      </x:c>
      <x:c r="H7" s="19" t="n">
        <x:f>B7+E7</x:f>
        <x:v>124000</x:v>
      </x:c>
      <x:c r="I7" s="19" t="n">
        <x:f>C7+F7</x:f>
        <x:v>0</x:v>
      </x:c>
      <x:c r="J7" s="19" t="n">
        <x:f>H7-I7</x:f>
        <x:v>124000</x:v>
      </x:c>
      <x:c r="K7" s="19" t="n">
        <x:f>J7</x:f>
        <x:v>124000</x:v>
      </x:c>
      <x:c r="L7" s="20" t="n">
        <x:v>2</x:v>
      </x:c>
      <x:c r="M7" s="20" t="n">
        <x:v>1</x:v>
      </x:c>
      <x:c r="N7" s="20" t="n">
        <x:v>1</x:v>
      </x:c>
      <x:c r="O7" s="20" t="n">
        <x:v>5</x:v>
      </x:c>
    </x:row>
    <x:row r="8" ht="23" customHeight="1">
      <x:c r="A8" s="2" t="str">
        <x:v>2026-09-22_Night</x:v>
      </x:c>
      <x:c r="B8" s="19" t="n">
        <x:v>51000</x:v>
      </x:c>
      <x:c r="C8" s="19" t="n">
        <x:v>0</x:v>
      </x:c>
      <x:c r="D8" s="19" t="n">
        <x:f>B8-C8</x:f>
        <x:v>51000</x:v>
      </x:c>
      <x:c r="E8" s="19" t="n">
        <x:v>16000</x:v>
      </x:c>
      <x:c r="F8" s="19" t="n">
        <x:v>3000</x:v>
      </x:c>
      <x:c r="G8" s="19" t="n">
        <x:f>E8-F8</x:f>
        <x:v>13000</x:v>
      </x:c>
      <x:c r="H8" s="19" t="n">
        <x:f>B8+E8</x:f>
        <x:v>67000</x:v>
      </x:c>
      <x:c r="I8" s="19" t="n">
        <x:f>C8+F8</x:f>
        <x:v>3000</x:v>
      </x:c>
      <x:c r="J8" s="19" t="n">
        <x:f>H8-I8</x:f>
        <x:v>64000</x:v>
      </x:c>
      <x:c r="K8" s="19" t="n">
        <x:f>K7+J8</x:f>
        <x:v>188000</x:v>
      </x:c>
      <x:c r="L8" s="20" t="n">
        <x:v>9</x:v>
      </x:c>
      <x:c r="M8" s="20" t="n">
        <x:v>2</x:v>
      </x:c>
      <x:c r="N8" s="20" t="n">
        <x:v>7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40000</x:v>
      </x:c>
      <x:c r="D9" s="19" t="n">
        <x:f>B9-C9</x:f>
        <x:v>-40000</x:v>
      </x:c>
      <x:c r="E9" s="19" t="n">
        <x:v>14000</x:v>
      </x:c>
      <x:c r="F9" s="19" t="n">
        <x:v>40000</x:v>
      </x:c>
      <x:c r="G9" s="19" t="n">
        <x:f>E9-F9</x:f>
        <x:v>-26000</x:v>
      </x:c>
      <x:c r="H9" s="19" t="n">
        <x:f>B9+E9</x:f>
        <x:v>14000</x:v>
      </x:c>
      <x:c r="I9" s="19" t="n">
        <x:f>C9+F9</x:f>
        <x:v>80000</x:v>
      </x:c>
      <x:c r="J9" s="19" t="n">
        <x:f>H9-I9</x:f>
        <x:v>-66000</x:v>
      </x:c>
      <x:c r="K9" s="19" t="n">
        <x:f>K8+J9</x:f>
        <x:v>122000</x:v>
      </x:c>
      <x:c r="L9" s="20" t="n">
        <x:v>4</x:v>
      </x:c>
      <x:c r="M9" s="20" t="n">
        <x:v>1</x:v>
      </x:c>
      <x:c r="N9" s="20" t="n">
        <x:v>3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79000</x:v>
      </x:c>
      <x:c r="D10" s="19" t="n">
        <x:f>B10-C10</x:f>
        <x:v>-79000</x:v>
      </x:c>
      <x:c r="E10" s="19" t="n">
        <x:v>14000</x:v>
      </x:c>
      <x:c r="F10" s="19" t="n">
        <x:v>60000</x:v>
      </x:c>
      <x:c r="G10" s="19" t="n">
        <x:f>E10-F10</x:f>
        <x:v>-46000</x:v>
      </x:c>
      <x:c r="H10" s="19" t="n">
        <x:f>B10+E10</x:f>
        <x:v>14000</x:v>
      </x:c>
      <x:c r="I10" s="19" t="n">
        <x:f>C10+F10</x:f>
        <x:v>139000</x:v>
      </x:c>
      <x:c r="J10" s="19" t="n">
        <x:f>H10-I10</x:f>
        <x:v>-125000</x:v>
      </x:c>
      <x:c r="K10" s="19" t="n">
        <x:f>K9+J10</x:f>
        <x:v>-3000</x:v>
      </x:c>
      <x:c r="L10" s="20" t="n">
        <x:v>5</x:v>
      </x:c>
      <x:c r="M10" s="20" t="n">
        <x:v>2</x:v>
      </x:c>
      <x:c r="N10" s="20" t="n">
        <x:v>3</x:v>
      </x:c>
      <x:c r="O10" s="20" t="n">
        <x:v>5</x:v>
      </x:c>
    </x:row>
    <x:row r="11" ht="23" customHeight="1">
      <x:c r="A11" s="2" t="str">
        <x:v>2026-09-25_Night</x:v>
      </x:c>
      <x:c r="B11" s="19" t="n">
        <x:v>26000</x:v>
      </x:c>
      <x:c r="C11" s="19" t="n">
        <x:v>0</x:v>
      </x:c>
      <x:c r="D11" s="19" t="n">
        <x:f>B11-C11</x:f>
        <x:v>26000</x:v>
      </x:c>
      <x:c r="E11" s="19" t="n">
        <x:v>0</x:v>
      </x:c>
      <x:c r="F11" s="19" t="n">
        <x:v>40000</x:v>
      </x:c>
      <x:c r="G11" s="19" t="n">
        <x:f>E11-F11</x:f>
        <x:v>-40000</x:v>
      </x:c>
      <x:c r="H11" s="19" t="n">
        <x:f>B11+E11</x:f>
        <x:v>26000</x:v>
      </x:c>
      <x:c r="I11" s="19" t="n">
        <x:f>C11+F11</x:f>
        <x:v>40000</x:v>
      </x:c>
      <x:c r="J11" s="19" t="n">
        <x:f>H11-I11</x:f>
        <x:v>-14000</x:v>
      </x:c>
      <x:c r="K11" s="19" t="n">
        <x:f>K10+J11</x:f>
        <x:v>-17000</x:v>
      </x:c>
      <x:c r="L11" s="20" t="n">
        <x:v>2</x:v>
      </x:c>
      <x:c r="M11" s="20" t="n">
        <x:v>1</x:v>
      </x:c>
      <x:c r="N11" s="20" t="n">
        <x:v>1</x:v>
      </x:c>
      <x:c r="O11" s="20" t="n">
        <x:v>5</x:v>
      </x:c>
    </x:row>
    <x:row r="12" ht="23" customHeight="1">
      <x:c r="A12" s="2" t="str">
        <x:v>2026-09-28_Night</x:v>
      </x:c>
      <x:c r="B12" s="19" t="n">
        <x:v>0</x:v>
      </x:c>
      <x:c r="C12" s="19" t="n">
        <x:v>21000</x:v>
      </x:c>
      <x:c r="D12" s="19" t="n">
        <x:f>B12-C12</x:f>
        <x:v>-21000</x:v>
      </x:c>
      <x:c r="E12" s="19" t="n">
        <x:v>26000</x:v>
      </x:c>
      <x:c r="F12" s="19" t="n">
        <x:v>0</x:v>
      </x:c>
      <x:c r="G12" s="19" t="n">
        <x:f>E12-F12</x:f>
        <x:v>26000</x:v>
      </x:c>
      <x:c r="H12" s="19" t="n">
        <x:f>B12+E12</x:f>
        <x:v>26000</x:v>
      </x:c>
      <x:c r="I12" s="19" t="n">
        <x:f>C12+F12</x:f>
        <x:v>21000</x:v>
      </x:c>
      <x:c r="J12" s="19" t="n">
        <x:f>H12-I12</x:f>
        <x:v>5000</x:v>
      </x:c>
      <x:c r="K12" s="19" t="n">
        <x:f>K11+J12</x:f>
        <x:v>-12000</x:v>
      </x:c>
      <x:c r="L12" s="20" t="n">
        <x:v>2</x:v>
      </x:c>
      <x:c r="M12" s="20" t="n">
        <x:v>1</x:v>
      </x:c>
      <x:c r="N12" s="20" t="n">
        <x:v>1</x:v>
      </x:c>
      <x:c r="O12" s="20" t="n">
        <x:v>4</x:v>
      </x:c>
    </x:row>
    <x:row r="13" ht="23" customHeight="1">
      <x:c r="A13" s="2" t="str">
        <x:v>2026-09-29_Night</x:v>
      </x:c>
      <x:c r="B13" s="19" t="n">
        <x:v>0</x:v>
      </x:c>
      <x:c r="C13" s="19" t="n">
        <x:v>50000</x:v>
      </x:c>
      <x:c r="D13" s="19" t="n">
        <x:f>B13-C13</x:f>
        <x:v>-50000</x:v>
      </x:c>
      <x:c r="E13" s="19" t="n">
        <x:v>73000</x:v>
      </x:c>
      <x:c r="F13" s="19" t="n">
        <x:v>14000</x:v>
      </x:c>
      <x:c r="G13" s="19" t="n">
        <x:f>E13-F13</x:f>
        <x:v>59000</x:v>
      </x:c>
      <x:c r="H13" s="19" t="n">
        <x:f>B13+E13</x:f>
        <x:v>73000</x:v>
      </x:c>
      <x:c r="I13" s="19" t="n">
        <x:f>C13+F13</x:f>
        <x:v>64000</x:v>
      </x:c>
      <x:c r="J13" s="19" t="n">
        <x:f>H13-I13</x:f>
        <x:v>9000</x:v>
      </x:c>
      <x:c r="K13" s="19" t="n">
        <x:f>K12+J13</x:f>
        <x:v>-3000</x:v>
      </x:c>
      <x:c r="L13" s="20" t="n">
        <x:v>5</x:v>
      </x:c>
      <x:c r="M13" s="20" t="n">
        <x:v>1</x:v>
      </x:c>
      <x:c r="N13" s="20" t="n">
        <x:v>4</x:v>
      </x:c>
      <x:c r="O13" s="20" t="n">
        <x:v>5</x:v>
      </x:c>
    </x:row>
    <x:row r="14" ht="23" customHeight="1">
      <x:c r="A14" s="2" t="str">
        <x:v>2026-09-30_Night</x:v>
      </x:c>
      <x:c r="B14" s="19" t="n">
        <x:v>32000</x:v>
      </x:c>
      <x:c r="C14" s="19" t="n">
        <x:v>0</x:v>
      </x:c>
      <x:c r="D14" s="19" t="n">
        <x:f>B14-C14</x:f>
        <x:v>32000</x:v>
      </x:c>
      <x:c r="E14" s="19" t="n">
        <x:v>65000</x:v>
      </x:c>
      <x:c r="F14" s="19" t="n">
        <x:v>52000</x:v>
      </x:c>
      <x:c r="G14" s="19" t="n">
        <x:f>E14-F14</x:f>
        <x:v>13000</x:v>
      </x:c>
      <x:c r="H14" s="19" t="n">
        <x:f>B14+E14</x:f>
        <x:v>97000</x:v>
      </x:c>
      <x:c r="I14" s="19" t="n">
        <x:f>C14+F14</x:f>
        <x:v>52000</x:v>
      </x:c>
      <x:c r="J14" s="19" t="n">
        <x:f>H14-I14</x:f>
        <x:v>45000</x:v>
      </x:c>
      <x:c r="K14" s="19" t="n">
        <x:f>K13+J14</x:f>
        <x:v>42000</x:v>
      </x:c>
      <x:c r="L14" s="20" t="n">
        <x:v>5</x:v>
      </x:c>
      <x:c r="M14" s="20" t="n">
        <x:v>1</x:v>
      </x:c>
      <x:c r="N14" s="20" t="n">
        <x:v>4</x:v>
      </x:c>
      <x:c r="O14" s="20" t="n">
        <x:v>5</x:v>
      </x:c>
    </x:row>
    <x:row r="15" ht="23" customHeight="1">
      <x:c r="A15" s="2" t="str">
        <x:v>2026-10-01_Night</x:v>
      </x:c>
      <x:c r="B15" s="19" t="n">
        <x:v>0</x:v>
      </x:c>
      <x:c r="C15" s="19" t="n">
        <x:v>40000</x:v>
      </x:c>
      <x:c r="D15" s="19" t="n">
        <x:f>B15-C15</x:f>
        <x:v>-40000</x:v>
      </x:c>
      <x:c r="E15" s="19" t="n">
        <x:v>83000</x:v>
      </x:c>
      <x:c r="F15" s="19" t="n">
        <x:v>17000</x:v>
      </x:c>
      <x:c r="G15" s="19" t="n">
        <x:f>E15-F15</x:f>
        <x:v>66000</x:v>
      </x:c>
      <x:c r="H15" s="19" t="n">
        <x:f>B15+E15</x:f>
        <x:v>83000</x:v>
      </x:c>
      <x:c r="I15" s="19" t="n">
        <x:f>C15+F15</x:f>
        <x:v>57000</x:v>
      </x:c>
      <x:c r="J15" s="19" t="n">
        <x:f>H15-I15</x:f>
        <x:v>26000</x:v>
      </x:c>
      <x:c r="K15" s="19" t="n">
        <x:f>K14+J15</x:f>
        <x:v>68000</x:v>
      </x:c>
      <x:c r="L15" s="20" t="n">
        <x:v>6</x:v>
      </x:c>
      <x:c r="M15" s="20" t="n">
        <x:v>2</x:v>
      </x:c>
      <x:c r="N15" s="20" t="n">
        <x:v>4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48000</x:v>
      </x:c>
      <x:c r="D16" s="19" t="n">
        <x:f>B16-C16</x:f>
        <x:v>-48000</x:v>
      </x:c>
      <x:c r="E16" s="19" t="n">
        <x:v>24000</x:v>
      </x:c>
      <x:c r="F16" s="19" t="n">
        <x:v>110000</x:v>
      </x:c>
      <x:c r="G16" s="19" t="n">
        <x:f>E16-F16</x:f>
        <x:v>-86000</x:v>
      </x:c>
      <x:c r="H16" s="19" t="n">
        <x:f>B16+E16</x:f>
        <x:v>24000</x:v>
      </x:c>
      <x:c r="I16" s="19" t="n">
        <x:f>C16+F16</x:f>
        <x:v>158000</x:v>
      </x:c>
      <x:c r="J16" s="19" t="n">
        <x:f>H16-I16</x:f>
        <x:v>-134000</x:v>
      </x:c>
      <x:c r="K16" s="19" t="n">
        <x:f>K15+J16</x:f>
        <x:v>-66000</x:v>
      </x:c>
      <x:c r="L16" s="20" t="n">
        <x:v>8</x:v>
      </x:c>
      <x:c r="M16" s="20" t="n">
        <x:v>1</x:v>
      </x:c>
      <x:c r="N16" s="20" t="n">
        <x:v>7</x:v>
      </x:c>
      <x:c r="O16" s="20" t="n">
        <x:v>4</x:v>
      </x:c>
    </x:row>
    <x:row r="17" ht="23" customHeight="1">
      <x:c r="A17" s="2" t="str">
        <x:v>2026-10-05_Night</x:v>
      </x:c>
      <x:c r="B17" s="19" t="n">
        <x:v>53000</x:v>
      </x:c>
      <x:c r="C17" s="19" t="n">
        <x:v>0</x:v>
      </x:c>
      <x:c r="D17" s="19" t="n">
        <x:f>B17-C17</x:f>
        <x:v>53000</x:v>
      </x:c>
      <x:c r="E17" s="19" t="n">
        <x:v>0</x:v>
      </x:c>
      <x:c r="F17" s="19" t="n">
        <x:v>80000</x:v>
      </x:c>
      <x:c r="G17" s="19" t="n">
        <x:f>E17-F17</x:f>
        <x:v>-80000</x:v>
      </x:c>
      <x:c r="H17" s="19" t="n">
        <x:f>B17+E17</x:f>
        <x:v>53000</x:v>
      </x:c>
      <x:c r="I17" s="19" t="n">
        <x:f>C17+F17</x:f>
        <x:v>80000</x:v>
      </x:c>
      <x:c r="J17" s="19" t="n">
        <x:f>H17-I17</x:f>
        <x:v>-27000</x:v>
      </x:c>
      <x:c r="K17" s="19" t="n">
        <x:f>K16+J17</x:f>
        <x:v>-93000</x:v>
      </x:c>
      <x:c r="L17" s="20" t="n">
        <x:v>3</x:v>
      </x:c>
      <x:c r="M17" s="20" t="n">
        <x:v>1</x:v>
      </x:c>
      <x:c r="N17" s="20" t="n">
        <x:v>2</x:v>
      </x:c>
      <x:c r="O17" s="20" t="n">
        <x:v>5</x:v>
      </x:c>
    </x:row>
    <x:row r="18" ht="23" customHeight="1">
      <x:c r="A18" s="2" t="str">
        <x:v>2026-10-06_Night</x:v>
      </x:c>
      <x:c r="B18" s="19" t="n">
        <x:v>87000</x:v>
      </x:c>
      <x:c r="C18" s="19" t="n">
        <x:v>0</x:v>
      </x:c>
      <x:c r="D18" s="19" t="n">
        <x:f>B18-C18</x:f>
        <x:v>87000</x:v>
      </x:c>
      <x:c r="E18" s="19" t="n">
        <x:v>43000</x:v>
      </x:c>
      <x:c r="F18" s="19" t="n">
        <x:v>0</x:v>
      </x:c>
      <x:c r="G18" s="19" t="n">
        <x:f>E18-F18</x:f>
        <x:v>43000</x:v>
      </x:c>
      <x:c r="H18" s="19" t="n">
        <x:f>B18+E18</x:f>
        <x:v>130000</x:v>
      </x:c>
      <x:c r="I18" s="19" t="n">
        <x:f>C18+F18</x:f>
        <x:v>0</x:v>
      </x:c>
      <x:c r="J18" s="19" t="n">
        <x:f>H18-I18</x:f>
        <x:v>130000</x:v>
      </x:c>
      <x:c r="K18" s="19" t="n">
        <x:f>K17+J18</x:f>
        <x:v>37000</x:v>
      </x:c>
      <x:c r="L18" s="20" t="n">
        <x:v>4</x:v>
      </x:c>
      <x:c r="M18" s="20" t="n">
        <x:v>1</x:v>
      </x:c>
      <x:c r="N18" s="20" t="n">
        <x:v>3</x:v>
      </x:c>
      <x:c r="O18" s="20" t="n">
        <x:v>5</x:v>
      </x:c>
    </x:row>
    <x:row r="19" ht="23" customHeight="1">
      <x:c r="A19" s="2" t="str">
        <x:v>2026-10-07_Night</x:v>
      </x:c>
      <x:c r="B19" s="19" t="n">
        <x:v>0</x:v>
      </x:c>
      <x:c r="C19" s="19" t="n">
        <x:v>55000</x:v>
      </x:c>
      <x:c r="D19" s="19" t="n">
        <x:f>B19-C19</x:f>
        <x:v>-55000</x:v>
      </x:c>
      <x:c r="E19" s="19" t="n">
        <x:v>0</x:v>
      </x:c>
      <x:c r="F19" s="19" t="n">
        <x:v>54000</x:v>
      </x:c>
      <x:c r="G19" s="19" t="n">
        <x:f>E19-F19</x:f>
        <x:v>-54000</x:v>
      </x:c>
      <x:c r="H19" s="19" t="n">
        <x:f>B19+E19</x:f>
        <x:v>0</x:v>
      </x:c>
      <x:c r="I19" s="19" t="n">
        <x:f>C19+F19</x:f>
        <x:v>109000</x:v>
      </x:c>
      <x:c r="J19" s="19" t="n">
        <x:f>H19-I19</x:f>
        <x:v>-109000</x:v>
      </x:c>
      <x:c r="K19" s="19" t="n">
        <x:f>K18+J19</x:f>
        <x:v>-72000</x:v>
      </x:c>
      <x:c r="L19" s="20" t="n">
        <x:v>4</x:v>
      </x:c>
      <x:c r="M19" s="20" t="n">
        <x:v>1</x:v>
      </x:c>
      <x:c r="N19" s="20" t="n">
        <x:v>3</x:v>
      </x:c>
      <x:c r="O19" s="20" t="n">
        <x:v>5</x:v>
      </x:c>
    </x:row>
    <x:row r="20" ht="23" customHeight="1">
      <x:c r="A20" s="2" t="str">
        <x:v>2026-10-08_Night</x:v>
      </x:c>
      <x:c r="B20" s="19" t="n">
        <x:v>14000</x:v>
      </x:c>
      <x:c r="C20" s="19" t="n">
        <x:v>45000</x:v>
      </x:c>
      <x:c r="D20" s="19" t="n">
        <x:f>B20-C20</x:f>
        <x:v>-31000</x:v>
      </x:c>
      <x:c r="E20" s="19" t="n">
        <x:v>19000</x:v>
      </x:c>
      <x:c r="F20" s="19" t="n">
        <x:v>56000</x:v>
      </x:c>
      <x:c r="G20" s="19" t="n">
        <x:f>E20-F20</x:f>
        <x:v>-37000</x:v>
      </x:c>
      <x:c r="H20" s="19" t="n">
        <x:f>B20+E20</x:f>
        <x:v>33000</x:v>
      </x:c>
      <x:c r="I20" s="19" t="n">
        <x:f>C20+F20</x:f>
        <x:v>101000</x:v>
      </x:c>
      <x:c r="J20" s="19" t="n">
        <x:f>H20-I20</x:f>
        <x:v>-68000</x:v>
      </x:c>
      <x:c r="K20" s="19" t="n">
        <x:f>K19+J20</x:f>
        <x:v>-140000</x:v>
      </x:c>
      <x:c r="L20" s="20" t="n">
        <x:v>5</x:v>
      </x:c>
      <x:c r="M20" s="20" t="n">
        <x:v>2</x:v>
      </x:c>
      <x:c r="N20" s="20" t="n">
        <x:v>3</x:v>
      </x:c>
      <x:c r="O20" s="20" t="n">
        <x:v>5</x:v>
      </x:c>
    </x:row>
    <x:row r="21" ht="23" customHeight="1">
      <x:c r="A21" s="2" t="str">
        <x:v>2026-10-09_Night</x:v>
      </x:c>
      <x:c r="B21" s="19" t="n">
        <x:v>0</x:v>
      </x:c>
      <x:c r="C21" s="19" t="n">
        <x:v>46000</x:v>
      </x:c>
      <x:c r="D21" s="19" t="n">
        <x:f>B21-C21</x:f>
        <x:v>-46000</x:v>
      </x:c>
      <x:c r="E21" s="19" t="n">
        <x:v>11000</x:v>
      </x:c>
      <x:c r="F21" s="19" t="n">
        <x:v>0</x:v>
      </x:c>
      <x:c r="G21" s="19" t="n">
        <x:f>E21-F21</x:f>
        <x:v>11000</x:v>
      </x:c>
      <x:c r="H21" s="19" t="n">
        <x:f>B21+E21</x:f>
        <x:v>11000</x:v>
      </x:c>
      <x:c r="I21" s="19" t="n">
        <x:f>C21+F21</x:f>
        <x:v>46000</x:v>
      </x:c>
      <x:c r="J21" s="19" t="n">
        <x:f>H21-I21</x:f>
        <x:v>-35000</x:v>
      </x:c>
      <x:c r="K21" s="19" t="n">
        <x:f>K20+J21</x:f>
        <x:v>-175000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</x:row>
    <x:row r="22" ht="23" customHeight="1">
      <x:c r="A22" s="2" t="str">
        <x:v>2026-10-12_Night</x:v>
      </x:c>
      <x:c r="B22" s="19" t="n">
        <x:v>11000</x:v>
      </x:c>
      <x:c r="C22" s="19" t="n">
        <x:v>0</x:v>
      </x:c>
      <x:c r="D22" s="19" t="n">
        <x:f>B22-C22</x:f>
        <x:v>11000</x:v>
      </x:c>
      <x:c r="E22" s="19" t="n">
        <x:v>31000</x:v>
      </x:c>
      <x:c r="F22" s="19" t="n">
        <x:v>0</x:v>
      </x:c>
      <x:c r="G22" s="19" t="n">
        <x:f>E22-F22</x:f>
        <x:v>31000</x:v>
      </x:c>
      <x:c r="H22" s="19" t="n">
        <x:f>B22+E22</x:f>
        <x:v>42000</x:v>
      </x:c>
      <x:c r="I22" s="19" t="n">
        <x:f>C22+F22</x:f>
        <x:v>0</x:v>
      </x:c>
      <x:c r="J22" s="19" t="n">
        <x:f>H22-I22</x:f>
        <x:v>42000</x:v>
      </x:c>
      <x:c r="K22" s="19" t="n">
        <x:f>K21+J22</x:f>
        <x:v>-133000</x:v>
      </x:c>
      <x:c r="L22" s="20" t="n">
        <x:v>2</x:v>
      </x:c>
      <x:c r="M22" s="20" t="n">
        <x:v>1</x:v>
      </x:c>
      <x:c r="N22" s="20" t="n">
        <x:v>1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53000</x:v>
      </x:c>
      <x:c r="D23" s="19" t="n">
        <x:f>B23-C23</x:f>
        <x:v>-53000</x:v>
      </x:c>
      <x:c r="E23" s="19" t="n">
        <x:v>0</x:v>
      </x:c>
      <x:c r="F23" s="19" t="n">
        <x:v>28000</x:v>
      </x:c>
      <x:c r="G23" s="19" t="n">
        <x:f>E23-F23</x:f>
        <x:v>-28000</x:v>
      </x:c>
      <x:c r="H23" s="19" t="n">
        <x:f>B23+E23</x:f>
        <x:v>0</x:v>
      </x:c>
      <x:c r="I23" s="19" t="n">
        <x:f>C23+F23</x:f>
        <x:v>81000</x:v>
      </x:c>
      <x:c r="J23" s="19" t="n">
        <x:f>H23-I23</x:f>
        <x:v>-81000</x:v>
      </x:c>
      <x:c r="K23" s="19" t="n">
        <x:f>K22+J23</x:f>
        <x:v>-214000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80000</x:v>
      </x:c>
      <x:c r="D24" s="19" t="n">
        <x:f>B24-C24</x:f>
        <x:v>-80000</x:v>
      </x:c>
      <x:c r="E24" s="19" t="n">
        <x:v>193000</x:v>
      </x:c>
      <x:c r="F24" s="19" t="n">
        <x:v>61000</x:v>
      </x:c>
      <x:c r="G24" s="19" t="n">
        <x:f>E24-F24</x:f>
        <x:v>132000</x:v>
      </x:c>
      <x:c r="H24" s="19" t="n">
        <x:f>B24+E24</x:f>
        <x:v>193000</x:v>
      </x:c>
      <x:c r="I24" s="19" t="n">
        <x:f>C24+F24</x:f>
        <x:v>141000</x:v>
      </x:c>
      <x:c r="J24" s="19" t="n">
        <x:f>H24-I24</x:f>
        <x:v>52000</x:v>
      </x:c>
      <x:c r="K24" s="19" t="n">
        <x:f>K23+J24</x:f>
        <x:v>-162000</x:v>
      </x:c>
      <x:c r="L24" s="20" t="n">
        <x:v>6</x:v>
      </x:c>
      <x:c r="M24" s="20" t="n">
        <x:v>2</x:v>
      </x:c>
      <x:c r="N24" s="20" t="n">
        <x:v>4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50000</x:v>
      </x:c>
      <x:c r="D25" s="19" t="n">
        <x:f>B25-C25</x:f>
        <x:v>-50000</x:v>
      </x:c>
      <x:c r="E25" s="19" t="n">
        <x:v>67000</x:v>
      </x:c>
      <x:c r="F25" s="19" t="n">
        <x:v>53000</x:v>
      </x:c>
      <x:c r="G25" s="19" t="n">
        <x:f>E25-F25</x:f>
        <x:v>14000</x:v>
      </x:c>
      <x:c r="H25" s="19" t="n">
        <x:f>B25+E25</x:f>
        <x:v>67000</x:v>
      </x:c>
      <x:c r="I25" s="19" t="n">
        <x:f>C25+F25</x:f>
        <x:v>103000</x:v>
      </x:c>
      <x:c r="J25" s="19" t="n">
        <x:f>H25-I25</x:f>
        <x:v>-36000</x:v>
      </x:c>
      <x:c r="K25" s="19" t="n">
        <x:f>K24+J25</x:f>
        <x:v>-198000</x:v>
      </x:c>
      <x:c r="L25" s="20" t="n">
        <x:v>7</x:v>
      </x:c>
      <x:c r="M25" s="20" t="n">
        <x:v>1</x:v>
      </x:c>
      <x:c r="N25" s="20" t="n">
        <x:v>6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100000</x:v>
      </x:c>
      <x:c r="D26" s="19" t="n">
        <x:f>B26-C26</x:f>
        <x:v>-100000</x:v>
      </x:c>
      <x:c r="E26" s="19" t="n">
        <x:v>149000</x:v>
      </x:c>
      <x:c r="F26" s="19" t="n">
        <x:v>100000</x:v>
      </x:c>
      <x:c r="G26" s="19" t="n">
        <x:f>E26-F26</x:f>
        <x:v>49000</x:v>
      </x:c>
      <x:c r="H26" s="19" t="n">
        <x:f>B26+E26</x:f>
        <x:v>149000</x:v>
      </x:c>
      <x:c r="I26" s="19" t="n">
        <x:f>C26+F26</x:f>
        <x:v>200000</x:v>
      </x:c>
      <x:c r="J26" s="19" t="n">
        <x:f>H26-I26</x:f>
        <x:v>-51000</x:v>
      </x:c>
      <x:c r="K26" s="19" t="n">
        <x:f>K25+J26</x:f>
        <x:v>-249000</x:v>
      </x:c>
      <x:c r="L26" s="20" t="n">
        <x:v>14</x:v>
      </x:c>
      <x:c r="M26" s="20" t="n">
        <x:v>2</x:v>
      </x:c>
      <x:c r="N26" s="20" t="n">
        <x:v>12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20000</x:v>
      </x:c>
      <x:c r="D27" s="19" t="n">
        <x:f>B27-C27</x:f>
        <x:v>-20000</x:v>
      </x:c>
      <x:c r="E27" s="19" t="n">
        <x:v>41000</x:v>
      </x:c>
      <x:c r="F27" s="19" t="n">
        <x:v>24000</x:v>
      </x:c>
      <x:c r="G27" s="19" t="n">
        <x:f>E27-F27</x:f>
        <x:v>17000</x:v>
      </x:c>
      <x:c r="H27" s="19" t="n">
        <x:f>B27+E27</x:f>
        <x:v>41000</x:v>
      </x:c>
      <x:c r="I27" s="19" t="n">
        <x:f>C27+F27</x:f>
        <x:v>44000</x:v>
      </x:c>
      <x:c r="J27" s="19" t="n">
        <x:f>H27-I27</x:f>
        <x:v>-3000</x:v>
      </x:c>
      <x:c r="K27" s="19" t="n">
        <x:f>K26+J27</x:f>
        <x:v>-252000</x:v>
      </x:c>
      <x:c r="L27" s="20" t="n">
        <x:v>3</x:v>
      </x:c>
      <x:c r="M27" s="20" t="n">
        <x:v>1</x:v>
      </x:c>
      <x:c r="N27" s="20" t="n">
        <x:v>2</x:v>
      </x:c>
      <x:c r="O27" s="20" t="n">
        <x:v>5</x:v>
      </x:c>
    </x:row>
    <x:row r="28" ht="23" customHeight="1">
      <x:c r="A28" s="2" t="str">
        <x:v>2026-10-20_Night</x:v>
      </x:c>
      <x:c r="B28" s="19" t="n">
        <x:v>46000</x:v>
      </x:c>
      <x:c r="C28" s="19" t="n">
        <x:v>0</x:v>
      </x:c>
      <x:c r="D28" s="19" t="n">
        <x:f>B28-C28</x:f>
        <x:v>46000</x:v>
      </x:c>
      <x:c r="E28" s="19" t="n">
        <x:v>24000</x:v>
      </x:c>
      <x:c r="F28" s="19" t="n">
        <x:v>60000</x:v>
      </x:c>
      <x:c r="G28" s="19" t="n">
        <x:f>E28-F28</x:f>
        <x:v>-36000</x:v>
      </x:c>
      <x:c r="H28" s="19" t="n">
        <x:f>B28+E28</x:f>
        <x:v>70000</x:v>
      </x:c>
      <x:c r="I28" s="19" t="n">
        <x:f>C28+F28</x:f>
        <x:v>60000</x:v>
      </x:c>
      <x:c r="J28" s="19" t="n">
        <x:f>H28-I28</x:f>
        <x:v>10000</x:v>
      </x:c>
      <x:c r="K28" s="19" t="n">
        <x:f>K27+J28</x:f>
        <x:v>-242000</x:v>
      </x:c>
      <x:c r="L28" s="20" t="n">
        <x:v>8</x:v>
      </x:c>
      <x:c r="M28" s="20" t="n">
        <x:v>1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51000</x:v>
      </x:c>
      <x:c r="C29" s="19" t="n">
        <x:v>0</x:v>
      </x:c>
      <x:c r="D29" s="19" t="n">
        <x:f>B29-C29</x:f>
        <x:v>51000</x:v>
      </x:c>
      <x:c r="E29" s="19" t="n">
        <x:v>0</x:v>
      </x:c>
      <x:c r="F29" s="19" t="n">
        <x:v>22000</x:v>
      </x:c>
      <x:c r="G29" s="19" t="n">
        <x:f>E29-F29</x:f>
        <x:v>-22000</x:v>
      </x:c>
      <x:c r="H29" s="19" t="n">
        <x:f>B29+E29</x:f>
        <x:v>51000</x:v>
      </x:c>
      <x:c r="I29" s="19" t="n">
        <x:f>C29+F29</x:f>
        <x:v>22000</x:v>
      </x:c>
      <x:c r="J29" s="19" t="n">
        <x:f>H29-I29</x:f>
        <x:v>29000</x:v>
      </x:c>
      <x:c r="K29" s="19" t="n">
        <x:f>K28+J29</x:f>
        <x:v>-213000</x:v>
      </x:c>
      <x:c r="L29" s="20" t="n">
        <x:v>2</x:v>
      </x:c>
      <x:c r="M29" s="20" t="n">
        <x:v>1</x:v>
      </x:c>
      <x:c r="N29" s="20" t="n">
        <x:v>1</x:v>
      </x:c>
      <x:c r="O29" s="20" t="n">
        <x:v>4</x:v>
      </x:c>
    </x:row>
    <x:row r="30" ht="23" customHeight="1">
      <x:c r="A30" s="2" t="str">
        <x:v>2026-10-22_Night</x:v>
      </x:c>
      <x:c r="B30" s="19" t="n">
        <x:v>0</x:v>
      </x:c>
      <x:c r="C30" s="19" t="n">
        <x:v>83000</x:v>
      </x:c>
      <x:c r="D30" s="19" t="n">
        <x:f>B30-C30</x:f>
        <x:v>-83000</x:v>
      </x:c>
      <x:c r="E30" s="19" t="n">
        <x:v>0</x:v>
      </x:c>
      <x:c r="F30" s="19" t="n">
        <x:v>45000</x:v>
      </x:c>
      <x:c r="G30" s="19" t="n">
        <x:f>E30-F30</x:f>
        <x:v>-45000</x:v>
      </x:c>
      <x:c r="H30" s="19" t="n">
        <x:f>B30+E30</x:f>
        <x:v>0</x:v>
      </x:c>
      <x:c r="I30" s="19" t="n">
        <x:f>C30+F30</x:f>
        <x:v>128000</x:v>
      </x:c>
      <x:c r="J30" s="19" t="n">
        <x:f>H30-I30</x:f>
        <x:v>-128000</x:v>
      </x:c>
      <x:c r="K30" s="19" t="n">
        <x:f>K29+J30</x:f>
        <x:v>-341000</x:v>
      </x:c>
      <x:c r="L30" s="20" t="n">
        <x:v>5</x:v>
      </x:c>
      <x:c r="M30" s="20" t="n">
        <x:v>2</x:v>
      </x:c>
      <x:c r="N30" s="20" t="n">
        <x:v>3</x:v>
      </x:c>
      <x:c r="O30" s="20" t="n">
        <x:v>5</x:v>
      </x:c>
    </x:row>
    <x:row r="31" ht="23" customHeight="1">
      <x:c r="A31" s="2" t="str">
        <x:v>2026-10-23_Night</x:v>
      </x:c>
      <x:c r="B31" s="19" t="n">
        <x:v>0</x:v>
      </x:c>
      <x:c r="C31" s="19" t="n">
        <x:v>45000</x:v>
      </x:c>
      <x:c r="D31" s="19" t="n">
        <x:f>B31-C31</x:f>
        <x:v>-45000</x:v>
      </x:c>
      <x:c r="E31" s="19" t="n">
        <x:v>49000</x:v>
      </x:c>
      <x:c r="F31" s="19" t="n">
        <x:v>17000</x:v>
      </x:c>
      <x:c r="G31" s="19" t="n">
        <x:f>E31-F31</x:f>
        <x:v>32000</x:v>
      </x:c>
      <x:c r="H31" s="19" t="n">
        <x:f>B31+E31</x:f>
        <x:v>49000</x:v>
      </x:c>
      <x:c r="I31" s="19" t="n">
        <x:f>C31+F31</x:f>
        <x:v>62000</x:v>
      </x:c>
      <x:c r="J31" s="19" t="n">
        <x:f>H31-I31</x:f>
        <x:v>-13000</x:v>
      </x:c>
      <x:c r="K31" s="19" t="n">
        <x:f>K30+J31</x:f>
        <x:v>-354000</x:v>
      </x:c>
      <x:c r="L31" s="20" t="n">
        <x:v>5</x:v>
      </x:c>
      <x:c r="M31" s="20" t="n">
        <x:v>1</x:v>
      </x:c>
      <x:c r="N31" s="20" t="n">
        <x:v>4</x:v>
      </x:c>
      <x:c r="O31" s="20" t="n">
        <x:v>4</x:v>
      </x:c>
    </x:row>
    <x:row r="32" ht="23" customHeight="1">
      <x:c r="A32" s="24" t="str">
        <x:v>25夜累計</x:v>
      </x:c>
      <x:c r="B32" s="25" t="n">
        <x:f>SUM(B7:B31)</x:f>
        <x:v>423000</x:v>
      </x:c>
      <x:c r="C32" s="25" t="n">
        <x:f>SUM(C7:C31)</x:f>
        <x:v>855000</x:v>
      </x:c>
      <x:c r="D32" s="25" t="n">
        <x:f>B32-C32</x:f>
        <x:v>-432000</x:v>
      </x:c>
      <x:c r="E32" s="25" t="n">
        <x:f>SUM(E7:E31)</x:f>
        <x:v>1014000</x:v>
      </x:c>
      <x:c r="F32" s="25" t="n">
        <x:f>SUM(F7:F31)</x:f>
        <x:v>936000</x:v>
      </x:c>
      <x:c r="G32" s="25" t="n">
        <x:f>E32-F32</x:f>
        <x:v>78000</x:v>
      </x:c>
      <x:c r="H32" s="25" t="n">
        <x:f>B32+E32</x:f>
        <x:v>1437000</x:v>
      </x:c>
      <x:c r="I32" s="25" t="n">
        <x:f>C32+F32</x:f>
        <x:v>1791000</x:v>
      </x:c>
      <x:c r="J32" s="25" t="n">
        <x:f>H32-I32</x:f>
        <x:v>-354000</x:v>
      </x:c>
      <x:c r="K32" s="25" t="n">
        <x:f>K31</x:f>
        <x:v>-354000</x:v>
      </x:c>
      <x:c r="L32" s="26" t="n">
        <x:f>SUM(L7:L31)</x:f>
        <x:v>123</x:v>
      </x:c>
      <x:c r="M32" s="26" t="n">
        <x:f>SUM(M7:M31)</x:f>
        <x:v>34</x:v>
      </x:c>
      <x:c r="N32" s="26" t="n">
        <x:f>SUM(N7:N31)</x:f>
        <x:v>89</x:v>
      </x:c>
      <x:c r="O32" s="26" t="n">
        <x:f>MAX(O7:O31)</x:f>
        <x:v>7</x:v>
      </x:c>
    </x:row>
  </x:sheetData>
  <x:conditionalFormatting sqref="B7:K32">
    <x:cfRule type="cellIs" dxfId="1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a9160717fc4043"/>
  </x:tableParts>
</x:worksheet>
</file>

<file path=xl/worksheets/sheet17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R07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前半追加3枚＋別入口2枚・US15分前全返済・後半全担当リセット15分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72000</x:v>
      </x:c>
      <x:c r="F7" s="19" t="n">
        <x:v>0</x:v>
      </x:c>
      <x:c r="G7" s="19" t="n">
        <x:f>E7-F7</x:f>
        <x:v>72000</x:v>
      </x:c>
      <x:c r="H7" s="19" t="n">
        <x:f>B7+E7</x:f>
        <x:v>72000</x:v>
      </x:c>
      <x:c r="I7" s="19" t="n">
        <x:f>C7+F7</x:f>
        <x:v>0</x:v>
      </x:c>
      <x:c r="J7" s="19" t="n">
        <x:f>H7-I7</x:f>
        <x:v>72000</x:v>
      </x:c>
      <x:c r="K7" s="19" t="n">
        <x:f>J7</x:f>
        <x:v>72000</x:v>
      </x:c>
      <x:c r="L7" s="20" t="n">
        <x:v>1</x:v>
      </x:c>
      <x:c r="M7" s="20" t="n">
        <x:v>0</x:v>
      </x:c>
      <x:c r="N7" s="20" t="n">
        <x:v>1</x:v>
      </x:c>
      <x:c r="O7" s="20" t="n">
        <x:v>4</x:v>
      </x:c>
    </x:row>
    <x:row r="8" ht="23" customHeight="1">
      <x:c r="A8" s="2" t="str">
        <x:v>2026-09-22_Night</x:v>
      </x:c>
      <x:c r="B8" s="19" t="n">
        <x:v>0</x:v>
      </x:c>
      <x:c r="C8" s="19" t="n">
        <x:v>0</x:v>
      </x:c>
      <x:c r="D8" s="19" t="n">
        <x:f>B8-C8</x:f>
        <x:v>0</x:v>
      </x:c>
      <x:c r="E8" s="19" t="n">
        <x:v>16000</x:v>
      </x:c>
      <x:c r="F8" s="19" t="n">
        <x:v>3000</x:v>
      </x:c>
      <x:c r="G8" s="19" t="n">
        <x:f>E8-F8</x:f>
        <x:v>13000</x:v>
      </x:c>
      <x:c r="H8" s="19" t="n">
        <x:f>B8+E8</x:f>
        <x:v>16000</x:v>
      </x:c>
      <x:c r="I8" s="19" t="n">
        <x:f>C8+F8</x:f>
        <x:v>3000</x:v>
      </x:c>
      <x:c r="J8" s="19" t="n">
        <x:f>H8-I8</x:f>
        <x:v>13000</x:v>
      </x:c>
      <x:c r="K8" s="19" t="n">
        <x:f>K7+J8</x:f>
        <x:v>85000</x:v>
      </x:c>
      <x:c r="L8" s="20" t="n">
        <x:v>7</x:v>
      </x:c>
      <x:c r="M8" s="20" t="n">
        <x:v>0</x:v>
      </x:c>
      <x:c r="N8" s="20" t="n">
        <x:v>7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14000</x:v>
      </x:c>
      <x:c r="F9" s="19" t="n">
        <x:v>40000</x:v>
      </x:c>
      <x:c r="G9" s="19" t="n">
        <x:f>E9-F9</x:f>
        <x:v>-26000</x:v>
      </x:c>
      <x:c r="H9" s="19" t="n">
        <x:f>B9+E9</x:f>
        <x:v>14000</x:v>
      </x:c>
      <x:c r="I9" s="19" t="n">
        <x:f>C9+F9</x:f>
        <x:v>40000</x:v>
      </x:c>
      <x:c r="J9" s="19" t="n">
        <x:f>H9-I9</x:f>
        <x:v>-26000</x:v>
      </x:c>
      <x:c r="K9" s="19" t="n">
        <x:f>K8+J9</x:f>
        <x:v>59000</x:v>
      </x:c>
      <x:c r="L9" s="20" t="n">
        <x:v>3</x:v>
      </x:c>
      <x:c r="M9" s="20" t="n">
        <x:v>0</x:v>
      </x:c>
      <x:c r="N9" s="20" t="n">
        <x:v>3</x:v>
      </x:c>
      <x:c r="O9" s="20" t="n">
        <x:v>2</x:v>
      </x:c>
    </x:row>
    <x:row r="10" ht="23" customHeight="1">
      <x:c r="A10" s="2" t="str">
        <x:v>2026-09-24_Night</x:v>
      </x:c>
      <x:c r="B10" s="19" t="n">
        <x:v>0</x:v>
      </x:c>
      <x:c r="C10" s="19" t="n">
        <x:v>0</x:v>
      </x:c>
      <x:c r="D10" s="19" t="n">
        <x:f>B10-C10</x:f>
        <x:v>0</x:v>
      </x:c>
      <x:c r="E10" s="19" t="n">
        <x:v>14000</x:v>
      </x:c>
      <x:c r="F10" s="19" t="n">
        <x:v>60000</x:v>
      </x:c>
      <x:c r="G10" s="19" t="n">
        <x:f>E10-F10</x:f>
        <x:v>-46000</x:v>
      </x:c>
      <x:c r="H10" s="19" t="n">
        <x:f>B10+E10</x:f>
        <x:v>14000</x:v>
      </x:c>
      <x:c r="I10" s="19" t="n">
        <x:f>C10+F10</x:f>
        <x:v>60000</x:v>
      </x:c>
      <x:c r="J10" s="19" t="n">
        <x:f>H10-I10</x:f>
        <x:v>-46000</x:v>
      </x:c>
      <x:c r="K10" s="19" t="n">
        <x:f>K9+J10</x:f>
        <x:v>13000</x:v>
      </x:c>
      <x:c r="L10" s="20" t="n">
        <x:v>3</x:v>
      </x:c>
      <x:c r="M10" s="20" t="n">
        <x:v>0</x:v>
      </x:c>
      <x:c r="N10" s="20" t="n">
        <x:v>3</x:v>
      </x:c>
      <x:c r="O10" s="20" t="n">
        <x:v>5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0</x:v>
      </x:c>
      <x:c r="F11" s="19" t="n">
        <x:v>40000</x:v>
      </x:c>
      <x:c r="G11" s="19" t="n">
        <x:f>E11-F11</x:f>
        <x:v>-40000</x:v>
      </x:c>
      <x:c r="H11" s="19" t="n">
        <x:f>B11+E11</x:f>
        <x:v>0</x:v>
      </x:c>
      <x:c r="I11" s="19" t="n">
        <x:f>C11+F11</x:f>
        <x:v>40000</x:v>
      </x:c>
      <x:c r="J11" s="19" t="n">
        <x:f>H11-I11</x:f>
        <x:v>-40000</x:v>
      </x:c>
      <x:c r="K11" s="19" t="n">
        <x:f>K10+J11</x:f>
        <x:v>-27000</x:v>
      </x:c>
      <x:c r="L11" s="20" t="n">
        <x:v>1</x:v>
      </x:c>
      <x:c r="M11" s="20" t="n">
        <x:v>0</x:v>
      </x:c>
      <x:c r="N11" s="20" t="n">
        <x:v>1</x:v>
      </x:c>
      <x:c r="O11" s="20" t="n">
        <x:v>5</x:v>
      </x:c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26000</x:v>
      </x:c>
      <x:c r="F12" s="19" t="n">
        <x:v>0</x:v>
      </x:c>
      <x:c r="G12" s="19" t="n">
        <x:f>E12-F12</x:f>
        <x:v>26000</x:v>
      </x:c>
      <x:c r="H12" s="19" t="n">
        <x:f>B12+E12</x:f>
        <x:v>35000</x:v>
      </x:c>
      <x:c r="I12" s="19" t="n">
        <x:f>C12+F12</x:f>
        <x:v>0</x:v>
      </x:c>
      <x:c r="J12" s="19" t="n">
        <x:f>H12-I12</x:f>
        <x:v>35000</x:v>
      </x:c>
      <x:c r="K12" s="19" t="n">
        <x:f>K11+J12</x:f>
        <x:v>8000</x:v>
      </x:c>
      <x:c r="L12" s="20" t="n">
        <x:v>2</x:v>
      </x:c>
      <x:c r="M12" s="20" t="n">
        <x:v>1</x:v>
      </x:c>
      <x:c r="N12" s="20" t="n">
        <x:v>1</x:v>
      </x:c>
      <x:c r="O12" s="20" t="n">
        <x:v>4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73000</x:v>
      </x:c>
      <x:c r="F13" s="19" t="n">
        <x:v>14000</x:v>
      </x:c>
      <x:c r="G13" s="19" t="n">
        <x:f>E13-F13</x:f>
        <x:v>59000</x:v>
      </x:c>
      <x:c r="H13" s="19" t="n">
        <x:f>B13+E13</x:f>
        <x:v>73000</x:v>
      </x:c>
      <x:c r="I13" s="19" t="n">
        <x:f>C13+F13</x:f>
        <x:v>14000</x:v>
      </x:c>
      <x:c r="J13" s="19" t="n">
        <x:f>H13-I13</x:f>
        <x:v>59000</x:v>
      </x:c>
      <x:c r="K13" s="19" t="n">
        <x:f>K12+J13</x:f>
        <x:v>67000</x:v>
      </x:c>
      <x:c r="L13" s="20" t="n">
        <x:v>4</x:v>
      </x:c>
      <x:c r="M13" s="20" t="n">
        <x:v>0</x:v>
      </x:c>
      <x:c r="N13" s="20" t="n">
        <x:v>4</x:v>
      </x:c>
      <x:c r="O13" s="20" t="n">
        <x:v>4</x:v>
      </x:c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65000</x:v>
      </x:c>
      <x:c r="F14" s="19" t="n">
        <x:v>52000</x:v>
      </x:c>
      <x:c r="G14" s="19" t="n">
        <x:f>E14-F14</x:f>
        <x:v>13000</x:v>
      </x:c>
      <x:c r="H14" s="19" t="n">
        <x:f>B14+E14</x:f>
        <x:v>65000</x:v>
      </x:c>
      <x:c r="I14" s="19" t="n">
        <x:f>C14+F14</x:f>
        <x:v>52000</x:v>
      </x:c>
      <x:c r="J14" s="19" t="n">
        <x:f>H14-I14</x:f>
        <x:v>13000</x:v>
      </x:c>
      <x:c r="K14" s="19" t="n">
        <x:f>K13+J14</x:f>
        <x:v>80000</x:v>
      </x:c>
      <x:c r="L14" s="20" t="n">
        <x:v>4</x:v>
      </x:c>
      <x:c r="M14" s="20" t="n">
        <x:v>0</x:v>
      </x:c>
      <x:c r="N14" s="20" t="n">
        <x:v>4</x:v>
      </x:c>
      <x:c r="O14" s="20" t="n">
        <x:v>5</x:v>
      </x:c>
    </x:row>
    <x:row r="15" ht="23" customHeight="1">
      <x:c r="A15" s="2" t="str">
        <x:v>2026-10-01_Night</x:v>
      </x:c>
      <x:c r="B15" s="19" t="n">
        <x:v>17000</x:v>
      </x:c>
      <x:c r="C15" s="19" t="n">
        <x:v>18000</x:v>
      </x:c>
      <x:c r="D15" s="19" t="n">
        <x:f>B15-C15</x:f>
        <x:v>-1000</x:v>
      </x:c>
      <x:c r="E15" s="19" t="n">
        <x:v>83000</x:v>
      </x:c>
      <x:c r="F15" s="19" t="n">
        <x:v>17000</x:v>
      </x:c>
      <x:c r="G15" s="19" t="n">
        <x:f>E15-F15</x:f>
        <x:v>66000</x:v>
      </x:c>
      <x:c r="H15" s="19" t="n">
        <x:f>B15+E15</x:f>
        <x:v>100000</x:v>
      </x:c>
      <x:c r="I15" s="19" t="n">
        <x:f>C15+F15</x:f>
        <x:v>35000</x:v>
      </x:c>
      <x:c r="J15" s="19" t="n">
        <x:f>H15-I15</x:f>
        <x:v>65000</x:v>
      </x:c>
      <x:c r="K15" s="19" t="n">
        <x:f>K14+J15</x:f>
        <x:v>145000</x:v>
      </x:c>
      <x:c r="L15" s="20" t="n">
        <x:v>9</x:v>
      </x:c>
      <x:c r="M15" s="20" t="n">
        <x:v>5</x:v>
      </x:c>
      <x:c r="N15" s="20" t="n">
        <x:v>4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24000</x:v>
      </x:c>
      <x:c r="F16" s="19" t="n">
        <x:v>110000</x:v>
      </x:c>
      <x:c r="G16" s="19" t="n">
        <x:f>E16-F16</x:f>
        <x:v>-86000</x:v>
      </x:c>
      <x:c r="H16" s="19" t="n">
        <x:f>B16+E16</x:f>
        <x:v>24000</x:v>
      </x:c>
      <x:c r="I16" s="19" t="n">
        <x:f>C16+F16</x:f>
        <x:v>110000</x:v>
      </x:c>
      <x:c r="J16" s="19" t="n">
        <x:f>H16-I16</x:f>
        <x:v>-86000</x:v>
      </x:c>
      <x:c r="K16" s="19" t="n">
        <x:f>K15+J16</x:f>
        <x:v>59000</x:v>
      </x:c>
      <x:c r="L16" s="20" t="n">
        <x:v>7</x:v>
      </x:c>
      <x:c r="M16" s="20" t="n">
        <x:v>0</x:v>
      </x:c>
      <x:c r="N16" s="20" t="n">
        <x:v>7</x:v>
      </x:c>
      <x:c r="O16" s="20" t="n">
        <x:v>4</x:v>
      </x:c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0</x:v>
      </x:c>
      <x:c r="F17" s="19" t="n">
        <x:v>80000</x:v>
      </x:c>
      <x:c r="G17" s="19" t="n">
        <x:f>E17-F17</x:f>
        <x:v>-80000</x:v>
      </x:c>
      <x:c r="H17" s="19" t="n">
        <x:f>B17+E17</x:f>
        <x:v>0</x:v>
      </x:c>
      <x:c r="I17" s="19" t="n">
        <x:f>C17+F17</x:f>
        <x:v>80000</x:v>
      </x:c>
      <x:c r="J17" s="19" t="n">
        <x:f>H17-I17</x:f>
        <x:v>-80000</x:v>
      </x:c>
      <x:c r="K17" s="19" t="n">
        <x:f>K16+J17</x:f>
        <x:v>-21000</x:v>
      </x:c>
      <x:c r="L17" s="20" t="n">
        <x:v>2</x:v>
      </x:c>
      <x:c r="M17" s="20" t="n">
        <x:v>0</x:v>
      </x:c>
      <x:c r="N17" s="20" t="n">
        <x:v>2</x:v>
      </x:c>
      <x:c r="O17" s="20" t="n">
        <x:v>5</x:v>
      </x:c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43000</x:v>
      </x:c>
      <x:c r="F18" s="19" t="n">
        <x:v>0</x:v>
      </x:c>
      <x:c r="G18" s="19" t="n">
        <x:f>E18-F18</x:f>
        <x:v>43000</x:v>
      </x:c>
      <x:c r="H18" s="19" t="n">
        <x:f>B18+E18</x:f>
        <x:v>43000</x:v>
      </x:c>
      <x:c r="I18" s="19" t="n">
        <x:f>C18+F18</x:f>
        <x:v>0</x:v>
      </x:c>
      <x:c r="J18" s="19" t="n">
        <x:f>H18-I18</x:f>
        <x:v>43000</x:v>
      </x:c>
      <x:c r="K18" s="19" t="n">
        <x:f>K17+J18</x:f>
        <x:v>22000</x:v>
      </x:c>
      <x:c r="L18" s="20" t="n">
        <x:v>3</x:v>
      </x:c>
      <x:c r="M18" s="20" t="n">
        <x:v>0</x:v>
      </x:c>
      <x:c r="N18" s="20" t="n">
        <x:v>3</x:v>
      </x:c>
      <x:c r="O18" s="20" t="n">
        <x:v>5</x:v>
      </x:c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54000</x:v>
      </x:c>
      <x:c r="G19" s="19" t="n">
        <x:f>E19-F19</x:f>
        <x:v>-54000</x:v>
      </x:c>
      <x:c r="H19" s="19" t="n">
        <x:f>B19+E19</x:f>
        <x:v>0</x:v>
      </x:c>
      <x:c r="I19" s="19" t="n">
        <x:f>C19+F19</x:f>
        <x:v>75000</x:v>
      </x:c>
      <x:c r="J19" s="19" t="n">
        <x:f>H19-I19</x:f>
        <x:v>-75000</x:v>
      </x:c>
      <x:c r="K19" s="19" t="n">
        <x:f>K18+J19</x:f>
        <x:v>-53000</x:v>
      </x:c>
      <x:c r="L19" s="20" t="n">
        <x:v>5</x:v>
      </x:c>
      <x:c r="M19" s="20" t="n">
        <x:v>2</x:v>
      </x:c>
      <x:c r="N19" s="20" t="n">
        <x:v>3</x:v>
      </x:c>
      <x:c r="O19" s="20" t="n">
        <x:v>4</x:v>
      </x:c>
    </x:row>
    <x:row r="20" ht="23" customHeight="1">
      <x:c r="A20" s="2" t="str">
        <x:v>2026-10-08_Night</x:v>
      </x:c>
      <x:c r="B20" s="19" t="n">
        <x:v>5000</x:v>
      </x:c>
      <x:c r="C20" s="19" t="n">
        <x:v>0</x:v>
      </x:c>
      <x:c r="D20" s="19" t="n">
        <x:f>B20-C20</x:f>
        <x:v>5000</x:v>
      </x:c>
      <x:c r="E20" s="19" t="n">
        <x:v>19000</x:v>
      </x:c>
      <x:c r="F20" s="19" t="n">
        <x:v>56000</x:v>
      </x:c>
      <x:c r="G20" s="19" t="n">
        <x:f>E20-F20</x:f>
        <x:v>-37000</x:v>
      </x:c>
      <x:c r="H20" s="19" t="n">
        <x:f>B20+E20</x:f>
        <x:v>24000</x:v>
      </x:c>
      <x:c r="I20" s="19" t="n">
        <x:f>C20+F20</x:f>
        <x:v>56000</x:v>
      </x:c>
      <x:c r="J20" s="19" t="n">
        <x:f>H20-I20</x:f>
        <x:v>-32000</x:v>
      </x:c>
      <x:c r="K20" s="19" t="n">
        <x:f>K19+J20</x:f>
        <x:v>-85000</x:v>
      </x:c>
      <x:c r="L20" s="20" t="n">
        <x:v>5</x:v>
      </x:c>
      <x:c r="M20" s="20" t="n">
        <x:v>2</x:v>
      </x:c>
      <x:c r="N20" s="20" t="n">
        <x:v>3</x:v>
      </x:c>
      <x:c r="O20" s="20" t="n">
        <x:v>5</x:v>
      </x:c>
    </x:row>
    <x:row r="21" ht="23" customHeight="1">
      <x:c r="A21" s="2" t="str">
        <x:v>2026-10-09_Night</x:v>
      </x:c>
      <x:c r="B21" s="19" t="n">
        <x:v>0</x:v>
      </x:c>
      <x:c r="C21" s="19" t="n">
        <x:v>0</x:v>
      </x:c>
      <x:c r="D21" s="19" t="n">
        <x:f>B21-C21</x:f>
        <x:v>0</x:v>
      </x:c>
      <x:c r="E21" s="19" t="n">
        <x:v>11000</x:v>
      </x:c>
      <x:c r="F21" s="19" t="n">
        <x:v>0</x:v>
      </x:c>
      <x:c r="G21" s="19" t="n">
        <x:f>E21-F21</x:f>
        <x:v>11000</x:v>
      </x:c>
      <x:c r="H21" s="19" t="n">
        <x:f>B21+E21</x:f>
        <x:v>11000</x:v>
      </x:c>
      <x:c r="I21" s="19" t="n">
        <x:f>C21+F21</x:f>
        <x:v>0</x:v>
      </x:c>
      <x:c r="J21" s="19" t="n">
        <x:f>H21-I21</x:f>
        <x:v>11000</x:v>
      </x:c>
      <x:c r="K21" s="19" t="n">
        <x:f>K20+J21</x:f>
        <x:v>-74000</x:v>
      </x:c>
      <x:c r="L21" s="20" t="n">
        <x:v>1</x:v>
      </x:c>
      <x:c r="M21" s="20" t="n">
        <x:v>0</x:v>
      </x:c>
      <x:c r="N21" s="20" t="n">
        <x:v>1</x:v>
      </x:c>
      <x:c r="O21" s="20" t="n">
        <x:v>4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31000</x:v>
      </x:c>
      <x:c r="F22" s="19" t="n">
        <x:v>0</x:v>
      </x:c>
      <x:c r="G22" s="19" t="n">
        <x:f>E22-F22</x:f>
        <x:v>31000</x:v>
      </x:c>
      <x:c r="H22" s="19" t="n">
        <x:f>B22+E22</x:f>
        <x:v>31000</x:v>
      </x:c>
      <x:c r="I22" s="19" t="n">
        <x:f>C22+F22</x:f>
        <x:v>0</x:v>
      </x:c>
      <x:c r="J22" s="19" t="n">
        <x:f>H22-I22</x:f>
        <x:v>31000</x:v>
      </x:c>
      <x:c r="K22" s="19" t="n">
        <x:f>K21+J22</x:f>
        <x:v>-43000</x:v>
      </x:c>
      <x:c r="L22" s="20" t="n">
        <x:v>1</x:v>
      </x:c>
      <x:c r="M22" s="20" t="n">
        <x:v>0</x:v>
      </x:c>
      <x:c r="N22" s="20" t="n">
        <x:v>1</x:v>
      </x:c>
      <x:c r="O22" s="20" t="n">
        <x:v>3</x:v>
      </x:c>
    </x:row>
    <x:row r="23" ht="23" customHeight="1">
      <x:c r="A23" s="2" t="str">
        <x:v>2026-10-13_Night</x:v>
      </x:c>
      <x:c r="B23" s="19" t="n">
        <x:v>0</x:v>
      </x:c>
      <x:c r="C23" s="19" t="n">
        <x:v>0</x:v>
      </x:c>
      <x:c r="D23" s="19" t="n">
        <x:f>B23-C23</x:f>
        <x:v>0</x:v>
      </x:c>
      <x:c r="E23" s="19" t="n">
        <x:v>0</x:v>
      </x:c>
      <x:c r="F23" s="19" t="n">
        <x:v>28000</x:v>
      </x:c>
      <x:c r="G23" s="19" t="n">
        <x:f>E23-F23</x:f>
        <x:v>-28000</x:v>
      </x:c>
      <x:c r="H23" s="19" t="n">
        <x:f>B23+E23</x:f>
        <x:v>0</x:v>
      </x:c>
      <x:c r="I23" s="19" t="n">
        <x:f>C23+F23</x:f>
        <x:v>28000</x:v>
      </x:c>
      <x:c r="J23" s="19" t="n">
        <x:f>H23-I23</x:f>
        <x:v>-28000</x:v>
      </x:c>
      <x:c r="K23" s="19" t="n">
        <x:f>K22+J23</x:f>
        <x:v>-71000</x:v>
      </x:c>
      <x:c r="L23" s="20" t="n">
        <x:v>2</x:v>
      </x:c>
      <x:c r="M23" s="20" t="n">
        <x:v>0</x:v>
      </x:c>
      <x:c r="N23" s="20" t="n">
        <x:v>2</x:v>
      </x:c>
      <x:c r="O23" s="20" t="n">
        <x:v>3</x:v>
      </x:c>
    </x:row>
    <x:row r="24" ht="23" customHeight="1">
      <x:c r="A24" s="2" t="str">
        <x:v>2026-10-14_Night</x:v>
      </x:c>
      <x:c r="B24" s="19" t="n">
        <x:v>0</x:v>
      </x:c>
      <x:c r="C24" s="19" t="n">
        <x:v>0</x:v>
      </x:c>
      <x:c r="D24" s="19" t="n">
        <x:f>B24-C24</x:f>
        <x:v>0</x:v>
      </x:c>
      <x:c r="E24" s="19" t="n">
        <x:v>193000</x:v>
      </x:c>
      <x:c r="F24" s="19" t="n">
        <x:v>61000</x:v>
      </x:c>
      <x:c r="G24" s="19" t="n">
        <x:f>E24-F24</x:f>
        <x:v>132000</x:v>
      </x:c>
      <x:c r="H24" s="19" t="n">
        <x:f>B24+E24</x:f>
        <x:v>193000</x:v>
      </x:c>
      <x:c r="I24" s="19" t="n">
        <x:f>C24+F24</x:f>
        <x:v>61000</x:v>
      </x:c>
      <x:c r="J24" s="19" t="n">
        <x:f>H24-I24</x:f>
        <x:v>132000</x:v>
      </x:c>
      <x:c r="K24" s="19" t="n">
        <x:f>K23+J24</x:f>
        <x:v>61000</x:v>
      </x:c>
      <x:c r="L24" s="20" t="n">
        <x:v>4</x:v>
      </x:c>
      <x:c r="M24" s="20" t="n">
        <x:v>0</x:v>
      </x:c>
      <x:c r="N24" s="20" t="n">
        <x:v>4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67000</x:v>
      </x:c>
      <x:c r="F25" s="19" t="n">
        <x:v>53000</x:v>
      </x:c>
      <x:c r="G25" s="19" t="n">
        <x:f>E25-F25</x:f>
        <x:v>14000</x:v>
      </x:c>
      <x:c r="H25" s="19" t="n">
        <x:f>B25+E25</x:f>
        <x:v>67000</x:v>
      </x:c>
      <x:c r="I25" s="19" t="n">
        <x:f>C25+F25</x:f>
        <x:v>53000</x:v>
      </x:c>
      <x:c r="J25" s="19" t="n">
        <x:f>H25-I25</x:f>
        <x:v>14000</x:v>
      </x:c>
      <x:c r="K25" s="19" t="n">
        <x:f>K24+J25</x:f>
        <x:v>75000</x:v>
      </x:c>
      <x:c r="L25" s="20" t="n">
        <x:v>6</x:v>
      </x:c>
      <x:c r="M25" s="20" t="n">
        <x:v>0</x:v>
      </x:c>
      <x:c r="N25" s="20" t="n">
        <x:v>6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0</x:v>
      </x:c>
      <x:c r="D26" s="19" t="n">
        <x:f>B26-C26</x:f>
        <x:v>0</x:v>
      </x:c>
      <x:c r="E26" s="19" t="n">
        <x:v>149000</x:v>
      </x:c>
      <x:c r="F26" s="19" t="n">
        <x:v>100000</x:v>
      </x:c>
      <x:c r="G26" s="19" t="n">
        <x:f>E26-F26</x:f>
        <x:v>49000</x:v>
      </x:c>
      <x:c r="H26" s="19" t="n">
        <x:f>B26+E26</x:f>
        <x:v>149000</x:v>
      </x:c>
      <x:c r="I26" s="19" t="n">
        <x:f>C26+F26</x:f>
        <x:v>100000</x:v>
      </x:c>
      <x:c r="J26" s="19" t="n">
        <x:f>H26-I26</x:f>
        <x:v>49000</x:v>
      </x:c>
      <x:c r="K26" s="19" t="n">
        <x:f>K25+J26</x:f>
        <x:v>124000</x:v>
      </x:c>
      <x:c r="L26" s="20" t="n">
        <x:v>12</x:v>
      </x:c>
      <x:c r="M26" s="20" t="n">
        <x:v>0</x:v>
      </x:c>
      <x:c r="N26" s="20" t="n">
        <x:v>12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41000</x:v>
      </x:c>
      <x:c r="F27" s="19" t="n">
        <x:v>24000</x:v>
      </x:c>
      <x:c r="G27" s="19" t="n">
        <x:f>E27-F27</x:f>
        <x:v>17000</x:v>
      </x:c>
      <x:c r="H27" s="19" t="n">
        <x:f>B27+E27</x:f>
        <x:v>41000</x:v>
      </x:c>
      <x:c r="I27" s="19" t="n">
        <x:f>C27+F27</x:f>
        <x:v>24000</x:v>
      </x:c>
      <x:c r="J27" s="19" t="n">
        <x:f>H27-I27</x:f>
        <x:v>17000</x:v>
      </x:c>
      <x:c r="K27" s="19" t="n">
        <x:f>K26+J27</x:f>
        <x:v>141000</x:v>
      </x:c>
      <x:c r="L27" s="20" t="n">
        <x:v>2</x:v>
      </x:c>
      <x:c r="M27" s="20" t="n">
        <x:v>0</x:v>
      </x:c>
      <x:c r="N27" s="20" t="n">
        <x:v>2</x:v>
      </x:c>
      <x:c r="O27" s="20" t="n">
        <x:v>5</x:v>
      </x:c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24000</x:v>
      </x:c>
      <x:c r="F28" s="19" t="n">
        <x:v>60000</x:v>
      </x:c>
      <x:c r="G28" s="19" t="n">
        <x:f>E28-F28</x:f>
        <x:v>-36000</x:v>
      </x:c>
      <x:c r="H28" s="19" t="n">
        <x:f>B28+E28</x:f>
        <x:v>58000</x:v>
      </x:c>
      <x:c r="I28" s="19" t="n">
        <x:f>C28+F28</x:f>
        <x:v>60000</x:v>
      </x:c>
      <x:c r="J28" s="19" t="n">
        <x:f>H28-I28</x:f>
        <x:v>-2000</x:v>
      </x:c>
      <x:c r="K28" s="19" t="n">
        <x:f>K27+J28</x:f>
        <x:v>139000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0</x:v>
      </x:c>
      <x:c r="F29" s="19" t="n">
        <x:v>22000</x:v>
      </x:c>
      <x:c r="G29" s="19" t="n">
        <x:f>E29-F29</x:f>
        <x:v>-22000</x:v>
      </x:c>
      <x:c r="H29" s="19" t="n">
        <x:f>B29+E29</x:f>
        <x:v>0</x:v>
      </x:c>
      <x:c r="I29" s="19" t="n">
        <x:f>C29+F29</x:f>
        <x:v>22000</x:v>
      </x:c>
      <x:c r="J29" s="19" t="n">
        <x:f>H29-I29</x:f>
        <x:v>-22000</x:v>
      </x:c>
      <x:c r="K29" s="19" t="n">
        <x:f>K28+J29</x:f>
        <x:v>117000</x:v>
      </x:c>
      <x:c r="L29" s="20" t="n">
        <x:v>1</x:v>
      </x:c>
      <x:c r="M29" s="20" t="n">
        <x:v>0</x:v>
      </x:c>
      <x:c r="N29" s="20" t="n">
        <x:v>1</x:v>
      </x:c>
      <x:c r="O29" s="20" t="n">
        <x:v>2</x:v>
      </x:c>
    </x:row>
    <x:row r="30" ht="23" customHeight="1">
      <x:c r="A30" s="2" t="str">
        <x:v>2026-10-22_Night</x:v>
      </x:c>
      <x:c r="B30" s="19" t="n">
        <x:v>0</x:v>
      </x:c>
      <x:c r="C30" s="19" t="n">
        <x:v>0</x:v>
      </x:c>
      <x:c r="D30" s="19" t="n">
        <x:f>B30-C30</x:f>
        <x:v>0</x:v>
      </x:c>
      <x:c r="E30" s="19" t="n">
        <x:v>0</x:v>
      </x:c>
      <x:c r="F30" s="19" t="n">
        <x:v>45000</x:v>
      </x:c>
      <x:c r="G30" s="19" t="n">
        <x:f>E30-F30</x:f>
        <x:v>-45000</x:v>
      </x:c>
      <x:c r="H30" s="19" t="n">
        <x:f>B30+E30</x:f>
        <x:v>0</x:v>
      </x:c>
      <x:c r="I30" s="19" t="n">
        <x:f>C30+F30</x:f>
        <x:v>45000</x:v>
      </x:c>
      <x:c r="J30" s="19" t="n">
        <x:f>H30-I30</x:f>
        <x:v>-45000</x:v>
      </x:c>
      <x:c r="K30" s="19" t="n">
        <x:f>K29+J30</x:f>
        <x:v>72000</x:v>
      </x:c>
      <x:c r="L30" s="20" t="n">
        <x:v>3</x:v>
      </x:c>
      <x:c r="M30" s="20" t="n">
        <x:v>0</x:v>
      </x:c>
      <x:c r="N30" s="20" t="n">
        <x:v>3</x:v>
      </x:c>
      <x:c r="O30" s="20" t="n">
        <x:v>3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49000</x:v>
      </x:c>
      <x:c r="F31" s="19" t="n">
        <x:v>17000</x:v>
      </x:c>
      <x:c r="G31" s="19" t="n">
        <x:f>E31-F31</x:f>
        <x:v>32000</x:v>
      </x:c>
      <x:c r="H31" s="19" t="n">
        <x:f>B31+E31</x:f>
        <x:v>52000</x:v>
      </x:c>
      <x:c r="I31" s="19" t="n">
        <x:f>C31+F31</x:f>
        <x:v>48000</x:v>
      </x:c>
      <x:c r="J31" s="19" t="n">
        <x:f>H31-I31</x:f>
        <x:v>4000</x:v>
      </x:c>
      <x:c r="K31" s="19" t="n">
        <x:f>K30+J31</x:f>
        <x:v>76000</x:v>
      </x:c>
      <x:c r="L31" s="20" t="n">
        <x:v>8</x:v>
      </x:c>
      <x:c r="M31" s="20" t="n">
        <x:v>4</x:v>
      </x:c>
      <x:c r="N31" s="20" t="n">
        <x:v>4</x:v>
      </x:c>
      <x:c r="O31" s="20" t="n">
        <x:v>4</x:v>
      </x:c>
    </x:row>
    <x:row r="32" ht="23" customHeight="1">
      <x:c r="A32" s="24" t="str">
        <x:v>25夜累計</x:v>
      </x:c>
      <x:c r="B32" s="25" t="n">
        <x:f>SUM(B7:B31)</x:f>
        <x:v>68000</x:v>
      </x:c>
      <x:c r="C32" s="25" t="n">
        <x:f>SUM(C7:C31)</x:f>
        <x:v>70000</x:v>
      </x:c>
      <x:c r="D32" s="25" t="n">
        <x:f>B32-C32</x:f>
        <x:v>-2000</x:v>
      </x:c>
      <x:c r="E32" s="25" t="n">
        <x:f>SUM(E7:E31)</x:f>
        <x:v>1014000</x:v>
      </x:c>
      <x:c r="F32" s="25" t="n">
        <x:f>SUM(F7:F31)</x:f>
        <x:v>936000</x:v>
      </x:c>
      <x:c r="G32" s="25" t="n">
        <x:f>E32-F32</x:f>
        <x:v>78000</x:v>
      </x:c>
      <x:c r="H32" s="25" t="n">
        <x:f>B32+E32</x:f>
        <x:v>1082000</x:v>
      </x:c>
      <x:c r="I32" s="25" t="n">
        <x:f>C32+F32</x:f>
        <x:v>1006000</x:v>
      </x:c>
      <x:c r="J32" s="25" t="n">
        <x:f>H32-I32</x:f>
        <x:v>76000</x:v>
      </x:c>
      <x:c r="K32" s="25" t="n">
        <x:f>K31</x:f>
        <x:v>76000</x:v>
      </x:c>
      <x:c r="L32" s="26" t="n">
        <x:f>SUM(L7:L31)</x:f>
        <x:v>105</x:v>
      </x:c>
      <x:c r="M32" s="26" t="n">
        <x:f>SUM(M7:M31)</x:f>
        <x:v>16</x:v>
      </x:c>
      <x:c r="N32" s="26" t="n">
        <x:f>SUM(N7:N31)</x:f>
        <x:v>89</x:v>
      </x:c>
      <x:c r="O32" s="26" t="n">
        <x:f>MAX(O7:O31)</x:f>
        <x:v>7</x:v>
      </x:c>
    </x:row>
  </x:sheetData>
  <x:conditionalFormatting sqref="B7:K32">
    <x:cfRule type="cellIs" dxfId="1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069278f84d4260"/>
  </x:tableParts>
</x:worksheet>
</file>

<file path=xl/worksheets/sheet18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S01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前半C05を全返済・後半新規状態、特徴だけ継続・全担当最低15分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52000</x:v>
      </x:c>
      <x:c r="C7" s="19" t="n">
        <x:v>0</x:v>
      </x:c>
      <x:c r="D7" s="19" t="n">
        <x:f>B7-C7</x:f>
        <x:v>52000</x:v>
      </x:c>
      <x:c r="E7" s="19" t="n">
        <x:v>56000</x:v>
      </x:c>
      <x:c r="F7" s="19" t="n">
        <x:v>0</x:v>
      </x:c>
      <x:c r="G7" s="19" t="n">
        <x:f>E7-F7</x:f>
        <x:v>56000</x:v>
      </x:c>
      <x:c r="H7" s="19" t="n">
        <x:f>B7+E7</x:f>
        <x:v>108000</x:v>
      </x:c>
      <x:c r="I7" s="19" t="n">
        <x:f>C7+F7</x:f>
        <x:v>0</x:v>
      </x:c>
      <x:c r="J7" s="19" t="n">
        <x:f>H7-I7</x:f>
        <x:v>108000</x:v>
      </x:c>
      <x:c r="K7" s="19" t="n">
        <x:f>J7</x:f>
        <x:v>108000</x:v>
      </x:c>
      <x:c r="L7" s="20" t="n">
        <x:v>2</x:v>
      </x:c>
      <x:c r="M7" s="20" t="n">
        <x:v>1</x:v>
      </x:c>
      <x:c r="N7" s="20" t="n">
        <x:v>1</x:v>
      </x:c>
      <x:c r="O7" s="20" t="n">
        <x:v>5</x:v>
      </x:c>
    </x:row>
    <x:row r="8" ht="23" customHeight="1">
      <x:c r="A8" s="2" t="str">
        <x:v>2026-09-22_Night</x:v>
      </x:c>
      <x:c r="B8" s="19" t="n">
        <x:v>51000</x:v>
      </x:c>
      <x:c r="C8" s="19" t="n">
        <x:v>0</x:v>
      </x:c>
      <x:c r="D8" s="19" t="n">
        <x:f>B8-C8</x:f>
        <x:v>51000</x:v>
      </x:c>
      <x:c r="E8" s="19" t="n">
        <x:v>21000</x:v>
      </x:c>
      <x:c r="F8" s="19" t="n">
        <x:v>0</x:v>
      </x:c>
      <x:c r="G8" s="19" t="n">
        <x:f>E8-F8</x:f>
        <x:v>21000</x:v>
      </x:c>
      <x:c r="H8" s="19" t="n">
        <x:f>B8+E8</x:f>
        <x:v>72000</x:v>
      </x:c>
      <x:c r="I8" s="19" t="n">
        <x:f>C8+F8</x:f>
        <x:v>0</x:v>
      </x:c>
      <x:c r="J8" s="19" t="n">
        <x:f>H8-I8</x:f>
        <x:v>72000</x:v>
      </x:c>
      <x:c r="K8" s="19" t="n">
        <x:f>K7+J8</x:f>
        <x:v>180000</x:v>
      </x:c>
      <x:c r="L8" s="20" t="n">
        <x:v>3</x:v>
      </x:c>
      <x:c r="M8" s="20" t="n">
        <x:v>2</x:v>
      </x:c>
      <x:c r="N8" s="20" t="n">
        <x:v>1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40000</x:v>
      </x:c>
      <x:c r="D9" s="19" t="n">
        <x:f>B9-C9</x:f>
        <x:v>-40000</x:v>
      </x:c>
      <x:c r="E9" s="19" t="n">
        <x:v>35000</x:v>
      </x:c>
      <x:c r="F9" s="19" t="n">
        <x:v>0</x:v>
      </x:c>
      <x:c r="G9" s="19" t="n">
        <x:f>E9-F9</x:f>
        <x:v>35000</x:v>
      </x:c>
      <x:c r="H9" s="19" t="n">
        <x:f>B9+E9</x:f>
        <x:v>35000</x:v>
      </x:c>
      <x:c r="I9" s="19" t="n">
        <x:f>C9+F9</x:f>
        <x:v>40000</x:v>
      </x:c>
      <x:c r="J9" s="19" t="n">
        <x:f>H9-I9</x:f>
        <x:v>-5000</x:v>
      </x:c>
      <x:c r="K9" s="19" t="n">
        <x:f>K8+J9</x:f>
        <x:v>175000</x:v>
      </x:c>
      <x:c r="L9" s="20" t="n">
        <x:v>4</x:v>
      </x:c>
      <x:c r="M9" s="20" t="n">
        <x:v>1</x:v>
      </x:c>
      <x:c r="N9" s="20" t="n">
        <x:v>3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79000</x:v>
      </x:c>
      <x:c r="D10" s="19" t="n">
        <x:f>B10-C10</x:f>
        <x:v>-79000</x:v>
      </x:c>
      <x:c r="E10" s="19" t="n">
        <x:v>20000</x:v>
      </x:c>
      <x:c r="F10" s="19" t="n">
        <x:v>35000</x:v>
      </x:c>
      <x:c r="G10" s="19" t="n">
        <x:f>E10-F10</x:f>
        <x:v>-15000</x:v>
      </x:c>
      <x:c r="H10" s="19" t="n">
        <x:f>B10+E10</x:f>
        <x:v>20000</x:v>
      </x:c>
      <x:c r="I10" s="19" t="n">
        <x:f>C10+F10</x:f>
        <x:v>114000</x:v>
      </x:c>
      <x:c r="J10" s="19" t="n">
        <x:f>H10-I10</x:f>
        <x:v>-94000</x:v>
      </x:c>
      <x:c r="K10" s="19" t="n">
        <x:f>K9+J10</x:f>
        <x:v>81000</x:v>
      </x:c>
      <x:c r="L10" s="20" t="n">
        <x:v>5</x:v>
      </x:c>
      <x:c r="M10" s="20" t="n">
        <x:v>2</x:v>
      </x:c>
      <x:c r="N10" s="20" t="n">
        <x:v>3</x:v>
      </x:c>
      <x:c r="O10" s="20" t="n">
        <x:v>5</x:v>
      </x:c>
    </x:row>
    <x:row r="11" ht="23" customHeight="1">
      <x:c r="A11" s="2" t="str">
        <x:v>2026-09-25_Night</x:v>
      </x:c>
      <x:c r="B11" s="19" t="n">
        <x:v>26000</x:v>
      </x:c>
      <x:c r="C11" s="19" t="n">
        <x:v>0</x:v>
      </x:c>
      <x:c r="D11" s="19" t="n">
        <x:f>B11-C11</x:f>
        <x:v>26000</x:v>
      </x:c>
      <x:c r="E11" s="19" t="n">
        <x:v>1000</x:v>
      </x:c>
      <x:c r="F11" s="19" t="n">
        <x:v>16000</x:v>
      </x:c>
      <x:c r="G11" s="19" t="n">
        <x:f>E11-F11</x:f>
        <x:v>-15000</x:v>
      </x:c>
      <x:c r="H11" s="19" t="n">
        <x:f>B11+E11</x:f>
        <x:v>27000</x:v>
      </x:c>
      <x:c r="I11" s="19" t="n">
        <x:f>C11+F11</x:f>
        <x:v>16000</x:v>
      </x:c>
      <x:c r="J11" s="19" t="n">
        <x:f>H11-I11</x:f>
        <x:v>11000</x:v>
      </x:c>
      <x:c r="K11" s="19" t="n">
        <x:f>K10+J11</x:f>
        <x:v>92000</x:v>
      </x:c>
      <x:c r="L11" s="20" t="n">
        <x:v>3</x:v>
      </x:c>
      <x:c r="M11" s="20" t="n">
        <x:v>1</x:v>
      </x:c>
      <x:c r="N11" s="20" t="n">
        <x:v>2</x:v>
      </x:c>
      <x:c r="O11" s="20" t="n">
        <x:v>5</x:v>
      </x:c>
    </x:row>
    <x:row r="12" ht="23" customHeight="1">
      <x:c r="A12" s="2" t="str">
        <x:v>2026-09-28_Night</x:v>
      </x:c>
      <x:c r="B12" s="19" t="n">
        <x:v>9000</x:v>
      </x:c>
      <x:c r="C12" s="19" t="n">
        <x:v>21000</x:v>
      </x:c>
      <x:c r="D12" s="19" t="n">
        <x:f>B12-C12</x:f>
        <x:v>-12000</x:v>
      </x:c>
      <x:c r="E12" s="19" t="n">
        <x:v>1000</x:v>
      </x:c>
      <x:c r="F12" s="19" t="n">
        <x:v>75000</x:v>
      </x:c>
      <x:c r="G12" s="19" t="n">
        <x:f>E12-F12</x:f>
        <x:v>-74000</x:v>
      </x:c>
      <x:c r="H12" s="19" t="n">
        <x:f>B12+E12</x:f>
        <x:v>10000</x:v>
      </x:c>
      <x:c r="I12" s="19" t="n">
        <x:f>C12+F12</x:f>
        <x:v>96000</x:v>
      </x:c>
      <x:c r="J12" s="19" t="n">
        <x:f>H12-I12</x:f>
        <x:v>-86000</x:v>
      </x:c>
      <x:c r="K12" s="19" t="n">
        <x:f>K11+J12</x:f>
        <x:v>6000</x:v>
      </x:c>
      <x:c r="L12" s="20" t="n">
        <x:v>7</x:v>
      </x:c>
      <x:c r="M12" s="20" t="n">
        <x:v>2</x:v>
      </x:c>
      <x:c r="N12" s="20" t="n">
        <x:v>5</x:v>
      </x:c>
      <x:c r="O12" s="20" t="n">
        <x:v>5</x:v>
      </x:c>
    </x:row>
    <x:row r="13" ht="23" customHeight="1">
      <x:c r="A13" s="2" t="str">
        <x:v>2026-09-29_Night</x:v>
      </x:c>
      <x:c r="B13" s="19" t="n">
        <x:v>0</x:v>
      </x:c>
      <x:c r="C13" s="19" t="n">
        <x:v>50000</x:v>
      </x:c>
      <x:c r="D13" s="19" t="n">
        <x:f>B13-C13</x:f>
        <x:v>-50000</x:v>
      </x:c>
      <x:c r="E13" s="19" t="n">
        <x:v>87000</x:v>
      </x:c>
      <x:c r="F13" s="19" t="n">
        <x:v>57000</x:v>
      </x:c>
      <x:c r="G13" s="19" t="n">
        <x:f>E13-F13</x:f>
        <x:v>30000</x:v>
      </x:c>
      <x:c r="H13" s="19" t="n">
        <x:f>B13+E13</x:f>
        <x:v>87000</x:v>
      </x:c>
      <x:c r="I13" s="19" t="n">
        <x:f>C13+F13</x:f>
        <x:v>107000</x:v>
      </x:c>
      <x:c r="J13" s="19" t="n">
        <x:f>H13-I13</x:f>
        <x:v>-20000</x:v>
      </x:c>
      <x:c r="K13" s="19" t="n">
        <x:f>K12+J13</x:f>
        <x:v>-14000</x:v>
      </x:c>
      <x:c r="L13" s="20" t="n">
        <x:v>8</x:v>
      </x:c>
      <x:c r="M13" s="20" t="n">
        <x:v>1</x:v>
      </x:c>
      <x:c r="N13" s="20" t="n">
        <x:v>7</x:v>
      </x:c>
      <x:c r="O13" s="20" t="n">
        <x:v>5</x:v>
      </x:c>
    </x:row>
    <x:row r="14" ht="23" customHeight="1">
      <x:c r="A14" s="2" t="str">
        <x:v>2026-09-30_Night</x:v>
      </x:c>
      <x:c r="B14" s="19" t="n">
        <x:v>32000</x:v>
      </x:c>
      <x:c r="C14" s="19" t="n">
        <x:v>0</x:v>
      </x:c>
      <x:c r="D14" s="19" t="n">
        <x:f>B14-C14</x:f>
        <x:v>32000</x:v>
      </x:c>
      <x:c r="E14" s="19" t="n">
        <x:v>13000</x:v>
      </x:c>
      <x:c r="F14" s="19" t="n">
        <x:v>52000</x:v>
      </x:c>
      <x:c r="G14" s="19" t="n">
        <x:f>E14-F14</x:f>
        <x:v>-39000</x:v>
      </x:c>
      <x:c r="H14" s="19" t="n">
        <x:f>B14+E14</x:f>
        <x:v>45000</x:v>
      </x:c>
      <x:c r="I14" s="19" t="n">
        <x:f>C14+F14</x:f>
        <x:v>52000</x:v>
      </x:c>
      <x:c r="J14" s="19" t="n">
        <x:f>H14-I14</x:f>
        <x:v>-7000</x:v>
      </x:c>
      <x:c r="K14" s="19" t="n">
        <x:f>K13+J14</x:f>
        <x:v>-21000</x:v>
      </x:c>
      <x:c r="L14" s="20" t="n">
        <x:v>4</x:v>
      </x:c>
      <x:c r="M14" s="20" t="n">
        <x:v>1</x:v>
      </x:c>
      <x:c r="N14" s="20" t="n">
        <x:v>3</x:v>
      </x:c>
      <x:c r="O14" s="20" t="n">
        <x:v>4</x:v>
      </x:c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139000</x:v>
      </x:c>
      <x:c r="F15" s="19" t="n">
        <x:v>92000</x:v>
      </x:c>
      <x:c r="G15" s="19" t="n">
        <x:f>E15-F15</x:f>
        <x:v>47000</x:v>
      </x:c>
      <x:c r="H15" s="19" t="n">
        <x:f>B15+E15</x:f>
        <x:v>156000</x:v>
      </x:c>
      <x:c r="I15" s="19" t="n">
        <x:f>C15+F15</x:f>
        <x:v>150000</x:v>
      </x:c>
      <x:c r="J15" s="19" t="n">
        <x:f>H15-I15</x:f>
        <x:v>6000</x:v>
      </x:c>
      <x:c r="K15" s="19" t="n">
        <x:f>K14+J15</x:f>
        <x:v>-15000</x:v>
      </x:c>
      <x:c r="L15" s="20" t="n">
        <x:v>14</x:v>
      </x:c>
      <x:c r="M15" s="20" t="n">
        <x:v>7</x:v>
      </x:c>
      <x:c r="N15" s="20" t="n">
        <x:v>7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48000</x:v>
      </x:c>
      <x:c r="D16" s="19" t="n">
        <x:f>B16-C16</x:f>
        <x:v>-48000</x:v>
      </x:c>
      <x:c r="E16" s="19" t="n">
        <x:v>245000</x:v>
      </x:c>
      <x:c r="F16" s="19" t="n">
        <x:v>83000</x:v>
      </x:c>
      <x:c r="G16" s="19" t="n">
        <x:f>E16-F16</x:f>
        <x:v>162000</x:v>
      </x:c>
      <x:c r="H16" s="19" t="n">
        <x:f>B16+E16</x:f>
        <x:v>245000</x:v>
      </x:c>
      <x:c r="I16" s="19" t="n">
        <x:f>C16+F16</x:f>
        <x:v>131000</x:v>
      </x:c>
      <x:c r="J16" s="19" t="n">
        <x:f>H16-I16</x:f>
        <x:v>114000</x:v>
      </x:c>
      <x:c r="K16" s="19" t="n">
        <x:f>K15+J16</x:f>
        <x:v>99000</x:v>
      </x:c>
      <x:c r="L16" s="20" t="n">
        <x:v>16</x:v>
      </x:c>
      <x:c r="M16" s="20" t="n">
        <x:v>1</x:v>
      </x:c>
      <x:c r="N16" s="20" t="n">
        <x:v>15</x:v>
      </x:c>
      <x:c r="O16" s="20" t="n">
        <x:v>10</x:v>
      </x:c>
    </x:row>
    <x:row r="17" ht="23" customHeight="1">
      <x:c r="A17" s="2" t="str">
        <x:v>2026-10-05_Night</x:v>
      </x:c>
      <x:c r="B17" s="19" t="n">
        <x:v>53000</x:v>
      </x:c>
      <x:c r="C17" s="19" t="n">
        <x:v>0</x:v>
      </x:c>
      <x:c r="D17" s="19" t="n">
        <x:f>B17-C17</x:f>
        <x:v>53000</x:v>
      </x:c>
      <x:c r="E17" s="19" t="n">
        <x:v>101000</x:v>
      </x:c>
      <x:c r="F17" s="19" t="n">
        <x:v>64000</x:v>
      </x:c>
      <x:c r="G17" s="19" t="n">
        <x:f>E17-F17</x:f>
        <x:v>37000</x:v>
      </x:c>
      <x:c r="H17" s="19" t="n">
        <x:f>B17+E17</x:f>
        <x:v>154000</x:v>
      </x:c>
      <x:c r="I17" s="19" t="n">
        <x:f>C17+F17</x:f>
        <x:v>64000</x:v>
      </x:c>
      <x:c r="J17" s="19" t="n">
        <x:f>H17-I17</x:f>
        <x:v>90000</x:v>
      </x:c>
      <x:c r="K17" s="19" t="n">
        <x:f>K16+J17</x:f>
        <x:v>189000</x:v>
      </x:c>
      <x:c r="L17" s="20" t="n">
        <x:v>9</x:v>
      </x:c>
      <x:c r="M17" s="20" t="n">
        <x:v>1</x:v>
      </x:c>
      <x:c r="N17" s="20" t="n">
        <x:v>8</x:v>
      </x:c>
      <x:c r="O17" s="20" t="n">
        <x:v>5</x:v>
      </x:c>
    </x:row>
    <x:row r="18" ht="23" customHeight="1">
      <x:c r="A18" s="2" t="str">
        <x:v>2026-10-06_Night</x:v>
      </x:c>
      <x:c r="B18" s="19" t="n">
        <x:v>87000</x:v>
      </x:c>
      <x:c r="C18" s="19" t="n">
        <x:v>0</x:v>
      </x:c>
      <x:c r="D18" s="19" t="n">
        <x:f>B18-C18</x:f>
        <x:v>87000</x:v>
      </x:c>
      <x:c r="E18" s="19" t="n">
        <x:v>71000</x:v>
      </x:c>
      <x:c r="F18" s="19" t="n">
        <x:v>43000</x:v>
      </x:c>
      <x:c r="G18" s="19" t="n">
        <x:f>E18-F18</x:f>
        <x:v>28000</x:v>
      </x:c>
      <x:c r="H18" s="19" t="n">
        <x:f>B18+E18</x:f>
        <x:v>158000</x:v>
      </x:c>
      <x:c r="I18" s="19" t="n">
        <x:f>C18+F18</x:f>
        <x:v>43000</x:v>
      </x:c>
      <x:c r="J18" s="19" t="n">
        <x:f>H18-I18</x:f>
        <x:v>115000</x:v>
      </x:c>
      <x:c r="K18" s="19" t="n">
        <x:f>K17+J18</x:f>
        <x:v>304000</x:v>
      </x:c>
      <x:c r="L18" s="20" t="n">
        <x:v>6</x:v>
      </x:c>
      <x:c r="M18" s="20" t="n">
        <x:v>1</x:v>
      </x:c>
      <x:c r="N18" s="20" t="n">
        <x:v>5</x:v>
      </x:c>
      <x:c r="O18" s="20" t="n">
        <x:v>7</x:v>
      </x:c>
    </x:row>
    <x:row r="19" ht="23" customHeight="1">
      <x:c r="A19" s="2" t="str">
        <x:v>2026-10-07_Night</x:v>
      </x:c>
      <x:c r="B19" s="19" t="n">
        <x:v>0</x:v>
      </x:c>
      <x:c r="C19" s="19" t="n">
        <x:v>76000</x:v>
      </x:c>
      <x:c r="D19" s="19" t="n">
        <x:f>B19-C19</x:f>
        <x:v>-76000</x:v>
      </x:c>
      <x:c r="E19" s="19" t="n">
        <x:v>0</x:v>
      </x:c>
      <x:c r="F19" s="19" t="n">
        <x:v>58000</x:v>
      </x:c>
      <x:c r="G19" s="19" t="n">
        <x:f>E19-F19</x:f>
        <x:v>-58000</x:v>
      </x:c>
      <x:c r="H19" s="19" t="n">
        <x:f>B19+E19</x:f>
        <x:v>0</x:v>
      </x:c>
      <x:c r="I19" s="19" t="n">
        <x:f>C19+F19</x:f>
        <x:v>134000</x:v>
      </x:c>
      <x:c r="J19" s="19" t="n">
        <x:f>H19-I19</x:f>
        <x:v>-134000</x:v>
      </x:c>
      <x:c r="K19" s="19" t="n">
        <x:f>K18+J19</x:f>
        <x:v>170000</x:v>
      </x:c>
      <x:c r="L19" s="20" t="n">
        <x:v>6</x:v>
      </x:c>
      <x:c r="M19" s="20" t="n">
        <x:v>3</x:v>
      </x:c>
      <x:c r="N19" s="20" t="n">
        <x:v>3</x:v>
      </x:c>
      <x:c r="O19" s="20" t="n">
        <x:v>5</x:v>
      </x:c>
    </x:row>
    <x:row r="20" ht="23" customHeight="1">
      <x:c r="A20" s="2" t="str">
        <x:v>2026-10-08_Night</x:v>
      </x:c>
      <x:c r="B20" s="19" t="n">
        <x:v>19000</x:v>
      </x:c>
      <x:c r="C20" s="19" t="n">
        <x:v>45000</x:v>
      </x:c>
      <x:c r="D20" s="19" t="n">
        <x:f>B20-C20</x:f>
        <x:v>-26000</x:v>
      </x:c>
      <x:c r="E20" s="19" t="n">
        <x:v>277000</x:v>
      </x:c>
      <x:c r="F20" s="19" t="n">
        <x:v>20000</x:v>
      </x:c>
      <x:c r="G20" s="19" t="n">
        <x:f>E20-F20</x:f>
        <x:v>257000</x:v>
      </x:c>
      <x:c r="H20" s="19" t="n">
        <x:f>B20+E20</x:f>
        <x:v>296000</x:v>
      </x:c>
      <x:c r="I20" s="19" t="n">
        <x:f>C20+F20</x:f>
        <x:v>65000</x:v>
      </x:c>
      <x:c r="J20" s="19" t="n">
        <x:f>H20-I20</x:f>
        <x:v>231000</x:v>
      </x:c>
      <x:c r="K20" s="19" t="n">
        <x:f>K19+J20</x:f>
        <x:v>401000</x:v>
      </x:c>
      <x:c r="L20" s="20" t="n">
        <x:v>19</x:v>
      </x:c>
      <x:c r="M20" s="20" t="n">
        <x:v>4</x:v>
      </x:c>
      <x:c r="N20" s="20" t="n">
        <x:v>15</x:v>
      </x:c>
      <x:c r="O20" s="20" t="n">
        <x:v>8</x:v>
      </x:c>
    </x:row>
    <x:row r="21" ht="23" customHeight="1">
      <x:c r="A21" s="2" t="str">
        <x:v>2026-10-09_Night</x:v>
      </x:c>
      <x:c r="B21" s="19" t="n">
        <x:v>0</x:v>
      </x:c>
      <x:c r="C21" s="19" t="n">
        <x:v>46000</x:v>
      </x:c>
      <x:c r="D21" s="19" t="n">
        <x:f>B21-C21</x:f>
        <x:v>-46000</x:v>
      </x:c>
      <x:c r="E21" s="19" t="n">
        <x:v>0</x:v>
      </x:c>
      <x:c r="F21" s="19" t="n">
        <x:v>40000</x:v>
      </x:c>
      <x:c r="G21" s="19" t="n">
        <x:f>E21-F21</x:f>
        <x:v>-40000</x:v>
      </x:c>
      <x:c r="H21" s="19" t="n">
        <x:f>B21+E21</x:f>
        <x:v>0</x:v>
      </x:c>
      <x:c r="I21" s="19" t="n">
        <x:f>C21+F21</x:f>
        <x:v>86000</x:v>
      </x:c>
      <x:c r="J21" s="19" t="n">
        <x:f>H21-I21</x:f>
        <x:v>-86000</x:v>
      </x:c>
      <x:c r="K21" s="19" t="n">
        <x:f>K20+J21</x:f>
        <x:v>315000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</x:row>
    <x:row r="22" ht="23" customHeight="1">
      <x:c r="A22" s="2" t="str">
        <x:v>2026-10-12_Night</x:v>
      </x:c>
      <x:c r="B22" s="19" t="n">
        <x:v>11000</x:v>
      </x:c>
      <x:c r="C22" s="19" t="n">
        <x:v>0</x:v>
      </x:c>
      <x:c r="D22" s="19" t="n">
        <x:f>B22-C22</x:f>
        <x:v>11000</x:v>
      </x:c>
      <x:c r="E22" s="19" t="n">
        <x:v>79000</x:v>
      </x:c>
      <x:c r="F22" s="19" t="n">
        <x:v>0</x:v>
      </x:c>
      <x:c r="G22" s="19" t="n">
        <x:f>E22-F22</x:f>
        <x:v>79000</x:v>
      </x:c>
      <x:c r="H22" s="19" t="n">
        <x:f>B22+E22</x:f>
        <x:v>90000</x:v>
      </x:c>
      <x:c r="I22" s="19" t="n">
        <x:f>C22+F22</x:f>
        <x:v>0</x:v>
      </x:c>
      <x:c r="J22" s="19" t="n">
        <x:f>H22-I22</x:f>
        <x:v>90000</x:v>
      </x:c>
      <x:c r="K22" s="19" t="n">
        <x:f>K21+J22</x:f>
        <x:v>405000</x:v>
      </x:c>
      <x:c r="L22" s="20" t="n">
        <x:v>2</x:v>
      </x:c>
      <x:c r="M22" s="20" t="n">
        <x:v>1</x:v>
      </x:c>
      <x:c r="N22" s="20" t="n">
        <x:v>1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53000</x:v>
      </x:c>
      <x:c r="D23" s="19" t="n">
        <x:f>B23-C23</x:f>
        <x:v>-53000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106000</x:v>
      </x:c>
      <x:c r="J23" s="19" t="n">
        <x:f>H23-I23</x:f>
        <x:v>-106000</x:v>
      </x:c>
      <x:c r="K23" s="19" t="n">
        <x:f>K22+J23</x:f>
        <x:v>299000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80000</x:v>
      </x:c>
      <x:c r="D24" s="19" t="n">
        <x:f>B24-C24</x:f>
        <x:v>-80000</x:v>
      </x:c>
      <x:c r="E24" s="19" t="n">
        <x:v>197000</x:v>
      </x:c>
      <x:c r="F24" s="19" t="n">
        <x:v>64000</x:v>
      </x:c>
      <x:c r="G24" s="19" t="n">
        <x:f>E24-F24</x:f>
        <x:v>133000</x:v>
      </x:c>
      <x:c r="H24" s="19" t="n">
        <x:f>B24+E24</x:f>
        <x:v>197000</x:v>
      </x:c>
      <x:c r="I24" s="19" t="n">
        <x:f>C24+F24</x:f>
        <x:v>144000</x:v>
      </x:c>
      <x:c r="J24" s="19" t="n">
        <x:f>H24-I24</x:f>
        <x:v>53000</x:v>
      </x:c>
      <x:c r="K24" s="19" t="n">
        <x:f>K23+J24</x:f>
        <x:v>352000</x:v>
      </x:c>
      <x:c r="L24" s="20" t="n">
        <x:v>6</x:v>
      </x:c>
      <x:c r="M24" s="20" t="n">
        <x:v>2</x:v>
      </x:c>
      <x:c r="N24" s="20" t="n">
        <x:v>4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50000</x:v>
      </x:c>
      <x:c r="D25" s="19" t="n">
        <x:f>B25-C25</x:f>
        <x:v>-50000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103000</x:v>
      </x:c>
      <x:c r="J25" s="19" t="n">
        <x:f>H25-I25</x:f>
        <x:v>-28000</x:v>
      </x:c>
      <x:c r="K25" s="19" t="n">
        <x:f>K24+J25</x:f>
        <x:v>324000</x:v>
      </x:c>
      <x:c r="L25" s="20" t="n">
        <x:v>8</x:v>
      </x:c>
      <x:c r="M25" s="20" t="n">
        <x:v>1</x:v>
      </x:c>
      <x:c r="N25" s="20" t="n">
        <x:v>7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100000</x:v>
      </x:c>
      <x:c r="D26" s="19" t="n">
        <x:f>B26-C26</x:f>
        <x:v>-100000</x:v>
      </x:c>
      <x:c r="E26" s="19" t="n">
        <x:v>237000</x:v>
      </x:c>
      <x:c r="F26" s="19" t="n">
        <x:v>126000</x:v>
      </x:c>
      <x:c r="G26" s="19" t="n">
        <x:f>E26-F26</x:f>
        <x:v>111000</x:v>
      </x:c>
      <x:c r="H26" s="19" t="n">
        <x:f>B26+E26</x:f>
        <x:v>237000</x:v>
      </x:c>
      <x:c r="I26" s="19" t="n">
        <x:f>C26+F26</x:f>
        <x:v>226000</x:v>
      </x:c>
      <x:c r="J26" s="19" t="n">
        <x:f>H26-I26</x:f>
        <x:v>11000</x:v>
      </x:c>
      <x:c r="K26" s="19" t="n">
        <x:f>K25+J26</x:f>
        <x:v>335000</x:v>
      </x:c>
      <x:c r="L26" s="20" t="n">
        <x:v>15</x:v>
      </x:c>
      <x:c r="M26" s="20" t="n">
        <x:v>2</x:v>
      </x:c>
      <x:c r="N26" s="20" t="n">
        <x:v>13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20000</x:v>
      </x:c>
      <x:c r="D27" s="19" t="n">
        <x:f>B27-C27</x:f>
        <x:v>-20000</x:v>
      </x:c>
      <x:c r="E27" s="19" t="n">
        <x:v>85000</x:v>
      </x:c>
      <x:c r="F27" s="19" t="n">
        <x:v>128000</x:v>
      </x:c>
      <x:c r="G27" s="19" t="n">
        <x:f>E27-F27</x:f>
        <x:v>-43000</x:v>
      </x:c>
      <x:c r="H27" s="19" t="n">
        <x:f>B27+E27</x:f>
        <x:v>85000</x:v>
      </x:c>
      <x:c r="I27" s="19" t="n">
        <x:f>C27+F27</x:f>
        <x:v>148000</x:v>
      </x:c>
      <x:c r="J27" s="19" t="n">
        <x:f>H27-I27</x:f>
        <x:v>-63000</x:v>
      </x:c>
      <x:c r="K27" s="19" t="n">
        <x:f>K26+J27</x:f>
        <x:v>272000</x:v>
      </x:c>
      <x:c r="L27" s="20" t="n">
        <x:v>14</x:v>
      </x:c>
      <x:c r="M27" s="20" t="n">
        <x:v>1</x:v>
      </x:c>
      <x:c r="N27" s="20" t="n">
        <x:v>13</x:v>
      </x:c>
      <x:c r="O27" s="20" t="n">
        <x:v>5</x:v>
      </x:c>
    </x:row>
    <x:row r="28" ht="23" customHeight="1">
      <x:c r="A28" s="2" t="str">
        <x:v>2026-10-20_Night</x:v>
      </x:c>
      <x:c r="B28" s="19" t="n">
        <x:v>80000</x:v>
      </x:c>
      <x:c r="C28" s="19" t="n">
        <x:v>0</x:v>
      </x:c>
      <x:c r="D28" s="19" t="n">
        <x:f>B28-C28</x:f>
        <x:v>80000</x:v>
      </x:c>
      <x:c r="E28" s="19" t="n">
        <x:v>36000</x:v>
      </x:c>
      <x:c r="F28" s="19" t="n">
        <x:v>84000</x:v>
      </x:c>
      <x:c r="G28" s="19" t="n">
        <x:f>E28-F28</x:f>
        <x:v>-48000</x:v>
      </x:c>
      <x:c r="H28" s="19" t="n">
        <x:f>B28+E28</x:f>
        <x:v>116000</x:v>
      </x:c>
      <x:c r="I28" s="19" t="n">
        <x:f>C28+F28</x:f>
        <x:v>84000</x:v>
      </x:c>
      <x:c r="J28" s="19" t="n">
        <x:f>H28-I28</x:f>
        <x:v>32000</x:v>
      </x:c>
      <x:c r="K28" s="19" t="n">
        <x:f>K27+J28</x:f>
        <x:v>304000</x:v>
      </x:c>
      <x:c r="L28" s="20" t="n">
        <x:v>10</x:v>
      </x:c>
      <x:c r="M28" s="20" t="n">
        <x:v>3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51000</x:v>
      </x:c>
      <x:c r="C29" s="19" t="n">
        <x:v>0</x:v>
      </x:c>
      <x:c r="D29" s="19" t="n">
        <x:f>B29-C29</x:f>
        <x:v>51000</x:v>
      </x:c>
      <x:c r="E29" s="19" t="n">
        <x:v>23000</x:v>
      </x:c>
      <x:c r="F29" s="19" t="n">
        <x:v>117000</x:v>
      </x:c>
      <x:c r="G29" s="19" t="n">
        <x:f>E29-F29</x:f>
        <x:v>-94000</x:v>
      </x:c>
      <x:c r="H29" s="19" t="n">
        <x:f>B29+E29</x:f>
        <x:v>74000</x:v>
      </x:c>
      <x:c r="I29" s="19" t="n">
        <x:f>C29+F29</x:f>
        <x:v>117000</x:v>
      </x:c>
      <x:c r="J29" s="19" t="n">
        <x:f>H29-I29</x:f>
        <x:v>-43000</x:v>
      </x:c>
      <x:c r="K29" s="19" t="n">
        <x:f>K28+J29</x:f>
        <x:v>261000</x:v>
      </x:c>
      <x:c r="L29" s="20" t="n">
        <x:v>6</x:v>
      </x:c>
      <x:c r="M29" s="20" t="n">
        <x:v>1</x:v>
      </x:c>
      <x:c r="N29" s="20" t="n">
        <x:v>5</x:v>
      </x:c>
      <x:c r="O29" s="20" t="n">
        <x:v>7</x:v>
      </x:c>
    </x:row>
    <x:row r="30" ht="23" customHeight="1">
      <x:c r="A30" s="2" t="str">
        <x:v>2026-10-22_Night</x:v>
      </x:c>
      <x:c r="B30" s="19" t="n">
        <x:v>0</x:v>
      </x:c>
      <x:c r="C30" s="19" t="n">
        <x:v>83000</x:v>
      </x:c>
      <x:c r="D30" s="19" t="n">
        <x:f>B30-C30</x:f>
        <x:v>-83000</x:v>
      </x:c>
      <x:c r="E30" s="19" t="n">
        <x:v>156000</x:v>
      </x:c>
      <x:c r="F30" s="19" t="n">
        <x:v>45000</x:v>
      </x:c>
      <x:c r="G30" s="19" t="n">
        <x:f>E30-F30</x:f>
        <x:v>111000</x:v>
      </x:c>
      <x:c r="H30" s="19" t="n">
        <x:f>B30+E30</x:f>
        <x:v>156000</x:v>
      </x:c>
      <x:c r="I30" s="19" t="n">
        <x:f>C30+F30</x:f>
        <x:v>128000</x:v>
      </x:c>
      <x:c r="J30" s="19" t="n">
        <x:f>H30-I30</x:f>
        <x:v>28000</x:v>
      </x:c>
      <x:c r="K30" s="19" t="n">
        <x:f>K29+J30</x:f>
        <x:v>289000</x:v>
      </x:c>
      <x:c r="L30" s="20" t="n">
        <x:v>6</x:v>
      </x:c>
      <x:c r="M30" s="20" t="n">
        <x:v>2</x:v>
      </x:c>
      <x:c r="N30" s="20" t="n">
        <x:v>4</x:v>
      </x:c>
      <x:c r="O30" s="20" t="n">
        <x:v>6</x:v>
      </x:c>
    </x:row>
    <x:row r="31" ht="23" customHeight="1">
      <x:c r="A31" s="2" t="str">
        <x:v>2026-10-23_Night</x:v>
      </x:c>
      <x:c r="B31" s="19" t="n">
        <x:v>3000</x:v>
      </x:c>
      <x:c r="C31" s="19" t="n">
        <x:v>76000</x:v>
      </x:c>
      <x:c r="D31" s="19" t="n">
        <x:f>B31-C31</x:f>
        <x:v>-73000</x:v>
      </x:c>
      <x:c r="E31" s="19" t="n">
        <x:v>11000</x:v>
      </x:c>
      <x:c r="F31" s="19" t="n">
        <x:v>77000</x:v>
      </x:c>
      <x:c r="G31" s="19" t="n">
        <x:f>E31-F31</x:f>
        <x:v>-66000</x:v>
      </x:c>
      <x:c r="H31" s="19" t="n">
        <x:f>B31+E31</x:f>
        <x:v>14000</x:v>
      </x:c>
      <x:c r="I31" s="19" t="n">
        <x:f>C31+F31</x:f>
        <x:v>153000</x:v>
      </x:c>
      <x:c r="J31" s="19" t="n">
        <x:f>H31-I31</x:f>
        <x:v>-139000</x:v>
      </x:c>
      <x:c r="K31" s="19" t="n">
        <x:f>K30+J31</x:f>
        <x:v>150000</x:v>
      </x:c>
      <x:c r="L31" s="20" t="n">
        <x:v>11</x:v>
      </x:c>
      <x:c r="M31" s="20" t="n">
        <x:v>5</x:v>
      </x:c>
      <x:c r="N31" s="20" t="n">
        <x:v>6</x:v>
      </x:c>
      <x:c r="O31" s="20" t="n">
        <x:v>5</x:v>
      </x:c>
    </x:row>
    <x:row r="32" ht="23" customHeight="1">
      <x:c r="A32" s="24" t="str">
        <x:v>25夜累計</x:v>
      </x:c>
      <x:c r="B32" s="25" t="n">
        <x:f>SUM(B7:B31)</x:f>
        <x:v>491000</x:v>
      </x:c>
      <x:c r="C32" s="25" t="n">
        <x:f>SUM(C7:C31)</x:f>
        <x:v>925000</x:v>
      </x:c>
      <x:c r="D32" s="25" t="n">
        <x:f>B32-C32</x:f>
        <x:v>-434000</x:v>
      </x:c>
      <x:c r="E32" s="25" t="n">
        <x:f>SUM(E7:E31)</x:f>
        <x:v>1966000</x:v>
      </x:c>
      <x:c r="F32" s="25" t="n">
        <x:f>SUM(F7:F31)</x:f>
        <x:v>1382000</x:v>
      </x:c>
      <x:c r="G32" s="25" t="n">
        <x:f>E32-F32</x:f>
        <x:v>584000</x:v>
      </x:c>
      <x:c r="H32" s="25" t="n">
        <x:f>B32+E32</x:f>
        <x:v>2457000</x:v>
      </x:c>
      <x:c r="I32" s="25" t="n">
        <x:f>C32+F32</x:f>
        <x:v>2307000</x:v>
      </x:c>
      <x:c r="J32" s="25" t="n">
        <x:f>H32-I32</x:f>
        <x:v>150000</x:v>
      </x:c>
      <x:c r="K32" s="25" t="n">
        <x:f>K31</x:f>
        <x:v>150000</x:v>
      </x:c>
      <x:c r="L32" s="26" t="n">
        <x:f>SUM(L7:L31)</x:f>
        <x:v>191</x:v>
      </x:c>
      <x:c r="M32" s="26" t="n">
        <x:f>SUM(M7:M31)</x:f>
        <x:v>50</x:v>
      </x:c>
      <x:c r="N32" s="26" t="n">
        <x:f>SUM(N7:N31)</x:f>
        <x:v>141</x:v>
      </x:c>
      <x:c r="O32" s="26" t="n">
        <x:f>MAX(O7:O31)</x:f>
        <x:v>10</x:v>
      </x:c>
    </x:row>
  </x:sheetData>
  <x:conditionalFormatting sqref="B7:K32">
    <x:cfRule type="cellIs" dxfId="1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75b26d5ec04f30"/>
  </x:tableParts>
</x:worksheet>
</file>

<file path=xl/worksheets/sheet19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S02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S01の主担当22分・補完30分を元の時計に戻す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52000</x:v>
      </x:c>
      <x:c r="C7" s="19" t="n">
        <x:v>0</x:v>
      </x:c>
      <x:c r="D7" s="19" t="n">
        <x:f>B7-C7</x:f>
        <x:v>52000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52000</x:v>
      </x:c>
      <x:c r="I7" s="19" t="n">
        <x:f>C7+F7</x:f>
        <x:v>45000</x:v>
      </x:c>
      <x:c r="J7" s="19" t="n">
        <x:f>H7-I7</x:f>
        <x:v>7000</x:v>
      </x:c>
      <x:c r="K7" s="19" t="n">
        <x:f>J7</x:f>
        <x:v>7000</x:v>
      </x:c>
      <x:c r="L7" s="20" t="n">
        <x:v>2</x:v>
      </x:c>
      <x:c r="M7" s="20" t="n">
        <x:v>1</x:v>
      </x:c>
      <x:c r="N7" s="20" t="n">
        <x:v>1</x:v>
      </x:c>
      <x:c r="O7" s="20" t="n">
        <x:v>5</x:v>
      </x:c>
    </x:row>
    <x:row r="8" ht="23" customHeight="1">
      <x:c r="A8" s="2" t="str">
        <x:v>2026-09-22_Night</x:v>
      </x:c>
      <x:c r="B8" s="19" t="n">
        <x:v>51000</x:v>
      </x:c>
      <x:c r="C8" s="19" t="n">
        <x:v>0</x:v>
      </x:c>
      <x:c r="D8" s="19" t="n">
        <x:f>B8-C8</x:f>
        <x:v>51000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75000</x:v>
      </x:c>
      <x:c r="I8" s="19" t="n">
        <x:f>C8+F8</x:f>
        <x:v>0</x:v>
      </x:c>
      <x:c r="J8" s="19" t="n">
        <x:f>H8-I8</x:f>
        <x:v>75000</x:v>
      </x:c>
      <x:c r="K8" s="19" t="n">
        <x:f>K7+J8</x:f>
        <x:v>82000</x:v>
      </x:c>
      <x:c r="L8" s="20" t="n">
        <x:v>3</x:v>
      </x:c>
      <x:c r="M8" s="20" t="n">
        <x:v>2</x:v>
      </x:c>
      <x:c r="N8" s="20" t="n">
        <x:v>1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40000</x:v>
      </x:c>
      <x:c r="D9" s="19" t="n">
        <x:f>B9-C9</x:f>
        <x:v>-40000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80000</x:v>
      </x:c>
      <x:c r="J9" s="19" t="n">
        <x:f>H9-I9</x:f>
        <x:v>-76000</x:v>
      </x:c>
      <x:c r="K9" s="19" t="n">
        <x:f>K8+J9</x:f>
        <x:v>6000</x:v>
      </x:c>
      <x:c r="L9" s="20" t="n">
        <x:v>4</x:v>
      </x:c>
      <x:c r="M9" s="20" t="n">
        <x:v>1</x:v>
      </x:c>
      <x:c r="N9" s="20" t="n">
        <x:v>3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79000</x:v>
      </x:c>
      <x:c r="D10" s="19" t="n">
        <x:f>B10-C10</x:f>
        <x:v>-79000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79000</x:v>
      </x:c>
      <x:c r="J10" s="19" t="n">
        <x:f>H10-I10</x:f>
        <x:v>-59000</x:v>
      </x:c>
      <x:c r="K10" s="19" t="n">
        <x:f>K9+J10</x:f>
        <x:v>-53000</x:v>
      </x:c>
      <x:c r="L10" s="20" t="n">
        <x:v>4</x:v>
      </x:c>
      <x:c r="M10" s="20" t="n">
        <x:v>2</x:v>
      </x:c>
      <x:c r="N10" s="20" t="n">
        <x:v>2</x:v>
      </x:c>
      <x:c r="O10" s="20" t="n">
        <x:v>5</x:v>
      </x:c>
    </x:row>
    <x:row r="11" ht="23" customHeight="1">
      <x:c r="A11" s="2" t="str">
        <x:v>2026-09-25_Night</x:v>
      </x:c>
      <x:c r="B11" s="19" t="n">
        <x:v>26000</x:v>
      </x:c>
      <x:c r="C11" s="19" t="n">
        <x:v>0</x:v>
      </x:c>
      <x:c r="D11" s="19" t="n">
        <x:f>B11-C11</x:f>
        <x:v>26000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43000</x:v>
      </x:c>
      <x:c r="I11" s="19" t="n">
        <x:f>C11+F11</x:f>
        <x:v>16000</x:v>
      </x:c>
      <x:c r="J11" s="19" t="n">
        <x:f>H11-I11</x:f>
        <x:v>27000</x:v>
      </x:c>
      <x:c r="K11" s="19" t="n">
        <x:f>K10+J11</x:f>
        <x:v>-26000</x:v>
      </x:c>
      <x:c r="L11" s="20" t="n">
        <x:v>3</x:v>
      </x:c>
      <x:c r="M11" s="20" t="n">
        <x:v>1</x:v>
      </x:c>
      <x:c r="N11" s="20" t="n">
        <x:v>2</x:v>
      </x:c>
      <x:c r="O11" s="20" t="n">
        <x:v>5</x:v>
      </x:c>
    </x:row>
    <x:row r="12" ht="23" customHeight="1">
      <x:c r="A12" s="2" t="str">
        <x:v>2026-09-28_Night</x:v>
      </x:c>
      <x:c r="B12" s="19" t="n">
        <x:v>9000</x:v>
      </x:c>
      <x:c r="C12" s="19" t="n">
        <x:v>21000</x:v>
      </x:c>
      <x:c r="D12" s="19" t="n">
        <x:f>B12-C12</x:f>
        <x:v>-12000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51000</x:v>
      </x:c>
      <x:c r="J12" s="19" t="n">
        <x:f>H12-I12</x:f>
        <x:v>-41000</x:v>
      </x:c>
      <x:c r="K12" s="19" t="n">
        <x:f>K11+J12</x:f>
        <x:v>-67000</x:v>
      </x:c>
      <x:c r="L12" s="20" t="n">
        <x:v>6</x:v>
      </x:c>
      <x:c r="M12" s="20" t="n">
        <x:v>2</x:v>
      </x:c>
      <x:c r="N12" s="20" t="n">
        <x:v>4</x:v>
      </x:c>
      <x:c r="O12" s="20" t="n">
        <x:v>3</x:v>
      </x:c>
    </x:row>
    <x:row r="13" ht="23" customHeight="1">
      <x:c r="A13" s="2" t="str">
        <x:v>2026-09-29_Night</x:v>
      </x:c>
      <x:c r="B13" s="19" t="n">
        <x:v>0</x:v>
      </x:c>
      <x:c r="C13" s="19" t="n">
        <x:v>50000</x:v>
      </x:c>
      <x:c r="D13" s="19" t="n">
        <x:f>B13-C13</x:f>
        <x:v>-50000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72000</x:v>
      </x:c>
      <x:c r="J13" s="19" t="n">
        <x:f>H13-I13</x:f>
        <x:v>15000</x:v>
      </x:c>
      <x:c r="K13" s="19" t="n">
        <x:f>K12+J13</x:f>
        <x:v>-52000</x:v>
      </x:c>
      <x:c r="L13" s="20" t="n">
        <x:v>7</x:v>
      </x:c>
      <x:c r="M13" s="20" t="n">
        <x:v>1</x:v>
      </x:c>
      <x:c r="N13" s="20" t="n">
        <x:v>6</x:v>
      </x:c>
      <x:c r="O13" s="20" t="n">
        <x:v>5</x:v>
      </x:c>
    </x:row>
    <x:row r="14" ht="23" customHeight="1">
      <x:c r="A14" s="2" t="str">
        <x:v>2026-09-30_Night</x:v>
      </x:c>
      <x:c r="B14" s="19" t="n">
        <x:v>32000</x:v>
      </x:c>
      <x:c r="C14" s="19" t="n">
        <x:v>0</x:v>
      </x:c>
      <x:c r="D14" s="19" t="n">
        <x:f>B14-C14</x:f>
        <x:v>32000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75000</x:v>
      </x:c>
      <x:c r="I14" s="19" t="n">
        <x:f>C14+F14</x:f>
        <x:v>0</x:v>
      </x:c>
      <x:c r="J14" s="19" t="n">
        <x:f>H14-I14</x:f>
        <x:v>75000</x:v>
      </x:c>
      <x:c r="K14" s="19" t="n">
        <x:f>K13+J14</x:f>
        <x:v>23000</x:v>
      </x:c>
      <x:c r="L14" s="20" t="n">
        <x:v>4</x:v>
      </x:c>
      <x:c r="M14" s="20" t="n">
        <x:v>1</x:v>
      </x:c>
      <x:c r="N14" s="20" t="n">
        <x:v>3</x:v>
      </x:c>
      <x:c r="O14" s="20" t="n">
        <x:v>7</x:v>
      </x:c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80000</x:v>
      </x:c>
      <x:c r="L15" s="20" t="n">
        <x:v>15</x:v>
      </x:c>
      <x:c r="M15" s="20" t="n">
        <x:v>7</x:v>
      </x:c>
      <x:c r="N15" s="20" t="n">
        <x:v>8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48000</x:v>
      </x:c>
      <x:c r="D16" s="19" t="n">
        <x:f>B16-C16</x:f>
        <x:v>-48000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86000</x:v>
      </x:c>
      <x:c r="J16" s="19" t="n">
        <x:f>H16-I16</x:f>
        <x:v>208000</x:v>
      </x:c>
      <x:c r="K16" s="19" t="n">
        <x:f>K15+J16</x:f>
        <x:v>288000</x:v>
      </x:c>
      <x:c r="L16" s="20" t="n">
        <x:v>16</x:v>
      </x:c>
      <x:c r="M16" s="20" t="n">
        <x:v>1</x:v>
      </x:c>
      <x:c r="N16" s="20" t="n">
        <x:v>15</x:v>
      </x:c>
      <x:c r="O16" s="20" t="n">
        <x:v>10</x:v>
      </x:c>
    </x:row>
    <x:row r="17" ht="23" customHeight="1">
      <x:c r="A17" s="2" t="str">
        <x:v>2026-10-05_Night</x:v>
      </x:c>
      <x:c r="B17" s="19" t="n">
        <x:v>53000</x:v>
      </x:c>
      <x:c r="C17" s="19" t="n">
        <x:v>0</x:v>
      </x:c>
      <x:c r="D17" s="19" t="n">
        <x:f>B17-C17</x:f>
        <x:v>53000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151000</x:v>
      </x:c>
      <x:c r="I17" s="19" t="n">
        <x:f>C17+F17</x:f>
        <x:v>64000</x:v>
      </x:c>
      <x:c r="J17" s="19" t="n">
        <x:f>H17-I17</x:f>
        <x:v>87000</x:v>
      </x:c>
      <x:c r="K17" s="19" t="n">
        <x:f>K16+J17</x:f>
        <x:v>375000</x:v>
      </x:c>
      <x:c r="L17" s="20" t="n">
        <x:v>8</x:v>
      </x:c>
      <x:c r="M17" s="20" t="n">
        <x:v>1</x:v>
      </x:c>
      <x:c r="N17" s="20" t="n">
        <x:v>7</x:v>
      </x:c>
      <x:c r="O17" s="20" t="n">
        <x:v>5</x:v>
      </x:c>
    </x:row>
    <x:row r="18" ht="23" customHeight="1">
      <x:c r="A18" s="2" t="str">
        <x:v>2026-10-06_Night</x:v>
      </x:c>
      <x:c r="B18" s="19" t="n">
        <x:v>87000</x:v>
      </x:c>
      <x:c r="C18" s="19" t="n">
        <x:v>0</x:v>
      </x:c>
      <x:c r="D18" s="19" t="n">
        <x:f>B18-C18</x:f>
        <x:v>87000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120000</x:v>
      </x:c>
      <x:c r="I18" s="19" t="n">
        <x:f>C18+F18</x:f>
        <x:v>43000</x:v>
      </x:c>
      <x:c r="J18" s="19" t="n">
        <x:f>H18-I18</x:f>
        <x:v>77000</x:v>
      </x:c>
      <x:c r="K18" s="19" t="n">
        <x:f>K17+J18</x:f>
        <x:v>452000</x:v>
      </x:c>
      <x:c r="L18" s="20" t="n">
        <x:v>5</x:v>
      </x:c>
      <x:c r="M18" s="20" t="n">
        <x:v>1</x:v>
      </x:c>
      <x:c r="N18" s="20" t="n">
        <x:v>4</x:v>
      </x:c>
      <x:c r="O18" s="20" t="n">
        <x:v>7</x:v>
      </x:c>
    </x:row>
    <x:row r="19" ht="23" customHeight="1">
      <x:c r="A19" s="2" t="str">
        <x:v>2026-10-07_Night</x:v>
      </x:c>
      <x:c r="B19" s="19" t="n">
        <x:v>0</x:v>
      </x:c>
      <x:c r="C19" s="19" t="n">
        <x:v>76000</x:v>
      </x:c>
      <x:c r="D19" s="19" t="n">
        <x:f>B19-C19</x:f>
        <x:v>-76000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98000</x:v>
      </x:c>
      <x:c r="J19" s="19" t="n">
        <x:f>H19-I19</x:f>
        <x:v>-98000</x:v>
      </x:c>
      <x:c r="K19" s="19" t="n">
        <x:f>K18+J19</x:f>
        <x:v>354000</x:v>
      </x:c>
      <x:c r="L19" s="20" t="n">
        <x:v>5</x:v>
      </x:c>
      <x:c r="M19" s="20" t="n">
        <x:v>3</x:v>
      </x:c>
      <x:c r="N19" s="20" t="n">
        <x:v>2</x:v>
      </x:c>
      <x:c r="O19" s="20" t="n">
        <x:v>5</x:v>
      </x:c>
    </x:row>
    <x:row r="20" ht="23" customHeight="1">
      <x:c r="A20" s="2" t="str">
        <x:v>2026-10-08_Night</x:v>
      </x:c>
      <x:c r="B20" s="19" t="n">
        <x:v>19000</x:v>
      </x:c>
      <x:c r="C20" s="19" t="n">
        <x:v>45000</x:v>
      </x:c>
      <x:c r="D20" s="19" t="n">
        <x:f>B20-C20</x:f>
        <x:v>-26000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345000</x:v>
      </x:c>
      <x:c r="I20" s="19" t="n">
        <x:f>C20+F20</x:f>
        <x:v>65000</x:v>
      </x:c>
      <x:c r="J20" s="19" t="n">
        <x:f>H20-I20</x:f>
        <x:v>280000</x:v>
      </x:c>
      <x:c r="K20" s="19" t="n">
        <x:f>K19+J20</x:f>
        <x:v>634000</x:v>
      </x:c>
      <x:c r="L20" s="20" t="n">
        <x:v>19</x:v>
      </x:c>
      <x:c r="M20" s="20" t="n">
        <x:v>4</x:v>
      </x:c>
      <x:c r="N20" s="20" t="n">
        <x:v>15</x:v>
      </x:c>
      <x:c r="O20" s="20" t="n">
        <x:v>8</x:v>
      </x:c>
    </x:row>
    <x:row r="21" ht="23" customHeight="1">
      <x:c r="A21" s="2" t="str">
        <x:v>2026-10-09_Night</x:v>
      </x:c>
      <x:c r="B21" s="19" t="n">
        <x:v>0</x:v>
      </x:c>
      <x:c r="C21" s="19" t="n">
        <x:v>46000</x:v>
      </x:c>
      <x:c r="D21" s="19" t="n">
        <x:f>B21-C21</x:f>
        <x:v>-46000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46000</x:v>
      </x:c>
      <x:c r="J21" s="19" t="n">
        <x:f>H21-I21</x:f>
        <x:v>-32000</x:v>
      </x:c>
      <x:c r="K21" s="19" t="n">
        <x:f>K20+J21</x:f>
        <x:v>602000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</x:row>
    <x:row r="22" ht="23" customHeight="1">
      <x:c r="A22" s="2" t="str">
        <x:v>2026-10-12_Night</x:v>
      </x:c>
      <x:c r="B22" s="19" t="n">
        <x:v>11000</x:v>
      </x:c>
      <x:c r="C22" s="19" t="n">
        <x:v>0</x:v>
      </x:c>
      <x:c r="D22" s="19" t="n">
        <x:f>B22-C22</x:f>
        <x:v>11000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93000</x:v>
      </x:c>
      <x:c r="I22" s="19" t="n">
        <x:f>C22+F22</x:f>
        <x:v>0</x:v>
      </x:c>
      <x:c r="J22" s="19" t="n">
        <x:f>H22-I22</x:f>
        <x:v>93000</x:v>
      </x:c>
      <x:c r="K22" s="19" t="n">
        <x:f>K21+J22</x:f>
        <x:v>695000</x:v>
      </x:c>
      <x:c r="L22" s="20" t="n">
        <x:v>2</x:v>
      </x:c>
      <x:c r="M22" s="20" t="n">
        <x:v>1</x:v>
      </x:c>
      <x:c r="N22" s="20" t="n">
        <x:v>1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53000</x:v>
      </x:c>
      <x:c r="D23" s="19" t="n">
        <x:f>B23-C23</x:f>
        <x:v>-53000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106000</x:v>
      </x:c>
      <x:c r="J23" s="19" t="n">
        <x:f>H23-I23</x:f>
        <x:v>-106000</x:v>
      </x:c>
      <x:c r="K23" s="19" t="n">
        <x:f>K22+J23</x:f>
        <x:v>589000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80000</x:v>
      </x:c>
      <x:c r="D24" s="19" t="n">
        <x:f>B24-C24</x:f>
        <x:v>-80000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141000</x:v>
      </x:c>
      <x:c r="J24" s="19" t="n">
        <x:f>H24-I24</x:f>
        <x:v>56000</x:v>
      </x:c>
      <x:c r="K24" s="19" t="n">
        <x:f>K23+J24</x:f>
        <x:v>645000</x:v>
      </x:c>
      <x:c r="L24" s="20" t="n">
        <x:v>6</x:v>
      </x:c>
      <x:c r="M24" s="20" t="n">
        <x:v>2</x:v>
      </x:c>
      <x:c r="N24" s="20" t="n">
        <x:v>4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50000</x:v>
      </x:c>
      <x:c r="D25" s="19" t="n">
        <x:f>B25-C25</x:f>
        <x:v>-50000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103000</x:v>
      </x:c>
      <x:c r="J25" s="19" t="n">
        <x:f>H25-I25</x:f>
        <x:v>-28000</x:v>
      </x:c>
      <x:c r="K25" s="19" t="n">
        <x:f>K24+J25</x:f>
        <x:v>617000</x:v>
      </x:c>
      <x:c r="L25" s="20" t="n">
        <x:v>8</x:v>
      </x:c>
      <x:c r="M25" s="20" t="n">
        <x:v>1</x:v>
      </x:c>
      <x:c r="N25" s="20" t="n">
        <x:v>7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100000</x:v>
      </x:c>
      <x:c r="D26" s="19" t="n">
        <x:f>B26-C26</x:f>
        <x:v>-100000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226000</x:v>
      </x:c>
      <x:c r="J26" s="19" t="n">
        <x:f>H26-I26</x:f>
        <x:v>-68000</x:v>
      </x:c>
      <x:c r="K26" s="19" t="n">
        <x:f>K25+J26</x:f>
        <x:v>549000</x:v>
      </x:c>
      <x:c r="L26" s="20" t="n">
        <x:v>15</x:v>
      </x:c>
      <x:c r="M26" s="20" t="n">
        <x:v>2</x:v>
      </x:c>
      <x:c r="N26" s="20" t="n">
        <x:v>13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20000</x:v>
      </x:c>
      <x:c r="D27" s="19" t="n">
        <x:f>B27-C27</x:f>
        <x:v>-20000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113000</x:v>
      </x:c>
      <x:c r="J27" s="19" t="n">
        <x:f>H27-I27</x:f>
        <x:v>-28000</x:v>
      </x:c>
      <x:c r="K27" s="19" t="n">
        <x:f>K26+J27</x:f>
        <x:v>521000</x:v>
      </x:c>
      <x:c r="L27" s="20" t="n">
        <x:v>13</x:v>
      </x:c>
      <x:c r="M27" s="20" t="n">
        <x:v>1</x:v>
      </x:c>
      <x:c r="N27" s="20" t="n">
        <x:v>12</x:v>
      </x:c>
      <x:c r="O27" s="20" t="n">
        <x:v>5</x:v>
      </x:c>
    </x:row>
    <x:row r="28" ht="23" customHeight="1">
      <x:c r="A28" s="2" t="str">
        <x:v>2026-10-20_Night</x:v>
      </x:c>
      <x:c r="B28" s="19" t="n">
        <x:v>80000</x:v>
      </x:c>
      <x:c r="C28" s="19" t="n">
        <x:v>0</x:v>
      </x:c>
      <x:c r="D28" s="19" t="n">
        <x:f>B28-C28</x:f>
        <x:v>80000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170000</x:v>
      </x:c>
      <x:c r="I28" s="19" t="n">
        <x:f>C28+F28</x:f>
        <x:v>24000</x:v>
      </x:c>
      <x:c r="J28" s="19" t="n">
        <x:f>H28-I28</x:f>
        <x:v>146000</x:v>
      </x:c>
      <x:c r="K28" s="19" t="n">
        <x:f>K27+J28</x:f>
        <x:v>667000</x:v>
      </x:c>
      <x:c r="L28" s="20" t="n">
        <x:v>10</x:v>
      </x:c>
      <x:c r="M28" s="20" t="n">
        <x:v>3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51000</x:v>
      </x:c>
      <x:c r="C29" s="19" t="n">
        <x:v>0</x:v>
      </x:c>
      <x:c r="D29" s="19" t="n">
        <x:f>B29-C29</x:f>
        <x:v>51000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112000</x:v>
      </x:c>
      <x:c r="I29" s="19" t="n">
        <x:f>C29+F29</x:f>
        <x:v>85000</x:v>
      </x:c>
      <x:c r="J29" s="19" t="n">
        <x:f>H29-I29</x:f>
        <x:v>27000</x:v>
      </x:c>
      <x:c r="K29" s="19" t="n">
        <x:f>K28+J29</x:f>
        <x:v>694000</x:v>
      </x:c>
      <x:c r="L29" s="20" t="n">
        <x:v>6</x:v>
      </x:c>
      <x:c r="M29" s="20" t="n">
        <x:v>1</x:v>
      </x:c>
      <x:c r="N29" s="20" t="n">
        <x:v>5</x:v>
      </x:c>
      <x:c r="O29" s="20" t="n">
        <x:v>7</x:v>
      </x:c>
    </x:row>
    <x:row r="30" ht="23" customHeight="1">
      <x:c r="A30" s="2" t="str">
        <x:v>2026-10-22_Night</x:v>
      </x:c>
      <x:c r="B30" s="19" t="n">
        <x:v>0</x:v>
      </x:c>
      <x:c r="C30" s="19" t="n">
        <x:v>83000</x:v>
      </x:c>
      <x:c r="D30" s="19" t="n">
        <x:f>B30-C30</x:f>
        <x:v>-83000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83000</x:v>
      </x:c>
      <x:c r="J30" s="19" t="n">
        <x:f>H30-I30</x:f>
        <x:v>73000</x:v>
      </x:c>
      <x:c r="K30" s="19" t="n">
        <x:f>K29+J30</x:f>
        <x:v>767000</x:v>
      </x:c>
      <x:c r="L30" s="20" t="n">
        <x:v>5</x:v>
      </x:c>
      <x:c r="M30" s="20" t="n">
        <x:v>2</x:v>
      </x:c>
      <x:c r="N30" s="20" t="n">
        <x:v>3</x:v>
      </x:c>
      <x:c r="O30" s="20" t="n">
        <x:v>6</x:v>
      </x:c>
    </x:row>
    <x:row r="31" ht="23" customHeight="1">
      <x:c r="A31" s="2" t="str">
        <x:v>2026-10-23_Night</x:v>
      </x:c>
      <x:c r="B31" s="19" t="n">
        <x:v>3000</x:v>
      </x:c>
      <x:c r="C31" s="19" t="n">
        <x:v>76000</x:v>
      </x:c>
      <x:c r="D31" s="19" t="n">
        <x:f>B31-C31</x:f>
        <x:v>-73000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98000</x:v>
      </x:c>
      <x:c r="J31" s="19" t="n">
        <x:f>H31-I31</x:f>
        <x:v>-58000</x:v>
      </x:c>
      <x:c r="K31" s="19" t="n">
        <x:f>K30+J31</x:f>
        <x:v>709000</x:v>
      </x:c>
      <x:c r="L31" s="20" t="n">
        <x:v>11</x:v>
      </x:c>
      <x:c r="M31" s="20" t="n">
        <x:v>5</x:v>
      </x:c>
      <x:c r="N31" s="20" t="n">
        <x:v>6</x:v>
      </x:c>
      <x:c r="O31" s="20" t="n">
        <x:v>5</x:v>
      </x:c>
    </x:row>
    <x:row r="32" ht="23" customHeight="1">
      <x:c r="A32" s="24" t="str">
        <x:v>25夜累計</x:v>
      </x:c>
      <x:c r="B32" s="25" t="n">
        <x:f>SUM(B7:B31)</x:f>
        <x:v>491000</x:v>
      </x:c>
      <x:c r="C32" s="25" t="n">
        <x:f>SUM(C7:C31)</x:f>
        <x:v>925000</x:v>
      </x:c>
      <x:c r="D32" s="25" t="n">
        <x:f>B32-C32</x:f>
        <x:v>-434000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2583000</x:v>
      </x:c>
      <x:c r="I32" s="25" t="n">
        <x:f>C32+F32</x:f>
        <x:v>1874000</x:v>
      </x:c>
      <x:c r="J32" s="25" t="n">
        <x:f>H32-I32</x:f>
        <x:v>709000</x:v>
      </x:c>
      <x:c r="K32" s="25" t="n">
        <x:f>K31</x:f>
        <x:v>709000</x:v>
      </x:c>
      <x:c r="L32" s="26" t="n">
        <x:f>SUM(L7:L31)</x:f>
        <x:v>184</x:v>
      </x:c>
      <x:c r="M32" s="26" t="n">
        <x:f>SUM(M7:M31)</x:f>
        <x:v>50</x:v>
      </x:c>
      <x:c r="N32" s="26" t="n">
        <x:f>SUM(N7:N31)</x:f>
        <x:v>134</x:v>
      </x:c>
      <x:c r="O32" s="26" t="n">
        <x:f>MAX(O7:O31)</x:f>
        <x:v>10</x:v>
      </x:c>
    </x:row>
  </x:sheetData>
  <x:conditionalFormatting sqref="B7:K32">
    <x:cfRule type="cellIs" dxfId="1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9d22bd67d14260"/>
  </x:tableParts>
</x:worksheet>
</file>

<file path=xl/worksheets/sheet20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S03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R02の全特徴リセット、主担当22分・補完30分は元の時計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52000</x:v>
      </x:c>
      <x:c r="C7" s="19" t="n">
        <x:v>0</x:v>
      </x:c>
      <x:c r="D7" s="19" t="n">
        <x:f>B7-C7</x:f>
        <x:v>52000</x:v>
      </x:c>
      <x:c r="E7" s="19" t="n">
        <x:v>100000</x:v>
      </x:c>
      <x:c r="F7" s="19" t="n">
        <x:v>0</x:v>
      </x:c>
      <x:c r="G7" s="19" t="n">
        <x:f>E7-F7</x:f>
        <x:v>100000</x:v>
      </x:c>
      <x:c r="H7" s="19" t="n">
        <x:f>B7+E7</x:f>
        <x:v>152000</x:v>
      </x:c>
      <x:c r="I7" s="19" t="n">
        <x:f>C7+F7</x:f>
        <x:v>0</x:v>
      </x:c>
      <x:c r="J7" s="19" t="n">
        <x:f>H7-I7</x:f>
        <x:v>152000</x:v>
      </x:c>
      <x:c r="K7" s="19" t="n">
        <x:f>J7</x:f>
        <x:v>152000</x:v>
      </x:c>
      <x:c r="L7" s="20" t="n">
        <x:v>2</x:v>
      </x:c>
      <x:c r="M7" s="20" t="n">
        <x:v>1</x:v>
      </x:c>
      <x:c r="N7" s="20" t="n">
        <x:v>1</x:v>
      </x:c>
      <x:c r="O7" s="20" t="n">
        <x:v>5</x:v>
      </x:c>
    </x:row>
    <x:row r="8" ht="23" customHeight="1">
      <x:c r="A8" s="2" t="str">
        <x:v>2026-09-22_Night</x:v>
      </x:c>
      <x:c r="B8" s="19" t="n">
        <x:v>51000</x:v>
      </x:c>
      <x:c r="C8" s="19" t="n">
        <x:v>0</x:v>
      </x:c>
      <x:c r="D8" s="19" t="n">
        <x:f>B8-C8</x:f>
        <x:v>51000</x:v>
      </x:c>
      <x:c r="E8" s="19" t="n">
        <x:v>16000</x:v>
      </x:c>
      <x:c r="F8" s="19" t="n">
        <x:v>3000</x:v>
      </x:c>
      <x:c r="G8" s="19" t="n">
        <x:f>E8-F8</x:f>
        <x:v>13000</x:v>
      </x:c>
      <x:c r="H8" s="19" t="n">
        <x:f>B8+E8</x:f>
        <x:v>67000</x:v>
      </x:c>
      <x:c r="I8" s="19" t="n">
        <x:f>C8+F8</x:f>
        <x:v>3000</x:v>
      </x:c>
      <x:c r="J8" s="19" t="n">
        <x:f>H8-I8</x:f>
        <x:v>64000</x:v>
      </x:c>
      <x:c r="K8" s="19" t="n">
        <x:f>K7+J8</x:f>
        <x:v>216000</x:v>
      </x:c>
      <x:c r="L8" s="20" t="n">
        <x:v>9</x:v>
      </x:c>
      <x:c r="M8" s="20" t="n">
        <x:v>2</x:v>
      </x:c>
      <x:c r="N8" s="20" t="n">
        <x:v>7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40000</x:v>
      </x:c>
      <x:c r="D9" s="19" t="n">
        <x:f>B9-C9</x:f>
        <x:v>-40000</x:v>
      </x:c>
      <x:c r="E9" s="19" t="n">
        <x:v>24000</x:v>
      </x:c>
      <x:c r="F9" s="19" t="n">
        <x:v>40000</x:v>
      </x:c>
      <x:c r="G9" s="19" t="n">
        <x:f>E9-F9</x:f>
        <x:v>-16000</x:v>
      </x:c>
      <x:c r="H9" s="19" t="n">
        <x:f>B9+E9</x:f>
        <x:v>24000</x:v>
      </x:c>
      <x:c r="I9" s="19" t="n">
        <x:f>C9+F9</x:f>
        <x:v>80000</x:v>
      </x:c>
      <x:c r="J9" s="19" t="n">
        <x:f>H9-I9</x:f>
        <x:v>-56000</x:v>
      </x:c>
      <x:c r="K9" s="19" t="n">
        <x:f>K8+J9</x:f>
        <x:v>160000</x:v>
      </x:c>
      <x:c r="L9" s="20" t="n">
        <x:v>4</x:v>
      </x:c>
      <x:c r="M9" s="20" t="n">
        <x:v>1</x:v>
      </x:c>
      <x:c r="N9" s="20" t="n">
        <x:v>3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79000</x:v>
      </x:c>
      <x:c r="D10" s="19" t="n">
        <x:f>B10-C10</x:f>
        <x:v>-79000</x:v>
      </x:c>
      <x:c r="E10" s="19" t="n">
        <x:v>14000</x:v>
      </x:c>
      <x:c r="F10" s="19" t="n">
        <x:v>60000</x:v>
      </x:c>
      <x:c r="G10" s="19" t="n">
        <x:f>E10-F10</x:f>
        <x:v>-46000</x:v>
      </x:c>
      <x:c r="H10" s="19" t="n">
        <x:f>B10+E10</x:f>
        <x:v>14000</x:v>
      </x:c>
      <x:c r="I10" s="19" t="n">
        <x:f>C10+F10</x:f>
        <x:v>139000</x:v>
      </x:c>
      <x:c r="J10" s="19" t="n">
        <x:f>H10-I10</x:f>
        <x:v>-125000</x:v>
      </x:c>
      <x:c r="K10" s="19" t="n">
        <x:f>K9+J10</x:f>
        <x:v>35000</x:v>
      </x:c>
      <x:c r="L10" s="20" t="n">
        <x:v>5</x:v>
      </x:c>
      <x:c r="M10" s="20" t="n">
        <x:v>2</x:v>
      </x:c>
      <x:c r="N10" s="20" t="n">
        <x:v>3</x:v>
      </x:c>
      <x:c r="O10" s="20" t="n">
        <x:v>5</x:v>
      </x:c>
    </x:row>
    <x:row r="11" ht="23" customHeight="1">
      <x:c r="A11" s="2" t="str">
        <x:v>2026-09-25_Night</x:v>
      </x:c>
      <x:c r="B11" s="19" t="n">
        <x:v>26000</x:v>
      </x:c>
      <x:c r="C11" s="19" t="n">
        <x:v>0</x:v>
      </x:c>
      <x:c r="D11" s="19" t="n">
        <x:f>B11-C11</x:f>
        <x:v>26000</x:v>
      </x:c>
      <x:c r="E11" s="19" t="n">
        <x:v>25000</x:v>
      </x:c>
      <x:c r="F11" s="19" t="n">
        <x:v>0</x:v>
      </x:c>
      <x:c r="G11" s="19" t="n">
        <x:f>E11-F11</x:f>
        <x:v>25000</x:v>
      </x:c>
      <x:c r="H11" s="19" t="n">
        <x:f>B11+E11</x:f>
        <x:v>51000</x:v>
      </x:c>
      <x:c r="I11" s="19" t="n">
        <x:f>C11+F11</x:f>
        <x:v>0</x:v>
      </x:c>
      <x:c r="J11" s="19" t="n">
        <x:f>H11-I11</x:f>
        <x:v>51000</x:v>
      </x:c>
      <x:c r="K11" s="19" t="n">
        <x:f>K10+J11</x:f>
        <x:v>86000</x:v>
      </x:c>
      <x:c r="L11" s="20" t="n">
        <x:v>2</x:v>
      </x:c>
      <x:c r="M11" s="20" t="n">
        <x:v>1</x:v>
      </x:c>
      <x:c r="N11" s="20" t="n">
        <x:v>1</x:v>
      </x:c>
      <x:c r="O11" s="20" t="n">
        <x:v>5</x:v>
      </x:c>
    </x:row>
    <x:row r="12" ht="23" customHeight="1">
      <x:c r="A12" s="2" t="str">
        <x:v>2026-09-28_Night</x:v>
      </x:c>
      <x:c r="B12" s="19" t="n">
        <x:v>9000</x:v>
      </x:c>
      <x:c r="C12" s="19" t="n">
        <x:v>21000</x:v>
      </x:c>
      <x:c r="D12" s="19" t="n">
        <x:f>B12-C12</x:f>
        <x:v>-12000</x:v>
      </x:c>
      <x:c r="E12" s="19" t="n">
        <x:v>56000</x:v>
      </x:c>
      <x:c r="F12" s="19" t="n">
        <x:v>0</x:v>
      </x:c>
      <x:c r="G12" s="19" t="n">
        <x:f>E12-F12</x:f>
        <x:v>56000</x:v>
      </x:c>
      <x:c r="H12" s="19" t="n">
        <x:f>B12+E12</x:f>
        <x:v>65000</x:v>
      </x:c>
      <x:c r="I12" s="19" t="n">
        <x:f>C12+F12</x:f>
        <x:v>21000</x:v>
      </x:c>
      <x:c r="J12" s="19" t="n">
        <x:f>H12-I12</x:f>
        <x:v>44000</x:v>
      </x:c>
      <x:c r="K12" s="19" t="n">
        <x:f>K11+J12</x:f>
        <x:v>130000</x:v>
      </x:c>
      <x:c r="L12" s="20" t="n">
        <x:v>3</x:v>
      </x:c>
      <x:c r="M12" s="20" t="n">
        <x:v>2</x:v>
      </x:c>
      <x:c r="N12" s="20" t="n">
        <x:v>1</x:v>
      </x:c>
      <x:c r="O12" s="20" t="n">
        <x:v>5</x:v>
      </x:c>
    </x:row>
    <x:row r="13" ht="23" customHeight="1">
      <x:c r="A13" s="2" t="str">
        <x:v>2026-09-29_Night</x:v>
      </x:c>
      <x:c r="B13" s="19" t="n">
        <x:v>0</x:v>
      </x:c>
      <x:c r="C13" s="19" t="n">
        <x:v>50000</x:v>
      </x:c>
      <x:c r="D13" s="19" t="n">
        <x:f>B13-C13</x:f>
        <x:v>-50000</x:v>
      </x:c>
      <x:c r="E13" s="19" t="n">
        <x:v>0</x:v>
      </x:c>
      <x:c r="F13" s="19" t="n">
        <x:v>46000</x:v>
      </x:c>
      <x:c r="G13" s="19" t="n">
        <x:f>E13-F13</x:f>
        <x:v>-46000</x:v>
      </x:c>
      <x:c r="H13" s="19" t="n">
        <x:f>B13+E13</x:f>
        <x:v>0</x:v>
      </x:c>
      <x:c r="I13" s="19" t="n">
        <x:f>C13+F13</x:f>
        <x:v>96000</x:v>
      </x:c>
      <x:c r="J13" s="19" t="n">
        <x:f>H13-I13</x:f>
        <x:v>-96000</x:v>
      </x:c>
      <x:c r="K13" s="19" t="n">
        <x:f>K12+J13</x:f>
        <x:v>34000</x:v>
      </x:c>
      <x:c r="L13" s="20" t="n">
        <x:v>5</x:v>
      </x:c>
      <x:c r="M13" s="20" t="n">
        <x:v>1</x:v>
      </x:c>
      <x:c r="N13" s="20" t="n">
        <x:v>4</x:v>
      </x:c>
      <x:c r="O13" s="20" t="n">
        <x:v>5</x:v>
      </x:c>
    </x:row>
    <x:row r="14" ht="23" customHeight="1">
      <x:c r="A14" s="2" t="str">
        <x:v>2026-09-30_Night</x:v>
      </x:c>
      <x:c r="B14" s="19" t="n">
        <x:v>32000</x:v>
      </x:c>
      <x:c r="C14" s="19" t="n">
        <x:v>0</x:v>
      </x:c>
      <x:c r="D14" s="19" t="n">
        <x:f>B14-C14</x:f>
        <x:v>32000</x:v>
      </x:c>
      <x:c r="E14" s="19" t="n">
        <x:v>84000</x:v>
      </x:c>
      <x:c r="F14" s="19" t="n">
        <x:v>0</x:v>
      </x:c>
      <x:c r="G14" s="19" t="n">
        <x:f>E14-F14</x:f>
        <x:v>84000</x:v>
      </x:c>
      <x:c r="H14" s="19" t="n">
        <x:f>B14+E14</x:f>
        <x:v>116000</x:v>
      </x:c>
      <x:c r="I14" s="19" t="n">
        <x:f>C14+F14</x:f>
        <x:v>0</x:v>
      </x:c>
      <x:c r="J14" s="19" t="n">
        <x:f>H14-I14</x:f>
        <x:v>116000</x:v>
      </x:c>
      <x:c r="K14" s="19" t="n">
        <x:f>K13+J14</x:f>
        <x:v>150000</x:v>
      </x:c>
      <x:c r="L14" s="20" t="n">
        <x:v>4</x:v>
      </x:c>
      <x:c r="M14" s="20" t="n">
        <x:v>1</x:v>
      </x:c>
      <x:c r="N14" s="20" t="n">
        <x:v>3</x:v>
      </x:c>
      <x:c r="O14" s="20" t="n">
        <x:v>4</x:v>
      </x:c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79000</x:v>
      </x:c>
      <x:c r="F15" s="19" t="n">
        <x:v>17000</x:v>
      </x:c>
      <x:c r="G15" s="19" t="n">
        <x:f>E15-F15</x:f>
        <x:v>62000</x:v>
      </x:c>
      <x:c r="H15" s="19" t="n">
        <x:f>B15+E15</x:f>
        <x:v>96000</x:v>
      </x:c>
      <x:c r="I15" s="19" t="n">
        <x:f>C15+F15</x:f>
        <x:v>75000</x:v>
      </x:c>
      <x:c r="J15" s="19" t="n">
        <x:f>H15-I15</x:f>
        <x:v>21000</x:v>
      </x:c>
      <x:c r="K15" s="19" t="n">
        <x:f>K14+J15</x:f>
        <x:v>171000</x:v>
      </x:c>
      <x:c r="L15" s="20" t="n">
        <x:v>11</x:v>
      </x:c>
      <x:c r="M15" s="20" t="n">
        <x:v>7</x:v>
      </x:c>
      <x:c r="N15" s="20" t="n">
        <x:v>4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48000</x:v>
      </x:c>
      <x:c r="D16" s="19" t="n">
        <x:f>B16-C16</x:f>
        <x:v>-48000</x:v>
      </x:c>
      <x:c r="E16" s="19" t="n">
        <x:v>101000</x:v>
      </x:c>
      <x:c r="F16" s="19" t="n">
        <x:v>50000</x:v>
      </x:c>
      <x:c r="G16" s="19" t="n">
        <x:f>E16-F16</x:f>
        <x:v>51000</x:v>
      </x:c>
      <x:c r="H16" s="19" t="n">
        <x:f>B16+E16</x:f>
        <x:v>101000</x:v>
      </x:c>
      <x:c r="I16" s="19" t="n">
        <x:f>C16+F16</x:f>
        <x:v>98000</x:v>
      </x:c>
      <x:c r="J16" s="19" t="n">
        <x:f>H16-I16</x:f>
        <x:v>3000</x:v>
      </x:c>
      <x:c r="K16" s="19" t="n">
        <x:f>K15+J16</x:f>
        <x:v>174000</x:v>
      </x:c>
      <x:c r="L16" s="20" t="n">
        <x:v>8</x:v>
      </x:c>
      <x:c r="M16" s="20" t="n">
        <x:v>1</x:v>
      </x:c>
      <x:c r="N16" s="20" t="n">
        <x:v>7</x:v>
      </x:c>
      <x:c r="O16" s="20" t="n">
        <x:v>4</x:v>
      </x:c>
    </x:row>
    <x:row r="17" ht="23" customHeight="1">
      <x:c r="A17" s="2" t="str">
        <x:v>2026-10-05_Night</x:v>
      </x:c>
      <x:c r="B17" s="19" t="n">
        <x:v>53000</x:v>
      </x:c>
      <x:c r="C17" s="19" t="n">
        <x:v>0</x:v>
      </x:c>
      <x:c r="D17" s="19" t="n">
        <x:f>B17-C17</x:f>
        <x:v>53000</x:v>
      </x:c>
      <x:c r="E17" s="19" t="n">
        <x:v>5000</x:v>
      </x:c>
      <x:c r="F17" s="19" t="n">
        <x:v>20000</x:v>
      </x:c>
      <x:c r="G17" s="19" t="n">
        <x:f>E17-F17</x:f>
        <x:v>-15000</x:v>
      </x:c>
      <x:c r="H17" s="19" t="n">
        <x:f>B17+E17</x:f>
        <x:v>58000</x:v>
      </x:c>
      <x:c r="I17" s="19" t="n">
        <x:f>C17+F17</x:f>
        <x:v>20000</x:v>
      </x:c>
      <x:c r="J17" s="19" t="n">
        <x:f>H17-I17</x:f>
        <x:v>38000</x:v>
      </x:c>
      <x:c r="K17" s="19" t="n">
        <x:f>K16+J17</x:f>
        <x:v>212000</x:v>
      </x:c>
      <x:c r="L17" s="20" t="n">
        <x:v>3</x:v>
      </x:c>
      <x:c r="M17" s="20" t="n">
        <x:v>1</x:v>
      </x:c>
      <x:c r="N17" s="20" t="n">
        <x:v>2</x:v>
      </x:c>
      <x:c r="O17" s="20" t="n">
        <x:v>5</x:v>
      </x:c>
    </x:row>
    <x:row r="18" ht="23" customHeight="1">
      <x:c r="A18" s="2" t="str">
        <x:v>2026-10-06_Night</x:v>
      </x:c>
      <x:c r="B18" s="19" t="n">
        <x:v>87000</x:v>
      </x:c>
      <x:c r="C18" s="19" t="n">
        <x:v>0</x:v>
      </x:c>
      <x:c r="D18" s="19" t="n">
        <x:f>B18-C18</x:f>
        <x:v>87000</x:v>
      </x:c>
      <x:c r="E18" s="19" t="n">
        <x:v>48000</x:v>
      </x:c>
      <x:c r="F18" s="19" t="n">
        <x:v>0</x:v>
      </x:c>
      <x:c r="G18" s="19" t="n">
        <x:f>E18-F18</x:f>
        <x:v>48000</x:v>
      </x:c>
      <x:c r="H18" s="19" t="n">
        <x:f>B18+E18</x:f>
        <x:v>135000</x:v>
      </x:c>
      <x:c r="I18" s="19" t="n">
        <x:f>C18+F18</x:f>
        <x:v>0</x:v>
      </x:c>
      <x:c r="J18" s="19" t="n">
        <x:f>H18-I18</x:f>
        <x:v>135000</x:v>
      </x:c>
      <x:c r="K18" s="19" t="n">
        <x:f>K17+J18</x:f>
        <x:v>347000</x:v>
      </x:c>
      <x:c r="L18" s="20" t="n">
        <x:v>4</x:v>
      </x:c>
      <x:c r="M18" s="20" t="n">
        <x:v>1</x:v>
      </x:c>
      <x:c r="N18" s="20" t="n">
        <x:v>3</x:v>
      </x:c>
      <x:c r="O18" s="20" t="n">
        <x:v>5</x:v>
      </x:c>
    </x:row>
    <x:row r="19" ht="23" customHeight="1">
      <x:c r="A19" s="2" t="str">
        <x:v>2026-10-07_Night</x:v>
      </x:c>
      <x:c r="B19" s="19" t="n">
        <x:v>0</x:v>
      </x:c>
      <x:c r="C19" s="19" t="n">
        <x:v>76000</x:v>
      </x:c>
      <x:c r="D19" s="19" t="n">
        <x:f>B19-C19</x:f>
        <x:v>-76000</x:v>
      </x:c>
      <x:c r="E19" s="19" t="n">
        <x:v>9000</x:v>
      </x:c>
      <x:c r="F19" s="19" t="n">
        <x:v>22000</x:v>
      </x:c>
      <x:c r="G19" s="19" t="n">
        <x:f>E19-F19</x:f>
        <x:v>-13000</x:v>
      </x:c>
      <x:c r="H19" s="19" t="n">
        <x:f>B19+E19</x:f>
        <x:v>9000</x:v>
      </x:c>
      <x:c r="I19" s="19" t="n">
        <x:f>C19+F19</x:f>
        <x:v>98000</x:v>
      </x:c>
      <x:c r="J19" s="19" t="n">
        <x:f>H19-I19</x:f>
        <x:v>-89000</x:v>
      </x:c>
      <x:c r="K19" s="19" t="n">
        <x:f>K18+J19</x:f>
        <x:v>258000</x:v>
      </x:c>
      <x:c r="L19" s="20" t="n">
        <x:v>6</x:v>
      </x:c>
      <x:c r="M19" s="20" t="n">
        <x:v>3</x:v>
      </x:c>
      <x:c r="N19" s="20" t="n">
        <x:v>3</x:v>
      </x:c>
      <x:c r="O19" s="20" t="n">
        <x:v>5</x:v>
      </x:c>
    </x:row>
    <x:row r="20" ht="23" customHeight="1">
      <x:c r="A20" s="2" t="str">
        <x:v>2026-10-08_Night</x:v>
      </x:c>
      <x:c r="B20" s="19" t="n">
        <x:v>19000</x:v>
      </x:c>
      <x:c r="C20" s="19" t="n">
        <x:v>45000</x:v>
      </x:c>
      <x:c r="D20" s="19" t="n">
        <x:f>B20-C20</x:f>
        <x:v>-26000</x:v>
      </x:c>
      <x:c r="E20" s="19" t="n">
        <x:v>19000</x:v>
      </x:c>
      <x:c r="F20" s="19" t="n">
        <x:v>61000</x:v>
      </x:c>
      <x:c r="G20" s="19" t="n">
        <x:f>E20-F20</x:f>
        <x:v>-42000</x:v>
      </x:c>
      <x:c r="H20" s="19" t="n">
        <x:f>B20+E20</x:f>
        <x:v>38000</x:v>
      </x:c>
      <x:c r="I20" s="19" t="n">
        <x:f>C20+F20</x:f>
        <x:v>106000</x:v>
      </x:c>
      <x:c r="J20" s="19" t="n">
        <x:f>H20-I20</x:f>
        <x:v>-68000</x:v>
      </x:c>
      <x:c r="K20" s="19" t="n">
        <x:f>K19+J20</x:f>
        <x:v>190000</x:v>
      </x:c>
      <x:c r="L20" s="20" t="n">
        <x:v>7</x:v>
      </x:c>
      <x:c r="M20" s="20" t="n">
        <x:v>4</x:v>
      </x:c>
      <x:c r="N20" s="20" t="n">
        <x:v>3</x:v>
      </x:c>
      <x:c r="O20" s="20" t="n">
        <x:v>6</x:v>
      </x:c>
    </x:row>
    <x:row r="21" ht="23" customHeight="1">
      <x:c r="A21" s="2" t="str">
        <x:v>2026-10-09_Night</x:v>
      </x:c>
      <x:c r="B21" s="19" t="n">
        <x:v>0</x:v>
      </x:c>
      <x:c r="C21" s="19" t="n">
        <x:v>46000</x:v>
      </x:c>
      <x:c r="D21" s="19" t="n">
        <x:f>B21-C21</x:f>
        <x:v>-46000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46000</x:v>
      </x:c>
      <x:c r="J21" s="19" t="n">
        <x:f>H21-I21</x:f>
        <x:v>-32000</x:v>
      </x:c>
      <x:c r="K21" s="19" t="n">
        <x:f>K20+J21</x:f>
        <x:v>158000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</x:row>
    <x:row r="22" ht="23" customHeight="1">
      <x:c r="A22" s="2" t="str">
        <x:v>2026-10-12_Night</x:v>
      </x:c>
      <x:c r="B22" s="19" t="n">
        <x:v>11000</x:v>
      </x:c>
      <x:c r="C22" s="19" t="n">
        <x:v>0</x:v>
      </x:c>
      <x:c r="D22" s="19" t="n">
        <x:f>B22-C22</x:f>
        <x:v>11000</x:v>
      </x:c>
      <x:c r="E22" s="19" t="n">
        <x:v>34000</x:v>
      </x:c>
      <x:c r="F22" s="19" t="n">
        <x:v>0</x:v>
      </x:c>
      <x:c r="G22" s="19" t="n">
        <x:f>E22-F22</x:f>
        <x:v>34000</x:v>
      </x:c>
      <x:c r="H22" s="19" t="n">
        <x:f>B22+E22</x:f>
        <x:v>45000</x:v>
      </x:c>
      <x:c r="I22" s="19" t="n">
        <x:f>C22+F22</x:f>
        <x:v>0</x:v>
      </x:c>
      <x:c r="J22" s="19" t="n">
        <x:f>H22-I22</x:f>
        <x:v>45000</x:v>
      </x:c>
      <x:c r="K22" s="19" t="n">
        <x:f>K21+J22</x:f>
        <x:v>203000</x:v>
      </x:c>
      <x:c r="L22" s="20" t="n">
        <x:v>2</x:v>
      </x:c>
      <x:c r="M22" s="20" t="n">
        <x:v>1</x:v>
      </x:c>
      <x:c r="N22" s="20" t="n">
        <x:v>1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53000</x:v>
      </x:c>
      <x:c r="D23" s="19" t="n">
        <x:f>B23-C23</x:f>
        <x:v>-53000</x:v>
      </x:c>
      <x:c r="E23" s="19" t="n">
        <x:v>25000</x:v>
      </x:c>
      <x:c r="F23" s="19" t="n">
        <x:v>10000</x:v>
      </x:c>
      <x:c r="G23" s="19" t="n">
        <x:f>E23-F23</x:f>
        <x:v>15000</x:v>
      </x:c>
      <x:c r="H23" s="19" t="n">
        <x:f>B23+E23</x:f>
        <x:v>25000</x:v>
      </x:c>
      <x:c r="I23" s="19" t="n">
        <x:f>C23+F23</x:f>
        <x:v>63000</x:v>
      </x:c>
      <x:c r="J23" s="19" t="n">
        <x:f>H23-I23</x:f>
        <x:v>-38000</x:v>
      </x:c>
      <x:c r="K23" s="19" t="n">
        <x:f>K22+J23</x:f>
        <x:v>165000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80000</x:v>
      </x:c>
      <x:c r="D24" s="19" t="n">
        <x:f>B24-C24</x:f>
        <x:v>-80000</x:v>
      </x:c>
      <x:c r="E24" s="19" t="n">
        <x:v>193000</x:v>
      </x:c>
      <x:c r="F24" s="19" t="n">
        <x:v>61000</x:v>
      </x:c>
      <x:c r="G24" s="19" t="n">
        <x:f>E24-F24</x:f>
        <x:v>132000</x:v>
      </x:c>
      <x:c r="H24" s="19" t="n">
        <x:f>B24+E24</x:f>
        <x:v>193000</x:v>
      </x:c>
      <x:c r="I24" s="19" t="n">
        <x:f>C24+F24</x:f>
        <x:v>141000</x:v>
      </x:c>
      <x:c r="J24" s="19" t="n">
        <x:f>H24-I24</x:f>
        <x:v>52000</x:v>
      </x:c>
      <x:c r="K24" s="19" t="n">
        <x:f>K23+J24</x:f>
        <x:v>217000</x:v>
      </x:c>
      <x:c r="L24" s="20" t="n">
        <x:v>6</x:v>
      </x:c>
      <x:c r="M24" s="20" t="n">
        <x:v>2</x:v>
      </x:c>
      <x:c r="N24" s="20" t="n">
        <x:v>4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50000</x:v>
      </x:c>
      <x:c r="D25" s="19" t="n">
        <x:f>B25-C25</x:f>
        <x:v>-50000</x:v>
      </x:c>
      <x:c r="E25" s="19" t="n">
        <x:v>66000</x:v>
      </x:c>
      <x:c r="F25" s="19" t="n">
        <x:v>109000</x:v>
      </x:c>
      <x:c r="G25" s="19" t="n">
        <x:f>E25-F25</x:f>
        <x:v>-43000</x:v>
      </x:c>
      <x:c r="H25" s="19" t="n">
        <x:f>B25+E25</x:f>
        <x:v>66000</x:v>
      </x:c>
      <x:c r="I25" s="19" t="n">
        <x:f>C25+F25</x:f>
        <x:v>159000</x:v>
      </x:c>
      <x:c r="J25" s="19" t="n">
        <x:f>H25-I25</x:f>
        <x:v>-93000</x:v>
      </x:c>
      <x:c r="K25" s="19" t="n">
        <x:f>K24+J25</x:f>
        <x:v>124000</x:v>
      </x:c>
      <x:c r="L25" s="20" t="n">
        <x:v>7</x:v>
      </x:c>
      <x:c r="M25" s="20" t="n">
        <x:v>1</x:v>
      </x:c>
      <x:c r="N25" s="20" t="n">
        <x:v>6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100000</x:v>
      </x:c>
      <x:c r="D26" s="19" t="n">
        <x:f>B26-C26</x:f>
        <x:v>-100000</x:v>
      </x:c>
      <x:c r="E26" s="19" t="n">
        <x:v>150000</x:v>
      </x:c>
      <x:c r="F26" s="19" t="n">
        <x:v>100000</x:v>
      </x:c>
      <x:c r="G26" s="19" t="n">
        <x:f>E26-F26</x:f>
        <x:v>50000</x:v>
      </x:c>
      <x:c r="H26" s="19" t="n">
        <x:f>B26+E26</x:f>
        <x:v>150000</x:v>
      </x:c>
      <x:c r="I26" s="19" t="n">
        <x:f>C26+F26</x:f>
        <x:v>200000</x:v>
      </x:c>
      <x:c r="J26" s="19" t="n">
        <x:f>H26-I26</x:f>
        <x:v>-50000</x:v>
      </x:c>
      <x:c r="K26" s="19" t="n">
        <x:f>K25+J26</x:f>
        <x:v>74000</x:v>
      </x:c>
      <x:c r="L26" s="20" t="n">
        <x:v>14</x:v>
      </x:c>
      <x:c r="M26" s="20" t="n">
        <x:v>2</x:v>
      </x:c>
      <x:c r="N26" s="20" t="n">
        <x:v>12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20000</x:v>
      </x:c>
      <x:c r="D27" s="19" t="n">
        <x:f>B27-C27</x:f>
        <x:v>-20000</x:v>
      </x:c>
      <x:c r="E27" s="19" t="n">
        <x:v>41000</x:v>
      </x:c>
      <x:c r="F27" s="19" t="n">
        <x:v>36000</x:v>
      </x:c>
      <x:c r="G27" s="19" t="n">
        <x:f>E27-F27</x:f>
        <x:v>5000</x:v>
      </x:c>
      <x:c r="H27" s="19" t="n">
        <x:f>B27+E27</x:f>
        <x:v>41000</x:v>
      </x:c>
      <x:c r="I27" s="19" t="n">
        <x:f>C27+F27</x:f>
        <x:v>56000</x:v>
      </x:c>
      <x:c r="J27" s="19" t="n">
        <x:f>H27-I27</x:f>
        <x:v>-15000</x:v>
      </x:c>
      <x:c r="K27" s="19" t="n">
        <x:f>K26+J27</x:f>
        <x:v>59000</x:v>
      </x:c>
      <x:c r="L27" s="20" t="n">
        <x:v>3</x:v>
      </x:c>
      <x:c r="M27" s="20" t="n">
        <x:v>1</x:v>
      </x:c>
      <x:c r="N27" s="20" t="n">
        <x:v>2</x:v>
      </x:c>
      <x:c r="O27" s="20" t="n">
        <x:v>5</x:v>
      </x:c>
    </x:row>
    <x:row r="28" ht="23" customHeight="1">
      <x:c r="A28" s="2" t="str">
        <x:v>2026-10-20_Night</x:v>
      </x:c>
      <x:c r="B28" s="19" t="n">
        <x:v>80000</x:v>
      </x:c>
      <x:c r="C28" s="19" t="n">
        <x:v>0</x:v>
      </x:c>
      <x:c r="D28" s="19" t="n">
        <x:f>B28-C28</x:f>
        <x:v>80000</x:v>
      </x:c>
      <x:c r="E28" s="19" t="n">
        <x:v>78000</x:v>
      </x:c>
      <x:c r="F28" s="19" t="n">
        <x:v>24000</x:v>
      </x:c>
      <x:c r="G28" s="19" t="n">
        <x:f>E28-F28</x:f>
        <x:v>54000</x:v>
      </x:c>
      <x:c r="H28" s="19" t="n">
        <x:f>B28+E28</x:f>
        <x:v>158000</x:v>
      </x:c>
      <x:c r="I28" s="19" t="n">
        <x:f>C28+F28</x:f>
        <x:v>24000</x:v>
      </x:c>
      <x:c r="J28" s="19" t="n">
        <x:f>H28-I28</x:f>
        <x:v>134000</x:v>
      </x:c>
      <x:c r="K28" s="19" t="n">
        <x:f>K27+J28</x:f>
        <x:v>193000</x:v>
      </x:c>
      <x:c r="L28" s="20" t="n">
        <x:v>10</x:v>
      </x:c>
      <x:c r="M28" s="20" t="n">
        <x:v>3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51000</x:v>
      </x:c>
      <x:c r="C29" s="19" t="n">
        <x:v>0</x:v>
      </x:c>
      <x:c r="D29" s="19" t="n">
        <x:f>B29-C29</x:f>
        <x:v>51000</x:v>
      </x:c>
      <x:c r="E29" s="19" t="n">
        <x:v>16000</x:v>
      </x:c>
      <x:c r="F29" s="19" t="n">
        <x:v>0</x:v>
      </x:c>
      <x:c r="G29" s="19" t="n">
        <x:f>E29-F29</x:f>
        <x:v>16000</x:v>
      </x:c>
      <x:c r="H29" s="19" t="n">
        <x:f>B29+E29</x:f>
        <x:v>67000</x:v>
      </x:c>
      <x:c r="I29" s="19" t="n">
        <x:f>C29+F29</x:f>
        <x:v>0</x:v>
      </x:c>
      <x:c r="J29" s="19" t="n">
        <x:f>H29-I29</x:f>
        <x:v>67000</x:v>
      </x:c>
      <x:c r="K29" s="19" t="n">
        <x:f>K28+J29</x:f>
        <x:v>260000</x:v>
      </x:c>
      <x:c r="L29" s="20" t="n">
        <x:v>2</x:v>
      </x:c>
      <x:c r="M29" s="20" t="n">
        <x:v>1</x:v>
      </x:c>
      <x:c r="N29" s="20" t="n">
        <x:v>1</x:v>
      </x:c>
      <x:c r="O29" s="20" t="n">
        <x:v>4</x:v>
      </x:c>
    </x:row>
    <x:row r="30" ht="23" customHeight="1">
      <x:c r="A30" s="2" t="str">
        <x:v>2026-10-22_Night</x:v>
      </x:c>
      <x:c r="B30" s="19" t="n">
        <x:v>0</x:v>
      </x:c>
      <x:c r="C30" s="19" t="n">
        <x:v>83000</x:v>
      </x:c>
      <x:c r="D30" s="19" t="n">
        <x:f>B30-C30</x:f>
        <x:v>-83000</x:v>
      </x:c>
      <x:c r="E30" s="19" t="n">
        <x:v>0</x:v>
      </x:c>
      <x:c r="F30" s="19" t="n">
        <x:v>48000</x:v>
      </x:c>
      <x:c r="G30" s="19" t="n">
        <x:f>E30-F30</x:f>
        <x:v>-48000</x:v>
      </x:c>
      <x:c r="H30" s="19" t="n">
        <x:f>B30+E30</x:f>
        <x:v>0</x:v>
      </x:c>
      <x:c r="I30" s="19" t="n">
        <x:f>C30+F30</x:f>
        <x:v>131000</x:v>
      </x:c>
      <x:c r="J30" s="19" t="n">
        <x:f>H30-I30</x:f>
        <x:v>-131000</x:v>
      </x:c>
      <x:c r="K30" s="19" t="n">
        <x:f>K29+J30</x:f>
        <x:v>129000</x:v>
      </x:c>
      <x:c r="L30" s="20" t="n">
        <x:v>5</x:v>
      </x:c>
      <x:c r="M30" s="20" t="n">
        <x:v>2</x:v>
      </x:c>
      <x:c r="N30" s="20" t="n">
        <x:v>3</x:v>
      </x:c>
      <x:c r="O30" s="20" t="n">
        <x:v>5</x:v>
      </x:c>
    </x:row>
    <x:row r="31" ht="23" customHeight="1">
      <x:c r="A31" s="2" t="str">
        <x:v>2026-10-23_Night</x:v>
      </x:c>
      <x:c r="B31" s="19" t="n">
        <x:v>3000</x:v>
      </x:c>
      <x:c r="C31" s="19" t="n">
        <x:v>76000</x:v>
      </x:c>
      <x:c r="D31" s="19" t="n">
        <x:f>B31-C31</x:f>
        <x:v>-73000</x:v>
      </x:c>
      <x:c r="E31" s="19" t="n">
        <x:v>11000</x:v>
      </x:c>
      <x:c r="F31" s="19" t="n">
        <x:v>77000</x:v>
      </x:c>
      <x:c r="G31" s="19" t="n">
        <x:f>E31-F31</x:f>
        <x:v>-66000</x:v>
      </x:c>
      <x:c r="H31" s="19" t="n">
        <x:f>B31+E31</x:f>
        <x:v>14000</x:v>
      </x:c>
      <x:c r="I31" s="19" t="n">
        <x:f>C31+F31</x:f>
        <x:v>153000</x:v>
      </x:c>
      <x:c r="J31" s="19" t="n">
        <x:f>H31-I31</x:f>
        <x:v>-139000</x:v>
      </x:c>
      <x:c r="K31" s="19" t="n">
        <x:f>K30+J31</x:f>
        <x:v>-10000</x:v>
      </x:c>
      <x:c r="L31" s="20" t="n">
        <x:v>9</x:v>
      </x:c>
      <x:c r="M31" s="20" t="n">
        <x:v>5</x:v>
      </x:c>
      <x:c r="N31" s="20" t="n">
        <x:v>4</x:v>
      </x:c>
      <x:c r="O31" s="20" t="n">
        <x:v>4</x:v>
      </x:c>
    </x:row>
    <x:row r="32" ht="23" customHeight="1">
      <x:c r="A32" s="24" t="str">
        <x:v>25夜累計</x:v>
      </x:c>
      <x:c r="B32" s="25" t="n">
        <x:f>SUM(B7:B31)</x:f>
        <x:v>491000</x:v>
      </x:c>
      <x:c r="C32" s="25" t="n">
        <x:f>SUM(C7:C31)</x:f>
        <x:v>925000</x:v>
      </x:c>
      <x:c r="D32" s="25" t="n">
        <x:f>B32-C32</x:f>
        <x:v>-434000</x:v>
      </x:c>
      <x:c r="E32" s="25" t="n">
        <x:f>SUM(E7:E31)</x:f>
        <x:v>1208000</x:v>
      </x:c>
      <x:c r="F32" s="25" t="n">
        <x:f>SUM(F7:F31)</x:f>
        <x:v>784000</x:v>
      </x:c>
      <x:c r="G32" s="25" t="n">
        <x:f>E32-F32</x:f>
        <x:v>424000</x:v>
      </x:c>
      <x:c r="H32" s="25" t="n">
        <x:f>B32+E32</x:f>
        <x:v>1699000</x:v>
      </x:c>
      <x:c r="I32" s="25" t="n">
        <x:f>C32+F32</x:f>
        <x:v>1709000</x:v>
      </x:c>
      <x:c r="J32" s="25" t="n">
        <x:f>H32-I32</x:f>
        <x:v>-10000</x:v>
      </x:c>
      <x:c r="K32" s="25" t="n">
        <x:f>K31</x:f>
        <x:v>-10000</x:v>
      </x:c>
      <x:c r="L32" s="26" t="n">
        <x:f>SUM(L7:L31)</x:f>
        <x:v>138</x:v>
      </x:c>
      <x:c r="M32" s="26" t="n">
        <x:f>SUM(M7:M31)</x:f>
        <x:v>50</x:v>
      </x:c>
      <x:c r="N32" s="26" t="n">
        <x:f>SUM(N7:N31)</x:f>
        <x:v>88</x:v>
      </x:c>
      <x:c r="O32" s="26" t="n">
        <x:f>MAX(O7:O31)</x:f>
        <x:v>7</x:v>
      </x:c>
    </x:row>
  </x:sheetData>
  <x:conditionalFormatting sqref="B7:K32">
    <x:cfRule type="cellIs" dxfId="1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bd2cf2a946423e"/>
  </x:tableParts>
</x:worksheet>
</file>

<file path=xl/worksheets/sheet2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S04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6" t="str">
        <x:v>利益・損失は完結した親取引で分類。前後は親の初回新規が米国開始より前か後かで区分。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6" t="str">
        <x:v>前半D07のまま全返済・後半新規状態、特徴継続・元の22/30分時計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7" t="str">
        <x:v>最大片側保有枚数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</x:row>
    <x:row r="8" ht="23" customHeight="1">
      <x:c r="A8" s="2" t="str">
        <x:v>2026-09-22_Night</x:v>
      </x:c>
      <x:c r="B8" s="19" t="n">
        <x:v>0</x:v>
      </x:c>
      <x:c r="C8" s="19" t="n">
        <x:v>0</x:v>
      </x:c>
      <x:c r="D8" s="19" t="n">
        <x:f>B8-C8</x:f>
        <x:v>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24000</x:v>
      </x:c>
      <x:c r="I8" s="19" t="n">
        <x:f>C8+F8</x:f>
        <x:v>0</x:v>
      </x:c>
      <x:c r="J8" s="19" t="n">
        <x:f>H8-I8</x:f>
        <x:v>24000</x:v>
      </x:c>
      <x:c r="K8" s="19" t="n">
        <x:f>K7+J8</x:f>
        <x:v>-21000</x:v>
      </x:c>
      <x:c r="L8" s="20" t="n">
        <x:v>1</x:v>
      </x:c>
      <x:c r="M8" s="20" t="n">
        <x:v>0</x:v>
      </x:c>
      <x:c r="N8" s="20" t="n">
        <x:v>1</x:v>
      </x:c>
      <x:c r="O8" s="20" t="n">
        <x:v>5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-57000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</x:row>
    <x:row r="10" ht="23" customHeight="1">
      <x:c r="A10" s="2" t="str">
        <x:v>2026-09-24_Night</x:v>
      </x:c>
      <x:c r="B10" s="19" t="n">
        <x:v>0</x:v>
      </x:c>
      <x:c r="C10" s="19" t="n">
        <x:v>0</x:v>
      </x:c>
      <x:c r="D10" s="19" t="n">
        <x:f>B10-C10</x:f>
        <x:v>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0</x:v>
      </x:c>
      <x:c r="J10" s="19" t="n">
        <x:f>H10-I10</x:f>
        <x:v>20000</x:v>
      </x:c>
      <x:c r="K10" s="19" t="n">
        <x:f>K9+J10</x:f>
        <x:v>-37000</x:v>
      </x:c>
      <x:c r="L10" s="20" t="n">
        <x:v>2</x:v>
      </x:c>
      <x:c r="M10" s="20" t="n">
        <x:v>0</x:v>
      </x:c>
      <x:c r="N10" s="20" t="n">
        <x:v>2</x:v>
      </x:c>
      <x:c r="O10" s="20" t="n">
        <x:v>2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-36000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-56000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9000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52000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</x:row>
    <x:row r="15" ht="23" customHeight="1">
      <x:c r="A15" s="2" t="str">
        <x:v>2026-10-01_Night</x:v>
      </x:c>
      <x:c r="B15" s="19" t="n">
        <x:v>17000</x:v>
      </x:c>
      <x:c r="C15" s="19" t="n">
        <x:v>18000</x:v>
      </x:c>
      <x:c r="D15" s="19" t="n">
        <x:f>B15-C15</x:f>
        <x:v>-1000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110000</x:v>
      </x:c>
      <x:c r="J15" s="19" t="n">
        <x:f>H15-I15</x:f>
        <x:v>97000</x:v>
      </x:c>
      <x:c r="K15" s="19" t="n">
        <x:f>K14+J15</x:f>
        <x:v>149000</x:v>
      </x:c>
      <x:c r="L15" s="20" t="n">
        <x:v>13</x:v>
      </x:c>
      <x:c r="M15" s="20" t="n">
        <x:v>5</x:v>
      </x:c>
      <x:c r="N15" s="20" t="n">
        <x:v>8</x:v>
      </x:c>
      <x:c r="O15" s="20" t="n">
        <x:v>5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405000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439000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429000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386000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</x:row>
    <x:row r="20" ht="23" customHeight="1">
      <x:c r="A20" s="2" t="str">
        <x:v>2026-10-08_Night</x:v>
      </x:c>
      <x:c r="B20" s="19" t="n">
        <x:v>5000</x:v>
      </x:c>
      <x:c r="C20" s="19" t="n">
        <x:v>0</x:v>
      </x:c>
      <x:c r="D20" s="19" t="n">
        <x:f>B20-C20</x:f>
        <x:v>5000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20000</x:v>
      </x:c>
      <x:c r="J20" s="19" t="n">
        <x:f>H20-I20</x:f>
        <x:v>311000</x:v>
      </x:c>
      <x:c r="K20" s="19" t="n">
        <x:f>K19+J20</x:f>
        <x:v>697000</x:v>
      </x:c>
      <x:c r="L20" s="20" t="n">
        <x:v>17</x:v>
      </x:c>
      <x:c r="M20" s="20" t="n">
        <x:v>2</x:v>
      </x:c>
      <x:c r="N20" s="20" t="n">
        <x:v>15</x:v>
      </x:c>
      <x:c r="O20" s="20" t="n">
        <x:v>8</x:v>
      </x:c>
    </x:row>
    <x:row r="21" ht="23" customHeight="1">
      <x:c r="A21" s="2" t="str">
        <x:v>2026-10-09_Night</x:v>
      </x:c>
      <x:c r="B21" s="19" t="n">
        <x:v>0</x:v>
      </x:c>
      <x:c r="C21" s="19" t="n">
        <x:v>0</x:v>
      </x:c>
      <x:c r="D21" s="19" t="n">
        <x:f>B21-C21</x:f>
        <x:v>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0</x:v>
      </x:c>
      <x:c r="J21" s="19" t="n">
        <x:f>H21-I21</x:f>
        <x:v>14000</x:v>
      </x:c>
      <x:c r="K21" s="19" t="n">
        <x:f>K20+J21</x:f>
        <x:v>711000</x:v>
      </x:c>
      <x:c r="L21" s="20" t="n">
        <x:v>1</x:v>
      </x:c>
      <x:c r="M21" s="20" t="n">
        <x:v>0</x:v>
      </x:c>
      <x:c r="N21" s="20" t="n">
        <x:v>1</x:v>
      </x:c>
      <x:c r="O21" s="20" t="n">
        <x:v>5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793000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</x:row>
    <x:row r="23" ht="23" customHeight="1">
      <x:c r="A23" s="2" t="str">
        <x:v>2026-10-13_Night</x:v>
      </x:c>
      <x:c r="B23" s="19" t="n">
        <x:v>0</x:v>
      </x:c>
      <x:c r="C23" s="19" t="n">
        <x:v>0</x:v>
      </x:c>
      <x:c r="D23" s="19" t="n">
        <x:f>B23-C23</x:f>
        <x:v>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53000</x:v>
      </x:c>
      <x:c r="J23" s="19" t="n">
        <x:f>H23-I23</x:f>
        <x:v>-53000</x:v>
      </x:c>
      <x:c r="K23" s="19" t="n">
        <x:f>K22+J23</x:f>
        <x:v>740000</x:v>
      </x:c>
      <x:c r="L23" s="20" t="n">
        <x:v>2</x:v>
      </x:c>
      <x:c r="M23" s="20" t="n">
        <x:v>0</x:v>
      </x:c>
      <x:c r="N23" s="20" t="n">
        <x:v>2</x:v>
      </x:c>
      <x:c r="O23" s="20" t="n">
        <x:v>5</x:v>
      </x:c>
    </x:row>
    <x:row r="24" ht="23" customHeight="1">
      <x:c r="A24" s="2" t="str">
        <x:v>2026-10-14_Night</x:v>
      </x:c>
      <x:c r="B24" s="19" t="n">
        <x:v>0</x:v>
      </x:c>
      <x:c r="C24" s="19" t="n">
        <x:v>0</x:v>
      </x:c>
      <x:c r="D24" s="19" t="n">
        <x:f>B24-C24</x:f>
        <x:v>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61000</x:v>
      </x:c>
      <x:c r="J24" s="19" t="n">
        <x:f>H24-I24</x:f>
        <x:v>136000</x:v>
      </x:c>
      <x:c r="K24" s="19" t="n">
        <x:f>K23+J24</x:f>
        <x:v>876000</x:v>
      </x:c>
      <x:c r="L24" s="20" t="n">
        <x:v>4</x:v>
      </x:c>
      <x:c r="M24" s="20" t="n">
        <x:v>0</x:v>
      </x:c>
      <x:c r="N24" s="20" t="n">
        <x:v>4</x:v>
      </x:c>
      <x:c r="O24" s="20" t="n">
        <x:v>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898000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</x:row>
    <x:row r="26" ht="23" customHeight="1">
      <x:c r="A26" s="2" t="str">
        <x:v>2026-10-16_Night</x:v>
      </x:c>
      <x:c r="B26" s="19" t="n">
        <x:v>0</x:v>
      </x:c>
      <x:c r="C26" s="19" t="n">
        <x:v>0</x:v>
      </x:c>
      <x:c r="D26" s="19" t="n">
        <x:f>B26-C26</x:f>
        <x:v>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126000</x:v>
      </x:c>
      <x:c r="J26" s="19" t="n">
        <x:f>H26-I26</x:f>
        <x:v>32000</x:v>
      </x:c>
      <x:c r="K26" s="19" t="n">
        <x:f>K25+J26</x:f>
        <x:v>930000</x:v>
      </x:c>
      <x:c r="L26" s="20" t="n">
        <x:v>13</x:v>
      </x:c>
      <x:c r="M26" s="20" t="n">
        <x:v>0</x:v>
      </x:c>
      <x:c r="N26" s="20" t="n">
        <x:v>13</x:v>
      </x:c>
      <x:c r="O26" s="20" t="n">
        <x:v>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922000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1022000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998000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</x:row>
    <x:row r="30" ht="23" customHeight="1">
      <x:c r="A30" s="2" t="str">
        <x:v>2026-10-22_Night</x:v>
      </x:c>
      <x:c r="B30" s="19" t="n">
        <x:v>0</x:v>
      </x:c>
      <x:c r="C30" s="19" t="n">
        <x:v>0</x:v>
      </x:c>
      <x:c r="D30" s="19" t="n">
        <x:f>B30-C30</x:f>
        <x:v>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0</x:v>
      </x:c>
      <x:c r="J30" s="19" t="n">
        <x:f>H30-I30</x:f>
        <x:v>156000</x:v>
      </x:c>
      <x:c r="K30" s="19" t="n">
        <x:f>K29+J30</x:f>
        <x:v>1154000</x:v>
      </x:c>
      <x:c r="L30" s="20" t="n">
        <x:v>3</x:v>
      </x:c>
      <x:c r="M30" s="20" t="n">
        <x:v>0</x:v>
      </x:c>
      <x:c r="N30" s="20" t="n">
        <x:v>3</x:v>
      </x:c>
      <x:c r="O30" s="20" t="n">
        <x:v>6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1141000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</x:row>
    <x:row r="32" ht="23" customHeight="1">
      <x:c r="A32" s="24" t="str">
        <x:v>25夜累計</x:v>
      </x:c>
      <x:c r="B32" s="25" t="n">
        <x:f>SUM(B7:B31)</x:f>
        <x:v>68000</x:v>
      </x:c>
      <x:c r="C32" s="25" t="n">
        <x:f>SUM(C7:C31)</x:f>
        <x:v>70000</x:v>
      </x:c>
      <x:c r="D32" s="25" t="n">
        <x:f>B32-C32</x:f>
        <x:v>-2000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2160000</x:v>
      </x:c>
      <x:c r="I32" s="25" t="n">
        <x:f>C32+F32</x:f>
        <x:v>1019000</x:v>
      </x:c>
      <x:c r="J32" s="25" t="n">
        <x:f>H32-I32</x:f>
        <x:v>1141000</x:v>
      </x:c>
      <x:c r="K32" s="25" t="n">
        <x:f>K31</x:f>
        <x:v>1141000</x:v>
      </x:c>
      <x:c r="L32" s="26" t="n">
        <x:f>SUM(L7:L31)</x:f>
        <x:v>150</x:v>
      </x:c>
      <x:c r="M32" s="26" t="n">
        <x:f>SUM(M7:M31)</x:f>
        <x:v>16</x:v>
      </x:c>
      <x:c r="N32" s="26" t="n">
        <x:f>SUM(N7:N31)</x:f>
        <x:v>134</x:v>
      </x:c>
      <x:c r="O32" s="26" t="n">
        <x:f>MAX(O7:O31)</x:f>
        <x:v>10</x:v>
      </x:c>
    </x:row>
  </x:sheetData>
  <x:conditionalFormatting sqref="B7:K32">
    <x:cfRule type="cellIs" dxfId="1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1a27f174054575"/>
  </x:tableParts>
</x:worksheet>
</file>

<file path=xl/worksheets/sheet2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4" t="str">
        <x:v>2026/10/26ナイト　取得済み途中評価</x:v>
      </x:c>
      <x:c r="B2" s="5"/>
      <x:c r="C2" s="5"/>
      <x:c r="D2" s="5"/>
      <x:c r="E2" s="5"/>
      <x:c r="F2" s="5"/>
    </x:row>
    <x:row r="3" ht="23" customHeight="1">
      <x:c r="A3" s="6" t="str">
        <x:v>日経mini・片方向上限10枚・手数料0円・気配差込み。当夜の取得済み範囲だけを表示。</x:v>
      </x:c>
      <x:c r="B3" s="2"/>
      <x:c r="C3" s="2"/>
      <x:c r="D3" s="2"/>
      <x:c r="E3" s="2"/>
      <x:c r="F3" s="2"/>
    </x:row>
    <x:row r="4" ht="23" customHeight="1">
      <x:c r="A4" s="6" t="str">
        <x:v>21:13:52まで。既知3波を含む資料。終端一括返済をせず、完了25夜の合計から除外。</x:v>
      </x:c>
      <x:c r="B4" s="2"/>
      <x:c r="C4" s="2"/>
      <x:c r="D4" s="2"/>
      <x:c r="E4" s="2"/>
      <x:c r="F4" s="2"/>
    </x:row>
    <x:row r="5" ht="23" customHeight="1">
      <x:c r="A5" s="6"/>
      <x:c r="B5" s="2"/>
      <x:c r="C5" s="2"/>
      <x:c r="D5" s="2"/>
      <x:c r="E5" s="2"/>
      <x:c r="F5" s="2"/>
    </x:row>
    <x:row r="6" ht="42" customHeight="1">
      <x:c r="A6" s="15" t="str">
        <x:v>手法ID</x:v>
      </x:c>
      <x:c r="B6" s="16" t="str">
        <x:v>実現収支（円）</x:v>
      </x:c>
      <x:c r="C6" s="16" t="str">
        <x:v>含み損益（円）</x:v>
      </x:c>
      <x:c r="D6" s="16" t="str">
        <x:v>合計評価（円）</x:v>
      </x:c>
      <x:c r="E6" s="16" t="str">
        <x:v>新規件数</x:v>
      </x:c>
      <x:c r="F6" s="17" t="str">
        <x:v>最大片側保有枚数</x:v>
      </x:c>
    </x:row>
    <x:row r="7" ht="23" customHeight="1">
      <x:c r="A7" s="2" t="str">
        <x:v>C00</x:v>
      </x:c>
      <x:c r="B7" s="19" t="n">
        <x:v>0</x:v>
      </x:c>
      <x:c r="C7" s="19" t="n">
        <x:v>0</x:v>
      </x:c>
      <x:c r="D7" s="19" t="n">
        <x:f>B7+C7</x:f>
        <x:v>0</x:v>
      </x:c>
      <x:c r="E7" s="2" t="n">
        <x:v>0</x:v>
      </x:c>
      <x:c r="F7" s="2" t="n">
        <x:v>0</x:v>
      </x:c>
    </x:row>
    <x:row r="8" ht="23" customHeight="1">
      <x:c r="A8" s="2" t="str">
        <x:v>C01</x:v>
      </x:c>
      <x:c r="B8" s="19" t="n">
        <x:v>0</x:v>
      </x:c>
      <x:c r="C8" s="19" t="n">
        <x:v>0</x:v>
      </x:c>
      <x:c r="D8" s="19" t="n">
        <x:f>B8+C8</x:f>
        <x:v>0</x:v>
      </x:c>
      <x:c r="E8" s="2" t="n">
        <x:v>0</x:v>
      </x:c>
      <x:c r="F8" s="2" t="n">
        <x:v>0</x:v>
      </x:c>
    </x:row>
    <x:row r="9" ht="23" customHeight="1">
      <x:c r="A9" s="2" t="str">
        <x:v>C02</x:v>
      </x:c>
      <x:c r="B9" s="19" t="n">
        <x:v>0</x:v>
      </x:c>
      <x:c r="C9" s="19" t="n">
        <x:v>0</x:v>
      </x:c>
      <x:c r="D9" s="19" t="n">
        <x:f>B9+C9</x:f>
        <x:v>0</x:v>
      </x:c>
      <x:c r="E9" s="2" t="n">
        <x:v>0</x:v>
      </x:c>
      <x:c r="F9" s="2" t="n">
        <x:v>0</x:v>
      </x:c>
    </x:row>
    <x:row r="10" ht="23" customHeight="1">
      <x:c r="A10" s="2" t="str">
        <x:v>C03</x:v>
      </x:c>
      <x:c r="B10" s="19" t="n">
        <x:v>0</x:v>
      </x:c>
      <x:c r="C10" s="19" t="n">
        <x:v>0</x:v>
      </x:c>
      <x:c r="D10" s="19" t="n">
        <x:f>B10+C10</x:f>
        <x:v>0</x:v>
      </x:c>
      <x:c r="E10" s="2" t="n">
        <x:v>0</x:v>
      </x:c>
      <x:c r="F10" s="2" t="n">
        <x:v>0</x:v>
      </x:c>
    </x:row>
    <x:row r="11" ht="23" customHeight="1">
      <x:c r="A11" s="2" t="str">
        <x:v>C04</x:v>
      </x:c>
      <x:c r="B11" s="19" t="n">
        <x:v>83000</x:v>
      </x:c>
      <x:c r="C11" s="19" t="n">
        <x:v>0</x:v>
      </x:c>
      <x:c r="D11" s="19" t="n">
        <x:f>B11+C11</x:f>
        <x:v>83000</x:v>
      </x:c>
      <x:c r="E11" s="2" t="n">
        <x:v>1</x:v>
      </x:c>
      <x:c r="F11" s="2" t="n">
        <x:v>4</x:v>
      </x:c>
    </x:row>
    <x:row r="12" ht="23" customHeight="1">
      <x:c r="A12" s="2" t="str">
        <x:v>C05</x:v>
      </x:c>
      <x:c r="B12" s="19" t="n">
        <x:v>83000</x:v>
      </x:c>
      <x:c r="C12" s="19" t="n">
        <x:v>0</x:v>
      </x:c>
      <x:c r="D12" s="19" t="n">
        <x:f>B12+C12</x:f>
        <x:v>83000</x:v>
      </x:c>
      <x:c r="E12" s="2" t="n">
        <x:v>1</x:v>
      </x:c>
      <x:c r="F12" s="2" t="n">
        <x:v>4</x:v>
      </x:c>
    </x:row>
    <x:row r="13" ht="23" customHeight="1">
      <x:c r="A13" s="2" t="str">
        <x:v>C06</x:v>
      </x:c>
      <x:c r="B13" s="19" t="n">
        <x:v>83000</x:v>
      </x:c>
      <x:c r="C13" s="19" t="n">
        <x:v>0</x:v>
      </x:c>
      <x:c r="D13" s="19" t="n">
        <x:f>B13+C13</x:f>
        <x:v>83000</x:v>
      </x:c>
      <x:c r="E13" s="2" t="n">
        <x:v>1</x:v>
      </x:c>
      <x:c r="F13" s="2" t="n">
        <x:v>4</x:v>
      </x:c>
    </x:row>
    <x:row r="14" ht="23" customHeight="1">
      <x:c r="A14" s="2" t="str">
        <x:v>C07</x:v>
      </x:c>
      <x:c r="B14" s="19" t="n">
        <x:v>0</x:v>
      </x:c>
      <x:c r="C14" s="19" t="n">
        <x:v>0</x:v>
      </x:c>
      <x:c r="D14" s="19" t="n">
        <x:f>B14+C14</x:f>
        <x:v>0</x:v>
      </x:c>
      <x:c r="E14" s="2" t="n">
        <x:v>0</x:v>
      </x:c>
      <x:c r="F14" s="2" t="n">
        <x:v>0</x:v>
      </x:c>
    </x:row>
    <x:row r="15" ht="23" customHeight="1">
      <x:c r="A15" s="2" t="str">
        <x:v>C08</x:v>
      </x:c>
      <x:c r="B15" s="19" t="n">
        <x:v>0</x:v>
      </x:c>
      <x:c r="C15" s="19" t="n">
        <x:v>0</x:v>
      </x:c>
      <x:c r="D15" s="19" t="n">
        <x:f>B15+C15</x:f>
        <x:v>0</x:v>
      </x:c>
      <x:c r="E15" s="2" t="n">
        <x:v>0</x:v>
      </x:c>
      <x:c r="F15" s="2" t="n">
        <x:v>0</x:v>
      </x:c>
    </x:row>
    <x:row r="16" ht="23" customHeight="1">
      <x:c r="A16" s="2" t="str">
        <x:v>R01</x:v>
      </x:c>
      <x:c r="B16" s="19" t="n">
        <x:v>83000</x:v>
      </x:c>
      <x:c r="C16" s="19" t="n">
        <x:v>0</x:v>
      </x:c>
      <x:c r="D16" s="19" t="n">
        <x:f>B16+C16</x:f>
        <x:v>83000</x:v>
      </x:c>
      <x:c r="E16" s="2" t="n">
        <x:v>1</x:v>
      </x:c>
      <x:c r="F16" s="2" t="n">
        <x:v>4</x:v>
      </x:c>
    </x:row>
    <x:row r="17" ht="23" customHeight="1">
      <x:c r="A17" s="2" t="str">
        <x:v>R02</x:v>
      </x:c>
      <x:c r="B17" s="19" t="n">
        <x:v>83000</x:v>
      </x:c>
      <x:c r="C17" s="19" t="n">
        <x:v>0</x:v>
      </x:c>
      <x:c r="D17" s="19" t="n">
        <x:f>B17+C17</x:f>
        <x:v>83000</x:v>
      </x:c>
      <x:c r="E17" s="2" t="n">
        <x:v>1</x:v>
      </x:c>
      <x:c r="F17" s="2" t="n">
        <x:v>4</x:v>
      </x:c>
    </x:row>
    <x:row r="18" ht="23" customHeight="1">
      <x:c r="A18" s="2" t="str">
        <x:v>R03</x:v>
      </x:c>
      <x:c r="B18" s="19" t="n">
        <x:v>83000</x:v>
      </x:c>
      <x:c r="C18" s="19" t="n">
        <x:v>0</x:v>
      </x:c>
      <x:c r="D18" s="19" t="n">
        <x:f>B18+C18</x:f>
        <x:v>83000</x:v>
      </x:c>
      <x:c r="E18" s="2" t="n">
        <x:v>1</x:v>
      </x:c>
      <x:c r="F18" s="2" t="n">
        <x:v>4</x:v>
      </x:c>
    </x:row>
    <x:row r="19" ht="23" customHeight="1">
      <x:c r="A19" s="2" t="str">
        <x:v>R04</x:v>
      </x:c>
      <x:c r="B19" s="19" t="n">
        <x:v>83000</x:v>
      </x:c>
      <x:c r="C19" s="19" t="n">
        <x:v>0</x:v>
      </x:c>
      <x:c r="D19" s="19" t="n">
        <x:f>B19+C19</x:f>
        <x:v>83000</x:v>
      </x:c>
      <x:c r="E19" s="2" t="n">
        <x:v>1</x:v>
      </x:c>
      <x:c r="F19" s="2" t="n">
        <x:v>4</x:v>
      </x:c>
    </x:row>
    <x:row r="20" ht="23" customHeight="1">
      <x:c r="A20" s="2" t="str">
        <x:v>R05</x:v>
      </x:c>
      <x:c r="B20" s="19" t="n">
        <x:v>83000</x:v>
      </x:c>
      <x:c r="C20" s="19" t="n">
        <x:v>0</x:v>
      </x:c>
      <x:c r="D20" s="19" t="n">
        <x:f>B20+C20</x:f>
        <x:v>83000</x:v>
      </x:c>
      <x:c r="E20" s="2" t="n">
        <x:v>1</x:v>
      </x:c>
      <x:c r="F20" s="2" t="n">
        <x:v>4</x:v>
      </x:c>
    </x:row>
    <x:row r="21" ht="23" customHeight="1">
      <x:c r="A21" s="2" t="str">
        <x:v>R06</x:v>
      </x:c>
      <x:c r="B21" s="19" t="n">
        <x:v>83000</x:v>
      </x:c>
      <x:c r="C21" s="19" t="n">
        <x:v>0</x:v>
      </x:c>
      <x:c r="D21" s="19" t="n">
        <x:f>B21+C21</x:f>
        <x:v>83000</x:v>
      </x:c>
      <x:c r="E21" s="2" t="n">
        <x:v>1</x:v>
      </x:c>
      <x:c r="F21" s="2" t="n">
        <x:v>4</x:v>
      </x:c>
    </x:row>
    <x:row r="22" ht="23" customHeight="1">
      <x:c r="A22" s="2" t="str">
        <x:v>R07</x:v>
      </x:c>
      <x:c r="B22" s="19" t="n">
        <x:v>0</x:v>
      </x:c>
      <x:c r="C22" s="19" t="n">
        <x:v>0</x:v>
      </x:c>
      <x:c r="D22" s="19" t="n">
        <x:f>B22+C22</x:f>
        <x:v>0</x:v>
      </x:c>
      <x:c r="E22" s="2" t="n">
        <x:v>0</x:v>
      </x:c>
      <x:c r="F22" s="2" t="n">
        <x:v>0</x:v>
      </x:c>
    </x:row>
    <x:row r="23" ht="23" customHeight="1">
      <x:c r="A23" s="2" t="str">
        <x:v>S01</x:v>
      </x:c>
      <x:c r="B23" s="19" t="n">
        <x:v>83000</x:v>
      </x:c>
      <x:c r="C23" s="19" t="n">
        <x:v>0</x:v>
      </x:c>
      <x:c r="D23" s="19" t="n">
        <x:f>B23+C23</x:f>
        <x:v>83000</x:v>
      </x:c>
      <x:c r="E23" s="2" t="n">
        <x:v>1</x:v>
      </x:c>
      <x:c r="F23" s="2" t="n">
        <x:v>4</x:v>
      </x:c>
    </x:row>
    <x:row r="24" ht="23" customHeight="1">
      <x:c r="A24" s="2" t="str">
        <x:v>S02</x:v>
      </x:c>
      <x:c r="B24" s="19" t="n">
        <x:v>83000</x:v>
      </x:c>
      <x:c r="C24" s="19" t="n">
        <x:v>0</x:v>
      </x:c>
      <x:c r="D24" s="19" t="n">
        <x:f>B24+C24</x:f>
        <x:v>83000</x:v>
      </x:c>
      <x:c r="E24" s="2" t="n">
        <x:v>1</x:v>
      </x:c>
      <x:c r="F24" s="2" t="n">
        <x:v>4</x:v>
      </x:c>
    </x:row>
    <x:row r="25" ht="23" customHeight="1">
      <x:c r="A25" s="2" t="str">
        <x:v>S03</x:v>
      </x:c>
      <x:c r="B25" s="19" t="n">
        <x:v>83000</x:v>
      </x:c>
      <x:c r="C25" s="19" t="n">
        <x:v>0</x:v>
      </x:c>
      <x:c r="D25" s="19" t="n">
        <x:f>B25+C25</x:f>
        <x:v>83000</x:v>
      </x:c>
      <x:c r="E25" s="2" t="n">
        <x:v>1</x:v>
      </x:c>
      <x:c r="F25" s="2" t="n">
        <x:v>4</x:v>
      </x:c>
    </x:row>
    <x:row r="26" ht="23" customHeight="1">
      <x:c r="A26" s="2" t="str">
        <x:v>S04</x:v>
      </x:c>
      <x:c r="B26" s="19" t="n">
        <x:v>0</x:v>
      </x:c>
      <x:c r="C26" s="19" t="n">
        <x:v>0</x:v>
      </x:c>
      <x:c r="D26" s="19" t="n">
        <x:f>B26+C26</x:f>
        <x:v>0</x:v>
      </x:c>
      <x:c r="E26" s="2" t="n">
        <x:v>0</x:v>
      </x:c>
      <x:c r="F26" s="2" t="n">
        <x:v>0</x:v>
      </x:c>
    </x:row>
  </x:sheetData>
  <x:conditionalFormatting sqref="B7:D26">
    <x:cfRule type="cellIs" dxfId="2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945ea340fe49fa"/>
  </x:tableParts>
</x:worksheet>
</file>

<file path=xl/worksheets/sheet2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4" hidden="0" customWidth="1"/>
    <x:col min="2" max="2" width="13" hidden="0" customWidth="1"/>
    <x:col min="3" max="3" width="1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4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米国開始前後の市場特性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日経ラージの正常気配。既知25夜の記述分析であり、実売買の勝率・損益ではありません。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前17:00〜22:15、後22:45〜04:00。夜を独立単位に集計。差の95%区間は夜単位の再標本化。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前は値幅が小さめ。幅に合わせた無条件先着には明瞭な不利なし。傾き追随の適合は不確実。</x:v>
      </x:c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15" t="str">
        <x:v>指標</x:v>
      </x:c>
      <x:c r="B6" s="16" t="str">
        <x:v>単位</x:v>
      </x:c>
      <x:c r="C6" s="16" t="str">
        <x:v>比較夜数</x:v>
      </x:c>
      <x:c r="D6" s="16" t="str">
        <x:v>米国前平均</x:v>
      </x:c>
      <x:c r="E6" s="16" t="str">
        <x:v>米国後平均</x:v>
      </x:c>
      <x:c r="F6" s="16" t="str">
        <x:v>前−後</x:v>
      </x:c>
      <x:c r="G6" s="16" t="str">
        <x:v>差95%下限</x:v>
      </x:c>
      <x:c r="H6" s="16" t="str">
        <x:v>差95%上限</x:v>
      </x:c>
      <x:c r="I6" s="17" t="str">
        <x:v>対象と分母</x:v>
      </x:c>
    </x:row>
    <x:row r="7" ht="23" customHeight="1">
      <x:c r="A7" s="2" t="str">
        <x:v>正常気配中値の高低差</x:v>
      </x:c>
      <x:c r="B7" s="2" t="str">
        <x:v>pt</x:v>
      </x:c>
      <x:c r="C7" s="2" t="n">
        <x:v>25</x:v>
      </x:c>
      <x:c r="D7" s="28" t="n">
        <x:v>580.6</x:v>
      </x:c>
      <x:c r="E7" s="28" t="n">
        <x:v>772.2</x:v>
      </x:c>
      <x:c r="F7" s="28" t="n">
        <x:f>D7-E7</x:f>
        <x:v>-191.60000000000002</x:v>
      </x:c>
      <x:c r="G7" s="28" t="n">
        <x:v>-344.2</x:v>
      </x:c>
      <x:c r="H7" s="28" t="n">
        <x:v>-53.8</x:v>
      </x:c>
      <x:c r="I7" s="2" t="str">
        <x:v>同じ315分</x:v>
      </x:c>
    </x:row>
    <x:row r="8" ht="23" customHeight="1">
      <x:c r="A8" s="2" t="str">
        <x:v>1分足の符号反転率</x:v>
      </x:c>
      <x:c r="B8" s="2" t="str">
        <x:v>割合</x:v>
      </x:c>
      <x:c r="C8" s="2" t="n">
        <x:v>25</x:v>
      </x:c>
      <x:c r="D8" s="29" t="n">
        <x:v>0.5010635108481476</x:v>
      </x:c>
      <x:c r="E8" s="29" t="n">
        <x:v>0.4918087895028841</x:v>
      </x:c>
      <x:c r="F8" s="29" t="n">
        <x:f>D8-E8</x:f>
        <x:v>0.009254721345263506</x:v>
      </x:c>
      <x:c r="G8" s="29" t="n">
        <x:v>-0.010692038335114153</x:v>
      </x:c>
      <x:c r="H8" s="29" t="n">
        <x:v>0.029476077862633312</x:v>
      </x:c>
      <x:c r="I8" s="2" t="str">
        <x:v>0変動を除き、欠測を跨がない</x:v>
      </x:c>
    </x:row>
    <x:row r="9" ht="23" customHeight="1">
      <x:c r="A9" s="2" t="str">
        <x:v>分末気配差の中央値</x:v>
      </x:c>
      <x:c r="B9" s="2" t="str">
        <x:v>pt</x:v>
      </x:c>
      <x:c r="C9" s="2" t="n">
        <x:v>25</x:v>
      </x:c>
      <x:c r="D9" s="28" t="n">
        <x:v>10</x:v>
      </x:c>
      <x:c r="E9" s="28" t="n">
        <x:v>10</x:v>
      </x:c>
      <x:c r="F9" s="28" t="n">
        <x:f>D9-E9</x:f>
        <x:v>0</x:v>
      </x:c>
      <x:c r="G9" s="28" t="n">
        <x:v>0</x:v>
      </x:c>
      <x:c r="H9" s="28" t="n">
        <x:v>0</x:v>
      </x:c>
      <x:c r="I9" s="2" t="str">
        <x:v>観測分を等しく重み付け</x:v>
      </x:c>
    </x:row>
    <x:row r="10" ht="23" customHeight="1">
      <x:c r="A10" s="2" t="str">
        <x:v>分末気配差の90%点</x:v>
      </x:c>
      <x:c r="B10" s="2" t="str">
        <x:v>pt</x:v>
      </x:c>
      <x:c r="C10" s="2" t="n">
        <x:v>25</x:v>
      </x:c>
      <x:c r="D10" s="28" t="n">
        <x:v>18</x:v>
      </x:c>
      <x:c r="E10" s="28" t="n">
        <x:v>17.2</x:v>
      </x:c>
      <x:c r="F10" s="28" t="n">
        <x:f>D10-E10</x:f>
        <x:v>0.8000000000000007</x:v>
      </x:c>
      <x:c r="G10" s="28" t="n">
        <x:v>-1.6</x:v>
      </x:c>
      <x:c r="H10" s="28" t="n">
        <x:v>3.2</x:v>
      </x:c>
      <x:c r="I10" s="2" t="str">
        <x:v>観測分を等しく重み付け</x:v>
      </x:c>
    </x:row>
    <x:row r="11" ht="23" customHeight="1">
      <x:c r="A11" s="2" t="str">
        <x:v>1時間当たりBBO価格変化</x:v>
      </x:c>
      <x:c r="B11" s="2" t="str">
        <x:v>回/時</x:v>
      </x:c>
      <x:c r="C11" s="2" t="n">
        <x:v>25</x:v>
      </x:c>
      <x:c r="D11" s="28" t="n">
        <x:v>2478.887619047619</x:v>
      </x:c>
      <x:c r="E11" s="28" t="n">
        <x:v>2949.889523809524</x:v>
      </x:c>
      <x:c r="F11" s="28" t="n">
        <x:f>D11-E11</x:f>
        <x:v>-471.0019047619048</x:v>
      </x:c>
      <x:c r="G11" s="28" t="n">
        <x:v>-715.4154285714286</x:v>
      </x:c>
      <x:c r="H11" s="28" t="n">
        <x:v>-229.6453333333334</x:v>
      </x:c>
      <x:c r="I11" s="2" t="str">
        <x:v>受信件数・約定件数ではない</x:v>
      </x:c>
    </x:row>
    <x:row r="12" ht="23" customHeight="1">
      <x:c r="A12" s="2" t="str">
        <x:v>固定100ptの先着率・両方向</x:v>
      </x:c>
      <x:c r="B12" s="2" t="str">
        <x:v>割合</x:v>
      </x:c>
      <x:c r="C12" s="2" t="n">
        <x:v>25</x:v>
      </x:c>
      <x:c r="D12" s="29" t="n">
        <x:v>0.2872222222222222</x:v>
      </x:c>
      <x:c r="E12" s="29" t="n">
        <x:v>0.3352539682539682</x:v>
      </x:c>
      <x:c r="F12" s="29" t="n">
        <x:f>D12-E12</x:f>
        <x:v>-0.04803174603174598</x:v>
      </x:c>
      <x:c r="G12" s="29" t="n">
        <x:v>-0.10105694444444445</x:v>
      </x:c>
      <x:c r="H12" s="29" t="n">
        <x:v>0.005801587301587299</x:v>
      </x:c>
      <x:c r="I12" s="2" t="str">
        <x:v>未到達を分母に含む</x:v>
      </x:c>
    </x:row>
    <x:row r="13" ht="23" customHeight="1">
      <x:c r="A13" s="2" t="str">
        <x:v>相対幅の先着率・両方向</x:v>
      </x:c>
      <x:c r="B13" s="2" t="str">
        <x:v>割合</x:v>
      </x:c>
      <x:c r="C13" s="2" t="n">
        <x:v>25</x:v>
      </x:c>
      <x:c r="D13" s="29" t="n">
        <x:v>0.3617857142857143</x:v>
      </x:c>
      <x:c r="E13" s="29" t="n">
        <x:v>0.3285555555555556</x:v>
      </x:c>
      <x:c r="F13" s="29" t="n">
        <x:f>D13-E13</x:f>
        <x:v>0.03323015873015872</x:v>
      </x:c>
      <x:c r="G13" s="29" t="n">
        <x:v>-0.006081547619047624</x:v>
      </x:c>
      <x:c r="H13" s="29" t="n">
        <x:v>0.07496150793650792</x:v>
      </x:c>
      <x:c r="I13" s="2" t="str">
        <x:v>共通9時点、未到達を分母に含む</x:v>
      </x:c>
    </x:row>
    <x:row r="14" ht="23" customHeight="1">
      <x:c r="A14" s="2" t="str">
        <x:v>相対幅の接触時先着率・両方向</x:v>
      </x:c>
      <x:c r="B14" s="2" t="str">
        <x:v>割合</x:v>
      </x:c>
      <x:c r="C14" s="2" t="n">
        <x:v>25</x:v>
      </x:c>
      <x:c r="D14" s="29" t="n">
        <x:v>0.3984732555026673</x:v>
      </x:c>
      <x:c r="E14" s="29" t="n">
        <x:v>0.3947514348396702</x:v>
      </x:c>
      <x:c r="F14" s="29" t="n">
        <x:f>D14-E14</x:f>
        <x:v>0.003721820662997144</x:v>
      </x:c>
      <x:c r="G14" s="29" t="n">
        <x:v>-0.030199738415179603</x:v>
      </x:c>
      <x:c r="H14" s="29" t="n">
        <x:v>0.03808572122322121</x:v>
      </x:c>
      <x:c r="I14" s="2" t="str">
        <x:v>いずれかへ到達した事象だけ</x:v>
      </x:c>
    </x:row>
    <x:row r="15" ht="23" customHeight="1">
      <x:c r="A15" s="2" t="str">
        <x:v>相対幅の先着率・傾き方向</x:v>
      </x:c>
      <x:c r="B15" s="2" t="str">
        <x:v>割合</x:v>
      </x:c>
      <x:c r="C15" s="2" t="n">
        <x:v>22</x:v>
      </x:c>
      <x:c r="D15" s="29" t="n">
        <x:v>0.29772727272727273</x:v>
      </x:c>
      <x:c r="E15" s="29" t="n">
        <x:v>0.38636363636363635</x:v>
      </x:c>
      <x:c r="F15" s="29" t="n">
        <x:f>D15-E15</x:f>
        <x:v>-0.08863636363636362</x:v>
      </x:c>
      <x:c r="G15" s="29" t="n">
        <x:v>-0.2537878787878788</x:v>
      </x:c>
      <x:c r="H15" s="29" t="n">
        <x:v>0.0712121212121212</x:v>
      </x:c>
      <x:c r="I15" s="2" t="str">
        <x:v>前後双方に傾き事象がある夜</x:v>
      </x:c>
    </x:row>
    <x:row r="16" ht="23" customHeight="1">
      <x:c r="A16" s="2" t="str">
        <x:v>相対幅の平均閾値・傾き方向</x:v>
      </x:c>
      <x:c r="B16" s="2" t="str">
        <x:v>pt</x:v>
      </x:c>
      <x:c r="C16" s="2" t="n">
        <x:v>22</x:v>
      </x:c>
      <x:c r="D16" s="28" t="n">
        <x:v>76.8409090909091</x:v>
      </x:c>
      <x:c r="E16" s="28" t="n">
        <x:v>105.60200216450217</x:v>
      </x:c>
      <x:c r="F16" s="28" t="n">
        <x:f>D16-E16</x:f>
        <x:v>-28.761093073593074</x:v>
      </x:c>
      <x:c r="G16" s="28" t="n">
        <x:v>-38.84046942640693</x:v>
      </x:c>
      <x:c r="H16" s="28" t="n">
        <x:v>-19.09370941558442</x:v>
      </x:c>
      <x:c r="I16" s="2" t="str">
        <x:v>直前20分幅×0.5、下限20pt</x:v>
      </x:c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3" customHeight="1">
      <x:c r="A18" s="2" t="str">
        <x:v>相対幅の観測アンカー：前187・後188。傾き該当：前64・後79。</x:v>
      </x:c>
      <x:c r="B18" s="2"/>
      <x:c r="C18" s="2"/>
      <x:c r="D18" s="2"/>
      <x:c r="E18" s="2"/>
      <x:c r="F18" s="2"/>
      <x:c r="G18" s="2"/>
      <x:c r="H18" s="2"/>
      <x:c r="I18" s="2"/>
    </x:row>
    <x:row r="19" ht="23" customHeight="1">
      <x:c r="A19" s="2" t="str">
        <x:v>傾き該当夜：前23・後24、双方22。原行やアンカーを独立標本数として扱わない。</x:v>
      </x:c>
      <x:c r="B19" s="2"/>
      <x:c r="C19" s="2"/>
      <x:c r="D19" s="2"/>
      <x:c r="E19" s="2"/>
      <x:c r="F19" s="2"/>
      <x:c r="G19" s="2"/>
      <x:c r="H19" s="2"/>
      <x:c r="I19" s="2"/>
    </x:row>
    <x:row r="20" ht="23" customHeight="1">
      <x:c r="A20" s="2" t="str">
        <x:v>気配の価格時計に基づく観測。空白分は補完しない。途中10/26はこの比較から除外。</x:v>
      </x:c>
      <x:c r="B20" s="2"/>
      <x:c r="C20" s="2"/>
      <x:c r="D20" s="2"/>
      <x:c r="E20" s="2"/>
      <x:c r="F20" s="2"/>
      <x:c r="G20" s="2"/>
      <x:c r="H20" s="2"/>
      <x:c r="I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</x:row>
  </x:sheetData>
  <x:pageMargins left="0.7" right="0.7" top="0.75" bottom="0.75" header="0.3" footer="0.3"/>
  <x:tableParts count="1">
    <x:tablePart xmlns:r="http://schemas.openxmlformats.org/officeDocument/2006/relationships" r:id="Rd14ae969dee0416a"/>
  </x:tableParts>
</x:worksheet>
</file>